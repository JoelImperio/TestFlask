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28425" windowHeight="13320" activeTab="2"/>
  </bookViews>
  <sheets>
    <sheet name="Resumo" sheetId="5" r:id="rId1"/>
    <sheet name="Portfolio" sheetId="1" r:id="rId2"/>
    <sheet name="Proj Cash Flows" sheetId="2" r:id="rId3"/>
    <sheet name="Mortality Table" sheetId="3" r:id="rId4"/>
    <sheet name="Assumptions" sheetId="4" r:id="rId5"/>
  </sheets>
  <definedNames>
    <definedName name="_xlnm._FilterDatabase" localSheetId="1" hidden="1">Portfolio!$A$5:$M$339</definedName>
  </definedNames>
  <calcPr calcId="145621"/>
</workbook>
</file>

<file path=xl/calcChain.xml><?xml version="1.0" encoding="utf-8"?>
<calcChain xmlns="http://schemas.openxmlformats.org/spreadsheetml/2006/main">
  <c r="P2" i="1" l="1"/>
  <c r="J7" i="1" l="1"/>
  <c r="K7" i="1" s="1"/>
  <c r="L7" i="1" s="1"/>
  <c r="M7" i="1" s="1"/>
  <c r="J8" i="1"/>
  <c r="K8" i="1"/>
  <c r="L8" i="1" s="1"/>
  <c r="M8" i="1"/>
  <c r="J9" i="1"/>
  <c r="K9" i="1" s="1"/>
  <c r="L9" i="1" s="1"/>
  <c r="M9" i="1" s="1"/>
  <c r="J10" i="1"/>
  <c r="K10" i="1" s="1"/>
  <c r="L10" i="1" s="1"/>
  <c r="M10" i="1" s="1"/>
  <c r="J11" i="1"/>
  <c r="K11" i="1" s="1"/>
  <c r="L11" i="1" s="1"/>
  <c r="M11" i="1"/>
  <c r="J12" i="1"/>
  <c r="K12" i="1"/>
  <c r="L12" i="1" s="1"/>
  <c r="M12" i="1" s="1"/>
  <c r="J13" i="1"/>
  <c r="K13" i="1" s="1"/>
  <c r="L13" i="1" s="1"/>
  <c r="M13" i="1" s="1"/>
  <c r="J14" i="1"/>
  <c r="K14" i="1" s="1"/>
  <c r="L14" i="1" s="1"/>
  <c r="M14" i="1" s="1"/>
  <c r="J15" i="1"/>
  <c r="K15" i="1" s="1"/>
  <c r="L15" i="1" s="1"/>
  <c r="M15" i="1"/>
  <c r="J16" i="1"/>
  <c r="K16" i="1"/>
  <c r="L16" i="1" s="1"/>
  <c r="M16" i="1" s="1"/>
  <c r="J17" i="1"/>
  <c r="K17" i="1" s="1"/>
  <c r="L17" i="1" s="1"/>
  <c r="M17" i="1" s="1"/>
  <c r="J18" i="1"/>
  <c r="K18" i="1"/>
  <c r="L18" i="1" s="1"/>
  <c r="M18" i="1"/>
  <c r="J19" i="1"/>
  <c r="K19" i="1" s="1"/>
  <c r="L19" i="1" s="1"/>
  <c r="M19" i="1"/>
  <c r="J20" i="1"/>
  <c r="K20" i="1"/>
  <c r="L20" i="1" s="1"/>
  <c r="M20" i="1" s="1"/>
  <c r="J21" i="1"/>
  <c r="K21" i="1" s="1"/>
  <c r="L21" i="1" s="1"/>
  <c r="M21" i="1"/>
  <c r="J22" i="1"/>
  <c r="K22" i="1" s="1"/>
  <c r="L22" i="1" s="1"/>
  <c r="M22" i="1" s="1"/>
  <c r="J23" i="1"/>
  <c r="K23" i="1" s="1"/>
  <c r="L23" i="1" s="1"/>
  <c r="M23" i="1"/>
  <c r="J24" i="1"/>
  <c r="K24" i="1"/>
  <c r="L24" i="1" s="1"/>
  <c r="M24" i="1"/>
  <c r="J25" i="1"/>
  <c r="K25" i="1" s="1"/>
  <c r="L25" i="1" s="1"/>
  <c r="M25" i="1" s="1"/>
  <c r="J26" i="1"/>
  <c r="K26" i="1" s="1"/>
  <c r="L26" i="1" s="1"/>
  <c r="M26" i="1" s="1"/>
  <c r="J27" i="1"/>
  <c r="K27" i="1" s="1"/>
  <c r="L27" i="1" s="1"/>
  <c r="M27" i="1"/>
  <c r="J28" i="1"/>
  <c r="K28" i="1"/>
  <c r="L28" i="1" s="1"/>
  <c r="M28" i="1" s="1"/>
  <c r="J29" i="1"/>
  <c r="K29" i="1" s="1"/>
  <c r="L29" i="1" s="1"/>
  <c r="M29" i="1" s="1"/>
  <c r="J30" i="1"/>
  <c r="K30" i="1" s="1"/>
  <c r="L30" i="1" s="1"/>
  <c r="M30" i="1" s="1"/>
  <c r="J31" i="1"/>
  <c r="K31" i="1" s="1"/>
  <c r="L31" i="1" s="1"/>
  <c r="M31" i="1"/>
  <c r="J32" i="1"/>
  <c r="K32" i="1"/>
  <c r="L32" i="1" s="1"/>
  <c r="M32" i="1" s="1"/>
  <c r="J33" i="1"/>
  <c r="K33" i="1" s="1"/>
  <c r="L33" i="1" s="1"/>
  <c r="M33" i="1" s="1"/>
  <c r="J34" i="1"/>
  <c r="K34" i="1"/>
  <c r="L34" i="1" s="1"/>
  <c r="M34" i="1"/>
  <c r="J35" i="1"/>
  <c r="K35" i="1" s="1"/>
  <c r="L35" i="1" s="1"/>
  <c r="M35" i="1"/>
  <c r="J36" i="1"/>
  <c r="K36" i="1"/>
  <c r="L36" i="1" s="1"/>
  <c r="M36" i="1" s="1"/>
  <c r="J37" i="1"/>
  <c r="K37" i="1" s="1"/>
  <c r="L37" i="1" s="1"/>
  <c r="M37" i="1"/>
  <c r="J38" i="1"/>
  <c r="K38" i="1" s="1"/>
  <c r="L38" i="1" s="1"/>
  <c r="M38" i="1" s="1"/>
  <c r="J39" i="1"/>
  <c r="K39" i="1" s="1"/>
  <c r="L39" i="1" s="1"/>
  <c r="M39" i="1"/>
  <c r="J40" i="1"/>
  <c r="K40" i="1"/>
  <c r="L40" i="1" s="1"/>
  <c r="M40" i="1"/>
  <c r="J41" i="1"/>
  <c r="K41" i="1" s="1"/>
  <c r="L41" i="1" s="1"/>
  <c r="M41" i="1" s="1"/>
  <c r="J42" i="1"/>
  <c r="K42" i="1" s="1"/>
  <c r="L42" i="1" s="1"/>
  <c r="M42" i="1" s="1"/>
  <c r="J43" i="1"/>
  <c r="K43" i="1" s="1"/>
  <c r="L43" i="1" s="1"/>
  <c r="M43" i="1"/>
  <c r="J44" i="1"/>
  <c r="K44" i="1"/>
  <c r="L44" i="1" s="1"/>
  <c r="M44" i="1" s="1"/>
  <c r="J45" i="1"/>
  <c r="K45" i="1" s="1"/>
  <c r="L45" i="1" s="1"/>
  <c r="M45" i="1" s="1"/>
  <c r="J46" i="1"/>
  <c r="K46" i="1" s="1"/>
  <c r="L46" i="1" s="1"/>
  <c r="M46" i="1" s="1"/>
  <c r="J47" i="1"/>
  <c r="K47" i="1" s="1"/>
  <c r="L47" i="1" s="1"/>
  <c r="M47" i="1"/>
  <c r="J48" i="1"/>
  <c r="K48" i="1"/>
  <c r="L48" i="1" s="1"/>
  <c r="M48" i="1" s="1"/>
  <c r="J49" i="1"/>
  <c r="K49" i="1" s="1"/>
  <c r="L49" i="1" s="1"/>
  <c r="M49" i="1" s="1"/>
  <c r="J50" i="1"/>
  <c r="K50" i="1"/>
  <c r="L50" i="1" s="1"/>
  <c r="M50" i="1"/>
  <c r="J51" i="1"/>
  <c r="K51" i="1" s="1"/>
  <c r="L51" i="1" s="1"/>
  <c r="M51" i="1"/>
  <c r="J52" i="1"/>
  <c r="K52" i="1"/>
  <c r="L52" i="1" s="1"/>
  <c r="M52" i="1" s="1"/>
  <c r="J53" i="1"/>
  <c r="K53" i="1" s="1"/>
  <c r="L53" i="1" s="1"/>
  <c r="M53" i="1"/>
  <c r="J54" i="1"/>
  <c r="K54" i="1" s="1"/>
  <c r="L54" i="1" s="1"/>
  <c r="M54" i="1" s="1"/>
  <c r="J55" i="1"/>
  <c r="K55" i="1" s="1"/>
  <c r="L55" i="1" s="1"/>
  <c r="M55" i="1"/>
  <c r="J56" i="1"/>
  <c r="K56" i="1"/>
  <c r="L56" i="1" s="1"/>
  <c r="M56" i="1"/>
  <c r="J57" i="1"/>
  <c r="K57" i="1" s="1"/>
  <c r="L57" i="1" s="1"/>
  <c r="M57" i="1" s="1"/>
  <c r="J58" i="1"/>
  <c r="K58" i="1" s="1"/>
  <c r="L58" i="1" s="1"/>
  <c r="M58" i="1" s="1"/>
  <c r="J59" i="1"/>
  <c r="K59" i="1" s="1"/>
  <c r="L59" i="1" s="1"/>
  <c r="M59" i="1"/>
  <c r="J60" i="1"/>
  <c r="K60" i="1"/>
  <c r="L60" i="1" s="1"/>
  <c r="M60" i="1" s="1"/>
  <c r="J61" i="1"/>
  <c r="K61" i="1" s="1"/>
  <c r="L61" i="1" s="1"/>
  <c r="M61" i="1" s="1"/>
  <c r="J62" i="1"/>
  <c r="K62" i="1" s="1"/>
  <c r="L62" i="1" s="1"/>
  <c r="M62" i="1" s="1"/>
  <c r="J63" i="1"/>
  <c r="K63" i="1" s="1"/>
  <c r="L63" i="1" s="1"/>
  <c r="M63" i="1"/>
  <c r="J64" i="1"/>
  <c r="K64" i="1"/>
  <c r="L64" i="1" s="1"/>
  <c r="M64" i="1" s="1"/>
  <c r="J65" i="1"/>
  <c r="K65" i="1" s="1"/>
  <c r="L65" i="1" s="1"/>
  <c r="M65" i="1" s="1"/>
  <c r="J66" i="1"/>
  <c r="K66" i="1"/>
  <c r="L66" i="1" s="1"/>
  <c r="M66" i="1"/>
  <c r="J67" i="1"/>
  <c r="K67" i="1" s="1"/>
  <c r="L67" i="1" s="1"/>
  <c r="M67" i="1"/>
  <c r="J68" i="1"/>
  <c r="K68" i="1"/>
  <c r="L68" i="1" s="1"/>
  <c r="M68" i="1" s="1"/>
  <c r="J69" i="1"/>
  <c r="K69" i="1" s="1"/>
  <c r="L69" i="1" s="1"/>
  <c r="M69" i="1"/>
  <c r="J70" i="1"/>
  <c r="K70" i="1" s="1"/>
  <c r="L70" i="1" s="1"/>
  <c r="M70" i="1" s="1"/>
  <c r="J71" i="1"/>
  <c r="K71" i="1" s="1"/>
  <c r="L71" i="1" s="1"/>
  <c r="M71" i="1"/>
  <c r="J72" i="1"/>
  <c r="K72" i="1"/>
  <c r="L72" i="1" s="1"/>
  <c r="M72" i="1"/>
  <c r="J73" i="1"/>
  <c r="K73" i="1" s="1"/>
  <c r="L73" i="1" s="1"/>
  <c r="M73" i="1" s="1"/>
  <c r="J74" i="1"/>
  <c r="K74" i="1" s="1"/>
  <c r="L74" i="1" s="1"/>
  <c r="M74" i="1" s="1"/>
  <c r="J75" i="1"/>
  <c r="K75" i="1" s="1"/>
  <c r="L75" i="1" s="1"/>
  <c r="M75" i="1"/>
  <c r="J76" i="1"/>
  <c r="K76" i="1"/>
  <c r="L76" i="1" s="1"/>
  <c r="M76" i="1" s="1"/>
  <c r="J77" i="1"/>
  <c r="K77" i="1" s="1"/>
  <c r="L77" i="1" s="1"/>
  <c r="M77" i="1" s="1"/>
  <c r="J78" i="1"/>
  <c r="K78" i="1" s="1"/>
  <c r="L78" i="1" s="1"/>
  <c r="M78" i="1" s="1"/>
  <c r="J79" i="1"/>
  <c r="K79" i="1" s="1"/>
  <c r="L79" i="1" s="1"/>
  <c r="M79" i="1"/>
  <c r="J80" i="1"/>
  <c r="K80" i="1"/>
  <c r="L80" i="1" s="1"/>
  <c r="M80" i="1" s="1"/>
  <c r="J81" i="1"/>
  <c r="K81" i="1" s="1"/>
  <c r="L81" i="1" s="1"/>
  <c r="M81" i="1" s="1"/>
  <c r="J82" i="1"/>
  <c r="K82" i="1"/>
  <c r="L82" i="1" s="1"/>
  <c r="M82" i="1"/>
  <c r="J83" i="1"/>
  <c r="K83" i="1" s="1"/>
  <c r="L83" i="1" s="1"/>
  <c r="M83" i="1"/>
  <c r="J84" i="1"/>
  <c r="K84" i="1"/>
  <c r="L84" i="1" s="1"/>
  <c r="M84" i="1" s="1"/>
  <c r="J85" i="1"/>
  <c r="K85" i="1" s="1"/>
  <c r="L85" i="1" s="1"/>
  <c r="M85" i="1"/>
  <c r="J86" i="1"/>
  <c r="K86" i="1" s="1"/>
  <c r="L86" i="1" s="1"/>
  <c r="M86" i="1" s="1"/>
  <c r="J87" i="1"/>
  <c r="K87" i="1" s="1"/>
  <c r="L87" i="1" s="1"/>
  <c r="M87" i="1"/>
  <c r="J88" i="1"/>
  <c r="K88" i="1"/>
  <c r="L88" i="1" s="1"/>
  <c r="M88" i="1"/>
  <c r="J89" i="1"/>
  <c r="K89" i="1" s="1"/>
  <c r="L89" i="1" s="1"/>
  <c r="M89" i="1" s="1"/>
  <c r="J90" i="1"/>
  <c r="K90" i="1" s="1"/>
  <c r="L90" i="1" s="1"/>
  <c r="M90" i="1" s="1"/>
  <c r="J91" i="1"/>
  <c r="K91" i="1" s="1"/>
  <c r="L91" i="1" s="1"/>
  <c r="M91" i="1"/>
  <c r="J92" i="1"/>
  <c r="K92" i="1"/>
  <c r="L92" i="1" s="1"/>
  <c r="M92" i="1" s="1"/>
  <c r="J93" i="1"/>
  <c r="K93" i="1" s="1"/>
  <c r="L93" i="1" s="1"/>
  <c r="M93" i="1" s="1"/>
  <c r="J94" i="1"/>
  <c r="K94" i="1" s="1"/>
  <c r="L94" i="1" s="1"/>
  <c r="M94" i="1" s="1"/>
  <c r="J95" i="1"/>
  <c r="K95" i="1" s="1"/>
  <c r="L95" i="1" s="1"/>
  <c r="M95" i="1"/>
  <c r="J96" i="1"/>
  <c r="K96" i="1"/>
  <c r="L96" i="1" s="1"/>
  <c r="M96" i="1" s="1"/>
  <c r="J97" i="1"/>
  <c r="K97" i="1" s="1"/>
  <c r="L97" i="1" s="1"/>
  <c r="M97" i="1" s="1"/>
  <c r="J98" i="1"/>
  <c r="K98" i="1"/>
  <c r="L98" i="1" s="1"/>
  <c r="M98" i="1"/>
  <c r="J99" i="1"/>
  <c r="K99" i="1" s="1"/>
  <c r="L99" i="1" s="1"/>
  <c r="M99" i="1"/>
  <c r="J100" i="1"/>
  <c r="K100" i="1"/>
  <c r="L100" i="1" s="1"/>
  <c r="M100" i="1" s="1"/>
  <c r="J101" i="1"/>
  <c r="K101" i="1" s="1"/>
  <c r="L101" i="1" s="1"/>
  <c r="M101" i="1"/>
  <c r="J102" i="1"/>
  <c r="K102" i="1" s="1"/>
  <c r="L102" i="1" s="1"/>
  <c r="M102" i="1" s="1"/>
  <c r="J103" i="1"/>
  <c r="K103" i="1" s="1"/>
  <c r="L103" i="1" s="1"/>
  <c r="M103" i="1"/>
  <c r="J104" i="1"/>
  <c r="K104" i="1"/>
  <c r="L104" i="1" s="1"/>
  <c r="M104" i="1"/>
  <c r="J105" i="1"/>
  <c r="K105" i="1" s="1"/>
  <c r="L105" i="1" s="1"/>
  <c r="M105" i="1" s="1"/>
  <c r="J106" i="1"/>
  <c r="K106" i="1" s="1"/>
  <c r="L106" i="1" s="1"/>
  <c r="M106" i="1" s="1"/>
  <c r="J107" i="1"/>
  <c r="K107" i="1" s="1"/>
  <c r="L107" i="1" s="1"/>
  <c r="M107" i="1"/>
  <c r="J108" i="1"/>
  <c r="K108" i="1"/>
  <c r="L108" i="1" s="1"/>
  <c r="M108" i="1" s="1"/>
  <c r="J109" i="1"/>
  <c r="K109" i="1" s="1"/>
  <c r="L109" i="1" s="1"/>
  <c r="M109" i="1" s="1"/>
  <c r="J110" i="1"/>
  <c r="K110" i="1" s="1"/>
  <c r="L110" i="1" s="1"/>
  <c r="M110" i="1" s="1"/>
  <c r="J111" i="1"/>
  <c r="K111" i="1" s="1"/>
  <c r="L111" i="1" s="1"/>
  <c r="M111" i="1"/>
  <c r="J112" i="1"/>
  <c r="K112" i="1"/>
  <c r="L112" i="1" s="1"/>
  <c r="M112" i="1" s="1"/>
  <c r="J113" i="1"/>
  <c r="K113" i="1" s="1"/>
  <c r="L113" i="1" s="1"/>
  <c r="M113" i="1" s="1"/>
  <c r="J114" i="1"/>
  <c r="K114" i="1"/>
  <c r="L114" i="1" s="1"/>
  <c r="M114" i="1"/>
  <c r="J115" i="1"/>
  <c r="K115" i="1" s="1"/>
  <c r="L115" i="1" s="1"/>
  <c r="M115" i="1"/>
  <c r="J116" i="1"/>
  <c r="K116" i="1"/>
  <c r="L116" i="1" s="1"/>
  <c r="M116" i="1" s="1"/>
  <c r="J117" i="1"/>
  <c r="K117" i="1" s="1"/>
  <c r="L117" i="1" s="1"/>
  <c r="M117" i="1"/>
  <c r="J118" i="1"/>
  <c r="K118" i="1" s="1"/>
  <c r="L118" i="1" s="1"/>
  <c r="M118" i="1" s="1"/>
  <c r="J119" i="1"/>
  <c r="K119" i="1" s="1"/>
  <c r="L119" i="1" s="1"/>
  <c r="M119" i="1"/>
  <c r="J120" i="1"/>
  <c r="K120" i="1"/>
  <c r="L120" i="1" s="1"/>
  <c r="M120" i="1"/>
  <c r="J121" i="1"/>
  <c r="K121" i="1" s="1"/>
  <c r="L121" i="1" s="1"/>
  <c r="M121" i="1" s="1"/>
  <c r="J122" i="1"/>
  <c r="K122" i="1" s="1"/>
  <c r="L122" i="1" s="1"/>
  <c r="M122" i="1" s="1"/>
  <c r="J123" i="1"/>
  <c r="K123" i="1" s="1"/>
  <c r="L123" i="1" s="1"/>
  <c r="M123" i="1"/>
  <c r="J124" i="1"/>
  <c r="K124" i="1"/>
  <c r="L124" i="1" s="1"/>
  <c r="M124" i="1" s="1"/>
  <c r="J125" i="1"/>
  <c r="K125" i="1" s="1"/>
  <c r="L125" i="1" s="1"/>
  <c r="M125" i="1" s="1"/>
  <c r="J126" i="1"/>
  <c r="K126" i="1" s="1"/>
  <c r="L126" i="1" s="1"/>
  <c r="M126" i="1" s="1"/>
  <c r="J127" i="1"/>
  <c r="K127" i="1" s="1"/>
  <c r="L127" i="1" s="1"/>
  <c r="M127" i="1"/>
  <c r="J128" i="1"/>
  <c r="K128" i="1"/>
  <c r="L128" i="1" s="1"/>
  <c r="M128" i="1" s="1"/>
  <c r="J129" i="1"/>
  <c r="K129" i="1" s="1"/>
  <c r="L129" i="1" s="1"/>
  <c r="M129" i="1" s="1"/>
  <c r="J130" i="1"/>
  <c r="K130" i="1"/>
  <c r="L130" i="1" s="1"/>
  <c r="M130" i="1"/>
  <c r="J131" i="1"/>
  <c r="K131" i="1" s="1"/>
  <c r="L131" i="1" s="1"/>
  <c r="M131" i="1"/>
  <c r="J132" i="1"/>
  <c r="K132" i="1"/>
  <c r="L132" i="1" s="1"/>
  <c r="M132" i="1" s="1"/>
  <c r="J133" i="1"/>
  <c r="K133" i="1" s="1"/>
  <c r="L133" i="1" s="1"/>
  <c r="M133" i="1"/>
  <c r="J134" i="1"/>
  <c r="K134" i="1" s="1"/>
  <c r="L134" i="1" s="1"/>
  <c r="M134" i="1" s="1"/>
  <c r="J135" i="1"/>
  <c r="K135" i="1" s="1"/>
  <c r="L135" i="1" s="1"/>
  <c r="M135" i="1"/>
  <c r="J136" i="1"/>
  <c r="K136" i="1"/>
  <c r="L136" i="1" s="1"/>
  <c r="M136" i="1"/>
  <c r="J137" i="1"/>
  <c r="K137" i="1" s="1"/>
  <c r="L137" i="1" s="1"/>
  <c r="M137" i="1" s="1"/>
  <c r="J138" i="1"/>
  <c r="K138" i="1" s="1"/>
  <c r="L138" i="1" s="1"/>
  <c r="M138" i="1" s="1"/>
  <c r="J139" i="1"/>
  <c r="K139" i="1" s="1"/>
  <c r="L139" i="1" s="1"/>
  <c r="M139" i="1"/>
  <c r="J140" i="1"/>
  <c r="K140" i="1"/>
  <c r="L140" i="1" s="1"/>
  <c r="M140" i="1" s="1"/>
  <c r="J141" i="1"/>
  <c r="K141" i="1" s="1"/>
  <c r="L141" i="1" s="1"/>
  <c r="M141" i="1" s="1"/>
  <c r="J142" i="1"/>
  <c r="K142" i="1" s="1"/>
  <c r="L142" i="1" s="1"/>
  <c r="M142" i="1" s="1"/>
  <c r="J143" i="1"/>
  <c r="K143" i="1" s="1"/>
  <c r="L143" i="1" s="1"/>
  <c r="M143" i="1"/>
  <c r="J144" i="1"/>
  <c r="K144" i="1"/>
  <c r="L144" i="1" s="1"/>
  <c r="M144" i="1" s="1"/>
  <c r="J145" i="1"/>
  <c r="K145" i="1" s="1"/>
  <c r="L145" i="1" s="1"/>
  <c r="M145" i="1" s="1"/>
  <c r="J146" i="1"/>
  <c r="K146" i="1"/>
  <c r="L146" i="1" s="1"/>
  <c r="M146" i="1"/>
  <c r="J147" i="1"/>
  <c r="K147" i="1" s="1"/>
  <c r="L147" i="1" s="1"/>
  <c r="M147" i="1"/>
  <c r="J148" i="1"/>
  <c r="K148" i="1"/>
  <c r="L148" i="1" s="1"/>
  <c r="M148" i="1" s="1"/>
  <c r="J149" i="1"/>
  <c r="K149" i="1" s="1"/>
  <c r="L149" i="1" s="1"/>
  <c r="M149" i="1"/>
  <c r="J150" i="1"/>
  <c r="K150" i="1" s="1"/>
  <c r="L150" i="1" s="1"/>
  <c r="M150" i="1" s="1"/>
  <c r="J151" i="1"/>
  <c r="K151" i="1" s="1"/>
  <c r="L151" i="1" s="1"/>
  <c r="M151" i="1"/>
  <c r="J152" i="1"/>
  <c r="K152" i="1"/>
  <c r="L152" i="1" s="1"/>
  <c r="M152" i="1"/>
  <c r="J153" i="1"/>
  <c r="K153" i="1" s="1"/>
  <c r="L153" i="1" s="1"/>
  <c r="M153" i="1" s="1"/>
  <c r="J154" i="1"/>
  <c r="K154" i="1" s="1"/>
  <c r="L154" i="1" s="1"/>
  <c r="M154" i="1" s="1"/>
  <c r="J155" i="1"/>
  <c r="K155" i="1" s="1"/>
  <c r="L155" i="1" s="1"/>
  <c r="M155" i="1"/>
  <c r="J156" i="1"/>
  <c r="K156" i="1"/>
  <c r="L156" i="1" s="1"/>
  <c r="M156" i="1" s="1"/>
  <c r="J157" i="1"/>
  <c r="K157" i="1" s="1"/>
  <c r="L157" i="1" s="1"/>
  <c r="M157" i="1" s="1"/>
  <c r="J158" i="1"/>
  <c r="K158" i="1" s="1"/>
  <c r="L158" i="1" s="1"/>
  <c r="M158" i="1" s="1"/>
  <c r="J159" i="1"/>
  <c r="K159" i="1" s="1"/>
  <c r="L159" i="1" s="1"/>
  <c r="M159" i="1"/>
  <c r="J160" i="1"/>
  <c r="K160" i="1"/>
  <c r="L160" i="1" s="1"/>
  <c r="M160" i="1" s="1"/>
  <c r="J161" i="1"/>
  <c r="K161" i="1" s="1"/>
  <c r="L161" i="1" s="1"/>
  <c r="M161" i="1" s="1"/>
  <c r="J162" i="1"/>
  <c r="K162" i="1"/>
  <c r="L162" i="1" s="1"/>
  <c r="M162" i="1"/>
  <c r="J163" i="1"/>
  <c r="K163" i="1" s="1"/>
  <c r="L163" i="1" s="1"/>
  <c r="M163" i="1"/>
  <c r="J164" i="1"/>
  <c r="K164" i="1"/>
  <c r="L164" i="1" s="1"/>
  <c r="M164" i="1" s="1"/>
  <c r="J165" i="1"/>
  <c r="K165" i="1" s="1"/>
  <c r="L165" i="1" s="1"/>
  <c r="M165" i="1"/>
  <c r="J166" i="1"/>
  <c r="K166" i="1" s="1"/>
  <c r="L166" i="1" s="1"/>
  <c r="M166" i="1" s="1"/>
  <c r="J167" i="1"/>
  <c r="K167" i="1" s="1"/>
  <c r="L167" i="1" s="1"/>
  <c r="M167" i="1"/>
  <c r="J168" i="1"/>
  <c r="K168" i="1"/>
  <c r="L168" i="1" s="1"/>
  <c r="M168" i="1"/>
  <c r="J169" i="1"/>
  <c r="K169" i="1" s="1"/>
  <c r="L169" i="1" s="1"/>
  <c r="M169" i="1" s="1"/>
  <c r="J170" i="1"/>
  <c r="K170" i="1" s="1"/>
  <c r="L170" i="1" s="1"/>
  <c r="M170" i="1" s="1"/>
  <c r="J171" i="1"/>
  <c r="K171" i="1" s="1"/>
  <c r="L171" i="1" s="1"/>
  <c r="M171" i="1"/>
  <c r="J172" i="1"/>
  <c r="K172" i="1"/>
  <c r="L172" i="1" s="1"/>
  <c r="M172" i="1" s="1"/>
  <c r="J173" i="1"/>
  <c r="K173" i="1" s="1"/>
  <c r="L173" i="1"/>
  <c r="M173" i="1" s="1"/>
  <c r="J174" i="1"/>
  <c r="K174" i="1"/>
  <c r="L174" i="1"/>
  <c r="M174" i="1" s="1"/>
  <c r="J175" i="1"/>
  <c r="K175" i="1" s="1"/>
  <c r="L175" i="1" s="1"/>
  <c r="M175" i="1" s="1"/>
  <c r="J176" i="1"/>
  <c r="K176" i="1"/>
  <c r="L176" i="1"/>
  <c r="M176" i="1"/>
  <c r="J177" i="1"/>
  <c r="K177" i="1"/>
  <c r="L177" i="1" s="1"/>
  <c r="M177" i="1" s="1"/>
  <c r="J178" i="1"/>
  <c r="K178" i="1"/>
  <c r="L178" i="1"/>
  <c r="M178" i="1"/>
  <c r="J179" i="1"/>
  <c r="K179" i="1"/>
  <c r="L179" i="1" s="1"/>
  <c r="M179" i="1" s="1"/>
  <c r="J180" i="1"/>
  <c r="K180" i="1"/>
  <c r="L180" i="1"/>
  <c r="M180" i="1"/>
  <c r="J181" i="1"/>
  <c r="K181" i="1"/>
  <c r="L181" i="1" s="1"/>
  <c r="M181" i="1" s="1"/>
  <c r="J182" i="1"/>
  <c r="K182" i="1"/>
  <c r="L182" i="1"/>
  <c r="M182" i="1"/>
  <c r="J183" i="1"/>
  <c r="K183" i="1"/>
  <c r="L183" i="1" s="1"/>
  <c r="M183" i="1" s="1"/>
  <c r="J184" i="1"/>
  <c r="K184" i="1"/>
  <c r="L184" i="1"/>
  <c r="M184" i="1"/>
  <c r="J185" i="1"/>
  <c r="K185" i="1"/>
  <c r="L185" i="1" s="1"/>
  <c r="M185" i="1" s="1"/>
  <c r="J186" i="1"/>
  <c r="K186" i="1"/>
  <c r="L186" i="1"/>
  <c r="M186" i="1"/>
  <c r="J187" i="1"/>
  <c r="K187" i="1"/>
  <c r="L187" i="1" s="1"/>
  <c r="M187" i="1" s="1"/>
  <c r="J188" i="1"/>
  <c r="K188" i="1"/>
  <c r="L188" i="1"/>
  <c r="M188" i="1"/>
  <c r="J189" i="1"/>
  <c r="K189" i="1"/>
  <c r="L189" i="1" s="1"/>
  <c r="M189" i="1" s="1"/>
  <c r="J190" i="1"/>
  <c r="K190" i="1"/>
  <c r="L190" i="1"/>
  <c r="M190" i="1"/>
  <c r="J191" i="1"/>
  <c r="K191" i="1"/>
  <c r="L191" i="1" s="1"/>
  <c r="M191" i="1" s="1"/>
  <c r="J192" i="1"/>
  <c r="K192" i="1"/>
  <c r="L192" i="1"/>
  <c r="M192" i="1"/>
  <c r="J193" i="1"/>
  <c r="K193" i="1"/>
  <c r="L193" i="1" s="1"/>
  <c r="M193" i="1" s="1"/>
  <c r="J194" i="1"/>
  <c r="K194" i="1"/>
  <c r="L194" i="1"/>
  <c r="M194" i="1"/>
  <c r="J195" i="1"/>
  <c r="K195" i="1"/>
  <c r="L195" i="1" s="1"/>
  <c r="M195" i="1" s="1"/>
  <c r="J196" i="1"/>
  <c r="K196" i="1"/>
  <c r="L196" i="1"/>
  <c r="M196" i="1"/>
  <c r="J197" i="1"/>
  <c r="K197" i="1"/>
  <c r="L197" i="1" s="1"/>
  <c r="M197" i="1" s="1"/>
  <c r="J198" i="1"/>
  <c r="K198" i="1"/>
  <c r="L198" i="1"/>
  <c r="M198" i="1"/>
  <c r="J199" i="1"/>
  <c r="K199" i="1"/>
  <c r="L199" i="1" s="1"/>
  <c r="M199" i="1" s="1"/>
  <c r="J200" i="1"/>
  <c r="K200" i="1"/>
  <c r="L200" i="1"/>
  <c r="M200" i="1"/>
  <c r="J201" i="1"/>
  <c r="K201" i="1"/>
  <c r="L201" i="1" s="1"/>
  <c r="M201" i="1" s="1"/>
  <c r="J202" i="1"/>
  <c r="K202" i="1"/>
  <c r="L202" i="1"/>
  <c r="M202" i="1"/>
  <c r="J203" i="1"/>
  <c r="K203" i="1"/>
  <c r="L203" i="1" s="1"/>
  <c r="M203" i="1" s="1"/>
  <c r="J204" i="1"/>
  <c r="K204" i="1"/>
  <c r="L204" i="1"/>
  <c r="M204" i="1"/>
  <c r="J205" i="1"/>
  <c r="K205" i="1"/>
  <c r="L205" i="1" s="1"/>
  <c r="M205" i="1" s="1"/>
  <c r="J206" i="1"/>
  <c r="K206" i="1"/>
  <c r="L206" i="1"/>
  <c r="M206" i="1"/>
  <c r="J207" i="1"/>
  <c r="K207" i="1"/>
  <c r="L207" i="1" s="1"/>
  <c r="M207" i="1" s="1"/>
  <c r="J208" i="1"/>
  <c r="K208" i="1"/>
  <c r="L208" i="1"/>
  <c r="M208" i="1"/>
  <c r="J209" i="1"/>
  <c r="K209" i="1"/>
  <c r="L209" i="1" s="1"/>
  <c r="M209" i="1" s="1"/>
  <c r="J210" i="1"/>
  <c r="K210" i="1"/>
  <c r="L210" i="1"/>
  <c r="M210" i="1"/>
  <c r="J211" i="1"/>
  <c r="K211" i="1"/>
  <c r="L211" i="1" s="1"/>
  <c r="M211" i="1" s="1"/>
  <c r="J212" i="1"/>
  <c r="K212" i="1"/>
  <c r="L212" i="1"/>
  <c r="M212" i="1"/>
  <c r="J213" i="1"/>
  <c r="K213" i="1"/>
  <c r="L213" i="1" s="1"/>
  <c r="M213" i="1" s="1"/>
  <c r="J214" i="1"/>
  <c r="K214" i="1"/>
  <c r="L214" i="1"/>
  <c r="M214" i="1"/>
  <c r="J215" i="1"/>
  <c r="K215" i="1"/>
  <c r="L215" i="1" s="1"/>
  <c r="M215" i="1" s="1"/>
  <c r="J216" i="1"/>
  <c r="K216" i="1"/>
  <c r="L216" i="1"/>
  <c r="M216" i="1"/>
  <c r="J217" i="1"/>
  <c r="K217" i="1"/>
  <c r="L217" i="1" s="1"/>
  <c r="M217" i="1" s="1"/>
  <c r="J218" i="1"/>
  <c r="K218" i="1"/>
  <c r="L218" i="1"/>
  <c r="M218" i="1"/>
  <c r="J219" i="1"/>
  <c r="K219" i="1"/>
  <c r="L219" i="1" s="1"/>
  <c r="M219" i="1" s="1"/>
  <c r="J220" i="1"/>
  <c r="K220" i="1"/>
  <c r="L220" i="1"/>
  <c r="M220" i="1"/>
  <c r="J221" i="1"/>
  <c r="K221" i="1"/>
  <c r="L221" i="1" s="1"/>
  <c r="M221" i="1" s="1"/>
  <c r="Z576" i="2"/>
  <c r="Y576" i="2"/>
  <c r="K576" i="2"/>
  <c r="Y575" i="2"/>
  <c r="Y574" i="2"/>
  <c r="Y573" i="2"/>
  <c r="Y572" i="2"/>
  <c r="Y571" i="2"/>
  <c r="Y570" i="2"/>
  <c r="Y569" i="2"/>
  <c r="Y568" i="2"/>
  <c r="Y567" i="2"/>
  <c r="Y566" i="2"/>
  <c r="Y565" i="2"/>
  <c r="Y564" i="2"/>
  <c r="Y563" i="2"/>
  <c r="Y562" i="2"/>
  <c r="Y561" i="2"/>
  <c r="Y560" i="2"/>
  <c r="Y559" i="2"/>
  <c r="Y558" i="2"/>
  <c r="Y557" i="2"/>
  <c r="Y556" i="2"/>
  <c r="Y555" i="2"/>
  <c r="Y554" i="2"/>
  <c r="Y553" i="2"/>
  <c r="Y552" i="2"/>
  <c r="Y551" i="2"/>
  <c r="Y550" i="2"/>
  <c r="Y549" i="2"/>
  <c r="Y548" i="2"/>
  <c r="Y547" i="2"/>
  <c r="Y546" i="2"/>
  <c r="Y545" i="2"/>
  <c r="Y544" i="2"/>
  <c r="Y543" i="2"/>
  <c r="Y542" i="2"/>
  <c r="Y541" i="2"/>
  <c r="Y540" i="2"/>
  <c r="Y539" i="2"/>
  <c r="Y538" i="2"/>
  <c r="Y537" i="2"/>
  <c r="Y536" i="2"/>
  <c r="Y535" i="2"/>
  <c r="Y534" i="2"/>
  <c r="Y533" i="2"/>
  <c r="Y532" i="2"/>
  <c r="Y531" i="2"/>
  <c r="Y530" i="2"/>
  <c r="Y529" i="2"/>
  <c r="Y528" i="2"/>
  <c r="Y527" i="2"/>
  <c r="Y526" i="2"/>
  <c r="Y525" i="2"/>
  <c r="Y524" i="2"/>
  <c r="Y523" i="2"/>
  <c r="Y522" i="2"/>
  <c r="Y521" i="2"/>
  <c r="Y520" i="2"/>
  <c r="Y519" i="2"/>
  <c r="Y518" i="2"/>
  <c r="Y517" i="2"/>
  <c r="Y516" i="2"/>
  <c r="Y515" i="2"/>
  <c r="Y514" i="2"/>
  <c r="Y513" i="2"/>
  <c r="Y512" i="2"/>
  <c r="Y511" i="2"/>
  <c r="Y510" i="2"/>
  <c r="Y509" i="2"/>
  <c r="Y508" i="2"/>
  <c r="Y507" i="2"/>
  <c r="Y506" i="2"/>
  <c r="W506" i="2"/>
  <c r="W507" i="2" s="1"/>
  <c r="W508" i="2" s="1"/>
  <c r="W509" i="2" s="1"/>
  <c r="W510" i="2" s="1"/>
  <c r="W511" i="2" s="1"/>
  <c r="W512" i="2" s="1"/>
  <c r="W513" i="2" s="1"/>
  <c r="W514" i="2" s="1"/>
  <c r="W515" i="2" s="1"/>
  <c r="W516" i="2" s="1"/>
  <c r="W517" i="2" s="1"/>
  <c r="W518" i="2" s="1"/>
  <c r="W519" i="2" s="1"/>
  <c r="W520" i="2" s="1"/>
  <c r="W521" i="2" s="1"/>
  <c r="W522" i="2" s="1"/>
  <c r="W523" i="2" s="1"/>
  <c r="W524" i="2" s="1"/>
  <c r="W525" i="2" s="1"/>
  <c r="W526" i="2" s="1"/>
  <c r="W527" i="2" s="1"/>
  <c r="W528" i="2" s="1"/>
  <c r="W529" i="2" s="1"/>
  <c r="W530" i="2" s="1"/>
  <c r="W531" i="2" s="1"/>
  <c r="W532" i="2" s="1"/>
  <c r="W533" i="2" s="1"/>
  <c r="W534" i="2" s="1"/>
  <c r="W535" i="2" s="1"/>
  <c r="W536" i="2" s="1"/>
  <c r="W537" i="2" s="1"/>
  <c r="W538" i="2" s="1"/>
  <c r="W539" i="2" s="1"/>
  <c r="W540" i="2" s="1"/>
  <c r="W541" i="2" s="1"/>
  <c r="W542" i="2" s="1"/>
  <c r="W543" i="2" s="1"/>
  <c r="W544" i="2" s="1"/>
  <c r="W545" i="2" s="1"/>
  <c r="W546" i="2" s="1"/>
  <c r="W547" i="2" s="1"/>
  <c r="W548" i="2" s="1"/>
  <c r="W549" i="2" s="1"/>
  <c r="W550" i="2" s="1"/>
  <c r="W551" i="2" s="1"/>
  <c r="W552" i="2" s="1"/>
  <c r="W553" i="2" s="1"/>
  <c r="W554" i="2" s="1"/>
  <c r="W555" i="2" s="1"/>
  <c r="W556" i="2" s="1"/>
  <c r="W557" i="2" s="1"/>
  <c r="W558" i="2" s="1"/>
  <c r="W559" i="2" s="1"/>
  <c r="W560" i="2" s="1"/>
  <c r="W561" i="2" s="1"/>
  <c r="W562" i="2" s="1"/>
  <c r="W563" i="2" s="1"/>
  <c r="W564" i="2" s="1"/>
  <c r="W565" i="2" s="1"/>
  <c r="W566" i="2" s="1"/>
  <c r="W567" i="2" s="1"/>
  <c r="W568" i="2" s="1"/>
  <c r="W569" i="2" s="1"/>
  <c r="W570" i="2" s="1"/>
  <c r="W571" i="2" s="1"/>
  <c r="W572" i="2" s="1"/>
  <c r="W573" i="2" s="1"/>
  <c r="W574" i="2" s="1"/>
  <c r="W575" i="2" s="1"/>
  <c r="W576" i="2" s="1"/>
  <c r="Y505" i="2"/>
  <c r="W505" i="2"/>
  <c r="Y504" i="2"/>
  <c r="W504" i="2"/>
  <c r="A3" i="5" l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J6" i="1" l="1"/>
  <c r="K6" i="1" s="1"/>
  <c r="L6" i="1" s="1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43" i="4"/>
  <c r="M6" i="1" l="1"/>
  <c r="P1" i="1"/>
  <c r="W12" i="2" l="1"/>
  <c r="W13" i="2" s="1"/>
  <c r="W14" i="2" l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W15" i="2" l="1"/>
  <c r="B11" i="2"/>
  <c r="A12" i="2"/>
  <c r="A13" i="2" l="1"/>
  <c r="Y12" i="2"/>
  <c r="J11" i="2"/>
  <c r="W16" i="2"/>
  <c r="B12" i="2"/>
  <c r="C11" i="2"/>
  <c r="A14" i="2" l="1"/>
  <c r="Y13" i="2"/>
  <c r="T12" i="2"/>
  <c r="U11" i="2" s="1"/>
  <c r="J12" i="2"/>
  <c r="W17" i="2"/>
  <c r="D11" i="2"/>
  <c r="I11" i="2"/>
  <c r="E11" i="2"/>
  <c r="R12" i="2"/>
  <c r="C12" i="2"/>
  <c r="B13" i="2"/>
  <c r="A15" i="2" l="1"/>
  <c r="Y14" i="2"/>
  <c r="F11" i="2"/>
  <c r="G11" i="2" s="1"/>
  <c r="J13" i="2"/>
  <c r="K12" i="2" s="1"/>
  <c r="T13" i="2"/>
  <c r="U12" i="2" s="1"/>
  <c r="W18" i="2"/>
  <c r="R13" i="2"/>
  <c r="B14" i="2"/>
  <c r="C13" i="2"/>
  <c r="E12" i="2"/>
  <c r="D12" i="2"/>
  <c r="I12" i="2"/>
  <c r="O12" i="2"/>
  <c r="Q12" i="2" s="1"/>
  <c r="N12" i="2"/>
  <c r="A16" i="2" l="1"/>
  <c r="Y15" i="2"/>
  <c r="F12" i="2"/>
  <c r="G12" i="2" s="1"/>
  <c r="H12" i="2" s="1"/>
  <c r="J14" i="2"/>
  <c r="K13" i="2" s="1"/>
  <c r="T14" i="2"/>
  <c r="U13" i="2" s="1"/>
  <c r="V12" i="2"/>
  <c r="X12" i="2" s="1"/>
  <c r="S12" i="2"/>
  <c r="W19" i="2"/>
  <c r="I13" i="2"/>
  <c r="E13" i="2"/>
  <c r="D13" i="2"/>
  <c r="R14" i="2"/>
  <c r="B15" i="2"/>
  <c r="C14" i="2"/>
  <c r="A17" i="2" l="1"/>
  <c r="Y16" i="2"/>
  <c r="L12" i="2"/>
  <c r="M12" i="2" s="1"/>
  <c r="F13" i="2"/>
  <c r="G13" i="2" s="1"/>
  <c r="J15" i="2"/>
  <c r="K14" i="2" s="1"/>
  <c r="T15" i="2"/>
  <c r="U14" i="2" s="1"/>
  <c r="W20" i="2"/>
  <c r="D14" i="2"/>
  <c r="I14" i="2"/>
  <c r="E14" i="2"/>
  <c r="R15" i="2"/>
  <c r="C15" i="2"/>
  <c r="B16" i="2"/>
  <c r="H13" i="2" l="1"/>
  <c r="A18" i="2"/>
  <c r="Y17" i="2"/>
  <c r="P12" i="2"/>
  <c r="AA12" i="2" s="1"/>
  <c r="F14" i="2"/>
  <c r="G14" i="2" s="1"/>
  <c r="J16" i="2"/>
  <c r="K15" i="2" s="1"/>
  <c r="T16" i="2"/>
  <c r="U15" i="2" s="1"/>
  <c r="W21" i="2"/>
  <c r="N13" i="2"/>
  <c r="O13" i="2"/>
  <c r="Q13" i="2" s="1"/>
  <c r="R16" i="2"/>
  <c r="B17" i="2"/>
  <c r="C16" i="2"/>
  <c r="I15" i="2"/>
  <c r="E15" i="2"/>
  <c r="D15" i="2"/>
  <c r="A19" i="2" l="1"/>
  <c r="Y18" i="2"/>
  <c r="F15" i="2"/>
  <c r="G15" i="2" s="1"/>
  <c r="J17" i="2"/>
  <c r="K16" i="2" s="1"/>
  <c r="T17" i="2"/>
  <c r="U16" i="2" s="1"/>
  <c r="V13" i="2"/>
  <c r="X13" i="2" s="1"/>
  <c r="S13" i="2"/>
  <c r="W22" i="2"/>
  <c r="P13" i="2"/>
  <c r="AA13" i="2" s="1"/>
  <c r="L13" i="2"/>
  <c r="M13" i="2" s="1"/>
  <c r="H14" i="2" s="1"/>
  <c r="I16" i="2"/>
  <c r="D16" i="2"/>
  <c r="E16" i="2"/>
  <c r="R17" i="2"/>
  <c r="B18" i="2"/>
  <c r="C17" i="2"/>
  <c r="A20" i="2" l="1"/>
  <c r="Y19" i="2"/>
  <c r="F16" i="2"/>
  <c r="G16" i="2" s="1"/>
  <c r="J18" i="2"/>
  <c r="K17" i="2" s="1"/>
  <c r="T18" i="2"/>
  <c r="U17" i="2" s="1"/>
  <c r="N14" i="2"/>
  <c r="O14" i="2"/>
  <c r="Q14" i="2" s="1"/>
  <c r="W23" i="2"/>
  <c r="I17" i="2"/>
  <c r="D17" i="2"/>
  <c r="E17" i="2"/>
  <c r="R18" i="2"/>
  <c r="C18" i="2"/>
  <c r="B19" i="2"/>
  <c r="A21" i="2" l="1"/>
  <c r="Y20" i="2"/>
  <c r="F17" i="2"/>
  <c r="G17" i="2" s="1"/>
  <c r="T19" i="2"/>
  <c r="U18" i="2" s="1"/>
  <c r="V14" i="2"/>
  <c r="X14" i="2" s="1"/>
  <c r="S14" i="2"/>
  <c r="J19" i="2"/>
  <c r="K18" i="2" s="1"/>
  <c r="L14" i="2"/>
  <c r="M14" i="2" s="1"/>
  <c r="H15" i="2" s="1"/>
  <c r="P14" i="2"/>
  <c r="AA14" i="2" s="1"/>
  <c r="W24" i="2"/>
  <c r="R19" i="2"/>
  <c r="B20" i="2"/>
  <c r="C19" i="2"/>
  <c r="D18" i="2"/>
  <c r="E18" i="2"/>
  <c r="I18" i="2"/>
  <c r="A22" i="2" l="1"/>
  <c r="Y21" i="2"/>
  <c r="F18" i="2"/>
  <c r="G18" i="2" s="1"/>
  <c r="T20" i="2"/>
  <c r="U19" i="2" s="1"/>
  <c r="J20" i="2"/>
  <c r="K19" i="2" s="1"/>
  <c r="O15" i="2"/>
  <c r="Q15" i="2" s="1"/>
  <c r="N15" i="2"/>
  <c r="P15" i="2"/>
  <c r="W25" i="2"/>
  <c r="D19" i="2"/>
  <c r="I19" i="2"/>
  <c r="E19" i="2"/>
  <c r="R20" i="2"/>
  <c r="C20" i="2"/>
  <c r="B21" i="2"/>
  <c r="A23" i="2" l="1"/>
  <c r="Y22" i="2"/>
  <c r="F19" i="2"/>
  <c r="G19" i="2" s="1"/>
  <c r="T21" i="2"/>
  <c r="U20" i="2" s="1"/>
  <c r="S15" i="2"/>
  <c r="AA15" i="2"/>
  <c r="J21" i="2"/>
  <c r="K20" i="2" s="1"/>
  <c r="W26" i="2"/>
  <c r="L15" i="2"/>
  <c r="M15" i="2" s="1"/>
  <c r="H16" i="2" s="1"/>
  <c r="V15" i="2"/>
  <c r="X15" i="2" s="1"/>
  <c r="R21" i="2"/>
  <c r="B22" i="2"/>
  <c r="C21" i="2"/>
  <c r="D20" i="2"/>
  <c r="E20" i="2"/>
  <c r="I20" i="2"/>
  <c r="A24" i="2" l="1"/>
  <c r="Y23" i="2"/>
  <c r="F20" i="2"/>
  <c r="G20" i="2" s="1"/>
  <c r="J22" i="2"/>
  <c r="K21" i="2" s="1"/>
  <c r="T22" i="2"/>
  <c r="U21" i="2" s="1"/>
  <c r="O16" i="2"/>
  <c r="Q16" i="2" s="1"/>
  <c r="P16" i="2"/>
  <c r="N16" i="2"/>
  <c r="W27" i="2"/>
  <c r="I21" i="2"/>
  <c r="E21" i="2"/>
  <c r="D21" i="2"/>
  <c r="R22" i="2"/>
  <c r="C22" i="2"/>
  <c r="B23" i="2"/>
  <c r="A25" i="2" l="1"/>
  <c r="Y24" i="2"/>
  <c r="F21" i="2"/>
  <c r="G21" i="2" s="1"/>
  <c r="J23" i="2"/>
  <c r="K22" i="2" s="1"/>
  <c r="T23" i="2"/>
  <c r="U22" i="2" s="1"/>
  <c r="S16" i="2"/>
  <c r="V16" i="2"/>
  <c r="X16" i="2" s="1"/>
  <c r="AA16" i="2"/>
  <c r="W28" i="2"/>
  <c r="L16" i="2"/>
  <c r="M16" i="2" s="1"/>
  <c r="H17" i="2" s="1"/>
  <c r="R23" i="2"/>
  <c r="B24" i="2"/>
  <c r="C23" i="2"/>
  <c r="D22" i="2"/>
  <c r="I22" i="2"/>
  <c r="E22" i="2"/>
  <c r="A26" i="2" l="1"/>
  <c r="Y25" i="2"/>
  <c r="F22" i="2"/>
  <c r="G22" i="2" s="1"/>
  <c r="J24" i="2"/>
  <c r="K23" i="2" s="1"/>
  <c r="T24" i="2"/>
  <c r="U23" i="2" s="1"/>
  <c r="N17" i="2"/>
  <c r="O17" i="2"/>
  <c r="Q17" i="2" s="1"/>
  <c r="W29" i="2"/>
  <c r="R24" i="2"/>
  <c r="B25" i="2"/>
  <c r="C24" i="2"/>
  <c r="E23" i="2"/>
  <c r="I23" i="2"/>
  <c r="D23" i="2"/>
  <c r="A27" i="2" l="1"/>
  <c r="Y26" i="2"/>
  <c r="F23" i="2"/>
  <c r="G23" i="2" s="1"/>
  <c r="J25" i="2"/>
  <c r="K24" i="2" s="1"/>
  <c r="T25" i="2"/>
  <c r="U24" i="2" s="1"/>
  <c r="S17" i="2"/>
  <c r="W30" i="2"/>
  <c r="P17" i="2"/>
  <c r="AA17" i="2" s="1"/>
  <c r="L17" i="2"/>
  <c r="M17" i="2" s="1"/>
  <c r="H18" i="2" s="1"/>
  <c r="V17" i="2"/>
  <c r="X17" i="2" s="1"/>
  <c r="I24" i="2"/>
  <c r="D24" i="2"/>
  <c r="E24" i="2"/>
  <c r="R25" i="2"/>
  <c r="B26" i="2"/>
  <c r="C25" i="2"/>
  <c r="A28" i="2" l="1"/>
  <c r="Y27" i="2"/>
  <c r="F24" i="2"/>
  <c r="G24" i="2" s="1"/>
  <c r="J26" i="2"/>
  <c r="K25" i="2" s="1"/>
  <c r="T26" i="2"/>
  <c r="U25" i="2" s="1"/>
  <c r="O18" i="2"/>
  <c r="Q18" i="2" s="1"/>
  <c r="N18" i="2"/>
  <c r="W31" i="2"/>
  <c r="I25" i="2"/>
  <c r="E25" i="2"/>
  <c r="D25" i="2"/>
  <c r="R26" i="2"/>
  <c r="C26" i="2"/>
  <c r="B27" i="2"/>
  <c r="A29" i="2" l="1"/>
  <c r="Y28" i="2"/>
  <c r="F25" i="2"/>
  <c r="G25" i="2" s="1"/>
  <c r="T27" i="2"/>
  <c r="U26" i="2" s="1"/>
  <c r="S18" i="2"/>
  <c r="J27" i="2"/>
  <c r="K26" i="2" s="1"/>
  <c r="W32" i="2"/>
  <c r="V18" i="2"/>
  <c r="X18" i="2" s="1"/>
  <c r="P18" i="2"/>
  <c r="AA18" i="2" s="1"/>
  <c r="L18" i="2"/>
  <c r="M18" i="2" s="1"/>
  <c r="H19" i="2" s="1"/>
  <c r="R27" i="2"/>
  <c r="C27" i="2"/>
  <c r="B28" i="2"/>
  <c r="I26" i="2"/>
  <c r="E26" i="2"/>
  <c r="D26" i="2"/>
  <c r="A30" i="2" l="1"/>
  <c r="Y29" i="2"/>
  <c r="F26" i="2"/>
  <c r="G26" i="2" s="1"/>
  <c r="T28" i="2"/>
  <c r="U27" i="2" s="1"/>
  <c r="J28" i="2"/>
  <c r="K27" i="2" s="1"/>
  <c r="N19" i="2"/>
  <c r="P19" i="2"/>
  <c r="O19" i="2"/>
  <c r="Q19" i="2" s="1"/>
  <c r="W33" i="2"/>
  <c r="I27" i="2"/>
  <c r="D27" i="2"/>
  <c r="E27" i="2"/>
  <c r="R28" i="2"/>
  <c r="B29" i="2"/>
  <c r="C28" i="2"/>
  <c r="A31" i="2" l="1"/>
  <c r="Y30" i="2"/>
  <c r="F27" i="2"/>
  <c r="G27" i="2" s="1"/>
  <c r="J29" i="2"/>
  <c r="K28" i="2" s="1"/>
  <c r="T29" i="2"/>
  <c r="U28" i="2" s="1"/>
  <c r="S19" i="2"/>
  <c r="AA19" i="2"/>
  <c r="L19" i="2"/>
  <c r="M19" i="2" s="1"/>
  <c r="H20" i="2" s="1"/>
  <c r="W34" i="2"/>
  <c r="V19" i="2"/>
  <c r="X19" i="2" s="1"/>
  <c r="D28" i="2"/>
  <c r="E28" i="2"/>
  <c r="I28" i="2"/>
  <c r="R29" i="2"/>
  <c r="C29" i="2"/>
  <c r="B30" i="2"/>
  <c r="A32" i="2" l="1"/>
  <c r="Y31" i="2"/>
  <c r="F28" i="2"/>
  <c r="G28" i="2" s="1"/>
  <c r="J30" i="2"/>
  <c r="K29" i="2" s="1"/>
  <c r="T30" i="2"/>
  <c r="U29" i="2" s="1"/>
  <c r="P20" i="2"/>
  <c r="O20" i="2"/>
  <c r="Q20" i="2" s="1"/>
  <c r="N20" i="2"/>
  <c r="W35" i="2"/>
  <c r="R30" i="2"/>
  <c r="C30" i="2"/>
  <c r="B31" i="2"/>
  <c r="I29" i="2"/>
  <c r="E29" i="2"/>
  <c r="D29" i="2"/>
  <c r="A33" i="2" l="1"/>
  <c r="Y32" i="2"/>
  <c r="F29" i="2"/>
  <c r="G29" i="2" s="1"/>
  <c r="T31" i="2"/>
  <c r="U30" i="2" s="1"/>
  <c r="S20" i="2"/>
  <c r="AA20" i="2"/>
  <c r="L20" i="2"/>
  <c r="M20" i="2" s="1"/>
  <c r="H21" i="2" s="1"/>
  <c r="J31" i="2"/>
  <c r="K30" i="2" s="1"/>
  <c r="V20" i="2"/>
  <c r="X20" i="2" s="1"/>
  <c r="W36" i="2"/>
  <c r="R31" i="2"/>
  <c r="B32" i="2"/>
  <c r="C31" i="2"/>
  <c r="E30" i="2"/>
  <c r="D30" i="2"/>
  <c r="I30" i="2"/>
  <c r="A34" i="2" l="1"/>
  <c r="Y33" i="2"/>
  <c r="F30" i="2"/>
  <c r="G30" i="2" s="1"/>
  <c r="J32" i="2"/>
  <c r="K31" i="2" s="1"/>
  <c r="T32" i="2"/>
  <c r="U31" i="2" s="1"/>
  <c r="O21" i="2"/>
  <c r="Q21" i="2" s="1"/>
  <c r="P21" i="2"/>
  <c r="N21" i="2"/>
  <c r="W37" i="2"/>
  <c r="D31" i="2"/>
  <c r="I31" i="2"/>
  <c r="E31" i="2"/>
  <c r="R32" i="2"/>
  <c r="C32" i="2"/>
  <c r="B33" i="2"/>
  <c r="A35" i="2" l="1"/>
  <c r="Y34" i="2"/>
  <c r="F31" i="2"/>
  <c r="G31" i="2" s="1"/>
  <c r="J33" i="2"/>
  <c r="K32" i="2" s="1"/>
  <c r="T33" i="2"/>
  <c r="U32" i="2" s="1"/>
  <c r="S21" i="2"/>
  <c r="L21" i="2"/>
  <c r="M21" i="2" s="1"/>
  <c r="V21" i="2"/>
  <c r="X21" i="2" s="1"/>
  <c r="AA21" i="2"/>
  <c r="W38" i="2"/>
  <c r="R33" i="2"/>
  <c r="B34" i="2"/>
  <c r="C33" i="2"/>
  <c r="I32" i="2"/>
  <c r="D32" i="2"/>
  <c r="E32" i="2"/>
  <c r="A36" i="2" l="1"/>
  <c r="Y35" i="2"/>
  <c r="N22" i="2"/>
  <c r="S22" i="2" s="1"/>
  <c r="H22" i="2"/>
  <c r="P22" i="2" s="1"/>
  <c r="F32" i="2"/>
  <c r="G32" i="2" s="1"/>
  <c r="J34" i="2"/>
  <c r="K33" i="2" s="1"/>
  <c r="T34" i="2"/>
  <c r="U33" i="2" s="1"/>
  <c r="O22" i="2"/>
  <c r="Q22" i="2" s="1"/>
  <c r="W39" i="2"/>
  <c r="E33" i="2"/>
  <c r="I33" i="2"/>
  <c r="D33" i="2"/>
  <c r="R34" i="2"/>
  <c r="B35" i="2"/>
  <c r="C34" i="2"/>
  <c r="A37" i="2" l="1"/>
  <c r="Y36" i="2"/>
  <c r="F33" i="2"/>
  <c r="G33" i="2" s="1"/>
  <c r="T35" i="2"/>
  <c r="U34" i="2" s="1"/>
  <c r="V22" i="2"/>
  <c r="X22" i="2" s="1"/>
  <c r="L22" i="2"/>
  <c r="M22" i="2" s="1"/>
  <c r="AA22" i="2"/>
  <c r="J35" i="2"/>
  <c r="K34" i="2" s="1"/>
  <c r="W40" i="2"/>
  <c r="R35" i="2"/>
  <c r="B36" i="2"/>
  <c r="C35" i="2"/>
  <c r="D34" i="2"/>
  <c r="I34" i="2"/>
  <c r="E34" i="2"/>
  <c r="A38" i="2" l="1"/>
  <c r="Y37" i="2"/>
  <c r="O23" i="2"/>
  <c r="Q23" i="2" s="1"/>
  <c r="H23" i="2"/>
  <c r="L23" i="2" s="1"/>
  <c r="M23" i="2" s="1"/>
  <c r="H24" i="2" s="1"/>
  <c r="F34" i="2"/>
  <c r="G34" i="2" s="1"/>
  <c r="T36" i="2"/>
  <c r="U35" i="2" s="1"/>
  <c r="N23" i="2"/>
  <c r="J36" i="2"/>
  <c r="K35" i="2" s="1"/>
  <c r="W41" i="2"/>
  <c r="D35" i="2"/>
  <c r="I35" i="2"/>
  <c r="E35" i="2"/>
  <c r="R36" i="2"/>
  <c r="B37" i="2"/>
  <c r="C36" i="2"/>
  <c r="A39" i="2" l="1"/>
  <c r="Y38" i="2"/>
  <c r="F35" i="2"/>
  <c r="G35" i="2" s="1"/>
  <c r="T37" i="2"/>
  <c r="U36" i="2" s="1"/>
  <c r="V23" i="2"/>
  <c r="X23" i="2" s="1"/>
  <c r="S23" i="2"/>
  <c r="P23" i="2"/>
  <c r="AA23" i="2" s="1"/>
  <c r="J37" i="2"/>
  <c r="K36" i="2" s="1"/>
  <c r="O24" i="2"/>
  <c r="Q24" i="2" s="1"/>
  <c r="N24" i="2"/>
  <c r="W42" i="2"/>
  <c r="E36" i="2"/>
  <c r="D36" i="2"/>
  <c r="I36" i="2"/>
  <c r="R37" i="2"/>
  <c r="C37" i="2"/>
  <c r="B38" i="2"/>
  <c r="A40" i="2" l="1"/>
  <c r="Y39" i="2"/>
  <c r="F36" i="2"/>
  <c r="G36" i="2" s="1"/>
  <c r="J38" i="2"/>
  <c r="K37" i="2" s="1"/>
  <c r="T38" i="2"/>
  <c r="U37" i="2" s="1"/>
  <c r="S24" i="2"/>
  <c r="V24" i="2"/>
  <c r="X24" i="2" s="1"/>
  <c r="P24" i="2"/>
  <c r="AA24" i="2" s="1"/>
  <c r="L24" i="2"/>
  <c r="M24" i="2" s="1"/>
  <c r="H25" i="2" s="1"/>
  <c r="W43" i="2"/>
  <c r="R38" i="2"/>
  <c r="B39" i="2"/>
  <c r="C38" i="2"/>
  <c r="D37" i="2"/>
  <c r="I37" i="2"/>
  <c r="E37" i="2"/>
  <c r="A41" i="2" l="1"/>
  <c r="Y40" i="2"/>
  <c r="F37" i="2"/>
  <c r="G37" i="2" s="1"/>
  <c r="T39" i="2"/>
  <c r="U38" i="2" s="1"/>
  <c r="J39" i="2"/>
  <c r="K38" i="2" s="1"/>
  <c r="O25" i="2"/>
  <c r="Q25" i="2" s="1"/>
  <c r="N25" i="2"/>
  <c r="P25" i="2"/>
  <c r="W44" i="2"/>
  <c r="I38" i="2"/>
  <c r="D38" i="2"/>
  <c r="E38" i="2"/>
  <c r="R39" i="2"/>
  <c r="B40" i="2"/>
  <c r="C39" i="2"/>
  <c r="A42" i="2" l="1"/>
  <c r="Y41" i="2"/>
  <c r="F38" i="2"/>
  <c r="G38" i="2" s="1"/>
  <c r="J40" i="2"/>
  <c r="K39" i="2" s="1"/>
  <c r="T40" i="2"/>
  <c r="U39" i="2" s="1"/>
  <c r="S25" i="2"/>
  <c r="AA25" i="2"/>
  <c r="L25" i="2"/>
  <c r="M25" i="2" s="1"/>
  <c r="V25" i="2"/>
  <c r="X25" i="2" s="1"/>
  <c r="W45" i="2"/>
  <c r="I39" i="2"/>
  <c r="E39" i="2"/>
  <c r="D39" i="2"/>
  <c r="R40" i="2"/>
  <c r="C40" i="2"/>
  <c r="B41" i="2"/>
  <c r="A43" i="2" l="1"/>
  <c r="Y42" i="2"/>
  <c r="N26" i="2"/>
  <c r="S26" i="2" s="1"/>
  <c r="H26" i="2"/>
  <c r="P26" i="2" s="1"/>
  <c r="F39" i="2"/>
  <c r="G39" i="2" s="1"/>
  <c r="J41" i="2"/>
  <c r="K40" i="2" s="1"/>
  <c r="T41" i="2"/>
  <c r="U40" i="2" s="1"/>
  <c r="O26" i="2"/>
  <c r="Q26" i="2" s="1"/>
  <c r="W46" i="2"/>
  <c r="R41" i="2"/>
  <c r="C41" i="2"/>
  <c r="B42" i="2"/>
  <c r="I40" i="2"/>
  <c r="D40" i="2"/>
  <c r="E40" i="2"/>
  <c r="A44" i="2" l="1"/>
  <c r="Y43" i="2"/>
  <c r="F40" i="2"/>
  <c r="G40" i="2" s="1"/>
  <c r="J42" i="2"/>
  <c r="K41" i="2" s="1"/>
  <c r="T42" i="2"/>
  <c r="U41" i="2" s="1"/>
  <c r="AA26" i="2"/>
  <c r="V26" i="2"/>
  <c r="X26" i="2" s="1"/>
  <c r="L26" i="2"/>
  <c r="M26" i="2" s="1"/>
  <c r="H27" i="2" s="1"/>
  <c r="W47" i="2"/>
  <c r="E41" i="2"/>
  <c r="I41" i="2"/>
  <c r="D41" i="2"/>
  <c r="R42" i="2"/>
  <c r="B43" i="2"/>
  <c r="C42" i="2"/>
  <c r="A45" i="2" l="1"/>
  <c r="Y44" i="2"/>
  <c r="F41" i="2"/>
  <c r="G41" i="2" s="1"/>
  <c r="T43" i="2"/>
  <c r="U42" i="2" s="1"/>
  <c r="O27" i="2"/>
  <c r="Q27" i="2" s="1"/>
  <c r="P27" i="2"/>
  <c r="N27" i="2"/>
  <c r="J43" i="2"/>
  <c r="K42" i="2" s="1"/>
  <c r="W48" i="2"/>
  <c r="R43" i="2"/>
  <c r="B44" i="2"/>
  <c r="C43" i="2"/>
  <c r="I42" i="2"/>
  <c r="D42" i="2"/>
  <c r="E42" i="2"/>
  <c r="A46" i="2" l="1"/>
  <c r="Y45" i="2"/>
  <c r="F42" i="2"/>
  <c r="G42" i="2" s="1"/>
  <c r="J44" i="2"/>
  <c r="K43" i="2" s="1"/>
  <c r="T44" i="2"/>
  <c r="U43" i="2" s="1"/>
  <c r="S27" i="2"/>
  <c r="AA27" i="2"/>
  <c r="L27" i="2"/>
  <c r="M27" i="2" s="1"/>
  <c r="V27" i="2"/>
  <c r="X27" i="2" s="1"/>
  <c r="W49" i="2"/>
  <c r="I43" i="2"/>
  <c r="E43" i="2"/>
  <c r="D43" i="2"/>
  <c r="R44" i="2"/>
  <c r="B45" i="2"/>
  <c r="C44" i="2"/>
  <c r="A47" i="2" l="1"/>
  <c r="Y46" i="2"/>
  <c r="N28" i="2"/>
  <c r="S28" i="2" s="1"/>
  <c r="H28" i="2"/>
  <c r="P28" i="2" s="1"/>
  <c r="F43" i="2"/>
  <c r="G43" i="2" s="1"/>
  <c r="T45" i="2"/>
  <c r="U44" i="2" s="1"/>
  <c r="O28" i="2"/>
  <c r="Q28" i="2" s="1"/>
  <c r="J45" i="2"/>
  <c r="K44" i="2" s="1"/>
  <c r="W50" i="2"/>
  <c r="I44" i="2"/>
  <c r="D44" i="2"/>
  <c r="E44" i="2"/>
  <c r="R45" i="2"/>
  <c r="C45" i="2"/>
  <c r="B46" i="2"/>
  <c r="A48" i="2" l="1"/>
  <c r="Y47" i="2"/>
  <c r="F44" i="2"/>
  <c r="G44" i="2" s="1"/>
  <c r="J46" i="2"/>
  <c r="K45" i="2" s="1"/>
  <c r="T46" i="2"/>
  <c r="U45" i="2" s="1"/>
  <c r="L28" i="2"/>
  <c r="M28" i="2" s="1"/>
  <c r="AA28" i="2"/>
  <c r="V28" i="2"/>
  <c r="X28" i="2" s="1"/>
  <c r="W51" i="2"/>
  <c r="R46" i="2"/>
  <c r="B47" i="2"/>
  <c r="C46" i="2"/>
  <c r="I45" i="2"/>
  <c r="D45" i="2"/>
  <c r="E45" i="2"/>
  <c r="A49" i="2" l="1"/>
  <c r="Y48" i="2"/>
  <c r="O29" i="2"/>
  <c r="Q29" i="2" s="1"/>
  <c r="H29" i="2"/>
  <c r="P29" i="2" s="1"/>
  <c r="F45" i="2"/>
  <c r="G45" i="2" s="1"/>
  <c r="T47" i="2"/>
  <c r="U46" i="2" s="1"/>
  <c r="N29" i="2"/>
  <c r="J47" i="2"/>
  <c r="K46" i="2" s="1"/>
  <c r="W52" i="2"/>
  <c r="R47" i="2"/>
  <c r="B48" i="2"/>
  <c r="C47" i="2"/>
  <c r="E46" i="2"/>
  <c r="D46" i="2"/>
  <c r="I46" i="2"/>
  <c r="AA29" i="2" l="1"/>
  <c r="A50" i="2"/>
  <c r="Y49" i="2"/>
  <c r="F46" i="2"/>
  <c r="G46" i="2" s="1"/>
  <c r="J48" i="2"/>
  <c r="K47" i="2" s="1"/>
  <c r="T48" i="2"/>
  <c r="U47" i="2" s="1"/>
  <c r="S29" i="2"/>
  <c r="L29" i="2"/>
  <c r="M29" i="2" s="1"/>
  <c r="V29" i="2"/>
  <c r="X29" i="2" s="1"/>
  <c r="W53" i="2"/>
  <c r="I47" i="2"/>
  <c r="E47" i="2"/>
  <c r="D47" i="2"/>
  <c r="R48" i="2"/>
  <c r="B49" i="2"/>
  <c r="C48" i="2"/>
  <c r="A51" i="2" l="1"/>
  <c r="Y50" i="2"/>
  <c r="H30" i="2"/>
  <c r="P30" i="2" s="1"/>
  <c r="F47" i="2"/>
  <c r="G47" i="2" s="1"/>
  <c r="J49" i="2"/>
  <c r="K48" i="2" s="1"/>
  <c r="T49" i="2"/>
  <c r="U48" i="2" s="1"/>
  <c r="O30" i="2"/>
  <c r="Q30" i="2" s="1"/>
  <c r="N30" i="2"/>
  <c r="W54" i="2"/>
  <c r="I48" i="2"/>
  <c r="D48" i="2"/>
  <c r="E48" i="2"/>
  <c r="R49" i="2"/>
  <c r="B50" i="2"/>
  <c r="C49" i="2"/>
  <c r="A52" i="2" l="1"/>
  <c r="Y51" i="2"/>
  <c r="L30" i="2"/>
  <c r="M30" i="2" s="1"/>
  <c r="H31" i="2" s="1"/>
  <c r="P31" i="2" s="1"/>
  <c r="F48" i="2"/>
  <c r="G48" i="2" s="1"/>
  <c r="J50" i="2"/>
  <c r="K49" i="2" s="1"/>
  <c r="T50" i="2"/>
  <c r="U49" i="2" s="1"/>
  <c r="S30" i="2"/>
  <c r="V30" i="2"/>
  <c r="X30" i="2" s="1"/>
  <c r="AA30" i="2"/>
  <c r="W55" i="2"/>
  <c r="D49" i="2"/>
  <c r="E49" i="2"/>
  <c r="I49" i="2"/>
  <c r="R50" i="2"/>
  <c r="B51" i="2"/>
  <c r="C50" i="2"/>
  <c r="L31" i="2" l="1"/>
  <c r="M31" i="2" s="1"/>
  <c r="H32" i="2" s="1"/>
  <c r="P32" i="2" s="1"/>
  <c r="N31" i="2"/>
  <c r="S31" i="2" s="1"/>
  <c r="A53" i="2"/>
  <c r="Y52" i="2"/>
  <c r="O31" i="2"/>
  <c r="Q31" i="2" s="1"/>
  <c r="AA31" i="2" s="1"/>
  <c r="F49" i="2"/>
  <c r="G49" i="2" s="1"/>
  <c r="T51" i="2"/>
  <c r="U50" i="2" s="1"/>
  <c r="J51" i="2"/>
  <c r="K50" i="2" s="1"/>
  <c r="W56" i="2"/>
  <c r="I50" i="2"/>
  <c r="D50" i="2"/>
  <c r="E50" i="2"/>
  <c r="R51" i="2"/>
  <c r="B52" i="2"/>
  <c r="C51" i="2"/>
  <c r="O32" i="2" l="1"/>
  <c r="Q32" i="2" s="1"/>
  <c r="AA32" i="2" s="1"/>
  <c r="N32" i="2"/>
  <c r="V31" i="2"/>
  <c r="X31" i="2" s="1"/>
  <c r="A54" i="2"/>
  <c r="Y53" i="2"/>
  <c r="F50" i="2"/>
  <c r="G50" i="2" s="1"/>
  <c r="J52" i="2"/>
  <c r="K51" i="2" s="1"/>
  <c r="T52" i="2"/>
  <c r="U51" i="2" s="1"/>
  <c r="L32" i="2"/>
  <c r="M32" i="2" s="1"/>
  <c r="W57" i="2"/>
  <c r="I51" i="2"/>
  <c r="E51" i="2"/>
  <c r="D51" i="2"/>
  <c r="R52" i="2"/>
  <c r="B53" i="2"/>
  <c r="C52" i="2"/>
  <c r="V32" i="2" l="1"/>
  <c r="X32" i="2" s="1"/>
  <c r="S32" i="2"/>
  <c r="A55" i="2"/>
  <c r="Y54" i="2"/>
  <c r="H33" i="2"/>
  <c r="P33" i="2" s="1"/>
  <c r="F51" i="2"/>
  <c r="G51" i="2" s="1"/>
  <c r="T53" i="2"/>
  <c r="U52" i="2" s="1"/>
  <c r="N33" i="2"/>
  <c r="O33" i="2"/>
  <c r="Q33" i="2" s="1"/>
  <c r="J53" i="2"/>
  <c r="K52" i="2" s="1"/>
  <c r="W58" i="2"/>
  <c r="I52" i="2"/>
  <c r="D52" i="2"/>
  <c r="E52" i="2"/>
  <c r="R53" i="2"/>
  <c r="C53" i="2"/>
  <c r="B54" i="2"/>
  <c r="L33" i="2" l="1"/>
  <c r="M33" i="2" s="1"/>
  <c r="O34" i="2" s="1"/>
  <c r="Q34" i="2" s="1"/>
  <c r="A56" i="2"/>
  <c r="Y55" i="2"/>
  <c r="F52" i="2"/>
  <c r="G52" i="2" s="1"/>
  <c r="J54" i="2"/>
  <c r="K53" i="2" s="1"/>
  <c r="T54" i="2"/>
  <c r="U53" i="2" s="1"/>
  <c r="S33" i="2"/>
  <c r="V33" i="2"/>
  <c r="X33" i="2" s="1"/>
  <c r="AA33" i="2"/>
  <c r="W59" i="2"/>
  <c r="R54" i="2"/>
  <c r="C54" i="2"/>
  <c r="B55" i="2"/>
  <c r="I53" i="2"/>
  <c r="E53" i="2"/>
  <c r="D53" i="2"/>
  <c r="H34" i="2" l="1"/>
  <c r="P34" i="2" s="1"/>
  <c r="AA34" i="2" s="1"/>
  <c r="N34" i="2"/>
  <c r="S34" i="2" s="1"/>
  <c r="A57" i="2"/>
  <c r="Y56" i="2"/>
  <c r="F53" i="2"/>
  <c r="G53" i="2" s="1"/>
  <c r="T55" i="2"/>
  <c r="U54" i="2" s="1"/>
  <c r="J55" i="2"/>
  <c r="K54" i="2" s="1"/>
  <c r="W60" i="2"/>
  <c r="R55" i="2"/>
  <c r="B56" i="2"/>
  <c r="C55" i="2"/>
  <c r="D54" i="2"/>
  <c r="I54" i="2"/>
  <c r="E54" i="2"/>
  <c r="L34" i="2" l="1"/>
  <c r="M34" i="2" s="1"/>
  <c r="N35" i="2" s="1"/>
  <c r="S35" i="2" s="1"/>
  <c r="V34" i="2"/>
  <c r="X34" i="2" s="1"/>
  <c r="A58" i="2"/>
  <c r="Y57" i="2"/>
  <c r="F54" i="2"/>
  <c r="G54" i="2" s="1"/>
  <c r="J56" i="2"/>
  <c r="K55" i="2" s="1"/>
  <c r="T56" i="2"/>
  <c r="U55" i="2" s="1"/>
  <c r="W61" i="2"/>
  <c r="I55" i="2"/>
  <c r="D55" i="2"/>
  <c r="E55" i="2"/>
  <c r="R56" i="2"/>
  <c r="B57" i="2"/>
  <c r="C56" i="2"/>
  <c r="O35" i="2" l="1"/>
  <c r="Q35" i="2" s="1"/>
  <c r="H35" i="2"/>
  <c r="P35" i="2" s="1"/>
  <c r="A59" i="2"/>
  <c r="Y58" i="2"/>
  <c r="F55" i="2"/>
  <c r="G55" i="2" s="1"/>
  <c r="J57" i="2"/>
  <c r="K56" i="2" s="1"/>
  <c r="T57" i="2"/>
  <c r="U56" i="2" s="1"/>
  <c r="W62" i="2"/>
  <c r="R57" i="2"/>
  <c r="C57" i="2"/>
  <c r="B58" i="2"/>
  <c r="I56" i="2"/>
  <c r="E56" i="2"/>
  <c r="D56" i="2"/>
  <c r="V35" i="2" l="1"/>
  <c r="X35" i="2" s="1"/>
  <c r="AA35" i="2"/>
  <c r="L35" i="2"/>
  <c r="M35" i="2" s="1"/>
  <c r="N36" i="2" s="1"/>
  <c r="A60" i="2"/>
  <c r="Y59" i="2"/>
  <c r="F56" i="2"/>
  <c r="G56" i="2" s="1"/>
  <c r="J58" i="2"/>
  <c r="K57" i="2" s="1"/>
  <c r="T58" i="2"/>
  <c r="U57" i="2" s="1"/>
  <c r="W63" i="2"/>
  <c r="I57" i="2"/>
  <c r="E57" i="2"/>
  <c r="D57" i="2"/>
  <c r="R58" i="2"/>
  <c r="C58" i="2"/>
  <c r="B59" i="2"/>
  <c r="H36" i="2" l="1"/>
  <c r="P36" i="2" s="1"/>
  <c r="O36" i="2"/>
  <c r="Q36" i="2" s="1"/>
  <c r="A61" i="2"/>
  <c r="Y60" i="2"/>
  <c r="F57" i="2"/>
  <c r="G57" i="2" s="1"/>
  <c r="T59" i="2"/>
  <c r="U58" i="2" s="1"/>
  <c r="S36" i="2"/>
  <c r="J59" i="2"/>
  <c r="K58" i="2" s="1"/>
  <c r="W64" i="2"/>
  <c r="R59" i="2"/>
  <c r="C59" i="2"/>
  <c r="B60" i="2"/>
  <c r="I58" i="2"/>
  <c r="E58" i="2"/>
  <c r="D58" i="2"/>
  <c r="L36" i="2" l="1"/>
  <c r="M36" i="2" s="1"/>
  <c r="N37" i="2" s="1"/>
  <c r="AA36" i="2"/>
  <c r="V36" i="2"/>
  <c r="X36" i="2" s="1"/>
  <c r="A62" i="2"/>
  <c r="Y61" i="2"/>
  <c r="F58" i="2"/>
  <c r="G58" i="2" s="1"/>
  <c r="J60" i="2"/>
  <c r="K59" i="2" s="1"/>
  <c r="T60" i="2"/>
  <c r="U59" i="2" s="1"/>
  <c r="W65" i="2"/>
  <c r="D59" i="2"/>
  <c r="I59" i="2"/>
  <c r="E59" i="2"/>
  <c r="R60" i="2"/>
  <c r="C60" i="2"/>
  <c r="B61" i="2"/>
  <c r="H37" i="2" l="1"/>
  <c r="P37" i="2" s="1"/>
  <c r="O37" i="2"/>
  <c r="Q37" i="2" s="1"/>
  <c r="V37" i="2" s="1"/>
  <c r="X37" i="2" s="1"/>
  <c r="A63" i="2"/>
  <c r="Y62" i="2"/>
  <c r="F59" i="2"/>
  <c r="G59" i="2" s="1"/>
  <c r="T61" i="2"/>
  <c r="U60" i="2" s="1"/>
  <c r="S37" i="2"/>
  <c r="J61" i="2"/>
  <c r="K60" i="2" s="1"/>
  <c r="W66" i="2"/>
  <c r="R61" i="2"/>
  <c r="B62" i="2"/>
  <c r="C61" i="2"/>
  <c r="D60" i="2"/>
  <c r="I60" i="2"/>
  <c r="E60" i="2"/>
  <c r="AA37" i="2" l="1"/>
  <c r="L37" i="2"/>
  <c r="M37" i="2" s="1"/>
  <c r="H38" i="2" s="1"/>
  <c r="P38" i="2" s="1"/>
  <c r="A64" i="2"/>
  <c r="Y63" i="2"/>
  <c r="F60" i="2"/>
  <c r="G60" i="2" s="1"/>
  <c r="J62" i="2"/>
  <c r="K61" i="2" s="1"/>
  <c r="T62" i="2"/>
  <c r="U61" i="2" s="1"/>
  <c r="W67" i="2"/>
  <c r="I61" i="2"/>
  <c r="E61" i="2"/>
  <c r="D61" i="2"/>
  <c r="R62" i="2"/>
  <c r="B63" i="2"/>
  <c r="C62" i="2"/>
  <c r="L38" i="2" l="1"/>
  <c r="M38" i="2" s="1"/>
  <c r="H39" i="2" s="1"/>
  <c r="P39" i="2" s="1"/>
  <c r="N38" i="2"/>
  <c r="S38" i="2" s="1"/>
  <c r="O38" i="2"/>
  <c r="Q38" i="2" s="1"/>
  <c r="AA38" i="2" s="1"/>
  <c r="A65" i="2"/>
  <c r="Y64" i="2"/>
  <c r="F61" i="2"/>
  <c r="G61" i="2" s="1"/>
  <c r="J63" i="2"/>
  <c r="K62" i="2" s="1"/>
  <c r="T63" i="2"/>
  <c r="U62" i="2" s="1"/>
  <c r="W68" i="2"/>
  <c r="R63" i="2"/>
  <c r="B64" i="2"/>
  <c r="C63" i="2"/>
  <c r="E62" i="2"/>
  <c r="D62" i="2"/>
  <c r="I62" i="2"/>
  <c r="O39" i="2" l="1"/>
  <c r="Q39" i="2" s="1"/>
  <c r="AA39" i="2" s="1"/>
  <c r="N39" i="2"/>
  <c r="V38" i="2"/>
  <c r="X38" i="2" s="1"/>
  <c r="A66" i="2"/>
  <c r="Y65" i="2"/>
  <c r="F62" i="2"/>
  <c r="G62" i="2" s="1"/>
  <c r="J64" i="2"/>
  <c r="K63" i="2" s="1"/>
  <c r="T64" i="2"/>
  <c r="U63" i="2" s="1"/>
  <c r="L39" i="2"/>
  <c r="M39" i="2" s="1"/>
  <c r="H40" i="2" s="1"/>
  <c r="W69" i="2"/>
  <c r="R64" i="2"/>
  <c r="B65" i="2"/>
  <c r="C64" i="2"/>
  <c r="D63" i="2"/>
  <c r="E63" i="2"/>
  <c r="I63" i="2"/>
  <c r="V39" i="2" l="1"/>
  <c r="X39" i="2" s="1"/>
  <c r="S39" i="2"/>
  <c r="A67" i="2"/>
  <c r="Y66" i="2"/>
  <c r="F63" i="2"/>
  <c r="G63" i="2" s="1"/>
  <c r="J65" i="2"/>
  <c r="K64" i="2" s="1"/>
  <c r="T65" i="2"/>
  <c r="U64" i="2" s="1"/>
  <c r="N40" i="2"/>
  <c r="O40" i="2"/>
  <c r="Q40" i="2" s="1"/>
  <c r="P40" i="2"/>
  <c r="W70" i="2"/>
  <c r="R65" i="2"/>
  <c r="B66" i="2"/>
  <c r="C65" i="2"/>
  <c r="E64" i="2"/>
  <c r="I64" i="2"/>
  <c r="D64" i="2"/>
  <c r="A68" i="2" l="1"/>
  <c r="Y67" i="2"/>
  <c r="F64" i="2"/>
  <c r="G64" i="2" s="1"/>
  <c r="J66" i="2"/>
  <c r="K65" i="2" s="1"/>
  <c r="T66" i="2"/>
  <c r="U65" i="2" s="1"/>
  <c r="S40" i="2"/>
  <c r="AA40" i="2"/>
  <c r="L40" i="2"/>
  <c r="M40" i="2" s="1"/>
  <c r="H41" i="2" s="1"/>
  <c r="V40" i="2"/>
  <c r="X40" i="2" s="1"/>
  <c r="W71" i="2"/>
  <c r="R66" i="2"/>
  <c r="C66" i="2"/>
  <c r="B67" i="2"/>
  <c r="I65" i="2"/>
  <c r="E65" i="2"/>
  <c r="D65" i="2"/>
  <c r="A69" i="2" l="1"/>
  <c r="Y68" i="2"/>
  <c r="F65" i="2"/>
  <c r="G65" i="2" s="1"/>
  <c r="T67" i="2"/>
  <c r="U66" i="2" s="1"/>
  <c r="J67" i="2"/>
  <c r="K66" i="2" s="1"/>
  <c r="P41" i="2"/>
  <c r="O41" i="2"/>
  <c r="Q41" i="2" s="1"/>
  <c r="N41" i="2"/>
  <c r="W72" i="2"/>
  <c r="R67" i="2"/>
  <c r="B68" i="2"/>
  <c r="C67" i="2"/>
  <c r="I66" i="2"/>
  <c r="E66" i="2"/>
  <c r="D66" i="2"/>
  <c r="A70" i="2" l="1"/>
  <c r="Y69" i="2"/>
  <c r="F66" i="2"/>
  <c r="G66" i="2" s="1"/>
  <c r="J68" i="2"/>
  <c r="K67" i="2" s="1"/>
  <c r="T68" i="2"/>
  <c r="U67" i="2" s="1"/>
  <c r="S41" i="2"/>
  <c r="AA41" i="2"/>
  <c r="V41" i="2"/>
  <c r="X41" i="2" s="1"/>
  <c r="L41" i="2"/>
  <c r="M41" i="2" s="1"/>
  <c r="H42" i="2" s="1"/>
  <c r="W73" i="2"/>
  <c r="E67" i="2"/>
  <c r="D67" i="2"/>
  <c r="I67" i="2"/>
  <c r="R68" i="2"/>
  <c r="C68" i="2"/>
  <c r="B69" i="2"/>
  <c r="A71" i="2" l="1"/>
  <c r="Y70" i="2"/>
  <c r="F67" i="2"/>
  <c r="G67" i="2" s="1"/>
  <c r="T69" i="2"/>
  <c r="U68" i="2" s="1"/>
  <c r="J69" i="2"/>
  <c r="K68" i="2" s="1"/>
  <c r="O42" i="2"/>
  <c r="Q42" i="2" s="1"/>
  <c r="N42" i="2"/>
  <c r="P42" i="2"/>
  <c r="W74" i="2"/>
  <c r="I68" i="2"/>
  <c r="E68" i="2"/>
  <c r="D68" i="2"/>
  <c r="R69" i="2"/>
  <c r="B70" i="2"/>
  <c r="C69" i="2"/>
  <c r="A72" i="2" l="1"/>
  <c r="Y71" i="2"/>
  <c r="F68" i="2"/>
  <c r="G68" i="2" s="1"/>
  <c r="J70" i="2"/>
  <c r="K69" i="2" s="1"/>
  <c r="T70" i="2"/>
  <c r="U69" i="2" s="1"/>
  <c r="S42" i="2"/>
  <c r="AA42" i="2"/>
  <c r="V42" i="2"/>
  <c r="X42" i="2" s="1"/>
  <c r="L42" i="2"/>
  <c r="M42" i="2" s="1"/>
  <c r="H43" i="2" s="1"/>
  <c r="W75" i="2"/>
  <c r="I69" i="2"/>
  <c r="D69" i="2"/>
  <c r="E69" i="2"/>
  <c r="R70" i="2"/>
  <c r="C70" i="2"/>
  <c r="B71" i="2"/>
  <c r="A73" i="2" l="1"/>
  <c r="Y72" i="2"/>
  <c r="F69" i="2"/>
  <c r="G69" i="2" s="1"/>
  <c r="J71" i="2"/>
  <c r="K70" i="2" s="1"/>
  <c r="T71" i="2"/>
  <c r="U70" i="2" s="1"/>
  <c r="P43" i="2"/>
  <c r="O43" i="2"/>
  <c r="Q43" i="2" s="1"/>
  <c r="N43" i="2"/>
  <c r="W76" i="2"/>
  <c r="R71" i="2"/>
  <c r="B72" i="2"/>
  <c r="C71" i="2"/>
  <c r="D70" i="2"/>
  <c r="E70" i="2"/>
  <c r="I70" i="2"/>
  <c r="A74" i="2" l="1"/>
  <c r="Y73" i="2"/>
  <c r="F70" i="2"/>
  <c r="G70" i="2" s="1"/>
  <c r="J72" i="2"/>
  <c r="K71" i="2" s="1"/>
  <c r="T72" i="2"/>
  <c r="U71" i="2" s="1"/>
  <c r="S43" i="2"/>
  <c r="L43" i="2"/>
  <c r="M43" i="2" s="1"/>
  <c r="H44" i="2" s="1"/>
  <c r="AA43" i="2"/>
  <c r="V43" i="2"/>
  <c r="X43" i="2" s="1"/>
  <c r="W77" i="2"/>
  <c r="E71" i="2"/>
  <c r="D71" i="2"/>
  <c r="I71" i="2"/>
  <c r="R72" i="2"/>
  <c r="B73" i="2"/>
  <c r="C72" i="2"/>
  <c r="A75" i="2" l="1"/>
  <c r="Y74" i="2"/>
  <c r="F71" i="2"/>
  <c r="G71" i="2" s="1"/>
  <c r="J73" i="2"/>
  <c r="K72" i="2" s="1"/>
  <c r="T73" i="2"/>
  <c r="U72" i="2" s="1"/>
  <c r="O44" i="2"/>
  <c r="Q44" i="2" s="1"/>
  <c r="N44" i="2"/>
  <c r="W78" i="2"/>
  <c r="R73" i="2"/>
  <c r="C73" i="2"/>
  <c r="B74" i="2"/>
  <c r="I72" i="2"/>
  <c r="E72" i="2"/>
  <c r="D72" i="2"/>
  <c r="A76" i="2" l="1"/>
  <c r="Y75" i="2"/>
  <c r="F72" i="2"/>
  <c r="G72" i="2" s="1"/>
  <c r="J74" i="2"/>
  <c r="K73" i="2" s="1"/>
  <c r="T74" i="2"/>
  <c r="U73" i="2" s="1"/>
  <c r="S44" i="2"/>
  <c r="P44" i="2"/>
  <c r="AA44" i="2" s="1"/>
  <c r="V44" i="2"/>
  <c r="X44" i="2" s="1"/>
  <c r="L44" i="2"/>
  <c r="M44" i="2" s="1"/>
  <c r="H45" i="2" s="1"/>
  <c r="W79" i="2"/>
  <c r="D73" i="2"/>
  <c r="I73" i="2"/>
  <c r="E73" i="2"/>
  <c r="R74" i="2"/>
  <c r="B75" i="2"/>
  <c r="C74" i="2"/>
  <c r="A77" i="2" l="1"/>
  <c r="Y76" i="2"/>
  <c r="F73" i="2"/>
  <c r="G73" i="2" s="1"/>
  <c r="J75" i="2"/>
  <c r="K74" i="2" s="1"/>
  <c r="T75" i="2"/>
  <c r="U74" i="2" s="1"/>
  <c r="O45" i="2"/>
  <c r="Q45" i="2" s="1"/>
  <c r="P45" i="2"/>
  <c r="N45" i="2"/>
  <c r="W80" i="2"/>
  <c r="E74" i="2"/>
  <c r="I74" i="2"/>
  <c r="D74" i="2"/>
  <c r="R75" i="2"/>
  <c r="B76" i="2"/>
  <c r="C75" i="2"/>
  <c r="A78" i="2" l="1"/>
  <c r="Y77" i="2"/>
  <c r="F74" i="2"/>
  <c r="G74" i="2" s="1"/>
  <c r="T76" i="2"/>
  <c r="U75" i="2" s="1"/>
  <c r="S45" i="2"/>
  <c r="AA45" i="2"/>
  <c r="L45" i="2"/>
  <c r="M45" i="2" s="1"/>
  <c r="H46" i="2" s="1"/>
  <c r="J76" i="2"/>
  <c r="K75" i="2" s="1"/>
  <c r="V45" i="2"/>
  <c r="X45" i="2" s="1"/>
  <c r="W81" i="2"/>
  <c r="R76" i="2"/>
  <c r="B77" i="2"/>
  <c r="C76" i="2"/>
  <c r="E75" i="2"/>
  <c r="I75" i="2"/>
  <c r="D75" i="2"/>
  <c r="A79" i="2" l="1"/>
  <c r="Y78" i="2"/>
  <c r="F75" i="2"/>
  <c r="G75" i="2" s="1"/>
  <c r="J77" i="2"/>
  <c r="K76" i="2" s="1"/>
  <c r="T77" i="2"/>
  <c r="U76" i="2" s="1"/>
  <c r="P46" i="2"/>
  <c r="O46" i="2"/>
  <c r="Q46" i="2" s="1"/>
  <c r="N46" i="2"/>
  <c r="W82" i="2"/>
  <c r="D76" i="2"/>
  <c r="E76" i="2"/>
  <c r="I76" i="2"/>
  <c r="R77" i="2"/>
  <c r="B78" i="2"/>
  <c r="C77" i="2"/>
  <c r="A80" i="2" l="1"/>
  <c r="Y79" i="2"/>
  <c r="F76" i="2"/>
  <c r="G76" i="2" s="1"/>
  <c r="J78" i="2"/>
  <c r="K77" i="2" s="1"/>
  <c r="T78" i="2"/>
  <c r="U77" i="2" s="1"/>
  <c r="S46" i="2"/>
  <c r="L46" i="2"/>
  <c r="M46" i="2" s="1"/>
  <c r="H47" i="2" s="1"/>
  <c r="AA46" i="2"/>
  <c r="V46" i="2"/>
  <c r="X46" i="2" s="1"/>
  <c r="W83" i="2"/>
  <c r="D77" i="2"/>
  <c r="I77" i="2"/>
  <c r="E77" i="2"/>
  <c r="R78" i="2"/>
  <c r="B79" i="2"/>
  <c r="C78" i="2"/>
  <c r="A81" i="2" l="1"/>
  <c r="Y80" i="2"/>
  <c r="F77" i="2"/>
  <c r="G77" i="2" s="1"/>
  <c r="T79" i="2"/>
  <c r="U78" i="2" s="1"/>
  <c r="J79" i="2"/>
  <c r="K78" i="2" s="1"/>
  <c r="N47" i="2"/>
  <c r="O47" i="2"/>
  <c r="Q47" i="2" s="1"/>
  <c r="P47" i="2"/>
  <c r="W84" i="2"/>
  <c r="D78" i="2"/>
  <c r="I78" i="2"/>
  <c r="E78" i="2"/>
  <c r="R79" i="2"/>
  <c r="C79" i="2"/>
  <c r="B80" i="2"/>
  <c r="A82" i="2" l="1"/>
  <c r="Y81" i="2"/>
  <c r="F78" i="2"/>
  <c r="G78" i="2" s="1"/>
  <c r="J80" i="2"/>
  <c r="K79" i="2" s="1"/>
  <c r="T80" i="2"/>
  <c r="U79" i="2" s="1"/>
  <c r="S47" i="2"/>
  <c r="AA47" i="2"/>
  <c r="L47" i="2"/>
  <c r="M47" i="2" s="1"/>
  <c r="H48" i="2" s="1"/>
  <c r="V47" i="2"/>
  <c r="X47" i="2" s="1"/>
  <c r="W85" i="2"/>
  <c r="D79" i="2"/>
  <c r="E79" i="2"/>
  <c r="I79" i="2"/>
  <c r="R80" i="2"/>
  <c r="C80" i="2"/>
  <c r="B81" i="2"/>
  <c r="A83" i="2" l="1"/>
  <c r="Y82" i="2"/>
  <c r="F79" i="2"/>
  <c r="G79" i="2" s="1"/>
  <c r="J81" i="2"/>
  <c r="K80" i="2" s="1"/>
  <c r="T81" i="2"/>
  <c r="U80" i="2" s="1"/>
  <c r="P48" i="2"/>
  <c r="N48" i="2"/>
  <c r="O48" i="2"/>
  <c r="Q48" i="2" s="1"/>
  <c r="W86" i="2"/>
  <c r="R81" i="2"/>
  <c r="B82" i="2"/>
  <c r="C81" i="2"/>
  <c r="D80" i="2"/>
  <c r="I80" i="2"/>
  <c r="E80" i="2"/>
  <c r="A84" i="2" l="1"/>
  <c r="Y83" i="2"/>
  <c r="F80" i="2"/>
  <c r="G80" i="2" s="1"/>
  <c r="J82" i="2"/>
  <c r="K81" i="2" s="1"/>
  <c r="T82" i="2"/>
  <c r="U81" i="2" s="1"/>
  <c r="S48" i="2"/>
  <c r="AA48" i="2"/>
  <c r="L48" i="2"/>
  <c r="M48" i="2" s="1"/>
  <c r="H49" i="2" s="1"/>
  <c r="V48" i="2"/>
  <c r="X48" i="2" s="1"/>
  <c r="W87" i="2"/>
  <c r="D81" i="2"/>
  <c r="E81" i="2"/>
  <c r="I81" i="2"/>
  <c r="R82" i="2"/>
  <c r="C82" i="2"/>
  <c r="B83" i="2"/>
  <c r="A85" i="2" l="1"/>
  <c r="Y84" i="2"/>
  <c r="F81" i="2"/>
  <c r="G81" i="2" s="1"/>
  <c r="J83" i="2"/>
  <c r="K82" i="2" s="1"/>
  <c r="T83" i="2"/>
  <c r="U82" i="2" s="1"/>
  <c r="O49" i="2"/>
  <c r="Q49" i="2" s="1"/>
  <c r="N49" i="2"/>
  <c r="P49" i="2"/>
  <c r="W88" i="2"/>
  <c r="R83" i="2"/>
  <c r="B84" i="2"/>
  <c r="C83" i="2"/>
  <c r="I82" i="2"/>
  <c r="E82" i="2"/>
  <c r="D82" i="2"/>
  <c r="A86" i="2" l="1"/>
  <c r="Y85" i="2"/>
  <c r="F82" i="2"/>
  <c r="G82" i="2" s="1"/>
  <c r="J84" i="2"/>
  <c r="K83" i="2" s="1"/>
  <c r="T84" i="2"/>
  <c r="U83" i="2" s="1"/>
  <c r="S49" i="2"/>
  <c r="AA49" i="2"/>
  <c r="L49" i="2"/>
  <c r="M49" i="2" s="1"/>
  <c r="H50" i="2" s="1"/>
  <c r="V49" i="2"/>
  <c r="X49" i="2" s="1"/>
  <c r="W89" i="2"/>
  <c r="I83" i="2"/>
  <c r="D83" i="2"/>
  <c r="E83" i="2"/>
  <c r="R84" i="2"/>
  <c r="C84" i="2"/>
  <c r="B85" i="2"/>
  <c r="A87" i="2" l="1"/>
  <c r="Y86" i="2"/>
  <c r="F83" i="2"/>
  <c r="G83" i="2" s="1"/>
  <c r="J85" i="2"/>
  <c r="K84" i="2" s="1"/>
  <c r="T85" i="2"/>
  <c r="U84" i="2" s="1"/>
  <c r="O50" i="2"/>
  <c r="Q50" i="2" s="1"/>
  <c r="P50" i="2"/>
  <c r="N50" i="2"/>
  <c r="W90" i="2"/>
  <c r="R85" i="2"/>
  <c r="C85" i="2"/>
  <c r="B86" i="2"/>
  <c r="I84" i="2"/>
  <c r="D84" i="2"/>
  <c r="E84" i="2"/>
  <c r="A88" i="2" l="1"/>
  <c r="Y87" i="2"/>
  <c r="F84" i="2"/>
  <c r="G84" i="2" s="1"/>
  <c r="J86" i="2"/>
  <c r="K85" i="2" s="1"/>
  <c r="T86" i="2"/>
  <c r="U85" i="2" s="1"/>
  <c r="S50" i="2"/>
  <c r="AA50" i="2"/>
  <c r="V50" i="2"/>
  <c r="X50" i="2" s="1"/>
  <c r="L50" i="2"/>
  <c r="M50" i="2" s="1"/>
  <c r="H51" i="2" s="1"/>
  <c r="W91" i="2"/>
  <c r="R86" i="2"/>
  <c r="B87" i="2"/>
  <c r="C86" i="2"/>
  <c r="E85" i="2"/>
  <c r="D85" i="2"/>
  <c r="I85" i="2"/>
  <c r="A89" i="2" l="1"/>
  <c r="Y88" i="2"/>
  <c r="F85" i="2"/>
  <c r="G85" i="2" s="1"/>
  <c r="T87" i="2"/>
  <c r="U86" i="2" s="1"/>
  <c r="J87" i="2"/>
  <c r="K86" i="2" s="1"/>
  <c r="N51" i="2"/>
  <c r="P51" i="2"/>
  <c r="O51" i="2"/>
  <c r="Q51" i="2" s="1"/>
  <c r="W92" i="2"/>
  <c r="E86" i="2"/>
  <c r="D86" i="2"/>
  <c r="I86" i="2"/>
  <c r="R87" i="2"/>
  <c r="B88" i="2"/>
  <c r="C87" i="2"/>
  <c r="A90" i="2" l="1"/>
  <c r="Y89" i="2"/>
  <c r="F86" i="2"/>
  <c r="G86" i="2" s="1"/>
  <c r="J88" i="2"/>
  <c r="K87" i="2" s="1"/>
  <c r="T88" i="2"/>
  <c r="U87" i="2" s="1"/>
  <c r="S51" i="2"/>
  <c r="L51" i="2"/>
  <c r="M51" i="2" s="1"/>
  <c r="H52" i="2" s="1"/>
  <c r="AA51" i="2"/>
  <c r="V51" i="2"/>
  <c r="X51" i="2" s="1"/>
  <c r="W93" i="2"/>
  <c r="E87" i="2"/>
  <c r="I87" i="2"/>
  <c r="D87" i="2"/>
  <c r="R88" i="2"/>
  <c r="B89" i="2"/>
  <c r="C88" i="2"/>
  <c r="A91" i="2" l="1"/>
  <c r="Y90" i="2"/>
  <c r="F87" i="2"/>
  <c r="G87" i="2" s="1"/>
  <c r="J89" i="2"/>
  <c r="K88" i="2" s="1"/>
  <c r="T89" i="2"/>
  <c r="U88" i="2" s="1"/>
  <c r="N52" i="2"/>
  <c r="O52" i="2"/>
  <c r="Q52" i="2" s="1"/>
  <c r="P52" i="2"/>
  <c r="W94" i="2"/>
  <c r="R89" i="2"/>
  <c r="C89" i="2"/>
  <c r="B90" i="2"/>
  <c r="I88" i="2"/>
  <c r="D88" i="2"/>
  <c r="E88" i="2"/>
  <c r="A92" i="2" l="1"/>
  <c r="Y91" i="2"/>
  <c r="F88" i="2"/>
  <c r="G88" i="2" s="1"/>
  <c r="J90" i="2"/>
  <c r="K89" i="2" s="1"/>
  <c r="T90" i="2"/>
  <c r="U89" i="2" s="1"/>
  <c r="S52" i="2"/>
  <c r="AA52" i="2"/>
  <c r="V52" i="2"/>
  <c r="X52" i="2" s="1"/>
  <c r="L52" i="2"/>
  <c r="M52" i="2" s="1"/>
  <c r="H53" i="2" s="1"/>
  <c r="W95" i="2"/>
  <c r="R90" i="2"/>
  <c r="C90" i="2"/>
  <c r="B91" i="2"/>
  <c r="D89" i="2"/>
  <c r="I89" i="2"/>
  <c r="E89" i="2"/>
  <c r="A93" i="2" l="1"/>
  <c r="Y92" i="2"/>
  <c r="F89" i="2"/>
  <c r="G89" i="2" s="1"/>
  <c r="J91" i="2"/>
  <c r="K90" i="2" s="1"/>
  <c r="T91" i="2"/>
  <c r="U90" i="2" s="1"/>
  <c r="N53" i="2"/>
  <c r="O53" i="2"/>
  <c r="Q53" i="2" s="1"/>
  <c r="P53" i="2"/>
  <c r="W96" i="2"/>
  <c r="R91" i="2"/>
  <c r="B92" i="2"/>
  <c r="C91" i="2"/>
  <c r="I90" i="2"/>
  <c r="D90" i="2"/>
  <c r="E90" i="2"/>
  <c r="A94" i="2" l="1"/>
  <c r="Y93" i="2"/>
  <c r="F90" i="2"/>
  <c r="G90" i="2" s="1"/>
  <c r="T92" i="2"/>
  <c r="U91" i="2" s="1"/>
  <c r="S53" i="2"/>
  <c r="AA53" i="2"/>
  <c r="J92" i="2"/>
  <c r="K91" i="2" s="1"/>
  <c r="L53" i="2"/>
  <c r="M53" i="2" s="1"/>
  <c r="H54" i="2" s="1"/>
  <c r="V53" i="2"/>
  <c r="X53" i="2" s="1"/>
  <c r="W97" i="2"/>
  <c r="D91" i="2"/>
  <c r="I91" i="2"/>
  <c r="E91" i="2"/>
  <c r="R92" i="2"/>
  <c r="C92" i="2"/>
  <c r="B93" i="2"/>
  <c r="A95" i="2" l="1"/>
  <c r="Y94" i="2"/>
  <c r="F91" i="2"/>
  <c r="G91" i="2" s="1"/>
  <c r="J93" i="2"/>
  <c r="K92" i="2" s="1"/>
  <c r="T93" i="2"/>
  <c r="U92" i="2" s="1"/>
  <c r="O54" i="2"/>
  <c r="Q54" i="2" s="1"/>
  <c r="N54" i="2"/>
  <c r="P54" i="2"/>
  <c r="W98" i="2"/>
  <c r="E92" i="2"/>
  <c r="I92" i="2"/>
  <c r="D92" i="2"/>
  <c r="R93" i="2"/>
  <c r="B94" i="2"/>
  <c r="C93" i="2"/>
  <c r="A96" i="2" l="1"/>
  <c r="Y95" i="2"/>
  <c r="F92" i="2"/>
  <c r="G92" i="2" s="1"/>
  <c r="J94" i="2"/>
  <c r="K93" i="2" s="1"/>
  <c r="T94" i="2"/>
  <c r="U93" i="2" s="1"/>
  <c r="S54" i="2"/>
  <c r="AA54" i="2"/>
  <c r="V54" i="2"/>
  <c r="X54" i="2" s="1"/>
  <c r="L54" i="2"/>
  <c r="M54" i="2" s="1"/>
  <c r="H55" i="2" s="1"/>
  <c r="W99" i="2"/>
  <c r="R94" i="2"/>
  <c r="C94" i="2"/>
  <c r="B95" i="2"/>
  <c r="D93" i="2"/>
  <c r="I93" i="2"/>
  <c r="E93" i="2"/>
  <c r="A97" i="2" l="1"/>
  <c r="Y96" i="2"/>
  <c r="F93" i="2"/>
  <c r="G93" i="2" s="1"/>
  <c r="T95" i="2"/>
  <c r="U94" i="2" s="1"/>
  <c r="J95" i="2"/>
  <c r="K94" i="2" s="1"/>
  <c r="O55" i="2"/>
  <c r="Q55" i="2" s="1"/>
  <c r="N55" i="2"/>
  <c r="P55" i="2"/>
  <c r="W100" i="2"/>
  <c r="R95" i="2"/>
  <c r="B96" i="2"/>
  <c r="C95" i="2"/>
  <c r="E94" i="2"/>
  <c r="D94" i="2"/>
  <c r="I94" i="2"/>
  <c r="A98" i="2" l="1"/>
  <c r="Y97" i="2"/>
  <c r="F94" i="2"/>
  <c r="G94" i="2" s="1"/>
  <c r="J96" i="2"/>
  <c r="K95" i="2" s="1"/>
  <c r="T96" i="2"/>
  <c r="U95" i="2" s="1"/>
  <c r="S55" i="2"/>
  <c r="AA55" i="2"/>
  <c r="V55" i="2"/>
  <c r="X55" i="2" s="1"/>
  <c r="L55" i="2"/>
  <c r="M55" i="2" s="1"/>
  <c r="H56" i="2" s="1"/>
  <c r="W101" i="2"/>
  <c r="R96" i="2"/>
  <c r="C96" i="2"/>
  <c r="B97" i="2"/>
  <c r="D95" i="2"/>
  <c r="E95" i="2"/>
  <c r="I95" i="2"/>
  <c r="A99" i="2" l="1"/>
  <c r="Y98" i="2"/>
  <c r="F95" i="2"/>
  <c r="G95" i="2" s="1"/>
  <c r="J97" i="2"/>
  <c r="K96" i="2" s="1"/>
  <c r="T97" i="2"/>
  <c r="U96" i="2" s="1"/>
  <c r="N56" i="2"/>
  <c r="P56" i="2"/>
  <c r="O56" i="2"/>
  <c r="Q56" i="2" s="1"/>
  <c r="W102" i="2"/>
  <c r="R97" i="2"/>
  <c r="C97" i="2"/>
  <c r="B98" i="2"/>
  <c r="I96" i="2"/>
  <c r="D96" i="2"/>
  <c r="E96" i="2"/>
  <c r="A100" i="2" l="1"/>
  <c r="Y99" i="2"/>
  <c r="F96" i="2"/>
  <c r="G96" i="2" s="1"/>
  <c r="J98" i="2"/>
  <c r="K97" i="2" s="1"/>
  <c r="T98" i="2"/>
  <c r="U97" i="2" s="1"/>
  <c r="S56" i="2"/>
  <c r="AA56" i="2"/>
  <c r="V56" i="2"/>
  <c r="X56" i="2" s="1"/>
  <c r="L56" i="2"/>
  <c r="M56" i="2" s="1"/>
  <c r="H57" i="2" s="1"/>
  <c r="W103" i="2"/>
  <c r="I97" i="2"/>
  <c r="D97" i="2"/>
  <c r="E97" i="2"/>
  <c r="R98" i="2"/>
  <c r="B99" i="2"/>
  <c r="C98" i="2"/>
  <c r="A101" i="2" l="1"/>
  <c r="Y100" i="2"/>
  <c r="F97" i="2"/>
  <c r="G97" i="2" s="1"/>
  <c r="J99" i="2"/>
  <c r="K98" i="2" s="1"/>
  <c r="T99" i="2"/>
  <c r="U98" i="2" s="1"/>
  <c r="O57" i="2"/>
  <c r="Q57" i="2" s="1"/>
  <c r="P57" i="2"/>
  <c r="N57" i="2"/>
  <c r="W104" i="2"/>
  <c r="E98" i="2"/>
  <c r="I98" i="2"/>
  <c r="D98" i="2"/>
  <c r="R99" i="2"/>
  <c r="C99" i="2"/>
  <c r="B100" i="2"/>
  <c r="A102" i="2" l="1"/>
  <c r="Y101" i="2"/>
  <c r="F98" i="2"/>
  <c r="G98" i="2" s="1"/>
  <c r="J100" i="2"/>
  <c r="K99" i="2" s="1"/>
  <c r="T100" i="2"/>
  <c r="U99" i="2" s="1"/>
  <c r="S57" i="2"/>
  <c r="AA57" i="2"/>
  <c r="L57" i="2"/>
  <c r="M57" i="2" s="1"/>
  <c r="H58" i="2" s="1"/>
  <c r="V57" i="2"/>
  <c r="X57" i="2" s="1"/>
  <c r="W105" i="2"/>
  <c r="R100" i="2"/>
  <c r="C100" i="2"/>
  <c r="B101" i="2"/>
  <c r="D99" i="2"/>
  <c r="I99" i="2"/>
  <c r="E99" i="2"/>
  <c r="A103" i="2" l="1"/>
  <c r="Y102" i="2"/>
  <c r="F99" i="2"/>
  <c r="G99" i="2" s="1"/>
  <c r="J101" i="2"/>
  <c r="K100" i="2" s="1"/>
  <c r="T101" i="2"/>
  <c r="U100" i="2" s="1"/>
  <c r="O58" i="2"/>
  <c r="Q58" i="2" s="1"/>
  <c r="N58" i="2"/>
  <c r="P58" i="2"/>
  <c r="W106" i="2"/>
  <c r="R101" i="2"/>
  <c r="C101" i="2"/>
  <c r="B102" i="2"/>
  <c r="I100" i="2"/>
  <c r="D100" i="2"/>
  <c r="E100" i="2"/>
  <c r="A104" i="2" l="1"/>
  <c r="Y103" i="2"/>
  <c r="F100" i="2"/>
  <c r="G100" i="2" s="1"/>
  <c r="J102" i="2"/>
  <c r="K101" i="2" s="1"/>
  <c r="T102" i="2"/>
  <c r="U101" i="2" s="1"/>
  <c r="S58" i="2"/>
  <c r="AA58" i="2"/>
  <c r="L58" i="2"/>
  <c r="M58" i="2" s="1"/>
  <c r="H59" i="2" s="1"/>
  <c r="V58" i="2"/>
  <c r="X58" i="2" s="1"/>
  <c r="W107" i="2"/>
  <c r="R102" i="2"/>
  <c r="B103" i="2"/>
  <c r="C102" i="2"/>
  <c r="E101" i="2"/>
  <c r="I101" i="2"/>
  <c r="D101" i="2"/>
  <c r="A105" i="2" l="1"/>
  <c r="Y104" i="2"/>
  <c r="F101" i="2"/>
  <c r="G101" i="2" s="1"/>
  <c r="T103" i="2"/>
  <c r="U102" i="2" s="1"/>
  <c r="J103" i="2"/>
  <c r="K102" i="2" s="1"/>
  <c r="N59" i="2"/>
  <c r="P59" i="2"/>
  <c r="O59" i="2"/>
  <c r="Q59" i="2" s="1"/>
  <c r="W108" i="2"/>
  <c r="R103" i="2"/>
  <c r="B104" i="2"/>
  <c r="C103" i="2"/>
  <c r="D102" i="2"/>
  <c r="I102" i="2"/>
  <c r="E102" i="2"/>
  <c r="A106" i="2" l="1"/>
  <c r="Y105" i="2"/>
  <c r="F102" i="2"/>
  <c r="G102" i="2" s="1"/>
  <c r="J104" i="2"/>
  <c r="K103" i="2" s="1"/>
  <c r="T104" i="2"/>
  <c r="U103" i="2" s="1"/>
  <c r="S59" i="2"/>
  <c r="L59" i="2"/>
  <c r="M59" i="2" s="1"/>
  <c r="H60" i="2" s="1"/>
  <c r="AA59" i="2"/>
  <c r="V59" i="2"/>
  <c r="X59" i="2" s="1"/>
  <c r="W109" i="2"/>
  <c r="D103" i="2"/>
  <c r="I103" i="2"/>
  <c r="E103" i="2"/>
  <c r="R104" i="2"/>
  <c r="C104" i="2"/>
  <c r="B105" i="2"/>
  <c r="A107" i="2" l="1"/>
  <c r="Y106" i="2"/>
  <c r="F103" i="2"/>
  <c r="G103" i="2" s="1"/>
  <c r="J105" i="2"/>
  <c r="K104" i="2" s="1"/>
  <c r="T105" i="2"/>
  <c r="U104" i="2" s="1"/>
  <c r="O60" i="2"/>
  <c r="Q60" i="2" s="1"/>
  <c r="P60" i="2"/>
  <c r="N60" i="2"/>
  <c r="W110" i="2"/>
  <c r="R105" i="2"/>
  <c r="B106" i="2"/>
  <c r="C105" i="2"/>
  <c r="I104" i="2"/>
  <c r="E104" i="2"/>
  <c r="D104" i="2"/>
  <c r="A108" i="2" l="1"/>
  <c r="Y107" i="2"/>
  <c r="F104" i="2"/>
  <c r="G104" i="2" s="1"/>
  <c r="J106" i="2"/>
  <c r="K105" i="2" s="1"/>
  <c r="T106" i="2"/>
  <c r="U105" i="2" s="1"/>
  <c r="S60" i="2"/>
  <c r="L60" i="2"/>
  <c r="M60" i="2" s="1"/>
  <c r="H61" i="2" s="1"/>
  <c r="AA60" i="2"/>
  <c r="V60" i="2"/>
  <c r="X60" i="2" s="1"/>
  <c r="W111" i="2"/>
  <c r="I105" i="2"/>
  <c r="D105" i="2"/>
  <c r="E105" i="2"/>
  <c r="R106" i="2"/>
  <c r="C106" i="2"/>
  <c r="B107" i="2"/>
  <c r="A109" i="2" l="1"/>
  <c r="Y108" i="2"/>
  <c r="F105" i="2"/>
  <c r="G105" i="2" s="1"/>
  <c r="T107" i="2"/>
  <c r="U106" i="2" s="1"/>
  <c r="J107" i="2"/>
  <c r="K106" i="2" s="1"/>
  <c r="N61" i="2"/>
  <c r="O61" i="2"/>
  <c r="Q61" i="2" s="1"/>
  <c r="P61" i="2"/>
  <c r="W112" i="2"/>
  <c r="D106" i="2"/>
  <c r="E106" i="2"/>
  <c r="I106" i="2"/>
  <c r="R107" i="2"/>
  <c r="B108" i="2"/>
  <c r="C107" i="2"/>
  <c r="A110" i="2" l="1"/>
  <c r="Y109" i="2"/>
  <c r="F106" i="2"/>
  <c r="G106" i="2" s="1"/>
  <c r="T108" i="2"/>
  <c r="U107" i="2" s="1"/>
  <c r="S61" i="2"/>
  <c r="AA61" i="2"/>
  <c r="L61" i="2"/>
  <c r="M61" i="2" s="1"/>
  <c r="H62" i="2" s="1"/>
  <c r="J108" i="2"/>
  <c r="K107" i="2" s="1"/>
  <c r="V61" i="2"/>
  <c r="X61" i="2" s="1"/>
  <c r="W113" i="2"/>
  <c r="E107" i="2"/>
  <c r="D107" i="2"/>
  <c r="I107" i="2"/>
  <c r="R108" i="2"/>
  <c r="C108" i="2"/>
  <c r="B109" i="2"/>
  <c r="A111" i="2" l="1"/>
  <c r="Y110" i="2"/>
  <c r="F107" i="2"/>
  <c r="G107" i="2" s="1"/>
  <c r="J109" i="2"/>
  <c r="K108" i="2" s="1"/>
  <c r="T109" i="2"/>
  <c r="U108" i="2" s="1"/>
  <c r="O62" i="2"/>
  <c r="Q62" i="2" s="1"/>
  <c r="P62" i="2"/>
  <c r="N62" i="2"/>
  <c r="W114" i="2"/>
  <c r="R109" i="2"/>
  <c r="C109" i="2"/>
  <c r="B110" i="2"/>
  <c r="D108" i="2"/>
  <c r="E108" i="2"/>
  <c r="I108" i="2"/>
  <c r="A112" i="2" l="1"/>
  <c r="Y111" i="2"/>
  <c r="F108" i="2"/>
  <c r="G108" i="2" s="1"/>
  <c r="J110" i="2"/>
  <c r="K109" i="2" s="1"/>
  <c r="T110" i="2"/>
  <c r="U109" i="2" s="1"/>
  <c r="S62" i="2"/>
  <c r="L62" i="2"/>
  <c r="M62" i="2" s="1"/>
  <c r="H63" i="2" s="1"/>
  <c r="AA62" i="2"/>
  <c r="V62" i="2"/>
  <c r="X62" i="2" s="1"/>
  <c r="W115" i="2"/>
  <c r="R110" i="2"/>
  <c r="B111" i="2"/>
  <c r="C110" i="2"/>
  <c r="E109" i="2"/>
  <c r="I109" i="2"/>
  <c r="D109" i="2"/>
  <c r="A113" i="2" l="1"/>
  <c r="Y112" i="2"/>
  <c r="F109" i="2"/>
  <c r="G109" i="2" s="1"/>
  <c r="T111" i="2"/>
  <c r="U110" i="2" s="1"/>
  <c r="J111" i="2"/>
  <c r="K110" i="2" s="1"/>
  <c r="O63" i="2"/>
  <c r="Q63" i="2" s="1"/>
  <c r="P63" i="2"/>
  <c r="N63" i="2"/>
  <c r="W116" i="2"/>
  <c r="E110" i="2"/>
  <c r="I110" i="2"/>
  <c r="D110" i="2"/>
  <c r="R111" i="2"/>
  <c r="B112" i="2"/>
  <c r="C111" i="2"/>
  <c r="A114" i="2" l="1"/>
  <c r="Y113" i="2"/>
  <c r="F110" i="2"/>
  <c r="G110" i="2" s="1"/>
  <c r="J112" i="2"/>
  <c r="K111" i="2" s="1"/>
  <c r="T112" i="2"/>
  <c r="U111" i="2" s="1"/>
  <c r="S63" i="2"/>
  <c r="AA63" i="2"/>
  <c r="V63" i="2"/>
  <c r="X63" i="2" s="1"/>
  <c r="L63" i="2"/>
  <c r="M63" i="2" s="1"/>
  <c r="H64" i="2" s="1"/>
  <c r="W117" i="2"/>
  <c r="R112" i="2"/>
  <c r="B113" i="2"/>
  <c r="C112" i="2"/>
  <c r="E111" i="2"/>
  <c r="D111" i="2"/>
  <c r="I111" i="2"/>
  <c r="A115" i="2" l="1"/>
  <c r="Y114" i="2"/>
  <c r="F111" i="2"/>
  <c r="G111" i="2" s="1"/>
  <c r="J113" i="2"/>
  <c r="K112" i="2" s="1"/>
  <c r="T113" i="2"/>
  <c r="U112" i="2" s="1"/>
  <c r="O64" i="2"/>
  <c r="Q64" i="2" s="1"/>
  <c r="N64" i="2"/>
  <c r="P64" i="2"/>
  <c r="W118" i="2"/>
  <c r="D112" i="2"/>
  <c r="I112" i="2"/>
  <c r="E112" i="2"/>
  <c r="R113" i="2"/>
  <c r="B114" i="2"/>
  <c r="C113" i="2"/>
  <c r="A116" i="2" l="1"/>
  <c r="Y115" i="2"/>
  <c r="F112" i="2"/>
  <c r="G112" i="2" s="1"/>
  <c r="J114" i="2"/>
  <c r="K113" i="2" s="1"/>
  <c r="T114" i="2"/>
  <c r="U113" i="2" s="1"/>
  <c r="S64" i="2"/>
  <c r="AA64" i="2"/>
  <c r="L64" i="2"/>
  <c r="M64" i="2" s="1"/>
  <c r="H65" i="2" s="1"/>
  <c r="V64" i="2"/>
  <c r="X64" i="2" s="1"/>
  <c r="W119" i="2"/>
  <c r="R114" i="2"/>
  <c r="C114" i="2"/>
  <c r="B115" i="2"/>
  <c r="E113" i="2"/>
  <c r="I113" i="2"/>
  <c r="D113" i="2"/>
  <c r="A117" i="2" l="1"/>
  <c r="Y116" i="2"/>
  <c r="F113" i="2"/>
  <c r="G113" i="2" s="1"/>
  <c r="J115" i="2"/>
  <c r="K114" i="2" s="1"/>
  <c r="T115" i="2"/>
  <c r="U114" i="2" s="1"/>
  <c r="O65" i="2"/>
  <c r="Q65" i="2" s="1"/>
  <c r="N65" i="2"/>
  <c r="P65" i="2"/>
  <c r="W120" i="2"/>
  <c r="R115" i="2"/>
  <c r="B116" i="2"/>
  <c r="C115" i="2"/>
  <c r="I114" i="2"/>
  <c r="E114" i="2"/>
  <c r="D114" i="2"/>
  <c r="A118" i="2" l="1"/>
  <c r="Y117" i="2"/>
  <c r="F114" i="2"/>
  <c r="G114" i="2" s="1"/>
  <c r="T116" i="2"/>
  <c r="U115" i="2" s="1"/>
  <c r="S65" i="2"/>
  <c r="AA65" i="2"/>
  <c r="J116" i="2"/>
  <c r="K115" i="2" s="1"/>
  <c r="V65" i="2"/>
  <c r="X65" i="2" s="1"/>
  <c r="L65" i="2"/>
  <c r="M65" i="2" s="1"/>
  <c r="H66" i="2" s="1"/>
  <c r="W121" i="2"/>
  <c r="D115" i="2"/>
  <c r="I115" i="2"/>
  <c r="E115" i="2"/>
  <c r="R116" i="2"/>
  <c r="B117" i="2"/>
  <c r="C116" i="2"/>
  <c r="A119" i="2" l="1"/>
  <c r="Y118" i="2"/>
  <c r="F115" i="2"/>
  <c r="G115" i="2" s="1"/>
  <c r="T117" i="2"/>
  <c r="U116" i="2" s="1"/>
  <c r="J117" i="2"/>
  <c r="K116" i="2" s="1"/>
  <c r="O66" i="2"/>
  <c r="Q66" i="2" s="1"/>
  <c r="N66" i="2"/>
  <c r="P66" i="2"/>
  <c r="W122" i="2"/>
  <c r="E116" i="2"/>
  <c r="I116" i="2"/>
  <c r="D116" i="2"/>
  <c r="R117" i="2"/>
  <c r="C117" i="2"/>
  <c r="B118" i="2"/>
  <c r="A120" i="2" l="1"/>
  <c r="Y119" i="2"/>
  <c r="F116" i="2"/>
  <c r="G116" i="2" s="1"/>
  <c r="J118" i="2"/>
  <c r="K117" i="2" s="1"/>
  <c r="T118" i="2"/>
  <c r="U117" i="2" s="1"/>
  <c r="S66" i="2"/>
  <c r="AA66" i="2"/>
  <c r="L66" i="2"/>
  <c r="M66" i="2" s="1"/>
  <c r="H67" i="2" s="1"/>
  <c r="V66" i="2"/>
  <c r="X66" i="2" s="1"/>
  <c r="W123" i="2"/>
  <c r="R118" i="2"/>
  <c r="B119" i="2"/>
  <c r="C118" i="2"/>
  <c r="I117" i="2"/>
  <c r="E117" i="2"/>
  <c r="D117" i="2"/>
  <c r="A121" i="2" l="1"/>
  <c r="Y120" i="2"/>
  <c r="F117" i="2"/>
  <c r="G117" i="2" s="1"/>
  <c r="J119" i="2"/>
  <c r="K118" i="2" s="1"/>
  <c r="T119" i="2"/>
  <c r="U118" i="2" s="1"/>
  <c r="N67" i="2"/>
  <c r="O67" i="2"/>
  <c r="Q67" i="2" s="1"/>
  <c r="P67" i="2"/>
  <c r="W124" i="2"/>
  <c r="D118" i="2"/>
  <c r="E118" i="2"/>
  <c r="I118" i="2"/>
  <c r="R119" i="2"/>
  <c r="C119" i="2"/>
  <c r="B120" i="2"/>
  <c r="A122" i="2" l="1"/>
  <c r="Y121" i="2"/>
  <c r="F118" i="2"/>
  <c r="G118" i="2" s="1"/>
  <c r="J120" i="2"/>
  <c r="K119" i="2" s="1"/>
  <c r="T120" i="2"/>
  <c r="U119" i="2" s="1"/>
  <c r="S67" i="2"/>
  <c r="AA67" i="2"/>
  <c r="V67" i="2"/>
  <c r="X67" i="2" s="1"/>
  <c r="L67" i="2"/>
  <c r="M67" i="2" s="1"/>
  <c r="H68" i="2" s="1"/>
  <c r="W125" i="2"/>
  <c r="R120" i="2"/>
  <c r="B121" i="2"/>
  <c r="C120" i="2"/>
  <c r="I119" i="2"/>
  <c r="E119" i="2"/>
  <c r="D119" i="2"/>
  <c r="A123" i="2" l="1"/>
  <c r="Y122" i="2"/>
  <c r="F119" i="2"/>
  <c r="G119" i="2" s="1"/>
  <c r="J121" i="2"/>
  <c r="K120" i="2" s="1"/>
  <c r="T121" i="2"/>
  <c r="U120" i="2" s="1"/>
  <c r="O68" i="2"/>
  <c r="Q68" i="2" s="1"/>
  <c r="P68" i="2"/>
  <c r="N68" i="2"/>
  <c r="W126" i="2"/>
  <c r="D120" i="2"/>
  <c r="E120" i="2"/>
  <c r="I120" i="2"/>
  <c r="R121" i="2"/>
  <c r="B122" i="2"/>
  <c r="C121" i="2"/>
  <c r="A124" i="2" l="1"/>
  <c r="Y123" i="2"/>
  <c r="F120" i="2"/>
  <c r="G120" i="2" s="1"/>
  <c r="J122" i="2"/>
  <c r="K121" i="2" s="1"/>
  <c r="T122" i="2"/>
  <c r="U121" i="2" s="1"/>
  <c r="S68" i="2"/>
  <c r="L68" i="2"/>
  <c r="M68" i="2" s="1"/>
  <c r="H69" i="2" s="1"/>
  <c r="AA68" i="2"/>
  <c r="V68" i="2"/>
  <c r="X68" i="2" s="1"/>
  <c r="W127" i="2"/>
  <c r="R122" i="2"/>
  <c r="C122" i="2"/>
  <c r="B123" i="2"/>
  <c r="E121" i="2"/>
  <c r="D121" i="2"/>
  <c r="I121" i="2"/>
  <c r="A125" i="2" l="1"/>
  <c r="Y124" i="2"/>
  <c r="F121" i="2"/>
  <c r="G121" i="2" s="1"/>
  <c r="J123" i="2"/>
  <c r="K122" i="2" s="1"/>
  <c r="T123" i="2"/>
  <c r="U122" i="2" s="1"/>
  <c r="N69" i="2"/>
  <c r="P69" i="2"/>
  <c r="O69" i="2"/>
  <c r="Q69" i="2" s="1"/>
  <c r="W128" i="2"/>
  <c r="R123" i="2"/>
  <c r="B124" i="2"/>
  <c r="C123" i="2"/>
  <c r="I122" i="2"/>
  <c r="E122" i="2"/>
  <c r="D122" i="2"/>
  <c r="A126" i="2" l="1"/>
  <c r="Y125" i="2"/>
  <c r="F122" i="2"/>
  <c r="G122" i="2" s="1"/>
  <c r="J124" i="2"/>
  <c r="K123" i="2" s="1"/>
  <c r="T124" i="2"/>
  <c r="U123" i="2" s="1"/>
  <c r="S69" i="2"/>
  <c r="AA69" i="2"/>
  <c r="L69" i="2"/>
  <c r="M69" i="2" s="1"/>
  <c r="H70" i="2" s="1"/>
  <c r="V69" i="2"/>
  <c r="X69" i="2" s="1"/>
  <c r="W129" i="2"/>
  <c r="D123" i="2"/>
  <c r="I123" i="2"/>
  <c r="E123" i="2"/>
  <c r="R124" i="2"/>
  <c r="B125" i="2"/>
  <c r="C124" i="2"/>
  <c r="A127" i="2" l="1"/>
  <c r="Y126" i="2"/>
  <c r="F123" i="2"/>
  <c r="G123" i="2" s="1"/>
  <c r="T125" i="2"/>
  <c r="U124" i="2" s="1"/>
  <c r="J125" i="2"/>
  <c r="K124" i="2" s="1"/>
  <c r="O70" i="2"/>
  <c r="Q70" i="2" s="1"/>
  <c r="N70" i="2"/>
  <c r="P70" i="2"/>
  <c r="W130" i="2"/>
  <c r="I124" i="2"/>
  <c r="D124" i="2"/>
  <c r="E124" i="2"/>
  <c r="R125" i="2"/>
  <c r="C125" i="2"/>
  <c r="B126" i="2"/>
  <c r="A128" i="2" l="1"/>
  <c r="Y127" i="2"/>
  <c r="F124" i="2"/>
  <c r="G124" i="2" s="1"/>
  <c r="J126" i="2"/>
  <c r="K125" i="2" s="1"/>
  <c r="T126" i="2"/>
  <c r="U125" i="2" s="1"/>
  <c r="S70" i="2"/>
  <c r="AA70" i="2"/>
  <c r="V70" i="2"/>
  <c r="X70" i="2" s="1"/>
  <c r="L70" i="2"/>
  <c r="M70" i="2" s="1"/>
  <c r="H71" i="2" s="1"/>
  <c r="W131" i="2"/>
  <c r="D125" i="2"/>
  <c r="I125" i="2"/>
  <c r="E125" i="2"/>
  <c r="R126" i="2"/>
  <c r="B127" i="2"/>
  <c r="C126" i="2"/>
  <c r="A129" i="2" l="1"/>
  <c r="Y128" i="2"/>
  <c r="F125" i="2"/>
  <c r="G125" i="2" s="1"/>
  <c r="J127" i="2"/>
  <c r="K126" i="2" s="1"/>
  <c r="T127" i="2"/>
  <c r="U126" i="2" s="1"/>
  <c r="N71" i="2"/>
  <c r="O71" i="2"/>
  <c r="Q71" i="2" s="1"/>
  <c r="P71" i="2"/>
  <c r="W132" i="2"/>
  <c r="R127" i="2"/>
  <c r="C127" i="2"/>
  <c r="B128" i="2"/>
  <c r="D126" i="2"/>
  <c r="I126" i="2"/>
  <c r="E126" i="2"/>
  <c r="A130" i="2" l="1"/>
  <c r="Y129" i="2"/>
  <c r="F126" i="2"/>
  <c r="G126" i="2" s="1"/>
  <c r="J128" i="2"/>
  <c r="K127" i="2" s="1"/>
  <c r="T128" i="2"/>
  <c r="U127" i="2" s="1"/>
  <c r="S71" i="2"/>
  <c r="AA71" i="2"/>
  <c r="L71" i="2"/>
  <c r="M71" i="2" s="1"/>
  <c r="H72" i="2" s="1"/>
  <c r="V71" i="2"/>
  <c r="X71" i="2" s="1"/>
  <c r="W133" i="2"/>
  <c r="R128" i="2"/>
  <c r="C128" i="2"/>
  <c r="B129" i="2"/>
  <c r="D127" i="2"/>
  <c r="I127" i="2"/>
  <c r="E127" i="2"/>
  <c r="A131" i="2" l="1"/>
  <c r="Y130" i="2"/>
  <c r="F127" i="2"/>
  <c r="G127" i="2" s="1"/>
  <c r="J129" i="2"/>
  <c r="K128" i="2" s="1"/>
  <c r="T129" i="2"/>
  <c r="U128" i="2" s="1"/>
  <c r="O72" i="2"/>
  <c r="Q72" i="2" s="1"/>
  <c r="N72" i="2"/>
  <c r="P72" i="2"/>
  <c r="W134" i="2"/>
  <c r="R129" i="2"/>
  <c r="C129" i="2"/>
  <c r="B130" i="2"/>
  <c r="E128" i="2"/>
  <c r="D128" i="2"/>
  <c r="I128" i="2"/>
  <c r="A132" i="2" l="1"/>
  <c r="Y131" i="2"/>
  <c r="F128" i="2"/>
  <c r="G128" i="2" s="1"/>
  <c r="J130" i="2"/>
  <c r="K129" i="2" s="1"/>
  <c r="T130" i="2"/>
  <c r="U129" i="2" s="1"/>
  <c r="S72" i="2"/>
  <c r="AA72" i="2"/>
  <c r="V72" i="2"/>
  <c r="X72" i="2" s="1"/>
  <c r="L72" i="2"/>
  <c r="M72" i="2" s="1"/>
  <c r="H73" i="2" s="1"/>
  <c r="W135" i="2"/>
  <c r="I129" i="2"/>
  <c r="D129" i="2"/>
  <c r="E129" i="2"/>
  <c r="R130" i="2"/>
  <c r="C130" i="2"/>
  <c r="B131" i="2"/>
  <c r="A133" i="2" l="1"/>
  <c r="Y132" i="2"/>
  <c r="F129" i="2"/>
  <c r="G129" i="2" s="1"/>
  <c r="T131" i="2"/>
  <c r="U130" i="2" s="1"/>
  <c r="J131" i="2"/>
  <c r="K130" i="2" s="1"/>
  <c r="N73" i="2"/>
  <c r="P73" i="2"/>
  <c r="O73" i="2"/>
  <c r="Q73" i="2" s="1"/>
  <c r="W136" i="2"/>
  <c r="R131" i="2"/>
  <c r="C131" i="2"/>
  <c r="B132" i="2"/>
  <c r="I130" i="2"/>
  <c r="E130" i="2"/>
  <c r="D130" i="2"/>
  <c r="A134" i="2" l="1"/>
  <c r="Y133" i="2"/>
  <c r="F130" i="2"/>
  <c r="G130" i="2" s="1"/>
  <c r="J132" i="2"/>
  <c r="K131" i="2" s="1"/>
  <c r="T132" i="2"/>
  <c r="U131" i="2" s="1"/>
  <c r="S73" i="2"/>
  <c r="AA73" i="2"/>
  <c r="L73" i="2"/>
  <c r="M73" i="2" s="1"/>
  <c r="H74" i="2" s="1"/>
  <c r="V73" i="2"/>
  <c r="X73" i="2" s="1"/>
  <c r="W137" i="2"/>
  <c r="R132" i="2"/>
  <c r="B133" i="2"/>
  <c r="C132" i="2"/>
  <c r="E131" i="2"/>
  <c r="I131" i="2"/>
  <c r="D131" i="2"/>
  <c r="A135" i="2" l="1"/>
  <c r="Y134" i="2"/>
  <c r="F131" i="2"/>
  <c r="G131" i="2" s="1"/>
  <c r="T133" i="2"/>
  <c r="U132" i="2" s="1"/>
  <c r="J133" i="2"/>
  <c r="K132" i="2" s="1"/>
  <c r="N74" i="2"/>
  <c r="O74" i="2"/>
  <c r="Q74" i="2" s="1"/>
  <c r="P74" i="2"/>
  <c r="W138" i="2"/>
  <c r="I132" i="2"/>
  <c r="D132" i="2"/>
  <c r="E132" i="2"/>
  <c r="R133" i="2"/>
  <c r="C133" i="2"/>
  <c r="B134" i="2"/>
  <c r="A136" i="2" l="1"/>
  <c r="Y135" i="2"/>
  <c r="F132" i="2"/>
  <c r="G132" i="2" s="1"/>
  <c r="J134" i="2"/>
  <c r="K133" i="2" s="1"/>
  <c r="T134" i="2"/>
  <c r="U133" i="2" s="1"/>
  <c r="S74" i="2"/>
  <c r="AA74" i="2"/>
  <c r="L74" i="2"/>
  <c r="M74" i="2" s="1"/>
  <c r="H75" i="2" s="1"/>
  <c r="V74" i="2"/>
  <c r="X74" i="2" s="1"/>
  <c r="W139" i="2"/>
  <c r="R134" i="2"/>
  <c r="B135" i="2"/>
  <c r="C134" i="2"/>
  <c r="D133" i="2"/>
  <c r="I133" i="2"/>
  <c r="E133" i="2"/>
  <c r="A137" i="2" l="1"/>
  <c r="Y136" i="2"/>
  <c r="F133" i="2"/>
  <c r="G133" i="2" s="1"/>
  <c r="T135" i="2"/>
  <c r="U134" i="2" s="1"/>
  <c r="J135" i="2"/>
  <c r="K134" i="2" s="1"/>
  <c r="N75" i="2"/>
  <c r="O75" i="2"/>
  <c r="Q75" i="2" s="1"/>
  <c r="P75" i="2"/>
  <c r="W140" i="2"/>
  <c r="D134" i="2"/>
  <c r="I134" i="2"/>
  <c r="E134" i="2"/>
  <c r="R135" i="2"/>
  <c r="C135" i="2"/>
  <c r="B136" i="2"/>
  <c r="A138" i="2" l="1"/>
  <c r="Y137" i="2"/>
  <c r="F134" i="2"/>
  <c r="G134" i="2" s="1"/>
  <c r="J136" i="2"/>
  <c r="K135" i="2" s="1"/>
  <c r="T136" i="2"/>
  <c r="U135" i="2" s="1"/>
  <c r="S75" i="2"/>
  <c r="AA75" i="2"/>
  <c r="L75" i="2"/>
  <c r="M75" i="2" s="1"/>
  <c r="H76" i="2" s="1"/>
  <c r="V75" i="2"/>
  <c r="X75" i="2" s="1"/>
  <c r="W141" i="2"/>
  <c r="I135" i="2"/>
  <c r="E135" i="2"/>
  <c r="D135" i="2"/>
  <c r="R136" i="2"/>
  <c r="C136" i="2"/>
  <c r="B137" i="2"/>
  <c r="A139" i="2" l="1"/>
  <c r="Y138" i="2"/>
  <c r="F135" i="2"/>
  <c r="G135" i="2" s="1"/>
  <c r="J137" i="2"/>
  <c r="K136" i="2" s="1"/>
  <c r="T137" i="2"/>
  <c r="U136" i="2" s="1"/>
  <c r="O76" i="2"/>
  <c r="Q76" i="2" s="1"/>
  <c r="P76" i="2"/>
  <c r="N76" i="2"/>
  <c r="W142" i="2"/>
  <c r="I136" i="2"/>
  <c r="E136" i="2"/>
  <c r="D136" i="2"/>
  <c r="R137" i="2"/>
  <c r="C137" i="2"/>
  <c r="B138" i="2"/>
  <c r="A140" i="2" l="1"/>
  <c r="Y139" i="2"/>
  <c r="F136" i="2"/>
  <c r="G136" i="2" s="1"/>
  <c r="J138" i="2"/>
  <c r="K137" i="2" s="1"/>
  <c r="T138" i="2"/>
  <c r="U137" i="2" s="1"/>
  <c r="S76" i="2"/>
  <c r="L76" i="2"/>
  <c r="M76" i="2" s="1"/>
  <c r="H77" i="2" s="1"/>
  <c r="AA76" i="2"/>
  <c r="V76" i="2"/>
  <c r="X76" i="2" s="1"/>
  <c r="W143" i="2"/>
  <c r="D137" i="2"/>
  <c r="I137" i="2"/>
  <c r="E137" i="2"/>
  <c r="R138" i="2"/>
  <c r="C138" i="2"/>
  <c r="B139" i="2"/>
  <c r="A141" i="2" l="1"/>
  <c r="Y140" i="2"/>
  <c r="F137" i="2"/>
  <c r="G137" i="2" s="1"/>
  <c r="T139" i="2"/>
  <c r="U138" i="2" s="1"/>
  <c r="J139" i="2"/>
  <c r="K138" i="2" s="1"/>
  <c r="P77" i="2"/>
  <c r="O77" i="2"/>
  <c r="Q77" i="2" s="1"/>
  <c r="N77" i="2"/>
  <c r="W144" i="2"/>
  <c r="R139" i="2"/>
  <c r="C139" i="2"/>
  <c r="B140" i="2"/>
  <c r="I138" i="2"/>
  <c r="E138" i="2"/>
  <c r="D138" i="2"/>
  <c r="A142" i="2" l="1"/>
  <c r="Y141" i="2"/>
  <c r="F138" i="2"/>
  <c r="G138" i="2" s="1"/>
  <c r="T140" i="2"/>
  <c r="U139" i="2" s="1"/>
  <c r="S77" i="2"/>
  <c r="L77" i="2"/>
  <c r="M77" i="2" s="1"/>
  <c r="H78" i="2" s="1"/>
  <c r="AA77" i="2"/>
  <c r="J140" i="2"/>
  <c r="K139" i="2" s="1"/>
  <c r="V77" i="2"/>
  <c r="X77" i="2" s="1"/>
  <c r="W145" i="2"/>
  <c r="R140" i="2"/>
  <c r="C140" i="2"/>
  <c r="B141" i="2"/>
  <c r="I139" i="2"/>
  <c r="E139" i="2"/>
  <c r="D139" i="2"/>
  <c r="A143" i="2" l="1"/>
  <c r="Y142" i="2"/>
  <c r="F139" i="2"/>
  <c r="G139" i="2" s="1"/>
  <c r="T141" i="2"/>
  <c r="U140" i="2" s="1"/>
  <c r="J141" i="2"/>
  <c r="K140" i="2" s="1"/>
  <c r="O78" i="2"/>
  <c r="Q78" i="2" s="1"/>
  <c r="P78" i="2"/>
  <c r="N78" i="2"/>
  <c r="W146" i="2"/>
  <c r="R141" i="2"/>
  <c r="C141" i="2"/>
  <c r="B142" i="2"/>
  <c r="D140" i="2"/>
  <c r="I140" i="2"/>
  <c r="E140" i="2"/>
  <c r="A144" i="2" l="1"/>
  <c r="Y143" i="2"/>
  <c r="F140" i="2"/>
  <c r="G140" i="2" s="1"/>
  <c r="J142" i="2"/>
  <c r="K141" i="2" s="1"/>
  <c r="T142" i="2"/>
  <c r="U141" i="2" s="1"/>
  <c r="S78" i="2"/>
  <c r="AA78" i="2"/>
  <c r="V78" i="2"/>
  <c r="X78" i="2" s="1"/>
  <c r="L78" i="2"/>
  <c r="M78" i="2" s="1"/>
  <c r="H79" i="2" s="1"/>
  <c r="W147" i="2"/>
  <c r="R142" i="2"/>
  <c r="B143" i="2"/>
  <c r="C142" i="2"/>
  <c r="I141" i="2"/>
  <c r="E141" i="2"/>
  <c r="D141" i="2"/>
  <c r="A145" i="2" l="1"/>
  <c r="Y144" i="2"/>
  <c r="F141" i="2"/>
  <c r="G141" i="2" s="1"/>
  <c r="J143" i="2"/>
  <c r="K142" i="2" s="1"/>
  <c r="T143" i="2"/>
  <c r="U142" i="2" s="1"/>
  <c r="N79" i="2"/>
  <c r="O79" i="2"/>
  <c r="Q79" i="2" s="1"/>
  <c r="P79" i="2"/>
  <c r="W148" i="2"/>
  <c r="R143" i="2"/>
  <c r="C143" i="2"/>
  <c r="B144" i="2"/>
  <c r="D142" i="2"/>
  <c r="I142" i="2"/>
  <c r="E142" i="2"/>
  <c r="A146" i="2" l="1"/>
  <c r="Y145" i="2"/>
  <c r="F142" i="2"/>
  <c r="G142" i="2" s="1"/>
  <c r="J144" i="2"/>
  <c r="K143" i="2" s="1"/>
  <c r="T144" i="2"/>
  <c r="U143" i="2" s="1"/>
  <c r="S79" i="2"/>
  <c r="AA79" i="2"/>
  <c r="L79" i="2"/>
  <c r="M79" i="2" s="1"/>
  <c r="H80" i="2" s="1"/>
  <c r="V79" i="2"/>
  <c r="X79" i="2" s="1"/>
  <c r="W149" i="2"/>
  <c r="I143" i="2"/>
  <c r="E143" i="2"/>
  <c r="D143" i="2"/>
  <c r="R144" i="2"/>
  <c r="C144" i="2"/>
  <c r="B145" i="2"/>
  <c r="A147" i="2" l="1"/>
  <c r="Y146" i="2"/>
  <c r="F143" i="2"/>
  <c r="G143" i="2" s="1"/>
  <c r="J145" i="2"/>
  <c r="K144" i="2" s="1"/>
  <c r="T145" i="2"/>
  <c r="U144" i="2" s="1"/>
  <c r="P80" i="2"/>
  <c r="N80" i="2"/>
  <c r="O80" i="2"/>
  <c r="Q80" i="2" s="1"/>
  <c r="W150" i="2"/>
  <c r="R145" i="2"/>
  <c r="B146" i="2"/>
  <c r="C145" i="2"/>
  <c r="I144" i="2"/>
  <c r="E144" i="2"/>
  <c r="D144" i="2"/>
  <c r="A148" i="2" l="1"/>
  <c r="Y147" i="2"/>
  <c r="F144" i="2"/>
  <c r="G144" i="2" s="1"/>
  <c r="J146" i="2"/>
  <c r="K145" i="2" s="1"/>
  <c r="T146" i="2"/>
  <c r="U145" i="2" s="1"/>
  <c r="S80" i="2"/>
  <c r="AA80" i="2"/>
  <c r="V80" i="2"/>
  <c r="X80" i="2" s="1"/>
  <c r="L80" i="2"/>
  <c r="M80" i="2" s="1"/>
  <c r="H81" i="2" s="1"/>
  <c r="W151" i="2"/>
  <c r="R146" i="2"/>
  <c r="C146" i="2"/>
  <c r="B147" i="2"/>
  <c r="I145" i="2"/>
  <c r="D145" i="2"/>
  <c r="E145" i="2"/>
  <c r="A149" i="2" l="1"/>
  <c r="Y148" i="2"/>
  <c r="F145" i="2"/>
  <c r="G145" i="2" s="1"/>
  <c r="J147" i="2"/>
  <c r="K146" i="2" s="1"/>
  <c r="T147" i="2"/>
  <c r="U146" i="2" s="1"/>
  <c r="N81" i="2"/>
  <c r="P81" i="2"/>
  <c r="O81" i="2"/>
  <c r="Q81" i="2" s="1"/>
  <c r="W152" i="2"/>
  <c r="D146" i="2"/>
  <c r="I146" i="2"/>
  <c r="E146" i="2"/>
  <c r="R147" i="2"/>
  <c r="B148" i="2"/>
  <c r="C147" i="2"/>
  <c r="A150" i="2" l="1"/>
  <c r="Y149" i="2"/>
  <c r="F146" i="2"/>
  <c r="G146" i="2" s="1"/>
  <c r="J148" i="2"/>
  <c r="K147" i="2" s="1"/>
  <c r="T148" i="2"/>
  <c r="U147" i="2" s="1"/>
  <c r="S81" i="2"/>
  <c r="L81" i="2"/>
  <c r="M81" i="2" s="1"/>
  <c r="H82" i="2" s="1"/>
  <c r="AA81" i="2"/>
  <c r="V81" i="2"/>
  <c r="X81" i="2" s="1"/>
  <c r="W153" i="2"/>
  <c r="D147" i="2"/>
  <c r="E147" i="2"/>
  <c r="I147" i="2"/>
  <c r="R148" i="2"/>
  <c r="B149" i="2"/>
  <c r="C148" i="2"/>
  <c r="A151" i="2" l="1"/>
  <c r="Y150" i="2"/>
  <c r="F147" i="2"/>
  <c r="G147" i="2" s="1"/>
  <c r="J149" i="2"/>
  <c r="K148" i="2" s="1"/>
  <c r="T149" i="2"/>
  <c r="U148" i="2" s="1"/>
  <c r="O82" i="2"/>
  <c r="Q82" i="2" s="1"/>
  <c r="N82" i="2"/>
  <c r="P82" i="2"/>
  <c r="W154" i="2"/>
  <c r="R149" i="2"/>
  <c r="B150" i="2"/>
  <c r="C149" i="2"/>
  <c r="D148" i="2"/>
  <c r="I148" i="2"/>
  <c r="E148" i="2"/>
  <c r="A152" i="2" l="1"/>
  <c r="Y151" i="2"/>
  <c r="F148" i="2"/>
  <c r="G148" i="2" s="1"/>
  <c r="J150" i="2"/>
  <c r="K149" i="2" s="1"/>
  <c r="T150" i="2"/>
  <c r="U149" i="2" s="1"/>
  <c r="S82" i="2"/>
  <c r="AA82" i="2"/>
  <c r="V82" i="2"/>
  <c r="X82" i="2" s="1"/>
  <c r="L82" i="2"/>
  <c r="M82" i="2" s="1"/>
  <c r="H83" i="2" s="1"/>
  <c r="W155" i="2"/>
  <c r="R150" i="2"/>
  <c r="C150" i="2"/>
  <c r="B151" i="2"/>
  <c r="E149" i="2"/>
  <c r="I149" i="2"/>
  <c r="D149" i="2"/>
  <c r="A153" i="2" l="1"/>
  <c r="Y152" i="2"/>
  <c r="F149" i="2"/>
  <c r="G149" i="2" s="1"/>
  <c r="J151" i="2"/>
  <c r="K150" i="2" s="1"/>
  <c r="T151" i="2"/>
  <c r="U150" i="2" s="1"/>
  <c r="N83" i="2"/>
  <c r="O83" i="2"/>
  <c r="Q83" i="2" s="1"/>
  <c r="P83" i="2"/>
  <c r="W156" i="2"/>
  <c r="D150" i="2"/>
  <c r="E150" i="2"/>
  <c r="I150" i="2"/>
  <c r="R151" i="2"/>
  <c r="B152" i="2"/>
  <c r="C151" i="2"/>
  <c r="A154" i="2" l="1"/>
  <c r="Y153" i="2"/>
  <c r="F150" i="2"/>
  <c r="G150" i="2" s="1"/>
  <c r="J152" i="2"/>
  <c r="K151" i="2" s="1"/>
  <c r="T152" i="2"/>
  <c r="U151" i="2" s="1"/>
  <c r="S83" i="2"/>
  <c r="AA83" i="2"/>
  <c r="L83" i="2"/>
  <c r="M83" i="2" s="1"/>
  <c r="H84" i="2" s="1"/>
  <c r="V83" i="2"/>
  <c r="X83" i="2" s="1"/>
  <c r="W157" i="2"/>
  <c r="E151" i="2"/>
  <c r="D151" i="2"/>
  <c r="I151" i="2"/>
  <c r="R152" i="2"/>
  <c r="B153" i="2"/>
  <c r="C152" i="2"/>
  <c r="A155" i="2" l="1"/>
  <c r="Y154" i="2"/>
  <c r="F151" i="2"/>
  <c r="G151" i="2" s="1"/>
  <c r="J153" i="2"/>
  <c r="K152" i="2" s="1"/>
  <c r="T153" i="2"/>
  <c r="U152" i="2" s="1"/>
  <c r="O84" i="2"/>
  <c r="Q84" i="2" s="1"/>
  <c r="P84" i="2"/>
  <c r="N84" i="2"/>
  <c r="W158" i="2"/>
  <c r="I152" i="2"/>
  <c r="D152" i="2"/>
  <c r="E152" i="2"/>
  <c r="R153" i="2"/>
  <c r="C153" i="2"/>
  <c r="B154" i="2"/>
  <c r="A156" i="2" l="1"/>
  <c r="Y155" i="2"/>
  <c r="F152" i="2"/>
  <c r="G152" i="2" s="1"/>
  <c r="J154" i="2"/>
  <c r="K153" i="2" s="1"/>
  <c r="T154" i="2"/>
  <c r="U153" i="2" s="1"/>
  <c r="S84" i="2"/>
  <c r="AA84" i="2"/>
  <c r="V84" i="2"/>
  <c r="X84" i="2" s="1"/>
  <c r="L84" i="2"/>
  <c r="M84" i="2" s="1"/>
  <c r="H85" i="2" s="1"/>
  <c r="W159" i="2"/>
  <c r="R154" i="2"/>
  <c r="B155" i="2"/>
  <c r="C154" i="2"/>
  <c r="D153" i="2"/>
  <c r="I153" i="2"/>
  <c r="E153" i="2"/>
  <c r="A157" i="2" l="1"/>
  <c r="Y156" i="2"/>
  <c r="F153" i="2"/>
  <c r="G153" i="2" s="1"/>
  <c r="T155" i="2"/>
  <c r="U154" i="2" s="1"/>
  <c r="J155" i="2"/>
  <c r="K154" i="2" s="1"/>
  <c r="N85" i="2"/>
  <c r="O85" i="2"/>
  <c r="Q85" i="2" s="1"/>
  <c r="P85" i="2"/>
  <c r="W160" i="2"/>
  <c r="R155" i="2"/>
  <c r="B156" i="2"/>
  <c r="C155" i="2"/>
  <c r="E154" i="2"/>
  <c r="I154" i="2"/>
  <c r="D154" i="2"/>
  <c r="A158" i="2" l="1"/>
  <c r="Y157" i="2"/>
  <c r="F154" i="2"/>
  <c r="G154" i="2" s="1"/>
  <c r="J156" i="2"/>
  <c r="K155" i="2" s="1"/>
  <c r="T156" i="2"/>
  <c r="U155" i="2" s="1"/>
  <c r="S85" i="2"/>
  <c r="AA85" i="2"/>
  <c r="V85" i="2"/>
  <c r="X85" i="2" s="1"/>
  <c r="L85" i="2"/>
  <c r="M85" i="2" s="1"/>
  <c r="H86" i="2" s="1"/>
  <c r="W161" i="2"/>
  <c r="R156" i="2"/>
  <c r="C156" i="2"/>
  <c r="B157" i="2"/>
  <c r="D155" i="2"/>
  <c r="I155" i="2"/>
  <c r="E155" i="2"/>
  <c r="A159" i="2" l="1"/>
  <c r="Y158" i="2"/>
  <c r="F155" i="2"/>
  <c r="G155" i="2" s="1"/>
  <c r="T157" i="2"/>
  <c r="U156" i="2" s="1"/>
  <c r="J157" i="2"/>
  <c r="K156" i="2" s="1"/>
  <c r="O86" i="2"/>
  <c r="Q86" i="2" s="1"/>
  <c r="N86" i="2"/>
  <c r="P86" i="2"/>
  <c r="W162" i="2"/>
  <c r="R157" i="2"/>
  <c r="B158" i="2"/>
  <c r="C157" i="2"/>
  <c r="I156" i="2"/>
  <c r="D156" i="2"/>
  <c r="E156" i="2"/>
  <c r="A160" i="2" l="1"/>
  <c r="Y159" i="2"/>
  <c r="F156" i="2"/>
  <c r="G156" i="2" s="1"/>
  <c r="J158" i="2"/>
  <c r="K157" i="2" s="1"/>
  <c r="T158" i="2"/>
  <c r="U157" i="2" s="1"/>
  <c r="S86" i="2"/>
  <c r="AA86" i="2"/>
  <c r="L86" i="2"/>
  <c r="M86" i="2" s="1"/>
  <c r="H87" i="2" s="1"/>
  <c r="V86" i="2"/>
  <c r="X86" i="2" s="1"/>
  <c r="W163" i="2"/>
  <c r="D157" i="2"/>
  <c r="I157" i="2"/>
  <c r="E157" i="2"/>
  <c r="R158" i="2"/>
  <c r="C158" i="2"/>
  <c r="B159" i="2"/>
  <c r="A161" i="2" l="1"/>
  <c r="Y160" i="2"/>
  <c r="F157" i="2"/>
  <c r="G157" i="2" s="1"/>
  <c r="J159" i="2"/>
  <c r="K158" i="2" s="1"/>
  <c r="T159" i="2"/>
  <c r="U158" i="2" s="1"/>
  <c r="N87" i="2"/>
  <c r="P87" i="2"/>
  <c r="O87" i="2"/>
  <c r="Q87" i="2" s="1"/>
  <c r="W164" i="2"/>
  <c r="R159" i="2"/>
  <c r="B160" i="2"/>
  <c r="C159" i="2"/>
  <c r="I158" i="2"/>
  <c r="D158" i="2"/>
  <c r="E158" i="2"/>
  <c r="A162" i="2" l="1"/>
  <c r="Y161" i="2"/>
  <c r="F158" i="2"/>
  <c r="G158" i="2" s="1"/>
  <c r="J160" i="2"/>
  <c r="K159" i="2" s="1"/>
  <c r="T160" i="2"/>
  <c r="U159" i="2" s="1"/>
  <c r="S87" i="2"/>
  <c r="AA87" i="2"/>
  <c r="L87" i="2"/>
  <c r="M87" i="2" s="1"/>
  <c r="H88" i="2" s="1"/>
  <c r="V87" i="2"/>
  <c r="X87" i="2" s="1"/>
  <c r="W165" i="2"/>
  <c r="E159" i="2"/>
  <c r="I159" i="2"/>
  <c r="D159" i="2"/>
  <c r="R160" i="2"/>
  <c r="C160" i="2"/>
  <c r="B161" i="2"/>
  <c r="A163" i="2" l="1"/>
  <c r="Y162" i="2"/>
  <c r="F159" i="2"/>
  <c r="G159" i="2" s="1"/>
  <c r="J161" i="2"/>
  <c r="K160" i="2" s="1"/>
  <c r="T161" i="2"/>
  <c r="U160" i="2" s="1"/>
  <c r="O88" i="2"/>
  <c r="Q88" i="2" s="1"/>
  <c r="P88" i="2"/>
  <c r="N88" i="2"/>
  <c r="W166" i="2"/>
  <c r="I160" i="2"/>
  <c r="E160" i="2"/>
  <c r="D160" i="2"/>
  <c r="R161" i="2"/>
  <c r="C161" i="2"/>
  <c r="B162" i="2"/>
  <c r="A164" i="2" l="1"/>
  <c r="Y163" i="2"/>
  <c r="F160" i="2"/>
  <c r="G160" i="2" s="1"/>
  <c r="J162" i="2"/>
  <c r="K161" i="2" s="1"/>
  <c r="T162" i="2"/>
  <c r="U161" i="2" s="1"/>
  <c r="S88" i="2"/>
  <c r="L88" i="2"/>
  <c r="M88" i="2" s="1"/>
  <c r="H89" i="2" s="1"/>
  <c r="AA88" i="2"/>
  <c r="V88" i="2"/>
  <c r="X88" i="2" s="1"/>
  <c r="W167" i="2"/>
  <c r="I161" i="2"/>
  <c r="D161" i="2"/>
  <c r="E161" i="2"/>
  <c r="R162" i="2"/>
  <c r="C162" i="2"/>
  <c r="B163" i="2"/>
  <c r="A165" i="2" l="1"/>
  <c r="Y164" i="2"/>
  <c r="F161" i="2"/>
  <c r="G161" i="2" s="1"/>
  <c r="J163" i="2"/>
  <c r="K162" i="2" s="1"/>
  <c r="T163" i="2"/>
  <c r="U162" i="2" s="1"/>
  <c r="P89" i="2"/>
  <c r="O89" i="2"/>
  <c r="Q89" i="2" s="1"/>
  <c r="N89" i="2"/>
  <c r="W168" i="2"/>
  <c r="R163" i="2"/>
  <c r="C163" i="2"/>
  <c r="B164" i="2"/>
  <c r="I162" i="2"/>
  <c r="E162" i="2"/>
  <c r="D162" i="2"/>
  <c r="A166" i="2" l="1"/>
  <c r="Y165" i="2"/>
  <c r="F162" i="2"/>
  <c r="G162" i="2" s="1"/>
  <c r="J164" i="2"/>
  <c r="K163" i="2" s="1"/>
  <c r="T164" i="2"/>
  <c r="U163" i="2" s="1"/>
  <c r="S89" i="2"/>
  <c r="L89" i="2"/>
  <c r="M89" i="2" s="1"/>
  <c r="H90" i="2" s="1"/>
  <c r="AA89" i="2"/>
  <c r="V89" i="2"/>
  <c r="X89" i="2" s="1"/>
  <c r="W169" i="2"/>
  <c r="R164" i="2"/>
  <c r="C164" i="2"/>
  <c r="B165" i="2"/>
  <c r="I163" i="2"/>
  <c r="D163" i="2"/>
  <c r="E163" i="2"/>
  <c r="A167" i="2" l="1"/>
  <c r="Y166" i="2"/>
  <c r="F163" i="2"/>
  <c r="G163" i="2" s="1"/>
  <c r="J165" i="2"/>
  <c r="K164" i="2" s="1"/>
  <c r="T165" i="2"/>
  <c r="U164" i="2" s="1"/>
  <c r="N90" i="2"/>
  <c r="P90" i="2"/>
  <c r="O90" i="2"/>
  <c r="Q90" i="2" s="1"/>
  <c r="W170" i="2"/>
  <c r="R165" i="2"/>
  <c r="B166" i="2"/>
  <c r="C165" i="2"/>
  <c r="I164" i="2"/>
  <c r="D164" i="2"/>
  <c r="E164" i="2"/>
  <c r="A168" i="2" l="1"/>
  <c r="Y167" i="2"/>
  <c r="F164" i="2"/>
  <c r="G164" i="2" s="1"/>
  <c r="J166" i="2"/>
  <c r="K165" i="2" s="1"/>
  <c r="T166" i="2"/>
  <c r="U165" i="2" s="1"/>
  <c r="S90" i="2"/>
  <c r="AA90" i="2"/>
  <c r="L90" i="2"/>
  <c r="M90" i="2" s="1"/>
  <c r="H91" i="2" s="1"/>
  <c r="V90" i="2"/>
  <c r="X90" i="2" s="1"/>
  <c r="W171" i="2"/>
  <c r="R166" i="2"/>
  <c r="B167" i="2"/>
  <c r="C166" i="2"/>
  <c r="I165" i="2"/>
  <c r="E165" i="2"/>
  <c r="D165" i="2"/>
  <c r="A169" i="2" l="1"/>
  <c r="Y168" i="2"/>
  <c r="F165" i="2"/>
  <c r="G165" i="2" s="1"/>
  <c r="T167" i="2"/>
  <c r="U166" i="2" s="1"/>
  <c r="J167" i="2"/>
  <c r="K166" i="2" s="1"/>
  <c r="N91" i="2"/>
  <c r="O91" i="2"/>
  <c r="Q91" i="2" s="1"/>
  <c r="P91" i="2"/>
  <c r="W172" i="2"/>
  <c r="R167" i="2"/>
  <c r="C167" i="2"/>
  <c r="B168" i="2"/>
  <c r="E166" i="2"/>
  <c r="D166" i="2"/>
  <c r="I166" i="2"/>
  <c r="A170" i="2" l="1"/>
  <c r="Y169" i="2"/>
  <c r="F166" i="2"/>
  <c r="G166" i="2" s="1"/>
  <c r="J168" i="2"/>
  <c r="K167" i="2" s="1"/>
  <c r="T168" i="2"/>
  <c r="U167" i="2" s="1"/>
  <c r="S91" i="2"/>
  <c r="AA91" i="2"/>
  <c r="L91" i="2"/>
  <c r="M91" i="2" s="1"/>
  <c r="H92" i="2" s="1"/>
  <c r="V91" i="2"/>
  <c r="X91" i="2" s="1"/>
  <c r="W173" i="2"/>
  <c r="R168" i="2"/>
  <c r="C168" i="2"/>
  <c r="B169" i="2"/>
  <c r="I167" i="2"/>
  <c r="E167" i="2"/>
  <c r="D167" i="2"/>
  <c r="A171" i="2" l="1"/>
  <c r="Y170" i="2"/>
  <c r="F167" i="2"/>
  <c r="G167" i="2" s="1"/>
  <c r="J169" i="2"/>
  <c r="K168" i="2" s="1"/>
  <c r="T169" i="2"/>
  <c r="U168" i="2" s="1"/>
  <c r="P92" i="2"/>
  <c r="N92" i="2"/>
  <c r="O92" i="2"/>
  <c r="Q92" i="2" s="1"/>
  <c r="W174" i="2"/>
  <c r="R169" i="2"/>
  <c r="C169" i="2"/>
  <c r="B170" i="2"/>
  <c r="I168" i="2"/>
  <c r="E168" i="2"/>
  <c r="D168" i="2"/>
  <c r="A172" i="2" l="1"/>
  <c r="Y171" i="2"/>
  <c r="F168" i="2"/>
  <c r="G168" i="2" s="1"/>
  <c r="J170" i="2"/>
  <c r="K169" i="2" s="1"/>
  <c r="T170" i="2"/>
  <c r="U169" i="2" s="1"/>
  <c r="S92" i="2"/>
  <c r="AA92" i="2"/>
  <c r="V92" i="2"/>
  <c r="X92" i="2" s="1"/>
  <c r="L92" i="2"/>
  <c r="M92" i="2" s="1"/>
  <c r="H93" i="2" s="1"/>
  <c r="W175" i="2"/>
  <c r="I169" i="2"/>
  <c r="E169" i="2"/>
  <c r="D169" i="2"/>
  <c r="R170" i="2"/>
  <c r="B171" i="2"/>
  <c r="C170" i="2"/>
  <c r="A173" i="2" l="1"/>
  <c r="Y172" i="2"/>
  <c r="F169" i="2"/>
  <c r="G169" i="2" s="1"/>
  <c r="T171" i="2"/>
  <c r="U170" i="2" s="1"/>
  <c r="J171" i="2"/>
  <c r="K170" i="2" s="1"/>
  <c r="P93" i="2"/>
  <c r="N93" i="2"/>
  <c r="O93" i="2"/>
  <c r="Q93" i="2" s="1"/>
  <c r="W176" i="2"/>
  <c r="I170" i="2"/>
  <c r="D170" i="2"/>
  <c r="E170" i="2"/>
  <c r="R171" i="2"/>
  <c r="C171" i="2"/>
  <c r="B172" i="2"/>
  <c r="A174" i="2" l="1"/>
  <c r="Y173" i="2"/>
  <c r="F170" i="2"/>
  <c r="G170" i="2" s="1"/>
  <c r="J172" i="2"/>
  <c r="K171" i="2" s="1"/>
  <c r="T172" i="2"/>
  <c r="U171" i="2" s="1"/>
  <c r="S93" i="2"/>
  <c r="AA93" i="2"/>
  <c r="V93" i="2"/>
  <c r="X93" i="2" s="1"/>
  <c r="L93" i="2"/>
  <c r="M93" i="2" s="1"/>
  <c r="H94" i="2" s="1"/>
  <c r="W177" i="2"/>
  <c r="R172" i="2"/>
  <c r="B173" i="2"/>
  <c r="C172" i="2"/>
  <c r="I171" i="2"/>
  <c r="E171" i="2"/>
  <c r="D171" i="2"/>
  <c r="A175" i="2" l="1"/>
  <c r="Y174" i="2"/>
  <c r="F171" i="2"/>
  <c r="G171" i="2" s="1"/>
  <c r="T173" i="2"/>
  <c r="U172" i="2" s="1"/>
  <c r="J173" i="2"/>
  <c r="K172" i="2" s="1"/>
  <c r="P94" i="2"/>
  <c r="O94" i="2"/>
  <c r="Q94" i="2" s="1"/>
  <c r="N94" i="2"/>
  <c r="W178" i="2"/>
  <c r="E172" i="2"/>
  <c r="I172" i="2"/>
  <c r="D172" i="2"/>
  <c r="R173" i="2"/>
  <c r="C173" i="2"/>
  <c r="B174" i="2"/>
  <c r="A176" i="2" l="1"/>
  <c r="Y175" i="2"/>
  <c r="F172" i="2"/>
  <c r="G172" i="2" s="1"/>
  <c r="J174" i="2"/>
  <c r="K173" i="2" s="1"/>
  <c r="T174" i="2"/>
  <c r="U173" i="2" s="1"/>
  <c r="S94" i="2"/>
  <c r="L94" i="2"/>
  <c r="M94" i="2" s="1"/>
  <c r="H95" i="2" s="1"/>
  <c r="AA94" i="2"/>
  <c r="V94" i="2"/>
  <c r="X94" i="2" s="1"/>
  <c r="W179" i="2"/>
  <c r="R174" i="2"/>
  <c r="C174" i="2"/>
  <c r="B175" i="2"/>
  <c r="I173" i="2"/>
  <c r="D173" i="2"/>
  <c r="E173" i="2"/>
  <c r="A177" i="2" l="1"/>
  <c r="Y176" i="2"/>
  <c r="F173" i="2"/>
  <c r="G173" i="2" s="1"/>
  <c r="J175" i="2"/>
  <c r="K174" i="2" s="1"/>
  <c r="T175" i="2"/>
  <c r="U174" i="2" s="1"/>
  <c r="O95" i="2"/>
  <c r="Q95" i="2" s="1"/>
  <c r="N95" i="2"/>
  <c r="P95" i="2"/>
  <c r="W180" i="2"/>
  <c r="R175" i="2"/>
  <c r="C175" i="2"/>
  <c r="B176" i="2"/>
  <c r="D174" i="2"/>
  <c r="I174" i="2"/>
  <c r="E174" i="2"/>
  <c r="A178" i="2" l="1"/>
  <c r="Y177" i="2"/>
  <c r="F174" i="2"/>
  <c r="G174" i="2" s="1"/>
  <c r="J176" i="2"/>
  <c r="K175" i="2" s="1"/>
  <c r="T176" i="2"/>
  <c r="U175" i="2" s="1"/>
  <c r="S95" i="2"/>
  <c r="AA95" i="2"/>
  <c r="L95" i="2"/>
  <c r="M95" i="2" s="1"/>
  <c r="H96" i="2" s="1"/>
  <c r="V95" i="2"/>
  <c r="X95" i="2" s="1"/>
  <c r="W181" i="2"/>
  <c r="R176" i="2"/>
  <c r="C176" i="2"/>
  <c r="B177" i="2"/>
  <c r="E175" i="2"/>
  <c r="D175" i="2"/>
  <c r="I175" i="2"/>
  <c r="A179" i="2" l="1"/>
  <c r="Y178" i="2"/>
  <c r="F175" i="2"/>
  <c r="G175" i="2" s="1"/>
  <c r="J177" i="2"/>
  <c r="K176" i="2" s="1"/>
  <c r="T177" i="2"/>
  <c r="U176" i="2" s="1"/>
  <c r="N96" i="2"/>
  <c r="O96" i="2"/>
  <c r="Q96" i="2" s="1"/>
  <c r="P96" i="2"/>
  <c r="W182" i="2"/>
  <c r="R177" i="2"/>
  <c r="B178" i="2"/>
  <c r="C177" i="2"/>
  <c r="I176" i="2"/>
  <c r="E176" i="2"/>
  <c r="D176" i="2"/>
  <c r="A180" i="2" l="1"/>
  <c r="Y179" i="2"/>
  <c r="F176" i="2"/>
  <c r="G176" i="2" s="1"/>
  <c r="J178" i="2"/>
  <c r="K177" i="2" s="1"/>
  <c r="T178" i="2"/>
  <c r="U177" i="2" s="1"/>
  <c r="S96" i="2"/>
  <c r="AA96" i="2"/>
  <c r="V96" i="2"/>
  <c r="X96" i="2" s="1"/>
  <c r="L96" i="2"/>
  <c r="M96" i="2" s="1"/>
  <c r="H97" i="2" s="1"/>
  <c r="W183" i="2"/>
  <c r="R178" i="2"/>
  <c r="B179" i="2"/>
  <c r="C178" i="2"/>
  <c r="I177" i="2"/>
  <c r="E177" i="2"/>
  <c r="D177" i="2"/>
  <c r="A181" i="2" l="1"/>
  <c r="Y180" i="2"/>
  <c r="F177" i="2"/>
  <c r="G177" i="2" s="1"/>
  <c r="J179" i="2"/>
  <c r="K178" i="2" s="1"/>
  <c r="T179" i="2"/>
  <c r="U178" i="2" s="1"/>
  <c r="O97" i="2"/>
  <c r="Q97" i="2" s="1"/>
  <c r="N97" i="2"/>
  <c r="P97" i="2"/>
  <c r="W184" i="2"/>
  <c r="R179" i="2"/>
  <c r="C179" i="2"/>
  <c r="B180" i="2"/>
  <c r="E178" i="2"/>
  <c r="I178" i="2"/>
  <c r="D178" i="2"/>
  <c r="A182" i="2" l="1"/>
  <c r="Y181" i="2"/>
  <c r="F178" i="2"/>
  <c r="G178" i="2" s="1"/>
  <c r="T180" i="2"/>
  <c r="U179" i="2" s="1"/>
  <c r="S97" i="2"/>
  <c r="L97" i="2"/>
  <c r="M97" i="2" s="1"/>
  <c r="H98" i="2" s="1"/>
  <c r="AA97" i="2"/>
  <c r="J180" i="2"/>
  <c r="K179" i="2" s="1"/>
  <c r="V97" i="2"/>
  <c r="X97" i="2" s="1"/>
  <c r="W185" i="2"/>
  <c r="R180" i="2"/>
  <c r="C180" i="2"/>
  <c r="B181" i="2"/>
  <c r="E179" i="2"/>
  <c r="I179" i="2"/>
  <c r="D179" i="2"/>
  <c r="A183" i="2" l="1"/>
  <c r="Y182" i="2"/>
  <c r="F179" i="2"/>
  <c r="G179" i="2" s="1"/>
  <c r="T181" i="2"/>
  <c r="U180" i="2" s="1"/>
  <c r="J181" i="2"/>
  <c r="K180" i="2" s="1"/>
  <c r="P98" i="2"/>
  <c r="O98" i="2"/>
  <c r="Q98" i="2" s="1"/>
  <c r="N98" i="2"/>
  <c r="W186" i="2"/>
  <c r="I180" i="2"/>
  <c r="D180" i="2"/>
  <c r="E180" i="2"/>
  <c r="R181" i="2"/>
  <c r="C181" i="2"/>
  <c r="B182" i="2"/>
  <c r="A184" i="2" l="1"/>
  <c r="Y183" i="2"/>
  <c r="F180" i="2"/>
  <c r="G180" i="2" s="1"/>
  <c r="J182" i="2"/>
  <c r="K181" i="2" s="1"/>
  <c r="T182" i="2"/>
  <c r="U181" i="2" s="1"/>
  <c r="S98" i="2"/>
  <c r="AA98" i="2"/>
  <c r="V98" i="2"/>
  <c r="X98" i="2" s="1"/>
  <c r="L98" i="2"/>
  <c r="M98" i="2" s="1"/>
  <c r="H99" i="2" s="1"/>
  <c r="W187" i="2"/>
  <c r="R182" i="2"/>
  <c r="B183" i="2"/>
  <c r="C182" i="2"/>
  <c r="E181" i="2"/>
  <c r="D181" i="2"/>
  <c r="I181" i="2"/>
  <c r="A185" i="2" l="1"/>
  <c r="Y184" i="2"/>
  <c r="F181" i="2"/>
  <c r="G181" i="2" s="1"/>
  <c r="J183" i="2"/>
  <c r="K182" i="2" s="1"/>
  <c r="T183" i="2"/>
  <c r="U182" i="2" s="1"/>
  <c r="O99" i="2"/>
  <c r="Q99" i="2" s="1"/>
  <c r="N99" i="2"/>
  <c r="P99" i="2"/>
  <c r="W188" i="2"/>
  <c r="D182" i="2"/>
  <c r="I182" i="2"/>
  <c r="E182" i="2"/>
  <c r="R183" i="2"/>
  <c r="C183" i="2"/>
  <c r="B184" i="2"/>
  <c r="A186" i="2" l="1"/>
  <c r="Y185" i="2"/>
  <c r="F182" i="2"/>
  <c r="G182" i="2" s="1"/>
  <c r="J184" i="2"/>
  <c r="K183" i="2" s="1"/>
  <c r="T184" i="2"/>
  <c r="U183" i="2" s="1"/>
  <c r="S99" i="2"/>
  <c r="AA99" i="2"/>
  <c r="L99" i="2"/>
  <c r="M99" i="2" s="1"/>
  <c r="H100" i="2" s="1"/>
  <c r="V99" i="2"/>
  <c r="X99" i="2" s="1"/>
  <c r="W189" i="2"/>
  <c r="I183" i="2"/>
  <c r="E183" i="2"/>
  <c r="D183" i="2"/>
  <c r="R184" i="2"/>
  <c r="B185" i="2"/>
  <c r="C184" i="2"/>
  <c r="A187" i="2" l="1"/>
  <c r="Y186" i="2"/>
  <c r="F183" i="2"/>
  <c r="G183" i="2" s="1"/>
  <c r="J185" i="2"/>
  <c r="K184" i="2" s="1"/>
  <c r="T185" i="2"/>
  <c r="U184" i="2" s="1"/>
  <c r="N100" i="2"/>
  <c r="O100" i="2"/>
  <c r="Q100" i="2" s="1"/>
  <c r="P100" i="2"/>
  <c r="W190" i="2"/>
  <c r="R185" i="2"/>
  <c r="B186" i="2"/>
  <c r="C185" i="2"/>
  <c r="E184" i="2"/>
  <c r="D184" i="2"/>
  <c r="I184" i="2"/>
  <c r="A188" i="2" l="1"/>
  <c r="Y187" i="2"/>
  <c r="F184" i="2"/>
  <c r="G184" i="2" s="1"/>
  <c r="J186" i="2"/>
  <c r="K185" i="2" s="1"/>
  <c r="T186" i="2"/>
  <c r="U185" i="2" s="1"/>
  <c r="S100" i="2"/>
  <c r="AA100" i="2"/>
  <c r="L100" i="2"/>
  <c r="M100" i="2" s="1"/>
  <c r="H101" i="2" s="1"/>
  <c r="V100" i="2"/>
  <c r="X100" i="2" s="1"/>
  <c r="W191" i="2"/>
  <c r="R186" i="2"/>
  <c r="C186" i="2"/>
  <c r="B187" i="2"/>
  <c r="D185" i="2"/>
  <c r="I185" i="2"/>
  <c r="E185" i="2"/>
  <c r="A189" i="2" l="1"/>
  <c r="Y188" i="2"/>
  <c r="F185" i="2"/>
  <c r="G185" i="2" s="1"/>
  <c r="T187" i="2"/>
  <c r="U186" i="2" s="1"/>
  <c r="J187" i="2"/>
  <c r="K186" i="2" s="1"/>
  <c r="N101" i="2"/>
  <c r="O101" i="2"/>
  <c r="Q101" i="2" s="1"/>
  <c r="P101" i="2"/>
  <c r="W192" i="2"/>
  <c r="R187" i="2"/>
  <c r="B188" i="2"/>
  <c r="C187" i="2"/>
  <c r="I186" i="2"/>
  <c r="E186" i="2"/>
  <c r="D186" i="2"/>
  <c r="A190" i="2" l="1"/>
  <c r="Y189" i="2"/>
  <c r="F186" i="2"/>
  <c r="G186" i="2" s="1"/>
  <c r="T188" i="2"/>
  <c r="U187" i="2" s="1"/>
  <c r="S101" i="2"/>
  <c r="AA101" i="2"/>
  <c r="J188" i="2"/>
  <c r="K187" i="2" s="1"/>
  <c r="V101" i="2"/>
  <c r="X101" i="2" s="1"/>
  <c r="L101" i="2"/>
  <c r="M101" i="2" s="1"/>
  <c r="H102" i="2" s="1"/>
  <c r="W193" i="2"/>
  <c r="D187" i="2"/>
  <c r="I187" i="2"/>
  <c r="E187" i="2"/>
  <c r="R188" i="2"/>
  <c r="C188" i="2"/>
  <c r="B189" i="2"/>
  <c r="A191" i="2" l="1"/>
  <c r="Y190" i="2"/>
  <c r="F187" i="2"/>
  <c r="G187" i="2" s="1"/>
  <c r="T189" i="2"/>
  <c r="U188" i="2" s="1"/>
  <c r="J189" i="2"/>
  <c r="K188" i="2" s="1"/>
  <c r="N102" i="2"/>
  <c r="P102" i="2"/>
  <c r="O102" i="2"/>
  <c r="Q102" i="2" s="1"/>
  <c r="W194" i="2"/>
  <c r="I188" i="2"/>
  <c r="D188" i="2"/>
  <c r="E188" i="2"/>
  <c r="R189" i="2"/>
  <c r="B190" i="2"/>
  <c r="C189" i="2"/>
  <c r="A192" i="2" l="1"/>
  <c r="Y191" i="2"/>
  <c r="F188" i="2"/>
  <c r="G188" i="2" s="1"/>
  <c r="J190" i="2"/>
  <c r="K189" i="2" s="1"/>
  <c r="T190" i="2"/>
  <c r="U189" i="2" s="1"/>
  <c r="S102" i="2"/>
  <c r="AA102" i="2"/>
  <c r="V102" i="2"/>
  <c r="X102" i="2" s="1"/>
  <c r="L102" i="2"/>
  <c r="M102" i="2" s="1"/>
  <c r="H103" i="2" s="1"/>
  <c r="W195" i="2"/>
  <c r="I189" i="2"/>
  <c r="E189" i="2"/>
  <c r="D189" i="2"/>
  <c r="R190" i="2"/>
  <c r="C190" i="2"/>
  <c r="B191" i="2"/>
  <c r="A193" i="2" l="1"/>
  <c r="Y192" i="2"/>
  <c r="F189" i="2"/>
  <c r="G189" i="2" s="1"/>
  <c r="T191" i="2"/>
  <c r="U190" i="2" s="1"/>
  <c r="J191" i="2"/>
  <c r="K190" i="2" s="1"/>
  <c r="P103" i="2"/>
  <c r="N103" i="2"/>
  <c r="O103" i="2"/>
  <c r="Q103" i="2" s="1"/>
  <c r="W196" i="2"/>
  <c r="E190" i="2"/>
  <c r="D190" i="2"/>
  <c r="I190" i="2"/>
  <c r="R191" i="2"/>
  <c r="B192" i="2"/>
  <c r="C191" i="2"/>
  <c r="A194" i="2" l="1"/>
  <c r="Y193" i="2"/>
  <c r="F190" i="2"/>
  <c r="G190" i="2" s="1"/>
  <c r="J192" i="2"/>
  <c r="K191" i="2" s="1"/>
  <c r="T192" i="2"/>
  <c r="U191" i="2" s="1"/>
  <c r="S103" i="2"/>
  <c r="AA103" i="2"/>
  <c r="L103" i="2"/>
  <c r="M103" i="2" s="1"/>
  <c r="H104" i="2" s="1"/>
  <c r="V103" i="2"/>
  <c r="X103" i="2" s="1"/>
  <c r="W197" i="2"/>
  <c r="R192" i="2"/>
  <c r="B193" i="2"/>
  <c r="C192" i="2"/>
  <c r="I191" i="2"/>
  <c r="E191" i="2"/>
  <c r="D191" i="2"/>
  <c r="A195" i="2" l="1"/>
  <c r="Y194" i="2"/>
  <c r="F191" i="2"/>
  <c r="G191" i="2" s="1"/>
  <c r="J193" i="2"/>
  <c r="K192" i="2" s="1"/>
  <c r="T193" i="2"/>
  <c r="U192" i="2" s="1"/>
  <c r="O104" i="2"/>
  <c r="Q104" i="2" s="1"/>
  <c r="N104" i="2"/>
  <c r="P104" i="2"/>
  <c r="W198" i="2"/>
  <c r="R193" i="2"/>
  <c r="B194" i="2"/>
  <c r="C193" i="2"/>
  <c r="D192" i="2"/>
  <c r="I192" i="2"/>
  <c r="E192" i="2"/>
  <c r="A196" i="2" l="1"/>
  <c r="Y195" i="2"/>
  <c r="F192" i="2"/>
  <c r="G192" i="2" s="1"/>
  <c r="J194" i="2"/>
  <c r="K193" i="2" s="1"/>
  <c r="T194" i="2"/>
  <c r="U193" i="2" s="1"/>
  <c r="S104" i="2"/>
  <c r="AA104" i="2"/>
  <c r="L104" i="2"/>
  <c r="M104" i="2" s="1"/>
  <c r="H105" i="2" s="1"/>
  <c r="V104" i="2"/>
  <c r="X104" i="2" s="1"/>
  <c r="W199" i="2"/>
  <c r="I193" i="2"/>
  <c r="D193" i="2"/>
  <c r="E193" i="2"/>
  <c r="R194" i="2"/>
  <c r="C194" i="2"/>
  <c r="B195" i="2"/>
  <c r="A197" i="2" l="1"/>
  <c r="Y196" i="2"/>
  <c r="F193" i="2"/>
  <c r="G193" i="2" s="1"/>
  <c r="J195" i="2"/>
  <c r="K194" i="2" s="1"/>
  <c r="T195" i="2"/>
  <c r="U194" i="2" s="1"/>
  <c r="O105" i="2"/>
  <c r="Q105" i="2" s="1"/>
  <c r="P105" i="2"/>
  <c r="N105" i="2"/>
  <c r="W200" i="2"/>
  <c r="I194" i="2"/>
  <c r="E194" i="2"/>
  <c r="D194" i="2"/>
  <c r="R195" i="2"/>
  <c r="B196" i="2"/>
  <c r="C195" i="2"/>
  <c r="A198" i="2" l="1"/>
  <c r="Y197" i="2"/>
  <c r="F194" i="2"/>
  <c r="G194" i="2" s="1"/>
  <c r="T196" i="2"/>
  <c r="U195" i="2" s="1"/>
  <c r="S105" i="2"/>
  <c r="AA105" i="2"/>
  <c r="J196" i="2"/>
  <c r="K195" i="2" s="1"/>
  <c r="L105" i="2"/>
  <c r="M105" i="2" s="1"/>
  <c r="H106" i="2" s="1"/>
  <c r="V105" i="2"/>
  <c r="X105" i="2" s="1"/>
  <c r="W201" i="2"/>
  <c r="R196" i="2"/>
  <c r="C196" i="2"/>
  <c r="B197" i="2"/>
  <c r="D195" i="2"/>
  <c r="I195" i="2"/>
  <c r="E195" i="2"/>
  <c r="A199" i="2" l="1"/>
  <c r="Y198" i="2"/>
  <c r="F195" i="2"/>
  <c r="G195" i="2" s="1"/>
  <c r="T197" i="2"/>
  <c r="U196" i="2" s="1"/>
  <c r="J197" i="2"/>
  <c r="K196" i="2" s="1"/>
  <c r="N106" i="2"/>
  <c r="P106" i="2"/>
  <c r="O106" i="2"/>
  <c r="Q106" i="2" s="1"/>
  <c r="W202" i="2"/>
  <c r="R197" i="2"/>
  <c r="C197" i="2"/>
  <c r="B198" i="2"/>
  <c r="I196" i="2"/>
  <c r="D196" i="2"/>
  <c r="E196" i="2"/>
  <c r="A200" i="2" l="1"/>
  <c r="Y199" i="2"/>
  <c r="F196" i="2"/>
  <c r="G196" i="2" s="1"/>
  <c r="J198" i="2"/>
  <c r="K197" i="2" s="1"/>
  <c r="T198" i="2"/>
  <c r="U197" i="2" s="1"/>
  <c r="S106" i="2"/>
  <c r="AA106" i="2"/>
  <c r="L106" i="2"/>
  <c r="M106" i="2" s="1"/>
  <c r="H107" i="2" s="1"/>
  <c r="V106" i="2"/>
  <c r="X106" i="2" s="1"/>
  <c r="W203" i="2"/>
  <c r="R198" i="2"/>
  <c r="C198" i="2"/>
  <c r="B199" i="2"/>
  <c r="D197" i="2"/>
  <c r="I197" i="2"/>
  <c r="E197" i="2"/>
  <c r="A201" i="2" l="1"/>
  <c r="Y200" i="2"/>
  <c r="F197" i="2"/>
  <c r="G197" i="2" s="1"/>
  <c r="J199" i="2"/>
  <c r="K198" i="2" s="1"/>
  <c r="T199" i="2"/>
  <c r="U198" i="2" s="1"/>
  <c r="O107" i="2"/>
  <c r="Q107" i="2" s="1"/>
  <c r="N107" i="2"/>
  <c r="P107" i="2"/>
  <c r="W204" i="2"/>
  <c r="R199" i="2"/>
  <c r="C199" i="2"/>
  <c r="B200" i="2"/>
  <c r="D198" i="2"/>
  <c r="E198" i="2"/>
  <c r="I198" i="2"/>
  <c r="A202" i="2" l="1"/>
  <c r="Y201" i="2"/>
  <c r="F198" i="2"/>
  <c r="G198" i="2" s="1"/>
  <c r="J200" i="2"/>
  <c r="K199" i="2" s="1"/>
  <c r="T200" i="2"/>
  <c r="U199" i="2" s="1"/>
  <c r="S107" i="2"/>
  <c r="AA107" i="2"/>
  <c r="L107" i="2"/>
  <c r="M107" i="2" s="1"/>
  <c r="H108" i="2" s="1"/>
  <c r="V107" i="2"/>
  <c r="X107" i="2" s="1"/>
  <c r="W205" i="2"/>
  <c r="R200" i="2"/>
  <c r="B201" i="2"/>
  <c r="C200" i="2"/>
  <c r="I199" i="2"/>
  <c r="E199" i="2"/>
  <c r="D199" i="2"/>
  <c r="A203" i="2" l="1"/>
  <c r="Y202" i="2"/>
  <c r="F199" i="2"/>
  <c r="G199" i="2" s="1"/>
  <c r="J201" i="2"/>
  <c r="K200" i="2" s="1"/>
  <c r="T201" i="2"/>
  <c r="U200" i="2" s="1"/>
  <c r="O108" i="2"/>
  <c r="Q108" i="2" s="1"/>
  <c r="N108" i="2"/>
  <c r="P108" i="2"/>
  <c r="W206" i="2"/>
  <c r="D200" i="2"/>
  <c r="E200" i="2"/>
  <c r="I200" i="2"/>
  <c r="R201" i="2"/>
  <c r="B202" i="2"/>
  <c r="C201" i="2"/>
  <c r="A204" i="2" l="1"/>
  <c r="Y203" i="2"/>
  <c r="F200" i="2"/>
  <c r="G200" i="2" s="1"/>
  <c r="J202" i="2"/>
  <c r="K201" i="2" s="1"/>
  <c r="T202" i="2"/>
  <c r="U201" i="2" s="1"/>
  <c r="S108" i="2"/>
  <c r="AA108" i="2"/>
  <c r="V108" i="2"/>
  <c r="X108" i="2" s="1"/>
  <c r="L108" i="2"/>
  <c r="M108" i="2" s="1"/>
  <c r="H109" i="2" s="1"/>
  <c r="W207" i="2"/>
  <c r="I201" i="2"/>
  <c r="E201" i="2"/>
  <c r="D201" i="2"/>
  <c r="R202" i="2"/>
  <c r="B203" i="2"/>
  <c r="C202" i="2"/>
  <c r="A205" i="2" l="1"/>
  <c r="Y204" i="2"/>
  <c r="F201" i="2"/>
  <c r="G201" i="2" s="1"/>
  <c r="J203" i="2"/>
  <c r="K202" i="2" s="1"/>
  <c r="T203" i="2"/>
  <c r="U202" i="2" s="1"/>
  <c r="P109" i="2"/>
  <c r="N109" i="2"/>
  <c r="O109" i="2"/>
  <c r="Q109" i="2" s="1"/>
  <c r="W208" i="2"/>
  <c r="R203" i="2"/>
  <c r="C203" i="2"/>
  <c r="B204" i="2"/>
  <c r="I202" i="2"/>
  <c r="E202" i="2"/>
  <c r="D202" i="2"/>
  <c r="A206" i="2" l="1"/>
  <c r="Y205" i="2"/>
  <c r="F202" i="2"/>
  <c r="G202" i="2" s="1"/>
  <c r="T204" i="2"/>
  <c r="U203" i="2" s="1"/>
  <c r="S109" i="2"/>
  <c r="L109" i="2"/>
  <c r="M109" i="2" s="1"/>
  <c r="H110" i="2" s="1"/>
  <c r="J204" i="2"/>
  <c r="K203" i="2" s="1"/>
  <c r="AA109" i="2"/>
  <c r="V109" i="2"/>
  <c r="X109" i="2" s="1"/>
  <c r="W209" i="2"/>
  <c r="R204" i="2"/>
  <c r="B205" i="2"/>
  <c r="C204" i="2"/>
  <c r="E203" i="2"/>
  <c r="I203" i="2"/>
  <c r="D203" i="2"/>
  <c r="A207" i="2" l="1"/>
  <c r="Y206" i="2"/>
  <c r="F203" i="2"/>
  <c r="G203" i="2" s="1"/>
  <c r="T205" i="2"/>
  <c r="U204" i="2" s="1"/>
  <c r="J205" i="2"/>
  <c r="K204" i="2" s="1"/>
  <c r="N110" i="2"/>
  <c r="O110" i="2"/>
  <c r="Q110" i="2" s="1"/>
  <c r="P110" i="2"/>
  <c r="W210" i="2"/>
  <c r="R205" i="2"/>
  <c r="C205" i="2"/>
  <c r="B206" i="2"/>
  <c r="E204" i="2"/>
  <c r="I204" i="2"/>
  <c r="D204" i="2"/>
  <c r="A208" i="2" l="1"/>
  <c r="Y207" i="2"/>
  <c r="F204" i="2"/>
  <c r="G204" i="2" s="1"/>
  <c r="J206" i="2"/>
  <c r="K205" i="2" s="1"/>
  <c r="T206" i="2"/>
  <c r="U205" i="2" s="1"/>
  <c r="S110" i="2"/>
  <c r="AA110" i="2"/>
  <c r="L110" i="2"/>
  <c r="M110" i="2" s="1"/>
  <c r="H111" i="2" s="1"/>
  <c r="V110" i="2"/>
  <c r="X110" i="2" s="1"/>
  <c r="W211" i="2"/>
  <c r="D205" i="2"/>
  <c r="E205" i="2"/>
  <c r="I205" i="2"/>
  <c r="R206" i="2"/>
  <c r="B207" i="2"/>
  <c r="C206" i="2"/>
  <c r="A209" i="2" l="1"/>
  <c r="Y208" i="2"/>
  <c r="F205" i="2"/>
  <c r="G205" i="2" s="1"/>
  <c r="T207" i="2"/>
  <c r="U206" i="2" s="1"/>
  <c r="J207" i="2"/>
  <c r="K206" i="2" s="1"/>
  <c r="N111" i="2"/>
  <c r="O111" i="2"/>
  <c r="Q111" i="2" s="1"/>
  <c r="P111" i="2"/>
  <c r="W212" i="2"/>
  <c r="R207" i="2"/>
  <c r="C207" i="2"/>
  <c r="B208" i="2"/>
  <c r="I206" i="2"/>
  <c r="E206" i="2"/>
  <c r="D206" i="2"/>
  <c r="A210" i="2" l="1"/>
  <c r="Y209" i="2"/>
  <c r="F206" i="2"/>
  <c r="G206" i="2" s="1"/>
  <c r="J208" i="2"/>
  <c r="K207" i="2" s="1"/>
  <c r="T208" i="2"/>
  <c r="U207" i="2" s="1"/>
  <c r="S111" i="2"/>
  <c r="AA111" i="2"/>
  <c r="L111" i="2"/>
  <c r="M111" i="2" s="1"/>
  <c r="H112" i="2" s="1"/>
  <c r="V111" i="2"/>
  <c r="X111" i="2" s="1"/>
  <c r="W213" i="2"/>
  <c r="R208" i="2"/>
  <c r="B209" i="2"/>
  <c r="C208" i="2"/>
  <c r="E207" i="2"/>
  <c r="I207" i="2"/>
  <c r="D207" i="2"/>
  <c r="A211" i="2" l="1"/>
  <c r="Y210" i="2"/>
  <c r="F207" i="2"/>
  <c r="G207" i="2" s="1"/>
  <c r="J209" i="2"/>
  <c r="K208" i="2" s="1"/>
  <c r="T209" i="2"/>
  <c r="U208" i="2" s="1"/>
  <c r="N112" i="2"/>
  <c r="O112" i="2"/>
  <c r="Q112" i="2" s="1"/>
  <c r="P112" i="2"/>
  <c r="W214" i="2"/>
  <c r="R209" i="2"/>
  <c r="B210" i="2"/>
  <c r="C209" i="2"/>
  <c r="D208" i="2"/>
  <c r="I208" i="2"/>
  <c r="E208" i="2"/>
  <c r="A212" i="2" l="1"/>
  <c r="Y211" i="2"/>
  <c r="F208" i="2"/>
  <c r="G208" i="2" s="1"/>
  <c r="J210" i="2"/>
  <c r="K209" i="2" s="1"/>
  <c r="T210" i="2"/>
  <c r="U209" i="2" s="1"/>
  <c r="S112" i="2"/>
  <c r="AA112" i="2"/>
  <c r="V112" i="2"/>
  <c r="X112" i="2" s="1"/>
  <c r="L112" i="2"/>
  <c r="M112" i="2" s="1"/>
  <c r="H113" i="2" s="1"/>
  <c r="W215" i="2"/>
  <c r="D209" i="2"/>
  <c r="E209" i="2"/>
  <c r="I209" i="2"/>
  <c r="R210" i="2"/>
  <c r="B211" i="2"/>
  <c r="C210" i="2"/>
  <c r="A213" i="2" l="1"/>
  <c r="Y212" i="2"/>
  <c r="F209" i="2"/>
  <c r="G209" i="2" s="1"/>
  <c r="J211" i="2"/>
  <c r="K210" i="2" s="1"/>
  <c r="T211" i="2"/>
  <c r="U210" i="2" s="1"/>
  <c r="N113" i="2"/>
  <c r="O113" i="2"/>
  <c r="Q113" i="2" s="1"/>
  <c r="P113" i="2"/>
  <c r="W216" i="2"/>
  <c r="R211" i="2"/>
  <c r="B212" i="2"/>
  <c r="C211" i="2"/>
  <c r="I210" i="2"/>
  <c r="E210" i="2"/>
  <c r="D210" i="2"/>
  <c r="A214" i="2" l="1"/>
  <c r="Y213" i="2"/>
  <c r="F210" i="2"/>
  <c r="G210" i="2" s="1"/>
  <c r="T212" i="2"/>
  <c r="U211" i="2" s="1"/>
  <c r="S113" i="2"/>
  <c r="J212" i="2"/>
  <c r="K211" i="2" s="1"/>
  <c r="AA113" i="2"/>
  <c r="L113" i="2"/>
  <c r="M113" i="2" s="1"/>
  <c r="H114" i="2" s="1"/>
  <c r="V113" i="2"/>
  <c r="X113" i="2" s="1"/>
  <c r="W217" i="2"/>
  <c r="D211" i="2"/>
  <c r="I211" i="2"/>
  <c r="E211" i="2"/>
  <c r="R212" i="2"/>
  <c r="B213" i="2"/>
  <c r="C212" i="2"/>
  <c r="A215" i="2" l="1"/>
  <c r="Y214" i="2"/>
  <c r="F211" i="2"/>
  <c r="G211" i="2" s="1"/>
  <c r="T213" i="2"/>
  <c r="U212" i="2" s="1"/>
  <c r="J213" i="2"/>
  <c r="K212" i="2" s="1"/>
  <c r="N114" i="2"/>
  <c r="O114" i="2"/>
  <c r="Q114" i="2" s="1"/>
  <c r="P114" i="2"/>
  <c r="W218" i="2"/>
  <c r="E212" i="2"/>
  <c r="I212" i="2"/>
  <c r="D212" i="2"/>
  <c r="R213" i="2"/>
  <c r="C213" i="2"/>
  <c r="B214" i="2"/>
  <c r="A216" i="2" l="1"/>
  <c r="Y215" i="2"/>
  <c r="F212" i="2"/>
  <c r="G212" i="2" s="1"/>
  <c r="J214" i="2"/>
  <c r="K213" i="2" s="1"/>
  <c r="T214" i="2"/>
  <c r="U213" i="2" s="1"/>
  <c r="S114" i="2"/>
  <c r="AA114" i="2"/>
  <c r="V114" i="2"/>
  <c r="X114" i="2" s="1"/>
  <c r="L114" i="2"/>
  <c r="M114" i="2" s="1"/>
  <c r="H115" i="2" s="1"/>
  <c r="W219" i="2"/>
  <c r="R214" i="2"/>
  <c r="B215" i="2"/>
  <c r="C214" i="2"/>
  <c r="I213" i="2"/>
  <c r="E213" i="2"/>
  <c r="D213" i="2"/>
  <c r="A217" i="2" l="1"/>
  <c r="Y216" i="2"/>
  <c r="F213" i="2"/>
  <c r="G213" i="2" s="1"/>
  <c r="J215" i="2"/>
  <c r="K214" i="2" s="1"/>
  <c r="T215" i="2"/>
  <c r="U214" i="2" s="1"/>
  <c r="P115" i="2"/>
  <c r="N115" i="2"/>
  <c r="O115" i="2"/>
  <c r="Q115" i="2" s="1"/>
  <c r="W220" i="2"/>
  <c r="E214" i="2"/>
  <c r="D214" i="2"/>
  <c r="I214" i="2"/>
  <c r="R215" i="2"/>
  <c r="B216" i="2"/>
  <c r="C215" i="2"/>
  <c r="A218" i="2" l="1"/>
  <c r="Y217" i="2"/>
  <c r="F214" i="2"/>
  <c r="G214" i="2" s="1"/>
  <c r="J216" i="2"/>
  <c r="K215" i="2" s="1"/>
  <c r="T216" i="2"/>
  <c r="U215" i="2" s="1"/>
  <c r="S115" i="2"/>
  <c r="L115" i="2"/>
  <c r="M115" i="2" s="1"/>
  <c r="H116" i="2" s="1"/>
  <c r="AA115" i="2"/>
  <c r="V115" i="2"/>
  <c r="X115" i="2" s="1"/>
  <c r="W221" i="2"/>
  <c r="I215" i="2"/>
  <c r="E215" i="2"/>
  <c r="D215" i="2"/>
  <c r="R216" i="2"/>
  <c r="B217" i="2"/>
  <c r="C216" i="2"/>
  <c r="A219" i="2" l="1"/>
  <c r="Y218" i="2"/>
  <c r="F215" i="2"/>
  <c r="G215" i="2" s="1"/>
  <c r="J217" i="2"/>
  <c r="K216" i="2" s="1"/>
  <c r="T217" i="2"/>
  <c r="U216" i="2" s="1"/>
  <c r="P116" i="2"/>
  <c r="O116" i="2"/>
  <c r="Q116" i="2" s="1"/>
  <c r="N116" i="2"/>
  <c r="W222" i="2"/>
  <c r="I216" i="2"/>
  <c r="E216" i="2"/>
  <c r="D216" i="2"/>
  <c r="R217" i="2"/>
  <c r="C217" i="2"/>
  <c r="B218" i="2"/>
  <c r="A220" i="2" l="1"/>
  <c r="Y219" i="2"/>
  <c r="F216" i="2"/>
  <c r="G216" i="2" s="1"/>
  <c r="J218" i="2"/>
  <c r="K217" i="2" s="1"/>
  <c r="T218" i="2"/>
  <c r="U217" i="2" s="1"/>
  <c r="S116" i="2"/>
  <c r="L116" i="2"/>
  <c r="M116" i="2" s="1"/>
  <c r="H117" i="2" s="1"/>
  <c r="AA116" i="2"/>
  <c r="V116" i="2"/>
  <c r="X116" i="2" s="1"/>
  <c r="W223" i="2"/>
  <c r="R218" i="2"/>
  <c r="C218" i="2"/>
  <c r="B219" i="2"/>
  <c r="I217" i="2"/>
  <c r="E217" i="2"/>
  <c r="D217" i="2"/>
  <c r="A221" i="2" l="1"/>
  <c r="Y220" i="2"/>
  <c r="F217" i="2"/>
  <c r="G217" i="2" s="1"/>
  <c r="T219" i="2"/>
  <c r="U218" i="2" s="1"/>
  <c r="J219" i="2"/>
  <c r="K218" i="2" s="1"/>
  <c r="P117" i="2"/>
  <c r="O117" i="2"/>
  <c r="Q117" i="2" s="1"/>
  <c r="N117" i="2"/>
  <c r="W224" i="2"/>
  <c r="R219" i="2"/>
  <c r="B220" i="2"/>
  <c r="C219" i="2"/>
  <c r="D218" i="2"/>
  <c r="I218" i="2"/>
  <c r="E218" i="2"/>
  <c r="A222" i="2" l="1"/>
  <c r="Y221" i="2"/>
  <c r="F218" i="2"/>
  <c r="G218" i="2" s="1"/>
  <c r="T220" i="2"/>
  <c r="U219" i="2" s="1"/>
  <c r="S117" i="2"/>
  <c r="L117" i="2"/>
  <c r="M117" i="2" s="1"/>
  <c r="H118" i="2" s="1"/>
  <c r="AA117" i="2"/>
  <c r="J220" i="2"/>
  <c r="K219" i="2" s="1"/>
  <c r="V117" i="2"/>
  <c r="X117" i="2" s="1"/>
  <c r="W225" i="2"/>
  <c r="R220" i="2"/>
  <c r="B221" i="2"/>
  <c r="C220" i="2"/>
  <c r="D219" i="2"/>
  <c r="I219" i="2"/>
  <c r="E219" i="2"/>
  <c r="A223" i="2" l="1"/>
  <c r="Y222" i="2"/>
  <c r="F219" i="2"/>
  <c r="G219" i="2" s="1"/>
  <c r="T221" i="2"/>
  <c r="U220" i="2" s="1"/>
  <c r="J221" i="2"/>
  <c r="K220" i="2" s="1"/>
  <c r="P118" i="2"/>
  <c r="O118" i="2"/>
  <c r="Q118" i="2" s="1"/>
  <c r="N118" i="2"/>
  <c r="W226" i="2"/>
  <c r="I220" i="2"/>
  <c r="D220" i="2"/>
  <c r="E220" i="2"/>
  <c r="R221" i="2"/>
  <c r="B222" i="2"/>
  <c r="C221" i="2"/>
  <c r="A224" i="2" l="1"/>
  <c r="Y223" i="2"/>
  <c r="F220" i="2"/>
  <c r="G220" i="2" s="1"/>
  <c r="J222" i="2"/>
  <c r="K221" i="2" s="1"/>
  <c r="T222" i="2"/>
  <c r="U221" i="2" s="1"/>
  <c r="S118" i="2"/>
  <c r="AA118" i="2"/>
  <c r="V118" i="2"/>
  <c r="X118" i="2" s="1"/>
  <c r="L118" i="2"/>
  <c r="M118" i="2" s="1"/>
  <c r="H119" i="2" s="1"/>
  <c r="W227" i="2"/>
  <c r="D221" i="2"/>
  <c r="I221" i="2"/>
  <c r="E221" i="2"/>
  <c r="R222" i="2"/>
  <c r="C222" i="2"/>
  <c r="B223" i="2"/>
  <c r="A225" i="2" l="1"/>
  <c r="Y224" i="2"/>
  <c r="F221" i="2"/>
  <c r="G221" i="2" s="1"/>
  <c r="T223" i="2"/>
  <c r="U222" i="2" s="1"/>
  <c r="J223" i="2"/>
  <c r="K222" i="2" s="1"/>
  <c r="O119" i="2"/>
  <c r="Q119" i="2" s="1"/>
  <c r="N119" i="2"/>
  <c r="P119" i="2"/>
  <c r="W228" i="2"/>
  <c r="R223" i="2"/>
  <c r="C223" i="2"/>
  <c r="B224" i="2"/>
  <c r="E222" i="2"/>
  <c r="I222" i="2"/>
  <c r="D222" i="2"/>
  <c r="A226" i="2" l="1"/>
  <c r="Y225" i="2"/>
  <c r="F222" i="2"/>
  <c r="G222" i="2" s="1"/>
  <c r="J224" i="2"/>
  <c r="K223" i="2" s="1"/>
  <c r="T224" i="2"/>
  <c r="U223" i="2" s="1"/>
  <c r="S119" i="2"/>
  <c r="AA119" i="2"/>
  <c r="L119" i="2"/>
  <c r="M119" i="2" s="1"/>
  <c r="H120" i="2" s="1"/>
  <c r="V119" i="2"/>
  <c r="X119" i="2" s="1"/>
  <c r="W229" i="2"/>
  <c r="E223" i="2"/>
  <c r="D223" i="2"/>
  <c r="I223" i="2"/>
  <c r="R224" i="2"/>
  <c r="B225" i="2"/>
  <c r="C224" i="2"/>
  <c r="A227" i="2" l="1"/>
  <c r="Y226" i="2"/>
  <c r="F223" i="2"/>
  <c r="G223" i="2" s="1"/>
  <c r="J225" i="2"/>
  <c r="K224" i="2" s="1"/>
  <c r="T225" i="2"/>
  <c r="U224" i="2" s="1"/>
  <c r="N120" i="2"/>
  <c r="O120" i="2"/>
  <c r="Q120" i="2" s="1"/>
  <c r="P120" i="2"/>
  <c r="W230" i="2"/>
  <c r="R225" i="2"/>
  <c r="B226" i="2"/>
  <c r="C225" i="2"/>
  <c r="D224" i="2"/>
  <c r="E224" i="2"/>
  <c r="I224" i="2"/>
  <c r="A228" i="2" l="1"/>
  <c r="Y227" i="2"/>
  <c r="F224" i="2"/>
  <c r="G224" i="2" s="1"/>
  <c r="J226" i="2"/>
  <c r="K225" i="2" s="1"/>
  <c r="T226" i="2"/>
  <c r="U225" i="2" s="1"/>
  <c r="S120" i="2"/>
  <c r="AA120" i="2"/>
  <c r="L120" i="2"/>
  <c r="M120" i="2" s="1"/>
  <c r="V120" i="2"/>
  <c r="X120" i="2" s="1"/>
  <c r="W231" i="2"/>
  <c r="E225" i="2"/>
  <c r="I225" i="2"/>
  <c r="D225" i="2"/>
  <c r="R226" i="2"/>
  <c r="C226" i="2"/>
  <c r="B227" i="2"/>
  <c r="A229" i="2" l="1"/>
  <c r="Y228" i="2"/>
  <c r="O121" i="2"/>
  <c r="Q121" i="2" s="1"/>
  <c r="H121" i="2"/>
  <c r="P121" i="2" s="1"/>
  <c r="F225" i="2"/>
  <c r="G225" i="2" s="1"/>
  <c r="J227" i="2"/>
  <c r="K226" i="2" s="1"/>
  <c r="T227" i="2"/>
  <c r="U226" i="2" s="1"/>
  <c r="N121" i="2"/>
  <c r="W232" i="2"/>
  <c r="I226" i="2"/>
  <c r="E226" i="2"/>
  <c r="D226" i="2"/>
  <c r="R227" i="2"/>
  <c r="C227" i="2"/>
  <c r="B228" i="2"/>
  <c r="AA121" i="2" l="1"/>
  <c r="A230" i="2"/>
  <c r="Y229" i="2"/>
  <c r="F226" i="2"/>
  <c r="G226" i="2" s="1"/>
  <c r="J228" i="2"/>
  <c r="K227" i="2" s="1"/>
  <c r="T228" i="2"/>
  <c r="U227" i="2" s="1"/>
  <c r="S121" i="2"/>
  <c r="L121" i="2"/>
  <c r="M121" i="2" s="1"/>
  <c r="V121" i="2"/>
  <c r="X121" i="2" s="1"/>
  <c r="W233" i="2"/>
  <c r="R228" i="2"/>
  <c r="B229" i="2"/>
  <c r="C228" i="2"/>
  <c r="E227" i="2"/>
  <c r="D227" i="2"/>
  <c r="I227" i="2"/>
  <c r="A231" i="2" l="1"/>
  <c r="Y230" i="2"/>
  <c r="O122" i="2"/>
  <c r="Q122" i="2" s="1"/>
  <c r="H122" i="2"/>
  <c r="P122" i="2" s="1"/>
  <c r="F227" i="2"/>
  <c r="G227" i="2" s="1"/>
  <c r="T229" i="2"/>
  <c r="U228" i="2" s="1"/>
  <c r="N122" i="2"/>
  <c r="J229" i="2"/>
  <c r="K228" i="2" s="1"/>
  <c r="W234" i="2"/>
  <c r="R229" i="2"/>
  <c r="C229" i="2"/>
  <c r="B230" i="2"/>
  <c r="I228" i="2"/>
  <c r="E228" i="2"/>
  <c r="D228" i="2"/>
  <c r="AA122" i="2" l="1"/>
  <c r="A232" i="2"/>
  <c r="Y231" i="2"/>
  <c r="F228" i="2"/>
  <c r="G228" i="2" s="1"/>
  <c r="J230" i="2"/>
  <c r="K229" i="2" s="1"/>
  <c r="T230" i="2"/>
  <c r="U229" i="2" s="1"/>
  <c r="S122" i="2"/>
  <c r="L122" i="2"/>
  <c r="M122" i="2" s="1"/>
  <c r="V122" i="2"/>
  <c r="X122" i="2" s="1"/>
  <c r="W235" i="2"/>
  <c r="R230" i="2"/>
  <c r="C230" i="2"/>
  <c r="B231" i="2"/>
  <c r="D229" i="2"/>
  <c r="I229" i="2"/>
  <c r="E229" i="2"/>
  <c r="A233" i="2" l="1"/>
  <c r="Y232" i="2"/>
  <c r="N123" i="2"/>
  <c r="S123" i="2" s="1"/>
  <c r="H123" i="2"/>
  <c r="P123" i="2" s="1"/>
  <c r="F229" i="2"/>
  <c r="G229" i="2" s="1"/>
  <c r="T231" i="2"/>
  <c r="U230" i="2" s="1"/>
  <c r="O123" i="2"/>
  <c r="Q123" i="2" s="1"/>
  <c r="J231" i="2"/>
  <c r="K230" i="2" s="1"/>
  <c r="W236" i="2"/>
  <c r="D230" i="2"/>
  <c r="E230" i="2"/>
  <c r="I230" i="2"/>
  <c r="R231" i="2"/>
  <c r="B232" i="2"/>
  <c r="C231" i="2"/>
  <c r="A234" i="2" l="1"/>
  <c r="Y233" i="2"/>
  <c r="F230" i="2"/>
  <c r="G230" i="2" s="1"/>
  <c r="J232" i="2"/>
  <c r="K231" i="2" s="1"/>
  <c r="T232" i="2"/>
  <c r="U231" i="2" s="1"/>
  <c r="V123" i="2"/>
  <c r="X123" i="2" s="1"/>
  <c r="L123" i="2"/>
  <c r="M123" i="2" s="1"/>
  <c r="AA123" i="2"/>
  <c r="W237" i="2"/>
  <c r="R232" i="2"/>
  <c r="B233" i="2"/>
  <c r="C232" i="2"/>
  <c r="E231" i="2"/>
  <c r="I231" i="2"/>
  <c r="D231" i="2"/>
  <c r="A235" i="2" l="1"/>
  <c r="Y234" i="2"/>
  <c r="O124" i="2"/>
  <c r="Q124" i="2" s="1"/>
  <c r="H124" i="2"/>
  <c r="P124" i="2" s="1"/>
  <c r="F231" i="2"/>
  <c r="G231" i="2" s="1"/>
  <c r="J233" i="2"/>
  <c r="K232" i="2" s="1"/>
  <c r="T233" i="2"/>
  <c r="U232" i="2" s="1"/>
  <c r="N124" i="2"/>
  <c r="W238" i="2"/>
  <c r="D232" i="2"/>
  <c r="I232" i="2"/>
  <c r="E232" i="2"/>
  <c r="R233" i="2"/>
  <c r="B234" i="2"/>
  <c r="C233" i="2"/>
  <c r="AA124" i="2" l="1"/>
  <c r="A236" i="2"/>
  <c r="Y235" i="2"/>
  <c r="F232" i="2"/>
  <c r="G232" i="2" s="1"/>
  <c r="J234" i="2"/>
  <c r="K233" i="2" s="1"/>
  <c r="T234" i="2"/>
  <c r="U233" i="2" s="1"/>
  <c r="S124" i="2"/>
  <c r="V124" i="2"/>
  <c r="X124" i="2" s="1"/>
  <c r="L124" i="2"/>
  <c r="M124" i="2" s="1"/>
  <c r="W239" i="2"/>
  <c r="R234" i="2"/>
  <c r="C234" i="2"/>
  <c r="B235" i="2"/>
  <c r="E233" i="2"/>
  <c r="I233" i="2"/>
  <c r="D233" i="2"/>
  <c r="A237" i="2" l="1"/>
  <c r="Y236" i="2"/>
  <c r="N125" i="2"/>
  <c r="S125" i="2" s="1"/>
  <c r="H125" i="2"/>
  <c r="P125" i="2" s="1"/>
  <c r="F233" i="2"/>
  <c r="G233" i="2" s="1"/>
  <c r="T235" i="2"/>
  <c r="U234" i="2" s="1"/>
  <c r="O125" i="2"/>
  <c r="Q125" i="2" s="1"/>
  <c r="J235" i="2"/>
  <c r="K234" i="2" s="1"/>
  <c r="W240" i="2"/>
  <c r="E234" i="2"/>
  <c r="D234" i="2"/>
  <c r="I234" i="2"/>
  <c r="R235" i="2"/>
  <c r="C235" i="2"/>
  <c r="B236" i="2"/>
  <c r="A238" i="2" l="1"/>
  <c r="Y237" i="2"/>
  <c r="F234" i="2"/>
  <c r="G234" i="2" s="1"/>
  <c r="J236" i="2"/>
  <c r="K235" i="2" s="1"/>
  <c r="T236" i="2"/>
  <c r="U235" i="2" s="1"/>
  <c r="V125" i="2"/>
  <c r="X125" i="2" s="1"/>
  <c r="AA125" i="2"/>
  <c r="L125" i="2"/>
  <c r="M125" i="2" s="1"/>
  <c r="W241" i="2"/>
  <c r="D235" i="2"/>
  <c r="E235" i="2"/>
  <c r="I235" i="2"/>
  <c r="R236" i="2"/>
  <c r="C236" i="2"/>
  <c r="B237" i="2"/>
  <c r="A239" i="2" l="1"/>
  <c r="Y238" i="2"/>
  <c r="H126" i="2"/>
  <c r="P126" i="2" s="1"/>
  <c r="F235" i="2"/>
  <c r="G235" i="2" s="1"/>
  <c r="T237" i="2"/>
  <c r="U236" i="2" s="1"/>
  <c r="N126" i="2"/>
  <c r="O126" i="2"/>
  <c r="Q126" i="2" s="1"/>
  <c r="J237" i="2"/>
  <c r="K236" i="2" s="1"/>
  <c r="W242" i="2"/>
  <c r="R237" i="2"/>
  <c r="B238" i="2"/>
  <c r="C237" i="2"/>
  <c r="I236" i="2"/>
  <c r="D236" i="2"/>
  <c r="E236" i="2"/>
  <c r="L126" i="2" l="1"/>
  <c r="M126" i="2" s="1"/>
  <c r="H127" i="2" s="1"/>
  <c r="P127" i="2" s="1"/>
  <c r="A240" i="2"/>
  <c r="Y239" i="2"/>
  <c r="F236" i="2"/>
  <c r="G236" i="2" s="1"/>
  <c r="J238" i="2"/>
  <c r="K237" i="2" s="1"/>
  <c r="T238" i="2"/>
  <c r="U237" i="2" s="1"/>
  <c r="S126" i="2"/>
  <c r="AA126" i="2"/>
  <c r="V126" i="2"/>
  <c r="X126" i="2" s="1"/>
  <c r="W243" i="2"/>
  <c r="E237" i="2"/>
  <c r="D237" i="2"/>
  <c r="I237" i="2"/>
  <c r="R238" i="2"/>
  <c r="B239" i="2"/>
  <c r="C238" i="2"/>
  <c r="O127" i="2" l="1"/>
  <c r="Q127" i="2" s="1"/>
  <c r="AA127" i="2" s="1"/>
  <c r="N127" i="2"/>
  <c r="S127" i="2" s="1"/>
  <c r="A241" i="2"/>
  <c r="Y240" i="2"/>
  <c r="F237" i="2"/>
  <c r="G237" i="2" s="1"/>
  <c r="J239" i="2"/>
  <c r="K238" i="2" s="1"/>
  <c r="T239" i="2"/>
  <c r="U238" i="2" s="1"/>
  <c r="L127" i="2"/>
  <c r="M127" i="2" s="1"/>
  <c r="H128" i="2" s="1"/>
  <c r="W244" i="2"/>
  <c r="R239" i="2"/>
  <c r="B240" i="2"/>
  <c r="C239" i="2"/>
  <c r="D238" i="2"/>
  <c r="I238" i="2"/>
  <c r="E238" i="2"/>
  <c r="V127" i="2" l="1"/>
  <c r="X127" i="2" s="1"/>
  <c r="A242" i="2"/>
  <c r="Y241" i="2"/>
  <c r="F238" i="2"/>
  <c r="G238" i="2" s="1"/>
  <c r="J240" i="2"/>
  <c r="K239" i="2" s="1"/>
  <c r="T240" i="2"/>
  <c r="U239" i="2" s="1"/>
  <c r="N128" i="2"/>
  <c r="P128" i="2"/>
  <c r="O128" i="2"/>
  <c r="Q128" i="2" s="1"/>
  <c r="W245" i="2"/>
  <c r="R240" i="2"/>
  <c r="C240" i="2"/>
  <c r="B241" i="2"/>
  <c r="I239" i="2"/>
  <c r="E239" i="2"/>
  <c r="D239" i="2"/>
  <c r="A243" i="2" l="1"/>
  <c r="Y242" i="2"/>
  <c r="F239" i="2"/>
  <c r="G239" i="2" s="1"/>
  <c r="J241" i="2"/>
  <c r="K240" i="2" s="1"/>
  <c r="T241" i="2"/>
  <c r="U240" i="2" s="1"/>
  <c r="S128" i="2"/>
  <c r="AA128" i="2"/>
  <c r="L128" i="2"/>
  <c r="M128" i="2" s="1"/>
  <c r="H129" i="2" s="1"/>
  <c r="V128" i="2"/>
  <c r="X128" i="2" s="1"/>
  <c r="W246" i="2"/>
  <c r="R241" i="2"/>
  <c r="C241" i="2"/>
  <c r="B242" i="2"/>
  <c r="D240" i="2"/>
  <c r="I240" i="2"/>
  <c r="E240" i="2"/>
  <c r="A244" i="2" l="1"/>
  <c r="Y243" i="2"/>
  <c r="F240" i="2"/>
  <c r="G240" i="2" s="1"/>
  <c r="J242" i="2"/>
  <c r="K241" i="2" s="1"/>
  <c r="T242" i="2"/>
  <c r="U241" i="2" s="1"/>
  <c r="P129" i="2"/>
  <c r="N129" i="2"/>
  <c r="O129" i="2"/>
  <c r="Q129" i="2" s="1"/>
  <c r="W247" i="2"/>
  <c r="R242" i="2"/>
  <c r="B243" i="2"/>
  <c r="C242" i="2"/>
  <c r="I241" i="2"/>
  <c r="D241" i="2"/>
  <c r="E241" i="2"/>
  <c r="A245" i="2" l="1"/>
  <c r="Y244" i="2"/>
  <c r="F241" i="2"/>
  <c r="G241" i="2" s="1"/>
  <c r="J243" i="2"/>
  <c r="K242" i="2" s="1"/>
  <c r="T243" i="2"/>
  <c r="U242" i="2" s="1"/>
  <c r="S129" i="2"/>
  <c r="AA129" i="2"/>
  <c r="V129" i="2"/>
  <c r="X129" i="2" s="1"/>
  <c r="L129" i="2"/>
  <c r="M129" i="2" s="1"/>
  <c r="H130" i="2" s="1"/>
  <c r="W248" i="2"/>
  <c r="E242" i="2"/>
  <c r="I242" i="2"/>
  <c r="D242" i="2"/>
  <c r="R243" i="2"/>
  <c r="B244" i="2"/>
  <c r="C243" i="2"/>
  <c r="A246" i="2" l="1"/>
  <c r="Y245" i="2"/>
  <c r="F242" i="2"/>
  <c r="G242" i="2" s="1"/>
  <c r="T244" i="2"/>
  <c r="U243" i="2" s="1"/>
  <c r="J244" i="2"/>
  <c r="K243" i="2" s="1"/>
  <c r="O130" i="2"/>
  <c r="Q130" i="2" s="1"/>
  <c r="P130" i="2"/>
  <c r="N130" i="2"/>
  <c r="W249" i="2"/>
  <c r="R244" i="2"/>
  <c r="B245" i="2"/>
  <c r="C244" i="2"/>
  <c r="E243" i="2"/>
  <c r="D243" i="2"/>
  <c r="I243" i="2"/>
  <c r="A247" i="2" l="1"/>
  <c r="Y246" i="2"/>
  <c r="F243" i="2"/>
  <c r="G243" i="2" s="1"/>
  <c r="J245" i="2"/>
  <c r="K244" i="2" s="1"/>
  <c r="T245" i="2"/>
  <c r="U244" i="2" s="1"/>
  <c r="S130" i="2"/>
  <c r="AA130" i="2"/>
  <c r="V130" i="2"/>
  <c r="X130" i="2" s="1"/>
  <c r="L130" i="2"/>
  <c r="M130" i="2" s="1"/>
  <c r="H131" i="2" s="1"/>
  <c r="W250" i="2"/>
  <c r="R245" i="2"/>
  <c r="C245" i="2"/>
  <c r="B246" i="2"/>
  <c r="I244" i="2"/>
  <c r="D244" i="2"/>
  <c r="E244" i="2"/>
  <c r="A248" i="2" l="1"/>
  <c r="Y247" i="2"/>
  <c r="F244" i="2"/>
  <c r="G244" i="2" s="1"/>
  <c r="J246" i="2"/>
  <c r="K245" i="2" s="1"/>
  <c r="T246" i="2"/>
  <c r="U245" i="2" s="1"/>
  <c r="P131" i="2"/>
  <c r="O131" i="2"/>
  <c r="Q131" i="2" s="1"/>
  <c r="N131" i="2"/>
  <c r="W251" i="2"/>
  <c r="R246" i="2"/>
  <c r="C246" i="2"/>
  <c r="B247" i="2"/>
  <c r="D245" i="2"/>
  <c r="I245" i="2"/>
  <c r="E245" i="2"/>
  <c r="A249" i="2" l="1"/>
  <c r="Y248" i="2"/>
  <c r="F245" i="2"/>
  <c r="G245" i="2" s="1"/>
  <c r="J247" i="2"/>
  <c r="K246" i="2" s="1"/>
  <c r="T247" i="2"/>
  <c r="U246" i="2" s="1"/>
  <c r="S131" i="2"/>
  <c r="L131" i="2"/>
  <c r="M131" i="2" s="1"/>
  <c r="AA131" i="2"/>
  <c r="V131" i="2"/>
  <c r="X131" i="2" s="1"/>
  <c r="W252" i="2"/>
  <c r="R247" i="2"/>
  <c r="C247" i="2"/>
  <c r="B248" i="2"/>
  <c r="E246" i="2"/>
  <c r="D246" i="2"/>
  <c r="I246" i="2"/>
  <c r="A250" i="2" l="1"/>
  <c r="Y249" i="2"/>
  <c r="H132" i="2"/>
  <c r="P132" i="2" s="1"/>
  <c r="F246" i="2"/>
  <c r="G246" i="2" s="1"/>
  <c r="J248" i="2"/>
  <c r="K247" i="2" s="1"/>
  <c r="T248" i="2"/>
  <c r="U247" i="2" s="1"/>
  <c r="O132" i="2"/>
  <c r="Q132" i="2" s="1"/>
  <c r="N132" i="2"/>
  <c r="W253" i="2"/>
  <c r="R248" i="2"/>
  <c r="B249" i="2"/>
  <c r="C248" i="2"/>
  <c r="E247" i="2"/>
  <c r="I247" i="2"/>
  <c r="D247" i="2"/>
  <c r="L132" i="2" l="1"/>
  <c r="M132" i="2" s="1"/>
  <c r="H133" i="2" s="1"/>
  <c r="P133" i="2" s="1"/>
  <c r="A251" i="2"/>
  <c r="Y250" i="2"/>
  <c r="F247" i="2"/>
  <c r="G247" i="2" s="1"/>
  <c r="J249" i="2"/>
  <c r="K248" i="2" s="1"/>
  <c r="T249" i="2"/>
  <c r="U248" i="2" s="1"/>
  <c r="S132" i="2"/>
  <c r="AA132" i="2"/>
  <c r="V132" i="2"/>
  <c r="X132" i="2" s="1"/>
  <c r="W254" i="2"/>
  <c r="I248" i="2"/>
  <c r="E248" i="2"/>
  <c r="D248" i="2"/>
  <c r="R249" i="2"/>
  <c r="B250" i="2"/>
  <c r="C249" i="2"/>
  <c r="O133" i="2" l="1"/>
  <c r="Q133" i="2" s="1"/>
  <c r="AA133" i="2" s="1"/>
  <c r="N133" i="2"/>
  <c r="S133" i="2" s="1"/>
  <c r="A252" i="2"/>
  <c r="Y251" i="2"/>
  <c r="F248" i="2"/>
  <c r="G248" i="2" s="1"/>
  <c r="J250" i="2"/>
  <c r="K249" i="2" s="1"/>
  <c r="T250" i="2"/>
  <c r="U249" i="2" s="1"/>
  <c r="L133" i="2"/>
  <c r="M133" i="2" s="1"/>
  <c r="H134" i="2" s="1"/>
  <c r="W255" i="2"/>
  <c r="I249" i="2"/>
  <c r="E249" i="2"/>
  <c r="D249" i="2"/>
  <c r="R250" i="2"/>
  <c r="C250" i="2"/>
  <c r="B251" i="2"/>
  <c r="V133" i="2" l="1"/>
  <c r="X133" i="2" s="1"/>
  <c r="A253" i="2"/>
  <c r="Y252" i="2"/>
  <c r="F249" i="2"/>
  <c r="G249" i="2" s="1"/>
  <c r="J251" i="2"/>
  <c r="K250" i="2" s="1"/>
  <c r="T251" i="2"/>
  <c r="U250" i="2" s="1"/>
  <c r="O134" i="2"/>
  <c r="Q134" i="2" s="1"/>
  <c r="N134" i="2"/>
  <c r="P134" i="2"/>
  <c r="W256" i="2"/>
  <c r="I250" i="2"/>
  <c r="E250" i="2"/>
  <c r="D250" i="2"/>
  <c r="R251" i="2"/>
  <c r="C251" i="2"/>
  <c r="B252" i="2"/>
  <c r="A254" i="2" l="1"/>
  <c r="Y253" i="2"/>
  <c r="F250" i="2"/>
  <c r="G250" i="2" s="1"/>
  <c r="T252" i="2"/>
  <c r="U251" i="2" s="1"/>
  <c r="S134" i="2"/>
  <c r="AA134" i="2"/>
  <c r="J252" i="2"/>
  <c r="K251" i="2" s="1"/>
  <c r="L134" i="2"/>
  <c r="M134" i="2" s="1"/>
  <c r="H135" i="2" s="1"/>
  <c r="V134" i="2"/>
  <c r="X134" i="2" s="1"/>
  <c r="W257" i="2"/>
  <c r="D251" i="2"/>
  <c r="E251" i="2"/>
  <c r="I251" i="2"/>
  <c r="R252" i="2"/>
  <c r="C252" i="2"/>
  <c r="B253" i="2"/>
  <c r="A255" i="2" l="1"/>
  <c r="Y254" i="2"/>
  <c r="F251" i="2"/>
  <c r="G251" i="2" s="1"/>
  <c r="J253" i="2"/>
  <c r="K252" i="2" s="1"/>
  <c r="T253" i="2"/>
  <c r="U252" i="2" s="1"/>
  <c r="O135" i="2"/>
  <c r="Q135" i="2" s="1"/>
  <c r="P135" i="2"/>
  <c r="N135" i="2"/>
  <c r="W258" i="2"/>
  <c r="I252" i="2"/>
  <c r="D252" i="2"/>
  <c r="E252" i="2"/>
  <c r="R253" i="2"/>
  <c r="C253" i="2"/>
  <c r="B254" i="2"/>
  <c r="A256" i="2" l="1"/>
  <c r="Y255" i="2"/>
  <c r="F252" i="2"/>
  <c r="G252" i="2" s="1"/>
  <c r="J254" i="2"/>
  <c r="K253" i="2" s="1"/>
  <c r="T254" i="2"/>
  <c r="U253" i="2" s="1"/>
  <c r="S135" i="2"/>
  <c r="L135" i="2"/>
  <c r="M135" i="2" s="1"/>
  <c r="H136" i="2" s="1"/>
  <c r="AA135" i="2"/>
  <c r="V135" i="2"/>
  <c r="X135" i="2" s="1"/>
  <c r="W259" i="2"/>
  <c r="R254" i="2"/>
  <c r="C254" i="2"/>
  <c r="B255" i="2"/>
  <c r="I253" i="2"/>
  <c r="E253" i="2"/>
  <c r="D253" i="2"/>
  <c r="A257" i="2" l="1"/>
  <c r="Y256" i="2"/>
  <c r="F253" i="2"/>
  <c r="G253" i="2" s="1"/>
  <c r="T255" i="2"/>
  <c r="U254" i="2" s="1"/>
  <c r="J255" i="2"/>
  <c r="K254" i="2" s="1"/>
  <c r="N136" i="2"/>
  <c r="P136" i="2"/>
  <c r="O136" i="2"/>
  <c r="Q136" i="2" s="1"/>
  <c r="W260" i="2"/>
  <c r="R255" i="2"/>
  <c r="B256" i="2"/>
  <c r="C255" i="2"/>
  <c r="E254" i="2"/>
  <c r="D254" i="2"/>
  <c r="I254" i="2"/>
  <c r="A258" i="2" l="1"/>
  <c r="Y257" i="2"/>
  <c r="F254" i="2"/>
  <c r="G254" i="2" s="1"/>
  <c r="J256" i="2"/>
  <c r="K255" i="2" s="1"/>
  <c r="T256" i="2"/>
  <c r="U255" i="2" s="1"/>
  <c r="S136" i="2"/>
  <c r="AA136" i="2"/>
  <c r="V136" i="2"/>
  <c r="X136" i="2" s="1"/>
  <c r="L136" i="2"/>
  <c r="M136" i="2" s="1"/>
  <c r="H137" i="2" s="1"/>
  <c r="W261" i="2"/>
  <c r="D255" i="2"/>
  <c r="I255" i="2"/>
  <c r="E255" i="2"/>
  <c r="R256" i="2"/>
  <c r="C256" i="2"/>
  <c r="B257" i="2"/>
  <c r="A259" i="2" l="1"/>
  <c r="Y258" i="2"/>
  <c r="F255" i="2"/>
  <c r="G255" i="2" s="1"/>
  <c r="J257" i="2"/>
  <c r="K256" i="2" s="1"/>
  <c r="T257" i="2"/>
  <c r="U256" i="2" s="1"/>
  <c r="N137" i="2"/>
  <c r="P137" i="2"/>
  <c r="O137" i="2"/>
  <c r="Q137" i="2" s="1"/>
  <c r="W262" i="2"/>
  <c r="D256" i="2"/>
  <c r="I256" i="2"/>
  <c r="E256" i="2"/>
  <c r="R257" i="2"/>
  <c r="C257" i="2"/>
  <c r="B258" i="2"/>
  <c r="A260" i="2" l="1"/>
  <c r="Y259" i="2"/>
  <c r="F256" i="2"/>
  <c r="G256" i="2" s="1"/>
  <c r="J258" i="2"/>
  <c r="K257" i="2" s="1"/>
  <c r="T258" i="2"/>
  <c r="U257" i="2" s="1"/>
  <c r="S137" i="2"/>
  <c r="L137" i="2"/>
  <c r="M137" i="2" s="1"/>
  <c r="H138" i="2" s="1"/>
  <c r="AA137" i="2"/>
  <c r="V137" i="2"/>
  <c r="X137" i="2" s="1"/>
  <c r="W263" i="2"/>
  <c r="R258" i="2"/>
  <c r="C258" i="2"/>
  <c r="B259" i="2"/>
  <c r="E257" i="2"/>
  <c r="I257" i="2"/>
  <c r="D257" i="2"/>
  <c r="A261" i="2" l="1"/>
  <c r="Y260" i="2"/>
  <c r="F257" i="2"/>
  <c r="G257" i="2" s="1"/>
  <c r="J259" i="2"/>
  <c r="K258" i="2" s="1"/>
  <c r="T259" i="2"/>
  <c r="U258" i="2" s="1"/>
  <c r="O138" i="2"/>
  <c r="Q138" i="2" s="1"/>
  <c r="P138" i="2"/>
  <c r="N138" i="2"/>
  <c r="W264" i="2"/>
  <c r="R259" i="2"/>
  <c r="C259" i="2"/>
  <c r="B260" i="2"/>
  <c r="I258" i="2"/>
  <c r="E258" i="2"/>
  <c r="D258" i="2"/>
  <c r="A262" i="2" l="1"/>
  <c r="Y261" i="2"/>
  <c r="F258" i="2"/>
  <c r="G258" i="2" s="1"/>
  <c r="T260" i="2"/>
  <c r="U259" i="2" s="1"/>
  <c r="S138" i="2"/>
  <c r="AA138" i="2"/>
  <c r="L138" i="2"/>
  <c r="M138" i="2" s="1"/>
  <c r="H139" i="2" s="1"/>
  <c r="J260" i="2"/>
  <c r="K259" i="2" s="1"/>
  <c r="V138" i="2"/>
  <c r="X138" i="2" s="1"/>
  <c r="W265" i="2"/>
  <c r="R260" i="2"/>
  <c r="C260" i="2"/>
  <c r="B261" i="2"/>
  <c r="D259" i="2"/>
  <c r="I259" i="2"/>
  <c r="E259" i="2"/>
  <c r="A263" i="2" l="1"/>
  <c r="Y262" i="2"/>
  <c r="F259" i="2"/>
  <c r="G259" i="2" s="1"/>
  <c r="J261" i="2"/>
  <c r="K260" i="2" s="1"/>
  <c r="T261" i="2"/>
  <c r="U260" i="2" s="1"/>
  <c r="O139" i="2"/>
  <c r="Q139" i="2" s="1"/>
  <c r="N139" i="2"/>
  <c r="P139" i="2"/>
  <c r="W266" i="2"/>
  <c r="R261" i="2"/>
  <c r="C261" i="2"/>
  <c r="B262" i="2"/>
  <c r="E260" i="2"/>
  <c r="D260" i="2"/>
  <c r="I260" i="2"/>
  <c r="A264" i="2" l="1"/>
  <c r="Y263" i="2"/>
  <c r="F260" i="2"/>
  <c r="G260" i="2" s="1"/>
  <c r="J262" i="2"/>
  <c r="K261" i="2" s="1"/>
  <c r="T262" i="2"/>
  <c r="U261" i="2" s="1"/>
  <c r="S139" i="2"/>
  <c r="AA139" i="2"/>
  <c r="V139" i="2"/>
  <c r="X139" i="2" s="1"/>
  <c r="L139" i="2"/>
  <c r="M139" i="2" s="1"/>
  <c r="H140" i="2" s="1"/>
  <c r="W267" i="2"/>
  <c r="D261" i="2"/>
  <c r="I261" i="2"/>
  <c r="E261" i="2"/>
  <c r="R262" i="2"/>
  <c r="B263" i="2"/>
  <c r="C262" i="2"/>
  <c r="A265" i="2" l="1"/>
  <c r="Y264" i="2"/>
  <c r="F261" i="2"/>
  <c r="G261" i="2" s="1"/>
  <c r="J263" i="2"/>
  <c r="K262" i="2" s="1"/>
  <c r="T263" i="2"/>
  <c r="U262" i="2" s="1"/>
  <c r="N140" i="2"/>
  <c r="O140" i="2"/>
  <c r="Q140" i="2" s="1"/>
  <c r="P140" i="2"/>
  <c r="W268" i="2"/>
  <c r="E262" i="2"/>
  <c r="D262" i="2"/>
  <c r="I262" i="2"/>
  <c r="R263" i="2"/>
  <c r="C263" i="2"/>
  <c r="B264" i="2"/>
  <c r="A266" i="2" l="1"/>
  <c r="Y265" i="2"/>
  <c r="F262" i="2"/>
  <c r="G262" i="2" s="1"/>
  <c r="J264" i="2"/>
  <c r="K263" i="2" s="1"/>
  <c r="T264" i="2"/>
  <c r="U263" i="2" s="1"/>
  <c r="S140" i="2"/>
  <c r="AA140" i="2"/>
  <c r="L140" i="2"/>
  <c r="M140" i="2" s="1"/>
  <c r="H141" i="2" s="1"/>
  <c r="V140" i="2"/>
  <c r="X140" i="2" s="1"/>
  <c r="W269" i="2"/>
  <c r="I263" i="2"/>
  <c r="D263" i="2"/>
  <c r="E263" i="2"/>
  <c r="R264" i="2"/>
  <c r="C264" i="2"/>
  <c r="B265" i="2"/>
  <c r="A267" i="2" l="1"/>
  <c r="Y266" i="2"/>
  <c r="F263" i="2"/>
  <c r="G263" i="2" s="1"/>
  <c r="J265" i="2"/>
  <c r="K264" i="2" s="1"/>
  <c r="T265" i="2"/>
  <c r="U264" i="2" s="1"/>
  <c r="N141" i="2"/>
  <c r="P141" i="2"/>
  <c r="O141" i="2"/>
  <c r="Q141" i="2" s="1"/>
  <c r="W270" i="2"/>
  <c r="D264" i="2"/>
  <c r="I264" i="2"/>
  <c r="E264" i="2"/>
  <c r="R265" i="2"/>
  <c r="C265" i="2"/>
  <c r="B266" i="2"/>
  <c r="A268" i="2" l="1"/>
  <c r="Y267" i="2"/>
  <c r="F264" i="2"/>
  <c r="G264" i="2" s="1"/>
  <c r="J266" i="2"/>
  <c r="K265" i="2" s="1"/>
  <c r="T266" i="2"/>
  <c r="U265" i="2" s="1"/>
  <c r="S141" i="2"/>
  <c r="AA141" i="2"/>
  <c r="L141" i="2"/>
  <c r="M141" i="2" s="1"/>
  <c r="H142" i="2" s="1"/>
  <c r="V141" i="2"/>
  <c r="X141" i="2" s="1"/>
  <c r="W271" i="2"/>
  <c r="R266" i="2"/>
  <c r="C266" i="2"/>
  <c r="B267" i="2"/>
  <c r="E265" i="2"/>
  <c r="D265" i="2"/>
  <c r="I265" i="2"/>
  <c r="A269" i="2" l="1"/>
  <c r="Y268" i="2"/>
  <c r="F265" i="2"/>
  <c r="G265" i="2" s="1"/>
  <c r="T267" i="2"/>
  <c r="U266" i="2" s="1"/>
  <c r="J267" i="2"/>
  <c r="K266" i="2" s="1"/>
  <c r="O142" i="2"/>
  <c r="Q142" i="2" s="1"/>
  <c r="N142" i="2"/>
  <c r="P142" i="2"/>
  <c r="W272" i="2"/>
  <c r="R267" i="2"/>
  <c r="B268" i="2"/>
  <c r="C267" i="2"/>
  <c r="I266" i="2"/>
  <c r="D266" i="2"/>
  <c r="E266" i="2"/>
  <c r="A270" i="2" l="1"/>
  <c r="Y269" i="2"/>
  <c r="F266" i="2"/>
  <c r="G266" i="2" s="1"/>
  <c r="T268" i="2"/>
  <c r="U267" i="2" s="1"/>
  <c r="S142" i="2"/>
  <c r="AA142" i="2"/>
  <c r="J268" i="2"/>
  <c r="K267" i="2" s="1"/>
  <c r="L142" i="2"/>
  <c r="M142" i="2" s="1"/>
  <c r="H143" i="2" s="1"/>
  <c r="V142" i="2"/>
  <c r="X142" i="2" s="1"/>
  <c r="W273" i="2"/>
  <c r="D267" i="2"/>
  <c r="I267" i="2"/>
  <c r="E267" i="2"/>
  <c r="R268" i="2"/>
  <c r="B269" i="2"/>
  <c r="C268" i="2"/>
  <c r="A271" i="2" l="1"/>
  <c r="Y270" i="2"/>
  <c r="F267" i="2"/>
  <c r="G267" i="2" s="1"/>
  <c r="T269" i="2"/>
  <c r="U268" i="2" s="1"/>
  <c r="J269" i="2"/>
  <c r="K268" i="2" s="1"/>
  <c r="P143" i="2"/>
  <c r="O143" i="2"/>
  <c r="Q143" i="2" s="1"/>
  <c r="N143" i="2"/>
  <c r="W274" i="2"/>
  <c r="E268" i="2"/>
  <c r="I268" i="2"/>
  <c r="D268" i="2"/>
  <c r="R269" i="2"/>
  <c r="C269" i="2"/>
  <c r="B270" i="2"/>
  <c r="A272" i="2" l="1"/>
  <c r="Y271" i="2"/>
  <c r="F268" i="2"/>
  <c r="G268" i="2" s="1"/>
  <c r="J270" i="2"/>
  <c r="K269" i="2" s="1"/>
  <c r="T270" i="2"/>
  <c r="U269" i="2" s="1"/>
  <c r="S143" i="2"/>
  <c r="AA143" i="2"/>
  <c r="V143" i="2"/>
  <c r="X143" i="2" s="1"/>
  <c r="L143" i="2"/>
  <c r="M143" i="2" s="1"/>
  <c r="H144" i="2" s="1"/>
  <c r="W275" i="2"/>
  <c r="D269" i="2"/>
  <c r="I269" i="2"/>
  <c r="E269" i="2"/>
  <c r="R270" i="2"/>
  <c r="B271" i="2"/>
  <c r="C270" i="2"/>
  <c r="A273" i="2" l="1"/>
  <c r="Y272" i="2"/>
  <c r="F269" i="2"/>
  <c r="G269" i="2" s="1"/>
  <c r="J271" i="2"/>
  <c r="K270" i="2" s="1"/>
  <c r="T271" i="2"/>
  <c r="U270" i="2" s="1"/>
  <c r="O144" i="2"/>
  <c r="Q144" i="2" s="1"/>
  <c r="P144" i="2"/>
  <c r="N144" i="2"/>
  <c r="W276" i="2"/>
  <c r="D270" i="2"/>
  <c r="I270" i="2"/>
  <c r="E270" i="2"/>
  <c r="R271" i="2"/>
  <c r="C271" i="2"/>
  <c r="B272" i="2"/>
  <c r="A274" i="2" l="1"/>
  <c r="Y273" i="2"/>
  <c r="F270" i="2"/>
  <c r="G270" i="2" s="1"/>
  <c r="J272" i="2"/>
  <c r="K271" i="2" s="1"/>
  <c r="T272" i="2"/>
  <c r="U271" i="2" s="1"/>
  <c r="S144" i="2"/>
  <c r="AA144" i="2"/>
  <c r="L144" i="2"/>
  <c r="M144" i="2" s="1"/>
  <c r="H145" i="2" s="1"/>
  <c r="V144" i="2"/>
  <c r="X144" i="2" s="1"/>
  <c r="W277" i="2"/>
  <c r="R272" i="2"/>
  <c r="B273" i="2"/>
  <c r="C272" i="2"/>
  <c r="I271" i="2"/>
  <c r="E271" i="2"/>
  <c r="D271" i="2"/>
  <c r="A275" i="2" l="1"/>
  <c r="Y274" i="2"/>
  <c r="F271" i="2"/>
  <c r="G271" i="2" s="1"/>
  <c r="J273" i="2"/>
  <c r="K272" i="2" s="1"/>
  <c r="T273" i="2"/>
  <c r="U272" i="2" s="1"/>
  <c r="O145" i="2"/>
  <c r="Q145" i="2" s="1"/>
  <c r="P145" i="2"/>
  <c r="N145" i="2"/>
  <c r="W278" i="2"/>
  <c r="D272" i="2"/>
  <c r="E272" i="2"/>
  <c r="I272" i="2"/>
  <c r="R273" i="2"/>
  <c r="B274" i="2"/>
  <c r="C273" i="2"/>
  <c r="A276" i="2" l="1"/>
  <c r="Y275" i="2"/>
  <c r="F272" i="2"/>
  <c r="G272" i="2" s="1"/>
  <c r="J274" i="2"/>
  <c r="K273" i="2" s="1"/>
  <c r="T274" i="2"/>
  <c r="U273" i="2" s="1"/>
  <c r="S145" i="2"/>
  <c r="AA145" i="2"/>
  <c r="L145" i="2"/>
  <c r="M145" i="2" s="1"/>
  <c r="H146" i="2" s="1"/>
  <c r="V145" i="2"/>
  <c r="X145" i="2" s="1"/>
  <c r="W279" i="2"/>
  <c r="D273" i="2"/>
  <c r="I273" i="2"/>
  <c r="E273" i="2"/>
  <c r="R274" i="2"/>
  <c r="C274" i="2"/>
  <c r="B275" i="2"/>
  <c r="A277" i="2" l="1"/>
  <c r="Y276" i="2"/>
  <c r="F273" i="2"/>
  <c r="G273" i="2" s="1"/>
  <c r="J275" i="2"/>
  <c r="K274" i="2" s="1"/>
  <c r="T275" i="2"/>
  <c r="U274" i="2" s="1"/>
  <c r="O146" i="2"/>
  <c r="Q146" i="2" s="1"/>
  <c r="N146" i="2"/>
  <c r="P146" i="2"/>
  <c r="W280" i="2"/>
  <c r="R275" i="2"/>
  <c r="C275" i="2"/>
  <c r="B276" i="2"/>
  <c r="E274" i="2"/>
  <c r="I274" i="2"/>
  <c r="D274" i="2"/>
  <c r="A278" i="2" l="1"/>
  <c r="Y277" i="2"/>
  <c r="F274" i="2"/>
  <c r="G274" i="2" s="1"/>
  <c r="T276" i="2"/>
  <c r="U275" i="2" s="1"/>
  <c r="S146" i="2"/>
  <c r="AA146" i="2"/>
  <c r="J276" i="2"/>
  <c r="K275" i="2" s="1"/>
  <c r="V146" i="2"/>
  <c r="X146" i="2" s="1"/>
  <c r="L146" i="2"/>
  <c r="M146" i="2" s="1"/>
  <c r="H147" i="2" s="1"/>
  <c r="W281" i="2"/>
  <c r="E275" i="2"/>
  <c r="I275" i="2"/>
  <c r="D275" i="2"/>
  <c r="R276" i="2"/>
  <c r="C276" i="2"/>
  <c r="B277" i="2"/>
  <c r="A279" i="2" l="1"/>
  <c r="Y278" i="2"/>
  <c r="F275" i="2"/>
  <c r="G275" i="2" s="1"/>
  <c r="T277" i="2"/>
  <c r="U276" i="2" s="1"/>
  <c r="J277" i="2"/>
  <c r="K276" i="2" s="1"/>
  <c r="O147" i="2"/>
  <c r="Q147" i="2" s="1"/>
  <c r="N147" i="2"/>
  <c r="P147" i="2"/>
  <c r="W282" i="2"/>
  <c r="R277" i="2"/>
  <c r="B278" i="2"/>
  <c r="C277" i="2"/>
  <c r="I276" i="2"/>
  <c r="D276" i="2"/>
  <c r="E276" i="2"/>
  <c r="A280" i="2" l="1"/>
  <c r="Y279" i="2"/>
  <c r="F276" i="2"/>
  <c r="G276" i="2" s="1"/>
  <c r="J278" i="2"/>
  <c r="K277" i="2" s="1"/>
  <c r="T278" i="2"/>
  <c r="U277" i="2" s="1"/>
  <c r="S147" i="2"/>
  <c r="AA147" i="2"/>
  <c r="V147" i="2"/>
  <c r="X147" i="2" s="1"/>
  <c r="L147" i="2"/>
  <c r="M147" i="2" s="1"/>
  <c r="H148" i="2" s="1"/>
  <c r="W283" i="2"/>
  <c r="R278" i="2"/>
  <c r="C278" i="2"/>
  <c r="B279" i="2"/>
  <c r="I277" i="2"/>
  <c r="E277" i="2"/>
  <c r="D277" i="2"/>
  <c r="A281" i="2" l="1"/>
  <c r="Y280" i="2"/>
  <c r="F277" i="2"/>
  <c r="G277" i="2" s="1"/>
  <c r="T279" i="2"/>
  <c r="U278" i="2" s="1"/>
  <c r="J279" i="2"/>
  <c r="K278" i="2" s="1"/>
  <c r="N148" i="2"/>
  <c r="O148" i="2"/>
  <c r="Q148" i="2" s="1"/>
  <c r="P148" i="2"/>
  <c r="W284" i="2"/>
  <c r="R279" i="2"/>
  <c r="C279" i="2"/>
  <c r="B280" i="2"/>
  <c r="E278" i="2"/>
  <c r="D278" i="2"/>
  <c r="I278" i="2"/>
  <c r="A282" i="2" l="1"/>
  <c r="Y281" i="2"/>
  <c r="F278" i="2"/>
  <c r="G278" i="2" s="1"/>
  <c r="J280" i="2"/>
  <c r="K279" i="2" s="1"/>
  <c r="T280" i="2"/>
  <c r="U279" i="2" s="1"/>
  <c r="S148" i="2"/>
  <c r="AA148" i="2"/>
  <c r="L148" i="2"/>
  <c r="M148" i="2" s="1"/>
  <c r="H149" i="2" s="1"/>
  <c r="V148" i="2"/>
  <c r="X148" i="2" s="1"/>
  <c r="W285" i="2"/>
  <c r="R280" i="2"/>
  <c r="C280" i="2"/>
  <c r="B281" i="2"/>
  <c r="E279" i="2"/>
  <c r="I279" i="2"/>
  <c r="D279" i="2"/>
  <c r="A283" i="2" l="1"/>
  <c r="Y282" i="2"/>
  <c r="F279" i="2"/>
  <c r="G279" i="2" s="1"/>
  <c r="J281" i="2"/>
  <c r="K280" i="2" s="1"/>
  <c r="T281" i="2"/>
  <c r="U280" i="2" s="1"/>
  <c r="N149" i="2"/>
  <c r="O149" i="2"/>
  <c r="Q149" i="2" s="1"/>
  <c r="P149" i="2"/>
  <c r="W286" i="2"/>
  <c r="I280" i="2"/>
  <c r="D280" i="2"/>
  <c r="E280" i="2"/>
  <c r="R281" i="2"/>
  <c r="B282" i="2"/>
  <c r="C281" i="2"/>
  <c r="A284" i="2" l="1"/>
  <c r="Y283" i="2"/>
  <c r="F280" i="2"/>
  <c r="G280" i="2" s="1"/>
  <c r="J282" i="2"/>
  <c r="K281" i="2" s="1"/>
  <c r="T282" i="2"/>
  <c r="U281" i="2" s="1"/>
  <c r="S149" i="2"/>
  <c r="AA149" i="2"/>
  <c r="L149" i="2"/>
  <c r="M149" i="2" s="1"/>
  <c r="H150" i="2" s="1"/>
  <c r="V149" i="2"/>
  <c r="X149" i="2" s="1"/>
  <c r="W287" i="2"/>
  <c r="R282" i="2"/>
  <c r="C282" i="2"/>
  <c r="B283" i="2"/>
  <c r="D281" i="2"/>
  <c r="I281" i="2"/>
  <c r="E281" i="2"/>
  <c r="A285" i="2" l="1"/>
  <c r="Y284" i="2"/>
  <c r="F281" i="2"/>
  <c r="G281" i="2" s="1"/>
  <c r="J283" i="2"/>
  <c r="K282" i="2" s="1"/>
  <c r="T283" i="2"/>
  <c r="U282" i="2" s="1"/>
  <c r="N150" i="2"/>
  <c r="O150" i="2"/>
  <c r="Q150" i="2" s="1"/>
  <c r="P150" i="2"/>
  <c r="W288" i="2"/>
  <c r="D282" i="2"/>
  <c r="I282" i="2"/>
  <c r="E282" i="2"/>
  <c r="R283" i="2"/>
  <c r="C283" i="2"/>
  <c r="B284" i="2"/>
  <c r="A286" i="2" l="1"/>
  <c r="Y285" i="2"/>
  <c r="F282" i="2"/>
  <c r="G282" i="2" s="1"/>
  <c r="T284" i="2"/>
  <c r="U283" i="2" s="1"/>
  <c r="S150" i="2"/>
  <c r="AA150" i="2"/>
  <c r="J284" i="2"/>
  <c r="K283" i="2" s="1"/>
  <c r="L150" i="2"/>
  <c r="M150" i="2" s="1"/>
  <c r="H151" i="2" s="1"/>
  <c r="V150" i="2"/>
  <c r="X150" i="2" s="1"/>
  <c r="W289" i="2"/>
  <c r="D283" i="2"/>
  <c r="I283" i="2"/>
  <c r="E283" i="2"/>
  <c r="R284" i="2"/>
  <c r="B285" i="2"/>
  <c r="C284" i="2"/>
  <c r="A287" i="2" l="1"/>
  <c r="Y286" i="2"/>
  <c r="F283" i="2"/>
  <c r="G283" i="2" s="1"/>
  <c r="J285" i="2"/>
  <c r="K284" i="2" s="1"/>
  <c r="T285" i="2"/>
  <c r="U284" i="2" s="1"/>
  <c r="O151" i="2"/>
  <c r="Q151" i="2" s="1"/>
  <c r="N151" i="2"/>
  <c r="P151" i="2"/>
  <c r="W290" i="2"/>
  <c r="E284" i="2"/>
  <c r="F284" i="2" s="1"/>
  <c r="G284" i="2" s="1"/>
  <c r="D284" i="2"/>
  <c r="I284" i="2"/>
  <c r="R285" i="2"/>
  <c r="B286" i="2"/>
  <c r="C285" i="2"/>
  <c r="A288" i="2" l="1"/>
  <c r="Y287" i="2"/>
  <c r="J286" i="2"/>
  <c r="K285" i="2" s="1"/>
  <c r="T286" i="2"/>
  <c r="U285" i="2" s="1"/>
  <c r="S151" i="2"/>
  <c r="AA151" i="2"/>
  <c r="V151" i="2"/>
  <c r="X151" i="2" s="1"/>
  <c r="L151" i="2"/>
  <c r="M151" i="2" s="1"/>
  <c r="H152" i="2" s="1"/>
  <c r="W291" i="2"/>
  <c r="R286" i="2"/>
  <c r="C286" i="2"/>
  <c r="B287" i="2"/>
  <c r="E285" i="2"/>
  <c r="F285" i="2" s="1"/>
  <c r="G285" i="2" s="1"/>
  <c r="I285" i="2"/>
  <c r="D285" i="2"/>
  <c r="A289" i="2" l="1"/>
  <c r="Y288" i="2"/>
  <c r="T287" i="2"/>
  <c r="U286" i="2" s="1"/>
  <c r="J287" i="2"/>
  <c r="K286" i="2" s="1"/>
  <c r="N152" i="2"/>
  <c r="O152" i="2"/>
  <c r="Q152" i="2" s="1"/>
  <c r="P152" i="2"/>
  <c r="W292" i="2"/>
  <c r="I286" i="2"/>
  <c r="D286" i="2"/>
  <c r="E286" i="2"/>
  <c r="F286" i="2" s="1"/>
  <c r="G286" i="2" s="1"/>
  <c r="R287" i="2"/>
  <c r="C287" i="2"/>
  <c r="B288" i="2"/>
  <c r="A290" i="2" l="1"/>
  <c r="Y289" i="2"/>
  <c r="J288" i="2"/>
  <c r="K287" i="2" s="1"/>
  <c r="T288" i="2"/>
  <c r="U287" i="2" s="1"/>
  <c r="S152" i="2"/>
  <c r="AA152" i="2"/>
  <c r="V152" i="2"/>
  <c r="X152" i="2" s="1"/>
  <c r="L152" i="2"/>
  <c r="M152" i="2" s="1"/>
  <c r="H153" i="2" s="1"/>
  <c r="W293" i="2"/>
  <c r="D287" i="2"/>
  <c r="I287" i="2"/>
  <c r="E287" i="2"/>
  <c r="F287" i="2" s="1"/>
  <c r="G287" i="2" s="1"/>
  <c r="R288" i="2"/>
  <c r="B289" i="2"/>
  <c r="C288" i="2"/>
  <c r="A291" i="2" l="1"/>
  <c r="Y290" i="2"/>
  <c r="J289" i="2"/>
  <c r="K288" i="2" s="1"/>
  <c r="T289" i="2"/>
  <c r="U288" i="2" s="1"/>
  <c r="P153" i="2"/>
  <c r="N153" i="2"/>
  <c r="O153" i="2"/>
  <c r="Q153" i="2" s="1"/>
  <c r="W294" i="2"/>
  <c r="R289" i="2"/>
  <c r="C289" i="2"/>
  <c r="B290" i="2"/>
  <c r="D288" i="2"/>
  <c r="I288" i="2"/>
  <c r="E288" i="2"/>
  <c r="F288" i="2" s="1"/>
  <c r="G288" i="2" s="1"/>
  <c r="A292" i="2" l="1"/>
  <c r="Y291" i="2"/>
  <c r="J290" i="2"/>
  <c r="K289" i="2" s="1"/>
  <c r="T290" i="2"/>
  <c r="U289" i="2" s="1"/>
  <c r="S153" i="2"/>
  <c r="L153" i="2"/>
  <c r="M153" i="2" s="1"/>
  <c r="H154" i="2" s="1"/>
  <c r="AA153" i="2"/>
  <c r="V153" i="2"/>
  <c r="X153" i="2" s="1"/>
  <c r="W295" i="2"/>
  <c r="E289" i="2"/>
  <c r="F289" i="2" s="1"/>
  <c r="G289" i="2" s="1"/>
  <c r="I289" i="2"/>
  <c r="D289" i="2"/>
  <c r="R290" i="2"/>
  <c r="C290" i="2"/>
  <c r="B291" i="2"/>
  <c r="A293" i="2" l="1"/>
  <c r="Y292" i="2"/>
  <c r="J291" i="2"/>
  <c r="K290" i="2" s="1"/>
  <c r="T291" i="2"/>
  <c r="U290" i="2" s="1"/>
  <c r="O154" i="2"/>
  <c r="Q154" i="2" s="1"/>
  <c r="P154" i="2"/>
  <c r="N154" i="2"/>
  <c r="W296" i="2"/>
  <c r="R291" i="2"/>
  <c r="B292" i="2"/>
  <c r="C291" i="2"/>
  <c r="D290" i="2"/>
  <c r="E290" i="2"/>
  <c r="F290" i="2" s="1"/>
  <c r="G290" i="2" s="1"/>
  <c r="I290" i="2"/>
  <c r="A294" i="2" l="1"/>
  <c r="Y293" i="2"/>
  <c r="J292" i="2"/>
  <c r="K291" i="2" s="1"/>
  <c r="T292" i="2"/>
  <c r="U291" i="2" s="1"/>
  <c r="S154" i="2"/>
  <c r="AA154" i="2"/>
  <c r="V154" i="2"/>
  <c r="X154" i="2" s="1"/>
  <c r="L154" i="2"/>
  <c r="M154" i="2" s="1"/>
  <c r="H155" i="2" s="1"/>
  <c r="W297" i="2"/>
  <c r="E291" i="2"/>
  <c r="F291" i="2" s="1"/>
  <c r="G291" i="2" s="1"/>
  <c r="D291" i="2"/>
  <c r="I291" i="2"/>
  <c r="R292" i="2"/>
  <c r="C292" i="2"/>
  <c r="B293" i="2"/>
  <c r="A295" i="2" l="1"/>
  <c r="Y294" i="2"/>
  <c r="T293" i="2"/>
  <c r="U292" i="2" s="1"/>
  <c r="J293" i="2"/>
  <c r="K292" i="2" s="1"/>
  <c r="O155" i="2"/>
  <c r="Q155" i="2" s="1"/>
  <c r="N155" i="2"/>
  <c r="P155" i="2"/>
  <c r="W298" i="2"/>
  <c r="R293" i="2"/>
  <c r="B294" i="2"/>
  <c r="C293" i="2"/>
  <c r="D292" i="2"/>
  <c r="I292" i="2"/>
  <c r="E292" i="2"/>
  <c r="F292" i="2" s="1"/>
  <c r="G292" i="2" s="1"/>
  <c r="A296" i="2" l="1"/>
  <c r="Y295" i="2"/>
  <c r="J294" i="2"/>
  <c r="K293" i="2" s="1"/>
  <c r="T294" i="2"/>
  <c r="U293" i="2" s="1"/>
  <c r="S155" i="2"/>
  <c r="AA155" i="2"/>
  <c r="L155" i="2"/>
  <c r="M155" i="2" s="1"/>
  <c r="H156" i="2" s="1"/>
  <c r="V155" i="2"/>
  <c r="X155" i="2" s="1"/>
  <c r="W299" i="2"/>
  <c r="I293" i="2"/>
  <c r="E293" i="2"/>
  <c r="F293" i="2" s="1"/>
  <c r="G293" i="2" s="1"/>
  <c r="D293" i="2"/>
  <c r="R294" i="2"/>
  <c r="B295" i="2"/>
  <c r="C294" i="2"/>
  <c r="A297" i="2" l="1"/>
  <c r="Y296" i="2"/>
  <c r="T295" i="2"/>
  <c r="U294" i="2" s="1"/>
  <c r="J295" i="2"/>
  <c r="K294" i="2" s="1"/>
  <c r="O156" i="2"/>
  <c r="Q156" i="2" s="1"/>
  <c r="P156" i="2"/>
  <c r="N156" i="2"/>
  <c r="W300" i="2"/>
  <c r="R295" i="2"/>
  <c r="C295" i="2"/>
  <c r="B296" i="2"/>
  <c r="E294" i="2"/>
  <c r="F294" i="2" s="1"/>
  <c r="G294" i="2" s="1"/>
  <c r="D294" i="2"/>
  <c r="I294" i="2"/>
  <c r="A298" i="2" l="1"/>
  <c r="Y297" i="2"/>
  <c r="J296" i="2"/>
  <c r="K295" i="2" s="1"/>
  <c r="T296" i="2"/>
  <c r="U295" i="2" s="1"/>
  <c r="S156" i="2"/>
  <c r="L156" i="2"/>
  <c r="M156" i="2" s="1"/>
  <c r="H157" i="2" s="1"/>
  <c r="AA156" i="2"/>
  <c r="V156" i="2"/>
  <c r="X156" i="2" s="1"/>
  <c r="W301" i="2"/>
  <c r="I295" i="2"/>
  <c r="E295" i="2"/>
  <c r="F295" i="2" s="1"/>
  <c r="G295" i="2" s="1"/>
  <c r="D295" i="2"/>
  <c r="R296" i="2"/>
  <c r="B297" i="2"/>
  <c r="C296" i="2"/>
  <c r="A299" i="2" l="1"/>
  <c r="Y298" i="2"/>
  <c r="J297" i="2"/>
  <c r="K296" i="2" s="1"/>
  <c r="T297" i="2"/>
  <c r="U296" i="2" s="1"/>
  <c r="P157" i="2"/>
  <c r="O157" i="2"/>
  <c r="Q157" i="2" s="1"/>
  <c r="N157" i="2"/>
  <c r="W302" i="2"/>
  <c r="R297" i="2"/>
  <c r="C297" i="2"/>
  <c r="B298" i="2"/>
  <c r="I296" i="2"/>
  <c r="D296" i="2"/>
  <c r="E296" i="2"/>
  <c r="F296" i="2" s="1"/>
  <c r="G296" i="2" s="1"/>
  <c r="A300" i="2" l="1"/>
  <c r="Y299" i="2"/>
  <c r="J298" i="2"/>
  <c r="K297" i="2" s="1"/>
  <c r="T298" i="2"/>
  <c r="U297" i="2" s="1"/>
  <c r="S157" i="2"/>
  <c r="L157" i="2"/>
  <c r="M157" i="2" s="1"/>
  <c r="H158" i="2" s="1"/>
  <c r="AA157" i="2"/>
  <c r="V157" i="2"/>
  <c r="X157" i="2" s="1"/>
  <c r="W303" i="2"/>
  <c r="R298" i="2"/>
  <c r="B299" i="2"/>
  <c r="C298" i="2"/>
  <c r="D297" i="2"/>
  <c r="E297" i="2"/>
  <c r="F297" i="2" s="1"/>
  <c r="G297" i="2" s="1"/>
  <c r="I297" i="2"/>
  <c r="A301" i="2" l="1"/>
  <c r="Y300" i="2"/>
  <c r="T299" i="2"/>
  <c r="U298" i="2" s="1"/>
  <c r="J299" i="2"/>
  <c r="K298" i="2" s="1"/>
  <c r="O158" i="2"/>
  <c r="Q158" i="2" s="1"/>
  <c r="N158" i="2"/>
  <c r="P158" i="2"/>
  <c r="W304" i="2"/>
  <c r="I298" i="2"/>
  <c r="E298" i="2"/>
  <c r="F298" i="2" s="1"/>
  <c r="G298" i="2" s="1"/>
  <c r="D298" i="2"/>
  <c r="R299" i="2"/>
  <c r="C299" i="2"/>
  <c r="B300" i="2"/>
  <c r="A302" i="2" l="1"/>
  <c r="Y301" i="2"/>
  <c r="T300" i="2"/>
  <c r="U299" i="2" s="1"/>
  <c r="S158" i="2"/>
  <c r="AA158" i="2"/>
  <c r="J300" i="2"/>
  <c r="K299" i="2" s="1"/>
  <c r="V158" i="2"/>
  <c r="X158" i="2" s="1"/>
  <c r="L158" i="2"/>
  <c r="M158" i="2" s="1"/>
  <c r="H159" i="2" s="1"/>
  <c r="W305" i="2"/>
  <c r="R300" i="2"/>
  <c r="C300" i="2"/>
  <c r="B301" i="2"/>
  <c r="D299" i="2"/>
  <c r="E299" i="2"/>
  <c r="F299" i="2" s="1"/>
  <c r="G299" i="2" s="1"/>
  <c r="I299" i="2"/>
  <c r="A303" i="2" l="1"/>
  <c r="Y302" i="2"/>
  <c r="J301" i="2"/>
  <c r="K300" i="2" s="1"/>
  <c r="T301" i="2"/>
  <c r="U300" i="2" s="1"/>
  <c r="P159" i="2"/>
  <c r="N159" i="2"/>
  <c r="O159" i="2"/>
  <c r="Q159" i="2" s="1"/>
  <c r="W306" i="2"/>
  <c r="R301" i="2"/>
  <c r="B302" i="2"/>
  <c r="C301" i="2"/>
  <c r="I300" i="2"/>
  <c r="E300" i="2"/>
  <c r="F300" i="2" s="1"/>
  <c r="G300" i="2" s="1"/>
  <c r="D300" i="2"/>
  <c r="A304" i="2" l="1"/>
  <c r="Y303" i="2"/>
  <c r="J302" i="2"/>
  <c r="K301" i="2" s="1"/>
  <c r="T302" i="2"/>
  <c r="U301" i="2" s="1"/>
  <c r="S159" i="2"/>
  <c r="L159" i="2"/>
  <c r="M159" i="2" s="1"/>
  <c r="H160" i="2" s="1"/>
  <c r="AA159" i="2"/>
  <c r="V159" i="2"/>
  <c r="X159" i="2" s="1"/>
  <c r="W307" i="2"/>
  <c r="R302" i="2"/>
  <c r="C302" i="2"/>
  <c r="B303" i="2"/>
  <c r="D301" i="2"/>
  <c r="I301" i="2"/>
  <c r="E301" i="2"/>
  <c r="F301" i="2" s="1"/>
  <c r="G301" i="2" s="1"/>
  <c r="A305" i="2" l="1"/>
  <c r="Y304" i="2"/>
  <c r="T303" i="2"/>
  <c r="U302" i="2" s="1"/>
  <c r="J303" i="2"/>
  <c r="K302" i="2" s="1"/>
  <c r="P160" i="2"/>
  <c r="O160" i="2"/>
  <c r="Q160" i="2" s="1"/>
  <c r="N160" i="2"/>
  <c r="W308" i="2"/>
  <c r="R303" i="2"/>
  <c r="C303" i="2"/>
  <c r="B304" i="2"/>
  <c r="I302" i="2"/>
  <c r="E302" i="2"/>
  <c r="F302" i="2" s="1"/>
  <c r="G302" i="2" s="1"/>
  <c r="D302" i="2"/>
  <c r="A306" i="2" l="1"/>
  <c r="Y305" i="2"/>
  <c r="J304" i="2"/>
  <c r="K303" i="2" s="1"/>
  <c r="T304" i="2"/>
  <c r="U303" i="2" s="1"/>
  <c r="S160" i="2"/>
  <c r="L160" i="2"/>
  <c r="M160" i="2" s="1"/>
  <c r="H161" i="2" s="1"/>
  <c r="AA160" i="2"/>
  <c r="V160" i="2"/>
  <c r="X160" i="2" s="1"/>
  <c r="W309" i="2"/>
  <c r="R304" i="2"/>
  <c r="C304" i="2"/>
  <c r="B305" i="2"/>
  <c r="E303" i="2"/>
  <c r="F303" i="2" s="1"/>
  <c r="G303" i="2" s="1"/>
  <c r="D303" i="2"/>
  <c r="I303" i="2"/>
  <c r="A307" i="2" l="1"/>
  <c r="Y306" i="2"/>
  <c r="J305" i="2"/>
  <c r="K304" i="2" s="1"/>
  <c r="T305" i="2"/>
  <c r="U304" i="2" s="1"/>
  <c r="O161" i="2"/>
  <c r="Q161" i="2" s="1"/>
  <c r="P161" i="2"/>
  <c r="N161" i="2"/>
  <c r="W310" i="2"/>
  <c r="R305" i="2"/>
  <c r="C305" i="2"/>
  <c r="B306" i="2"/>
  <c r="E304" i="2"/>
  <c r="F304" i="2" s="1"/>
  <c r="G304" i="2" s="1"/>
  <c r="D304" i="2"/>
  <c r="I304" i="2"/>
  <c r="A308" i="2" l="1"/>
  <c r="Y307" i="2"/>
  <c r="J306" i="2"/>
  <c r="K305" i="2" s="1"/>
  <c r="T306" i="2"/>
  <c r="U305" i="2" s="1"/>
  <c r="S161" i="2"/>
  <c r="L161" i="2"/>
  <c r="M161" i="2" s="1"/>
  <c r="H162" i="2" s="1"/>
  <c r="AA161" i="2"/>
  <c r="V161" i="2"/>
  <c r="X161" i="2" s="1"/>
  <c r="W311" i="2"/>
  <c r="E305" i="2"/>
  <c r="F305" i="2" s="1"/>
  <c r="G305" i="2" s="1"/>
  <c r="I305" i="2"/>
  <c r="D305" i="2"/>
  <c r="R306" i="2"/>
  <c r="B307" i="2"/>
  <c r="C306" i="2"/>
  <c r="A309" i="2" l="1"/>
  <c r="Y308" i="2"/>
  <c r="J307" i="2"/>
  <c r="K306" i="2" s="1"/>
  <c r="T307" i="2"/>
  <c r="U306" i="2" s="1"/>
  <c r="P162" i="2"/>
  <c r="O162" i="2"/>
  <c r="Q162" i="2" s="1"/>
  <c r="N162" i="2"/>
  <c r="W312" i="2"/>
  <c r="R307" i="2"/>
  <c r="B308" i="2"/>
  <c r="C307" i="2"/>
  <c r="D306" i="2"/>
  <c r="E306" i="2"/>
  <c r="F306" i="2" s="1"/>
  <c r="G306" i="2" s="1"/>
  <c r="I306" i="2"/>
  <c r="A310" i="2" l="1"/>
  <c r="Y309" i="2"/>
  <c r="T308" i="2"/>
  <c r="U307" i="2" s="1"/>
  <c r="S162" i="2"/>
  <c r="L162" i="2"/>
  <c r="M162" i="2" s="1"/>
  <c r="H163" i="2" s="1"/>
  <c r="J308" i="2"/>
  <c r="K307" i="2" s="1"/>
  <c r="AA162" i="2"/>
  <c r="V162" i="2"/>
  <c r="X162" i="2" s="1"/>
  <c r="W313" i="2"/>
  <c r="R308" i="2"/>
  <c r="B309" i="2"/>
  <c r="C308" i="2"/>
  <c r="D307" i="2"/>
  <c r="E307" i="2"/>
  <c r="F307" i="2" s="1"/>
  <c r="G307" i="2" s="1"/>
  <c r="I307" i="2"/>
  <c r="A311" i="2" l="1"/>
  <c r="Y310" i="2"/>
  <c r="J309" i="2"/>
  <c r="K308" i="2" s="1"/>
  <c r="T309" i="2"/>
  <c r="U308" i="2" s="1"/>
  <c r="P163" i="2"/>
  <c r="N163" i="2"/>
  <c r="O163" i="2"/>
  <c r="Q163" i="2" s="1"/>
  <c r="W314" i="2"/>
  <c r="D308" i="2"/>
  <c r="E308" i="2"/>
  <c r="F308" i="2" s="1"/>
  <c r="G308" i="2" s="1"/>
  <c r="I308" i="2"/>
  <c r="R309" i="2"/>
  <c r="B310" i="2"/>
  <c r="C309" i="2"/>
  <c r="A312" i="2" l="1"/>
  <c r="Y311" i="2"/>
  <c r="J310" i="2"/>
  <c r="K309" i="2" s="1"/>
  <c r="T310" i="2"/>
  <c r="U309" i="2" s="1"/>
  <c r="S163" i="2"/>
  <c r="L163" i="2"/>
  <c r="M163" i="2" s="1"/>
  <c r="H164" i="2" s="1"/>
  <c r="AA163" i="2"/>
  <c r="V163" i="2"/>
  <c r="X163" i="2" s="1"/>
  <c r="W315" i="2"/>
  <c r="R310" i="2"/>
  <c r="C310" i="2"/>
  <c r="B311" i="2"/>
  <c r="I309" i="2"/>
  <c r="E309" i="2"/>
  <c r="F309" i="2" s="1"/>
  <c r="G309" i="2" s="1"/>
  <c r="D309" i="2"/>
  <c r="A313" i="2" l="1"/>
  <c r="Y312" i="2"/>
  <c r="T311" i="2"/>
  <c r="U310" i="2" s="1"/>
  <c r="J311" i="2"/>
  <c r="K310" i="2" s="1"/>
  <c r="O164" i="2"/>
  <c r="Q164" i="2" s="1"/>
  <c r="P164" i="2"/>
  <c r="N164" i="2"/>
  <c r="W316" i="2"/>
  <c r="R311" i="2"/>
  <c r="B312" i="2"/>
  <c r="C311" i="2"/>
  <c r="D310" i="2"/>
  <c r="I310" i="2"/>
  <c r="E310" i="2"/>
  <c r="F310" i="2" s="1"/>
  <c r="G310" i="2" s="1"/>
  <c r="A314" i="2" l="1"/>
  <c r="Y313" i="2"/>
  <c r="J312" i="2"/>
  <c r="K311" i="2" s="1"/>
  <c r="T312" i="2"/>
  <c r="U311" i="2" s="1"/>
  <c r="S164" i="2"/>
  <c r="L164" i="2"/>
  <c r="M164" i="2" s="1"/>
  <c r="H165" i="2" s="1"/>
  <c r="AA164" i="2"/>
  <c r="V164" i="2"/>
  <c r="X164" i="2" s="1"/>
  <c r="W317" i="2"/>
  <c r="R312" i="2"/>
  <c r="C312" i="2"/>
  <c r="B313" i="2"/>
  <c r="I311" i="2"/>
  <c r="E311" i="2"/>
  <c r="F311" i="2" s="1"/>
  <c r="G311" i="2" s="1"/>
  <c r="D311" i="2"/>
  <c r="A315" i="2" l="1"/>
  <c r="Y314" i="2"/>
  <c r="J313" i="2"/>
  <c r="K312" i="2" s="1"/>
  <c r="T313" i="2"/>
  <c r="U312" i="2" s="1"/>
  <c r="P165" i="2"/>
  <c r="O165" i="2"/>
  <c r="Q165" i="2" s="1"/>
  <c r="N165" i="2"/>
  <c r="W318" i="2"/>
  <c r="R313" i="2"/>
  <c r="C313" i="2"/>
  <c r="B314" i="2"/>
  <c r="D312" i="2"/>
  <c r="E312" i="2"/>
  <c r="F312" i="2" s="1"/>
  <c r="G312" i="2" s="1"/>
  <c r="I312" i="2"/>
  <c r="A316" i="2" l="1"/>
  <c r="Y315" i="2"/>
  <c r="J314" i="2"/>
  <c r="K313" i="2" s="1"/>
  <c r="T314" i="2"/>
  <c r="U313" i="2" s="1"/>
  <c r="S165" i="2"/>
  <c r="L165" i="2"/>
  <c r="M165" i="2" s="1"/>
  <c r="H166" i="2" s="1"/>
  <c r="AA165" i="2"/>
  <c r="V165" i="2"/>
  <c r="X165" i="2" s="1"/>
  <c r="W319" i="2"/>
  <c r="R314" i="2"/>
  <c r="C314" i="2"/>
  <c r="B315" i="2"/>
  <c r="D313" i="2"/>
  <c r="I313" i="2"/>
  <c r="E313" i="2"/>
  <c r="F313" i="2" s="1"/>
  <c r="G313" i="2" s="1"/>
  <c r="A317" i="2" l="1"/>
  <c r="Y316" i="2"/>
  <c r="T315" i="2"/>
  <c r="U314" i="2" s="1"/>
  <c r="J315" i="2"/>
  <c r="K314" i="2" s="1"/>
  <c r="O166" i="2"/>
  <c r="Q166" i="2" s="1"/>
  <c r="N166" i="2"/>
  <c r="P166" i="2"/>
  <c r="W320" i="2"/>
  <c r="R315" i="2"/>
  <c r="C315" i="2"/>
  <c r="B316" i="2"/>
  <c r="I314" i="2"/>
  <c r="E314" i="2"/>
  <c r="F314" i="2" s="1"/>
  <c r="G314" i="2" s="1"/>
  <c r="D314" i="2"/>
  <c r="A318" i="2" l="1"/>
  <c r="Y317" i="2"/>
  <c r="T316" i="2"/>
  <c r="U315" i="2" s="1"/>
  <c r="S166" i="2"/>
  <c r="AA166" i="2"/>
  <c r="J316" i="2"/>
  <c r="K315" i="2" s="1"/>
  <c r="L166" i="2"/>
  <c r="M166" i="2" s="1"/>
  <c r="H167" i="2" s="1"/>
  <c r="V166" i="2"/>
  <c r="X166" i="2" s="1"/>
  <c r="W321" i="2"/>
  <c r="R316" i="2"/>
  <c r="C316" i="2"/>
  <c r="B317" i="2"/>
  <c r="I315" i="2"/>
  <c r="E315" i="2"/>
  <c r="F315" i="2" s="1"/>
  <c r="G315" i="2" s="1"/>
  <c r="D315" i="2"/>
  <c r="A319" i="2" l="1"/>
  <c r="Y318" i="2"/>
  <c r="T317" i="2"/>
  <c r="U316" i="2" s="1"/>
  <c r="J317" i="2"/>
  <c r="K316" i="2" s="1"/>
  <c r="P167" i="2"/>
  <c r="N167" i="2"/>
  <c r="O167" i="2"/>
  <c r="Q167" i="2" s="1"/>
  <c r="W322" i="2"/>
  <c r="R317" i="2"/>
  <c r="B318" i="2"/>
  <c r="C317" i="2"/>
  <c r="D316" i="2"/>
  <c r="E316" i="2"/>
  <c r="F316" i="2" s="1"/>
  <c r="G316" i="2" s="1"/>
  <c r="I316" i="2"/>
  <c r="A320" i="2" l="1"/>
  <c r="Y319" i="2"/>
  <c r="J318" i="2"/>
  <c r="K317" i="2" s="1"/>
  <c r="T318" i="2"/>
  <c r="U317" i="2" s="1"/>
  <c r="S167" i="2"/>
  <c r="L167" i="2"/>
  <c r="M167" i="2" s="1"/>
  <c r="AA167" i="2"/>
  <c r="V167" i="2"/>
  <c r="X167" i="2" s="1"/>
  <c r="W323" i="2"/>
  <c r="D317" i="2"/>
  <c r="I317" i="2"/>
  <c r="E317" i="2"/>
  <c r="F317" i="2" s="1"/>
  <c r="G317" i="2" s="1"/>
  <c r="R318" i="2"/>
  <c r="B319" i="2"/>
  <c r="C318" i="2"/>
  <c r="A321" i="2" l="1"/>
  <c r="Y320" i="2"/>
  <c r="O168" i="2"/>
  <c r="Q168" i="2" s="1"/>
  <c r="H168" i="2"/>
  <c r="P168" i="2" s="1"/>
  <c r="J319" i="2"/>
  <c r="K318" i="2" s="1"/>
  <c r="T319" i="2"/>
  <c r="U318" i="2" s="1"/>
  <c r="N168" i="2"/>
  <c r="W324" i="2"/>
  <c r="E318" i="2"/>
  <c r="F318" i="2" s="1"/>
  <c r="G318" i="2" s="1"/>
  <c r="I318" i="2"/>
  <c r="D318" i="2"/>
  <c r="R319" i="2"/>
  <c r="B320" i="2"/>
  <c r="C319" i="2"/>
  <c r="AA168" i="2" l="1"/>
  <c r="A322" i="2"/>
  <c r="Y321" i="2"/>
  <c r="J320" i="2"/>
  <c r="K319" i="2" s="1"/>
  <c r="T320" i="2"/>
  <c r="U319" i="2" s="1"/>
  <c r="S168" i="2"/>
  <c r="L168" i="2"/>
  <c r="M168" i="2" s="1"/>
  <c r="V168" i="2"/>
  <c r="X168" i="2" s="1"/>
  <c r="W325" i="2"/>
  <c r="D319" i="2"/>
  <c r="I319" i="2"/>
  <c r="E319" i="2"/>
  <c r="F319" i="2" s="1"/>
  <c r="G319" i="2" s="1"/>
  <c r="R320" i="2"/>
  <c r="B321" i="2"/>
  <c r="C320" i="2"/>
  <c r="A323" i="2" l="1"/>
  <c r="Y322" i="2"/>
  <c r="N169" i="2"/>
  <c r="S169" i="2" s="1"/>
  <c r="H169" i="2"/>
  <c r="P169" i="2" s="1"/>
  <c r="J321" i="2"/>
  <c r="K320" i="2" s="1"/>
  <c r="T321" i="2"/>
  <c r="U320" i="2" s="1"/>
  <c r="O169" i="2"/>
  <c r="Q169" i="2" s="1"/>
  <c r="W326" i="2"/>
  <c r="I320" i="2"/>
  <c r="E320" i="2"/>
  <c r="F320" i="2" s="1"/>
  <c r="G320" i="2" s="1"/>
  <c r="D320" i="2"/>
  <c r="R321" i="2"/>
  <c r="B322" i="2"/>
  <c r="C321" i="2"/>
  <c r="A324" i="2" l="1"/>
  <c r="Y323" i="2"/>
  <c r="J322" i="2"/>
  <c r="K321" i="2" s="1"/>
  <c r="T322" i="2"/>
  <c r="U321" i="2" s="1"/>
  <c r="V169" i="2"/>
  <c r="X169" i="2" s="1"/>
  <c r="AA169" i="2"/>
  <c r="L169" i="2"/>
  <c r="M169" i="2" s="1"/>
  <c r="W327" i="2"/>
  <c r="R322" i="2"/>
  <c r="C322" i="2"/>
  <c r="B323" i="2"/>
  <c r="D321" i="2"/>
  <c r="I321" i="2"/>
  <c r="E321" i="2"/>
  <c r="F321" i="2" s="1"/>
  <c r="G321" i="2" s="1"/>
  <c r="A325" i="2" l="1"/>
  <c r="Y324" i="2"/>
  <c r="H170" i="2"/>
  <c r="P170" i="2" s="1"/>
  <c r="T323" i="2"/>
  <c r="U322" i="2" s="1"/>
  <c r="O170" i="2"/>
  <c r="Q170" i="2" s="1"/>
  <c r="N170" i="2"/>
  <c r="J323" i="2"/>
  <c r="K322" i="2" s="1"/>
  <c r="W328" i="2"/>
  <c r="R323" i="2"/>
  <c r="C323" i="2"/>
  <c r="B324" i="2"/>
  <c r="I322" i="2"/>
  <c r="E322" i="2"/>
  <c r="F322" i="2" s="1"/>
  <c r="G322" i="2" s="1"/>
  <c r="D322" i="2"/>
  <c r="L170" i="2" l="1"/>
  <c r="M170" i="2" s="1"/>
  <c r="H171" i="2" s="1"/>
  <c r="P171" i="2" s="1"/>
  <c r="A326" i="2"/>
  <c r="Y325" i="2"/>
  <c r="J324" i="2"/>
  <c r="K323" i="2" s="1"/>
  <c r="T324" i="2"/>
  <c r="U323" i="2" s="1"/>
  <c r="S170" i="2"/>
  <c r="AA170" i="2"/>
  <c r="V170" i="2"/>
  <c r="X170" i="2" s="1"/>
  <c r="W329" i="2"/>
  <c r="D323" i="2"/>
  <c r="I323" i="2"/>
  <c r="E323" i="2"/>
  <c r="F323" i="2" s="1"/>
  <c r="G323" i="2" s="1"/>
  <c r="R324" i="2"/>
  <c r="B325" i="2"/>
  <c r="C324" i="2"/>
  <c r="N171" i="2" l="1"/>
  <c r="S171" i="2" s="1"/>
  <c r="O171" i="2"/>
  <c r="Q171" i="2" s="1"/>
  <c r="AA171" i="2" s="1"/>
  <c r="A327" i="2"/>
  <c r="Y326" i="2"/>
  <c r="T325" i="2"/>
  <c r="U324" i="2" s="1"/>
  <c r="J325" i="2"/>
  <c r="K324" i="2" s="1"/>
  <c r="L171" i="2"/>
  <c r="M171" i="2" s="1"/>
  <c r="H172" i="2" s="1"/>
  <c r="W330" i="2"/>
  <c r="R325" i="2"/>
  <c r="C325" i="2"/>
  <c r="B326" i="2"/>
  <c r="E324" i="2"/>
  <c r="F324" i="2" s="1"/>
  <c r="G324" i="2" s="1"/>
  <c r="I324" i="2"/>
  <c r="D324" i="2"/>
  <c r="V171" i="2" l="1"/>
  <c r="X171" i="2" s="1"/>
  <c r="A328" i="2"/>
  <c r="Y327" i="2"/>
  <c r="J326" i="2"/>
  <c r="K325" i="2" s="1"/>
  <c r="T326" i="2"/>
  <c r="U325" i="2" s="1"/>
  <c r="N172" i="2"/>
  <c r="P172" i="2"/>
  <c r="O172" i="2"/>
  <c r="Q172" i="2" s="1"/>
  <c r="W331" i="2"/>
  <c r="I325" i="2"/>
  <c r="D325" i="2"/>
  <c r="E325" i="2"/>
  <c r="F325" i="2" s="1"/>
  <c r="G325" i="2" s="1"/>
  <c r="R326" i="2"/>
  <c r="B327" i="2"/>
  <c r="C326" i="2"/>
  <c r="A329" i="2" l="1"/>
  <c r="Y328" i="2"/>
  <c r="T327" i="2"/>
  <c r="U326" i="2" s="1"/>
  <c r="S172" i="2"/>
  <c r="J327" i="2"/>
  <c r="K326" i="2" s="1"/>
  <c r="AA172" i="2"/>
  <c r="L172" i="2"/>
  <c r="M172" i="2" s="1"/>
  <c r="H173" i="2" s="1"/>
  <c r="V172" i="2"/>
  <c r="X172" i="2" s="1"/>
  <c r="W332" i="2"/>
  <c r="D326" i="2"/>
  <c r="E326" i="2"/>
  <c r="F326" i="2" s="1"/>
  <c r="G326" i="2" s="1"/>
  <c r="I326" i="2"/>
  <c r="R327" i="2"/>
  <c r="C327" i="2"/>
  <c r="B328" i="2"/>
  <c r="A330" i="2" l="1"/>
  <c r="Y329" i="2"/>
  <c r="J328" i="2"/>
  <c r="K327" i="2" s="1"/>
  <c r="T328" i="2"/>
  <c r="U327" i="2" s="1"/>
  <c r="O173" i="2"/>
  <c r="Q173" i="2" s="1"/>
  <c r="P173" i="2"/>
  <c r="N173" i="2"/>
  <c r="W333" i="2"/>
  <c r="R328" i="2"/>
  <c r="C328" i="2"/>
  <c r="B329" i="2"/>
  <c r="I327" i="2"/>
  <c r="E327" i="2"/>
  <c r="F327" i="2" s="1"/>
  <c r="G327" i="2" s="1"/>
  <c r="D327" i="2"/>
  <c r="A331" i="2" l="1"/>
  <c r="Y330" i="2"/>
  <c r="J329" i="2"/>
  <c r="K328" i="2" s="1"/>
  <c r="T329" i="2"/>
  <c r="U328" i="2" s="1"/>
  <c r="S173" i="2"/>
  <c r="AA173" i="2"/>
  <c r="L173" i="2"/>
  <c r="M173" i="2" s="1"/>
  <c r="V173" i="2"/>
  <c r="X173" i="2" s="1"/>
  <c r="W334" i="2"/>
  <c r="E328" i="2"/>
  <c r="F328" i="2" s="1"/>
  <c r="G328" i="2" s="1"/>
  <c r="I328" i="2"/>
  <c r="D328" i="2"/>
  <c r="R329" i="2"/>
  <c r="B330" i="2"/>
  <c r="C329" i="2"/>
  <c r="A332" i="2" l="1"/>
  <c r="Y331" i="2"/>
  <c r="O174" i="2"/>
  <c r="Q174" i="2" s="1"/>
  <c r="H174" i="2"/>
  <c r="P174" i="2" s="1"/>
  <c r="J330" i="2"/>
  <c r="K329" i="2" s="1"/>
  <c r="T330" i="2"/>
  <c r="U329" i="2" s="1"/>
  <c r="N174" i="2"/>
  <c r="W335" i="2"/>
  <c r="R330" i="2"/>
  <c r="C330" i="2"/>
  <c r="B331" i="2"/>
  <c r="D329" i="2"/>
  <c r="I329" i="2"/>
  <c r="E329" i="2"/>
  <c r="F329" i="2" s="1"/>
  <c r="G329" i="2" s="1"/>
  <c r="AA174" i="2" l="1"/>
  <c r="A333" i="2"/>
  <c r="Y332" i="2"/>
  <c r="T331" i="2"/>
  <c r="U330" i="2" s="1"/>
  <c r="S174" i="2"/>
  <c r="V174" i="2"/>
  <c r="X174" i="2" s="1"/>
  <c r="L174" i="2"/>
  <c r="M174" i="2" s="1"/>
  <c r="J331" i="2"/>
  <c r="K330" i="2" s="1"/>
  <c r="W336" i="2"/>
  <c r="R331" i="2"/>
  <c r="B332" i="2"/>
  <c r="C331" i="2"/>
  <c r="I330" i="2"/>
  <c r="E330" i="2"/>
  <c r="F330" i="2" s="1"/>
  <c r="G330" i="2" s="1"/>
  <c r="D330" i="2"/>
  <c r="A334" i="2" l="1"/>
  <c r="Y333" i="2"/>
  <c r="N175" i="2"/>
  <c r="S175" i="2" s="1"/>
  <c r="H175" i="2"/>
  <c r="P175" i="2" s="1"/>
  <c r="J332" i="2"/>
  <c r="K331" i="2" s="1"/>
  <c r="T332" i="2"/>
  <c r="U331" i="2" s="1"/>
  <c r="O175" i="2"/>
  <c r="Q175" i="2" s="1"/>
  <c r="W337" i="2"/>
  <c r="R332" i="2"/>
  <c r="C332" i="2"/>
  <c r="B333" i="2"/>
  <c r="I331" i="2"/>
  <c r="E331" i="2"/>
  <c r="F331" i="2" s="1"/>
  <c r="G331" i="2" s="1"/>
  <c r="D331" i="2"/>
  <c r="A335" i="2" l="1"/>
  <c r="Y334" i="2"/>
  <c r="T333" i="2"/>
  <c r="U332" i="2" s="1"/>
  <c r="V175" i="2"/>
  <c r="X175" i="2" s="1"/>
  <c r="L175" i="2"/>
  <c r="M175" i="2" s="1"/>
  <c r="AA175" i="2"/>
  <c r="J333" i="2"/>
  <c r="K332" i="2" s="1"/>
  <c r="W338" i="2"/>
  <c r="R333" i="2"/>
  <c r="C333" i="2"/>
  <c r="B334" i="2"/>
  <c r="E332" i="2"/>
  <c r="F332" i="2" s="1"/>
  <c r="G332" i="2" s="1"/>
  <c r="I332" i="2"/>
  <c r="D332" i="2"/>
  <c r="A336" i="2" l="1"/>
  <c r="Y335" i="2"/>
  <c r="N176" i="2"/>
  <c r="S176" i="2" s="1"/>
  <c r="H176" i="2"/>
  <c r="P176" i="2" s="1"/>
  <c r="J334" i="2"/>
  <c r="K333" i="2" s="1"/>
  <c r="T334" i="2"/>
  <c r="U333" i="2" s="1"/>
  <c r="O176" i="2"/>
  <c r="Q176" i="2" s="1"/>
  <c r="W339" i="2"/>
  <c r="R334" i="2"/>
  <c r="B335" i="2"/>
  <c r="C334" i="2"/>
  <c r="D333" i="2"/>
  <c r="I333" i="2"/>
  <c r="E333" i="2"/>
  <c r="F333" i="2" s="1"/>
  <c r="G333" i="2" s="1"/>
  <c r="A337" i="2" l="1"/>
  <c r="Y336" i="2"/>
  <c r="J335" i="2"/>
  <c r="K334" i="2" s="1"/>
  <c r="T335" i="2"/>
  <c r="U334" i="2" s="1"/>
  <c r="L176" i="2"/>
  <c r="M176" i="2" s="1"/>
  <c r="V176" i="2"/>
  <c r="X176" i="2" s="1"/>
  <c r="AA176" i="2"/>
  <c r="W340" i="2"/>
  <c r="R335" i="2"/>
  <c r="C335" i="2"/>
  <c r="B336" i="2"/>
  <c r="E334" i="2"/>
  <c r="F334" i="2" s="1"/>
  <c r="G334" i="2" s="1"/>
  <c r="D334" i="2"/>
  <c r="I334" i="2"/>
  <c r="A338" i="2" l="1"/>
  <c r="Y337" i="2"/>
  <c r="N177" i="2"/>
  <c r="S177" i="2" s="1"/>
  <c r="H177" i="2"/>
  <c r="P177" i="2" s="1"/>
  <c r="J336" i="2"/>
  <c r="K335" i="2" s="1"/>
  <c r="T336" i="2"/>
  <c r="U335" i="2" s="1"/>
  <c r="O177" i="2"/>
  <c r="Q177" i="2" s="1"/>
  <c r="W341" i="2"/>
  <c r="R336" i="2"/>
  <c r="B337" i="2"/>
  <c r="C336" i="2"/>
  <c r="E335" i="2"/>
  <c r="F335" i="2" s="1"/>
  <c r="G335" i="2" s="1"/>
  <c r="D335" i="2"/>
  <c r="I335" i="2"/>
  <c r="A339" i="2" l="1"/>
  <c r="Y338" i="2"/>
  <c r="J337" i="2"/>
  <c r="K336" i="2" s="1"/>
  <c r="T337" i="2"/>
  <c r="U336" i="2" s="1"/>
  <c r="L177" i="2"/>
  <c r="M177" i="2" s="1"/>
  <c r="V177" i="2"/>
  <c r="X177" i="2" s="1"/>
  <c r="AA177" i="2"/>
  <c r="W342" i="2"/>
  <c r="D336" i="2"/>
  <c r="I336" i="2"/>
  <c r="E336" i="2"/>
  <c r="F336" i="2" s="1"/>
  <c r="G336" i="2" s="1"/>
  <c r="R337" i="2"/>
  <c r="B338" i="2"/>
  <c r="C337" i="2"/>
  <c r="A340" i="2" l="1"/>
  <c r="Y339" i="2"/>
  <c r="O178" i="2"/>
  <c r="Q178" i="2" s="1"/>
  <c r="H178" i="2"/>
  <c r="P178" i="2" s="1"/>
  <c r="J338" i="2"/>
  <c r="K337" i="2" s="1"/>
  <c r="T338" i="2"/>
  <c r="U337" i="2" s="1"/>
  <c r="N178" i="2"/>
  <c r="W343" i="2"/>
  <c r="I337" i="2"/>
  <c r="D337" i="2"/>
  <c r="E337" i="2"/>
  <c r="F337" i="2" s="1"/>
  <c r="G337" i="2" s="1"/>
  <c r="R338" i="2"/>
  <c r="C338" i="2"/>
  <c r="B339" i="2"/>
  <c r="AA178" i="2" l="1"/>
  <c r="A341" i="2"/>
  <c r="Y340" i="2"/>
  <c r="J339" i="2"/>
  <c r="K338" i="2" s="1"/>
  <c r="T339" i="2"/>
  <c r="U338" i="2" s="1"/>
  <c r="S178" i="2"/>
  <c r="V178" i="2"/>
  <c r="X178" i="2" s="1"/>
  <c r="L178" i="2"/>
  <c r="M178" i="2" s="1"/>
  <c r="W344" i="2"/>
  <c r="R339" i="2"/>
  <c r="B340" i="2"/>
  <c r="C339" i="2"/>
  <c r="I338" i="2"/>
  <c r="D338" i="2"/>
  <c r="E338" i="2"/>
  <c r="F338" i="2" s="1"/>
  <c r="G338" i="2" s="1"/>
  <c r="A342" i="2" l="1"/>
  <c r="Y341" i="2"/>
  <c r="O179" i="2"/>
  <c r="Q179" i="2" s="1"/>
  <c r="H179" i="2"/>
  <c r="P179" i="2" s="1"/>
  <c r="T340" i="2"/>
  <c r="U339" i="2" s="1"/>
  <c r="N179" i="2"/>
  <c r="J340" i="2"/>
  <c r="K339" i="2" s="1"/>
  <c r="W345" i="2"/>
  <c r="E339" i="2"/>
  <c r="F339" i="2" s="1"/>
  <c r="G339" i="2" s="1"/>
  <c r="D339" i="2"/>
  <c r="I339" i="2"/>
  <c r="R340" i="2"/>
  <c r="B341" i="2"/>
  <c r="C340" i="2"/>
  <c r="AA179" i="2" l="1"/>
  <c r="A343" i="2"/>
  <c r="Y342" i="2"/>
  <c r="T341" i="2"/>
  <c r="U340" i="2" s="1"/>
  <c r="S179" i="2"/>
  <c r="V179" i="2"/>
  <c r="X179" i="2" s="1"/>
  <c r="L179" i="2"/>
  <c r="M179" i="2" s="1"/>
  <c r="J341" i="2"/>
  <c r="K340" i="2" s="1"/>
  <c r="W346" i="2"/>
  <c r="I340" i="2"/>
  <c r="E340" i="2"/>
  <c r="F340" i="2" s="1"/>
  <c r="G340" i="2" s="1"/>
  <c r="D340" i="2"/>
  <c r="R341" i="2"/>
  <c r="C341" i="2"/>
  <c r="B342" i="2"/>
  <c r="A344" i="2" l="1"/>
  <c r="Y343" i="2"/>
  <c r="N180" i="2"/>
  <c r="S180" i="2" s="1"/>
  <c r="H180" i="2"/>
  <c r="P180" i="2" s="1"/>
  <c r="J342" i="2"/>
  <c r="K341" i="2" s="1"/>
  <c r="T342" i="2"/>
  <c r="U341" i="2" s="1"/>
  <c r="O180" i="2"/>
  <c r="Q180" i="2" s="1"/>
  <c r="W347" i="2"/>
  <c r="D341" i="2"/>
  <c r="E341" i="2"/>
  <c r="F341" i="2" s="1"/>
  <c r="G341" i="2" s="1"/>
  <c r="I341" i="2"/>
  <c r="R342" i="2"/>
  <c r="B343" i="2"/>
  <c r="C342" i="2"/>
  <c r="A345" i="2" l="1"/>
  <c r="Y344" i="2"/>
  <c r="T343" i="2"/>
  <c r="U342" i="2" s="1"/>
  <c r="L180" i="2"/>
  <c r="M180" i="2" s="1"/>
  <c r="H181" i="2" s="1"/>
  <c r="V180" i="2"/>
  <c r="X180" i="2" s="1"/>
  <c r="AA180" i="2"/>
  <c r="J343" i="2"/>
  <c r="K342" i="2" s="1"/>
  <c r="W348" i="2"/>
  <c r="R343" i="2"/>
  <c r="C343" i="2"/>
  <c r="B344" i="2"/>
  <c r="D342" i="2"/>
  <c r="I342" i="2"/>
  <c r="E342" i="2"/>
  <c r="F342" i="2" s="1"/>
  <c r="G342" i="2" s="1"/>
  <c r="A346" i="2" l="1"/>
  <c r="Y345" i="2"/>
  <c r="J344" i="2"/>
  <c r="K343" i="2" s="1"/>
  <c r="T344" i="2"/>
  <c r="U343" i="2" s="1"/>
  <c r="O181" i="2"/>
  <c r="Q181" i="2" s="1"/>
  <c r="N181" i="2"/>
  <c r="P181" i="2"/>
  <c r="L181" i="2"/>
  <c r="M181" i="2" s="1"/>
  <c r="H182" i="2" s="1"/>
  <c r="W349" i="2"/>
  <c r="R344" i="2"/>
  <c r="B345" i="2"/>
  <c r="C344" i="2"/>
  <c r="I343" i="2"/>
  <c r="E343" i="2"/>
  <c r="F343" i="2" s="1"/>
  <c r="G343" i="2" s="1"/>
  <c r="D343" i="2"/>
  <c r="A347" i="2" l="1"/>
  <c r="Y346" i="2"/>
  <c r="J345" i="2"/>
  <c r="K344" i="2" s="1"/>
  <c r="T345" i="2"/>
  <c r="U344" i="2" s="1"/>
  <c r="S181" i="2"/>
  <c r="AA181" i="2"/>
  <c r="V181" i="2"/>
  <c r="X181" i="2" s="1"/>
  <c r="N182" i="2"/>
  <c r="O182" i="2"/>
  <c r="Q182" i="2" s="1"/>
  <c r="P182" i="2"/>
  <c r="W350" i="2"/>
  <c r="I344" i="2"/>
  <c r="E344" i="2"/>
  <c r="F344" i="2" s="1"/>
  <c r="G344" i="2" s="1"/>
  <c r="D344" i="2"/>
  <c r="R345" i="2"/>
  <c r="B346" i="2"/>
  <c r="C345" i="2"/>
  <c r="A348" i="2" l="1"/>
  <c r="Y347" i="2"/>
  <c r="J346" i="2"/>
  <c r="K345" i="2" s="1"/>
  <c r="T346" i="2"/>
  <c r="U345" i="2" s="1"/>
  <c r="S182" i="2"/>
  <c r="AA182" i="2"/>
  <c r="L182" i="2"/>
  <c r="M182" i="2" s="1"/>
  <c r="H183" i="2" s="1"/>
  <c r="V182" i="2"/>
  <c r="X182" i="2" s="1"/>
  <c r="W351" i="2"/>
  <c r="D345" i="2"/>
  <c r="I345" i="2"/>
  <c r="E345" i="2"/>
  <c r="F345" i="2" s="1"/>
  <c r="G345" i="2" s="1"/>
  <c r="R346" i="2"/>
  <c r="B347" i="2"/>
  <c r="C346" i="2"/>
  <c r="A349" i="2" l="1"/>
  <c r="Y348" i="2"/>
  <c r="J347" i="2"/>
  <c r="K346" i="2" s="1"/>
  <c r="T347" i="2"/>
  <c r="U346" i="2" s="1"/>
  <c r="N183" i="2"/>
  <c r="O183" i="2"/>
  <c r="Q183" i="2" s="1"/>
  <c r="P183" i="2"/>
  <c r="W352" i="2"/>
  <c r="R347" i="2"/>
  <c r="B348" i="2"/>
  <c r="C347" i="2"/>
  <c r="I346" i="2"/>
  <c r="D346" i="2"/>
  <c r="E346" i="2"/>
  <c r="F346" i="2" s="1"/>
  <c r="G346" i="2" s="1"/>
  <c r="A350" i="2" l="1"/>
  <c r="Y349" i="2"/>
  <c r="J348" i="2"/>
  <c r="K347" i="2" s="1"/>
  <c r="T348" i="2"/>
  <c r="U347" i="2" s="1"/>
  <c r="S183" i="2"/>
  <c r="AA183" i="2"/>
  <c r="V183" i="2"/>
  <c r="X183" i="2" s="1"/>
  <c r="L183" i="2"/>
  <c r="M183" i="2" s="1"/>
  <c r="H184" i="2" s="1"/>
  <c r="W353" i="2"/>
  <c r="E347" i="2"/>
  <c r="F347" i="2" s="1"/>
  <c r="G347" i="2" s="1"/>
  <c r="D347" i="2"/>
  <c r="I347" i="2"/>
  <c r="R348" i="2"/>
  <c r="C348" i="2"/>
  <c r="B349" i="2"/>
  <c r="A351" i="2" l="1"/>
  <c r="Y350" i="2"/>
  <c r="J349" i="2"/>
  <c r="K348" i="2" s="1"/>
  <c r="T349" i="2"/>
  <c r="U348" i="2" s="1"/>
  <c r="P184" i="2"/>
  <c r="N184" i="2"/>
  <c r="O184" i="2"/>
  <c r="Q184" i="2" s="1"/>
  <c r="W354" i="2"/>
  <c r="R349" i="2"/>
  <c r="B350" i="2"/>
  <c r="C349" i="2"/>
  <c r="I348" i="2"/>
  <c r="E348" i="2"/>
  <c r="F348" i="2" s="1"/>
  <c r="G348" i="2" s="1"/>
  <c r="D348" i="2"/>
  <c r="A352" i="2" l="1"/>
  <c r="Y351" i="2"/>
  <c r="J350" i="2"/>
  <c r="K349" i="2" s="1"/>
  <c r="T350" i="2"/>
  <c r="U349" i="2" s="1"/>
  <c r="S184" i="2"/>
  <c r="L184" i="2"/>
  <c r="M184" i="2" s="1"/>
  <c r="H185" i="2" s="1"/>
  <c r="AA184" i="2"/>
  <c r="V184" i="2"/>
  <c r="X184" i="2" s="1"/>
  <c r="W355" i="2"/>
  <c r="D349" i="2"/>
  <c r="I349" i="2"/>
  <c r="E349" i="2"/>
  <c r="F349" i="2" s="1"/>
  <c r="G349" i="2" s="1"/>
  <c r="R350" i="2"/>
  <c r="C350" i="2"/>
  <c r="B351" i="2"/>
  <c r="A353" i="2" l="1"/>
  <c r="Y352" i="2"/>
  <c r="T351" i="2"/>
  <c r="U350" i="2" s="1"/>
  <c r="J351" i="2"/>
  <c r="K350" i="2" s="1"/>
  <c r="N185" i="2"/>
  <c r="O185" i="2"/>
  <c r="Q185" i="2" s="1"/>
  <c r="P185" i="2"/>
  <c r="W356" i="2"/>
  <c r="R351" i="2"/>
  <c r="B352" i="2"/>
  <c r="C351" i="2"/>
  <c r="D350" i="2"/>
  <c r="I350" i="2"/>
  <c r="E350" i="2"/>
  <c r="F350" i="2" s="1"/>
  <c r="G350" i="2" s="1"/>
  <c r="A354" i="2" l="1"/>
  <c r="Y353" i="2"/>
  <c r="J352" i="2"/>
  <c r="K351" i="2" s="1"/>
  <c r="T352" i="2"/>
  <c r="U351" i="2" s="1"/>
  <c r="S185" i="2"/>
  <c r="AA185" i="2"/>
  <c r="L185" i="2"/>
  <c r="M185" i="2" s="1"/>
  <c r="H186" i="2" s="1"/>
  <c r="V185" i="2"/>
  <c r="X185" i="2" s="1"/>
  <c r="W357" i="2"/>
  <c r="E351" i="2"/>
  <c r="F351" i="2" s="1"/>
  <c r="G351" i="2" s="1"/>
  <c r="D351" i="2"/>
  <c r="I351" i="2"/>
  <c r="R352" i="2"/>
  <c r="B353" i="2"/>
  <c r="C352" i="2"/>
  <c r="A355" i="2" l="1"/>
  <c r="Y354" i="2"/>
  <c r="J353" i="2"/>
  <c r="K352" i="2" s="1"/>
  <c r="T353" i="2"/>
  <c r="U352" i="2" s="1"/>
  <c r="N186" i="2"/>
  <c r="P186" i="2"/>
  <c r="O186" i="2"/>
  <c r="Q186" i="2" s="1"/>
  <c r="W358" i="2"/>
  <c r="R353" i="2"/>
  <c r="B354" i="2"/>
  <c r="C353" i="2"/>
  <c r="D352" i="2"/>
  <c r="I352" i="2"/>
  <c r="E352" i="2"/>
  <c r="F352" i="2" s="1"/>
  <c r="G352" i="2" s="1"/>
  <c r="A356" i="2" l="1"/>
  <c r="Y355" i="2"/>
  <c r="J354" i="2"/>
  <c r="K353" i="2" s="1"/>
  <c r="T354" i="2"/>
  <c r="U353" i="2" s="1"/>
  <c r="S186" i="2"/>
  <c r="L186" i="2"/>
  <c r="M186" i="2" s="1"/>
  <c r="H187" i="2" s="1"/>
  <c r="AA186" i="2"/>
  <c r="V186" i="2"/>
  <c r="X186" i="2" s="1"/>
  <c r="W359" i="2"/>
  <c r="D353" i="2"/>
  <c r="E353" i="2"/>
  <c r="F353" i="2" s="1"/>
  <c r="G353" i="2" s="1"/>
  <c r="I353" i="2"/>
  <c r="R354" i="2"/>
  <c r="B355" i="2"/>
  <c r="C354" i="2"/>
  <c r="A357" i="2" l="1"/>
  <c r="Y356" i="2"/>
  <c r="J355" i="2"/>
  <c r="K354" i="2" s="1"/>
  <c r="T355" i="2"/>
  <c r="U354" i="2" s="1"/>
  <c r="O187" i="2"/>
  <c r="Q187" i="2" s="1"/>
  <c r="N187" i="2"/>
  <c r="P187" i="2"/>
  <c r="W360" i="2"/>
  <c r="R355" i="2"/>
  <c r="C355" i="2"/>
  <c r="B356" i="2"/>
  <c r="D354" i="2"/>
  <c r="I354" i="2"/>
  <c r="E354" i="2"/>
  <c r="F354" i="2" s="1"/>
  <c r="G354" i="2" s="1"/>
  <c r="A358" i="2" l="1"/>
  <c r="Y357" i="2"/>
  <c r="T356" i="2"/>
  <c r="U355" i="2" s="1"/>
  <c r="S187" i="2"/>
  <c r="L187" i="2"/>
  <c r="M187" i="2" s="1"/>
  <c r="H188" i="2" s="1"/>
  <c r="AA187" i="2"/>
  <c r="J356" i="2"/>
  <c r="K355" i="2" s="1"/>
  <c r="V187" i="2"/>
  <c r="X187" i="2" s="1"/>
  <c r="W361" i="2"/>
  <c r="R356" i="2"/>
  <c r="C356" i="2"/>
  <c r="B357" i="2"/>
  <c r="E355" i="2"/>
  <c r="F355" i="2" s="1"/>
  <c r="G355" i="2" s="1"/>
  <c r="D355" i="2"/>
  <c r="I355" i="2"/>
  <c r="A359" i="2" l="1"/>
  <c r="Y358" i="2"/>
  <c r="T357" i="2"/>
  <c r="U356" i="2" s="1"/>
  <c r="J357" i="2"/>
  <c r="K356" i="2" s="1"/>
  <c r="N188" i="2"/>
  <c r="O188" i="2"/>
  <c r="Q188" i="2" s="1"/>
  <c r="P188" i="2"/>
  <c r="W362" i="2"/>
  <c r="I356" i="2"/>
  <c r="D356" i="2"/>
  <c r="E356" i="2"/>
  <c r="F356" i="2" s="1"/>
  <c r="G356" i="2" s="1"/>
  <c r="R357" i="2"/>
  <c r="C357" i="2"/>
  <c r="B358" i="2"/>
  <c r="A360" i="2" l="1"/>
  <c r="Y359" i="2"/>
  <c r="J358" i="2"/>
  <c r="K357" i="2" s="1"/>
  <c r="T358" i="2"/>
  <c r="U357" i="2" s="1"/>
  <c r="S188" i="2"/>
  <c r="AA188" i="2"/>
  <c r="L188" i="2"/>
  <c r="M188" i="2" s="1"/>
  <c r="H189" i="2" s="1"/>
  <c r="V188" i="2"/>
  <c r="X188" i="2" s="1"/>
  <c r="W363" i="2"/>
  <c r="R358" i="2"/>
  <c r="B359" i="2"/>
  <c r="C358" i="2"/>
  <c r="I357" i="2"/>
  <c r="E357" i="2"/>
  <c r="F357" i="2" s="1"/>
  <c r="G357" i="2" s="1"/>
  <c r="D357" i="2"/>
  <c r="A361" i="2" l="1"/>
  <c r="Y360" i="2"/>
  <c r="T359" i="2"/>
  <c r="U358" i="2" s="1"/>
  <c r="J359" i="2"/>
  <c r="K358" i="2" s="1"/>
  <c r="P189" i="2"/>
  <c r="N189" i="2"/>
  <c r="O189" i="2"/>
  <c r="Q189" i="2" s="1"/>
  <c r="W364" i="2"/>
  <c r="R359" i="2"/>
  <c r="B360" i="2"/>
  <c r="C359" i="2"/>
  <c r="E358" i="2"/>
  <c r="F358" i="2" s="1"/>
  <c r="G358" i="2" s="1"/>
  <c r="D358" i="2"/>
  <c r="I358" i="2"/>
  <c r="A362" i="2" l="1"/>
  <c r="Y361" i="2"/>
  <c r="J360" i="2"/>
  <c r="K359" i="2" s="1"/>
  <c r="T360" i="2"/>
  <c r="U359" i="2" s="1"/>
  <c r="S189" i="2"/>
  <c r="L189" i="2"/>
  <c r="M189" i="2" s="1"/>
  <c r="H190" i="2" s="1"/>
  <c r="AA189" i="2"/>
  <c r="V189" i="2"/>
  <c r="X189" i="2" s="1"/>
  <c r="W365" i="2"/>
  <c r="E359" i="2"/>
  <c r="F359" i="2" s="1"/>
  <c r="G359" i="2" s="1"/>
  <c r="D359" i="2"/>
  <c r="I359" i="2"/>
  <c r="R360" i="2"/>
  <c r="C360" i="2"/>
  <c r="B361" i="2"/>
  <c r="A363" i="2" l="1"/>
  <c r="Y362" i="2"/>
  <c r="J361" i="2"/>
  <c r="K360" i="2" s="1"/>
  <c r="T361" i="2"/>
  <c r="U360" i="2" s="1"/>
  <c r="N190" i="2"/>
  <c r="O190" i="2"/>
  <c r="Q190" i="2" s="1"/>
  <c r="P190" i="2"/>
  <c r="W366" i="2"/>
  <c r="E360" i="2"/>
  <c r="F360" i="2" s="1"/>
  <c r="G360" i="2" s="1"/>
  <c r="I360" i="2"/>
  <c r="D360" i="2"/>
  <c r="R361" i="2"/>
  <c r="B362" i="2"/>
  <c r="C361" i="2"/>
  <c r="A364" i="2" l="1"/>
  <c r="Y363" i="2"/>
  <c r="J362" i="2"/>
  <c r="K361" i="2" s="1"/>
  <c r="T362" i="2"/>
  <c r="U361" i="2" s="1"/>
  <c r="S190" i="2"/>
  <c r="AA190" i="2"/>
  <c r="L190" i="2"/>
  <c r="M190" i="2" s="1"/>
  <c r="H191" i="2" s="1"/>
  <c r="V190" i="2"/>
  <c r="X190" i="2" s="1"/>
  <c r="W367" i="2"/>
  <c r="R362" i="2"/>
  <c r="C362" i="2"/>
  <c r="B363" i="2"/>
  <c r="E361" i="2"/>
  <c r="F361" i="2" s="1"/>
  <c r="G361" i="2" s="1"/>
  <c r="I361" i="2"/>
  <c r="D361" i="2"/>
  <c r="A365" i="2" l="1"/>
  <c r="Y364" i="2"/>
  <c r="J363" i="2"/>
  <c r="K362" i="2" s="1"/>
  <c r="T363" i="2"/>
  <c r="U362" i="2" s="1"/>
  <c r="N191" i="2"/>
  <c r="O191" i="2"/>
  <c r="Q191" i="2" s="1"/>
  <c r="P191" i="2"/>
  <c r="W368" i="2"/>
  <c r="R363" i="2"/>
  <c r="B364" i="2"/>
  <c r="C363" i="2"/>
  <c r="I362" i="2"/>
  <c r="E362" i="2"/>
  <c r="F362" i="2" s="1"/>
  <c r="G362" i="2" s="1"/>
  <c r="D362" i="2"/>
  <c r="A366" i="2" l="1"/>
  <c r="Y365" i="2"/>
  <c r="T364" i="2"/>
  <c r="U363" i="2" s="1"/>
  <c r="S191" i="2"/>
  <c r="AA191" i="2"/>
  <c r="J364" i="2"/>
  <c r="K363" i="2" s="1"/>
  <c r="L191" i="2"/>
  <c r="M191" i="2" s="1"/>
  <c r="H192" i="2" s="1"/>
  <c r="V191" i="2"/>
  <c r="X191" i="2" s="1"/>
  <c r="W369" i="2"/>
  <c r="R364" i="2"/>
  <c r="B365" i="2"/>
  <c r="C364" i="2"/>
  <c r="D363" i="2"/>
  <c r="I363" i="2"/>
  <c r="E363" i="2"/>
  <c r="F363" i="2" s="1"/>
  <c r="G363" i="2" s="1"/>
  <c r="A367" i="2" l="1"/>
  <c r="Y366" i="2"/>
  <c r="T365" i="2"/>
  <c r="U364" i="2" s="1"/>
  <c r="J365" i="2"/>
  <c r="K364" i="2" s="1"/>
  <c r="N192" i="2"/>
  <c r="O192" i="2"/>
  <c r="Q192" i="2" s="1"/>
  <c r="P192" i="2"/>
  <c r="W370" i="2"/>
  <c r="I364" i="2"/>
  <c r="E364" i="2"/>
  <c r="F364" i="2" s="1"/>
  <c r="G364" i="2" s="1"/>
  <c r="D364" i="2"/>
  <c r="R365" i="2"/>
  <c r="C365" i="2"/>
  <c r="B366" i="2"/>
  <c r="A368" i="2" l="1"/>
  <c r="Y367" i="2"/>
  <c r="J366" i="2"/>
  <c r="K365" i="2" s="1"/>
  <c r="T366" i="2"/>
  <c r="U365" i="2" s="1"/>
  <c r="S192" i="2"/>
  <c r="AA192" i="2"/>
  <c r="L192" i="2"/>
  <c r="M192" i="2" s="1"/>
  <c r="H193" i="2" s="1"/>
  <c r="V192" i="2"/>
  <c r="X192" i="2" s="1"/>
  <c r="W371" i="2"/>
  <c r="R366" i="2"/>
  <c r="B367" i="2"/>
  <c r="C366" i="2"/>
  <c r="E365" i="2"/>
  <c r="F365" i="2" s="1"/>
  <c r="G365" i="2" s="1"/>
  <c r="D365" i="2"/>
  <c r="I365" i="2"/>
  <c r="A369" i="2" l="1"/>
  <c r="Y368" i="2"/>
  <c r="T367" i="2"/>
  <c r="U366" i="2" s="1"/>
  <c r="J367" i="2"/>
  <c r="K366" i="2" s="1"/>
  <c r="N193" i="2"/>
  <c r="P193" i="2"/>
  <c r="O193" i="2"/>
  <c r="Q193" i="2" s="1"/>
  <c r="W372" i="2"/>
  <c r="E366" i="2"/>
  <c r="F366" i="2" s="1"/>
  <c r="G366" i="2" s="1"/>
  <c r="D366" i="2"/>
  <c r="I366" i="2"/>
  <c r="R367" i="2"/>
  <c r="B368" i="2"/>
  <c r="C367" i="2"/>
  <c r="A370" i="2" l="1"/>
  <c r="Y369" i="2"/>
  <c r="J368" i="2"/>
  <c r="K367" i="2" s="1"/>
  <c r="T368" i="2"/>
  <c r="U367" i="2" s="1"/>
  <c r="S193" i="2"/>
  <c r="AA193" i="2"/>
  <c r="V193" i="2"/>
  <c r="X193" i="2" s="1"/>
  <c r="L193" i="2"/>
  <c r="M193" i="2" s="1"/>
  <c r="H194" i="2" s="1"/>
  <c r="W373" i="2"/>
  <c r="I367" i="2"/>
  <c r="E367" i="2"/>
  <c r="F367" i="2" s="1"/>
  <c r="G367" i="2" s="1"/>
  <c r="D367" i="2"/>
  <c r="R368" i="2"/>
  <c r="B369" i="2"/>
  <c r="C368" i="2"/>
  <c r="A371" i="2" l="1"/>
  <c r="Y370" i="2"/>
  <c r="J369" i="2"/>
  <c r="K368" i="2" s="1"/>
  <c r="T369" i="2"/>
  <c r="U368" i="2" s="1"/>
  <c r="N194" i="2"/>
  <c r="P194" i="2"/>
  <c r="O194" i="2"/>
  <c r="Q194" i="2" s="1"/>
  <c r="W374" i="2"/>
  <c r="R369" i="2"/>
  <c r="B370" i="2"/>
  <c r="C369" i="2"/>
  <c r="D368" i="2"/>
  <c r="E368" i="2"/>
  <c r="F368" i="2" s="1"/>
  <c r="G368" i="2" s="1"/>
  <c r="I368" i="2"/>
  <c r="A372" i="2" l="1"/>
  <c r="Y371" i="2"/>
  <c r="J370" i="2"/>
  <c r="K369" i="2" s="1"/>
  <c r="T370" i="2"/>
  <c r="U369" i="2" s="1"/>
  <c r="S194" i="2"/>
  <c r="AA194" i="2"/>
  <c r="L194" i="2"/>
  <c r="M194" i="2" s="1"/>
  <c r="H195" i="2" s="1"/>
  <c r="V194" i="2"/>
  <c r="X194" i="2" s="1"/>
  <c r="W375" i="2"/>
  <c r="R370" i="2"/>
  <c r="C370" i="2"/>
  <c r="B371" i="2"/>
  <c r="I369" i="2"/>
  <c r="D369" i="2"/>
  <c r="E369" i="2"/>
  <c r="F369" i="2" s="1"/>
  <c r="G369" i="2" s="1"/>
  <c r="A373" i="2" l="1"/>
  <c r="Y372" i="2"/>
  <c r="J371" i="2"/>
  <c r="K370" i="2" s="1"/>
  <c r="T371" i="2"/>
  <c r="U370" i="2" s="1"/>
  <c r="N195" i="2"/>
  <c r="O195" i="2"/>
  <c r="Q195" i="2" s="1"/>
  <c r="P195" i="2"/>
  <c r="W376" i="2"/>
  <c r="I370" i="2"/>
  <c r="D370" i="2"/>
  <c r="E370" i="2"/>
  <c r="F370" i="2" s="1"/>
  <c r="G370" i="2" s="1"/>
  <c r="R371" i="2"/>
  <c r="B372" i="2"/>
  <c r="C371" i="2"/>
  <c r="A374" i="2" l="1"/>
  <c r="Y373" i="2"/>
  <c r="T372" i="2"/>
  <c r="U371" i="2" s="1"/>
  <c r="S195" i="2"/>
  <c r="AA195" i="2"/>
  <c r="J372" i="2"/>
  <c r="K371" i="2" s="1"/>
  <c r="V195" i="2"/>
  <c r="X195" i="2" s="1"/>
  <c r="L195" i="2"/>
  <c r="M195" i="2" s="1"/>
  <c r="H196" i="2" s="1"/>
  <c r="W377" i="2"/>
  <c r="R372" i="2"/>
  <c r="B373" i="2"/>
  <c r="C372" i="2"/>
  <c r="E371" i="2"/>
  <c r="F371" i="2" s="1"/>
  <c r="G371" i="2" s="1"/>
  <c r="D371" i="2"/>
  <c r="I371" i="2"/>
  <c r="A375" i="2" l="1"/>
  <c r="Y374" i="2"/>
  <c r="T373" i="2"/>
  <c r="U372" i="2" s="1"/>
  <c r="J373" i="2"/>
  <c r="K372" i="2" s="1"/>
  <c r="O196" i="2"/>
  <c r="Q196" i="2" s="1"/>
  <c r="N196" i="2"/>
  <c r="P196" i="2"/>
  <c r="W378" i="2"/>
  <c r="D372" i="2"/>
  <c r="I372" i="2"/>
  <c r="E372" i="2"/>
  <c r="F372" i="2" s="1"/>
  <c r="G372" i="2" s="1"/>
  <c r="R373" i="2"/>
  <c r="B374" i="2"/>
  <c r="C373" i="2"/>
  <c r="A376" i="2" l="1"/>
  <c r="Y375" i="2"/>
  <c r="J374" i="2"/>
  <c r="K373" i="2" s="1"/>
  <c r="T374" i="2"/>
  <c r="U373" i="2" s="1"/>
  <c r="S196" i="2"/>
  <c r="AA196" i="2"/>
  <c r="V196" i="2"/>
  <c r="X196" i="2" s="1"/>
  <c r="L196" i="2"/>
  <c r="M196" i="2" s="1"/>
  <c r="H197" i="2" s="1"/>
  <c r="W379" i="2"/>
  <c r="D373" i="2"/>
  <c r="E373" i="2"/>
  <c r="F373" i="2" s="1"/>
  <c r="G373" i="2" s="1"/>
  <c r="I373" i="2"/>
  <c r="R374" i="2"/>
  <c r="C374" i="2"/>
  <c r="B375" i="2"/>
  <c r="A377" i="2" l="1"/>
  <c r="Y376" i="2"/>
  <c r="J375" i="2"/>
  <c r="K374" i="2" s="1"/>
  <c r="T375" i="2"/>
  <c r="U374" i="2" s="1"/>
  <c r="N197" i="2"/>
  <c r="O197" i="2"/>
  <c r="Q197" i="2" s="1"/>
  <c r="P197" i="2"/>
  <c r="W380" i="2"/>
  <c r="D374" i="2"/>
  <c r="I374" i="2"/>
  <c r="E374" i="2"/>
  <c r="F374" i="2" s="1"/>
  <c r="G374" i="2" s="1"/>
  <c r="R375" i="2"/>
  <c r="B376" i="2"/>
  <c r="C375" i="2"/>
  <c r="A378" i="2" l="1"/>
  <c r="Y377" i="2"/>
  <c r="J376" i="2"/>
  <c r="K375" i="2" s="1"/>
  <c r="T376" i="2"/>
  <c r="U375" i="2" s="1"/>
  <c r="S197" i="2"/>
  <c r="AA197" i="2"/>
  <c r="L197" i="2"/>
  <c r="M197" i="2" s="1"/>
  <c r="H198" i="2" s="1"/>
  <c r="V197" i="2"/>
  <c r="X197" i="2" s="1"/>
  <c r="W381" i="2"/>
  <c r="I375" i="2"/>
  <c r="E375" i="2"/>
  <c r="F375" i="2" s="1"/>
  <c r="G375" i="2" s="1"/>
  <c r="D375" i="2"/>
  <c r="R376" i="2"/>
  <c r="B377" i="2"/>
  <c r="C376" i="2"/>
  <c r="A379" i="2" l="1"/>
  <c r="Y378" i="2"/>
  <c r="J377" i="2"/>
  <c r="K376" i="2" s="1"/>
  <c r="T377" i="2"/>
  <c r="U376" i="2" s="1"/>
  <c r="N198" i="2"/>
  <c r="O198" i="2"/>
  <c r="Q198" i="2" s="1"/>
  <c r="W382" i="2"/>
  <c r="R377" i="2"/>
  <c r="B378" i="2"/>
  <c r="C377" i="2"/>
  <c r="I376" i="2"/>
  <c r="E376" i="2"/>
  <c r="F376" i="2" s="1"/>
  <c r="G376" i="2" s="1"/>
  <c r="D376" i="2"/>
  <c r="A380" i="2" l="1"/>
  <c r="Y379" i="2"/>
  <c r="J378" i="2"/>
  <c r="K377" i="2" s="1"/>
  <c r="T378" i="2"/>
  <c r="U377" i="2" s="1"/>
  <c r="S198" i="2"/>
  <c r="P198" i="2"/>
  <c r="AA198" i="2" s="1"/>
  <c r="L198" i="2"/>
  <c r="M198" i="2" s="1"/>
  <c r="H199" i="2" s="1"/>
  <c r="V198" i="2"/>
  <c r="X198" i="2" s="1"/>
  <c r="W383" i="2"/>
  <c r="R378" i="2"/>
  <c r="C378" i="2"/>
  <c r="B379" i="2"/>
  <c r="D377" i="2"/>
  <c r="I377" i="2"/>
  <c r="E377" i="2"/>
  <c r="F377" i="2" s="1"/>
  <c r="G377" i="2" s="1"/>
  <c r="A381" i="2" l="1"/>
  <c r="Y380" i="2"/>
  <c r="T379" i="2"/>
  <c r="U378" i="2" s="1"/>
  <c r="J379" i="2"/>
  <c r="K378" i="2" s="1"/>
  <c r="O199" i="2"/>
  <c r="Q199" i="2" s="1"/>
  <c r="N199" i="2"/>
  <c r="P199" i="2"/>
  <c r="W384" i="2"/>
  <c r="R379" i="2"/>
  <c r="C379" i="2"/>
  <c r="B380" i="2"/>
  <c r="E378" i="2"/>
  <c r="F378" i="2" s="1"/>
  <c r="G378" i="2" s="1"/>
  <c r="I378" i="2"/>
  <c r="D378" i="2"/>
  <c r="A382" i="2" l="1"/>
  <c r="Y381" i="2"/>
  <c r="J380" i="2"/>
  <c r="K379" i="2" s="1"/>
  <c r="T380" i="2"/>
  <c r="U379" i="2" s="1"/>
  <c r="S199" i="2"/>
  <c r="AA199" i="2"/>
  <c r="L199" i="2"/>
  <c r="M199" i="2" s="1"/>
  <c r="H200" i="2" s="1"/>
  <c r="V199" i="2"/>
  <c r="X199" i="2" s="1"/>
  <c r="W385" i="2"/>
  <c r="E379" i="2"/>
  <c r="F379" i="2" s="1"/>
  <c r="G379" i="2" s="1"/>
  <c r="I379" i="2"/>
  <c r="D379" i="2"/>
  <c r="R380" i="2"/>
  <c r="B381" i="2"/>
  <c r="C380" i="2"/>
  <c r="A383" i="2" l="1"/>
  <c r="Y382" i="2"/>
  <c r="J381" i="2"/>
  <c r="K380" i="2" s="1"/>
  <c r="T381" i="2"/>
  <c r="U380" i="2" s="1"/>
  <c r="N200" i="2"/>
  <c r="P200" i="2"/>
  <c r="O200" i="2"/>
  <c r="Q200" i="2" s="1"/>
  <c r="W386" i="2"/>
  <c r="R381" i="2"/>
  <c r="C381" i="2"/>
  <c r="B382" i="2"/>
  <c r="E380" i="2"/>
  <c r="F380" i="2" s="1"/>
  <c r="G380" i="2" s="1"/>
  <c r="I380" i="2"/>
  <c r="D380" i="2"/>
  <c r="A384" i="2" l="1"/>
  <c r="Y383" i="2"/>
  <c r="J382" i="2"/>
  <c r="K381" i="2" s="1"/>
  <c r="T382" i="2"/>
  <c r="U381" i="2" s="1"/>
  <c r="S200" i="2"/>
  <c r="AA200" i="2"/>
  <c r="L200" i="2"/>
  <c r="M200" i="2" s="1"/>
  <c r="H201" i="2" s="1"/>
  <c r="V200" i="2"/>
  <c r="X200" i="2" s="1"/>
  <c r="W387" i="2"/>
  <c r="R382" i="2"/>
  <c r="B383" i="2"/>
  <c r="C382" i="2"/>
  <c r="D381" i="2"/>
  <c r="E381" i="2"/>
  <c r="F381" i="2" s="1"/>
  <c r="G381" i="2" s="1"/>
  <c r="I381" i="2"/>
  <c r="A385" i="2" l="1"/>
  <c r="Y384" i="2"/>
  <c r="J383" i="2"/>
  <c r="K382" i="2" s="1"/>
  <c r="T383" i="2"/>
  <c r="U382" i="2" s="1"/>
  <c r="O201" i="2"/>
  <c r="Q201" i="2" s="1"/>
  <c r="N201" i="2"/>
  <c r="P201" i="2"/>
  <c r="W388" i="2"/>
  <c r="D382" i="2"/>
  <c r="I382" i="2"/>
  <c r="E382" i="2"/>
  <c r="F382" i="2" s="1"/>
  <c r="G382" i="2" s="1"/>
  <c r="R383" i="2"/>
  <c r="B384" i="2"/>
  <c r="C383" i="2"/>
  <c r="A386" i="2" l="1"/>
  <c r="Y385" i="2"/>
  <c r="J384" i="2"/>
  <c r="K383" i="2" s="1"/>
  <c r="T384" i="2"/>
  <c r="U383" i="2" s="1"/>
  <c r="S201" i="2"/>
  <c r="AA201" i="2"/>
  <c r="V201" i="2"/>
  <c r="X201" i="2" s="1"/>
  <c r="L201" i="2"/>
  <c r="M201" i="2" s="1"/>
  <c r="H202" i="2" s="1"/>
  <c r="W389" i="2"/>
  <c r="R384" i="2"/>
  <c r="C384" i="2"/>
  <c r="B385" i="2"/>
  <c r="E383" i="2"/>
  <c r="F383" i="2" s="1"/>
  <c r="G383" i="2" s="1"/>
  <c r="D383" i="2"/>
  <c r="I383" i="2"/>
  <c r="A387" i="2" l="1"/>
  <c r="Y386" i="2"/>
  <c r="J385" i="2"/>
  <c r="K384" i="2" s="1"/>
  <c r="T385" i="2"/>
  <c r="U384" i="2" s="1"/>
  <c r="N202" i="2"/>
  <c r="O202" i="2"/>
  <c r="Q202" i="2" s="1"/>
  <c r="P202" i="2"/>
  <c r="W390" i="2"/>
  <c r="R385" i="2"/>
  <c r="C385" i="2"/>
  <c r="B386" i="2"/>
  <c r="I384" i="2"/>
  <c r="D384" i="2"/>
  <c r="E384" i="2"/>
  <c r="F384" i="2" s="1"/>
  <c r="G384" i="2" s="1"/>
  <c r="A388" i="2" l="1"/>
  <c r="Y387" i="2"/>
  <c r="J386" i="2"/>
  <c r="K385" i="2" s="1"/>
  <c r="T386" i="2"/>
  <c r="U385" i="2" s="1"/>
  <c r="S202" i="2"/>
  <c r="AA202" i="2"/>
  <c r="L202" i="2"/>
  <c r="M202" i="2" s="1"/>
  <c r="H203" i="2" s="1"/>
  <c r="V202" i="2"/>
  <c r="X202" i="2" s="1"/>
  <c r="W391" i="2"/>
  <c r="R386" i="2"/>
  <c r="B387" i="2"/>
  <c r="C386" i="2"/>
  <c r="D385" i="2"/>
  <c r="E385" i="2"/>
  <c r="F385" i="2" s="1"/>
  <c r="G385" i="2" s="1"/>
  <c r="I385" i="2"/>
  <c r="A389" i="2" l="1"/>
  <c r="Y388" i="2"/>
  <c r="T387" i="2"/>
  <c r="U386" i="2" s="1"/>
  <c r="J387" i="2"/>
  <c r="K386" i="2" s="1"/>
  <c r="O203" i="2"/>
  <c r="Q203" i="2" s="1"/>
  <c r="N203" i="2"/>
  <c r="P203" i="2"/>
  <c r="W392" i="2"/>
  <c r="I386" i="2"/>
  <c r="E386" i="2"/>
  <c r="F386" i="2" s="1"/>
  <c r="G386" i="2" s="1"/>
  <c r="D386" i="2"/>
  <c r="R387" i="2"/>
  <c r="C387" i="2"/>
  <c r="B388" i="2"/>
  <c r="A390" i="2" l="1"/>
  <c r="Y389" i="2"/>
  <c r="J388" i="2"/>
  <c r="K387" i="2" s="1"/>
  <c r="T388" i="2"/>
  <c r="U387" i="2" s="1"/>
  <c r="S203" i="2"/>
  <c r="AA203" i="2"/>
  <c r="L203" i="2"/>
  <c r="M203" i="2" s="1"/>
  <c r="H204" i="2" s="1"/>
  <c r="V203" i="2"/>
  <c r="X203" i="2" s="1"/>
  <c r="W393" i="2"/>
  <c r="I387" i="2"/>
  <c r="E387" i="2"/>
  <c r="F387" i="2" s="1"/>
  <c r="G387" i="2" s="1"/>
  <c r="D387" i="2"/>
  <c r="R388" i="2"/>
  <c r="C388" i="2"/>
  <c r="B389" i="2"/>
  <c r="A391" i="2" l="1"/>
  <c r="Y390" i="2"/>
  <c r="J389" i="2"/>
  <c r="K388" i="2" s="1"/>
  <c r="T389" i="2"/>
  <c r="U388" i="2" s="1"/>
  <c r="O204" i="2"/>
  <c r="Q204" i="2" s="1"/>
  <c r="N204" i="2"/>
  <c r="P204" i="2"/>
  <c r="W394" i="2"/>
  <c r="I388" i="2"/>
  <c r="E388" i="2"/>
  <c r="F388" i="2" s="1"/>
  <c r="G388" i="2" s="1"/>
  <c r="D388" i="2"/>
  <c r="R389" i="2"/>
  <c r="B390" i="2"/>
  <c r="C389" i="2"/>
  <c r="A392" i="2" l="1"/>
  <c r="Y391" i="2"/>
  <c r="J390" i="2"/>
  <c r="K389" i="2" s="1"/>
  <c r="T390" i="2"/>
  <c r="U389" i="2" s="1"/>
  <c r="S204" i="2"/>
  <c r="AA204" i="2"/>
  <c r="V204" i="2"/>
  <c r="X204" i="2" s="1"/>
  <c r="L204" i="2"/>
  <c r="M204" i="2" s="1"/>
  <c r="H205" i="2" s="1"/>
  <c r="W395" i="2"/>
  <c r="R390" i="2"/>
  <c r="B391" i="2"/>
  <c r="C390" i="2"/>
  <c r="D389" i="2"/>
  <c r="E389" i="2"/>
  <c r="F389" i="2" s="1"/>
  <c r="G389" i="2" s="1"/>
  <c r="I389" i="2"/>
  <c r="A393" i="2" l="1"/>
  <c r="Y392" i="2"/>
  <c r="T391" i="2"/>
  <c r="U390" i="2" s="1"/>
  <c r="J391" i="2"/>
  <c r="K390" i="2" s="1"/>
  <c r="N205" i="2"/>
  <c r="O205" i="2"/>
  <c r="Q205" i="2" s="1"/>
  <c r="P205" i="2"/>
  <c r="W396" i="2"/>
  <c r="E390" i="2"/>
  <c r="F390" i="2" s="1"/>
  <c r="G390" i="2" s="1"/>
  <c r="I390" i="2"/>
  <c r="D390" i="2"/>
  <c r="R391" i="2"/>
  <c r="C391" i="2"/>
  <c r="B392" i="2"/>
  <c r="A394" i="2" l="1"/>
  <c r="Y393" i="2"/>
  <c r="J392" i="2"/>
  <c r="K391" i="2" s="1"/>
  <c r="T392" i="2"/>
  <c r="U391" i="2" s="1"/>
  <c r="S205" i="2"/>
  <c r="AA205" i="2"/>
  <c r="L205" i="2"/>
  <c r="M205" i="2" s="1"/>
  <c r="H206" i="2" s="1"/>
  <c r="V205" i="2"/>
  <c r="X205" i="2" s="1"/>
  <c r="W397" i="2"/>
  <c r="E391" i="2"/>
  <c r="F391" i="2" s="1"/>
  <c r="G391" i="2" s="1"/>
  <c r="I391" i="2"/>
  <c r="D391" i="2"/>
  <c r="R392" i="2"/>
  <c r="B393" i="2"/>
  <c r="C392" i="2"/>
  <c r="A395" i="2" l="1"/>
  <c r="Y394" i="2"/>
  <c r="J393" i="2"/>
  <c r="K392" i="2" s="1"/>
  <c r="T393" i="2"/>
  <c r="U392" i="2" s="1"/>
  <c r="P206" i="2"/>
  <c r="O206" i="2"/>
  <c r="Q206" i="2" s="1"/>
  <c r="N206" i="2"/>
  <c r="W398" i="2"/>
  <c r="R393" i="2"/>
  <c r="B394" i="2"/>
  <c r="C393" i="2"/>
  <c r="E392" i="2"/>
  <c r="F392" i="2" s="1"/>
  <c r="G392" i="2" s="1"/>
  <c r="I392" i="2"/>
  <c r="D392" i="2"/>
  <c r="A396" i="2" l="1"/>
  <c r="Y395" i="2"/>
  <c r="J394" i="2"/>
  <c r="K393" i="2" s="1"/>
  <c r="T394" i="2"/>
  <c r="U393" i="2" s="1"/>
  <c r="S206" i="2"/>
  <c r="L206" i="2"/>
  <c r="M206" i="2" s="1"/>
  <c r="H207" i="2" s="1"/>
  <c r="AA206" i="2"/>
  <c r="V206" i="2"/>
  <c r="X206" i="2" s="1"/>
  <c r="W399" i="2"/>
  <c r="I393" i="2"/>
  <c r="E393" i="2"/>
  <c r="F393" i="2" s="1"/>
  <c r="G393" i="2" s="1"/>
  <c r="D393" i="2"/>
  <c r="R394" i="2"/>
  <c r="C394" i="2"/>
  <c r="B395" i="2"/>
  <c r="A397" i="2" l="1"/>
  <c r="Y396" i="2"/>
  <c r="T395" i="2"/>
  <c r="U394" i="2" s="1"/>
  <c r="J395" i="2"/>
  <c r="K394" i="2" s="1"/>
  <c r="O207" i="2"/>
  <c r="Q207" i="2" s="1"/>
  <c r="N207" i="2"/>
  <c r="P207" i="2"/>
  <c r="W400" i="2"/>
  <c r="R395" i="2"/>
  <c r="C395" i="2"/>
  <c r="B396" i="2"/>
  <c r="I394" i="2"/>
  <c r="D394" i="2"/>
  <c r="E394" i="2"/>
  <c r="F394" i="2" s="1"/>
  <c r="G394" i="2" s="1"/>
  <c r="A398" i="2" l="1"/>
  <c r="Y397" i="2"/>
  <c r="J396" i="2"/>
  <c r="K395" i="2" s="1"/>
  <c r="T396" i="2"/>
  <c r="U395" i="2" s="1"/>
  <c r="S207" i="2"/>
  <c r="AA207" i="2"/>
  <c r="L207" i="2"/>
  <c r="M207" i="2" s="1"/>
  <c r="H208" i="2" s="1"/>
  <c r="V207" i="2"/>
  <c r="X207" i="2" s="1"/>
  <c r="W401" i="2"/>
  <c r="D395" i="2"/>
  <c r="I395" i="2"/>
  <c r="E395" i="2"/>
  <c r="F395" i="2" s="1"/>
  <c r="G395" i="2" s="1"/>
  <c r="R396" i="2"/>
  <c r="B397" i="2"/>
  <c r="C396" i="2"/>
  <c r="A399" i="2" l="1"/>
  <c r="Y398" i="2"/>
  <c r="J397" i="2"/>
  <c r="K396" i="2" s="1"/>
  <c r="T397" i="2"/>
  <c r="U396" i="2" s="1"/>
  <c r="N208" i="2"/>
  <c r="P208" i="2"/>
  <c r="O208" i="2"/>
  <c r="Q208" i="2" s="1"/>
  <c r="W402" i="2"/>
  <c r="D396" i="2"/>
  <c r="I396" i="2"/>
  <c r="E396" i="2"/>
  <c r="F396" i="2" s="1"/>
  <c r="G396" i="2" s="1"/>
  <c r="R397" i="2"/>
  <c r="C397" i="2"/>
  <c r="B398" i="2"/>
  <c r="A400" i="2" l="1"/>
  <c r="Y399" i="2"/>
  <c r="J398" i="2"/>
  <c r="K397" i="2" s="1"/>
  <c r="T398" i="2"/>
  <c r="U397" i="2" s="1"/>
  <c r="S208" i="2"/>
  <c r="AA208" i="2"/>
  <c r="V208" i="2"/>
  <c r="X208" i="2" s="1"/>
  <c r="L208" i="2"/>
  <c r="M208" i="2" s="1"/>
  <c r="H209" i="2" s="1"/>
  <c r="W403" i="2"/>
  <c r="R398" i="2"/>
  <c r="B399" i="2"/>
  <c r="C398" i="2"/>
  <c r="D397" i="2"/>
  <c r="I397" i="2"/>
  <c r="E397" i="2"/>
  <c r="F397" i="2" s="1"/>
  <c r="G397" i="2" s="1"/>
  <c r="A401" i="2" l="1"/>
  <c r="Y400" i="2"/>
  <c r="T399" i="2"/>
  <c r="U398" i="2" s="1"/>
  <c r="J399" i="2"/>
  <c r="K398" i="2" s="1"/>
  <c r="O209" i="2"/>
  <c r="Q209" i="2" s="1"/>
  <c r="N209" i="2"/>
  <c r="P209" i="2"/>
  <c r="W404" i="2"/>
  <c r="R399" i="2"/>
  <c r="C399" i="2"/>
  <c r="B400" i="2"/>
  <c r="I398" i="2"/>
  <c r="E398" i="2"/>
  <c r="F398" i="2" s="1"/>
  <c r="G398" i="2" s="1"/>
  <c r="D398" i="2"/>
  <c r="A402" i="2" l="1"/>
  <c r="Y401" i="2"/>
  <c r="J400" i="2"/>
  <c r="K399" i="2" s="1"/>
  <c r="T400" i="2"/>
  <c r="U399" i="2" s="1"/>
  <c r="S209" i="2"/>
  <c r="AA209" i="2"/>
  <c r="L209" i="2"/>
  <c r="M209" i="2" s="1"/>
  <c r="H210" i="2" s="1"/>
  <c r="V209" i="2"/>
  <c r="X209" i="2" s="1"/>
  <c r="W405" i="2"/>
  <c r="I399" i="2"/>
  <c r="D399" i="2"/>
  <c r="E399" i="2"/>
  <c r="F399" i="2" s="1"/>
  <c r="G399" i="2" s="1"/>
  <c r="R400" i="2"/>
  <c r="C400" i="2"/>
  <c r="B401" i="2"/>
  <c r="A403" i="2" l="1"/>
  <c r="Y402" i="2"/>
  <c r="J401" i="2"/>
  <c r="K400" i="2" s="1"/>
  <c r="T401" i="2"/>
  <c r="U400" i="2" s="1"/>
  <c r="P210" i="2"/>
  <c r="N210" i="2"/>
  <c r="O210" i="2"/>
  <c r="Q210" i="2" s="1"/>
  <c r="W406" i="2"/>
  <c r="R401" i="2"/>
  <c r="B402" i="2"/>
  <c r="C401" i="2"/>
  <c r="D400" i="2"/>
  <c r="E400" i="2"/>
  <c r="F400" i="2" s="1"/>
  <c r="G400" i="2" s="1"/>
  <c r="I400" i="2"/>
  <c r="A404" i="2" l="1"/>
  <c r="Y403" i="2"/>
  <c r="J402" i="2"/>
  <c r="K401" i="2" s="1"/>
  <c r="T402" i="2"/>
  <c r="U401" i="2" s="1"/>
  <c r="S210" i="2"/>
  <c r="L210" i="2"/>
  <c r="M210" i="2" s="1"/>
  <c r="H211" i="2" s="1"/>
  <c r="AA210" i="2"/>
  <c r="V210" i="2"/>
  <c r="X210" i="2" s="1"/>
  <c r="W407" i="2"/>
  <c r="I401" i="2"/>
  <c r="E401" i="2"/>
  <c r="F401" i="2" s="1"/>
  <c r="G401" i="2" s="1"/>
  <c r="D401" i="2"/>
  <c r="R402" i="2"/>
  <c r="C402" i="2"/>
  <c r="B403" i="2"/>
  <c r="A405" i="2" l="1"/>
  <c r="Y404" i="2"/>
  <c r="J403" i="2"/>
  <c r="K402" i="2" s="1"/>
  <c r="T403" i="2"/>
  <c r="U402" i="2" s="1"/>
  <c r="N211" i="2"/>
  <c r="O211" i="2"/>
  <c r="Q211" i="2" s="1"/>
  <c r="P211" i="2"/>
  <c r="W408" i="2"/>
  <c r="R403" i="2"/>
  <c r="B404" i="2"/>
  <c r="C403" i="2"/>
  <c r="E402" i="2"/>
  <c r="F402" i="2" s="1"/>
  <c r="G402" i="2" s="1"/>
  <c r="I402" i="2"/>
  <c r="D402" i="2"/>
  <c r="A406" i="2" l="1"/>
  <c r="Y405" i="2"/>
  <c r="T404" i="2"/>
  <c r="U403" i="2" s="1"/>
  <c r="S211" i="2"/>
  <c r="AA211" i="2"/>
  <c r="J404" i="2"/>
  <c r="K403" i="2" s="1"/>
  <c r="V211" i="2"/>
  <c r="X211" i="2" s="1"/>
  <c r="L211" i="2"/>
  <c r="M211" i="2" s="1"/>
  <c r="H212" i="2" s="1"/>
  <c r="W409" i="2"/>
  <c r="E403" i="2"/>
  <c r="F403" i="2" s="1"/>
  <c r="G403" i="2" s="1"/>
  <c r="D403" i="2"/>
  <c r="I403" i="2"/>
  <c r="R404" i="2"/>
  <c r="B405" i="2"/>
  <c r="C404" i="2"/>
  <c r="A407" i="2" l="1"/>
  <c r="Y406" i="2"/>
  <c r="J405" i="2"/>
  <c r="K404" i="2" s="1"/>
  <c r="T405" i="2"/>
  <c r="U404" i="2" s="1"/>
  <c r="P212" i="2"/>
  <c r="O212" i="2"/>
  <c r="Q212" i="2" s="1"/>
  <c r="N212" i="2"/>
  <c r="W410" i="2"/>
  <c r="R405" i="2"/>
  <c r="B406" i="2"/>
  <c r="C405" i="2"/>
  <c r="D404" i="2"/>
  <c r="E404" i="2"/>
  <c r="F404" i="2" s="1"/>
  <c r="G404" i="2" s="1"/>
  <c r="I404" i="2"/>
  <c r="A408" i="2" l="1"/>
  <c r="Y407" i="2"/>
  <c r="J406" i="2"/>
  <c r="K405" i="2" s="1"/>
  <c r="T406" i="2"/>
  <c r="U405" i="2" s="1"/>
  <c r="S212" i="2"/>
  <c r="AA212" i="2"/>
  <c r="V212" i="2"/>
  <c r="X212" i="2" s="1"/>
  <c r="L212" i="2"/>
  <c r="M212" i="2" s="1"/>
  <c r="H213" i="2" s="1"/>
  <c r="W411" i="2"/>
  <c r="R406" i="2"/>
  <c r="B407" i="2"/>
  <c r="C406" i="2"/>
  <c r="D405" i="2"/>
  <c r="E405" i="2"/>
  <c r="F405" i="2" s="1"/>
  <c r="G405" i="2" s="1"/>
  <c r="I405" i="2"/>
  <c r="A409" i="2" l="1"/>
  <c r="Y408" i="2"/>
  <c r="T407" i="2"/>
  <c r="U406" i="2" s="1"/>
  <c r="J407" i="2"/>
  <c r="K406" i="2" s="1"/>
  <c r="P213" i="2"/>
  <c r="O213" i="2"/>
  <c r="Q213" i="2" s="1"/>
  <c r="N213" i="2"/>
  <c r="W412" i="2"/>
  <c r="R407" i="2"/>
  <c r="B408" i="2"/>
  <c r="C407" i="2"/>
  <c r="E406" i="2"/>
  <c r="F406" i="2" s="1"/>
  <c r="G406" i="2" s="1"/>
  <c r="D406" i="2"/>
  <c r="I406" i="2"/>
  <c r="A410" i="2" l="1"/>
  <c r="Y409" i="2"/>
  <c r="J408" i="2"/>
  <c r="K407" i="2" s="1"/>
  <c r="T408" i="2"/>
  <c r="U407" i="2" s="1"/>
  <c r="S213" i="2"/>
  <c r="AA213" i="2"/>
  <c r="V213" i="2"/>
  <c r="X213" i="2" s="1"/>
  <c r="L213" i="2"/>
  <c r="M213" i="2" s="1"/>
  <c r="H214" i="2" s="1"/>
  <c r="W413" i="2"/>
  <c r="I407" i="2"/>
  <c r="E407" i="2"/>
  <c r="F407" i="2" s="1"/>
  <c r="G407" i="2" s="1"/>
  <c r="D407" i="2"/>
  <c r="R408" i="2"/>
  <c r="B409" i="2"/>
  <c r="C408" i="2"/>
  <c r="A411" i="2" l="1"/>
  <c r="Y410" i="2"/>
  <c r="J409" i="2"/>
  <c r="K408" i="2" s="1"/>
  <c r="T409" i="2"/>
  <c r="U408" i="2" s="1"/>
  <c r="N214" i="2"/>
  <c r="P214" i="2"/>
  <c r="O214" i="2"/>
  <c r="Q214" i="2" s="1"/>
  <c r="W414" i="2"/>
  <c r="I408" i="2"/>
  <c r="D408" i="2"/>
  <c r="E408" i="2"/>
  <c r="F408" i="2" s="1"/>
  <c r="G408" i="2" s="1"/>
  <c r="R409" i="2"/>
  <c r="B410" i="2"/>
  <c r="C409" i="2"/>
  <c r="A412" i="2" l="1"/>
  <c r="Y411" i="2"/>
  <c r="J410" i="2"/>
  <c r="K409" i="2" s="1"/>
  <c r="T410" i="2"/>
  <c r="U409" i="2" s="1"/>
  <c r="S214" i="2"/>
  <c r="AA214" i="2"/>
  <c r="L214" i="2"/>
  <c r="M214" i="2" s="1"/>
  <c r="H215" i="2" s="1"/>
  <c r="V214" i="2"/>
  <c r="X214" i="2" s="1"/>
  <c r="W415" i="2"/>
  <c r="R410" i="2"/>
  <c r="B411" i="2"/>
  <c r="C410" i="2"/>
  <c r="D409" i="2"/>
  <c r="I409" i="2"/>
  <c r="E409" i="2"/>
  <c r="F409" i="2" s="1"/>
  <c r="G409" i="2" s="1"/>
  <c r="A413" i="2" l="1"/>
  <c r="Y412" i="2"/>
  <c r="J411" i="2"/>
  <c r="K410" i="2" s="1"/>
  <c r="T411" i="2"/>
  <c r="U410" i="2" s="1"/>
  <c r="P215" i="2"/>
  <c r="O215" i="2"/>
  <c r="Q215" i="2" s="1"/>
  <c r="N215" i="2"/>
  <c r="W416" i="2"/>
  <c r="R411" i="2"/>
  <c r="C411" i="2"/>
  <c r="B412" i="2"/>
  <c r="I410" i="2"/>
  <c r="E410" i="2"/>
  <c r="F410" i="2" s="1"/>
  <c r="G410" i="2" s="1"/>
  <c r="D410" i="2"/>
  <c r="A414" i="2" l="1"/>
  <c r="Y413" i="2"/>
  <c r="T412" i="2"/>
  <c r="U411" i="2" s="1"/>
  <c r="S215" i="2"/>
  <c r="J412" i="2"/>
  <c r="K411" i="2" s="1"/>
  <c r="AA215" i="2"/>
  <c r="V215" i="2"/>
  <c r="X215" i="2" s="1"/>
  <c r="L215" i="2"/>
  <c r="M215" i="2" s="1"/>
  <c r="H216" i="2" s="1"/>
  <c r="W417" i="2"/>
  <c r="R412" i="2"/>
  <c r="C412" i="2"/>
  <c r="B413" i="2"/>
  <c r="D411" i="2"/>
  <c r="I411" i="2"/>
  <c r="E411" i="2"/>
  <c r="F411" i="2" s="1"/>
  <c r="G411" i="2" s="1"/>
  <c r="A415" i="2" l="1"/>
  <c r="Y414" i="2"/>
  <c r="T413" i="2"/>
  <c r="U412" i="2" s="1"/>
  <c r="J413" i="2"/>
  <c r="K412" i="2" s="1"/>
  <c r="N216" i="2"/>
  <c r="O216" i="2"/>
  <c r="Q216" i="2" s="1"/>
  <c r="P216" i="2"/>
  <c r="W418" i="2"/>
  <c r="R413" i="2"/>
  <c r="C413" i="2"/>
  <c r="B414" i="2"/>
  <c r="I412" i="2"/>
  <c r="D412" i="2"/>
  <c r="E412" i="2"/>
  <c r="F412" i="2" s="1"/>
  <c r="G412" i="2" s="1"/>
  <c r="A416" i="2" l="1"/>
  <c r="Y415" i="2"/>
  <c r="J414" i="2"/>
  <c r="K413" i="2" s="1"/>
  <c r="T414" i="2"/>
  <c r="U413" i="2" s="1"/>
  <c r="S216" i="2"/>
  <c r="AA216" i="2"/>
  <c r="V216" i="2"/>
  <c r="X216" i="2" s="1"/>
  <c r="L216" i="2"/>
  <c r="M216" i="2" s="1"/>
  <c r="H217" i="2" s="1"/>
  <c r="W419" i="2"/>
  <c r="W420" i="2" s="1"/>
  <c r="W421" i="2" s="1"/>
  <c r="W422" i="2" s="1"/>
  <c r="W423" i="2" s="1"/>
  <c r="W424" i="2" s="1"/>
  <c r="W425" i="2" s="1"/>
  <c r="W426" i="2" s="1"/>
  <c r="W427" i="2" s="1"/>
  <c r="W428" i="2" s="1"/>
  <c r="W429" i="2" s="1"/>
  <c r="W430" i="2" s="1"/>
  <c r="W431" i="2" s="1"/>
  <c r="W432" i="2" s="1"/>
  <c r="W433" i="2" s="1"/>
  <c r="W434" i="2" s="1"/>
  <c r="W435" i="2" s="1"/>
  <c r="W436" i="2" s="1"/>
  <c r="W437" i="2" s="1"/>
  <c r="W438" i="2" s="1"/>
  <c r="W439" i="2" s="1"/>
  <c r="W440" i="2" s="1"/>
  <c r="W441" i="2" s="1"/>
  <c r="W442" i="2" s="1"/>
  <c r="W443" i="2" s="1"/>
  <c r="W444" i="2" s="1"/>
  <c r="W445" i="2" s="1"/>
  <c r="W446" i="2" s="1"/>
  <c r="W447" i="2" s="1"/>
  <c r="W448" i="2" s="1"/>
  <c r="W449" i="2" s="1"/>
  <c r="W450" i="2" s="1"/>
  <c r="W451" i="2" s="1"/>
  <c r="W452" i="2" s="1"/>
  <c r="W453" i="2" s="1"/>
  <c r="W454" i="2" s="1"/>
  <c r="W455" i="2" s="1"/>
  <c r="W456" i="2" s="1"/>
  <c r="W457" i="2" s="1"/>
  <c r="W458" i="2" s="1"/>
  <c r="W459" i="2" s="1"/>
  <c r="W460" i="2" s="1"/>
  <c r="W461" i="2" s="1"/>
  <c r="W462" i="2" s="1"/>
  <c r="W463" i="2" s="1"/>
  <c r="W464" i="2" s="1"/>
  <c r="W465" i="2" s="1"/>
  <c r="W466" i="2" s="1"/>
  <c r="W467" i="2" s="1"/>
  <c r="W468" i="2" s="1"/>
  <c r="W469" i="2" s="1"/>
  <c r="W470" i="2" s="1"/>
  <c r="W471" i="2" s="1"/>
  <c r="W472" i="2" s="1"/>
  <c r="W473" i="2" s="1"/>
  <c r="W474" i="2" s="1"/>
  <c r="W475" i="2" s="1"/>
  <c r="W476" i="2" s="1"/>
  <c r="W477" i="2" s="1"/>
  <c r="W478" i="2" s="1"/>
  <c r="W479" i="2" s="1"/>
  <c r="W480" i="2" s="1"/>
  <c r="W481" i="2" s="1"/>
  <c r="W482" i="2" s="1"/>
  <c r="W483" i="2" s="1"/>
  <c r="W484" i="2" s="1"/>
  <c r="W485" i="2" s="1"/>
  <c r="W486" i="2" s="1"/>
  <c r="W487" i="2" s="1"/>
  <c r="W488" i="2" s="1"/>
  <c r="W489" i="2" s="1"/>
  <c r="W490" i="2" s="1"/>
  <c r="W491" i="2" s="1"/>
  <c r="W492" i="2" s="1"/>
  <c r="W493" i="2" s="1"/>
  <c r="W494" i="2" s="1"/>
  <c r="W495" i="2" s="1"/>
  <c r="W496" i="2" s="1"/>
  <c r="W497" i="2" s="1"/>
  <c r="W498" i="2" s="1"/>
  <c r="W499" i="2" s="1"/>
  <c r="W500" i="2" s="1"/>
  <c r="W501" i="2" s="1"/>
  <c r="W502" i="2" s="1"/>
  <c r="W503" i="2" s="1"/>
  <c r="R414" i="2"/>
  <c r="C414" i="2"/>
  <c r="B415" i="2"/>
  <c r="I413" i="2"/>
  <c r="E413" i="2"/>
  <c r="F413" i="2" s="1"/>
  <c r="G413" i="2" s="1"/>
  <c r="D413" i="2"/>
  <c r="A417" i="2" l="1"/>
  <c r="Y416" i="2"/>
  <c r="T415" i="2"/>
  <c r="U414" i="2" s="1"/>
  <c r="J415" i="2"/>
  <c r="K414" i="2" s="1"/>
  <c r="N217" i="2"/>
  <c r="P217" i="2"/>
  <c r="O217" i="2"/>
  <c r="Q217" i="2" s="1"/>
  <c r="R415" i="2"/>
  <c r="B416" i="2"/>
  <c r="C415" i="2"/>
  <c r="E414" i="2"/>
  <c r="F414" i="2" s="1"/>
  <c r="G414" i="2" s="1"/>
  <c r="D414" i="2"/>
  <c r="I414" i="2"/>
  <c r="A418" i="2" l="1"/>
  <c r="Y417" i="2"/>
  <c r="J416" i="2"/>
  <c r="K415" i="2" s="1"/>
  <c r="T416" i="2"/>
  <c r="U415" i="2" s="1"/>
  <c r="S217" i="2"/>
  <c r="L217" i="2"/>
  <c r="M217" i="2" s="1"/>
  <c r="H218" i="2" s="1"/>
  <c r="AA217" i="2"/>
  <c r="V217" i="2"/>
  <c r="X217" i="2" s="1"/>
  <c r="E415" i="2"/>
  <c r="F415" i="2" s="1"/>
  <c r="G415" i="2" s="1"/>
  <c r="I415" i="2"/>
  <c r="D415" i="2"/>
  <c r="R416" i="2"/>
  <c r="C416" i="2"/>
  <c r="B417" i="2"/>
  <c r="A419" i="2" l="1"/>
  <c r="Y418" i="2"/>
  <c r="J417" i="2"/>
  <c r="K416" i="2" s="1"/>
  <c r="T417" i="2"/>
  <c r="U416" i="2" s="1"/>
  <c r="N218" i="2"/>
  <c r="O218" i="2"/>
  <c r="Q218" i="2" s="1"/>
  <c r="P218" i="2"/>
  <c r="R417" i="2"/>
  <c r="C417" i="2"/>
  <c r="B418" i="2"/>
  <c r="D416" i="2"/>
  <c r="I416" i="2"/>
  <c r="E416" i="2"/>
  <c r="F416" i="2" s="1"/>
  <c r="G416" i="2" s="1"/>
  <c r="Y419" i="2" l="1"/>
  <c r="A420" i="2"/>
  <c r="J418" i="2"/>
  <c r="K417" i="2" s="1"/>
  <c r="T418" i="2"/>
  <c r="U417" i="2" s="1"/>
  <c r="S218" i="2"/>
  <c r="AA218" i="2"/>
  <c r="L218" i="2"/>
  <c r="M218" i="2" s="1"/>
  <c r="H219" i="2" s="1"/>
  <c r="V218" i="2"/>
  <c r="X218" i="2" s="1"/>
  <c r="R418" i="2"/>
  <c r="C418" i="2"/>
  <c r="B419" i="2"/>
  <c r="D417" i="2"/>
  <c r="I417" i="2"/>
  <c r="E417" i="2"/>
  <c r="F417" i="2" s="1"/>
  <c r="G417" i="2" s="1"/>
  <c r="A421" i="2" l="1"/>
  <c r="Y420" i="2"/>
  <c r="T419" i="2"/>
  <c r="U418" i="2" s="1"/>
  <c r="B420" i="2"/>
  <c r="J419" i="2"/>
  <c r="K418" i="2" s="1"/>
  <c r="N219" i="2"/>
  <c r="P219" i="2"/>
  <c r="O219" i="2"/>
  <c r="Q219" i="2" s="1"/>
  <c r="I418" i="2"/>
  <c r="E418" i="2"/>
  <c r="F418" i="2" s="1"/>
  <c r="G418" i="2" s="1"/>
  <c r="D418" i="2"/>
  <c r="R419" i="2"/>
  <c r="C419" i="2"/>
  <c r="A422" i="2" l="1"/>
  <c r="Y421" i="2"/>
  <c r="T420" i="2"/>
  <c r="U419" i="2" s="1"/>
  <c r="S219" i="2"/>
  <c r="R420" i="2"/>
  <c r="B421" i="2"/>
  <c r="C420" i="2"/>
  <c r="J420" i="2"/>
  <c r="K419" i="2" s="1"/>
  <c r="AA219" i="2"/>
  <c r="V219" i="2"/>
  <c r="X219" i="2" s="1"/>
  <c r="L219" i="2"/>
  <c r="M219" i="2" s="1"/>
  <c r="H220" i="2" s="1"/>
  <c r="E419" i="2"/>
  <c r="F419" i="2" s="1"/>
  <c r="G419" i="2" s="1"/>
  <c r="D419" i="2"/>
  <c r="I419" i="2"/>
  <c r="A423" i="2" l="1"/>
  <c r="Y422" i="2"/>
  <c r="T421" i="2"/>
  <c r="U420" i="2" s="1"/>
  <c r="D420" i="2"/>
  <c r="I420" i="2"/>
  <c r="E420" i="2"/>
  <c r="F420" i="2" s="1"/>
  <c r="G420" i="2" s="1"/>
  <c r="R421" i="2"/>
  <c r="B422" i="2"/>
  <c r="C421" i="2"/>
  <c r="J421" i="2"/>
  <c r="K420" i="2" s="1"/>
  <c r="P220" i="2"/>
  <c r="N220" i="2"/>
  <c r="O220" i="2"/>
  <c r="Q220" i="2" s="1"/>
  <c r="A424" i="2" l="1"/>
  <c r="Y423" i="2"/>
  <c r="T422" i="2"/>
  <c r="U421" i="2" s="1"/>
  <c r="S220" i="2"/>
  <c r="L220" i="2"/>
  <c r="M220" i="2" s="1"/>
  <c r="H221" i="2" s="1"/>
  <c r="D421" i="2"/>
  <c r="I421" i="2"/>
  <c r="E421" i="2"/>
  <c r="F421" i="2" s="1"/>
  <c r="G421" i="2" s="1"/>
  <c r="B423" i="2"/>
  <c r="C422" i="2"/>
  <c r="R422" i="2"/>
  <c r="J422" i="2"/>
  <c r="K421" i="2" s="1"/>
  <c r="AA220" i="2"/>
  <c r="V220" i="2"/>
  <c r="X220" i="2" s="1"/>
  <c r="A425" i="2" l="1"/>
  <c r="Y424" i="2"/>
  <c r="T423" i="2"/>
  <c r="U422" i="2" s="1"/>
  <c r="B424" i="2"/>
  <c r="R423" i="2"/>
  <c r="C423" i="2"/>
  <c r="J423" i="2"/>
  <c r="K422" i="2" s="1"/>
  <c r="D422" i="2"/>
  <c r="E422" i="2"/>
  <c r="F422" i="2" s="1"/>
  <c r="G422" i="2" s="1"/>
  <c r="I422" i="2"/>
  <c r="O221" i="2"/>
  <c r="Q221" i="2" s="1"/>
  <c r="N221" i="2"/>
  <c r="P221" i="2"/>
  <c r="A426" i="2" l="1"/>
  <c r="Y425" i="2"/>
  <c r="T424" i="2"/>
  <c r="U423" i="2" s="1"/>
  <c r="S221" i="2"/>
  <c r="AA221" i="2"/>
  <c r="D423" i="2"/>
  <c r="E423" i="2"/>
  <c r="F423" i="2" s="1"/>
  <c r="G423" i="2" s="1"/>
  <c r="I423" i="2"/>
  <c r="B425" i="2"/>
  <c r="C424" i="2"/>
  <c r="R424" i="2"/>
  <c r="J424" i="2"/>
  <c r="K423" i="2" s="1"/>
  <c r="L221" i="2"/>
  <c r="M221" i="2" s="1"/>
  <c r="H222" i="2" s="1"/>
  <c r="V221" i="2"/>
  <c r="X221" i="2" s="1"/>
  <c r="A427" i="2" l="1"/>
  <c r="Y426" i="2"/>
  <c r="T425" i="2"/>
  <c r="U424" i="2" s="1"/>
  <c r="B426" i="2"/>
  <c r="R425" i="2"/>
  <c r="C425" i="2"/>
  <c r="J425" i="2"/>
  <c r="K424" i="2" s="1"/>
  <c r="D424" i="2"/>
  <c r="E424" i="2"/>
  <c r="F424" i="2" s="1"/>
  <c r="G424" i="2" s="1"/>
  <c r="I424" i="2"/>
  <c r="O222" i="2"/>
  <c r="Q222" i="2" s="1"/>
  <c r="N222" i="2"/>
  <c r="P222" i="2"/>
  <c r="A428" i="2" l="1"/>
  <c r="Y427" i="2"/>
  <c r="T426" i="2"/>
  <c r="U425" i="2" s="1"/>
  <c r="S222" i="2"/>
  <c r="AA222" i="2"/>
  <c r="B427" i="2"/>
  <c r="C426" i="2"/>
  <c r="R426" i="2"/>
  <c r="J426" i="2"/>
  <c r="K425" i="2" s="1"/>
  <c r="I425" i="2"/>
  <c r="E425" i="2"/>
  <c r="F425" i="2" s="1"/>
  <c r="G425" i="2" s="1"/>
  <c r="D425" i="2"/>
  <c r="L222" i="2"/>
  <c r="M222" i="2" s="1"/>
  <c r="H223" i="2" s="1"/>
  <c r="V222" i="2"/>
  <c r="X222" i="2" s="1"/>
  <c r="A429" i="2" l="1"/>
  <c r="Y428" i="2"/>
  <c r="T427" i="2"/>
  <c r="U426" i="2" s="1"/>
  <c r="E426" i="2"/>
  <c r="F426" i="2" s="1"/>
  <c r="G426" i="2" s="1"/>
  <c r="I426" i="2"/>
  <c r="D426" i="2"/>
  <c r="B428" i="2"/>
  <c r="C427" i="2"/>
  <c r="R427" i="2"/>
  <c r="J427" i="2"/>
  <c r="K426" i="2" s="1"/>
  <c r="P223" i="2"/>
  <c r="N223" i="2"/>
  <c r="O223" i="2"/>
  <c r="Q223" i="2" s="1"/>
  <c r="A430" i="2" l="1"/>
  <c r="Y429" i="2"/>
  <c r="T428" i="2"/>
  <c r="U427" i="2" s="1"/>
  <c r="S223" i="2"/>
  <c r="I427" i="2"/>
  <c r="D427" i="2"/>
  <c r="E427" i="2"/>
  <c r="F427" i="2" s="1"/>
  <c r="G427" i="2" s="1"/>
  <c r="B429" i="2"/>
  <c r="C428" i="2"/>
  <c r="R428" i="2"/>
  <c r="J428" i="2"/>
  <c r="K427" i="2" s="1"/>
  <c r="AA223" i="2"/>
  <c r="V223" i="2"/>
  <c r="X223" i="2" s="1"/>
  <c r="L223" i="2"/>
  <c r="M223" i="2" s="1"/>
  <c r="H224" i="2" s="1"/>
  <c r="A431" i="2" l="1"/>
  <c r="Y430" i="2"/>
  <c r="T429" i="2"/>
  <c r="U428" i="2" s="1"/>
  <c r="D428" i="2"/>
  <c r="I428" i="2"/>
  <c r="E428" i="2"/>
  <c r="F428" i="2" s="1"/>
  <c r="G428" i="2" s="1"/>
  <c r="B430" i="2"/>
  <c r="C429" i="2"/>
  <c r="R429" i="2"/>
  <c r="J429" i="2"/>
  <c r="K428" i="2" s="1"/>
  <c r="N224" i="2"/>
  <c r="O224" i="2"/>
  <c r="Q224" i="2" s="1"/>
  <c r="P224" i="2"/>
  <c r="A432" i="2" l="1"/>
  <c r="Y431" i="2"/>
  <c r="T430" i="2"/>
  <c r="U429" i="2" s="1"/>
  <c r="S224" i="2"/>
  <c r="AA224" i="2"/>
  <c r="B431" i="2"/>
  <c r="C430" i="2"/>
  <c r="R430" i="2"/>
  <c r="J430" i="2"/>
  <c r="K429" i="2" s="1"/>
  <c r="D429" i="2"/>
  <c r="I429" i="2"/>
  <c r="E429" i="2"/>
  <c r="F429" i="2" s="1"/>
  <c r="G429" i="2" s="1"/>
  <c r="L224" i="2"/>
  <c r="M224" i="2" s="1"/>
  <c r="H225" i="2" s="1"/>
  <c r="V224" i="2"/>
  <c r="X224" i="2" s="1"/>
  <c r="A433" i="2" l="1"/>
  <c r="Y432" i="2"/>
  <c r="T431" i="2"/>
  <c r="U430" i="2" s="1"/>
  <c r="D430" i="2"/>
  <c r="E430" i="2"/>
  <c r="F430" i="2" s="1"/>
  <c r="G430" i="2" s="1"/>
  <c r="I430" i="2"/>
  <c r="B432" i="2"/>
  <c r="C431" i="2"/>
  <c r="R431" i="2"/>
  <c r="J431" i="2"/>
  <c r="K430" i="2" s="1"/>
  <c r="P225" i="2"/>
  <c r="N225" i="2"/>
  <c r="O225" i="2"/>
  <c r="Q225" i="2" s="1"/>
  <c r="A434" i="2" l="1"/>
  <c r="Y433" i="2"/>
  <c r="T432" i="2"/>
  <c r="U431" i="2" s="1"/>
  <c r="S225" i="2"/>
  <c r="B433" i="2"/>
  <c r="C432" i="2"/>
  <c r="R432" i="2"/>
  <c r="J432" i="2"/>
  <c r="K431" i="2" s="1"/>
  <c r="I431" i="2"/>
  <c r="E431" i="2"/>
  <c r="F431" i="2" s="1"/>
  <c r="G431" i="2" s="1"/>
  <c r="D431" i="2"/>
  <c r="AA225" i="2"/>
  <c r="V225" i="2"/>
  <c r="X225" i="2" s="1"/>
  <c r="L225" i="2"/>
  <c r="M225" i="2" s="1"/>
  <c r="H226" i="2" s="1"/>
  <c r="A435" i="2" l="1"/>
  <c r="Y434" i="2"/>
  <c r="T433" i="2"/>
  <c r="U432" i="2" s="1"/>
  <c r="D432" i="2"/>
  <c r="E432" i="2"/>
  <c r="F432" i="2" s="1"/>
  <c r="G432" i="2" s="1"/>
  <c r="I432" i="2"/>
  <c r="B434" i="2"/>
  <c r="C433" i="2"/>
  <c r="R433" i="2"/>
  <c r="J433" i="2"/>
  <c r="K432" i="2" s="1"/>
  <c r="N226" i="2"/>
  <c r="P226" i="2"/>
  <c r="O226" i="2"/>
  <c r="Q226" i="2" s="1"/>
  <c r="A436" i="2" l="1"/>
  <c r="Y435" i="2"/>
  <c r="T434" i="2"/>
  <c r="U433" i="2" s="1"/>
  <c r="S226" i="2"/>
  <c r="I433" i="2"/>
  <c r="D433" i="2"/>
  <c r="E433" i="2"/>
  <c r="F433" i="2" s="1"/>
  <c r="G433" i="2" s="1"/>
  <c r="B435" i="2"/>
  <c r="C434" i="2"/>
  <c r="R434" i="2"/>
  <c r="J434" i="2"/>
  <c r="K433" i="2" s="1"/>
  <c r="AA226" i="2"/>
  <c r="V226" i="2"/>
  <c r="X226" i="2" s="1"/>
  <c r="L226" i="2"/>
  <c r="M226" i="2" s="1"/>
  <c r="H227" i="2" s="1"/>
  <c r="A437" i="2" l="1"/>
  <c r="Y436" i="2"/>
  <c r="T435" i="2"/>
  <c r="U434" i="2" s="1"/>
  <c r="B436" i="2"/>
  <c r="R435" i="2"/>
  <c r="C435" i="2"/>
  <c r="J435" i="2"/>
  <c r="K434" i="2" s="1"/>
  <c r="E434" i="2"/>
  <c r="F434" i="2" s="1"/>
  <c r="G434" i="2" s="1"/>
  <c r="D434" i="2"/>
  <c r="I434" i="2"/>
  <c r="O227" i="2"/>
  <c r="Q227" i="2" s="1"/>
  <c r="N227" i="2"/>
  <c r="P227" i="2"/>
  <c r="A438" i="2" l="1"/>
  <c r="Y437" i="2"/>
  <c r="T436" i="2"/>
  <c r="U435" i="2" s="1"/>
  <c r="S227" i="2"/>
  <c r="AA227" i="2"/>
  <c r="D435" i="2"/>
  <c r="E435" i="2"/>
  <c r="F435" i="2" s="1"/>
  <c r="G435" i="2" s="1"/>
  <c r="I435" i="2"/>
  <c r="B437" i="2"/>
  <c r="C436" i="2"/>
  <c r="R436" i="2"/>
  <c r="J436" i="2"/>
  <c r="K435" i="2" s="1"/>
  <c r="L227" i="2"/>
  <c r="M227" i="2" s="1"/>
  <c r="H228" i="2" s="1"/>
  <c r="V227" i="2"/>
  <c r="X227" i="2" s="1"/>
  <c r="A439" i="2" l="1"/>
  <c r="Y438" i="2"/>
  <c r="T437" i="2"/>
  <c r="U436" i="2" s="1"/>
  <c r="E436" i="2"/>
  <c r="F436" i="2" s="1"/>
  <c r="G436" i="2" s="1"/>
  <c r="D436" i="2"/>
  <c r="I436" i="2"/>
  <c r="B438" i="2"/>
  <c r="C437" i="2"/>
  <c r="R437" i="2"/>
  <c r="J437" i="2"/>
  <c r="K436" i="2" s="1"/>
  <c r="O228" i="2"/>
  <c r="Q228" i="2" s="1"/>
  <c r="N228" i="2"/>
  <c r="P228" i="2"/>
  <c r="A440" i="2" l="1"/>
  <c r="Y439" i="2"/>
  <c r="T438" i="2"/>
  <c r="U437" i="2" s="1"/>
  <c r="S228" i="2"/>
  <c r="AA228" i="2"/>
  <c r="L228" i="2"/>
  <c r="M228" i="2" s="1"/>
  <c r="H229" i="2" s="1"/>
  <c r="D437" i="2"/>
  <c r="I437" i="2"/>
  <c r="E437" i="2"/>
  <c r="F437" i="2" s="1"/>
  <c r="G437" i="2" s="1"/>
  <c r="B439" i="2"/>
  <c r="R438" i="2"/>
  <c r="C438" i="2"/>
  <c r="J438" i="2"/>
  <c r="K437" i="2" s="1"/>
  <c r="V228" i="2"/>
  <c r="X228" i="2" s="1"/>
  <c r="A441" i="2" l="1"/>
  <c r="Y440" i="2"/>
  <c r="T439" i="2"/>
  <c r="U438" i="2" s="1"/>
  <c r="D438" i="2"/>
  <c r="E438" i="2"/>
  <c r="F438" i="2" s="1"/>
  <c r="G438" i="2" s="1"/>
  <c r="I438" i="2"/>
  <c r="B440" i="2"/>
  <c r="C439" i="2"/>
  <c r="R439" i="2"/>
  <c r="J439" i="2"/>
  <c r="K438" i="2" s="1"/>
  <c r="P229" i="2"/>
  <c r="O229" i="2"/>
  <c r="Q229" i="2" s="1"/>
  <c r="N229" i="2"/>
  <c r="A442" i="2" l="1"/>
  <c r="Y441" i="2"/>
  <c r="T440" i="2"/>
  <c r="U439" i="2" s="1"/>
  <c r="S229" i="2"/>
  <c r="L229" i="2"/>
  <c r="M229" i="2" s="1"/>
  <c r="H230" i="2" s="1"/>
  <c r="B441" i="2"/>
  <c r="R440" i="2"/>
  <c r="C440" i="2"/>
  <c r="J440" i="2"/>
  <c r="K439" i="2" s="1"/>
  <c r="AA229" i="2"/>
  <c r="D439" i="2"/>
  <c r="E439" i="2"/>
  <c r="F439" i="2" s="1"/>
  <c r="G439" i="2" s="1"/>
  <c r="I439" i="2"/>
  <c r="V229" i="2"/>
  <c r="X229" i="2" s="1"/>
  <c r="A443" i="2" l="1"/>
  <c r="Y442" i="2"/>
  <c r="T441" i="2"/>
  <c r="U440" i="2" s="1"/>
  <c r="I440" i="2"/>
  <c r="D440" i="2"/>
  <c r="E440" i="2"/>
  <c r="F440" i="2" s="1"/>
  <c r="G440" i="2" s="1"/>
  <c r="B442" i="2"/>
  <c r="C441" i="2"/>
  <c r="R441" i="2"/>
  <c r="J441" i="2"/>
  <c r="K440" i="2" s="1"/>
  <c r="O230" i="2"/>
  <c r="Q230" i="2" s="1"/>
  <c r="N230" i="2"/>
  <c r="P230" i="2"/>
  <c r="A444" i="2" l="1"/>
  <c r="Y443" i="2"/>
  <c r="T442" i="2"/>
  <c r="U441" i="2" s="1"/>
  <c r="S230" i="2"/>
  <c r="AA230" i="2"/>
  <c r="B443" i="2"/>
  <c r="C442" i="2"/>
  <c r="R442" i="2"/>
  <c r="J442" i="2"/>
  <c r="K441" i="2" s="1"/>
  <c r="I441" i="2"/>
  <c r="E441" i="2"/>
  <c r="F441" i="2" s="1"/>
  <c r="G441" i="2" s="1"/>
  <c r="D441" i="2"/>
  <c r="L230" i="2"/>
  <c r="M230" i="2" s="1"/>
  <c r="H231" i="2" s="1"/>
  <c r="V230" i="2"/>
  <c r="X230" i="2" s="1"/>
  <c r="A445" i="2" l="1"/>
  <c r="Y444" i="2"/>
  <c r="T443" i="2"/>
  <c r="U442" i="2" s="1"/>
  <c r="E442" i="2"/>
  <c r="F442" i="2" s="1"/>
  <c r="G442" i="2" s="1"/>
  <c r="I442" i="2"/>
  <c r="D442" i="2"/>
  <c r="B444" i="2"/>
  <c r="R443" i="2"/>
  <c r="C443" i="2"/>
  <c r="J443" i="2"/>
  <c r="K442" i="2" s="1"/>
  <c r="O231" i="2"/>
  <c r="Q231" i="2" s="1"/>
  <c r="N231" i="2"/>
  <c r="P231" i="2"/>
  <c r="A446" i="2" l="1"/>
  <c r="Y445" i="2"/>
  <c r="T444" i="2"/>
  <c r="U443" i="2" s="1"/>
  <c r="S231" i="2"/>
  <c r="AA231" i="2"/>
  <c r="E443" i="2"/>
  <c r="F443" i="2" s="1"/>
  <c r="G443" i="2" s="1"/>
  <c r="I443" i="2"/>
  <c r="D443" i="2"/>
  <c r="B445" i="2"/>
  <c r="C444" i="2"/>
  <c r="R444" i="2"/>
  <c r="J444" i="2"/>
  <c r="K443" i="2" s="1"/>
  <c r="V231" i="2"/>
  <c r="X231" i="2" s="1"/>
  <c r="L231" i="2"/>
  <c r="M231" i="2" s="1"/>
  <c r="H232" i="2" s="1"/>
  <c r="A447" i="2" l="1"/>
  <c r="Y446" i="2"/>
  <c r="T445" i="2"/>
  <c r="U444" i="2" s="1"/>
  <c r="E444" i="2"/>
  <c r="F444" i="2" s="1"/>
  <c r="G444" i="2" s="1"/>
  <c r="D444" i="2"/>
  <c r="I444" i="2"/>
  <c r="B446" i="2"/>
  <c r="C445" i="2"/>
  <c r="R445" i="2"/>
  <c r="J445" i="2"/>
  <c r="K444" i="2" s="1"/>
  <c r="N232" i="2"/>
  <c r="P232" i="2"/>
  <c r="O232" i="2"/>
  <c r="Q232" i="2" s="1"/>
  <c r="A448" i="2" l="1"/>
  <c r="Y447" i="2"/>
  <c r="T446" i="2"/>
  <c r="U445" i="2" s="1"/>
  <c r="S232" i="2"/>
  <c r="B447" i="2"/>
  <c r="R446" i="2"/>
  <c r="C446" i="2"/>
  <c r="J446" i="2"/>
  <c r="K445" i="2" s="1"/>
  <c r="E445" i="2"/>
  <c r="F445" i="2" s="1"/>
  <c r="G445" i="2" s="1"/>
  <c r="D445" i="2"/>
  <c r="I445" i="2"/>
  <c r="AA232" i="2"/>
  <c r="L232" i="2"/>
  <c r="M232" i="2" s="1"/>
  <c r="H233" i="2" s="1"/>
  <c r="V232" i="2"/>
  <c r="X232" i="2" s="1"/>
  <c r="A449" i="2" l="1"/>
  <c r="Y448" i="2"/>
  <c r="T447" i="2"/>
  <c r="U446" i="2" s="1"/>
  <c r="D446" i="2"/>
  <c r="I446" i="2"/>
  <c r="E446" i="2"/>
  <c r="F446" i="2" s="1"/>
  <c r="G446" i="2" s="1"/>
  <c r="B448" i="2"/>
  <c r="C447" i="2"/>
  <c r="R447" i="2"/>
  <c r="J447" i="2"/>
  <c r="K446" i="2" s="1"/>
  <c r="N233" i="2"/>
  <c r="P233" i="2"/>
  <c r="O233" i="2"/>
  <c r="Q233" i="2" s="1"/>
  <c r="A450" i="2" l="1"/>
  <c r="Y449" i="2"/>
  <c r="T448" i="2"/>
  <c r="U447" i="2" s="1"/>
  <c r="S233" i="2"/>
  <c r="D447" i="2"/>
  <c r="E447" i="2"/>
  <c r="F447" i="2" s="1"/>
  <c r="G447" i="2" s="1"/>
  <c r="I447" i="2"/>
  <c r="B449" i="2"/>
  <c r="R448" i="2"/>
  <c r="C448" i="2"/>
  <c r="J448" i="2"/>
  <c r="K447" i="2" s="1"/>
  <c r="AA233" i="2"/>
  <c r="L233" i="2"/>
  <c r="M233" i="2" s="1"/>
  <c r="H234" i="2" s="1"/>
  <c r="V233" i="2"/>
  <c r="X233" i="2" s="1"/>
  <c r="A451" i="2" l="1"/>
  <c r="Y450" i="2"/>
  <c r="T449" i="2"/>
  <c r="U448" i="2" s="1"/>
  <c r="D448" i="2"/>
  <c r="E448" i="2"/>
  <c r="F448" i="2" s="1"/>
  <c r="G448" i="2" s="1"/>
  <c r="I448" i="2"/>
  <c r="B450" i="2"/>
  <c r="C449" i="2"/>
  <c r="R449" i="2"/>
  <c r="J449" i="2"/>
  <c r="K448" i="2" s="1"/>
  <c r="N234" i="2"/>
  <c r="O234" i="2"/>
  <c r="Q234" i="2" s="1"/>
  <c r="P234" i="2"/>
  <c r="A452" i="2" l="1"/>
  <c r="Y451" i="2"/>
  <c r="T450" i="2"/>
  <c r="U449" i="2" s="1"/>
  <c r="S234" i="2"/>
  <c r="AA234" i="2"/>
  <c r="D449" i="2"/>
  <c r="I449" i="2"/>
  <c r="E449" i="2"/>
  <c r="F449" i="2" s="1"/>
  <c r="G449" i="2" s="1"/>
  <c r="B451" i="2"/>
  <c r="C450" i="2"/>
  <c r="R450" i="2"/>
  <c r="J450" i="2"/>
  <c r="K449" i="2" s="1"/>
  <c r="L234" i="2"/>
  <c r="M234" i="2" s="1"/>
  <c r="H235" i="2" s="1"/>
  <c r="V234" i="2"/>
  <c r="X234" i="2" s="1"/>
  <c r="A453" i="2" l="1"/>
  <c r="Y452" i="2"/>
  <c r="T451" i="2"/>
  <c r="U450" i="2" s="1"/>
  <c r="B452" i="2"/>
  <c r="C451" i="2"/>
  <c r="R451" i="2"/>
  <c r="J451" i="2"/>
  <c r="K450" i="2" s="1"/>
  <c r="D450" i="2"/>
  <c r="E450" i="2"/>
  <c r="F450" i="2" s="1"/>
  <c r="G450" i="2" s="1"/>
  <c r="I450" i="2"/>
  <c r="O235" i="2"/>
  <c r="Q235" i="2" s="1"/>
  <c r="N235" i="2"/>
  <c r="P235" i="2"/>
  <c r="A454" i="2" l="1"/>
  <c r="Y453" i="2"/>
  <c r="T452" i="2"/>
  <c r="U451" i="2" s="1"/>
  <c r="S235" i="2"/>
  <c r="AA235" i="2"/>
  <c r="D451" i="2"/>
  <c r="E451" i="2"/>
  <c r="F451" i="2" s="1"/>
  <c r="G451" i="2" s="1"/>
  <c r="I451" i="2"/>
  <c r="B453" i="2"/>
  <c r="C452" i="2"/>
  <c r="R452" i="2"/>
  <c r="J452" i="2"/>
  <c r="K451" i="2" s="1"/>
  <c r="V235" i="2"/>
  <c r="X235" i="2" s="1"/>
  <c r="L235" i="2"/>
  <c r="M235" i="2" s="1"/>
  <c r="H236" i="2" s="1"/>
  <c r="A455" i="2" l="1"/>
  <c r="Y454" i="2"/>
  <c r="T453" i="2"/>
  <c r="U452" i="2" s="1"/>
  <c r="D452" i="2"/>
  <c r="E452" i="2"/>
  <c r="I452" i="2"/>
  <c r="B454" i="2"/>
  <c r="C453" i="2"/>
  <c r="R453" i="2"/>
  <c r="J453" i="2"/>
  <c r="K452" i="2" s="1"/>
  <c r="N236" i="2"/>
  <c r="O236" i="2"/>
  <c r="Q236" i="2" s="1"/>
  <c r="P236" i="2"/>
  <c r="Y455" i="2" l="1"/>
  <c r="A456" i="2"/>
  <c r="F452" i="2"/>
  <c r="G452" i="2" s="1"/>
  <c r="T454" i="2"/>
  <c r="U453" i="2" s="1"/>
  <c r="S236" i="2"/>
  <c r="AA236" i="2"/>
  <c r="B455" i="2"/>
  <c r="C454" i="2"/>
  <c r="R454" i="2"/>
  <c r="J454" i="2"/>
  <c r="K453" i="2" s="1"/>
  <c r="E453" i="2"/>
  <c r="F453" i="2" s="1"/>
  <c r="G453" i="2" s="1"/>
  <c r="I453" i="2"/>
  <c r="D453" i="2"/>
  <c r="V236" i="2"/>
  <c r="X236" i="2" s="1"/>
  <c r="L236" i="2"/>
  <c r="M236" i="2" s="1"/>
  <c r="H237" i="2" s="1"/>
  <c r="A457" i="2" l="1"/>
  <c r="Y456" i="2"/>
  <c r="T455" i="2"/>
  <c r="U454" i="2" s="1"/>
  <c r="D454" i="2"/>
  <c r="E454" i="2"/>
  <c r="F454" i="2" s="1"/>
  <c r="G454" i="2" s="1"/>
  <c r="I454" i="2"/>
  <c r="C455" i="2"/>
  <c r="B456" i="2"/>
  <c r="R455" i="2"/>
  <c r="J455" i="2"/>
  <c r="K454" i="2" s="1"/>
  <c r="N237" i="2"/>
  <c r="P237" i="2"/>
  <c r="O237" i="2"/>
  <c r="Q237" i="2" s="1"/>
  <c r="A458" i="2" l="1"/>
  <c r="Y457" i="2"/>
  <c r="T456" i="2"/>
  <c r="U455" i="2" s="1"/>
  <c r="S237" i="2"/>
  <c r="D455" i="2"/>
  <c r="I455" i="2"/>
  <c r="E455" i="2"/>
  <c r="F455" i="2" s="1"/>
  <c r="G455" i="2" s="1"/>
  <c r="B457" i="2"/>
  <c r="C456" i="2"/>
  <c r="R456" i="2"/>
  <c r="J456" i="2"/>
  <c r="K455" i="2" s="1"/>
  <c r="AA237" i="2"/>
  <c r="V237" i="2"/>
  <c r="X237" i="2" s="1"/>
  <c r="L237" i="2"/>
  <c r="M237" i="2" s="1"/>
  <c r="H238" i="2" s="1"/>
  <c r="A459" i="2" l="1"/>
  <c r="Y458" i="2"/>
  <c r="T457" i="2"/>
  <c r="U456" i="2" s="1"/>
  <c r="B458" i="2"/>
  <c r="R457" i="2"/>
  <c r="C457" i="2"/>
  <c r="J457" i="2"/>
  <c r="K456" i="2" s="1"/>
  <c r="D456" i="2"/>
  <c r="E456" i="2"/>
  <c r="F456" i="2" s="1"/>
  <c r="G456" i="2" s="1"/>
  <c r="I456" i="2"/>
  <c r="N238" i="2"/>
  <c r="P238" i="2"/>
  <c r="O238" i="2"/>
  <c r="Q238" i="2" s="1"/>
  <c r="A460" i="2" l="1"/>
  <c r="Y459" i="2"/>
  <c r="T458" i="2"/>
  <c r="U457" i="2" s="1"/>
  <c r="S238" i="2"/>
  <c r="L238" i="2"/>
  <c r="M238" i="2" s="1"/>
  <c r="H239" i="2" s="1"/>
  <c r="AA238" i="2"/>
  <c r="D457" i="2"/>
  <c r="E457" i="2"/>
  <c r="F457" i="2" s="1"/>
  <c r="G457" i="2" s="1"/>
  <c r="I457" i="2"/>
  <c r="B459" i="2"/>
  <c r="R458" i="2"/>
  <c r="C458" i="2"/>
  <c r="J458" i="2"/>
  <c r="K457" i="2" s="1"/>
  <c r="V238" i="2"/>
  <c r="X238" i="2" s="1"/>
  <c r="A461" i="2" l="1"/>
  <c r="Y460" i="2"/>
  <c r="T459" i="2"/>
  <c r="U458" i="2" s="1"/>
  <c r="D458" i="2"/>
  <c r="I458" i="2"/>
  <c r="E458" i="2"/>
  <c r="F458" i="2" s="1"/>
  <c r="G458" i="2" s="1"/>
  <c r="B460" i="2"/>
  <c r="R459" i="2"/>
  <c r="C459" i="2"/>
  <c r="J459" i="2"/>
  <c r="K458" i="2" s="1"/>
  <c r="N239" i="2"/>
  <c r="P239" i="2"/>
  <c r="O239" i="2"/>
  <c r="Q239" i="2" s="1"/>
  <c r="A462" i="2" l="1"/>
  <c r="Y461" i="2"/>
  <c r="T460" i="2"/>
  <c r="U459" i="2" s="1"/>
  <c r="S239" i="2"/>
  <c r="D459" i="2"/>
  <c r="I459" i="2"/>
  <c r="E459" i="2"/>
  <c r="F459" i="2" s="1"/>
  <c r="G459" i="2" s="1"/>
  <c r="B461" i="2"/>
  <c r="R460" i="2"/>
  <c r="C460" i="2"/>
  <c r="J460" i="2"/>
  <c r="AA239" i="2"/>
  <c r="V239" i="2"/>
  <c r="X239" i="2" s="1"/>
  <c r="L239" i="2"/>
  <c r="M239" i="2" s="1"/>
  <c r="H240" i="2" s="1"/>
  <c r="A463" i="2" l="1"/>
  <c r="Y462" i="2"/>
  <c r="T461" i="2"/>
  <c r="U460" i="2" s="1"/>
  <c r="K459" i="2"/>
  <c r="D460" i="2"/>
  <c r="E460" i="2"/>
  <c r="F460" i="2" s="1"/>
  <c r="G460" i="2" s="1"/>
  <c r="I460" i="2"/>
  <c r="B462" i="2"/>
  <c r="C461" i="2"/>
  <c r="R461" i="2"/>
  <c r="J461" i="2"/>
  <c r="P240" i="2"/>
  <c r="O240" i="2"/>
  <c r="Q240" i="2" s="1"/>
  <c r="N240" i="2"/>
  <c r="A464" i="2" l="1"/>
  <c r="Y463" i="2"/>
  <c r="T462" i="2"/>
  <c r="U461" i="2" s="1"/>
  <c r="S240" i="2"/>
  <c r="K460" i="2"/>
  <c r="I461" i="2"/>
  <c r="E461" i="2"/>
  <c r="F461" i="2" s="1"/>
  <c r="G461" i="2" s="1"/>
  <c r="D461" i="2"/>
  <c r="B463" i="2"/>
  <c r="C462" i="2"/>
  <c r="R462" i="2"/>
  <c r="J462" i="2"/>
  <c r="K461" i="2" s="1"/>
  <c r="AA240" i="2"/>
  <c r="V240" i="2"/>
  <c r="X240" i="2" s="1"/>
  <c r="L240" i="2"/>
  <c r="M240" i="2" s="1"/>
  <c r="H241" i="2" s="1"/>
  <c r="A465" i="2" l="1"/>
  <c r="Y464" i="2"/>
  <c r="T463" i="2"/>
  <c r="U462" i="2" s="1"/>
  <c r="I462" i="2"/>
  <c r="E462" i="2"/>
  <c r="F462" i="2" s="1"/>
  <c r="G462" i="2" s="1"/>
  <c r="D462" i="2"/>
  <c r="B464" i="2"/>
  <c r="C463" i="2"/>
  <c r="R463" i="2"/>
  <c r="J463" i="2"/>
  <c r="N241" i="2"/>
  <c r="P241" i="2"/>
  <c r="O241" i="2"/>
  <c r="Q241" i="2" s="1"/>
  <c r="A466" i="2" l="1"/>
  <c r="Y465" i="2"/>
  <c r="T464" i="2"/>
  <c r="U463" i="2" s="1"/>
  <c r="S241" i="2"/>
  <c r="K462" i="2"/>
  <c r="L241" i="2"/>
  <c r="M241" i="2" s="1"/>
  <c r="H242" i="2" s="1"/>
  <c r="AA241" i="2"/>
  <c r="I463" i="2"/>
  <c r="E463" i="2"/>
  <c r="F463" i="2" s="1"/>
  <c r="G463" i="2" s="1"/>
  <c r="D463" i="2"/>
  <c r="B465" i="2"/>
  <c r="C464" i="2"/>
  <c r="R464" i="2"/>
  <c r="J464" i="2"/>
  <c r="V241" i="2"/>
  <c r="X241" i="2" s="1"/>
  <c r="A467" i="2" l="1"/>
  <c r="Y466" i="2"/>
  <c r="T465" i="2"/>
  <c r="U464" i="2" s="1"/>
  <c r="K463" i="2"/>
  <c r="I464" i="2"/>
  <c r="D464" i="2"/>
  <c r="E464" i="2"/>
  <c r="F464" i="2" s="1"/>
  <c r="G464" i="2" s="1"/>
  <c r="B466" i="2"/>
  <c r="R465" i="2"/>
  <c r="C465" i="2"/>
  <c r="J465" i="2"/>
  <c r="N242" i="2"/>
  <c r="P242" i="2"/>
  <c r="O242" i="2"/>
  <c r="Q242" i="2" s="1"/>
  <c r="A468" i="2" l="1"/>
  <c r="Y467" i="2"/>
  <c r="T466" i="2"/>
  <c r="U465" i="2" s="1"/>
  <c r="S242" i="2"/>
  <c r="K464" i="2"/>
  <c r="B467" i="2"/>
  <c r="R466" i="2"/>
  <c r="C466" i="2"/>
  <c r="J466" i="2"/>
  <c r="K465" i="2" s="1"/>
  <c r="D465" i="2"/>
  <c r="I465" i="2"/>
  <c r="E465" i="2"/>
  <c r="AA242" i="2"/>
  <c r="V242" i="2"/>
  <c r="X242" i="2" s="1"/>
  <c r="L242" i="2"/>
  <c r="M242" i="2" s="1"/>
  <c r="H243" i="2" s="1"/>
  <c r="A469" i="2" l="1"/>
  <c r="Y468" i="2"/>
  <c r="T467" i="2"/>
  <c r="U466" i="2" s="1"/>
  <c r="F465" i="2"/>
  <c r="G465" i="2" s="1"/>
  <c r="D466" i="2"/>
  <c r="I466" i="2"/>
  <c r="E466" i="2"/>
  <c r="F466" i="2" s="1"/>
  <c r="G466" i="2" s="1"/>
  <c r="B468" i="2"/>
  <c r="R467" i="2"/>
  <c r="C467" i="2"/>
  <c r="J467" i="2"/>
  <c r="P243" i="2"/>
  <c r="N243" i="2"/>
  <c r="O243" i="2"/>
  <c r="Q243" i="2" s="1"/>
  <c r="A470" i="2" l="1"/>
  <c r="Y469" i="2"/>
  <c r="T468" i="2"/>
  <c r="U467" i="2" s="1"/>
  <c r="S243" i="2"/>
  <c r="K466" i="2"/>
  <c r="D467" i="2"/>
  <c r="I467" i="2"/>
  <c r="E467" i="2"/>
  <c r="AA243" i="2"/>
  <c r="B469" i="2"/>
  <c r="R468" i="2"/>
  <c r="C468" i="2"/>
  <c r="J468" i="2"/>
  <c r="V243" i="2"/>
  <c r="X243" i="2" s="1"/>
  <c r="L243" i="2"/>
  <c r="M243" i="2" s="1"/>
  <c r="H244" i="2" s="1"/>
  <c r="A471" i="2" l="1"/>
  <c r="Y470" i="2"/>
  <c r="T469" i="2"/>
  <c r="U468" i="2" s="1"/>
  <c r="F467" i="2"/>
  <c r="G467" i="2" s="1"/>
  <c r="K467" i="2"/>
  <c r="E468" i="2"/>
  <c r="F468" i="2" s="1"/>
  <c r="G468" i="2" s="1"/>
  <c r="I468" i="2"/>
  <c r="D468" i="2"/>
  <c r="B470" i="2"/>
  <c r="C469" i="2"/>
  <c r="R469" i="2"/>
  <c r="J469" i="2"/>
  <c r="O244" i="2"/>
  <c r="Q244" i="2" s="1"/>
  <c r="P244" i="2"/>
  <c r="N244" i="2"/>
  <c r="A472" i="2" l="1"/>
  <c r="Y471" i="2"/>
  <c r="T470" i="2"/>
  <c r="U469" i="2" s="1"/>
  <c r="S244" i="2"/>
  <c r="AA244" i="2"/>
  <c r="K468" i="2"/>
  <c r="L244" i="2"/>
  <c r="M244" i="2" s="1"/>
  <c r="H245" i="2" s="1"/>
  <c r="I469" i="2"/>
  <c r="E469" i="2"/>
  <c r="F469" i="2" s="1"/>
  <c r="G469" i="2" s="1"/>
  <c r="D469" i="2"/>
  <c r="B471" i="2"/>
  <c r="C470" i="2"/>
  <c r="R470" i="2"/>
  <c r="J470" i="2"/>
  <c r="K469" i="2" s="1"/>
  <c r="V244" i="2"/>
  <c r="X244" i="2" s="1"/>
  <c r="A473" i="2" l="1"/>
  <c r="Y472" i="2"/>
  <c r="T471" i="2"/>
  <c r="U470" i="2" s="1"/>
  <c r="I470" i="2"/>
  <c r="E470" i="2"/>
  <c r="F470" i="2" s="1"/>
  <c r="G470" i="2" s="1"/>
  <c r="D470" i="2"/>
  <c r="B472" i="2"/>
  <c r="C471" i="2"/>
  <c r="R471" i="2"/>
  <c r="J471" i="2"/>
  <c r="K470" i="2" s="1"/>
  <c r="P245" i="2"/>
  <c r="O245" i="2"/>
  <c r="Q245" i="2" s="1"/>
  <c r="N245" i="2"/>
  <c r="A474" i="2" l="1"/>
  <c r="Y473" i="2"/>
  <c r="T472" i="2"/>
  <c r="U471" i="2" s="1"/>
  <c r="S245" i="2"/>
  <c r="I471" i="2"/>
  <c r="E471" i="2"/>
  <c r="F471" i="2" s="1"/>
  <c r="G471" i="2" s="1"/>
  <c r="D471" i="2"/>
  <c r="B473" i="2"/>
  <c r="R472" i="2"/>
  <c r="C472" i="2"/>
  <c r="J472" i="2"/>
  <c r="AA245" i="2"/>
  <c r="L245" i="2"/>
  <c r="M245" i="2" s="1"/>
  <c r="H246" i="2" s="1"/>
  <c r="V245" i="2"/>
  <c r="X245" i="2" s="1"/>
  <c r="A475" i="2" l="1"/>
  <c r="Y474" i="2"/>
  <c r="T473" i="2"/>
  <c r="U472" i="2" s="1"/>
  <c r="K471" i="2"/>
  <c r="D472" i="2"/>
  <c r="I472" i="2"/>
  <c r="E472" i="2"/>
  <c r="F472" i="2" s="1"/>
  <c r="G472" i="2" s="1"/>
  <c r="B474" i="2"/>
  <c r="R473" i="2"/>
  <c r="C473" i="2"/>
  <c r="J473" i="2"/>
  <c r="K472" i="2" s="1"/>
  <c r="O246" i="2"/>
  <c r="Q246" i="2" s="1"/>
  <c r="P246" i="2"/>
  <c r="N246" i="2"/>
  <c r="A476" i="2" l="1"/>
  <c r="Y475" i="2"/>
  <c r="T474" i="2"/>
  <c r="U473" i="2" s="1"/>
  <c r="S246" i="2"/>
  <c r="AA246" i="2"/>
  <c r="B475" i="2"/>
  <c r="R474" i="2"/>
  <c r="C474" i="2"/>
  <c r="J474" i="2"/>
  <c r="K473" i="2" s="1"/>
  <c r="D473" i="2"/>
  <c r="E473" i="2"/>
  <c r="I473" i="2"/>
  <c r="L246" i="2"/>
  <c r="M246" i="2" s="1"/>
  <c r="H247" i="2" s="1"/>
  <c r="V246" i="2"/>
  <c r="X246" i="2" s="1"/>
  <c r="A477" i="2" l="1"/>
  <c r="Y476" i="2"/>
  <c r="T475" i="2"/>
  <c r="U474" i="2" s="1"/>
  <c r="F473" i="2"/>
  <c r="G473" i="2" s="1"/>
  <c r="B476" i="2"/>
  <c r="R475" i="2"/>
  <c r="C475" i="2"/>
  <c r="J475" i="2"/>
  <c r="D474" i="2"/>
  <c r="I474" i="2"/>
  <c r="E474" i="2"/>
  <c r="F474" i="2" s="1"/>
  <c r="G474" i="2" s="1"/>
  <c r="N247" i="2"/>
  <c r="O247" i="2"/>
  <c r="Q247" i="2" s="1"/>
  <c r="P247" i="2"/>
  <c r="A478" i="2" l="1"/>
  <c r="Y477" i="2"/>
  <c r="T476" i="2"/>
  <c r="U475" i="2" s="1"/>
  <c r="S247" i="2"/>
  <c r="K474" i="2"/>
  <c r="AA247" i="2"/>
  <c r="D475" i="2"/>
  <c r="I475" i="2"/>
  <c r="E475" i="2"/>
  <c r="F475" i="2" s="1"/>
  <c r="G475" i="2" s="1"/>
  <c r="B477" i="2"/>
  <c r="C476" i="2"/>
  <c r="R476" i="2"/>
  <c r="J476" i="2"/>
  <c r="K475" i="2" s="1"/>
  <c r="V247" i="2"/>
  <c r="X247" i="2" s="1"/>
  <c r="L247" i="2"/>
  <c r="M247" i="2" s="1"/>
  <c r="H248" i="2" s="1"/>
  <c r="A479" i="2" l="1"/>
  <c r="Y478" i="2"/>
  <c r="T477" i="2"/>
  <c r="U476" i="2" s="1"/>
  <c r="B478" i="2"/>
  <c r="C477" i="2"/>
  <c r="R477" i="2"/>
  <c r="J477" i="2"/>
  <c r="D476" i="2"/>
  <c r="E476" i="2"/>
  <c r="I476" i="2"/>
  <c r="O248" i="2"/>
  <c r="Q248" i="2" s="1"/>
  <c r="N248" i="2"/>
  <c r="P248" i="2"/>
  <c r="A480" i="2" l="1"/>
  <c r="Y479" i="2"/>
  <c r="T478" i="2"/>
  <c r="U477" i="2" s="1"/>
  <c r="S248" i="2"/>
  <c r="AA248" i="2"/>
  <c r="F476" i="2"/>
  <c r="G476" i="2" s="1"/>
  <c r="K476" i="2"/>
  <c r="I477" i="2"/>
  <c r="E477" i="2"/>
  <c r="F477" i="2" s="1"/>
  <c r="G477" i="2" s="1"/>
  <c r="D477" i="2"/>
  <c r="B479" i="2"/>
  <c r="C478" i="2"/>
  <c r="R478" i="2"/>
  <c r="J478" i="2"/>
  <c r="K477" i="2" s="1"/>
  <c r="V248" i="2"/>
  <c r="X248" i="2" s="1"/>
  <c r="L248" i="2"/>
  <c r="M248" i="2" s="1"/>
  <c r="H249" i="2" s="1"/>
  <c r="A481" i="2" l="1"/>
  <c r="Y480" i="2"/>
  <c r="T479" i="2"/>
  <c r="U478" i="2" s="1"/>
  <c r="B480" i="2"/>
  <c r="C479" i="2"/>
  <c r="R479" i="2"/>
  <c r="J479" i="2"/>
  <c r="K478" i="2" s="1"/>
  <c r="I478" i="2"/>
  <c r="E478" i="2"/>
  <c r="F478" i="2" s="1"/>
  <c r="G478" i="2" s="1"/>
  <c r="D478" i="2"/>
  <c r="O249" i="2"/>
  <c r="Q249" i="2" s="1"/>
  <c r="N249" i="2"/>
  <c r="P249" i="2"/>
  <c r="A482" i="2" l="1"/>
  <c r="Y481" i="2"/>
  <c r="T480" i="2"/>
  <c r="U479" i="2" s="1"/>
  <c r="S249" i="2"/>
  <c r="AA249" i="2"/>
  <c r="I479" i="2"/>
  <c r="E479" i="2"/>
  <c r="F479" i="2" s="1"/>
  <c r="G479" i="2" s="1"/>
  <c r="D479" i="2"/>
  <c r="B481" i="2"/>
  <c r="R480" i="2"/>
  <c r="C480" i="2"/>
  <c r="J480" i="2"/>
  <c r="K479" i="2" s="1"/>
  <c r="V249" i="2"/>
  <c r="X249" i="2" s="1"/>
  <c r="L249" i="2"/>
  <c r="M249" i="2" s="1"/>
  <c r="H250" i="2" s="1"/>
  <c r="A483" i="2" l="1"/>
  <c r="Y482" i="2"/>
  <c r="T481" i="2"/>
  <c r="U480" i="2" s="1"/>
  <c r="D480" i="2"/>
  <c r="E480" i="2"/>
  <c r="F480" i="2" s="1"/>
  <c r="G480" i="2" s="1"/>
  <c r="I480" i="2"/>
  <c r="B482" i="2"/>
  <c r="R481" i="2"/>
  <c r="C481" i="2"/>
  <c r="J481" i="2"/>
  <c r="O250" i="2"/>
  <c r="Q250" i="2" s="1"/>
  <c r="P250" i="2"/>
  <c r="N250" i="2"/>
  <c r="A484" i="2" l="1"/>
  <c r="Y483" i="2"/>
  <c r="T482" i="2"/>
  <c r="U481" i="2" s="1"/>
  <c r="S250" i="2"/>
  <c r="K480" i="2"/>
  <c r="AA250" i="2"/>
  <c r="B483" i="2"/>
  <c r="R482" i="2"/>
  <c r="C482" i="2"/>
  <c r="J482" i="2"/>
  <c r="D481" i="2"/>
  <c r="E481" i="2"/>
  <c r="I481" i="2"/>
  <c r="V250" i="2"/>
  <c r="X250" i="2" s="1"/>
  <c r="L250" i="2"/>
  <c r="M250" i="2" s="1"/>
  <c r="H251" i="2" s="1"/>
  <c r="A485" i="2" l="1"/>
  <c r="Y484" i="2"/>
  <c r="F481" i="2"/>
  <c r="G481" i="2" s="1"/>
  <c r="T483" i="2"/>
  <c r="U482" i="2" s="1"/>
  <c r="K481" i="2"/>
  <c r="D482" i="2"/>
  <c r="I482" i="2"/>
  <c r="E482" i="2"/>
  <c r="F482" i="2" s="1"/>
  <c r="G482" i="2" s="1"/>
  <c r="B484" i="2"/>
  <c r="R483" i="2"/>
  <c r="C483" i="2"/>
  <c r="J483" i="2"/>
  <c r="K482" i="2" s="1"/>
  <c r="O251" i="2"/>
  <c r="Q251" i="2" s="1"/>
  <c r="N251" i="2"/>
  <c r="P251" i="2"/>
  <c r="A486" i="2" l="1"/>
  <c r="Y485" i="2"/>
  <c r="T484" i="2"/>
  <c r="U483" i="2" s="1"/>
  <c r="S251" i="2"/>
  <c r="AA251" i="2"/>
  <c r="D483" i="2"/>
  <c r="I483" i="2"/>
  <c r="E483" i="2"/>
  <c r="B485" i="2"/>
  <c r="R484" i="2"/>
  <c r="C484" i="2"/>
  <c r="J484" i="2"/>
  <c r="K483" i="2" s="1"/>
  <c r="L251" i="2"/>
  <c r="M251" i="2" s="1"/>
  <c r="H252" i="2" s="1"/>
  <c r="V251" i="2"/>
  <c r="X251" i="2" s="1"/>
  <c r="A487" i="2" l="1"/>
  <c r="Y486" i="2"/>
  <c r="T485" i="2"/>
  <c r="U484" i="2" s="1"/>
  <c r="F483" i="2"/>
  <c r="G483" i="2" s="1"/>
  <c r="I484" i="2"/>
  <c r="E484" i="2"/>
  <c r="D484" i="2"/>
  <c r="B486" i="2"/>
  <c r="C485" i="2"/>
  <c r="R485" i="2"/>
  <c r="J485" i="2"/>
  <c r="P252" i="2"/>
  <c r="N252" i="2"/>
  <c r="O252" i="2"/>
  <c r="Q252" i="2" s="1"/>
  <c r="A488" i="2" l="1"/>
  <c r="Y487" i="2"/>
  <c r="T486" i="2"/>
  <c r="U485" i="2" s="1"/>
  <c r="S252" i="2"/>
  <c r="K484" i="2"/>
  <c r="F484" i="2"/>
  <c r="G484" i="2" s="1"/>
  <c r="L252" i="2"/>
  <c r="M252" i="2" s="1"/>
  <c r="H253" i="2" s="1"/>
  <c r="I485" i="2"/>
  <c r="E485" i="2"/>
  <c r="D485" i="2"/>
  <c r="B487" i="2"/>
  <c r="C486" i="2"/>
  <c r="R486" i="2"/>
  <c r="J486" i="2"/>
  <c r="AA252" i="2"/>
  <c r="V252" i="2"/>
  <c r="X252" i="2" s="1"/>
  <c r="A489" i="2" l="1"/>
  <c r="Y488" i="2"/>
  <c r="T487" i="2"/>
  <c r="U486" i="2" s="1"/>
  <c r="F485" i="2"/>
  <c r="G485" i="2" s="1"/>
  <c r="K485" i="2"/>
  <c r="I486" i="2"/>
  <c r="E486" i="2"/>
  <c r="D486" i="2"/>
  <c r="B488" i="2"/>
  <c r="C487" i="2"/>
  <c r="R487" i="2"/>
  <c r="J487" i="2"/>
  <c r="K486" i="2" s="1"/>
  <c r="O253" i="2"/>
  <c r="Q253" i="2" s="1"/>
  <c r="N253" i="2"/>
  <c r="P253" i="2"/>
  <c r="A490" i="2" l="1"/>
  <c r="Y489" i="2"/>
  <c r="T488" i="2"/>
  <c r="U487" i="2" s="1"/>
  <c r="S253" i="2"/>
  <c r="F486" i="2"/>
  <c r="G486" i="2" s="1"/>
  <c r="AA253" i="2"/>
  <c r="I487" i="2"/>
  <c r="E487" i="2"/>
  <c r="D487" i="2"/>
  <c r="B489" i="2"/>
  <c r="R488" i="2"/>
  <c r="C488" i="2"/>
  <c r="J488" i="2"/>
  <c r="K487" i="2" s="1"/>
  <c r="V253" i="2"/>
  <c r="X253" i="2" s="1"/>
  <c r="L253" i="2"/>
  <c r="M253" i="2" s="1"/>
  <c r="H254" i="2" s="1"/>
  <c r="A491" i="2" l="1"/>
  <c r="Y490" i="2"/>
  <c r="T489" i="2"/>
  <c r="U488" i="2" s="1"/>
  <c r="F487" i="2"/>
  <c r="G487" i="2" s="1"/>
  <c r="D488" i="2"/>
  <c r="I488" i="2"/>
  <c r="E488" i="2"/>
  <c r="B490" i="2"/>
  <c r="R489" i="2"/>
  <c r="C489" i="2"/>
  <c r="J489" i="2"/>
  <c r="K488" i="2" s="1"/>
  <c r="O254" i="2"/>
  <c r="Q254" i="2" s="1"/>
  <c r="N254" i="2"/>
  <c r="P254" i="2"/>
  <c r="A492" i="2" l="1"/>
  <c r="Y491" i="2"/>
  <c r="T490" i="2"/>
  <c r="U489" i="2" s="1"/>
  <c r="S254" i="2"/>
  <c r="AA254" i="2"/>
  <c r="F488" i="2"/>
  <c r="G488" i="2" s="1"/>
  <c r="D489" i="2"/>
  <c r="I489" i="2"/>
  <c r="E489" i="2"/>
  <c r="F489" i="2" s="1"/>
  <c r="G489" i="2" s="1"/>
  <c r="B491" i="2"/>
  <c r="R490" i="2"/>
  <c r="C490" i="2"/>
  <c r="J490" i="2"/>
  <c r="K489" i="2" s="1"/>
  <c r="V254" i="2"/>
  <c r="X254" i="2" s="1"/>
  <c r="L254" i="2"/>
  <c r="M254" i="2" s="1"/>
  <c r="H255" i="2" s="1"/>
  <c r="A493" i="2" l="1"/>
  <c r="Y492" i="2"/>
  <c r="T491" i="2"/>
  <c r="U490" i="2" s="1"/>
  <c r="D490" i="2"/>
  <c r="I490" i="2"/>
  <c r="E490" i="2"/>
  <c r="B492" i="2"/>
  <c r="R491" i="2"/>
  <c r="C491" i="2"/>
  <c r="J491" i="2"/>
  <c r="P255" i="2"/>
  <c r="N255" i="2"/>
  <c r="O255" i="2"/>
  <c r="Q255" i="2" s="1"/>
  <c r="A494" i="2" l="1"/>
  <c r="Y493" i="2"/>
  <c r="T492" i="2"/>
  <c r="U491" i="2" s="1"/>
  <c r="S255" i="2"/>
  <c r="K490" i="2"/>
  <c r="F490" i="2"/>
  <c r="G490" i="2" s="1"/>
  <c r="L255" i="2"/>
  <c r="M255" i="2" s="1"/>
  <c r="H256" i="2" s="1"/>
  <c r="D491" i="2"/>
  <c r="I491" i="2"/>
  <c r="E491" i="2"/>
  <c r="F491" i="2" s="1"/>
  <c r="G491" i="2" s="1"/>
  <c r="B493" i="2"/>
  <c r="C492" i="2"/>
  <c r="R492" i="2"/>
  <c r="J492" i="2"/>
  <c r="K491" i="2" s="1"/>
  <c r="AA255" i="2"/>
  <c r="V255" i="2"/>
  <c r="X255" i="2" s="1"/>
  <c r="A495" i="2" l="1"/>
  <c r="Y494" i="2"/>
  <c r="T493" i="2"/>
  <c r="U492" i="2" s="1"/>
  <c r="E492" i="2"/>
  <c r="F492" i="2" s="1"/>
  <c r="G492" i="2" s="1"/>
  <c r="D492" i="2"/>
  <c r="I492" i="2"/>
  <c r="B494" i="2"/>
  <c r="C493" i="2"/>
  <c r="R493" i="2"/>
  <c r="J493" i="2"/>
  <c r="K492" i="2" s="1"/>
  <c r="N256" i="2"/>
  <c r="O256" i="2"/>
  <c r="Q256" i="2" s="1"/>
  <c r="P256" i="2"/>
  <c r="A496" i="2" l="1"/>
  <c r="Y495" i="2"/>
  <c r="T494" i="2"/>
  <c r="U493" i="2" s="1"/>
  <c r="S256" i="2"/>
  <c r="L256" i="2"/>
  <c r="M256" i="2" s="1"/>
  <c r="H257" i="2" s="1"/>
  <c r="AA256" i="2"/>
  <c r="I493" i="2"/>
  <c r="E493" i="2"/>
  <c r="F493" i="2" s="1"/>
  <c r="G493" i="2" s="1"/>
  <c r="D493" i="2"/>
  <c r="B495" i="2"/>
  <c r="C494" i="2"/>
  <c r="R494" i="2"/>
  <c r="J494" i="2"/>
  <c r="K493" i="2" s="1"/>
  <c r="V256" i="2"/>
  <c r="X256" i="2" s="1"/>
  <c r="A497" i="2" l="1"/>
  <c r="Y496" i="2"/>
  <c r="T495" i="2"/>
  <c r="U494" i="2" s="1"/>
  <c r="B496" i="2"/>
  <c r="C495" i="2"/>
  <c r="R495" i="2"/>
  <c r="J495" i="2"/>
  <c r="I494" i="2"/>
  <c r="E494" i="2"/>
  <c r="D494" i="2"/>
  <c r="P257" i="2"/>
  <c r="N257" i="2"/>
  <c r="O257" i="2"/>
  <c r="Q257" i="2" s="1"/>
  <c r="A498" i="2" l="1"/>
  <c r="Y497" i="2"/>
  <c r="T496" i="2"/>
  <c r="U495" i="2" s="1"/>
  <c r="S257" i="2"/>
  <c r="F494" i="2"/>
  <c r="G494" i="2" s="1"/>
  <c r="K494" i="2"/>
  <c r="L257" i="2"/>
  <c r="M257" i="2" s="1"/>
  <c r="H258" i="2" s="1"/>
  <c r="I495" i="2"/>
  <c r="E495" i="2"/>
  <c r="D495" i="2"/>
  <c r="B497" i="2"/>
  <c r="C496" i="2"/>
  <c r="R496" i="2"/>
  <c r="J496" i="2"/>
  <c r="K495" i="2" s="1"/>
  <c r="AA257" i="2"/>
  <c r="V257" i="2"/>
  <c r="X257" i="2" s="1"/>
  <c r="A499" i="2" l="1"/>
  <c r="Y498" i="2"/>
  <c r="T497" i="2"/>
  <c r="U496" i="2" s="1"/>
  <c r="F495" i="2"/>
  <c r="G495" i="2" s="1"/>
  <c r="I496" i="2"/>
  <c r="D496" i="2"/>
  <c r="E496" i="2"/>
  <c r="B498" i="2"/>
  <c r="R497" i="2"/>
  <c r="C497" i="2"/>
  <c r="J497" i="2"/>
  <c r="K496" i="2" s="1"/>
  <c r="O258" i="2"/>
  <c r="Q258" i="2" s="1"/>
  <c r="N258" i="2"/>
  <c r="P258" i="2"/>
  <c r="A500" i="2" l="1"/>
  <c r="Y499" i="2"/>
  <c r="T498" i="2"/>
  <c r="U497" i="2" s="1"/>
  <c r="F496" i="2"/>
  <c r="G496" i="2" s="1"/>
  <c r="S258" i="2"/>
  <c r="AA258" i="2"/>
  <c r="L258" i="2"/>
  <c r="M258" i="2" s="1"/>
  <c r="H259" i="2" s="1"/>
  <c r="D497" i="2"/>
  <c r="I497" i="2"/>
  <c r="E497" i="2"/>
  <c r="F497" i="2" s="1"/>
  <c r="G497" i="2" s="1"/>
  <c r="B499" i="2"/>
  <c r="R498" i="2"/>
  <c r="C498" i="2"/>
  <c r="J498" i="2"/>
  <c r="V258" i="2"/>
  <c r="X258" i="2" s="1"/>
  <c r="A501" i="2" l="1"/>
  <c r="Y500" i="2"/>
  <c r="T499" i="2"/>
  <c r="U498" i="2" s="1"/>
  <c r="K497" i="2"/>
  <c r="D498" i="2"/>
  <c r="I498" i="2"/>
  <c r="E498" i="2"/>
  <c r="B500" i="2"/>
  <c r="R499" i="2"/>
  <c r="C499" i="2"/>
  <c r="J499" i="2"/>
  <c r="K498" i="2" s="1"/>
  <c r="O259" i="2"/>
  <c r="Q259" i="2" s="1"/>
  <c r="N259" i="2"/>
  <c r="P259" i="2"/>
  <c r="A502" i="2" l="1"/>
  <c r="Y501" i="2"/>
  <c r="T500" i="2"/>
  <c r="U499" i="2" s="1"/>
  <c r="S259" i="2"/>
  <c r="F498" i="2"/>
  <c r="G498" i="2" s="1"/>
  <c r="AA259" i="2"/>
  <c r="B501" i="2"/>
  <c r="C500" i="2"/>
  <c r="R500" i="2"/>
  <c r="J500" i="2"/>
  <c r="D499" i="2"/>
  <c r="I499" i="2"/>
  <c r="E499" i="2"/>
  <c r="F499" i="2" s="1"/>
  <c r="G499" i="2" s="1"/>
  <c r="L259" i="2"/>
  <c r="M259" i="2" s="1"/>
  <c r="H260" i="2" s="1"/>
  <c r="V259" i="2"/>
  <c r="X259" i="2" s="1"/>
  <c r="A503" i="2" l="1"/>
  <c r="Y502" i="2"/>
  <c r="T501" i="2"/>
  <c r="U500" i="2" s="1"/>
  <c r="K499" i="2"/>
  <c r="B502" i="2"/>
  <c r="C501" i="2"/>
  <c r="R501" i="2"/>
  <c r="J501" i="2"/>
  <c r="E500" i="2"/>
  <c r="F500" i="2" s="1"/>
  <c r="G500" i="2" s="1"/>
  <c r="D500" i="2"/>
  <c r="I500" i="2"/>
  <c r="P260" i="2"/>
  <c r="O260" i="2"/>
  <c r="Q260" i="2" s="1"/>
  <c r="N260" i="2"/>
  <c r="A504" i="2" l="1"/>
  <c r="Y503" i="2"/>
  <c r="T502" i="2"/>
  <c r="U501" i="2" s="1"/>
  <c r="S260" i="2"/>
  <c r="K500" i="2"/>
  <c r="AA260" i="2"/>
  <c r="I501" i="2"/>
  <c r="E501" i="2"/>
  <c r="F501" i="2" s="1"/>
  <c r="G501" i="2" s="1"/>
  <c r="D501" i="2"/>
  <c r="B503" i="2"/>
  <c r="B504" i="2" s="1"/>
  <c r="C502" i="2"/>
  <c r="R502" i="2"/>
  <c r="J502" i="2"/>
  <c r="K501" i="2" s="1"/>
  <c r="V260" i="2"/>
  <c r="X260" i="2" s="1"/>
  <c r="L260" i="2"/>
  <c r="M260" i="2" s="1"/>
  <c r="H261" i="2" s="1"/>
  <c r="R504" i="2" l="1"/>
  <c r="J504" i="2"/>
  <c r="T504" i="2"/>
  <c r="C504" i="2"/>
  <c r="B505" i="2"/>
  <c r="A505" i="2"/>
  <c r="T503" i="2"/>
  <c r="U502" i="2" s="1"/>
  <c r="I502" i="2"/>
  <c r="E502" i="2"/>
  <c r="F502" i="2" s="1"/>
  <c r="G502" i="2" s="1"/>
  <c r="D502" i="2"/>
  <c r="C503" i="2"/>
  <c r="R503" i="2"/>
  <c r="J503" i="2"/>
  <c r="K502" i="2" s="1"/>
  <c r="N261" i="2"/>
  <c r="P261" i="2"/>
  <c r="O261" i="2"/>
  <c r="Q261" i="2" s="1"/>
  <c r="R505" i="2" l="1"/>
  <c r="J505" i="2"/>
  <c r="K504" i="2" s="1"/>
  <c r="T505" i="2"/>
  <c r="U504" i="2" s="1"/>
  <c r="B506" i="2"/>
  <c r="C505" i="2"/>
  <c r="I504" i="2"/>
  <c r="E504" i="2"/>
  <c r="F504" i="2" s="1"/>
  <c r="G504" i="2" s="1"/>
  <c r="D504" i="2"/>
  <c r="A506" i="2"/>
  <c r="U503" i="2"/>
  <c r="S261" i="2"/>
  <c r="AA261" i="2"/>
  <c r="I503" i="2"/>
  <c r="E503" i="2"/>
  <c r="F503" i="2" s="1"/>
  <c r="G503" i="2" s="1"/>
  <c r="D503" i="2"/>
  <c r="L261" i="2"/>
  <c r="M261" i="2" s="1"/>
  <c r="H262" i="2" s="1"/>
  <c r="V261" i="2"/>
  <c r="X261" i="2" s="1"/>
  <c r="E505" i="2" l="1"/>
  <c r="F505" i="2" s="1"/>
  <c r="G505" i="2" s="1"/>
  <c r="D505" i="2"/>
  <c r="I505" i="2"/>
  <c r="C506" i="2"/>
  <c r="R506" i="2"/>
  <c r="T506" i="2"/>
  <c r="U505" i="2" s="1"/>
  <c r="J506" i="2"/>
  <c r="K505" i="2" s="1"/>
  <c r="B507" i="2"/>
  <c r="K503" i="2"/>
  <c r="A507" i="2"/>
  <c r="N262" i="2"/>
  <c r="P262" i="2"/>
  <c r="O262" i="2"/>
  <c r="Q262" i="2" s="1"/>
  <c r="I506" i="2" l="1"/>
  <c r="E506" i="2"/>
  <c r="F506" i="2" s="1"/>
  <c r="G506" i="2" s="1"/>
  <c r="D506" i="2"/>
  <c r="C507" i="2"/>
  <c r="B508" i="2"/>
  <c r="T507" i="2"/>
  <c r="U506" i="2" s="1"/>
  <c r="J507" i="2"/>
  <c r="K506" i="2" s="1"/>
  <c r="R507" i="2"/>
  <c r="A508" i="2"/>
  <c r="S262" i="2"/>
  <c r="L262" i="2"/>
  <c r="M262" i="2" s="1"/>
  <c r="H263" i="2" s="1"/>
  <c r="AA262" i="2"/>
  <c r="V262" i="2"/>
  <c r="X262" i="2" s="1"/>
  <c r="B509" i="2" l="1"/>
  <c r="C508" i="2"/>
  <c r="T508" i="2"/>
  <c r="U507" i="2" s="1"/>
  <c r="J508" i="2"/>
  <c r="K507" i="2" s="1"/>
  <c r="R508" i="2"/>
  <c r="I507" i="2"/>
  <c r="E507" i="2"/>
  <c r="F507" i="2" s="1"/>
  <c r="G507" i="2" s="1"/>
  <c r="D507" i="2"/>
  <c r="A509" i="2"/>
  <c r="O263" i="2"/>
  <c r="Q263" i="2" s="1"/>
  <c r="N263" i="2"/>
  <c r="P263" i="2"/>
  <c r="I508" i="2" l="1"/>
  <c r="D508" i="2"/>
  <c r="E508" i="2"/>
  <c r="F508" i="2" s="1"/>
  <c r="G508" i="2" s="1"/>
  <c r="C509" i="2"/>
  <c r="B510" i="2"/>
  <c r="T509" i="2"/>
  <c r="U508" i="2" s="1"/>
  <c r="J509" i="2"/>
  <c r="K508" i="2" s="1"/>
  <c r="R509" i="2"/>
  <c r="A510" i="2"/>
  <c r="S263" i="2"/>
  <c r="AA263" i="2"/>
  <c r="L263" i="2"/>
  <c r="M263" i="2" s="1"/>
  <c r="H264" i="2" s="1"/>
  <c r="V263" i="2"/>
  <c r="X263" i="2" s="1"/>
  <c r="C510" i="2" l="1"/>
  <c r="R510" i="2"/>
  <c r="J510" i="2"/>
  <c r="K509" i="2" s="1"/>
  <c r="T510" i="2"/>
  <c r="U509" i="2" s="1"/>
  <c r="B511" i="2"/>
  <c r="D509" i="2"/>
  <c r="E509" i="2"/>
  <c r="F509" i="2" s="1"/>
  <c r="G509" i="2" s="1"/>
  <c r="I509" i="2"/>
  <c r="A511" i="2"/>
  <c r="N264" i="2"/>
  <c r="O264" i="2"/>
  <c r="Q264" i="2" s="1"/>
  <c r="P264" i="2"/>
  <c r="C511" i="2" l="1"/>
  <c r="B512" i="2"/>
  <c r="R511" i="2"/>
  <c r="T511" i="2"/>
  <c r="U510" i="2" s="1"/>
  <c r="J511" i="2"/>
  <c r="K510" i="2" s="1"/>
  <c r="I510" i="2"/>
  <c r="D510" i="2"/>
  <c r="E510" i="2"/>
  <c r="F510" i="2" s="1"/>
  <c r="G510" i="2" s="1"/>
  <c r="A512" i="2"/>
  <c r="S264" i="2"/>
  <c r="AA264" i="2"/>
  <c r="V264" i="2"/>
  <c r="X264" i="2" s="1"/>
  <c r="L264" i="2"/>
  <c r="M264" i="2" s="1"/>
  <c r="H265" i="2" s="1"/>
  <c r="T512" i="2" l="1"/>
  <c r="U511" i="2" s="1"/>
  <c r="C512" i="2"/>
  <c r="B513" i="2"/>
  <c r="R512" i="2"/>
  <c r="J512" i="2"/>
  <c r="K511" i="2" s="1"/>
  <c r="E511" i="2"/>
  <c r="F511" i="2" s="1"/>
  <c r="G511" i="2" s="1"/>
  <c r="I511" i="2"/>
  <c r="D511" i="2"/>
  <c r="A513" i="2"/>
  <c r="N265" i="2"/>
  <c r="O265" i="2"/>
  <c r="Q265" i="2" s="1"/>
  <c r="P265" i="2"/>
  <c r="C513" i="2" l="1"/>
  <c r="R513" i="2"/>
  <c r="J513" i="2"/>
  <c r="K512" i="2" s="1"/>
  <c r="T513" i="2"/>
  <c r="U512" i="2" s="1"/>
  <c r="B514" i="2"/>
  <c r="E512" i="2"/>
  <c r="F512" i="2" s="1"/>
  <c r="G512" i="2" s="1"/>
  <c r="D512" i="2"/>
  <c r="I512" i="2"/>
  <c r="A514" i="2"/>
  <c r="S265" i="2"/>
  <c r="AA265" i="2"/>
  <c r="L265" i="2"/>
  <c r="M265" i="2" s="1"/>
  <c r="H266" i="2" s="1"/>
  <c r="V265" i="2"/>
  <c r="X265" i="2" s="1"/>
  <c r="T514" i="2" l="1"/>
  <c r="U513" i="2" s="1"/>
  <c r="C514" i="2"/>
  <c r="J514" i="2"/>
  <c r="K513" i="2" s="1"/>
  <c r="R514" i="2"/>
  <c r="B515" i="2"/>
  <c r="E513" i="2"/>
  <c r="F513" i="2" s="1"/>
  <c r="G513" i="2" s="1"/>
  <c r="D513" i="2"/>
  <c r="I513" i="2"/>
  <c r="A515" i="2"/>
  <c r="N266" i="2"/>
  <c r="P266" i="2"/>
  <c r="O266" i="2"/>
  <c r="Q266" i="2" s="1"/>
  <c r="D514" i="2" l="1"/>
  <c r="I514" i="2"/>
  <c r="E514" i="2"/>
  <c r="F514" i="2" s="1"/>
  <c r="G514" i="2" s="1"/>
  <c r="C515" i="2"/>
  <c r="B516" i="2"/>
  <c r="T515" i="2"/>
  <c r="U514" i="2" s="1"/>
  <c r="J515" i="2"/>
  <c r="K514" i="2" s="1"/>
  <c r="R515" i="2"/>
  <c r="A516" i="2"/>
  <c r="S266" i="2"/>
  <c r="L266" i="2"/>
  <c r="M266" i="2" s="1"/>
  <c r="H267" i="2" s="1"/>
  <c r="AA266" i="2"/>
  <c r="V266" i="2"/>
  <c r="X266" i="2" s="1"/>
  <c r="R516" i="2" l="1"/>
  <c r="C516" i="2"/>
  <c r="T516" i="2"/>
  <c r="U515" i="2" s="1"/>
  <c r="B517" i="2"/>
  <c r="J516" i="2"/>
  <c r="K515" i="2" s="1"/>
  <c r="I515" i="2"/>
  <c r="E515" i="2"/>
  <c r="F515" i="2" s="1"/>
  <c r="G515" i="2" s="1"/>
  <c r="D515" i="2"/>
  <c r="A517" i="2"/>
  <c r="N267" i="2"/>
  <c r="O267" i="2"/>
  <c r="Q267" i="2" s="1"/>
  <c r="P267" i="2"/>
  <c r="E516" i="2" l="1"/>
  <c r="F516" i="2" s="1"/>
  <c r="G516" i="2" s="1"/>
  <c r="I516" i="2"/>
  <c r="D516" i="2"/>
  <c r="B518" i="2"/>
  <c r="C517" i="2"/>
  <c r="T517" i="2"/>
  <c r="U516" i="2" s="1"/>
  <c r="J517" i="2"/>
  <c r="K516" i="2" s="1"/>
  <c r="R517" i="2"/>
  <c r="A518" i="2"/>
  <c r="S267" i="2"/>
  <c r="AA267" i="2"/>
  <c r="V267" i="2"/>
  <c r="X267" i="2" s="1"/>
  <c r="L267" i="2"/>
  <c r="M267" i="2" s="1"/>
  <c r="H268" i="2" s="1"/>
  <c r="D517" i="2" l="1"/>
  <c r="E517" i="2"/>
  <c r="F517" i="2" s="1"/>
  <c r="G517" i="2" s="1"/>
  <c r="I517" i="2"/>
  <c r="R518" i="2"/>
  <c r="C518" i="2"/>
  <c r="T518" i="2"/>
  <c r="U517" i="2" s="1"/>
  <c r="J518" i="2"/>
  <c r="K517" i="2" s="1"/>
  <c r="B519" i="2"/>
  <c r="A519" i="2"/>
  <c r="N268" i="2"/>
  <c r="O268" i="2"/>
  <c r="Q268" i="2" s="1"/>
  <c r="P268" i="2"/>
  <c r="I518" i="2" l="1"/>
  <c r="D518" i="2"/>
  <c r="E518" i="2"/>
  <c r="F518" i="2" s="1"/>
  <c r="G518" i="2" s="1"/>
  <c r="J519" i="2"/>
  <c r="K518" i="2" s="1"/>
  <c r="C519" i="2"/>
  <c r="B520" i="2"/>
  <c r="R519" i="2"/>
  <c r="T519" i="2"/>
  <c r="U518" i="2" s="1"/>
  <c r="A520" i="2"/>
  <c r="S268" i="2"/>
  <c r="AA268" i="2"/>
  <c r="V268" i="2"/>
  <c r="X268" i="2" s="1"/>
  <c r="L268" i="2"/>
  <c r="M268" i="2" s="1"/>
  <c r="H269" i="2" s="1"/>
  <c r="E519" i="2" l="1"/>
  <c r="F519" i="2" s="1"/>
  <c r="G519" i="2" s="1"/>
  <c r="D519" i="2"/>
  <c r="I519" i="2"/>
  <c r="C520" i="2"/>
  <c r="T520" i="2"/>
  <c r="U519" i="2" s="1"/>
  <c r="J520" i="2"/>
  <c r="K519" i="2" s="1"/>
  <c r="R520" i="2"/>
  <c r="B521" i="2"/>
  <c r="A521" i="2"/>
  <c r="O269" i="2"/>
  <c r="Q269" i="2" s="1"/>
  <c r="N269" i="2"/>
  <c r="P269" i="2"/>
  <c r="E520" i="2" l="1"/>
  <c r="F520" i="2" s="1"/>
  <c r="G520" i="2" s="1"/>
  <c r="I520" i="2"/>
  <c r="D520" i="2"/>
  <c r="J521" i="2"/>
  <c r="K520" i="2" s="1"/>
  <c r="C521" i="2"/>
  <c r="B522" i="2"/>
  <c r="T521" i="2"/>
  <c r="U520" i="2" s="1"/>
  <c r="R521" i="2"/>
  <c r="A522" i="2"/>
  <c r="S269" i="2"/>
  <c r="AA269" i="2"/>
  <c r="V269" i="2"/>
  <c r="X269" i="2" s="1"/>
  <c r="L269" i="2"/>
  <c r="M269" i="2" s="1"/>
  <c r="H270" i="2" s="1"/>
  <c r="R522" i="2" l="1"/>
  <c r="B523" i="2"/>
  <c r="T522" i="2"/>
  <c r="U521" i="2" s="1"/>
  <c r="J522" i="2"/>
  <c r="K521" i="2" s="1"/>
  <c r="C522" i="2"/>
  <c r="E521" i="2"/>
  <c r="F521" i="2" s="1"/>
  <c r="G521" i="2" s="1"/>
  <c r="D521" i="2"/>
  <c r="I521" i="2"/>
  <c r="A523" i="2"/>
  <c r="N270" i="2"/>
  <c r="O270" i="2"/>
  <c r="Q270" i="2" s="1"/>
  <c r="P270" i="2"/>
  <c r="I522" i="2" l="1"/>
  <c r="E522" i="2"/>
  <c r="F522" i="2" s="1"/>
  <c r="G522" i="2" s="1"/>
  <c r="D522" i="2"/>
  <c r="B524" i="2"/>
  <c r="R523" i="2"/>
  <c r="J523" i="2"/>
  <c r="K522" i="2" s="1"/>
  <c r="T523" i="2"/>
  <c r="U522" i="2" s="1"/>
  <c r="C523" i="2"/>
  <c r="A524" i="2"/>
  <c r="S270" i="2"/>
  <c r="AA270" i="2"/>
  <c r="L270" i="2"/>
  <c r="M270" i="2" s="1"/>
  <c r="H271" i="2" s="1"/>
  <c r="V270" i="2"/>
  <c r="X270" i="2" s="1"/>
  <c r="D523" i="2" l="1"/>
  <c r="E523" i="2"/>
  <c r="F523" i="2" s="1"/>
  <c r="G523" i="2" s="1"/>
  <c r="I523" i="2"/>
  <c r="R524" i="2"/>
  <c r="B525" i="2"/>
  <c r="C524" i="2"/>
  <c r="T524" i="2"/>
  <c r="U523" i="2" s="1"/>
  <c r="J524" i="2"/>
  <c r="K523" i="2" s="1"/>
  <c r="A525" i="2"/>
  <c r="P271" i="2"/>
  <c r="O271" i="2"/>
  <c r="Q271" i="2" s="1"/>
  <c r="N271" i="2"/>
  <c r="E524" i="2" l="1"/>
  <c r="F524" i="2" s="1"/>
  <c r="G524" i="2" s="1"/>
  <c r="D524" i="2"/>
  <c r="I524" i="2"/>
  <c r="R525" i="2"/>
  <c r="C525" i="2"/>
  <c r="T525" i="2"/>
  <c r="U524" i="2" s="1"/>
  <c r="B526" i="2"/>
  <c r="J525" i="2"/>
  <c r="K524" i="2" s="1"/>
  <c r="A526" i="2"/>
  <c r="S271" i="2"/>
  <c r="L271" i="2"/>
  <c r="M271" i="2" s="1"/>
  <c r="H272" i="2" s="1"/>
  <c r="AA271" i="2"/>
  <c r="V271" i="2"/>
  <c r="X271" i="2" s="1"/>
  <c r="D525" i="2" l="1"/>
  <c r="I525" i="2"/>
  <c r="E525" i="2"/>
  <c r="F525" i="2" s="1"/>
  <c r="G525" i="2" s="1"/>
  <c r="R526" i="2"/>
  <c r="C526" i="2"/>
  <c r="T526" i="2"/>
  <c r="U525" i="2" s="1"/>
  <c r="J526" i="2"/>
  <c r="K525" i="2" s="1"/>
  <c r="B527" i="2"/>
  <c r="A527" i="2"/>
  <c r="O272" i="2"/>
  <c r="Q272" i="2" s="1"/>
  <c r="P272" i="2"/>
  <c r="N272" i="2"/>
  <c r="B528" i="2" l="1"/>
  <c r="J527" i="2"/>
  <c r="K526" i="2" s="1"/>
  <c r="R527" i="2"/>
  <c r="C527" i="2"/>
  <c r="T527" i="2"/>
  <c r="U526" i="2" s="1"/>
  <c r="I526" i="2"/>
  <c r="D526" i="2"/>
  <c r="E526" i="2"/>
  <c r="F526" i="2" s="1"/>
  <c r="G526" i="2" s="1"/>
  <c r="A528" i="2"/>
  <c r="S272" i="2"/>
  <c r="AA272" i="2"/>
  <c r="L272" i="2"/>
  <c r="M272" i="2" s="1"/>
  <c r="H273" i="2" s="1"/>
  <c r="V272" i="2"/>
  <c r="X272" i="2" s="1"/>
  <c r="I527" i="2" l="1"/>
  <c r="E527" i="2"/>
  <c r="F527" i="2" s="1"/>
  <c r="G527" i="2" s="1"/>
  <c r="D527" i="2"/>
  <c r="T528" i="2"/>
  <c r="U527" i="2" s="1"/>
  <c r="B529" i="2"/>
  <c r="J528" i="2"/>
  <c r="K527" i="2" s="1"/>
  <c r="R528" i="2"/>
  <c r="C528" i="2"/>
  <c r="A529" i="2"/>
  <c r="O273" i="2"/>
  <c r="Q273" i="2" s="1"/>
  <c r="N273" i="2"/>
  <c r="P273" i="2"/>
  <c r="R529" i="2" l="1"/>
  <c r="C529" i="2"/>
  <c r="T529" i="2"/>
  <c r="U528" i="2" s="1"/>
  <c r="B530" i="2"/>
  <c r="J529" i="2"/>
  <c r="K528" i="2" s="1"/>
  <c r="E528" i="2"/>
  <c r="F528" i="2" s="1"/>
  <c r="G528" i="2" s="1"/>
  <c r="I528" i="2"/>
  <c r="D528" i="2"/>
  <c r="A530" i="2"/>
  <c r="S273" i="2"/>
  <c r="V273" i="2"/>
  <c r="X273" i="2" s="1"/>
  <c r="L273" i="2"/>
  <c r="M273" i="2" s="1"/>
  <c r="AA273" i="2"/>
  <c r="C530" i="2" l="1"/>
  <c r="R530" i="2"/>
  <c r="J530" i="2"/>
  <c r="K529" i="2" s="1"/>
  <c r="B531" i="2"/>
  <c r="T530" i="2"/>
  <c r="U529" i="2" s="1"/>
  <c r="D529" i="2"/>
  <c r="I529" i="2"/>
  <c r="E529" i="2"/>
  <c r="F529" i="2" s="1"/>
  <c r="G529" i="2" s="1"/>
  <c r="A531" i="2"/>
  <c r="N274" i="2"/>
  <c r="S274" i="2" s="1"/>
  <c r="H274" i="2"/>
  <c r="P274" i="2" s="1"/>
  <c r="O274" i="2"/>
  <c r="Q274" i="2" s="1"/>
  <c r="C531" i="2" l="1"/>
  <c r="B532" i="2"/>
  <c r="J531" i="2"/>
  <c r="K530" i="2" s="1"/>
  <c r="R531" i="2"/>
  <c r="T531" i="2"/>
  <c r="U530" i="2" s="1"/>
  <c r="I530" i="2"/>
  <c r="E530" i="2"/>
  <c r="F530" i="2" s="1"/>
  <c r="G530" i="2" s="1"/>
  <c r="D530" i="2"/>
  <c r="A532" i="2"/>
  <c r="V274" i="2"/>
  <c r="X274" i="2" s="1"/>
  <c r="AA274" i="2"/>
  <c r="L274" i="2"/>
  <c r="M274" i="2" s="1"/>
  <c r="R532" i="2" l="1"/>
  <c r="C532" i="2"/>
  <c r="T532" i="2"/>
  <c r="U531" i="2" s="1"/>
  <c r="J532" i="2"/>
  <c r="K531" i="2" s="1"/>
  <c r="B533" i="2"/>
  <c r="I531" i="2"/>
  <c r="D531" i="2"/>
  <c r="E531" i="2"/>
  <c r="F531" i="2" s="1"/>
  <c r="G531" i="2" s="1"/>
  <c r="A533" i="2"/>
  <c r="N275" i="2"/>
  <c r="S275" i="2" s="1"/>
  <c r="H275" i="2"/>
  <c r="P275" i="2" s="1"/>
  <c r="O275" i="2"/>
  <c r="Q275" i="2" s="1"/>
  <c r="I532" i="2" l="1"/>
  <c r="D532" i="2"/>
  <c r="E532" i="2"/>
  <c r="F532" i="2" s="1"/>
  <c r="G532" i="2" s="1"/>
  <c r="C533" i="2"/>
  <c r="T533" i="2"/>
  <c r="U532" i="2" s="1"/>
  <c r="J533" i="2"/>
  <c r="K532" i="2" s="1"/>
  <c r="B534" i="2"/>
  <c r="R533" i="2"/>
  <c r="A534" i="2"/>
  <c r="V275" i="2"/>
  <c r="X275" i="2" s="1"/>
  <c r="L275" i="2"/>
  <c r="M275" i="2" s="1"/>
  <c r="AA275" i="2"/>
  <c r="I533" i="2" l="1"/>
  <c r="E533" i="2"/>
  <c r="F533" i="2" s="1"/>
  <c r="G533" i="2" s="1"/>
  <c r="D533" i="2"/>
  <c r="J534" i="2"/>
  <c r="K533" i="2" s="1"/>
  <c r="C534" i="2"/>
  <c r="T534" i="2"/>
  <c r="U533" i="2" s="1"/>
  <c r="B535" i="2"/>
  <c r="R534" i="2"/>
  <c r="A535" i="2"/>
  <c r="O276" i="2"/>
  <c r="Q276" i="2" s="1"/>
  <c r="H276" i="2"/>
  <c r="P276" i="2" s="1"/>
  <c r="N276" i="2"/>
  <c r="AA276" i="2" l="1"/>
  <c r="B536" i="2"/>
  <c r="J535" i="2"/>
  <c r="K534" i="2" s="1"/>
  <c r="R535" i="2"/>
  <c r="C535" i="2"/>
  <c r="T535" i="2"/>
  <c r="U534" i="2" s="1"/>
  <c r="I534" i="2"/>
  <c r="D534" i="2"/>
  <c r="E534" i="2"/>
  <c r="F534" i="2" s="1"/>
  <c r="G534" i="2" s="1"/>
  <c r="A536" i="2"/>
  <c r="S276" i="2"/>
  <c r="L276" i="2"/>
  <c r="M276" i="2" s="1"/>
  <c r="V276" i="2"/>
  <c r="X276" i="2" s="1"/>
  <c r="I535" i="2" l="1"/>
  <c r="D535" i="2"/>
  <c r="E535" i="2"/>
  <c r="F535" i="2" s="1"/>
  <c r="G535" i="2" s="1"/>
  <c r="T536" i="2"/>
  <c r="U535" i="2" s="1"/>
  <c r="B537" i="2"/>
  <c r="J536" i="2"/>
  <c r="K535" i="2" s="1"/>
  <c r="R536" i="2"/>
  <c r="C536" i="2"/>
  <c r="A537" i="2"/>
  <c r="O277" i="2"/>
  <c r="Q277" i="2" s="1"/>
  <c r="H277" i="2"/>
  <c r="P277" i="2" s="1"/>
  <c r="N277" i="2"/>
  <c r="AA277" i="2" l="1"/>
  <c r="E536" i="2"/>
  <c r="F536" i="2" s="1"/>
  <c r="G536" i="2" s="1"/>
  <c r="I536" i="2"/>
  <c r="D536" i="2"/>
  <c r="B538" i="2"/>
  <c r="R537" i="2"/>
  <c r="C537" i="2"/>
  <c r="T537" i="2"/>
  <c r="U536" i="2" s="1"/>
  <c r="J537" i="2"/>
  <c r="K536" i="2" s="1"/>
  <c r="A538" i="2"/>
  <c r="S277" i="2"/>
  <c r="V277" i="2"/>
  <c r="X277" i="2" s="1"/>
  <c r="L277" i="2"/>
  <c r="M277" i="2" s="1"/>
  <c r="D537" i="2" l="1"/>
  <c r="I537" i="2"/>
  <c r="E537" i="2"/>
  <c r="F537" i="2" s="1"/>
  <c r="G537" i="2" s="1"/>
  <c r="C538" i="2"/>
  <c r="T538" i="2"/>
  <c r="U537" i="2" s="1"/>
  <c r="R538" i="2"/>
  <c r="J538" i="2"/>
  <c r="K537" i="2" s="1"/>
  <c r="B539" i="2"/>
  <c r="A539" i="2"/>
  <c r="N278" i="2"/>
  <c r="S278" i="2" s="1"/>
  <c r="H278" i="2"/>
  <c r="P278" i="2" s="1"/>
  <c r="O278" i="2"/>
  <c r="Q278" i="2" s="1"/>
  <c r="I538" i="2" l="1"/>
  <c r="E538" i="2"/>
  <c r="F538" i="2" s="1"/>
  <c r="G538" i="2" s="1"/>
  <c r="D538" i="2"/>
  <c r="R539" i="2"/>
  <c r="B540" i="2"/>
  <c r="C539" i="2"/>
  <c r="J539" i="2"/>
  <c r="K538" i="2" s="1"/>
  <c r="T539" i="2"/>
  <c r="U538" i="2" s="1"/>
  <c r="A540" i="2"/>
  <c r="L278" i="2"/>
  <c r="M278" i="2" s="1"/>
  <c r="V278" i="2"/>
  <c r="X278" i="2" s="1"/>
  <c r="AA278" i="2"/>
  <c r="E539" i="2" l="1"/>
  <c r="F539" i="2" s="1"/>
  <c r="G539" i="2" s="1"/>
  <c r="D539" i="2"/>
  <c r="I539" i="2"/>
  <c r="T540" i="2"/>
  <c r="U539" i="2" s="1"/>
  <c r="B541" i="2"/>
  <c r="C540" i="2"/>
  <c r="J540" i="2"/>
  <c r="K539" i="2" s="1"/>
  <c r="R540" i="2"/>
  <c r="A541" i="2"/>
  <c r="H279" i="2"/>
  <c r="P279" i="2" s="1"/>
  <c r="N279" i="2"/>
  <c r="O279" i="2"/>
  <c r="Q279" i="2" s="1"/>
  <c r="D540" i="2" l="1"/>
  <c r="I540" i="2"/>
  <c r="E540" i="2"/>
  <c r="F540" i="2" s="1"/>
  <c r="G540" i="2" s="1"/>
  <c r="C541" i="2"/>
  <c r="B542" i="2"/>
  <c r="J541" i="2"/>
  <c r="K540" i="2" s="1"/>
  <c r="R541" i="2"/>
  <c r="T541" i="2"/>
  <c r="U540" i="2" s="1"/>
  <c r="A542" i="2"/>
  <c r="L279" i="2"/>
  <c r="M279" i="2" s="1"/>
  <c r="H280" i="2" s="1"/>
  <c r="P280" i="2" s="1"/>
  <c r="S279" i="2"/>
  <c r="V279" i="2"/>
  <c r="X279" i="2" s="1"/>
  <c r="AA279" i="2"/>
  <c r="O280" i="2" l="1"/>
  <c r="Q280" i="2" s="1"/>
  <c r="AA280" i="2" s="1"/>
  <c r="R542" i="2"/>
  <c r="J542" i="2"/>
  <c r="K541" i="2" s="1"/>
  <c r="T542" i="2"/>
  <c r="U541" i="2" s="1"/>
  <c r="B543" i="2"/>
  <c r="C542" i="2"/>
  <c r="D541" i="2"/>
  <c r="E541" i="2"/>
  <c r="F541" i="2" s="1"/>
  <c r="G541" i="2" s="1"/>
  <c r="I541" i="2"/>
  <c r="A543" i="2"/>
  <c r="N280" i="2"/>
  <c r="S280" i="2" s="1"/>
  <c r="L280" i="2"/>
  <c r="M280" i="2" s="1"/>
  <c r="H281" i="2" s="1"/>
  <c r="V280" i="2" l="1"/>
  <c r="X280" i="2" s="1"/>
  <c r="E542" i="2"/>
  <c r="F542" i="2" s="1"/>
  <c r="G542" i="2" s="1"/>
  <c r="D542" i="2"/>
  <c r="I542" i="2"/>
  <c r="R543" i="2"/>
  <c r="T543" i="2"/>
  <c r="U542" i="2" s="1"/>
  <c r="J543" i="2"/>
  <c r="K542" i="2" s="1"/>
  <c r="B544" i="2"/>
  <c r="C543" i="2"/>
  <c r="A544" i="2"/>
  <c r="P281" i="2"/>
  <c r="O281" i="2"/>
  <c r="Q281" i="2" s="1"/>
  <c r="N281" i="2"/>
  <c r="D543" i="2" l="1"/>
  <c r="I543" i="2"/>
  <c r="E543" i="2"/>
  <c r="F543" i="2" s="1"/>
  <c r="G543" i="2" s="1"/>
  <c r="B545" i="2"/>
  <c r="R544" i="2"/>
  <c r="C544" i="2"/>
  <c r="J544" i="2"/>
  <c r="K543" i="2" s="1"/>
  <c r="T544" i="2"/>
  <c r="U543" i="2" s="1"/>
  <c r="A545" i="2"/>
  <c r="S281" i="2"/>
  <c r="AA281" i="2"/>
  <c r="L281" i="2"/>
  <c r="M281" i="2" s="1"/>
  <c r="H282" i="2" s="1"/>
  <c r="V281" i="2"/>
  <c r="X281" i="2" s="1"/>
  <c r="I544" i="2" l="1"/>
  <c r="E544" i="2"/>
  <c r="F544" i="2" s="1"/>
  <c r="G544" i="2" s="1"/>
  <c r="D544" i="2"/>
  <c r="B546" i="2"/>
  <c r="J545" i="2"/>
  <c r="K544" i="2" s="1"/>
  <c r="R545" i="2"/>
  <c r="C545" i="2"/>
  <c r="T545" i="2"/>
  <c r="U544" i="2" s="1"/>
  <c r="A546" i="2"/>
  <c r="N282" i="2"/>
  <c r="O282" i="2"/>
  <c r="Q282" i="2" s="1"/>
  <c r="P282" i="2"/>
  <c r="E545" i="2" l="1"/>
  <c r="F545" i="2" s="1"/>
  <c r="G545" i="2" s="1"/>
  <c r="I545" i="2"/>
  <c r="D545" i="2"/>
  <c r="R546" i="2"/>
  <c r="J546" i="2"/>
  <c r="K545" i="2" s="1"/>
  <c r="C546" i="2"/>
  <c r="T546" i="2"/>
  <c r="U545" i="2" s="1"/>
  <c r="B547" i="2"/>
  <c r="A547" i="2"/>
  <c r="S282" i="2"/>
  <c r="AA282" i="2"/>
  <c r="L282" i="2"/>
  <c r="M282" i="2" s="1"/>
  <c r="H283" i="2" s="1"/>
  <c r="V282" i="2"/>
  <c r="X282" i="2" s="1"/>
  <c r="D546" i="2" l="1"/>
  <c r="E546" i="2"/>
  <c r="F546" i="2" s="1"/>
  <c r="G546" i="2" s="1"/>
  <c r="I546" i="2"/>
  <c r="C547" i="2"/>
  <c r="B548" i="2"/>
  <c r="J547" i="2"/>
  <c r="K546" i="2" s="1"/>
  <c r="T547" i="2"/>
  <c r="U546" i="2" s="1"/>
  <c r="R547" i="2"/>
  <c r="A548" i="2"/>
  <c r="N283" i="2"/>
  <c r="O283" i="2"/>
  <c r="Q283" i="2" s="1"/>
  <c r="P283" i="2"/>
  <c r="J548" i="2" l="1"/>
  <c r="K547" i="2" s="1"/>
  <c r="T548" i="2"/>
  <c r="U547" i="2" s="1"/>
  <c r="B549" i="2"/>
  <c r="R548" i="2"/>
  <c r="C548" i="2"/>
  <c r="E547" i="2"/>
  <c r="F547" i="2" s="1"/>
  <c r="G547" i="2" s="1"/>
  <c r="D547" i="2"/>
  <c r="I547" i="2"/>
  <c r="A549" i="2"/>
  <c r="S283" i="2"/>
  <c r="AA283" i="2"/>
  <c r="L283" i="2"/>
  <c r="M283" i="2" s="1"/>
  <c r="H284" i="2" s="1"/>
  <c r="V283" i="2"/>
  <c r="X283" i="2" s="1"/>
  <c r="E548" i="2" l="1"/>
  <c r="F548" i="2" s="1"/>
  <c r="G548" i="2" s="1"/>
  <c r="I548" i="2"/>
  <c r="D548" i="2"/>
  <c r="J549" i="2"/>
  <c r="K548" i="2" s="1"/>
  <c r="T549" i="2"/>
  <c r="U548" i="2" s="1"/>
  <c r="C549" i="2"/>
  <c r="B550" i="2"/>
  <c r="R549" i="2"/>
  <c r="A550" i="2"/>
  <c r="P284" i="2"/>
  <c r="O284" i="2"/>
  <c r="Q284" i="2" s="1"/>
  <c r="N284" i="2"/>
  <c r="C550" i="2" l="1"/>
  <c r="B551" i="2"/>
  <c r="J550" i="2"/>
  <c r="K549" i="2" s="1"/>
  <c r="T550" i="2"/>
  <c r="U549" i="2" s="1"/>
  <c r="R550" i="2"/>
  <c r="I549" i="2"/>
  <c r="D549" i="2"/>
  <c r="E549" i="2"/>
  <c r="F549" i="2" s="1"/>
  <c r="G549" i="2" s="1"/>
  <c r="A551" i="2"/>
  <c r="S284" i="2"/>
  <c r="AA284" i="2"/>
  <c r="V284" i="2"/>
  <c r="X284" i="2" s="1"/>
  <c r="L284" i="2"/>
  <c r="M284" i="2" s="1"/>
  <c r="H285" i="2" s="1"/>
  <c r="J551" i="2" l="1"/>
  <c r="K550" i="2" s="1"/>
  <c r="R551" i="2"/>
  <c r="T551" i="2"/>
  <c r="U550" i="2" s="1"/>
  <c r="B552" i="2"/>
  <c r="C551" i="2"/>
  <c r="I550" i="2"/>
  <c r="D550" i="2"/>
  <c r="E550" i="2"/>
  <c r="F550" i="2" s="1"/>
  <c r="G550" i="2" s="1"/>
  <c r="A552" i="2"/>
  <c r="O285" i="2"/>
  <c r="Q285" i="2" s="1"/>
  <c r="N285" i="2"/>
  <c r="P285" i="2"/>
  <c r="R552" i="2" l="1"/>
  <c r="C552" i="2"/>
  <c r="T552" i="2"/>
  <c r="U551" i="2" s="1"/>
  <c r="J552" i="2"/>
  <c r="K551" i="2" s="1"/>
  <c r="B553" i="2"/>
  <c r="I551" i="2"/>
  <c r="D551" i="2"/>
  <c r="E551" i="2"/>
  <c r="F551" i="2" s="1"/>
  <c r="G551" i="2" s="1"/>
  <c r="A553" i="2"/>
  <c r="S285" i="2"/>
  <c r="AA285" i="2"/>
  <c r="V285" i="2"/>
  <c r="X285" i="2" s="1"/>
  <c r="L285" i="2"/>
  <c r="M285" i="2" s="1"/>
  <c r="H286" i="2" s="1"/>
  <c r="C553" i="2" l="1"/>
  <c r="J553" i="2"/>
  <c r="R553" i="2"/>
  <c r="B554" i="2"/>
  <c r="T553" i="2"/>
  <c r="U552" i="2" s="1"/>
  <c r="K552" i="2"/>
  <c r="D552" i="2"/>
  <c r="I552" i="2"/>
  <c r="E552" i="2"/>
  <c r="F552" i="2" s="1"/>
  <c r="G552" i="2" s="1"/>
  <c r="A554" i="2"/>
  <c r="N286" i="2"/>
  <c r="P286" i="2"/>
  <c r="O286" i="2"/>
  <c r="Q286" i="2" s="1"/>
  <c r="C554" i="2" l="1"/>
  <c r="T554" i="2"/>
  <c r="U553" i="2" s="1"/>
  <c r="J554" i="2"/>
  <c r="K553" i="2" s="1"/>
  <c r="B555" i="2"/>
  <c r="R554" i="2"/>
  <c r="D553" i="2"/>
  <c r="I553" i="2"/>
  <c r="E553" i="2"/>
  <c r="F553" i="2" s="1"/>
  <c r="G553" i="2" s="1"/>
  <c r="A555" i="2"/>
  <c r="S286" i="2"/>
  <c r="AA286" i="2"/>
  <c r="V286" i="2"/>
  <c r="X286" i="2" s="1"/>
  <c r="L286" i="2"/>
  <c r="M286" i="2" s="1"/>
  <c r="H287" i="2" s="1"/>
  <c r="B556" i="2" l="1"/>
  <c r="R555" i="2"/>
  <c r="J555" i="2"/>
  <c r="K554" i="2" s="1"/>
  <c r="C555" i="2"/>
  <c r="T555" i="2"/>
  <c r="U554" i="2" s="1"/>
  <c r="I554" i="2"/>
  <c r="D554" i="2"/>
  <c r="E554" i="2"/>
  <c r="F554" i="2" s="1"/>
  <c r="G554" i="2" s="1"/>
  <c r="A556" i="2"/>
  <c r="O287" i="2"/>
  <c r="Q287" i="2" s="1"/>
  <c r="N287" i="2"/>
  <c r="P287" i="2"/>
  <c r="E555" i="2" l="1"/>
  <c r="F555" i="2" s="1"/>
  <c r="G555" i="2" s="1"/>
  <c r="D555" i="2"/>
  <c r="I555" i="2"/>
  <c r="C556" i="2"/>
  <c r="B557" i="2"/>
  <c r="T556" i="2"/>
  <c r="U555" i="2" s="1"/>
  <c r="J556" i="2"/>
  <c r="K555" i="2" s="1"/>
  <c r="R556" i="2"/>
  <c r="A557" i="2"/>
  <c r="S287" i="2"/>
  <c r="AA287" i="2"/>
  <c r="L287" i="2"/>
  <c r="M287" i="2" s="1"/>
  <c r="H288" i="2" s="1"/>
  <c r="V287" i="2"/>
  <c r="X287" i="2" s="1"/>
  <c r="I556" i="2" l="1"/>
  <c r="E556" i="2"/>
  <c r="D556" i="2"/>
  <c r="F556" i="2"/>
  <c r="G556" i="2" s="1"/>
  <c r="C557" i="2"/>
  <c r="B558" i="2"/>
  <c r="J557" i="2"/>
  <c r="K556" i="2" s="1"/>
  <c r="R557" i="2"/>
  <c r="T557" i="2"/>
  <c r="U556" i="2" s="1"/>
  <c r="A558" i="2"/>
  <c r="N288" i="2"/>
  <c r="O288" i="2"/>
  <c r="Q288" i="2" s="1"/>
  <c r="P288" i="2"/>
  <c r="R558" i="2" l="1"/>
  <c r="C558" i="2"/>
  <c r="B559" i="2"/>
  <c r="J558" i="2"/>
  <c r="K557" i="2" s="1"/>
  <c r="T558" i="2"/>
  <c r="U557" i="2" s="1"/>
  <c r="E557" i="2"/>
  <c r="F557" i="2" s="1"/>
  <c r="G557" i="2" s="1"/>
  <c r="I557" i="2"/>
  <c r="D557" i="2"/>
  <c r="A559" i="2"/>
  <c r="S288" i="2"/>
  <c r="AA288" i="2"/>
  <c r="V288" i="2"/>
  <c r="X288" i="2" s="1"/>
  <c r="L288" i="2"/>
  <c r="M288" i="2" s="1"/>
  <c r="H289" i="2" s="1"/>
  <c r="R559" i="2" l="1"/>
  <c r="C559" i="2"/>
  <c r="B560" i="2"/>
  <c r="J559" i="2"/>
  <c r="K558" i="2" s="1"/>
  <c r="T559" i="2"/>
  <c r="U558" i="2" s="1"/>
  <c r="I558" i="2"/>
  <c r="D558" i="2"/>
  <c r="E558" i="2"/>
  <c r="F558" i="2" s="1"/>
  <c r="G558" i="2" s="1"/>
  <c r="A560" i="2"/>
  <c r="O289" i="2"/>
  <c r="Q289" i="2" s="1"/>
  <c r="P289" i="2"/>
  <c r="N289" i="2"/>
  <c r="J560" i="2" l="1"/>
  <c r="K559" i="2" s="1"/>
  <c r="B561" i="2"/>
  <c r="R560" i="2"/>
  <c r="T560" i="2"/>
  <c r="U559" i="2" s="1"/>
  <c r="C560" i="2"/>
  <c r="D559" i="2"/>
  <c r="I559" i="2"/>
  <c r="E559" i="2"/>
  <c r="F559" i="2" s="1"/>
  <c r="G559" i="2" s="1"/>
  <c r="A561" i="2"/>
  <c r="S289" i="2"/>
  <c r="L289" i="2"/>
  <c r="M289" i="2" s="1"/>
  <c r="H290" i="2" s="1"/>
  <c r="AA289" i="2"/>
  <c r="V289" i="2"/>
  <c r="X289" i="2" s="1"/>
  <c r="E560" i="2" l="1"/>
  <c r="F560" i="2" s="1"/>
  <c r="G560" i="2" s="1"/>
  <c r="I560" i="2"/>
  <c r="D560" i="2"/>
  <c r="B562" i="2"/>
  <c r="C561" i="2"/>
  <c r="J561" i="2"/>
  <c r="K560" i="2" s="1"/>
  <c r="T561" i="2"/>
  <c r="U560" i="2" s="1"/>
  <c r="R561" i="2"/>
  <c r="A562" i="2"/>
  <c r="P290" i="2"/>
  <c r="N290" i="2"/>
  <c r="O290" i="2"/>
  <c r="Q290" i="2" s="1"/>
  <c r="E561" i="2" l="1"/>
  <c r="F561" i="2" s="1"/>
  <c r="G561" i="2" s="1"/>
  <c r="I561" i="2"/>
  <c r="D561" i="2"/>
  <c r="T562" i="2"/>
  <c r="U561" i="2" s="1"/>
  <c r="B563" i="2"/>
  <c r="R562" i="2"/>
  <c r="J562" i="2"/>
  <c r="K561" i="2" s="1"/>
  <c r="C562" i="2"/>
  <c r="A563" i="2"/>
  <c r="S290" i="2"/>
  <c r="L290" i="2"/>
  <c r="M290" i="2" s="1"/>
  <c r="H291" i="2" s="1"/>
  <c r="AA290" i="2"/>
  <c r="V290" i="2"/>
  <c r="X290" i="2" s="1"/>
  <c r="B564" i="2" l="1"/>
  <c r="T563" i="2"/>
  <c r="U562" i="2" s="1"/>
  <c r="R563" i="2"/>
  <c r="C563" i="2"/>
  <c r="J563" i="2"/>
  <c r="K562" i="2" s="1"/>
  <c r="I562" i="2"/>
  <c r="D562" i="2"/>
  <c r="E562" i="2"/>
  <c r="F562" i="2" s="1"/>
  <c r="G562" i="2" s="1"/>
  <c r="A564" i="2"/>
  <c r="P291" i="2"/>
  <c r="O291" i="2"/>
  <c r="Q291" i="2" s="1"/>
  <c r="N291" i="2"/>
  <c r="D563" i="2" l="1"/>
  <c r="I563" i="2"/>
  <c r="E563" i="2"/>
  <c r="F563" i="2" s="1"/>
  <c r="G563" i="2" s="1"/>
  <c r="J564" i="2"/>
  <c r="K563" i="2" s="1"/>
  <c r="T564" i="2"/>
  <c r="U563" i="2" s="1"/>
  <c r="R564" i="2"/>
  <c r="B565" i="2"/>
  <c r="C564" i="2"/>
  <c r="A565" i="2"/>
  <c r="S291" i="2"/>
  <c r="L291" i="2"/>
  <c r="M291" i="2" s="1"/>
  <c r="V291" i="2"/>
  <c r="X291" i="2" s="1"/>
  <c r="AA291" i="2"/>
  <c r="E564" i="2" l="1"/>
  <c r="F564" i="2" s="1"/>
  <c r="G564" i="2" s="1"/>
  <c r="I564" i="2"/>
  <c r="D564" i="2"/>
  <c r="R565" i="2"/>
  <c r="T565" i="2"/>
  <c r="U564" i="2" s="1"/>
  <c r="C565" i="2"/>
  <c r="J565" i="2"/>
  <c r="K564" i="2" s="1"/>
  <c r="B566" i="2"/>
  <c r="A566" i="2"/>
  <c r="O292" i="2"/>
  <c r="Q292" i="2" s="1"/>
  <c r="H292" i="2"/>
  <c r="P292" i="2" s="1"/>
  <c r="N292" i="2"/>
  <c r="D565" i="2" l="1"/>
  <c r="I565" i="2"/>
  <c r="E565" i="2"/>
  <c r="F565" i="2" s="1"/>
  <c r="G565" i="2" s="1"/>
  <c r="J566" i="2"/>
  <c r="K565" i="2" s="1"/>
  <c r="B567" i="2"/>
  <c r="R566" i="2"/>
  <c r="T566" i="2"/>
  <c r="U565" i="2" s="1"/>
  <c r="C566" i="2"/>
  <c r="A567" i="2"/>
  <c r="AA292" i="2"/>
  <c r="S292" i="2"/>
  <c r="V292" i="2"/>
  <c r="X292" i="2" s="1"/>
  <c r="L292" i="2"/>
  <c r="M292" i="2" s="1"/>
  <c r="I566" i="2" l="1"/>
  <c r="E566" i="2"/>
  <c r="F566" i="2" s="1"/>
  <c r="G566" i="2" s="1"/>
  <c r="D566" i="2"/>
  <c r="B568" i="2"/>
  <c r="R567" i="2"/>
  <c r="T567" i="2"/>
  <c r="U566" i="2" s="1"/>
  <c r="J567" i="2"/>
  <c r="K566" i="2" s="1"/>
  <c r="C567" i="2"/>
  <c r="A568" i="2"/>
  <c r="O293" i="2"/>
  <c r="Q293" i="2" s="1"/>
  <c r="H293" i="2"/>
  <c r="P293" i="2" s="1"/>
  <c r="N293" i="2"/>
  <c r="AA293" i="2" l="1"/>
  <c r="D567" i="2"/>
  <c r="E567" i="2"/>
  <c r="F567" i="2" s="1"/>
  <c r="G567" i="2" s="1"/>
  <c r="I567" i="2"/>
  <c r="C568" i="2"/>
  <c r="R568" i="2"/>
  <c r="T568" i="2"/>
  <c r="U567" i="2" s="1"/>
  <c r="B569" i="2"/>
  <c r="J568" i="2"/>
  <c r="K567" i="2" s="1"/>
  <c r="A569" i="2"/>
  <c r="S293" i="2"/>
  <c r="L293" i="2"/>
  <c r="M293" i="2" s="1"/>
  <c r="V293" i="2"/>
  <c r="X293" i="2" s="1"/>
  <c r="J569" i="2" l="1"/>
  <c r="K568" i="2" s="1"/>
  <c r="B570" i="2"/>
  <c r="C569" i="2"/>
  <c r="R569" i="2"/>
  <c r="T569" i="2"/>
  <c r="U568" i="2" s="1"/>
  <c r="I568" i="2"/>
  <c r="D568" i="2"/>
  <c r="E568" i="2"/>
  <c r="F568" i="2" s="1"/>
  <c r="G568" i="2" s="1"/>
  <c r="A570" i="2"/>
  <c r="N294" i="2"/>
  <c r="S294" i="2" s="1"/>
  <c r="H294" i="2"/>
  <c r="P294" i="2" s="1"/>
  <c r="O294" i="2"/>
  <c r="Q294" i="2" s="1"/>
  <c r="I569" i="2" l="1"/>
  <c r="D569" i="2"/>
  <c r="E569" i="2"/>
  <c r="F569" i="2" s="1"/>
  <c r="G569" i="2" s="1"/>
  <c r="J570" i="2"/>
  <c r="K569" i="2" s="1"/>
  <c r="C570" i="2"/>
  <c r="R570" i="2"/>
  <c r="B571" i="2"/>
  <c r="T570" i="2"/>
  <c r="U569" i="2" s="1"/>
  <c r="A571" i="2"/>
  <c r="V294" i="2"/>
  <c r="X294" i="2" s="1"/>
  <c r="L294" i="2"/>
  <c r="M294" i="2" s="1"/>
  <c r="AA294" i="2"/>
  <c r="B572" i="2" l="1"/>
  <c r="C571" i="2"/>
  <c r="J571" i="2"/>
  <c r="K570" i="2" s="1"/>
  <c r="T571" i="2"/>
  <c r="U570" i="2" s="1"/>
  <c r="R571" i="2"/>
  <c r="D570" i="2"/>
  <c r="I570" i="2"/>
  <c r="E570" i="2"/>
  <c r="F570" i="2" s="1"/>
  <c r="G570" i="2" s="1"/>
  <c r="A572" i="2"/>
  <c r="N295" i="2"/>
  <c r="S295" i="2" s="1"/>
  <c r="H295" i="2"/>
  <c r="P295" i="2" s="1"/>
  <c r="O295" i="2"/>
  <c r="Q295" i="2" s="1"/>
  <c r="E571" i="2" l="1"/>
  <c r="F571" i="2" s="1"/>
  <c r="G571" i="2" s="1"/>
  <c r="D571" i="2"/>
  <c r="I571" i="2"/>
  <c r="T572" i="2"/>
  <c r="U571" i="2" s="1"/>
  <c r="C572" i="2"/>
  <c r="B573" i="2"/>
  <c r="R572" i="2"/>
  <c r="J572" i="2"/>
  <c r="K571" i="2" s="1"/>
  <c r="A573" i="2"/>
  <c r="V295" i="2"/>
  <c r="X295" i="2" s="1"/>
  <c r="AA295" i="2"/>
  <c r="L295" i="2"/>
  <c r="M295" i="2" s="1"/>
  <c r="T573" i="2" l="1"/>
  <c r="U572" i="2" s="1"/>
  <c r="R573" i="2"/>
  <c r="B574" i="2"/>
  <c r="C573" i="2"/>
  <c r="J573" i="2"/>
  <c r="K572" i="2" s="1"/>
  <c r="I572" i="2"/>
  <c r="E572" i="2"/>
  <c r="F572" i="2" s="1"/>
  <c r="G572" i="2" s="1"/>
  <c r="D572" i="2"/>
  <c r="A574" i="2"/>
  <c r="O296" i="2"/>
  <c r="Q296" i="2" s="1"/>
  <c r="H296" i="2"/>
  <c r="P296" i="2" s="1"/>
  <c r="N296" i="2"/>
  <c r="AA296" i="2" l="1"/>
  <c r="I573" i="2"/>
  <c r="D573" i="2"/>
  <c r="E573" i="2"/>
  <c r="F573" i="2" s="1"/>
  <c r="G573" i="2" s="1"/>
  <c r="B575" i="2"/>
  <c r="T574" i="2"/>
  <c r="U573" i="2" s="1"/>
  <c r="R574" i="2"/>
  <c r="C574" i="2"/>
  <c r="J574" i="2"/>
  <c r="K573" i="2" s="1"/>
  <c r="A575" i="2"/>
  <c r="S296" i="2"/>
  <c r="L296" i="2"/>
  <c r="M296" i="2" s="1"/>
  <c r="V296" i="2"/>
  <c r="X296" i="2" s="1"/>
  <c r="I574" i="2" l="1"/>
  <c r="D574" i="2"/>
  <c r="E574" i="2"/>
  <c r="F574" i="2" s="1"/>
  <c r="G574" i="2" s="1"/>
  <c r="B576" i="2"/>
  <c r="T575" i="2"/>
  <c r="U574" i="2" s="1"/>
  <c r="C575" i="2"/>
  <c r="J575" i="2"/>
  <c r="K574" i="2" s="1"/>
  <c r="R575" i="2"/>
  <c r="A576" i="2"/>
  <c r="N297" i="2"/>
  <c r="S297" i="2" s="1"/>
  <c r="H297" i="2"/>
  <c r="P297" i="2" s="1"/>
  <c r="O297" i="2"/>
  <c r="Q297" i="2" s="1"/>
  <c r="U576" i="2" l="1"/>
  <c r="T576" i="2"/>
  <c r="U575" i="2" s="1"/>
  <c r="J576" i="2"/>
  <c r="C576" i="2"/>
  <c r="K575" i="2"/>
  <c r="R576" i="2"/>
  <c r="E575" i="2"/>
  <c r="F575" i="2"/>
  <c r="G575" i="2" s="1"/>
  <c r="D575" i="2"/>
  <c r="I575" i="2"/>
  <c r="V297" i="2"/>
  <c r="X297" i="2" s="1"/>
  <c r="L297" i="2"/>
  <c r="M297" i="2" s="1"/>
  <c r="AA297" i="2"/>
  <c r="I576" i="2" l="1"/>
  <c r="D576" i="2"/>
  <c r="E576" i="2"/>
  <c r="F576" i="2" s="1"/>
  <c r="G576" i="2" s="1"/>
  <c r="N298" i="2"/>
  <c r="S298" i="2" s="1"/>
  <c r="H298" i="2"/>
  <c r="P298" i="2" s="1"/>
  <c r="O298" i="2"/>
  <c r="Q298" i="2" s="1"/>
  <c r="V298" i="2" l="1"/>
  <c r="X298" i="2" s="1"/>
  <c r="L298" i="2"/>
  <c r="M298" i="2" s="1"/>
  <c r="AA298" i="2"/>
  <c r="O299" i="2" l="1"/>
  <c r="Q299" i="2" s="1"/>
  <c r="H299" i="2"/>
  <c r="P299" i="2" s="1"/>
  <c r="N299" i="2"/>
  <c r="AA299" i="2" l="1"/>
  <c r="S299" i="2"/>
  <c r="V299" i="2"/>
  <c r="X299" i="2" s="1"/>
  <c r="L299" i="2"/>
  <c r="M299" i="2" s="1"/>
  <c r="H300" i="2" l="1"/>
  <c r="P300" i="2" s="1"/>
  <c r="N300" i="2"/>
  <c r="O300" i="2"/>
  <c r="Q300" i="2" s="1"/>
  <c r="L300" i="2" l="1"/>
  <c r="M300" i="2" s="1"/>
  <c r="H301" i="2" s="1"/>
  <c r="P301" i="2" s="1"/>
  <c r="S300" i="2"/>
  <c r="AA300" i="2"/>
  <c r="V300" i="2"/>
  <c r="X300" i="2" s="1"/>
  <c r="N301" i="2" l="1"/>
  <c r="S301" i="2" s="1"/>
  <c r="O301" i="2"/>
  <c r="Q301" i="2" s="1"/>
  <c r="AA301" i="2" s="1"/>
  <c r="L301" i="2"/>
  <c r="M301" i="2" s="1"/>
  <c r="H302" i="2" s="1"/>
  <c r="V301" i="2" l="1"/>
  <c r="X301" i="2" s="1"/>
  <c r="P302" i="2"/>
  <c r="N302" i="2"/>
  <c r="O302" i="2"/>
  <c r="Q302" i="2" s="1"/>
  <c r="S302" i="2" l="1"/>
  <c r="L302" i="2"/>
  <c r="M302" i="2" s="1"/>
  <c r="H303" i="2" s="1"/>
  <c r="AA302" i="2"/>
  <c r="V302" i="2"/>
  <c r="X302" i="2" s="1"/>
  <c r="N303" i="2" l="1"/>
  <c r="O303" i="2"/>
  <c r="Q303" i="2" s="1"/>
  <c r="P303" i="2"/>
  <c r="S303" i="2" l="1"/>
  <c r="AA303" i="2"/>
  <c r="L303" i="2"/>
  <c r="M303" i="2" s="1"/>
  <c r="H304" i="2" s="1"/>
  <c r="V303" i="2"/>
  <c r="X303" i="2" s="1"/>
  <c r="O304" i="2" l="1"/>
  <c r="Q304" i="2" s="1"/>
  <c r="N304" i="2"/>
  <c r="P304" i="2"/>
  <c r="S304" i="2" l="1"/>
  <c r="AA304" i="2"/>
  <c r="V304" i="2"/>
  <c r="X304" i="2" s="1"/>
  <c r="L304" i="2"/>
  <c r="M304" i="2" s="1"/>
  <c r="H305" i="2" s="1"/>
  <c r="N305" i="2" l="1"/>
  <c r="O305" i="2"/>
  <c r="Q305" i="2" s="1"/>
  <c r="P305" i="2"/>
  <c r="S305" i="2" l="1"/>
  <c r="AA305" i="2"/>
  <c r="L305" i="2"/>
  <c r="M305" i="2" s="1"/>
  <c r="H306" i="2" s="1"/>
  <c r="V305" i="2"/>
  <c r="X305" i="2" s="1"/>
  <c r="N306" i="2" l="1"/>
  <c r="O306" i="2"/>
  <c r="Q306" i="2" s="1"/>
  <c r="P306" i="2"/>
  <c r="S306" i="2" l="1"/>
  <c r="AA306" i="2"/>
  <c r="L306" i="2"/>
  <c r="M306" i="2" s="1"/>
  <c r="H307" i="2" s="1"/>
  <c r="V306" i="2"/>
  <c r="X306" i="2" s="1"/>
  <c r="N307" i="2" l="1"/>
  <c r="O307" i="2"/>
  <c r="Q307" i="2" s="1"/>
  <c r="P307" i="2"/>
  <c r="S307" i="2" l="1"/>
  <c r="AA307" i="2"/>
  <c r="V307" i="2"/>
  <c r="X307" i="2" s="1"/>
  <c r="L307" i="2"/>
  <c r="M307" i="2" s="1"/>
  <c r="H308" i="2" s="1"/>
  <c r="N308" i="2" l="1"/>
  <c r="O308" i="2"/>
  <c r="Q308" i="2" s="1"/>
  <c r="P308" i="2"/>
  <c r="S308" i="2" l="1"/>
  <c r="AA308" i="2"/>
  <c r="L308" i="2"/>
  <c r="M308" i="2" s="1"/>
  <c r="H309" i="2" s="1"/>
  <c r="V308" i="2"/>
  <c r="X308" i="2" s="1"/>
  <c r="O309" i="2" l="1"/>
  <c r="Q309" i="2" s="1"/>
  <c r="P309" i="2"/>
  <c r="L309" i="2"/>
  <c r="M309" i="2" s="1"/>
  <c r="H310" i="2" s="1"/>
  <c r="N309" i="2"/>
  <c r="S309" i="2" l="1"/>
  <c r="AA309" i="2"/>
  <c r="V309" i="2"/>
  <c r="X309" i="2" s="1"/>
  <c r="O310" i="2"/>
  <c r="Q310" i="2" s="1"/>
  <c r="N310" i="2"/>
  <c r="P310" i="2"/>
  <c r="S310" i="2" l="1"/>
  <c r="AA310" i="2"/>
  <c r="V310" i="2"/>
  <c r="X310" i="2" s="1"/>
  <c r="L310" i="2"/>
  <c r="M310" i="2" s="1"/>
  <c r="H311" i="2" s="1"/>
  <c r="P311" i="2" l="1"/>
  <c r="N311" i="2"/>
  <c r="O311" i="2"/>
  <c r="Q311" i="2" s="1"/>
  <c r="S311" i="2" l="1"/>
  <c r="L311" i="2"/>
  <c r="M311" i="2" s="1"/>
  <c r="H312" i="2" s="1"/>
  <c r="AA311" i="2"/>
  <c r="V311" i="2"/>
  <c r="X311" i="2" s="1"/>
  <c r="O312" i="2" l="1"/>
  <c r="Q312" i="2" s="1"/>
  <c r="N312" i="2"/>
  <c r="P312" i="2"/>
  <c r="S312" i="2" l="1"/>
  <c r="L312" i="2"/>
  <c r="M312" i="2" s="1"/>
  <c r="H313" i="2" s="1"/>
  <c r="AA312" i="2"/>
  <c r="V312" i="2"/>
  <c r="X312" i="2" s="1"/>
  <c r="O313" i="2" l="1"/>
  <c r="Q313" i="2" s="1"/>
  <c r="P313" i="2"/>
  <c r="N313" i="2"/>
  <c r="S313" i="2" l="1"/>
  <c r="AA313" i="2"/>
  <c r="V313" i="2"/>
  <c r="X313" i="2" s="1"/>
  <c r="L313" i="2"/>
  <c r="M313" i="2" s="1"/>
  <c r="H314" i="2" s="1"/>
  <c r="N314" i="2" l="1"/>
  <c r="O314" i="2"/>
  <c r="Q314" i="2" s="1"/>
  <c r="P314" i="2"/>
  <c r="S314" i="2" l="1"/>
  <c r="AA314" i="2"/>
  <c r="L314" i="2"/>
  <c r="M314" i="2" s="1"/>
  <c r="H315" i="2" s="1"/>
  <c r="V314" i="2"/>
  <c r="X314" i="2" s="1"/>
  <c r="N315" i="2" l="1"/>
  <c r="O315" i="2"/>
  <c r="Q315" i="2" s="1"/>
  <c r="P315" i="2"/>
  <c r="S315" i="2" l="1"/>
  <c r="AA315" i="2"/>
  <c r="L315" i="2"/>
  <c r="M315" i="2" s="1"/>
  <c r="H316" i="2" s="1"/>
  <c r="V315" i="2"/>
  <c r="X315" i="2" s="1"/>
  <c r="P316" i="2" l="1"/>
  <c r="O316" i="2"/>
  <c r="Q316" i="2" s="1"/>
  <c r="N316" i="2"/>
  <c r="S316" i="2" l="1"/>
  <c r="L316" i="2"/>
  <c r="M316" i="2" s="1"/>
  <c r="H317" i="2" s="1"/>
  <c r="AA316" i="2"/>
  <c r="V316" i="2"/>
  <c r="X316" i="2" s="1"/>
  <c r="P317" i="2" l="1"/>
  <c r="N317" i="2"/>
  <c r="O317" i="2"/>
  <c r="Q317" i="2" s="1"/>
  <c r="S317" i="2" l="1"/>
  <c r="AA317" i="2"/>
  <c r="V317" i="2"/>
  <c r="X317" i="2" s="1"/>
  <c r="L317" i="2"/>
  <c r="M317" i="2" s="1"/>
  <c r="H318" i="2" s="1"/>
  <c r="N318" i="2" l="1"/>
  <c r="O318" i="2"/>
  <c r="Q318" i="2" s="1"/>
  <c r="P318" i="2"/>
  <c r="S318" i="2" l="1"/>
  <c r="AA318" i="2"/>
  <c r="L318" i="2"/>
  <c r="M318" i="2" s="1"/>
  <c r="H319" i="2" s="1"/>
  <c r="V318" i="2"/>
  <c r="X318" i="2" s="1"/>
  <c r="O319" i="2" l="1"/>
  <c r="Q319" i="2" s="1"/>
  <c r="N319" i="2"/>
  <c r="P319" i="2"/>
  <c r="S319" i="2" l="1"/>
  <c r="AA319" i="2"/>
  <c r="V319" i="2"/>
  <c r="X319" i="2" s="1"/>
  <c r="L319" i="2"/>
  <c r="M319" i="2" s="1"/>
  <c r="H320" i="2" s="1"/>
  <c r="O320" i="2" l="1"/>
  <c r="Q320" i="2" s="1"/>
  <c r="N320" i="2"/>
  <c r="P320" i="2"/>
  <c r="S320" i="2" l="1"/>
  <c r="AA320" i="2"/>
  <c r="V320" i="2"/>
  <c r="X320" i="2" s="1"/>
  <c r="L320" i="2"/>
  <c r="M320" i="2" s="1"/>
  <c r="H321" i="2" s="1"/>
  <c r="O321" i="2" l="1"/>
  <c r="Q321" i="2" s="1"/>
  <c r="P321" i="2"/>
  <c r="N321" i="2"/>
  <c r="S321" i="2" l="1"/>
  <c r="L321" i="2"/>
  <c r="M321" i="2" s="1"/>
  <c r="H322" i="2" s="1"/>
  <c r="AA321" i="2"/>
  <c r="V321" i="2"/>
  <c r="X321" i="2" s="1"/>
  <c r="P322" i="2" l="1"/>
  <c r="N322" i="2"/>
  <c r="O322" i="2"/>
  <c r="Q322" i="2" s="1"/>
  <c r="S322" i="2" l="1"/>
  <c r="AA322" i="2"/>
  <c r="L322" i="2"/>
  <c r="M322" i="2" s="1"/>
  <c r="H323" i="2" s="1"/>
  <c r="V322" i="2"/>
  <c r="X322" i="2" s="1"/>
  <c r="N323" i="2" l="1"/>
  <c r="O323" i="2"/>
  <c r="Q323" i="2" s="1"/>
  <c r="P323" i="2"/>
  <c r="S323" i="2" l="1"/>
  <c r="AA323" i="2"/>
  <c r="L323" i="2"/>
  <c r="M323" i="2" s="1"/>
  <c r="H324" i="2" s="1"/>
  <c r="V323" i="2"/>
  <c r="X323" i="2" s="1"/>
  <c r="P324" i="2" l="1"/>
  <c r="N324" i="2"/>
  <c r="O324" i="2"/>
  <c r="Q324" i="2" s="1"/>
  <c r="S324" i="2" l="1"/>
  <c r="AA324" i="2"/>
  <c r="V324" i="2"/>
  <c r="X324" i="2" s="1"/>
  <c r="L324" i="2"/>
  <c r="M324" i="2" s="1"/>
  <c r="H325" i="2" s="1"/>
  <c r="O325" i="2" l="1"/>
  <c r="Q325" i="2" s="1"/>
  <c r="N325" i="2"/>
  <c r="P325" i="2"/>
  <c r="S325" i="2" l="1"/>
  <c r="AA325" i="2"/>
  <c r="V325" i="2"/>
  <c r="X325" i="2" s="1"/>
  <c r="L325" i="2"/>
  <c r="M325" i="2" s="1"/>
  <c r="H326" i="2" s="1"/>
  <c r="P326" i="2" l="1"/>
  <c r="O326" i="2"/>
  <c r="Q326" i="2" s="1"/>
  <c r="N326" i="2"/>
  <c r="S326" i="2" l="1"/>
  <c r="AA326" i="2"/>
  <c r="V326" i="2"/>
  <c r="X326" i="2" s="1"/>
  <c r="L326" i="2"/>
  <c r="M326" i="2" s="1"/>
  <c r="H327" i="2" s="1"/>
  <c r="P327" i="2" l="1"/>
  <c r="O327" i="2"/>
  <c r="Q327" i="2" s="1"/>
  <c r="N327" i="2"/>
  <c r="S327" i="2" l="1"/>
  <c r="L327" i="2"/>
  <c r="M327" i="2" s="1"/>
  <c r="H328" i="2" s="1"/>
  <c r="AA327" i="2"/>
  <c r="V327" i="2"/>
  <c r="X327" i="2" s="1"/>
  <c r="N328" i="2" l="1"/>
  <c r="P328" i="2"/>
  <c r="O328" i="2"/>
  <c r="Q328" i="2" s="1"/>
  <c r="S328" i="2" l="1"/>
  <c r="AA328" i="2"/>
  <c r="V328" i="2"/>
  <c r="X328" i="2" s="1"/>
  <c r="L328" i="2"/>
  <c r="M328" i="2" s="1"/>
  <c r="H329" i="2" s="1"/>
  <c r="N329" i="2" l="1"/>
  <c r="P329" i="2"/>
  <c r="O329" i="2"/>
  <c r="Q329" i="2" s="1"/>
  <c r="S329" i="2" l="1"/>
  <c r="L329" i="2"/>
  <c r="M329" i="2" s="1"/>
  <c r="H330" i="2" s="1"/>
  <c r="AA329" i="2"/>
  <c r="V329" i="2"/>
  <c r="X329" i="2" s="1"/>
  <c r="O330" i="2" l="1"/>
  <c r="Q330" i="2" s="1"/>
  <c r="N330" i="2"/>
  <c r="P330" i="2"/>
  <c r="S330" i="2" l="1"/>
  <c r="AA330" i="2"/>
  <c r="V330" i="2"/>
  <c r="X330" i="2" s="1"/>
  <c r="L330" i="2"/>
  <c r="M330" i="2" s="1"/>
  <c r="H331" i="2" s="1"/>
  <c r="N331" i="2" l="1"/>
  <c r="O331" i="2"/>
  <c r="Q331" i="2" s="1"/>
  <c r="P331" i="2"/>
  <c r="S331" i="2" l="1"/>
  <c r="AA331" i="2"/>
  <c r="V331" i="2"/>
  <c r="X331" i="2" s="1"/>
  <c r="L331" i="2"/>
  <c r="M331" i="2" s="1"/>
  <c r="H332" i="2" s="1"/>
  <c r="P332" i="2" l="1"/>
  <c r="N332" i="2"/>
  <c r="O332" i="2"/>
  <c r="Q332" i="2" s="1"/>
  <c r="S332" i="2" l="1"/>
  <c r="L332" i="2"/>
  <c r="M332" i="2" s="1"/>
  <c r="H333" i="2" s="1"/>
  <c r="AA332" i="2"/>
  <c r="V332" i="2"/>
  <c r="X332" i="2" s="1"/>
  <c r="P333" i="2" l="1"/>
  <c r="O333" i="2"/>
  <c r="Q333" i="2" s="1"/>
  <c r="N333" i="2"/>
  <c r="S333" i="2" l="1"/>
  <c r="L333" i="2"/>
  <c r="M333" i="2" s="1"/>
  <c r="H334" i="2" s="1"/>
  <c r="AA333" i="2"/>
  <c r="V333" i="2"/>
  <c r="X333" i="2" s="1"/>
  <c r="O334" i="2" l="1"/>
  <c r="Q334" i="2" s="1"/>
  <c r="P334" i="2"/>
  <c r="N334" i="2"/>
  <c r="S334" i="2" l="1"/>
  <c r="L334" i="2"/>
  <c r="M334" i="2" s="1"/>
  <c r="H335" i="2" s="1"/>
  <c r="AA334" i="2"/>
  <c r="V334" i="2"/>
  <c r="X334" i="2" s="1"/>
  <c r="O335" i="2" l="1"/>
  <c r="Q335" i="2" s="1"/>
  <c r="N335" i="2"/>
  <c r="P335" i="2"/>
  <c r="S335" i="2" l="1"/>
  <c r="AA335" i="2"/>
  <c r="L335" i="2"/>
  <c r="M335" i="2" s="1"/>
  <c r="H336" i="2" s="1"/>
  <c r="V335" i="2"/>
  <c r="X335" i="2" s="1"/>
  <c r="O336" i="2" l="1"/>
  <c r="Q336" i="2" s="1"/>
  <c r="P336" i="2"/>
  <c r="N336" i="2"/>
  <c r="S336" i="2" l="1"/>
  <c r="AA336" i="2"/>
  <c r="L336" i="2"/>
  <c r="M336" i="2" s="1"/>
  <c r="H337" i="2" s="1"/>
  <c r="V336" i="2"/>
  <c r="X336" i="2" s="1"/>
  <c r="N337" i="2" l="1"/>
  <c r="P337" i="2"/>
  <c r="O337" i="2"/>
  <c r="Q337" i="2" s="1"/>
  <c r="S337" i="2" l="1"/>
  <c r="L337" i="2"/>
  <c r="M337" i="2" s="1"/>
  <c r="H338" i="2" s="1"/>
  <c r="AA337" i="2"/>
  <c r="V337" i="2"/>
  <c r="X337" i="2" s="1"/>
  <c r="O338" i="2" l="1"/>
  <c r="Q338" i="2" s="1"/>
  <c r="P338" i="2"/>
  <c r="N338" i="2"/>
  <c r="S338" i="2" l="1"/>
  <c r="L338" i="2"/>
  <c r="M338" i="2" s="1"/>
  <c r="H339" i="2" s="1"/>
  <c r="AA338" i="2"/>
  <c r="V338" i="2"/>
  <c r="X338" i="2" s="1"/>
  <c r="N339" i="2" l="1"/>
  <c r="O339" i="2"/>
  <c r="Q339" i="2" s="1"/>
  <c r="P339" i="2"/>
  <c r="S339" i="2" l="1"/>
  <c r="AA339" i="2"/>
  <c r="L339" i="2"/>
  <c r="M339" i="2" s="1"/>
  <c r="H340" i="2" s="1"/>
  <c r="V339" i="2"/>
  <c r="X339" i="2" s="1"/>
  <c r="O340" i="2" l="1"/>
  <c r="Q340" i="2" s="1"/>
  <c r="N340" i="2"/>
  <c r="P340" i="2"/>
  <c r="S340" i="2" l="1"/>
  <c r="AA340" i="2"/>
  <c r="V340" i="2"/>
  <c r="X340" i="2" s="1"/>
  <c r="L340" i="2"/>
  <c r="M340" i="2" s="1"/>
  <c r="H341" i="2" s="1"/>
  <c r="O341" i="2" l="1"/>
  <c r="Q341" i="2" s="1"/>
  <c r="N341" i="2"/>
  <c r="P341" i="2"/>
  <c r="S341" i="2" l="1"/>
  <c r="AA341" i="2"/>
  <c r="V341" i="2"/>
  <c r="X341" i="2" s="1"/>
  <c r="L341" i="2"/>
  <c r="M341" i="2" s="1"/>
  <c r="H342" i="2" s="1"/>
  <c r="P342" i="2" l="1"/>
  <c r="O342" i="2"/>
  <c r="Q342" i="2" s="1"/>
  <c r="N342" i="2"/>
  <c r="S342" i="2" l="1"/>
  <c r="L342" i="2"/>
  <c r="M342" i="2" s="1"/>
  <c r="H343" i="2" s="1"/>
  <c r="AA342" i="2"/>
  <c r="V342" i="2"/>
  <c r="X342" i="2" s="1"/>
  <c r="O343" i="2" l="1"/>
  <c r="Q343" i="2" s="1"/>
  <c r="P343" i="2"/>
  <c r="N343" i="2"/>
  <c r="S343" i="2" l="1"/>
  <c r="L343" i="2"/>
  <c r="M343" i="2" s="1"/>
  <c r="H344" i="2" s="1"/>
  <c r="AA343" i="2"/>
  <c r="V343" i="2"/>
  <c r="X343" i="2" s="1"/>
  <c r="N344" i="2" l="1"/>
  <c r="P344" i="2"/>
  <c r="O344" i="2"/>
  <c r="Q344" i="2" s="1"/>
  <c r="S344" i="2" l="1"/>
  <c r="AA344" i="2"/>
  <c r="V344" i="2"/>
  <c r="X344" i="2" s="1"/>
  <c r="L344" i="2"/>
  <c r="M344" i="2" s="1"/>
  <c r="H345" i="2" s="1"/>
  <c r="O345" i="2" l="1"/>
  <c r="Q345" i="2" s="1"/>
  <c r="P345" i="2"/>
  <c r="N345" i="2"/>
  <c r="S345" i="2" l="1"/>
  <c r="AA345" i="2"/>
  <c r="L345" i="2"/>
  <c r="M345" i="2" s="1"/>
  <c r="H346" i="2" s="1"/>
  <c r="V345" i="2"/>
  <c r="X345" i="2" s="1"/>
  <c r="O346" i="2" l="1"/>
  <c r="Q346" i="2" s="1"/>
  <c r="P346" i="2"/>
  <c r="N346" i="2"/>
  <c r="S346" i="2" l="1"/>
  <c r="L346" i="2"/>
  <c r="M346" i="2" s="1"/>
  <c r="H347" i="2" s="1"/>
  <c r="AA346" i="2"/>
  <c r="V346" i="2"/>
  <c r="X346" i="2" s="1"/>
  <c r="O347" i="2" l="1"/>
  <c r="Q347" i="2" s="1"/>
  <c r="N347" i="2"/>
  <c r="P347" i="2"/>
  <c r="S347" i="2" l="1"/>
  <c r="AA347" i="2"/>
  <c r="L347" i="2"/>
  <c r="M347" i="2" s="1"/>
  <c r="H348" i="2" s="1"/>
  <c r="V347" i="2"/>
  <c r="X347" i="2" s="1"/>
  <c r="N348" i="2" l="1"/>
  <c r="P348" i="2"/>
  <c r="O348" i="2"/>
  <c r="Q348" i="2" s="1"/>
  <c r="S348" i="2" l="1"/>
  <c r="L348" i="2"/>
  <c r="M348" i="2" s="1"/>
  <c r="H349" i="2" s="1"/>
  <c r="AA348" i="2"/>
  <c r="V348" i="2"/>
  <c r="X348" i="2" s="1"/>
  <c r="P349" i="2" l="1"/>
  <c r="N349" i="2"/>
  <c r="O349" i="2"/>
  <c r="Q349" i="2" s="1"/>
  <c r="S349" i="2" l="1"/>
  <c r="AA349" i="2"/>
  <c r="L349" i="2"/>
  <c r="M349" i="2" s="1"/>
  <c r="H350" i="2" s="1"/>
  <c r="V349" i="2"/>
  <c r="X349" i="2" s="1"/>
  <c r="O350" i="2" l="1"/>
  <c r="Q350" i="2" s="1"/>
  <c r="N350" i="2"/>
  <c r="P350" i="2"/>
  <c r="S350" i="2" l="1"/>
  <c r="AA350" i="2"/>
  <c r="L350" i="2"/>
  <c r="M350" i="2" s="1"/>
  <c r="H351" i="2" s="1"/>
  <c r="V350" i="2"/>
  <c r="X350" i="2" s="1"/>
  <c r="N351" i="2" l="1"/>
  <c r="O351" i="2"/>
  <c r="Q351" i="2" s="1"/>
  <c r="P351" i="2"/>
  <c r="S351" i="2" l="1"/>
  <c r="AA351" i="2"/>
  <c r="L351" i="2"/>
  <c r="M351" i="2" s="1"/>
  <c r="H352" i="2" s="1"/>
  <c r="V351" i="2"/>
  <c r="X351" i="2" s="1"/>
  <c r="O352" i="2" l="1"/>
  <c r="Q352" i="2" s="1"/>
  <c r="P352" i="2"/>
  <c r="N352" i="2"/>
  <c r="S352" i="2" l="1"/>
  <c r="AA352" i="2"/>
  <c r="V352" i="2"/>
  <c r="X352" i="2" s="1"/>
  <c r="L352" i="2"/>
  <c r="M352" i="2" s="1"/>
  <c r="H353" i="2" s="1"/>
  <c r="P353" i="2" l="1"/>
  <c r="N353" i="2"/>
  <c r="O353" i="2"/>
  <c r="Q353" i="2" s="1"/>
  <c r="S353" i="2" l="1"/>
  <c r="L353" i="2"/>
  <c r="M353" i="2" s="1"/>
  <c r="H354" i="2" s="1"/>
  <c r="AA353" i="2"/>
  <c r="V353" i="2"/>
  <c r="X353" i="2" s="1"/>
  <c r="O354" i="2" l="1"/>
  <c r="Q354" i="2" s="1"/>
  <c r="P354" i="2"/>
  <c r="N354" i="2"/>
  <c r="S354" i="2" l="1"/>
  <c r="AA354" i="2"/>
  <c r="L354" i="2"/>
  <c r="M354" i="2" s="1"/>
  <c r="H355" i="2" s="1"/>
  <c r="V354" i="2"/>
  <c r="X354" i="2" s="1"/>
  <c r="O355" i="2" l="1"/>
  <c r="Q355" i="2" s="1"/>
  <c r="N355" i="2"/>
  <c r="P355" i="2"/>
  <c r="S355" i="2" l="1"/>
  <c r="AA355" i="2"/>
  <c r="V355" i="2"/>
  <c r="X355" i="2" s="1"/>
  <c r="L355" i="2"/>
  <c r="M355" i="2" s="1"/>
  <c r="H356" i="2" s="1"/>
  <c r="P356" i="2" l="1"/>
  <c r="N356" i="2"/>
  <c r="O356" i="2"/>
  <c r="Q356" i="2" s="1"/>
  <c r="S356" i="2" l="1"/>
  <c r="AA356" i="2"/>
  <c r="V356" i="2"/>
  <c r="X356" i="2" s="1"/>
  <c r="L356" i="2"/>
  <c r="M356" i="2" s="1"/>
  <c r="H357" i="2" s="1"/>
  <c r="N357" i="2" l="1"/>
  <c r="O357" i="2"/>
  <c r="Q357" i="2" s="1"/>
  <c r="P357" i="2"/>
  <c r="S357" i="2" l="1"/>
  <c r="AA357" i="2"/>
  <c r="L357" i="2"/>
  <c r="M357" i="2" s="1"/>
  <c r="H358" i="2" s="1"/>
  <c r="V357" i="2"/>
  <c r="X357" i="2" s="1"/>
  <c r="P358" i="2" l="1"/>
  <c r="N358" i="2"/>
  <c r="O358" i="2"/>
  <c r="Q358" i="2" s="1"/>
  <c r="S358" i="2" l="1"/>
  <c r="AA358" i="2"/>
  <c r="V358" i="2"/>
  <c r="X358" i="2" s="1"/>
  <c r="L358" i="2"/>
  <c r="M358" i="2" s="1"/>
  <c r="H359" i="2" s="1"/>
  <c r="N359" i="2" l="1"/>
  <c r="P359" i="2"/>
  <c r="O359" i="2"/>
  <c r="Q359" i="2" s="1"/>
  <c r="S359" i="2" l="1"/>
  <c r="AA359" i="2"/>
  <c r="V359" i="2"/>
  <c r="X359" i="2" s="1"/>
  <c r="L359" i="2"/>
  <c r="M359" i="2" s="1"/>
  <c r="H360" i="2" s="1"/>
  <c r="O360" i="2" l="1"/>
  <c r="Q360" i="2" s="1"/>
  <c r="P360" i="2"/>
  <c r="N360" i="2"/>
  <c r="S360" i="2" l="1"/>
  <c r="L360" i="2"/>
  <c r="M360" i="2" s="1"/>
  <c r="H361" i="2" s="1"/>
  <c r="AA360" i="2"/>
  <c r="V360" i="2"/>
  <c r="X360" i="2" s="1"/>
  <c r="N361" i="2" l="1"/>
  <c r="P361" i="2"/>
  <c r="O361" i="2"/>
  <c r="Q361" i="2" s="1"/>
  <c r="S361" i="2" l="1"/>
  <c r="AA361" i="2"/>
  <c r="V361" i="2"/>
  <c r="X361" i="2" s="1"/>
  <c r="L361" i="2"/>
  <c r="M361" i="2" s="1"/>
  <c r="H362" i="2" s="1"/>
  <c r="N362" i="2" l="1"/>
  <c r="O362" i="2"/>
  <c r="Q362" i="2" s="1"/>
  <c r="P362" i="2"/>
  <c r="S362" i="2" l="1"/>
  <c r="AA362" i="2"/>
  <c r="V362" i="2"/>
  <c r="X362" i="2" s="1"/>
  <c r="L362" i="2"/>
  <c r="M362" i="2" s="1"/>
  <c r="H363" i="2" s="1"/>
  <c r="N363" i="2" l="1"/>
  <c r="O363" i="2"/>
  <c r="Q363" i="2" s="1"/>
  <c r="P363" i="2"/>
  <c r="S363" i="2" l="1"/>
  <c r="AA363" i="2"/>
  <c r="L363" i="2"/>
  <c r="M363" i="2" s="1"/>
  <c r="H364" i="2" s="1"/>
  <c r="V363" i="2"/>
  <c r="X363" i="2" s="1"/>
  <c r="O364" i="2" l="1"/>
  <c r="Q364" i="2" s="1"/>
  <c r="N364" i="2"/>
  <c r="P364" i="2"/>
  <c r="S364" i="2" l="1"/>
  <c r="AA364" i="2"/>
  <c r="L364" i="2"/>
  <c r="M364" i="2" s="1"/>
  <c r="H365" i="2" s="1"/>
  <c r="V364" i="2"/>
  <c r="X364" i="2" s="1"/>
  <c r="O365" i="2" l="1"/>
  <c r="Q365" i="2" s="1"/>
  <c r="N365" i="2"/>
  <c r="P365" i="2"/>
  <c r="S365" i="2" l="1"/>
  <c r="AA365" i="2"/>
  <c r="L365" i="2"/>
  <c r="M365" i="2" s="1"/>
  <c r="H366" i="2" s="1"/>
  <c r="V365" i="2"/>
  <c r="X365" i="2" s="1"/>
  <c r="O366" i="2" l="1"/>
  <c r="Q366" i="2" s="1"/>
  <c r="P366" i="2"/>
  <c r="N366" i="2"/>
  <c r="S366" i="2" l="1"/>
  <c r="AA366" i="2"/>
  <c r="V366" i="2"/>
  <c r="X366" i="2" s="1"/>
  <c r="L366" i="2"/>
  <c r="M366" i="2" s="1"/>
  <c r="H367" i="2" s="1"/>
  <c r="N367" i="2" l="1"/>
  <c r="O367" i="2"/>
  <c r="Q367" i="2" s="1"/>
  <c r="P367" i="2"/>
  <c r="S367" i="2" l="1"/>
  <c r="AA367" i="2"/>
  <c r="L367" i="2"/>
  <c r="M367" i="2" s="1"/>
  <c r="H368" i="2" s="1"/>
  <c r="V367" i="2"/>
  <c r="X367" i="2" s="1"/>
  <c r="O368" i="2" l="1"/>
  <c r="Q368" i="2" s="1"/>
  <c r="P368" i="2"/>
  <c r="N368" i="2"/>
  <c r="S368" i="2" l="1"/>
  <c r="AA368" i="2"/>
  <c r="V368" i="2"/>
  <c r="X368" i="2" s="1"/>
  <c r="L368" i="2"/>
  <c r="M368" i="2" s="1"/>
  <c r="H369" i="2" s="1"/>
  <c r="O369" i="2" l="1"/>
  <c r="Q369" i="2" s="1"/>
  <c r="N369" i="2"/>
  <c r="P369" i="2"/>
  <c r="S369" i="2" l="1"/>
  <c r="AA369" i="2"/>
  <c r="V369" i="2"/>
  <c r="X369" i="2" s="1"/>
  <c r="L369" i="2"/>
  <c r="M369" i="2" s="1"/>
  <c r="H370" i="2" s="1"/>
  <c r="O370" i="2" l="1"/>
  <c r="Q370" i="2" s="1"/>
  <c r="N370" i="2"/>
  <c r="P370" i="2"/>
  <c r="S370" i="2" l="1"/>
  <c r="AA370" i="2"/>
  <c r="V370" i="2"/>
  <c r="X370" i="2" s="1"/>
  <c r="L370" i="2"/>
  <c r="M370" i="2" s="1"/>
  <c r="H371" i="2" s="1"/>
  <c r="N371" i="2" l="1"/>
  <c r="O371" i="2"/>
  <c r="Q371" i="2" s="1"/>
  <c r="P371" i="2"/>
  <c r="S371" i="2" l="1"/>
  <c r="AA371" i="2"/>
  <c r="V371" i="2"/>
  <c r="X371" i="2" s="1"/>
  <c r="L371" i="2"/>
  <c r="M371" i="2" s="1"/>
  <c r="H372" i="2" s="1"/>
  <c r="P372" i="2" l="1"/>
  <c r="O372" i="2"/>
  <c r="Q372" i="2" s="1"/>
  <c r="N372" i="2"/>
  <c r="S372" i="2" l="1"/>
  <c r="L372" i="2"/>
  <c r="M372" i="2" s="1"/>
  <c r="H373" i="2" s="1"/>
  <c r="AA372" i="2"/>
  <c r="V372" i="2"/>
  <c r="X372" i="2" s="1"/>
  <c r="N373" i="2" l="1"/>
  <c r="O373" i="2"/>
  <c r="Q373" i="2" s="1"/>
  <c r="P373" i="2"/>
  <c r="S373" i="2" l="1"/>
  <c r="AA373" i="2"/>
  <c r="L373" i="2"/>
  <c r="M373" i="2" s="1"/>
  <c r="H374" i="2" s="1"/>
  <c r="V373" i="2"/>
  <c r="X373" i="2" s="1"/>
  <c r="O374" i="2" l="1"/>
  <c r="Q374" i="2" s="1"/>
  <c r="P374" i="2"/>
  <c r="N374" i="2"/>
  <c r="S374" i="2" l="1"/>
  <c r="AA374" i="2"/>
  <c r="V374" i="2"/>
  <c r="X374" i="2" s="1"/>
  <c r="L374" i="2"/>
  <c r="M374" i="2" s="1"/>
  <c r="H375" i="2" s="1"/>
  <c r="O375" i="2" l="1"/>
  <c r="Q375" i="2" s="1"/>
  <c r="P375" i="2"/>
  <c r="N375" i="2"/>
  <c r="S375" i="2" l="1"/>
  <c r="AA375" i="2"/>
  <c r="V375" i="2"/>
  <c r="X375" i="2" s="1"/>
  <c r="L375" i="2"/>
  <c r="M375" i="2" s="1"/>
  <c r="H376" i="2" s="1"/>
  <c r="O376" i="2" l="1"/>
  <c r="Q376" i="2" s="1"/>
  <c r="N376" i="2"/>
  <c r="P376" i="2"/>
  <c r="S376" i="2" l="1"/>
  <c r="AA376" i="2"/>
  <c r="V376" i="2"/>
  <c r="X376" i="2" s="1"/>
  <c r="L376" i="2"/>
  <c r="M376" i="2" s="1"/>
  <c r="H377" i="2" s="1"/>
  <c r="O377" i="2" l="1"/>
  <c r="Q377" i="2" s="1"/>
  <c r="N377" i="2"/>
  <c r="P377" i="2"/>
  <c r="S377" i="2" l="1"/>
  <c r="AA377" i="2"/>
  <c r="L377" i="2"/>
  <c r="M377" i="2" s="1"/>
  <c r="H378" i="2" s="1"/>
  <c r="V377" i="2"/>
  <c r="X377" i="2" s="1"/>
  <c r="P378" i="2" l="1"/>
  <c r="N378" i="2"/>
  <c r="O378" i="2"/>
  <c r="Q378" i="2" s="1"/>
  <c r="S378" i="2" l="1"/>
  <c r="AA378" i="2"/>
  <c r="V378" i="2"/>
  <c r="X378" i="2" s="1"/>
  <c r="L378" i="2"/>
  <c r="M378" i="2" s="1"/>
  <c r="H379" i="2" s="1"/>
  <c r="P379" i="2" l="1"/>
  <c r="N379" i="2"/>
  <c r="O379" i="2"/>
  <c r="Q379" i="2" s="1"/>
  <c r="S379" i="2" l="1"/>
  <c r="L379" i="2"/>
  <c r="M379" i="2" s="1"/>
  <c r="H380" i="2" s="1"/>
  <c r="AA379" i="2"/>
  <c r="V379" i="2"/>
  <c r="X379" i="2" s="1"/>
  <c r="N380" i="2" l="1"/>
  <c r="O380" i="2"/>
  <c r="Q380" i="2" s="1"/>
  <c r="P380" i="2"/>
  <c r="S380" i="2" l="1"/>
  <c r="AA380" i="2"/>
  <c r="L380" i="2"/>
  <c r="M380" i="2" s="1"/>
  <c r="H381" i="2" s="1"/>
  <c r="V380" i="2"/>
  <c r="X380" i="2" s="1"/>
  <c r="O381" i="2" l="1"/>
  <c r="Q381" i="2" s="1"/>
  <c r="N381" i="2"/>
  <c r="P381" i="2"/>
  <c r="S381" i="2" l="1"/>
  <c r="AA381" i="2"/>
  <c r="V381" i="2"/>
  <c r="X381" i="2" s="1"/>
  <c r="L381" i="2"/>
  <c r="M381" i="2" s="1"/>
  <c r="H382" i="2" s="1"/>
  <c r="O382" i="2" l="1"/>
  <c r="Q382" i="2" s="1"/>
  <c r="P382" i="2"/>
  <c r="N382" i="2"/>
  <c r="S382" i="2" l="1"/>
  <c r="AA382" i="2"/>
  <c r="V382" i="2"/>
  <c r="X382" i="2" s="1"/>
  <c r="L382" i="2"/>
  <c r="M382" i="2" s="1"/>
  <c r="H383" i="2" s="1"/>
  <c r="N383" i="2" l="1"/>
  <c r="P383" i="2"/>
  <c r="O383" i="2"/>
  <c r="Q383" i="2" s="1"/>
  <c r="S383" i="2" l="1"/>
  <c r="AA383" i="2"/>
  <c r="V383" i="2"/>
  <c r="X383" i="2" s="1"/>
  <c r="L383" i="2"/>
  <c r="M383" i="2" s="1"/>
  <c r="H384" i="2" s="1"/>
  <c r="P384" i="2" l="1"/>
  <c r="O384" i="2"/>
  <c r="Q384" i="2" s="1"/>
  <c r="N384" i="2"/>
  <c r="S384" i="2" l="1"/>
  <c r="AA384" i="2"/>
  <c r="V384" i="2"/>
  <c r="X384" i="2" s="1"/>
  <c r="L384" i="2"/>
  <c r="M384" i="2" s="1"/>
  <c r="H385" i="2" s="1"/>
  <c r="N385" i="2" l="1"/>
  <c r="P385" i="2"/>
  <c r="O385" i="2"/>
  <c r="Q385" i="2" s="1"/>
  <c r="S385" i="2" l="1"/>
  <c r="AA385" i="2"/>
  <c r="V385" i="2"/>
  <c r="X385" i="2" s="1"/>
  <c r="L385" i="2"/>
  <c r="M385" i="2" s="1"/>
  <c r="H386" i="2" s="1"/>
  <c r="N386" i="2" l="1"/>
  <c r="O386" i="2"/>
  <c r="Q386" i="2" s="1"/>
  <c r="P386" i="2"/>
  <c r="S386" i="2" l="1"/>
  <c r="AA386" i="2"/>
  <c r="L386" i="2"/>
  <c r="M386" i="2" s="1"/>
  <c r="H387" i="2" s="1"/>
  <c r="V386" i="2"/>
  <c r="X386" i="2" s="1"/>
  <c r="P387" i="2" l="1"/>
  <c r="N387" i="2"/>
  <c r="O387" i="2"/>
  <c r="Q387" i="2" s="1"/>
  <c r="S387" i="2" l="1"/>
  <c r="AA387" i="2"/>
  <c r="L387" i="2"/>
  <c r="M387" i="2" s="1"/>
  <c r="H388" i="2" s="1"/>
  <c r="V387" i="2"/>
  <c r="X387" i="2" s="1"/>
  <c r="P388" i="2" l="1"/>
  <c r="O388" i="2"/>
  <c r="Q388" i="2" s="1"/>
  <c r="N388" i="2"/>
  <c r="S388" i="2" l="1"/>
  <c r="L388" i="2"/>
  <c r="M388" i="2" s="1"/>
  <c r="H389" i="2" s="1"/>
  <c r="AA388" i="2"/>
  <c r="V388" i="2"/>
  <c r="X388" i="2" s="1"/>
  <c r="N389" i="2" l="1"/>
  <c r="P389" i="2"/>
  <c r="O389" i="2"/>
  <c r="Q389" i="2" s="1"/>
  <c r="S389" i="2" l="1"/>
  <c r="AA389" i="2"/>
  <c r="V389" i="2"/>
  <c r="X389" i="2" s="1"/>
  <c r="L389" i="2"/>
  <c r="M389" i="2" s="1"/>
  <c r="H390" i="2" s="1"/>
  <c r="N390" i="2" l="1"/>
  <c r="P390" i="2"/>
  <c r="O390" i="2"/>
  <c r="Q390" i="2" s="1"/>
  <c r="S390" i="2" l="1"/>
  <c r="AA390" i="2"/>
  <c r="V390" i="2"/>
  <c r="X390" i="2" s="1"/>
  <c r="L390" i="2"/>
  <c r="M390" i="2" s="1"/>
  <c r="H391" i="2" s="1"/>
  <c r="N391" i="2" l="1"/>
  <c r="P391" i="2"/>
  <c r="O391" i="2"/>
  <c r="Q391" i="2" s="1"/>
  <c r="S391" i="2" l="1"/>
  <c r="L391" i="2"/>
  <c r="M391" i="2" s="1"/>
  <c r="H392" i="2" s="1"/>
  <c r="AA391" i="2"/>
  <c r="V391" i="2"/>
  <c r="X391" i="2" s="1"/>
  <c r="O392" i="2" l="1"/>
  <c r="Q392" i="2" s="1"/>
  <c r="P392" i="2"/>
  <c r="N392" i="2"/>
  <c r="S392" i="2" l="1"/>
  <c r="AA392" i="2"/>
  <c r="V392" i="2"/>
  <c r="X392" i="2" s="1"/>
  <c r="L392" i="2"/>
  <c r="M392" i="2" s="1"/>
  <c r="H393" i="2" s="1"/>
  <c r="N393" i="2" l="1"/>
  <c r="P393" i="2"/>
  <c r="O393" i="2"/>
  <c r="Q393" i="2" s="1"/>
  <c r="S393" i="2" l="1"/>
  <c r="AA393" i="2"/>
  <c r="L393" i="2"/>
  <c r="M393" i="2" s="1"/>
  <c r="H394" i="2" s="1"/>
  <c r="V393" i="2"/>
  <c r="X393" i="2" s="1"/>
  <c r="N394" i="2" l="1"/>
  <c r="P394" i="2"/>
  <c r="O394" i="2"/>
  <c r="Q394" i="2" s="1"/>
  <c r="S394" i="2" l="1"/>
  <c r="L394" i="2"/>
  <c r="M394" i="2" s="1"/>
  <c r="H395" i="2" s="1"/>
  <c r="AA394" i="2"/>
  <c r="V394" i="2"/>
  <c r="X394" i="2" s="1"/>
  <c r="N395" i="2" l="1"/>
  <c r="P395" i="2"/>
  <c r="O395" i="2"/>
  <c r="Q395" i="2" s="1"/>
  <c r="S395" i="2" l="1"/>
  <c r="L395" i="2"/>
  <c r="M395" i="2" s="1"/>
  <c r="H396" i="2" s="1"/>
  <c r="AA395" i="2"/>
  <c r="V395" i="2"/>
  <c r="X395" i="2" s="1"/>
  <c r="P396" i="2" l="1"/>
  <c r="N396" i="2"/>
  <c r="O396" i="2"/>
  <c r="Q396" i="2" s="1"/>
  <c r="S396" i="2" l="1"/>
  <c r="AA396" i="2"/>
  <c r="L396" i="2"/>
  <c r="M396" i="2" s="1"/>
  <c r="H397" i="2" s="1"/>
  <c r="V396" i="2"/>
  <c r="X396" i="2" s="1"/>
  <c r="O397" i="2" l="1"/>
  <c r="Q397" i="2" s="1"/>
  <c r="N397" i="2"/>
  <c r="P397" i="2"/>
  <c r="S397" i="2" l="1"/>
  <c r="L397" i="2"/>
  <c r="M397" i="2" s="1"/>
  <c r="H398" i="2" s="1"/>
  <c r="AA397" i="2"/>
  <c r="V397" i="2"/>
  <c r="X397" i="2" s="1"/>
  <c r="P398" i="2" l="1"/>
  <c r="N398" i="2"/>
  <c r="O398" i="2"/>
  <c r="Q398" i="2" s="1"/>
  <c r="S398" i="2" l="1"/>
  <c r="AA398" i="2"/>
  <c r="V398" i="2"/>
  <c r="X398" i="2" s="1"/>
  <c r="L398" i="2"/>
  <c r="M398" i="2" s="1"/>
  <c r="H399" i="2" s="1"/>
  <c r="P399" i="2" l="1"/>
  <c r="O399" i="2"/>
  <c r="Q399" i="2" s="1"/>
  <c r="N399" i="2"/>
  <c r="S399" i="2" l="1"/>
  <c r="AA399" i="2"/>
  <c r="V399" i="2"/>
  <c r="X399" i="2" s="1"/>
  <c r="L399" i="2"/>
  <c r="M399" i="2" s="1"/>
  <c r="H400" i="2" s="1"/>
  <c r="N400" i="2" l="1"/>
  <c r="O400" i="2"/>
  <c r="Q400" i="2" s="1"/>
  <c r="P400" i="2"/>
  <c r="S400" i="2" l="1"/>
  <c r="AA400" i="2"/>
  <c r="V400" i="2"/>
  <c r="X400" i="2" s="1"/>
  <c r="L400" i="2"/>
  <c r="M400" i="2" s="1"/>
  <c r="H401" i="2" s="1"/>
  <c r="P401" i="2" l="1"/>
  <c r="O401" i="2"/>
  <c r="Q401" i="2" s="1"/>
  <c r="N401" i="2"/>
  <c r="S401" i="2" l="1"/>
  <c r="AA401" i="2"/>
  <c r="L401" i="2"/>
  <c r="M401" i="2" s="1"/>
  <c r="H402" i="2" s="1"/>
  <c r="V401" i="2"/>
  <c r="X401" i="2" s="1"/>
  <c r="N402" i="2" l="1"/>
  <c r="O402" i="2"/>
  <c r="Q402" i="2" s="1"/>
  <c r="P402" i="2"/>
  <c r="S402" i="2" l="1"/>
  <c r="AA402" i="2"/>
  <c r="V402" i="2"/>
  <c r="X402" i="2" s="1"/>
  <c r="L402" i="2"/>
  <c r="M402" i="2" s="1"/>
  <c r="H403" i="2" s="1"/>
  <c r="N403" i="2" l="1"/>
  <c r="P403" i="2"/>
  <c r="O403" i="2"/>
  <c r="Q403" i="2" s="1"/>
  <c r="S403" i="2" l="1"/>
  <c r="L403" i="2"/>
  <c r="M403" i="2" s="1"/>
  <c r="H404" i="2" s="1"/>
  <c r="AA403" i="2"/>
  <c r="V403" i="2"/>
  <c r="X403" i="2" s="1"/>
  <c r="P404" i="2" l="1"/>
  <c r="O404" i="2"/>
  <c r="Q404" i="2" s="1"/>
  <c r="N404" i="2"/>
  <c r="S404" i="2" l="1"/>
  <c r="L404" i="2"/>
  <c r="M404" i="2" s="1"/>
  <c r="H405" i="2" s="1"/>
  <c r="AA404" i="2"/>
  <c r="V404" i="2"/>
  <c r="X404" i="2" s="1"/>
  <c r="P405" i="2" l="1"/>
  <c r="N405" i="2"/>
  <c r="O405" i="2"/>
  <c r="Q405" i="2" s="1"/>
  <c r="S405" i="2" l="1"/>
  <c r="L405" i="2"/>
  <c r="M405" i="2" s="1"/>
  <c r="H406" i="2" s="1"/>
  <c r="AA405" i="2"/>
  <c r="V405" i="2"/>
  <c r="X405" i="2" s="1"/>
  <c r="P406" i="2" l="1"/>
  <c r="N406" i="2"/>
  <c r="O406" i="2"/>
  <c r="Q406" i="2" s="1"/>
  <c r="S406" i="2" l="1"/>
  <c r="L406" i="2"/>
  <c r="M406" i="2" s="1"/>
  <c r="H407" i="2" s="1"/>
  <c r="AA406" i="2"/>
  <c r="V406" i="2"/>
  <c r="X406" i="2" s="1"/>
  <c r="O407" i="2" l="1"/>
  <c r="Q407" i="2" s="1"/>
  <c r="N407" i="2"/>
  <c r="P407" i="2"/>
  <c r="S407" i="2" l="1"/>
  <c r="AA407" i="2"/>
  <c r="V407" i="2"/>
  <c r="X407" i="2" s="1"/>
  <c r="L407" i="2"/>
  <c r="M407" i="2" s="1"/>
  <c r="H408" i="2" s="1"/>
  <c r="O408" i="2" l="1"/>
  <c r="Q408" i="2" s="1"/>
  <c r="N408" i="2"/>
  <c r="P408" i="2"/>
  <c r="S408" i="2" l="1"/>
  <c r="AA408" i="2"/>
  <c r="L408" i="2"/>
  <c r="M408" i="2" s="1"/>
  <c r="H409" i="2" s="1"/>
  <c r="V408" i="2"/>
  <c r="X408" i="2" s="1"/>
  <c r="P409" i="2" l="1"/>
  <c r="N409" i="2"/>
  <c r="O409" i="2"/>
  <c r="Q409" i="2" s="1"/>
  <c r="S409" i="2" l="1"/>
  <c r="L409" i="2"/>
  <c r="M409" i="2" s="1"/>
  <c r="H410" i="2" s="1"/>
  <c r="AA409" i="2"/>
  <c r="V409" i="2"/>
  <c r="X409" i="2" s="1"/>
  <c r="O410" i="2" l="1"/>
  <c r="Q410" i="2" s="1"/>
  <c r="P410" i="2"/>
  <c r="N410" i="2"/>
  <c r="S410" i="2" l="1"/>
  <c r="AA410" i="2"/>
  <c r="V410" i="2"/>
  <c r="X410" i="2" s="1"/>
  <c r="L410" i="2"/>
  <c r="M410" i="2" s="1"/>
  <c r="H411" i="2" s="1"/>
  <c r="N411" i="2" l="1"/>
  <c r="P411" i="2"/>
  <c r="O411" i="2"/>
  <c r="Q411" i="2" s="1"/>
  <c r="S411" i="2" l="1"/>
  <c r="L411" i="2"/>
  <c r="M411" i="2" s="1"/>
  <c r="H412" i="2" s="1"/>
  <c r="AA411" i="2"/>
  <c r="V411" i="2"/>
  <c r="X411" i="2" s="1"/>
  <c r="O412" i="2" l="1"/>
  <c r="Q412" i="2" s="1"/>
  <c r="P412" i="2"/>
  <c r="L412" i="2"/>
  <c r="M412" i="2" s="1"/>
  <c r="H413" i="2" s="1"/>
  <c r="N412" i="2"/>
  <c r="S412" i="2" l="1"/>
  <c r="AA412" i="2"/>
  <c r="V412" i="2"/>
  <c r="X412" i="2" s="1"/>
  <c r="O413" i="2"/>
  <c r="Q413" i="2" s="1"/>
  <c r="P413" i="2"/>
  <c r="N413" i="2"/>
  <c r="S413" i="2" l="1"/>
  <c r="AA413" i="2"/>
  <c r="L413" i="2"/>
  <c r="M413" i="2" s="1"/>
  <c r="H414" i="2" s="1"/>
  <c r="V413" i="2"/>
  <c r="X413" i="2" s="1"/>
  <c r="O414" i="2" l="1"/>
  <c r="Q414" i="2" s="1"/>
  <c r="P414" i="2"/>
  <c r="N414" i="2"/>
  <c r="S414" i="2" l="1"/>
  <c r="AA414" i="2"/>
  <c r="V414" i="2"/>
  <c r="X414" i="2" s="1"/>
  <c r="L414" i="2"/>
  <c r="M414" i="2" s="1"/>
  <c r="H415" i="2" s="1"/>
  <c r="P415" i="2" l="1"/>
  <c r="N415" i="2"/>
  <c r="O415" i="2"/>
  <c r="Q415" i="2" s="1"/>
  <c r="S415" i="2" l="1"/>
  <c r="L415" i="2"/>
  <c r="M415" i="2" s="1"/>
  <c r="H416" i="2" s="1"/>
  <c r="AA415" i="2"/>
  <c r="V415" i="2"/>
  <c r="X415" i="2" s="1"/>
  <c r="N416" i="2" l="1"/>
  <c r="O416" i="2"/>
  <c r="Q416" i="2" s="1"/>
  <c r="P416" i="2"/>
  <c r="S416" i="2" l="1"/>
  <c r="AA416" i="2"/>
  <c r="L416" i="2"/>
  <c r="M416" i="2" s="1"/>
  <c r="V416" i="2"/>
  <c r="X416" i="2" s="1"/>
  <c r="O417" i="2" l="1"/>
  <c r="Q417" i="2" s="1"/>
  <c r="H417" i="2"/>
  <c r="P417" i="2" s="1"/>
  <c r="N417" i="2"/>
  <c r="AA417" i="2" l="1"/>
  <c r="S417" i="2"/>
  <c r="V417" i="2"/>
  <c r="X417" i="2" s="1"/>
  <c r="L417" i="2"/>
  <c r="M417" i="2" s="1"/>
  <c r="N418" i="2" l="1"/>
  <c r="S418" i="2" s="1"/>
  <c r="H418" i="2"/>
  <c r="P418" i="2" s="1"/>
  <c r="O418" i="2"/>
  <c r="Q418" i="2" s="1"/>
  <c r="L418" i="2" l="1"/>
  <c r="M418" i="2" s="1"/>
  <c r="AA418" i="2"/>
  <c r="V418" i="2"/>
  <c r="X418" i="2" s="1"/>
  <c r="N419" i="2" l="1"/>
  <c r="S419" i="2" s="1"/>
  <c r="H419" i="2"/>
  <c r="P419" i="2" s="1"/>
  <c r="O419" i="2"/>
  <c r="Q419" i="2" s="1"/>
  <c r="L419" i="2" l="1"/>
  <c r="M419" i="2" s="1"/>
  <c r="H420" i="2" s="1"/>
  <c r="V419" i="2"/>
  <c r="X419" i="2" s="1"/>
  <c r="AA419" i="2"/>
  <c r="O420" i="2" l="1"/>
  <c r="Q420" i="2" s="1"/>
  <c r="P420" i="2"/>
  <c r="N420" i="2"/>
  <c r="S420" i="2" l="1"/>
  <c r="V420" i="2"/>
  <c r="X420" i="2" s="1"/>
  <c r="L420" i="2"/>
  <c r="M420" i="2" s="1"/>
  <c r="AA420" i="2"/>
  <c r="N421" i="2" l="1"/>
  <c r="S421" i="2" s="1"/>
  <c r="H421" i="2"/>
  <c r="P421" i="2" s="1"/>
  <c r="O421" i="2"/>
  <c r="Q421" i="2" s="1"/>
  <c r="L421" i="2" l="1"/>
  <c r="M421" i="2" s="1"/>
  <c r="V421" i="2"/>
  <c r="X421" i="2" s="1"/>
  <c r="AA421" i="2"/>
  <c r="O422" i="2" l="1"/>
  <c r="Q422" i="2" s="1"/>
  <c r="H422" i="2"/>
  <c r="P422" i="2" s="1"/>
  <c r="N422" i="2"/>
  <c r="AA422" i="2" l="1"/>
  <c r="S422" i="2"/>
  <c r="L422" i="2"/>
  <c r="M422" i="2" s="1"/>
  <c r="V422" i="2"/>
  <c r="X422" i="2" s="1"/>
  <c r="N423" i="2" l="1"/>
  <c r="S423" i="2" s="1"/>
  <c r="H423" i="2"/>
  <c r="P423" i="2" s="1"/>
  <c r="O423" i="2"/>
  <c r="Q423" i="2" s="1"/>
  <c r="L423" i="2" l="1"/>
  <c r="M423" i="2" s="1"/>
  <c r="AA423" i="2"/>
  <c r="V423" i="2"/>
  <c r="X423" i="2" s="1"/>
  <c r="O424" i="2" l="1"/>
  <c r="Q424" i="2" s="1"/>
  <c r="H424" i="2"/>
  <c r="P424" i="2" s="1"/>
  <c r="N424" i="2"/>
  <c r="AA424" i="2" l="1"/>
  <c r="S424" i="2"/>
  <c r="V424" i="2"/>
  <c r="X424" i="2" s="1"/>
  <c r="L424" i="2"/>
  <c r="M424" i="2" s="1"/>
  <c r="N425" i="2" l="1"/>
  <c r="S425" i="2" s="1"/>
  <c r="H425" i="2"/>
  <c r="P425" i="2" s="1"/>
  <c r="O425" i="2"/>
  <c r="Q425" i="2" s="1"/>
  <c r="V425" i="2" l="1"/>
  <c r="X425" i="2" s="1"/>
  <c r="L425" i="2"/>
  <c r="M425" i="2" s="1"/>
  <c r="AA425" i="2"/>
  <c r="O426" i="2" l="1"/>
  <c r="Q426" i="2" s="1"/>
  <c r="H426" i="2"/>
  <c r="P426" i="2" s="1"/>
  <c r="N426" i="2"/>
  <c r="AA426" i="2" l="1"/>
  <c r="S426" i="2"/>
  <c r="L426" i="2"/>
  <c r="M426" i="2" s="1"/>
  <c r="V426" i="2"/>
  <c r="X426" i="2" s="1"/>
  <c r="N427" i="2" l="1"/>
  <c r="S427" i="2" s="1"/>
  <c r="H427" i="2"/>
  <c r="P427" i="2" s="1"/>
  <c r="O427" i="2"/>
  <c r="Q427" i="2" s="1"/>
  <c r="V427" i="2" l="1"/>
  <c r="X427" i="2" s="1"/>
  <c r="AA427" i="2"/>
  <c r="L427" i="2"/>
  <c r="M427" i="2" s="1"/>
  <c r="O428" i="2" l="1"/>
  <c r="Q428" i="2" s="1"/>
  <c r="H428" i="2"/>
  <c r="P428" i="2" s="1"/>
  <c r="N428" i="2"/>
  <c r="AA428" i="2" l="1"/>
  <c r="S428" i="2"/>
  <c r="L428" i="2"/>
  <c r="M428" i="2" s="1"/>
  <c r="V428" i="2"/>
  <c r="X428" i="2" s="1"/>
  <c r="N429" i="2" l="1"/>
  <c r="S429" i="2" s="1"/>
  <c r="H429" i="2"/>
  <c r="P429" i="2" s="1"/>
  <c r="O429" i="2"/>
  <c r="Q429" i="2" s="1"/>
  <c r="V429" i="2" l="1"/>
  <c r="X429" i="2" s="1"/>
  <c r="AA429" i="2"/>
  <c r="L429" i="2"/>
  <c r="M429" i="2" s="1"/>
  <c r="O430" i="2" l="1"/>
  <c r="Q430" i="2" s="1"/>
  <c r="H430" i="2"/>
  <c r="P430" i="2" s="1"/>
  <c r="N430" i="2"/>
  <c r="AA430" i="2" l="1"/>
  <c r="S430" i="2"/>
  <c r="L430" i="2"/>
  <c r="M430" i="2" s="1"/>
  <c r="V430" i="2"/>
  <c r="X430" i="2" s="1"/>
  <c r="N431" i="2" l="1"/>
  <c r="S431" i="2" s="1"/>
  <c r="H431" i="2"/>
  <c r="P431" i="2" s="1"/>
  <c r="O431" i="2"/>
  <c r="Q431" i="2" s="1"/>
  <c r="L431" i="2" l="1"/>
  <c r="M431" i="2" s="1"/>
  <c r="V431" i="2"/>
  <c r="X431" i="2" s="1"/>
  <c r="AA431" i="2"/>
  <c r="O432" i="2" l="1"/>
  <c r="Q432" i="2" s="1"/>
  <c r="H432" i="2"/>
  <c r="P432" i="2" s="1"/>
  <c r="N432" i="2"/>
  <c r="AA432" i="2" l="1"/>
  <c r="S432" i="2"/>
  <c r="V432" i="2"/>
  <c r="X432" i="2" s="1"/>
  <c r="L432" i="2"/>
  <c r="M432" i="2" s="1"/>
  <c r="N433" i="2" l="1"/>
  <c r="S433" i="2" s="1"/>
  <c r="H433" i="2"/>
  <c r="P433" i="2" s="1"/>
  <c r="O433" i="2"/>
  <c r="Q433" i="2" s="1"/>
  <c r="V433" i="2" l="1"/>
  <c r="X433" i="2" s="1"/>
  <c r="L433" i="2"/>
  <c r="M433" i="2" s="1"/>
  <c r="AA433" i="2"/>
  <c r="H434" i="2" l="1"/>
  <c r="P434" i="2" s="1"/>
  <c r="N434" i="2"/>
  <c r="O434" i="2"/>
  <c r="Q434" i="2" s="1"/>
  <c r="L434" i="2" l="1"/>
  <c r="M434" i="2" s="1"/>
  <c r="H435" i="2" s="1"/>
  <c r="P435" i="2" s="1"/>
  <c r="S434" i="2"/>
  <c r="AA434" i="2"/>
  <c r="V434" i="2"/>
  <c r="X434" i="2" s="1"/>
  <c r="N435" i="2" l="1"/>
  <c r="S435" i="2" s="1"/>
  <c r="O435" i="2"/>
  <c r="Q435" i="2" s="1"/>
  <c r="AA435" i="2" s="1"/>
  <c r="L435" i="2"/>
  <c r="M435" i="2" s="1"/>
  <c r="H436" i="2" s="1"/>
  <c r="V435" i="2" l="1"/>
  <c r="X435" i="2" s="1"/>
  <c r="O436" i="2"/>
  <c r="Q436" i="2" s="1"/>
  <c r="P436" i="2"/>
  <c r="N436" i="2"/>
  <c r="S436" i="2" l="1"/>
  <c r="AA436" i="2"/>
  <c r="V436" i="2"/>
  <c r="X436" i="2" s="1"/>
  <c r="L436" i="2"/>
  <c r="M436" i="2" s="1"/>
  <c r="H437" i="2" s="1"/>
  <c r="N437" i="2" l="1"/>
  <c r="P437" i="2"/>
  <c r="O437" i="2"/>
  <c r="Q437" i="2" s="1"/>
  <c r="S437" i="2" l="1"/>
  <c r="AA437" i="2"/>
  <c r="L437" i="2"/>
  <c r="M437" i="2" s="1"/>
  <c r="H438" i="2" s="1"/>
  <c r="V437" i="2"/>
  <c r="X437" i="2" s="1"/>
  <c r="N438" i="2" l="1"/>
  <c r="P438" i="2"/>
  <c r="O438" i="2"/>
  <c r="Q438" i="2" s="1"/>
  <c r="S438" i="2" l="1"/>
  <c r="AA438" i="2"/>
  <c r="L438" i="2"/>
  <c r="M438" i="2" s="1"/>
  <c r="H439" i="2" s="1"/>
  <c r="V438" i="2"/>
  <c r="X438" i="2" s="1"/>
  <c r="P439" i="2" l="1"/>
  <c r="N439" i="2"/>
  <c r="O439" i="2"/>
  <c r="Q439" i="2" s="1"/>
  <c r="S439" i="2" l="1"/>
  <c r="L439" i="2"/>
  <c r="M439" i="2" s="1"/>
  <c r="H440" i="2" s="1"/>
  <c r="AA439" i="2"/>
  <c r="V439" i="2"/>
  <c r="X439" i="2" s="1"/>
  <c r="O440" i="2" l="1"/>
  <c r="Q440" i="2" s="1"/>
  <c r="N440" i="2"/>
  <c r="P440" i="2"/>
  <c r="S440" i="2" l="1"/>
  <c r="AA440" i="2"/>
  <c r="V440" i="2"/>
  <c r="X440" i="2" s="1"/>
  <c r="L440" i="2"/>
  <c r="M440" i="2" s="1"/>
  <c r="H441" i="2" s="1"/>
  <c r="N441" i="2" l="1"/>
  <c r="O441" i="2"/>
  <c r="Q441" i="2" s="1"/>
  <c r="P441" i="2"/>
  <c r="S441" i="2" l="1"/>
  <c r="AA441" i="2"/>
  <c r="V441" i="2"/>
  <c r="X441" i="2" s="1"/>
  <c r="L441" i="2"/>
  <c r="M441" i="2" s="1"/>
  <c r="H442" i="2" s="1"/>
  <c r="N442" i="2" l="1"/>
  <c r="O442" i="2"/>
  <c r="Q442" i="2" s="1"/>
  <c r="P442" i="2"/>
  <c r="S442" i="2" l="1"/>
  <c r="AA442" i="2"/>
  <c r="L442" i="2"/>
  <c r="M442" i="2" s="1"/>
  <c r="H443" i="2" s="1"/>
  <c r="V442" i="2"/>
  <c r="X442" i="2" s="1"/>
  <c r="N443" i="2" l="1"/>
  <c r="P443" i="2"/>
  <c r="O443" i="2"/>
  <c r="Q443" i="2" s="1"/>
  <c r="S443" i="2" l="1"/>
  <c r="AA443" i="2"/>
  <c r="L443" i="2"/>
  <c r="M443" i="2" s="1"/>
  <c r="H444" i="2" s="1"/>
  <c r="V443" i="2"/>
  <c r="X443" i="2" s="1"/>
  <c r="P444" i="2" l="1"/>
  <c r="N444" i="2"/>
  <c r="O444" i="2"/>
  <c r="Q444" i="2" s="1"/>
  <c r="S444" i="2" l="1"/>
  <c r="AA444" i="2"/>
  <c r="V444" i="2"/>
  <c r="X444" i="2" s="1"/>
  <c r="L444" i="2"/>
  <c r="M444" i="2" s="1"/>
  <c r="H445" i="2" s="1"/>
  <c r="N445" i="2" l="1"/>
  <c r="O445" i="2"/>
  <c r="Q445" i="2" s="1"/>
  <c r="P445" i="2"/>
  <c r="S445" i="2" l="1"/>
  <c r="AA445" i="2"/>
  <c r="L445" i="2"/>
  <c r="M445" i="2" s="1"/>
  <c r="H446" i="2" s="1"/>
  <c r="V445" i="2"/>
  <c r="X445" i="2" s="1"/>
  <c r="O446" i="2" l="1"/>
  <c r="Q446" i="2" s="1"/>
  <c r="N446" i="2"/>
  <c r="P446" i="2"/>
  <c r="S446" i="2" l="1"/>
  <c r="AA446" i="2"/>
  <c r="V446" i="2"/>
  <c r="X446" i="2" s="1"/>
  <c r="L446" i="2"/>
  <c r="M446" i="2" s="1"/>
  <c r="H447" i="2" s="1"/>
  <c r="N447" i="2" l="1"/>
  <c r="P447" i="2"/>
  <c r="O447" i="2"/>
  <c r="Q447" i="2" s="1"/>
  <c r="S447" i="2" l="1"/>
  <c r="AA447" i="2"/>
  <c r="V447" i="2"/>
  <c r="X447" i="2" s="1"/>
  <c r="L447" i="2"/>
  <c r="M447" i="2" s="1"/>
  <c r="H448" i="2" s="1"/>
  <c r="P448" i="2" l="1"/>
  <c r="N448" i="2"/>
  <c r="O448" i="2"/>
  <c r="Q448" i="2" s="1"/>
  <c r="S448" i="2" l="1"/>
  <c r="AA448" i="2"/>
  <c r="V448" i="2"/>
  <c r="X448" i="2" s="1"/>
  <c r="L448" i="2"/>
  <c r="M448" i="2" s="1"/>
  <c r="H449" i="2" s="1"/>
  <c r="O449" i="2" l="1"/>
  <c r="Q449" i="2" s="1"/>
  <c r="N449" i="2"/>
  <c r="P449" i="2"/>
  <c r="S449" i="2" l="1"/>
  <c r="AA449" i="2"/>
  <c r="V449" i="2"/>
  <c r="X449" i="2" s="1"/>
  <c r="L449" i="2"/>
  <c r="M449" i="2" s="1"/>
  <c r="H450" i="2" s="1"/>
  <c r="P450" i="2" l="1"/>
  <c r="N450" i="2"/>
  <c r="O450" i="2"/>
  <c r="Q450" i="2" s="1"/>
  <c r="S450" i="2" l="1"/>
  <c r="AA450" i="2"/>
  <c r="V450" i="2"/>
  <c r="X450" i="2" s="1"/>
  <c r="L450" i="2"/>
  <c r="M450" i="2" s="1"/>
  <c r="H451" i="2" s="1"/>
  <c r="O451" i="2" l="1"/>
  <c r="Q451" i="2" s="1"/>
  <c r="P451" i="2"/>
  <c r="N451" i="2"/>
  <c r="S451" i="2" l="1"/>
  <c r="AA451" i="2"/>
  <c r="V451" i="2"/>
  <c r="X451" i="2" s="1"/>
  <c r="L451" i="2"/>
  <c r="M451" i="2" s="1"/>
  <c r="H452" i="2" s="1"/>
  <c r="O452" i="2" l="1"/>
  <c r="Q452" i="2" s="1"/>
  <c r="N452" i="2"/>
  <c r="P452" i="2"/>
  <c r="S452" i="2" l="1"/>
  <c r="AA452" i="2"/>
  <c r="V452" i="2"/>
  <c r="X452" i="2" s="1"/>
  <c r="L452" i="2"/>
  <c r="M452" i="2" s="1"/>
  <c r="H453" i="2" s="1"/>
  <c r="P453" i="2" l="1"/>
  <c r="N453" i="2"/>
  <c r="O453" i="2"/>
  <c r="Q453" i="2" s="1"/>
  <c r="S453" i="2" l="1"/>
  <c r="AA453" i="2"/>
  <c r="L453" i="2"/>
  <c r="M453" i="2" s="1"/>
  <c r="H454" i="2" s="1"/>
  <c r="V453" i="2"/>
  <c r="X453" i="2" s="1"/>
  <c r="N454" i="2" l="1"/>
  <c r="O454" i="2"/>
  <c r="Q454" i="2" s="1"/>
  <c r="P454" i="2"/>
  <c r="S454" i="2" l="1"/>
  <c r="AA454" i="2"/>
  <c r="V454" i="2"/>
  <c r="X454" i="2" s="1"/>
  <c r="L454" i="2"/>
  <c r="M454" i="2" s="1"/>
  <c r="H455" i="2" s="1"/>
  <c r="N455" i="2" l="1"/>
  <c r="P455" i="2"/>
  <c r="O455" i="2"/>
  <c r="Q455" i="2" s="1"/>
  <c r="S455" i="2" l="1"/>
  <c r="AA455" i="2"/>
  <c r="L455" i="2"/>
  <c r="M455" i="2" s="1"/>
  <c r="H456" i="2" s="1"/>
  <c r="V455" i="2"/>
  <c r="X455" i="2" s="1"/>
  <c r="N456" i="2" l="1"/>
  <c r="O456" i="2"/>
  <c r="Q456" i="2" s="1"/>
  <c r="S456" i="2" l="1"/>
  <c r="L456" i="2"/>
  <c r="M456" i="2" s="1"/>
  <c r="H457" i="2" s="1"/>
  <c r="P456" i="2"/>
  <c r="AA456" i="2" s="1"/>
  <c r="V456" i="2"/>
  <c r="X456" i="2" s="1"/>
  <c r="O457" i="2" l="1"/>
  <c r="Q457" i="2" s="1"/>
  <c r="N457" i="2"/>
  <c r="P457" i="2"/>
  <c r="S457" i="2" l="1"/>
  <c r="L457" i="2"/>
  <c r="M457" i="2" s="1"/>
  <c r="H458" i="2" s="1"/>
  <c r="V457" i="2"/>
  <c r="X457" i="2" s="1"/>
  <c r="AA457" i="2"/>
  <c r="O458" i="2" l="1"/>
  <c r="Q458" i="2" s="1"/>
  <c r="N458" i="2"/>
  <c r="P458" i="2"/>
  <c r="S458" i="2" l="1"/>
  <c r="L458" i="2"/>
  <c r="M458" i="2" s="1"/>
  <c r="H459" i="2" s="1"/>
  <c r="AA458" i="2"/>
  <c r="V458" i="2"/>
  <c r="X458" i="2" s="1"/>
  <c r="N459" i="2" l="1"/>
  <c r="O459" i="2"/>
  <c r="Q459" i="2" s="1"/>
  <c r="P459" i="2"/>
  <c r="S459" i="2" l="1"/>
  <c r="AA459" i="2"/>
  <c r="V459" i="2"/>
  <c r="X459" i="2" s="1"/>
  <c r="L459" i="2"/>
  <c r="M459" i="2" s="1"/>
  <c r="H460" i="2" s="1"/>
  <c r="O460" i="2" l="1"/>
  <c r="Q460" i="2" s="1"/>
  <c r="N460" i="2"/>
  <c r="P460" i="2"/>
  <c r="S460" i="2" l="1"/>
  <c r="AA460" i="2"/>
  <c r="V460" i="2"/>
  <c r="X460" i="2" s="1"/>
  <c r="L460" i="2"/>
  <c r="M460" i="2" s="1"/>
  <c r="H461" i="2" s="1"/>
  <c r="N461" i="2" l="1"/>
  <c r="O461" i="2"/>
  <c r="Q461" i="2" s="1"/>
  <c r="P461" i="2"/>
  <c r="S461" i="2" l="1"/>
  <c r="L461" i="2"/>
  <c r="M461" i="2" s="1"/>
  <c r="H462" i="2" s="1"/>
  <c r="AA461" i="2"/>
  <c r="V461" i="2"/>
  <c r="X461" i="2" s="1"/>
  <c r="O462" i="2" l="1"/>
  <c r="Q462" i="2" s="1"/>
  <c r="N462" i="2"/>
  <c r="P462" i="2"/>
  <c r="S462" i="2" l="1"/>
  <c r="L462" i="2"/>
  <c r="M462" i="2" s="1"/>
  <c r="H463" i="2" s="1"/>
  <c r="AA462" i="2"/>
  <c r="V462" i="2"/>
  <c r="X462" i="2" s="1"/>
  <c r="N463" i="2" l="1"/>
  <c r="O463" i="2"/>
  <c r="Q463" i="2" s="1"/>
  <c r="P463" i="2"/>
  <c r="S463" i="2" l="1"/>
  <c r="AA463" i="2"/>
  <c r="L463" i="2"/>
  <c r="M463" i="2" s="1"/>
  <c r="V463" i="2"/>
  <c r="X463" i="2" s="1"/>
  <c r="O464" i="2" l="1"/>
  <c r="Q464" i="2" s="1"/>
  <c r="H464" i="2"/>
  <c r="P464" i="2" s="1"/>
  <c r="N464" i="2"/>
  <c r="AA464" i="2" l="1"/>
  <c r="V464" i="2"/>
  <c r="X464" i="2" s="1"/>
  <c r="S464" i="2"/>
  <c r="L464" i="2"/>
  <c r="M464" i="2" s="1"/>
  <c r="N465" i="2" l="1"/>
  <c r="S465" i="2" s="1"/>
  <c r="H465" i="2"/>
  <c r="P465" i="2" s="1"/>
  <c r="O465" i="2"/>
  <c r="Q465" i="2" s="1"/>
  <c r="V465" i="2" l="1"/>
  <c r="X465" i="2" s="1"/>
  <c r="L465" i="2"/>
  <c r="M465" i="2" s="1"/>
  <c r="AA465" i="2"/>
  <c r="O466" i="2" l="1"/>
  <c r="Q466" i="2" s="1"/>
  <c r="H466" i="2"/>
  <c r="P466" i="2" s="1"/>
  <c r="N466" i="2"/>
  <c r="AA466" i="2" l="1"/>
  <c r="V466" i="2"/>
  <c r="X466" i="2" s="1"/>
  <c r="S466" i="2"/>
  <c r="L466" i="2"/>
  <c r="M466" i="2" s="1"/>
  <c r="O467" i="2" l="1"/>
  <c r="Q467" i="2" s="1"/>
  <c r="H467" i="2"/>
  <c r="P467" i="2" s="1"/>
  <c r="N467" i="2"/>
  <c r="AA467" i="2" l="1"/>
  <c r="V467" i="2"/>
  <c r="X467" i="2" s="1"/>
  <c r="S467" i="2"/>
  <c r="L467" i="2"/>
  <c r="M467" i="2" s="1"/>
  <c r="N468" i="2" l="1"/>
  <c r="S468" i="2" s="1"/>
  <c r="H468" i="2"/>
  <c r="P468" i="2" s="1"/>
  <c r="O468" i="2"/>
  <c r="Q468" i="2" s="1"/>
  <c r="L468" i="2" l="1"/>
  <c r="M468" i="2" s="1"/>
  <c r="AA468" i="2"/>
  <c r="V468" i="2"/>
  <c r="X468" i="2" s="1"/>
  <c r="O469" i="2" l="1"/>
  <c r="Q469" i="2" s="1"/>
  <c r="H469" i="2"/>
  <c r="P469" i="2" s="1"/>
  <c r="N469" i="2"/>
  <c r="AA469" i="2" l="1"/>
  <c r="V469" i="2"/>
  <c r="X469" i="2" s="1"/>
  <c r="L469" i="2"/>
  <c r="M469" i="2" s="1"/>
  <c r="S469" i="2"/>
  <c r="H470" i="2" l="1"/>
  <c r="P470" i="2" s="1"/>
  <c r="N470" i="2"/>
  <c r="O470" i="2"/>
  <c r="Q470" i="2" s="1"/>
  <c r="L470" i="2" l="1"/>
  <c r="M470" i="2" s="1"/>
  <c r="O471" i="2" s="1"/>
  <c r="Q471" i="2" s="1"/>
  <c r="AA470" i="2"/>
  <c r="V470" i="2"/>
  <c r="X470" i="2" s="1"/>
  <c r="S470" i="2"/>
  <c r="N471" i="2" l="1"/>
  <c r="V471" i="2" s="1"/>
  <c r="X471" i="2" s="1"/>
  <c r="H471" i="2"/>
  <c r="P471" i="2" s="1"/>
  <c r="AA471" i="2" s="1"/>
  <c r="L471" i="2" l="1"/>
  <c r="M471" i="2" s="1"/>
  <c r="H472" i="2" s="1"/>
  <c r="P472" i="2" s="1"/>
  <c r="S471" i="2"/>
  <c r="N472" i="2" l="1"/>
  <c r="S472" i="2" s="1"/>
  <c r="O472" i="2"/>
  <c r="Q472" i="2" s="1"/>
  <c r="AA472" i="2" s="1"/>
  <c r="L472" i="2"/>
  <c r="M472" i="2" s="1"/>
  <c r="V472" i="2" l="1"/>
  <c r="X472" i="2" s="1"/>
  <c r="O473" i="2"/>
  <c r="Q473" i="2" s="1"/>
  <c r="H473" i="2"/>
  <c r="P473" i="2" s="1"/>
  <c r="N473" i="2"/>
  <c r="AA473" i="2" l="1"/>
  <c r="S473" i="2"/>
  <c r="V473" i="2"/>
  <c r="X473" i="2" s="1"/>
  <c r="L473" i="2"/>
  <c r="M473" i="2" s="1"/>
  <c r="O474" i="2" l="1"/>
  <c r="Q474" i="2" s="1"/>
  <c r="H474" i="2"/>
  <c r="P474" i="2" s="1"/>
  <c r="N474" i="2"/>
  <c r="AA474" i="2" l="1"/>
  <c r="S474" i="2"/>
  <c r="V474" i="2"/>
  <c r="X474" i="2" s="1"/>
  <c r="L474" i="2"/>
  <c r="M474" i="2" s="1"/>
  <c r="O475" i="2" l="1"/>
  <c r="Q475" i="2" s="1"/>
  <c r="H475" i="2"/>
  <c r="P475" i="2" s="1"/>
  <c r="N475" i="2"/>
  <c r="AA475" i="2" l="1"/>
  <c r="S475" i="2"/>
  <c r="V475" i="2"/>
  <c r="X475" i="2" s="1"/>
  <c r="L475" i="2"/>
  <c r="M475" i="2" s="1"/>
  <c r="O476" i="2" l="1"/>
  <c r="Q476" i="2" s="1"/>
  <c r="H476" i="2"/>
  <c r="P476" i="2" s="1"/>
  <c r="N476" i="2"/>
  <c r="AA476" i="2" l="1"/>
  <c r="S476" i="2"/>
  <c r="V476" i="2"/>
  <c r="X476" i="2" s="1"/>
  <c r="L476" i="2"/>
  <c r="M476" i="2" s="1"/>
  <c r="O477" i="2" l="1"/>
  <c r="Q477" i="2" s="1"/>
  <c r="H477" i="2"/>
  <c r="P477" i="2" s="1"/>
  <c r="N477" i="2"/>
  <c r="AA477" i="2" l="1"/>
  <c r="S477" i="2"/>
  <c r="V477" i="2"/>
  <c r="X477" i="2" s="1"/>
  <c r="L477" i="2"/>
  <c r="M477" i="2" s="1"/>
  <c r="N478" i="2" l="1"/>
  <c r="S478" i="2" s="1"/>
  <c r="H478" i="2"/>
  <c r="P478" i="2" s="1"/>
  <c r="O478" i="2"/>
  <c r="Q478" i="2" s="1"/>
  <c r="V478" i="2" l="1"/>
  <c r="X478" i="2" s="1"/>
  <c r="AA478" i="2"/>
  <c r="L478" i="2"/>
  <c r="M478" i="2" s="1"/>
  <c r="O479" i="2" l="1"/>
  <c r="Q479" i="2" s="1"/>
  <c r="H479" i="2"/>
  <c r="P479" i="2" s="1"/>
  <c r="N479" i="2"/>
  <c r="AA479" i="2" l="1"/>
  <c r="S479" i="2"/>
  <c r="V479" i="2"/>
  <c r="X479" i="2" s="1"/>
  <c r="L479" i="2"/>
  <c r="M479" i="2" s="1"/>
  <c r="N480" i="2" l="1"/>
  <c r="S480" i="2" s="1"/>
  <c r="H480" i="2"/>
  <c r="P480" i="2" s="1"/>
  <c r="O480" i="2"/>
  <c r="Q480" i="2" s="1"/>
  <c r="L480" i="2" l="1"/>
  <c r="M480" i="2" s="1"/>
  <c r="V480" i="2"/>
  <c r="X480" i="2" s="1"/>
  <c r="AA480" i="2"/>
  <c r="N481" i="2" l="1"/>
  <c r="S481" i="2" s="1"/>
  <c r="H481" i="2"/>
  <c r="P481" i="2" s="1"/>
  <c r="O481" i="2"/>
  <c r="Q481" i="2" s="1"/>
  <c r="L481" i="2" l="1"/>
  <c r="M481" i="2" s="1"/>
  <c r="AA481" i="2"/>
  <c r="V481" i="2"/>
  <c r="X481" i="2" s="1"/>
  <c r="O482" i="2" l="1"/>
  <c r="Q482" i="2" s="1"/>
  <c r="H482" i="2"/>
  <c r="P482" i="2" s="1"/>
  <c r="N482" i="2"/>
  <c r="AA482" i="2" l="1"/>
  <c r="S482" i="2"/>
  <c r="L482" i="2"/>
  <c r="M482" i="2" s="1"/>
  <c r="V482" i="2"/>
  <c r="X482" i="2" s="1"/>
  <c r="O483" i="2" l="1"/>
  <c r="Q483" i="2" s="1"/>
  <c r="H483" i="2"/>
  <c r="P483" i="2" s="1"/>
  <c r="N483" i="2"/>
  <c r="AA483" i="2" l="1"/>
  <c r="S483" i="2"/>
  <c r="L483" i="2"/>
  <c r="M483" i="2" s="1"/>
  <c r="V483" i="2"/>
  <c r="X483" i="2" s="1"/>
  <c r="N484" i="2" l="1"/>
  <c r="S484" i="2" s="1"/>
  <c r="H484" i="2"/>
  <c r="P484" i="2" s="1"/>
  <c r="O484" i="2"/>
  <c r="Q484" i="2" s="1"/>
  <c r="L484" i="2" l="1"/>
  <c r="M484" i="2" s="1"/>
  <c r="V484" i="2"/>
  <c r="X484" i="2" s="1"/>
  <c r="AA484" i="2"/>
  <c r="O485" i="2" l="1"/>
  <c r="Q485" i="2" s="1"/>
  <c r="H485" i="2"/>
  <c r="P485" i="2" s="1"/>
  <c r="N485" i="2"/>
  <c r="AA485" i="2" l="1"/>
  <c r="S485" i="2"/>
  <c r="L485" i="2"/>
  <c r="M485" i="2" s="1"/>
  <c r="V485" i="2"/>
  <c r="X485" i="2" s="1"/>
  <c r="N486" i="2" l="1"/>
  <c r="S486" i="2" s="1"/>
  <c r="H486" i="2"/>
  <c r="P486" i="2" s="1"/>
  <c r="O486" i="2"/>
  <c r="Q486" i="2" s="1"/>
  <c r="L486" i="2" l="1"/>
  <c r="M486" i="2" s="1"/>
  <c r="AA486" i="2"/>
  <c r="V486" i="2"/>
  <c r="X486" i="2" s="1"/>
  <c r="N487" i="2" l="1"/>
  <c r="S487" i="2" s="1"/>
  <c r="H487" i="2"/>
  <c r="P487" i="2" s="1"/>
  <c r="O487" i="2"/>
  <c r="Q487" i="2" s="1"/>
  <c r="V487" i="2" l="1"/>
  <c r="X487" i="2" s="1"/>
  <c r="L487" i="2"/>
  <c r="M487" i="2" s="1"/>
  <c r="AA487" i="2"/>
  <c r="N488" i="2" l="1"/>
  <c r="S488" i="2" s="1"/>
  <c r="H488" i="2"/>
  <c r="P488" i="2" s="1"/>
  <c r="O488" i="2"/>
  <c r="Q488" i="2" s="1"/>
  <c r="L488" i="2" l="1"/>
  <c r="M488" i="2" s="1"/>
  <c r="V488" i="2"/>
  <c r="X488" i="2" s="1"/>
  <c r="AA488" i="2"/>
  <c r="O489" i="2" l="1"/>
  <c r="Q489" i="2" s="1"/>
  <c r="H489" i="2"/>
  <c r="P489" i="2" s="1"/>
  <c r="N489" i="2"/>
  <c r="S489" i="2" s="1"/>
  <c r="AA489" i="2" l="1"/>
  <c r="V489" i="2"/>
  <c r="X489" i="2" s="1"/>
  <c r="L489" i="2"/>
  <c r="M489" i="2" s="1"/>
  <c r="O490" i="2" l="1"/>
  <c r="Q490" i="2" s="1"/>
  <c r="H490" i="2"/>
  <c r="P490" i="2" s="1"/>
  <c r="N490" i="2"/>
  <c r="S490" i="2" s="1"/>
  <c r="AA490" i="2" l="1"/>
  <c r="V490" i="2"/>
  <c r="X490" i="2" s="1"/>
  <c r="L490" i="2"/>
  <c r="M490" i="2" s="1"/>
  <c r="N491" i="2" l="1"/>
  <c r="S491" i="2" s="1"/>
  <c r="H491" i="2"/>
  <c r="P491" i="2" s="1"/>
  <c r="O491" i="2"/>
  <c r="Q491" i="2" s="1"/>
  <c r="L491" i="2" l="1"/>
  <c r="M491" i="2" s="1"/>
  <c r="H492" i="2" s="1"/>
  <c r="AA491" i="2"/>
  <c r="V491" i="2"/>
  <c r="X491" i="2" s="1"/>
  <c r="P492" i="2" l="1"/>
  <c r="N492" i="2"/>
  <c r="S492" i="2" s="1"/>
  <c r="O492" i="2"/>
  <c r="Q492" i="2" s="1"/>
  <c r="L492" i="2" l="1"/>
  <c r="M492" i="2" s="1"/>
  <c r="V492" i="2"/>
  <c r="X492" i="2" s="1"/>
  <c r="AA492" i="2"/>
  <c r="N493" i="2" l="1"/>
  <c r="S493" i="2" s="1"/>
  <c r="H493" i="2"/>
  <c r="P493" i="2" s="1"/>
  <c r="O493" i="2"/>
  <c r="Q493" i="2" s="1"/>
  <c r="L493" i="2" l="1"/>
  <c r="M493" i="2" s="1"/>
  <c r="H494" i="2" s="1"/>
  <c r="AA493" i="2"/>
  <c r="V493" i="2"/>
  <c r="X493" i="2" s="1"/>
  <c r="O494" i="2" l="1"/>
  <c r="Q494" i="2" s="1"/>
  <c r="N494" i="2"/>
  <c r="S494" i="2" s="1"/>
  <c r="P494" i="2"/>
  <c r="V494" i="2" l="1"/>
  <c r="X494" i="2" s="1"/>
  <c r="L494" i="2"/>
  <c r="M494" i="2" s="1"/>
  <c r="AA494" i="2"/>
  <c r="N495" i="2" l="1"/>
  <c r="S495" i="2" s="1"/>
  <c r="H495" i="2"/>
  <c r="P495" i="2" s="1"/>
  <c r="O495" i="2"/>
  <c r="Q495" i="2" s="1"/>
  <c r="V495" i="2" l="1"/>
  <c r="X495" i="2" s="1"/>
  <c r="AA495" i="2"/>
  <c r="L495" i="2"/>
  <c r="M495" i="2" s="1"/>
  <c r="N496" i="2" l="1"/>
  <c r="S496" i="2" s="1"/>
  <c r="H496" i="2"/>
  <c r="P496" i="2" s="1"/>
  <c r="O496" i="2"/>
  <c r="Q496" i="2" s="1"/>
  <c r="V496" i="2" l="1"/>
  <c r="X496" i="2" s="1"/>
  <c r="L496" i="2"/>
  <c r="M496" i="2" s="1"/>
  <c r="AA496" i="2"/>
  <c r="O497" i="2" l="1"/>
  <c r="Q497" i="2" s="1"/>
  <c r="H497" i="2"/>
  <c r="P497" i="2" s="1"/>
  <c r="N497" i="2"/>
  <c r="S497" i="2" s="1"/>
  <c r="AA497" i="2" l="1"/>
  <c r="L497" i="2"/>
  <c r="M497" i="2" s="1"/>
  <c r="V497" i="2"/>
  <c r="X497" i="2" s="1"/>
  <c r="N498" i="2" l="1"/>
  <c r="S498" i="2" s="1"/>
  <c r="H498" i="2"/>
  <c r="P498" i="2" s="1"/>
  <c r="O498" i="2"/>
  <c r="Q498" i="2" s="1"/>
  <c r="L498" i="2" l="1"/>
  <c r="M498" i="2" s="1"/>
  <c r="AA498" i="2"/>
  <c r="V498" i="2"/>
  <c r="X498" i="2" s="1"/>
  <c r="N499" i="2" l="1"/>
  <c r="S499" i="2" s="1"/>
  <c r="H499" i="2"/>
  <c r="P499" i="2" s="1"/>
  <c r="O499" i="2"/>
  <c r="Q499" i="2" s="1"/>
  <c r="L499" i="2" l="1"/>
  <c r="M499" i="2" s="1"/>
  <c r="AA499" i="2"/>
  <c r="V499" i="2"/>
  <c r="X499" i="2" s="1"/>
  <c r="O500" i="2" l="1"/>
  <c r="Q500" i="2" s="1"/>
  <c r="H500" i="2"/>
  <c r="P500" i="2" s="1"/>
  <c r="N500" i="2"/>
  <c r="S500" i="2" s="1"/>
  <c r="AA500" i="2" l="1"/>
  <c r="V500" i="2"/>
  <c r="X500" i="2" s="1"/>
  <c r="L500" i="2"/>
  <c r="M500" i="2" s="1"/>
  <c r="O501" i="2" l="1"/>
  <c r="Q501" i="2" s="1"/>
  <c r="H501" i="2"/>
  <c r="P501" i="2" s="1"/>
  <c r="N501" i="2"/>
  <c r="S501" i="2" s="1"/>
  <c r="AA501" i="2" l="1"/>
  <c r="V501" i="2"/>
  <c r="X501" i="2" s="1"/>
  <c r="L501" i="2"/>
  <c r="M501" i="2" s="1"/>
  <c r="N502" i="2" l="1"/>
  <c r="S502" i="2" s="1"/>
  <c r="H502" i="2"/>
  <c r="P502" i="2" s="1"/>
  <c r="O502" i="2"/>
  <c r="Q502" i="2" s="1"/>
  <c r="V502" i="2" l="1"/>
  <c r="X502" i="2" s="1"/>
  <c r="L502" i="2"/>
  <c r="M502" i="2" s="1"/>
  <c r="AA502" i="2"/>
  <c r="N503" i="2" l="1"/>
  <c r="S503" i="2" s="1"/>
  <c r="H503" i="2"/>
  <c r="P503" i="2" s="1"/>
  <c r="O503" i="2"/>
  <c r="Q503" i="2" s="1"/>
  <c r="V503" i="2" l="1"/>
  <c r="X503" i="2" s="1"/>
  <c r="AA503" i="2"/>
  <c r="L503" i="2"/>
  <c r="M503" i="2" s="1"/>
  <c r="O504" i="2" l="1"/>
  <c r="Q504" i="2" s="1"/>
  <c r="N504" i="2"/>
  <c r="H504" i="2"/>
  <c r="P504" i="2" s="1"/>
  <c r="L504" i="2" l="1"/>
  <c r="M504" i="2" s="1"/>
  <c r="AA504" i="2"/>
  <c r="V504" i="2"/>
  <c r="X504" i="2" s="1"/>
  <c r="S504" i="2"/>
  <c r="O505" i="2" l="1"/>
  <c r="Q505" i="2" s="1"/>
  <c r="N505" i="2"/>
  <c r="H505" i="2"/>
  <c r="P505" i="2" s="1"/>
  <c r="L505" i="2" l="1"/>
  <c r="M505" i="2" s="1"/>
  <c r="AA505" i="2"/>
  <c r="S505" i="2"/>
  <c r="V505" i="2"/>
  <c r="X505" i="2" s="1"/>
  <c r="O506" i="2" l="1"/>
  <c r="Q506" i="2" s="1"/>
  <c r="N506" i="2"/>
  <c r="H506" i="2"/>
  <c r="P506" i="2" s="1"/>
  <c r="AA506" i="2" l="1"/>
  <c r="L506" i="2"/>
  <c r="M506" i="2" s="1"/>
  <c r="S506" i="2"/>
  <c r="V506" i="2"/>
  <c r="X506" i="2" s="1"/>
  <c r="O507" i="2" l="1"/>
  <c r="Q507" i="2" s="1"/>
  <c r="N507" i="2"/>
  <c r="H507" i="2"/>
  <c r="P507" i="2" s="1"/>
  <c r="AA507" i="2" l="1"/>
  <c r="L507" i="2"/>
  <c r="M507" i="2" s="1"/>
  <c r="S507" i="2"/>
  <c r="V507" i="2"/>
  <c r="X507" i="2" s="1"/>
  <c r="O508" i="2" l="1"/>
  <c r="Q508" i="2" s="1"/>
  <c r="N508" i="2"/>
  <c r="H508" i="2"/>
  <c r="P508" i="2" s="1"/>
  <c r="AA508" i="2" l="1"/>
  <c r="L508" i="2"/>
  <c r="M508" i="2" s="1"/>
  <c r="S508" i="2"/>
  <c r="V508" i="2"/>
  <c r="X508" i="2" s="1"/>
  <c r="N509" i="2" l="1"/>
  <c r="O509" i="2"/>
  <c r="Q509" i="2" s="1"/>
  <c r="H509" i="2"/>
  <c r="P509" i="2" s="1"/>
  <c r="AA509" i="2" l="1"/>
  <c r="L509" i="2"/>
  <c r="M509" i="2" s="1"/>
  <c r="V509" i="2"/>
  <c r="X509" i="2" s="1"/>
  <c r="S509" i="2"/>
  <c r="N510" i="2" l="1"/>
  <c r="O510" i="2"/>
  <c r="Q510" i="2" s="1"/>
  <c r="H510" i="2"/>
  <c r="P510" i="2" s="1"/>
  <c r="AA510" i="2" l="1"/>
  <c r="L510" i="2"/>
  <c r="M510" i="2" s="1"/>
  <c r="V510" i="2"/>
  <c r="X510" i="2" s="1"/>
  <c r="S510" i="2"/>
  <c r="O511" i="2" l="1"/>
  <c r="Q511" i="2" s="1"/>
  <c r="N511" i="2"/>
  <c r="H511" i="2"/>
  <c r="P511" i="2" s="1"/>
  <c r="AA511" i="2" l="1"/>
  <c r="L511" i="2"/>
  <c r="M511" i="2" s="1"/>
  <c r="S511" i="2"/>
  <c r="V511" i="2"/>
  <c r="X511" i="2" s="1"/>
  <c r="N512" i="2" l="1"/>
  <c r="O512" i="2"/>
  <c r="Q512" i="2" s="1"/>
  <c r="H512" i="2"/>
  <c r="P512" i="2" s="1"/>
  <c r="AA512" i="2" l="1"/>
  <c r="L512" i="2"/>
  <c r="M512" i="2" s="1"/>
  <c r="V512" i="2"/>
  <c r="X512" i="2" s="1"/>
  <c r="S512" i="2"/>
  <c r="O513" i="2" l="1"/>
  <c r="Q513" i="2" s="1"/>
  <c r="N513" i="2"/>
  <c r="H513" i="2"/>
  <c r="P513" i="2" s="1"/>
  <c r="AA513" i="2" l="1"/>
  <c r="S513" i="2"/>
  <c r="V513" i="2"/>
  <c r="X513" i="2" s="1"/>
  <c r="L513" i="2"/>
  <c r="M513" i="2" s="1"/>
  <c r="O514" i="2" l="1"/>
  <c r="Q514" i="2" s="1"/>
  <c r="N514" i="2"/>
  <c r="H514" i="2"/>
  <c r="P514" i="2" s="1"/>
  <c r="AA514" i="2" l="1"/>
  <c r="L514" i="2"/>
  <c r="M514" i="2" s="1"/>
  <c r="V514" i="2"/>
  <c r="X514" i="2" s="1"/>
  <c r="S514" i="2"/>
  <c r="O515" i="2" l="1"/>
  <c r="Q515" i="2" s="1"/>
  <c r="N515" i="2"/>
  <c r="H515" i="2"/>
  <c r="P515" i="2" s="1"/>
  <c r="AA515" i="2" l="1"/>
  <c r="S515" i="2"/>
  <c r="V515" i="2"/>
  <c r="X515" i="2" s="1"/>
  <c r="L515" i="2"/>
  <c r="M515" i="2" s="1"/>
  <c r="N516" i="2" l="1"/>
  <c r="O516" i="2"/>
  <c r="Q516" i="2" s="1"/>
  <c r="H516" i="2"/>
  <c r="P516" i="2" s="1"/>
  <c r="AA516" i="2" l="1"/>
  <c r="L516" i="2"/>
  <c r="M516" i="2" s="1"/>
  <c r="V516" i="2"/>
  <c r="X516" i="2" s="1"/>
  <c r="S516" i="2"/>
  <c r="N517" i="2" l="1"/>
  <c r="O517" i="2"/>
  <c r="Q517" i="2" s="1"/>
  <c r="H517" i="2"/>
  <c r="P517" i="2" s="1"/>
  <c r="AA517" i="2" l="1"/>
  <c r="L517" i="2"/>
  <c r="M517" i="2" s="1"/>
  <c r="S517" i="2"/>
  <c r="V517" i="2"/>
  <c r="X517" i="2" s="1"/>
  <c r="N518" i="2" l="1"/>
  <c r="O518" i="2"/>
  <c r="Q518" i="2" s="1"/>
  <c r="H518" i="2"/>
  <c r="P518" i="2" s="1"/>
  <c r="L518" i="2" l="1"/>
  <c r="M518" i="2" s="1"/>
  <c r="AA518" i="2"/>
  <c r="V518" i="2"/>
  <c r="X518" i="2" s="1"/>
  <c r="S518" i="2"/>
  <c r="O519" i="2" l="1"/>
  <c r="Q519" i="2" s="1"/>
  <c r="N519" i="2"/>
  <c r="H519" i="2"/>
  <c r="P519" i="2" s="1"/>
  <c r="AA519" i="2" l="1"/>
  <c r="V519" i="2"/>
  <c r="X519" i="2" s="1"/>
  <c r="S519" i="2"/>
  <c r="L519" i="2"/>
  <c r="M519" i="2" s="1"/>
  <c r="N520" i="2" l="1"/>
  <c r="O520" i="2"/>
  <c r="Q520" i="2" s="1"/>
  <c r="H520" i="2"/>
  <c r="P520" i="2" s="1"/>
  <c r="AA520" i="2" l="1"/>
  <c r="L520" i="2"/>
  <c r="M520" i="2" s="1"/>
  <c r="S520" i="2"/>
  <c r="V520" i="2"/>
  <c r="X520" i="2" s="1"/>
  <c r="O521" i="2" l="1"/>
  <c r="Q521" i="2" s="1"/>
  <c r="N521" i="2"/>
  <c r="H521" i="2"/>
  <c r="P521" i="2" s="1"/>
  <c r="AA521" i="2" l="1"/>
  <c r="S521" i="2"/>
  <c r="V521" i="2"/>
  <c r="X521" i="2" s="1"/>
  <c r="L521" i="2"/>
  <c r="M521" i="2" s="1"/>
  <c r="N522" i="2" l="1"/>
  <c r="O522" i="2"/>
  <c r="Q522" i="2" s="1"/>
  <c r="H522" i="2"/>
  <c r="P522" i="2" s="1"/>
  <c r="AA522" i="2" l="1"/>
  <c r="L522" i="2"/>
  <c r="M522" i="2" s="1"/>
  <c r="S522" i="2"/>
  <c r="V522" i="2"/>
  <c r="X522" i="2" s="1"/>
  <c r="O523" i="2" l="1"/>
  <c r="Q523" i="2" s="1"/>
  <c r="N523" i="2"/>
  <c r="H523" i="2"/>
  <c r="P523" i="2" s="1"/>
  <c r="L523" i="2" l="1"/>
  <c r="M523" i="2" s="1"/>
  <c r="AA523" i="2"/>
  <c r="S523" i="2"/>
  <c r="V523" i="2"/>
  <c r="X523" i="2" s="1"/>
  <c r="N524" i="2" l="1"/>
  <c r="O524" i="2"/>
  <c r="Q524" i="2" s="1"/>
  <c r="H524" i="2"/>
  <c r="P524" i="2" s="1"/>
  <c r="AA524" i="2" l="1"/>
  <c r="L524" i="2"/>
  <c r="M524" i="2" s="1"/>
  <c r="V524" i="2"/>
  <c r="X524" i="2" s="1"/>
  <c r="S524" i="2"/>
  <c r="O525" i="2" l="1"/>
  <c r="Q525" i="2" s="1"/>
  <c r="N525" i="2"/>
  <c r="H525" i="2"/>
  <c r="P525" i="2" s="1"/>
  <c r="AA525" i="2" l="1"/>
  <c r="S525" i="2"/>
  <c r="V525" i="2"/>
  <c r="X525" i="2" s="1"/>
  <c r="L525" i="2"/>
  <c r="M525" i="2" s="1"/>
  <c r="O526" i="2" l="1"/>
  <c r="Q526" i="2" s="1"/>
  <c r="N526" i="2"/>
  <c r="H526" i="2"/>
  <c r="P526" i="2" s="1"/>
  <c r="AA526" i="2" l="1"/>
  <c r="L526" i="2"/>
  <c r="M526" i="2" s="1"/>
  <c r="S526" i="2"/>
  <c r="V526" i="2"/>
  <c r="X526" i="2" s="1"/>
  <c r="O527" i="2" l="1"/>
  <c r="Q527" i="2" s="1"/>
  <c r="N527" i="2"/>
  <c r="H527" i="2"/>
  <c r="P527" i="2" s="1"/>
  <c r="AA527" i="2" l="1"/>
  <c r="L527" i="2"/>
  <c r="S527" i="2"/>
  <c r="V527" i="2"/>
  <c r="X527" i="2" s="1"/>
  <c r="M527" i="2"/>
  <c r="N528" i="2" l="1"/>
  <c r="O528" i="2"/>
  <c r="Q528" i="2" s="1"/>
  <c r="H528" i="2"/>
  <c r="P528" i="2" s="1"/>
  <c r="AA528" i="2" l="1"/>
  <c r="L528" i="2"/>
  <c r="M528" i="2" s="1"/>
  <c r="S528" i="2"/>
  <c r="V528" i="2"/>
  <c r="X528" i="2" s="1"/>
  <c r="O529" i="2" l="1"/>
  <c r="Q529" i="2" s="1"/>
  <c r="N529" i="2"/>
  <c r="H529" i="2"/>
  <c r="P529" i="2" s="1"/>
  <c r="AA529" i="2" l="1"/>
  <c r="L529" i="2"/>
  <c r="S529" i="2"/>
  <c r="V529" i="2"/>
  <c r="X529" i="2" s="1"/>
  <c r="M529" i="2"/>
  <c r="N530" i="2" l="1"/>
  <c r="O530" i="2"/>
  <c r="Q530" i="2" s="1"/>
  <c r="H530" i="2"/>
  <c r="P530" i="2" s="1"/>
  <c r="AA530" i="2" l="1"/>
  <c r="L530" i="2"/>
  <c r="M530" i="2" s="1"/>
  <c r="V530" i="2"/>
  <c r="X530" i="2" s="1"/>
  <c r="S530" i="2"/>
  <c r="O531" i="2" l="1"/>
  <c r="Q531" i="2" s="1"/>
  <c r="N531" i="2"/>
  <c r="H531" i="2"/>
  <c r="P531" i="2" s="1"/>
  <c r="AA531" i="2" l="1"/>
  <c r="L531" i="2"/>
  <c r="M531" i="2" s="1"/>
  <c r="V531" i="2"/>
  <c r="X531" i="2" s="1"/>
  <c r="S531" i="2"/>
  <c r="O532" i="2" l="1"/>
  <c r="Q532" i="2" s="1"/>
  <c r="N532" i="2"/>
  <c r="H532" i="2"/>
  <c r="P532" i="2" s="1"/>
  <c r="AA532" i="2" l="1"/>
  <c r="L532" i="2"/>
  <c r="M532" i="2" s="1"/>
  <c r="V532" i="2"/>
  <c r="X532" i="2" s="1"/>
  <c r="S532" i="2"/>
  <c r="O533" i="2" l="1"/>
  <c r="Q533" i="2" s="1"/>
  <c r="N533" i="2"/>
  <c r="H533" i="2"/>
  <c r="P533" i="2" s="1"/>
  <c r="AA533" i="2" l="1"/>
  <c r="S533" i="2"/>
  <c r="V533" i="2"/>
  <c r="X533" i="2" s="1"/>
  <c r="L533" i="2"/>
  <c r="M533" i="2" s="1"/>
  <c r="O534" i="2" l="1"/>
  <c r="Q534" i="2" s="1"/>
  <c r="N534" i="2"/>
  <c r="H534" i="2"/>
  <c r="P534" i="2" s="1"/>
  <c r="AA534" i="2" l="1"/>
  <c r="S534" i="2"/>
  <c r="V534" i="2"/>
  <c r="X534" i="2" s="1"/>
  <c r="L534" i="2"/>
  <c r="M534" i="2" s="1"/>
  <c r="O535" i="2" l="1"/>
  <c r="Q535" i="2" s="1"/>
  <c r="N535" i="2"/>
  <c r="H535" i="2"/>
  <c r="P535" i="2" s="1"/>
  <c r="AA535" i="2" l="1"/>
  <c r="L535" i="2"/>
  <c r="M535" i="2" s="1"/>
  <c r="S535" i="2"/>
  <c r="V535" i="2"/>
  <c r="X535" i="2" s="1"/>
  <c r="N536" i="2" l="1"/>
  <c r="O536" i="2"/>
  <c r="Q536" i="2" s="1"/>
  <c r="H536" i="2"/>
  <c r="P536" i="2" s="1"/>
  <c r="AA536" i="2" l="1"/>
  <c r="L536" i="2"/>
  <c r="M536" i="2" s="1"/>
  <c r="S536" i="2"/>
  <c r="V536" i="2"/>
  <c r="X536" i="2" s="1"/>
  <c r="O537" i="2" l="1"/>
  <c r="Q537" i="2" s="1"/>
  <c r="N537" i="2"/>
  <c r="H537" i="2"/>
  <c r="P537" i="2" s="1"/>
  <c r="AA537" i="2" l="1"/>
  <c r="L537" i="2"/>
  <c r="M537" i="2" s="1"/>
  <c r="S537" i="2"/>
  <c r="V537" i="2"/>
  <c r="X537" i="2" s="1"/>
  <c r="N538" i="2" l="1"/>
  <c r="O538" i="2"/>
  <c r="Q538" i="2" s="1"/>
  <c r="H538" i="2"/>
  <c r="P538" i="2" s="1"/>
  <c r="AA538" i="2" l="1"/>
  <c r="L538" i="2"/>
  <c r="M538" i="2" s="1"/>
  <c r="V538" i="2"/>
  <c r="X538" i="2" s="1"/>
  <c r="S538" i="2"/>
  <c r="O539" i="2" l="1"/>
  <c r="Q539" i="2" s="1"/>
  <c r="N539" i="2"/>
  <c r="H539" i="2"/>
  <c r="P539" i="2" s="1"/>
  <c r="AA539" i="2" l="1"/>
  <c r="L539" i="2"/>
  <c r="V539" i="2"/>
  <c r="X539" i="2" s="1"/>
  <c r="S539" i="2"/>
  <c r="M539" i="2"/>
  <c r="O540" i="2" l="1"/>
  <c r="Q540" i="2" s="1"/>
  <c r="N540" i="2"/>
  <c r="H540" i="2"/>
  <c r="P540" i="2" s="1"/>
  <c r="AA540" i="2" l="1"/>
  <c r="L540" i="2"/>
  <c r="M540" i="2" s="1"/>
  <c r="S540" i="2"/>
  <c r="V540" i="2"/>
  <c r="X540" i="2" s="1"/>
  <c r="O541" i="2" l="1"/>
  <c r="Q541" i="2" s="1"/>
  <c r="N541" i="2"/>
  <c r="H541" i="2"/>
  <c r="P541" i="2" s="1"/>
  <c r="AA541" i="2" l="1"/>
  <c r="L541" i="2"/>
  <c r="M541" i="2" s="1"/>
  <c r="S541" i="2"/>
  <c r="V541" i="2"/>
  <c r="X541" i="2" s="1"/>
  <c r="O542" i="2" l="1"/>
  <c r="Q542" i="2" s="1"/>
  <c r="N542" i="2"/>
  <c r="H542" i="2"/>
  <c r="P542" i="2" s="1"/>
  <c r="AA542" i="2" l="1"/>
  <c r="S542" i="2"/>
  <c r="V542" i="2"/>
  <c r="X542" i="2" s="1"/>
  <c r="L542" i="2"/>
  <c r="M542" i="2" s="1"/>
  <c r="O543" i="2" l="1"/>
  <c r="Q543" i="2" s="1"/>
  <c r="N543" i="2"/>
  <c r="H543" i="2"/>
  <c r="P543" i="2" s="1"/>
  <c r="AA543" i="2" l="1"/>
  <c r="L543" i="2"/>
  <c r="M543" i="2" s="1"/>
  <c r="V543" i="2"/>
  <c r="X543" i="2" s="1"/>
  <c r="S543" i="2"/>
  <c r="N544" i="2" l="1"/>
  <c r="O544" i="2"/>
  <c r="Q544" i="2" s="1"/>
  <c r="H544" i="2"/>
  <c r="P544" i="2" s="1"/>
  <c r="AA544" i="2" l="1"/>
  <c r="L544" i="2"/>
  <c r="M544" i="2" s="1"/>
  <c r="V544" i="2"/>
  <c r="X544" i="2" s="1"/>
  <c r="S544" i="2"/>
  <c r="N545" i="2" l="1"/>
  <c r="O545" i="2"/>
  <c r="Q545" i="2" s="1"/>
  <c r="H545" i="2"/>
  <c r="P545" i="2" s="1"/>
  <c r="AA545" i="2" l="1"/>
  <c r="L545" i="2"/>
  <c r="M545" i="2" s="1"/>
  <c r="S545" i="2"/>
  <c r="V545" i="2"/>
  <c r="X545" i="2" s="1"/>
  <c r="O546" i="2" l="1"/>
  <c r="Q546" i="2" s="1"/>
  <c r="N546" i="2"/>
  <c r="H546" i="2"/>
  <c r="P546" i="2" s="1"/>
  <c r="AA546" i="2" l="1"/>
  <c r="L546" i="2"/>
  <c r="M546" i="2" s="1"/>
  <c r="V546" i="2"/>
  <c r="X546" i="2" s="1"/>
  <c r="S546" i="2"/>
  <c r="N547" i="2" l="1"/>
  <c r="O547" i="2"/>
  <c r="Q547" i="2" s="1"/>
  <c r="H547" i="2"/>
  <c r="P547" i="2" s="1"/>
  <c r="AA547" i="2" l="1"/>
  <c r="L547" i="2"/>
  <c r="M547" i="2" s="1"/>
  <c r="V547" i="2"/>
  <c r="X547" i="2" s="1"/>
  <c r="S547" i="2"/>
  <c r="N548" i="2" l="1"/>
  <c r="O548" i="2"/>
  <c r="Q548" i="2" s="1"/>
  <c r="H548" i="2"/>
  <c r="P548" i="2" s="1"/>
  <c r="AA548" i="2" l="1"/>
  <c r="L548" i="2"/>
  <c r="M548" i="2" s="1"/>
  <c r="V548" i="2"/>
  <c r="X548" i="2" s="1"/>
  <c r="S548" i="2"/>
  <c r="O549" i="2" l="1"/>
  <c r="Q549" i="2" s="1"/>
  <c r="N549" i="2"/>
  <c r="H549" i="2"/>
  <c r="P549" i="2" s="1"/>
  <c r="AA549" i="2" l="1"/>
  <c r="L549" i="2"/>
  <c r="M549" i="2" s="1"/>
  <c r="S549" i="2"/>
  <c r="V549" i="2"/>
  <c r="X549" i="2" s="1"/>
  <c r="O550" i="2" l="1"/>
  <c r="Q550" i="2" s="1"/>
  <c r="N550" i="2"/>
  <c r="H550" i="2"/>
  <c r="P550" i="2" s="1"/>
  <c r="AA550" i="2" l="1"/>
  <c r="L550" i="2"/>
  <c r="M550" i="2" s="1"/>
  <c r="S550" i="2"/>
  <c r="V550" i="2"/>
  <c r="X550" i="2" s="1"/>
  <c r="O551" i="2" l="1"/>
  <c r="Q551" i="2" s="1"/>
  <c r="N551" i="2"/>
  <c r="H551" i="2"/>
  <c r="P551" i="2" s="1"/>
  <c r="AA551" i="2" l="1"/>
  <c r="L551" i="2"/>
  <c r="S551" i="2"/>
  <c r="V551" i="2"/>
  <c r="X551" i="2" s="1"/>
  <c r="M551" i="2"/>
  <c r="N552" i="2" l="1"/>
  <c r="O552" i="2"/>
  <c r="Q552" i="2" s="1"/>
  <c r="H552" i="2"/>
  <c r="P552" i="2" s="1"/>
  <c r="AA552" i="2" l="1"/>
  <c r="L552" i="2"/>
  <c r="M552" i="2" s="1"/>
  <c r="V552" i="2"/>
  <c r="X552" i="2" s="1"/>
  <c r="S552" i="2"/>
  <c r="O553" i="2" l="1"/>
  <c r="Q553" i="2" s="1"/>
  <c r="N553" i="2"/>
  <c r="H553" i="2"/>
  <c r="P553" i="2" s="1"/>
  <c r="AA553" i="2" l="1"/>
  <c r="S553" i="2"/>
  <c r="V553" i="2"/>
  <c r="X553" i="2" s="1"/>
  <c r="L553" i="2"/>
  <c r="M553" i="2"/>
  <c r="N554" i="2" l="1"/>
  <c r="O554" i="2"/>
  <c r="Q554" i="2" s="1"/>
  <c r="H554" i="2"/>
  <c r="P554" i="2" s="1"/>
  <c r="L554" i="2" l="1"/>
  <c r="M554" i="2" s="1"/>
  <c r="AA554" i="2"/>
  <c r="V554" i="2"/>
  <c r="X554" i="2" s="1"/>
  <c r="S554" i="2"/>
  <c r="O555" i="2" l="1"/>
  <c r="Q555" i="2" s="1"/>
  <c r="N555" i="2"/>
  <c r="H555" i="2"/>
  <c r="P555" i="2" s="1"/>
  <c r="AA555" i="2" l="1"/>
  <c r="V555" i="2"/>
  <c r="X555" i="2" s="1"/>
  <c r="S555" i="2"/>
  <c r="L555" i="2"/>
  <c r="M555" i="2" s="1"/>
  <c r="N556" i="2" l="1"/>
  <c r="O556" i="2"/>
  <c r="Q556" i="2" s="1"/>
  <c r="H556" i="2"/>
  <c r="P556" i="2" s="1"/>
  <c r="L556" i="2" l="1"/>
  <c r="M556" i="2" s="1"/>
  <c r="AA556" i="2"/>
  <c r="V556" i="2"/>
  <c r="X556" i="2" s="1"/>
  <c r="S556" i="2"/>
  <c r="O557" i="2" l="1"/>
  <c r="Q557" i="2" s="1"/>
  <c r="N557" i="2"/>
  <c r="H557" i="2"/>
  <c r="P557" i="2" s="1"/>
  <c r="AA557" i="2" l="1"/>
  <c r="L557" i="2"/>
  <c r="S557" i="2"/>
  <c r="V557" i="2"/>
  <c r="X557" i="2" s="1"/>
  <c r="M557" i="2"/>
  <c r="N558" i="2" l="1"/>
  <c r="O558" i="2"/>
  <c r="Q558" i="2" s="1"/>
  <c r="H558" i="2"/>
  <c r="P558" i="2" s="1"/>
  <c r="L558" i="2" l="1"/>
  <c r="M558" i="2" s="1"/>
  <c r="AA558" i="2"/>
  <c r="V558" i="2"/>
  <c r="X558" i="2" s="1"/>
  <c r="S558" i="2"/>
  <c r="O559" i="2" l="1"/>
  <c r="Q559" i="2" s="1"/>
  <c r="N559" i="2"/>
  <c r="H559" i="2"/>
  <c r="P559" i="2" s="1"/>
  <c r="AA559" i="2" l="1"/>
  <c r="L559" i="2"/>
  <c r="M559" i="2" s="1"/>
  <c r="V559" i="2"/>
  <c r="X559" i="2" s="1"/>
  <c r="S559" i="2"/>
  <c r="O560" i="2" l="1"/>
  <c r="Q560" i="2" s="1"/>
  <c r="N560" i="2"/>
  <c r="H560" i="2"/>
  <c r="P560" i="2" s="1"/>
  <c r="AA560" i="2" l="1"/>
  <c r="L560" i="2"/>
  <c r="V560" i="2"/>
  <c r="X560" i="2" s="1"/>
  <c r="S560" i="2"/>
  <c r="M560" i="2"/>
  <c r="O561" i="2" l="1"/>
  <c r="Q561" i="2" s="1"/>
  <c r="N561" i="2"/>
  <c r="H561" i="2"/>
  <c r="P561" i="2" s="1"/>
  <c r="AA561" i="2" l="1"/>
  <c r="L561" i="2"/>
  <c r="S561" i="2"/>
  <c r="V561" i="2"/>
  <c r="X561" i="2" s="1"/>
  <c r="M561" i="2"/>
  <c r="N562" i="2" l="1"/>
  <c r="O562" i="2"/>
  <c r="Q562" i="2" s="1"/>
  <c r="H562" i="2"/>
  <c r="P562" i="2" s="1"/>
  <c r="L562" i="2" l="1"/>
  <c r="M562" i="2" s="1"/>
  <c r="AA562" i="2"/>
  <c r="V562" i="2"/>
  <c r="X562" i="2" s="1"/>
  <c r="S562" i="2"/>
  <c r="O563" i="2" l="1"/>
  <c r="Q563" i="2" s="1"/>
  <c r="N563" i="2"/>
  <c r="H563" i="2"/>
  <c r="P563" i="2" s="1"/>
  <c r="AA563" i="2" l="1"/>
  <c r="L563" i="2"/>
  <c r="M563" i="2" s="1"/>
  <c r="S563" i="2"/>
  <c r="V563" i="2"/>
  <c r="X563" i="2" s="1"/>
  <c r="N564" i="2" l="1"/>
  <c r="O564" i="2"/>
  <c r="Q564" i="2" s="1"/>
  <c r="H564" i="2"/>
  <c r="P564" i="2" s="1"/>
  <c r="AA564" i="2" l="1"/>
  <c r="L564" i="2"/>
  <c r="M564" i="2" s="1"/>
  <c r="S564" i="2"/>
  <c r="V564" i="2"/>
  <c r="X564" i="2" s="1"/>
  <c r="N565" i="2" l="1"/>
  <c r="O565" i="2"/>
  <c r="Q565" i="2" s="1"/>
  <c r="H565" i="2"/>
  <c r="P565" i="2" s="1"/>
  <c r="L565" i="2" l="1"/>
  <c r="M565" i="2" s="1"/>
  <c r="AA565" i="2"/>
  <c r="S565" i="2"/>
  <c r="V565" i="2"/>
  <c r="X565" i="2" s="1"/>
  <c r="N566" i="2" l="1"/>
  <c r="O566" i="2"/>
  <c r="Q566" i="2" s="1"/>
  <c r="H566" i="2"/>
  <c r="P566" i="2" s="1"/>
  <c r="AA566" i="2" l="1"/>
  <c r="L566" i="2"/>
  <c r="M566" i="2" s="1"/>
  <c r="V566" i="2"/>
  <c r="X566" i="2" s="1"/>
  <c r="S566" i="2"/>
  <c r="O567" i="2" l="1"/>
  <c r="Q567" i="2" s="1"/>
  <c r="N567" i="2"/>
  <c r="H567" i="2"/>
  <c r="P567" i="2" s="1"/>
  <c r="AA567" i="2" l="1"/>
  <c r="L567" i="2"/>
  <c r="M567" i="2" s="1"/>
  <c r="S567" i="2"/>
  <c r="V567" i="2"/>
  <c r="X567" i="2" s="1"/>
  <c r="O568" i="2" l="1"/>
  <c r="Q568" i="2" s="1"/>
  <c r="N568" i="2"/>
  <c r="H568" i="2"/>
  <c r="P568" i="2" s="1"/>
  <c r="AA568" i="2" l="1"/>
  <c r="S568" i="2"/>
  <c r="V568" i="2"/>
  <c r="X568" i="2" s="1"/>
  <c r="L568" i="2"/>
  <c r="M568" i="2" s="1"/>
  <c r="O569" i="2" l="1"/>
  <c r="Q569" i="2" s="1"/>
  <c r="N569" i="2"/>
  <c r="H569" i="2"/>
  <c r="P569" i="2" s="1"/>
  <c r="AA569" i="2" l="1"/>
  <c r="L569" i="2"/>
  <c r="S569" i="2"/>
  <c r="V569" i="2"/>
  <c r="X569" i="2" s="1"/>
  <c r="M569" i="2"/>
  <c r="O570" i="2" l="1"/>
  <c r="Q570" i="2" s="1"/>
  <c r="N570" i="2"/>
  <c r="H570" i="2"/>
  <c r="P570" i="2" s="1"/>
  <c r="AA570" i="2" l="1"/>
  <c r="L570" i="2"/>
  <c r="M570" i="2" s="1"/>
  <c r="V570" i="2"/>
  <c r="X570" i="2" s="1"/>
  <c r="S570" i="2"/>
  <c r="O571" i="2" l="1"/>
  <c r="Q571" i="2" s="1"/>
  <c r="N571" i="2"/>
  <c r="H571" i="2"/>
  <c r="P571" i="2" s="1"/>
  <c r="AA571" i="2" l="1"/>
  <c r="S571" i="2"/>
  <c r="V571" i="2"/>
  <c r="X571" i="2" s="1"/>
  <c r="L571" i="2"/>
  <c r="M571" i="2" s="1"/>
  <c r="O572" i="2" l="1"/>
  <c r="Q572" i="2" s="1"/>
  <c r="N572" i="2"/>
  <c r="H572" i="2"/>
  <c r="P572" i="2" s="1"/>
  <c r="AA572" i="2" l="1"/>
  <c r="L572" i="2"/>
  <c r="M572" i="2" s="1"/>
  <c r="S572" i="2"/>
  <c r="V572" i="2"/>
  <c r="X572" i="2" s="1"/>
  <c r="O573" i="2" l="1"/>
  <c r="Q573" i="2" s="1"/>
  <c r="N573" i="2"/>
  <c r="H573" i="2"/>
  <c r="P573" i="2" s="1"/>
  <c r="AA573" i="2" l="1"/>
  <c r="S573" i="2"/>
  <c r="V573" i="2"/>
  <c r="X573" i="2" s="1"/>
  <c r="L573" i="2"/>
  <c r="M573" i="2" s="1"/>
  <c r="O574" i="2" l="1"/>
  <c r="Q574" i="2" s="1"/>
  <c r="N574" i="2"/>
  <c r="H574" i="2"/>
  <c r="P574" i="2" s="1"/>
  <c r="AA574" i="2" l="1"/>
  <c r="L574" i="2"/>
  <c r="S574" i="2"/>
  <c r="V574" i="2"/>
  <c r="X574" i="2" s="1"/>
  <c r="M574" i="2"/>
  <c r="N575" i="2" l="1"/>
  <c r="O575" i="2"/>
  <c r="Q575" i="2" s="1"/>
  <c r="H575" i="2"/>
  <c r="P575" i="2" s="1"/>
  <c r="L575" i="2" l="1"/>
  <c r="AA575" i="2"/>
  <c r="M575" i="2"/>
  <c r="V575" i="2"/>
  <c r="X575" i="2" s="1"/>
  <c r="S575" i="2"/>
  <c r="N576" i="2" l="1"/>
  <c r="O576" i="2"/>
  <c r="Q576" i="2" s="1"/>
  <c r="H576" i="2"/>
  <c r="P576" i="2" s="1"/>
  <c r="L576" i="2" l="1"/>
  <c r="AA576" i="2"/>
  <c r="S576" i="2"/>
  <c r="V576" i="2"/>
  <c r="X576" i="2" s="1"/>
  <c r="M576" i="2"/>
  <c r="Z575" i="2" l="1"/>
  <c r="Z574" i="2" s="1"/>
  <c r="Z573" i="2" s="1"/>
  <c r="Z572" i="2" s="1"/>
  <c r="Z571" i="2" s="1"/>
  <c r="Z570" i="2" s="1"/>
  <c r="Z569" i="2" s="1"/>
  <c r="Z568" i="2" s="1"/>
  <c r="Z567" i="2" s="1"/>
  <c r="Z566" i="2" s="1"/>
  <c r="Z565" i="2" s="1"/>
  <c r="Z564" i="2" s="1"/>
  <c r="Z563" i="2" s="1"/>
  <c r="Z562" i="2" s="1"/>
  <c r="Z561" i="2" s="1"/>
  <c r="Z560" i="2" s="1"/>
  <c r="Z559" i="2" s="1"/>
  <c r="Z558" i="2" s="1"/>
  <c r="Z557" i="2" s="1"/>
  <c r="Z556" i="2" s="1"/>
  <c r="Z555" i="2" s="1"/>
  <c r="Z554" i="2" s="1"/>
  <c r="Z553" i="2" s="1"/>
  <c r="Z552" i="2" s="1"/>
  <c r="Z551" i="2" s="1"/>
  <c r="Z550" i="2" s="1"/>
  <c r="Z549" i="2" s="1"/>
  <c r="Z548" i="2" s="1"/>
  <c r="Z547" i="2" s="1"/>
  <c r="Z546" i="2" s="1"/>
  <c r="Z545" i="2" s="1"/>
  <c r="Z544" i="2" s="1"/>
  <c r="Z543" i="2" s="1"/>
  <c r="Z542" i="2" s="1"/>
  <c r="Z541" i="2" s="1"/>
  <c r="Z540" i="2" s="1"/>
  <c r="Z539" i="2" s="1"/>
  <c r="Z538" i="2" s="1"/>
  <c r="Z537" i="2" s="1"/>
  <c r="Z536" i="2" s="1"/>
  <c r="Z535" i="2" s="1"/>
  <c r="Z534" i="2" s="1"/>
  <c r="Z533" i="2" s="1"/>
  <c r="Z532" i="2" s="1"/>
  <c r="Z531" i="2" s="1"/>
  <c r="Z530" i="2" s="1"/>
  <c r="Z529" i="2" s="1"/>
  <c r="Z528" i="2" s="1"/>
  <c r="Z527" i="2" s="1"/>
  <c r="Z526" i="2" s="1"/>
  <c r="Z525" i="2" s="1"/>
  <c r="Z524" i="2" s="1"/>
  <c r="Z523" i="2" s="1"/>
  <c r="Z522" i="2" s="1"/>
  <c r="Z521" i="2" s="1"/>
  <c r="Z520" i="2" s="1"/>
  <c r="Z519" i="2" s="1"/>
  <c r="Z518" i="2" s="1"/>
  <c r="Z517" i="2" s="1"/>
  <c r="Z516" i="2" s="1"/>
  <c r="Z515" i="2" s="1"/>
  <c r="Z514" i="2" s="1"/>
  <c r="Z513" i="2" s="1"/>
  <c r="Z512" i="2" s="1"/>
  <c r="Z511" i="2" s="1"/>
  <c r="Z510" i="2" s="1"/>
  <c r="Z509" i="2" s="1"/>
  <c r="Z508" i="2" s="1"/>
  <c r="Z507" i="2" s="1"/>
  <c r="Z506" i="2" s="1"/>
  <c r="Z505" i="2" s="1"/>
  <c r="Z504" i="2" s="1"/>
  <c r="Z503" i="2" s="1"/>
  <c r="Z502" i="2" s="1"/>
  <c r="Z501" i="2" s="1"/>
  <c r="Z500" i="2" s="1"/>
  <c r="Z499" i="2" s="1"/>
  <c r="Z498" i="2" s="1"/>
  <c r="Z497" i="2" s="1"/>
  <c r="Z496" i="2" s="1"/>
  <c r="Z495" i="2" s="1"/>
  <c r="Z494" i="2" s="1"/>
  <c r="Z493" i="2" s="1"/>
  <c r="Z492" i="2" s="1"/>
  <c r="Z491" i="2" s="1"/>
  <c r="Z490" i="2" s="1"/>
  <c r="Z489" i="2" s="1"/>
  <c r="Z488" i="2" s="1"/>
  <c r="Z487" i="2" s="1"/>
  <c r="Z486" i="2" s="1"/>
  <c r="Z485" i="2" s="1"/>
  <c r="Z484" i="2" s="1"/>
  <c r="Z483" i="2" s="1"/>
  <c r="Z482" i="2" s="1"/>
  <c r="Z481" i="2" s="1"/>
  <c r="Z480" i="2" s="1"/>
  <c r="Z479" i="2" s="1"/>
  <c r="Z478" i="2" s="1"/>
  <c r="Z477" i="2" s="1"/>
  <c r="Z476" i="2" s="1"/>
  <c r="Z475" i="2" s="1"/>
  <c r="Z474" i="2" s="1"/>
  <c r="Z473" i="2" s="1"/>
  <c r="Z472" i="2" s="1"/>
  <c r="Z471" i="2" s="1"/>
  <c r="Z470" i="2" s="1"/>
  <c r="Z469" i="2" s="1"/>
  <c r="Z468" i="2" s="1"/>
  <c r="Z467" i="2" s="1"/>
  <c r="Z466" i="2" s="1"/>
  <c r="Z465" i="2" s="1"/>
  <c r="Z464" i="2" s="1"/>
  <c r="Z463" i="2" s="1"/>
  <c r="Z462" i="2" s="1"/>
  <c r="Z461" i="2" s="1"/>
  <c r="Z460" i="2" s="1"/>
  <c r="Z459" i="2" s="1"/>
  <c r="Z458" i="2" s="1"/>
  <c r="Z457" i="2" s="1"/>
  <c r="Z456" i="2" s="1"/>
  <c r="Z455" i="2" s="1"/>
  <c r="Z454" i="2" s="1"/>
  <c r="Z453" i="2" s="1"/>
  <c r="Z452" i="2" s="1"/>
  <c r="Z451" i="2" s="1"/>
  <c r="Z450" i="2" s="1"/>
  <c r="Z449" i="2" s="1"/>
  <c r="Z448" i="2" s="1"/>
  <c r="Z447" i="2" s="1"/>
  <c r="Z446" i="2" s="1"/>
  <c r="Z445" i="2" s="1"/>
  <c r="Z444" i="2" s="1"/>
  <c r="Z443" i="2" s="1"/>
  <c r="Z442" i="2" s="1"/>
  <c r="Z441" i="2" s="1"/>
  <c r="Z440" i="2" s="1"/>
  <c r="Z439" i="2" s="1"/>
  <c r="Z438" i="2" s="1"/>
  <c r="Z437" i="2" s="1"/>
  <c r="Z436" i="2" s="1"/>
  <c r="Z435" i="2" s="1"/>
  <c r="Z434" i="2" s="1"/>
  <c r="Z433" i="2" s="1"/>
  <c r="Z432" i="2" s="1"/>
  <c r="Z431" i="2" s="1"/>
  <c r="Z430" i="2" s="1"/>
  <c r="Z429" i="2" s="1"/>
  <c r="Z428" i="2" s="1"/>
  <c r="Z427" i="2" s="1"/>
  <c r="Z426" i="2" s="1"/>
  <c r="Z425" i="2" s="1"/>
  <c r="Z424" i="2" s="1"/>
  <c r="Z423" i="2" s="1"/>
  <c r="Z422" i="2" s="1"/>
  <c r="Z421" i="2" s="1"/>
  <c r="Z420" i="2" s="1"/>
  <c r="Z419" i="2" s="1"/>
  <c r="Z418" i="2" s="1"/>
  <c r="Z417" i="2" s="1"/>
  <c r="Z416" i="2" s="1"/>
  <c r="Z415" i="2" s="1"/>
  <c r="Z414" i="2" s="1"/>
  <c r="Z413" i="2" s="1"/>
  <c r="Z412" i="2" s="1"/>
  <c r="Z411" i="2" s="1"/>
  <c r="Z410" i="2" s="1"/>
  <c r="Z409" i="2" s="1"/>
  <c r="Z408" i="2" s="1"/>
  <c r="Z407" i="2" s="1"/>
  <c r="Z406" i="2" s="1"/>
  <c r="Z405" i="2" s="1"/>
  <c r="Z404" i="2" s="1"/>
  <c r="Z403" i="2" s="1"/>
  <c r="Z402" i="2" s="1"/>
  <c r="Z401" i="2" s="1"/>
  <c r="Z400" i="2" s="1"/>
  <c r="Z399" i="2" s="1"/>
  <c r="Z398" i="2" s="1"/>
  <c r="Z397" i="2" s="1"/>
  <c r="Z396" i="2" s="1"/>
  <c r="Z395" i="2" s="1"/>
  <c r="Z394" i="2" s="1"/>
  <c r="Z393" i="2" s="1"/>
  <c r="Z392" i="2" s="1"/>
  <c r="Z391" i="2" s="1"/>
  <c r="Z390" i="2" s="1"/>
  <c r="Z389" i="2" s="1"/>
  <c r="Z388" i="2" s="1"/>
  <c r="Z387" i="2" s="1"/>
  <c r="Z386" i="2" s="1"/>
  <c r="Z385" i="2" s="1"/>
  <c r="Z384" i="2" s="1"/>
  <c r="Z383" i="2" s="1"/>
  <c r="Z382" i="2" s="1"/>
  <c r="Z381" i="2" s="1"/>
  <c r="Z380" i="2" s="1"/>
  <c r="Z379" i="2" s="1"/>
  <c r="Z378" i="2" s="1"/>
  <c r="Z377" i="2" s="1"/>
  <c r="Z376" i="2" s="1"/>
  <c r="Z375" i="2" s="1"/>
  <c r="Z374" i="2" s="1"/>
  <c r="Z373" i="2" s="1"/>
  <c r="Z372" i="2" s="1"/>
  <c r="Z371" i="2" s="1"/>
  <c r="Z370" i="2" s="1"/>
  <c r="Z369" i="2" s="1"/>
  <c r="Z368" i="2" s="1"/>
  <c r="Z367" i="2" s="1"/>
  <c r="Z366" i="2" s="1"/>
  <c r="Z365" i="2" s="1"/>
  <c r="Z364" i="2" s="1"/>
  <c r="Z363" i="2" s="1"/>
  <c r="Z362" i="2" s="1"/>
  <c r="Z361" i="2" s="1"/>
  <c r="Z360" i="2" s="1"/>
  <c r="Z359" i="2" s="1"/>
  <c r="Z358" i="2" s="1"/>
  <c r="Z357" i="2" s="1"/>
  <c r="Z356" i="2" s="1"/>
  <c r="Z355" i="2" s="1"/>
  <c r="Z354" i="2" s="1"/>
  <c r="Z353" i="2" s="1"/>
  <c r="Z352" i="2" s="1"/>
  <c r="Z351" i="2" s="1"/>
  <c r="Z350" i="2" s="1"/>
  <c r="Z349" i="2" s="1"/>
  <c r="Z348" i="2" s="1"/>
  <c r="Z347" i="2" s="1"/>
  <c r="Z346" i="2" s="1"/>
  <c r="Z345" i="2" s="1"/>
  <c r="Z344" i="2" s="1"/>
  <c r="Z343" i="2" s="1"/>
  <c r="Z342" i="2" s="1"/>
  <c r="Z341" i="2" s="1"/>
  <c r="Z340" i="2" s="1"/>
  <c r="Z339" i="2" s="1"/>
  <c r="Z338" i="2" s="1"/>
  <c r="Z337" i="2" s="1"/>
  <c r="Z336" i="2" s="1"/>
  <c r="Z335" i="2" s="1"/>
  <c r="Z334" i="2" s="1"/>
  <c r="Z333" i="2" s="1"/>
  <c r="Z332" i="2" s="1"/>
  <c r="Z331" i="2" s="1"/>
  <c r="Z330" i="2" s="1"/>
  <c r="Z329" i="2" s="1"/>
  <c r="Z328" i="2" s="1"/>
  <c r="Z327" i="2" s="1"/>
  <c r="Z326" i="2" s="1"/>
  <c r="Z325" i="2" s="1"/>
  <c r="Z324" i="2" s="1"/>
  <c r="Z323" i="2" s="1"/>
  <c r="Z322" i="2" s="1"/>
  <c r="Z321" i="2" s="1"/>
  <c r="Z320" i="2" s="1"/>
  <c r="Z319" i="2" s="1"/>
  <c r="Z318" i="2" s="1"/>
  <c r="Z317" i="2" s="1"/>
  <c r="Z316" i="2" s="1"/>
  <c r="Z315" i="2" s="1"/>
  <c r="Z314" i="2" s="1"/>
  <c r="Z313" i="2" s="1"/>
  <c r="Z312" i="2" s="1"/>
  <c r="Z311" i="2" s="1"/>
  <c r="Z310" i="2" s="1"/>
  <c r="Z309" i="2" s="1"/>
  <c r="Z308" i="2" s="1"/>
  <c r="Z307" i="2" s="1"/>
  <c r="Z306" i="2" s="1"/>
  <c r="Z305" i="2" s="1"/>
  <c r="Z304" i="2" s="1"/>
  <c r="Z303" i="2" s="1"/>
  <c r="Z302" i="2" s="1"/>
  <c r="Z301" i="2" s="1"/>
  <c r="Z300" i="2" s="1"/>
  <c r="Z299" i="2" s="1"/>
  <c r="Z298" i="2" s="1"/>
  <c r="Z297" i="2" s="1"/>
  <c r="Z296" i="2" s="1"/>
  <c r="Z295" i="2" s="1"/>
  <c r="Z294" i="2" s="1"/>
  <c r="Z293" i="2" s="1"/>
  <c r="Z292" i="2" s="1"/>
  <c r="Z291" i="2" s="1"/>
  <c r="Z290" i="2" s="1"/>
  <c r="Z289" i="2" s="1"/>
  <c r="Z288" i="2" s="1"/>
  <c r="Z287" i="2" s="1"/>
  <c r="Z286" i="2" s="1"/>
  <c r="Z285" i="2" s="1"/>
  <c r="Z284" i="2" s="1"/>
  <c r="Z283" i="2" s="1"/>
  <c r="Z282" i="2" s="1"/>
  <c r="Z281" i="2" s="1"/>
  <c r="Z280" i="2" s="1"/>
  <c r="Z279" i="2" s="1"/>
  <c r="Z278" i="2" s="1"/>
  <c r="Z277" i="2" s="1"/>
  <c r="Z276" i="2" s="1"/>
  <c r="Z275" i="2" s="1"/>
  <c r="Z274" i="2" s="1"/>
  <c r="Z273" i="2" s="1"/>
  <c r="Z272" i="2" s="1"/>
  <c r="Z271" i="2" s="1"/>
  <c r="Z270" i="2" s="1"/>
  <c r="Z269" i="2" s="1"/>
  <c r="Z268" i="2" s="1"/>
  <c r="Z267" i="2" s="1"/>
  <c r="Z266" i="2" s="1"/>
  <c r="Z265" i="2" s="1"/>
  <c r="Z264" i="2" s="1"/>
  <c r="Z263" i="2" s="1"/>
  <c r="Z262" i="2" s="1"/>
  <c r="Z261" i="2" s="1"/>
  <c r="Z260" i="2" s="1"/>
  <c r="Z259" i="2" s="1"/>
  <c r="Z258" i="2" s="1"/>
  <c r="Z257" i="2" s="1"/>
  <c r="Z256" i="2" s="1"/>
  <c r="Z255" i="2" s="1"/>
  <c r="Z254" i="2" s="1"/>
  <c r="Z253" i="2" s="1"/>
  <c r="Z252" i="2" s="1"/>
  <c r="Z251" i="2" s="1"/>
  <c r="Z250" i="2" s="1"/>
  <c r="Z249" i="2" s="1"/>
  <c r="Z248" i="2" s="1"/>
  <c r="Z247" i="2" s="1"/>
  <c r="Z246" i="2" s="1"/>
  <c r="Z245" i="2" s="1"/>
  <c r="Z244" i="2" s="1"/>
  <c r="Z243" i="2" s="1"/>
  <c r="Z242" i="2" s="1"/>
  <c r="Z241" i="2" s="1"/>
  <c r="Z240" i="2" s="1"/>
  <c r="Z239" i="2" s="1"/>
  <c r="Z238" i="2" s="1"/>
  <c r="Z237" i="2" s="1"/>
  <c r="Z236" i="2" s="1"/>
  <c r="Z235" i="2" s="1"/>
  <c r="Z234" i="2" s="1"/>
  <c r="Z233" i="2" s="1"/>
  <c r="Z232" i="2" s="1"/>
  <c r="Z231" i="2" s="1"/>
  <c r="Z230" i="2" s="1"/>
  <c r="Z229" i="2" s="1"/>
  <c r="Z228" i="2" s="1"/>
  <c r="Z227" i="2" s="1"/>
  <c r="Z226" i="2" s="1"/>
  <c r="Z225" i="2" s="1"/>
  <c r="Z224" i="2" s="1"/>
  <c r="Z223" i="2" s="1"/>
  <c r="Z222" i="2" s="1"/>
  <c r="Z221" i="2" s="1"/>
  <c r="Z220" i="2" s="1"/>
  <c r="Z219" i="2" s="1"/>
  <c r="Z218" i="2" s="1"/>
  <c r="Z217" i="2" s="1"/>
  <c r="Z216" i="2" s="1"/>
  <c r="Z215" i="2" s="1"/>
  <c r="Z214" i="2" s="1"/>
  <c r="Z213" i="2" s="1"/>
  <c r="Z212" i="2" s="1"/>
  <c r="Z211" i="2" s="1"/>
  <c r="Z210" i="2" s="1"/>
  <c r="Z209" i="2" s="1"/>
  <c r="Z208" i="2" s="1"/>
  <c r="Z207" i="2" s="1"/>
  <c r="Z206" i="2" s="1"/>
  <c r="Z205" i="2" s="1"/>
  <c r="Z204" i="2" s="1"/>
  <c r="Z203" i="2" s="1"/>
  <c r="Z202" i="2" s="1"/>
  <c r="Z201" i="2" s="1"/>
  <c r="Z200" i="2" s="1"/>
  <c r="Z199" i="2" s="1"/>
  <c r="Z198" i="2" s="1"/>
  <c r="Z197" i="2" s="1"/>
  <c r="Z196" i="2" s="1"/>
  <c r="Z195" i="2" s="1"/>
  <c r="Z194" i="2" s="1"/>
  <c r="Z193" i="2" s="1"/>
  <c r="Z192" i="2" s="1"/>
  <c r="Z191" i="2" s="1"/>
  <c r="Z190" i="2" s="1"/>
  <c r="Z189" i="2" s="1"/>
  <c r="Z188" i="2" s="1"/>
  <c r="Z187" i="2" s="1"/>
  <c r="Z186" i="2" s="1"/>
  <c r="Z185" i="2" s="1"/>
  <c r="Z184" i="2" s="1"/>
  <c r="Z183" i="2" s="1"/>
  <c r="Z182" i="2" s="1"/>
  <c r="Z181" i="2" s="1"/>
  <c r="Z180" i="2" s="1"/>
  <c r="Z179" i="2" s="1"/>
  <c r="Z178" i="2" s="1"/>
  <c r="Z177" i="2" s="1"/>
  <c r="Z176" i="2" s="1"/>
  <c r="Z175" i="2" s="1"/>
  <c r="Z174" i="2" s="1"/>
  <c r="Z173" i="2" s="1"/>
  <c r="Z172" i="2" s="1"/>
  <c r="Z171" i="2" s="1"/>
  <c r="Z170" i="2" s="1"/>
  <c r="Z169" i="2" s="1"/>
  <c r="Z168" i="2" s="1"/>
  <c r="Z167" i="2" s="1"/>
  <c r="Z166" i="2" s="1"/>
  <c r="Z165" i="2" s="1"/>
  <c r="Z164" i="2" s="1"/>
  <c r="Z163" i="2" s="1"/>
  <c r="Z162" i="2" s="1"/>
  <c r="Z161" i="2" s="1"/>
  <c r="Z160" i="2" s="1"/>
  <c r="Z159" i="2" s="1"/>
  <c r="Z158" i="2" s="1"/>
  <c r="Z157" i="2" s="1"/>
  <c r="Z156" i="2" s="1"/>
  <c r="Z155" i="2" s="1"/>
  <c r="Z154" i="2" s="1"/>
  <c r="Z153" i="2" s="1"/>
  <c r="Z152" i="2" s="1"/>
  <c r="Z151" i="2" s="1"/>
  <c r="Z150" i="2" s="1"/>
  <c r="Z149" i="2" s="1"/>
  <c r="Z148" i="2" s="1"/>
  <c r="Z147" i="2" s="1"/>
  <c r="Z146" i="2" s="1"/>
  <c r="Z145" i="2" s="1"/>
  <c r="Z144" i="2" s="1"/>
  <c r="Z143" i="2" s="1"/>
  <c r="Z142" i="2" s="1"/>
  <c r="Z141" i="2" s="1"/>
  <c r="Z140" i="2" s="1"/>
  <c r="Z139" i="2" s="1"/>
  <c r="Z138" i="2" s="1"/>
  <c r="Z137" i="2" s="1"/>
  <c r="Z136" i="2" s="1"/>
  <c r="Z135" i="2" s="1"/>
  <c r="Z134" i="2" s="1"/>
  <c r="Z133" i="2" s="1"/>
  <c r="Z132" i="2" s="1"/>
  <c r="Z131" i="2" s="1"/>
  <c r="Z130" i="2" s="1"/>
  <c r="Z129" i="2" s="1"/>
  <c r="Z128" i="2" s="1"/>
  <c r="Z127" i="2" s="1"/>
  <c r="Z126" i="2" s="1"/>
  <c r="Z125" i="2" s="1"/>
  <c r="Z124" i="2" s="1"/>
  <c r="Z123" i="2" s="1"/>
  <c r="Z122" i="2" s="1"/>
  <c r="Z121" i="2" s="1"/>
  <c r="Z120" i="2" s="1"/>
  <c r="Z119" i="2" s="1"/>
  <c r="Z118" i="2" s="1"/>
  <c r="Z117" i="2" s="1"/>
  <c r="Z116" i="2" s="1"/>
  <c r="Z115" i="2" s="1"/>
  <c r="Z114" i="2" s="1"/>
  <c r="Z113" i="2" s="1"/>
  <c r="Z112" i="2" s="1"/>
  <c r="Z111" i="2" s="1"/>
  <c r="Z110" i="2" s="1"/>
  <c r="Z109" i="2" s="1"/>
  <c r="Z108" i="2" s="1"/>
  <c r="Z107" i="2" s="1"/>
  <c r="Z106" i="2" s="1"/>
  <c r="Z105" i="2" s="1"/>
  <c r="Z104" i="2" s="1"/>
  <c r="Z103" i="2" s="1"/>
  <c r="Z102" i="2" s="1"/>
  <c r="Z101" i="2" s="1"/>
  <c r="Z100" i="2" s="1"/>
  <c r="Z99" i="2" s="1"/>
  <c r="Z98" i="2" s="1"/>
  <c r="Z97" i="2" s="1"/>
  <c r="Z96" i="2" s="1"/>
  <c r="Z95" i="2" s="1"/>
  <c r="Z94" i="2" s="1"/>
  <c r="Z93" i="2" s="1"/>
  <c r="Z92" i="2" s="1"/>
  <c r="Z91" i="2" s="1"/>
  <c r="Z90" i="2" s="1"/>
  <c r="Z89" i="2" s="1"/>
  <c r="Z88" i="2" s="1"/>
  <c r="Z87" i="2" s="1"/>
  <c r="Z86" i="2" s="1"/>
  <c r="Z85" i="2" s="1"/>
  <c r="Z84" i="2" s="1"/>
  <c r="Z83" i="2" s="1"/>
  <c r="Z82" i="2" s="1"/>
  <c r="Z81" i="2" s="1"/>
  <c r="Z80" i="2" s="1"/>
  <c r="Z79" i="2" s="1"/>
  <c r="Z78" i="2" s="1"/>
  <c r="Z77" i="2" s="1"/>
  <c r="Z76" i="2" s="1"/>
  <c r="Z75" i="2" s="1"/>
  <c r="Z74" i="2" s="1"/>
  <c r="Z73" i="2" s="1"/>
  <c r="Z72" i="2" s="1"/>
  <c r="Z71" i="2" s="1"/>
  <c r="Z70" i="2" s="1"/>
  <c r="Z69" i="2" s="1"/>
  <c r="Z68" i="2" s="1"/>
  <c r="Z67" i="2" s="1"/>
  <c r="Z66" i="2" s="1"/>
  <c r="Z65" i="2" s="1"/>
  <c r="Z64" i="2" s="1"/>
  <c r="Z63" i="2" s="1"/>
  <c r="Z62" i="2" s="1"/>
  <c r="Z61" i="2" s="1"/>
  <c r="Z60" i="2" s="1"/>
  <c r="Z59" i="2" s="1"/>
  <c r="Z58" i="2" s="1"/>
  <c r="Z57" i="2" s="1"/>
  <c r="Z56" i="2" s="1"/>
  <c r="Z55" i="2" s="1"/>
  <c r="Z54" i="2" s="1"/>
  <c r="Z53" i="2" s="1"/>
  <c r="Z52" i="2" s="1"/>
  <c r="Z51" i="2" s="1"/>
  <c r="Z50" i="2" s="1"/>
  <c r="Z49" i="2" s="1"/>
  <c r="Z48" i="2" s="1"/>
  <c r="Z47" i="2" s="1"/>
  <c r="Z46" i="2" s="1"/>
  <c r="Z45" i="2" s="1"/>
  <c r="Z44" i="2" s="1"/>
  <c r="Z43" i="2" s="1"/>
  <c r="Z42" i="2" s="1"/>
  <c r="Z41" i="2" s="1"/>
  <c r="Z40" i="2" s="1"/>
  <c r="Z39" i="2" s="1"/>
  <c r="Z38" i="2" s="1"/>
  <c r="Z37" i="2" s="1"/>
  <c r="Z36" i="2" s="1"/>
  <c r="Z35" i="2" s="1"/>
  <c r="Z34" i="2" s="1"/>
  <c r="Z33" i="2" s="1"/>
  <c r="Z32" i="2" s="1"/>
  <c r="Z31" i="2" s="1"/>
  <c r="Z30" i="2" s="1"/>
  <c r="Z29" i="2" s="1"/>
  <c r="Z28" i="2" s="1"/>
  <c r="Z27" i="2" s="1"/>
  <c r="Z26" i="2" s="1"/>
  <c r="Z25" i="2" s="1"/>
  <c r="Z24" i="2" s="1"/>
  <c r="Z23" i="2" s="1"/>
  <c r="Z22" i="2" s="1"/>
  <c r="Z21" i="2" s="1"/>
  <c r="Z20" i="2" s="1"/>
  <c r="Z19" i="2" s="1"/>
  <c r="Z18" i="2" s="1"/>
  <c r="Z17" i="2" s="1"/>
  <c r="Z16" i="2" s="1"/>
  <c r="Z15" i="2" s="1"/>
  <c r="Z14" i="2" s="1"/>
  <c r="Z13" i="2" s="1"/>
  <c r="Z12" i="2" s="1"/>
  <c r="Z11" i="2" s="1"/>
</calcChain>
</file>

<file path=xl/sharedStrings.xml><?xml version="1.0" encoding="utf-8"?>
<sst xmlns="http://schemas.openxmlformats.org/spreadsheetml/2006/main" count="307" uniqueCount="72">
  <si>
    <t>fun‚railles</t>
  </si>
  <si>
    <t>Output_Format</t>
  </si>
  <si>
    <t xml:space="preserve"> FORMAT_SORTIE2</t>
  </si>
  <si>
    <t>NUMLINES</t>
  </si>
  <si>
    <t>VARIABLE_TYPES</t>
  </si>
  <si>
    <t>T1</t>
  </si>
  <si>
    <t>I</t>
  </si>
  <si>
    <t>N</t>
  </si>
  <si>
    <t>!</t>
  </si>
  <si>
    <t>SPCODE</t>
  </si>
  <si>
    <t>AGE_AT_ENTRY</t>
  </si>
  <si>
    <t>DURATIONIF_M</t>
  </si>
  <si>
    <t>PREM_FREQ</t>
  </si>
  <si>
    <t>POL_NUMERO</t>
  </si>
  <si>
    <t>SEX</t>
  </si>
  <si>
    <t>INIT_POLS_IF</t>
  </si>
  <si>
    <t>MTHS_TO_SALE</t>
  </si>
  <si>
    <t>*</t>
  </si>
  <si>
    <t>Date</t>
  </si>
  <si>
    <t>T</t>
  </si>
  <si>
    <t>Age Anniversary Date</t>
  </si>
  <si>
    <t>EKM 95</t>
  </si>
  <si>
    <t>EKF 95</t>
  </si>
  <si>
    <t>x</t>
  </si>
  <si>
    <t>qx</t>
  </si>
  <si>
    <t>qy</t>
  </si>
  <si>
    <t>Mortality</t>
  </si>
  <si>
    <t>Q_EXP_PN</t>
  </si>
  <si>
    <t>Policy_Term_Years</t>
  </si>
  <si>
    <t>Q_EXP</t>
  </si>
  <si>
    <t>Number of Deaths</t>
  </si>
  <si>
    <t>Lapse Probabilitx</t>
  </si>
  <si>
    <t>Annual Lapse Probability</t>
  </si>
  <si>
    <t>Anniversary_Date</t>
  </si>
  <si>
    <t>Aux Lapse</t>
  </si>
  <si>
    <t>Premium Payment</t>
  </si>
  <si>
    <t>Number of Surrenders</t>
  </si>
  <si>
    <t>Number In Force</t>
  </si>
  <si>
    <t>Premium Cash Flow</t>
  </si>
  <si>
    <t>Frais Visite Premium</t>
  </si>
  <si>
    <t>Premium</t>
  </si>
  <si>
    <t>Premium Frais Visite</t>
  </si>
  <si>
    <t>Capital</t>
  </si>
  <si>
    <t>Death Cash Flow</t>
  </si>
  <si>
    <t>Frais Visite Claim Ratio</t>
  </si>
  <si>
    <t>Frais Visite Cash Flow</t>
  </si>
  <si>
    <t>Comission</t>
  </si>
  <si>
    <t>Comission Rate</t>
  </si>
  <si>
    <t>Comission Cash Flow</t>
  </si>
  <si>
    <t>Risque En Cour</t>
  </si>
  <si>
    <t>MAT Reserve For Expense</t>
  </si>
  <si>
    <t>Premium Charge</t>
  </si>
  <si>
    <t>Fixed Anual Expense</t>
  </si>
  <si>
    <t>Reserves Expenses</t>
  </si>
  <si>
    <t>Expense Inflation</t>
  </si>
  <si>
    <t>Expense Inflation Factor</t>
  </si>
  <si>
    <t>Total Expenses</t>
  </si>
  <si>
    <t>Investement Yields</t>
  </si>
  <si>
    <t>Discount Factor</t>
  </si>
  <si>
    <t>BEL</t>
  </si>
  <si>
    <t>Policy_Term_Month</t>
  </si>
  <si>
    <t>Months to End</t>
  </si>
  <si>
    <t>Max Number Months</t>
  </si>
  <si>
    <t>Number Policies</t>
  </si>
  <si>
    <t>CF Claims</t>
  </si>
  <si>
    <t>CF_Premiuns</t>
  </si>
  <si>
    <t>CF_Claims</t>
  </si>
  <si>
    <t>CF_Comission</t>
  </si>
  <si>
    <t>CF_Expenses</t>
  </si>
  <si>
    <t>End Year</t>
  </si>
  <si>
    <t>Time Since Last Premium</t>
  </si>
  <si>
    <t>Years Since Inception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</si>
</sst>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General_)"/>
    <numFmt numFmtId="165" formatCode="0.0000000_)"/>
    <numFmt numFmtId="166" formatCode="0.0000000"/>
    <numFmt numFmtId="167" formatCode="0.000000000"/>
    <numFmt numFmtId="168" formatCode="0.00000"/>
  </numFmts>
  <fonts count="10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b/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5" fillId="0" borderId="0"/>
    <xf numFmtId="164" fontId="8" fillId="0" borderId="0"/>
  </cellStyleXfs>
  <cellXfs count="24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1" xfId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" fillId="0" borderId="1" xfId="2" applyFont="1" applyBorder="1" applyAlignment="1">
      <alignment horizontal="center"/>
    </xf>
    <xf numFmtId="1" fontId="6" fillId="0" borderId="2" xfId="1" applyNumberFormat="1" applyFont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0" borderId="3" xfId="2" applyFont="1" applyBorder="1" applyAlignment="1">
      <alignment horizontal="center"/>
    </xf>
    <xf numFmtId="1" fontId="5" fillId="0" borderId="4" xfId="1" applyNumberFormat="1" applyFont="1" applyBorder="1" applyAlignment="1">
      <alignment horizontal="center"/>
    </xf>
    <xf numFmtId="165" fontId="7" fillId="0" borderId="5" xfId="3" applyNumberFormat="1" applyFont="1" applyFill="1" applyBorder="1"/>
    <xf numFmtId="165" fontId="7" fillId="0" borderId="6" xfId="3" applyNumberFormat="1" applyFont="1" applyFill="1" applyBorder="1"/>
    <xf numFmtId="165" fontId="7" fillId="0" borderId="7" xfId="3" applyNumberFormat="1" applyFont="1" applyBorder="1"/>
    <xf numFmtId="4" fontId="5" fillId="0" borderId="0" xfId="1" applyNumberFormat="1" applyFont="1"/>
    <xf numFmtId="1" fontId="5" fillId="0" borderId="8" xfId="1" applyNumberFormat="1" applyFont="1" applyBorder="1" applyAlignment="1">
      <alignment horizontal="center"/>
    </xf>
    <xf numFmtId="165" fontId="7" fillId="0" borderId="3" xfId="3" applyNumberFormat="1" applyFont="1" applyBorder="1"/>
    <xf numFmtId="10" fontId="0" fillId="0" borderId="0" xfId="0" applyNumberFormat="1"/>
    <xf numFmtId="10" fontId="1" fillId="0" borderId="0" xfId="0" applyNumberFormat="1" applyFont="1"/>
    <xf numFmtId="9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0" fillId="0" borderId="0" xfId="0" applyNumberFormat="1" applyFill="1"/>
    <xf numFmtId="0" fontId="0" fillId="0" borderId="0" xfId="0" applyFill="1"/>
    <xf numFmtId="168" fontId="0" fillId="0" borderId="0" xfId="0" applyNumberFormat="1"/>
  </cellXfs>
  <cellStyles count="4">
    <cellStyle name="Normal" xfId="0" builtinId="0"/>
    <cellStyle name="Normal 2" xfId="1"/>
    <cellStyle name="Normal 3" xfId="2"/>
    <cellStyle name="Normal_EKM-EKF95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</xdr:row>
          <xdr:rowOff>9525</xdr:rowOff>
        </xdr:from>
        <xdr:to>
          <xdr:col>11</xdr:col>
          <xdr:colOff>161925</xdr:colOff>
          <xdr:row>7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H563"/>
  <sheetViews>
    <sheetView workbookViewId="0">
      <selection activeCell="F2" sqref="F2"/>
    </sheetView>
  </sheetViews>
  <sheetFormatPr baseColWidth="10" defaultRowHeight="12.75" x14ac:dyDescent="0.2"/>
  <cols>
    <col min="2" max="2" width="12.28515625" bestFit="1" customWidth="1"/>
    <col min="3" max="3" width="10.140625" bestFit="1" customWidth="1"/>
    <col min="4" max="4" width="13.140625" bestFit="1" customWidth="1"/>
    <col min="5" max="5" width="12.7109375" bestFit="1" customWidth="1"/>
    <col min="6" max="6" width="12.5703125" bestFit="1" customWidth="1"/>
  </cols>
  <sheetData>
    <row r="1" spans="1:8" x14ac:dyDescent="0.2">
      <c r="A1" s="1" t="s">
        <v>18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59</v>
      </c>
      <c r="G1" s="1"/>
      <c r="H1" s="1"/>
    </row>
    <row r="2" spans="1:8" x14ac:dyDescent="0.2">
      <c r="A2" s="2">
        <v>43100</v>
      </c>
      <c r="B2">
        <v>0</v>
      </c>
      <c r="C2">
        <v>0</v>
      </c>
      <c r="D2">
        <v>0</v>
      </c>
      <c r="E2">
        <v>0</v>
      </c>
      <c r="F2" s="23">
        <v>162373.87972549297</v>
      </c>
    </row>
    <row r="3" spans="1:8" x14ac:dyDescent="0.2">
      <c r="A3" s="2">
        <f>DATE(YEAR(A2),MONTH(A2)+2,1)-1</f>
        <v>43131</v>
      </c>
      <c r="B3">
        <v>2625</v>
      </c>
      <c r="C3">
        <v>749.48238230137554</v>
      </c>
      <c r="D3">
        <v>0</v>
      </c>
      <c r="E3">
        <v>2769.5081106666667</v>
      </c>
      <c r="F3">
        <v>161726.88034437393</v>
      </c>
    </row>
    <row r="4" spans="1:8" x14ac:dyDescent="0.2">
      <c r="A4" s="2">
        <f>DATE(YEAR(A3),MONTH(A3)+2,1)-1</f>
        <v>43159</v>
      </c>
      <c r="B4">
        <v>2475.5376623107586</v>
      </c>
      <c r="C4">
        <v>711.47483636165998</v>
      </c>
      <c r="D4">
        <v>0</v>
      </c>
      <c r="E4">
        <v>2764.6688973610544</v>
      </c>
      <c r="F4">
        <v>160972.28121730295</v>
      </c>
    </row>
    <row r="5" spans="1:8" x14ac:dyDescent="0.2">
      <c r="A5" s="2">
        <f>DATE(YEAR(A4),MONTH(A4)+2,1)-1</f>
        <v>43190</v>
      </c>
      <c r="B5">
        <v>2488.8083534842135</v>
      </c>
      <c r="C5">
        <v>715.11196430795314</v>
      </c>
      <c r="D5">
        <v>0</v>
      </c>
      <c r="E5">
        <v>2761.0017569677107</v>
      </c>
      <c r="F5">
        <v>160229.83495358616</v>
      </c>
    </row>
    <row r="6" spans="1:8" x14ac:dyDescent="0.2">
      <c r="A6" s="2">
        <f t="shared" ref="A6:A69" si="0">DATE(YEAR(A5),MONTH(A5)+2,1)-1</f>
        <v>43220</v>
      </c>
      <c r="B6">
        <v>3498.6849075768746</v>
      </c>
      <c r="C6">
        <v>974.61805700094328</v>
      </c>
      <c r="D6">
        <v>0</v>
      </c>
      <c r="E6">
        <v>2754.0173128767087</v>
      </c>
      <c r="F6">
        <v>160243.61424112826</v>
      </c>
    </row>
    <row r="7" spans="1:8" x14ac:dyDescent="0.2">
      <c r="A7" s="2">
        <f t="shared" si="0"/>
        <v>43251</v>
      </c>
      <c r="B7">
        <v>3430.0286773577241</v>
      </c>
      <c r="C7">
        <v>957.59431588251493</v>
      </c>
      <c r="D7">
        <v>0</v>
      </c>
      <c r="E7">
        <v>2747.5430007046175</v>
      </c>
      <c r="F7">
        <v>160212.25631177289</v>
      </c>
    </row>
    <row r="8" spans="1:8" x14ac:dyDescent="0.2">
      <c r="A8" s="2">
        <f t="shared" si="0"/>
        <v>43281</v>
      </c>
      <c r="B8">
        <v>2922.2223002874334</v>
      </c>
      <c r="C8">
        <v>825.44213898574003</v>
      </c>
      <c r="D8">
        <v>0</v>
      </c>
      <c r="E8">
        <v>2717.0725060862455</v>
      </c>
      <c r="F8">
        <v>159835.66697750427</v>
      </c>
    </row>
    <row r="9" spans="1:8" x14ac:dyDescent="0.2">
      <c r="A9" s="2">
        <f t="shared" si="0"/>
        <v>43312</v>
      </c>
      <c r="B9">
        <v>1816.204416594117</v>
      </c>
      <c r="C9">
        <v>541.19460452480052</v>
      </c>
      <c r="D9">
        <v>0</v>
      </c>
      <c r="E9">
        <v>2702.1307307286015</v>
      </c>
      <c r="F9">
        <v>158651.67622957565</v>
      </c>
    </row>
    <row r="10" spans="1:8" x14ac:dyDescent="0.2">
      <c r="A10" s="2">
        <f t="shared" si="0"/>
        <v>43343</v>
      </c>
      <c r="B10">
        <v>1884.4862151104001</v>
      </c>
      <c r="C10">
        <v>559.00637249672752</v>
      </c>
      <c r="D10">
        <v>0</v>
      </c>
      <c r="E10">
        <v>2699.3335053339747</v>
      </c>
      <c r="F10">
        <v>157519.15173860916</v>
      </c>
    </row>
    <row r="11" spans="1:8" x14ac:dyDescent="0.2">
      <c r="A11" s="2">
        <f t="shared" si="0"/>
        <v>43373</v>
      </c>
      <c r="B11">
        <v>1593.6955109473809</v>
      </c>
      <c r="C11">
        <v>484.48649118446531</v>
      </c>
      <c r="D11">
        <v>0</v>
      </c>
      <c r="E11">
        <v>2697.3437321968909</v>
      </c>
      <c r="F11">
        <v>156170.623485608</v>
      </c>
    </row>
    <row r="12" spans="1:8" x14ac:dyDescent="0.2">
      <c r="A12" s="2">
        <f t="shared" si="0"/>
        <v>43404</v>
      </c>
      <c r="B12">
        <v>1884.3518548935874</v>
      </c>
      <c r="C12">
        <v>559.47809413068342</v>
      </c>
      <c r="D12">
        <v>0</v>
      </c>
      <c r="E12">
        <v>2694.6163376316385</v>
      </c>
      <c r="F12">
        <v>155038.43608693688</v>
      </c>
    </row>
    <row r="13" spans="1:8" x14ac:dyDescent="0.2">
      <c r="A13" s="2">
        <f t="shared" si="0"/>
        <v>43434</v>
      </c>
      <c r="B13">
        <v>3123.0507842536203</v>
      </c>
      <c r="C13">
        <v>877.75544589301956</v>
      </c>
      <c r="D13">
        <v>0</v>
      </c>
      <c r="E13">
        <v>2688.9868552357912</v>
      </c>
      <c r="F13">
        <v>154830.57754869797</v>
      </c>
    </row>
    <row r="14" spans="1:8" x14ac:dyDescent="0.2">
      <c r="A14" s="2">
        <f t="shared" si="0"/>
        <v>43465</v>
      </c>
      <c r="B14">
        <v>3484.6874771890116</v>
      </c>
      <c r="C14">
        <v>970.99792616977425</v>
      </c>
      <c r="D14">
        <v>0</v>
      </c>
      <c r="E14">
        <v>2682.4683911426237</v>
      </c>
      <c r="F14">
        <v>154897.31550820763</v>
      </c>
    </row>
    <row r="15" spans="1:8" x14ac:dyDescent="0.2">
      <c r="A15" s="2">
        <f t="shared" si="0"/>
        <v>43496</v>
      </c>
      <c r="B15">
        <v>2538.4712469014025</v>
      </c>
      <c r="C15">
        <v>728.39294224966818</v>
      </c>
      <c r="D15">
        <v>0</v>
      </c>
      <c r="E15">
        <v>2678.3858417407087</v>
      </c>
      <c r="F15">
        <v>154246.01718125143</v>
      </c>
    </row>
    <row r="16" spans="1:8" x14ac:dyDescent="0.2">
      <c r="A16" s="2">
        <f t="shared" si="0"/>
        <v>43524</v>
      </c>
      <c r="B16">
        <v>2393.6105610359095</v>
      </c>
      <c r="C16">
        <v>691.61510620270076</v>
      </c>
      <c r="D16">
        <v>0</v>
      </c>
      <c r="E16">
        <v>2674.6257594741824</v>
      </c>
      <c r="F16">
        <v>153489.48362589753</v>
      </c>
    </row>
    <row r="17" spans="1:6" x14ac:dyDescent="0.2">
      <c r="A17" s="2">
        <f t="shared" si="0"/>
        <v>43555</v>
      </c>
      <c r="B17">
        <v>2409.3361990486442</v>
      </c>
      <c r="C17">
        <v>695.88905935531989</v>
      </c>
      <c r="D17">
        <v>0</v>
      </c>
      <c r="E17">
        <v>2671.0153696319931</v>
      </c>
      <c r="F17">
        <v>152746.95225115601</v>
      </c>
    </row>
    <row r="18" spans="1:6" x14ac:dyDescent="0.2">
      <c r="A18" s="2">
        <f t="shared" si="0"/>
        <v>43585</v>
      </c>
      <c r="B18">
        <v>3374.7854907088463</v>
      </c>
      <c r="C18">
        <v>944.00121863453967</v>
      </c>
      <c r="D18">
        <v>0</v>
      </c>
      <c r="E18">
        <v>2663.6083861921875</v>
      </c>
      <c r="F18">
        <v>152728.12471502586</v>
      </c>
    </row>
    <row r="19" spans="1:6" x14ac:dyDescent="0.2">
      <c r="A19" s="2">
        <f t="shared" si="0"/>
        <v>43616</v>
      </c>
      <c r="B19">
        <v>3168.3091809178873</v>
      </c>
      <c r="C19">
        <v>890.29127475417351</v>
      </c>
      <c r="D19">
        <v>0</v>
      </c>
      <c r="E19">
        <v>2644.4827819885154</v>
      </c>
      <c r="F19">
        <v>152575.63004004481</v>
      </c>
    </row>
    <row r="20" spans="1:6" x14ac:dyDescent="0.2">
      <c r="A20" s="2">
        <f t="shared" si="0"/>
        <v>43646</v>
      </c>
      <c r="B20">
        <v>2825.15871476961</v>
      </c>
      <c r="C20">
        <v>802.52474050974217</v>
      </c>
      <c r="D20">
        <v>0</v>
      </c>
      <c r="E20">
        <v>2639.4168205175074</v>
      </c>
      <c r="F20">
        <v>152172.60375149053</v>
      </c>
    </row>
    <row r="21" spans="1:6" x14ac:dyDescent="0.2">
      <c r="A21" s="2">
        <f t="shared" si="0"/>
        <v>43677</v>
      </c>
      <c r="B21">
        <v>1763.1758776120976</v>
      </c>
      <c r="C21">
        <v>530.3785682096028</v>
      </c>
      <c r="D21">
        <v>0</v>
      </c>
      <c r="E21">
        <v>2636.9831516308327</v>
      </c>
      <c r="F21">
        <v>150981.60983215395</v>
      </c>
    </row>
    <row r="22" spans="1:6" x14ac:dyDescent="0.2">
      <c r="A22" s="2">
        <f t="shared" si="0"/>
        <v>43708</v>
      </c>
      <c r="B22">
        <v>1688.7743492328163</v>
      </c>
      <c r="C22">
        <v>510.26147648067456</v>
      </c>
      <c r="D22">
        <v>0</v>
      </c>
      <c r="E22">
        <v>2622.0338909247112</v>
      </c>
      <c r="F22">
        <v>149749.61216922334</v>
      </c>
    </row>
    <row r="23" spans="1:6" x14ac:dyDescent="0.2">
      <c r="A23" s="2">
        <f t="shared" si="0"/>
        <v>43738</v>
      </c>
      <c r="B23">
        <v>1407.7665566567223</v>
      </c>
      <c r="C23">
        <v>437.4571524002377</v>
      </c>
      <c r="D23">
        <v>0</v>
      </c>
      <c r="E23">
        <v>2607.8267231343634</v>
      </c>
      <c r="F23">
        <v>148321.8921922032</v>
      </c>
    </row>
    <row r="24" spans="1:6" x14ac:dyDescent="0.2">
      <c r="A24" s="2">
        <f t="shared" si="0"/>
        <v>43769</v>
      </c>
      <c r="B24">
        <v>1821.2398799540547</v>
      </c>
      <c r="C24">
        <v>543.18205523064421</v>
      </c>
      <c r="D24">
        <v>0</v>
      </c>
      <c r="E24">
        <v>2592.9293228081606</v>
      </c>
      <c r="F24">
        <v>147214.81781806768</v>
      </c>
    </row>
    <row r="25" spans="1:6" x14ac:dyDescent="0.2">
      <c r="A25" s="2">
        <f t="shared" si="0"/>
        <v>43799</v>
      </c>
      <c r="B25">
        <v>3022.7924660456938</v>
      </c>
      <c r="C25">
        <v>851.92592270254886</v>
      </c>
      <c r="D25">
        <v>0</v>
      </c>
      <c r="E25">
        <v>2587.4162079300022</v>
      </c>
      <c r="F25">
        <v>147004.51428001784</v>
      </c>
    </row>
    <row r="26" spans="1:6" x14ac:dyDescent="0.2">
      <c r="A26" s="2">
        <f t="shared" si="0"/>
        <v>43830</v>
      </c>
      <c r="B26">
        <v>3231.9710569418503</v>
      </c>
      <c r="C26">
        <v>904.74633602148322</v>
      </c>
      <c r="D26">
        <v>0</v>
      </c>
      <c r="E26">
        <v>2568.8123974811224</v>
      </c>
      <c r="F26">
        <v>146968.87809735606</v>
      </c>
    </row>
    <row r="27" spans="1:6" x14ac:dyDescent="0.2">
      <c r="A27" s="2">
        <f t="shared" si="0"/>
        <v>43861</v>
      </c>
      <c r="B27">
        <v>2457.2207557353345</v>
      </c>
      <c r="C27">
        <v>706.17530096113751</v>
      </c>
      <c r="D27">
        <v>0</v>
      </c>
      <c r="E27">
        <v>2564.993064062739</v>
      </c>
      <c r="F27">
        <v>146352.61651055809</v>
      </c>
    </row>
    <row r="28" spans="1:6" x14ac:dyDescent="0.2">
      <c r="A28" s="2">
        <f t="shared" si="0"/>
        <v>43890</v>
      </c>
      <c r="B28">
        <v>2315.4237572215429</v>
      </c>
      <c r="C28">
        <v>670.18462609012795</v>
      </c>
      <c r="D28">
        <v>0</v>
      </c>
      <c r="E28">
        <v>2561.3952378329136</v>
      </c>
      <c r="F28">
        <v>145633.31750049893</v>
      </c>
    </row>
    <row r="29" spans="1:6" x14ac:dyDescent="0.2">
      <c r="A29" s="2">
        <f t="shared" si="0"/>
        <v>43921</v>
      </c>
      <c r="B29">
        <v>2332.2508577600747</v>
      </c>
      <c r="C29">
        <v>674.74384513540997</v>
      </c>
      <c r="D29">
        <v>0</v>
      </c>
      <c r="E29">
        <v>2557.8288123041225</v>
      </c>
      <c r="F29">
        <v>144928.88527724857</v>
      </c>
    </row>
    <row r="30" spans="1:6" x14ac:dyDescent="0.2">
      <c r="A30" s="2">
        <f t="shared" si="0"/>
        <v>43951</v>
      </c>
      <c r="B30">
        <v>3267.5242464289354</v>
      </c>
      <c r="C30">
        <v>915.15532996533102</v>
      </c>
      <c r="D30">
        <v>0</v>
      </c>
      <c r="E30">
        <v>2551.6713370045459</v>
      </c>
      <c r="F30">
        <v>144924.52491005487</v>
      </c>
    </row>
    <row r="31" spans="1:6" x14ac:dyDescent="0.2">
      <c r="A31" s="2">
        <f t="shared" si="0"/>
        <v>43982</v>
      </c>
      <c r="B31">
        <v>2934.9915809100689</v>
      </c>
      <c r="C31">
        <v>829.67157635852357</v>
      </c>
      <c r="D31">
        <v>0</v>
      </c>
      <c r="E31">
        <v>2534.6723261288071</v>
      </c>
      <c r="F31">
        <v>144690.10877674885</v>
      </c>
    </row>
    <row r="32" spans="1:6" x14ac:dyDescent="0.2">
      <c r="A32" s="2">
        <f t="shared" si="0"/>
        <v>44012</v>
      </c>
      <c r="B32">
        <v>2736.2301285638314</v>
      </c>
      <c r="C32">
        <v>778.978914602891</v>
      </c>
      <c r="D32">
        <v>0</v>
      </c>
      <c r="E32">
        <v>2530.1173620611798</v>
      </c>
      <c r="F32">
        <v>144311.86350667445</v>
      </c>
    </row>
    <row r="33" spans="1:6" x14ac:dyDescent="0.2">
      <c r="A33" s="2">
        <f t="shared" si="0"/>
        <v>44043</v>
      </c>
      <c r="B33">
        <v>1702.4224119149897</v>
      </c>
      <c r="C33">
        <v>514.09161928495769</v>
      </c>
      <c r="D33">
        <v>0</v>
      </c>
      <c r="E33">
        <v>2527.9351826706456</v>
      </c>
      <c r="F33">
        <v>143166.37122161925</v>
      </c>
    </row>
    <row r="34" spans="1:6" x14ac:dyDescent="0.2">
      <c r="A34" s="2">
        <f t="shared" si="0"/>
        <v>44074</v>
      </c>
      <c r="B34">
        <v>1631.23547316081</v>
      </c>
      <c r="C34">
        <v>496.09488901950562</v>
      </c>
      <c r="D34">
        <v>0</v>
      </c>
      <c r="E34">
        <v>2525.8719447565063</v>
      </c>
      <c r="F34">
        <v>141968.21117846642</v>
      </c>
    </row>
    <row r="35" spans="1:6" x14ac:dyDescent="0.2">
      <c r="A35" s="2">
        <f t="shared" si="0"/>
        <v>44104</v>
      </c>
      <c r="B35">
        <v>1354.7019573707257</v>
      </c>
      <c r="C35">
        <v>425.2242555732202</v>
      </c>
      <c r="D35">
        <v>0</v>
      </c>
      <c r="E35">
        <v>2524.1159428272035</v>
      </c>
      <c r="F35">
        <v>140564.53262462557</v>
      </c>
    </row>
    <row r="36" spans="1:6" x14ac:dyDescent="0.2">
      <c r="A36" s="2">
        <f t="shared" si="0"/>
        <v>44135</v>
      </c>
      <c r="B36">
        <v>1771.6357473665464</v>
      </c>
      <c r="C36">
        <v>532.61153776975232</v>
      </c>
      <c r="D36">
        <v>0</v>
      </c>
      <c r="E36">
        <v>2521.6675574481906</v>
      </c>
      <c r="F36">
        <v>139470.96089327915</v>
      </c>
    </row>
    <row r="37" spans="1:6" x14ac:dyDescent="0.2">
      <c r="A37" s="2">
        <f t="shared" si="0"/>
        <v>44165</v>
      </c>
      <c r="B37">
        <v>2661.4314389379956</v>
      </c>
      <c r="C37">
        <v>759.29578232302458</v>
      </c>
      <c r="D37">
        <v>0</v>
      </c>
      <c r="E37">
        <v>2492.0072818360995</v>
      </c>
      <c r="F37">
        <v>139068.68993473559</v>
      </c>
    </row>
    <row r="38" spans="1:6" x14ac:dyDescent="0.2">
      <c r="A38" s="2">
        <f t="shared" si="0"/>
        <v>44196</v>
      </c>
      <c r="B38">
        <v>3137.1066437917216</v>
      </c>
      <c r="C38">
        <v>881.78162210989262</v>
      </c>
      <c r="D38">
        <v>0</v>
      </c>
      <c r="E38">
        <v>2485.8696536623306</v>
      </c>
      <c r="F38">
        <v>139025.20487973531</v>
      </c>
    </row>
    <row r="39" spans="1:6" x14ac:dyDescent="0.2">
      <c r="A39" s="2">
        <f t="shared" si="0"/>
        <v>44227</v>
      </c>
      <c r="B39">
        <v>2388.5363368786298</v>
      </c>
      <c r="C39">
        <v>689.9517769765306</v>
      </c>
      <c r="D39">
        <v>0</v>
      </c>
      <c r="E39">
        <v>2481.9632662360013</v>
      </c>
      <c r="F39">
        <v>138418.26361444022</v>
      </c>
    </row>
    <row r="40" spans="1:6" x14ac:dyDescent="0.2">
      <c r="A40" s="2">
        <f t="shared" si="0"/>
        <v>44255</v>
      </c>
      <c r="B40">
        <v>2248.6105081834867</v>
      </c>
      <c r="C40">
        <v>654.43216156719279</v>
      </c>
      <c r="D40">
        <v>0</v>
      </c>
      <c r="E40">
        <v>2478.1863609581887</v>
      </c>
      <c r="F40">
        <v>137709.92276956083</v>
      </c>
    </row>
    <row r="41" spans="1:6" x14ac:dyDescent="0.2">
      <c r="A41" s="2">
        <f t="shared" si="0"/>
        <v>44286</v>
      </c>
      <c r="B41">
        <v>2000.8278308785839</v>
      </c>
      <c r="C41">
        <v>589.08287900847222</v>
      </c>
      <c r="D41">
        <v>0</v>
      </c>
      <c r="E41">
        <v>2451.0096151026191</v>
      </c>
      <c r="F41">
        <v>136845.42631760438</v>
      </c>
    </row>
    <row r="42" spans="1:6" x14ac:dyDescent="0.2">
      <c r="A42" s="2">
        <f t="shared" si="0"/>
        <v>44316</v>
      </c>
      <c r="B42">
        <v>3035.3348431258223</v>
      </c>
      <c r="C42">
        <v>854.2063459013857</v>
      </c>
      <c r="D42">
        <v>0</v>
      </c>
      <c r="E42">
        <v>2432.571073278712</v>
      </c>
      <c r="F42">
        <v>136767.65481693699</v>
      </c>
    </row>
    <row r="43" spans="1:6" x14ac:dyDescent="0.2">
      <c r="A43" s="2">
        <f t="shared" si="0"/>
        <v>44347</v>
      </c>
      <c r="B43">
        <v>2852.5067643416082</v>
      </c>
      <c r="C43">
        <v>807.86872466361251</v>
      </c>
      <c r="D43">
        <v>0</v>
      </c>
      <c r="E43">
        <v>2427.5201131281201</v>
      </c>
      <c r="F43">
        <v>136558.34511875259</v>
      </c>
    </row>
    <row r="44" spans="1:6" x14ac:dyDescent="0.2">
      <c r="A44" s="2">
        <f t="shared" si="0"/>
        <v>44377</v>
      </c>
      <c r="B44">
        <v>2659.9629100974416</v>
      </c>
      <c r="C44">
        <v>758.77612807046819</v>
      </c>
      <c r="D44">
        <v>0</v>
      </c>
      <c r="E44">
        <v>2422.8829766816648</v>
      </c>
      <c r="F44">
        <v>136209.95566359226</v>
      </c>
    </row>
    <row r="45" spans="1:6" x14ac:dyDescent="0.2">
      <c r="A45" s="2">
        <f t="shared" si="0"/>
        <v>44408</v>
      </c>
      <c r="B45">
        <v>1653.560024998169</v>
      </c>
      <c r="C45">
        <v>500.92096353420732</v>
      </c>
      <c r="D45">
        <v>0</v>
      </c>
      <c r="E45">
        <v>2420.5799354053497</v>
      </c>
      <c r="F45">
        <v>135114.87938670081</v>
      </c>
    </row>
    <row r="46" spans="1:6" x14ac:dyDescent="0.2">
      <c r="A46" s="2">
        <f t="shared" si="0"/>
        <v>44439</v>
      </c>
      <c r="B46">
        <v>1586.7896379456397</v>
      </c>
      <c r="C46">
        <v>484.05631964819105</v>
      </c>
      <c r="D46">
        <v>0</v>
      </c>
      <c r="E46">
        <v>2418.5104883049416</v>
      </c>
      <c r="F46">
        <v>133970.57704808001</v>
      </c>
    </row>
    <row r="47" spans="1:6" x14ac:dyDescent="0.2">
      <c r="A47" s="2">
        <f t="shared" si="0"/>
        <v>44469</v>
      </c>
      <c r="B47">
        <v>1317.1030792353251</v>
      </c>
      <c r="C47">
        <v>414.95237779682435</v>
      </c>
      <c r="D47">
        <v>0</v>
      </c>
      <c r="E47">
        <v>2416.9623684093481</v>
      </c>
      <c r="F47">
        <v>132625.78797384197</v>
      </c>
    </row>
    <row r="48" spans="1:6" x14ac:dyDescent="0.2">
      <c r="A48" s="2">
        <f t="shared" si="0"/>
        <v>44500</v>
      </c>
      <c r="B48">
        <v>1723.2643176458287</v>
      </c>
      <c r="C48">
        <v>519.57270758798813</v>
      </c>
      <c r="D48">
        <v>0</v>
      </c>
      <c r="E48">
        <v>2414.5154038913206</v>
      </c>
      <c r="F48">
        <v>131583.28009557285</v>
      </c>
    </row>
    <row r="49" spans="1:6" x14ac:dyDescent="0.2">
      <c r="A49" s="2">
        <f t="shared" si="0"/>
        <v>44530</v>
      </c>
      <c r="B49">
        <v>2451.5883731577724</v>
      </c>
      <c r="C49">
        <v>706.06013848279736</v>
      </c>
      <c r="D49">
        <v>0</v>
      </c>
      <c r="E49">
        <v>2397.8633466728552</v>
      </c>
      <c r="F49">
        <v>131097.9378482404</v>
      </c>
    </row>
    <row r="50" spans="1:6" x14ac:dyDescent="0.2">
      <c r="A50" s="2">
        <f t="shared" si="0"/>
        <v>44561</v>
      </c>
      <c r="B50">
        <v>2913.5934592389021</v>
      </c>
      <c r="C50">
        <v>823.81772855365557</v>
      </c>
      <c r="D50">
        <v>0</v>
      </c>
      <c r="E50">
        <v>2380.1293139062427</v>
      </c>
      <c r="F50">
        <v>130973.96117990636</v>
      </c>
    </row>
    <row r="51" spans="1:6" x14ac:dyDescent="0.2">
      <c r="A51" s="2">
        <f t="shared" si="0"/>
        <v>44592</v>
      </c>
      <c r="B51">
        <v>2324.1556038679582</v>
      </c>
      <c r="C51">
        <v>672.85055228501108</v>
      </c>
      <c r="D51">
        <v>0</v>
      </c>
      <c r="E51">
        <v>2376.4529017914729</v>
      </c>
      <c r="F51">
        <v>130413.71971249091</v>
      </c>
    </row>
    <row r="52" spans="1:6" x14ac:dyDescent="0.2">
      <c r="A52" s="2">
        <f t="shared" si="0"/>
        <v>44620</v>
      </c>
      <c r="B52">
        <v>2185.8886942804461</v>
      </c>
      <c r="C52">
        <v>637.73791614272568</v>
      </c>
      <c r="D52">
        <v>0</v>
      </c>
      <c r="E52">
        <v>2372.9151136026462</v>
      </c>
      <c r="F52">
        <v>129753.156372328</v>
      </c>
    </row>
    <row r="53" spans="1:6" x14ac:dyDescent="0.2">
      <c r="A53" s="2">
        <f t="shared" si="0"/>
        <v>44651</v>
      </c>
      <c r="B53">
        <v>1686.053653313787</v>
      </c>
      <c r="C53">
        <v>507.71030209586678</v>
      </c>
      <c r="D53">
        <v>0</v>
      </c>
      <c r="E53">
        <v>2346.8035652031258</v>
      </c>
      <c r="F53">
        <v>128748.06545312933</v>
      </c>
    </row>
    <row r="54" spans="1:6" x14ac:dyDescent="0.2">
      <c r="A54" s="2">
        <f t="shared" si="0"/>
        <v>44681</v>
      </c>
      <c r="B54">
        <v>2953.4301422466006</v>
      </c>
      <c r="C54">
        <v>833.35580130593394</v>
      </c>
      <c r="D54">
        <v>0</v>
      </c>
      <c r="E54">
        <v>2341.4299014124804</v>
      </c>
      <c r="F54">
        <v>128688.81369996571</v>
      </c>
    </row>
    <row r="55" spans="1:6" x14ac:dyDescent="0.2">
      <c r="A55" s="2">
        <f t="shared" si="0"/>
        <v>44712</v>
      </c>
      <c r="B55">
        <v>2451.6739374473968</v>
      </c>
      <c r="C55">
        <v>702.02212275098975</v>
      </c>
      <c r="D55">
        <v>0</v>
      </c>
      <c r="E55">
        <v>2301.9688451388288</v>
      </c>
      <c r="F55">
        <v>128298.52587427525</v>
      </c>
    </row>
    <row r="56" spans="1:6" x14ac:dyDescent="0.2">
      <c r="A56" s="2">
        <f t="shared" si="0"/>
        <v>44742</v>
      </c>
      <c r="B56">
        <v>2588.0971557319813</v>
      </c>
      <c r="C56">
        <v>737.36371231306282</v>
      </c>
      <c r="D56">
        <v>0</v>
      </c>
      <c r="E56">
        <v>2297.5328719451254</v>
      </c>
      <c r="F56">
        <v>128013.26424783609</v>
      </c>
    </row>
    <row r="57" spans="1:6" x14ac:dyDescent="0.2">
      <c r="A57" s="2">
        <f t="shared" si="0"/>
        <v>44773</v>
      </c>
      <c r="B57">
        <v>1608.3684951758373</v>
      </c>
      <c r="C57">
        <v>486.36031739146586</v>
      </c>
      <c r="D57">
        <v>0</v>
      </c>
      <c r="E57">
        <v>2295.4374082436098</v>
      </c>
      <c r="F57">
        <v>127001.0136529352</v>
      </c>
    </row>
    <row r="58" spans="1:6" x14ac:dyDescent="0.2">
      <c r="A58" s="2">
        <f t="shared" si="0"/>
        <v>44804</v>
      </c>
      <c r="B58">
        <v>1543.4511057573109</v>
      </c>
      <c r="C58">
        <v>469.96594367967754</v>
      </c>
      <c r="D58">
        <v>0</v>
      </c>
      <c r="E58">
        <v>2293.3536028984058</v>
      </c>
      <c r="F58">
        <v>125941.04934560703</v>
      </c>
    </row>
    <row r="59" spans="1:6" x14ac:dyDescent="0.2">
      <c r="A59" s="2">
        <f t="shared" si="0"/>
        <v>44834</v>
      </c>
      <c r="B59">
        <v>1279.2048323237511</v>
      </c>
      <c r="C59">
        <v>402.26628784970535</v>
      </c>
      <c r="D59">
        <v>0</v>
      </c>
      <c r="E59">
        <v>2291.668713180638</v>
      </c>
      <c r="F59">
        <v>124684.88873306001</v>
      </c>
    </row>
    <row r="60" spans="1:6" x14ac:dyDescent="0.2">
      <c r="A60" s="2">
        <f t="shared" si="0"/>
        <v>44865</v>
      </c>
      <c r="B60">
        <v>1546.1125408950015</v>
      </c>
      <c r="C60">
        <v>469.95162910728266</v>
      </c>
      <c r="D60">
        <v>0</v>
      </c>
      <c r="E60">
        <v>2277.5698535512543</v>
      </c>
      <c r="F60">
        <v>123640.46774374685</v>
      </c>
    </row>
    <row r="61" spans="1:6" x14ac:dyDescent="0.2">
      <c r="A61" s="2">
        <f t="shared" si="0"/>
        <v>44895</v>
      </c>
      <c r="B61">
        <v>2318.968231918112</v>
      </c>
      <c r="C61">
        <v>668.62519750770866</v>
      </c>
      <c r="D61">
        <v>0</v>
      </c>
      <c r="E61">
        <v>2273.5117759746231</v>
      </c>
      <c r="F61">
        <v>123172.97194754361</v>
      </c>
    </row>
    <row r="62" spans="1:6" x14ac:dyDescent="0.2">
      <c r="A62" s="2">
        <f t="shared" si="0"/>
        <v>44926</v>
      </c>
      <c r="B62">
        <v>2570.2433773024504</v>
      </c>
      <c r="C62">
        <v>732.04745364379153</v>
      </c>
      <c r="D62">
        <v>0</v>
      </c>
      <c r="E62">
        <v>2244.7076318852232</v>
      </c>
      <c r="F62">
        <v>122921.54457118556</v>
      </c>
    </row>
    <row r="63" spans="1:6" x14ac:dyDescent="0.2">
      <c r="A63" s="2">
        <f t="shared" si="0"/>
        <v>44957</v>
      </c>
      <c r="B63">
        <v>2261.4113106300488</v>
      </c>
      <c r="C63">
        <v>653.10806159527749</v>
      </c>
      <c r="D63">
        <v>0</v>
      </c>
      <c r="E63">
        <v>2240.9984785423612</v>
      </c>
      <c r="F63">
        <v>122434.07613137476</v>
      </c>
    </row>
    <row r="64" spans="1:6" x14ac:dyDescent="0.2">
      <c r="A64" s="2">
        <f t="shared" si="0"/>
        <v>44985</v>
      </c>
      <c r="B64">
        <v>1872.5295651657555</v>
      </c>
      <c r="C64">
        <v>551.79814742339192</v>
      </c>
      <c r="D64">
        <v>0</v>
      </c>
      <c r="E64">
        <v>2214.7968774871201</v>
      </c>
      <c r="F64">
        <v>121684.66153725398</v>
      </c>
    </row>
    <row r="65" spans="1:6" x14ac:dyDescent="0.2">
      <c r="A65" s="2">
        <f t="shared" si="0"/>
        <v>45016</v>
      </c>
      <c r="B65">
        <v>1640.6298189327201</v>
      </c>
      <c r="C65">
        <v>492.43192472188963</v>
      </c>
      <c r="D65">
        <v>0</v>
      </c>
      <c r="E65">
        <v>2212.4490160424684</v>
      </c>
      <c r="F65">
        <v>120764.17587827974</v>
      </c>
    </row>
    <row r="66" spans="1:6" x14ac:dyDescent="0.2">
      <c r="A66" s="2">
        <f t="shared" si="0"/>
        <v>45046</v>
      </c>
      <c r="B66">
        <v>2873.6081923049801</v>
      </c>
      <c r="C66">
        <v>809.25516126336265</v>
      </c>
      <c r="D66">
        <v>0</v>
      </c>
      <c r="E66">
        <v>2207.1105947743604</v>
      </c>
      <c r="F66">
        <v>120764.096261154</v>
      </c>
    </row>
    <row r="67" spans="1:6" x14ac:dyDescent="0.2">
      <c r="A67" s="2">
        <f t="shared" si="0"/>
        <v>45077</v>
      </c>
      <c r="B67">
        <v>2258.388598957763</v>
      </c>
      <c r="C67">
        <v>650.66967402674561</v>
      </c>
      <c r="D67">
        <v>0</v>
      </c>
      <c r="E67">
        <v>2191.7167978578586</v>
      </c>
      <c r="F67">
        <v>120322.77624076986</v>
      </c>
    </row>
    <row r="68" spans="1:6" x14ac:dyDescent="0.2">
      <c r="A68" s="2">
        <f t="shared" si="0"/>
        <v>45107</v>
      </c>
      <c r="B68">
        <v>2518.0513755387651</v>
      </c>
      <c r="C68">
        <v>717.64526148359494</v>
      </c>
      <c r="D68">
        <v>0</v>
      </c>
      <c r="E68">
        <v>2187.2932948801122</v>
      </c>
      <c r="F68">
        <v>120078.04551088957</v>
      </c>
    </row>
    <row r="69" spans="1:6" x14ac:dyDescent="0.2">
      <c r="A69" s="2">
        <f t="shared" si="0"/>
        <v>45138</v>
      </c>
      <c r="B69">
        <v>1564.294351976157</v>
      </c>
      <c r="C69">
        <v>473.2902654086119</v>
      </c>
      <c r="D69">
        <v>0</v>
      </c>
      <c r="E69">
        <v>2185.1889641383204</v>
      </c>
      <c r="F69">
        <v>119125.72794489106</v>
      </c>
    </row>
    <row r="70" spans="1:6" x14ac:dyDescent="0.2">
      <c r="A70" s="2">
        <f t="shared" ref="A70:A133" si="1">DATE(YEAR(A69),MONTH(A69)+2,1)-1</f>
        <v>45169</v>
      </c>
      <c r="B70">
        <v>1501.1917823319825</v>
      </c>
      <c r="C70">
        <v>457.34133655710667</v>
      </c>
      <c r="D70">
        <v>0</v>
      </c>
      <c r="E70">
        <v>2183.097191017453</v>
      </c>
      <c r="F70">
        <v>118127.22338687108</v>
      </c>
    </row>
    <row r="71" spans="1:6" x14ac:dyDescent="0.2">
      <c r="A71" s="2">
        <f t="shared" si="1"/>
        <v>45199</v>
      </c>
      <c r="B71">
        <v>1244.6238645897567</v>
      </c>
      <c r="C71">
        <v>391.61960051590091</v>
      </c>
      <c r="D71">
        <v>0</v>
      </c>
      <c r="E71">
        <v>2181.6091940599645</v>
      </c>
      <c r="F71">
        <v>116938.18095171133</v>
      </c>
    </row>
    <row r="72" spans="1:6" x14ac:dyDescent="0.2">
      <c r="A72" s="2">
        <f t="shared" si="1"/>
        <v>45230</v>
      </c>
      <c r="B72">
        <v>1503.8368742823113</v>
      </c>
      <c r="C72">
        <v>458.508176287342</v>
      </c>
      <c r="D72">
        <v>0</v>
      </c>
      <c r="E72">
        <v>2179.4579364931483</v>
      </c>
      <c r="F72">
        <v>115942.20940291561</v>
      </c>
    </row>
    <row r="73" spans="1:6" x14ac:dyDescent="0.2">
      <c r="A73" s="2">
        <f t="shared" si="1"/>
        <v>45260</v>
      </c>
      <c r="B73">
        <v>2232.4377373362749</v>
      </c>
      <c r="C73">
        <v>644.37204261141062</v>
      </c>
      <c r="D73">
        <v>0</v>
      </c>
      <c r="E73">
        <v>2152.2574675593041</v>
      </c>
      <c r="F73">
        <v>115514.99862003462</v>
      </c>
    </row>
    <row r="74" spans="1:6" x14ac:dyDescent="0.2">
      <c r="A74" s="2">
        <f t="shared" si="1"/>
        <v>45291</v>
      </c>
      <c r="B74">
        <v>2477.0202702781849</v>
      </c>
      <c r="C74">
        <v>707.50607505952712</v>
      </c>
      <c r="D74">
        <v>0</v>
      </c>
      <c r="E74">
        <v>2147.6596454933215</v>
      </c>
      <c r="F74">
        <v>115273.32942760346</v>
      </c>
    </row>
    <row r="75" spans="1:6" x14ac:dyDescent="0.2">
      <c r="A75" s="2">
        <f t="shared" si="1"/>
        <v>45322</v>
      </c>
      <c r="B75">
        <v>2179.1231673073839</v>
      </c>
      <c r="C75">
        <v>631.38203557590759</v>
      </c>
      <c r="D75">
        <v>0</v>
      </c>
      <c r="E75">
        <v>2144.0206890241843</v>
      </c>
      <c r="F75">
        <v>114816.27445509999</v>
      </c>
    </row>
    <row r="76" spans="1:6" x14ac:dyDescent="0.2">
      <c r="A76" s="2">
        <f t="shared" si="1"/>
        <v>45351</v>
      </c>
      <c r="B76">
        <v>1800.0142706040272</v>
      </c>
      <c r="C76">
        <v>534.38219946036611</v>
      </c>
      <c r="D76">
        <v>0</v>
      </c>
      <c r="E76">
        <v>2141.24770369919</v>
      </c>
      <c r="F76">
        <v>114079.33138641893</v>
      </c>
    </row>
    <row r="77" spans="1:6" x14ac:dyDescent="0.2">
      <c r="A77" s="2">
        <f t="shared" si="1"/>
        <v>45382</v>
      </c>
      <c r="B77">
        <v>1575.321586901309</v>
      </c>
      <c r="C77">
        <v>476.87758517434742</v>
      </c>
      <c r="D77">
        <v>0</v>
      </c>
      <c r="E77">
        <v>2138.9592867614883</v>
      </c>
      <c r="F77">
        <v>113176.59860167481</v>
      </c>
    </row>
    <row r="78" spans="1:6" x14ac:dyDescent="0.2">
      <c r="A78" s="2">
        <f t="shared" si="1"/>
        <v>45412</v>
      </c>
      <c r="B78">
        <v>2774.8248851893586</v>
      </c>
      <c r="C78">
        <v>785.11708690991759</v>
      </c>
      <c r="D78">
        <v>0</v>
      </c>
      <c r="E78">
        <v>2133.732211108128</v>
      </c>
      <c r="F78">
        <v>113169.26638838988</v>
      </c>
    </row>
    <row r="79" spans="1:6" x14ac:dyDescent="0.2">
      <c r="A79" s="2">
        <f t="shared" si="1"/>
        <v>45443</v>
      </c>
      <c r="B79">
        <v>2175.8802180607854</v>
      </c>
      <c r="C79">
        <v>631.84538665146488</v>
      </c>
      <c r="D79">
        <v>0</v>
      </c>
      <c r="E79">
        <v>2130.1153056772732</v>
      </c>
      <c r="F79">
        <v>112719.86925798013</v>
      </c>
    </row>
    <row r="80" spans="1:6" x14ac:dyDescent="0.2">
      <c r="A80" s="2">
        <f t="shared" si="1"/>
        <v>45473</v>
      </c>
      <c r="B80">
        <v>2428.8864603018887</v>
      </c>
      <c r="C80">
        <v>697.12368757079832</v>
      </c>
      <c r="D80">
        <v>0</v>
      </c>
      <c r="E80">
        <v>2125.7920568450745</v>
      </c>
      <c r="F80">
        <v>112461.98054578234</v>
      </c>
    </row>
    <row r="81" spans="1:6" x14ac:dyDescent="0.2">
      <c r="A81" s="2">
        <f t="shared" si="1"/>
        <v>45504</v>
      </c>
      <c r="B81">
        <v>1500.4724664859014</v>
      </c>
      <c r="C81">
        <v>459.25460655583305</v>
      </c>
      <c r="D81">
        <v>0</v>
      </c>
      <c r="E81">
        <v>2123.7491191590225</v>
      </c>
      <c r="F81">
        <v>111515.27838617108</v>
      </c>
    </row>
    <row r="82" spans="1:6" x14ac:dyDescent="0.2">
      <c r="A82" s="2">
        <f t="shared" si="1"/>
        <v>45535</v>
      </c>
      <c r="B82">
        <v>1316.3474990589154</v>
      </c>
      <c r="C82">
        <v>411.09864661289873</v>
      </c>
      <c r="D82">
        <v>0</v>
      </c>
      <c r="E82">
        <v>2110.5116515735658</v>
      </c>
      <c r="F82">
        <v>110444.7012806733</v>
      </c>
    </row>
    <row r="83" spans="1:6" x14ac:dyDescent="0.2">
      <c r="A83" s="2">
        <f t="shared" si="1"/>
        <v>45565</v>
      </c>
      <c r="B83">
        <v>1190.1715348864145</v>
      </c>
      <c r="C83">
        <v>378.84552962499106</v>
      </c>
      <c r="D83">
        <v>0</v>
      </c>
      <c r="E83">
        <v>2109.0518741125552</v>
      </c>
      <c r="F83">
        <v>109280.36808603699</v>
      </c>
    </row>
    <row r="84" spans="1:6" x14ac:dyDescent="0.2">
      <c r="A84" s="2">
        <f t="shared" si="1"/>
        <v>45596</v>
      </c>
      <c r="B84">
        <v>1441.9140380544518</v>
      </c>
      <c r="C84">
        <v>443.81165007993195</v>
      </c>
      <c r="D84">
        <v>0</v>
      </c>
      <c r="E84">
        <v>2106.9588796606872</v>
      </c>
      <c r="F84">
        <v>108303.49801261394</v>
      </c>
    </row>
    <row r="85" spans="1:6" x14ac:dyDescent="0.2">
      <c r="A85" s="2">
        <f t="shared" si="1"/>
        <v>45626</v>
      </c>
      <c r="B85">
        <v>1925.50779250802</v>
      </c>
      <c r="C85">
        <v>566.32285932663001</v>
      </c>
      <c r="D85">
        <v>0</v>
      </c>
      <c r="E85">
        <v>2080.6066998891124</v>
      </c>
      <c r="F85">
        <v>107712.88282204058</v>
      </c>
    </row>
    <row r="86" spans="1:6" x14ac:dyDescent="0.2">
      <c r="A86" s="2">
        <f t="shared" si="1"/>
        <v>45657</v>
      </c>
      <c r="B86">
        <v>2164.1093218168844</v>
      </c>
      <c r="C86">
        <v>625.65529895182442</v>
      </c>
      <c r="D86">
        <v>0</v>
      </c>
      <c r="E86">
        <v>2053.7567495660542</v>
      </c>
      <c r="F86">
        <v>107327.67333947364</v>
      </c>
    </row>
    <row r="87" spans="1:6" x14ac:dyDescent="0.2">
      <c r="A87" s="2">
        <f t="shared" si="1"/>
        <v>45688</v>
      </c>
      <c r="B87">
        <v>2120.1080744083806</v>
      </c>
      <c r="C87">
        <v>614.69445407485682</v>
      </c>
      <c r="D87">
        <v>0</v>
      </c>
      <c r="E87">
        <v>2050.1082214316375</v>
      </c>
      <c r="F87">
        <v>106916.53351732649</v>
      </c>
    </row>
    <row r="88" spans="1:6" x14ac:dyDescent="0.2">
      <c r="A88" s="2">
        <f t="shared" si="1"/>
        <v>45716</v>
      </c>
      <c r="B88">
        <v>1633.2313026749641</v>
      </c>
      <c r="C88">
        <v>488.93017418271768</v>
      </c>
      <c r="D88">
        <v>0</v>
      </c>
      <c r="E88">
        <v>2036.5989247578536</v>
      </c>
      <c r="F88">
        <v>106157.27889208849</v>
      </c>
    </row>
    <row r="89" spans="1:6" x14ac:dyDescent="0.2">
      <c r="A89" s="2">
        <f t="shared" si="1"/>
        <v>45747</v>
      </c>
      <c r="B89">
        <v>1532.7547687833767</v>
      </c>
      <c r="C89">
        <v>463.31204272818997</v>
      </c>
      <c r="D89">
        <v>0</v>
      </c>
      <c r="E89">
        <v>2034.2911848559679</v>
      </c>
      <c r="F89">
        <v>105324.52881458424</v>
      </c>
    </row>
    <row r="90" spans="1:6" x14ac:dyDescent="0.2">
      <c r="A90" s="2">
        <f t="shared" si="1"/>
        <v>45777</v>
      </c>
      <c r="B90">
        <v>2699.5834469753122</v>
      </c>
      <c r="C90">
        <v>763.16052905336676</v>
      </c>
      <c r="D90">
        <v>0</v>
      </c>
      <c r="E90">
        <v>2029.1123052856587</v>
      </c>
      <c r="F90">
        <v>105362.90156363203</v>
      </c>
    </row>
    <row r="91" spans="1:6" x14ac:dyDescent="0.2">
      <c r="A91" s="2">
        <f t="shared" si="1"/>
        <v>45808</v>
      </c>
      <c r="B91">
        <v>2116.4295683491559</v>
      </c>
      <c r="C91">
        <v>613.93899733517776</v>
      </c>
      <c r="D91">
        <v>0</v>
      </c>
      <c r="E91">
        <v>2025.5152991898033</v>
      </c>
      <c r="F91">
        <v>104970.98672156593</v>
      </c>
    </row>
    <row r="92" spans="1:6" x14ac:dyDescent="0.2">
      <c r="A92" s="2">
        <f t="shared" si="1"/>
        <v>45838</v>
      </c>
      <c r="B92">
        <v>2242.8717151095525</v>
      </c>
      <c r="C92">
        <v>646.06580330795703</v>
      </c>
      <c r="D92">
        <v>0</v>
      </c>
      <c r="E92">
        <v>2010.1812261430325</v>
      </c>
      <c r="F92">
        <v>104688.2336082995</v>
      </c>
    </row>
    <row r="93" spans="1:6" x14ac:dyDescent="0.2">
      <c r="A93" s="2">
        <f t="shared" si="1"/>
        <v>45869</v>
      </c>
      <c r="B93">
        <v>1459.1382421152132</v>
      </c>
      <c r="C93">
        <v>445.31378024421792</v>
      </c>
      <c r="D93">
        <v>0</v>
      </c>
      <c r="E93">
        <v>2008.1092539086676</v>
      </c>
      <c r="F93">
        <v>103824.21916931511</v>
      </c>
    </row>
    <row r="94" spans="1:6" x14ac:dyDescent="0.2">
      <c r="A94" s="2">
        <f t="shared" si="1"/>
        <v>45900</v>
      </c>
      <c r="B94">
        <v>1280.2745373939242</v>
      </c>
      <c r="C94">
        <v>399.6066637781733</v>
      </c>
      <c r="D94">
        <v>0</v>
      </c>
      <c r="E94">
        <v>2006.3608129776806</v>
      </c>
      <c r="F94">
        <v>102827.72143385047</v>
      </c>
    </row>
    <row r="95" spans="1:6" x14ac:dyDescent="0.2">
      <c r="A95" s="2">
        <f t="shared" si="1"/>
        <v>45930</v>
      </c>
      <c r="B95">
        <v>1157.8860977317138</v>
      </c>
      <c r="C95">
        <v>368.32428535040287</v>
      </c>
      <c r="D95">
        <v>0</v>
      </c>
      <c r="E95">
        <v>2004.8839598915347</v>
      </c>
      <c r="F95">
        <v>101740.35448353051</v>
      </c>
    </row>
    <row r="96" spans="1:6" x14ac:dyDescent="0.2">
      <c r="A96" s="2">
        <f t="shared" si="1"/>
        <v>45961</v>
      </c>
      <c r="B96">
        <v>1282.8695511295505</v>
      </c>
      <c r="C96">
        <v>399.65065388001051</v>
      </c>
      <c r="D96">
        <v>0</v>
      </c>
      <c r="E96">
        <v>1991.7647368061389</v>
      </c>
      <c r="F96">
        <v>100758.41076000474</v>
      </c>
    </row>
    <row r="97" spans="1:6" x14ac:dyDescent="0.2">
      <c r="A97" s="2">
        <f t="shared" si="1"/>
        <v>45991</v>
      </c>
      <c r="B97">
        <v>1873.2454044504823</v>
      </c>
      <c r="C97">
        <v>551.34229520169208</v>
      </c>
      <c r="D97">
        <v>0</v>
      </c>
      <c r="E97">
        <v>1988.5184189574752</v>
      </c>
      <c r="F97">
        <v>100217.17567011999</v>
      </c>
    </row>
    <row r="98" spans="1:6" x14ac:dyDescent="0.2">
      <c r="A98" s="2">
        <f t="shared" si="1"/>
        <v>46022</v>
      </c>
      <c r="B98">
        <v>1986.1433270780501</v>
      </c>
      <c r="C98">
        <v>579.53792708173603</v>
      </c>
      <c r="D98">
        <v>0</v>
      </c>
      <c r="E98">
        <v>1973.7370603770421</v>
      </c>
      <c r="F98">
        <v>99774.750735667985</v>
      </c>
    </row>
    <row r="99" spans="1:6" x14ac:dyDescent="0.2">
      <c r="A99" s="2">
        <f t="shared" si="1"/>
        <v>46053</v>
      </c>
      <c r="B99">
        <v>2062.5858821650013</v>
      </c>
      <c r="C99">
        <v>599.49316590385695</v>
      </c>
      <c r="D99">
        <v>0</v>
      </c>
      <c r="E99">
        <v>1970.1032021541923</v>
      </c>
      <c r="F99">
        <v>99392.76576545529</v>
      </c>
    </row>
    <row r="100" spans="1:6" x14ac:dyDescent="0.2">
      <c r="A100" s="2">
        <f t="shared" si="1"/>
        <v>46081</v>
      </c>
      <c r="B100">
        <v>1355.8817280206515</v>
      </c>
      <c r="C100">
        <v>416.22189411193949</v>
      </c>
      <c r="D100">
        <v>0</v>
      </c>
      <c r="E100">
        <v>1946.1198885872759</v>
      </c>
      <c r="F100">
        <v>98510.852569607217</v>
      </c>
    </row>
    <row r="101" spans="1:6" x14ac:dyDescent="0.2">
      <c r="A101" s="2">
        <f t="shared" si="1"/>
        <v>46112</v>
      </c>
      <c r="B101">
        <v>1491.2611467509821</v>
      </c>
      <c r="C101">
        <v>451.13816018231887</v>
      </c>
      <c r="D101">
        <v>0</v>
      </c>
      <c r="E101">
        <v>1943.7833732654187</v>
      </c>
      <c r="F101">
        <v>97730.633935977399</v>
      </c>
    </row>
    <row r="102" spans="1:6" x14ac:dyDescent="0.2">
      <c r="A102" s="2">
        <f t="shared" si="1"/>
        <v>46142</v>
      </c>
      <c r="B102">
        <v>2393.2868507697667</v>
      </c>
      <c r="C102">
        <v>681.29204152352463</v>
      </c>
      <c r="D102">
        <v>0</v>
      </c>
      <c r="E102">
        <v>1917.0493810639978</v>
      </c>
      <c r="F102">
        <v>97648.043442651644</v>
      </c>
    </row>
    <row r="103" spans="1:6" x14ac:dyDescent="0.2">
      <c r="A103" s="2">
        <f t="shared" si="1"/>
        <v>46173</v>
      </c>
      <c r="B103">
        <v>2058.4609834846297</v>
      </c>
      <c r="C103">
        <v>595.79505109988588</v>
      </c>
      <c r="D103">
        <v>0</v>
      </c>
      <c r="E103">
        <v>1913.4347896509814</v>
      </c>
      <c r="F103">
        <v>97319.635171571688</v>
      </c>
    </row>
    <row r="104" spans="1:6" x14ac:dyDescent="0.2">
      <c r="A104" s="2">
        <f t="shared" si="1"/>
        <v>46203</v>
      </c>
      <c r="B104">
        <v>2181.8946576957728</v>
      </c>
      <c r="C104">
        <v>627.81866945363072</v>
      </c>
      <c r="D104">
        <v>0</v>
      </c>
      <c r="E104">
        <v>1909.4587780562072</v>
      </c>
      <c r="F104">
        <v>97086.201446861014</v>
      </c>
    </row>
    <row r="105" spans="1:6" x14ac:dyDescent="0.2">
      <c r="A105" s="2">
        <f t="shared" si="1"/>
        <v>46234</v>
      </c>
      <c r="B105">
        <v>1418.8314689234887</v>
      </c>
      <c r="C105">
        <v>432.34962091827055</v>
      </c>
      <c r="D105">
        <v>0</v>
      </c>
      <c r="E105">
        <v>1907.3824616184095</v>
      </c>
      <c r="F105">
        <v>96286.957387755334</v>
      </c>
    </row>
    <row r="106" spans="1:6" x14ac:dyDescent="0.2">
      <c r="A106" s="2">
        <f t="shared" si="1"/>
        <v>46265</v>
      </c>
      <c r="B106">
        <v>1245.1051643133756</v>
      </c>
      <c r="C106">
        <v>387.95770225515253</v>
      </c>
      <c r="D106">
        <v>0</v>
      </c>
      <c r="E106">
        <v>1905.6243874560305</v>
      </c>
      <c r="F106">
        <v>95359.135501953599</v>
      </c>
    </row>
    <row r="107" spans="1:6" x14ac:dyDescent="0.2">
      <c r="A107" s="2">
        <f t="shared" si="1"/>
        <v>46295</v>
      </c>
      <c r="B107">
        <v>1126.4109042416253</v>
      </c>
      <c r="C107">
        <v>357.6207368296067</v>
      </c>
      <c r="D107">
        <v>0</v>
      </c>
      <c r="E107">
        <v>1904.1325417748105</v>
      </c>
      <c r="F107">
        <v>94343.285534267328</v>
      </c>
    </row>
    <row r="108" spans="1:6" x14ac:dyDescent="0.2">
      <c r="A108" s="2">
        <f t="shared" si="1"/>
        <v>46326</v>
      </c>
      <c r="B108">
        <v>1247.6412753532279</v>
      </c>
      <c r="C108">
        <v>389.05626972507827</v>
      </c>
      <c r="D108">
        <v>0</v>
      </c>
      <c r="E108">
        <v>1902.3198976480253</v>
      </c>
      <c r="F108">
        <v>93417.770109977777</v>
      </c>
    </row>
    <row r="109" spans="1:6" x14ac:dyDescent="0.2">
      <c r="A109" s="2">
        <f t="shared" si="1"/>
        <v>46356</v>
      </c>
      <c r="B109">
        <v>1706.2093090288281</v>
      </c>
      <c r="C109">
        <v>505.8517953602958</v>
      </c>
      <c r="D109">
        <v>0</v>
      </c>
      <c r="E109">
        <v>1888.2624679527362</v>
      </c>
      <c r="F109">
        <v>92846.924880680061</v>
      </c>
    </row>
    <row r="110" spans="1:6" x14ac:dyDescent="0.2">
      <c r="A110" s="2">
        <f t="shared" si="1"/>
        <v>46387</v>
      </c>
      <c r="B110">
        <v>1932.4729933910073</v>
      </c>
      <c r="C110">
        <v>564.22895813788091</v>
      </c>
      <c r="D110">
        <v>0</v>
      </c>
      <c r="E110">
        <v>1884.8137229466033</v>
      </c>
      <c r="F110">
        <v>92446.699604543232</v>
      </c>
    </row>
    <row r="111" spans="1:6" x14ac:dyDescent="0.2">
      <c r="A111" s="2">
        <f t="shared" si="1"/>
        <v>46418</v>
      </c>
      <c r="B111">
        <v>2006.5152653512673</v>
      </c>
      <c r="C111">
        <v>583.56802420402551</v>
      </c>
      <c r="D111">
        <v>0</v>
      </c>
      <c r="E111">
        <v>1881.2064912628312</v>
      </c>
      <c r="F111">
        <v>92107.557567433716</v>
      </c>
    </row>
    <row r="112" spans="1:6" x14ac:dyDescent="0.2">
      <c r="A112" s="2">
        <f t="shared" si="1"/>
        <v>46446</v>
      </c>
      <c r="B112">
        <v>1205.1080829478517</v>
      </c>
      <c r="C112">
        <v>377.44341105888651</v>
      </c>
      <c r="D112">
        <v>0</v>
      </c>
      <c r="E112">
        <v>1868.6880625650213</v>
      </c>
      <c r="F112">
        <v>91185.214406567553</v>
      </c>
    </row>
    <row r="113" spans="1:6" x14ac:dyDescent="0.2">
      <c r="A113" s="2">
        <f t="shared" si="1"/>
        <v>46477</v>
      </c>
      <c r="B113">
        <v>1450.8113395587545</v>
      </c>
      <c r="C113">
        <v>440.67429017074426</v>
      </c>
      <c r="D113">
        <v>0</v>
      </c>
      <c r="E113">
        <v>1866.3450616020541</v>
      </c>
      <c r="F113">
        <v>90446.498188586789</v>
      </c>
    </row>
    <row r="114" spans="1:6" x14ac:dyDescent="0.2">
      <c r="A114" s="2">
        <f t="shared" si="1"/>
        <v>46507</v>
      </c>
      <c r="B114">
        <v>2217.9125460657688</v>
      </c>
      <c r="C114">
        <v>637.25270414740407</v>
      </c>
      <c r="D114">
        <v>0</v>
      </c>
      <c r="E114">
        <v>1851.4928701509939</v>
      </c>
      <c r="F114">
        <v>90292.205121612729</v>
      </c>
    </row>
    <row r="115" spans="1:6" x14ac:dyDescent="0.2">
      <c r="A115" s="2">
        <f t="shared" si="1"/>
        <v>46538</v>
      </c>
      <c r="B115">
        <v>1888.9733791769183</v>
      </c>
      <c r="C115">
        <v>552.21752216160178</v>
      </c>
      <c r="D115">
        <v>0</v>
      </c>
      <c r="E115">
        <v>1837.3083283230819</v>
      </c>
      <c r="F115">
        <v>89907.993805546532</v>
      </c>
    </row>
    <row r="116" spans="1:6" x14ac:dyDescent="0.2">
      <c r="A116" s="2">
        <f t="shared" si="1"/>
        <v>46568</v>
      </c>
      <c r="B116">
        <v>2008.8557006088722</v>
      </c>
      <c r="C116">
        <v>582.68576386338009</v>
      </c>
      <c r="D116">
        <v>0</v>
      </c>
      <c r="E116">
        <v>1822.6949572921694</v>
      </c>
      <c r="F116">
        <v>89627.314885454529</v>
      </c>
    </row>
    <row r="117" spans="1:6" x14ac:dyDescent="0.2">
      <c r="A117" s="2">
        <f t="shared" si="1"/>
        <v>46599</v>
      </c>
      <c r="B117">
        <v>1153.641988243787</v>
      </c>
      <c r="C117">
        <v>361.47349356973189</v>
      </c>
      <c r="D117">
        <v>0</v>
      </c>
      <c r="E117">
        <v>1799.3883330432404</v>
      </c>
      <c r="F117">
        <v>88735.579493842815</v>
      </c>
    </row>
    <row r="118" spans="1:6" x14ac:dyDescent="0.2">
      <c r="A118" s="2">
        <f t="shared" si="1"/>
        <v>46630</v>
      </c>
      <c r="B118">
        <v>1097.2388982679302</v>
      </c>
      <c r="C118">
        <v>346.54041187559767</v>
      </c>
      <c r="D118">
        <v>0</v>
      </c>
      <c r="E118">
        <v>1786.9081516168599</v>
      </c>
      <c r="F118">
        <v>87813.705277790694</v>
      </c>
    </row>
    <row r="119" spans="1:6" x14ac:dyDescent="0.2">
      <c r="A119" s="2">
        <f t="shared" si="1"/>
        <v>46660</v>
      </c>
      <c r="B119">
        <v>1095.7252482738108</v>
      </c>
      <c r="C119">
        <v>346.27499650375296</v>
      </c>
      <c r="D119">
        <v>0</v>
      </c>
      <c r="E119">
        <v>1785.3744382089922</v>
      </c>
      <c r="F119">
        <v>86890.928709181084</v>
      </c>
    </row>
    <row r="120" spans="1:6" x14ac:dyDescent="0.2">
      <c r="A120" s="2">
        <f t="shared" si="1"/>
        <v>46691</v>
      </c>
      <c r="B120">
        <v>1213.2844250454129</v>
      </c>
      <c r="C120">
        <v>376.75203049947413</v>
      </c>
      <c r="D120">
        <v>0</v>
      </c>
      <c r="E120">
        <v>1783.5423814881019</v>
      </c>
      <c r="F120">
        <v>86055.877346047288</v>
      </c>
    </row>
    <row r="121" spans="1:6" x14ac:dyDescent="0.2">
      <c r="A121" s="2">
        <f t="shared" si="1"/>
        <v>46721</v>
      </c>
      <c r="B121">
        <v>1659.8934140512774</v>
      </c>
      <c r="C121">
        <v>491.52675578290598</v>
      </c>
      <c r="D121">
        <v>0</v>
      </c>
      <c r="E121">
        <v>1780.6036927312766</v>
      </c>
      <c r="F121">
        <v>85554.522974958134</v>
      </c>
    </row>
    <row r="122" spans="1:6" x14ac:dyDescent="0.2">
      <c r="A122" s="2">
        <f t="shared" si="1"/>
        <v>46752</v>
      </c>
      <c r="B122">
        <v>1880.1629384936223</v>
      </c>
      <c r="C122">
        <v>548.37287448232087</v>
      </c>
      <c r="D122">
        <v>0</v>
      </c>
      <c r="E122">
        <v>1777.1664380034629</v>
      </c>
      <c r="F122">
        <v>85219.383271181825</v>
      </c>
    </row>
    <row r="123" spans="1:6" x14ac:dyDescent="0.2">
      <c r="A123" s="2">
        <f t="shared" si="1"/>
        <v>46783</v>
      </c>
      <c r="B123">
        <v>1838.9717336475921</v>
      </c>
      <c r="C123">
        <v>537.10578679651678</v>
      </c>
      <c r="D123">
        <v>0</v>
      </c>
      <c r="E123">
        <v>1762.9191355098283</v>
      </c>
      <c r="F123">
        <v>84870.186163564038</v>
      </c>
    </row>
    <row r="124" spans="1:6" x14ac:dyDescent="0.2">
      <c r="A124" s="2">
        <f t="shared" si="1"/>
        <v>46812</v>
      </c>
      <c r="B124">
        <v>843.21350496484547</v>
      </c>
      <c r="C124">
        <v>279.47136212193504</v>
      </c>
      <c r="D124">
        <v>0</v>
      </c>
      <c r="E124">
        <v>1730.2068569322878</v>
      </c>
      <c r="F124">
        <v>83815.119186199197</v>
      </c>
    </row>
    <row r="125" spans="1:6" x14ac:dyDescent="0.2">
      <c r="A125" s="2">
        <f t="shared" si="1"/>
        <v>46843</v>
      </c>
      <c r="B125">
        <v>1411.3774736121529</v>
      </c>
      <c r="C125">
        <v>425.46046307592508</v>
      </c>
      <c r="D125">
        <v>0</v>
      </c>
      <c r="E125">
        <v>1727.7960608003691</v>
      </c>
      <c r="F125">
        <v>83183.253027419065</v>
      </c>
    </row>
    <row r="126" spans="1:6" x14ac:dyDescent="0.2">
      <c r="A126" s="2">
        <f t="shared" si="1"/>
        <v>46873</v>
      </c>
      <c r="B126">
        <v>2148.38325403212</v>
      </c>
      <c r="C126">
        <v>613.88295421716782</v>
      </c>
      <c r="D126">
        <v>0</v>
      </c>
      <c r="E126">
        <v>1712.9769910842624</v>
      </c>
      <c r="F126">
        <v>83113.959861478434</v>
      </c>
    </row>
    <row r="127" spans="1:6" x14ac:dyDescent="0.2">
      <c r="A127" s="2">
        <f t="shared" si="1"/>
        <v>46904</v>
      </c>
      <c r="B127">
        <v>1607.4036138094209</v>
      </c>
      <c r="C127">
        <v>473.80637727234773</v>
      </c>
      <c r="D127">
        <v>0</v>
      </c>
      <c r="E127">
        <v>1688.8143569087774</v>
      </c>
      <c r="F127">
        <v>82667.835314568802</v>
      </c>
    </row>
    <row r="128" spans="1:6" x14ac:dyDescent="0.2">
      <c r="A128" s="2">
        <f t="shared" si="1"/>
        <v>46934</v>
      </c>
      <c r="B128">
        <v>1825.55372420908</v>
      </c>
      <c r="C128">
        <v>528.470770364244</v>
      </c>
      <c r="D128">
        <v>0</v>
      </c>
      <c r="E128">
        <v>1664.08587775295</v>
      </c>
      <c r="F128">
        <v>82409.339396126801</v>
      </c>
    </row>
    <row r="129" spans="1:6" x14ac:dyDescent="0.2">
      <c r="A129" s="2">
        <f t="shared" si="1"/>
        <v>46965</v>
      </c>
      <c r="B129">
        <v>826.84767124559949</v>
      </c>
      <c r="C129">
        <v>270.19059438757125</v>
      </c>
      <c r="D129">
        <v>0</v>
      </c>
      <c r="E129">
        <v>1631.0204162438054</v>
      </c>
      <c r="F129">
        <v>81443.143769204951</v>
      </c>
    </row>
    <row r="130" spans="1:6" x14ac:dyDescent="0.2">
      <c r="A130" s="2">
        <f t="shared" si="1"/>
        <v>46996</v>
      </c>
      <c r="B130">
        <v>831.10417693279487</v>
      </c>
      <c r="C130">
        <v>269.82923253685664</v>
      </c>
      <c r="D130">
        <v>0</v>
      </c>
      <c r="E130">
        <v>1608.8249922715588</v>
      </c>
      <c r="F130">
        <v>80502.493238082301</v>
      </c>
    </row>
    <row r="131" spans="1:6" x14ac:dyDescent="0.2">
      <c r="A131" s="2">
        <f t="shared" si="1"/>
        <v>47026</v>
      </c>
      <c r="B131">
        <v>1047.290634449326</v>
      </c>
      <c r="C131">
        <v>325.43943049441941</v>
      </c>
      <c r="D131">
        <v>0</v>
      </c>
      <c r="E131">
        <v>1607.2484834283184</v>
      </c>
      <c r="F131">
        <v>79722.760809280007</v>
      </c>
    </row>
    <row r="132" spans="1:6" x14ac:dyDescent="0.2">
      <c r="A132" s="2">
        <f t="shared" si="1"/>
        <v>47057</v>
      </c>
      <c r="B132">
        <v>1051.4897153674124</v>
      </c>
      <c r="C132">
        <v>325.80375435230121</v>
      </c>
      <c r="D132">
        <v>0</v>
      </c>
      <c r="E132">
        <v>1594.9673329674338</v>
      </c>
      <c r="F132">
        <v>78958.120837577168</v>
      </c>
    </row>
    <row r="133" spans="1:6" x14ac:dyDescent="0.2">
      <c r="A133" s="2">
        <f t="shared" si="1"/>
        <v>47087</v>
      </c>
      <c r="B133">
        <v>1477.2687498825533</v>
      </c>
      <c r="C133">
        <v>433.60108184669269</v>
      </c>
      <c r="D133">
        <v>0</v>
      </c>
      <c r="E133">
        <v>1571.0128354942367</v>
      </c>
      <c r="F133">
        <v>78534.413429795459</v>
      </c>
    </row>
    <row r="134" spans="1:6" x14ac:dyDescent="0.2">
      <c r="A134" s="2">
        <f t="shared" ref="A134:A197" si="2">DATE(YEAR(A133),MONTH(A133)+2,1)-1</f>
        <v>47118</v>
      </c>
      <c r="B134">
        <v>1801.5636708296495</v>
      </c>
      <c r="C134">
        <v>517.15791507149981</v>
      </c>
      <c r="D134">
        <v>0</v>
      </c>
      <c r="E134">
        <v>1567.5849479521728</v>
      </c>
      <c r="F134">
        <v>78354.315853261069</v>
      </c>
    </row>
    <row r="135" spans="1:6" x14ac:dyDescent="0.2">
      <c r="A135" s="2">
        <f t="shared" si="2"/>
        <v>47149</v>
      </c>
      <c r="B135">
        <v>1706.1607211647049</v>
      </c>
      <c r="C135">
        <v>493.00546689229753</v>
      </c>
      <c r="D135">
        <v>0</v>
      </c>
      <c r="E135">
        <v>1564.4378676578733</v>
      </c>
      <c r="F135">
        <v>78112.285832591573</v>
      </c>
    </row>
    <row r="136" spans="1:6" x14ac:dyDescent="0.2">
      <c r="A136" s="2">
        <f t="shared" si="2"/>
        <v>47177</v>
      </c>
      <c r="B136">
        <v>792.74406730344685</v>
      </c>
      <c r="C136">
        <v>258.70116206464434</v>
      </c>
      <c r="D136">
        <v>0</v>
      </c>
      <c r="E136">
        <v>1563.5928015891488</v>
      </c>
      <c r="F136">
        <v>77191.651056707109</v>
      </c>
    </row>
    <row r="137" spans="1:6" x14ac:dyDescent="0.2">
      <c r="A137" s="2">
        <f t="shared" si="2"/>
        <v>47208</v>
      </c>
      <c r="B137">
        <v>1345.5163107643025</v>
      </c>
      <c r="C137">
        <v>400.75162148705323</v>
      </c>
      <c r="D137">
        <v>0</v>
      </c>
      <c r="E137">
        <v>1561.2119185971355</v>
      </c>
      <c r="F137">
        <v>76682.835269537332</v>
      </c>
    </row>
    <row r="138" spans="1:6" x14ac:dyDescent="0.2">
      <c r="A138" s="2">
        <f t="shared" si="2"/>
        <v>47238</v>
      </c>
      <c r="B138">
        <v>2071.7097282568529</v>
      </c>
      <c r="C138">
        <v>587.39551977724307</v>
      </c>
      <c r="D138">
        <v>0</v>
      </c>
      <c r="E138">
        <v>1557.0545293766481</v>
      </c>
      <c r="F138">
        <v>76717.016928352183</v>
      </c>
    </row>
    <row r="139" spans="1:6" x14ac:dyDescent="0.2">
      <c r="A139" s="2">
        <f t="shared" si="2"/>
        <v>47269</v>
      </c>
      <c r="B139">
        <v>1374.2839492953835</v>
      </c>
      <c r="C139">
        <v>406.54124681471467</v>
      </c>
      <c r="D139">
        <v>0</v>
      </c>
      <c r="E139">
        <v>1523.2315670147138</v>
      </c>
      <c r="F139">
        <v>76268.497704400012</v>
      </c>
    </row>
    <row r="140" spans="1:6" x14ac:dyDescent="0.2">
      <c r="A140" s="2">
        <f t="shared" si="2"/>
        <v>47299</v>
      </c>
      <c r="B140">
        <v>1757.6008565585162</v>
      </c>
      <c r="C140">
        <v>505.19268932330198</v>
      </c>
      <c r="D140">
        <v>0</v>
      </c>
      <c r="E140">
        <v>1519.8481200121587</v>
      </c>
      <c r="F140">
        <v>76107.402003704221</v>
      </c>
    </row>
    <row r="141" spans="1:6" x14ac:dyDescent="0.2">
      <c r="A141" s="2">
        <f t="shared" si="2"/>
        <v>47330</v>
      </c>
      <c r="B141">
        <v>569.100424022163</v>
      </c>
      <c r="C141">
        <v>197.87580259971995</v>
      </c>
      <c r="D141">
        <v>0</v>
      </c>
      <c r="E141">
        <v>1488.7130534525793</v>
      </c>
      <c r="F141">
        <v>75096.033201502243</v>
      </c>
    </row>
    <row r="142" spans="1:6" x14ac:dyDescent="0.2">
      <c r="A142" s="2">
        <f t="shared" si="2"/>
        <v>47361</v>
      </c>
      <c r="B142">
        <v>566.80494987973304</v>
      </c>
      <c r="C142">
        <v>195.80944173732124</v>
      </c>
      <c r="D142">
        <v>0</v>
      </c>
      <c r="E142">
        <v>1467.1343551302405</v>
      </c>
      <c r="F142">
        <v>74104.603791902802</v>
      </c>
    </row>
    <row r="143" spans="1:6" x14ac:dyDescent="0.2">
      <c r="A143" s="2">
        <f t="shared" si="2"/>
        <v>47391</v>
      </c>
      <c r="B143">
        <v>991.59729343091612</v>
      </c>
      <c r="C143">
        <v>304.96484863350844</v>
      </c>
      <c r="D143">
        <v>0</v>
      </c>
      <c r="E143">
        <v>1465.5552526765957</v>
      </c>
      <c r="F143">
        <v>73429.008031274119</v>
      </c>
    </row>
    <row r="144" spans="1:6" x14ac:dyDescent="0.2">
      <c r="A144" s="2">
        <f t="shared" si="2"/>
        <v>47422</v>
      </c>
      <c r="B144">
        <v>888.00478248703064</v>
      </c>
      <c r="C144">
        <v>278.03701236775078</v>
      </c>
      <c r="D144">
        <v>0</v>
      </c>
      <c r="E144">
        <v>1453.6979308750524</v>
      </c>
      <c r="F144">
        <v>72687.662907266073</v>
      </c>
    </row>
    <row r="145" spans="1:6" x14ac:dyDescent="0.2">
      <c r="A145" s="2">
        <f t="shared" si="2"/>
        <v>47452</v>
      </c>
      <c r="B145">
        <v>1365.9029643692486</v>
      </c>
      <c r="C145">
        <v>400.81894547019357</v>
      </c>
      <c r="D145">
        <v>0</v>
      </c>
      <c r="E145">
        <v>1451.1934539195374</v>
      </c>
      <c r="F145">
        <v>72302.904821492964</v>
      </c>
    </row>
    <row r="146" spans="1:6" x14ac:dyDescent="0.2">
      <c r="A146" s="2">
        <f t="shared" si="2"/>
        <v>47483</v>
      </c>
      <c r="B146">
        <v>1734.7526626642164</v>
      </c>
      <c r="C146">
        <v>495.82571886678073</v>
      </c>
      <c r="D146">
        <v>0</v>
      </c>
      <c r="E146">
        <v>1447.8044194420957</v>
      </c>
      <c r="F146">
        <v>72194.842211329771</v>
      </c>
    </row>
    <row r="147" spans="1:6" x14ac:dyDescent="0.2">
      <c r="A147" s="2">
        <f t="shared" si="2"/>
        <v>47514</v>
      </c>
      <c r="B147">
        <v>1418.6649383623294</v>
      </c>
      <c r="C147">
        <v>412.4598529908402</v>
      </c>
      <c r="D147">
        <v>0</v>
      </c>
      <c r="E147">
        <v>1413.7919381105296</v>
      </c>
      <c r="F147">
        <v>71892.059629128882</v>
      </c>
    </row>
    <row r="148" spans="1:6" x14ac:dyDescent="0.2">
      <c r="A148" s="2">
        <f t="shared" si="2"/>
        <v>47542</v>
      </c>
      <c r="B148">
        <v>744.43014826427395</v>
      </c>
      <c r="C148">
        <v>239.54618170175195</v>
      </c>
      <c r="D148">
        <v>0</v>
      </c>
      <c r="E148">
        <v>1412.9242757739112</v>
      </c>
      <c r="F148">
        <v>71088.384045099054</v>
      </c>
    </row>
    <row r="149" spans="1:6" x14ac:dyDescent="0.2">
      <c r="A149" s="2">
        <f t="shared" si="2"/>
        <v>47573</v>
      </c>
      <c r="B149">
        <v>1282.188779221025</v>
      </c>
      <c r="C149">
        <v>377.76276967106838</v>
      </c>
      <c r="D149">
        <v>0</v>
      </c>
      <c r="E149">
        <v>1410.5784021299994</v>
      </c>
      <c r="F149">
        <v>70685.429692785867</v>
      </c>
    </row>
    <row r="150" spans="1:6" x14ac:dyDescent="0.2">
      <c r="A150" s="2">
        <f t="shared" si="2"/>
        <v>47603</v>
      </c>
      <c r="B150">
        <v>1988.7452739007501</v>
      </c>
      <c r="C150">
        <v>559.36818250380054</v>
      </c>
      <c r="D150">
        <v>0</v>
      </c>
      <c r="E150">
        <v>1406.4856171257795</v>
      </c>
      <c r="F150">
        <v>70810.934243971045</v>
      </c>
    </row>
    <row r="151" spans="1:6" x14ac:dyDescent="0.2">
      <c r="A151" s="2">
        <f t="shared" si="2"/>
        <v>47634</v>
      </c>
      <c r="B151">
        <v>1217.2373059137556</v>
      </c>
      <c r="C151">
        <v>361.07316666859805</v>
      </c>
      <c r="D151">
        <v>0</v>
      </c>
      <c r="E151">
        <v>1394.3814917020873</v>
      </c>
      <c r="F151">
        <v>70375.51216167814</v>
      </c>
    </row>
    <row r="152" spans="1:6" x14ac:dyDescent="0.2">
      <c r="A152" s="2">
        <f t="shared" si="2"/>
        <v>47664</v>
      </c>
      <c r="B152">
        <v>1692.0160903309204</v>
      </c>
      <c r="C152">
        <v>483.20943122072975</v>
      </c>
      <c r="D152">
        <v>0</v>
      </c>
      <c r="E152">
        <v>1391.0248776819201</v>
      </c>
      <c r="F152">
        <v>70295.457116955586</v>
      </c>
    </row>
    <row r="153" spans="1:6" x14ac:dyDescent="0.2">
      <c r="A153" s="2">
        <f t="shared" si="2"/>
        <v>47695</v>
      </c>
      <c r="B153">
        <v>535.9488116809091</v>
      </c>
      <c r="C153">
        <v>186.07039885693902</v>
      </c>
      <c r="D153">
        <v>0</v>
      </c>
      <c r="E153">
        <v>1380.4327010834945</v>
      </c>
      <c r="F153">
        <v>69366.94978772568</v>
      </c>
    </row>
    <row r="154" spans="1:6" x14ac:dyDescent="0.2">
      <c r="A154" s="2">
        <f t="shared" si="2"/>
        <v>47726</v>
      </c>
      <c r="B154">
        <v>533.7749679467114</v>
      </c>
      <c r="C154">
        <v>185.59340263193477</v>
      </c>
      <c r="D154">
        <v>0</v>
      </c>
      <c r="E154">
        <v>1379.9538031653724</v>
      </c>
      <c r="F154">
        <v>68435.876607443162</v>
      </c>
    </row>
    <row r="155" spans="1:6" x14ac:dyDescent="0.2">
      <c r="A155" s="2">
        <f t="shared" si="2"/>
        <v>47756</v>
      </c>
      <c r="B155">
        <v>842.30959279863487</v>
      </c>
      <c r="C155">
        <v>264.31589668874409</v>
      </c>
      <c r="D155">
        <v>0</v>
      </c>
      <c r="E155">
        <v>1368.2682087825785</v>
      </c>
      <c r="F155">
        <v>67744.94952606599</v>
      </c>
    </row>
    <row r="156" spans="1:6" x14ac:dyDescent="0.2">
      <c r="A156" s="2">
        <f t="shared" si="2"/>
        <v>47787</v>
      </c>
      <c r="B156">
        <v>837.27369219488924</v>
      </c>
      <c r="C156">
        <v>262.29123963463951</v>
      </c>
      <c r="D156">
        <v>0</v>
      </c>
      <c r="E156">
        <v>1356.8745970704531</v>
      </c>
      <c r="F156">
        <v>67061.401803404311</v>
      </c>
    </row>
    <row r="157" spans="1:6" x14ac:dyDescent="0.2">
      <c r="A157" s="2">
        <f t="shared" si="2"/>
        <v>47817</v>
      </c>
      <c r="B157">
        <v>1198.1643465546938</v>
      </c>
      <c r="C157">
        <v>354.4630094735619</v>
      </c>
      <c r="D157">
        <v>0</v>
      </c>
      <c r="E157">
        <v>1344.2784883007964</v>
      </c>
      <c r="F157">
        <v>66658.176777100933</v>
      </c>
    </row>
    <row r="158" spans="1:6" x14ac:dyDescent="0.2">
      <c r="A158" s="2">
        <f t="shared" si="2"/>
        <v>47848</v>
      </c>
      <c r="B158">
        <v>1562.4997670054993</v>
      </c>
      <c r="C158">
        <v>447.76317158331688</v>
      </c>
      <c r="D158">
        <v>0</v>
      </c>
      <c r="E158">
        <v>1331.3276444277515</v>
      </c>
      <c r="F158">
        <v>66538.352496725158</v>
      </c>
    </row>
    <row r="159" spans="1:6" x14ac:dyDescent="0.2">
      <c r="A159" s="2">
        <f t="shared" si="2"/>
        <v>47879</v>
      </c>
      <c r="B159">
        <v>1362.7905126373748</v>
      </c>
      <c r="C159">
        <v>396.761286115877</v>
      </c>
      <c r="D159">
        <v>0</v>
      </c>
      <c r="E159">
        <v>1328.8087362555534</v>
      </c>
      <c r="F159">
        <v>66276.322681093297</v>
      </c>
    </row>
    <row r="160" spans="1:6" x14ac:dyDescent="0.2">
      <c r="A160" s="2">
        <f t="shared" si="2"/>
        <v>47907</v>
      </c>
      <c r="B160">
        <v>604.97173458733323</v>
      </c>
      <c r="C160">
        <v>201.82236024624112</v>
      </c>
      <c r="D160">
        <v>0</v>
      </c>
      <c r="E160">
        <v>1318.050315674554</v>
      </c>
      <c r="F160">
        <v>65461.774678866212</v>
      </c>
    </row>
    <row r="161" spans="1:6" x14ac:dyDescent="0.2">
      <c r="A161" s="2">
        <f t="shared" si="2"/>
        <v>47938</v>
      </c>
      <c r="B161">
        <v>1229.8657990632657</v>
      </c>
      <c r="C161">
        <v>362.41434997117165</v>
      </c>
      <c r="D161">
        <v>0</v>
      </c>
      <c r="E161">
        <v>1315.7288067774018</v>
      </c>
      <c r="F161">
        <v>65112.616904501119</v>
      </c>
    </row>
    <row r="162" spans="1:6" x14ac:dyDescent="0.2">
      <c r="A162" s="2">
        <f t="shared" si="2"/>
        <v>47968</v>
      </c>
      <c r="B162">
        <v>1619.4316487890039</v>
      </c>
      <c r="C162">
        <v>460.29106723530037</v>
      </c>
      <c r="D162">
        <v>0</v>
      </c>
      <c r="E162">
        <v>1282.6684841514073</v>
      </c>
      <c r="F162">
        <v>65087.679904580858</v>
      </c>
    </row>
    <row r="163" spans="1:6" x14ac:dyDescent="0.2">
      <c r="A163" s="2">
        <f t="shared" si="2"/>
        <v>47999</v>
      </c>
      <c r="B163">
        <v>1166.6131597168705</v>
      </c>
      <c r="C163">
        <v>344.34564822571315</v>
      </c>
      <c r="D163">
        <v>0</v>
      </c>
      <c r="E163">
        <v>1280.6287338584514</v>
      </c>
      <c r="F163">
        <v>64727.871826289935</v>
      </c>
    </row>
    <row r="164" spans="1:6" x14ac:dyDescent="0.2">
      <c r="A164" s="2">
        <f t="shared" si="2"/>
        <v>48029</v>
      </c>
      <c r="B164">
        <v>1526.7595985627636</v>
      </c>
      <c r="C164">
        <v>436.498614446408</v>
      </c>
      <c r="D164">
        <v>0</v>
      </c>
      <c r="E164">
        <v>1267.3786711064749</v>
      </c>
      <c r="F164">
        <v>64648.762476472097</v>
      </c>
    </row>
    <row r="165" spans="1:6" x14ac:dyDescent="0.2">
      <c r="A165" s="2">
        <f t="shared" si="2"/>
        <v>48060</v>
      </c>
      <c r="B165">
        <v>512.75924720310945</v>
      </c>
      <c r="C165">
        <v>176.39210169127196</v>
      </c>
      <c r="D165">
        <v>0</v>
      </c>
      <c r="E165">
        <v>1267.0131048342826</v>
      </c>
      <c r="F165">
        <v>63816.00507012989</v>
      </c>
    </row>
    <row r="166" spans="1:6" x14ac:dyDescent="0.2">
      <c r="A166" s="2">
        <f t="shared" si="2"/>
        <v>48091</v>
      </c>
      <c r="B166">
        <v>510.68460979747357</v>
      </c>
      <c r="C166">
        <v>175.94700829159498</v>
      </c>
      <c r="D166">
        <v>0</v>
      </c>
      <c r="E166">
        <v>1266.5101021051576</v>
      </c>
      <c r="F166">
        <v>62980.860194778157</v>
      </c>
    </row>
    <row r="167" spans="1:6" x14ac:dyDescent="0.2">
      <c r="A167" s="2">
        <f t="shared" si="2"/>
        <v>48121</v>
      </c>
      <c r="B167">
        <v>709.66300216361208</v>
      </c>
      <c r="C167">
        <v>226.19014940389062</v>
      </c>
      <c r="D167">
        <v>0</v>
      </c>
      <c r="E167">
        <v>1255.327956285988</v>
      </c>
      <c r="F167">
        <v>62304.368173757284</v>
      </c>
    </row>
    <row r="168" spans="1:6" x14ac:dyDescent="0.2">
      <c r="A168" s="2">
        <f t="shared" si="2"/>
        <v>48152</v>
      </c>
      <c r="B168">
        <v>713.02242871508804</v>
      </c>
      <c r="C168">
        <v>226.29435836251935</v>
      </c>
      <c r="D168">
        <v>0</v>
      </c>
      <c r="E168">
        <v>1244.149712280858</v>
      </c>
      <c r="F168">
        <v>61641.285297356008</v>
      </c>
    </row>
    <row r="169" spans="1:6" x14ac:dyDescent="0.2">
      <c r="A169" s="2">
        <f t="shared" si="2"/>
        <v>48182</v>
      </c>
      <c r="B169">
        <v>1165.7379190659381</v>
      </c>
      <c r="C169">
        <v>342.60947662444471</v>
      </c>
      <c r="D169">
        <v>0</v>
      </c>
      <c r="E169">
        <v>1241.9482496516446</v>
      </c>
      <c r="F169">
        <v>61315.800242281177</v>
      </c>
    </row>
    <row r="170" spans="1:6" x14ac:dyDescent="0.2">
      <c r="A170" s="2">
        <f t="shared" si="2"/>
        <v>48213</v>
      </c>
      <c r="B170">
        <v>1409.7849707331004</v>
      </c>
      <c r="C170">
        <v>404.08466667807994</v>
      </c>
      <c r="D170">
        <v>0</v>
      </c>
      <c r="E170">
        <v>1218.9565788014636</v>
      </c>
      <c r="F170">
        <v>61195.385883305789</v>
      </c>
    </row>
    <row r="171" spans="1:6" x14ac:dyDescent="0.2">
      <c r="A171" s="2">
        <f t="shared" si="2"/>
        <v>48244</v>
      </c>
      <c r="B171">
        <v>1317.3134238038754</v>
      </c>
      <c r="C171">
        <v>380.60567257552168</v>
      </c>
      <c r="D171">
        <v>0</v>
      </c>
      <c r="E171">
        <v>1216.434459904706</v>
      </c>
      <c r="F171">
        <v>61013.948262762686</v>
      </c>
    </row>
    <row r="172" spans="1:6" x14ac:dyDescent="0.2">
      <c r="A172" s="2">
        <f t="shared" si="2"/>
        <v>48273</v>
      </c>
      <c r="B172">
        <v>580.07810821988073</v>
      </c>
      <c r="C172">
        <v>191.50821625412067</v>
      </c>
      <c r="D172">
        <v>0</v>
      </c>
      <c r="E172">
        <v>1215.8262110821124</v>
      </c>
      <c r="F172">
        <v>60284.689615392184</v>
      </c>
    </row>
    <row r="173" spans="1:6" x14ac:dyDescent="0.2">
      <c r="A173" s="2">
        <f t="shared" si="2"/>
        <v>48304</v>
      </c>
      <c r="B173">
        <v>990.37777842635273</v>
      </c>
      <c r="C173">
        <v>295.57334110306226</v>
      </c>
      <c r="D173">
        <v>0</v>
      </c>
      <c r="E173">
        <v>1194.097163179169</v>
      </c>
      <c r="F173">
        <v>59882.223261086408</v>
      </c>
    </row>
    <row r="174" spans="1:6" x14ac:dyDescent="0.2">
      <c r="A174" s="2">
        <f t="shared" si="2"/>
        <v>48334</v>
      </c>
      <c r="B174">
        <v>1567.1452575876301</v>
      </c>
      <c r="C174">
        <v>443.82813763683743</v>
      </c>
      <c r="D174">
        <v>0</v>
      </c>
      <c r="E174">
        <v>1190.8375193259474</v>
      </c>
      <c r="F174">
        <v>59910.882811143194</v>
      </c>
    </row>
    <row r="175" spans="1:6" x14ac:dyDescent="0.2">
      <c r="A175" s="2">
        <f t="shared" si="2"/>
        <v>48365</v>
      </c>
      <c r="B175">
        <v>1027.8094646091131</v>
      </c>
      <c r="C175">
        <v>304.78102732190388</v>
      </c>
      <c r="D175">
        <v>0</v>
      </c>
      <c r="E175">
        <v>1179.1195725763594</v>
      </c>
      <c r="F175">
        <v>59551.017656877986</v>
      </c>
    </row>
    <row r="176" spans="1:6" x14ac:dyDescent="0.2">
      <c r="A176" s="2">
        <f t="shared" si="2"/>
        <v>48395</v>
      </c>
      <c r="B176">
        <v>1377.5491728420157</v>
      </c>
      <c r="C176">
        <v>394.26031709635407</v>
      </c>
      <c r="D176">
        <v>0</v>
      </c>
      <c r="E176">
        <v>1166.3184013829216</v>
      </c>
      <c r="F176">
        <v>59463.636094146852</v>
      </c>
    </row>
    <row r="177" spans="1:6" x14ac:dyDescent="0.2">
      <c r="A177" s="2">
        <f t="shared" si="2"/>
        <v>48426</v>
      </c>
      <c r="B177">
        <v>490.40826708120096</v>
      </c>
      <c r="C177">
        <v>166.71598787213262</v>
      </c>
      <c r="D177">
        <v>0</v>
      </c>
      <c r="E177">
        <v>1165.9186329672145</v>
      </c>
      <c r="F177">
        <v>58716.917375227778</v>
      </c>
    </row>
    <row r="178" spans="1:6" x14ac:dyDescent="0.2">
      <c r="A178" s="2">
        <f t="shared" si="2"/>
        <v>48457</v>
      </c>
      <c r="B178">
        <v>480.08583292242463</v>
      </c>
      <c r="C178">
        <v>163.59304153516663</v>
      </c>
      <c r="D178">
        <v>0</v>
      </c>
      <c r="E178">
        <v>1155.5094424192102</v>
      </c>
      <c r="F178">
        <v>57972.209015311259</v>
      </c>
    </row>
    <row r="179" spans="1:6" x14ac:dyDescent="0.2">
      <c r="A179" s="2">
        <f t="shared" si="2"/>
        <v>48487</v>
      </c>
      <c r="B179">
        <v>673.71263631931845</v>
      </c>
      <c r="C179">
        <v>213.37514251091704</v>
      </c>
      <c r="D179">
        <v>0</v>
      </c>
      <c r="E179">
        <v>1154.492678145755</v>
      </c>
      <c r="F179">
        <v>57371.166007307693</v>
      </c>
    </row>
    <row r="180" spans="1:6" x14ac:dyDescent="0.2">
      <c r="A180" s="2">
        <f t="shared" si="2"/>
        <v>48518</v>
      </c>
      <c r="B180">
        <v>481.28354521310325</v>
      </c>
      <c r="C180">
        <v>162.68452757767932</v>
      </c>
      <c r="D180">
        <v>0</v>
      </c>
      <c r="E180">
        <v>1134.148965198304</v>
      </c>
      <c r="F180">
        <v>56647.762869681603</v>
      </c>
    </row>
    <row r="181" spans="1:6" x14ac:dyDescent="0.2">
      <c r="A181" s="2">
        <f t="shared" si="2"/>
        <v>48548</v>
      </c>
      <c r="B181">
        <v>1117.6245508740042</v>
      </c>
      <c r="C181">
        <v>326.13345410305499</v>
      </c>
      <c r="D181">
        <v>0</v>
      </c>
      <c r="E181">
        <v>1131.9466224979426</v>
      </c>
      <c r="F181">
        <v>56398.292258534049</v>
      </c>
    </row>
    <row r="182" spans="1:6" x14ac:dyDescent="0.2">
      <c r="A182" s="2">
        <f t="shared" si="2"/>
        <v>48579</v>
      </c>
      <c r="B182">
        <v>1363.1454522473905</v>
      </c>
      <c r="C182">
        <v>389.44758629136521</v>
      </c>
      <c r="D182">
        <v>0</v>
      </c>
      <c r="E182">
        <v>1129.1791196911715</v>
      </c>
      <c r="F182">
        <v>56333.395231670729</v>
      </c>
    </row>
    <row r="183" spans="1:6" x14ac:dyDescent="0.2">
      <c r="A183" s="2">
        <f t="shared" si="2"/>
        <v>48610</v>
      </c>
      <c r="B183">
        <v>1273.1732594784874</v>
      </c>
      <c r="C183">
        <v>366.61071470191496</v>
      </c>
      <c r="D183">
        <v>0</v>
      </c>
      <c r="E183">
        <v>1126.6783457667575</v>
      </c>
      <c r="F183">
        <v>56207.56777157446</v>
      </c>
    </row>
    <row r="184" spans="1:6" x14ac:dyDescent="0.2">
      <c r="A184" s="2">
        <f t="shared" si="2"/>
        <v>48638</v>
      </c>
      <c r="B184">
        <v>556.01183915940771</v>
      </c>
      <c r="C184">
        <v>182.66648045299166</v>
      </c>
      <c r="D184">
        <v>0</v>
      </c>
      <c r="E184">
        <v>1126.058425993604</v>
      </c>
      <c r="F184">
        <v>55548.932440753619</v>
      </c>
    </row>
    <row r="185" spans="1:6" x14ac:dyDescent="0.2">
      <c r="A185" s="2">
        <f t="shared" si="2"/>
        <v>48669</v>
      </c>
      <c r="B185">
        <v>955.12947540260529</v>
      </c>
      <c r="C185">
        <v>285.30479196434851</v>
      </c>
      <c r="D185">
        <v>0</v>
      </c>
      <c r="E185">
        <v>1124.2793715431719</v>
      </c>
      <c r="F185">
        <v>55187.453094481498</v>
      </c>
    </row>
    <row r="186" spans="1:6" x14ac:dyDescent="0.2">
      <c r="A186" s="2">
        <f t="shared" si="2"/>
        <v>48699</v>
      </c>
      <c r="B186">
        <v>1420.6803370856558</v>
      </c>
      <c r="C186">
        <v>404.14687014493524</v>
      </c>
      <c r="D186">
        <v>0</v>
      </c>
      <c r="E186">
        <v>1111.5479476807052</v>
      </c>
      <c r="F186">
        <v>55184.808927461083</v>
      </c>
    </row>
    <row r="187" spans="1:6" x14ac:dyDescent="0.2">
      <c r="A187" s="2">
        <f t="shared" si="2"/>
        <v>48730</v>
      </c>
      <c r="B187">
        <v>991.37642756370292</v>
      </c>
      <c r="C187">
        <v>294.22764180903641</v>
      </c>
      <c r="D187">
        <v>0</v>
      </c>
      <c r="E187">
        <v>1109.7811523347218</v>
      </c>
      <c r="F187">
        <v>54864.542448911016</v>
      </c>
    </row>
    <row r="188" spans="1:6" x14ac:dyDescent="0.2">
      <c r="A188" s="2">
        <f t="shared" si="2"/>
        <v>48760</v>
      </c>
      <c r="B188">
        <v>1235.9015962486915</v>
      </c>
      <c r="C188">
        <v>356.36553124758399</v>
      </c>
      <c r="D188">
        <v>0</v>
      </c>
      <c r="E188">
        <v>1097.5150630579301</v>
      </c>
      <c r="F188">
        <v>54738.39329104287</v>
      </c>
    </row>
    <row r="189" spans="1:6" x14ac:dyDescent="0.2">
      <c r="A189" s="2">
        <f t="shared" si="2"/>
        <v>48791</v>
      </c>
      <c r="B189">
        <v>468.80746491172147</v>
      </c>
      <c r="C189">
        <v>159.63256334349751</v>
      </c>
      <c r="D189">
        <v>0</v>
      </c>
      <c r="E189">
        <v>1097.09774311572</v>
      </c>
      <c r="F189">
        <v>54042.089146813094</v>
      </c>
    </row>
    <row r="190" spans="1:6" x14ac:dyDescent="0.2">
      <c r="A190" s="2">
        <f t="shared" si="2"/>
        <v>48822</v>
      </c>
      <c r="B190">
        <v>370.54739591031938</v>
      </c>
      <c r="C190">
        <v>133.93123197516951</v>
      </c>
      <c r="D190">
        <v>0</v>
      </c>
      <c r="E190">
        <v>1086.9604336127302</v>
      </c>
      <c r="F190">
        <v>53282.198131428777</v>
      </c>
    </row>
    <row r="191" spans="1:6" x14ac:dyDescent="0.2">
      <c r="A191" s="2">
        <f t="shared" si="2"/>
        <v>48852</v>
      </c>
      <c r="B191">
        <v>655.30128245454205</v>
      </c>
      <c r="C191">
        <v>207.09796533280394</v>
      </c>
      <c r="D191">
        <v>0</v>
      </c>
      <c r="E191">
        <v>1085.9176793884626</v>
      </c>
      <c r="F191">
        <v>52733.66515154334</v>
      </c>
    </row>
    <row r="192" spans="1:6" x14ac:dyDescent="0.2">
      <c r="A192" s="2">
        <f t="shared" si="2"/>
        <v>48883</v>
      </c>
      <c r="B192">
        <v>460.03051892623682</v>
      </c>
      <c r="C192">
        <v>156.20052185112056</v>
      </c>
      <c r="D192">
        <v>0</v>
      </c>
      <c r="E192">
        <v>1075.7908771459367</v>
      </c>
      <c r="F192">
        <v>52049.967543656749</v>
      </c>
    </row>
    <row r="193" spans="1:6" x14ac:dyDescent="0.2">
      <c r="A193" s="2">
        <f t="shared" si="2"/>
        <v>48913</v>
      </c>
      <c r="B193">
        <v>1079.2748677046322</v>
      </c>
      <c r="C193">
        <v>315.26020442954939</v>
      </c>
      <c r="D193">
        <v>0</v>
      </c>
      <c r="E193">
        <v>1073.6215759922566</v>
      </c>
      <c r="F193">
        <v>51827.479560361258</v>
      </c>
    </row>
    <row r="194" spans="1:6" x14ac:dyDescent="0.2">
      <c r="A194" s="2">
        <f t="shared" si="2"/>
        <v>48944</v>
      </c>
      <c r="B194">
        <v>1222.3161928724473</v>
      </c>
      <c r="C194">
        <v>351.40590931393047</v>
      </c>
      <c r="D194">
        <v>0</v>
      </c>
      <c r="E194">
        <v>1061.3205649663428</v>
      </c>
      <c r="F194">
        <v>51723.815817846778</v>
      </c>
    </row>
    <row r="195" spans="1:6" x14ac:dyDescent="0.2">
      <c r="A195" s="2">
        <f t="shared" si="2"/>
        <v>48975</v>
      </c>
      <c r="B195">
        <v>1230.4390001717743</v>
      </c>
      <c r="C195">
        <v>353.74755187873109</v>
      </c>
      <c r="D195">
        <v>0</v>
      </c>
      <c r="E195">
        <v>1058.8391811519796</v>
      </c>
      <c r="F195">
        <v>51632.995203752995</v>
      </c>
    </row>
    <row r="196" spans="1:6" x14ac:dyDescent="0.2">
      <c r="A196" s="2">
        <f t="shared" si="2"/>
        <v>49003</v>
      </c>
      <c r="B196">
        <v>532.85491619556888</v>
      </c>
      <c r="C196">
        <v>174.83205314777513</v>
      </c>
      <c r="D196">
        <v>0</v>
      </c>
      <c r="E196">
        <v>1058.2194032401783</v>
      </c>
      <c r="F196">
        <v>51023.965423216941</v>
      </c>
    </row>
    <row r="197" spans="1:6" x14ac:dyDescent="0.2">
      <c r="A197" s="2">
        <f t="shared" si="2"/>
        <v>49034</v>
      </c>
      <c r="B197">
        <v>921.05171688282746</v>
      </c>
      <c r="C197">
        <v>274.67565978062464</v>
      </c>
      <c r="D197">
        <v>0</v>
      </c>
      <c r="E197">
        <v>1056.4616736180833</v>
      </c>
      <c r="F197">
        <v>50703.971221582076</v>
      </c>
    </row>
    <row r="198" spans="1:6" x14ac:dyDescent="0.2">
      <c r="A198" s="2">
        <f t="shared" ref="A198:A261" si="3">DATE(YEAR(A197),MONTH(A197)+2,1)-1</f>
        <v>49064</v>
      </c>
      <c r="B198">
        <v>1280.4233725763629</v>
      </c>
      <c r="C198">
        <v>366.61674247996456</v>
      </c>
      <c r="D198">
        <v>0</v>
      </c>
      <c r="E198">
        <v>1044.1187867385315</v>
      </c>
      <c r="F198">
        <v>50663.185476098857</v>
      </c>
    </row>
    <row r="199" spans="1:6" x14ac:dyDescent="0.2">
      <c r="A199" s="2">
        <f t="shared" si="3"/>
        <v>49095</v>
      </c>
      <c r="B199">
        <v>769.24160196398634</v>
      </c>
      <c r="C199">
        <v>234.29343457408572</v>
      </c>
      <c r="D199">
        <v>0</v>
      </c>
      <c r="E199">
        <v>1023.5706592556252</v>
      </c>
      <c r="F199">
        <v>50264.017381280937</v>
      </c>
    </row>
    <row r="200" spans="1:6" x14ac:dyDescent="0.2">
      <c r="A200" s="2">
        <f t="shared" si="3"/>
        <v>49125</v>
      </c>
      <c r="B200">
        <v>1100.320624605012</v>
      </c>
      <c r="C200">
        <v>318.9790451994154</v>
      </c>
      <c r="D200">
        <v>0</v>
      </c>
      <c r="E200">
        <v>1011.6494779324875</v>
      </c>
      <c r="F200">
        <v>50122.459081220608</v>
      </c>
    </row>
    <row r="201" spans="1:6" x14ac:dyDescent="0.2">
      <c r="A201" s="2">
        <f t="shared" si="3"/>
        <v>49156</v>
      </c>
      <c r="B201">
        <v>354.24641059266378</v>
      </c>
      <c r="C201">
        <v>127.10952226079867</v>
      </c>
      <c r="D201">
        <v>0</v>
      </c>
      <c r="E201">
        <v>1001.7603493288598</v>
      </c>
      <c r="F201">
        <v>49436.335273641154</v>
      </c>
    </row>
    <row r="202" spans="1:6" x14ac:dyDescent="0.2">
      <c r="A202" s="2">
        <f t="shared" si="3"/>
        <v>49187</v>
      </c>
      <c r="B202">
        <v>352.56665403827083</v>
      </c>
      <c r="C202">
        <v>126.72410772346207</v>
      </c>
      <c r="D202">
        <v>0</v>
      </c>
      <c r="E202">
        <v>1001.4615302910233</v>
      </c>
      <c r="F202">
        <v>48748.004475802431</v>
      </c>
    </row>
    <row r="203" spans="1:6" x14ac:dyDescent="0.2">
      <c r="A203" s="2">
        <f t="shared" si="3"/>
        <v>49217</v>
      </c>
      <c r="B203">
        <v>629.53573723803947</v>
      </c>
      <c r="C203">
        <v>197.89523558039005</v>
      </c>
      <c r="D203">
        <v>0</v>
      </c>
      <c r="E203">
        <v>1000.4164801728391</v>
      </c>
      <c r="F203">
        <v>48265.301319331236</v>
      </c>
    </row>
    <row r="204" spans="1:6" x14ac:dyDescent="0.2">
      <c r="A204" s="2">
        <f t="shared" si="3"/>
        <v>49248</v>
      </c>
      <c r="B204">
        <v>447.3624096869267</v>
      </c>
      <c r="C204">
        <v>151.20299402258632</v>
      </c>
      <c r="D204">
        <v>0</v>
      </c>
      <c r="E204">
        <v>999.89829105663648</v>
      </c>
      <c r="F204">
        <v>47646.782972164227</v>
      </c>
    </row>
    <row r="205" spans="1:6" x14ac:dyDescent="0.2">
      <c r="A205" s="2">
        <f t="shared" si="3"/>
        <v>49278</v>
      </c>
      <c r="B205">
        <v>956.84796403176506</v>
      </c>
      <c r="C205">
        <v>281.2355867168273</v>
      </c>
      <c r="D205">
        <v>0</v>
      </c>
      <c r="E205">
        <v>988.3275957064476</v>
      </c>
      <c r="F205">
        <v>47418.196183558386</v>
      </c>
    </row>
    <row r="206" spans="1:6" x14ac:dyDescent="0.2">
      <c r="A206" s="2">
        <f t="shared" si="3"/>
        <v>49309</v>
      </c>
      <c r="B206">
        <v>1189.0237621413708</v>
      </c>
      <c r="C206">
        <v>341.1310732233618</v>
      </c>
      <c r="D206">
        <v>0</v>
      </c>
      <c r="E206">
        <v>985.84630254530657</v>
      </c>
      <c r="F206">
        <v>47363.967391195911</v>
      </c>
    </row>
    <row r="207" spans="1:6" x14ac:dyDescent="0.2">
      <c r="A207" s="2">
        <f t="shared" si="3"/>
        <v>49340</v>
      </c>
      <c r="B207">
        <v>1188.9518499927235</v>
      </c>
      <c r="C207">
        <v>340.8326457214124</v>
      </c>
      <c r="D207">
        <v>0</v>
      </c>
      <c r="E207">
        <v>973.88621382598456</v>
      </c>
      <c r="F207">
        <v>47324.57708925692</v>
      </c>
    </row>
    <row r="208" spans="1:6" x14ac:dyDescent="0.2">
      <c r="A208" s="2">
        <f t="shared" si="3"/>
        <v>49368</v>
      </c>
      <c r="B208">
        <v>419.16382627709385</v>
      </c>
      <c r="C208">
        <v>142.87397783868934</v>
      </c>
      <c r="D208">
        <v>0</v>
      </c>
      <c r="E208">
        <v>964.00907369833226</v>
      </c>
      <c r="F208">
        <v>46723.162736317259</v>
      </c>
    </row>
    <row r="209" spans="1:6" x14ac:dyDescent="0.2">
      <c r="A209" s="2">
        <f t="shared" si="3"/>
        <v>49399</v>
      </c>
      <c r="B209">
        <v>887.98832807612473</v>
      </c>
      <c r="C209">
        <v>263.41208300535226</v>
      </c>
      <c r="D209">
        <v>0</v>
      </c>
      <c r="E209">
        <v>962.24288521210372</v>
      </c>
      <c r="F209">
        <v>46470.704181326895</v>
      </c>
    </row>
    <row r="210" spans="1:6" x14ac:dyDescent="0.2">
      <c r="A210" s="2">
        <f t="shared" si="3"/>
        <v>49429</v>
      </c>
      <c r="B210">
        <v>1237.9239160112838</v>
      </c>
      <c r="C210">
        <v>353.46102147993258</v>
      </c>
      <c r="D210">
        <v>0</v>
      </c>
      <c r="E210">
        <v>959.59155519722754</v>
      </c>
      <c r="F210">
        <v>46480.323202260704</v>
      </c>
    </row>
    <row r="211" spans="1:6" x14ac:dyDescent="0.2">
      <c r="A211" s="2">
        <f t="shared" si="3"/>
        <v>49460</v>
      </c>
      <c r="B211">
        <v>740.33741024548522</v>
      </c>
      <c r="C211">
        <v>225.97560061015332</v>
      </c>
      <c r="D211">
        <v>0</v>
      </c>
      <c r="E211">
        <v>958.33237278676893</v>
      </c>
      <c r="F211">
        <v>46121.117862722538</v>
      </c>
    </row>
    <row r="212" spans="1:6" x14ac:dyDescent="0.2">
      <c r="A212" s="2">
        <f t="shared" si="3"/>
        <v>49490</v>
      </c>
      <c r="B212">
        <v>1062.3594559900002</v>
      </c>
      <c r="C212">
        <v>308.85045369330066</v>
      </c>
      <c r="D212">
        <v>0</v>
      </c>
      <c r="E212">
        <v>956.1271756430483</v>
      </c>
      <c r="F212">
        <v>46002.609837490163</v>
      </c>
    </row>
    <row r="213" spans="1:6" x14ac:dyDescent="0.2">
      <c r="A213" s="2">
        <f t="shared" si="3"/>
        <v>49521</v>
      </c>
      <c r="B213">
        <v>336.78275673433529</v>
      </c>
      <c r="C213">
        <v>122.7529842320486</v>
      </c>
      <c r="D213">
        <v>0</v>
      </c>
      <c r="E213">
        <v>955.93087749385666</v>
      </c>
      <c r="F213">
        <v>45344.602759928246</v>
      </c>
    </row>
    <row r="214" spans="1:6" x14ac:dyDescent="0.2">
      <c r="A214" s="2">
        <f t="shared" si="3"/>
        <v>49552</v>
      </c>
      <c r="B214">
        <v>335.20869590100995</v>
      </c>
      <c r="C214">
        <v>122.39620208462208</v>
      </c>
      <c r="D214">
        <v>0</v>
      </c>
      <c r="E214">
        <v>955.63665990724814</v>
      </c>
      <c r="F214">
        <v>44684.47262709256</v>
      </c>
    </row>
    <row r="215" spans="1:6" x14ac:dyDescent="0.2">
      <c r="A215" s="2">
        <f t="shared" si="3"/>
        <v>49582</v>
      </c>
      <c r="B215">
        <v>604.58847065924078</v>
      </c>
      <c r="C215">
        <v>191.62400537186346</v>
      </c>
      <c r="D215">
        <v>0</v>
      </c>
      <c r="E215">
        <v>954.60926853316153</v>
      </c>
      <c r="F215">
        <v>44224.317991154625</v>
      </c>
    </row>
    <row r="216" spans="1:6" x14ac:dyDescent="0.2">
      <c r="A216" s="2">
        <f t="shared" si="3"/>
        <v>49613</v>
      </c>
      <c r="B216">
        <v>336.78602861467834</v>
      </c>
      <c r="C216">
        <v>122.12218410261735</v>
      </c>
      <c r="D216">
        <v>0</v>
      </c>
      <c r="E216">
        <v>944.8656309766759</v>
      </c>
      <c r="F216">
        <v>43574.767197312234</v>
      </c>
    </row>
    <row r="217" spans="1:6" x14ac:dyDescent="0.2">
      <c r="A217" s="2">
        <f t="shared" si="3"/>
        <v>49643</v>
      </c>
      <c r="B217">
        <v>923.27096778536713</v>
      </c>
      <c r="C217">
        <v>272.75983686513274</v>
      </c>
      <c r="D217">
        <v>0</v>
      </c>
      <c r="E217">
        <v>942.96344282836344</v>
      </c>
      <c r="F217">
        <v>43361.781305405202</v>
      </c>
    </row>
    <row r="218" spans="1:6" x14ac:dyDescent="0.2">
      <c r="A218" s="2">
        <f t="shared" si="3"/>
        <v>49674</v>
      </c>
      <c r="B218">
        <v>1148.9380802698765</v>
      </c>
      <c r="C218">
        <v>330.98998165876714</v>
      </c>
      <c r="D218">
        <v>0</v>
      </c>
      <c r="E218">
        <v>940.52378032712534</v>
      </c>
      <c r="F218">
        <v>43318.283625634831</v>
      </c>
    </row>
    <row r="219" spans="1:6" x14ac:dyDescent="0.2">
      <c r="A219" s="2">
        <f t="shared" si="3"/>
        <v>49705</v>
      </c>
      <c r="B219">
        <v>1065.7752000321941</v>
      </c>
      <c r="C219">
        <v>309.03153910649223</v>
      </c>
      <c r="D219">
        <v>0</v>
      </c>
      <c r="E219">
        <v>928.83493339805113</v>
      </c>
      <c r="F219">
        <v>43225.661585487534</v>
      </c>
    </row>
    <row r="220" spans="1:6" x14ac:dyDescent="0.2">
      <c r="A220" s="2">
        <f t="shared" si="3"/>
        <v>49734</v>
      </c>
      <c r="B220">
        <v>318.83808664021325</v>
      </c>
      <c r="C220">
        <v>116.92773792635518</v>
      </c>
      <c r="D220">
        <v>0</v>
      </c>
      <c r="E220">
        <v>919.33577540030024</v>
      </c>
      <c r="F220">
        <v>42587.535472057185</v>
      </c>
    </row>
    <row r="221" spans="1:6" x14ac:dyDescent="0.2">
      <c r="A221" s="2">
        <f t="shared" si="3"/>
        <v>49765</v>
      </c>
      <c r="B221">
        <v>863.53348114732444</v>
      </c>
      <c r="C221">
        <v>256.93435440989452</v>
      </c>
      <c r="D221">
        <v>0</v>
      </c>
      <c r="E221">
        <v>917.56910464723762</v>
      </c>
      <c r="F221">
        <v>42354.694137928127</v>
      </c>
    </row>
    <row r="222" spans="1:6" x14ac:dyDescent="0.2">
      <c r="A222" s="2">
        <f t="shared" si="3"/>
        <v>49795</v>
      </c>
      <c r="B222">
        <v>1204.2657170631751</v>
      </c>
      <c r="C222">
        <v>344.63411883703009</v>
      </c>
      <c r="D222">
        <v>0</v>
      </c>
      <c r="E222">
        <v>914.94339625448356</v>
      </c>
      <c r="F222">
        <v>42377.083826357441</v>
      </c>
    </row>
    <row r="223" spans="1:6" x14ac:dyDescent="0.2">
      <c r="A223" s="2">
        <f t="shared" si="3"/>
        <v>49826</v>
      </c>
      <c r="B223">
        <v>719.90882177856849</v>
      </c>
      <c r="C223">
        <v>220.53509042283011</v>
      </c>
      <c r="D223">
        <v>0</v>
      </c>
      <c r="E223">
        <v>913.68610901358886</v>
      </c>
      <c r="F223">
        <v>42040.514009992236</v>
      </c>
    </row>
    <row r="224" spans="1:6" x14ac:dyDescent="0.2">
      <c r="A224" s="2">
        <f t="shared" si="3"/>
        <v>49856</v>
      </c>
      <c r="B224">
        <v>1033.0794509869511</v>
      </c>
      <c r="C224">
        <v>301.13720996376418</v>
      </c>
      <c r="D224">
        <v>0</v>
      </c>
      <c r="E224">
        <v>911.5000333084713</v>
      </c>
      <c r="F224">
        <v>41938.081327367341</v>
      </c>
    </row>
    <row r="225" spans="1:6" x14ac:dyDescent="0.2">
      <c r="A225" s="2">
        <f t="shared" si="3"/>
        <v>49887</v>
      </c>
      <c r="B225">
        <v>327.47722166806227</v>
      </c>
      <c r="C225">
        <v>120.16443954385686</v>
      </c>
      <c r="D225">
        <v>0</v>
      </c>
      <c r="E225">
        <v>911.28699789445011</v>
      </c>
      <c r="F225">
        <v>41311.04430414785</v>
      </c>
    </row>
    <row r="226" spans="1:6" x14ac:dyDescent="0.2">
      <c r="A226" s="2">
        <f t="shared" si="3"/>
        <v>49918</v>
      </c>
      <c r="B226">
        <v>325.99173417672142</v>
      </c>
      <c r="C226">
        <v>119.83278944420806</v>
      </c>
      <c r="D226">
        <v>0</v>
      </c>
      <c r="E226">
        <v>910.978620021192</v>
      </c>
      <c r="F226">
        <v>40682.011495341947</v>
      </c>
    </row>
    <row r="227" spans="1:6" x14ac:dyDescent="0.2">
      <c r="A227" s="2">
        <f t="shared" si="3"/>
        <v>49948</v>
      </c>
      <c r="B227">
        <v>499.12048661525847</v>
      </c>
      <c r="C227">
        <v>163.85157868014269</v>
      </c>
      <c r="D227">
        <v>0</v>
      </c>
      <c r="E227">
        <v>900.81056011924716</v>
      </c>
      <c r="F227">
        <v>40191.102722219119</v>
      </c>
    </row>
    <row r="228" spans="1:6" x14ac:dyDescent="0.2">
      <c r="A228" s="2">
        <f t="shared" si="3"/>
        <v>49979</v>
      </c>
      <c r="B228">
        <v>238.71678632645256</v>
      </c>
      <c r="C228">
        <v>96.564803511320477</v>
      </c>
      <c r="D228">
        <v>0</v>
      </c>
      <c r="E228">
        <v>891.36746334185875</v>
      </c>
      <c r="F228">
        <v>39515.61952774597</v>
      </c>
    </row>
    <row r="229" spans="1:6" x14ac:dyDescent="0.2">
      <c r="A229" s="2">
        <f t="shared" si="3"/>
        <v>50009</v>
      </c>
      <c r="B229">
        <v>898.19202626182505</v>
      </c>
      <c r="C229">
        <v>265.9381559490156</v>
      </c>
      <c r="D229">
        <v>0</v>
      </c>
      <c r="E229">
        <v>889.46047123053563</v>
      </c>
      <c r="F229">
        <v>39330.906010253653</v>
      </c>
    </row>
    <row r="230" spans="1:6" x14ac:dyDescent="0.2">
      <c r="A230" s="2">
        <f t="shared" si="3"/>
        <v>50040</v>
      </c>
      <c r="B230">
        <v>1117.48130320573</v>
      </c>
      <c r="C230">
        <v>322.52884319260721</v>
      </c>
      <c r="D230">
        <v>0</v>
      </c>
      <c r="E230">
        <v>887.03748976490442</v>
      </c>
      <c r="F230">
        <v>39310.975199129229</v>
      </c>
    </row>
    <row r="231" spans="1:6" x14ac:dyDescent="0.2">
      <c r="A231" s="2">
        <f t="shared" si="3"/>
        <v>50071</v>
      </c>
      <c r="B231">
        <v>1036.5678742510854</v>
      </c>
      <c r="C231">
        <v>301.96920275785567</v>
      </c>
      <c r="D231">
        <v>0</v>
      </c>
      <c r="E231">
        <v>884.86307472204328</v>
      </c>
      <c r="F231">
        <v>39234.410891484324</v>
      </c>
    </row>
    <row r="232" spans="1:6" x14ac:dyDescent="0.2">
      <c r="A232" s="2">
        <f t="shared" si="3"/>
        <v>50099</v>
      </c>
      <c r="B232">
        <v>302.79256978643622</v>
      </c>
      <c r="C232">
        <v>112.91468447888329</v>
      </c>
      <c r="D232">
        <v>0</v>
      </c>
      <c r="E232">
        <v>875.59662920351377</v>
      </c>
      <c r="F232">
        <v>38622.248700643402</v>
      </c>
    </row>
    <row r="233" spans="1:6" x14ac:dyDescent="0.2">
      <c r="A233" s="2">
        <f t="shared" si="3"/>
        <v>50130</v>
      </c>
      <c r="B233">
        <v>832.36190945689634</v>
      </c>
      <c r="C233">
        <v>249.03529611826528</v>
      </c>
      <c r="D233">
        <v>0</v>
      </c>
      <c r="E233">
        <v>873.86045504241542</v>
      </c>
      <c r="F233">
        <v>38404.123732199208</v>
      </c>
    </row>
    <row r="234" spans="1:6" x14ac:dyDescent="0.2">
      <c r="A234" s="2">
        <f t="shared" si="3"/>
        <v>50160</v>
      </c>
      <c r="B234">
        <v>1164.1498042607113</v>
      </c>
      <c r="C234">
        <v>334.45077372120591</v>
      </c>
      <c r="D234">
        <v>0</v>
      </c>
      <c r="E234">
        <v>871.27840038786712</v>
      </c>
      <c r="F234">
        <v>38434.544295589396</v>
      </c>
    </row>
    <row r="235" spans="1:6" x14ac:dyDescent="0.2">
      <c r="A235" s="2">
        <f t="shared" si="3"/>
        <v>50191</v>
      </c>
      <c r="B235">
        <v>692.70684763358975</v>
      </c>
      <c r="C235">
        <v>213.65392451548584</v>
      </c>
      <c r="D235">
        <v>0</v>
      </c>
      <c r="E235">
        <v>870.04138131839807</v>
      </c>
      <c r="F235">
        <v>38115.612803006443</v>
      </c>
    </row>
    <row r="236" spans="1:6" x14ac:dyDescent="0.2">
      <c r="A236" s="2">
        <f t="shared" si="3"/>
        <v>50221</v>
      </c>
      <c r="B236">
        <v>913.18168752941278</v>
      </c>
      <c r="C236">
        <v>269.99129469203615</v>
      </c>
      <c r="D236">
        <v>0</v>
      </c>
      <c r="E236">
        <v>859.17763334207802</v>
      </c>
      <c r="F236">
        <v>37971.084596336208</v>
      </c>
    </row>
    <row r="237" spans="1:6" x14ac:dyDescent="0.2">
      <c r="A237" s="2">
        <f t="shared" si="3"/>
        <v>50252</v>
      </c>
      <c r="B237">
        <v>303.85678673825498</v>
      </c>
      <c r="C237">
        <v>113.23343287917884</v>
      </c>
      <c r="D237">
        <v>0</v>
      </c>
      <c r="E237">
        <v>849.86368128579579</v>
      </c>
      <c r="F237">
        <v>37383.032341705912</v>
      </c>
    </row>
    <row r="238" spans="1:6" x14ac:dyDescent="0.2">
      <c r="A238" s="2">
        <f t="shared" si="3"/>
        <v>50283</v>
      </c>
      <c r="B238">
        <v>302.49495647449896</v>
      </c>
      <c r="C238">
        <v>112.94042018969644</v>
      </c>
      <c r="D238">
        <v>0</v>
      </c>
      <c r="E238">
        <v>849.56855665175488</v>
      </c>
      <c r="F238">
        <v>36793.103915574284</v>
      </c>
    </row>
    <row r="239" spans="1:6" x14ac:dyDescent="0.2">
      <c r="A239" s="2">
        <f t="shared" si="3"/>
        <v>50313</v>
      </c>
      <c r="B239">
        <v>385.13255382500734</v>
      </c>
      <c r="C239">
        <v>133.43289635431839</v>
      </c>
      <c r="D239">
        <v>0</v>
      </c>
      <c r="E239">
        <v>839.89316884269476</v>
      </c>
      <c r="F239">
        <v>36273.890002435852</v>
      </c>
    </row>
    <row r="240" spans="1:6" x14ac:dyDescent="0.2">
      <c r="A240" s="2">
        <f t="shared" si="3"/>
        <v>50344</v>
      </c>
      <c r="B240">
        <v>217.74177689550532</v>
      </c>
      <c r="C240">
        <v>90.507423481882881</v>
      </c>
      <c r="D240">
        <v>0</v>
      </c>
      <c r="E240">
        <v>839.83802747020252</v>
      </c>
      <c r="F240">
        <v>35629.292505962963</v>
      </c>
    </row>
    <row r="241" spans="1:6" x14ac:dyDescent="0.2">
      <c r="A241" s="2">
        <f t="shared" si="3"/>
        <v>50374</v>
      </c>
      <c r="B241">
        <v>859.33786807970785</v>
      </c>
      <c r="C241">
        <v>255.29975902867719</v>
      </c>
      <c r="D241">
        <v>0</v>
      </c>
      <c r="E241">
        <v>837.9776364774209</v>
      </c>
      <c r="F241">
        <v>35462.150666713344</v>
      </c>
    </row>
    <row r="242" spans="1:6" x14ac:dyDescent="0.2">
      <c r="A242" s="2">
        <f t="shared" si="3"/>
        <v>50405</v>
      </c>
      <c r="B242">
        <v>1072.4313737874006</v>
      </c>
      <c r="C242">
        <v>310.2966669017548</v>
      </c>
      <c r="D242">
        <v>0</v>
      </c>
      <c r="E242">
        <v>835.60992194698918</v>
      </c>
      <c r="F242">
        <v>35455.159782821829</v>
      </c>
    </row>
    <row r="243" spans="1:6" x14ac:dyDescent="0.2">
      <c r="A243" s="2">
        <f t="shared" si="3"/>
        <v>50436</v>
      </c>
      <c r="B243">
        <v>907.30234522859257</v>
      </c>
      <c r="C243">
        <v>267.64299781008168</v>
      </c>
      <c r="D243">
        <v>0</v>
      </c>
      <c r="E243">
        <v>824.47329903138086</v>
      </c>
      <c r="F243">
        <v>35339.750588466959</v>
      </c>
    </row>
    <row r="244" spans="1:6" x14ac:dyDescent="0.2">
      <c r="A244" s="2">
        <f t="shared" si="3"/>
        <v>50464</v>
      </c>
      <c r="B244">
        <v>287.31816698016854</v>
      </c>
      <c r="C244">
        <v>108.56651508830319</v>
      </c>
      <c r="D244">
        <v>0</v>
      </c>
      <c r="E244">
        <v>824.28447280550404</v>
      </c>
      <c r="F244">
        <v>34763.39660714045</v>
      </c>
    </row>
    <row r="245" spans="1:6" x14ac:dyDescent="0.2">
      <c r="A245" s="2">
        <f t="shared" si="3"/>
        <v>50495</v>
      </c>
      <c r="B245">
        <v>802.12124271507719</v>
      </c>
      <c r="C245">
        <v>240.89118225867259</v>
      </c>
      <c r="D245">
        <v>0</v>
      </c>
      <c r="E245">
        <v>822.57354056486247</v>
      </c>
      <c r="F245">
        <v>34570.103732860909</v>
      </c>
    </row>
    <row r="246" spans="1:6" x14ac:dyDescent="0.2">
      <c r="A246" s="2">
        <f t="shared" si="3"/>
        <v>50525</v>
      </c>
      <c r="B246">
        <v>1125.1949918399109</v>
      </c>
      <c r="C246">
        <v>324.07638074779987</v>
      </c>
      <c r="D246">
        <v>0</v>
      </c>
      <c r="E246">
        <v>820.02970107619046</v>
      </c>
      <c r="F246">
        <v>34618.864870915299</v>
      </c>
    </row>
    <row r="247" spans="1:6" x14ac:dyDescent="0.2">
      <c r="A247" s="2">
        <f t="shared" si="3"/>
        <v>50556</v>
      </c>
      <c r="B247">
        <v>582.87003199620631</v>
      </c>
      <c r="C247">
        <v>184.3158796660438</v>
      </c>
      <c r="D247">
        <v>0</v>
      </c>
      <c r="E247">
        <v>810.07625832840881</v>
      </c>
      <c r="F247">
        <v>34275.110444646351</v>
      </c>
    </row>
    <row r="248" spans="1:6" x14ac:dyDescent="0.2">
      <c r="A248" s="2">
        <f t="shared" si="3"/>
        <v>50586</v>
      </c>
      <c r="B248">
        <v>880.74944582382454</v>
      </c>
      <c r="C248">
        <v>260.97287868953066</v>
      </c>
      <c r="D248">
        <v>0</v>
      </c>
      <c r="E248">
        <v>808.17181401472897</v>
      </c>
      <c r="F248">
        <v>34153.809965776345</v>
      </c>
    </row>
    <row r="249" spans="1:6" x14ac:dyDescent="0.2">
      <c r="A249" s="2">
        <f t="shared" si="3"/>
        <v>50617</v>
      </c>
      <c r="B249">
        <v>295.40880730911402</v>
      </c>
      <c r="C249">
        <v>110.83441630570887</v>
      </c>
      <c r="D249">
        <v>0</v>
      </c>
      <c r="E249">
        <v>807.9421024581477</v>
      </c>
      <c r="F249">
        <v>33597.299572258722</v>
      </c>
    </row>
    <row r="250" spans="1:6" x14ac:dyDescent="0.2">
      <c r="A250" s="2">
        <f t="shared" si="3"/>
        <v>50648</v>
      </c>
      <c r="B250">
        <v>211.59568375050418</v>
      </c>
      <c r="C250">
        <v>88.916534627323557</v>
      </c>
      <c r="D250">
        <v>0</v>
      </c>
      <c r="E250">
        <v>798.97822470285871</v>
      </c>
      <c r="F250">
        <v>32986.768425398594</v>
      </c>
    </row>
    <row r="251" spans="1:6" x14ac:dyDescent="0.2">
      <c r="A251" s="2">
        <f t="shared" si="3"/>
        <v>50678</v>
      </c>
      <c r="B251">
        <v>374.59333014206175</v>
      </c>
      <c r="C251">
        <v>130.80881404451631</v>
      </c>
      <c r="D251">
        <v>0</v>
      </c>
      <c r="E251">
        <v>798.42663739595173</v>
      </c>
      <c r="F251">
        <v>32496.699096024277</v>
      </c>
    </row>
    <row r="252" spans="1:6" x14ac:dyDescent="0.2">
      <c r="A252" s="2">
        <f t="shared" si="3"/>
        <v>50709</v>
      </c>
      <c r="B252">
        <v>211.77274795991499</v>
      </c>
      <c r="C252">
        <v>89.057115536047036</v>
      </c>
      <c r="D252">
        <v>0</v>
      </c>
      <c r="E252">
        <v>798.35298075677827</v>
      </c>
      <c r="F252">
        <v>31884.675211183312</v>
      </c>
    </row>
    <row r="253" spans="1:6" x14ac:dyDescent="0.2">
      <c r="A253" s="2">
        <f t="shared" si="3"/>
        <v>50739</v>
      </c>
      <c r="B253">
        <v>835.90434711090552</v>
      </c>
      <c r="C253">
        <v>249.37345995971586</v>
      </c>
      <c r="D253">
        <v>0</v>
      </c>
      <c r="E253">
        <v>796.50551882258742</v>
      </c>
      <c r="F253">
        <v>31737.115984119828</v>
      </c>
    </row>
    <row r="254" spans="1:6" x14ac:dyDescent="0.2">
      <c r="A254" s="2">
        <f t="shared" si="3"/>
        <v>50770</v>
      </c>
      <c r="B254">
        <v>1042.9139611341047</v>
      </c>
      <c r="C254">
        <v>302.8028246243972</v>
      </c>
      <c r="D254">
        <v>0</v>
      </c>
      <c r="E254">
        <v>794.15937551572938</v>
      </c>
      <c r="F254">
        <v>31745.194297199294</v>
      </c>
    </row>
    <row r="255" spans="1:6" x14ac:dyDescent="0.2">
      <c r="A255" s="2">
        <f t="shared" si="3"/>
        <v>50801</v>
      </c>
      <c r="B255">
        <v>798.19914575400458</v>
      </c>
      <c r="C255">
        <v>239.72743345389031</v>
      </c>
      <c r="D255">
        <v>0</v>
      </c>
      <c r="E255">
        <v>783.42921782607323</v>
      </c>
      <c r="F255">
        <v>31585.194762222796</v>
      </c>
    </row>
    <row r="256" spans="1:6" x14ac:dyDescent="0.2">
      <c r="A256" s="2">
        <f t="shared" si="3"/>
        <v>50829</v>
      </c>
      <c r="B256">
        <v>279.43358254178713</v>
      </c>
      <c r="C256">
        <v>106.62893659119786</v>
      </c>
      <c r="D256">
        <v>0</v>
      </c>
      <c r="E256">
        <v>783.21180385507319</v>
      </c>
      <c r="F256">
        <v>31039.418179011151</v>
      </c>
    </row>
    <row r="257" spans="1:6" x14ac:dyDescent="0.2">
      <c r="A257" s="2">
        <f t="shared" si="3"/>
        <v>50860</v>
      </c>
      <c r="B257">
        <v>779.80639068845016</v>
      </c>
      <c r="C257">
        <v>235.23459273758326</v>
      </c>
      <c r="D257">
        <v>0</v>
      </c>
      <c r="E257">
        <v>781.51238015925958</v>
      </c>
      <c r="F257">
        <v>30865.991387049809</v>
      </c>
    </row>
    <row r="258" spans="1:6" x14ac:dyDescent="0.2">
      <c r="A258" s="2">
        <f t="shared" si="3"/>
        <v>50890</v>
      </c>
      <c r="B258">
        <v>1094.3713982918632</v>
      </c>
      <c r="C258">
        <v>316.23631553300095</v>
      </c>
      <c r="D258">
        <v>0</v>
      </c>
      <c r="E258">
        <v>778.99288609480027</v>
      </c>
      <c r="F258">
        <v>30928.292502847533</v>
      </c>
    </row>
    <row r="259" spans="1:6" x14ac:dyDescent="0.2">
      <c r="A259" s="2">
        <f t="shared" si="3"/>
        <v>50921</v>
      </c>
      <c r="B259">
        <v>566.70531679086889</v>
      </c>
      <c r="C259">
        <v>180.97574442358359</v>
      </c>
      <c r="D259">
        <v>0</v>
      </c>
      <c r="E259">
        <v>778.00137266286163</v>
      </c>
      <c r="F259">
        <v>30599.307104101001</v>
      </c>
    </row>
    <row r="260" spans="1:6" x14ac:dyDescent="0.2">
      <c r="A260" s="2">
        <f t="shared" si="3"/>
        <v>50951</v>
      </c>
      <c r="B260">
        <v>693.11440097859781</v>
      </c>
      <c r="C260">
        <v>212.40046364173423</v>
      </c>
      <c r="D260">
        <v>0</v>
      </c>
      <c r="E260">
        <v>758.86682337244963</v>
      </c>
      <c r="F260">
        <v>30383.767439805182</v>
      </c>
    </row>
    <row r="261" spans="1:6" x14ac:dyDescent="0.2">
      <c r="A261" s="2">
        <f t="shared" si="3"/>
        <v>50982</v>
      </c>
      <c r="B261">
        <v>205.9336493299586</v>
      </c>
      <c r="C261">
        <v>86.704679263593121</v>
      </c>
      <c r="D261">
        <v>0</v>
      </c>
      <c r="E261">
        <v>749.99770145063621</v>
      </c>
      <c r="F261">
        <v>29815.170886422376</v>
      </c>
    </row>
    <row r="262" spans="1:6" x14ac:dyDescent="0.2">
      <c r="A262" s="2">
        <f t="shared" ref="A262:A325" si="4">DATE(YEAR(A261),MONTH(A261)+2,1)-1</f>
        <v>51013</v>
      </c>
      <c r="B262">
        <v>205.73513327430169</v>
      </c>
      <c r="C262">
        <v>86.699113985023601</v>
      </c>
      <c r="D262">
        <v>0</v>
      </c>
      <c r="E262">
        <v>749.88183222753662</v>
      </c>
      <c r="F262">
        <v>29245.333772131067</v>
      </c>
    </row>
    <row r="263" spans="1:6" x14ac:dyDescent="0.2">
      <c r="A263" s="2">
        <f t="shared" si="4"/>
        <v>51043</v>
      </c>
      <c r="B263">
        <v>282.41764384154612</v>
      </c>
      <c r="C263">
        <v>105.97675690809909</v>
      </c>
      <c r="D263">
        <v>0</v>
      </c>
      <c r="E263">
        <v>740.63572704661817</v>
      </c>
      <c r="F263">
        <v>28740.98161283736</v>
      </c>
    </row>
    <row r="264" spans="1:6" x14ac:dyDescent="0.2">
      <c r="A264" s="2">
        <f t="shared" si="4"/>
        <v>51074</v>
      </c>
      <c r="B264">
        <v>205.94910786388786</v>
      </c>
      <c r="C264">
        <v>86.388461620436445</v>
      </c>
      <c r="D264">
        <v>0</v>
      </c>
      <c r="E264">
        <v>740.5235170449057</v>
      </c>
      <c r="F264">
        <v>28178.829402310686</v>
      </c>
    </row>
    <row r="265" spans="1:6" x14ac:dyDescent="0.2">
      <c r="A265" s="2">
        <f t="shared" si="4"/>
        <v>51104</v>
      </c>
      <c r="B265">
        <v>813.0528544460683</v>
      </c>
      <c r="C265">
        <v>242.33537533464212</v>
      </c>
      <c r="D265">
        <v>0</v>
      </c>
      <c r="E265">
        <v>738.67991226764502</v>
      </c>
      <c r="F265">
        <v>28068.527336682757</v>
      </c>
    </row>
    <row r="266" spans="1:6" x14ac:dyDescent="0.2">
      <c r="A266" s="2">
        <f t="shared" si="4"/>
        <v>51135</v>
      </c>
      <c r="B266">
        <v>1014.1248773818922</v>
      </c>
      <c r="C266">
        <v>294.22364243354684</v>
      </c>
      <c r="D266">
        <v>0</v>
      </c>
      <c r="E266">
        <v>736.34620479969237</v>
      </c>
      <c r="F266">
        <v>28109.517030958308</v>
      </c>
    </row>
    <row r="267" spans="1:6" x14ac:dyDescent="0.2">
      <c r="A267" s="2">
        <f t="shared" si="4"/>
        <v>51166</v>
      </c>
      <c r="B267">
        <v>698.67658739453361</v>
      </c>
      <c r="C267">
        <v>213.01624518868815</v>
      </c>
      <c r="D267">
        <v>0</v>
      </c>
      <c r="E267">
        <v>726.46786908991112</v>
      </c>
      <c r="F267">
        <v>27927.258504403977</v>
      </c>
    </row>
    <row r="268" spans="1:6" x14ac:dyDescent="0.2">
      <c r="A268" s="2">
        <f t="shared" si="4"/>
        <v>51195</v>
      </c>
      <c r="B268">
        <v>271.74463019870461</v>
      </c>
      <c r="C268">
        <v>103.48135589706393</v>
      </c>
      <c r="D268">
        <v>0</v>
      </c>
      <c r="E268">
        <v>726.21476006349985</v>
      </c>
      <c r="F268">
        <v>27427.476394714344</v>
      </c>
    </row>
    <row r="269" spans="1:6" x14ac:dyDescent="0.2">
      <c r="A269" s="2">
        <f t="shared" si="4"/>
        <v>51226</v>
      </c>
      <c r="B269">
        <v>678.97148163427471</v>
      </c>
      <c r="C269">
        <v>207.43295954316267</v>
      </c>
      <c r="D269">
        <v>0</v>
      </c>
      <c r="E269">
        <v>716.09581022759846</v>
      </c>
      <c r="F269">
        <v>27240.047492053433</v>
      </c>
    </row>
    <row r="270" spans="1:6" x14ac:dyDescent="0.2">
      <c r="A270" s="2">
        <f t="shared" si="4"/>
        <v>51256</v>
      </c>
      <c r="B270">
        <v>989.45262869342116</v>
      </c>
      <c r="C270">
        <v>286.95835529924921</v>
      </c>
      <c r="D270">
        <v>0</v>
      </c>
      <c r="E270">
        <v>705.59630872125013</v>
      </c>
      <c r="F270">
        <v>27293.683448625587</v>
      </c>
    </row>
    <row r="271" spans="1:6" x14ac:dyDescent="0.2">
      <c r="A271" s="2">
        <f t="shared" si="4"/>
        <v>51287</v>
      </c>
      <c r="B271">
        <v>390.93638882390428</v>
      </c>
      <c r="C271">
        <v>131.34833339915986</v>
      </c>
      <c r="D271">
        <v>0</v>
      </c>
      <c r="E271">
        <v>679.63316299750511</v>
      </c>
      <c r="F271">
        <v>26930.488050689361</v>
      </c>
    </row>
    <row r="272" spans="1:6" x14ac:dyDescent="0.2">
      <c r="A272" s="2">
        <f t="shared" si="4"/>
        <v>51317</v>
      </c>
      <c r="B272">
        <v>588.07228362112699</v>
      </c>
      <c r="C272">
        <v>181.37139597107694</v>
      </c>
      <c r="D272">
        <v>0</v>
      </c>
      <c r="E272">
        <v>669.73820017657079</v>
      </c>
      <c r="F272">
        <v>26723.543952145217</v>
      </c>
    </row>
    <row r="273" spans="1:6" x14ac:dyDescent="0.2">
      <c r="A273" s="2">
        <f t="shared" si="4"/>
        <v>51348</v>
      </c>
      <c r="B273">
        <v>193.54310067095955</v>
      </c>
      <c r="C273">
        <v>80.191944812135205</v>
      </c>
      <c r="D273">
        <v>0</v>
      </c>
      <c r="E273">
        <v>669.657932867049</v>
      </c>
      <c r="F273">
        <v>26222.89934755861</v>
      </c>
    </row>
    <row r="274" spans="1:6" x14ac:dyDescent="0.2">
      <c r="A274" s="2">
        <f t="shared" si="4"/>
        <v>51379</v>
      </c>
      <c r="B274">
        <v>193.3559131114738</v>
      </c>
      <c r="C274">
        <v>80.190806830569784</v>
      </c>
      <c r="D274">
        <v>0</v>
      </c>
      <c r="E274">
        <v>669.52258370592142</v>
      </c>
      <c r="F274">
        <v>25721.161255477553</v>
      </c>
    </row>
    <row r="275" spans="1:6" x14ac:dyDescent="0.2">
      <c r="A275" s="2">
        <f t="shared" si="4"/>
        <v>51409</v>
      </c>
      <c r="B275">
        <v>268.02830852123361</v>
      </c>
      <c r="C275">
        <v>99.402881093266203</v>
      </c>
      <c r="D275">
        <v>0</v>
      </c>
      <c r="E275">
        <v>669.17315354000198</v>
      </c>
      <c r="F275">
        <v>25274.187850018865</v>
      </c>
    </row>
    <row r="276" spans="1:6" x14ac:dyDescent="0.2">
      <c r="A276" s="2">
        <f t="shared" si="4"/>
        <v>51440</v>
      </c>
      <c r="B276">
        <v>193.63997854313649</v>
      </c>
      <c r="C276">
        <v>80.353124083983872</v>
      </c>
      <c r="D276">
        <v>0</v>
      </c>
      <c r="E276">
        <v>669.04605444542301</v>
      </c>
      <c r="F276">
        <v>24771.071974751932</v>
      </c>
    </row>
    <row r="277" spans="1:6" x14ac:dyDescent="0.2">
      <c r="A277" s="2">
        <f t="shared" si="4"/>
        <v>51470</v>
      </c>
      <c r="B277">
        <v>629.62459787780278</v>
      </c>
      <c r="C277">
        <v>191.2471103934013</v>
      </c>
      <c r="D277">
        <v>0</v>
      </c>
      <c r="E277">
        <v>650.64659508118882</v>
      </c>
      <c r="F277">
        <v>24610.398257414614</v>
      </c>
    </row>
    <row r="278" spans="1:6" x14ac:dyDescent="0.2">
      <c r="A278" s="2">
        <f t="shared" si="4"/>
        <v>51501</v>
      </c>
      <c r="B278">
        <v>821.35970150102605</v>
      </c>
      <c r="C278">
        <v>239.2682666443776</v>
      </c>
      <c r="D278">
        <v>0</v>
      </c>
      <c r="E278">
        <v>631.33916730775047</v>
      </c>
      <c r="F278">
        <v>24612.411249724471</v>
      </c>
    </row>
    <row r="279" spans="1:6" x14ac:dyDescent="0.2">
      <c r="A279" s="2">
        <f t="shared" si="4"/>
        <v>51532</v>
      </c>
      <c r="B279">
        <v>593.74301220198288</v>
      </c>
      <c r="C279">
        <v>180.29519091457612</v>
      </c>
      <c r="D279">
        <v>0</v>
      </c>
      <c r="E279">
        <v>621.4019352912552</v>
      </c>
      <c r="F279">
        <v>24456.828332506506</v>
      </c>
    </row>
    <row r="280" spans="1:6" x14ac:dyDescent="0.2">
      <c r="A280" s="2">
        <f t="shared" si="4"/>
        <v>51560</v>
      </c>
      <c r="B280">
        <v>182.20569740871849</v>
      </c>
      <c r="C280">
        <v>74.015499876292481</v>
      </c>
      <c r="D280">
        <v>0</v>
      </c>
      <c r="E280">
        <v>612.9938710905875</v>
      </c>
      <c r="F280">
        <v>24004.064800662392</v>
      </c>
    </row>
    <row r="281" spans="1:6" x14ac:dyDescent="0.2">
      <c r="A281" s="2">
        <f t="shared" si="4"/>
        <v>51591</v>
      </c>
      <c r="B281">
        <v>576.50550546738134</v>
      </c>
      <c r="C281">
        <v>174.6354262270068</v>
      </c>
      <c r="D281">
        <v>0</v>
      </c>
      <c r="E281">
        <v>603.22167785643853</v>
      </c>
      <c r="F281">
        <v>23853.789936811623</v>
      </c>
    </row>
    <row r="282" spans="1:6" x14ac:dyDescent="0.2">
      <c r="A282" s="2">
        <f t="shared" si="4"/>
        <v>51621</v>
      </c>
      <c r="B282">
        <v>955.676570060833</v>
      </c>
      <c r="C282">
        <v>272.19574894225991</v>
      </c>
      <c r="D282">
        <v>0</v>
      </c>
      <c r="E282">
        <v>600.90716779591014</v>
      </c>
      <c r="F282">
        <v>23987.120564499553</v>
      </c>
    </row>
    <row r="283" spans="1:6" x14ac:dyDescent="0.2">
      <c r="A283" s="2">
        <f t="shared" si="4"/>
        <v>51652</v>
      </c>
      <c r="B283">
        <v>303.20063290592219</v>
      </c>
      <c r="C283">
        <v>104.12122982459609</v>
      </c>
      <c r="D283">
        <v>0</v>
      </c>
      <c r="E283">
        <v>592.00612365089171</v>
      </c>
      <c r="F283">
        <v>23645.234524124371</v>
      </c>
    </row>
    <row r="284" spans="1:6" x14ac:dyDescent="0.2">
      <c r="A284" s="2">
        <f t="shared" si="4"/>
        <v>51682</v>
      </c>
      <c r="B284">
        <v>571.7075705102377</v>
      </c>
      <c r="C284">
        <v>173.17179515173132</v>
      </c>
      <c r="D284">
        <v>0</v>
      </c>
      <c r="E284">
        <v>590.74809674151265</v>
      </c>
      <c r="F284">
        <v>23503.335405204434</v>
      </c>
    </row>
    <row r="285" spans="1:6" x14ac:dyDescent="0.2">
      <c r="A285" s="2">
        <f t="shared" si="4"/>
        <v>51713</v>
      </c>
      <c r="B285">
        <v>181.60200053739121</v>
      </c>
      <c r="C285">
        <v>72.682889089048487</v>
      </c>
      <c r="D285">
        <v>0</v>
      </c>
      <c r="E285">
        <v>582.14613889162945</v>
      </c>
      <c r="F285">
        <v>23080.119642043283</v>
      </c>
    </row>
    <row r="286" spans="1:6" x14ac:dyDescent="0.2">
      <c r="A286" s="2">
        <f t="shared" si="4"/>
        <v>51744</v>
      </c>
      <c r="B286">
        <v>181.4254249051408</v>
      </c>
      <c r="C286">
        <v>72.683933341943856</v>
      </c>
      <c r="D286">
        <v>0</v>
      </c>
      <c r="E286">
        <v>581.98814436460691</v>
      </c>
      <c r="F286">
        <v>22655.983719407661</v>
      </c>
    </row>
    <row r="287" spans="1:6" x14ac:dyDescent="0.2">
      <c r="A287" s="2">
        <f t="shared" si="4"/>
        <v>51774</v>
      </c>
      <c r="B287">
        <v>254.13983943386626</v>
      </c>
      <c r="C287">
        <v>91.393191576175113</v>
      </c>
      <c r="D287">
        <v>0</v>
      </c>
      <c r="E287">
        <v>581.61954546055517</v>
      </c>
      <c r="F287">
        <v>22285.319059905003</v>
      </c>
    </row>
    <row r="288" spans="1:6" x14ac:dyDescent="0.2">
      <c r="A288" s="2">
        <f t="shared" si="4"/>
        <v>51805</v>
      </c>
      <c r="B288">
        <v>181.7774624281889</v>
      </c>
      <c r="C288">
        <v>72.867407720939326</v>
      </c>
      <c r="D288">
        <v>0</v>
      </c>
      <c r="E288">
        <v>581.46931792256294</v>
      </c>
      <c r="F288">
        <v>21860.17932085093</v>
      </c>
    </row>
    <row r="289" spans="1:6" x14ac:dyDescent="0.2">
      <c r="A289" s="2">
        <f t="shared" si="4"/>
        <v>51835</v>
      </c>
      <c r="B289">
        <v>605.94987441696696</v>
      </c>
      <c r="C289">
        <v>181.84898657808174</v>
      </c>
      <c r="D289">
        <v>0</v>
      </c>
      <c r="E289">
        <v>580.08214976479542</v>
      </c>
      <c r="F289">
        <v>21750.71295506302</v>
      </c>
    </row>
    <row r="290" spans="1:6" x14ac:dyDescent="0.2">
      <c r="A290" s="2">
        <f t="shared" si="4"/>
        <v>51866</v>
      </c>
      <c r="B290">
        <v>715.29086552394654</v>
      </c>
      <c r="C290">
        <v>209.42551664326376</v>
      </c>
      <c r="D290">
        <v>0</v>
      </c>
      <c r="E290">
        <v>569.87216729895397</v>
      </c>
      <c r="F290">
        <v>21732.988106210636</v>
      </c>
    </row>
    <row r="291" spans="1:6" x14ac:dyDescent="0.2">
      <c r="A291" s="2">
        <f t="shared" si="4"/>
        <v>51897</v>
      </c>
      <c r="B291">
        <v>493.96966703347618</v>
      </c>
      <c r="C291">
        <v>152.07450858234688</v>
      </c>
      <c r="D291">
        <v>0</v>
      </c>
      <c r="E291">
        <v>560.30416318925495</v>
      </c>
      <c r="F291">
        <v>21561.808570301575</v>
      </c>
    </row>
    <row r="292" spans="1:6" x14ac:dyDescent="0.2">
      <c r="A292" s="2">
        <f t="shared" si="4"/>
        <v>51925</v>
      </c>
      <c r="B292">
        <v>170.80049562161665</v>
      </c>
      <c r="C292">
        <v>69.15629724233105</v>
      </c>
      <c r="D292">
        <v>0</v>
      </c>
      <c r="E292">
        <v>560.20487156702086</v>
      </c>
      <c r="F292">
        <v>21150.105363781222</v>
      </c>
    </row>
    <row r="293" spans="1:6" x14ac:dyDescent="0.2">
      <c r="A293" s="2">
        <f t="shared" si="4"/>
        <v>51956</v>
      </c>
      <c r="B293">
        <v>479.07439295314873</v>
      </c>
      <c r="C293">
        <v>147.69157971076532</v>
      </c>
      <c r="D293">
        <v>0</v>
      </c>
      <c r="E293">
        <v>550.80995416138433</v>
      </c>
      <c r="F293">
        <v>20976.640988641517</v>
      </c>
    </row>
    <row r="294" spans="1:6" x14ac:dyDescent="0.2">
      <c r="A294" s="2">
        <f t="shared" si="4"/>
        <v>51986</v>
      </c>
      <c r="B294">
        <v>922.87287994178814</v>
      </c>
      <c r="C294">
        <v>261.8350256563316</v>
      </c>
      <c r="D294">
        <v>0</v>
      </c>
      <c r="E294">
        <v>548.51777588205903</v>
      </c>
      <c r="F294">
        <v>21134.746865319401</v>
      </c>
    </row>
    <row r="295" spans="1:6" x14ac:dyDescent="0.2">
      <c r="A295" s="2">
        <f t="shared" si="4"/>
        <v>52017</v>
      </c>
      <c r="B295">
        <v>288.47797408968722</v>
      </c>
      <c r="C295">
        <v>99.098874122171551</v>
      </c>
      <c r="D295">
        <v>0</v>
      </c>
      <c r="E295">
        <v>548.12833015346519</v>
      </c>
      <c r="F295">
        <v>20821.927024290962</v>
      </c>
    </row>
    <row r="296" spans="1:6" x14ac:dyDescent="0.2">
      <c r="A296" s="2">
        <f t="shared" si="4"/>
        <v>52047</v>
      </c>
      <c r="B296">
        <v>549.35517953662065</v>
      </c>
      <c r="C296">
        <v>166.18583751276873</v>
      </c>
      <c r="D296">
        <v>0</v>
      </c>
      <c r="E296">
        <v>546.88941631847126</v>
      </c>
      <c r="F296">
        <v>20703.456528588515</v>
      </c>
    </row>
    <row r="297" spans="1:6" x14ac:dyDescent="0.2">
      <c r="A297" s="2">
        <f t="shared" si="4"/>
        <v>52078</v>
      </c>
      <c r="B297">
        <v>176.52424746853765</v>
      </c>
      <c r="C297">
        <v>70.547512992181538</v>
      </c>
      <c r="D297">
        <v>0</v>
      </c>
      <c r="E297">
        <v>546.77022373895625</v>
      </c>
      <c r="F297">
        <v>20307.655161439645</v>
      </c>
    </row>
    <row r="298" spans="1:6" x14ac:dyDescent="0.2">
      <c r="A298" s="2">
        <f t="shared" si="4"/>
        <v>52109</v>
      </c>
      <c r="B298">
        <v>176.3431509694806</v>
      </c>
      <c r="C298">
        <v>70.544409644710768</v>
      </c>
      <c r="D298">
        <v>0</v>
      </c>
      <c r="E298">
        <v>546.59900953721103</v>
      </c>
      <c r="F298">
        <v>19910.986871846584</v>
      </c>
    </row>
    <row r="299" spans="1:6" x14ac:dyDescent="0.2">
      <c r="A299" s="2">
        <f t="shared" si="4"/>
        <v>52139</v>
      </c>
      <c r="B299">
        <v>247.1356862143092</v>
      </c>
      <c r="C299">
        <v>88.756921966654573</v>
      </c>
      <c r="D299">
        <v>0</v>
      </c>
      <c r="E299">
        <v>546.22065439315452</v>
      </c>
      <c r="F299">
        <v>19566.414932856616</v>
      </c>
    </row>
    <row r="300" spans="1:6" x14ac:dyDescent="0.2">
      <c r="A300" s="2">
        <f t="shared" si="4"/>
        <v>52170</v>
      </c>
      <c r="B300">
        <v>176.7308788935905</v>
      </c>
      <c r="C300">
        <v>70.734576374904023</v>
      </c>
      <c r="D300">
        <v>0</v>
      </c>
      <c r="E300">
        <v>546.0568203793905</v>
      </c>
      <c r="F300">
        <v>19168.875552892459</v>
      </c>
    </row>
    <row r="301" spans="1:6" x14ac:dyDescent="0.2">
      <c r="A301" s="2">
        <f t="shared" si="4"/>
        <v>52200</v>
      </c>
      <c r="B301">
        <v>589.36847458073748</v>
      </c>
      <c r="C301">
        <v>176.76258700001753</v>
      </c>
      <c r="D301">
        <v>0</v>
      </c>
      <c r="E301">
        <v>544.67750089241588</v>
      </c>
      <c r="F301">
        <v>19078.461156986348</v>
      </c>
    </row>
    <row r="302" spans="1:6" x14ac:dyDescent="0.2">
      <c r="A302" s="2">
        <f t="shared" si="4"/>
        <v>52231</v>
      </c>
      <c r="B302">
        <v>614.44892497947399</v>
      </c>
      <c r="C302">
        <v>182.01920982684885</v>
      </c>
      <c r="D302">
        <v>0</v>
      </c>
      <c r="E302">
        <v>526.63214266793352</v>
      </c>
      <c r="F302">
        <v>19025.719461061046</v>
      </c>
    </row>
    <row r="303" spans="1:6" x14ac:dyDescent="0.2">
      <c r="A303" s="2">
        <f t="shared" si="4"/>
        <v>52262</v>
      </c>
      <c r="B303">
        <v>474.1351249042329</v>
      </c>
      <c r="C303">
        <v>146.15861411332966</v>
      </c>
      <c r="D303">
        <v>0</v>
      </c>
      <c r="E303">
        <v>525.63630900727651</v>
      </c>
      <c r="F303">
        <v>18870.541685659766</v>
      </c>
    </row>
    <row r="304" spans="1:6" x14ac:dyDescent="0.2">
      <c r="A304" s="2">
        <f t="shared" si="4"/>
        <v>52290</v>
      </c>
      <c r="B304">
        <v>159.9206122160264</v>
      </c>
      <c r="C304">
        <v>65.540963556273866</v>
      </c>
      <c r="D304">
        <v>0</v>
      </c>
      <c r="E304">
        <v>525.53928302668874</v>
      </c>
      <c r="F304">
        <v>18481.517581781678</v>
      </c>
    </row>
    <row r="305" spans="1:6" x14ac:dyDescent="0.2">
      <c r="A305" s="2">
        <f t="shared" si="4"/>
        <v>52321</v>
      </c>
      <c r="B305">
        <v>459.47905034572665</v>
      </c>
      <c r="C305">
        <v>142.51402554033834</v>
      </c>
      <c r="D305">
        <v>0</v>
      </c>
      <c r="E305">
        <v>524.51963509072539</v>
      </c>
      <c r="F305">
        <v>18315.229860413405</v>
      </c>
    </row>
    <row r="306" spans="1:6" x14ac:dyDescent="0.2">
      <c r="A306" s="2">
        <f t="shared" si="4"/>
        <v>52351</v>
      </c>
      <c r="B306">
        <v>891.11889032192767</v>
      </c>
      <c r="C306">
        <v>253.52508861949252</v>
      </c>
      <c r="D306">
        <v>0</v>
      </c>
      <c r="E306">
        <v>522.27302459920554</v>
      </c>
      <c r="F306">
        <v>18471.446227004661</v>
      </c>
    </row>
    <row r="307" spans="1:6" x14ac:dyDescent="0.2">
      <c r="A307" s="2">
        <f t="shared" si="4"/>
        <v>52382</v>
      </c>
      <c r="B307">
        <v>274.35838679553069</v>
      </c>
      <c r="C307">
        <v>95.316543620203248</v>
      </c>
      <c r="D307">
        <v>0</v>
      </c>
      <c r="E307">
        <v>521.8945324962159</v>
      </c>
      <c r="F307">
        <v>18169.837938540706</v>
      </c>
    </row>
    <row r="308" spans="1:6" x14ac:dyDescent="0.2">
      <c r="A308" s="2">
        <f t="shared" si="4"/>
        <v>52412</v>
      </c>
      <c r="B308">
        <v>385.8483577243511</v>
      </c>
      <c r="C308">
        <v>123.00160490677662</v>
      </c>
      <c r="D308">
        <v>0</v>
      </c>
      <c r="E308">
        <v>505.06582525557519</v>
      </c>
      <c r="F308">
        <v>17968.189813836456</v>
      </c>
    </row>
    <row r="309" spans="1:6" x14ac:dyDescent="0.2">
      <c r="A309" s="2">
        <f t="shared" si="4"/>
        <v>52443</v>
      </c>
      <c r="B309">
        <v>165.41899303778217</v>
      </c>
      <c r="C309">
        <v>66.472900458681195</v>
      </c>
      <c r="D309">
        <v>0</v>
      </c>
      <c r="E309">
        <v>504.92543656624463</v>
      </c>
      <c r="F309">
        <v>17602.331162850158</v>
      </c>
    </row>
    <row r="310" spans="1:6" x14ac:dyDescent="0.2">
      <c r="A310" s="2">
        <f t="shared" si="4"/>
        <v>52474</v>
      </c>
      <c r="B310">
        <v>165.24879229925432</v>
      </c>
      <c r="C310">
        <v>66.471385664558895</v>
      </c>
      <c r="D310">
        <v>0</v>
      </c>
      <c r="E310">
        <v>504.75425829471419</v>
      </c>
      <c r="F310">
        <v>17235.658088142682</v>
      </c>
    </row>
    <row r="311" spans="1:6" x14ac:dyDescent="0.2">
      <c r="A311" s="2">
        <f t="shared" si="4"/>
        <v>52504</v>
      </c>
      <c r="B311">
        <v>234.18487058868317</v>
      </c>
      <c r="C311">
        <v>84.204399843909329</v>
      </c>
      <c r="D311">
        <v>0</v>
      </c>
      <c r="E311">
        <v>504.37932578289156</v>
      </c>
      <c r="F311">
        <v>16919.744275503741</v>
      </c>
    </row>
    <row r="312" spans="1:6" x14ac:dyDescent="0.2">
      <c r="A312" s="2">
        <f t="shared" si="4"/>
        <v>52535</v>
      </c>
      <c r="B312">
        <v>165.70009585896787</v>
      </c>
      <c r="C312">
        <v>66.675144812629554</v>
      </c>
      <c r="D312">
        <v>0</v>
      </c>
      <c r="E312">
        <v>504.21511281063562</v>
      </c>
      <c r="F312">
        <v>16552.333760591115</v>
      </c>
    </row>
    <row r="313" spans="1:6" x14ac:dyDescent="0.2">
      <c r="A313" s="2">
        <f t="shared" si="4"/>
        <v>52565</v>
      </c>
      <c r="B313">
        <v>567.1016430883783</v>
      </c>
      <c r="C313">
        <v>169.82730990427643</v>
      </c>
      <c r="D313">
        <v>0</v>
      </c>
      <c r="E313">
        <v>502.85657046232905</v>
      </c>
      <c r="F313">
        <v>16483.710789000561</v>
      </c>
    </row>
    <row r="314" spans="1:6" x14ac:dyDescent="0.2">
      <c r="A314" s="2">
        <f t="shared" si="4"/>
        <v>52596</v>
      </c>
      <c r="B314">
        <v>524.04838571354105</v>
      </c>
      <c r="C314">
        <v>158.51108626477725</v>
      </c>
      <c r="D314">
        <v>0</v>
      </c>
      <c r="E314">
        <v>493.33318588257703</v>
      </c>
      <c r="F314">
        <v>16392.720941846841</v>
      </c>
    </row>
    <row r="315" spans="1:6" x14ac:dyDescent="0.2">
      <c r="A315" s="2">
        <f t="shared" si="4"/>
        <v>52627</v>
      </c>
      <c r="B315">
        <v>461.04778893001782</v>
      </c>
      <c r="C315">
        <v>142.49676770871127</v>
      </c>
      <c r="D315">
        <v>0</v>
      </c>
      <c r="E315">
        <v>492.32747368137393</v>
      </c>
      <c r="F315">
        <v>16256.332262691623</v>
      </c>
    </row>
    <row r="316" spans="1:6" x14ac:dyDescent="0.2">
      <c r="A316" s="2">
        <f t="shared" si="4"/>
        <v>52656</v>
      </c>
      <c r="B316">
        <v>155.55785591002575</v>
      </c>
      <c r="C316">
        <v>64.119891520490597</v>
      </c>
      <c r="D316">
        <v>0</v>
      </c>
      <c r="E316">
        <v>492.21489704315633</v>
      </c>
      <c r="F316">
        <v>15892.632034238723</v>
      </c>
    </row>
    <row r="317" spans="1:6" x14ac:dyDescent="0.2">
      <c r="A317" s="2">
        <f t="shared" si="4"/>
        <v>52687</v>
      </c>
      <c r="B317">
        <v>303.49549751618065</v>
      </c>
      <c r="C317">
        <v>101.36562038620868</v>
      </c>
      <c r="D317">
        <v>0</v>
      </c>
      <c r="E317">
        <v>475.33410394108074</v>
      </c>
      <c r="F317">
        <v>15655.675000667914</v>
      </c>
    </row>
    <row r="318" spans="1:6" x14ac:dyDescent="0.2">
      <c r="A318" s="2">
        <f t="shared" si="4"/>
        <v>52717</v>
      </c>
      <c r="B318">
        <v>724.48536179838118</v>
      </c>
      <c r="C318">
        <v>208.32971359426867</v>
      </c>
      <c r="D318">
        <v>0</v>
      </c>
      <c r="E318">
        <v>457.34120826885538</v>
      </c>
      <c r="F318">
        <v>15750.196193004784</v>
      </c>
    </row>
    <row r="319" spans="1:6" x14ac:dyDescent="0.2">
      <c r="A319" s="2">
        <f t="shared" si="4"/>
        <v>52748</v>
      </c>
      <c r="B319">
        <v>266.78687518345936</v>
      </c>
      <c r="C319">
        <v>90.940833628968193</v>
      </c>
      <c r="D319">
        <v>0</v>
      </c>
      <c r="E319">
        <v>456.91495239170337</v>
      </c>
      <c r="F319">
        <v>15505.049614211164</v>
      </c>
    </row>
    <row r="320" spans="1:6" x14ac:dyDescent="0.2">
      <c r="A320" s="2">
        <f t="shared" si="4"/>
        <v>52778</v>
      </c>
      <c r="B320">
        <v>233.1343034394113</v>
      </c>
      <c r="C320">
        <v>81.078597953964561</v>
      </c>
      <c r="D320">
        <v>0</v>
      </c>
      <c r="E320">
        <v>440.33570631907997</v>
      </c>
      <c r="F320">
        <v>15252.132826239693</v>
      </c>
    </row>
    <row r="321" spans="1:6" x14ac:dyDescent="0.2">
      <c r="A321" s="2">
        <f t="shared" si="4"/>
        <v>52809</v>
      </c>
      <c r="B321">
        <v>160.75769766655162</v>
      </c>
      <c r="C321">
        <v>62.543026128263378</v>
      </c>
      <c r="D321">
        <v>0</v>
      </c>
      <c r="E321">
        <v>440.14494694958643</v>
      </c>
      <c r="F321">
        <v>14944.988922568991</v>
      </c>
    </row>
    <row r="322" spans="1:6" x14ac:dyDescent="0.2">
      <c r="A322" s="2">
        <f t="shared" si="4"/>
        <v>52840</v>
      </c>
      <c r="B322">
        <v>160.58330929155071</v>
      </c>
      <c r="C322">
        <v>62.532315580251236</v>
      </c>
      <c r="D322">
        <v>0</v>
      </c>
      <c r="E322">
        <v>439.94402931911333</v>
      </c>
      <c r="F322">
        <v>14637.181738837911</v>
      </c>
    </row>
    <row r="323" spans="1:6" x14ac:dyDescent="0.2">
      <c r="A323" s="2">
        <f t="shared" si="4"/>
        <v>52870</v>
      </c>
      <c r="B323">
        <v>227.6973689916199</v>
      </c>
      <c r="C323">
        <v>79.793533920380568</v>
      </c>
      <c r="D323">
        <v>0</v>
      </c>
      <c r="E323">
        <v>439.54270541751987</v>
      </c>
      <c r="F323">
        <v>14378.926687725478</v>
      </c>
    </row>
    <row r="324" spans="1:6" x14ac:dyDescent="0.2">
      <c r="A324" s="2">
        <f t="shared" si="4"/>
        <v>52901</v>
      </c>
      <c r="B324">
        <v>161.06570238355164</v>
      </c>
      <c r="C324">
        <v>62.736949665547684</v>
      </c>
      <c r="D324">
        <v>0</v>
      </c>
      <c r="E324">
        <v>439.3483719464225</v>
      </c>
      <c r="F324">
        <v>14070.701871341249</v>
      </c>
    </row>
    <row r="325" spans="1:6" x14ac:dyDescent="0.2">
      <c r="A325" s="2">
        <f t="shared" si="4"/>
        <v>52931</v>
      </c>
      <c r="B325">
        <v>551.4909031038377</v>
      </c>
      <c r="C325">
        <v>163.07578789492501</v>
      </c>
      <c r="D325">
        <v>0</v>
      </c>
      <c r="E325">
        <v>437.98060163680242</v>
      </c>
      <c r="F325">
        <v>14053.228202597076</v>
      </c>
    </row>
    <row r="326" spans="1:6" x14ac:dyDescent="0.2">
      <c r="A326" s="2">
        <f t="shared" ref="A326:A389" si="5">DATE(YEAR(A325),MONTH(A325)+2,1)-1</f>
        <v>52962</v>
      </c>
      <c r="B326">
        <v>438.68438971387923</v>
      </c>
      <c r="C326">
        <v>133.59816979122689</v>
      </c>
      <c r="D326">
        <v>0</v>
      </c>
      <c r="E326">
        <v>428.86738065877603</v>
      </c>
      <c r="F326">
        <v>13961.499006394721</v>
      </c>
    </row>
    <row r="327" spans="1:6" x14ac:dyDescent="0.2">
      <c r="A327" s="2">
        <f t="shared" si="5"/>
        <v>52993</v>
      </c>
      <c r="B327">
        <v>448.27658336098239</v>
      </c>
      <c r="C327">
        <v>136.21037669404447</v>
      </c>
      <c r="D327">
        <v>0</v>
      </c>
      <c r="E327">
        <v>427.8367837863924</v>
      </c>
      <c r="F327">
        <v>13877.889982823554</v>
      </c>
    </row>
    <row r="328" spans="1:6" x14ac:dyDescent="0.2">
      <c r="A328" s="2">
        <f t="shared" si="5"/>
        <v>53021</v>
      </c>
      <c r="B328">
        <v>151.3024052983202</v>
      </c>
      <c r="C328">
        <v>60.022010216778114</v>
      </c>
      <c r="D328">
        <v>0</v>
      </c>
      <c r="E328">
        <v>427.69318959526714</v>
      </c>
      <c r="F328">
        <v>13573.446141043019</v>
      </c>
    </row>
    <row r="329" spans="1:6" x14ac:dyDescent="0.2">
      <c r="A329" s="2">
        <f t="shared" si="5"/>
        <v>53052</v>
      </c>
      <c r="B329">
        <v>225.86963772116758</v>
      </c>
      <c r="C329">
        <v>78.573692127978362</v>
      </c>
      <c r="D329">
        <v>0</v>
      </c>
      <c r="E329">
        <v>419.34756092066914</v>
      </c>
      <c r="F329">
        <v>13332.662165006999</v>
      </c>
    </row>
    <row r="330" spans="1:6" x14ac:dyDescent="0.2">
      <c r="A330" s="2">
        <f t="shared" si="5"/>
        <v>53082</v>
      </c>
      <c r="B330">
        <v>639.01000972056477</v>
      </c>
      <c r="C330">
        <v>184.42803344666743</v>
      </c>
      <c r="D330">
        <v>0</v>
      </c>
      <c r="E330">
        <v>410.18347395793961</v>
      </c>
      <c r="F330">
        <v>13407.773639330098</v>
      </c>
    </row>
    <row r="331" spans="1:6" x14ac:dyDescent="0.2">
      <c r="A331" s="2">
        <f t="shared" si="5"/>
        <v>53113</v>
      </c>
      <c r="B331">
        <v>259.39869593230492</v>
      </c>
      <c r="C331">
        <v>87.075606528770621</v>
      </c>
      <c r="D331">
        <v>0</v>
      </c>
      <c r="E331">
        <v>409.73162687139074</v>
      </c>
      <c r="F331">
        <v>13201.251099824727</v>
      </c>
    </row>
    <row r="332" spans="1:6" x14ac:dyDescent="0.2">
      <c r="A332" s="2">
        <f t="shared" si="5"/>
        <v>53143</v>
      </c>
      <c r="B332">
        <v>226.62769220974073</v>
      </c>
      <c r="C332">
        <v>78.716743722290389</v>
      </c>
      <c r="D332">
        <v>0</v>
      </c>
      <c r="E332">
        <v>409.32331151187043</v>
      </c>
      <c r="F332">
        <v>12970.248991741904</v>
      </c>
    </row>
    <row r="333" spans="1:6" x14ac:dyDescent="0.2">
      <c r="A333" s="2">
        <f t="shared" si="5"/>
        <v>53174</v>
      </c>
      <c r="B333">
        <v>156.20860823223327</v>
      </c>
      <c r="C333">
        <v>60.675723488877928</v>
      </c>
      <c r="D333">
        <v>0</v>
      </c>
      <c r="E333">
        <v>409.12089579861237</v>
      </c>
      <c r="F333">
        <v>12686.539101745966</v>
      </c>
    </row>
    <row r="334" spans="1:6" x14ac:dyDescent="0.2">
      <c r="A334" s="2">
        <f t="shared" si="5"/>
        <v>53205</v>
      </c>
      <c r="B334">
        <v>86.98864428881086</v>
      </c>
      <c r="C334">
        <v>42.303442145268491</v>
      </c>
      <c r="D334">
        <v>0</v>
      </c>
      <c r="E334">
        <v>401.14671520040196</v>
      </c>
      <c r="F334">
        <v>12359.302158807004</v>
      </c>
    </row>
    <row r="335" spans="1:6" x14ac:dyDescent="0.2">
      <c r="A335" s="2">
        <f t="shared" si="5"/>
        <v>53235</v>
      </c>
      <c r="B335">
        <v>221.37084520600595</v>
      </c>
      <c r="C335">
        <v>76.82562403036755</v>
      </c>
      <c r="D335">
        <v>0</v>
      </c>
      <c r="E335">
        <v>400.72382638368663</v>
      </c>
      <c r="F335">
        <v>12131.594304341261</v>
      </c>
    </row>
    <row r="336" spans="1:6" x14ac:dyDescent="0.2">
      <c r="A336" s="2">
        <f t="shared" si="5"/>
        <v>53266</v>
      </c>
      <c r="B336">
        <v>156.54163766540316</v>
      </c>
      <c r="C336">
        <v>60.227677282592843</v>
      </c>
      <c r="D336">
        <v>0</v>
      </c>
      <c r="E336">
        <v>400.51389795002723</v>
      </c>
      <c r="F336">
        <v>11855.340572239977</v>
      </c>
    </row>
    <row r="337" spans="1:6" x14ac:dyDescent="0.2">
      <c r="A337" s="2">
        <f t="shared" si="5"/>
        <v>53296</v>
      </c>
      <c r="B337">
        <v>536.25673717339043</v>
      </c>
      <c r="C337">
        <v>157.81667703363286</v>
      </c>
      <c r="D337">
        <v>0</v>
      </c>
      <c r="E337">
        <v>399.15117821535461</v>
      </c>
      <c r="F337">
        <v>11861.939284611151</v>
      </c>
    </row>
    <row r="338" spans="1:6" x14ac:dyDescent="0.2">
      <c r="A338" s="2">
        <f t="shared" si="5"/>
        <v>53327</v>
      </c>
      <c r="B338">
        <v>420.87617725503975</v>
      </c>
      <c r="C338">
        <v>127.67957946852218</v>
      </c>
      <c r="D338">
        <v>0</v>
      </c>
      <c r="E338">
        <v>390.36731019922922</v>
      </c>
      <c r="F338">
        <v>11792.093603365496</v>
      </c>
    </row>
    <row r="339" spans="1:6" x14ac:dyDescent="0.2">
      <c r="A339" s="2">
        <f t="shared" si="5"/>
        <v>53358</v>
      </c>
      <c r="B339">
        <v>361.02519561200882</v>
      </c>
      <c r="C339">
        <v>111.8289151205888</v>
      </c>
      <c r="D339">
        <v>0</v>
      </c>
      <c r="E339">
        <v>381.55856218906365</v>
      </c>
      <c r="F339">
        <v>11686.938571401206</v>
      </c>
    </row>
    <row r="340" spans="1:6" x14ac:dyDescent="0.2">
      <c r="A340" s="2">
        <f t="shared" si="5"/>
        <v>53386</v>
      </c>
      <c r="B340">
        <v>141.41266847006364</v>
      </c>
      <c r="C340">
        <v>55.498869205053893</v>
      </c>
      <c r="D340">
        <v>0</v>
      </c>
      <c r="E340">
        <v>381.40071204476999</v>
      </c>
      <c r="F340">
        <v>11418.416289926588</v>
      </c>
    </row>
    <row r="341" spans="1:6" x14ac:dyDescent="0.2">
      <c r="A341" s="2">
        <f t="shared" si="5"/>
        <v>53417</v>
      </c>
      <c r="B341">
        <v>11.550700191862679</v>
      </c>
      <c r="C341">
        <v>20.582387165355687</v>
      </c>
      <c r="D341">
        <v>0</v>
      </c>
      <c r="E341">
        <v>358.12811648504248</v>
      </c>
      <c r="F341">
        <v>11077.601571065297</v>
      </c>
    </row>
    <row r="342" spans="1:6" x14ac:dyDescent="0.2">
      <c r="A342" s="2">
        <f t="shared" si="5"/>
        <v>53447</v>
      </c>
      <c r="B342">
        <v>481.82894808720619</v>
      </c>
      <c r="C342">
        <v>140.46013392517463</v>
      </c>
      <c r="D342">
        <v>0</v>
      </c>
      <c r="E342">
        <v>341.34255626015255</v>
      </c>
      <c r="F342">
        <v>11103.186570487391</v>
      </c>
    </row>
    <row r="343" spans="1:6" x14ac:dyDescent="0.2">
      <c r="A343" s="2">
        <f t="shared" si="5"/>
        <v>53478</v>
      </c>
      <c r="B343">
        <v>246.49321402440023</v>
      </c>
      <c r="C343">
        <v>80.131992077133489</v>
      </c>
      <c r="D343">
        <v>0</v>
      </c>
      <c r="E343">
        <v>340.86082092577294</v>
      </c>
      <c r="F343">
        <v>10954.304743892659</v>
      </c>
    </row>
    <row r="344" spans="1:6" x14ac:dyDescent="0.2">
      <c r="A344" s="2">
        <f t="shared" si="5"/>
        <v>53508</v>
      </c>
      <c r="B344">
        <v>214.59653179648788</v>
      </c>
      <c r="C344">
        <v>71.992583936931439</v>
      </c>
      <c r="D344">
        <v>0</v>
      </c>
      <c r="E344">
        <v>340.44110180345911</v>
      </c>
      <c r="F344">
        <v>10781.741855473349</v>
      </c>
    </row>
    <row r="345" spans="1:6" x14ac:dyDescent="0.2">
      <c r="A345" s="2">
        <f t="shared" si="5"/>
        <v>53539</v>
      </c>
      <c r="B345">
        <v>78.899291448168526</v>
      </c>
      <c r="C345">
        <v>36.577286177608208</v>
      </c>
      <c r="D345">
        <v>0</v>
      </c>
      <c r="E345">
        <v>332.59955311817191</v>
      </c>
      <c r="F345">
        <v>10516.340428278194</v>
      </c>
    </row>
    <row r="346" spans="1:6" x14ac:dyDescent="0.2">
      <c r="A346" s="2">
        <f t="shared" si="5"/>
        <v>53570</v>
      </c>
      <c r="B346">
        <v>78.871357595066101</v>
      </c>
      <c r="C346">
        <v>36.586537004765887</v>
      </c>
      <c r="D346">
        <v>0</v>
      </c>
      <c r="E346">
        <v>332.56294613516036</v>
      </c>
      <c r="F346">
        <v>10250.32607725353</v>
      </c>
    </row>
    <row r="347" spans="1:6" x14ac:dyDescent="0.2">
      <c r="A347" s="2">
        <f t="shared" si="5"/>
        <v>53600</v>
      </c>
      <c r="B347">
        <v>209.56005635707828</v>
      </c>
      <c r="C347">
        <v>70.162610702836929</v>
      </c>
      <c r="D347">
        <v>0</v>
      </c>
      <c r="E347">
        <v>332.12907411593659</v>
      </c>
      <c r="F347">
        <v>10081.244463014289</v>
      </c>
    </row>
    <row r="348" spans="1:6" x14ac:dyDescent="0.2">
      <c r="A348" s="2">
        <f t="shared" si="5"/>
        <v>53631</v>
      </c>
      <c r="B348">
        <v>146.49794049407615</v>
      </c>
      <c r="C348">
        <v>54.016844511058729</v>
      </c>
      <c r="D348">
        <v>0</v>
      </c>
      <c r="E348">
        <v>331.90426415556027</v>
      </c>
      <c r="F348">
        <v>9865.0811963447231</v>
      </c>
    </row>
    <row r="349" spans="1:6" x14ac:dyDescent="0.2">
      <c r="A349" s="2">
        <f t="shared" si="5"/>
        <v>53661</v>
      </c>
      <c r="B349">
        <v>515.77535670827604</v>
      </c>
      <c r="C349">
        <v>148.92274265430009</v>
      </c>
      <c r="D349">
        <v>0</v>
      </c>
      <c r="E349">
        <v>330.54702066989455</v>
      </c>
      <c r="F349">
        <v>9924.1479496022421</v>
      </c>
    </row>
    <row r="350" spans="1:6" x14ac:dyDescent="0.2">
      <c r="A350" s="2">
        <f t="shared" si="5"/>
        <v>53692</v>
      </c>
      <c r="B350">
        <v>409.29723666196315</v>
      </c>
      <c r="C350">
        <v>121.67765140175598</v>
      </c>
      <c r="D350">
        <v>0</v>
      </c>
      <c r="E350">
        <v>329.56226268557413</v>
      </c>
      <c r="F350">
        <v>9905.102713525077</v>
      </c>
    </row>
    <row r="351" spans="1:6" x14ac:dyDescent="0.2">
      <c r="A351" s="2">
        <f t="shared" si="5"/>
        <v>53723</v>
      </c>
      <c r="B351">
        <v>351.00940794106373</v>
      </c>
      <c r="C351">
        <v>106.84459250439946</v>
      </c>
      <c r="D351">
        <v>0</v>
      </c>
      <c r="E351">
        <v>328.73839897229459</v>
      </c>
      <c r="F351">
        <v>9843.523451904377</v>
      </c>
    </row>
    <row r="352" spans="1:6" x14ac:dyDescent="0.2">
      <c r="A352" s="2">
        <f t="shared" si="5"/>
        <v>53751</v>
      </c>
      <c r="B352">
        <v>137.52632602749443</v>
      </c>
      <c r="C352">
        <v>52.08936118180241</v>
      </c>
      <c r="D352">
        <v>0</v>
      </c>
      <c r="E352">
        <v>328.55593769648402</v>
      </c>
      <c r="F352">
        <v>9623.2558470380136</v>
      </c>
    </row>
    <row r="353" spans="1:6" x14ac:dyDescent="0.2">
      <c r="A353" s="2">
        <f t="shared" si="5"/>
        <v>53782</v>
      </c>
      <c r="B353">
        <v>11.22628104839325</v>
      </c>
      <c r="C353">
        <v>19.671426563129085</v>
      </c>
      <c r="D353">
        <v>0</v>
      </c>
      <c r="E353">
        <v>328.72881770594927</v>
      </c>
      <c r="F353">
        <v>9308.4219088747614</v>
      </c>
    </row>
    <row r="354" spans="1:6" x14ac:dyDescent="0.2">
      <c r="A354" s="2">
        <f t="shared" si="5"/>
        <v>53812</v>
      </c>
      <c r="B354">
        <v>468.43950375483445</v>
      </c>
      <c r="C354">
        <v>137.16527920069535</v>
      </c>
      <c r="D354">
        <v>0</v>
      </c>
      <c r="E354">
        <v>327.48699455648983</v>
      </c>
      <c r="F354">
        <v>9333.8182888310948</v>
      </c>
    </row>
    <row r="355" spans="1:6" x14ac:dyDescent="0.2">
      <c r="A355" s="2">
        <f t="shared" si="5"/>
        <v>53843</v>
      </c>
      <c r="B355">
        <v>239.62344282870203</v>
      </c>
      <c r="C355">
        <v>78.500393290867734</v>
      </c>
      <c r="D355">
        <v>0</v>
      </c>
      <c r="E355">
        <v>327.00703149088537</v>
      </c>
      <c r="F355">
        <v>9189.6024135737789</v>
      </c>
    </row>
    <row r="356" spans="1:6" x14ac:dyDescent="0.2">
      <c r="A356" s="2">
        <f t="shared" si="5"/>
        <v>53873</v>
      </c>
      <c r="B356">
        <v>143.1556009837841</v>
      </c>
      <c r="C356">
        <v>53.176902318241837</v>
      </c>
      <c r="D356">
        <v>0</v>
      </c>
      <c r="E356">
        <v>319.09944597594699</v>
      </c>
      <c r="F356">
        <v>8981.8149812505544</v>
      </c>
    </row>
    <row r="357" spans="1:6" x14ac:dyDescent="0.2">
      <c r="A357" s="2">
        <f t="shared" si="5"/>
        <v>53904</v>
      </c>
      <c r="B357">
        <v>76.65878872862217</v>
      </c>
      <c r="C357">
        <v>36.122107521996142</v>
      </c>
      <c r="D357">
        <v>0</v>
      </c>
      <c r="E357">
        <v>319.06687051626221</v>
      </c>
      <c r="F357">
        <v>8724.1357362503932</v>
      </c>
    </row>
    <row r="358" spans="1:6" x14ac:dyDescent="0.2">
      <c r="A358" s="2">
        <f t="shared" si="5"/>
        <v>53935</v>
      </c>
      <c r="B358">
        <v>76.631525468913679</v>
      </c>
      <c r="C358">
        <v>36.126055586564277</v>
      </c>
      <c r="D358">
        <v>0</v>
      </c>
      <c r="E358">
        <v>319.02488863920297</v>
      </c>
      <c r="F358">
        <v>8465.869069166165</v>
      </c>
    </row>
    <row r="359" spans="1:6" x14ac:dyDescent="0.2">
      <c r="A359" s="2">
        <f t="shared" si="5"/>
        <v>53965</v>
      </c>
      <c r="B359">
        <v>137.71450493542255</v>
      </c>
      <c r="C359">
        <v>51.466282978712954</v>
      </c>
      <c r="D359">
        <v>0</v>
      </c>
      <c r="E359">
        <v>311.01844323616154</v>
      </c>
      <c r="F359">
        <v>8260.7520432443271</v>
      </c>
    </row>
    <row r="360" spans="1:6" x14ac:dyDescent="0.2">
      <c r="A360" s="2">
        <f t="shared" si="5"/>
        <v>53996</v>
      </c>
      <c r="B360">
        <v>142.35048605269162</v>
      </c>
      <c r="C360">
        <v>52.687114523548786</v>
      </c>
      <c r="D360">
        <v>0</v>
      </c>
      <c r="E360">
        <v>310.77797236531262</v>
      </c>
      <c r="F360">
        <v>8058.8144663356779</v>
      </c>
    </row>
    <row r="361" spans="1:6" x14ac:dyDescent="0.2">
      <c r="A361" s="2">
        <f t="shared" si="5"/>
        <v>54026</v>
      </c>
      <c r="B361">
        <v>501.42916488391927</v>
      </c>
      <c r="C361">
        <v>144.96636913480992</v>
      </c>
      <c r="D361">
        <v>0</v>
      </c>
      <c r="E361">
        <v>309.4344182174957</v>
      </c>
      <c r="F361">
        <v>8124.5510773355445</v>
      </c>
    </row>
    <row r="362" spans="1:6" x14ac:dyDescent="0.2">
      <c r="A362" s="2">
        <f t="shared" si="5"/>
        <v>54057</v>
      </c>
      <c r="B362">
        <v>332.59828510754915</v>
      </c>
      <c r="C362">
        <v>101.11626802853253</v>
      </c>
      <c r="D362">
        <v>0</v>
      </c>
      <c r="E362">
        <v>300.9301411668427</v>
      </c>
      <c r="F362">
        <v>8073.9637917760783</v>
      </c>
    </row>
    <row r="363" spans="1:6" x14ac:dyDescent="0.2">
      <c r="A363" s="2">
        <f t="shared" si="5"/>
        <v>54088</v>
      </c>
      <c r="B363">
        <v>341.2367264752113</v>
      </c>
      <c r="C363">
        <v>103.45106714600264</v>
      </c>
      <c r="D363">
        <v>0</v>
      </c>
      <c r="E363">
        <v>300.09716735957312</v>
      </c>
      <c r="F363">
        <v>8030.617341804892</v>
      </c>
    </row>
    <row r="364" spans="1:6" x14ac:dyDescent="0.2">
      <c r="A364" s="2">
        <f t="shared" si="5"/>
        <v>54117</v>
      </c>
      <c r="B364">
        <v>133.73353229536895</v>
      </c>
      <c r="C364">
        <v>50.23041538442348</v>
      </c>
      <c r="D364">
        <v>0</v>
      </c>
      <c r="E364">
        <v>299.90314783839443</v>
      </c>
      <c r="F364">
        <v>7833.080551791837</v>
      </c>
    </row>
    <row r="365" spans="1:6" x14ac:dyDescent="0.2">
      <c r="A365" s="2">
        <f t="shared" si="5"/>
        <v>54148</v>
      </c>
      <c r="B365">
        <v>10.909613850312088</v>
      </c>
      <c r="C365">
        <v>18.704528736213792</v>
      </c>
      <c r="D365">
        <v>0</v>
      </c>
      <c r="E365">
        <v>300.05849833355859</v>
      </c>
      <c r="F365">
        <v>7543.6263822744913</v>
      </c>
    </row>
    <row r="366" spans="1:6" x14ac:dyDescent="0.2">
      <c r="A366" s="2">
        <f t="shared" si="5"/>
        <v>54178</v>
      </c>
      <c r="B366">
        <v>326.8950440880169</v>
      </c>
      <c r="C366">
        <v>99.217222216292583</v>
      </c>
      <c r="D366">
        <v>0</v>
      </c>
      <c r="E366">
        <v>283.99250503727598</v>
      </c>
      <c r="F366">
        <v>7505.0310394486014</v>
      </c>
    </row>
    <row r="367" spans="1:6" x14ac:dyDescent="0.2">
      <c r="A367" s="2">
        <f t="shared" si="5"/>
        <v>54209</v>
      </c>
      <c r="B367">
        <v>169.25330246340678</v>
      </c>
      <c r="C367">
        <v>58.225156977975281</v>
      </c>
      <c r="D367">
        <v>0</v>
      </c>
      <c r="E367">
        <v>276.12358091202475</v>
      </c>
      <c r="F367">
        <v>7357.5642871657265</v>
      </c>
    </row>
    <row r="368" spans="1:6" x14ac:dyDescent="0.2">
      <c r="A368" s="2">
        <f t="shared" si="5"/>
        <v>54239</v>
      </c>
      <c r="B368">
        <v>75.481722467214112</v>
      </c>
      <c r="C368">
        <v>33.59248687872158</v>
      </c>
      <c r="D368">
        <v>0</v>
      </c>
      <c r="E368">
        <v>268.51115170463839</v>
      </c>
      <c r="F368">
        <v>7148.2246672647761</v>
      </c>
    </row>
    <row r="369" spans="1:6" x14ac:dyDescent="0.2">
      <c r="A369" s="2">
        <f t="shared" si="5"/>
        <v>54270</v>
      </c>
      <c r="B369">
        <v>10.805699899048442</v>
      </c>
      <c r="C369">
        <v>16.41546360878073</v>
      </c>
      <c r="D369">
        <v>0</v>
      </c>
      <c r="E369">
        <v>261.07551570286699</v>
      </c>
      <c r="F369">
        <v>6898.3299630059573</v>
      </c>
    </row>
    <row r="370" spans="1:6" x14ac:dyDescent="0.2">
      <c r="A370" s="2">
        <f t="shared" si="5"/>
        <v>54301</v>
      </c>
      <c r="B370">
        <v>10.779864097633904</v>
      </c>
      <c r="C370">
        <v>15.830378093414282</v>
      </c>
      <c r="D370">
        <v>0</v>
      </c>
      <c r="E370">
        <v>253.62096598611822</v>
      </c>
      <c r="F370">
        <v>6655.8620766533822</v>
      </c>
    </row>
    <row r="371" spans="1:6" x14ac:dyDescent="0.2">
      <c r="A371" s="2">
        <f t="shared" si="5"/>
        <v>54331</v>
      </c>
      <c r="B371">
        <v>74.545990434949573</v>
      </c>
      <c r="C371">
        <v>31.881183115693133</v>
      </c>
      <c r="D371">
        <v>0</v>
      </c>
      <c r="E371">
        <v>246.47890699854028</v>
      </c>
      <c r="F371">
        <v>6467.6820340460599</v>
      </c>
    </row>
    <row r="372" spans="1:6" x14ac:dyDescent="0.2">
      <c r="A372" s="2">
        <f t="shared" si="5"/>
        <v>54362</v>
      </c>
      <c r="B372">
        <v>74.638824851923971</v>
      </c>
      <c r="C372">
        <v>31.346151560116279</v>
      </c>
      <c r="D372">
        <v>0</v>
      </c>
      <c r="E372">
        <v>238.81470795203768</v>
      </c>
      <c r="F372">
        <v>6287.3520374537902</v>
      </c>
    </row>
    <row r="373" spans="1:6" x14ac:dyDescent="0.2">
      <c r="A373" s="2">
        <f t="shared" si="5"/>
        <v>54392</v>
      </c>
      <c r="B373">
        <v>487.43116463629008</v>
      </c>
      <c r="C373">
        <v>137.40295725888694</v>
      </c>
      <c r="D373">
        <v>0</v>
      </c>
      <c r="E373">
        <v>237.44910006959714</v>
      </c>
      <c r="F373">
        <v>6414.6996029196907</v>
      </c>
    </row>
    <row r="374" spans="1:6" x14ac:dyDescent="0.2">
      <c r="A374" s="2">
        <f t="shared" si="5"/>
        <v>54423</v>
      </c>
      <c r="B374">
        <v>259.22148422633609</v>
      </c>
      <c r="C374">
        <v>78.541535267878487</v>
      </c>
      <c r="D374">
        <v>0</v>
      </c>
      <c r="E374">
        <v>229.18234783471402</v>
      </c>
      <c r="F374">
        <v>6381.2647908618765</v>
      </c>
    </row>
    <row r="375" spans="1:6" x14ac:dyDescent="0.2">
      <c r="A375" s="2">
        <f t="shared" si="5"/>
        <v>54454</v>
      </c>
      <c r="B375">
        <v>331.70253650215045</v>
      </c>
      <c r="C375">
        <v>97.24870869184285</v>
      </c>
      <c r="D375">
        <v>0</v>
      </c>
      <c r="E375">
        <v>228.31734939264945</v>
      </c>
      <c r="F375">
        <v>6402.5074273360988</v>
      </c>
    </row>
    <row r="376" spans="1:6" x14ac:dyDescent="0.2">
      <c r="A376" s="2">
        <f t="shared" si="5"/>
        <v>54482</v>
      </c>
      <c r="B376">
        <v>130.03196447123531</v>
      </c>
      <c r="C376">
        <v>45.523884986758169</v>
      </c>
      <c r="D376">
        <v>0</v>
      </c>
      <c r="E376">
        <v>228.08856630331763</v>
      </c>
      <c r="F376">
        <v>6274.0833855678011</v>
      </c>
    </row>
    <row r="377" spans="1:6" x14ac:dyDescent="0.2">
      <c r="A377" s="2">
        <f t="shared" si="5"/>
        <v>54513</v>
      </c>
      <c r="B377">
        <v>10.600626205240676</v>
      </c>
      <c r="C377">
        <v>14.869077116365407</v>
      </c>
      <c r="D377">
        <v>0</v>
      </c>
      <c r="E377">
        <v>228.20322455767896</v>
      </c>
      <c r="F377">
        <v>6056.464141143415</v>
      </c>
    </row>
    <row r="378" spans="1:6" x14ac:dyDescent="0.2">
      <c r="A378" s="2">
        <f t="shared" si="5"/>
        <v>54543</v>
      </c>
      <c r="B378">
        <v>312.45484094280226</v>
      </c>
      <c r="C378">
        <v>91.863535862172967</v>
      </c>
      <c r="D378">
        <v>0</v>
      </c>
      <c r="E378">
        <v>219.97364985252025</v>
      </c>
      <c r="F378">
        <v>6071.419064543039</v>
      </c>
    </row>
    <row r="379" spans="1:6" x14ac:dyDescent="0.2">
      <c r="A379" s="2">
        <f t="shared" si="5"/>
        <v>54574</v>
      </c>
      <c r="B379">
        <v>159.2861065487939</v>
      </c>
      <c r="C379">
        <v>52.59388327134991</v>
      </c>
      <c r="D379">
        <v>0</v>
      </c>
      <c r="E379">
        <v>219.64560626033219</v>
      </c>
      <c r="F379">
        <v>5972.8383520294874</v>
      </c>
    </row>
    <row r="380" spans="1:6" x14ac:dyDescent="0.2">
      <c r="A380" s="2">
        <f t="shared" si="5"/>
        <v>54604</v>
      </c>
      <c r="B380">
        <v>68.156727335254899</v>
      </c>
      <c r="C380">
        <v>29.213437769224107</v>
      </c>
      <c r="D380">
        <v>0</v>
      </c>
      <c r="E380">
        <v>219.57945473634069</v>
      </c>
      <c r="F380">
        <v>5806.3414904532319</v>
      </c>
    </row>
    <row r="381" spans="1:6" x14ac:dyDescent="0.2">
      <c r="A381" s="2">
        <f t="shared" si="5"/>
        <v>54635</v>
      </c>
      <c r="B381">
        <v>5.2678193622598624</v>
      </c>
      <c r="C381">
        <v>13.070988326549763</v>
      </c>
      <c r="D381">
        <v>0</v>
      </c>
      <c r="E381">
        <v>219.69698494540222</v>
      </c>
      <c r="F381">
        <v>5592.5864975985678</v>
      </c>
    </row>
    <row r="382" spans="1:6" x14ac:dyDescent="0.2">
      <c r="A382" s="2">
        <f t="shared" si="5"/>
        <v>54666</v>
      </c>
      <c r="B382">
        <v>5.2552749089854762</v>
      </c>
      <c r="C382">
        <v>13.065131666447515</v>
      </c>
      <c r="D382">
        <v>0</v>
      </c>
      <c r="E382">
        <v>219.80588398451582</v>
      </c>
      <c r="F382">
        <v>5378.2099027542363</v>
      </c>
    </row>
    <row r="383" spans="1:6" x14ac:dyDescent="0.2">
      <c r="A383" s="2">
        <f t="shared" si="5"/>
        <v>54696</v>
      </c>
      <c r="B383">
        <v>5.2427603282820963</v>
      </c>
      <c r="C383">
        <v>12.500208338045709</v>
      </c>
      <c r="D383">
        <v>0</v>
      </c>
      <c r="E383">
        <v>212.46523957630063</v>
      </c>
      <c r="F383">
        <v>5171.2188744105088</v>
      </c>
    </row>
    <row r="384" spans="1:6" x14ac:dyDescent="0.2">
      <c r="A384" s="2">
        <f t="shared" si="5"/>
        <v>54727</v>
      </c>
      <c r="B384">
        <v>67.322929638685778</v>
      </c>
      <c r="C384">
        <v>28.444395120322685</v>
      </c>
      <c r="D384">
        <v>0</v>
      </c>
      <c r="E384">
        <v>212.37593842630682</v>
      </c>
      <c r="F384">
        <v>5009.9631266980259</v>
      </c>
    </row>
    <row r="385" spans="1:6" x14ac:dyDescent="0.2">
      <c r="A385" s="2">
        <f t="shared" si="5"/>
        <v>54757</v>
      </c>
      <c r="B385">
        <v>468.59323882103172</v>
      </c>
      <c r="C385">
        <v>131.53640992026101</v>
      </c>
      <c r="D385">
        <v>0</v>
      </c>
      <c r="E385">
        <v>211.03694669739147</v>
      </c>
      <c r="F385">
        <v>5147.8429296741369</v>
      </c>
    </row>
    <row r="386" spans="1:6" x14ac:dyDescent="0.2">
      <c r="A386" s="2">
        <f t="shared" si="5"/>
        <v>54788</v>
      </c>
      <c r="B386">
        <v>246.92549563774509</v>
      </c>
      <c r="C386">
        <v>74.7061628992208</v>
      </c>
      <c r="D386">
        <v>0</v>
      </c>
      <c r="E386">
        <v>210.44671499811875</v>
      </c>
      <c r="F386">
        <v>5121.8018665056106</v>
      </c>
    </row>
    <row r="387" spans="1:6" x14ac:dyDescent="0.2">
      <c r="A387" s="2">
        <f t="shared" si="5"/>
        <v>54819</v>
      </c>
      <c r="B387">
        <v>255.27944726222785</v>
      </c>
      <c r="C387">
        <v>76.372446159124678</v>
      </c>
      <c r="D387">
        <v>0</v>
      </c>
      <c r="E387">
        <v>202.32402011311854</v>
      </c>
      <c r="F387">
        <v>5110.5710634790948</v>
      </c>
    </row>
    <row r="388" spans="1:6" x14ac:dyDescent="0.2">
      <c r="A388" s="2">
        <f t="shared" si="5"/>
        <v>54847</v>
      </c>
      <c r="B388">
        <v>121.27620927322043</v>
      </c>
      <c r="C388">
        <v>42.013283596185701</v>
      </c>
      <c r="D388">
        <v>0</v>
      </c>
      <c r="E388">
        <v>202.09281290053642</v>
      </c>
      <c r="F388">
        <v>4999.9006709806508</v>
      </c>
    </row>
    <row r="389" spans="1:6" x14ac:dyDescent="0.2">
      <c r="A389" s="2">
        <f t="shared" si="5"/>
        <v>54878</v>
      </c>
      <c r="B389">
        <v>5.1681919803575562</v>
      </c>
      <c r="C389">
        <v>12.212727320445904</v>
      </c>
      <c r="D389">
        <v>0</v>
      </c>
      <c r="E389">
        <v>202.20782442292179</v>
      </c>
      <c r="F389">
        <v>4802.5444897619664</v>
      </c>
    </row>
    <row r="390" spans="1:6" x14ac:dyDescent="0.2">
      <c r="A390" s="2">
        <f t="shared" ref="A390:A453" si="6">DATE(YEAR(A389),MONTH(A389)+2,1)-1</f>
        <v>54908</v>
      </c>
      <c r="B390">
        <v>243.33464406042276</v>
      </c>
      <c r="C390">
        <v>72.849814734344093</v>
      </c>
      <c r="D390">
        <v>0</v>
      </c>
      <c r="E390">
        <v>194.26255166360892</v>
      </c>
      <c r="F390">
        <v>4790.1933797667316</v>
      </c>
    </row>
    <row r="391" spans="1:6" x14ac:dyDescent="0.2">
      <c r="A391" s="2">
        <f t="shared" si="6"/>
        <v>54939</v>
      </c>
      <c r="B391">
        <v>154.84307973647179</v>
      </c>
      <c r="C391">
        <v>50.174082489566047</v>
      </c>
      <c r="D391">
        <v>0</v>
      </c>
      <c r="E391">
        <v>193.91905207067043</v>
      </c>
      <c r="F391">
        <v>4712.3405504995244</v>
      </c>
    </row>
    <row r="392" spans="1:6" x14ac:dyDescent="0.2">
      <c r="A392" s="2">
        <f t="shared" si="6"/>
        <v>54969</v>
      </c>
      <c r="B392">
        <v>66.278559777369352</v>
      </c>
      <c r="C392">
        <v>27.450439904375532</v>
      </c>
      <c r="D392">
        <v>0</v>
      </c>
      <c r="E392">
        <v>193.84128180689066</v>
      </c>
      <c r="F392">
        <v>4568.5393802109365</v>
      </c>
    </row>
    <row r="393" spans="1:6" x14ac:dyDescent="0.2">
      <c r="A393" s="2">
        <f t="shared" si="6"/>
        <v>55000</v>
      </c>
      <c r="B393">
        <v>5.1189322721905546</v>
      </c>
      <c r="C393">
        <v>11.751907473649251</v>
      </c>
      <c r="D393">
        <v>0</v>
      </c>
      <c r="E393">
        <v>193.9440842354021</v>
      </c>
      <c r="F393">
        <v>4378.8321687430971</v>
      </c>
    </row>
    <row r="394" spans="1:6" x14ac:dyDescent="0.2">
      <c r="A394" s="2">
        <f t="shared" si="6"/>
        <v>55031</v>
      </c>
      <c r="B394">
        <v>5.1066908816570615</v>
      </c>
      <c r="C394">
        <v>11.746243167813077</v>
      </c>
      <c r="D394">
        <v>0</v>
      </c>
      <c r="E394">
        <v>194.03848219749662</v>
      </c>
      <c r="F394">
        <v>4188.5726150899436</v>
      </c>
    </row>
    <row r="395" spans="1:6" x14ac:dyDescent="0.2">
      <c r="A395" s="2">
        <f t="shared" si="6"/>
        <v>55061</v>
      </c>
      <c r="B395">
        <v>5.0944787651272527</v>
      </c>
      <c r="C395">
        <v>11.740589320679632</v>
      </c>
      <c r="D395">
        <v>0</v>
      </c>
      <c r="E395">
        <v>194.13299689908456</v>
      </c>
      <c r="F395">
        <v>3997.7593071489209</v>
      </c>
    </row>
    <row r="396" spans="1:6" x14ac:dyDescent="0.2">
      <c r="A396" s="2">
        <f t="shared" si="6"/>
        <v>55092</v>
      </c>
      <c r="B396">
        <v>5.0822958525954123</v>
      </c>
      <c r="C396">
        <v>11.190761056835136</v>
      </c>
      <c r="D396">
        <v>0</v>
      </c>
      <c r="E396">
        <v>186.89780574548664</v>
      </c>
      <c r="F396">
        <v>3814.2648368577766</v>
      </c>
    </row>
    <row r="397" spans="1:6" x14ac:dyDescent="0.2">
      <c r="A397" s="2">
        <f t="shared" si="6"/>
        <v>55122</v>
      </c>
      <c r="B397">
        <v>395.0999903199484</v>
      </c>
      <c r="C397">
        <v>110.82607279642957</v>
      </c>
      <c r="D397">
        <v>0</v>
      </c>
      <c r="E397">
        <v>178.41764418654219</v>
      </c>
      <c r="F397">
        <v>3929.1963255841238</v>
      </c>
    </row>
    <row r="398" spans="1:6" x14ac:dyDescent="0.2">
      <c r="A398" s="2">
        <f t="shared" si="6"/>
        <v>55153</v>
      </c>
      <c r="B398">
        <v>240.12069795209044</v>
      </c>
      <c r="C398">
        <v>71.109095889514421</v>
      </c>
      <c r="D398">
        <v>0</v>
      </c>
      <c r="E398">
        <v>177.81266767314534</v>
      </c>
      <c r="F398">
        <v>3929.7439298973682</v>
      </c>
    </row>
    <row r="399" spans="1:6" x14ac:dyDescent="0.2">
      <c r="A399" s="2">
        <f t="shared" si="6"/>
        <v>55184</v>
      </c>
      <c r="B399">
        <v>187.81741160815398</v>
      </c>
      <c r="C399">
        <v>57.20681651916734</v>
      </c>
      <c r="D399">
        <v>0</v>
      </c>
      <c r="E399">
        <v>170.00304492527115</v>
      </c>
      <c r="F399">
        <v>3899.7611063363252</v>
      </c>
    </row>
    <row r="400" spans="1:6" x14ac:dyDescent="0.2">
      <c r="A400" s="2">
        <f t="shared" si="6"/>
        <v>55212</v>
      </c>
      <c r="B400">
        <v>117.89916911642723</v>
      </c>
      <c r="C400">
        <v>39.293684298749639</v>
      </c>
      <c r="D400">
        <v>0</v>
      </c>
      <c r="E400">
        <v>169.75130235627381</v>
      </c>
      <c r="F400">
        <v>3817.9531223125732</v>
      </c>
    </row>
    <row r="401" spans="1:6" x14ac:dyDescent="0.2">
      <c r="A401" s="2">
        <f t="shared" si="6"/>
        <v>55243</v>
      </c>
      <c r="B401">
        <v>5.0217130953094555</v>
      </c>
      <c r="C401">
        <v>10.322445771283334</v>
      </c>
      <c r="D401">
        <v>0</v>
      </c>
      <c r="E401">
        <v>169.848149046733</v>
      </c>
      <c r="F401">
        <v>3651.9461879172823</v>
      </c>
    </row>
    <row r="402" spans="1:6" x14ac:dyDescent="0.2">
      <c r="A402" s="2">
        <f t="shared" si="6"/>
        <v>55273</v>
      </c>
      <c r="B402">
        <v>177.76559289080367</v>
      </c>
      <c r="C402">
        <v>54.166341720089719</v>
      </c>
      <c r="D402">
        <v>0</v>
      </c>
      <c r="E402">
        <v>162.20890118115003</v>
      </c>
      <c r="F402">
        <v>3622.0809877790521</v>
      </c>
    </row>
    <row r="403" spans="1:6" x14ac:dyDescent="0.2">
      <c r="A403" s="2">
        <f t="shared" si="6"/>
        <v>55304</v>
      </c>
      <c r="B403">
        <v>63.38444714024876</v>
      </c>
      <c r="C403">
        <v>23.977065988592155</v>
      </c>
      <c r="D403">
        <v>0</v>
      </c>
      <c r="E403">
        <v>147.90294444881732</v>
      </c>
      <c r="F403">
        <v>3522.2583632386286</v>
      </c>
    </row>
    <row r="404" spans="1:6" x14ac:dyDescent="0.2">
      <c r="A404" s="2">
        <f t="shared" si="6"/>
        <v>55334</v>
      </c>
      <c r="B404">
        <v>64.447994354213108</v>
      </c>
      <c r="C404">
        <v>24.255272931315474</v>
      </c>
      <c r="D404">
        <v>0</v>
      </c>
      <c r="E404">
        <v>147.79073134082165</v>
      </c>
      <c r="F404">
        <v>3423.0942705005918</v>
      </c>
    </row>
    <row r="405" spans="1:6" x14ac:dyDescent="0.2">
      <c r="A405" s="2">
        <f t="shared" si="6"/>
        <v>55365</v>
      </c>
      <c r="B405">
        <v>4.9736438779402921</v>
      </c>
      <c r="C405">
        <v>8.9896168495826405</v>
      </c>
      <c r="D405">
        <v>0</v>
      </c>
      <c r="E405">
        <v>147.86815202927093</v>
      </c>
      <c r="F405">
        <v>3279.4066179327237</v>
      </c>
    </row>
    <row r="406" spans="1:6" x14ac:dyDescent="0.2">
      <c r="A406" s="2">
        <f t="shared" si="6"/>
        <v>55396</v>
      </c>
      <c r="B406">
        <v>4.9616986419601039</v>
      </c>
      <c r="C406">
        <v>8.9843954588506634</v>
      </c>
      <c r="D406">
        <v>0</v>
      </c>
      <c r="E406">
        <v>147.93737913024921</v>
      </c>
      <c r="F406">
        <v>3135.2989596570092</v>
      </c>
    </row>
    <row r="407" spans="1:6" x14ac:dyDescent="0.2">
      <c r="A407" s="2">
        <f t="shared" si="6"/>
        <v>55426</v>
      </c>
      <c r="B407">
        <v>4.9497820949383788</v>
      </c>
      <c r="C407">
        <v>8.9791844340660276</v>
      </c>
      <c r="D407">
        <v>0</v>
      </c>
      <c r="E407">
        <v>148.0066990247808</v>
      </c>
      <c r="F407">
        <v>2990.7702155147954</v>
      </c>
    </row>
    <row r="408" spans="1:6" x14ac:dyDescent="0.2">
      <c r="A408" s="2">
        <f t="shared" si="6"/>
        <v>55457</v>
      </c>
      <c r="B408">
        <v>4.9378941679726394</v>
      </c>
      <c r="C408">
        <v>8.9739837506430682</v>
      </c>
      <c r="D408">
        <v>0</v>
      </c>
      <c r="E408">
        <v>148.07611173431559</v>
      </c>
      <c r="F408">
        <v>2845.8193026952649</v>
      </c>
    </row>
    <row r="409" spans="1:6" x14ac:dyDescent="0.2">
      <c r="A409" s="2">
        <f t="shared" si="6"/>
        <v>55487</v>
      </c>
      <c r="B409">
        <v>177.68970358836367</v>
      </c>
      <c r="C409">
        <v>51.971465617710727</v>
      </c>
      <c r="D409">
        <v>0</v>
      </c>
      <c r="E409">
        <v>125.89033307733352</v>
      </c>
      <c r="F409">
        <v>2852.4614164945392</v>
      </c>
    </row>
    <row r="410" spans="1:6" x14ac:dyDescent="0.2">
      <c r="A410" s="21">
        <f t="shared" si="6"/>
        <v>55518</v>
      </c>
      <c r="B410">
        <v>233.48234821496271</v>
      </c>
      <c r="C410">
        <v>66.345378256503125</v>
      </c>
      <c r="D410">
        <v>0</v>
      </c>
      <c r="E410">
        <v>125.23944408756749</v>
      </c>
      <c r="F410">
        <v>2901.1890555668433</v>
      </c>
    </row>
    <row r="411" spans="1:6" x14ac:dyDescent="0.2">
      <c r="A411" s="2">
        <f t="shared" si="6"/>
        <v>55549</v>
      </c>
      <c r="B411">
        <v>182.57997532921718</v>
      </c>
      <c r="C411">
        <v>53.338147059087589</v>
      </c>
      <c r="D411">
        <v>0</v>
      </c>
      <c r="E411">
        <v>124.75831663456209</v>
      </c>
      <c r="F411">
        <v>2912.6624477975411</v>
      </c>
    </row>
    <row r="412" spans="1:6" x14ac:dyDescent="0.2">
      <c r="A412" s="2">
        <f t="shared" si="6"/>
        <v>55578</v>
      </c>
      <c r="B412">
        <v>114.60380781523526</v>
      </c>
      <c r="C412">
        <v>35.924441176374039</v>
      </c>
      <c r="D412">
        <v>0</v>
      </c>
      <c r="E412">
        <v>124.487262104978</v>
      </c>
      <c r="F412">
        <v>2873.8720759515954</v>
      </c>
    </row>
    <row r="413" spans="1:6" x14ac:dyDescent="0.2">
      <c r="A413" s="2">
        <f t="shared" si="6"/>
        <v>55609</v>
      </c>
      <c r="B413">
        <v>4.8787917395649085</v>
      </c>
      <c r="C413">
        <v>7.7625727580560309</v>
      </c>
      <c r="D413">
        <v>0</v>
      </c>
      <c r="E413">
        <v>124.55857582717799</v>
      </c>
      <c r="F413">
        <v>2753.3537844707926</v>
      </c>
    </row>
    <row r="414" spans="1:6" x14ac:dyDescent="0.2">
      <c r="A414" s="2">
        <f t="shared" si="6"/>
        <v>55639</v>
      </c>
      <c r="B414">
        <v>172.76584740628766</v>
      </c>
      <c r="C414">
        <v>50.884314287867092</v>
      </c>
      <c r="D414">
        <v>0</v>
      </c>
      <c r="E414">
        <v>124.07495101165314</v>
      </c>
      <c r="F414">
        <v>2757.7940653200353</v>
      </c>
    </row>
    <row r="415" spans="1:6" x14ac:dyDescent="0.2">
      <c r="A415" s="2">
        <f t="shared" si="6"/>
        <v>55670</v>
      </c>
      <c r="B415">
        <v>61.633211261713093</v>
      </c>
      <c r="C415">
        <v>22.368267226777675</v>
      </c>
      <c r="D415">
        <v>0</v>
      </c>
      <c r="E415">
        <v>123.9713848979693</v>
      </c>
      <c r="F415">
        <v>2679.732021238231</v>
      </c>
    </row>
    <row r="416" spans="1:6" x14ac:dyDescent="0.2">
      <c r="A416" s="2">
        <f t="shared" si="6"/>
        <v>55700</v>
      </c>
      <c r="B416">
        <v>62.663978011957077</v>
      </c>
      <c r="C416">
        <v>22.638595851400325</v>
      </c>
      <c r="D416">
        <v>0</v>
      </c>
      <c r="E416">
        <v>123.84875528783336</v>
      </c>
      <c r="F416">
        <v>2602.3649687769444</v>
      </c>
    </row>
    <row r="417" spans="1:6" x14ac:dyDescent="0.2">
      <c r="A417" s="2">
        <f t="shared" si="6"/>
        <v>55731</v>
      </c>
      <c r="B417">
        <v>4.831912937948557</v>
      </c>
      <c r="C417">
        <v>7.7945262485636722</v>
      </c>
      <c r="D417">
        <v>0</v>
      </c>
      <c r="E417">
        <v>123.91238286402941</v>
      </c>
      <c r="F417">
        <v>2481.7598916073357</v>
      </c>
    </row>
    <row r="418" spans="1:6" x14ac:dyDescent="0.2">
      <c r="A418" s="2">
        <f t="shared" si="6"/>
        <v>55762</v>
      </c>
      <c r="B418">
        <v>4.8202637891897462</v>
      </c>
      <c r="C418">
        <v>7.7894912744367293</v>
      </c>
      <c r="D418">
        <v>0</v>
      </c>
      <c r="E418">
        <v>123.96803248322554</v>
      </c>
      <c r="F418">
        <v>2360.8019749273776</v>
      </c>
    </row>
    <row r="419" spans="1:6" x14ac:dyDescent="0.2">
      <c r="A419" s="2">
        <f t="shared" si="6"/>
        <v>55792</v>
      </c>
      <c r="B419">
        <v>4.8086427250981369</v>
      </c>
      <c r="C419">
        <v>7.7844665864411144</v>
      </c>
      <c r="D419">
        <v>0</v>
      </c>
      <c r="E419">
        <v>124.02376169895535</v>
      </c>
      <c r="F419">
        <v>2239.4903068372719</v>
      </c>
    </row>
    <row r="420" spans="1:6" x14ac:dyDescent="0.2">
      <c r="A420" s="2">
        <f t="shared" si="6"/>
        <v>55823</v>
      </c>
      <c r="B420">
        <v>4.7970496779650444</v>
      </c>
      <c r="C420">
        <v>7.7794521600460378</v>
      </c>
      <c r="D420">
        <v>0</v>
      </c>
      <c r="E420">
        <v>124.07957052396111</v>
      </c>
      <c r="F420">
        <v>2117.8239731842414</v>
      </c>
    </row>
    <row r="421" spans="1:6" x14ac:dyDescent="0.2">
      <c r="A421" s="2">
        <f t="shared" si="6"/>
        <v>55853</v>
      </c>
      <c r="B421">
        <v>115.53118507771433</v>
      </c>
      <c r="C421">
        <v>35.716369918680456</v>
      </c>
      <c r="D421">
        <v>0</v>
      </c>
      <c r="E421">
        <v>116.68720087923266</v>
      </c>
      <c r="F421">
        <v>2086.0540941985337</v>
      </c>
    </row>
    <row r="422" spans="1:6" x14ac:dyDescent="0.2">
      <c r="A422" s="2">
        <f t="shared" si="6"/>
        <v>55884</v>
      </c>
      <c r="B422">
        <v>227.00663966692969</v>
      </c>
      <c r="C422">
        <v>64.378960721097897</v>
      </c>
      <c r="D422">
        <v>0</v>
      </c>
      <c r="E422">
        <v>116.03534293402885</v>
      </c>
      <c r="F422">
        <v>2137.6723932738087</v>
      </c>
    </row>
    <row r="423" spans="1:6" x14ac:dyDescent="0.2">
      <c r="A423" s="2">
        <f t="shared" si="6"/>
        <v>55915</v>
      </c>
      <c r="B423">
        <v>57.881770313701608</v>
      </c>
      <c r="C423">
        <v>19.646334452878744</v>
      </c>
      <c r="D423">
        <v>0</v>
      </c>
      <c r="E423">
        <v>94.746785735100119</v>
      </c>
      <c r="F423">
        <v>2086.3543909673176</v>
      </c>
    </row>
    <row r="424" spans="1:6" x14ac:dyDescent="0.2">
      <c r="A424" s="2">
        <f t="shared" si="6"/>
        <v>55943</v>
      </c>
      <c r="B424">
        <v>106.63700551502215</v>
      </c>
      <c r="C424">
        <v>32.188779812762341</v>
      </c>
      <c r="D424">
        <v>0</v>
      </c>
      <c r="E424">
        <v>94.463464757356988</v>
      </c>
      <c r="F424">
        <v>2071.4078254545097</v>
      </c>
    </row>
    <row r="425" spans="1:6" x14ac:dyDescent="0.2">
      <c r="A425" s="2">
        <f t="shared" si="6"/>
        <v>55974</v>
      </c>
      <c r="B425">
        <v>0</v>
      </c>
      <c r="C425">
        <v>4.8208154538019601</v>
      </c>
      <c r="D425">
        <v>0</v>
      </c>
      <c r="E425">
        <v>94.532365824851169</v>
      </c>
      <c r="F425">
        <v>1977.0870059287925</v>
      </c>
    </row>
    <row r="426" spans="1:6" x14ac:dyDescent="0.2">
      <c r="A426" s="2">
        <f t="shared" si="6"/>
        <v>56004</v>
      </c>
      <c r="B426">
        <v>107.52916650003579</v>
      </c>
      <c r="C426">
        <v>31.934461983613541</v>
      </c>
      <c r="D426">
        <v>0</v>
      </c>
      <c r="E426">
        <v>87.306705101105976</v>
      </c>
      <c r="F426">
        <v>1970.1782202922218</v>
      </c>
    </row>
    <row r="427" spans="1:6" x14ac:dyDescent="0.2">
      <c r="A427" s="2">
        <f t="shared" si="6"/>
        <v>56035</v>
      </c>
      <c r="B427">
        <v>55.210055254846885</v>
      </c>
      <c r="C427">
        <v>18.514209563986451</v>
      </c>
      <c r="D427">
        <v>0</v>
      </c>
      <c r="E427">
        <v>87.192487456874858</v>
      </c>
      <c r="F427">
        <v>1924.4680089917242</v>
      </c>
    </row>
    <row r="428" spans="1:6" x14ac:dyDescent="0.2">
      <c r="A428" s="2">
        <f t="shared" si="6"/>
        <v>56065</v>
      </c>
      <c r="B428">
        <v>56.220158325616048</v>
      </c>
      <c r="C428">
        <v>18.782069864273801</v>
      </c>
      <c r="D428">
        <v>0</v>
      </c>
      <c r="E428">
        <v>87.067442288351089</v>
      </c>
      <c r="F428">
        <v>1879.5140353984812</v>
      </c>
    </row>
    <row r="429" spans="1:6" x14ac:dyDescent="0.2">
      <c r="A429" s="2">
        <f t="shared" si="6"/>
        <v>56096</v>
      </c>
      <c r="B429">
        <v>0</v>
      </c>
      <c r="C429">
        <v>4.3531601182519228</v>
      </c>
      <c r="D429">
        <v>0</v>
      </c>
      <c r="E429">
        <v>87.125303146317904</v>
      </c>
      <c r="F429">
        <v>1792.6017393703269</v>
      </c>
    </row>
    <row r="430" spans="1:6" x14ac:dyDescent="0.2">
      <c r="A430" s="2">
        <f t="shared" si="6"/>
        <v>56127</v>
      </c>
      <c r="B430">
        <v>0</v>
      </c>
      <c r="C430">
        <v>4.3525918842831777</v>
      </c>
      <c r="D430">
        <v>0</v>
      </c>
      <c r="E430">
        <v>87.17537594762355</v>
      </c>
      <c r="F430">
        <v>1705.4287905359333</v>
      </c>
    </row>
    <row r="431" spans="1:6" x14ac:dyDescent="0.2">
      <c r="A431" s="2">
        <f t="shared" si="6"/>
        <v>56157</v>
      </c>
      <c r="B431">
        <v>0</v>
      </c>
      <c r="C431">
        <v>4.3520237296697166</v>
      </c>
      <c r="D431">
        <v>0</v>
      </c>
      <c r="E431">
        <v>87.225495264191011</v>
      </c>
      <c r="F431">
        <v>1617.9945090602398</v>
      </c>
    </row>
    <row r="432" spans="1:6" x14ac:dyDescent="0.2">
      <c r="A432" s="2">
        <f t="shared" si="6"/>
        <v>56188</v>
      </c>
      <c r="B432">
        <v>0</v>
      </c>
      <c r="C432">
        <v>4.3514556543997971</v>
      </c>
      <c r="D432">
        <v>0</v>
      </c>
      <c r="E432">
        <v>87.275661126541976</v>
      </c>
      <c r="F432">
        <v>1530.2982134260551</v>
      </c>
    </row>
    <row r="433" spans="1:6" x14ac:dyDescent="0.2">
      <c r="A433" s="2">
        <f t="shared" si="6"/>
        <v>56218</v>
      </c>
      <c r="B433">
        <v>107.63418286350159</v>
      </c>
      <c r="C433">
        <v>32.005971268760611</v>
      </c>
      <c r="D433">
        <v>0</v>
      </c>
      <c r="E433">
        <v>86.974284700332888</v>
      </c>
      <c r="F433">
        <v>1522.6699085480407</v>
      </c>
    </row>
    <row r="434" spans="1:6" x14ac:dyDescent="0.2">
      <c r="A434" s="2">
        <f t="shared" si="6"/>
        <v>56249</v>
      </c>
      <c r="B434">
        <v>216.05256054634384</v>
      </c>
      <c r="C434">
        <v>59.884407590716656</v>
      </c>
      <c r="D434">
        <v>0</v>
      </c>
      <c r="E434">
        <v>86.332878578757459</v>
      </c>
      <c r="F434">
        <v>1596.2044186408141</v>
      </c>
    </row>
    <row r="435" spans="1:6" x14ac:dyDescent="0.2">
      <c r="A435" s="2">
        <f t="shared" si="6"/>
        <v>56280</v>
      </c>
      <c r="B435">
        <v>56.283428320550122</v>
      </c>
      <c r="C435">
        <v>18.888293783962173</v>
      </c>
      <c r="D435">
        <v>0</v>
      </c>
      <c r="E435">
        <v>86.228161753957735</v>
      </c>
      <c r="F435">
        <v>1551.249274845301</v>
      </c>
    </row>
    <row r="436" spans="1:6" x14ac:dyDescent="0.2">
      <c r="A436" s="2">
        <f t="shared" si="6"/>
        <v>56308</v>
      </c>
      <c r="B436">
        <v>50.517055696756692</v>
      </c>
      <c r="C436">
        <v>16.94695785439372</v>
      </c>
      <c r="D436">
        <v>0</v>
      </c>
      <c r="E436">
        <v>79.447397917481567</v>
      </c>
      <c r="F436">
        <v>1509.1406423517521</v>
      </c>
    </row>
    <row r="437" spans="1:6" x14ac:dyDescent="0.2">
      <c r="A437" s="2">
        <f t="shared" si="6"/>
        <v>56339</v>
      </c>
      <c r="B437">
        <v>0</v>
      </c>
      <c r="C437">
        <v>3.9817408035009643</v>
      </c>
      <c r="D437">
        <v>0</v>
      </c>
      <c r="E437">
        <v>79.500068342739851</v>
      </c>
      <c r="F437">
        <v>1429.3252003762082</v>
      </c>
    </row>
    <row r="438" spans="1:6" x14ac:dyDescent="0.2">
      <c r="A438" s="2">
        <f t="shared" si="6"/>
        <v>56369</v>
      </c>
      <c r="B438">
        <v>51.388144932515914</v>
      </c>
      <c r="C438">
        <v>16.698672368631698</v>
      </c>
      <c r="D438">
        <v>0</v>
      </c>
      <c r="E438">
        <v>72.693836330353662</v>
      </c>
      <c r="F438">
        <v>1394.7932969251292</v>
      </c>
    </row>
    <row r="439" spans="1:6" x14ac:dyDescent="0.2">
      <c r="A439" s="2">
        <f t="shared" si="6"/>
        <v>56400</v>
      </c>
      <c r="B439">
        <v>53.682069027189655</v>
      </c>
      <c r="C439">
        <v>17.295725077069655</v>
      </c>
      <c r="D439">
        <v>0</v>
      </c>
      <c r="E439">
        <v>72.566838824832146</v>
      </c>
      <c r="F439">
        <v>1362.0013691661934</v>
      </c>
    </row>
    <row r="440" spans="1:6" x14ac:dyDescent="0.2">
      <c r="A440" s="2">
        <f t="shared" si="6"/>
        <v>56430</v>
      </c>
      <c r="B440">
        <v>0</v>
      </c>
      <c r="C440">
        <v>3.2186999092412254</v>
      </c>
      <c r="D440">
        <v>0</v>
      </c>
      <c r="E440">
        <v>65.727399013079378</v>
      </c>
      <c r="F440">
        <v>1296.3641713271898</v>
      </c>
    </row>
    <row r="441" spans="1:6" x14ac:dyDescent="0.2">
      <c r="A441" s="2">
        <f t="shared" si="6"/>
        <v>56461</v>
      </c>
      <c r="B441">
        <v>0</v>
      </c>
      <c r="C441">
        <v>3.2182913413183942</v>
      </c>
      <c r="D441">
        <v>0</v>
      </c>
      <c r="E441">
        <v>65.765338732695056</v>
      </c>
      <c r="F441">
        <v>1230.5299806795874</v>
      </c>
    </row>
    <row r="442" spans="1:6" x14ac:dyDescent="0.2">
      <c r="A442" s="2">
        <f t="shared" si="6"/>
        <v>56492</v>
      </c>
      <c r="B442">
        <v>0</v>
      </c>
      <c r="C442">
        <v>3.2178828282316196</v>
      </c>
      <c r="D442">
        <v>0</v>
      </c>
      <c r="E442">
        <v>65.803313604755289</v>
      </c>
      <c r="F442">
        <v>1164.4982834338275</v>
      </c>
    </row>
    <row r="443" spans="1:6" x14ac:dyDescent="0.2">
      <c r="A443" s="2">
        <f t="shared" si="6"/>
        <v>56522</v>
      </c>
      <c r="B443">
        <v>0</v>
      </c>
      <c r="C443">
        <v>3.2174743699731385</v>
      </c>
      <c r="D443">
        <v>0</v>
      </c>
      <c r="E443">
        <v>65.841323652395857</v>
      </c>
      <c r="F443">
        <v>1098.2685645290032</v>
      </c>
    </row>
    <row r="444" spans="1:6" x14ac:dyDescent="0.2">
      <c r="A444" s="2">
        <f t="shared" si="6"/>
        <v>56553</v>
      </c>
      <c r="B444">
        <v>0</v>
      </c>
      <c r="C444">
        <v>3.2170659665351851</v>
      </c>
      <c r="D444">
        <v>0</v>
      </c>
      <c r="E444">
        <v>65.879368898769428</v>
      </c>
      <c r="F444">
        <v>1031.8403076297516</v>
      </c>
    </row>
    <row r="445" spans="1:6" x14ac:dyDescent="0.2">
      <c r="A445" s="2">
        <f t="shared" si="6"/>
        <v>56583</v>
      </c>
      <c r="B445">
        <v>50.450202852816147</v>
      </c>
      <c r="C445">
        <v>15.694211239642378</v>
      </c>
      <c r="D445">
        <v>0</v>
      </c>
      <c r="E445">
        <v>58.898317866476397</v>
      </c>
      <c r="F445">
        <v>1010.2047758547953</v>
      </c>
    </row>
    <row r="446" spans="1:6" x14ac:dyDescent="0.2">
      <c r="A446" s="2">
        <f t="shared" si="6"/>
        <v>56614</v>
      </c>
      <c r="B446">
        <v>155.36501932819527</v>
      </c>
      <c r="C446">
        <v>42.357758219297047</v>
      </c>
      <c r="D446">
        <v>0</v>
      </c>
      <c r="E446">
        <v>51.503542699061725</v>
      </c>
      <c r="F446">
        <v>1074.1627265090858</v>
      </c>
    </row>
    <row r="447" spans="1:6" x14ac:dyDescent="0.2">
      <c r="A447" s="2">
        <f t="shared" si="6"/>
        <v>56645</v>
      </c>
      <c r="B447">
        <v>54.725735561103313</v>
      </c>
      <c r="C447">
        <v>16.538331223187228</v>
      </c>
      <c r="D447">
        <v>0</v>
      </c>
      <c r="E447">
        <v>51.374146202547763</v>
      </c>
      <c r="F447">
        <v>1063.5855989149452</v>
      </c>
    </row>
    <row r="448" spans="1:6" x14ac:dyDescent="0.2">
      <c r="A448" s="2">
        <f t="shared" si="6"/>
        <v>56673</v>
      </c>
      <c r="B448">
        <v>49.110588441724374</v>
      </c>
      <c r="C448">
        <v>15.114971432738352</v>
      </c>
      <c r="D448">
        <v>0</v>
      </c>
      <c r="E448">
        <v>51.249023861421882</v>
      </c>
      <c r="F448">
        <v>1048.9161098324337</v>
      </c>
    </row>
    <row r="449" spans="1:6" x14ac:dyDescent="0.2">
      <c r="A449" s="2">
        <f t="shared" si="6"/>
        <v>56704</v>
      </c>
      <c r="B449">
        <v>0</v>
      </c>
      <c r="C449">
        <v>2.510912192970268</v>
      </c>
      <c r="D449">
        <v>0</v>
      </c>
      <c r="E449">
        <v>51.28544682975965</v>
      </c>
      <c r="F449">
        <v>997.66802993093415</v>
      </c>
    </row>
    <row r="450" spans="1:6" x14ac:dyDescent="0.2">
      <c r="A450" s="2">
        <f t="shared" si="6"/>
        <v>56734</v>
      </c>
      <c r="B450">
        <v>0</v>
      </c>
      <c r="C450">
        <v>2.2367276598402608</v>
      </c>
      <c r="D450">
        <v>0</v>
      </c>
      <c r="E450">
        <v>44.965814978763305</v>
      </c>
      <c r="F450">
        <v>952.88926226037643</v>
      </c>
    </row>
    <row r="451" spans="1:6" x14ac:dyDescent="0.2">
      <c r="A451" s="2">
        <f t="shared" si="6"/>
        <v>56765</v>
      </c>
      <c r="B451">
        <v>0</v>
      </c>
      <c r="C451">
        <v>1.9503472126741492</v>
      </c>
      <c r="D451">
        <v>0</v>
      </c>
      <c r="E451">
        <v>38.353521727204253</v>
      </c>
      <c r="F451">
        <v>914.90038094353156</v>
      </c>
    </row>
    <row r="452" spans="1:6" x14ac:dyDescent="0.2">
      <c r="A452" s="2">
        <f t="shared" si="6"/>
        <v>56795</v>
      </c>
      <c r="B452">
        <v>0</v>
      </c>
      <c r="C452">
        <v>1.9500892748623395</v>
      </c>
      <c r="D452">
        <v>0</v>
      </c>
      <c r="E452">
        <v>38.375483604191828</v>
      </c>
      <c r="F452">
        <v>876.79750396637974</v>
      </c>
    </row>
    <row r="453" spans="1:6" x14ac:dyDescent="0.2">
      <c r="A453" s="2">
        <f t="shared" si="6"/>
        <v>56826</v>
      </c>
      <c r="B453">
        <v>0</v>
      </c>
      <c r="C453">
        <v>1.9498313727583536</v>
      </c>
      <c r="D453">
        <v>0</v>
      </c>
      <c r="E453">
        <v>38.39746572606299</v>
      </c>
      <c r="F453">
        <v>838.58033410267274</v>
      </c>
    </row>
    <row r="454" spans="1:6" x14ac:dyDescent="0.2">
      <c r="A454" s="2">
        <f t="shared" ref="A454:A506" si="7">DATE(YEAR(A453),MONTH(A453)+2,1)-1</f>
        <v>56857</v>
      </c>
      <c r="B454">
        <v>0</v>
      </c>
      <c r="C454">
        <v>1.949573506357035</v>
      </c>
      <c r="D454">
        <v>0</v>
      </c>
      <c r="E454">
        <v>38.419468105965876</v>
      </c>
      <c r="F454">
        <v>800.24857339092591</v>
      </c>
    </row>
    <row r="455" spans="1:6" x14ac:dyDescent="0.2">
      <c r="A455" s="2">
        <f t="shared" si="7"/>
        <v>56887</v>
      </c>
      <c r="B455">
        <v>0</v>
      </c>
      <c r="C455">
        <v>1.9493156756532282</v>
      </c>
      <c r="D455">
        <v>0</v>
      </c>
      <c r="E455">
        <v>38.441490757058119</v>
      </c>
      <c r="F455">
        <v>761.80192313262216</v>
      </c>
    </row>
    <row r="456" spans="1:6" x14ac:dyDescent="0.2">
      <c r="A456" s="2">
        <f t="shared" si="7"/>
        <v>56918</v>
      </c>
      <c r="B456">
        <v>0</v>
      </c>
      <c r="C456">
        <v>1.9490578806417795</v>
      </c>
      <c r="D456">
        <v>0</v>
      </c>
      <c r="E456">
        <v>38.463533692506857</v>
      </c>
      <c r="F456">
        <v>723.24008389041262</v>
      </c>
    </row>
    <row r="457" spans="1:6" x14ac:dyDescent="0.2">
      <c r="A457" s="2">
        <f t="shared" si="7"/>
        <v>56948</v>
      </c>
      <c r="B457">
        <v>49.039435608913145</v>
      </c>
      <c r="C457">
        <v>14.551538856817844</v>
      </c>
      <c r="D457">
        <v>0</v>
      </c>
      <c r="E457">
        <v>38.322135798000467</v>
      </c>
      <c r="F457">
        <v>721.16291348721245</v>
      </c>
    </row>
    <row r="458" spans="1:6" x14ac:dyDescent="0.2">
      <c r="A458" s="2">
        <f t="shared" si="7"/>
        <v>56979</v>
      </c>
      <c r="B458">
        <v>98.301026831934394</v>
      </c>
      <c r="C458">
        <v>26.74078527509575</v>
      </c>
      <c r="D458">
        <v>0</v>
      </c>
      <c r="E458">
        <v>31.280586072116517</v>
      </c>
      <c r="F458">
        <v>763.19459125304786</v>
      </c>
    </row>
    <row r="459" spans="1:6" x14ac:dyDescent="0.2">
      <c r="A459" s="2">
        <f t="shared" si="7"/>
        <v>57010</v>
      </c>
      <c r="B459">
        <v>0</v>
      </c>
      <c r="C459">
        <v>1.2209684161471563</v>
      </c>
      <c r="D459">
        <v>0</v>
      </c>
      <c r="E459">
        <v>24.500138816911416</v>
      </c>
      <c r="F459">
        <v>739.32761975505446</v>
      </c>
    </row>
    <row r="460" spans="1:6" x14ac:dyDescent="0.2">
      <c r="A460" s="2">
        <f t="shared" si="7"/>
        <v>57039</v>
      </c>
      <c r="B460">
        <v>47.73728158497071</v>
      </c>
      <c r="C460">
        <v>13.488907934754813</v>
      </c>
      <c r="D460">
        <v>0</v>
      </c>
      <c r="E460">
        <v>24.354704977272256</v>
      </c>
      <c r="F460">
        <v>751.01744077946853</v>
      </c>
    </row>
    <row r="461" spans="1:6" x14ac:dyDescent="0.2">
      <c r="A461" s="2">
        <f t="shared" si="7"/>
        <v>57070</v>
      </c>
      <c r="B461">
        <v>0</v>
      </c>
      <c r="C461">
        <v>1.237450361379838</v>
      </c>
      <c r="D461">
        <v>0</v>
      </c>
      <c r="E461">
        <v>24.375303234925635</v>
      </c>
      <c r="F461">
        <v>727.22923925751707</v>
      </c>
    </row>
    <row r="462" spans="1:6" x14ac:dyDescent="0.2">
      <c r="A462" s="2">
        <f t="shared" si="7"/>
        <v>57100</v>
      </c>
      <c r="B462">
        <v>0</v>
      </c>
      <c r="C462">
        <v>1.2372887555424974</v>
      </c>
      <c r="D462">
        <v>0</v>
      </c>
      <c r="E462">
        <v>24.389261896328037</v>
      </c>
      <c r="F462">
        <v>703.36944866336353</v>
      </c>
    </row>
    <row r="463" spans="1:6" x14ac:dyDescent="0.2">
      <c r="A463" s="2">
        <f t="shared" si="7"/>
        <v>57131</v>
      </c>
      <c r="B463">
        <v>0</v>
      </c>
      <c r="C463">
        <v>1.2371271712729854</v>
      </c>
      <c r="D463">
        <v>0</v>
      </c>
      <c r="E463">
        <v>24.403233382745658</v>
      </c>
      <c r="F463">
        <v>679.43788222904482</v>
      </c>
    </row>
    <row r="464" spans="1:6" x14ac:dyDescent="0.2">
      <c r="A464" s="2">
        <f t="shared" si="7"/>
        <v>57161</v>
      </c>
      <c r="B464">
        <v>0</v>
      </c>
      <c r="C464">
        <v>1.236965608568378</v>
      </c>
      <c r="D464">
        <v>0</v>
      </c>
      <c r="E464">
        <v>24.41721770248785</v>
      </c>
      <c r="F464">
        <v>655.43435272454872</v>
      </c>
    </row>
    <row r="465" spans="1:6" x14ac:dyDescent="0.2">
      <c r="A465" s="2">
        <f t="shared" si="7"/>
        <v>57192</v>
      </c>
      <c r="B465">
        <v>0</v>
      </c>
      <c r="C465">
        <v>1.2368040674257512</v>
      </c>
      <c r="D465">
        <v>0</v>
      </c>
      <c r="E465">
        <v>24.431214863869968</v>
      </c>
      <c r="F465">
        <v>631.35867245668692</v>
      </c>
    </row>
    <row r="466" spans="1:6" x14ac:dyDescent="0.2">
      <c r="A466" s="2">
        <f t="shared" si="7"/>
        <v>57223</v>
      </c>
      <c r="B466">
        <v>0</v>
      </c>
      <c r="C466">
        <v>1.2366425478421808</v>
      </c>
      <c r="D466">
        <v>0</v>
      </c>
      <c r="E466">
        <v>24.445224875213317</v>
      </c>
      <c r="F466">
        <v>607.21065326796361</v>
      </c>
    </row>
    <row r="467" spans="1:6" x14ac:dyDescent="0.2">
      <c r="A467" s="2">
        <f t="shared" si="7"/>
        <v>57253</v>
      </c>
      <c r="B467">
        <v>0</v>
      </c>
      <c r="C467">
        <v>1.2364810498147438</v>
      </c>
      <c r="D467">
        <v>0</v>
      </c>
      <c r="E467">
        <v>24.459247744845257</v>
      </c>
      <c r="F467">
        <v>582.99010653544065</v>
      </c>
    </row>
    <row r="468" spans="1:6" x14ac:dyDescent="0.2">
      <c r="A468" s="2">
        <f t="shared" si="7"/>
        <v>57284</v>
      </c>
      <c r="B468">
        <v>0</v>
      </c>
      <c r="C468">
        <v>1.2363195733405172</v>
      </c>
      <c r="D468">
        <v>0</v>
      </c>
      <c r="E468">
        <v>24.473283481099124</v>
      </c>
      <c r="F468">
        <v>558.69684316960138</v>
      </c>
    </row>
    <row r="469" spans="1:6" x14ac:dyDescent="0.2">
      <c r="A469" s="2">
        <f t="shared" si="7"/>
        <v>57314</v>
      </c>
      <c r="B469">
        <v>47.662139796447548</v>
      </c>
      <c r="C469">
        <v>13.483724203476626</v>
      </c>
      <c r="D469">
        <v>0</v>
      </c>
      <c r="E469">
        <v>24.326847418304965</v>
      </c>
      <c r="F469">
        <v>569.90573199860808</v>
      </c>
    </row>
    <row r="470" spans="1:6" x14ac:dyDescent="0.2">
      <c r="A470" s="2">
        <f t="shared" si="7"/>
        <v>57345</v>
      </c>
      <c r="B470">
        <v>95.560473082323156</v>
      </c>
      <c r="C470">
        <v>25.796696735567267</v>
      </c>
      <c r="D470">
        <v>0</v>
      </c>
      <c r="E470">
        <v>24.025360187438039</v>
      </c>
      <c r="F470">
        <v>617.0287001390692</v>
      </c>
    </row>
    <row r="471" spans="1:6" x14ac:dyDescent="0.2">
      <c r="A471" s="2">
        <f t="shared" si="7"/>
        <v>57376</v>
      </c>
      <c r="B471">
        <v>0</v>
      </c>
      <c r="C471">
        <v>1.2718823000311148</v>
      </c>
      <c r="D471">
        <v>0</v>
      </c>
      <c r="E471">
        <v>24.052312922452032</v>
      </c>
      <c r="F471">
        <v>593.20353933795195</v>
      </c>
    </row>
    <row r="472" spans="1:6" x14ac:dyDescent="0.2">
      <c r="A472" s="2">
        <f t="shared" si="7"/>
        <v>57404</v>
      </c>
      <c r="B472">
        <v>46.396557385984998</v>
      </c>
      <c r="C472">
        <v>13.194061693602702</v>
      </c>
      <c r="D472">
        <v>0</v>
      </c>
      <c r="E472">
        <v>23.909342696594493</v>
      </c>
      <c r="F472">
        <v>603.93784494810507</v>
      </c>
    </row>
    <row r="473" spans="1:6" x14ac:dyDescent="0.2">
      <c r="A473" s="2">
        <f t="shared" si="7"/>
        <v>57435</v>
      </c>
      <c r="B473">
        <v>0</v>
      </c>
      <c r="C473">
        <v>1.2866691109429182</v>
      </c>
      <c r="D473">
        <v>0</v>
      </c>
      <c r="E473">
        <v>23.929318015207457</v>
      </c>
      <c r="F473">
        <v>580.18908879150069</v>
      </c>
    </row>
    <row r="474" spans="1:6" x14ac:dyDescent="0.2">
      <c r="A474" s="2">
        <f t="shared" si="7"/>
        <v>57465</v>
      </c>
      <c r="B474">
        <v>0</v>
      </c>
      <c r="C474">
        <v>1.2864890416034245</v>
      </c>
      <c r="D474">
        <v>0</v>
      </c>
      <c r="E474">
        <v>23.942840092918367</v>
      </c>
      <c r="F474">
        <v>556.36929444005057</v>
      </c>
    </row>
    <row r="475" spans="1:6" x14ac:dyDescent="0.2">
      <c r="A475" s="2">
        <f t="shared" si="7"/>
        <v>57496</v>
      </c>
      <c r="B475">
        <v>0</v>
      </c>
      <c r="C475">
        <v>1.286308998041283</v>
      </c>
      <c r="D475">
        <v>0</v>
      </c>
      <c r="E475">
        <v>23.956374514342631</v>
      </c>
      <c r="F475">
        <v>532.47827694120667</v>
      </c>
    </row>
    <row r="476" spans="1:6" x14ac:dyDescent="0.2">
      <c r="A476" s="2">
        <f t="shared" si="7"/>
        <v>57526</v>
      </c>
      <c r="B476">
        <v>0</v>
      </c>
      <c r="C476">
        <v>1.2861289802527438</v>
      </c>
      <c r="D476">
        <v>0</v>
      </c>
      <c r="E476">
        <v>23.969921287312278</v>
      </c>
      <c r="F476">
        <v>508.51585088526201</v>
      </c>
    </row>
    <row r="477" spans="1:6" x14ac:dyDescent="0.2">
      <c r="A477" s="2">
        <f t="shared" si="7"/>
        <v>57557</v>
      </c>
      <c r="B477">
        <v>0</v>
      </c>
      <c r="C477">
        <v>1.2859489882340565</v>
      </c>
      <c r="D477">
        <v>0</v>
      </c>
      <c r="E477">
        <v>23.983480419664943</v>
      </c>
      <c r="F477">
        <v>484.48183040423373</v>
      </c>
    </row>
    <row r="478" spans="1:6" x14ac:dyDescent="0.2">
      <c r="A478" s="2">
        <f t="shared" si="7"/>
        <v>57588</v>
      </c>
      <c r="B478">
        <v>0</v>
      </c>
      <c r="C478">
        <v>1.2857690219814721</v>
      </c>
      <c r="D478">
        <v>0</v>
      </c>
      <c r="E478">
        <v>23.997051919243866</v>
      </c>
      <c r="F478">
        <v>460.37602917074435</v>
      </c>
    </row>
    <row r="479" spans="1:6" x14ac:dyDescent="0.2">
      <c r="A479" s="2">
        <f t="shared" si="7"/>
        <v>57618</v>
      </c>
      <c r="B479">
        <v>0</v>
      </c>
      <c r="C479">
        <v>1.2855890814912418</v>
      </c>
      <c r="D479">
        <v>0</v>
      </c>
      <c r="E479">
        <v>24.010635793897897</v>
      </c>
      <c r="F479">
        <v>436.19826039689997</v>
      </c>
    </row>
    <row r="480" spans="1:6" x14ac:dyDescent="0.2">
      <c r="A480" s="2">
        <f t="shared" si="7"/>
        <v>57649</v>
      </c>
      <c r="B480">
        <v>0</v>
      </c>
      <c r="C480">
        <v>1.285409166759617</v>
      </c>
      <c r="D480">
        <v>0</v>
      </c>
      <c r="E480">
        <v>24.024232051481519</v>
      </c>
      <c r="F480">
        <v>411.94833683316597</v>
      </c>
    </row>
    <row r="481" spans="1:6" x14ac:dyDescent="0.2">
      <c r="A481" s="2">
        <f t="shared" si="7"/>
        <v>57679</v>
      </c>
      <c r="B481">
        <v>46.317842072567188</v>
      </c>
      <c r="C481">
        <v>13.18637939014349</v>
      </c>
      <c r="D481">
        <v>0</v>
      </c>
      <c r="E481">
        <v>23.880297868315342</v>
      </c>
      <c r="F481">
        <v>422.2003055589858</v>
      </c>
    </row>
    <row r="482" spans="1:6" x14ac:dyDescent="0.2">
      <c r="A482" s="2">
        <f t="shared" si="7"/>
        <v>57710</v>
      </c>
      <c r="B482">
        <v>92.887964110936139</v>
      </c>
      <c r="C482">
        <v>25.158345058721626</v>
      </c>
      <c r="D482">
        <v>0</v>
      </c>
      <c r="E482">
        <v>23.584013756181143</v>
      </c>
      <c r="F482">
        <v>467.37162131322248</v>
      </c>
    </row>
    <row r="483" spans="1:6" x14ac:dyDescent="0.2">
      <c r="A483" s="2">
        <f t="shared" si="7"/>
        <v>57741</v>
      </c>
      <c r="B483">
        <v>0</v>
      </c>
      <c r="C483">
        <v>1.319384378616171</v>
      </c>
      <c r="D483">
        <v>0</v>
      </c>
      <c r="E483">
        <v>23.610161686267215</v>
      </c>
      <c r="F483">
        <v>443.57752672370844</v>
      </c>
    </row>
    <row r="484" spans="1:6" x14ac:dyDescent="0.2">
      <c r="A484" s="2">
        <f t="shared" si="7"/>
        <v>57769</v>
      </c>
      <c r="B484">
        <v>45.0879550706833</v>
      </c>
      <c r="C484">
        <v>12.90432731023221</v>
      </c>
      <c r="D484">
        <v>0</v>
      </c>
      <c r="E484">
        <v>23.469629644026185</v>
      </c>
      <c r="F484">
        <v>453.36916998200985</v>
      </c>
    </row>
    <row r="485" spans="1:6" x14ac:dyDescent="0.2">
      <c r="A485" s="2">
        <f t="shared" si="7"/>
        <v>57800</v>
      </c>
      <c r="B485">
        <v>0</v>
      </c>
      <c r="C485">
        <v>1.3327554501041106</v>
      </c>
      <c r="D485">
        <v>0</v>
      </c>
      <c r="E485">
        <v>23.488994219081636</v>
      </c>
      <c r="F485">
        <v>429.64885366792737</v>
      </c>
    </row>
    <row r="486" spans="1:6" x14ac:dyDescent="0.2">
      <c r="A486" s="2">
        <f t="shared" si="7"/>
        <v>57830</v>
      </c>
      <c r="B486">
        <v>0</v>
      </c>
      <c r="C486">
        <v>1.3325564097474707</v>
      </c>
      <c r="D486">
        <v>0</v>
      </c>
      <c r="E486">
        <v>23.502087444977541</v>
      </c>
      <c r="F486">
        <v>405.85801607473206</v>
      </c>
    </row>
    <row r="487" spans="1:6" x14ac:dyDescent="0.2">
      <c r="A487" s="2">
        <f t="shared" si="7"/>
        <v>57861</v>
      </c>
      <c r="B487">
        <v>0</v>
      </c>
      <c r="C487">
        <v>1.332357399817403</v>
      </c>
      <c r="D487">
        <v>0</v>
      </c>
      <c r="E487">
        <v>23.515192546030676</v>
      </c>
      <c r="F487">
        <v>381.99647396959909</v>
      </c>
    </row>
    <row r="488" spans="1:6" x14ac:dyDescent="0.2">
      <c r="A488" s="2">
        <f t="shared" si="7"/>
        <v>57891</v>
      </c>
      <c r="B488">
        <v>0</v>
      </c>
      <c r="C488">
        <v>1.3321584203091787</v>
      </c>
      <c r="D488">
        <v>0</v>
      </c>
      <c r="E488">
        <v>23.52830952961348</v>
      </c>
      <c r="F488">
        <v>358.06404366718266</v>
      </c>
    </row>
    <row r="489" spans="1:6" x14ac:dyDescent="0.2">
      <c r="A489" s="2">
        <f t="shared" si="7"/>
        <v>57922</v>
      </c>
      <c r="B489">
        <v>0</v>
      </c>
      <c r="C489">
        <v>1.3319594712180702</v>
      </c>
      <c r="D489">
        <v>0</v>
      </c>
      <c r="E489">
        <v>23.541438403103651</v>
      </c>
      <c r="F489">
        <v>334.06054102851152</v>
      </c>
    </row>
    <row r="490" spans="1:6" x14ac:dyDescent="0.2">
      <c r="A490" s="2">
        <f t="shared" si="7"/>
        <v>57953</v>
      </c>
      <c r="B490">
        <v>0</v>
      </c>
      <c r="C490">
        <v>1.3317605525393503</v>
      </c>
      <c r="D490">
        <v>0</v>
      </c>
      <c r="E490">
        <v>23.554579173884122</v>
      </c>
      <c r="F490">
        <v>309.98578145988142</v>
      </c>
    </row>
    <row r="491" spans="1:6" x14ac:dyDescent="0.2">
      <c r="A491" s="2">
        <f t="shared" si="7"/>
        <v>57983</v>
      </c>
      <c r="B491">
        <v>0</v>
      </c>
      <c r="C491">
        <v>1.3315616642682926</v>
      </c>
      <c r="D491">
        <v>0</v>
      </c>
      <c r="E491">
        <v>23.56773184934308</v>
      </c>
      <c r="F491">
        <v>285.83957991174543</v>
      </c>
    </row>
    <row r="492" spans="1:6" x14ac:dyDescent="0.2">
      <c r="A492" s="2">
        <f t="shared" si="7"/>
        <v>58014</v>
      </c>
      <c r="B492">
        <v>0</v>
      </c>
      <c r="C492">
        <v>1.3313628064001719</v>
      </c>
      <c r="D492">
        <v>0</v>
      </c>
      <c r="E492">
        <v>23.58089643687396</v>
      </c>
      <c r="F492">
        <v>261.62175087760085</v>
      </c>
    </row>
    <row r="493" spans="1:6" x14ac:dyDescent="0.2">
      <c r="A493" s="2">
        <f t="shared" si="7"/>
        <v>58044</v>
      </c>
      <c r="B493">
        <v>45.006014386404296</v>
      </c>
      <c r="C493">
        <v>12.895200562028121</v>
      </c>
      <c r="D493">
        <v>0</v>
      </c>
      <c r="E493">
        <v>23.439436985010449</v>
      </c>
      <c r="F493">
        <v>270.9287221550457</v>
      </c>
    </row>
    <row r="494" spans="1:6" x14ac:dyDescent="0.2">
      <c r="A494" s="2">
        <f t="shared" si="7"/>
        <v>58075</v>
      </c>
      <c r="B494">
        <v>90.28174528931055</v>
      </c>
      <c r="C494">
        <v>24.532442071073145</v>
      </c>
      <c r="D494">
        <v>0</v>
      </c>
      <c r="E494">
        <v>23.148290080777642</v>
      </c>
      <c r="F494">
        <v>314.18794046214441</v>
      </c>
    </row>
    <row r="495" spans="1:6" x14ac:dyDescent="0.2">
      <c r="A495" s="2">
        <f t="shared" si="7"/>
        <v>58106</v>
      </c>
      <c r="B495">
        <v>0</v>
      </c>
      <c r="C495">
        <v>1.3623226153073784</v>
      </c>
      <c r="D495">
        <v>0</v>
      </c>
      <c r="E495">
        <v>23.173653982133786</v>
      </c>
      <c r="F495">
        <v>290.41526472481678</v>
      </c>
    </row>
    <row r="496" spans="1:6" x14ac:dyDescent="0.2">
      <c r="A496" s="2">
        <f t="shared" si="7"/>
        <v>58134</v>
      </c>
      <c r="B496">
        <v>43.810960609639054</v>
      </c>
      <c r="C496">
        <v>12.619084691949006</v>
      </c>
      <c r="D496">
        <v>0</v>
      </c>
      <c r="E496">
        <v>23.035537547985353</v>
      </c>
      <c r="F496">
        <v>299.27714965696583</v>
      </c>
    </row>
    <row r="497" spans="1:6" x14ac:dyDescent="0.2">
      <c r="A497" s="2">
        <f t="shared" si="7"/>
        <v>58165</v>
      </c>
      <c r="B497">
        <v>0</v>
      </c>
      <c r="C497">
        <v>1.375221634504086</v>
      </c>
      <c r="D497">
        <v>0</v>
      </c>
      <c r="E497">
        <v>23.054304980607682</v>
      </c>
      <c r="F497">
        <v>275.57469902513162</v>
      </c>
    </row>
    <row r="498" spans="1:6" x14ac:dyDescent="0.2">
      <c r="A498" s="2">
        <f t="shared" si="7"/>
        <v>58195</v>
      </c>
      <c r="B498">
        <v>0</v>
      </c>
      <c r="C498">
        <v>1.3750035433204721</v>
      </c>
      <c r="D498">
        <v>0</v>
      </c>
      <c r="E498">
        <v>23.066978564869572</v>
      </c>
      <c r="F498">
        <v>251.80220921025497</v>
      </c>
    </row>
    <row r="499" spans="1:6" x14ac:dyDescent="0.2">
      <c r="A499" s="2">
        <f t="shared" si="7"/>
        <v>58226</v>
      </c>
      <c r="B499">
        <v>0</v>
      </c>
      <c r="C499">
        <v>1.374785487534558</v>
      </c>
      <c r="D499">
        <v>0</v>
      </c>
      <c r="E499">
        <v>23.07966356950994</v>
      </c>
      <c r="F499">
        <v>227.95949860054219</v>
      </c>
    </row>
    <row r="500" spans="1:6" x14ac:dyDescent="0.2">
      <c r="A500" s="2">
        <f t="shared" si="7"/>
        <v>58256</v>
      </c>
      <c r="B500">
        <v>0</v>
      </c>
      <c r="C500">
        <v>1.3745674671405037</v>
      </c>
      <c r="D500">
        <v>0</v>
      </c>
      <c r="E500">
        <v>23.092360001460442</v>
      </c>
      <c r="F500">
        <v>204.04638513605894</v>
      </c>
    </row>
    <row r="501" spans="1:6" x14ac:dyDescent="0.2">
      <c r="A501" s="2">
        <f t="shared" si="7"/>
        <v>58287</v>
      </c>
      <c r="B501">
        <v>0</v>
      </c>
      <c r="C501">
        <v>1.3743494821324709</v>
      </c>
      <c r="D501">
        <v>0</v>
      </c>
      <c r="E501">
        <v>23.105067867657667</v>
      </c>
      <c r="F501">
        <v>180.06268630763634</v>
      </c>
    </row>
    <row r="502" spans="1:6" x14ac:dyDescent="0.2">
      <c r="A502" s="2">
        <f t="shared" si="7"/>
        <v>58318</v>
      </c>
      <c r="B502">
        <v>0</v>
      </c>
      <c r="C502">
        <v>1.3741315325046219</v>
      </c>
      <c r="D502">
        <v>0</v>
      </c>
      <c r="E502">
        <v>23.117787175043095</v>
      </c>
      <c r="F502">
        <v>156.00821915577473</v>
      </c>
    </row>
    <row r="503" spans="1:6" x14ac:dyDescent="0.2">
      <c r="A503" s="2">
        <f t="shared" si="7"/>
        <v>58348</v>
      </c>
      <c r="B503">
        <v>0</v>
      </c>
      <c r="C503">
        <v>1.37391361825112</v>
      </c>
      <c r="D503">
        <v>0</v>
      </c>
      <c r="E503">
        <v>23.130517930563112</v>
      </c>
      <c r="F503">
        <v>131.88280026954459</v>
      </c>
    </row>
    <row r="504" spans="1:6" x14ac:dyDescent="0.2">
      <c r="A504" s="2">
        <f t="shared" si="7"/>
        <v>58379</v>
      </c>
      <c r="B504">
        <v>0</v>
      </c>
      <c r="C504">
        <v>1.3736957393661302</v>
      </c>
      <c r="D504">
        <v>0</v>
      </c>
      <c r="E504">
        <v>23.143260141169016</v>
      </c>
      <c r="F504">
        <v>107.68624578548523</v>
      </c>
    </row>
    <row r="505" spans="1:6" x14ac:dyDescent="0.2">
      <c r="A505" s="2">
        <f t="shared" si="7"/>
        <v>58409</v>
      </c>
      <c r="B505">
        <v>43.725916602325263</v>
      </c>
      <c r="C505">
        <v>12.605483800886976</v>
      </c>
      <c r="D505">
        <v>0</v>
      </c>
      <c r="E505">
        <v>23.00425015763583</v>
      </c>
      <c r="F505">
        <v>116.06404573996343</v>
      </c>
    </row>
    <row r="506" spans="1:6" x14ac:dyDescent="0.2">
      <c r="A506" s="2">
        <f t="shared" si="7"/>
        <v>58440</v>
      </c>
      <c r="B506">
        <v>0</v>
      </c>
      <c r="C506">
        <v>0.74799244992959601</v>
      </c>
      <c r="D506">
        <v>0</v>
      </c>
      <c r="E506">
        <v>11.342878865889762</v>
      </c>
      <c r="F506">
        <v>104.25514510007534</v>
      </c>
    </row>
    <row r="507" spans="1:6" x14ac:dyDescent="0.2">
      <c r="B507">
        <v>0</v>
      </c>
      <c r="C507">
        <v>0.7478644096756295</v>
      </c>
      <c r="D507">
        <v>0</v>
      </c>
      <c r="E507">
        <v>11.348929947994645</v>
      </c>
      <c r="F507">
        <v>92.41163239862999</v>
      </c>
    </row>
    <row r="508" spans="1:6" x14ac:dyDescent="0.2">
      <c r="B508">
        <v>42.564853520189381</v>
      </c>
      <c r="C508">
        <v>11.681496578343252</v>
      </c>
      <c r="D508">
        <v>0</v>
      </c>
      <c r="E508">
        <v>11.206878899343934</v>
      </c>
      <c r="F508">
        <v>112.31261898971178</v>
      </c>
    </row>
    <row r="509" spans="1:6" x14ac:dyDescent="0.2">
      <c r="B509">
        <v>0</v>
      </c>
      <c r="C509">
        <v>0.75751948815709791</v>
      </c>
      <c r="D509">
        <v>0</v>
      </c>
      <c r="E509">
        <v>11.218739077959848</v>
      </c>
      <c r="F509">
        <v>100.60921723200812</v>
      </c>
    </row>
    <row r="510" spans="1:6" x14ac:dyDescent="0.2">
      <c r="B510">
        <v>0</v>
      </c>
      <c r="C510">
        <v>0.75738642876852502</v>
      </c>
      <c r="D510">
        <v>0</v>
      </c>
      <c r="E510">
        <v>11.224672920105267</v>
      </c>
      <c r="F510">
        <v>88.871581975082535</v>
      </c>
    </row>
    <row r="511" spans="1:6" x14ac:dyDescent="0.2">
      <c r="B511">
        <v>0</v>
      </c>
      <c r="C511">
        <v>0.75725339275202552</v>
      </c>
      <c r="D511">
        <v>0</v>
      </c>
      <c r="E511">
        <v>11.230612039754234</v>
      </c>
      <c r="F511">
        <v>77.099624749815064</v>
      </c>
    </row>
    <row r="512" spans="1:6" x14ac:dyDescent="0.2">
      <c r="B512">
        <v>0</v>
      </c>
      <c r="C512">
        <v>0.75712038010349358</v>
      </c>
      <c r="D512">
        <v>0</v>
      </c>
      <c r="E512">
        <v>11.236556439908842</v>
      </c>
      <c r="F512">
        <v>65.293256869157304</v>
      </c>
    </row>
    <row r="513" spans="2:6" x14ac:dyDescent="0.2">
      <c r="B513">
        <v>0</v>
      </c>
      <c r="C513">
        <v>0.75698739081882493</v>
      </c>
      <c r="D513">
        <v>0</v>
      </c>
      <c r="E513">
        <v>11.242506123573266</v>
      </c>
      <c r="F513">
        <v>53.452389427600878</v>
      </c>
    </row>
    <row r="514" spans="2:6" x14ac:dyDescent="0.2">
      <c r="B514">
        <v>0</v>
      </c>
      <c r="C514">
        <v>0.75685442489391552</v>
      </c>
      <c r="D514">
        <v>0</v>
      </c>
      <c r="E514">
        <v>11.248461093753754</v>
      </c>
      <c r="F514">
        <v>41.576933300644683</v>
      </c>
    </row>
    <row r="515" spans="2:6" x14ac:dyDescent="0.2">
      <c r="B515">
        <v>0</v>
      </c>
      <c r="C515">
        <v>0.7567214823246623</v>
      </c>
      <c r="D515">
        <v>0</v>
      </c>
      <c r="E515">
        <v>11.254421353458635</v>
      </c>
      <c r="F515">
        <v>29.666799144260672</v>
      </c>
    </row>
    <row r="516" spans="2:6" x14ac:dyDescent="0.2">
      <c r="B516">
        <v>0</v>
      </c>
      <c r="C516">
        <v>0.75658856310696287</v>
      </c>
      <c r="D516">
        <v>0</v>
      </c>
      <c r="E516">
        <v>11.260386905698319</v>
      </c>
      <c r="F516">
        <v>17.721897394358539</v>
      </c>
    </row>
    <row r="517" spans="2:6" x14ac:dyDescent="0.2">
      <c r="B517">
        <v>0</v>
      </c>
      <c r="C517">
        <v>0.37323833253384014</v>
      </c>
      <c r="D517">
        <v>0</v>
      </c>
      <c r="E517">
        <v>5.5599077538019452</v>
      </c>
      <c r="F517">
        <v>11.831805600635192</v>
      </c>
    </row>
    <row r="518" spans="2:6" x14ac:dyDescent="0.2">
      <c r="B518">
        <v>0</v>
      </c>
      <c r="C518">
        <v>0.3731727726834399</v>
      </c>
      <c r="D518">
        <v>0</v>
      </c>
      <c r="E518">
        <v>5.5628562261726877</v>
      </c>
      <c r="F518">
        <v>5.9245212677212926</v>
      </c>
    </row>
    <row r="519" spans="2:6" x14ac:dyDescent="0.2">
      <c r="B519">
        <v>0</v>
      </c>
      <c r="C519">
        <v>0.37310722434872168</v>
      </c>
      <c r="D519">
        <v>0</v>
      </c>
      <c r="E519">
        <v>5.5658073143961522</v>
      </c>
      <c r="F519">
        <v>0</v>
      </c>
    </row>
    <row r="520" spans="2:6" x14ac:dyDescent="0.2">
      <c r="B520">
        <v>17.180448392205061</v>
      </c>
      <c r="C520">
        <v>10.089757185384217</v>
      </c>
      <c r="D520">
        <v>0</v>
      </c>
      <c r="E520">
        <v>67.46109067573768</v>
      </c>
      <c r="F520">
        <v>442.11182947680618</v>
      </c>
    </row>
    <row r="521" spans="2:6" x14ac:dyDescent="0.2">
      <c r="B521">
        <v>17.139851823021054</v>
      </c>
      <c r="C521">
        <v>9.3320909335724451</v>
      </c>
      <c r="D521">
        <v>0</v>
      </c>
      <c r="E521">
        <v>61.883996613502006</v>
      </c>
      <c r="F521">
        <v>389.10967807059649</v>
      </c>
    </row>
    <row r="522" spans="2:6" x14ac:dyDescent="0.2">
      <c r="B522">
        <v>68.212907150272812</v>
      </c>
      <c r="C522">
        <v>17.508286618232436</v>
      </c>
      <c r="D522">
        <v>0</v>
      </c>
      <c r="E522">
        <v>61.772203105113945</v>
      </c>
      <c r="F522">
        <v>378.98741425009149</v>
      </c>
    </row>
    <row r="523" spans="2:6" x14ac:dyDescent="0.2">
      <c r="B523">
        <v>150.38278604423297</v>
      </c>
      <c r="C523">
        <v>30.276559306374732</v>
      </c>
      <c r="D523">
        <v>0</v>
      </c>
      <c r="E523">
        <v>55.850080335307219</v>
      </c>
      <c r="F523">
        <v>444.16428796904984</v>
      </c>
    </row>
    <row r="524" spans="2:6" x14ac:dyDescent="0.2">
      <c r="B524">
        <v>17.01863689350844</v>
      </c>
      <c r="C524">
        <v>8.8803711343045375</v>
      </c>
      <c r="D524">
        <v>0</v>
      </c>
      <c r="E524">
        <v>55.854614987902714</v>
      </c>
      <c r="F524">
        <v>397.52700938367303</v>
      </c>
    </row>
    <row r="525" spans="2:6" x14ac:dyDescent="0.2">
      <c r="B525">
        <v>33.936670879969277</v>
      </c>
      <c r="C525">
        <v>10.840565675908742</v>
      </c>
      <c r="D525">
        <v>0</v>
      </c>
      <c r="E525">
        <v>50.220433545385575</v>
      </c>
      <c r="F525">
        <v>371.36844919924982</v>
      </c>
    </row>
    <row r="526" spans="2:6" x14ac:dyDescent="0.2">
      <c r="B526">
        <v>16.938303660766383</v>
      </c>
      <c r="C526">
        <v>8.1095988323347044</v>
      </c>
      <c r="D526">
        <v>0</v>
      </c>
      <c r="E526">
        <v>50.212371833771996</v>
      </c>
      <c r="F526">
        <v>330.88699968919548</v>
      </c>
    </row>
    <row r="527" spans="2:6" x14ac:dyDescent="0.2">
      <c r="B527">
        <v>16.898279384850156</v>
      </c>
      <c r="C527">
        <v>8.0987594305637121</v>
      </c>
      <c r="D527">
        <v>0</v>
      </c>
      <c r="E527">
        <v>50.202890118076716</v>
      </c>
      <c r="F527">
        <v>290.28749975381578</v>
      </c>
    </row>
    <row r="528" spans="2:6" x14ac:dyDescent="0.2">
      <c r="B528">
        <v>134.35547203804052</v>
      </c>
      <c r="C528">
        <v>27.016540602474016</v>
      </c>
      <c r="D528">
        <v>0</v>
      </c>
      <c r="E528">
        <v>49.94300559052833</v>
      </c>
      <c r="F528">
        <v>348.38866176392241</v>
      </c>
    </row>
    <row r="529" spans="2:6" x14ac:dyDescent="0.2">
      <c r="B529">
        <v>83.022300040960445</v>
      </c>
      <c r="C529">
        <v>18.797550909094824</v>
      </c>
      <c r="D529">
        <v>0</v>
      </c>
      <c r="E529">
        <v>49.801848772749473</v>
      </c>
      <c r="F529">
        <v>363.65795159548946</v>
      </c>
    </row>
    <row r="530" spans="2:6" x14ac:dyDescent="0.2">
      <c r="B530">
        <v>5.5815332803921249</v>
      </c>
      <c r="C530">
        <v>5.187403123545816</v>
      </c>
      <c r="D530">
        <v>0</v>
      </c>
      <c r="E530">
        <v>38.694838640575696</v>
      </c>
      <c r="F530">
        <v>326.24072841304707</v>
      </c>
    </row>
    <row r="531" spans="2:6" x14ac:dyDescent="0.2">
      <c r="B531">
        <v>22.290127092167982</v>
      </c>
      <c r="C531">
        <v>7.887968384635494</v>
      </c>
      <c r="D531">
        <v>0</v>
      </c>
      <c r="E531">
        <v>38.6668943844466</v>
      </c>
      <c r="F531">
        <v>302.76857512562708</v>
      </c>
    </row>
    <row r="532" spans="2:6" x14ac:dyDescent="0.2">
      <c r="B532">
        <v>5.5554522372594226</v>
      </c>
      <c r="C532">
        <v>5.2020724295659218</v>
      </c>
      <c r="D532">
        <v>0</v>
      </c>
      <c r="E532">
        <v>38.675868614483498</v>
      </c>
      <c r="F532">
        <v>265.18164451202807</v>
      </c>
    </row>
    <row r="533" spans="2:6" x14ac:dyDescent="0.2">
      <c r="B533">
        <v>5.5424407904437922</v>
      </c>
      <c r="C533">
        <v>5.1983338279155697</v>
      </c>
      <c r="D533">
        <v>0</v>
      </c>
      <c r="E533">
        <v>38.683416213119216</v>
      </c>
      <c r="F533">
        <v>227.4865782487542</v>
      </c>
    </row>
    <row r="534" spans="2:6" x14ac:dyDescent="0.2">
      <c r="B534">
        <v>55.207803625888261</v>
      </c>
      <c r="C534">
        <v>13.151298179876509</v>
      </c>
      <c r="D534">
        <v>0</v>
      </c>
      <c r="E534">
        <v>38.585044753283945</v>
      </c>
      <c r="F534">
        <v>231.51070401381463</v>
      </c>
    </row>
    <row r="535" spans="2:6" x14ac:dyDescent="0.2">
      <c r="B535">
        <v>135.04824355563093</v>
      </c>
      <c r="C535">
        <v>25.993780601257928</v>
      </c>
      <c r="D535">
        <v>0</v>
      </c>
      <c r="E535">
        <v>38.318139537666553</v>
      </c>
      <c r="F535">
        <v>302.80946887636179</v>
      </c>
    </row>
    <row r="536" spans="2:6" x14ac:dyDescent="0.2">
      <c r="B536">
        <v>5.5035890096379605</v>
      </c>
      <c r="C536">
        <v>5.2131563727285855</v>
      </c>
      <c r="D536">
        <v>0</v>
      </c>
      <c r="E536">
        <v>38.336761284715273</v>
      </c>
      <c r="F536">
        <v>265.49879777067491</v>
      </c>
    </row>
    <row r="537" spans="2:6" x14ac:dyDescent="0.2">
      <c r="B537">
        <v>21.978720673048976</v>
      </c>
      <c r="C537">
        <v>7.8511446733375028</v>
      </c>
      <c r="D537">
        <v>0</v>
      </c>
      <c r="E537">
        <v>38.308957602702499</v>
      </c>
      <c r="F537">
        <v>241.96242965992479</v>
      </c>
    </row>
    <row r="538" spans="2:6" x14ac:dyDescent="0.2">
      <c r="B538">
        <v>5.4778392438189529</v>
      </c>
      <c r="C538">
        <v>5.2027470136301508</v>
      </c>
      <c r="D538">
        <v>0</v>
      </c>
      <c r="E538">
        <v>38.317772604767413</v>
      </c>
      <c r="F538">
        <v>204.50758257520098</v>
      </c>
    </row>
    <row r="539" spans="2:6" x14ac:dyDescent="0.2">
      <c r="B539">
        <v>5.4650095747044389</v>
      </c>
      <c r="C539">
        <v>5.1990353699870431</v>
      </c>
      <c r="D539">
        <v>0</v>
      </c>
      <c r="E539">
        <v>38.325180947259859</v>
      </c>
      <c r="F539">
        <v>166.94521480569415</v>
      </c>
    </row>
    <row r="540" spans="2:6" x14ac:dyDescent="0.2">
      <c r="B540">
        <v>103.2588054247007</v>
      </c>
      <c r="C540">
        <v>20.502046401021804</v>
      </c>
      <c r="D540">
        <v>0</v>
      </c>
      <c r="E540">
        <v>32.62888280245258</v>
      </c>
      <c r="F540">
        <v>217.47867446804673</v>
      </c>
    </row>
    <row r="541" spans="2:6" x14ac:dyDescent="0.2">
      <c r="B541">
        <v>5.4394403113563152</v>
      </c>
      <c r="C541">
        <v>4.0849263815975405</v>
      </c>
      <c r="D541">
        <v>0</v>
      </c>
      <c r="E541">
        <v>27.133247631474163</v>
      </c>
      <c r="F541">
        <v>192.22829223339792</v>
      </c>
    </row>
    <row r="542" spans="2:6" x14ac:dyDescent="0.2">
      <c r="B542">
        <v>5.4267005765344889</v>
      </c>
      <c r="C542">
        <v>4.0813878747093701</v>
      </c>
      <c r="D542">
        <v>0</v>
      </c>
      <c r="E542">
        <v>27.135074428534473</v>
      </c>
      <c r="F542">
        <v>166.90553767629567</v>
      </c>
    </row>
    <row r="543" spans="2:6" x14ac:dyDescent="0.2">
      <c r="B543">
        <v>0</v>
      </c>
      <c r="C543">
        <v>2.7760999634167876</v>
      </c>
      <c r="D543">
        <v>0</v>
      </c>
      <c r="E543">
        <v>21.710292618987566</v>
      </c>
      <c r="F543">
        <v>142.82463214179845</v>
      </c>
    </row>
    <row r="544" spans="2:6" x14ac:dyDescent="0.2">
      <c r="B544">
        <v>0</v>
      </c>
      <c r="C544">
        <v>2.7756248005816526</v>
      </c>
      <c r="D544">
        <v>0</v>
      </c>
      <c r="E544">
        <v>21.720385176870145</v>
      </c>
      <c r="F544">
        <v>118.67560608867829</v>
      </c>
    </row>
    <row r="545" spans="2:6" x14ac:dyDescent="0.2">
      <c r="B545">
        <v>0</v>
      </c>
      <c r="C545">
        <v>2.7751497191349324</v>
      </c>
      <c r="D545">
        <v>0</v>
      </c>
      <c r="E545">
        <v>21.730488567729616</v>
      </c>
      <c r="F545">
        <v>94.458283107833253</v>
      </c>
    </row>
    <row r="546" spans="2:6" x14ac:dyDescent="0.2">
      <c r="B546">
        <v>32.135204715956846</v>
      </c>
      <c r="C546">
        <v>7.9201217884678492</v>
      </c>
      <c r="D546">
        <v>0</v>
      </c>
      <c r="E546">
        <v>21.67126704999659</v>
      </c>
      <c r="F546">
        <v>97.231579749720993</v>
      </c>
    </row>
    <row r="547" spans="2:6" x14ac:dyDescent="0.2">
      <c r="B547">
        <v>0</v>
      </c>
      <c r="C547">
        <v>1.3461287928043837</v>
      </c>
      <c r="D547">
        <v>0</v>
      </c>
      <c r="E547">
        <v>10.852702558085545</v>
      </c>
      <c r="F547">
        <v>85.268966721991376</v>
      </c>
    </row>
    <row r="548" spans="2:6" x14ac:dyDescent="0.2">
      <c r="B548">
        <v>0</v>
      </c>
      <c r="C548">
        <v>1.3459047151002319</v>
      </c>
      <c r="D548">
        <v>0</v>
      </c>
      <c r="E548">
        <v>10.857804355188129</v>
      </c>
      <c r="F548">
        <v>73.272413520079596</v>
      </c>
    </row>
    <row r="549" spans="2:6" x14ac:dyDescent="0.2">
      <c r="B549">
        <v>0</v>
      </c>
      <c r="C549">
        <v>1.3456806746962386</v>
      </c>
      <c r="D549">
        <v>0</v>
      </c>
      <c r="E549">
        <v>10.86291161152422</v>
      </c>
      <c r="F549">
        <v>61.241832191823349</v>
      </c>
    </row>
    <row r="550" spans="2:6" x14ac:dyDescent="0.2">
      <c r="B550">
        <v>0</v>
      </c>
      <c r="C550">
        <v>1.3454566715861951</v>
      </c>
      <c r="D550">
        <v>0</v>
      </c>
      <c r="E550">
        <v>10.868024330079466</v>
      </c>
      <c r="F550">
        <v>49.177134568406345</v>
      </c>
    </row>
    <row r="551" spans="2:6" x14ac:dyDescent="0.2">
      <c r="B551">
        <v>0</v>
      </c>
      <c r="C551">
        <v>1.3452327057638931</v>
      </c>
      <c r="D551">
        <v>0</v>
      </c>
      <c r="E551">
        <v>10.873142513841627</v>
      </c>
      <c r="F551">
        <v>37.078232263829868</v>
      </c>
    </row>
    <row r="552" spans="2:6" x14ac:dyDescent="0.2">
      <c r="B552">
        <v>95.024700476493521</v>
      </c>
      <c r="C552">
        <v>16.632897408959089</v>
      </c>
      <c r="D552">
        <v>0</v>
      </c>
      <c r="E552">
        <v>10.671191208274923</v>
      </c>
      <c r="F552">
        <v>104.88892347666621</v>
      </c>
    </row>
    <row r="553" spans="2:6" x14ac:dyDescent="0.2">
      <c r="B553">
        <v>0</v>
      </c>
      <c r="C553">
        <v>1.3906911327149873</v>
      </c>
      <c r="D553">
        <v>0</v>
      </c>
      <c r="E553">
        <v>10.684392998431383</v>
      </c>
      <c r="F553">
        <v>93.068660728505932</v>
      </c>
    </row>
    <row r="554" spans="2:6" x14ac:dyDescent="0.2">
      <c r="B554">
        <v>0</v>
      </c>
      <c r="C554">
        <v>1.3904468558155734</v>
      </c>
      <c r="D554">
        <v>0</v>
      </c>
      <c r="E554">
        <v>10.689323727780634</v>
      </c>
      <c r="F554">
        <v>81.214994904625172</v>
      </c>
    </row>
    <row r="555" spans="2:6" x14ac:dyDescent="0.2">
      <c r="B555">
        <v>0</v>
      </c>
      <c r="C555">
        <v>1.3902026218237487</v>
      </c>
      <c r="D555">
        <v>0</v>
      </c>
      <c r="E555">
        <v>10.694259733774816</v>
      </c>
      <c r="F555">
        <v>69.327839534691378</v>
      </c>
    </row>
    <row r="556" spans="2:6" x14ac:dyDescent="0.2">
      <c r="B556">
        <v>0</v>
      </c>
      <c r="C556">
        <v>1.3899584307319757</v>
      </c>
      <c r="D556">
        <v>0</v>
      </c>
      <c r="E556">
        <v>10.69920101920556</v>
      </c>
      <c r="F556">
        <v>57.407107935513501</v>
      </c>
    </row>
    <row r="557" spans="2:6" x14ac:dyDescent="0.2">
      <c r="B557">
        <v>0</v>
      </c>
      <c r="C557">
        <v>1.38971428253272</v>
      </c>
      <c r="D557">
        <v>0</v>
      </c>
      <c r="E557">
        <v>10.704147586866489</v>
      </c>
      <c r="F557">
        <v>45.452713210522681</v>
      </c>
    </row>
    <row r="558" spans="2:6" x14ac:dyDescent="0.2">
      <c r="B558">
        <v>31.219467103253969</v>
      </c>
      <c r="C558">
        <v>6.3878056542577619</v>
      </c>
      <c r="D558">
        <v>0</v>
      </c>
      <c r="E558">
        <v>10.641032745473844</v>
      </c>
      <c r="F558">
        <v>59.753766569545981</v>
      </c>
    </row>
    <row r="559" spans="2:6" x14ac:dyDescent="0.2">
      <c r="B559">
        <v>0</v>
      </c>
      <c r="C559">
        <v>1.3799606962290285</v>
      </c>
      <c r="D559">
        <v>0</v>
      </c>
      <c r="E559">
        <v>10.648674868587353</v>
      </c>
      <c r="F559">
        <v>47.870299216311707</v>
      </c>
    </row>
    <row r="560" spans="2:6" x14ac:dyDescent="0.2">
      <c r="B560">
        <v>0</v>
      </c>
      <c r="C560">
        <v>1.37971830414623</v>
      </c>
      <c r="D560">
        <v>0</v>
      </c>
      <c r="E560">
        <v>10.653603135705854</v>
      </c>
      <c r="F560">
        <v>35.95327581295318</v>
      </c>
    </row>
    <row r="561" spans="2:6" x14ac:dyDescent="0.2">
      <c r="B561">
        <v>0</v>
      </c>
      <c r="C561">
        <v>1.3794759546399502</v>
      </c>
      <c r="D561">
        <v>0</v>
      </c>
      <c r="E561">
        <v>10.658536661132036</v>
      </c>
      <c r="F561">
        <v>24.002609536164027</v>
      </c>
    </row>
    <row r="562" spans="2:6" x14ac:dyDescent="0.2">
      <c r="B562">
        <v>0</v>
      </c>
      <c r="C562">
        <v>1.3792336477027096</v>
      </c>
      <c r="D562">
        <v>0</v>
      </c>
      <c r="E562">
        <v>10.663475447650777</v>
      </c>
      <c r="F562">
        <v>12.018213348928445</v>
      </c>
    </row>
    <row r="563" spans="2:6" x14ac:dyDescent="0.2">
      <c r="B563">
        <v>0</v>
      </c>
      <c r="C563">
        <v>1.3789913833270315</v>
      </c>
      <c r="D563">
        <v>0</v>
      </c>
      <c r="E563">
        <v>10.668419498048937</v>
      </c>
      <c r="F563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cular">
                <anchor moveWithCells="1" sizeWithCells="1">
                  <from>
                    <xdr:col>8</xdr:col>
                    <xdr:colOff>228600</xdr:colOff>
                    <xdr:row>3</xdr:row>
                    <xdr:rowOff>9525</xdr:rowOff>
                  </from>
                  <to>
                    <xdr:col>11</xdr:col>
                    <xdr:colOff>161925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221"/>
  <sheetViews>
    <sheetView workbookViewId="0">
      <selection activeCell="P2" sqref="P2"/>
    </sheetView>
  </sheetViews>
  <sheetFormatPr baseColWidth="10" defaultRowHeight="12.75" x14ac:dyDescent="0.2"/>
  <cols>
    <col min="1" max="1" width="17.42578125" bestFit="1" customWidth="1"/>
    <col min="2" max="2" width="18.140625" bestFit="1" customWidth="1"/>
    <col min="3" max="3" width="15.42578125" bestFit="1" customWidth="1"/>
    <col min="4" max="4" width="14.42578125" bestFit="1" customWidth="1"/>
    <col min="5" max="5" width="12.5703125" bestFit="1" customWidth="1"/>
    <col min="6" max="6" width="13.85546875" bestFit="1" customWidth="1"/>
    <col min="7" max="7" width="4.5703125" bestFit="1" customWidth="1"/>
    <col min="8" max="8" width="12.7109375" bestFit="1" customWidth="1"/>
    <col min="9" max="9" width="15.42578125" bestFit="1" customWidth="1"/>
    <col min="10" max="10" width="17.28515625" bestFit="1" customWidth="1"/>
    <col min="11" max="11" width="17.5703125" bestFit="1" customWidth="1"/>
    <col min="12" max="12" width="13.140625" bestFit="1" customWidth="1"/>
    <col min="13" max="13" width="16.7109375" bestFit="1" customWidth="1"/>
    <col min="15" max="15" width="18.42578125" bestFit="1" customWidth="1"/>
  </cols>
  <sheetData>
    <row r="1" spans="1:16" x14ac:dyDescent="0.2">
      <c r="A1" t="s">
        <v>0</v>
      </c>
      <c r="O1" t="s">
        <v>62</v>
      </c>
      <c r="P1">
        <f>MAX(L:L)+1</f>
        <v>518</v>
      </c>
    </row>
    <row r="2" spans="1:16" x14ac:dyDescent="0.2">
      <c r="A2" t="s">
        <v>1</v>
      </c>
      <c r="B2" t="s">
        <v>2</v>
      </c>
      <c r="O2" t="s">
        <v>63</v>
      </c>
      <c r="P2">
        <f>COUNT(M:M)</f>
        <v>216</v>
      </c>
    </row>
    <row r="3" spans="1:16" x14ac:dyDescent="0.2">
      <c r="A3" t="s">
        <v>3</v>
      </c>
      <c r="B3">
        <v>1663</v>
      </c>
    </row>
    <row r="4" spans="1:16" x14ac:dyDescent="0.2">
      <c r="A4" t="s">
        <v>4</v>
      </c>
      <c r="B4" t="s">
        <v>5</v>
      </c>
      <c r="C4" t="s">
        <v>6</v>
      </c>
      <c r="D4" t="s">
        <v>6</v>
      </c>
      <c r="E4" t="s">
        <v>6</v>
      </c>
      <c r="F4" t="s">
        <v>6</v>
      </c>
      <c r="G4" t="s">
        <v>6</v>
      </c>
      <c r="H4" t="s">
        <v>6</v>
      </c>
      <c r="I4" t="s">
        <v>7</v>
      </c>
      <c r="J4" t="s">
        <v>7</v>
      </c>
    </row>
    <row r="5" spans="1:16" x14ac:dyDescent="0.2">
      <c r="A5" t="s">
        <v>8</v>
      </c>
      <c r="B5" t="s">
        <v>9</v>
      </c>
      <c r="C5" t="s">
        <v>10</v>
      </c>
      <c r="D5" t="s">
        <v>11</v>
      </c>
      <c r="E5" t="s">
        <v>12</v>
      </c>
      <c r="F5" t="s">
        <v>13</v>
      </c>
      <c r="G5" t="s">
        <v>14</v>
      </c>
      <c r="H5" t="s">
        <v>15</v>
      </c>
      <c r="I5" t="s">
        <v>16</v>
      </c>
      <c r="J5" s="1" t="s">
        <v>28</v>
      </c>
      <c r="K5" s="1" t="s">
        <v>60</v>
      </c>
      <c r="L5" s="1" t="s">
        <v>61</v>
      </c>
      <c r="M5" s="1" t="s">
        <v>69</v>
      </c>
    </row>
    <row r="6" spans="1:16" x14ac:dyDescent="0.2">
      <c r="A6" t="s">
        <v>17</v>
      </c>
      <c r="B6">
        <v>8</v>
      </c>
      <c r="C6">
        <v>17</v>
      </c>
      <c r="D6">
        <v>139</v>
      </c>
      <c r="E6">
        <v>1</v>
      </c>
      <c r="F6">
        <v>1119001</v>
      </c>
      <c r="G6">
        <v>1</v>
      </c>
      <c r="H6">
        <v>1</v>
      </c>
      <c r="I6">
        <v>0</v>
      </c>
      <c r="J6">
        <f>65-C6</f>
        <v>48</v>
      </c>
      <c r="K6">
        <f>J6*12</f>
        <v>576</v>
      </c>
      <c r="L6">
        <f>K6-D6</f>
        <v>437</v>
      </c>
      <c r="M6">
        <f>2017+L6/12</f>
        <v>2053.4166666666665</v>
      </c>
    </row>
    <row r="7" spans="1:16" x14ac:dyDescent="0.2">
      <c r="A7" t="s">
        <v>17</v>
      </c>
      <c r="B7">
        <v>8</v>
      </c>
      <c r="C7">
        <v>18</v>
      </c>
      <c r="D7">
        <v>47</v>
      </c>
      <c r="E7">
        <v>1</v>
      </c>
      <c r="F7">
        <v>2094501</v>
      </c>
      <c r="G7">
        <v>0</v>
      </c>
      <c r="H7">
        <v>1</v>
      </c>
      <c r="I7">
        <v>0</v>
      </c>
      <c r="J7">
        <f t="shared" ref="J7:J70" si="0">65-C7</f>
        <v>47</v>
      </c>
      <c r="K7">
        <f t="shared" ref="K7:K70" si="1">J7*12</f>
        <v>564</v>
      </c>
      <c r="L7">
        <f t="shared" ref="L7:L70" si="2">K7-D7</f>
        <v>517</v>
      </c>
      <c r="M7">
        <f t="shared" ref="M7:M70" si="3">2017+L7/12</f>
        <v>2060.0833333333335</v>
      </c>
    </row>
    <row r="8" spans="1:16" x14ac:dyDescent="0.2">
      <c r="A8" t="s">
        <v>17</v>
      </c>
      <c r="B8">
        <v>8</v>
      </c>
      <c r="C8">
        <v>18</v>
      </c>
      <c r="D8">
        <v>108</v>
      </c>
      <c r="E8">
        <v>1</v>
      </c>
      <c r="F8">
        <v>1751301</v>
      </c>
      <c r="G8">
        <v>1</v>
      </c>
      <c r="H8">
        <v>1</v>
      </c>
      <c r="I8">
        <v>0</v>
      </c>
      <c r="J8">
        <f t="shared" si="0"/>
        <v>47</v>
      </c>
      <c r="K8">
        <f t="shared" si="1"/>
        <v>564</v>
      </c>
      <c r="L8">
        <f t="shared" si="2"/>
        <v>456</v>
      </c>
      <c r="M8">
        <f t="shared" si="3"/>
        <v>2055</v>
      </c>
    </row>
    <row r="9" spans="1:16" x14ac:dyDescent="0.2">
      <c r="A9" t="s">
        <v>17</v>
      </c>
      <c r="B9">
        <v>8</v>
      </c>
      <c r="C9">
        <v>18</v>
      </c>
      <c r="D9">
        <v>109</v>
      </c>
      <c r="E9">
        <v>1</v>
      </c>
      <c r="F9">
        <v>1731901</v>
      </c>
      <c r="G9">
        <v>0</v>
      </c>
      <c r="H9">
        <v>1</v>
      </c>
      <c r="I9">
        <v>0</v>
      </c>
      <c r="J9">
        <f t="shared" si="0"/>
        <v>47</v>
      </c>
      <c r="K9">
        <f t="shared" si="1"/>
        <v>564</v>
      </c>
      <c r="L9">
        <f t="shared" si="2"/>
        <v>455</v>
      </c>
      <c r="M9">
        <f t="shared" si="3"/>
        <v>2054.9166666666665</v>
      </c>
    </row>
    <row r="10" spans="1:16" x14ac:dyDescent="0.2">
      <c r="A10" t="s">
        <v>17</v>
      </c>
      <c r="B10">
        <v>8</v>
      </c>
      <c r="C10">
        <v>18</v>
      </c>
      <c r="D10">
        <v>121</v>
      </c>
      <c r="E10">
        <v>1</v>
      </c>
      <c r="F10">
        <v>1629901</v>
      </c>
      <c r="G10">
        <v>1</v>
      </c>
      <c r="H10">
        <v>1</v>
      </c>
      <c r="I10">
        <v>0</v>
      </c>
      <c r="J10">
        <f t="shared" si="0"/>
        <v>47</v>
      </c>
      <c r="K10">
        <f t="shared" si="1"/>
        <v>564</v>
      </c>
      <c r="L10">
        <f t="shared" si="2"/>
        <v>443</v>
      </c>
      <c r="M10">
        <f t="shared" si="3"/>
        <v>2053.9166666666665</v>
      </c>
    </row>
    <row r="11" spans="1:16" x14ac:dyDescent="0.2">
      <c r="A11" t="s">
        <v>17</v>
      </c>
      <c r="B11">
        <v>8</v>
      </c>
      <c r="C11">
        <v>18</v>
      </c>
      <c r="D11">
        <v>141</v>
      </c>
      <c r="E11">
        <v>1</v>
      </c>
      <c r="F11">
        <v>1124201</v>
      </c>
      <c r="G11">
        <v>0</v>
      </c>
      <c r="H11">
        <v>1</v>
      </c>
      <c r="I11">
        <v>0</v>
      </c>
      <c r="J11">
        <f t="shared" si="0"/>
        <v>47</v>
      </c>
      <c r="K11">
        <f t="shared" si="1"/>
        <v>564</v>
      </c>
      <c r="L11">
        <f t="shared" si="2"/>
        <v>423</v>
      </c>
      <c r="M11">
        <f t="shared" si="3"/>
        <v>2052.25</v>
      </c>
    </row>
    <row r="12" spans="1:16" x14ac:dyDescent="0.2">
      <c r="A12" t="s">
        <v>17</v>
      </c>
      <c r="B12">
        <v>8</v>
      </c>
      <c r="C12">
        <v>18</v>
      </c>
      <c r="D12">
        <v>144</v>
      </c>
      <c r="E12">
        <v>1</v>
      </c>
      <c r="F12">
        <v>1095201</v>
      </c>
      <c r="G12">
        <v>1</v>
      </c>
      <c r="H12">
        <v>1</v>
      </c>
      <c r="I12">
        <v>0</v>
      </c>
      <c r="J12">
        <f t="shared" si="0"/>
        <v>47</v>
      </c>
      <c r="K12">
        <f t="shared" si="1"/>
        <v>564</v>
      </c>
      <c r="L12">
        <f t="shared" si="2"/>
        <v>420</v>
      </c>
      <c r="M12">
        <f t="shared" si="3"/>
        <v>2052</v>
      </c>
    </row>
    <row r="13" spans="1:16" x14ac:dyDescent="0.2">
      <c r="A13" t="s">
        <v>17</v>
      </c>
      <c r="B13">
        <v>8</v>
      </c>
      <c r="C13">
        <v>18</v>
      </c>
      <c r="D13">
        <v>144</v>
      </c>
      <c r="E13">
        <v>12</v>
      </c>
      <c r="F13">
        <v>1099301</v>
      </c>
      <c r="G13">
        <v>0</v>
      </c>
      <c r="H13">
        <v>1</v>
      </c>
      <c r="I13">
        <v>0</v>
      </c>
      <c r="J13">
        <f t="shared" si="0"/>
        <v>47</v>
      </c>
      <c r="K13">
        <f t="shared" si="1"/>
        <v>564</v>
      </c>
      <c r="L13">
        <f t="shared" si="2"/>
        <v>420</v>
      </c>
      <c r="M13">
        <f t="shared" si="3"/>
        <v>2052</v>
      </c>
    </row>
    <row r="14" spans="1:16" x14ac:dyDescent="0.2">
      <c r="A14" t="s">
        <v>17</v>
      </c>
      <c r="B14">
        <v>8</v>
      </c>
      <c r="C14">
        <v>18</v>
      </c>
      <c r="D14">
        <v>158</v>
      </c>
      <c r="E14">
        <v>1</v>
      </c>
      <c r="F14">
        <v>991901</v>
      </c>
      <c r="G14">
        <v>0</v>
      </c>
      <c r="H14">
        <v>1</v>
      </c>
      <c r="I14">
        <v>0</v>
      </c>
      <c r="J14">
        <f t="shared" si="0"/>
        <v>47</v>
      </c>
      <c r="K14">
        <f t="shared" si="1"/>
        <v>564</v>
      </c>
      <c r="L14">
        <f t="shared" si="2"/>
        <v>406</v>
      </c>
      <c r="M14">
        <f t="shared" si="3"/>
        <v>2050.8333333333335</v>
      </c>
    </row>
    <row r="15" spans="1:16" x14ac:dyDescent="0.2">
      <c r="A15" t="s">
        <v>17</v>
      </c>
      <c r="B15">
        <v>8</v>
      </c>
      <c r="C15">
        <v>18</v>
      </c>
      <c r="D15">
        <v>164</v>
      </c>
      <c r="E15">
        <v>2</v>
      </c>
      <c r="F15">
        <v>932101</v>
      </c>
      <c r="G15">
        <v>1</v>
      </c>
      <c r="H15">
        <v>1</v>
      </c>
      <c r="I15">
        <v>0</v>
      </c>
      <c r="J15">
        <f t="shared" si="0"/>
        <v>47</v>
      </c>
      <c r="K15">
        <f t="shared" si="1"/>
        <v>564</v>
      </c>
      <c r="L15">
        <f t="shared" si="2"/>
        <v>400</v>
      </c>
      <c r="M15">
        <f t="shared" si="3"/>
        <v>2050.3333333333335</v>
      </c>
    </row>
    <row r="16" spans="1:16" x14ac:dyDescent="0.2">
      <c r="A16" t="s">
        <v>17</v>
      </c>
      <c r="B16">
        <v>8</v>
      </c>
      <c r="C16">
        <v>18</v>
      </c>
      <c r="D16">
        <v>170</v>
      </c>
      <c r="E16">
        <v>1</v>
      </c>
      <c r="F16">
        <v>901901</v>
      </c>
      <c r="G16">
        <v>0</v>
      </c>
      <c r="H16">
        <v>1</v>
      </c>
      <c r="I16">
        <v>0</v>
      </c>
      <c r="J16">
        <f t="shared" si="0"/>
        <v>47</v>
      </c>
      <c r="K16">
        <f t="shared" si="1"/>
        <v>564</v>
      </c>
      <c r="L16">
        <f t="shared" si="2"/>
        <v>394</v>
      </c>
      <c r="M16">
        <f t="shared" si="3"/>
        <v>2049.8333333333335</v>
      </c>
    </row>
    <row r="17" spans="1:13" x14ac:dyDescent="0.2">
      <c r="A17" t="s">
        <v>17</v>
      </c>
      <c r="B17">
        <v>8</v>
      </c>
      <c r="C17">
        <v>18</v>
      </c>
      <c r="D17">
        <v>199</v>
      </c>
      <c r="E17">
        <v>1</v>
      </c>
      <c r="F17">
        <v>802701</v>
      </c>
      <c r="G17">
        <v>0</v>
      </c>
      <c r="H17">
        <v>1</v>
      </c>
      <c r="I17">
        <v>0</v>
      </c>
      <c r="J17">
        <f t="shared" si="0"/>
        <v>47</v>
      </c>
      <c r="K17">
        <f t="shared" si="1"/>
        <v>564</v>
      </c>
      <c r="L17">
        <f t="shared" si="2"/>
        <v>365</v>
      </c>
      <c r="M17">
        <f t="shared" si="3"/>
        <v>2047.4166666666667</v>
      </c>
    </row>
    <row r="18" spans="1:13" x14ac:dyDescent="0.2">
      <c r="A18" t="s">
        <v>17</v>
      </c>
      <c r="B18">
        <v>8</v>
      </c>
      <c r="C18">
        <v>18</v>
      </c>
      <c r="D18">
        <v>229</v>
      </c>
      <c r="E18">
        <v>12</v>
      </c>
      <c r="F18">
        <v>207202</v>
      </c>
      <c r="G18">
        <v>0</v>
      </c>
      <c r="H18">
        <v>1</v>
      </c>
      <c r="I18">
        <v>0</v>
      </c>
      <c r="J18">
        <f t="shared" si="0"/>
        <v>47</v>
      </c>
      <c r="K18">
        <f t="shared" si="1"/>
        <v>564</v>
      </c>
      <c r="L18">
        <f t="shared" si="2"/>
        <v>335</v>
      </c>
      <c r="M18">
        <f t="shared" si="3"/>
        <v>2044.9166666666667</v>
      </c>
    </row>
    <row r="19" spans="1:13" x14ac:dyDescent="0.2">
      <c r="A19" t="s">
        <v>17</v>
      </c>
      <c r="B19">
        <v>8</v>
      </c>
      <c r="C19">
        <v>19</v>
      </c>
      <c r="D19">
        <v>38</v>
      </c>
      <c r="E19">
        <v>1</v>
      </c>
      <c r="F19">
        <v>44703</v>
      </c>
      <c r="G19">
        <v>0</v>
      </c>
      <c r="H19">
        <v>1</v>
      </c>
      <c r="I19">
        <v>0</v>
      </c>
      <c r="J19">
        <f t="shared" si="0"/>
        <v>46</v>
      </c>
      <c r="K19">
        <f t="shared" si="1"/>
        <v>552</v>
      </c>
      <c r="L19">
        <f t="shared" si="2"/>
        <v>514</v>
      </c>
      <c r="M19">
        <f t="shared" si="3"/>
        <v>2059.8333333333335</v>
      </c>
    </row>
    <row r="20" spans="1:13" x14ac:dyDescent="0.2">
      <c r="A20" t="s">
        <v>17</v>
      </c>
      <c r="B20">
        <v>8</v>
      </c>
      <c r="C20">
        <v>19</v>
      </c>
      <c r="D20">
        <v>49</v>
      </c>
      <c r="E20">
        <v>1</v>
      </c>
      <c r="F20">
        <v>2086001</v>
      </c>
      <c r="G20">
        <v>1</v>
      </c>
      <c r="H20">
        <v>1</v>
      </c>
      <c r="I20">
        <v>0</v>
      </c>
      <c r="J20">
        <f t="shared" si="0"/>
        <v>46</v>
      </c>
      <c r="K20">
        <f t="shared" si="1"/>
        <v>552</v>
      </c>
      <c r="L20">
        <f t="shared" si="2"/>
        <v>503</v>
      </c>
      <c r="M20">
        <f t="shared" si="3"/>
        <v>2058.9166666666665</v>
      </c>
    </row>
    <row r="21" spans="1:13" x14ac:dyDescent="0.2">
      <c r="A21" t="s">
        <v>17</v>
      </c>
      <c r="B21">
        <v>8</v>
      </c>
      <c r="C21">
        <v>19</v>
      </c>
      <c r="D21">
        <v>104</v>
      </c>
      <c r="E21">
        <v>1</v>
      </c>
      <c r="F21">
        <v>1798201</v>
      </c>
      <c r="G21">
        <v>1</v>
      </c>
      <c r="H21">
        <v>1</v>
      </c>
      <c r="I21">
        <v>0</v>
      </c>
      <c r="J21">
        <f t="shared" si="0"/>
        <v>46</v>
      </c>
      <c r="K21">
        <f t="shared" si="1"/>
        <v>552</v>
      </c>
      <c r="L21">
        <f t="shared" si="2"/>
        <v>448</v>
      </c>
      <c r="M21">
        <f t="shared" si="3"/>
        <v>2054.3333333333335</v>
      </c>
    </row>
    <row r="22" spans="1:13" x14ac:dyDescent="0.2">
      <c r="A22" t="s">
        <v>17</v>
      </c>
      <c r="B22">
        <v>8</v>
      </c>
      <c r="C22">
        <v>19</v>
      </c>
      <c r="D22">
        <v>110</v>
      </c>
      <c r="E22">
        <v>1</v>
      </c>
      <c r="F22">
        <v>1718701</v>
      </c>
      <c r="G22">
        <v>0</v>
      </c>
      <c r="H22">
        <v>1</v>
      </c>
      <c r="I22">
        <v>0</v>
      </c>
      <c r="J22">
        <f t="shared" si="0"/>
        <v>46</v>
      </c>
      <c r="K22">
        <f t="shared" si="1"/>
        <v>552</v>
      </c>
      <c r="L22">
        <f t="shared" si="2"/>
        <v>442</v>
      </c>
      <c r="M22">
        <f t="shared" si="3"/>
        <v>2053.8333333333335</v>
      </c>
    </row>
    <row r="23" spans="1:13" x14ac:dyDescent="0.2">
      <c r="A23" t="s">
        <v>17</v>
      </c>
      <c r="B23">
        <v>8</v>
      </c>
      <c r="C23">
        <v>19</v>
      </c>
      <c r="D23">
        <v>146</v>
      </c>
      <c r="E23">
        <v>1</v>
      </c>
      <c r="F23">
        <v>1077001</v>
      </c>
      <c r="G23">
        <v>1</v>
      </c>
      <c r="H23">
        <v>1</v>
      </c>
      <c r="I23">
        <v>0</v>
      </c>
      <c r="J23">
        <f t="shared" si="0"/>
        <v>46</v>
      </c>
      <c r="K23">
        <f t="shared" si="1"/>
        <v>552</v>
      </c>
      <c r="L23">
        <f t="shared" si="2"/>
        <v>406</v>
      </c>
      <c r="M23">
        <f t="shared" si="3"/>
        <v>2050.8333333333335</v>
      </c>
    </row>
    <row r="24" spans="1:13" x14ac:dyDescent="0.2">
      <c r="A24" t="s">
        <v>17</v>
      </c>
      <c r="B24">
        <v>8</v>
      </c>
      <c r="C24">
        <v>19</v>
      </c>
      <c r="D24">
        <v>156</v>
      </c>
      <c r="E24">
        <v>1</v>
      </c>
      <c r="F24">
        <v>992701</v>
      </c>
      <c r="G24">
        <v>0</v>
      </c>
      <c r="H24">
        <v>1</v>
      </c>
      <c r="I24">
        <v>0</v>
      </c>
      <c r="J24">
        <f t="shared" si="0"/>
        <v>46</v>
      </c>
      <c r="K24">
        <f t="shared" si="1"/>
        <v>552</v>
      </c>
      <c r="L24">
        <f t="shared" si="2"/>
        <v>396</v>
      </c>
      <c r="M24">
        <f t="shared" si="3"/>
        <v>2050</v>
      </c>
    </row>
    <row r="25" spans="1:13" x14ac:dyDescent="0.2">
      <c r="A25" t="s">
        <v>17</v>
      </c>
      <c r="B25">
        <v>8</v>
      </c>
      <c r="C25">
        <v>19</v>
      </c>
      <c r="D25">
        <v>193</v>
      </c>
      <c r="E25">
        <v>1</v>
      </c>
      <c r="F25">
        <v>844402</v>
      </c>
      <c r="G25">
        <v>0</v>
      </c>
      <c r="H25">
        <v>1</v>
      </c>
      <c r="I25">
        <v>0</v>
      </c>
      <c r="J25">
        <f t="shared" si="0"/>
        <v>46</v>
      </c>
      <c r="K25">
        <f t="shared" si="1"/>
        <v>552</v>
      </c>
      <c r="L25">
        <f t="shared" si="2"/>
        <v>359</v>
      </c>
      <c r="M25">
        <f t="shared" si="3"/>
        <v>2046.9166666666667</v>
      </c>
    </row>
    <row r="26" spans="1:13" x14ac:dyDescent="0.2">
      <c r="A26" t="s">
        <v>17</v>
      </c>
      <c r="B26">
        <v>8</v>
      </c>
      <c r="C26">
        <v>19</v>
      </c>
      <c r="D26">
        <v>199</v>
      </c>
      <c r="E26">
        <v>1</v>
      </c>
      <c r="F26">
        <v>802601</v>
      </c>
      <c r="G26">
        <v>0</v>
      </c>
      <c r="H26">
        <v>1</v>
      </c>
      <c r="I26">
        <v>0</v>
      </c>
      <c r="J26">
        <f t="shared" si="0"/>
        <v>46</v>
      </c>
      <c r="K26">
        <f t="shared" si="1"/>
        <v>552</v>
      </c>
      <c r="L26">
        <f t="shared" si="2"/>
        <v>353</v>
      </c>
      <c r="M26">
        <f t="shared" si="3"/>
        <v>2046.4166666666667</v>
      </c>
    </row>
    <row r="27" spans="1:13" x14ac:dyDescent="0.2">
      <c r="A27" t="s">
        <v>17</v>
      </c>
      <c r="B27">
        <v>8</v>
      </c>
      <c r="C27">
        <v>19</v>
      </c>
      <c r="D27">
        <v>229</v>
      </c>
      <c r="E27">
        <v>1</v>
      </c>
      <c r="F27">
        <v>200502</v>
      </c>
      <c r="G27">
        <v>0</v>
      </c>
      <c r="H27">
        <v>1</v>
      </c>
      <c r="I27">
        <v>0</v>
      </c>
      <c r="J27">
        <f t="shared" si="0"/>
        <v>46</v>
      </c>
      <c r="K27">
        <f t="shared" si="1"/>
        <v>552</v>
      </c>
      <c r="L27">
        <f t="shared" si="2"/>
        <v>323</v>
      </c>
      <c r="M27">
        <f t="shared" si="3"/>
        <v>2043.9166666666667</v>
      </c>
    </row>
    <row r="28" spans="1:13" x14ac:dyDescent="0.2">
      <c r="A28" t="s">
        <v>17</v>
      </c>
      <c r="B28">
        <v>8</v>
      </c>
      <c r="C28">
        <v>20</v>
      </c>
      <c r="D28">
        <v>37</v>
      </c>
      <c r="E28">
        <v>1</v>
      </c>
      <c r="F28">
        <v>2142201</v>
      </c>
      <c r="G28">
        <v>0</v>
      </c>
      <c r="H28">
        <v>1</v>
      </c>
      <c r="I28">
        <v>0</v>
      </c>
      <c r="J28">
        <f t="shared" si="0"/>
        <v>45</v>
      </c>
      <c r="K28">
        <f t="shared" si="1"/>
        <v>540</v>
      </c>
      <c r="L28">
        <f t="shared" si="2"/>
        <v>503</v>
      </c>
      <c r="M28">
        <f t="shared" si="3"/>
        <v>2058.9166666666665</v>
      </c>
    </row>
    <row r="29" spans="1:13" x14ac:dyDescent="0.2">
      <c r="A29" t="s">
        <v>17</v>
      </c>
      <c r="B29">
        <v>8</v>
      </c>
      <c r="C29">
        <v>20</v>
      </c>
      <c r="D29">
        <v>105</v>
      </c>
      <c r="E29">
        <v>1</v>
      </c>
      <c r="F29">
        <v>1791301</v>
      </c>
      <c r="G29">
        <v>0</v>
      </c>
      <c r="H29">
        <v>1</v>
      </c>
      <c r="I29">
        <v>0</v>
      </c>
      <c r="J29">
        <f t="shared" si="0"/>
        <v>45</v>
      </c>
      <c r="K29">
        <f t="shared" si="1"/>
        <v>540</v>
      </c>
      <c r="L29">
        <f t="shared" si="2"/>
        <v>435</v>
      </c>
      <c r="M29">
        <f t="shared" si="3"/>
        <v>2053.25</v>
      </c>
    </row>
    <row r="30" spans="1:13" x14ac:dyDescent="0.2">
      <c r="A30" t="s">
        <v>17</v>
      </c>
      <c r="B30">
        <v>8</v>
      </c>
      <c r="C30">
        <v>20</v>
      </c>
      <c r="D30">
        <v>107</v>
      </c>
      <c r="E30">
        <v>1</v>
      </c>
      <c r="F30">
        <v>1761601</v>
      </c>
      <c r="G30">
        <v>0</v>
      </c>
      <c r="H30">
        <v>1</v>
      </c>
      <c r="I30">
        <v>0</v>
      </c>
      <c r="J30">
        <f t="shared" si="0"/>
        <v>45</v>
      </c>
      <c r="K30">
        <f t="shared" si="1"/>
        <v>540</v>
      </c>
      <c r="L30">
        <f t="shared" si="2"/>
        <v>433</v>
      </c>
      <c r="M30">
        <f t="shared" si="3"/>
        <v>2053.0833333333335</v>
      </c>
    </row>
    <row r="31" spans="1:13" x14ac:dyDescent="0.2">
      <c r="A31" t="s">
        <v>17</v>
      </c>
      <c r="B31">
        <v>8</v>
      </c>
      <c r="C31">
        <v>20</v>
      </c>
      <c r="D31">
        <v>120</v>
      </c>
      <c r="E31">
        <v>1</v>
      </c>
      <c r="F31">
        <v>1633201</v>
      </c>
      <c r="G31">
        <v>0</v>
      </c>
      <c r="H31">
        <v>1</v>
      </c>
      <c r="I31">
        <v>0</v>
      </c>
      <c r="J31">
        <f t="shared" si="0"/>
        <v>45</v>
      </c>
      <c r="K31">
        <f t="shared" si="1"/>
        <v>540</v>
      </c>
      <c r="L31">
        <f t="shared" si="2"/>
        <v>420</v>
      </c>
      <c r="M31">
        <f t="shared" si="3"/>
        <v>2052</v>
      </c>
    </row>
    <row r="32" spans="1:13" x14ac:dyDescent="0.2">
      <c r="A32" t="s">
        <v>17</v>
      </c>
      <c r="B32">
        <v>8</v>
      </c>
      <c r="C32">
        <v>20</v>
      </c>
      <c r="D32">
        <v>147</v>
      </c>
      <c r="E32">
        <v>1</v>
      </c>
      <c r="F32">
        <v>1067601</v>
      </c>
      <c r="G32">
        <v>0</v>
      </c>
      <c r="H32">
        <v>1</v>
      </c>
      <c r="I32">
        <v>0</v>
      </c>
      <c r="J32">
        <f t="shared" si="0"/>
        <v>45</v>
      </c>
      <c r="K32">
        <f t="shared" si="1"/>
        <v>540</v>
      </c>
      <c r="L32">
        <f t="shared" si="2"/>
        <v>393</v>
      </c>
      <c r="M32">
        <f t="shared" si="3"/>
        <v>2049.75</v>
      </c>
    </row>
    <row r="33" spans="1:13" x14ac:dyDescent="0.2">
      <c r="A33" t="s">
        <v>17</v>
      </c>
      <c r="B33">
        <v>8</v>
      </c>
      <c r="C33">
        <v>20</v>
      </c>
      <c r="D33">
        <v>160</v>
      </c>
      <c r="E33">
        <v>1</v>
      </c>
      <c r="F33">
        <v>972302</v>
      </c>
      <c r="G33">
        <v>0</v>
      </c>
      <c r="H33">
        <v>1</v>
      </c>
      <c r="I33">
        <v>0</v>
      </c>
      <c r="J33">
        <f t="shared" si="0"/>
        <v>45</v>
      </c>
      <c r="K33">
        <f t="shared" si="1"/>
        <v>540</v>
      </c>
      <c r="L33">
        <f t="shared" si="2"/>
        <v>380</v>
      </c>
      <c r="M33">
        <f t="shared" si="3"/>
        <v>2048.6666666666665</v>
      </c>
    </row>
    <row r="34" spans="1:13" x14ac:dyDescent="0.2">
      <c r="A34" t="s">
        <v>17</v>
      </c>
      <c r="B34">
        <v>8</v>
      </c>
      <c r="C34">
        <v>20</v>
      </c>
      <c r="D34">
        <v>165</v>
      </c>
      <c r="E34">
        <v>12</v>
      </c>
      <c r="F34">
        <v>930101</v>
      </c>
      <c r="G34">
        <v>0</v>
      </c>
      <c r="H34">
        <v>1</v>
      </c>
      <c r="I34">
        <v>0</v>
      </c>
      <c r="J34">
        <f t="shared" si="0"/>
        <v>45</v>
      </c>
      <c r="K34">
        <f t="shared" si="1"/>
        <v>540</v>
      </c>
      <c r="L34">
        <f t="shared" si="2"/>
        <v>375</v>
      </c>
      <c r="M34">
        <f t="shared" si="3"/>
        <v>2048.25</v>
      </c>
    </row>
    <row r="35" spans="1:13" x14ac:dyDescent="0.2">
      <c r="A35" t="s">
        <v>17</v>
      </c>
      <c r="B35">
        <v>8</v>
      </c>
      <c r="C35">
        <v>20</v>
      </c>
      <c r="D35">
        <v>225</v>
      </c>
      <c r="E35">
        <v>1</v>
      </c>
      <c r="F35">
        <v>245202</v>
      </c>
      <c r="G35">
        <v>0</v>
      </c>
      <c r="H35">
        <v>1</v>
      </c>
      <c r="I35">
        <v>0</v>
      </c>
      <c r="J35">
        <f t="shared" si="0"/>
        <v>45</v>
      </c>
      <c r="K35">
        <f t="shared" si="1"/>
        <v>540</v>
      </c>
      <c r="L35">
        <f t="shared" si="2"/>
        <v>315</v>
      </c>
      <c r="M35">
        <f t="shared" si="3"/>
        <v>2043.25</v>
      </c>
    </row>
    <row r="36" spans="1:13" x14ac:dyDescent="0.2">
      <c r="A36" t="s">
        <v>17</v>
      </c>
      <c r="B36">
        <v>8</v>
      </c>
      <c r="C36">
        <v>21</v>
      </c>
      <c r="D36">
        <v>110</v>
      </c>
      <c r="E36">
        <v>1</v>
      </c>
      <c r="F36">
        <v>1710801</v>
      </c>
      <c r="G36">
        <v>0</v>
      </c>
      <c r="H36">
        <v>1</v>
      </c>
      <c r="I36">
        <v>0</v>
      </c>
      <c r="J36">
        <f t="shared" si="0"/>
        <v>44</v>
      </c>
      <c r="K36">
        <f t="shared" si="1"/>
        <v>528</v>
      </c>
      <c r="L36">
        <f t="shared" si="2"/>
        <v>418</v>
      </c>
      <c r="M36">
        <f t="shared" si="3"/>
        <v>2051.8333333333335</v>
      </c>
    </row>
    <row r="37" spans="1:13" x14ac:dyDescent="0.2">
      <c r="A37" t="s">
        <v>17</v>
      </c>
      <c r="B37">
        <v>8</v>
      </c>
      <c r="C37">
        <v>21</v>
      </c>
      <c r="D37">
        <v>129</v>
      </c>
      <c r="E37">
        <v>1</v>
      </c>
      <c r="F37">
        <v>1152101</v>
      </c>
      <c r="G37">
        <v>0</v>
      </c>
      <c r="H37">
        <v>1</v>
      </c>
      <c r="I37">
        <v>0</v>
      </c>
      <c r="J37">
        <f t="shared" si="0"/>
        <v>44</v>
      </c>
      <c r="K37">
        <f t="shared" si="1"/>
        <v>528</v>
      </c>
      <c r="L37">
        <f t="shared" si="2"/>
        <v>399</v>
      </c>
      <c r="M37">
        <f t="shared" si="3"/>
        <v>2050.25</v>
      </c>
    </row>
    <row r="38" spans="1:13" x14ac:dyDescent="0.2">
      <c r="A38" t="s">
        <v>17</v>
      </c>
      <c r="B38">
        <v>8</v>
      </c>
      <c r="C38">
        <v>21</v>
      </c>
      <c r="D38">
        <v>141</v>
      </c>
      <c r="E38">
        <v>1</v>
      </c>
      <c r="F38">
        <v>1118601</v>
      </c>
      <c r="G38">
        <v>0</v>
      </c>
      <c r="H38">
        <v>1</v>
      </c>
      <c r="I38">
        <v>0</v>
      </c>
      <c r="J38">
        <f t="shared" si="0"/>
        <v>44</v>
      </c>
      <c r="K38">
        <f t="shared" si="1"/>
        <v>528</v>
      </c>
      <c r="L38">
        <f t="shared" si="2"/>
        <v>387</v>
      </c>
      <c r="M38">
        <f t="shared" si="3"/>
        <v>2049.25</v>
      </c>
    </row>
    <row r="39" spans="1:13" x14ac:dyDescent="0.2">
      <c r="A39" t="s">
        <v>17</v>
      </c>
      <c r="B39">
        <v>8</v>
      </c>
      <c r="C39">
        <v>21</v>
      </c>
      <c r="D39">
        <v>144</v>
      </c>
      <c r="E39">
        <v>1</v>
      </c>
      <c r="F39">
        <v>1080401</v>
      </c>
      <c r="G39">
        <v>0</v>
      </c>
      <c r="H39">
        <v>1</v>
      </c>
      <c r="I39">
        <v>0</v>
      </c>
      <c r="J39">
        <f t="shared" si="0"/>
        <v>44</v>
      </c>
      <c r="K39">
        <f t="shared" si="1"/>
        <v>528</v>
      </c>
      <c r="L39">
        <f t="shared" si="2"/>
        <v>384</v>
      </c>
      <c r="M39">
        <f t="shared" si="3"/>
        <v>2049</v>
      </c>
    </row>
    <row r="40" spans="1:13" x14ac:dyDescent="0.2">
      <c r="A40" t="s">
        <v>17</v>
      </c>
      <c r="B40">
        <v>8</v>
      </c>
      <c r="C40">
        <v>21</v>
      </c>
      <c r="D40">
        <v>159</v>
      </c>
      <c r="E40">
        <v>1</v>
      </c>
      <c r="F40">
        <v>979301</v>
      </c>
      <c r="G40">
        <v>0</v>
      </c>
      <c r="H40">
        <v>1</v>
      </c>
      <c r="I40">
        <v>0</v>
      </c>
      <c r="J40">
        <f t="shared" si="0"/>
        <v>44</v>
      </c>
      <c r="K40">
        <f t="shared" si="1"/>
        <v>528</v>
      </c>
      <c r="L40">
        <f t="shared" si="2"/>
        <v>369</v>
      </c>
      <c r="M40">
        <f t="shared" si="3"/>
        <v>2047.75</v>
      </c>
    </row>
    <row r="41" spans="1:13" x14ac:dyDescent="0.2">
      <c r="A41" t="s">
        <v>17</v>
      </c>
      <c r="B41">
        <v>8</v>
      </c>
      <c r="C41">
        <v>21</v>
      </c>
      <c r="D41">
        <v>161</v>
      </c>
      <c r="E41">
        <v>1</v>
      </c>
      <c r="F41">
        <v>959002</v>
      </c>
      <c r="G41">
        <v>0</v>
      </c>
      <c r="H41">
        <v>1</v>
      </c>
      <c r="I41">
        <v>0</v>
      </c>
      <c r="J41">
        <f t="shared" si="0"/>
        <v>44</v>
      </c>
      <c r="K41">
        <f t="shared" si="1"/>
        <v>528</v>
      </c>
      <c r="L41">
        <f t="shared" si="2"/>
        <v>367</v>
      </c>
      <c r="M41">
        <f t="shared" si="3"/>
        <v>2047.5833333333333</v>
      </c>
    </row>
    <row r="42" spans="1:13" x14ac:dyDescent="0.2">
      <c r="A42" t="s">
        <v>17</v>
      </c>
      <c r="B42">
        <v>8</v>
      </c>
      <c r="C42">
        <v>21</v>
      </c>
      <c r="D42">
        <v>162</v>
      </c>
      <c r="E42">
        <v>1</v>
      </c>
      <c r="F42">
        <v>951202</v>
      </c>
      <c r="G42">
        <v>0</v>
      </c>
      <c r="H42">
        <v>1</v>
      </c>
      <c r="I42">
        <v>0</v>
      </c>
      <c r="J42">
        <f t="shared" si="0"/>
        <v>44</v>
      </c>
      <c r="K42">
        <f t="shared" si="1"/>
        <v>528</v>
      </c>
      <c r="L42">
        <f t="shared" si="2"/>
        <v>366</v>
      </c>
      <c r="M42">
        <f t="shared" si="3"/>
        <v>2047.5</v>
      </c>
    </row>
    <row r="43" spans="1:13" x14ac:dyDescent="0.2">
      <c r="A43" t="s">
        <v>17</v>
      </c>
      <c r="B43">
        <v>8</v>
      </c>
      <c r="C43">
        <v>21</v>
      </c>
      <c r="D43">
        <v>214</v>
      </c>
      <c r="E43">
        <v>1</v>
      </c>
      <c r="F43">
        <v>166202</v>
      </c>
      <c r="G43">
        <v>1</v>
      </c>
      <c r="H43">
        <v>1</v>
      </c>
      <c r="I43">
        <v>0</v>
      </c>
      <c r="J43">
        <f t="shared" si="0"/>
        <v>44</v>
      </c>
      <c r="K43">
        <f t="shared" si="1"/>
        <v>528</v>
      </c>
      <c r="L43">
        <f t="shared" si="2"/>
        <v>314</v>
      </c>
      <c r="M43">
        <f t="shared" si="3"/>
        <v>2043.1666666666667</v>
      </c>
    </row>
    <row r="44" spans="1:13" x14ac:dyDescent="0.2">
      <c r="A44" t="s">
        <v>17</v>
      </c>
      <c r="B44">
        <v>8</v>
      </c>
      <c r="C44">
        <v>21</v>
      </c>
      <c r="D44">
        <v>214</v>
      </c>
      <c r="E44">
        <v>1</v>
      </c>
      <c r="F44">
        <v>549701</v>
      </c>
      <c r="G44">
        <v>1</v>
      </c>
      <c r="H44">
        <v>1</v>
      </c>
      <c r="I44">
        <v>0</v>
      </c>
      <c r="J44">
        <f t="shared" si="0"/>
        <v>44</v>
      </c>
      <c r="K44">
        <f t="shared" si="1"/>
        <v>528</v>
      </c>
      <c r="L44">
        <f t="shared" si="2"/>
        <v>314</v>
      </c>
      <c r="M44">
        <f t="shared" si="3"/>
        <v>2043.1666666666667</v>
      </c>
    </row>
    <row r="45" spans="1:13" x14ac:dyDescent="0.2">
      <c r="A45" t="s">
        <v>17</v>
      </c>
      <c r="B45">
        <v>8</v>
      </c>
      <c r="C45">
        <v>21</v>
      </c>
      <c r="D45">
        <v>217</v>
      </c>
      <c r="E45">
        <v>1</v>
      </c>
      <c r="F45">
        <v>406902</v>
      </c>
      <c r="G45">
        <v>1</v>
      </c>
      <c r="H45">
        <v>1</v>
      </c>
      <c r="I45">
        <v>0</v>
      </c>
      <c r="J45">
        <f t="shared" si="0"/>
        <v>44</v>
      </c>
      <c r="K45">
        <f t="shared" si="1"/>
        <v>528</v>
      </c>
      <c r="L45">
        <f t="shared" si="2"/>
        <v>311</v>
      </c>
      <c r="M45">
        <f t="shared" si="3"/>
        <v>2042.9166666666667</v>
      </c>
    </row>
    <row r="46" spans="1:13" x14ac:dyDescent="0.2">
      <c r="A46" t="s">
        <v>17</v>
      </c>
      <c r="B46">
        <v>8</v>
      </c>
      <c r="C46">
        <v>21</v>
      </c>
      <c r="D46">
        <v>229</v>
      </c>
      <c r="E46">
        <v>1</v>
      </c>
      <c r="F46">
        <v>202801</v>
      </c>
      <c r="G46">
        <v>0</v>
      </c>
      <c r="H46">
        <v>1</v>
      </c>
      <c r="I46">
        <v>0</v>
      </c>
      <c r="J46">
        <f t="shared" si="0"/>
        <v>44</v>
      </c>
      <c r="K46">
        <f t="shared" si="1"/>
        <v>528</v>
      </c>
      <c r="L46">
        <f t="shared" si="2"/>
        <v>299</v>
      </c>
      <c r="M46">
        <f t="shared" si="3"/>
        <v>2041.9166666666667</v>
      </c>
    </row>
    <row r="47" spans="1:13" x14ac:dyDescent="0.2">
      <c r="A47" t="s">
        <v>17</v>
      </c>
      <c r="B47">
        <v>8</v>
      </c>
      <c r="C47">
        <v>22</v>
      </c>
      <c r="D47">
        <v>69</v>
      </c>
      <c r="E47">
        <v>1</v>
      </c>
      <c r="F47">
        <v>2001501</v>
      </c>
      <c r="G47">
        <v>1</v>
      </c>
      <c r="H47">
        <v>1</v>
      </c>
      <c r="I47">
        <v>0</v>
      </c>
      <c r="J47">
        <f t="shared" si="0"/>
        <v>43</v>
      </c>
      <c r="K47">
        <f t="shared" si="1"/>
        <v>516</v>
      </c>
      <c r="L47">
        <f t="shared" si="2"/>
        <v>447</v>
      </c>
      <c r="M47">
        <f t="shared" si="3"/>
        <v>2054.25</v>
      </c>
    </row>
    <row r="48" spans="1:13" x14ac:dyDescent="0.2">
      <c r="A48" t="s">
        <v>17</v>
      </c>
      <c r="B48">
        <v>8</v>
      </c>
      <c r="C48">
        <v>22</v>
      </c>
      <c r="D48">
        <v>110</v>
      </c>
      <c r="E48">
        <v>1</v>
      </c>
      <c r="F48">
        <v>1709801</v>
      </c>
      <c r="G48">
        <v>0</v>
      </c>
      <c r="H48">
        <v>1</v>
      </c>
      <c r="I48">
        <v>0</v>
      </c>
      <c r="J48">
        <f t="shared" si="0"/>
        <v>43</v>
      </c>
      <c r="K48">
        <f t="shared" si="1"/>
        <v>516</v>
      </c>
      <c r="L48">
        <f t="shared" si="2"/>
        <v>406</v>
      </c>
      <c r="M48">
        <f t="shared" si="3"/>
        <v>2050.8333333333335</v>
      </c>
    </row>
    <row r="49" spans="1:13" x14ac:dyDescent="0.2">
      <c r="A49" t="s">
        <v>17</v>
      </c>
      <c r="B49">
        <v>8</v>
      </c>
      <c r="C49">
        <v>22</v>
      </c>
      <c r="D49">
        <v>152</v>
      </c>
      <c r="E49">
        <v>1</v>
      </c>
      <c r="F49">
        <v>1026501</v>
      </c>
      <c r="G49">
        <v>0</v>
      </c>
      <c r="H49">
        <v>1</v>
      </c>
      <c r="I49">
        <v>0</v>
      </c>
      <c r="J49">
        <f t="shared" si="0"/>
        <v>43</v>
      </c>
      <c r="K49">
        <f t="shared" si="1"/>
        <v>516</v>
      </c>
      <c r="L49">
        <f t="shared" si="2"/>
        <v>364</v>
      </c>
      <c r="M49">
        <f t="shared" si="3"/>
        <v>2047.3333333333333</v>
      </c>
    </row>
    <row r="50" spans="1:13" x14ac:dyDescent="0.2">
      <c r="A50" t="s">
        <v>17</v>
      </c>
      <c r="B50">
        <v>8</v>
      </c>
      <c r="C50">
        <v>22</v>
      </c>
      <c r="D50">
        <v>160</v>
      </c>
      <c r="E50">
        <v>1</v>
      </c>
      <c r="F50">
        <v>971101</v>
      </c>
      <c r="G50">
        <v>1</v>
      </c>
      <c r="H50">
        <v>1</v>
      </c>
      <c r="I50">
        <v>0</v>
      </c>
      <c r="J50">
        <f t="shared" si="0"/>
        <v>43</v>
      </c>
      <c r="K50">
        <f t="shared" si="1"/>
        <v>516</v>
      </c>
      <c r="L50">
        <f t="shared" si="2"/>
        <v>356</v>
      </c>
      <c r="M50">
        <f t="shared" si="3"/>
        <v>2046.6666666666667</v>
      </c>
    </row>
    <row r="51" spans="1:13" x14ac:dyDescent="0.2">
      <c r="A51" t="s">
        <v>17</v>
      </c>
      <c r="B51">
        <v>8</v>
      </c>
      <c r="C51">
        <v>22</v>
      </c>
      <c r="D51">
        <v>217</v>
      </c>
      <c r="E51">
        <v>12</v>
      </c>
      <c r="F51">
        <v>406802</v>
      </c>
      <c r="G51">
        <v>0</v>
      </c>
      <c r="H51">
        <v>1</v>
      </c>
      <c r="I51">
        <v>0</v>
      </c>
      <c r="J51">
        <f t="shared" si="0"/>
        <v>43</v>
      </c>
      <c r="K51">
        <f t="shared" si="1"/>
        <v>516</v>
      </c>
      <c r="L51">
        <f t="shared" si="2"/>
        <v>299</v>
      </c>
      <c r="M51">
        <f t="shared" si="3"/>
        <v>2041.9166666666667</v>
      </c>
    </row>
    <row r="52" spans="1:13" x14ac:dyDescent="0.2">
      <c r="A52" t="s">
        <v>17</v>
      </c>
      <c r="B52">
        <v>8</v>
      </c>
      <c r="C52">
        <v>23</v>
      </c>
      <c r="D52">
        <v>133</v>
      </c>
      <c r="E52">
        <v>1</v>
      </c>
      <c r="F52">
        <v>1143801</v>
      </c>
      <c r="G52">
        <v>1</v>
      </c>
      <c r="H52">
        <v>1</v>
      </c>
      <c r="I52">
        <v>0</v>
      </c>
      <c r="J52">
        <f t="shared" si="0"/>
        <v>42</v>
      </c>
      <c r="K52">
        <f t="shared" si="1"/>
        <v>504</v>
      </c>
      <c r="L52">
        <f t="shared" si="2"/>
        <v>371</v>
      </c>
      <c r="M52">
        <f t="shared" si="3"/>
        <v>2047.9166666666667</v>
      </c>
    </row>
    <row r="53" spans="1:13" x14ac:dyDescent="0.2">
      <c r="A53" t="s">
        <v>17</v>
      </c>
      <c r="B53">
        <v>8</v>
      </c>
      <c r="C53">
        <v>23</v>
      </c>
      <c r="D53">
        <v>141</v>
      </c>
      <c r="E53">
        <v>1</v>
      </c>
      <c r="F53">
        <v>1106701</v>
      </c>
      <c r="G53">
        <v>1</v>
      </c>
      <c r="H53">
        <v>1</v>
      </c>
      <c r="I53">
        <v>0</v>
      </c>
      <c r="J53">
        <f t="shared" si="0"/>
        <v>42</v>
      </c>
      <c r="K53">
        <f t="shared" si="1"/>
        <v>504</v>
      </c>
      <c r="L53">
        <f t="shared" si="2"/>
        <v>363</v>
      </c>
      <c r="M53">
        <f t="shared" si="3"/>
        <v>2047.25</v>
      </c>
    </row>
    <row r="54" spans="1:13" x14ac:dyDescent="0.2">
      <c r="A54" t="s">
        <v>17</v>
      </c>
      <c r="B54">
        <v>8</v>
      </c>
      <c r="C54">
        <v>23</v>
      </c>
      <c r="D54">
        <v>141</v>
      </c>
      <c r="E54">
        <v>1</v>
      </c>
      <c r="F54">
        <v>1127002</v>
      </c>
      <c r="G54">
        <v>1</v>
      </c>
      <c r="H54">
        <v>1</v>
      </c>
      <c r="I54">
        <v>0</v>
      </c>
      <c r="J54">
        <f t="shared" si="0"/>
        <v>42</v>
      </c>
      <c r="K54">
        <f t="shared" si="1"/>
        <v>504</v>
      </c>
      <c r="L54">
        <f t="shared" si="2"/>
        <v>363</v>
      </c>
      <c r="M54">
        <f t="shared" si="3"/>
        <v>2047.25</v>
      </c>
    </row>
    <row r="55" spans="1:13" x14ac:dyDescent="0.2">
      <c r="A55" t="s">
        <v>17</v>
      </c>
      <c r="B55">
        <v>8</v>
      </c>
      <c r="C55">
        <v>23</v>
      </c>
      <c r="D55">
        <v>162</v>
      </c>
      <c r="E55">
        <v>1</v>
      </c>
      <c r="F55">
        <v>955401</v>
      </c>
      <c r="G55">
        <v>0</v>
      </c>
      <c r="H55">
        <v>1</v>
      </c>
      <c r="I55">
        <v>0</v>
      </c>
      <c r="J55">
        <f t="shared" si="0"/>
        <v>42</v>
      </c>
      <c r="K55">
        <f t="shared" si="1"/>
        <v>504</v>
      </c>
      <c r="L55">
        <f t="shared" si="2"/>
        <v>342</v>
      </c>
      <c r="M55">
        <f t="shared" si="3"/>
        <v>2045.5</v>
      </c>
    </row>
    <row r="56" spans="1:13" x14ac:dyDescent="0.2">
      <c r="A56" t="s">
        <v>17</v>
      </c>
      <c r="B56">
        <v>8</v>
      </c>
      <c r="C56">
        <v>23</v>
      </c>
      <c r="D56">
        <v>165</v>
      </c>
      <c r="E56">
        <v>1</v>
      </c>
      <c r="F56">
        <v>924201</v>
      </c>
      <c r="G56">
        <v>0</v>
      </c>
      <c r="H56">
        <v>1</v>
      </c>
      <c r="I56">
        <v>0</v>
      </c>
      <c r="J56">
        <f t="shared" si="0"/>
        <v>42</v>
      </c>
      <c r="K56">
        <f t="shared" si="1"/>
        <v>504</v>
      </c>
      <c r="L56">
        <f t="shared" si="2"/>
        <v>339</v>
      </c>
      <c r="M56">
        <f t="shared" si="3"/>
        <v>2045.25</v>
      </c>
    </row>
    <row r="57" spans="1:13" x14ac:dyDescent="0.2">
      <c r="A57" t="s">
        <v>17</v>
      </c>
      <c r="B57">
        <v>8</v>
      </c>
      <c r="C57">
        <v>23</v>
      </c>
      <c r="D57">
        <v>222</v>
      </c>
      <c r="E57">
        <v>12</v>
      </c>
      <c r="F57">
        <v>322802</v>
      </c>
      <c r="G57">
        <v>1</v>
      </c>
      <c r="H57">
        <v>1</v>
      </c>
      <c r="I57">
        <v>0</v>
      </c>
      <c r="J57">
        <f t="shared" si="0"/>
        <v>42</v>
      </c>
      <c r="K57">
        <f t="shared" si="1"/>
        <v>504</v>
      </c>
      <c r="L57">
        <f t="shared" si="2"/>
        <v>282</v>
      </c>
      <c r="M57">
        <f t="shared" si="3"/>
        <v>2040.5</v>
      </c>
    </row>
    <row r="58" spans="1:13" x14ac:dyDescent="0.2">
      <c r="A58" t="s">
        <v>17</v>
      </c>
      <c r="B58">
        <v>8</v>
      </c>
      <c r="C58">
        <v>23</v>
      </c>
      <c r="D58">
        <v>224</v>
      </c>
      <c r="E58">
        <v>1</v>
      </c>
      <c r="F58">
        <v>296102</v>
      </c>
      <c r="G58">
        <v>0</v>
      </c>
      <c r="H58">
        <v>1</v>
      </c>
      <c r="I58">
        <v>0</v>
      </c>
      <c r="J58">
        <f t="shared" si="0"/>
        <v>42</v>
      </c>
      <c r="K58">
        <f t="shared" si="1"/>
        <v>504</v>
      </c>
      <c r="L58">
        <f t="shared" si="2"/>
        <v>280</v>
      </c>
      <c r="M58">
        <f t="shared" si="3"/>
        <v>2040.3333333333333</v>
      </c>
    </row>
    <row r="59" spans="1:13" x14ac:dyDescent="0.2">
      <c r="A59" t="s">
        <v>17</v>
      </c>
      <c r="B59">
        <v>8</v>
      </c>
      <c r="C59">
        <v>24</v>
      </c>
      <c r="D59">
        <v>92</v>
      </c>
      <c r="E59">
        <v>1</v>
      </c>
      <c r="F59">
        <v>1908401</v>
      </c>
      <c r="G59">
        <v>0</v>
      </c>
      <c r="H59">
        <v>1</v>
      </c>
      <c r="I59">
        <v>0</v>
      </c>
      <c r="J59">
        <f t="shared" si="0"/>
        <v>41</v>
      </c>
      <c r="K59">
        <f t="shared" si="1"/>
        <v>492</v>
      </c>
      <c r="L59">
        <f t="shared" si="2"/>
        <v>400</v>
      </c>
      <c r="M59">
        <f t="shared" si="3"/>
        <v>2050.3333333333335</v>
      </c>
    </row>
    <row r="60" spans="1:13" x14ac:dyDescent="0.2">
      <c r="A60" t="s">
        <v>17</v>
      </c>
      <c r="B60">
        <v>8</v>
      </c>
      <c r="C60">
        <v>24</v>
      </c>
      <c r="D60">
        <v>154</v>
      </c>
      <c r="E60">
        <v>1</v>
      </c>
      <c r="F60">
        <v>1008001</v>
      </c>
      <c r="G60">
        <v>0</v>
      </c>
      <c r="H60">
        <v>1</v>
      </c>
      <c r="I60">
        <v>0</v>
      </c>
      <c r="J60">
        <f t="shared" si="0"/>
        <v>41</v>
      </c>
      <c r="K60">
        <f t="shared" si="1"/>
        <v>492</v>
      </c>
      <c r="L60">
        <f t="shared" si="2"/>
        <v>338</v>
      </c>
      <c r="M60">
        <f t="shared" si="3"/>
        <v>2045.1666666666667</v>
      </c>
    </row>
    <row r="61" spans="1:13" x14ac:dyDescent="0.2">
      <c r="A61" t="s">
        <v>17</v>
      </c>
      <c r="B61">
        <v>8</v>
      </c>
      <c r="C61">
        <v>24</v>
      </c>
      <c r="D61">
        <v>154</v>
      </c>
      <c r="E61">
        <v>1</v>
      </c>
      <c r="F61">
        <v>1010901</v>
      </c>
      <c r="G61">
        <v>0</v>
      </c>
      <c r="H61">
        <v>1</v>
      </c>
      <c r="I61">
        <v>0</v>
      </c>
      <c r="J61">
        <f t="shared" si="0"/>
        <v>41</v>
      </c>
      <c r="K61">
        <f t="shared" si="1"/>
        <v>492</v>
      </c>
      <c r="L61">
        <f t="shared" si="2"/>
        <v>338</v>
      </c>
      <c r="M61">
        <f t="shared" si="3"/>
        <v>2045.1666666666667</v>
      </c>
    </row>
    <row r="62" spans="1:13" x14ac:dyDescent="0.2">
      <c r="A62" t="s">
        <v>17</v>
      </c>
      <c r="B62">
        <v>8</v>
      </c>
      <c r="C62">
        <v>24</v>
      </c>
      <c r="D62">
        <v>156</v>
      </c>
      <c r="E62">
        <v>1</v>
      </c>
      <c r="F62">
        <v>992801</v>
      </c>
      <c r="G62">
        <v>0</v>
      </c>
      <c r="H62">
        <v>1</v>
      </c>
      <c r="I62">
        <v>0</v>
      </c>
      <c r="J62">
        <f t="shared" si="0"/>
        <v>41</v>
      </c>
      <c r="K62">
        <f t="shared" si="1"/>
        <v>492</v>
      </c>
      <c r="L62">
        <f t="shared" si="2"/>
        <v>336</v>
      </c>
      <c r="M62">
        <f t="shared" si="3"/>
        <v>2045</v>
      </c>
    </row>
    <row r="63" spans="1:13" x14ac:dyDescent="0.2">
      <c r="A63" t="s">
        <v>17</v>
      </c>
      <c r="B63">
        <v>8</v>
      </c>
      <c r="C63">
        <v>24</v>
      </c>
      <c r="D63">
        <v>217</v>
      </c>
      <c r="E63">
        <v>1</v>
      </c>
      <c r="F63">
        <v>508501</v>
      </c>
      <c r="G63">
        <v>0</v>
      </c>
      <c r="H63">
        <v>1</v>
      </c>
      <c r="I63">
        <v>0</v>
      </c>
      <c r="J63">
        <f t="shared" si="0"/>
        <v>41</v>
      </c>
      <c r="K63">
        <f t="shared" si="1"/>
        <v>492</v>
      </c>
      <c r="L63">
        <f t="shared" si="2"/>
        <v>275</v>
      </c>
      <c r="M63">
        <f t="shared" si="3"/>
        <v>2039.9166666666667</v>
      </c>
    </row>
    <row r="64" spans="1:13" x14ac:dyDescent="0.2">
      <c r="A64" t="s">
        <v>17</v>
      </c>
      <c r="B64">
        <v>8</v>
      </c>
      <c r="C64">
        <v>24</v>
      </c>
      <c r="D64">
        <v>224</v>
      </c>
      <c r="E64">
        <v>12</v>
      </c>
      <c r="F64">
        <v>291702</v>
      </c>
      <c r="G64">
        <v>0</v>
      </c>
      <c r="H64">
        <v>1</v>
      </c>
      <c r="I64">
        <v>0</v>
      </c>
      <c r="J64">
        <f t="shared" si="0"/>
        <v>41</v>
      </c>
      <c r="K64">
        <f t="shared" si="1"/>
        <v>492</v>
      </c>
      <c r="L64">
        <f t="shared" si="2"/>
        <v>268</v>
      </c>
      <c r="M64">
        <f t="shared" si="3"/>
        <v>2039.3333333333333</v>
      </c>
    </row>
    <row r="65" spans="1:13" x14ac:dyDescent="0.2">
      <c r="A65" t="s">
        <v>17</v>
      </c>
      <c r="B65">
        <v>8</v>
      </c>
      <c r="C65">
        <v>24</v>
      </c>
      <c r="D65">
        <v>226</v>
      </c>
      <c r="E65">
        <v>1</v>
      </c>
      <c r="F65">
        <v>250302</v>
      </c>
      <c r="G65">
        <v>0</v>
      </c>
      <c r="H65">
        <v>1</v>
      </c>
      <c r="I65">
        <v>0</v>
      </c>
      <c r="J65">
        <f t="shared" si="0"/>
        <v>41</v>
      </c>
      <c r="K65">
        <f t="shared" si="1"/>
        <v>492</v>
      </c>
      <c r="L65">
        <f t="shared" si="2"/>
        <v>266</v>
      </c>
      <c r="M65">
        <f t="shared" si="3"/>
        <v>2039.1666666666667</v>
      </c>
    </row>
    <row r="66" spans="1:13" x14ac:dyDescent="0.2">
      <c r="A66" t="s">
        <v>17</v>
      </c>
      <c r="B66">
        <v>8</v>
      </c>
      <c r="C66">
        <v>25</v>
      </c>
      <c r="D66">
        <v>142</v>
      </c>
      <c r="E66">
        <v>1</v>
      </c>
      <c r="F66">
        <v>1108201</v>
      </c>
      <c r="G66">
        <v>1</v>
      </c>
      <c r="H66">
        <v>1</v>
      </c>
      <c r="I66">
        <v>0</v>
      </c>
      <c r="J66">
        <f t="shared" si="0"/>
        <v>40</v>
      </c>
      <c r="K66">
        <f t="shared" si="1"/>
        <v>480</v>
      </c>
      <c r="L66">
        <f t="shared" si="2"/>
        <v>338</v>
      </c>
      <c r="M66">
        <f t="shared" si="3"/>
        <v>2045.1666666666667</v>
      </c>
    </row>
    <row r="67" spans="1:13" x14ac:dyDescent="0.2">
      <c r="A67" t="s">
        <v>17</v>
      </c>
      <c r="B67">
        <v>8</v>
      </c>
      <c r="C67">
        <v>25</v>
      </c>
      <c r="D67">
        <v>149</v>
      </c>
      <c r="E67">
        <v>1</v>
      </c>
      <c r="F67">
        <v>1061701</v>
      </c>
      <c r="G67">
        <v>0</v>
      </c>
      <c r="H67">
        <v>1</v>
      </c>
      <c r="I67">
        <v>0</v>
      </c>
      <c r="J67">
        <f t="shared" si="0"/>
        <v>40</v>
      </c>
      <c r="K67">
        <f t="shared" si="1"/>
        <v>480</v>
      </c>
      <c r="L67">
        <f t="shared" si="2"/>
        <v>331</v>
      </c>
      <c r="M67">
        <f t="shared" si="3"/>
        <v>2044.5833333333333</v>
      </c>
    </row>
    <row r="68" spans="1:13" x14ac:dyDescent="0.2">
      <c r="A68" t="s">
        <v>17</v>
      </c>
      <c r="B68">
        <v>8</v>
      </c>
      <c r="C68">
        <v>25</v>
      </c>
      <c r="D68">
        <v>163</v>
      </c>
      <c r="E68">
        <v>1</v>
      </c>
      <c r="F68">
        <v>955701</v>
      </c>
      <c r="G68">
        <v>0</v>
      </c>
      <c r="H68">
        <v>1</v>
      </c>
      <c r="I68">
        <v>0</v>
      </c>
      <c r="J68">
        <f t="shared" si="0"/>
        <v>40</v>
      </c>
      <c r="K68">
        <f t="shared" si="1"/>
        <v>480</v>
      </c>
      <c r="L68">
        <f t="shared" si="2"/>
        <v>317</v>
      </c>
      <c r="M68">
        <f t="shared" si="3"/>
        <v>2043.4166666666667</v>
      </c>
    </row>
    <row r="69" spans="1:13" x14ac:dyDescent="0.2">
      <c r="A69" t="s">
        <v>17</v>
      </c>
      <c r="B69">
        <v>8</v>
      </c>
      <c r="C69">
        <v>25</v>
      </c>
      <c r="D69">
        <v>190</v>
      </c>
      <c r="E69">
        <v>1</v>
      </c>
      <c r="F69">
        <v>864001</v>
      </c>
      <c r="G69">
        <v>0</v>
      </c>
      <c r="H69">
        <v>1</v>
      </c>
      <c r="I69">
        <v>0</v>
      </c>
      <c r="J69">
        <f t="shared" si="0"/>
        <v>40</v>
      </c>
      <c r="K69">
        <f t="shared" si="1"/>
        <v>480</v>
      </c>
      <c r="L69">
        <f t="shared" si="2"/>
        <v>290</v>
      </c>
      <c r="M69">
        <f t="shared" si="3"/>
        <v>2041.1666666666667</v>
      </c>
    </row>
    <row r="70" spans="1:13" x14ac:dyDescent="0.2">
      <c r="A70" t="s">
        <v>17</v>
      </c>
      <c r="B70">
        <v>8</v>
      </c>
      <c r="C70">
        <v>26</v>
      </c>
      <c r="D70">
        <v>142</v>
      </c>
      <c r="E70">
        <v>1</v>
      </c>
      <c r="F70">
        <v>1107901</v>
      </c>
      <c r="G70">
        <v>0</v>
      </c>
      <c r="H70">
        <v>1</v>
      </c>
      <c r="I70">
        <v>0</v>
      </c>
      <c r="J70">
        <f t="shared" si="0"/>
        <v>39</v>
      </c>
      <c r="K70">
        <f t="shared" si="1"/>
        <v>468</v>
      </c>
      <c r="L70">
        <f t="shared" si="2"/>
        <v>326</v>
      </c>
      <c r="M70">
        <f t="shared" si="3"/>
        <v>2044.1666666666667</v>
      </c>
    </row>
    <row r="71" spans="1:13" x14ac:dyDescent="0.2">
      <c r="A71" t="s">
        <v>17</v>
      </c>
      <c r="B71">
        <v>8</v>
      </c>
      <c r="C71">
        <v>26</v>
      </c>
      <c r="D71">
        <v>151</v>
      </c>
      <c r="E71">
        <v>1</v>
      </c>
      <c r="F71">
        <v>1043601</v>
      </c>
      <c r="G71">
        <v>0</v>
      </c>
      <c r="H71">
        <v>1</v>
      </c>
      <c r="I71">
        <v>0</v>
      </c>
      <c r="J71">
        <f t="shared" ref="J71:J134" si="4">65-C71</f>
        <v>39</v>
      </c>
      <c r="K71">
        <f t="shared" ref="K71:K134" si="5">J71*12</f>
        <v>468</v>
      </c>
      <c r="L71">
        <f t="shared" ref="L71:L134" si="6">K71-D71</f>
        <v>317</v>
      </c>
      <c r="M71">
        <f t="shared" ref="M71:M134" si="7">2017+L71/12</f>
        <v>2043.4166666666667</v>
      </c>
    </row>
    <row r="72" spans="1:13" x14ac:dyDescent="0.2">
      <c r="A72" t="s">
        <v>17</v>
      </c>
      <c r="B72">
        <v>8</v>
      </c>
      <c r="C72">
        <v>26</v>
      </c>
      <c r="D72">
        <v>224</v>
      </c>
      <c r="E72">
        <v>1</v>
      </c>
      <c r="F72">
        <v>290902</v>
      </c>
      <c r="G72">
        <v>0</v>
      </c>
      <c r="H72">
        <v>1</v>
      </c>
      <c r="I72">
        <v>0</v>
      </c>
      <c r="J72">
        <f t="shared" si="4"/>
        <v>39</v>
      </c>
      <c r="K72">
        <f t="shared" si="5"/>
        <v>468</v>
      </c>
      <c r="L72">
        <f t="shared" si="6"/>
        <v>244</v>
      </c>
      <c r="M72">
        <f t="shared" si="7"/>
        <v>2037.3333333333333</v>
      </c>
    </row>
    <row r="73" spans="1:13" x14ac:dyDescent="0.2">
      <c r="A73" t="s">
        <v>17</v>
      </c>
      <c r="B73">
        <v>8</v>
      </c>
      <c r="C73">
        <v>27</v>
      </c>
      <c r="D73">
        <v>220</v>
      </c>
      <c r="E73">
        <v>1</v>
      </c>
      <c r="F73">
        <v>325501</v>
      </c>
      <c r="G73">
        <v>0</v>
      </c>
      <c r="H73">
        <v>1</v>
      </c>
      <c r="I73">
        <v>0</v>
      </c>
      <c r="J73">
        <f t="shared" si="4"/>
        <v>38</v>
      </c>
      <c r="K73">
        <f t="shared" si="5"/>
        <v>456</v>
      </c>
      <c r="L73">
        <f t="shared" si="6"/>
        <v>236</v>
      </c>
      <c r="M73">
        <f t="shared" si="7"/>
        <v>2036.6666666666667</v>
      </c>
    </row>
    <row r="74" spans="1:13" x14ac:dyDescent="0.2">
      <c r="A74" t="s">
        <v>17</v>
      </c>
      <c r="B74">
        <v>8</v>
      </c>
      <c r="C74">
        <v>27</v>
      </c>
      <c r="D74">
        <v>222</v>
      </c>
      <c r="E74">
        <v>12</v>
      </c>
      <c r="F74">
        <v>327102</v>
      </c>
      <c r="G74">
        <v>1</v>
      </c>
      <c r="H74">
        <v>1</v>
      </c>
      <c r="I74">
        <v>0</v>
      </c>
      <c r="J74">
        <f t="shared" si="4"/>
        <v>38</v>
      </c>
      <c r="K74">
        <f t="shared" si="5"/>
        <v>456</v>
      </c>
      <c r="L74">
        <f t="shared" si="6"/>
        <v>234</v>
      </c>
      <c r="M74">
        <f t="shared" si="7"/>
        <v>2036.5</v>
      </c>
    </row>
    <row r="75" spans="1:13" x14ac:dyDescent="0.2">
      <c r="A75" t="s">
        <v>17</v>
      </c>
      <c r="B75">
        <v>8</v>
      </c>
      <c r="C75">
        <v>28</v>
      </c>
      <c r="D75">
        <v>105</v>
      </c>
      <c r="E75">
        <v>1</v>
      </c>
      <c r="F75">
        <v>1712202</v>
      </c>
      <c r="G75">
        <v>1</v>
      </c>
      <c r="H75">
        <v>1</v>
      </c>
      <c r="I75">
        <v>0</v>
      </c>
      <c r="J75">
        <f t="shared" si="4"/>
        <v>37</v>
      </c>
      <c r="K75">
        <f t="shared" si="5"/>
        <v>444</v>
      </c>
      <c r="L75">
        <f t="shared" si="6"/>
        <v>339</v>
      </c>
      <c r="M75">
        <f t="shared" si="7"/>
        <v>2045.25</v>
      </c>
    </row>
    <row r="76" spans="1:13" x14ac:dyDescent="0.2">
      <c r="A76" t="s">
        <v>17</v>
      </c>
      <c r="B76">
        <v>8</v>
      </c>
      <c r="C76">
        <v>28</v>
      </c>
      <c r="D76">
        <v>129</v>
      </c>
      <c r="E76">
        <v>1</v>
      </c>
      <c r="F76">
        <v>1152201</v>
      </c>
      <c r="G76">
        <v>0</v>
      </c>
      <c r="H76">
        <v>1</v>
      </c>
      <c r="I76">
        <v>0</v>
      </c>
      <c r="J76">
        <f t="shared" si="4"/>
        <v>37</v>
      </c>
      <c r="K76">
        <f t="shared" si="5"/>
        <v>444</v>
      </c>
      <c r="L76">
        <f t="shared" si="6"/>
        <v>315</v>
      </c>
      <c r="M76">
        <f t="shared" si="7"/>
        <v>2043.25</v>
      </c>
    </row>
    <row r="77" spans="1:13" x14ac:dyDescent="0.2">
      <c r="A77" t="s">
        <v>17</v>
      </c>
      <c r="B77">
        <v>8</v>
      </c>
      <c r="C77">
        <v>28</v>
      </c>
      <c r="D77">
        <v>215</v>
      </c>
      <c r="E77">
        <v>12</v>
      </c>
      <c r="F77">
        <v>532001</v>
      </c>
      <c r="G77">
        <v>0</v>
      </c>
      <c r="H77">
        <v>1</v>
      </c>
      <c r="I77">
        <v>0</v>
      </c>
      <c r="J77">
        <f t="shared" si="4"/>
        <v>37</v>
      </c>
      <c r="K77">
        <f t="shared" si="5"/>
        <v>444</v>
      </c>
      <c r="L77">
        <f t="shared" si="6"/>
        <v>229</v>
      </c>
      <c r="M77">
        <f t="shared" si="7"/>
        <v>2036.0833333333333</v>
      </c>
    </row>
    <row r="78" spans="1:13" x14ac:dyDescent="0.2">
      <c r="A78" t="s">
        <v>17</v>
      </c>
      <c r="B78">
        <v>8</v>
      </c>
      <c r="C78">
        <v>28</v>
      </c>
      <c r="D78">
        <v>220</v>
      </c>
      <c r="E78">
        <v>1</v>
      </c>
      <c r="F78">
        <v>359901</v>
      </c>
      <c r="G78">
        <v>1</v>
      </c>
      <c r="H78">
        <v>1</v>
      </c>
      <c r="I78">
        <v>0</v>
      </c>
      <c r="J78">
        <f t="shared" si="4"/>
        <v>37</v>
      </c>
      <c r="K78">
        <f t="shared" si="5"/>
        <v>444</v>
      </c>
      <c r="L78">
        <f t="shared" si="6"/>
        <v>224</v>
      </c>
      <c r="M78">
        <f t="shared" si="7"/>
        <v>2035.6666666666667</v>
      </c>
    </row>
    <row r="79" spans="1:13" x14ac:dyDescent="0.2">
      <c r="A79" t="s">
        <v>17</v>
      </c>
      <c r="B79">
        <v>8</v>
      </c>
      <c r="C79">
        <v>28</v>
      </c>
      <c r="D79">
        <v>231</v>
      </c>
      <c r="E79">
        <v>1</v>
      </c>
      <c r="F79">
        <v>172901</v>
      </c>
      <c r="G79">
        <v>0</v>
      </c>
      <c r="H79">
        <v>1</v>
      </c>
      <c r="I79">
        <v>0</v>
      </c>
      <c r="J79">
        <f t="shared" si="4"/>
        <v>37</v>
      </c>
      <c r="K79">
        <f t="shared" si="5"/>
        <v>444</v>
      </c>
      <c r="L79">
        <f t="shared" si="6"/>
        <v>213</v>
      </c>
      <c r="M79">
        <f t="shared" si="7"/>
        <v>2034.75</v>
      </c>
    </row>
    <row r="80" spans="1:13" x14ac:dyDescent="0.2">
      <c r="A80" t="s">
        <v>17</v>
      </c>
      <c r="B80">
        <v>8</v>
      </c>
      <c r="C80">
        <v>29</v>
      </c>
      <c r="D80">
        <v>145</v>
      </c>
      <c r="E80">
        <v>1</v>
      </c>
      <c r="F80">
        <v>1076001</v>
      </c>
      <c r="G80">
        <v>0</v>
      </c>
      <c r="H80">
        <v>1</v>
      </c>
      <c r="I80">
        <v>0</v>
      </c>
      <c r="J80">
        <f t="shared" si="4"/>
        <v>36</v>
      </c>
      <c r="K80">
        <f t="shared" si="5"/>
        <v>432</v>
      </c>
      <c r="L80">
        <f t="shared" si="6"/>
        <v>287</v>
      </c>
      <c r="M80">
        <f t="shared" si="7"/>
        <v>2040.9166666666667</v>
      </c>
    </row>
    <row r="81" spans="1:13" x14ac:dyDescent="0.2">
      <c r="A81" t="s">
        <v>17</v>
      </c>
      <c r="B81">
        <v>8</v>
      </c>
      <c r="C81">
        <v>29</v>
      </c>
      <c r="D81">
        <v>154</v>
      </c>
      <c r="E81">
        <v>1</v>
      </c>
      <c r="F81">
        <v>1010801</v>
      </c>
      <c r="G81">
        <v>0</v>
      </c>
      <c r="H81">
        <v>1</v>
      </c>
      <c r="I81">
        <v>0</v>
      </c>
      <c r="J81">
        <f t="shared" si="4"/>
        <v>36</v>
      </c>
      <c r="K81">
        <f t="shared" si="5"/>
        <v>432</v>
      </c>
      <c r="L81">
        <f t="shared" si="6"/>
        <v>278</v>
      </c>
      <c r="M81">
        <f t="shared" si="7"/>
        <v>2040.1666666666667</v>
      </c>
    </row>
    <row r="82" spans="1:13" x14ac:dyDescent="0.2">
      <c r="A82" t="s">
        <v>17</v>
      </c>
      <c r="B82">
        <v>8</v>
      </c>
      <c r="C82">
        <v>29</v>
      </c>
      <c r="D82">
        <v>156</v>
      </c>
      <c r="E82">
        <v>1</v>
      </c>
      <c r="F82">
        <v>1003101</v>
      </c>
      <c r="G82">
        <v>0</v>
      </c>
      <c r="H82">
        <v>1</v>
      </c>
      <c r="I82">
        <v>0</v>
      </c>
      <c r="J82">
        <f t="shared" si="4"/>
        <v>36</v>
      </c>
      <c r="K82">
        <f t="shared" si="5"/>
        <v>432</v>
      </c>
      <c r="L82">
        <f t="shared" si="6"/>
        <v>276</v>
      </c>
      <c r="M82">
        <f t="shared" si="7"/>
        <v>2040</v>
      </c>
    </row>
    <row r="83" spans="1:13" x14ac:dyDescent="0.2">
      <c r="A83" t="s">
        <v>17</v>
      </c>
      <c r="B83">
        <v>8</v>
      </c>
      <c r="C83">
        <v>29</v>
      </c>
      <c r="D83">
        <v>157</v>
      </c>
      <c r="E83">
        <v>1</v>
      </c>
      <c r="F83">
        <v>992001</v>
      </c>
      <c r="G83">
        <v>0</v>
      </c>
      <c r="H83">
        <v>1</v>
      </c>
      <c r="I83">
        <v>0</v>
      </c>
      <c r="J83">
        <f t="shared" si="4"/>
        <v>36</v>
      </c>
      <c r="K83">
        <f t="shared" si="5"/>
        <v>432</v>
      </c>
      <c r="L83">
        <f t="shared" si="6"/>
        <v>275</v>
      </c>
      <c r="M83">
        <f t="shared" si="7"/>
        <v>2039.9166666666667</v>
      </c>
    </row>
    <row r="84" spans="1:13" x14ac:dyDescent="0.2">
      <c r="A84" t="s">
        <v>17</v>
      </c>
      <c r="B84">
        <v>8</v>
      </c>
      <c r="C84">
        <v>29</v>
      </c>
      <c r="D84">
        <v>215</v>
      </c>
      <c r="E84">
        <v>1</v>
      </c>
      <c r="F84">
        <v>534701</v>
      </c>
      <c r="G84">
        <v>1</v>
      </c>
      <c r="H84">
        <v>1</v>
      </c>
      <c r="I84">
        <v>0</v>
      </c>
      <c r="J84">
        <f t="shared" si="4"/>
        <v>36</v>
      </c>
      <c r="K84">
        <f t="shared" si="5"/>
        <v>432</v>
      </c>
      <c r="L84">
        <f t="shared" si="6"/>
        <v>217</v>
      </c>
      <c r="M84">
        <f t="shared" si="7"/>
        <v>2035.0833333333333</v>
      </c>
    </row>
    <row r="85" spans="1:13" x14ac:dyDescent="0.2">
      <c r="A85" t="s">
        <v>17</v>
      </c>
      <c r="B85">
        <v>8</v>
      </c>
      <c r="C85">
        <v>29</v>
      </c>
      <c r="D85">
        <v>230</v>
      </c>
      <c r="E85">
        <v>1</v>
      </c>
      <c r="F85">
        <v>178502</v>
      </c>
      <c r="G85">
        <v>0</v>
      </c>
      <c r="H85">
        <v>1</v>
      </c>
      <c r="I85">
        <v>0</v>
      </c>
      <c r="J85">
        <f t="shared" si="4"/>
        <v>36</v>
      </c>
      <c r="K85">
        <f t="shared" si="5"/>
        <v>432</v>
      </c>
      <c r="L85">
        <f t="shared" si="6"/>
        <v>202</v>
      </c>
      <c r="M85">
        <f t="shared" si="7"/>
        <v>2033.8333333333333</v>
      </c>
    </row>
    <row r="86" spans="1:13" x14ac:dyDescent="0.2">
      <c r="A86" t="s">
        <v>17</v>
      </c>
      <c r="B86">
        <v>8</v>
      </c>
      <c r="C86">
        <v>30</v>
      </c>
      <c r="D86">
        <v>52</v>
      </c>
      <c r="E86">
        <v>1</v>
      </c>
      <c r="F86">
        <v>1623201</v>
      </c>
      <c r="G86">
        <v>1</v>
      </c>
      <c r="H86">
        <v>1</v>
      </c>
      <c r="I86">
        <v>0</v>
      </c>
      <c r="J86">
        <f t="shared" si="4"/>
        <v>35</v>
      </c>
      <c r="K86">
        <f t="shared" si="5"/>
        <v>420</v>
      </c>
      <c r="L86">
        <f t="shared" si="6"/>
        <v>368</v>
      </c>
      <c r="M86">
        <f t="shared" si="7"/>
        <v>2047.6666666666667</v>
      </c>
    </row>
    <row r="87" spans="1:13" x14ac:dyDescent="0.2">
      <c r="A87" t="s">
        <v>17</v>
      </c>
      <c r="B87">
        <v>8</v>
      </c>
      <c r="C87">
        <v>30</v>
      </c>
      <c r="D87">
        <v>115</v>
      </c>
      <c r="E87">
        <v>1</v>
      </c>
      <c r="F87">
        <v>1676602</v>
      </c>
      <c r="G87">
        <v>1</v>
      </c>
      <c r="H87">
        <v>1</v>
      </c>
      <c r="I87">
        <v>0</v>
      </c>
      <c r="J87">
        <f t="shared" si="4"/>
        <v>35</v>
      </c>
      <c r="K87">
        <f t="shared" si="5"/>
        <v>420</v>
      </c>
      <c r="L87">
        <f t="shared" si="6"/>
        <v>305</v>
      </c>
      <c r="M87">
        <f t="shared" si="7"/>
        <v>2042.4166666666667</v>
      </c>
    </row>
    <row r="88" spans="1:13" x14ac:dyDescent="0.2">
      <c r="A88" t="s">
        <v>17</v>
      </c>
      <c r="B88">
        <v>8</v>
      </c>
      <c r="C88">
        <v>30</v>
      </c>
      <c r="D88">
        <v>152</v>
      </c>
      <c r="E88">
        <v>1</v>
      </c>
      <c r="F88">
        <v>1036701</v>
      </c>
      <c r="G88">
        <v>0</v>
      </c>
      <c r="H88">
        <v>1</v>
      </c>
      <c r="I88">
        <v>0</v>
      </c>
      <c r="J88">
        <f t="shared" si="4"/>
        <v>35</v>
      </c>
      <c r="K88">
        <f t="shared" si="5"/>
        <v>420</v>
      </c>
      <c r="L88">
        <f t="shared" si="6"/>
        <v>268</v>
      </c>
      <c r="M88">
        <f t="shared" si="7"/>
        <v>2039.3333333333333</v>
      </c>
    </row>
    <row r="89" spans="1:13" x14ac:dyDescent="0.2">
      <c r="A89" t="s">
        <v>17</v>
      </c>
      <c r="B89">
        <v>8</v>
      </c>
      <c r="C89">
        <v>30</v>
      </c>
      <c r="D89">
        <v>162</v>
      </c>
      <c r="E89">
        <v>1</v>
      </c>
      <c r="F89">
        <v>955301</v>
      </c>
      <c r="G89">
        <v>0</v>
      </c>
      <c r="H89">
        <v>1</v>
      </c>
      <c r="I89">
        <v>0</v>
      </c>
      <c r="J89">
        <f t="shared" si="4"/>
        <v>35</v>
      </c>
      <c r="K89">
        <f t="shared" si="5"/>
        <v>420</v>
      </c>
      <c r="L89">
        <f t="shared" si="6"/>
        <v>258</v>
      </c>
      <c r="M89">
        <f t="shared" si="7"/>
        <v>2038.5</v>
      </c>
    </row>
    <row r="90" spans="1:13" x14ac:dyDescent="0.2">
      <c r="A90" t="s">
        <v>17</v>
      </c>
      <c r="B90">
        <v>8</v>
      </c>
      <c r="C90">
        <v>30</v>
      </c>
      <c r="D90">
        <v>163</v>
      </c>
      <c r="E90">
        <v>1</v>
      </c>
      <c r="F90">
        <v>949601</v>
      </c>
      <c r="G90">
        <v>0</v>
      </c>
      <c r="H90">
        <v>1</v>
      </c>
      <c r="I90">
        <v>0</v>
      </c>
      <c r="J90">
        <f t="shared" si="4"/>
        <v>35</v>
      </c>
      <c r="K90">
        <f t="shared" si="5"/>
        <v>420</v>
      </c>
      <c r="L90">
        <f t="shared" si="6"/>
        <v>257</v>
      </c>
      <c r="M90">
        <f t="shared" si="7"/>
        <v>2038.4166666666667</v>
      </c>
    </row>
    <row r="91" spans="1:13" x14ac:dyDescent="0.2">
      <c r="A91" t="s">
        <v>17</v>
      </c>
      <c r="B91">
        <v>8</v>
      </c>
      <c r="C91">
        <v>30</v>
      </c>
      <c r="D91">
        <v>224</v>
      </c>
      <c r="E91">
        <v>1</v>
      </c>
      <c r="F91">
        <v>292501</v>
      </c>
      <c r="G91">
        <v>0</v>
      </c>
      <c r="H91">
        <v>1</v>
      </c>
      <c r="I91">
        <v>0</v>
      </c>
      <c r="J91">
        <f t="shared" si="4"/>
        <v>35</v>
      </c>
      <c r="K91">
        <f t="shared" si="5"/>
        <v>420</v>
      </c>
      <c r="L91">
        <f t="shared" si="6"/>
        <v>196</v>
      </c>
      <c r="M91">
        <f t="shared" si="7"/>
        <v>2033.3333333333333</v>
      </c>
    </row>
    <row r="92" spans="1:13" x14ac:dyDescent="0.2">
      <c r="A92" t="s">
        <v>17</v>
      </c>
      <c r="B92">
        <v>8</v>
      </c>
      <c r="C92">
        <v>30</v>
      </c>
      <c r="D92">
        <v>231</v>
      </c>
      <c r="E92">
        <v>12</v>
      </c>
      <c r="F92">
        <v>159301</v>
      </c>
      <c r="G92">
        <v>0</v>
      </c>
      <c r="H92">
        <v>1</v>
      </c>
      <c r="I92">
        <v>0</v>
      </c>
      <c r="J92">
        <f t="shared" si="4"/>
        <v>35</v>
      </c>
      <c r="K92">
        <f t="shared" si="5"/>
        <v>420</v>
      </c>
      <c r="L92">
        <f t="shared" si="6"/>
        <v>189</v>
      </c>
      <c r="M92">
        <f t="shared" si="7"/>
        <v>2032.75</v>
      </c>
    </row>
    <row r="93" spans="1:13" x14ac:dyDescent="0.2">
      <c r="A93" t="s">
        <v>17</v>
      </c>
      <c r="B93">
        <v>8</v>
      </c>
      <c r="C93">
        <v>31</v>
      </c>
      <c r="D93">
        <v>139</v>
      </c>
      <c r="E93">
        <v>1</v>
      </c>
      <c r="F93">
        <v>1132201</v>
      </c>
      <c r="G93">
        <v>0</v>
      </c>
      <c r="H93">
        <v>1</v>
      </c>
      <c r="I93">
        <v>0</v>
      </c>
      <c r="J93">
        <f t="shared" si="4"/>
        <v>34</v>
      </c>
      <c r="K93">
        <f t="shared" si="5"/>
        <v>408</v>
      </c>
      <c r="L93">
        <f t="shared" si="6"/>
        <v>269</v>
      </c>
      <c r="M93">
        <f t="shared" si="7"/>
        <v>2039.4166666666667</v>
      </c>
    </row>
    <row r="94" spans="1:13" x14ac:dyDescent="0.2">
      <c r="A94" t="s">
        <v>17</v>
      </c>
      <c r="B94">
        <v>8</v>
      </c>
      <c r="C94">
        <v>31</v>
      </c>
      <c r="D94">
        <v>213</v>
      </c>
      <c r="E94">
        <v>1</v>
      </c>
      <c r="F94">
        <v>582802</v>
      </c>
      <c r="G94">
        <v>1</v>
      </c>
      <c r="H94">
        <v>1</v>
      </c>
      <c r="I94">
        <v>0</v>
      </c>
      <c r="J94">
        <f t="shared" si="4"/>
        <v>34</v>
      </c>
      <c r="K94">
        <f t="shared" si="5"/>
        <v>408</v>
      </c>
      <c r="L94">
        <f t="shared" si="6"/>
        <v>195</v>
      </c>
      <c r="M94">
        <f t="shared" si="7"/>
        <v>2033.25</v>
      </c>
    </row>
    <row r="95" spans="1:13" x14ac:dyDescent="0.2">
      <c r="A95" t="s">
        <v>17</v>
      </c>
      <c r="B95">
        <v>8</v>
      </c>
      <c r="C95">
        <v>31</v>
      </c>
      <c r="D95">
        <v>225</v>
      </c>
      <c r="E95">
        <v>1</v>
      </c>
      <c r="F95">
        <v>273602</v>
      </c>
      <c r="G95">
        <v>0</v>
      </c>
      <c r="H95">
        <v>1</v>
      </c>
      <c r="I95">
        <v>0</v>
      </c>
      <c r="J95">
        <f t="shared" si="4"/>
        <v>34</v>
      </c>
      <c r="K95">
        <f t="shared" si="5"/>
        <v>408</v>
      </c>
      <c r="L95">
        <f t="shared" si="6"/>
        <v>183</v>
      </c>
      <c r="M95">
        <f t="shared" si="7"/>
        <v>2032.25</v>
      </c>
    </row>
    <row r="96" spans="1:13" x14ac:dyDescent="0.2">
      <c r="A96" t="s">
        <v>17</v>
      </c>
      <c r="B96">
        <v>8</v>
      </c>
      <c r="C96">
        <v>31</v>
      </c>
      <c r="D96">
        <v>233</v>
      </c>
      <c r="E96">
        <v>12</v>
      </c>
      <c r="F96">
        <v>130502</v>
      </c>
      <c r="G96">
        <v>1</v>
      </c>
      <c r="H96">
        <v>1</v>
      </c>
      <c r="I96">
        <v>0</v>
      </c>
      <c r="J96">
        <f t="shared" si="4"/>
        <v>34</v>
      </c>
      <c r="K96">
        <f t="shared" si="5"/>
        <v>408</v>
      </c>
      <c r="L96">
        <f t="shared" si="6"/>
        <v>175</v>
      </c>
      <c r="M96">
        <f t="shared" si="7"/>
        <v>2031.5833333333333</v>
      </c>
    </row>
    <row r="97" spans="1:13" x14ac:dyDescent="0.2">
      <c r="A97" t="s">
        <v>17</v>
      </c>
      <c r="B97">
        <v>8</v>
      </c>
      <c r="C97">
        <v>31</v>
      </c>
      <c r="D97">
        <v>235</v>
      </c>
      <c r="E97">
        <v>1</v>
      </c>
      <c r="F97">
        <v>109901</v>
      </c>
      <c r="G97">
        <v>1</v>
      </c>
      <c r="H97">
        <v>1</v>
      </c>
      <c r="I97">
        <v>0</v>
      </c>
      <c r="J97">
        <f t="shared" si="4"/>
        <v>34</v>
      </c>
      <c r="K97">
        <f t="shared" si="5"/>
        <v>408</v>
      </c>
      <c r="L97">
        <f t="shared" si="6"/>
        <v>173</v>
      </c>
      <c r="M97">
        <f t="shared" si="7"/>
        <v>2031.4166666666667</v>
      </c>
    </row>
    <row r="98" spans="1:13" x14ac:dyDescent="0.2">
      <c r="A98" t="s">
        <v>17</v>
      </c>
      <c r="B98">
        <v>8</v>
      </c>
      <c r="C98">
        <v>32</v>
      </c>
      <c r="D98">
        <v>69</v>
      </c>
      <c r="E98">
        <v>1</v>
      </c>
      <c r="F98">
        <v>2000901</v>
      </c>
      <c r="G98">
        <v>1</v>
      </c>
      <c r="H98">
        <v>1</v>
      </c>
      <c r="I98">
        <v>0</v>
      </c>
      <c r="J98">
        <f t="shared" si="4"/>
        <v>33</v>
      </c>
      <c r="K98">
        <f t="shared" si="5"/>
        <v>396</v>
      </c>
      <c r="L98">
        <f t="shared" si="6"/>
        <v>327</v>
      </c>
      <c r="M98">
        <f t="shared" si="7"/>
        <v>2044.25</v>
      </c>
    </row>
    <row r="99" spans="1:13" x14ac:dyDescent="0.2">
      <c r="A99" t="s">
        <v>17</v>
      </c>
      <c r="B99">
        <v>8</v>
      </c>
      <c r="C99">
        <v>32</v>
      </c>
      <c r="D99">
        <v>108</v>
      </c>
      <c r="E99">
        <v>1</v>
      </c>
      <c r="F99">
        <v>1737201</v>
      </c>
      <c r="G99">
        <v>0</v>
      </c>
      <c r="H99">
        <v>1</v>
      </c>
      <c r="I99">
        <v>0</v>
      </c>
      <c r="J99">
        <f t="shared" si="4"/>
        <v>33</v>
      </c>
      <c r="K99">
        <f t="shared" si="5"/>
        <v>396</v>
      </c>
      <c r="L99">
        <f t="shared" si="6"/>
        <v>288</v>
      </c>
      <c r="M99">
        <f t="shared" si="7"/>
        <v>2041</v>
      </c>
    </row>
    <row r="100" spans="1:13" x14ac:dyDescent="0.2">
      <c r="A100" t="s">
        <v>17</v>
      </c>
      <c r="B100">
        <v>8</v>
      </c>
      <c r="C100">
        <v>32</v>
      </c>
      <c r="D100">
        <v>122</v>
      </c>
      <c r="E100">
        <v>1</v>
      </c>
      <c r="F100">
        <v>1137002</v>
      </c>
      <c r="G100">
        <v>1</v>
      </c>
      <c r="H100">
        <v>1</v>
      </c>
      <c r="I100">
        <v>0</v>
      </c>
      <c r="J100">
        <f t="shared" si="4"/>
        <v>33</v>
      </c>
      <c r="K100">
        <f t="shared" si="5"/>
        <v>396</v>
      </c>
      <c r="L100">
        <f t="shared" si="6"/>
        <v>274</v>
      </c>
      <c r="M100">
        <f t="shared" si="7"/>
        <v>2039.8333333333333</v>
      </c>
    </row>
    <row r="101" spans="1:13" x14ac:dyDescent="0.2">
      <c r="A101" t="s">
        <v>17</v>
      </c>
      <c r="B101">
        <v>8</v>
      </c>
      <c r="C101">
        <v>32</v>
      </c>
      <c r="D101">
        <v>144</v>
      </c>
      <c r="E101">
        <v>1</v>
      </c>
      <c r="F101">
        <v>1095801</v>
      </c>
      <c r="G101">
        <v>1</v>
      </c>
      <c r="H101">
        <v>1</v>
      </c>
      <c r="I101">
        <v>0</v>
      </c>
      <c r="J101">
        <f t="shared" si="4"/>
        <v>33</v>
      </c>
      <c r="K101">
        <f t="shared" si="5"/>
        <v>396</v>
      </c>
      <c r="L101">
        <f t="shared" si="6"/>
        <v>252</v>
      </c>
      <c r="M101">
        <f t="shared" si="7"/>
        <v>2038</v>
      </c>
    </row>
    <row r="102" spans="1:13" x14ac:dyDescent="0.2">
      <c r="A102" t="s">
        <v>17</v>
      </c>
      <c r="B102">
        <v>8</v>
      </c>
      <c r="C102">
        <v>32</v>
      </c>
      <c r="D102">
        <v>192</v>
      </c>
      <c r="E102">
        <v>12</v>
      </c>
      <c r="F102">
        <v>579804</v>
      </c>
      <c r="G102">
        <v>1</v>
      </c>
      <c r="H102">
        <v>1</v>
      </c>
      <c r="I102">
        <v>0</v>
      </c>
      <c r="J102">
        <f t="shared" si="4"/>
        <v>33</v>
      </c>
      <c r="K102">
        <f t="shared" si="5"/>
        <v>396</v>
      </c>
      <c r="L102">
        <f t="shared" si="6"/>
        <v>204</v>
      </c>
      <c r="M102">
        <f t="shared" si="7"/>
        <v>2034</v>
      </c>
    </row>
    <row r="103" spans="1:13" x14ac:dyDescent="0.2">
      <c r="A103" t="s">
        <v>17</v>
      </c>
      <c r="B103">
        <v>8</v>
      </c>
      <c r="C103">
        <v>32</v>
      </c>
      <c r="D103">
        <v>205</v>
      </c>
      <c r="E103">
        <v>1</v>
      </c>
      <c r="F103">
        <v>718001</v>
      </c>
      <c r="G103">
        <v>0</v>
      </c>
      <c r="H103">
        <v>1</v>
      </c>
      <c r="I103">
        <v>0</v>
      </c>
      <c r="J103">
        <f t="shared" si="4"/>
        <v>33</v>
      </c>
      <c r="K103">
        <f t="shared" si="5"/>
        <v>396</v>
      </c>
      <c r="L103">
        <f t="shared" si="6"/>
        <v>191</v>
      </c>
      <c r="M103">
        <f t="shared" si="7"/>
        <v>2032.9166666666667</v>
      </c>
    </row>
    <row r="104" spans="1:13" x14ac:dyDescent="0.2">
      <c r="A104" t="s">
        <v>17</v>
      </c>
      <c r="B104">
        <v>8</v>
      </c>
      <c r="C104">
        <v>32</v>
      </c>
      <c r="D104">
        <v>211</v>
      </c>
      <c r="E104">
        <v>1</v>
      </c>
      <c r="F104">
        <v>639202</v>
      </c>
      <c r="G104">
        <v>0</v>
      </c>
      <c r="H104">
        <v>1</v>
      </c>
      <c r="I104">
        <v>0</v>
      </c>
      <c r="J104">
        <f t="shared" si="4"/>
        <v>33</v>
      </c>
      <c r="K104">
        <f t="shared" si="5"/>
        <v>396</v>
      </c>
      <c r="L104">
        <f t="shared" si="6"/>
        <v>185</v>
      </c>
      <c r="M104">
        <f t="shared" si="7"/>
        <v>2032.4166666666667</v>
      </c>
    </row>
    <row r="105" spans="1:13" x14ac:dyDescent="0.2">
      <c r="A105" t="s">
        <v>17</v>
      </c>
      <c r="B105">
        <v>8</v>
      </c>
      <c r="C105">
        <v>32</v>
      </c>
      <c r="D105">
        <v>219</v>
      </c>
      <c r="E105">
        <v>1</v>
      </c>
      <c r="F105">
        <v>391701</v>
      </c>
      <c r="G105">
        <v>1</v>
      </c>
      <c r="H105">
        <v>1</v>
      </c>
      <c r="I105">
        <v>0</v>
      </c>
      <c r="J105">
        <f t="shared" si="4"/>
        <v>33</v>
      </c>
      <c r="K105">
        <f t="shared" si="5"/>
        <v>396</v>
      </c>
      <c r="L105">
        <f t="shared" si="6"/>
        <v>177</v>
      </c>
      <c r="M105">
        <f t="shared" si="7"/>
        <v>2031.75</v>
      </c>
    </row>
    <row r="106" spans="1:13" x14ac:dyDescent="0.2">
      <c r="A106" t="s">
        <v>17</v>
      </c>
      <c r="B106">
        <v>8</v>
      </c>
      <c r="C106">
        <v>32</v>
      </c>
      <c r="D106">
        <v>229</v>
      </c>
      <c r="E106">
        <v>12</v>
      </c>
      <c r="F106">
        <v>201802</v>
      </c>
      <c r="G106">
        <v>0</v>
      </c>
      <c r="H106">
        <v>1</v>
      </c>
      <c r="I106">
        <v>0</v>
      </c>
      <c r="J106">
        <f t="shared" si="4"/>
        <v>33</v>
      </c>
      <c r="K106">
        <f t="shared" si="5"/>
        <v>396</v>
      </c>
      <c r="L106">
        <f t="shared" si="6"/>
        <v>167</v>
      </c>
      <c r="M106">
        <f t="shared" si="7"/>
        <v>2030.9166666666667</v>
      </c>
    </row>
    <row r="107" spans="1:13" x14ac:dyDescent="0.2">
      <c r="A107" t="s">
        <v>17</v>
      </c>
      <c r="B107">
        <v>8</v>
      </c>
      <c r="C107">
        <v>32</v>
      </c>
      <c r="D107">
        <v>231</v>
      </c>
      <c r="E107">
        <v>1</v>
      </c>
      <c r="F107">
        <v>162001</v>
      </c>
      <c r="G107">
        <v>0</v>
      </c>
      <c r="H107">
        <v>1</v>
      </c>
      <c r="I107">
        <v>0</v>
      </c>
      <c r="J107">
        <f t="shared" si="4"/>
        <v>33</v>
      </c>
      <c r="K107">
        <f t="shared" si="5"/>
        <v>396</v>
      </c>
      <c r="L107">
        <f t="shared" si="6"/>
        <v>165</v>
      </c>
      <c r="M107">
        <f t="shared" si="7"/>
        <v>2030.75</v>
      </c>
    </row>
    <row r="108" spans="1:13" x14ac:dyDescent="0.2">
      <c r="A108" t="s">
        <v>17</v>
      </c>
      <c r="B108">
        <v>8</v>
      </c>
      <c r="C108">
        <v>33</v>
      </c>
      <c r="D108">
        <v>107</v>
      </c>
      <c r="E108">
        <v>1</v>
      </c>
      <c r="F108">
        <v>1655903</v>
      </c>
      <c r="G108">
        <v>0</v>
      </c>
      <c r="H108">
        <v>1</v>
      </c>
      <c r="I108">
        <v>0</v>
      </c>
      <c r="J108">
        <f t="shared" si="4"/>
        <v>32</v>
      </c>
      <c r="K108">
        <f t="shared" si="5"/>
        <v>384</v>
      </c>
      <c r="L108">
        <f t="shared" si="6"/>
        <v>277</v>
      </c>
      <c r="M108">
        <f t="shared" si="7"/>
        <v>2040.0833333333333</v>
      </c>
    </row>
    <row r="109" spans="1:13" x14ac:dyDescent="0.2">
      <c r="A109" t="s">
        <v>17</v>
      </c>
      <c r="B109">
        <v>8</v>
      </c>
      <c r="C109">
        <v>33</v>
      </c>
      <c r="D109">
        <v>144</v>
      </c>
      <c r="E109">
        <v>1</v>
      </c>
      <c r="F109">
        <v>1095101</v>
      </c>
      <c r="G109">
        <v>1</v>
      </c>
      <c r="H109">
        <v>1</v>
      </c>
      <c r="I109">
        <v>0</v>
      </c>
      <c r="J109">
        <f t="shared" si="4"/>
        <v>32</v>
      </c>
      <c r="K109">
        <f t="shared" si="5"/>
        <v>384</v>
      </c>
      <c r="L109">
        <f t="shared" si="6"/>
        <v>240</v>
      </c>
      <c r="M109">
        <f t="shared" si="7"/>
        <v>2037</v>
      </c>
    </row>
    <row r="110" spans="1:13" x14ac:dyDescent="0.2">
      <c r="A110" t="s">
        <v>17</v>
      </c>
      <c r="B110">
        <v>8</v>
      </c>
      <c r="C110">
        <v>33</v>
      </c>
      <c r="D110">
        <v>214</v>
      </c>
      <c r="E110">
        <v>1</v>
      </c>
      <c r="F110">
        <v>551702</v>
      </c>
      <c r="G110">
        <v>1</v>
      </c>
      <c r="H110">
        <v>1</v>
      </c>
      <c r="I110">
        <v>0</v>
      </c>
      <c r="J110">
        <f t="shared" si="4"/>
        <v>32</v>
      </c>
      <c r="K110">
        <f t="shared" si="5"/>
        <v>384</v>
      </c>
      <c r="L110">
        <f t="shared" si="6"/>
        <v>170</v>
      </c>
      <c r="M110">
        <f t="shared" si="7"/>
        <v>2031.1666666666667</v>
      </c>
    </row>
    <row r="111" spans="1:13" x14ac:dyDescent="0.2">
      <c r="A111" t="s">
        <v>17</v>
      </c>
      <c r="B111">
        <v>8</v>
      </c>
      <c r="C111">
        <v>33</v>
      </c>
      <c r="D111">
        <v>220</v>
      </c>
      <c r="E111">
        <v>1</v>
      </c>
      <c r="F111">
        <v>369403</v>
      </c>
      <c r="G111">
        <v>0</v>
      </c>
      <c r="H111">
        <v>1</v>
      </c>
      <c r="I111">
        <v>0</v>
      </c>
      <c r="J111">
        <f t="shared" si="4"/>
        <v>32</v>
      </c>
      <c r="K111">
        <f t="shared" si="5"/>
        <v>384</v>
      </c>
      <c r="L111">
        <f t="shared" si="6"/>
        <v>164</v>
      </c>
      <c r="M111">
        <f t="shared" si="7"/>
        <v>2030.6666666666667</v>
      </c>
    </row>
    <row r="112" spans="1:13" x14ac:dyDescent="0.2">
      <c r="A112" t="s">
        <v>17</v>
      </c>
      <c r="B112">
        <v>8</v>
      </c>
      <c r="C112">
        <v>33</v>
      </c>
      <c r="D112">
        <v>231</v>
      </c>
      <c r="E112">
        <v>12</v>
      </c>
      <c r="F112">
        <v>171402</v>
      </c>
      <c r="G112">
        <v>0</v>
      </c>
      <c r="H112">
        <v>1</v>
      </c>
      <c r="I112">
        <v>0</v>
      </c>
      <c r="J112">
        <f t="shared" si="4"/>
        <v>32</v>
      </c>
      <c r="K112">
        <f t="shared" si="5"/>
        <v>384</v>
      </c>
      <c r="L112">
        <f t="shared" si="6"/>
        <v>153</v>
      </c>
      <c r="M112">
        <f t="shared" si="7"/>
        <v>2029.75</v>
      </c>
    </row>
    <row r="113" spans="1:13" x14ac:dyDescent="0.2">
      <c r="A113" t="s">
        <v>17</v>
      </c>
      <c r="B113">
        <v>8</v>
      </c>
      <c r="C113">
        <v>34</v>
      </c>
      <c r="D113">
        <v>67</v>
      </c>
      <c r="E113">
        <v>1</v>
      </c>
      <c r="F113">
        <v>2007301</v>
      </c>
      <c r="G113">
        <v>0</v>
      </c>
      <c r="H113">
        <v>1</v>
      </c>
      <c r="I113">
        <v>0</v>
      </c>
      <c r="J113">
        <f t="shared" si="4"/>
        <v>31</v>
      </c>
      <c r="K113">
        <f t="shared" si="5"/>
        <v>372</v>
      </c>
      <c r="L113">
        <f t="shared" si="6"/>
        <v>305</v>
      </c>
      <c r="M113">
        <f t="shared" si="7"/>
        <v>2042.4166666666667</v>
      </c>
    </row>
    <row r="114" spans="1:13" x14ac:dyDescent="0.2">
      <c r="A114" t="s">
        <v>17</v>
      </c>
      <c r="B114">
        <v>8</v>
      </c>
      <c r="C114">
        <v>34</v>
      </c>
      <c r="D114">
        <v>112</v>
      </c>
      <c r="E114">
        <v>1</v>
      </c>
      <c r="F114">
        <v>1693801</v>
      </c>
      <c r="G114">
        <v>1</v>
      </c>
      <c r="H114">
        <v>1</v>
      </c>
      <c r="I114">
        <v>0</v>
      </c>
      <c r="J114">
        <f t="shared" si="4"/>
        <v>31</v>
      </c>
      <c r="K114">
        <f t="shared" si="5"/>
        <v>372</v>
      </c>
      <c r="L114">
        <f t="shared" si="6"/>
        <v>260</v>
      </c>
      <c r="M114">
        <f t="shared" si="7"/>
        <v>2038.6666666666667</v>
      </c>
    </row>
    <row r="115" spans="1:13" x14ac:dyDescent="0.2">
      <c r="A115" t="s">
        <v>17</v>
      </c>
      <c r="B115">
        <v>8</v>
      </c>
      <c r="C115">
        <v>34</v>
      </c>
      <c r="D115">
        <v>115</v>
      </c>
      <c r="E115">
        <v>1</v>
      </c>
      <c r="F115">
        <v>1671301</v>
      </c>
      <c r="G115">
        <v>1</v>
      </c>
      <c r="H115">
        <v>1</v>
      </c>
      <c r="I115">
        <v>0</v>
      </c>
      <c r="J115">
        <f t="shared" si="4"/>
        <v>31</v>
      </c>
      <c r="K115">
        <f t="shared" si="5"/>
        <v>372</v>
      </c>
      <c r="L115">
        <f t="shared" si="6"/>
        <v>257</v>
      </c>
      <c r="M115">
        <f t="shared" si="7"/>
        <v>2038.4166666666667</v>
      </c>
    </row>
    <row r="116" spans="1:13" x14ac:dyDescent="0.2">
      <c r="A116" t="s">
        <v>17</v>
      </c>
      <c r="B116">
        <v>8</v>
      </c>
      <c r="C116">
        <v>34</v>
      </c>
      <c r="D116">
        <v>147</v>
      </c>
      <c r="E116">
        <v>1</v>
      </c>
      <c r="F116">
        <v>1067101</v>
      </c>
      <c r="G116">
        <v>1</v>
      </c>
      <c r="H116">
        <v>1</v>
      </c>
      <c r="I116">
        <v>0</v>
      </c>
      <c r="J116">
        <f t="shared" si="4"/>
        <v>31</v>
      </c>
      <c r="K116">
        <f t="shared" si="5"/>
        <v>372</v>
      </c>
      <c r="L116">
        <f t="shared" si="6"/>
        <v>225</v>
      </c>
      <c r="M116">
        <f t="shared" si="7"/>
        <v>2035.75</v>
      </c>
    </row>
    <row r="117" spans="1:13" x14ac:dyDescent="0.2">
      <c r="A117" t="s">
        <v>17</v>
      </c>
      <c r="B117">
        <v>8</v>
      </c>
      <c r="C117">
        <v>34</v>
      </c>
      <c r="D117">
        <v>202</v>
      </c>
      <c r="E117">
        <v>1</v>
      </c>
      <c r="F117">
        <v>776701</v>
      </c>
      <c r="G117">
        <v>0</v>
      </c>
      <c r="H117">
        <v>1</v>
      </c>
      <c r="I117">
        <v>0</v>
      </c>
      <c r="J117">
        <f t="shared" si="4"/>
        <v>31</v>
      </c>
      <c r="K117">
        <f t="shared" si="5"/>
        <v>372</v>
      </c>
      <c r="L117">
        <f t="shared" si="6"/>
        <v>170</v>
      </c>
      <c r="M117">
        <f t="shared" si="7"/>
        <v>2031.1666666666667</v>
      </c>
    </row>
    <row r="118" spans="1:13" x14ac:dyDescent="0.2">
      <c r="A118" t="s">
        <v>17</v>
      </c>
      <c r="B118">
        <v>8</v>
      </c>
      <c r="C118">
        <v>34</v>
      </c>
      <c r="D118">
        <v>211</v>
      </c>
      <c r="E118">
        <v>1</v>
      </c>
      <c r="F118">
        <v>636901</v>
      </c>
      <c r="G118">
        <v>1</v>
      </c>
      <c r="H118">
        <v>1</v>
      </c>
      <c r="I118">
        <v>0</v>
      </c>
      <c r="J118">
        <f t="shared" si="4"/>
        <v>31</v>
      </c>
      <c r="K118">
        <f t="shared" si="5"/>
        <v>372</v>
      </c>
      <c r="L118">
        <f t="shared" si="6"/>
        <v>161</v>
      </c>
      <c r="M118">
        <f t="shared" si="7"/>
        <v>2030.4166666666667</v>
      </c>
    </row>
    <row r="119" spans="1:13" x14ac:dyDescent="0.2">
      <c r="A119" t="s">
        <v>17</v>
      </c>
      <c r="B119">
        <v>8</v>
      </c>
      <c r="C119">
        <v>34</v>
      </c>
      <c r="D119">
        <v>220</v>
      </c>
      <c r="E119">
        <v>1</v>
      </c>
      <c r="F119">
        <v>362402</v>
      </c>
      <c r="G119">
        <v>1</v>
      </c>
      <c r="H119">
        <v>1</v>
      </c>
      <c r="I119">
        <v>0</v>
      </c>
      <c r="J119">
        <f t="shared" si="4"/>
        <v>31</v>
      </c>
      <c r="K119">
        <f t="shared" si="5"/>
        <v>372</v>
      </c>
      <c r="L119">
        <f t="shared" si="6"/>
        <v>152</v>
      </c>
      <c r="M119">
        <f t="shared" si="7"/>
        <v>2029.6666666666667</v>
      </c>
    </row>
    <row r="120" spans="1:13" x14ac:dyDescent="0.2">
      <c r="A120" t="s">
        <v>17</v>
      </c>
      <c r="B120">
        <v>8</v>
      </c>
      <c r="C120">
        <v>34</v>
      </c>
      <c r="D120">
        <v>222</v>
      </c>
      <c r="E120">
        <v>12</v>
      </c>
      <c r="F120">
        <v>332602</v>
      </c>
      <c r="G120">
        <v>1</v>
      </c>
      <c r="H120">
        <v>1</v>
      </c>
      <c r="I120">
        <v>0</v>
      </c>
      <c r="J120">
        <f t="shared" si="4"/>
        <v>31</v>
      </c>
      <c r="K120">
        <f t="shared" si="5"/>
        <v>372</v>
      </c>
      <c r="L120">
        <f t="shared" si="6"/>
        <v>150</v>
      </c>
      <c r="M120">
        <f t="shared" si="7"/>
        <v>2029.5</v>
      </c>
    </row>
    <row r="121" spans="1:13" x14ac:dyDescent="0.2">
      <c r="A121" t="s">
        <v>17</v>
      </c>
      <c r="B121">
        <v>8</v>
      </c>
      <c r="C121">
        <v>34</v>
      </c>
      <c r="D121">
        <v>228</v>
      </c>
      <c r="E121">
        <v>12</v>
      </c>
      <c r="F121">
        <v>218002</v>
      </c>
      <c r="G121">
        <v>0</v>
      </c>
      <c r="H121">
        <v>1</v>
      </c>
      <c r="I121">
        <v>0</v>
      </c>
      <c r="J121">
        <f t="shared" si="4"/>
        <v>31</v>
      </c>
      <c r="K121">
        <f t="shared" si="5"/>
        <v>372</v>
      </c>
      <c r="L121">
        <f t="shared" si="6"/>
        <v>144</v>
      </c>
      <c r="M121">
        <f t="shared" si="7"/>
        <v>2029</v>
      </c>
    </row>
    <row r="122" spans="1:13" x14ac:dyDescent="0.2">
      <c r="A122" t="s">
        <v>17</v>
      </c>
      <c r="B122">
        <v>8</v>
      </c>
      <c r="C122">
        <v>34</v>
      </c>
      <c r="D122">
        <v>231</v>
      </c>
      <c r="E122">
        <v>1</v>
      </c>
      <c r="F122">
        <v>165401</v>
      </c>
      <c r="G122">
        <v>1</v>
      </c>
      <c r="H122">
        <v>1</v>
      </c>
      <c r="I122">
        <v>0</v>
      </c>
      <c r="J122">
        <f t="shared" si="4"/>
        <v>31</v>
      </c>
      <c r="K122">
        <f t="shared" si="5"/>
        <v>372</v>
      </c>
      <c r="L122">
        <f t="shared" si="6"/>
        <v>141</v>
      </c>
      <c r="M122">
        <f t="shared" si="7"/>
        <v>2028.75</v>
      </c>
    </row>
    <row r="123" spans="1:13" x14ac:dyDescent="0.2">
      <c r="A123" t="s">
        <v>17</v>
      </c>
      <c r="B123">
        <v>8</v>
      </c>
      <c r="C123">
        <v>35</v>
      </c>
      <c r="D123">
        <v>144</v>
      </c>
      <c r="E123">
        <v>1</v>
      </c>
      <c r="F123">
        <v>1104001</v>
      </c>
      <c r="G123">
        <v>0</v>
      </c>
      <c r="H123">
        <v>1</v>
      </c>
      <c r="I123">
        <v>0</v>
      </c>
      <c r="J123">
        <f t="shared" si="4"/>
        <v>30</v>
      </c>
      <c r="K123">
        <f t="shared" si="5"/>
        <v>360</v>
      </c>
      <c r="L123">
        <f t="shared" si="6"/>
        <v>216</v>
      </c>
      <c r="M123">
        <f t="shared" si="7"/>
        <v>2035</v>
      </c>
    </row>
    <row r="124" spans="1:13" x14ac:dyDescent="0.2">
      <c r="A124" t="s">
        <v>17</v>
      </c>
      <c r="B124">
        <v>8</v>
      </c>
      <c r="C124">
        <v>35</v>
      </c>
      <c r="D124">
        <v>164</v>
      </c>
      <c r="E124">
        <v>1</v>
      </c>
      <c r="F124">
        <v>934503</v>
      </c>
      <c r="G124">
        <v>1</v>
      </c>
      <c r="H124">
        <v>1</v>
      </c>
      <c r="I124">
        <v>0</v>
      </c>
      <c r="J124">
        <f t="shared" si="4"/>
        <v>30</v>
      </c>
      <c r="K124">
        <f t="shared" si="5"/>
        <v>360</v>
      </c>
      <c r="L124">
        <f t="shared" si="6"/>
        <v>196</v>
      </c>
      <c r="M124">
        <f t="shared" si="7"/>
        <v>2033.3333333333333</v>
      </c>
    </row>
    <row r="125" spans="1:13" x14ac:dyDescent="0.2">
      <c r="A125" t="s">
        <v>17</v>
      </c>
      <c r="B125">
        <v>8</v>
      </c>
      <c r="C125">
        <v>35</v>
      </c>
      <c r="D125">
        <v>222</v>
      </c>
      <c r="E125">
        <v>1</v>
      </c>
      <c r="F125">
        <v>330302</v>
      </c>
      <c r="G125">
        <v>1</v>
      </c>
      <c r="H125">
        <v>1</v>
      </c>
      <c r="I125">
        <v>0</v>
      </c>
      <c r="J125">
        <f t="shared" si="4"/>
        <v>30</v>
      </c>
      <c r="K125">
        <f t="shared" si="5"/>
        <v>360</v>
      </c>
      <c r="L125">
        <f t="shared" si="6"/>
        <v>138</v>
      </c>
      <c r="M125">
        <f t="shared" si="7"/>
        <v>2028.5</v>
      </c>
    </row>
    <row r="126" spans="1:13" x14ac:dyDescent="0.2">
      <c r="A126" t="s">
        <v>17</v>
      </c>
      <c r="B126">
        <v>8</v>
      </c>
      <c r="C126">
        <v>35</v>
      </c>
      <c r="D126">
        <v>222</v>
      </c>
      <c r="E126">
        <v>12</v>
      </c>
      <c r="F126">
        <v>318002</v>
      </c>
      <c r="G126">
        <v>0</v>
      </c>
      <c r="H126">
        <v>1</v>
      </c>
      <c r="I126">
        <v>0</v>
      </c>
      <c r="J126">
        <f t="shared" si="4"/>
        <v>30</v>
      </c>
      <c r="K126">
        <f t="shared" si="5"/>
        <v>360</v>
      </c>
      <c r="L126">
        <f t="shared" si="6"/>
        <v>138</v>
      </c>
      <c r="M126">
        <f t="shared" si="7"/>
        <v>2028.5</v>
      </c>
    </row>
    <row r="127" spans="1:13" x14ac:dyDescent="0.2">
      <c r="A127" t="s">
        <v>17</v>
      </c>
      <c r="B127">
        <v>8</v>
      </c>
      <c r="C127">
        <v>35</v>
      </c>
      <c r="D127">
        <v>224</v>
      </c>
      <c r="E127">
        <v>12</v>
      </c>
      <c r="F127">
        <v>288904</v>
      </c>
      <c r="G127">
        <v>1</v>
      </c>
      <c r="H127">
        <v>1</v>
      </c>
      <c r="I127">
        <v>0</v>
      </c>
      <c r="J127">
        <f t="shared" si="4"/>
        <v>30</v>
      </c>
      <c r="K127">
        <f t="shared" si="5"/>
        <v>360</v>
      </c>
      <c r="L127">
        <f t="shared" si="6"/>
        <v>136</v>
      </c>
      <c r="M127">
        <f t="shared" si="7"/>
        <v>2028.3333333333333</v>
      </c>
    </row>
    <row r="128" spans="1:13" x14ac:dyDescent="0.2">
      <c r="A128" t="s">
        <v>17</v>
      </c>
      <c r="B128">
        <v>8</v>
      </c>
      <c r="C128">
        <v>35</v>
      </c>
      <c r="D128">
        <v>234</v>
      </c>
      <c r="E128">
        <v>1</v>
      </c>
      <c r="F128">
        <v>128902</v>
      </c>
      <c r="G128">
        <v>1</v>
      </c>
      <c r="H128">
        <v>1</v>
      </c>
      <c r="I128">
        <v>0</v>
      </c>
      <c r="J128">
        <f t="shared" si="4"/>
        <v>30</v>
      </c>
      <c r="K128">
        <f t="shared" si="5"/>
        <v>360</v>
      </c>
      <c r="L128">
        <f t="shared" si="6"/>
        <v>126</v>
      </c>
      <c r="M128">
        <f t="shared" si="7"/>
        <v>2027.5</v>
      </c>
    </row>
    <row r="129" spans="1:13" x14ac:dyDescent="0.2">
      <c r="A129" t="s">
        <v>17</v>
      </c>
      <c r="B129">
        <v>8</v>
      </c>
      <c r="C129">
        <v>35</v>
      </c>
      <c r="D129">
        <v>236</v>
      </c>
      <c r="E129">
        <v>1</v>
      </c>
      <c r="F129">
        <v>95402</v>
      </c>
      <c r="G129">
        <v>1</v>
      </c>
      <c r="H129">
        <v>1</v>
      </c>
      <c r="I129">
        <v>0</v>
      </c>
      <c r="J129">
        <f t="shared" si="4"/>
        <v>30</v>
      </c>
      <c r="K129">
        <f t="shared" si="5"/>
        <v>360</v>
      </c>
      <c r="L129">
        <f t="shared" si="6"/>
        <v>124</v>
      </c>
      <c r="M129">
        <f t="shared" si="7"/>
        <v>2027.3333333333333</v>
      </c>
    </row>
    <row r="130" spans="1:13" x14ac:dyDescent="0.2">
      <c r="A130" t="s">
        <v>17</v>
      </c>
      <c r="B130">
        <v>8</v>
      </c>
      <c r="C130">
        <v>35</v>
      </c>
      <c r="D130">
        <v>236</v>
      </c>
      <c r="E130">
        <v>1</v>
      </c>
      <c r="F130">
        <v>108101</v>
      </c>
      <c r="G130">
        <v>0</v>
      </c>
      <c r="H130">
        <v>1</v>
      </c>
      <c r="I130">
        <v>0</v>
      </c>
      <c r="J130">
        <f t="shared" si="4"/>
        <v>30</v>
      </c>
      <c r="K130">
        <f t="shared" si="5"/>
        <v>360</v>
      </c>
      <c r="L130">
        <f t="shared" si="6"/>
        <v>124</v>
      </c>
      <c r="M130">
        <f t="shared" si="7"/>
        <v>2027.3333333333333</v>
      </c>
    </row>
    <row r="131" spans="1:13" x14ac:dyDescent="0.2">
      <c r="A131" t="s">
        <v>17</v>
      </c>
      <c r="B131">
        <v>8</v>
      </c>
      <c r="C131">
        <v>36</v>
      </c>
      <c r="D131">
        <v>74</v>
      </c>
      <c r="E131">
        <v>1</v>
      </c>
      <c r="F131">
        <v>1983801</v>
      </c>
      <c r="G131">
        <v>0</v>
      </c>
      <c r="H131">
        <v>1</v>
      </c>
      <c r="I131">
        <v>0</v>
      </c>
      <c r="J131">
        <f t="shared" si="4"/>
        <v>29</v>
      </c>
      <c r="K131">
        <f t="shared" si="5"/>
        <v>348</v>
      </c>
      <c r="L131">
        <f t="shared" si="6"/>
        <v>274</v>
      </c>
      <c r="M131">
        <f t="shared" si="7"/>
        <v>2039.8333333333333</v>
      </c>
    </row>
    <row r="132" spans="1:13" x14ac:dyDescent="0.2">
      <c r="A132" t="s">
        <v>17</v>
      </c>
      <c r="B132">
        <v>8</v>
      </c>
      <c r="C132">
        <v>36</v>
      </c>
      <c r="D132">
        <v>101</v>
      </c>
      <c r="E132">
        <v>1</v>
      </c>
      <c r="F132">
        <v>1827901</v>
      </c>
      <c r="G132">
        <v>1</v>
      </c>
      <c r="H132">
        <v>1</v>
      </c>
      <c r="I132">
        <v>0</v>
      </c>
      <c r="J132">
        <f t="shared" si="4"/>
        <v>29</v>
      </c>
      <c r="K132">
        <f t="shared" si="5"/>
        <v>348</v>
      </c>
      <c r="L132">
        <f t="shared" si="6"/>
        <v>247</v>
      </c>
      <c r="M132">
        <f t="shared" si="7"/>
        <v>2037.5833333333333</v>
      </c>
    </row>
    <row r="133" spans="1:13" x14ac:dyDescent="0.2">
      <c r="A133" t="s">
        <v>17</v>
      </c>
      <c r="B133">
        <v>8</v>
      </c>
      <c r="C133">
        <v>36</v>
      </c>
      <c r="D133">
        <v>143</v>
      </c>
      <c r="E133">
        <v>1</v>
      </c>
      <c r="F133">
        <v>1107001</v>
      </c>
      <c r="G133">
        <v>1</v>
      </c>
      <c r="H133">
        <v>1</v>
      </c>
      <c r="I133">
        <v>0</v>
      </c>
      <c r="J133">
        <f t="shared" si="4"/>
        <v>29</v>
      </c>
      <c r="K133">
        <f t="shared" si="5"/>
        <v>348</v>
      </c>
      <c r="L133">
        <f t="shared" si="6"/>
        <v>205</v>
      </c>
      <c r="M133">
        <f t="shared" si="7"/>
        <v>2034.0833333333333</v>
      </c>
    </row>
    <row r="134" spans="1:13" x14ac:dyDescent="0.2">
      <c r="A134" t="s">
        <v>17</v>
      </c>
      <c r="B134">
        <v>8</v>
      </c>
      <c r="C134">
        <v>36</v>
      </c>
      <c r="D134">
        <v>218</v>
      </c>
      <c r="E134">
        <v>1</v>
      </c>
      <c r="F134">
        <v>384501</v>
      </c>
      <c r="G134">
        <v>0</v>
      </c>
      <c r="H134">
        <v>1</v>
      </c>
      <c r="I134">
        <v>0</v>
      </c>
      <c r="J134">
        <f t="shared" si="4"/>
        <v>29</v>
      </c>
      <c r="K134">
        <f t="shared" si="5"/>
        <v>348</v>
      </c>
      <c r="L134">
        <f t="shared" si="6"/>
        <v>130</v>
      </c>
      <c r="M134">
        <f t="shared" si="7"/>
        <v>2027.8333333333333</v>
      </c>
    </row>
    <row r="135" spans="1:13" x14ac:dyDescent="0.2">
      <c r="A135" t="s">
        <v>17</v>
      </c>
      <c r="B135">
        <v>8</v>
      </c>
      <c r="C135">
        <v>36</v>
      </c>
      <c r="D135">
        <v>223</v>
      </c>
      <c r="E135">
        <v>12</v>
      </c>
      <c r="F135">
        <v>312002</v>
      </c>
      <c r="G135">
        <v>1</v>
      </c>
      <c r="H135">
        <v>1</v>
      </c>
      <c r="I135">
        <v>0</v>
      </c>
      <c r="J135">
        <f t="shared" ref="J135:J198" si="8">65-C135</f>
        <v>29</v>
      </c>
      <c r="K135">
        <f t="shared" ref="K135:K198" si="9">J135*12</f>
        <v>348</v>
      </c>
      <c r="L135">
        <f t="shared" ref="L135:L198" si="10">K135-D135</f>
        <v>125</v>
      </c>
      <c r="M135">
        <f t="shared" ref="M135:M198" si="11">2017+L135/12</f>
        <v>2027.4166666666667</v>
      </c>
    </row>
    <row r="136" spans="1:13" x14ac:dyDescent="0.2">
      <c r="A136" t="s">
        <v>17</v>
      </c>
      <c r="B136">
        <v>8</v>
      </c>
      <c r="C136">
        <v>37</v>
      </c>
      <c r="D136">
        <v>68</v>
      </c>
      <c r="E136">
        <v>1</v>
      </c>
      <c r="F136">
        <v>2004901</v>
      </c>
      <c r="G136">
        <v>0</v>
      </c>
      <c r="H136">
        <v>1</v>
      </c>
      <c r="I136">
        <v>0</v>
      </c>
      <c r="J136">
        <f t="shared" si="8"/>
        <v>28</v>
      </c>
      <c r="K136">
        <f t="shared" si="9"/>
        <v>336</v>
      </c>
      <c r="L136">
        <f t="shared" si="10"/>
        <v>268</v>
      </c>
      <c r="M136">
        <f t="shared" si="11"/>
        <v>2039.3333333333333</v>
      </c>
    </row>
    <row r="137" spans="1:13" x14ac:dyDescent="0.2">
      <c r="A137" t="s">
        <v>17</v>
      </c>
      <c r="B137">
        <v>8</v>
      </c>
      <c r="C137">
        <v>37</v>
      </c>
      <c r="D137">
        <v>69</v>
      </c>
      <c r="E137">
        <v>1</v>
      </c>
      <c r="F137">
        <v>2001001</v>
      </c>
      <c r="G137">
        <v>1</v>
      </c>
      <c r="H137">
        <v>1</v>
      </c>
      <c r="I137">
        <v>0</v>
      </c>
      <c r="J137">
        <f t="shared" si="8"/>
        <v>28</v>
      </c>
      <c r="K137">
        <f t="shared" si="9"/>
        <v>336</v>
      </c>
      <c r="L137">
        <f t="shared" si="10"/>
        <v>267</v>
      </c>
      <c r="M137">
        <f t="shared" si="11"/>
        <v>2039.25</v>
      </c>
    </row>
    <row r="138" spans="1:13" x14ac:dyDescent="0.2">
      <c r="A138" t="s">
        <v>17</v>
      </c>
      <c r="B138">
        <v>8</v>
      </c>
      <c r="C138">
        <v>37</v>
      </c>
      <c r="D138">
        <v>72</v>
      </c>
      <c r="E138">
        <v>1</v>
      </c>
      <c r="F138">
        <v>428101</v>
      </c>
      <c r="G138">
        <v>1</v>
      </c>
      <c r="H138">
        <v>1</v>
      </c>
      <c r="I138">
        <v>0</v>
      </c>
      <c r="J138">
        <f t="shared" si="8"/>
        <v>28</v>
      </c>
      <c r="K138">
        <f t="shared" si="9"/>
        <v>336</v>
      </c>
      <c r="L138">
        <f t="shared" si="10"/>
        <v>264</v>
      </c>
      <c r="M138">
        <f t="shared" si="11"/>
        <v>2039</v>
      </c>
    </row>
    <row r="139" spans="1:13" x14ac:dyDescent="0.2">
      <c r="A139" t="s">
        <v>17</v>
      </c>
      <c r="B139">
        <v>8</v>
      </c>
      <c r="C139">
        <v>37</v>
      </c>
      <c r="D139">
        <v>139</v>
      </c>
      <c r="E139">
        <v>1</v>
      </c>
      <c r="F139">
        <v>1135401</v>
      </c>
      <c r="G139">
        <v>1</v>
      </c>
      <c r="H139">
        <v>1</v>
      </c>
      <c r="I139">
        <v>0</v>
      </c>
      <c r="J139">
        <f t="shared" si="8"/>
        <v>28</v>
      </c>
      <c r="K139">
        <f t="shared" si="9"/>
        <v>336</v>
      </c>
      <c r="L139">
        <f t="shared" si="10"/>
        <v>197</v>
      </c>
      <c r="M139">
        <f t="shared" si="11"/>
        <v>2033.4166666666667</v>
      </c>
    </row>
    <row r="140" spans="1:13" x14ac:dyDescent="0.2">
      <c r="A140" t="s">
        <v>17</v>
      </c>
      <c r="B140">
        <v>8</v>
      </c>
      <c r="C140">
        <v>37</v>
      </c>
      <c r="D140">
        <v>164</v>
      </c>
      <c r="E140">
        <v>1</v>
      </c>
      <c r="F140">
        <v>938901</v>
      </c>
      <c r="G140">
        <v>0</v>
      </c>
      <c r="H140">
        <v>1</v>
      </c>
      <c r="I140">
        <v>0</v>
      </c>
      <c r="J140">
        <f t="shared" si="8"/>
        <v>28</v>
      </c>
      <c r="K140">
        <f t="shared" si="9"/>
        <v>336</v>
      </c>
      <c r="L140">
        <f t="shared" si="10"/>
        <v>172</v>
      </c>
      <c r="M140">
        <f t="shared" si="11"/>
        <v>2031.3333333333333</v>
      </c>
    </row>
    <row r="141" spans="1:13" x14ac:dyDescent="0.2">
      <c r="A141" t="s">
        <v>17</v>
      </c>
      <c r="B141">
        <v>8</v>
      </c>
      <c r="C141">
        <v>37</v>
      </c>
      <c r="D141">
        <v>200</v>
      </c>
      <c r="E141">
        <v>2</v>
      </c>
      <c r="F141">
        <v>799302</v>
      </c>
      <c r="G141">
        <v>0</v>
      </c>
      <c r="H141">
        <v>1</v>
      </c>
      <c r="I141">
        <v>0</v>
      </c>
      <c r="J141">
        <f t="shared" si="8"/>
        <v>28</v>
      </c>
      <c r="K141">
        <f t="shared" si="9"/>
        <v>336</v>
      </c>
      <c r="L141">
        <f t="shared" si="10"/>
        <v>136</v>
      </c>
      <c r="M141">
        <f t="shared" si="11"/>
        <v>2028.3333333333333</v>
      </c>
    </row>
    <row r="142" spans="1:13" x14ac:dyDescent="0.2">
      <c r="A142" t="s">
        <v>17</v>
      </c>
      <c r="B142">
        <v>8</v>
      </c>
      <c r="C142">
        <v>37</v>
      </c>
      <c r="D142">
        <v>206</v>
      </c>
      <c r="E142">
        <v>12</v>
      </c>
      <c r="F142">
        <v>699202</v>
      </c>
      <c r="G142">
        <v>1</v>
      </c>
      <c r="H142">
        <v>1</v>
      </c>
      <c r="I142">
        <v>0</v>
      </c>
      <c r="J142">
        <f t="shared" si="8"/>
        <v>28</v>
      </c>
      <c r="K142">
        <f t="shared" si="9"/>
        <v>336</v>
      </c>
      <c r="L142">
        <f t="shared" si="10"/>
        <v>130</v>
      </c>
      <c r="M142">
        <f t="shared" si="11"/>
        <v>2027.8333333333333</v>
      </c>
    </row>
    <row r="143" spans="1:13" x14ac:dyDescent="0.2">
      <c r="A143" t="s">
        <v>17</v>
      </c>
      <c r="B143">
        <v>8</v>
      </c>
      <c r="C143">
        <v>37</v>
      </c>
      <c r="D143">
        <v>213</v>
      </c>
      <c r="E143">
        <v>12</v>
      </c>
      <c r="F143">
        <v>590103</v>
      </c>
      <c r="G143">
        <v>0</v>
      </c>
      <c r="H143">
        <v>1</v>
      </c>
      <c r="I143">
        <v>0</v>
      </c>
      <c r="J143">
        <f t="shared" si="8"/>
        <v>28</v>
      </c>
      <c r="K143">
        <f t="shared" si="9"/>
        <v>336</v>
      </c>
      <c r="L143">
        <f t="shared" si="10"/>
        <v>123</v>
      </c>
      <c r="M143">
        <f t="shared" si="11"/>
        <v>2027.25</v>
      </c>
    </row>
    <row r="144" spans="1:13" x14ac:dyDescent="0.2">
      <c r="A144" t="s">
        <v>17</v>
      </c>
      <c r="B144">
        <v>8</v>
      </c>
      <c r="C144">
        <v>37</v>
      </c>
      <c r="D144">
        <v>215</v>
      </c>
      <c r="E144">
        <v>1</v>
      </c>
      <c r="F144">
        <v>417502</v>
      </c>
      <c r="G144">
        <v>1</v>
      </c>
      <c r="H144">
        <v>1</v>
      </c>
      <c r="I144">
        <v>0</v>
      </c>
      <c r="J144">
        <f t="shared" si="8"/>
        <v>28</v>
      </c>
      <c r="K144">
        <f t="shared" si="9"/>
        <v>336</v>
      </c>
      <c r="L144">
        <f t="shared" si="10"/>
        <v>121</v>
      </c>
      <c r="M144">
        <f t="shared" si="11"/>
        <v>2027.0833333333333</v>
      </c>
    </row>
    <row r="145" spans="1:13" x14ac:dyDescent="0.2">
      <c r="A145" t="s">
        <v>17</v>
      </c>
      <c r="B145">
        <v>8</v>
      </c>
      <c r="C145">
        <v>37</v>
      </c>
      <c r="D145">
        <v>237</v>
      </c>
      <c r="E145">
        <v>1</v>
      </c>
      <c r="F145">
        <v>77802</v>
      </c>
      <c r="G145">
        <v>1</v>
      </c>
      <c r="H145">
        <v>1</v>
      </c>
      <c r="I145">
        <v>0</v>
      </c>
      <c r="J145">
        <f t="shared" si="8"/>
        <v>28</v>
      </c>
      <c r="K145">
        <f t="shared" si="9"/>
        <v>336</v>
      </c>
      <c r="L145">
        <f t="shared" si="10"/>
        <v>99</v>
      </c>
      <c r="M145">
        <f t="shared" si="11"/>
        <v>2025.25</v>
      </c>
    </row>
    <row r="146" spans="1:13" x14ac:dyDescent="0.2">
      <c r="A146" t="s">
        <v>17</v>
      </c>
      <c r="B146">
        <v>8</v>
      </c>
      <c r="C146">
        <v>37</v>
      </c>
      <c r="D146">
        <v>239</v>
      </c>
      <c r="E146">
        <v>1</v>
      </c>
      <c r="F146">
        <v>87801</v>
      </c>
      <c r="G146">
        <v>0</v>
      </c>
      <c r="H146">
        <v>1</v>
      </c>
      <c r="I146">
        <v>0</v>
      </c>
      <c r="J146">
        <f t="shared" si="8"/>
        <v>28</v>
      </c>
      <c r="K146">
        <f t="shared" si="9"/>
        <v>336</v>
      </c>
      <c r="L146">
        <f t="shared" si="10"/>
        <v>97</v>
      </c>
      <c r="M146">
        <f t="shared" si="11"/>
        <v>2025.0833333333333</v>
      </c>
    </row>
    <row r="147" spans="1:13" x14ac:dyDescent="0.2">
      <c r="A147" t="s">
        <v>17</v>
      </c>
      <c r="B147">
        <v>8</v>
      </c>
      <c r="C147">
        <v>38</v>
      </c>
      <c r="D147">
        <v>91</v>
      </c>
      <c r="E147">
        <v>1</v>
      </c>
      <c r="F147">
        <v>1911701</v>
      </c>
      <c r="G147">
        <v>1</v>
      </c>
      <c r="H147">
        <v>1</v>
      </c>
      <c r="I147">
        <v>0</v>
      </c>
      <c r="J147">
        <f t="shared" si="8"/>
        <v>27</v>
      </c>
      <c r="K147">
        <f t="shared" si="9"/>
        <v>324</v>
      </c>
      <c r="L147">
        <f t="shared" si="10"/>
        <v>233</v>
      </c>
      <c r="M147">
        <f t="shared" si="11"/>
        <v>2036.4166666666667</v>
      </c>
    </row>
    <row r="148" spans="1:13" x14ac:dyDescent="0.2">
      <c r="A148" t="s">
        <v>17</v>
      </c>
      <c r="B148">
        <v>8</v>
      </c>
      <c r="C148">
        <v>38</v>
      </c>
      <c r="D148">
        <v>126</v>
      </c>
      <c r="E148">
        <v>1</v>
      </c>
      <c r="F148">
        <v>1611902</v>
      </c>
      <c r="G148">
        <v>1</v>
      </c>
      <c r="H148">
        <v>1</v>
      </c>
      <c r="I148">
        <v>0</v>
      </c>
      <c r="J148">
        <f t="shared" si="8"/>
        <v>27</v>
      </c>
      <c r="K148">
        <f t="shared" si="9"/>
        <v>324</v>
      </c>
      <c r="L148">
        <f t="shared" si="10"/>
        <v>198</v>
      </c>
      <c r="M148">
        <f t="shared" si="11"/>
        <v>2033.5</v>
      </c>
    </row>
    <row r="149" spans="1:13" x14ac:dyDescent="0.2">
      <c r="A149" t="s">
        <v>17</v>
      </c>
      <c r="B149">
        <v>8</v>
      </c>
      <c r="C149">
        <v>38</v>
      </c>
      <c r="D149">
        <v>167</v>
      </c>
      <c r="E149">
        <v>1</v>
      </c>
      <c r="F149">
        <v>917601</v>
      </c>
      <c r="G149">
        <v>1</v>
      </c>
      <c r="H149">
        <v>1</v>
      </c>
      <c r="I149">
        <v>0</v>
      </c>
      <c r="J149">
        <f t="shared" si="8"/>
        <v>27</v>
      </c>
      <c r="K149">
        <f t="shared" si="9"/>
        <v>324</v>
      </c>
      <c r="L149">
        <f t="shared" si="10"/>
        <v>157</v>
      </c>
      <c r="M149">
        <f t="shared" si="11"/>
        <v>2030.0833333333333</v>
      </c>
    </row>
    <row r="150" spans="1:13" x14ac:dyDescent="0.2">
      <c r="A150" t="s">
        <v>17</v>
      </c>
      <c r="B150">
        <v>8</v>
      </c>
      <c r="C150">
        <v>38</v>
      </c>
      <c r="D150">
        <v>170</v>
      </c>
      <c r="E150">
        <v>1</v>
      </c>
      <c r="F150">
        <v>904001</v>
      </c>
      <c r="G150">
        <v>1</v>
      </c>
      <c r="H150">
        <v>1</v>
      </c>
      <c r="I150">
        <v>0</v>
      </c>
      <c r="J150">
        <f t="shared" si="8"/>
        <v>27</v>
      </c>
      <c r="K150">
        <f t="shared" si="9"/>
        <v>324</v>
      </c>
      <c r="L150">
        <f t="shared" si="10"/>
        <v>154</v>
      </c>
      <c r="M150">
        <f t="shared" si="11"/>
        <v>2029.8333333333333</v>
      </c>
    </row>
    <row r="151" spans="1:13" x14ac:dyDescent="0.2">
      <c r="A151" t="s">
        <v>17</v>
      </c>
      <c r="B151">
        <v>8</v>
      </c>
      <c r="C151">
        <v>38</v>
      </c>
      <c r="D151">
        <v>203</v>
      </c>
      <c r="E151">
        <v>1</v>
      </c>
      <c r="F151">
        <v>752301</v>
      </c>
      <c r="G151">
        <v>0</v>
      </c>
      <c r="H151">
        <v>1</v>
      </c>
      <c r="I151">
        <v>0</v>
      </c>
      <c r="J151">
        <f t="shared" si="8"/>
        <v>27</v>
      </c>
      <c r="K151">
        <f t="shared" si="9"/>
        <v>324</v>
      </c>
      <c r="L151">
        <f t="shared" si="10"/>
        <v>121</v>
      </c>
      <c r="M151">
        <f t="shared" si="11"/>
        <v>2027.0833333333333</v>
      </c>
    </row>
    <row r="152" spans="1:13" x14ac:dyDescent="0.2">
      <c r="A152" t="s">
        <v>17</v>
      </c>
      <c r="B152">
        <v>8</v>
      </c>
      <c r="C152">
        <v>38</v>
      </c>
      <c r="D152">
        <v>211</v>
      </c>
      <c r="E152">
        <v>1</v>
      </c>
      <c r="F152">
        <v>631901</v>
      </c>
      <c r="G152">
        <v>1</v>
      </c>
      <c r="H152">
        <v>1</v>
      </c>
      <c r="I152">
        <v>0</v>
      </c>
      <c r="J152">
        <f t="shared" si="8"/>
        <v>27</v>
      </c>
      <c r="K152">
        <f t="shared" si="9"/>
        <v>324</v>
      </c>
      <c r="L152">
        <f t="shared" si="10"/>
        <v>113</v>
      </c>
      <c r="M152">
        <f t="shared" si="11"/>
        <v>2026.4166666666667</v>
      </c>
    </row>
    <row r="153" spans="1:13" x14ac:dyDescent="0.2">
      <c r="A153" t="s">
        <v>17</v>
      </c>
      <c r="B153">
        <v>8</v>
      </c>
      <c r="C153">
        <v>38</v>
      </c>
      <c r="D153">
        <v>215</v>
      </c>
      <c r="E153">
        <v>1</v>
      </c>
      <c r="F153">
        <v>530401</v>
      </c>
      <c r="G153">
        <v>1</v>
      </c>
      <c r="H153">
        <v>1</v>
      </c>
      <c r="I153">
        <v>0</v>
      </c>
      <c r="J153">
        <f t="shared" si="8"/>
        <v>27</v>
      </c>
      <c r="K153">
        <f t="shared" si="9"/>
        <v>324</v>
      </c>
      <c r="L153">
        <f t="shared" si="10"/>
        <v>109</v>
      </c>
      <c r="M153">
        <f t="shared" si="11"/>
        <v>2026.0833333333333</v>
      </c>
    </row>
    <row r="154" spans="1:13" x14ac:dyDescent="0.2">
      <c r="A154" t="s">
        <v>17</v>
      </c>
      <c r="B154">
        <v>8</v>
      </c>
      <c r="C154">
        <v>38</v>
      </c>
      <c r="D154">
        <v>218</v>
      </c>
      <c r="E154">
        <v>1</v>
      </c>
      <c r="F154">
        <v>404301</v>
      </c>
      <c r="G154">
        <v>0</v>
      </c>
      <c r="H154">
        <v>1</v>
      </c>
      <c r="I154">
        <v>0</v>
      </c>
      <c r="J154">
        <f t="shared" si="8"/>
        <v>27</v>
      </c>
      <c r="K154">
        <f t="shared" si="9"/>
        <v>324</v>
      </c>
      <c r="L154">
        <f t="shared" si="10"/>
        <v>106</v>
      </c>
      <c r="M154">
        <f t="shared" si="11"/>
        <v>2025.8333333333333</v>
      </c>
    </row>
    <row r="155" spans="1:13" x14ac:dyDescent="0.2">
      <c r="A155" t="s">
        <v>17</v>
      </c>
      <c r="B155">
        <v>8</v>
      </c>
      <c r="C155">
        <v>38</v>
      </c>
      <c r="D155">
        <v>225</v>
      </c>
      <c r="E155">
        <v>1</v>
      </c>
      <c r="F155">
        <v>290801</v>
      </c>
      <c r="G155">
        <v>0</v>
      </c>
      <c r="H155">
        <v>1</v>
      </c>
      <c r="I155">
        <v>0</v>
      </c>
      <c r="J155">
        <f t="shared" si="8"/>
        <v>27</v>
      </c>
      <c r="K155">
        <f t="shared" si="9"/>
        <v>324</v>
      </c>
      <c r="L155">
        <f t="shared" si="10"/>
        <v>99</v>
      </c>
      <c r="M155">
        <f t="shared" si="11"/>
        <v>2025.25</v>
      </c>
    </row>
    <row r="156" spans="1:13" x14ac:dyDescent="0.2">
      <c r="A156" t="s">
        <v>17</v>
      </c>
      <c r="B156">
        <v>8</v>
      </c>
      <c r="C156">
        <v>39</v>
      </c>
      <c r="D156">
        <v>145</v>
      </c>
      <c r="E156">
        <v>1</v>
      </c>
      <c r="F156">
        <v>1086201</v>
      </c>
      <c r="G156">
        <v>1</v>
      </c>
      <c r="H156">
        <v>1</v>
      </c>
      <c r="I156">
        <v>0</v>
      </c>
      <c r="J156">
        <f t="shared" si="8"/>
        <v>26</v>
      </c>
      <c r="K156">
        <f t="shared" si="9"/>
        <v>312</v>
      </c>
      <c r="L156">
        <f t="shared" si="10"/>
        <v>167</v>
      </c>
      <c r="M156">
        <f t="shared" si="11"/>
        <v>2030.9166666666667</v>
      </c>
    </row>
    <row r="157" spans="1:13" x14ac:dyDescent="0.2">
      <c r="A157" t="s">
        <v>17</v>
      </c>
      <c r="B157">
        <v>8</v>
      </c>
      <c r="C157">
        <v>39</v>
      </c>
      <c r="D157">
        <v>153</v>
      </c>
      <c r="E157">
        <v>1</v>
      </c>
      <c r="F157">
        <v>1026201</v>
      </c>
      <c r="G157">
        <v>0</v>
      </c>
      <c r="H157">
        <v>1</v>
      </c>
      <c r="I157">
        <v>0</v>
      </c>
      <c r="J157">
        <f t="shared" si="8"/>
        <v>26</v>
      </c>
      <c r="K157">
        <f t="shared" si="9"/>
        <v>312</v>
      </c>
      <c r="L157">
        <f t="shared" si="10"/>
        <v>159</v>
      </c>
      <c r="M157">
        <f t="shared" si="11"/>
        <v>2030.25</v>
      </c>
    </row>
    <row r="158" spans="1:13" x14ac:dyDescent="0.2">
      <c r="A158" t="s">
        <v>17</v>
      </c>
      <c r="B158">
        <v>8</v>
      </c>
      <c r="C158">
        <v>39</v>
      </c>
      <c r="D158">
        <v>153</v>
      </c>
      <c r="E158">
        <v>1</v>
      </c>
      <c r="F158">
        <v>1026301</v>
      </c>
      <c r="G158">
        <v>1</v>
      </c>
      <c r="H158">
        <v>1</v>
      </c>
      <c r="I158">
        <v>0</v>
      </c>
      <c r="J158">
        <f t="shared" si="8"/>
        <v>26</v>
      </c>
      <c r="K158">
        <f t="shared" si="9"/>
        <v>312</v>
      </c>
      <c r="L158">
        <f t="shared" si="10"/>
        <v>159</v>
      </c>
      <c r="M158">
        <f t="shared" si="11"/>
        <v>2030.25</v>
      </c>
    </row>
    <row r="159" spans="1:13" x14ac:dyDescent="0.2">
      <c r="A159" t="s">
        <v>17</v>
      </c>
      <c r="B159">
        <v>8</v>
      </c>
      <c r="C159">
        <v>39</v>
      </c>
      <c r="D159">
        <v>217</v>
      </c>
      <c r="E159">
        <v>1</v>
      </c>
      <c r="F159">
        <v>407401</v>
      </c>
      <c r="G159">
        <v>0</v>
      </c>
      <c r="H159">
        <v>1</v>
      </c>
      <c r="I159">
        <v>0</v>
      </c>
      <c r="J159">
        <f t="shared" si="8"/>
        <v>26</v>
      </c>
      <c r="K159">
        <f t="shared" si="9"/>
        <v>312</v>
      </c>
      <c r="L159">
        <f t="shared" si="10"/>
        <v>95</v>
      </c>
      <c r="M159">
        <f t="shared" si="11"/>
        <v>2024.9166666666667</v>
      </c>
    </row>
    <row r="160" spans="1:13" x14ac:dyDescent="0.2">
      <c r="A160" t="s">
        <v>17</v>
      </c>
      <c r="B160">
        <v>8</v>
      </c>
      <c r="C160">
        <v>39</v>
      </c>
      <c r="D160">
        <v>223</v>
      </c>
      <c r="E160">
        <v>1</v>
      </c>
      <c r="F160">
        <v>301102</v>
      </c>
      <c r="G160">
        <v>1</v>
      </c>
      <c r="H160">
        <v>1</v>
      </c>
      <c r="I160">
        <v>0</v>
      </c>
      <c r="J160">
        <f t="shared" si="8"/>
        <v>26</v>
      </c>
      <c r="K160">
        <f t="shared" si="9"/>
        <v>312</v>
      </c>
      <c r="L160">
        <f t="shared" si="10"/>
        <v>89</v>
      </c>
      <c r="M160">
        <f t="shared" si="11"/>
        <v>2024.4166666666667</v>
      </c>
    </row>
    <row r="161" spans="1:13" x14ac:dyDescent="0.2">
      <c r="A161" t="s">
        <v>17</v>
      </c>
      <c r="B161">
        <v>8</v>
      </c>
      <c r="C161">
        <v>39</v>
      </c>
      <c r="D161">
        <v>230</v>
      </c>
      <c r="E161">
        <v>1</v>
      </c>
      <c r="F161">
        <v>192601</v>
      </c>
      <c r="G161">
        <v>0</v>
      </c>
      <c r="H161">
        <v>1</v>
      </c>
      <c r="I161">
        <v>0</v>
      </c>
      <c r="J161">
        <f t="shared" si="8"/>
        <v>26</v>
      </c>
      <c r="K161">
        <f t="shared" si="9"/>
        <v>312</v>
      </c>
      <c r="L161">
        <f t="shared" si="10"/>
        <v>82</v>
      </c>
      <c r="M161">
        <f t="shared" si="11"/>
        <v>2023.8333333333333</v>
      </c>
    </row>
    <row r="162" spans="1:13" x14ac:dyDescent="0.2">
      <c r="A162" t="s">
        <v>17</v>
      </c>
      <c r="B162">
        <v>8</v>
      </c>
      <c r="C162">
        <v>40</v>
      </c>
      <c r="D162">
        <v>113</v>
      </c>
      <c r="E162">
        <v>1</v>
      </c>
      <c r="F162">
        <v>1692401</v>
      </c>
      <c r="G162">
        <v>1</v>
      </c>
      <c r="H162">
        <v>1</v>
      </c>
      <c r="I162">
        <v>0</v>
      </c>
      <c r="J162">
        <f t="shared" si="8"/>
        <v>25</v>
      </c>
      <c r="K162">
        <f t="shared" si="9"/>
        <v>300</v>
      </c>
      <c r="L162">
        <f t="shared" si="10"/>
        <v>187</v>
      </c>
      <c r="M162">
        <f t="shared" si="11"/>
        <v>2032.5833333333333</v>
      </c>
    </row>
    <row r="163" spans="1:13" x14ac:dyDescent="0.2">
      <c r="A163" t="s">
        <v>17</v>
      </c>
      <c r="B163">
        <v>8</v>
      </c>
      <c r="C163">
        <v>40</v>
      </c>
      <c r="D163">
        <v>186</v>
      </c>
      <c r="E163">
        <v>1</v>
      </c>
      <c r="F163">
        <v>886201</v>
      </c>
      <c r="G163">
        <v>0</v>
      </c>
      <c r="H163">
        <v>1</v>
      </c>
      <c r="I163">
        <v>0</v>
      </c>
      <c r="J163">
        <f t="shared" si="8"/>
        <v>25</v>
      </c>
      <c r="K163">
        <f t="shared" si="9"/>
        <v>300</v>
      </c>
      <c r="L163">
        <f t="shared" si="10"/>
        <v>114</v>
      </c>
      <c r="M163">
        <f t="shared" si="11"/>
        <v>2026.5</v>
      </c>
    </row>
    <row r="164" spans="1:13" x14ac:dyDescent="0.2">
      <c r="A164" t="s">
        <v>17</v>
      </c>
      <c r="B164">
        <v>8</v>
      </c>
      <c r="C164">
        <v>40</v>
      </c>
      <c r="D164">
        <v>217</v>
      </c>
      <c r="E164">
        <v>1</v>
      </c>
      <c r="F164">
        <v>495501</v>
      </c>
      <c r="G164">
        <v>0</v>
      </c>
      <c r="H164">
        <v>1</v>
      </c>
      <c r="I164">
        <v>0</v>
      </c>
      <c r="J164">
        <f t="shared" si="8"/>
        <v>25</v>
      </c>
      <c r="K164">
        <f t="shared" si="9"/>
        <v>300</v>
      </c>
      <c r="L164">
        <f t="shared" si="10"/>
        <v>83</v>
      </c>
      <c r="M164">
        <f t="shared" si="11"/>
        <v>2023.9166666666667</v>
      </c>
    </row>
    <row r="165" spans="1:13" x14ac:dyDescent="0.2">
      <c r="A165" t="s">
        <v>17</v>
      </c>
      <c r="B165">
        <v>8</v>
      </c>
      <c r="C165">
        <v>40</v>
      </c>
      <c r="D165">
        <v>230</v>
      </c>
      <c r="E165">
        <v>12</v>
      </c>
      <c r="F165">
        <v>176101</v>
      </c>
      <c r="G165">
        <v>1</v>
      </c>
      <c r="H165">
        <v>1</v>
      </c>
      <c r="I165">
        <v>0</v>
      </c>
      <c r="J165">
        <f t="shared" si="8"/>
        <v>25</v>
      </c>
      <c r="K165">
        <f t="shared" si="9"/>
        <v>300</v>
      </c>
      <c r="L165">
        <f t="shared" si="10"/>
        <v>70</v>
      </c>
      <c r="M165">
        <f t="shared" si="11"/>
        <v>2022.8333333333333</v>
      </c>
    </row>
    <row r="166" spans="1:13" x14ac:dyDescent="0.2">
      <c r="A166" t="s">
        <v>17</v>
      </c>
      <c r="B166">
        <v>8</v>
      </c>
      <c r="C166">
        <v>41</v>
      </c>
      <c r="D166">
        <v>152</v>
      </c>
      <c r="E166">
        <v>1</v>
      </c>
      <c r="F166">
        <v>1024402</v>
      </c>
      <c r="G166">
        <v>1</v>
      </c>
      <c r="H166">
        <v>1</v>
      </c>
      <c r="I166">
        <v>0</v>
      </c>
      <c r="J166">
        <f t="shared" si="8"/>
        <v>24</v>
      </c>
      <c r="K166">
        <f t="shared" si="9"/>
        <v>288</v>
      </c>
      <c r="L166">
        <f t="shared" si="10"/>
        <v>136</v>
      </c>
      <c r="M166">
        <f t="shared" si="11"/>
        <v>2028.3333333333333</v>
      </c>
    </row>
    <row r="167" spans="1:13" x14ac:dyDescent="0.2">
      <c r="A167" t="s">
        <v>17</v>
      </c>
      <c r="B167">
        <v>8</v>
      </c>
      <c r="C167">
        <v>41</v>
      </c>
      <c r="D167">
        <v>224</v>
      </c>
      <c r="E167">
        <v>1</v>
      </c>
      <c r="F167">
        <v>292601</v>
      </c>
      <c r="G167">
        <v>0</v>
      </c>
      <c r="H167">
        <v>1</v>
      </c>
      <c r="I167">
        <v>0</v>
      </c>
      <c r="J167">
        <f t="shared" si="8"/>
        <v>24</v>
      </c>
      <c r="K167">
        <f t="shared" si="9"/>
        <v>288</v>
      </c>
      <c r="L167">
        <f t="shared" si="10"/>
        <v>64</v>
      </c>
      <c r="M167">
        <f t="shared" si="11"/>
        <v>2022.3333333333333</v>
      </c>
    </row>
    <row r="168" spans="1:13" x14ac:dyDescent="0.2">
      <c r="A168" t="s">
        <v>17</v>
      </c>
      <c r="B168">
        <v>8</v>
      </c>
      <c r="C168">
        <v>41</v>
      </c>
      <c r="D168">
        <v>231</v>
      </c>
      <c r="E168">
        <v>1</v>
      </c>
      <c r="F168">
        <v>155701</v>
      </c>
      <c r="G168">
        <v>0</v>
      </c>
      <c r="H168">
        <v>1</v>
      </c>
      <c r="I168">
        <v>0</v>
      </c>
      <c r="J168">
        <f t="shared" si="8"/>
        <v>24</v>
      </c>
      <c r="K168">
        <f t="shared" si="9"/>
        <v>288</v>
      </c>
      <c r="L168">
        <f t="shared" si="10"/>
        <v>57</v>
      </c>
      <c r="M168">
        <f t="shared" si="11"/>
        <v>2021.75</v>
      </c>
    </row>
    <row r="169" spans="1:13" x14ac:dyDescent="0.2">
      <c r="A169" t="s">
        <v>17</v>
      </c>
      <c r="B169">
        <v>8</v>
      </c>
      <c r="C169">
        <v>41</v>
      </c>
      <c r="D169">
        <v>236</v>
      </c>
      <c r="E169">
        <v>1</v>
      </c>
      <c r="F169">
        <v>101202</v>
      </c>
      <c r="G169">
        <v>0</v>
      </c>
      <c r="H169">
        <v>1</v>
      </c>
      <c r="I169">
        <v>0</v>
      </c>
      <c r="J169">
        <f t="shared" si="8"/>
        <v>24</v>
      </c>
      <c r="K169">
        <f t="shared" si="9"/>
        <v>288</v>
      </c>
      <c r="L169">
        <f t="shared" si="10"/>
        <v>52</v>
      </c>
      <c r="M169">
        <f t="shared" si="11"/>
        <v>2021.3333333333333</v>
      </c>
    </row>
    <row r="170" spans="1:13" x14ac:dyDescent="0.2">
      <c r="A170" t="s">
        <v>17</v>
      </c>
      <c r="B170">
        <v>8</v>
      </c>
      <c r="C170">
        <v>41</v>
      </c>
      <c r="D170">
        <v>241</v>
      </c>
      <c r="E170">
        <v>1</v>
      </c>
      <c r="F170">
        <v>57701</v>
      </c>
      <c r="G170">
        <v>0</v>
      </c>
      <c r="H170">
        <v>1</v>
      </c>
      <c r="I170">
        <v>0</v>
      </c>
      <c r="J170">
        <f t="shared" si="8"/>
        <v>24</v>
      </c>
      <c r="K170">
        <f t="shared" si="9"/>
        <v>288</v>
      </c>
      <c r="L170">
        <f t="shared" si="10"/>
        <v>47</v>
      </c>
      <c r="M170">
        <f t="shared" si="11"/>
        <v>2020.9166666666667</v>
      </c>
    </row>
    <row r="171" spans="1:13" x14ac:dyDescent="0.2">
      <c r="A171" t="s">
        <v>17</v>
      </c>
      <c r="B171">
        <v>8</v>
      </c>
      <c r="C171">
        <v>42</v>
      </c>
      <c r="D171">
        <v>99</v>
      </c>
      <c r="E171">
        <v>1</v>
      </c>
      <c r="F171">
        <v>1844201</v>
      </c>
      <c r="G171">
        <v>0</v>
      </c>
      <c r="H171">
        <v>1</v>
      </c>
      <c r="I171">
        <v>0</v>
      </c>
      <c r="J171">
        <f t="shared" si="8"/>
        <v>23</v>
      </c>
      <c r="K171">
        <f t="shared" si="9"/>
        <v>276</v>
      </c>
      <c r="L171">
        <f t="shared" si="10"/>
        <v>177</v>
      </c>
      <c r="M171">
        <f t="shared" si="11"/>
        <v>2031.75</v>
      </c>
    </row>
    <row r="172" spans="1:13" x14ac:dyDescent="0.2">
      <c r="A172" t="s">
        <v>17</v>
      </c>
      <c r="B172">
        <v>8</v>
      </c>
      <c r="C172">
        <v>42</v>
      </c>
      <c r="D172">
        <v>132</v>
      </c>
      <c r="E172">
        <v>1</v>
      </c>
      <c r="F172">
        <v>1145801</v>
      </c>
      <c r="G172">
        <v>0</v>
      </c>
      <c r="H172">
        <v>1</v>
      </c>
      <c r="I172">
        <v>0</v>
      </c>
      <c r="J172">
        <f t="shared" si="8"/>
        <v>23</v>
      </c>
      <c r="K172">
        <f t="shared" si="9"/>
        <v>276</v>
      </c>
      <c r="L172">
        <f t="shared" si="10"/>
        <v>144</v>
      </c>
      <c r="M172">
        <f t="shared" si="11"/>
        <v>2029</v>
      </c>
    </row>
    <row r="173" spans="1:13" x14ac:dyDescent="0.2">
      <c r="A173" t="s">
        <v>17</v>
      </c>
      <c r="B173">
        <v>8</v>
      </c>
      <c r="C173">
        <v>42</v>
      </c>
      <c r="D173">
        <v>151</v>
      </c>
      <c r="E173">
        <v>1</v>
      </c>
      <c r="F173">
        <v>1049001</v>
      </c>
      <c r="G173">
        <v>0</v>
      </c>
      <c r="H173">
        <v>1</v>
      </c>
      <c r="I173">
        <v>0</v>
      </c>
      <c r="J173">
        <f t="shared" si="8"/>
        <v>23</v>
      </c>
      <c r="K173">
        <f t="shared" si="9"/>
        <v>276</v>
      </c>
      <c r="L173">
        <f t="shared" si="10"/>
        <v>125</v>
      </c>
      <c r="M173">
        <f t="shared" si="11"/>
        <v>2027.4166666666667</v>
      </c>
    </row>
    <row r="174" spans="1:13" x14ac:dyDescent="0.2">
      <c r="A174" t="s">
        <v>17</v>
      </c>
      <c r="B174">
        <v>8</v>
      </c>
      <c r="C174">
        <v>42</v>
      </c>
      <c r="D174">
        <v>164</v>
      </c>
      <c r="E174">
        <v>1</v>
      </c>
      <c r="F174">
        <v>939301</v>
      </c>
      <c r="G174">
        <v>0</v>
      </c>
      <c r="H174">
        <v>1</v>
      </c>
      <c r="I174">
        <v>0</v>
      </c>
      <c r="J174">
        <f t="shared" si="8"/>
        <v>23</v>
      </c>
      <c r="K174">
        <f t="shared" si="9"/>
        <v>276</v>
      </c>
      <c r="L174">
        <f t="shared" si="10"/>
        <v>112</v>
      </c>
      <c r="M174">
        <f t="shared" si="11"/>
        <v>2026.3333333333333</v>
      </c>
    </row>
    <row r="175" spans="1:13" x14ac:dyDescent="0.2">
      <c r="A175" t="s">
        <v>17</v>
      </c>
      <c r="B175">
        <v>8</v>
      </c>
      <c r="C175">
        <v>42</v>
      </c>
      <c r="D175">
        <v>206</v>
      </c>
      <c r="E175">
        <v>12</v>
      </c>
      <c r="F175">
        <v>699102</v>
      </c>
      <c r="G175">
        <v>1</v>
      </c>
      <c r="H175">
        <v>1</v>
      </c>
      <c r="I175">
        <v>0</v>
      </c>
      <c r="J175">
        <f t="shared" si="8"/>
        <v>23</v>
      </c>
      <c r="K175">
        <f t="shared" si="9"/>
        <v>276</v>
      </c>
      <c r="L175">
        <f t="shared" si="10"/>
        <v>70</v>
      </c>
      <c r="M175">
        <f t="shared" si="11"/>
        <v>2022.8333333333333</v>
      </c>
    </row>
    <row r="176" spans="1:13" x14ac:dyDescent="0.2">
      <c r="A176" t="s">
        <v>17</v>
      </c>
      <c r="B176">
        <v>8</v>
      </c>
      <c r="C176">
        <v>42</v>
      </c>
      <c r="D176">
        <v>217</v>
      </c>
      <c r="E176">
        <v>1</v>
      </c>
      <c r="F176">
        <v>416801</v>
      </c>
      <c r="G176">
        <v>1</v>
      </c>
      <c r="H176">
        <v>1</v>
      </c>
      <c r="I176">
        <v>0</v>
      </c>
      <c r="J176">
        <f t="shared" si="8"/>
        <v>23</v>
      </c>
      <c r="K176">
        <f t="shared" si="9"/>
        <v>276</v>
      </c>
      <c r="L176">
        <f t="shared" si="10"/>
        <v>59</v>
      </c>
      <c r="M176">
        <f t="shared" si="11"/>
        <v>2021.9166666666667</v>
      </c>
    </row>
    <row r="177" spans="1:13" x14ac:dyDescent="0.2">
      <c r="A177" t="s">
        <v>17</v>
      </c>
      <c r="B177">
        <v>8</v>
      </c>
      <c r="C177">
        <v>42</v>
      </c>
      <c r="D177">
        <v>217</v>
      </c>
      <c r="E177">
        <v>1</v>
      </c>
      <c r="F177">
        <v>419401</v>
      </c>
      <c r="G177">
        <v>1</v>
      </c>
      <c r="H177">
        <v>1</v>
      </c>
      <c r="I177">
        <v>0</v>
      </c>
      <c r="J177">
        <f t="shared" si="8"/>
        <v>23</v>
      </c>
      <c r="K177">
        <f t="shared" si="9"/>
        <v>276</v>
      </c>
      <c r="L177">
        <f t="shared" si="10"/>
        <v>59</v>
      </c>
      <c r="M177">
        <f t="shared" si="11"/>
        <v>2021.9166666666667</v>
      </c>
    </row>
    <row r="178" spans="1:13" x14ac:dyDescent="0.2">
      <c r="A178" t="s">
        <v>17</v>
      </c>
      <c r="B178">
        <v>8</v>
      </c>
      <c r="C178">
        <v>43</v>
      </c>
      <c r="D178">
        <v>144</v>
      </c>
      <c r="E178">
        <v>1</v>
      </c>
      <c r="F178">
        <v>1090701</v>
      </c>
      <c r="G178">
        <v>0</v>
      </c>
      <c r="H178">
        <v>1</v>
      </c>
      <c r="I178">
        <v>0</v>
      </c>
      <c r="J178">
        <f t="shared" si="8"/>
        <v>22</v>
      </c>
      <c r="K178">
        <f t="shared" si="9"/>
        <v>264</v>
      </c>
      <c r="L178">
        <f t="shared" si="10"/>
        <v>120</v>
      </c>
      <c r="M178">
        <f t="shared" si="11"/>
        <v>2027</v>
      </c>
    </row>
    <row r="179" spans="1:13" x14ac:dyDescent="0.2">
      <c r="A179" t="s">
        <v>17</v>
      </c>
      <c r="B179">
        <v>8</v>
      </c>
      <c r="C179">
        <v>43</v>
      </c>
      <c r="D179">
        <v>150</v>
      </c>
      <c r="E179">
        <v>1</v>
      </c>
      <c r="F179">
        <v>1055201</v>
      </c>
      <c r="G179">
        <v>0</v>
      </c>
      <c r="H179">
        <v>1</v>
      </c>
      <c r="I179">
        <v>0</v>
      </c>
      <c r="J179">
        <f t="shared" si="8"/>
        <v>22</v>
      </c>
      <c r="K179">
        <f t="shared" si="9"/>
        <v>264</v>
      </c>
      <c r="L179">
        <f t="shared" si="10"/>
        <v>114</v>
      </c>
      <c r="M179">
        <f t="shared" si="11"/>
        <v>2026.5</v>
      </c>
    </row>
    <row r="180" spans="1:13" x14ac:dyDescent="0.2">
      <c r="A180" t="s">
        <v>17</v>
      </c>
      <c r="B180">
        <v>8</v>
      </c>
      <c r="C180">
        <v>43</v>
      </c>
      <c r="D180">
        <v>167</v>
      </c>
      <c r="E180">
        <v>1</v>
      </c>
      <c r="F180">
        <v>915401</v>
      </c>
      <c r="G180">
        <v>0</v>
      </c>
      <c r="H180">
        <v>1</v>
      </c>
      <c r="I180">
        <v>0</v>
      </c>
      <c r="J180">
        <f t="shared" si="8"/>
        <v>22</v>
      </c>
      <c r="K180">
        <f t="shared" si="9"/>
        <v>264</v>
      </c>
      <c r="L180">
        <f t="shared" si="10"/>
        <v>97</v>
      </c>
      <c r="M180">
        <f t="shared" si="11"/>
        <v>2025.0833333333333</v>
      </c>
    </row>
    <row r="181" spans="1:13" x14ac:dyDescent="0.2">
      <c r="A181" t="s">
        <v>17</v>
      </c>
      <c r="B181">
        <v>8</v>
      </c>
      <c r="C181">
        <v>43</v>
      </c>
      <c r="D181">
        <v>226</v>
      </c>
      <c r="E181">
        <v>1</v>
      </c>
      <c r="F181">
        <v>258401</v>
      </c>
      <c r="G181">
        <v>1</v>
      </c>
      <c r="H181">
        <v>1</v>
      </c>
      <c r="I181">
        <v>0</v>
      </c>
      <c r="J181">
        <f t="shared" si="8"/>
        <v>22</v>
      </c>
      <c r="K181">
        <f t="shared" si="9"/>
        <v>264</v>
      </c>
      <c r="L181">
        <f t="shared" si="10"/>
        <v>38</v>
      </c>
      <c r="M181">
        <f t="shared" si="11"/>
        <v>2020.1666666666667</v>
      </c>
    </row>
    <row r="182" spans="1:13" x14ac:dyDescent="0.2">
      <c r="A182" t="s">
        <v>17</v>
      </c>
      <c r="B182">
        <v>8</v>
      </c>
      <c r="C182">
        <v>43</v>
      </c>
      <c r="D182">
        <v>230</v>
      </c>
      <c r="E182">
        <v>1</v>
      </c>
      <c r="F182">
        <v>189401</v>
      </c>
      <c r="G182">
        <v>0</v>
      </c>
      <c r="H182">
        <v>1</v>
      </c>
      <c r="I182">
        <v>0</v>
      </c>
      <c r="J182">
        <f t="shared" si="8"/>
        <v>22</v>
      </c>
      <c r="K182">
        <f t="shared" si="9"/>
        <v>264</v>
      </c>
      <c r="L182">
        <f t="shared" si="10"/>
        <v>34</v>
      </c>
      <c r="M182">
        <f t="shared" si="11"/>
        <v>2019.8333333333333</v>
      </c>
    </row>
    <row r="183" spans="1:13" x14ac:dyDescent="0.2">
      <c r="A183" t="s">
        <v>17</v>
      </c>
      <c r="B183">
        <v>8</v>
      </c>
      <c r="C183">
        <v>44</v>
      </c>
      <c r="D183">
        <v>108</v>
      </c>
      <c r="E183">
        <v>1</v>
      </c>
      <c r="F183">
        <v>1737402</v>
      </c>
      <c r="G183">
        <v>1</v>
      </c>
      <c r="H183">
        <v>1</v>
      </c>
      <c r="I183">
        <v>0</v>
      </c>
      <c r="J183">
        <f t="shared" si="8"/>
        <v>21</v>
      </c>
      <c r="K183">
        <f t="shared" si="9"/>
        <v>252</v>
      </c>
      <c r="L183">
        <f t="shared" si="10"/>
        <v>144</v>
      </c>
      <c r="M183">
        <f t="shared" si="11"/>
        <v>2029</v>
      </c>
    </row>
    <row r="184" spans="1:13" x14ac:dyDescent="0.2">
      <c r="A184" t="s">
        <v>17</v>
      </c>
      <c r="B184">
        <v>8</v>
      </c>
      <c r="C184">
        <v>44</v>
      </c>
      <c r="D184">
        <v>113</v>
      </c>
      <c r="E184">
        <v>1</v>
      </c>
      <c r="F184">
        <v>1686102</v>
      </c>
      <c r="G184">
        <v>0</v>
      </c>
      <c r="H184">
        <v>1</v>
      </c>
      <c r="I184">
        <v>0</v>
      </c>
      <c r="J184">
        <f t="shared" si="8"/>
        <v>21</v>
      </c>
      <c r="K184">
        <f t="shared" si="9"/>
        <v>252</v>
      </c>
      <c r="L184">
        <f t="shared" si="10"/>
        <v>139</v>
      </c>
      <c r="M184">
        <f t="shared" si="11"/>
        <v>2028.5833333333333</v>
      </c>
    </row>
    <row r="185" spans="1:13" x14ac:dyDescent="0.2">
      <c r="A185" t="s">
        <v>17</v>
      </c>
      <c r="B185">
        <v>8</v>
      </c>
      <c r="C185">
        <v>44</v>
      </c>
      <c r="D185">
        <v>113</v>
      </c>
      <c r="E185">
        <v>1</v>
      </c>
      <c r="F185">
        <v>1686201</v>
      </c>
      <c r="G185">
        <v>1</v>
      </c>
      <c r="H185">
        <v>1</v>
      </c>
      <c r="I185">
        <v>0</v>
      </c>
      <c r="J185">
        <f t="shared" si="8"/>
        <v>21</v>
      </c>
      <c r="K185">
        <f t="shared" si="9"/>
        <v>252</v>
      </c>
      <c r="L185">
        <f t="shared" si="10"/>
        <v>139</v>
      </c>
      <c r="M185">
        <f t="shared" si="11"/>
        <v>2028.5833333333333</v>
      </c>
    </row>
    <row r="186" spans="1:13" x14ac:dyDescent="0.2">
      <c r="A186" t="s">
        <v>17</v>
      </c>
      <c r="B186">
        <v>8</v>
      </c>
      <c r="C186">
        <v>44</v>
      </c>
      <c r="D186">
        <v>125</v>
      </c>
      <c r="E186">
        <v>1</v>
      </c>
      <c r="F186">
        <v>1618501</v>
      </c>
      <c r="G186">
        <v>1</v>
      </c>
      <c r="H186">
        <v>1</v>
      </c>
      <c r="I186">
        <v>0</v>
      </c>
      <c r="J186">
        <f t="shared" si="8"/>
        <v>21</v>
      </c>
      <c r="K186">
        <f t="shared" si="9"/>
        <v>252</v>
      </c>
      <c r="L186">
        <f t="shared" si="10"/>
        <v>127</v>
      </c>
      <c r="M186">
        <f t="shared" si="11"/>
        <v>2027.5833333333333</v>
      </c>
    </row>
    <row r="187" spans="1:13" x14ac:dyDescent="0.2">
      <c r="A187" t="s">
        <v>17</v>
      </c>
      <c r="B187">
        <v>8</v>
      </c>
      <c r="C187">
        <v>44</v>
      </c>
      <c r="D187">
        <v>200</v>
      </c>
      <c r="E187">
        <v>2</v>
      </c>
      <c r="F187">
        <v>793202</v>
      </c>
      <c r="G187">
        <v>0</v>
      </c>
      <c r="H187">
        <v>1</v>
      </c>
      <c r="I187">
        <v>0</v>
      </c>
      <c r="J187">
        <f t="shared" si="8"/>
        <v>21</v>
      </c>
      <c r="K187">
        <f t="shared" si="9"/>
        <v>252</v>
      </c>
      <c r="L187">
        <f t="shared" si="10"/>
        <v>52</v>
      </c>
      <c r="M187">
        <f t="shared" si="11"/>
        <v>2021.3333333333333</v>
      </c>
    </row>
    <row r="188" spans="1:13" x14ac:dyDescent="0.2">
      <c r="A188" t="s">
        <v>17</v>
      </c>
      <c r="B188">
        <v>8</v>
      </c>
      <c r="C188">
        <v>44</v>
      </c>
      <c r="D188">
        <v>202</v>
      </c>
      <c r="E188">
        <v>1</v>
      </c>
      <c r="F188">
        <v>768101</v>
      </c>
      <c r="G188">
        <v>0</v>
      </c>
      <c r="H188">
        <v>1</v>
      </c>
      <c r="I188">
        <v>0</v>
      </c>
      <c r="J188">
        <f t="shared" si="8"/>
        <v>21</v>
      </c>
      <c r="K188">
        <f t="shared" si="9"/>
        <v>252</v>
      </c>
      <c r="L188">
        <f t="shared" si="10"/>
        <v>50</v>
      </c>
      <c r="M188">
        <f t="shared" si="11"/>
        <v>2021.1666666666667</v>
      </c>
    </row>
    <row r="189" spans="1:13" x14ac:dyDescent="0.2">
      <c r="A189" t="s">
        <v>17</v>
      </c>
      <c r="B189">
        <v>8</v>
      </c>
      <c r="C189">
        <v>44</v>
      </c>
      <c r="D189">
        <v>231</v>
      </c>
      <c r="E189">
        <v>12</v>
      </c>
      <c r="F189">
        <v>172602</v>
      </c>
      <c r="G189">
        <v>1</v>
      </c>
      <c r="H189">
        <v>1</v>
      </c>
      <c r="I189">
        <v>0</v>
      </c>
      <c r="J189">
        <f t="shared" si="8"/>
        <v>21</v>
      </c>
      <c r="K189">
        <f t="shared" si="9"/>
        <v>252</v>
      </c>
      <c r="L189">
        <f t="shared" si="10"/>
        <v>21</v>
      </c>
      <c r="M189">
        <f t="shared" si="11"/>
        <v>2018.75</v>
      </c>
    </row>
    <row r="190" spans="1:13" x14ac:dyDescent="0.2">
      <c r="A190" t="s">
        <v>17</v>
      </c>
      <c r="B190">
        <v>8</v>
      </c>
      <c r="C190">
        <v>45</v>
      </c>
      <c r="D190">
        <v>92</v>
      </c>
      <c r="E190">
        <v>1</v>
      </c>
      <c r="F190">
        <v>584701</v>
      </c>
      <c r="G190">
        <v>1</v>
      </c>
      <c r="H190">
        <v>1</v>
      </c>
      <c r="I190">
        <v>0</v>
      </c>
      <c r="J190">
        <f t="shared" si="8"/>
        <v>20</v>
      </c>
      <c r="K190">
        <f t="shared" si="9"/>
        <v>240</v>
      </c>
      <c r="L190">
        <f t="shared" si="10"/>
        <v>148</v>
      </c>
      <c r="M190">
        <f t="shared" si="11"/>
        <v>2029.3333333333333</v>
      </c>
    </row>
    <row r="191" spans="1:13" x14ac:dyDescent="0.2">
      <c r="A191" t="s">
        <v>17</v>
      </c>
      <c r="B191">
        <v>8</v>
      </c>
      <c r="C191">
        <v>45</v>
      </c>
      <c r="D191">
        <v>111</v>
      </c>
      <c r="E191">
        <v>1</v>
      </c>
      <c r="F191">
        <v>1648402</v>
      </c>
      <c r="G191">
        <v>0</v>
      </c>
      <c r="H191">
        <v>1</v>
      </c>
      <c r="I191">
        <v>0</v>
      </c>
      <c r="J191">
        <f t="shared" si="8"/>
        <v>20</v>
      </c>
      <c r="K191">
        <f t="shared" si="9"/>
        <v>240</v>
      </c>
      <c r="L191">
        <f t="shared" si="10"/>
        <v>129</v>
      </c>
      <c r="M191">
        <f t="shared" si="11"/>
        <v>2027.75</v>
      </c>
    </row>
    <row r="192" spans="1:13" x14ac:dyDescent="0.2">
      <c r="A192" t="s">
        <v>17</v>
      </c>
      <c r="B192">
        <v>8</v>
      </c>
      <c r="C192">
        <v>45</v>
      </c>
      <c r="D192">
        <v>114</v>
      </c>
      <c r="E192">
        <v>1</v>
      </c>
      <c r="F192">
        <v>1675802</v>
      </c>
      <c r="G192">
        <v>0</v>
      </c>
      <c r="H192">
        <v>1</v>
      </c>
      <c r="I192">
        <v>0</v>
      </c>
      <c r="J192">
        <f t="shared" si="8"/>
        <v>20</v>
      </c>
      <c r="K192">
        <f t="shared" si="9"/>
        <v>240</v>
      </c>
      <c r="L192">
        <f t="shared" si="10"/>
        <v>126</v>
      </c>
      <c r="M192">
        <f t="shared" si="11"/>
        <v>2027.5</v>
      </c>
    </row>
    <row r="193" spans="1:13" x14ac:dyDescent="0.2">
      <c r="A193" t="s">
        <v>17</v>
      </c>
      <c r="B193">
        <v>8</v>
      </c>
      <c r="C193">
        <v>45</v>
      </c>
      <c r="D193">
        <v>114</v>
      </c>
      <c r="E193">
        <v>2</v>
      </c>
      <c r="F193">
        <v>1682901</v>
      </c>
      <c r="G193">
        <v>1</v>
      </c>
      <c r="H193">
        <v>1</v>
      </c>
      <c r="I193">
        <v>0</v>
      </c>
      <c r="J193">
        <f t="shared" si="8"/>
        <v>20</v>
      </c>
      <c r="K193">
        <f t="shared" si="9"/>
        <v>240</v>
      </c>
      <c r="L193">
        <f t="shared" si="10"/>
        <v>126</v>
      </c>
      <c r="M193">
        <f t="shared" si="11"/>
        <v>2027.5</v>
      </c>
    </row>
    <row r="194" spans="1:13" x14ac:dyDescent="0.2">
      <c r="A194" t="s">
        <v>17</v>
      </c>
      <c r="B194">
        <v>8</v>
      </c>
      <c r="C194">
        <v>45</v>
      </c>
      <c r="D194">
        <v>147</v>
      </c>
      <c r="E194">
        <v>1</v>
      </c>
      <c r="F194">
        <v>1074801</v>
      </c>
      <c r="G194">
        <v>0</v>
      </c>
      <c r="H194">
        <v>1</v>
      </c>
      <c r="I194">
        <v>0</v>
      </c>
      <c r="J194">
        <f t="shared" si="8"/>
        <v>20</v>
      </c>
      <c r="K194">
        <f t="shared" si="9"/>
        <v>240</v>
      </c>
      <c r="L194">
        <f t="shared" si="10"/>
        <v>93</v>
      </c>
      <c r="M194">
        <f t="shared" si="11"/>
        <v>2024.75</v>
      </c>
    </row>
    <row r="195" spans="1:13" x14ac:dyDescent="0.2">
      <c r="A195" t="s">
        <v>17</v>
      </c>
      <c r="B195">
        <v>8</v>
      </c>
      <c r="C195">
        <v>45</v>
      </c>
      <c r="D195">
        <v>194</v>
      </c>
      <c r="E195">
        <v>1</v>
      </c>
      <c r="F195">
        <v>841701</v>
      </c>
      <c r="G195">
        <v>1</v>
      </c>
      <c r="H195">
        <v>1</v>
      </c>
      <c r="I195">
        <v>0</v>
      </c>
      <c r="J195">
        <f t="shared" si="8"/>
        <v>20</v>
      </c>
      <c r="K195">
        <f t="shared" si="9"/>
        <v>240</v>
      </c>
      <c r="L195">
        <f t="shared" si="10"/>
        <v>46</v>
      </c>
      <c r="M195">
        <f t="shared" si="11"/>
        <v>2020.8333333333333</v>
      </c>
    </row>
    <row r="196" spans="1:13" x14ac:dyDescent="0.2">
      <c r="A196" t="s">
        <v>17</v>
      </c>
      <c r="B196">
        <v>8</v>
      </c>
      <c r="C196">
        <v>45</v>
      </c>
      <c r="D196">
        <v>217</v>
      </c>
      <c r="E196">
        <v>1</v>
      </c>
      <c r="F196">
        <v>418001</v>
      </c>
      <c r="G196">
        <v>0</v>
      </c>
      <c r="H196">
        <v>1</v>
      </c>
      <c r="I196">
        <v>0</v>
      </c>
      <c r="J196">
        <f t="shared" si="8"/>
        <v>20</v>
      </c>
      <c r="K196">
        <f t="shared" si="9"/>
        <v>240</v>
      </c>
      <c r="L196">
        <f t="shared" si="10"/>
        <v>23</v>
      </c>
      <c r="M196">
        <f t="shared" si="11"/>
        <v>2018.9166666666667</v>
      </c>
    </row>
    <row r="197" spans="1:13" x14ac:dyDescent="0.2">
      <c r="A197" t="s">
        <v>17</v>
      </c>
      <c r="B197">
        <v>8</v>
      </c>
      <c r="C197">
        <v>45</v>
      </c>
      <c r="D197">
        <v>224</v>
      </c>
      <c r="E197">
        <v>1</v>
      </c>
      <c r="F197">
        <v>296502</v>
      </c>
      <c r="G197">
        <v>0</v>
      </c>
      <c r="H197">
        <v>1</v>
      </c>
      <c r="I197">
        <v>0</v>
      </c>
      <c r="J197">
        <f t="shared" si="8"/>
        <v>20</v>
      </c>
      <c r="K197">
        <f t="shared" si="9"/>
        <v>240</v>
      </c>
      <c r="L197">
        <f t="shared" si="10"/>
        <v>16</v>
      </c>
      <c r="M197">
        <f t="shared" si="11"/>
        <v>2018.3333333333333</v>
      </c>
    </row>
    <row r="198" spans="1:13" x14ac:dyDescent="0.2">
      <c r="A198" t="s">
        <v>17</v>
      </c>
      <c r="B198">
        <v>8</v>
      </c>
      <c r="C198">
        <v>46</v>
      </c>
      <c r="D198">
        <v>69</v>
      </c>
      <c r="E198">
        <v>1</v>
      </c>
      <c r="F198">
        <v>2000801</v>
      </c>
      <c r="G198">
        <v>0</v>
      </c>
      <c r="H198">
        <v>1</v>
      </c>
      <c r="I198">
        <v>0</v>
      </c>
      <c r="J198">
        <f t="shared" si="8"/>
        <v>19</v>
      </c>
      <c r="K198">
        <f t="shared" si="9"/>
        <v>228</v>
      </c>
      <c r="L198">
        <f t="shared" si="10"/>
        <v>159</v>
      </c>
      <c r="M198">
        <f t="shared" si="11"/>
        <v>2030.25</v>
      </c>
    </row>
    <row r="199" spans="1:13" x14ac:dyDescent="0.2">
      <c r="A199" t="s">
        <v>17</v>
      </c>
      <c r="B199">
        <v>8</v>
      </c>
      <c r="C199">
        <v>46</v>
      </c>
      <c r="D199">
        <v>73</v>
      </c>
      <c r="E199">
        <v>1</v>
      </c>
      <c r="F199">
        <v>174702</v>
      </c>
      <c r="G199">
        <v>1</v>
      </c>
      <c r="H199">
        <v>1</v>
      </c>
      <c r="I199">
        <v>0</v>
      </c>
      <c r="J199">
        <f t="shared" ref="J199:J221" si="12">65-C199</f>
        <v>19</v>
      </c>
      <c r="K199">
        <f t="shared" ref="K199:K221" si="13">J199*12</f>
        <v>228</v>
      </c>
      <c r="L199">
        <f t="shared" ref="L199:L221" si="14">K199-D199</f>
        <v>155</v>
      </c>
      <c r="M199">
        <f t="shared" ref="M199:M221" si="15">2017+L199/12</f>
        <v>2029.9166666666667</v>
      </c>
    </row>
    <row r="200" spans="1:13" x14ac:dyDescent="0.2">
      <c r="A200" t="s">
        <v>17</v>
      </c>
      <c r="B200">
        <v>8</v>
      </c>
      <c r="C200">
        <v>46</v>
      </c>
      <c r="D200">
        <v>107</v>
      </c>
      <c r="E200">
        <v>1</v>
      </c>
      <c r="F200">
        <v>1765301</v>
      </c>
      <c r="G200">
        <v>1</v>
      </c>
      <c r="H200">
        <v>1</v>
      </c>
      <c r="I200">
        <v>0</v>
      </c>
      <c r="J200">
        <f t="shared" si="12"/>
        <v>19</v>
      </c>
      <c r="K200">
        <f t="shared" si="13"/>
        <v>228</v>
      </c>
      <c r="L200">
        <f t="shared" si="14"/>
        <v>121</v>
      </c>
      <c r="M200">
        <f t="shared" si="15"/>
        <v>2027.0833333333333</v>
      </c>
    </row>
    <row r="201" spans="1:13" x14ac:dyDescent="0.2">
      <c r="A201" t="s">
        <v>17</v>
      </c>
      <c r="B201">
        <v>8</v>
      </c>
      <c r="C201">
        <v>46</v>
      </c>
      <c r="D201">
        <v>113</v>
      </c>
      <c r="E201">
        <v>1</v>
      </c>
      <c r="F201">
        <v>1689401</v>
      </c>
      <c r="G201">
        <v>1</v>
      </c>
      <c r="H201">
        <v>1</v>
      </c>
      <c r="I201">
        <v>0</v>
      </c>
      <c r="J201">
        <f t="shared" si="12"/>
        <v>19</v>
      </c>
      <c r="K201">
        <f t="shared" si="13"/>
        <v>228</v>
      </c>
      <c r="L201">
        <f t="shared" si="14"/>
        <v>115</v>
      </c>
      <c r="M201">
        <f t="shared" si="15"/>
        <v>2026.5833333333333</v>
      </c>
    </row>
    <row r="202" spans="1:13" x14ac:dyDescent="0.2">
      <c r="A202" t="s">
        <v>17</v>
      </c>
      <c r="B202">
        <v>8</v>
      </c>
      <c r="C202">
        <v>46</v>
      </c>
      <c r="D202">
        <v>146</v>
      </c>
      <c r="E202">
        <v>1</v>
      </c>
      <c r="F202">
        <v>1073101</v>
      </c>
      <c r="G202">
        <v>1</v>
      </c>
      <c r="H202">
        <v>1</v>
      </c>
      <c r="I202">
        <v>0</v>
      </c>
      <c r="J202">
        <f t="shared" si="12"/>
        <v>19</v>
      </c>
      <c r="K202">
        <f t="shared" si="13"/>
        <v>228</v>
      </c>
      <c r="L202">
        <f t="shared" si="14"/>
        <v>82</v>
      </c>
      <c r="M202">
        <f t="shared" si="15"/>
        <v>2023.8333333333333</v>
      </c>
    </row>
    <row r="203" spans="1:13" x14ac:dyDescent="0.2">
      <c r="A203" t="s">
        <v>17</v>
      </c>
      <c r="B203">
        <v>8</v>
      </c>
      <c r="C203">
        <v>46</v>
      </c>
      <c r="D203">
        <v>222</v>
      </c>
      <c r="E203">
        <v>12</v>
      </c>
      <c r="F203">
        <v>338202</v>
      </c>
      <c r="G203">
        <v>1</v>
      </c>
      <c r="H203">
        <v>1</v>
      </c>
      <c r="I203">
        <v>0</v>
      </c>
      <c r="J203">
        <f t="shared" si="12"/>
        <v>19</v>
      </c>
      <c r="K203">
        <f t="shared" si="13"/>
        <v>228</v>
      </c>
      <c r="L203">
        <f t="shared" si="14"/>
        <v>6</v>
      </c>
      <c r="M203">
        <f t="shared" si="15"/>
        <v>2017.5</v>
      </c>
    </row>
    <row r="204" spans="1:13" x14ac:dyDescent="0.2">
      <c r="A204" t="s">
        <v>17</v>
      </c>
      <c r="B204">
        <v>8</v>
      </c>
      <c r="C204">
        <v>46</v>
      </c>
      <c r="D204">
        <v>223</v>
      </c>
      <c r="E204">
        <v>1</v>
      </c>
      <c r="F204">
        <v>301002</v>
      </c>
      <c r="G204">
        <v>1</v>
      </c>
      <c r="H204">
        <v>1</v>
      </c>
      <c r="I204">
        <v>0</v>
      </c>
      <c r="J204">
        <f t="shared" si="12"/>
        <v>19</v>
      </c>
      <c r="K204">
        <f t="shared" si="13"/>
        <v>228</v>
      </c>
      <c r="L204">
        <f t="shared" si="14"/>
        <v>5</v>
      </c>
      <c r="M204">
        <f t="shared" si="15"/>
        <v>2017.4166666666667</v>
      </c>
    </row>
    <row r="205" spans="1:13" x14ac:dyDescent="0.2">
      <c r="A205" t="s">
        <v>17</v>
      </c>
      <c r="B205">
        <v>8</v>
      </c>
      <c r="C205">
        <v>47</v>
      </c>
      <c r="D205">
        <v>89</v>
      </c>
      <c r="E205">
        <v>1</v>
      </c>
      <c r="F205">
        <v>584602</v>
      </c>
      <c r="G205">
        <v>0</v>
      </c>
      <c r="H205">
        <v>1</v>
      </c>
      <c r="I205">
        <v>0</v>
      </c>
      <c r="J205">
        <f t="shared" si="12"/>
        <v>18</v>
      </c>
      <c r="K205">
        <f t="shared" si="13"/>
        <v>216</v>
      </c>
      <c r="L205">
        <f t="shared" si="14"/>
        <v>127</v>
      </c>
      <c r="M205">
        <f t="shared" si="15"/>
        <v>2027.5833333333333</v>
      </c>
    </row>
    <row r="206" spans="1:13" x14ac:dyDescent="0.2">
      <c r="A206" t="s">
        <v>17</v>
      </c>
      <c r="B206">
        <v>8</v>
      </c>
      <c r="C206">
        <v>48</v>
      </c>
      <c r="D206">
        <v>66</v>
      </c>
      <c r="E206">
        <v>1</v>
      </c>
      <c r="F206">
        <v>928302</v>
      </c>
      <c r="G206">
        <v>0</v>
      </c>
      <c r="H206">
        <v>1</v>
      </c>
      <c r="I206">
        <v>0</v>
      </c>
      <c r="J206">
        <f t="shared" si="12"/>
        <v>17</v>
      </c>
      <c r="K206">
        <f t="shared" si="13"/>
        <v>204</v>
      </c>
      <c r="L206">
        <f t="shared" si="14"/>
        <v>138</v>
      </c>
      <c r="M206">
        <f t="shared" si="15"/>
        <v>2028.5</v>
      </c>
    </row>
    <row r="207" spans="1:13" x14ac:dyDescent="0.2">
      <c r="A207" t="s">
        <v>17</v>
      </c>
      <c r="B207">
        <v>8</v>
      </c>
      <c r="C207">
        <v>48</v>
      </c>
      <c r="D207">
        <v>93</v>
      </c>
      <c r="E207">
        <v>1</v>
      </c>
      <c r="F207">
        <v>1903101</v>
      </c>
      <c r="G207">
        <v>1</v>
      </c>
      <c r="H207">
        <v>1</v>
      </c>
      <c r="I207">
        <v>0</v>
      </c>
      <c r="J207">
        <f t="shared" si="12"/>
        <v>17</v>
      </c>
      <c r="K207">
        <f t="shared" si="13"/>
        <v>204</v>
      </c>
      <c r="L207">
        <f t="shared" si="14"/>
        <v>111</v>
      </c>
      <c r="M207">
        <f t="shared" si="15"/>
        <v>2026.25</v>
      </c>
    </row>
    <row r="208" spans="1:13" x14ac:dyDescent="0.2">
      <c r="A208" t="s">
        <v>17</v>
      </c>
      <c r="B208">
        <v>8</v>
      </c>
      <c r="C208">
        <v>48</v>
      </c>
      <c r="D208">
        <v>143</v>
      </c>
      <c r="E208">
        <v>1</v>
      </c>
      <c r="F208">
        <v>1053501</v>
      </c>
      <c r="G208">
        <v>1</v>
      </c>
      <c r="H208">
        <v>1</v>
      </c>
      <c r="I208">
        <v>0</v>
      </c>
      <c r="J208">
        <f t="shared" si="12"/>
        <v>17</v>
      </c>
      <c r="K208">
        <f t="shared" si="13"/>
        <v>204</v>
      </c>
      <c r="L208">
        <f t="shared" si="14"/>
        <v>61</v>
      </c>
      <c r="M208">
        <f t="shared" si="15"/>
        <v>2022.0833333333333</v>
      </c>
    </row>
    <row r="209" spans="1:13" x14ac:dyDescent="0.2">
      <c r="A209" t="s">
        <v>17</v>
      </c>
      <c r="B209">
        <v>8</v>
      </c>
      <c r="C209">
        <v>48</v>
      </c>
      <c r="D209">
        <v>154</v>
      </c>
      <c r="E209">
        <v>1</v>
      </c>
      <c r="F209">
        <v>1007702</v>
      </c>
      <c r="G209">
        <v>1</v>
      </c>
      <c r="H209">
        <v>1</v>
      </c>
      <c r="I209">
        <v>0</v>
      </c>
      <c r="J209">
        <f t="shared" si="12"/>
        <v>17</v>
      </c>
      <c r="K209">
        <f t="shared" si="13"/>
        <v>204</v>
      </c>
      <c r="L209">
        <f t="shared" si="14"/>
        <v>50</v>
      </c>
      <c r="M209">
        <f t="shared" si="15"/>
        <v>2021.1666666666667</v>
      </c>
    </row>
    <row r="210" spans="1:13" x14ac:dyDescent="0.2">
      <c r="A210" t="s">
        <v>17</v>
      </c>
      <c r="B210">
        <v>8</v>
      </c>
      <c r="C210">
        <v>48</v>
      </c>
      <c r="D210">
        <v>199</v>
      </c>
      <c r="E210">
        <v>1</v>
      </c>
      <c r="F210">
        <v>813201</v>
      </c>
      <c r="G210">
        <v>0</v>
      </c>
      <c r="H210">
        <v>1</v>
      </c>
      <c r="I210">
        <v>0</v>
      </c>
      <c r="J210">
        <f t="shared" si="12"/>
        <v>17</v>
      </c>
      <c r="K210">
        <f t="shared" si="13"/>
        <v>204</v>
      </c>
      <c r="L210">
        <f t="shared" si="14"/>
        <v>5</v>
      </c>
      <c r="M210">
        <f t="shared" si="15"/>
        <v>2017.4166666666667</v>
      </c>
    </row>
    <row r="211" spans="1:13" x14ac:dyDescent="0.2">
      <c r="A211" t="s">
        <v>17</v>
      </c>
      <c r="B211">
        <v>8</v>
      </c>
      <c r="C211">
        <v>49</v>
      </c>
      <c r="D211">
        <v>107</v>
      </c>
      <c r="E211">
        <v>1</v>
      </c>
      <c r="F211">
        <v>1770401</v>
      </c>
      <c r="G211">
        <v>0</v>
      </c>
      <c r="H211">
        <v>1</v>
      </c>
      <c r="I211">
        <v>0</v>
      </c>
      <c r="J211">
        <f t="shared" si="12"/>
        <v>16</v>
      </c>
      <c r="K211">
        <f t="shared" si="13"/>
        <v>192</v>
      </c>
      <c r="L211">
        <f t="shared" si="14"/>
        <v>85</v>
      </c>
      <c r="M211">
        <f t="shared" si="15"/>
        <v>2024.0833333333333</v>
      </c>
    </row>
    <row r="212" spans="1:13" x14ac:dyDescent="0.2">
      <c r="A212" t="s">
        <v>17</v>
      </c>
      <c r="B212">
        <v>8</v>
      </c>
      <c r="C212">
        <v>49</v>
      </c>
      <c r="D212">
        <v>109</v>
      </c>
      <c r="E212">
        <v>1</v>
      </c>
      <c r="F212">
        <v>1692302</v>
      </c>
      <c r="G212">
        <v>0</v>
      </c>
      <c r="H212">
        <v>1</v>
      </c>
      <c r="I212">
        <v>0</v>
      </c>
      <c r="J212">
        <f t="shared" si="12"/>
        <v>16</v>
      </c>
      <c r="K212">
        <f t="shared" si="13"/>
        <v>192</v>
      </c>
      <c r="L212">
        <f t="shared" si="14"/>
        <v>83</v>
      </c>
      <c r="M212">
        <f t="shared" si="15"/>
        <v>2023.9166666666667</v>
      </c>
    </row>
    <row r="213" spans="1:13" x14ac:dyDescent="0.2">
      <c r="A213" t="s">
        <v>17</v>
      </c>
      <c r="B213">
        <v>8</v>
      </c>
      <c r="C213">
        <v>49</v>
      </c>
      <c r="D213">
        <v>113</v>
      </c>
      <c r="E213">
        <v>1</v>
      </c>
      <c r="F213">
        <v>1674501</v>
      </c>
      <c r="G213">
        <v>0</v>
      </c>
      <c r="H213">
        <v>1</v>
      </c>
      <c r="I213">
        <v>0</v>
      </c>
      <c r="J213">
        <f t="shared" si="12"/>
        <v>16</v>
      </c>
      <c r="K213">
        <f t="shared" si="13"/>
        <v>192</v>
      </c>
      <c r="L213">
        <f t="shared" si="14"/>
        <v>79</v>
      </c>
      <c r="M213">
        <f t="shared" si="15"/>
        <v>2023.5833333333333</v>
      </c>
    </row>
    <row r="214" spans="1:13" x14ac:dyDescent="0.2">
      <c r="A214" t="s">
        <v>17</v>
      </c>
      <c r="B214">
        <v>8</v>
      </c>
      <c r="C214">
        <v>49</v>
      </c>
      <c r="D214">
        <v>154</v>
      </c>
      <c r="E214">
        <v>1</v>
      </c>
      <c r="F214">
        <v>1015601</v>
      </c>
      <c r="G214">
        <v>0</v>
      </c>
      <c r="H214">
        <v>1</v>
      </c>
      <c r="I214">
        <v>0</v>
      </c>
      <c r="J214">
        <f t="shared" si="12"/>
        <v>16</v>
      </c>
      <c r="K214">
        <f t="shared" si="13"/>
        <v>192</v>
      </c>
      <c r="L214">
        <f t="shared" si="14"/>
        <v>38</v>
      </c>
      <c r="M214">
        <f t="shared" si="15"/>
        <v>2020.1666666666667</v>
      </c>
    </row>
    <row r="215" spans="1:13" x14ac:dyDescent="0.2">
      <c r="A215" t="s">
        <v>17</v>
      </c>
      <c r="B215">
        <v>8</v>
      </c>
      <c r="C215">
        <v>50</v>
      </c>
      <c r="D215">
        <v>146</v>
      </c>
      <c r="E215">
        <v>1</v>
      </c>
      <c r="F215">
        <v>1085001</v>
      </c>
      <c r="G215">
        <v>1</v>
      </c>
      <c r="H215">
        <v>1</v>
      </c>
      <c r="I215">
        <v>0</v>
      </c>
      <c r="J215">
        <f t="shared" si="12"/>
        <v>15</v>
      </c>
      <c r="K215">
        <f t="shared" si="13"/>
        <v>180</v>
      </c>
      <c r="L215">
        <f t="shared" si="14"/>
        <v>34</v>
      </c>
      <c r="M215">
        <f t="shared" si="15"/>
        <v>2019.8333333333333</v>
      </c>
    </row>
    <row r="216" spans="1:13" x14ac:dyDescent="0.2">
      <c r="A216" t="s">
        <v>17</v>
      </c>
      <c r="B216">
        <v>8</v>
      </c>
      <c r="C216">
        <v>51</v>
      </c>
      <c r="D216">
        <v>107</v>
      </c>
      <c r="E216">
        <v>1</v>
      </c>
      <c r="F216">
        <v>1765201</v>
      </c>
      <c r="G216">
        <v>0</v>
      </c>
      <c r="H216">
        <v>1</v>
      </c>
      <c r="I216">
        <v>0</v>
      </c>
      <c r="J216">
        <f t="shared" si="12"/>
        <v>14</v>
      </c>
      <c r="K216">
        <f t="shared" si="13"/>
        <v>168</v>
      </c>
      <c r="L216">
        <f t="shared" si="14"/>
        <v>61</v>
      </c>
      <c r="M216">
        <f t="shared" si="15"/>
        <v>2022.0833333333333</v>
      </c>
    </row>
    <row r="217" spans="1:13" x14ac:dyDescent="0.2">
      <c r="A217" t="s">
        <v>17</v>
      </c>
      <c r="B217">
        <v>8</v>
      </c>
      <c r="C217">
        <v>52</v>
      </c>
      <c r="D217">
        <v>117</v>
      </c>
      <c r="E217">
        <v>1</v>
      </c>
      <c r="F217">
        <v>1654901</v>
      </c>
      <c r="G217">
        <v>1</v>
      </c>
      <c r="H217">
        <v>1</v>
      </c>
      <c r="I217">
        <v>0</v>
      </c>
      <c r="J217">
        <f t="shared" si="12"/>
        <v>13</v>
      </c>
      <c r="K217">
        <f t="shared" si="13"/>
        <v>156</v>
      </c>
      <c r="L217">
        <f t="shared" si="14"/>
        <v>39</v>
      </c>
      <c r="M217">
        <f t="shared" si="15"/>
        <v>2020.25</v>
      </c>
    </row>
    <row r="218" spans="1:13" x14ac:dyDescent="0.2">
      <c r="A218" t="s">
        <v>17</v>
      </c>
      <c r="B218">
        <v>8</v>
      </c>
      <c r="C218">
        <v>53</v>
      </c>
      <c r="D218">
        <v>92</v>
      </c>
      <c r="E218">
        <v>1</v>
      </c>
      <c r="F218">
        <v>1907301</v>
      </c>
      <c r="G218">
        <v>1</v>
      </c>
      <c r="H218">
        <v>1</v>
      </c>
      <c r="I218">
        <v>0</v>
      </c>
      <c r="J218">
        <f t="shared" si="12"/>
        <v>12</v>
      </c>
      <c r="K218">
        <f t="shared" si="13"/>
        <v>144</v>
      </c>
      <c r="L218">
        <f t="shared" si="14"/>
        <v>52</v>
      </c>
      <c r="M218">
        <f t="shared" si="15"/>
        <v>2021.3333333333333</v>
      </c>
    </row>
    <row r="219" spans="1:13" x14ac:dyDescent="0.2">
      <c r="A219" t="s">
        <v>17</v>
      </c>
      <c r="B219">
        <v>8</v>
      </c>
      <c r="C219">
        <v>53</v>
      </c>
      <c r="D219">
        <v>124</v>
      </c>
      <c r="E219">
        <v>1</v>
      </c>
      <c r="F219">
        <v>1618701</v>
      </c>
      <c r="G219">
        <v>1</v>
      </c>
      <c r="H219">
        <v>1</v>
      </c>
      <c r="I219">
        <v>0</v>
      </c>
      <c r="J219">
        <f t="shared" si="12"/>
        <v>12</v>
      </c>
      <c r="K219">
        <f t="shared" si="13"/>
        <v>144</v>
      </c>
      <c r="L219">
        <f t="shared" si="14"/>
        <v>20</v>
      </c>
      <c r="M219">
        <f t="shared" si="15"/>
        <v>2018.6666666666667</v>
      </c>
    </row>
    <row r="220" spans="1:13" x14ac:dyDescent="0.2">
      <c r="A220" t="s">
        <v>17</v>
      </c>
      <c r="B220">
        <v>8</v>
      </c>
      <c r="C220">
        <v>54</v>
      </c>
      <c r="D220">
        <v>113</v>
      </c>
      <c r="E220">
        <v>1</v>
      </c>
      <c r="F220">
        <v>1690202</v>
      </c>
      <c r="G220">
        <v>0</v>
      </c>
      <c r="H220">
        <v>1</v>
      </c>
      <c r="I220">
        <v>0</v>
      </c>
      <c r="J220">
        <f t="shared" si="12"/>
        <v>11</v>
      </c>
      <c r="K220">
        <f t="shared" si="13"/>
        <v>132</v>
      </c>
      <c r="L220">
        <f t="shared" si="14"/>
        <v>19</v>
      </c>
      <c r="M220">
        <f t="shared" si="15"/>
        <v>2018.5833333333333</v>
      </c>
    </row>
    <row r="221" spans="1:13" x14ac:dyDescent="0.2">
      <c r="A221" t="s">
        <v>17</v>
      </c>
      <c r="B221">
        <v>8</v>
      </c>
      <c r="C221">
        <v>55</v>
      </c>
      <c r="D221">
        <v>92</v>
      </c>
      <c r="E221">
        <v>1</v>
      </c>
      <c r="F221">
        <v>1906801</v>
      </c>
      <c r="G221">
        <v>1</v>
      </c>
      <c r="H221">
        <v>1</v>
      </c>
      <c r="I221">
        <v>0</v>
      </c>
      <c r="J221">
        <f t="shared" si="12"/>
        <v>10</v>
      </c>
      <c r="K221">
        <f t="shared" si="13"/>
        <v>120</v>
      </c>
      <c r="L221">
        <f t="shared" si="14"/>
        <v>28</v>
      </c>
      <c r="M221">
        <f t="shared" si="15"/>
        <v>2019.3333333333333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B583"/>
  <sheetViews>
    <sheetView tabSelected="1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D11" sqref="D11"/>
    </sheetView>
  </sheetViews>
  <sheetFormatPr baseColWidth="10" defaultRowHeight="12.75" x14ac:dyDescent="0.2"/>
  <cols>
    <col min="2" max="2" width="8.85546875" bestFit="1" customWidth="1"/>
    <col min="3" max="3" width="19.28515625" bestFit="1" customWidth="1"/>
    <col min="4" max="4" width="15.42578125" bestFit="1" customWidth="1"/>
    <col min="5" max="5" width="19" bestFit="1" customWidth="1"/>
    <col min="6" max="6" width="20.5703125" bestFit="1" customWidth="1"/>
    <col min="7" max="7" width="13.85546875" bestFit="1" customWidth="1"/>
    <col min="8" max="8" width="15.7109375" customWidth="1"/>
    <col min="9" max="9" width="16.7109375" bestFit="1" customWidth="1"/>
    <col min="10" max="10" width="14.5703125" bestFit="1" customWidth="1"/>
    <col min="11" max="11" width="22.5703125" customWidth="1"/>
    <col min="12" max="12" width="17.28515625" bestFit="1" customWidth="1"/>
    <col min="13" max="13" width="21.85546875" bestFit="1" customWidth="1"/>
    <col min="14" max="14" width="23.5703125" bestFit="1" customWidth="1"/>
    <col min="15" max="15" width="18.5703125" bestFit="1" customWidth="1"/>
    <col min="16" max="16" width="19.140625" bestFit="1" customWidth="1"/>
    <col min="17" max="17" width="14.7109375" bestFit="1" customWidth="1"/>
    <col min="18" max="18" width="17.85546875" bestFit="1" customWidth="1"/>
    <col min="19" max="19" width="18.5703125" bestFit="1" customWidth="1"/>
    <col min="20" max="20" width="15.140625" bestFit="1" customWidth="1"/>
    <col min="21" max="21" width="19.85546875" bestFit="1" customWidth="1"/>
    <col min="22" max="22" width="14.140625" bestFit="1" customWidth="1"/>
    <col min="23" max="23" width="19.140625" bestFit="1" customWidth="1"/>
    <col min="24" max="24" width="22.7109375" bestFit="1" customWidth="1"/>
    <col min="25" max="25" width="14" bestFit="1" customWidth="1"/>
    <col min="26" max="26" width="23.42578125" bestFit="1" customWidth="1"/>
    <col min="27" max="27" width="21.28515625" bestFit="1" customWidth="1"/>
    <col min="28" max="28" width="13.85546875" bestFit="1" customWidth="1"/>
    <col min="29" max="29" width="14.140625" bestFit="1" customWidth="1"/>
    <col min="30" max="30" width="12.140625" bestFit="1" customWidth="1"/>
    <col min="32" max="32" width="17.42578125" bestFit="1" customWidth="1"/>
  </cols>
  <sheetData>
    <row r="1" spans="1:28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s="1" t="s">
        <v>28</v>
      </c>
      <c r="K1" s="1" t="s">
        <v>60</v>
      </c>
      <c r="L1" s="1"/>
    </row>
    <row r="2" spans="1:28" x14ac:dyDescent="0.2">
      <c r="A2" t="s">
        <v>17</v>
      </c>
      <c r="B2">
        <v>8</v>
      </c>
      <c r="C2">
        <v>55</v>
      </c>
      <c r="D2">
        <v>92</v>
      </c>
      <c r="E2">
        <v>1</v>
      </c>
      <c r="F2">
        <v>1906801</v>
      </c>
      <c r="G2">
        <v>1</v>
      </c>
      <c r="H2">
        <v>1</v>
      </c>
      <c r="I2">
        <v>0</v>
      </c>
      <c r="J2">
        <v>10</v>
      </c>
      <c r="K2">
        <v>120</v>
      </c>
    </row>
    <row r="9" spans="1:28" x14ac:dyDescent="0.2">
      <c r="A9">
        <v>1</v>
      </c>
      <c r="B9">
        <v>2</v>
      </c>
      <c r="C9">
        <v>3</v>
      </c>
      <c r="D9">
        <v>4</v>
      </c>
      <c r="E9">
        <v>5</v>
      </c>
      <c r="F9">
        <v>7</v>
      </c>
      <c r="G9">
        <v>9</v>
      </c>
      <c r="H9">
        <v>12</v>
      </c>
      <c r="I9">
        <v>13</v>
      </c>
      <c r="J9">
        <v>14</v>
      </c>
      <c r="K9">
        <v>15</v>
      </c>
      <c r="L9">
        <v>16</v>
      </c>
      <c r="M9">
        <v>17</v>
      </c>
      <c r="N9">
        <v>18</v>
      </c>
      <c r="O9">
        <v>19</v>
      </c>
      <c r="P9">
        <v>20</v>
      </c>
      <c r="Q9">
        <v>21</v>
      </c>
      <c r="R9">
        <v>22</v>
      </c>
      <c r="S9">
        <v>23</v>
      </c>
      <c r="T9">
        <v>24</v>
      </c>
      <c r="U9">
        <v>25</v>
      </c>
      <c r="V9">
        <v>26</v>
      </c>
      <c r="W9">
        <v>27</v>
      </c>
      <c r="X9">
        <v>28</v>
      </c>
      <c r="Y9">
        <v>29</v>
      </c>
      <c r="Z9">
        <v>30</v>
      </c>
      <c r="AA9">
        <v>31</v>
      </c>
    </row>
    <row r="10" spans="1:28" x14ac:dyDescent="0.2">
      <c r="A10" s="1" t="s">
        <v>18</v>
      </c>
      <c r="B10" s="1" t="s">
        <v>19</v>
      </c>
      <c r="C10" s="1" t="s">
        <v>71</v>
      </c>
      <c r="D10" s="1" t="s">
        <v>33</v>
      </c>
      <c r="E10" s="1" t="s">
        <v>20</v>
      </c>
      <c r="F10" s="1" t="s">
        <v>27</v>
      </c>
      <c r="G10" t="s">
        <v>29</v>
      </c>
      <c r="H10" s="1" t="s">
        <v>30</v>
      </c>
      <c r="I10" s="1" t="s">
        <v>32</v>
      </c>
      <c r="J10" s="1" t="s">
        <v>35</v>
      </c>
      <c r="K10" s="1" t="s">
        <v>34</v>
      </c>
      <c r="L10" s="1" t="s">
        <v>36</v>
      </c>
      <c r="M10" s="1" t="s">
        <v>37</v>
      </c>
      <c r="N10" s="1" t="s">
        <v>38</v>
      </c>
      <c r="O10" s="1" t="s">
        <v>39</v>
      </c>
      <c r="P10" s="1" t="s">
        <v>43</v>
      </c>
      <c r="Q10" s="1" t="s">
        <v>45</v>
      </c>
      <c r="R10" s="1" t="s">
        <v>47</v>
      </c>
      <c r="S10" s="1" t="s">
        <v>48</v>
      </c>
      <c r="T10" s="1" t="s">
        <v>70</v>
      </c>
      <c r="U10" s="1" t="s">
        <v>49</v>
      </c>
      <c r="V10" s="1" t="s">
        <v>50</v>
      </c>
      <c r="W10" s="1" t="s">
        <v>55</v>
      </c>
      <c r="X10" s="1" t="s">
        <v>56</v>
      </c>
      <c r="Y10" s="1" t="s">
        <v>58</v>
      </c>
      <c r="Z10" s="1" t="s">
        <v>59</v>
      </c>
      <c r="AA10" s="1" t="s">
        <v>64</v>
      </c>
      <c r="AB10" s="1"/>
    </row>
    <row r="11" spans="1:28" x14ac:dyDescent="0.2">
      <c r="A11" s="2">
        <v>43100</v>
      </c>
      <c r="B11">
        <f>D2</f>
        <v>92</v>
      </c>
      <c r="C11">
        <f>(B11+11)/12-1</f>
        <v>7.5833333333333339</v>
      </c>
      <c r="D11">
        <f>IF(C11-INT(C11)=0,1,0)</f>
        <v>0</v>
      </c>
      <c r="E11">
        <f>$C$2+INT($C11)</f>
        <v>62</v>
      </c>
      <c r="F11">
        <f>IF(C11&gt;=$J$2,0,VLOOKUP($E11,'Mortality Table'!$A$3:$C$128,2+G$2,FALSE))</f>
        <v>4.2285000000000005E-3</v>
      </c>
      <c r="G11">
        <f>F11*Assumptions!$B$1</f>
        <v>1.1442321000000003E-3</v>
      </c>
      <c r="I11">
        <f>HLOOKUP(C11,Assumptions!$A$6:$J$7,2,TRUE)</f>
        <v>3.49E-2</v>
      </c>
      <c r="J11" s="22">
        <f t="shared" ref="J11:J74" si="0">IF(B11&gt;$K$2,0,IF(($E$2*(B11+11))/12-INT(($E$2*(B11+11))/12)=0,1,0))</f>
        <v>0</v>
      </c>
      <c r="M11">
        <v>1</v>
      </c>
      <c r="U11">
        <f>IF(B11&gt;$K$2,0,IF(T12=0,0,(1-T12)*Assumptions!$B$11/$E$2*(1-Assumptions!$B$30)))</f>
        <v>40.000000000000071</v>
      </c>
      <c r="W11">
        <v>1</v>
      </c>
      <c r="Z11" s="19">
        <f>(Z12+P12+Q12+S12+X12-N12)*Y12</f>
        <v>150.9094510301932</v>
      </c>
    </row>
    <row r="12" spans="1:28" x14ac:dyDescent="0.2">
      <c r="A12" s="2">
        <f>DATE(YEAR(A11),MONTH(A11)+2,1)-1</f>
        <v>43131</v>
      </c>
      <c r="B12">
        <f t="shared" ref="B12:B76" si="1">B11+1</f>
        <v>93</v>
      </c>
      <c r="C12">
        <f t="shared" ref="C12:C75" si="2">(B12+11)/12-1</f>
        <v>7.6666666666666661</v>
      </c>
      <c r="D12">
        <f t="shared" ref="D12:D75" si="3">IF(C12-INT(C12)=0,1,0)</f>
        <v>0</v>
      </c>
      <c r="E12">
        <f t="shared" ref="E12:E75" si="4">$C$2+INT($C12)</f>
        <v>62</v>
      </c>
      <c r="F12">
        <f>IF(C12&gt;=$J$2,0,VLOOKUP($E12,'Mortality Table'!$A$3:$C$128,2+G$2,FALSE))</f>
        <v>4.2285000000000005E-3</v>
      </c>
      <c r="G12">
        <f>F12*Assumptions!$B$1</f>
        <v>1.1442321000000003E-3</v>
      </c>
      <c r="H12">
        <f t="shared" ref="H12:H75" si="5">(1-(1-G12)^(1/12))*M11</f>
        <v>9.5402718316761614E-5</v>
      </c>
      <c r="I12">
        <f>HLOOKUP(C12,Assumptions!$A$6:$J$7,2,TRUE)</f>
        <v>3.49E-2</v>
      </c>
      <c r="J12" s="22">
        <f t="shared" si="0"/>
        <v>0</v>
      </c>
      <c r="K12" s="22">
        <f t="shared" ref="K12:K75" si="6">IF(B13&gt;$K$2,0,IF(J13=0,0,1/$E$2))</f>
        <v>0</v>
      </c>
      <c r="L12">
        <f>(1-(1-I12)^K12)*(M11-H12)</f>
        <v>0</v>
      </c>
      <c r="M12" s="22">
        <f t="shared" ref="M12:M75" si="7">IF(B12&gt;$K$2,0,M11-H12-L12)</f>
        <v>0.99990459728168324</v>
      </c>
      <c r="N12">
        <f>M11*Assumptions!$B$11/$E$2*J12</f>
        <v>0</v>
      </c>
      <c r="O12">
        <f>M11*Assumptions!$B$13/$E$2*J12</f>
        <v>0</v>
      </c>
      <c r="P12">
        <f>H12*Assumptions!$B$15</f>
        <v>0.71552038737571211</v>
      </c>
      <c r="Q12">
        <f>O12*Assumptions!$B$17</f>
        <v>0</v>
      </c>
      <c r="R12">
        <f>HLOOKUP(B12,Assumptions!$A$26:$D$27,2,TRUE)</f>
        <v>0</v>
      </c>
      <c r="S12">
        <f>N12*R12</f>
        <v>0</v>
      </c>
      <c r="T12">
        <f t="shared" ref="T12:T75" si="8">($E$2*(B12+11))/12-INT(($E$2*(B12+11))/12)</f>
        <v>0.66666666666666607</v>
      </c>
      <c r="U12">
        <f>IF(B12&gt;$K$2,0,IF(T13=0,0,(1-T13)*Assumptions!$B$11/$E$2*(1-Assumptions!$B$30)))</f>
        <v>30</v>
      </c>
      <c r="V12">
        <f>(N12-O12)*(1-Assumptions!$B$30)-Q12+U11</f>
        <v>40.000000000000071</v>
      </c>
      <c r="W12">
        <f>W11*(1+Assumptions!$B$36)^(1/12)</f>
        <v>1.0008295381143462</v>
      </c>
      <c r="X12" s="19">
        <f>IF(B12&gt;$K$2,0,W11*Assumptions!$B$32/12*M11+V12*Assumptions!$B$34/12)</f>
        <v>12.81925</v>
      </c>
      <c r="Y12" s="20">
        <f>1/(1+HLOOKUP(YEAR(A12),Assumptions!$A$41:$AL$43,3,TRUE))^(1/12)</f>
        <v>0.99848118442253453</v>
      </c>
      <c r="Z12">
        <f t="shared" ref="Z12:Z75" si="9">(Z13+P13+Q13+S13+X13-N13)*Y13</f>
        <v>137.60423291539632</v>
      </c>
      <c r="AA12">
        <f>P12+Q12</f>
        <v>0.71552038737571211</v>
      </c>
    </row>
    <row r="13" spans="1:28" x14ac:dyDescent="0.2">
      <c r="A13" s="2">
        <f>DATE(YEAR(A12),MONTH(A12)+2,1)-1</f>
        <v>43159</v>
      </c>
      <c r="B13">
        <f t="shared" si="1"/>
        <v>94</v>
      </c>
      <c r="C13">
        <f t="shared" si="2"/>
        <v>7.75</v>
      </c>
      <c r="D13">
        <f t="shared" si="3"/>
        <v>0</v>
      </c>
      <c r="E13">
        <f t="shared" si="4"/>
        <v>62</v>
      </c>
      <c r="F13">
        <f>IF(C13&gt;=$J$2,0,VLOOKUP($E13,'Mortality Table'!$A$3:$C$128,2+G$2,FALSE))</f>
        <v>4.2285000000000005E-3</v>
      </c>
      <c r="G13">
        <f>F13*Assumptions!$B$1</f>
        <v>1.1442321000000003E-3</v>
      </c>
      <c r="H13">
        <f t="shared" si="5"/>
        <v>9.5393616638099387E-5</v>
      </c>
      <c r="I13">
        <f>HLOOKUP(C13,Assumptions!$A$6:$J$7,2,TRUE)</f>
        <v>3.49E-2</v>
      </c>
      <c r="J13" s="22">
        <f t="shared" si="0"/>
        <v>0</v>
      </c>
      <c r="K13" s="22">
        <f t="shared" si="6"/>
        <v>0</v>
      </c>
      <c r="L13">
        <f t="shared" ref="L13:L76" si="10">(1-(1-I13)^K13)*(M12-H13)</f>
        <v>0</v>
      </c>
      <c r="M13" s="22">
        <f t="shared" si="7"/>
        <v>0.99980920366504511</v>
      </c>
      <c r="N13">
        <f>M12*Assumptions!$B$11/$E$2*J13</f>
        <v>0</v>
      </c>
      <c r="O13">
        <f>M12*Assumptions!$B$13/$E$2*J13</f>
        <v>0</v>
      </c>
      <c r="P13">
        <f>H13*Assumptions!$B$15</f>
        <v>0.71545212478574538</v>
      </c>
      <c r="Q13">
        <f>O13*Assumptions!$B$17</f>
        <v>0</v>
      </c>
      <c r="R13">
        <f>HLOOKUP(B13,Assumptions!$A$26:$D$27,2,TRUE)</f>
        <v>0</v>
      </c>
      <c r="S13">
        <f t="shared" ref="S13:S76" si="11">N13*R13</f>
        <v>0</v>
      </c>
      <c r="T13">
        <f t="shared" si="8"/>
        <v>0.75</v>
      </c>
      <c r="U13">
        <f>IF(B13&gt;$K$2,0,IF(T14=0,0,(1-T14)*Assumptions!$B$11/$E$2*(1-Assumptions!$B$30)))</f>
        <v>19.999999999999929</v>
      </c>
      <c r="V13">
        <f>(N13-O13)*(1-Assumptions!$B$30)-Q13+U12*M12</f>
        <v>29.997137918450498</v>
      </c>
      <c r="W13">
        <f>W12*(1+Assumptions!$B$36)^(1/12)</f>
        <v>1.0016597643621754</v>
      </c>
      <c r="X13" s="19">
        <f>IF(B13&gt;$K$2,0,W12*Assumptions!$B$32/12*M12+V13*Assumptions!$B$34/12)</f>
        <v>12.826235596444143</v>
      </c>
      <c r="Y13" s="20">
        <f>1/(1+HLOOKUP(YEAR(A13),Assumptions!$A$41:$AL$43,3,TRUE))^(1/12)</f>
        <v>0.99848118442253453</v>
      </c>
      <c r="Z13">
        <f t="shared" si="9"/>
        <v>124.27185855503657</v>
      </c>
      <c r="AA13">
        <f t="shared" ref="AA13:AA76" si="12">P13+Q13</f>
        <v>0.71545212478574538</v>
      </c>
    </row>
    <row r="14" spans="1:28" x14ac:dyDescent="0.2">
      <c r="A14" s="2">
        <f>DATE(YEAR(A13),MONTH(A13)+2,1)-1</f>
        <v>43190</v>
      </c>
      <c r="B14">
        <f t="shared" si="1"/>
        <v>95</v>
      </c>
      <c r="C14">
        <f t="shared" si="2"/>
        <v>7.8333333333333339</v>
      </c>
      <c r="D14">
        <f t="shared" si="3"/>
        <v>0</v>
      </c>
      <c r="E14">
        <f t="shared" si="4"/>
        <v>62</v>
      </c>
      <c r="F14">
        <f>IF(C14&gt;=$J$2,0,VLOOKUP($E14,'Mortality Table'!$A$3:$C$128,2+G$2,FALSE))</f>
        <v>4.2285000000000005E-3</v>
      </c>
      <c r="G14">
        <f>F14*Assumptions!$B$1</f>
        <v>1.1442321000000003E-3</v>
      </c>
      <c r="H14">
        <f t="shared" si="5"/>
        <v>9.5384515827762049E-5</v>
      </c>
      <c r="I14">
        <f>HLOOKUP(C14,Assumptions!$A$6:$J$7,2,TRUE)</f>
        <v>3.49E-2</v>
      </c>
      <c r="J14" s="22">
        <f t="shared" si="0"/>
        <v>0</v>
      </c>
      <c r="K14" s="22">
        <f t="shared" si="6"/>
        <v>0</v>
      </c>
      <c r="L14">
        <f t="shared" si="10"/>
        <v>0</v>
      </c>
      <c r="M14" s="22">
        <f t="shared" si="7"/>
        <v>0.99971381914921731</v>
      </c>
      <c r="N14">
        <f>M13*Assumptions!$B$11/$E$2*J14</f>
        <v>0</v>
      </c>
      <c r="O14">
        <f>M13*Assumptions!$B$13/$E$2*J14</f>
        <v>0</v>
      </c>
      <c r="P14">
        <f>H14*Assumptions!$B$15</f>
        <v>0.71538386870821535</v>
      </c>
      <c r="Q14">
        <f>O14*Assumptions!$B$17</f>
        <v>0</v>
      </c>
      <c r="R14">
        <f>HLOOKUP(B14,Assumptions!$A$26:$D$27,2,TRUE)</f>
        <v>0</v>
      </c>
      <c r="S14">
        <f t="shared" si="11"/>
        <v>0</v>
      </c>
      <c r="T14">
        <f t="shared" si="8"/>
        <v>0.83333333333333393</v>
      </c>
      <c r="U14">
        <f>IF(B14&gt;$K$2,0,IF(T15=0,0,(1-T15)*Assumptions!$B$11/$E$2*(1-Assumptions!$B$30)))</f>
        <v>10.000000000000071</v>
      </c>
      <c r="V14">
        <f>(N14-O14)*(1-Assumptions!$B$30)-Q14+U13*M13</f>
        <v>19.996184073300832</v>
      </c>
      <c r="W14">
        <f>W13*(1+Assumptions!$B$36)^(1/12)</f>
        <v>1.0024906793143209</v>
      </c>
      <c r="X14" s="19">
        <f>IF(B14&gt;$K$2,0,W13*Assumptions!$B$32/12*M13+V14*Assumptions!$B$34/12)</f>
        <v>12.833228556343194</v>
      </c>
      <c r="Y14" s="20">
        <f>1/(1+HLOOKUP(YEAR(A14),Assumptions!$A$41:$AL$43,3,TRUE))^(1/12)</f>
        <v>0.99848118442253453</v>
      </c>
      <c r="Z14">
        <f t="shared" si="9"/>
        <v>110.91227927107849</v>
      </c>
      <c r="AA14">
        <f t="shared" si="12"/>
        <v>0.71538386870821535</v>
      </c>
    </row>
    <row r="15" spans="1:28" x14ac:dyDescent="0.2">
      <c r="A15" s="2">
        <f t="shared" ref="A15:A78" si="13">DATE(YEAR(A14),MONTH(A14)+2,1)-1</f>
        <v>43220</v>
      </c>
      <c r="B15">
        <f t="shared" si="1"/>
        <v>96</v>
      </c>
      <c r="C15">
        <f t="shared" si="2"/>
        <v>7.9166666666666661</v>
      </c>
      <c r="D15">
        <f t="shared" si="3"/>
        <v>0</v>
      </c>
      <c r="E15">
        <f t="shared" si="4"/>
        <v>62</v>
      </c>
      <c r="F15">
        <f>IF(C15&gt;=$J$2,0,VLOOKUP($E15,'Mortality Table'!$A$3:$C$128,2+G$2,FALSE))</f>
        <v>4.2285000000000005E-3</v>
      </c>
      <c r="G15">
        <f>F15*Assumptions!$B$1</f>
        <v>1.1442321000000003E-3</v>
      </c>
      <c r="H15">
        <f t="shared" si="5"/>
        <v>9.5375415885666739E-5</v>
      </c>
      <c r="I15">
        <f>HLOOKUP(C15,Assumptions!$A$6:$J$7,2,TRUE)</f>
        <v>3.49E-2</v>
      </c>
      <c r="J15" s="22">
        <f t="shared" si="0"/>
        <v>0</v>
      </c>
      <c r="K15" s="22">
        <f t="shared" si="6"/>
        <v>1</v>
      </c>
      <c r="L15">
        <f t="shared" si="10"/>
        <v>3.4886683686293316E-2</v>
      </c>
      <c r="M15" s="22">
        <f t="shared" si="7"/>
        <v>0.96473176004703831</v>
      </c>
      <c r="N15">
        <f>M14*Assumptions!$B$11/$E$2*J15</f>
        <v>0</v>
      </c>
      <c r="O15">
        <f>M14*Assumptions!$B$13/$E$2*J15</f>
        <v>0</v>
      </c>
      <c r="P15">
        <f>H15*Assumptions!$B$15</f>
        <v>0.71531561914250053</v>
      </c>
      <c r="Q15">
        <f>O15*Assumptions!$B$17</f>
        <v>0</v>
      </c>
      <c r="R15">
        <f>HLOOKUP(B15,Assumptions!$A$26:$D$27,2,TRUE)</f>
        <v>0</v>
      </c>
      <c r="S15">
        <f t="shared" si="11"/>
        <v>0</v>
      </c>
      <c r="T15">
        <f t="shared" si="8"/>
        <v>0.91666666666666607</v>
      </c>
      <c r="U15">
        <f>IF(B15&gt;$K$2,0,IF(T16=0,0,(1-T16)*Assumptions!$B$11/$E$2*(1-Assumptions!$B$30)))</f>
        <v>0</v>
      </c>
      <c r="V15">
        <f>(N15-O15)*(1-Assumptions!$B$30)-Q15+U14*M14</f>
        <v>9.9971381914922439</v>
      </c>
      <c r="W15">
        <f>W14*(1+Assumptions!$B$36)^(1/12)</f>
        <v>1.003322283542089</v>
      </c>
      <c r="X15" s="19">
        <f>IF(B15&gt;$K$2,0,W14*Assumptions!$B$32/12*M14+V15*Assumptions!$B$34/12)</f>
        <v>12.840228884697838</v>
      </c>
      <c r="Y15" s="20">
        <f>1/(1+HLOOKUP(YEAR(A15),Assumptions!$A$41:$AL$43,3,TRUE))^(1/12)</f>
        <v>0.99848118442253453</v>
      </c>
      <c r="Z15">
        <f t="shared" si="9"/>
        <v>97.525446306441111</v>
      </c>
      <c r="AA15">
        <f t="shared" si="12"/>
        <v>0.71531561914250053</v>
      </c>
    </row>
    <row r="16" spans="1:28" x14ac:dyDescent="0.2">
      <c r="A16" s="2">
        <f t="shared" si="13"/>
        <v>43251</v>
      </c>
      <c r="B16">
        <f t="shared" si="1"/>
        <v>97</v>
      </c>
      <c r="C16">
        <f t="shared" si="2"/>
        <v>8</v>
      </c>
      <c r="D16">
        <f t="shared" si="3"/>
        <v>1</v>
      </c>
      <c r="E16">
        <f t="shared" si="4"/>
        <v>63</v>
      </c>
      <c r="F16">
        <f>IF(C16&gt;=$J$2,0,VLOOKUP($E16,'Mortality Table'!$A$3:$C$128,2+G$2,FALSE))</f>
        <v>4.4637000000000001E-3</v>
      </c>
      <c r="G16">
        <f>F16*Assumptions!$B$1</f>
        <v>1.20787722E-3</v>
      </c>
      <c r="H16">
        <f t="shared" si="5"/>
        <v>9.7160260365400475E-5</v>
      </c>
      <c r="I16">
        <f>HLOOKUP(C16,Assumptions!$A$6:$J$7,2,TRUE)</f>
        <v>4.5100000000000001E-2</v>
      </c>
      <c r="J16" s="22">
        <f t="shared" si="0"/>
        <v>1</v>
      </c>
      <c r="K16" s="22">
        <f t="shared" si="6"/>
        <v>0</v>
      </c>
      <c r="L16">
        <f t="shared" si="10"/>
        <v>0</v>
      </c>
      <c r="M16" s="22">
        <f t="shared" si="7"/>
        <v>0.96463459978667287</v>
      </c>
      <c r="N16">
        <f>M15*Assumptions!$B$11/$E$2*J16</f>
        <v>144.70976400705575</v>
      </c>
      <c r="O16">
        <f>M15*Assumptions!$B$13/$E$2*J16</f>
        <v>57.883905602822296</v>
      </c>
      <c r="P16">
        <f>H16*Assumptions!$B$15</f>
        <v>0.72870195274050353</v>
      </c>
      <c r="Q16">
        <f>O16*Assumptions!$B$17</f>
        <v>37.138313834770784</v>
      </c>
      <c r="R16">
        <f>HLOOKUP(B16,Assumptions!$A$26:$D$27,2,TRUE)</f>
        <v>0</v>
      </c>
      <c r="S16">
        <f t="shared" si="11"/>
        <v>0</v>
      </c>
      <c r="T16">
        <f t="shared" si="8"/>
        <v>0</v>
      </c>
      <c r="U16">
        <f>IF(B16&gt;$K$2,0,IF(T17=0,0,(1-T17)*Assumptions!$B$11/$E$2*(1-Assumptions!$B$30)))</f>
        <v>109.99999999999994</v>
      </c>
      <c r="V16">
        <f>(N16-O16)*(1-Assumptions!$B$30)-Q16+U15*M15</f>
        <v>32.322372888615988</v>
      </c>
      <c r="W16">
        <f>W15*(1+Assumptions!$B$36)^(1/12)</f>
        <v>1.00415457761726</v>
      </c>
      <c r="X16" s="19">
        <f>IF(B16&gt;$K$2,0,W15*Assumptions!$B$32/12*M15+V16*Assumptions!$B$34/12)</f>
        <v>12.406679269757959</v>
      </c>
      <c r="Y16" s="20">
        <f>1/(1+HLOOKUP(YEAR(A16),Assumptions!$A$41:$AL$43,3,TRUE))^(1/12)</f>
        <v>0.99848118442253453</v>
      </c>
      <c r="Z16">
        <f t="shared" si="9"/>
        <v>192.10986373726104</v>
      </c>
      <c r="AA16">
        <f t="shared" si="12"/>
        <v>37.867015787511285</v>
      </c>
    </row>
    <row r="17" spans="1:27" x14ac:dyDescent="0.2">
      <c r="A17" s="2">
        <f t="shared" si="13"/>
        <v>43281</v>
      </c>
      <c r="B17">
        <f t="shared" si="1"/>
        <v>98</v>
      </c>
      <c r="C17">
        <f t="shared" si="2"/>
        <v>8.0833333333333339</v>
      </c>
      <c r="D17">
        <f t="shared" si="3"/>
        <v>0</v>
      </c>
      <c r="E17">
        <f t="shared" si="4"/>
        <v>63</v>
      </c>
      <c r="F17">
        <f>IF(C17&gt;=$J$2,0,VLOOKUP($E17,'Mortality Table'!$A$3:$C$128,2+G$2,FALSE))</f>
        <v>4.4637000000000001E-3</v>
      </c>
      <c r="G17">
        <f>F17*Assumptions!$B$1</f>
        <v>1.20787722E-3</v>
      </c>
      <c r="H17">
        <f t="shared" si="5"/>
        <v>9.7150475141584677E-5</v>
      </c>
      <c r="I17">
        <f>HLOOKUP(C17,Assumptions!$A$6:$J$7,2,TRUE)</f>
        <v>4.5100000000000001E-2</v>
      </c>
      <c r="J17" s="22">
        <f t="shared" si="0"/>
        <v>0</v>
      </c>
      <c r="K17" s="22">
        <f t="shared" si="6"/>
        <v>0</v>
      </c>
      <c r="L17">
        <f t="shared" si="10"/>
        <v>0</v>
      </c>
      <c r="M17" s="22">
        <f t="shared" si="7"/>
        <v>0.96453744931153129</v>
      </c>
      <c r="N17">
        <f>M16*Assumptions!$B$11/$E$2*J17</f>
        <v>0</v>
      </c>
      <c r="O17">
        <f>M16*Assumptions!$B$13/$E$2*J17</f>
        <v>0</v>
      </c>
      <c r="P17">
        <f>H17*Assumptions!$B$15</f>
        <v>0.7286285635618851</v>
      </c>
      <c r="Q17">
        <f>O17*Assumptions!$B$17</f>
        <v>0</v>
      </c>
      <c r="R17">
        <f>HLOOKUP(B17,Assumptions!$A$26:$D$27,2,TRUE)</f>
        <v>0</v>
      </c>
      <c r="S17">
        <f t="shared" si="11"/>
        <v>0</v>
      </c>
      <c r="T17">
        <f t="shared" si="8"/>
        <v>8.3333333333333925E-2</v>
      </c>
      <c r="U17">
        <f>IF(B17&gt;$K$2,0,IF(T18=0,0,(1-T18)*Assumptions!$B$11/$E$2*(1-Assumptions!$B$30)))</f>
        <v>100.00000000000007</v>
      </c>
      <c r="V17">
        <f>(N17-O17)*(1-Assumptions!$B$30)-Q17+U16*M16</f>
        <v>106.10980597653396</v>
      </c>
      <c r="W17">
        <f>W16*(1+Assumptions!$B$36)^(1/12)</f>
        <v>1.0049875621120887</v>
      </c>
      <c r="X17" s="19">
        <f>IF(B17&gt;$K$2,0,W16*Assumptions!$B$32/12*M16+V17*Assumptions!$B$34/12)</f>
        <v>12.433546813193306</v>
      </c>
      <c r="Y17" s="20">
        <f>1/(1+HLOOKUP(YEAR(A17),Assumptions!$A$41:$AL$43,3,TRUE))^(1/12)</f>
        <v>0.99848118442253453</v>
      </c>
      <c r="Z17">
        <f t="shared" si="9"/>
        <v>179.239911647415</v>
      </c>
      <c r="AA17">
        <f t="shared" si="12"/>
        <v>0.7286285635618851</v>
      </c>
    </row>
    <row r="18" spans="1:27" x14ac:dyDescent="0.2">
      <c r="A18" s="2">
        <f t="shared" si="13"/>
        <v>43312</v>
      </c>
      <c r="B18">
        <f t="shared" si="1"/>
        <v>99</v>
      </c>
      <c r="C18">
        <f t="shared" si="2"/>
        <v>8.1666666666666661</v>
      </c>
      <c r="D18">
        <f t="shared" si="3"/>
        <v>0</v>
      </c>
      <c r="E18">
        <f t="shared" si="4"/>
        <v>63</v>
      </c>
      <c r="F18">
        <f>IF(C18&gt;=$J$2,0,VLOOKUP($E18,'Mortality Table'!$A$3:$C$128,2+G$2,FALSE))</f>
        <v>4.4637000000000001E-3</v>
      </c>
      <c r="G18">
        <f>F18*Assumptions!$B$1</f>
        <v>1.20787722E-3</v>
      </c>
      <c r="H18">
        <f t="shared" si="5"/>
        <v>9.7140690903260311E-5</v>
      </c>
      <c r="I18">
        <f>HLOOKUP(C18,Assumptions!$A$6:$J$7,2,TRUE)</f>
        <v>4.5100000000000001E-2</v>
      </c>
      <c r="J18" s="22">
        <f t="shared" si="0"/>
        <v>0</v>
      </c>
      <c r="K18" s="22">
        <f t="shared" si="6"/>
        <v>0</v>
      </c>
      <c r="L18">
        <f t="shared" si="10"/>
        <v>0</v>
      </c>
      <c r="M18" s="22">
        <f t="shared" si="7"/>
        <v>0.96444030862062802</v>
      </c>
      <c r="N18">
        <f>M17*Assumptions!$B$11/$E$2*J18</f>
        <v>0</v>
      </c>
      <c r="O18">
        <f>M17*Assumptions!$B$13/$E$2*J18</f>
        <v>0</v>
      </c>
      <c r="P18">
        <f>H18*Assumptions!$B$15</f>
        <v>0.72855518177445233</v>
      </c>
      <c r="Q18">
        <f>O18*Assumptions!$B$17</f>
        <v>0</v>
      </c>
      <c r="R18">
        <f>HLOOKUP(B18,Assumptions!$A$26:$D$27,2,TRUE)</f>
        <v>0</v>
      </c>
      <c r="S18">
        <f t="shared" si="11"/>
        <v>0</v>
      </c>
      <c r="T18">
        <f t="shared" si="8"/>
        <v>0.16666666666666607</v>
      </c>
      <c r="U18">
        <f>IF(B18&gt;$K$2,0,IF(T19=0,0,(1-T19)*Assumptions!$B$11/$E$2*(1-Assumptions!$B$30)))</f>
        <v>90</v>
      </c>
      <c r="V18">
        <f>(N18-O18)*(1-Assumptions!$B$30)-Q18+U17*M17</f>
        <v>96.453744931153196</v>
      </c>
      <c r="W18">
        <f>W17*(1+Assumptions!$B$36)^(1/12)</f>
        <v>1.0058212375993045</v>
      </c>
      <c r="X18" s="19">
        <f>IF(B18&gt;$K$2,0,W17*Assumptions!$B$32/12*M17+V18*Assumptions!$B$34/12)</f>
        <v>12.440255430156718</v>
      </c>
      <c r="Y18" s="20">
        <f>1/(1+HLOOKUP(YEAR(A18),Assumptions!$A$41:$AL$43,3,TRUE))^(1/12)</f>
        <v>0.99848118442253453</v>
      </c>
      <c r="Z18">
        <f t="shared" si="9"/>
        <v>166.34374750510264</v>
      </c>
      <c r="AA18">
        <f t="shared" si="12"/>
        <v>0.72855518177445233</v>
      </c>
    </row>
    <row r="19" spans="1:27" x14ac:dyDescent="0.2">
      <c r="A19" s="2">
        <f t="shared" si="13"/>
        <v>43343</v>
      </c>
      <c r="B19">
        <f t="shared" si="1"/>
        <v>100</v>
      </c>
      <c r="C19">
        <f t="shared" si="2"/>
        <v>8.25</v>
      </c>
      <c r="D19">
        <f t="shared" si="3"/>
        <v>0</v>
      </c>
      <c r="E19">
        <f t="shared" si="4"/>
        <v>63</v>
      </c>
      <c r="F19">
        <f>IF(C19&gt;=$J$2,0,VLOOKUP($E19,'Mortality Table'!$A$3:$C$128,2+G$2,FALSE))</f>
        <v>4.4637000000000001E-3</v>
      </c>
      <c r="G19">
        <f>F19*Assumptions!$B$1</f>
        <v>1.20787722E-3</v>
      </c>
      <c r="H19">
        <f t="shared" si="5"/>
        <v>9.7130907650328147E-5</v>
      </c>
      <c r="I19">
        <f>HLOOKUP(C19,Assumptions!$A$6:$J$7,2,TRUE)</f>
        <v>4.5100000000000001E-2</v>
      </c>
      <c r="J19" s="22">
        <f t="shared" si="0"/>
        <v>0</v>
      </c>
      <c r="K19" s="22">
        <f t="shared" si="6"/>
        <v>0</v>
      </c>
      <c r="L19">
        <f t="shared" si="10"/>
        <v>0</v>
      </c>
      <c r="M19" s="22">
        <f t="shared" si="7"/>
        <v>0.96434317771297773</v>
      </c>
      <c r="N19">
        <f>M18*Assumptions!$B$11/$E$2*J19</f>
        <v>0</v>
      </c>
      <c r="O19">
        <f>M18*Assumptions!$B$13/$E$2*J19</f>
        <v>0</v>
      </c>
      <c r="P19">
        <f>H19*Assumptions!$B$15</f>
        <v>0.72848180737746115</v>
      </c>
      <c r="Q19">
        <f>O19*Assumptions!$B$17</f>
        <v>0</v>
      </c>
      <c r="R19">
        <f>HLOOKUP(B19,Assumptions!$A$26:$D$27,2,TRUE)</f>
        <v>0</v>
      </c>
      <c r="S19">
        <f t="shared" si="11"/>
        <v>0</v>
      </c>
      <c r="T19">
        <f t="shared" si="8"/>
        <v>0.25</v>
      </c>
      <c r="U19">
        <f>IF(B19&gt;$K$2,0,IF(T20=0,0,(1-T20)*Assumptions!$B$11/$E$2*(1-Assumptions!$B$30)))</f>
        <v>79.999999999999943</v>
      </c>
      <c r="V19">
        <f>(N19-O19)*(1-Assumptions!$B$30)-Q19+U18*M18</f>
        <v>86.799627775856521</v>
      </c>
      <c r="W19">
        <f>W18*(1+Assumptions!$B$36)^(1/12)</f>
        <v>1.006655604652112</v>
      </c>
      <c r="X19" s="19">
        <f>IF(B19&gt;$K$2,0,W18*Assumptions!$B$32/12*M18+V19*Assumptions!$B$34/12)</f>
        <v>12.44697110630233</v>
      </c>
      <c r="Y19" s="20">
        <f>1/(1+HLOOKUP(YEAR(A19),Assumptions!$A$41:$AL$43,3,TRUE))^(1/12)</f>
        <v>0.99848118442253453</v>
      </c>
      <c r="Z19">
        <f t="shared" si="9"/>
        <v>153.42132437191978</v>
      </c>
      <c r="AA19">
        <f t="shared" si="12"/>
        <v>0.72848180737746115</v>
      </c>
    </row>
    <row r="20" spans="1:27" x14ac:dyDescent="0.2">
      <c r="A20" s="2">
        <f t="shared" si="13"/>
        <v>43373</v>
      </c>
      <c r="B20">
        <f t="shared" si="1"/>
        <v>101</v>
      </c>
      <c r="C20">
        <f t="shared" si="2"/>
        <v>8.3333333333333339</v>
      </c>
      <c r="D20">
        <f t="shared" si="3"/>
        <v>0</v>
      </c>
      <c r="E20">
        <f t="shared" si="4"/>
        <v>63</v>
      </c>
      <c r="F20">
        <f>IF(C20&gt;=$J$2,0,VLOOKUP($E20,'Mortality Table'!$A$3:$C$128,2+G$2,FALSE))</f>
        <v>4.4637000000000001E-3</v>
      </c>
      <c r="G20">
        <f>F20*Assumptions!$B$1</f>
        <v>1.20787722E-3</v>
      </c>
      <c r="H20">
        <f t="shared" si="5"/>
        <v>9.7121125382688926E-5</v>
      </c>
      <c r="I20">
        <f>HLOOKUP(C20,Assumptions!$A$6:$J$7,2,TRUE)</f>
        <v>4.5100000000000001E-2</v>
      </c>
      <c r="J20" s="22">
        <f t="shared" si="0"/>
        <v>0</v>
      </c>
      <c r="K20" s="22">
        <f t="shared" si="6"/>
        <v>0</v>
      </c>
      <c r="L20">
        <f t="shared" si="10"/>
        <v>0</v>
      </c>
      <c r="M20" s="22">
        <f t="shared" si="7"/>
        <v>0.96424605658759499</v>
      </c>
      <c r="N20">
        <f>M19*Assumptions!$B$11/$E$2*J20</f>
        <v>0</v>
      </c>
      <c r="O20">
        <f>M19*Assumptions!$B$13/$E$2*J20</f>
        <v>0</v>
      </c>
      <c r="P20">
        <f>H20*Assumptions!$B$15</f>
        <v>0.72840844037016694</v>
      </c>
      <c r="Q20">
        <f>O20*Assumptions!$B$17</f>
        <v>0</v>
      </c>
      <c r="R20">
        <f>HLOOKUP(B20,Assumptions!$A$26:$D$27,2,TRUE)</f>
        <v>0</v>
      </c>
      <c r="S20">
        <f t="shared" si="11"/>
        <v>0</v>
      </c>
      <c r="T20">
        <f t="shared" si="8"/>
        <v>0.33333333333333393</v>
      </c>
      <c r="U20">
        <f>IF(B20&gt;$K$2,0,IF(T21=0,0,(1-T21)*Assumptions!$B$11/$E$2*(1-Assumptions!$B$30)))</f>
        <v>70.000000000000071</v>
      </c>
      <c r="V20">
        <f>(N20-O20)*(1-Assumptions!$B$30)-Q20+U19*M19</f>
        <v>77.14745421703816</v>
      </c>
      <c r="W20">
        <f>W19*(1+Assumptions!$B$36)^(1/12)</f>
        <v>1.0074906638441912</v>
      </c>
      <c r="X20" s="19">
        <f>IF(B20&gt;$K$2,0,W19*Assumptions!$B$32/12*M19+V20*Assumptions!$B$34/12)</f>
        <v>12.453693846361171</v>
      </c>
      <c r="Y20" s="20">
        <f>1/(1+HLOOKUP(YEAR(A20),Assumptions!$A$41:$AL$43,3,TRUE))^(1/12)</f>
        <v>0.99848118442253453</v>
      </c>
      <c r="Z20">
        <f t="shared" si="9"/>
        <v>140.47259523333264</v>
      </c>
      <c r="AA20">
        <f t="shared" si="12"/>
        <v>0.72840844037016694</v>
      </c>
    </row>
    <row r="21" spans="1:27" x14ac:dyDescent="0.2">
      <c r="A21" s="2">
        <f t="shared" si="13"/>
        <v>43404</v>
      </c>
      <c r="B21">
        <f t="shared" si="1"/>
        <v>102</v>
      </c>
      <c r="C21">
        <f t="shared" si="2"/>
        <v>8.4166666666666661</v>
      </c>
      <c r="D21">
        <f t="shared" si="3"/>
        <v>0</v>
      </c>
      <c r="E21">
        <f t="shared" si="4"/>
        <v>63</v>
      </c>
      <c r="F21">
        <f>IF(C21&gt;=$J$2,0,VLOOKUP($E21,'Mortality Table'!$A$3:$C$128,2+G$2,FALSE))</f>
        <v>4.4637000000000001E-3</v>
      </c>
      <c r="G21">
        <f>F21*Assumptions!$B$1</f>
        <v>1.20787722E-3</v>
      </c>
      <c r="H21">
        <f t="shared" si="5"/>
        <v>9.7111344100243429E-5</v>
      </c>
      <c r="I21">
        <f>HLOOKUP(C21,Assumptions!$A$6:$J$7,2,TRUE)</f>
        <v>4.5100000000000001E-2</v>
      </c>
      <c r="J21" s="22">
        <f t="shared" si="0"/>
        <v>0</v>
      </c>
      <c r="K21" s="22">
        <f t="shared" si="6"/>
        <v>0</v>
      </c>
      <c r="L21">
        <f t="shared" si="10"/>
        <v>0</v>
      </c>
      <c r="M21" s="22">
        <f t="shared" si="7"/>
        <v>0.9641489452434947</v>
      </c>
      <c r="N21">
        <f>M20*Assumptions!$B$11/$E$2*J21</f>
        <v>0</v>
      </c>
      <c r="O21">
        <f>M20*Assumptions!$B$13/$E$2*J21</f>
        <v>0</v>
      </c>
      <c r="P21">
        <f>H21*Assumptions!$B$15</f>
        <v>0.72833508075182574</v>
      </c>
      <c r="Q21">
        <f>O21*Assumptions!$B$17</f>
        <v>0</v>
      </c>
      <c r="R21">
        <f>HLOOKUP(B21,Assumptions!$A$26:$D$27,2,TRUE)</f>
        <v>0</v>
      </c>
      <c r="S21">
        <f t="shared" si="11"/>
        <v>0</v>
      </c>
      <c r="T21">
        <f t="shared" si="8"/>
        <v>0.41666666666666607</v>
      </c>
      <c r="U21">
        <f>IF(B21&gt;$K$2,0,IF(T22=0,0,(1-T22)*Assumptions!$B$11/$E$2*(1-Assumptions!$B$30)))</f>
        <v>60</v>
      </c>
      <c r="V21">
        <f>(N21-O21)*(1-Assumptions!$B$30)-Q21+U20*M20</f>
        <v>67.497223961131724</v>
      </c>
      <c r="W21">
        <f>W20*(1+Assumptions!$B$36)^(1/12)</f>
        <v>1.0083264157496978</v>
      </c>
      <c r="X21" s="19">
        <f>IF(B21&gt;$K$2,0,W20*Assumptions!$B$32/12*M20+V21*Assumptions!$B$34/12)</f>
        <v>12.460423655067775</v>
      </c>
      <c r="Y21" s="20">
        <f>1/(1+HLOOKUP(YEAR(A21),Assumptions!$A$41:$AL$43,3,TRUE))^(1/12)</f>
        <v>0.99848118442253453</v>
      </c>
      <c r="Z21">
        <f t="shared" si="9"/>
        <v>127.49751299855875</v>
      </c>
      <c r="AA21">
        <f t="shared" si="12"/>
        <v>0.72833508075182574</v>
      </c>
    </row>
    <row r="22" spans="1:27" x14ac:dyDescent="0.2">
      <c r="A22" s="2">
        <f t="shared" si="13"/>
        <v>43434</v>
      </c>
      <c r="B22">
        <f t="shared" si="1"/>
        <v>103</v>
      </c>
      <c r="C22">
        <f t="shared" si="2"/>
        <v>8.5</v>
      </c>
      <c r="D22">
        <f t="shared" si="3"/>
        <v>0</v>
      </c>
      <c r="E22">
        <f t="shared" si="4"/>
        <v>63</v>
      </c>
      <c r="F22">
        <f>IF(C22&gt;=$J$2,0,VLOOKUP($E22,'Mortality Table'!$A$3:$C$128,2+G$2,FALSE))</f>
        <v>4.4637000000000001E-3</v>
      </c>
      <c r="G22">
        <f>F22*Assumptions!$B$1</f>
        <v>1.20787722E-3</v>
      </c>
      <c r="H22">
        <f t="shared" si="5"/>
        <v>9.7101563802892425E-5</v>
      </c>
      <c r="I22">
        <f>HLOOKUP(C22,Assumptions!$A$6:$J$7,2,TRUE)</f>
        <v>4.5100000000000001E-2</v>
      </c>
      <c r="J22" s="22">
        <f t="shared" si="0"/>
        <v>0</v>
      </c>
      <c r="K22" s="22">
        <f t="shared" si="6"/>
        <v>0</v>
      </c>
      <c r="L22">
        <f t="shared" si="10"/>
        <v>0</v>
      </c>
      <c r="M22" s="22">
        <f t="shared" si="7"/>
        <v>0.96405184367969177</v>
      </c>
      <c r="N22">
        <f>M21*Assumptions!$B$11/$E$2*J22</f>
        <v>0</v>
      </c>
      <c r="O22">
        <f>M21*Assumptions!$B$13/$E$2*J22</f>
        <v>0</v>
      </c>
      <c r="P22">
        <f>H22*Assumptions!$B$15</f>
        <v>0.72826172852169324</v>
      </c>
      <c r="Q22">
        <f>O22*Assumptions!$B$17</f>
        <v>0</v>
      </c>
      <c r="R22">
        <f>HLOOKUP(B22,Assumptions!$A$26:$D$27,2,TRUE)</f>
        <v>0</v>
      </c>
      <c r="S22">
        <f t="shared" si="11"/>
        <v>0</v>
      </c>
      <c r="T22">
        <f t="shared" si="8"/>
        <v>0.5</v>
      </c>
      <c r="U22">
        <f>IF(B22&gt;$K$2,0,IF(T23=0,0,(1-T23)*Assumptions!$B$11/$E$2*(1-Assumptions!$B$30)))</f>
        <v>49.999999999999936</v>
      </c>
      <c r="V22">
        <f>(N22-O22)*(1-Assumptions!$B$30)-Q22+U21*M21</f>
        <v>57.848936714609685</v>
      </c>
      <c r="W22">
        <f>W21*(1+Assumptions!$B$36)^(1/12)</f>
        <v>1.0091628609432644</v>
      </c>
      <c r="X22" s="19">
        <f>IF(B22&gt;$K$2,0,W21*Assumptions!$B$32/12*M21+V22*Assumptions!$B$34/12)</f>
        <v>12.467160537160183</v>
      </c>
      <c r="Y22" s="20">
        <f>1/(1+HLOOKUP(YEAR(A22),Assumptions!$A$41:$AL$43,3,TRUE))^(1/12)</f>
        <v>0.99848118442253453</v>
      </c>
      <c r="Z22">
        <f t="shared" si="9"/>
        <v>114.49603050044728</v>
      </c>
      <c r="AA22">
        <f t="shared" si="12"/>
        <v>0.72826172852169324</v>
      </c>
    </row>
    <row r="23" spans="1:27" x14ac:dyDescent="0.2">
      <c r="A23" s="2">
        <f t="shared" si="13"/>
        <v>43465</v>
      </c>
      <c r="B23">
        <f t="shared" si="1"/>
        <v>104</v>
      </c>
      <c r="C23">
        <f t="shared" si="2"/>
        <v>8.5833333333333339</v>
      </c>
      <c r="D23">
        <f t="shared" si="3"/>
        <v>0</v>
      </c>
      <c r="E23">
        <f t="shared" si="4"/>
        <v>63</v>
      </c>
      <c r="F23">
        <f>IF(C23&gt;=$J$2,0,VLOOKUP($E23,'Mortality Table'!$A$3:$C$128,2+G$2,FALSE))</f>
        <v>4.4637000000000001E-3</v>
      </c>
      <c r="G23">
        <f>F23*Assumptions!$B$1</f>
        <v>1.20787722E-3</v>
      </c>
      <c r="H23">
        <f t="shared" si="5"/>
        <v>9.7091784490536709E-5</v>
      </c>
      <c r="I23">
        <f>HLOOKUP(C23,Assumptions!$A$6:$J$7,2,TRUE)</f>
        <v>4.5100000000000001E-2</v>
      </c>
      <c r="J23" s="22">
        <f t="shared" si="0"/>
        <v>0</v>
      </c>
      <c r="K23" s="22">
        <f t="shared" si="6"/>
        <v>0</v>
      </c>
      <c r="L23">
        <f t="shared" si="10"/>
        <v>0</v>
      </c>
      <c r="M23" s="22">
        <f t="shared" si="7"/>
        <v>0.96395475189520119</v>
      </c>
      <c r="N23">
        <f>M22*Assumptions!$B$11/$E$2*J23</f>
        <v>0</v>
      </c>
      <c r="O23">
        <f>M22*Assumptions!$B$13/$E$2*J23</f>
        <v>0</v>
      </c>
      <c r="P23">
        <f>H23*Assumptions!$B$15</f>
        <v>0.72818838367902528</v>
      </c>
      <c r="Q23">
        <f>O23*Assumptions!$B$17</f>
        <v>0</v>
      </c>
      <c r="R23">
        <f>HLOOKUP(B23,Assumptions!$A$26:$D$27,2,TRUE)</f>
        <v>0</v>
      </c>
      <c r="S23">
        <f t="shared" si="11"/>
        <v>0</v>
      </c>
      <c r="T23">
        <f t="shared" si="8"/>
        <v>0.58333333333333393</v>
      </c>
      <c r="U23">
        <f>IF(B23&gt;$K$2,0,IF(T24=0,0,(1-T24)*Assumptions!$B$11/$E$2*(1-Assumptions!$B$30)))</f>
        <v>40.000000000000071</v>
      </c>
      <c r="V23">
        <f>(N23-O23)*(1-Assumptions!$B$30)-Q23+U22*M22</f>
        <v>48.202592183984528</v>
      </c>
      <c r="W23">
        <f>W22*(1+Assumptions!$B$36)^(1/12)</f>
        <v>1.0099999999999993</v>
      </c>
      <c r="X23" s="19">
        <f>IF(B23&gt;$K$2,0,W22*Assumptions!$B$32/12*M22+V23*Assumptions!$B$34/12)</f>
        <v>12.473904497379966</v>
      </c>
      <c r="Y23" s="20">
        <f>1/(1+HLOOKUP(YEAR(A23),Assumptions!$A$41:$AL$43,3,TRUE))^(1/12)</f>
        <v>0.99848118442253453</v>
      </c>
      <c r="Z23">
        <f t="shared" si="9"/>
        <v>101.46810049535937</v>
      </c>
      <c r="AA23">
        <f t="shared" si="12"/>
        <v>0.72818838367902528</v>
      </c>
    </row>
    <row r="24" spans="1:27" x14ac:dyDescent="0.2">
      <c r="A24" s="2">
        <f t="shared" si="13"/>
        <v>43496</v>
      </c>
      <c r="B24">
        <f t="shared" si="1"/>
        <v>105</v>
      </c>
      <c r="C24">
        <f t="shared" si="2"/>
        <v>8.6666666666666661</v>
      </c>
      <c r="D24">
        <f t="shared" si="3"/>
        <v>0</v>
      </c>
      <c r="E24">
        <f t="shared" si="4"/>
        <v>63</v>
      </c>
      <c r="F24">
        <f>IF(C24&gt;=$J$2,0,VLOOKUP($E24,'Mortality Table'!$A$3:$C$128,2+G$2,FALSE))</f>
        <v>4.4637000000000001E-3</v>
      </c>
      <c r="G24">
        <f>F24*Assumptions!$B$1</f>
        <v>1.20787722E-3</v>
      </c>
      <c r="H24">
        <f t="shared" si="5"/>
        <v>9.7082006163077078E-5</v>
      </c>
      <c r="I24">
        <f>HLOOKUP(C24,Assumptions!$A$6:$J$7,2,TRUE)</f>
        <v>4.5100000000000001E-2</v>
      </c>
      <c r="J24" s="22">
        <f t="shared" si="0"/>
        <v>0</v>
      </c>
      <c r="K24" s="22">
        <f t="shared" si="6"/>
        <v>0</v>
      </c>
      <c r="L24">
        <f t="shared" si="10"/>
        <v>0</v>
      </c>
      <c r="M24" s="22">
        <f t="shared" si="7"/>
        <v>0.96385766988903809</v>
      </c>
      <c r="N24">
        <f>M23*Assumptions!$B$11/$E$2*J24</f>
        <v>0</v>
      </c>
      <c r="O24">
        <f>M23*Assumptions!$B$13/$E$2*J24</f>
        <v>0</v>
      </c>
      <c r="P24">
        <f>H24*Assumptions!$B$15</f>
        <v>0.7281150462230781</v>
      </c>
      <c r="Q24">
        <f>O24*Assumptions!$B$17</f>
        <v>0</v>
      </c>
      <c r="R24">
        <f>HLOOKUP(B24,Assumptions!$A$26:$D$27,2,TRUE)</f>
        <v>0</v>
      </c>
      <c r="S24">
        <f t="shared" si="11"/>
        <v>0</v>
      </c>
      <c r="T24">
        <f t="shared" si="8"/>
        <v>0.66666666666666607</v>
      </c>
      <c r="U24">
        <f>IF(B24&gt;$K$2,0,IF(T25=0,0,(1-T25)*Assumptions!$B$11/$E$2*(1-Assumptions!$B$30)))</f>
        <v>30</v>
      </c>
      <c r="V24">
        <f>(N24-O24)*(1-Assumptions!$B$30)-Q24+U23*M23</f>
        <v>38.558190075808113</v>
      </c>
      <c r="W24">
        <f>W23*(1+Assumptions!$B$36)^(1/12)</f>
        <v>1.0108378334954891</v>
      </c>
      <c r="X24" s="19">
        <f>IF(B24&gt;$K$2,0,W23*Assumptions!$B$32/12*M23+V24*Assumptions!$B$34/12)</f>
        <v>12.480655540472194</v>
      </c>
      <c r="Y24" s="20">
        <f>1/(1+HLOOKUP(YEAR(A24),Assumptions!$A$41:$AL$43,3,TRUE))^(1/12)</f>
        <v>0.99860097247287194</v>
      </c>
      <c r="Z24">
        <f t="shared" si="9"/>
        <v>88.401485453903419</v>
      </c>
      <c r="AA24">
        <f t="shared" si="12"/>
        <v>0.7281150462230781</v>
      </c>
    </row>
    <row r="25" spans="1:27" x14ac:dyDescent="0.2">
      <c r="A25" s="2">
        <f t="shared" si="13"/>
        <v>43524</v>
      </c>
      <c r="B25">
        <f t="shared" si="1"/>
        <v>106</v>
      </c>
      <c r="C25">
        <f t="shared" si="2"/>
        <v>8.75</v>
      </c>
      <c r="D25">
        <f t="shared" si="3"/>
        <v>0</v>
      </c>
      <c r="E25">
        <f t="shared" si="4"/>
        <v>63</v>
      </c>
      <c r="F25">
        <f>IF(C25&gt;=$J$2,0,VLOOKUP($E25,'Mortality Table'!$A$3:$C$128,2+G$2,FALSE))</f>
        <v>4.4637000000000001E-3</v>
      </c>
      <c r="G25">
        <f>F25*Assumptions!$B$1</f>
        <v>1.20787722E-3</v>
      </c>
      <c r="H25">
        <f t="shared" si="5"/>
        <v>9.7072228820414339E-5</v>
      </c>
      <c r="I25">
        <f>HLOOKUP(C25,Assumptions!$A$6:$J$7,2,TRUE)</f>
        <v>4.5100000000000001E-2</v>
      </c>
      <c r="J25" s="22">
        <f t="shared" si="0"/>
        <v>0</v>
      </c>
      <c r="K25" s="22">
        <f t="shared" si="6"/>
        <v>0</v>
      </c>
      <c r="L25">
        <f t="shared" si="10"/>
        <v>0</v>
      </c>
      <c r="M25" s="22">
        <f t="shared" si="7"/>
        <v>0.96376059766021771</v>
      </c>
      <c r="N25">
        <f>M24*Assumptions!$B$11/$E$2*J25</f>
        <v>0</v>
      </c>
      <c r="O25">
        <f>M24*Assumptions!$B$13/$E$2*J25</f>
        <v>0</v>
      </c>
      <c r="P25">
        <f>H25*Assumptions!$B$15</f>
        <v>0.72804171615310753</v>
      </c>
      <c r="Q25">
        <f>O25*Assumptions!$B$17</f>
        <v>0</v>
      </c>
      <c r="R25">
        <f>HLOOKUP(B25,Assumptions!$A$26:$D$27,2,TRUE)</f>
        <v>0</v>
      </c>
      <c r="S25">
        <f t="shared" si="11"/>
        <v>0</v>
      </c>
      <c r="T25">
        <f t="shared" si="8"/>
        <v>0.75</v>
      </c>
      <c r="U25">
        <f>IF(B25&gt;$K$2,0,IF(T26=0,0,(1-T26)*Assumptions!$B$11/$E$2*(1-Assumptions!$B$30)))</f>
        <v>19.999999999999929</v>
      </c>
      <c r="V25">
        <f>(N25-O25)*(1-Assumptions!$B$30)-Q25+U24*M24</f>
        <v>28.915730096671144</v>
      </c>
      <c r="W25">
        <f>W24*(1+Assumptions!$B$36)^(1/12)</f>
        <v>1.0116763620057967</v>
      </c>
      <c r="X25" s="19">
        <f>IF(B25&gt;$K$2,0,W24*Assumptions!$B$32/12*M24+V25*Assumptions!$B$34/12)</f>
        <v>12.487413671185466</v>
      </c>
      <c r="Y25" s="20">
        <f>1/(1+HLOOKUP(YEAR(A25),Assumptions!$A$41:$AL$43,3,TRUE))^(1/12)</f>
        <v>0.99860097247287194</v>
      </c>
      <c r="Z25">
        <f t="shared" si="9"/>
        <v>75.309879446846111</v>
      </c>
      <c r="AA25">
        <f t="shared" si="12"/>
        <v>0.72804171615310753</v>
      </c>
    </row>
    <row r="26" spans="1:27" x14ac:dyDescent="0.2">
      <c r="A26" s="2">
        <f t="shared" si="13"/>
        <v>43555</v>
      </c>
      <c r="B26">
        <f t="shared" si="1"/>
        <v>107</v>
      </c>
      <c r="C26">
        <f t="shared" si="2"/>
        <v>8.8333333333333339</v>
      </c>
      <c r="D26">
        <f t="shared" si="3"/>
        <v>0</v>
      </c>
      <c r="E26">
        <f t="shared" si="4"/>
        <v>63</v>
      </c>
      <c r="F26">
        <f>IF(C26&gt;=$J$2,0,VLOOKUP($E26,'Mortality Table'!$A$3:$C$128,2+G$2,FALSE))</f>
        <v>4.4637000000000001E-3</v>
      </c>
      <c r="G26">
        <f>F26*Assumptions!$B$1</f>
        <v>1.20787722E-3</v>
      </c>
      <c r="H26">
        <f t="shared" si="5"/>
        <v>9.706245246244933E-5</v>
      </c>
      <c r="I26">
        <f>HLOOKUP(C26,Assumptions!$A$6:$J$7,2,TRUE)</f>
        <v>4.5100000000000001E-2</v>
      </c>
      <c r="J26" s="22">
        <f t="shared" si="0"/>
        <v>0</v>
      </c>
      <c r="K26" s="22">
        <f t="shared" si="6"/>
        <v>0</v>
      </c>
      <c r="L26">
        <f t="shared" si="10"/>
        <v>0</v>
      </c>
      <c r="M26" s="22">
        <f t="shared" si="7"/>
        <v>0.96366353520775527</v>
      </c>
      <c r="N26">
        <f>M25*Assumptions!$B$11/$E$2*J26</f>
        <v>0</v>
      </c>
      <c r="O26">
        <f>M25*Assumptions!$B$13/$E$2*J26</f>
        <v>0</v>
      </c>
      <c r="P26">
        <f>H26*Assumptions!$B$15</f>
        <v>0.72796839346836995</v>
      </c>
      <c r="Q26">
        <f>O26*Assumptions!$B$17</f>
        <v>0</v>
      </c>
      <c r="R26">
        <f>HLOOKUP(B26,Assumptions!$A$26:$D$27,2,TRUE)</f>
        <v>0</v>
      </c>
      <c r="S26">
        <f t="shared" si="11"/>
        <v>0</v>
      </c>
      <c r="T26">
        <f t="shared" si="8"/>
        <v>0.83333333333333393</v>
      </c>
      <c r="U26">
        <f>IF(B26&gt;$K$2,0,IF(T27=0,0,(1-T27)*Assumptions!$B$11/$E$2*(1-Assumptions!$B$30)))</f>
        <v>10.000000000000071</v>
      </c>
      <c r="V26">
        <f>(N26-O26)*(1-Assumptions!$B$30)-Q26+U25*M25</f>
        <v>19.275211953204284</v>
      </c>
      <c r="W26">
        <f>W25*(1+Assumptions!$B$36)^(1/12)</f>
        <v>1.0125155861074635</v>
      </c>
      <c r="X26" s="19">
        <f>IF(B26&gt;$K$2,0,W25*Assumptions!$B$32/12*M25+V26*Assumptions!$B$34/12)</f>
        <v>12.494178894271903</v>
      </c>
      <c r="Y26" s="20">
        <f>1/(1+HLOOKUP(YEAR(A26),Assumptions!$A$41:$AL$43,3,TRUE))^(1/12)</f>
        <v>0.99860097247287194</v>
      </c>
      <c r="Z26">
        <f t="shared" si="9"/>
        <v>62.193240362397411</v>
      </c>
      <c r="AA26">
        <f t="shared" si="12"/>
        <v>0.72796839346836995</v>
      </c>
    </row>
    <row r="27" spans="1:27" x14ac:dyDescent="0.2">
      <c r="A27" s="2">
        <f t="shared" si="13"/>
        <v>43585</v>
      </c>
      <c r="B27">
        <f t="shared" si="1"/>
        <v>108</v>
      </c>
      <c r="C27">
        <f t="shared" si="2"/>
        <v>8.9166666666666661</v>
      </c>
      <c r="D27">
        <f t="shared" si="3"/>
        <v>0</v>
      </c>
      <c r="E27">
        <f t="shared" si="4"/>
        <v>63</v>
      </c>
      <c r="F27">
        <f>IF(C27&gt;=$J$2,0,VLOOKUP($E27,'Mortality Table'!$A$3:$C$128,2+G$2,FALSE))</f>
        <v>4.4637000000000001E-3</v>
      </c>
      <c r="G27">
        <f>F27*Assumptions!$B$1</f>
        <v>1.20787722E-3</v>
      </c>
      <c r="H27">
        <f t="shared" si="5"/>
        <v>9.7052677089082859E-5</v>
      </c>
      <c r="I27">
        <f>HLOOKUP(C27,Assumptions!$A$6:$J$7,2,TRUE)</f>
        <v>4.5100000000000001E-2</v>
      </c>
      <c r="J27" s="22">
        <f t="shared" si="0"/>
        <v>0</v>
      </c>
      <c r="K27" s="22">
        <f t="shared" si="6"/>
        <v>1</v>
      </c>
      <c r="L27">
        <f t="shared" si="10"/>
        <v>4.3456848362133073E-2</v>
      </c>
      <c r="M27" s="22">
        <f t="shared" si="7"/>
        <v>0.9201096341685332</v>
      </c>
      <c r="N27">
        <f>M26*Assumptions!$B$11/$E$2*J27</f>
        <v>0</v>
      </c>
      <c r="O27">
        <f>M26*Assumptions!$B$13/$E$2*J27</f>
        <v>0</v>
      </c>
      <c r="P27">
        <f>H27*Assumptions!$B$15</f>
        <v>0.72789507816812149</v>
      </c>
      <c r="Q27">
        <f>O27*Assumptions!$B$17</f>
        <v>0</v>
      </c>
      <c r="R27">
        <f>HLOOKUP(B27,Assumptions!$A$26:$D$27,2,TRUE)</f>
        <v>0</v>
      </c>
      <c r="S27">
        <f t="shared" si="11"/>
        <v>0</v>
      </c>
      <c r="T27">
        <f t="shared" si="8"/>
        <v>0.91666666666666607</v>
      </c>
      <c r="U27">
        <f>IF(B27&gt;$K$2,0,IF(T28=0,0,(1-T28)*Assumptions!$B$11/$E$2*(1-Assumptions!$B$30)))</f>
        <v>0</v>
      </c>
      <c r="V27">
        <f>(N27-O27)*(1-Assumptions!$B$30)-Q27+U26*M26</f>
        <v>9.6366353520776205</v>
      </c>
      <c r="W27">
        <f>W26*(1+Assumptions!$B$36)^(1/12)</f>
        <v>1.0133555063775093</v>
      </c>
      <c r="X27" s="19">
        <f>IF(B27&gt;$K$2,0,W26*Assumptions!$B$32/12*M26+V27*Assumptions!$B$34/12)</f>
        <v>12.500951214487145</v>
      </c>
      <c r="Y27" s="20">
        <f>1/(1+HLOOKUP(YEAR(A27),Assumptions!$A$41:$AL$43,3,TRUE))^(1/12)</f>
        <v>0.99860097247287194</v>
      </c>
      <c r="Z27">
        <f t="shared" si="9"/>
        <v>49.051526025014347</v>
      </c>
      <c r="AA27">
        <f t="shared" si="12"/>
        <v>0.72789507816812149</v>
      </c>
    </row>
    <row r="28" spans="1:27" x14ac:dyDescent="0.2">
      <c r="A28" s="2">
        <f t="shared" si="13"/>
        <v>43616</v>
      </c>
      <c r="B28">
        <f t="shared" si="1"/>
        <v>109</v>
      </c>
      <c r="C28">
        <f t="shared" si="2"/>
        <v>9</v>
      </c>
      <c r="D28">
        <f t="shared" si="3"/>
        <v>1</v>
      </c>
      <c r="E28">
        <f t="shared" si="4"/>
        <v>64</v>
      </c>
      <c r="F28">
        <f>IF(C28&gt;=$J$2,0,VLOOKUP($E28,'Mortality Table'!$A$3:$C$128,2+G$2,FALSE))</f>
        <v>4.7300000000000007E-3</v>
      </c>
      <c r="G28">
        <f>F28*Assumptions!$B$1</f>
        <v>1.2799380000000002E-3</v>
      </c>
      <c r="H28">
        <f t="shared" si="5"/>
        <v>9.8197893706796768E-5</v>
      </c>
      <c r="I28">
        <f>HLOOKUP(C28,Assumptions!$A$6:$J$7,2,TRUE)</f>
        <v>2.6499999999999999E-2</v>
      </c>
      <c r="J28" s="22">
        <f t="shared" si="0"/>
        <v>1</v>
      </c>
      <c r="K28" s="22">
        <f t="shared" si="6"/>
        <v>0</v>
      </c>
      <c r="L28">
        <f t="shared" si="10"/>
        <v>0</v>
      </c>
      <c r="M28" s="22">
        <f t="shared" si="7"/>
        <v>0.9200114362748264</v>
      </c>
      <c r="N28">
        <f>M27*Assumptions!$B$11/$E$2*J28</f>
        <v>138.01644512527997</v>
      </c>
      <c r="O28">
        <f>M27*Assumptions!$B$13/$E$2*J28</f>
        <v>55.206578050111993</v>
      </c>
      <c r="P28">
        <f>H28*Assumptions!$B$15</f>
        <v>0.73648420280097571</v>
      </c>
      <c r="Q28">
        <f>O28*Assumptions!$B$17</f>
        <v>35.420540476951849</v>
      </c>
      <c r="R28">
        <f>HLOOKUP(B28,Assumptions!$A$26:$D$27,2,TRUE)</f>
        <v>0</v>
      </c>
      <c r="S28">
        <f t="shared" si="11"/>
        <v>0</v>
      </c>
      <c r="T28">
        <f t="shared" si="8"/>
        <v>0</v>
      </c>
      <c r="U28">
        <f>IF(B28&gt;$K$2,0,IF(T29=0,0,(1-T29)*Assumptions!$B$11/$E$2*(1-Assumptions!$B$30)))</f>
        <v>109.99999999999994</v>
      </c>
      <c r="V28">
        <f>(N28-O28)*(1-Assumptions!$B$30)-Q28+U27*M27</f>
        <v>30.827353183182531</v>
      </c>
      <c r="W28">
        <f>W27*(1+Assumptions!$B$36)^(1/12)</f>
        <v>1.014196123393432</v>
      </c>
      <c r="X28" s="19">
        <f>IF(B28&gt;$K$2,0,W27*Assumptions!$B$32/12*M27+V28*Assumptions!$B$34/12)</f>
        <v>11.951081928566074</v>
      </c>
      <c r="Y28" s="20">
        <f>1/(1+HLOOKUP(YEAR(A28),Assumptions!$A$41:$AL$43,3,TRUE))^(1/12)</f>
        <v>0.99860097247287194</v>
      </c>
      <c r="Z28">
        <f t="shared" si="9"/>
        <v>139.02858511911114</v>
      </c>
      <c r="AA28">
        <f t="shared" si="12"/>
        <v>36.157024679752823</v>
      </c>
    </row>
    <row r="29" spans="1:27" x14ac:dyDescent="0.2">
      <c r="A29" s="2">
        <f t="shared" si="13"/>
        <v>43646</v>
      </c>
      <c r="B29">
        <f t="shared" si="1"/>
        <v>110</v>
      </c>
      <c r="C29">
        <f t="shared" si="2"/>
        <v>9.0833333333333339</v>
      </c>
      <c r="D29">
        <f t="shared" si="3"/>
        <v>0</v>
      </c>
      <c r="E29">
        <f t="shared" si="4"/>
        <v>64</v>
      </c>
      <c r="F29">
        <f>IF(C29&gt;=$J$2,0,VLOOKUP($E29,'Mortality Table'!$A$3:$C$128,2+G$2,FALSE))</f>
        <v>4.7300000000000007E-3</v>
      </c>
      <c r="G29">
        <f>F29*Assumptions!$B$1</f>
        <v>1.2799380000000002E-3</v>
      </c>
      <c r="H29">
        <f t="shared" si="5"/>
        <v>9.8187413622717267E-5</v>
      </c>
      <c r="I29">
        <f>HLOOKUP(C29,Assumptions!$A$6:$J$7,2,TRUE)</f>
        <v>2.6499999999999999E-2</v>
      </c>
      <c r="J29" s="22">
        <f t="shared" si="0"/>
        <v>0</v>
      </c>
      <c r="K29" s="22">
        <f t="shared" si="6"/>
        <v>0</v>
      </c>
      <c r="L29">
        <f t="shared" si="10"/>
        <v>0</v>
      </c>
      <c r="M29" s="22">
        <f t="shared" si="7"/>
        <v>0.91991324886120374</v>
      </c>
      <c r="N29">
        <f>M28*Assumptions!$B$11/$E$2*J29</f>
        <v>0</v>
      </c>
      <c r="O29">
        <f>M28*Assumptions!$B$13/$E$2*J29</f>
        <v>0</v>
      </c>
      <c r="P29">
        <f>H29*Assumptions!$B$15</f>
        <v>0.73640560217037954</v>
      </c>
      <c r="Q29">
        <f>O29*Assumptions!$B$17</f>
        <v>0</v>
      </c>
      <c r="R29">
        <f>HLOOKUP(B29,Assumptions!$A$26:$D$27,2,TRUE)</f>
        <v>0</v>
      </c>
      <c r="S29">
        <f t="shared" si="11"/>
        <v>0</v>
      </c>
      <c r="T29">
        <f t="shared" si="8"/>
        <v>8.3333333333333925E-2</v>
      </c>
      <c r="U29">
        <f>IF(B29&gt;$K$2,0,IF(T30=0,0,(1-T30)*Assumptions!$B$11/$E$2*(1-Assumptions!$B$30)))</f>
        <v>100.00000000000007</v>
      </c>
      <c r="V29">
        <f>(N29-O29)*(1-Assumptions!$B$30)-Q29+U28*M28</f>
        <v>101.20125799023086</v>
      </c>
      <c r="W29">
        <f>W28*(1+Assumptions!$B$36)^(1/12)</f>
        <v>1.015037437733209</v>
      </c>
      <c r="X29" s="19">
        <f>IF(B29&gt;$K$2,0,W28*Assumptions!$B$32/12*M28+V29*Assumptions!$B$34/12)</f>
        <v>11.976720922477725</v>
      </c>
      <c r="Y29" s="20">
        <f>1/(1+HLOOKUP(YEAR(A29),Assumptions!$A$41:$AL$43,3,TRUE))^(1/12)</f>
        <v>0.99860097247287194</v>
      </c>
      <c r="Z29">
        <f t="shared" si="9"/>
        <v>126.51023591092975</v>
      </c>
      <c r="AA29">
        <f t="shared" si="12"/>
        <v>0.73640560217037954</v>
      </c>
    </row>
    <row r="30" spans="1:27" x14ac:dyDescent="0.2">
      <c r="A30" s="2">
        <f t="shared" si="13"/>
        <v>43677</v>
      </c>
      <c r="B30">
        <f t="shared" si="1"/>
        <v>111</v>
      </c>
      <c r="C30">
        <f t="shared" si="2"/>
        <v>9.1666666666666661</v>
      </c>
      <c r="D30">
        <f t="shared" si="3"/>
        <v>0</v>
      </c>
      <c r="E30">
        <f t="shared" si="4"/>
        <v>64</v>
      </c>
      <c r="F30">
        <f>IF(C30&gt;=$J$2,0,VLOOKUP($E30,'Mortality Table'!$A$3:$C$128,2+G$2,FALSE))</f>
        <v>4.7300000000000007E-3</v>
      </c>
      <c r="G30">
        <f>F30*Assumptions!$B$1</f>
        <v>1.2799380000000002E-3</v>
      </c>
      <c r="H30">
        <f t="shared" si="5"/>
        <v>9.8176934657115541E-5</v>
      </c>
      <c r="I30">
        <f>HLOOKUP(C30,Assumptions!$A$6:$J$7,2,TRUE)</f>
        <v>2.6499999999999999E-2</v>
      </c>
      <c r="J30" s="22">
        <f t="shared" si="0"/>
        <v>0</v>
      </c>
      <c r="K30" s="22">
        <f t="shared" si="6"/>
        <v>0</v>
      </c>
      <c r="L30">
        <f t="shared" si="10"/>
        <v>0</v>
      </c>
      <c r="M30" s="22">
        <f t="shared" si="7"/>
        <v>0.91981507192654666</v>
      </c>
      <c r="N30">
        <f>M29*Assumptions!$B$11/$E$2*J30</f>
        <v>0</v>
      </c>
      <c r="O30">
        <f>M29*Assumptions!$B$13/$E$2*J30</f>
        <v>0</v>
      </c>
      <c r="P30">
        <f>H30*Assumptions!$B$15</f>
        <v>0.73632700992836653</v>
      </c>
      <c r="Q30">
        <f>O30*Assumptions!$B$17</f>
        <v>0</v>
      </c>
      <c r="R30">
        <f>HLOOKUP(B30,Assumptions!$A$26:$D$27,2,TRUE)</f>
        <v>0</v>
      </c>
      <c r="S30">
        <f t="shared" si="11"/>
        <v>0</v>
      </c>
      <c r="T30">
        <f t="shared" si="8"/>
        <v>0.16666666666666607</v>
      </c>
      <c r="U30">
        <f>IF(B30&gt;$K$2,0,IF(T31=0,0,(1-T31)*Assumptions!$B$11/$E$2*(1-Assumptions!$B$30)))</f>
        <v>90</v>
      </c>
      <c r="V30">
        <f>(N30-O30)*(1-Assumptions!$B$30)-Q30+U29*M29</f>
        <v>91.991324886120438</v>
      </c>
      <c r="W30">
        <f>W29*(1+Assumptions!$B$36)^(1/12)</f>
        <v>1.015879449975297</v>
      </c>
      <c r="X30" s="19">
        <f>IF(B30&gt;$K$2,0,W29*Assumptions!$B$32/12*M29+V30*Assumptions!$B$34/12)</f>
        <v>11.983133394103103</v>
      </c>
      <c r="Y30" s="20">
        <f>1/(1+HLOOKUP(YEAR(A30),Assumptions!$A$41:$AL$43,3,TRUE))^(1/12)</f>
        <v>0.99860097247287194</v>
      </c>
      <c r="Z30">
        <f t="shared" si="9"/>
        <v>113.96801477201193</v>
      </c>
      <c r="AA30">
        <f t="shared" si="12"/>
        <v>0.73632700992836653</v>
      </c>
    </row>
    <row r="31" spans="1:27" x14ac:dyDescent="0.2">
      <c r="A31" s="2">
        <f t="shared" si="13"/>
        <v>43708</v>
      </c>
      <c r="B31">
        <f t="shared" si="1"/>
        <v>112</v>
      </c>
      <c r="C31">
        <f t="shared" si="2"/>
        <v>9.25</v>
      </c>
      <c r="D31">
        <f t="shared" si="3"/>
        <v>0</v>
      </c>
      <c r="E31">
        <f t="shared" si="4"/>
        <v>64</v>
      </c>
      <c r="F31">
        <f>IF(C31&gt;=$J$2,0,VLOOKUP($E31,'Mortality Table'!$A$3:$C$128,2+G$2,FALSE))</f>
        <v>4.7300000000000007E-3</v>
      </c>
      <c r="G31">
        <f>F31*Assumptions!$B$1</f>
        <v>1.2799380000000002E-3</v>
      </c>
      <c r="H31">
        <f t="shared" si="5"/>
        <v>9.8166456809872232E-5</v>
      </c>
      <c r="I31">
        <f>HLOOKUP(C31,Assumptions!$A$6:$J$7,2,TRUE)</f>
        <v>2.6499999999999999E-2</v>
      </c>
      <c r="J31" s="22">
        <f t="shared" si="0"/>
        <v>0</v>
      </c>
      <c r="K31" s="22">
        <f t="shared" si="6"/>
        <v>0</v>
      </c>
      <c r="L31">
        <f t="shared" si="10"/>
        <v>0</v>
      </c>
      <c r="M31" s="22">
        <f t="shared" si="7"/>
        <v>0.91971690546973683</v>
      </c>
      <c r="N31">
        <f>M30*Assumptions!$B$11/$E$2*J31</f>
        <v>0</v>
      </c>
      <c r="O31">
        <f>M30*Assumptions!$B$13/$E$2*J31</f>
        <v>0</v>
      </c>
      <c r="P31">
        <f>H31*Assumptions!$B$15</f>
        <v>0.73624842607404173</v>
      </c>
      <c r="Q31">
        <f>O31*Assumptions!$B$17</f>
        <v>0</v>
      </c>
      <c r="R31">
        <f>HLOOKUP(B31,Assumptions!$A$26:$D$27,2,TRUE)</f>
        <v>0</v>
      </c>
      <c r="S31">
        <f t="shared" si="11"/>
        <v>0</v>
      </c>
      <c r="T31">
        <f t="shared" si="8"/>
        <v>0.25</v>
      </c>
      <c r="U31">
        <f>IF(B31&gt;$K$2,0,IF(T32=0,0,(1-T32)*Assumptions!$B$11/$E$2*(1-Assumptions!$B$30)))</f>
        <v>79.999999999999943</v>
      </c>
      <c r="V31">
        <f>(N31-O31)*(1-Assumptions!$B$30)-Q31+U30*M30</f>
        <v>82.783356473389205</v>
      </c>
      <c r="W31">
        <f>W30*(1+Assumptions!$B$36)^(1/12)</f>
        <v>1.0167221606986325</v>
      </c>
      <c r="X31" s="19">
        <f>IF(B31&gt;$K$2,0,W30*Assumptions!$B$32/12*M30+V31*Assumptions!$B$34/12)</f>
        <v>11.989552583579909</v>
      </c>
      <c r="Y31" s="20">
        <f>1/(1+HLOOKUP(YEAR(A31),Assumptions!$A$41:$AL$43,3,TRUE))^(1/12)</f>
        <v>0.99860097247287194</v>
      </c>
      <c r="Z31">
        <f t="shared" si="9"/>
        <v>101.40188153184086</v>
      </c>
      <c r="AA31">
        <f t="shared" si="12"/>
        <v>0.73624842607404173</v>
      </c>
    </row>
    <row r="32" spans="1:27" x14ac:dyDescent="0.2">
      <c r="A32" s="2">
        <f t="shared" si="13"/>
        <v>43738</v>
      </c>
      <c r="B32">
        <f t="shared" si="1"/>
        <v>113</v>
      </c>
      <c r="C32">
        <f t="shared" si="2"/>
        <v>9.3333333333333339</v>
      </c>
      <c r="D32">
        <f t="shared" si="3"/>
        <v>0</v>
      </c>
      <c r="E32">
        <f t="shared" si="4"/>
        <v>64</v>
      </c>
      <c r="F32">
        <f>IF(C32&gt;=$J$2,0,VLOOKUP($E32,'Mortality Table'!$A$3:$C$128,2+G$2,FALSE))</f>
        <v>4.7300000000000007E-3</v>
      </c>
      <c r="G32">
        <f>F32*Assumptions!$B$1</f>
        <v>1.2799380000000002E-3</v>
      </c>
      <c r="H32">
        <f t="shared" si="5"/>
        <v>9.8155980080867982E-5</v>
      </c>
      <c r="I32">
        <f>HLOOKUP(C32,Assumptions!$A$6:$J$7,2,TRUE)</f>
        <v>2.6499999999999999E-2</v>
      </c>
      <c r="J32" s="22">
        <f t="shared" si="0"/>
        <v>0</v>
      </c>
      <c r="K32" s="22">
        <f t="shared" si="6"/>
        <v>0</v>
      </c>
      <c r="L32">
        <f t="shared" si="10"/>
        <v>0</v>
      </c>
      <c r="M32" s="22">
        <f t="shared" si="7"/>
        <v>0.91961874948965594</v>
      </c>
      <c r="N32">
        <f>M31*Assumptions!$B$11/$E$2*J32</f>
        <v>0</v>
      </c>
      <c r="O32">
        <f>M31*Assumptions!$B$13/$E$2*J32</f>
        <v>0</v>
      </c>
      <c r="P32">
        <f>H32*Assumptions!$B$15</f>
        <v>0.73616985060650986</v>
      </c>
      <c r="Q32">
        <f>O32*Assumptions!$B$17</f>
        <v>0</v>
      </c>
      <c r="R32">
        <f>HLOOKUP(B32,Assumptions!$A$26:$D$27,2,TRUE)</f>
        <v>0</v>
      </c>
      <c r="S32">
        <f t="shared" si="11"/>
        <v>0</v>
      </c>
      <c r="T32">
        <f t="shared" si="8"/>
        <v>0.33333333333333393</v>
      </c>
      <c r="U32">
        <f>IF(B32&gt;$K$2,0,IF(T33=0,0,(1-T33)*Assumptions!$B$11/$E$2*(1-Assumptions!$B$30)))</f>
        <v>70.000000000000071</v>
      </c>
      <c r="V32">
        <f>(N32-O32)*(1-Assumptions!$B$30)-Q32+U31*M31</f>
        <v>73.577352437578895</v>
      </c>
      <c r="W32">
        <f>W31*(1+Assumptions!$B$36)^(1/12)</f>
        <v>1.0175655704826325</v>
      </c>
      <c r="X32" s="19">
        <f>IF(B32&gt;$K$2,0,W31*Assumptions!$B$32/12*M31+V32*Assumptions!$B$34/12)</f>
        <v>11.995978495344159</v>
      </c>
      <c r="Y32" s="20">
        <f>1/(1+HLOOKUP(YEAR(A32),Assumptions!$A$41:$AL$43,3,TRUE))^(1/12)</f>
        <v>0.99860097247287194</v>
      </c>
      <c r="Z32">
        <f t="shared" si="9"/>
        <v>88.811795959186227</v>
      </c>
      <c r="AA32">
        <f t="shared" si="12"/>
        <v>0.73616985060650986</v>
      </c>
    </row>
    <row r="33" spans="1:27" x14ac:dyDescent="0.2">
      <c r="A33" s="2">
        <f t="shared" si="13"/>
        <v>43769</v>
      </c>
      <c r="B33">
        <f t="shared" si="1"/>
        <v>114</v>
      </c>
      <c r="C33">
        <f t="shared" si="2"/>
        <v>9.4166666666666661</v>
      </c>
      <c r="D33">
        <f t="shared" si="3"/>
        <v>0</v>
      </c>
      <c r="E33">
        <f t="shared" si="4"/>
        <v>64</v>
      </c>
      <c r="F33">
        <f>IF(C33&gt;=$J$2,0,VLOOKUP($E33,'Mortality Table'!$A$3:$C$128,2+G$2,FALSE))</f>
        <v>4.7300000000000007E-3</v>
      </c>
      <c r="G33">
        <f>F33*Assumptions!$B$1</f>
        <v>1.2799380000000002E-3</v>
      </c>
      <c r="H33">
        <f t="shared" si="5"/>
        <v>9.8145504469983436E-5</v>
      </c>
      <c r="I33">
        <f>HLOOKUP(C33,Assumptions!$A$6:$J$7,2,TRUE)</f>
        <v>2.6499999999999999E-2</v>
      </c>
      <c r="J33" s="22">
        <f t="shared" si="0"/>
        <v>0</v>
      </c>
      <c r="K33" s="22">
        <f t="shared" si="6"/>
        <v>0</v>
      </c>
      <c r="L33">
        <f t="shared" si="10"/>
        <v>0</v>
      </c>
      <c r="M33" s="22">
        <f t="shared" si="7"/>
        <v>0.91952060398518598</v>
      </c>
      <c r="N33">
        <f>M32*Assumptions!$B$11/$E$2*J33</f>
        <v>0</v>
      </c>
      <c r="O33">
        <f>M32*Assumptions!$B$13/$E$2*J33</f>
        <v>0</v>
      </c>
      <c r="P33">
        <f>H33*Assumptions!$B$15</f>
        <v>0.73609128352487574</v>
      </c>
      <c r="Q33">
        <f>O33*Assumptions!$B$17</f>
        <v>0</v>
      </c>
      <c r="R33">
        <f>HLOOKUP(B33,Assumptions!$A$26:$D$27,2,TRUE)</f>
        <v>0</v>
      </c>
      <c r="S33">
        <f t="shared" si="11"/>
        <v>0</v>
      </c>
      <c r="T33">
        <f t="shared" si="8"/>
        <v>0.41666666666666607</v>
      </c>
      <c r="U33">
        <f>IF(B33&gt;$K$2,0,IF(T34=0,0,(1-T34)*Assumptions!$B$11/$E$2*(1-Assumptions!$B$30)))</f>
        <v>60</v>
      </c>
      <c r="V33">
        <f>(N33-O33)*(1-Assumptions!$B$30)-Q33+U32*M32</f>
        <v>64.373312464275983</v>
      </c>
      <c r="W33">
        <f>W32*(1+Assumptions!$B$36)^(1/12)</f>
        <v>1.0184096799071942</v>
      </c>
      <c r="X33" s="19">
        <f>IF(B33&gt;$K$2,0,W32*Assumptions!$B$32/12*M32+V33*Assumptions!$B$34/12)</f>
        <v>12.002411133835148</v>
      </c>
      <c r="Y33" s="20">
        <f>1/(1+HLOOKUP(YEAR(A33),Assumptions!$A$41:$AL$43,3,TRUE))^(1/12)</f>
        <v>0.99860097247287194</v>
      </c>
      <c r="Z33">
        <f t="shared" si="9"/>
        <v>76.19771776201587</v>
      </c>
      <c r="AA33">
        <f t="shared" si="12"/>
        <v>0.73609128352487574</v>
      </c>
    </row>
    <row r="34" spans="1:27" x14ac:dyDescent="0.2">
      <c r="A34" s="2">
        <f t="shared" si="13"/>
        <v>43799</v>
      </c>
      <c r="B34">
        <f t="shared" si="1"/>
        <v>115</v>
      </c>
      <c r="C34">
        <f t="shared" si="2"/>
        <v>9.5</v>
      </c>
      <c r="D34">
        <f t="shared" si="3"/>
        <v>0</v>
      </c>
      <c r="E34">
        <f t="shared" si="4"/>
        <v>64</v>
      </c>
      <c r="F34">
        <f>IF(C34&gt;=$J$2,0,VLOOKUP($E34,'Mortality Table'!$A$3:$C$128,2+G$2,FALSE))</f>
        <v>4.7300000000000007E-3</v>
      </c>
      <c r="G34">
        <f>F34*Assumptions!$B$1</f>
        <v>1.2799380000000002E-3</v>
      </c>
      <c r="H34">
        <f t="shared" si="5"/>
        <v>9.8135029977099289E-5</v>
      </c>
      <c r="I34">
        <f>HLOOKUP(C34,Assumptions!$A$6:$J$7,2,TRUE)</f>
        <v>2.6499999999999999E-2</v>
      </c>
      <c r="J34" s="22">
        <f t="shared" si="0"/>
        <v>0</v>
      </c>
      <c r="K34" s="22">
        <f t="shared" si="6"/>
        <v>0</v>
      </c>
      <c r="L34">
        <f t="shared" si="10"/>
        <v>0</v>
      </c>
      <c r="M34" s="22">
        <f t="shared" si="7"/>
        <v>0.91942246895520885</v>
      </c>
      <c r="N34">
        <f>M33*Assumptions!$B$11/$E$2*J34</f>
        <v>0</v>
      </c>
      <c r="O34">
        <f>M33*Assumptions!$B$13/$E$2*J34</f>
        <v>0</v>
      </c>
      <c r="P34">
        <f>H34*Assumptions!$B$15</f>
        <v>0.73601272482824465</v>
      </c>
      <c r="Q34">
        <f>O34*Assumptions!$B$17</f>
        <v>0</v>
      </c>
      <c r="R34">
        <f>HLOOKUP(B34,Assumptions!$A$26:$D$27,2,TRUE)</f>
        <v>0</v>
      </c>
      <c r="S34">
        <f t="shared" si="11"/>
        <v>0</v>
      </c>
      <c r="T34">
        <f t="shared" si="8"/>
        <v>0.5</v>
      </c>
      <c r="U34">
        <f>IF(B34&gt;$K$2,0,IF(T35=0,0,(1-T35)*Assumptions!$B$11/$E$2*(1-Assumptions!$B$30)))</f>
        <v>49.999999999999936</v>
      </c>
      <c r="V34">
        <f>(N34-O34)*(1-Assumptions!$B$30)-Q34+U33*M33</f>
        <v>55.17123623911116</v>
      </c>
      <c r="W34">
        <f>W33*(1+Assumptions!$B$36)^(1/12)</f>
        <v>1.0192544895526963</v>
      </c>
      <c r="X34" s="19">
        <f>IF(B34&gt;$K$2,0,W33*Assumptions!$B$32/12*M33+V34*Assumptions!$B$34/12)</f>
        <v>12.008850503495433</v>
      </c>
      <c r="Y34" s="20">
        <f>1/(1+HLOOKUP(YEAR(A34),Assumptions!$A$41:$AL$43,3,TRUE))^(1/12)</f>
        <v>0.99860097247287194</v>
      </c>
      <c r="Z34">
        <f t="shared" si="9"/>
        <v>63.559606587407309</v>
      </c>
      <c r="AA34">
        <f t="shared" si="12"/>
        <v>0.73601272482824465</v>
      </c>
    </row>
    <row r="35" spans="1:27" x14ac:dyDescent="0.2">
      <c r="A35" s="2">
        <f t="shared" si="13"/>
        <v>43830</v>
      </c>
      <c r="B35">
        <f t="shared" si="1"/>
        <v>116</v>
      </c>
      <c r="C35">
        <f t="shared" si="2"/>
        <v>9.5833333333333339</v>
      </c>
      <c r="D35">
        <f t="shared" si="3"/>
        <v>0</v>
      </c>
      <c r="E35">
        <f t="shared" si="4"/>
        <v>64</v>
      </c>
      <c r="F35">
        <f>IF(C35&gt;=$J$2,0,VLOOKUP($E35,'Mortality Table'!$A$3:$C$128,2+G$2,FALSE))</f>
        <v>4.7300000000000007E-3</v>
      </c>
      <c r="G35">
        <f>F35*Assumptions!$B$1</f>
        <v>1.2799380000000002E-3</v>
      </c>
      <c r="H35">
        <f t="shared" si="5"/>
        <v>9.8124556602096185E-5</v>
      </c>
      <c r="I35">
        <f>HLOOKUP(C35,Assumptions!$A$6:$J$7,2,TRUE)</f>
        <v>2.6499999999999999E-2</v>
      </c>
      <c r="J35" s="22">
        <f t="shared" si="0"/>
        <v>0</v>
      </c>
      <c r="K35" s="22">
        <f t="shared" si="6"/>
        <v>0</v>
      </c>
      <c r="L35">
        <f t="shared" si="10"/>
        <v>0</v>
      </c>
      <c r="M35" s="22">
        <f t="shared" si="7"/>
        <v>0.91932434439860677</v>
      </c>
      <c r="N35">
        <f>M34*Assumptions!$B$11/$E$2*J35</f>
        <v>0</v>
      </c>
      <c r="O35">
        <f>M34*Assumptions!$B$13/$E$2*J35</f>
        <v>0</v>
      </c>
      <c r="P35">
        <f>H35*Assumptions!$B$15</f>
        <v>0.73593417451572141</v>
      </c>
      <c r="Q35">
        <f>O35*Assumptions!$B$17</f>
        <v>0</v>
      </c>
      <c r="R35">
        <f>HLOOKUP(B35,Assumptions!$A$26:$D$27,2,TRUE)</f>
        <v>0</v>
      </c>
      <c r="S35">
        <f t="shared" si="11"/>
        <v>0</v>
      </c>
      <c r="T35">
        <f t="shared" si="8"/>
        <v>0.58333333333333393</v>
      </c>
      <c r="U35">
        <f>IF(B35&gt;$K$2,0,IF(T36=0,0,(1-T36)*Assumptions!$B$11/$E$2*(1-Assumptions!$B$30)))</f>
        <v>40.000000000000071</v>
      </c>
      <c r="V35">
        <f>(N35-O35)*(1-Assumptions!$B$30)-Q35+U34*M34</f>
        <v>45.971123447760384</v>
      </c>
      <c r="W35">
        <f>W34*(1+Assumptions!$B$36)^(1/12)</f>
        <v>1.0200999999999987</v>
      </c>
      <c r="X35" s="19">
        <f>IF(B35&gt;$K$2,0,W34*Assumptions!$B$32/12*M34+V35*Assumptions!$B$34/12)</f>
        <v>12.015296608770857</v>
      </c>
      <c r="Y35" s="20">
        <f>1/(1+HLOOKUP(YEAR(A35),Assumptions!$A$41:$AL$43,3,TRUE))^(1/12)</f>
        <v>0.99860097247287194</v>
      </c>
      <c r="Z35">
        <f t="shared" si="9"/>
        <v>50.897422021459192</v>
      </c>
      <c r="AA35">
        <f t="shared" si="12"/>
        <v>0.73593417451572141</v>
      </c>
    </row>
    <row r="36" spans="1:27" x14ac:dyDescent="0.2">
      <c r="A36" s="2">
        <f t="shared" si="13"/>
        <v>43861</v>
      </c>
      <c r="B36">
        <f t="shared" si="1"/>
        <v>117</v>
      </c>
      <c r="C36">
        <f t="shared" si="2"/>
        <v>9.6666666666666661</v>
      </c>
      <c r="D36">
        <f t="shared" si="3"/>
        <v>0</v>
      </c>
      <c r="E36">
        <f t="shared" si="4"/>
        <v>64</v>
      </c>
      <c r="F36">
        <f>IF(C36&gt;=$J$2,0,VLOOKUP($E36,'Mortality Table'!$A$3:$C$128,2+G$2,FALSE))</f>
        <v>4.7300000000000007E-3</v>
      </c>
      <c r="G36">
        <f>F36*Assumptions!$B$1</f>
        <v>1.2799380000000002E-3</v>
      </c>
      <c r="H36">
        <f t="shared" si="5"/>
        <v>9.8114084344854861E-5</v>
      </c>
      <c r="I36">
        <f>HLOOKUP(C36,Assumptions!$A$6:$J$7,2,TRUE)</f>
        <v>2.6499999999999999E-2</v>
      </c>
      <c r="J36" s="22">
        <f t="shared" si="0"/>
        <v>0</v>
      </c>
      <c r="K36" s="22">
        <f t="shared" si="6"/>
        <v>0</v>
      </c>
      <c r="L36">
        <f t="shared" si="10"/>
        <v>0</v>
      </c>
      <c r="M36" s="22">
        <f t="shared" si="7"/>
        <v>0.91922623031426187</v>
      </c>
      <c r="N36">
        <f>M35*Assumptions!$B$11/$E$2*J36</f>
        <v>0</v>
      </c>
      <c r="O36">
        <f>M35*Assumptions!$B$13/$E$2*J36</f>
        <v>0</v>
      </c>
      <c r="P36">
        <f>H36*Assumptions!$B$15</f>
        <v>0.7358556325864114</v>
      </c>
      <c r="Q36">
        <f>O36*Assumptions!$B$17</f>
        <v>0</v>
      </c>
      <c r="R36">
        <f>HLOOKUP(B36,Assumptions!$A$26:$D$27,2,TRUE)</f>
        <v>0</v>
      </c>
      <c r="S36">
        <f t="shared" si="11"/>
        <v>0</v>
      </c>
      <c r="T36">
        <f t="shared" si="8"/>
        <v>0.66666666666666607</v>
      </c>
      <c r="U36">
        <f>IF(B36&gt;$K$2,0,IF(T37=0,0,(1-T37)*Assumptions!$B$11/$E$2*(1-Assumptions!$B$30)))</f>
        <v>30</v>
      </c>
      <c r="V36">
        <f>(N36-O36)*(1-Assumptions!$B$30)-Q36+U35*M35</f>
        <v>36.772973775944337</v>
      </c>
      <c r="W36">
        <f>W35*(1+Assumptions!$B$36)^(1/12)</f>
        <v>1.0209462118304431</v>
      </c>
      <c r="X36" s="19">
        <f>IF(B36&gt;$K$2,0,W35*Assumptions!$B$32/12*M35+V36*Assumptions!$B$34/12)</f>
        <v>12.021749454110539</v>
      </c>
      <c r="Y36" s="20">
        <f>1/(1+HLOOKUP(YEAR(A36),Assumptions!$A$41:$AL$43,3,TRUE))^(1/12)</f>
        <v>0.99865671918296972</v>
      </c>
      <c r="Z36">
        <f t="shared" si="9"/>
        <v>38.208278428411084</v>
      </c>
      <c r="AA36">
        <f t="shared" si="12"/>
        <v>0.7358556325864114</v>
      </c>
    </row>
    <row r="37" spans="1:27" x14ac:dyDescent="0.2">
      <c r="A37" s="2">
        <f t="shared" si="13"/>
        <v>43890</v>
      </c>
      <c r="B37">
        <f t="shared" si="1"/>
        <v>118</v>
      </c>
      <c r="C37">
        <f t="shared" si="2"/>
        <v>9.75</v>
      </c>
      <c r="D37">
        <f t="shared" si="3"/>
        <v>0</v>
      </c>
      <c r="E37">
        <f t="shared" si="4"/>
        <v>64</v>
      </c>
      <c r="F37">
        <f>IF(C37&gt;=$J$2,0,VLOOKUP($E37,'Mortality Table'!$A$3:$C$128,2+G$2,FALSE))</f>
        <v>4.7300000000000007E-3</v>
      </c>
      <c r="G37">
        <f>F37*Assumptions!$B$1</f>
        <v>1.2799380000000002E-3</v>
      </c>
      <c r="H37">
        <f t="shared" si="5"/>
        <v>9.8103613205255988E-5</v>
      </c>
      <c r="I37">
        <f>HLOOKUP(C37,Assumptions!$A$6:$J$7,2,TRUE)</f>
        <v>2.6499999999999999E-2</v>
      </c>
      <c r="J37" s="22">
        <f t="shared" si="0"/>
        <v>0</v>
      </c>
      <c r="K37" s="22">
        <f t="shared" si="6"/>
        <v>0</v>
      </c>
      <c r="L37">
        <f t="shared" si="10"/>
        <v>0</v>
      </c>
      <c r="M37" s="22">
        <f t="shared" si="7"/>
        <v>0.91912812670105659</v>
      </c>
      <c r="N37">
        <f>M36*Assumptions!$B$11/$E$2*J37</f>
        <v>0</v>
      </c>
      <c r="O37">
        <f>M36*Assumptions!$B$13/$E$2*J37</f>
        <v>0</v>
      </c>
      <c r="P37">
        <f>H37*Assumptions!$B$15</f>
        <v>0.7357770990394199</v>
      </c>
      <c r="Q37">
        <f>O37*Assumptions!$B$17</f>
        <v>0</v>
      </c>
      <c r="R37">
        <f>HLOOKUP(B37,Assumptions!$A$26:$D$27,2,TRUE)</f>
        <v>0</v>
      </c>
      <c r="S37">
        <f t="shared" si="11"/>
        <v>0</v>
      </c>
      <c r="T37">
        <f t="shared" si="8"/>
        <v>0.75</v>
      </c>
      <c r="U37">
        <f>IF(B37&gt;$K$2,0,IF(T38=0,0,(1-T38)*Assumptions!$B$11/$E$2*(1-Assumptions!$B$30)))</f>
        <v>19.999999999999929</v>
      </c>
      <c r="V37">
        <f>(N37-O37)*(1-Assumptions!$B$30)-Q37+U36*M36</f>
        <v>27.576786909427856</v>
      </c>
      <c r="W37">
        <f>W36*(1+Assumptions!$B$36)^(1/12)</f>
        <v>1.0217931256258537</v>
      </c>
      <c r="X37" s="19">
        <f>IF(B37&gt;$K$2,0,W36*Assumptions!$B$32/12*M36+V37*Assumptions!$B$34/12)</f>
        <v>12.028209043966875</v>
      </c>
      <c r="Y37" s="20">
        <f>1/(1+HLOOKUP(YEAR(A37),Assumptions!$A$41:$AL$43,3,TRUE))^(1/12)</f>
        <v>0.99865671918296972</v>
      </c>
      <c r="Z37">
        <f t="shared" si="9"/>
        <v>25.495685768749723</v>
      </c>
      <c r="AA37">
        <f t="shared" si="12"/>
        <v>0.7357770990394199</v>
      </c>
    </row>
    <row r="38" spans="1:27" x14ac:dyDescent="0.2">
      <c r="A38" s="2">
        <f t="shared" si="13"/>
        <v>43921</v>
      </c>
      <c r="B38">
        <f t="shared" si="1"/>
        <v>119</v>
      </c>
      <c r="C38">
        <f t="shared" si="2"/>
        <v>9.8333333333333339</v>
      </c>
      <c r="D38">
        <f t="shared" si="3"/>
        <v>0</v>
      </c>
      <c r="E38">
        <f t="shared" si="4"/>
        <v>64</v>
      </c>
      <c r="F38">
        <f>IF(C38&gt;=$J$2,0,VLOOKUP($E38,'Mortality Table'!$A$3:$C$128,2+G$2,FALSE))</f>
        <v>4.7300000000000007E-3</v>
      </c>
      <c r="G38">
        <f>F38*Assumptions!$B$1</f>
        <v>1.2799380000000002E-3</v>
      </c>
      <c r="H38">
        <f t="shared" si="5"/>
        <v>9.8093143183180316E-5</v>
      </c>
      <c r="I38">
        <f>HLOOKUP(C38,Assumptions!$A$6:$J$7,2,TRUE)</f>
        <v>2.6499999999999999E-2</v>
      </c>
      <c r="J38" s="22">
        <f t="shared" si="0"/>
        <v>0</v>
      </c>
      <c r="K38" s="22">
        <f t="shared" si="6"/>
        <v>0</v>
      </c>
      <c r="L38">
        <f t="shared" si="10"/>
        <v>0</v>
      </c>
      <c r="M38" s="22">
        <f t="shared" si="7"/>
        <v>0.91903003355787338</v>
      </c>
      <c r="N38">
        <f>M37*Assumptions!$B$11/$E$2*J38</f>
        <v>0</v>
      </c>
      <c r="O38">
        <f>M37*Assumptions!$B$13/$E$2*J38</f>
        <v>0</v>
      </c>
      <c r="P38">
        <f>H38*Assumptions!$B$15</f>
        <v>0.7356985738738524</v>
      </c>
      <c r="Q38">
        <f>O38*Assumptions!$B$17</f>
        <v>0</v>
      </c>
      <c r="R38">
        <f>HLOOKUP(B38,Assumptions!$A$26:$D$27,2,TRUE)</f>
        <v>0</v>
      </c>
      <c r="S38">
        <f t="shared" si="11"/>
        <v>0</v>
      </c>
      <c r="T38">
        <f t="shared" si="8"/>
        <v>0.83333333333333393</v>
      </c>
      <c r="U38">
        <f>IF(B38&gt;$K$2,0,IF(T39=0,0,(1-T39)*Assumptions!$B$11/$E$2*(1-Assumptions!$B$30)))</f>
        <v>10.000000000000071</v>
      </c>
      <c r="V38">
        <f>(N38-O38)*(1-Assumptions!$B$30)-Q38+U37*M37</f>
        <v>18.382562534021066</v>
      </c>
      <c r="W38">
        <f>W37*(1+Assumptions!$B$36)^(1/12)</f>
        <v>1.0226407419685373</v>
      </c>
      <c r="X38" s="19">
        <f>IF(B38&gt;$K$2,0,W37*Assumptions!$B$32/12*M37+V38*Assumptions!$B$34/12)</f>
        <v>12.034675382795553</v>
      </c>
      <c r="Y38" s="20">
        <f>1/(1+HLOOKUP(YEAR(A38),Assumptions!$A$41:$AL$43,3,TRUE))^(1/12)</f>
        <v>0.99865671918296972</v>
      </c>
      <c r="Z38">
        <f t="shared" si="9"/>
        <v>12.759605744071497</v>
      </c>
      <c r="AA38">
        <f t="shared" si="12"/>
        <v>0.7356985738738524</v>
      </c>
    </row>
    <row r="39" spans="1:27" x14ac:dyDescent="0.2">
      <c r="A39" s="2">
        <f t="shared" si="13"/>
        <v>43951</v>
      </c>
      <c r="B39">
        <f t="shared" si="1"/>
        <v>120</v>
      </c>
      <c r="C39">
        <f t="shared" si="2"/>
        <v>9.9166666666666661</v>
      </c>
      <c r="D39">
        <f t="shared" si="3"/>
        <v>0</v>
      </c>
      <c r="E39">
        <f t="shared" si="4"/>
        <v>64</v>
      </c>
      <c r="F39">
        <f>IF(C39&gt;=$J$2,0,VLOOKUP($E39,'Mortality Table'!$A$3:$C$128,2+G$2,FALSE))</f>
        <v>4.7300000000000007E-3</v>
      </c>
      <c r="G39">
        <f>F39*Assumptions!$B$1</f>
        <v>1.2799380000000002E-3</v>
      </c>
      <c r="H39">
        <f t="shared" si="5"/>
        <v>9.8082674278508571E-5</v>
      </c>
      <c r="I39">
        <f>HLOOKUP(C39,Assumptions!$A$6:$J$7,2,TRUE)</f>
        <v>2.6499999999999999E-2</v>
      </c>
      <c r="J39" s="22">
        <f t="shared" si="0"/>
        <v>0</v>
      </c>
      <c r="K39" s="22">
        <f t="shared" si="6"/>
        <v>0</v>
      </c>
      <c r="L39">
        <f t="shared" si="10"/>
        <v>0</v>
      </c>
      <c r="M39" s="22">
        <f t="shared" si="7"/>
        <v>0.91893195088359492</v>
      </c>
      <c r="N39">
        <f>M38*Assumptions!$B$11/$E$2*J39</f>
        <v>0</v>
      </c>
      <c r="O39">
        <f>M38*Assumptions!$B$13/$E$2*J39</f>
        <v>0</v>
      </c>
      <c r="P39">
        <f>H39*Assumptions!$B$15</f>
        <v>0.73562005708881428</v>
      </c>
      <c r="Q39">
        <f>O39*Assumptions!$B$17</f>
        <v>0</v>
      </c>
      <c r="R39">
        <f>HLOOKUP(B39,Assumptions!$A$26:$D$27,2,TRUE)</f>
        <v>0</v>
      </c>
      <c r="S39">
        <f t="shared" si="11"/>
        <v>0</v>
      </c>
      <c r="T39">
        <f t="shared" si="8"/>
        <v>0.91666666666666607</v>
      </c>
      <c r="U39">
        <f>IF(B39&gt;$K$2,0,IF(T40=0,0,(1-T40)*Assumptions!$B$11/$E$2*(1-Assumptions!$B$30)))</f>
        <v>0</v>
      </c>
      <c r="V39">
        <f>(N39-O39)*(1-Assumptions!$B$30)-Q39+U38*M38</f>
        <v>9.1903003355787991</v>
      </c>
      <c r="W39">
        <f>W38*(1+Assumptions!$B$36)^(1/12)</f>
        <v>1.0234890614412835</v>
      </c>
      <c r="X39" s="19">
        <f>IF(B39&gt;$K$2,0,W38*Assumptions!$B$32/12*M38+V39*Assumptions!$B$34/12)</f>
        <v>12.041148475055548</v>
      </c>
      <c r="Y39" s="20">
        <f>1/(1+HLOOKUP(YEAR(A39),Assumptions!$A$41:$AL$43,3,TRUE))^(1/12)</f>
        <v>0.99865671918296972</v>
      </c>
      <c r="Z39">
        <f t="shared" si="9"/>
        <v>0</v>
      </c>
      <c r="AA39">
        <f t="shared" si="12"/>
        <v>0.73562005708881428</v>
      </c>
    </row>
    <row r="40" spans="1:27" x14ac:dyDescent="0.2">
      <c r="A40" s="2">
        <f t="shared" si="13"/>
        <v>43982</v>
      </c>
      <c r="B40">
        <f t="shared" si="1"/>
        <v>121</v>
      </c>
      <c r="C40">
        <f t="shared" si="2"/>
        <v>10</v>
      </c>
      <c r="D40">
        <f t="shared" si="3"/>
        <v>1</v>
      </c>
      <c r="E40">
        <f t="shared" si="4"/>
        <v>65</v>
      </c>
      <c r="F40">
        <f>IF(C40&gt;=$J$2,0,VLOOKUP($E40,'Mortality Table'!$A$3:$C$128,2+G$2,FALSE))</f>
        <v>0</v>
      </c>
      <c r="G40">
        <f>F40*Assumptions!$B$1</f>
        <v>0</v>
      </c>
      <c r="H40">
        <f t="shared" si="5"/>
        <v>0</v>
      </c>
      <c r="I40">
        <f>HLOOKUP(C40,Assumptions!$A$6:$J$7,2,TRUE)</f>
        <v>2.6499999999999999E-2</v>
      </c>
      <c r="J40" s="22">
        <f t="shared" si="0"/>
        <v>0</v>
      </c>
      <c r="K40" s="22">
        <f t="shared" si="6"/>
        <v>0</v>
      </c>
      <c r="L40">
        <f t="shared" si="10"/>
        <v>0</v>
      </c>
      <c r="M40" s="22">
        <f t="shared" si="7"/>
        <v>0</v>
      </c>
      <c r="N40">
        <f>M39*Assumptions!$B$11/$E$2*J40</f>
        <v>0</v>
      </c>
      <c r="O40">
        <f>M39*Assumptions!$B$13/$E$2*J40</f>
        <v>0</v>
      </c>
      <c r="P40">
        <f>H40*Assumptions!$B$15</f>
        <v>0</v>
      </c>
      <c r="Q40">
        <f>O40*Assumptions!$B$17</f>
        <v>0</v>
      </c>
      <c r="R40">
        <f>HLOOKUP(B40,Assumptions!$A$26:$D$27,2,TRUE)</f>
        <v>0</v>
      </c>
      <c r="S40">
        <f t="shared" si="11"/>
        <v>0</v>
      </c>
      <c r="T40">
        <f t="shared" si="8"/>
        <v>0</v>
      </c>
      <c r="U40">
        <f>IF(B40&gt;$K$2,0,IF(T41=0,0,(1-T41)*Assumptions!$B$11/$E$2*(1-Assumptions!$B$30)))</f>
        <v>0</v>
      </c>
      <c r="V40">
        <f>(N40-O40)*(1-Assumptions!$B$30)-Q40+U39*M39</f>
        <v>0</v>
      </c>
      <c r="W40">
        <f>W39*(1+Assumptions!$B$36)^(1/12)</f>
        <v>1.0243380846273653</v>
      </c>
      <c r="X40" s="19">
        <f>IF(B40&gt;$K$2,0,W39*Assumptions!$B$32/12*M39+V40*Assumptions!$B$34/12)</f>
        <v>0</v>
      </c>
      <c r="Y40" s="20">
        <f>1/(1+HLOOKUP(YEAR(A40),Assumptions!$A$41:$AL$43,3,TRUE))^(1/12)</f>
        <v>0.99865671918296972</v>
      </c>
      <c r="Z40">
        <f t="shared" si="9"/>
        <v>0</v>
      </c>
      <c r="AA40">
        <f t="shared" si="12"/>
        <v>0</v>
      </c>
    </row>
    <row r="41" spans="1:27" x14ac:dyDescent="0.2">
      <c r="A41" s="2">
        <f t="shared" si="13"/>
        <v>44012</v>
      </c>
      <c r="B41">
        <f t="shared" si="1"/>
        <v>122</v>
      </c>
      <c r="C41">
        <f t="shared" si="2"/>
        <v>10.083333333333334</v>
      </c>
      <c r="D41">
        <f t="shared" si="3"/>
        <v>0</v>
      </c>
      <c r="E41">
        <f t="shared" si="4"/>
        <v>65</v>
      </c>
      <c r="F41">
        <f>IF(C41&gt;=$J$2,0,VLOOKUP($E41,'Mortality Table'!$A$3:$C$128,2+G$2,FALSE))</f>
        <v>0</v>
      </c>
      <c r="G41">
        <f>F41*Assumptions!$B$1</f>
        <v>0</v>
      </c>
      <c r="H41">
        <f t="shared" si="5"/>
        <v>0</v>
      </c>
      <c r="I41">
        <f>HLOOKUP(C41,Assumptions!$A$6:$J$7,2,TRUE)</f>
        <v>2.6499999999999999E-2</v>
      </c>
      <c r="J41" s="22">
        <f t="shared" si="0"/>
        <v>0</v>
      </c>
      <c r="K41" s="22">
        <f t="shared" si="6"/>
        <v>0</v>
      </c>
      <c r="L41">
        <f t="shared" si="10"/>
        <v>0</v>
      </c>
      <c r="M41" s="22">
        <f t="shared" si="7"/>
        <v>0</v>
      </c>
      <c r="N41">
        <f>M40*Assumptions!$B$11/$E$2*J41</f>
        <v>0</v>
      </c>
      <c r="O41">
        <f>M40*Assumptions!$B$13/$E$2*J41</f>
        <v>0</v>
      </c>
      <c r="P41">
        <f>H41*Assumptions!$B$15</f>
        <v>0</v>
      </c>
      <c r="Q41">
        <f>O41*Assumptions!$B$17</f>
        <v>0</v>
      </c>
      <c r="R41">
        <f>HLOOKUP(B41,Assumptions!$A$26:$D$27,2,TRUE)</f>
        <v>0</v>
      </c>
      <c r="S41">
        <f t="shared" si="11"/>
        <v>0</v>
      </c>
      <c r="T41">
        <f t="shared" si="8"/>
        <v>8.3333333333333925E-2</v>
      </c>
      <c r="U41">
        <f>IF(B41&gt;$K$2,0,IF(T42=0,0,(1-T42)*Assumptions!$B$11/$E$2*(1-Assumptions!$B$30)))</f>
        <v>0</v>
      </c>
      <c r="V41">
        <f>(N41-O41)*(1-Assumptions!$B$30)-Q41+U40*M40</f>
        <v>0</v>
      </c>
      <c r="W41">
        <f>W40*(1+Assumptions!$B$36)^(1/12)</f>
        <v>1.02518781211054</v>
      </c>
      <c r="X41" s="19">
        <f>IF(B41&gt;$K$2,0,W40*Assumptions!$B$32/12*M40+V41*Assumptions!$B$34/12)</f>
        <v>0</v>
      </c>
      <c r="Y41" s="20">
        <f>1/(1+HLOOKUP(YEAR(A41),Assumptions!$A$41:$AL$43,3,TRUE))^(1/12)</f>
        <v>0.99865671918296972</v>
      </c>
      <c r="Z41">
        <f t="shared" si="9"/>
        <v>0</v>
      </c>
      <c r="AA41">
        <f t="shared" si="12"/>
        <v>0</v>
      </c>
    </row>
    <row r="42" spans="1:27" x14ac:dyDescent="0.2">
      <c r="A42" s="2">
        <f t="shared" si="13"/>
        <v>44043</v>
      </c>
      <c r="B42">
        <f t="shared" si="1"/>
        <v>123</v>
      </c>
      <c r="C42">
        <f t="shared" si="2"/>
        <v>10.166666666666666</v>
      </c>
      <c r="D42">
        <f t="shared" si="3"/>
        <v>0</v>
      </c>
      <c r="E42">
        <f t="shared" si="4"/>
        <v>65</v>
      </c>
      <c r="F42">
        <f>IF(C42&gt;=$J$2,0,VLOOKUP($E42,'Mortality Table'!$A$3:$C$128,2+G$2,FALSE))</f>
        <v>0</v>
      </c>
      <c r="G42">
        <f>F42*Assumptions!$B$1</f>
        <v>0</v>
      </c>
      <c r="H42">
        <f t="shared" si="5"/>
        <v>0</v>
      </c>
      <c r="I42">
        <f>HLOOKUP(C42,Assumptions!$A$6:$J$7,2,TRUE)</f>
        <v>2.6499999999999999E-2</v>
      </c>
      <c r="J42" s="22">
        <f t="shared" si="0"/>
        <v>0</v>
      </c>
      <c r="K42" s="22">
        <f t="shared" si="6"/>
        <v>0</v>
      </c>
      <c r="L42">
        <f t="shared" si="10"/>
        <v>0</v>
      </c>
      <c r="M42" s="22">
        <f t="shared" si="7"/>
        <v>0</v>
      </c>
      <c r="N42">
        <f>M41*Assumptions!$B$11/$E$2*J42</f>
        <v>0</v>
      </c>
      <c r="O42">
        <f>M41*Assumptions!$B$13/$E$2*J42</f>
        <v>0</v>
      </c>
      <c r="P42">
        <f>H42*Assumptions!$B$15</f>
        <v>0</v>
      </c>
      <c r="Q42">
        <f>O42*Assumptions!$B$17</f>
        <v>0</v>
      </c>
      <c r="R42">
        <f>HLOOKUP(B42,Assumptions!$A$26:$D$27,2,TRUE)</f>
        <v>0</v>
      </c>
      <c r="S42">
        <f t="shared" si="11"/>
        <v>0</v>
      </c>
      <c r="T42">
        <f t="shared" si="8"/>
        <v>0.16666666666666607</v>
      </c>
      <c r="U42">
        <f>IF(B42&gt;$K$2,0,IF(T43=0,0,(1-T43)*Assumptions!$B$11/$E$2*(1-Assumptions!$B$30)))</f>
        <v>0</v>
      </c>
      <c r="V42">
        <f>(N42-O42)*(1-Assumptions!$B$30)-Q42+U41*M41</f>
        <v>0</v>
      </c>
      <c r="W42">
        <f>W41*(1+Assumptions!$B$36)^(1/12)</f>
        <v>1.0260382444750489</v>
      </c>
      <c r="X42" s="19">
        <f>IF(B42&gt;$K$2,0,W41*Assumptions!$B$32/12*M41+V42*Assumptions!$B$34/12)</f>
        <v>0</v>
      </c>
      <c r="Y42" s="20">
        <f>1/(1+HLOOKUP(YEAR(A42),Assumptions!$A$41:$AL$43,3,TRUE))^(1/12)</f>
        <v>0.99865671918296972</v>
      </c>
      <c r="Z42">
        <f t="shared" si="9"/>
        <v>0</v>
      </c>
      <c r="AA42">
        <f t="shared" si="12"/>
        <v>0</v>
      </c>
    </row>
    <row r="43" spans="1:27" x14ac:dyDescent="0.2">
      <c r="A43" s="2">
        <f t="shared" si="13"/>
        <v>44074</v>
      </c>
      <c r="B43">
        <f t="shared" si="1"/>
        <v>124</v>
      </c>
      <c r="C43">
        <f t="shared" si="2"/>
        <v>10.25</v>
      </c>
      <c r="D43">
        <f t="shared" si="3"/>
        <v>0</v>
      </c>
      <c r="E43">
        <f t="shared" si="4"/>
        <v>65</v>
      </c>
      <c r="F43">
        <f>IF(C43&gt;=$J$2,0,VLOOKUP($E43,'Mortality Table'!$A$3:$C$128,2+G$2,FALSE))</f>
        <v>0</v>
      </c>
      <c r="G43">
        <f>F43*Assumptions!$B$1</f>
        <v>0</v>
      </c>
      <c r="H43">
        <f t="shared" si="5"/>
        <v>0</v>
      </c>
      <c r="I43">
        <f>HLOOKUP(C43,Assumptions!$A$6:$J$7,2,TRUE)</f>
        <v>2.6499999999999999E-2</v>
      </c>
      <c r="J43" s="22">
        <f t="shared" si="0"/>
        <v>0</v>
      </c>
      <c r="K43" s="22">
        <f t="shared" si="6"/>
        <v>0</v>
      </c>
      <c r="L43">
        <f t="shared" si="10"/>
        <v>0</v>
      </c>
      <c r="M43" s="22">
        <f t="shared" si="7"/>
        <v>0</v>
      </c>
      <c r="N43">
        <f>M42*Assumptions!$B$11/$E$2*J43</f>
        <v>0</v>
      </c>
      <c r="O43">
        <f>M42*Assumptions!$B$13/$E$2*J43</f>
        <v>0</v>
      </c>
      <c r="P43">
        <f>H43*Assumptions!$B$15</f>
        <v>0</v>
      </c>
      <c r="Q43">
        <f>O43*Assumptions!$B$17</f>
        <v>0</v>
      </c>
      <c r="R43">
        <f>HLOOKUP(B43,Assumptions!$A$26:$D$27,2,TRUE)</f>
        <v>0</v>
      </c>
      <c r="S43">
        <f t="shared" si="11"/>
        <v>0</v>
      </c>
      <c r="T43">
        <f t="shared" si="8"/>
        <v>0.25</v>
      </c>
      <c r="U43">
        <f>IF(B43&gt;$K$2,0,IF(T44=0,0,(1-T44)*Assumptions!$B$11/$E$2*(1-Assumptions!$B$30)))</f>
        <v>0</v>
      </c>
      <c r="V43">
        <f>(N43-O43)*(1-Assumptions!$B$30)-Q43+U42*M42</f>
        <v>0</v>
      </c>
      <c r="W43">
        <f>W42*(1+Assumptions!$B$36)^(1/12)</f>
        <v>1.0268893823056178</v>
      </c>
      <c r="X43" s="19">
        <f>IF(B43&gt;$K$2,0,W42*Assumptions!$B$32/12*M42+V43*Assumptions!$B$34/12)</f>
        <v>0</v>
      </c>
      <c r="Y43" s="20">
        <f>1/(1+HLOOKUP(YEAR(A43),Assumptions!$A$41:$AL$43,3,TRUE))^(1/12)</f>
        <v>0.99865671918296972</v>
      </c>
      <c r="Z43">
        <f t="shared" si="9"/>
        <v>0</v>
      </c>
      <c r="AA43">
        <f t="shared" si="12"/>
        <v>0</v>
      </c>
    </row>
    <row r="44" spans="1:27" x14ac:dyDescent="0.2">
      <c r="A44" s="2">
        <f t="shared" si="13"/>
        <v>44104</v>
      </c>
      <c r="B44">
        <f t="shared" si="1"/>
        <v>125</v>
      </c>
      <c r="C44">
        <f t="shared" si="2"/>
        <v>10.333333333333334</v>
      </c>
      <c r="D44">
        <f t="shared" si="3"/>
        <v>0</v>
      </c>
      <c r="E44">
        <f t="shared" si="4"/>
        <v>65</v>
      </c>
      <c r="F44">
        <f>IF(C44&gt;=$J$2,0,VLOOKUP($E44,'Mortality Table'!$A$3:$C$128,2+G$2,FALSE))</f>
        <v>0</v>
      </c>
      <c r="G44">
        <f>F44*Assumptions!$B$1</f>
        <v>0</v>
      </c>
      <c r="H44">
        <f t="shared" si="5"/>
        <v>0</v>
      </c>
      <c r="I44">
        <f>HLOOKUP(C44,Assumptions!$A$6:$J$7,2,TRUE)</f>
        <v>2.6499999999999999E-2</v>
      </c>
      <c r="J44" s="22">
        <f t="shared" si="0"/>
        <v>0</v>
      </c>
      <c r="K44" s="22">
        <f t="shared" si="6"/>
        <v>0</v>
      </c>
      <c r="L44">
        <f t="shared" si="10"/>
        <v>0</v>
      </c>
      <c r="M44" s="22">
        <f t="shared" si="7"/>
        <v>0</v>
      </c>
      <c r="N44">
        <f>M43*Assumptions!$B$11/$E$2*J44</f>
        <v>0</v>
      </c>
      <c r="O44">
        <f>M43*Assumptions!$B$13/$E$2*J44</f>
        <v>0</v>
      </c>
      <c r="P44">
        <f>H44*Assumptions!$B$15</f>
        <v>0</v>
      </c>
      <c r="Q44">
        <f>O44*Assumptions!$B$17</f>
        <v>0</v>
      </c>
      <c r="R44">
        <f>HLOOKUP(B44,Assumptions!$A$26:$D$27,2,TRUE)</f>
        <v>0</v>
      </c>
      <c r="S44">
        <f t="shared" si="11"/>
        <v>0</v>
      </c>
      <c r="T44">
        <f t="shared" si="8"/>
        <v>0.33333333333333393</v>
      </c>
      <c r="U44">
        <f>IF(B44&gt;$K$2,0,IF(T45=0,0,(1-T45)*Assumptions!$B$11/$E$2*(1-Assumptions!$B$30)))</f>
        <v>0</v>
      </c>
      <c r="V44">
        <f>(N44-O44)*(1-Assumptions!$B$30)-Q44+U43*M43</f>
        <v>0</v>
      </c>
      <c r="W44">
        <f>W43*(1+Assumptions!$B$36)^(1/12)</f>
        <v>1.0277412261874577</v>
      </c>
      <c r="X44" s="19">
        <f>IF(B44&gt;$K$2,0,W43*Assumptions!$B$32/12*M43+V44*Assumptions!$B$34/12)</f>
        <v>0</v>
      </c>
      <c r="Y44" s="20">
        <f>1/(1+HLOOKUP(YEAR(A44),Assumptions!$A$41:$AL$43,3,TRUE))^(1/12)</f>
        <v>0.99865671918296972</v>
      </c>
      <c r="Z44">
        <f t="shared" si="9"/>
        <v>0</v>
      </c>
      <c r="AA44">
        <f t="shared" si="12"/>
        <v>0</v>
      </c>
    </row>
    <row r="45" spans="1:27" x14ac:dyDescent="0.2">
      <c r="A45" s="2">
        <f t="shared" si="13"/>
        <v>44135</v>
      </c>
      <c r="B45">
        <f t="shared" si="1"/>
        <v>126</v>
      </c>
      <c r="C45">
        <f t="shared" si="2"/>
        <v>10.416666666666666</v>
      </c>
      <c r="D45">
        <f t="shared" si="3"/>
        <v>0</v>
      </c>
      <c r="E45">
        <f t="shared" si="4"/>
        <v>65</v>
      </c>
      <c r="F45">
        <f>IF(C45&gt;=$J$2,0,VLOOKUP($E45,'Mortality Table'!$A$3:$C$128,2+G$2,FALSE))</f>
        <v>0</v>
      </c>
      <c r="G45">
        <f>F45*Assumptions!$B$1</f>
        <v>0</v>
      </c>
      <c r="H45">
        <f t="shared" si="5"/>
        <v>0</v>
      </c>
      <c r="I45">
        <f>HLOOKUP(C45,Assumptions!$A$6:$J$7,2,TRUE)</f>
        <v>2.6499999999999999E-2</v>
      </c>
      <c r="J45" s="22">
        <f t="shared" si="0"/>
        <v>0</v>
      </c>
      <c r="K45" s="22">
        <f t="shared" si="6"/>
        <v>0</v>
      </c>
      <c r="L45">
        <f t="shared" si="10"/>
        <v>0</v>
      </c>
      <c r="M45" s="22">
        <f t="shared" si="7"/>
        <v>0</v>
      </c>
      <c r="N45">
        <f>M44*Assumptions!$B$11/$E$2*J45</f>
        <v>0</v>
      </c>
      <c r="O45">
        <f>M44*Assumptions!$B$13/$E$2*J45</f>
        <v>0</v>
      </c>
      <c r="P45">
        <f>H45*Assumptions!$B$15</f>
        <v>0</v>
      </c>
      <c r="Q45">
        <f>O45*Assumptions!$B$17</f>
        <v>0</v>
      </c>
      <c r="R45">
        <f>HLOOKUP(B45,Assumptions!$A$26:$D$27,2,TRUE)</f>
        <v>0</v>
      </c>
      <c r="S45">
        <f t="shared" si="11"/>
        <v>0</v>
      </c>
      <c r="T45">
        <f t="shared" si="8"/>
        <v>0.41666666666666607</v>
      </c>
      <c r="U45">
        <f>IF(B45&gt;$K$2,0,IF(T46=0,0,(1-T46)*Assumptions!$B$11/$E$2*(1-Assumptions!$B$30)))</f>
        <v>0</v>
      </c>
      <c r="V45">
        <f>(N45-O45)*(1-Assumptions!$B$30)-Q45+U44*M44</f>
        <v>0</v>
      </c>
      <c r="W45">
        <f>W44*(1+Assumptions!$B$36)^(1/12)</f>
        <v>1.028593776706265</v>
      </c>
      <c r="X45" s="19">
        <f>IF(B45&gt;$K$2,0,W44*Assumptions!$B$32/12*M44+V45*Assumptions!$B$34/12)</f>
        <v>0</v>
      </c>
      <c r="Y45" s="20">
        <f>1/(1+HLOOKUP(YEAR(A45),Assumptions!$A$41:$AL$43,3,TRUE))^(1/12)</f>
        <v>0.99865671918296972</v>
      </c>
      <c r="Z45">
        <f t="shared" si="9"/>
        <v>0</v>
      </c>
      <c r="AA45">
        <f t="shared" si="12"/>
        <v>0</v>
      </c>
    </row>
    <row r="46" spans="1:27" x14ac:dyDescent="0.2">
      <c r="A46" s="2">
        <f t="shared" si="13"/>
        <v>44165</v>
      </c>
      <c r="B46">
        <f t="shared" si="1"/>
        <v>127</v>
      </c>
      <c r="C46">
        <f t="shared" si="2"/>
        <v>10.5</v>
      </c>
      <c r="D46">
        <f t="shared" si="3"/>
        <v>0</v>
      </c>
      <c r="E46">
        <f t="shared" si="4"/>
        <v>65</v>
      </c>
      <c r="F46">
        <f>IF(C46&gt;=$J$2,0,VLOOKUP($E46,'Mortality Table'!$A$3:$C$128,2+G$2,FALSE))</f>
        <v>0</v>
      </c>
      <c r="G46">
        <f>F46*Assumptions!$B$1</f>
        <v>0</v>
      </c>
      <c r="H46">
        <f t="shared" si="5"/>
        <v>0</v>
      </c>
      <c r="I46">
        <f>HLOOKUP(C46,Assumptions!$A$6:$J$7,2,TRUE)</f>
        <v>2.6499999999999999E-2</v>
      </c>
      <c r="J46" s="22">
        <f t="shared" si="0"/>
        <v>0</v>
      </c>
      <c r="K46" s="22">
        <f t="shared" si="6"/>
        <v>0</v>
      </c>
      <c r="L46">
        <f t="shared" si="10"/>
        <v>0</v>
      </c>
      <c r="M46" s="22">
        <f t="shared" si="7"/>
        <v>0</v>
      </c>
      <c r="N46">
        <f>M45*Assumptions!$B$11/$E$2*J46</f>
        <v>0</v>
      </c>
      <c r="O46">
        <f>M45*Assumptions!$B$13/$E$2*J46</f>
        <v>0</v>
      </c>
      <c r="P46">
        <f>H46*Assumptions!$B$15</f>
        <v>0</v>
      </c>
      <c r="Q46">
        <f>O46*Assumptions!$B$17</f>
        <v>0</v>
      </c>
      <c r="R46">
        <f>HLOOKUP(B46,Assumptions!$A$26:$D$27,2,TRUE)</f>
        <v>0</v>
      </c>
      <c r="S46">
        <f t="shared" si="11"/>
        <v>0</v>
      </c>
      <c r="T46">
        <f t="shared" si="8"/>
        <v>0.5</v>
      </c>
      <c r="U46">
        <f>IF(B46&gt;$K$2,0,IF(T47=0,0,(1-T47)*Assumptions!$B$11/$E$2*(1-Assumptions!$B$30)))</f>
        <v>0</v>
      </c>
      <c r="V46">
        <f>(N46-O46)*(1-Assumptions!$B$30)-Q46+U45*M45</f>
        <v>0</v>
      </c>
      <c r="W46">
        <f>W45*(1+Assumptions!$B$36)^(1/12)</f>
        <v>1.0294470344482221</v>
      </c>
      <c r="X46" s="19">
        <f>IF(B46&gt;$K$2,0,W45*Assumptions!$B$32/12*M45+V46*Assumptions!$B$34/12)</f>
        <v>0</v>
      </c>
      <c r="Y46" s="20">
        <f>1/(1+HLOOKUP(YEAR(A46),Assumptions!$A$41:$AL$43,3,TRUE))^(1/12)</f>
        <v>0.99865671918296972</v>
      </c>
      <c r="Z46">
        <f t="shared" si="9"/>
        <v>0</v>
      </c>
      <c r="AA46">
        <f t="shared" si="12"/>
        <v>0</v>
      </c>
    </row>
    <row r="47" spans="1:27" x14ac:dyDescent="0.2">
      <c r="A47" s="2">
        <f t="shared" si="13"/>
        <v>44196</v>
      </c>
      <c r="B47">
        <f t="shared" si="1"/>
        <v>128</v>
      </c>
      <c r="C47">
        <f t="shared" si="2"/>
        <v>10.583333333333334</v>
      </c>
      <c r="D47">
        <f t="shared" si="3"/>
        <v>0</v>
      </c>
      <c r="E47">
        <f t="shared" si="4"/>
        <v>65</v>
      </c>
      <c r="F47">
        <f>IF(C47&gt;=$J$2,0,VLOOKUP($E47,'Mortality Table'!$A$3:$C$128,2+G$2,FALSE))</f>
        <v>0</v>
      </c>
      <c r="G47">
        <f>F47*Assumptions!$B$1</f>
        <v>0</v>
      </c>
      <c r="H47">
        <f t="shared" si="5"/>
        <v>0</v>
      </c>
      <c r="I47">
        <f>HLOOKUP(C47,Assumptions!$A$6:$J$7,2,TRUE)</f>
        <v>2.6499999999999999E-2</v>
      </c>
      <c r="J47" s="22">
        <f t="shared" si="0"/>
        <v>0</v>
      </c>
      <c r="K47" s="22">
        <f t="shared" si="6"/>
        <v>0</v>
      </c>
      <c r="L47">
        <f t="shared" si="10"/>
        <v>0</v>
      </c>
      <c r="M47" s="22">
        <f t="shared" si="7"/>
        <v>0</v>
      </c>
      <c r="N47">
        <f>M46*Assumptions!$B$11/$E$2*J47</f>
        <v>0</v>
      </c>
      <c r="O47">
        <f>M46*Assumptions!$B$13/$E$2*J47</f>
        <v>0</v>
      </c>
      <c r="P47">
        <f>H47*Assumptions!$B$15</f>
        <v>0</v>
      </c>
      <c r="Q47">
        <f>O47*Assumptions!$B$17</f>
        <v>0</v>
      </c>
      <c r="R47">
        <f>HLOOKUP(B47,Assumptions!$A$26:$D$27,2,TRUE)</f>
        <v>0</v>
      </c>
      <c r="S47">
        <f t="shared" si="11"/>
        <v>0</v>
      </c>
      <c r="T47">
        <f t="shared" si="8"/>
        <v>0.58333333333333393</v>
      </c>
      <c r="U47">
        <f>IF(B47&gt;$K$2,0,IF(T48=0,0,(1-T48)*Assumptions!$B$11/$E$2*(1-Assumptions!$B$30)))</f>
        <v>0</v>
      </c>
      <c r="V47">
        <f>(N47-O47)*(1-Assumptions!$B$30)-Q47+U46*M46</f>
        <v>0</v>
      </c>
      <c r="W47">
        <f>W46*(1+Assumptions!$B$36)^(1/12)</f>
        <v>1.0303009999999975</v>
      </c>
      <c r="X47" s="19">
        <f>IF(B47&gt;$K$2,0,W46*Assumptions!$B$32/12*M46+V47*Assumptions!$B$34/12)</f>
        <v>0</v>
      </c>
      <c r="Y47" s="20">
        <f>1/(1+HLOOKUP(YEAR(A47),Assumptions!$A$41:$AL$43,3,TRUE))^(1/12)</f>
        <v>0.99865671918296972</v>
      </c>
      <c r="Z47">
        <f t="shared" si="9"/>
        <v>0</v>
      </c>
      <c r="AA47">
        <f t="shared" si="12"/>
        <v>0</v>
      </c>
    </row>
    <row r="48" spans="1:27" x14ac:dyDescent="0.2">
      <c r="A48" s="2">
        <f t="shared" si="13"/>
        <v>44227</v>
      </c>
      <c r="B48">
        <f t="shared" si="1"/>
        <v>129</v>
      </c>
      <c r="C48">
        <f t="shared" si="2"/>
        <v>10.666666666666666</v>
      </c>
      <c r="D48">
        <f t="shared" si="3"/>
        <v>0</v>
      </c>
      <c r="E48">
        <f t="shared" si="4"/>
        <v>65</v>
      </c>
      <c r="F48">
        <f>IF(C48&gt;=$J$2,0,VLOOKUP($E48,'Mortality Table'!$A$3:$C$128,2+G$2,FALSE))</f>
        <v>0</v>
      </c>
      <c r="G48">
        <f>F48*Assumptions!$B$1</f>
        <v>0</v>
      </c>
      <c r="H48">
        <f t="shared" si="5"/>
        <v>0</v>
      </c>
      <c r="I48">
        <f>HLOOKUP(C48,Assumptions!$A$6:$J$7,2,TRUE)</f>
        <v>2.6499999999999999E-2</v>
      </c>
      <c r="J48" s="22">
        <f t="shared" si="0"/>
        <v>0</v>
      </c>
      <c r="K48" s="22">
        <f t="shared" si="6"/>
        <v>0</v>
      </c>
      <c r="L48">
        <f t="shared" si="10"/>
        <v>0</v>
      </c>
      <c r="M48" s="22">
        <f t="shared" si="7"/>
        <v>0</v>
      </c>
      <c r="N48">
        <f>M47*Assumptions!$B$11/$E$2*J48</f>
        <v>0</v>
      </c>
      <c r="O48">
        <f>M47*Assumptions!$B$13/$E$2*J48</f>
        <v>0</v>
      </c>
      <c r="P48">
        <f>H48*Assumptions!$B$15</f>
        <v>0</v>
      </c>
      <c r="Q48">
        <f>O48*Assumptions!$B$17</f>
        <v>0</v>
      </c>
      <c r="R48">
        <f>HLOOKUP(B48,Assumptions!$A$26:$D$27,2,TRUE)</f>
        <v>0</v>
      </c>
      <c r="S48">
        <f t="shared" si="11"/>
        <v>0</v>
      </c>
      <c r="T48">
        <f t="shared" si="8"/>
        <v>0.66666666666666607</v>
      </c>
      <c r="U48">
        <f>IF(B48&gt;$K$2,0,IF(T49=0,0,(1-T49)*Assumptions!$B$11/$E$2*(1-Assumptions!$B$30)))</f>
        <v>0</v>
      </c>
      <c r="V48">
        <f>(N48-O48)*(1-Assumptions!$B$30)-Q48+U47*M47</f>
        <v>0</v>
      </c>
      <c r="W48">
        <f>W47*(1+Assumptions!$B$36)^(1/12)</f>
        <v>1.0311556739487464</v>
      </c>
      <c r="X48" s="19">
        <f>IF(B48&gt;$K$2,0,W47*Assumptions!$B$32/12*M47+V48*Assumptions!$B$34/12)</f>
        <v>0</v>
      </c>
      <c r="Y48" s="20">
        <f>1/(1+HLOOKUP(YEAR(A48),Assumptions!$A$41:$AL$43,3,TRUE))^(1/12)</f>
        <v>0.99873250460197693</v>
      </c>
      <c r="Z48">
        <f t="shared" si="9"/>
        <v>0</v>
      </c>
      <c r="AA48">
        <f t="shared" si="12"/>
        <v>0</v>
      </c>
    </row>
    <row r="49" spans="1:27" x14ac:dyDescent="0.2">
      <c r="A49" s="2">
        <f t="shared" si="13"/>
        <v>44255</v>
      </c>
      <c r="B49">
        <f t="shared" si="1"/>
        <v>130</v>
      </c>
      <c r="C49">
        <f t="shared" si="2"/>
        <v>10.75</v>
      </c>
      <c r="D49">
        <f t="shared" si="3"/>
        <v>0</v>
      </c>
      <c r="E49">
        <f t="shared" si="4"/>
        <v>65</v>
      </c>
      <c r="F49">
        <f>IF(C49&gt;=$J$2,0,VLOOKUP($E49,'Mortality Table'!$A$3:$C$128,2+G$2,FALSE))</f>
        <v>0</v>
      </c>
      <c r="G49">
        <f>F49*Assumptions!$B$1</f>
        <v>0</v>
      </c>
      <c r="H49">
        <f t="shared" si="5"/>
        <v>0</v>
      </c>
      <c r="I49">
        <f>HLOOKUP(C49,Assumptions!$A$6:$J$7,2,TRUE)</f>
        <v>2.6499999999999999E-2</v>
      </c>
      <c r="J49" s="22">
        <f t="shared" si="0"/>
        <v>0</v>
      </c>
      <c r="K49" s="22">
        <f t="shared" si="6"/>
        <v>0</v>
      </c>
      <c r="L49">
        <f t="shared" si="10"/>
        <v>0</v>
      </c>
      <c r="M49" s="22">
        <f t="shared" si="7"/>
        <v>0</v>
      </c>
      <c r="N49">
        <f>M48*Assumptions!$B$11/$E$2*J49</f>
        <v>0</v>
      </c>
      <c r="O49">
        <f>M48*Assumptions!$B$13/$E$2*J49</f>
        <v>0</v>
      </c>
      <c r="P49">
        <f>H49*Assumptions!$B$15</f>
        <v>0</v>
      </c>
      <c r="Q49">
        <f>O49*Assumptions!$B$17</f>
        <v>0</v>
      </c>
      <c r="R49">
        <f>HLOOKUP(B49,Assumptions!$A$26:$D$27,2,TRUE)</f>
        <v>0</v>
      </c>
      <c r="S49">
        <f t="shared" si="11"/>
        <v>0</v>
      </c>
      <c r="T49">
        <f t="shared" si="8"/>
        <v>0.75</v>
      </c>
      <c r="U49">
        <f>IF(B49&gt;$K$2,0,IF(T50=0,0,(1-T50)*Assumptions!$B$11/$E$2*(1-Assumptions!$B$30)))</f>
        <v>0</v>
      </c>
      <c r="V49">
        <f>(N49-O49)*(1-Assumptions!$B$30)-Q49+U48*M48</f>
        <v>0</v>
      </c>
      <c r="W49">
        <f>W48*(1+Assumptions!$B$36)^(1/12)</f>
        <v>1.0320110568821113</v>
      </c>
      <c r="X49" s="19">
        <f>IF(B49&gt;$K$2,0,W48*Assumptions!$B$32/12*M48+V49*Assumptions!$B$34/12)</f>
        <v>0</v>
      </c>
      <c r="Y49" s="20">
        <f>1/(1+HLOOKUP(YEAR(A49),Assumptions!$A$41:$AL$43,3,TRUE))^(1/12)</f>
        <v>0.99873250460197693</v>
      </c>
      <c r="Z49">
        <f t="shared" si="9"/>
        <v>0</v>
      </c>
      <c r="AA49">
        <f t="shared" si="12"/>
        <v>0</v>
      </c>
    </row>
    <row r="50" spans="1:27" x14ac:dyDescent="0.2">
      <c r="A50" s="2">
        <f t="shared" si="13"/>
        <v>44286</v>
      </c>
      <c r="B50">
        <f t="shared" si="1"/>
        <v>131</v>
      </c>
      <c r="C50">
        <f t="shared" si="2"/>
        <v>10.833333333333334</v>
      </c>
      <c r="D50">
        <f t="shared" si="3"/>
        <v>0</v>
      </c>
      <c r="E50">
        <f t="shared" si="4"/>
        <v>65</v>
      </c>
      <c r="F50">
        <f>IF(C50&gt;=$J$2,0,VLOOKUP($E50,'Mortality Table'!$A$3:$C$128,2+G$2,FALSE))</f>
        <v>0</v>
      </c>
      <c r="G50">
        <f>F50*Assumptions!$B$1</f>
        <v>0</v>
      </c>
      <c r="H50">
        <f t="shared" si="5"/>
        <v>0</v>
      </c>
      <c r="I50">
        <f>HLOOKUP(C50,Assumptions!$A$6:$J$7,2,TRUE)</f>
        <v>2.6499999999999999E-2</v>
      </c>
      <c r="J50" s="22">
        <f t="shared" si="0"/>
        <v>0</v>
      </c>
      <c r="K50" s="22">
        <f t="shared" si="6"/>
        <v>0</v>
      </c>
      <c r="L50">
        <f t="shared" si="10"/>
        <v>0</v>
      </c>
      <c r="M50" s="22">
        <f t="shared" si="7"/>
        <v>0</v>
      </c>
      <c r="N50">
        <f>M49*Assumptions!$B$11/$E$2*J50</f>
        <v>0</v>
      </c>
      <c r="O50">
        <f>M49*Assumptions!$B$13/$E$2*J50</f>
        <v>0</v>
      </c>
      <c r="P50">
        <f>H50*Assumptions!$B$15</f>
        <v>0</v>
      </c>
      <c r="Q50">
        <f>O50*Assumptions!$B$17</f>
        <v>0</v>
      </c>
      <c r="R50">
        <f>HLOOKUP(B50,Assumptions!$A$26:$D$27,2,TRUE)</f>
        <v>0</v>
      </c>
      <c r="S50">
        <f t="shared" si="11"/>
        <v>0</v>
      </c>
      <c r="T50">
        <f t="shared" si="8"/>
        <v>0.83333333333333393</v>
      </c>
      <c r="U50">
        <f>IF(B50&gt;$K$2,0,IF(T51=0,0,(1-T51)*Assumptions!$B$11/$E$2*(1-Assumptions!$B$30)))</f>
        <v>0</v>
      </c>
      <c r="V50">
        <f>(N50-O50)*(1-Assumptions!$B$30)-Q50+U49*M49</f>
        <v>0</v>
      </c>
      <c r="W50">
        <f>W49*(1+Assumptions!$B$36)^(1/12)</f>
        <v>1.0328671493882216</v>
      </c>
      <c r="X50" s="19">
        <f>IF(B50&gt;$K$2,0,W49*Assumptions!$B$32/12*M49+V50*Assumptions!$B$34/12)</f>
        <v>0</v>
      </c>
      <c r="Y50" s="20">
        <f>1/(1+HLOOKUP(YEAR(A50),Assumptions!$A$41:$AL$43,3,TRUE))^(1/12)</f>
        <v>0.99873250460197693</v>
      </c>
      <c r="Z50">
        <f t="shared" si="9"/>
        <v>0</v>
      </c>
      <c r="AA50">
        <f t="shared" si="12"/>
        <v>0</v>
      </c>
    </row>
    <row r="51" spans="1:27" x14ac:dyDescent="0.2">
      <c r="A51" s="2">
        <f t="shared" si="13"/>
        <v>44316</v>
      </c>
      <c r="B51">
        <f t="shared" si="1"/>
        <v>132</v>
      </c>
      <c r="C51">
        <f t="shared" si="2"/>
        <v>10.916666666666666</v>
      </c>
      <c r="D51">
        <f t="shared" si="3"/>
        <v>0</v>
      </c>
      <c r="E51">
        <f t="shared" si="4"/>
        <v>65</v>
      </c>
      <c r="F51">
        <f>IF(C51&gt;=$J$2,0,VLOOKUP($E51,'Mortality Table'!$A$3:$C$128,2+G$2,FALSE))</f>
        <v>0</v>
      </c>
      <c r="G51">
        <f>F51*Assumptions!$B$1</f>
        <v>0</v>
      </c>
      <c r="H51">
        <f t="shared" si="5"/>
        <v>0</v>
      </c>
      <c r="I51">
        <f>HLOOKUP(C51,Assumptions!$A$6:$J$7,2,TRUE)</f>
        <v>2.6499999999999999E-2</v>
      </c>
      <c r="J51" s="22">
        <f t="shared" si="0"/>
        <v>0</v>
      </c>
      <c r="K51" s="22">
        <f t="shared" si="6"/>
        <v>0</v>
      </c>
      <c r="L51">
        <f t="shared" si="10"/>
        <v>0</v>
      </c>
      <c r="M51" s="22">
        <f t="shared" si="7"/>
        <v>0</v>
      </c>
      <c r="N51">
        <f>M50*Assumptions!$B$11/$E$2*J51</f>
        <v>0</v>
      </c>
      <c r="O51">
        <f>M50*Assumptions!$B$13/$E$2*J51</f>
        <v>0</v>
      </c>
      <c r="P51">
        <f>H51*Assumptions!$B$15</f>
        <v>0</v>
      </c>
      <c r="Q51">
        <f>O51*Assumptions!$B$17</f>
        <v>0</v>
      </c>
      <c r="R51">
        <f>HLOOKUP(B51,Assumptions!$A$26:$D$27,2,TRUE)</f>
        <v>0</v>
      </c>
      <c r="S51">
        <f t="shared" si="11"/>
        <v>0</v>
      </c>
      <c r="T51">
        <f t="shared" si="8"/>
        <v>0.91666666666666607</v>
      </c>
      <c r="U51">
        <f>IF(B51&gt;$K$2,0,IF(T52=0,0,(1-T52)*Assumptions!$B$11/$E$2*(1-Assumptions!$B$30)))</f>
        <v>0</v>
      </c>
      <c r="V51">
        <f>(N51-O51)*(1-Assumptions!$B$30)-Q51+U50*M50</f>
        <v>0</v>
      </c>
      <c r="W51">
        <f>W50*(1+Assumptions!$B$36)^(1/12)</f>
        <v>1.0337239520556951</v>
      </c>
      <c r="X51" s="19">
        <f>IF(B51&gt;$K$2,0,W50*Assumptions!$B$32/12*M50+V51*Assumptions!$B$34/12)</f>
        <v>0</v>
      </c>
      <c r="Y51" s="20">
        <f>1/(1+HLOOKUP(YEAR(A51),Assumptions!$A$41:$AL$43,3,TRUE))^(1/12)</f>
        <v>0.99873250460197693</v>
      </c>
      <c r="Z51">
        <f t="shared" si="9"/>
        <v>0</v>
      </c>
      <c r="AA51">
        <f t="shared" si="12"/>
        <v>0</v>
      </c>
    </row>
    <row r="52" spans="1:27" x14ac:dyDescent="0.2">
      <c r="A52" s="2">
        <f t="shared" si="13"/>
        <v>44347</v>
      </c>
      <c r="B52">
        <f t="shared" si="1"/>
        <v>133</v>
      </c>
      <c r="C52">
        <f t="shared" si="2"/>
        <v>11</v>
      </c>
      <c r="D52">
        <f t="shared" si="3"/>
        <v>1</v>
      </c>
      <c r="E52">
        <f t="shared" si="4"/>
        <v>66</v>
      </c>
      <c r="F52">
        <f>IF(C52&gt;=$J$2,0,VLOOKUP($E52,'Mortality Table'!$A$3:$C$128,2+G$2,FALSE))</f>
        <v>0</v>
      </c>
      <c r="G52">
        <f>F52*Assumptions!$B$1</f>
        <v>0</v>
      </c>
      <c r="H52">
        <f t="shared" si="5"/>
        <v>0</v>
      </c>
      <c r="I52">
        <f>HLOOKUP(C52,Assumptions!$A$6:$J$7,2,TRUE)</f>
        <v>2.6499999999999999E-2</v>
      </c>
      <c r="J52" s="22">
        <f t="shared" si="0"/>
        <v>0</v>
      </c>
      <c r="K52" s="22">
        <f t="shared" si="6"/>
        <v>0</v>
      </c>
      <c r="L52">
        <f t="shared" si="10"/>
        <v>0</v>
      </c>
      <c r="M52" s="22">
        <f t="shared" si="7"/>
        <v>0</v>
      </c>
      <c r="N52">
        <f>M51*Assumptions!$B$11/$E$2*J52</f>
        <v>0</v>
      </c>
      <c r="O52">
        <f>M51*Assumptions!$B$13/$E$2*J52</f>
        <v>0</v>
      </c>
      <c r="P52">
        <f>H52*Assumptions!$B$15</f>
        <v>0</v>
      </c>
      <c r="Q52">
        <f>O52*Assumptions!$B$17</f>
        <v>0</v>
      </c>
      <c r="R52">
        <f>HLOOKUP(B52,Assumptions!$A$26:$D$27,2,TRUE)</f>
        <v>0</v>
      </c>
      <c r="S52">
        <f t="shared" si="11"/>
        <v>0</v>
      </c>
      <c r="T52">
        <f t="shared" si="8"/>
        <v>0</v>
      </c>
      <c r="U52">
        <f>IF(B52&gt;$K$2,0,IF(T53=0,0,(1-T53)*Assumptions!$B$11/$E$2*(1-Assumptions!$B$30)))</f>
        <v>0</v>
      </c>
      <c r="V52">
        <f>(N52-O52)*(1-Assumptions!$B$30)-Q52+U51*M51</f>
        <v>0</v>
      </c>
      <c r="W52">
        <f>W51*(1+Assumptions!$B$36)^(1/12)</f>
        <v>1.0345814654736378</v>
      </c>
      <c r="X52" s="19">
        <f>IF(B52&gt;$K$2,0,W51*Assumptions!$B$32/12*M51+V52*Assumptions!$B$34/12)</f>
        <v>0</v>
      </c>
      <c r="Y52" s="20">
        <f>1/(1+HLOOKUP(YEAR(A52),Assumptions!$A$41:$AL$43,3,TRUE))^(1/12)</f>
        <v>0.99873250460197693</v>
      </c>
      <c r="Z52">
        <f t="shared" si="9"/>
        <v>0</v>
      </c>
      <c r="AA52">
        <f t="shared" si="12"/>
        <v>0</v>
      </c>
    </row>
    <row r="53" spans="1:27" x14ac:dyDescent="0.2">
      <c r="A53" s="2">
        <f t="shared" si="13"/>
        <v>44377</v>
      </c>
      <c r="B53">
        <f t="shared" si="1"/>
        <v>134</v>
      </c>
      <c r="C53">
        <f t="shared" si="2"/>
        <v>11.083333333333334</v>
      </c>
      <c r="D53">
        <f t="shared" si="3"/>
        <v>0</v>
      </c>
      <c r="E53">
        <f t="shared" si="4"/>
        <v>66</v>
      </c>
      <c r="F53">
        <f>IF(C53&gt;=$J$2,0,VLOOKUP($E53,'Mortality Table'!$A$3:$C$128,2+G$2,FALSE))</f>
        <v>0</v>
      </c>
      <c r="G53">
        <f>F53*Assumptions!$B$1</f>
        <v>0</v>
      </c>
      <c r="H53">
        <f t="shared" si="5"/>
        <v>0</v>
      </c>
      <c r="I53">
        <f>HLOOKUP(C53,Assumptions!$A$6:$J$7,2,TRUE)</f>
        <v>2.6499999999999999E-2</v>
      </c>
      <c r="J53" s="22">
        <f t="shared" si="0"/>
        <v>0</v>
      </c>
      <c r="K53" s="22">
        <f t="shared" si="6"/>
        <v>0</v>
      </c>
      <c r="L53">
        <f t="shared" si="10"/>
        <v>0</v>
      </c>
      <c r="M53" s="22">
        <f t="shared" si="7"/>
        <v>0</v>
      </c>
      <c r="N53">
        <f>M52*Assumptions!$B$11/$E$2*J53</f>
        <v>0</v>
      </c>
      <c r="O53">
        <f>M52*Assumptions!$B$13/$E$2*J53</f>
        <v>0</v>
      </c>
      <c r="P53">
        <f>H53*Assumptions!$B$15</f>
        <v>0</v>
      </c>
      <c r="Q53">
        <f>O53*Assumptions!$B$17</f>
        <v>0</v>
      </c>
      <c r="R53">
        <f>HLOOKUP(B53,Assumptions!$A$26:$D$27,2,TRUE)</f>
        <v>0</v>
      </c>
      <c r="S53">
        <f t="shared" si="11"/>
        <v>0</v>
      </c>
      <c r="T53">
        <f t="shared" si="8"/>
        <v>8.3333333333333925E-2</v>
      </c>
      <c r="U53">
        <f>IF(B53&gt;$K$2,0,IF(T54=0,0,(1-T54)*Assumptions!$B$11/$E$2*(1-Assumptions!$B$30)))</f>
        <v>0</v>
      </c>
      <c r="V53">
        <f>(N53-O53)*(1-Assumptions!$B$30)-Q53+U52*M52</f>
        <v>0</v>
      </c>
      <c r="W53">
        <f>W52*(1+Assumptions!$B$36)^(1/12)</f>
        <v>1.0354396902316443</v>
      </c>
      <c r="X53" s="19">
        <f>IF(B53&gt;$K$2,0,W52*Assumptions!$B$32/12*M52+V53*Assumptions!$B$34/12)</f>
        <v>0</v>
      </c>
      <c r="Y53" s="20">
        <f>1/(1+HLOOKUP(YEAR(A53),Assumptions!$A$41:$AL$43,3,TRUE))^(1/12)</f>
        <v>0.99873250460197693</v>
      </c>
      <c r="Z53">
        <f t="shared" si="9"/>
        <v>0</v>
      </c>
      <c r="AA53">
        <f t="shared" si="12"/>
        <v>0</v>
      </c>
    </row>
    <row r="54" spans="1:27" x14ac:dyDescent="0.2">
      <c r="A54" s="2">
        <f t="shared" si="13"/>
        <v>44408</v>
      </c>
      <c r="B54">
        <f t="shared" si="1"/>
        <v>135</v>
      </c>
      <c r="C54">
        <f t="shared" si="2"/>
        <v>11.166666666666666</v>
      </c>
      <c r="D54">
        <f t="shared" si="3"/>
        <v>0</v>
      </c>
      <c r="E54">
        <f t="shared" si="4"/>
        <v>66</v>
      </c>
      <c r="F54">
        <f>IF(C54&gt;=$J$2,0,VLOOKUP($E54,'Mortality Table'!$A$3:$C$128,2+G$2,FALSE))</f>
        <v>0</v>
      </c>
      <c r="G54">
        <f>F54*Assumptions!$B$1</f>
        <v>0</v>
      </c>
      <c r="H54">
        <f t="shared" si="5"/>
        <v>0</v>
      </c>
      <c r="I54">
        <f>HLOOKUP(C54,Assumptions!$A$6:$J$7,2,TRUE)</f>
        <v>2.6499999999999999E-2</v>
      </c>
      <c r="J54" s="22">
        <f t="shared" si="0"/>
        <v>0</v>
      </c>
      <c r="K54" s="22">
        <f t="shared" si="6"/>
        <v>0</v>
      </c>
      <c r="L54">
        <f t="shared" si="10"/>
        <v>0</v>
      </c>
      <c r="M54" s="22">
        <f t="shared" si="7"/>
        <v>0</v>
      </c>
      <c r="N54">
        <f>M53*Assumptions!$B$11/$E$2*J54</f>
        <v>0</v>
      </c>
      <c r="O54">
        <f>M53*Assumptions!$B$13/$E$2*J54</f>
        <v>0</v>
      </c>
      <c r="P54">
        <f>H54*Assumptions!$B$15</f>
        <v>0</v>
      </c>
      <c r="Q54">
        <f>O54*Assumptions!$B$17</f>
        <v>0</v>
      </c>
      <c r="R54">
        <f>HLOOKUP(B54,Assumptions!$A$26:$D$27,2,TRUE)</f>
        <v>0</v>
      </c>
      <c r="S54">
        <f t="shared" si="11"/>
        <v>0</v>
      </c>
      <c r="T54">
        <f t="shared" si="8"/>
        <v>0.16666666666666607</v>
      </c>
      <c r="U54">
        <f>IF(B54&gt;$K$2,0,IF(T55=0,0,(1-T55)*Assumptions!$B$11/$E$2*(1-Assumptions!$B$30)))</f>
        <v>0</v>
      </c>
      <c r="V54">
        <f>(N54-O54)*(1-Assumptions!$B$30)-Q54+U53*M53</f>
        <v>0</v>
      </c>
      <c r="W54">
        <f>W53*(1+Assumptions!$B$36)^(1/12)</f>
        <v>1.0362986269197982</v>
      </c>
      <c r="X54" s="19">
        <f>IF(B54&gt;$K$2,0,W53*Assumptions!$B$32/12*M53+V54*Assumptions!$B$34/12)</f>
        <v>0</v>
      </c>
      <c r="Y54" s="20">
        <f>1/(1+HLOOKUP(YEAR(A54),Assumptions!$A$41:$AL$43,3,TRUE))^(1/12)</f>
        <v>0.99873250460197693</v>
      </c>
      <c r="Z54">
        <f t="shared" si="9"/>
        <v>0</v>
      </c>
      <c r="AA54">
        <f t="shared" si="12"/>
        <v>0</v>
      </c>
    </row>
    <row r="55" spans="1:27" x14ac:dyDescent="0.2">
      <c r="A55" s="2">
        <f t="shared" si="13"/>
        <v>44439</v>
      </c>
      <c r="B55">
        <f t="shared" si="1"/>
        <v>136</v>
      </c>
      <c r="C55">
        <f t="shared" si="2"/>
        <v>11.25</v>
      </c>
      <c r="D55">
        <f t="shared" si="3"/>
        <v>0</v>
      </c>
      <c r="E55">
        <f t="shared" si="4"/>
        <v>66</v>
      </c>
      <c r="F55">
        <f>IF(C55&gt;=$J$2,0,VLOOKUP($E55,'Mortality Table'!$A$3:$C$128,2+G$2,FALSE))</f>
        <v>0</v>
      </c>
      <c r="G55">
        <f>F55*Assumptions!$B$1</f>
        <v>0</v>
      </c>
      <c r="H55">
        <f t="shared" si="5"/>
        <v>0</v>
      </c>
      <c r="I55">
        <f>HLOOKUP(C55,Assumptions!$A$6:$J$7,2,TRUE)</f>
        <v>2.6499999999999999E-2</v>
      </c>
      <c r="J55" s="22">
        <f t="shared" si="0"/>
        <v>0</v>
      </c>
      <c r="K55" s="22">
        <f t="shared" si="6"/>
        <v>0</v>
      </c>
      <c r="L55">
        <f t="shared" si="10"/>
        <v>0</v>
      </c>
      <c r="M55" s="22">
        <f t="shared" si="7"/>
        <v>0</v>
      </c>
      <c r="N55">
        <f>M54*Assumptions!$B$11/$E$2*J55</f>
        <v>0</v>
      </c>
      <c r="O55">
        <f>M54*Assumptions!$B$13/$E$2*J55</f>
        <v>0</v>
      </c>
      <c r="P55">
        <f>H55*Assumptions!$B$15</f>
        <v>0</v>
      </c>
      <c r="Q55">
        <f>O55*Assumptions!$B$17</f>
        <v>0</v>
      </c>
      <c r="R55">
        <f>HLOOKUP(B55,Assumptions!$A$26:$D$27,2,TRUE)</f>
        <v>0</v>
      </c>
      <c r="S55">
        <f t="shared" si="11"/>
        <v>0</v>
      </c>
      <c r="T55">
        <f t="shared" si="8"/>
        <v>0.25</v>
      </c>
      <c r="U55">
        <f>IF(B55&gt;$K$2,0,IF(T56=0,0,(1-T56)*Assumptions!$B$11/$E$2*(1-Assumptions!$B$30)))</f>
        <v>0</v>
      </c>
      <c r="V55">
        <f>(N55-O55)*(1-Assumptions!$B$30)-Q55+U54*M54</f>
        <v>0</v>
      </c>
      <c r="W55">
        <f>W54*(1+Assumptions!$B$36)^(1/12)</f>
        <v>1.0371582761286728</v>
      </c>
      <c r="X55" s="19">
        <f>IF(B55&gt;$K$2,0,W54*Assumptions!$B$32/12*M54+V55*Assumptions!$B$34/12)</f>
        <v>0</v>
      </c>
      <c r="Y55" s="20">
        <f>1/(1+HLOOKUP(YEAR(A55),Assumptions!$A$41:$AL$43,3,TRUE))^(1/12)</f>
        <v>0.99873250460197693</v>
      </c>
      <c r="Z55">
        <f t="shared" si="9"/>
        <v>0</v>
      </c>
      <c r="AA55">
        <f t="shared" si="12"/>
        <v>0</v>
      </c>
    </row>
    <row r="56" spans="1:27" x14ac:dyDescent="0.2">
      <c r="A56" s="2">
        <f t="shared" si="13"/>
        <v>44469</v>
      </c>
      <c r="B56">
        <f t="shared" si="1"/>
        <v>137</v>
      </c>
      <c r="C56">
        <f t="shared" si="2"/>
        <v>11.333333333333334</v>
      </c>
      <c r="D56">
        <f t="shared" si="3"/>
        <v>0</v>
      </c>
      <c r="E56">
        <f t="shared" si="4"/>
        <v>66</v>
      </c>
      <c r="F56">
        <f>IF(C56&gt;=$J$2,0,VLOOKUP($E56,'Mortality Table'!$A$3:$C$128,2+G$2,FALSE))</f>
        <v>0</v>
      </c>
      <c r="G56">
        <f>F56*Assumptions!$B$1</f>
        <v>0</v>
      </c>
      <c r="H56">
        <f t="shared" si="5"/>
        <v>0</v>
      </c>
      <c r="I56">
        <f>HLOOKUP(C56,Assumptions!$A$6:$J$7,2,TRUE)</f>
        <v>2.6499999999999999E-2</v>
      </c>
      <c r="J56" s="22">
        <f t="shared" si="0"/>
        <v>0</v>
      </c>
      <c r="K56" s="22">
        <f t="shared" si="6"/>
        <v>0</v>
      </c>
      <c r="L56">
        <f t="shared" si="10"/>
        <v>0</v>
      </c>
      <c r="M56" s="22">
        <f t="shared" si="7"/>
        <v>0</v>
      </c>
      <c r="N56">
        <f>M55*Assumptions!$B$11/$E$2*J56</f>
        <v>0</v>
      </c>
      <c r="O56">
        <f>M55*Assumptions!$B$13/$E$2*J56</f>
        <v>0</v>
      </c>
      <c r="P56">
        <f>H56*Assumptions!$B$15</f>
        <v>0</v>
      </c>
      <c r="Q56">
        <f>O56*Assumptions!$B$17</f>
        <v>0</v>
      </c>
      <c r="R56">
        <f>HLOOKUP(B56,Assumptions!$A$26:$D$27,2,TRUE)</f>
        <v>0</v>
      </c>
      <c r="S56">
        <f t="shared" si="11"/>
        <v>0</v>
      </c>
      <c r="T56">
        <f t="shared" si="8"/>
        <v>0.33333333333333393</v>
      </c>
      <c r="U56">
        <f>IF(B56&gt;$K$2,0,IF(T57=0,0,(1-T57)*Assumptions!$B$11/$E$2*(1-Assumptions!$B$30)))</f>
        <v>0</v>
      </c>
      <c r="V56">
        <f>(N56-O56)*(1-Assumptions!$B$30)-Q56+U55*M55</f>
        <v>0</v>
      </c>
      <c r="W56">
        <f>W55*(1+Assumptions!$B$36)^(1/12)</f>
        <v>1.0380186384493311</v>
      </c>
      <c r="X56" s="19">
        <f>IF(B56&gt;$K$2,0,W55*Assumptions!$B$32/12*M55+V56*Assumptions!$B$34/12)</f>
        <v>0</v>
      </c>
      <c r="Y56" s="20">
        <f>1/(1+HLOOKUP(YEAR(A56),Assumptions!$A$41:$AL$43,3,TRUE))^(1/12)</f>
        <v>0.99873250460197693</v>
      </c>
      <c r="Z56">
        <f t="shared" si="9"/>
        <v>0</v>
      </c>
      <c r="AA56">
        <f t="shared" si="12"/>
        <v>0</v>
      </c>
    </row>
    <row r="57" spans="1:27" x14ac:dyDescent="0.2">
      <c r="A57" s="2">
        <f t="shared" si="13"/>
        <v>44500</v>
      </c>
      <c r="B57">
        <f t="shared" si="1"/>
        <v>138</v>
      </c>
      <c r="C57">
        <f t="shared" si="2"/>
        <v>11.416666666666666</v>
      </c>
      <c r="D57">
        <f t="shared" si="3"/>
        <v>0</v>
      </c>
      <c r="E57">
        <f t="shared" si="4"/>
        <v>66</v>
      </c>
      <c r="F57">
        <f>IF(C57&gt;=$J$2,0,VLOOKUP($E57,'Mortality Table'!$A$3:$C$128,2+G$2,FALSE))</f>
        <v>0</v>
      </c>
      <c r="G57">
        <f>F57*Assumptions!$B$1</f>
        <v>0</v>
      </c>
      <c r="H57">
        <f t="shared" si="5"/>
        <v>0</v>
      </c>
      <c r="I57">
        <f>HLOOKUP(C57,Assumptions!$A$6:$J$7,2,TRUE)</f>
        <v>2.6499999999999999E-2</v>
      </c>
      <c r="J57" s="22">
        <f t="shared" si="0"/>
        <v>0</v>
      </c>
      <c r="K57" s="22">
        <f t="shared" si="6"/>
        <v>0</v>
      </c>
      <c r="L57">
        <f t="shared" si="10"/>
        <v>0</v>
      </c>
      <c r="M57" s="22">
        <f t="shared" si="7"/>
        <v>0</v>
      </c>
      <c r="N57">
        <f>M56*Assumptions!$B$11/$E$2*J57</f>
        <v>0</v>
      </c>
      <c r="O57">
        <f>M56*Assumptions!$B$13/$E$2*J57</f>
        <v>0</v>
      </c>
      <c r="P57">
        <f>H57*Assumptions!$B$15</f>
        <v>0</v>
      </c>
      <c r="Q57">
        <f>O57*Assumptions!$B$17</f>
        <v>0</v>
      </c>
      <c r="R57">
        <f>HLOOKUP(B57,Assumptions!$A$26:$D$27,2,TRUE)</f>
        <v>0</v>
      </c>
      <c r="S57">
        <f t="shared" si="11"/>
        <v>0</v>
      </c>
      <c r="T57">
        <f t="shared" si="8"/>
        <v>0.41666666666666607</v>
      </c>
      <c r="U57">
        <f>IF(B57&gt;$K$2,0,IF(T58=0,0,(1-T58)*Assumptions!$B$11/$E$2*(1-Assumptions!$B$30)))</f>
        <v>0</v>
      </c>
      <c r="V57">
        <f>(N57-O57)*(1-Assumptions!$B$30)-Q57+U56*M56</f>
        <v>0</v>
      </c>
      <c r="W57">
        <f>W56*(1+Assumptions!$B$36)^(1/12)</f>
        <v>1.0388797144733264</v>
      </c>
      <c r="X57" s="19">
        <f>IF(B57&gt;$K$2,0,W56*Assumptions!$B$32/12*M56+V57*Assumptions!$B$34/12)</f>
        <v>0</v>
      </c>
      <c r="Y57" s="20">
        <f>1/(1+HLOOKUP(YEAR(A57),Assumptions!$A$41:$AL$43,3,TRUE))^(1/12)</f>
        <v>0.99873250460197693</v>
      </c>
      <c r="Z57">
        <f t="shared" si="9"/>
        <v>0</v>
      </c>
      <c r="AA57">
        <f t="shared" si="12"/>
        <v>0</v>
      </c>
    </row>
    <row r="58" spans="1:27" x14ac:dyDescent="0.2">
      <c r="A58" s="2">
        <f t="shared" si="13"/>
        <v>44530</v>
      </c>
      <c r="B58">
        <f t="shared" si="1"/>
        <v>139</v>
      </c>
      <c r="C58">
        <f t="shared" si="2"/>
        <v>11.5</v>
      </c>
      <c r="D58">
        <f t="shared" si="3"/>
        <v>0</v>
      </c>
      <c r="E58">
        <f t="shared" si="4"/>
        <v>66</v>
      </c>
      <c r="F58">
        <f>IF(C58&gt;=$J$2,0,VLOOKUP($E58,'Mortality Table'!$A$3:$C$128,2+G$2,FALSE))</f>
        <v>0</v>
      </c>
      <c r="G58">
        <f>F58*Assumptions!$B$1</f>
        <v>0</v>
      </c>
      <c r="H58">
        <f t="shared" si="5"/>
        <v>0</v>
      </c>
      <c r="I58">
        <f>HLOOKUP(C58,Assumptions!$A$6:$J$7,2,TRUE)</f>
        <v>2.6499999999999999E-2</v>
      </c>
      <c r="J58" s="22">
        <f t="shared" si="0"/>
        <v>0</v>
      </c>
      <c r="K58" s="22">
        <f t="shared" si="6"/>
        <v>0</v>
      </c>
      <c r="L58">
        <f t="shared" si="10"/>
        <v>0</v>
      </c>
      <c r="M58" s="22">
        <f t="shared" si="7"/>
        <v>0</v>
      </c>
      <c r="N58">
        <f>M57*Assumptions!$B$11/$E$2*J58</f>
        <v>0</v>
      </c>
      <c r="O58">
        <f>M57*Assumptions!$B$13/$E$2*J58</f>
        <v>0</v>
      </c>
      <c r="P58">
        <f>H58*Assumptions!$B$15</f>
        <v>0</v>
      </c>
      <c r="Q58">
        <f>O58*Assumptions!$B$17</f>
        <v>0</v>
      </c>
      <c r="R58">
        <f>HLOOKUP(B58,Assumptions!$A$26:$D$27,2,TRUE)</f>
        <v>0</v>
      </c>
      <c r="S58">
        <f t="shared" si="11"/>
        <v>0</v>
      </c>
      <c r="T58">
        <f t="shared" si="8"/>
        <v>0.5</v>
      </c>
      <c r="U58">
        <f>IF(B58&gt;$K$2,0,IF(T59=0,0,(1-T59)*Assumptions!$B$11/$E$2*(1-Assumptions!$B$30)))</f>
        <v>0</v>
      </c>
      <c r="V58">
        <f>(N58-O58)*(1-Assumptions!$B$30)-Q58+U57*M57</f>
        <v>0</v>
      </c>
      <c r="W58">
        <f>W57*(1+Assumptions!$B$36)^(1/12)</f>
        <v>1.039741504792703</v>
      </c>
      <c r="X58" s="19">
        <f>IF(B58&gt;$K$2,0,W57*Assumptions!$B$32/12*M57+V58*Assumptions!$B$34/12)</f>
        <v>0</v>
      </c>
      <c r="Y58" s="20">
        <f>1/(1+HLOOKUP(YEAR(A58),Assumptions!$A$41:$AL$43,3,TRUE))^(1/12)</f>
        <v>0.99873250460197693</v>
      </c>
      <c r="Z58">
        <f t="shared" si="9"/>
        <v>0</v>
      </c>
      <c r="AA58">
        <f t="shared" si="12"/>
        <v>0</v>
      </c>
    </row>
    <row r="59" spans="1:27" x14ac:dyDescent="0.2">
      <c r="A59" s="2">
        <f t="shared" si="13"/>
        <v>44561</v>
      </c>
      <c r="B59">
        <f t="shared" si="1"/>
        <v>140</v>
      </c>
      <c r="C59">
        <f t="shared" si="2"/>
        <v>11.583333333333334</v>
      </c>
      <c r="D59">
        <f t="shared" si="3"/>
        <v>0</v>
      </c>
      <c r="E59">
        <f t="shared" si="4"/>
        <v>66</v>
      </c>
      <c r="F59">
        <f>IF(C59&gt;=$J$2,0,VLOOKUP($E59,'Mortality Table'!$A$3:$C$128,2+G$2,FALSE))</f>
        <v>0</v>
      </c>
      <c r="G59">
        <f>F59*Assumptions!$B$1</f>
        <v>0</v>
      </c>
      <c r="H59">
        <f t="shared" si="5"/>
        <v>0</v>
      </c>
      <c r="I59">
        <f>HLOOKUP(C59,Assumptions!$A$6:$J$7,2,TRUE)</f>
        <v>2.6499999999999999E-2</v>
      </c>
      <c r="J59" s="22">
        <f t="shared" si="0"/>
        <v>0</v>
      </c>
      <c r="K59" s="22">
        <f t="shared" si="6"/>
        <v>0</v>
      </c>
      <c r="L59">
        <f t="shared" si="10"/>
        <v>0</v>
      </c>
      <c r="M59" s="22">
        <f t="shared" si="7"/>
        <v>0</v>
      </c>
      <c r="N59">
        <f>M58*Assumptions!$B$11/$E$2*J59</f>
        <v>0</v>
      </c>
      <c r="O59">
        <f>M58*Assumptions!$B$13/$E$2*J59</f>
        <v>0</v>
      </c>
      <c r="P59">
        <f>H59*Assumptions!$B$15</f>
        <v>0</v>
      </c>
      <c r="Q59">
        <f>O59*Assumptions!$B$17</f>
        <v>0</v>
      </c>
      <c r="R59">
        <f>HLOOKUP(B59,Assumptions!$A$26:$D$27,2,TRUE)</f>
        <v>0</v>
      </c>
      <c r="S59">
        <f t="shared" si="11"/>
        <v>0</v>
      </c>
      <c r="T59">
        <f t="shared" si="8"/>
        <v>0.58333333333333393</v>
      </c>
      <c r="U59">
        <f>IF(B59&gt;$K$2,0,IF(T60=0,0,(1-T60)*Assumptions!$B$11/$E$2*(1-Assumptions!$B$30)))</f>
        <v>0</v>
      </c>
      <c r="V59">
        <f>(N59-O59)*(1-Assumptions!$B$30)-Q59+U58*M58</f>
        <v>0</v>
      </c>
      <c r="W59">
        <f>W58*(1+Assumptions!$B$36)^(1/12)</f>
        <v>1.0406040099999962</v>
      </c>
      <c r="X59" s="19">
        <f>IF(B59&gt;$K$2,0,W58*Assumptions!$B$32/12*M58+V59*Assumptions!$B$34/12)</f>
        <v>0</v>
      </c>
      <c r="Y59" s="20">
        <f>1/(1+HLOOKUP(YEAR(A59),Assumptions!$A$41:$AL$43,3,TRUE))^(1/12)</f>
        <v>0.99873250460197693</v>
      </c>
      <c r="Z59">
        <f t="shared" si="9"/>
        <v>0</v>
      </c>
      <c r="AA59">
        <f t="shared" si="12"/>
        <v>0</v>
      </c>
    </row>
    <row r="60" spans="1:27" x14ac:dyDescent="0.2">
      <c r="A60" s="2">
        <f t="shared" si="13"/>
        <v>44592</v>
      </c>
      <c r="B60">
        <f t="shared" si="1"/>
        <v>141</v>
      </c>
      <c r="C60">
        <f t="shared" si="2"/>
        <v>11.666666666666666</v>
      </c>
      <c r="D60">
        <f t="shared" si="3"/>
        <v>0</v>
      </c>
      <c r="E60">
        <f t="shared" si="4"/>
        <v>66</v>
      </c>
      <c r="F60">
        <f>IF(C60&gt;=$J$2,0,VLOOKUP($E60,'Mortality Table'!$A$3:$C$128,2+G$2,FALSE))</f>
        <v>0</v>
      </c>
      <c r="G60">
        <f>F60*Assumptions!$B$1</f>
        <v>0</v>
      </c>
      <c r="H60">
        <f t="shared" si="5"/>
        <v>0</v>
      </c>
      <c r="I60">
        <f>HLOOKUP(C60,Assumptions!$A$6:$J$7,2,TRUE)</f>
        <v>2.6499999999999999E-2</v>
      </c>
      <c r="J60" s="22">
        <f t="shared" si="0"/>
        <v>0</v>
      </c>
      <c r="K60" s="22">
        <f t="shared" si="6"/>
        <v>0</v>
      </c>
      <c r="L60">
        <f t="shared" si="10"/>
        <v>0</v>
      </c>
      <c r="M60" s="22">
        <f t="shared" si="7"/>
        <v>0</v>
      </c>
      <c r="N60">
        <f>M59*Assumptions!$B$11/$E$2*J60</f>
        <v>0</v>
      </c>
      <c r="O60">
        <f>M59*Assumptions!$B$13/$E$2*J60</f>
        <v>0</v>
      </c>
      <c r="P60">
        <f>H60*Assumptions!$B$15</f>
        <v>0</v>
      </c>
      <c r="Q60">
        <f>O60*Assumptions!$B$17</f>
        <v>0</v>
      </c>
      <c r="R60">
        <f>HLOOKUP(B60,Assumptions!$A$26:$D$27,2,TRUE)</f>
        <v>0</v>
      </c>
      <c r="S60">
        <f t="shared" si="11"/>
        <v>0</v>
      </c>
      <c r="T60">
        <f t="shared" si="8"/>
        <v>0.66666666666666607</v>
      </c>
      <c r="U60">
        <f>IF(B60&gt;$K$2,0,IF(T61=0,0,(1-T61)*Assumptions!$B$11/$E$2*(1-Assumptions!$B$30)))</f>
        <v>0</v>
      </c>
      <c r="V60">
        <f>(N60-O60)*(1-Assumptions!$B$30)-Q60+U59*M59</f>
        <v>0</v>
      </c>
      <c r="W60">
        <f>W59*(1+Assumptions!$B$36)^(1/12)</f>
        <v>1.0414672306882327</v>
      </c>
      <c r="X60" s="19">
        <f>IF(B60&gt;$K$2,0,W59*Assumptions!$B$32/12*M59+V60*Assumptions!$B$34/12)</f>
        <v>0</v>
      </c>
      <c r="Y60" s="20">
        <f>1/(1+HLOOKUP(YEAR(A60),Assumptions!$A$41:$AL$43,3,TRUE))^(1/12)</f>
        <v>0.99874250566702261</v>
      </c>
      <c r="Z60">
        <f t="shared" si="9"/>
        <v>0</v>
      </c>
      <c r="AA60">
        <f t="shared" si="12"/>
        <v>0</v>
      </c>
    </row>
    <row r="61" spans="1:27" x14ac:dyDescent="0.2">
      <c r="A61" s="2">
        <f t="shared" si="13"/>
        <v>44620</v>
      </c>
      <c r="B61">
        <f t="shared" si="1"/>
        <v>142</v>
      </c>
      <c r="C61">
        <f t="shared" si="2"/>
        <v>11.75</v>
      </c>
      <c r="D61">
        <f t="shared" si="3"/>
        <v>0</v>
      </c>
      <c r="E61">
        <f t="shared" si="4"/>
        <v>66</v>
      </c>
      <c r="F61">
        <f>IF(C61&gt;=$J$2,0,VLOOKUP($E61,'Mortality Table'!$A$3:$C$128,2+G$2,FALSE))</f>
        <v>0</v>
      </c>
      <c r="G61">
        <f>F61*Assumptions!$B$1</f>
        <v>0</v>
      </c>
      <c r="H61">
        <f t="shared" si="5"/>
        <v>0</v>
      </c>
      <c r="I61">
        <f>HLOOKUP(C61,Assumptions!$A$6:$J$7,2,TRUE)</f>
        <v>2.6499999999999999E-2</v>
      </c>
      <c r="J61" s="22">
        <f t="shared" si="0"/>
        <v>0</v>
      </c>
      <c r="K61" s="22">
        <f t="shared" si="6"/>
        <v>0</v>
      </c>
      <c r="L61">
        <f t="shared" si="10"/>
        <v>0</v>
      </c>
      <c r="M61" s="22">
        <f t="shared" si="7"/>
        <v>0</v>
      </c>
      <c r="N61">
        <f>M60*Assumptions!$B$11/$E$2*J61</f>
        <v>0</v>
      </c>
      <c r="O61">
        <f>M60*Assumptions!$B$13/$E$2*J61</f>
        <v>0</v>
      </c>
      <c r="P61">
        <f>H61*Assumptions!$B$15</f>
        <v>0</v>
      </c>
      <c r="Q61">
        <f>O61*Assumptions!$B$17</f>
        <v>0</v>
      </c>
      <c r="R61">
        <f>HLOOKUP(B61,Assumptions!$A$26:$D$27,2,TRUE)</f>
        <v>0</v>
      </c>
      <c r="S61">
        <f t="shared" si="11"/>
        <v>0</v>
      </c>
      <c r="T61">
        <f t="shared" si="8"/>
        <v>0.75</v>
      </c>
      <c r="U61">
        <f>IF(B61&gt;$K$2,0,IF(T62=0,0,(1-T62)*Assumptions!$B$11/$E$2*(1-Assumptions!$B$30)))</f>
        <v>0</v>
      </c>
      <c r="V61">
        <f>(N61-O61)*(1-Assumptions!$B$30)-Q61+U60*M60</f>
        <v>0</v>
      </c>
      <c r="W61">
        <f>W60*(1+Assumptions!$B$36)^(1/12)</f>
        <v>1.042331167450931</v>
      </c>
      <c r="X61" s="19">
        <f>IF(B61&gt;$K$2,0,W60*Assumptions!$B$32/12*M60+V61*Assumptions!$B$34/12)</f>
        <v>0</v>
      </c>
      <c r="Y61" s="20">
        <f>1/(1+HLOOKUP(YEAR(A61),Assumptions!$A$41:$AL$43,3,TRUE))^(1/12)</f>
        <v>0.99874250566702261</v>
      </c>
      <c r="Z61">
        <f t="shared" si="9"/>
        <v>0</v>
      </c>
      <c r="AA61">
        <f t="shared" si="12"/>
        <v>0</v>
      </c>
    </row>
    <row r="62" spans="1:27" x14ac:dyDescent="0.2">
      <c r="A62" s="2">
        <f t="shared" si="13"/>
        <v>44651</v>
      </c>
      <c r="B62">
        <f t="shared" si="1"/>
        <v>143</v>
      </c>
      <c r="C62">
        <f t="shared" si="2"/>
        <v>11.833333333333334</v>
      </c>
      <c r="D62">
        <f t="shared" si="3"/>
        <v>0</v>
      </c>
      <c r="E62">
        <f t="shared" si="4"/>
        <v>66</v>
      </c>
      <c r="F62">
        <f>IF(C62&gt;=$J$2,0,VLOOKUP($E62,'Mortality Table'!$A$3:$C$128,2+G$2,FALSE))</f>
        <v>0</v>
      </c>
      <c r="G62">
        <f>F62*Assumptions!$B$1</f>
        <v>0</v>
      </c>
      <c r="H62">
        <f t="shared" si="5"/>
        <v>0</v>
      </c>
      <c r="I62">
        <f>HLOOKUP(C62,Assumptions!$A$6:$J$7,2,TRUE)</f>
        <v>2.6499999999999999E-2</v>
      </c>
      <c r="J62" s="22">
        <f t="shared" si="0"/>
        <v>0</v>
      </c>
      <c r="K62" s="22">
        <f t="shared" si="6"/>
        <v>0</v>
      </c>
      <c r="L62">
        <f t="shared" si="10"/>
        <v>0</v>
      </c>
      <c r="M62" s="22">
        <f t="shared" si="7"/>
        <v>0</v>
      </c>
      <c r="N62">
        <f>M61*Assumptions!$B$11/$E$2*J62</f>
        <v>0</v>
      </c>
      <c r="O62">
        <f>M61*Assumptions!$B$13/$E$2*J62</f>
        <v>0</v>
      </c>
      <c r="P62">
        <f>H62*Assumptions!$B$15</f>
        <v>0</v>
      </c>
      <c r="Q62">
        <f>O62*Assumptions!$B$17</f>
        <v>0</v>
      </c>
      <c r="R62">
        <f>HLOOKUP(B62,Assumptions!$A$26:$D$27,2,TRUE)</f>
        <v>0</v>
      </c>
      <c r="S62">
        <f t="shared" si="11"/>
        <v>0</v>
      </c>
      <c r="T62">
        <f t="shared" si="8"/>
        <v>0.83333333333333393</v>
      </c>
      <c r="U62">
        <f>IF(B62&gt;$K$2,0,IF(T63=0,0,(1-T63)*Assumptions!$B$11/$E$2*(1-Assumptions!$B$30)))</f>
        <v>0</v>
      </c>
      <c r="V62">
        <f>(N62-O62)*(1-Assumptions!$B$30)-Q62+U61*M61</f>
        <v>0</v>
      </c>
      <c r="W62">
        <f>W61*(1+Assumptions!$B$36)^(1/12)</f>
        <v>1.0431958208821024</v>
      </c>
      <c r="X62" s="19">
        <f>IF(B62&gt;$K$2,0,W61*Assumptions!$B$32/12*M61+V62*Assumptions!$B$34/12)</f>
        <v>0</v>
      </c>
      <c r="Y62" s="20">
        <f>1/(1+HLOOKUP(YEAR(A62),Assumptions!$A$41:$AL$43,3,TRUE))^(1/12)</f>
        <v>0.99874250566702261</v>
      </c>
      <c r="Z62">
        <f t="shared" si="9"/>
        <v>0</v>
      </c>
      <c r="AA62">
        <f t="shared" si="12"/>
        <v>0</v>
      </c>
    </row>
    <row r="63" spans="1:27" x14ac:dyDescent="0.2">
      <c r="A63" s="2">
        <f t="shared" si="13"/>
        <v>44681</v>
      </c>
      <c r="B63">
        <f t="shared" si="1"/>
        <v>144</v>
      </c>
      <c r="C63">
        <f t="shared" si="2"/>
        <v>11.916666666666666</v>
      </c>
      <c r="D63">
        <f t="shared" si="3"/>
        <v>0</v>
      </c>
      <c r="E63">
        <f t="shared" si="4"/>
        <v>66</v>
      </c>
      <c r="F63">
        <f>IF(C63&gt;=$J$2,0,VLOOKUP($E63,'Mortality Table'!$A$3:$C$128,2+G$2,FALSE))</f>
        <v>0</v>
      </c>
      <c r="G63">
        <f>F63*Assumptions!$B$1</f>
        <v>0</v>
      </c>
      <c r="H63">
        <f t="shared" si="5"/>
        <v>0</v>
      </c>
      <c r="I63">
        <f>HLOOKUP(C63,Assumptions!$A$6:$J$7,2,TRUE)</f>
        <v>2.6499999999999999E-2</v>
      </c>
      <c r="J63" s="22">
        <f t="shared" si="0"/>
        <v>0</v>
      </c>
      <c r="K63" s="22">
        <f t="shared" si="6"/>
        <v>0</v>
      </c>
      <c r="L63">
        <f t="shared" si="10"/>
        <v>0</v>
      </c>
      <c r="M63" s="22">
        <f t="shared" si="7"/>
        <v>0</v>
      </c>
      <c r="N63">
        <f>M62*Assumptions!$B$11/$E$2*J63</f>
        <v>0</v>
      </c>
      <c r="O63">
        <f>M62*Assumptions!$B$13/$E$2*J63</f>
        <v>0</v>
      </c>
      <c r="P63">
        <f>H63*Assumptions!$B$15</f>
        <v>0</v>
      </c>
      <c r="Q63">
        <f>O63*Assumptions!$B$17</f>
        <v>0</v>
      </c>
      <c r="R63">
        <f>HLOOKUP(B63,Assumptions!$A$26:$D$27,2,TRUE)</f>
        <v>0</v>
      </c>
      <c r="S63">
        <f t="shared" si="11"/>
        <v>0</v>
      </c>
      <c r="T63">
        <f t="shared" si="8"/>
        <v>0.91666666666666607</v>
      </c>
      <c r="U63">
        <f>IF(B63&gt;$K$2,0,IF(T64=0,0,(1-T64)*Assumptions!$B$11/$E$2*(1-Assumptions!$B$30)))</f>
        <v>0</v>
      </c>
      <c r="V63">
        <f>(N63-O63)*(1-Assumptions!$B$30)-Q63+U62*M62</f>
        <v>0</v>
      </c>
      <c r="W63">
        <f>W62*(1+Assumptions!$B$36)^(1/12)</f>
        <v>1.0440611915762508</v>
      </c>
      <c r="X63" s="19">
        <f>IF(B63&gt;$K$2,0,W62*Assumptions!$B$32/12*M62+V63*Assumptions!$B$34/12)</f>
        <v>0</v>
      </c>
      <c r="Y63" s="20">
        <f>1/(1+HLOOKUP(YEAR(A63),Assumptions!$A$41:$AL$43,3,TRUE))^(1/12)</f>
        <v>0.99874250566702261</v>
      </c>
      <c r="Z63">
        <f t="shared" si="9"/>
        <v>0</v>
      </c>
      <c r="AA63">
        <f t="shared" si="12"/>
        <v>0</v>
      </c>
    </row>
    <row r="64" spans="1:27" x14ac:dyDescent="0.2">
      <c r="A64" s="2">
        <f t="shared" si="13"/>
        <v>44712</v>
      </c>
      <c r="B64">
        <f t="shared" si="1"/>
        <v>145</v>
      </c>
      <c r="C64">
        <f t="shared" si="2"/>
        <v>12</v>
      </c>
      <c r="D64">
        <f t="shared" si="3"/>
        <v>1</v>
      </c>
      <c r="E64">
        <f t="shared" si="4"/>
        <v>67</v>
      </c>
      <c r="F64">
        <f>IF(C64&gt;=$J$2,0,VLOOKUP($E64,'Mortality Table'!$A$3:$C$128,2+G$2,FALSE))</f>
        <v>0</v>
      </c>
      <c r="G64">
        <f>F64*Assumptions!$B$1</f>
        <v>0</v>
      </c>
      <c r="H64">
        <f t="shared" si="5"/>
        <v>0</v>
      </c>
      <c r="I64">
        <f>HLOOKUP(C64,Assumptions!$A$6:$J$7,2,TRUE)</f>
        <v>2.6499999999999999E-2</v>
      </c>
      <c r="J64" s="22">
        <f t="shared" si="0"/>
        <v>0</v>
      </c>
      <c r="K64" s="22">
        <f t="shared" si="6"/>
        <v>0</v>
      </c>
      <c r="L64">
        <f t="shared" si="10"/>
        <v>0</v>
      </c>
      <c r="M64" s="22">
        <f t="shared" si="7"/>
        <v>0</v>
      </c>
      <c r="N64">
        <f>M63*Assumptions!$B$11/$E$2*J64</f>
        <v>0</v>
      </c>
      <c r="O64">
        <f>M63*Assumptions!$B$13/$E$2*J64</f>
        <v>0</v>
      </c>
      <c r="P64">
        <f>H64*Assumptions!$B$15</f>
        <v>0</v>
      </c>
      <c r="Q64">
        <f>O64*Assumptions!$B$17</f>
        <v>0</v>
      </c>
      <c r="R64">
        <f>HLOOKUP(B64,Assumptions!$A$26:$D$27,2,TRUE)</f>
        <v>0</v>
      </c>
      <c r="S64">
        <f t="shared" si="11"/>
        <v>0</v>
      </c>
      <c r="T64">
        <f t="shared" si="8"/>
        <v>0</v>
      </c>
      <c r="U64">
        <f>IF(B64&gt;$K$2,0,IF(T65=0,0,(1-T65)*Assumptions!$B$11/$E$2*(1-Assumptions!$B$30)))</f>
        <v>0</v>
      </c>
      <c r="V64">
        <f>(N64-O64)*(1-Assumptions!$B$30)-Q64+U63*M63</f>
        <v>0</v>
      </c>
      <c r="W64">
        <f>W63*(1+Assumptions!$B$36)^(1/12)</f>
        <v>1.0449272801283729</v>
      </c>
      <c r="X64" s="19">
        <f>IF(B64&gt;$K$2,0,W63*Assumptions!$B$32/12*M63+V64*Assumptions!$B$34/12)</f>
        <v>0</v>
      </c>
      <c r="Y64" s="20">
        <f>1/(1+HLOOKUP(YEAR(A64),Assumptions!$A$41:$AL$43,3,TRUE))^(1/12)</f>
        <v>0.99874250566702261</v>
      </c>
      <c r="Z64">
        <f t="shared" si="9"/>
        <v>0</v>
      </c>
      <c r="AA64">
        <f t="shared" si="12"/>
        <v>0</v>
      </c>
    </row>
    <row r="65" spans="1:27" x14ac:dyDescent="0.2">
      <c r="A65" s="2">
        <f t="shared" si="13"/>
        <v>44742</v>
      </c>
      <c r="B65">
        <f t="shared" si="1"/>
        <v>146</v>
      </c>
      <c r="C65">
        <f t="shared" si="2"/>
        <v>12.083333333333334</v>
      </c>
      <c r="D65">
        <f t="shared" si="3"/>
        <v>0</v>
      </c>
      <c r="E65">
        <f t="shared" si="4"/>
        <v>67</v>
      </c>
      <c r="F65">
        <f>IF(C65&gt;=$J$2,0,VLOOKUP($E65,'Mortality Table'!$A$3:$C$128,2+G$2,FALSE))</f>
        <v>0</v>
      </c>
      <c r="G65">
        <f>F65*Assumptions!$B$1</f>
        <v>0</v>
      </c>
      <c r="H65">
        <f t="shared" si="5"/>
        <v>0</v>
      </c>
      <c r="I65">
        <f>HLOOKUP(C65,Assumptions!$A$6:$J$7,2,TRUE)</f>
        <v>2.6499999999999999E-2</v>
      </c>
      <c r="J65" s="22">
        <f t="shared" si="0"/>
        <v>0</v>
      </c>
      <c r="K65" s="22">
        <f t="shared" si="6"/>
        <v>0</v>
      </c>
      <c r="L65">
        <f t="shared" si="10"/>
        <v>0</v>
      </c>
      <c r="M65" s="22">
        <f t="shared" si="7"/>
        <v>0</v>
      </c>
      <c r="N65">
        <f>M64*Assumptions!$B$11/$E$2*J65</f>
        <v>0</v>
      </c>
      <c r="O65">
        <f>M64*Assumptions!$B$13/$E$2*J65</f>
        <v>0</v>
      </c>
      <c r="P65">
        <f>H65*Assumptions!$B$15</f>
        <v>0</v>
      </c>
      <c r="Q65">
        <f>O65*Assumptions!$B$17</f>
        <v>0</v>
      </c>
      <c r="R65">
        <f>HLOOKUP(B65,Assumptions!$A$26:$D$27,2,TRUE)</f>
        <v>0</v>
      </c>
      <c r="S65">
        <f t="shared" si="11"/>
        <v>0</v>
      </c>
      <c r="T65">
        <f t="shared" si="8"/>
        <v>8.3333333333333925E-2</v>
      </c>
      <c r="U65">
        <f>IF(B65&gt;$K$2,0,IF(T66=0,0,(1-T66)*Assumptions!$B$11/$E$2*(1-Assumptions!$B$30)))</f>
        <v>0</v>
      </c>
      <c r="V65">
        <f>(N65-O65)*(1-Assumptions!$B$30)-Q65+U64*M64</f>
        <v>0</v>
      </c>
      <c r="W65">
        <f>W64*(1+Assumptions!$B$36)^(1/12)</f>
        <v>1.0457940871339595</v>
      </c>
      <c r="X65" s="19">
        <f>IF(B65&gt;$K$2,0,W64*Assumptions!$B$32/12*M64+V65*Assumptions!$B$34/12)</f>
        <v>0</v>
      </c>
      <c r="Y65" s="20">
        <f>1/(1+HLOOKUP(YEAR(A65),Assumptions!$A$41:$AL$43,3,TRUE))^(1/12)</f>
        <v>0.99874250566702261</v>
      </c>
      <c r="Z65">
        <f t="shared" si="9"/>
        <v>0</v>
      </c>
      <c r="AA65">
        <f t="shared" si="12"/>
        <v>0</v>
      </c>
    </row>
    <row r="66" spans="1:27" x14ac:dyDescent="0.2">
      <c r="A66" s="2">
        <f t="shared" si="13"/>
        <v>44773</v>
      </c>
      <c r="B66">
        <f t="shared" si="1"/>
        <v>147</v>
      </c>
      <c r="C66">
        <f t="shared" si="2"/>
        <v>12.166666666666666</v>
      </c>
      <c r="D66">
        <f t="shared" si="3"/>
        <v>0</v>
      </c>
      <c r="E66">
        <f t="shared" si="4"/>
        <v>67</v>
      </c>
      <c r="F66">
        <f>IF(C66&gt;=$J$2,0,VLOOKUP($E66,'Mortality Table'!$A$3:$C$128,2+G$2,FALSE))</f>
        <v>0</v>
      </c>
      <c r="G66">
        <f>F66*Assumptions!$B$1</f>
        <v>0</v>
      </c>
      <c r="H66">
        <f t="shared" si="5"/>
        <v>0</v>
      </c>
      <c r="I66">
        <f>HLOOKUP(C66,Assumptions!$A$6:$J$7,2,TRUE)</f>
        <v>2.6499999999999999E-2</v>
      </c>
      <c r="J66" s="22">
        <f t="shared" si="0"/>
        <v>0</v>
      </c>
      <c r="K66" s="22">
        <f t="shared" si="6"/>
        <v>0</v>
      </c>
      <c r="L66">
        <f t="shared" si="10"/>
        <v>0</v>
      </c>
      <c r="M66" s="22">
        <f t="shared" si="7"/>
        <v>0</v>
      </c>
      <c r="N66">
        <f>M65*Assumptions!$B$11/$E$2*J66</f>
        <v>0</v>
      </c>
      <c r="O66">
        <f>M65*Assumptions!$B$13/$E$2*J66</f>
        <v>0</v>
      </c>
      <c r="P66">
        <f>H66*Assumptions!$B$15</f>
        <v>0</v>
      </c>
      <c r="Q66">
        <f>O66*Assumptions!$B$17</f>
        <v>0</v>
      </c>
      <c r="R66">
        <f>HLOOKUP(B66,Assumptions!$A$26:$D$27,2,TRUE)</f>
        <v>0</v>
      </c>
      <c r="S66">
        <f t="shared" si="11"/>
        <v>0</v>
      </c>
      <c r="T66">
        <f t="shared" si="8"/>
        <v>0.16666666666666607</v>
      </c>
      <c r="U66">
        <f>IF(B66&gt;$K$2,0,IF(T67=0,0,(1-T67)*Assumptions!$B$11/$E$2*(1-Assumptions!$B$30)))</f>
        <v>0</v>
      </c>
      <c r="V66">
        <f>(N66-O66)*(1-Assumptions!$B$30)-Q66+U65*M65</f>
        <v>0</v>
      </c>
      <c r="W66">
        <f>W65*(1+Assumptions!$B$36)^(1/12)</f>
        <v>1.046661613188995</v>
      </c>
      <c r="X66" s="19">
        <f>IF(B66&gt;$K$2,0,W65*Assumptions!$B$32/12*M65+V66*Assumptions!$B$34/12)</f>
        <v>0</v>
      </c>
      <c r="Y66" s="20">
        <f>1/(1+HLOOKUP(YEAR(A66),Assumptions!$A$41:$AL$43,3,TRUE))^(1/12)</f>
        <v>0.99874250566702261</v>
      </c>
      <c r="Z66">
        <f t="shared" si="9"/>
        <v>0</v>
      </c>
      <c r="AA66">
        <f t="shared" si="12"/>
        <v>0</v>
      </c>
    </row>
    <row r="67" spans="1:27" x14ac:dyDescent="0.2">
      <c r="A67" s="2">
        <f t="shared" si="13"/>
        <v>44804</v>
      </c>
      <c r="B67">
        <f t="shared" si="1"/>
        <v>148</v>
      </c>
      <c r="C67">
        <f t="shared" si="2"/>
        <v>12.25</v>
      </c>
      <c r="D67">
        <f t="shared" si="3"/>
        <v>0</v>
      </c>
      <c r="E67">
        <f t="shared" si="4"/>
        <v>67</v>
      </c>
      <c r="F67">
        <f>IF(C67&gt;=$J$2,0,VLOOKUP($E67,'Mortality Table'!$A$3:$C$128,2+G$2,FALSE))</f>
        <v>0</v>
      </c>
      <c r="G67">
        <f>F67*Assumptions!$B$1</f>
        <v>0</v>
      </c>
      <c r="H67">
        <f t="shared" si="5"/>
        <v>0</v>
      </c>
      <c r="I67">
        <f>HLOOKUP(C67,Assumptions!$A$6:$J$7,2,TRUE)</f>
        <v>2.6499999999999999E-2</v>
      </c>
      <c r="J67" s="22">
        <f t="shared" si="0"/>
        <v>0</v>
      </c>
      <c r="K67" s="22">
        <f t="shared" si="6"/>
        <v>0</v>
      </c>
      <c r="L67">
        <f t="shared" si="10"/>
        <v>0</v>
      </c>
      <c r="M67" s="22">
        <f t="shared" si="7"/>
        <v>0</v>
      </c>
      <c r="N67">
        <f>M66*Assumptions!$B$11/$E$2*J67</f>
        <v>0</v>
      </c>
      <c r="O67">
        <f>M66*Assumptions!$B$13/$E$2*J67</f>
        <v>0</v>
      </c>
      <c r="P67">
        <f>H67*Assumptions!$B$15</f>
        <v>0</v>
      </c>
      <c r="Q67">
        <f>O67*Assumptions!$B$17</f>
        <v>0</v>
      </c>
      <c r="R67">
        <f>HLOOKUP(B67,Assumptions!$A$26:$D$27,2,TRUE)</f>
        <v>0</v>
      </c>
      <c r="S67">
        <f t="shared" si="11"/>
        <v>0</v>
      </c>
      <c r="T67">
        <f t="shared" si="8"/>
        <v>0.25</v>
      </c>
      <c r="U67">
        <f>IF(B67&gt;$K$2,0,IF(T68=0,0,(1-T68)*Assumptions!$B$11/$E$2*(1-Assumptions!$B$30)))</f>
        <v>0</v>
      </c>
      <c r="V67">
        <f>(N67-O67)*(1-Assumptions!$B$30)-Q67+U66*M66</f>
        <v>0</v>
      </c>
      <c r="W67">
        <f>W66*(1+Assumptions!$B$36)^(1/12)</f>
        <v>1.0475298588899582</v>
      </c>
      <c r="X67" s="19">
        <f>IF(B67&gt;$K$2,0,W66*Assumptions!$B$32/12*M66+V67*Assumptions!$B$34/12)</f>
        <v>0</v>
      </c>
      <c r="Y67" s="20">
        <f>1/(1+HLOOKUP(YEAR(A67),Assumptions!$A$41:$AL$43,3,TRUE))^(1/12)</f>
        <v>0.99874250566702261</v>
      </c>
      <c r="Z67">
        <f t="shared" si="9"/>
        <v>0</v>
      </c>
      <c r="AA67">
        <f t="shared" si="12"/>
        <v>0</v>
      </c>
    </row>
    <row r="68" spans="1:27" x14ac:dyDescent="0.2">
      <c r="A68" s="2">
        <f t="shared" si="13"/>
        <v>44834</v>
      </c>
      <c r="B68">
        <f t="shared" si="1"/>
        <v>149</v>
      </c>
      <c r="C68">
        <f t="shared" si="2"/>
        <v>12.333333333333334</v>
      </c>
      <c r="D68">
        <f t="shared" si="3"/>
        <v>0</v>
      </c>
      <c r="E68">
        <f t="shared" si="4"/>
        <v>67</v>
      </c>
      <c r="F68">
        <f>IF(C68&gt;=$J$2,0,VLOOKUP($E68,'Mortality Table'!$A$3:$C$128,2+G$2,FALSE))</f>
        <v>0</v>
      </c>
      <c r="G68">
        <f>F68*Assumptions!$B$1</f>
        <v>0</v>
      </c>
      <c r="H68">
        <f t="shared" si="5"/>
        <v>0</v>
      </c>
      <c r="I68">
        <f>HLOOKUP(C68,Assumptions!$A$6:$J$7,2,TRUE)</f>
        <v>2.6499999999999999E-2</v>
      </c>
      <c r="J68" s="22">
        <f t="shared" si="0"/>
        <v>0</v>
      </c>
      <c r="K68" s="22">
        <f t="shared" si="6"/>
        <v>0</v>
      </c>
      <c r="L68">
        <f t="shared" si="10"/>
        <v>0</v>
      </c>
      <c r="M68" s="22">
        <f t="shared" si="7"/>
        <v>0</v>
      </c>
      <c r="N68">
        <f>M67*Assumptions!$B$11/$E$2*J68</f>
        <v>0</v>
      </c>
      <c r="O68">
        <f>M67*Assumptions!$B$13/$E$2*J68</f>
        <v>0</v>
      </c>
      <c r="P68">
        <f>H68*Assumptions!$B$15</f>
        <v>0</v>
      </c>
      <c r="Q68">
        <f>O68*Assumptions!$B$17</f>
        <v>0</v>
      </c>
      <c r="R68">
        <f>HLOOKUP(B68,Assumptions!$A$26:$D$27,2,TRUE)</f>
        <v>0</v>
      </c>
      <c r="S68">
        <f t="shared" si="11"/>
        <v>0</v>
      </c>
      <c r="T68">
        <f t="shared" si="8"/>
        <v>0.33333333333333393</v>
      </c>
      <c r="U68">
        <f>IF(B68&gt;$K$2,0,IF(T69=0,0,(1-T69)*Assumptions!$B$11/$E$2*(1-Assumptions!$B$30)))</f>
        <v>0</v>
      </c>
      <c r="V68">
        <f>(N68-O68)*(1-Assumptions!$B$30)-Q68+U67*M67</f>
        <v>0</v>
      </c>
      <c r="W68">
        <f>W67*(1+Assumptions!$B$36)^(1/12)</f>
        <v>1.0483988248338232</v>
      </c>
      <c r="X68" s="19">
        <f>IF(B68&gt;$K$2,0,W67*Assumptions!$B$32/12*M67+V68*Assumptions!$B$34/12)</f>
        <v>0</v>
      </c>
      <c r="Y68" s="20">
        <f>1/(1+HLOOKUP(YEAR(A68),Assumptions!$A$41:$AL$43,3,TRUE))^(1/12)</f>
        <v>0.99874250566702261</v>
      </c>
      <c r="Z68">
        <f t="shared" si="9"/>
        <v>0</v>
      </c>
      <c r="AA68">
        <f t="shared" si="12"/>
        <v>0</v>
      </c>
    </row>
    <row r="69" spans="1:27" x14ac:dyDescent="0.2">
      <c r="A69" s="2">
        <f t="shared" si="13"/>
        <v>44865</v>
      </c>
      <c r="B69">
        <f t="shared" si="1"/>
        <v>150</v>
      </c>
      <c r="C69">
        <f t="shared" si="2"/>
        <v>12.416666666666666</v>
      </c>
      <c r="D69">
        <f t="shared" si="3"/>
        <v>0</v>
      </c>
      <c r="E69">
        <f t="shared" si="4"/>
        <v>67</v>
      </c>
      <c r="F69">
        <f>IF(C69&gt;=$J$2,0,VLOOKUP($E69,'Mortality Table'!$A$3:$C$128,2+G$2,FALSE))</f>
        <v>0</v>
      </c>
      <c r="G69">
        <f>F69*Assumptions!$B$1</f>
        <v>0</v>
      </c>
      <c r="H69">
        <f t="shared" si="5"/>
        <v>0</v>
      </c>
      <c r="I69">
        <f>HLOOKUP(C69,Assumptions!$A$6:$J$7,2,TRUE)</f>
        <v>2.6499999999999999E-2</v>
      </c>
      <c r="J69" s="22">
        <f t="shared" si="0"/>
        <v>0</v>
      </c>
      <c r="K69" s="22">
        <f t="shared" si="6"/>
        <v>0</v>
      </c>
      <c r="L69">
        <f t="shared" si="10"/>
        <v>0</v>
      </c>
      <c r="M69" s="22">
        <f t="shared" si="7"/>
        <v>0</v>
      </c>
      <c r="N69">
        <f>M68*Assumptions!$B$11/$E$2*J69</f>
        <v>0</v>
      </c>
      <c r="O69">
        <f>M68*Assumptions!$B$13/$E$2*J69</f>
        <v>0</v>
      </c>
      <c r="P69">
        <f>H69*Assumptions!$B$15</f>
        <v>0</v>
      </c>
      <c r="Q69">
        <f>O69*Assumptions!$B$17</f>
        <v>0</v>
      </c>
      <c r="R69">
        <f>HLOOKUP(B69,Assumptions!$A$26:$D$27,2,TRUE)</f>
        <v>0</v>
      </c>
      <c r="S69">
        <f t="shared" si="11"/>
        <v>0</v>
      </c>
      <c r="T69">
        <f t="shared" si="8"/>
        <v>0.41666666666666607</v>
      </c>
      <c r="U69">
        <f>IF(B69&gt;$K$2,0,IF(T70=0,0,(1-T70)*Assumptions!$B$11/$E$2*(1-Assumptions!$B$30)))</f>
        <v>0</v>
      </c>
      <c r="V69">
        <f>(N69-O69)*(1-Assumptions!$B$30)-Q69+U68*M68</f>
        <v>0</v>
      </c>
      <c r="W69">
        <f>W68*(1+Assumptions!$B$36)^(1/12)</f>
        <v>1.0492685116180587</v>
      </c>
      <c r="X69" s="19">
        <f>IF(B69&gt;$K$2,0,W68*Assumptions!$B$32/12*M68+V69*Assumptions!$B$34/12)</f>
        <v>0</v>
      </c>
      <c r="Y69" s="20">
        <f>1/(1+HLOOKUP(YEAR(A69),Assumptions!$A$41:$AL$43,3,TRUE))^(1/12)</f>
        <v>0.99874250566702261</v>
      </c>
      <c r="Z69">
        <f t="shared" si="9"/>
        <v>0</v>
      </c>
      <c r="AA69">
        <f t="shared" si="12"/>
        <v>0</v>
      </c>
    </row>
    <row r="70" spans="1:27" x14ac:dyDescent="0.2">
      <c r="A70" s="2">
        <f t="shared" si="13"/>
        <v>44895</v>
      </c>
      <c r="B70">
        <f t="shared" si="1"/>
        <v>151</v>
      </c>
      <c r="C70">
        <f t="shared" si="2"/>
        <v>12.5</v>
      </c>
      <c r="D70">
        <f t="shared" si="3"/>
        <v>0</v>
      </c>
      <c r="E70">
        <f t="shared" si="4"/>
        <v>67</v>
      </c>
      <c r="F70">
        <f>IF(C70&gt;=$J$2,0,VLOOKUP($E70,'Mortality Table'!$A$3:$C$128,2+G$2,FALSE))</f>
        <v>0</v>
      </c>
      <c r="G70">
        <f>F70*Assumptions!$B$1</f>
        <v>0</v>
      </c>
      <c r="H70">
        <f t="shared" si="5"/>
        <v>0</v>
      </c>
      <c r="I70">
        <f>HLOOKUP(C70,Assumptions!$A$6:$J$7,2,TRUE)</f>
        <v>2.6499999999999999E-2</v>
      </c>
      <c r="J70" s="22">
        <f t="shared" si="0"/>
        <v>0</v>
      </c>
      <c r="K70" s="22">
        <f t="shared" si="6"/>
        <v>0</v>
      </c>
      <c r="L70">
        <f t="shared" si="10"/>
        <v>0</v>
      </c>
      <c r="M70" s="22">
        <f t="shared" si="7"/>
        <v>0</v>
      </c>
      <c r="N70">
        <f>M69*Assumptions!$B$11/$E$2*J70</f>
        <v>0</v>
      </c>
      <c r="O70">
        <f>M69*Assumptions!$B$13/$E$2*J70</f>
        <v>0</v>
      </c>
      <c r="P70">
        <f>H70*Assumptions!$B$15</f>
        <v>0</v>
      </c>
      <c r="Q70">
        <f>O70*Assumptions!$B$17</f>
        <v>0</v>
      </c>
      <c r="R70">
        <f>HLOOKUP(B70,Assumptions!$A$26:$D$27,2,TRUE)</f>
        <v>0</v>
      </c>
      <c r="S70">
        <f t="shared" si="11"/>
        <v>0</v>
      </c>
      <c r="T70">
        <f t="shared" si="8"/>
        <v>0.5</v>
      </c>
      <c r="U70">
        <f>IF(B70&gt;$K$2,0,IF(T71=0,0,(1-T71)*Assumptions!$B$11/$E$2*(1-Assumptions!$B$30)))</f>
        <v>0</v>
      </c>
      <c r="V70">
        <f>(N70-O70)*(1-Assumptions!$B$30)-Q70+U69*M69</f>
        <v>0</v>
      </c>
      <c r="W70">
        <f>W69*(1+Assumptions!$B$36)^(1/12)</f>
        <v>1.050138919840629</v>
      </c>
      <c r="X70" s="19">
        <f>IF(B70&gt;$K$2,0,W69*Assumptions!$B$32/12*M69+V70*Assumptions!$B$34/12)</f>
        <v>0</v>
      </c>
      <c r="Y70" s="20">
        <f>1/(1+HLOOKUP(YEAR(A70),Assumptions!$A$41:$AL$43,3,TRUE))^(1/12)</f>
        <v>0.99874250566702261</v>
      </c>
      <c r="Z70">
        <f t="shared" si="9"/>
        <v>0</v>
      </c>
      <c r="AA70">
        <f t="shared" si="12"/>
        <v>0</v>
      </c>
    </row>
    <row r="71" spans="1:27" x14ac:dyDescent="0.2">
      <c r="A71" s="2">
        <f t="shared" si="13"/>
        <v>44926</v>
      </c>
      <c r="B71">
        <f t="shared" si="1"/>
        <v>152</v>
      </c>
      <c r="C71">
        <f t="shared" si="2"/>
        <v>12.583333333333334</v>
      </c>
      <c r="D71">
        <f t="shared" si="3"/>
        <v>0</v>
      </c>
      <c r="E71">
        <f t="shared" si="4"/>
        <v>67</v>
      </c>
      <c r="F71">
        <f>IF(C71&gt;=$J$2,0,VLOOKUP($E71,'Mortality Table'!$A$3:$C$128,2+G$2,FALSE))</f>
        <v>0</v>
      </c>
      <c r="G71">
        <f>F71*Assumptions!$B$1</f>
        <v>0</v>
      </c>
      <c r="H71">
        <f t="shared" si="5"/>
        <v>0</v>
      </c>
      <c r="I71">
        <f>HLOOKUP(C71,Assumptions!$A$6:$J$7,2,TRUE)</f>
        <v>2.6499999999999999E-2</v>
      </c>
      <c r="J71" s="22">
        <f t="shared" si="0"/>
        <v>0</v>
      </c>
      <c r="K71" s="22">
        <f t="shared" si="6"/>
        <v>0</v>
      </c>
      <c r="L71">
        <f t="shared" si="10"/>
        <v>0</v>
      </c>
      <c r="M71" s="22">
        <f t="shared" si="7"/>
        <v>0</v>
      </c>
      <c r="N71">
        <f>M70*Assumptions!$B$11/$E$2*J71</f>
        <v>0</v>
      </c>
      <c r="O71">
        <f>M70*Assumptions!$B$13/$E$2*J71</f>
        <v>0</v>
      </c>
      <c r="P71">
        <f>H71*Assumptions!$B$15</f>
        <v>0</v>
      </c>
      <c r="Q71">
        <f>O71*Assumptions!$B$17</f>
        <v>0</v>
      </c>
      <c r="R71">
        <f>HLOOKUP(B71,Assumptions!$A$26:$D$27,2,TRUE)</f>
        <v>0</v>
      </c>
      <c r="S71">
        <f t="shared" si="11"/>
        <v>0</v>
      </c>
      <c r="T71">
        <f t="shared" si="8"/>
        <v>0.58333333333333393</v>
      </c>
      <c r="U71">
        <f>IF(B71&gt;$K$2,0,IF(T72=0,0,(1-T72)*Assumptions!$B$11/$E$2*(1-Assumptions!$B$30)))</f>
        <v>0</v>
      </c>
      <c r="V71">
        <f>(N71-O71)*(1-Assumptions!$B$30)-Q71+U70*M70</f>
        <v>0</v>
      </c>
      <c r="W71">
        <f>W70*(1+Assumptions!$B$36)^(1/12)</f>
        <v>1.051010050099995</v>
      </c>
      <c r="X71" s="19">
        <f>IF(B71&gt;$K$2,0,W70*Assumptions!$B$32/12*M70+V71*Assumptions!$B$34/12)</f>
        <v>0</v>
      </c>
      <c r="Y71" s="20">
        <f>1/(1+HLOOKUP(YEAR(A71),Assumptions!$A$41:$AL$43,3,TRUE))^(1/12)</f>
        <v>0.99874250566702261</v>
      </c>
      <c r="Z71">
        <f t="shared" si="9"/>
        <v>0</v>
      </c>
      <c r="AA71">
        <f t="shared" si="12"/>
        <v>0</v>
      </c>
    </row>
    <row r="72" spans="1:27" x14ac:dyDescent="0.2">
      <c r="A72" s="2">
        <f t="shared" si="13"/>
        <v>44957</v>
      </c>
      <c r="B72">
        <f t="shared" si="1"/>
        <v>153</v>
      </c>
      <c r="C72">
        <f t="shared" si="2"/>
        <v>12.666666666666666</v>
      </c>
      <c r="D72">
        <f t="shared" si="3"/>
        <v>0</v>
      </c>
      <c r="E72">
        <f t="shared" si="4"/>
        <v>67</v>
      </c>
      <c r="F72">
        <f>IF(C72&gt;=$J$2,0,VLOOKUP($E72,'Mortality Table'!$A$3:$C$128,2+G$2,FALSE))</f>
        <v>0</v>
      </c>
      <c r="G72">
        <f>F72*Assumptions!$B$1</f>
        <v>0</v>
      </c>
      <c r="H72">
        <f t="shared" si="5"/>
        <v>0</v>
      </c>
      <c r="I72">
        <f>HLOOKUP(C72,Assumptions!$A$6:$J$7,2,TRUE)</f>
        <v>2.6499999999999999E-2</v>
      </c>
      <c r="J72" s="22">
        <f t="shared" si="0"/>
        <v>0</v>
      </c>
      <c r="K72" s="22">
        <f t="shared" si="6"/>
        <v>0</v>
      </c>
      <c r="L72">
        <f t="shared" si="10"/>
        <v>0</v>
      </c>
      <c r="M72" s="22">
        <f t="shared" si="7"/>
        <v>0</v>
      </c>
      <c r="N72">
        <f>M71*Assumptions!$B$11/$E$2*J72</f>
        <v>0</v>
      </c>
      <c r="O72">
        <f>M71*Assumptions!$B$13/$E$2*J72</f>
        <v>0</v>
      </c>
      <c r="P72">
        <f>H72*Assumptions!$B$15</f>
        <v>0</v>
      </c>
      <c r="Q72">
        <f>O72*Assumptions!$B$17</f>
        <v>0</v>
      </c>
      <c r="R72">
        <f>HLOOKUP(B72,Assumptions!$A$26:$D$27,2,TRUE)</f>
        <v>0</v>
      </c>
      <c r="S72">
        <f t="shared" si="11"/>
        <v>0</v>
      </c>
      <c r="T72">
        <f t="shared" si="8"/>
        <v>0.66666666666666607</v>
      </c>
      <c r="U72">
        <f>IF(B72&gt;$K$2,0,IF(T73=0,0,(1-T73)*Assumptions!$B$11/$E$2*(1-Assumptions!$B$30)))</f>
        <v>0</v>
      </c>
      <c r="V72">
        <f>(N72-O72)*(1-Assumptions!$B$30)-Q72+U71*M71</f>
        <v>0</v>
      </c>
      <c r="W72">
        <f>W71*(1+Assumptions!$B$36)^(1/12)</f>
        <v>1.0518819029951139</v>
      </c>
      <c r="X72" s="19">
        <f>IF(B72&gt;$K$2,0,W71*Assumptions!$B$32/12*M71+V72*Assumptions!$B$34/12)</f>
        <v>0</v>
      </c>
      <c r="Y72" s="20">
        <f>1/(1+HLOOKUP(YEAR(A72),Assumptions!$A$41:$AL$43,3,TRUE))^(1/12)</f>
        <v>0.99881993499877397</v>
      </c>
      <c r="Z72">
        <f t="shared" si="9"/>
        <v>0</v>
      </c>
      <c r="AA72">
        <f t="shared" si="12"/>
        <v>0</v>
      </c>
    </row>
    <row r="73" spans="1:27" x14ac:dyDescent="0.2">
      <c r="A73" s="2">
        <f t="shared" si="13"/>
        <v>44985</v>
      </c>
      <c r="B73">
        <f t="shared" si="1"/>
        <v>154</v>
      </c>
      <c r="C73">
        <f t="shared" si="2"/>
        <v>12.75</v>
      </c>
      <c r="D73">
        <f t="shared" si="3"/>
        <v>0</v>
      </c>
      <c r="E73">
        <f t="shared" si="4"/>
        <v>67</v>
      </c>
      <c r="F73">
        <f>IF(C73&gt;=$J$2,0,VLOOKUP($E73,'Mortality Table'!$A$3:$C$128,2+G$2,FALSE))</f>
        <v>0</v>
      </c>
      <c r="G73">
        <f>F73*Assumptions!$B$1</f>
        <v>0</v>
      </c>
      <c r="H73">
        <f t="shared" si="5"/>
        <v>0</v>
      </c>
      <c r="I73">
        <f>HLOOKUP(C73,Assumptions!$A$6:$J$7,2,TRUE)</f>
        <v>2.6499999999999999E-2</v>
      </c>
      <c r="J73" s="22">
        <f t="shared" si="0"/>
        <v>0</v>
      </c>
      <c r="K73" s="22">
        <f t="shared" si="6"/>
        <v>0</v>
      </c>
      <c r="L73">
        <f t="shared" si="10"/>
        <v>0</v>
      </c>
      <c r="M73" s="22">
        <f t="shared" si="7"/>
        <v>0</v>
      </c>
      <c r="N73">
        <f>M72*Assumptions!$B$11/$E$2*J73</f>
        <v>0</v>
      </c>
      <c r="O73">
        <f>M72*Assumptions!$B$13/$E$2*J73</f>
        <v>0</v>
      </c>
      <c r="P73">
        <f>H73*Assumptions!$B$15</f>
        <v>0</v>
      </c>
      <c r="Q73">
        <f>O73*Assumptions!$B$17</f>
        <v>0</v>
      </c>
      <c r="R73">
        <f>HLOOKUP(B73,Assumptions!$A$26:$D$27,2,TRUE)</f>
        <v>0</v>
      </c>
      <c r="S73">
        <f t="shared" si="11"/>
        <v>0</v>
      </c>
      <c r="T73">
        <f t="shared" si="8"/>
        <v>0.75</v>
      </c>
      <c r="U73">
        <f>IF(B73&gt;$K$2,0,IF(T74=0,0,(1-T74)*Assumptions!$B$11/$E$2*(1-Assumptions!$B$30)))</f>
        <v>0</v>
      </c>
      <c r="V73">
        <f>(N73-O73)*(1-Assumptions!$B$30)-Q73+U72*M72</f>
        <v>0</v>
      </c>
      <c r="W73">
        <f>W72*(1+Assumptions!$B$36)^(1/12)</f>
        <v>1.0527544791254393</v>
      </c>
      <c r="X73" s="19">
        <f>IF(B73&gt;$K$2,0,W72*Assumptions!$B$32/12*M72+V73*Assumptions!$B$34/12)</f>
        <v>0</v>
      </c>
      <c r="Y73" s="20">
        <f>1/(1+HLOOKUP(YEAR(A73),Assumptions!$A$41:$AL$43,3,TRUE))^(1/12)</f>
        <v>0.99881993499877397</v>
      </c>
      <c r="Z73">
        <f t="shared" si="9"/>
        <v>0</v>
      </c>
      <c r="AA73">
        <f t="shared" si="12"/>
        <v>0</v>
      </c>
    </row>
    <row r="74" spans="1:27" x14ac:dyDescent="0.2">
      <c r="A74" s="2">
        <f t="shared" si="13"/>
        <v>45016</v>
      </c>
      <c r="B74">
        <f t="shared" si="1"/>
        <v>155</v>
      </c>
      <c r="C74">
        <f t="shared" si="2"/>
        <v>12.833333333333334</v>
      </c>
      <c r="D74">
        <f t="shared" si="3"/>
        <v>0</v>
      </c>
      <c r="E74">
        <f t="shared" si="4"/>
        <v>67</v>
      </c>
      <c r="F74">
        <f>IF(C74&gt;=$J$2,0,VLOOKUP($E74,'Mortality Table'!$A$3:$C$128,2+G$2,FALSE))</f>
        <v>0</v>
      </c>
      <c r="G74">
        <f>F74*Assumptions!$B$1</f>
        <v>0</v>
      </c>
      <c r="H74">
        <f t="shared" si="5"/>
        <v>0</v>
      </c>
      <c r="I74">
        <f>HLOOKUP(C74,Assumptions!$A$6:$J$7,2,TRUE)</f>
        <v>2.6499999999999999E-2</v>
      </c>
      <c r="J74" s="22">
        <f t="shared" si="0"/>
        <v>0</v>
      </c>
      <c r="K74" s="22">
        <f t="shared" si="6"/>
        <v>0</v>
      </c>
      <c r="L74">
        <f t="shared" si="10"/>
        <v>0</v>
      </c>
      <c r="M74" s="22">
        <f t="shared" si="7"/>
        <v>0</v>
      </c>
      <c r="N74">
        <f>M73*Assumptions!$B$11/$E$2*J74</f>
        <v>0</v>
      </c>
      <c r="O74">
        <f>M73*Assumptions!$B$13/$E$2*J74</f>
        <v>0</v>
      </c>
      <c r="P74">
        <f>H74*Assumptions!$B$15</f>
        <v>0</v>
      </c>
      <c r="Q74">
        <f>O74*Assumptions!$B$17</f>
        <v>0</v>
      </c>
      <c r="R74">
        <f>HLOOKUP(B74,Assumptions!$A$26:$D$27,2,TRUE)</f>
        <v>0</v>
      </c>
      <c r="S74">
        <f t="shared" si="11"/>
        <v>0</v>
      </c>
      <c r="T74">
        <f t="shared" si="8"/>
        <v>0.83333333333333393</v>
      </c>
      <c r="U74">
        <f>IF(B74&gt;$K$2,0,IF(T75=0,0,(1-T75)*Assumptions!$B$11/$E$2*(1-Assumptions!$B$30)))</f>
        <v>0</v>
      </c>
      <c r="V74">
        <f>(N74-O74)*(1-Assumptions!$B$30)-Q74+U73*M73</f>
        <v>0</v>
      </c>
      <c r="W74">
        <f>W73*(1+Assumptions!$B$36)^(1/12)</f>
        <v>1.0536277790909225</v>
      </c>
      <c r="X74" s="19">
        <f>IF(B74&gt;$K$2,0,W73*Assumptions!$B$32/12*M73+V74*Assumptions!$B$34/12)</f>
        <v>0</v>
      </c>
      <c r="Y74" s="20">
        <f>1/(1+HLOOKUP(YEAR(A74),Assumptions!$A$41:$AL$43,3,TRUE))^(1/12)</f>
        <v>0.99881993499877397</v>
      </c>
      <c r="Z74">
        <f t="shared" si="9"/>
        <v>0</v>
      </c>
      <c r="AA74">
        <f t="shared" si="12"/>
        <v>0</v>
      </c>
    </row>
    <row r="75" spans="1:27" x14ac:dyDescent="0.2">
      <c r="A75" s="2">
        <f t="shared" si="13"/>
        <v>45046</v>
      </c>
      <c r="B75">
        <f t="shared" si="1"/>
        <v>156</v>
      </c>
      <c r="C75">
        <f t="shared" si="2"/>
        <v>12.916666666666666</v>
      </c>
      <c r="D75">
        <f t="shared" si="3"/>
        <v>0</v>
      </c>
      <c r="E75">
        <f t="shared" si="4"/>
        <v>67</v>
      </c>
      <c r="F75">
        <f>IF(C75&gt;=$J$2,0,VLOOKUP($E75,'Mortality Table'!$A$3:$C$128,2+G$2,FALSE))</f>
        <v>0</v>
      </c>
      <c r="G75">
        <f>F75*Assumptions!$B$1</f>
        <v>0</v>
      </c>
      <c r="H75">
        <f t="shared" si="5"/>
        <v>0</v>
      </c>
      <c r="I75">
        <f>HLOOKUP(C75,Assumptions!$A$6:$J$7,2,TRUE)</f>
        <v>2.6499999999999999E-2</v>
      </c>
      <c r="J75" s="22">
        <f t="shared" ref="J75:J138" si="14">IF(B75&gt;$K$2,0,IF(($E$2*(B75+11))/12-INT(($E$2*(B75+11))/12)=0,1,0))</f>
        <v>0</v>
      </c>
      <c r="K75" s="22">
        <f t="shared" si="6"/>
        <v>0</v>
      </c>
      <c r="L75">
        <f t="shared" si="10"/>
        <v>0</v>
      </c>
      <c r="M75" s="22">
        <f t="shared" si="7"/>
        <v>0</v>
      </c>
      <c r="N75">
        <f>M74*Assumptions!$B$11/$E$2*J75</f>
        <v>0</v>
      </c>
      <c r="O75">
        <f>M74*Assumptions!$B$13/$E$2*J75</f>
        <v>0</v>
      </c>
      <c r="P75">
        <f>H75*Assumptions!$B$15</f>
        <v>0</v>
      </c>
      <c r="Q75">
        <f>O75*Assumptions!$B$17</f>
        <v>0</v>
      </c>
      <c r="R75">
        <f>HLOOKUP(B75,Assumptions!$A$26:$D$27,2,TRUE)</f>
        <v>0</v>
      </c>
      <c r="S75">
        <f t="shared" si="11"/>
        <v>0</v>
      </c>
      <c r="T75">
        <f t="shared" si="8"/>
        <v>0.91666666666666607</v>
      </c>
      <c r="U75">
        <f>IF(B75&gt;$K$2,0,IF(T76=0,0,(1-T76)*Assumptions!$B$11/$E$2*(1-Assumptions!$B$30)))</f>
        <v>0</v>
      </c>
      <c r="V75">
        <f>(N75-O75)*(1-Assumptions!$B$30)-Q75+U74*M74</f>
        <v>0</v>
      </c>
      <c r="W75">
        <f>W74*(1+Assumptions!$B$36)^(1/12)</f>
        <v>1.0545018034920124</v>
      </c>
      <c r="X75" s="19">
        <f>IF(B75&gt;$K$2,0,W74*Assumptions!$B$32/12*M74+V75*Assumptions!$B$34/12)</f>
        <v>0</v>
      </c>
      <c r="Y75" s="20">
        <f>1/(1+HLOOKUP(YEAR(A75),Assumptions!$A$41:$AL$43,3,TRUE))^(1/12)</f>
        <v>0.99881993499877397</v>
      </c>
      <c r="Z75">
        <f t="shared" si="9"/>
        <v>0</v>
      </c>
      <c r="AA75">
        <f t="shared" si="12"/>
        <v>0</v>
      </c>
    </row>
    <row r="76" spans="1:27" x14ac:dyDescent="0.2">
      <c r="A76" s="2">
        <f t="shared" si="13"/>
        <v>45077</v>
      </c>
      <c r="B76">
        <f t="shared" si="1"/>
        <v>157</v>
      </c>
      <c r="C76">
        <f t="shared" ref="C76:C139" si="15">(B76+11)/12-1</f>
        <v>13</v>
      </c>
      <c r="D76">
        <f t="shared" ref="D76:D139" si="16">IF(C76-INT(C76)=0,1,0)</f>
        <v>1</v>
      </c>
      <c r="E76">
        <f t="shared" ref="E76:E139" si="17">$C$2+INT($C76)</f>
        <v>68</v>
      </c>
      <c r="F76">
        <f>IF(C76&gt;=$J$2,0,VLOOKUP($E76,'Mortality Table'!$A$3:$C$128,2+G$2,FALSE))</f>
        <v>0</v>
      </c>
      <c r="G76">
        <f>F76*Assumptions!$B$1</f>
        <v>0</v>
      </c>
      <c r="H76">
        <f t="shared" ref="H76:H139" si="18">(1-(1-G76)^(1/12))*M75</f>
        <v>0</v>
      </c>
      <c r="I76">
        <f>HLOOKUP(C76,Assumptions!$A$6:$J$7,2,TRUE)</f>
        <v>2.6499999999999999E-2</v>
      </c>
      <c r="J76" s="22">
        <f t="shared" si="14"/>
        <v>0</v>
      </c>
      <c r="K76" s="22">
        <f t="shared" ref="K76:K139" si="19">IF(B77&gt;$K$2,0,IF(J77=0,0,1/$E$2))</f>
        <v>0</v>
      </c>
      <c r="L76">
        <f t="shared" si="10"/>
        <v>0</v>
      </c>
      <c r="M76" s="22">
        <f t="shared" ref="M76:M139" si="20">IF(B76&gt;$K$2,0,M75-H76-L76)</f>
        <v>0</v>
      </c>
      <c r="N76">
        <f>M75*Assumptions!$B$11/$E$2*J76</f>
        <v>0</v>
      </c>
      <c r="O76">
        <f>M75*Assumptions!$B$13/$E$2*J76</f>
        <v>0</v>
      </c>
      <c r="P76">
        <f>H76*Assumptions!$B$15</f>
        <v>0</v>
      </c>
      <c r="Q76">
        <f>O76*Assumptions!$B$17</f>
        <v>0</v>
      </c>
      <c r="R76">
        <f>HLOOKUP(B76,Assumptions!$A$26:$D$27,2,TRUE)</f>
        <v>0</v>
      </c>
      <c r="S76">
        <f t="shared" si="11"/>
        <v>0</v>
      </c>
      <c r="T76">
        <f t="shared" ref="T76:T139" si="21">($E$2*(B76+11))/12-INT(($E$2*(B76+11))/12)</f>
        <v>0</v>
      </c>
      <c r="U76">
        <f>IF(B76&gt;$K$2,0,IF(T77=0,0,(1-T77)*Assumptions!$B$11/$E$2*(1-Assumptions!$B$30)))</f>
        <v>0</v>
      </c>
      <c r="V76">
        <f>(N76-O76)*(1-Assumptions!$B$30)-Q76+U75*M75</f>
        <v>0</v>
      </c>
      <c r="W76">
        <f>W75*(1+Assumptions!$B$36)^(1/12)</f>
        <v>1.0553765529296557</v>
      </c>
      <c r="X76" s="19">
        <f>IF(B76&gt;$K$2,0,W75*Assumptions!$B$32/12*M75+V76*Assumptions!$B$34/12)</f>
        <v>0</v>
      </c>
      <c r="Y76" s="20">
        <f>1/(1+HLOOKUP(YEAR(A76),Assumptions!$A$41:$AL$43,3,TRUE))^(1/12)</f>
        <v>0.99881993499877397</v>
      </c>
      <c r="Z76">
        <f t="shared" ref="Z76:Z139" si="22">(Z77+P77+Q77+S77+X77-N77)*Y77</f>
        <v>0</v>
      </c>
      <c r="AA76">
        <f t="shared" si="12"/>
        <v>0</v>
      </c>
    </row>
    <row r="77" spans="1:27" x14ac:dyDescent="0.2">
      <c r="A77" s="2">
        <f t="shared" si="13"/>
        <v>45107</v>
      </c>
      <c r="B77">
        <f t="shared" ref="B77:B140" si="23">B76+1</f>
        <v>158</v>
      </c>
      <c r="C77">
        <f t="shared" si="15"/>
        <v>13.083333333333334</v>
      </c>
      <c r="D77">
        <f t="shared" si="16"/>
        <v>0</v>
      </c>
      <c r="E77">
        <f t="shared" si="17"/>
        <v>68</v>
      </c>
      <c r="F77">
        <f>IF(C77&gt;=$J$2,0,VLOOKUP($E77,'Mortality Table'!$A$3:$C$128,2+G$2,FALSE))</f>
        <v>0</v>
      </c>
      <c r="G77">
        <f>F77*Assumptions!$B$1</f>
        <v>0</v>
      </c>
      <c r="H77">
        <f t="shared" si="18"/>
        <v>0</v>
      </c>
      <c r="I77">
        <f>HLOOKUP(C77,Assumptions!$A$6:$J$7,2,TRUE)</f>
        <v>2.6499999999999999E-2</v>
      </c>
      <c r="J77" s="22">
        <f t="shared" si="14"/>
        <v>0</v>
      </c>
      <c r="K77" s="22">
        <f t="shared" si="19"/>
        <v>0</v>
      </c>
      <c r="L77">
        <f t="shared" ref="L77:L140" si="24">(1-(1-I77)^K77)*(M76-H77)</f>
        <v>0</v>
      </c>
      <c r="M77" s="22">
        <f t="shared" si="20"/>
        <v>0</v>
      </c>
      <c r="N77">
        <f>M76*Assumptions!$B$11/$E$2*J77</f>
        <v>0</v>
      </c>
      <c r="O77">
        <f>M76*Assumptions!$B$13/$E$2*J77</f>
        <v>0</v>
      </c>
      <c r="P77">
        <f>H77*Assumptions!$B$15</f>
        <v>0</v>
      </c>
      <c r="Q77">
        <f>O77*Assumptions!$B$17</f>
        <v>0</v>
      </c>
      <c r="R77">
        <f>HLOOKUP(B77,Assumptions!$A$26:$D$27,2,TRUE)</f>
        <v>0</v>
      </c>
      <c r="S77">
        <f t="shared" ref="S77:S140" si="25">N77*R77</f>
        <v>0</v>
      </c>
      <c r="T77">
        <f t="shared" si="21"/>
        <v>8.3333333333333925E-2</v>
      </c>
      <c r="U77">
        <f>IF(B77&gt;$K$2,0,IF(T78=0,0,(1-T78)*Assumptions!$B$11/$E$2*(1-Assumptions!$B$30)))</f>
        <v>0</v>
      </c>
      <c r="V77">
        <f>(N77-O77)*(1-Assumptions!$B$30)-Q77+U76*M76</f>
        <v>0</v>
      </c>
      <c r="W77">
        <f>W76*(1+Assumptions!$B$36)^(1/12)</f>
        <v>1.056252028005298</v>
      </c>
      <c r="X77" s="19">
        <f>IF(B77&gt;$K$2,0,W76*Assumptions!$B$32/12*M76+V77*Assumptions!$B$34/12)</f>
        <v>0</v>
      </c>
      <c r="Y77" s="20">
        <f>1/(1+HLOOKUP(YEAR(A77),Assumptions!$A$41:$AL$43,3,TRUE))^(1/12)</f>
        <v>0.99881993499877397</v>
      </c>
      <c r="Z77">
        <f t="shared" si="22"/>
        <v>0</v>
      </c>
      <c r="AA77">
        <f t="shared" ref="AA77:AA140" si="26">P77+Q77</f>
        <v>0</v>
      </c>
    </row>
    <row r="78" spans="1:27" x14ac:dyDescent="0.2">
      <c r="A78" s="2">
        <f t="shared" si="13"/>
        <v>45138</v>
      </c>
      <c r="B78">
        <f t="shared" si="23"/>
        <v>159</v>
      </c>
      <c r="C78">
        <f t="shared" si="15"/>
        <v>13.166666666666666</v>
      </c>
      <c r="D78">
        <f t="shared" si="16"/>
        <v>0</v>
      </c>
      <c r="E78">
        <f t="shared" si="17"/>
        <v>68</v>
      </c>
      <c r="F78">
        <f>IF(C78&gt;=$J$2,0,VLOOKUP($E78,'Mortality Table'!$A$3:$C$128,2+G$2,FALSE))</f>
        <v>0</v>
      </c>
      <c r="G78">
        <f>F78*Assumptions!$B$1</f>
        <v>0</v>
      </c>
      <c r="H78">
        <f t="shared" si="18"/>
        <v>0</v>
      </c>
      <c r="I78">
        <f>HLOOKUP(C78,Assumptions!$A$6:$J$7,2,TRUE)</f>
        <v>2.6499999999999999E-2</v>
      </c>
      <c r="J78" s="22">
        <f t="shared" si="14"/>
        <v>0</v>
      </c>
      <c r="K78" s="22">
        <f t="shared" si="19"/>
        <v>0</v>
      </c>
      <c r="L78">
        <f t="shared" si="24"/>
        <v>0</v>
      </c>
      <c r="M78" s="22">
        <f t="shared" si="20"/>
        <v>0</v>
      </c>
      <c r="N78">
        <f>M77*Assumptions!$B$11/$E$2*J78</f>
        <v>0</v>
      </c>
      <c r="O78">
        <f>M77*Assumptions!$B$13/$E$2*J78</f>
        <v>0</v>
      </c>
      <c r="P78">
        <f>H78*Assumptions!$B$15</f>
        <v>0</v>
      </c>
      <c r="Q78">
        <f>O78*Assumptions!$B$17</f>
        <v>0</v>
      </c>
      <c r="R78">
        <f>HLOOKUP(B78,Assumptions!$A$26:$D$27,2,TRUE)</f>
        <v>0</v>
      </c>
      <c r="S78">
        <f t="shared" si="25"/>
        <v>0</v>
      </c>
      <c r="T78">
        <f t="shared" si="21"/>
        <v>0.16666666666666607</v>
      </c>
      <c r="U78">
        <f>IF(B78&gt;$K$2,0,IF(T79=0,0,(1-T79)*Assumptions!$B$11/$E$2*(1-Assumptions!$B$30)))</f>
        <v>0</v>
      </c>
      <c r="V78">
        <f>(N78-O78)*(1-Assumptions!$B$30)-Q78+U77*M77</f>
        <v>0</v>
      </c>
      <c r="W78">
        <f>W77*(1+Assumptions!$B$36)^(1/12)</f>
        <v>1.0571282293208839</v>
      </c>
      <c r="X78" s="19">
        <f>IF(B78&gt;$K$2,0,W77*Assumptions!$B$32/12*M77+V78*Assumptions!$B$34/12)</f>
        <v>0</v>
      </c>
      <c r="Y78" s="20">
        <f>1/(1+HLOOKUP(YEAR(A78),Assumptions!$A$41:$AL$43,3,TRUE))^(1/12)</f>
        <v>0.99881993499877397</v>
      </c>
      <c r="Z78">
        <f t="shared" si="22"/>
        <v>0</v>
      </c>
      <c r="AA78">
        <f t="shared" si="26"/>
        <v>0</v>
      </c>
    </row>
    <row r="79" spans="1:27" x14ac:dyDescent="0.2">
      <c r="A79" s="2">
        <f t="shared" ref="A79:A142" si="27">DATE(YEAR(A78),MONTH(A78)+2,1)-1</f>
        <v>45169</v>
      </c>
      <c r="B79">
        <f t="shared" si="23"/>
        <v>160</v>
      </c>
      <c r="C79">
        <f t="shared" si="15"/>
        <v>13.25</v>
      </c>
      <c r="D79">
        <f t="shared" si="16"/>
        <v>0</v>
      </c>
      <c r="E79">
        <f t="shared" si="17"/>
        <v>68</v>
      </c>
      <c r="F79">
        <f>IF(C79&gt;=$J$2,0,VLOOKUP($E79,'Mortality Table'!$A$3:$C$128,2+G$2,FALSE))</f>
        <v>0</v>
      </c>
      <c r="G79">
        <f>F79*Assumptions!$B$1</f>
        <v>0</v>
      </c>
      <c r="H79">
        <f t="shared" si="18"/>
        <v>0</v>
      </c>
      <c r="I79">
        <f>HLOOKUP(C79,Assumptions!$A$6:$J$7,2,TRUE)</f>
        <v>2.6499999999999999E-2</v>
      </c>
      <c r="J79" s="22">
        <f t="shared" si="14"/>
        <v>0</v>
      </c>
      <c r="K79" s="22">
        <f t="shared" si="19"/>
        <v>0</v>
      </c>
      <c r="L79">
        <f t="shared" si="24"/>
        <v>0</v>
      </c>
      <c r="M79" s="22">
        <f t="shared" si="20"/>
        <v>0</v>
      </c>
      <c r="N79">
        <f>M78*Assumptions!$B$11/$E$2*J79</f>
        <v>0</v>
      </c>
      <c r="O79">
        <f>M78*Assumptions!$B$13/$E$2*J79</f>
        <v>0</v>
      </c>
      <c r="P79">
        <f>H79*Assumptions!$B$15</f>
        <v>0</v>
      </c>
      <c r="Q79">
        <f>O79*Assumptions!$B$17</f>
        <v>0</v>
      </c>
      <c r="R79">
        <f>HLOOKUP(B79,Assumptions!$A$26:$D$27,2,TRUE)</f>
        <v>0</v>
      </c>
      <c r="S79">
        <f t="shared" si="25"/>
        <v>0</v>
      </c>
      <c r="T79">
        <f t="shared" si="21"/>
        <v>0.25</v>
      </c>
      <c r="U79">
        <f>IF(B79&gt;$K$2,0,IF(T80=0,0,(1-T80)*Assumptions!$B$11/$E$2*(1-Assumptions!$B$30)))</f>
        <v>0</v>
      </c>
      <c r="V79">
        <f>(N79-O79)*(1-Assumptions!$B$30)-Q79+U78*M78</f>
        <v>0</v>
      </c>
      <c r="W79">
        <f>W78*(1+Assumptions!$B$36)^(1/12)</f>
        <v>1.0580051574788569</v>
      </c>
      <c r="X79" s="19">
        <f>IF(B79&gt;$K$2,0,W78*Assumptions!$B$32/12*M78+V79*Assumptions!$B$34/12)</f>
        <v>0</v>
      </c>
      <c r="Y79" s="20">
        <f>1/(1+HLOOKUP(YEAR(A79),Assumptions!$A$41:$AL$43,3,TRUE))^(1/12)</f>
        <v>0.99881993499877397</v>
      </c>
      <c r="Z79">
        <f t="shared" si="22"/>
        <v>0</v>
      </c>
      <c r="AA79">
        <f t="shared" si="26"/>
        <v>0</v>
      </c>
    </row>
    <row r="80" spans="1:27" x14ac:dyDescent="0.2">
      <c r="A80" s="2">
        <f t="shared" si="27"/>
        <v>45199</v>
      </c>
      <c r="B80">
        <f t="shared" si="23"/>
        <v>161</v>
      </c>
      <c r="C80">
        <f t="shared" si="15"/>
        <v>13.333333333333334</v>
      </c>
      <c r="D80">
        <f t="shared" si="16"/>
        <v>0</v>
      </c>
      <c r="E80">
        <f t="shared" si="17"/>
        <v>68</v>
      </c>
      <c r="F80">
        <f>IF(C80&gt;=$J$2,0,VLOOKUP($E80,'Mortality Table'!$A$3:$C$128,2+G$2,FALSE))</f>
        <v>0</v>
      </c>
      <c r="G80">
        <f>F80*Assumptions!$B$1</f>
        <v>0</v>
      </c>
      <c r="H80">
        <f t="shared" si="18"/>
        <v>0</v>
      </c>
      <c r="I80">
        <f>HLOOKUP(C80,Assumptions!$A$6:$J$7,2,TRUE)</f>
        <v>2.6499999999999999E-2</v>
      </c>
      <c r="J80" s="22">
        <f t="shared" si="14"/>
        <v>0</v>
      </c>
      <c r="K80" s="22">
        <f t="shared" si="19"/>
        <v>0</v>
      </c>
      <c r="L80">
        <f t="shared" si="24"/>
        <v>0</v>
      </c>
      <c r="M80" s="22">
        <f t="shared" si="20"/>
        <v>0</v>
      </c>
      <c r="N80">
        <f>M79*Assumptions!$B$11/$E$2*J80</f>
        <v>0</v>
      </c>
      <c r="O80">
        <f>M79*Assumptions!$B$13/$E$2*J80</f>
        <v>0</v>
      </c>
      <c r="P80">
        <f>H80*Assumptions!$B$15</f>
        <v>0</v>
      </c>
      <c r="Q80">
        <f>O80*Assumptions!$B$17</f>
        <v>0</v>
      </c>
      <c r="R80">
        <f>HLOOKUP(B80,Assumptions!$A$26:$D$27,2,TRUE)</f>
        <v>0</v>
      </c>
      <c r="S80">
        <f t="shared" si="25"/>
        <v>0</v>
      </c>
      <c r="T80">
        <f t="shared" si="21"/>
        <v>0.33333333333333393</v>
      </c>
      <c r="U80">
        <f>IF(B80&gt;$K$2,0,IF(T81=0,0,(1-T81)*Assumptions!$B$11/$E$2*(1-Assumptions!$B$30)))</f>
        <v>0</v>
      </c>
      <c r="V80">
        <f>(N80-O80)*(1-Assumptions!$B$30)-Q80+U79*M79</f>
        <v>0</v>
      </c>
      <c r="W80">
        <f>W79*(1+Assumptions!$B$36)^(1/12)</f>
        <v>1.0588828130821604</v>
      </c>
      <c r="X80" s="19">
        <f>IF(B80&gt;$K$2,0,W79*Assumptions!$B$32/12*M79+V80*Assumptions!$B$34/12)</f>
        <v>0</v>
      </c>
      <c r="Y80" s="20">
        <f>1/(1+HLOOKUP(YEAR(A80),Assumptions!$A$41:$AL$43,3,TRUE))^(1/12)</f>
        <v>0.99881993499877397</v>
      </c>
      <c r="Z80">
        <f t="shared" si="22"/>
        <v>0</v>
      </c>
      <c r="AA80">
        <f t="shared" si="26"/>
        <v>0</v>
      </c>
    </row>
    <row r="81" spans="1:27" x14ac:dyDescent="0.2">
      <c r="A81" s="2">
        <f t="shared" si="27"/>
        <v>45230</v>
      </c>
      <c r="B81">
        <f t="shared" si="23"/>
        <v>162</v>
      </c>
      <c r="C81">
        <f t="shared" si="15"/>
        <v>13.416666666666666</v>
      </c>
      <c r="D81">
        <f t="shared" si="16"/>
        <v>0</v>
      </c>
      <c r="E81">
        <f t="shared" si="17"/>
        <v>68</v>
      </c>
      <c r="F81">
        <f>IF(C81&gt;=$J$2,0,VLOOKUP($E81,'Mortality Table'!$A$3:$C$128,2+G$2,FALSE))</f>
        <v>0</v>
      </c>
      <c r="G81">
        <f>F81*Assumptions!$B$1</f>
        <v>0</v>
      </c>
      <c r="H81">
        <f t="shared" si="18"/>
        <v>0</v>
      </c>
      <c r="I81">
        <f>HLOOKUP(C81,Assumptions!$A$6:$J$7,2,TRUE)</f>
        <v>2.6499999999999999E-2</v>
      </c>
      <c r="J81" s="22">
        <f t="shared" si="14"/>
        <v>0</v>
      </c>
      <c r="K81" s="22">
        <f t="shared" si="19"/>
        <v>0</v>
      </c>
      <c r="L81">
        <f t="shared" si="24"/>
        <v>0</v>
      </c>
      <c r="M81" s="22">
        <f t="shared" si="20"/>
        <v>0</v>
      </c>
      <c r="N81">
        <f>M80*Assumptions!$B$11/$E$2*J81</f>
        <v>0</v>
      </c>
      <c r="O81">
        <f>M80*Assumptions!$B$13/$E$2*J81</f>
        <v>0</v>
      </c>
      <c r="P81">
        <f>H81*Assumptions!$B$15</f>
        <v>0</v>
      </c>
      <c r="Q81">
        <f>O81*Assumptions!$B$17</f>
        <v>0</v>
      </c>
      <c r="R81">
        <f>HLOOKUP(B81,Assumptions!$A$26:$D$27,2,TRUE)</f>
        <v>0</v>
      </c>
      <c r="S81">
        <f t="shared" si="25"/>
        <v>0</v>
      </c>
      <c r="T81">
        <f t="shared" si="21"/>
        <v>0.41666666666666607</v>
      </c>
      <c r="U81">
        <f>IF(B81&gt;$K$2,0,IF(T82=0,0,(1-T82)*Assumptions!$B$11/$E$2*(1-Assumptions!$B$30)))</f>
        <v>0</v>
      </c>
      <c r="V81">
        <f>(N81-O81)*(1-Assumptions!$B$30)-Q81+U80*M80</f>
        <v>0</v>
      </c>
      <c r="W81">
        <f>W80*(1+Assumptions!$B$36)^(1/12)</f>
        <v>1.0597611967342382</v>
      </c>
      <c r="X81" s="19">
        <f>IF(B81&gt;$K$2,0,W80*Assumptions!$B$32/12*M80+V81*Assumptions!$B$34/12)</f>
        <v>0</v>
      </c>
      <c r="Y81" s="20">
        <f>1/(1+HLOOKUP(YEAR(A81),Assumptions!$A$41:$AL$43,3,TRUE))^(1/12)</f>
        <v>0.99881993499877397</v>
      </c>
      <c r="Z81">
        <f t="shared" si="22"/>
        <v>0</v>
      </c>
      <c r="AA81">
        <f t="shared" si="26"/>
        <v>0</v>
      </c>
    </row>
    <row r="82" spans="1:27" x14ac:dyDescent="0.2">
      <c r="A82" s="2">
        <f t="shared" si="27"/>
        <v>45260</v>
      </c>
      <c r="B82">
        <f t="shared" si="23"/>
        <v>163</v>
      </c>
      <c r="C82">
        <f t="shared" si="15"/>
        <v>13.5</v>
      </c>
      <c r="D82">
        <f t="shared" si="16"/>
        <v>0</v>
      </c>
      <c r="E82">
        <f t="shared" si="17"/>
        <v>68</v>
      </c>
      <c r="F82">
        <f>IF(C82&gt;=$J$2,0,VLOOKUP($E82,'Mortality Table'!$A$3:$C$128,2+G$2,FALSE))</f>
        <v>0</v>
      </c>
      <c r="G82">
        <f>F82*Assumptions!$B$1</f>
        <v>0</v>
      </c>
      <c r="H82">
        <f t="shared" si="18"/>
        <v>0</v>
      </c>
      <c r="I82">
        <f>HLOOKUP(C82,Assumptions!$A$6:$J$7,2,TRUE)</f>
        <v>2.6499999999999999E-2</v>
      </c>
      <c r="J82" s="22">
        <f t="shared" si="14"/>
        <v>0</v>
      </c>
      <c r="K82" s="22">
        <f t="shared" si="19"/>
        <v>0</v>
      </c>
      <c r="L82">
        <f t="shared" si="24"/>
        <v>0</v>
      </c>
      <c r="M82" s="22">
        <f t="shared" si="20"/>
        <v>0</v>
      </c>
      <c r="N82">
        <f>M81*Assumptions!$B$11/$E$2*J82</f>
        <v>0</v>
      </c>
      <c r="O82">
        <f>M81*Assumptions!$B$13/$E$2*J82</f>
        <v>0</v>
      </c>
      <c r="P82">
        <f>H82*Assumptions!$B$15</f>
        <v>0</v>
      </c>
      <c r="Q82">
        <f>O82*Assumptions!$B$17</f>
        <v>0</v>
      </c>
      <c r="R82">
        <f>HLOOKUP(B82,Assumptions!$A$26:$D$27,2,TRUE)</f>
        <v>0</v>
      </c>
      <c r="S82">
        <f t="shared" si="25"/>
        <v>0</v>
      </c>
      <c r="T82">
        <f t="shared" si="21"/>
        <v>0.5</v>
      </c>
      <c r="U82">
        <f>IF(B82&gt;$K$2,0,IF(T83=0,0,(1-T83)*Assumptions!$B$11/$E$2*(1-Assumptions!$B$30)))</f>
        <v>0</v>
      </c>
      <c r="V82">
        <f>(N82-O82)*(1-Assumptions!$B$30)-Q82+U81*M81</f>
        <v>0</v>
      </c>
      <c r="W82">
        <f>W81*(1+Assumptions!$B$36)^(1/12)</f>
        <v>1.0606403090390344</v>
      </c>
      <c r="X82" s="19">
        <f>IF(B82&gt;$K$2,0,W81*Assumptions!$B$32/12*M81+V82*Assumptions!$B$34/12)</f>
        <v>0</v>
      </c>
      <c r="Y82" s="20">
        <f>1/(1+HLOOKUP(YEAR(A82),Assumptions!$A$41:$AL$43,3,TRUE))^(1/12)</f>
        <v>0.99881993499877397</v>
      </c>
      <c r="Z82">
        <f t="shared" si="22"/>
        <v>0</v>
      </c>
      <c r="AA82">
        <f t="shared" si="26"/>
        <v>0</v>
      </c>
    </row>
    <row r="83" spans="1:27" x14ac:dyDescent="0.2">
      <c r="A83" s="2">
        <f t="shared" si="27"/>
        <v>45291</v>
      </c>
      <c r="B83">
        <f t="shared" si="23"/>
        <v>164</v>
      </c>
      <c r="C83">
        <f t="shared" si="15"/>
        <v>13.583333333333334</v>
      </c>
      <c r="D83">
        <f t="shared" si="16"/>
        <v>0</v>
      </c>
      <c r="E83">
        <f t="shared" si="17"/>
        <v>68</v>
      </c>
      <c r="F83">
        <f>IF(C83&gt;=$J$2,0,VLOOKUP($E83,'Mortality Table'!$A$3:$C$128,2+G$2,FALSE))</f>
        <v>0</v>
      </c>
      <c r="G83">
        <f>F83*Assumptions!$B$1</f>
        <v>0</v>
      </c>
      <c r="H83">
        <f t="shared" si="18"/>
        <v>0</v>
      </c>
      <c r="I83">
        <f>HLOOKUP(C83,Assumptions!$A$6:$J$7,2,TRUE)</f>
        <v>2.6499999999999999E-2</v>
      </c>
      <c r="J83" s="22">
        <f t="shared" si="14"/>
        <v>0</v>
      </c>
      <c r="K83" s="22">
        <f t="shared" si="19"/>
        <v>0</v>
      </c>
      <c r="L83">
        <f t="shared" si="24"/>
        <v>0</v>
      </c>
      <c r="M83" s="22">
        <f t="shared" si="20"/>
        <v>0</v>
      </c>
      <c r="N83">
        <f>M82*Assumptions!$B$11/$E$2*J83</f>
        <v>0</v>
      </c>
      <c r="O83">
        <f>M82*Assumptions!$B$13/$E$2*J83</f>
        <v>0</v>
      </c>
      <c r="P83">
        <f>H83*Assumptions!$B$15</f>
        <v>0</v>
      </c>
      <c r="Q83">
        <f>O83*Assumptions!$B$17</f>
        <v>0</v>
      </c>
      <c r="R83">
        <f>HLOOKUP(B83,Assumptions!$A$26:$D$27,2,TRUE)</f>
        <v>0</v>
      </c>
      <c r="S83">
        <f t="shared" si="25"/>
        <v>0</v>
      </c>
      <c r="T83">
        <f t="shared" si="21"/>
        <v>0.58333333333333393</v>
      </c>
      <c r="U83">
        <f>IF(B83&gt;$K$2,0,IF(T84=0,0,(1-T84)*Assumptions!$B$11/$E$2*(1-Assumptions!$B$30)))</f>
        <v>0</v>
      </c>
      <c r="V83">
        <f>(N83-O83)*(1-Assumptions!$B$30)-Q83+U82*M82</f>
        <v>0</v>
      </c>
      <c r="W83">
        <f>W82*(1+Assumptions!$B$36)^(1/12)</f>
        <v>1.0615201506009941</v>
      </c>
      <c r="X83" s="19">
        <f>IF(B83&gt;$K$2,0,W82*Assumptions!$B$32/12*M82+V83*Assumptions!$B$34/12)</f>
        <v>0</v>
      </c>
      <c r="Y83" s="20">
        <f>1/(1+HLOOKUP(YEAR(A83),Assumptions!$A$41:$AL$43,3,TRUE))^(1/12)</f>
        <v>0.99881993499877397</v>
      </c>
      <c r="Z83">
        <f t="shared" si="22"/>
        <v>0</v>
      </c>
      <c r="AA83">
        <f t="shared" si="26"/>
        <v>0</v>
      </c>
    </row>
    <row r="84" spans="1:27" x14ac:dyDescent="0.2">
      <c r="A84" s="2">
        <f t="shared" si="27"/>
        <v>45322</v>
      </c>
      <c r="B84">
        <f t="shared" si="23"/>
        <v>165</v>
      </c>
      <c r="C84">
        <f t="shared" si="15"/>
        <v>13.666666666666666</v>
      </c>
      <c r="D84">
        <f t="shared" si="16"/>
        <v>0</v>
      </c>
      <c r="E84">
        <f t="shared" si="17"/>
        <v>68</v>
      </c>
      <c r="F84">
        <f>IF(C84&gt;=$J$2,0,VLOOKUP($E84,'Mortality Table'!$A$3:$C$128,2+G$2,FALSE))</f>
        <v>0</v>
      </c>
      <c r="G84">
        <f>F84*Assumptions!$B$1</f>
        <v>0</v>
      </c>
      <c r="H84">
        <f t="shared" si="18"/>
        <v>0</v>
      </c>
      <c r="I84">
        <f>HLOOKUP(C84,Assumptions!$A$6:$J$7,2,TRUE)</f>
        <v>2.6499999999999999E-2</v>
      </c>
      <c r="J84" s="22">
        <f t="shared" si="14"/>
        <v>0</v>
      </c>
      <c r="K84" s="22">
        <f t="shared" si="19"/>
        <v>0</v>
      </c>
      <c r="L84">
        <f t="shared" si="24"/>
        <v>0</v>
      </c>
      <c r="M84" s="22">
        <f t="shared" si="20"/>
        <v>0</v>
      </c>
      <c r="N84">
        <f>M83*Assumptions!$B$11/$E$2*J84</f>
        <v>0</v>
      </c>
      <c r="O84">
        <f>M83*Assumptions!$B$13/$E$2*J84</f>
        <v>0</v>
      </c>
      <c r="P84">
        <f>H84*Assumptions!$B$15</f>
        <v>0</v>
      </c>
      <c r="Q84">
        <f>O84*Assumptions!$B$17</f>
        <v>0</v>
      </c>
      <c r="R84">
        <f>HLOOKUP(B84,Assumptions!$A$26:$D$27,2,TRUE)</f>
        <v>0</v>
      </c>
      <c r="S84">
        <f t="shared" si="25"/>
        <v>0</v>
      </c>
      <c r="T84">
        <f t="shared" si="21"/>
        <v>0.66666666666666607</v>
      </c>
      <c r="U84">
        <f>IF(B84&gt;$K$2,0,IF(T85=0,0,(1-T85)*Assumptions!$B$11/$E$2*(1-Assumptions!$B$30)))</f>
        <v>0</v>
      </c>
      <c r="V84">
        <f>(N84-O84)*(1-Assumptions!$B$30)-Q84+U83*M83</f>
        <v>0</v>
      </c>
      <c r="W84">
        <f>W83*(1+Assumptions!$B$36)^(1/12)</f>
        <v>1.0624007220250642</v>
      </c>
      <c r="X84" s="19">
        <f>IF(B84&gt;$K$2,0,W83*Assumptions!$B$32/12*M83+V84*Assumptions!$B$34/12)</f>
        <v>0</v>
      </c>
      <c r="Y84" s="20">
        <f>1/(1+HLOOKUP(YEAR(A84),Assumptions!$A$41:$AL$43,3,TRUE))^(1/12)</f>
        <v>0.99879367902408245</v>
      </c>
      <c r="Z84">
        <f t="shared" si="22"/>
        <v>0</v>
      </c>
      <c r="AA84">
        <f t="shared" si="26"/>
        <v>0</v>
      </c>
    </row>
    <row r="85" spans="1:27" x14ac:dyDescent="0.2">
      <c r="A85" s="2">
        <f t="shared" si="27"/>
        <v>45351</v>
      </c>
      <c r="B85">
        <f t="shared" si="23"/>
        <v>166</v>
      </c>
      <c r="C85">
        <f t="shared" si="15"/>
        <v>13.75</v>
      </c>
      <c r="D85">
        <f t="shared" si="16"/>
        <v>0</v>
      </c>
      <c r="E85">
        <f t="shared" si="17"/>
        <v>68</v>
      </c>
      <c r="F85">
        <f>IF(C85&gt;=$J$2,0,VLOOKUP($E85,'Mortality Table'!$A$3:$C$128,2+G$2,FALSE))</f>
        <v>0</v>
      </c>
      <c r="G85">
        <f>F85*Assumptions!$B$1</f>
        <v>0</v>
      </c>
      <c r="H85">
        <f t="shared" si="18"/>
        <v>0</v>
      </c>
      <c r="I85">
        <f>HLOOKUP(C85,Assumptions!$A$6:$J$7,2,TRUE)</f>
        <v>2.6499999999999999E-2</v>
      </c>
      <c r="J85" s="22">
        <f t="shared" si="14"/>
        <v>0</v>
      </c>
      <c r="K85" s="22">
        <f t="shared" si="19"/>
        <v>0</v>
      </c>
      <c r="L85">
        <f t="shared" si="24"/>
        <v>0</v>
      </c>
      <c r="M85" s="22">
        <f t="shared" si="20"/>
        <v>0</v>
      </c>
      <c r="N85">
        <f>M84*Assumptions!$B$11/$E$2*J85</f>
        <v>0</v>
      </c>
      <c r="O85">
        <f>M84*Assumptions!$B$13/$E$2*J85</f>
        <v>0</v>
      </c>
      <c r="P85">
        <f>H85*Assumptions!$B$15</f>
        <v>0</v>
      </c>
      <c r="Q85">
        <f>O85*Assumptions!$B$17</f>
        <v>0</v>
      </c>
      <c r="R85">
        <f>HLOOKUP(B85,Assumptions!$A$26:$D$27,2,TRUE)</f>
        <v>0</v>
      </c>
      <c r="S85">
        <f t="shared" si="25"/>
        <v>0</v>
      </c>
      <c r="T85">
        <f t="shared" si="21"/>
        <v>0.75</v>
      </c>
      <c r="U85">
        <f>IF(B85&gt;$K$2,0,IF(T86=0,0,(1-T86)*Assumptions!$B$11/$E$2*(1-Assumptions!$B$30)))</f>
        <v>0</v>
      </c>
      <c r="V85">
        <f>(N85-O85)*(1-Assumptions!$B$30)-Q85+U84*M84</f>
        <v>0</v>
      </c>
      <c r="W85">
        <f>W84*(1+Assumptions!$B$36)^(1/12)</f>
        <v>1.0632820239166929</v>
      </c>
      <c r="X85" s="19">
        <f>IF(B85&gt;$K$2,0,W84*Assumptions!$B$32/12*M84+V85*Assumptions!$B$34/12)</f>
        <v>0</v>
      </c>
      <c r="Y85" s="20">
        <f>1/(1+HLOOKUP(YEAR(A85),Assumptions!$A$41:$AL$43,3,TRUE))^(1/12)</f>
        <v>0.99879367902408245</v>
      </c>
      <c r="Z85">
        <f t="shared" si="22"/>
        <v>0</v>
      </c>
      <c r="AA85">
        <f t="shared" si="26"/>
        <v>0</v>
      </c>
    </row>
    <row r="86" spans="1:27" x14ac:dyDescent="0.2">
      <c r="A86" s="2">
        <f t="shared" si="27"/>
        <v>45382</v>
      </c>
      <c r="B86">
        <f t="shared" si="23"/>
        <v>167</v>
      </c>
      <c r="C86">
        <f t="shared" si="15"/>
        <v>13.833333333333334</v>
      </c>
      <c r="D86">
        <f t="shared" si="16"/>
        <v>0</v>
      </c>
      <c r="E86">
        <f t="shared" si="17"/>
        <v>68</v>
      </c>
      <c r="F86">
        <f>IF(C86&gt;=$J$2,0,VLOOKUP($E86,'Mortality Table'!$A$3:$C$128,2+G$2,FALSE))</f>
        <v>0</v>
      </c>
      <c r="G86">
        <f>F86*Assumptions!$B$1</f>
        <v>0</v>
      </c>
      <c r="H86">
        <f t="shared" si="18"/>
        <v>0</v>
      </c>
      <c r="I86">
        <f>HLOOKUP(C86,Assumptions!$A$6:$J$7,2,TRUE)</f>
        <v>2.6499999999999999E-2</v>
      </c>
      <c r="J86" s="22">
        <f t="shared" si="14"/>
        <v>0</v>
      </c>
      <c r="K86" s="22">
        <f t="shared" si="19"/>
        <v>0</v>
      </c>
      <c r="L86">
        <f t="shared" si="24"/>
        <v>0</v>
      </c>
      <c r="M86" s="22">
        <f t="shared" si="20"/>
        <v>0</v>
      </c>
      <c r="N86">
        <f>M85*Assumptions!$B$11/$E$2*J86</f>
        <v>0</v>
      </c>
      <c r="O86">
        <f>M85*Assumptions!$B$13/$E$2*J86</f>
        <v>0</v>
      </c>
      <c r="P86">
        <f>H86*Assumptions!$B$15</f>
        <v>0</v>
      </c>
      <c r="Q86">
        <f>O86*Assumptions!$B$17</f>
        <v>0</v>
      </c>
      <c r="R86">
        <f>HLOOKUP(B86,Assumptions!$A$26:$D$27,2,TRUE)</f>
        <v>0</v>
      </c>
      <c r="S86">
        <f t="shared" si="25"/>
        <v>0</v>
      </c>
      <c r="T86">
        <f t="shared" si="21"/>
        <v>0.83333333333333393</v>
      </c>
      <c r="U86">
        <f>IF(B86&gt;$K$2,0,IF(T87=0,0,(1-T87)*Assumptions!$B$11/$E$2*(1-Assumptions!$B$30)))</f>
        <v>0</v>
      </c>
      <c r="V86">
        <f>(N86-O86)*(1-Assumptions!$B$30)-Q86+U85*M85</f>
        <v>0</v>
      </c>
      <c r="W86">
        <f>W85*(1+Assumptions!$B$36)^(1/12)</f>
        <v>1.0641640568818309</v>
      </c>
      <c r="X86" s="19">
        <f>IF(B86&gt;$K$2,0,W85*Assumptions!$B$32/12*M85+V86*Assumptions!$B$34/12)</f>
        <v>0</v>
      </c>
      <c r="Y86" s="20">
        <f>1/(1+HLOOKUP(YEAR(A86),Assumptions!$A$41:$AL$43,3,TRUE))^(1/12)</f>
        <v>0.99879367902408245</v>
      </c>
      <c r="Z86">
        <f t="shared" si="22"/>
        <v>0</v>
      </c>
      <c r="AA86">
        <f t="shared" si="26"/>
        <v>0</v>
      </c>
    </row>
    <row r="87" spans="1:27" x14ac:dyDescent="0.2">
      <c r="A87" s="2">
        <f t="shared" si="27"/>
        <v>45412</v>
      </c>
      <c r="B87">
        <f t="shared" si="23"/>
        <v>168</v>
      </c>
      <c r="C87">
        <f t="shared" si="15"/>
        <v>13.916666666666666</v>
      </c>
      <c r="D87">
        <f t="shared" si="16"/>
        <v>0</v>
      </c>
      <c r="E87">
        <f t="shared" si="17"/>
        <v>68</v>
      </c>
      <c r="F87">
        <f>IF(C87&gt;=$J$2,0,VLOOKUP($E87,'Mortality Table'!$A$3:$C$128,2+G$2,FALSE))</f>
        <v>0</v>
      </c>
      <c r="G87">
        <f>F87*Assumptions!$B$1</f>
        <v>0</v>
      </c>
      <c r="H87">
        <f t="shared" si="18"/>
        <v>0</v>
      </c>
      <c r="I87">
        <f>HLOOKUP(C87,Assumptions!$A$6:$J$7,2,TRUE)</f>
        <v>2.6499999999999999E-2</v>
      </c>
      <c r="J87" s="22">
        <f t="shared" si="14"/>
        <v>0</v>
      </c>
      <c r="K87" s="22">
        <f t="shared" si="19"/>
        <v>0</v>
      </c>
      <c r="L87">
        <f t="shared" si="24"/>
        <v>0</v>
      </c>
      <c r="M87" s="22">
        <f t="shared" si="20"/>
        <v>0</v>
      </c>
      <c r="N87">
        <f>M86*Assumptions!$B$11/$E$2*J87</f>
        <v>0</v>
      </c>
      <c r="O87">
        <f>M86*Assumptions!$B$13/$E$2*J87</f>
        <v>0</v>
      </c>
      <c r="P87">
        <f>H87*Assumptions!$B$15</f>
        <v>0</v>
      </c>
      <c r="Q87">
        <f>O87*Assumptions!$B$17</f>
        <v>0</v>
      </c>
      <c r="R87">
        <f>HLOOKUP(B87,Assumptions!$A$26:$D$27,2,TRUE)</f>
        <v>0</v>
      </c>
      <c r="S87">
        <f t="shared" si="25"/>
        <v>0</v>
      </c>
      <c r="T87">
        <f t="shared" si="21"/>
        <v>0.91666666666666607</v>
      </c>
      <c r="U87">
        <f>IF(B87&gt;$K$2,0,IF(T88=0,0,(1-T88)*Assumptions!$B$11/$E$2*(1-Assumptions!$B$30)))</f>
        <v>0</v>
      </c>
      <c r="V87">
        <f>(N87-O87)*(1-Assumptions!$B$30)-Q87+U86*M86</f>
        <v>0</v>
      </c>
      <c r="W87">
        <f>W86*(1+Assumptions!$B$36)^(1/12)</f>
        <v>1.0650468215269315</v>
      </c>
      <c r="X87" s="19">
        <f>IF(B87&gt;$K$2,0,W86*Assumptions!$B$32/12*M86+V87*Assumptions!$B$34/12)</f>
        <v>0</v>
      </c>
      <c r="Y87" s="20">
        <f>1/(1+HLOOKUP(YEAR(A87),Assumptions!$A$41:$AL$43,3,TRUE))^(1/12)</f>
        <v>0.99879367902408245</v>
      </c>
      <c r="Z87">
        <f t="shared" si="22"/>
        <v>0</v>
      </c>
      <c r="AA87">
        <f t="shared" si="26"/>
        <v>0</v>
      </c>
    </row>
    <row r="88" spans="1:27" x14ac:dyDescent="0.2">
      <c r="A88" s="2">
        <f t="shared" si="27"/>
        <v>45443</v>
      </c>
      <c r="B88">
        <f t="shared" si="23"/>
        <v>169</v>
      </c>
      <c r="C88">
        <f t="shared" si="15"/>
        <v>14</v>
      </c>
      <c r="D88">
        <f t="shared" si="16"/>
        <v>1</v>
      </c>
      <c r="E88">
        <f t="shared" si="17"/>
        <v>69</v>
      </c>
      <c r="F88">
        <f>IF(C88&gt;=$J$2,0,VLOOKUP($E88,'Mortality Table'!$A$3:$C$128,2+G$2,FALSE))</f>
        <v>0</v>
      </c>
      <c r="G88">
        <f>F88*Assumptions!$B$1</f>
        <v>0</v>
      </c>
      <c r="H88">
        <f t="shared" si="18"/>
        <v>0</v>
      </c>
      <c r="I88">
        <f>HLOOKUP(C88,Assumptions!$A$6:$J$7,2,TRUE)</f>
        <v>2.6499999999999999E-2</v>
      </c>
      <c r="J88" s="22">
        <f t="shared" si="14"/>
        <v>0</v>
      </c>
      <c r="K88" s="22">
        <f t="shared" si="19"/>
        <v>0</v>
      </c>
      <c r="L88">
        <f t="shared" si="24"/>
        <v>0</v>
      </c>
      <c r="M88" s="22">
        <f t="shared" si="20"/>
        <v>0</v>
      </c>
      <c r="N88">
        <f>M87*Assumptions!$B$11/$E$2*J88</f>
        <v>0</v>
      </c>
      <c r="O88">
        <f>M87*Assumptions!$B$13/$E$2*J88</f>
        <v>0</v>
      </c>
      <c r="P88">
        <f>H88*Assumptions!$B$15</f>
        <v>0</v>
      </c>
      <c r="Q88">
        <f>O88*Assumptions!$B$17</f>
        <v>0</v>
      </c>
      <c r="R88">
        <f>HLOOKUP(B88,Assumptions!$A$26:$D$27,2,TRUE)</f>
        <v>0</v>
      </c>
      <c r="S88">
        <f t="shared" si="25"/>
        <v>0</v>
      </c>
      <c r="T88">
        <f t="shared" si="21"/>
        <v>0</v>
      </c>
      <c r="U88">
        <f>IF(B88&gt;$K$2,0,IF(T89=0,0,(1-T89)*Assumptions!$B$11/$E$2*(1-Assumptions!$B$30)))</f>
        <v>0</v>
      </c>
      <c r="V88">
        <f>(N88-O88)*(1-Assumptions!$B$30)-Q88+U87*M87</f>
        <v>0</v>
      </c>
      <c r="W88">
        <f>W87*(1+Assumptions!$B$36)^(1/12)</f>
        <v>1.0659303184589513</v>
      </c>
      <c r="X88" s="19">
        <f>IF(B88&gt;$K$2,0,W87*Assumptions!$B$32/12*M87+V88*Assumptions!$B$34/12)</f>
        <v>0</v>
      </c>
      <c r="Y88" s="20">
        <f>1/(1+HLOOKUP(YEAR(A88),Assumptions!$A$41:$AL$43,3,TRUE))^(1/12)</f>
        <v>0.99879367902408245</v>
      </c>
      <c r="Z88">
        <f t="shared" si="22"/>
        <v>0</v>
      </c>
      <c r="AA88">
        <f t="shared" si="26"/>
        <v>0</v>
      </c>
    </row>
    <row r="89" spans="1:27" x14ac:dyDescent="0.2">
      <c r="A89" s="2">
        <f t="shared" si="27"/>
        <v>45473</v>
      </c>
      <c r="B89">
        <f t="shared" si="23"/>
        <v>170</v>
      </c>
      <c r="C89">
        <f t="shared" si="15"/>
        <v>14.083333333333334</v>
      </c>
      <c r="D89">
        <f t="shared" si="16"/>
        <v>0</v>
      </c>
      <c r="E89">
        <f t="shared" si="17"/>
        <v>69</v>
      </c>
      <c r="F89">
        <f>IF(C89&gt;=$J$2,0,VLOOKUP($E89,'Mortality Table'!$A$3:$C$128,2+G$2,FALSE))</f>
        <v>0</v>
      </c>
      <c r="G89">
        <f>F89*Assumptions!$B$1</f>
        <v>0</v>
      </c>
      <c r="H89">
        <f t="shared" si="18"/>
        <v>0</v>
      </c>
      <c r="I89">
        <f>HLOOKUP(C89,Assumptions!$A$6:$J$7,2,TRUE)</f>
        <v>2.6499999999999999E-2</v>
      </c>
      <c r="J89" s="22">
        <f t="shared" si="14"/>
        <v>0</v>
      </c>
      <c r="K89" s="22">
        <f t="shared" si="19"/>
        <v>0</v>
      </c>
      <c r="L89">
        <f t="shared" si="24"/>
        <v>0</v>
      </c>
      <c r="M89" s="22">
        <f t="shared" si="20"/>
        <v>0</v>
      </c>
      <c r="N89">
        <f>M88*Assumptions!$B$11/$E$2*J89</f>
        <v>0</v>
      </c>
      <c r="O89">
        <f>M88*Assumptions!$B$13/$E$2*J89</f>
        <v>0</v>
      </c>
      <c r="P89">
        <f>H89*Assumptions!$B$15</f>
        <v>0</v>
      </c>
      <c r="Q89">
        <f>O89*Assumptions!$B$17</f>
        <v>0</v>
      </c>
      <c r="R89">
        <f>HLOOKUP(B89,Assumptions!$A$26:$D$27,2,TRUE)</f>
        <v>0</v>
      </c>
      <c r="S89">
        <f t="shared" si="25"/>
        <v>0</v>
      </c>
      <c r="T89">
        <f t="shared" si="21"/>
        <v>8.3333333333333925E-2</v>
      </c>
      <c r="U89">
        <f>IF(B89&gt;$K$2,0,IF(T90=0,0,(1-T90)*Assumptions!$B$11/$E$2*(1-Assumptions!$B$30)))</f>
        <v>0</v>
      </c>
      <c r="V89">
        <f>(N89-O89)*(1-Assumptions!$B$30)-Q89+U88*M88</f>
        <v>0</v>
      </c>
      <c r="W89">
        <f>W88*(1+Assumptions!$B$36)^(1/12)</f>
        <v>1.0668145482853502</v>
      </c>
      <c r="X89" s="19">
        <f>IF(B89&gt;$K$2,0,W88*Assumptions!$B$32/12*M88+V89*Assumptions!$B$34/12)</f>
        <v>0</v>
      </c>
      <c r="Y89" s="20">
        <f>1/(1+HLOOKUP(YEAR(A89),Assumptions!$A$41:$AL$43,3,TRUE))^(1/12)</f>
        <v>0.99879367902408245</v>
      </c>
      <c r="Z89">
        <f t="shared" si="22"/>
        <v>0</v>
      </c>
      <c r="AA89">
        <f t="shared" si="26"/>
        <v>0</v>
      </c>
    </row>
    <row r="90" spans="1:27" x14ac:dyDescent="0.2">
      <c r="A90" s="2">
        <f t="shared" si="27"/>
        <v>45504</v>
      </c>
      <c r="B90">
        <f t="shared" si="23"/>
        <v>171</v>
      </c>
      <c r="C90">
        <f t="shared" si="15"/>
        <v>14.166666666666666</v>
      </c>
      <c r="D90">
        <f t="shared" si="16"/>
        <v>0</v>
      </c>
      <c r="E90">
        <f t="shared" si="17"/>
        <v>69</v>
      </c>
      <c r="F90">
        <f>IF(C90&gt;=$J$2,0,VLOOKUP($E90,'Mortality Table'!$A$3:$C$128,2+G$2,FALSE))</f>
        <v>0</v>
      </c>
      <c r="G90">
        <f>F90*Assumptions!$B$1</f>
        <v>0</v>
      </c>
      <c r="H90">
        <f t="shared" si="18"/>
        <v>0</v>
      </c>
      <c r="I90">
        <f>HLOOKUP(C90,Assumptions!$A$6:$J$7,2,TRUE)</f>
        <v>2.6499999999999999E-2</v>
      </c>
      <c r="J90" s="22">
        <f t="shared" si="14"/>
        <v>0</v>
      </c>
      <c r="K90" s="22">
        <f t="shared" si="19"/>
        <v>0</v>
      </c>
      <c r="L90">
        <f t="shared" si="24"/>
        <v>0</v>
      </c>
      <c r="M90" s="22">
        <f t="shared" si="20"/>
        <v>0</v>
      </c>
      <c r="N90">
        <f>M89*Assumptions!$B$11/$E$2*J90</f>
        <v>0</v>
      </c>
      <c r="O90">
        <f>M89*Assumptions!$B$13/$E$2*J90</f>
        <v>0</v>
      </c>
      <c r="P90">
        <f>H90*Assumptions!$B$15</f>
        <v>0</v>
      </c>
      <c r="Q90">
        <f>O90*Assumptions!$B$17</f>
        <v>0</v>
      </c>
      <c r="R90">
        <f>HLOOKUP(B90,Assumptions!$A$26:$D$27,2,TRUE)</f>
        <v>0</v>
      </c>
      <c r="S90">
        <f t="shared" si="25"/>
        <v>0</v>
      </c>
      <c r="T90">
        <f t="shared" si="21"/>
        <v>0.16666666666666607</v>
      </c>
      <c r="U90">
        <f>IF(B90&gt;$K$2,0,IF(T91=0,0,(1-T91)*Assumptions!$B$11/$E$2*(1-Assumptions!$B$30)))</f>
        <v>0</v>
      </c>
      <c r="V90">
        <f>(N90-O90)*(1-Assumptions!$B$30)-Q90+U89*M89</f>
        <v>0</v>
      </c>
      <c r="W90">
        <f>W89*(1+Assumptions!$B$36)^(1/12)</f>
        <v>1.0676995116140919</v>
      </c>
      <c r="X90" s="19">
        <f>IF(B90&gt;$K$2,0,W89*Assumptions!$B$32/12*M89+V90*Assumptions!$B$34/12)</f>
        <v>0</v>
      </c>
      <c r="Y90" s="20">
        <f>1/(1+HLOOKUP(YEAR(A90),Assumptions!$A$41:$AL$43,3,TRUE))^(1/12)</f>
        <v>0.99879367902408245</v>
      </c>
      <c r="Z90">
        <f t="shared" si="22"/>
        <v>0</v>
      </c>
      <c r="AA90">
        <f t="shared" si="26"/>
        <v>0</v>
      </c>
    </row>
    <row r="91" spans="1:27" x14ac:dyDescent="0.2">
      <c r="A91" s="2">
        <f t="shared" si="27"/>
        <v>45535</v>
      </c>
      <c r="B91">
        <f t="shared" si="23"/>
        <v>172</v>
      </c>
      <c r="C91">
        <f t="shared" si="15"/>
        <v>14.25</v>
      </c>
      <c r="D91">
        <f t="shared" si="16"/>
        <v>0</v>
      </c>
      <c r="E91">
        <f t="shared" si="17"/>
        <v>69</v>
      </c>
      <c r="F91">
        <f>IF(C91&gt;=$J$2,0,VLOOKUP($E91,'Mortality Table'!$A$3:$C$128,2+G$2,FALSE))</f>
        <v>0</v>
      </c>
      <c r="G91">
        <f>F91*Assumptions!$B$1</f>
        <v>0</v>
      </c>
      <c r="H91">
        <f t="shared" si="18"/>
        <v>0</v>
      </c>
      <c r="I91">
        <f>HLOOKUP(C91,Assumptions!$A$6:$J$7,2,TRUE)</f>
        <v>2.6499999999999999E-2</v>
      </c>
      <c r="J91" s="22">
        <f t="shared" si="14"/>
        <v>0</v>
      </c>
      <c r="K91" s="22">
        <f t="shared" si="19"/>
        <v>0</v>
      </c>
      <c r="L91">
        <f t="shared" si="24"/>
        <v>0</v>
      </c>
      <c r="M91" s="22">
        <f t="shared" si="20"/>
        <v>0</v>
      </c>
      <c r="N91">
        <f>M90*Assumptions!$B$11/$E$2*J91</f>
        <v>0</v>
      </c>
      <c r="O91">
        <f>M90*Assumptions!$B$13/$E$2*J91</f>
        <v>0</v>
      </c>
      <c r="P91">
        <f>H91*Assumptions!$B$15</f>
        <v>0</v>
      </c>
      <c r="Q91">
        <f>O91*Assumptions!$B$17</f>
        <v>0</v>
      </c>
      <c r="R91">
        <f>HLOOKUP(B91,Assumptions!$A$26:$D$27,2,TRUE)</f>
        <v>0</v>
      </c>
      <c r="S91">
        <f t="shared" si="25"/>
        <v>0</v>
      </c>
      <c r="T91">
        <f t="shared" si="21"/>
        <v>0.25</v>
      </c>
      <c r="U91">
        <f>IF(B91&gt;$K$2,0,IF(T92=0,0,(1-T92)*Assumptions!$B$11/$E$2*(1-Assumptions!$B$30)))</f>
        <v>0</v>
      </c>
      <c r="V91">
        <f>(N91-O91)*(1-Assumptions!$B$30)-Q91+U90*M90</f>
        <v>0</v>
      </c>
      <c r="W91">
        <f>W90*(1+Assumptions!$B$36)^(1/12)</f>
        <v>1.0685852090536445</v>
      </c>
      <c r="X91" s="19">
        <f>IF(B91&gt;$K$2,0,W90*Assumptions!$B$32/12*M90+V91*Assumptions!$B$34/12)</f>
        <v>0</v>
      </c>
      <c r="Y91" s="20">
        <f>1/(1+HLOOKUP(YEAR(A91),Assumptions!$A$41:$AL$43,3,TRUE))^(1/12)</f>
        <v>0.99879367902408245</v>
      </c>
      <c r="Z91">
        <f t="shared" si="22"/>
        <v>0</v>
      </c>
      <c r="AA91">
        <f t="shared" si="26"/>
        <v>0</v>
      </c>
    </row>
    <row r="92" spans="1:27" x14ac:dyDescent="0.2">
      <c r="A92" s="2">
        <f t="shared" si="27"/>
        <v>45565</v>
      </c>
      <c r="B92">
        <f t="shared" si="23"/>
        <v>173</v>
      </c>
      <c r="C92">
        <f t="shared" si="15"/>
        <v>14.333333333333334</v>
      </c>
      <c r="D92">
        <f t="shared" si="16"/>
        <v>0</v>
      </c>
      <c r="E92">
        <f t="shared" si="17"/>
        <v>69</v>
      </c>
      <c r="F92">
        <f>IF(C92&gt;=$J$2,0,VLOOKUP($E92,'Mortality Table'!$A$3:$C$128,2+G$2,FALSE))</f>
        <v>0</v>
      </c>
      <c r="G92">
        <f>F92*Assumptions!$B$1</f>
        <v>0</v>
      </c>
      <c r="H92">
        <f t="shared" si="18"/>
        <v>0</v>
      </c>
      <c r="I92">
        <f>HLOOKUP(C92,Assumptions!$A$6:$J$7,2,TRUE)</f>
        <v>2.6499999999999999E-2</v>
      </c>
      <c r="J92" s="22">
        <f t="shared" si="14"/>
        <v>0</v>
      </c>
      <c r="K92" s="22">
        <f t="shared" si="19"/>
        <v>0</v>
      </c>
      <c r="L92">
        <f t="shared" si="24"/>
        <v>0</v>
      </c>
      <c r="M92" s="22">
        <f t="shared" si="20"/>
        <v>0</v>
      </c>
      <c r="N92">
        <f>M91*Assumptions!$B$11/$E$2*J92</f>
        <v>0</v>
      </c>
      <c r="O92">
        <f>M91*Assumptions!$B$13/$E$2*J92</f>
        <v>0</v>
      </c>
      <c r="P92">
        <f>H92*Assumptions!$B$15</f>
        <v>0</v>
      </c>
      <c r="Q92">
        <f>O92*Assumptions!$B$17</f>
        <v>0</v>
      </c>
      <c r="R92">
        <f>HLOOKUP(B92,Assumptions!$A$26:$D$27,2,TRUE)</f>
        <v>0</v>
      </c>
      <c r="S92">
        <f t="shared" si="25"/>
        <v>0</v>
      </c>
      <c r="T92">
        <f t="shared" si="21"/>
        <v>0.33333333333333393</v>
      </c>
      <c r="U92">
        <f>IF(B92&gt;$K$2,0,IF(T93=0,0,(1-T93)*Assumptions!$B$11/$E$2*(1-Assumptions!$B$30)))</f>
        <v>0</v>
      </c>
      <c r="V92">
        <f>(N92-O92)*(1-Assumptions!$B$30)-Q92+U91*M91</f>
        <v>0</v>
      </c>
      <c r="W92">
        <f>W91*(1+Assumptions!$B$36)^(1/12)</f>
        <v>1.069471641212981</v>
      </c>
      <c r="X92" s="19">
        <f>IF(B92&gt;$K$2,0,W91*Assumptions!$B$32/12*M91+V92*Assumptions!$B$34/12)</f>
        <v>0</v>
      </c>
      <c r="Y92" s="20">
        <f>1/(1+HLOOKUP(YEAR(A92),Assumptions!$A$41:$AL$43,3,TRUE))^(1/12)</f>
        <v>0.99879367902408245</v>
      </c>
      <c r="Z92">
        <f t="shared" si="22"/>
        <v>0</v>
      </c>
      <c r="AA92">
        <f t="shared" si="26"/>
        <v>0</v>
      </c>
    </row>
    <row r="93" spans="1:27" x14ac:dyDescent="0.2">
      <c r="A93" s="2">
        <f t="shared" si="27"/>
        <v>45596</v>
      </c>
      <c r="B93">
        <f t="shared" si="23"/>
        <v>174</v>
      </c>
      <c r="C93">
        <f t="shared" si="15"/>
        <v>14.416666666666666</v>
      </c>
      <c r="D93">
        <f t="shared" si="16"/>
        <v>0</v>
      </c>
      <c r="E93">
        <f t="shared" si="17"/>
        <v>69</v>
      </c>
      <c r="F93">
        <f>IF(C93&gt;=$J$2,0,VLOOKUP($E93,'Mortality Table'!$A$3:$C$128,2+G$2,FALSE))</f>
        <v>0</v>
      </c>
      <c r="G93">
        <f>F93*Assumptions!$B$1</f>
        <v>0</v>
      </c>
      <c r="H93">
        <f t="shared" si="18"/>
        <v>0</v>
      </c>
      <c r="I93">
        <f>HLOOKUP(C93,Assumptions!$A$6:$J$7,2,TRUE)</f>
        <v>2.6499999999999999E-2</v>
      </c>
      <c r="J93" s="22">
        <f t="shared" si="14"/>
        <v>0</v>
      </c>
      <c r="K93" s="22">
        <f t="shared" si="19"/>
        <v>0</v>
      </c>
      <c r="L93">
        <f t="shared" si="24"/>
        <v>0</v>
      </c>
      <c r="M93" s="22">
        <f t="shared" si="20"/>
        <v>0</v>
      </c>
      <c r="N93">
        <f>M92*Assumptions!$B$11/$E$2*J93</f>
        <v>0</v>
      </c>
      <c r="O93">
        <f>M92*Assumptions!$B$13/$E$2*J93</f>
        <v>0</v>
      </c>
      <c r="P93">
        <f>H93*Assumptions!$B$15</f>
        <v>0</v>
      </c>
      <c r="Q93">
        <f>O93*Assumptions!$B$17</f>
        <v>0</v>
      </c>
      <c r="R93">
        <f>HLOOKUP(B93,Assumptions!$A$26:$D$27,2,TRUE)</f>
        <v>0</v>
      </c>
      <c r="S93">
        <f t="shared" si="25"/>
        <v>0</v>
      </c>
      <c r="T93">
        <f t="shared" si="21"/>
        <v>0.41666666666666607</v>
      </c>
      <c r="U93">
        <f>IF(B93&gt;$K$2,0,IF(T94=0,0,(1-T94)*Assumptions!$B$11/$E$2*(1-Assumptions!$B$30)))</f>
        <v>0</v>
      </c>
      <c r="V93">
        <f>(N93-O93)*(1-Assumptions!$B$30)-Q93+U92*M92</f>
        <v>0</v>
      </c>
      <c r="W93">
        <f>W92*(1+Assumptions!$B$36)^(1/12)</f>
        <v>1.0703588087015794</v>
      </c>
      <c r="X93" s="19">
        <f>IF(B93&gt;$K$2,0,W92*Assumptions!$B$32/12*M92+V93*Assumptions!$B$34/12)</f>
        <v>0</v>
      </c>
      <c r="Y93" s="20">
        <f>1/(1+HLOOKUP(YEAR(A93),Assumptions!$A$41:$AL$43,3,TRUE))^(1/12)</f>
        <v>0.99879367902408245</v>
      </c>
      <c r="Z93">
        <f t="shared" si="22"/>
        <v>0</v>
      </c>
      <c r="AA93">
        <f t="shared" si="26"/>
        <v>0</v>
      </c>
    </row>
    <row r="94" spans="1:27" x14ac:dyDescent="0.2">
      <c r="A94" s="2">
        <f t="shared" si="27"/>
        <v>45626</v>
      </c>
      <c r="B94">
        <f t="shared" si="23"/>
        <v>175</v>
      </c>
      <c r="C94">
        <f t="shared" si="15"/>
        <v>14.5</v>
      </c>
      <c r="D94">
        <f t="shared" si="16"/>
        <v>0</v>
      </c>
      <c r="E94">
        <f t="shared" si="17"/>
        <v>69</v>
      </c>
      <c r="F94">
        <f>IF(C94&gt;=$J$2,0,VLOOKUP($E94,'Mortality Table'!$A$3:$C$128,2+G$2,FALSE))</f>
        <v>0</v>
      </c>
      <c r="G94">
        <f>F94*Assumptions!$B$1</f>
        <v>0</v>
      </c>
      <c r="H94">
        <f t="shared" si="18"/>
        <v>0</v>
      </c>
      <c r="I94">
        <f>HLOOKUP(C94,Assumptions!$A$6:$J$7,2,TRUE)</f>
        <v>2.6499999999999999E-2</v>
      </c>
      <c r="J94" s="22">
        <f t="shared" si="14"/>
        <v>0</v>
      </c>
      <c r="K94" s="22">
        <f t="shared" si="19"/>
        <v>0</v>
      </c>
      <c r="L94">
        <f t="shared" si="24"/>
        <v>0</v>
      </c>
      <c r="M94" s="22">
        <f t="shared" si="20"/>
        <v>0</v>
      </c>
      <c r="N94">
        <f>M93*Assumptions!$B$11/$E$2*J94</f>
        <v>0</v>
      </c>
      <c r="O94">
        <f>M93*Assumptions!$B$13/$E$2*J94</f>
        <v>0</v>
      </c>
      <c r="P94">
        <f>H94*Assumptions!$B$15</f>
        <v>0</v>
      </c>
      <c r="Q94">
        <f>O94*Assumptions!$B$17</f>
        <v>0</v>
      </c>
      <c r="R94">
        <f>HLOOKUP(B94,Assumptions!$A$26:$D$27,2,TRUE)</f>
        <v>0</v>
      </c>
      <c r="S94">
        <f t="shared" si="25"/>
        <v>0</v>
      </c>
      <c r="T94">
        <f t="shared" si="21"/>
        <v>0.5</v>
      </c>
      <c r="U94">
        <f>IF(B94&gt;$K$2,0,IF(T95=0,0,(1-T95)*Assumptions!$B$11/$E$2*(1-Assumptions!$B$30)))</f>
        <v>0</v>
      </c>
      <c r="V94">
        <f>(N94-O94)*(1-Assumptions!$B$30)-Q94+U93*M93</f>
        <v>0</v>
      </c>
      <c r="W94">
        <f>W93*(1+Assumptions!$B$36)^(1/12)</f>
        <v>1.0712467121294236</v>
      </c>
      <c r="X94" s="19">
        <f>IF(B94&gt;$K$2,0,W93*Assumptions!$B$32/12*M93+V94*Assumptions!$B$34/12)</f>
        <v>0</v>
      </c>
      <c r="Y94" s="20">
        <f>1/(1+HLOOKUP(YEAR(A94),Assumptions!$A$41:$AL$43,3,TRUE))^(1/12)</f>
        <v>0.99879367902408245</v>
      </c>
      <c r="Z94">
        <f t="shared" si="22"/>
        <v>0</v>
      </c>
      <c r="AA94">
        <f t="shared" si="26"/>
        <v>0</v>
      </c>
    </row>
    <row r="95" spans="1:27" x14ac:dyDescent="0.2">
      <c r="A95" s="2">
        <f t="shared" si="27"/>
        <v>45657</v>
      </c>
      <c r="B95">
        <f t="shared" si="23"/>
        <v>176</v>
      </c>
      <c r="C95">
        <f t="shared" si="15"/>
        <v>14.583333333333334</v>
      </c>
      <c r="D95">
        <f t="shared" si="16"/>
        <v>0</v>
      </c>
      <c r="E95">
        <f t="shared" si="17"/>
        <v>69</v>
      </c>
      <c r="F95">
        <f>IF(C95&gt;=$J$2,0,VLOOKUP($E95,'Mortality Table'!$A$3:$C$128,2+G$2,FALSE))</f>
        <v>0</v>
      </c>
      <c r="G95">
        <f>F95*Assumptions!$B$1</f>
        <v>0</v>
      </c>
      <c r="H95">
        <f t="shared" si="18"/>
        <v>0</v>
      </c>
      <c r="I95">
        <f>HLOOKUP(C95,Assumptions!$A$6:$J$7,2,TRUE)</f>
        <v>2.6499999999999999E-2</v>
      </c>
      <c r="J95" s="22">
        <f t="shared" si="14"/>
        <v>0</v>
      </c>
      <c r="K95" s="22">
        <f t="shared" si="19"/>
        <v>0</v>
      </c>
      <c r="L95">
        <f t="shared" si="24"/>
        <v>0</v>
      </c>
      <c r="M95" s="22">
        <f t="shared" si="20"/>
        <v>0</v>
      </c>
      <c r="N95">
        <f>M94*Assumptions!$B$11/$E$2*J95</f>
        <v>0</v>
      </c>
      <c r="O95">
        <f>M94*Assumptions!$B$13/$E$2*J95</f>
        <v>0</v>
      </c>
      <c r="P95">
        <f>H95*Assumptions!$B$15</f>
        <v>0</v>
      </c>
      <c r="Q95">
        <f>O95*Assumptions!$B$17</f>
        <v>0</v>
      </c>
      <c r="R95">
        <f>HLOOKUP(B95,Assumptions!$A$26:$D$27,2,TRUE)</f>
        <v>0</v>
      </c>
      <c r="S95">
        <f t="shared" si="25"/>
        <v>0</v>
      </c>
      <c r="T95">
        <f t="shared" si="21"/>
        <v>0.58333333333333393</v>
      </c>
      <c r="U95">
        <f>IF(B95&gt;$K$2,0,IF(T96=0,0,(1-T96)*Assumptions!$B$11/$E$2*(1-Assumptions!$B$30)))</f>
        <v>0</v>
      </c>
      <c r="V95">
        <f>(N95-O95)*(1-Assumptions!$B$30)-Q95+U94*M94</f>
        <v>0</v>
      </c>
      <c r="W95">
        <f>W94*(1+Assumptions!$B$36)^(1/12)</f>
        <v>1.0721353521070029</v>
      </c>
      <c r="X95" s="19">
        <f>IF(B95&gt;$K$2,0,W94*Assumptions!$B$32/12*M94+V95*Assumptions!$B$34/12)</f>
        <v>0</v>
      </c>
      <c r="Y95" s="20">
        <f>1/(1+HLOOKUP(YEAR(A95),Assumptions!$A$41:$AL$43,3,TRUE))^(1/12)</f>
        <v>0.99879367902408245</v>
      </c>
      <c r="Z95">
        <f t="shared" si="22"/>
        <v>0</v>
      </c>
      <c r="AA95">
        <f t="shared" si="26"/>
        <v>0</v>
      </c>
    </row>
    <row r="96" spans="1:27" x14ac:dyDescent="0.2">
      <c r="A96" s="2">
        <f t="shared" si="27"/>
        <v>45688</v>
      </c>
      <c r="B96">
        <f t="shared" si="23"/>
        <v>177</v>
      </c>
      <c r="C96">
        <f t="shared" si="15"/>
        <v>14.666666666666666</v>
      </c>
      <c r="D96">
        <f t="shared" si="16"/>
        <v>0</v>
      </c>
      <c r="E96">
        <f t="shared" si="17"/>
        <v>69</v>
      </c>
      <c r="F96">
        <f>IF(C96&gt;=$J$2,0,VLOOKUP($E96,'Mortality Table'!$A$3:$C$128,2+G$2,FALSE))</f>
        <v>0</v>
      </c>
      <c r="G96">
        <f>F96*Assumptions!$B$1</f>
        <v>0</v>
      </c>
      <c r="H96">
        <f t="shared" si="18"/>
        <v>0</v>
      </c>
      <c r="I96">
        <f>HLOOKUP(C96,Assumptions!$A$6:$J$7,2,TRUE)</f>
        <v>2.6499999999999999E-2</v>
      </c>
      <c r="J96" s="22">
        <f t="shared" si="14"/>
        <v>0</v>
      </c>
      <c r="K96" s="22">
        <f t="shared" si="19"/>
        <v>0</v>
      </c>
      <c r="L96">
        <f t="shared" si="24"/>
        <v>0</v>
      </c>
      <c r="M96" s="22">
        <f t="shared" si="20"/>
        <v>0</v>
      </c>
      <c r="N96">
        <f>M95*Assumptions!$B$11/$E$2*J96</f>
        <v>0</v>
      </c>
      <c r="O96">
        <f>M95*Assumptions!$B$13/$E$2*J96</f>
        <v>0</v>
      </c>
      <c r="P96">
        <f>H96*Assumptions!$B$15</f>
        <v>0</v>
      </c>
      <c r="Q96">
        <f>O96*Assumptions!$B$17</f>
        <v>0</v>
      </c>
      <c r="R96">
        <f>HLOOKUP(B96,Assumptions!$A$26:$D$27,2,TRUE)</f>
        <v>0</v>
      </c>
      <c r="S96">
        <f t="shared" si="25"/>
        <v>0</v>
      </c>
      <c r="T96">
        <f t="shared" si="21"/>
        <v>0.66666666666666607</v>
      </c>
      <c r="U96">
        <f>IF(B96&gt;$K$2,0,IF(T97=0,0,(1-T97)*Assumptions!$B$11/$E$2*(1-Assumptions!$B$30)))</f>
        <v>0</v>
      </c>
      <c r="V96">
        <f>(N96-O96)*(1-Assumptions!$B$30)-Q96+U95*M95</f>
        <v>0</v>
      </c>
      <c r="W96">
        <f>W95*(1+Assumptions!$B$36)^(1/12)</f>
        <v>1.0730247292453137</v>
      </c>
      <c r="X96" s="19">
        <f>IF(B96&gt;$K$2,0,W95*Assumptions!$B$32/12*M95+V96*Assumptions!$B$34/12)</f>
        <v>0</v>
      </c>
      <c r="Y96" s="20">
        <f>1/(1+HLOOKUP(YEAR(A96),Assumptions!$A$41:$AL$43,3,TRUE))^(1/12)</f>
        <v>0.99875718171763528</v>
      </c>
      <c r="Z96">
        <f t="shared" si="22"/>
        <v>0</v>
      </c>
      <c r="AA96">
        <f t="shared" si="26"/>
        <v>0</v>
      </c>
    </row>
    <row r="97" spans="1:27" x14ac:dyDescent="0.2">
      <c r="A97" s="2">
        <f t="shared" si="27"/>
        <v>45716</v>
      </c>
      <c r="B97">
        <f t="shared" si="23"/>
        <v>178</v>
      </c>
      <c r="C97">
        <f t="shared" si="15"/>
        <v>14.75</v>
      </c>
      <c r="D97">
        <f t="shared" si="16"/>
        <v>0</v>
      </c>
      <c r="E97">
        <f t="shared" si="17"/>
        <v>69</v>
      </c>
      <c r="F97">
        <f>IF(C97&gt;=$J$2,0,VLOOKUP($E97,'Mortality Table'!$A$3:$C$128,2+G$2,FALSE))</f>
        <v>0</v>
      </c>
      <c r="G97">
        <f>F97*Assumptions!$B$1</f>
        <v>0</v>
      </c>
      <c r="H97">
        <f t="shared" si="18"/>
        <v>0</v>
      </c>
      <c r="I97">
        <f>HLOOKUP(C97,Assumptions!$A$6:$J$7,2,TRUE)</f>
        <v>2.6499999999999999E-2</v>
      </c>
      <c r="J97" s="22">
        <f t="shared" si="14"/>
        <v>0</v>
      </c>
      <c r="K97" s="22">
        <f t="shared" si="19"/>
        <v>0</v>
      </c>
      <c r="L97">
        <f t="shared" si="24"/>
        <v>0</v>
      </c>
      <c r="M97" s="22">
        <f t="shared" si="20"/>
        <v>0</v>
      </c>
      <c r="N97">
        <f>M96*Assumptions!$B$11/$E$2*J97</f>
        <v>0</v>
      </c>
      <c r="O97">
        <f>M96*Assumptions!$B$13/$E$2*J97</f>
        <v>0</v>
      </c>
      <c r="P97">
        <f>H97*Assumptions!$B$15</f>
        <v>0</v>
      </c>
      <c r="Q97">
        <f>O97*Assumptions!$B$17</f>
        <v>0</v>
      </c>
      <c r="R97">
        <f>HLOOKUP(B97,Assumptions!$A$26:$D$27,2,TRUE)</f>
        <v>0</v>
      </c>
      <c r="S97">
        <f t="shared" si="25"/>
        <v>0</v>
      </c>
      <c r="T97">
        <f t="shared" si="21"/>
        <v>0.75</v>
      </c>
      <c r="U97">
        <f>IF(B97&gt;$K$2,0,IF(T98=0,0,(1-T98)*Assumptions!$B$11/$E$2*(1-Assumptions!$B$30)))</f>
        <v>0</v>
      </c>
      <c r="V97">
        <f>(N97-O97)*(1-Assumptions!$B$30)-Q97+U96*M96</f>
        <v>0</v>
      </c>
      <c r="W97">
        <f>W96*(1+Assumptions!$B$36)^(1/12)</f>
        <v>1.0739148441558586</v>
      </c>
      <c r="X97" s="19">
        <f>IF(B97&gt;$K$2,0,W96*Assumptions!$B$32/12*M96+V97*Assumptions!$B$34/12)</f>
        <v>0</v>
      </c>
      <c r="Y97" s="20">
        <f>1/(1+HLOOKUP(YEAR(A97),Assumptions!$A$41:$AL$43,3,TRUE))^(1/12)</f>
        <v>0.99875718171763528</v>
      </c>
      <c r="Z97">
        <f t="shared" si="22"/>
        <v>0</v>
      </c>
      <c r="AA97">
        <f t="shared" si="26"/>
        <v>0</v>
      </c>
    </row>
    <row r="98" spans="1:27" x14ac:dyDescent="0.2">
      <c r="A98" s="2">
        <f t="shared" si="27"/>
        <v>45747</v>
      </c>
      <c r="B98">
        <f t="shared" si="23"/>
        <v>179</v>
      </c>
      <c r="C98">
        <f t="shared" si="15"/>
        <v>14.833333333333334</v>
      </c>
      <c r="D98">
        <f t="shared" si="16"/>
        <v>0</v>
      </c>
      <c r="E98">
        <f t="shared" si="17"/>
        <v>69</v>
      </c>
      <c r="F98">
        <f>IF(C98&gt;=$J$2,0,VLOOKUP($E98,'Mortality Table'!$A$3:$C$128,2+G$2,FALSE))</f>
        <v>0</v>
      </c>
      <c r="G98">
        <f>F98*Assumptions!$B$1</f>
        <v>0</v>
      </c>
      <c r="H98">
        <f t="shared" si="18"/>
        <v>0</v>
      </c>
      <c r="I98">
        <f>HLOOKUP(C98,Assumptions!$A$6:$J$7,2,TRUE)</f>
        <v>2.6499999999999999E-2</v>
      </c>
      <c r="J98" s="22">
        <f t="shared" si="14"/>
        <v>0</v>
      </c>
      <c r="K98" s="22">
        <f t="shared" si="19"/>
        <v>0</v>
      </c>
      <c r="L98">
        <f t="shared" si="24"/>
        <v>0</v>
      </c>
      <c r="M98" s="22">
        <f t="shared" si="20"/>
        <v>0</v>
      </c>
      <c r="N98">
        <f>M97*Assumptions!$B$11/$E$2*J98</f>
        <v>0</v>
      </c>
      <c r="O98">
        <f>M97*Assumptions!$B$13/$E$2*J98</f>
        <v>0</v>
      </c>
      <c r="P98">
        <f>H98*Assumptions!$B$15</f>
        <v>0</v>
      </c>
      <c r="Q98">
        <f>O98*Assumptions!$B$17</f>
        <v>0</v>
      </c>
      <c r="R98">
        <f>HLOOKUP(B98,Assumptions!$A$26:$D$27,2,TRUE)</f>
        <v>0</v>
      </c>
      <c r="S98">
        <f t="shared" si="25"/>
        <v>0</v>
      </c>
      <c r="T98">
        <f t="shared" si="21"/>
        <v>0.83333333333333393</v>
      </c>
      <c r="U98">
        <f>IF(B98&gt;$K$2,0,IF(T99=0,0,(1-T99)*Assumptions!$B$11/$E$2*(1-Assumptions!$B$30)))</f>
        <v>0</v>
      </c>
      <c r="V98">
        <f>(N98-O98)*(1-Assumptions!$B$30)-Q98+U97*M97</f>
        <v>0</v>
      </c>
      <c r="W98">
        <f>W97*(1+Assumptions!$B$36)^(1/12)</f>
        <v>1.0748056974506479</v>
      </c>
      <c r="X98" s="19">
        <f>IF(B98&gt;$K$2,0,W97*Assumptions!$B$32/12*M97+V98*Assumptions!$B$34/12)</f>
        <v>0</v>
      </c>
      <c r="Y98" s="20">
        <f>1/(1+HLOOKUP(YEAR(A98),Assumptions!$A$41:$AL$43,3,TRUE))^(1/12)</f>
        <v>0.99875718171763528</v>
      </c>
      <c r="Z98">
        <f t="shared" si="22"/>
        <v>0</v>
      </c>
      <c r="AA98">
        <f t="shared" si="26"/>
        <v>0</v>
      </c>
    </row>
    <row r="99" spans="1:27" x14ac:dyDescent="0.2">
      <c r="A99" s="2">
        <f t="shared" si="27"/>
        <v>45777</v>
      </c>
      <c r="B99">
        <f t="shared" si="23"/>
        <v>180</v>
      </c>
      <c r="C99">
        <f t="shared" si="15"/>
        <v>14.916666666666666</v>
      </c>
      <c r="D99">
        <f t="shared" si="16"/>
        <v>0</v>
      </c>
      <c r="E99">
        <f t="shared" si="17"/>
        <v>69</v>
      </c>
      <c r="F99">
        <f>IF(C99&gt;=$J$2,0,VLOOKUP($E99,'Mortality Table'!$A$3:$C$128,2+G$2,FALSE))</f>
        <v>0</v>
      </c>
      <c r="G99">
        <f>F99*Assumptions!$B$1</f>
        <v>0</v>
      </c>
      <c r="H99">
        <f t="shared" si="18"/>
        <v>0</v>
      </c>
      <c r="I99">
        <f>HLOOKUP(C99,Assumptions!$A$6:$J$7,2,TRUE)</f>
        <v>2.6499999999999999E-2</v>
      </c>
      <c r="J99" s="22">
        <f t="shared" si="14"/>
        <v>0</v>
      </c>
      <c r="K99" s="22">
        <f t="shared" si="19"/>
        <v>0</v>
      </c>
      <c r="L99">
        <f t="shared" si="24"/>
        <v>0</v>
      </c>
      <c r="M99" s="22">
        <f t="shared" si="20"/>
        <v>0</v>
      </c>
      <c r="N99">
        <f>M98*Assumptions!$B$11/$E$2*J99</f>
        <v>0</v>
      </c>
      <c r="O99">
        <f>M98*Assumptions!$B$13/$E$2*J99</f>
        <v>0</v>
      </c>
      <c r="P99">
        <f>H99*Assumptions!$B$15</f>
        <v>0</v>
      </c>
      <c r="Q99">
        <f>O99*Assumptions!$B$17</f>
        <v>0</v>
      </c>
      <c r="R99">
        <f>HLOOKUP(B99,Assumptions!$A$26:$D$27,2,TRUE)</f>
        <v>0</v>
      </c>
      <c r="S99">
        <f t="shared" si="25"/>
        <v>0</v>
      </c>
      <c r="T99">
        <f t="shared" si="21"/>
        <v>0.91666666666666607</v>
      </c>
      <c r="U99">
        <f>IF(B99&gt;$K$2,0,IF(T100=0,0,(1-T100)*Assumptions!$B$11/$E$2*(1-Assumptions!$B$30)))</f>
        <v>0</v>
      </c>
      <c r="V99">
        <f>(N99-O99)*(1-Assumptions!$B$30)-Q99+U98*M98</f>
        <v>0</v>
      </c>
      <c r="W99">
        <f>W98*(1+Assumptions!$B$36)^(1/12)</f>
        <v>1.0756972897421997</v>
      </c>
      <c r="X99" s="19">
        <f>IF(B99&gt;$K$2,0,W98*Assumptions!$B$32/12*M98+V99*Assumptions!$B$34/12)</f>
        <v>0</v>
      </c>
      <c r="Y99" s="20">
        <f>1/(1+HLOOKUP(YEAR(A99),Assumptions!$A$41:$AL$43,3,TRUE))^(1/12)</f>
        <v>0.99875718171763528</v>
      </c>
      <c r="Z99">
        <f t="shared" si="22"/>
        <v>0</v>
      </c>
      <c r="AA99">
        <f t="shared" si="26"/>
        <v>0</v>
      </c>
    </row>
    <row r="100" spans="1:27" x14ac:dyDescent="0.2">
      <c r="A100" s="2">
        <f t="shared" si="27"/>
        <v>45808</v>
      </c>
      <c r="B100">
        <f t="shared" si="23"/>
        <v>181</v>
      </c>
      <c r="C100">
        <f t="shared" si="15"/>
        <v>15</v>
      </c>
      <c r="D100">
        <f t="shared" si="16"/>
        <v>1</v>
      </c>
      <c r="E100">
        <f t="shared" si="17"/>
        <v>70</v>
      </c>
      <c r="F100">
        <f>IF(C100&gt;=$J$2,0,VLOOKUP($E100,'Mortality Table'!$A$3:$C$128,2+G$2,FALSE))</f>
        <v>0</v>
      </c>
      <c r="G100">
        <f>F100*Assumptions!$B$1</f>
        <v>0</v>
      </c>
      <c r="H100">
        <f t="shared" si="18"/>
        <v>0</v>
      </c>
      <c r="I100">
        <f>HLOOKUP(C100,Assumptions!$A$6:$J$7,2,TRUE)</f>
        <v>2.6499999999999999E-2</v>
      </c>
      <c r="J100" s="22">
        <f t="shared" si="14"/>
        <v>0</v>
      </c>
      <c r="K100" s="22">
        <f t="shared" si="19"/>
        <v>0</v>
      </c>
      <c r="L100">
        <f t="shared" si="24"/>
        <v>0</v>
      </c>
      <c r="M100" s="22">
        <f t="shared" si="20"/>
        <v>0</v>
      </c>
      <c r="N100">
        <f>M99*Assumptions!$B$11/$E$2*J100</f>
        <v>0</v>
      </c>
      <c r="O100">
        <f>M99*Assumptions!$B$13/$E$2*J100</f>
        <v>0</v>
      </c>
      <c r="P100">
        <f>H100*Assumptions!$B$15</f>
        <v>0</v>
      </c>
      <c r="Q100">
        <f>O100*Assumptions!$B$17</f>
        <v>0</v>
      </c>
      <c r="R100">
        <f>HLOOKUP(B100,Assumptions!$A$26:$D$27,2,TRUE)</f>
        <v>0</v>
      </c>
      <c r="S100">
        <f t="shared" si="25"/>
        <v>0</v>
      </c>
      <c r="T100">
        <f t="shared" si="21"/>
        <v>0</v>
      </c>
      <c r="U100">
        <f>IF(B100&gt;$K$2,0,IF(T101=0,0,(1-T101)*Assumptions!$B$11/$E$2*(1-Assumptions!$B$30)))</f>
        <v>0</v>
      </c>
      <c r="V100">
        <f>(N100-O100)*(1-Assumptions!$B$30)-Q100+U99*M99</f>
        <v>0</v>
      </c>
      <c r="W100">
        <f>W99*(1+Assumptions!$B$36)^(1/12)</f>
        <v>1.0765896216435398</v>
      </c>
      <c r="X100" s="19">
        <f>IF(B100&gt;$K$2,0,W99*Assumptions!$B$32/12*M99+V100*Assumptions!$B$34/12)</f>
        <v>0</v>
      </c>
      <c r="Y100" s="20">
        <f>1/(1+HLOOKUP(YEAR(A100),Assumptions!$A$41:$AL$43,3,TRUE))^(1/12)</f>
        <v>0.99875718171763528</v>
      </c>
      <c r="Z100">
        <f t="shared" si="22"/>
        <v>0</v>
      </c>
      <c r="AA100">
        <f t="shared" si="26"/>
        <v>0</v>
      </c>
    </row>
    <row r="101" spans="1:27" x14ac:dyDescent="0.2">
      <c r="A101" s="2">
        <f t="shared" si="27"/>
        <v>45838</v>
      </c>
      <c r="B101">
        <f t="shared" si="23"/>
        <v>182</v>
      </c>
      <c r="C101">
        <f t="shared" si="15"/>
        <v>15.083333333333332</v>
      </c>
      <c r="D101">
        <f t="shared" si="16"/>
        <v>0</v>
      </c>
      <c r="E101">
        <f t="shared" si="17"/>
        <v>70</v>
      </c>
      <c r="F101">
        <f>IF(C101&gt;=$J$2,0,VLOOKUP($E101,'Mortality Table'!$A$3:$C$128,2+G$2,FALSE))</f>
        <v>0</v>
      </c>
      <c r="G101">
        <f>F101*Assumptions!$B$1</f>
        <v>0</v>
      </c>
      <c r="H101">
        <f t="shared" si="18"/>
        <v>0</v>
      </c>
      <c r="I101">
        <f>HLOOKUP(C101,Assumptions!$A$6:$J$7,2,TRUE)</f>
        <v>2.6499999999999999E-2</v>
      </c>
      <c r="J101" s="22">
        <f t="shared" si="14"/>
        <v>0</v>
      </c>
      <c r="K101" s="22">
        <f t="shared" si="19"/>
        <v>0</v>
      </c>
      <c r="L101">
        <f t="shared" si="24"/>
        <v>0</v>
      </c>
      <c r="M101" s="22">
        <f t="shared" si="20"/>
        <v>0</v>
      </c>
      <c r="N101">
        <f>M100*Assumptions!$B$11/$E$2*J101</f>
        <v>0</v>
      </c>
      <c r="O101">
        <f>M100*Assumptions!$B$13/$E$2*J101</f>
        <v>0</v>
      </c>
      <c r="P101">
        <f>H101*Assumptions!$B$15</f>
        <v>0</v>
      </c>
      <c r="Q101">
        <f>O101*Assumptions!$B$17</f>
        <v>0</v>
      </c>
      <c r="R101">
        <f>HLOOKUP(B101,Assumptions!$A$26:$D$27,2,TRUE)</f>
        <v>0</v>
      </c>
      <c r="S101">
        <f t="shared" si="25"/>
        <v>0</v>
      </c>
      <c r="T101">
        <f t="shared" si="21"/>
        <v>8.3333333333332149E-2</v>
      </c>
      <c r="U101">
        <f>IF(B101&gt;$K$2,0,IF(T102=0,0,(1-T102)*Assumptions!$B$11/$E$2*(1-Assumptions!$B$30)))</f>
        <v>0</v>
      </c>
      <c r="V101">
        <f>(N101-O101)*(1-Assumptions!$B$30)-Q101+U100*M100</f>
        <v>0</v>
      </c>
      <c r="W101">
        <f>W100*(1+Assumptions!$B$36)^(1/12)</f>
        <v>1.0774826937682025</v>
      </c>
      <c r="X101" s="19">
        <f>IF(B101&gt;$K$2,0,W100*Assumptions!$B$32/12*M100+V101*Assumptions!$B$34/12)</f>
        <v>0</v>
      </c>
      <c r="Y101" s="20">
        <f>1/(1+HLOOKUP(YEAR(A101),Assumptions!$A$41:$AL$43,3,TRUE))^(1/12)</f>
        <v>0.99875718171763528</v>
      </c>
      <c r="Z101">
        <f t="shared" si="22"/>
        <v>0</v>
      </c>
      <c r="AA101">
        <f t="shared" si="26"/>
        <v>0</v>
      </c>
    </row>
    <row r="102" spans="1:27" x14ac:dyDescent="0.2">
      <c r="A102" s="2">
        <f t="shared" si="27"/>
        <v>45869</v>
      </c>
      <c r="B102">
        <f t="shared" si="23"/>
        <v>183</v>
      </c>
      <c r="C102">
        <f t="shared" si="15"/>
        <v>15.166666666666668</v>
      </c>
      <c r="D102">
        <f t="shared" si="16"/>
        <v>0</v>
      </c>
      <c r="E102">
        <f t="shared" si="17"/>
        <v>70</v>
      </c>
      <c r="F102">
        <f>IF(C102&gt;=$J$2,0,VLOOKUP($E102,'Mortality Table'!$A$3:$C$128,2+G$2,FALSE))</f>
        <v>0</v>
      </c>
      <c r="G102">
        <f>F102*Assumptions!$B$1</f>
        <v>0</v>
      </c>
      <c r="H102">
        <f t="shared" si="18"/>
        <v>0</v>
      </c>
      <c r="I102">
        <f>HLOOKUP(C102,Assumptions!$A$6:$J$7,2,TRUE)</f>
        <v>2.6499999999999999E-2</v>
      </c>
      <c r="J102" s="22">
        <f t="shared" si="14"/>
        <v>0</v>
      </c>
      <c r="K102" s="22">
        <f t="shared" si="19"/>
        <v>0</v>
      </c>
      <c r="L102">
        <f t="shared" si="24"/>
        <v>0</v>
      </c>
      <c r="M102" s="22">
        <f t="shared" si="20"/>
        <v>0</v>
      </c>
      <c r="N102">
        <f>M101*Assumptions!$B$11/$E$2*J102</f>
        <v>0</v>
      </c>
      <c r="O102">
        <f>M101*Assumptions!$B$13/$E$2*J102</f>
        <v>0</v>
      </c>
      <c r="P102">
        <f>H102*Assumptions!$B$15</f>
        <v>0</v>
      </c>
      <c r="Q102">
        <f>O102*Assumptions!$B$17</f>
        <v>0</v>
      </c>
      <c r="R102">
        <f>HLOOKUP(B102,Assumptions!$A$26:$D$27,2,TRUE)</f>
        <v>0</v>
      </c>
      <c r="S102">
        <f t="shared" si="25"/>
        <v>0</v>
      </c>
      <c r="T102">
        <f t="shared" si="21"/>
        <v>0.16666666666666785</v>
      </c>
      <c r="U102">
        <f>IF(B102&gt;$K$2,0,IF(T103=0,0,(1-T103)*Assumptions!$B$11/$E$2*(1-Assumptions!$B$30)))</f>
        <v>0</v>
      </c>
      <c r="V102">
        <f>(N102-O102)*(1-Assumptions!$B$30)-Q102+U101*M101</f>
        <v>0</v>
      </c>
      <c r="W102">
        <f>W101*(1+Assumptions!$B$36)^(1/12)</f>
        <v>1.0783765067302316</v>
      </c>
      <c r="X102" s="19">
        <f>IF(B102&gt;$K$2,0,W101*Assumptions!$B$32/12*M101+V102*Assumptions!$B$34/12)</f>
        <v>0</v>
      </c>
      <c r="Y102" s="20">
        <f>1/(1+HLOOKUP(YEAR(A102),Assumptions!$A$41:$AL$43,3,TRUE))^(1/12)</f>
        <v>0.99875718171763528</v>
      </c>
      <c r="Z102">
        <f t="shared" si="22"/>
        <v>0</v>
      </c>
      <c r="AA102">
        <f t="shared" si="26"/>
        <v>0</v>
      </c>
    </row>
    <row r="103" spans="1:27" x14ac:dyDescent="0.2">
      <c r="A103" s="2">
        <f t="shared" si="27"/>
        <v>45900</v>
      </c>
      <c r="B103">
        <f t="shared" si="23"/>
        <v>184</v>
      </c>
      <c r="C103">
        <f t="shared" si="15"/>
        <v>15.25</v>
      </c>
      <c r="D103">
        <f t="shared" si="16"/>
        <v>0</v>
      </c>
      <c r="E103">
        <f t="shared" si="17"/>
        <v>70</v>
      </c>
      <c r="F103">
        <f>IF(C103&gt;=$J$2,0,VLOOKUP($E103,'Mortality Table'!$A$3:$C$128,2+G$2,FALSE))</f>
        <v>0</v>
      </c>
      <c r="G103">
        <f>F103*Assumptions!$B$1</f>
        <v>0</v>
      </c>
      <c r="H103">
        <f t="shared" si="18"/>
        <v>0</v>
      </c>
      <c r="I103">
        <f>HLOOKUP(C103,Assumptions!$A$6:$J$7,2,TRUE)</f>
        <v>2.6499999999999999E-2</v>
      </c>
      <c r="J103" s="22">
        <f t="shared" si="14"/>
        <v>0</v>
      </c>
      <c r="K103" s="22">
        <f t="shared" si="19"/>
        <v>0</v>
      </c>
      <c r="L103">
        <f t="shared" si="24"/>
        <v>0</v>
      </c>
      <c r="M103" s="22">
        <f t="shared" si="20"/>
        <v>0</v>
      </c>
      <c r="N103">
        <f>M102*Assumptions!$B$11/$E$2*J103</f>
        <v>0</v>
      </c>
      <c r="O103">
        <f>M102*Assumptions!$B$13/$E$2*J103</f>
        <v>0</v>
      </c>
      <c r="P103">
        <f>H103*Assumptions!$B$15</f>
        <v>0</v>
      </c>
      <c r="Q103">
        <f>O103*Assumptions!$B$17</f>
        <v>0</v>
      </c>
      <c r="R103">
        <f>HLOOKUP(B103,Assumptions!$A$26:$D$27,2,TRUE)</f>
        <v>0</v>
      </c>
      <c r="S103">
        <f t="shared" si="25"/>
        <v>0</v>
      </c>
      <c r="T103">
        <f t="shared" si="21"/>
        <v>0.25</v>
      </c>
      <c r="U103">
        <f>IF(B103&gt;$K$2,0,IF(T104=0,0,(1-T104)*Assumptions!$B$11/$E$2*(1-Assumptions!$B$30)))</f>
        <v>0</v>
      </c>
      <c r="V103">
        <f>(N103-O103)*(1-Assumptions!$B$30)-Q103+U102*M102</f>
        <v>0</v>
      </c>
      <c r="W103">
        <f>W102*(1+Assumptions!$B$36)^(1/12)</f>
        <v>1.0792710611441798</v>
      </c>
      <c r="X103" s="19">
        <f>IF(B103&gt;$K$2,0,W102*Assumptions!$B$32/12*M102+V103*Assumptions!$B$34/12)</f>
        <v>0</v>
      </c>
      <c r="Y103" s="20">
        <f>1/(1+HLOOKUP(YEAR(A103),Assumptions!$A$41:$AL$43,3,TRUE))^(1/12)</f>
        <v>0.99875718171763528</v>
      </c>
      <c r="Z103">
        <f t="shared" si="22"/>
        <v>0</v>
      </c>
      <c r="AA103">
        <f t="shared" si="26"/>
        <v>0</v>
      </c>
    </row>
    <row r="104" spans="1:27" x14ac:dyDescent="0.2">
      <c r="A104" s="2">
        <f t="shared" si="27"/>
        <v>45930</v>
      </c>
      <c r="B104">
        <f t="shared" si="23"/>
        <v>185</v>
      </c>
      <c r="C104">
        <f t="shared" si="15"/>
        <v>15.333333333333332</v>
      </c>
      <c r="D104">
        <f t="shared" si="16"/>
        <v>0</v>
      </c>
      <c r="E104">
        <f t="shared" si="17"/>
        <v>70</v>
      </c>
      <c r="F104">
        <f>IF(C104&gt;=$J$2,0,VLOOKUP($E104,'Mortality Table'!$A$3:$C$128,2+G$2,FALSE))</f>
        <v>0</v>
      </c>
      <c r="G104">
        <f>F104*Assumptions!$B$1</f>
        <v>0</v>
      </c>
      <c r="H104">
        <f t="shared" si="18"/>
        <v>0</v>
      </c>
      <c r="I104">
        <f>HLOOKUP(C104,Assumptions!$A$6:$J$7,2,TRUE)</f>
        <v>2.6499999999999999E-2</v>
      </c>
      <c r="J104" s="22">
        <f t="shared" si="14"/>
        <v>0</v>
      </c>
      <c r="K104" s="22">
        <f t="shared" si="19"/>
        <v>0</v>
      </c>
      <c r="L104">
        <f t="shared" si="24"/>
        <v>0</v>
      </c>
      <c r="M104" s="22">
        <f t="shared" si="20"/>
        <v>0</v>
      </c>
      <c r="N104">
        <f>M103*Assumptions!$B$11/$E$2*J104</f>
        <v>0</v>
      </c>
      <c r="O104">
        <f>M103*Assumptions!$B$13/$E$2*J104</f>
        <v>0</v>
      </c>
      <c r="P104">
        <f>H104*Assumptions!$B$15</f>
        <v>0</v>
      </c>
      <c r="Q104">
        <f>O104*Assumptions!$B$17</f>
        <v>0</v>
      </c>
      <c r="R104">
        <f>HLOOKUP(B104,Assumptions!$A$26:$D$27,2,TRUE)</f>
        <v>0</v>
      </c>
      <c r="S104">
        <f t="shared" si="25"/>
        <v>0</v>
      </c>
      <c r="T104">
        <f t="shared" si="21"/>
        <v>0.33333333333333215</v>
      </c>
      <c r="U104">
        <f>IF(B104&gt;$K$2,0,IF(T105=0,0,(1-T105)*Assumptions!$B$11/$E$2*(1-Assumptions!$B$30)))</f>
        <v>0</v>
      </c>
      <c r="V104">
        <f>(N104-O104)*(1-Assumptions!$B$30)-Q104+U103*M103</f>
        <v>0</v>
      </c>
      <c r="W104">
        <f>W103*(1+Assumptions!$B$36)^(1/12)</f>
        <v>1.0801663576251097</v>
      </c>
      <c r="X104" s="19">
        <f>IF(B104&gt;$K$2,0,W103*Assumptions!$B$32/12*M103+V104*Assumptions!$B$34/12)</f>
        <v>0</v>
      </c>
      <c r="Y104" s="20">
        <f>1/(1+HLOOKUP(YEAR(A104),Assumptions!$A$41:$AL$43,3,TRUE))^(1/12)</f>
        <v>0.99875718171763528</v>
      </c>
      <c r="Z104">
        <f t="shared" si="22"/>
        <v>0</v>
      </c>
      <c r="AA104">
        <f t="shared" si="26"/>
        <v>0</v>
      </c>
    </row>
    <row r="105" spans="1:27" x14ac:dyDescent="0.2">
      <c r="A105" s="2">
        <f t="shared" si="27"/>
        <v>45961</v>
      </c>
      <c r="B105">
        <f t="shared" si="23"/>
        <v>186</v>
      </c>
      <c r="C105">
        <f t="shared" si="15"/>
        <v>15.416666666666668</v>
      </c>
      <c r="D105">
        <f t="shared" si="16"/>
        <v>0</v>
      </c>
      <c r="E105">
        <f t="shared" si="17"/>
        <v>70</v>
      </c>
      <c r="F105">
        <f>IF(C105&gt;=$J$2,0,VLOOKUP($E105,'Mortality Table'!$A$3:$C$128,2+G$2,FALSE))</f>
        <v>0</v>
      </c>
      <c r="G105">
        <f>F105*Assumptions!$B$1</f>
        <v>0</v>
      </c>
      <c r="H105">
        <f t="shared" si="18"/>
        <v>0</v>
      </c>
      <c r="I105">
        <f>HLOOKUP(C105,Assumptions!$A$6:$J$7,2,TRUE)</f>
        <v>2.6499999999999999E-2</v>
      </c>
      <c r="J105" s="22">
        <f t="shared" si="14"/>
        <v>0</v>
      </c>
      <c r="K105" s="22">
        <f t="shared" si="19"/>
        <v>0</v>
      </c>
      <c r="L105">
        <f t="shared" si="24"/>
        <v>0</v>
      </c>
      <c r="M105" s="22">
        <f t="shared" si="20"/>
        <v>0</v>
      </c>
      <c r="N105">
        <f>M104*Assumptions!$B$11/$E$2*J105</f>
        <v>0</v>
      </c>
      <c r="O105">
        <f>M104*Assumptions!$B$13/$E$2*J105</f>
        <v>0</v>
      </c>
      <c r="P105">
        <f>H105*Assumptions!$B$15</f>
        <v>0</v>
      </c>
      <c r="Q105">
        <f>O105*Assumptions!$B$17</f>
        <v>0</v>
      </c>
      <c r="R105">
        <f>HLOOKUP(B105,Assumptions!$A$26:$D$27,2,TRUE)</f>
        <v>0</v>
      </c>
      <c r="S105">
        <f t="shared" si="25"/>
        <v>0</v>
      </c>
      <c r="T105">
        <f t="shared" si="21"/>
        <v>0.41666666666666785</v>
      </c>
      <c r="U105">
        <f>IF(B105&gt;$K$2,0,IF(T106=0,0,(1-T106)*Assumptions!$B$11/$E$2*(1-Assumptions!$B$30)))</f>
        <v>0</v>
      </c>
      <c r="V105">
        <f>(N105-O105)*(1-Assumptions!$B$30)-Q105+U104*M104</f>
        <v>0</v>
      </c>
      <c r="W105">
        <f>W104*(1+Assumptions!$B$36)^(1/12)</f>
        <v>1.0810623967885942</v>
      </c>
      <c r="X105" s="19">
        <f>IF(B105&gt;$K$2,0,W104*Assumptions!$B$32/12*M104+V105*Assumptions!$B$34/12)</f>
        <v>0</v>
      </c>
      <c r="Y105" s="20">
        <f>1/(1+HLOOKUP(YEAR(A105),Assumptions!$A$41:$AL$43,3,TRUE))^(1/12)</f>
        <v>0.99875718171763528</v>
      </c>
      <c r="Z105">
        <f t="shared" si="22"/>
        <v>0</v>
      </c>
      <c r="AA105">
        <f t="shared" si="26"/>
        <v>0</v>
      </c>
    </row>
    <row r="106" spans="1:27" x14ac:dyDescent="0.2">
      <c r="A106" s="2">
        <f t="shared" si="27"/>
        <v>45991</v>
      </c>
      <c r="B106">
        <f t="shared" si="23"/>
        <v>187</v>
      </c>
      <c r="C106">
        <f t="shared" si="15"/>
        <v>15.5</v>
      </c>
      <c r="D106">
        <f t="shared" si="16"/>
        <v>0</v>
      </c>
      <c r="E106">
        <f t="shared" si="17"/>
        <v>70</v>
      </c>
      <c r="F106">
        <f>IF(C106&gt;=$J$2,0,VLOOKUP($E106,'Mortality Table'!$A$3:$C$128,2+G$2,FALSE))</f>
        <v>0</v>
      </c>
      <c r="G106">
        <f>F106*Assumptions!$B$1</f>
        <v>0</v>
      </c>
      <c r="H106">
        <f t="shared" si="18"/>
        <v>0</v>
      </c>
      <c r="I106">
        <f>HLOOKUP(C106,Assumptions!$A$6:$J$7,2,TRUE)</f>
        <v>2.6499999999999999E-2</v>
      </c>
      <c r="J106" s="22">
        <f t="shared" si="14"/>
        <v>0</v>
      </c>
      <c r="K106" s="22">
        <f t="shared" si="19"/>
        <v>0</v>
      </c>
      <c r="L106">
        <f t="shared" si="24"/>
        <v>0</v>
      </c>
      <c r="M106" s="22">
        <f t="shared" si="20"/>
        <v>0</v>
      </c>
      <c r="N106">
        <f>M105*Assumptions!$B$11/$E$2*J106</f>
        <v>0</v>
      </c>
      <c r="O106">
        <f>M105*Assumptions!$B$13/$E$2*J106</f>
        <v>0</v>
      </c>
      <c r="P106">
        <f>H106*Assumptions!$B$15</f>
        <v>0</v>
      </c>
      <c r="Q106">
        <f>O106*Assumptions!$B$17</f>
        <v>0</v>
      </c>
      <c r="R106">
        <f>HLOOKUP(B106,Assumptions!$A$26:$D$27,2,TRUE)</f>
        <v>0</v>
      </c>
      <c r="S106">
        <f t="shared" si="25"/>
        <v>0</v>
      </c>
      <c r="T106">
        <f t="shared" si="21"/>
        <v>0.5</v>
      </c>
      <c r="U106">
        <f>IF(B106&gt;$K$2,0,IF(T107=0,0,(1-T107)*Assumptions!$B$11/$E$2*(1-Assumptions!$B$30)))</f>
        <v>0</v>
      </c>
      <c r="V106">
        <f>(N106-O106)*(1-Assumptions!$B$30)-Q106+U105*M105</f>
        <v>0</v>
      </c>
      <c r="W106">
        <f>W105*(1+Assumptions!$B$36)^(1/12)</f>
        <v>1.0819591792507168</v>
      </c>
      <c r="X106" s="19">
        <f>IF(B106&gt;$K$2,0,W105*Assumptions!$B$32/12*M105+V106*Assumptions!$B$34/12)</f>
        <v>0</v>
      </c>
      <c r="Y106" s="20">
        <f>1/(1+HLOOKUP(YEAR(A106),Assumptions!$A$41:$AL$43,3,TRUE))^(1/12)</f>
        <v>0.99875718171763528</v>
      </c>
      <c r="Z106">
        <f t="shared" si="22"/>
        <v>0</v>
      </c>
      <c r="AA106">
        <f t="shared" si="26"/>
        <v>0</v>
      </c>
    </row>
    <row r="107" spans="1:27" x14ac:dyDescent="0.2">
      <c r="A107" s="2">
        <f t="shared" si="27"/>
        <v>46022</v>
      </c>
      <c r="B107">
        <f t="shared" si="23"/>
        <v>188</v>
      </c>
      <c r="C107">
        <f t="shared" si="15"/>
        <v>15.583333333333332</v>
      </c>
      <c r="D107">
        <f t="shared" si="16"/>
        <v>0</v>
      </c>
      <c r="E107">
        <f t="shared" si="17"/>
        <v>70</v>
      </c>
      <c r="F107">
        <f>IF(C107&gt;=$J$2,0,VLOOKUP($E107,'Mortality Table'!$A$3:$C$128,2+G$2,FALSE))</f>
        <v>0</v>
      </c>
      <c r="G107">
        <f>F107*Assumptions!$B$1</f>
        <v>0</v>
      </c>
      <c r="H107">
        <f t="shared" si="18"/>
        <v>0</v>
      </c>
      <c r="I107">
        <f>HLOOKUP(C107,Assumptions!$A$6:$J$7,2,TRUE)</f>
        <v>2.6499999999999999E-2</v>
      </c>
      <c r="J107" s="22">
        <f t="shared" si="14"/>
        <v>0</v>
      </c>
      <c r="K107" s="22">
        <f t="shared" si="19"/>
        <v>0</v>
      </c>
      <c r="L107">
        <f t="shared" si="24"/>
        <v>0</v>
      </c>
      <c r="M107" s="22">
        <f t="shared" si="20"/>
        <v>0</v>
      </c>
      <c r="N107">
        <f>M106*Assumptions!$B$11/$E$2*J107</f>
        <v>0</v>
      </c>
      <c r="O107">
        <f>M106*Assumptions!$B$13/$E$2*J107</f>
        <v>0</v>
      </c>
      <c r="P107">
        <f>H107*Assumptions!$B$15</f>
        <v>0</v>
      </c>
      <c r="Q107">
        <f>O107*Assumptions!$B$17</f>
        <v>0</v>
      </c>
      <c r="R107">
        <f>HLOOKUP(B107,Assumptions!$A$26:$D$27,2,TRUE)</f>
        <v>0</v>
      </c>
      <c r="S107">
        <f t="shared" si="25"/>
        <v>0</v>
      </c>
      <c r="T107">
        <f t="shared" si="21"/>
        <v>0.58333333333333215</v>
      </c>
      <c r="U107">
        <f>IF(B107&gt;$K$2,0,IF(T108=0,0,(1-T108)*Assumptions!$B$11/$E$2*(1-Assumptions!$B$30)))</f>
        <v>0</v>
      </c>
      <c r="V107">
        <f>(N107-O107)*(1-Assumptions!$B$30)-Q107+U106*M106</f>
        <v>0</v>
      </c>
      <c r="W107">
        <f>W106*(1+Assumptions!$B$36)^(1/12)</f>
        <v>1.082856705628072</v>
      </c>
      <c r="X107" s="19">
        <f>IF(B107&gt;$K$2,0,W106*Assumptions!$B$32/12*M106+V107*Assumptions!$B$34/12)</f>
        <v>0</v>
      </c>
      <c r="Y107" s="20">
        <f>1/(1+HLOOKUP(YEAR(A107),Assumptions!$A$41:$AL$43,3,TRUE))^(1/12)</f>
        <v>0.99875718171763528</v>
      </c>
      <c r="Z107">
        <f t="shared" si="22"/>
        <v>0</v>
      </c>
      <c r="AA107">
        <f t="shared" si="26"/>
        <v>0</v>
      </c>
    </row>
    <row r="108" spans="1:27" x14ac:dyDescent="0.2">
      <c r="A108" s="2">
        <f t="shared" si="27"/>
        <v>46053</v>
      </c>
      <c r="B108">
        <f t="shared" si="23"/>
        <v>189</v>
      </c>
      <c r="C108">
        <f t="shared" si="15"/>
        <v>15.666666666666668</v>
      </c>
      <c r="D108">
        <f t="shared" si="16"/>
        <v>0</v>
      </c>
      <c r="E108">
        <f t="shared" si="17"/>
        <v>70</v>
      </c>
      <c r="F108">
        <f>IF(C108&gt;=$J$2,0,VLOOKUP($E108,'Mortality Table'!$A$3:$C$128,2+G$2,FALSE))</f>
        <v>0</v>
      </c>
      <c r="G108">
        <f>F108*Assumptions!$B$1</f>
        <v>0</v>
      </c>
      <c r="H108">
        <f t="shared" si="18"/>
        <v>0</v>
      </c>
      <c r="I108">
        <f>HLOOKUP(C108,Assumptions!$A$6:$J$7,2,TRUE)</f>
        <v>2.6499999999999999E-2</v>
      </c>
      <c r="J108" s="22">
        <f t="shared" si="14"/>
        <v>0</v>
      </c>
      <c r="K108" s="22">
        <f t="shared" si="19"/>
        <v>0</v>
      </c>
      <c r="L108">
        <f t="shared" si="24"/>
        <v>0</v>
      </c>
      <c r="M108" s="22">
        <f t="shared" si="20"/>
        <v>0</v>
      </c>
      <c r="N108">
        <f>M107*Assumptions!$B$11/$E$2*J108</f>
        <v>0</v>
      </c>
      <c r="O108">
        <f>M107*Assumptions!$B$13/$E$2*J108</f>
        <v>0</v>
      </c>
      <c r="P108">
        <f>H108*Assumptions!$B$15</f>
        <v>0</v>
      </c>
      <c r="Q108">
        <f>O108*Assumptions!$B$17</f>
        <v>0</v>
      </c>
      <c r="R108">
        <f>HLOOKUP(B108,Assumptions!$A$26:$D$27,2,TRUE)</f>
        <v>0</v>
      </c>
      <c r="S108">
        <f t="shared" si="25"/>
        <v>0</v>
      </c>
      <c r="T108">
        <f t="shared" si="21"/>
        <v>0.66666666666666785</v>
      </c>
      <c r="U108">
        <f>IF(B108&gt;$K$2,0,IF(T109=0,0,(1-T109)*Assumptions!$B$11/$E$2*(1-Assumptions!$B$30)))</f>
        <v>0</v>
      </c>
      <c r="V108">
        <f>(N108-O108)*(1-Assumptions!$B$30)-Q108+U107*M107</f>
        <v>0</v>
      </c>
      <c r="W108">
        <f>W107*(1+Assumptions!$B$36)^(1/12)</f>
        <v>1.0837549765377659</v>
      </c>
      <c r="X108" s="19">
        <f>IF(B108&gt;$K$2,0,W107*Assumptions!$B$32/12*M107+V108*Assumptions!$B$34/12)</f>
        <v>0</v>
      </c>
      <c r="Y108" s="20">
        <f>1/(1+HLOOKUP(YEAR(A108),Assumptions!$A$41:$AL$43,3,TRUE))^(1/12)</f>
        <v>0.99874849053349435</v>
      </c>
      <c r="Z108">
        <f t="shared" si="22"/>
        <v>0</v>
      </c>
      <c r="AA108">
        <f t="shared" si="26"/>
        <v>0</v>
      </c>
    </row>
    <row r="109" spans="1:27" x14ac:dyDescent="0.2">
      <c r="A109" s="2">
        <f t="shared" si="27"/>
        <v>46081</v>
      </c>
      <c r="B109">
        <f t="shared" si="23"/>
        <v>190</v>
      </c>
      <c r="C109">
        <f t="shared" si="15"/>
        <v>15.75</v>
      </c>
      <c r="D109">
        <f t="shared" si="16"/>
        <v>0</v>
      </c>
      <c r="E109">
        <f t="shared" si="17"/>
        <v>70</v>
      </c>
      <c r="F109">
        <f>IF(C109&gt;=$J$2,0,VLOOKUP($E109,'Mortality Table'!$A$3:$C$128,2+G$2,FALSE))</f>
        <v>0</v>
      </c>
      <c r="G109">
        <f>F109*Assumptions!$B$1</f>
        <v>0</v>
      </c>
      <c r="H109">
        <f t="shared" si="18"/>
        <v>0</v>
      </c>
      <c r="I109">
        <f>HLOOKUP(C109,Assumptions!$A$6:$J$7,2,TRUE)</f>
        <v>2.6499999999999999E-2</v>
      </c>
      <c r="J109" s="22">
        <f t="shared" si="14"/>
        <v>0</v>
      </c>
      <c r="K109" s="22">
        <f t="shared" si="19"/>
        <v>0</v>
      </c>
      <c r="L109">
        <f t="shared" si="24"/>
        <v>0</v>
      </c>
      <c r="M109" s="22">
        <f t="shared" si="20"/>
        <v>0</v>
      </c>
      <c r="N109">
        <f>M108*Assumptions!$B$11/$E$2*J109</f>
        <v>0</v>
      </c>
      <c r="O109">
        <f>M108*Assumptions!$B$13/$E$2*J109</f>
        <v>0</v>
      </c>
      <c r="P109">
        <f>H109*Assumptions!$B$15</f>
        <v>0</v>
      </c>
      <c r="Q109">
        <f>O109*Assumptions!$B$17</f>
        <v>0</v>
      </c>
      <c r="R109">
        <f>HLOOKUP(B109,Assumptions!$A$26:$D$27,2,TRUE)</f>
        <v>0</v>
      </c>
      <c r="S109">
        <f t="shared" si="25"/>
        <v>0</v>
      </c>
      <c r="T109">
        <f t="shared" si="21"/>
        <v>0.75</v>
      </c>
      <c r="U109">
        <f>IF(B109&gt;$K$2,0,IF(T110=0,0,(1-T110)*Assumptions!$B$11/$E$2*(1-Assumptions!$B$30)))</f>
        <v>0</v>
      </c>
      <c r="V109">
        <f>(N109-O109)*(1-Assumptions!$B$30)-Q109+U108*M108</f>
        <v>0</v>
      </c>
      <c r="W109">
        <f>W108*(1+Assumptions!$B$36)^(1/12)</f>
        <v>1.0846539925974163</v>
      </c>
      <c r="X109" s="19">
        <f>IF(B109&gt;$K$2,0,W108*Assumptions!$B$32/12*M108+V109*Assumptions!$B$34/12)</f>
        <v>0</v>
      </c>
      <c r="Y109" s="20">
        <f>1/(1+HLOOKUP(YEAR(A109),Assumptions!$A$41:$AL$43,3,TRUE))^(1/12)</f>
        <v>0.99874849053349435</v>
      </c>
      <c r="Z109">
        <f t="shared" si="22"/>
        <v>0</v>
      </c>
      <c r="AA109">
        <f t="shared" si="26"/>
        <v>0</v>
      </c>
    </row>
    <row r="110" spans="1:27" x14ac:dyDescent="0.2">
      <c r="A110" s="2">
        <f t="shared" si="27"/>
        <v>46112</v>
      </c>
      <c r="B110">
        <f t="shared" si="23"/>
        <v>191</v>
      </c>
      <c r="C110">
        <f t="shared" si="15"/>
        <v>15.833333333333332</v>
      </c>
      <c r="D110">
        <f t="shared" si="16"/>
        <v>0</v>
      </c>
      <c r="E110">
        <f t="shared" si="17"/>
        <v>70</v>
      </c>
      <c r="F110">
        <f>IF(C110&gt;=$J$2,0,VLOOKUP($E110,'Mortality Table'!$A$3:$C$128,2+G$2,FALSE))</f>
        <v>0</v>
      </c>
      <c r="G110">
        <f>F110*Assumptions!$B$1</f>
        <v>0</v>
      </c>
      <c r="H110">
        <f t="shared" si="18"/>
        <v>0</v>
      </c>
      <c r="I110">
        <f>HLOOKUP(C110,Assumptions!$A$6:$J$7,2,TRUE)</f>
        <v>2.6499999999999999E-2</v>
      </c>
      <c r="J110" s="22">
        <f t="shared" si="14"/>
        <v>0</v>
      </c>
      <c r="K110" s="22">
        <f t="shared" si="19"/>
        <v>0</v>
      </c>
      <c r="L110">
        <f t="shared" si="24"/>
        <v>0</v>
      </c>
      <c r="M110" s="22">
        <f t="shared" si="20"/>
        <v>0</v>
      </c>
      <c r="N110">
        <f>M109*Assumptions!$B$11/$E$2*J110</f>
        <v>0</v>
      </c>
      <c r="O110">
        <f>M109*Assumptions!$B$13/$E$2*J110</f>
        <v>0</v>
      </c>
      <c r="P110">
        <f>H110*Assumptions!$B$15</f>
        <v>0</v>
      </c>
      <c r="Q110">
        <f>O110*Assumptions!$B$17</f>
        <v>0</v>
      </c>
      <c r="R110">
        <f>HLOOKUP(B110,Assumptions!$A$26:$D$27,2,TRUE)</f>
        <v>0</v>
      </c>
      <c r="S110">
        <f t="shared" si="25"/>
        <v>0</v>
      </c>
      <c r="T110">
        <f t="shared" si="21"/>
        <v>0.83333333333333215</v>
      </c>
      <c r="U110">
        <f>IF(B110&gt;$K$2,0,IF(T111=0,0,(1-T111)*Assumptions!$B$11/$E$2*(1-Assumptions!$B$30)))</f>
        <v>0</v>
      </c>
      <c r="V110">
        <f>(N110-O110)*(1-Assumptions!$B$30)-Q110+U109*M109</f>
        <v>0</v>
      </c>
      <c r="W110">
        <f>W109*(1+Assumptions!$B$36)^(1/12)</f>
        <v>1.0855537544251537</v>
      </c>
      <c r="X110" s="19">
        <f>IF(B110&gt;$K$2,0,W109*Assumptions!$B$32/12*M109+V110*Assumptions!$B$34/12)</f>
        <v>0</v>
      </c>
      <c r="Y110" s="20">
        <f>1/(1+HLOOKUP(YEAR(A110),Assumptions!$A$41:$AL$43,3,TRUE))^(1/12)</f>
        <v>0.99874849053349435</v>
      </c>
      <c r="Z110">
        <f t="shared" si="22"/>
        <v>0</v>
      </c>
      <c r="AA110">
        <f t="shared" si="26"/>
        <v>0</v>
      </c>
    </row>
    <row r="111" spans="1:27" x14ac:dyDescent="0.2">
      <c r="A111" s="2">
        <f t="shared" si="27"/>
        <v>46142</v>
      </c>
      <c r="B111">
        <f t="shared" si="23"/>
        <v>192</v>
      </c>
      <c r="C111">
        <f t="shared" si="15"/>
        <v>15.916666666666668</v>
      </c>
      <c r="D111">
        <f t="shared" si="16"/>
        <v>0</v>
      </c>
      <c r="E111">
        <f t="shared" si="17"/>
        <v>70</v>
      </c>
      <c r="F111">
        <f>IF(C111&gt;=$J$2,0,VLOOKUP($E111,'Mortality Table'!$A$3:$C$128,2+G$2,FALSE))</f>
        <v>0</v>
      </c>
      <c r="G111">
        <f>F111*Assumptions!$B$1</f>
        <v>0</v>
      </c>
      <c r="H111">
        <f t="shared" si="18"/>
        <v>0</v>
      </c>
      <c r="I111">
        <f>HLOOKUP(C111,Assumptions!$A$6:$J$7,2,TRUE)</f>
        <v>2.6499999999999999E-2</v>
      </c>
      <c r="J111" s="22">
        <f t="shared" si="14"/>
        <v>0</v>
      </c>
      <c r="K111" s="22">
        <f t="shared" si="19"/>
        <v>0</v>
      </c>
      <c r="L111">
        <f t="shared" si="24"/>
        <v>0</v>
      </c>
      <c r="M111" s="22">
        <f t="shared" si="20"/>
        <v>0</v>
      </c>
      <c r="N111">
        <f>M110*Assumptions!$B$11/$E$2*J111</f>
        <v>0</v>
      </c>
      <c r="O111">
        <f>M110*Assumptions!$B$13/$E$2*J111</f>
        <v>0</v>
      </c>
      <c r="P111">
        <f>H111*Assumptions!$B$15</f>
        <v>0</v>
      </c>
      <c r="Q111">
        <f>O111*Assumptions!$B$17</f>
        <v>0</v>
      </c>
      <c r="R111">
        <f>HLOOKUP(B111,Assumptions!$A$26:$D$27,2,TRUE)</f>
        <v>0</v>
      </c>
      <c r="S111">
        <f t="shared" si="25"/>
        <v>0</v>
      </c>
      <c r="T111">
        <f t="shared" si="21"/>
        <v>0.91666666666666785</v>
      </c>
      <c r="U111">
        <f>IF(B111&gt;$K$2,0,IF(T112=0,0,(1-T112)*Assumptions!$B$11/$E$2*(1-Assumptions!$B$30)))</f>
        <v>0</v>
      </c>
      <c r="V111">
        <f>(N111-O111)*(1-Assumptions!$B$30)-Q111+U110*M110</f>
        <v>0</v>
      </c>
      <c r="W111">
        <f>W110*(1+Assumptions!$B$36)^(1/12)</f>
        <v>1.086454262639621</v>
      </c>
      <c r="X111" s="19">
        <f>IF(B111&gt;$K$2,0,W110*Assumptions!$B$32/12*M110+V111*Assumptions!$B$34/12)</f>
        <v>0</v>
      </c>
      <c r="Y111" s="20">
        <f>1/(1+HLOOKUP(YEAR(A111),Assumptions!$A$41:$AL$43,3,TRUE))^(1/12)</f>
        <v>0.99874849053349435</v>
      </c>
      <c r="Z111">
        <f t="shared" si="22"/>
        <v>0</v>
      </c>
      <c r="AA111">
        <f t="shared" si="26"/>
        <v>0</v>
      </c>
    </row>
    <row r="112" spans="1:27" x14ac:dyDescent="0.2">
      <c r="A112" s="2">
        <f t="shared" si="27"/>
        <v>46173</v>
      </c>
      <c r="B112">
        <f t="shared" si="23"/>
        <v>193</v>
      </c>
      <c r="C112">
        <f t="shared" si="15"/>
        <v>16</v>
      </c>
      <c r="D112">
        <f t="shared" si="16"/>
        <v>1</v>
      </c>
      <c r="E112">
        <f t="shared" si="17"/>
        <v>71</v>
      </c>
      <c r="F112">
        <f>IF(C112&gt;=$J$2,0,VLOOKUP($E112,'Mortality Table'!$A$3:$C$128,2+G$2,FALSE))</f>
        <v>0</v>
      </c>
      <c r="G112">
        <f>F112*Assumptions!$B$1</f>
        <v>0</v>
      </c>
      <c r="H112">
        <f t="shared" si="18"/>
        <v>0</v>
      </c>
      <c r="I112">
        <f>HLOOKUP(C112,Assumptions!$A$6:$J$7,2,TRUE)</f>
        <v>2.6499999999999999E-2</v>
      </c>
      <c r="J112" s="22">
        <f t="shared" si="14"/>
        <v>0</v>
      </c>
      <c r="K112" s="22">
        <f t="shared" si="19"/>
        <v>0</v>
      </c>
      <c r="L112">
        <f t="shared" si="24"/>
        <v>0</v>
      </c>
      <c r="M112" s="22">
        <f t="shared" si="20"/>
        <v>0</v>
      </c>
      <c r="N112">
        <f>M111*Assumptions!$B$11/$E$2*J112</f>
        <v>0</v>
      </c>
      <c r="O112">
        <f>M111*Assumptions!$B$13/$E$2*J112</f>
        <v>0</v>
      </c>
      <c r="P112">
        <f>H112*Assumptions!$B$15</f>
        <v>0</v>
      </c>
      <c r="Q112">
        <f>O112*Assumptions!$B$17</f>
        <v>0</v>
      </c>
      <c r="R112">
        <f>HLOOKUP(B112,Assumptions!$A$26:$D$27,2,TRUE)</f>
        <v>0</v>
      </c>
      <c r="S112">
        <f t="shared" si="25"/>
        <v>0</v>
      </c>
      <c r="T112">
        <f t="shared" si="21"/>
        <v>0</v>
      </c>
      <c r="U112">
        <f>IF(B112&gt;$K$2,0,IF(T113=0,0,(1-T113)*Assumptions!$B$11/$E$2*(1-Assumptions!$B$30)))</f>
        <v>0</v>
      </c>
      <c r="V112">
        <f>(N112-O112)*(1-Assumptions!$B$30)-Q112+U111*M111</f>
        <v>0</v>
      </c>
      <c r="W112">
        <f>W111*(1+Assumptions!$B$36)^(1/12)</f>
        <v>1.0873555178599743</v>
      </c>
      <c r="X112" s="19">
        <f>IF(B112&gt;$K$2,0,W111*Assumptions!$B$32/12*M111+V112*Assumptions!$B$34/12)</f>
        <v>0</v>
      </c>
      <c r="Y112" s="20">
        <f>1/(1+HLOOKUP(YEAR(A112),Assumptions!$A$41:$AL$43,3,TRUE))^(1/12)</f>
        <v>0.99874849053349435</v>
      </c>
      <c r="Z112">
        <f t="shared" si="22"/>
        <v>0</v>
      </c>
      <c r="AA112">
        <f t="shared" si="26"/>
        <v>0</v>
      </c>
    </row>
    <row r="113" spans="1:27" x14ac:dyDescent="0.2">
      <c r="A113" s="2">
        <f t="shared" si="27"/>
        <v>46203</v>
      </c>
      <c r="B113">
        <f t="shared" si="23"/>
        <v>194</v>
      </c>
      <c r="C113">
        <f t="shared" si="15"/>
        <v>16.083333333333332</v>
      </c>
      <c r="D113">
        <f t="shared" si="16"/>
        <v>0</v>
      </c>
      <c r="E113">
        <f t="shared" si="17"/>
        <v>71</v>
      </c>
      <c r="F113">
        <f>IF(C113&gt;=$J$2,0,VLOOKUP($E113,'Mortality Table'!$A$3:$C$128,2+G$2,FALSE))</f>
        <v>0</v>
      </c>
      <c r="G113">
        <f>F113*Assumptions!$B$1</f>
        <v>0</v>
      </c>
      <c r="H113">
        <f t="shared" si="18"/>
        <v>0</v>
      </c>
      <c r="I113">
        <f>HLOOKUP(C113,Assumptions!$A$6:$J$7,2,TRUE)</f>
        <v>2.6499999999999999E-2</v>
      </c>
      <c r="J113" s="22">
        <f t="shared" si="14"/>
        <v>0</v>
      </c>
      <c r="K113" s="22">
        <f t="shared" si="19"/>
        <v>0</v>
      </c>
      <c r="L113">
        <f t="shared" si="24"/>
        <v>0</v>
      </c>
      <c r="M113" s="22">
        <f t="shared" si="20"/>
        <v>0</v>
      </c>
      <c r="N113">
        <f>M112*Assumptions!$B$11/$E$2*J113</f>
        <v>0</v>
      </c>
      <c r="O113">
        <f>M112*Assumptions!$B$13/$E$2*J113</f>
        <v>0</v>
      </c>
      <c r="P113">
        <f>H113*Assumptions!$B$15</f>
        <v>0</v>
      </c>
      <c r="Q113">
        <f>O113*Assumptions!$B$17</f>
        <v>0</v>
      </c>
      <c r="R113">
        <f>HLOOKUP(B113,Assumptions!$A$26:$D$27,2,TRUE)</f>
        <v>0</v>
      </c>
      <c r="S113">
        <f t="shared" si="25"/>
        <v>0</v>
      </c>
      <c r="T113">
        <f t="shared" si="21"/>
        <v>8.3333333333332149E-2</v>
      </c>
      <c r="U113">
        <f>IF(B113&gt;$K$2,0,IF(T114=0,0,(1-T114)*Assumptions!$B$11/$E$2*(1-Assumptions!$B$30)))</f>
        <v>0</v>
      </c>
      <c r="V113">
        <f>(N113-O113)*(1-Assumptions!$B$30)-Q113+U112*M112</f>
        <v>0</v>
      </c>
      <c r="W113">
        <f>W112*(1+Assumptions!$B$36)^(1/12)</f>
        <v>1.0882575207058838</v>
      </c>
      <c r="X113" s="19">
        <f>IF(B113&gt;$K$2,0,W112*Assumptions!$B$32/12*M112+V113*Assumptions!$B$34/12)</f>
        <v>0</v>
      </c>
      <c r="Y113" s="20">
        <f>1/(1+HLOOKUP(YEAR(A113),Assumptions!$A$41:$AL$43,3,TRUE))^(1/12)</f>
        <v>0.99874849053349435</v>
      </c>
      <c r="Z113">
        <f t="shared" si="22"/>
        <v>0</v>
      </c>
      <c r="AA113">
        <f t="shared" si="26"/>
        <v>0</v>
      </c>
    </row>
    <row r="114" spans="1:27" x14ac:dyDescent="0.2">
      <c r="A114" s="2">
        <f t="shared" si="27"/>
        <v>46234</v>
      </c>
      <c r="B114">
        <f t="shared" si="23"/>
        <v>195</v>
      </c>
      <c r="C114">
        <f t="shared" si="15"/>
        <v>16.166666666666668</v>
      </c>
      <c r="D114">
        <f t="shared" si="16"/>
        <v>0</v>
      </c>
      <c r="E114">
        <f t="shared" si="17"/>
        <v>71</v>
      </c>
      <c r="F114">
        <f>IF(C114&gt;=$J$2,0,VLOOKUP($E114,'Mortality Table'!$A$3:$C$128,2+G$2,FALSE))</f>
        <v>0</v>
      </c>
      <c r="G114">
        <f>F114*Assumptions!$B$1</f>
        <v>0</v>
      </c>
      <c r="H114">
        <f t="shared" si="18"/>
        <v>0</v>
      </c>
      <c r="I114">
        <f>HLOOKUP(C114,Assumptions!$A$6:$J$7,2,TRUE)</f>
        <v>2.6499999999999999E-2</v>
      </c>
      <c r="J114" s="22">
        <f t="shared" si="14"/>
        <v>0</v>
      </c>
      <c r="K114" s="22">
        <f t="shared" si="19"/>
        <v>0</v>
      </c>
      <c r="L114">
        <f t="shared" si="24"/>
        <v>0</v>
      </c>
      <c r="M114" s="22">
        <f t="shared" si="20"/>
        <v>0</v>
      </c>
      <c r="N114">
        <f>M113*Assumptions!$B$11/$E$2*J114</f>
        <v>0</v>
      </c>
      <c r="O114">
        <f>M113*Assumptions!$B$13/$E$2*J114</f>
        <v>0</v>
      </c>
      <c r="P114">
        <f>H114*Assumptions!$B$15</f>
        <v>0</v>
      </c>
      <c r="Q114">
        <f>O114*Assumptions!$B$17</f>
        <v>0</v>
      </c>
      <c r="R114">
        <f>HLOOKUP(B114,Assumptions!$A$26:$D$27,2,TRUE)</f>
        <v>0</v>
      </c>
      <c r="S114">
        <f t="shared" si="25"/>
        <v>0</v>
      </c>
      <c r="T114">
        <f t="shared" si="21"/>
        <v>0.16666666666666785</v>
      </c>
      <c r="U114">
        <f>IF(B114&gt;$K$2,0,IF(T115=0,0,(1-T115)*Assumptions!$B$11/$E$2*(1-Assumptions!$B$30)))</f>
        <v>0</v>
      </c>
      <c r="V114">
        <f>(N114-O114)*(1-Assumptions!$B$30)-Q114+U113*M113</f>
        <v>0</v>
      </c>
      <c r="W114">
        <f>W113*(1+Assumptions!$B$36)^(1/12)</f>
        <v>1.0891602717975331</v>
      </c>
      <c r="X114" s="19">
        <f>IF(B114&gt;$K$2,0,W113*Assumptions!$B$32/12*M113+V114*Assumptions!$B$34/12)</f>
        <v>0</v>
      </c>
      <c r="Y114" s="20">
        <f>1/(1+HLOOKUP(YEAR(A114),Assumptions!$A$41:$AL$43,3,TRUE))^(1/12)</f>
        <v>0.99874849053349435</v>
      </c>
      <c r="Z114">
        <f t="shared" si="22"/>
        <v>0</v>
      </c>
      <c r="AA114">
        <f t="shared" si="26"/>
        <v>0</v>
      </c>
    </row>
    <row r="115" spans="1:27" x14ac:dyDescent="0.2">
      <c r="A115" s="2">
        <f t="shared" si="27"/>
        <v>46265</v>
      </c>
      <c r="B115">
        <f t="shared" si="23"/>
        <v>196</v>
      </c>
      <c r="C115">
        <f t="shared" si="15"/>
        <v>16.25</v>
      </c>
      <c r="D115">
        <f t="shared" si="16"/>
        <v>0</v>
      </c>
      <c r="E115">
        <f t="shared" si="17"/>
        <v>71</v>
      </c>
      <c r="F115">
        <f>IF(C115&gt;=$J$2,0,VLOOKUP($E115,'Mortality Table'!$A$3:$C$128,2+G$2,FALSE))</f>
        <v>0</v>
      </c>
      <c r="G115">
        <f>F115*Assumptions!$B$1</f>
        <v>0</v>
      </c>
      <c r="H115">
        <f t="shared" si="18"/>
        <v>0</v>
      </c>
      <c r="I115">
        <f>HLOOKUP(C115,Assumptions!$A$6:$J$7,2,TRUE)</f>
        <v>2.6499999999999999E-2</v>
      </c>
      <c r="J115" s="22">
        <f t="shared" si="14"/>
        <v>0</v>
      </c>
      <c r="K115" s="22">
        <f t="shared" si="19"/>
        <v>0</v>
      </c>
      <c r="L115">
        <f t="shared" si="24"/>
        <v>0</v>
      </c>
      <c r="M115" s="22">
        <f t="shared" si="20"/>
        <v>0</v>
      </c>
      <c r="N115">
        <f>M114*Assumptions!$B$11/$E$2*J115</f>
        <v>0</v>
      </c>
      <c r="O115">
        <f>M114*Assumptions!$B$13/$E$2*J115</f>
        <v>0</v>
      </c>
      <c r="P115">
        <f>H115*Assumptions!$B$15</f>
        <v>0</v>
      </c>
      <c r="Q115">
        <f>O115*Assumptions!$B$17</f>
        <v>0</v>
      </c>
      <c r="R115">
        <f>HLOOKUP(B115,Assumptions!$A$26:$D$27,2,TRUE)</f>
        <v>0</v>
      </c>
      <c r="S115">
        <f t="shared" si="25"/>
        <v>0</v>
      </c>
      <c r="T115">
        <f t="shared" si="21"/>
        <v>0.25</v>
      </c>
      <c r="U115">
        <f>IF(B115&gt;$K$2,0,IF(T116=0,0,(1-T116)*Assumptions!$B$11/$E$2*(1-Assumptions!$B$30)))</f>
        <v>0</v>
      </c>
      <c r="V115">
        <f>(N115-O115)*(1-Assumptions!$B$30)-Q115+U114*M114</f>
        <v>0</v>
      </c>
      <c r="W115">
        <f>W114*(1+Assumptions!$B$36)^(1/12)</f>
        <v>1.0900637717556207</v>
      </c>
      <c r="X115" s="19">
        <f>IF(B115&gt;$K$2,0,W114*Assumptions!$B$32/12*M114+V115*Assumptions!$B$34/12)</f>
        <v>0</v>
      </c>
      <c r="Y115" s="20">
        <f>1/(1+HLOOKUP(YEAR(A115),Assumptions!$A$41:$AL$43,3,TRUE))^(1/12)</f>
        <v>0.99874849053349435</v>
      </c>
      <c r="Z115">
        <f t="shared" si="22"/>
        <v>0</v>
      </c>
      <c r="AA115">
        <f t="shared" si="26"/>
        <v>0</v>
      </c>
    </row>
    <row r="116" spans="1:27" x14ac:dyDescent="0.2">
      <c r="A116" s="2">
        <f t="shared" si="27"/>
        <v>46295</v>
      </c>
      <c r="B116">
        <f t="shared" si="23"/>
        <v>197</v>
      </c>
      <c r="C116">
        <f t="shared" si="15"/>
        <v>16.333333333333332</v>
      </c>
      <c r="D116">
        <f t="shared" si="16"/>
        <v>0</v>
      </c>
      <c r="E116">
        <f t="shared" si="17"/>
        <v>71</v>
      </c>
      <c r="F116">
        <f>IF(C116&gt;=$J$2,0,VLOOKUP($E116,'Mortality Table'!$A$3:$C$128,2+G$2,FALSE))</f>
        <v>0</v>
      </c>
      <c r="G116">
        <f>F116*Assumptions!$B$1</f>
        <v>0</v>
      </c>
      <c r="H116">
        <f t="shared" si="18"/>
        <v>0</v>
      </c>
      <c r="I116">
        <f>HLOOKUP(C116,Assumptions!$A$6:$J$7,2,TRUE)</f>
        <v>2.6499999999999999E-2</v>
      </c>
      <c r="J116" s="22">
        <f t="shared" si="14"/>
        <v>0</v>
      </c>
      <c r="K116" s="22">
        <f t="shared" si="19"/>
        <v>0</v>
      </c>
      <c r="L116">
        <f t="shared" si="24"/>
        <v>0</v>
      </c>
      <c r="M116" s="22">
        <f t="shared" si="20"/>
        <v>0</v>
      </c>
      <c r="N116">
        <f>M115*Assumptions!$B$11/$E$2*J116</f>
        <v>0</v>
      </c>
      <c r="O116">
        <f>M115*Assumptions!$B$13/$E$2*J116</f>
        <v>0</v>
      </c>
      <c r="P116">
        <f>H116*Assumptions!$B$15</f>
        <v>0</v>
      </c>
      <c r="Q116">
        <f>O116*Assumptions!$B$17</f>
        <v>0</v>
      </c>
      <c r="R116">
        <f>HLOOKUP(B116,Assumptions!$A$26:$D$27,2,TRUE)</f>
        <v>0</v>
      </c>
      <c r="S116">
        <f t="shared" si="25"/>
        <v>0</v>
      </c>
      <c r="T116">
        <f t="shared" si="21"/>
        <v>0.33333333333333215</v>
      </c>
      <c r="U116">
        <f>IF(B116&gt;$K$2,0,IF(T117=0,0,(1-T117)*Assumptions!$B$11/$E$2*(1-Assumptions!$B$30)))</f>
        <v>0</v>
      </c>
      <c r="V116">
        <f>(N116-O116)*(1-Assumptions!$B$30)-Q116+U115*M115</f>
        <v>0</v>
      </c>
      <c r="W116">
        <f>W115*(1+Assumptions!$B$36)^(1/12)</f>
        <v>1.0909680212013599</v>
      </c>
      <c r="X116" s="19">
        <f>IF(B116&gt;$K$2,0,W115*Assumptions!$B$32/12*M115+V116*Assumptions!$B$34/12)</f>
        <v>0</v>
      </c>
      <c r="Y116" s="20">
        <f>1/(1+HLOOKUP(YEAR(A116),Assumptions!$A$41:$AL$43,3,TRUE))^(1/12)</f>
        <v>0.99874849053349435</v>
      </c>
      <c r="Z116">
        <f t="shared" si="22"/>
        <v>0</v>
      </c>
      <c r="AA116">
        <f t="shared" si="26"/>
        <v>0</v>
      </c>
    </row>
    <row r="117" spans="1:27" x14ac:dyDescent="0.2">
      <c r="A117" s="2">
        <f t="shared" si="27"/>
        <v>46326</v>
      </c>
      <c r="B117">
        <f t="shared" si="23"/>
        <v>198</v>
      </c>
      <c r="C117">
        <f t="shared" si="15"/>
        <v>16.416666666666668</v>
      </c>
      <c r="D117">
        <f t="shared" si="16"/>
        <v>0</v>
      </c>
      <c r="E117">
        <f t="shared" si="17"/>
        <v>71</v>
      </c>
      <c r="F117">
        <f>IF(C117&gt;=$J$2,0,VLOOKUP($E117,'Mortality Table'!$A$3:$C$128,2+G$2,FALSE))</f>
        <v>0</v>
      </c>
      <c r="G117">
        <f>F117*Assumptions!$B$1</f>
        <v>0</v>
      </c>
      <c r="H117">
        <f t="shared" si="18"/>
        <v>0</v>
      </c>
      <c r="I117">
        <f>HLOOKUP(C117,Assumptions!$A$6:$J$7,2,TRUE)</f>
        <v>2.6499999999999999E-2</v>
      </c>
      <c r="J117" s="22">
        <f t="shared" si="14"/>
        <v>0</v>
      </c>
      <c r="K117" s="22">
        <f t="shared" si="19"/>
        <v>0</v>
      </c>
      <c r="L117">
        <f t="shared" si="24"/>
        <v>0</v>
      </c>
      <c r="M117" s="22">
        <f t="shared" si="20"/>
        <v>0</v>
      </c>
      <c r="N117">
        <f>M116*Assumptions!$B$11/$E$2*J117</f>
        <v>0</v>
      </c>
      <c r="O117">
        <f>M116*Assumptions!$B$13/$E$2*J117</f>
        <v>0</v>
      </c>
      <c r="P117">
        <f>H117*Assumptions!$B$15</f>
        <v>0</v>
      </c>
      <c r="Q117">
        <f>O117*Assumptions!$B$17</f>
        <v>0</v>
      </c>
      <c r="R117">
        <f>HLOOKUP(B117,Assumptions!$A$26:$D$27,2,TRUE)</f>
        <v>0</v>
      </c>
      <c r="S117">
        <f t="shared" si="25"/>
        <v>0</v>
      </c>
      <c r="T117">
        <f t="shared" si="21"/>
        <v>0.41666666666666785</v>
      </c>
      <c r="U117">
        <f>IF(B117&gt;$K$2,0,IF(T118=0,0,(1-T118)*Assumptions!$B$11/$E$2*(1-Assumptions!$B$30)))</f>
        <v>0</v>
      </c>
      <c r="V117">
        <f>(N117-O117)*(1-Assumptions!$B$30)-Q117+U116*M116</f>
        <v>0</v>
      </c>
      <c r="W117">
        <f>W116*(1+Assumptions!$B$36)^(1/12)</f>
        <v>1.0918730207564793</v>
      </c>
      <c r="X117" s="19">
        <f>IF(B117&gt;$K$2,0,W116*Assumptions!$B$32/12*M116+V117*Assumptions!$B$34/12)</f>
        <v>0</v>
      </c>
      <c r="Y117" s="20">
        <f>1/(1+HLOOKUP(YEAR(A117),Assumptions!$A$41:$AL$43,3,TRUE))^(1/12)</f>
        <v>0.99874849053349435</v>
      </c>
      <c r="Z117">
        <f t="shared" si="22"/>
        <v>0</v>
      </c>
      <c r="AA117">
        <f t="shared" si="26"/>
        <v>0</v>
      </c>
    </row>
    <row r="118" spans="1:27" x14ac:dyDescent="0.2">
      <c r="A118" s="2">
        <f t="shared" si="27"/>
        <v>46356</v>
      </c>
      <c r="B118">
        <f t="shared" si="23"/>
        <v>199</v>
      </c>
      <c r="C118">
        <f t="shared" si="15"/>
        <v>16.5</v>
      </c>
      <c r="D118">
        <f t="shared" si="16"/>
        <v>0</v>
      </c>
      <c r="E118">
        <f t="shared" si="17"/>
        <v>71</v>
      </c>
      <c r="F118">
        <f>IF(C118&gt;=$J$2,0,VLOOKUP($E118,'Mortality Table'!$A$3:$C$128,2+G$2,FALSE))</f>
        <v>0</v>
      </c>
      <c r="G118">
        <f>F118*Assumptions!$B$1</f>
        <v>0</v>
      </c>
      <c r="H118">
        <f t="shared" si="18"/>
        <v>0</v>
      </c>
      <c r="I118">
        <f>HLOOKUP(C118,Assumptions!$A$6:$J$7,2,TRUE)</f>
        <v>2.6499999999999999E-2</v>
      </c>
      <c r="J118" s="22">
        <f t="shared" si="14"/>
        <v>0</v>
      </c>
      <c r="K118" s="22">
        <f t="shared" si="19"/>
        <v>0</v>
      </c>
      <c r="L118">
        <f t="shared" si="24"/>
        <v>0</v>
      </c>
      <c r="M118" s="22">
        <f t="shared" si="20"/>
        <v>0</v>
      </c>
      <c r="N118">
        <f>M117*Assumptions!$B$11/$E$2*J118</f>
        <v>0</v>
      </c>
      <c r="O118">
        <f>M117*Assumptions!$B$13/$E$2*J118</f>
        <v>0</v>
      </c>
      <c r="P118">
        <f>H118*Assumptions!$B$15</f>
        <v>0</v>
      </c>
      <c r="Q118">
        <f>O118*Assumptions!$B$17</f>
        <v>0</v>
      </c>
      <c r="R118">
        <f>HLOOKUP(B118,Assumptions!$A$26:$D$27,2,TRUE)</f>
        <v>0</v>
      </c>
      <c r="S118">
        <f t="shared" si="25"/>
        <v>0</v>
      </c>
      <c r="T118">
        <f t="shared" si="21"/>
        <v>0.5</v>
      </c>
      <c r="U118">
        <f>IF(B118&gt;$K$2,0,IF(T119=0,0,(1-T119)*Assumptions!$B$11/$E$2*(1-Assumptions!$B$30)))</f>
        <v>0</v>
      </c>
      <c r="V118">
        <f>(N118-O118)*(1-Assumptions!$B$30)-Q118+U117*M117</f>
        <v>0</v>
      </c>
      <c r="W118">
        <f>W117*(1+Assumptions!$B$36)^(1/12)</f>
        <v>1.0927787710432231</v>
      </c>
      <c r="X118" s="19">
        <f>IF(B118&gt;$K$2,0,W117*Assumptions!$B$32/12*M117+V118*Assumptions!$B$34/12)</f>
        <v>0</v>
      </c>
      <c r="Y118" s="20">
        <f>1/(1+HLOOKUP(YEAR(A118),Assumptions!$A$41:$AL$43,3,TRUE))^(1/12)</f>
        <v>0.99874849053349435</v>
      </c>
      <c r="Z118">
        <f t="shared" si="22"/>
        <v>0</v>
      </c>
      <c r="AA118">
        <f t="shared" si="26"/>
        <v>0</v>
      </c>
    </row>
    <row r="119" spans="1:27" x14ac:dyDescent="0.2">
      <c r="A119" s="2">
        <f t="shared" si="27"/>
        <v>46387</v>
      </c>
      <c r="B119">
        <f t="shared" si="23"/>
        <v>200</v>
      </c>
      <c r="C119">
        <f t="shared" si="15"/>
        <v>16.583333333333332</v>
      </c>
      <c r="D119">
        <f t="shared" si="16"/>
        <v>0</v>
      </c>
      <c r="E119">
        <f t="shared" si="17"/>
        <v>71</v>
      </c>
      <c r="F119">
        <f>IF(C119&gt;=$J$2,0,VLOOKUP($E119,'Mortality Table'!$A$3:$C$128,2+G$2,FALSE))</f>
        <v>0</v>
      </c>
      <c r="G119">
        <f>F119*Assumptions!$B$1</f>
        <v>0</v>
      </c>
      <c r="H119">
        <f t="shared" si="18"/>
        <v>0</v>
      </c>
      <c r="I119">
        <f>HLOOKUP(C119,Assumptions!$A$6:$J$7,2,TRUE)</f>
        <v>2.6499999999999999E-2</v>
      </c>
      <c r="J119" s="22">
        <f t="shared" si="14"/>
        <v>0</v>
      </c>
      <c r="K119" s="22">
        <f t="shared" si="19"/>
        <v>0</v>
      </c>
      <c r="L119">
        <f t="shared" si="24"/>
        <v>0</v>
      </c>
      <c r="M119" s="22">
        <f t="shared" si="20"/>
        <v>0</v>
      </c>
      <c r="N119">
        <f>M118*Assumptions!$B$11/$E$2*J119</f>
        <v>0</v>
      </c>
      <c r="O119">
        <f>M118*Assumptions!$B$13/$E$2*J119</f>
        <v>0</v>
      </c>
      <c r="P119">
        <f>H119*Assumptions!$B$15</f>
        <v>0</v>
      </c>
      <c r="Q119">
        <f>O119*Assumptions!$B$17</f>
        <v>0</v>
      </c>
      <c r="R119">
        <f>HLOOKUP(B119,Assumptions!$A$26:$D$27,2,TRUE)</f>
        <v>0</v>
      </c>
      <c r="S119">
        <f t="shared" si="25"/>
        <v>0</v>
      </c>
      <c r="T119">
        <f t="shared" si="21"/>
        <v>0.58333333333333215</v>
      </c>
      <c r="U119">
        <f>IF(B119&gt;$K$2,0,IF(T120=0,0,(1-T120)*Assumptions!$B$11/$E$2*(1-Assumptions!$B$30)))</f>
        <v>0</v>
      </c>
      <c r="V119">
        <f>(N119-O119)*(1-Assumptions!$B$30)-Q119+U118*M118</f>
        <v>0</v>
      </c>
      <c r="W119">
        <f>W118*(1+Assumptions!$B$36)^(1/12)</f>
        <v>1.0936852726843518</v>
      </c>
      <c r="X119" s="19">
        <f>IF(B119&gt;$K$2,0,W118*Assumptions!$B$32/12*M118+V119*Assumptions!$B$34/12)</f>
        <v>0</v>
      </c>
      <c r="Y119" s="20">
        <f>1/(1+HLOOKUP(YEAR(A119),Assumptions!$A$41:$AL$43,3,TRUE))^(1/12)</f>
        <v>0.99874849053349435</v>
      </c>
      <c r="Z119">
        <f t="shared" si="22"/>
        <v>0</v>
      </c>
      <c r="AA119">
        <f t="shared" si="26"/>
        <v>0</v>
      </c>
    </row>
    <row r="120" spans="1:27" x14ac:dyDescent="0.2">
      <c r="A120" s="2">
        <f t="shared" si="27"/>
        <v>46418</v>
      </c>
      <c r="B120">
        <f t="shared" si="23"/>
        <v>201</v>
      </c>
      <c r="C120">
        <f t="shared" si="15"/>
        <v>16.666666666666668</v>
      </c>
      <c r="D120">
        <f t="shared" si="16"/>
        <v>0</v>
      </c>
      <c r="E120">
        <f t="shared" si="17"/>
        <v>71</v>
      </c>
      <c r="F120">
        <f>IF(C120&gt;=$J$2,0,VLOOKUP($E120,'Mortality Table'!$A$3:$C$128,2+G$2,FALSE))</f>
        <v>0</v>
      </c>
      <c r="G120">
        <f>F120*Assumptions!$B$1</f>
        <v>0</v>
      </c>
      <c r="H120">
        <f t="shared" si="18"/>
        <v>0</v>
      </c>
      <c r="I120">
        <f>HLOOKUP(C120,Assumptions!$A$6:$J$7,2,TRUE)</f>
        <v>2.6499999999999999E-2</v>
      </c>
      <c r="J120" s="22">
        <f t="shared" si="14"/>
        <v>0</v>
      </c>
      <c r="K120" s="22">
        <f t="shared" si="19"/>
        <v>0</v>
      </c>
      <c r="L120">
        <f t="shared" si="24"/>
        <v>0</v>
      </c>
      <c r="M120" s="22">
        <f t="shared" si="20"/>
        <v>0</v>
      </c>
      <c r="N120">
        <f>M119*Assumptions!$B$11/$E$2*J120</f>
        <v>0</v>
      </c>
      <c r="O120">
        <f>M119*Assumptions!$B$13/$E$2*J120</f>
        <v>0</v>
      </c>
      <c r="P120">
        <f>H120*Assumptions!$B$15</f>
        <v>0</v>
      </c>
      <c r="Q120">
        <f>O120*Assumptions!$B$17</f>
        <v>0</v>
      </c>
      <c r="R120">
        <f>HLOOKUP(B120,Assumptions!$A$26:$D$27,2,TRUE)</f>
        <v>0</v>
      </c>
      <c r="S120">
        <f t="shared" si="25"/>
        <v>0</v>
      </c>
      <c r="T120">
        <f t="shared" si="21"/>
        <v>0.66666666666666785</v>
      </c>
      <c r="U120">
        <f>IF(B120&gt;$K$2,0,IF(T121=0,0,(1-T121)*Assumptions!$B$11/$E$2*(1-Assumptions!$B$30)))</f>
        <v>0</v>
      </c>
      <c r="V120">
        <f>(N120-O120)*(1-Assumptions!$B$30)-Q120+U119*M119</f>
        <v>0</v>
      </c>
      <c r="W120">
        <f>W119*(1+Assumptions!$B$36)^(1/12)</f>
        <v>1.0945925263031426</v>
      </c>
      <c r="X120" s="19">
        <f>IF(B120&gt;$K$2,0,W119*Assumptions!$B$32/12*M119+V120*Assumptions!$B$34/12)</f>
        <v>0</v>
      </c>
      <c r="Y120" s="20">
        <f>1/(1+HLOOKUP(YEAR(A120),Assumptions!$A$41:$AL$43,3,TRUE))^(1/12)</f>
        <v>0.99871316197380999</v>
      </c>
      <c r="Z120">
        <f t="shared" si="22"/>
        <v>0</v>
      </c>
      <c r="AA120">
        <f t="shared" si="26"/>
        <v>0</v>
      </c>
    </row>
    <row r="121" spans="1:27" x14ac:dyDescent="0.2">
      <c r="A121" s="2">
        <f t="shared" si="27"/>
        <v>46446</v>
      </c>
      <c r="B121">
        <f t="shared" si="23"/>
        <v>202</v>
      </c>
      <c r="C121">
        <f t="shared" si="15"/>
        <v>16.75</v>
      </c>
      <c r="D121">
        <f t="shared" si="16"/>
        <v>0</v>
      </c>
      <c r="E121">
        <f t="shared" si="17"/>
        <v>71</v>
      </c>
      <c r="F121">
        <f>IF(C121&gt;=$J$2,0,VLOOKUP($E121,'Mortality Table'!$A$3:$C$128,2+G$2,FALSE))</f>
        <v>0</v>
      </c>
      <c r="G121">
        <f>F121*Assumptions!$B$1</f>
        <v>0</v>
      </c>
      <c r="H121">
        <f t="shared" si="18"/>
        <v>0</v>
      </c>
      <c r="I121">
        <f>HLOOKUP(C121,Assumptions!$A$6:$J$7,2,TRUE)</f>
        <v>2.6499999999999999E-2</v>
      </c>
      <c r="J121" s="22">
        <f t="shared" si="14"/>
        <v>0</v>
      </c>
      <c r="K121" s="22">
        <f t="shared" si="19"/>
        <v>0</v>
      </c>
      <c r="L121">
        <f t="shared" si="24"/>
        <v>0</v>
      </c>
      <c r="M121" s="22">
        <f t="shared" si="20"/>
        <v>0</v>
      </c>
      <c r="N121">
        <f>M120*Assumptions!$B$11/$E$2*J121</f>
        <v>0</v>
      </c>
      <c r="O121">
        <f>M120*Assumptions!$B$13/$E$2*J121</f>
        <v>0</v>
      </c>
      <c r="P121">
        <f>H121*Assumptions!$B$15</f>
        <v>0</v>
      </c>
      <c r="Q121">
        <f>O121*Assumptions!$B$17</f>
        <v>0</v>
      </c>
      <c r="R121">
        <f>HLOOKUP(B121,Assumptions!$A$26:$D$27,2,TRUE)</f>
        <v>0</v>
      </c>
      <c r="S121">
        <f t="shared" si="25"/>
        <v>0</v>
      </c>
      <c r="T121">
        <f t="shared" si="21"/>
        <v>0.75</v>
      </c>
      <c r="U121">
        <f>IF(B121&gt;$K$2,0,IF(T122=0,0,(1-T122)*Assumptions!$B$11/$E$2*(1-Assumptions!$B$30)))</f>
        <v>0</v>
      </c>
      <c r="V121">
        <f>(N121-O121)*(1-Assumptions!$B$30)-Q121+U120*M120</f>
        <v>0</v>
      </c>
      <c r="W121">
        <f>W120*(1+Assumptions!$B$36)^(1/12)</f>
        <v>1.0955005325233895</v>
      </c>
      <c r="X121" s="19">
        <f>IF(B121&gt;$K$2,0,W120*Assumptions!$B$32/12*M120+V121*Assumptions!$B$34/12)</f>
        <v>0</v>
      </c>
      <c r="Y121" s="20">
        <f>1/(1+HLOOKUP(YEAR(A121),Assumptions!$A$41:$AL$43,3,TRUE))^(1/12)</f>
        <v>0.99871316197380999</v>
      </c>
      <c r="Z121">
        <f t="shared" si="22"/>
        <v>0</v>
      </c>
      <c r="AA121">
        <f t="shared" si="26"/>
        <v>0</v>
      </c>
    </row>
    <row r="122" spans="1:27" x14ac:dyDescent="0.2">
      <c r="A122" s="2">
        <f t="shared" si="27"/>
        <v>46477</v>
      </c>
      <c r="B122">
        <f t="shared" si="23"/>
        <v>203</v>
      </c>
      <c r="C122">
        <f t="shared" si="15"/>
        <v>16.833333333333332</v>
      </c>
      <c r="D122">
        <f t="shared" si="16"/>
        <v>0</v>
      </c>
      <c r="E122">
        <f t="shared" si="17"/>
        <v>71</v>
      </c>
      <c r="F122">
        <f>IF(C122&gt;=$J$2,0,VLOOKUP($E122,'Mortality Table'!$A$3:$C$128,2+G$2,FALSE))</f>
        <v>0</v>
      </c>
      <c r="G122">
        <f>F122*Assumptions!$B$1</f>
        <v>0</v>
      </c>
      <c r="H122">
        <f t="shared" si="18"/>
        <v>0</v>
      </c>
      <c r="I122">
        <f>HLOOKUP(C122,Assumptions!$A$6:$J$7,2,TRUE)</f>
        <v>2.6499999999999999E-2</v>
      </c>
      <c r="J122" s="22">
        <f t="shared" si="14"/>
        <v>0</v>
      </c>
      <c r="K122" s="22">
        <f t="shared" si="19"/>
        <v>0</v>
      </c>
      <c r="L122">
        <f t="shared" si="24"/>
        <v>0</v>
      </c>
      <c r="M122" s="22">
        <f t="shared" si="20"/>
        <v>0</v>
      </c>
      <c r="N122">
        <f>M121*Assumptions!$B$11/$E$2*J122</f>
        <v>0</v>
      </c>
      <c r="O122">
        <f>M121*Assumptions!$B$13/$E$2*J122</f>
        <v>0</v>
      </c>
      <c r="P122">
        <f>H122*Assumptions!$B$15</f>
        <v>0</v>
      </c>
      <c r="Q122">
        <f>O122*Assumptions!$B$17</f>
        <v>0</v>
      </c>
      <c r="R122">
        <f>HLOOKUP(B122,Assumptions!$A$26:$D$27,2,TRUE)</f>
        <v>0</v>
      </c>
      <c r="S122">
        <f t="shared" si="25"/>
        <v>0</v>
      </c>
      <c r="T122">
        <f t="shared" si="21"/>
        <v>0.83333333333333215</v>
      </c>
      <c r="U122">
        <f>IF(B122&gt;$K$2,0,IF(T123=0,0,(1-T123)*Assumptions!$B$11/$E$2*(1-Assumptions!$B$30)))</f>
        <v>0</v>
      </c>
      <c r="V122">
        <f>(N122-O122)*(1-Assumptions!$B$30)-Q122+U121*M121</f>
        <v>0</v>
      </c>
      <c r="W122">
        <f>W121*(1+Assumptions!$B$36)^(1/12)</f>
        <v>1.0964092919694042</v>
      </c>
      <c r="X122" s="19">
        <f>IF(B122&gt;$K$2,0,W121*Assumptions!$B$32/12*M121+V122*Assumptions!$B$34/12)</f>
        <v>0</v>
      </c>
      <c r="Y122" s="20">
        <f>1/(1+HLOOKUP(YEAR(A122),Assumptions!$A$41:$AL$43,3,TRUE))^(1/12)</f>
        <v>0.99871316197380999</v>
      </c>
      <c r="Z122">
        <f t="shared" si="22"/>
        <v>0</v>
      </c>
      <c r="AA122">
        <f t="shared" si="26"/>
        <v>0</v>
      </c>
    </row>
    <row r="123" spans="1:27" x14ac:dyDescent="0.2">
      <c r="A123" s="2">
        <f t="shared" si="27"/>
        <v>46507</v>
      </c>
      <c r="B123">
        <f t="shared" si="23"/>
        <v>204</v>
      </c>
      <c r="C123">
        <f t="shared" si="15"/>
        <v>16.916666666666668</v>
      </c>
      <c r="D123">
        <f t="shared" si="16"/>
        <v>0</v>
      </c>
      <c r="E123">
        <f t="shared" si="17"/>
        <v>71</v>
      </c>
      <c r="F123">
        <f>IF(C123&gt;=$J$2,0,VLOOKUP($E123,'Mortality Table'!$A$3:$C$128,2+G$2,FALSE))</f>
        <v>0</v>
      </c>
      <c r="G123">
        <f>F123*Assumptions!$B$1</f>
        <v>0</v>
      </c>
      <c r="H123">
        <f t="shared" si="18"/>
        <v>0</v>
      </c>
      <c r="I123">
        <f>HLOOKUP(C123,Assumptions!$A$6:$J$7,2,TRUE)</f>
        <v>2.6499999999999999E-2</v>
      </c>
      <c r="J123" s="22">
        <f t="shared" si="14"/>
        <v>0</v>
      </c>
      <c r="K123" s="22">
        <f t="shared" si="19"/>
        <v>0</v>
      </c>
      <c r="L123">
        <f t="shared" si="24"/>
        <v>0</v>
      </c>
      <c r="M123" s="22">
        <f t="shared" si="20"/>
        <v>0</v>
      </c>
      <c r="N123">
        <f>M122*Assumptions!$B$11/$E$2*J123</f>
        <v>0</v>
      </c>
      <c r="O123">
        <f>M122*Assumptions!$B$13/$E$2*J123</f>
        <v>0</v>
      </c>
      <c r="P123">
        <f>H123*Assumptions!$B$15</f>
        <v>0</v>
      </c>
      <c r="Q123">
        <f>O123*Assumptions!$B$17</f>
        <v>0</v>
      </c>
      <c r="R123">
        <f>HLOOKUP(B123,Assumptions!$A$26:$D$27,2,TRUE)</f>
        <v>0</v>
      </c>
      <c r="S123">
        <f t="shared" si="25"/>
        <v>0</v>
      </c>
      <c r="T123">
        <f t="shared" si="21"/>
        <v>0.91666666666666785</v>
      </c>
      <c r="U123">
        <f>IF(B123&gt;$K$2,0,IF(T124=0,0,(1-T124)*Assumptions!$B$11/$E$2*(1-Assumptions!$B$30)))</f>
        <v>0</v>
      </c>
      <c r="V123">
        <f>(N123-O123)*(1-Assumptions!$B$30)-Q123+U122*M122</f>
        <v>0</v>
      </c>
      <c r="W123">
        <f>W122*(1+Assumptions!$B$36)^(1/12)</f>
        <v>1.0973188052660161</v>
      </c>
      <c r="X123" s="19">
        <f>IF(B123&gt;$K$2,0,W122*Assumptions!$B$32/12*M122+V123*Assumptions!$B$34/12)</f>
        <v>0</v>
      </c>
      <c r="Y123" s="20">
        <f>1/(1+HLOOKUP(YEAR(A123),Assumptions!$A$41:$AL$43,3,TRUE))^(1/12)</f>
        <v>0.99871316197380999</v>
      </c>
      <c r="Z123">
        <f t="shared" si="22"/>
        <v>0</v>
      </c>
      <c r="AA123">
        <f t="shared" si="26"/>
        <v>0</v>
      </c>
    </row>
    <row r="124" spans="1:27" x14ac:dyDescent="0.2">
      <c r="A124" s="2">
        <f t="shared" si="27"/>
        <v>46538</v>
      </c>
      <c r="B124">
        <f t="shared" si="23"/>
        <v>205</v>
      </c>
      <c r="C124">
        <f t="shared" si="15"/>
        <v>17</v>
      </c>
      <c r="D124">
        <f t="shared" si="16"/>
        <v>1</v>
      </c>
      <c r="E124">
        <f t="shared" si="17"/>
        <v>72</v>
      </c>
      <c r="F124">
        <f>IF(C124&gt;=$J$2,0,VLOOKUP($E124,'Mortality Table'!$A$3:$C$128,2+G$2,FALSE))</f>
        <v>0</v>
      </c>
      <c r="G124">
        <f>F124*Assumptions!$B$1</f>
        <v>0</v>
      </c>
      <c r="H124">
        <f t="shared" si="18"/>
        <v>0</v>
      </c>
      <c r="I124">
        <f>HLOOKUP(C124,Assumptions!$A$6:$J$7,2,TRUE)</f>
        <v>2.6499999999999999E-2</v>
      </c>
      <c r="J124" s="22">
        <f t="shared" si="14"/>
        <v>0</v>
      </c>
      <c r="K124" s="22">
        <f t="shared" si="19"/>
        <v>0</v>
      </c>
      <c r="L124">
        <f t="shared" si="24"/>
        <v>0</v>
      </c>
      <c r="M124" s="22">
        <f t="shared" si="20"/>
        <v>0</v>
      </c>
      <c r="N124">
        <f>M123*Assumptions!$B$11/$E$2*J124</f>
        <v>0</v>
      </c>
      <c r="O124">
        <f>M123*Assumptions!$B$13/$E$2*J124</f>
        <v>0</v>
      </c>
      <c r="P124">
        <f>H124*Assumptions!$B$15</f>
        <v>0</v>
      </c>
      <c r="Q124">
        <f>O124*Assumptions!$B$17</f>
        <v>0</v>
      </c>
      <c r="R124">
        <f>HLOOKUP(B124,Assumptions!$A$26:$D$27,2,TRUE)</f>
        <v>0</v>
      </c>
      <c r="S124">
        <f t="shared" si="25"/>
        <v>0</v>
      </c>
      <c r="T124">
        <f t="shared" si="21"/>
        <v>0</v>
      </c>
      <c r="U124">
        <f>IF(B124&gt;$K$2,0,IF(T125=0,0,(1-T125)*Assumptions!$B$11/$E$2*(1-Assumptions!$B$30)))</f>
        <v>0</v>
      </c>
      <c r="V124">
        <f>(N124-O124)*(1-Assumptions!$B$30)-Q124+U123*M123</f>
        <v>0</v>
      </c>
      <c r="W124">
        <f>W123*(1+Assumptions!$B$36)^(1/12)</f>
        <v>1.0982290730385731</v>
      </c>
      <c r="X124" s="19">
        <f>IF(B124&gt;$K$2,0,W123*Assumptions!$B$32/12*M123+V124*Assumptions!$B$34/12)</f>
        <v>0</v>
      </c>
      <c r="Y124" s="20">
        <f>1/(1+HLOOKUP(YEAR(A124),Assumptions!$A$41:$AL$43,3,TRUE))^(1/12)</f>
        <v>0.99871316197380999</v>
      </c>
      <c r="Z124">
        <f t="shared" si="22"/>
        <v>0</v>
      </c>
      <c r="AA124">
        <f t="shared" si="26"/>
        <v>0</v>
      </c>
    </row>
    <row r="125" spans="1:27" x14ac:dyDescent="0.2">
      <c r="A125" s="2">
        <f t="shared" si="27"/>
        <v>46568</v>
      </c>
      <c r="B125">
        <f t="shared" si="23"/>
        <v>206</v>
      </c>
      <c r="C125">
        <f t="shared" si="15"/>
        <v>17.083333333333332</v>
      </c>
      <c r="D125">
        <f t="shared" si="16"/>
        <v>0</v>
      </c>
      <c r="E125">
        <f t="shared" si="17"/>
        <v>72</v>
      </c>
      <c r="F125">
        <f>IF(C125&gt;=$J$2,0,VLOOKUP($E125,'Mortality Table'!$A$3:$C$128,2+G$2,FALSE))</f>
        <v>0</v>
      </c>
      <c r="G125">
        <f>F125*Assumptions!$B$1</f>
        <v>0</v>
      </c>
      <c r="H125">
        <f t="shared" si="18"/>
        <v>0</v>
      </c>
      <c r="I125">
        <f>HLOOKUP(C125,Assumptions!$A$6:$J$7,2,TRUE)</f>
        <v>2.6499999999999999E-2</v>
      </c>
      <c r="J125" s="22">
        <f t="shared" si="14"/>
        <v>0</v>
      </c>
      <c r="K125" s="22">
        <f t="shared" si="19"/>
        <v>0</v>
      </c>
      <c r="L125">
        <f t="shared" si="24"/>
        <v>0</v>
      </c>
      <c r="M125" s="22">
        <f t="shared" si="20"/>
        <v>0</v>
      </c>
      <c r="N125">
        <f>M124*Assumptions!$B$11/$E$2*J125</f>
        <v>0</v>
      </c>
      <c r="O125">
        <f>M124*Assumptions!$B$13/$E$2*J125</f>
        <v>0</v>
      </c>
      <c r="P125">
        <f>H125*Assumptions!$B$15</f>
        <v>0</v>
      </c>
      <c r="Q125">
        <f>O125*Assumptions!$B$17</f>
        <v>0</v>
      </c>
      <c r="R125">
        <f>HLOOKUP(B125,Assumptions!$A$26:$D$27,2,TRUE)</f>
        <v>0</v>
      </c>
      <c r="S125">
        <f t="shared" si="25"/>
        <v>0</v>
      </c>
      <c r="T125">
        <f t="shared" si="21"/>
        <v>8.3333333333332149E-2</v>
      </c>
      <c r="U125">
        <f>IF(B125&gt;$K$2,0,IF(T126=0,0,(1-T126)*Assumptions!$B$11/$E$2*(1-Assumptions!$B$30)))</f>
        <v>0</v>
      </c>
      <c r="V125">
        <f>(N125-O125)*(1-Assumptions!$B$30)-Q125+U124*M124</f>
        <v>0</v>
      </c>
      <c r="W125">
        <f>W124*(1+Assumptions!$B$36)^(1/12)</f>
        <v>1.0991400959129416</v>
      </c>
      <c r="X125" s="19">
        <f>IF(B125&gt;$K$2,0,W124*Assumptions!$B$32/12*M124+V125*Assumptions!$B$34/12)</f>
        <v>0</v>
      </c>
      <c r="Y125" s="20">
        <f>1/(1+HLOOKUP(YEAR(A125),Assumptions!$A$41:$AL$43,3,TRUE))^(1/12)</f>
        <v>0.99871316197380999</v>
      </c>
      <c r="Z125">
        <f t="shared" si="22"/>
        <v>0</v>
      </c>
      <c r="AA125">
        <f t="shared" si="26"/>
        <v>0</v>
      </c>
    </row>
    <row r="126" spans="1:27" x14ac:dyDescent="0.2">
      <c r="A126" s="2">
        <f t="shared" si="27"/>
        <v>46599</v>
      </c>
      <c r="B126">
        <f t="shared" si="23"/>
        <v>207</v>
      </c>
      <c r="C126">
        <f t="shared" si="15"/>
        <v>17.166666666666668</v>
      </c>
      <c r="D126">
        <f t="shared" si="16"/>
        <v>0</v>
      </c>
      <c r="E126">
        <f t="shared" si="17"/>
        <v>72</v>
      </c>
      <c r="F126">
        <f>IF(C126&gt;=$J$2,0,VLOOKUP($E126,'Mortality Table'!$A$3:$C$128,2+G$2,FALSE))</f>
        <v>0</v>
      </c>
      <c r="G126">
        <f>F126*Assumptions!$B$1</f>
        <v>0</v>
      </c>
      <c r="H126">
        <f t="shared" si="18"/>
        <v>0</v>
      </c>
      <c r="I126">
        <f>HLOOKUP(C126,Assumptions!$A$6:$J$7,2,TRUE)</f>
        <v>2.6499999999999999E-2</v>
      </c>
      <c r="J126" s="22">
        <f t="shared" si="14"/>
        <v>0</v>
      </c>
      <c r="K126" s="22">
        <f t="shared" si="19"/>
        <v>0</v>
      </c>
      <c r="L126">
        <f t="shared" si="24"/>
        <v>0</v>
      </c>
      <c r="M126" s="22">
        <f t="shared" si="20"/>
        <v>0</v>
      </c>
      <c r="N126">
        <f>M125*Assumptions!$B$11/$E$2*J126</f>
        <v>0</v>
      </c>
      <c r="O126">
        <f>M125*Assumptions!$B$13/$E$2*J126</f>
        <v>0</v>
      </c>
      <c r="P126">
        <f>H126*Assumptions!$B$15</f>
        <v>0</v>
      </c>
      <c r="Q126">
        <f>O126*Assumptions!$B$17</f>
        <v>0</v>
      </c>
      <c r="R126">
        <f>HLOOKUP(B126,Assumptions!$A$26:$D$27,2,TRUE)</f>
        <v>0</v>
      </c>
      <c r="S126">
        <f t="shared" si="25"/>
        <v>0</v>
      </c>
      <c r="T126">
        <f t="shared" si="21"/>
        <v>0.16666666666666785</v>
      </c>
      <c r="U126">
        <f>IF(B126&gt;$K$2,0,IF(T127=0,0,(1-T127)*Assumptions!$B$11/$E$2*(1-Assumptions!$B$30)))</f>
        <v>0</v>
      </c>
      <c r="V126">
        <f>(N126-O126)*(1-Assumptions!$B$30)-Q126+U125*M125</f>
        <v>0</v>
      </c>
      <c r="W126">
        <f>W125*(1+Assumptions!$B$36)^(1/12)</f>
        <v>1.1000518745155075</v>
      </c>
      <c r="X126" s="19">
        <f>IF(B126&gt;$K$2,0,W125*Assumptions!$B$32/12*M125+V126*Assumptions!$B$34/12)</f>
        <v>0</v>
      </c>
      <c r="Y126" s="20">
        <f>1/(1+HLOOKUP(YEAR(A126),Assumptions!$A$41:$AL$43,3,TRUE))^(1/12)</f>
        <v>0.99871316197380999</v>
      </c>
      <c r="Z126">
        <f t="shared" si="22"/>
        <v>0</v>
      </c>
      <c r="AA126">
        <f t="shared" si="26"/>
        <v>0</v>
      </c>
    </row>
    <row r="127" spans="1:27" x14ac:dyDescent="0.2">
      <c r="A127" s="2">
        <f t="shared" si="27"/>
        <v>46630</v>
      </c>
      <c r="B127">
        <f t="shared" si="23"/>
        <v>208</v>
      </c>
      <c r="C127">
        <f t="shared" si="15"/>
        <v>17.25</v>
      </c>
      <c r="D127">
        <f t="shared" si="16"/>
        <v>0</v>
      </c>
      <c r="E127">
        <f t="shared" si="17"/>
        <v>72</v>
      </c>
      <c r="F127">
        <f>IF(C127&gt;=$J$2,0,VLOOKUP($E127,'Mortality Table'!$A$3:$C$128,2+G$2,FALSE))</f>
        <v>0</v>
      </c>
      <c r="G127">
        <f>F127*Assumptions!$B$1</f>
        <v>0</v>
      </c>
      <c r="H127">
        <f t="shared" si="18"/>
        <v>0</v>
      </c>
      <c r="I127">
        <f>HLOOKUP(C127,Assumptions!$A$6:$J$7,2,TRUE)</f>
        <v>2.6499999999999999E-2</v>
      </c>
      <c r="J127" s="22">
        <f t="shared" si="14"/>
        <v>0</v>
      </c>
      <c r="K127" s="22">
        <f t="shared" si="19"/>
        <v>0</v>
      </c>
      <c r="L127">
        <f t="shared" si="24"/>
        <v>0</v>
      </c>
      <c r="M127" s="22">
        <f t="shared" si="20"/>
        <v>0</v>
      </c>
      <c r="N127">
        <f>M126*Assumptions!$B$11/$E$2*J127</f>
        <v>0</v>
      </c>
      <c r="O127">
        <f>M126*Assumptions!$B$13/$E$2*J127</f>
        <v>0</v>
      </c>
      <c r="P127">
        <f>H127*Assumptions!$B$15</f>
        <v>0</v>
      </c>
      <c r="Q127">
        <f>O127*Assumptions!$B$17</f>
        <v>0</v>
      </c>
      <c r="R127">
        <f>HLOOKUP(B127,Assumptions!$A$26:$D$27,2,TRUE)</f>
        <v>0</v>
      </c>
      <c r="S127">
        <f t="shared" si="25"/>
        <v>0</v>
      </c>
      <c r="T127">
        <f t="shared" si="21"/>
        <v>0.25</v>
      </c>
      <c r="U127">
        <f>IF(B127&gt;$K$2,0,IF(T128=0,0,(1-T128)*Assumptions!$B$11/$E$2*(1-Assumptions!$B$30)))</f>
        <v>0</v>
      </c>
      <c r="V127">
        <f>(N127-O127)*(1-Assumptions!$B$30)-Q127+U126*M126</f>
        <v>0</v>
      </c>
      <c r="W127">
        <f>W126*(1+Assumptions!$B$36)^(1/12)</f>
        <v>1.1009644094731761</v>
      </c>
      <c r="X127" s="19">
        <f>IF(B127&gt;$K$2,0,W126*Assumptions!$B$32/12*M126+V127*Assumptions!$B$34/12)</f>
        <v>0</v>
      </c>
      <c r="Y127" s="20">
        <f>1/(1+HLOOKUP(YEAR(A127),Assumptions!$A$41:$AL$43,3,TRUE))^(1/12)</f>
        <v>0.99871316197380999</v>
      </c>
      <c r="Z127">
        <f t="shared" si="22"/>
        <v>0</v>
      </c>
      <c r="AA127">
        <f t="shared" si="26"/>
        <v>0</v>
      </c>
    </row>
    <row r="128" spans="1:27" x14ac:dyDescent="0.2">
      <c r="A128" s="2">
        <f t="shared" si="27"/>
        <v>46660</v>
      </c>
      <c r="B128">
        <f t="shared" si="23"/>
        <v>209</v>
      </c>
      <c r="C128">
        <f t="shared" si="15"/>
        <v>17.333333333333332</v>
      </c>
      <c r="D128">
        <f t="shared" si="16"/>
        <v>0</v>
      </c>
      <c r="E128">
        <f t="shared" si="17"/>
        <v>72</v>
      </c>
      <c r="F128">
        <f>IF(C128&gt;=$J$2,0,VLOOKUP($E128,'Mortality Table'!$A$3:$C$128,2+G$2,FALSE))</f>
        <v>0</v>
      </c>
      <c r="G128">
        <f>F128*Assumptions!$B$1</f>
        <v>0</v>
      </c>
      <c r="H128">
        <f t="shared" si="18"/>
        <v>0</v>
      </c>
      <c r="I128">
        <f>HLOOKUP(C128,Assumptions!$A$6:$J$7,2,TRUE)</f>
        <v>2.6499999999999999E-2</v>
      </c>
      <c r="J128" s="22">
        <f t="shared" si="14"/>
        <v>0</v>
      </c>
      <c r="K128" s="22">
        <f t="shared" si="19"/>
        <v>0</v>
      </c>
      <c r="L128">
        <f t="shared" si="24"/>
        <v>0</v>
      </c>
      <c r="M128" s="22">
        <f t="shared" si="20"/>
        <v>0</v>
      </c>
      <c r="N128">
        <f>M127*Assumptions!$B$11/$E$2*J128</f>
        <v>0</v>
      </c>
      <c r="O128">
        <f>M127*Assumptions!$B$13/$E$2*J128</f>
        <v>0</v>
      </c>
      <c r="P128">
        <f>H128*Assumptions!$B$15</f>
        <v>0</v>
      </c>
      <c r="Q128">
        <f>O128*Assumptions!$B$17</f>
        <v>0</v>
      </c>
      <c r="R128">
        <f>HLOOKUP(B128,Assumptions!$A$26:$D$27,2,TRUE)</f>
        <v>0</v>
      </c>
      <c r="S128">
        <f t="shared" si="25"/>
        <v>0</v>
      </c>
      <c r="T128">
        <f t="shared" si="21"/>
        <v>0.33333333333333215</v>
      </c>
      <c r="U128">
        <f>IF(B128&gt;$K$2,0,IF(T129=0,0,(1-T129)*Assumptions!$B$11/$E$2*(1-Assumptions!$B$30)))</f>
        <v>0</v>
      </c>
      <c r="V128">
        <f>(N128-O128)*(1-Assumptions!$B$30)-Q128+U127*M127</f>
        <v>0</v>
      </c>
      <c r="W128">
        <f>W127*(1+Assumptions!$B$36)^(1/12)</f>
        <v>1.1018777014133727</v>
      </c>
      <c r="X128" s="19">
        <f>IF(B128&gt;$K$2,0,W127*Assumptions!$B$32/12*M127+V128*Assumptions!$B$34/12)</f>
        <v>0</v>
      </c>
      <c r="Y128" s="20">
        <f>1/(1+HLOOKUP(YEAR(A128),Assumptions!$A$41:$AL$43,3,TRUE))^(1/12)</f>
        <v>0.99871316197380999</v>
      </c>
      <c r="Z128">
        <f t="shared" si="22"/>
        <v>0</v>
      </c>
      <c r="AA128">
        <f t="shared" si="26"/>
        <v>0</v>
      </c>
    </row>
    <row r="129" spans="1:27" x14ac:dyDescent="0.2">
      <c r="A129" s="2">
        <f t="shared" si="27"/>
        <v>46691</v>
      </c>
      <c r="B129">
        <f t="shared" si="23"/>
        <v>210</v>
      </c>
      <c r="C129">
        <f t="shared" si="15"/>
        <v>17.416666666666668</v>
      </c>
      <c r="D129">
        <f t="shared" si="16"/>
        <v>0</v>
      </c>
      <c r="E129">
        <f t="shared" si="17"/>
        <v>72</v>
      </c>
      <c r="F129">
        <f>IF(C129&gt;=$J$2,0,VLOOKUP($E129,'Mortality Table'!$A$3:$C$128,2+G$2,FALSE))</f>
        <v>0</v>
      </c>
      <c r="G129">
        <f>F129*Assumptions!$B$1</f>
        <v>0</v>
      </c>
      <c r="H129">
        <f t="shared" si="18"/>
        <v>0</v>
      </c>
      <c r="I129">
        <f>HLOOKUP(C129,Assumptions!$A$6:$J$7,2,TRUE)</f>
        <v>2.6499999999999999E-2</v>
      </c>
      <c r="J129" s="22">
        <f t="shared" si="14"/>
        <v>0</v>
      </c>
      <c r="K129" s="22">
        <f t="shared" si="19"/>
        <v>0</v>
      </c>
      <c r="L129">
        <f t="shared" si="24"/>
        <v>0</v>
      </c>
      <c r="M129" s="22">
        <f t="shared" si="20"/>
        <v>0</v>
      </c>
      <c r="N129">
        <f>M128*Assumptions!$B$11/$E$2*J129</f>
        <v>0</v>
      </c>
      <c r="O129">
        <f>M128*Assumptions!$B$13/$E$2*J129</f>
        <v>0</v>
      </c>
      <c r="P129">
        <f>H129*Assumptions!$B$15</f>
        <v>0</v>
      </c>
      <c r="Q129">
        <f>O129*Assumptions!$B$17</f>
        <v>0</v>
      </c>
      <c r="R129">
        <f>HLOOKUP(B129,Assumptions!$A$26:$D$27,2,TRUE)</f>
        <v>0</v>
      </c>
      <c r="S129">
        <f t="shared" si="25"/>
        <v>0</v>
      </c>
      <c r="T129">
        <f t="shared" si="21"/>
        <v>0.41666666666666785</v>
      </c>
      <c r="U129">
        <f>IF(B129&gt;$K$2,0,IF(T130=0,0,(1-T130)*Assumptions!$B$11/$E$2*(1-Assumptions!$B$30)))</f>
        <v>0</v>
      </c>
      <c r="V129">
        <f>(N129-O129)*(1-Assumptions!$B$30)-Q129+U128*M128</f>
        <v>0</v>
      </c>
      <c r="W129">
        <f>W128*(1+Assumptions!$B$36)^(1/12)</f>
        <v>1.1027917509640432</v>
      </c>
      <c r="X129" s="19">
        <f>IF(B129&gt;$K$2,0,W128*Assumptions!$B$32/12*M128+V129*Assumptions!$B$34/12)</f>
        <v>0</v>
      </c>
      <c r="Y129" s="20">
        <f>1/(1+HLOOKUP(YEAR(A129),Assumptions!$A$41:$AL$43,3,TRUE))^(1/12)</f>
        <v>0.99871316197380999</v>
      </c>
      <c r="Z129">
        <f t="shared" si="22"/>
        <v>0</v>
      </c>
      <c r="AA129">
        <f t="shared" si="26"/>
        <v>0</v>
      </c>
    </row>
    <row r="130" spans="1:27" x14ac:dyDescent="0.2">
      <c r="A130" s="2">
        <f t="shared" si="27"/>
        <v>46721</v>
      </c>
      <c r="B130">
        <f t="shared" si="23"/>
        <v>211</v>
      </c>
      <c r="C130">
        <f t="shared" si="15"/>
        <v>17.5</v>
      </c>
      <c r="D130">
        <f t="shared" si="16"/>
        <v>0</v>
      </c>
      <c r="E130">
        <f t="shared" si="17"/>
        <v>72</v>
      </c>
      <c r="F130">
        <f>IF(C130&gt;=$J$2,0,VLOOKUP($E130,'Mortality Table'!$A$3:$C$128,2+G$2,FALSE))</f>
        <v>0</v>
      </c>
      <c r="G130">
        <f>F130*Assumptions!$B$1</f>
        <v>0</v>
      </c>
      <c r="H130">
        <f t="shared" si="18"/>
        <v>0</v>
      </c>
      <c r="I130">
        <f>HLOOKUP(C130,Assumptions!$A$6:$J$7,2,TRUE)</f>
        <v>2.6499999999999999E-2</v>
      </c>
      <c r="J130" s="22">
        <f t="shared" si="14"/>
        <v>0</v>
      </c>
      <c r="K130" s="22">
        <f t="shared" si="19"/>
        <v>0</v>
      </c>
      <c r="L130">
        <f t="shared" si="24"/>
        <v>0</v>
      </c>
      <c r="M130" s="22">
        <f t="shared" si="20"/>
        <v>0</v>
      </c>
      <c r="N130">
        <f>M129*Assumptions!$B$11/$E$2*J130</f>
        <v>0</v>
      </c>
      <c r="O130">
        <f>M129*Assumptions!$B$13/$E$2*J130</f>
        <v>0</v>
      </c>
      <c r="P130">
        <f>H130*Assumptions!$B$15</f>
        <v>0</v>
      </c>
      <c r="Q130">
        <f>O130*Assumptions!$B$17</f>
        <v>0</v>
      </c>
      <c r="R130">
        <f>HLOOKUP(B130,Assumptions!$A$26:$D$27,2,TRUE)</f>
        <v>0</v>
      </c>
      <c r="S130">
        <f t="shared" si="25"/>
        <v>0</v>
      </c>
      <c r="T130">
        <f t="shared" si="21"/>
        <v>0.5</v>
      </c>
      <c r="U130">
        <f>IF(B130&gt;$K$2,0,IF(T131=0,0,(1-T131)*Assumptions!$B$11/$E$2*(1-Assumptions!$B$30)))</f>
        <v>0</v>
      </c>
      <c r="V130">
        <f>(N130-O130)*(1-Assumptions!$B$30)-Q130+U129*M129</f>
        <v>0</v>
      </c>
      <c r="W130">
        <f>W129*(1+Assumptions!$B$36)^(1/12)</f>
        <v>1.1037065587536545</v>
      </c>
      <c r="X130" s="19">
        <f>IF(B130&gt;$K$2,0,W129*Assumptions!$B$32/12*M129+V130*Assumptions!$B$34/12)</f>
        <v>0</v>
      </c>
      <c r="Y130" s="20">
        <f>1/(1+HLOOKUP(YEAR(A130),Assumptions!$A$41:$AL$43,3,TRUE))^(1/12)</f>
        <v>0.99871316197380999</v>
      </c>
      <c r="Z130">
        <f t="shared" si="22"/>
        <v>0</v>
      </c>
      <c r="AA130">
        <f t="shared" si="26"/>
        <v>0</v>
      </c>
    </row>
    <row r="131" spans="1:27" x14ac:dyDescent="0.2">
      <c r="A131" s="2">
        <f t="shared" si="27"/>
        <v>46752</v>
      </c>
      <c r="B131">
        <f t="shared" si="23"/>
        <v>212</v>
      </c>
      <c r="C131">
        <f t="shared" si="15"/>
        <v>17.583333333333332</v>
      </c>
      <c r="D131">
        <f t="shared" si="16"/>
        <v>0</v>
      </c>
      <c r="E131">
        <f t="shared" si="17"/>
        <v>72</v>
      </c>
      <c r="F131">
        <f>IF(C131&gt;=$J$2,0,VLOOKUP($E131,'Mortality Table'!$A$3:$C$128,2+G$2,FALSE))</f>
        <v>0</v>
      </c>
      <c r="G131">
        <f>F131*Assumptions!$B$1</f>
        <v>0</v>
      </c>
      <c r="H131">
        <f t="shared" si="18"/>
        <v>0</v>
      </c>
      <c r="I131">
        <f>HLOOKUP(C131,Assumptions!$A$6:$J$7,2,TRUE)</f>
        <v>2.6499999999999999E-2</v>
      </c>
      <c r="J131" s="22">
        <f t="shared" si="14"/>
        <v>0</v>
      </c>
      <c r="K131" s="22">
        <f t="shared" si="19"/>
        <v>0</v>
      </c>
      <c r="L131">
        <f t="shared" si="24"/>
        <v>0</v>
      </c>
      <c r="M131" s="22">
        <f t="shared" si="20"/>
        <v>0</v>
      </c>
      <c r="N131">
        <f>M130*Assumptions!$B$11/$E$2*J131</f>
        <v>0</v>
      </c>
      <c r="O131">
        <f>M130*Assumptions!$B$13/$E$2*J131</f>
        <v>0</v>
      </c>
      <c r="P131">
        <f>H131*Assumptions!$B$15</f>
        <v>0</v>
      </c>
      <c r="Q131">
        <f>O131*Assumptions!$B$17</f>
        <v>0</v>
      </c>
      <c r="R131">
        <f>HLOOKUP(B131,Assumptions!$A$26:$D$27,2,TRUE)</f>
        <v>0</v>
      </c>
      <c r="S131">
        <f t="shared" si="25"/>
        <v>0</v>
      </c>
      <c r="T131">
        <f t="shared" si="21"/>
        <v>0.58333333333333215</v>
      </c>
      <c r="U131">
        <f>IF(B131&gt;$K$2,0,IF(T132=0,0,(1-T132)*Assumptions!$B$11/$E$2*(1-Assumptions!$B$30)))</f>
        <v>0</v>
      </c>
      <c r="V131">
        <f>(N131-O131)*(1-Assumptions!$B$30)-Q131+U130*M130</f>
        <v>0</v>
      </c>
      <c r="W131">
        <f>W130*(1+Assumptions!$B$36)^(1/12)</f>
        <v>1.1046221254111945</v>
      </c>
      <c r="X131" s="19">
        <f>IF(B131&gt;$K$2,0,W130*Assumptions!$B$32/12*M130+V131*Assumptions!$B$34/12)</f>
        <v>0</v>
      </c>
      <c r="Y131" s="20">
        <f>1/(1+HLOOKUP(YEAR(A131),Assumptions!$A$41:$AL$43,3,TRUE))^(1/12)</f>
        <v>0.99871316197380999</v>
      </c>
      <c r="Z131">
        <f t="shared" si="22"/>
        <v>0</v>
      </c>
      <c r="AA131">
        <f t="shared" si="26"/>
        <v>0</v>
      </c>
    </row>
    <row r="132" spans="1:27" x14ac:dyDescent="0.2">
      <c r="A132" s="2">
        <f t="shared" si="27"/>
        <v>46783</v>
      </c>
      <c r="B132">
        <f t="shared" si="23"/>
        <v>213</v>
      </c>
      <c r="C132">
        <f t="shared" si="15"/>
        <v>17.666666666666668</v>
      </c>
      <c r="D132">
        <f t="shared" si="16"/>
        <v>0</v>
      </c>
      <c r="E132">
        <f t="shared" si="17"/>
        <v>72</v>
      </c>
      <c r="F132">
        <f>IF(C132&gt;=$J$2,0,VLOOKUP($E132,'Mortality Table'!$A$3:$C$128,2+G$2,FALSE))</f>
        <v>0</v>
      </c>
      <c r="G132">
        <f>F132*Assumptions!$B$1</f>
        <v>0</v>
      </c>
      <c r="H132">
        <f t="shared" si="18"/>
        <v>0</v>
      </c>
      <c r="I132">
        <f>HLOOKUP(C132,Assumptions!$A$6:$J$7,2,TRUE)</f>
        <v>2.6499999999999999E-2</v>
      </c>
      <c r="J132" s="22">
        <f t="shared" si="14"/>
        <v>0</v>
      </c>
      <c r="K132" s="22">
        <f t="shared" si="19"/>
        <v>0</v>
      </c>
      <c r="L132">
        <f t="shared" si="24"/>
        <v>0</v>
      </c>
      <c r="M132" s="22">
        <f t="shared" si="20"/>
        <v>0</v>
      </c>
      <c r="N132">
        <f>M131*Assumptions!$B$11/$E$2*J132</f>
        <v>0</v>
      </c>
      <c r="O132">
        <f>M131*Assumptions!$B$13/$E$2*J132</f>
        <v>0</v>
      </c>
      <c r="P132">
        <f>H132*Assumptions!$B$15</f>
        <v>0</v>
      </c>
      <c r="Q132">
        <f>O132*Assumptions!$B$17</f>
        <v>0</v>
      </c>
      <c r="R132">
        <f>HLOOKUP(B132,Assumptions!$A$26:$D$27,2,TRUE)</f>
        <v>0</v>
      </c>
      <c r="S132">
        <f t="shared" si="25"/>
        <v>0</v>
      </c>
      <c r="T132">
        <f t="shared" si="21"/>
        <v>0.66666666666666785</v>
      </c>
      <c r="U132">
        <f>IF(B132&gt;$K$2,0,IF(T133=0,0,(1-T133)*Assumptions!$B$11/$E$2*(1-Assumptions!$B$30)))</f>
        <v>0</v>
      </c>
      <c r="V132">
        <f>(N132-O132)*(1-Assumptions!$B$30)-Q132+U131*M131</f>
        <v>0</v>
      </c>
      <c r="W132">
        <f>W131*(1+Assumptions!$B$36)^(1/12)</f>
        <v>1.1055384515661733</v>
      </c>
      <c r="X132" s="19">
        <f>IF(B132&gt;$K$2,0,W131*Assumptions!$B$32/12*M131+V132*Assumptions!$B$34/12)</f>
        <v>0</v>
      </c>
      <c r="Y132" s="20">
        <f>1/(1+HLOOKUP(YEAR(A132),Assumptions!$A$41:$AL$43,3,TRUE))^(1/12)</f>
        <v>0.9986891543836689</v>
      </c>
      <c r="Z132">
        <f t="shared" si="22"/>
        <v>0</v>
      </c>
      <c r="AA132">
        <f t="shared" si="26"/>
        <v>0</v>
      </c>
    </row>
    <row r="133" spans="1:27" x14ac:dyDescent="0.2">
      <c r="A133" s="2">
        <f t="shared" si="27"/>
        <v>46812</v>
      </c>
      <c r="B133">
        <f t="shared" si="23"/>
        <v>214</v>
      </c>
      <c r="C133">
        <f t="shared" si="15"/>
        <v>17.75</v>
      </c>
      <c r="D133">
        <f t="shared" si="16"/>
        <v>0</v>
      </c>
      <c r="E133">
        <f t="shared" si="17"/>
        <v>72</v>
      </c>
      <c r="F133">
        <f>IF(C133&gt;=$J$2,0,VLOOKUP($E133,'Mortality Table'!$A$3:$C$128,2+G$2,FALSE))</f>
        <v>0</v>
      </c>
      <c r="G133">
        <f>F133*Assumptions!$B$1</f>
        <v>0</v>
      </c>
      <c r="H133">
        <f t="shared" si="18"/>
        <v>0</v>
      </c>
      <c r="I133">
        <f>HLOOKUP(C133,Assumptions!$A$6:$J$7,2,TRUE)</f>
        <v>2.6499999999999999E-2</v>
      </c>
      <c r="J133" s="22">
        <f t="shared" si="14"/>
        <v>0</v>
      </c>
      <c r="K133" s="22">
        <f t="shared" si="19"/>
        <v>0</v>
      </c>
      <c r="L133">
        <f t="shared" si="24"/>
        <v>0</v>
      </c>
      <c r="M133" s="22">
        <f t="shared" si="20"/>
        <v>0</v>
      </c>
      <c r="N133">
        <f>M132*Assumptions!$B$11/$E$2*J133</f>
        <v>0</v>
      </c>
      <c r="O133">
        <f>M132*Assumptions!$B$13/$E$2*J133</f>
        <v>0</v>
      </c>
      <c r="P133">
        <f>H133*Assumptions!$B$15</f>
        <v>0</v>
      </c>
      <c r="Q133">
        <f>O133*Assumptions!$B$17</f>
        <v>0</v>
      </c>
      <c r="R133">
        <f>HLOOKUP(B133,Assumptions!$A$26:$D$27,2,TRUE)</f>
        <v>0</v>
      </c>
      <c r="S133">
        <f t="shared" si="25"/>
        <v>0</v>
      </c>
      <c r="T133">
        <f t="shared" si="21"/>
        <v>0.75</v>
      </c>
      <c r="U133">
        <f>IF(B133&gt;$K$2,0,IF(T134=0,0,(1-T134)*Assumptions!$B$11/$E$2*(1-Assumptions!$B$30)))</f>
        <v>0</v>
      </c>
      <c r="V133">
        <f>(N133-O133)*(1-Assumptions!$B$30)-Q133+U132*M132</f>
        <v>0</v>
      </c>
      <c r="W133">
        <f>W132*(1+Assumptions!$B$36)^(1/12)</f>
        <v>1.1064555378486227</v>
      </c>
      <c r="X133" s="19">
        <f>IF(B133&gt;$K$2,0,W132*Assumptions!$B$32/12*M132+V133*Assumptions!$B$34/12)</f>
        <v>0</v>
      </c>
      <c r="Y133" s="20">
        <f>1/(1+HLOOKUP(YEAR(A133),Assumptions!$A$41:$AL$43,3,TRUE))^(1/12)</f>
        <v>0.9986891543836689</v>
      </c>
      <c r="Z133">
        <f t="shared" si="22"/>
        <v>0</v>
      </c>
      <c r="AA133">
        <f t="shared" si="26"/>
        <v>0</v>
      </c>
    </row>
    <row r="134" spans="1:27" x14ac:dyDescent="0.2">
      <c r="A134" s="2">
        <f t="shared" si="27"/>
        <v>46843</v>
      </c>
      <c r="B134">
        <f t="shared" si="23"/>
        <v>215</v>
      </c>
      <c r="C134">
        <f t="shared" si="15"/>
        <v>17.833333333333332</v>
      </c>
      <c r="D134">
        <f t="shared" si="16"/>
        <v>0</v>
      </c>
      <c r="E134">
        <f t="shared" si="17"/>
        <v>72</v>
      </c>
      <c r="F134">
        <f>IF(C134&gt;=$J$2,0,VLOOKUP($E134,'Mortality Table'!$A$3:$C$128,2+G$2,FALSE))</f>
        <v>0</v>
      </c>
      <c r="G134">
        <f>F134*Assumptions!$B$1</f>
        <v>0</v>
      </c>
      <c r="H134">
        <f t="shared" si="18"/>
        <v>0</v>
      </c>
      <c r="I134">
        <f>HLOOKUP(C134,Assumptions!$A$6:$J$7,2,TRUE)</f>
        <v>2.6499999999999999E-2</v>
      </c>
      <c r="J134" s="22">
        <f t="shared" si="14"/>
        <v>0</v>
      </c>
      <c r="K134" s="22">
        <f t="shared" si="19"/>
        <v>0</v>
      </c>
      <c r="L134">
        <f t="shared" si="24"/>
        <v>0</v>
      </c>
      <c r="M134" s="22">
        <f t="shared" si="20"/>
        <v>0</v>
      </c>
      <c r="N134">
        <f>M133*Assumptions!$B$11/$E$2*J134</f>
        <v>0</v>
      </c>
      <c r="O134">
        <f>M133*Assumptions!$B$13/$E$2*J134</f>
        <v>0</v>
      </c>
      <c r="P134">
        <f>H134*Assumptions!$B$15</f>
        <v>0</v>
      </c>
      <c r="Q134">
        <f>O134*Assumptions!$B$17</f>
        <v>0</v>
      </c>
      <c r="R134">
        <f>HLOOKUP(B134,Assumptions!$A$26:$D$27,2,TRUE)</f>
        <v>0</v>
      </c>
      <c r="S134">
        <f t="shared" si="25"/>
        <v>0</v>
      </c>
      <c r="T134">
        <f t="shared" si="21"/>
        <v>0.83333333333333215</v>
      </c>
      <c r="U134">
        <f>IF(B134&gt;$K$2,0,IF(T135=0,0,(1-T135)*Assumptions!$B$11/$E$2*(1-Assumptions!$B$30)))</f>
        <v>0</v>
      </c>
      <c r="V134">
        <f>(N134-O134)*(1-Assumptions!$B$30)-Q134+U133*M133</f>
        <v>0</v>
      </c>
      <c r="W134">
        <f>W133*(1+Assumptions!$B$36)^(1/12)</f>
        <v>1.1073733848890974</v>
      </c>
      <c r="X134" s="19">
        <f>IF(B134&gt;$K$2,0,W133*Assumptions!$B$32/12*M133+V134*Assumptions!$B$34/12)</f>
        <v>0</v>
      </c>
      <c r="Y134" s="20">
        <f>1/(1+HLOOKUP(YEAR(A134),Assumptions!$A$41:$AL$43,3,TRUE))^(1/12)</f>
        <v>0.9986891543836689</v>
      </c>
      <c r="Z134">
        <f t="shared" si="22"/>
        <v>0</v>
      </c>
      <c r="AA134">
        <f t="shared" si="26"/>
        <v>0</v>
      </c>
    </row>
    <row r="135" spans="1:27" x14ac:dyDescent="0.2">
      <c r="A135" s="2">
        <f t="shared" si="27"/>
        <v>46873</v>
      </c>
      <c r="B135">
        <f t="shared" si="23"/>
        <v>216</v>
      </c>
      <c r="C135">
        <f t="shared" si="15"/>
        <v>17.916666666666668</v>
      </c>
      <c r="D135">
        <f t="shared" si="16"/>
        <v>0</v>
      </c>
      <c r="E135">
        <f t="shared" si="17"/>
        <v>72</v>
      </c>
      <c r="F135">
        <f>IF(C135&gt;=$J$2,0,VLOOKUP($E135,'Mortality Table'!$A$3:$C$128,2+G$2,FALSE))</f>
        <v>0</v>
      </c>
      <c r="G135">
        <f>F135*Assumptions!$B$1</f>
        <v>0</v>
      </c>
      <c r="H135">
        <f t="shared" si="18"/>
        <v>0</v>
      </c>
      <c r="I135">
        <f>HLOOKUP(C135,Assumptions!$A$6:$J$7,2,TRUE)</f>
        <v>2.6499999999999999E-2</v>
      </c>
      <c r="J135" s="22">
        <f t="shared" si="14"/>
        <v>0</v>
      </c>
      <c r="K135" s="22">
        <f t="shared" si="19"/>
        <v>0</v>
      </c>
      <c r="L135">
        <f t="shared" si="24"/>
        <v>0</v>
      </c>
      <c r="M135" s="22">
        <f t="shared" si="20"/>
        <v>0</v>
      </c>
      <c r="N135">
        <f>M134*Assumptions!$B$11/$E$2*J135</f>
        <v>0</v>
      </c>
      <c r="O135">
        <f>M134*Assumptions!$B$13/$E$2*J135</f>
        <v>0</v>
      </c>
      <c r="P135">
        <f>H135*Assumptions!$B$15</f>
        <v>0</v>
      </c>
      <c r="Q135">
        <f>O135*Assumptions!$B$17</f>
        <v>0</v>
      </c>
      <c r="R135">
        <f>HLOOKUP(B135,Assumptions!$A$26:$D$27,2,TRUE)</f>
        <v>0</v>
      </c>
      <c r="S135">
        <f t="shared" si="25"/>
        <v>0</v>
      </c>
      <c r="T135">
        <f t="shared" si="21"/>
        <v>0.91666666666666785</v>
      </c>
      <c r="U135">
        <f>IF(B135&gt;$K$2,0,IF(T136=0,0,(1-T136)*Assumptions!$B$11/$E$2*(1-Assumptions!$B$30)))</f>
        <v>0</v>
      </c>
      <c r="V135">
        <f>(N135-O135)*(1-Assumptions!$B$30)-Q135+U134*M134</f>
        <v>0</v>
      </c>
      <c r="W135">
        <f>W134*(1+Assumptions!$B$36)^(1/12)</f>
        <v>1.1082919933186755</v>
      </c>
      <c r="X135" s="19">
        <f>IF(B135&gt;$K$2,0,W134*Assumptions!$B$32/12*M134+V135*Assumptions!$B$34/12)</f>
        <v>0</v>
      </c>
      <c r="Y135" s="20">
        <f>1/(1+HLOOKUP(YEAR(A135),Assumptions!$A$41:$AL$43,3,TRUE))^(1/12)</f>
        <v>0.9986891543836689</v>
      </c>
      <c r="Z135">
        <f t="shared" si="22"/>
        <v>0</v>
      </c>
      <c r="AA135">
        <f t="shared" si="26"/>
        <v>0</v>
      </c>
    </row>
    <row r="136" spans="1:27" x14ac:dyDescent="0.2">
      <c r="A136" s="2">
        <f t="shared" si="27"/>
        <v>46904</v>
      </c>
      <c r="B136">
        <f t="shared" si="23"/>
        <v>217</v>
      </c>
      <c r="C136">
        <f t="shared" si="15"/>
        <v>18</v>
      </c>
      <c r="D136">
        <f t="shared" si="16"/>
        <v>1</v>
      </c>
      <c r="E136">
        <f t="shared" si="17"/>
        <v>73</v>
      </c>
      <c r="F136">
        <f>IF(C136&gt;=$J$2,0,VLOOKUP($E136,'Mortality Table'!$A$3:$C$128,2+G$2,FALSE))</f>
        <v>0</v>
      </c>
      <c r="G136">
        <f>F136*Assumptions!$B$1</f>
        <v>0</v>
      </c>
      <c r="H136">
        <f t="shared" si="18"/>
        <v>0</v>
      </c>
      <c r="I136">
        <f>HLOOKUP(C136,Assumptions!$A$6:$J$7,2,TRUE)</f>
        <v>2.6499999999999999E-2</v>
      </c>
      <c r="J136" s="22">
        <f t="shared" si="14"/>
        <v>0</v>
      </c>
      <c r="K136" s="22">
        <f t="shared" si="19"/>
        <v>0</v>
      </c>
      <c r="L136">
        <f t="shared" si="24"/>
        <v>0</v>
      </c>
      <c r="M136" s="22">
        <f t="shared" si="20"/>
        <v>0</v>
      </c>
      <c r="N136">
        <f>M135*Assumptions!$B$11/$E$2*J136</f>
        <v>0</v>
      </c>
      <c r="O136">
        <f>M135*Assumptions!$B$13/$E$2*J136</f>
        <v>0</v>
      </c>
      <c r="P136">
        <f>H136*Assumptions!$B$15</f>
        <v>0</v>
      </c>
      <c r="Q136">
        <f>O136*Assumptions!$B$17</f>
        <v>0</v>
      </c>
      <c r="R136">
        <f>HLOOKUP(B136,Assumptions!$A$26:$D$27,2,TRUE)</f>
        <v>0</v>
      </c>
      <c r="S136">
        <f t="shared" si="25"/>
        <v>0</v>
      </c>
      <c r="T136">
        <f t="shared" si="21"/>
        <v>0</v>
      </c>
      <c r="U136">
        <f>IF(B136&gt;$K$2,0,IF(T137=0,0,(1-T137)*Assumptions!$B$11/$E$2*(1-Assumptions!$B$30)))</f>
        <v>0</v>
      </c>
      <c r="V136">
        <f>(N136-O136)*(1-Assumptions!$B$30)-Q136+U135*M135</f>
        <v>0</v>
      </c>
      <c r="W136">
        <f>W135*(1+Assumptions!$B$36)^(1/12)</f>
        <v>1.109211363768958</v>
      </c>
      <c r="X136" s="19">
        <f>IF(B136&gt;$K$2,0,W135*Assumptions!$B$32/12*M135+V136*Assumptions!$B$34/12)</f>
        <v>0</v>
      </c>
      <c r="Y136" s="20">
        <f>1/(1+HLOOKUP(YEAR(A136),Assumptions!$A$41:$AL$43,3,TRUE))^(1/12)</f>
        <v>0.9986891543836689</v>
      </c>
      <c r="Z136">
        <f t="shared" si="22"/>
        <v>0</v>
      </c>
      <c r="AA136">
        <f t="shared" si="26"/>
        <v>0</v>
      </c>
    </row>
    <row r="137" spans="1:27" x14ac:dyDescent="0.2">
      <c r="A137" s="2">
        <f t="shared" si="27"/>
        <v>46934</v>
      </c>
      <c r="B137">
        <f t="shared" si="23"/>
        <v>218</v>
      </c>
      <c r="C137">
        <f t="shared" si="15"/>
        <v>18.083333333333332</v>
      </c>
      <c r="D137">
        <f t="shared" si="16"/>
        <v>0</v>
      </c>
      <c r="E137">
        <f t="shared" si="17"/>
        <v>73</v>
      </c>
      <c r="F137">
        <f>IF(C137&gt;=$J$2,0,VLOOKUP($E137,'Mortality Table'!$A$3:$C$128,2+G$2,FALSE))</f>
        <v>0</v>
      </c>
      <c r="G137">
        <f>F137*Assumptions!$B$1</f>
        <v>0</v>
      </c>
      <c r="H137">
        <f t="shared" si="18"/>
        <v>0</v>
      </c>
      <c r="I137">
        <f>HLOOKUP(C137,Assumptions!$A$6:$J$7,2,TRUE)</f>
        <v>2.6499999999999999E-2</v>
      </c>
      <c r="J137" s="22">
        <f t="shared" si="14"/>
        <v>0</v>
      </c>
      <c r="K137" s="22">
        <f t="shared" si="19"/>
        <v>0</v>
      </c>
      <c r="L137">
        <f t="shared" si="24"/>
        <v>0</v>
      </c>
      <c r="M137" s="22">
        <f t="shared" si="20"/>
        <v>0</v>
      </c>
      <c r="N137">
        <f>M136*Assumptions!$B$11/$E$2*J137</f>
        <v>0</v>
      </c>
      <c r="O137">
        <f>M136*Assumptions!$B$13/$E$2*J137</f>
        <v>0</v>
      </c>
      <c r="P137">
        <f>H137*Assumptions!$B$15</f>
        <v>0</v>
      </c>
      <c r="Q137">
        <f>O137*Assumptions!$B$17</f>
        <v>0</v>
      </c>
      <c r="R137">
        <f>HLOOKUP(B137,Assumptions!$A$26:$D$27,2,TRUE)</f>
        <v>0</v>
      </c>
      <c r="S137">
        <f t="shared" si="25"/>
        <v>0</v>
      </c>
      <c r="T137">
        <f t="shared" si="21"/>
        <v>8.3333333333332149E-2</v>
      </c>
      <c r="U137">
        <f>IF(B137&gt;$K$2,0,IF(T138=0,0,(1-T138)*Assumptions!$B$11/$E$2*(1-Assumptions!$B$30)))</f>
        <v>0</v>
      </c>
      <c r="V137">
        <f>(N137-O137)*(1-Assumptions!$B$30)-Q137+U136*M136</f>
        <v>0</v>
      </c>
      <c r="W137">
        <f>W136*(1+Assumptions!$B$36)^(1/12)</f>
        <v>1.1101314968720704</v>
      </c>
      <c r="X137" s="19">
        <f>IF(B137&gt;$K$2,0,W136*Assumptions!$B$32/12*M136+V137*Assumptions!$B$34/12)</f>
        <v>0</v>
      </c>
      <c r="Y137" s="20">
        <f>1/(1+HLOOKUP(YEAR(A137),Assumptions!$A$41:$AL$43,3,TRUE))^(1/12)</f>
        <v>0.9986891543836689</v>
      </c>
      <c r="Z137">
        <f t="shared" si="22"/>
        <v>0</v>
      </c>
      <c r="AA137">
        <f t="shared" si="26"/>
        <v>0</v>
      </c>
    </row>
    <row r="138" spans="1:27" x14ac:dyDescent="0.2">
      <c r="A138" s="2">
        <f t="shared" si="27"/>
        <v>46965</v>
      </c>
      <c r="B138">
        <f t="shared" si="23"/>
        <v>219</v>
      </c>
      <c r="C138">
        <f t="shared" si="15"/>
        <v>18.166666666666668</v>
      </c>
      <c r="D138">
        <f t="shared" si="16"/>
        <v>0</v>
      </c>
      <c r="E138">
        <f t="shared" si="17"/>
        <v>73</v>
      </c>
      <c r="F138">
        <f>IF(C138&gt;=$J$2,0,VLOOKUP($E138,'Mortality Table'!$A$3:$C$128,2+G$2,FALSE))</f>
        <v>0</v>
      </c>
      <c r="G138">
        <f>F138*Assumptions!$B$1</f>
        <v>0</v>
      </c>
      <c r="H138">
        <f t="shared" si="18"/>
        <v>0</v>
      </c>
      <c r="I138">
        <f>HLOOKUP(C138,Assumptions!$A$6:$J$7,2,TRUE)</f>
        <v>2.6499999999999999E-2</v>
      </c>
      <c r="J138" s="22">
        <f t="shared" si="14"/>
        <v>0</v>
      </c>
      <c r="K138" s="22">
        <f t="shared" si="19"/>
        <v>0</v>
      </c>
      <c r="L138">
        <f t="shared" si="24"/>
        <v>0</v>
      </c>
      <c r="M138" s="22">
        <f t="shared" si="20"/>
        <v>0</v>
      </c>
      <c r="N138">
        <f>M137*Assumptions!$B$11/$E$2*J138</f>
        <v>0</v>
      </c>
      <c r="O138">
        <f>M137*Assumptions!$B$13/$E$2*J138</f>
        <v>0</v>
      </c>
      <c r="P138">
        <f>H138*Assumptions!$B$15</f>
        <v>0</v>
      </c>
      <c r="Q138">
        <f>O138*Assumptions!$B$17</f>
        <v>0</v>
      </c>
      <c r="R138">
        <f>HLOOKUP(B138,Assumptions!$A$26:$D$27,2,TRUE)</f>
        <v>0</v>
      </c>
      <c r="S138">
        <f t="shared" si="25"/>
        <v>0</v>
      </c>
      <c r="T138">
        <f t="shared" si="21"/>
        <v>0.16666666666666785</v>
      </c>
      <c r="U138">
        <f>IF(B138&gt;$K$2,0,IF(T139=0,0,(1-T139)*Assumptions!$B$11/$E$2*(1-Assumptions!$B$30)))</f>
        <v>0</v>
      </c>
      <c r="V138">
        <f>(N138-O138)*(1-Assumptions!$B$30)-Q138+U137*M137</f>
        <v>0</v>
      </c>
      <c r="W138">
        <f>W137*(1+Assumptions!$B$36)^(1/12)</f>
        <v>1.111052393260662</v>
      </c>
      <c r="X138" s="19">
        <f>IF(B138&gt;$K$2,0,W137*Assumptions!$B$32/12*M137+V138*Assumptions!$B$34/12)</f>
        <v>0</v>
      </c>
      <c r="Y138" s="20">
        <f>1/(1+HLOOKUP(YEAR(A138),Assumptions!$A$41:$AL$43,3,TRUE))^(1/12)</f>
        <v>0.9986891543836689</v>
      </c>
      <c r="Z138">
        <f t="shared" si="22"/>
        <v>0</v>
      </c>
      <c r="AA138">
        <f t="shared" si="26"/>
        <v>0</v>
      </c>
    </row>
    <row r="139" spans="1:27" x14ac:dyDescent="0.2">
      <c r="A139" s="2">
        <f t="shared" si="27"/>
        <v>46996</v>
      </c>
      <c r="B139">
        <f t="shared" si="23"/>
        <v>220</v>
      </c>
      <c r="C139">
        <f t="shared" si="15"/>
        <v>18.25</v>
      </c>
      <c r="D139">
        <f t="shared" si="16"/>
        <v>0</v>
      </c>
      <c r="E139">
        <f t="shared" si="17"/>
        <v>73</v>
      </c>
      <c r="F139">
        <f>IF(C139&gt;=$J$2,0,VLOOKUP($E139,'Mortality Table'!$A$3:$C$128,2+G$2,FALSE))</f>
        <v>0</v>
      </c>
      <c r="G139">
        <f>F139*Assumptions!$B$1</f>
        <v>0</v>
      </c>
      <c r="H139">
        <f t="shared" si="18"/>
        <v>0</v>
      </c>
      <c r="I139">
        <f>HLOOKUP(C139,Assumptions!$A$6:$J$7,2,TRUE)</f>
        <v>2.6499999999999999E-2</v>
      </c>
      <c r="J139" s="22">
        <f t="shared" ref="J139:J202" si="28">IF(B139&gt;$K$2,0,IF(($E$2*(B139+11))/12-INT(($E$2*(B139+11))/12)=0,1,0))</f>
        <v>0</v>
      </c>
      <c r="K139" s="22">
        <f t="shared" si="19"/>
        <v>0</v>
      </c>
      <c r="L139">
        <f t="shared" si="24"/>
        <v>0</v>
      </c>
      <c r="M139" s="22">
        <f t="shared" si="20"/>
        <v>0</v>
      </c>
      <c r="N139">
        <f>M138*Assumptions!$B$11/$E$2*J139</f>
        <v>0</v>
      </c>
      <c r="O139">
        <f>M138*Assumptions!$B$13/$E$2*J139</f>
        <v>0</v>
      </c>
      <c r="P139">
        <f>H139*Assumptions!$B$15</f>
        <v>0</v>
      </c>
      <c r="Q139">
        <f>O139*Assumptions!$B$17</f>
        <v>0</v>
      </c>
      <c r="R139">
        <f>HLOOKUP(B139,Assumptions!$A$26:$D$27,2,TRUE)</f>
        <v>0</v>
      </c>
      <c r="S139">
        <f t="shared" si="25"/>
        <v>0</v>
      </c>
      <c r="T139">
        <f t="shared" si="21"/>
        <v>0.25</v>
      </c>
      <c r="U139">
        <f>IF(B139&gt;$K$2,0,IF(T140=0,0,(1-T140)*Assumptions!$B$11/$E$2*(1-Assumptions!$B$30)))</f>
        <v>0</v>
      </c>
      <c r="V139">
        <f>(N139-O139)*(1-Assumptions!$B$30)-Q139+U138*M138</f>
        <v>0</v>
      </c>
      <c r="W139">
        <f>W138*(1+Assumptions!$B$36)^(1/12)</f>
        <v>1.1119740535679072</v>
      </c>
      <c r="X139" s="19">
        <f>IF(B139&gt;$K$2,0,W138*Assumptions!$B$32/12*M138+V139*Assumptions!$B$34/12)</f>
        <v>0</v>
      </c>
      <c r="Y139" s="20">
        <f>1/(1+HLOOKUP(YEAR(A139),Assumptions!$A$41:$AL$43,3,TRUE))^(1/12)</f>
        <v>0.9986891543836689</v>
      </c>
      <c r="Z139">
        <f t="shared" si="22"/>
        <v>0</v>
      </c>
      <c r="AA139">
        <f t="shared" si="26"/>
        <v>0</v>
      </c>
    </row>
    <row r="140" spans="1:27" x14ac:dyDescent="0.2">
      <c r="A140" s="2">
        <f t="shared" si="27"/>
        <v>47026</v>
      </c>
      <c r="B140">
        <f t="shared" si="23"/>
        <v>221</v>
      </c>
      <c r="C140">
        <f t="shared" ref="C140:C203" si="29">(B140+11)/12-1</f>
        <v>18.333333333333332</v>
      </c>
      <c r="D140">
        <f t="shared" ref="D140:D203" si="30">IF(C140-INT(C140)=0,1,0)</f>
        <v>0</v>
      </c>
      <c r="E140">
        <f t="shared" ref="E140:E203" si="31">$C$2+INT($C140)</f>
        <v>73</v>
      </c>
      <c r="F140">
        <f>IF(C140&gt;=$J$2,0,VLOOKUP($E140,'Mortality Table'!$A$3:$C$128,2+G$2,FALSE))</f>
        <v>0</v>
      </c>
      <c r="G140">
        <f>F140*Assumptions!$B$1</f>
        <v>0</v>
      </c>
      <c r="H140">
        <f t="shared" ref="H140:H203" si="32">(1-(1-G140)^(1/12))*M139</f>
        <v>0</v>
      </c>
      <c r="I140">
        <f>HLOOKUP(C140,Assumptions!$A$6:$J$7,2,TRUE)</f>
        <v>2.6499999999999999E-2</v>
      </c>
      <c r="J140" s="22">
        <f t="shared" si="28"/>
        <v>0</v>
      </c>
      <c r="K140" s="22">
        <f t="shared" ref="K140:K203" si="33">IF(B141&gt;$K$2,0,IF(J141=0,0,1/$E$2))</f>
        <v>0</v>
      </c>
      <c r="L140">
        <f t="shared" si="24"/>
        <v>0</v>
      </c>
      <c r="M140" s="22">
        <f t="shared" ref="M140:M203" si="34">IF(B140&gt;$K$2,0,M139-H140-L140)</f>
        <v>0</v>
      </c>
      <c r="N140">
        <f>M139*Assumptions!$B$11/$E$2*J140</f>
        <v>0</v>
      </c>
      <c r="O140">
        <f>M139*Assumptions!$B$13/$E$2*J140</f>
        <v>0</v>
      </c>
      <c r="P140">
        <f>H140*Assumptions!$B$15</f>
        <v>0</v>
      </c>
      <c r="Q140">
        <f>O140*Assumptions!$B$17</f>
        <v>0</v>
      </c>
      <c r="R140">
        <f>HLOOKUP(B140,Assumptions!$A$26:$D$27,2,TRUE)</f>
        <v>0</v>
      </c>
      <c r="S140">
        <f t="shared" si="25"/>
        <v>0</v>
      </c>
      <c r="T140">
        <f t="shared" ref="T140:T203" si="35">($E$2*(B140+11))/12-INT(($E$2*(B140+11))/12)</f>
        <v>0.33333333333333215</v>
      </c>
      <c r="U140">
        <f>IF(B140&gt;$K$2,0,IF(T141=0,0,(1-T141)*Assumptions!$B$11/$E$2*(1-Assumptions!$B$30)))</f>
        <v>0</v>
      </c>
      <c r="V140">
        <f>(N140-O140)*(1-Assumptions!$B$30)-Q140+U139*M139</f>
        <v>0</v>
      </c>
      <c r="W140">
        <f>W139*(1+Assumptions!$B$36)^(1/12)</f>
        <v>1.1128964784275057</v>
      </c>
      <c r="X140" s="19">
        <f>IF(B140&gt;$K$2,0,W139*Assumptions!$B$32/12*M139+V140*Assumptions!$B$34/12)</f>
        <v>0</v>
      </c>
      <c r="Y140" s="20">
        <f>1/(1+HLOOKUP(YEAR(A140),Assumptions!$A$41:$AL$43,3,TRUE))^(1/12)</f>
        <v>0.9986891543836689</v>
      </c>
      <c r="Z140">
        <f t="shared" ref="Z140:Z203" si="36">(Z141+P141+Q141+S141+X141-N141)*Y141</f>
        <v>0</v>
      </c>
      <c r="AA140">
        <f t="shared" si="26"/>
        <v>0</v>
      </c>
    </row>
    <row r="141" spans="1:27" x14ac:dyDescent="0.2">
      <c r="A141" s="2">
        <f t="shared" si="27"/>
        <v>47057</v>
      </c>
      <c r="B141">
        <f t="shared" ref="B141:B204" si="37">B140+1</f>
        <v>222</v>
      </c>
      <c r="C141">
        <f t="shared" si="29"/>
        <v>18.416666666666668</v>
      </c>
      <c r="D141">
        <f t="shared" si="30"/>
        <v>0</v>
      </c>
      <c r="E141">
        <f t="shared" si="31"/>
        <v>73</v>
      </c>
      <c r="F141">
        <f>IF(C141&gt;=$J$2,0,VLOOKUP($E141,'Mortality Table'!$A$3:$C$128,2+G$2,FALSE))</f>
        <v>0</v>
      </c>
      <c r="G141">
        <f>F141*Assumptions!$B$1</f>
        <v>0</v>
      </c>
      <c r="H141">
        <f t="shared" si="32"/>
        <v>0</v>
      </c>
      <c r="I141">
        <f>HLOOKUP(C141,Assumptions!$A$6:$J$7,2,TRUE)</f>
        <v>2.6499999999999999E-2</v>
      </c>
      <c r="J141" s="22">
        <f t="shared" si="28"/>
        <v>0</v>
      </c>
      <c r="K141" s="22">
        <f t="shared" si="33"/>
        <v>0</v>
      </c>
      <c r="L141">
        <f t="shared" ref="L141:L204" si="38">(1-(1-I141)^K141)*(M140-H141)</f>
        <v>0</v>
      </c>
      <c r="M141" s="22">
        <f t="shared" si="34"/>
        <v>0</v>
      </c>
      <c r="N141">
        <f>M140*Assumptions!$B$11/$E$2*J141</f>
        <v>0</v>
      </c>
      <c r="O141">
        <f>M140*Assumptions!$B$13/$E$2*J141</f>
        <v>0</v>
      </c>
      <c r="P141">
        <f>H141*Assumptions!$B$15</f>
        <v>0</v>
      </c>
      <c r="Q141">
        <f>O141*Assumptions!$B$17</f>
        <v>0</v>
      </c>
      <c r="R141">
        <f>HLOOKUP(B141,Assumptions!$A$26:$D$27,2,TRUE)</f>
        <v>0</v>
      </c>
      <c r="S141">
        <f t="shared" ref="S141:S204" si="39">N141*R141</f>
        <v>0</v>
      </c>
      <c r="T141">
        <f t="shared" si="35"/>
        <v>0.41666666666666785</v>
      </c>
      <c r="U141">
        <f>IF(B141&gt;$K$2,0,IF(T142=0,0,(1-T142)*Assumptions!$B$11/$E$2*(1-Assumptions!$B$30)))</f>
        <v>0</v>
      </c>
      <c r="V141">
        <f>(N141-O141)*(1-Assumptions!$B$30)-Q141+U140*M140</f>
        <v>0</v>
      </c>
      <c r="W141">
        <f>W140*(1+Assumptions!$B$36)^(1/12)</f>
        <v>1.113819668473683</v>
      </c>
      <c r="X141" s="19">
        <f>IF(B141&gt;$K$2,0,W140*Assumptions!$B$32/12*M140+V141*Assumptions!$B$34/12)</f>
        <v>0</v>
      </c>
      <c r="Y141" s="20">
        <f>1/(1+HLOOKUP(YEAR(A141),Assumptions!$A$41:$AL$43,3,TRUE))^(1/12)</f>
        <v>0.9986891543836689</v>
      </c>
      <c r="Z141">
        <f t="shared" si="36"/>
        <v>0</v>
      </c>
      <c r="AA141">
        <f t="shared" ref="AA141:AA204" si="40">P141+Q141</f>
        <v>0</v>
      </c>
    </row>
    <row r="142" spans="1:27" x14ac:dyDescent="0.2">
      <c r="A142" s="2">
        <f t="shared" si="27"/>
        <v>47087</v>
      </c>
      <c r="B142">
        <f t="shared" si="37"/>
        <v>223</v>
      </c>
      <c r="C142">
        <f t="shared" si="29"/>
        <v>18.5</v>
      </c>
      <c r="D142">
        <f t="shared" si="30"/>
        <v>0</v>
      </c>
      <c r="E142">
        <f t="shared" si="31"/>
        <v>73</v>
      </c>
      <c r="F142">
        <f>IF(C142&gt;=$J$2,0,VLOOKUP($E142,'Mortality Table'!$A$3:$C$128,2+G$2,FALSE))</f>
        <v>0</v>
      </c>
      <c r="G142">
        <f>F142*Assumptions!$B$1</f>
        <v>0</v>
      </c>
      <c r="H142">
        <f t="shared" si="32"/>
        <v>0</v>
      </c>
      <c r="I142">
        <f>HLOOKUP(C142,Assumptions!$A$6:$J$7,2,TRUE)</f>
        <v>2.6499999999999999E-2</v>
      </c>
      <c r="J142" s="22">
        <f t="shared" si="28"/>
        <v>0</v>
      </c>
      <c r="K142" s="22">
        <f t="shared" si="33"/>
        <v>0</v>
      </c>
      <c r="L142">
        <f t="shared" si="38"/>
        <v>0</v>
      </c>
      <c r="M142" s="22">
        <f t="shared" si="34"/>
        <v>0</v>
      </c>
      <c r="N142">
        <f>M141*Assumptions!$B$11/$E$2*J142</f>
        <v>0</v>
      </c>
      <c r="O142">
        <f>M141*Assumptions!$B$13/$E$2*J142</f>
        <v>0</v>
      </c>
      <c r="P142">
        <f>H142*Assumptions!$B$15</f>
        <v>0</v>
      </c>
      <c r="Q142">
        <f>O142*Assumptions!$B$17</f>
        <v>0</v>
      </c>
      <c r="R142">
        <f>HLOOKUP(B142,Assumptions!$A$26:$D$27,2,TRUE)</f>
        <v>0</v>
      </c>
      <c r="S142">
        <f t="shared" si="39"/>
        <v>0</v>
      </c>
      <c r="T142">
        <f t="shared" si="35"/>
        <v>0.5</v>
      </c>
      <c r="U142">
        <f>IF(B142&gt;$K$2,0,IF(T143=0,0,(1-T143)*Assumptions!$B$11/$E$2*(1-Assumptions!$B$30)))</f>
        <v>0</v>
      </c>
      <c r="V142">
        <f>(N142-O142)*(1-Assumptions!$B$30)-Q142+U141*M141</f>
        <v>0</v>
      </c>
      <c r="W142">
        <f>W141*(1+Assumptions!$B$36)^(1/12)</f>
        <v>1.1147436243411903</v>
      </c>
      <c r="X142" s="19">
        <f>IF(B142&gt;$K$2,0,W141*Assumptions!$B$32/12*M141+V142*Assumptions!$B$34/12)</f>
        <v>0</v>
      </c>
      <c r="Y142" s="20">
        <f>1/(1+HLOOKUP(YEAR(A142),Assumptions!$A$41:$AL$43,3,TRUE))^(1/12)</f>
        <v>0.9986891543836689</v>
      </c>
      <c r="Z142">
        <f t="shared" si="36"/>
        <v>0</v>
      </c>
      <c r="AA142">
        <f t="shared" si="40"/>
        <v>0</v>
      </c>
    </row>
    <row r="143" spans="1:27" x14ac:dyDescent="0.2">
      <c r="A143" s="2">
        <f t="shared" ref="A143:A206" si="41">DATE(YEAR(A142),MONTH(A142)+2,1)-1</f>
        <v>47118</v>
      </c>
      <c r="B143">
        <f t="shared" si="37"/>
        <v>224</v>
      </c>
      <c r="C143">
        <f t="shared" si="29"/>
        <v>18.583333333333332</v>
      </c>
      <c r="D143">
        <f t="shared" si="30"/>
        <v>0</v>
      </c>
      <c r="E143">
        <f t="shared" si="31"/>
        <v>73</v>
      </c>
      <c r="F143">
        <f>IF(C143&gt;=$J$2,0,VLOOKUP($E143,'Mortality Table'!$A$3:$C$128,2+G$2,FALSE))</f>
        <v>0</v>
      </c>
      <c r="G143">
        <f>F143*Assumptions!$B$1</f>
        <v>0</v>
      </c>
      <c r="H143">
        <f t="shared" si="32"/>
        <v>0</v>
      </c>
      <c r="I143">
        <f>HLOOKUP(C143,Assumptions!$A$6:$J$7,2,TRUE)</f>
        <v>2.6499999999999999E-2</v>
      </c>
      <c r="J143" s="22">
        <f t="shared" si="28"/>
        <v>0</v>
      </c>
      <c r="K143" s="22">
        <f t="shared" si="33"/>
        <v>0</v>
      </c>
      <c r="L143">
        <f t="shared" si="38"/>
        <v>0</v>
      </c>
      <c r="M143" s="22">
        <f t="shared" si="34"/>
        <v>0</v>
      </c>
      <c r="N143">
        <f>M142*Assumptions!$B$11/$E$2*J143</f>
        <v>0</v>
      </c>
      <c r="O143">
        <f>M142*Assumptions!$B$13/$E$2*J143</f>
        <v>0</v>
      </c>
      <c r="P143">
        <f>H143*Assumptions!$B$15</f>
        <v>0</v>
      </c>
      <c r="Q143">
        <f>O143*Assumptions!$B$17</f>
        <v>0</v>
      </c>
      <c r="R143">
        <f>HLOOKUP(B143,Assumptions!$A$26:$D$27,2,TRUE)</f>
        <v>0</v>
      </c>
      <c r="S143">
        <f t="shared" si="39"/>
        <v>0</v>
      </c>
      <c r="T143">
        <f t="shared" si="35"/>
        <v>0.58333333333333215</v>
      </c>
      <c r="U143">
        <f>IF(B143&gt;$K$2,0,IF(T144=0,0,(1-T144)*Assumptions!$B$11/$E$2*(1-Assumptions!$B$30)))</f>
        <v>0</v>
      </c>
      <c r="V143">
        <f>(N143-O143)*(1-Assumptions!$B$30)-Q143+U142*M142</f>
        <v>0</v>
      </c>
      <c r="W143">
        <f>W142*(1+Assumptions!$B$36)^(1/12)</f>
        <v>1.1156683466653057</v>
      </c>
      <c r="X143" s="19">
        <f>IF(B143&gt;$K$2,0,W142*Assumptions!$B$32/12*M142+V143*Assumptions!$B$34/12)</f>
        <v>0</v>
      </c>
      <c r="Y143" s="20">
        <f>1/(1+HLOOKUP(YEAR(A143),Assumptions!$A$41:$AL$43,3,TRUE))^(1/12)</f>
        <v>0.9986891543836689</v>
      </c>
      <c r="Z143">
        <f t="shared" si="36"/>
        <v>0</v>
      </c>
      <c r="AA143">
        <f t="shared" si="40"/>
        <v>0</v>
      </c>
    </row>
    <row r="144" spans="1:27" x14ac:dyDescent="0.2">
      <c r="A144" s="2">
        <f t="shared" si="41"/>
        <v>47149</v>
      </c>
      <c r="B144">
        <f t="shared" si="37"/>
        <v>225</v>
      </c>
      <c r="C144">
        <f t="shared" si="29"/>
        <v>18.666666666666668</v>
      </c>
      <c r="D144">
        <f t="shared" si="30"/>
        <v>0</v>
      </c>
      <c r="E144">
        <f t="shared" si="31"/>
        <v>73</v>
      </c>
      <c r="F144">
        <f>IF(C144&gt;=$J$2,0,VLOOKUP($E144,'Mortality Table'!$A$3:$C$128,2+G$2,FALSE))</f>
        <v>0</v>
      </c>
      <c r="G144">
        <f>F144*Assumptions!$B$1</f>
        <v>0</v>
      </c>
      <c r="H144">
        <f t="shared" si="32"/>
        <v>0</v>
      </c>
      <c r="I144">
        <f>HLOOKUP(C144,Assumptions!$A$6:$J$7,2,TRUE)</f>
        <v>2.6499999999999999E-2</v>
      </c>
      <c r="J144" s="22">
        <f t="shared" si="28"/>
        <v>0</v>
      </c>
      <c r="K144" s="22">
        <f t="shared" si="33"/>
        <v>0</v>
      </c>
      <c r="L144">
        <f t="shared" si="38"/>
        <v>0</v>
      </c>
      <c r="M144" s="22">
        <f t="shared" si="34"/>
        <v>0</v>
      </c>
      <c r="N144">
        <f>M143*Assumptions!$B$11/$E$2*J144</f>
        <v>0</v>
      </c>
      <c r="O144">
        <f>M143*Assumptions!$B$13/$E$2*J144</f>
        <v>0</v>
      </c>
      <c r="P144">
        <f>H144*Assumptions!$B$15</f>
        <v>0</v>
      </c>
      <c r="Q144">
        <f>O144*Assumptions!$B$17</f>
        <v>0</v>
      </c>
      <c r="R144">
        <f>HLOOKUP(B144,Assumptions!$A$26:$D$27,2,TRUE)</f>
        <v>0</v>
      </c>
      <c r="S144">
        <f t="shared" si="39"/>
        <v>0</v>
      </c>
      <c r="T144">
        <f t="shared" si="35"/>
        <v>0.66666666666666785</v>
      </c>
      <c r="U144">
        <f>IF(B144&gt;$K$2,0,IF(T145=0,0,(1-T145)*Assumptions!$B$11/$E$2*(1-Assumptions!$B$30)))</f>
        <v>0</v>
      </c>
      <c r="V144">
        <f>(N144-O144)*(1-Assumptions!$B$30)-Q144+U143*M143</f>
        <v>0</v>
      </c>
      <c r="W144">
        <f>W143*(1+Assumptions!$B$36)^(1/12)</f>
        <v>1.1165938360818342</v>
      </c>
      <c r="X144" s="19">
        <f>IF(B144&gt;$K$2,0,W143*Assumptions!$B$32/12*M143+V144*Assumptions!$B$34/12)</f>
        <v>0</v>
      </c>
      <c r="Y144" s="20">
        <f>1/(1+HLOOKUP(YEAR(A144),Assumptions!$A$41:$AL$43,3,TRUE))^(1/12)</f>
        <v>0.99860760101943147</v>
      </c>
      <c r="Z144">
        <f t="shared" si="36"/>
        <v>0</v>
      </c>
      <c r="AA144">
        <f t="shared" si="40"/>
        <v>0</v>
      </c>
    </row>
    <row r="145" spans="1:27" x14ac:dyDescent="0.2">
      <c r="A145" s="2">
        <f t="shared" si="41"/>
        <v>47177</v>
      </c>
      <c r="B145">
        <f t="shared" si="37"/>
        <v>226</v>
      </c>
      <c r="C145">
        <f t="shared" si="29"/>
        <v>18.75</v>
      </c>
      <c r="D145">
        <f t="shared" si="30"/>
        <v>0</v>
      </c>
      <c r="E145">
        <f t="shared" si="31"/>
        <v>73</v>
      </c>
      <c r="F145">
        <f>IF(C145&gt;=$J$2,0,VLOOKUP($E145,'Mortality Table'!$A$3:$C$128,2+G$2,FALSE))</f>
        <v>0</v>
      </c>
      <c r="G145">
        <f>F145*Assumptions!$B$1</f>
        <v>0</v>
      </c>
      <c r="H145">
        <f t="shared" si="32"/>
        <v>0</v>
      </c>
      <c r="I145">
        <f>HLOOKUP(C145,Assumptions!$A$6:$J$7,2,TRUE)</f>
        <v>2.6499999999999999E-2</v>
      </c>
      <c r="J145" s="22">
        <f t="shared" si="28"/>
        <v>0</v>
      </c>
      <c r="K145" s="22">
        <f t="shared" si="33"/>
        <v>0</v>
      </c>
      <c r="L145">
        <f t="shared" si="38"/>
        <v>0</v>
      </c>
      <c r="M145" s="22">
        <f t="shared" si="34"/>
        <v>0</v>
      </c>
      <c r="N145">
        <f>M144*Assumptions!$B$11/$E$2*J145</f>
        <v>0</v>
      </c>
      <c r="O145">
        <f>M144*Assumptions!$B$13/$E$2*J145</f>
        <v>0</v>
      </c>
      <c r="P145">
        <f>H145*Assumptions!$B$15</f>
        <v>0</v>
      </c>
      <c r="Q145">
        <f>O145*Assumptions!$B$17</f>
        <v>0</v>
      </c>
      <c r="R145">
        <f>HLOOKUP(B145,Assumptions!$A$26:$D$27,2,TRUE)</f>
        <v>0</v>
      </c>
      <c r="S145">
        <f t="shared" si="39"/>
        <v>0</v>
      </c>
      <c r="T145">
        <f t="shared" si="35"/>
        <v>0.75</v>
      </c>
      <c r="U145">
        <f>IF(B145&gt;$K$2,0,IF(T146=0,0,(1-T146)*Assumptions!$B$11/$E$2*(1-Assumptions!$B$30)))</f>
        <v>0</v>
      </c>
      <c r="V145">
        <f>(N145-O145)*(1-Assumptions!$B$30)-Q145+U144*M144</f>
        <v>0</v>
      </c>
      <c r="W145">
        <f>W144*(1+Assumptions!$B$36)^(1/12)</f>
        <v>1.1175200932271081</v>
      </c>
      <c r="X145" s="19">
        <f>IF(B145&gt;$K$2,0,W144*Assumptions!$B$32/12*M144+V145*Assumptions!$B$34/12)</f>
        <v>0</v>
      </c>
      <c r="Y145" s="20">
        <f>1/(1+HLOOKUP(YEAR(A145),Assumptions!$A$41:$AL$43,3,TRUE))^(1/12)</f>
        <v>0.99860760101943147</v>
      </c>
      <c r="Z145">
        <f t="shared" si="36"/>
        <v>0</v>
      </c>
      <c r="AA145">
        <f t="shared" si="40"/>
        <v>0</v>
      </c>
    </row>
    <row r="146" spans="1:27" x14ac:dyDescent="0.2">
      <c r="A146" s="2">
        <f t="shared" si="41"/>
        <v>47208</v>
      </c>
      <c r="B146">
        <f t="shared" si="37"/>
        <v>227</v>
      </c>
      <c r="C146">
        <f t="shared" si="29"/>
        <v>18.833333333333332</v>
      </c>
      <c r="D146">
        <f t="shared" si="30"/>
        <v>0</v>
      </c>
      <c r="E146">
        <f t="shared" si="31"/>
        <v>73</v>
      </c>
      <c r="F146">
        <f>IF(C146&gt;=$J$2,0,VLOOKUP($E146,'Mortality Table'!$A$3:$C$128,2+G$2,FALSE))</f>
        <v>0</v>
      </c>
      <c r="G146">
        <f>F146*Assumptions!$B$1</f>
        <v>0</v>
      </c>
      <c r="H146">
        <f t="shared" si="32"/>
        <v>0</v>
      </c>
      <c r="I146">
        <f>HLOOKUP(C146,Assumptions!$A$6:$J$7,2,TRUE)</f>
        <v>2.6499999999999999E-2</v>
      </c>
      <c r="J146" s="22">
        <f t="shared" si="28"/>
        <v>0</v>
      </c>
      <c r="K146" s="22">
        <f t="shared" si="33"/>
        <v>0</v>
      </c>
      <c r="L146">
        <f t="shared" si="38"/>
        <v>0</v>
      </c>
      <c r="M146" s="22">
        <f t="shared" si="34"/>
        <v>0</v>
      </c>
      <c r="N146">
        <f>M145*Assumptions!$B$11/$E$2*J146</f>
        <v>0</v>
      </c>
      <c r="O146">
        <f>M145*Assumptions!$B$13/$E$2*J146</f>
        <v>0</v>
      </c>
      <c r="P146">
        <f>H146*Assumptions!$B$15</f>
        <v>0</v>
      </c>
      <c r="Q146">
        <f>O146*Assumptions!$B$17</f>
        <v>0</v>
      </c>
      <c r="R146">
        <f>HLOOKUP(B146,Assumptions!$A$26:$D$27,2,TRUE)</f>
        <v>0</v>
      </c>
      <c r="S146">
        <f t="shared" si="39"/>
        <v>0</v>
      </c>
      <c r="T146">
        <f t="shared" si="35"/>
        <v>0.83333333333333215</v>
      </c>
      <c r="U146">
        <f>IF(B146&gt;$K$2,0,IF(T147=0,0,(1-T147)*Assumptions!$B$11/$E$2*(1-Assumptions!$B$30)))</f>
        <v>0</v>
      </c>
      <c r="V146">
        <f>(N146-O146)*(1-Assumptions!$B$30)-Q146+U145*M145</f>
        <v>0</v>
      </c>
      <c r="W146">
        <f>W145*(1+Assumptions!$B$36)^(1/12)</f>
        <v>1.1184471187379876</v>
      </c>
      <c r="X146" s="19">
        <f>IF(B146&gt;$K$2,0,W145*Assumptions!$B$32/12*M145+V146*Assumptions!$B$34/12)</f>
        <v>0</v>
      </c>
      <c r="Y146" s="20">
        <f>1/(1+HLOOKUP(YEAR(A146),Assumptions!$A$41:$AL$43,3,TRUE))^(1/12)</f>
        <v>0.99860760101943147</v>
      </c>
      <c r="Z146">
        <f t="shared" si="36"/>
        <v>0</v>
      </c>
      <c r="AA146">
        <f t="shared" si="40"/>
        <v>0</v>
      </c>
    </row>
    <row r="147" spans="1:27" x14ac:dyDescent="0.2">
      <c r="A147" s="2">
        <f t="shared" si="41"/>
        <v>47238</v>
      </c>
      <c r="B147">
        <f t="shared" si="37"/>
        <v>228</v>
      </c>
      <c r="C147">
        <f t="shared" si="29"/>
        <v>18.916666666666668</v>
      </c>
      <c r="D147">
        <f t="shared" si="30"/>
        <v>0</v>
      </c>
      <c r="E147">
        <f t="shared" si="31"/>
        <v>73</v>
      </c>
      <c r="F147">
        <f>IF(C147&gt;=$J$2,0,VLOOKUP($E147,'Mortality Table'!$A$3:$C$128,2+G$2,FALSE))</f>
        <v>0</v>
      </c>
      <c r="G147">
        <f>F147*Assumptions!$B$1</f>
        <v>0</v>
      </c>
      <c r="H147">
        <f t="shared" si="32"/>
        <v>0</v>
      </c>
      <c r="I147">
        <f>HLOOKUP(C147,Assumptions!$A$6:$J$7,2,TRUE)</f>
        <v>2.6499999999999999E-2</v>
      </c>
      <c r="J147" s="22">
        <f t="shared" si="28"/>
        <v>0</v>
      </c>
      <c r="K147" s="22">
        <f t="shared" si="33"/>
        <v>0</v>
      </c>
      <c r="L147">
        <f t="shared" si="38"/>
        <v>0</v>
      </c>
      <c r="M147" s="22">
        <f t="shared" si="34"/>
        <v>0</v>
      </c>
      <c r="N147">
        <f>M146*Assumptions!$B$11/$E$2*J147</f>
        <v>0</v>
      </c>
      <c r="O147">
        <f>M146*Assumptions!$B$13/$E$2*J147</f>
        <v>0</v>
      </c>
      <c r="P147">
        <f>H147*Assumptions!$B$15</f>
        <v>0</v>
      </c>
      <c r="Q147">
        <f>O147*Assumptions!$B$17</f>
        <v>0</v>
      </c>
      <c r="R147">
        <f>HLOOKUP(B147,Assumptions!$A$26:$D$27,2,TRUE)</f>
        <v>0</v>
      </c>
      <c r="S147">
        <f t="shared" si="39"/>
        <v>0</v>
      </c>
      <c r="T147">
        <f t="shared" si="35"/>
        <v>0.91666666666666785</v>
      </c>
      <c r="U147">
        <f>IF(B147&gt;$K$2,0,IF(T148=0,0,(1-T148)*Assumptions!$B$11/$E$2*(1-Assumptions!$B$30)))</f>
        <v>0</v>
      </c>
      <c r="V147">
        <f>(N147-O147)*(1-Assumptions!$B$30)-Q147+U146*M146</f>
        <v>0</v>
      </c>
      <c r="W147">
        <f>W146*(1+Assumptions!$B$36)^(1/12)</f>
        <v>1.1193749132518613</v>
      </c>
      <c r="X147" s="19">
        <f>IF(B147&gt;$K$2,0,W146*Assumptions!$B$32/12*M146+V147*Assumptions!$B$34/12)</f>
        <v>0</v>
      </c>
      <c r="Y147" s="20">
        <f>1/(1+HLOOKUP(YEAR(A147),Assumptions!$A$41:$AL$43,3,TRUE))^(1/12)</f>
        <v>0.99860760101943147</v>
      </c>
      <c r="Z147">
        <f t="shared" si="36"/>
        <v>0</v>
      </c>
      <c r="AA147">
        <f t="shared" si="40"/>
        <v>0</v>
      </c>
    </row>
    <row r="148" spans="1:27" x14ac:dyDescent="0.2">
      <c r="A148" s="2">
        <f t="shared" si="41"/>
        <v>47269</v>
      </c>
      <c r="B148">
        <f t="shared" si="37"/>
        <v>229</v>
      </c>
      <c r="C148">
        <f t="shared" si="29"/>
        <v>19</v>
      </c>
      <c r="D148">
        <f t="shared" si="30"/>
        <v>1</v>
      </c>
      <c r="E148">
        <f t="shared" si="31"/>
        <v>74</v>
      </c>
      <c r="F148">
        <f>IF(C148&gt;=$J$2,0,VLOOKUP($E148,'Mortality Table'!$A$3:$C$128,2+G$2,FALSE))</f>
        <v>0</v>
      </c>
      <c r="G148">
        <f>F148*Assumptions!$B$1</f>
        <v>0</v>
      </c>
      <c r="H148">
        <f t="shared" si="32"/>
        <v>0</v>
      </c>
      <c r="I148">
        <f>HLOOKUP(C148,Assumptions!$A$6:$J$7,2,TRUE)</f>
        <v>2.6499999999999999E-2</v>
      </c>
      <c r="J148" s="22">
        <f t="shared" si="28"/>
        <v>0</v>
      </c>
      <c r="K148" s="22">
        <f t="shared" si="33"/>
        <v>0</v>
      </c>
      <c r="L148">
        <f t="shared" si="38"/>
        <v>0</v>
      </c>
      <c r="M148" s="22">
        <f t="shared" si="34"/>
        <v>0</v>
      </c>
      <c r="N148">
        <f>M147*Assumptions!$B$11/$E$2*J148</f>
        <v>0</v>
      </c>
      <c r="O148">
        <f>M147*Assumptions!$B$13/$E$2*J148</f>
        <v>0</v>
      </c>
      <c r="P148">
        <f>H148*Assumptions!$B$15</f>
        <v>0</v>
      </c>
      <c r="Q148">
        <f>O148*Assumptions!$B$17</f>
        <v>0</v>
      </c>
      <c r="R148">
        <f>HLOOKUP(B148,Assumptions!$A$26:$D$27,2,TRUE)</f>
        <v>0</v>
      </c>
      <c r="S148">
        <f t="shared" si="39"/>
        <v>0</v>
      </c>
      <c r="T148">
        <f t="shared" si="35"/>
        <v>0</v>
      </c>
      <c r="U148">
        <f>IF(B148&gt;$K$2,0,IF(T149=0,0,(1-T149)*Assumptions!$B$11/$E$2*(1-Assumptions!$B$30)))</f>
        <v>0</v>
      </c>
      <c r="V148">
        <f>(N148-O148)*(1-Assumptions!$B$30)-Q148+U147*M147</f>
        <v>0</v>
      </c>
      <c r="W148">
        <f>W147*(1+Assumptions!$B$36)^(1/12)</f>
        <v>1.1203034774066467</v>
      </c>
      <c r="X148" s="19">
        <f>IF(B148&gt;$K$2,0,W147*Assumptions!$B$32/12*M147+V148*Assumptions!$B$34/12)</f>
        <v>0</v>
      </c>
      <c r="Y148" s="20">
        <f>1/(1+HLOOKUP(YEAR(A148),Assumptions!$A$41:$AL$43,3,TRUE))^(1/12)</f>
        <v>0.99860760101943147</v>
      </c>
      <c r="Z148">
        <f t="shared" si="36"/>
        <v>0</v>
      </c>
      <c r="AA148">
        <f t="shared" si="40"/>
        <v>0</v>
      </c>
    </row>
    <row r="149" spans="1:27" x14ac:dyDescent="0.2">
      <c r="A149" s="2">
        <f t="shared" si="41"/>
        <v>47299</v>
      </c>
      <c r="B149">
        <f t="shared" si="37"/>
        <v>230</v>
      </c>
      <c r="C149">
        <f t="shared" si="29"/>
        <v>19.083333333333332</v>
      </c>
      <c r="D149">
        <f t="shared" si="30"/>
        <v>0</v>
      </c>
      <c r="E149">
        <f t="shared" si="31"/>
        <v>74</v>
      </c>
      <c r="F149">
        <f>IF(C149&gt;=$J$2,0,VLOOKUP($E149,'Mortality Table'!$A$3:$C$128,2+G$2,FALSE))</f>
        <v>0</v>
      </c>
      <c r="G149">
        <f>F149*Assumptions!$B$1</f>
        <v>0</v>
      </c>
      <c r="H149">
        <f t="shared" si="32"/>
        <v>0</v>
      </c>
      <c r="I149">
        <f>HLOOKUP(C149,Assumptions!$A$6:$J$7,2,TRUE)</f>
        <v>2.6499999999999999E-2</v>
      </c>
      <c r="J149" s="22">
        <f t="shared" si="28"/>
        <v>0</v>
      </c>
      <c r="K149" s="22">
        <f t="shared" si="33"/>
        <v>0</v>
      </c>
      <c r="L149">
        <f t="shared" si="38"/>
        <v>0</v>
      </c>
      <c r="M149" s="22">
        <f t="shared" si="34"/>
        <v>0</v>
      </c>
      <c r="N149">
        <f>M148*Assumptions!$B$11/$E$2*J149</f>
        <v>0</v>
      </c>
      <c r="O149">
        <f>M148*Assumptions!$B$13/$E$2*J149</f>
        <v>0</v>
      </c>
      <c r="P149">
        <f>H149*Assumptions!$B$15</f>
        <v>0</v>
      </c>
      <c r="Q149">
        <f>O149*Assumptions!$B$17</f>
        <v>0</v>
      </c>
      <c r="R149">
        <f>HLOOKUP(B149,Assumptions!$A$26:$D$27,2,TRUE)</f>
        <v>0</v>
      </c>
      <c r="S149">
        <f t="shared" si="39"/>
        <v>0</v>
      </c>
      <c r="T149">
        <f t="shared" si="35"/>
        <v>8.3333333333332149E-2</v>
      </c>
      <c r="U149">
        <f>IF(B149&gt;$K$2,0,IF(T150=0,0,(1-T150)*Assumptions!$B$11/$E$2*(1-Assumptions!$B$30)))</f>
        <v>0</v>
      </c>
      <c r="V149">
        <f>(N149-O149)*(1-Assumptions!$B$30)-Q149+U148*M148</f>
        <v>0</v>
      </c>
      <c r="W149">
        <f>W148*(1+Assumptions!$B$36)^(1/12)</f>
        <v>1.1212328118407902</v>
      </c>
      <c r="X149" s="19">
        <f>IF(B149&gt;$K$2,0,W148*Assumptions!$B$32/12*M148+V149*Assumptions!$B$34/12)</f>
        <v>0</v>
      </c>
      <c r="Y149" s="20">
        <f>1/(1+HLOOKUP(YEAR(A149),Assumptions!$A$41:$AL$43,3,TRUE))^(1/12)</f>
        <v>0.99860760101943147</v>
      </c>
      <c r="Z149">
        <f t="shared" si="36"/>
        <v>0</v>
      </c>
      <c r="AA149">
        <f t="shared" si="40"/>
        <v>0</v>
      </c>
    </row>
    <row r="150" spans="1:27" x14ac:dyDescent="0.2">
      <c r="A150" s="2">
        <f t="shared" si="41"/>
        <v>47330</v>
      </c>
      <c r="B150">
        <f t="shared" si="37"/>
        <v>231</v>
      </c>
      <c r="C150">
        <f t="shared" si="29"/>
        <v>19.166666666666668</v>
      </c>
      <c r="D150">
        <f t="shared" si="30"/>
        <v>0</v>
      </c>
      <c r="E150">
        <f t="shared" si="31"/>
        <v>74</v>
      </c>
      <c r="F150">
        <f>IF(C150&gt;=$J$2,0,VLOOKUP($E150,'Mortality Table'!$A$3:$C$128,2+G$2,FALSE))</f>
        <v>0</v>
      </c>
      <c r="G150">
        <f>F150*Assumptions!$B$1</f>
        <v>0</v>
      </c>
      <c r="H150">
        <f t="shared" si="32"/>
        <v>0</v>
      </c>
      <c r="I150">
        <f>HLOOKUP(C150,Assumptions!$A$6:$J$7,2,TRUE)</f>
        <v>2.6499999999999999E-2</v>
      </c>
      <c r="J150" s="22">
        <f t="shared" si="28"/>
        <v>0</v>
      </c>
      <c r="K150" s="22">
        <f t="shared" si="33"/>
        <v>0</v>
      </c>
      <c r="L150">
        <f t="shared" si="38"/>
        <v>0</v>
      </c>
      <c r="M150" s="22">
        <f t="shared" si="34"/>
        <v>0</v>
      </c>
      <c r="N150">
        <f>M149*Assumptions!$B$11/$E$2*J150</f>
        <v>0</v>
      </c>
      <c r="O150">
        <f>M149*Assumptions!$B$13/$E$2*J150</f>
        <v>0</v>
      </c>
      <c r="P150">
        <f>H150*Assumptions!$B$15</f>
        <v>0</v>
      </c>
      <c r="Q150">
        <f>O150*Assumptions!$B$17</f>
        <v>0</v>
      </c>
      <c r="R150">
        <f>HLOOKUP(B150,Assumptions!$A$26:$D$27,2,TRUE)</f>
        <v>0</v>
      </c>
      <c r="S150">
        <f t="shared" si="39"/>
        <v>0</v>
      </c>
      <c r="T150">
        <f t="shared" si="35"/>
        <v>0.16666666666666785</v>
      </c>
      <c r="U150">
        <f>IF(B150&gt;$K$2,0,IF(T151=0,0,(1-T151)*Assumptions!$B$11/$E$2*(1-Assumptions!$B$30)))</f>
        <v>0</v>
      </c>
      <c r="V150">
        <f>(N150-O150)*(1-Assumptions!$B$30)-Q150+U149*M149</f>
        <v>0</v>
      </c>
      <c r="W150">
        <f>W149*(1+Assumptions!$B$36)^(1/12)</f>
        <v>1.1221629171932677</v>
      </c>
      <c r="X150" s="19">
        <f>IF(B150&gt;$K$2,0,W149*Assumptions!$B$32/12*M149+V150*Assumptions!$B$34/12)</f>
        <v>0</v>
      </c>
      <c r="Y150" s="20">
        <f>1/(1+HLOOKUP(YEAR(A150),Assumptions!$A$41:$AL$43,3,TRUE))^(1/12)</f>
        <v>0.99860760101943147</v>
      </c>
      <c r="Z150">
        <f t="shared" si="36"/>
        <v>0</v>
      </c>
      <c r="AA150">
        <f t="shared" si="40"/>
        <v>0</v>
      </c>
    </row>
    <row r="151" spans="1:27" x14ac:dyDescent="0.2">
      <c r="A151" s="2">
        <f t="shared" si="41"/>
        <v>47361</v>
      </c>
      <c r="B151">
        <f t="shared" si="37"/>
        <v>232</v>
      </c>
      <c r="C151">
        <f t="shared" si="29"/>
        <v>19.25</v>
      </c>
      <c r="D151">
        <f t="shared" si="30"/>
        <v>0</v>
      </c>
      <c r="E151">
        <f t="shared" si="31"/>
        <v>74</v>
      </c>
      <c r="F151">
        <f>IF(C151&gt;=$J$2,0,VLOOKUP($E151,'Mortality Table'!$A$3:$C$128,2+G$2,FALSE))</f>
        <v>0</v>
      </c>
      <c r="G151">
        <f>F151*Assumptions!$B$1</f>
        <v>0</v>
      </c>
      <c r="H151">
        <f t="shared" si="32"/>
        <v>0</v>
      </c>
      <c r="I151">
        <f>HLOOKUP(C151,Assumptions!$A$6:$J$7,2,TRUE)</f>
        <v>2.6499999999999999E-2</v>
      </c>
      <c r="J151" s="22">
        <f t="shared" si="28"/>
        <v>0</v>
      </c>
      <c r="K151" s="22">
        <f t="shared" si="33"/>
        <v>0</v>
      </c>
      <c r="L151">
        <f t="shared" si="38"/>
        <v>0</v>
      </c>
      <c r="M151" s="22">
        <f t="shared" si="34"/>
        <v>0</v>
      </c>
      <c r="N151">
        <f>M150*Assumptions!$B$11/$E$2*J151</f>
        <v>0</v>
      </c>
      <c r="O151">
        <f>M150*Assumptions!$B$13/$E$2*J151</f>
        <v>0</v>
      </c>
      <c r="P151">
        <f>H151*Assumptions!$B$15</f>
        <v>0</v>
      </c>
      <c r="Q151">
        <f>O151*Assumptions!$B$17</f>
        <v>0</v>
      </c>
      <c r="R151">
        <f>HLOOKUP(B151,Assumptions!$A$26:$D$27,2,TRUE)</f>
        <v>0</v>
      </c>
      <c r="S151">
        <f t="shared" si="39"/>
        <v>0</v>
      </c>
      <c r="T151">
        <f t="shared" si="35"/>
        <v>0.25</v>
      </c>
      <c r="U151">
        <f>IF(B151&gt;$K$2,0,IF(T152=0,0,(1-T152)*Assumptions!$B$11/$E$2*(1-Assumptions!$B$30)))</f>
        <v>0</v>
      </c>
      <c r="V151">
        <f>(N151-O151)*(1-Assumptions!$B$30)-Q151+U150*M150</f>
        <v>0</v>
      </c>
      <c r="W151">
        <f>W150*(1+Assumptions!$B$36)^(1/12)</f>
        <v>1.1230937941035855</v>
      </c>
      <c r="X151" s="19">
        <f>IF(B151&gt;$K$2,0,W150*Assumptions!$B$32/12*M150+V151*Assumptions!$B$34/12)</f>
        <v>0</v>
      </c>
      <c r="Y151" s="20">
        <f>1/(1+HLOOKUP(YEAR(A151),Assumptions!$A$41:$AL$43,3,TRUE))^(1/12)</f>
        <v>0.99860760101943147</v>
      </c>
      <c r="Z151">
        <f t="shared" si="36"/>
        <v>0</v>
      </c>
      <c r="AA151">
        <f t="shared" si="40"/>
        <v>0</v>
      </c>
    </row>
    <row r="152" spans="1:27" x14ac:dyDescent="0.2">
      <c r="A152" s="2">
        <f t="shared" si="41"/>
        <v>47391</v>
      </c>
      <c r="B152">
        <f t="shared" si="37"/>
        <v>233</v>
      </c>
      <c r="C152">
        <f t="shared" si="29"/>
        <v>19.333333333333332</v>
      </c>
      <c r="D152">
        <f t="shared" si="30"/>
        <v>0</v>
      </c>
      <c r="E152">
        <f t="shared" si="31"/>
        <v>74</v>
      </c>
      <c r="F152">
        <f>IF(C152&gt;=$J$2,0,VLOOKUP($E152,'Mortality Table'!$A$3:$C$128,2+G$2,FALSE))</f>
        <v>0</v>
      </c>
      <c r="G152">
        <f>F152*Assumptions!$B$1</f>
        <v>0</v>
      </c>
      <c r="H152">
        <f t="shared" si="32"/>
        <v>0</v>
      </c>
      <c r="I152">
        <f>HLOOKUP(C152,Assumptions!$A$6:$J$7,2,TRUE)</f>
        <v>2.6499999999999999E-2</v>
      </c>
      <c r="J152" s="22">
        <f t="shared" si="28"/>
        <v>0</v>
      </c>
      <c r="K152" s="22">
        <f t="shared" si="33"/>
        <v>0</v>
      </c>
      <c r="L152">
        <f t="shared" si="38"/>
        <v>0</v>
      </c>
      <c r="M152" s="22">
        <f t="shared" si="34"/>
        <v>0</v>
      </c>
      <c r="N152">
        <f>M151*Assumptions!$B$11/$E$2*J152</f>
        <v>0</v>
      </c>
      <c r="O152">
        <f>M151*Assumptions!$B$13/$E$2*J152</f>
        <v>0</v>
      </c>
      <c r="P152">
        <f>H152*Assumptions!$B$15</f>
        <v>0</v>
      </c>
      <c r="Q152">
        <f>O152*Assumptions!$B$17</f>
        <v>0</v>
      </c>
      <c r="R152">
        <f>HLOOKUP(B152,Assumptions!$A$26:$D$27,2,TRUE)</f>
        <v>0</v>
      </c>
      <c r="S152">
        <f t="shared" si="39"/>
        <v>0</v>
      </c>
      <c r="T152">
        <f t="shared" si="35"/>
        <v>0.33333333333333215</v>
      </c>
      <c r="U152">
        <f>IF(B152&gt;$K$2,0,IF(T153=0,0,(1-T153)*Assumptions!$B$11/$E$2*(1-Assumptions!$B$30)))</f>
        <v>0</v>
      </c>
      <c r="V152">
        <f>(N152-O152)*(1-Assumptions!$B$30)-Q152+U151*M151</f>
        <v>0</v>
      </c>
      <c r="W152">
        <f>W151*(1+Assumptions!$B$36)^(1/12)</f>
        <v>1.12402544321178</v>
      </c>
      <c r="X152" s="19">
        <f>IF(B152&gt;$K$2,0,W151*Assumptions!$B$32/12*M151+V152*Assumptions!$B$34/12)</f>
        <v>0</v>
      </c>
      <c r="Y152" s="20">
        <f>1/(1+HLOOKUP(YEAR(A152),Assumptions!$A$41:$AL$43,3,TRUE))^(1/12)</f>
        <v>0.99860760101943147</v>
      </c>
      <c r="Z152">
        <f t="shared" si="36"/>
        <v>0</v>
      </c>
      <c r="AA152">
        <f t="shared" si="40"/>
        <v>0</v>
      </c>
    </row>
    <row r="153" spans="1:27" x14ac:dyDescent="0.2">
      <c r="A153" s="2">
        <f t="shared" si="41"/>
        <v>47422</v>
      </c>
      <c r="B153">
        <f t="shared" si="37"/>
        <v>234</v>
      </c>
      <c r="C153">
        <f t="shared" si="29"/>
        <v>19.416666666666668</v>
      </c>
      <c r="D153">
        <f t="shared" si="30"/>
        <v>0</v>
      </c>
      <c r="E153">
        <f t="shared" si="31"/>
        <v>74</v>
      </c>
      <c r="F153">
        <f>IF(C153&gt;=$J$2,0,VLOOKUP($E153,'Mortality Table'!$A$3:$C$128,2+G$2,FALSE))</f>
        <v>0</v>
      </c>
      <c r="G153">
        <f>F153*Assumptions!$B$1</f>
        <v>0</v>
      </c>
      <c r="H153">
        <f t="shared" si="32"/>
        <v>0</v>
      </c>
      <c r="I153">
        <f>HLOOKUP(C153,Assumptions!$A$6:$J$7,2,TRUE)</f>
        <v>2.6499999999999999E-2</v>
      </c>
      <c r="J153" s="22">
        <f t="shared" si="28"/>
        <v>0</v>
      </c>
      <c r="K153" s="22">
        <f t="shared" si="33"/>
        <v>0</v>
      </c>
      <c r="L153">
        <f t="shared" si="38"/>
        <v>0</v>
      </c>
      <c r="M153" s="22">
        <f t="shared" si="34"/>
        <v>0</v>
      </c>
      <c r="N153">
        <f>M152*Assumptions!$B$11/$E$2*J153</f>
        <v>0</v>
      </c>
      <c r="O153">
        <f>M152*Assumptions!$B$13/$E$2*J153</f>
        <v>0</v>
      </c>
      <c r="P153">
        <f>H153*Assumptions!$B$15</f>
        <v>0</v>
      </c>
      <c r="Q153">
        <f>O153*Assumptions!$B$17</f>
        <v>0</v>
      </c>
      <c r="R153">
        <f>HLOOKUP(B153,Assumptions!$A$26:$D$27,2,TRUE)</f>
        <v>0</v>
      </c>
      <c r="S153">
        <f t="shared" si="39"/>
        <v>0</v>
      </c>
      <c r="T153">
        <f t="shared" si="35"/>
        <v>0.41666666666666785</v>
      </c>
      <c r="U153">
        <f>IF(B153&gt;$K$2,0,IF(T154=0,0,(1-T154)*Assumptions!$B$11/$E$2*(1-Assumptions!$B$30)))</f>
        <v>0</v>
      </c>
      <c r="V153">
        <f>(N153-O153)*(1-Assumptions!$B$30)-Q153+U152*M152</f>
        <v>0</v>
      </c>
      <c r="W153">
        <f>W152*(1+Assumptions!$B$36)^(1/12)</f>
        <v>1.1249578651584191</v>
      </c>
      <c r="X153" s="19">
        <f>IF(B153&gt;$K$2,0,W152*Assumptions!$B$32/12*M152+V153*Assumptions!$B$34/12)</f>
        <v>0</v>
      </c>
      <c r="Y153" s="20">
        <f>1/(1+HLOOKUP(YEAR(A153),Assumptions!$A$41:$AL$43,3,TRUE))^(1/12)</f>
        <v>0.99860760101943147</v>
      </c>
      <c r="Z153">
        <f t="shared" si="36"/>
        <v>0</v>
      </c>
      <c r="AA153">
        <f t="shared" si="40"/>
        <v>0</v>
      </c>
    </row>
    <row r="154" spans="1:27" x14ac:dyDescent="0.2">
      <c r="A154" s="2">
        <f t="shared" si="41"/>
        <v>47452</v>
      </c>
      <c r="B154">
        <f t="shared" si="37"/>
        <v>235</v>
      </c>
      <c r="C154">
        <f t="shared" si="29"/>
        <v>19.5</v>
      </c>
      <c r="D154">
        <f t="shared" si="30"/>
        <v>0</v>
      </c>
      <c r="E154">
        <f t="shared" si="31"/>
        <v>74</v>
      </c>
      <c r="F154">
        <f>IF(C154&gt;=$J$2,0,VLOOKUP($E154,'Mortality Table'!$A$3:$C$128,2+G$2,FALSE))</f>
        <v>0</v>
      </c>
      <c r="G154">
        <f>F154*Assumptions!$B$1</f>
        <v>0</v>
      </c>
      <c r="H154">
        <f t="shared" si="32"/>
        <v>0</v>
      </c>
      <c r="I154">
        <f>HLOOKUP(C154,Assumptions!$A$6:$J$7,2,TRUE)</f>
        <v>2.6499999999999999E-2</v>
      </c>
      <c r="J154" s="22">
        <f t="shared" si="28"/>
        <v>0</v>
      </c>
      <c r="K154" s="22">
        <f t="shared" si="33"/>
        <v>0</v>
      </c>
      <c r="L154">
        <f t="shared" si="38"/>
        <v>0</v>
      </c>
      <c r="M154" s="22">
        <f t="shared" si="34"/>
        <v>0</v>
      </c>
      <c r="N154">
        <f>M153*Assumptions!$B$11/$E$2*J154</f>
        <v>0</v>
      </c>
      <c r="O154">
        <f>M153*Assumptions!$B$13/$E$2*J154</f>
        <v>0</v>
      </c>
      <c r="P154">
        <f>H154*Assumptions!$B$15</f>
        <v>0</v>
      </c>
      <c r="Q154">
        <f>O154*Assumptions!$B$17</f>
        <v>0</v>
      </c>
      <c r="R154">
        <f>HLOOKUP(B154,Assumptions!$A$26:$D$27,2,TRUE)</f>
        <v>0</v>
      </c>
      <c r="S154">
        <f t="shared" si="39"/>
        <v>0</v>
      </c>
      <c r="T154">
        <f t="shared" si="35"/>
        <v>0.5</v>
      </c>
      <c r="U154">
        <f>IF(B154&gt;$K$2,0,IF(T155=0,0,(1-T155)*Assumptions!$B$11/$E$2*(1-Assumptions!$B$30)))</f>
        <v>0</v>
      </c>
      <c r="V154">
        <f>(N154-O154)*(1-Assumptions!$B$30)-Q154+U153*M153</f>
        <v>0</v>
      </c>
      <c r="W154">
        <f>W153*(1+Assumptions!$B$36)^(1/12)</f>
        <v>1.1258910605846015</v>
      </c>
      <c r="X154" s="19">
        <f>IF(B154&gt;$K$2,0,W153*Assumptions!$B$32/12*M153+V154*Assumptions!$B$34/12)</f>
        <v>0</v>
      </c>
      <c r="Y154" s="20">
        <f>1/(1+HLOOKUP(YEAR(A154),Assumptions!$A$41:$AL$43,3,TRUE))^(1/12)</f>
        <v>0.99860760101943147</v>
      </c>
      <c r="Z154">
        <f t="shared" si="36"/>
        <v>0</v>
      </c>
      <c r="AA154">
        <f t="shared" si="40"/>
        <v>0</v>
      </c>
    </row>
    <row r="155" spans="1:27" x14ac:dyDescent="0.2">
      <c r="A155" s="2">
        <f t="shared" si="41"/>
        <v>47483</v>
      </c>
      <c r="B155">
        <f t="shared" si="37"/>
        <v>236</v>
      </c>
      <c r="C155">
        <f t="shared" si="29"/>
        <v>19.583333333333332</v>
      </c>
      <c r="D155">
        <f t="shared" si="30"/>
        <v>0</v>
      </c>
      <c r="E155">
        <f t="shared" si="31"/>
        <v>74</v>
      </c>
      <c r="F155">
        <f>IF(C155&gt;=$J$2,0,VLOOKUP($E155,'Mortality Table'!$A$3:$C$128,2+G$2,FALSE))</f>
        <v>0</v>
      </c>
      <c r="G155">
        <f>F155*Assumptions!$B$1</f>
        <v>0</v>
      </c>
      <c r="H155">
        <f t="shared" si="32"/>
        <v>0</v>
      </c>
      <c r="I155">
        <f>HLOOKUP(C155,Assumptions!$A$6:$J$7,2,TRUE)</f>
        <v>2.6499999999999999E-2</v>
      </c>
      <c r="J155" s="22">
        <f t="shared" si="28"/>
        <v>0</v>
      </c>
      <c r="K155" s="22">
        <f t="shared" si="33"/>
        <v>0</v>
      </c>
      <c r="L155">
        <f t="shared" si="38"/>
        <v>0</v>
      </c>
      <c r="M155" s="22">
        <f t="shared" si="34"/>
        <v>0</v>
      </c>
      <c r="N155">
        <f>M154*Assumptions!$B$11/$E$2*J155</f>
        <v>0</v>
      </c>
      <c r="O155">
        <f>M154*Assumptions!$B$13/$E$2*J155</f>
        <v>0</v>
      </c>
      <c r="P155">
        <f>H155*Assumptions!$B$15</f>
        <v>0</v>
      </c>
      <c r="Q155">
        <f>O155*Assumptions!$B$17</f>
        <v>0</v>
      </c>
      <c r="R155">
        <f>HLOOKUP(B155,Assumptions!$A$26:$D$27,2,TRUE)</f>
        <v>0</v>
      </c>
      <c r="S155">
        <f t="shared" si="39"/>
        <v>0</v>
      </c>
      <c r="T155">
        <f t="shared" si="35"/>
        <v>0.58333333333333215</v>
      </c>
      <c r="U155">
        <f>IF(B155&gt;$K$2,0,IF(T156=0,0,(1-T156)*Assumptions!$B$11/$E$2*(1-Assumptions!$B$30)))</f>
        <v>0</v>
      </c>
      <c r="V155">
        <f>(N155-O155)*(1-Assumptions!$B$30)-Q155+U154*M154</f>
        <v>0</v>
      </c>
      <c r="W155">
        <f>W154*(1+Assumptions!$B$36)^(1/12)</f>
        <v>1.126825030131958</v>
      </c>
      <c r="X155" s="19">
        <f>IF(B155&gt;$K$2,0,W154*Assumptions!$B$32/12*M154+V155*Assumptions!$B$34/12)</f>
        <v>0</v>
      </c>
      <c r="Y155" s="20">
        <f>1/(1+HLOOKUP(YEAR(A155),Assumptions!$A$41:$AL$43,3,TRUE))^(1/12)</f>
        <v>0.99860760101943147</v>
      </c>
      <c r="Z155">
        <f t="shared" si="36"/>
        <v>0</v>
      </c>
      <c r="AA155">
        <f t="shared" si="40"/>
        <v>0</v>
      </c>
    </row>
    <row r="156" spans="1:27" x14ac:dyDescent="0.2">
      <c r="A156" s="2">
        <f t="shared" si="41"/>
        <v>47514</v>
      </c>
      <c r="B156">
        <f t="shared" si="37"/>
        <v>237</v>
      </c>
      <c r="C156">
        <f t="shared" si="29"/>
        <v>19.666666666666668</v>
      </c>
      <c r="D156">
        <f t="shared" si="30"/>
        <v>0</v>
      </c>
      <c r="E156">
        <f t="shared" si="31"/>
        <v>74</v>
      </c>
      <c r="F156">
        <f>IF(C156&gt;=$J$2,0,VLOOKUP($E156,'Mortality Table'!$A$3:$C$128,2+G$2,FALSE))</f>
        <v>0</v>
      </c>
      <c r="G156">
        <f>F156*Assumptions!$B$1</f>
        <v>0</v>
      </c>
      <c r="H156">
        <f t="shared" si="32"/>
        <v>0</v>
      </c>
      <c r="I156">
        <f>HLOOKUP(C156,Assumptions!$A$6:$J$7,2,TRUE)</f>
        <v>2.6499999999999999E-2</v>
      </c>
      <c r="J156" s="22">
        <f t="shared" si="28"/>
        <v>0</v>
      </c>
      <c r="K156" s="22">
        <f t="shared" si="33"/>
        <v>0</v>
      </c>
      <c r="L156">
        <f t="shared" si="38"/>
        <v>0</v>
      </c>
      <c r="M156" s="22">
        <f t="shared" si="34"/>
        <v>0</v>
      </c>
      <c r="N156">
        <f>M155*Assumptions!$B$11/$E$2*J156</f>
        <v>0</v>
      </c>
      <c r="O156">
        <f>M155*Assumptions!$B$13/$E$2*J156</f>
        <v>0</v>
      </c>
      <c r="P156">
        <f>H156*Assumptions!$B$15</f>
        <v>0</v>
      </c>
      <c r="Q156">
        <f>O156*Assumptions!$B$17</f>
        <v>0</v>
      </c>
      <c r="R156">
        <f>HLOOKUP(B156,Assumptions!$A$26:$D$27,2,TRUE)</f>
        <v>0</v>
      </c>
      <c r="S156">
        <f t="shared" si="39"/>
        <v>0</v>
      </c>
      <c r="T156">
        <f t="shared" si="35"/>
        <v>0.66666666666666785</v>
      </c>
      <c r="U156">
        <f>IF(B156&gt;$K$2,0,IF(T157=0,0,(1-T157)*Assumptions!$B$11/$E$2*(1-Assumptions!$B$30)))</f>
        <v>0</v>
      </c>
      <c r="V156">
        <f>(N156-O156)*(1-Assumptions!$B$30)-Q156+U155*M155</f>
        <v>0</v>
      </c>
      <c r="W156">
        <f>W155*(1+Assumptions!$B$36)^(1/12)</f>
        <v>1.1277597744426517</v>
      </c>
      <c r="X156" s="19">
        <f>IF(B156&gt;$K$2,0,W155*Assumptions!$B$32/12*M155+V156*Assumptions!$B$34/12)</f>
        <v>0</v>
      </c>
      <c r="Y156" s="20">
        <f>1/(1+HLOOKUP(YEAR(A156),Assumptions!$A$41:$AL$43,3,TRUE))^(1/12)</f>
        <v>0.9985504179392577</v>
      </c>
      <c r="Z156">
        <f t="shared" si="36"/>
        <v>0</v>
      </c>
      <c r="AA156">
        <f t="shared" si="40"/>
        <v>0</v>
      </c>
    </row>
    <row r="157" spans="1:27" x14ac:dyDescent="0.2">
      <c r="A157" s="2">
        <f t="shared" si="41"/>
        <v>47542</v>
      </c>
      <c r="B157">
        <f t="shared" si="37"/>
        <v>238</v>
      </c>
      <c r="C157">
        <f t="shared" si="29"/>
        <v>19.75</v>
      </c>
      <c r="D157">
        <f t="shared" si="30"/>
        <v>0</v>
      </c>
      <c r="E157">
        <f t="shared" si="31"/>
        <v>74</v>
      </c>
      <c r="F157">
        <f>IF(C157&gt;=$J$2,0,VLOOKUP($E157,'Mortality Table'!$A$3:$C$128,2+G$2,FALSE))</f>
        <v>0</v>
      </c>
      <c r="G157">
        <f>F157*Assumptions!$B$1</f>
        <v>0</v>
      </c>
      <c r="H157">
        <f t="shared" si="32"/>
        <v>0</v>
      </c>
      <c r="I157">
        <f>HLOOKUP(C157,Assumptions!$A$6:$J$7,2,TRUE)</f>
        <v>2.6499999999999999E-2</v>
      </c>
      <c r="J157" s="22">
        <f t="shared" si="28"/>
        <v>0</v>
      </c>
      <c r="K157" s="22">
        <f t="shared" si="33"/>
        <v>0</v>
      </c>
      <c r="L157">
        <f t="shared" si="38"/>
        <v>0</v>
      </c>
      <c r="M157" s="22">
        <f t="shared" si="34"/>
        <v>0</v>
      </c>
      <c r="N157">
        <f>M156*Assumptions!$B$11/$E$2*J157</f>
        <v>0</v>
      </c>
      <c r="O157">
        <f>M156*Assumptions!$B$13/$E$2*J157</f>
        <v>0</v>
      </c>
      <c r="P157">
        <f>H157*Assumptions!$B$15</f>
        <v>0</v>
      </c>
      <c r="Q157">
        <f>O157*Assumptions!$B$17</f>
        <v>0</v>
      </c>
      <c r="R157">
        <f>HLOOKUP(B157,Assumptions!$A$26:$D$27,2,TRUE)</f>
        <v>0</v>
      </c>
      <c r="S157">
        <f t="shared" si="39"/>
        <v>0</v>
      </c>
      <c r="T157">
        <f t="shared" si="35"/>
        <v>0.75</v>
      </c>
      <c r="U157">
        <f>IF(B157&gt;$K$2,0,IF(T158=0,0,(1-T158)*Assumptions!$B$11/$E$2*(1-Assumptions!$B$30)))</f>
        <v>0</v>
      </c>
      <c r="V157">
        <f>(N157-O157)*(1-Assumptions!$B$30)-Q157+U156*M156</f>
        <v>0</v>
      </c>
      <c r="W157">
        <f>W156*(1+Assumptions!$B$36)^(1/12)</f>
        <v>1.1286952941593784</v>
      </c>
      <c r="X157" s="19">
        <f>IF(B157&gt;$K$2,0,W156*Assumptions!$B$32/12*M156+V157*Assumptions!$B$34/12)</f>
        <v>0</v>
      </c>
      <c r="Y157" s="20">
        <f>1/(1+HLOOKUP(YEAR(A157),Assumptions!$A$41:$AL$43,3,TRUE))^(1/12)</f>
        <v>0.9985504179392577</v>
      </c>
      <c r="Z157">
        <f t="shared" si="36"/>
        <v>0</v>
      </c>
      <c r="AA157">
        <f t="shared" si="40"/>
        <v>0</v>
      </c>
    </row>
    <row r="158" spans="1:27" x14ac:dyDescent="0.2">
      <c r="A158" s="2">
        <f t="shared" si="41"/>
        <v>47573</v>
      </c>
      <c r="B158">
        <f t="shared" si="37"/>
        <v>239</v>
      </c>
      <c r="C158">
        <f t="shared" si="29"/>
        <v>19.833333333333332</v>
      </c>
      <c r="D158">
        <f t="shared" si="30"/>
        <v>0</v>
      </c>
      <c r="E158">
        <f t="shared" si="31"/>
        <v>74</v>
      </c>
      <c r="F158">
        <f>IF(C158&gt;=$J$2,0,VLOOKUP($E158,'Mortality Table'!$A$3:$C$128,2+G$2,FALSE))</f>
        <v>0</v>
      </c>
      <c r="G158">
        <f>F158*Assumptions!$B$1</f>
        <v>0</v>
      </c>
      <c r="H158">
        <f t="shared" si="32"/>
        <v>0</v>
      </c>
      <c r="I158">
        <f>HLOOKUP(C158,Assumptions!$A$6:$J$7,2,TRUE)</f>
        <v>2.6499999999999999E-2</v>
      </c>
      <c r="J158" s="22">
        <f t="shared" si="28"/>
        <v>0</v>
      </c>
      <c r="K158" s="22">
        <f t="shared" si="33"/>
        <v>0</v>
      </c>
      <c r="L158">
        <f t="shared" si="38"/>
        <v>0</v>
      </c>
      <c r="M158" s="22">
        <f t="shared" si="34"/>
        <v>0</v>
      </c>
      <c r="N158">
        <f>M157*Assumptions!$B$11/$E$2*J158</f>
        <v>0</v>
      </c>
      <c r="O158">
        <f>M157*Assumptions!$B$13/$E$2*J158</f>
        <v>0</v>
      </c>
      <c r="P158">
        <f>H158*Assumptions!$B$15</f>
        <v>0</v>
      </c>
      <c r="Q158">
        <f>O158*Assumptions!$B$17</f>
        <v>0</v>
      </c>
      <c r="R158">
        <f>HLOOKUP(B158,Assumptions!$A$26:$D$27,2,TRUE)</f>
        <v>0</v>
      </c>
      <c r="S158">
        <f t="shared" si="39"/>
        <v>0</v>
      </c>
      <c r="T158">
        <f t="shared" si="35"/>
        <v>0.83333333333333215</v>
      </c>
      <c r="U158">
        <f>IF(B158&gt;$K$2,0,IF(T159=0,0,(1-T159)*Assumptions!$B$11/$E$2*(1-Assumptions!$B$30)))</f>
        <v>0</v>
      </c>
      <c r="V158">
        <f>(N158-O158)*(1-Assumptions!$B$30)-Q158+U157*M157</f>
        <v>0</v>
      </c>
      <c r="W158">
        <f>W157*(1+Assumptions!$B$36)^(1/12)</f>
        <v>1.1296315899253668</v>
      </c>
      <c r="X158" s="19">
        <f>IF(B158&gt;$K$2,0,W157*Assumptions!$B$32/12*M157+V158*Assumptions!$B$34/12)</f>
        <v>0</v>
      </c>
      <c r="Y158" s="20">
        <f>1/(1+HLOOKUP(YEAR(A158),Assumptions!$A$41:$AL$43,3,TRUE))^(1/12)</f>
        <v>0.9985504179392577</v>
      </c>
      <c r="Z158">
        <f t="shared" si="36"/>
        <v>0</v>
      </c>
      <c r="AA158">
        <f t="shared" si="40"/>
        <v>0</v>
      </c>
    </row>
    <row r="159" spans="1:27" x14ac:dyDescent="0.2">
      <c r="A159" s="2">
        <f t="shared" si="41"/>
        <v>47603</v>
      </c>
      <c r="B159">
        <f t="shared" si="37"/>
        <v>240</v>
      </c>
      <c r="C159">
        <f t="shared" si="29"/>
        <v>19.916666666666668</v>
      </c>
      <c r="D159">
        <f t="shared" si="30"/>
        <v>0</v>
      </c>
      <c r="E159">
        <f t="shared" si="31"/>
        <v>74</v>
      </c>
      <c r="F159">
        <f>IF(C159&gt;=$J$2,0,VLOOKUP($E159,'Mortality Table'!$A$3:$C$128,2+G$2,FALSE))</f>
        <v>0</v>
      </c>
      <c r="G159">
        <f>F159*Assumptions!$B$1</f>
        <v>0</v>
      </c>
      <c r="H159">
        <f t="shared" si="32"/>
        <v>0</v>
      </c>
      <c r="I159">
        <f>HLOOKUP(C159,Assumptions!$A$6:$J$7,2,TRUE)</f>
        <v>2.6499999999999999E-2</v>
      </c>
      <c r="J159" s="22">
        <f t="shared" si="28"/>
        <v>0</v>
      </c>
      <c r="K159" s="22">
        <f t="shared" si="33"/>
        <v>0</v>
      </c>
      <c r="L159">
        <f t="shared" si="38"/>
        <v>0</v>
      </c>
      <c r="M159" s="22">
        <f t="shared" si="34"/>
        <v>0</v>
      </c>
      <c r="N159">
        <f>M158*Assumptions!$B$11/$E$2*J159</f>
        <v>0</v>
      </c>
      <c r="O159">
        <f>M158*Assumptions!$B$13/$E$2*J159</f>
        <v>0</v>
      </c>
      <c r="P159">
        <f>H159*Assumptions!$B$15</f>
        <v>0</v>
      </c>
      <c r="Q159">
        <f>O159*Assumptions!$B$17</f>
        <v>0</v>
      </c>
      <c r="R159">
        <f>HLOOKUP(B159,Assumptions!$A$26:$D$27,2,TRUE)</f>
        <v>0</v>
      </c>
      <c r="S159">
        <f t="shared" si="39"/>
        <v>0</v>
      </c>
      <c r="T159">
        <f t="shared" si="35"/>
        <v>0.91666666666666785</v>
      </c>
      <c r="U159">
        <f>IF(B159&gt;$K$2,0,IF(T160=0,0,(1-T160)*Assumptions!$B$11/$E$2*(1-Assumptions!$B$30)))</f>
        <v>0</v>
      </c>
      <c r="V159">
        <f>(N159-O159)*(1-Assumptions!$B$30)-Q159+U158*M158</f>
        <v>0</v>
      </c>
      <c r="W159">
        <f>W158*(1+Assumptions!$B$36)^(1/12)</f>
        <v>1.1305686623843794</v>
      </c>
      <c r="X159" s="19">
        <f>IF(B159&gt;$K$2,0,W158*Assumptions!$B$32/12*M158+V159*Assumptions!$B$34/12)</f>
        <v>0</v>
      </c>
      <c r="Y159" s="20">
        <f>1/(1+HLOOKUP(YEAR(A159),Assumptions!$A$41:$AL$43,3,TRUE))^(1/12)</f>
        <v>0.9985504179392577</v>
      </c>
      <c r="Z159">
        <f t="shared" si="36"/>
        <v>0</v>
      </c>
      <c r="AA159">
        <f t="shared" si="40"/>
        <v>0</v>
      </c>
    </row>
    <row r="160" spans="1:27" x14ac:dyDescent="0.2">
      <c r="A160" s="2">
        <f t="shared" si="41"/>
        <v>47634</v>
      </c>
      <c r="B160">
        <f t="shared" si="37"/>
        <v>241</v>
      </c>
      <c r="C160">
        <f t="shared" si="29"/>
        <v>20</v>
      </c>
      <c r="D160">
        <f t="shared" si="30"/>
        <v>1</v>
      </c>
      <c r="E160">
        <f t="shared" si="31"/>
        <v>75</v>
      </c>
      <c r="F160">
        <f>IF(C160&gt;=$J$2,0,VLOOKUP($E160,'Mortality Table'!$A$3:$C$128,2+G$2,FALSE))</f>
        <v>0</v>
      </c>
      <c r="G160">
        <f>F160*Assumptions!$B$1</f>
        <v>0</v>
      </c>
      <c r="H160">
        <f t="shared" si="32"/>
        <v>0</v>
      </c>
      <c r="I160">
        <f>HLOOKUP(C160,Assumptions!$A$6:$J$7,2,TRUE)</f>
        <v>2.6499999999999999E-2</v>
      </c>
      <c r="J160" s="22">
        <f t="shared" si="28"/>
        <v>0</v>
      </c>
      <c r="K160" s="22">
        <f t="shared" si="33"/>
        <v>0</v>
      </c>
      <c r="L160">
        <f t="shared" si="38"/>
        <v>0</v>
      </c>
      <c r="M160" s="22">
        <f t="shared" si="34"/>
        <v>0</v>
      </c>
      <c r="N160">
        <f>M159*Assumptions!$B$11/$E$2*J160</f>
        <v>0</v>
      </c>
      <c r="O160">
        <f>M159*Assumptions!$B$13/$E$2*J160</f>
        <v>0</v>
      </c>
      <c r="P160">
        <f>H160*Assumptions!$B$15</f>
        <v>0</v>
      </c>
      <c r="Q160">
        <f>O160*Assumptions!$B$17</f>
        <v>0</v>
      </c>
      <c r="R160">
        <f>HLOOKUP(B160,Assumptions!$A$26:$D$27,2,TRUE)</f>
        <v>0</v>
      </c>
      <c r="S160">
        <f t="shared" si="39"/>
        <v>0</v>
      </c>
      <c r="T160">
        <f t="shared" si="35"/>
        <v>0</v>
      </c>
      <c r="U160">
        <f>IF(B160&gt;$K$2,0,IF(T161=0,0,(1-T161)*Assumptions!$B$11/$E$2*(1-Assumptions!$B$30)))</f>
        <v>0</v>
      </c>
      <c r="V160">
        <f>(N160-O160)*(1-Assumptions!$B$30)-Q160+U159*M159</f>
        <v>0</v>
      </c>
      <c r="W160">
        <f>W159*(1+Assumptions!$B$36)^(1/12)</f>
        <v>1.1315065121807126</v>
      </c>
      <c r="X160" s="19">
        <f>IF(B160&gt;$K$2,0,W159*Assumptions!$B$32/12*M159+V160*Assumptions!$B$34/12)</f>
        <v>0</v>
      </c>
      <c r="Y160" s="20">
        <f>1/(1+HLOOKUP(YEAR(A160),Assumptions!$A$41:$AL$43,3,TRUE))^(1/12)</f>
        <v>0.9985504179392577</v>
      </c>
      <c r="Z160">
        <f t="shared" si="36"/>
        <v>0</v>
      </c>
      <c r="AA160">
        <f t="shared" si="40"/>
        <v>0</v>
      </c>
    </row>
    <row r="161" spans="1:27" x14ac:dyDescent="0.2">
      <c r="A161" s="2">
        <f t="shared" si="41"/>
        <v>47664</v>
      </c>
      <c r="B161">
        <f t="shared" si="37"/>
        <v>242</v>
      </c>
      <c r="C161">
        <f t="shared" si="29"/>
        <v>20.083333333333332</v>
      </c>
      <c r="D161">
        <f t="shared" si="30"/>
        <v>0</v>
      </c>
      <c r="E161">
        <f t="shared" si="31"/>
        <v>75</v>
      </c>
      <c r="F161">
        <f>IF(C161&gt;=$J$2,0,VLOOKUP($E161,'Mortality Table'!$A$3:$C$128,2+G$2,FALSE))</f>
        <v>0</v>
      </c>
      <c r="G161">
        <f>F161*Assumptions!$B$1</f>
        <v>0</v>
      </c>
      <c r="H161">
        <f t="shared" si="32"/>
        <v>0</v>
      </c>
      <c r="I161">
        <f>HLOOKUP(C161,Assumptions!$A$6:$J$7,2,TRUE)</f>
        <v>2.6499999999999999E-2</v>
      </c>
      <c r="J161" s="22">
        <f t="shared" si="28"/>
        <v>0</v>
      </c>
      <c r="K161" s="22">
        <f t="shared" si="33"/>
        <v>0</v>
      </c>
      <c r="L161">
        <f t="shared" si="38"/>
        <v>0</v>
      </c>
      <c r="M161" s="22">
        <f t="shared" si="34"/>
        <v>0</v>
      </c>
      <c r="N161">
        <f>M160*Assumptions!$B$11/$E$2*J161</f>
        <v>0</v>
      </c>
      <c r="O161">
        <f>M160*Assumptions!$B$13/$E$2*J161</f>
        <v>0</v>
      </c>
      <c r="P161">
        <f>H161*Assumptions!$B$15</f>
        <v>0</v>
      </c>
      <c r="Q161">
        <f>O161*Assumptions!$B$17</f>
        <v>0</v>
      </c>
      <c r="R161">
        <f>HLOOKUP(B161,Assumptions!$A$26:$D$27,2,TRUE)</f>
        <v>0</v>
      </c>
      <c r="S161">
        <f t="shared" si="39"/>
        <v>0</v>
      </c>
      <c r="T161">
        <f t="shared" si="35"/>
        <v>8.3333333333332149E-2</v>
      </c>
      <c r="U161">
        <f>IF(B161&gt;$K$2,0,IF(T162=0,0,(1-T162)*Assumptions!$B$11/$E$2*(1-Assumptions!$B$30)))</f>
        <v>0</v>
      </c>
      <c r="V161">
        <f>(N161-O161)*(1-Assumptions!$B$30)-Q161+U160*M160</f>
        <v>0</v>
      </c>
      <c r="W161">
        <f>W160*(1+Assumptions!$B$36)^(1/12)</f>
        <v>1.1324451399591975</v>
      </c>
      <c r="X161" s="19">
        <f>IF(B161&gt;$K$2,0,W160*Assumptions!$B$32/12*M160+V161*Assumptions!$B$34/12)</f>
        <v>0</v>
      </c>
      <c r="Y161" s="20">
        <f>1/(1+HLOOKUP(YEAR(A161),Assumptions!$A$41:$AL$43,3,TRUE))^(1/12)</f>
        <v>0.9985504179392577</v>
      </c>
      <c r="Z161">
        <f t="shared" si="36"/>
        <v>0</v>
      </c>
      <c r="AA161">
        <f t="shared" si="40"/>
        <v>0</v>
      </c>
    </row>
    <row r="162" spans="1:27" x14ac:dyDescent="0.2">
      <c r="A162" s="2">
        <f t="shared" si="41"/>
        <v>47695</v>
      </c>
      <c r="B162">
        <f t="shared" si="37"/>
        <v>243</v>
      </c>
      <c r="C162">
        <f t="shared" si="29"/>
        <v>20.166666666666668</v>
      </c>
      <c r="D162">
        <f t="shared" si="30"/>
        <v>0</v>
      </c>
      <c r="E162">
        <f t="shared" si="31"/>
        <v>75</v>
      </c>
      <c r="F162">
        <f>IF(C162&gt;=$J$2,0,VLOOKUP($E162,'Mortality Table'!$A$3:$C$128,2+G$2,FALSE))</f>
        <v>0</v>
      </c>
      <c r="G162">
        <f>F162*Assumptions!$B$1</f>
        <v>0</v>
      </c>
      <c r="H162">
        <f t="shared" si="32"/>
        <v>0</v>
      </c>
      <c r="I162">
        <f>HLOOKUP(C162,Assumptions!$A$6:$J$7,2,TRUE)</f>
        <v>2.6499999999999999E-2</v>
      </c>
      <c r="J162" s="22">
        <f t="shared" si="28"/>
        <v>0</v>
      </c>
      <c r="K162" s="22">
        <f t="shared" si="33"/>
        <v>0</v>
      </c>
      <c r="L162">
        <f t="shared" si="38"/>
        <v>0</v>
      </c>
      <c r="M162" s="22">
        <f t="shared" si="34"/>
        <v>0</v>
      </c>
      <c r="N162">
        <f>M161*Assumptions!$B$11/$E$2*J162</f>
        <v>0</v>
      </c>
      <c r="O162">
        <f>M161*Assumptions!$B$13/$E$2*J162</f>
        <v>0</v>
      </c>
      <c r="P162">
        <f>H162*Assumptions!$B$15</f>
        <v>0</v>
      </c>
      <c r="Q162">
        <f>O162*Assumptions!$B$17</f>
        <v>0</v>
      </c>
      <c r="R162">
        <f>HLOOKUP(B162,Assumptions!$A$26:$D$27,2,TRUE)</f>
        <v>0</v>
      </c>
      <c r="S162">
        <f t="shared" si="39"/>
        <v>0</v>
      </c>
      <c r="T162">
        <f t="shared" si="35"/>
        <v>0.16666666666666785</v>
      </c>
      <c r="U162">
        <f>IF(B162&gt;$K$2,0,IF(T163=0,0,(1-T163)*Assumptions!$B$11/$E$2*(1-Assumptions!$B$30)))</f>
        <v>0</v>
      </c>
      <c r="V162">
        <f>(N162-O162)*(1-Assumptions!$B$30)-Q162+U161*M161</f>
        <v>0</v>
      </c>
      <c r="W162">
        <f>W161*(1+Assumptions!$B$36)^(1/12)</f>
        <v>1.1333845463651997</v>
      </c>
      <c r="X162" s="19">
        <f>IF(B162&gt;$K$2,0,W161*Assumptions!$B$32/12*M161+V162*Assumptions!$B$34/12)</f>
        <v>0</v>
      </c>
      <c r="Y162" s="20">
        <f>1/(1+HLOOKUP(YEAR(A162),Assumptions!$A$41:$AL$43,3,TRUE))^(1/12)</f>
        <v>0.9985504179392577</v>
      </c>
      <c r="Z162">
        <f t="shared" si="36"/>
        <v>0</v>
      </c>
      <c r="AA162">
        <f t="shared" si="40"/>
        <v>0</v>
      </c>
    </row>
    <row r="163" spans="1:27" x14ac:dyDescent="0.2">
      <c r="A163" s="2">
        <f t="shared" si="41"/>
        <v>47726</v>
      </c>
      <c r="B163">
        <f t="shared" si="37"/>
        <v>244</v>
      </c>
      <c r="C163">
        <f t="shared" si="29"/>
        <v>20.25</v>
      </c>
      <c r="D163">
        <f t="shared" si="30"/>
        <v>0</v>
      </c>
      <c r="E163">
        <f t="shared" si="31"/>
        <v>75</v>
      </c>
      <c r="F163">
        <f>IF(C163&gt;=$J$2,0,VLOOKUP($E163,'Mortality Table'!$A$3:$C$128,2+G$2,FALSE))</f>
        <v>0</v>
      </c>
      <c r="G163">
        <f>F163*Assumptions!$B$1</f>
        <v>0</v>
      </c>
      <c r="H163">
        <f t="shared" si="32"/>
        <v>0</v>
      </c>
      <c r="I163">
        <f>HLOOKUP(C163,Assumptions!$A$6:$J$7,2,TRUE)</f>
        <v>2.6499999999999999E-2</v>
      </c>
      <c r="J163" s="22">
        <f t="shared" si="28"/>
        <v>0</v>
      </c>
      <c r="K163" s="22">
        <f t="shared" si="33"/>
        <v>0</v>
      </c>
      <c r="L163">
        <f t="shared" si="38"/>
        <v>0</v>
      </c>
      <c r="M163" s="22">
        <f t="shared" si="34"/>
        <v>0</v>
      </c>
      <c r="N163">
        <f>M162*Assumptions!$B$11/$E$2*J163</f>
        <v>0</v>
      </c>
      <c r="O163">
        <f>M162*Assumptions!$B$13/$E$2*J163</f>
        <v>0</v>
      </c>
      <c r="P163">
        <f>H163*Assumptions!$B$15</f>
        <v>0</v>
      </c>
      <c r="Q163">
        <f>O163*Assumptions!$B$17</f>
        <v>0</v>
      </c>
      <c r="R163">
        <f>HLOOKUP(B163,Assumptions!$A$26:$D$27,2,TRUE)</f>
        <v>0</v>
      </c>
      <c r="S163">
        <f t="shared" si="39"/>
        <v>0</v>
      </c>
      <c r="T163">
        <f t="shared" si="35"/>
        <v>0.25</v>
      </c>
      <c r="U163">
        <f>IF(B163&gt;$K$2,0,IF(T164=0,0,(1-T164)*Assumptions!$B$11/$E$2*(1-Assumptions!$B$30)))</f>
        <v>0</v>
      </c>
      <c r="V163">
        <f>(N163-O163)*(1-Assumptions!$B$30)-Q163+U162*M162</f>
        <v>0</v>
      </c>
      <c r="W163">
        <f>W162*(1+Assumptions!$B$36)^(1/12)</f>
        <v>1.1343247320446206</v>
      </c>
      <c r="X163" s="19">
        <f>IF(B163&gt;$K$2,0,W162*Assumptions!$B$32/12*M162+V163*Assumptions!$B$34/12)</f>
        <v>0</v>
      </c>
      <c r="Y163" s="20">
        <f>1/(1+HLOOKUP(YEAR(A163),Assumptions!$A$41:$AL$43,3,TRUE))^(1/12)</f>
        <v>0.9985504179392577</v>
      </c>
      <c r="Z163">
        <f t="shared" si="36"/>
        <v>0</v>
      </c>
      <c r="AA163">
        <f t="shared" si="40"/>
        <v>0</v>
      </c>
    </row>
    <row r="164" spans="1:27" x14ac:dyDescent="0.2">
      <c r="A164" s="2">
        <f t="shared" si="41"/>
        <v>47756</v>
      </c>
      <c r="B164">
        <f t="shared" si="37"/>
        <v>245</v>
      </c>
      <c r="C164">
        <f t="shared" si="29"/>
        <v>20.333333333333332</v>
      </c>
      <c r="D164">
        <f t="shared" si="30"/>
        <v>0</v>
      </c>
      <c r="E164">
        <f t="shared" si="31"/>
        <v>75</v>
      </c>
      <c r="F164">
        <f>IF(C164&gt;=$J$2,0,VLOOKUP($E164,'Mortality Table'!$A$3:$C$128,2+G$2,FALSE))</f>
        <v>0</v>
      </c>
      <c r="G164">
        <f>F164*Assumptions!$B$1</f>
        <v>0</v>
      </c>
      <c r="H164">
        <f t="shared" si="32"/>
        <v>0</v>
      </c>
      <c r="I164">
        <f>HLOOKUP(C164,Assumptions!$A$6:$J$7,2,TRUE)</f>
        <v>2.6499999999999999E-2</v>
      </c>
      <c r="J164" s="22">
        <f t="shared" si="28"/>
        <v>0</v>
      </c>
      <c r="K164" s="22">
        <f t="shared" si="33"/>
        <v>0</v>
      </c>
      <c r="L164">
        <f t="shared" si="38"/>
        <v>0</v>
      </c>
      <c r="M164" s="22">
        <f t="shared" si="34"/>
        <v>0</v>
      </c>
      <c r="N164">
        <f>M163*Assumptions!$B$11/$E$2*J164</f>
        <v>0</v>
      </c>
      <c r="O164">
        <f>M163*Assumptions!$B$13/$E$2*J164</f>
        <v>0</v>
      </c>
      <c r="P164">
        <f>H164*Assumptions!$B$15</f>
        <v>0</v>
      </c>
      <c r="Q164">
        <f>O164*Assumptions!$B$17</f>
        <v>0</v>
      </c>
      <c r="R164">
        <f>HLOOKUP(B164,Assumptions!$A$26:$D$27,2,TRUE)</f>
        <v>0</v>
      </c>
      <c r="S164">
        <f t="shared" si="39"/>
        <v>0</v>
      </c>
      <c r="T164">
        <f t="shared" si="35"/>
        <v>0.33333333333333215</v>
      </c>
      <c r="U164">
        <f>IF(B164&gt;$K$2,0,IF(T165=0,0,(1-T165)*Assumptions!$B$11/$E$2*(1-Assumptions!$B$30)))</f>
        <v>0</v>
      </c>
      <c r="V164">
        <f>(N164-O164)*(1-Assumptions!$B$30)-Q164+U163*M163</f>
        <v>0</v>
      </c>
      <c r="W164">
        <f>W163*(1+Assumptions!$B$36)^(1/12)</f>
        <v>1.1352656976438971</v>
      </c>
      <c r="X164" s="19">
        <f>IF(B164&gt;$K$2,0,W163*Assumptions!$B$32/12*M163+V164*Assumptions!$B$34/12)</f>
        <v>0</v>
      </c>
      <c r="Y164" s="20">
        <f>1/(1+HLOOKUP(YEAR(A164),Assumptions!$A$41:$AL$43,3,TRUE))^(1/12)</f>
        <v>0.9985504179392577</v>
      </c>
      <c r="Z164">
        <f t="shared" si="36"/>
        <v>0</v>
      </c>
      <c r="AA164">
        <f t="shared" si="40"/>
        <v>0</v>
      </c>
    </row>
    <row r="165" spans="1:27" x14ac:dyDescent="0.2">
      <c r="A165" s="2">
        <f t="shared" si="41"/>
        <v>47787</v>
      </c>
      <c r="B165">
        <f t="shared" si="37"/>
        <v>246</v>
      </c>
      <c r="C165">
        <f t="shared" si="29"/>
        <v>20.416666666666668</v>
      </c>
      <c r="D165">
        <f t="shared" si="30"/>
        <v>0</v>
      </c>
      <c r="E165">
        <f t="shared" si="31"/>
        <v>75</v>
      </c>
      <c r="F165">
        <f>IF(C165&gt;=$J$2,0,VLOOKUP($E165,'Mortality Table'!$A$3:$C$128,2+G$2,FALSE))</f>
        <v>0</v>
      </c>
      <c r="G165">
        <f>F165*Assumptions!$B$1</f>
        <v>0</v>
      </c>
      <c r="H165">
        <f t="shared" si="32"/>
        <v>0</v>
      </c>
      <c r="I165">
        <f>HLOOKUP(C165,Assumptions!$A$6:$J$7,2,TRUE)</f>
        <v>2.6499999999999999E-2</v>
      </c>
      <c r="J165" s="22">
        <f t="shared" si="28"/>
        <v>0</v>
      </c>
      <c r="K165" s="22">
        <f t="shared" si="33"/>
        <v>0</v>
      </c>
      <c r="L165">
        <f t="shared" si="38"/>
        <v>0</v>
      </c>
      <c r="M165" s="22">
        <f t="shared" si="34"/>
        <v>0</v>
      </c>
      <c r="N165">
        <f>M164*Assumptions!$B$11/$E$2*J165</f>
        <v>0</v>
      </c>
      <c r="O165">
        <f>M164*Assumptions!$B$13/$E$2*J165</f>
        <v>0</v>
      </c>
      <c r="P165">
        <f>H165*Assumptions!$B$15</f>
        <v>0</v>
      </c>
      <c r="Q165">
        <f>O165*Assumptions!$B$17</f>
        <v>0</v>
      </c>
      <c r="R165">
        <f>HLOOKUP(B165,Assumptions!$A$26:$D$27,2,TRUE)</f>
        <v>0</v>
      </c>
      <c r="S165">
        <f t="shared" si="39"/>
        <v>0</v>
      </c>
      <c r="T165">
        <f t="shared" si="35"/>
        <v>0.41666666666666785</v>
      </c>
      <c r="U165">
        <f>IF(B165&gt;$K$2,0,IF(T166=0,0,(1-T166)*Assumptions!$B$11/$E$2*(1-Assumptions!$B$30)))</f>
        <v>0</v>
      </c>
      <c r="V165">
        <f>(N165-O165)*(1-Assumptions!$B$30)-Q165+U164*M164</f>
        <v>0</v>
      </c>
      <c r="W165">
        <f>W164*(1+Assumptions!$B$36)^(1/12)</f>
        <v>1.1362074438100025</v>
      </c>
      <c r="X165" s="19">
        <f>IF(B165&gt;$K$2,0,W164*Assumptions!$B$32/12*M164+V165*Assumptions!$B$34/12)</f>
        <v>0</v>
      </c>
      <c r="Y165" s="20">
        <f>1/(1+HLOOKUP(YEAR(A165),Assumptions!$A$41:$AL$43,3,TRUE))^(1/12)</f>
        <v>0.9985504179392577</v>
      </c>
      <c r="Z165">
        <f t="shared" si="36"/>
        <v>0</v>
      </c>
      <c r="AA165">
        <f t="shared" si="40"/>
        <v>0</v>
      </c>
    </row>
    <row r="166" spans="1:27" x14ac:dyDescent="0.2">
      <c r="A166" s="2">
        <f t="shared" si="41"/>
        <v>47817</v>
      </c>
      <c r="B166">
        <f t="shared" si="37"/>
        <v>247</v>
      </c>
      <c r="C166">
        <f t="shared" si="29"/>
        <v>20.5</v>
      </c>
      <c r="D166">
        <f t="shared" si="30"/>
        <v>0</v>
      </c>
      <c r="E166">
        <f t="shared" si="31"/>
        <v>75</v>
      </c>
      <c r="F166">
        <f>IF(C166&gt;=$J$2,0,VLOOKUP($E166,'Mortality Table'!$A$3:$C$128,2+G$2,FALSE))</f>
        <v>0</v>
      </c>
      <c r="G166">
        <f>F166*Assumptions!$B$1</f>
        <v>0</v>
      </c>
      <c r="H166">
        <f t="shared" si="32"/>
        <v>0</v>
      </c>
      <c r="I166">
        <f>HLOOKUP(C166,Assumptions!$A$6:$J$7,2,TRUE)</f>
        <v>2.6499999999999999E-2</v>
      </c>
      <c r="J166" s="22">
        <f t="shared" si="28"/>
        <v>0</v>
      </c>
      <c r="K166" s="22">
        <f t="shared" si="33"/>
        <v>0</v>
      </c>
      <c r="L166">
        <f t="shared" si="38"/>
        <v>0</v>
      </c>
      <c r="M166" s="22">
        <f t="shared" si="34"/>
        <v>0</v>
      </c>
      <c r="N166">
        <f>M165*Assumptions!$B$11/$E$2*J166</f>
        <v>0</v>
      </c>
      <c r="O166">
        <f>M165*Assumptions!$B$13/$E$2*J166</f>
        <v>0</v>
      </c>
      <c r="P166">
        <f>H166*Assumptions!$B$15</f>
        <v>0</v>
      </c>
      <c r="Q166">
        <f>O166*Assumptions!$B$17</f>
        <v>0</v>
      </c>
      <c r="R166">
        <f>HLOOKUP(B166,Assumptions!$A$26:$D$27,2,TRUE)</f>
        <v>0</v>
      </c>
      <c r="S166">
        <f t="shared" si="39"/>
        <v>0</v>
      </c>
      <c r="T166">
        <f t="shared" si="35"/>
        <v>0.5</v>
      </c>
      <c r="U166">
        <f>IF(B166&gt;$K$2,0,IF(T167=0,0,(1-T167)*Assumptions!$B$11/$E$2*(1-Assumptions!$B$30)))</f>
        <v>0</v>
      </c>
      <c r="V166">
        <f>(N166-O166)*(1-Assumptions!$B$30)-Q166+U165*M165</f>
        <v>0</v>
      </c>
      <c r="W166">
        <f>W165*(1+Assumptions!$B$36)^(1/12)</f>
        <v>1.1371499711904467</v>
      </c>
      <c r="X166" s="19">
        <f>IF(B166&gt;$K$2,0,W165*Assumptions!$B$32/12*M165+V166*Assumptions!$B$34/12)</f>
        <v>0</v>
      </c>
      <c r="Y166" s="20">
        <f>1/(1+HLOOKUP(YEAR(A166),Assumptions!$A$41:$AL$43,3,TRUE))^(1/12)</f>
        <v>0.9985504179392577</v>
      </c>
      <c r="Z166">
        <f t="shared" si="36"/>
        <v>0</v>
      </c>
      <c r="AA166">
        <f t="shared" si="40"/>
        <v>0</v>
      </c>
    </row>
    <row r="167" spans="1:27" x14ac:dyDescent="0.2">
      <c r="A167" s="2">
        <f t="shared" si="41"/>
        <v>47848</v>
      </c>
      <c r="B167">
        <f t="shared" si="37"/>
        <v>248</v>
      </c>
      <c r="C167">
        <f t="shared" si="29"/>
        <v>20.583333333333332</v>
      </c>
      <c r="D167">
        <f t="shared" si="30"/>
        <v>0</v>
      </c>
      <c r="E167">
        <f t="shared" si="31"/>
        <v>75</v>
      </c>
      <c r="F167">
        <f>IF(C167&gt;=$J$2,0,VLOOKUP($E167,'Mortality Table'!$A$3:$C$128,2+G$2,FALSE))</f>
        <v>0</v>
      </c>
      <c r="G167">
        <f>F167*Assumptions!$B$1</f>
        <v>0</v>
      </c>
      <c r="H167">
        <f t="shared" si="32"/>
        <v>0</v>
      </c>
      <c r="I167">
        <f>HLOOKUP(C167,Assumptions!$A$6:$J$7,2,TRUE)</f>
        <v>2.6499999999999999E-2</v>
      </c>
      <c r="J167" s="22">
        <f t="shared" si="28"/>
        <v>0</v>
      </c>
      <c r="K167" s="22">
        <f t="shared" si="33"/>
        <v>0</v>
      </c>
      <c r="L167">
        <f t="shared" si="38"/>
        <v>0</v>
      </c>
      <c r="M167" s="22">
        <f t="shared" si="34"/>
        <v>0</v>
      </c>
      <c r="N167">
        <f>M166*Assumptions!$B$11/$E$2*J167</f>
        <v>0</v>
      </c>
      <c r="O167">
        <f>M166*Assumptions!$B$13/$E$2*J167</f>
        <v>0</v>
      </c>
      <c r="P167">
        <f>H167*Assumptions!$B$15</f>
        <v>0</v>
      </c>
      <c r="Q167">
        <f>O167*Assumptions!$B$17</f>
        <v>0</v>
      </c>
      <c r="R167">
        <f>HLOOKUP(B167,Assumptions!$A$26:$D$27,2,TRUE)</f>
        <v>0</v>
      </c>
      <c r="S167">
        <f t="shared" si="39"/>
        <v>0</v>
      </c>
      <c r="T167">
        <f t="shared" si="35"/>
        <v>0.58333333333333215</v>
      </c>
      <c r="U167">
        <f>IF(B167&gt;$K$2,0,IF(T168=0,0,(1-T168)*Assumptions!$B$11/$E$2*(1-Assumptions!$B$30)))</f>
        <v>0</v>
      </c>
      <c r="V167">
        <f>(N167-O167)*(1-Assumptions!$B$30)-Q167+U166*M166</f>
        <v>0</v>
      </c>
      <c r="W167">
        <f>W166*(1+Assumptions!$B$36)^(1/12)</f>
        <v>1.1380932804332768</v>
      </c>
      <c r="X167" s="19">
        <f>IF(B167&gt;$K$2,0,W166*Assumptions!$B$32/12*M166+V167*Assumptions!$B$34/12)</f>
        <v>0</v>
      </c>
      <c r="Y167" s="20">
        <f>1/(1+HLOOKUP(YEAR(A167),Assumptions!$A$41:$AL$43,3,TRUE))^(1/12)</f>
        <v>0.9985504179392577</v>
      </c>
      <c r="Z167">
        <f t="shared" si="36"/>
        <v>0</v>
      </c>
      <c r="AA167">
        <f t="shared" si="40"/>
        <v>0</v>
      </c>
    </row>
    <row r="168" spans="1:27" x14ac:dyDescent="0.2">
      <c r="A168" s="2">
        <f t="shared" si="41"/>
        <v>47879</v>
      </c>
      <c r="B168">
        <f t="shared" si="37"/>
        <v>249</v>
      </c>
      <c r="C168">
        <f t="shared" si="29"/>
        <v>20.666666666666668</v>
      </c>
      <c r="D168">
        <f t="shared" si="30"/>
        <v>0</v>
      </c>
      <c r="E168">
        <f t="shared" si="31"/>
        <v>75</v>
      </c>
      <c r="F168">
        <f>IF(C168&gt;=$J$2,0,VLOOKUP($E168,'Mortality Table'!$A$3:$C$128,2+G$2,FALSE))</f>
        <v>0</v>
      </c>
      <c r="G168">
        <f>F168*Assumptions!$B$1</f>
        <v>0</v>
      </c>
      <c r="H168">
        <f t="shared" si="32"/>
        <v>0</v>
      </c>
      <c r="I168">
        <f>HLOOKUP(C168,Assumptions!$A$6:$J$7,2,TRUE)</f>
        <v>2.6499999999999999E-2</v>
      </c>
      <c r="J168" s="22">
        <f t="shared" si="28"/>
        <v>0</v>
      </c>
      <c r="K168" s="22">
        <f t="shared" si="33"/>
        <v>0</v>
      </c>
      <c r="L168">
        <f t="shared" si="38"/>
        <v>0</v>
      </c>
      <c r="M168" s="22">
        <f t="shared" si="34"/>
        <v>0</v>
      </c>
      <c r="N168">
        <f>M167*Assumptions!$B$11/$E$2*J168</f>
        <v>0</v>
      </c>
      <c r="O168">
        <f>M167*Assumptions!$B$13/$E$2*J168</f>
        <v>0</v>
      </c>
      <c r="P168">
        <f>H168*Assumptions!$B$15</f>
        <v>0</v>
      </c>
      <c r="Q168">
        <f>O168*Assumptions!$B$17</f>
        <v>0</v>
      </c>
      <c r="R168">
        <f>HLOOKUP(B168,Assumptions!$A$26:$D$27,2,TRUE)</f>
        <v>0</v>
      </c>
      <c r="S168">
        <f t="shared" si="39"/>
        <v>0</v>
      </c>
      <c r="T168">
        <f t="shared" si="35"/>
        <v>0.66666666666666785</v>
      </c>
      <c r="U168">
        <f>IF(B168&gt;$K$2,0,IF(T169=0,0,(1-T169)*Assumptions!$B$11/$E$2*(1-Assumptions!$B$30)))</f>
        <v>0</v>
      </c>
      <c r="V168">
        <f>(N168-O168)*(1-Assumptions!$B$30)-Q168+U167*M167</f>
        <v>0</v>
      </c>
      <c r="W168">
        <f>W167*(1+Assumptions!$B$36)^(1/12)</f>
        <v>1.1390373721870775</v>
      </c>
      <c r="X168" s="19">
        <f>IF(B168&gt;$K$2,0,W167*Assumptions!$B$32/12*M167+V168*Assumptions!$B$34/12)</f>
        <v>0</v>
      </c>
      <c r="Y168" s="20">
        <f>1/(1+HLOOKUP(YEAR(A168),Assumptions!$A$41:$AL$43,3,TRUE))^(1/12)</f>
        <v>0.9984881294796899</v>
      </c>
      <c r="Z168">
        <f t="shared" si="36"/>
        <v>0</v>
      </c>
      <c r="AA168">
        <f t="shared" si="40"/>
        <v>0</v>
      </c>
    </row>
    <row r="169" spans="1:27" x14ac:dyDescent="0.2">
      <c r="A169" s="2">
        <f t="shared" si="41"/>
        <v>47907</v>
      </c>
      <c r="B169">
        <f t="shared" si="37"/>
        <v>250</v>
      </c>
      <c r="C169">
        <f t="shared" si="29"/>
        <v>20.75</v>
      </c>
      <c r="D169">
        <f t="shared" si="30"/>
        <v>0</v>
      </c>
      <c r="E169">
        <f t="shared" si="31"/>
        <v>75</v>
      </c>
      <c r="F169">
        <f>IF(C169&gt;=$J$2,0,VLOOKUP($E169,'Mortality Table'!$A$3:$C$128,2+G$2,FALSE))</f>
        <v>0</v>
      </c>
      <c r="G169">
        <f>F169*Assumptions!$B$1</f>
        <v>0</v>
      </c>
      <c r="H169">
        <f t="shared" si="32"/>
        <v>0</v>
      </c>
      <c r="I169">
        <f>HLOOKUP(C169,Assumptions!$A$6:$J$7,2,TRUE)</f>
        <v>2.6499999999999999E-2</v>
      </c>
      <c r="J169" s="22">
        <f t="shared" si="28"/>
        <v>0</v>
      </c>
      <c r="K169" s="22">
        <f t="shared" si="33"/>
        <v>0</v>
      </c>
      <c r="L169">
        <f t="shared" si="38"/>
        <v>0</v>
      </c>
      <c r="M169" s="22">
        <f t="shared" si="34"/>
        <v>0</v>
      </c>
      <c r="N169">
        <f>M168*Assumptions!$B$11/$E$2*J169</f>
        <v>0</v>
      </c>
      <c r="O169">
        <f>M168*Assumptions!$B$13/$E$2*J169</f>
        <v>0</v>
      </c>
      <c r="P169">
        <f>H169*Assumptions!$B$15</f>
        <v>0</v>
      </c>
      <c r="Q169">
        <f>O169*Assumptions!$B$17</f>
        <v>0</v>
      </c>
      <c r="R169">
        <f>HLOOKUP(B169,Assumptions!$A$26:$D$27,2,TRUE)</f>
        <v>0</v>
      </c>
      <c r="S169">
        <f t="shared" si="39"/>
        <v>0</v>
      </c>
      <c r="T169">
        <f t="shared" si="35"/>
        <v>0.75</v>
      </c>
      <c r="U169">
        <f>IF(B169&gt;$K$2,0,IF(T170=0,0,(1-T170)*Assumptions!$B$11/$E$2*(1-Assumptions!$B$30)))</f>
        <v>0</v>
      </c>
      <c r="V169">
        <f>(N169-O169)*(1-Assumptions!$B$30)-Q169+U168*M168</f>
        <v>0</v>
      </c>
      <c r="W169">
        <f>W168*(1+Assumptions!$B$36)^(1/12)</f>
        <v>1.1399822471009713</v>
      </c>
      <c r="X169" s="19">
        <f>IF(B169&gt;$K$2,0,W168*Assumptions!$B$32/12*M168+V169*Assumptions!$B$34/12)</f>
        <v>0</v>
      </c>
      <c r="Y169" s="20">
        <f>1/(1+HLOOKUP(YEAR(A169),Assumptions!$A$41:$AL$43,3,TRUE))^(1/12)</f>
        <v>0.9984881294796899</v>
      </c>
      <c r="Z169">
        <f t="shared" si="36"/>
        <v>0</v>
      </c>
      <c r="AA169">
        <f t="shared" si="40"/>
        <v>0</v>
      </c>
    </row>
    <row r="170" spans="1:27" x14ac:dyDescent="0.2">
      <c r="A170" s="2">
        <f t="shared" si="41"/>
        <v>47938</v>
      </c>
      <c r="B170">
        <f t="shared" si="37"/>
        <v>251</v>
      </c>
      <c r="C170">
        <f t="shared" si="29"/>
        <v>20.833333333333332</v>
      </c>
      <c r="D170">
        <f t="shared" si="30"/>
        <v>0</v>
      </c>
      <c r="E170">
        <f t="shared" si="31"/>
        <v>75</v>
      </c>
      <c r="F170">
        <f>IF(C170&gt;=$J$2,0,VLOOKUP($E170,'Mortality Table'!$A$3:$C$128,2+G$2,FALSE))</f>
        <v>0</v>
      </c>
      <c r="G170">
        <f>F170*Assumptions!$B$1</f>
        <v>0</v>
      </c>
      <c r="H170">
        <f t="shared" si="32"/>
        <v>0</v>
      </c>
      <c r="I170">
        <f>HLOOKUP(C170,Assumptions!$A$6:$J$7,2,TRUE)</f>
        <v>2.6499999999999999E-2</v>
      </c>
      <c r="J170" s="22">
        <f t="shared" si="28"/>
        <v>0</v>
      </c>
      <c r="K170" s="22">
        <f t="shared" si="33"/>
        <v>0</v>
      </c>
      <c r="L170">
        <f t="shared" si="38"/>
        <v>0</v>
      </c>
      <c r="M170" s="22">
        <f t="shared" si="34"/>
        <v>0</v>
      </c>
      <c r="N170">
        <f>M169*Assumptions!$B$11/$E$2*J170</f>
        <v>0</v>
      </c>
      <c r="O170">
        <f>M169*Assumptions!$B$13/$E$2*J170</f>
        <v>0</v>
      </c>
      <c r="P170">
        <f>H170*Assumptions!$B$15</f>
        <v>0</v>
      </c>
      <c r="Q170">
        <f>O170*Assumptions!$B$17</f>
        <v>0</v>
      </c>
      <c r="R170">
        <f>HLOOKUP(B170,Assumptions!$A$26:$D$27,2,TRUE)</f>
        <v>0</v>
      </c>
      <c r="S170">
        <f t="shared" si="39"/>
        <v>0</v>
      </c>
      <c r="T170">
        <f t="shared" si="35"/>
        <v>0.83333333333333215</v>
      </c>
      <c r="U170">
        <f>IF(B170&gt;$K$2,0,IF(T171=0,0,(1-T171)*Assumptions!$B$11/$E$2*(1-Assumptions!$B$30)))</f>
        <v>0</v>
      </c>
      <c r="V170">
        <f>(N170-O170)*(1-Assumptions!$B$30)-Q170+U169*M169</f>
        <v>0</v>
      </c>
      <c r="W170">
        <f>W169*(1+Assumptions!$B$36)^(1/12)</f>
        <v>1.1409279058246196</v>
      </c>
      <c r="X170" s="19">
        <f>IF(B170&gt;$K$2,0,W169*Assumptions!$B$32/12*M169+V170*Assumptions!$B$34/12)</f>
        <v>0</v>
      </c>
      <c r="Y170" s="20">
        <f>1/(1+HLOOKUP(YEAR(A170),Assumptions!$A$41:$AL$43,3,TRUE))^(1/12)</f>
        <v>0.9984881294796899</v>
      </c>
      <c r="Z170">
        <f t="shared" si="36"/>
        <v>0</v>
      </c>
      <c r="AA170">
        <f t="shared" si="40"/>
        <v>0</v>
      </c>
    </row>
    <row r="171" spans="1:27" x14ac:dyDescent="0.2">
      <c r="A171" s="2">
        <f t="shared" si="41"/>
        <v>47968</v>
      </c>
      <c r="B171">
        <f t="shared" si="37"/>
        <v>252</v>
      </c>
      <c r="C171">
        <f t="shared" si="29"/>
        <v>20.916666666666668</v>
      </c>
      <c r="D171">
        <f t="shared" si="30"/>
        <v>0</v>
      </c>
      <c r="E171">
        <f t="shared" si="31"/>
        <v>75</v>
      </c>
      <c r="F171">
        <f>IF(C171&gt;=$J$2,0,VLOOKUP($E171,'Mortality Table'!$A$3:$C$128,2+G$2,FALSE))</f>
        <v>0</v>
      </c>
      <c r="G171">
        <f>F171*Assumptions!$B$1</f>
        <v>0</v>
      </c>
      <c r="H171">
        <f t="shared" si="32"/>
        <v>0</v>
      </c>
      <c r="I171">
        <f>HLOOKUP(C171,Assumptions!$A$6:$J$7,2,TRUE)</f>
        <v>2.6499999999999999E-2</v>
      </c>
      <c r="J171" s="22">
        <f t="shared" si="28"/>
        <v>0</v>
      </c>
      <c r="K171" s="22">
        <f t="shared" si="33"/>
        <v>0</v>
      </c>
      <c r="L171">
        <f t="shared" si="38"/>
        <v>0</v>
      </c>
      <c r="M171" s="22">
        <f t="shared" si="34"/>
        <v>0</v>
      </c>
      <c r="N171">
        <f>M170*Assumptions!$B$11/$E$2*J171</f>
        <v>0</v>
      </c>
      <c r="O171">
        <f>M170*Assumptions!$B$13/$E$2*J171</f>
        <v>0</v>
      </c>
      <c r="P171">
        <f>H171*Assumptions!$B$15</f>
        <v>0</v>
      </c>
      <c r="Q171">
        <f>O171*Assumptions!$B$17</f>
        <v>0</v>
      </c>
      <c r="R171">
        <f>HLOOKUP(B171,Assumptions!$A$26:$D$27,2,TRUE)</f>
        <v>0</v>
      </c>
      <c r="S171">
        <f t="shared" si="39"/>
        <v>0</v>
      </c>
      <c r="T171">
        <f t="shared" si="35"/>
        <v>0.91666666666666785</v>
      </c>
      <c r="U171">
        <f>IF(B171&gt;$K$2,0,IF(T172=0,0,(1-T172)*Assumptions!$B$11/$E$2*(1-Assumptions!$B$30)))</f>
        <v>0</v>
      </c>
      <c r="V171">
        <f>(N171-O171)*(1-Assumptions!$B$30)-Q171+U170*M170</f>
        <v>0</v>
      </c>
      <c r="W171">
        <f>W170*(1+Assumptions!$B$36)^(1/12)</f>
        <v>1.1418743490082222</v>
      </c>
      <c r="X171" s="19">
        <f>IF(B171&gt;$K$2,0,W170*Assumptions!$B$32/12*M170+V171*Assumptions!$B$34/12)</f>
        <v>0</v>
      </c>
      <c r="Y171" s="20">
        <f>1/(1+HLOOKUP(YEAR(A171),Assumptions!$A$41:$AL$43,3,TRUE))^(1/12)</f>
        <v>0.9984881294796899</v>
      </c>
      <c r="Z171">
        <f t="shared" si="36"/>
        <v>0</v>
      </c>
      <c r="AA171">
        <f t="shared" si="40"/>
        <v>0</v>
      </c>
    </row>
    <row r="172" spans="1:27" x14ac:dyDescent="0.2">
      <c r="A172" s="2">
        <f t="shared" si="41"/>
        <v>47999</v>
      </c>
      <c r="B172">
        <f t="shared" si="37"/>
        <v>253</v>
      </c>
      <c r="C172">
        <f t="shared" si="29"/>
        <v>21</v>
      </c>
      <c r="D172">
        <f t="shared" si="30"/>
        <v>1</v>
      </c>
      <c r="E172">
        <f t="shared" si="31"/>
        <v>76</v>
      </c>
      <c r="F172">
        <f>IF(C172&gt;=$J$2,0,VLOOKUP($E172,'Mortality Table'!$A$3:$C$128,2+G$2,FALSE))</f>
        <v>0</v>
      </c>
      <c r="G172">
        <f>F172*Assumptions!$B$1</f>
        <v>0</v>
      </c>
      <c r="H172">
        <f t="shared" si="32"/>
        <v>0</v>
      </c>
      <c r="I172">
        <f>HLOOKUP(C172,Assumptions!$A$6:$J$7,2,TRUE)</f>
        <v>2.6499999999999999E-2</v>
      </c>
      <c r="J172" s="22">
        <f t="shared" si="28"/>
        <v>0</v>
      </c>
      <c r="K172" s="22">
        <f t="shared" si="33"/>
        <v>0</v>
      </c>
      <c r="L172">
        <f t="shared" si="38"/>
        <v>0</v>
      </c>
      <c r="M172" s="22">
        <f t="shared" si="34"/>
        <v>0</v>
      </c>
      <c r="N172">
        <f>M171*Assumptions!$B$11/$E$2*J172</f>
        <v>0</v>
      </c>
      <c r="O172">
        <f>M171*Assumptions!$B$13/$E$2*J172</f>
        <v>0</v>
      </c>
      <c r="P172">
        <f>H172*Assumptions!$B$15</f>
        <v>0</v>
      </c>
      <c r="Q172">
        <f>O172*Assumptions!$B$17</f>
        <v>0</v>
      </c>
      <c r="R172">
        <f>HLOOKUP(B172,Assumptions!$A$26:$D$27,2,TRUE)</f>
        <v>0</v>
      </c>
      <c r="S172">
        <f t="shared" si="39"/>
        <v>0</v>
      </c>
      <c r="T172">
        <f t="shared" si="35"/>
        <v>0</v>
      </c>
      <c r="U172">
        <f>IF(B172&gt;$K$2,0,IF(T173=0,0,(1-T173)*Assumptions!$B$11/$E$2*(1-Assumptions!$B$30)))</f>
        <v>0</v>
      </c>
      <c r="V172">
        <f>(N172-O172)*(1-Assumptions!$B$30)-Q172+U171*M171</f>
        <v>0</v>
      </c>
      <c r="W172">
        <f>W171*(1+Assumptions!$B$36)^(1/12)</f>
        <v>1.1428215773025188</v>
      </c>
      <c r="X172" s="19">
        <f>IF(B172&gt;$K$2,0,W171*Assumptions!$B$32/12*M171+V172*Assumptions!$B$34/12)</f>
        <v>0</v>
      </c>
      <c r="Y172" s="20">
        <f>1/(1+HLOOKUP(YEAR(A172),Assumptions!$A$41:$AL$43,3,TRUE))^(1/12)</f>
        <v>0.9984881294796899</v>
      </c>
      <c r="Z172">
        <f t="shared" si="36"/>
        <v>0</v>
      </c>
      <c r="AA172">
        <f t="shared" si="40"/>
        <v>0</v>
      </c>
    </row>
    <row r="173" spans="1:27" x14ac:dyDescent="0.2">
      <c r="A173" s="2">
        <f t="shared" si="41"/>
        <v>48029</v>
      </c>
      <c r="B173">
        <f t="shared" si="37"/>
        <v>254</v>
      </c>
      <c r="C173">
        <f t="shared" si="29"/>
        <v>21.083333333333332</v>
      </c>
      <c r="D173">
        <f t="shared" si="30"/>
        <v>0</v>
      </c>
      <c r="E173">
        <f t="shared" si="31"/>
        <v>76</v>
      </c>
      <c r="F173">
        <f>IF(C173&gt;=$J$2,0,VLOOKUP($E173,'Mortality Table'!$A$3:$C$128,2+G$2,FALSE))</f>
        <v>0</v>
      </c>
      <c r="G173">
        <f>F173*Assumptions!$B$1</f>
        <v>0</v>
      </c>
      <c r="H173">
        <f t="shared" si="32"/>
        <v>0</v>
      </c>
      <c r="I173">
        <f>HLOOKUP(C173,Assumptions!$A$6:$J$7,2,TRUE)</f>
        <v>2.6499999999999999E-2</v>
      </c>
      <c r="J173" s="22">
        <f t="shared" si="28"/>
        <v>0</v>
      </c>
      <c r="K173" s="22">
        <f t="shared" si="33"/>
        <v>0</v>
      </c>
      <c r="L173">
        <f t="shared" si="38"/>
        <v>0</v>
      </c>
      <c r="M173" s="22">
        <f t="shared" si="34"/>
        <v>0</v>
      </c>
      <c r="N173">
        <f>M172*Assumptions!$B$11/$E$2*J173</f>
        <v>0</v>
      </c>
      <c r="O173">
        <f>M172*Assumptions!$B$13/$E$2*J173</f>
        <v>0</v>
      </c>
      <c r="P173">
        <f>H173*Assumptions!$B$15</f>
        <v>0</v>
      </c>
      <c r="Q173">
        <f>O173*Assumptions!$B$17</f>
        <v>0</v>
      </c>
      <c r="R173">
        <f>HLOOKUP(B173,Assumptions!$A$26:$D$27,2,TRUE)</f>
        <v>0</v>
      </c>
      <c r="S173">
        <f t="shared" si="39"/>
        <v>0</v>
      </c>
      <c r="T173">
        <f t="shared" si="35"/>
        <v>8.3333333333332149E-2</v>
      </c>
      <c r="U173">
        <f>IF(B173&gt;$K$2,0,IF(T174=0,0,(1-T174)*Assumptions!$B$11/$E$2*(1-Assumptions!$B$30)))</f>
        <v>0</v>
      </c>
      <c r="V173">
        <f>(N173-O173)*(1-Assumptions!$B$30)-Q173+U172*M172</f>
        <v>0</v>
      </c>
      <c r="W173">
        <f>W172*(1+Assumptions!$B$36)^(1/12)</f>
        <v>1.1437695913587884</v>
      </c>
      <c r="X173" s="19">
        <f>IF(B173&gt;$K$2,0,W172*Assumptions!$B$32/12*M172+V173*Assumptions!$B$34/12)</f>
        <v>0</v>
      </c>
      <c r="Y173" s="20">
        <f>1/(1+HLOOKUP(YEAR(A173),Assumptions!$A$41:$AL$43,3,TRUE))^(1/12)</f>
        <v>0.9984881294796899</v>
      </c>
      <c r="Z173">
        <f t="shared" si="36"/>
        <v>0</v>
      </c>
      <c r="AA173">
        <f t="shared" si="40"/>
        <v>0</v>
      </c>
    </row>
    <row r="174" spans="1:27" x14ac:dyDescent="0.2">
      <c r="A174" s="2">
        <f t="shared" si="41"/>
        <v>48060</v>
      </c>
      <c r="B174">
        <f t="shared" si="37"/>
        <v>255</v>
      </c>
      <c r="C174">
        <f t="shared" si="29"/>
        <v>21.166666666666668</v>
      </c>
      <c r="D174">
        <f t="shared" si="30"/>
        <v>0</v>
      </c>
      <c r="E174">
        <f t="shared" si="31"/>
        <v>76</v>
      </c>
      <c r="F174">
        <f>IF(C174&gt;=$J$2,0,VLOOKUP($E174,'Mortality Table'!$A$3:$C$128,2+G$2,FALSE))</f>
        <v>0</v>
      </c>
      <c r="G174">
        <f>F174*Assumptions!$B$1</f>
        <v>0</v>
      </c>
      <c r="H174">
        <f t="shared" si="32"/>
        <v>0</v>
      </c>
      <c r="I174">
        <f>HLOOKUP(C174,Assumptions!$A$6:$J$7,2,TRUE)</f>
        <v>2.6499999999999999E-2</v>
      </c>
      <c r="J174" s="22">
        <f t="shared" si="28"/>
        <v>0</v>
      </c>
      <c r="K174" s="22">
        <f t="shared" si="33"/>
        <v>0</v>
      </c>
      <c r="L174">
        <f t="shared" si="38"/>
        <v>0</v>
      </c>
      <c r="M174" s="22">
        <f t="shared" si="34"/>
        <v>0</v>
      </c>
      <c r="N174">
        <f>M173*Assumptions!$B$11/$E$2*J174</f>
        <v>0</v>
      </c>
      <c r="O174">
        <f>M173*Assumptions!$B$13/$E$2*J174</f>
        <v>0</v>
      </c>
      <c r="P174">
        <f>H174*Assumptions!$B$15</f>
        <v>0</v>
      </c>
      <c r="Q174">
        <f>O174*Assumptions!$B$17</f>
        <v>0</v>
      </c>
      <c r="R174">
        <f>HLOOKUP(B174,Assumptions!$A$26:$D$27,2,TRUE)</f>
        <v>0</v>
      </c>
      <c r="S174">
        <f t="shared" si="39"/>
        <v>0</v>
      </c>
      <c r="T174">
        <f t="shared" si="35"/>
        <v>0.16666666666666785</v>
      </c>
      <c r="U174">
        <f>IF(B174&gt;$K$2,0,IF(T175=0,0,(1-T175)*Assumptions!$B$11/$E$2*(1-Assumptions!$B$30)))</f>
        <v>0</v>
      </c>
      <c r="V174">
        <f>(N174-O174)*(1-Assumptions!$B$30)-Q174+U173*M173</f>
        <v>0</v>
      </c>
      <c r="W174">
        <f>W173*(1+Assumptions!$B$36)^(1/12)</f>
        <v>1.1447183918288506</v>
      </c>
      <c r="X174" s="19">
        <f>IF(B174&gt;$K$2,0,W173*Assumptions!$B$32/12*M173+V174*Assumptions!$B$34/12)</f>
        <v>0</v>
      </c>
      <c r="Y174" s="20">
        <f>1/(1+HLOOKUP(YEAR(A174),Assumptions!$A$41:$AL$43,3,TRUE))^(1/12)</f>
        <v>0.9984881294796899</v>
      </c>
      <c r="Z174">
        <f t="shared" si="36"/>
        <v>0</v>
      </c>
      <c r="AA174">
        <f t="shared" si="40"/>
        <v>0</v>
      </c>
    </row>
    <row r="175" spans="1:27" x14ac:dyDescent="0.2">
      <c r="A175" s="2">
        <f t="shared" si="41"/>
        <v>48091</v>
      </c>
      <c r="B175">
        <f t="shared" si="37"/>
        <v>256</v>
      </c>
      <c r="C175">
        <f t="shared" si="29"/>
        <v>21.25</v>
      </c>
      <c r="D175">
        <f t="shared" si="30"/>
        <v>0</v>
      </c>
      <c r="E175">
        <f t="shared" si="31"/>
        <v>76</v>
      </c>
      <c r="F175">
        <f>IF(C175&gt;=$J$2,0,VLOOKUP($E175,'Mortality Table'!$A$3:$C$128,2+G$2,FALSE))</f>
        <v>0</v>
      </c>
      <c r="G175">
        <f>F175*Assumptions!$B$1</f>
        <v>0</v>
      </c>
      <c r="H175">
        <f t="shared" si="32"/>
        <v>0</v>
      </c>
      <c r="I175">
        <f>HLOOKUP(C175,Assumptions!$A$6:$J$7,2,TRUE)</f>
        <v>2.6499999999999999E-2</v>
      </c>
      <c r="J175" s="22">
        <f t="shared" si="28"/>
        <v>0</v>
      </c>
      <c r="K175" s="22">
        <f t="shared" si="33"/>
        <v>0</v>
      </c>
      <c r="L175">
        <f t="shared" si="38"/>
        <v>0</v>
      </c>
      <c r="M175" s="22">
        <f t="shared" si="34"/>
        <v>0</v>
      </c>
      <c r="N175">
        <f>M174*Assumptions!$B$11/$E$2*J175</f>
        <v>0</v>
      </c>
      <c r="O175">
        <f>M174*Assumptions!$B$13/$E$2*J175</f>
        <v>0</v>
      </c>
      <c r="P175">
        <f>H175*Assumptions!$B$15</f>
        <v>0</v>
      </c>
      <c r="Q175">
        <f>O175*Assumptions!$B$17</f>
        <v>0</v>
      </c>
      <c r="R175">
        <f>HLOOKUP(B175,Assumptions!$A$26:$D$27,2,TRUE)</f>
        <v>0</v>
      </c>
      <c r="S175">
        <f t="shared" si="39"/>
        <v>0</v>
      </c>
      <c r="T175">
        <f t="shared" si="35"/>
        <v>0.25</v>
      </c>
      <c r="U175">
        <f>IF(B175&gt;$K$2,0,IF(T176=0,0,(1-T176)*Assumptions!$B$11/$E$2*(1-Assumptions!$B$30)))</f>
        <v>0</v>
      </c>
      <c r="V175">
        <f>(N175-O175)*(1-Assumptions!$B$30)-Q175+U174*M174</f>
        <v>0</v>
      </c>
      <c r="W175">
        <f>W174*(1+Assumptions!$B$36)^(1/12)</f>
        <v>1.1456679793650657</v>
      </c>
      <c r="X175" s="19">
        <f>IF(B175&gt;$K$2,0,W174*Assumptions!$B$32/12*M174+V175*Assumptions!$B$34/12)</f>
        <v>0</v>
      </c>
      <c r="Y175" s="20">
        <f>1/(1+HLOOKUP(YEAR(A175),Assumptions!$A$41:$AL$43,3,TRUE))^(1/12)</f>
        <v>0.9984881294796899</v>
      </c>
      <c r="Z175">
        <f t="shared" si="36"/>
        <v>0</v>
      </c>
      <c r="AA175">
        <f t="shared" si="40"/>
        <v>0</v>
      </c>
    </row>
    <row r="176" spans="1:27" x14ac:dyDescent="0.2">
      <c r="A176" s="2">
        <f t="shared" si="41"/>
        <v>48121</v>
      </c>
      <c r="B176">
        <f t="shared" si="37"/>
        <v>257</v>
      </c>
      <c r="C176">
        <f t="shared" si="29"/>
        <v>21.333333333333332</v>
      </c>
      <c r="D176">
        <f t="shared" si="30"/>
        <v>0</v>
      </c>
      <c r="E176">
        <f t="shared" si="31"/>
        <v>76</v>
      </c>
      <c r="F176">
        <f>IF(C176&gt;=$J$2,0,VLOOKUP($E176,'Mortality Table'!$A$3:$C$128,2+G$2,FALSE))</f>
        <v>0</v>
      </c>
      <c r="G176">
        <f>F176*Assumptions!$B$1</f>
        <v>0</v>
      </c>
      <c r="H176">
        <f t="shared" si="32"/>
        <v>0</v>
      </c>
      <c r="I176">
        <f>HLOOKUP(C176,Assumptions!$A$6:$J$7,2,TRUE)</f>
        <v>2.6499999999999999E-2</v>
      </c>
      <c r="J176" s="22">
        <f t="shared" si="28"/>
        <v>0</v>
      </c>
      <c r="K176" s="22">
        <f t="shared" si="33"/>
        <v>0</v>
      </c>
      <c r="L176">
        <f t="shared" si="38"/>
        <v>0</v>
      </c>
      <c r="M176" s="22">
        <f t="shared" si="34"/>
        <v>0</v>
      </c>
      <c r="N176">
        <f>M175*Assumptions!$B$11/$E$2*J176</f>
        <v>0</v>
      </c>
      <c r="O176">
        <f>M175*Assumptions!$B$13/$E$2*J176</f>
        <v>0</v>
      </c>
      <c r="P176">
        <f>H176*Assumptions!$B$15</f>
        <v>0</v>
      </c>
      <c r="Q176">
        <f>O176*Assumptions!$B$17</f>
        <v>0</v>
      </c>
      <c r="R176">
        <f>HLOOKUP(B176,Assumptions!$A$26:$D$27,2,TRUE)</f>
        <v>0</v>
      </c>
      <c r="S176">
        <f t="shared" si="39"/>
        <v>0</v>
      </c>
      <c r="T176">
        <f t="shared" si="35"/>
        <v>0.33333333333333215</v>
      </c>
      <c r="U176">
        <f>IF(B176&gt;$K$2,0,IF(T177=0,0,(1-T177)*Assumptions!$B$11/$E$2*(1-Assumptions!$B$30)))</f>
        <v>0</v>
      </c>
      <c r="V176">
        <f>(N176-O176)*(1-Assumptions!$B$30)-Q176+U175*M175</f>
        <v>0</v>
      </c>
      <c r="W176">
        <f>W175*(1+Assumptions!$B$36)^(1/12)</f>
        <v>1.146618354620335</v>
      </c>
      <c r="X176" s="19">
        <f>IF(B176&gt;$K$2,0,W175*Assumptions!$B$32/12*M175+V176*Assumptions!$B$34/12)</f>
        <v>0</v>
      </c>
      <c r="Y176" s="20">
        <f>1/(1+HLOOKUP(YEAR(A176),Assumptions!$A$41:$AL$43,3,TRUE))^(1/12)</f>
        <v>0.9984881294796899</v>
      </c>
      <c r="Z176">
        <f t="shared" si="36"/>
        <v>0</v>
      </c>
      <c r="AA176">
        <f t="shared" si="40"/>
        <v>0</v>
      </c>
    </row>
    <row r="177" spans="1:27" x14ac:dyDescent="0.2">
      <c r="A177" s="2">
        <f t="shared" si="41"/>
        <v>48152</v>
      </c>
      <c r="B177">
        <f t="shared" si="37"/>
        <v>258</v>
      </c>
      <c r="C177">
        <f t="shared" si="29"/>
        <v>21.416666666666668</v>
      </c>
      <c r="D177">
        <f t="shared" si="30"/>
        <v>0</v>
      </c>
      <c r="E177">
        <f t="shared" si="31"/>
        <v>76</v>
      </c>
      <c r="F177">
        <f>IF(C177&gt;=$J$2,0,VLOOKUP($E177,'Mortality Table'!$A$3:$C$128,2+G$2,FALSE))</f>
        <v>0</v>
      </c>
      <c r="G177">
        <f>F177*Assumptions!$B$1</f>
        <v>0</v>
      </c>
      <c r="H177">
        <f t="shared" si="32"/>
        <v>0</v>
      </c>
      <c r="I177">
        <f>HLOOKUP(C177,Assumptions!$A$6:$J$7,2,TRUE)</f>
        <v>2.6499999999999999E-2</v>
      </c>
      <c r="J177" s="22">
        <f t="shared" si="28"/>
        <v>0</v>
      </c>
      <c r="K177" s="22">
        <f t="shared" si="33"/>
        <v>0</v>
      </c>
      <c r="L177">
        <f t="shared" si="38"/>
        <v>0</v>
      </c>
      <c r="M177" s="22">
        <f t="shared" si="34"/>
        <v>0</v>
      </c>
      <c r="N177">
        <f>M176*Assumptions!$B$11/$E$2*J177</f>
        <v>0</v>
      </c>
      <c r="O177">
        <f>M176*Assumptions!$B$13/$E$2*J177</f>
        <v>0</v>
      </c>
      <c r="P177">
        <f>H177*Assumptions!$B$15</f>
        <v>0</v>
      </c>
      <c r="Q177">
        <f>O177*Assumptions!$B$17</f>
        <v>0</v>
      </c>
      <c r="R177">
        <f>HLOOKUP(B177,Assumptions!$A$26:$D$27,2,TRUE)</f>
        <v>0</v>
      </c>
      <c r="S177">
        <f t="shared" si="39"/>
        <v>0</v>
      </c>
      <c r="T177">
        <f t="shared" si="35"/>
        <v>0.41666666666666785</v>
      </c>
      <c r="U177">
        <f>IF(B177&gt;$K$2,0,IF(T178=0,0,(1-T178)*Assumptions!$B$11/$E$2*(1-Assumptions!$B$30)))</f>
        <v>0</v>
      </c>
      <c r="V177">
        <f>(N177-O177)*(1-Assumptions!$B$30)-Q177+U176*M176</f>
        <v>0</v>
      </c>
      <c r="W177">
        <f>W176*(1+Assumptions!$B$36)^(1/12)</f>
        <v>1.1475695182481014</v>
      </c>
      <c r="X177" s="19">
        <f>IF(B177&gt;$K$2,0,W176*Assumptions!$B$32/12*M176+V177*Assumptions!$B$34/12)</f>
        <v>0</v>
      </c>
      <c r="Y177" s="20">
        <f>1/(1+HLOOKUP(YEAR(A177),Assumptions!$A$41:$AL$43,3,TRUE))^(1/12)</f>
        <v>0.9984881294796899</v>
      </c>
      <c r="Z177">
        <f t="shared" si="36"/>
        <v>0</v>
      </c>
      <c r="AA177">
        <f t="shared" si="40"/>
        <v>0</v>
      </c>
    </row>
    <row r="178" spans="1:27" x14ac:dyDescent="0.2">
      <c r="A178" s="2">
        <f t="shared" si="41"/>
        <v>48182</v>
      </c>
      <c r="B178">
        <f t="shared" si="37"/>
        <v>259</v>
      </c>
      <c r="C178">
        <f t="shared" si="29"/>
        <v>21.5</v>
      </c>
      <c r="D178">
        <f t="shared" si="30"/>
        <v>0</v>
      </c>
      <c r="E178">
        <f t="shared" si="31"/>
        <v>76</v>
      </c>
      <c r="F178">
        <f>IF(C178&gt;=$J$2,0,VLOOKUP($E178,'Mortality Table'!$A$3:$C$128,2+G$2,FALSE))</f>
        <v>0</v>
      </c>
      <c r="G178">
        <f>F178*Assumptions!$B$1</f>
        <v>0</v>
      </c>
      <c r="H178">
        <f t="shared" si="32"/>
        <v>0</v>
      </c>
      <c r="I178">
        <f>HLOOKUP(C178,Assumptions!$A$6:$J$7,2,TRUE)</f>
        <v>2.6499999999999999E-2</v>
      </c>
      <c r="J178" s="22">
        <f t="shared" si="28"/>
        <v>0</v>
      </c>
      <c r="K178" s="22">
        <f t="shared" si="33"/>
        <v>0</v>
      </c>
      <c r="L178">
        <f t="shared" si="38"/>
        <v>0</v>
      </c>
      <c r="M178" s="22">
        <f t="shared" si="34"/>
        <v>0</v>
      </c>
      <c r="N178">
        <f>M177*Assumptions!$B$11/$E$2*J178</f>
        <v>0</v>
      </c>
      <c r="O178">
        <f>M177*Assumptions!$B$13/$E$2*J178</f>
        <v>0</v>
      </c>
      <c r="P178">
        <f>H178*Assumptions!$B$15</f>
        <v>0</v>
      </c>
      <c r="Q178">
        <f>O178*Assumptions!$B$17</f>
        <v>0</v>
      </c>
      <c r="R178">
        <f>HLOOKUP(B178,Assumptions!$A$26:$D$27,2,TRUE)</f>
        <v>0</v>
      </c>
      <c r="S178">
        <f t="shared" si="39"/>
        <v>0</v>
      </c>
      <c r="T178">
        <f t="shared" si="35"/>
        <v>0.5</v>
      </c>
      <c r="U178">
        <f>IF(B178&gt;$K$2,0,IF(T179=0,0,(1-T179)*Assumptions!$B$11/$E$2*(1-Assumptions!$B$30)))</f>
        <v>0</v>
      </c>
      <c r="V178">
        <f>(N178-O178)*(1-Assumptions!$B$30)-Q178+U177*M177</f>
        <v>0</v>
      </c>
      <c r="W178">
        <f>W177*(1+Assumptions!$B$36)^(1/12)</f>
        <v>1.1485214709023501</v>
      </c>
      <c r="X178" s="19">
        <f>IF(B178&gt;$K$2,0,W177*Assumptions!$B$32/12*M177+V178*Assumptions!$B$34/12)</f>
        <v>0</v>
      </c>
      <c r="Y178" s="20">
        <f>1/(1+HLOOKUP(YEAR(A178),Assumptions!$A$41:$AL$43,3,TRUE))^(1/12)</f>
        <v>0.9984881294796899</v>
      </c>
      <c r="Z178">
        <f t="shared" si="36"/>
        <v>0</v>
      </c>
      <c r="AA178">
        <f t="shared" si="40"/>
        <v>0</v>
      </c>
    </row>
    <row r="179" spans="1:27" x14ac:dyDescent="0.2">
      <c r="A179" s="2">
        <f t="shared" si="41"/>
        <v>48213</v>
      </c>
      <c r="B179">
        <f t="shared" si="37"/>
        <v>260</v>
      </c>
      <c r="C179">
        <f t="shared" si="29"/>
        <v>21.583333333333332</v>
      </c>
      <c r="D179">
        <f t="shared" si="30"/>
        <v>0</v>
      </c>
      <c r="E179">
        <f t="shared" si="31"/>
        <v>76</v>
      </c>
      <c r="F179">
        <f>IF(C179&gt;=$J$2,0,VLOOKUP($E179,'Mortality Table'!$A$3:$C$128,2+G$2,FALSE))</f>
        <v>0</v>
      </c>
      <c r="G179">
        <f>F179*Assumptions!$B$1</f>
        <v>0</v>
      </c>
      <c r="H179">
        <f t="shared" si="32"/>
        <v>0</v>
      </c>
      <c r="I179">
        <f>HLOOKUP(C179,Assumptions!$A$6:$J$7,2,TRUE)</f>
        <v>2.6499999999999999E-2</v>
      </c>
      <c r="J179" s="22">
        <f t="shared" si="28"/>
        <v>0</v>
      </c>
      <c r="K179" s="22">
        <f t="shared" si="33"/>
        <v>0</v>
      </c>
      <c r="L179">
        <f t="shared" si="38"/>
        <v>0</v>
      </c>
      <c r="M179" s="22">
        <f t="shared" si="34"/>
        <v>0</v>
      </c>
      <c r="N179">
        <f>M178*Assumptions!$B$11/$E$2*J179</f>
        <v>0</v>
      </c>
      <c r="O179">
        <f>M178*Assumptions!$B$13/$E$2*J179</f>
        <v>0</v>
      </c>
      <c r="P179">
        <f>H179*Assumptions!$B$15</f>
        <v>0</v>
      </c>
      <c r="Q179">
        <f>O179*Assumptions!$B$17</f>
        <v>0</v>
      </c>
      <c r="R179">
        <f>HLOOKUP(B179,Assumptions!$A$26:$D$27,2,TRUE)</f>
        <v>0</v>
      </c>
      <c r="S179">
        <f t="shared" si="39"/>
        <v>0</v>
      </c>
      <c r="T179">
        <f t="shared" si="35"/>
        <v>0.58333333333333215</v>
      </c>
      <c r="U179">
        <f>IF(B179&gt;$K$2,0,IF(T180=0,0,(1-T180)*Assumptions!$B$11/$E$2*(1-Assumptions!$B$30)))</f>
        <v>0</v>
      </c>
      <c r="V179">
        <f>(N179-O179)*(1-Assumptions!$B$30)-Q179+U178*M178</f>
        <v>0</v>
      </c>
      <c r="W179">
        <f>W178*(1+Assumptions!$B$36)^(1/12)</f>
        <v>1.1494742132376086</v>
      </c>
      <c r="X179" s="19">
        <f>IF(B179&gt;$K$2,0,W178*Assumptions!$B$32/12*M178+V179*Assumptions!$B$34/12)</f>
        <v>0</v>
      </c>
      <c r="Y179" s="20">
        <f>1/(1+HLOOKUP(YEAR(A179),Assumptions!$A$41:$AL$43,3,TRUE))^(1/12)</f>
        <v>0.9984881294796899</v>
      </c>
      <c r="Z179">
        <f t="shared" si="36"/>
        <v>0</v>
      </c>
      <c r="AA179">
        <f t="shared" si="40"/>
        <v>0</v>
      </c>
    </row>
    <row r="180" spans="1:27" x14ac:dyDescent="0.2">
      <c r="A180" s="2">
        <f t="shared" si="41"/>
        <v>48244</v>
      </c>
      <c r="B180">
        <f t="shared" si="37"/>
        <v>261</v>
      </c>
      <c r="C180">
        <f t="shared" si="29"/>
        <v>21.666666666666668</v>
      </c>
      <c r="D180">
        <f t="shared" si="30"/>
        <v>0</v>
      </c>
      <c r="E180">
        <f t="shared" si="31"/>
        <v>76</v>
      </c>
      <c r="F180">
        <f>IF(C180&gt;=$J$2,0,VLOOKUP($E180,'Mortality Table'!$A$3:$C$128,2+G$2,FALSE))</f>
        <v>0</v>
      </c>
      <c r="G180">
        <f>F180*Assumptions!$B$1</f>
        <v>0</v>
      </c>
      <c r="H180">
        <f t="shared" si="32"/>
        <v>0</v>
      </c>
      <c r="I180">
        <f>HLOOKUP(C180,Assumptions!$A$6:$J$7,2,TRUE)</f>
        <v>2.6499999999999999E-2</v>
      </c>
      <c r="J180" s="22">
        <f t="shared" si="28"/>
        <v>0</v>
      </c>
      <c r="K180" s="22">
        <f t="shared" si="33"/>
        <v>0</v>
      </c>
      <c r="L180">
        <f t="shared" si="38"/>
        <v>0</v>
      </c>
      <c r="M180" s="22">
        <f t="shared" si="34"/>
        <v>0</v>
      </c>
      <c r="N180">
        <f>M179*Assumptions!$B$11/$E$2*J180</f>
        <v>0</v>
      </c>
      <c r="O180">
        <f>M179*Assumptions!$B$13/$E$2*J180</f>
        <v>0</v>
      </c>
      <c r="P180">
        <f>H180*Assumptions!$B$15</f>
        <v>0</v>
      </c>
      <c r="Q180">
        <f>O180*Assumptions!$B$17</f>
        <v>0</v>
      </c>
      <c r="R180">
        <f>HLOOKUP(B180,Assumptions!$A$26:$D$27,2,TRUE)</f>
        <v>0</v>
      </c>
      <c r="S180">
        <f t="shared" si="39"/>
        <v>0</v>
      </c>
      <c r="T180">
        <f t="shared" si="35"/>
        <v>0.66666666666666785</v>
      </c>
      <c r="U180">
        <f>IF(B180&gt;$K$2,0,IF(T181=0,0,(1-T181)*Assumptions!$B$11/$E$2*(1-Assumptions!$B$30)))</f>
        <v>0</v>
      </c>
      <c r="V180">
        <f>(N180-O180)*(1-Assumptions!$B$30)-Q180+U179*M179</f>
        <v>0</v>
      </c>
      <c r="W180">
        <f>W179*(1+Assumptions!$B$36)^(1/12)</f>
        <v>1.1504277459089471</v>
      </c>
      <c r="X180" s="19">
        <f>IF(B180&gt;$K$2,0,W179*Assumptions!$B$32/12*M179+V180*Assumptions!$B$34/12)</f>
        <v>0</v>
      </c>
      <c r="Y180" s="20">
        <f>1/(1+HLOOKUP(YEAR(A180),Assumptions!$A$41:$AL$43,3,TRUE))^(1/12)</f>
        <v>0.9983964236411178</v>
      </c>
      <c r="Z180">
        <f t="shared" si="36"/>
        <v>0</v>
      </c>
      <c r="AA180">
        <f t="shared" si="40"/>
        <v>0</v>
      </c>
    </row>
    <row r="181" spans="1:27" x14ac:dyDescent="0.2">
      <c r="A181" s="2">
        <f t="shared" si="41"/>
        <v>48273</v>
      </c>
      <c r="B181">
        <f t="shared" si="37"/>
        <v>262</v>
      </c>
      <c r="C181">
        <f t="shared" si="29"/>
        <v>21.75</v>
      </c>
      <c r="D181">
        <f t="shared" si="30"/>
        <v>0</v>
      </c>
      <c r="E181">
        <f t="shared" si="31"/>
        <v>76</v>
      </c>
      <c r="F181">
        <f>IF(C181&gt;=$J$2,0,VLOOKUP($E181,'Mortality Table'!$A$3:$C$128,2+G$2,FALSE))</f>
        <v>0</v>
      </c>
      <c r="G181">
        <f>F181*Assumptions!$B$1</f>
        <v>0</v>
      </c>
      <c r="H181">
        <f t="shared" si="32"/>
        <v>0</v>
      </c>
      <c r="I181">
        <f>HLOOKUP(C181,Assumptions!$A$6:$J$7,2,TRUE)</f>
        <v>2.6499999999999999E-2</v>
      </c>
      <c r="J181" s="22">
        <f t="shared" si="28"/>
        <v>0</v>
      </c>
      <c r="K181" s="22">
        <f t="shared" si="33"/>
        <v>0</v>
      </c>
      <c r="L181">
        <f t="shared" si="38"/>
        <v>0</v>
      </c>
      <c r="M181" s="22">
        <f t="shared" si="34"/>
        <v>0</v>
      </c>
      <c r="N181">
        <f>M180*Assumptions!$B$11/$E$2*J181</f>
        <v>0</v>
      </c>
      <c r="O181">
        <f>M180*Assumptions!$B$13/$E$2*J181</f>
        <v>0</v>
      </c>
      <c r="P181">
        <f>H181*Assumptions!$B$15</f>
        <v>0</v>
      </c>
      <c r="Q181">
        <f>O181*Assumptions!$B$17</f>
        <v>0</v>
      </c>
      <c r="R181">
        <f>HLOOKUP(B181,Assumptions!$A$26:$D$27,2,TRUE)</f>
        <v>0</v>
      </c>
      <c r="S181">
        <f t="shared" si="39"/>
        <v>0</v>
      </c>
      <c r="T181">
        <f t="shared" si="35"/>
        <v>0.75</v>
      </c>
      <c r="U181">
        <f>IF(B181&gt;$K$2,0,IF(T182=0,0,(1-T182)*Assumptions!$B$11/$E$2*(1-Assumptions!$B$30)))</f>
        <v>0</v>
      </c>
      <c r="V181">
        <f>(N181-O181)*(1-Assumptions!$B$30)-Q181+U180*M180</f>
        <v>0</v>
      </c>
      <c r="W181">
        <f>W180*(1+Assumptions!$B$36)^(1/12)</f>
        <v>1.1513820695719799</v>
      </c>
      <c r="X181" s="19">
        <f>IF(B181&gt;$K$2,0,W180*Assumptions!$B$32/12*M180+V181*Assumptions!$B$34/12)</f>
        <v>0</v>
      </c>
      <c r="Y181" s="20">
        <f>1/(1+HLOOKUP(YEAR(A181),Assumptions!$A$41:$AL$43,3,TRUE))^(1/12)</f>
        <v>0.9983964236411178</v>
      </c>
      <c r="Z181">
        <f t="shared" si="36"/>
        <v>0</v>
      </c>
      <c r="AA181">
        <f t="shared" si="40"/>
        <v>0</v>
      </c>
    </row>
    <row r="182" spans="1:27" x14ac:dyDescent="0.2">
      <c r="A182" s="2">
        <f t="shared" si="41"/>
        <v>48304</v>
      </c>
      <c r="B182">
        <f t="shared" si="37"/>
        <v>263</v>
      </c>
      <c r="C182">
        <f t="shared" si="29"/>
        <v>21.833333333333332</v>
      </c>
      <c r="D182">
        <f t="shared" si="30"/>
        <v>0</v>
      </c>
      <c r="E182">
        <f t="shared" si="31"/>
        <v>76</v>
      </c>
      <c r="F182">
        <f>IF(C182&gt;=$J$2,0,VLOOKUP($E182,'Mortality Table'!$A$3:$C$128,2+G$2,FALSE))</f>
        <v>0</v>
      </c>
      <c r="G182">
        <f>F182*Assumptions!$B$1</f>
        <v>0</v>
      </c>
      <c r="H182">
        <f t="shared" si="32"/>
        <v>0</v>
      </c>
      <c r="I182">
        <f>HLOOKUP(C182,Assumptions!$A$6:$J$7,2,TRUE)</f>
        <v>2.6499999999999999E-2</v>
      </c>
      <c r="J182" s="22">
        <f t="shared" si="28"/>
        <v>0</v>
      </c>
      <c r="K182" s="22">
        <f t="shared" si="33"/>
        <v>0</v>
      </c>
      <c r="L182">
        <f t="shared" si="38"/>
        <v>0</v>
      </c>
      <c r="M182" s="22">
        <f t="shared" si="34"/>
        <v>0</v>
      </c>
      <c r="N182">
        <f>M181*Assumptions!$B$11/$E$2*J182</f>
        <v>0</v>
      </c>
      <c r="O182">
        <f>M181*Assumptions!$B$13/$E$2*J182</f>
        <v>0</v>
      </c>
      <c r="P182">
        <f>H182*Assumptions!$B$15</f>
        <v>0</v>
      </c>
      <c r="Q182">
        <f>O182*Assumptions!$B$17</f>
        <v>0</v>
      </c>
      <c r="R182">
        <f>HLOOKUP(B182,Assumptions!$A$26:$D$27,2,TRUE)</f>
        <v>0</v>
      </c>
      <c r="S182">
        <f t="shared" si="39"/>
        <v>0</v>
      </c>
      <c r="T182">
        <f t="shared" si="35"/>
        <v>0.83333333333333215</v>
      </c>
      <c r="U182">
        <f>IF(B182&gt;$K$2,0,IF(T183=0,0,(1-T183)*Assumptions!$B$11/$E$2*(1-Assumptions!$B$30)))</f>
        <v>0</v>
      </c>
      <c r="V182">
        <f>(N182-O182)*(1-Assumptions!$B$30)-Q182+U181*M181</f>
        <v>0</v>
      </c>
      <c r="W182">
        <f>W181*(1+Assumptions!$B$36)^(1/12)</f>
        <v>1.1523371848828645</v>
      </c>
      <c r="X182" s="19">
        <f>IF(B182&gt;$K$2,0,W181*Assumptions!$B$32/12*M181+V182*Assumptions!$B$34/12)</f>
        <v>0</v>
      </c>
      <c r="Y182" s="20">
        <f>1/(1+HLOOKUP(YEAR(A182),Assumptions!$A$41:$AL$43,3,TRUE))^(1/12)</f>
        <v>0.9983964236411178</v>
      </c>
      <c r="Z182">
        <f t="shared" si="36"/>
        <v>0</v>
      </c>
      <c r="AA182">
        <f t="shared" si="40"/>
        <v>0</v>
      </c>
    </row>
    <row r="183" spans="1:27" x14ac:dyDescent="0.2">
      <c r="A183" s="2">
        <f t="shared" si="41"/>
        <v>48334</v>
      </c>
      <c r="B183">
        <f t="shared" si="37"/>
        <v>264</v>
      </c>
      <c r="C183">
        <f t="shared" si="29"/>
        <v>21.916666666666668</v>
      </c>
      <c r="D183">
        <f t="shared" si="30"/>
        <v>0</v>
      </c>
      <c r="E183">
        <f t="shared" si="31"/>
        <v>76</v>
      </c>
      <c r="F183">
        <f>IF(C183&gt;=$J$2,0,VLOOKUP($E183,'Mortality Table'!$A$3:$C$128,2+G$2,FALSE))</f>
        <v>0</v>
      </c>
      <c r="G183">
        <f>F183*Assumptions!$B$1</f>
        <v>0</v>
      </c>
      <c r="H183">
        <f t="shared" si="32"/>
        <v>0</v>
      </c>
      <c r="I183">
        <f>HLOOKUP(C183,Assumptions!$A$6:$J$7,2,TRUE)</f>
        <v>2.6499999999999999E-2</v>
      </c>
      <c r="J183" s="22">
        <f t="shared" si="28"/>
        <v>0</v>
      </c>
      <c r="K183" s="22">
        <f t="shared" si="33"/>
        <v>0</v>
      </c>
      <c r="L183">
        <f t="shared" si="38"/>
        <v>0</v>
      </c>
      <c r="M183" s="22">
        <f t="shared" si="34"/>
        <v>0</v>
      </c>
      <c r="N183">
        <f>M182*Assumptions!$B$11/$E$2*J183</f>
        <v>0</v>
      </c>
      <c r="O183">
        <f>M182*Assumptions!$B$13/$E$2*J183</f>
        <v>0</v>
      </c>
      <c r="P183">
        <f>H183*Assumptions!$B$15</f>
        <v>0</v>
      </c>
      <c r="Q183">
        <f>O183*Assumptions!$B$17</f>
        <v>0</v>
      </c>
      <c r="R183">
        <f>HLOOKUP(B183,Assumptions!$A$26:$D$27,2,TRUE)</f>
        <v>0</v>
      </c>
      <c r="S183">
        <f t="shared" si="39"/>
        <v>0</v>
      </c>
      <c r="T183">
        <f t="shared" si="35"/>
        <v>0.91666666666666785</v>
      </c>
      <c r="U183">
        <f>IF(B183&gt;$K$2,0,IF(T184=0,0,(1-T184)*Assumptions!$B$11/$E$2*(1-Assumptions!$B$30)))</f>
        <v>0</v>
      </c>
      <c r="V183">
        <f>(N183-O183)*(1-Assumptions!$B$30)-Q183+U182*M182</f>
        <v>0</v>
      </c>
      <c r="W183">
        <f>W182*(1+Assumptions!$B$36)^(1/12)</f>
        <v>1.1532930924983031</v>
      </c>
      <c r="X183" s="19">
        <f>IF(B183&gt;$K$2,0,W182*Assumptions!$B$32/12*M182+V183*Assumptions!$B$34/12)</f>
        <v>0</v>
      </c>
      <c r="Y183" s="20">
        <f>1/(1+HLOOKUP(YEAR(A183),Assumptions!$A$41:$AL$43,3,TRUE))^(1/12)</f>
        <v>0.9983964236411178</v>
      </c>
      <c r="Z183">
        <f t="shared" si="36"/>
        <v>0</v>
      </c>
      <c r="AA183">
        <f t="shared" si="40"/>
        <v>0</v>
      </c>
    </row>
    <row r="184" spans="1:27" x14ac:dyDescent="0.2">
      <c r="A184" s="2">
        <f t="shared" si="41"/>
        <v>48365</v>
      </c>
      <c r="B184">
        <f t="shared" si="37"/>
        <v>265</v>
      </c>
      <c r="C184">
        <f t="shared" si="29"/>
        <v>22</v>
      </c>
      <c r="D184">
        <f t="shared" si="30"/>
        <v>1</v>
      </c>
      <c r="E184">
        <f t="shared" si="31"/>
        <v>77</v>
      </c>
      <c r="F184">
        <f>IF(C184&gt;=$J$2,0,VLOOKUP($E184,'Mortality Table'!$A$3:$C$128,2+G$2,FALSE))</f>
        <v>0</v>
      </c>
      <c r="G184">
        <f>F184*Assumptions!$B$1</f>
        <v>0</v>
      </c>
      <c r="H184">
        <f t="shared" si="32"/>
        <v>0</v>
      </c>
      <c r="I184">
        <f>HLOOKUP(C184,Assumptions!$A$6:$J$7,2,TRUE)</f>
        <v>2.6499999999999999E-2</v>
      </c>
      <c r="J184" s="22">
        <f t="shared" si="28"/>
        <v>0</v>
      </c>
      <c r="K184" s="22">
        <f t="shared" si="33"/>
        <v>0</v>
      </c>
      <c r="L184">
        <f t="shared" si="38"/>
        <v>0</v>
      </c>
      <c r="M184" s="22">
        <f t="shared" si="34"/>
        <v>0</v>
      </c>
      <c r="N184">
        <f>M183*Assumptions!$B$11/$E$2*J184</f>
        <v>0</v>
      </c>
      <c r="O184">
        <f>M183*Assumptions!$B$13/$E$2*J184</f>
        <v>0</v>
      </c>
      <c r="P184">
        <f>H184*Assumptions!$B$15</f>
        <v>0</v>
      </c>
      <c r="Q184">
        <f>O184*Assumptions!$B$17</f>
        <v>0</v>
      </c>
      <c r="R184">
        <f>HLOOKUP(B184,Assumptions!$A$26:$D$27,2,TRUE)</f>
        <v>0</v>
      </c>
      <c r="S184">
        <f t="shared" si="39"/>
        <v>0</v>
      </c>
      <c r="T184">
        <f t="shared" si="35"/>
        <v>0</v>
      </c>
      <c r="U184">
        <f>IF(B184&gt;$K$2,0,IF(T185=0,0,(1-T185)*Assumptions!$B$11/$E$2*(1-Assumptions!$B$30)))</f>
        <v>0</v>
      </c>
      <c r="V184">
        <f>(N184-O184)*(1-Assumptions!$B$30)-Q184+U183*M183</f>
        <v>0</v>
      </c>
      <c r="W184">
        <f>W183*(1+Assumptions!$B$36)^(1/12)</f>
        <v>1.1542497930755427</v>
      </c>
      <c r="X184" s="19">
        <f>IF(B184&gt;$K$2,0,W183*Assumptions!$B$32/12*M183+V184*Assumptions!$B$34/12)</f>
        <v>0</v>
      </c>
      <c r="Y184" s="20">
        <f>1/(1+HLOOKUP(YEAR(A184),Assumptions!$A$41:$AL$43,3,TRUE))^(1/12)</f>
        <v>0.9983964236411178</v>
      </c>
      <c r="Z184">
        <f t="shared" si="36"/>
        <v>0</v>
      </c>
      <c r="AA184">
        <f t="shared" si="40"/>
        <v>0</v>
      </c>
    </row>
    <row r="185" spans="1:27" x14ac:dyDescent="0.2">
      <c r="A185" s="2">
        <f t="shared" si="41"/>
        <v>48395</v>
      </c>
      <c r="B185">
        <f t="shared" si="37"/>
        <v>266</v>
      </c>
      <c r="C185">
        <f t="shared" si="29"/>
        <v>22.083333333333332</v>
      </c>
      <c r="D185">
        <f t="shared" si="30"/>
        <v>0</v>
      </c>
      <c r="E185">
        <f t="shared" si="31"/>
        <v>77</v>
      </c>
      <c r="F185">
        <f>IF(C185&gt;=$J$2,0,VLOOKUP($E185,'Mortality Table'!$A$3:$C$128,2+G$2,FALSE))</f>
        <v>0</v>
      </c>
      <c r="G185">
        <f>F185*Assumptions!$B$1</f>
        <v>0</v>
      </c>
      <c r="H185">
        <f t="shared" si="32"/>
        <v>0</v>
      </c>
      <c r="I185">
        <f>HLOOKUP(C185,Assumptions!$A$6:$J$7,2,TRUE)</f>
        <v>2.6499999999999999E-2</v>
      </c>
      <c r="J185" s="22">
        <f t="shared" si="28"/>
        <v>0</v>
      </c>
      <c r="K185" s="22">
        <f t="shared" si="33"/>
        <v>0</v>
      </c>
      <c r="L185">
        <f t="shared" si="38"/>
        <v>0</v>
      </c>
      <c r="M185" s="22">
        <f t="shared" si="34"/>
        <v>0</v>
      </c>
      <c r="N185">
        <f>M184*Assumptions!$B$11/$E$2*J185</f>
        <v>0</v>
      </c>
      <c r="O185">
        <f>M184*Assumptions!$B$13/$E$2*J185</f>
        <v>0</v>
      </c>
      <c r="P185">
        <f>H185*Assumptions!$B$15</f>
        <v>0</v>
      </c>
      <c r="Q185">
        <f>O185*Assumptions!$B$17</f>
        <v>0</v>
      </c>
      <c r="R185">
        <f>HLOOKUP(B185,Assumptions!$A$26:$D$27,2,TRUE)</f>
        <v>0</v>
      </c>
      <c r="S185">
        <f t="shared" si="39"/>
        <v>0</v>
      </c>
      <c r="T185">
        <f t="shared" si="35"/>
        <v>8.3333333333332149E-2</v>
      </c>
      <c r="U185">
        <f>IF(B185&gt;$K$2,0,IF(T186=0,0,(1-T186)*Assumptions!$B$11/$E$2*(1-Assumptions!$B$30)))</f>
        <v>0</v>
      </c>
      <c r="V185">
        <f>(N185-O185)*(1-Assumptions!$B$30)-Q185+U184*M184</f>
        <v>0</v>
      </c>
      <c r="W185">
        <f>W184*(1+Assumptions!$B$36)^(1/12)</f>
        <v>1.1552072872723751</v>
      </c>
      <c r="X185" s="19">
        <f>IF(B185&gt;$K$2,0,W184*Assumptions!$B$32/12*M184+V185*Assumptions!$B$34/12)</f>
        <v>0</v>
      </c>
      <c r="Y185" s="20">
        <f>1/(1+HLOOKUP(YEAR(A185),Assumptions!$A$41:$AL$43,3,TRUE))^(1/12)</f>
        <v>0.9983964236411178</v>
      </c>
      <c r="Z185">
        <f t="shared" si="36"/>
        <v>0</v>
      </c>
      <c r="AA185">
        <f t="shared" si="40"/>
        <v>0</v>
      </c>
    </row>
    <row r="186" spans="1:27" x14ac:dyDescent="0.2">
      <c r="A186" s="2">
        <f t="shared" si="41"/>
        <v>48426</v>
      </c>
      <c r="B186">
        <f t="shared" si="37"/>
        <v>267</v>
      </c>
      <c r="C186">
        <f t="shared" si="29"/>
        <v>22.166666666666668</v>
      </c>
      <c r="D186">
        <f t="shared" si="30"/>
        <v>0</v>
      </c>
      <c r="E186">
        <f t="shared" si="31"/>
        <v>77</v>
      </c>
      <c r="F186">
        <f>IF(C186&gt;=$J$2,0,VLOOKUP($E186,'Mortality Table'!$A$3:$C$128,2+G$2,FALSE))</f>
        <v>0</v>
      </c>
      <c r="G186">
        <f>F186*Assumptions!$B$1</f>
        <v>0</v>
      </c>
      <c r="H186">
        <f t="shared" si="32"/>
        <v>0</v>
      </c>
      <c r="I186">
        <f>HLOOKUP(C186,Assumptions!$A$6:$J$7,2,TRUE)</f>
        <v>2.6499999999999999E-2</v>
      </c>
      <c r="J186" s="22">
        <f t="shared" si="28"/>
        <v>0</v>
      </c>
      <c r="K186" s="22">
        <f t="shared" si="33"/>
        <v>0</v>
      </c>
      <c r="L186">
        <f t="shared" si="38"/>
        <v>0</v>
      </c>
      <c r="M186" s="22">
        <f t="shared" si="34"/>
        <v>0</v>
      </c>
      <c r="N186">
        <f>M185*Assumptions!$B$11/$E$2*J186</f>
        <v>0</v>
      </c>
      <c r="O186">
        <f>M185*Assumptions!$B$13/$E$2*J186</f>
        <v>0</v>
      </c>
      <c r="P186">
        <f>H186*Assumptions!$B$15</f>
        <v>0</v>
      </c>
      <c r="Q186">
        <f>O186*Assumptions!$B$17</f>
        <v>0</v>
      </c>
      <c r="R186">
        <f>HLOOKUP(B186,Assumptions!$A$26:$D$27,2,TRUE)</f>
        <v>0</v>
      </c>
      <c r="S186">
        <f t="shared" si="39"/>
        <v>0</v>
      </c>
      <c r="T186">
        <f t="shared" si="35"/>
        <v>0.16666666666666785</v>
      </c>
      <c r="U186">
        <f>IF(B186&gt;$K$2,0,IF(T187=0,0,(1-T187)*Assumptions!$B$11/$E$2*(1-Assumptions!$B$30)))</f>
        <v>0</v>
      </c>
      <c r="V186">
        <f>(N186-O186)*(1-Assumptions!$B$30)-Q186+U185*M185</f>
        <v>0</v>
      </c>
      <c r="W186">
        <f>W185*(1+Assumptions!$B$36)^(1/12)</f>
        <v>1.1561655757471381</v>
      </c>
      <c r="X186" s="19">
        <f>IF(B186&gt;$K$2,0,W185*Assumptions!$B$32/12*M185+V186*Assumptions!$B$34/12)</f>
        <v>0</v>
      </c>
      <c r="Y186" s="20">
        <f>1/(1+HLOOKUP(YEAR(A186),Assumptions!$A$41:$AL$43,3,TRUE))^(1/12)</f>
        <v>0.9983964236411178</v>
      </c>
      <c r="Z186">
        <f t="shared" si="36"/>
        <v>0</v>
      </c>
      <c r="AA186">
        <f t="shared" si="40"/>
        <v>0</v>
      </c>
    </row>
    <row r="187" spans="1:27" x14ac:dyDescent="0.2">
      <c r="A187" s="2">
        <f t="shared" si="41"/>
        <v>48457</v>
      </c>
      <c r="B187">
        <f t="shared" si="37"/>
        <v>268</v>
      </c>
      <c r="C187">
        <f t="shared" si="29"/>
        <v>22.25</v>
      </c>
      <c r="D187">
        <f t="shared" si="30"/>
        <v>0</v>
      </c>
      <c r="E187">
        <f t="shared" si="31"/>
        <v>77</v>
      </c>
      <c r="F187">
        <f>IF(C187&gt;=$J$2,0,VLOOKUP($E187,'Mortality Table'!$A$3:$C$128,2+G$2,FALSE))</f>
        <v>0</v>
      </c>
      <c r="G187">
        <f>F187*Assumptions!$B$1</f>
        <v>0</v>
      </c>
      <c r="H187">
        <f t="shared" si="32"/>
        <v>0</v>
      </c>
      <c r="I187">
        <f>HLOOKUP(C187,Assumptions!$A$6:$J$7,2,TRUE)</f>
        <v>2.6499999999999999E-2</v>
      </c>
      <c r="J187" s="22">
        <f t="shared" si="28"/>
        <v>0</v>
      </c>
      <c r="K187" s="22">
        <f t="shared" si="33"/>
        <v>0</v>
      </c>
      <c r="L187">
        <f t="shared" si="38"/>
        <v>0</v>
      </c>
      <c r="M187" s="22">
        <f t="shared" si="34"/>
        <v>0</v>
      </c>
      <c r="N187">
        <f>M186*Assumptions!$B$11/$E$2*J187</f>
        <v>0</v>
      </c>
      <c r="O187">
        <f>M186*Assumptions!$B$13/$E$2*J187</f>
        <v>0</v>
      </c>
      <c r="P187">
        <f>H187*Assumptions!$B$15</f>
        <v>0</v>
      </c>
      <c r="Q187">
        <f>O187*Assumptions!$B$17</f>
        <v>0</v>
      </c>
      <c r="R187">
        <f>HLOOKUP(B187,Assumptions!$A$26:$D$27,2,TRUE)</f>
        <v>0</v>
      </c>
      <c r="S187">
        <f t="shared" si="39"/>
        <v>0</v>
      </c>
      <c r="T187">
        <f t="shared" si="35"/>
        <v>0.25</v>
      </c>
      <c r="U187">
        <f>IF(B187&gt;$K$2,0,IF(T188=0,0,(1-T188)*Assumptions!$B$11/$E$2*(1-Assumptions!$B$30)))</f>
        <v>0</v>
      </c>
      <c r="V187">
        <f>(N187-O187)*(1-Assumptions!$B$30)-Q187+U186*M186</f>
        <v>0</v>
      </c>
      <c r="W187">
        <f>W186*(1+Assumptions!$B$36)^(1/12)</f>
        <v>1.1571246591587152</v>
      </c>
      <c r="X187" s="19">
        <f>IF(B187&gt;$K$2,0,W186*Assumptions!$B$32/12*M186+V187*Assumptions!$B$34/12)</f>
        <v>0</v>
      </c>
      <c r="Y187" s="20">
        <f>1/(1+HLOOKUP(YEAR(A187),Assumptions!$A$41:$AL$43,3,TRUE))^(1/12)</f>
        <v>0.9983964236411178</v>
      </c>
      <c r="Z187">
        <f t="shared" si="36"/>
        <v>0</v>
      </c>
      <c r="AA187">
        <f t="shared" si="40"/>
        <v>0</v>
      </c>
    </row>
    <row r="188" spans="1:27" x14ac:dyDescent="0.2">
      <c r="A188" s="2">
        <f t="shared" si="41"/>
        <v>48487</v>
      </c>
      <c r="B188">
        <f t="shared" si="37"/>
        <v>269</v>
      </c>
      <c r="C188">
        <f t="shared" si="29"/>
        <v>22.333333333333332</v>
      </c>
      <c r="D188">
        <f t="shared" si="30"/>
        <v>0</v>
      </c>
      <c r="E188">
        <f t="shared" si="31"/>
        <v>77</v>
      </c>
      <c r="F188">
        <f>IF(C188&gt;=$J$2,0,VLOOKUP($E188,'Mortality Table'!$A$3:$C$128,2+G$2,FALSE))</f>
        <v>0</v>
      </c>
      <c r="G188">
        <f>F188*Assumptions!$B$1</f>
        <v>0</v>
      </c>
      <c r="H188">
        <f t="shared" si="32"/>
        <v>0</v>
      </c>
      <c r="I188">
        <f>HLOOKUP(C188,Assumptions!$A$6:$J$7,2,TRUE)</f>
        <v>2.6499999999999999E-2</v>
      </c>
      <c r="J188" s="22">
        <f t="shared" si="28"/>
        <v>0</v>
      </c>
      <c r="K188" s="22">
        <f t="shared" si="33"/>
        <v>0</v>
      </c>
      <c r="L188">
        <f t="shared" si="38"/>
        <v>0</v>
      </c>
      <c r="M188" s="22">
        <f t="shared" si="34"/>
        <v>0</v>
      </c>
      <c r="N188">
        <f>M187*Assumptions!$B$11/$E$2*J188</f>
        <v>0</v>
      </c>
      <c r="O188">
        <f>M187*Assumptions!$B$13/$E$2*J188</f>
        <v>0</v>
      </c>
      <c r="P188">
        <f>H188*Assumptions!$B$15</f>
        <v>0</v>
      </c>
      <c r="Q188">
        <f>O188*Assumptions!$B$17</f>
        <v>0</v>
      </c>
      <c r="R188">
        <f>HLOOKUP(B188,Assumptions!$A$26:$D$27,2,TRUE)</f>
        <v>0</v>
      </c>
      <c r="S188">
        <f t="shared" si="39"/>
        <v>0</v>
      </c>
      <c r="T188">
        <f t="shared" si="35"/>
        <v>0.33333333333333215</v>
      </c>
      <c r="U188">
        <f>IF(B188&gt;$K$2,0,IF(T189=0,0,(1-T189)*Assumptions!$B$11/$E$2*(1-Assumptions!$B$30)))</f>
        <v>0</v>
      </c>
      <c r="V188">
        <f>(N188-O188)*(1-Assumptions!$B$30)-Q188+U187*M187</f>
        <v>0</v>
      </c>
      <c r="W188">
        <f>W187*(1+Assumptions!$B$36)^(1/12)</f>
        <v>1.1580845381665372</v>
      </c>
      <c r="X188" s="19">
        <f>IF(B188&gt;$K$2,0,W187*Assumptions!$B$32/12*M187+V188*Assumptions!$B$34/12)</f>
        <v>0</v>
      </c>
      <c r="Y188" s="20">
        <f>1/(1+HLOOKUP(YEAR(A188),Assumptions!$A$41:$AL$43,3,TRUE))^(1/12)</f>
        <v>0.9983964236411178</v>
      </c>
      <c r="Z188">
        <f t="shared" si="36"/>
        <v>0</v>
      </c>
      <c r="AA188">
        <f t="shared" si="40"/>
        <v>0</v>
      </c>
    </row>
    <row r="189" spans="1:27" x14ac:dyDescent="0.2">
      <c r="A189" s="2">
        <f t="shared" si="41"/>
        <v>48518</v>
      </c>
      <c r="B189">
        <f t="shared" si="37"/>
        <v>270</v>
      </c>
      <c r="C189">
        <f t="shared" si="29"/>
        <v>22.416666666666668</v>
      </c>
      <c r="D189">
        <f t="shared" si="30"/>
        <v>0</v>
      </c>
      <c r="E189">
        <f t="shared" si="31"/>
        <v>77</v>
      </c>
      <c r="F189">
        <f>IF(C189&gt;=$J$2,0,VLOOKUP($E189,'Mortality Table'!$A$3:$C$128,2+G$2,FALSE))</f>
        <v>0</v>
      </c>
      <c r="G189">
        <f>F189*Assumptions!$B$1</f>
        <v>0</v>
      </c>
      <c r="H189">
        <f t="shared" si="32"/>
        <v>0</v>
      </c>
      <c r="I189">
        <f>HLOOKUP(C189,Assumptions!$A$6:$J$7,2,TRUE)</f>
        <v>2.6499999999999999E-2</v>
      </c>
      <c r="J189" s="22">
        <f t="shared" si="28"/>
        <v>0</v>
      </c>
      <c r="K189" s="22">
        <f t="shared" si="33"/>
        <v>0</v>
      </c>
      <c r="L189">
        <f t="shared" si="38"/>
        <v>0</v>
      </c>
      <c r="M189" s="22">
        <f t="shared" si="34"/>
        <v>0</v>
      </c>
      <c r="N189">
        <f>M188*Assumptions!$B$11/$E$2*J189</f>
        <v>0</v>
      </c>
      <c r="O189">
        <f>M188*Assumptions!$B$13/$E$2*J189</f>
        <v>0</v>
      </c>
      <c r="P189">
        <f>H189*Assumptions!$B$15</f>
        <v>0</v>
      </c>
      <c r="Q189">
        <f>O189*Assumptions!$B$17</f>
        <v>0</v>
      </c>
      <c r="R189">
        <f>HLOOKUP(B189,Assumptions!$A$26:$D$27,2,TRUE)</f>
        <v>0</v>
      </c>
      <c r="S189">
        <f t="shared" si="39"/>
        <v>0</v>
      </c>
      <c r="T189">
        <f t="shared" si="35"/>
        <v>0.41666666666666785</v>
      </c>
      <c r="U189">
        <f>IF(B189&gt;$K$2,0,IF(T190=0,0,(1-T190)*Assumptions!$B$11/$E$2*(1-Assumptions!$B$30)))</f>
        <v>0</v>
      </c>
      <c r="V189">
        <f>(N189-O189)*(1-Assumptions!$B$30)-Q189+U188*M188</f>
        <v>0</v>
      </c>
      <c r="W189">
        <f>W188*(1+Assumptions!$B$36)^(1/12)</f>
        <v>1.1590452134305813</v>
      </c>
      <c r="X189" s="19">
        <f>IF(B189&gt;$K$2,0,W188*Assumptions!$B$32/12*M188+V189*Assumptions!$B$34/12)</f>
        <v>0</v>
      </c>
      <c r="Y189" s="20">
        <f>1/(1+HLOOKUP(YEAR(A189),Assumptions!$A$41:$AL$43,3,TRUE))^(1/12)</f>
        <v>0.9983964236411178</v>
      </c>
      <c r="Z189">
        <f t="shared" si="36"/>
        <v>0</v>
      </c>
      <c r="AA189">
        <f t="shared" si="40"/>
        <v>0</v>
      </c>
    </row>
    <row r="190" spans="1:27" x14ac:dyDescent="0.2">
      <c r="A190" s="2">
        <f t="shared" si="41"/>
        <v>48548</v>
      </c>
      <c r="B190">
        <f t="shared" si="37"/>
        <v>271</v>
      </c>
      <c r="C190">
        <f t="shared" si="29"/>
        <v>22.5</v>
      </c>
      <c r="D190">
        <f t="shared" si="30"/>
        <v>0</v>
      </c>
      <c r="E190">
        <f t="shared" si="31"/>
        <v>77</v>
      </c>
      <c r="F190">
        <f>IF(C190&gt;=$J$2,0,VLOOKUP($E190,'Mortality Table'!$A$3:$C$128,2+G$2,FALSE))</f>
        <v>0</v>
      </c>
      <c r="G190">
        <f>F190*Assumptions!$B$1</f>
        <v>0</v>
      </c>
      <c r="H190">
        <f t="shared" si="32"/>
        <v>0</v>
      </c>
      <c r="I190">
        <f>HLOOKUP(C190,Assumptions!$A$6:$J$7,2,TRUE)</f>
        <v>2.6499999999999999E-2</v>
      </c>
      <c r="J190" s="22">
        <f t="shared" si="28"/>
        <v>0</v>
      </c>
      <c r="K190" s="22">
        <f t="shared" si="33"/>
        <v>0</v>
      </c>
      <c r="L190">
        <f t="shared" si="38"/>
        <v>0</v>
      </c>
      <c r="M190" s="22">
        <f t="shared" si="34"/>
        <v>0</v>
      </c>
      <c r="N190">
        <f>M189*Assumptions!$B$11/$E$2*J190</f>
        <v>0</v>
      </c>
      <c r="O190">
        <f>M189*Assumptions!$B$13/$E$2*J190</f>
        <v>0</v>
      </c>
      <c r="P190">
        <f>H190*Assumptions!$B$15</f>
        <v>0</v>
      </c>
      <c r="Q190">
        <f>O190*Assumptions!$B$17</f>
        <v>0</v>
      </c>
      <c r="R190">
        <f>HLOOKUP(B190,Assumptions!$A$26:$D$27,2,TRUE)</f>
        <v>0</v>
      </c>
      <c r="S190">
        <f t="shared" si="39"/>
        <v>0</v>
      </c>
      <c r="T190">
        <f t="shared" si="35"/>
        <v>0.5</v>
      </c>
      <c r="U190">
        <f>IF(B190&gt;$K$2,0,IF(T191=0,0,(1-T191)*Assumptions!$B$11/$E$2*(1-Assumptions!$B$30)))</f>
        <v>0</v>
      </c>
      <c r="V190">
        <f>(N190-O190)*(1-Assumptions!$B$30)-Q190+U189*M189</f>
        <v>0</v>
      </c>
      <c r="W190">
        <f>W189*(1+Assumptions!$B$36)^(1/12)</f>
        <v>1.1600066856113724</v>
      </c>
      <c r="X190" s="19">
        <f>IF(B190&gt;$K$2,0,W189*Assumptions!$B$32/12*M189+V190*Assumptions!$B$34/12)</f>
        <v>0</v>
      </c>
      <c r="Y190" s="20">
        <f>1/(1+HLOOKUP(YEAR(A190),Assumptions!$A$41:$AL$43,3,TRUE))^(1/12)</f>
        <v>0.9983964236411178</v>
      </c>
      <c r="Z190">
        <f t="shared" si="36"/>
        <v>0</v>
      </c>
      <c r="AA190">
        <f t="shared" si="40"/>
        <v>0</v>
      </c>
    </row>
    <row r="191" spans="1:27" x14ac:dyDescent="0.2">
      <c r="A191" s="2">
        <f t="shared" si="41"/>
        <v>48579</v>
      </c>
      <c r="B191">
        <f t="shared" si="37"/>
        <v>272</v>
      </c>
      <c r="C191">
        <f t="shared" si="29"/>
        <v>22.583333333333332</v>
      </c>
      <c r="D191">
        <f t="shared" si="30"/>
        <v>0</v>
      </c>
      <c r="E191">
        <f t="shared" si="31"/>
        <v>77</v>
      </c>
      <c r="F191">
        <f>IF(C191&gt;=$J$2,0,VLOOKUP($E191,'Mortality Table'!$A$3:$C$128,2+G$2,FALSE))</f>
        <v>0</v>
      </c>
      <c r="G191">
        <f>F191*Assumptions!$B$1</f>
        <v>0</v>
      </c>
      <c r="H191">
        <f t="shared" si="32"/>
        <v>0</v>
      </c>
      <c r="I191">
        <f>HLOOKUP(C191,Assumptions!$A$6:$J$7,2,TRUE)</f>
        <v>2.6499999999999999E-2</v>
      </c>
      <c r="J191" s="22">
        <f t="shared" si="28"/>
        <v>0</v>
      </c>
      <c r="K191" s="22">
        <f t="shared" si="33"/>
        <v>0</v>
      </c>
      <c r="L191">
        <f t="shared" si="38"/>
        <v>0</v>
      </c>
      <c r="M191" s="22">
        <f t="shared" si="34"/>
        <v>0</v>
      </c>
      <c r="N191">
        <f>M190*Assumptions!$B$11/$E$2*J191</f>
        <v>0</v>
      </c>
      <c r="O191">
        <f>M190*Assumptions!$B$13/$E$2*J191</f>
        <v>0</v>
      </c>
      <c r="P191">
        <f>H191*Assumptions!$B$15</f>
        <v>0</v>
      </c>
      <c r="Q191">
        <f>O191*Assumptions!$B$17</f>
        <v>0</v>
      </c>
      <c r="R191">
        <f>HLOOKUP(B191,Assumptions!$A$26:$D$27,2,TRUE)</f>
        <v>0</v>
      </c>
      <c r="S191">
        <f t="shared" si="39"/>
        <v>0</v>
      </c>
      <c r="T191">
        <f t="shared" si="35"/>
        <v>0.58333333333333215</v>
      </c>
      <c r="U191">
        <f>IF(B191&gt;$K$2,0,IF(T192=0,0,(1-T192)*Assumptions!$B$11/$E$2*(1-Assumptions!$B$30)))</f>
        <v>0</v>
      </c>
      <c r="V191">
        <f>(N191-O191)*(1-Assumptions!$B$30)-Q191+U190*M190</f>
        <v>0</v>
      </c>
      <c r="W191">
        <f>W190*(1+Assumptions!$B$36)^(1/12)</f>
        <v>1.1609689553699833</v>
      </c>
      <c r="X191" s="19">
        <f>IF(B191&gt;$K$2,0,W190*Assumptions!$B$32/12*M190+V191*Assumptions!$B$34/12)</f>
        <v>0</v>
      </c>
      <c r="Y191" s="20">
        <f>1/(1+HLOOKUP(YEAR(A191),Assumptions!$A$41:$AL$43,3,TRUE))^(1/12)</f>
        <v>0.9983964236411178</v>
      </c>
      <c r="Z191">
        <f t="shared" si="36"/>
        <v>0</v>
      </c>
      <c r="AA191">
        <f t="shared" si="40"/>
        <v>0</v>
      </c>
    </row>
    <row r="192" spans="1:27" x14ac:dyDescent="0.2">
      <c r="A192" s="2">
        <f t="shared" si="41"/>
        <v>48610</v>
      </c>
      <c r="B192">
        <f t="shared" si="37"/>
        <v>273</v>
      </c>
      <c r="C192">
        <f t="shared" si="29"/>
        <v>22.666666666666668</v>
      </c>
      <c r="D192">
        <f t="shared" si="30"/>
        <v>0</v>
      </c>
      <c r="E192">
        <f t="shared" si="31"/>
        <v>77</v>
      </c>
      <c r="F192">
        <f>IF(C192&gt;=$J$2,0,VLOOKUP($E192,'Mortality Table'!$A$3:$C$128,2+G$2,FALSE))</f>
        <v>0</v>
      </c>
      <c r="G192">
        <f>F192*Assumptions!$B$1</f>
        <v>0</v>
      </c>
      <c r="H192">
        <f t="shared" si="32"/>
        <v>0</v>
      </c>
      <c r="I192">
        <f>HLOOKUP(C192,Assumptions!$A$6:$J$7,2,TRUE)</f>
        <v>2.6499999999999999E-2</v>
      </c>
      <c r="J192" s="22">
        <f t="shared" si="28"/>
        <v>0</v>
      </c>
      <c r="K192" s="22">
        <f t="shared" si="33"/>
        <v>0</v>
      </c>
      <c r="L192">
        <f t="shared" si="38"/>
        <v>0</v>
      </c>
      <c r="M192" s="22">
        <f t="shared" si="34"/>
        <v>0</v>
      </c>
      <c r="N192">
        <f>M191*Assumptions!$B$11/$E$2*J192</f>
        <v>0</v>
      </c>
      <c r="O192">
        <f>M191*Assumptions!$B$13/$E$2*J192</f>
        <v>0</v>
      </c>
      <c r="P192">
        <f>H192*Assumptions!$B$15</f>
        <v>0</v>
      </c>
      <c r="Q192">
        <f>O192*Assumptions!$B$17</f>
        <v>0</v>
      </c>
      <c r="R192">
        <f>HLOOKUP(B192,Assumptions!$A$26:$D$27,2,TRUE)</f>
        <v>0</v>
      </c>
      <c r="S192">
        <f t="shared" si="39"/>
        <v>0</v>
      </c>
      <c r="T192">
        <f t="shared" si="35"/>
        <v>0.66666666666666785</v>
      </c>
      <c r="U192">
        <f>IF(B192&gt;$K$2,0,IF(T193=0,0,(1-T193)*Assumptions!$B$11/$E$2*(1-Assumptions!$B$30)))</f>
        <v>0</v>
      </c>
      <c r="V192">
        <f>(N192-O192)*(1-Assumptions!$B$30)-Q192+U191*M191</f>
        <v>0</v>
      </c>
      <c r="W192">
        <f>W191*(1+Assumptions!$B$36)^(1/12)</f>
        <v>1.1619320233680355</v>
      </c>
      <c r="X192" s="19">
        <f>IF(B192&gt;$K$2,0,W191*Assumptions!$B$32/12*M191+V192*Assumptions!$B$34/12)</f>
        <v>0</v>
      </c>
      <c r="Y192" s="20">
        <f>1/(1+HLOOKUP(YEAR(A192),Assumptions!$A$41:$AL$43,3,TRUE))^(1/12)</f>
        <v>0.99832904108543385</v>
      </c>
      <c r="Z192">
        <f t="shared" si="36"/>
        <v>0</v>
      </c>
      <c r="AA192">
        <f t="shared" si="40"/>
        <v>0</v>
      </c>
    </row>
    <row r="193" spans="1:27" x14ac:dyDescent="0.2">
      <c r="A193" s="2">
        <f t="shared" si="41"/>
        <v>48638</v>
      </c>
      <c r="B193">
        <f t="shared" si="37"/>
        <v>274</v>
      </c>
      <c r="C193">
        <f t="shared" si="29"/>
        <v>22.75</v>
      </c>
      <c r="D193">
        <f t="shared" si="30"/>
        <v>0</v>
      </c>
      <c r="E193">
        <f t="shared" si="31"/>
        <v>77</v>
      </c>
      <c r="F193">
        <f>IF(C193&gt;=$J$2,0,VLOOKUP($E193,'Mortality Table'!$A$3:$C$128,2+G$2,FALSE))</f>
        <v>0</v>
      </c>
      <c r="G193">
        <f>F193*Assumptions!$B$1</f>
        <v>0</v>
      </c>
      <c r="H193">
        <f t="shared" si="32"/>
        <v>0</v>
      </c>
      <c r="I193">
        <f>HLOOKUP(C193,Assumptions!$A$6:$J$7,2,TRUE)</f>
        <v>2.6499999999999999E-2</v>
      </c>
      <c r="J193" s="22">
        <f t="shared" si="28"/>
        <v>0</v>
      </c>
      <c r="K193" s="22">
        <f t="shared" si="33"/>
        <v>0</v>
      </c>
      <c r="L193">
        <f t="shared" si="38"/>
        <v>0</v>
      </c>
      <c r="M193" s="22">
        <f t="shared" si="34"/>
        <v>0</v>
      </c>
      <c r="N193">
        <f>M192*Assumptions!$B$11/$E$2*J193</f>
        <v>0</v>
      </c>
      <c r="O193">
        <f>M192*Assumptions!$B$13/$E$2*J193</f>
        <v>0</v>
      </c>
      <c r="P193">
        <f>H193*Assumptions!$B$15</f>
        <v>0</v>
      </c>
      <c r="Q193">
        <f>O193*Assumptions!$B$17</f>
        <v>0</v>
      </c>
      <c r="R193">
        <f>HLOOKUP(B193,Assumptions!$A$26:$D$27,2,TRUE)</f>
        <v>0</v>
      </c>
      <c r="S193">
        <f t="shared" si="39"/>
        <v>0</v>
      </c>
      <c r="T193">
        <f t="shared" si="35"/>
        <v>0.75</v>
      </c>
      <c r="U193">
        <f>IF(B193&gt;$K$2,0,IF(T194=0,0,(1-T194)*Assumptions!$B$11/$E$2*(1-Assumptions!$B$30)))</f>
        <v>0</v>
      </c>
      <c r="V193">
        <f>(N193-O193)*(1-Assumptions!$B$30)-Q193+U192*M192</f>
        <v>0</v>
      </c>
      <c r="W193">
        <f>W192*(1+Assumptions!$B$36)^(1/12)</f>
        <v>1.1628958902676987</v>
      </c>
      <c r="X193" s="19">
        <f>IF(B193&gt;$K$2,0,W192*Assumptions!$B$32/12*M192+V193*Assumptions!$B$34/12)</f>
        <v>0</v>
      </c>
      <c r="Y193" s="20">
        <f>1/(1+HLOOKUP(YEAR(A193),Assumptions!$A$41:$AL$43,3,TRUE))^(1/12)</f>
        <v>0.99832904108543385</v>
      </c>
      <c r="Z193">
        <f t="shared" si="36"/>
        <v>0</v>
      </c>
      <c r="AA193">
        <f t="shared" si="40"/>
        <v>0</v>
      </c>
    </row>
    <row r="194" spans="1:27" x14ac:dyDescent="0.2">
      <c r="A194" s="2">
        <f t="shared" si="41"/>
        <v>48669</v>
      </c>
      <c r="B194">
        <f t="shared" si="37"/>
        <v>275</v>
      </c>
      <c r="C194">
        <f t="shared" si="29"/>
        <v>22.833333333333332</v>
      </c>
      <c r="D194">
        <f t="shared" si="30"/>
        <v>0</v>
      </c>
      <c r="E194">
        <f t="shared" si="31"/>
        <v>77</v>
      </c>
      <c r="F194">
        <f>IF(C194&gt;=$J$2,0,VLOOKUP($E194,'Mortality Table'!$A$3:$C$128,2+G$2,FALSE))</f>
        <v>0</v>
      </c>
      <c r="G194">
        <f>F194*Assumptions!$B$1</f>
        <v>0</v>
      </c>
      <c r="H194">
        <f t="shared" si="32"/>
        <v>0</v>
      </c>
      <c r="I194">
        <f>HLOOKUP(C194,Assumptions!$A$6:$J$7,2,TRUE)</f>
        <v>2.6499999999999999E-2</v>
      </c>
      <c r="J194" s="22">
        <f t="shared" si="28"/>
        <v>0</v>
      </c>
      <c r="K194" s="22">
        <f t="shared" si="33"/>
        <v>0</v>
      </c>
      <c r="L194">
        <f t="shared" si="38"/>
        <v>0</v>
      </c>
      <c r="M194" s="22">
        <f t="shared" si="34"/>
        <v>0</v>
      </c>
      <c r="N194">
        <f>M193*Assumptions!$B$11/$E$2*J194</f>
        <v>0</v>
      </c>
      <c r="O194">
        <f>M193*Assumptions!$B$13/$E$2*J194</f>
        <v>0</v>
      </c>
      <c r="P194">
        <f>H194*Assumptions!$B$15</f>
        <v>0</v>
      </c>
      <c r="Q194">
        <f>O194*Assumptions!$B$17</f>
        <v>0</v>
      </c>
      <c r="R194">
        <f>HLOOKUP(B194,Assumptions!$A$26:$D$27,2,TRUE)</f>
        <v>0</v>
      </c>
      <c r="S194">
        <f t="shared" si="39"/>
        <v>0</v>
      </c>
      <c r="T194">
        <f t="shared" si="35"/>
        <v>0.83333333333333215</v>
      </c>
      <c r="U194">
        <f>IF(B194&gt;$K$2,0,IF(T195=0,0,(1-T195)*Assumptions!$B$11/$E$2*(1-Assumptions!$B$30)))</f>
        <v>0</v>
      </c>
      <c r="V194">
        <f>(N194-O194)*(1-Assumptions!$B$30)-Q194+U193*M193</f>
        <v>0</v>
      </c>
      <c r="W194">
        <f>W193*(1+Assumptions!$B$36)^(1/12)</f>
        <v>1.1638605567316922</v>
      </c>
      <c r="X194" s="19">
        <f>IF(B194&gt;$K$2,0,W193*Assumptions!$B$32/12*M193+V194*Assumptions!$B$34/12)</f>
        <v>0</v>
      </c>
      <c r="Y194" s="20">
        <f>1/(1+HLOOKUP(YEAR(A194),Assumptions!$A$41:$AL$43,3,TRUE))^(1/12)</f>
        <v>0.99832904108543385</v>
      </c>
      <c r="Z194">
        <f t="shared" si="36"/>
        <v>0</v>
      </c>
      <c r="AA194">
        <f t="shared" si="40"/>
        <v>0</v>
      </c>
    </row>
    <row r="195" spans="1:27" x14ac:dyDescent="0.2">
      <c r="A195" s="2">
        <f t="shared" si="41"/>
        <v>48699</v>
      </c>
      <c r="B195">
        <f t="shared" si="37"/>
        <v>276</v>
      </c>
      <c r="C195">
        <f t="shared" si="29"/>
        <v>22.916666666666668</v>
      </c>
      <c r="D195">
        <f t="shared" si="30"/>
        <v>0</v>
      </c>
      <c r="E195">
        <f t="shared" si="31"/>
        <v>77</v>
      </c>
      <c r="F195">
        <f>IF(C195&gt;=$J$2,0,VLOOKUP($E195,'Mortality Table'!$A$3:$C$128,2+G$2,FALSE))</f>
        <v>0</v>
      </c>
      <c r="G195">
        <f>F195*Assumptions!$B$1</f>
        <v>0</v>
      </c>
      <c r="H195">
        <f t="shared" si="32"/>
        <v>0</v>
      </c>
      <c r="I195">
        <f>HLOOKUP(C195,Assumptions!$A$6:$J$7,2,TRUE)</f>
        <v>2.6499999999999999E-2</v>
      </c>
      <c r="J195" s="22">
        <f t="shared" si="28"/>
        <v>0</v>
      </c>
      <c r="K195" s="22">
        <f t="shared" si="33"/>
        <v>0</v>
      </c>
      <c r="L195">
        <f t="shared" si="38"/>
        <v>0</v>
      </c>
      <c r="M195" s="22">
        <f t="shared" si="34"/>
        <v>0</v>
      </c>
      <c r="N195">
        <f>M194*Assumptions!$B$11/$E$2*J195</f>
        <v>0</v>
      </c>
      <c r="O195">
        <f>M194*Assumptions!$B$13/$E$2*J195</f>
        <v>0</v>
      </c>
      <c r="P195">
        <f>H195*Assumptions!$B$15</f>
        <v>0</v>
      </c>
      <c r="Q195">
        <f>O195*Assumptions!$B$17</f>
        <v>0</v>
      </c>
      <c r="R195">
        <f>HLOOKUP(B195,Assumptions!$A$26:$D$27,2,TRUE)</f>
        <v>0</v>
      </c>
      <c r="S195">
        <f t="shared" si="39"/>
        <v>0</v>
      </c>
      <c r="T195">
        <f t="shared" si="35"/>
        <v>0.91666666666666785</v>
      </c>
      <c r="U195">
        <f>IF(B195&gt;$K$2,0,IF(T196=0,0,(1-T196)*Assumptions!$B$11/$E$2*(1-Assumptions!$B$30)))</f>
        <v>0</v>
      </c>
      <c r="V195">
        <f>(N195-O195)*(1-Assumptions!$B$30)-Q195+U194*M194</f>
        <v>0</v>
      </c>
      <c r="W195">
        <f>W194*(1+Assumptions!$B$36)^(1/12)</f>
        <v>1.1648260234232852</v>
      </c>
      <c r="X195" s="19">
        <f>IF(B195&gt;$K$2,0,W194*Assumptions!$B$32/12*M194+V195*Assumptions!$B$34/12)</f>
        <v>0</v>
      </c>
      <c r="Y195" s="20">
        <f>1/(1+HLOOKUP(YEAR(A195),Assumptions!$A$41:$AL$43,3,TRUE))^(1/12)</f>
        <v>0.99832904108543385</v>
      </c>
      <c r="Z195">
        <f t="shared" si="36"/>
        <v>0</v>
      </c>
      <c r="AA195">
        <f t="shared" si="40"/>
        <v>0</v>
      </c>
    </row>
    <row r="196" spans="1:27" x14ac:dyDescent="0.2">
      <c r="A196" s="2">
        <f t="shared" si="41"/>
        <v>48730</v>
      </c>
      <c r="B196">
        <f t="shared" si="37"/>
        <v>277</v>
      </c>
      <c r="C196">
        <f t="shared" si="29"/>
        <v>23</v>
      </c>
      <c r="D196">
        <f t="shared" si="30"/>
        <v>1</v>
      </c>
      <c r="E196">
        <f t="shared" si="31"/>
        <v>78</v>
      </c>
      <c r="F196">
        <f>IF(C196&gt;=$J$2,0,VLOOKUP($E196,'Mortality Table'!$A$3:$C$128,2+G$2,FALSE))</f>
        <v>0</v>
      </c>
      <c r="G196">
        <f>F196*Assumptions!$B$1</f>
        <v>0</v>
      </c>
      <c r="H196">
        <f t="shared" si="32"/>
        <v>0</v>
      </c>
      <c r="I196">
        <f>HLOOKUP(C196,Assumptions!$A$6:$J$7,2,TRUE)</f>
        <v>2.6499999999999999E-2</v>
      </c>
      <c r="J196" s="22">
        <f t="shared" si="28"/>
        <v>0</v>
      </c>
      <c r="K196" s="22">
        <f t="shared" si="33"/>
        <v>0</v>
      </c>
      <c r="L196">
        <f t="shared" si="38"/>
        <v>0</v>
      </c>
      <c r="M196" s="22">
        <f t="shared" si="34"/>
        <v>0</v>
      </c>
      <c r="N196">
        <f>M195*Assumptions!$B$11/$E$2*J196</f>
        <v>0</v>
      </c>
      <c r="O196">
        <f>M195*Assumptions!$B$13/$E$2*J196</f>
        <v>0</v>
      </c>
      <c r="P196">
        <f>H196*Assumptions!$B$15</f>
        <v>0</v>
      </c>
      <c r="Q196">
        <f>O196*Assumptions!$B$17</f>
        <v>0</v>
      </c>
      <c r="R196">
        <f>HLOOKUP(B196,Assumptions!$A$26:$D$27,2,TRUE)</f>
        <v>0</v>
      </c>
      <c r="S196">
        <f t="shared" si="39"/>
        <v>0</v>
      </c>
      <c r="T196">
        <f t="shared" si="35"/>
        <v>0</v>
      </c>
      <c r="U196">
        <f>IF(B196&gt;$K$2,0,IF(T197=0,0,(1-T197)*Assumptions!$B$11/$E$2*(1-Assumptions!$B$30)))</f>
        <v>0</v>
      </c>
      <c r="V196">
        <f>(N196-O196)*(1-Assumptions!$B$30)-Q196+U195*M195</f>
        <v>0</v>
      </c>
      <c r="W196">
        <f>W195*(1+Assumptions!$B$36)^(1/12)</f>
        <v>1.1657922910062972</v>
      </c>
      <c r="X196" s="19">
        <f>IF(B196&gt;$K$2,0,W195*Assumptions!$B$32/12*M195+V196*Assumptions!$B$34/12)</f>
        <v>0</v>
      </c>
      <c r="Y196" s="20">
        <f>1/(1+HLOOKUP(YEAR(A196),Assumptions!$A$41:$AL$43,3,TRUE))^(1/12)</f>
        <v>0.99832904108543385</v>
      </c>
      <c r="Z196">
        <f t="shared" si="36"/>
        <v>0</v>
      </c>
      <c r="AA196">
        <f t="shared" si="40"/>
        <v>0</v>
      </c>
    </row>
    <row r="197" spans="1:27" x14ac:dyDescent="0.2">
      <c r="A197" s="2">
        <f t="shared" si="41"/>
        <v>48760</v>
      </c>
      <c r="B197">
        <f t="shared" si="37"/>
        <v>278</v>
      </c>
      <c r="C197">
        <f t="shared" si="29"/>
        <v>23.083333333333332</v>
      </c>
      <c r="D197">
        <f t="shared" si="30"/>
        <v>0</v>
      </c>
      <c r="E197">
        <f t="shared" si="31"/>
        <v>78</v>
      </c>
      <c r="F197">
        <f>IF(C197&gt;=$J$2,0,VLOOKUP($E197,'Mortality Table'!$A$3:$C$128,2+G$2,FALSE))</f>
        <v>0</v>
      </c>
      <c r="G197">
        <f>F197*Assumptions!$B$1</f>
        <v>0</v>
      </c>
      <c r="H197">
        <f t="shared" si="32"/>
        <v>0</v>
      </c>
      <c r="I197">
        <f>HLOOKUP(C197,Assumptions!$A$6:$J$7,2,TRUE)</f>
        <v>2.6499999999999999E-2</v>
      </c>
      <c r="J197" s="22">
        <f t="shared" si="28"/>
        <v>0</v>
      </c>
      <c r="K197" s="22">
        <f t="shared" si="33"/>
        <v>0</v>
      </c>
      <c r="L197">
        <f t="shared" si="38"/>
        <v>0</v>
      </c>
      <c r="M197" s="22">
        <f t="shared" si="34"/>
        <v>0</v>
      </c>
      <c r="N197">
        <f>M196*Assumptions!$B$11/$E$2*J197</f>
        <v>0</v>
      </c>
      <c r="O197">
        <f>M196*Assumptions!$B$13/$E$2*J197</f>
        <v>0</v>
      </c>
      <c r="P197">
        <f>H197*Assumptions!$B$15</f>
        <v>0</v>
      </c>
      <c r="Q197">
        <f>O197*Assumptions!$B$17</f>
        <v>0</v>
      </c>
      <c r="R197">
        <f>HLOOKUP(B197,Assumptions!$A$26:$D$27,2,TRUE)</f>
        <v>0</v>
      </c>
      <c r="S197">
        <f t="shared" si="39"/>
        <v>0</v>
      </c>
      <c r="T197">
        <f t="shared" si="35"/>
        <v>8.3333333333332149E-2</v>
      </c>
      <c r="U197">
        <f>IF(B197&gt;$K$2,0,IF(T198=0,0,(1-T198)*Assumptions!$B$11/$E$2*(1-Assumptions!$B$30)))</f>
        <v>0</v>
      </c>
      <c r="V197">
        <f>(N197-O197)*(1-Assumptions!$B$30)-Q197+U196*M196</f>
        <v>0</v>
      </c>
      <c r="W197">
        <f>W196*(1+Assumptions!$B$36)^(1/12)</f>
        <v>1.1667593601450978</v>
      </c>
      <c r="X197" s="19">
        <f>IF(B197&gt;$K$2,0,W196*Assumptions!$B$32/12*M196+V197*Assumptions!$B$34/12)</f>
        <v>0</v>
      </c>
      <c r="Y197" s="20">
        <f>1/(1+HLOOKUP(YEAR(A197),Assumptions!$A$41:$AL$43,3,TRUE))^(1/12)</f>
        <v>0.99832904108543385</v>
      </c>
      <c r="Z197">
        <f t="shared" si="36"/>
        <v>0</v>
      </c>
      <c r="AA197">
        <f t="shared" si="40"/>
        <v>0</v>
      </c>
    </row>
    <row r="198" spans="1:27" x14ac:dyDescent="0.2">
      <c r="A198" s="2">
        <f t="shared" si="41"/>
        <v>48791</v>
      </c>
      <c r="B198">
        <f t="shared" si="37"/>
        <v>279</v>
      </c>
      <c r="C198">
        <f t="shared" si="29"/>
        <v>23.166666666666668</v>
      </c>
      <c r="D198">
        <f t="shared" si="30"/>
        <v>0</v>
      </c>
      <c r="E198">
        <f t="shared" si="31"/>
        <v>78</v>
      </c>
      <c r="F198">
        <f>IF(C198&gt;=$J$2,0,VLOOKUP($E198,'Mortality Table'!$A$3:$C$128,2+G$2,FALSE))</f>
        <v>0</v>
      </c>
      <c r="G198">
        <f>F198*Assumptions!$B$1</f>
        <v>0</v>
      </c>
      <c r="H198">
        <f t="shared" si="32"/>
        <v>0</v>
      </c>
      <c r="I198">
        <f>HLOOKUP(C198,Assumptions!$A$6:$J$7,2,TRUE)</f>
        <v>2.6499999999999999E-2</v>
      </c>
      <c r="J198" s="22">
        <f t="shared" si="28"/>
        <v>0</v>
      </c>
      <c r="K198" s="22">
        <f t="shared" si="33"/>
        <v>0</v>
      </c>
      <c r="L198">
        <f t="shared" si="38"/>
        <v>0</v>
      </c>
      <c r="M198" s="22">
        <f t="shared" si="34"/>
        <v>0</v>
      </c>
      <c r="N198">
        <f>M197*Assumptions!$B$11/$E$2*J198</f>
        <v>0</v>
      </c>
      <c r="O198">
        <f>M197*Assumptions!$B$13/$E$2*J198</f>
        <v>0</v>
      </c>
      <c r="P198">
        <f>H198*Assumptions!$B$15</f>
        <v>0</v>
      </c>
      <c r="Q198">
        <f>O198*Assumptions!$B$17</f>
        <v>0</v>
      </c>
      <c r="R198">
        <f>HLOOKUP(B198,Assumptions!$A$26:$D$27,2,TRUE)</f>
        <v>0</v>
      </c>
      <c r="S198">
        <f t="shared" si="39"/>
        <v>0</v>
      </c>
      <c r="T198">
        <f t="shared" si="35"/>
        <v>0.16666666666666785</v>
      </c>
      <c r="U198">
        <f>IF(B198&gt;$K$2,0,IF(T199=0,0,(1-T199)*Assumptions!$B$11/$E$2*(1-Assumptions!$B$30)))</f>
        <v>0</v>
      </c>
      <c r="V198">
        <f>(N198-O198)*(1-Assumptions!$B$30)-Q198+U197*M197</f>
        <v>0</v>
      </c>
      <c r="W198">
        <f>W197*(1+Assumptions!$B$36)^(1/12)</f>
        <v>1.1677272315046083</v>
      </c>
      <c r="X198" s="19">
        <f>IF(B198&gt;$K$2,0,W197*Assumptions!$B$32/12*M197+V198*Assumptions!$B$34/12)</f>
        <v>0</v>
      </c>
      <c r="Y198" s="20">
        <f>1/(1+HLOOKUP(YEAR(A198),Assumptions!$A$41:$AL$43,3,TRUE))^(1/12)</f>
        <v>0.99832904108543385</v>
      </c>
      <c r="Z198">
        <f t="shared" si="36"/>
        <v>0</v>
      </c>
      <c r="AA198">
        <f t="shared" si="40"/>
        <v>0</v>
      </c>
    </row>
    <row r="199" spans="1:27" x14ac:dyDescent="0.2">
      <c r="A199" s="2">
        <f t="shared" si="41"/>
        <v>48822</v>
      </c>
      <c r="B199">
        <f t="shared" si="37"/>
        <v>280</v>
      </c>
      <c r="C199">
        <f t="shared" si="29"/>
        <v>23.25</v>
      </c>
      <c r="D199">
        <f t="shared" si="30"/>
        <v>0</v>
      </c>
      <c r="E199">
        <f t="shared" si="31"/>
        <v>78</v>
      </c>
      <c r="F199">
        <f>IF(C199&gt;=$J$2,0,VLOOKUP($E199,'Mortality Table'!$A$3:$C$128,2+G$2,FALSE))</f>
        <v>0</v>
      </c>
      <c r="G199">
        <f>F199*Assumptions!$B$1</f>
        <v>0</v>
      </c>
      <c r="H199">
        <f t="shared" si="32"/>
        <v>0</v>
      </c>
      <c r="I199">
        <f>HLOOKUP(C199,Assumptions!$A$6:$J$7,2,TRUE)</f>
        <v>2.6499999999999999E-2</v>
      </c>
      <c r="J199" s="22">
        <f t="shared" si="28"/>
        <v>0</v>
      </c>
      <c r="K199" s="22">
        <f t="shared" si="33"/>
        <v>0</v>
      </c>
      <c r="L199">
        <f t="shared" si="38"/>
        <v>0</v>
      </c>
      <c r="M199" s="22">
        <f t="shared" si="34"/>
        <v>0</v>
      </c>
      <c r="N199">
        <f>M198*Assumptions!$B$11/$E$2*J199</f>
        <v>0</v>
      </c>
      <c r="O199">
        <f>M198*Assumptions!$B$13/$E$2*J199</f>
        <v>0</v>
      </c>
      <c r="P199">
        <f>H199*Assumptions!$B$15</f>
        <v>0</v>
      </c>
      <c r="Q199">
        <f>O199*Assumptions!$B$17</f>
        <v>0</v>
      </c>
      <c r="R199">
        <f>HLOOKUP(B199,Assumptions!$A$26:$D$27,2,TRUE)</f>
        <v>0</v>
      </c>
      <c r="S199">
        <f t="shared" si="39"/>
        <v>0</v>
      </c>
      <c r="T199">
        <f t="shared" si="35"/>
        <v>0.25</v>
      </c>
      <c r="U199">
        <f>IF(B199&gt;$K$2,0,IF(T200=0,0,(1-T200)*Assumptions!$B$11/$E$2*(1-Assumptions!$B$30)))</f>
        <v>0</v>
      </c>
      <c r="V199">
        <f>(N199-O199)*(1-Assumptions!$B$30)-Q199+U198*M198</f>
        <v>0</v>
      </c>
      <c r="W199">
        <f>W198*(1+Assumptions!$B$36)^(1/12)</f>
        <v>1.1686959057503012</v>
      </c>
      <c r="X199" s="19">
        <f>IF(B199&gt;$K$2,0,W198*Assumptions!$B$32/12*M198+V199*Assumptions!$B$34/12)</f>
        <v>0</v>
      </c>
      <c r="Y199" s="20">
        <f>1/(1+HLOOKUP(YEAR(A199),Assumptions!$A$41:$AL$43,3,TRUE))^(1/12)</f>
        <v>0.99832904108543385</v>
      </c>
      <c r="Z199">
        <f t="shared" si="36"/>
        <v>0</v>
      </c>
      <c r="AA199">
        <f t="shared" si="40"/>
        <v>0</v>
      </c>
    </row>
    <row r="200" spans="1:27" x14ac:dyDescent="0.2">
      <c r="A200" s="2">
        <f t="shared" si="41"/>
        <v>48852</v>
      </c>
      <c r="B200">
        <f t="shared" si="37"/>
        <v>281</v>
      </c>
      <c r="C200">
        <f t="shared" si="29"/>
        <v>23.333333333333332</v>
      </c>
      <c r="D200">
        <f t="shared" si="30"/>
        <v>0</v>
      </c>
      <c r="E200">
        <f t="shared" si="31"/>
        <v>78</v>
      </c>
      <c r="F200">
        <f>IF(C200&gt;=$J$2,0,VLOOKUP($E200,'Mortality Table'!$A$3:$C$128,2+G$2,FALSE))</f>
        <v>0</v>
      </c>
      <c r="G200">
        <f>F200*Assumptions!$B$1</f>
        <v>0</v>
      </c>
      <c r="H200">
        <f t="shared" si="32"/>
        <v>0</v>
      </c>
      <c r="I200">
        <f>HLOOKUP(C200,Assumptions!$A$6:$J$7,2,TRUE)</f>
        <v>2.6499999999999999E-2</v>
      </c>
      <c r="J200" s="22">
        <f t="shared" si="28"/>
        <v>0</v>
      </c>
      <c r="K200" s="22">
        <f t="shared" si="33"/>
        <v>0</v>
      </c>
      <c r="L200">
        <f t="shared" si="38"/>
        <v>0</v>
      </c>
      <c r="M200" s="22">
        <f t="shared" si="34"/>
        <v>0</v>
      </c>
      <c r="N200">
        <f>M199*Assumptions!$B$11/$E$2*J200</f>
        <v>0</v>
      </c>
      <c r="O200">
        <f>M199*Assumptions!$B$13/$E$2*J200</f>
        <v>0</v>
      </c>
      <c r="P200">
        <f>H200*Assumptions!$B$15</f>
        <v>0</v>
      </c>
      <c r="Q200">
        <f>O200*Assumptions!$B$17</f>
        <v>0</v>
      </c>
      <c r="R200">
        <f>HLOOKUP(B200,Assumptions!$A$26:$D$27,2,TRUE)</f>
        <v>0</v>
      </c>
      <c r="S200">
        <f t="shared" si="39"/>
        <v>0</v>
      </c>
      <c r="T200">
        <f t="shared" si="35"/>
        <v>0.33333333333333215</v>
      </c>
      <c r="U200">
        <f>IF(B200&gt;$K$2,0,IF(T201=0,0,(1-T201)*Assumptions!$B$11/$E$2*(1-Assumptions!$B$30)))</f>
        <v>0</v>
      </c>
      <c r="V200">
        <f>(N200-O200)*(1-Assumptions!$B$30)-Q200+U199*M199</f>
        <v>0</v>
      </c>
      <c r="W200">
        <f>W199*(1+Assumptions!$B$36)^(1/12)</f>
        <v>1.1696653835482014</v>
      </c>
      <c r="X200" s="19">
        <f>IF(B200&gt;$K$2,0,W199*Assumptions!$B$32/12*M199+V200*Assumptions!$B$34/12)</f>
        <v>0</v>
      </c>
      <c r="Y200" s="20">
        <f>1/(1+HLOOKUP(YEAR(A200),Assumptions!$A$41:$AL$43,3,TRUE))^(1/12)</f>
        <v>0.99832904108543385</v>
      </c>
      <c r="Z200">
        <f t="shared" si="36"/>
        <v>0</v>
      </c>
      <c r="AA200">
        <f t="shared" si="40"/>
        <v>0</v>
      </c>
    </row>
    <row r="201" spans="1:27" x14ac:dyDescent="0.2">
      <c r="A201" s="2">
        <f t="shared" si="41"/>
        <v>48883</v>
      </c>
      <c r="B201">
        <f t="shared" si="37"/>
        <v>282</v>
      </c>
      <c r="C201">
        <f t="shared" si="29"/>
        <v>23.416666666666668</v>
      </c>
      <c r="D201">
        <f t="shared" si="30"/>
        <v>0</v>
      </c>
      <c r="E201">
        <f t="shared" si="31"/>
        <v>78</v>
      </c>
      <c r="F201">
        <f>IF(C201&gt;=$J$2,0,VLOOKUP($E201,'Mortality Table'!$A$3:$C$128,2+G$2,FALSE))</f>
        <v>0</v>
      </c>
      <c r="G201">
        <f>F201*Assumptions!$B$1</f>
        <v>0</v>
      </c>
      <c r="H201">
        <f t="shared" si="32"/>
        <v>0</v>
      </c>
      <c r="I201">
        <f>HLOOKUP(C201,Assumptions!$A$6:$J$7,2,TRUE)</f>
        <v>2.6499999999999999E-2</v>
      </c>
      <c r="J201" s="22">
        <f t="shared" si="28"/>
        <v>0</v>
      </c>
      <c r="K201" s="22">
        <f t="shared" si="33"/>
        <v>0</v>
      </c>
      <c r="L201">
        <f t="shared" si="38"/>
        <v>0</v>
      </c>
      <c r="M201" s="22">
        <f t="shared" si="34"/>
        <v>0</v>
      </c>
      <c r="N201">
        <f>M200*Assumptions!$B$11/$E$2*J201</f>
        <v>0</v>
      </c>
      <c r="O201">
        <f>M200*Assumptions!$B$13/$E$2*J201</f>
        <v>0</v>
      </c>
      <c r="P201">
        <f>H201*Assumptions!$B$15</f>
        <v>0</v>
      </c>
      <c r="Q201">
        <f>O201*Assumptions!$B$17</f>
        <v>0</v>
      </c>
      <c r="R201">
        <f>HLOOKUP(B201,Assumptions!$A$26:$D$27,2,TRUE)</f>
        <v>0</v>
      </c>
      <c r="S201">
        <f t="shared" si="39"/>
        <v>0</v>
      </c>
      <c r="T201">
        <f t="shared" si="35"/>
        <v>0.41666666666666785</v>
      </c>
      <c r="U201">
        <f>IF(B201&gt;$K$2,0,IF(T202=0,0,(1-T202)*Assumptions!$B$11/$E$2*(1-Assumptions!$B$30)))</f>
        <v>0</v>
      </c>
      <c r="V201">
        <f>(N201-O201)*(1-Assumptions!$B$30)-Q201+U200*M200</f>
        <v>0</v>
      </c>
      <c r="W201">
        <f>W200*(1+Assumptions!$B$36)^(1/12)</f>
        <v>1.170635665564886</v>
      </c>
      <c r="X201" s="19">
        <f>IF(B201&gt;$K$2,0,W200*Assumptions!$B$32/12*M200+V201*Assumptions!$B$34/12)</f>
        <v>0</v>
      </c>
      <c r="Y201" s="20">
        <f>1/(1+HLOOKUP(YEAR(A201),Assumptions!$A$41:$AL$43,3,TRUE))^(1/12)</f>
        <v>0.99832904108543385</v>
      </c>
      <c r="Z201">
        <f t="shared" si="36"/>
        <v>0</v>
      </c>
      <c r="AA201">
        <f t="shared" si="40"/>
        <v>0</v>
      </c>
    </row>
    <row r="202" spans="1:27" x14ac:dyDescent="0.2">
      <c r="A202" s="2">
        <f t="shared" si="41"/>
        <v>48913</v>
      </c>
      <c r="B202">
        <f t="shared" si="37"/>
        <v>283</v>
      </c>
      <c r="C202">
        <f t="shared" si="29"/>
        <v>23.5</v>
      </c>
      <c r="D202">
        <f t="shared" si="30"/>
        <v>0</v>
      </c>
      <c r="E202">
        <f t="shared" si="31"/>
        <v>78</v>
      </c>
      <c r="F202">
        <f>IF(C202&gt;=$J$2,0,VLOOKUP($E202,'Mortality Table'!$A$3:$C$128,2+G$2,FALSE))</f>
        <v>0</v>
      </c>
      <c r="G202">
        <f>F202*Assumptions!$B$1</f>
        <v>0</v>
      </c>
      <c r="H202">
        <f t="shared" si="32"/>
        <v>0</v>
      </c>
      <c r="I202">
        <f>HLOOKUP(C202,Assumptions!$A$6:$J$7,2,TRUE)</f>
        <v>2.6499999999999999E-2</v>
      </c>
      <c r="J202" s="22">
        <f t="shared" si="28"/>
        <v>0</v>
      </c>
      <c r="K202" s="22">
        <f t="shared" si="33"/>
        <v>0</v>
      </c>
      <c r="L202">
        <f t="shared" si="38"/>
        <v>0</v>
      </c>
      <c r="M202" s="22">
        <f t="shared" si="34"/>
        <v>0</v>
      </c>
      <c r="N202">
        <f>M201*Assumptions!$B$11/$E$2*J202</f>
        <v>0</v>
      </c>
      <c r="O202">
        <f>M201*Assumptions!$B$13/$E$2*J202</f>
        <v>0</v>
      </c>
      <c r="P202">
        <f>H202*Assumptions!$B$15</f>
        <v>0</v>
      </c>
      <c r="Q202">
        <f>O202*Assumptions!$B$17</f>
        <v>0</v>
      </c>
      <c r="R202">
        <f>HLOOKUP(B202,Assumptions!$A$26:$D$27,2,TRUE)</f>
        <v>0</v>
      </c>
      <c r="S202">
        <f t="shared" si="39"/>
        <v>0</v>
      </c>
      <c r="T202">
        <f t="shared" si="35"/>
        <v>0.5</v>
      </c>
      <c r="U202">
        <f>IF(B202&gt;$K$2,0,IF(T203=0,0,(1-T203)*Assumptions!$B$11/$E$2*(1-Assumptions!$B$30)))</f>
        <v>0</v>
      </c>
      <c r="V202">
        <f>(N202-O202)*(1-Assumptions!$B$30)-Q202+U201*M201</f>
        <v>0</v>
      </c>
      <c r="W202">
        <f>W201*(1+Assumptions!$B$36)^(1/12)</f>
        <v>1.1716067524674849</v>
      </c>
      <c r="X202" s="19">
        <f>IF(B202&gt;$K$2,0,W201*Assumptions!$B$32/12*M201+V202*Assumptions!$B$34/12)</f>
        <v>0</v>
      </c>
      <c r="Y202" s="20">
        <f>1/(1+HLOOKUP(YEAR(A202),Assumptions!$A$41:$AL$43,3,TRUE))^(1/12)</f>
        <v>0.99832904108543385</v>
      </c>
      <c r="Z202">
        <f t="shared" si="36"/>
        <v>0</v>
      </c>
      <c r="AA202">
        <f t="shared" si="40"/>
        <v>0</v>
      </c>
    </row>
    <row r="203" spans="1:27" x14ac:dyDescent="0.2">
      <c r="A203" s="2">
        <f t="shared" si="41"/>
        <v>48944</v>
      </c>
      <c r="B203">
        <f t="shared" si="37"/>
        <v>284</v>
      </c>
      <c r="C203">
        <f t="shared" si="29"/>
        <v>23.583333333333332</v>
      </c>
      <c r="D203">
        <f t="shared" si="30"/>
        <v>0</v>
      </c>
      <c r="E203">
        <f t="shared" si="31"/>
        <v>78</v>
      </c>
      <c r="F203">
        <f>IF(C203&gt;=$J$2,0,VLOOKUP($E203,'Mortality Table'!$A$3:$C$128,2+G$2,FALSE))</f>
        <v>0</v>
      </c>
      <c r="G203">
        <f>F203*Assumptions!$B$1</f>
        <v>0</v>
      </c>
      <c r="H203">
        <f t="shared" si="32"/>
        <v>0</v>
      </c>
      <c r="I203">
        <f>HLOOKUP(C203,Assumptions!$A$6:$J$7,2,TRUE)</f>
        <v>2.6499999999999999E-2</v>
      </c>
      <c r="J203" s="22">
        <f t="shared" ref="J203:J266" si="42">IF(B203&gt;$K$2,0,IF(($E$2*(B203+11))/12-INT(($E$2*(B203+11))/12)=0,1,0))</f>
        <v>0</v>
      </c>
      <c r="K203" s="22">
        <f t="shared" si="33"/>
        <v>0</v>
      </c>
      <c r="L203">
        <f t="shared" si="38"/>
        <v>0</v>
      </c>
      <c r="M203" s="22">
        <f t="shared" si="34"/>
        <v>0</v>
      </c>
      <c r="N203">
        <f>M202*Assumptions!$B$11/$E$2*J203</f>
        <v>0</v>
      </c>
      <c r="O203">
        <f>M202*Assumptions!$B$13/$E$2*J203</f>
        <v>0</v>
      </c>
      <c r="P203">
        <f>H203*Assumptions!$B$15</f>
        <v>0</v>
      </c>
      <c r="Q203">
        <f>O203*Assumptions!$B$17</f>
        <v>0</v>
      </c>
      <c r="R203">
        <f>HLOOKUP(B203,Assumptions!$A$26:$D$27,2,TRUE)</f>
        <v>0</v>
      </c>
      <c r="S203">
        <f t="shared" si="39"/>
        <v>0</v>
      </c>
      <c r="T203">
        <f t="shared" si="35"/>
        <v>0.58333333333333215</v>
      </c>
      <c r="U203">
        <f>IF(B203&gt;$K$2,0,IF(T204=0,0,(1-T204)*Assumptions!$B$11/$E$2*(1-Assumptions!$B$30)))</f>
        <v>0</v>
      </c>
      <c r="V203">
        <f>(N203-O203)*(1-Assumptions!$B$30)-Q203+U202*M202</f>
        <v>0</v>
      </c>
      <c r="W203">
        <f>W202*(1+Assumptions!$B$36)^(1/12)</f>
        <v>1.1725786449236819</v>
      </c>
      <c r="X203" s="19">
        <f>IF(B203&gt;$K$2,0,W202*Assumptions!$B$32/12*M202+V203*Assumptions!$B$34/12)</f>
        <v>0</v>
      </c>
      <c r="Y203" s="20">
        <f>1/(1+HLOOKUP(YEAR(A203),Assumptions!$A$41:$AL$43,3,TRUE))^(1/12)</f>
        <v>0.99832904108543385</v>
      </c>
      <c r="Z203">
        <f t="shared" si="36"/>
        <v>0</v>
      </c>
      <c r="AA203">
        <f t="shared" si="40"/>
        <v>0</v>
      </c>
    </row>
    <row r="204" spans="1:27" x14ac:dyDescent="0.2">
      <c r="A204" s="2">
        <f t="shared" si="41"/>
        <v>48975</v>
      </c>
      <c r="B204">
        <f t="shared" si="37"/>
        <v>285</v>
      </c>
      <c r="C204">
        <f t="shared" ref="C204:C267" si="43">(B204+11)/12-1</f>
        <v>23.666666666666668</v>
      </c>
      <c r="D204">
        <f t="shared" ref="D204:D267" si="44">IF(C204-INT(C204)=0,1,0)</f>
        <v>0</v>
      </c>
      <c r="E204">
        <f t="shared" ref="E204:E267" si="45">$C$2+INT($C204)</f>
        <v>78</v>
      </c>
      <c r="F204">
        <f>IF(C204&gt;=$J$2,0,VLOOKUP($E204,'Mortality Table'!$A$3:$C$128,2+G$2,FALSE))</f>
        <v>0</v>
      </c>
      <c r="G204">
        <f>F204*Assumptions!$B$1</f>
        <v>0</v>
      </c>
      <c r="H204">
        <f t="shared" ref="H204:H267" si="46">(1-(1-G204)^(1/12))*M203</f>
        <v>0</v>
      </c>
      <c r="I204">
        <f>HLOOKUP(C204,Assumptions!$A$6:$J$7,2,TRUE)</f>
        <v>2.6499999999999999E-2</v>
      </c>
      <c r="J204" s="22">
        <f t="shared" si="42"/>
        <v>0</v>
      </c>
      <c r="K204" s="22">
        <f t="shared" ref="K204:K267" si="47">IF(B205&gt;$K$2,0,IF(J205=0,0,1/$E$2))</f>
        <v>0</v>
      </c>
      <c r="L204">
        <f t="shared" si="38"/>
        <v>0</v>
      </c>
      <c r="M204" s="22">
        <f t="shared" ref="M204:M267" si="48">IF(B204&gt;$K$2,0,M203-H204-L204)</f>
        <v>0</v>
      </c>
      <c r="N204">
        <f>M203*Assumptions!$B$11/$E$2*J204</f>
        <v>0</v>
      </c>
      <c r="O204">
        <f>M203*Assumptions!$B$13/$E$2*J204</f>
        <v>0</v>
      </c>
      <c r="P204">
        <f>H204*Assumptions!$B$15</f>
        <v>0</v>
      </c>
      <c r="Q204">
        <f>O204*Assumptions!$B$17</f>
        <v>0</v>
      </c>
      <c r="R204">
        <f>HLOOKUP(B204,Assumptions!$A$26:$D$27,2,TRUE)</f>
        <v>0</v>
      </c>
      <c r="S204">
        <f t="shared" si="39"/>
        <v>0</v>
      </c>
      <c r="T204">
        <f t="shared" ref="T204:T267" si="49">($E$2*(B204+11))/12-INT(($E$2*(B204+11))/12)</f>
        <v>0.66666666666666785</v>
      </c>
      <c r="U204">
        <f>IF(B204&gt;$K$2,0,IF(T205=0,0,(1-T205)*Assumptions!$B$11/$E$2*(1-Assumptions!$B$30)))</f>
        <v>0</v>
      </c>
      <c r="V204">
        <f>(N204-O204)*(1-Assumptions!$B$30)-Q204+U203*M203</f>
        <v>0</v>
      </c>
      <c r="W204">
        <f>W203*(1+Assumptions!$B$36)^(1/12)</f>
        <v>1.1735513436017144</v>
      </c>
      <c r="X204" s="19">
        <f>IF(B204&gt;$K$2,0,W203*Assumptions!$B$32/12*M203+V204*Assumptions!$B$34/12)</f>
        <v>0</v>
      </c>
      <c r="Y204" s="20">
        <f>1/(1+HLOOKUP(YEAR(A204),Assumptions!$A$41:$AL$43,3,TRUE))^(1/12)</f>
        <v>0.99823744346557397</v>
      </c>
      <c r="Z204">
        <f t="shared" ref="Z204:Z267" si="50">(Z205+P205+Q205+S205+X205-N205)*Y205</f>
        <v>0</v>
      </c>
      <c r="AA204">
        <f t="shared" si="40"/>
        <v>0</v>
      </c>
    </row>
    <row r="205" spans="1:27" x14ac:dyDescent="0.2">
      <c r="A205" s="2">
        <f t="shared" si="41"/>
        <v>49003</v>
      </c>
      <c r="B205">
        <f t="shared" ref="B205:B268" si="51">B204+1</f>
        <v>286</v>
      </c>
      <c r="C205">
        <f t="shared" si="43"/>
        <v>23.75</v>
      </c>
      <c r="D205">
        <f t="shared" si="44"/>
        <v>0</v>
      </c>
      <c r="E205">
        <f t="shared" si="45"/>
        <v>78</v>
      </c>
      <c r="F205">
        <f>IF(C205&gt;=$J$2,0,VLOOKUP($E205,'Mortality Table'!$A$3:$C$128,2+G$2,FALSE))</f>
        <v>0</v>
      </c>
      <c r="G205">
        <f>F205*Assumptions!$B$1</f>
        <v>0</v>
      </c>
      <c r="H205">
        <f t="shared" si="46"/>
        <v>0</v>
      </c>
      <c r="I205">
        <f>HLOOKUP(C205,Assumptions!$A$6:$J$7,2,TRUE)</f>
        <v>2.6499999999999999E-2</v>
      </c>
      <c r="J205" s="22">
        <f t="shared" si="42"/>
        <v>0</v>
      </c>
      <c r="K205" s="22">
        <f t="shared" si="47"/>
        <v>0</v>
      </c>
      <c r="L205">
        <f t="shared" ref="L205:L268" si="52">(1-(1-I205)^K205)*(M204-H205)</f>
        <v>0</v>
      </c>
      <c r="M205" s="22">
        <f t="shared" si="48"/>
        <v>0</v>
      </c>
      <c r="N205">
        <f>M204*Assumptions!$B$11/$E$2*J205</f>
        <v>0</v>
      </c>
      <c r="O205">
        <f>M204*Assumptions!$B$13/$E$2*J205</f>
        <v>0</v>
      </c>
      <c r="P205">
        <f>H205*Assumptions!$B$15</f>
        <v>0</v>
      </c>
      <c r="Q205">
        <f>O205*Assumptions!$B$17</f>
        <v>0</v>
      </c>
      <c r="R205">
        <f>HLOOKUP(B205,Assumptions!$A$26:$D$27,2,TRUE)</f>
        <v>0</v>
      </c>
      <c r="S205">
        <f t="shared" ref="S205:S268" si="53">N205*R205</f>
        <v>0</v>
      </c>
      <c r="T205">
        <f t="shared" si="49"/>
        <v>0.75</v>
      </c>
      <c r="U205">
        <f>IF(B205&gt;$K$2,0,IF(T206=0,0,(1-T206)*Assumptions!$B$11/$E$2*(1-Assumptions!$B$30)))</f>
        <v>0</v>
      </c>
      <c r="V205">
        <f>(N205-O205)*(1-Assumptions!$B$30)-Q205+U204*M204</f>
        <v>0</v>
      </c>
      <c r="W205">
        <f>W204*(1+Assumptions!$B$36)^(1/12)</f>
        <v>1.1745248491703741</v>
      </c>
      <c r="X205" s="19">
        <f>IF(B205&gt;$K$2,0,W204*Assumptions!$B$32/12*M204+V205*Assumptions!$B$34/12)</f>
        <v>0</v>
      </c>
      <c r="Y205" s="20">
        <f>1/(1+HLOOKUP(YEAR(A205),Assumptions!$A$41:$AL$43,3,TRUE))^(1/12)</f>
        <v>0.99823744346557397</v>
      </c>
      <c r="Z205">
        <f t="shared" si="50"/>
        <v>0</v>
      </c>
      <c r="AA205">
        <f t="shared" ref="AA205:AA268" si="54">P205+Q205</f>
        <v>0</v>
      </c>
    </row>
    <row r="206" spans="1:27" x14ac:dyDescent="0.2">
      <c r="A206" s="2">
        <f t="shared" si="41"/>
        <v>49034</v>
      </c>
      <c r="B206">
        <f t="shared" si="51"/>
        <v>287</v>
      </c>
      <c r="C206">
        <f t="shared" si="43"/>
        <v>23.833333333333332</v>
      </c>
      <c r="D206">
        <f t="shared" si="44"/>
        <v>0</v>
      </c>
      <c r="E206">
        <f t="shared" si="45"/>
        <v>78</v>
      </c>
      <c r="F206">
        <f>IF(C206&gt;=$J$2,0,VLOOKUP($E206,'Mortality Table'!$A$3:$C$128,2+G$2,FALSE))</f>
        <v>0</v>
      </c>
      <c r="G206">
        <f>F206*Assumptions!$B$1</f>
        <v>0</v>
      </c>
      <c r="H206">
        <f t="shared" si="46"/>
        <v>0</v>
      </c>
      <c r="I206">
        <f>HLOOKUP(C206,Assumptions!$A$6:$J$7,2,TRUE)</f>
        <v>2.6499999999999999E-2</v>
      </c>
      <c r="J206" s="22">
        <f t="shared" si="42"/>
        <v>0</v>
      </c>
      <c r="K206" s="22">
        <f t="shared" si="47"/>
        <v>0</v>
      </c>
      <c r="L206">
        <f t="shared" si="52"/>
        <v>0</v>
      </c>
      <c r="M206" s="22">
        <f t="shared" si="48"/>
        <v>0</v>
      </c>
      <c r="N206">
        <f>M205*Assumptions!$B$11/$E$2*J206</f>
        <v>0</v>
      </c>
      <c r="O206">
        <f>M205*Assumptions!$B$13/$E$2*J206</f>
        <v>0</v>
      </c>
      <c r="P206">
        <f>H206*Assumptions!$B$15</f>
        <v>0</v>
      </c>
      <c r="Q206">
        <f>O206*Assumptions!$B$17</f>
        <v>0</v>
      </c>
      <c r="R206">
        <f>HLOOKUP(B206,Assumptions!$A$26:$D$27,2,TRUE)</f>
        <v>0</v>
      </c>
      <c r="S206">
        <f t="shared" si="53"/>
        <v>0</v>
      </c>
      <c r="T206">
        <f t="shared" si="49"/>
        <v>0.83333333333333215</v>
      </c>
      <c r="U206">
        <f>IF(B206&gt;$K$2,0,IF(T207=0,0,(1-T207)*Assumptions!$B$11/$E$2*(1-Assumptions!$B$30)))</f>
        <v>0</v>
      </c>
      <c r="V206">
        <f>(N206-O206)*(1-Assumptions!$B$30)-Q206+U205*M205</f>
        <v>0</v>
      </c>
      <c r="W206">
        <f>W205*(1+Assumptions!$B$36)^(1/12)</f>
        <v>1.1754991622990076</v>
      </c>
      <c r="X206" s="19">
        <f>IF(B206&gt;$K$2,0,W205*Assumptions!$B$32/12*M205+V206*Assumptions!$B$34/12)</f>
        <v>0</v>
      </c>
      <c r="Y206" s="20">
        <f>1/(1+HLOOKUP(YEAR(A206),Assumptions!$A$41:$AL$43,3,TRUE))^(1/12)</f>
        <v>0.99823744346557397</v>
      </c>
      <c r="Z206">
        <f t="shared" si="50"/>
        <v>0</v>
      </c>
      <c r="AA206">
        <f t="shared" si="54"/>
        <v>0</v>
      </c>
    </row>
    <row r="207" spans="1:27" x14ac:dyDescent="0.2">
      <c r="A207" s="2">
        <f t="shared" ref="A207:A270" si="55">DATE(YEAR(A206),MONTH(A206)+2,1)-1</f>
        <v>49064</v>
      </c>
      <c r="B207">
        <f t="shared" si="51"/>
        <v>288</v>
      </c>
      <c r="C207">
        <f t="shared" si="43"/>
        <v>23.916666666666668</v>
      </c>
      <c r="D207">
        <f t="shared" si="44"/>
        <v>0</v>
      </c>
      <c r="E207">
        <f t="shared" si="45"/>
        <v>78</v>
      </c>
      <c r="F207">
        <f>IF(C207&gt;=$J$2,0,VLOOKUP($E207,'Mortality Table'!$A$3:$C$128,2+G$2,FALSE))</f>
        <v>0</v>
      </c>
      <c r="G207">
        <f>F207*Assumptions!$B$1</f>
        <v>0</v>
      </c>
      <c r="H207">
        <f t="shared" si="46"/>
        <v>0</v>
      </c>
      <c r="I207">
        <f>HLOOKUP(C207,Assumptions!$A$6:$J$7,2,TRUE)</f>
        <v>2.6499999999999999E-2</v>
      </c>
      <c r="J207" s="22">
        <f t="shared" si="42"/>
        <v>0</v>
      </c>
      <c r="K207" s="22">
        <f t="shared" si="47"/>
        <v>0</v>
      </c>
      <c r="L207">
        <f t="shared" si="52"/>
        <v>0</v>
      </c>
      <c r="M207" s="22">
        <f t="shared" si="48"/>
        <v>0</v>
      </c>
      <c r="N207">
        <f>M206*Assumptions!$B$11/$E$2*J207</f>
        <v>0</v>
      </c>
      <c r="O207">
        <f>M206*Assumptions!$B$13/$E$2*J207</f>
        <v>0</v>
      </c>
      <c r="P207">
        <f>H207*Assumptions!$B$15</f>
        <v>0</v>
      </c>
      <c r="Q207">
        <f>O207*Assumptions!$B$17</f>
        <v>0</v>
      </c>
      <c r="R207">
        <f>HLOOKUP(B207,Assumptions!$A$26:$D$27,2,TRUE)</f>
        <v>0</v>
      </c>
      <c r="S207">
        <f t="shared" si="53"/>
        <v>0</v>
      </c>
      <c r="T207">
        <f t="shared" si="49"/>
        <v>0.91666666666666785</v>
      </c>
      <c r="U207">
        <f>IF(B207&gt;$K$2,0,IF(T208=0,0,(1-T208)*Assumptions!$B$11/$E$2*(1-Assumptions!$B$30)))</f>
        <v>0</v>
      </c>
      <c r="V207">
        <f>(N207-O207)*(1-Assumptions!$B$30)-Q207+U206*M206</f>
        <v>0</v>
      </c>
      <c r="W207">
        <f>W206*(1+Assumptions!$B$36)^(1/12)</f>
        <v>1.1764742836575166</v>
      </c>
      <c r="X207" s="19">
        <f>IF(B207&gt;$K$2,0,W206*Assumptions!$B$32/12*M206+V207*Assumptions!$B$34/12)</f>
        <v>0</v>
      </c>
      <c r="Y207" s="20">
        <f>1/(1+HLOOKUP(YEAR(A207),Assumptions!$A$41:$AL$43,3,TRUE))^(1/12)</f>
        <v>0.99823744346557397</v>
      </c>
      <c r="Z207">
        <f t="shared" si="50"/>
        <v>0</v>
      </c>
      <c r="AA207">
        <f t="shared" si="54"/>
        <v>0</v>
      </c>
    </row>
    <row r="208" spans="1:27" x14ac:dyDescent="0.2">
      <c r="A208" s="2">
        <f t="shared" si="55"/>
        <v>49095</v>
      </c>
      <c r="B208">
        <f t="shared" si="51"/>
        <v>289</v>
      </c>
      <c r="C208">
        <f t="shared" si="43"/>
        <v>24</v>
      </c>
      <c r="D208">
        <f t="shared" si="44"/>
        <v>1</v>
      </c>
      <c r="E208">
        <f t="shared" si="45"/>
        <v>79</v>
      </c>
      <c r="F208">
        <f>IF(C208&gt;=$J$2,0,VLOOKUP($E208,'Mortality Table'!$A$3:$C$128,2+G$2,FALSE))</f>
        <v>0</v>
      </c>
      <c r="G208">
        <f>F208*Assumptions!$B$1</f>
        <v>0</v>
      </c>
      <c r="H208">
        <f t="shared" si="46"/>
        <v>0</v>
      </c>
      <c r="I208">
        <f>HLOOKUP(C208,Assumptions!$A$6:$J$7,2,TRUE)</f>
        <v>2.6499999999999999E-2</v>
      </c>
      <c r="J208" s="22">
        <f t="shared" si="42"/>
        <v>0</v>
      </c>
      <c r="K208" s="22">
        <f t="shared" si="47"/>
        <v>0</v>
      </c>
      <c r="L208">
        <f t="shared" si="52"/>
        <v>0</v>
      </c>
      <c r="M208" s="22">
        <f t="shared" si="48"/>
        <v>0</v>
      </c>
      <c r="N208">
        <f>M207*Assumptions!$B$11/$E$2*J208</f>
        <v>0</v>
      </c>
      <c r="O208">
        <f>M207*Assumptions!$B$13/$E$2*J208</f>
        <v>0</v>
      </c>
      <c r="P208">
        <f>H208*Assumptions!$B$15</f>
        <v>0</v>
      </c>
      <c r="Q208">
        <f>O208*Assumptions!$B$17</f>
        <v>0</v>
      </c>
      <c r="R208">
        <f>HLOOKUP(B208,Assumptions!$A$26:$D$27,2,TRUE)</f>
        <v>0</v>
      </c>
      <c r="S208">
        <f t="shared" si="53"/>
        <v>0</v>
      </c>
      <c r="T208">
        <f t="shared" si="49"/>
        <v>0</v>
      </c>
      <c r="U208">
        <f>IF(B208&gt;$K$2,0,IF(T209=0,0,(1-T209)*Assumptions!$B$11/$E$2*(1-Assumptions!$B$30)))</f>
        <v>0</v>
      </c>
      <c r="V208">
        <f>(N208-O208)*(1-Assumptions!$B$30)-Q208+U207*M207</f>
        <v>0</v>
      </c>
      <c r="W208">
        <f>W207*(1+Assumptions!$B$36)^(1/12)</f>
        <v>1.1774502139163585</v>
      </c>
      <c r="X208" s="19">
        <f>IF(B208&gt;$K$2,0,W207*Assumptions!$B$32/12*M207+V208*Assumptions!$B$34/12)</f>
        <v>0</v>
      </c>
      <c r="Y208" s="20">
        <f>1/(1+HLOOKUP(YEAR(A208),Assumptions!$A$41:$AL$43,3,TRUE))^(1/12)</f>
        <v>0.99823744346557397</v>
      </c>
      <c r="Z208">
        <f t="shared" si="50"/>
        <v>0</v>
      </c>
      <c r="AA208">
        <f t="shared" si="54"/>
        <v>0</v>
      </c>
    </row>
    <row r="209" spans="1:27" x14ac:dyDescent="0.2">
      <c r="A209" s="2">
        <f t="shared" si="55"/>
        <v>49125</v>
      </c>
      <c r="B209">
        <f t="shared" si="51"/>
        <v>290</v>
      </c>
      <c r="C209">
        <f t="shared" si="43"/>
        <v>24.083333333333332</v>
      </c>
      <c r="D209">
        <f t="shared" si="44"/>
        <v>0</v>
      </c>
      <c r="E209">
        <f t="shared" si="45"/>
        <v>79</v>
      </c>
      <c r="F209">
        <f>IF(C209&gt;=$J$2,0,VLOOKUP($E209,'Mortality Table'!$A$3:$C$128,2+G$2,FALSE))</f>
        <v>0</v>
      </c>
      <c r="G209">
        <f>F209*Assumptions!$B$1</f>
        <v>0</v>
      </c>
      <c r="H209">
        <f t="shared" si="46"/>
        <v>0</v>
      </c>
      <c r="I209">
        <f>HLOOKUP(C209,Assumptions!$A$6:$J$7,2,TRUE)</f>
        <v>2.6499999999999999E-2</v>
      </c>
      <c r="J209" s="22">
        <f t="shared" si="42"/>
        <v>0</v>
      </c>
      <c r="K209" s="22">
        <f t="shared" si="47"/>
        <v>0</v>
      </c>
      <c r="L209">
        <f t="shared" si="52"/>
        <v>0</v>
      </c>
      <c r="M209" s="22">
        <f t="shared" si="48"/>
        <v>0</v>
      </c>
      <c r="N209">
        <f>M208*Assumptions!$B$11/$E$2*J209</f>
        <v>0</v>
      </c>
      <c r="O209">
        <f>M208*Assumptions!$B$13/$E$2*J209</f>
        <v>0</v>
      </c>
      <c r="P209">
        <f>H209*Assumptions!$B$15</f>
        <v>0</v>
      </c>
      <c r="Q209">
        <f>O209*Assumptions!$B$17</f>
        <v>0</v>
      </c>
      <c r="R209">
        <f>HLOOKUP(B209,Assumptions!$A$26:$D$27,2,TRUE)</f>
        <v>0</v>
      </c>
      <c r="S209">
        <f t="shared" si="53"/>
        <v>0</v>
      </c>
      <c r="T209">
        <f t="shared" si="49"/>
        <v>8.3333333333332149E-2</v>
      </c>
      <c r="U209">
        <f>IF(B209&gt;$K$2,0,IF(T210=0,0,(1-T210)*Assumptions!$B$11/$E$2*(1-Assumptions!$B$30)))</f>
        <v>0</v>
      </c>
      <c r="V209">
        <f>(N209-O209)*(1-Assumptions!$B$30)-Q209+U208*M208</f>
        <v>0</v>
      </c>
      <c r="W209">
        <f>W208*(1+Assumptions!$B$36)^(1/12)</f>
        <v>1.1784269537465473</v>
      </c>
      <c r="X209" s="19">
        <f>IF(B209&gt;$K$2,0,W208*Assumptions!$B$32/12*M208+V209*Assumptions!$B$34/12)</f>
        <v>0</v>
      </c>
      <c r="Y209" s="20">
        <f>1/(1+HLOOKUP(YEAR(A209),Assumptions!$A$41:$AL$43,3,TRUE))^(1/12)</f>
        <v>0.99823744346557397</v>
      </c>
      <c r="Z209">
        <f t="shared" si="50"/>
        <v>0</v>
      </c>
      <c r="AA209">
        <f t="shared" si="54"/>
        <v>0</v>
      </c>
    </row>
    <row r="210" spans="1:27" x14ac:dyDescent="0.2">
      <c r="A210" s="2">
        <f t="shared" si="55"/>
        <v>49156</v>
      </c>
      <c r="B210">
        <f t="shared" si="51"/>
        <v>291</v>
      </c>
      <c r="C210">
        <f t="shared" si="43"/>
        <v>24.166666666666668</v>
      </c>
      <c r="D210">
        <f t="shared" si="44"/>
        <v>0</v>
      </c>
      <c r="E210">
        <f t="shared" si="45"/>
        <v>79</v>
      </c>
      <c r="F210">
        <f>IF(C210&gt;=$J$2,0,VLOOKUP($E210,'Mortality Table'!$A$3:$C$128,2+G$2,FALSE))</f>
        <v>0</v>
      </c>
      <c r="G210">
        <f>F210*Assumptions!$B$1</f>
        <v>0</v>
      </c>
      <c r="H210">
        <f t="shared" si="46"/>
        <v>0</v>
      </c>
      <c r="I210">
        <f>HLOOKUP(C210,Assumptions!$A$6:$J$7,2,TRUE)</f>
        <v>2.6499999999999999E-2</v>
      </c>
      <c r="J210" s="22">
        <f t="shared" si="42"/>
        <v>0</v>
      </c>
      <c r="K210" s="22">
        <f t="shared" si="47"/>
        <v>0</v>
      </c>
      <c r="L210">
        <f t="shared" si="52"/>
        <v>0</v>
      </c>
      <c r="M210" s="22">
        <f t="shared" si="48"/>
        <v>0</v>
      </c>
      <c r="N210">
        <f>M209*Assumptions!$B$11/$E$2*J210</f>
        <v>0</v>
      </c>
      <c r="O210">
        <f>M209*Assumptions!$B$13/$E$2*J210</f>
        <v>0</v>
      </c>
      <c r="P210">
        <f>H210*Assumptions!$B$15</f>
        <v>0</v>
      </c>
      <c r="Q210">
        <f>O210*Assumptions!$B$17</f>
        <v>0</v>
      </c>
      <c r="R210">
        <f>HLOOKUP(B210,Assumptions!$A$26:$D$27,2,TRUE)</f>
        <v>0</v>
      </c>
      <c r="S210">
        <f t="shared" si="53"/>
        <v>0</v>
      </c>
      <c r="T210">
        <f t="shared" si="49"/>
        <v>0.16666666666666785</v>
      </c>
      <c r="U210">
        <f>IF(B210&gt;$K$2,0,IF(T211=0,0,(1-T211)*Assumptions!$B$11/$E$2*(1-Assumptions!$B$30)))</f>
        <v>0</v>
      </c>
      <c r="V210">
        <f>(N210-O210)*(1-Assumptions!$B$30)-Q210+U209*M209</f>
        <v>0</v>
      </c>
      <c r="W210">
        <f>W209*(1+Assumptions!$B$36)^(1/12)</f>
        <v>1.1794045038196528</v>
      </c>
      <c r="X210" s="19">
        <f>IF(B210&gt;$K$2,0,W209*Assumptions!$B$32/12*M209+V210*Assumptions!$B$34/12)</f>
        <v>0</v>
      </c>
      <c r="Y210" s="20">
        <f>1/(1+HLOOKUP(YEAR(A210),Assumptions!$A$41:$AL$43,3,TRUE))^(1/12)</f>
        <v>0.99823744346557397</v>
      </c>
      <c r="Z210">
        <f t="shared" si="50"/>
        <v>0</v>
      </c>
      <c r="AA210">
        <f t="shared" si="54"/>
        <v>0</v>
      </c>
    </row>
    <row r="211" spans="1:27" x14ac:dyDescent="0.2">
      <c r="A211" s="2">
        <f t="shared" si="55"/>
        <v>49187</v>
      </c>
      <c r="B211">
        <f t="shared" si="51"/>
        <v>292</v>
      </c>
      <c r="C211">
        <f t="shared" si="43"/>
        <v>24.25</v>
      </c>
      <c r="D211">
        <f t="shared" si="44"/>
        <v>0</v>
      </c>
      <c r="E211">
        <f t="shared" si="45"/>
        <v>79</v>
      </c>
      <c r="F211">
        <f>IF(C211&gt;=$J$2,0,VLOOKUP($E211,'Mortality Table'!$A$3:$C$128,2+G$2,FALSE))</f>
        <v>0</v>
      </c>
      <c r="G211">
        <f>F211*Assumptions!$B$1</f>
        <v>0</v>
      </c>
      <c r="H211">
        <f t="shared" si="46"/>
        <v>0</v>
      </c>
      <c r="I211">
        <f>HLOOKUP(C211,Assumptions!$A$6:$J$7,2,TRUE)</f>
        <v>2.6499999999999999E-2</v>
      </c>
      <c r="J211" s="22">
        <f t="shared" si="42"/>
        <v>0</v>
      </c>
      <c r="K211" s="22">
        <f t="shared" si="47"/>
        <v>0</v>
      </c>
      <c r="L211">
        <f t="shared" si="52"/>
        <v>0</v>
      </c>
      <c r="M211" s="22">
        <f t="shared" si="48"/>
        <v>0</v>
      </c>
      <c r="N211">
        <f>M210*Assumptions!$B$11/$E$2*J211</f>
        <v>0</v>
      </c>
      <c r="O211">
        <f>M210*Assumptions!$B$13/$E$2*J211</f>
        <v>0</v>
      </c>
      <c r="P211">
        <f>H211*Assumptions!$B$15</f>
        <v>0</v>
      </c>
      <c r="Q211">
        <f>O211*Assumptions!$B$17</f>
        <v>0</v>
      </c>
      <c r="R211">
        <f>HLOOKUP(B211,Assumptions!$A$26:$D$27,2,TRUE)</f>
        <v>0</v>
      </c>
      <c r="S211">
        <f t="shared" si="53"/>
        <v>0</v>
      </c>
      <c r="T211">
        <f t="shared" si="49"/>
        <v>0.25</v>
      </c>
      <c r="U211">
        <f>IF(B211&gt;$K$2,0,IF(T212=0,0,(1-T212)*Assumptions!$B$11/$E$2*(1-Assumptions!$B$30)))</f>
        <v>0</v>
      </c>
      <c r="V211">
        <f>(N211-O211)*(1-Assumptions!$B$30)-Q211+U210*M210</f>
        <v>0</v>
      </c>
      <c r="W211">
        <f>W210*(1+Assumptions!$B$36)^(1/12)</f>
        <v>1.1803828648078027</v>
      </c>
      <c r="X211" s="19">
        <f>IF(B211&gt;$K$2,0,W210*Assumptions!$B$32/12*M210+V211*Assumptions!$B$34/12)</f>
        <v>0</v>
      </c>
      <c r="Y211" s="20">
        <f>1/(1+HLOOKUP(YEAR(A211),Assumptions!$A$41:$AL$43,3,TRUE))^(1/12)</f>
        <v>0.99823744346557397</v>
      </c>
      <c r="Z211">
        <f t="shared" si="50"/>
        <v>0</v>
      </c>
      <c r="AA211">
        <f t="shared" si="54"/>
        <v>0</v>
      </c>
    </row>
    <row r="212" spans="1:27" x14ac:dyDescent="0.2">
      <c r="A212" s="2">
        <f t="shared" si="55"/>
        <v>49217</v>
      </c>
      <c r="B212">
        <f t="shared" si="51"/>
        <v>293</v>
      </c>
      <c r="C212">
        <f t="shared" si="43"/>
        <v>24.333333333333332</v>
      </c>
      <c r="D212">
        <f t="shared" si="44"/>
        <v>0</v>
      </c>
      <c r="E212">
        <f t="shared" si="45"/>
        <v>79</v>
      </c>
      <c r="F212">
        <f>IF(C212&gt;=$J$2,0,VLOOKUP($E212,'Mortality Table'!$A$3:$C$128,2+G$2,FALSE))</f>
        <v>0</v>
      </c>
      <c r="G212">
        <f>F212*Assumptions!$B$1</f>
        <v>0</v>
      </c>
      <c r="H212">
        <f t="shared" si="46"/>
        <v>0</v>
      </c>
      <c r="I212">
        <f>HLOOKUP(C212,Assumptions!$A$6:$J$7,2,TRUE)</f>
        <v>2.6499999999999999E-2</v>
      </c>
      <c r="J212" s="22">
        <f t="shared" si="42"/>
        <v>0</v>
      </c>
      <c r="K212" s="22">
        <f t="shared" si="47"/>
        <v>0</v>
      </c>
      <c r="L212">
        <f t="shared" si="52"/>
        <v>0</v>
      </c>
      <c r="M212" s="22">
        <f t="shared" si="48"/>
        <v>0</v>
      </c>
      <c r="N212">
        <f>M211*Assumptions!$B$11/$E$2*J212</f>
        <v>0</v>
      </c>
      <c r="O212">
        <f>M211*Assumptions!$B$13/$E$2*J212</f>
        <v>0</v>
      </c>
      <c r="P212">
        <f>H212*Assumptions!$B$15</f>
        <v>0</v>
      </c>
      <c r="Q212">
        <f>O212*Assumptions!$B$17</f>
        <v>0</v>
      </c>
      <c r="R212">
        <f>HLOOKUP(B212,Assumptions!$A$26:$D$27,2,TRUE)</f>
        <v>0</v>
      </c>
      <c r="S212">
        <f t="shared" si="53"/>
        <v>0</v>
      </c>
      <c r="T212">
        <f t="shared" si="49"/>
        <v>0.33333333333333215</v>
      </c>
      <c r="U212">
        <f>IF(B212&gt;$K$2,0,IF(T213=0,0,(1-T213)*Assumptions!$B$11/$E$2*(1-Assumptions!$B$30)))</f>
        <v>0</v>
      </c>
      <c r="V212">
        <f>(N212-O212)*(1-Assumptions!$B$30)-Q212+U211*M211</f>
        <v>0</v>
      </c>
      <c r="W212">
        <f>W211*(1+Assumptions!$B$36)^(1/12)</f>
        <v>1.181362037383682</v>
      </c>
      <c r="X212" s="19">
        <f>IF(B212&gt;$K$2,0,W211*Assumptions!$B$32/12*M211+V212*Assumptions!$B$34/12)</f>
        <v>0</v>
      </c>
      <c r="Y212" s="20">
        <f>1/(1+HLOOKUP(YEAR(A212),Assumptions!$A$41:$AL$43,3,TRUE))^(1/12)</f>
        <v>0.99823744346557397</v>
      </c>
      <c r="Z212">
        <f t="shared" si="50"/>
        <v>0</v>
      </c>
      <c r="AA212">
        <f t="shared" si="54"/>
        <v>0</v>
      </c>
    </row>
    <row r="213" spans="1:27" x14ac:dyDescent="0.2">
      <c r="A213" s="2">
        <f t="shared" si="55"/>
        <v>49248</v>
      </c>
      <c r="B213">
        <f t="shared" si="51"/>
        <v>294</v>
      </c>
      <c r="C213">
        <f t="shared" si="43"/>
        <v>24.416666666666668</v>
      </c>
      <c r="D213">
        <f t="shared" si="44"/>
        <v>0</v>
      </c>
      <c r="E213">
        <f t="shared" si="45"/>
        <v>79</v>
      </c>
      <c r="F213">
        <f>IF(C213&gt;=$J$2,0,VLOOKUP($E213,'Mortality Table'!$A$3:$C$128,2+G$2,FALSE))</f>
        <v>0</v>
      </c>
      <c r="G213">
        <f>F213*Assumptions!$B$1</f>
        <v>0</v>
      </c>
      <c r="H213">
        <f t="shared" si="46"/>
        <v>0</v>
      </c>
      <c r="I213">
        <f>HLOOKUP(C213,Assumptions!$A$6:$J$7,2,TRUE)</f>
        <v>2.6499999999999999E-2</v>
      </c>
      <c r="J213" s="22">
        <f t="shared" si="42"/>
        <v>0</v>
      </c>
      <c r="K213" s="22">
        <f t="shared" si="47"/>
        <v>0</v>
      </c>
      <c r="L213">
        <f t="shared" si="52"/>
        <v>0</v>
      </c>
      <c r="M213" s="22">
        <f t="shared" si="48"/>
        <v>0</v>
      </c>
      <c r="N213">
        <f>M212*Assumptions!$B$11/$E$2*J213</f>
        <v>0</v>
      </c>
      <c r="O213">
        <f>M212*Assumptions!$B$13/$E$2*J213</f>
        <v>0</v>
      </c>
      <c r="P213">
        <f>H213*Assumptions!$B$15</f>
        <v>0</v>
      </c>
      <c r="Q213">
        <f>O213*Assumptions!$B$17</f>
        <v>0</v>
      </c>
      <c r="R213">
        <f>HLOOKUP(B213,Assumptions!$A$26:$D$27,2,TRUE)</f>
        <v>0</v>
      </c>
      <c r="S213">
        <f t="shared" si="53"/>
        <v>0</v>
      </c>
      <c r="T213">
        <f t="shared" si="49"/>
        <v>0.41666666666666785</v>
      </c>
      <c r="U213">
        <f>IF(B213&gt;$K$2,0,IF(T214=0,0,(1-T214)*Assumptions!$B$11/$E$2*(1-Assumptions!$B$30)))</f>
        <v>0</v>
      </c>
      <c r="V213">
        <f>(N213-O213)*(1-Assumptions!$B$30)-Q213+U212*M212</f>
        <v>0</v>
      </c>
      <c r="W213">
        <f>W212*(1+Assumptions!$B$36)^(1/12)</f>
        <v>1.1823420222205334</v>
      </c>
      <c r="X213" s="19">
        <f>IF(B213&gt;$K$2,0,W212*Assumptions!$B$32/12*M212+V213*Assumptions!$B$34/12)</f>
        <v>0</v>
      </c>
      <c r="Y213" s="20">
        <f>1/(1+HLOOKUP(YEAR(A213),Assumptions!$A$41:$AL$43,3,TRUE))^(1/12)</f>
        <v>0.99823744346557397</v>
      </c>
      <c r="Z213">
        <f t="shared" si="50"/>
        <v>0</v>
      </c>
      <c r="AA213">
        <f t="shared" si="54"/>
        <v>0</v>
      </c>
    </row>
    <row r="214" spans="1:27" x14ac:dyDescent="0.2">
      <c r="A214" s="2">
        <f t="shared" si="55"/>
        <v>49278</v>
      </c>
      <c r="B214">
        <f t="shared" si="51"/>
        <v>295</v>
      </c>
      <c r="C214">
        <f t="shared" si="43"/>
        <v>24.5</v>
      </c>
      <c r="D214">
        <f t="shared" si="44"/>
        <v>0</v>
      </c>
      <c r="E214">
        <f t="shared" si="45"/>
        <v>79</v>
      </c>
      <c r="F214">
        <f>IF(C214&gt;=$J$2,0,VLOOKUP($E214,'Mortality Table'!$A$3:$C$128,2+G$2,FALSE))</f>
        <v>0</v>
      </c>
      <c r="G214">
        <f>F214*Assumptions!$B$1</f>
        <v>0</v>
      </c>
      <c r="H214">
        <f t="shared" si="46"/>
        <v>0</v>
      </c>
      <c r="I214">
        <f>HLOOKUP(C214,Assumptions!$A$6:$J$7,2,TRUE)</f>
        <v>2.6499999999999999E-2</v>
      </c>
      <c r="J214" s="22">
        <f t="shared" si="42"/>
        <v>0</v>
      </c>
      <c r="K214" s="22">
        <f t="shared" si="47"/>
        <v>0</v>
      </c>
      <c r="L214">
        <f t="shared" si="52"/>
        <v>0</v>
      </c>
      <c r="M214" s="22">
        <f t="shared" si="48"/>
        <v>0</v>
      </c>
      <c r="N214">
        <f>M213*Assumptions!$B$11/$E$2*J214</f>
        <v>0</v>
      </c>
      <c r="O214">
        <f>M213*Assumptions!$B$13/$E$2*J214</f>
        <v>0</v>
      </c>
      <c r="P214">
        <f>H214*Assumptions!$B$15</f>
        <v>0</v>
      </c>
      <c r="Q214">
        <f>O214*Assumptions!$B$17</f>
        <v>0</v>
      </c>
      <c r="R214">
        <f>HLOOKUP(B214,Assumptions!$A$26:$D$27,2,TRUE)</f>
        <v>0</v>
      </c>
      <c r="S214">
        <f t="shared" si="53"/>
        <v>0</v>
      </c>
      <c r="T214">
        <f t="shared" si="49"/>
        <v>0.5</v>
      </c>
      <c r="U214">
        <f>IF(B214&gt;$K$2,0,IF(T215=0,0,(1-T215)*Assumptions!$B$11/$E$2*(1-Assumptions!$B$30)))</f>
        <v>0</v>
      </c>
      <c r="V214">
        <f>(N214-O214)*(1-Assumptions!$B$30)-Q214+U213*M213</f>
        <v>0</v>
      </c>
      <c r="W214">
        <f>W213*(1+Assumptions!$B$36)^(1/12)</f>
        <v>1.1833228199921584</v>
      </c>
      <c r="X214" s="19">
        <f>IF(B214&gt;$K$2,0,W213*Assumptions!$B$32/12*M213+V214*Assumptions!$B$34/12)</f>
        <v>0</v>
      </c>
      <c r="Y214" s="20">
        <f>1/(1+HLOOKUP(YEAR(A214),Assumptions!$A$41:$AL$43,3,TRUE))^(1/12)</f>
        <v>0.99823744346557397</v>
      </c>
      <c r="Z214">
        <f t="shared" si="50"/>
        <v>0</v>
      </c>
      <c r="AA214">
        <f t="shared" si="54"/>
        <v>0</v>
      </c>
    </row>
    <row r="215" spans="1:27" x14ac:dyDescent="0.2">
      <c r="A215" s="2">
        <f t="shared" si="55"/>
        <v>49309</v>
      </c>
      <c r="B215">
        <f t="shared" si="51"/>
        <v>296</v>
      </c>
      <c r="C215">
        <f t="shared" si="43"/>
        <v>24.583333333333332</v>
      </c>
      <c r="D215">
        <f t="shared" si="44"/>
        <v>0</v>
      </c>
      <c r="E215">
        <f t="shared" si="45"/>
        <v>79</v>
      </c>
      <c r="F215">
        <f>IF(C215&gt;=$J$2,0,VLOOKUP($E215,'Mortality Table'!$A$3:$C$128,2+G$2,FALSE))</f>
        <v>0</v>
      </c>
      <c r="G215">
        <f>F215*Assumptions!$B$1</f>
        <v>0</v>
      </c>
      <c r="H215">
        <f t="shared" si="46"/>
        <v>0</v>
      </c>
      <c r="I215">
        <f>HLOOKUP(C215,Assumptions!$A$6:$J$7,2,TRUE)</f>
        <v>2.6499999999999999E-2</v>
      </c>
      <c r="J215" s="22">
        <f t="shared" si="42"/>
        <v>0</v>
      </c>
      <c r="K215" s="22">
        <f t="shared" si="47"/>
        <v>0</v>
      </c>
      <c r="L215">
        <f t="shared" si="52"/>
        <v>0</v>
      </c>
      <c r="M215" s="22">
        <f t="shared" si="48"/>
        <v>0</v>
      </c>
      <c r="N215">
        <f>M214*Assumptions!$B$11/$E$2*J215</f>
        <v>0</v>
      </c>
      <c r="O215">
        <f>M214*Assumptions!$B$13/$E$2*J215</f>
        <v>0</v>
      </c>
      <c r="P215">
        <f>H215*Assumptions!$B$15</f>
        <v>0</v>
      </c>
      <c r="Q215">
        <f>O215*Assumptions!$B$17</f>
        <v>0</v>
      </c>
      <c r="R215">
        <f>HLOOKUP(B215,Assumptions!$A$26:$D$27,2,TRUE)</f>
        <v>0</v>
      </c>
      <c r="S215">
        <f t="shared" si="53"/>
        <v>0</v>
      </c>
      <c r="T215">
        <f t="shared" si="49"/>
        <v>0.58333333333333215</v>
      </c>
      <c r="U215">
        <f>IF(B215&gt;$K$2,0,IF(T216=0,0,(1-T216)*Assumptions!$B$11/$E$2*(1-Assumptions!$B$30)))</f>
        <v>0</v>
      </c>
      <c r="V215">
        <f>(N215-O215)*(1-Assumptions!$B$30)-Q215+U214*M214</f>
        <v>0</v>
      </c>
      <c r="W215">
        <f>W214*(1+Assumptions!$B$36)^(1/12)</f>
        <v>1.1843044313729174</v>
      </c>
      <c r="X215" s="19">
        <f>IF(B215&gt;$K$2,0,W214*Assumptions!$B$32/12*M214+V215*Assumptions!$B$34/12)</f>
        <v>0</v>
      </c>
      <c r="Y215" s="20">
        <f>1/(1+HLOOKUP(YEAR(A215),Assumptions!$A$41:$AL$43,3,TRUE))^(1/12)</f>
        <v>0.99823744346557397</v>
      </c>
      <c r="Z215">
        <f t="shared" si="50"/>
        <v>0</v>
      </c>
      <c r="AA215">
        <f t="shared" si="54"/>
        <v>0</v>
      </c>
    </row>
    <row r="216" spans="1:27" x14ac:dyDescent="0.2">
      <c r="A216" s="2">
        <f t="shared" si="55"/>
        <v>49340</v>
      </c>
      <c r="B216">
        <f t="shared" si="51"/>
        <v>297</v>
      </c>
      <c r="C216">
        <f t="shared" si="43"/>
        <v>24.666666666666668</v>
      </c>
      <c r="D216">
        <f t="shared" si="44"/>
        <v>0</v>
      </c>
      <c r="E216">
        <f t="shared" si="45"/>
        <v>79</v>
      </c>
      <c r="F216">
        <f>IF(C216&gt;=$J$2,0,VLOOKUP($E216,'Mortality Table'!$A$3:$C$128,2+G$2,FALSE))</f>
        <v>0</v>
      </c>
      <c r="G216">
        <f>F216*Assumptions!$B$1</f>
        <v>0</v>
      </c>
      <c r="H216">
        <f t="shared" si="46"/>
        <v>0</v>
      </c>
      <c r="I216">
        <f>HLOOKUP(C216,Assumptions!$A$6:$J$7,2,TRUE)</f>
        <v>2.6499999999999999E-2</v>
      </c>
      <c r="J216" s="22">
        <f t="shared" si="42"/>
        <v>0</v>
      </c>
      <c r="K216" s="22">
        <f t="shared" si="47"/>
        <v>0</v>
      </c>
      <c r="L216">
        <f t="shared" si="52"/>
        <v>0</v>
      </c>
      <c r="M216" s="22">
        <f t="shared" si="48"/>
        <v>0</v>
      </c>
      <c r="N216">
        <f>M215*Assumptions!$B$11/$E$2*J216</f>
        <v>0</v>
      </c>
      <c r="O216">
        <f>M215*Assumptions!$B$13/$E$2*J216</f>
        <v>0</v>
      </c>
      <c r="P216">
        <f>H216*Assumptions!$B$15</f>
        <v>0</v>
      </c>
      <c r="Q216">
        <f>O216*Assumptions!$B$17</f>
        <v>0</v>
      </c>
      <c r="R216">
        <f>HLOOKUP(B216,Assumptions!$A$26:$D$27,2,TRUE)</f>
        <v>0</v>
      </c>
      <c r="S216">
        <f t="shared" si="53"/>
        <v>0</v>
      </c>
      <c r="T216">
        <f t="shared" si="49"/>
        <v>0.66666666666666785</v>
      </c>
      <c r="U216">
        <f>IF(B216&gt;$K$2,0,IF(T217=0,0,(1-T217)*Assumptions!$B$11/$E$2*(1-Assumptions!$B$30)))</f>
        <v>0</v>
      </c>
      <c r="V216">
        <f>(N216-O216)*(1-Assumptions!$B$30)-Q216+U215*M215</f>
        <v>0</v>
      </c>
      <c r="W216">
        <f>W215*(1+Assumptions!$B$36)^(1/12)</f>
        <v>1.1852868570377304</v>
      </c>
      <c r="X216" s="19">
        <f>IF(B216&gt;$K$2,0,W215*Assumptions!$B$32/12*M215+V216*Assumptions!$B$34/12)</f>
        <v>0</v>
      </c>
      <c r="Y216" s="20">
        <f>1/(1+HLOOKUP(YEAR(A216),Assumptions!$A$41:$AL$43,3,TRUE))^(1/12)</f>
        <v>0.99817964001618509</v>
      </c>
      <c r="Z216">
        <f t="shared" si="50"/>
        <v>0</v>
      </c>
      <c r="AA216">
        <f t="shared" si="54"/>
        <v>0</v>
      </c>
    </row>
    <row r="217" spans="1:27" x14ac:dyDescent="0.2">
      <c r="A217" s="2">
        <f t="shared" si="55"/>
        <v>49368</v>
      </c>
      <c r="B217">
        <f t="shared" si="51"/>
        <v>298</v>
      </c>
      <c r="C217">
        <f t="shared" si="43"/>
        <v>24.75</v>
      </c>
      <c r="D217">
        <f t="shared" si="44"/>
        <v>0</v>
      </c>
      <c r="E217">
        <f t="shared" si="45"/>
        <v>79</v>
      </c>
      <c r="F217">
        <f>IF(C217&gt;=$J$2,0,VLOOKUP($E217,'Mortality Table'!$A$3:$C$128,2+G$2,FALSE))</f>
        <v>0</v>
      </c>
      <c r="G217">
        <f>F217*Assumptions!$B$1</f>
        <v>0</v>
      </c>
      <c r="H217">
        <f t="shared" si="46"/>
        <v>0</v>
      </c>
      <c r="I217">
        <f>HLOOKUP(C217,Assumptions!$A$6:$J$7,2,TRUE)</f>
        <v>2.6499999999999999E-2</v>
      </c>
      <c r="J217" s="22">
        <f t="shared" si="42"/>
        <v>0</v>
      </c>
      <c r="K217" s="22">
        <f t="shared" si="47"/>
        <v>0</v>
      </c>
      <c r="L217">
        <f t="shared" si="52"/>
        <v>0</v>
      </c>
      <c r="M217" s="22">
        <f t="shared" si="48"/>
        <v>0</v>
      </c>
      <c r="N217">
        <f>M216*Assumptions!$B$11/$E$2*J217</f>
        <v>0</v>
      </c>
      <c r="O217">
        <f>M216*Assumptions!$B$13/$E$2*J217</f>
        <v>0</v>
      </c>
      <c r="P217">
        <f>H217*Assumptions!$B$15</f>
        <v>0</v>
      </c>
      <c r="Q217">
        <f>O217*Assumptions!$B$17</f>
        <v>0</v>
      </c>
      <c r="R217">
        <f>HLOOKUP(B217,Assumptions!$A$26:$D$27,2,TRUE)</f>
        <v>0</v>
      </c>
      <c r="S217">
        <f t="shared" si="53"/>
        <v>0</v>
      </c>
      <c r="T217">
        <f t="shared" si="49"/>
        <v>0.75</v>
      </c>
      <c r="U217">
        <f>IF(B217&gt;$K$2,0,IF(T218=0,0,(1-T218)*Assumptions!$B$11/$E$2*(1-Assumptions!$B$30)))</f>
        <v>0</v>
      </c>
      <c r="V217">
        <f>(N217-O217)*(1-Assumptions!$B$30)-Q217+U216*M216</f>
        <v>0</v>
      </c>
      <c r="W217">
        <f>W216*(1+Assumptions!$B$36)^(1/12)</f>
        <v>1.1862700976620768</v>
      </c>
      <c r="X217" s="19">
        <f>IF(B217&gt;$K$2,0,W216*Assumptions!$B$32/12*M216+V217*Assumptions!$B$34/12)</f>
        <v>0</v>
      </c>
      <c r="Y217" s="20">
        <f>1/(1+HLOOKUP(YEAR(A217),Assumptions!$A$41:$AL$43,3,TRUE))^(1/12)</f>
        <v>0.99817964001618509</v>
      </c>
      <c r="Z217">
        <f t="shared" si="50"/>
        <v>0</v>
      </c>
      <c r="AA217">
        <f t="shared" si="54"/>
        <v>0</v>
      </c>
    </row>
    <row r="218" spans="1:27" x14ac:dyDescent="0.2">
      <c r="A218" s="2">
        <f t="shared" si="55"/>
        <v>49399</v>
      </c>
      <c r="B218">
        <f t="shared" si="51"/>
        <v>299</v>
      </c>
      <c r="C218">
        <f t="shared" si="43"/>
        <v>24.833333333333332</v>
      </c>
      <c r="D218">
        <f t="shared" si="44"/>
        <v>0</v>
      </c>
      <c r="E218">
        <f t="shared" si="45"/>
        <v>79</v>
      </c>
      <c r="F218">
        <f>IF(C218&gt;=$J$2,0,VLOOKUP($E218,'Mortality Table'!$A$3:$C$128,2+G$2,FALSE))</f>
        <v>0</v>
      </c>
      <c r="G218">
        <f>F218*Assumptions!$B$1</f>
        <v>0</v>
      </c>
      <c r="H218">
        <f t="shared" si="46"/>
        <v>0</v>
      </c>
      <c r="I218">
        <f>HLOOKUP(C218,Assumptions!$A$6:$J$7,2,TRUE)</f>
        <v>2.6499999999999999E-2</v>
      </c>
      <c r="J218" s="22">
        <f t="shared" si="42"/>
        <v>0</v>
      </c>
      <c r="K218" s="22">
        <f t="shared" si="47"/>
        <v>0</v>
      </c>
      <c r="L218">
        <f t="shared" si="52"/>
        <v>0</v>
      </c>
      <c r="M218" s="22">
        <f t="shared" si="48"/>
        <v>0</v>
      </c>
      <c r="N218">
        <f>M217*Assumptions!$B$11/$E$2*J218</f>
        <v>0</v>
      </c>
      <c r="O218">
        <f>M217*Assumptions!$B$13/$E$2*J218</f>
        <v>0</v>
      </c>
      <c r="P218">
        <f>H218*Assumptions!$B$15</f>
        <v>0</v>
      </c>
      <c r="Q218">
        <f>O218*Assumptions!$B$17</f>
        <v>0</v>
      </c>
      <c r="R218">
        <f>HLOOKUP(B218,Assumptions!$A$26:$D$27,2,TRUE)</f>
        <v>0</v>
      </c>
      <c r="S218">
        <f t="shared" si="53"/>
        <v>0</v>
      </c>
      <c r="T218">
        <f t="shared" si="49"/>
        <v>0.83333333333333215</v>
      </c>
      <c r="U218">
        <f>IF(B218&gt;$K$2,0,IF(T219=0,0,(1-T219)*Assumptions!$B$11/$E$2*(1-Assumptions!$B$30)))</f>
        <v>0</v>
      </c>
      <c r="V218">
        <f>(N218-O218)*(1-Assumptions!$B$30)-Q218+U217*M217</f>
        <v>0</v>
      </c>
      <c r="W218">
        <f>W217*(1+Assumptions!$B$36)^(1/12)</f>
        <v>1.1872541539219967</v>
      </c>
      <c r="X218" s="19">
        <f>IF(B218&gt;$K$2,0,W217*Assumptions!$B$32/12*M217+V218*Assumptions!$B$34/12)</f>
        <v>0</v>
      </c>
      <c r="Y218" s="20">
        <f>1/(1+HLOOKUP(YEAR(A218),Assumptions!$A$41:$AL$43,3,TRUE))^(1/12)</f>
        <v>0.99817964001618509</v>
      </c>
      <c r="Z218">
        <f t="shared" si="50"/>
        <v>0</v>
      </c>
      <c r="AA218">
        <f t="shared" si="54"/>
        <v>0</v>
      </c>
    </row>
    <row r="219" spans="1:27" x14ac:dyDescent="0.2">
      <c r="A219" s="2">
        <f t="shared" si="55"/>
        <v>49429</v>
      </c>
      <c r="B219">
        <f t="shared" si="51"/>
        <v>300</v>
      </c>
      <c r="C219">
        <f t="shared" si="43"/>
        <v>24.916666666666668</v>
      </c>
      <c r="D219">
        <f t="shared" si="44"/>
        <v>0</v>
      </c>
      <c r="E219">
        <f t="shared" si="45"/>
        <v>79</v>
      </c>
      <c r="F219">
        <f>IF(C219&gt;=$J$2,0,VLOOKUP($E219,'Mortality Table'!$A$3:$C$128,2+G$2,FALSE))</f>
        <v>0</v>
      </c>
      <c r="G219">
        <f>F219*Assumptions!$B$1</f>
        <v>0</v>
      </c>
      <c r="H219">
        <f t="shared" si="46"/>
        <v>0</v>
      </c>
      <c r="I219">
        <f>HLOOKUP(C219,Assumptions!$A$6:$J$7,2,TRUE)</f>
        <v>2.6499999999999999E-2</v>
      </c>
      <c r="J219" s="22">
        <f t="shared" si="42"/>
        <v>0</v>
      </c>
      <c r="K219" s="22">
        <f t="shared" si="47"/>
        <v>0</v>
      </c>
      <c r="L219">
        <f t="shared" si="52"/>
        <v>0</v>
      </c>
      <c r="M219" s="22">
        <f t="shared" si="48"/>
        <v>0</v>
      </c>
      <c r="N219">
        <f>M218*Assumptions!$B$11/$E$2*J219</f>
        <v>0</v>
      </c>
      <c r="O219">
        <f>M218*Assumptions!$B$13/$E$2*J219</f>
        <v>0</v>
      </c>
      <c r="P219">
        <f>H219*Assumptions!$B$15</f>
        <v>0</v>
      </c>
      <c r="Q219">
        <f>O219*Assumptions!$B$17</f>
        <v>0</v>
      </c>
      <c r="R219">
        <f>HLOOKUP(B219,Assumptions!$A$26:$D$27,2,TRUE)</f>
        <v>0</v>
      </c>
      <c r="S219">
        <f t="shared" si="53"/>
        <v>0</v>
      </c>
      <c r="T219">
        <f t="shared" si="49"/>
        <v>0.91666666666666785</v>
      </c>
      <c r="U219">
        <f>IF(B219&gt;$K$2,0,IF(T220=0,0,(1-T220)*Assumptions!$B$11/$E$2*(1-Assumptions!$B$30)))</f>
        <v>0</v>
      </c>
      <c r="V219">
        <f>(N219-O219)*(1-Assumptions!$B$30)-Q219+U218*M218</f>
        <v>0</v>
      </c>
      <c r="W219">
        <f>W218*(1+Assumptions!$B$36)^(1/12)</f>
        <v>1.1882390264940907</v>
      </c>
      <c r="X219" s="19">
        <f>IF(B219&gt;$K$2,0,W218*Assumptions!$B$32/12*M218+V219*Assumptions!$B$34/12)</f>
        <v>0</v>
      </c>
      <c r="Y219" s="20">
        <f>1/(1+HLOOKUP(YEAR(A219),Assumptions!$A$41:$AL$43,3,TRUE))^(1/12)</f>
        <v>0.99817964001618509</v>
      </c>
      <c r="Z219">
        <f t="shared" si="50"/>
        <v>0</v>
      </c>
      <c r="AA219">
        <f t="shared" si="54"/>
        <v>0</v>
      </c>
    </row>
    <row r="220" spans="1:27" x14ac:dyDescent="0.2">
      <c r="A220" s="2">
        <f t="shared" si="55"/>
        <v>49460</v>
      </c>
      <c r="B220">
        <f t="shared" si="51"/>
        <v>301</v>
      </c>
      <c r="C220">
        <f t="shared" si="43"/>
        <v>25</v>
      </c>
      <c r="D220">
        <f t="shared" si="44"/>
        <v>1</v>
      </c>
      <c r="E220">
        <f t="shared" si="45"/>
        <v>80</v>
      </c>
      <c r="F220">
        <f>IF(C220&gt;=$J$2,0,VLOOKUP($E220,'Mortality Table'!$A$3:$C$128,2+G$2,FALSE))</f>
        <v>0</v>
      </c>
      <c r="G220">
        <f>F220*Assumptions!$B$1</f>
        <v>0</v>
      </c>
      <c r="H220">
        <f t="shared" si="46"/>
        <v>0</v>
      </c>
      <c r="I220">
        <f>HLOOKUP(C220,Assumptions!$A$6:$J$7,2,TRUE)</f>
        <v>2.6499999999999999E-2</v>
      </c>
      <c r="J220" s="22">
        <f t="shared" si="42"/>
        <v>0</v>
      </c>
      <c r="K220" s="22">
        <f t="shared" si="47"/>
        <v>0</v>
      </c>
      <c r="L220">
        <f t="shared" si="52"/>
        <v>0</v>
      </c>
      <c r="M220" s="22">
        <f t="shared" si="48"/>
        <v>0</v>
      </c>
      <c r="N220">
        <f>M219*Assumptions!$B$11/$E$2*J220</f>
        <v>0</v>
      </c>
      <c r="O220">
        <f>M219*Assumptions!$B$13/$E$2*J220</f>
        <v>0</v>
      </c>
      <c r="P220">
        <f>H220*Assumptions!$B$15</f>
        <v>0</v>
      </c>
      <c r="Q220">
        <f>O220*Assumptions!$B$17</f>
        <v>0</v>
      </c>
      <c r="R220">
        <f>HLOOKUP(B220,Assumptions!$A$26:$D$27,2,TRUE)</f>
        <v>0</v>
      </c>
      <c r="S220">
        <f t="shared" si="53"/>
        <v>0</v>
      </c>
      <c r="T220">
        <f t="shared" si="49"/>
        <v>0</v>
      </c>
      <c r="U220">
        <f>IF(B220&gt;$K$2,0,IF(T221=0,0,(1-T221)*Assumptions!$B$11/$E$2*(1-Assumptions!$B$30)))</f>
        <v>0</v>
      </c>
      <c r="V220">
        <f>(N220-O220)*(1-Assumptions!$B$30)-Q220+U219*M219</f>
        <v>0</v>
      </c>
      <c r="W220">
        <f>W219*(1+Assumptions!$B$36)^(1/12)</f>
        <v>1.1892247160555212</v>
      </c>
      <c r="X220" s="19">
        <f>IF(B220&gt;$K$2,0,W219*Assumptions!$B$32/12*M219+V220*Assumptions!$B$34/12)</f>
        <v>0</v>
      </c>
      <c r="Y220" s="20">
        <f>1/(1+HLOOKUP(YEAR(A220),Assumptions!$A$41:$AL$43,3,TRUE))^(1/12)</f>
        <v>0.99817964001618509</v>
      </c>
      <c r="Z220">
        <f t="shared" si="50"/>
        <v>0</v>
      </c>
      <c r="AA220">
        <f t="shared" si="54"/>
        <v>0</v>
      </c>
    </row>
    <row r="221" spans="1:27" x14ac:dyDescent="0.2">
      <c r="A221" s="2">
        <f t="shared" si="55"/>
        <v>49490</v>
      </c>
      <c r="B221">
        <f t="shared" si="51"/>
        <v>302</v>
      </c>
      <c r="C221">
        <f t="shared" si="43"/>
        <v>25.083333333333332</v>
      </c>
      <c r="D221">
        <f t="shared" si="44"/>
        <v>0</v>
      </c>
      <c r="E221">
        <f t="shared" si="45"/>
        <v>80</v>
      </c>
      <c r="F221">
        <f>IF(C221&gt;=$J$2,0,VLOOKUP($E221,'Mortality Table'!$A$3:$C$128,2+G$2,FALSE))</f>
        <v>0</v>
      </c>
      <c r="G221">
        <f>F221*Assumptions!$B$1</f>
        <v>0</v>
      </c>
      <c r="H221">
        <f t="shared" si="46"/>
        <v>0</v>
      </c>
      <c r="I221">
        <f>HLOOKUP(C221,Assumptions!$A$6:$J$7,2,TRUE)</f>
        <v>2.6499999999999999E-2</v>
      </c>
      <c r="J221" s="22">
        <f t="shared" si="42"/>
        <v>0</v>
      </c>
      <c r="K221" s="22">
        <f t="shared" si="47"/>
        <v>0</v>
      </c>
      <c r="L221">
        <f t="shared" si="52"/>
        <v>0</v>
      </c>
      <c r="M221" s="22">
        <f t="shared" si="48"/>
        <v>0</v>
      </c>
      <c r="N221">
        <f>M220*Assumptions!$B$11/$E$2*J221</f>
        <v>0</v>
      </c>
      <c r="O221">
        <f>M220*Assumptions!$B$13/$E$2*J221</f>
        <v>0</v>
      </c>
      <c r="P221">
        <f>H221*Assumptions!$B$15</f>
        <v>0</v>
      </c>
      <c r="Q221">
        <f>O221*Assumptions!$B$17</f>
        <v>0</v>
      </c>
      <c r="R221">
        <f>HLOOKUP(B221,Assumptions!$A$26:$D$27,2,TRUE)</f>
        <v>0</v>
      </c>
      <c r="S221">
        <f t="shared" si="53"/>
        <v>0</v>
      </c>
      <c r="T221">
        <f t="shared" si="49"/>
        <v>8.3333333333332149E-2</v>
      </c>
      <c r="U221">
        <f>IF(B221&gt;$K$2,0,IF(T222=0,0,(1-T222)*Assumptions!$B$11/$E$2*(1-Assumptions!$B$30)))</f>
        <v>0</v>
      </c>
      <c r="V221">
        <f>(N221-O221)*(1-Assumptions!$B$30)-Q221+U220*M220</f>
        <v>0</v>
      </c>
      <c r="W221">
        <f>W220*(1+Assumptions!$B$36)^(1/12)</f>
        <v>1.1902112232840116</v>
      </c>
      <c r="X221" s="19">
        <f>IF(B221&gt;$K$2,0,W220*Assumptions!$B$32/12*M220+V221*Assumptions!$B$34/12)</f>
        <v>0</v>
      </c>
      <c r="Y221" s="20">
        <f>1/(1+HLOOKUP(YEAR(A221),Assumptions!$A$41:$AL$43,3,TRUE))^(1/12)</f>
        <v>0.99817964001618509</v>
      </c>
      <c r="Z221">
        <f t="shared" si="50"/>
        <v>0</v>
      </c>
      <c r="AA221">
        <f t="shared" si="54"/>
        <v>0</v>
      </c>
    </row>
    <row r="222" spans="1:27" x14ac:dyDescent="0.2">
      <c r="A222" s="2">
        <f t="shared" si="55"/>
        <v>49521</v>
      </c>
      <c r="B222">
        <f t="shared" si="51"/>
        <v>303</v>
      </c>
      <c r="C222">
        <f t="shared" si="43"/>
        <v>25.166666666666668</v>
      </c>
      <c r="D222">
        <f t="shared" si="44"/>
        <v>0</v>
      </c>
      <c r="E222">
        <f t="shared" si="45"/>
        <v>80</v>
      </c>
      <c r="F222">
        <f>IF(C222&gt;=$J$2,0,VLOOKUP($E222,'Mortality Table'!$A$3:$C$128,2+G$2,FALSE))</f>
        <v>0</v>
      </c>
      <c r="G222">
        <f>F222*Assumptions!$B$1</f>
        <v>0</v>
      </c>
      <c r="H222">
        <f t="shared" si="46"/>
        <v>0</v>
      </c>
      <c r="I222">
        <f>HLOOKUP(C222,Assumptions!$A$6:$J$7,2,TRUE)</f>
        <v>2.6499999999999999E-2</v>
      </c>
      <c r="J222" s="22">
        <f t="shared" si="42"/>
        <v>0</v>
      </c>
      <c r="K222" s="22">
        <f t="shared" si="47"/>
        <v>0</v>
      </c>
      <c r="L222">
        <f t="shared" si="52"/>
        <v>0</v>
      </c>
      <c r="M222" s="22">
        <f t="shared" si="48"/>
        <v>0</v>
      </c>
      <c r="N222">
        <f>M221*Assumptions!$B$11/$E$2*J222</f>
        <v>0</v>
      </c>
      <c r="O222">
        <f>M221*Assumptions!$B$13/$E$2*J222</f>
        <v>0</v>
      </c>
      <c r="P222">
        <f>H222*Assumptions!$B$15</f>
        <v>0</v>
      </c>
      <c r="Q222">
        <f>O222*Assumptions!$B$17</f>
        <v>0</v>
      </c>
      <c r="R222">
        <f>HLOOKUP(B222,Assumptions!$A$26:$D$27,2,TRUE)</f>
        <v>0</v>
      </c>
      <c r="S222">
        <f t="shared" si="53"/>
        <v>0</v>
      </c>
      <c r="T222">
        <f t="shared" si="49"/>
        <v>0.16666666666666785</v>
      </c>
      <c r="U222">
        <f>IF(B222&gt;$K$2,0,IF(T223=0,0,(1-T223)*Assumptions!$B$11/$E$2*(1-Assumptions!$B$30)))</f>
        <v>0</v>
      </c>
      <c r="V222">
        <f>(N222-O222)*(1-Assumptions!$B$30)-Q222+U221*M221</f>
        <v>0</v>
      </c>
      <c r="W222">
        <f>W221*(1+Assumptions!$B$36)^(1/12)</f>
        <v>1.1911985488578483</v>
      </c>
      <c r="X222" s="19">
        <f>IF(B222&gt;$K$2,0,W221*Assumptions!$B$32/12*M221+V222*Assumptions!$B$34/12)</f>
        <v>0</v>
      </c>
      <c r="Y222" s="20">
        <f>1/(1+HLOOKUP(YEAR(A222),Assumptions!$A$41:$AL$43,3,TRUE))^(1/12)</f>
        <v>0.99817964001618509</v>
      </c>
      <c r="Z222">
        <f t="shared" si="50"/>
        <v>0</v>
      </c>
      <c r="AA222">
        <f t="shared" si="54"/>
        <v>0</v>
      </c>
    </row>
    <row r="223" spans="1:27" x14ac:dyDescent="0.2">
      <c r="A223" s="2">
        <f t="shared" si="55"/>
        <v>49552</v>
      </c>
      <c r="B223">
        <f t="shared" si="51"/>
        <v>304</v>
      </c>
      <c r="C223">
        <f t="shared" si="43"/>
        <v>25.25</v>
      </c>
      <c r="D223">
        <f t="shared" si="44"/>
        <v>0</v>
      </c>
      <c r="E223">
        <f t="shared" si="45"/>
        <v>80</v>
      </c>
      <c r="F223">
        <f>IF(C223&gt;=$J$2,0,VLOOKUP($E223,'Mortality Table'!$A$3:$C$128,2+G$2,FALSE))</f>
        <v>0</v>
      </c>
      <c r="G223">
        <f>F223*Assumptions!$B$1</f>
        <v>0</v>
      </c>
      <c r="H223">
        <f t="shared" si="46"/>
        <v>0</v>
      </c>
      <c r="I223">
        <f>HLOOKUP(C223,Assumptions!$A$6:$J$7,2,TRUE)</f>
        <v>2.6499999999999999E-2</v>
      </c>
      <c r="J223" s="22">
        <f t="shared" si="42"/>
        <v>0</v>
      </c>
      <c r="K223" s="22">
        <f t="shared" si="47"/>
        <v>0</v>
      </c>
      <c r="L223">
        <f t="shared" si="52"/>
        <v>0</v>
      </c>
      <c r="M223" s="22">
        <f t="shared" si="48"/>
        <v>0</v>
      </c>
      <c r="N223">
        <f>M222*Assumptions!$B$11/$E$2*J223</f>
        <v>0</v>
      </c>
      <c r="O223">
        <f>M222*Assumptions!$B$13/$E$2*J223</f>
        <v>0</v>
      </c>
      <c r="P223">
        <f>H223*Assumptions!$B$15</f>
        <v>0</v>
      </c>
      <c r="Q223">
        <f>O223*Assumptions!$B$17</f>
        <v>0</v>
      </c>
      <c r="R223">
        <f>HLOOKUP(B223,Assumptions!$A$26:$D$27,2,TRUE)</f>
        <v>0</v>
      </c>
      <c r="S223">
        <f t="shared" si="53"/>
        <v>0</v>
      </c>
      <c r="T223">
        <f t="shared" si="49"/>
        <v>0.25</v>
      </c>
      <c r="U223">
        <f>IF(B223&gt;$K$2,0,IF(T224=0,0,(1-T224)*Assumptions!$B$11/$E$2*(1-Assumptions!$B$30)))</f>
        <v>0</v>
      </c>
      <c r="V223">
        <f>(N223-O223)*(1-Assumptions!$B$30)-Q223+U222*M222</f>
        <v>0</v>
      </c>
      <c r="W223">
        <f>W222*(1+Assumptions!$B$36)^(1/12)</f>
        <v>1.1921866934558796</v>
      </c>
      <c r="X223" s="19">
        <f>IF(B223&gt;$K$2,0,W222*Assumptions!$B$32/12*M222+V223*Assumptions!$B$34/12)</f>
        <v>0</v>
      </c>
      <c r="Y223" s="20">
        <f>1/(1+HLOOKUP(YEAR(A223),Assumptions!$A$41:$AL$43,3,TRUE))^(1/12)</f>
        <v>0.99817964001618509</v>
      </c>
      <c r="Z223">
        <f t="shared" si="50"/>
        <v>0</v>
      </c>
      <c r="AA223">
        <f t="shared" si="54"/>
        <v>0</v>
      </c>
    </row>
    <row r="224" spans="1:27" x14ac:dyDescent="0.2">
      <c r="A224" s="2">
        <f t="shared" si="55"/>
        <v>49582</v>
      </c>
      <c r="B224">
        <f t="shared" si="51"/>
        <v>305</v>
      </c>
      <c r="C224">
        <f t="shared" si="43"/>
        <v>25.333333333333332</v>
      </c>
      <c r="D224">
        <f t="shared" si="44"/>
        <v>0</v>
      </c>
      <c r="E224">
        <f t="shared" si="45"/>
        <v>80</v>
      </c>
      <c r="F224">
        <f>IF(C224&gt;=$J$2,0,VLOOKUP($E224,'Mortality Table'!$A$3:$C$128,2+G$2,FALSE))</f>
        <v>0</v>
      </c>
      <c r="G224">
        <f>F224*Assumptions!$B$1</f>
        <v>0</v>
      </c>
      <c r="H224">
        <f t="shared" si="46"/>
        <v>0</v>
      </c>
      <c r="I224">
        <f>HLOOKUP(C224,Assumptions!$A$6:$J$7,2,TRUE)</f>
        <v>2.6499999999999999E-2</v>
      </c>
      <c r="J224" s="22">
        <f t="shared" si="42"/>
        <v>0</v>
      </c>
      <c r="K224" s="22">
        <f t="shared" si="47"/>
        <v>0</v>
      </c>
      <c r="L224">
        <f t="shared" si="52"/>
        <v>0</v>
      </c>
      <c r="M224" s="22">
        <f t="shared" si="48"/>
        <v>0</v>
      </c>
      <c r="N224">
        <f>M223*Assumptions!$B$11/$E$2*J224</f>
        <v>0</v>
      </c>
      <c r="O224">
        <f>M223*Assumptions!$B$13/$E$2*J224</f>
        <v>0</v>
      </c>
      <c r="P224">
        <f>H224*Assumptions!$B$15</f>
        <v>0</v>
      </c>
      <c r="Q224">
        <f>O224*Assumptions!$B$17</f>
        <v>0</v>
      </c>
      <c r="R224">
        <f>HLOOKUP(B224,Assumptions!$A$26:$D$27,2,TRUE)</f>
        <v>0</v>
      </c>
      <c r="S224">
        <f t="shared" si="53"/>
        <v>0</v>
      </c>
      <c r="T224">
        <f t="shared" si="49"/>
        <v>0.33333333333333215</v>
      </c>
      <c r="U224">
        <f>IF(B224&gt;$K$2,0,IF(T225=0,0,(1-T225)*Assumptions!$B$11/$E$2*(1-Assumptions!$B$30)))</f>
        <v>0</v>
      </c>
      <c r="V224">
        <f>(N224-O224)*(1-Assumptions!$B$30)-Q224+U223*M223</f>
        <v>0</v>
      </c>
      <c r="W224">
        <f>W223*(1+Assumptions!$B$36)^(1/12)</f>
        <v>1.1931756577575177</v>
      </c>
      <c r="X224" s="19">
        <f>IF(B224&gt;$K$2,0,W223*Assumptions!$B$32/12*M223+V224*Assumptions!$B$34/12)</f>
        <v>0</v>
      </c>
      <c r="Y224" s="20">
        <f>1/(1+HLOOKUP(YEAR(A224),Assumptions!$A$41:$AL$43,3,TRUE))^(1/12)</f>
        <v>0.99817964001618509</v>
      </c>
      <c r="Z224">
        <f t="shared" si="50"/>
        <v>0</v>
      </c>
      <c r="AA224">
        <f t="shared" si="54"/>
        <v>0</v>
      </c>
    </row>
    <row r="225" spans="1:27" x14ac:dyDescent="0.2">
      <c r="A225" s="2">
        <f t="shared" si="55"/>
        <v>49613</v>
      </c>
      <c r="B225">
        <f t="shared" si="51"/>
        <v>306</v>
      </c>
      <c r="C225">
        <f t="shared" si="43"/>
        <v>25.416666666666668</v>
      </c>
      <c r="D225">
        <f t="shared" si="44"/>
        <v>0</v>
      </c>
      <c r="E225">
        <f t="shared" si="45"/>
        <v>80</v>
      </c>
      <c r="F225">
        <f>IF(C225&gt;=$J$2,0,VLOOKUP($E225,'Mortality Table'!$A$3:$C$128,2+G$2,FALSE))</f>
        <v>0</v>
      </c>
      <c r="G225">
        <f>F225*Assumptions!$B$1</f>
        <v>0</v>
      </c>
      <c r="H225">
        <f t="shared" si="46"/>
        <v>0</v>
      </c>
      <c r="I225">
        <f>HLOOKUP(C225,Assumptions!$A$6:$J$7,2,TRUE)</f>
        <v>2.6499999999999999E-2</v>
      </c>
      <c r="J225" s="22">
        <f t="shared" si="42"/>
        <v>0</v>
      </c>
      <c r="K225" s="22">
        <f t="shared" si="47"/>
        <v>0</v>
      </c>
      <c r="L225">
        <f t="shared" si="52"/>
        <v>0</v>
      </c>
      <c r="M225" s="22">
        <f t="shared" si="48"/>
        <v>0</v>
      </c>
      <c r="N225">
        <f>M224*Assumptions!$B$11/$E$2*J225</f>
        <v>0</v>
      </c>
      <c r="O225">
        <f>M224*Assumptions!$B$13/$E$2*J225</f>
        <v>0</v>
      </c>
      <c r="P225">
        <f>H225*Assumptions!$B$15</f>
        <v>0</v>
      </c>
      <c r="Q225">
        <f>O225*Assumptions!$B$17</f>
        <v>0</v>
      </c>
      <c r="R225">
        <f>HLOOKUP(B225,Assumptions!$A$26:$D$27,2,TRUE)</f>
        <v>0</v>
      </c>
      <c r="S225">
        <f t="shared" si="53"/>
        <v>0</v>
      </c>
      <c r="T225">
        <f t="shared" si="49"/>
        <v>0.41666666666666785</v>
      </c>
      <c r="U225">
        <f>IF(B225&gt;$K$2,0,IF(T226=0,0,(1-T226)*Assumptions!$B$11/$E$2*(1-Assumptions!$B$30)))</f>
        <v>0</v>
      </c>
      <c r="V225">
        <f>(N225-O225)*(1-Assumptions!$B$30)-Q225+U224*M224</f>
        <v>0</v>
      </c>
      <c r="W225">
        <f>W224*(1+Assumptions!$B$36)^(1/12)</f>
        <v>1.1941654424427375</v>
      </c>
      <c r="X225" s="19">
        <f>IF(B225&gt;$K$2,0,W224*Assumptions!$B$32/12*M224+V225*Assumptions!$B$34/12)</f>
        <v>0</v>
      </c>
      <c r="Y225" s="20">
        <f>1/(1+HLOOKUP(YEAR(A225),Assumptions!$A$41:$AL$43,3,TRUE))^(1/12)</f>
        <v>0.99817964001618509</v>
      </c>
      <c r="Z225">
        <f t="shared" si="50"/>
        <v>0</v>
      </c>
      <c r="AA225">
        <f t="shared" si="54"/>
        <v>0</v>
      </c>
    </row>
    <row r="226" spans="1:27" x14ac:dyDescent="0.2">
      <c r="A226" s="2">
        <f t="shared" si="55"/>
        <v>49643</v>
      </c>
      <c r="B226">
        <f t="shared" si="51"/>
        <v>307</v>
      </c>
      <c r="C226">
        <f t="shared" si="43"/>
        <v>25.5</v>
      </c>
      <c r="D226">
        <f t="shared" si="44"/>
        <v>0</v>
      </c>
      <c r="E226">
        <f t="shared" si="45"/>
        <v>80</v>
      </c>
      <c r="F226">
        <f>IF(C226&gt;=$J$2,0,VLOOKUP($E226,'Mortality Table'!$A$3:$C$128,2+G$2,FALSE))</f>
        <v>0</v>
      </c>
      <c r="G226">
        <f>F226*Assumptions!$B$1</f>
        <v>0</v>
      </c>
      <c r="H226">
        <f t="shared" si="46"/>
        <v>0</v>
      </c>
      <c r="I226">
        <f>HLOOKUP(C226,Assumptions!$A$6:$J$7,2,TRUE)</f>
        <v>2.6499999999999999E-2</v>
      </c>
      <c r="J226" s="22">
        <f t="shared" si="42"/>
        <v>0</v>
      </c>
      <c r="K226" s="22">
        <f t="shared" si="47"/>
        <v>0</v>
      </c>
      <c r="L226">
        <f t="shared" si="52"/>
        <v>0</v>
      </c>
      <c r="M226" s="22">
        <f t="shared" si="48"/>
        <v>0</v>
      </c>
      <c r="N226">
        <f>M225*Assumptions!$B$11/$E$2*J226</f>
        <v>0</v>
      </c>
      <c r="O226">
        <f>M225*Assumptions!$B$13/$E$2*J226</f>
        <v>0</v>
      </c>
      <c r="P226">
        <f>H226*Assumptions!$B$15</f>
        <v>0</v>
      </c>
      <c r="Q226">
        <f>O226*Assumptions!$B$17</f>
        <v>0</v>
      </c>
      <c r="R226">
        <f>HLOOKUP(B226,Assumptions!$A$26:$D$27,2,TRUE)</f>
        <v>0</v>
      </c>
      <c r="S226">
        <f t="shared" si="53"/>
        <v>0</v>
      </c>
      <c r="T226">
        <f t="shared" si="49"/>
        <v>0.5</v>
      </c>
      <c r="U226">
        <f>IF(B226&gt;$K$2,0,IF(T227=0,0,(1-T227)*Assumptions!$B$11/$E$2*(1-Assumptions!$B$30)))</f>
        <v>0</v>
      </c>
      <c r="V226">
        <f>(N226-O226)*(1-Assumptions!$B$30)-Q226+U225*M225</f>
        <v>0</v>
      </c>
      <c r="W226">
        <f>W225*(1+Assumptions!$B$36)^(1/12)</f>
        <v>1.1951560481920789</v>
      </c>
      <c r="X226" s="19">
        <f>IF(B226&gt;$K$2,0,W225*Assumptions!$B$32/12*M225+V226*Assumptions!$B$34/12)</f>
        <v>0</v>
      </c>
      <c r="Y226" s="20">
        <f>1/(1+HLOOKUP(YEAR(A226),Assumptions!$A$41:$AL$43,3,TRUE))^(1/12)</f>
        <v>0.99817964001618509</v>
      </c>
      <c r="Z226">
        <f t="shared" si="50"/>
        <v>0</v>
      </c>
      <c r="AA226">
        <f t="shared" si="54"/>
        <v>0</v>
      </c>
    </row>
    <row r="227" spans="1:27" x14ac:dyDescent="0.2">
      <c r="A227" s="2">
        <f t="shared" si="55"/>
        <v>49674</v>
      </c>
      <c r="B227">
        <f t="shared" si="51"/>
        <v>308</v>
      </c>
      <c r="C227">
        <f t="shared" si="43"/>
        <v>25.583333333333332</v>
      </c>
      <c r="D227">
        <f t="shared" si="44"/>
        <v>0</v>
      </c>
      <c r="E227">
        <f t="shared" si="45"/>
        <v>80</v>
      </c>
      <c r="F227">
        <f>IF(C227&gt;=$J$2,0,VLOOKUP($E227,'Mortality Table'!$A$3:$C$128,2+G$2,FALSE))</f>
        <v>0</v>
      </c>
      <c r="G227">
        <f>F227*Assumptions!$B$1</f>
        <v>0</v>
      </c>
      <c r="H227">
        <f t="shared" si="46"/>
        <v>0</v>
      </c>
      <c r="I227">
        <f>HLOOKUP(C227,Assumptions!$A$6:$J$7,2,TRUE)</f>
        <v>2.6499999999999999E-2</v>
      </c>
      <c r="J227" s="22">
        <f t="shared" si="42"/>
        <v>0</v>
      </c>
      <c r="K227" s="22">
        <f t="shared" si="47"/>
        <v>0</v>
      </c>
      <c r="L227">
        <f t="shared" si="52"/>
        <v>0</v>
      </c>
      <c r="M227" s="22">
        <f t="shared" si="48"/>
        <v>0</v>
      </c>
      <c r="N227">
        <f>M226*Assumptions!$B$11/$E$2*J227</f>
        <v>0</v>
      </c>
      <c r="O227">
        <f>M226*Assumptions!$B$13/$E$2*J227</f>
        <v>0</v>
      </c>
      <c r="P227">
        <f>H227*Assumptions!$B$15</f>
        <v>0</v>
      </c>
      <c r="Q227">
        <f>O227*Assumptions!$B$17</f>
        <v>0</v>
      </c>
      <c r="R227">
        <f>HLOOKUP(B227,Assumptions!$A$26:$D$27,2,TRUE)</f>
        <v>0</v>
      </c>
      <c r="S227">
        <f t="shared" si="53"/>
        <v>0</v>
      </c>
      <c r="T227">
        <f t="shared" si="49"/>
        <v>0.58333333333333215</v>
      </c>
      <c r="U227">
        <f>IF(B227&gt;$K$2,0,IF(T228=0,0,(1-T228)*Assumptions!$B$11/$E$2*(1-Assumptions!$B$30)))</f>
        <v>0</v>
      </c>
      <c r="V227">
        <f>(N227-O227)*(1-Assumptions!$B$30)-Q227+U226*M226</f>
        <v>0</v>
      </c>
      <c r="W227">
        <f>W226*(1+Assumptions!$B$36)^(1/12)</f>
        <v>1.1961474756866455</v>
      </c>
      <c r="X227" s="19">
        <f>IF(B227&gt;$K$2,0,W226*Assumptions!$B$32/12*M226+V227*Assumptions!$B$34/12)</f>
        <v>0</v>
      </c>
      <c r="Y227" s="20">
        <f>1/(1+HLOOKUP(YEAR(A227),Assumptions!$A$41:$AL$43,3,TRUE))^(1/12)</f>
        <v>0.99817964001618509</v>
      </c>
      <c r="Z227">
        <f t="shared" si="50"/>
        <v>0</v>
      </c>
      <c r="AA227">
        <f t="shared" si="54"/>
        <v>0</v>
      </c>
    </row>
    <row r="228" spans="1:27" x14ac:dyDescent="0.2">
      <c r="A228" s="2">
        <f t="shared" si="55"/>
        <v>49705</v>
      </c>
      <c r="B228">
        <f t="shared" si="51"/>
        <v>309</v>
      </c>
      <c r="C228">
        <f t="shared" si="43"/>
        <v>25.666666666666668</v>
      </c>
      <c r="D228">
        <f t="shared" si="44"/>
        <v>0</v>
      </c>
      <c r="E228">
        <f t="shared" si="45"/>
        <v>80</v>
      </c>
      <c r="F228">
        <f>IF(C228&gt;=$J$2,0,VLOOKUP($E228,'Mortality Table'!$A$3:$C$128,2+G$2,FALSE))</f>
        <v>0</v>
      </c>
      <c r="G228">
        <f>F228*Assumptions!$B$1</f>
        <v>0</v>
      </c>
      <c r="H228">
        <f t="shared" si="46"/>
        <v>0</v>
      </c>
      <c r="I228">
        <f>HLOOKUP(C228,Assumptions!$A$6:$J$7,2,TRUE)</f>
        <v>2.6499999999999999E-2</v>
      </c>
      <c r="J228" s="22">
        <f t="shared" si="42"/>
        <v>0</v>
      </c>
      <c r="K228" s="22">
        <f t="shared" si="47"/>
        <v>0</v>
      </c>
      <c r="L228">
        <f t="shared" si="52"/>
        <v>0</v>
      </c>
      <c r="M228" s="22">
        <f t="shared" si="48"/>
        <v>0</v>
      </c>
      <c r="N228">
        <f>M227*Assumptions!$B$11/$E$2*J228</f>
        <v>0</v>
      </c>
      <c r="O228">
        <f>M227*Assumptions!$B$13/$E$2*J228</f>
        <v>0</v>
      </c>
      <c r="P228">
        <f>H228*Assumptions!$B$15</f>
        <v>0</v>
      </c>
      <c r="Q228">
        <f>O228*Assumptions!$B$17</f>
        <v>0</v>
      </c>
      <c r="R228">
        <f>HLOOKUP(B228,Assumptions!$A$26:$D$27,2,TRUE)</f>
        <v>0</v>
      </c>
      <c r="S228">
        <f t="shared" si="53"/>
        <v>0</v>
      </c>
      <c r="T228">
        <f t="shared" si="49"/>
        <v>0.66666666666666785</v>
      </c>
      <c r="U228">
        <f>IF(B228&gt;$K$2,0,IF(T229=0,0,(1-T229)*Assumptions!$B$11/$E$2*(1-Assumptions!$B$30)))</f>
        <v>0</v>
      </c>
      <c r="V228">
        <f>(N228-O228)*(1-Assumptions!$B$30)-Q228+U227*M227</f>
        <v>0</v>
      </c>
      <c r="W228">
        <f>W227*(1+Assumptions!$B$36)^(1/12)</f>
        <v>1.1971397256081064</v>
      </c>
      <c r="X228" s="19">
        <f>IF(B228&gt;$K$2,0,W227*Assumptions!$B$32/12*M227+V228*Assumptions!$B$34/12)</f>
        <v>0</v>
      </c>
      <c r="Y228" s="20">
        <f>1/(1+HLOOKUP(YEAR(A228),Assumptions!$A$41:$AL$43,3,TRUE))^(1/12)</f>
        <v>0.99816881688355608</v>
      </c>
      <c r="Z228">
        <f t="shared" si="50"/>
        <v>0</v>
      </c>
      <c r="AA228">
        <f t="shared" si="54"/>
        <v>0</v>
      </c>
    </row>
    <row r="229" spans="1:27" x14ac:dyDescent="0.2">
      <c r="A229" s="2">
        <f t="shared" si="55"/>
        <v>49734</v>
      </c>
      <c r="B229">
        <f t="shared" si="51"/>
        <v>310</v>
      </c>
      <c r="C229">
        <f t="shared" si="43"/>
        <v>25.75</v>
      </c>
      <c r="D229">
        <f t="shared" si="44"/>
        <v>0</v>
      </c>
      <c r="E229">
        <f t="shared" si="45"/>
        <v>80</v>
      </c>
      <c r="F229">
        <f>IF(C229&gt;=$J$2,0,VLOOKUP($E229,'Mortality Table'!$A$3:$C$128,2+G$2,FALSE))</f>
        <v>0</v>
      </c>
      <c r="G229">
        <f>F229*Assumptions!$B$1</f>
        <v>0</v>
      </c>
      <c r="H229">
        <f t="shared" si="46"/>
        <v>0</v>
      </c>
      <c r="I229">
        <f>HLOOKUP(C229,Assumptions!$A$6:$J$7,2,TRUE)</f>
        <v>2.6499999999999999E-2</v>
      </c>
      <c r="J229" s="22">
        <f t="shared" si="42"/>
        <v>0</v>
      </c>
      <c r="K229" s="22">
        <f t="shared" si="47"/>
        <v>0</v>
      </c>
      <c r="L229">
        <f t="shared" si="52"/>
        <v>0</v>
      </c>
      <c r="M229" s="22">
        <f t="shared" si="48"/>
        <v>0</v>
      </c>
      <c r="N229">
        <f>M228*Assumptions!$B$11/$E$2*J229</f>
        <v>0</v>
      </c>
      <c r="O229">
        <f>M228*Assumptions!$B$13/$E$2*J229</f>
        <v>0</v>
      </c>
      <c r="P229">
        <f>H229*Assumptions!$B$15</f>
        <v>0</v>
      </c>
      <c r="Q229">
        <f>O229*Assumptions!$B$17</f>
        <v>0</v>
      </c>
      <c r="R229">
        <f>HLOOKUP(B229,Assumptions!$A$26:$D$27,2,TRUE)</f>
        <v>0</v>
      </c>
      <c r="S229">
        <f t="shared" si="53"/>
        <v>0</v>
      </c>
      <c r="T229">
        <f t="shared" si="49"/>
        <v>0.75</v>
      </c>
      <c r="U229">
        <f>IF(B229&gt;$K$2,0,IF(T230=0,0,(1-T230)*Assumptions!$B$11/$E$2*(1-Assumptions!$B$30)))</f>
        <v>0</v>
      </c>
      <c r="V229">
        <f>(N229-O229)*(1-Assumptions!$B$30)-Q229+U228*M228</f>
        <v>0</v>
      </c>
      <c r="W229">
        <f>W228*(1+Assumptions!$B$36)^(1/12)</f>
        <v>1.1981327986386963</v>
      </c>
      <c r="X229" s="19">
        <f>IF(B229&gt;$K$2,0,W228*Assumptions!$B$32/12*M228+V229*Assumptions!$B$34/12)</f>
        <v>0</v>
      </c>
      <c r="Y229" s="20">
        <f>1/(1+HLOOKUP(YEAR(A229),Assumptions!$A$41:$AL$43,3,TRUE))^(1/12)</f>
        <v>0.99816881688355608</v>
      </c>
      <c r="Z229">
        <f t="shared" si="50"/>
        <v>0</v>
      </c>
      <c r="AA229">
        <f t="shared" si="54"/>
        <v>0</v>
      </c>
    </row>
    <row r="230" spans="1:27" x14ac:dyDescent="0.2">
      <c r="A230" s="2">
        <f t="shared" si="55"/>
        <v>49765</v>
      </c>
      <c r="B230">
        <f t="shared" si="51"/>
        <v>311</v>
      </c>
      <c r="C230">
        <f t="shared" si="43"/>
        <v>25.833333333333332</v>
      </c>
      <c r="D230">
        <f t="shared" si="44"/>
        <v>0</v>
      </c>
      <c r="E230">
        <f t="shared" si="45"/>
        <v>80</v>
      </c>
      <c r="F230">
        <f>IF(C230&gt;=$J$2,0,VLOOKUP($E230,'Mortality Table'!$A$3:$C$128,2+G$2,FALSE))</f>
        <v>0</v>
      </c>
      <c r="G230">
        <f>F230*Assumptions!$B$1</f>
        <v>0</v>
      </c>
      <c r="H230">
        <f t="shared" si="46"/>
        <v>0</v>
      </c>
      <c r="I230">
        <f>HLOOKUP(C230,Assumptions!$A$6:$J$7,2,TRUE)</f>
        <v>2.6499999999999999E-2</v>
      </c>
      <c r="J230" s="22">
        <f t="shared" si="42"/>
        <v>0</v>
      </c>
      <c r="K230" s="22">
        <f t="shared" si="47"/>
        <v>0</v>
      </c>
      <c r="L230">
        <f t="shared" si="52"/>
        <v>0</v>
      </c>
      <c r="M230" s="22">
        <f t="shared" si="48"/>
        <v>0</v>
      </c>
      <c r="N230">
        <f>M229*Assumptions!$B$11/$E$2*J230</f>
        <v>0</v>
      </c>
      <c r="O230">
        <f>M229*Assumptions!$B$13/$E$2*J230</f>
        <v>0</v>
      </c>
      <c r="P230">
        <f>H230*Assumptions!$B$15</f>
        <v>0</v>
      </c>
      <c r="Q230">
        <f>O230*Assumptions!$B$17</f>
        <v>0</v>
      </c>
      <c r="R230">
        <f>HLOOKUP(B230,Assumptions!$A$26:$D$27,2,TRUE)</f>
        <v>0</v>
      </c>
      <c r="S230">
        <f t="shared" si="53"/>
        <v>0</v>
      </c>
      <c r="T230">
        <f t="shared" si="49"/>
        <v>0.83333333333333215</v>
      </c>
      <c r="U230">
        <f>IF(B230&gt;$K$2,0,IF(T231=0,0,(1-T231)*Assumptions!$B$11/$E$2*(1-Assumptions!$B$30)))</f>
        <v>0</v>
      </c>
      <c r="V230">
        <f>(N230-O230)*(1-Assumptions!$B$30)-Q230+U229*M229</f>
        <v>0</v>
      </c>
      <c r="W230">
        <f>W229*(1+Assumptions!$B$36)^(1/12)</f>
        <v>1.1991266954612152</v>
      </c>
      <c r="X230" s="19">
        <f>IF(B230&gt;$K$2,0,W229*Assumptions!$B$32/12*M229+V230*Assumptions!$B$34/12)</f>
        <v>0</v>
      </c>
      <c r="Y230" s="20">
        <f>1/(1+HLOOKUP(YEAR(A230),Assumptions!$A$41:$AL$43,3,TRUE))^(1/12)</f>
        <v>0.99816881688355608</v>
      </c>
      <c r="Z230">
        <f t="shared" si="50"/>
        <v>0</v>
      </c>
      <c r="AA230">
        <f t="shared" si="54"/>
        <v>0</v>
      </c>
    </row>
    <row r="231" spans="1:27" x14ac:dyDescent="0.2">
      <c r="A231" s="2">
        <f t="shared" si="55"/>
        <v>49795</v>
      </c>
      <c r="B231">
        <f t="shared" si="51"/>
        <v>312</v>
      </c>
      <c r="C231">
        <f t="shared" si="43"/>
        <v>25.916666666666668</v>
      </c>
      <c r="D231">
        <f t="shared" si="44"/>
        <v>0</v>
      </c>
      <c r="E231">
        <f t="shared" si="45"/>
        <v>80</v>
      </c>
      <c r="F231">
        <f>IF(C231&gt;=$J$2,0,VLOOKUP($E231,'Mortality Table'!$A$3:$C$128,2+G$2,FALSE))</f>
        <v>0</v>
      </c>
      <c r="G231">
        <f>F231*Assumptions!$B$1</f>
        <v>0</v>
      </c>
      <c r="H231">
        <f t="shared" si="46"/>
        <v>0</v>
      </c>
      <c r="I231">
        <f>HLOOKUP(C231,Assumptions!$A$6:$J$7,2,TRUE)</f>
        <v>2.6499999999999999E-2</v>
      </c>
      <c r="J231" s="22">
        <f t="shared" si="42"/>
        <v>0</v>
      </c>
      <c r="K231" s="22">
        <f t="shared" si="47"/>
        <v>0</v>
      </c>
      <c r="L231">
        <f t="shared" si="52"/>
        <v>0</v>
      </c>
      <c r="M231" s="22">
        <f t="shared" si="48"/>
        <v>0</v>
      </c>
      <c r="N231">
        <f>M230*Assumptions!$B$11/$E$2*J231</f>
        <v>0</v>
      </c>
      <c r="O231">
        <f>M230*Assumptions!$B$13/$E$2*J231</f>
        <v>0</v>
      </c>
      <c r="P231">
        <f>H231*Assumptions!$B$15</f>
        <v>0</v>
      </c>
      <c r="Q231">
        <f>O231*Assumptions!$B$17</f>
        <v>0</v>
      </c>
      <c r="R231">
        <f>HLOOKUP(B231,Assumptions!$A$26:$D$27,2,TRUE)</f>
        <v>0</v>
      </c>
      <c r="S231">
        <f t="shared" si="53"/>
        <v>0</v>
      </c>
      <c r="T231">
        <f t="shared" si="49"/>
        <v>0.91666666666666785</v>
      </c>
      <c r="U231">
        <f>IF(B231&gt;$K$2,0,IF(T232=0,0,(1-T232)*Assumptions!$B$11/$E$2*(1-Assumptions!$B$30)))</f>
        <v>0</v>
      </c>
      <c r="V231">
        <f>(N231-O231)*(1-Assumptions!$B$30)-Q231+U230*M230</f>
        <v>0</v>
      </c>
      <c r="W231">
        <f>W230*(1+Assumptions!$B$36)^(1/12)</f>
        <v>1.2001214167590302</v>
      </c>
      <c r="X231" s="19">
        <f>IF(B231&gt;$K$2,0,W230*Assumptions!$B$32/12*M230+V231*Assumptions!$B$34/12)</f>
        <v>0</v>
      </c>
      <c r="Y231" s="20">
        <f>1/(1+HLOOKUP(YEAR(A231),Assumptions!$A$41:$AL$43,3,TRUE))^(1/12)</f>
        <v>0.99816881688355608</v>
      </c>
      <c r="Z231">
        <f t="shared" si="50"/>
        <v>0</v>
      </c>
      <c r="AA231">
        <f t="shared" si="54"/>
        <v>0</v>
      </c>
    </row>
    <row r="232" spans="1:27" x14ac:dyDescent="0.2">
      <c r="A232" s="2">
        <f t="shared" si="55"/>
        <v>49826</v>
      </c>
      <c r="B232">
        <f t="shared" si="51"/>
        <v>313</v>
      </c>
      <c r="C232">
        <f t="shared" si="43"/>
        <v>26</v>
      </c>
      <c r="D232">
        <f t="shared" si="44"/>
        <v>1</v>
      </c>
      <c r="E232">
        <f t="shared" si="45"/>
        <v>81</v>
      </c>
      <c r="F232">
        <f>IF(C232&gt;=$J$2,0,VLOOKUP($E232,'Mortality Table'!$A$3:$C$128,2+G$2,FALSE))</f>
        <v>0</v>
      </c>
      <c r="G232">
        <f>F232*Assumptions!$B$1</f>
        <v>0</v>
      </c>
      <c r="H232">
        <f t="shared" si="46"/>
        <v>0</v>
      </c>
      <c r="I232">
        <f>HLOOKUP(C232,Assumptions!$A$6:$J$7,2,TRUE)</f>
        <v>2.6499999999999999E-2</v>
      </c>
      <c r="J232" s="22">
        <f t="shared" si="42"/>
        <v>0</v>
      </c>
      <c r="K232" s="22">
        <f t="shared" si="47"/>
        <v>0</v>
      </c>
      <c r="L232">
        <f t="shared" si="52"/>
        <v>0</v>
      </c>
      <c r="M232" s="22">
        <f t="shared" si="48"/>
        <v>0</v>
      </c>
      <c r="N232">
        <f>M231*Assumptions!$B$11/$E$2*J232</f>
        <v>0</v>
      </c>
      <c r="O232">
        <f>M231*Assumptions!$B$13/$E$2*J232</f>
        <v>0</v>
      </c>
      <c r="P232">
        <f>H232*Assumptions!$B$15</f>
        <v>0</v>
      </c>
      <c r="Q232">
        <f>O232*Assumptions!$B$17</f>
        <v>0</v>
      </c>
      <c r="R232">
        <f>HLOOKUP(B232,Assumptions!$A$26:$D$27,2,TRUE)</f>
        <v>0</v>
      </c>
      <c r="S232">
        <f t="shared" si="53"/>
        <v>0</v>
      </c>
      <c r="T232">
        <f t="shared" si="49"/>
        <v>0</v>
      </c>
      <c r="U232">
        <f>IF(B232&gt;$K$2,0,IF(T233=0,0,(1-T233)*Assumptions!$B$11/$E$2*(1-Assumptions!$B$30)))</f>
        <v>0</v>
      </c>
      <c r="V232">
        <f>(N232-O232)*(1-Assumptions!$B$30)-Q232+U231*M231</f>
        <v>0</v>
      </c>
      <c r="W232">
        <f>W231*(1+Assumptions!$B$36)^(1/12)</f>
        <v>1.201116963216075</v>
      </c>
      <c r="X232" s="19">
        <f>IF(B232&gt;$K$2,0,W231*Assumptions!$B$32/12*M231+V232*Assumptions!$B$34/12)</f>
        <v>0</v>
      </c>
      <c r="Y232" s="20">
        <f>1/(1+HLOOKUP(YEAR(A232),Assumptions!$A$41:$AL$43,3,TRUE))^(1/12)</f>
        <v>0.99816881688355608</v>
      </c>
      <c r="Z232">
        <f t="shared" si="50"/>
        <v>0</v>
      </c>
      <c r="AA232">
        <f t="shared" si="54"/>
        <v>0</v>
      </c>
    </row>
    <row r="233" spans="1:27" x14ac:dyDescent="0.2">
      <c r="A233" s="2">
        <f t="shared" si="55"/>
        <v>49856</v>
      </c>
      <c r="B233">
        <f t="shared" si="51"/>
        <v>314</v>
      </c>
      <c r="C233">
        <f t="shared" si="43"/>
        <v>26.083333333333332</v>
      </c>
      <c r="D233">
        <f t="shared" si="44"/>
        <v>0</v>
      </c>
      <c r="E233">
        <f t="shared" si="45"/>
        <v>81</v>
      </c>
      <c r="F233">
        <f>IF(C233&gt;=$J$2,0,VLOOKUP($E233,'Mortality Table'!$A$3:$C$128,2+G$2,FALSE))</f>
        <v>0</v>
      </c>
      <c r="G233">
        <f>F233*Assumptions!$B$1</f>
        <v>0</v>
      </c>
      <c r="H233">
        <f t="shared" si="46"/>
        <v>0</v>
      </c>
      <c r="I233">
        <f>HLOOKUP(C233,Assumptions!$A$6:$J$7,2,TRUE)</f>
        <v>2.6499999999999999E-2</v>
      </c>
      <c r="J233" s="22">
        <f t="shared" si="42"/>
        <v>0</v>
      </c>
      <c r="K233" s="22">
        <f t="shared" si="47"/>
        <v>0</v>
      </c>
      <c r="L233">
        <f t="shared" si="52"/>
        <v>0</v>
      </c>
      <c r="M233" s="22">
        <f t="shared" si="48"/>
        <v>0</v>
      </c>
      <c r="N233">
        <f>M232*Assumptions!$B$11/$E$2*J233</f>
        <v>0</v>
      </c>
      <c r="O233">
        <f>M232*Assumptions!$B$13/$E$2*J233</f>
        <v>0</v>
      </c>
      <c r="P233">
        <f>H233*Assumptions!$B$15</f>
        <v>0</v>
      </c>
      <c r="Q233">
        <f>O233*Assumptions!$B$17</f>
        <v>0</v>
      </c>
      <c r="R233">
        <f>HLOOKUP(B233,Assumptions!$A$26:$D$27,2,TRUE)</f>
        <v>0</v>
      </c>
      <c r="S233">
        <f t="shared" si="53"/>
        <v>0</v>
      </c>
      <c r="T233">
        <f t="shared" si="49"/>
        <v>8.3333333333332149E-2</v>
      </c>
      <c r="U233">
        <f>IF(B233&gt;$K$2,0,IF(T234=0,0,(1-T234)*Assumptions!$B$11/$E$2*(1-Assumptions!$B$30)))</f>
        <v>0</v>
      </c>
      <c r="V233">
        <f>(N233-O233)*(1-Assumptions!$B$30)-Q233+U232*M232</f>
        <v>0</v>
      </c>
      <c r="W233">
        <f>W232*(1+Assumptions!$B$36)^(1/12)</f>
        <v>1.2021133355168505</v>
      </c>
      <c r="X233" s="19">
        <f>IF(B233&gt;$K$2,0,W232*Assumptions!$B$32/12*M232+V233*Assumptions!$B$34/12)</f>
        <v>0</v>
      </c>
      <c r="Y233" s="20">
        <f>1/(1+HLOOKUP(YEAR(A233),Assumptions!$A$41:$AL$43,3,TRUE))^(1/12)</f>
        <v>0.99816881688355608</v>
      </c>
      <c r="Z233">
        <f t="shared" si="50"/>
        <v>0</v>
      </c>
      <c r="AA233">
        <f t="shared" si="54"/>
        <v>0</v>
      </c>
    </row>
    <row r="234" spans="1:27" x14ac:dyDescent="0.2">
      <c r="A234" s="2">
        <f t="shared" si="55"/>
        <v>49887</v>
      </c>
      <c r="B234">
        <f t="shared" si="51"/>
        <v>315</v>
      </c>
      <c r="C234">
        <f t="shared" si="43"/>
        <v>26.166666666666668</v>
      </c>
      <c r="D234">
        <f t="shared" si="44"/>
        <v>0</v>
      </c>
      <c r="E234">
        <f t="shared" si="45"/>
        <v>81</v>
      </c>
      <c r="F234">
        <f>IF(C234&gt;=$J$2,0,VLOOKUP($E234,'Mortality Table'!$A$3:$C$128,2+G$2,FALSE))</f>
        <v>0</v>
      </c>
      <c r="G234">
        <f>F234*Assumptions!$B$1</f>
        <v>0</v>
      </c>
      <c r="H234">
        <f t="shared" si="46"/>
        <v>0</v>
      </c>
      <c r="I234">
        <f>HLOOKUP(C234,Assumptions!$A$6:$J$7,2,TRUE)</f>
        <v>2.6499999999999999E-2</v>
      </c>
      <c r="J234" s="22">
        <f t="shared" si="42"/>
        <v>0</v>
      </c>
      <c r="K234" s="22">
        <f t="shared" si="47"/>
        <v>0</v>
      </c>
      <c r="L234">
        <f t="shared" si="52"/>
        <v>0</v>
      </c>
      <c r="M234" s="22">
        <f t="shared" si="48"/>
        <v>0</v>
      </c>
      <c r="N234">
        <f>M233*Assumptions!$B$11/$E$2*J234</f>
        <v>0</v>
      </c>
      <c r="O234">
        <f>M233*Assumptions!$B$13/$E$2*J234</f>
        <v>0</v>
      </c>
      <c r="P234">
        <f>H234*Assumptions!$B$15</f>
        <v>0</v>
      </c>
      <c r="Q234">
        <f>O234*Assumptions!$B$17</f>
        <v>0</v>
      </c>
      <c r="R234">
        <f>HLOOKUP(B234,Assumptions!$A$26:$D$27,2,TRUE)</f>
        <v>0</v>
      </c>
      <c r="S234">
        <f t="shared" si="53"/>
        <v>0</v>
      </c>
      <c r="T234">
        <f t="shared" si="49"/>
        <v>0.16666666666666785</v>
      </c>
      <c r="U234">
        <f>IF(B234&gt;$K$2,0,IF(T235=0,0,(1-T235)*Assumptions!$B$11/$E$2*(1-Assumptions!$B$30)))</f>
        <v>0</v>
      </c>
      <c r="V234">
        <f>(N234-O234)*(1-Assumptions!$B$30)-Q234+U233*M233</f>
        <v>0</v>
      </c>
      <c r="W234">
        <f>W233*(1+Assumptions!$B$36)^(1/12)</f>
        <v>1.2031105343464255</v>
      </c>
      <c r="X234" s="19">
        <f>IF(B234&gt;$K$2,0,W233*Assumptions!$B$32/12*M233+V234*Assumptions!$B$34/12)</f>
        <v>0</v>
      </c>
      <c r="Y234" s="20">
        <f>1/(1+HLOOKUP(YEAR(A234),Assumptions!$A$41:$AL$43,3,TRUE))^(1/12)</f>
        <v>0.99816881688355608</v>
      </c>
      <c r="Z234">
        <f t="shared" si="50"/>
        <v>0</v>
      </c>
      <c r="AA234">
        <f t="shared" si="54"/>
        <v>0</v>
      </c>
    </row>
    <row r="235" spans="1:27" x14ac:dyDescent="0.2">
      <c r="A235" s="2">
        <f t="shared" si="55"/>
        <v>49918</v>
      </c>
      <c r="B235">
        <f t="shared" si="51"/>
        <v>316</v>
      </c>
      <c r="C235">
        <f t="shared" si="43"/>
        <v>26.25</v>
      </c>
      <c r="D235">
        <f t="shared" si="44"/>
        <v>0</v>
      </c>
      <c r="E235">
        <f t="shared" si="45"/>
        <v>81</v>
      </c>
      <c r="F235">
        <f>IF(C235&gt;=$J$2,0,VLOOKUP($E235,'Mortality Table'!$A$3:$C$128,2+G$2,FALSE))</f>
        <v>0</v>
      </c>
      <c r="G235">
        <f>F235*Assumptions!$B$1</f>
        <v>0</v>
      </c>
      <c r="H235">
        <f t="shared" si="46"/>
        <v>0</v>
      </c>
      <c r="I235">
        <f>HLOOKUP(C235,Assumptions!$A$6:$J$7,2,TRUE)</f>
        <v>2.6499999999999999E-2</v>
      </c>
      <c r="J235" s="22">
        <f t="shared" si="42"/>
        <v>0</v>
      </c>
      <c r="K235" s="22">
        <f t="shared" si="47"/>
        <v>0</v>
      </c>
      <c r="L235">
        <f t="shared" si="52"/>
        <v>0</v>
      </c>
      <c r="M235" s="22">
        <f t="shared" si="48"/>
        <v>0</v>
      </c>
      <c r="N235">
        <f>M234*Assumptions!$B$11/$E$2*J235</f>
        <v>0</v>
      </c>
      <c r="O235">
        <f>M234*Assumptions!$B$13/$E$2*J235</f>
        <v>0</v>
      </c>
      <c r="P235">
        <f>H235*Assumptions!$B$15</f>
        <v>0</v>
      </c>
      <c r="Q235">
        <f>O235*Assumptions!$B$17</f>
        <v>0</v>
      </c>
      <c r="R235">
        <f>HLOOKUP(B235,Assumptions!$A$26:$D$27,2,TRUE)</f>
        <v>0</v>
      </c>
      <c r="S235">
        <f t="shared" si="53"/>
        <v>0</v>
      </c>
      <c r="T235">
        <f t="shared" si="49"/>
        <v>0.25</v>
      </c>
      <c r="U235">
        <f>IF(B235&gt;$K$2,0,IF(T236=0,0,(1-T236)*Assumptions!$B$11/$E$2*(1-Assumptions!$B$30)))</f>
        <v>0</v>
      </c>
      <c r="V235">
        <f>(N235-O235)*(1-Assumptions!$B$30)-Q235+U234*M234</f>
        <v>0</v>
      </c>
      <c r="W235">
        <f>W234*(1+Assumptions!$B$36)^(1/12)</f>
        <v>1.2041085603904371</v>
      </c>
      <c r="X235" s="19">
        <f>IF(B235&gt;$K$2,0,W234*Assumptions!$B$32/12*M234+V235*Assumptions!$B$34/12)</f>
        <v>0</v>
      </c>
      <c r="Y235" s="20">
        <f>1/(1+HLOOKUP(YEAR(A235),Assumptions!$A$41:$AL$43,3,TRUE))^(1/12)</f>
        <v>0.99816881688355608</v>
      </c>
      <c r="Z235">
        <f t="shared" si="50"/>
        <v>0</v>
      </c>
      <c r="AA235">
        <f t="shared" si="54"/>
        <v>0</v>
      </c>
    </row>
    <row r="236" spans="1:27" x14ac:dyDescent="0.2">
      <c r="A236" s="2">
        <f t="shared" si="55"/>
        <v>49948</v>
      </c>
      <c r="B236">
        <f t="shared" si="51"/>
        <v>317</v>
      </c>
      <c r="C236">
        <f t="shared" si="43"/>
        <v>26.333333333333332</v>
      </c>
      <c r="D236">
        <f t="shared" si="44"/>
        <v>0</v>
      </c>
      <c r="E236">
        <f t="shared" si="45"/>
        <v>81</v>
      </c>
      <c r="F236">
        <f>IF(C236&gt;=$J$2,0,VLOOKUP($E236,'Mortality Table'!$A$3:$C$128,2+G$2,FALSE))</f>
        <v>0</v>
      </c>
      <c r="G236">
        <f>F236*Assumptions!$B$1</f>
        <v>0</v>
      </c>
      <c r="H236">
        <f t="shared" si="46"/>
        <v>0</v>
      </c>
      <c r="I236">
        <f>HLOOKUP(C236,Assumptions!$A$6:$J$7,2,TRUE)</f>
        <v>2.6499999999999999E-2</v>
      </c>
      <c r="J236" s="22">
        <f t="shared" si="42"/>
        <v>0</v>
      </c>
      <c r="K236" s="22">
        <f t="shared" si="47"/>
        <v>0</v>
      </c>
      <c r="L236">
        <f t="shared" si="52"/>
        <v>0</v>
      </c>
      <c r="M236" s="22">
        <f t="shared" si="48"/>
        <v>0</v>
      </c>
      <c r="N236">
        <f>M235*Assumptions!$B$11/$E$2*J236</f>
        <v>0</v>
      </c>
      <c r="O236">
        <f>M235*Assumptions!$B$13/$E$2*J236</f>
        <v>0</v>
      </c>
      <c r="P236">
        <f>H236*Assumptions!$B$15</f>
        <v>0</v>
      </c>
      <c r="Q236">
        <f>O236*Assumptions!$B$17</f>
        <v>0</v>
      </c>
      <c r="R236">
        <f>HLOOKUP(B236,Assumptions!$A$26:$D$27,2,TRUE)</f>
        <v>0</v>
      </c>
      <c r="S236">
        <f t="shared" si="53"/>
        <v>0</v>
      </c>
      <c r="T236">
        <f t="shared" si="49"/>
        <v>0.33333333333333215</v>
      </c>
      <c r="U236">
        <f>IF(B236&gt;$K$2,0,IF(T237=0,0,(1-T237)*Assumptions!$B$11/$E$2*(1-Assumptions!$B$30)))</f>
        <v>0</v>
      </c>
      <c r="V236">
        <f>(N236-O236)*(1-Assumptions!$B$30)-Q236+U235*M235</f>
        <v>0</v>
      </c>
      <c r="W236">
        <f>W235*(1+Assumptions!$B$36)^(1/12)</f>
        <v>1.2051074143350915</v>
      </c>
      <c r="X236" s="19">
        <f>IF(B236&gt;$K$2,0,W235*Assumptions!$B$32/12*M235+V236*Assumptions!$B$34/12)</f>
        <v>0</v>
      </c>
      <c r="Y236" s="20">
        <f>1/(1+HLOOKUP(YEAR(A236),Assumptions!$A$41:$AL$43,3,TRUE))^(1/12)</f>
        <v>0.99816881688355608</v>
      </c>
      <c r="Z236">
        <f t="shared" si="50"/>
        <v>0</v>
      </c>
      <c r="AA236">
        <f t="shared" si="54"/>
        <v>0</v>
      </c>
    </row>
    <row r="237" spans="1:27" x14ac:dyDescent="0.2">
      <c r="A237" s="2">
        <f t="shared" si="55"/>
        <v>49979</v>
      </c>
      <c r="B237">
        <f t="shared" si="51"/>
        <v>318</v>
      </c>
      <c r="C237">
        <f t="shared" si="43"/>
        <v>26.416666666666668</v>
      </c>
      <c r="D237">
        <f t="shared" si="44"/>
        <v>0</v>
      </c>
      <c r="E237">
        <f t="shared" si="45"/>
        <v>81</v>
      </c>
      <c r="F237">
        <f>IF(C237&gt;=$J$2,0,VLOOKUP($E237,'Mortality Table'!$A$3:$C$128,2+G$2,FALSE))</f>
        <v>0</v>
      </c>
      <c r="G237">
        <f>F237*Assumptions!$B$1</f>
        <v>0</v>
      </c>
      <c r="H237">
        <f t="shared" si="46"/>
        <v>0</v>
      </c>
      <c r="I237">
        <f>HLOOKUP(C237,Assumptions!$A$6:$J$7,2,TRUE)</f>
        <v>2.6499999999999999E-2</v>
      </c>
      <c r="J237" s="22">
        <f t="shared" si="42"/>
        <v>0</v>
      </c>
      <c r="K237" s="22">
        <f t="shared" si="47"/>
        <v>0</v>
      </c>
      <c r="L237">
        <f t="shared" si="52"/>
        <v>0</v>
      </c>
      <c r="M237" s="22">
        <f t="shared" si="48"/>
        <v>0</v>
      </c>
      <c r="N237">
        <f>M236*Assumptions!$B$11/$E$2*J237</f>
        <v>0</v>
      </c>
      <c r="O237">
        <f>M236*Assumptions!$B$13/$E$2*J237</f>
        <v>0</v>
      </c>
      <c r="P237">
        <f>H237*Assumptions!$B$15</f>
        <v>0</v>
      </c>
      <c r="Q237">
        <f>O237*Assumptions!$B$17</f>
        <v>0</v>
      </c>
      <c r="R237">
        <f>HLOOKUP(B237,Assumptions!$A$26:$D$27,2,TRUE)</f>
        <v>0</v>
      </c>
      <c r="S237">
        <f t="shared" si="53"/>
        <v>0</v>
      </c>
      <c r="T237">
        <f t="shared" si="49"/>
        <v>0.41666666666666785</v>
      </c>
      <c r="U237">
        <f>IF(B237&gt;$K$2,0,IF(T238=0,0,(1-T238)*Assumptions!$B$11/$E$2*(1-Assumptions!$B$30)))</f>
        <v>0</v>
      </c>
      <c r="V237">
        <f>(N237-O237)*(1-Assumptions!$B$30)-Q237+U236*M236</f>
        <v>0</v>
      </c>
      <c r="W237">
        <f>W236*(1+Assumptions!$B$36)^(1/12)</f>
        <v>1.2061070968671637</v>
      </c>
      <c r="X237" s="19">
        <f>IF(B237&gt;$K$2,0,W236*Assumptions!$B$32/12*M236+V237*Assumptions!$B$34/12)</f>
        <v>0</v>
      </c>
      <c r="Y237" s="20">
        <f>1/(1+HLOOKUP(YEAR(A237),Assumptions!$A$41:$AL$43,3,TRUE))^(1/12)</f>
        <v>0.99816881688355608</v>
      </c>
      <c r="Z237">
        <f t="shared" si="50"/>
        <v>0</v>
      </c>
      <c r="AA237">
        <f t="shared" si="54"/>
        <v>0</v>
      </c>
    </row>
    <row r="238" spans="1:27" x14ac:dyDescent="0.2">
      <c r="A238" s="2">
        <f t="shared" si="55"/>
        <v>50009</v>
      </c>
      <c r="B238">
        <f t="shared" si="51"/>
        <v>319</v>
      </c>
      <c r="C238">
        <f t="shared" si="43"/>
        <v>26.5</v>
      </c>
      <c r="D238">
        <f t="shared" si="44"/>
        <v>0</v>
      </c>
      <c r="E238">
        <f t="shared" si="45"/>
        <v>81</v>
      </c>
      <c r="F238">
        <f>IF(C238&gt;=$J$2,0,VLOOKUP($E238,'Mortality Table'!$A$3:$C$128,2+G$2,FALSE))</f>
        <v>0</v>
      </c>
      <c r="G238">
        <f>F238*Assumptions!$B$1</f>
        <v>0</v>
      </c>
      <c r="H238">
        <f t="shared" si="46"/>
        <v>0</v>
      </c>
      <c r="I238">
        <f>HLOOKUP(C238,Assumptions!$A$6:$J$7,2,TRUE)</f>
        <v>2.6499999999999999E-2</v>
      </c>
      <c r="J238" s="22">
        <f t="shared" si="42"/>
        <v>0</v>
      </c>
      <c r="K238" s="22">
        <f t="shared" si="47"/>
        <v>0</v>
      </c>
      <c r="L238">
        <f t="shared" si="52"/>
        <v>0</v>
      </c>
      <c r="M238" s="22">
        <f t="shared" si="48"/>
        <v>0</v>
      </c>
      <c r="N238">
        <f>M237*Assumptions!$B$11/$E$2*J238</f>
        <v>0</v>
      </c>
      <c r="O238">
        <f>M237*Assumptions!$B$13/$E$2*J238</f>
        <v>0</v>
      </c>
      <c r="P238">
        <f>H238*Assumptions!$B$15</f>
        <v>0</v>
      </c>
      <c r="Q238">
        <f>O238*Assumptions!$B$17</f>
        <v>0</v>
      </c>
      <c r="R238">
        <f>HLOOKUP(B238,Assumptions!$A$26:$D$27,2,TRUE)</f>
        <v>0</v>
      </c>
      <c r="S238">
        <f t="shared" si="53"/>
        <v>0</v>
      </c>
      <c r="T238">
        <f t="shared" si="49"/>
        <v>0.5</v>
      </c>
      <c r="U238">
        <f>IF(B238&gt;$K$2,0,IF(T239=0,0,(1-T239)*Assumptions!$B$11/$E$2*(1-Assumptions!$B$30)))</f>
        <v>0</v>
      </c>
      <c r="V238">
        <f>(N238-O238)*(1-Assumptions!$B$30)-Q238+U237*M237</f>
        <v>0</v>
      </c>
      <c r="W238">
        <f>W237*(1+Assumptions!$B$36)^(1/12)</f>
        <v>1.2071076086739985</v>
      </c>
      <c r="X238" s="19">
        <f>IF(B238&gt;$K$2,0,W237*Assumptions!$B$32/12*M237+V238*Assumptions!$B$34/12)</f>
        <v>0</v>
      </c>
      <c r="Y238" s="20">
        <f>1/(1+HLOOKUP(YEAR(A238),Assumptions!$A$41:$AL$43,3,TRUE))^(1/12)</f>
        <v>0.99816881688355608</v>
      </c>
      <c r="Z238">
        <f t="shared" si="50"/>
        <v>0</v>
      </c>
      <c r="AA238">
        <f t="shared" si="54"/>
        <v>0</v>
      </c>
    </row>
    <row r="239" spans="1:27" x14ac:dyDescent="0.2">
      <c r="A239" s="2">
        <f t="shared" si="55"/>
        <v>50040</v>
      </c>
      <c r="B239">
        <f t="shared" si="51"/>
        <v>320</v>
      </c>
      <c r="C239">
        <f t="shared" si="43"/>
        <v>26.583333333333332</v>
      </c>
      <c r="D239">
        <f t="shared" si="44"/>
        <v>0</v>
      </c>
      <c r="E239">
        <f t="shared" si="45"/>
        <v>81</v>
      </c>
      <c r="F239">
        <f>IF(C239&gt;=$J$2,0,VLOOKUP($E239,'Mortality Table'!$A$3:$C$128,2+G$2,FALSE))</f>
        <v>0</v>
      </c>
      <c r="G239">
        <f>F239*Assumptions!$B$1</f>
        <v>0</v>
      </c>
      <c r="H239">
        <f t="shared" si="46"/>
        <v>0</v>
      </c>
      <c r="I239">
        <f>HLOOKUP(C239,Assumptions!$A$6:$J$7,2,TRUE)</f>
        <v>2.6499999999999999E-2</v>
      </c>
      <c r="J239" s="22">
        <f t="shared" si="42"/>
        <v>0</v>
      </c>
      <c r="K239" s="22">
        <f t="shared" si="47"/>
        <v>0</v>
      </c>
      <c r="L239">
        <f t="shared" si="52"/>
        <v>0</v>
      </c>
      <c r="M239" s="22">
        <f t="shared" si="48"/>
        <v>0</v>
      </c>
      <c r="N239">
        <f>M238*Assumptions!$B$11/$E$2*J239</f>
        <v>0</v>
      </c>
      <c r="O239">
        <f>M238*Assumptions!$B$13/$E$2*J239</f>
        <v>0</v>
      </c>
      <c r="P239">
        <f>H239*Assumptions!$B$15</f>
        <v>0</v>
      </c>
      <c r="Q239">
        <f>O239*Assumptions!$B$17</f>
        <v>0</v>
      </c>
      <c r="R239">
        <f>HLOOKUP(B239,Assumptions!$A$26:$D$27,2,TRUE)</f>
        <v>0</v>
      </c>
      <c r="S239">
        <f t="shared" si="53"/>
        <v>0</v>
      </c>
      <c r="T239">
        <f t="shared" si="49"/>
        <v>0.58333333333333215</v>
      </c>
      <c r="U239">
        <f>IF(B239&gt;$K$2,0,IF(T240=0,0,(1-T240)*Assumptions!$B$11/$E$2*(1-Assumptions!$B$30)))</f>
        <v>0</v>
      </c>
      <c r="V239">
        <f>(N239-O239)*(1-Assumptions!$B$30)-Q239+U238*M238</f>
        <v>0</v>
      </c>
      <c r="W239">
        <f>W238*(1+Assumptions!$B$36)^(1/12)</f>
        <v>1.2081089504435107</v>
      </c>
      <c r="X239" s="19">
        <f>IF(B239&gt;$K$2,0,W238*Assumptions!$B$32/12*M238+V239*Assumptions!$B$34/12)</f>
        <v>0</v>
      </c>
      <c r="Y239" s="20">
        <f>1/(1+HLOOKUP(YEAR(A239),Assumptions!$A$41:$AL$43,3,TRUE))^(1/12)</f>
        <v>0.99816881688355608</v>
      </c>
      <c r="Z239">
        <f t="shared" si="50"/>
        <v>0</v>
      </c>
      <c r="AA239">
        <f t="shared" si="54"/>
        <v>0</v>
      </c>
    </row>
    <row r="240" spans="1:27" x14ac:dyDescent="0.2">
      <c r="A240" s="2">
        <f t="shared" si="55"/>
        <v>50071</v>
      </c>
      <c r="B240">
        <f t="shared" si="51"/>
        <v>321</v>
      </c>
      <c r="C240">
        <f t="shared" si="43"/>
        <v>26.666666666666668</v>
      </c>
      <c r="D240">
        <f t="shared" si="44"/>
        <v>0</v>
      </c>
      <c r="E240">
        <f t="shared" si="45"/>
        <v>81</v>
      </c>
      <c r="F240">
        <f>IF(C240&gt;=$J$2,0,VLOOKUP($E240,'Mortality Table'!$A$3:$C$128,2+G$2,FALSE))</f>
        <v>0</v>
      </c>
      <c r="G240">
        <f>F240*Assumptions!$B$1</f>
        <v>0</v>
      </c>
      <c r="H240">
        <f t="shared" si="46"/>
        <v>0</v>
      </c>
      <c r="I240">
        <f>HLOOKUP(C240,Assumptions!$A$6:$J$7,2,TRUE)</f>
        <v>2.6499999999999999E-2</v>
      </c>
      <c r="J240" s="22">
        <f t="shared" si="42"/>
        <v>0</v>
      </c>
      <c r="K240" s="22">
        <f t="shared" si="47"/>
        <v>0</v>
      </c>
      <c r="L240">
        <f t="shared" si="52"/>
        <v>0</v>
      </c>
      <c r="M240" s="22">
        <f t="shared" si="48"/>
        <v>0</v>
      </c>
      <c r="N240">
        <f>M239*Assumptions!$B$11/$E$2*J240</f>
        <v>0</v>
      </c>
      <c r="O240">
        <f>M239*Assumptions!$B$13/$E$2*J240</f>
        <v>0</v>
      </c>
      <c r="P240">
        <f>H240*Assumptions!$B$15</f>
        <v>0</v>
      </c>
      <c r="Q240">
        <f>O240*Assumptions!$B$17</f>
        <v>0</v>
      </c>
      <c r="R240">
        <f>HLOOKUP(B240,Assumptions!$A$26:$D$27,2,TRUE)</f>
        <v>0</v>
      </c>
      <c r="S240">
        <f t="shared" si="53"/>
        <v>0</v>
      </c>
      <c r="T240">
        <f t="shared" si="49"/>
        <v>0.66666666666666785</v>
      </c>
      <c r="U240">
        <f>IF(B240&gt;$K$2,0,IF(T241=0,0,(1-T241)*Assumptions!$B$11/$E$2*(1-Assumptions!$B$30)))</f>
        <v>0</v>
      </c>
      <c r="V240">
        <f>(N240-O240)*(1-Assumptions!$B$30)-Q240+U239*M239</f>
        <v>0</v>
      </c>
      <c r="W240">
        <f>W239*(1+Assumptions!$B$36)^(1/12)</f>
        <v>1.2091111228641864</v>
      </c>
      <c r="X240" s="19">
        <f>IF(B240&gt;$K$2,0,W239*Assumptions!$B$32/12*M239+V240*Assumptions!$B$34/12)</f>
        <v>0</v>
      </c>
      <c r="Y240" s="20">
        <f>1/(1+HLOOKUP(YEAR(A240),Assumptions!$A$41:$AL$43,3,TRUE))^(1/12)</f>
        <v>0.99812871135708459</v>
      </c>
      <c r="Z240">
        <f t="shared" si="50"/>
        <v>0</v>
      </c>
      <c r="AA240">
        <f t="shared" si="54"/>
        <v>0</v>
      </c>
    </row>
    <row r="241" spans="1:27" x14ac:dyDescent="0.2">
      <c r="A241" s="2">
        <f t="shared" si="55"/>
        <v>50099</v>
      </c>
      <c r="B241">
        <f t="shared" si="51"/>
        <v>322</v>
      </c>
      <c r="C241">
        <f t="shared" si="43"/>
        <v>26.75</v>
      </c>
      <c r="D241">
        <f t="shared" si="44"/>
        <v>0</v>
      </c>
      <c r="E241">
        <f t="shared" si="45"/>
        <v>81</v>
      </c>
      <c r="F241">
        <f>IF(C241&gt;=$J$2,0,VLOOKUP($E241,'Mortality Table'!$A$3:$C$128,2+G$2,FALSE))</f>
        <v>0</v>
      </c>
      <c r="G241">
        <f>F241*Assumptions!$B$1</f>
        <v>0</v>
      </c>
      <c r="H241">
        <f t="shared" si="46"/>
        <v>0</v>
      </c>
      <c r="I241">
        <f>HLOOKUP(C241,Assumptions!$A$6:$J$7,2,TRUE)</f>
        <v>2.6499999999999999E-2</v>
      </c>
      <c r="J241" s="22">
        <f t="shared" si="42"/>
        <v>0</v>
      </c>
      <c r="K241" s="22">
        <f t="shared" si="47"/>
        <v>0</v>
      </c>
      <c r="L241">
        <f t="shared" si="52"/>
        <v>0</v>
      </c>
      <c r="M241" s="22">
        <f t="shared" si="48"/>
        <v>0</v>
      </c>
      <c r="N241">
        <f>M240*Assumptions!$B$11/$E$2*J241</f>
        <v>0</v>
      </c>
      <c r="O241">
        <f>M240*Assumptions!$B$13/$E$2*J241</f>
        <v>0</v>
      </c>
      <c r="P241">
        <f>H241*Assumptions!$B$15</f>
        <v>0</v>
      </c>
      <c r="Q241">
        <f>O241*Assumptions!$B$17</f>
        <v>0</v>
      </c>
      <c r="R241">
        <f>HLOOKUP(B241,Assumptions!$A$26:$D$27,2,TRUE)</f>
        <v>0</v>
      </c>
      <c r="S241">
        <f t="shared" si="53"/>
        <v>0</v>
      </c>
      <c r="T241">
        <f t="shared" si="49"/>
        <v>0.75</v>
      </c>
      <c r="U241">
        <f>IF(B241&gt;$K$2,0,IF(T242=0,0,(1-T242)*Assumptions!$B$11/$E$2*(1-Assumptions!$B$30)))</f>
        <v>0</v>
      </c>
      <c r="V241">
        <f>(N241-O241)*(1-Assumptions!$B$30)-Q241+U240*M240</f>
        <v>0</v>
      </c>
      <c r="W241">
        <f>W240*(1+Assumptions!$B$36)^(1/12)</f>
        <v>1.2101141266250821</v>
      </c>
      <c r="X241" s="19">
        <f>IF(B241&gt;$K$2,0,W240*Assumptions!$B$32/12*M240+V241*Assumptions!$B$34/12)</f>
        <v>0</v>
      </c>
      <c r="Y241" s="20">
        <f>1/(1+HLOOKUP(YEAR(A241),Assumptions!$A$41:$AL$43,3,TRUE))^(1/12)</f>
        <v>0.99812871135708459</v>
      </c>
      <c r="Z241">
        <f t="shared" si="50"/>
        <v>0</v>
      </c>
      <c r="AA241">
        <f t="shared" si="54"/>
        <v>0</v>
      </c>
    </row>
    <row r="242" spans="1:27" x14ac:dyDescent="0.2">
      <c r="A242" s="2">
        <f t="shared" si="55"/>
        <v>50130</v>
      </c>
      <c r="B242">
        <f t="shared" si="51"/>
        <v>323</v>
      </c>
      <c r="C242">
        <f t="shared" si="43"/>
        <v>26.833333333333332</v>
      </c>
      <c r="D242">
        <f t="shared" si="44"/>
        <v>0</v>
      </c>
      <c r="E242">
        <f t="shared" si="45"/>
        <v>81</v>
      </c>
      <c r="F242">
        <f>IF(C242&gt;=$J$2,0,VLOOKUP($E242,'Mortality Table'!$A$3:$C$128,2+G$2,FALSE))</f>
        <v>0</v>
      </c>
      <c r="G242">
        <f>F242*Assumptions!$B$1</f>
        <v>0</v>
      </c>
      <c r="H242">
        <f t="shared" si="46"/>
        <v>0</v>
      </c>
      <c r="I242">
        <f>HLOOKUP(C242,Assumptions!$A$6:$J$7,2,TRUE)</f>
        <v>2.6499999999999999E-2</v>
      </c>
      <c r="J242" s="22">
        <f t="shared" si="42"/>
        <v>0</v>
      </c>
      <c r="K242" s="22">
        <f t="shared" si="47"/>
        <v>0</v>
      </c>
      <c r="L242">
        <f t="shared" si="52"/>
        <v>0</v>
      </c>
      <c r="M242" s="22">
        <f t="shared" si="48"/>
        <v>0</v>
      </c>
      <c r="N242">
        <f>M241*Assumptions!$B$11/$E$2*J242</f>
        <v>0</v>
      </c>
      <c r="O242">
        <f>M241*Assumptions!$B$13/$E$2*J242</f>
        <v>0</v>
      </c>
      <c r="P242">
        <f>H242*Assumptions!$B$15</f>
        <v>0</v>
      </c>
      <c r="Q242">
        <f>O242*Assumptions!$B$17</f>
        <v>0</v>
      </c>
      <c r="R242">
        <f>HLOOKUP(B242,Assumptions!$A$26:$D$27,2,TRUE)</f>
        <v>0</v>
      </c>
      <c r="S242">
        <f t="shared" si="53"/>
        <v>0</v>
      </c>
      <c r="T242">
        <f t="shared" si="49"/>
        <v>0.83333333333333215</v>
      </c>
      <c r="U242">
        <f>IF(B242&gt;$K$2,0,IF(T243=0,0,(1-T243)*Assumptions!$B$11/$E$2*(1-Assumptions!$B$30)))</f>
        <v>0</v>
      </c>
      <c r="V242">
        <f>(N242-O242)*(1-Assumptions!$B$30)-Q242+U241*M241</f>
        <v>0</v>
      </c>
      <c r="W242">
        <f>W241*(1+Assumptions!$B$36)^(1/12)</f>
        <v>1.2111179624158264</v>
      </c>
      <c r="X242" s="19">
        <f>IF(B242&gt;$K$2,0,W241*Assumptions!$B$32/12*M241+V242*Assumptions!$B$34/12)</f>
        <v>0</v>
      </c>
      <c r="Y242" s="20">
        <f>1/(1+HLOOKUP(YEAR(A242),Assumptions!$A$41:$AL$43,3,TRUE))^(1/12)</f>
        <v>0.99812871135708459</v>
      </c>
      <c r="Z242">
        <f t="shared" si="50"/>
        <v>0</v>
      </c>
      <c r="AA242">
        <f t="shared" si="54"/>
        <v>0</v>
      </c>
    </row>
    <row r="243" spans="1:27" x14ac:dyDescent="0.2">
      <c r="A243" s="2">
        <f t="shared" si="55"/>
        <v>50160</v>
      </c>
      <c r="B243">
        <f t="shared" si="51"/>
        <v>324</v>
      </c>
      <c r="C243">
        <f t="shared" si="43"/>
        <v>26.916666666666668</v>
      </c>
      <c r="D243">
        <f t="shared" si="44"/>
        <v>0</v>
      </c>
      <c r="E243">
        <f t="shared" si="45"/>
        <v>81</v>
      </c>
      <c r="F243">
        <f>IF(C243&gt;=$J$2,0,VLOOKUP($E243,'Mortality Table'!$A$3:$C$128,2+G$2,FALSE))</f>
        <v>0</v>
      </c>
      <c r="G243">
        <f>F243*Assumptions!$B$1</f>
        <v>0</v>
      </c>
      <c r="H243">
        <f t="shared" si="46"/>
        <v>0</v>
      </c>
      <c r="I243">
        <f>HLOOKUP(C243,Assumptions!$A$6:$J$7,2,TRUE)</f>
        <v>2.6499999999999999E-2</v>
      </c>
      <c r="J243" s="22">
        <f t="shared" si="42"/>
        <v>0</v>
      </c>
      <c r="K243" s="22">
        <f t="shared" si="47"/>
        <v>0</v>
      </c>
      <c r="L243">
        <f t="shared" si="52"/>
        <v>0</v>
      </c>
      <c r="M243" s="22">
        <f t="shared" si="48"/>
        <v>0</v>
      </c>
      <c r="N243">
        <f>M242*Assumptions!$B$11/$E$2*J243</f>
        <v>0</v>
      </c>
      <c r="O243">
        <f>M242*Assumptions!$B$13/$E$2*J243</f>
        <v>0</v>
      </c>
      <c r="P243">
        <f>H243*Assumptions!$B$15</f>
        <v>0</v>
      </c>
      <c r="Q243">
        <f>O243*Assumptions!$B$17</f>
        <v>0</v>
      </c>
      <c r="R243">
        <f>HLOOKUP(B243,Assumptions!$A$26:$D$27,2,TRUE)</f>
        <v>0</v>
      </c>
      <c r="S243">
        <f t="shared" si="53"/>
        <v>0</v>
      </c>
      <c r="T243">
        <f t="shared" si="49"/>
        <v>0.91666666666666785</v>
      </c>
      <c r="U243">
        <f>IF(B243&gt;$K$2,0,IF(T244=0,0,(1-T244)*Assumptions!$B$11/$E$2*(1-Assumptions!$B$30)))</f>
        <v>0</v>
      </c>
      <c r="V243">
        <f>(N243-O243)*(1-Assumptions!$B$30)-Q243+U242*M242</f>
        <v>0</v>
      </c>
      <c r="W243">
        <f>W242*(1+Assumptions!$B$36)^(1/12)</f>
        <v>1.2121226309266195</v>
      </c>
      <c r="X243" s="19">
        <f>IF(B243&gt;$K$2,0,W242*Assumptions!$B$32/12*M242+V243*Assumptions!$B$34/12)</f>
        <v>0</v>
      </c>
      <c r="Y243" s="20">
        <f>1/(1+HLOOKUP(YEAR(A243),Assumptions!$A$41:$AL$43,3,TRUE))^(1/12)</f>
        <v>0.99812871135708459</v>
      </c>
      <c r="Z243">
        <f t="shared" si="50"/>
        <v>0</v>
      </c>
      <c r="AA243">
        <f t="shared" si="54"/>
        <v>0</v>
      </c>
    </row>
    <row r="244" spans="1:27" x14ac:dyDescent="0.2">
      <c r="A244" s="2">
        <f t="shared" si="55"/>
        <v>50191</v>
      </c>
      <c r="B244">
        <f t="shared" si="51"/>
        <v>325</v>
      </c>
      <c r="C244">
        <f t="shared" si="43"/>
        <v>27</v>
      </c>
      <c r="D244">
        <f t="shared" si="44"/>
        <v>1</v>
      </c>
      <c r="E244">
        <f t="shared" si="45"/>
        <v>82</v>
      </c>
      <c r="F244">
        <f>IF(C244&gt;=$J$2,0,VLOOKUP($E244,'Mortality Table'!$A$3:$C$128,2+G$2,FALSE))</f>
        <v>0</v>
      </c>
      <c r="G244">
        <f>F244*Assumptions!$B$1</f>
        <v>0</v>
      </c>
      <c r="H244">
        <f t="shared" si="46"/>
        <v>0</v>
      </c>
      <c r="I244">
        <f>HLOOKUP(C244,Assumptions!$A$6:$J$7,2,TRUE)</f>
        <v>2.6499999999999999E-2</v>
      </c>
      <c r="J244" s="22">
        <f t="shared" si="42"/>
        <v>0</v>
      </c>
      <c r="K244" s="22">
        <f t="shared" si="47"/>
        <v>0</v>
      </c>
      <c r="L244">
        <f t="shared" si="52"/>
        <v>0</v>
      </c>
      <c r="M244" s="22">
        <f t="shared" si="48"/>
        <v>0</v>
      </c>
      <c r="N244">
        <f>M243*Assumptions!$B$11/$E$2*J244</f>
        <v>0</v>
      </c>
      <c r="O244">
        <f>M243*Assumptions!$B$13/$E$2*J244</f>
        <v>0</v>
      </c>
      <c r="P244">
        <f>H244*Assumptions!$B$15</f>
        <v>0</v>
      </c>
      <c r="Q244">
        <f>O244*Assumptions!$B$17</f>
        <v>0</v>
      </c>
      <c r="R244">
        <f>HLOOKUP(B244,Assumptions!$A$26:$D$27,2,TRUE)</f>
        <v>0</v>
      </c>
      <c r="S244">
        <f t="shared" si="53"/>
        <v>0</v>
      </c>
      <c r="T244">
        <f t="shared" si="49"/>
        <v>0</v>
      </c>
      <c r="U244">
        <f>IF(B244&gt;$K$2,0,IF(T245=0,0,(1-T245)*Assumptions!$B$11/$E$2*(1-Assumptions!$B$30)))</f>
        <v>0</v>
      </c>
      <c r="V244">
        <f>(N244-O244)*(1-Assumptions!$B$30)-Q244+U243*M243</f>
        <v>0</v>
      </c>
      <c r="W244">
        <f>W243*(1+Assumptions!$B$36)^(1/12)</f>
        <v>1.2131281328482346</v>
      </c>
      <c r="X244" s="19">
        <f>IF(B244&gt;$K$2,0,W243*Assumptions!$B$32/12*M243+V244*Assumptions!$B$34/12)</f>
        <v>0</v>
      </c>
      <c r="Y244" s="20">
        <f>1/(1+HLOOKUP(YEAR(A244),Assumptions!$A$41:$AL$43,3,TRUE))^(1/12)</f>
        <v>0.99812871135708459</v>
      </c>
      <c r="Z244">
        <f t="shared" si="50"/>
        <v>0</v>
      </c>
      <c r="AA244">
        <f t="shared" si="54"/>
        <v>0</v>
      </c>
    </row>
    <row r="245" spans="1:27" x14ac:dyDescent="0.2">
      <c r="A245" s="2">
        <f t="shared" si="55"/>
        <v>50221</v>
      </c>
      <c r="B245">
        <f t="shared" si="51"/>
        <v>326</v>
      </c>
      <c r="C245">
        <f t="shared" si="43"/>
        <v>27.083333333333332</v>
      </c>
      <c r="D245">
        <f t="shared" si="44"/>
        <v>0</v>
      </c>
      <c r="E245">
        <f t="shared" si="45"/>
        <v>82</v>
      </c>
      <c r="F245">
        <f>IF(C245&gt;=$J$2,0,VLOOKUP($E245,'Mortality Table'!$A$3:$C$128,2+G$2,FALSE))</f>
        <v>0</v>
      </c>
      <c r="G245">
        <f>F245*Assumptions!$B$1</f>
        <v>0</v>
      </c>
      <c r="H245">
        <f t="shared" si="46"/>
        <v>0</v>
      </c>
      <c r="I245">
        <f>HLOOKUP(C245,Assumptions!$A$6:$J$7,2,TRUE)</f>
        <v>2.6499999999999999E-2</v>
      </c>
      <c r="J245" s="22">
        <f t="shared" si="42"/>
        <v>0</v>
      </c>
      <c r="K245" s="22">
        <f t="shared" si="47"/>
        <v>0</v>
      </c>
      <c r="L245">
        <f t="shared" si="52"/>
        <v>0</v>
      </c>
      <c r="M245" s="22">
        <f t="shared" si="48"/>
        <v>0</v>
      </c>
      <c r="N245">
        <f>M244*Assumptions!$B$11/$E$2*J245</f>
        <v>0</v>
      </c>
      <c r="O245">
        <f>M244*Assumptions!$B$13/$E$2*J245</f>
        <v>0</v>
      </c>
      <c r="P245">
        <f>H245*Assumptions!$B$15</f>
        <v>0</v>
      </c>
      <c r="Q245">
        <f>O245*Assumptions!$B$17</f>
        <v>0</v>
      </c>
      <c r="R245">
        <f>HLOOKUP(B245,Assumptions!$A$26:$D$27,2,TRUE)</f>
        <v>0</v>
      </c>
      <c r="S245">
        <f t="shared" si="53"/>
        <v>0</v>
      </c>
      <c r="T245">
        <f t="shared" si="49"/>
        <v>8.3333333333332149E-2</v>
      </c>
      <c r="U245">
        <f>IF(B245&gt;$K$2,0,IF(T246=0,0,(1-T246)*Assumptions!$B$11/$E$2*(1-Assumptions!$B$30)))</f>
        <v>0</v>
      </c>
      <c r="V245">
        <f>(N245-O245)*(1-Assumptions!$B$30)-Q245+U244*M244</f>
        <v>0</v>
      </c>
      <c r="W245">
        <f>W244*(1+Assumptions!$B$36)^(1/12)</f>
        <v>1.2141344688720179</v>
      </c>
      <c r="X245" s="19">
        <f>IF(B245&gt;$K$2,0,W244*Assumptions!$B$32/12*M244+V245*Assumptions!$B$34/12)</f>
        <v>0</v>
      </c>
      <c r="Y245" s="20">
        <f>1/(1+HLOOKUP(YEAR(A245),Assumptions!$A$41:$AL$43,3,TRUE))^(1/12)</f>
        <v>0.99812871135708459</v>
      </c>
      <c r="Z245">
        <f t="shared" si="50"/>
        <v>0</v>
      </c>
      <c r="AA245">
        <f t="shared" si="54"/>
        <v>0</v>
      </c>
    </row>
    <row r="246" spans="1:27" x14ac:dyDescent="0.2">
      <c r="A246" s="2">
        <f t="shared" si="55"/>
        <v>50252</v>
      </c>
      <c r="B246">
        <f t="shared" si="51"/>
        <v>327</v>
      </c>
      <c r="C246">
        <f t="shared" si="43"/>
        <v>27.166666666666668</v>
      </c>
      <c r="D246">
        <f t="shared" si="44"/>
        <v>0</v>
      </c>
      <c r="E246">
        <f t="shared" si="45"/>
        <v>82</v>
      </c>
      <c r="F246">
        <f>IF(C246&gt;=$J$2,0,VLOOKUP($E246,'Mortality Table'!$A$3:$C$128,2+G$2,FALSE))</f>
        <v>0</v>
      </c>
      <c r="G246">
        <f>F246*Assumptions!$B$1</f>
        <v>0</v>
      </c>
      <c r="H246">
        <f t="shared" si="46"/>
        <v>0</v>
      </c>
      <c r="I246">
        <f>HLOOKUP(C246,Assumptions!$A$6:$J$7,2,TRUE)</f>
        <v>2.6499999999999999E-2</v>
      </c>
      <c r="J246" s="22">
        <f t="shared" si="42"/>
        <v>0</v>
      </c>
      <c r="K246" s="22">
        <f t="shared" si="47"/>
        <v>0</v>
      </c>
      <c r="L246">
        <f t="shared" si="52"/>
        <v>0</v>
      </c>
      <c r="M246" s="22">
        <f t="shared" si="48"/>
        <v>0</v>
      </c>
      <c r="N246">
        <f>M245*Assumptions!$B$11/$E$2*J246</f>
        <v>0</v>
      </c>
      <c r="O246">
        <f>M245*Assumptions!$B$13/$E$2*J246</f>
        <v>0</v>
      </c>
      <c r="P246">
        <f>H246*Assumptions!$B$15</f>
        <v>0</v>
      </c>
      <c r="Q246">
        <f>O246*Assumptions!$B$17</f>
        <v>0</v>
      </c>
      <c r="R246">
        <f>HLOOKUP(B246,Assumptions!$A$26:$D$27,2,TRUE)</f>
        <v>0</v>
      </c>
      <c r="S246">
        <f t="shared" si="53"/>
        <v>0</v>
      </c>
      <c r="T246">
        <f t="shared" si="49"/>
        <v>0.16666666666666785</v>
      </c>
      <c r="U246">
        <f>IF(B246&gt;$K$2,0,IF(T247=0,0,(1-T247)*Assumptions!$B$11/$E$2*(1-Assumptions!$B$30)))</f>
        <v>0</v>
      </c>
      <c r="V246">
        <f>(N246-O246)*(1-Assumptions!$B$30)-Q246+U245*M245</f>
        <v>0</v>
      </c>
      <c r="W246">
        <f>W245*(1+Assumptions!$B$36)^(1/12)</f>
        <v>1.2151416396898886</v>
      </c>
      <c r="X246" s="19">
        <f>IF(B246&gt;$K$2,0,W245*Assumptions!$B$32/12*M245+V246*Assumptions!$B$34/12)</f>
        <v>0</v>
      </c>
      <c r="Y246" s="20">
        <f>1/(1+HLOOKUP(YEAR(A246),Assumptions!$A$41:$AL$43,3,TRUE))^(1/12)</f>
        <v>0.99812871135708459</v>
      </c>
      <c r="Z246">
        <f t="shared" si="50"/>
        <v>0</v>
      </c>
      <c r="AA246">
        <f t="shared" si="54"/>
        <v>0</v>
      </c>
    </row>
    <row r="247" spans="1:27" x14ac:dyDescent="0.2">
      <c r="A247" s="2">
        <f t="shared" si="55"/>
        <v>50283</v>
      </c>
      <c r="B247">
        <f t="shared" si="51"/>
        <v>328</v>
      </c>
      <c r="C247">
        <f t="shared" si="43"/>
        <v>27.25</v>
      </c>
      <c r="D247">
        <f t="shared" si="44"/>
        <v>0</v>
      </c>
      <c r="E247">
        <f t="shared" si="45"/>
        <v>82</v>
      </c>
      <c r="F247">
        <f>IF(C247&gt;=$J$2,0,VLOOKUP($E247,'Mortality Table'!$A$3:$C$128,2+G$2,FALSE))</f>
        <v>0</v>
      </c>
      <c r="G247">
        <f>F247*Assumptions!$B$1</f>
        <v>0</v>
      </c>
      <c r="H247">
        <f t="shared" si="46"/>
        <v>0</v>
      </c>
      <c r="I247">
        <f>HLOOKUP(C247,Assumptions!$A$6:$J$7,2,TRUE)</f>
        <v>2.6499999999999999E-2</v>
      </c>
      <c r="J247" s="22">
        <f t="shared" si="42"/>
        <v>0</v>
      </c>
      <c r="K247" s="22">
        <f t="shared" si="47"/>
        <v>0</v>
      </c>
      <c r="L247">
        <f t="shared" si="52"/>
        <v>0</v>
      </c>
      <c r="M247" s="22">
        <f t="shared" si="48"/>
        <v>0</v>
      </c>
      <c r="N247">
        <f>M246*Assumptions!$B$11/$E$2*J247</f>
        <v>0</v>
      </c>
      <c r="O247">
        <f>M246*Assumptions!$B$13/$E$2*J247</f>
        <v>0</v>
      </c>
      <c r="P247">
        <f>H247*Assumptions!$B$15</f>
        <v>0</v>
      </c>
      <c r="Q247">
        <f>O247*Assumptions!$B$17</f>
        <v>0</v>
      </c>
      <c r="R247">
        <f>HLOOKUP(B247,Assumptions!$A$26:$D$27,2,TRUE)</f>
        <v>0</v>
      </c>
      <c r="S247">
        <f t="shared" si="53"/>
        <v>0</v>
      </c>
      <c r="T247">
        <f t="shared" si="49"/>
        <v>0.25</v>
      </c>
      <c r="U247">
        <f>IF(B247&gt;$K$2,0,IF(T248=0,0,(1-T248)*Assumptions!$B$11/$E$2*(1-Assumptions!$B$30)))</f>
        <v>0</v>
      </c>
      <c r="V247">
        <f>(N247-O247)*(1-Assumptions!$B$30)-Q247+U246*M246</f>
        <v>0</v>
      </c>
      <c r="W247">
        <f>W246*(1+Assumptions!$B$36)^(1/12)</f>
        <v>1.2161496459943404</v>
      </c>
      <c r="X247" s="19">
        <f>IF(B247&gt;$K$2,0,W246*Assumptions!$B$32/12*M246+V247*Assumptions!$B$34/12)</f>
        <v>0</v>
      </c>
      <c r="Y247" s="20">
        <f>1/(1+HLOOKUP(YEAR(A247),Assumptions!$A$41:$AL$43,3,TRUE))^(1/12)</f>
        <v>0.99812871135708459</v>
      </c>
      <c r="Z247">
        <f t="shared" si="50"/>
        <v>0</v>
      </c>
      <c r="AA247">
        <f t="shared" si="54"/>
        <v>0</v>
      </c>
    </row>
    <row r="248" spans="1:27" x14ac:dyDescent="0.2">
      <c r="A248" s="2">
        <f t="shared" si="55"/>
        <v>50313</v>
      </c>
      <c r="B248">
        <f t="shared" si="51"/>
        <v>329</v>
      </c>
      <c r="C248">
        <f t="shared" si="43"/>
        <v>27.333333333333332</v>
      </c>
      <c r="D248">
        <f t="shared" si="44"/>
        <v>0</v>
      </c>
      <c r="E248">
        <f t="shared" si="45"/>
        <v>82</v>
      </c>
      <c r="F248">
        <f>IF(C248&gt;=$J$2,0,VLOOKUP($E248,'Mortality Table'!$A$3:$C$128,2+G$2,FALSE))</f>
        <v>0</v>
      </c>
      <c r="G248">
        <f>F248*Assumptions!$B$1</f>
        <v>0</v>
      </c>
      <c r="H248">
        <f t="shared" si="46"/>
        <v>0</v>
      </c>
      <c r="I248">
        <f>HLOOKUP(C248,Assumptions!$A$6:$J$7,2,TRUE)</f>
        <v>2.6499999999999999E-2</v>
      </c>
      <c r="J248" s="22">
        <f t="shared" si="42"/>
        <v>0</v>
      </c>
      <c r="K248" s="22">
        <f t="shared" si="47"/>
        <v>0</v>
      </c>
      <c r="L248">
        <f t="shared" si="52"/>
        <v>0</v>
      </c>
      <c r="M248" s="22">
        <f t="shared" si="48"/>
        <v>0</v>
      </c>
      <c r="N248">
        <f>M247*Assumptions!$B$11/$E$2*J248</f>
        <v>0</v>
      </c>
      <c r="O248">
        <f>M247*Assumptions!$B$13/$E$2*J248</f>
        <v>0</v>
      </c>
      <c r="P248">
        <f>H248*Assumptions!$B$15</f>
        <v>0</v>
      </c>
      <c r="Q248">
        <f>O248*Assumptions!$B$17</f>
        <v>0</v>
      </c>
      <c r="R248">
        <f>HLOOKUP(B248,Assumptions!$A$26:$D$27,2,TRUE)</f>
        <v>0</v>
      </c>
      <c r="S248">
        <f t="shared" si="53"/>
        <v>0</v>
      </c>
      <c r="T248">
        <f t="shared" si="49"/>
        <v>0.33333333333333215</v>
      </c>
      <c r="U248">
        <f>IF(B248&gt;$K$2,0,IF(T249=0,0,(1-T249)*Assumptions!$B$11/$E$2*(1-Assumptions!$B$30)))</f>
        <v>0</v>
      </c>
      <c r="V248">
        <f>(N248-O248)*(1-Assumptions!$B$30)-Q248+U247*M247</f>
        <v>0</v>
      </c>
      <c r="W248">
        <f>W247*(1+Assumptions!$B$36)^(1/12)</f>
        <v>1.2171584884784412</v>
      </c>
      <c r="X248" s="19">
        <f>IF(B248&gt;$K$2,0,W247*Assumptions!$B$32/12*M247+V248*Assumptions!$B$34/12)</f>
        <v>0</v>
      </c>
      <c r="Y248" s="20">
        <f>1/(1+HLOOKUP(YEAR(A248),Assumptions!$A$41:$AL$43,3,TRUE))^(1/12)</f>
        <v>0.99812871135708459</v>
      </c>
      <c r="Z248">
        <f t="shared" si="50"/>
        <v>0</v>
      </c>
      <c r="AA248">
        <f t="shared" si="54"/>
        <v>0</v>
      </c>
    </row>
    <row r="249" spans="1:27" x14ac:dyDescent="0.2">
      <c r="A249" s="2">
        <f t="shared" si="55"/>
        <v>50344</v>
      </c>
      <c r="B249">
        <f t="shared" si="51"/>
        <v>330</v>
      </c>
      <c r="C249">
        <f t="shared" si="43"/>
        <v>27.416666666666668</v>
      </c>
      <c r="D249">
        <f t="shared" si="44"/>
        <v>0</v>
      </c>
      <c r="E249">
        <f t="shared" si="45"/>
        <v>82</v>
      </c>
      <c r="F249">
        <f>IF(C249&gt;=$J$2,0,VLOOKUP($E249,'Mortality Table'!$A$3:$C$128,2+G$2,FALSE))</f>
        <v>0</v>
      </c>
      <c r="G249">
        <f>F249*Assumptions!$B$1</f>
        <v>0</v>
      </c>
      <c r="H249">
        <f t="shared" si="46"/>
        <v>0</v>
      </c>
      <c r="I249">
        <f>HLOOKUP(C249,Assumptions!$A$6:$J$7,2,TRUE)</f>
        <v>2.6499999999999999E-2</v>
      </c>
      <c r="J249" s="22">
        <f t="shared" si="42"/>
        <v>0</v>
      </c>
      <c r="K249" s="22">
        <f t="shared" si="47"/>
        <v>0</v>
      </c>
      <c r="L249">
        <f t="shared" si="52"/>
        <v>0</v>
      </c>
      <c r="M249" s="22">
        <f t="shared" si="48"/>
        <v>0</v>
      </c>
      <c r="N249">
        <f>M248*Assumptions!$B$11/$E$2*J249</f>
        <v>0</v>
      </c>
      <c r="O249">
        <f>M248*Assumptions!$B$13/$E$2*J249</f>
        <v>0</v>
      </c>
      <c r="P249">
        <f>H249*Assumptions!$B$15</f>
        <v>0</v>
      </c>
      <c r="Q249">
        <f>O249*Assumptions!$B$17</f>
        <v>0</v>
      </c>
      <c r="R249">
        <f>HLOOKUP(B249,Assumptions!$A$26:$D$27,2,TRUE)</f>
        <v>0</v>
      </c>
      <c r="S249">
        <f t="shared" si="53"/>
        <v>0</v>
      </c>
      <c r="T249">
        <f t="shared" si="49"/>
        <v>0.41666666666666785</v>
      </c>
      <c r="U249">
        <f>IF(B249&gt;$K$2,0,IF(T250=0,0,(1-T250)*Assumptions!$B$11/$E$2*(1-Assumptions!$B$30)))</f>
        <v>0</v>
      </c>
      <c r="V249">
        <f>(N249-O249)*(1-Assumptions!$B$30)-Q249+U248*M248</f>
        <v>0</v>
      </c>
      <c r="W249">
        <f>W248*(1+Assumptions!$B$36)^(1/12)</f>
        <v>1.218168167835834</v>
      </c>
      <c r="X249" s="19">
        <f>IF(B249&gt;$K$2,0,W248*Assumptions!$B$32/12*M248+V249*Assumptions!$B$34/12)</f>
        <v>0</v>
      </c>
      <c r="Y249" s="20">
        <f>1/(1+HLOOKUP(YEAR(A249),Assumptions!$A$41:$AL$43,3,TRUE))^(1/12)</f>
        <v>0.99812871135708459</v>
      </c>
      <c r="Z249">
        <f t="shared" si="50"/>
        <v>0</v>
      </c>
      <c r="AA249">
        <f t="shared" si="54"/>
        <v>0</v>
      </c>
    </row>
    <row r="250" spans="1:27" x14ac:dyDescent="0.2">
      <c r="A250" s="2">
        <f t="shared" si="55"/>
        <v>50374</v>
      </c>
      <c r="B250">
        <f t="shared" si="51"/>
        <v>331</v>
      </c>
      <c r="C250">
        <f t="shared" si="43"/>
        <v>27.5</v>
      </c>
      <c r="D250">
        <f t="shared" si="44"/>
        <v>0</v>
      </c>
      <c r="E250">
        <f t="shared" si="45"/>
        <v>82</v>
      </c>
      <c r="F250">
        <f>IF(C250&gt;=$J$2,0,VLOOKUP($E250,'Mortality Table'!$A$3:$C$128,2+G$2,FALSE))</f>
        <v>0</v>
      </c>
      <c r="G250">
        <f>F250*Assumptions!$B$1</f>
        <v>0</v>
      </c>
      <c r="H250">
        <f t="shared" si="46"/>
        <v>0</v>
      </c>
      <c r="I250">
        <f>HLOOKUP(C250,Assumptions!$A$6:$J$7,2,TRUE)</f>
        <v>2.6499999999999999E-2</v>
      </c>
      <c r="J250" s="22">
        <f t="shared" si="42"/>
        <v>0</v>
      </c>
      <c r="K250" s="22">
        <f t="shared" si="47"/>
        <v>0</v>
      </c>
      <c r="L250">
        <f t="shared" si="52"/>
        <v>0</v>
      </c>
      <c r="M250" s="22">
        <f t="shared" si="48"/>
        <v>0</v>
      </c>
      <c r="N250">
        <f>M249*Assumptions!$B$11/$E$2*J250</f>
        <v>0</v>
      </c>
      <c r="O250">
        <f>M249*Assumptions!$B$13/$E$2*J250</f>
        <v>0</v>
      </c>
      <c r="P250">
        <f>H250*Assumptions!$B$15</f>
        <v>0</v>
      </c>
      <c r="Q250">
        <f>O250*Assumptions!$B$17</f>
        <v>0</v>
      </c>
      <c r="R250">
        <f>HLOOKUP(B250,Assumptions!$A$26:$D$27,2,TRUE)</f>
        <v>0</v>
      </c>
      <c r="S250">
        <f t="shared" si="53"/>
        <v>0</v>
      </c>
      <c r="T250">
        <f t="shared" si="49"/>
        <v>0.5</v>
      </c>
      <c r="U250">
        <f>IF(B250&gt;$K$2,0,IF(T251=0,0,(1-T251)*Assumptions!$B$11/$E$2*(1-Assumptions!$B$30)))</f>
        <v>0</v>
      </c>
      <c r="V250">
        <f>(N250-O250)*(1-Assumptions!$B$30)-Q250+U249*M249</f>
        <v>0</v>
      </c>
      <c r="W250">
        <f>W249*(1+Assumptions!$B$36)^(1/12)</f>
        <v>1.2191786847607371</v>
      </c>
      <c r="X250" s="19">
        <f>IF(B250&gt;$K$2,0,W249*Assumptions!$B$32/12*M249+V250*Assumptions!$B$34/12)</f>
        <v>0</v>
      </c>
      <c r="Y250" s="20">
        <f>1/(1+HLOOKUP(YEAR(A250),Assumptions!$A$41:$AL$43,3,TRUE))^(1/12)</f>
        <v>0.99812871135708459</v>
      </c>
      <c r="Z250">
        <f t="shared" si="50"/>
        <v>0</v>
      </c>
      <c r="AA250">
        <f t="shared" si="54"/>
        <v>0</v>
      </c>
    </row>
    <row r="251" spans="1:27" x14ac:dyDescent="0.2">
      <c r="A251" s="2">
        <f t="shared" si="55"/>
        <v>50405</v>
      </c>
      <c r="B251">
        <f t="shared" si="51"/>
        <v>332</v>
      </c>
      <c r="C251">
        <f t="shared" si="43"/>
        <v>27.583333333333332</v>
      </c>
      <c r="D251">
        <f t="shared" si="44"/>
        <v>0</v>
      </c>
      <c r="E251">
        <f t="shared" si="45"/>
        <v>82</v>
      </c>
      <c r="F251">
        <f>IF(C251&gt;=$J$2,0,VLOOKUP($E251,'Mortality Table'!$A$3:$C$128,2+G$2,FALSE))</f>
        <v>0</v>
      </c>
      <c r="G251">
        <f>F251*Assumptions!$B$1</f>
        <v>0</v>
      </c>
      <c r="H251">
        <f t="shared" si="46"/>
        <v>0</v>
      </c>
      <c r="I251">
        <f>HLOOKUP(C251,Assumptions!$A$6:$J$7,2,TRUE)</f>
        <v>2.6499999999999999E-2</v>
      </c>
      <c r="J251" s="22">
        <f t="shared" si="42"/>
        <v>0</v>
      </c>
      <c r="K251" s="22">
        <f t="shared" si="47"/>
        <v>0</v>
      </c>
      <c r="L251">
        <f t="shared" si="52"/>
        <v>0</v>
      </c>
      <c r="M251" s="22">
        <f t="shared" si="48"/>
        <v>0</v>
      </c>
      <c r="N251">
        <f>M250*Assumptions!$B$11/$E$2*J251</f>
        <v>0</v>
      </c>
      <c r="O251">
        <f>M250*Assumptions!$B$13/$E$2*J251</f>
        <v>0</v>
      </c>
      <c r="P251">
        <f>H251*Assumptions!$B$15</f>
        <v>0</v>
      </c>
      <c r="Q251">
        <f>O251*Assumptions!$B$17</f>
        <v>0</v>
      </c>
      <c r="R251">
        <f>HLOOKUP(B251,Assumptions!$A$26:$D$27,2,TRUE)</f>
        <v>0</v>
      </c>
      <c r="S251">
        <f t="shared" si="53"/>
        <v>0</v>
      </c>
      <c r="T251">
        <f t="shared" si="49"/>
        <v>0.58333333333333215</v>
      </c>
      <c r="U251">
        <f>IF(B251&gt;$K$2,0,IF(T252=0,0,(1-T252)*Assumptions!$B$11/$E$2*(1-Assumptions!$B$30)))</f>
        <v>0</v>
      </c>
      <c r="V251">
        <f>(N251-O251)*(1-Assumptions!$B$30)-Q251+U250*M250</f>
        <v>0</v>
      </c>
      <c r="W251">
        <f>W250*(1+Assumptions!$B$36)^(1/12)</f>
        <v>1.2201900399479446</v>
      </c>
      <c r="X251" s="19">
        <f>IF(B251&gt;$K$2,0,W250*Assumptions!$B$32/12*M250+V251*Assumptions!$B$34/12)</f>
        <v>0</v>
      </c>
      <c r="Y251" s="20">
        <f>1/(1+HLOOKUP(YEAR(A251),Assumptions!$A$41:$AL$43,3,TRUE))^(1/12)</f>
        <v>0.99812871135708459</v>
      </c>
      <c r="Z251">
        <f t="shared" si="50"/>
        <v>0</v>
      </c>
      <c r="AA251">
        <f t="shared" si="54"/>
        <v>0</v>
      </c>
    </row>
    <row r="252" spans="1:27" x14ac:dyDescent="0.2">
      <c r="A252" s="2">
        <f t="shared" si="55"/>
        <v>50436</v>
      </c>
      <c r="B252">
        <f t="shared" si="51"/>
        <v>333</v>
      </c>
      <c r="C252">
        <f t="shared" si="43"/>
        <v>27.666666666666668</v>
      </c>
      <c r="D252">
        <f t="shared" si="44"/>
        <v>0</v>
      </c>
      <c r="E252">
        <f t="shared" si="45"/>
        <v>82</v>
      </c>
      <c r="F252">
        <f>IF(C252&gt;=$J$2,0,VLOOKUP($E252,'Mortality Table'!$A$3:$C$128,2+G$2,FALSE))</f>
        <v>0</v>
      </c>
      <c r="G252">
        <f>F252*Assumptions!$B$1</f>
        <v>0</v>
      </c>
      <c r="H252">
        <f t="shared" si="46"/>
        <v>0</v>
      </c>
      <c r="I252">
        <f>HLOOKUP(C252,Assumptions!$A$6:$J$7,2,TRUE)</f>
        <v>2.6499999999999999E-2</v>
      </c>
      <c r="J252" s="22">
        <f t="shared" si="42"/>
        <v>0</v>
      </c>
      <c r="K252" s="22">
        <f t="shared" si="47"/>
        <v>0</v>
      </c>
      <c r="L252">
        <f t="shared" si="52"/>
        <v>0</v>
      </c>
      <c r="M252" s="22">
        <f t="shared" si="48"/>
        <v>0</v>
      </c>
      <c r="N252">
        <f>M251*Assumptions!$B$11/$E$2*J252</f>
        <v>0</v>
      </c>
      <c r="O252">
        <f>M251*Assumptions!$B$13/$E$2*J252</f>
        <v>0</v>
      </c>
      <c r="P252">
        <f>H252*Assumptions!$B$15</f>
        <v>0</v>
      </c>
      <c r="Q252">
        <f>O252*Assumptions!$B$17</f>
        <v>0</v>
      </c>
      <c r="R252">
        <f>HLOOKUP(B252,Assumptions!$A$26:$D$27,2,TRUE)</f>
        <v>0</v>
      </c>
      <c r="S252">
        <f t="shared" si="53"/>
        <v>0</v>
      </c>
      <c r="T252">
        <f t="shared" si="49"/>
        <v>0.66666666666666785</v>
      </c>
      <c r="U252">
        <f>IF(B252&gt;$K$2,0,IF(T253=0,0,(1-T253)*Assumptions!$B$11/$E$2*(1-Assumptions!$B$30)))</f>
        <v>0</v>
      </c>
      <c r="V252">
        <f>(N252-O252)*(1-Assumptions!$B$30)-Q252+U251*M251</f>
        <v>0</v>
      </c>
      <c r="W252">
        <f>W251*(1+Assumptions!$B$36)^(1/12)</f>
        <v>1.221202234092827</v>
      </c>
      <c r="X252" s="19">
        <f>IF(B252&gt;$K$2,0,W251*Assumptions!$B$32/12*M251+V252*Assumptions!$B$34/12)</f>
        <v>0</v>
      </c>
      <c r="Y252" s="20">
        <f>1/(1+HLOOKUP(YEAR(A252),Assumptions!$A$41:$AL$43,3,TRUE))^(1/12)</f>
        <v>0.99804628830341602</v>
      </c>
      <c r="Z252">
        <f t="shared" si="50"/>
        <v>0</v>
      </c>
      <c r="AA252">
        <f t="shared" si="54"/>
        <v>0</v>
      </c>
    </row>
    <row r="253" spans="1:27" x14ac:dyDescent="0.2">
      <c r="A253" s="2">
        <f t="shared" si="55"/>
        <v>50464</v>
      </c>
      <c r="B253">
        <f t="shared" si="51"/>
        <v>334</v>
      </c>
      <c r="C253">
        <f t="shared" si="43"/>
        <v>27.75</v>
      </c>
      <c r="D253">
        <f t="shared" si="44"/>
        <v>0</v>
      </c>
      <c r="E253">
        <f t="shared" si="45"/>
        <v>82</v>
      </c>
      <c r="F253">
        <f>IF(C253&gt;=$J$2,0,VLOOKUP($E253,'Mortality Table'!$A$3:$C$128,2+G$2,FALSE))</f>
        <v>0</v>
      </c>
      <c r="G253">
        <f>F253*Assumptions!$B$1</f>
        <v>0</v>
      </c>
      <c r="H253">
        <f t="shared" si="46"/>
        <v>0</v>
      </c>
      <c r="I253">
        <f>HLOOKUP(C253,Assumptions!$A$6:$J$7,2,TRUE)</f>
        <v>2.6499999999999999E-2</v>
      </c>
      <c r="J253" s="22">
        <f t="shared" si="42"/>
        <v>0</v>
      </c>
      <c r="K253" s="22">
        <f t="shared" si="47"/>
        <v>0</v>
      </c>
      <c r="L253">
        <f t="shared" si="52"/>
        <v>0</v>
      </c>
      <c r="M253" s="22">
        <f t="shared" si="48"/>
        <v>0</v>
      </c>
      <c r="N253">
        <f>M252*Assumptions!$B$11/$E$2*J253</f>
        <v>0</v>
      </c>
      <c r="O253">
        <f>M252*Assumptions!$B$13/$E$2*J253</f>
        <v>0</v>
      </c>
      <c r="P253">
        <f>H253*Assumptions!$B$15</f>
        <v>0</v>
      </c>
      <c r="Q253">
        <f>O253*Assumptions!$B$17</f>
        <v>0</v>
      </c>
      <c r="R253">
        <f>HLOOKUP(B253,Assumptions!$A$26:$D$27,2,TRUE)</f>
        <v>0</v>
      </c>
      <c r="S253">
        <f t="shared" si="53"/>
        <v>0</v>
      </c>
      <c r="T253">
        <f t="shared" si="49"/>
        <v>0.75</v>
      </c>
      <c r="U253">
        <f>IF(B253&gt;$K$2,0,IF(T254=0,0,(1-T254)*Assumptions!$B$11/$E$2*(1-Assumptions!$B$30)))</f>
        <v>0</v>
      </c>
      <c r="V253">
        <f>(N253-O253)*(1-Assumptions!$B$30)-Q253+U252*M252</f>
        <v>0</v>
      </c>
      <c r="W253">
        <f>W252*(1+Assumptions!$B$36)^(1/12)</f>
        <v>1.2222152678913316</v>
      </c>
      <c r="X253" s="19">
        <f>IF(B253&gt;$K$2,0,W252*Assumptions!$B$32/12*M252+V253*Assumptions!$B$34/12)</f>
        <v>0</v>
      </c>
      <c r="Y253" s="20">
        <f>1/(1+HLOOKUP(YEAR(A253),Assumptions!$A$41:$AL$43,3,TRUE))^(1/12)</f>
        <v>0.99804628830341602</v>
      </c>
      <c r="Z253">
        <f t="shared" si="50"/>
        <v>0</v>
      </c>
      <c r="AA253">
        <f t="shared" si="54"/>
        <v>0</v>
      </c>
    </row>
    <row r="254" spans="1:27" x14ac:dyDescent="0.2">
      <c r="A254" s="2">
        <f t="shared" si="55"/>
        <v>50495</v>
      </c>
      <c r="B254">
        <f t="shared" si="51"/>
        <v>335</v>
      </c>
      <c r="C254">
        <f t="shared" si="43"/>
        <v>27.833333333333332</v>
      </c>
      <c r="D254">
        <f t="shared" si="44"/>
        <v>0</v>
      </c>
      <c r="E254">
        <f t="shared" si="45"/>
        <v>82</v>
      </c>
      <c r="F254">
        <f>IF(C254&gt;=$J$2,0,VLOOKUP($E254,'Mortality Table'!$A$3:$C$128,2+G$2,FALSE))</f>
        <v>0</v>
      </c>
      <c r="G254">
        <f>F254*Assumptions!$B$1</f>
        <v>0</v>
      </c>
      <c r="H254">
        <f t="shared" si="46"/>
        <v>0</v>
      </c>
      <c r="I254">
        <f>HLOOKUP(C254,Assumptions!$A$6:$J$7,2,TRUE)</f>
        <v>2.6499999999999999E-2</v>
      </c>
      <c r="J254" s="22">
        <f t="shared" si="42"/>
        <v>0</v>
      </c>
      <c r="K254" s="22">
        <f t="shared" si="47"/>
        <v>0</v>
      </c>
      <c r="L254">
        <f t="shared" si="52"/>
        <v>0</v>
      </c>
      <c r="M254" s="22">
        <f t="shared" si="48"/>
        <v>0</v>
      </c>
      <c r="N254">
        <f>M253*Assumptions!$B$11/$E$2*J254</f>
        <v>0</v>
      </c>
      <c r="O254">
        <f>M253*Assumptions!$B$13/$E$2*J254</f>
        <v>0</v>
      </c>
      <c r="P254">
        <f>H254*Assumptions!$B$15</f>
        <v>0</v>
      </c>
      <c r="Q254">
        <f>O254*Assumptions!$B$17</f>
        <v>0</v>
      </c>
      <c r="R254">
        <f>HLOOKUP(B254,Assumptions!$A$26:$D$27,2,TRUE)</f>
        <v>0</v>
      </c>
      <c r="S254">
        <f t="shared" si="53"/>
        <v>0</v>
      </c>
      <c r="T254">
        <f t="shared" si="49"/>
        <v>0.83333333333333215</v>
      </c>
      <c r="U254">
        <f>IF(B254&gt;$K$2,0,IF(T255=0,0,(1-T255)*Assumptions!$B$11/$E$2*(1-Assumptions!$B$30)))</f>
        <v>0</v>
      </c>
      <c r="V254">
        <f>(N254-O254)*(1-Assumptions!$B$30)-Q254+U253*M253</f>
        <v>0</v>
      </c>
      <c r="W254">
        <f>W253*(1+Assumptions!$B$36)^(1/12)</f>
        <v>1.2232291420399832</v>
      </c>
      <c r="X254" s="19">
        <f>IF(B254&gt;$K$2,0,W253*Assumptions!$B$32/12*M253+V254*Assumptions!$B$34/12)</f>
        <v>0</v>
      </c>
      <c r="Y254" s="20">
        <f>1/(1+HLOOKUP(YEAR(A254),Assumptions!$A$41:$AL$43,3,TRUE))^(1/12)</f>
        <v>0.99804628830341602</v>
      </c>
      <c r="Z254">
        <f t="shared" si="50"/>
        <v>0</v>
      </c>
      <c r="AA254">
        <f t="shared" si="54"/>
        <v>0</v>
      </c>
    </row>
    <row r="255" spans="1:27" x14ac:dyDescent="0.2">
      <c r="A255" s="2">
        <f t="shared" si="55"/>
        <v>50525</v>
      </c>
      <c r="B255">
        <f t="shared" si="51"/>
        <v>336</v>
      </c>
      <c r="C255">
        <f t="shared" si="43"/>
        <v>27.916666666666668</v>
      </c>
      <c r="D255">
        <f t="shared" si="44"/>
        <v>0</v>
      </c>
      <c r="E255">
        <f t="shared" si="45"/>
        <v>82</v>
      </c>
      <c r="F255">
        <f>IF(C255&gt;=$J$2,0,VLOOKUP($E255,'Mortality Table'!$A$3:$C$128,2+G$2,FALSE))</f>
        <v>0</v>
      </c>
      <c r="G255">
        <f>F255*Assumptions!$B$1</f>
        <v>0</v>
      </c>
      <c r="H255">
        <f t="shared" si="46"/>
        <v>0</v>
      </c>
      <c r="I255">
        <f>HLOOKUP(C255,Assumptions!$A$6:$J$7,2,TRUE)</f>
        <v>2.6499999999999999E-2</v>
      </c>
      <c r="J255" s="22">
        <f t="shared" si="42"/>
        <v>0</v>
      </c>
      <c r="K255" s="22">
        <f t="shared" si="47"/>
        <v>0</v>
      </c>
      <c r="L255">
        <f t="shared" si="52"/>
        <v>0</v>
      </c>
      <c r="M255" s="22">
        <f t="shared" si="48"/>
        <v>0</v>
      </c>
      <c r="N255">
        <f>M254*Assumptions!$B$11/$E$2*J255</f>
        <v>0</v>
      </c>
      <c r="O255">
        <f>M254*Assumptions!$B$13/$E$2*J255</f>
        <v>0</v>
      </c>
      <c r="P255">
        <f>H255*Assumptions!$B$15</f>
        <v>0</v>
      </c>
      <c r="Q255">
        <f>O255*Assumptions!$B$17</f>
        <v>0</v>
      </c>
      <c r="R255">
        <f>HLOOKUP(B255,Assumptions!$A$26:$D$27,2,TRUE)</f>
        <v>0</v>
      </c>
      <c r="S255">
        <f t="shared" si="53"/>
        <v>0</v>
      </c>
      <c r="T255">
        <f t="shared" si="49"/>
        <v>0.91666666666666785</v>
      </c>
      <c r="U255">
        <f>IF(B255&gt;$K$2,0,IF(T256=0,0,(1-T256)*Assumptions!$B$11/$E$2*(1-Assumptions!$B$30)))</f>
        <v>0</v>
      </c>
      <c r="V255">
        <f>(N255-O255)*(1-Assumptions!$B$30)-Q255+U254*M254</f>
        <v>0</v>
      </c>
      <c r="W255">
        <f>W254*(1+Assumptions!$B$36)^(1/12)</f>
        <v>1.2242438572358842</v>
      </c>
      <c r="X255" s="19">
        <f>IF(B255&gt;$K$2,0,W254*Assumptions!$B$32/12*M254+V255*Assumptions!$B$34/12)</f>
        <v>0</v>
      </c>
      <c r="Y255" s="20">
        <f>1/(1+HLOOKUP(YEAR(A255),Assumptions!$A$41:$AL$43,3,TRUE))^(1/12)</f>
        <v>0.99804628830341602</v>
      </c>
      <c r="Z255">
        <f t="shared" si="50"/>
        <v>0</v>
      </c>
      <c r="AA255">
        <f t="shared" si="54"/>
        <v>0</v>
      </c>
    </row>
    <row r="256" spans="1:27" x14ac:dyDescent="0.2">
      <c r="A256" s="2">
        <f t="shared" si="55"/>
        <v>50556</v>
      </c>
      <c r="B256">
        <f t="shared" si="51"/>
        <v>337</v>
      </c>
      <c r="C256">
        <f t="shared" si="43"/>
        <v>28</v>
      </c>
      <c r="D256">
        <f t="shared" si="44"/>
        <v>1</v>
      </c>
      <c r="E256">
        <f t="shared" si="45"/>
        <v>83</v>
      </c>
      <c r="F256">
        <f>IF(C256&gt;=$J$2,0,VLOOKUP($E256,'Mortality Table'!$A$3:$C$128,2+G$2,FALSE))</f>
        <v>0</v>
      </c>
      <c r="G256">
        <f>F256*Assumptions!$B$1</f>
        <v>0</v>
      </c>
      <c r="H256">
        <f t="shared" si="46"/>
        <v>0</v>
      </c>
      <c r="I256">
        <f>HLOOKUP(C256,Assumptions!$A$6:$J$7,2,TRUE)</f>
        <v>2.6499999999999999E-2</v>
      </c>
      <c r="J256" s="22">
        <f t="shared" si="42"/>
        <v>0</v>
      </c>
      <c r="K256" s="22">
        <f t="shared" si="47"/>
        <v>0</v>
      </c>
      <c r="L256">
        <f t="shared" si="52"/>
        <v>0</v>
      </c>
      <c r="M256" s="22">
        <f t="shared" si="48"/>
        <v>0</v>
      </c>
      <c r="N256">
        <f>M255*Assumptions!$B$11/$E$2*J256</f>
        <v>0</v>
      </c>
      <c r="O256">
        <f>M255*Assumptions!$B$13/$E$2*J256</f>
        <v>0</v>
      </c>
      <c r="P256">
        <f>H256*Assumptions!$B$15</f>
        <v>0</v>
      </c>
      <c r="Q256">
        <f>O256*Assumptions!$B$17</f>
        <v>0</v>
      </c>
      <c r="R256">
        <f>HLOOKUP(B256,Assumptions!$A$26:$D$27,2,TRUE)</f>
        <v>0</v>
      </c>
      <c r="S256">
        <f t="shared" si="53"/>
        <v>0</v>
      </c>
      <c r="T256">
        <f t="shared" si="49"/>
        <v>0</v>
      </c>
      <c r="U256">
        <f>IF(B256&gt;$K$2,0,IF(T257=0,0,(1-T257)*Assumptions!$B$11/$E$2*(1-Assumptions!$B$30)))</f>
        <v>0</v>
      </c>
      <c r="V256">
        <f>(N256-O256)*(1-Assumptions!$B$30)-Q256+U255*M255</f>
        <v>0</v>
      </c>
      <c r="W256">
        <f>W255*(1+Assumptions!$B$36)^(1/12)</f>
        <v>1.2252594141767155</v>
      </c>
      <c r="X256" s="19">
        <f>IF(B256&gt;$K$2,0,W255*Assumptions!$B$32/12*M255+V256*Assumptions!$B$34/12)</f>
        <v>0</v>
      </c>
      <c r="Y256" s="20">
        <f>1/(1+HLOOKUP(YEAR(A256),Assumptions!$A$41:$AL$43,3,TRUE))^(1/12)</f>
        <v>0.99804628830341602</v>
      </c>
      <c r="Z256">
        <f t="shared" si="50"/>
        <v>0</v>
      </c>
      <c r="AA256">
        <f t="shared" si="54"/>
        <v>0</v>
      </c>
    </row>
    <row r="257" spans="1:27" x14ac:dyDescent="0.2">
      <c r="A257" s="2">
        <f t="shared" si="55"/>
        <v>50586</v>
      </c>
      <c r="B257">
        <f t="shared" si="51"/>
        <v>338</v>
      </c>
      <c r="C257">
        <f t="shared" si="43"/>
        <v>28.083333333333332</v>
      </c>
      <c r="D257">
        <f t="shared" si="44"/>
        <v>0</v>
      </c>
      <c r="E257">
        <f t="shared" si="45"/>
        <v>83</v>
      </c>
      <c r="F257">
        <f>IF(C257&gt;=$J$2,0,VLOOKUP($E257,'Mortality Table'!$A$3:$C$128,2+G$2,FALSE))</f>
        <v>0</v>
      </c>
      <c r="G257">
        <f>F257*Assumptions!$B$1</f>
        <v>0</v>
      </c>
      <c r="H257">
        <f t="shared" si="46"/>
        <v>0</v>
      </c>
      <c r="I257">
        <f>HLOOKUP(C257,Assumptions!$A$6:$J$7,2,TRUE)</f>
        <v>2.6499999999999999E-2</v>
      </c>
      <c r="J257" s="22">
        <f t="shared" si="42"/>
        <v>0</v>
      </c>
      <c r="K257" s="22">
        <f t="shared" si="47"/>
        <v>0</v>
      </c>
      <c r="L257">
        <f t="shared" si="52"/>
        <v>0</v>
      </c>
      <c r="M257" s="22">
        <f t="shared" si="48"/>
        <v>0</v>
      </c>
      <c r="N257">
        <f>M256*Assumptions!$B$11/$E$2*J257</f>
        <v>0</v>
      </c>
      <c r="O257">
        <f>M256*Assumptions!$B$13/$E$2*J257</f>
        <v>0</v>
      </c>
      <c r="P257">
        <f>H257*Assumptions!$B$15</f>
        <v>0</v>
      </c>
      <c r="Q257">
        <f>O257*Assumptions!$B$17</f>
        <v>0</v>
      </c>
      <c r="R257">
        <f>HLOOKUP(B257,Assumptions!$A$26:$D$27,2,TRUE)</f>
        <v>0</v>
      </c>
      <c r="S257">
        <f t="shared" si="53"/>
        <v>0</v>
      </c>
      <c r="T257">
        <f t="shared" si="49"/>
        <v>8.3333333333332149E-2</v>
      </c>
      <c r="U257">
        <f>IF(B257&gt;$K$2,0,IF(T258=0,0,(1-T258)*Assumptions!$B$11/$E$2*(1-Assumptions!$B$30)))</f>
        <v>0</v>
      </c>
      <c r="V257">
        <f>(N257-O257)*(1-Assumptions!$B$30)-Q257+U256*M256</f>
        <v>0</v>
      </c>
      <c r="W257">
        <f>W256*(1+Assumptions!$B$36)^(1/12)</f>
        <v>1.2262758135607366</v>
      </c>
      <c r="X257" s="19">
        <f>IF(B257&gt;$K$2,0,W256*Assumptions!$B$32/12*M256+V257*Assumptions!$B$34/12)</f>
        <v>0</v>
      </c>
      <c r="Y257" s="20">
        <f>1/(1+HLOOKUP(YEAR(A257),Assumptions!$A$41:$AL$43,3,TRUE))^(1/12)</f>
        <v>0.99804628830341602</v>
      </c>
      <c r="Z257">
        <f t="shared" si="50"/>
        <v>0</v>
      </c>
      <c r="AA257">
        <f t="shared" si="54"/>
        <v>0</v>
      </c>
    </row>
    <row r="258" spans="1:27" x14ac:dyDescent="0.2">
      <c r="A258" s="2">
        <f t="shared" si="55"/>
        <v>50617</v>
      </c>
      <c r="B258">
        <f t="shared" si="51"/>
        <v>339</v>
      </c>
      <c r="C258">
        <f t="shared" si="43"/>
        <v>28.166666666666668</v>
      </c>
      <c r="D258">
        <f t="shared" si="44"/>
        <v>0</v>
      </c>
      <c r="E258">
        <f t="shared" si="45"/>
        <v>83</v>
      </c>
      <c r="F258">
        <f>IF(C258&gt;=$J$2,0,VLOOKUP($E258,'Mortality Table'!$A$3:$C$128,2+G$2,FALSE))</f>
        <v>0</v>
      </c>
      <c r="G258">
        <f>F258*Assumptions!$B$1</f>
        <v>0</v>
      </c>
      <c r="H258">
        <f t="shared" si="46"/>
        <v>0</v>
      </c>
      <c r="I258">
        <f>HLOOKUP(C258,Assumptions!$A$6:$J$7,2,TRUE)</f>
        <v>2.6499999999999999E-2</v>
      </c>
      <c r="J258" s="22">
        <f t="shared" si="42"/>
        <v>0</v>
      </c>
      <c r="K258" s="22">
        <f t="shared" si="47"/>
        <v>0</v>
      </c>
      <c r="L258">
        <f t="shared" si="52"/>
        <v>0</v>
      </c>
      <c r="M258" s="22">
        <f t="shared" si="48"/>
        <v>0</v>
      </c>
      <c r="N258">
        <f>M257*Assumptions!$B$11/$E$2*J258</f>
        <v>0</v>
      </c>
      <c r="O258">
        <f>M257*Assumptions!$B$13/$E$2*J258</f>
        <v>0</v>
      </c>
      <c r="P258">
        <f>H258*Assumptions!$B$15</f>
        <v>0</v>
      </c>
      <c r="Q258">
        <f>O258*Assumptions!$B$17</f>
        <v>0</v>
      </c>
      <c r="R258">
        <f>HLOOKUP(B258,Assumptions!$A$26:$D$27,2,TRUE)</f>
        <v>0</v>
      </c>
      <c r="S258">
        <f t="shared" si="53"/>
        <v>0</v>
      </c>
      <c r="T258">
        <f t="shared" si="49"/>
        <v>0.16666666666666785</v>
      </c>
      <c r="U258">
        <f>IF(B258&gt;$K$2,0,IF(T259=0,0,(1-T259)*Assumptions!$B$11/$E$2*(1-Assumptions!$B$30)))</f>
        <v>0</v>
      </c>
      <c r="V258">
        <f>(N258-O258)*(1-Assumptions!$B$30)-Q258+U257*M257</f>
        <v>0</v>
      </c>
      <c r="W258">
        <f>W257*(1+Assumptions!$B$36)^(1/12)</f>
        <v>1.2272930560867861</v>
      </c>
      <c r="X258" s="19">
        <f>IF(B258&gt;$K$2,0,W257*Assumptions!$B$32/12*M257+V258*Assumptions!$B$34/12)</f>
        <v>0</v>
      </c>
      <c r="Y258" s="20">
        <f>1/(1+HLOOKUP(YEAR(A258),Assumptions!$A$41:$AL$43,3,TRUE))^(1/12)</f>
        <v>0.99804628830341602</v>
      </c>
      <c r="Z258">
        <f t="shared" si="50"/>
        <v>0</v>
      </c>
      <c r="AA258">
        <f t="shared" si="54"/>
        <v>0</v>
      </c>
    </row>
    <row r="259" spans="1:27" x14ac:dyDescent="0.2">
      <c r="A259" s="2">
        <f t="shared" si="55"/>
        <v>50648</v>
      </c>
      <c r="B259">
        <f t="shared" si="51"/>
        <v>340</v>
      </c>
      <c r="C259">
        <f t="shared" si="43"/>
        <v>28.25</v>
      </c>
      <c r="D259">
        <f t="shared" si="44"/>
        <v>0</v>
      </c>
      <c r="E259">
        <f t="shared" si="45"/>
        <v>83</v>
      </c>
      <c r="F259">
        <f>IF(C259&gt;=$J$2,0,VLOOKUP($E259,'Mortality Table'!$A$3:$C$128,2+G$2,FALSE))</f>
        <v>0</v>
      </c>
      <c r="G259">
        <f>F259*Assumptions!$B$1</f>
        <v>0</v>
      </c>
      <c r="H259">
        <f t="shared" si="46"/>
        <v>0</v>
      </c>
      <c r="I259">
        <f>HLOOKUP(C259,Assumptions!$A$6:$J$7,2,TRUE)</f>
        <v>2.6499999999999999E-2</v>
      </c>
      <c r="J259" s="22">
        <f t="shared" si="42"/>
        <v>0</v>
      </c>
      <c r="K259" s="22">
        <f t="shared" si="47"/>
        <v>0</v>
      </c>
      <c r="L259">
        <f t="shared" si="52"/>
        <v>0</v>
      </c>
      <c r="M259" s="22">
        <f t="shared" si="48"/>
        <v>0</v>
      </c>
      <c r="N259">
        <f>M258*Assumptions!$B$11/$E$2*J259</f>
        <v>0</v>
      </c>
      <c r="O259">
        <f>M258*Assumptions!$B$13/$E$2*J259</f>
        <v>0</v>
      </c>
      <c r="P259">
        <f>H259*Assumptions!$B$15</f>
        <v>0</v>
      </c>
      <c r="Q259">
        <f>O259*Assumptions!$B$17</f>
        <v>0</v>
      </c>
      <c r="R259">
        <f>HLOOKUP(B259,Assumptions!$A$26:$D$27,2,TRUE)</f>
        <v>0</v>
      </c>
      <c r="S259">
        <f t="shared" si="53"/>
        <v>0</v>
      </c>
      <c r="T259">
        <f t="shared" si="49"/>
        <v>0.25</v>
      </c>
      <c r="U259">
        <f>IF(B259&gt;$K$2,0,IF(T260=0,0,(1-T260)*Assumptions!$B$11/$E$2*(1-Assumptions!$B$30)))</f>
        <v>0</v>
      </c>
      <c r="V259">
        <f>(N259-O259)*(1-Assumptions!$B$30)-Q259+U258*M258</f>
        <v>0</v>
      </c>
      <c r="W259">
        <f>W258*(1+Assumptions!$B$36)^(1/12)</f>
        <v>1.2283111424542825</v>
      </c>
      <c r="X259" s="19">
        <f>IF(B259&gt;$K$2,0,W258*Assumptions!$B$32/12*M258+V259*Assumptions!$B$34/12)</f>
        <v>0</v>
      </c>
      <c r="Y259" s="20">
        <f>1/(1+HLOOKUP(YEAR(A259),Assumptions!$A$41:$AL$43,3,TRUE))^(1/12)</f>
        <v>0.99804628830341602</v>
      </c>
      <c r="Z259">
        <f t="shared" si="50"/>
        <v>0</v>
      </c>
      <c r="AA259">
        <f t="shared" si="54"/>
        <v>0</v>
      </c>
    </row>
    <row r="260" spans="1:27" x14ac:dyDescent="0.2">
      <c r="A260" s="2">
        <f t="shared" si="55"/>
        <v>50678</v>
      </c>
      <c r="B260">
        <f t="shared" si="51"/>
        <v>341</v>
      </c>
      <c r="C260">
        <f t="shared" si="43"/>
        <v>28.333333333333332</v>
      </c>
      <c r="D260">
        <f t="shared" si="44"/>
        <v>0</v>
      </c>
      <c r="E260">
        <f t="shared" si="45"/>
        <v>83</v>
      </c>
      <c r="F260">
        <f>IF(C260&gt;=$J$2,0,VLOOKUP($E260,'Mortality Table'!$A$3:$C$128,2+G$2,FALSE))</f>
        <v>0</v>
      </c>
      <c r="G260">
        <f>F260*Assumptions!$B$1</f>
        <v>0</v>
      </c>
      <c r="H260">
        <f t="shared" si="46"/>
        <v>0</v>
      </c>
      <c r="I260">
        <f>HLOOKUP(C260,Assumptions!$A$6:$J$7,2,TRUE)</f>
        <v>2.6499999999999999E-2</v>
      </c>
      <c r="J260" s="22">
        <f t="shared" si="42"/>
        <v>0</v>
      </c>
      <c r="K260" s="22">
        <f t="shared" si="47"/>
        <v>0</v>
      </c>
      <c r="L260">
        <f t="shared" si="52"/>
        <v>0</v>
      </c>
      <c r="M260" s="22">
        <f t="shared" si="48"/>
        <v>0</v>
      </c>
      <c r="N260">
        <f>M259*Assumptions!$B$11/$E$2*J260</f>
        <v>0</v>
      </c>
      <c r="O260">
        <f>M259*Assumptions!$B$13/$E$2*J260</f>
        <v>0</v>
      </c>
      <c r="P260">
        <f>H260*Assumptions!$B$15</f>
        <v>0</v>
      </c>
      <c r="Q260">
        <f>O260*Assumptions!$B$17</f>
        <v>0</v>
      </c>
      <c r="R260">
        <f>HLOOKUP(B260,Assumptions!$A$26:$D$27,2,TRUE)</f>
        <v>0</v>
      </c>
      <c r="S260">
        <f t="shared" si="53"/>
        <v>0</v>
      </c>
      <c r="T260">
        <f t="shared" si="49"/>
        <v>0.33333333333333215</v>
      </c>
      <c r="U260">
        <f>IF(B260&gt;$K$2,0,IF(T261=0,0,(1-T261)*Assumptions!$B$11/$E$2*(1-Assumptions!$B$30)))</f>
        <v>0</v>
      </c>
      <c r="V260">
        <f>(N260-O260)*(1-Assumptions!$B$30)-Q260+U259*M259</f>
        <v>0</v>
      </c>
      <c r="W260">
        <f>W259*(1+Assumptions!$B$36)^(1/12)</f>
        <v>1.2293300733632244</v>
      </c>
      <c r="X260" s="19">
        <f>IF(B260&gt;$K$2,0,W259*Assumptions!$B$32/12*M259+V260*Assumptions!$B$34/12)</f>
        <v>0</v>
      </c>
      <c r="Y260" s="20">
        <f>1/(1+HLOOKUP(YEAR(A260),Assumptions!$A$41:$AL$43,3,TRUE))^(1/12)</f>
        <v>0.99804628830341602</v>
      </c>
      <c r="Z260">
        <f t="shared" si="50"/>
        <v>0</v>
      </c>
      <c r="AA260">
        <f t="shared" si="54"/>
        <v>0</v>
      </c>
    </row>
    <row r="261" spans="1:27" x14ac:dyDescent="0.2">
      <c r="A261" s="2">
        <f t="shared" si="55"/>
        <v>50709</v>
      </c>
      <c r="B261">
        <f t="shared" si="51"/>
        <v>342</v>
      </c>
      <c r="C261">
        <f t="shared" si="43"/>
        <v>28.416666666666668</v>
      </c>
      <c r="D261">
        <f t="shared" si="44"/>
        <v>0</v>
      </c>
      <c r="E261">
        <f t="shared" si="45"/>
        <v>83</v>
      </c>
      <c r="F261">
        <f>IF(C261&gt;=$J$2,0,VLOOKUP($E261,'Mortality Table'!$A$3:$C$128,2+G$2,FALSE))</f>
        <v>0</v>
      </c>
      <c r="G261">
        <f>F261*Assumptions!$B$1</f>
        <v>0</v>
      </c>
      <c r="H261">
        <f t="shared" si="46"/>
        <v>0</v>
      </c>
      <c r="I261">
        <f>HLOOKUP(C261,Assumptions!$A$6:$J$7,2,TRUE)</f>
        <v>2.6499999999999999E-2</v>
      </c>
      <c r="J261" s="22">
        <f t="shared" si="42"/>
        <v>0</v>
      </c>
      <c r="K261" s="22">
        <f t="shared" si="47"/>
        <v>0</v>
      </c>
      <c r="L261">
        <f t="shared" si="52"/>
        <v>0</v>
      </c>
      <c r="M261" s="22">
        <f t="shared" si="48"/>
        <v>0</v>
      </c>
      <c r="N261">
        <f>M260*Assumptions!$B$11/$E$2*J261</f>
        <v>0</v>
      </c>
      <c r="O261">
        <f>M260*Assumptions!$B$13/$E$2*J261</f>
        <v>0</v>
      </c>
      <c r="P261">
        <f>H261*Assumptions!$B$15</f>
        <v>0</v>
      </c>
      <c r="Q261">
        <f>O261*Assumptions!$B$17</f>
        <v>0</v>
      </c>
      <c r="R261">
        <f>HLOOKUP(B261,Assumptions!$A$26:$D$27,2,TRUE)</f>
        <v>0</v>
      </c>
      <c r="S261">
        <f t="shared" si="53"/>
        <v>0</v>
      </c>
      <c r="T261">
        <f t="shared" si="49"/>
        <v>0.41666666666666785</v>
      </c>
      <c r="U261">
        <f>IF(B261&gt;$K$2,0,IF(T262=0,0,(1-T262)*Assumptions!$B$11/$E$2*(1-Assumptions!$B$30)))</f>
        <v>0</v>
      </c>
      <c r="V261">
        <f>(N261-O261)*(1-Assumptions!$B$30)-Q261+U260*M260</f>
        <v>0</v>
      </c>
      <c r="W261">
        <f>W260*(1+Assumptions!$B$36)^(1/12)</f>
        <v>1.2303498495141911</v>
      </c>
      <c r="X261" s="19">
        <f>IF(B261&gt;$K$2,0,W260*Assumptions!$B$32/12*M260+V261*Assumptions!$B$34/12)</f>
        <v>0</v>
      </c>
      <c r="Y261" s="20">
        <f>1/(1+HLOOKUP(YEAR(A261),Assumptions!$A$41:$AL$43,3,TRUE))^(1/12)</f>
        <v>0.99804628830341602</v>
      </c>
      <c r="Z261">
        <f t="shared" si="50"/>
        <v>0</v>
      </c>
      <c r="AA261">
        <f t="shared" si="54"/>
        <v>0</v>
      </c>
    </row>
    <row r="262" spans="1:27" x14ac:dyDescent="0.2">
      <c r="A262" s="2">
        <f t="shared" si="55"/>
        <v>50739</v>
      </c>
      <c r="B262">
        <f t="shared" si="51"/>
        <v>343</v>
      </c>
      <c r="C262">
        <f t="shared" si="43"/>
        <v>28.5</v>
      </c>
      <c r="D262">
        <f t="shared" si="44"/>
        <v>0</v>
      </c>
      <c r="E262">
        <f t="shared" si="45"/>
        <v>83</v>
      </c>
      <c r="F262">
        <f>IF(C262&gt;=$J$2,0,VLOOKUP($E262,'Mortality Table'!$A$3:$C$128,2+G$2,FALSE))</f>
        <v>0</v>
      </c>
      <c r="G262">
        <f>F262*Assumptions!$B$1</f>
        <v>0</v>
      </c>
      <c r="H262">
        <f t="shared" si="46"/>
        <v>0</v>
      </c>
      <c r="I262">
        <f>HLOOKUP(C262,Assumptions!$A$6:$J$7,2,TRUE)</f>
        <v>2.6499999999999999E-2</v>
      </c>
      <c r="J262" s="22">
        <f t="shared" si="42"/>
        <v>0</v>
      </c>
      <c r="K262" s="22">
        <f t="shared" si="47"/>
        <v>0</v>
      </c>
      <c r="L262">
        <f t="shared" si="52"/>
        <v>0</v>
      </c>
      <c r="M262" s="22">
        <f t="shared" si="48"/>
        <v>0</v>
      </c>
      <c r="N262">
        <f>M261*Assumptions!$B$11/$E$2*J262</f>
        <v>0</v>
      </c>
      <c r="O262">
        <f>M261*Assumptions!$B$13/$E$2*J262</f>
        <v>0</v>
      </c>
      <c r="P262">
        <f>H262*Assumptions!$B$15</f>
        <v>0</v>
      </c>
      <c r="Q262">
        <f>O262*Assumptions!$B$17</f>
        <v>0</v>
      </c>
      <c r="R262">
        <f>HLOOKUP(B262,Assumptions!$A$26:$D$27,2,TRUE)</f>
        <v>0</v>
      </c>
      <c r="S262">
        <f t="shared" si="53"/>
        <v>0</v>
      </c>
      <c r="T262">
        <f t="shared" si="49"/>
        <v>0.5</v>
      </c>
      <c r="U262">
        <f>IF(B262&gt;$K$2,0,IF(T263=0,0,(1-T263)*Assumptions!$B$11/$E$2*(1-Assumptions!$B$30)))</f>
        <v>0</v>
      </c>
      <c r="V262">
        <f>(N262-O262)*(1-Assumptions!$B$30)-Q262+U261*M261</f>
        <v>0</v>
      </c>
      <c r="W262">
        <f>W261*(1+Assumptions!$B$36)^(1/12)</f>
        <v>1.2313704716083431</v>
      </c>
      <c r="X262" s="19">
        <f>IF(B262&gt;$K$2,0,W261*Assumptions!$B$32/12*M261+V262*Assumptions!$B$34/12)</f>
        <v>0</v>
      </c>
      <c r="Y262" s="20">
        <f>1/(1+HLOOKUP(YEAR(A262),Assumptions!$A$41:$AL$43,3,TRUE))^(1/12)</f>
        <v>0.99804628830341602</v>
      </c>
      <c r="Z262">
        <f t="shared" si="50"/>
        <v>0</v>
      </c>
      <c r="AA262">
        <f t="shared" si="54"/>
        <v>0</v>
      </c>
    </row>
    <row r="263" spans="1:27" x14ac:dyDescent="0.2">
      <c r="A263" s="2">
        <f t="shared" si="55"/>
        <v>50770</v>
      </c>
      <c r="B263">
        <f t="shared" si="51"/>
        <v>344</v>
      </c>
      <c r="C263">
        <f t="shared" si="43"/>
        <v>28.583333333333332</v>
      </c>
      <c r="D263">
        <f t="shared" si="44"/>
        <v>0</v>
      </c>
      <c r="E263">
        <f t="shared" si="45"/>
        <v>83</v>
      </c>
      <c r="F263">
        <f>IF(C263&gt;=$J$2,0,VLOOKUP($E263,'Mortality Table'!$A$3:$C$128,2+G$2,FALSE))</f>
        <v>0</v>
      </c>
      <c r="G263">
        <f>F263*Assumptions!$B$1</f>
        <v>0</v>
      </c>
      <c r="H263">
        <f t="shared" si="46"/>
        <v>0</v>
      </c>
      <c r="I263">
        <f>HLOOKUP(C263,Assumptions!$A$6:$J$7,2,TRUE)</f>
        <v>2.6499999999999999E-2</v>
      </c>
      <c r="J263" s="22">
        <f t="shared" si="42"/>
        <v>0</v>
      </c>
      <c r="K263" s="22">
        <f t="shared" si="47"/>
        <v>0</v>
      </c>
      <c r="L263">
        <f t="shared" si="52"/>
        <v>0</v>
      </c>
      <c r="M263" s="22">
        <f t="shared" si="48"/>
        <v>0</v>
      </c>
      <c r="N263">
        <f>M262*Assumptions!$B$11/$E$2*J263</f>
        <v>0</v>
      </c>
      <c r="O263">
        <f>M262*Assumptions!$B$13/$E$2*J263</f>
        <v>0</v>
      </c>
      <c r="P263">
        <f>H263*Assumptions!$B$15</f>
        <v>0</v>
      </c>
      <c r="Q263">
        <f>O263*Assumptions!$B$17</f>
        <v>0</v>
      </c>
      <c r="R263">
        <f>HLOOKUP(B263,Assumptions!$A$26:$D$27,2,TRUE)</f>
        <v>0</v>
      </c>
      <c r="S263">
        <f t="shared" si="53"/>
        <v>0</v>
      </c>
      <c r="T263">
        <f t="shared" si="49"/>
        <v>0.58333333333333215</v>
      </c>
      <c r="U263">
        <f>IF(B263&gt;$K$2,0,IF(T264=0,0,(1-T264)*Assumptions!$B$11/$E$2*(1-Assumptions!$B$30)))</f>
        <v>0</v>
      </c>
      <c r="V263">
        <f>(N263-O263)*(1-Assumptions!$B$30)-Q263+U262*M262</f>
        <v>0</v>
      </c>
      <c r="W263">
        <f>W262*(1+Assumptions!$B$36)^(1/12)</f>
        <v>1.2323919403474226</v>
      </c>
      <c r="X263" s="19">
        <f>IF(B263&gt;$K$2,0,W262*Assumptions!$B$32/12*M262+V263*Assumptions!$B$34/12)</f>
        <v>0</v>
      </c>
      <c r="Y263" s="20">
        <f>1/(1+HLOOKUP(YEAR(A263),Assumptions!$A$41:$AL$43,3,TRUE))^(1/12)</f>
        <v>0.99804628830341602</v>
      </c>
      <c r="Z263">
        <f t="shared" si="50"/>
        <v>0</v>
      </c>
      <c r="AA263">
        <f t="shared" si="54"/>
        <v>0</v>
      </c>
    </row>
    <row r="264" spans="1:27" x14ac:dyDescent="0.2">
      <c r="A264" s="2">
        <f t="shared" si="55"/>
        <v>50801</v>
      </c>
      <c r="B264">
        <f t="shared" si="51"/>
        <v>345</v>
      </c>
      <c r="C264">
        <f t="shared" si="43"/>
        <v>28.666666666666668</v>
      </c>
      <c r="D264">
        <f t="shared" si="44"/>
        <v>0</v>
      </c>
      <c r="E264">
        <f t="shared" si="45"/>
        <v>83</v>
      </c>
      <c r="F264">
        <f>IF(C264&gt;=$J$2,0,VLOOKUP($E264,'Mortality Table'!$A$3:$C$128,2+G$2,FALSE))</f>
        <v>0</v>
      </c>
      <c r="G264">
        <f>F264*Assumptions!$B$1</f>
        <v>0</v>
      </c>
      <c r="H264">
        <f t="shared" si="46"/>
        <v>0</v>
      </c>
      <c r="I264">
        <f>HLOOKUP(C264,Assumptions!$A$6:$J$7,2,TRUE)</f>
        <v>2.6499999999999999E-2</v>
      </c>
      <c r="J264" s="22">
        <f t="shared" si="42"/>
        <v>0</v>
      </c>
      <c r="K264" s="22">
        <f t="shared" si="47"/>
        <v>0</v>
      </c>
      <c r="L264">
        <f t="shared" si="52"/>
        <v>0</v>
      </c>
      <c r="M264" s="22">
        <f t="shared" si="48"/>
        <v>0</v>
      </c>
      <c r="N264">
        <f>M263*Assumptions!$B$11/$E$2*J264</f>
        <v>0</v>
      </c>
      <c r="O264">
        <f>M263*Assumptions!$B$13/$E$2*J264</f>
        <v>0</v>
      </c>
      <c r="P264">
        <f>H264*Assumptions!$B$15</f>
        <v>0</v>
      </c>
      <c r="Q264">
        <f>O264*Assumptions!$B$17</f>
        <v>0</v>
      </c>
      <c r="R264">
        <f>HLOOKUP(B264,Assumptions!$A$26:$D$27,2,TRUE)</f>
        <v>0</v>
      </c>
      <c r="S264">
        <f t="shared" si="53"/>
        <v>0</v>
      </c>
      <c r="T264">
        <f t="shared" si="49"/>
        <v>0.66666666666666785</v>
      </c>
      <c r="U264">
        <f>IF(B264&gt;$K$2,0,IF(T265=0,0,(1-T265)*Assumptions!$B$11/$E$2*(1-Assumptions!$B$30)))</f>
        <v>0</v>
      </c>
      <c r="V264">
        <f>(N264-O264)*(1-Assumptions!$B$30)-Q264+U263*M263</f>
        <v>0</v>
      </c>
      <c r="W264">
        <f>W263*(1+Assumptions!$B$36)^(1/12)</f>
        <v>1.2334142564337538</v>
      </c>
      <c r="X264" s="19">
        <f>IF(B264&gt;$K$2,0,W263*Assumptions!$B$32/12*M263+V264*Assumptions!$B$34/12)</f>
        <v>0</v>
      </c>
      <c r="Y264" s="20">
        <f>1/(1+HLOOKUP(YEAR(A264),Assumptions!$A$41:$AL$43,3,TRUE))^(1/12)</f>
        <v>0.99795794845611863</v>
      </c>
      <c r="Z264">
        <f t="shared" si="50"/>
        <v>0</v>
      </c>
      <c r="AA264">
        <f t="shared" si="54"/>
        <v>0</v>
      </c>
    </row>
    <row r="265" spans="1:27" x14ac:dyDescent="0.2">
      <c r="A265" s="2">
        <f t="shared" si="55"/>
        <v>50829</v>
      </c>
      <c r="B265">
        <f t="shared" si="51"/>
        <v>346</v>
      </c>
      <c r="C265">
        <f t="shared" si="43"/>
        <v>28.75</v>
      </c>
      <c r="D265">
        <f t="shared" si="44"/>
        <v>0</v>
      </c>
      <c r="E265">
        <f t="shared" si="45"/>
        <v>83</v>
      </c>
      <c r="F265">
        <f>IF(C265&gt;=$J$2,0,VLOOKUP($E265,'Mortality Table'!$A$3:$C$128,2+G$2,FALSE))</f>
        <v>0</v>
      </c>
      <c r="G265">
        <f>F265*Assumptions!$B$1</f>
        <v>0</v>
      </c>
      <c r="H265">
        <f t="shared" si="46"/>
        <v>0</v>
      </c>
      <c r="I265">
        <f>HLOOKUP(C265,Assumptions!$A$6:$J$7,2,TRUE)</f>
        <v>2.6499999999999999E-2</v>
      </c>
      <c r="J265" s="22">
        <f t="shared" si="42"/>
        <v>0</v>
      </c>
      <c r="K265" s="22">
        <f t="shared" si="47"/>
        <v>0</v>
      </c>
      <c r="L265">
        <f t="shared" si="52"/>
        <v>0</v>
      </c>
      <c r="M265" s="22">
        <f t="shared" si="48"/>
        <v>0</v>
      </c>
      <c r="N265">
        <f>M264*Assumptions!$B$11/$E$2*J265</f>
        <v>0</v>
      </c>
      <c r="O265">
        <f>M264*Assumptions!$B$13/$E$2*J265</f>
        <v>0</v>
      </c>
      <c r="P265">
        <f>H265*Assumptions!$B$15</f>
        <v>0</v>
      </c>
      <c r="Q265">
        <f>O265*Assumptions!$B$17</f>
        <v>0</v>
      </c>
      <c r="R265">
        <f>HLOOKUP(B265,Assumptions!$A$26:$D$27,2,TRUE)</f>
        <v>0</v>
      </c>
      <c r="S265">
        <f t="shared" si="53"/>
        <v>0</v>
      </c>
      <c r="T265">
        <f t="shared" si="49"/>
        <v>0.75</v>
      </c>
      <c r="U265">
        <f>IF(B265&gt;$K$2,0,IF(T266=0,0,(1-T266)*Assumptions!$B$11/$E$2*(1-Assumptions!$B$30)))</f>
        <v>0</v>
      </c>
      <c r="V265">
        <f>(N265-O265)*(1-Assumptions!$B$30)-Q265+U264*M264</f>
        <v>0</v>
      </c>
      <c r="W265">
        <f>W264*(1+Assumptions!$B$36)^(1/12)</f>
        <v>1.2344374205702435</v>
      </c>
      <c r="X265" s="19">
        <f>IF(B265&gt;$K$2,0,W264*Assumptions!$B$32/12*M264+V265*Assumptions!$B$34/12)</f>
        <v>0</v>
      </c>
      <c r="Y265" s="20">
        <f>1/(1+HLOOKUP(YEAR(A265),Assumptions!$A$41:$AL$43,3,TRUE))^(1/12)</f>
        <v>0.99795794845611863</v>
      </c>
      <c r="Z265">
        <f t="shared" si="50"/>
        <v>0</v>
      </c>
      <c r="AA265">
        <f t="shared" si="54"/>
        <v>0</v>
      </c>
    </row>
    <row r="266" spans="1:27" x14ac:dyDescent="0.2">
      <c r="A266" s="2">
        <f t="shared" si="55"/>
        <v>50860</v>
      </c>
      <c r="B266">
        <f t="shared" si="51"/>
        <v>347</v>
      </c>
      <c r="C266">
        <f t="shared" si="43"/>
        <v>28.833333333333332</v>
      </c>
      <c r="D266">
        <f t="shared" si="44"/>
        <v>0</v>
      </c>
      <c r="E266">
        <f t="shared" si="45"/>
        <v>83</v>
      </c>
      <c r="F266">
        <f>IF(C266&gt;=$J$2,0,VLOOKUP($E266,'Mortality Table'!$A$3:$C$128,2+G$2,FALSE))</f>
        <v>0</v>
      </c>
      <c r="G266">
        <f>F266*Assumptions!$B$1</f>
        <v>0</v>
      </c>
      <c r="H266">
        <f t="shared" si="46"/>
        <v>0</v>
      </c>
      <c r="I266">
        <f>HLOOKUP(C266,Assumptions!$A$6:$J$7,2,TRUE)</f>
        <v>2.6499999999999999E-2</v>
      </c>
      <c r="J266" s="22">
        <f t="shared" si="42"/>
        <v>0</v>
      </c>
      <c r="K266" s="22">
        <f t="shared" si="47"/>
        <v>0</v>
      </c>
      <c r="L266">
        <f t="shared" si="52"/>
        <v>0</v>
      </c>
      <c r="M266" s="22">
        <f t="shared" si="48"/>
        <v>0</v>
      </c>
      <c r="N266">
        <f>M265*Assumptions!$B$11/$E$2*J266</f>
        <v>0</v>
      </c>
      <c r="O266">
        <f>M265*Assumptions!$B$13/$E$2*J266</f>
        <v>0</v>
      </c>
      <c r="P266">
        <f>H266*Assumptions!$B$15</f>
        <v>0</v>
      </c>
      <c r="Q266">
        <f>O266*Assumptions!$B$17</f>
        <v>0</v>
      </c>
      <c r="R266">
        <f>HLOOKUP(B266,Assumptions!$A$26:$D$27,2,TRUE)</f>
        <v>0</v>
      </c>
      <c r="S266">
        <f t="shared" si="53"/>
        <v>0</v>
      </c>
      <c r="T266">
        <f t="shared" si="49"/>
        <v>0.83333333333333215</v>
      </c>
      <c r="U266">
        <f>IF(B266&gt;$K$2,0,IF(T267=0,0,(1-T267)*Assumptions!$B$11/$E$2*(1-Assumptions!$B$30)))</f>
        <v>0</v>
      </c>
      <c r="V266">
        <f>(N266-O266)*(1-Assumptions!$B$30)-Q266+U265*M265</f>
        <v>0</v>
      </c>
      <c r="W266">
        <f>W265*(1+Assumptions!$B$36)^(1/12)</f>
        <v>1.2354614334603817</v>
      </c>
      <c r="X266" s="19">
        <f>IF(B266&gt;$K$2,0,W265*Assumptions!$B$32/12*M265+V266*Assumptions!$B$34/12)</f>
        <v>0</v>
      </c>
      <c r="Y266" s="20">
        <f>1/(1+HLOOKUP(YEAR(A266),Assumptions!$A$41:$AL$43,3,TRUE))^(1/12)</f>
        <v>0.99795794845611863</v>
      </c>
      <c r="Z266">
        <f t="shared" si="50"/>
        <v>0</v>
      </c>
      <c r="AA266">
        <f t="shared" si="54"/>
        <v>0</v>
      </c>
    </row>
    <row r="267" spans="1:27" x14ac:dyDescent="0.2">
      <c r="A267" s="2">
        <f t="shared" si="55"/>
        <v>50890</v>
      </c>
      <c r="B267">
        <f t="shared" si="51"/>
        <v>348</v>
      </c>
      <c r="C267">
        <f t="shared" si="43"/>
        <v>28.916666666666668</v>
      </c>
      <c r="D267">
        <f t="shared" si="44"/>
        <v>0</v>
      </c>
      <c r="E267">
        <f t="shared" si="45"/>
        <v>83</v>
      </c>
      <c r="F267">
        <f>IF(C267&gt;=$J$2,0,VLOOKUP($E267,'Mortality Table'!$A$3:$C$128,2+G$2,FALSE))</f>
        <v>0</v>
      </c>
      <c r="G267">
        <f>F267*Assumptions!$B$1</f>
        <v>0</v>
      </c>
      <c r="H267">
        <f t="shared" si="46"/>
        <v>0</v>
      </c>
      <c r="I267">
        <f>HLOOKUP(C267,Assumptions!$A$6:$J$7,2,TRUE)</f>
        <v>2.6499999999999999E-2</v>
      </c>
      <c r="J267" s="22">
        <f t="shared" ref="J267:J330" si="56">IF(B267&gt;$K$2,0,IF(($E$2*(B267+11))/12-INT(($E$2*(B267+11))/12)=0,1,0))</f>
        <v>0</v>
      </c>
      <c r="K267" s="22">
        <f t="shared" si="47"/>
        <v>0</v>
      </c>
      <c r="L267">
        <f t="shared" si="52"/>
        <v>0</v>
      </c>
      <c r="M267" s="22">
        <f t="shared" si="48"/>
        <v>0</v>
      </c>
      <c r="N267">
        <f>M266*Assumptions!$B$11/$E$2*J267</f>
        <v>0</v>
      </c>
      <c r="O267">
        <f>M266*Assumptions!$B$13/$E$2*J267</f>
        <v>0</v>
      </c>
      <c r="P267">
        <f>H267*Assumptions!$B$15</f>
        <v>0</v>
      </c>
      <c r="Q267">
        <f>O267*Assumptions!$B$17</f>
        <v>0</v>
      </c>
      <c r="R267">
        <f>HLOOKUP(B267,Assumptions!$A$26:$D$27,2,TRUE)</f>
        <v>0</v>
      </c>
      <c r="S267">
        <f t="shared" si="53"/>
        <v>0</v>
      </c>
      <c r="T267">
        <f t="shared" si="49"/>
        <v>0.91666666666666785</v>
      </c>
      <c r="U267">
        <f>IF(B267&gt;$K$2,0,IF(T268=0,0,(1-T268)*Assumptions!$B$11/$E$2*(1-Assumptions!$B$30)))</f>
        <v>0</v>
      </c>
      <c r="V267">
        <f>(N267-O267)*(1-Assumptions!$B$30)-Q267+U266*M266</f>
        <v>0</v>
      </c>
      <c r="W267">
        <f>W266*(1+Assumptions!$B$36)^(1/12)</f>
        <v>1.2364862958082419</v>
      </c>
      <c r="X267" s="19">
        <f>IF(B267&gt;$K$2,0,W266*Assumptions!$B$32/12*M266+V267*Assumptions!$B$34/12)</f>
        <v>0</v>
      </c>
      <c r="Y267" s="20">
        <f>1/(1+HLOOKUP(YEAR(A267),Assumptions!$A$41:$AL$43,3,TRUE))^(1/12)</f>
        <v>0.99795794845611863</v>
      </c>
      <c r="Z267">
        <f t="shared" si="50"/>
        <v>0</v>
      </c>
      <c r="AA267">
        <f t="shared" si="54"/>
        <v>0</v>
      </c>
    </row>
    <row r="268" spans="1:27" x14ac:dyDescent="0.2">
      <c r="A268" s="2">
        <f t="shared" si="55"/>
        <v>50921</v>
      </c>
      <c r="B268">
        <f t="shared" si="51"/>
        <v>349</v>
      </c>
      <c r="C268">
        <f t="shared" ref="C268:C331" si="57">(B268+11)/12-1</f>
        <v>29</v>
      </c>
      <c r="D268">
        <f t="shared" ref="D268:D331" si="58">IF(C268-INT(C268)=0,1,0)</f>
        <v>1</v>
      </c>
      <c r="E268">
        <f t="shared" ref="E268:E331" si="59">$C$2+INT($C268)</f>
        <v>84</v>
      </c>
      <c r="F268">
        <f>IF(C268&gt;=$J$2,0,VLOOKUP($E268,'Mortality Table'!$A$3:$C$128,2+G$2,FALSE))</f>
        <v>0</v>
      </c>
      <c r="G268">
        <f>F268*Assumptions!$B$1</f>
        <v>0</v>
      </c>
      <c r="H268">
        <f t="shared" ref="H268:H331" si="60">(1-(1-G268)^(1/12))*M267</f>
        <v>0</v>
      </c>
      <c r="I268">
        <f>HLOOKUP(C268,Assumptions!$A$6:$J$7,2,TRUE)</f>
        <v>2.6499999999999999E-2</v>
      </c>
      <c r="J268" s="22">
        <f t="shared" si="56"/>
        <v>0</v>
      </c>
      <c r="K268" s="22">
        <f t="shared" ref="K268:K331" si="61">IF(B269&gt;$K$2,0,IF(J269=0,0,1/$E$2))</f>
        <v>0</v>
      </c>
      <c r="L268">
        <f t="shared" si="52"/>
        <v>0</v>
      </c>
      <c r="M268" s="22">
        <f t="shared" ref="M268:M331" si="62">IF(B268&gt;$K$2,0,M267-H268-L268)</f>
        <v>0</v>
      </c>
      <c r="N268">
        <f>M267*Assumptions!$B$11/$E$2*J268</f>
        <v>0</v>
      </c>
      <c r="O268">
        <f>M267*Assumptions!$B$13/$E$2*J268</f>
        <v>0</v>
      </c>
      <c r="P268">
        <f>H268*Assumptions!$B$15</f>
        <v>0</v>
      </c>
      <c r="Q268">
        <f>O268*Assumptions!$B$17</f>
        <v>0</v>
      </c>
      <c r="R268">
        <f>HLOOKUP(B268,Assumptions!$A$26:$D$27,2,TRUE)</f>
        <v>0</v>
      </c>
      <c r="S268">
        <f t="shared" si="53"/>
        <v>0</v>
      </c>
      <c r="T268">
        <f t="shared" ref="T268:T331" si="63">($E$2*(B268+11))/12-INT(($E$2*(B268+11))/12)</f>
        <v>0</v>
      </c>
      <c r="U268">
        <f>IF(B268&gt;$K$2,0,IF(T269=0,0,(1-T269)*Assumptions!$B$11/$E$2*(1-Assumptions!$B$30)))</f>
        <v>0</v>
      </c>
      <c r="V268">
        <f>(N268-O268)*(1-Assumptions!$B$30)-Q268+U267*M267</f>
        <v>0</v>
      </c>
      <c r="W268">
        <f>W267*(1+Assumptions!$B$36)^(1/12)</f>
        <v>1.2375120083184814</v>
      </c>
      <c r="X268" s="19">
        <f>IF(B268&gt;$K$2,0,W267*Assumptions!$B$32/12*M267+V268*Assumptions!$B$34/12)</f>
        <v>0</v>
      </c>
      <c r="Y268" s="20">
        <f>1/(1+HLOOKUP(YEAR(A268),Assumptions!$A$41:$AL$43,3,TRUE))^(1/12)</f>
        <v>0.99795794845611863</v>
      </c>
      <c r="Z268">
        <f t="shared" ref="Z268:Z331" si="64">(Z269+P269+Q269+S269+X269-N269)*Y269</f>
        <v>0</v>
      </c>
      <c r="AA268">
        <f t="shared" si="54"/>
        <v>0</v>
      </c>
    </row>
    <row r="269" spans="1:27" x14ac:dyDescent="0.2">
      <c r="A269" s="2">
        <f t="shared" si="55"/>
        <v>50951</v>
      </c>
      <c r="B269">
        <f t="shared" ref="B269:B332" si="65">B268+1</f>
        <v>350</v>
      </c>
      <c r="C269">
        <f t="shared" si="57"/>
        <v>29.083333333333332</v>
      </c>
      <c r="D269">
        <f t="shared" si="58"/>
        <v>0</v>
      </c>
      <c r="E269">
        <f t="shared" si="59"/>
        <v>84</v>
      </c>
      <c r="F269">
        <f>IF(C269&gt;=$J$2,0,VLOOKUP($E269,'Mortality Table'!$A$3:$C$128,2+G$2,FALSE))</f>
        <v>0</v>
      </c>
      <c r="G269">
        <f>F269*Assumptions!$B$1</f>
        <v>0</v>
      </c>
      <c r="H269">
        <f t="shared" si="60"/>
        <v>0</v>
      </c>
      <c r="I269">
        <f>HLOOKUP(C269,Assumptions!$A$6:$J$7,2,TRUE)</f>
        <v>2.6499999999999999E-2</v>
      </c>
      <c r="J269" s="22">
        <f t="shared" si="56"/>
        <v>0</v>
      </c>
      <c r="K269" s="22">
        <f t="shared" si="61"/>
        <v>0</v>
      </c>
      <c r="L269">
        <f t="shared" ref="L269:L332" si="66">(1-(1-I269)^K269)*(M268-H269)</f>
        <v>0</v>
      </c>
      <c r="M269" s="22">
        <f t="shared" si="62"/>
        <v>0</v>
      </c>
      <c r="N269">
        <f>M268*Assumptions!$B$11/$E$2*J269</f>
        <v>0</v>
      </c>
      <c r="O269">
        <f>M268*Assumptions!$B$13/$E$2*J269</f>
        <v>0</v>
      </c>
      <c r="P269">
        <f>H269*Assumptions!$B$15</f>
        <v>0</v>
      </c>
      <c r="Q269">
        <f>O269*Assumptions!$B$17</f>
        <v>0</v>
      </c>
      <c r="R269">
        <f>HLOOKUP(B269,Assumptions!$A$26:$D$27,2,TRUE)</f>
        <v>0</v>
      </c>
      <c r="S269">
        <f t="shared" ref="S269:S332" si="67">N269*R269</f>
        <v>0</v>
      </c>
      <c r="T269">
        <f t="shared" si="63"/>
        <v>8.3333333333332149E-2</v>
      </c>
      <c r="U269">
        <f>IF(B269&gt;$K$2,0,IF(T270=0,0,(1-T270)*Assumptions!$B$11/$E$2*(1-Assumptions!$B$30)))</f>
        <v>0</v>
      </c>
      <c r="V269">
        <f>(N269-O269)*(1-Assumptions!$B$30)-Q269+U268*M268</f>
        <v>0</v>
      </c>
      <c r="W269">
        <f>W268*(1+Assumptions!$B$36)^(1/12)</f>
        <v>1.2385385716963426</v>
      </c>
      <c r="X269" s="19">
        <f>IF(B269&gt;$K$2,0,W268*Assumptions!$B$32/12*M268+V269*Assumptions!$B$34/12)</f>
        <v>0</v>
      </c>
      <c r="Y269" s="20">
        <f>1/(1+HLOOKUP(YEAR(A269),Assumptions!$A$41:$AL$43,3,TRUE))^(1/12)</f>
        <v>0.99795794845611863</v>
      </c>
      <c r="Z269">
        <f t="shared" si="64"/>
        <v>0</v>
      </c>
      <c r="AA269">
        <f t="shared" ref="AA269:AA332" si="68">P269+Q269</f>
        <v>0</v>
      </c>
    </row>
    <row r="270" spans="1:27" x14ac:dyDescent="0.2">
      <c r="A270" s="2">
        <f t="shared" si="55"/>
        <v>50982</v>
      </c>
      <c r="B270">
        <f t="shared" si="65"/>
        <v>351</v>
      </c>
      <c r="C270">
        <f t="shared" si="57"/>
        <v>29.166666666666668</v>
      </c>
      <c r="D270">
        <f t="shared" si="58"/>
        <v>0</v>
      </c>
      <c r="E270">
        <f t="shared" si="59"/>
        <v>84</v>
      </c>
      <c r="F270">
        <f>IF(C270&gt;=$J$2,0,VLOOKUP($E270,'Mortality Table'!$A$3:$C$128,2+G$2,FALSE))</f>
        <v>0</v>
      </c>
      <c r="G270">
        <f>F270*Assumptions!$B$1</f>
        <v>0</v>
      </c>
      <c r="H270">
        <f t="shared" si="60"/>
        <v>0</v>
      </c>
      <c r="I270">
        <f>HLOOKUP(C270,Assumptions!$A$6:$J$7,2,TRUE)</f>
        <v>2.6499999999999999E-2</v>
      </c>
      <c r="J270" s="22">
        <f t="shared" si="56"/>
        <v>0</v>
      </c>
      <c r="K270" s="22">
        <f t="shared" si="61"/>
        <v>0</v>
      </c>
      <c r="L270">
        <f t="shared" si="66"/>
        <v>0</v>
      </c>
      <c r="M270" s="22">
        <f t="shared" si="62"/>
        <v>0</v>
      </c>
      <c r="N270">
        <f>M269*Assumptions!$B$11/$E$2*J270</f>
        <v>0</v>
      </c>
      <c r="O270">
        <f>M269*Assumptions!$B$13/$E$2*J270</f>
        <v>0</v>
      </c>
      <c r="P270">
        <f>H270*Assumptions!$B$15</f>
        <v>0</v>
      </c>
      <c r="Q270">
        <f>O270*Assumptions!$B$17</f>
        <v>0</v>
      </c>
      <c r="R270">
        <f>HLOOKUP(B270,Assumptions!$A$26:$D$27,2,TRUE)</f>
        <v>0</v>
      </c>
      <c r="S270">
        <f t="shared" si="67"/>
        <v>0</v>
      </c>
      <c r="T270">
        <f t="shared" si="63"/>
        <v>0.16666666666666785</v>
      </c>
      <c r="U270">
        <f>IF(B270&gt;$K$2,0,IF(T271=0,0,(1-T271)*Assumptions!$B$11/$E$2*(1-Assumptions!$B$30)))</f>
        <v>0</v>
      </c>
      <c r="V270">
        <f>(N270-O270)*(1-Assumptions!$B$30)-Q270+U269*M269</f>
        <v>0</v>
      </c>
      <c r="W270">
        <f>W269*(1+Assumptions!$B$36)^(1/12)</f>
        <v>1.2395659866476525</v>
      </c>
      <c r="X270" s="19">
        <f>IF(B270&gt;$K$2,0,W269*Assumptions!$B$32/12*M269+V270*Assumptions!$B$34/12)</f>
        <v>0</v>
      </c>
      <c r="Y270" s="20">
        <f>1/(1+HLOOKUP(YEAR(A270),Assumptions!$A$41:$AL$43,3,TRUE))^(1/12)</f>
        <v>0.99795794845611863</v>
      </c>
      <c r="Z270">
        <f t="shared" si="64"/>
        <v>0</v>
      </c>
      <c r="AA270">
        <f t="shared" si="68"/>
        <v>0</v>
      </c>
    </row>
    <row r="271" spans="1:27" x14ac:dyDescent="0.2">
      <c r="A271" s="2">
        <f t="shared" ref="A271:A334" si="69">DATE(YEAR(A270),MONTH(A270)+2,1)-1</f>
        <v>51013</v>
      </c>
      <c r="B271">
        <f t="shared" si="65"/>
        <v>352</v>
      </c>
      <c r="C271">
        <f t="shared" si="57"/>
        <v>29.25</v>
      </c>
      <c r="D271">
        <f t="shared" si="58"/>
        <v>0</v>
      </c>
      <c r="E271">
        <f t="shared" si="59"/>
        <v>84</v>
      </c>
      <c r="F271">
        <f>IF(C271&gt;=$J$2,0,VLOOKUP($E271,'Mortality Table'!$A$3:$C$128,2+G$2,FALSE))</f>
        <v>0</v>
      </c>
      <c r="G271">
        <f>F271*Assumptions!$B$1</f>
        <v>0</v>
      </c>
      <c r="H271">
        <f t="shared" si="60"/>
        <v>0</v>
      </c>
      <c r="I271">
        <f>HLOOKUP(C271,Assumptions!$A$6:$J$7,2,TRUE)</f>
        <v>2.6499999999999999E-2</v>
      </c>
      <c r="J271" s="22">
        <f t="shared" si="56"/>
        <v>0</v>
      </c>
      <c r="K271" s="22">
        <f t="shared" si="61"/>
        <v>0</v>
      </c>
      <c r="L271">
        <f t="shared" si="66"/>
        <v>0</v>
      </c>
      <c r="M271" s="22">
        <f t="shared" si="62"/>
        <v>0</v>
      </c>
      <c r="N271">
        <f>M270*Assumptions!$B$11/$E$2*J271</f>
        <v>0</v>
      </c>
      <c r="O271">
        <f>M270*Assumptions!$B$13/$E$2*J271</f>
        <v>0</v>
      </c>
      <c r="P271">
        <f>H271*Assumptions!$B$15</f>
        <v>0</v>
      </c>
      <c r="Q271">
        <f>O271*Assumptions!$B$17</f>
        <v>0</v>
      </c>
      <c r="R271">
        <f>HLOOKUP(B271,Assumptions!$A$26:$D$27,2,TRUE)</f>
        <v>0</v>
      </c>
      <c r="S271">
        <f t="shared" si="67"/>
        <v>0</v>
      </c>
      <c r="T271">
        <f t="shared" si="63"/>
        <v>0.25</v>
      </c>
      <c r="U271">
        <f>IF(B271&gt;$K$2,0,IF(T272=0,0,(1-T272)*Assumptions!$B$11/$E$2*(1-Assumptions!$B$30)))</f>
        <v>0</v>
      </c>
      <c r="V271">
        <f>(N271-O271)*(1-Assumptions!$B$30)-Q271+U270*M270</f>
        <v>0</v>
      </c>
      <c r="W271">
        <f>W270*(1+Assumptions!$B$36)^(1/12)</f>
        <v>1.2405942538788239</v>
      </c>
      <c r="X271" s="19">
        <f>IF(B271&gt;$K$2,0,W270*Assumptions!$B$32/12*M270+V271*Assumptions!$B$34/12)</f>
        <v>0</v>
      </c>
      <c r="Y271" s="20">
        <f>1/(1+HLOOKUP(YEAR(A271),Assumptions!$A$41:$AL$43,3,TRUE))^(1/12)</f>
        <v>0.99795794845611863</v>
      </c>
      <c r="Z271">
        <f t="shared" si="64"/>
        <v>0</v>
      </c>
      <c r="AA271">
        <f t="shared" si="68"/>
        <v>0</v>
      </c>
    </row>
    <row r="272" spans="1:27" x14ac:dyDescent="0.2">
      <c r="A272" s="2">
        <f t="shared" si="69"/>
        <v>51043</v>
      </c>
      <c r="B272">
        <f t="shared" si="65"/>
        <v>353</v>
      </c>
      <c r="C272">
        <f t="shared" si="57"/>
        <v>29.333333333333332</v>
      </c>
      <c r="D272">
        <f t="shared" si="58"/>
        <v>0</v>
      </c>
      <c r="E272">
        <f t="shared" si="59"/>
        <v>84</v>
      </c>
      <c r="F272">
        <f>IF(C272&gt;=$J$2,0,VLOOKUP($E272,'Mortality Table'!$A$3:$C$128,2+G$2,FALSE))</f>
        <v>0</v>
      </c>
      <c r="G272">
        <f>F272*Assumptions!$B$1</f>
        <v>0</v>
      </c>
      <c r="H272">
        <f t="shared" si="60"/>
        <v>0</v>
      </c>
      <c r="I272">
        <f>HLOOKUP(C272,Assumptions!$A$6:$J$7,2,TRUE)</f>
        <v>2.6499999999999999E-2</v>
      </c>
      <c r="J272" s="22">
        <f t="shared" si="56"/>
        <v>0</v>
      </c>
      <c r="K272" s="22">
        <f t="shared" si="61"/>
        <v>0</v>
      </c>
      <c r="L272">
        <f t="shared" si="66"/>
        <v>0</v>
      </c>
      <c r="M272" s="22">
        <f t="shared" si="62"/>
        <v>0</v>
      </c>
      <c r="N272">
        <f>M271*Assumptions!$B$11/$E$2*J272</f>
        <v>0</v>
      </c>
      <c r="O272">
        <f>M271*Assumptions!$B$13/$E$2*J272</f>
        <v>0</v>
      </c>
      <c r="P272">
        <f>H272*Assumptions!$B$15</f>
        <v>0</v>
      </c>
      <c r="Q272">
        <f>O272*Assumptions!$B$17</f>
        <v>0</v>
      </c>
      <c r="R272">
        <f>HLOOKUP(B272,Assumptions!$A$26:$D$27,2,TRUE)</f>
        <v>0</v>
      </c>
      <c r="S272">
        <f t="shared" si="67"/>
        <v>0</v>
      </c>
      <c r="T272">
        <f t="shared" si="63"/>
        <v>0.33333333333333215</v>
      </c>
      <c r="U272">
        <f>IF(B272&gt;$K$2,0,IF(T273=0,0,(1-T273)*Assumptions!$B$11/$E$2*(1-Assumptions!$B$30)))</f>
        <v>0</v>
      </c>
      <c r="V272">
        <f>(N272-O272)*(1-Assumptions!$B$30)-Q272+U271*M271</f>
        <v>0</v>
      </c>
      <c r="W272">
        <f>W271*(1+Assumptions!$B$36)^(1/12)</f>
        <v>1.2416233740968552</v>
      </c>
      <c r="X272" s="19">
        <f>IF(B272&gt;$K$2,0,W271*Assumptions!$B$32/12*M271+V272*Assumptions!$B$34/12)</f>
        <v>0</v>
      </c>
      <c r="Y272" s="20">
        <f>1/(1+HLOOKUP(YEAR(A272),Assumptions!$A$41:$AL$43,3,TRUE))^(1/12)</f>
        <v>0.99795794845611863</v>
      </c>
      <c r="Z272">
        <f t="shared" si="64"/>
        <v>0</v>
      </c>
      <c r="AA272">
        <f t="shared" si="68"/>
        <v>0</v>
      </c>
    </row>
    <row r="273" spans="1:27" x14ac:dyDescent="0.2">
      <c r="A273" s="2">
        <f t="shared" si="69"/>
        <v>51074</v>
      </c>
      <c r="B273">
        <f t="shared" si="65"/>
        <v>354</v>
      </c>
      <c r="C273">
        <f t="shared" si="57"/>
        <v>29.416666666666668</v>
      </c>
      <c r="D273">
        <f t="shared" si="58"/>
        <v>0</v>
      </c>
      <c r="E273">
        <f t="shared" si="59"/>
        <v>84</v>
      </c>
      <c r="F273">
        <f>IF(C273&gt;=$J$2,0,VLOOKUP($E273,'Mortality Table'!$A$3:$C$128,2+G$2,FALSE))</f>
        <v>0</v>
      </c>
      <c r="G273">
        <f>F273*Assumptions!$B$1</f>
        <v>0</v>
      </c>
      <c r="H273">
        <f t="shared" si="60"/>
        <v>0</v>
      </c>
      <c r="I273">
        <f>HLOOKUP(C273,Assumptions!$A$6:$J$7,2,TRUE)</f>
        <v>2.6499999999999999E-2</v>
      </c>
      <c r="J273" s="22">
        <f t="shared" si="56"/>
        <v>0</v>
      </c>
      <c r="K273" s="22">
        <f t="shared" si="61"/>
        <v>0</v>
      </c>
      <c r="L273">
        <f t="shared" si="66"/>
        <v>0</v>
      </c>
      <c r="M273" s="22">
        <f t="shared" si="62"/>
        <v>0</v>
      </c>
      <c r="N273">
        <f>M272*Assumptions!$B$11/$E$2*J273</f>
        <v>0</v>
      </c>
      <c r="O273">
        <f>M272*Assumptions!$B$13/$E$2*J273</f>
        <v>0</v>
      </c>
      <c r="P273">
        <f>H273*Assumptions!$B$15</f>
        <v>0</v>
      </c>
      <c r="Q273">
        <f>O273*Assumptions!$B$17</f>
        <v>0</v>
      </c>
      <c r="R273">
        <f>HLOOKUP(B273,Assumptions!$A$26:$D$27,2,TRUE)</f>
        <v>0</v>
      </c>
      <c r="S273">
        <f t="shared" si="67"/>
        <v>0</v>
      </c>
      <c r="T273">
        <f t="shared" si="63"/>
        <v>0.41666666666666785</v>
      </c>
      <c r="U273">
        <f>IF(B273&gt;$K$2,0,IF(T274=0,0,(1-T274)*Assumptions!$B$11/$E$2*(1-Assumptions!$B$30)))</f>
        <v>0</v>
      </c>
      <c r="V273">
        <f>(N273-O273)*(1-Assumptions!$B$30)-Q273+U272*M272</f>
        <v>0</v>
      </c>
      <c r="W273">
        <f>W272*(1+Assumptions!$B$36)^(1/12)</f>
        <v>1.2426533480093316</v>
      </c>
      <c r="X273" s="19">
        <f>IF(B273&gt;$K$2,0,W272*Assumptions!$B$32/12*M272+V273*Assumptions!$B$34/12)</f>
        <v>0</v>
      </c>
      <c r="Y273" s="20">
        <f>1/(1+HLOOKUP(YEAR(A273),Assumptions!$A$41:$AL$43,3,TRUE))^(1/12)</f>
        <v>0.99795794845611863</v>
      </c>
      <c r="Z273">
        <f t="shared" si="64"/>
        <v>0</v>
      </c>
      <c r="AA273">
        <f t="shared" si="68"/>
        <v>0</v>
      </c>
    </row>
    <row r="274" spans="1:27" x14ac:dyDescent="0.2">
      <c r="A274" s="2">
        <f t="shared" si="69"/>
        <v>51104</v>
      </c>
      <c r="B274">
        <f t="shared" si="65"/>
        <v>355</v>
      </c>
      <c r="C274">
        <f t="shared" si="57"/>
        <v>29.5</v>
      </c>
      <c r="D274">
        <f t="shared" si="58"/>
        <v>0</v>
      </c>
      <c r="E274">
        <f t="shared" si="59"/>
        <v>84</v>
      </c>
      <c r="F274">
        <f>IF(C274&gt;=$J$2,0,VLOOKUP($E274,'Mortality Table'!$A$3:$C$128,2+G$2,FALSE))</f>
        <v>0</v>
      </c>
      <c r="G274">
        <f>F274*Assumptions!$B$1</f>
        <v>0</v>
      </c>
      <c r="H274">
        <f t="shared" si="60"/>
        <v>0</v>
      </c>
      <c r="I274">
        <f>HLOOKUP(C274,Assumptions!$A$6:$J$7,2,TRUE)</f>
        <v>2.6499999999999999E-2</v>
      </c>
      <c r="J274" s="22">
        <f t="shared" si="56"/>
        <v>0</v>
      </c>
      <c r="K274" s="22">
        <f t="shared" si="61"/>
        <v>0</v>
      </c>
      <c r="L274">
        <f t="shared" si="66"/>
        <v>0</v>
      </c>
      <c r="M274" s="22">
        <f t="shared" si="62"/>
        <v>0</v>
      </c>
      <c r="N274">
        <f>M273*Assumptions!$B$11/$E$2*J274</f>
        <v>0</v>
      </c>
      <c r="O274">
        <f>M273*Assumptions!$B$13/$E$2*J274</f>
        <v>0</v>
      </c>
      <c r="P274">
        <f>H274*Assumptions!$B$15</f>
        <v>0</v>
      </c>
      <c r="Q274">
        <f>O274*Assumptions!$B$17</f>
        <v>0</v>
      </c>
      <c r="R274">
        <f>HLOOKUP(B274,Assumptions!$A$26:$D$27,2,TRUE)</f>
        <v>0</v>
      </c>
      <c r="S274">
        <f t="shared" si="67"/>
        <v>0</v>
      </c>
      <c r="T274">
        <f t="shared" si="63"/>
        <v>0.5</v>
      </c>
      <c r="U274">
        <f>IF(B274&gt;$K$2,0,IF(T275=0,0,(1-T275)*Assumptions!$B$11/$E$2*(1-Assumptions!$B$30)))</f>
        <v>0</v>
      </c>
      <c r="V274">
        <f>(N274-O274)*(1-Assumptions!$B$30)-Q274+U273*M273</f>
        <v>0</v>
      </c>
      <c r="W274">
        <f>W273*(1+Assumptions!$B$36)^(1/12)</f>
        <v>1.2436841763244253</v>
      </c>
      <c r="X274" s="19">
        <f>IF(B274&gt;$K$2,0,W273*Assumptions!$B$32/12*M273+V274*Assumptions!$B$34/12)</f>
        <v>0</v>
      </c>
      <c r="Y274" s="20">
        <f>1/(1+HLOOKUP(YEAR(A274),Assumptions!$A$41:$AL$43,3,TRUE))^(1/12)</f>
        <v>0.99795794845611863</v>
      </c>
      <c r="Z274">
        <f t="shared" si="64"/>
        <v>0</v>
      </c>
      <c r="AA274">
        <f t="shared" si="68"/>
        <v>0</v>
      </c>
    </row>
    <row r="275" spans="1:27" x14ac:dyDescent="0.2">
      <c r="A275" s="2">
        <f t="shared" si="69"/>
        <v>51135</v>
      </c>
      <c r="B275">
        <f t="shared" si="65"/>
        <v>356</v>
      </c>
      <c r="C275">
        <f t="shared" si="57"/>
        <v>29.583333333333332</v>
      </c>
      <c r="D275">
        <f t="shared" si="58"/>
        <v>0</v>
      </c>
      <c r="E275">
        <f t="shared" si="59"/>
        <v>84</v>
      </c>
      <c r="F275">
        <f>IF(C275&gt;=$J$2,0,VLOOKUP($E275,'Mortality Table'!$A$3:$C$128,2+G$2,FALSE))</f>
        <v>0</v>
      </c>
      <c r="G275">
        <f>F275*Assumptions!$B$1</f>
        <v>0</v>
      </c>
      <c r="H275">
        <f t="shared" si="60"/>
        <v>0</v>
      </c>
      <c r="I275">
        <f>HLOOKUP(C275,Assumptions!$A$6:$J$7,2,TRUE)</f>
        <v>2.6499999999999999E-2</v>
      </c>
      <c r="J275" s="22">
        <f t="shared" si="56"/>
        <v>0</v>
      </c>
      <c r="K275" s="22">
        <f t="shared" si="61"/>
        <v>0</v>
      </c>
      <c r="L275">
        <f t="shared" si="66"/>
        <v>0</v>
      </c>
      <c r="M275" s="22">
        <f t="shared" si="62"/>
        <v>0</v>
      </c>
      <c r="N275">
        <f>M274*Assumptions!$B$11/$E$2*J275</f>
        <v>0</v>
      </c>
      <c r="O275">
        <f>M274*Assumptions!$B$13/$E$2*J275</f>
        <v>0</v>
      </c>
      <c r="P275">
        <f>H275*Assumptions!$B$15</f>
        <v>0</v>
      </c>
      <c r="Q275">
        <f>O275*Assumptions!$B$17</f>
        <v>0</v>
      </c>
      <c r="R275">
        <f>HLOOKUP(B275,Assumptions!$A$26:$D$27,2,TRUE)</f>
        <v>0</v>
      </c>
      <c r="S275">
        <f t="shared" si="67"/>
        <v>0</v>
      </c>
      <c r="T275">
        <f t="shared" si="63"/>
        <v>0.58333333333333215</v>
      </c>
      <c r="U275">
        <f>IF(B275&gt;$K$2,0,IF(T276=0,0,(1-T276)*Assumptions!$B$11/$E$2*(1-Assumptions!$B$30)))</f>
        <v>0</v>
      </c>
      <c r="V275">
        <f>(N275-O275)*(1-Assumptions!$B$30)-Q275+U274*M274</f>
        <v>0</v>
      </c>
      <c r="W275">
        <f>W274*(1+Assumptions!$B$36)^(1/12)</f>
        <v>1.2447158597508956</v>
      </c>
      <c r="X275" s="19">
        <f>IF(B275&gt;$K$2,0,W274*Assumptions!$B$32/12*M274+V275*Assumptions!$B$34/12)</f>
        <v>0</v>
      </c>
      <c r="Y275" s="20">
        <f>1/(1+HLOOKUP(YEAR(A275),Assumptions!$A$41:$AL$43,3,TRUE))^(1/12)</f>
        <v>0.99795794845611863</v>
      </c>
      <c r="Z275">
        <f t="shared" si="64"/>
        <v>0</v>
      </c>
      <c r="AA275">
        <f t="shared" si="68"/>
        <v>0</v>
      </c>
    </row>
    <row r="276" spans="1:27" x14ac:dyDescent="0.2">
      <c r="A276" s="2">
        <f t="shared" si="69"/>
        <v>51166</v>
      </c>
      <c r="B276">
        <f t="shared" si="65"/>
        <v>357</v>
      </c>
      <c r="C276">
        <f t="shared" si="57"/>
        <v>29.666666666666668</v>
      </c>
      <c r="D276">
        <f t="shared" si="58"/>
        <v>0</v>
      </c>
      <c r="E276">
        <f t="shared" si="59"/>
        <v>84</v>
      </c>
      <c r="F276">
        <f>IF(C276&gt;=$J$2,0,VLOOKUP($E276,'Mortality Table'!$A$3:$C$128,2+G$2,FALSE))</f>
        <v>0</v>
      </c>
      <c r="G276">
        <f>F276*Assumptions!$B$1</f>
        <v>0</v>
      </c>
      <c r="H276">
        <f t="shared" si="60"/>
        <v>0</v>
      </c>
      <c r="I276">
        <f>HLOOKUP(C276,Assumptions!$A$6:$J$7,2,TRUE)</f>
        <v>2.6499999999999999E-2</v>
      </c>
      <c r="J276" s="22">
        <f t="shared" si="56"/>
        <v>0</v>
      </c>
      <c r="K276" s="22">
        <f t="shared" si="61"/>
        <v>0</v>
      </c>
      <c r="L276">
        <f t="shared" si="66"/>
        <v>0</v>
      </c>
      <c r="M276" s="22">
        <f t="shared" si="62"/>
        <v>0</v>
      </c>
      <c r="N276">
        <f>M275*Assumptions!$B$11/$E$2*J276</f>
        <v>0</v>
      </c>
      <c r="O276">
        <f>M275*Assumptions!$B$13/$E$2*J276</f>
        <v>0</v>
      </c>
      <c r="P276">
        <f>H276*Assumptions!$B$15</f>
        <v>0</v>
      </c>
      <c r="Q276">
        <f>O276*Assumptions!$B$17</f>
        <v>0</v>
      </c>
      <c r="R276">
        <f>HLOOKUP(B276,Assumptions!$A$26:$D$27,2,TRUE)</f>
        <v>0</v>
      </c>
      <c r="S276">
        <f t="shared" si="67"/>
        <v>0</v>
      </c>
      <c r="T276">
        <f t="shared" si="63"/>
        <v>0.66666666666666785</v>
      </c>
      <c r="U276">
        <f>IF(B276&gt;$K$2,0,IF(T277=0,0,(1-T277)*Assumptions!$B$11/$E$2*(1-Assumptions!$B$30)))</f>
        <v>0</v>
      </c>
      <c r="V276">
        <f>(N276-O276)*(1-Assumptions!$B$30)-Q276+U275*M275</f>
        <v>0</v>
      </c>
      <c r="W276">
        <f>W275*(1+Assumptions!$B$36)^(1/12)</f>
        <v>1.2457483989980902</v>
      </c>
      <c r="X276" s="19">
        <f>IF(B276&gt;$K$2,0,W275*Assumptions!$B$32/12*M275+V276*Assumptions!$B$34/12)</f>
        <v>0</v>
      </c>
      <c r="Y276" s="20">
        <f>1/(1+HLOOKUP(YEAR(A276),Assumptions!$A$41:$AL$43,3,TRUE))^(1/12)</f>
        <v>0.99792144053252774</v>
      </c>
      <c r="Z276">
        <f t="shared" si="64"/>
        <v>0</v>
      </c>
      <c r="AA276">
        <f t="shared" si="68"/>
        <v>0</v>
      </c>
    </row>
    <row r="277" spans="1:27" x14ac:dyDescent="0.2">
      <c r="A277" s="2">
        <f t="shared" si="69"/>
        <v>51195</v>
      </c>
      <c r="B277">
        <f t="shared" si="65"/>
        <v>358</v>
      </c>
      <c r="C277">
        <f t="shared" si="57"/>
        <v>29.75</v>
      </c>
      <c r="D277">
        <f t="shared" si="58"/>
        <v>0</v>
      </c>
      <c r="E277">
        <f t="shared" si="59"/>
        <v>84</v>
      </c>
      <c r="F277">
        <f>IF(C277&gt;=$J$2,0,VLOOKUP($E277,'Mortality Table'!$A$3:$C$128,2+G$2,FALSE))</f>
        <v>0</v>
      </c>
      <c r="G277">
        <f>F277*Assumptions!$B$1</f>
        <v>0</v>
      </c>
      <c r="H277">
        <f t="shared" si="60"/>
        <v>0</v>
      </c>
      <c r="I277">
        <f>HLOOKUP(C277,Assumptions!$A$6:$J$7,2,TRUE)</f>
        <v>2.6499999999999999E-2</v>
      </c>
      <c r="J277" s="22">
        <f t="shared" si="56"/>
        <v>0</v>
      </c>
      <c r="K277" s="22">
        <f t="shared" si="61"/>
        <v>0</v>
      </c>
      <c r="L277">
        <f t="shared" si="66"/>
        <v>0</v>
      </c>
      <c r="M277" s="22">
        <f t="shared" si="62"/>
        <v>0</v>
      </c>
      <c r="N277">
        <f>M276*Assumptions!$B$11/$E$2*J277</f>
        <v>0</v>
      </c>
      <c r="O277">
        <f>M276*Assumptions!$B$13/$E$2*J277</f>
        <v>0</v>
      </c>
      <c r="P277">
        <f>H277*Assumptions!$B$15</f>
        <v>0</v>
      </c>
      <c r="Q277">
        <f>O277*Assumptions!$B$17</f>
        <v>0</v>
      </c>
      <c r="R277">
        <f>HLOOKUP(B277,Assumptions!$A$26:$D$27,2,TRUE)</f>
        <v>0</v>
      </c>
      <c r="S277">
        <f t="shared" si="67"/>
        <v>0</v>
      </c>
      <c r="T277">
        <f t="shared" si="63"/>
        <v>0.75</v>
      </c>
      <c r="U277">
        <f>IF(B277&gt;$K$2,0,IF(T278=0,0,(1-T278)*Assumptions!$B$11/$E$2*(1-Assumptions!$B$30)))</f>
        <v>0</v>
      </c>
      <c r="V277">
        <f>(N277-O277)*(1-Assumptions!$B$30)-Q277+U276*M276</f>
        <v>0</v>
      </c>
      <c r="W277">
        <f>W276*(1+Assumptions!$B$36)^(1/12)</f>
        <v>1.2467817947759448</v>
      </c>
      <c r="X277" s="19">
        <f>IF(B277&gt;$K$2,0,W276*Assumptions!$B$32/12*M276+V277*Assumptions!$B$34/12)</f>
        <v>0</v>
      </c>
      <c r="Y277" s="20">
        <f>1/(1+HLOOKUP(YEAR(A277),Assumptions!$A$41:$AL$43,3,TRUE))^(1/12)</f>
        <v>0.99792144053252774</v>
      </c>
      <c r="Z277">
        <f t="shared" si="64"/>
        <v>0</v>
      </c>
      <c r="AA277">
        <f t="shared" si="68"/>
        <v>0</v>
      </c>
    </row>
    <row r="278" spans="1:27" x14ac:dyDescent="0.2">
      <c r="A278" s="2">
        <f t="shared" si="69"/>
        <v>51226</v>
      </c>
      <c r="B278">
        <f t="shared" si="65"/>
        <v>359</v>
      </c>
      <c r="C278">
        <f t="shared" si="57"/>
        <v>29.833333333333332</v>
      </c>
      <c r="D278">
        <f t="shared" si="58"/>
        <v>0</v>
      </c>
      <c r="E278">
        <f t="shared" si="59"/>
        <v>84</v>
      </c>
      <c r="F278">
        <f>IF(C278&gt;=$J$2,0,VLOOKUP($E278,'Mortality Table'!$A$3:$C$128,2+G$2,FALSE))</f>
        <v>0</v>
      </c>
      <c r="G278">
        <f>F278*Assumptions!$B$1</f>
        <v>0</v>
      </c>
      <c r="H278">
        <f t="shared" si="60"/>
        <v>0</v>
      </c>
      <c r="I278">
        <f>HLOOKUP(C278,Assumptions!$A$6:$J$7,2,TRUE)</f>
        <v>2.6499999999999999E-2</v>
      </c>
      <c r="J278" s="22">
        <f t="shared" si="56"/>
        <v>0</v>
      </c>
      <c r="K278" s="22">
        <f t="shared" si="61"/>
        <v>0</v>
      </c>
      <c r="L278">
        <f t="shared" si="66"/>
        <v>0</v>
      </c>
      <c r="M278" s="22">
        <f t="shared" si="62"/>
        <v>0</v>
      </c>
      <c r="N278">
        <f>M277*Assumptions!$B$11/$E$2*J278</f>
        <v>0</v>
      </c>
      <c r="O278">
        <f>M277*Assumptions!$B$13/$E$2*J278</f>
        <v>0</v>
      </c>
      <c r="P278">
        <f>H278*Assumptions!$B$15</f>
        <v>0</v>
      </c>
      <c r="Q278">
        <f>O278*Assumptions!$B$17</f>
        <v>0</v>
      </c>
      <c r="R278">
        <f>HLOOKUP(B278,Assumptions!$A$26:$D$27,2,TRUE)</f>
        <v>0</v>
      </c>
      <c r="S278">
        <f t="shared" si="67"/>
        <v>0</v>
      </c>
      <c r="T278">
        <f t="shared" si="63"/>
        <v>0.83333333333333215</v>
      </c>
      <c r="U278">
        <f>IF(B278&gt;$K$2,0,IF(T279=0,0,(1-T279)*Assumptions!$B$11/$E$2*(1-Assumptions!$B$30)))</f>
        <v>0</v>
      </c>
      <c r="V278">
        <f>(N278-O278)*(1-Assumptions!$B$30)-Q278+U277*M277</f>
        <v>0</v>
      </c>
      <c r="W278">
        <f>W277*(1+Assumptions!$B$36)^(1/12)</f>
        <v>1.2478160477949842</v>
      </c>
      <c r="X278" s="19">
        <f>IF(B278&gt;$K$2,0,W277*Assumptions!$B$32/12*M277+V278*Assumptions!$B$34/12)</f>
        <v>0</v>
      </c>
      <c r="Y278" s="20">
        <f>1/(1+HLOOKUP(YEAR(A278),Assumptions!$A$41:$AL$43,3,TRUE))^(1/12)</f>
        <v>0.99792144053252774</v>
      </c>
      <c r="Z278">
        <f t="shared" si="64"/>
        <v>0</v>
      </c>
      <c r="AA278">
        <f t="shared" si="68"/>
        <v>0</v>
      </c>
    </row>
    <row r="279" spans="1:27" x14ac:dyDescent="0.2">
      <c r="A279" s="2">
        <f t="shared" si="69"/>
        <v>51256</v>
      </c>
      <c r="B279">
        <f t="shared" si="65"/>
        <v>360</v>
      </c>
      <c r="C279">
        <f t="shared" si="57"/>
        <v>29.916666666666668</v>
      </c>
      <c r="D279">
        <f t="shared" si="58"/>
        <v>0</v>
      </c>
      <c r="E279">
        <f t="shared" si="59"/>
        <v>84</v>
      </c>
      <c r="F279">
        <f>IF(C279&gt;=$J$2,0,VLOOKUP($E279,'Mortality Table'!$A$3:$C$128,2+G$2,FALSE))</f>
        <v>0</v>
      </c>
      <c r="G279">
        <f>F279*Assumptions!$B$1</f>
        <v>0</v>
      </c>
      <c r="H279">
        <f t="shared" si="60"/>
        <v>0</v>
      </c>
      <c r="I279">
        <f>HLOOKUP(C279,Assumptions!$A$6:$J$7,2,TRUE)</f>
        <v>2.6499999999999999E-2</v>
      </c>
      <c r="J279" s="22">
        <f t="shared" si="56"/>
        <v>0</v>
      </c>
      <c r="K279" s="22">
        <f t="shared" si="61"/>
        <v>0</v>
      </c>
      <c r="L279">
        <f t="shared" si="66"/>
        <v>0</v>
      </c>
      <c r="M279" s="22">
        <f t="shared" si="62"/>
        <v>0</v>
      </c>
      <c r="N279">
        <f>M278*Assumptions!$B$11/$E$2*J279</f>
        <v>0</v>
      </c>
      <c r="O279">
        <f>M278*Assumptions!$B$13/$E$2*J279</f>
        <v>0</v>
      </c>
      <c r="P279">
        <f>H279*Assumptions!$B$15</f>
        <v>0</v>
      </c>
      <c r="Q279">
        <f>O279*Assumptions!$B$17</f>
        <v>0</v>
      </c>
      <c r="R279">
        <f>HLOOKUP(B279,Assumptions!$A$26:$D$27,2,TRUE)</f>
        <v>0</v>
      </c>
      <c r="S279">
        <f t="shared" si="67"/>
        <v>0</v>
      </c>
      <c r="T279">
        <f t="shared" si="63"/>
        <v>0.91666666666666785</v>
      </c>
      <c r="U279">
        <f>IF(B279&gt;$K$2,0,IF(T280=0,0,(1-T280)*Assumptions!$B$11/$E$2*(1-Assumptions!$B$30)))</f>
        <v>0</v>
      </c>
      <c r="V279">
        <f>(N279-O279)*(1-Assumptions!$B$30)-Q279+U278*M278</f>
        <v>0</v>
      </c>
      <c r="W279">
        <f>W278*(1+Assumptions!$B$36)^(1/12)</f>
        <v>1.2488511587663229</v>
      </c>
      <c r="X279" s="19">
        <f>IF(B279&gt;$K$2,0,W278*Assumptions!$B$32/12*M278+V279*Assumptions!$B$34/12)</f>
        <v>0</v>
      </c>
      <c r="Y279" s="20">
        <f>1/(1+HLOOKUP(YEAR(A279),Assumptions!$A$41:$AL$43,3,TRUE))^(1/12)</f>
        <v>0.99792144053252774</v>
      </c>
      <c r="Z279">
        <f t="shared" si="64"/>
        <v>0</v>
      </c>
      <c r="AA279">
        <f t="shared" si="68"/>
        <v>0</v>
      </c>
    </row>
    <row r="280" spans="1:27" x14ac:dyDescent="0.2">
      <c r="A280" s="2">
        <f t="shared" si="69"/>
        <v>51287</v>
      </c>
      <c r="B280">
        <f t="shared" si="65"/>
        <v>361</v>
      </c>
      <c r="C280">
        <f t="shared" si="57"/>
        <v>30</v>
      </c>
      <c r="D280">
        <f t="shared" si="58"/>
        <v>1</v>
      </c>
      <c r="E280">
        <f t="shared" si="59"/>
        <v>85</v>
      </c>
      <c r="F280">
        <f>IF(C280&gt;=$J$2,0,VLOOKUP($E280,'Mortality Table'!$A$3:$C$128,2+G$2,FALSE))</f>
        <v>0</v>
      </c>
      <c r="G280">
        <f>F280*Assumptions!$B$1</f>
        <v>0</v>
      </c>
      <c r="H280">
        <f t="shared" si="60"/>
        <v>0</v>
      </c>
      <c r="I280">
        <f>HLOOKUP(C280,Assumptions!$A$6:$J$7,2,TRUE)</f>
        <v>2.6499999999999999E-2</v>
      </c>
      <c r="J280" s="22">
        <f t="shared" si="56"/>
        <v>0</v>
      </c>
      <c r="K280" s="22">
        <f t="shared" si="61"/>
        <v>0</v>
      </c>
      <c r="L280">
        <f t="shared" si="66"/>
        <v>0</v>
      </c>
      <c r="M280" s="22">
        <f t="shared" si="62"/>
        <v>0</v>
      </c>
      <c r="N280">
        <f>M279*Assumptions!$B$11/$E$2*J280</f>
        <v>0</v>
      </c>
      <c r="O280">
        <f>M279*Assumptions!$B$13/$E$2*J280</f>
        <v>0</v>
      </c>
      <c r="P280">
        <f>H280*Assumptions!$B$15</f>
        <v>0</v>
      </c>
      <c r="Q280">
        <f>O280*Assumptions!$B$17</f>
        <v>0</v>
      </c>
      <c r="R280">
        <f>HLOOKUP(B280,Assumptions!$A$26:$D$27,2,TRUE)</f>
        <v>0</v>
      </c>
      <c r="S280">
        <f t="shared" si="67"/>
        <v>0</v>
      </c>
      <c r="T280">
        <f t="shared" si="63"/>
        <v>0</v>
      </c>
      <c r="U280">
        <f>IF(B280&gt;$K$2,0,IF(T281=0,0,(1-T281)*Assumptions!$B$11/$E$2*(1-Assumptions!$B$30)))</f>
        <v>0</v>
      </c>
      <c r="V280">
        <f>(N280-O280)*(1-Assumptions!$B$30)-Q280+U279*M279</f>
        <v>0</v>
      </c>
      <c r="W280">
        <f>W279*(1+Assumptions!$B$36)^(1/12)</f>
        <v>1.249887128401665</v>
      </c>
      <c r="X280" s="19">
        <f>IF(B280&gt;$K$2,0,W279*Assumptions!$B$32/12*M279+V280*Assumptions!$B$34/12)</f>
        <v>0</v>
      </c>
      <c r="Y280" s="20">
        <f>1/(1+HLOOKUP(YEAR(A280),Assumptions!$A$41:$AL$43,3,TRUE))^(1/12)</f>
        <v>0.99792144053252774</v>
      </c>
      <c r="Z280">
        <f t="shared" si="64"/>
        <v>0</v>
      </c>
      <c r="AA280">
        <f t="shared" si="68"/>
        <v>0</v>
      </c>
    </row>
    <row r="281" spans="1:27" x14ac:dyDescent="0.2">
      <c r="A281" s="2">
        <f t="shared" si="69"/>
        <v>51317</v>
      </c>
      <c r="B281">
        <f t="shared" si="65"/>
        <v>362</v>
      </c>
      <c r="C281">
        <f t="shared" si="57"/>
        <v>30.083333333333332</v>
      </c>
      <c r="D281">
        <f t="shared" si="58"/>
        <v>0</v>
      </c>
      <c r="E281">
        <f t="shared" si="59"/>
        <v>85</v>
      </c>
      <c r="F281">
        <f>IF(C281&gt;=$J$2,0,VLOOKUP($E281,'Mortality Table'!$A$3:$C$128,2+G$2,FALSE))</f>
        <v>0</v>
      </c>
      <c r="G281">
        <f>F281*Assumptions!$B$1</f>
        <v>0</v>
      </c>
      <c r="H281">
        <f t="shared" si="60"/>
        <v>0</v>
      </c>
      <c r="I281">
        <f>HLOOKUP(C281,Assumptions!$A$6:$J$7,2,TRUE)</f>
        <v>2.6499999999999999E-2</v>
      </c>
      <c r="J281" s="22">
        <f t="shared" si="56"/>
        <v>0</v>
      </c>
      <c r="K281" s="22">
        <f t="shared" si="61"/>
        <v>0</v>
      </c>
      <c r="L281">
        <f t="shared" si="66"/>
        <v>0</v>
      </c>
      <c r="M281" s="22">
        <f t="shared" si="62"/>
        <v>0</v>
      </c>
      <c r="N281">
        <f>M280*Assumptions!$B$11/$E$2*J281</f>
        <v>0</v>
      </c>
      <c r="O281">
        <f>M280*Assumptions!$B$13/$E$2*J281</f>
        <v>0</v>
      </c>
      <c r="P281">
        <f>H281*Assumptions!$B$15</f>
        <v>0</v>
      </c>
      <c r="Q281">
        <f>O281*Assumptions!$B$17</f>
        <v>0</v>
      </c>
      <c r="R281">
        <f>HLOOKUP(B281,Assumptions!$A$26:$D$27,2,TRUE)</f>
        <v>0</v>
      </c>
      <c r="S281">
        <f t="shared" si="67"/>
        <v>0</v>
      </c>
      <c r="T281">
        <f t="shared" si="63"/>
        <v>8.3333333333332149E-2</v>
      </c>
      <c r="U281">
        <f>IF(B281&gt;$K$2,0,IF(T282=0,0,(1-T282)*Assumptions!$B$11/$E$2*(1-Assumptions!$B$30)))</f>
        <v>0</v>
      </c>
      <c r="V281">
        <f>(N281-O281)*(1-Assumptions!$B$30)-Q281+U280*M280</f>
        <v>0</v>
      </c>
      <c r="W281">
        <f>W280*(1+Assumptions!$B$36)^(1/12)</f>
        <v>1.2509239574133049</v>
      </c>
      <c r="X281" s="19">
        <f>IF(B281&gt;$K$2,0,W280*Assumptions!$B$32/12*M280+V281*Assumptions!$B$34/12)</f>
        <v>0</v>
      </c>
      <c r="Y281" s="20">
        <f>1/(1+HLOOKUP(YEAR(A281),Assumptions!$A$41:$AL$43,3,TRUE))^(1/12)</f>
        <v>0.99792144053252774</v>
      </c>
      <c r="Z281">
        <f t="shared" si="64"/>
        <v>0</v>
      </c>
      <c r="AA281">
        <f t="shared" si="68"/>
        <v>0</v>
      </c>
    </row>
    <row r="282" spans="1:27" x14ac:dyDescent="0.2">
      <c r="A282" s="2">
        <f t="shared" si="69"/>
        <v>51348</v>
      </c>
      <c r="B282">
        <f t="shared" si="65"/>
        <v>363</v>
      </c>
      <c r="C282">
        <f t="shared" si="57"/>
        <v>30.166666666666668</v>
      </c>
      <c r="D282">
        <f t="shared" si="58"/>
        <v>0</v>
      </c>
      <c r="E282">
        <f t="shared" si="59"/>
        <v>85</v>
      </c>
      <c r="F282">
        <f>IF(C282&gt;=$J$2,0,VLOOKUP($E282,'Mortality Table'!$A$3:$C$128,2+G$2,FALSE))</f>
        <v>0</v>
      </c>
      <c r="G282">
        <f>F282*Assumptions!$B$1</f>
        <v>0</v>
      </c>
      <c r="H282">
        <f t="shared" si="60"/>
        <v>0</v>
      </c>
      <c r="I282">
        <f>HLOOKUP(C282,Assumptions!$A$6:$J$7,2,TRUE)</f>
        <v>2.6499999999999999E-2</v>
      </c>
      <c r="J282" s="22">
        <f t="shared" si="56"/>
        <v>0</v>
      </c>
      <c r="K282" s="22">
        <f t="shared" si="61"/>
        <v>0</v>
      </c>
      <c r="L282">
        <f t="shared" si="66"/>
        <v>0</v>
      </c>
      <c r="M282" s="22">
        <f t="shared" si="62"/>
        <v>0</v>
      </c>
      <c r="N282">
        <f>M281*Assumptions!$B$11/$E$2*J282</f>
        <v>0</v>
      </c>
      <c r="O282">
        <f>M281*Assumptions!$B$13/$E$2*J282</f>
        <v>0</v>
      </c>
      <c r="P282">
        <f>H282*Assumptions!$B$15</f>
        <v>0</v>
      </c>
      <c r="Q282">
        <f>O282*Assumptions!$B$17</f>
        <v>0</v>
      </c>
      <c r="R282">
        <f>HLOOKUP(B282,Assumptions!$A$26:$D$27,2,TRUE)</f>
        <v>0</v>
      </c>
      <c r="S282">
        <f t="shared" si="67"/>
        <v>0</v>
      </c>
      <c r="T282">
        <f t="shared" si="63"/>
        <v>0.16666666666666785</v>
      </c>
      <c r="U282">
        <f>IF(B282&gt;$K$2,0,IF(T283=0,0,(1-T283)*Assumptions!$B$11/$E$2*(1-Assumptions!$B$30)))</f>
        <v>0</v>
      </c>
      <c r="V282">
        <f>(N282-O282)*(1-Assumptions!$B$30)-Q282+U281*M281</f>
        <v>0</v>
      </c>
      <c r="W282">
        <f>W281*(1+Assumptions!$B$36)^(1/12)</f>
        <v>1.2519616465141279</v>
      </c>
      <c r="X282" s="19">
        <f>IF(B282&gt;$K$2,0,W281*Assumptions!$B$32/12*M281+V282*Assumptions!$B$34/12)</f>
        <v>0</v>
      </c>
      <c r="Y282" s="20">
        <f>1/(1+HLOOKUP(YEAR(A282),Assumptions!$A$41:$AL$43,3,TRUE))^(1/12)</f>
        <v>0.99792144053252774</v>
      </c>
      <c r="Z282">
        <f t="shared" si="64"/>
        <v>0</v>
      </c>
      <c r="AA282">
        <f t="shared" si="68"/>
        <v>0</v>
      </c>
    </row>
    <row r="283" spans="1:27" x14ac:dyDescent="0.2">
      <c r="A283" s="2">
        <f t="shared" si="69"/>
        <v>51379</v>
      </c>
      <c r="B283">
        <f t="shared" si="65"/>
        <v>364</v>
      </c>
      <c r="C283">
        <f t="shared" si="57"/>
        <v>30.25</v>
      </c>
      <c r="D283">
        <f t="shared" si="58"/>
        <v>0</v>
      </c>
      <c r="E283">
        <f t="shared" si="59"/>
        <v>85</v>
      </c>
      <c r="F283">
        <f>IF(C283&gt;=$J$2,0,VLOOKUP($E283,'Mortality Table'!$A$3:$C$128,2+G$2,FALSE))</f>
        <v>0</v>
      </c>
      <c r="G283">
        <f>F283*Assumptions!$B$1</f>
        <v>0</v>
      </c>
      <c r="H283">
        <f t="shared" si="60"/>
        <v>0</v>
      </c>
      <c r="I283">
        <f>HLOOKUP(C283,Assumptions!$A$6:$J$7,2,TRUE)</f>
        <v>2.6499999999999999E-2</v>
      </c>
      <c r="J283" s="22">
        <f t="shared" si="56"/>
        <v>0</v>
      </c>
      <c r="K283" s="22">
        <f t="shared" si="61"/>
        <v>0</v>
      </c>
      <c r="L283">
        <f t="shared" si="66"/>
        <v>0</v>
      </c>
      <c r="M283" s="22">
        <f t="shared" si="62"/>
        <v>0</v>
      </c>
      <c r="N283">
        <f>M282*Assumptions!$B$11/$E$2*J283</f>
        <v>0</v>
      </c>
      <c r="O283">
        <f>M282*Assumptions!$B$13/$E$2*J283</f>
        <v>0</v>
      </c>
      <c r="P283">
        <f>H283*Assumptions!$B$15</f>
        <v>0</v>
      </c>
      <c r="Q283">
        <f>O283*Assumptions!$B$17</f>
        <v>0</v>
      </c>
      <c r="R283">
        <f>HLOOKUP(B283,Assumptions!$A$26:$D$27,2,TRUE)</f>
        <v>0</v>
      </c>
      <c r="S283">
        <f t="shared" si="67"/>
        <v>0</v>
      </c>
      <c r="T283">
        <f t="shared" si="63"/>
        <v>0.25</v>
      </c>
      <c r="U283">
        <f>IF(B283&gt;$K$2,0,IF(T284=0,0,(1-T284)*Assumptions!$B$11/$E$2*(1-Assumptions!$B$30)))</f>
        <v>0</v>
      </c>
      <c r="V283">
        <f>(N283-O283)*(1-Assumptions!$B$30)-Q283+U282*M282</f>
        <v>0</v>
      </c>
      <c r="W283">
        <f>W282*(1+Assumptions!$B$36)^(1/12)</f>
        <v>1.253000196417611</v>
      </c>
      <c r="X283" s="19">
        <f>IF(B283&gt;$K$2,0,W282*Assumptions!$B$32/12*M282+V283*Assumptions!$B$34/12)</f>
        <v>0</v>
      </c>
      <c r="Y283" s="20">
        <f>1/(1+HLOOKUP(YEAR(A283),Assumptions!$A$41:$AL$43,3,TRUE))^(1/12)</f>
        <v>0.99792144053252774</v>
      </c>
      <c r="Z283">
        <f t="shared" si="64"/>
        <v>0</v>
      </c>
      <c r="AA283">
        <f t="shared" si="68"/>
        <v>0</v>
      </c>
    </row>
    <row r="284" spans="1:27" x14ac:dyDescent="0.2">
      <c r="A284" s="2">
        <f t="shared" si="69"/>
        <v>51409</v>
      </c>
      <c r="B284">
        <f t="shared" si="65"/>
        <v>365</v>
      </c>
      <c r="C284">
        <f t="shared" si="57"/>
        <v>30.333333333333332</v>
      </c>
      <c r="D284">
        <f t="shared" si="58"/>
        <v>0</v>
      </c>
      <c r="E284">
        <f t="shared" si="59"/>
        <v>85</v>
      </c>
      <c r="F284">
        <f>IF(C284&gt;=$J$2,0,VLOOKUP($E284,'Mortality Table'!$A$3:$C$128,2+G$2,FALSE))</f>
        <v>0</v>
      </c>
      <c r="G284">
        <f>F284*Assumptions!$B$1</f>
        <v>0</v>
      </c>
      <c r="H284">
        <f t="shared" si="60"/>
        <v>0</v>
      </c>
      <c r="I284">
        <f>HLOOKUP(C284,Assumptions!$A$6:$J$7,2,TRUE)</f>
        <v>2.6499999999999999E-2</v>
      </c>
      <c r="J284" s="22">
        <f t="shared" si="56"/>
        <v>0</v>
      </c>
      <c r="K284" s="22">
        <f t="shared" si="61"/>
        <v>0</v>
      </c>
      <c r="L284">
        <f t="shared" si="66"/>
        <v>0</v>
      </c>
      <c r="M284" s="22">
        <f t="shared" si="62"/>
        <v>0</v>
      </c>
      <c r="N284">
        <f>M283*Assumptions!$B$11/$E$2*J284</f>
        <v>0</v>
      </c>
      <c r="O284">
        <f>M283*Assumptions!$B$13/$E$2*J284</f>
        <v>0</v>
      </c>
      <c r="P284">
        <f>H284*Assumptions!$B$15</f>
        <v>0</v>
      </c>
      <c r="Q284">
        <f>O284*Assumptions!$B$17</f>
        <v>0</v>
      </c>
      <c r="R284">
        <f>HLOOKUP(B284,Assumptions!$A$26:$D$27,2,TRUE)</f>
        <v>0</v>
      </c>
      <c r="S284">
        <f t="shared" si="67"/>
        <v>0</v>
      </c>
      <c r="T284">
        <f t="shared" si="63"/>
        <v>0.33333333333333215</v>
      </c>
      <c r="U284">
        <f>IF(B284&gt;$K$2,0,IF(T285=0,0,(1-T285)*Assumptions!$B$11/$E$2*(1-Assumptions!$B$30)))</f>
        <v>0</v>
      </c>
      <c r="V284">
        <f>(N284-O284)*(1-Assumptions!$B$30)-Q284+U283*M283</f>
        <v>0</v>
      </c>
      <c r="W284">
        <f>W283*(1+Assumptions!$B$36)^(1/12)</f>
        <v>1.2540396078378226</v>
      </c>
      <c r="X284" s="19">
        <f>IF(B284&gt;$K$2,0,W283*Assumptions!$B$32/12*M283+V284*Assumptions!$B$34/12)</f>
        <v>0</v>
      </c>
      <c r="Y284" s="20">
        <f>1/(1+HLOOKUP(YEAR(A284),Assumptions!$A$41:$AL$43,3,TRUE))^(1/12)</f>
        <v>0.99792144053252774</v>
      </c>
      <c r="Z284">
        <f t="shared" si="64"/>
        <v>0</v>
      </c>
      <c r="AA284">
        <f t="shared" si="68"/>
        <v>0</v>
      </c>
    </row>
    <row r="285" spans="1:27" x14ac:dyDescent="0.2">
      <c r="A285" s="2">
        <f t="shared" si="69"/>
        <v>51440</v>
      </c>
      <c r="B285">
        <f t="shared" si="65"/>
        <v>366</v>
      </c>
      <c r="C285">
        <f t="shared" si="57"/>
        <v>30.416666666666668</v>
      </c>
      <c r="D285">
        <f t="shared" si="58"/>
        <v>0</v>
      </c>
      <c r="E285">
        <f t="shared" si="59"/>
        <v>85</v>
      </c>
      <c r="F285">
        <f>IF(C285&gt;=$J$2,0,VLOOKUP($E285,'Mortality Table'!$A$3:$C$128,2+G$2,FALSE))</f>
        <v>0</v>
      </c>
      <c r="G285">
        <f>F285*Assumptions!$B$1</f>
        <v>0</v>
      </c>
      <c r="H285">
        <f t="shared" si="60"/>
        <v>0</v>
      </c>
      <c r="I285">
        <f>HLOOKUP(C285,Assumptions!$A$6:$J$7,2,TRUE)</f>
        <v>2.6499999999999999E-2</v>
      </c>
      <c r="J285" s="22">
        <f t="shared" si="56"/>
        <v>0</v>
      </c>
      <c r="K285" s="22">
        <f t="shared" si="61"/>
        <v>0</v>
      </c>
      <c r="L285">
        <f t="shared" si="66"/>
        <v>0</v>
      </c>
      <c r="M285" s="22">
        <f t="shared" si="62"/>
        <v>0</v>
      </c>
      <c r="N285">
        <f>M284*Assumptions!$B$11/$E$2*J285</f>
        <v>0</v>
      </c>
      <c r="O285">
        <f>M284*Assumptions!$B$13/$E$2*J285</f>
        <v>0</v>
      </c>
      <c r="P285">
        <f>H285*Assumptions!$B$15</f>
        <v>0</v>
      </c>
      <c r="Q285">
        <f>O285*Assumptions!$B$17</f>
        <v>0</v>
      </c>
      <c r="R285">
        <f>HLOOKUP(B285,Assumptions!$A$26:$D$27,2,TRUE)</f>
        <v>0</v>
      </c>
      <c r="S285">
        <f t="shared" si="67"/>
        <v>0</v>
      </c>
      <c r="T285">
        <f t="shared" si="63"/>
        <v>0.41666666666666785</v>
      </c>
      <c r="U285">
        <f>IF(B285&gt;$K$2,0,IF(T286=0,0,(1-T286)*Assumptions!$B$11/$E$2*(1-Assumptions!$B$30)))</f>
        <v>0</v>
      </c>
      <c r="V285">
        <f>(N285-O285)*(1-Assumptions!$B$30)-Q285+U284*M284</f>
        <v>0</v>
      </c>
      <c r="W285">
        <f>W284*(1+Assumptions!$B$36)^(1/12)</f>
        <v>1.2550798814894237</v>
      </c>
      <c r="X285" s="19">
        <f>IF(B285&gt;$K$2,0,W284*Assumptions!$B$32/12*M284+V285*Assumptions!$B$34/12)</f>
        <v>0</v>
      </c>
      <c r="Y285" s="20">
        <f>1/(1+HLOOKUP(YEAR(A285),Assumptions!$A$41:$AL$43,3,TRUE))^(1/12)</f>
        <v>0.99792144053252774</v>
      </c>
      <c r="Z285">
        <f t="shared" si="64"/>
        <v>0</v>
      </c>
      <c r="AA285">
        <f t="shared" si="68"/>
        <v>0</v>
      </c>
    </row>
    <row r="286" spans="1:27" x14ac:dyDescent="0.2">
      <c r="A286" s="2">
        <f t="shared" si="69"/>
        <v>51470</v>
      </c>
      <c r="B286">
        <f t="shared" si="65"/>
        <v>367</v>
      </c>
      <c r="C286">
        <f t="shared" si="57"/>
        <v>30.5</v>
      </c>
      <c r="D286">
        <f t="shared" si="58"/>
        <v>0</v>
      </c>
      <c r="E286">
        <f t="shared" si="59"/>
        <v>85</v>
      </c>
      <c r="F286">
        <f>IF(C286&gt;=$J$2,0,VLOOKUP($E286,'Mortality Table'!$A$3:$C$128,2+G$2,FALSE))</f>
        <v>0</v>
      </c>
      <c r="G286">
        <f>F286*Assumptions!$B$1</f>
        <v>0</v>
      </c>
      <c r="H286">
        <f t="shared" si="60"/>
        <v>0</v>
      </c>
      <c r="I286">
        <f>HLOOKUP(C286,Assumptions!$A$6:$J$7,2,TRUE)</f>
        <v>2.6499999999999999E-2</v>
      </c>
      <c r="J286" s="22">
        <f t="shared" si="56"/>
        <v>0</v>
      </c>
      <c r="K286" s="22">
        <f t="shared" si="61"/>
        <v>0</v>
      </c>
      <c r="L286">
        <f t="shared" si="66"/>
        <v>0</v>
      </c>
      <c r="M286" s="22">
        <f t="shared" si="62"/>
        <v>0</v>
      </c>
      <c r="N286">
        <f>M285*Assumptions!$B$11/$E$2*J286</f>
        <v>0</v>
      </c>
      <c r="O286">
        <f>M285*Assumptions!$B$13/$E$2*J286</f>
        <v>0</v>
      </c>
      <c r="P286">
        <f>H286*Assumptions!$B$15</f>
        <v>0</v>
      </c>
      <c r="Q286">
        <f>O286*Assumptions!$B$17</f>
        <v>0</v>
      </c>
      <c r="R286">
        <f>HLOOKUP(B286,Assumptions!$A$26:$D$27,2,TRUE)</f>
        <v>0</v>
      </c>
      <c r="S286">
        <f t="shared" si="67"/>
        <v>0</v>
      </c>
      <c r="T286">
        <f t="shared" si="63"/>
        <v>0.5</v>
      </c>
      <c r="U286">
        <f>IF(B286&gt;$K$2,0,IF(T287=0,0,(1-T287)*Assumptions!$B$11/$E$2*(1-Assumptions!$B$30)))</f>
        <v>0</v>
      </c>
      <c r="V286">
        <f>(N286-O286)*(1-Assumptions!$B$30)-Q286+U285*M285</f>
        <v>0</v>
      </c>
      <c r="W286">
        <f>W285*(1+Assumptions!$B$36)^(1/12)</f>
        <v>1.2561210180876683</v>
      </c>
      <c r="X286" s="19">
        <f>IF(B286&gt;$K$2,0,W285*Assumptions!$B$32/12*M285+V286*Assumptions!$B$34/12)</f>
        <v>0</v>
      </c>
      <c r="Y286" s="20">
        <f>1/(1+HLOOKUP(YEAR(A286),Assumptions!$A$41:$AL$43,3,TRUE))^(1/12)</f>
        <v>0.99792144053252774</v>
      </c>
      <c r="Z286">
        <f t="shared" si="64"/>
        <v>0</v>
      </c>
      <c r="AA286">
        <f t="shared" si="68"/>
        <v>0</v>
      </c>
    </row>
    <row r="287" spans="1:27" x14ac:dyDescent="0.2">
      <c r="A287" s="2">
        <f t="shared" si="69"/>
        <v>51501</v>
      </c>
      <c r="B287">
        <f t="shared" si="65"/>
        <v>368</v>
      </c>
      <c r="C287">
        <f t="shared" si="57"/>
        <v>30.583333333333332</v>
      </c>
      <c r="D287">
        <f t="shared" si="58"/>
        <v>0</v>
      </c>
      <c r="E287">
        <f t="shared" si="59"/>
        <v>85</v>
      </c>
      <c r="F287">
        <f>IF(C287&gt;=$J$2,0,VLOOKUP($E287,'Mortality Table'!$A$3:$C$128,2+G$2,FALSE))</f>
        <v>0</v>
      </c>
      <c r="G287">
        <f>F287*Assumptions!$B$1</f>
        <v>0</v>
      </c>
      <c r="H287">
        <f t="shared" si="60"/>
        <v>0</v>
      </c>
      <c r="I287">
        <f>HLOOKUP(C287,Assumptions!$A$6:$J$7,2,TRUE)</f>
        <v>2.6499999999999999E-2</v>
      </c>
      <c r="J287" s="22">
        <f t="shared" si="56"/>
        <v>0</v>
      </c>
      <c r="K287" s="22">
        <f t="shared" si="61"/>
        <v>0</v>
      </c>
      <c r="L287">
        <f t="shared" si="66"/>
        <v>0</v>
      </c>
      <c r="M287" s="22">
        <f t="shared" si="62"/>
        <v>0</v>
      </c>
      <c r="N287">
        <f>M286*Assumptions!$B$11/$E$2*J287</f>
        <v>0</v>
      </c>
      <c r="O287">
        <f>M286*Assumptions!$B$13/$E$2*J287</f>
        <v>0</v>
      </c>
      <c r="P287">
        <f>H287*Assumptions!$B$15</f>
        <v>0</v>
      </c>
      <c r="Q287">
        <f>O287*Assumptions!$B$17</f>
        <v>0</v>
      </c>
      <c r="R287">
        <f>HLOOKUP(B287,Assumptions!$A$26:$D$27,2,TRUE)</f>
        <v>0</v>
      </c>
      <c r="S287">
        <f t="shared" si="67"/>
        <v>0</v>
      </c>
      <c r="T287">
        <f t="shared" si="63"/>
        <v>0.58333333333333215</v>
      </c>
      <c r="U287">
        <f>IF(B287&gt;$K$2,0,IF(T288=0,0,(1-T288)*Assumptions!$B$11/$E$2*(1-Assumptions!$B$30)))</f>
        <v>0</v>
      </c>
      <c r="V287">
        <f>(N287-O287)*(1-Assumptions!$B$30)-Q287+U286*M286</f>
        <v>0</v>
      </c>
      <c r="W287">
        <f>W286*(1+Assumptions!$B$36)^(1/12)</f>
        <v>1.2571630183484033</v>
      </c>
      <c r="X287" s="19">
        <f>IF(B287&gt;$K$2,0,W286*Assumptions!$B$32/12*M286+V287*Assumptions!$B$34/12)</f>
        <v>0</v>
      </c>
      <c r="Y287" s="20">
        <f>1/(1+HLOOKUP(YEAR(A287),Assumptions!$A$41:$AL$43,3,TRUE))^(1/12)</f>
        <v>0.99792144053252774</v>
      </c>
      <c r="Z287">
        <f t="shared" si="64"/>
        <v>0</v>
      </c>
      <c r="AA287">
        <f t="shared" si="68"/>
        <v>0</v>
      </c>
    </row>
    <row r="288" spans="1:27" x14ac:dyDescent="0.2">
      <c r="A288" s="2">
        <f t="shared" si="69"/>
        <v>51532</v>
      </c>
      <c r="B288">
        <f t="shared" si="65"/>
        <v>369</v>
      </c>
      <c r="C288">
        <f t="shared" si="57"/>
        <v>30.666666666666668</v>
      </c>
      <c r="D288">
        <f t="shared" si="58"/>
        <v>0</v>
      </c>
      <c r="E288">
        <f t="shared" si="59"/>
        <v>85</v>
      </c>
      <c r="F288">
        <f>IF(C288&gt;=$J$2,0,VLOOKUP($E288,'Mortality Table'!$A$3:$C$128,2+G$2,FALSE))</f>
        <v>0</v>
      </c>
      <c r="G288">
        <f>F288*Assumptions!$B$1</f>
        <v>0</v>
      </c>
      <c r="H288">
        <f t="shared" si="60"/>
        <v>0</v>
      </c>
      <c r="I288">
        <f>HLOOKUP(C288,Assumptions!$A$6:$J$7,2,TRUE)</f>
        <v>2.6499999999999999E-2</v>
      </c>
      <c r="J288" s="22">
        <f t="shared" si="56"/>
        <v>0</v>
      </c>
      <c r="K288" s="22">
        <f t="shared" si="61"/>
        <v>0</v>
      </c>
      <c r="L288">
        <f t="shared" si="66"/>
        <v>0</v>
      </c>
      <c r="M288" s="22">
        <f t="shared" si="62"/>
        <v>0</v>
      </c>
      <c r="N288">
        <f>M287*Assumptions!$B$11/$E$2*J288</f>
        <v>0</v>
      </c>
      <c r="O288">
        <f>M287*Assumptions!$B$13/$E$2*J288</f>
        <v>0</v>
      </c>
      <c r="P288">
        <f>H288*Assumptions!$B$15</f>
        <v>0</v>
      </c>
      <c r="Q288">
        <f>O288*Assumptions!$B$17</f>
        <v>0</v>
      </c>
      <c r="R288">
        <f>HLOOKUP(B288,Assumptions!$A$26:$D$27,2,TRUE)</f>
        <v>0</v>
      </c>
      <c r="S288">
        <f t="shared" si="67"/>
        <v>0</v>
      </c>
      <c r="T288">
        <f t="shared" si="63"/>
        <v>0.66666666666666785</v>
      </c>
      <c r="U288">
        <f>IF(B288&gt;$K$2,0,IF(T289=0,0,(1-T289)*Assumptions!$B$11/$E$2*(1-Assumptions!$B$30)))</f>
        <v>0</v>
      </c>
      <c r="V288">
        <f>(N288-O288)*(1-Assumptions!$B$30)-Q288+U287*M287</f>
        <v>0</v>
      </c>
      <c r="W288">
        <f>W287*(1+Assumptions!$B$36)^(1/12)</f>
        <v>1.2582058829880698</v>
      </c>
      <c r="X288" s="19">
        <f>IF(B288&gt;$K$2,0,W287*Assumptions!$B$32/12*M287+V288*Assumptions!$B$34/12)</f>
        <v>0</v>
      </c>
      <c r="Y288" s="20">
        <f>1/(1+HLOOKUP(YEAR(A288),Assumptions!$A$41:$AL$43,3,TRUE))^(1/12)</f>
        <v>0.9978766811789459</v>
      </c>
      <c r="Z288">
        <f t="shared" si="64"/>
        <v>0</v>
      </c>
      <c r="AA288">
        <f t="shared" si="68"/>
        <v>0</v>
      </c>
    </row>
    <row r="289" spans="1:27" x14ac:dyDescent="0.2">
      <c r="A289" s="2">
        <f t="shared" si="69"/>
        <v>51560</v>
      </c>
      <c r="B289">
        <f t="shared" si="65"/>
        <v>370</v>
      </c>
      <c r="C289">
        <f t="shared" si="57"/>
        <v>30.75</v>
      </c>
      <c r="D289">
        <f t="shared" si="58"/>
        <v>0</v>
      </c>
      <c r="E289">
        <f t="shared" si="59"/>
        <v>85</v>
      </c>
      <c r="F289">
        <f>IF(C289&gt;=$J$2,0,VLOOKUP($E289,'Mortality Table'!$A$3:$C$128,2+G$2,FALSE))</f>
        <v>0</v>
      </c>
      <c r="G289">
        <f>F289*Assumptions!$B$1</f>
        <v>0</v>
      </c>
      <c r="H289">
        <f t="shared" si="60"/>
        <v>0</v>
      </c>
      <c r="I289">
        <f>HLOOKUP(C289,Assumptions!$A$6:$J$7,2,TRUE)</f>
        <v>2.6499999999999999E-2</v>
      </c>
      <c r="J289" s="22">
        <f t="shared" si="56"/>
        <v>0</v>
      </c>
      <c r="K289" s="22">
        <f t="shared" si="61"/>
        <v>0</v>
      </c>
      <c r="L289">
        <f t="shared" si="66"/>
        <v>0</v>
      </c>
      <c r="M289" s="22">
        <f t="shared" si="62"/>
        <v>0</v>
      </c>
      <c r="N289">
        <f>M288*Assumptions!$B$11/$E$2*J289</f>
        <v>0</v>
      </c>
      <c r="O289">
        <f>M288*Assumptions!$B$13/$E$2*J289</f>
        <v>0</v>
      </c>
      <c r="P289">
        <f>H289*Assumptions!$B$15</f>
        <v>0</v>
      </c>
      <c r="Q289">
        <f>O289*Assumptions!$B$17</f>
        <v>0</v>
      </c>
      <c r="R289">
        <f>HLOOKUP(B289,Assumptions!$A$26:$D$27,2,TRUE)</f>
        <v>0</v>
      </c>
      <c r="S289">
        <f t="shared" si="67"/>
        <v>0</v>
      </c>
      <c r="T289">
        <f t="shared" si="63"/>
        <v>0.75</v>
      </c>
      <c r="U289">
        <f>IF(B289&gt;$K$2,0,IF(T290=0,0,(1-T290)*Assumptions!$B$11/$E$2*(1-Assumptions!$B$30)))</f>
        <v>0</v>
      </c>
      <c r="V289">
        <f>(N289-O289)*(1-Assumptions!$B$30)-Q289+U288*M288</f>
        <v>0</v>
      </c>
      <c r="W289">
        <f>W288*(1+Assumptions!$B$36)^(1/12)</f>
        <v>1.2592496127237029</v>
      </c>
      <c r="X289" s="19">
        <f>IF(B289&gt;$K$2,0,W288*Assumptions!$B$32/12*M288+V289*Assumptions!$B$34/12)</f>
        <v>0</v>
      </c>
      <c r="Y289" s="20">
        <f>1/(1+HLOOKUP(YEAR(A289),Assumptions!$A$41:$AL$43,3,TRUE))^(1/12)</f>
        <v>0.9978766811789459</v>
      </c>
      <c r="Z289">
        <f t="shared" si="64"/>
        <v>0</v>
      </c>
      <c r="AA289">
        <f t="shared" si="68"/>
        <v>0</v>
      </c>
    </row>
    <row r="290" spans="1:27" x14ac:dyDescent="0.2">
      <c r="A290" s="2">
        <f t="shared" si="69"/>
        <v>51591</v>
      </c>
      <c r="B290">
        <f t="shared" si="65"/>
        <v>371</v>
      </c>
      <c r="C290">
        <f t="shared" si="57"/>
        <v>30.833333333333332</v>
      </c>
      <c r="D290">
        <f t="shared" si="58"/>
        <v>0</v>
      </c>
      <c r="E290">
        <f t="shared" si="59"/>
        <v>85</v>
      </c>
      <c r="F290">
        <f>IF(C290&gt;=$J$2,0,VLOOKUP($E290,'Mortality Table'!$A$3:$C$128,2+G$2,FALSE))</f>
        <v>0</v>
      </c>
      <c r="G290">
        <f>F290*Assumptions!$B$1</f>
        <v>0</v>
      </c>
      <c r="H290">
        <f t="shared" si="60"/>
        <v>0</v>
      </c>
      <c r="I290">
        <f>HLOOKUP(C290,Assumptions!$A$6:$J$7,2,TRUE)</f>
        <v>2.6499999999999999E-2</v>
      </c>
      <c r="J290" s="22">
        <f t="shared" si="56"/>
        <v>0</v>
      </c>
      <c r="K290" s="22">
        <f t="shared" si="61"/>
        <v>0</v>
      </c>
      <c r="L290">
        <f t="shared" si="66"/>
        <v>0</v>
      </c>
      <c r="M290" s="22">
        <f t="shared" si="62"/>
        <v>0</v>
      </c>
      <c r="N290">
        <f>M289*Assumptions!$B$11/$E$2*J290</f>
        <v>0</v>
      </c>
      <c r="O290">
        <f>M289*Assumptions!$B$13/$E$2*J290</f>
        <v>0</v>
      </c>
      <c r="P290">
        <f>H290*Assumptions!$B$15</f>
        <v>0</v>
      </c>
      <c r="Q290">
        <f>O290*Assumptions!$B$17</f>
        <v>0</v>
      </c>
      <c r="R290">
        <f>HLOOKUP(B290,Assumptions!$A$26:$D$27,2,TRUE)</f>
        <v>0</v>
      </c>
      <c r="S290">
        <f t="shared" si="67"/>
        <v>0</v>
      </c>
      <c r="T290">
        <f t="shared" si="63"/>
        <v>0.83333333333333215</v>
      </c>
      <c r="U290">
        <f>IF(B290&gt;$K$2,0,IF(T291=0,0,(1-T291)*Assumptions!$B$11/$E$2*(1-Assumptions!$B$30)))</f>
        <v>0</v>
      </c>
      <c r="V290">
        <f>(N290-O290)*(1-Assumptions!$B$30)-Q290+U289*M289</f>
        <v>0</v>
      </c>
      <c r="W290">
        <f>W289*(1+Assumptions!$B$36)^(1/12)</f>
        <v>1.2602942082729329</v>
      </c>
      <c r="X290" s="19">
        <f>IF(B290&gt;$K$2,0,W289*Assumptions!$B$32/12*M289+V290*Assumptions!$B$34/12)</f>
        <v>0</v>
      </c>
      <c r="Y290" s="20">
        <f>1/(1+HLOOKUP(YEAR(A290),Assumptions!$A$41:$AL$43,3,TRUE))^(1/12)</f>
        <v>0.9978766811789459</v>
      </c>
      <c r="Z290">
        <f t="shared" si="64"/>
        <v>0</v>
      </c>
      <c r="AA290">
        <f t="shared" si="68"/>
        <v>0</v>
      </c>
    </row>
    <row r="291" spans="1:27" x14ac:dyDescent="0.2">
      <c r="A291" s="2">
        <f t="shared" si="69"/>
        <v>51621</v>
      </c>
      <c r="B291">
        <f t="shared" si="65"/>
        <v>372</v>
      </c>
      <c r="C291">
        <f t="shared" si="57"/>
        <v>30.916666666666668</v>
      </c>
      <c r="D291">
        <f t="shared" si="58"/>
        <v>0</v>
      </c>
      <c r="E291">
        <f t="shared" si="59"/>
        <v>85</v>
      </c>
      <c r="F291">
        <f>IF(C291&gt;=$J$2,0,VLOOKUP($E291,'Mortality Table'!$A$3:$C$128,2+G$2,FALSE))</f>
        <v>0</v>
      </c>
      <c r="G291">
        <f>F291*Assumptions!$B$1</f>
        <v>0</v>
      </c>
      <c r="H291">
        <f t="shared" si="60"/>
        <v>0</v>
      </c>
      <c r="I291">
        <f>HLOOKUP(C291,Assumptions!$A$6:$J$7,2,TRUE)</f>
        <v>2.6499999999999999E-2</v>
      </c>
      <c r="J291" s="22">
        <f t="shared" si="56"/>
        <v>0</v>
      </c>
      <c r="K291" s="22">
        <f t="shared" si="61"/>
        <v>0</v>
      </c>
      <c r="L291">
        <f t="shared" si="66"/>
        <v>0</v>
      </c>
      <c r="M291" s="22">
        <f t="shared" si="62"/>
        <v>0</v>
      </c>
      <c r="N291">
        <f>M290*Assumptions!$B$11/$E$2*J291</f>
        <v>0</v>
      </c>
      <c r="O291">
        <f>M290*Assumptions!$B$13/$E$2*J291</f>
        <v>0</v>
      </c>
      <c r="P291">
        <f>H291*Assumptions!$B$15</f>
        <v>0</v>
      </c>
      <c r="Q291">
        <f>O291*Assumptions!$B$17</f>
        <v>0</v>
      </c>
      <c r="R291">
        <f>HLOOKUP(B291,Assumptions!$A$26:$D$27,2,TRUE)</f>
        <v>0</v>
      </c>
      <c r="S291">
        <f t="shared" si="67"/>
        <v>0</v>
      </c>
      <c r="T291">
        <f t="shared" si="63"/>
        <v>0.91666666666666785</v>
      </c>
      <c r="U291">
        <f>IF(B291&gt;$K$2,0,IF(T292=0,0,(1-T292)*Assumptions!$B$11/$E$2*(1-Assumptions!$B$30)))</f>
        <v>0</v>
      </c>
      <c r="V291">
        <f>(N291-O291)*(1-Assumptions!$B$30)-Q291+U290*M290</f>
        <v>0</v>
      </c>
      <c r="W291">
        <f>W290*(1+Assumptions!$B$36)^(1/12)</f>
        <v>1.261339670353985</v>
      </c>
      <c r="X291" s="19">
        <f>IF(B291&gt;$K$2,0,W290*Assumptions!$B$32/12*M290+V291*Assumptions!$B$34/12)</f>
        <v>0</v>
      </c>
      <c r="Y291" s="20">
        <f>1/(1+HLOOKUP(YEAR(A291),Assumptions!$A$41:$AL$43,3,TRUE))^(1/12)</f>
        <v>0.9978766811789459</v>
      </c>
      <c r="Z291">
        <f t="shared" si="64"/>
        <v>0</v>
      </c>
      <c r="AA291">
        <f t="shared" si="68"/>
        <v>0</v>
      </c>
    </row>
    <row r="292" spans="1:27" x14ac:dyDescent="0.2">
      <c r="A292" s="2">
        <f t="shared" si="69"/>
        <v>51652</v>
      </c>
      <c r="B292">
        <f t="shared" si="65"/>
        <v>373</v>
      </c>
      <c r="C292">
        <f t="shared" si="57"/>
        <v>31</v>
      </c>
      <c r="D292">
        <f t="shared" si="58"/>
        <v>1</v>
      </c>
      <c r="E292">
        <f t="shared" si="59"/>
        <v>86</v>
      </c>
      <c r="F292">
        <f>IF(C292&gt;=$J$2,0,VLOOKUP($E292,'Mortality Table'!$A$3:$C$128,2+G$2,FALSE))</f>
        <v>0</v>
      </c>
      <c r="G292">
        <f>F292*Assumptions!$B$1</f>
        <v>0</v>
      </c>
      <c r="H292">
        <f t="shared" si="60"/>
        <v>0</v>
      </c>
      <c r="I292">
        <f>HLOOKUP(C292,Assumptions!$A$6:$J$7,2,TRUE)</f>
        <v>2.6499999999999999E-2</v>
      </c>
      <c r="J292" s="22">
        <f t="shared" si="56"/>
        <v>0</v>
      </c>
      <c r="K292" s="22">
        <f t="shared" si="61"/>
        <v>0</v>
      </c>
      <c r="L292">
        <f t="shared" si="66"/>
        <v>0</v>
      </c>
      <c r="M292" s="22">
        <f t="shared" si="62"/>
        <v>0</v>
      </c>
      <c r="N292">
        <f>M291*Assumptions!$B$11/$E$2*J292</f>
        <v>0</v>
      </c>
      <c r="O292">
        <f>M291*Assumptions!$B$13/$E$2*J292</f>
        <v>0</v>
      </c>
      <c r="P292">
        <f>H292*Assumptions!$B$15</f>
        <v>0</v>
      </c>
      <c r="Q292">
        <f>O292*Assumptions!$B$17</f>
        <v>0</v>
      </c>
      <c r="R292">
        <f>HLOOKUP(B292,Assumptions!$A$26:$D$27,2,TRUE)</f>
        <v>0</v>
      </c>
      <c r="S292">
        <f t="shared" si="67"/>
        <v>0</v>
      </c>
      <c r="T292">
        <f t="shared" si="63"/>
        <v>0</v>
      </c>
      <c r="U292">
        <f>IF(B292&gt;$K$2,0,IF(T293=0,0,(1-T293)*Assumptions!$B$11/$E$2*(1-Assumptions!$B$30)))</f>
        <v>0</v>
      </c>
      <c r="V292">
        <f>(N292-O292)*(1-Assumptions!$B$30)-Q292+U291*M291</f>
        <v>0</v>
      </c>
      <c r="W292">
        <f>W291*(1+Assumptions!$B$36)^(1/12)</f>
        <v>1.2623859996856803</v>
      </c>
      <c r="X292" s="19">
        <f>IF(B292&gt;$K$2,0,W291*Assumptions!$B$32/12*M291+V292*Assumptions!$B$34/12)</f>
        <v>0</v>
      </c>
      <c r="Y292" s="20">
        <f>1/(1+HLOOKUP(YEAR(A292),Assumptions!$A$41:$AL$43,3,TRUE))^(1/12)</f>
        <v>0.9978766811789459</v>
      </c>
      <c r="Z292">
        <f t="shared" si="64"/>
        <v>0</v>
      </c>
      <c r="AA292">
        <f t="shared" si="68"/>
        <v>0</v>
      </c>
    </row>
    <row r="293" spans="1:27" x14ac:dyDescent="0.2">
      <c r="A293" s="2">
        <f t="shared" si="69"/>
        <v>51682</v>
      </c>
      <c r="B293">
        <f t="shared" si="65"/>
        <v>374</v>
      </c>
      <c r="C293">
        <f t="shared" si="57"/>
        <v>31.083333333333336</v>
      </c>
      <c r="D293">
        <f t="shared" si="58"/>
        <v>0</v>
      </c>
      <c r="E293">
        <f t="shared" si="59"/>
        <v>86</v>
      </c>
      <c r="F293">
        <f>IF(C293&gt;=$J$2,0,VLOOKUP($E293,'Mortality Table'!$A$3:$C$128,2+G$2,FALSE))</f>
        <v>0</v>
      </c>
      <c r="G293">
        <f>F293*Assumptions!$B$1</f>
        <v>0</v>
      </c>
      <c r="H293">
        <f t="shared" si="60"/>
        <v>0</v>
      </c>
      <c r="I293">
        <f>HLOOKUP(C293,Assumptions!$A$6:$J$7,2,TRUE)</f>
        <v>2.6499999999999999E-2</v>
      </c>
      <c r="J293" s="22">
        <f t="shared" si="56"/>
        <v>0</v>
      </c>
      <c r="K293" s="22">
        <f t="shared" si="61"/>
        <v>0</v>
      </c>
      <c r="L293">
        <f t="shared" si="66"/>
        <v>0</v>
      </c>
      <c r="M293" s="22">
        <f t="shared" si="62"/>
        <v>0</v>
      </c>
      <c r="N293">
        <f>M292*Assumptions!$B$11/$E$2*J293</f>
        <v>0</v>
      </c>
      <c r="O293">
        <f>M292*Assumptions!$B$13/$E$2*J293</f>
        <v>0</v>
      </c>
      <c r="P293">
        <f>H293*Assumptions!$B$15</f>
        <v>0</v>
      </c>
      <c r="Q293">
        <f>O293*Assumptions!$B$17</f>
        <v>0</v>
      </c>
      <c r="R293">
        <f>HLOOKUP(B293,Assumptions!$A$26:$D$27,2,TRUE)</f>
        <v>0</v>
      </c>
      <c r="S293">
        <f t="shared" si="67"/>
        <v>0</v>
      </c>
      <c r="T293">
        <f t="shared" si="63"/>
        <v>8.3333333333335702E-2</v>
      </c>
      <c r="U293">
        <f>IF(B293&gt;$K$2,0,IF(T294=0,0,(1-T294)*Assumptions!$B$11/$E$2*(1-Assumptions!$B$30)))</f>
        <v>0</v>
      </c>
      <c r="V293">
        <f>(N293-O293)*(1-Assumptions!$B$30)-Q293+U292*M292</f>
        <v>0</v>
      </c>
      <c r="W293">
        <f>W292*(1+Assumptions!$B$36)^(1/12)</f>
        <v>1.2634331969874366</v>
      </c>
      <c r="X293" s="19">
        <f>IF(B293&gt;$K$2,0,W292*Assumptions!$B$32/12*M292+V293*Assumptions!$B$34/12)</f>
        <v>0</v>
      </c>
      <c r="Y293" s="20">
        <f>1/(1+HLOOKUP(YEAR(A293),Assumptions!$A$41:$AL$43,3,TRUE))^(1/12)</f>
        <v>0.9978766811789459</v>
      </c>
      <c r="Z293">
        <f t="shared" si="64"/>
        <v>0</v>
      </c>
      <c r="AA293">
        <f t="shared" si="68"/>
        <v>0</v>
      </c>
    </row>
    <row r="294" spans="1:27" x14ac:dyDescent="0.2">
      <c r="A294" s="2">
        <f t="shared" si="69"/>
        <v>51713</v>
      </c>
      <c r="B294">
        <f t="shared" si="65"/>
        <v>375</v>
      </c>
      <c r="C294">
        <f t="shared" si="57"/>
        <v>31.166666666666664</v>
      </c>
      <c r="D294">
        <f t="shared" si="58"/>
        <v>0</v>
      </c>
      <c r="E294">
        <f t="shared" si="59"/>
        <v>86</v>
      </c>
      <c r="F294">
        <f>IF(C294&gt;=$J$2,0,VLOOKUP($E294,'Mortality Table'!$A$3:$C$128,2+G$2,FALSE))</f>
        <v>0</v>
      </c>
      <c r="G294">
        <f>F294*Assumptions!$B$1</f>
        <v>0</v>
      </c>
      <c r="H294">
        <f t="shared" si="60"/>
        <v>0</v>
      </c>
      <c r="I294">
        <f>HLOOKUP(C294,Assumptions!$A$6:$J$7,2,TRUE)</f>
        <v>2.6499999999999999E-2</v>
      </c>
      <c r="J294" s="22">
        <f t="shared" si="56"/>
        <v>0</v>
      </c>
      <c r="K294" s="22">
        <f t="shared" si="61"/>
        <v>0</v>
      </c>
      <c r="L294">
        <f t="shared" si="66"/>
        <v>0</v>
      </c>
      <c r="M294" s="22">
        <f t="shared" si="62"/>
        <v>0</v>
      </c>
      <c r="N294">
        <f>M293*Assumptions!$B$11/$E$2*J294</f>
        <v>0</v>
      </c>
      <c r="O294">
        <f>M293*Assumptions!$B$13/$E$2*J294</f>
        <v>0</v>
      </c>
      <c r="P294">
        <f>H294*Assumptions!$B$15</f>
        <v>0</v>
      </c>
      <c r="Q294">
        <f>O294*Assumptions!$B$17</f>
        <v>0</v>
      </c>
      <c r="R294">
        <f>HLOOKUP(B294,Assumptions!$A$26:$D$27,2,TRUE)</f>
        <v>0</v>
      </c>
      <c r="S294">
        <f t="shared" si="67"/>
        <v>0</v>
      </c>
      <c r="T294">
        <f t="shared" si="63"/>
        <v>0.1666666666666643</v>
      </c>
      <c r="U294">
        <f>IF(B294&gt;$K$2,0,IF(T295=0,0,(1-T295)*Assumptions!$B$11/$E$2*(1-Assumptions!$B$30)))</f>
        <v>0</v>
      </c>
      <c r="V294">
        <f>(N294-O294)*(1-Assumptions!$B$30)-Q294+U293*M293</f>
        <v>0</v>
      </c>
      <c r="W294">
        <f>W293*(1+Assumptions!$B$36)^(1/12)</f>
        <v>1.2644812629792679</v>
      </c>
      <c r="X294" s="19">
        <f>IF(B294&gt;$K$2,0,W293*Assumptions!$B$32/12*M293+V294*Assumptions!$B$34/12)</f>
        <v>0</v>
      </c>
      <c r="Y294" s="20">
        <f>1/(1+HLOOKUP(YEAR(A294),Assumptions!$A$41:$AL$43,3,TRUE))^(1/12)</f>
        <v>0.9978766811789459</v>
      </c>
      <c r="Z294">
        <f t="shared" si="64"/>
        <v>0</v>
      </c>
      <c r="AA294">
        <f t="shared" si="68"/>
        <v>0</v>
      </c>
    </row>
    <row r="295" spans="1:27" x14ac:dyDescent="0.2">
      <c r="A295" s="2">
        <f t="shared" si="69"/>
        <v>51744</v>
      </c>
      <c r="B295">
        <f t="shared" si="65"/>
        <v>376</v>
      </c>
      <c r="C295">
        <f t="shared" si="57"/>
        <v>31.25</v>
      </c>
      <c r="D295">
        <f t="shared" si="58"/>
        <v>0</v>
      </c>
      <c r="E295">
        <f t="shared" si="59"/>
        <v>86</v>
      </c>
      <c r="F295">
        <f>IF(C295&gt;=$J$2,0,VLOOKUP($E295,'Mortality Table'!$A$3:$C$128,2+G$2,FALSE))</f>
        <v>0</v>
      </c>
      <c r="G295">
        <f>F295*Assumptions!$B$1</f>
        <v>0</v>
      </c>
      <c r="H295">
        <f t="shared" si="60"/>
        <v>0</v>
      </c>
      <c r="I295">
        <f>HLOOKUP(C295,Assumptions!$A$6:$J$7,2,TRUE)</f>
        <v>2.6499999999999999E-2</v>
      </c>
      <c r="J295" s="22">
        <f t="shared" si="56"/>
        <v>0</v>
      </c>
      <c r="K295" s="22">
        <f t="shared" si="61"/>
        <v>0</v>
      </c>
      <c r="L295">
        <f t="shared" si="66"/>
        <v>0</v>
      </c>
      <c r="M295" s="22">
        <f t="shared" si="62"/>
        <v>0</v>
      </c>
      <c r="N295">
        <f>M294*Assumptions!$B$11/$E$2*J295</f>
        <v>0</v>
      </c>
      <c r="O295">
        <f>M294*Assumptions!$B$13/$E$2*J295</f>
        <v>0</v>
      </c>
      <c r="P295">
        <f>H295*Assumptions!$B$15</f>
        <v>0</v>
      </c>
      <c r="Q295">
        <f>O295*Assumptions!$B$17</f>
        <v>0</v>
      </c>
      <c r="R295">
        <f>HLOOKUP(B295,Assumptions!$A$26:$D$27,2,TRUE)</f>
        <v>0</v>
      </c>
      <c r="S295">
        <f t="shared" si="67"/>
        <v>0</v>
      </c>
      <c r="T295">
        <f t="shared" si="63"/>
        <v>0.25</v>
      </c>
      <c r="U295">
        <f>IF(B295&gt;$K$2,0,IF(T296=0,0,(1-T296)*Assumptions!$B$11/$E$2*(1-Assumptions!$B$30)))</f>
        <v>0</v>
      </c>
      <c r="V295">
        <f>(N295-O295)*(1-Assumptions!$B$30)-Q295+U294*M294</f>
        <v>0</v>
      </c>
      <c r="W295">
        <f>W294*(1+Assumptions!$B$36)^(1/12)</f>
        <v>1.2655301983817857</v>
      </c>
      <c r="X295" s="19">
        <f>IF(B295&gt;$K$2,0,W294*Assumptions!$B$32/12*M294+V295*Assumptions!$B$34/12)</f>
        <v>0</v>
      </c>
      <c r="Y295" s="20">
        <f>1/(1+HLOOKUP(YEAR(A295),Assumptions!$A$41:$AL$43,3,TRUE))^(1/12)</f>
        <v>0.9978766811789459</v>
      </c>
      <c r="Z295">
        <f t="shared" si="64"/>
        <v>0</v>
      </c>
      <c r="AA295">
        <f t="shared" si="68"/>
        <v>0</v>
      </c>
    </row>
    <row r="296" spans="1:27" x14ac:dyDescent="0.2">
      <c r="A296" s="2">
        <f t="shared" si="69"/>
        <v>51774</v>
      </c>
      <c r="B296">
        <f t="shared" si="65"/>
        <v>377</v>
      </c>
      <c r="C296">
        <f t="shared" si="57"/>
        <v>31.333333333333336</v>
      </c>
      <c r="D296">
        <f t="shared" si="58"/>
        <v>0</v>
      </c>
      <c r="E296">
        <f t="shared" si="59"/>
        <v>86</v>
      </c>
      <c r="F296">
        <f>IF(C296&gt;=$J$2,0,VLOOKUP($E296,'Mortality Table'!$A$3:$C$128,2+G$2,FALSE))</f>
        <v>0</v>
      </c>
      <c r="G296">
        <f>F296*Assumptions!$B$1</f>
        <v>0</v>
      </c>
      <c r="H296">
        <f t="shared" si="60"/>
        <v>0</v>
      </c>
      <c r="I296">
        <f>HLOOKUP(C296,Assumptions!$A$6:$J$7,2,TRUE)</f>
        <v>2.6499999999999999E-2</v>
      </c>
      <c r="J296" s="22">
        <f t="shared" si="56"/>
        <v>0</v>
      </c>
      <c r="K296" s="22">
        <f t="shared" si="61"/>
        <v>0</v>
      </c>
      <c r="L296">
        <f t="shared" si="66"/>
        <v>0</v>
      </c>
      <c r="M296" s="22">
        <f t="shared" si="62"/>
        <v>0</v>
      </c>
      <c r="N296">
        <f>M295*Assumptions!$B$11/$E$2*J296</f>
        <v>0</v>
      </c>
      <c r="O296">
        <f>M295*Assumptions!$B$13/$E$2*J296</f>
        <v>0</v>
      </c>
      <c r="P296">
        <f>H296*Assumptions!$B$15</f>
        <v>0</v>
      </c>
      <c r="Q296">
        <f>O296*Assumptions!$B$17</f>
        <v>0</v>
      </c>
      <c r="R296">
        <f>HLOOKUP(B296,Assumptions!$A$26:$D$27,2,TRUE)</f>
        <v>0</v>
      </c>
      <c r="S296">
        <f t="shared" si="67"/>
        <v>0</v>
      </c>
      <c r="T296">
        <f t="shared" si="63"/>
        <v>0.3333333333333357</v>
      </c>
      <c r="U296">
        <f>IF(B296&gt;$K$2,0,IF(T297=0,0,(1-T297)*Assumptions!$B$11/$E$2*(1-Assumptions!$B$30)))</f>
        <v>0</v>
      </c>
      <c r="V296">
        <f>(N296-O296)*(1-Assumptions!$B$30)-Q296+U295*M295</f>
        <v>0</v>
      </c>
      <c r="W296">
        <f>W295*(1+Assumptions!$B$36)^(1/12)</f>
        <v>1.2665800039161994</v>
      </c>
      <c r="X296" s="19">
        <f>IF(B296&gt;$K$2,0,W295*Assumptions!$B$32/12*M295+V296*Assumptions!$B$34/12)</f>
        <v>0</v>
      </c>
      <c r="Y296" s="20">
        <f>1/(1+HLOOKUP(YEAR(A296),Assumptions!$A$41:$AL$43,3,TRUE))^(1/12)</f>
        <v>0.9978766811789459</v>
      </c>
      <c r="Z296">
        <f t="shared" si="64"/>
        <v>0</v>
      </c>
      <c r="AA296">
        <f t="shared" si="68"/>
        <v>0</v>
      </c>
    </row>
    <row r="297" spans="1:27" x14ac:dyDescent="0.2">
      <c r="A297" s="2">
        <f t="shared" si="69"/>
        <v>51805</v>
      </c>
      <c r="B297">
        <f t="shared" si="65"/>
        <v>378</v>
      </c>
      <c r="C297">
        <f t="shared" si="57"/>
        <v>31.416666666666664</v>
      </c>
      <c r="D297">
        <f t="shared" si="58"/>
        <v>0</v>
      </c>
      <c r="E297">
        <f t="shared" si="59"/>
        <v>86</v>
      </c>
      <c r="F297">
        <f>IF(C297&gt;=$J$2,0,VLOOKUP($E297,'Mortality Table'!$A$3:$C$128,2+G$2,FALSE))</f>
        <v>0</v>
      </c>
      <c r="G297">
        <f>F297*Assumptions!$B$1</f>
        <v>0</v>
      </c>
      <c r="H297">
        <f t="shared" si="60"/>
        <v>0</v>
      </c>
      <c r="I297">
        <f>HLOOKUP(C297,Assumptions!$A$6:$J$7,2,TRUE)</f>
        <v>2.6499999999999999E-2</v>
      </c>
      <c r="J297" s="22">
        <f t="shared" si="56"/>
        <v>0</v>
      </c>
      <c r="K297" s="22">
        <f t="shared" si="61"/>
        <v>0</v>
      </c>
      <c r="L297">
        <f t="shared" si="66"/>
        <v>0</v>
      </c>
      <c r="M297" s="22">
        <f t="shared" si="62"/>
        <v>0</v>
      </c>
      <c r="N297">
        <f>M296*Assumptions!$B$11/$E$2*J297</f>
        <v>0</v>
      </c>
      <c r="O297">
        <f>M296*Assumptions!$B$13/$E$2*J297</f>
        <v>0</v>
      </c>
      <c r="P297">
        <f>H297*Assumptions!$B$15</f>
        <v>0</v>
      </c>
      <c r="Q297">
        <f>O297*Assumptions!$B$17</f>
        <v>0</v>
      </c>
      <c r="R297">
        <f>HLOOKUP(B297,Assumptions!$A$26:$D$27,2,TRUE)</f>
        <v>0</v>
      </c>
      <c r="S297">
        <f t="shared" si="67"/>
        <v>0</v>
      </c>
      <c r="T297">
        <f t="shared" si="63"/>
        <v>0.4166666666666643</v>
      </c>
      <c r="U297">
        <f>IF(B297&gt;$K$2,0,IF(T298=0,0,(1-T298)*Assumptions!$B$11/$E$2*(1-Assumptions!$B$30)))</f>
        <v>0</v>
      </c>
      <c r="V297">
        <f>(N297-O297)*(1-Assumptions!$B$30)-Q297+U296*M296</f>
        <v>0</v>
      </c>
      <c r="W297">
        <f>W296*(1+Assumptions!$B$36)^(1/12)</f>
        <v>1.2676306803043167</v>
      </c>
      <c r="X297" s="19">
        <f>IF(B297&gt;$K$2,0,W296*Assumptions!$B$32/12*M296+V297*Assumptions!$B$34/12)</f>
        <v>0</v>
      </c>
      <c r="Y297" s="20">
        <f>1/(1+HLOOKUP(YEAR(A297),Assumptions!$A$41:$AL$43,3,TRUE))^(1/12)</f>
        <v>0.9978766811789459</v>
      </c>
      <c r="Z297">
        <f t="shared" si="64"/>
        <v>0</v>
      </c>
      <c r="AA297">
        <f t="shared" si="68"/>
        <v>0</v>
      </c>
    </row>
    <row r="298" spans="1:27" x14ac:dyDescent="0.2">
      <c r="A298" s="2">
        <f t="shared" si="69"/>
        <v>51835</v>
      </c>
      <c r="B298">
        <f t="shared" si="65"/>
        <v>379</v>
      </c>
      <c r="C298">
        <f t="shared" si="57"/>
        <v>31.5</v>
      </c>
      <c r="D298">
        <f t="shared" si="58"/>
        <v>0</v>
      </c>
      <c r="E298">
        <f t="shared" si="59"/>
        <v>86</v>
      </c>
      <c r="F298">
        <f>IF(C298&gt;=$J$2,0,VLOOKUP($E298,'Mortality Table'!$A$3:$C$128,2+G$2,FALSE))</f>
        <v>0</v>
      </c>
      <c r="G298">
        <f>F298*Assumptions!$B$1</f>
        <v>0</v>
      </c>
      <c r="H298">
        <f t="shared" si="60"/>
        <v>0</v>
      </c>
      <c r="I298">
        <f>HLOOKUP(C298,Assumptions!$A$6:$J$7,2,TRUE)</f>
        <v>2.6499999999999999E-2</v>
      </c>
      <c r="J298" s="22">
        <f t="shared" si="56"/>
        <v>0</v>
      </c>
      <c r="K298" s="22">
        <f t="shared" si="61"/>
        <v>0</v>
      </c>
      <c r="L298">
        <f t="shared" si="66"/>
        <v>0</v>
      </c>
      <c r="M298" s="22">
        <f t="shared" si="62"/>
        <v>0</v>
      </c>
      <c r="N298">
        <f>M297*Assumptions!$B$11/$E$2*J298</f>
        <v>0</v>
      </c>
      <c r="O298">
        <f>M297*Assumptions!$B$13/$E$2*J298</f>
        <v>0</v>
      </c>
      <c r="P298">
        <f>H298*Assumptions!$B$15</f>
        <v>0</v>
      </c>
      <c r="Q298">
        <f>O298*Assumptions!$B$17</f>
        <v>0</v>
      </c>
      <c r="R298">
        <f>HLOOKUP(B298,Assumptions!$A$26:$D$27,2,TRUE)</f>
        <v>0</v>
      </c>
      <c r="S298">
        <f t="shared" si="67"/>
        <v>0</v>
      </c>
      <c r="T298">
        <f t="shared" si="63"/>
        <v>0.5</v>
      </c>
      <c r="U298">
        <f>IF(B298&gt;$K$2,0,IF(T299=0,0,(1-T299)*Assumptions!$B$11/$E$2*(1-Assumptions!$B$30)))</f>
        <v>0</v>
      </c>
      <c r="V298">
        <f>(N298-O298)*(1-Assumptions!$B$30)-Q298+U297*M297</f>
        <v>0</v>
      </c>
      <c r="W298">
        <f>W297*(1+Assumptions!$B$36)^(1/12)</f>
        <v>1.2686822282685437</v>
      </c>
      <c r="X298" s="19">
        <f>IF(B298&gt;$K$2,0,W297*Assumptions!$B$32/12*M297+V298*Assumptions!$B$34/12)</f>
        <v>0</v>
      </c>
      <c r="Y298" s="20">
        <f>1/(1+HLOOKUP(YEAR(A298),Assumptions!$A$41:$AL$43,3,TRUE))^(1/12)</f>
        <v>0.9978766811789459</v>
      </c>
      <c r="Z298">
        <f t="shared" si="64"/>
        <v>0</v>
      </c>
      <c r="AA298">
        <f t="shared" si="68"/>
        <v>0</v>
      </c>
    </row>
    <row r="299" spans="1:27" x14ac:dyDescent="0.2">
      <c r="A299" s="2">
        <f t="shared" si="69"/>
        <v>51866</v>
      </c>
      <c r="B299">
        <f t="shared" si="65"/>
        <v>380</v>
      </c>
      <c r="C299">
        <f t="shared" si="57"/>
        <v>31.583333333333336</v>
      </c>
      <c r="D299">
        <f t="shared" si="58"/>
        <v>0</v>
      </c>
      <c r="E299">
        <f t="shared" si="59"/>
        <v>86</v>
      </c>
      <c r="F299">
        <f>IF(C299&gt;=$J$2,0,VLOOKUP($E299,'Mortality Table'!$A$3:$C$128,2+G$2,FALSE))</f>
        <v>0</v>
      </c>
      <c r="G299">
        <f>F299*Assumptions!$B$1</f>
        <v>0</v>
      </c>
      <c r="H299">
        <f t="shared" si="60"/>
        <v>0</v>
      </c>
      <c r="I299">
        <f>HLOOKUP(C299,Assumptions!$A$6:$J$7,2,TRUE)</f>
        <v>2.6499999999999999E-2</v>
      </c>
      <c r="J299" s="22">
        <f t="shared" si="56"/>
        <v>0</v>
      </c>
      <c r="K299" s="22">
        <f t="shared" si="61"/>
        <v>0</v>
      </c>
      <c r="L299">
        <f t="shared" si="66"/>
        <v>0</v>
      </c>
      <c r="M299" s="22">
        <f t="shared" si="62"/>
        <v>0</v>
      </c>
      <c r="N299">
        <f>M298*Assumptions!$B$11/$E$2*J299</f>
        <v>0</v>
      </c>
      <c r="O299">
        <f>M298*Assumptions!$B$13/$E$2*J299</f>
        <v>0</v>
      </c>
      <c r="P299">
        <f>H299*Assumptions!$B$15</f>
        <v>0</v>
      </c>
      <c r="Q299">
        <f>O299*Assumptions!$B$17</f>
        <v>0</v>
      </c>
      <c r="R299">
        <f>HLOOKUP(B299,Assumptions!$A$26:$D$27,2,TRUE)</f>
        <v>0</v>
      </c>
      <c r="S299">
        <f t="shared" si="67"/>
        <v>0</v>
      </c>
      <c r="T299">
        <f t="shared" si="63"/>
        <v>0.5833333333333357</v>
      </c>
      <c r="U299">
        <f>IF(B299&gt;$K$2,0,IF(T300=0,0,(1-T300)*Assumptions!$B$11/$E$2*(1-Assumptions!$B$30)))</f>
        <v>0</v>
      </c>
      <c r="V299">
        <f>(N299-O299)*(1-Assumptions!$B$30)-Q299+U298*M298</f>
        <v>0</v>
      </c>
      <c r="W299">
        <f>W298*(1+Assumptions!$B$36)^(1/12)</f>
        <v>1.2697346485318861</v>
      </c>
      <c r="X299" s="19">
        <f>IF(B299&gt;$K$2,0,W298*Assumptions!$B$32/12*M298+V299*Assumptions!$B$34/12)</f>
        <v>0</v>
      </c>
      <c r="Y299" s="20">
        <f>1/(1+HLOOKUP(YEAR(A299),Assumptions!$A$41:$AL$43,3,TRUE))^(1/12)</f>
        <v>0.9978766811789459</v>
      </c>
      <c r="Z299">
        <f t="shared" si="64"/>
        <v>0</v>
      </c>
      <c r="AA299">
        <f t="shared" si="68"/>
        <v>0</v>
      </c>
    </row>
    <row r="300" spans="1:27" x14ac:dyDescent="0.2">
      <c r="A300" s="2">
        <f t="shared" si="69"/>
        <v>51897</v>
      </c>
      <c r="B300">
        <f t="shared" si="65"/>
        <v>381</v>
      </c>
      <c r="C300">
        <f t="shared" si="57"/>
        <v>31.666666666666664</v>
      </c>
      <c r="D300">
        <f t="shared" si="58"/>
        <v>0</v>
      </c>
      <c r="E300">
        <f t="shared" si="59"/>
        <v>86</v>
      </c>
      <c r="F300">
        <f>IF(C300&gt;=$J$2,0,VLOOKUP($E300,'Mortality Table'!$A$3:$C$128,2+G$2,FALSE))</f>
        <v>0</v>
      </c>
      <c r="G300">
        <f>F300*Assumptions!$B$1</f>
        <v>0</v>
      </c>
      <c r="H300">
        <f t="shared" si="60"/>
        <v>0</v>
      </c>
      <c r="I300">
        <f>HLOOKUP(C300,Assumptions!$A$6:$J$7,2,TRUE)</f>
        <v>2.6499999999999999E-2</v>
      </c>
      <c r="J300" s="22">
        <f t="shared" si="56"/>
        <v>0</v>
      </c>
      <c r="K300" s="22">
        <f t="shared" si="61"/>
        <v>0</v>
      </c>
      <c r="L300">
        <f t="shared" si="66"/>
        <v>0</v>
      </c>
      <c r="M300" s="22">
        <f t="shared" si="62"/>
        <v>0</v>
      </c>
      <c r="N300">
        <f>M299*Assumptions!$B$11/$E$2*J300</f>
        <v>0</v>
      </c>
      <c r="O300">
        <f>M299*Assumptions!$B$13/$E$2*J300</f>
        <v>0</v>
      </c>
      <c r="P300">
        <f>H300*Assumptions!$B$15</f>
        <v>0</v>
      </c>
      <c r="Q300">
        <f>O300*Assumptions!$B$17</f>
        <v>0</v>
      </c>
      <c r="R300">
        <f>HLOOKUP(B300,Assumptions!$A$26:$D$27,2,TRUE)</f>
        <v>0</v>
      </c>
      <c r="S300">
        <f t="shared" si="67"/>
        <v>0</v>
      </c>
      <c r="T300">
        <f t="shared" si="63"/>
        <v>0.6666666666666643</v>
      </c>
      <c r="U300">
        <f>IF(B300&gt;$K$2,0,IF(T301=0,0,(1-T301)*Assumptions!$B$11/$E$2*(1-Assumptions!$B$30)))</f>
        <v>0</v>
      </c>
      <c r="V300">
        <f>(N300-O300)*(1-Assumptions!$B$30)-Q300+U299*M299</f>
        <v>0</v>
      </c>
      <c r="W300">
        <f>W299*(1+Assumptions!$B$36)^(1/12)</f>
        <v>1.2707879418179493</v>
      </c>
      <c r="X300" s="19">
        <f>IF(B300&gt;$K$2,0,W299*Assumptions!$B$32/12*M299+V300*Assumptions!$B$34/12)</f>
        <v>0</v>
      </c>
      <c r="Y300" s="20">
        <f>1/(1+HLOOKUP(YEAR(A300),Assumptions!$A$41:$AL$43,3,TRUE))^(1/12)</f>
        <v>0.9978315428362301</v>
      </c>
      <c r="Z300">
        <f t="shared" si="64"/>
        <v>0</v>
      </c>
      <c r="AA300">
        <f t="shared" si="68"/>
        <v>0</v>
      </c>
    </row>
    <row r="301" spans="1:27" x14ac:dyDescent="0.2">
      <c r="A301" s="2">
        <f t="shared" si="69"/>
        <v>51925</v>
      </c>
      <c r="B301">
        <f t="shared" si="65"/>
        <v>382</v>
      </c>
      <c r="C301">
        <f t="shared" si="57"/>
        <v>31.75</v>
      </c>
      <c r="D301">
        <f t="shared" si="58"/>
        <v>0</v>
      </c>
      <c r="E301">
        <f t="shared" si="59"/>
        <v>86</v>
      </c>
      <c r="F301">
        <f>IF(C301&gt;=$J$2,0,VLOOKUP($E301,'Mortality Table'!$A$3:$C$128,2+G$2,FALSE))</f>
        <v>0</v>
      </c>
      <c r="G301">
        <f>F301*Assumptions!$B$1</f>
        <v>0</v>
      </c>
      <c r="H301">
        <f t="shared" si="60"/>
        <v>0</v>
      </c>
      <c r="I301">
        <f>HLOOKUP(C301,Assumptions!$A$6:$J$7,2,TRUE)</f>
        <v>2.6499999999999999E-2</v>
      </c>
      <c r="J301" s="22">
        <f t="shared" si="56"/>
        <v>0</v>
      </c>
      <c r="K301" s="22">
        <f t="shared" si="61"/>
        <v>0</v>
      </c>
      <c r="L301">
        <f t="shared" si="66"/>
        <v>0</v>
      </c>
      <c r="M301" s="22">
        <f t="shared" si="62"/>
        <v>0</v>
      </c>
      <c r="N301">
        <f>M300*Assumptions!$B$11/$E$2*J301</f>
        <v>0</v>
      </c>
      <c r="O301">
        <f>M300*Assumptions!$B$13/$E$2*J301</f>
        <v>0</v>
      </c>
      <c r="P301">
        <f>H301*Assumptions!$B$15</f>
        <v>0</v>
      </c>
      <c r="Q301">
        <f>O301*Assumptions!$B$17</f>
        <v>0</v>
      </c>
      <c r="R301">
        <f>HLOOKUP(B301,Assumptions!$A$26:$D$27,2,TRUE)</f>
        <v>0</v>
      </c>
      <c r="S301">
        <f t="shared" si="67"/>
        <v>0</v>
      </c>
      <c r="T301">
        <f t="shared" si="63"/>
        <v>0.75</v>
      </c>
      <c r="U301">
        <f>IF(B301&gt;$K$2,0,IF(T302=0,0,(1-T302)*Assumptions!$B$11/$E$2*(1-Assumptions!$B$30)))</f>
        <v>0</v>
      </c>
      <c r="V301">
        <f>(N301-O301)*(1-Assumptions!$B$30)-Q301+U300*M300</f>
        <v>0</v>
      </c>
      <c r="W301">
        <f>W300*(1+Assumptions!$B$36)^(1/12)</f>
        <v>1.2718421088509388</v>
      </c>
      <c r="X301" s="19">
        <f>IF(B301&gt;$K$2,0,W300*Assumptions!$B$32/12*M300+V301*Assumptions!$B$34/12)</f>
        <v>0</v>
      </c>
      <c r="Y301" s="20">
        <f>1/(1+HLOOKUP(YEAR(A301),Assumptions!$A$41:$AL$43,3,TRUE))^(1/12)</f>
        <v>0.9978315428362301</v>
      </c>
      <c r="Z301">
        <f t="shared" si="64"/>
        <v>0</v>
      </c>
      <c r="AA301">
        <f t="shared" si="68"/>
        <v>0</v>
      </c>
    </row>
    <row r="302" spans="1:27" x14ac:dyDescent="0.2">
      <c r="A302" s="2">
        <f t="shared" si="69"/>
        <v>51956</v>
      </c>
      <c r="B302">
        <f t="shared" si="65"/>
        <v>383</v>
      </c>
      <c r="C302">
        <f t="shared" si="57"/>
        <v>31.833333333333336</v>
      </c>
      <c r="D302">
        <f t="shared" si="58"/>
        <v>0</v>
      </c>
      <c r="E302">
        <f t="shared" si="59"/>
        <v>86</v>
      </c>
      <c r="F302">
        <f>IF(C302&gt;=$J$2,0,VLOOKUP($E302,'Mortality Table'!$A$3:$C$128,2+G$2,FALSE))</f>
        <v>0</v>
      </c>
      <c r="G302">
        <f>F302*Assumptions!$B$1</f>
        <v>0</v>
      </c>
      <c r="H302">
        <f t="shared" si="60"/>
        <v>0</v>
      </c>
      <c r="I302">
        <f>HLOOKUP(C302,Assumptions!$A$6:$J$7,2,TRUE)</f>
        <v>2.6499999999999999E-2</v>
      </c>
      <c r="J302" s="22">
        <f t="shared" si="56"/>
        <v>0</v>
      </c>
      <c r="K302" s="22">
        <f t="shared" si="61"/>
        <v>0</v>
      </c>
      <c r="L302">
        <f t="shared" si="66"/>
        <v>0</v>
      </c>
      <c r="M302" s="22">
        <f t="shared" si="62"/>
        <v>0</v>
      </c>
      <c r="N302">
        <f>M301*Assumptions!$B$11/$E$2*J302</f>
        <v>0</v>
      </c>
      <c r="O302">
        <f>M301*Assumptions!$B$13/$E$2*J302</f>
        <v>0</v>
      </c>
      <c r="P302">
        <f>H302*Assumptions!$B$15</f>
        <v>0</v>
      </c>
      <c r="Q302">
        <f>O302*Assumptions!$B$17</f>
        <v>0</v>
      </c>
      <c r="R302">
        <f>HLOOKUP(B302,Assumptions!$A$26:$D$27,2,TRUE)</f>
        <v>0</v>
      </c>
      <c r="S302">
        <f t="shared" si="67"/>
        <v>0</v>
      </c>
      <c r="T302">
        <f t="shared" si="63"/>
        <v>0.8333333333333357</v>
      </c>
      <c r="U302">
        <f>IF(B302&gt;$K$2,0,IF(T303=0,0,(1-T303)*Assumptions!$B$11/$E$2*(1-Assumptions!$B$30)))</f>
        <v>0</v>
      </c>
      <c r="V302">
        <f>(N302-O302)*(1-Assumptions!$B$30)-Q302+U301*M301</f>
        <v>0</v>
      </c>
      <c r="W302">
        <f>W301*(1+Assumptions!$B$36)^(1/12)</f>
        <v>1.2728971503556612</v>
      </c>
      <c r="X302" s="19">
        <f>IF(B302&gt;$K$2,0,W301*Assumptions!$B$32/12*M301+V302*Assumptions!$B$34/12)</f>
        <v>0</v>
      </c>
      <c r="Y302" s="20">
        <f>1/(1+HLOOKUP(YEAR(A302),Assumptions!$A$41:$AL$43,3,TRUE))^(1/12)</f>
        <v>0.9978315428362301</v>
      </c>
      <c r="Z302">
        <f t="shared" si="64"/>
        <v>0</v>
      </c>
      <c r="AA302">
        <f t="shared" si="68"/>
        <v>0</v>
      </c>
    </row>
    <row r="303" spans="1:27" x14ac:dyDescent="0.2">
      <c r="A303" s="2">
        <f t="shared" si="69"/>
        <v>51986</v>
      </c>
      <c r="B303">
        <f t="shared" si="65"/>
        <v>384</v>
      </c>
      <c r="C303">
        <f t="shared" si="57"/>
        <v>31.916666666666664</v>
      </c>
      <c r="D303">
        <f t="shared" si="58"/>
        <v>0</v>
      </c>
      <c r="E303">
        <f t="shared" si="59"/>
        <v>86</v>
      </c>
      <c r="F303">
        <f>IF(C303&gt;=$J$2,0,VLOOKUP($E303,'Mortality Table'!$A$3:$C$128,2+G$2,FALSE))</f>
        <v>0</v>
      </c>
      <c r="G303">
        <f>F303*Assumptions!$B$1</f>
        <v>0</v>
      </c>
      <c r="H303">
        <f t="shared" si="60"/>
        <v>0</v>
      </c>
      <c r="I303">
        <f>HLOOKUP(C303,Assumptions!$A$6:$J$7,2,TRUE)</f>
        <v>2.6499999999999999E-2</v>
      </c>
      <c r="J303" s="22">
        <f t="shared" si="56"/>
        <v>0</v>
      </c>
      <c r="K303" s="22">
        <f t="shared" si="61"/>
        <v>0</v>
      </c>
      <c r="L303">
        <f t="shared" si="66"/>
        <v>0</v>
      </c>
      <c r="M303" s="22">
        <f t="shared" si="62"/>
        <v>0</v>
      </c>
      <c r="N303">
        <f>M302*Assumptions!$B$11/$E$2*J303</f>
        <v>0</v>
      </c>
      <c r="O303">
        <f>M302*Assumptions!$B$13/$E$2*J303</f>
        <v>0</v>
      </c>
      <c r="P303">
        <f>H303*Assumptions!$B$15</f>
        <v>0</v>
      </c>
      <c r="Q303">
        <f>O303*Assumptions!$B$17</f>
        <v>0</v>
      </c>
      <c r="R303">
        <f>HLOOKUP(B303,Assumptions!$A$26:$D$27,2,TRUE)</f>
        <v>0</v>
      </c>
      <c r="S303">
        <f t="shared" si="67"/>
        <v>0</v>
      </c>
      <c r="T303">
        <f t="shared" si="63"/>
        <v>0.9166666666666643</v>
      </c>
      <c r="U303">
        <f>IF(B303&gt;$K$2,0,IF(T304=0,0,(1-T304)*Assumptions!$B$11/$E$2*(1-Assumptions!$B$30)))</f>
        <v>0</v>
      </c>
      <c r="V303">
        <f>(N303-O303)*(1-Assumptions!$B$30)-Q303+U302*M302</f>
        <v>0</v>
      </c>
      <c r="W303">
        <f>W302*(1+Assumptions!$B$36)^(1/12)</f>
        <v>1.2739530670575239</v>
      </c>
      <c r="X303" s="19">
        <f>IF(B303&gt;$K$2,0,W302*Assumptions!$B$32/12*M302+V303*Assumptions!$B$34/12)</f>
        <v>0</v>
      </c>
      <c r="Y303" s="20">
        <f>1/(1+HLOOKUP(YEAR(A303),Assumptions!$A$41:$AL$43,3,TRUE))^(1/12)</f>
        <v>0.9978315428362301</v>
      </c>
      <c r="Z303">
        <f t="shared" si="64"/>
        <v>0</v>
      </c>
      <c r="AA303">
        <f t="shared" si="68"/>
        <v>0</v>
      </c>
    </row>
    <row r="304" spans="1:27" x14ac:dyDescent="0.2">
      <c r="A304" s="2">
        <f t="shared" si="69"/>
        <v>52017</v>
      </c>
      <c r="B304">
        <f t="shared" si="65"/>
        <v>385</v>
      </c>
      <c r="C304">
        <f t="shared" si="57"/>
        <v>32</v>
      </c>
      <c r="D304">
        <f t="shared" si="58"/>
        <v>1</v>
      </c>
      <c r="E304">
        <f t="shared" si="59"/>
        <v>87</v>
      </c>
      <c r="F304">
        <f>IF(C304&gt;=$J$2,0,VLOOKUP($E304,'Mortality Table'!$A$3:$C$128,2+G$2,FALSE))</f>
        <v>0</v>
      </c>
      <c r="G304">
        <f>F304*Assumptions!$B$1</f>
        <v>0</v>
      </c>
      <c r="H304">
        <f t="shared" si="60"/>
        <v>0</v>
      </c>
      <c r="I304">
        <f>HLOOKUP(C304,Assumptions!$A$6:$J$7,2,TRUE)</f>
        <v>2.6499999999999999E-2</v>
      </c>
      <c r="J304" s="22">
        <f t="shared" si="56"/>
        <v>0</v>
      </c>
      <c r="K304" s="22">
        <f t="shared" si="61"/>
        <v>0</v>
      </c>
      <c r="L304">
        <f t="shared" si="66"/>
        <v>0</v>
      </c>
      <c r="M304" s="22">
        <f t="shared" si="62"/>
        <v>0</v>
      </c>
      <c r="N304">
        <f>M303*Assumptions!$B$11/$E$2*J304</f>
        <v>0</v>
      </c>
      <c r="O304">
        <f>M303*Assumptions!$B$13/$E$2*J304</f>
        <v>0</v>
      </c>
      <c r="P304">
        <f>H304*Assumptions!$B$15</f>
        <v>0</v>
      </c>
      <c r="Q304">
        <f>O304*Assumptions!$B$17</f>
        <v>0</v>
      </c>
      <c r="R304">
        <f>HLOOKUP(B304,Assumptions!$A$26:$D$27,2,TRUE)</f>
        <v>0</v>
      </c>
      <c r="S304">
        <f t="shared" si="67"/>
        <v>0</v>
      </c>
      <c r="T304">
        <f t="shared" si="63"/>
        <v>0</v>
      </c>
      <c r="U304">
        <f>IF(B304&gt;$K$2,0,IF(T305=0,0,(1-T305)*Assumptions!$B$11/$E$2*(1-Assumptions!$B$30)))</f>
        <v>0</v>
      </c>
      <c r="V304">
        <f>(N304-O304)*(1-Assumptions!$B$30)-Q304+U303*M303</f>
        <v>0</v>
      </c>
      <c r="W304">
        <f>W303*(1+Assumptions!$B$36)^(1/12)</f>
        <v>1.2750098596825363</v>
      </c>
      <c r="X304" s="19">
        <f>IF(B304&gt;$K$2,0,W303*Assumptions!$B$32/12*M303+V304*Assumptions!$B$34/12)</f>
        <v>0</v>
      </c>
      <c r="Y304" s="20">
        <f>1/(1+HLOOKUP(YEAR(A304),Assumptions!$A$41:$AL$43,3,TRUE))^(1/12)</f>
        <v>0.9978315428362301</v>
      </c>
      <c r="Z304">
        <f t="shared" si="64"/>
        <v>0</v>
      </c>
      <c r="AA304">
        <f t="shared" si="68"/>
        <v>0</v>
      </c>
    </row>
    <row r="305" spans="1:27" x14ac:dyDescent="0.2">
      <c r="A305" s="2">
        <f t="shared" si="69"/>
        <v>52047</v>
      </c>
      <c r="B305">
        <f t="shared" si="65"/>
        <v>386</v>
      </c>
      <c r="C305">
        <f t="shared" si="57"/>
        <v>32.083333333333336</v>
      </c>
      <c r="D305">
        <f t="shared" si="58"/>
        <v>0</v>
      </c>
      <c r="E305">
        <f t="shared" si="59"/>
        <v>87</v>
      </c>
      <c r="F305">
        <f>IF(C305&gt;=$J$2,0,VLOOKUP($E305,'Mortality Table'!$A$3:$C$128,2+G$2,FALSE))</f>
        <v>0</v>
      </c>
      <c r="G305">
        <f>F305*Assumptions!$B$1</f>
        <v>0</v>
      </c>
      <c r="H305">
        <f t="shared" si="60"/>
        <v>0</v>
      </c>
      <c r="I305">
        <f>HLOOKUP(C305,Assumptions!$A$6:$J$7,2,TRUE)</f>
        <v>2.6499999999999999E-2</v>
      </c>
      <c r="J305" s="22">
        <f t="shared" si="56"/>
        <v>0</v>
      </c>
      <c r="K305" s="22">
        <f t="shared" si="61"/>
        <v>0</v>
      </c>
      <c r="L305">
        <f t="shared" si="66"/>
        <v>0</v>
      </c>
      <c r="M305" s="22">
        <f t="shared" si="62"/>
        <v>0</v>
      </c>
      <c r="N305">
        <f>M304*Assumptions!$B$11/$E$2*J305</f>
        <v>0</v>
      </c>
      <c r="O305">
        <f>M304*Assumptions!$B$13/$E$2*J305</f>
        <v>0</v>
      </c>
      <c r="P305">
        <f>H305*Assumptions!$B$15</f>
        <v>0</v>
      </c>
      <c r="Q305">
        <f>O305*Assumptions!$B$17</f>
        <v>0</v>
      </c>
      <c r="R305">
        <f>HLOOKUP(B305,Assumptions!$A$26:$D$27,2,TRUE)</f>
        <v>0</v>
      </c>
      <c r="S305">
        <f t="shared" si="67"/>
        <v>0</v>
      </c>
      <c r="T305">
        <f t="shared" si="63"/>
        <v>8.3333333333335702E-2</v>
      </c>
      <c r="U305">
        <f>IF(B305&gt;$K$2,0,IF(T306=0,0,(1-T306)*Assumptions!$B$11/$E$2*(1-Assumptions!$B$30)))</f>
        <v>0</v>
      </c>
      <c r="V305">
        <f>(N305-O305)*(1-Assumptions!$B$30)-Q305+U304*M304</f>
        <v>0</v>
      </c>
      <c r="W305">
        <f>W304*(1+Assumptions!$B$36)^(1/12)</f>
        <v>1.2760675289573102</v>
      </c>
      <c r="X305" s="19">
        <f>IF(B305&gt;$K$2,0,W304*Assumptions!$B$32/12*M304+V305*Assumptions!$B$34/12)</f>
        <v>0</v>
      </c>
      <c r="Y305" s="20">
        <f>1/(1+HLOOKUP(YEAR(A305),Assumptions!$A$41:$AL$43,3,TRUE))^(1/12)</f>
        <v>0.9978315428362301</v>
      </c>
      <c r="Z305">
        <f t="shared" si="64"/>
        <v>0</v>
      </c>
      <c r="AA305">
        <f t="shared" si="68"/>
        <v>0</v>
      </c>
    </row>
    <row r="306" spans="1:27" x14ac:dyDescent="0.2">
      <c r="A306" s="2">
        <f t="shared" si="69"/>
        <v>52078</v>
      </c>
      <c r="B306">
        <f t="shared" si="65"/>
        <v>387</v>
      </c>
      <c r="C306">
        <f t="shared" si="57"/>
        <v>32.166666666666664</v>
      </c>
      <c r="D306">
        <f t="shared" si="58"/>
        <v>0</v>
      </c>
      <c r="E306">
        <f t="shared" si="59"/>
        <v>87</v>
      </c>
      <c r="F306">
        <f>IF(C306&gt;=$J$2,0,VLOOKUP($E306,'Mortality Table'!$A$3:$C$128,2+G$2,FALSE))</f>
        <v>0</v>
      </c>
      <c r="G306">
        <f>F306*Assumptions!$B$1</f>
        <v>0</v>
      </c>
      <c r="H306">
        <f t="shared" si="60"/>
        <v>0</v>
      </c>
      <c r="I306">
        <f>HLOOKUP(C306,Assumptions!$A$6:$J$7,2,TRUE)</f>
        <v>2.6499999999999999E-2</v>
      </c>
      <c r="J306" s="22">
        <f t="shared" si="56"/>
        <v>0</v>
      </c>
      <c r="K306" s="22">
        <f t="shared" si="61"/>
        <v>0</v>
      </c>
      <c r="L306">
        <f t="shared" si="66"/>
        <v>0</v>
      </c>
      <c r="M306" s="22">
        <f t="shared" si="62"/>
        <v>0</v>
      </c>
      <c r="N306">
        <f>M305*Assumptions!$B$11/$E$2*J306</f>
        <v>0</v>
      </c>
      <c r="O306">
        <f>M305*Assumptions!$B$13/$E$2*J306</f>
        <v>0</v>
      </c>
      <c r="P306">
        <f>H306*Assumptions!$B$15</f>
        <v>0</v>
      </c>
      <c r="Q306">
        <f>O306*Assumptions!$B$17</f>
        <v>0</v>
      </c>
      <c r="R306">
        <f>HLOOKUP(B306,Assumptions!$A$26:$D$27,2,TRUE)</f>
        <v>0</v>
      </c>
      <c r="S306">
        <f t="shared" si="67"/>
        <v>0</v>
      </c>
      <c r="T306">
        <f t="shared" si="63"/>
        <v>0.1666666666666643</v>
      </c>
      <c r="U306">
        <f>IF(B306&gt;$K$2,0,IF(T307=0,0,(1-T307)*Assumptions!$B$11/$E$2*(1-Assumptions!$B$30)))</f>
        <v>0</v>
      </c>
      <c r="V306">
        <f>(N306-O306)*(1-Assumptions!$B$30)-Q306+U305*M305</f>
        <v>0</v>
      </c>
      <c r="W306">
        <f>W305*(1+Assumptions!$B$36)^(1/12)</f>
        <v>1.2771260756090599</v>
      </c>
      <c r="X306" s="19">
        <f>IF(B306&gt;$K$2,0,W305*Assumptions!$B$32/12*M305+V306*Assumptions!$B$34/12)</f>
        <v>0</v>
      </c>
      <c r="Y306" s="20">
        <f>1/(1+HLOOKUP(YEAR(A306),Assumptions!$A$41:$AL$43,3,TRUE))^(1/12)</f>
        <v>0.9978315428362301</v>
      </c>
      <c r="Z306">
        <f t="shared" si="64"/>
        <v>0</v>
      </c>
      <c r="AA306">
        <f t="shared" si="68"/>
        <v>0</v>
      </c>
    </row>
    <row r="307" spans="1:27" x14ac:dyDescent="0.2">
      <c r="A307" s="2">
        <f t="shared" si="69"/>
        <v>52109</v>
      </c>
      <c r="B307">
        <f t="shared" si="65"/>
        <v>388</v>
      </c>
      <c r="C307">
        <f t="shared" si="57"/>
        <v>32.25</v>
      </c>
      <c r="D307">
        <f t="shared" si="58"/>
        <v>0</v>
      </c>
      <c r="E307">
        <f t="shared" si="59"/>
        <v>87</v>
      </c>
      <c r="F307">
        <f>IF(C307&gt;=$J$2,0,VLOOKUP($E307,'Mortality Table'!$A$3:$C$128,2+G$2,FALSE))</f>
        <v>0</v>
      </c>
      <c r="G307">
        <f>F307*Assumptions!$B$1</f>
        <v>0</v>
      </c>
      <c r="H307">
        <f t="shared" si="60"/>
        <v>0</v>
      </c>
      <c r="I307">
        <f>HLOOKUP(C307,Assumptions!$A$6:$J$7,2,TRUE)</f>
        <v>2.6499999999999999E-2</v>
      </c>
      <c r="J307" s="22">
        <f t="shared" si="56"/>
        <v>0</v>
      </c>
      <c r="K307" s="22">
        <f t="shared" si="61"/>
        <v>0</v>
      </c>
      <c r="L307">
        <f t="shared" si="66"/>
        <v>0</v>
      </c>
      <c r="M307" s="22">
        <f t="shared" si="62"/>
        <v>0</v>
      </c>
      <c r="N307">
        <f>M306*Assumptions!$B$11/$E$2*J307</f>
        <v>0</v>
      </c>
      <c r="O307">
        <f>M306*Assumptions!$B$13/$E$2*J307</f>
        <v>0</v>
      </c>
      <c r="P307">
        <f>H307*Assumptions!$B$15</f>
        <v>0</v>
      </c>
      <c r="Q307">
        <f>O307*Assumptions!$B$17</f>
        <v>0</v>
      </c>
      <c r="R307">
        <f>HLOOKUP(B307,Assumptions!$A$26:$D$27,2,TRUE)</f>
        <v>0</v>
      </c>
      <c r="S307">
        <f t="shared" si="67"/>
        <v>0</v>
      </c>
      <c r="T307">
        <f t="shared" si="63"/>
        <v>0.25</v>
      </c>
      <c r="U307">
        <f>IF(B307&gt;$K$2,0,IF(T308=0,0,(1-T308)*Assumptions!$B$11/$E$2*(1-Assumptions!$B$30)))</f>
        <v>0</v>
      </c>
      <c r="V307">
        <f>(N307-O307)*(1-Assumptions!$B$30)-Q307+U306*M306</f>
        <v>0</v>
      </c>
      <c r="W307">
        <f>W306*(1+Assumptions!$B$36)^(1/12)</f>
        <v>1.2781855003656029</v>
      </c>
      <c r="X307" s="19">
        <f>IF(B307&gt;$K$2,0,W306*Assumptions!$B$32/12*M306+V307*Assumptions!$B$34/12)</f>
        <v>0</v>
      </c>
      <c r="Y307" s="20">
        <f>1/(1+HLOOKUP(YEAR(A307),Assumptions!$A$41:$AL$43,3,TRUE))^(1/12)</f>
        <v>0.9978315428362301</v>
      </c>
      <c r="Z307">
        <f t="shared" si="64"/>
        <v>0</v>
      </c>
      <c r="AA307">
        <f t="shared" si="68"/>
        <v>0</v>
      </c>
    </row>
    <row r="308" spans="1:27" x14ac:dyDescent="0.2">
      <c r="A308" s="2">
        <f t="shared" si="69"/>
        <v>52139</v>
      </c>
      <c r="B308">
        <f t="shared" si="65"/>
        <v>389</v>
      </c>
      <c r="C308">
        <f t="shared" si="57"/>
        <v>32.333333333333336</v>
      </c>
      <c r="D308">
        <f t="shared" si="58"/>
        <v>0</v>
      </c>
      <c r="E308">
        <f t="shared" si="59"/>
        <v>87</v>
      </c>
      <c r="F308">
        <f>IF(C308&gt;=$J$2,0,VLOOKUP($E308,'Mortality Table'!$A$3:$C$128,2+G$2,FALSE))</f>
        <v>0</v>
      </c>
      <c r="G308">
        <f>F308*Assumptions!$B$1</f>
        <v>0</v>
      </c>
      <c r="H308">
        <f t="shared" si="60"/>
        <v>0</v>
      </c>
      <c r="I308">
        <f>HLOOKUP(C308,Assumptions!$A$6:$J$7,2,TRUE)</f>
        <v>2.6499999999999999E-2</v>
      </c>
      <c r="J308" s="22">
        <f t="shared" si="56"/>
        <v>0</v>
      </c>
      <c r="K308" s="22">
        <f t="shared" si="61"/>
        <v>0</v>
      </c>
      <c r="L308">
        <f t="shared" si="66"/>
        <v>0</v>
      </c>
      <c r="M308" s="22">
        <f t="shared" si="62"/>
        <v>0</v>
      </c>
      <c r="N308">
        <f>M307*Assumptions!$B$11/$E$2*J308</f>
        <v>0</v>
      </c>
      <c r="O308">
        <f>M307*Assumptions!$B$13/$E$2*J308</f>
        <v>0</v>
      </c>
      <c r="P308">
        <f>H308*Assumptions!$B$15</f>
        <v>0</v>
      </c>
      <c r="Q308">
        <f>O308*Assumptions!$B$17</f>
        <v>0</v>
      </c>
      <c r="R308">
        <f>HLOOKUP(B308,Assumptions!$A$26:$D$27,2,TRUE)</f>
        <v>0</v>
      </c>
      <c r="S308">
        <f t="shared" si="67"/>
        <v>0</v>
      </c>
      <c r="T308">
        <f t="shared" si="63"/>
        <v>0.3333333333333357</v>
      </c>
      <c r="U308">
        <f>IF(B308&gt;$K$2,0,IF(T309=0,0,(1-T309)*Assumptions!$B$11/$E$2*(1-Assumptions!$B$30)))</f>
        <v>0</v>
      </c>
      <c r="V308">
        <f>(N308-O308)*(1-Assumptions!$B$30)-Q308+U307*M307</f>
        <v>0</v>
      </c>
      <c r="W308">
        <f>W307*(1+Assumptions!$B$36)^(1/12)</f>
        <v>1.2792458039553607</v>
      </c>
      <c r="X308" s="19">
        <f>IF(B308&gt;$K$2,0,W307*Assumptions!$B$32/12*M307+V308*Assumptions!$B$34/12)</f>
        <v>0</v>
      </c>
      <c r="Y308" s="20">
        <f>1/(1+HLOOKUP(YEAR(A308),Assumptions!$A$41:$AL$43,3,TRUE))^(1/12)</f>
        <v>0.9978315428362301</v>
      </c>
      <c r="Z308">
        <f t="shared" si="64"/>
        <v>0</v>
      </c>
      <c r="AA308">
        <f t="shared" si="68"/>
        <v>0</v>
      </c>
    </row>
    <row r="309" spans="1:27" x14ac:dyDescent="0.2">
      <c r="A309" s="2">
        <f t="shared" si="69"/>
        <v>52170</v>
      </c>
      <c r="B309">
        <f t="shared" si="65"/>
        <v>390</v>
      </c>
      <c r="C309">
        <f t="shared" si="57"/>
        <v>32.416666666666664</v>
      </c>
      <c r="D309">
        <f t="shared" si="58"/>
        <v>0</v>
      </c>
      <c r="E309">
        <f t="shared" si="59"/>
        <v>87</v>
      </c>
      <c r="F309">
        <f>IF(C309&gt;=$J$2,0,VLOOKUP($E309,'Mortality Table'!$A$3:$C$128,2+G$2,FALSE))</f>
        <v>0</v>
      </c>
      <c r="G309">
        <f>F309*Assumptions!$B$1</f>
        <v>0</v>
      </c>
      <c r="H309">
        <f t="shared" si="60"/>
        <v>0</v>
      </c>
      <c r="I309">
        <f>HLOOKUP(C309,Assumptions!$A$6:$J$7,2,TRUE)</f>
        <v>2.6499999999999999E-2</v>
      </c>
      <c r="J309" s="22">
        <f t="shared" si="56"/>
        <v>0</v>
      </c>
      <c r="K309" s="22">
        <f t="shared" si="61"/>
        <v>0</v>
      </c>
      <c r="L309">
        <f t="shared" si="66"/>
        <v>0</v>
      </c>
      <c r="M309" s="22">
        <f t="shared" si="62"/>
        <v>0</v>
      </c>
      <c r="N309">
        <f>M308*Assumptions!$B$11/$E$2*J309</f>
        <v>0</v>
      </c>
      <c r="O309">
        <f>M308*Assumptions!$B$13/$E$2*J309</f>
        <v>0</v>
      </c>
      <c r="P309">
        <f>H309*Assumptions!$B$15</f>
        <v>0</v>
      </c>
      <c r="Q309">
        <f>O309*Assumptions!$B$17</f>
        <v>0</v>
      </c>
      <c r="R309">
        <f>HLOOKUP(B309,Assumptions!$A$26:$D$27,2,TRUE)</f>
        <v>0</v>
      </c>
      <c r="S309">
        <f t="shared" si="67"/>
        <v>0</v>
      </c>
      <c r="T309">
        <f t="shared" si="63"/>
        <v>0.4166666666666643</v>
      </c>
      <c r="U309">
        <f>IF(B309&gt;$K$2,0,IF(T310=0,0,(1-T310)*Assumptions!$B$11/$E$2*(1-Assumptions!$B$30)))</f>
        <v>0</v>
      </c>
      <c r="V309">
        <f>(N309-O309)*(1-Assumptions!$B$30)-Q309+U308*M308</f>
        <v>0</v>
      </c>
      <c r="W309">
        <f>W308*(1+Assumptions!$B$36)^(1/12)</f>
        <v>1.2803069871073591</v>
      </c>
      <c r="X309" s="19">
        <f>IF(B309&gt;$K$2,0,W308*Assumptions!$B$32/12*M308+V309*Assumptions!$B$34/12)</f>
        <v>0</v>
      </c>
      <c r="Y309" s="20">
        <f>1/(1+HLOOKUP(YEAR(A309),Assumptions!$A$41:$AL$43,3,TRUE))^(1/12)</f>
        <v>0.9978315428362301</v>
      </c>
      <c r="Z309">
        <f t="shared" si="64"/>
        <v>0</v>
      </c>
      <c r="AA309">
        <f t="shared" si="68"/>
        <v>0</v>
      </c>
    </row>
    <row r="310" spans="1:27" x14ac:dyDescent="0.2">
      <c r="A310" s="2">
        <f t="shared" si="69"/>
        <v>52200</v>
      </c>
      <c r="B310">
        <f t="shared" si="65"/>
        <v>391</v>
      </c>
      <c r="C310">
        <f t="shared" si="57"/>
        <v>32.5</v>
      </c>
      <c r="D310">
        <f t="shared" si="58"/>
        <v>0</v>
      </c>
      <c r="E310">
        <f t="shared" si="59"/>
        <v>87</v>
      </c>
      <c r="F310">
        <f>IF(C310&gt;=$J$2,0,VLOOKUP($E310,'Mortality Table'!$A$3:$C$128,2+G$2,FALSE))</f>
        <v>0</v>
      </c>
      <c r="G310">
        <f>F310*Assumptions!$B$1</f>
        <v>0</v>
      </c>
      <c r="H310">
        <f t="shared" si="60"/>
        <v>0</v>
      </c>
      <c r="I310">
        <f>HLOOKUP(C310,Assumptions!$A$6:$J$7,2,TRUE)</f>
        <v>2.6499999999999999E-2</v>
      </c>
      <c r="J310" s="22">
        <f t="shared" si="56"/>
        <v>0</v>
      </c>
      <c r="K310" s="22">
        <f t="shared" si="61"/>
        <v>0</v>
      </c>
      <c r="L310">
        <f t="shared" si="66"/>
        <v>0</v>
      </c>
      <c r="M310" s="22">
        <f t="shared" si="62"/>
        <v>0</v>
      </c>
      <c r="N310">
        <f>M309*Assumptions!$B$11/$E$2*J310</f>
        <v>0</v>
      </c>
      <c r="O310">
        <f>M309*Assumptions!$B$13/$E$2*J310</f>
        <v>0</v>
      </c>
      <c r="P310">
        <f>H310*Assumptions!$B$15</f>
        <v>0</v>
      </c>
      <c r="Q310">
        <f>O310*Assumptions!$B$17</f>
        <v>0</v>
      </c>
      <c r="R310">
        <f>HLOOKUP(B310,Assumptions!$A$26:$D$27,2,TRUE)</f>
        <v>0</v>
      </c>
      <c r="S310">
        <f t="shared" si="67"/>
        <v>0</v>
      </c>
      <c r="T310">
        <f t="shared" si="63"/>
        <v>0.5</v>
      </c>
      <c r="U310">
        <f>IF(B310&gt;$K$2,0,IF(T311=0,0,(1-T311)*Assumptions!$B$11/$E$2*(1-Assumptions!$B$30)))</f>
        <v>0</v>
      </c>
      <c r="V310">
        <f>(N310-O310)*(1-Assumptions!$B$30)-Q310+U309*M309</f>
        <v>0</v>
      </c>
      <c r="W310">
        <f>W309*(1+Assumptions!$B$36)^(1/12)</f>
        <v>1.2813690505512283</v>
      </c>
      <c r="X310" s="19">
        <f>IF(B310&gt;$K$2,0,W309*Assumptions!$B$32/12*M309+V310*Assumptions!$B$34/12)</f>
        <v>0</v>
      </c>
      <c r="Y310" s="20">
        <f>1/(1+HLOOKUP(YEAR(A310),Assumptions!$A$41:$AL$43,3,TRUE))^(1/12)</f>
        <v>0.9978315428362301</v>
      </c>
      <c r="Z310">
        <f t="shared" si="64"/>
        <v>0</v>
      </c>
      <c r="AA310">
        <f t="shared" si="68"/>
        <v>0</v>
      </c>
    </row>
    <row r="311" spans="1:27" x14ac:dyDescent="0.2">
      <c r="A311" s="2">
        <f t="shared" si="69"/>
        <v>52231</v>
      </c>
      <c r="B311">
        <f t="shared" si="65"/>
        <v>392</v>
      </c>
      <c r="C311">
        <f t="shared" si="57"/>
        <v>32.583333333333336</v>
      </c>
      <c r="D311">
        <f t="shared" si="58"/>
        <v>0</v>
      </c>
      <c r="E311">
        <f t="shared" si="59"/>
        <v>87</v>
      </c>
      <c r="F311">
        <f>IF(C311&gt;=$J$2,0,VLOOKUP($E311,'Mortality Table'!$A$3:$C$128,2+G$2,FALSE))</f>
        <v>0</v>
      </c>
      <c r="G311">
        <f>F311*Assumptions!$B$1</f>
        <v>0</v>
      </c>
      <c r="H311">
        <f t="shared" si="60"/>
        <v>0</v>
      </c>
      <c r="I311">
        <f>HLOOKUP(C311,Assumptions!$A$6:$J$7,2,TRUE)</f>
        <v>2.6499999999999999E-2</v>
      </c>
      <c r="J311" s="22">
        <f t="shared" si="56"/>
        <v>0</v>
      </c>
      <c r="K311" s="22">
        <f t="shared" si="61"/>
        <v>0</v>
      </c>
      <c r="L311">
        <f t="shared" si="66"/>
        <v>0</v>
      </c>
      <c r="M311" s="22">
        <f t="shared" si="62"/>
        <v>0</v>
      </c>
      <c r="N311">
        <f>M310*Assumptions!$B$11/$E$2*J311</f>
        <v>0</v>
      </c>
      <c r="O311">
        <f>M310*Assumptions!$B$13/$E$2*J311</f>
        <v>0</v>
      </c>
      <c r="P311">
        <f>H311*Assumptions!$B$15</f>
        <v>0</v>
      </c>
      <c r="Q311">
        <f>O311*Assumptions!$B$17</f>
        <v>0</v>
      </c>
      <c r="R311">
        <f>HLOOKUP(B311,Assumptions!$A$26:$D$27,2,TRUE)</f>
        <v>0</v>
      </c>
      <c r="S311">
        <f t="shared" si="67"/>
        <v>0</v>
      </c>
      <c r="T311">
        <f t="shared" si="63"/>
        <v>0.5833333333333357</v>
      </c>
      <c r="U311">
        <f>IF(B311&gt;$K$2,0,IF(T312=0,0,(1-T312)*Assumptions!$B$11/$E$2*(1-Assumptions!$B$30)))</f>
        <v>0</v>
      </c>
      <c r="V311">
        <f>(N311-O311)*(1-Assumptions!$B$30)-Q311+U310*M310</f>
        <v>0</v>
      </c>
      <c r="W311">
        <f>W310*(1+Assumptions!$B$36)^(1/12)</f>
        <v>1.2824319950172041</v>
      </c>
      <c r="X311" s="19">
        <f>IF(B311&gt;$K$2,0,W310*Assumptions!$B$32/12*M310+V311*Assumptions!$B$34/12)</f>
        <v>0</v>
      </c>
      <c r="Y311" s="20">
        <f>1/(1+HLOOKUP(YEAR(A311),Assumptions!$A$41:$AL$43,3,TRUE))^(1/12)</f>
        <v>0.9978315428362301</v>
      </c>
      <c r="Z311">
        <f t="shared" si="64"/>
        <v>0</v>
      </c>
      <c r="AA311">
        <f t="shared" si="68"/>
        <v>0</v>
      </c>
    </row>
    <row r="312" spans="1:27" x14ac:dyDescent="0.2">
      <c r="A312" s="2">
        <f t="shared" si="69"/>
        <v>52262</v>
      </c>
      <c r="B312">
        <f t="shared" si="65"/>
        <v>393</v>
      </c>
      <c r="C312">
        <f t="shared" si="57"/>
        <v>32.666666666666664</v>
      </c>
      <c r="D312">
        <f t="shared" si="58"/>
        <v>0</v>
      </c>
      <c r="E312">
        <f t="shared" si="59"/>
        <v>87</v>
      </c>
      <c r="F312">
        <f>IF(C312&gt;=$J$2,0,VLOOKUP($E312,'Mortality Table'!$A$3:$C$128,2+G$2,FALSE))</f>
        <v>0</v>
      </c>
      <c r="G312">
        <f>F312*Assumptions!$B$1</f>
        <v>0</v>
      </c>
      <c r="H312">
        <f t="shared" si="60"/>
        <v>0</v>
      </c>
      <c r="I312">
        <f>HLOOKUP(C312,Assumptions!$A$6:$J$7,2,TRUE)</f>
        <v>2.6499999999999999E-2</v>
      </c>
      <c r="J312" s="22">
        <f t="shared" si="56"/>
        <v>0</v>
      </c>
      <c r="K312" s="22">
        <f t="shared" si="61"/>
        <v>0</v>
      </c>
      <c r="L312">
        <f t="shared" si="66"/>
        <v>0</v>
      </c>
      <c r="M312" s="22">
        <f t="shared" si="62"/>
        <v>0</v>
      </c>
      <c r="N312">
        <f>M311*Assumptions!$B$11/$E$2*J312</f>
        <v>0</v>
      </c>
      <c r="O312">
        <f>M311*Assumptions!$B$13/$E$2*J312</f>
        <v>0</v>
      </c>
      <c r="P312">
        <f>H312*Assumptions!$B$15</f>
        <v>0</v>
      </c>
      <c r="Q312">
        <f>O312*Assumptions!$B$17</f>
        <v>0</v>
      </c>
      <c r="R312">
        <f>HLOOKUP(B312,Assumptions!$A$26:$D$27,2,TRUE)</f>
        <v>0</v>
      </c>
      <c r="S312">
        <f t="shared" si="67"/>
        <v>0</v>
      </c>
      <c r="T312">
        <f t="shared" si="63"/>
        <v>0.6666666666666643</v>
      </c>
      <c r="U312">
        <f>IF(B312&gt;$K$2,0,IF(T313=0,0,(1-T313)*Assumptions!$B$11/$E$2*(1-Assumptions!$B$30)))</f>
        <v>0</v>
      </c>
      <c r="V312">
        <f>(N312-O312)*(1-Assumptions!$B$30)-Q312+U311*M311</f>
        <v>0</v>
      </c>
      <c r="W312">
        <f>W311*(1+Assumptions!$B$36)^(1/12)</f>
        <v>1.2834958212361278</v>
      </c>
      <c r="X312" s="19">
        <f>IF(B312&gt;$K$2,0,W311*Assumptions!$B$32/12*M311+V312*Assumptions!$B$34/12)</f>
        <v>0</v>
      </c>
      <c r="Y312" s="20">
        <f>1/(1+HLOOKUP(YEAR(A312),Assumptions!$A$41:$AL$43,3,TRUE))^(1/12)</f>
        <v>0.99777210122039961</v>
      </c>
      <c r="Z312">
        <f t="shared" si="64"/>
        <v>0</v>
      </c>
      <c r="AA312">
        <f t="shared" si="68"/>
        <v>0</v>
      </c>
    </row>
    <row r="313" spans="1:27" x14ac:dyDescent="0.2">
      <c r="A313" s="2">
        <f t="shared" si="69"/>
        <v>52290</v>
      </c>
      <c r="B313">
        <f t="shared" si="65"/>
        <v>394</v>
      </c>
      <c r="C313">
        <f t="shared" si="57"/>
        <v>32.75</v>
      </c>
      <c r="D313">
        <f t="shared" si="58"/>
        <v>0</v>
      </c>
      <c r="E313">
        <f t="shared" si="59"/>
        <v>87</v>
      </c>
      <c r="F313">
        <f>IF(C313&gt;=$J$2,0,VLOOKUP($E313,'Mortality Table'!$A$3:$C$128,2+G$2,FALSE))</f>
        <v>0</v>
      </c>
      <c r="G313">
        <f>F313*Assumptions!$B$1</f>
        <v>0</v>
      </c>
      <c r="H313">
        <f t="shared" si="60"/>
        <v>0</v>
      </c>
      <c r="I313">
        <f>HLOOKUP(C313,Assumptions!$A$6:$J$7,2,TRUE)</f>
        <v>2.6499999999999999E-2</v>
      </c>
      <c r="J313" s="22">
        <f t="shared" si="56"/>
        <v>0</v>
      </c>
      <c r="K313" s="22">
        <f t="shared" si="61"/>
        <v>0</v>
      </c>
      <c r="L313">
        <f t="shared" si="66"/>
        <v>0</v>
      </c>
      <c r="M313" s="22">
        <f t="shared" si="62"/>
        <v>0</v>
      </c>
      <c r="N313">
        <f>M312*Assumptions!$B$11/$E$2*J313</f>
        <v>0</v>
      </c>
      <c r="O313">
        <f>M312*Assumptions!$B$13/$E$2*J313</f>
        <v>0</v>
      </c>
      <c r="P313">
        <f>H313*Assumptions!$B$15</f>
        <v>0</v>
      </c>
      <c r="Q313">
        <f>O313*Assumptions!$B$17</f>
        <v>0</v>
      </c>
      <c r="R313">
        <f>HLOOKUP(B313,Assumptions!$A$26:$D$27,2,TRUE)</f>
        <v>0</v>
      </c>
      <c r="S313">
        <f t="shared" si="67"/>
        <v>0</v>
      </c>
      <c r="T313">
        <f t="shared" si="63"/>
        <v>0.75</v>
      </c>
      <c r="U313">
        <f>IF(B313&gt;$K$2,0,IF(T314=0,0,(1-T314)*Assumptions!$B$11/$E$2*(1-Assumptions!$B$30)))</f>
        <v>0</v>
      </c>
      <c r="V313">
        <f>(N313-O313)*(1-Assumptions!$B$30)-Q313+U312*M312</f>
        <v>0</v>
      </c>
      <c r="W313">
        <f>W312*(1+Assumptions!$B$36)^(1/12)</f>
        <v>1.2845605299394471</v>
      </c>
      <c r="X313" s="19">
        <f>IF(B313&gt;$K$2,0,W312*Assumptions!$B$32/12*M312+V313*Assumptions!$B$34/12)</f>
        <v>0</v>
      </c>
      <c r="Y313" s="20">
        <f>1/(1+HLOOKUP(YEAR(A313),Assumptions!$A$41:$AL$43,3,TRUE))^(1/12)</f>
        <v>0.99777210122039961</v>
      </c>
      <c r="Z313">
        <f t="shared" si="64"/>
        <v>0</v>
      </c>
      <c r="AA313">
        <f t="shared" si="68"/>
        <v>0</v>
      </c>
    </row>
    <row r="314" spans="1:27" x14ac:dyDescent="0.2">
      <c r="A314" s="2">
        <f t="shared" si="69"/>
        <v>52321</v>
      </c>
      <c r="B314">
        <f t="shared" si="65"/>
        <v>395</v>
      </c>
      <c r="C314">
        <f t="shared" si="57"/>
        <v>32.833333333333336</v>
      </c>
      <c r="D314">
        <f t="shared" si="58"/>
        <v>0</v>
      </c>
      <c r="E314">
        <f t="shared" si="59"/>
        <v>87</v>
      </c>
      <c r="F314">
        <f>IF(C314&gt;=$J$2,0,VLOOKUP($E314,'Mortality Table'!$A$3:$C$128,2+G$2,FALSE))</f>
        <v>0</v>
      </c>
      <c r="G314">
        <f>F314*Assumptions!$B$1</f>
        <v>0</v>
      </c>
      <c r="H314">
        <f t="shared" si="60"/>
        <v>0</v>
      </c>
      <c r="I314">
        <f>HLOOKUP(C314,Assumptions!$A$6:$J$7,2,TRUE)</f>
        <v>2.6499999999999999E-2</v>
      </c>
      <c r="J314" s="22">
        <f t="shared" si="56"/>
        <v>0</v>
      </c>
      <c r="K314" s="22">
        <f t="shared" si="61"/>
        <v>0</v>
      </c>
      <c r="L314">
        <f t="shared" si="66"/>
        <v>0</v>
      </c>
      <c r="M314" s="22">
        <f t="shared" si="62"/>
        <v>0</v>
      </c>
      <c r="N314">
        <f>M313*Assumptions!$B$11/$E$2*J314</f>
        <v>0</v>
      </c>
      <c r="O314">
        <f>M313*Assumptions!$B$13/$E$2*J314</f>
        <v>0</v>
      </c>
      <c r="P314">
        <f>H314*Assumptions!$B$15</f>
        <v>0</v>
      </c>
      <c r="Q314">
        <f>O314*Assumptions!$B$17</f>
        <v>0</v>
      </c>
      <c r="R314">
        <f>HLOOKUP(B314,Assumptions!$A$26:$D$27,2,TRUE)</f>
        <v>0</v>
      </c>
      <c r="S314">
        <f t="shared" si="67"/>
        <v>0</v>
      </c>
      <c r="T314">
        <f t="shared" si="63"/>
        <v>0.8333333333333357</v>
      </c>
      <c r="U314">
        <f>IF(B314&gt;$K$2,0,IF(T315=0,0,(1-T315)*Assumptions!$B$11/$E$2*(1-Assumptions!$B$30)))</f>
        <v>0</v>
      </c>
      <c r="V314">
        <f>(N314-O314)*(1-Assumptions!$B$30)-Q314+U313*M313</f>
        <v>0</v>
      </c>
      <c r="W314">
        <f>W313*(1+Assumptions!$B$36)^(1/12)</f>
        <v>1.2856261218592167</v>
      </c>
      <c r="X314" s="19">
        <f>IF(B314&gt;$K$2,0,W313*Assumptions!$B$32/12*M313+V314*Assumptions!$B$34/12)</f>
        <v>0</v>
      </c>
      <c r="Y314" s="20">
        <f>1/(1+HLOOKUP(YEAR(A314),Assumptions!$A$41:$AL$43,3,TRUE))^(1/12)</f>
        <v>0.99777210122039961</v>
      </c>
      <c r="Z314">
        <f t="shared" si="64"/>
        <v>0</v>
      </c>
      <c r="AA314">
        <f t="shared" si="68"/>
        <v>0</v>
      </c>
    </row>
    <row r="315" spans="1:27" x14ac:dyDescent="0.2">
      <c r="A315" s="2">
        <f t="shared" si="69"/>
        <v>52351</v>
      </c>
      <c r="B315">
        <f t="shared" si="65"/>
        <v>396</v>
      </c>
      <c r="C315">
        <f t="shared" si="57"/>
        <v>32.916666666666664</v>
      </c>
      <c r="D315">
        <f t="shared" si="58"/>
        <v>0</v>
      </c>
      <c r="E315">
        <f t="shared" si="59"/>
        <v>87</v>
      </c>
      <c r="F315">
        <f>IF(C315&gt;=$J$2,0,VLOOKUP($E315,'Mortality Table'!$A$3:$C$128,2+G$2,FALSE))</f>
        <v>0</v>
      </c>
      <c r="G315">
        <f>F315*Assumptions!$B$1</f>
        <v>0</v>
      </c>
      <c r="H315">
        <f t="shared" si="60"/>
        <v>0</v>
      </c>
      <c r="I315">
        <f>HLOOKUP(C315,Assumptions!$A$6:$J$7,2,TRUE)</f>
        <v>2.6499999999999999E-2</v>
      </c>
      <c r="J315" s="22">
        <f t="shared" si="56"/>
        <v>0</v>
      </c>
      <c r="K315" s="22">
        <f t="shared" si="61"/>
        <v>0</v>
      </c>
      <c r="L315">
        <f t="shared" si="66"/>
        <v>0</v>
      </c>
      <c r="M315" s="22">
        <f t="shared" si="62"/>
        <v>0</v>
      </c>
      <c r="N315">
        <f>M314*Assumptions!$B$11/$E$2*J315</f>
        <v>0</v>
      </c>
      <c r="O315">
        <f>M314*Assumptions!$B$13/$E$2*J315</f>
        <v>0</v>
      </c>
      <c r="P315">
        <f>H315*Assumptions!$B$15</f>
        <v>0</v>
      </c>
      <c r="Q315">
        <f>O315*Assumptions!$B$17</f>
        <v>0</v>
      </c>
      <c r="R315">
        <f>HLOOKUP(B315,Assumptions!$A$26:$D$27,2,TRUE)</f>
        <v>0</v>
      </c>
      <c r="S315">
        <f t="shared" si="67"/>
        <v>0</v>
      </c>
      <c r="T315">
        <f t="shared" si="63"/>
        <v>0.9166666666666643</v>
      </c>
      <c r="U315">
        <f>IF(B315&gt;$K$2,0,IF(T316=0,0,(1-T316)*Assumptions!$B$11/$E$2*(1-Assumptions!$B$30)))</f>
        <v>0</v>
      </c>
      <c r="V315">
        <f>(N315-O315)*(1-Assumptions!$B$30)-Q315+U314*M314</f>
        <v>0</v>
      </c>
      <c r="W315">
        <f>W314*(1+Assumptions!$B$36)^(1/12)</f>
        <v>1.2866925977280979</v>
      </c>
      <c r="X315" s="19">
        <f>IF(B315&gt;$K$2,0,W314*Assumptions!$B$32/12*M314+V315*Assumptions!$B$34/12)</f>
        <v>0</v>
      </c>
      <c r="Y315" s="20">
        <f>1/(1+HLOOKUP(YEAR(A315),Assumptions!$A$41:$AL$43,3,TRUE))^(1/12)</f>
        <v>0.99777210122039961</v>
      </c>
      <c r="Z315">
        <f t="shared" si="64"/>
        <v>0</v>
      </c>
      <c r="AA315">
        <f t="shared" si="68"/>
        <v>0</v>
      </c>
    </row>
    <row r="316" spans="1:27" x14ac:dyDescent="0.2">
      <c r="A316" s="2">
        <f t="shared" si="69"/>
        <v>52382</v>
      </c>
      <c r="B316">
        <f t="shared" si="65"/>
        <v>397</v>
      </c>
      <c r="C316">
        <f t="shared" si="57"/>
        <v>33</v>
      </c>
      <c r="D316">
        <f t="shared" si="58"/>
        <v>1</v>
      </c>
      <c r="E316">
        <f t="shared" si="59"/>
        <v>88</v>
      </c>
      <c r="F316">
        <f>IF(C316&gt;=$J$2,0,VLOOKUP($E316,'Mortality Table'!$A$3:$C$128,2+G$2,FALSE))</f>
        <v>0</v>
      </c>
      <c r="G316">
        <f>F316*Assumptions!$B$1</f>
        <v>0</v>
      </c>
      <c r="H316">
        <f t="shared" si="60"/>
        <v>0</v>
      </c>
      <c r="I316">
        <f>HLOOKUP(C316,Assumptions!$A$6:$J$7,2,TRUE)</f>
        <v>2.6499999999999999E-2</v>
      </c>
      <c r="J316" s="22">
        <f t="shared" si="56"/>
        <v>0</v>
      </c>
      <c r="K316" s="22">
        <f t="shared" si="61"/>
        <v>0</v>
      </c>
      <c r="L316">
        <f t="shared" si="66"/>
        <v>0</v>
      </c>
      <c r="M316" s="22">
        <f t="shared" si="62"/>
        <v>0</v>
      </c>
      <c r="N316">
        <f>M315*Assumptions!$B$11/$E$2*J316</f>
        <v>0</v>
      </c>
      <c r="O316">
        <f>M315*Assumptions!$B$13/$E$2*J316</f>
        <v>0</v>
      </c>
      <c r="P316">
        <f>H316*Assumptions!$B$15</f>
        <v>0</v>
      </c>
      <c r="Q316">
        <f>O316*Assumptions!$B$17</f>
        <v>0</v>
      </c>
      <c r="R316">
        <f>HLOOKUP(B316,Assumptions!$A$26:$D$27,2,TRUE)</f>
        <v>0</v>
      </c>
      <c r="S316">
        <f t="shared" si="67"/>
        <v>0</v>
      </c>
      <c r="T316">
        <f t="shared" si="63"/>
        <v>0</v>
      </c>
      <c r="U316">
        <f>IF(B316&gt;$K$2,0,IF(T317=0,0,(1-T317)*Assumptions!$B$11/$E$2*(1-Assumptions!$B$30)))</f>
        <v>0</v>
      </c>
      <c r="V316">
        <f>(N316-O316)*(1-Assumptions!$B$30)-Q316+U315*M315</f>
        <v>0</v>
      </c>
      <c r="W316">
        <f>W315*(1+Assumptions!$B$36)^(1/12)</f>
        <v>1.2877599582793604</v>
      </c>
      <c r="X316" s="19">
        <f>IF(B316&gt;$K$2,0,W315*Assumptions!$B$32/12*M315+V316*Assumptions!$B$34/12)</f>
        <v>0</v>
      </c>
      <c r="Y316" s="20">
        <f>1/(1+HLOOKUP(YEAR(A316),Assumptions!$A$41:$AL$43,3,TRUE))^(1/12)</f>
        <v>0.99777210122039961</v>
      </c>
      <c r="Z316">
        <f t="shared" si="64"/>
        <v>0</v>
      </c>
      <c r="AA316">
        <f t="shared" si="68"/>
        <v>0</v>
      </c>
    </row>
    <row r="317" spans="1:27" x14ac:dyDescent="0.2">
      <c r="A317" s="2">
        <f t="shared" si="69"/>
        <v>52412</v>
      </c>
      <c r="B317">
        <f t="shared" si="65"/>
        <v>398</v>
      </c>
      <c r="C317">
        <f t="shared" si="57"/>
        <v>33.083333333333336</v>
      </c>
      <c r="D317">
        <f t="shared" si="58"/>
        <v>0</v>
      </c>
      <c r="E317">
        <f t="shared" si="59"/>
        <v>88</v>
      </c>
      <c r="F317">
        <f>IF(C317&gt;=$J$2,0,VLOOKUP($E317,'Mortality Table'!$A$3:$C$128,2+G$2,FALSE))</f>
        <v>0</v>
      </c>
      <c r="G317">
        <f>F317*Assumptions!$B$1</f>
        <v>0</v>
      </c>
      <c r="H317">
        <f t="shared" si="60"/>
        <v>0</v>
      </c>
      <c r="I317">
        <f>HLOOKUP(C317,Assumptions!$A$6:$J$7,2,TRUE)</f>
        <v>2.6499999999999999E-2</v>
      </c>
      <c r="J317" s="22">
        <f t="shared" si="56"/>
        <v>0</v>
      </c>
      <c r="K317" s="22">
        <f t="shared" si="61"/>
        <v>0</v>
      </c>
      <c r="L317">
        <f t="shared" si="66"/>
        <v>0</v>
      </c>
      <c r="M317" s="22">
        <f t="shared" si="62"/>
        <v>0</v>
      </c>
      <c r="N317">
        <f>M316*Assumptions!$B$11/$E$2*J317</f>
        <v>0</v>
      </c>
      <c r="O317">
        <f>M316*Assumptions!$B$13/$E$2*J317</f>
        <v>0</v>
      </c>
      <c r="P317">
        <f>H317*Assumptions!$B$15</f>
        <v>0</v>
      </c>
      <c r="Q317">
        <f>O317*Assumptions!$B$17</f>
        <v>0</v>
      </c>
      <c r="R317">
        <f>HLOOKUP(B317,Assumptions!$A$26:$D$27,2,TRUE)</f>
        <v>0</v>
      </c>
      <c r="S317">
        <f t="shared" si="67"/>
        <v>0</v>
      </c>
      <c r="T317">
        <f t="shared" si="63"/>
        <v>8.3333333333335702E-2</v>
      </c>
      <c r="U317">
        <f>IF(B317&gt;$K$2,0,IF(T318=0,0,(1-T318)*Assumptions!$B$11/$E$2*(1-Assumptions!$B$30)))</f>
        <v>0</v>
      </c>
      <c r="V317">
        <f>(N317-O317)*(1-Assumptions!$B$30)-Q317+U316*M316</f>
        <v>0</v>
      </c>
      <c r="W317">
        <f>W316*(1+Assumptions!$B$36)^(1/12)</f>
        <v>1.2888282042468819</v>
      </c>
      <c r="X317" s="19">
        <f>IF(B317&gt;$K$2,0,W316*Assumptions!$B$32/12*M316+V317*Assumptions!$B$34/12)</f>
        <v>0</v>
      </c>
      <c r="Y317" s="20">
        <f>1/(1+HLOOKUP(YEAR(A317),Assumptions!$A$41:$AL$43,3,TRUE))^(1/12)</f>
        <v>0.99777210122039961</v>
      </c>
      <c r="Z317">
        <f t="shared" si="64"/>
        <v>0</v>
      </c>
      <c r="AA317">
        <f t="shared" si="68"/>
        <v>0</v>
      </c>
    </row>
    <row r="318" spans="1:27" x14ac:dyDescent="0.2">
      <c r="A318" s="2">
        <f t="shared" si="69"/>
        <v>52443</v>
      </c>
      <c r="B318">
        <f t="shared" si="65"/>
        <v>399</v>
      </c>
      <c r="C318">
        <f t="shared" si="57"/>
        <v>33.166666666666664</v>
      </c>
      <c r="D318">
        <f t="shared" si="58"/>
        <v>0</v>
      </c>
      <c r="E318">
        <f t="shared" si="59"/>
        <v>88</v>
      </c>
      <c r="F318">
        <f>IF(C318&gt;=$J$2,0,VLOOKUP($E318,'Mortality Table'!$A$3:$C$128,2+G$2,FALSE))</f>
        <v>0</v>
      </c>
      <c r="G318">
        <f>F318*Assumptions!$B$1</f>
        <v>0</v>
      </c>
      <c r="H318">
        <f t="shared" si="60"/>
        <v>0</v>
      </c>
      <c r="I318">
        <f>HLOOKUP(C318,Assumptions!$A$6:$J$7,2,TRUE)</f>
        <v>2.6499999999999999E-2</v>
      </c>
      <c r="J318" s="22">
        <f t="shared" si="56"/>
        <v>0</v>
      </c>
      <c r="K318" s="22">
        <f t="shared" si="61"/>
        <v>0</v>
      </c>
      <c r="L318">
        <f t="shared" si="66"/>
        <v>0</v>
      </c>
      <c r="M318" s="22">
        <f t="shared" si="62"/>
        <v>0</v>
      </c>
      <c r="N318">
        <f>M317*Assumptions!$B$11/$E$2*J318</f>
        <v>0</v>
      </c>
      <c r="O318">
        <f>M317*Assumptions!$B$13/$E$2*J318</f>
        <v>0</v>
      </c>
      <c r="P318">
        <f>H318*Assumptions!$B$15</f>
        <v>0</v>
      </c>
      <c r="Q318">
        <f>O318*Assumptions!$B$17</f>
        <v>0</v>
      </c>
      <c r="R318">
        <f>HLOOKUP(B318,Assumptions!$A$26:$D$27,2,TRUE)</f>
        <v>0</v>
      </c>
      <c r="S318">
        <f t="shared" si="67"/>
        <v>0</v>
      </c>
      <c r="T318">
        <f t="shared" si="63"/>
        <v>0.1666666666666643</v>
      </c>
      <c r="U318">
        <f>IF(B318&gt;$K$2,0,IF(T319=0,0,(1-T319)*Assumptions!$B$11/$E$2*(1-Assumptions!$B$30)))</f>
        <v>0</v>
      </c>
      <c r="V318">
        <f>(N318-O318)*(1-Assumptions!$B$30)-Q318+U317*M317</f>
        <v>0</v>
      </c>
      <c r="W318">
        <f>W317*(1+Assumptions!$B$36)^(1/12)</f>
        <v>1.2898973363651491</v>
      </c>
      <c r="X318" s="19">
        <f>IF(B318&gt;$K$2,0,W317*Assumptions!$B$32/12*M317+V318*Assumptions!$B$34/12)</f>
        <v>0</v>
      </c>
      <c r="Y318" s="20">
        <f>1/(1+HLOOKUP(YEAR(A318),Assumptions!$A$41:$AL$43,3,TRUE))^(1/12)</f>
        <v>0.99777210122039961</v>
      </c>
      <c r="Z318">
        <f t="shared" si="64"/>
        <v>0</v>
      </c>
      <c r="AA318">
        <f t="shared" si="68"/>
        <v>0</v>
      </c>
    </row>
    <row r="319" spans="1:27" x14ac:dyDescent="0.2">
      <c r="A319" s="2">
        <f t="shared" si="69"/>
        <v>52474</v>
      </c>
      <c r="B319">
        <f t="shared" si="65"/>
        <v>400</v>
      </c>
      <c r="C319">
        <f t="shared" si="57"/>
        <v>33.25</v>
      </c>
      <c r="D319">
        <f t="shared" si="58"/>
        <v>0</v>
      </c>
      <c r="E319">
        <f t="shared" si="59"/>
        <v>88</v>
      </c>
      <c r="F319">
        <f>IF(C319&gt;=$J$2,0,VLOOKUP($E319,'Mortality Table'!$A$3:$C$128,2+G$2,FALSE))</f>
        <v>0</v>
      </c>
      <c r="G319">
        <f>F319*Assumptions!$B$1</f>
        <v>0</v>
      </c>
      <c r="H319">
        <f t="shared" si="60"/>
        <v>0</v>
      </c>
      <c r="I319">
        <f>HLOOKUP(C319,Assumptions!$A$6:$J$7,2,TRUE)</f>
        <v>2.6499999999999999E-2</v>
      </c>
      <c r="J319" s="22">
        <f t="shared" si="56"/>
        <v>0</v>
      </c>
      <c r="K319" s="22">
        <f t="shared" si="61"/>
        <v>0</v>
      </c>
      <c r="L319">
        <f t="shared" si="66"/>
        <v>0</v>
      </c>
      <c r="M319" s="22">
        <f t="shared" si="62"/>
        <v>0</v>
      </c>
      <c r="N319">
        <f>M318*Assumptions!$B$11/$E$2*J319</f>
        <v>0</v>
      </c>
      <c r="O319">
        <f>M318*Assumptions!$B$13/$E$2*J319</f>
        <v>0</v>
      </c>
      <c r="P319">
        <f>H319*Assumptions!$B$15</f>
        <v>0</v>
      </c>
      <c r="Q319">
        <f>O319*Assumptions!$B$17</f>
        <v>0</v>
      </c>
      <c r="R319">
        <f>HLOOKUP(B319,Assumptions!$A$26:$D$27,2,TRUE)</f>
        <v>0</v>
      </c>
      <c r="S319">
        <f t="shared" si="67"/>
        <v>0</v>
      </c>
      <c r="T319">
        <f t="shared" si="63"/>
        <v>0.25</v>
      </c>
      <c r="U319">
        <f>IF(B319&gt;$K$2,0,IF(T320=0,0,(1-T320)*Assumptions!$B$11/$E$2*(1-Assumptions!$B$30)))</f>
        <v>0</v>
      </c>
      <c r="V319">
        <f>(N319-O319)*(1-Assumptions!$B$30)-Q319+U318*M318</f>
        <v>0</v>
      </c>
      <c r="W319">
        <f>W318*(1+Assumptions!$B$36)^(1/12)</f>
        <v>1.2909673553692576</v>
      </c>
      <c r="X319" s="19">
        <f>IF(B319&gt;$K$2,0,W318*Assumptions!$B$32/12*M318+V319*Assumptions!$B$34/12)</f>
        <v>0</v>
      </c>
      <c r="Y319" s="20">
        <f>1/(1+HLOOKUP(YEAR(A319),Assumptions!$A$41:$AL$43,3,TRUE))^(1/12)</f>
        <v>0.99777210122039961</v>
      </c>
      <c r="Z319">
        <f t="shared" si="64"/>
        <v>0</v>
      </c>
      <c r="AA319">
        <f t="shared" si="68"/>
        <v>0</v>
      </c>
    </row>
    <row r="320" spans="1:27" x14ac:dyDescent="0.2">
      <c r="A320" s="2">
        <f t="shared" si="69"/>
        <v>52504</v>
      </c>
      <c r="B320">
        <f t="shared" si="65"/>
        <v>401</v>
      </c>
      <c r="C320">
        <f t="shared" si="57"/>
        <v>33.333333333333336</v>
      </c>
      <c r="D320">
        <f t="shared" si="58"/>
        <v>0</v>
      </c>
      <c r="E320">
        <f t="shared" si="59"/>
        <v>88</v>
      </c>
      <c r="F320">
        <f>IF(C320&gt;=$J$2,0,VLOOKUP($E320,'Mortality Table'!$A$3:$C$128,2+G$2,FALSE))</f>
        <v>0</v>
      </c>
      <c r="G320">
        <f>F320*Assumptions!$B$1</f>
        <v>0</v>
      </c>
      <c r="H320">
        <f t="shared" si="60"/>
        <v>0</v>
      </c>
      <c r="I320">
        <f>HLOOKUP(C320,Assumptions!$A$6:$J$7,2,TRUE)</f>
        <v>2.6499999999999999E-2</v>
      </c>
      <c r="J320" s="22">
        <f t="shared" si="56"/>
        <v>0</v>
      </c>
      <c r="K320" s="22">
        <f t="shared" si="61"/>
        <v>0</v>
      </c>
      <c r="L320">
        <f t="shared" si="66"/>
        <v>0</v>
      </c>
      <c r="M320" s="22">
        <f t="shared" si="62"/>
        <v>0</v>
      </c>
      <c r="N320">
        <f>M319*Assumptions!$B$11/$E$2*J320</f>
        <v>0</v>
      </c>
      <c r="O320">
        <f>M319*Assumptions!$B$13/$E$2*J320</f>
        <v>0</v>
      </c>
      <c r="P320">
        <f>H320*Assumptions!$B$15</f>
        <v>0</v>
      </c>
      <c r="Q320">
        <f>O320*Assumptions!$B$17</f>
        <v>0</v>
      </c>
      <c r="R320">
        <f>HLOOKUP(B320,Assumptions!$A$26:$D$27,2,TRUE)</f>
        <v>0</v>
      </c>
      <c r="S320">
        <f t="shared" si="67"/>
        <v>0</v>
      </c>
      <c r="T320">
        <f t="shared" si="63"/>
        <v>0.3333333333333357</v>
      </c>
      <c r="U320">
        <f>IF(B320&gt;$K$2,0,IF(T321=0,0,(1-T321)*Assumptions!$B$11/$E$2*(1-Assumptions!$B$30)))</f>
        <v>0</v>
      </c>
      <c r="V320">
        <f>(N320-O320)*(1-Assumptions!$B$30)-Q320+U319*M319</f>
        <v>0</v>
      </c>
      <c r="W320">
        <f>W319*(1+Assumptions!$B$36)^(1/12)</f>
        <v>1.2920382619949131</v>
      </c>
      <c r="X320" s="19">
        <f>IF(B320&gt;$K$2,0,W319*Assumptions!$B$32/12*M319+V320*Assumptions!$B$34/12)</f>
        <v>0</v>
      </c>
      <c r="Y320" s="20">
        <f>1/(1+HLOOKUP(YEAR(A320),Assumptions!$A$41:$AL$43,3,TRUE))^(1/12)</f>
        <v>0.99777210122039961</v>
      </c>
      <c r="Z320">
        <f t="shared" si="64"/>
        <v>0</v>
      </c>
      <c r="AA320">
        <f t="shared" si="68"/>
        <v>0</v>
      </c>
    </row>
    <row r="321" spans="1:27" x14ac:dyDescent="0.2">
      <c r="A321" s="2">
        <f t="shared" si="69"/>
        <v>52535</v>
      </c>
      <c r="B321">
        <f t="shared" si="65"/>
        <v>402</v>
      </c>
      <c r="C321">
        <f t="shared" si="57"/>
        <v>33.416666666666664</v>
      </c>
      <c r="D321">
        <f t="shared" si="58"/>
        <v>0</v>
      </c>
      <c r="E321">
        <f t="shared" si="59"/>
        <v>88</v>
      </c>
      <c r="F321">
        <f>IF(C321&gt;=$J$2,0,VLOOKUP($E321,'Mortality Table'!$A$3:$C$128,2+G$2,FALSE))</f>
        <v>0</v>
      </c>
      <c r="G321">
        <f>F321*Assumptions!$B$1</f>
        <v>0</v>
      </c>
      <c r="H321">
        <f t="shared" si="60"/>
        <v>0</v>
      </c>
      <c r="I321">
        <f>HLOOKUP(C321,Assumptions!$A$6:$J$7,2,TRUE)</f>
        <v>2.6499999999999999E-2</v>
      </c>
      <c r="J321" s="22">
        <f t="shared" si="56"/>
        <v>0</v>
      </c>
      <c r="K321" s="22">
        <f t="shared" si="61"/>
        <v>0</v>
      </c>
      <c r="L321">
        <f t="shared" si="66"/>
        <v>0</v>
      </c>
      <c r="M321" s="22">
        <f t="shared" si="62"/>
        <v>0</v>
      </c>
      <c r="N321">
        <f>M320*Assumptions!$B$11/$E$2*J321</f>
        <v>0</v>
      </c>
      <c r="O321">
        <f>M320*Assumptions!$B$13/$E$2*J321</f>
        <v>0</v>
      </c>
      <c r="P321">
        <f>H321*Assumptions!$B$15</f>
        <v>0</v>
      </c>
      <c r="Q321">
        <f>O321*Assumptions!$B$17</f>
        <v>0</v>
      </c>
      <c r="R321">
        <f>HLOOKUP(B321,Assumptions!$A$26:$D$27,2,TRUE)</f>
        <v>0</v>
      </c>
      <c r="S321">
        <f t="shared" si="67"/>
        <v>0</v>
      </c>
      <c r="T321">
        <f t="shared" si="63"/>
        <v>0.4166666666666643</v>
      </c>
      <c r="U321">
        <f>IF(B321&gt;$K$2,0,IF(T322=0,0,(1-T322)*Assumptions!$B$11/$E$2*(1-Assumptions!$B$30)))</f>
        <v>0</v>
      </c>
      <c r="V321">
        <f>(N321-O321)*(1-Assumptions!$B$30)-Q321+U320*M320</f>
        <v>0</v>
      </c>
      <c r="W321">
        <f>W320*(1+Assumptions!$B$36)^(1/12)</f>
        <v>1.2931100569784315</v>
      </c>
      <c r="X321" s="19">
        <f>IF(B321&gt;$K$2,0,W320*Assumptions!$B$32/12*M320+V321*Assumptions!$B$34/12)</f>
        <v>0</v>
      </c>
      <c r="Y321" s="20">
        <f>1/(1+HLOOKUP(YEAR(A321),Assumptions!$A$41:$AL$43,3,TRUE))^(1/12)</f>
        <v>0.99777210122039961</v>
      </c>
      <c r="Z321">
        <f t="shared" si="64"/>
        <v>0</v>
      </c>
      <c r="AA321">
        <f t="shared" si="68"/>
        <v>0</v>
      </c>
    </row>
    <row r="322" spans="1:27" x14ac:dyDescent="0.2">
      <c r="A322" s="2">
        <f t="shared" si="69"/>
        <v>52565</v>
      </c>
      <c r="B322">
        <f t="shared" si="65"/>
        <v>403</v>
      </c>
      <c r="C322">
        <f t="shared" si="57"/>
        <v>33.5</v>
      </c>
      <c r="D322">
        <f t="shared" si="58"/>
        <v>0</v>
      </c>
      <c r="E322">
        <f t="shared" si="59"/>
        <v>88</v>
      </c>
      <c r="F322">
        <f>IF(C322&gt;=$J$2,0,VLOOKUP($E322,'Mortality Table'!$A$3:$C$128,2+G$2,FALSE))</f>
        <v>0</v>
      </c>
      <c r="G322">
        <f>F322*Assumptions!$B$1</f>
        <v>0</v>
      </c>
      <c r="H322">
        <f t="shared" si="60"/>
        <v>0</v>
      </c>
      <c r="I322">
        <f>HLOOKUP(C322,Assumptions!$A$6:$J$7,2,TRUE)</f>
        <v>2.6499999999999999E-2</v>
      </c>
      <c r="J322" s="22">
        <f t="shared" si="56"/>
        <v>0</v>
      </c>
      <c r="K322" s="22">
        <f t="shared" si="61"/>
        <v>0</v>
      </c>
      <c r="L322">
        <f t="shared" si="66"/>
        <v>0</v>
      </c>
      <c r="M322" s="22">
        <f t="shared" si="62"/>
        <v>0</v>
      </c>
      <c r="N322">
        <f>M321*Assumptions!$B$11/$E$2*J322</f>
        <v>0</v>
      </c>
      <c r="O322">
        <f>M321*Assumptions!$B$13/$E$2*J322</f>
        <v>0</v>
      </c>
      <c r="P322">
        <f>H322*Assumptions!$B$15</f>
        <v>0</v>
      </c>
      <c r="Q322">
        <f>O322*Assumptions!$B$17</f>
        <v>0</v>
      </c>
      <c r="R322">
        <f>HLOOKUP(B322,Assumptions!$A$26:$D$27,2,TRUE)</f>
        <v>0</v>
      </c>
      <c r="S322">
        <f t="shared" si="67"/>
        <v>0</v>
      </c>
      <c r="T322">
        <f t="shared" si="63"/>
        <v>0.5</v>
      </c>
      <c r="U322">
        <f>IF(B322&gt;$K$2,0,IF(T323=0,0,(1-T323)*Assumptions!$B$11/$E$2*(1-Assumptions!$B$30)))</f>
        <v>0</v>
      </c>
      <c r="V322">
        <f>(N322-O322)*(1-Assumptions!$B$30)-Q322+U321*M321</f>
        <v>0</v>
      </c>
      <c r="W322">
        <f>W321*(1+Assumptions!$B$36)^(1/12)</f>
        <v>1.2941827410567395</v>
      </c>
      <c r="X322" s="19">
        <f>IF(B322&gt;$K$2,0,W321*Assumptions!$B$32/12*M321+V322*Assumptions!$B$34/12)</f>
        <v>0</v>
      </c>
      <c r="Y322" s="20">
        <f>1/(1+HLOOKUP(YEAR(A322),Assumptions!$A$41:$AL$43,3,TRUE))^(1/12)</f>
        <v>0.99777210122039961</v>
      </c>
      <c r="Z322">
        <f t="shared" si="64"/>
        <v>0</v>
      </c>
      <c r="AA322">
        <f t="shared" si="68"/>
        <v>0</v>
      </c>
    </row>
    <row r="323" spans="1:27" x14ac:dyDescent="0.2">
      <c r="A323" s="2">
        <f t="shared" si="69"/>
        <v>52596</v>
      </c>
      <c r="B323">
        <f t="shared" si="65"/>
        <v>404</v>
      </c>
      <c r="C323">
        <f t="shared" si="57"/>
        <v>33.583333333333336</v>
      </c>
      <c r="D323">
        <f t="shared" si="58"/>
        <v>0</v>
      </c>
      <c r="E323">
        <f t="shared" si="59"/>
        <v>88</v>
      </c>
      <c r="F323">
        <f>IF(C323&gt;=$J$2,0,VLOOKUP($E323,'Mortality Table'!$A$3:$C$128,2+G$2,FALSE))</f>
        <v>0</v>
      </c>
      <c r="G323">
        <f>F323*Assumptions!$B$1</f>
        <v>0</v>
      </c>
      <c r="H323">
        <f t="shared" si="60"/>
        <v>0</v>
      </c>
      <c r="I323">
        <f>HLOOKUP(C323,Assumptions!$A$6:$J$7,2,TRUE)</f>
        <v>2.6499999999999999E-2</v>
      </c>
      <c r="J323" s="22">
        <f t="shared" si="56"/>
        <v>0</v>
      </c>
      <c r="K323" s="22">
        <f t="shared" si="61"/>
        <v>0</v>
      </c>
      <c r="L323">
        <f t="shared" si="66"/>
        <v>0</v>
      </c>
      <c r="M323" s="22">
        <f t="shared" si="62"/>
        <v>0</v>
      </c>
      <c r="N323">
        <f>M322*Assumptions!$B$11/$E$2*J323</f>
        <v>0</v>
      </c>
      <c r="O323">
        <f>M322*Assumptions!$B$13/$E$2*J323</f>
        <v>0</v>
      </c>
      <c r="P323">
        <f>H323*Assumptions!$B$15</f>
        <v>0</v>
      </c>
      <c r="Q323">
        <f>O323*Assumptions!$B$17</f>
        <v>0</v>
      </c>
      <c r="R323">
        <f>HLOOKUP(B323,Assumptions!$A$26:$D$27,2,TRUE)</f>
        <v>0</v>
      </c>
      <c r="S323">
        <f t="shared" si="67"/>
        <v>0</v>
      </c>
      <c r="T323">
        <f t="shared" si="63"/>
        <v>0.5833333333333357</v>
      </c>
      <c r="U323">
        <f>IF(B323&gt;$K$2,0,IF(T324=0,0,(1-T324)*Assumptions!$B$11/$E$2*(1-Assumptions!$B$30)))</f>
        <v>0</v>
      </c>
      <c r="V323">
        <f>(N323-O323)*(1-Assumptions!$B$30)-Q323+U322*M322</f>
        <v>0</v>
      </c>
      <c r="W323">
        <f>W322*(1+Assumptions!$B$36)^(1/12)</f>
        <v>1.295256314967375</v>
      </c>
      <c r="X323" s="19">
        <f>IF(B323&gt;$K$2,0,W322*Assumptions!$B$32/12*M322+V323*Assumptions!$B$34/12)</f>
        <v>0</v>
      </c>
      <c r="Y323" s="20">
        <f>1/(1+HLOOKUP(YEAR(A323),Assumptions!$A$41:$AL$43,3,TRUE))^(1/12)</f>
        <v>0.99777210122039961</v>
      </c>
      <c r="Z323">
        <f t="shared" si="64"/>
        <v>0</v>
      </c>
      <c r="AA323">
        <f t="shared" si="68"/>
        <v>0</v>
      </c>
    </row>
    <row r="324" spans="1:27" x14ac:dyDescent="0.2">
      <c r="A324" s="2">
        <f t="shared" si="69"/>
        <v>52627</v>
      </c>
      <c r="B324">
        <f t="shared" si="65"/>
        <v>405</v>
      </c>
      <c r="C324">
        <f t="shared" si="57"/>
        <v>33.666666666666664</v>
      </c>
      <c r="D324">
        <f t="shared" si="58"/>
        <v>0</v>
      </c>
      <c r="E324">
        <f t="shared" si="59"/>
        <v>88</v>
      </c>
      <c r="F324">
        <f>IF(C324&gt;=$J$2,0,VLOOKUP($E324,'Mortality Table'!$A$3:$C$128,2+G$2,FALSE))</f>
        <v>0</v>
      </c>
      <c r="G324">
        <f>F324*Assumptions!$B$1</f>
        <v>0</v>
      </c>
      <c r="H324">
        <f t="shared" si="60"/>
        <v>0</v>
      </c>
      <c r="I324">
        <f>HLOOKUP(C324,Assumptions!$A$6:$J$7,2,TRUE)</f>
        <v>2.6499999999999999E-2</v>
      </c>
      <c r="J324" s="22">
        <f t="shared" si="56"/>
        <v>0</v>
      </c>
      <c r="K324" s="22">
        <f t="shared" si="61"/>
        <v>0</v>
      </c>
      <c r="L324">
        <f t="shared" si="66"/>
        <v>0</v>
      </c>
      <c r="M324" s="22">
        <f t="shared" si="62"/>
        <v>0</v>
      </c>
      <c r="N324">
        <f>M323*Assumptions!$B$11/$E$2*J324</f>
        <v>0</v>
      </c>
      <c r="O324">
        <f>M323*Assumptions!$B$13/$E$2*J324</f>
        <v>0</v>
      </c>
      <c r="P324">
        <f>H324*Assumptions!$B$15</f>
        <v>0</v>
      </c>
      <c r="Q324">
        <f>O324*Assumptions!$B$17</f>
        <v>0</v>
      </c>
      <c r="R324">
        <f>HLOOKUP(B324,Assumptions!$A$26:$D$27,2,TRUE)</f>
        <v>0</v>
      </c>
      <c r="S324">
        <f t="shared" si="67"/>
        <v>0</v>
      </c>
      <c r="T324">
        <f t="shared" si="63"/>
        <v>0.6666666666666643</v>
      </c>
      <c r="U324">
        <f>IF(B324&gt;$K$2,0,IF(T325=0,0,(1-T325)*Assumptions!$B$11/$E$2*(1-Assumptions!$B$30)))</f>
        <v>0</v>
      </c>
      <c r="V324">
        <f>(N324-O324)*(1-Assumptions!$B$30)-Q324+U323*M323</f>
        <v>0</v>
      </c>
      <c r="W324">
        <f>W323*(1+Assumptions!$B$36)^(1/12)</f>
        <v>1.296330779448488</v>
      </c>
      <c r="X324" s="19">
        <f>IF(B324&gt;$K$2,0,W323*Assumptions!$B$32/12*M323+V324*Assumptions!$B$34/12)</f>
        <v>0</v>
      </c>
      <c r="Y324" s="20">
        <f>1/(1+HLOOKUP(YEAR(A324),Assumptions!$A$41:$AL$43,3,TRUE))^(1/12)</f>
        <v>0.99772443542808886</v>
      </c>
      <c r="Z324">
        <f t="shared" si="64"/>
        <v>0</v>
      </c>
      <c r="AA324">
        <f t="shared" si="68"/>
        <v>0</v>
      </c>
    </row>
    <row r="325" spans="1:27" x14ac:dyDescent="0.2">
      <c r="A325" s="2">
        <f t="shared" si="69"/>
        <v>52656</v>
      </c>
      <c r="B325">
        <f t="shared" si="65"/>
        <v>406</v>
      </c>
      <c r="C325">
        <f t="shared" si="57"/>
        <v>33.75</v>
      </c>
      <c r="D325">
        <f t="shared" si="58"/>
        <v>0</v>
      </c>
      <c r="E325">
        <f t="shared" si="59"/>
        <v>88</v>
      </c>
      <c r="F325">
        <f>IF(C325&gt;=$J$2,0,VLOOKUP($E325,'Mortality Table'!$A$3:$C$128,2+G$2,FALSE))</f>
        <v>0</v>
      </c>
      <c r="G325">
        <f>F325*Assumptions!$B$1</f>
        <v>0</v>
      </c>
      <c r="H325">
        <f t="shared" si="60"/>
        <v>0</v>
      </c>
      <c r="I325">
        <f>HLOOKUP(C325,Assumptions!$A$6:$J$7,2,TRUE)</f>
        <v>2.6499999999999999E-2</v>
      </c>
      <c r="J325" s="22">
        <f t="shared" si="56"/>
        <v>0</v>
      </c>
      <c r="K325" s="22">
        <f t="shared" si="61"/>
        <v>0</v>
      </c>
      <c r="L325">
        <f t="shared" si="66"/>
        <v>0</v>
      </c>
      <c r="M325" s="22">
        <f t="shared" si="62"/>
        <v>0</v>
      </c>
      <c r="N325">
        <f>M324*Assumptions!$B$11/$E$2*J325</f>
        <v>0</v>
      </c>
      <c r="O325">
        <f>M324*Assumptions!$B$13/$E$2*J325</f>
        <v>0</v>
      </c>
      <c r="P325">
        <f>H325*Assumptions!$B$15</f>
        <v>0</v>
      </c>
      <c r="Q325">
        <f>O325*Assumptions!$B$17</f>
        <v>0</v>
      </c>
      <c r="R325">
        <f>HLOOKUP(B325,Assumptions!$A$26:$D$27,2,TRUE)</f>
        <v>0</v>
      </c>
      <c r="S325">
        <f t="shared" si="67"/>
        <v>0</v>
      </c>
      <c r="T325">
        <f t="shared" si="63"/>
        <v>0.75</v>
      </c>
      <c r="U325">
        <f>IF(B325&gt;$K$2,0,IF(T326=0,0,(1-T326)*Assumptions!$B$11/$E$2*(1-Assumptions!$B$30)))</f>
        <v>0</v>
      </c>
      <c r="V325">
        <f>(N325-O325)*(1-Assumptions!$B$30)-Q325+U324*M324</f>
        <v>0</v>
      </c>
      <c r="W325">
        <f>W324*(1+Assumptions!$B$36)^(1/12)</f>
        <v>1.2974061352388406</v>
      </c>
      <c r="X325" s="19">
        <f>IF(B325&gt;$K$2,0,W324*Assumptions!$B$32/12*M324+V325*Assumptions!$B$34/12)</f>
        <v>0</v>
      </c>
      <c r="Y325" s="20">
        <f>1/(1+HLOOKUP(YEAR(A325),Assumptions!$A$41:$AL$43,3,TRUE))^(1/12)</f>
        <v>0.99772443542808886</v>
      </c>
      <c r="Z325">
        <f t="shared" si="64"/>
        <v>0</v>
      </c>
      <c r="AA325">
        <f t="shared" si="68"/>
        <v>0</v>
      </c>
    </row>
    <row r="326" spans="1:27" x14ac:dyDescent="0.2">
      <c r="A326" s="2">
        <f t="shared" si="69"/>
        <v>52687</v>
      </c>
      <c r="B326">
        <f t="shared" si="65"/>
        <v>407</v>
      </c>
      <c r="C326">
        <f t="shared" si="57"/>
        <v>33.833333333333336</v>
      </c>
      <c r="D326">
        <f t="shared" si="58"/>
        <v>0</v>
      </c>
      <c r="E326">
        <f t="shared" si="59"/>
        <v>88</v>
      </c>
      <c r="F326">
        <f>IF(C326&gt;=$J$2,0,VLOOKUP($E326,'Mortality Table'!$A$3:$C$128,2+G$2,FALSE))</f>
        <v>0</v>
      </c>
      <c r="G326">
        <f>F326*Assumptions!$B$1</f>
        <v>0</v>
      </c>
      <c r="H326">
        <f t="shared" si="60"/>
        <v>0</v>
      </c>
      <c r="I326">
        <f>HLOOKUP(C326,Assumptions!$A$6:$J$7,2,TRUE)</f>
        <v>2.6499999999999999E-2</v>
      </c>
      <c r="J326" s="22">
        <f t="shared" si="56"/>
        <v>0</v>
      </c>
      <c r="K326" s="22">
        <f t="shared" si="61"/>
        <v>0</v>
      </c>
      <c r="L326">
        <f t="shared" si="66"/>
        <v>0</v>
      </c>
      <c r="M326" s="22">
        <f t="shared" si="62"/>
        <v>0</v>
      </c>
      <c r="N326">
        <f>M325*Assumptions!$B$11/$E$2*J326</f>
        <v>0</v>
      </c>
      <c r="O326">
        <f>M325*Assumptions!$B$13/$E$2*J326</f>
        <v>0</v>
      </c>
      <c r="P326">
        <f>H326*Assumptions!$B$15</f>
        <v>0</v>
      </c>
      <c r="Q326">
        <f>O326*Assumptions!$B$17</f>
        <v>0</v>
      </c>
      <c r="R326">
        <f>HLOOKUP(B326,Assumptions!$A$26:$D$27,2,TRUE)</f>
        <v>0</v>
      </c>
      <c r="S326">
        <f t="shared" si="67"/>
        <v>0</v>
      </c>
      <c r="T326">
        <f t="shared" si="63"/>
        <v>0.8333333333333357</v>
      </c>
      <c r="U326">
        <f>IF(B326&gt;$K$2,0,IF(T327=0,0,(1-T327)*Assumptions!$B$11/$E$2*(1-Assumptions!$B$30)))</f>
        <v>0</v>
      </c>
      <c r="V326">
        <f>(N326-O326)*(1-Assumptions!$B$30)-Q326+U325*M325</f>
        <v>0</v>
      </c>
      <c r="W326">
        <f>W325*(1+Assumptions!$B$36)^(1/12)</f>
        <v>1.2984823830778078</v>
      </c>
      <c r="X326" s="19">
        <f>IF(B326&gt;$K$2,0,W325*Assumptions!$B$32/12*M325+V326*Assumptions!$B$34/12)</f>
        <v>0</v>
      </c>
      <c r="Y326" s="20">
        <f>1/(1+HLOOKUP(YEAR(A326),Assumptions!$A$41:$AL$43,3,TRUE))^(1/12)</f>
        <v>0.99772443542808886</v>
      </c>
      <c r="Z326">
        <f t="shared" si="64"/>
        <v>0</v>
      </c>
      <c r="AA326">
        <f t="shared" si="68"/>
        <v>0</v>
      </c>
    </row>
    <row r="327" spans="1:27" x14ac:dyDescent="0.2">
      <c r="A327" s="2">
        <f t="shared" si="69"/>
        <v>52717</v>
      </c>
      <c r="B327">
        <f t="shared" si="65"/>
        <v>408</v>
      </c>
      <c r="C327">
        <f t="shared" si="57"/>
        <v>33.916666666666664</v>
      </c>
      <c r="D327">
        <f t="shared" si="58"/>
        <v>0</v>
      </c>
      <c r="E327">
        <f t="shared" si="59"/>
        <v>88</v>
      </c>
      <c r="F327">
        <f>IF(C327&gt;=$J$2,0,VLOOKUP($E327,'Mortality Table'!$A$3:$C$128,2+G$2,FALSE))</f>
        <v>0</v>
      </c>
      <c r="G327">
        <f>F327*Assumptions!$B$1</f>
        <v>0</v>
      </c>
      <c r="H327">
        <f t="shared" si="60"/>
        <v>0</v>
      </c>
      <c r="I327">
        <f>HLOOKUP(C327,Assumptions!$A$6:$J$7,2,TRUE)</f>
        <v>2.6499999999999999E-2</v>
      </c>
      <c r="J327" s="22">
        <f t="shared" si="56"/>
        <v>0</v>
      </c>
      <c r="K327" s="22">
        <f t="shared" si="61"/>
        <v>0</v>
      </c>
      <c r="L327">
        <f t="shared" si="66"/>
        <v>0</v>
      </c>
      <c r="M327" s="22">
        <f t="shared" si="62"/>
        <v>0</v>
      </c>
      <c r="N327">
        <f>M326*Assumptions!$B$11/$E$2*J327</f>
        <v>0</v>
      </c>
      <c r="O327">
        <f>M326*Assumptions!$B$13/$E$2*J327</f>
        <v>0</v>
      </c>
      <c r="P327">
        <f>H327*Assumptions!$B$15</f>
        <v>0</v>
      </c>
      <c r="Q327">
        <f>O327*Assumptions!$B$17</f>
        <v>0</v>
      </c>
      <c r="R327">
        <f>HLOOKUP(B327,Assumptions!$A$26:$D$27,2,TRUE)</f>
        <v>0</v>
      </c>
      <c r="S327">
        <f t="shared" si="67"/>
        <v>0</v>
      </c>
      <c r="T327">
        <f t="shared" si="63"/>
        <v>0.9166666666666643</v>
      </c>
      <c r="U327">
        <f>IF(B327&gt;$K$2,0,IF(T328=0,0,(1-T328)*Assumptions!$B$11/$E$2*(1-Assumptions!$B$30)))</f>
        <v>0</v>
      </c>
      <c r="V327">
        <f>(N327-O327)*(1-Assumptions!$B$30)-Q327+U326*M326</f>
        <v>0</v>
      </c>
      <c r="W327">
        <f>W326*(1+Assumptions!$B$36)^(1/12)</f>
        <v>1.2995595237053779</v>
      </c>
      <c r="X327" s="19">
        <f>IF(B327&gt;$K$2,0,W326*Assumptions!$B$32/12*M326+V327*Assumptions!$B$34/12)</f>
        <v>0</v>
      </c>
      <c r="Y327" s="20">
        <f>1/(1+HLOOKUP(YEAR(A327),Assumptions!$A$41:$AL$43,3,TRUE))^(1/12)</f>
        <v>0.99772443542808886</v>
      </c>
      <c r="Z327">
        <f t="shared" si="64"/>
        <v>0</v>
      </c>
      <c r="AA327">
        <f t="shared" si="68"/>
        <v>0</v>
      </c>
    </row>
    <row r="328" spans="1:27" x14ac:dyDescent="0.2">
      <c r="A328" s="2">
        <f t="shared" si="69"/>
        <v>52748</v>
      </c>
      <c r="B328">
        <f t="shared" si="65"/>
        <v>409</v>
      </c>
      <c r="C328">
        <f t="shared" si="57"/>
        <v>34</v>
      </c>
      <c r="D328">
        <f t="shared" si="58"/>
        <v>1</v>
      </c>
      <c r="E328">
        <f t="shared" si="59"/>
        <v>89</v>
      </c>
      <c r="F328">
        <f>IF(C328&gt;=$J$2,0,VLOOKUP($E328,'Mortality Table'!$A$3:$C$128,2+G$2,FALSE))</f>
        <v>0</v>
      </c>
      <c r="G328">
        <f>F328*Assumptions!$B$1</f>
        <v>0</v>
      </c>
      <c r="H328">
        <f t="shared" si="60"/>
        <v>0</v>
      </c>
      <c r="I328">
        <f>HLOOKUP(C328,Assumptions!$A$6:$J$7,2,TRUE)</f>
        <v>2.6499999999999999E-2</v>
      </c>
      <c r="J328" s="22">
        <f t="shared" si="56"/>
        <v>0</v>
      </c>
      <c r="K328" s="22">
        <f t="shared" si="61"/>
        <v>0</v>
      </c>
      <c r="L328">
        <f t="shared" si="66"/>
        <v>0</v>
      </c>
      <c r="M328" s="22">
        <f t="shared" si="62"/>
        <v>0</v>
      </c>
      <c r="N328">
        <f>M327*Assumptions!$B$11/$E$2*J328</f>
        <v>0</v>
      </c>
      <c r="O328">
        <f>M327*Assumptions!$B$13/$E$2*J328</f>
        <v>0</v>
      </c>
      <c r="P328">
        <f>H328*Assumptions!$B$15</f>
        <v>0</v>
      </c>
      <c r="Q328">
        <f>O328*Assumptions!$B$17</f>
        <v>0</v>
      </c>
      <c r="R328">
        <f>HLOOKUP(B328,Assumptions!$A$26:$D$27,2,TRUE)</f>
        <v>0</v>
      </c>
      <c r="S328">
        <f t="shared" si="67"/>
        <v>0</v>
      </c>
      <c r="T328">
        <f t="shared" si="63"/>
        <v>0</v>
      </c>
      <c r="U328">
        <f>IF(B328&gt;$K$2,0,IF(T329=0,0,(1-T329)*Assumptions!$B$11/$E$2*(1-Assumptions!$B$30)))</f>
        <v>0</v>
      </c>
      <c r="V328">
        <f>(N328-O328)*(1-Assumptions!$B$30)-Q328+U327*M327</f>
        <v>0</v>
      </c>
      <c r="W328">
        <f>W327*(1+Assumptions!$B$36)^(1/12)</f>
        <v>1.300637557862153</v>
      </c>
      <c r="X328" s="19">
        <f>IF(B328&gt;$K$2,0,W327*Assumptions!$B$32/12*M327+V328*Assumptions!$B$34/12)</f>
        <v>0</v>
      </c>
      <c r="Y328" s="20">
        <f>1/(1+HLOOKUP(YEAR(A328),Assumptions!$A$41:$AL$43,3,TRUE))^(1/12)</f>
        <v>0.99772443542808886</v>
      </c>
      <c r="Z328">
        <f t="shared" si="64"/>
        <v>0</v>
      </c>
      <c r="AA328">
        <f t="shared" si="68"/>
        <v>0</v>
      </c>
    </row>
    <row r="329" spans="1:27" x14ac:dyDescent="0.2">
      <c r="A329" s="2">
        <f t="shared" si="69"/>
        <v>52778</v>
      </c>
      <c r="B329">
        <f t="shared" si="65"/>
        <v>410</v>
      </c>
      <c r="C329">
        <f t="shared" si="57"/>
        <v>34.083333333333336</v>
      </c>
      <c r="D329">
        <f t="shared" si="58"/>
        <v>0</v>
      </c>
      <c r="E329">
        <f t="shared" si="59"/>
        <v>89</v>
      </c>
      <c r="F329">
        <f>IF(C329&gt;=$J$2,0,VLOOKUP($E329,'Mortality Table'!$A$3:$C$128,2+G$2,FALSE))</f>
        <v>0</v>
      </c>
      <c r="G329">
        <f>F329*Assumptions!$B$1</f>
        <v>0</v>
      </c>
      <c r="H329">
        <f t="shared" si="60"/>
        <v>0</v>
      </c>
      <c r="I329">
        <f>HLOOKUP(C329,Assumptions!$A$6:$J$7,2,TRUE)</f>
        <v>2.6499999999999999E-2</v>
      </c>
      <c r="J329" s="22">
        <f t="shared" si="56"/>
        <v>0</v>
      </c>
      <c r="K329" s="22">
        <f t="shared" si="61"/>
        <v>0</v>
      </c>
      <c r="L329">
        <f t="shared" si="66"/>
        <v>0</v>
      </c>
      <c r="M329" s="22">
        <f t="shared" si="62"/>
        <v>0</v>
      </c>
      <c r="N329">
        <f>M328*Assumptions!$B$11/$E$2*J329</f>
        <v>0</v>
      </c>
      <c r="O329">
        <f>M328*Assumptions!$B$13/$E$2*J329</f>
        <v>0</v>
      </c>
      <c r="P329">
        <f>H329*Assumptions!$B$15</f>
        <v>0</v>
      </c>
      <c r="Q329">
        <f>O329*Assumptions!$B$17</f>
        <v>0</v>
      </c>
      <c r="R329">
        <f>HLOOKUP(B329,Assumptions!$A$26:$D$27,2,TRUE)</f>
        <v>0</v>
      </c>
      <c r="S329">
        <f t="shared" si="67"/>
        <v>0</v>
      </c>
      <c r="T329">
        <f t="shared" si="63"/>
        <v>8.3333333333335702E-2</v>
      </c>
      <c r="U329">
        <f>IF(B329&gt;$K$2,0,IF(T330=0,0,(1-T330)*Assumptions!$B$11/$E$2*(1-Assumptions!$B$30)))</f>
        <v>0</v>
      </c>
      <c r="V329">
        <f>(N329-O329)*(1-Assumptions!$B$30)-Q329+U328*M328</f>
        <v>0</v>
      </c>
      <c r="W329">
        <f>W328*(1+Assumptions!$B$36)^(1/12)</f>
        <v>1.3017164862893498</v>
      </c>
      <c r="X329" s="19">
        <f>IF(B329&gt;$K$2,0,W328*Assumptions!$B$32/12*M328+V329*Assumptions!$B$34/12)</f>
        <v>0</v>
      </c>
      <c r="Y329" s="20">
        <f>1/(1+HLOOKUP(YEAR(A329),Assumptions!$A$41:$AL$43,3,TRUE))^(1/12)</f>
        <v>0.99772443542808886</v>
      </c>
      <c r="Z329">
        <f t="shared" si="64"/>
        <v>0</v>
      </c>
      <c r="AA329">
        <f t="shared" si="68"/>
        <v>0</v>
      </c>
    </row>
    <row r="330" spans="1:27" x14ac:dyDescent="0.2">
      <c r="A330" s="2">
        <f t="shared" si="69"/>
        <v>52809</v>
      </c>
      <c r="B330">
        <f t="shared" si="65"/>
        <v>411</v>
      </c>
      <c r="C330">
        <f t="shared" si="57"/>
        <v>34.166666666666664</v>
      </c>
      <c r="D330">
        <f t="shared" si="58"/>
        <v>0</v>
      </c>
      <c r="E330">
        <f t="shared" si="59"/>
        <v>89</v>
      </c>
      <c r="F330">
        <f>IF(C330&gt;=$J$2,0,VLOOKUP($E330,'Mortality Table'!$A$3:$C$128,2+G$2,FALSE))</f>
        <v>0</v>
      </c>
      <c r="G330">
        <f>F330*Assumptions!$B$1</f>
        <v>0</v>
      </c>
      <c r="H330">
        <f t="shared" si="60"/>
        <v>0</v>
      </c>
      <c r="I330">
        <f>HLOOKUP(C330,Assumptions!$A$6:$J$7,2,TRUE)</f>
        <v>2.6499999999999999E-2</v>
      </c>
      <c r="J330" s="22">
        <f t="shared" si="56"/>
        <v>0</v>
      </c>
      <c r="K330" s="22">
        <f t="shared" si="61"/>
        <v>0</v>
      </c>
      <c r="L330">
        <f t="shared" si="66"/>
        <v>0</v>
      </c>
      <c r="M330" s="22">
        <f t="shared" si="62"/>
        <v>0</v>
      </c>
      <c r="N330">
        <f>M329*Assumptions!$B$11/$E$2*J330</f>
        <v>0</v>
      </c>
      <c r="O330">
        <f>M329*Assumptions!$B$13/$E$2*J330</f>
        <v>0</v>
      </c>
      <c r="P330">
        <f>H330*Assumptions!$B$15</f>
        <v>0</v>
      </c>
      <c r="Q330">
        <f>O330*Assumptions!$B$17</f>
        <v>0</v>
      </c>
      <c r="R330">
        <f>HLOOKUP(B330,Assumptions!$A$26:$D$27,2,TRUE)</f>
        <v>0</v>
      </c>
      <c r="S330">
        <f t="shared" si="67"/>
        <v>0</v>
      </c>
      <c r="T330">
        <f t="shared" si="63"/>
        <v>0.1666666666666643</v>
      </c>
      <c r="U330">
        <f>IF(B330&gt;$K$2,0,IF(T331=0,0,(1-T331)*Assumptions!$B$11/$E$2*(1-Assumptions!$B$30)))</f>
        <v>0</v>
      </c>
      <c r="V330">
        <f>(N330-O330)*(1-Assumptions!$B$30)-Q330+U329*M329</f>
        <v>0</v>
      </c>
      <c r="W330">
        <f>W329*(1+Assumptions!$B$36)^(1/12)</f>
        <v>1.3027963097287996</v>
      </c>
      <c r="X330" s="19">
        <f>IF(B330&gt;$K$2,0,W329*Assumptions!$B$32/12*M329+V330*Assumptions!$B$34/12)</f>
        <v>0</v>
      </c>
      <c r="Y330" s="20">
        <f>1/(1+HLOOKUP(YEAR(A330),Assumptions!$A$41:$AL$43,3,TRUE))^(1/12)</f>
        <v>0.99772443542808886</v>
      </c>
      <c r="Z330">
        <f t="shared" si="64"/>
        <v>0</v>
      </c>
      <c r="AA330">
        <f t="shared" si="68"/>
        <v>0</v>
      </c>
    </row>
    <row r="331" spans="1:27" x14ac:dyDescent="0.2">
      <c r="A331" s="2">
        <f t="shared" si="69"/>
        <v>52840</v>
      </c>
      <c r="B331">
        <f t="shared" si="65"/>
        <v>412</v>
      </c>
      <c r="C331">
        <f t="shared" si="57"/>
        <v>34.25</v>
      </c>
      <c r="D331">
        <f t="shared" si="58"/>
        <v>0</v>
      </c>
      <c r="E331">
        <f t="shared" si="59"/>
        <v>89</v>
      </c>
      <c r="F331">
        <f>IF(C331&gt;=$J$2,0,VLOOKUP($E331,'Mortality Table'!$A$3:$C$128,2+G$2,FALSE))</f>
        <v>0</v>
      </c>
      <c r="G331">
        <f>F331*Assumptions!$B$1</f>
        <v>0</v>
      </c>
      <c r="H331">
        <f t="shared" si="60"/>
        <v>0</v>
      </c>
      <c r="I331">
        <f>HLOOKUP(C331,Assumptions!$A$6:$J$7,2,TRUE)</f>
        <v>2.6499999999999999E-2</v>
      </c>
      <c r="J331" s="22">
        <f t="shared" ref="J331:J394" si="70">IF(B331&gt;$K$2,0,IF(($E$2*(B331+11))/12-INT(($E$2*(B331+11))/12)=0,1,0))</f>
        <v>0</v>
      </c>
      <c r="K331" s="22">
        <f t="shared" si="61"/>
        <v>0</v>
      </c>
      <c r="L331">
        <f t="shared" si="66"/>
        <v>0</v>
      </c>
      <c r="M331" s="22">
        <f t="shared" si="62"/>
        <v>0</v>
      </c>
      <c r="N331">
        <f>M330*Assumptions!$B$11/$E$2*J331</f>
        <v>0</v>
      </c>
      <c r="O331">
        <f>M330*Assumptions!$B$13/$E$2*J331</f>
        <v>0</v>
      </c>
      <c r="P331">
        <f>H331*Assumptions!$B$15</f>
        <v>0</v>
      </c>
      <c r="Q331">
        <f>O331*Assumptions!$B$17</f>
        <v>0</v>
      </c>
      <c r="R331">
        <f>HLOOKUP(B331,Assumptions!$A$26:$D$27,2,TRUE)</f>
        <v>0</v>
      </c>
      <c r="S331">
        <f t="shared" si="67"/>
        <v>0</v>
      </c>
      <c r="T331">
        <f t="shared" si="63"/>
        <v>0.25</v>
      </c>
      <c r="U331">
        <f>IF(B331&gt;$K$2,0,IF(T332=0,0,(1-T332)*Assumptions!$B$11/$E$2*(1-Assumptions!$B$30)))</f>
        <v>0</v>
      </c>
      <c r="V331">
        <f>(N331-O331)*(1-Assumptions!$B$30)-Q331+U330*M330</f>
        <v>0</v>
      </c>
      <c r="W331">
        <f>W330*(1+Assumptions!$B$36)^(1/12)</f>
        <v>1.3038770289229491</v>
      </c>
      <c r="X331" s="19">
        <f>IF(B331&gt;$K$2,0,W330*Assumptions!$B$32/12*M330+V331*Assumptions!$B$34/12)</f>
        <v>0</v>
      </c>
      <c r="Y331" s="20">
        <f>1/(1+HLOOKUP(YEAR(A331),Assumptions!$A$41:$AL$43,3,TRUE))^(1/12)</f>
        <v>0.99772443542808886</v>
      </c>
      <c r="Z331">
        <f t="shared" si="64"/>
        <v>0</v>
      </c>
      <c r="AA331">
        <f t="shared" si="68"/>
        <v>0</v>
      </c>
    </row>
    <row r="332" spans="1:27" x14ac:dyDescent="0.2">
      <c r="A332" s="2">
        <f t="shared" si="69"/>
        <v>52870</v>
      </c>
      <c r="B332">
        <f t="shared" si="65"/>
        <v>413</v>
      </c>
      <c r="C332">
        <f t="shared" ref="C332:C395" si="71">(B332+11)/12-1</f>
        <v>34.333333333333336</v>
      </c>
      <c r="D332">
        <f t="shared" ref="D332:D395" si="72">IF(C332-INT(C332)=0,1,0)</f>
        <v>0</v>
      </c>
      <c r="E332">
        <f t="shared" ref="E332:E395" si="73">$C$2+INT($C332)</f>
        <v>89</v>
      </c>
      <c r="F332">
        <f>IF(C332&gt;=$J$2,0,VLOOKUP($E332,'Mortality Table'!$A$3:$C$128,2+G$2,FALSE))</f>
        <v>0</v>
      </c>
      <c r="G332">
        <f>F332*Assumptions!$B$1</f>
        <v>0</v>
      </c>
      <c r="H332">
        <f t="shared" ref="H332:H395" si="74">(1-(1-G332)^(1/12))*M331</f>
        <v>0</v>
      </c>
      <c r="I332">
        <f>HLOOKUP(C332,Assumptions!$A$6:$J$7,2,TRUE)</f>
        <v>2.6499999999999999E-2</v>
      </c>
      <c r="J332" s="22">
        <f t="shared" si="70"/>
        <v>0</v>
      </c>
      <c r="K332" s="22">
        <f t="shared" ref="K332:K395" si="75">IF(B333&gt;$K$2,0,IF(J333=0,0,1/$E$2))</f>
        <v>0</v>
      </c>
      <c r="L332">
        <f t="shared" si="66"/>
        <v>0</v>
      </c>
      <c r="M332" s="22">
        <f t="shared" ref="M332:M395" si="76">IF(B332&gt;$K$2,0,M331-H332-L332)</f>
        <v>0</v>
      </c>
      <c r="N332">
        <f>M331*Assumptions!$B$11/$E$2*J332</f>
        <v>0</v>
      </c>
      <c r="O332">
        <f>M331*Assumptions!$B$13/$E$2*J332</f>
        <v>0</v>
      </c>
      <c r="P332">
        <f>H332*Assumptions!$B$15</f>
        <v>0</v>
      </c>
      <c r="Q332">
        <f>O332*Assumptions!$B$17</f>
        <v>0</v>
      </c>
      <c r="R332">
        <f>HLOOKUP(B332,Assumptions!$A$26:$D$27,2,TRUE)</f>
        <v>0</v>
      </c>
      <c r="S332">
        <f t="shared" si="67"/>
        <v>0</v>
      </c>
      <c r="T332">
        <f t="shared" ref="T332:T395" si="77">($E$2*(B332+11))/12-INT(($E$2*(B332+11))/12)</f>
        <v>0.3333333333333357</v>
      </c>
      <c r="U332">
        <f>IF(B332&gt;$K$2,0,IF(T333=0,0,(1-T333)*Assumptions!$B$11/$E$2*(1-Assumptions!$B$30)))</f>
        <v>0</v>
      </c>
      <c r="V332">
        <f>(N332-O332)*(1-Assumptions!$B$30)-Q332+U331*M331</f>
        <v>0</v>
      </c>
      <c r="W332">
        <f>W331*(1+Assumptions!$B$36)^(1/12)</f>
        <v>1.3049586446148611</v>
      </c>
      <c r="X332" s="19">
        <f>IF(B332&gt;$K$2,0,W331*Assumptions!$B$32/12*M331+V332*Assumptions!$B$34/12)</f>
        <v>0</v>
      </c>
      <c r="Y332" s="20">
        <f>1/(1+HLOOKUP(YEAR(A332),Assumptions!$A$41:$AL$43,3,TRUE))^(1/12)</f>
        <v>0.99772443542808886</v>
      </c>
      <c r="Z332">
        <f t="shared" ref="Z332:Z395" si="78">(Z333+P333+Q333+S333+X333-N333)*Y333</f>
        <v>0</v>
      </c>
      <c r="AA332">
        <f t="shared" si="68"/>
        <v>0</v>
      </c>
    </row>
    <row r="333" spans="1:27" x14ac:dyDescent="0.2">
      <c r="A333" s="2">
        <f t="shared" si="69"/>
        <v>52901</v>
      </c>
      <c r="B333">
        <f t="shared" ref="B333:B396" si="79">B332+1</f>
        <v>414</v>
      </c>
      <c r="C333">
        <f t="shared" si="71"/>
        <v>34.416666666666664</v>
      </c>
      <c r="D333">
        <f t="shared" si="72"/>
        <v>0</v>
      </c>
      <c r="E333">
        <f t="shared" si="73"/>
        <v>89</v>
      </c>
      <c r="F333">
        <f>IF(C333&gt;=$J$2,0,VLOOKUP($E333,'Mortality Table'!$A$3:$C$128,2+G$2,FALSE))</f>
        <v>0</v>
      </c>
      <c r="G333">
        <f>F333*Assumptions!$B$1</f>
        <v>0</v>
      </c>
      <c r="H333">
        <f t="shared" si="74"/>
        <v>0</v>
      </c>
      <c r="I333">
        <f>HLOOKUP(C333,Assumptions!$A$6:$J$7,2,TRUE)</f>
        <v>2.6499999999999999E-2</v>
      </c>
      <c r="J333" s="22">
        <f t="shared" si="70"/>
        <v>0</v>
      </c>
      <c r="K333" s="22">
        <f t="shared" si="75"/>
        <v>0</v>
      </c>
      <c r="L333">
        <f t="shared" ref="L333:L396" si="80">(1-(1-I333)^K333)*(M332-H333)</f>
        <v>0</v>
      </c>
      <c r="M333" s="22">
        <f t="shared" si="76"/>
        <v>0</v>
      </c>
      <c r="N333">
        <f>M332*Assumptions!$B$11/$E$2*J333</f>
        <v>0</v>
      </c>
      <c r="O333">
        <f>M332*Assumptions!$B$13/$E$2*J333</f>
        <v>0</v>
      </c>
      <c r="P333">
        <f>H333*Assumptions!$B$15</f>
        <v>0</v>
      </c>
      <c r="Q333">
        <f>O333*Assumptions!$B$17</f>
        <v>0</v>
      </c>
      <c r="R333">
        <f>HLOOKUP(B333,Assumptions!$A$26:$D$27,2,TRUE)</f>
        <v>0</v>
      </c>
      <c r="S333">
        <f t="shared" ref="S333:S396" si="81">N333*R333</f>
        <v>0</v>
      </c>
      <c r="T333">
        <f t="shared" si="77"/>
        <v>0.4166666666666643</v>
      </c>
      <c r="U333">
        <f>IF(B333&gt;$K$2,0,IF(T334=0,0,(1-T334)*Assumptions!$B$11/$E$2*(1-Assumptions!$B$30)))</f>
        <v>0</v>
      </c>
      <c r="V333">
        <f>(N333-O333)*(1-Assumptions!$B$30)-Q333+U332*M332</f>
        <v>0</v>
      </c>
      <c r="W333">
        <f>W332*(1+Assumptions!$B$36)^(1/12)</f>
        <v>1.3060411575482147</v>
      </c>
      <c r="X333" s="19">
        <f>IF(B333&gt;$K$2,0,W332*Assumptions!$B$32/12*M332+V333*Assumptions!$B$34/12)</f>
        <v>0</v>
      </c>
      <c r="Y333" s="20">
        <f>1/(1+HLOOKUP(YEAR(A333),Assumptions!$A$41:$AL$43,3,TRUE))^(1/12)</f>
        <v>0.99772443542808886</v>
      </c>
      <c r="Z333">
        <f t="shared" si="78"/>
        <v>0</v>
      </c>
      <c r="AA333">
        <f t="shared" ref="AA333:AA396" si="82">P333+Q333</f>
        <v>0</v>
      </c>
    </row>
    <row r="334" spans="1:27" x14ac:dyDescent="0.2">
      <c r="A334" s="2">
        <f t="shared" si="69"/>
        <v>52931</v>
      </c>
      <c r="B334">
        <f t="shared" si="79"/>
        <v>415</v>
      </c>
      <c r="C334">
        <f t="shared" si="71"/>
        <v>34.5</v>
      </c>
      <c r="D334">
        <f t="shared" si="72"/>
        <v>0</v>
      </c>
      <c r="E334">
        <f t="shared" si="73"/>
        <v>89</v>
      </c>
      <c r="F334">
        <f>IF(C334&gt;=$J$2,0,VLOOKUP($E334,'Mortality Table'!$A$3:$C$128,2+G$2,FALSE))</f>
        <v>0</v>
      </c>
      <c r="G334">
        <f>F334*Assumptions!$B$1</f>
        <v>0</v>
      </c>
      <c r="H334">
        <f t="shared" si="74"/>
        <v>0</v>
      </c>
      <c r="I334">
        <f>HLOOKUP(C334,Assumptions!$A$6:$J$7,2,TRUE)</f>
        <v>2.6499999999999999E-2</v>
      </c>
      <c r="J334" s="22">
        <f t="shared" si="70"/>
        <v>0</v>
      </c>
      <c r="K334" s="22">
        <f t="shared" si="75"/>
        <v>0</v>
      </c>
      <c r="L334">
        <f t="shared" si="80"/>
        <v>0</v>
      </c>
      <c r="M334" s="22">
        <f t="shared" si="76"/>
        <v>0</v>
      </c>
      <c r="N334">
        <f>M333*Assumptions!$B$11/$E$2*J334</f>
        <v>0</v>
      </c>
      <c r="O334">
        <f>M333*Assumptions!$B$13/$E$2*J334</f>
        <v>0</v>
      </c>
      <c r="P334">
        <f>H334*Assumptions!$B$15</f>
        <v>0</v>
      </c>
      <c r="Q334">
        <f>O334*Assumptions!$B$17</f>
        <v>0</v>
      </c>
      <c r="R334">
        <f>HLOOKUP(B334,Assumptions!$A$26:$D$27,2,TRUE)</f>
        <v>0</v>
      </c>
      <c r="S334">
        <f t="shared" si="81"/>
        <v>0</v>
      </c>
      <c r="T334">
        <f t="shared" si="77"/>
        <v>0.5</v>
      </c>
      <c r="U334">
        <f>IF(B334&gt;$K$2,0,IF(T335=0,0,(1-T335)*Assumptions!$B$11/$E$2*(1-Assumptions!$B$30)))</f>
        <v>0</v>
      </c>
      <c r="V334">
        <f>(N334-O334)*(1-Assumptions!$B$30)-Q334+U333*M333</f>
        <v>0</v>
      </c>
      <c r="W334">
        <f>W333*(1+Assumptions!$B$36)^(1/12)</f>
        <v>1.3071245684673056</v>
      </c>
      <c r="X334" s="19">
        <f>IF(B334&gt;$K$2,0,W333*Assumptions!$B$32/12*M333+V334*Assumptions!$B$34/12)</f>
        <v>0</v>
      </c>
      <c r="Y334" s="20">
        <f>1/(1+HLOOKUP(YEAR(A334),Assumptions!$A$41:$AL$43,3,TRUE))^(1/12)</f>
        <v>0.99772443542808886</v>
      </c>
      <c r="Z334">
        <f t="shared" si="78"/>
        <v>0</v>
      </c>
      <c r="AA334">
        <f t="shared" si="82"/>
        <v>0</v>
      </c>
    </row>
    <row r="335" spans="1:27" x14ac:dyDescent="0.2">
      <c r="A335" s="2">
        <f t="shared" ref="A335:A398" si="83">DATE(YEAR(A334),MONTH(A334)+2,1)-1</f>
        <v>52962</v>
      </c>
      <c r="B335">
        <f t="shared" si="79"/>
        <v>416</v>
      </c>
      <c r="C335">
        <f t="shared" si="71"/>
        <v>34.583333333333336</v>
      </c>
      <c r="D335">
        <f t="shared" si="72"/>
        <v>0</v>
      </c>
      <c r="E335">
        <f t="shared" si="73"/>
        <v>89</v>
      </c>
      <c r="F335">
        <f>IF(C335&gt;=$J$2,0,VLOOKUP($E335,'Mortality Table'!$A$3:$C$128,2+G$2,FALSE))</f>
        <v>0</v>
      </c>
      <c r="G335">
        <f>F335*Assumptions!$B$1</f>
        <v>0</v>
      </c>
      <c r="H335">
        <f t="shared" si="74"/>
        <v>0</v>
      </c>
      <c r="I335">
        <f>HLOOKUP(C335,Assumptions!$A$6:$J$7,2,TRUE)</f>
        <v>2.6499999999999999E-2</v>
      </c>
      <c r="J335" s="22">
        <f t="shared" si="70"/>
        <v>0</v>
      </c>
      <c r="K335" s="22">
        <f t="shared" si="75"/>
        <v>0</v>
      </c>
      <c r="L335">
        <f t="shared" si="80"/>
        <v>0</v>
      </c>
      <c r="M335" s="22">
        <f t="shared" si="76"/>
        <v>0</v>
      </c>
      <c r="N335">
        <f>M334*Assumptions!$B$11/$E$2*J335</f>
        <v>0</v>
      </c>
      <c r="O335">
        <f>M334*Assumptions!$B$13/$E$2*J335</f>
        <v>0</v>
      </c>
      <c r="P335">
        <f>H335*Assumptions!$B$15</f>
        <v>0</v>
      </c>
      <c r="Q335">
        <f>O335*Assumptions!$B$17</f>
        <v>0</v>
      </c>
      <c r="R335">
        <f>HLOOKUP(B335,Assumptions!$A$26:$D$27,2,TRUE)</f>
        <v>0</v>
      </c>
      <c r="S335">
        <f t="shared" si="81"/>
        <v>0</v>
      </c>
      <c r="T335">
        <f t="shared" si="77"/>
        <v>0.5833333333333357</v>
      </c>
      <c r="U335">
        <f>IF(B335&gt;$K$2,0,IF(T336=0,0,(1-T336)*Assumptions!$B$11/$E$2*(1-Assumptions!$B$30)))</f>
        <v>0</v>
      </c>
      <c r="V335">
        <f>(N335-O335)*(1-Assumptions!$B$30)-Q335+U334*M334</f>
        <v>0</v>
      </c>
      <c r="W335">
        <f>W334*(1+Assumptions!$B$36)^(1/12)</f>
        <v>1.3082088781170476</v>
      </c>
      <c r="X335" s="19">
        <f>IF(B335&gt;$K$2,0,W334*Assumptions!$B$32/12*M334+V335*Assumptions!$B$34/12)</f>
        <v>0</v>
      </c>
      <c r="Y335" s="20">
        <f>1/(1+HLOOKUP(YEAR(A335),Assumptions!$A$41:$AL$43,3,TRUE))^(1/12)</f>
        <v>0.99772443542808886</v>
      </c>
      <c r="Z335">
        <f t="shared" si="78"/>
        <v>0</v>
      </c>
      <c r="AA335">
        <f t="shared" si="82"/>
        <v>0</v>
      </c>
    </row>
    <row r="336" spans="1:27" x14ac:dyDescent="0.2">
      <c r="A336" s="2">
        <f t="shared" si="83"/>
        <v>52993</v>
      </c>
      <c r="B336">
        <f t="shared" si="79"/>
        <v>417</v>
      </c>
      <c r="C336">
        <f t="shared" si="71"/>
        <v>34.666666666666664</v>
      </c>
      <c r="D336">
        <f t="shared" si="72"/>
        <v>0</v>
      </c>
      <c r="E336">
        <f t="shared" si="73"/>
        <v>89</v>
      </c>
      <c r="F336">
        <f>IF(C336&gt;=$J$2,0,VLOOKUP($E336,'Mortality Table'!$A$3:$C$128,2+G$2,FALSE))</f>
        <v>0</v>
      </c>
      <c r="G336">
        <f>F336*Assumptions!$B$1</f>
        <v>0</v>
      </c>
      <c r="H336">
        <f t="shared" si="74"/>
        <v>0</v>
      </c>
      <c r="I336">
        <f>HLOOKUP(C336,Assumptions!$A$6:$J$7,2,TRUE)</f>
        <v>2.6499999999999999E-2</v>
      </c>
      <c r="J336" s="22">
        <f t="shared" si="70"/>
        <v>0</v>
      </c>
      <c r="K336" s="22">
        <f t="shared" si="75"/>
        <v>0</v>
      </c>
      <c r="L336">
        <f t="shared" si="80"/>
        <v>0</v>
      </c>
      <c r="M336" s="22">
        <f t="shared" si="76"/>
        <v>0</v>
      </c>
      <c r="N336">
        <f>M335*Assumptions!$B$11/$E$2*J336</f>
        <v>0</v>
      </c>
      <c r="O336">
        <f>M335*Assumptions!$B$13/$E$2*J336</f>
        <v>0</v>
      </c>
      <c r="P336">
        <f>H336*Assumptions!$B$15</f>
        <v>0</v>
      </c>
      <c r="Q336">
        <f>O336*Assumptions!$B$17</f>
        <v>0</v>
      </c>
      <c r="R336">
        <f>HLOOKUP(B336,Assumptions!$A$26:$D$27,2,TRUE)</f>
        <v>0</v>
      </c>
      <c r="S336">
        <f t="shared" si="81"/>
        <v>0</v>
      </c>
      <c r="T336">
        <f t="shared" si="77"/>
        <v>0.6666666666666643</v>
      </c>
      <c r="U336">
        <f>IF(B336&gt;$K$2,0,IF(T337=0,0,(1-T337)*Assumptions!$B$11/$E$2*(1-Assumptions!$B$30)))</f>
        <v>0</v>
      </c>
      <c r="V336">
        <f>(N336-O336)*(1-Assumptions!$B$30)-Q336+U335*M335</f>
        <v>0</v>
      </c>
      <c r="W336">
        <f>W335*(1+Assumptions!$B$36)^(1/12)</f>
        <v>1.3092940872429717</v>
      </c>
      <c r="X336" s="19">
        <f>IF(B336&gt;$K$2,0,W335*Assumptions!$B$32/12*M335+V336*Assumptions!$B$34/12)</f>
        <v>0</v>
      </c>
      <c r="Y336" s="20">
        <f>1/(1+HLOOKUP(YEAR(A336),Assumptions!$A$41:$AL$43,3,TRUE))^(1/12)</f>
        <v>0.99770170546794923</v>
      </c>
      <c r="Z336">
        <f t="shared" si="78"/>
        <v>0</v>
      </c>
      <c r="AA336">
        <f t="shared" si="82"/>
        <v>0</v>
      </c>
    </row>
    <row r="337" spans="1:27" x14ac:dyDescent="0.2">
      <c r="A337" s="2">
        <f t="shared" si="83"/>
        <v>53021</v>
      </c>
      <c r="B337">
        <f t="shared" si="79"/>
        <v>418</v>
      </c>
      <c r="C337">
        <f t="shared" si="71"/>
        <v>34.75</v>
      </c>
      <c r="D337">
        <f t="shared" si="72"/>
        <v>0</v>
      </c>
      <c r="E337">
        <f t="shared" si="73"/>
        <v>89</v>
      </c>
      <c r="F337">
        <f>IF(C337&gt;=$J$2,0,VLOOKUP($E337,'Mortality Table'!$A$3:$C$128,2+G$2,FALSE))</f>
        <v>0</v>
      </c>
      <c r="G337">
        <f>F337*Assumptions!$B$1</f>
        <v>0</v>
      </c>
      <c r="H337">
        <f t="shared" si="74"/>
        <v>0</v>
      </c>
      <c r="I337">
        <f>HLOOKUP(C337,Assumptions!$A$6:$J$7,2,TRUE)</f>
        <v>2.6499999999999999E-2</v>
      </c>
      <c r="J337" s="22">
        <f t="shared" si="70"/>
        <v>0</v>
      </c>
      <c r="K337" s="22">
        <f t="shared" si="75"/>
        <v>0</v>
      </c>
      <c r="L337">
        <f t="shared" si="80"/>
        <v>0</v>
      </c>
      <c r="M337" s="22">
        <f t="shared" si="76"/>
        <v>0</v>
      </c>
      <c r="N337">
        <f>M336*Assumptions!$B$11/$E$2*J337</f>
        <v>0</v>
      </c>
      <c r="O337">
        <f>M336*Assumptions!$B$13/$E$2*J337</f>
        <v>0</v>
      </c>
      <c r="P337">
        <f>H337*Assumptions!$B$15</f>
        <v>0</v>
      </c>
      <c r="Q337">
        <f>O337*Assumptions!$B$17</f>
        <v>0</v>
      </c>
      <c r="R337">
        <f>HLOOKUP(B337,Assumptions!$A$26:$D$27,2,TRUE)</f>
        <v>0</v>
      </c>
      <c r="S337">
        <f t="shared" si="81"/>
        <v>0</v>
      </c>
      <c r="T337">
        <f t="shared" si="77"/>
        <v>0.75</v>
      </c>
      <c r="U337">
        <f>IF(B337&gt;$K$2,0,IF(T338=0,0,(1-T338)*Assumptions!$B$11/$E$2*(1-Assumptions!$B$30)))</f>
        <v>0</v>
      </c>
      <c r="V337">
        <f>(N337-O337)*(1-Assumptions!$B$30)-Q337+U336*M336</f>
        <v>0</v>
      </c>
      <c r="W337">
        <f>W336*(1+Assumptions!$B$36)^(1/12)</f>
        <v>1.3103801965912278</v>
      </c>
      <c r="X337" s="19">
        <f>IF(B337&gt;$K$2,0,W336*Assumptions!$B$32/12*M336+V337*Assumptions!$B$34/12)</f>
        <v>0</v>
      </c>
      <c r="Y337" s="20">
        <f>1/(1+HLOOKUP(YEAR(A337),Assumptions!$A$41:$AL$43,3,TRUE))^(1/12)</f>
        <v>0.99770170546794923</v>
      </c>
      <c r="Z337">
        <f t="shared" si="78"/>
        <v>0</v>
      </c>
      <c r="AA337">
        <f t="shared" si="82"/>
        <v>0</v>
      </c>
    </row>
    <row r="338" spans="1:27" x14ac:dyDescent="0.2">
      <c r="A338" s="2">
        <f t="shared" si="83"/>
        <v>53052</v>
      </c>
      <c r="B338">
        <f t="shared" si="79"/>
        <v>419</v>
      </c>
      <c r="C338">
        <f t="shared" si="71"/>
        <v>34.833333333333336</v>
      </c>
      <c r="D338">
        <f t="shared" si="72"/>
        <v>0</v>
      </c>
      <c r="E338">
        <f t="shared" si="73"/>
        <v>89</v>
      </c>
      <c r="F338">
        <f>IF(C338&gt;=$J$2,0,VLOOKUP($E338,'Mortality Table'!$A$3:$C$128,2+G$2,FALSE))</f>
        <v>0</v>
      </c>
      <c r="G338">
        <f>F338*Assumptions!$B$1</f>
        <v>0</v>
      </c>
      <c r="H338">
        <f t="shared" si="74"/>
        <v>0</v>
      </c>
      <c r="I338">
        <f>HLOOKUP(C338,Assumptions!$A$6:$J$7,2,TRUE)</f>
        <v>2.6499999999999999E-2</v>
      </c>
      <c r="J338" s="22">
        <f t="shared" si="70"/>
        <v>0</v>
      </c>
      <c r="K338" s="22">
        <f t="shared" si="75"/>
        <v>0</v>
      </c>
      <c r="L338">
        <f t="shared" si="80"/>
        <v>0</v>
      </c>
      <c r="M338" s="22">
        <f t="shared" si="76"/>
        <v>0</v>
      </c>
      <c r="N338">
        <f>M337*Assumptions!$B$11/$E$2*J338</f>
        <v>0</v>
      </c>
      <c r="O338">
        <f>M337*Assumptions!$B$13/$E$2*J338</f>
        <v>0</v>
      </c>
      <c r="P338">
        <f>H338*Assumptions!$B$15</f>
        <v>0</v>
      </c>
      <c r="Q338">
        <f>O338*Assumptions!$B$17</f>
        <v>0</v>
      </c>
      <c r="R338">
        <f>HLOOKUP(B338,Assumptions!$A$26:$D$27,2,TRUE)</f>
        <v>0</v>
      </c>
      <c r="S338">
        <f t="shared" si="81"/>
        <v>0</v>
      </c>
      <c r="T338">
        <f t="shared" si="77"/>
        <v>0.8333333333333357</v>
      </c>
      <c r="U338">
        <f>IF(B338&gt;$K$2,0,IF(T339=0,0,(1-T339)*Assumptions!$B$11/$E$2*(1-Assumptions!$B$30)))</f>
        <v>0</v>
      </c>
      <c r="V338">
        <f>(N338-O338)*(1-Assumptions!$B$30)-Q338+U337*M337</f>
        <v>0</v>
      </c>
      <c r="W338">
        <f>W337*(1+Assumptions!$B$36)^(1/12)</f>
        <v>1.3114672069085846</v>
      </c>
      <c r="X338" s="19">
        <f>IF(B338&gt;$K$2,0,W337*Assumptions!$B$32/12*M337+V338*Assumptions!$B$34/12)</f>
        <v>0</v>
      </c>
      <c r="Y338" s="20">
        <f>1/(1+HLOOKUP(YEAR(A338),Assumptions!$A$41:$AL$43,3,TRUE))^(1/12)</f>
        <v>0.99770170546794923</v>
      </c>
      <c r="Z338">
        <f t="shared" si="78"/>
        <v>0</v>
      </c>
      <c r="AA338">
        <f t="shared" si="82"/>
        <v>0</v>
      </c>
    </row>
    <row r="339" spans="1:27" x14ac:dyDescent="0.2">
      <c r="A339" s="2">
        <f t="shared" si="83"/>
        <v>53082</v>
      </c>
      <c r="B339">
        <f t="shared" si="79"/>
        <v>420</v>
      </c>
      <c r="C339">
        <f t="shared" si="71"/>
        <v>34.916666666666664</v>
      </c>
      <c r="D339">
        <f t="shared" si="72"/>
        <v>0</v>
      </c>
      <c r="E339">
        <f t="shared" si="73"/>
        <v>89</v>
      </c>
      <c r="F339">
        <f>IF(C339&gt;=$J$2,0,VLOOKUP($E339,'Mortality Table'!$A$3:$C$128,2+G$2,FALSE))</f>
        <v>0</v>
      </c>
      <c r="G339">
        <f>F339*Assumptions!$B$1</f>
        <v>0</v>
      </c>
      <c r="H339">
        <f t="shared" si="74"/>
        <v>0</v>
      </c>
      <c r="I339">
        <f>HLOOKUP(C339,Assumptions!$A$6:$J$7,2,TRUE)</f>
        <v>2.6499999999999999E-2</v>
      </c>
      <c r="J339" s="22">
        <f t="shared" si="70"/>
        <v>0</v>
      </c>
      <c r="K339" s="22">
        <f t="shared" si="75"/>
        <v>0</v>
      </c>
      <c r="L339">
        <f t="shared" si="80"/>
        <v>0</v>
      </c>
      <c r="M339" s="22">
        <f t="shared" si="76"/>
        <v>0</v>
      </c>
      <c r="N339">
        <f>M338*Assumptions!$B$11/$E$2*J339</f>
        <v>0</v>
      </c>
      <c r="O339">
        <f>M338*Assumptions!$B$13/$E$2*J339</f>
        <v>0</v>
      </c>
      <c r="P339">
        <f>H339*Assumptions!$B$15</f>
        <v>0</v>
      </c>
      <c r="Q339">
        <f>O339*Assumptions!$B$17</f>
        <v>0</v>
      </c>
      <c r="R339">
        <f>HLOOKUP(B339,Assumptions!$A$26:$D$27,2,TRUE)</f>
        <v>0</v>
      </c>
      <c r="S339">
        <f t="shared" si="81"/>
        <v>0</v>
      </c>
      <c r="T339">
        <f t="shared" si="77"/>
        <v>0.9166666666666643</v>
      </c>
      <c r="U339">
        <f>IF(B339&gt;$K$2,0,IF(T340=0,0,(1-T340)*Assumptions!$B$11/$E$2*(1-Assumptions!$B$30)))</f>
        <v>0</v>
      </c>
      <c r="V339">
        <f>(N339-O339)*(1-Assumptions!$B$30)-Q339+U338*M338</f>
        <v>0</v>
      </c>
      <c r="W339">
        <f>W338*(1+Assumptions!$B$36)^(1/12)</f>
        <v>1.3125551189424305</v>
      </c>
      <c r="X339" s="19">
        <f>IF(B339&gt;$K$2,0,W338*Assumptions!$B$32/12*M338+V339*Assumptions!$B$34/12)</f>
        <v>0</v>
      </c>
      <c r="Y339" s="20">
        <f>1/(1+HLOOKUP(YEAR(A339),Assumptions!$A$41:$AL$43,3,TRUE))^(1/12)</f>
        <v>0.99770170546794923</v>
      </c>
      <c r="Z339">
        <f t="shared" si="78"/>
        <v>0</v>
      </c>
      <c r="AA339">
        <f t="shared" si="82"/>
        <v>0</v>
      </c>
    </row>
    <row r="340" spans="1:27" x14ac:dyDescent="0.2">
      <c r="A340" s="2">
        <f t="shared" si="83"/>
        <v>53113</v>
      </c>
      <c r="B340">
        <f t="shared" si="79"/>
        <v>421</v>
      </c>
      <c r="C340">
        <f t="shared" si="71"/>
        <v>35</v>
      </c>
      <c r="D340">
        <f t="shared" si="72"/>
        <v>1</v>
      </c>
      <c r="E340">
        <f t="shared" si="73"/>
        <v>90</v>
      </c>
      <c r="F340">
        <f>IF(C340&gt;=$J$2,0,VLOOKUP($E340,'Mortality Table'!$A$3:$C$128,2+G$2,FALSE))</f>
        <v>0</v>
      </c>
      <c r="G340">
        <f>F340*Assumptions!$B$1</f>
        <v>0</v>
      </c>
      <c r="H340">
        <f t="shared" si="74"/>
        <v>0</v>
      </c>
      <c r="I340">
        <f>HLOOKUP(C340,Assumptions!$A$6:$J$7,2,TRUE)</f>
        <v>2.6499999999999999E-2</v>
      </c>
      <c r="J340" s="22">
        <f t="shared" si="70"/>
        <v>0</v>
      </c>
      <c r="K340" s="22">
        <f t="shared" si="75"/>
        <v>0</v>
      </c>
      <c r="L340">
        <f t="shared" si="80"/>
        <v>0</v>
      </c>
      <c r="M340" s="22">
        <f t="shared" si="76"/>
        <v>0</v>
      </c>
      <c r="N340">
        <f>M339*Assumptions!$B$11/$E$2*J340</f>
        <v>0</v>
      </c>
      <c r="O340">
        <f>M339*Assumptions!$B$13/$E$2*J340</f>
        <v>0</v>
      </c>
      <c r="P340">
        <f>H340*Assumptions!$B$15</f>
        <v>0</v>
      </c>
      <c r="Q340">
        <f>O340*Assumptions!$B$17</f>
        <v>0</v>
      </c>
      <c r="R340">
        <f>HLOOKUP(B340,Assumptions!$A$26:$D$27,2,TRUE)</f>
        <v>0</v>
      </c>
      <c r="S340">
        <f t="shared" si="81"/>
        <v>0</v>
      </c>
      <c r="T340">
        <f t="shared" si="77"/>
        <v>0</v>
      </c>
      <c r="U340">
        <f>IF(B340&gt;$K$2,0,IF(T341=0,0,(1-T341)*Assumptions!$B$11/$E$2*(1-Assumptions!$B$30)))</f>
        <v>0</v>
      </c>
      <c r="V340">
        <f>(N340-O340)*(1-Assumptions!$B$30)-Q340+U339*M339</f>
        <v>0</v>
      </c>
      <c r="W340">
        <f>W339*(1+Assumptions!$B$36)^(1/12)</f>
        <v>1.3136439334407735</v>
      </c>
      <c r="X340" s="19">
        <f>IF(B340&gt;$K$2,0,W339*Assumptions!$B$32/12*M339+V340*Assumptions!$B$34/12)</f>
        <v>0</v>
      </c>
      <c r="Y340" s="20">
        <f>1/(1+HLOOKUP(YEAR(A340),Assumptions!$A$41:$AL$43,3,TRUE))^(1/12)</f>
        <v>0.99770170546794923</v>
      </c>
      <c r="Z340">
        <f t="shared" si="78"/>
        <v>0</v>
      </c>
      <c r="AA340">
        <f t="shared" si="82"/>
        <v>0</v>
      </c>
    </row>
    <row r="341" spans="1:27" x14ac:dyDescent="0.2">
      <c r="A341" s="2">
        <f t="shared" si="83"/>
        <v>53143</v>
      </c>
      <c r="B341">
        <f t="shared" si="79"/>
        <v>422</v>
      </c>
      <c r="C341">
        <f t="shared" si="71"/>
        <v>35.083333333333336</v>
      </c>
      <c r="D341">
        <f t="shared" si="72"/>
        <v>0</v>
      </c>
      <c r="E341">
        <f t="shared" si="73"/>
        <v>90</v>
      </c>
      <c r="F341">
        <f>IF(C341&gt;=$J$2,0,VLOOKUP($E341,'Mortality Table'!$A$3:$C$128,2+G$2,FALSE))</f>
        <v>0</v>
      </c>
      <c r="G341">
        <f>F341*Assumptions!$B$1</f>
        <v>0</v>
      </c>
      <c r="H341">
        <f t="shared" si="74"/>
        <v>0</v>
      </c>
      <c r="I341">
        <f>HLOOKUP(C341,Assumptions!$A$6:$J$7,2,TRUE)</f>
        <v>2.6499999999999999E-2</v>
      </c>
      <c r="J341" s="22">
        <f t="shared" si="70"/>
        <v>0</v>
      </c>
      <c r="K341" s="22">
        <f t="shared" si="75"/>
        <v>0</v>
      </c>
      <c r="L341">
        <f t="shared" si="80"/>
        <v>0</v>
      </c>
      <c r="M341" s="22">
        <f t="shared" si="76"/>
        <v>0</v>
      </c>
      <c r="N341">
        <f>M340*Assumptions!$B$11/$E$2*J341</f>
        <v>0</v>
      </c>
      <c r="O341">
        <f>M340*Assumptions!$B$13/$E$2*J341</f>
        <v>0</v>
      </c>
      <c r="P341">
        <f>H341*Assumptions!$B$15</f>
        <v>0</v>
      </c>
      <c r="Q341">
        <f>O341*Assumptions!$B$17</f>
        <v>0</v>
      </c>
      <c r="R341">
        <f>HLOOKUP(B341,Assumptions!$A$26:$D$27,2,TRUE)</f>
        <v>0</v>
      </c>
      <c r="S341">
        <f t="shared" si="81"/>
        <v>0</v>
      </c>
      <c r="T341">
        <f t="shared" si="77"/>
        <v>8.3333333333335702E-2</v>
      </c>
      <c r="U341">
        <f>IF(B341&gt;$K$2,0,IF(T342=0,0,(1-T342)*Assumptions!$B$11/$E$2*(1-Assumptions!$B$30)))</f>
        <v>0</v>
      </c>
      <c r="V341">
        <f>(N341-O341)*(1-Assumptions!$B$30)-Q341+U340*M340</f>
        <v>0</v>
      </c>
      <c r="W341">
        <f>W340*(1+Assumptions!$B$36)^(1/12)</f>
        <v>1.3147336511522423</v>
      </c>
      <c r="X341" s="19">
        <f>IF(B341&gt;$K$2,0,W340*Assumptions!$B$32/12*M340+V341*Assumptions!$B$34/12)</f>
        <v>0</v>
      </c>
      <c r="Y341" s="20">
        <f>1/(1+HLOOKUP(YEAR(A341),Assumptions!$A$41:$AL$43,3,TRUE))^(1/12)</f>
        <v>0.99770170546794923</v>
      </c>
      <c r="Z341">
        <f t="shared" si="78"/>
        <v>0</v>
      </c>
      <c r="AA341">
        <f t="shared" si="82"/>
        <v>0</v>
      </c>
    </row>
    <row r="342" spans="1:27" x14ac:dyDescent="0.2">
      <c r="A342" s="2">
        <f t="shared" si="83"/>
        <v>53174</v>
      </c>
      <c r="B342">
        <f t="shared" si="79"/>
        <v>423</v>
      </c>
      <c r="C342">
        <f t="shared" si="71"/>
        <v>35.166666666666664</v>
      </c>
      <c r="D342">
        <f t="shared" si="72"/>
        <v>0</v>
      </c>
      <c r="E342">
        <f t="shared" si="73"/>
        <v>90</v>
      </c>
      <c r="F342">
        <f>IF(C342&gt;=$J$2,0,VLOOKUP($E342,'Mortality Table'!$A$3:$C$128,2+G$2,FALSE))</f>
        <v>0</v>
      </c>
      <c r="G342">
        <f>F342*Assumptions!$B$1</f>
        <v>0</v>
      </c>
      <c r="H342">
        <f t="shared" si="74"/>
        <v>0</v>
      </c>
      <c r="I342">
        <f>HLOOKUP(C342,Assumptions!$A$6:$J$7,2,TRUE)</f>
        <v>2.6499999999999999E-2</v>
      </c>
      <c r="J342" s="22">
        <f t="shared" si="70"/>
        <v>0</v>
      </c>
      <c r="K342" s="22">
        <f t="shared" si="75"/>
        <v>0</v>
      </c>
      <c r="L342">
        <f t="shared" si="80"/>
        <v>0</v>
      </c>
      <c r="M342" s="22">
        <f t="shared" si="76"/>
        <v>0</v>
      </c>
      <c r="N342">
        <f>M341*Assumptions!$B$11/$E$2*J342</f>
        <v>0</v>
      </c>
      <c r="O342">
        <f>M341*Assumptions!$B$13/$E$2*J342</f>
        <v>0</v>
      </c>
      <c r="P342">
        <f>H342*Assumptions!$B$15</f>
        <v>0</v>
      </c>
      <c r="Q342">
        <f>O342*Assumptions!$B$17</f>
        <v>0</v>
      </c>
      <c r="R342">
        <f>HLOOKUP(B342,Assumptions!$A$26:$D$27,2,TRUE)</f>
        <v>0</v>
      </c>
      <c r="S342">
        <f t="shared" si="81"/>
        <v>0</v>
      </c>
      <c r="T342">
        <f t="shared" si="77"/>
        <v>0.1666666666666643</v>
      </c>
      <c r="U342">
        <f>IF(B342&gt;$K$2,0,IF(T343=0,0,(1-T343)*Assumptions!$B$11/$E$2*(1-Assumptions!$B$30)))</f>
        <v>0</v>
      </c>
      <c r="V342">
        <f>(N342-O342)*(1-Assumptions!$B$30)-Q342+U341*M341</f>
        <v>0</v>
      </c>
      <c r="W342">
        <f>W341*(1+Assumptions!$B$36)^(1/12)</f>
        <v>1.3158242728260865</v>
      </c>
      <c r="X342" s="19">
        <f>IF(B342&gt;$K$2,0,W341*Assumptions!$B$32/12*M341+V342*Assumptions!$B$34/12)</f>
        <v>0</v>
      </c>
      <c r="Y342" s="20">
        <f>1/(1+HLOOKUP(YEAR(A342),Assumptions!$A$41:$AL$43,3,TRUE))^(1/12)</f>
        <v>0.99770170546794923</v>
      </c>
      <c r="Z342">
        <f t="shared" si="78"/>
        <v>0</v>
      </c>
      <c r="AA342">
        <f t="shared" si="82"/>
        <v>0</v>
      </c>
    </row>
    <row r="343" spans="1:27" x14ac:dyDescent="0.2">
      <c r="A343" s="2">
        <f t="shared" si="83"/>
        <v>53205</v>
      </c>
      <c r="B343">
        <f t="shared" si="79"/>
        <v>424</v>
      </c>
      <c r="C343">
        <f t="shared" si="71"/>
        <v>35.25</v>
      </c>
      <c r="D343">
        <f t="shared" si="72"/>
        <v>0</v>
      </c>
      <c r="E343">
        <f t="shared" si="73"/>
        <v>90</v>
      </c>
      <c r="F343">
        <f>IF(C343&gt;=$J$2,0,VLOOKUP($E343,'Mortality Table'!$A$3:$C$128,2+G$2,FALSE))</f>
        <v>0</v>
      </c>
      <c r="G343">
        <f>F343*Assumptions!$B$1</f>
        <v>0</v>
      </c>
      <c r="H343">
        <f t="shared" si="74"/>
        <v>0</v>
      </c>
      <c r="I343">
        <f>HLOOKUP(C343,Assumptions!$A$6:$J$7,2,TRUE)</f>
        <v>2.6499999999999999E-2</v>
      </c>
      <c r="J343" s="22">
        <f t="shared" si="70"/>
        <v>0</v>
      </c>
      <c r="K343" s="22">
        <f t="shared" si="75"/>
        <v>0</v>
      </c>
      <c r="L343">
        <f t="shared" si="80"/>
        <v>0</v>
      </c>
      <c r="M343" s="22">
        <f t="shared" si="76"/>
        <v>0</v>
      </c>
      <c r="N343">
        <f>M342*Assumptions!$B$11/$E$2*J343</f>
        <v>0</v>
      </c>
      <c r="O343">
        <f>M342*Assumptions!$B$13/$E$2*J343</f>
        <v>0</v>
      </c>
      <c r="P343">
        <f>H343*Assumptions!$B$15</f>
        <v>0</v>
      </c>
      <c r="Q343">
        <f>O343*Assumptions!$B$17</f>
        <v>0</v>
      </c>
      <c r="R343">
        <f>HLOOKUP(B343,Assumptions!$A$26:$D$27,2,TRUE)</f>
        <v>0</v>
      </c>
      <c r="S343">
        <f t="shared" si="81"/>
        <v>0</v>
      </c>
      <c r="T343">
        <f t="shared" si="77"/>
        <v>0.25</v>
      </c>
      <c r="U343">
        <f>IF(B343&gt;$K$2,0,IF(T344=0,0,(1-T344)*Assumptions!$B$11/$E$2*(1-Assumptions!$B$30)))</f>
        <v>0</v>
      </c>
      <c r="V343">
        <f>(N343-O343)*(1-Assumptions!$B$30)-Q343+U342*M342</f>
        <v>0</v>
      </c>
      <c r="W343">
        <f>W342*(1+Assumptions!$B$36)^(1/12)</f>
        <v>1.3169157992121776</v>
      </c>
      <c r="X343" s="19">
        <f>IF(B343&gt;$K$2,0,W342*Assumptions!$B$32/12*M342+V343*Assumptions!$B$34/12)</f>
        <v>0</v>
      </c>
      <c r="Y343" s="20">
        <f>1/(1+HLOOKUP(YEAR(A343),Assumptions!$A$41:$AL$43,3,TRUE))^(1/12)</f>
        <v>0.99770170546794923</v>
      </c>
      <c r="Z343">
        <f t="shared" si="78"/>
        <v>0</v>
      </c>
      <c r="AA343">
        <f t="shared" si="82"/>
        <v>0</v>
      </c>
    </row>
    <row r="344" spans="1:27" x14ac:dyDescent="0.2">
      <c r="A344" s="2">
        <f t="shared" si="83"/>
        <v>53235</v>
      </c>
      <c r="B344">
        <f t="shared" si="79"/>
        <v>425</v>
      </c>
      <c r="C344">
        <f t="shared" si="71"/>
        <v>35.333333333333336</v>
      </c>
      <c r="D344">
        <f t="shared" si="72"/>
        <v>0</v>
      </c>
      <c r="E344">
        <f t="shared" si="73"/>
        <v>90</v>
      </c>
      <c r="F344">
        <f>IF(C344&gt;=$J$2,0,VLOOKUP($E344,'Mortality Table'!$A$3:$C$128,2+G$2,FALSE))</f>
        <v>0</v>
      </c>
      <c r="G344">
        <f>F344*Assumptions!$B$1</f>
        <v>0</v>
      </c>
      <c r="H344">
        <f t="shared" si="74"/>
        <v>0</v>
      </c>
      <c r="I344">
        <f>HLOOKUP(C344,Assumptions!$A$6:$J$7,2,TRUE)</f>
        <v>2.6499999999999999E-2</v>
      </c>
      <c r="J344" s="22">
        <f t="shared" si="70"/>
        <v>0</v>
      </c>
      <c r="K344" s="22">
        <f t="shared" si="75"/>
        <v>0</v>
      </c>
      <c r="L344">
        <f t="shared" si="80"/>
        <v>0</v>
      </c>
      <c r="M344" s="22">
        <f t="shared" si="76"/>
        <v>0</v>
      </c>
      <c r="N344">
        <f>M343*Assumptions!$B$11/$E$2*J344</f>
        <v>0</v>
      </c>
      <c r="O344">
        <f>M343*Assumptions!$B$13/$E$2*J344</f>
        <v>0</v>
      </c>
      <c r="P344">
        <f>H344*Assumptions!$B$15</f>
        <v>0</v>
      </c>
      <c r="Q344">
        <f>O344*Assumptions!$B$17</f>
        <v>0</v>
      </c>
      <c r="R344">
        <f>HLOOKUP(B344,Assumptions!$A$26:$D$27,2,TRUE)</f>
        <v>0</v>
      </c>
      <c r="S344">
        <f t="shared" si="81"/>
        <v>0</v>
      </c>
      <c r="T344">
        <f t="shared" si="77"/>
        <v>0.3333333333333357</v>
      </c>
      <c r="U344">
        <f>IF(B344&gt;$K$2,0,IF(T345=0,0,(1-T345)*Assumptions!$B$11/$E$2*(1-Assumptions!$B$30)))</f>
        <v>0</v>
      </c>
      <c r="V344">
        <f>(N344-O344)*(1-Assumptions!$B$30)-Q344+U343*M343</f>
        <v>0</v>
      </c>
      <c r="W344">
        <f>W343*(1+Assumptions!$B$36)^(1/12)</f>
        <v>1.3180082310610088</v>
      </c>
      <c r="X344" s="19">
        <f>IF(B344&gt;$K$2,0,W343*Assumptions!$B$32/12*M343+V344*Assumptions!$B$34/12)</f>
        <v>0</v>
      </c>
      <c r="Y344" s="20">
        <f>1/(1+HLOOKUP(YEAR(A344),Assumptions!$A$41:$AL$43,3,TRUE))^(1/12)</f>
        <v>0.99770170546794923</v>
      </c>
      <c r="Z344">
        <f t="shared" si="78"/>
        <v>0</v>
      </c>
      <c r="AA344">
        <f t="shared" si="82"/>
        <v>0</v>
      </c>
    </row>
    <row r="345" spans="1:27" x14ac:dyDescent="0.2">
      <c r="A345" s="2">
        <f t="shared" si="83"/>
        <v>53266</v>
      </c>
      <c r="B345">
        <f t="shared" si="79"/>
        <v>426</v>
      </c>
      <c r="C345">
        <f t="shared" si="71"/>
        <v>35.416666666666664</v>
      </c>
      <c r="D345">
        <f t="shared" si="72"/>
        <v>0</v>
      </c>
      <c r="E345">
        <f t="shared" si="73"/>
        <v>90</v>
      </c>
      <c r="F345">
        <f>IF(C345&gt;=$J$2,0,VLOOKUP($E345,'Mortality Table'!$A$3:$C$128,2+G$2,FALSE))</f>
        <v>0</v>
      </c>
      <c r="G345">
        <f>F345*Assumptions!$B$1</f>
        <v>0</v>
      </c>
      <c r="H345">
        <f t="shared" si="74"/>
        <v>0</v>
      </c>
      <c r="I345">
        <f>HLOOKUP(C345,Assumptions!$A$6:$J$7,2,TRUE)</f>
        <v>2.6499999999999999E-2</v>
      </c>
      <c r="J345" s="22">
        <f t="shared" si="70"/>
        <v>0</v>
      </c>
      <c r="K345" s="22">
        <f t="shared" si="75"/>
        <v>0</v>
      </c>
      <c r="L345">
        <f t="shared" si="80"/>
        <v>0</v>
      </c>
      <c r="M345" s="22">
        <f t="shared" si="76"/>
        <v>0</v>
      </c>
      <c r="N345">
        <f>M344*Assumptions!$B$11/$E$2*J345</f>
        <v>0</v>
      </c>
      <c r="O345">
        <f>M344*Assumptions!$B$13/$E$2*J345</f>
        <v>0</v>
      </c>
      <c r="P345">
        <f>H345*Assumptions!$B$15</f>
        <v>0</v>
      </c>
      <c r="Q345">
        <f>O345*Assumptions!$B$17</f>
        <v>0</v>
      </c>
      <c r="R345">
        <f>HLOOKUP(B345,Assumptions!$A$26:$D$27,2,TRUE)</f>
        <v>0</v>
      </c>
      <c r="S345">
        <f t="shared" si="81"/>
        <v>0</v>
      </c>
      <c r="T345">
        <f t="shared" si="77"/>
        <v>0.4166666666666643</v>
      </c>
      <c r="U345">
        <f>IF(B345&gt;$K$2,0,IF(T346=0,0,(1-T346)*Assumptions!$B$11/$E$2*(1-Assumptions!$B$30)))</f>
        <v>0</v>
      </c>
      <c r="V345">
        <f>(N345-O345)*(1-Assumptions!$B$30)-Q345+U344*M344</f>
        <v>0</v>
      </c>
      <c r="W345">
        <f>W344*(1+Assumptions!$B$36)^(1/12)</f>
        <v>1.3191015691236958</v>
      </c>
      <c r="X345" s="19">
        <f>IF(B345&gt;$K$2,0,W344*Assumptions!$B$32/12*M344+V345*Assumptions!$B$34/12)</f>
        <v>0</v>
      </c>
      <c r="Y345" s="20">
        <f>1/(1+HLOOKUP(YEAR(A345),Assumptions!$A$41:$AL$43,3,TRUE))^(1/12)</f>
        <v>0.99770170546794923</v>
      </c>
      <c r="Z345">
        <f t="shared" si="78"/>
        <v>0</v>
      </c>
      <c r="AA345">
        <f t="shared" si="82"/>
        <v>0</v>
      </c>
    </row>
    <row r="346" spans="1:27" x14ac:dyDescent="0.2">
      <c r="A346" s="2">
        <f t="shared" si="83"/>
        <v>53296</v>
      </c>
      <c r="B346">
        <f t="shared" si="79"/>
        <v>427</v>
      </c>
      <c r="C346">
        <f t="shared" si="71"/>
        <v>35.5</v>
      </c>
      <c r="D346">
        <f t="shared" si="72"/>
        <v>0</v>
      </c>
      <c r="E346">
        <f t="shared" si="73"/>
        <v>90</v>
      </c>
      <c r="F346">
        <f>IF(C346&gt;=$J$2,0,VLOOKUP($E346,'Mortality Table'!$A$3:$C$128,2+G$2,FALSE))</f>
        <v>0</v>
      </c>
      <c r="G346">
        <f>F346*Assumptions!$B$1</f>
        <v>0</v>
      </c>
      <c r="H346">
        <f t="shared" si="74"/>
        <v>0</v>
      </c>
      <c r="I346">
        <f>HLOOKUP(C346,Assumptions!$A$6:$J$7,2,TRUE)</f>
        <v>2.6499999999999999E-2</v>
      </c>
      <c r="J346" s="22">
        <f t="shared" si="70"/>
        <v>0</v>
      </c>
      <c r="K346" s="22">
        <f t="shared" si="75"/>
        <v>0</v>
      </c>
      <c r="L346">
        <f t="shared" si="80"/>
        <v>0</v>
      </c>
      <c r="M346" s="22">
        <f t="shared" si="76"/>
        <v>0</v>
      </c>
      <c r="N346">
        <f>M345*Assumptions!$B$11/$E$2*J346</f>
        <v>0</v>
      </c>
      <c r="O346">
        <f>M345*Assumptions!$B$13/$E$2*J346</f>
        <v>0</v>
      </c>
      <c r="P346">
        <f>H346*Assumptions!$B$15</f>
        <v>0</v>
      </c>
      <c r="Q346">
        <f>O346*Assumptions!$B$17</f>
        <v>0</v>
      </c>
      <c r="R346">
        <f>HLOOKUP(B346,Assumptions!$A$26:$D$27,2,TRUE)</f>
        <v>0</v>
      </c>
      <c r="S346">
        <f t="shared" si="81"/>
        <v>0</v>
      </c>
      <c r="T346">
        <f t="shared" si="77"/>
        <v>0.5</v>
      </c>
      <c r="U346">
        <f>IF(B346&gt;$K$2,0,IF(T347=0,0,(1-T347)*Assumptions!$B$11/$E$2*(1-Assumptions!$B$30)))</f>
        <v>0</v>
      </c>
      <c r="V346">
        <f>(N346-O346)*(1-Assumptions!$B$30)-Q346+U345*M345</f>
        <v>0</v>
      </c>
      <c r="W346">
        <f>W345*(1+Assumptions!$B$36)^(1/12)</f>
        <v>1.3201958141519778</v>
      </c>
      <c r="X346" s="19">
        <f>IF(B346&gt;$K$2,0,W345*Assumptions!$B$32/12*M345+V346*Assumptions!$B$34/12)</f>
        <v>0</v>
      </c>
      <c r="Y346" s="20">
        <f>1/(1+HLOOKUP(YEAR(A346),Assumptions!$A$41:$AL$43,3,TRUE))^(1/12)</f>
        <v>0.99770170546794923</v>
      </c>
      <c r="Z346">
        <f t="shared" si="78"/>
        <v>0</v>
      </c>
      <c r="AA346">
        <f t="shared" si="82"/>
        <v>0</v>
      </c>
    </row>
    <row r="347" spans="1:27" x14ac:dyDescent="0.2">
      <c r="A347" s="2">
        <f t="shared" si="83"/>
        <v>53327</v>
      </c>
      <c r="B347">
        <f t="shared" si="79"/>
        <v>428</v>
      </c>
      <c r="C347">
        <f t="shared" si="71"/>
        <v>35.583333333333336</v>
      </c>
      <c r="D347">
        <f t="shared" si="72"/>
        <v>0</v>
      </c>
      <c r="E347">
        <f t="shared" si="73"/>
        <v>90</v>
      </c>
      <c r="F347">
        <f>IF(C347&gt;=$J$2,0,VLOOKUP($E347,'Mortality Table'!$A$3:$C$128,2+G$2,FALSE))</f>
        <v>0</v>
      </c>
      <c r="G347">
        <f>F347*Assumptions!$B$1</f>
        <v>0</v>
      </c>
      <c r="H347">
        <f t="shared" si="74"/>
        <v>0</v>
      </c>
      <c r="I347">
        <f>HLOOKUP(C347,Assumptions!$A$6:$J$7,2,TRUE)</f>
        <v>2.6499999999999999E-2</v>
      </c>
      <c r="J347" s="22">
        <f t="shared" si="70"/>
        <v>0</v>
      </c>
      <c r="K347" s="22">
        <f t="shared" si="75"/>
        <v>0</v>
      </c>
      <c r="L347">
        <f t="shared" si="80"/>
        <v>0</v>
      </c>
      <c r="M347" s="22">
        <f t="shared" si="76"/>
        <v>0</v>
      </c>
      <c r="N347">
        <f>M346*Assumptions!$B$11/$E$2*J347</f>
        <v>0</v>
      </c>
      <c r="O347">
        <f>M346*Assumptions!$B$13/$E$2*J347</f>
        <v>0</v>
      </c>
      <c r="P347">
        <f>H347*Assumptions!$B$15</f>
        <v>0</v>
      </c>
      <c r="Q347">
        <f>O347*Assumptions!$B$17</f>
        <v>0</v>
      </c>
      <c r="R347">
        <f>HLOOKUP(B347,Assumptions!$A$26:$D$27,2,TRUE)</f>
        <v>0</v>
      </c>
      <c r="S347">
        <f t="shared" si="81"/>
        <v>0</v>
      </c>
      <c r="T347">
        <f t="shared" si="77"/>
        <v>0.5833333333333357</v>
      </c>
      <c r="U347">
        <f>IF(B347&gt;$K$2,0,IF(T348=0,0,(1-T348)*Assumptions!$B$11/$E$2*(1-Assumptions!$B$30)))</f>
        <v>0</v>
      </c>
      <c r="V347">
        <f>(N347-O347)*(1-Assumptions!$B$30)-Q347+U346*M346</f>
        <v>0</v>
      </c>
      <c r="W347">
        <f>W346*(1+Assumptions!$B$36)^(1/12)</f>
        <v>1.3212909668982171</v>
      </c>
      <c r="X347" s="19">
        <f>IF(B347&gt;$K$2,0,W346*Assumptions!$B$32/12*M346+V347*Assumptions!$B$34/12)</f>
        <v>0</v>
      </c>
      <c r="Y347" s="20">
        <f>1/(1+HLOOKUP(YEAR(A347),Assumptions!$A$41:$AL$43,3,TRUE))^(1/12)</f>
        <v>0.99770170546794923</v>
      </c>
      <c r="Z347">
        <f t="shared" si="78"/>
        <v>0</v>
      </c>
      <c r="AA347">
        <f t="shared" si="82"/>
        <v>0</v>
      </c>
    </row>
    <row r="348" spans="1:27" x14ac:dyDescent="0.2">
      <c r="A348" s="2">
        <f t="shared" si="83"/>
        <v>53358</v>
      </c>
      <c r="B348">
        <f t="shared" si="79"/>
        <v>429</v>
      </c>
      <c r="C348">
        <f t="shared" si="71"/>
        <v>35.666666666666664</v>
      </c>
      <c r="D348">
        <f t="shared" si="72"/>
        <v>0</v>
      </c>
      <c r="E348">
        <f t="shared" si="73"/>
        <v>90</v>
      </c>
      <c r="F348">
        <f>IF(C348&gt;=$J$2,0,VLOOKUP($E348,'Mortality Table'!$A$3:$C$128,2+G$2,FALSE))</f>
        <v>0</v>
      </c>
      <c r="G348">
        <f>F348*Assumptions!$B$1</f>
        <v>0</v>
      </c>
      <c r="H348">
        <f t="shared" si="74"/>
        <v>0</v>
      </c>
      <c r="I348">
        <f>HLOOKUP(C348,Assumptions!$A$6:$J$7,2,TRUE)</f>
        <v>2.6499999999999999E-2</v>
      </c>
      <c r="J348" s="22">
        <f t="shared" si="70"/>
        <v>0</v>
      </c>
      <c r="K348" s="22">
        <f t="shared" si="75"/>
        <v>0</v>
      </c>
      <c r="L348">
        <f t="shared" si="80"/>
        <v>0</v>
      </c>
      <c r="M348" s="22">
        <f t="shared" si="76"/>
        <v>0</v>
      </c>
      <c r="N348">
        <f>M347*Assumptions!$B$11/$E$2*J348</f>
        <v>0</v>
      </c>
      <c r="O348">
        <f>M347*Assumptions!$B$13/$E$2*J348</f>
        <v>0</v>
      </c>
      <c r="P348">
        <f>H348*Assumptions!$B$15</f>
        <v>0</v>
      </c>
      <c r="Q348">
        <f>O348*Assumptions!$B$17</f>
        <v>0</v>
      </c>
      <c r="R348">
        <f>HLOOKUP(B348,Assumptions!$A$26:$D$27,2,TRUE)</f>
        <v>0</v>
      </c>
      <c r="S348">
        <f t="shared" si="81"/>
        <v>0</v>
      </c>
      <c r="T348">
        <f t="shared" si="77"/>
        <v>0.6666666666666643</v>
      </c>
      <c r="U348">
        <f>IF(B348&gt;$K$2,0,IF(T349=0,0,(1-T349)*Assumptions!$B$11/$E$2*(1-Assumptions!$B$30)))</f>
        <v>0</v>
      </c>
      <c r="V348">
        <f>(N348-O348)*(1-Assumptions!$B$30)-Q348+U347*M347</f>
        <v>0</v>
      </c>
      <c r="W348">
        <f>W347*(1+Assumptions!$B$36)^(1/12)</f>
        <v>1.3223870281154004</v>
      </c>
      <c r="X348" s="19">
        <f>IF(B348&gt;$K$2,0,W347*Assumptions!$B$32/12*M347+V348*Assumptions!$B$34/12)</f>
        <v>0</v>
      </c>
      <c r="Y348" s="20">
        <f>1/(1+HLOOKUP(YEAR(A348),Assumptions!$A$41:$AL$43,3,TRUE))^(1/12)</f>
        <v>0.99769806606401623</v>
      </c>
      <c r="Z348">
        <f t="shared" si="78"/>
        <v>0</v>
      </c>
      <c r="AA348">
        <f t="shared" si="82"/>
        <v>0</v>
      </c>
    </row>
    <row r="349" spans="1:27" x14ac:dyDescent="0.2">
      <c r="A349" s="2">
        <f t="shared" si="83"/>
        <v>53386</v>
      </c>
      <c r="B349">
        <f t="shared" si="79"/>
        <v>430</v>
      </c>
      <c r="C349">
        <f t="shared" si="71"/>
        <v>35.75</v>
      </c>
      <c r="D349">
        <f t="shared" si="72"/>
        <v>0</v>
      </c>
      <c r="E349">
        <f t="shared" si="73"/>
        <v>90</v>
      </c>
      <c r="F349">
        <f>IF(C349&gt;=$J$2,0,VLOOKUP($E349,'Mortality Table'!$A$3:$C$128,2+G$2,FALSE))</f>
        <v>0</v>
      </c>
      <c r="G349">
        <f>F349*Assumptions!$B$1</f>
        <v>0</v>
      </c>
      <c r="H349">
        <f t="shared" si="74"/>
        <v>0</v>
      </c>
      <c r="I349">
        <f>HLOOKUP(C349,Assumptions!$A$6:$J$7,2,TRUE)</f>
        <v>2.6499999999999999E-2</v>
      </c>
      <c r="J349" s="22">
        <f t="shared" si="70"/>
        <v>0</v>
      </c>
      <c r="K349" s="22">
        <f t="shared" si="75"/>
        <v>0</v>
      </c>
      <c r="L349">
        <f t="shared" si="80"/>
        <v>0</v>
      </c>
      <c r="M349" s="22">
        <f t="shared" si="76"/>
        <v>0</v>
      </c>
      <c r="N349">
        <f>M348*Assumptions!$B$11/$E$2*J349</f>
        <v>0</v>
      </c>
      <c r="O349">
        <f>M348*Assumptions!$B$13/$E$2*J349</f>
        <v>0</v>
      </c>
      <c r="P349">
        <f>H349*Assumptions!$B$15</f>
        <v>0</v>
      </c>
      <c r="Q349">
        <f>O349*Assumptions!$B$17</f>
        <v>0</v>
      </c>
      <c r="R349">
        <f>HLOOKUP(B349,Assumptions!$A$26:$D$27,2,TRUE)</f>
        <v>0</v>
      </c>
      <c r="S349">
        <f t="shared" si="81"/>
        <v>0</v>
      </c>
      <c r="T349">
        <f t="shared" si="77"/>
        <v>0.75</v>
      </c>
      <c r="U349">
        <f>IF(B349&gt;$K$2,0,IF(T350=0,0,(1-T350)*Assumptions!$B$11/$E$2*(1-Assumptions!$B$30)))</f>
        <v>0</v>
      </c>
      <c r="V349">
        <f>(N349-O349)*(1-Assumptions!$B$30)-Q349+U348*M348</f>
        <v>0</v>
      </c>
      <c r="W349">
        <f>W348*(1+Assumptions!$B$36)^(1/12)</f>
        <v>1.3234839985571392</v>
      </c>
      <c r="X349" s="19">
        <f>IF(B349&gt;$K$2,0,W348*Assumptions!$B$32/12*M348+V349*Assumptions!$B$34/12)</f>
        <v>0</v>
      </c>
      <c r="Y349" s="20">
        <f>1/(1+HLOOKUP(YEAR(A349),Assumptions!$A$41:$AL$43,3,TRUE))^(1/12)</f>
        <v>0.99769806606401623</v>
      </c>
      <c r="Z349">
        <f t="shared" si="78"/>
        <v>0</v>
      </c>
      <c r="AA349">
        <f t="shared" si="82"/>
        <v>0</v>
      </c>
    </row>
    <row r="350" spans="1:27" x14ac:dyDescent="0.2">
      <c r="A350" s="2">
        <f t="shared" si="83"/>
        <v>53417</v>
      </c>
      <c r="B350">
        <f t="shared" si="79"/>
        <v>431</v>
      </c>
      <c r="C350">
        <f t="shared" si="71"/>
        <v>35.833333333333336</v>
      </c>
      <c r="D350">
        <f t="shared" si="72"/>
        <v>0</v>
      </c>
      <c r="E350">
        <f t="shared" si="73"/>
        <v>90</v>
      </c>
      <c r="F350">
        <f>IF(C350&gt;=$J$2,0,VLOOKUP($E350,'Mortality Table'!$A$3:$C$128,2+G$2,FALSE))</f>
        <v>0</v>
      </c>
      <c r="G350">
        <f>F350*Assumptions!$B$1</f>
        <v>0</v>
      </c>
      <c r="H350">
        <f t="shared" si="74"/>
        <v>0</v>
      </c>
      <c r="I350">
        <f>HLOOKUP(C350,Assumptions!$A$6:$J$7,2,TRUE)</f>
        <v>2.6499999999999999E-2</v>
      </c>
      <c r="J350" s="22">
        <f t="shared" si="70"/>
        <v>0</v>
      </c>
      <c r="K350" s="22">
        <f t="shared" si="75"/>
        <v>0</v>
      </c>
      <c r="L350">
        <f t="shared" si="80"/>
        <v>0</v>
      </c>
      <c r="M350" s="22">
        <f t="shared" si="76"/>
        <v>0</v>
      </c>
      <c r="N350">
        <f>M349*Assumptions!$B$11/$E$2*J350</f>
        <v>0</v>
      </c>
      <c r="O350">
        <f>M349*Assumptions!$B$13/$E$2*J350</f>
        <v>0</v>
      </c>
      <c r="P350">
        <f>H350*Assumptions!$B$15</f>
        <v>0</v>
      </c>
      <c r="Q350">
        <f>O350*Assumptions!$B$17</f>
        <v>0</v>
      </c>
      <c r="R350">
        <f>HLOOKUP(B350,Assumptions!$A$26:$D$27,2,TRUE)</f>
        <v>0</v>
      </c>
      <c r="S350">
        <f t="shared" si="81"/>
        <v>0</v>
      </c>
      <c r="T350">
        <f t="shared" si="77"/>
        <v>0.8333333333333357</v>
      </c>
      <c r="U350">
        <f>IF(B350&gt;$K$2,0,IF(T351=0,0,(1-T351)*Assumptions!$B$11/$E$2*(1-Assumptions!$B$30)))</f>
        <v>0</v>
      </c>
      <c r="V350">
        <f>(N350-O350)*(1-Assumptions!$B$30)-Q350+U349*M349</f>
        <v>0</v>
      </c>
      <c r="W350">
        <f>W349*(1+Assumptions!$B$36)^(1/12)</f>
        <v>1.3245818789776695</v>
      </c>
      <c r="X350" s="19">
        <f>IF(B350&gt;$K$2,0,W349*Assumptions!$B$32/12*M349+V350*Assumptions!$B$34/12)</f>
        <v>0</v>
      </c>
      <c r="Y350" s="20">
        <f>1/(1+HLOOKUP(YEAR(A350),Assumptions!$A$41:$AL$43,3,TRUE))^(1/12)</f>
        <v>0.99769806606401623</v>
      </c>
      <c r="Z350">
        <f t="shared" si="78"/>
        <v>0</v>
      </c>
      <c r="AA350">
        <f t="shared" si="82"/>
        <v>0</v>
      </c>
    </row>
    <row r="351" spans="1:27" x14ac:dyDescent="0.2">
      <c r="A351" s="2">
        <f t="shared" si="83"/>
        <v>53447</v>
      </c>
      <c r="B351">
        <f t="shared" si="79"/>
        <v>432</v>
      </c>
      <c r="C351">
        <f t="shared" si="71"/>
        <v>35.916666666666664</v>
      </c>
      <c r="D351">
        <f t="shared" si="72"/>
        <v>0</v>
      </c>
      <c r="E351">
        <f t="shared" si="73"/>
        <v>90</v>
      </c>
      <c r="F351">
        <f>IF(C351&gt;=$J$2,0,VLOOKUP($E351,'Mortality Table'!$A$3:$C$128,2+G$2,FALSE))</f>
        <v>0</v>
      </c>
      <c r="G351">
        <f>F351*Assumptions!$B$1</f>
        <v>0</v>
      </c>
      <c r="H351">
        <f t="shared" si="74"/>
        <v>0</v>
      </c>
      <c r="I351">
        <f>HLOOKUP(C351,Assumptions!$A$6:$J$7,2,TRUE)</f>
        <v>2.6499999999999999E-2</v>
      </c>
      <c r="J351" s="22">
        <f t="shared" si="70"/>
        <v>0</v>
      </c>
      <c r="K351" s="22">
        <f t="shared" si="75"/>
        <v>0</v>
      </c>
      <c r="L351">
        <f t="shared" si="80"/>
        <v>0</v>
      </c>
      <c r="M351" s="22">
        <f t="shared" si="76"/>
        <v>0</v>
      </c>
      <c r="N351">
        <f>M350*Assumptions!$B$11/$E$2*J351</f>
        <v>0</v>
      </c>
      <c r="O351">
        <f>M350*Assumptions!$B$13/$E$2*J351</f>
        <v>0</v>
      </c>
      <c r="P351">
        <f>H351*Assumptions!$B$15</f>
        <v>0</v>
      </c>
      <c r="Q351">
        <f>O351*Assumptions!$B$17</f>
        <v>0</v>
      </c>
      <c r="R351">
        <f>HLOOKUP(B351,Assumptions!$A$26:$D$27,2,TRUE)</f>
        <v>0</v>
      </c>
      <c r="S351">
        <f t="shared" si="81"/>
        <v>0</v>
      </c>
      <c r="T351">
        <f t="shared" si="77"/>
        <v>0.9166666666666643</v>
      </c>
      <c r="U351">
        <f>IF(B351&gt;$K$2,0,IF(T352=0,0,(1-T352)*Assumptions!$B$11/$E$2*(1-Assumptions!$B$30)))</f>
        <v>0</v>
      </c>
      <c r="V351">
        <f>(N351-O351)*(1-Assumptions!$B$30)-Q351+U350*M350</f>
        <v>0</v>
      </c>
      <c r="W351">
        <f>W350*(1+Assumptions!$B$36)^(1/12)</f>
        <v>1.3256806701318538</v>
      </c>
      <c r="X351" s="19">
        <f>IF(B351&gt;$K$2,0,W350*Assumptions!$B$32/12*M350+V351*Assumptions!$B$34/12)</f>
        <v>0</v>
      </c>
      <c r="Y351" s="20">
        <f>1/(1+HLOOKUP(YEAR(A351),Assumptions!$A$41:$AL$43,3,TRUE))^(1/12)</f>
        <v>0.99769806606401623</v>
      </c>
      <c r="Z351">
        <f t="shared" si="78"/>
        <v>0</v>
      </c>
      <c r="AA351">
        <f t="shared" si="82"/>
        <v>0</v>
      </c>
    </row>
    <row r="352" spans="1:27" x14ac:dyDescent="0.2">
      <c r="A352" s="2">
        <f t="shared" si="83"/>
        <v>53478</v>
      </c>
      <c r="B352">
        <f t="shared" si="79"/>
        <v>433</v>
      </c>
      <c r="C352">
        <f t="shared" si="71"/>
        <v>36</v>
      </c>
      <c r="D352">
        <f t="shared" si="72"/>
        <v>1</v>
      </c>
      <c r="E352">
        <f t="shared" si="73"/>
        <v>91</v>
      </c>
      <c r="F352">
        <f>IF(C352&gt;=$J$2,0,VLOOKUP($E352,'Mortality Table'!$A$3:$C$128,2+G$2,FALSE))</f>
        <v>0</v>
      </c>
      <c r="G352">
        <f>F352*Assumptions!$B$1</f>
        <v>0</v>
      </c>
      <c r="H352">
        <f t="shared" si="74"/>
        <v>0</v>
      </c>
      <c r="I352">
        <f>HLOOKUP(C352,Assumptions!$A$6:$J$7,2,TRUE)</f>
        <v>2.6499999999999999E-2</v>
      </c>
      <c r="J352" s="22">
        <f t="shared" si="70"/>
        <v>0</v>
      </c>
      <c r="K352" s="22">
        <f t="shared" si="75"/>
        <v>0</v>
      </c>
      <c r="L352">
        <f t="shared" si="80"/>
        <v>0</v>
      </c>
      <c r="M352" s="22">
        <f t="shared" si="76"/>
        <v>0</v>
      </c>
      <c r="N352">
        <f>M351*Assumptions!$B$11/$E$2*J352</f>
        <v>0</v>
      </c>
      <c r="O352">
        <f>M351*Assumptions!$B$13/$E$2*J352</f>
        <v>0</v>
      </c>
      <c r="P352">
        <f>H352*Assumptions!$B$15</f>
        <v>0</v>
      </c>
      <c r="Q352">
        <f>O352*Assumptions!$B$17</f>
        <v>0</v>
      </c>
      <c r="R352">
        <f>HLOOKUP(B352,Assumptions!$A$26:$D$27,2,TRUE)</f>
        <v>0</v>
      </c>
      <c r="S352">
        <f t="shared" si="81"/>
        <v>0</v>
      </c>
      <c r="T352">
        <f t="shared" si="77"/>
        <v>0</v>
      </c>
      <c r="U352">
        <f>IF(B352&gt;$K$2,0,IF(T353=0,0,(1-T353)*Assumptions!$B$11/$E$2*(1-Assumptions!$B$30)))</f>
        <v>0</v>
      </c>
      <c r="V352">
        <f>(N352-O352)*(1-Assumptions!$B$30)-Q352+U351*M351</f>
        <v>0</v>
      </c>
      <c r="W352">
        <f>W351*(1+Assumptions!$B$36)^(1/12)</f>
        <v>1.3267803727751801</v>
      </c>
      <c r="X352" s="19">
        <f>IF(B352&gt;$K$2,0,W351*Assumptions!$B$32/12*M351+V352*Assumptions!$B$34/12)</f>
        <v>0</v>
      </c>
      <c r="Y352" s="20">
        <f>1/(1+HLOOKUP(YEAR(A352),Assumptions!$A$41:$AL$43,3,TRUE))^(1/12)</f>
        <v>0.99769806606401623</v>
      </c>
      <c r="Z352">
        <f t="shared" si="78"/>
        <v>0</v>
      </c>
      <c r="AA352">
        <f t="shared" si="82"/>
        <v>0</v>
      </c>
    </row>
    <row r="353" spans="1:27" x14ac:dyDescent="0.2">
      <c r="A353" s="2">
        <f t="shared" si="83"/>
        <v>53508</v>
      </c>
      <c r="B353">
        <f t="shared" si="79"/>
        <v>434</v>
      </c>
      <c r="C353">
        <f t="shared" si="71"/>
        <v>36.083333333333336</v>
      </c>
      <c r="D353">
        <f t="shared" si="72"/>
        <v>0</v>
      </c>
      <c r="E353">
        <f t="shared" si="73"/>
        <v>91</v>
      </c>
      <c r="F353">
        <f>IF(C353&gt;=$J$2,0,VLOOKUP($E353,'Mortality Table'!$A$3:$C$128,2+G$2,FALSE))</f>
        <v>0</v>
      </c>
      <c r="G353">
        <f>F353*Assumptions!$B$1</f>
        <v>0</v>
      </c>
      <c r="H353">
        <f t="shared" si="74"/>
        <v>0</v>
      </c>
      <c r="I353">
        <f>HLOOKUP(C353,Assumptions!$A$6:$J$7,2,TRUE)</f>
        <v>2.6499999999999999E-2</v>
      </c>
      <c r="J353" s="22">
        <f t="shared" si="70"/>
        <v>0</v>
      </c>
      <c r="K353" s="22">
        <f t="shared" si="75"/>
        <v>0</v>
      </c>
      <c r="L353">
        <f t="shared" si="80"/>
        <v>0</v>
      </c>
      <c r="M353" s="22">
        <f t="shared" si="76"/>
        <v>0</v>
      </c>
      <c r="N353">
        <f>M352*Assumptions!$B$11/$E$2*J353</f>
        <v>0</v>
      </c>
      <c r="O353">
        <f>M352*Assumptions!$B$13/$E$2*J353</f>
        <v>0</v>
      </c>
      <c r="P353">
        <f>H353*Assumptions!$B$15</f>
        <v>0</v>
      </c>
      <c r="Q353">
        <f>O353*Assumptions!$B$17</f>
        <v>0</v>
      </c>
      <c r="R353">
        <f>HLOOKUP(B353,Assumptions!$A$26:$D$27,2,TRUE)</f>
        <v>0</v>
      </c>
      <c r="S353">
        <f t="shared" si="81"/>
        <v>0</v>
      </c>
      <c r="T353">
        <f t="shared" si="77"/>
        <v>8.3333333333335702E-2</v>
      </c>
      <c r="U353">
        <f>IF(B353&gt;$K$2,0,IF(T354=0,0,(1-T354)*Assumptions!$B$11/$E$2*(1-Assumptions!$B$30)))</f>
        <v>0</v>
      </c>
      <c r="V353">
        <f>(N353-O353)*(1-Assumptions!$B$30)-Q353+U352*M352</f>
        <v>0</v>
      </c>
      <c r="W353">
        <f>W352*(1+Assumptions!$B$36)^(1/12)</f>
        <v>1.3278809876637636</v>
      </c>
      <c r="X353" s="19">
        <f>IF(B353&gt;$K$2,0,W352*Assumptions!$B$32/12*M352+V353*Assumptions!$B$34/12)</f>
        <v>0</v>
      </c>
      <c r="Y353" s="20">
        <f>1/(1+HLOOKUP(YEAR(A353),Assumptions!$A$41:$AL$43,3,TRUE))^(1/12)</f>
        <v>0.99769806606401623</v>
      </c>
      <c r="Z353">
        <f t="shared" si="78"/>
        <v>0</v>
      </c>
      <c r="AA353">
        <f t="shared" si="82"/>
        <v>0</v>
      </c>
    </row>
    <row r="354" spans="1:27" x14ac:dyDescent="0.2">
      <c r="A354" s="2">
        <f t="shared" si="83"/>
        <v>53539</v>
      </c>
      <c r="B354">
        <f t="shared" si="79"/>
        <v>435</v>
      </c>
      <c r="C354">
        <f t="shared" si="71"/>
        <v>36.166666666666664</v>
      </c>
      <c r="D354">
        <f t="shared" si="72"/>
        <v>0</v>
      </c>
      <c r="E354">
        <f t="shared" si="73"/>
        <v>91</v>
      </c>
      <c r="F354">
        <f>IF(C354&gt;=$J$2,0,VLOOKUP($E354,'Mortality Table'!$A$3:$C$128,2+G$2,FALSE))</f>
        <v>0</v>
      </c>
      <c r="G354">
        <f>F354*Assumptions!$B$1</f>
        <v>0</v>
      </c>
      <c r="H354">
        <f t="shared" si="74"/>
        <v>0</v>
      </c>
      <c r="I354">
        <f>HLOOKUP(C354,Assumptions!$A$6:$J$7,2,TRUE)</f>
        <v>2.6499999999999999E-2</v>
      </c>
      <c r="J354" s="22">
        <f t="shared" si="70"/>
        <v>0</v>
      </c>
      <c r="K354" s="22">
        <f t="shared" si="75"/>
        <v>0</v>
      </c>
      <c r="L354">
        <f t="shared" si="80"/>
        <v>0</v>
      </c>
      <c r="M354" s="22">
        <f t="shared" si="76"/>
        <v>0</v>
      </c>
      <c r="N354">
        <f>M353*Assumptions!$B$11/$E$2*J354</f>
        <v>0</v>
      </c>
      <c r="O354">
        <f>M353*Assumptions!$B$13/$E$2*J354</f>
        <v>0</v>
      </c>
      <c r="P354">
        <f>H354*Assumptions!$B$15</f>
        <v>0</v>
      </c>
      <c r="Q354">
        <f>O354*Assumptions!$B$17</f>
        <v>0</v>
      </c>
      <c r="R354">
        <f>HLOOKUP(B354,Assumptions!$A$26:$D$27,2,TRUE)</f>
        <v>0</v>
      </c>
      <c r="S354">
        <f t="shared" si="81"/>
        <v>0</v>
      </c>
      <c r="T354">
        <f t="shared" si="77"/>
        <v>0.1666666666666643</v>
      </c>
      <c r="U354">
        <f>IF(B354&gt;$K$2,0,IF(T355=0,0,(1-T355)*Assumptions!$B$11/$E$2*(1-Assumptions!$B$30)))</f>
        <v>0</v>
      </c>
      <c r="V354">
        <f>(N354-O354)*(1-Assumptions!$B$30)-Q354+U353*M353</f>
        <v>0</v>
      </c>
      <c r="W354">
        <f>W353*(1+Assumptions!$B$36)^(1/12)</f>
        <v>1.3289825155543464</v>
      </c>
      <c r="X354" s="19">
        <f>IF(B354&gt;$K$2,0,W353*Assumptions!$B$32/12*M353+V354*Assumptions!$B$34/12)</f>
        <v>0</v>
      </c>
      <c r="Y354" s="20">
        <f>1/(1+HLOOKUP(YEAR(A354),Assumptions!$A$41:$AL$43,3,TRUE))^(1/12)</f>
        <v>0.99769806606401623</v>
      </c>
      <c r="Z354">
        <f t="shared" si="78"/>
        <v>0</v>
      </c>
      <c r="AA354">
        <f t="shared" si="82"/>
        <v>0</v>
      </c>
    </row>
    <row r="355" spans="1:27" x14ac:dyDescent="0.2">
      <c r="A355" s="2">
        <f t="shared" si="83"/>
        <v>53570</v>
      </c>
      <c r="B355">
        <f t="shared" si="79"/>
        <v>436</v>
      </c>
      <c r="C355">
        <f t="shared" si="71"/>
        <v>36.25</v>
      </c>
      <c r="D355">
        <f t="shared" si="72"/>
        <v>0</v>
      </c>
      <c r="E355">
        <f t="shared" si="73"/>
        <v>91</v>
      </c>
      <c r="F355">
        <f>IF(C355&gt;=$J$2,0,VLOOKUP($E355,'Mortality Table'!$A$3:$C$128,2+G$2,FALSE))</f>
        <v>0</v>
      </c>
      <c r="G355">
        <f>F355*Assumptions!$B$1</f>
        <v>0</v>
      </c>
      <c r="H355">
        <f t="shared" si="74"/>
        <v>0</v>
      </c>
      <c r="I355">
        <f>HLOOKUP(C355,Assumptions!$A$6:$J$7,2,TRUE)</f>
        <v>2.6499999999999999E-2</v>
      </c>
      <c r="J355" s="22">
        <f t="shared" si="70"/>
        <v>0</v>
      </c>
      <c r="K355" s="22">
        <f t="shared" si="75"/>
        <v>0</v>
      </c>
      <c r="L355">
        <f t="shared" si="80"/>
        <v>0</v>
      </c>
      <c r="M355" s="22">
        <f t="shared" si="76"/>
        <v>0</v>
      </c>
      <c r="N355">
        <f>M354*Assumptions!$B$11/$E$2*J355</f>
        <v>0</v>
      </c>
      <c r="O355">
        <f>M354*Assumptions!$B$13/$E$2*J355</f>
        <v>0</v>
      </c>
      <c r="P355">
        <f>H355*Assumptions!$B$15</f>
        <v>0</v>
      </c>
      <c r="Q355">
        <f>O355*Assumptions!$B$17</f>
        <v>0</v>
      </c>
      <c r="R355">
        <f>HLOOKUP(B355,Assumptions!$A$26:$D$27,2,TRUE)</f>
        <v>0</v>
      </c>
      <c r="S355">
        <f t="shared" si="81"/>
        <v>0</v>
      </c>
      <c r="T355">
        <f t="shared" si="77"/>
        <v>0.25</v>
      </c>
      <c r="U355">
        <f>IF(B355&gt;$K$2,0,IF(T356=0,0,(1-T356)*Assumptions!$B$11/$E$2*(1-Assumptions!$B$30)))</f>
        <v>0</v>
      </c>
      <c r="V355">
        <f>(N355-O355)*(1-Assumptions!$B$30)-Q355+U354*M354</f>
        <v>0</v>
      </c>
      <c r="W355">
        <f>W354*(1+Assumptions!$B$36)^(1/12)</f>
        <v>1.3300849572042983</v>
      </c>
      <c r="X355" s="19">
        <f>IF(B355&gt;$K$2,0,W354*Assumptions!$B$32/12*M354+V355*Assumptions!$B$34/12)</f>
        <v>0</v>
      </c>
      <c r="Y355" s="20">
        <f>1/(1+HLOOKUP(YEAR(A355),Assumptions!$A$41:$AL$43,3,TRUE))^(1/12)</f>
        <v>0.99769806606401623</v>
      </c>
      <c r="Z355">
        <f t="shared" si="78"/>
        <v>0</v>
      </c>
      <c r="AA355">
        <f t="shared" si="82"/>
        <v>0</v>
      </c>
    </row>
    <row r="356" spans="1:27" x14ac:dyDescent="0.2">
      <c r="A356" s="2">
        <f t="shared" si="83"/>
        <v>53600</v>
      </c>
      <c r="B356">
        <f t="shared" si="79"/>
        <v>437</v>
      </c>
      <c r="C356">
        <f t="shared" si="71"/>
        <v>36.333333333333336</v>
      </c>
      <c r="D356">
        <f t="shared" si="72"/>
        <v>0</v>
      </c>
      <c r="E356">
        <f t="shared" si="73"/>
        <v>91</v>
      </c>
      <c r="F356">
        <f>IF(C356&gt;=$J$2,0,VLOOKUP($E356,'Mortality Table'!$A$3:$C$128,2+G$2,FALSE))</f>
        <v>0</v>
      </c>
      <c r="G356">
        <f>F356*Assumptions!$B$1</f>
        <v>0</v>
      </c>
      <c r="H356">
        <f t="shared" si="74"/>
        <v>0</v>
      </c>
      <c r="I356">
        <f>HLOOKUP(C356,Assumptions!$A$6:$J$7,2,TRUE)</f>
        <v>2.6499999999999999E-2</v>
      </c>
      <c r="J356" s="22">
        <f t="shared" si="70"/>
        <v>0</v>
      </c>
      <c r="K356" s="22">
        <f t="shared" si="75"/>
        <v>0</v>
      </c>
      <c r="L356">
        <f t="shared" si="80"/>
        <v>0</v>
      </c>
      <c r="M356" s="22">
        <f t="shared" si="76"/>
        <v>0</v>
      </c>
      <c r="N356">
        <f>M355*Assumptions!$B$11/$E$2*J356</f>
        <v>0</v>
      </c>
      <c r="O356">
        <f>M355*Assumptions!$B$13/$E$2*J356</f>
        <v>0</v>
      </c>
      <c r="P356">
        <f>H356*Assumptions!$B$15</f>
        <v>0</v>
      </c>
      <c r="Q356">
        <f>O356*Assumptions!$B$17</f>
        <v>0</v>
      </c>
      <c r="R356">
        <f>HLOOKUP(B356,Assumptions!$A$26:$D$27,2,TRUE)</f>
        <v>0</v>
      </c>
      <c r="S356">
        <f t="shared" si="81"/>
        <v>0</v>
      </c>
      <c r="T356">
        <f t="shared" si="77"/>
        <v>0.3333333333333357</v>
      </c>
      <c r="U356">
        <f>IF(B356&gt;$K$2,0,IF(T357=0,0,(1-T357)*Assumptions!$B$11/$E$2*(1-Assumptions!$B$30)))</f>
        <v>0</v>
      </c>
      <c r="V356">
        <f>(N356-O356)*(1-Assumptions!$B$30)-Q356+U355*M355</f>
        <v>0</v>
      </c>
      <c r="W356">
        <f>W355*(1+Assumptions!$B$36)^(1/12)</f>
        <v>1.3311883133716178</v>
      </c>
      <c r="X356" s="19">
        <f>IF(B356&gt;$K$2,0,W355*Assumptions!$B$32/12*M355+V356*Assumptions!$B$34/12)</f>
        <v>0</v>
      </c>
      <c r="Y356" s="20">
        <f>1/(1+HLOOKUP(YEAR(A356),Assumptions!$A$41:$AL$43,3,TRUE))^(1/12)</f>
        <v>0.99769806606401623</v>
      </c>
      <c r="Z356">
        <f t="shared" si="78"/>
        <v>0</v>
      </c>
      <c r="AA356">
        <f t="shared" si="82"/>
        <v>0</v>
      </c>
    </row>
    <row r="357" spans="1:27" x14ac:dyDescent="0.2">
      <c r="A357" s="2">
        <f t="shared" si="83"/>
        <v>53631</v>
      </c>
      <c r="B357">
        <f t="shared" si="79"/>
        <v>438</v>
      </c>
      <c r="C357">
        <f t="shared" si="71"/>
        <v>36.416666666666664</v>
      </c>
      <c r="D357">
        <f t="shared" si="72"/>
        <v>0</v>
      </c>
      <c r="E357">
        <f t="shared" si="73"/>
        <v>91</v>
      </c>
      <c r="F357">
        <f>IF(C357&gt;=$J$2,0,VLOOKUP($E357,'Mortality Table'!$A$3:$C$128,2+G$2,FALSE))</f>
        <v>0</v>
      </c>
      <c r="G357">
        <f>F357*Assumptions!$B$1</f>
        <v>0</v>
      </c>
      <c r="H357">
        <f t="shared" si="74"/>
        <v>0</v>
      </c>
      <c r="I357">
        <f>HLOOKUP(C357,Assumptions!$A$6:$J$7,2,TRUE)</f>
        <v>2.6499999999999999E-2</v>
      </c>
      <c r="J357" s="22">
        <f t="shared" si="70"/>
        <v>0</v>
      </c>
      <c r="K357" s="22">
        <f t="shared" si="75"/>
        <v>0</v>
      </c>
      <c r="L357">
        <f t="shared" si="80"/>
        <v>0</v>
      </c>
      <c r="M357" s="22">
        <f t="shared" si="76"/>
        <v>0</v>
      </c>
      <c r="N357">
        <f>M356*Assumptions!$B$11/$E$2*J357</f>
        <v>0</v>
      </c>
      <c r="O357">
        <f>M356*Assumptions!$B$13/$E$2*J357</f>
        <v>0</v>
      </c>
      <c r="P357">
        <f>H357*Assumptions!$B$15</f>
        <v>0</v>
      </c>
      <c r="Q357">
        <f>O357*Assumptions!$B$17</f>
        <v>0</v>
      </c>
      <c r="R357">
        <f>HLOOKUP(B357,Assumptions!$A$26:$D$27,2,TRUE)</f>
        <v>0</v>
      </c>
      <c r="S357">
        <f t="shared" si="81"/>
        <v>0</v>
      </c>
      <c r="T357">
        <f t="shared" si="77"/>
        <v>0.4166666666666643</v>
      </c>
      <c r="U357">
        <f>IF(B357&gt;$K$2,0,IF(T358=0,0,(1-T358)*Assumptions!$B$11/$E$2*(1-Assumptions!$B$30)))</f>
        <v>0</v>
      </c>
      <c r="V357">
        <f>(N357-O357)*(1-Assumptions!$B$30)-Q357+U356*M356</f>
        <v>0</v>
      </c>
      <c r="W357">
        <f>W356*(1+Assumptions!$B$36)^(1/12)</f>
        <v>1.3322925848149318</v>
      </c>
      <c r="X357" s="19">
        <f>IF(B357&gt;$K$2,0,W356*Assumptions!$B$32/12*M356+V357*Assumptions!$B$34/12)</f>
        <v>0</v>
      </c>
      <c r="Y357" s="20">
        <f>1/(1+HLOOKUP(YEAR(A357),Assumptions!$A$41:$AL$43,3,TRUE))^(1/12)</f>
        <v>0.99769806606401623</v>
      </c>
      <c r="Z357">
        <f t="shared" si="78"/>
        <v>0</v>
      </c>
      <c r="AA357">
        <f t="shared" si="82"/>
        <v>0</v>
      </c>
    </row>
    <row r="358" spans="1:27" x14ac:dyDescent="0.2">
      <c r="A358" s="2">
        <f t="shared" si="83"/>
        <v>53661</v>
      </c>
      <c r="B358">
        <f t="shared" si="79"/>
        <v>439</v>
      </c>
      <c r="C358">
        <f t="shared" si="71"/>
        <v>36.5</v>
      </c>
      <c r="D358">
        <f t="shared" si="72"/>
        <v>0</v>
      </c>
      <c r="E358">
        <f t="shared" si="73"/>
        <v>91</v>
      </c>
      <c r="F358">
        <f>IF(C358&gt;=$J$2,0,VLOOKUP($E358,'Mortality Table'!$A$3:$C$128,2+G$2,FALSE))</f>
        <v>0</v>
      </c>
      <c r="G358">
        <f>F358*Assumptions!$B$1</f>
        <v>0</v>
      </c>
      <c r="H358">
        <f t="shared" si="74"/>
        <v>0</v>
      </c>
      <c r="I358">
        <f>HLOOKUP(C358,Assumptions!$A$6:$J$7,2,TRUE)</f>
        <v>2.6499999999999999E-2</v>
      </c>
      <c r="J358" s="22">
        <f t="shared" si="70"/>
        <v>0</v>
      </c>
      <c r="K358" s="22">
        <f t="shared" si="75"/>
        <v>0</v>
      </c>
      <c r="L358">
        <f t="shared" si="80"/>
        <v>0</v>
      </c>
      <c r="M358" s="22">
        <f t="shared" si="76"/>
        <v>0</v>
      </c>
      <c r="N358">
        <f>M357*Assumptions!$B$11/$E$2*J358</f>
        <v>0</v>
      </c>
      <c r="O358">
        <f>M357*Assumptions!$B$13/$E$2*J358</f>
        <v>0</v>
      </c>
      <c r="P358">
        <f>H358*Assumptions!$B$15</f>
        <v>0</v>
      </c>
      <c r="Q358">
        <f>O358*Assumptions!$B$17</f>
        <v>0</v>
      </c>
      <c r="R358">
        <f>HLOOKUP(B358,Assumptions!$A$26:$D$27,2,TRUE)</f>
        <v>0</v>
      </c>
      <c r="S358">
        <f t="shared" si="81"/>
        <v>0</v>
      </c>
      <c r="T358">
        <f t="shared" si="77"/>
        <v>0.5</v>
      </c>
      <c r="U358">
        <f>IF(B358&gt;$K$2,0,IF(T359=0,0,(1-T359)*Assumptions!$B$11/$E$2*(1-Assumptions!$B$30)))</f>
        <v>0</v>
      </c>
      <c r="V358">
        <f>(N358-O358)*(1-Assumptions!$B$30)-Q358+U357*M357</f>
        <v>0</v>
      </c>
      <c r="W358">
        <f>W357*(1+Assumptions!$B$36)^(1/12)</f>
        <v>1.3333977722934967</v>
      </c>
      <c r="X358" s="19">
        <f>IF(B358&gt;$K$2,0,W357*Assumptions!$B$32/12*M357+V358*Assumptions!$B$34/12)</f>
        <v>0</v>
      </c>
      <c r="Y358" s="20">
        <f>1/(1+HLOOKUP(YEAR(A358),Assumptions!$A$41:$AL$43,3,TRUE))^(1/12)</f>
        <v>0.99769806606401623</v>
      </c>
      <c r="Z358">
        <f t="shared" si="78"/>
        <v>0</v>
      </c>
      <c r="AA358">
        <f t="shared" si="82"/>
        <v>0</v>
      </c>
    </row>
    <row r="359" spans="1:27" x14ac:dyDescent="0.2">
      <c r="A359" s="2">
        <f t="shared" si="83"/>
        <v>53692</v>
      </c>
      <c r="B359">
        <f t="shared" si="79"/>
        <v>440</v>
      </c>
      <c r="C359">
        <f t="shared" si="71"/>
        <v>36.583333333333336</v>
      </c>
      <c r="D359">
        <f t="shared" si="72"/>
        <v>0</v>
      </c>
      <c r="E359">
        <f t="shared" si="73"/>
        <v>91</v>
      </c>
      <c r="F359">
        <f>IF(C359&gt;=$J$2,0,VLOOKUP($E359,'Mortality Table'!$A$3:$C$128,2+G$2,FALSE))</f>
        <v>0</v>
      </c>
      <c r="G359">
        <f>F359*Assumptions!$B$1</f>
        <v>0</v>
      </c>
      <c r="H359">
        <f t="shared" si="74"/>
        <v>0</v>
      </c>
      <c r="I359">
        <f>HLOOKUP(C359,Assumptions!$A$6:$J$7,2,TRUE)</f>
        <v>2.6499999999999999E-2</v>
      </c>
      <c r="J359" s="22">
        <f t="shared" si="70"/>
        <v>0</v>
      </c>
      <c r="K359" s="22">
        <f t="shared" si="75"/>
        <v>0</v>
      </c>
      <c r="L359">
        <f t="shared" si="80"/>
        <v>0</v>
      </c>
      <c r="M359" s="22">
        <f t="shared" si="76"/>
        <v>0</v>
      </c>
      <c r="N359">
        <f>M358*Assumptions!$B$11/$E$2*J359</f>
        <v>0</v>
      </c>
      <c r="O359">
        <f>M358*Assumptions!$B$13/$E$2*J359</f>
        <v>0</v>
      </c>
      <c r="P359">
        <f>H359*Assumptions!$B$15</f>
        <v>0</v>
      </c>
      <c r="Q359">
        <f>O359*Assumptions!$B$17</f>
        <v>0</v>
      </c>
      <c r="R359">
        <f>HLOOKUP(B359,Assumptions!$A$26:$D$27,2,TRUE)</f>
        <v>0</v>
      </c>
      <c r="S359">
        <f t="shared" si="81"/>
        <v>0</v>
      </c>
      <c r="T359">
        <f t="shared" si="77"/>
        <v>0.5833333333333357</v>
      </c>
      <c r="U359">
        <f>IF(B359&gt;$K$2,0,IF(T360=0,0,(1-T360)*Assumptions!$B$11/$E$2*(1-Assumptions!$B$30)))</f>
        <v>0</v>
      </c>
      <c r="V359">
        <f>(N359-O359)*(1-Assumptions!$B$30)-Q359+U358*M358</f>
        <v>0</v>
      </c>
      <c r="W359">
        <f>W358*(1+Assumptions!$B$36)^(1/12)</f>
        <v>1.3345038765671984</v>
      </c>
      <c r="X359" s="19">
        <f>IF(B359&gt;$K$2,0,W358*Assumptions!$B$32/12*M358+V359*Assumptions!$B$34/12)</f>
        <v>0</v>
      </c>
      <c r="Y359" s="20">
        <f>1/(1+HLOOKUP(YEAR(A359),Assumptions!$A$41:$AL$43,3,TRUE))^(1/12)</f>
        <v>0.99769806606401623</v>
      </c>
      <c r="Z359">
        <f t="shared" si="78"/>
        <v>0</v>
      </c>
      <c r="AA359">
        <f t="shared" si="82"/>
        <v>0</v>
      </c>
    </row>
    <row r="360" spans="1:27" x14ac:dyDescent="0.2">
      <c r="A360" s="2">
        <f t="shared" si="83"/>
        <v>53723</v>
      </c>
      <c r="B360">
        <f t="shared" si="79"/>
        <v>441</v>
      </c>
      <c r="C360">
        <f t="shared" si="71"/>
        <v>36.666666666666664</v>
      </c>
      <c r="D360">
        <f t="shared" si="72"/>
        <v>0</v>
      </c>
      <c r="E360">
        <f t="shared" si="73"/>
        <v>91</v>
      </c>
      <c r="F360">
        <f>IF(C360&gt;=$J$2,0,VLOOKUP($E360,'Mortality Table'!$A$3:$C$128,2+G$2,FALSE))</f>
        <v>0</v>
      </c>
      <c r="G360">
        <f>F360*Assumptions!$B$1</f>
        <v>0</v>
      </c>
      <c r="H360">
        <f t="shared" si="74"/>
        <v>0</v>
      </c>
      <c r="I360">
        <f>HLOOKUP(C360,Assumptions!$A$6:$J$7,2,TRUE)</f>
        <v>2.6499999999999999E-2</v>
      </c>
      <c r="J360" s="22">
        <f t="shared" si="70"/>
        <v>0</v>
      </c>
      <c r="K360" s="22">
        <f t="shared" si="75"/>
        <v>0</v>
      </c>
      <c r="L360">
        <f t="shared" si="80"/>
        <v>0</v>
      </c>
      <c r="M360" s="22">
        <f t="shared" si="76"/>
        <v>0</v>
      </c>
      <c r="N360">
        <f>M359*Assumptions!$B$11/$E$2*J360</f>
        <v>0</v>
      </c>
      <c r="O360">
        <f>M359*Assumptions!$B$13/$E$2*J360</f>
        <v>0</v>
      </c>
      <c r="P360">
        <f>H360*Assumptions!$B$15</f>
        <v>0</v>
      </c>
      <c r="Q360">
        <f>O360*Assumptions!$B$17</f>
        <v>0</v>
      </c>
      <c r="R360">
        <f>HLOOKUP(B360,Assumptions!$A$26:$D$27,2,TRUE)</f>
        <v>0</v>
      </c>
      <c r="S360">
        <f t="shared" si="81"/>
        <v>0</v>
      </c>
      <c r="T360">
        <f t="shared" si="77"/>
        <v>0.6666666666666643</v>
      </c>
      <c r="U360">
        <f>IF(B360&gt;$K$2,0,IF(T361=0,0,(1-T361)*Assumptions!$B$11/$E$2*(1-Assumptions!$B$30)))</f>
        <v>0</v>
      </c>
      <c r="V360">
        <f>(N360-O360)*(1-Assumptions!$B$30)-Q360+U359*M359</f>
        <v>0</v>
      </c>
      <c r="W360">
        <f>W359*(1+Assumptions!$B$36)^(1/12)</f>
        <v>1.3356108983965536</v>
      </c>
      <c r="X360" s="19">
        <f>IF(B360&gt;$K$2,0,W359*Assumptions!$B$32/12*M359+V360*Assumptions!$B$34/12)</f>
        <v>0</v>
      </c>
      <c r="Y360" s="20">
        <f>1/(1+HLOOKUP(YEAR(A360),Assumptions!$A$41:$AL$43,3,TRUE))^(1/12)</f>
        <v>0.99768391446690596</v>
      </c>
      <c r="Z360">
        <f t="shared" si="78"/>
        <v>0</v>
      </c>
      <c r="AA360">
        <f t="shared" si="82"/>
        <v>0</v>
      </c>
    </row>
    <row r="361" spans="1:27" x14ac:dyDescent="0.2">
      <c r="A361" s="2">
        <f t="shared" si="83"/>
        <v>53751</v>
      </c>
      <c r="B361">
        <f t="shared" si="79"/>
        <v>442</v>
      </c>
      <c r="C361">
        <f t="shared" si="71"/>
        <v>36.75</v>
      </c>
      <c r="D361">
        <f t="shared" si="72"/>
        <v>0</v>
      </c>
      <c r="E361">
        <f t="shared" si="73"/>
        <v>91</v>
      </c>
      <c r="F361">
        <f>IF(C361&gt;=$J$2,0,VLOOKUP($E361,'Mortality Table'!$A$3:$C$128,2+G$2,FALSE))</f>
        <v>0</v>
      </c>
      <c r="G361">
        <f>F361*Assumptions!$B$1</f>
        <v>0</v>
      </c>
      <c r="H361">
        <f t="shared" si="74"/>
        <v>0</v>
      </c>
      <c r="I361">
        <f>HLOOKUP(C361,Assumptions!$A$6:$J$7,2,TRUE)</f>
        <v>2.6499999999999999E-2</v>
      </c>
      <c r="J361" s="22">
        <f t="shared" si="70"/>
        <v>0</v>
      </c>
      <c r="K361" s="22">
        <f t="shared" si="75"/>
        <v>0</v>
      </c>
      <c r="L361">
        <f t="shared" si="80"/>
        <v>0</v>
      </c>
      <c r="M361" s="22">
        <f t="shared" si="76"/>
        <v>0</v>
      </c>
      <c r="N361">
        <f>M360*Assumptions!$B$11/$E$2*J361</f>
        <v>0</v>
      </c>
      <c r="O361">
        <f>M360*Assumptions!$B$13/$E$2*J361</f>
        <v>0</v>
      </c>
      <c r="P361">
        <f>H361*Assumptions!$B$15</f>
        <v>0</v>
      </c>
      <c r="Q361">
        <f>O361*Assumptions!$B$17</f>
        <v>0</v>
      </c>
      <c r="R361">
        <f>HLOOKUP(B361,Assumptions!$A$26:$D$27,2,TRUE)</f>
        <v>0</v>
      </c>
      <c r="S361">
        <f t="shared" si="81"/>
        <v>0</v>
      </c>
      <c r="T361">
        <f t="shared" si="77"/>
        <v>0.75</v>
      </c>
      <c r="U361">
        <f>IF(B361&gt;$K$2,0,IF(T362=0,0,(1-T362)*Assumptions!$B$11/$E$2*(1-Assumptions!$B$30)))</f>
        <v>0</v>
      </c>
      <c r="V361">
        <f>(N361-O361)*(1-Assumptions!$B$30)-Q361+U360*M360</f>
        <v>0</v>
      </c>
      <c r="W361">
        <f>W360*(1+Assumptions!$B$36)^(1/12)</f>
        <v>1.3367188385427096</v>
      </c>
      <c r="X361" s="19">
        <f>IF(B361&gt;$K$2,0,W360*Assumptions!$B$32/12*M360+V361*Assumptions!$B$34/12)</f>
        <v>0</v>
      </c>
      <c r="Y361" s="20">
        <f>1/(1+HLOOKUP(YEAR(A361),Assumptions!$A$41:$AL$43,3,TRUE))^(1/12)</f>
        <v>0.99768391446690596</v>
      </c>
      <c r="Z361">
        <f t="shared" si="78"/>
        <v>0</v>
      </c>
      <c r="AA361">
        <f t="shared" si="82"/>
        <v>0</v>
      </c>
    </row>
    <row r="362" spans="1:27" x14ac:dyDescent="0.2">
      <c r="A362" s="2">
        <f t="shared" si="83"/>
        <v>53782</v>
      </c>
      <c r="B362">
        <f t="shared" si="79"/>
        <v>443</v>
      </c>
      <c r="C362">
        <f t="shared" si="71"/>
        <v>36.833333333333336</v>
      </c>
      <c r="D362">
        <f t="shared" si="72"/>
        <v>0</v>
      </c>
      <c r="E362">
        <f t="shared" si="73"/>
        <v>91</v>
      </c>
      <c r="F362">
        <f>IF(C362&gt;=$J$2,0,VLOOKUP($E362,'Mortality Table'!$A$3:$C$128,2+G$2,FALSE))</f>
        <v>0</v>
      </c>
      <c r="G362">
        <f>F362*Assumptions!$B$1</f>
        <v>0</v>
      </c>
      <c r="H362">
        <f t="shared" si="74"/>
        <v>0</v>
      </c>
      <c r="I362">
        <f>HLOOKUP(C362,Assumptions!$A$6:$J$7,2,TRUE)</f>
        <v>2.6499999999999999E-2</v>
      </c>
      <c r="J362" s="22">
        <f t="shared" si="70"/>
        <v>0</v>
      </c>
      <c r="K362" s="22">
        <f t="shared" si="75"/>
        <v>0</v>
      </c>
      <c r="L362">
        <f t="shared" si="80"/>
        <v>0</v>
      </c>
      <c r="M362" s="22">
        <f t="shared" si="76"/>
        <v>0</v>
      </c>
      <c r="N362">
        <f>M361*Assumptions!$B$11/$E$2*J362</f>
        <v>0</v>
      </c>
      <c r="O362">
        <f>M361*Assumptions!$B$13/$E$2*J362</f>
        <v>0</v>
      </c>
      <c r="P362">
        <f>H362*Assumptions!$B$15</f>
        <v>0</v>
      </c>
      <c r="Q362">
        <f>O362*Assumptions!$B$17</f>
        <v>0</v>
      </c>
      <c r="R362">
        <f>HLOOKUP(B362,Assumptions!$A$26:$D$27,2,TRUE)</f>
        <v>0</v>
      </c>
      <c r="S362">
        <f t="shared" si="81"/>
        <v>0</v>
      </c>
      <c r="T362">
        <f t="shared" si="77"/>
        <v>0.8333333333333357</v>
      </c>
      <c r="U362">
        <f>IF(B362&gt;$K$2,0,IF(T363=0,0,(1-T363)*Assumptions!$B$11/$E$2*(1-Assumptions!$B$30)))</f>
        <v>0</v>
      </c>
      <c r="V362">
        <f>(N362-O362)*(1-Assumptions!$B$30)-Q362+U361*M361</f>
        <v>0</v>
      </c>
      <c r="W362">
        <f>W361*(1+Assumptions!$B$36)^(1/12)</f>
        <v>1.3378276977674453</v>
      </c>
      <c r="X362" s="19">
        <f>IF(B362&gt;$K$2,0,W361*Assumptions!$B$32/12*M361+V362*Assumptions!$B$34/12)</f>
        <v>0</v>
      </c>
      <c r="Y362" s="20">
        <f>1/(1+HLOOKUP(YEAR(A362),Assumptions!$A$41:$AL$43,3,TRUE))^(1/12)</f>
        <v>0.99768391446690596</v>
      </c>
      <c r="Z362">
        <f t="shared" si="78"/>
        <v>0</v>
      </c>
      <c r="AA362">
        <f t="shared" si="82"/>
        <v>0</v>
      </c>
    </row>
    <row r="363" spans="1:27" x14ac:dyDescent="0.2">
      <c r="A363" s="2">
        <f t="shared" si="83"/>
        <v>53812</v>
      </c>
      <c r="B363">
        <f t="shared" si="79"/>
        <v>444</v>
      </c>
      <c r="C363">
        <f t="shared" si="71"/>
        <v>36.916666666666664</v>
      </c>
      <c r="D363">
        <f t="shared" si="72"/>
        <v>0</v>
      </c>
      <c r="E363">
        <f t="shared" si="73"/>
        <v>91</v>
      </c>
      <c r="F363">
        <f>IF(C363&gt;=$J$2,0,VLOOKUP($E363,'Mortality Table'!$A$3:$C$128,2+G$2,FALSE))</f>
        <v>0</v>
      </c>
      <c r="G363">
        <f>F363*Assumptions!$B$1</f>
        <v>0</v>
      </c>
      <c r="H363">
        <f t="shared" si="74"/>
        <v>0</v>
      </c>
      <c r="I363">
        <f>HLOOKUP(C363,Assumptions!$A$6:$J$7,2,TRUE)</f>
        <v>2.6499999999999999E-2</v>
      </c>
      <c r="J363" s="22">
        <f t="shared" si="70"/>
        <v>0</v>
      </c>
      <c r="K363" s="22">
        <f t="shared" si="75"/>
        <v>0</v>
      </c>
      <c r="L363">
        <f t="shared" si="80"/>
        <v>0</v>
      </c>
      <c r="M363" s="22">
        <f t="shared" si="76"/>
        <v>0</v>
      </c>
      <c r="N363">
        <f>M362*Assumptions!$B$11/$E$2*J363</f>
        <v>0</v>
      </c>
      <c r="O363">
        <f>M362*Assumptions!$B$13/$E$2*J363</f>
        <v>0</v>
      </c>
      <c r="P363">
        <f>H363*Assumptions!$B$15</f>
        <v>0</v>
      </c>
      <c r="Q363">
        <f>O363*Assumptions!$B$17</f>
        <v>0</v>
      </c>
      <c r="R363">
        <f>HLOOKUP(B363,Assumptions!$A$26:$D$27,2,TRUE)</f>
        <v>0</v>
      </c>
      <c r="S363">
        <f t="shared" si="81"/>
        <v>0</v>
      </c>
      <c r="T363">
        <f t="shared" si="77"/>
        <v>0.9166666666666643</v>
      </c>
      <c r="U363">
        <f>IF(B363&gt;$K$2,0,IF(T364=0,0,(1-T364)*Assumptions!$B$11/$E$2*(1-Assumptions!$B$30)))</f>
        <v>0</v>
      </c>
      <c r="V363">
        <f>(N363-O363)*(1-Assumptions!$B$30)-Q363+U362*M362</f>
        <v>0</v>
      </c>
      <c r="W363">
        <f>W362*(1+Assumptions!$B$36)^(1/12)</f>
        <v>1.3389374768331714</v>
      </c>
      <c r="X363" s="19">
        <f>IF(B363&gt;$K$2,0,W362*Assumptions!$B$32/12*M362+V363*Assumptions!$B$34/12)</f>
        <v>0</v>
      </c>
      <c r="Y363" s="20">
        <f>1/(1+HLOOKUP(YEAR(A363),Assumptions!$A$41:$AL$43,3,TRUE))^(1/12)</f>
        <v>0.99768391446690596</v>
      </c>
      <c r="Z363">
        <f t="shared" si="78"/>
        <v>0</v>
      </c>
      <c r="AA363">
        <f t="shared" si="82"/>
        <v>0</v>
      </c>
    </row>
    <row r="364" spans="1:27" x14ac:dyDescent="0.2">
      <c r="A364" s="2">
        <f t="shared" si="83"/>
        <v>53843</v>
      </c>
      <c r="B364">
        <f t="shared" si="79"/>
        <v>445</v>
      </c>
      <c r="C364">
        <f t="shared" si="71"/>
        <v>37</v>
      </c>
      <c r="D364">
        <f t="shared" si="72"/>
        <v>1</v>
      </c>
      <c r="E364">
        <f t="shared" si="73"/>
        <v>92</v>
      </c>
      <c r="F364">
        <f>IF(C364&gt;=$J$2,0,VLOOKUP($E364,'Mortality Table'!$A$3:$C$128,2+G$2,FALSE))</f>
        <v>0</v>
      </c>
      <c r="G364">
        <f>F364*Assumptions!$B$1</f>
        <v>0</v>
      </c>
      <c r="H364">
        <f t="shared" si="74"/>
        <v>0</v>
      </c>
      <c r="I364">
        <f>HLOOKUP(C364,Assumptions!$A$6:$J$7,2,TRUE)</f>
        <v>2.6499999999999999E-2</v>
      </c>
      <c r="J364" s="22">
        <f t="shared" si="70"/>
        <v>0</v>
      </c>
      <c r="K364" s="22">
        <f t="shared" si="75"/>
        <v>0</v>
      </c>
      <c r="L364">
        <f t="shared" si="80"/>
        <v>0</v>
      </c>
      <c r="M364" s="22">
        <f t="shared" si="76"/>
        <v>0</v>
      </c>
      <c r="N364">
        <f>M363*Assumptions!$B$11/$E$2*J364</f>
        <v>0</v>
      </c>
      <c r="O364">
        <f>M363*Assumptions!$B$13/$E$2*J364</f>
        <v>0</v>
      </c>
      <c r="P364">
        <f>H364*Assumptions!$B$15</f>
        <v>0</v>
      </c>
      <c r="Q364">
        <f>O364*Assumptions!$B$17</f>
        <v>0</v>
      </c>
      <c r="R364">
        <f>HLOOKUP(B364,Assumptions!$A$26:$D$27,2,TRUE)</f>
        <v>0</v>
      </c>
      <c r="S364">
        <f t="shared" si="81"/>
        <v>0</v>
      </c>
      <c r="T364">
        <f t="shared" si="77"/>
        <v>0</v>
      </c>
      <c r="U364">
        <f>IF(B364&gt;$K$2,0,IF(T365=0,0,(1-T365)*Assumptions!$B$11/$E$2*(1-Assumptions!$B$30)))</f>
        <v>0</v>
      </c>
      <c r="V364">
        <f>(N364-O364)*(1-Assumptions!$B$30)-Q364+U363*M363</f>
        <v>0</v>
      </c>
      <c r="W364">
        <f>W363*(1+Assumptions!$B$36)^(1/12)</f>
        <v>1.3400481765029311</v>
      </c>
      <c r="X364" s="19">
        <f>IF(B364&gt;$K$2,0,W363*Assumptions!$B$32/12*M363+V364*Assumptions!$B$34/12)</f>
        <v>0</v>
      </c>
      <c r="Y364" s="20">
        <f>1/(1+HLOOKUP(YEAR(A364),Assumptions!$A$41:$AL$43,3,TRUE))^(1/12)</f>
        <v>0.99768391446690596</v>
      </c>
      <c r="Z364">
        <f t="shared" si="78"/>
        <v>0</v>
      </c>
      <c r="AA364">
        <f t="shared" si="82"/>
        <v>0</v>
      </c>
    </row>
    <row r="365" spans="1:27" x14ac:dyDescent="0.2">
      <c r="A365" s="2">
        <f t="shared" si="83"/>
        <v>53873</v>
      </c>
      <c r="B365">
        <f t="shared" si="79"/>
        <v>446</v>
      </c>
      <c r="C365">
        <f t="shared" si="71"/>
        <v>37.083333333333336</v>
      </c>
      <c r="D365">
        <f t="shared" si="72"/>
        <v>0</v>
      </c>
      <c r="E365">
        <f t="shared" si="73"/>
        <v>92</v>
      </c>
      <c r="F365">
        <f>IF(C365&gt;=$J$2,0,VLOOKUP($E365,'Mortality Table'!$A$3:$C$128,2+G$2,FALSE))</f>
        <v>0</v>
      </c>
      <c r="G365">
        <f>F365*Assumptions!$B$1</f>
        <v>0</v>
      </c>
      <c r="H365">
        <f t="shared" si="74"/>
        <v>0</v>
      </c>
      <c r="I365">
        <f>HLOOKUP(C365,Assumptions!$A$6:$J$7,2,TRUE)</f>
        <v>2.6499999999999999E-2</v>
      </c>
      <c r="J365" s="22">
        <f t="shared" si="70"/>
        <v>0</v>
      </c>
      <c r="K365" s="22">
        <f t="shared" si="75"/>
        <v>0</v>
      </c>
      <c r="L365">
        <f t="shared" si="80"/>
        <v>0</v>
      </c>
      <c r="M365" s="22">
        <f t="shared" si="76"/>
        <v>0</v>
      </c>
      <c r="N365">
        <f>M364*Assumptions!$B$11/$E$2*J365</f>
        <v>0</v>
      </c>
      <c r="O365">
        <f>M364*Assumptions!$B$13/$E$2*J365</f>
        <v>0</v>
      </c>
      <c r="P365">
        <f>H365*Assumptions!$B$15</f>
        <v>0</v>
      </c>
      <c r="Q365">
        <f>O365*Assumptions!$B$17</f>
        <v>0</v>
      </c>
      <c r="R365">
        <f>HLOOKUP(B365,Assumptions!$A$26:$D$27,2,TRUE)</f>
        <v>0</v>
      </c>
      <c r="S365">
        <f t="shared" si="81"/>
        <v>0</v>
      </c>
      <c r="T365">
        <f t="shared" si="77"/>
        <v>8.3333333333335702E-2</v>
      </c>
      <c r="U365">
        <f>IF(B365&gt;$K$2,0,IF(T366=0,0,(1-T366)*Assumptions!$B$11/$E$2*(1-Assumptions!$B$30)))</f>
        <v>0</v>
      </c>
      <c r="V365">
        <f>(N365-O365)*(1-Assumptions!$B$30)-Q365+U364*M364</f>
        <v>0</v>
      </c>
      <c r="W365">
        <f>W364*(1+Assumptions!$B$36)^(1/12)</f>
        <v>1.3411597975404004</v>
      </c>
      <c r="X365" s="19">
        <f>IF(B365&gt;$K$2,0,W364*Assumptions!$B$32/12*M364+V365*Assumptions!$B$34/12)</f>
        <v>0</v>
      </c>
      <c r="Y365" s="20">
        <f>1/(1+HLOOKUP(YEAR(A365),Assumptions!$A$41:$AL$43,3,TRUE))^(1/12)</f>
        <v>0.99768391446690596</v>
      </c>
      <c r="Z365">
        <f t="shared" si="78"/>
        <v>0</v>
      </c>
      <c r="AA365">
        <f t="shared" si="82"/>
        <v>0</v>
      </c>
    </row>
    <row r="366" spans="1:27" x14ac:dyDescent="0.2">
      <c r="A366" s="2">
        <f t="shared" si="83"/>
        <v>53904</v>
      </c>
      <c r="B366">
        <f t="shared" si="79"/>
        <v>447</v>
      </c>
      <c r="C366">
        <f t="shared" si="71"/>
        <v>37.166666666666664</v>
      </c>
      <c r="D366">
        <f t="shared" si="72"/>
        <v>0</v>
      </c>
      <c r="E366">
        <f t="shared" si="73"/>
        <v>92</v>
      </c>
      <c r="F366">
        <f>IF(C366&gt;=$J$2,0,VLOOKUP($E366,'Mortality Table'!$A$3:$C$128,2+G$2,FALSE))</f>
        <v>0</v>
      </c>
      <c r="G366">
        <f>F366*Assumptions!$B$1</f>
        <v>0</v>
      </c>
      <c r="H366">
        <f t="shared" si="74"/>
        <v>0</v>
      </c>
      <c r="I366">
        <f>HLOOKUP(C366,Assumptions!$A$6:$J$7,2,TRUE)</f>
        <v>2.6499999999999999E-2</v>
      </c>
      <c r="J366" s="22">
        <f t="shared" si="70"/>
        <v>0</v>
      </c>
      <c r="K366" s="22">
        <f t="shared" si="75"/>
        <v>0</v>
      </c>
      <c r="L366">
        <f t="shared" si="80"/>
        <v>0</v>
      </c>
      <c r="M366" s="22">
        <f t="shared" si="76"/>
        <v>0</v>
      </c>
      <c r="N366">
        <f>M365*Assumptions!$B$11/$E$2*J366</f>
        <v>0</v>
      </c>
      <c r="O366">
        <f>M365*Assumptions!$B$13/$E$2*J366</f>
        <v>0</v>
      </c>
      <c r="P366">
        <f>H366*Assumptions!$B$15</f>
        <v>0</v>
      </c>
      <c r="Q366">
        <f>O366*Assumptions!$B$17</f>
        <v>0</v>
      </c>
      <c r="R366">
        <f>HLOOKUP(B366,Assumptions!$A$26:$D$27,2,TRUE)</f>
        <v>0</v>
      </c>
      <c r="S366">
        <f t="shared" si="81"/>
        <v>0</v>
      </c>
      <c r="T366">
        <f t="shared" si="77"/>
        <v>0.1666666666666643</v>
      </c>
      <c r="U366">
        <f>IF(B366&gt;$K$2,0,IF(T367=0,0,(1-T367)*Assumptions!$B$11/$E$2*(1-Assumptions!$B$30)))</f>
        <v>0</v>
      </c>
      <c r="V366">
        <f>(N366-O366)*(1-Assumptions!$B$30)-Q366+U365*M365</f>
        <v>0</v>
      </c>
      <c r="W366">
        <f>W365*(1+Assumptions!$B$36)^(1/12)</f>
        <v>1.3422723407098889</v>
      </c>
      <c r="X366" s="19">
        <f>IF(B366&gt;$K$2,0,W365*Assumptions!$B$32/12*M365+V366*Assumptions!$B$34/12)</f>
        <v>0</v>
      </c>
      <c r="Y366" s="20">
        <f>1/(1+HLOOKUP(YEAR(A366),Assumptions!$A$41:$AL$43,3,TRUE))^(1/12)</f>
        <v>0.99768391446690596</v>
      </c>
      <c r="Z366">
        <f t="shared" si="78"/>
        <v>0</v>
      </c>
      <c r="AA366">
        <f t="shared" si="82"/>
        <v>0</v>
      </c>
    </row>
    <row r="367" spans="1:27" x14ac:dyDescent="0.2">
      <c r="A367" s="2">
        <f t="shared" si="83"/>
        <v>53935</v>
      </c>
      <c r="B367">
        <f t="shared" si="79"/>
        <v>448</v>
      </c>
      <c r="C367">
        <f t="shared" si="71"/>
        <v>37.25</v>
      </c>
      <c r="D367">
        <f t="shared" si="72"/>
        <v>0</v>
      </c>
      <c r="E367">
        <f t="shared" si="73"/>
        <v>92</v>
      </c>
      <c r="F367">
        <f>IF(C367&gt;=$J$2,0,VLOOKUP($E367,'Mortality Table'!$A$3:$C$128,2+G$2,FALSE))</f>
        <v>0</v>
      </c>
      <c r="G367">
        <f>F367*Assumptions!$B$1</f>
        <v>0</v>
      </c>
      <c r="H367">
        <f t="shared" si="74"/>
        <v>0</v>
      </c>
      <c r="I367">
        <f>HLOOKUP(C367,Assumptions!$A$6:$J$7,2,TRUE)</f>
        <v>2.6499999999999999E-2</v>
      </c>
      <c r="J367" s="22">
        <f t="shared" si="70"/>
        <v>0</v>
      </c>
      <c r="K367" s="22">
        <f t="shared" si="75"/>
        <v>0</v>
      </c>
      <c r="L367">
        <f t="shared" si="80"/>
        <v>0</v>
      </c>
      <c r="M367" s="22">
        <f t="shared" si="76"/>
        <v>0</v>
      </c>
      <c r="N367">
        <f>M366*Assumptions!$B$11/$E$2*J367</f>
        <v>0</v>
      </c>
      <c r="O367">
        <f>M366*Assumptions!$B$13/$E$2*J367</f>
        <v>0</v>
      </c>
      <c r="P367">
        <f>H367*Assumptions!$B$15</f>
        <v>0</v>
      </c>
      <c r="Q367">
        <f>O367*Assumptions!$B$17</f>
        <v>0</v>
      </c>
      <c r="R367">
        <f>HLOOKUP(B367,Assumptions!$A$26:$D$27,2,TRUE)</f>
        <v>0</v>
      </c>
      <c r="S367">
        <f t="shared" si="81"/>
        <v>0</v>
      </c>
      <c r="T367">
        <f t="shared" si="77"/>
        <v>0.25</v>
      </c>
      <c r="U367">
        <f>IF(B367&gt;$K$2,0,IF(T368=0,0,(1-T368)*Assumptions!$B$11/$E$2*(1-Assumptions!$B$30)))</f>
        <v>0</v>
      </c>
      <c r="V367">
        <f>(N367-O367)*(1-Assumptions!$B$30)-Q367+U366*M366</f>
        <v>0</v>
      </c>
      <c r="W367">
        <f>W366*(1+Assumptions!$B$36)^(1/12)</f>
        <v>1.3433858067763405</v>
      </c>
      <c r="X367" s="19">
        <f>IF(B367&gt;$K$2,0,W366*Assumptions!$B$32/12*M366+V367*Assumptions!$B$34/12)</f>
        <v>0</v>
      </c>
      <c r="Y367" s="20">
        <f>1/(1+HLOOKUP(YEAR(A367),Assumptions!$A$41:$AL$43,3,TRUE))^(1/12)</f>
        <v>0.99768391446690596</v>
      </c>
      <c r="Z367">
        <f t="shared" si="78"/>
        <v>0</v>
      </c>
      <c r="AA367">
        <f t="shared" si="82"/>
        <v>0</v>
      </c>
    </row>
    <row r="368" spans="1:27" x14ac:dyDescent="0.2">
      <c r="A368" s="2">
        <f t="shared" si="83"/>
        <v>53965</v>
      </c>
      <c r="B368">
        <f t="shared" si="79"/>
        <v>449</v>
      </c>
      <c r="C368">
        <f t="shared" si="71"/>
        <v>37.333333333333336</v>
      </c>
      <c r="D368">
        <f t="shared" si="72"/>
        <v>0</v>
      </c>
      <c r="E368">
        <f t="shared" si="73"/>
        <v>92</v>
      </c>
      <c r="F368">
        <f>IF(C368&gt;=$J$2,0,VLOOKUP($E368,'Mortality Table'!$A$3:$C$128,2+G$2,FALSE))</f>
        <v>0</v>
      </c>
      <c r="G368">
        <f>F368*Assumptions!$B$1</f>
        <v>0</v>
      </c>
      <c r="H368">
        <f t="shared" si="74"/>
        <v>0</v>
      </c>
      <c r="I368">
        <f>HLOOKUP(C368,Assumptions!$A$6:$J$7,2,TRUE)</f>
        <v>2.6499999999999999E-2</v>
      </c>
      <c r="J368" s="22">
        <f t="shared" si="70"/>
        <v>0</v>
      </c>
      <c r="K368" s="22">
        <f t="shared" si="75"/>
        <v>0</v>
      </c>
      <c r="L368">
        <f t="shared" si="80"/>
        <v>0</v>
      </c>
      <c r="M368" s="22">
        <f t="shared" si="76"/>
        <v>0</v>
      </c>
      <c r="N368">
        <f>M367*Assumptions!$B$11/$E$2*J368</f>
        <v>0</v>
      </c>
      <c r="O368">
        <f>M367*Assumptions!$B$13/$E$2*J368</f>
        <v>0</v>
      </c>
      <c r="P368">
        <f>H368*Assumptions!$B$15</f>
        <v>0</v>
      </c>
      <c r="Q368">
        <f>O368*Assumptions!$B$17</f>
        <v>0</v>
      </c>
      <c r="R368">
        <f>HLOOKUP(B368,Assumptions!$A$26:$D$27,2,TRUE)</f>
        <v>0</v>
      </c>
      <c r="S368">
        <f t="shared" si="81"/>
        <v>0</v>
      </c>
      <c r="T368">
        <f t="shared" si="77"/>
        <v>0.3333333333333357</v>
      </c>
      <c r="U368">
        <f>IF(B368&gt;$K$2,0,IF(T369=0,0,(1-T369)*Assumptions!$B$11/$E$2*(1-Assumptions!$B$30)))</f>
        <v>0</v>
      </c>
      <c r="V368">
        <f>(N368-O368)*(1-Assumptions!$B$30)-Q368+U367*M367</f>
        <v>0</v>
      </c>
      <c r="W368">
        <f>W367*(1+Assumptions!$B$36)^(1/12)</f>
        <v>1.3445001965053331</v>
      </c>
      <c r="X368" s="19">
        <f>IF(B368&gt;$K$2,0,W367*Assumptions!$B$32/12*M367+V368*Assumptions!$B$34/12)</f>
        <v>0</v>
      </c>
      <c r="Y368" s="20">
        <f>1/(1+HLOOKUP(YEAR(A368),Assumptions!$A$41:$AL$43,3,TRUE))^(1/12)</f>
        <v>0.99768391446690596</v>
      </c>
      <c r="Z368">
        <f t="shared" si="78"/>
        <v>0</v>
      </c>
      <c r="AA368">
        <f t="shared" si="82"/>
        <v>0</v>
      </c>
    </row>
    <row r="369" spans="1:27" x14ac:dyDescent="0.2">
      <c r="A369" s="2">
        <f t="shared" si="83"/>
        <v>53996</v>
      </c>
      <c r="B369">
        <f t="shared" si="79"/>
        <v>450</v>
      </c>
      <c r="C369">
        <f t="shared" si="71"/>
        <v>37.416666666666664</v>
      </c>
      <c r="D369">
        <f t="shared" si="72"/>
        <v>0</v>
      </c>
      <c r="E369">
        <f t="shared" si="73"/>
        <v>92</v>
      </c>
      <c r="F369">
        <f>IF(C369&gt;=$J$2,0,VLOOKUP($E369,'Mortality Table'!$A$3:$C$128,2+G$2,FALSE))</f>
        <v>0</v>
      </c>
      <c r="G369">
        <f>F369*Assumptions!$B$1</f>
        <v>0</v>
      </c>
      <c r="H369">
        <f t="shared" si="74"/>
        <v>0</v>
      </c>
      <c r="I369">
        <f>HLOOKUP(C369,Assumptions!$A$6:$J$7,2,TRUE)</f>
        <v>2.6499999999999999E-2</v>
      </c>
      <c r="J369" s="22">
        <f t="shared" si="70"/>
        <v>0</v>
      </c>
      <c r="K369" s="22">
        <f t="shared" si="75"/>
        <v>0</v>
      </c>
      <c r="L369">
        <f t="shared" si="80"/>
        <v>0</v>
      </c>
      <c r="M369" s="22">
        <f t="shared" si="76"/>
        <v>0</v>
      </c>
      <c r="N369">
        <f>M368*Assumptions!$B$11/$E$2*J369</f>
        <v>0</v>
      </c>
      <c r="O369">
        <f>M368*Assumptions!$B$13/$E$2*J369</f>
        <v>0</v>
      </c>
      <c r="P369">
        <f>H369*Assumptions!$B$15</f>
        <v>0</v>
      </c>
      <c r="Q369">
        <f>O369*Assumptions!$B$17</f>
        <v>0</v>
      </c>
      <c r="R369">
        <f>HLOOKUP(B369,Assumptions!$A$26:$D$27,2,TRUE)</f>
        <v>0</v>
      </c>
      <c r="S369">
        <f t="shared" si="81"/>
        <v>0</v>
      </c>
      <c r="T369">
        <f t="shared" si="77"/>
        <v>0.4166666666666643</v>
      </c>
      <c r="U369">
        <f>IF(B369&gt;$K$2,0,IF(T370=0,0,(1-T370)*Assumptions!$B$11/$E$2*(1-Assumptions!$B$30)))</f>
        <v>0</v>
      </c>
      <c r="V369">
        <f>(N369-O369)*(1-Assumptions!$B$30)-Q369+U368*M368</f>
        <v>0</v>
      </c>
      <c r="W369">
        <f>W368*(1+Assumptions!$B$36)^(1/12)</f>
        <v>1.3456155106630803</v>
      </c>
      <c r="X369" s="19">
        <f>IF(B369&gt;$K$2,0,W368*Assumptions!$B$32/12*M368+V369*Assumptions!$B$34/12)</f>
        <v>0</v>
      </c>
      <c r="Y369" s="20">
        <f>1/(1+HLOOKUP(YEAR(A369),Assumptions!$A$41:$AL$43,3,TRUE))^(1/12)</f>
        <v>0.99768391446690596</v>
      </c>
      <c r="Z369">
        <f t="shared" si="78"/>
        <v>0</v>
      </c>
      <c r="AA369">
        <f t="shared" si="82"/>
        <v>0</v>
      </c>
    </row>
    <row r="370" spans="1:27" x14ac:dyDescent="0.2">
      <c r="A370" s="2">
        <f t="shared" si="83"/>
        <v>54026</v>
      </c>
      <c r="B370">
        <f t="shared" si="79"/>
        <v>451</v>
      </c>
      <c r="C370">
        <f t="shared" si="71"/>
        <v>37.5</v>
      </c>
      <c r="D370">
        <f t="shared" si="72"/>
        <v>0</v>
      </c>
      <c r="E370">
        <f t="shared" si="73"/>
        <v>92</v>
      </c>
      <c r="F370">
        <f>IF(C370&gt;=$J$2,0,VLOOKUP($E370,'Mortality Table'!$A$3:$C$128,2+G$2,FALSE))</f>
        <v>0</v>
      </c>
      <c r="G370">
        <f>F370*Assumptions!$B$1</f>
        <v>0</v>
      </c>
      <c r="H370">
        <f t="shared" si="74"/>
        <v>0</v>
      </c>
      <c r="I370">
        <f>HLOOKUP(C370,Assumptions!$A$6:$J$7,2,TRUE)</f>
        <v>2.6499999999999999E-2</v>
      </c>
      <c r="J370" s="22">
        <f t="shared" si="70"/>
        <v>0</v>
      </c>
      <c r="K370" s="22">
        <f t="shared" si="75"/>
        <v>0</v>
      </c>
      <c r="L370">
        <f t="shared" si="80"/>
        <v>0</v>
      </c>
      <c r="M370" s="22">
        <f t="shared" si="76"/>
        <v>0</v>
      </c>
      <c r="N370">
        <f>M369*Assumptions!$B$11/$E$2*J370</f>
        <v>0</v>
      </c>
      <c r="O370">
        <f>M369*Assumptions!$B$13/$E$2*J370</f>
        <v>0</v>
      </c>
      <c r="P370">
        <f>H370*Assumptions!$B$15</f>
        <v>0</v>
      </c>
      <c r="Q370">
        <f>O370*Assumptions!$B$17</f>
        <v>0</v>
      </c>
      <c r="R370">
        <f>HLOOKUP(B370,Assumptions!$A$26:$D$27,2,TRUE)</f>
        <v>0</v>
      </c>
      <c r="S370">
        <f t="shared" si="81"/>
        <v>0</v>
      </c>
      <c r="T370">
        <f t="shared" si="77"/>
        <v>0.5</v>
      </c>
      <c r="U370">
        <f>IF(B370&gt;$K$2,0,IF(T371=0,0,(1-T371)*Assumptions!$B$11/$E$2*(1-Assumptions!$B$30)))</f>
        <v>0</v>
      </c>
      <c r="V370">
        <f>(N370-O370)*(1-Assumptions!$B$30)-Q370+U369*M369</f>
        <v>0</v>
      </c>
      <c r="W370">
        <f>W369*(1+Assumptions!$B$36)^(1/12)</f>
        <v>1.3467317500164306</v>
      </c>
      <c r="X370" s="19">
        <f>IF(B370&gt;$K$2,0,W369*Assumptions!$B$32/12*M369+V370*Assumptions!$B$34/12)</f>
        <v>0</v>
      </c>
      <c r="Y370" s="20">
        <f>1/(1+HLOOKUP(YEAR(A370),Assumptions!$A$41:$AL$43,3,TRUE))^(1/12)</f>
        <v>0.99768391446690596</v>
      </c>
      <c r="Z370">
        <f t="shared" si="78"/>
        <v>0</v>
      </c>
      <c r="AA370">
        <f t="shared" si="82"/>
        <v>0</v>
      </c>
    </row>
    <row r="371" spans="1:27" x14ac:dyDescent="0.2">
      <c r="A371" s="2">
        <f t="shared" si="83"/>
        <v>54057</v>
      </c>
      <c r="B371">
        <f t="shared" si="79"/>
        <v>452</v>
      </c>
      <c r="C371">
        <f t="shared" si="71"/>
        <v>37.583333333333336</v>
      </c>
      <c r="D371">
        <f t="shared" si="72"/>
        <v>0</v>
      </c>
      <c r="E371">
        <f t="shared" si="73"/>
        <v>92</v>
      </c>
      <c r="F371">
        <f>IF(C371&gt;=$J$2,0,VLOOKUP($E371,'Mortality Table'!$A$3:$C$128,2+G$2,FALSE))</f>
        <v>0</v>
      </c>
      <c r="G371">
        <f>F371*Assumptions!$B$1</f>
        <v>0</v>
      </c>
      <c r="H371">
        <f t="shared" si="74"/>
        <v>0</v>
      </c>
      <c r="I371">
        <f>HLOOKUP(C371,Assumptions!$A$6:$J$7,2,TRUE)</f>
        <v>2.6499999999999999E-2</v>
      </c>
      <c r="J371" s="22">
        <f t="shared" si="70"/>
        <v>0</v>
      </c>
      <c r="K371" s="22">
        <f t="shared" si="75"/>
        <v>0</v>
      </c>
      <c r="L371">
        <f t="shared" si="80"/>
        <v>0</v>
      </c>
      <c r="M371" s="22">
        <f t="shared" si="76"/>
        <v>0</v>
      </c>
      <c r="N371">
        <f>M370*Assumptions!$B$11/$E$2*J371</f>
        <v>0</v>
      </c>
      <c r="O371">
        <f>M370*Assumptions!$B$13/$E$2*J371</f>
        <v>0</v>
      </c>
      <c r="P371">
        <f>H371*Assumptions!$B$15</f>
        <v>0</v>
      </c>
      <c r="Q371">
        <f>O371*Assumptions!$B$17</f>
        <v>0</v>
      </c>
      <c r="R371">
        <f>HLOOKUP(B371,Assumptions!$A$26:$D$27,2,TRUE)</f>
        <v>0</v>
      </c>
      <c r="S371">
        <f t="shared" si="81"/>
        <v>0</v>
      </c>
      <c r="T371">
        <f t="shared" si="77"/>
        <v>0.5833333333333357</v>
      </c>
      <c r="U371">
        <f>IF(B371&gt;$K$2,0,IF(T372=0,0,(1-T372)*Assumptions!$B$11/$E$2*(1-Assumptions!$B$30)))</f>
        <v>0</v>
      </c>
      <c r="V371">
        <f>(N371-O371)*(1-Assumptions!$B$30)-Q371+U370*M370</f>
        <v>0</v>
      </c>
      <c r="W371">
        <f>W370*(1+Assumptions!$B$36)^(1/12)</f>
        <v>1.3478489153328694</v>
      </c>
      <c r="X371" s="19">
        <f>IF(B371&gt;$K$2,0,W370*Assumptions!$B$32/12*M370+V371*Assumptions!$B$34/12)</f>
        <v>0</v>
      </c>
      <c r="Y371" s="20">
        <f>1/(1+HLOOKUP(YEAR(A371),Assumptions!$A$41:$AL$43,3,TRUE))^(1/12)</f>
        <v>0.99768391446690596</v>
      </c>
      <c r="Z371">
        <f t="shared" si="78"/>
        <v>0</v>
      </c>
      <c r="AA371">
        <f t="shared" si="82"/>
        <v>0</v>
      </c>
    </row>
    <row r="372" spans="1:27" x14ac:dyDescent="0.2">
      <c r="A372" s="2">
        <f t="shared" si="83"/>
        <v>54088</v>
      </c>
      <c r="B372">
        <f t="shared" si="79"/>
        <v>453</v>
      </c>
      <c r="C372">
        <f t="shared" si="71"/>
        <v>37.666666666666664</v>
      </c>
      <c r="D372">
        <f t="shared" si="72"/>
        <v>0</v>
      </c>
      <c r="E372">
        <f t="shared" si="73"/>
        <v>92</v>
      </c>
      <c r="F372">
        <f>IF(C372&gt;=$J$2,0,VLOOKUP($E372,'Mortality Table'!$A$3:$C$128,2+G$2,FALSE))</f>
        <v>0</v>
      </c>
      <c r="G372">
        <f>F372*Assumptions!$B$1</f>
        <v>0</v>
      </c>
      <c r="H372">
        <f t="shared" si="74"/>
        <v>0</v>
      </c>
      <c r="I372">
        <f>HLOOKUP(C372,Assumptions!$A$6:$J$7,2,TRUE)</f>
        <v>2.6499999999999999E-2</v>
      </c>
      <c r="J372" s="22">
        <f t="shared" si="70"/>
        <v>0</v>
      </c>
      <c r="K372" s="22">
        <f t="shared" si="75"/>
        <v>0</v>
      </c>
      <c r="L372">
        <f t="shared" si="80"/>
        <v>0</v>
      </c>
      <c r="M372" s="22">
        <f t="shared" si="76"/>
        <v>0</v>
      </c>
      <c r="N372">
        <f>M371*Assumptions!$B$11/$E$2*J372</f>
        <v>0</v>
      </c>
      <c r="O372">
        <f>M371*Assumptions!$B$13/$E$2*J372</f>
        <v>0</v>
      </c>
      <c r="P372">
        <f>H372*Assumptions!$B$15</f>
        <v>0</v>
      </c>
      <c r="Q372">
        <f>O372*Assumptions!$B$17</f>
        <v>0</v>
      </c>
      <c r="R372">
        <f>HLOOKUP(B372,Assumptions!$A$26:$D$27,2,TRUE)</f>
        <v>0</v>
      </c>
      <c r="S372">
        <f t="shared" si="81"/>
        <v>0</v>
      </c>
      <c r="T372">
        <f t="shared" si="77"/>
        <v>0.6666666666666643</v>
      </c>
      <c r="U372">
        <f>IF(B372&gt;$K$2,0,IF(T373=0,0,(1-T373)*Assumptions!$B$11/$E$2*(1-Assumptions!$B$30)))</f>
        <v>0</v>
      </c>
      <c r="V372">
        <f>(N372-O372)*(1-Assumptions!$B$30)-Q372+U371*M371</f>
        <v>0</v>
      </c>
      <c r="W372">
        <f>W371*(1+Assumptions!$B$36)^(1/12)</f>
        <v>1.3489670073805182</v>
      </c>
      <c r="X372" s="19">
        <f>IF(B372&gt;$K$2,0,W371*Assumptions!$B$32/12*M371+V372*Assumptions!$B$34/12)</f>
        <v>0</v>
      </c>
      <c r="Y372" s="20">
        <f>1/(1+HLOOKUP(YEAR(A372),Assumptions!$A$41:$AL$43,3,TRUE))^(1/12)</f>
        <v>0.99765658905310106</v>
      </c>
      <c r="Z372">
        <f t="shared" si="78"/>
        <v>0</v>
      </c>
      <c r="AA372">
        <f t="shared" si="82"/>
        <v>0</v>
      </c>
    </row>
    <row r="373" spans="1:27" x14ac:dyDescent="0.2">
      <c r="A373" s="2">
        <f t="shared" si="83"/>
        <v>54117</v>
      </c>
      <c r="B373">
        <f t="shared" si="79"/>
        <v>454</v>
      </c>
      <c r="C373">
        <f t="shared" si="71"/>
        <v>37.75</v>
      </c>
      <c r="D373">
        <f t="shared" si="72"/>
        <v>0</v>
      </c>
      <c r="E373">
        <f t="shared" si="73"/>
        <v>92</v>
      </c>
      <c r="F373">
        <f>IF(C373&gt;=$J$2,0,VLOOKUP($E373,'Mortality Table'!$A$3:$C$128,2+G$2,FALSE))</f>
        <v>0</v>
      </c>
      <c r="G373">
        <f>F373*Assumptions!$B$1</f>
        <v>0</v>
      </c>
      <c r="H373">
        <f t="shared" si="74"/>
        <v>0</v>
      </c>
      <c r="I373">
        <f>HLOOKUP(C373,Assumptions!$A$6:$J$7,2,TRUE)</f>
        <v>2.6499999999999999E-2</v>
      </c>
      <c r="J373" s="22">
        <f t="shared" si="70"/>
        <v>0</v>
      </c>
      <c r="K373" s="22">
        <f t="shared" si="75"/>
        <v>0</v>
      </c>
      <c r="L373">
        <f t="shared" si="80"/>
        <v>0</v>
      </c>
      <c r="M373" s="22">
        <f t="shared" si="76"/>
        <v>0</v>
      </c>
      <c r="N373">
        <f>M372*Assumptions!$B$11/$E$2*J373</f>
        <v>0</v>
      </c>
      <c r="O373">
        <f>M372*Assumptions!$B$13/$E$2*J373</f>
        <v>0</v>
      </c>
      <c r="P373">
        <f>H373*Assumptions!$B$15</f>
        <v>0</v>
      </c>
      <c r="Q373">
        <f>O373*Assumptions!$B$17</f>
        <v>0</v>
      </c>
      <c r="R373">
        <f>HLOOKUP(B373,Assumptions!$A$26:$D$27,2,TRUE)</f>
        <v>0</v>
      </c>
      <c r="S373">
        <f t="shared" si="81"/>
        <v>0</v>
      </c>
      <c r="T373">
        <f t="shared" si="77"/>
        <v>0.75</v>
      </c>
      <c r="U373">
        <f>IF(B373&gt;$K$2,0,IF(T374=0,0,(1-T374)*Assumptions!$B$11/$E$2*(1-Assumptions!$B$30)))</f>
        <v>0</v>
      </c>
      <c r="V373">
        <f>(N373-O373)*(1-Assumptions!$B$30)-Q373+U372*M372</f>
        <v>0</v>
      </c>
      <c r="W373">
        <f>W372*(1+Assumptions!$B$36)^(1/12)</f>
        <v>1.3500860269281358</v>
      </c>
      <c r="X373" s="19">
        <f>IF(B373&gt;$K$2,0,W372*Assumptions!$B$32/12*M372+V373*Assumptions!$B$34/12)</f>
        <v>0</v>
      </c>
      <c r="Y373" s="20">
        <f>1/(1+HLOOKUP(YEAR(A373),Assumptions!$A$41:$AL$43,3,TRUE))^(1/12)</f>
        <v>0.99765658905310106</v>
      </c>
      <c r="Z373">
        <f t="shared" si="78"/>
        <v>0</v>
      </c>
      <c r="AA373">
        <f t="shared" si="82"/>
        <v>0</v>
      </c>
    </row>
    <row r="374" spans="1:27" x14ac:dyDescent="0.2">
      <c r="A374" s="2">
        <f t="shared" si="83"/>
        <v>54148</v>
      </c>
      <c r="B374">
        <f t="shared" si="79"/>
        <v>455</v>
      </c>
      <c r="C374">
        <f t="shared" si="71"/>
        <v>37.833333333333336</v>
      </c>
      <c r="D374">
        <f t="shared" si="72"/>
        <v>0</v>
      </c>
      <c r="E374">
        <f t="shared" si="73"/>
        <v>92</v>
      </c>
      <c r="F374">
        <f>IF(C374&gt;=$J$2,0,VLOOKUP($E374,'Mortality Table'!$A$3:$C$128,2+G$2,FALSE))</f>
        <v>0</v>
      </c>
      <c r="G374">
        <f>F374*Assumptions!$B$1</f>
        <v>0</v>
      </c>
      <c r="H374">
        <f t="shared" si="74"/>
        <v>0</v>
      </c>
      <c r="I374">
        <f>HLOOKUP(C374,Assumptions!$A$6:$J$7,2,TRUE)</f>
        <v>2.6499999999999999E-2</v>
      </c>
      <c r="J374" s="22">
        <f t="shared" si="70"/>
        <v>0</v>
      </c>
      <c r="K374" s="22">
        <f t="shared" si="75"/>
        <v>0</v>
      </c>
      <c r="L374">
        <f t="shared" si="80"/>
        <v>0</v>
      </c>
      <c r="M374" s="22">
        <f t="shared" si="76"/>
        <v>0</v>
      </c>
      <c r="N374">
        <f>M373*Assumptions!$B$11/$E$2*J374</f>
        <v>0</v>
      </c>
      <c r="O374">
        <f>M373*Assumptions!$B$13/$E$2*J374</f>
        <v>0</v>
      </c>
      <c r="P374">
        <f>H374*Assumptions!$B$15</f>
        <v>0</v>
      </c>
      <c r="Q374">
        <f>O374*Assumptions!$B$17</f>
        <v>0</v>
      </c>
      <c r="R374">
        <f>HLOOKUP(B374,Assumptions!$A$26:$D$27,2,TRUE)</f>
        <v>0</v>
      </c>
      <c r="S374">
        <f t="shared" si="81"/>
        <v>0</v>
      </c>
      <c r="T374">
        <f t="shared" si="77"/>
        <v>0.8333333333333357</v>
      </c>
      <c r="U374">
        <f>IF(B374&gt;$K$2,0,IF(T375=0,0,(1-T375)*Assumptions!$B$11/$E$2*(1-Assumptions!$B$30)))</f>
        <v>0</v>
      </c>
      <c r="V374">
        <f>(N374-O374)*(1-Assumptions!$B$30)-Q374+U373*M373</f>
        <v>0</v>
      </c>
      <c r="W374">
        <f>W373*(1+Assumptions!$B$36)^(1/12)</f>
        <v>1.3512059747451188</v>
      </c>
      <c r="X374" s="19">
        <f>IF(B374&gt;$K$2,0,W373*Assumptions!$B$32/12*M373+V374*Assumptions!$B$34/12)</f>
        <v>0</v>
      </c>
      <c r="Y374" s="20">
        <f>1/(1+HLOOKUP(YEAR(A374),Assumptions!$A$41:$AL$43,3,TRUE))^(1/12)</f>
        <v>0.99765658905310106</v>
      </c>
      <c r="Z374">
        <f t="shared" si="78"/>
        <v>0</v>
      </c>
      <c r="AA374">
        <f t="shared" si="82"/>
        <v>0</v>
      </c>
    </row>
    <row r="375" spans="1:27" x14ac:dyDescent="0.2">
      <c r="A375" s="2">
        <f t="shared" si="83"/>
        <v>54178</v>
      </c>
      <c r="B375">
        <f t="shared" si="79"/>
        <v>456</v>
      </c>
      <c r="C375">
        <f t="shared" si="71"/>
        <v>37.916666666666664</v>
      </c>
      <c r="D375">
        <f t="shared" si="72"/>
        <v>0</v>
      </c>
      <c r="E375">
        <f t="shared" si="73"/>
        <v>92</v>
      </c>
      <c r="F375">
        <f>IF(C375&gt;=$J$2,0,VLOOKUP($E375,'Mortality Table'!$A$3:$C$128,2+G$2,FALSE))</f>
        <v>0</v>
      </c>
      <c r="G375">
        <f>F375*Assumptions!$B$1</f>
        <v>0</v>
      </c>
      <c r="H375">
        <f t="shared" si="74"/>
        <v>0</v>
      </c>
      <c r="I375">
        <f>HLOOKUP(C375,Assumptions!$A$6:$J$7,2,TRUE)</f>
        <v>2.6499999999999999E-2</v>
      </c>
      <c r="J375" s="22">
        <f t="shared" si="70"/>
        <v>0</v>
      </c>
      <c r="K375" s="22">
        <f t="shared" si="75"/>
        <v>0</v>
      </c>
      <c r="L375">
        <f t="shared" si="80"/>
        <v>0</v>
      </c>
      <c r="M375" s="22">
        <f t="shared" si="76"/>
        <v>0</v>
      </c>
      <c r="N375">
        <f>M374*Assumptions!$B$11/$E$2*J375</f>
        <v>0</v>
      </c>
      <c r="O375">
        <f>M374*Assumptions!$B$13/$E$2*J375</f>
        <v>0</v>
      </c>
      <c r="P375">
        <f>H375*Assumptions!$B$15</f>
        <v>0</v>
      </c>
      <c r="Q375">
        <f>O375*Assumptions!$B$17</f>
        <v>0</v>
      </c>
      <c r="R375">
        <f>HLOOKUP(B375,Assumptions!$A$26:$D$27,2,TRUE)</f>
        <v>0</v>
      </c>
      <c r="S375">
        <f t="shared" si="81"/>
        <v>0</v>
      </c>
      <c r="T375">
        <f t="shared" si="77"/>
        <v>0.9166666666666643</v>
      </c>
      <c r="U375">
        <f>IF(B375&gt;$K$2,0,IF(T376=0,0,(1-T376)*Assumptions!$B$11/$E$2*(1-Assumptions!$B$30)))</f>
        <v>0</v>
      </c>
      <c r="V375">
        <f>(N375-O375)*(1-Assumptions!$B$30)-Q375+U374*M374</f>
        <v>0</v>
      </c>
      <c r="W375">
        <f>W374*(1+Assumptions!$B$36)^(1/12)</f>
        <v>1.3523268516015021</v>
      </c>
      <c r="X375" s="19">
        <f>IF(B375&gt;$K$2,0,W374*Assumptions!$B$32/12*M374+V375*Assumptions!$B$34/12)</f>
        <v>0</v>
      </c>
      <c r="Y375" s="20">
        <f>1/(1+HLOOKUP(YEAR(A375),Assumptions!$A$41:$AL$43,3,TRUE))^(1/12)</f>
        <v>0.99765658905310106</v>
      </c>
      <c r="Z375">
        <f t="shared" si="78"/>
        <v>0</v>
      </c>
      <c r="AA375">
        <f t="shared" si="82"/>
        <v>0</v>
      </c>
    </row>
    <row r="376" spans="1:27" x14ac:dyDescent="0.2">
      <c r="A376" s="2">
        <f t="shared" si="83"/>
        <v>54209</v>
      </c>
      <c r="B376">
        <f t="shared" si="79"/>
        <v>457</v>
      </c>
      <c r="C376">
        <f t="shared" si="71"/>
        <v>38</v>
      </c>
      <c r="D376">
        <f t="shared" si="72"/>
        <v>1</v>
      </c>
      <c r="E376">
        <f t="shared" si="73"/>
        <v>93</v>
      </c>
      <c r="F376">
        <f>IF(C376&gt;=$J$2,0,VLOOKUP($E376,'Mortality Table'!$A$3:$C$128,2+G$2,FALSE))</f>
        <v>0</v>
      </c>
      <c r="G376">
        <f>F376*Assumptions!$B$1</f>
        <v>0</v>
      </c>
      <c r="H376">
        <f t="shared" si="74"/>
        <v>0</v>
      </c>
      <c r="I376">
        <f>HLOOKUP(C376,Assumptions!$A$6:$J$7,2,TRUE)</f>
        <v>2.6499999999999999E-2</v>
      </c>
      <c r="J376" s="22">
        <f t="shared" si="70"/>
        <v>0</v>
      </c>
      <c r="K376" s="22">
        <f t="shared" si="75"/>
        <v>0</v>
      </c>
      <c r="L376">
        <f t="shared" si="80"/>
        <v>0</v>
      </c>
      <c r="M376" s="22">
        <f t="shared" si="76"/>
        <v>0</v>
      </c>
      <c r="N376">
        <f>M375*Assumptions!$B$11/$E$2*J376</f>
        <v>0</v>
      </c>
      <c r="O376">
        <f>M375*Assumptions!$B$13/$E$2*J376</f>
        <v>0</v>
      </c>
      <c r="P376">
        <f>H376*Assumptions!$B$15</f>
        <v>0</v>
      </c>
      <c r="Q376">
        <f>O376*Assumptions!$B$17</f>
        <v>0</v>
      </c>
      <c r="R376">
        <f>HLOOKUP(B376,Assumptions!$A$26:$D$27,2,TRUE)</f>
        <v>0</v>
      </c>
      <c r="S376">
        <f t="shared" si="81"/>
        <v>0</v>
      </c>
      <c r="T376">
        <f t="shared" si="77"/>
        <v>0</v>
      </c>
      <c r="U376">
        <f>IF(B376&gt;$K$2,0,IF(T377=0,0,(1-T377)*Assumptions!$B$11/$E$2*(1-Assumptions!$B$30)))</f>
        <v>0</v>
      </c>
      <c r="V376">
        <f>(N376-O376)*(1-Assumptions!$B$30)-Q376+U375*M375</f>
        <v>0</v>
      </c>
      <c r="W376">
        <f>W375*(1+Assumptions!$B$36)^(1/12)</f>
        <v>1.3534486582679592</v>
      </c>
      <c r="X376" s="19">
        <f>IF(B376&gt;$K$2,0,W375*Assumptions!$B$32/12*M375+V376*Assumptions!$B$34/12)</f>
        <v>0</v>
      </c>
      <c r="Y376" s="20">
        <f>1/(1+HLOOKUP(YEAR(A376),Assumptions!$A$41:$AL$43,3,TRUE))^(1/12)</f>
        <v>0.99765658905310106</v>
      </c>
      <c r="Z376">
        <f t="shared" si="78"/>
        <v>0</v>
      </c>
      <c r="AA376">
        <f t="shared" si="82"/>
        <v>0</v>
      </c>
    </row>
    <row r="377" spans="1:27" x14ac:dyDescent="0.2">
      <c r="A377" s="2">
        <f t="shared" si="83"/>
        <v>54239</v>
      </c>
      <c r="B377">
        <f t="shared" si="79"/>
        <v>458</v>
      </c>
      <c r="C377">
        <f t="shared" si="71"/>
        <v>38.083333333333336</v>
      </c>
      <c r="D377">
        <f t="shared" si="72"/>
        <v>0</v>
      </c>
      <c r="E377">
        <f t="shared" si="73"/>
        <v>93</v>
      </c>
      <c r="F377">
        <f>IF(C377&gt;=$J$2,0,VLOOKUP($E377,'Mortality Table'!$A$3:$C$128,2+G$2,FALSE))</f>
        <v>0</v>
      </c>
      <c r="G377">
        <f>F377*Assumptions!$B$1</f>
        <v>0</v>
      </c>
      <c r="H377">
        <f t="shared" si="74"/>
        <v>0</v>
      </c>
      <c r="I377">
        <f>HLOOKUP(C377,Assumptions!$A$6:$J$7,2,TRUE)</f>
        <v>2.6499999999999999E-2</v>
      </c>
      <c r="J377" s="22">
        <f t="shared" si="70"/>
        <v>0</v>
      </c>
      <c r="K377" s="22">
        <f t="shared" si="75"/>
        <v>0</v>
      </c>
      <c r="L377">
        <f t="shared" si="80"/>
        <v>0</v>
      </c>
      <c r="M377" s="22">
        <f t="shared" si="76"/>
        <v>0</v>
      </c>
      <c r="N377">
        <f>M376*Assumptions!$B$11/$E$2*J377</f>
        <v>0</v>
      </c>
      <c r="O377">
        <f>M376*Assumptions!$B$13/$E$2*J377</f>
        <v>0</v>
      </c>
      <c r="P377">
        <f>H377*Assumptions!$B$15</f>
        <v>0</v>
      </c>
      <c r="Q377">
        <f>O377*Assumptions!$B$17</f>
        <v>0</v>
      </c>
      <c r="R377">
        <f>HLOOKUP(B377,Assumptions!$A$26:$D$27,2,TRUE)</f>
        <v>0</v>
      </c>
      <c r="S377">
        <f t="shared" si="81"/>
        <v>0</v>
      </c>
      <c r="T377">
        <f t="shared" si="77"/>
        <v>8.3333333333335702E-2</v>
      </c>
      <c r="U377">
        <f>IF(B377&gt;$K$2,0,IF(T378=0,0,(1-T378)*Assumptions!$B$11/$E$2*(1-Assumptions!$B$30)))</f>
        <v>0</v>
      </c>
      <c r="V377">
        <f>(N377-O377)*(1-Assumptions!$B$30)-Q377+U376*M376</f>
        <v>0</v>
      </c>
      <c r="W377">
        <f>W376*(1+Assumptions!$B$36)^(1/12)</f>
        <v>1.3545713955158032</v>
      </c>
      <c r="X377" s="19">
        <f>IF(B377&gt;$K$2,0,W376*Assumptions!$B$32/12*M376+V377*Assumptions!$B$34/12)</f>
        <v>0</v>
      </c>
      <c r="Y377" s="20">
        <f>1/(1+HLOOKUP(YEAR(A377),Assumptions!$A$41:$AL$43,3,TRUE))^(1/12)</f>
        <v>0.99765658905310106</v>
      </c>
      <c r="Z377">
        <f t="shared" si="78"/>
        <v>0</v>
      </c>
      <c r="AA377">
        <f t="shared" si="82"/>
        <v>0</v>
      </c>
    </row>
    <row r="378" spans="1:27" x14ac:dyDescent="0.2">
      <c r="A378" s="2">
        <f t="shared" si="83"/>
        <v>54270</v>
      </c>
      <c r="B378">
        <f t="shared" si="79"/>
        <v>459</v>
      </c>
      <c r="C378">
        <f t="shared" si="71"/>
        <v>38.166666666666664</v>
      </c>
      <c r="D378">
        <f t="shared" si="72"/>
        <v>0</v>
      </c>
      <c r="E378">
        <f t="shared" si="73"/>
        <v>93</v>
      </c>
      <c r="F378">
        <f>IF(C378&gt;=$J$2,0,VLOOKUP($E378,'Mortality Table'!$A$3:$C$128,2+G$2,FALSE))</f>
        <v>0</v>
      </c>
      <c r="G378">
        <f>F378*Assumptions!$B$1</f>
        <v>0</v>
      </c>
      <c r="H378">
        <f t="shared" si="74"/>
        <v>0</v>
      </c>
      <c r="I378">
        <f>HLOOKUP(C378,Assumptions!$A$6:$J$7,2,TRUE)</f>
        <v>2.6499999999999999E-2</v>
      </c>
      <c r="J378" s="22">
        <f t="shared" si="70"/>
        <v>0</v>
      </c>
      <c r="K378" s="22">
        <f t="shared" si="75"/>
        <v>0</v>
      </c>
      <c r="L378">
        <f t="shared" si="80"/>
        <v>0</v>
      </c>
      <c r="M378" s="22">
        <f t="shared" si="76"/>
        <v>0</v>
      </c>
      <c r="N378">
        <f>M377*Assumptions!$B$11/$E$2*J378</f>
        <v>0</v>
      </c>
      <c r="O378">
        <f>M377*Assumptions!$B$13/$E$2*J378</f>
        <v>0</v>
      </c>
      <c r="P378">
        <f>H378*Assumptions!$B$15</f>
        <v>0</v>
      </c>
      <c r="Q378">
        <f>O378*Assumptions!$B$17</f>
        <v>0</v>
      </c>
      <c r="R378">
        <f>HLOOKUP(B378,Assumptions!$A$26:$D$27,2,TRUE)</f>
        <v>0</v>
      </c>
      <c r="S378">
        <f t="shared" si="81"/>
        <v>0</v>
      </c>
      <c r="T378">
        <f t="shared" si="77"/>
        <v>0.1666666666666643</v>
      </c>
      <c r="U378">
        <f>IF(B378&gt;$K$2,0,IF(T379=0,0,(1-T379)*Assumptions!$B$11/$E$2*(1-Assumptions!$B$30)))</f>
        <v>0</v>
      </c>
      <c r="V378">
        <f>(N378-O378)*(1-Assumptions!$B$30)-Q378+U377*M377</f>
        <v>0</v>
      </c>
      <c r="W378">
        <f>W377*(1+Assumptions!$B$36)^(1/12)</f>
        <v>1.3556950641169867</v>
      </c>
      <c r="X378" s="19">
        <f>IF(B378&gt;$K$2,0,W377*Assumptions!$B$32/12*M377+V378*Assumptions!$B$34/12)</f>
        <v>0</v>
      </c>
      <c r="Y378" s="20">
        <f>1/(1+HLOOKUP(YEAR(A378),Assumptions!$A$41:$AL$43,3,TRUE))^(1/12)</f>
        <v>0.99765658905310106</v>
      </c>
      <c r="Z378">
        <f t="shared" si="78"/>
        <v>0</v>
      </c>
      <c r="AA378">
        <f t="shared" si="82"/>
        <v>0</v>
      </c>
    </row>
    <row r="379" spans="1:27" x14ac:dyDescent="0.2">
      <c r="A379" s="2">
        <f t="shared" si="83"/>
        <v>54301</v>
      </c>
      <c r="B379">
        <f t="shared" si="79"/>
        <v>460</v>
      </c>
      <c r="C379">
        <f t="shared" si="71"/>
        <v>38.25</v>
      </c>
      <c r="D379">
        <f t="shared" si="72"/>
        <v>0</v>
      </c>
      <c r="E379">
        <f t="shared" si="73"/>
        <v>93</v>
      </c>
      <c r="F379">
        <f>IF(C379&gt;=$J$2,0,VLOOKUP($E379,'Mortality Table'!$A$3:$C$128,2+G$2,FALSE))</f>
        <v>0</v>
      </c>
      <c r="G379">
        <f>F379*Assumptions!$B$1</f>
        <v>0</v>
      </c>
      <c r="H379">
        <f t="shared" si="74"/>
        <v>0</v>
      </c>
      <c r="I379">
        <f>HLOOKUP(C379,Assumptions!$A$6:$J$7,2,TRUE)</f>
        <v>2.6499999999999999E-2</v>
      </c>
      <c r="J379" s="22">
        <f t="shared" si="70"/>
        <v>0</v>
      </c>
      <c r="K379" s="22">
        <f t="shared" si="75"/>
        <v>0</v>
      </c>
      <c r="L379">
        <f t="shared" si="80"/>
        <v>0</v>
      </c>
      <c r="M379" s="22">
        <f t="shared" si="76"/>
        <v>0</v>
      </c>
      <c r="N379">
        <f>M378*Assumptions!$B$11/$E$2*J379</f>
        <v>0</v>
      </c>
      <c r="O379">
        <f>M378*Assumptions!$B$13/$E$2*J379</f>
        <v>0</v>
      </c>
      <c r="P379">
        <f>H379*Assumptions!$B$15</f>
        <v>0</v>
      </c>
      <c r="Q379">
        <f>O379*Assumptions!$B$17</f>
        <v>0</v>
      </c>
      <c r="R379">
        <f>HLOOKUP(B379,Assumptions!$A$26:$D$27,2,TRUE)</f>
        <v>0</v>
      </c>
      <c r="S379">
        <f t="shared" si="81"/>
        <v>0</v>
      </c>
      <c r="T379">
        <f t="shared" si="77"/>
        <v>0.25</v>
      </c>
      <c r="U379">
        <f>IF(B379&gt;$K$2,0,IF(T380=0,0,(1-T380)*Assumptions!$B$11/$E$2*(1-Assumptions!$B$30)))</f>
        <v>0</v>
      </c>
      <c r="V379">
        <f>(N379-O379)*(1-Assumptions!$B$30)-Q379+U378*M378</f>
        <v>0</v>
      </c>
      <c r="W379">
        <f>W378*(1+Assumptions!$B$36)^(1/12)</f>
        <v>1.3568196648441027</v>
      </c>
      <c r="X379" s="19">
        <f>IF(B379&gt;$K$2,0,W378*Assumptions!$B$32/12*M378+V379*Assumptions!$B$34/12)</f>
        <v>0</v>
      </c>
      <c r="Y379" s="20">
        <f>1/(1+HLOOKUP(YEAR(A379),Assumptions!$A$41:$AL$43,3,TRUE))^(1/12)</f>
        <v>0.99765658905310106</v>
      </c>
      <c r="Z379">
        <f t="shared" si="78"/>
        <v>0</v>
      </c>
      <c r="AA379">
        <f t="shared" si="82"/>
        <v>0</v>
      </c>
    </row>
    <row r="380" spans="1:27" x14ac:dyDescent="0.2">
      <c r="A380" s="2">
        <f t="shared" si="83"/>
        <v>54331</v>
      </c>
      <c r="B380">
        <f t="shared" si="79"/>
        <v>461</v>
      </c>
      <c r="C380">
        <f t="shared" si="71"/>
        <v>38.333333333333336</v>
      </c>
      <c r="D380">
        <f t="shared" si="72"/>
        <v>0</v>
      </c>
      <c r="E380">
        <f t="shared" si="73"/>
        <v>93</v>
      </c>
      <c r="F380">
        <f>IF(C380&gt;=$J$2,0,VLOOKUP($E380,'Mortality Table'!$A$3:$C$128,2+G$2,FALSE))</f>
        <v>0</v>
      </c>
      <c r="G380">
        <f>F380*Assumptions!$B$1</f>
        <v>0</v>
      </c>
      <c r="H380">
        <f t="shared" si="74"/>
        <v>0</v>
      </c>
      <c r="I380">
        <f>HLOOKUP(C380,Assumptions!$A$6:$J$7,2,TRUE)</f>
        <v>2.6499999999999999E-2</v>
      </c>
      <c r="J380" s="22">
        <f t="shared" si="70"/>
        <v>0</v>
      </c>
      <c r="K380" s="22">
        <f t="shared" si="75"/>
        <v>0</v>
      </c>
      <c r="L380">
        <f t="shared" si="80"/>
        <v>0</v>
      </c>
      <c r="M380" s="22">
        <f t="shared" si="76"/>
        <v>0</v>
      </c>
      <c r="N380">
        <f>M379*Assumptions!$B$11/$E$2*J380</f>
        <v>0</v>
      </c>
      <c r="O380">
        <f>M379*Assumptions!$B$13/$E$2*J380</f>
        <v>0</v>
      </c>
      <c r="P380">
        <f>H380*Assumptions!$B$15</f>
        <v>0</v>
      </c>
      <c r="Q380">
        <f>O380*Assumptions!$B$17</f>
        <v>0</v>
      </c>
      <c r="R380">
        <f>HLOOKUP(B380,Assumptions!$A$26:$D$27,2,TRUE)</f>
        <v>0</v>
      </c>
      <c r="S380">
        <f t="shared" si="81"/>
        <v>0</v>
      </c>
      <c r="T380">
        <f t="shared" si="77"/>
        <v>0.3333333333333357</v>
      </c>
      <c r="U380">
        <f>IF(B380&gt;$K$2,0,IF(T381=0,0,(1-T381)*Assumptions!$B$11/$E$2*(1-Assumptions!$B$30)))</f>
        <v>0</v>
      </c>
      <c r="V380">
        <f>(N380-O380)*(1-Assumptions!$B$30)-Q380+U379*M379</f>
        <v>0</v>
      </c>
      <c r="W380">
        <f>W379*(1+Assumptions!$B$36)^(1/12)</f>
        <v>1.3579451984703852</v>
      </c>
      <c r="X380" s="19">
        <f>IF(B380&gt;$K$2,0,W379*Assumptions!$B$32/12*M379+V380*Assumptions!$B$34/12)</f>
        <v>0</v>
      </c>
      <c r="Y380" s="20">
        <f>1/(1+HLOOKUP(YEAR(A380),Assumptions!$A$41:$AL$43,3,TRUE))^(1/12)</f>
        <v>0.99765658905310106</v>
      </c>
      <c r="Z380">
        <f t="shared" si="78"/>
        <v>0</v>
      </c>
      <c r="AA380">
        <f t="shared" si="82"/>
        <v>0</v>
      </c>
    </row>
    <row r="381" spans="1:27" x14ac:dyDescent="0.2">
      <c r="A381" s="2">
        <f t="shared" si="83"/>
        <v>54362</v>
      </c>
      <c r="B381">
        <f t="shared" si="79"/>
        <v>462</v>
      </c>
      <c r="C381">
        <f t="shared" si="71"/>
        <v>38.416666666666664</v>
      </c>
      <c r="D381">
        <f t="shared" si="72"/>
        <v>0</v>
      </c>
      <c r="E381">
        <f t="shared" si="73"/>
        <v>93</v>
      </c>
      <c r="F381">
        <f>IF(C381&gt;=$J$2,0,VLOOKUP($E381,'Mortality Table'!$A$3:$C$128,2+G$2,FALSE))</f>
        <v>0</v>
      </c>
      <c r="G381">
        <f>F381*Assumptions!$B$1</f>
        <v>0</v>
      </c>
      <c r="H381">
        <f t="shared" si="74"/>
        <v>0</v>
      </c>
      <c r="I381">
        <f>HLOOKUP(C381,Assumptions!$A$6:$J$7,2,TRUE)</f>
        <v>2.6499999999999999E-2</v>
      </c>
      <c r="J381" s="22">
        <f t="shared" si="70"/>
        <v>0</v>
      </c>
      <c r="K381" s="22">
        <f t="shared" si="75"/>
        <v>0</v>
      </c>
      <c r="L381">
        <f t="shared" si="80"/>
        <v>0</v>
      </c>
      <c r="M381" s="22">
        <f t="shared" si="76"/>
        <v>0</v>
      </c>
      <c r="N381">
        <f>M380*Assumptions!$B$11/$E$2*J381</f>
        <v>0</v>
      </c>
      <c r="O381">
        <f>M380*Assumptions!$B$13/$E$2*J381</f>
        <v>0</v>
      </c>
      <c r="P381">
        <f>H381*Assumptions!$B$15</f>
        <v>0</v>
      </c>
      <c r="Q381">
        <f>O381*Assumptions!$B$17</f>
        <v>0</v>
      </c>
      <c r="R381">
        <f>HLOOKUP(B381,Assumptions!$A$26:$D$27,2,TRUE)</f>
        <v>0</v>
      </c>
      <c r="S381">
        <f t="shared" si="81"/>
        <v>0</v>
      </c>
      <c r="T381">
        <f t="shared" si="77"/>
        <v>0.4166666666666643</v>
      </c>
      <c r="U381">
        <f>IF(B381&gt;$K$2,0,IF(T382=0,0,(1-T382)*Assumptions!$B$11/$E$2*(1-Assumptions!$B$30)))</f>
        <v>0</v>
      </c>
      <c r="V381">
        <f>(N381-O381)*(1-Assumptions!$B$30)-Q381+U380*M380</f>
        <v>0</v>
      </c>
      <c r="W381">
        <f>W380*(1+Assumptions!$B$36)^(1/12)</f>
        <v>1.3590716657697097</v>
      </c>
      <c r="X381" s="19">
        <f>IF(B381&gt;$K$2,0,W380*Assumptions!$B$32/12*M380+V381*Assumptions!$B$34/12)</f>
        <v>0</v>
      </c>
      <c r="Y381" s="20">
        <f>1/(1+HLOOKUP(YEAR(A381),Assumptions!$A$41:$AL$43,3,TRUE))^(1/12)</f>
        <v>0.99765658905310106</v>
      </c>
      <c r="Z381">
        <f t="shared" si="78"/>
        <v>0</v>
      </c>
      <c r="AA381">
        <f t="shared" si="82"/>
        <v>0</v>
      </c>
    </row>
    <row r="382" spans="1:27" x14ac:dyDescent="0.2">
      <c r="A382" s="2">
        <f t="shared" si="83"/>
        <v>54392</v>
      </c>
      <c r="B382">
        <f t="shared" si="79"/>
        <v>463</v>
      </c>
      <c r="C382">
        <f t="shared" si="71"/>
        <v>38.5</v>
      </c>
      <c r="D382">
        <f t="shared" si="72"/>
        <v>0</v>
      </c>
      <c r="E382">
        <f t="shared" si="73"/>
        <v>93</v>
      </c>
      <c r="F382">
        <f>IF(C382&gt;=$J$2,0,VLOOKUP($E382,'Mortality Table'!$A$3:$C$128,2+G$2,FALSE))</f>
        <v>0</v>
      </c>
      <c r="G382">
        <f>F382*Assumptions!$B$1</f>
        <v>0</v>
      </c>
      <c r="H382">
        <f t="shared" si="74"/>
        <v>0</v>
      </c>
      <c r="I382">
        <f>HLOOKUP(C382,Assumptions!$A$6:$J$7,2,TRUE)</f>
        <v>2.6499999999999999E-2</v>
      </c>
      <c r="J382" s="22">
        <f t="shared" si="70"/>
        <v>0</v>
      </c>
      <c r="K382" s="22">
        <f t="shared" si="75"/>
        <v>0</v>
      </c>
      <c r="L382">
        <f t="shared" si="80"/>
        <v>0</v>
      </c>
      <c r="M382" s="22">
        <f t="shared" si="76"/>
        <v>0</v>
      </c>
      <c r="N382">
        <f>M381*Assumptions!$B$11/$E$2*J382</f>
        <v>0</v>
      </c>
      <c r="O382">
        <f>M381*Assumptions!$B$13/$E$2*J382</f>
        <v>0</v>
      </c>
      <c r="P382">
        <f>H382*Assumptions!$B$15</f>
        <v>0</v>
      </c>
      <c r="Q382">
        <f>O382*Assumptions!$B$17</f>
        <v>0</v>
      </c>
      <c r="R382">
        <f>HLOOKUP(B382,Assumptions!$A$26:$D$27,2,TRUE)</f>
        <v>0</v>
      </c>
      <c r="S382">
        <f t="shared" si="81"/>
        <v>0</v>
      </c>
      <c r="T382">
        <f t="shared" si="77"/>
        <v>0.5</v>
      </c>
      <c r="U382">
        <f>IF(B382&gt;$K$2,0,IF(T383=0,0,(1-T383)*Assumptions!$B$11/$E$2*(1-Assumptions!$B$30)))</f>
        <v>0</v>
      </c>
      <c r="V382">
        <f>(N382-O382)*(1-Assumptions!$B$30)-Q382+U381*M381</f>
        <v>0</v>
      </c>
      <c r="W382">
        <f>W381*(1+Assumptions!$B$36)^(1/12)</f>
        <v>1.3601990675165936</v>
      </c>
      <c r="X382" s="19">
        <f>IF(B382&gt;$K$2,0,W381*Assumptions!$B$32/12*M381+V382*Assumptions!$B$34/12)</f>
        <v>0</v>
      </c>
      <c r="Y382" s="20">
        <f>1/(1+HLOOKUP(YEAR(A382),Assumptions!$A$41:$AL$43,3,TRUE))^(1/12)</f>
        <v>0.99765658905310106</v>
      </c>
      <c r="Z382">
        <f t="shared" si="78"/>
        <v>0</v>
      </c>
      <c r="AA382">
        <f t="shared" si="82"/>
        <v>0</v>
      </c>
    </row>
    <row r="383" spans="1:27" x14ac:dyDescent="0.2">
      <c r="A383" s="2">
        <f t="shared" si="83"/>
        <v>54423</v>
      </c>
      <c r="B383">
        <f t="shared" si="79"/>
        <v>464</v>
      </c>
      <c r="C383">
        <f t="shared" si="71"/>
        <v>38.583333333333336</v>
      </c>
      <c r="D383">
        <f t="shared" si="72"/>
        <v>0</v>
      </c>
      <c r="E383">
        <f t="shared" si="73"/>
        <v>93</v>
      </c>
      <c r="F383">
        <f>IF(C383&gt;=$J$2,0,VLOOKUP($E383,'Mortality Table'!$A$3:$C$128,2+G$2,FALSE))</f>
        <v>0</v>
      </c>
      <c r="G383">
        <f>F383*Assumptions!$B$1</f>
        <v>0</v>
      </c>
      <c r="H383">
        <f t="shared" si="74"/>
        <v>0</v>
      </c>
      <c r="I383">
        <f>HLOOKUP(C383,Assumptions!$A$6:$J$7,2,TRUE)</f>
        <v>2.6499999999999999E-2</v>
      </c>
      <c r="J383" s="22">
        <f t="shared" si="70"/>
        <v>0</v>
      </c>
      <c r="K383" s="22">
        <f t="shared" si="75"/>
        <v>0</v>
      </c>
      <c r="L383">
        <f t="shared" si="80"/>
        <v>0</v>
      </c>
      <c r="M383" s="22">
        <f t="shared" si="76"/>
        <v>0</v>
      </c>
      <c r="N383">
        <f>M382*Assumptions!$B$11/$E$2*J383</f>
        <v>0</v>
      </c>
      <c r="O383">
        <f>M382*Assumptions!$B$13/$E$2*J383</f>
        <v>0</v>
      </c>
      <c r="P383">
        <f>H383*Assumptions!$B$15</f>
        <v>0</v>
      </c>
      <c r="Q383">
        <f>O383*Assumptions!$B$17</f>
        <v>0</v>
      </c>
      <c r="R383">
        <f>HLOOKUP(B383,Assumptions!$A$26:$D$27,2,TRUE)</f>
        <v>0</v>
      </c>
      <c r="S383">
        <f t="shared" si="81"/>
        <v>0</v>
      </c>
      <c r="T383">
        <f t="shared" si="77"/>
        <v>0.5833333333333357</v>
      </c>
      <c r="U383">
        <f>IF(B383&gt;$K$2,0,IF(T384=0,0,(1-T384)*Assumptions!$B$11/$E$2*(1-Assumptions!$B$30)))</f>
        <v>0</v>
      </c>
      <c r="V383">
        <f>(N383-O383)*(1-Assumptions!$B$30)-Q383+U382*M382</f>
        <v>0</v>
      </c>
      <c r="W383">
        <f>W382*(1+Assumptions!$B$36)^(1/12)</f>
        <v>1.3613274044861967</v>
      </c>
      <c r="X383" s="19">
        <f>IF(B383&gt;$K$2,0,W382*Assumptions!$B$32/12*M382+V383*Assumptions!$B$34/12)</f>
        <v>0</v>
      </c>
      <c r="Y383" s="20">
        <f>1/(1+HLOOKUP(YEAR(A383),Assumptions!$A$41:$AL$43,3,TRUE))^(1/12)</f>
        <v>0.99765658905310106</v>
      </c>
      <c r="Z383">
        <f t="shared" si="78"/>
        <v>0</v>
      </c>
      <c r="AA383">
        <f t="shared" si="82"/>
        <v>0</v>
      </c>
    </row>
    <row r="384" spans="1:27" x14ac:dyDescent="0.2">
      <c r="A384" s="2">
        <f t="shared" si="83"/>
        <v>54454</v>
      </c>
      <c r="B384">
        <f t="shared" si="79"/>
        <v>465</v>
      </c>
      <c r="C384">
        <f t="shared" si="71"/>
        <v>38.666666666666664</v>
      </c>
      <c r="D384">
        <f t="shared" si="72"/>
        <v>0</v>
      </c>
      <c r="E384">
        <f t="shared" si="73"/>
        <v>93</v>
      </c>
      <c r="F384">
        <f>IF(C384&gt;=$J$2,0,VLOOKUP($E384,'Mortality Table'!$A$3:$C$128,2+G$2,FALSE))</f>
        <v>0</v>
      </c>
      <c r="G384">
        <f>F384*Assumptions!$B$1</f>
        <v>0</v>
      </c>
      <c r="H384">
        <f t="shared" si="74"/>
        <v>0</v>
      </c>
      <c r="I384">
        <f>HLOOKUP(C384,Assumptions!$A$6:$J$7,2,TRUE)</f>
        <v>2.6499999999999999E-2</v>
      </c>
      <c r="J384" s="22">
        <f t="shared" si="70"/>
        <v>0</v>
      </c>
      <c r="K384" s="22">
        <f t="shared" si="75"/>
        <v>0</v>
      </c>
      <c r="L384">
        <f t="shared" si="80"/>
        <v>0</v>
      </c>
      <c r="M384" s="22">
        <f t="shared" si="76"/>
        <v>0</v>
      </c>
      <c r="N384">
        <f>M383*Assumptions!$B$11/$E$2*J384</f>
        <v>0</v>
      </c>
      <c r="O384">
        <f>M383*Assumptions!$B$13/$E$2*J384</f>
        <v>0</v>
      </c>
      <c r="P384">
        <f>H384*Assumptions!$B$15</f>
        <v>0</v>
      </c>
      <c r="Q384">
        <f>O384*Assumptions!$B$17</f>
        <v>0</v>
      </c>
      <c r="R384">
        <f>HLOOKUP(B384,Assumptions!$A$26:$D$27,2,TRUE)</f>
        <v>0</v>
      </c>
      <c r="S384">
        <f t="shared" si="81"/>
        <v>0</v>
      </c>
      <c r="T384">
        <f t="shared" si="77"/>
        <v>0.6666666666666643</v>
      </c>
      <c r="U384">
        <f>IF(B384&gt;$K$2,0,IF(T385=0,0,(1-T385)*Assumptions!$B$11/$E$2*(1-Assumptions!$B$30)))</f>
        <v>0</v>
      </c>
      <c r="V384">
        <f>(N384-O384)*(1-Assumptions!$B$30)-Q384+U383*M383</f>
        <v>0</v>
      </c>
      <c r="W384">
        <f>W383*(1+Assumptions!$B$36)^(1/12)</f>
        <v>1.3624566774543219</v>
      </c>
      <c r="X384" s="19">
        <f>IF(B384&gt;$K$2,0,W383*Assumptions!$B$32/12*M383+V384*Assumptions!$B$34/12)</f>
        <v>0</v>
      </c>
      <c r="Y384" s="20">
        <f>1/(1+HLOOKUP(YEAR(A384),Assumptions!$A$41:$AL$43,3,TRUE))^(1/12)</f>
        <v>0.99763832364051397</v>
      </c>
      <c r="Z384">
        <f t="shared" si="78"/>
        <v>0</v>
      </c>
      <c r="AA384">
        <f t="shared" si="82"/>
        <v>0</v>
      </c>
    </row>
    <row r="385" spans="1:27" x14ac:dyDescent="0.2">
      <c r="A385" s="2">
        <f t="shared" si="83"/>
        <v>54482</v>
      </c>
      <c r="B385">
        <f t="shared" si="79"/>
        <v>466</v>
      </c>
      <c r="C385">
        <f t="shared" si="71"/>
        <v>38.75</v>
      </c>
      <c r="D385">
        <f t="shared" si="72"/>
        <v>0</v>
      </c>
      <c r="E385">
        <f t="shared" si="73"/>
        <v>93</v>
      </c>
      <c r="F385">
        <f>IF(C385&gt;=$J$2,0,VLOOKUP($E385,'Mortality Table'!$A$3:$C$128,2+G$2,FALSE))</f>
        <v>0</v>
      </c>
      <c r="G385">
        <f>F385*Assumptions!$B$1</f>
        <v>0</v>
      </c>
      <c r="H385">
        <f t="shared" si="74"/>
        <v>0</v>
      </c>
      <c r="I385">
        <f>HLOOKUP(C385,Assumptions!$A$6:$J$7,2,TRUE)</f>
        <v>2.6499999999999999E-2</v>
      </c>
      <c r="J385" s="22">
        <f t="shared" si="70"/>
        <v>0</v>
      </c>
      <c r="K385" s="22">
        <f t="shared" si="75"/>
        <v>0</v>
      </c>
      <c r="L385">
        <f t="shared" si="80"/>
        <v>0</v>
      </c>
      <c r="M385" s="22">
        <f t="shared" si="76"/>
        <v>0</v>
      </c>
      <c r="N385">
        <f>M384*Assumptions!$B$11/$E$2*J385</f>
        <v>0</v>
      </c>
      <c r="O385">
        <f>M384*Assumptions!$B$13/$E$2*J385</f>
        <v>0</v>
      </c>
      <c r="P385">
        <f>H385*Assumptions!$B$15</f>
        <v>0</v>
      </c>
      <c r="Q385">
        <f>O385*Assumptions!$B$17</f>
        <v>0</v>
      </c>
      <c r="R385">
        <f>HLOOKUP(B385,Assumptions!$A$26:$D$27,2,TRUE)</f>
        <v>0</v>
      </c>
      <c r="S385">
        <f t="shared" si="81"/>
        <v>0</v>
      </c>
      <c r="T385">
        <f t="shared" si="77"/>
        <v>0.75</v>
      </c>
      <c r="U385">
        <f>IF(B385&gt;$K$2,0,IF(T386=0,0,(1-T386)*Assumptions!$B$11/$E$2*(1-Assumptions!$B$30)))</f>
        <v>0</v>
      </c>
      <c r="V385">
        <f>(N385-O385)*(1-Assumptions!$B$30)-Q385+U384*M384</f>
        <v>0</v>
      </c>
      <c r="W385">
        <f>W384*(1+Assumptions!$B$36)^(1/12)</f>
        <v>1.3635868871974157</v>
      </c>
      <c r="X385" s="19">
        <f>IF(B385&gt;$K$2,0,W384*Assumptions!$B$32/12*M384+V385*Assumptions!$B$34/12)</f>
        <v>0</v>
      </c>
      <c r="Y385" s="20">
        <f>1/(1+HLOOKUP(YEAR(A385),Assumptions!$A$41:$AL$43,3,TRUE))^(1/12)</f>
        <v>0.99763832364051397</v>
      </c>
      <c r="Z385">
        <f t="shared" si="78"/>
        <v>0</v>
      </c>
      <c r="AA385">
        <f t="shared" si="82"/>
        <v>0</v>
      </c>
    </row>
    <row r="386" spans="1:27" x14ac:dyDescent="0.2">
      <c r="A386" s="2">
        <f t="shared" si="83"/>
        <v>54513</v>
      </c>
      <c r="B386">
        <f t="shared" si="79"/>
        <v>467</v>
      </c>
      <c r="C386">
        <f t="shared" si="71"/>
        <v>38.833333333333336</v>
      </c>
      <c r="D386">
        <f t="shared" si="72"/>
        <v>0</v>
      </c>
      <c r="E386">
        <f t="shared" si="73"/>
        <v>93</v>
      </c>
      <c r="F386">
        <f>IF(C386&gt;=$J$2,0,VLOOKUP($E386,'Mortality Table'!$A$3:$C$128,2+G$2,FALSE))</f>
        <v>0</v>
      </c>
      <c r="G386">
        <f>F386*Assumptions!$B$1</f>
        <v>0</v>
      </c>
      <c r="H386">
        <f t="shared" si="74"/>
        <v>0</v>
      </c>
      <c r="I386">
        <f>HLOOKUP(C386,Assumptions!$A$6:$J$7,2,TRUE)</f>
        <v>2.6499999999999999E-2</v>
      </c>
      <c r="J386" s="22">
        <f t="shared" si="70"/>
        <v>0</v>
      </c>
      <c r="K386" s="22">
        <f t="shared" si="75"/>
        <v>0</v>
      </c>
      <c r="L386">
        <f t="shared" si="80"/>
        <v>0</v>
      </c>
      <c r="M386" s="22">
        <f t="shared" si="76"/>
        <v>0</v>
      </c>
      <c r="N386">
        <f>M385*Assumptions!$B$11/$E$2*J386</f>
        <v>0</v>
      </c>
      <c r="O386">
        <f>M385*Assumptions!$B$13/$E$2*J386</f>
        <v>0</v>
      </c>
      <c r="P386">
        <f>H386*Assumptions!$B$15</f>
        <v>0</v>
      </c>
      <c r="Q386">
        <f>O386*Assumptions!$B$17</f>
        <v>0</v>
      </c>
      <c r="R386">
        <f>HLOOKUP(B386,Assumptions!$A$26:$D$27,2,TRUE)</f>
        <v>0</v>
      </c>
      <c r="S386">
        <f t="shared" si="81"/>
        <v>0</v>
      </c>
      <c r="T386">
        <f t="shared" si="77"/>
        <v>0.8333333333333357</v>
      </c>
      <c r="U386">
        <f>IF(B386&gt;$K$2,0,IF(T387=0,0,(1-T387)*Assumptions!$B$11/$E$2*(1-Assumptions!$B$30)))</f>
        <v>0</v>
      </c>
      <c r="V386">
        <f>(N386-O386)*(1-Assumptions!$B$30)-Q386+U385*M385</f>
        <v>0</v>
      </c>
      <c r="W386">
        <f>W385*(1+Assumptions!$B$36)^(1/12)</f>
        <v>1.3647180344925687</v>
      </c>
      <c r="X386" s="19">
        <f>IF(B386&gt;$K$2,0,W385*Assumptions!$B$32/12*M385+V386*Assumptions!$B$34/12)</f>
        <v>0</v>
      </c>
      <c r="Y386" s="20">
        <f>1/(1+HLOOKUP(YEAR(A386),Assumptions!$A$41:$AL$43,3,TRUE))^(1/12)</f>
        <v>0.99763832364051397</v>
      </c>
      <c r="Z386">
        <f t="shared" si="78"/>
        <v>0</v>
      </c>
      <c r="AA386">
        <f t="shared" si="82"/>
        <v>0</v>
      </c>
    </row>
    <row r="387" spans="1:27" x14ac:dyDescent="0.2">
      <c r="A387" s="2">
        <f t="shared" si="83"/>
        <v>54543</v>
      </c>
      <c r="B387">
        <f t="shared" si="79"/>
        <v>468</v>
      </c>
      <c r="C387">
        <f t="shared" si="71"/>
        <v>38.916666666666664</v>
      </c>
      <c r="D387">
        <f t="shared" si="72"/>
        <v>0</v>
      </c>
      <c r="E387">
        <f t="shared" si="73"/>
        <v>93</v>
      </c>
      <c r="F387">
        <f>IF(C387&gt;=$J$2,0,VLOOKUP($E387,'Mortality Table'!$A$3:$C$128,2+G$2,FALSE))</f>
        <v>0</v>
      </c>
      <c r="G387">
        <f>F387*Assumptions!$B$1</f>
        <v>0</v>
      </c>
      <c r="H387">
        <f t="shared" si="74"/>
        <v>0</v>
      </c>
      <c r="I387">
        <f>HLOOKUP(C387,Assumptions!$A$6:$J$7,2,TRUE)</f>
        <v>2.6499999999999999E-2</v>
      </c>
      <c r="J387" s="22">
        <f t="shared" si="70"/>
        <v>0</v>
      </c>
      <c r="K387" s="22">
        <f t="shared" si="75"/>
        <v>0</v>
      </c>
      <c r="L387">
        <f t="shared" si="80"/>
        <v>0</v>
      </c>
      <c r="M387" s="22">
        <f t="shared" si="76"/>
        <v>0</v>
      </c>
      <c r="N387">
        <f>M386*Assumptions!$B$11/$E$2*J387</f>
        <v>0</v>
      </c>
      <c r="O387">
        <f>M386*Assumptions!$B$13/$E$2*J387</f>
        <v>0</v>
      </c>
      <c r="P387">
        <f>H387*Assumptions!$B$15</f>
        <v>0</v>
      </c>
      <c r="Q387">
        <f>O387*Assumptions!$B$17</f>
        <v>0</v>
      </c>
      <c r="R387">
        <f>HLOOKUP(B387,Assumptions!$A$26:$D$27,2,TRUE)</f>
        <v>0</v>
      </c>
      <c r="S387">
        <f t="shared" si="81"/>
        <v>0</v>
      </c>
      <c r="T387">
        <f t="shared" si="77"/>
        <v>0.9166666666666643</v>
      </c>
      <c r="U387">
        <f>IF(B387&gt;$K$2,0,IF(T388=0,0,(1-T388)*Assumptions!$B$11/$E$2*(1-Assumptions!$B$30)))</f>
        <v>0</v>
      </c>
      <c r="V387">
        <f>(N387-O387)*(1-Assumptions!$B$30)-Q387+U386*M386</f>
        <v>0</v>
      </c>
      <c r="W387">
        <f>W386*(1+Assumptions!$B$36)^(1/12)</f>
        <v>1.3658501201175159</v>
      </c>
      <c r="X387" s="19">
        <f>IF(B387&gt;$K$2,0,W386*Assumptions!$B$32/12*M386+V387*Assumptions!$B$34/12)</f>
        <v>0</v>
      </c>
      <c r="Y387" s="20">
        <f>1/(1+HLOOKUP(YEAR(A387),Assumptions!$A$41:$AL$43,3,TRUE))^(1/12)</f>
        <v>0.99763832364051397</v>
      </c>
      <c r="Z387">
        <f t="shared" si="78"/>
        <v>0</v>
      </c>
      <c r="AA387">
        <f t="shared" si="82"/>
        <v>0</v>
      </c>
    </row>
    <row r="388" spans="1:27" x14ac:dyDescent="0.2">
      <c r="A388" s="2">
        <f t="shared" si="83"/>
        <v>54574</v>
      </c>
      <c r="B388">
        <f t="shared" si="79"/>
        <v>469</v>
      </c>
      <c r="C388">
        <f t="shared" si="71"/>
        <v>39</v>
      </c>
      <c r="D388">
        <f t="shared" si="72"/>
        <v>1</v>
      </c>
      <c r="E388">
        <f t="shared" si="73"/>
        <v>94</v>
      </c>
      <c r="F388">
        <f>IF(C388&gt;=$J$2,0,VLOOKUP($E388,'Mortality Table'!$A$3:$C$128,2+G$2,FALSE))</f>
        <v>0</v>
      </c>
      <c r="G388">
        <f>F388*Assumptions!$B$1</f>
        <v>0</v>
      </c>
      <c r="H388">
        <f t="shared" si="74"/>
        <v>0</v>
      </c>
      <c r="I388">
        <f>HLOOKUP(C388,Assumptions!$A$6:$J$7,2,TRUE)</f>
        <v>2.6499999999999999E-2</v>
      </c>
      <c r="J388" s="22">
        <f t="shared" si="70"/>
        <v>0</v>
      </c>
      <c r="K388" s="22">
        <f t="shared" si="75"/>
        <v>0</v>
      </c>
      <c r="L388">
        <f t="shared" si="80"/>
        <v>0</v>
      </c>
      <c r="M388" s="22">
        <f t="shared" si="76"/>
        <v>0</v>
      </c>
      <c r="N388">
        <f>M387*Assumptions!$B$11/$E$2*J388</f>
        <v>0</v>
      </c>
      <c r="O388">
        <f>M387*Assumptions!$B$13/$E$2*J388</f>
        <v>0</v>
      </c>
      <c r="P388">
        <f>H388*Assumptions!$B$15</f>
        <v>0</v>
      </c>
      <c r="Q388">
        <f>O388*Assumptions!$B$17</f>
        <v>0</v>
      </c>
      <c r="R388">
        <f>HLOOKUP(B388,Assumptions!$A$26:$D$27,2,TRUE)</f>
        <v>0</v>
      </c>
      <c r="S388">
        <f t="shared" si="81"/>
        <v>0</v>
      </c>
      <c r="T388">
        <f t="shared" si="77"/>
        <v>0</v>
      </c>
      <c r="U388">
        <f>IF(B388&gt;$K$2,0,IF(T389=0,0,(1-T389)*Assumptions!$B$11/$E$2*(1-Assumptions!$B$30)))</f>
        <v>0</v>
      </c>
      <c r="V388">
        <f>(N388-O388)*(1-Assumptions!$B$30)-Q388+U387*M387</f>
        <v>0</v>
      </c>
      <c r="W388">
        <f>W387*(1+Assumptions!$B$36)^(1/12)</f>
        <v>1.3669831448506378</v>
      </c>
      <c r="X388" s="19">
        <f>IF(B388&gt;$K$2,0,W387*Assumptions!$B$32/12*M387+V388*Assumptions!$B$34/12)</f>
        <v>0</v>
      </c>
      <c r="Y388" s="20">
        <f>1/(1+HLOOKUP(YEAR(A388),Assumptions!$A$41:$AL$43,3,TRUE))^(1/12)</f>
        <v>0.99763832364051397</v>
      </c>
      <c r="Z388">
        <f t="shared" si="78"/>
        <v>0</v>
      </c>
      <c r="AA388">
        <f t="shared" si="82"/>
        <v>0</v>
      </c>
    </row>
    <row r="389" spans="1:27" x14ac:dyDescent="0.2">
      <c r="A389" s="2">
        <f t="shared" si="83"/>
        <v>54604</v>
      </c>
      <c r="B389">
        <f t="shared" si="79"/>
        <v>470</v>
      </c>
      <c r="C389">
        <f t="shared" si="71"/>
        <v>39.083333333333336</v>
      </c>
      <c r="D389">
        <f t="shared" si="72"/>
        <v>0</v>
      </c>
      <c r="E389">
        <f t="shared" si="73"/>
        <v>94</v>
      </c>
      <c r="F389">
        <f>IF(C389&gt;=$J$2,0,VLOOKUP($E389,'Mortality Table'!$A$3:$C$128,2+G$2,FALSE))</f>
        <v>0</v>
      </c>
      <c r="G389">
        <f>F389*Assumptions!$B$1</f>
        <v>0</v>
      </c>
      <c r="H389">
        <f t="shared" si="74"/>
        <v>0</v>
      </c>
      <c r="I389">
        <f>HLOOKUP(C389,Assumptions!$A$6:$J$7,2,TRUE)</f>
        <v>2.6499999999999999E-2</v>
      </c>
      <c r="J389" s="22">
        <f t="shared" si="70"/>
        <v>0</v>
      </c>
      <c r="K389" s="22">
        <f t="shared" si="75"/>
        <v>0</v>
      </c>
      <c r="L389">
        <f t="shared" si="80"/>
        <v>0</v>
      </c>
      <c r="M389" s="22">
        <f t="shared" si="76"/>
        <v>0</v>
      </c>
      <c r="N389">
        <f>M388*Assumptions!$B$11/$E$2*J389</f>
        <v>0</v>
      </c>
      <c r="O389">
        <f>M388*Assumptions!$B$13/$E$2*J389</f>
        <v>0</v>
      </c>
      <c r="P389">
        <f>H389*Assumptions!$B$15</f>
        <v>0</v>
      </c>
      <c r="Q389">
        <f>O389*Assumptions!$B$17</f>
        <v>0</v>
      </c>
      <c r="R389">
        <f>HLOOKUP(B389,Assumptions!$A$26:$D$27,2,TRUE)</f>
        <v>0</v>
      </c>
      <c r="S389">
        <f t="shared" si="81"/>
        <v>0</v>
      </c>
      <c r="T389">
        <f t="shared" si="77"/>
        <v>8.3333333333335702E-2</v>
      </c>
      <c r="U389">
        <f>IF(B389&gt;$K$2,0,IF(T390=0,0,(1-T390)*Assumptions!$B$11/$E$2*(1-Assumptions!$B$30)))</f>
        <v>0</v>
      </c>
      <c r="V389">
        <f>(N389-O389)*(1-Assumptions!$B$30)-Q389+U388*M388</f>
        <v>0</v>
      </c>
      <c r="W389">
        <f>W388*(1+Assumptions!$B$36)^(1/12)</f>
        <v>1.3681171094709601</v>
      </c>
      <c r="X389" s="19">
        <f>IF(B389&gt;$K$2,0,W388*Assumptions!$B$32/12*M388+V389*Assumptions!$B$34/12)</f>
        <v>0</v>
      </c>
      <c r="Y389" s="20">
        <f>1/(1+HLOOKUP(YEAR(A389),Assumptions!$A$41:$AL$43,3,TRUE))^(1/12)</f>
        <v>0.99763832364051397</v>
      </c>
      <c r="Z389">
        <f t="shared" si="78"/>
        <v>0</v>
      </c>
      <c r="AA389">
        <f t="shared" si="82"/>
        <v>0</v>
      </c>
    </row>
    <row r="390" spans="1:27" x14ac:dyDescent="0.2">
      <c r="A390" s="2">
        <f t="shared" si="83"/>
        <v>54635</v>
      </c>
      <c r="B390">
        <f t="shared" si="79"/>
        <v>471</v>
      </c>
      <c r="C390">
        <f t="shared" si="71"/>
        <v>39.166666666666664</v>
      </c>
      <c r="D390">
        <f t="shared" si="72"/>
        <v>0</v>
      </c>
      <c r="E390">
        <f t="shared" si="73"/>
        <v>94</v>
      </c>
      <c r="F390">
        <f>IF(C390&gt;=$J$2,0,VLOOKUP($E390,'Mortality Table'!$A$3:$C$128,2+G$2,FALSE))</f>
        <v>0</v>
      </c>
      <c r="G390">
        <f>F390*Assumptions!$B$1</f>
        <v>0</v>
      </c>
      <c r="H390">
        <f t="shared" si="74"/>
        <v>0</v>
      </c>
      <c r="I390">
        <f>HLOOKUP(C390,Assumptions!$A$6:$J$7,2,TRUE)</f>
        <v>2.6499999999999999E-2</v>
      </c>
      <c r="J390" s="22">
        <f t="shared" si="70"/>
        <v>0</v>
      </c>
      <c r="K390" s="22">
        <f t="shared" si="75"/>
        <v>0</v>
      </c>
      <c r="L390">
        <f t="shared" si="80"/>
        <v>0</v>
      </c>
      <c r="M390" s="22">
        <f t="shared" si="76"/>
        <v>0</v>
      </c>
      <c r="N390">
        <f>M389*Assumptions!$B$11/$E$2*J390</f>
        <v>0</v>
      </c>
      <c r="O390">
        <f>M389*Assumptions!$B$13/$E$2*J390</f>
        <v>0</v>
      </c>
      <c r="P390">
        <f>H390*Assumptions!$B$15</f>
        <v>0</v>
      </c>
      <c r="Q390">
        <f>O390*Assumptions!$B$17</f>
        <v>0</v>
      </c>
      <c r="R390">
        <f>HLOOKUP(B390,Assumptions!$A$26:$D$27,2,TRUE)</f>
        <v>0</v>
      </c>
      <c r="S390">
        <f t="shared" si="81"/>
        <v>0</v>
      </c>
      <c r="T390">
        <f t="shared" si="77"/>
        <v>0.1666666666666643</v>
      </c>
      <c r="U390">
        <f>IF(B390&gt;$K$2,0,IF(T391=0,0,(1-T391)*Assumptions!$B$11/$E$2*(1-Assumptions!$B$30)))</f>
        <v>0</v>
      </c>
      <c r="V390">
        <f>(N390-O390)*(1-Assumptions!$B$30)-Q390+U389*M389</f>
        <v>0</v>
      </c>
      <c r="W390">
        <f>W389*(1+Assumptions!$B$36)^(1/12)</f>
        <v>1.3692520147581553</v>
      </c>
      <c r="X390" s="19">
        <f>IF(B390&gt;$K$2,0,W389*Assumptions!$B$32/12*M389+V390*Assumptions!$B$34/12)</f>
        <v>0</v>
      </c>
      <c r="Y390" s="20">
        <f>1/(1+HLOOKUP(YEAR(A390),Assumptions!$A$41:$AL$43,3,TRUE))^(1/12)</f>
        <v>0.99763832364051397</v>
      </c>
      <c r="Z390">
        <f t="shared" si="78"/>
        <v>0</v>
      </c>
      <c r="AA390">
        <f t="shared" si="82"/>
        <v>0</v>
      </c>
    </row>
    <row r="391" spans="1:27" x14ac:dyDescent="0.2">
      <c r="A391" s="2">
        <f t="shared" si="83"/>
        <v>54666</v>
      </c>
      <c r="B391">
        <f t="shared" si="79"/>
        <v>472</v>
      </c>
      <c r="C391">
        <f t="shared" si="71"/>
        <v>39.25</v>
      </c>
      <c r="D391">
        <f t="shared" si="72"/>
        <v>0</v>
      </c>
      <c r="E391">
        <f t="shared" si="73"/>
        <v>94</v>
      </c>
      <c r="F391">
        <f>IF(C391&gt;=$J$2,0,VLOOKUP($E391,'Mortality Table'!$A$3:$C$128,2+G$2,FALSE))</f>
        <v>0</v>
      </c>
      <c r="G391">
        <f>F391*Assumptions!$B$1</f>
        <v>0</v>
      </c>
      <c r="H391">
        <f t="shared" si="74"/>
        <v>0</v>
      </c>
      <c r="I391">
        <f>HLOOKUP(C391,Assumptions!$A$6:$J$7,2,TRUE)</f>
        <v>2.6499999999999999E-2</v>
      </c>
      <c r="J391" s="22">
        <f t="shared" si="70"/>
        <v>0</v>
      </c>
      <c r="K391" s="22">
        <f t="shared" si="75"/>
        <v>0</v>
      </c>
      <c r="L391">
        <f t="shared" si="80"/>
        <v>0</v>
      </c>
      <c r="M391" s="22">
        <f t="shared" si="76"/>
        <v>0</v>
      </c>
      <c r="N391">
        <f>M390*Assumptions!$B$11/$E$2*J391</f>
        <v>0</v>
      </c>
      <c r="O391">
        <f>M390*Assumptions!$B$13/$E$2*J391</f>
        <v>0</v>
      </c>
      <c r="P391">
        <f>H391*Assumptions!$B$15</f>
        <v>0</v>
      </c>
      <c r="Q391">
        <f>O391*Assumptions!$B$17</f>
        <v>0</v>
      </c>
      <c r="R391">
        <f>HLOOKUP(B391,Assumptions!$A$26:$D$27,2,TRUE)</f>
        <v>0</v>
      </c>
      <c r="S391">
        <f t="shared" si="81"/>
        <v>0</v>
      </c>
      <c r="T391">
        <f t="shared" si="77"/>
        <v>0.25</v>
      </c>
      <c r="U391">
        <f>IF(B391&gt;$K$2,0,IF(T392=0,0,(1-T392)*Assumptions!$B$11/$E$2*(1-Assumptions!$B$30)))</f>
        <v>0</v>
      </c>
      <c r="V391">
        <f>(N391-O391)*(1-Assumptions!$B$30)-Q391+U390*M390</f>
        <v>0</v>
      </c>
      <c r="W391">
        <f>W390*(1+Assumptions!$B$36)^(1/12)</f>
        <v>1.3703878614925424</v>
      </c>
      <c r="X391" s="19">
        <f>IF(B391&gt;$K$2,0,W390*Assumptions!$B$32/12*M390+V391*Assumptions!$B$34/12)</f>
        <v>0</v>
      </c>
      <c r="Y391" s="20">
        <f>1/(1+HLOOKUP(YEAR(A391),Assumptions!$A$41:$AL$43,3,TRUE))^(1/12)</f>
        <v>0.99763832364051397</v>
      </c>
      <c r="Z391">
        <f t="shared" si="78"/>
        <v>0</v>
      </c>
      <c r="AA391">
        <f t="shared" si="82"/>
        <v>0</v>
      </c>
    </row>
    <row r="392" spans="1:27" x14ac:dyDescent="0.2">
      <c r="A392" s="2">
        <f t="shared" si="83"/>
        <v>54696</v>
      </c>
      <c r="B392">
        <f t="shared" si="79"/>
        <v>473</v>
      </c>
      <c r="C392">
        <f t="shared" si="71"/>
        <v>39.333333333333336</v>
      </c>
      <c r="D392">
        <f t="shared" si="72"/>
        <v>0</v>
      </c>
      <c r="E392">
        <f t="shared" si="73"/>
        <v>94</v>
      </c>
      <c r="F392">
        <f>IF(C392&gt;=$J$2,0,VLOOKUP($E392,'Mortality Table'!$A$3:$C$128,2+G$2,FALSE))</f>
        <v>0</v>
      </c>
      <c r="G392">
        <f>F392*Assumptions!$B$1</f>
        <v>0</v>
      </c>
      <c r="H392">
        <f t="shared" si="74"/>
        <v>0</v>
      </c>
      <c r="I392">
        <f>HLOOKUP(C392,Assumptions!$A$6:$J$7,2,TRUE)</f>
        <v>2.6499999999999999E-2</v>
      </c>
      <c r="J392" s="22">
        <f t="shared" si="70"/>
        <v>0</v>
      </c>
      <c r="K392" s="22">
        <f t="shared" si="75"/>
        <v>0</v>
      </c>
      <c r="L392">
        <f t="shared" si="80"/>
        <v>0</v>
      </c>
      <c r="M392" s="22">
        <f t="shared" si="76"/>
        <v>0</v>
      </c>
      <c r="N392">
        <f>M391*Assumptions!$B$11/$E$2*J392</f>
        <v>0</v>
      </c>
      <c r="O392">
        <f>M391*Assumptions!$B$13/$E$2*J392</f>
        <v>0</v>
      </c>
      <c r="P392">
        <f>H392*Assumptions!$B$15</f>
        <v>0</v>
      </c>
      <c r="Q392">
        <f>O392*Assumptions!$B$17</f>
        <v>0</v>
      </c>
      <c r="R392">
        <f>HLOOKUP(B392,Assumptions!$A$26:$D$27,2,TRUE)</f>
        <v>0</v>
      </c>
      <c r="S392">
        <f t="shared" si="81"/>
        <v>0</v>
      </c>
      <c r="T392">
        <f t="shared" si="77"/>
        <v>0.3333333333333357</v>
      </c>
      <c r="U392">
        <f>IF(B392&gt;$K$2,0,IF(T393=0,0,(1-T393)*Assumptions!$B$11/$E$2*(1-Assumptions!$B$30)))</f>
        <v>0</v>
      </c>
      <c r="V392">
        <f>(N392-O392)*(1-Assumptions!$B$30)-Q392+U391*M391</f>
        <v>0</v>
      </c>
      <c r="W392">
        <f>W391*(1+Assumptions!$B$36)^(1/12)</f>
        <v>1.3715246504550878</v>
      </c>
      <c r="X392" s="19">
        <f>IF(B392&gt;$K$2,0,W391*Assumptions!$B$32/12*M391+V392*Assumptions!$B$34/12)</f>
        <v>0</v>
      </c>
      <c r="Y392" s="20">
        <f>1/(1+HLOOKUP(YEAR(A392),Assumptions!$A$41:$AL$43,3,TRUE))^(1/12)</f>
        <v>0.99763832364051397</v>
      </c>
      <c r="Z392">
        <f t="shared" si="78"/>
        <v>0</v>
      </c>
      <c r="AA392">
        <f t="shared" si="82"/>
        <v>0</v>
      </c>
    </row>
    <row r="393" spans="1:27" x14ac:dyDescent="0.2">
      <c r="A393" s="2">
        <f t="shared" si="83"/>
        <v>54727</v>
      </c>
      <c r="B393">
        <f t="shared" si="79"/>
        <v>474</v>
      </c>
      <c r="C393">
        <f t="shared" si="71"/>
        <v>39.416666666666664</v>
      </c>
      <c r="D393">
        <f t="shared" si="72"/>
        <v>0</v>
      </c>
      <c r="E393">
        <f t="shared" si="73"/>
        <v>94</v>
      </c>
      <c r="F393">
        <f>IF(C393&gt;=$J$2,0,VLOOKUP($E393,'Mortality Table'!$A$3:$C$128,2+G$2,FALSE))</f>
        <v>0</v>
      </c>
      <c r="G393">
        <f>F393*Assumptions!$B$1</f>
        <v>0</v>
      </c>
      <c r="H393">
        <f t="shared" si="74"/>
        <v>0</v>
      </c>
      <c r="I393">
        <f>HLOOKUP(C393,Assumptions!$A$6:$J$7,2,TRUE)</f>
        <v>2.6499999999999999E-2</v>
      </c>
      <c r="J393" s="22">
        <f t="shared" si="70"/>
        <v>0</v>
      </c>
      <c r="K393" s="22">
        <f t="shared" si="75"/>
        <v>0</v>
      </c>
      <c r="L393">
        <f t="shared" si="80"/>
        <v>0</v>
      </c>
      <c r="M393" s="22">
        <f t="shared" si="76"/>
        <v>0</v>
      </c>
      <c r="N393">
        <f>M392*Assumptions!$B$11/$E$2*J393</f>
        <v>0</v>
      </c>
      <c r="O393">
        <f>M392*Assumptions!$B$13/$E$2*J393</f>
        <v>0</v>
      </c>
      <c r="P393">
        <f>H393*Assumptions!$B$15</f>
        <v>0</v>
      </c>
      <c r="Q393">
        <f>O393*Assumptions!$B$17</f>
        <v>0</v>
      </c>
      <c r="R393">
        <f>HLOOKUP(B393,Assumptions!$A$26:$D$27,2,TRUE)</f>
        <v>0</v>
      </c>
      <c r="S393">
        <f t="shared" si="81"/>
        <v>0</v>
      </c>
      <c r="T393">
        <f t="shared" si="77"/>
        <v>0.4166666666666643</v>
      </c>
      <c r="U393">
        <f>IF(B393&gt;$K$2,0,IF(T394=0,0,(1-T394)*Assumptions!$B$11/$E$2*(1-Assumptions!$B$30)))</f>
        <v>0</v>
      </c>
      <c r="V393">
        <f>(N393-O393)*(1-Assumptions!$B$30)-Q393+U392*M392</f>
        <v>0</v>
      </c>
      <c r="W393">
        <f>W392*(1+Assumptions!$B$36)^(1/12)</f>
        <v>1.3726623824274056</v>
      </c>
      <c r="X393" s="19">
        <f>IF(B393&gt;$K$2,0,W392*Assumptions!$B$32/12*M392+V393*Assumptions!$B$34/12)</f>
        <v>0</v>
      </c>
      <c r="Y393" s="20">
        <f>1/(1+HLOOKUP(YEAR(A393),Assumptions!$A$41:$AL$43,3,TRUE))^(1/12)</f>
        <v>0.99763832364051397</v>
      </c>
      <c r="Z393">
        <f t="shared" si="78"/>
        <v>0</v>
      </c>
      <c r="AA393">
        <f t="shared" si="82"/>
        <v>0</v>
      </c>
    </row>
    <row r="394" spans="1:27" x14ac:dyDescent="0.2">
      <c r="A394" s="2">
        <f t="shared" si="83"/>
        <v>54757</v>
      </c>
      <c r="B394">
        <f t="shared" si="79"/>
        <v>475</v>
      </c>
      <c r="C394">
        <f t="shared" si="71"/>
        <v>39.5</v>
      </c>
      <c r="D394">
        <f t="shared" si="72"/>
        <v>0</v>
      </c>
      <c r="E394">
        <f t="shared" si="73"/>
        <v>94</v>
      </c>
      <c r="F394">
        <f>IF(C394&gt;=$J$2,0,VLOOKUP($E394,'Mortality Table'!$A$3:$C$128,2+G$2,FALSE))</f>
        <v>0</v>
      </c>
      <c r="G394">
        <f>F394*Assumptions!$B$1</f>
        <v>0</v>
      </c>
      <c r="H394">
        <f t="shared" si="74"/>
        <v>0</v>
      </c>
      <c r="I394">
        <f>HLOOKUP(C394,Assumptions!$A$6:$J$7,2,TRUE)</f>
        <v>2.6499999999999999E-2</v>
      </c>
      <c r="J394" s="22">
        <f t="shared" si="70"/>
        <v>0</v>
      </c>
      <c r="K394" s="22">
        <f t="shared" si="75"/>
        <v>0</v>
      </c>
      <c r="L394">
        <f t="shared" si="80"/>
        <v>0</v>
      </c>
      <c r="M394" s="22">
        <f t="shared" si="76"/>
        <v>0</v>
      </c>
      <c r="N394">
        <f>M393*Assumptions!$B$11/$E$2*J394</f>
        <v>0</v>
      </c>
      <c r="O394">
        <f>M393*Assumptions!$B$13/$E$2*J394</f>
        <v>0</v>
      </c>
      <c r="P394">
        <f>H394*Assumptions!$B$15</f>
        <v>0</v>
      </c>
      <c r="Q394">
        <f>O394*Assumptions!$B$17</f>
        <v>0</v>
      </c>
      <c r="R394">
        <f>HLOOKUP(B394,Assumptions!$A$26:$D$27,2,TRUE)</f>
        <v>0</v>
      </c>
      <c r="S394">
        <f t="shared" si="81"/>
        <v>0</v>
      </c>
      <c r="T394">
        <f t="shared" si="77"/>
        <v>0.5</v>
      </c>
      <c r="U394">
        <f>IF(B394&gt;$K$2,0,IF(T395=0,0,(1-T395)*Assumptions!$B$11/$E$2*(1-Assumptions!$B$30)))</f>
        <v>0</v>
      </c>
      <c r="V394">
        <f>(N394-O394)*(1-Assumptions!$B$30)-Q394+U393*M393</f>
        <v>0</v>
      </c>
      <c r="W394">
        <f>W393*(1+Assumptions!$B$36)^(1/12)</f>
        <v>1.3738010581917584</v>
      </c>
      <c r="X394" s="19">
        <f>IF(B394&gt;$K$2,0,W393*Assumptions!$B$32/12*M393+V394*Assumptions!$B$34/12)</f>
        <v>0</v>
      </c>
      <c r="Y394" s="20">
        <f>1/(1+HLOOKUP(YEAR(A394),Assumptions!$A$41:$AL$43,3,TRUE))^(1/12)</f>
        <v>0.99763832364051397</v>
      </c>
      <c r="Z394">
        <f t="shared" si="78"/>
        <v>0</v>
      </c>
      <c r="AA394">
        <f t="shared" si="82"/>
        <v>0</v>
      </c>
    </row>
    <row r="395" spans="1:27" x14ac:dyDescent="0.2">
      <c r="A395" s="2">
        <f t="shared" si="83"/>
        <v>54788</v>
      </c>
      <c r="B395">
        <f t="shared" si="79"/>
        <v>476</v>
      </c>
      <c r="C395">
        <f t="shared" si="71"/>
        <v>39.583333333333336</v>
      </c>
      <c r="D395">
        <f t="shared" si="72"/>
        <v>0</v>
      </c>
      <c r="E395">
        <f t="shared" si="73"/>
        <v>94</v>
      </c>
      <c r="F395">
        <f>IF(C395&gt;=$J$2,0,VLOOKUP($E395,'Mortality Table'!$A$3:$C$128,2+G$2,FALSE))</f>
        <v>0</v>
      </c>
      <c r="G395">
        <f>F395*Assumptions!$B$1</f>
        <v>0</v>
      </c>
      <c r="H395">
        <f t="shared" si="74"/>
        <v>0</v>
      </c>
      <c r="I395">
        <f>HLOOKUP(C395,Assumptions!$A$6:$J$7,2,TRUE)</f>
        <v>2.6499999999999999E-2</v>
      </c>
      <c r="J395" s="22">
        <f t="shared" ref="J395:J458" si="84">IF(B395&gt;$K$2,0,IF(($E$2*(B395+11))/12-INT(($E$2*(B395+11))/12)=0,1,0))</f>
        <v>0</v>
      </c>
      <c r="K395" s="22">
        <f t="shared" si="75"/>
        <v>0</v>
      </c>
      <c r="L395">
        <f t="shared" si="80"/>
        <v>0</v>
      </c>
      <c r="M395" s="22">
        <f t="shared" si="76"/>
        <v>0</v>
      </c>
      <c r="N395">
        <f>M394*Assumptions!$B$11/$E$2*J395</f>
        <v>0</v>
      </c>
      <c r="O395">
        <f>M394*Assumptions!$B$13/$E$2*J395</f>
        <v>0</v>
      </c>
      <c r="P395">
        <f>H395*Assumptions!$B$15</f>
        <v>0</v>
      </c>
      <c r="Q395">
        <f>O395*Assumptions!$B$17</f>
        <v>0</v>
      </c>
      <c r="R395">
        <f>HLOOKUP(B395,Assumptions!$A$26:$D$27,2,TRUE)</f>
        <v>0</v>
      </c>
      <c r="S395">
        <f t="shared" si="81"/>
        <v>0</v>
      </c>
      <c r="T395">
        <f t="shared" si="77"/>
        <v>0.5833333333333357</v>
      </c>
      <c r="U395">
        <f>IF(B395&gt;$K$2,0,IF(T396=0,0,(1-T396)*Assumptions!$B$11/$E$2*(1-Assumptions!$B$30)))</f>
        <v>0</v>
      </c>
      <c r="V395">
        <f>(N395-O395)*(1-Assumptions!$B$30)-Q395+U394*M394</f>
        <v>0</v>
      </c>
      <c r="W395">
        <f>W394*(1+Assumptions!$B$36)^(1/12)</f>
        <v>1.3749406785310576</v>
      </c>
      <c r="X395" s="19">
        <f>IF(B395&gt;$K$2,0,W394*Assumptions!$B$32/12*M394+V395*Assumptions!$B$34/12)</f>
        <v>0</v>
      </c>
      <c r="Y395" s="20">
        <f>1/(1+HLOOKUP(YEAR(A395),Assumptions!$A$41:$AL$43,3,TRUE))^(1/12)</f>
        <v>0.99763832364051397</v>
      </c>
      <c r="Z395">
        <f t="shared" si="78"/>
        <v>0</v>
      </c>
      <c r="AA395">
        <f t="shared" si="82"/>
        <v>0</v>
      </c>
    </row>
    <row r="396" spans="1:27" x14ac:dyDescent="0.2">
      <c r="A396" s="2">
        <f t="shared" si="83"/>
        <v>54819</v>
      </c>
      <c r="B396">
        <f t="shared" si="79"/>
        <v>477</v>
      </c>
      <c r="C396">
        <f t="shared" ref="C396:C419" si="85">(B396+11)/12-1</f>
        <v>39.666666666666664</v>
      </c>
      <c r="D396">
        <f t="shared" ref="D396:D419" si="86">IF(C396-INT(C396)=0,1,0)</f>
        <v>0</v>
      </c>
      <c r="E396">
        <f t="shared" ref="E396:E459" si="87">$C$2+INT($C396)</f>
        <v>94</v>
      </c>
      <c r="F396">
        <f>IF(C396&gt;=$J$2,0,VLOOKUP($E396,'Mortality Table'!$A$3:$C$128,2+G$2,FALSE))</f>
        <v>0</v>
      </c>
      <c r="G396">
        <f>F396*Assumptions!$B$1</f>
        <v>0</v>
      </c>
      <c r="H396">
        <f t="shared" ref="H396:H459" si="88">(1-(1-G396)^(1/12))*M395</f>
        <v>0</v>
      </c>
      <c r="I396">
        <f>HLOOKUP(C396,Assumptions!$A$6:$J$7,2,TRUE)</f>
        <v>2.6499999999999999E-2</v>
      </c>
      <c r="J396" s="22">
        <f t="shared" si="84"/>
        <v>0</v>
      </c>
      <c r="K396" s="22">
        <f t="shared" ref="K396:K459" si="89">IF(B397&gt;$K$2,0,IF(J397=0,0,1/$E$2))</f>
        <v>0</v>
      </c>
      <c r="L396">
        <f t="shared" si="80"/>
        <v>0</v>
      </c>
      <c r="M396" s="22">
        <f t="shared" ref="M396:M459" si="90">IF(B396&gt;$K$2,0,M395-H396-L396)</f>
        <v>0</v>
      </c>
      <c r="N396">
        <f>M395*Assumptions!$B$11/$E$2*J396</f>
        <v>0</v>
      </c>
      <c r="O396">
        <f>M395*Assumptions!$B$13/$E$2*J396</f>
        <v>0</v>
      </c>
      <c r="P396">
        <f>H396*Assumptions!$B$15</f>
        <v>0</v>
      </c>
      <c r="Q396">
        <f>O396*Assumptions!$B$17</f>
        <v>0</v>
      </c>
      <c r="R396">
        <f>HLOOKUP(B396,Assumptions!$A$26:$D$27,2,TRUE)</f>
        <v>0</v>
      </c>
      <c r="S396">
        <f t="shared" si="81"/>
        <v>0</v>
      </c>
      <c r="T396">
        <f t="shared" ref="T396:T459" si="91">($E$2*(B396+11))/12-INT(($E$2*(B396+11))/12)</f>
        <v>0.6666666666666643</v>
      </c>
      <c r="U396">
        <f>IF(B396&gt;$K$2,0,IF(T397=0,0,(1-T397)*Assumptions!$B$11/$E$2*(1-Assumptions!$B$30)))</f>
        <v>0</v>
      </c>
      <c r="V396">
        <f>(N396-O396)*(1-Assumptions!$B$30)-Q396+U395*M395</f>
        <v>0</v>
      </c>
      <c r="W396">
        <f>W395*(1+Assumptions!$B$36)^(1/12)</f>
        <v>1.3760812442288641</v>
      </c>
      <c r="X396" s="19">
        <f>IF(B396&gt;$K$2,0,W395*Assumptions!$B$32/12*M395+V396*Assumptions!$B$34/12)</f>
        <v>0</v>
      </c>
      <c r="Y396" s="20">
        <f>1/(1+HLOOKUP(YEAR(A396),Assumptions!$A$41:$AL$43,3,TRUE))^(1/12)</f>
        <v>0.99762636457512177</v>
      </c>
      <c r="Z396">
        <f t="shared" ref="Z396:Z419" si="92">(Z397+P397+Q397+S397+X397-N397)*Y397</f>
        <v>0</v>
      </c>
      <c r="AA396">
        <f t="shared" si="82"/>
        <v>0</v>
      </c>
    </row>
    <row r="397" spans="1:27" x14ac:dyDescent="0.2">
      <c r="A397" s="2">
        <f t="shared" si="83"/>
        <v>54847</v>
      </c>
      <c r="B397">
        <f t="shared" ref="B397:B460" si="93">B396+1</f>
        <v>478</v>
      </c>
      <c r="C397">
        <f t="shared" si="85"/>
        <v>39.75</v>
      </c>
      <c r="D397">
        <f t="shared" si="86"/>
        <v>0</v>
      </c>
      <c r="E397">
        <f t="shared" si="87"/>
        <v>94</v>
      </c>
      <c r="F397">
        <f>IF(C397&gt;=$J$2,0,VLOOKUP($E397,'Mortality Table'!$A$3:$C$128,2+G$2,FALSE))</f>
        <v>0</v>
      </c>
      <c r="G397">
        <f>F397*Assumptions!$B$1</f>
        <v>0</v>
      </c>
      <c r="H397">
        <f t="shared" si="88"/>
        <v>0</v>
      </c>
      <c r="I397">
        <f>HLOOKUP(C397,Assumptions!$A$6:$J$7,2,TRUE)</f>
        <v>2.6499999999999999E-2</v>
      </c>
      <c r="J397" s="22">
        <f t="shared" si="84"/>
        <v>0</v>
      </c>
      <c r="K397" s="22">
        <f t="shared" si="89"/>
        <v>0</v>
      </c>
      <c r="L397">
        <f t="shared" ref="L397:L419" si="94">(1-(1-I397)^K397)*(M396-H397)</f>
        <v>0</v>
      </c>
      <c r="M397" s="22">
        <f t="shared" si="90"/>
        <v>0</v>
      </c>
      <c r="N397">
        <f>M396*Assumptions!$B$11/$E$2*J397</f>
        <v>0</v>
      </c>
      <c r="O397">
        <f>M396*Assumptions!$B$13/$E$2*J397</f>
        <v>0</v>
      </c>
      <c r="P397">
        <f>H397*Assumptions!$B$15</f>
        <v>0</v>
      </c>
      <c r="Q397">
        <f>O397*Assumptions!$B$17</f>
        <v>0</v>
      </c>
      <c r="R397">
        <f>HLOOKUP(B397,Assumptions!$A$26:$D$27,2,TRUE)</f>
        <v>0</v>
      </c>
      <c r="S397">
        <f t="shared" ref="S397:S460" si="95">N397*R397</f>
        <v>0</v>
      </c>
      <c r="T397">
        <f t="shared" si="91"/>
        <v>0.75</v>
      </c>
      <c r="U397">
        <f>IF(B397&gt;$K$2,0,IF(T398=0,0,(1-T398)*Assumptions!$B$11/$E$2*(1-Assumptions!$B$30)))</f>
        <v>0</v>
      </c>
      <c r="V397">
        <f>(N397-O397)*(1-Assumptions!$B$30)-Q397+U396*M396</f>
        <v>0</v>
      </c>
      <c r="W397">
        <f>W396*(1+Assumptions!$B$36)^(1/12)</f>
        <v>1.3772227560693888</v>
      </c>
      <c r="X397" s="19">
        <f>IF(B397&gt;$K$2,0,W396*Assumptions!$B$32/12*M396+V397*Assumptions!$B$34/12)</f>
        <v>0</v>
      </c>
      <c r="Y397" s="20">
        <f>1/(1+HLOOKUP(YEAR(A397),Assumptions!$A$41:$AL$43,3,TRUE))^(1/12)</f>
        <v>0.99762636457512177</v>
      </c>
      <c r="Z397">
        <f t="shared" si="92"/>
        <v>0</v>
      </c>
      <c r="AA397">
        <f t="shared" ref="AA397:AA460" si="96">P397+Q397</f>
        <v>0</v>
      </c>
    </row>
    <row r="398" spans="1:27" x14ac:dyDescent="0.2">
      <c r="A398" s="2">
        <f t="shared" si="83"/>
        <v>54878</v>
      </c>
      <c r="B398">
        <f t="shared" si="93"/>
        <v>479</v>
      </c>
      <c r="C398">
        <f t="shared" si="85"/>
        <v>39.833333333333336</v>
      </c>
      <c r="D398">
        <f t="shared" si="86"/>
        <v>0</v>
      </c>
      <c r="E398">
        <f t="shared" si="87"/>
        <v>94</v>
      </c>
      <c r="F398">
        <f>IF(C398&gt;=$J$2,0,VLOOKUP($E398,'Mortality Table'!$A$3:$C$128,2+G$2,FALSE))</f>
        <v>0</v>
      </c>
      <c r="G398">
        <f>F398*Assumptions!$B$1</f>
        <v>0</v>
      </c>
      <c r="H398">
        <f t="shared" si="88"/>
        <v>0</v>
      </c>
      <c r="I398">
        <f>HLOOKUP(C398,Assumptions!$A$6:$J$7,2,TRUE)</f>
        <v>2.6499999999999999E-2</v>
      </c>
      <c r="J398" s="22">
        <f t="shared" si="84"/>
        <v>0</v>
      </c>
      <c r="K398" s="22">
        <f t="shared" si="89"/>
        <v>0</v>
      </c>
      <c r="L398">
        <f t="shared" si="94"/>
        <v>0</v>
      </c>
      <c r="M398" s="22">
        <f t="shared" si="90"/>
        <v>0</v>
      </c>
      <c r="N398">
        <f>M397*Assumptions!$B$11/$E$2*J398</f>
        <v>0</v>
      </c>
      <c r="O398">
        <f>M397*Assumptions!$B$13/$E$2*J398</f>
        <v>0</v>
      </c>
      <c r="P398">
        <f>H398*Assumptions!$B$15</f>
        <v>0</v>
      </c>
      <c r="Q398">
        <f>O398*Assumptions!$B$17</f>
        <v>0</v>
      </c>
      <c r="R398">
        <f>HLOOKUP(B398,Assumptions!$A$26:$D$27,2,TRUE)</f>
        <v>0</v>
      </c>
      <c r="S398">
        <f t="shared" si="95"/>
        <v>0</v>
      </c>
      <c r="T398">
        <f t="shared" si="91"/>
        <v>0.8333333333333357</v>
      </c>
      <c r="U398">
        <f>IF(B398&gt;$K$2,0,IF(T399=0,0,(1-T399)*Assumptions!$B$11/$E$2*(1-Assumptions!$B$30)))</f>
        <v>0</v>
      </c>
      <c r="V398">
        <f>(N398-O398)*(1-Assumptions!$B$30)-Q398+U397*M397</f>
        <v>0</v>
      </c>
      <c r="W398">
        <f>W397*(1+Assumptions!$B$36)^(1/12)</f>
        <v>1.3783652148374932</v>
      </c>
      <c r="X398" s="19">
        <f>IF(B398&gt;$K$2,0,W397*Assumptions!$B$32/12*M397+V398*Assumptions!$B$34/12)</f>
        <v>0</v>
      </c>
      <c r="Y398" s="20">
        <f>1/(1+HLOOKUP(YEAR(A398),Assumptions!$A$41:$AL$43,3,TRUE))^(1/12)</f>
        <v>0.99762636457512177</v>
      </c>
      <c r="Z398">
        <f t="shared" si="92"/>
        <v>0</v>
      </c>
      <c r="AA398">
        <f t="shared" si="96"/>
        <v>0</v>
      </c>
    </row>
    <row r="399" spans="1:27" x14ac:dyDescent="0.2">
      <c r="A399" s="2">
        <f t="shared" ref="A399:A462" si="97">DATE(YEAR(A398),MONTH(A398)+2,1)-1</f>
        <v>54908</v>
      </c>
      <c r="B399">
        <f t="shared" si="93"/>
        <v>480</v>
      </c>
      <c r="C399">
        <f t="shared" si="85"/>
        <v>39.916666666666664</v>
      </c>
      <c r="D399">
        <f t="shared" si="86"/>
        <v>0</v>
      </c>
      <c r="E399">
        <f t="shared" si="87"/>
        <v>94</v>
      </c>
      <c r="F399">
        <f>IF(C399&gt;=$J$2,0,VLOOKUP($E399,'Mortality Table'!$A$3:$C$128,2+G$2,FALSE))</f>
        <v>0</v>
      </c>
      <c r="G399">
        <f>F399*Assumptions!$B$1</f>
        <v>0</v>
      </c>
      <c r="H399">
        <f t="shared" si="88"/>
        <v>0</v>
      </c>
      <c r="I399">
        <f>HLOOKUP(C399,Assumptions!$A$6:$J$7,2,TRUE)</f>
        <v>2.6499999999999999E-2</v>
      </c>
      <c r="J399" s="22">
        <f t="shared" si="84"/>
        <v>0</v>
      </c>
      <c r="K399" s="22">
        <f t="shared" si="89"/>
        <v>0</v>
      </c>
      <c r="L399">
        <f t="shared" si="94"/>
        <v>0</v>
      </c>
      <c r="M399" s="22">
        <f t="shared" si="90"/>
        <v>0</v>
      </c>
      <c r="N399">
        <f>M398*Assumptions!$B$11/$E$2*J399</f>
        <v>0</v>
      </c>
      <c r="O399">
        <f>M398*Assumptions!$B$13/$E$2*J399</f>
        <v>0</v>
      </c>
      <c r="P399">
        <f>H399*Assumptions!$B$15</f>
        <v>0</v>
      </c>
      <c r="Q399">
        <f>O399*Assumptions!$B$17</f>
        <v>0</v>
      </c>
      <c r="R399">
        <f>HLOOKUP(B399,Assumptions!$A$26:$D$27,2,TRUE)</f>
        <v>0</v>
      </c>
      <c r="S399">
        <f t="shared" si="95"/>
        <v>0</v>
      </c>
      <c r="T399">
        <f t="shared" si="91"/>
        <v>0.9166666666666643</v>
      </c>
      <c r="U399">
        <f>IF(B399&gt;$K$2,0,IF(T400=0,0,(1-T400)*Assumptions!$B$11/$E$2*(1-Assumptions!$B$30)))</f>
        <v>0</v>
      </c>
      <c r="V399">
        <f>(N399-O399)*(1-Assumptions!$B$30)-Q399+U398*M398</f>
        <v>0</v>
      </c>
      <c r="W399">
        <f>W398*(1+Assumptions!$B$36)^(1/12)</f>
        <v>1.3795086213186898</v>
      </c>
      <c r="X399" s="19">
        <f>IF(B399&gt;$K$2,0,W398*Assumptions!$B$32/12*M398+V399*Assumptions!$B$34/12)</f>
        <v>0</v>
      </c>
      <c r="Y399" s="20">
        <f>1/(1+HLOOKUP(YEAR(A399),Assumptions!$A$41:$AL$43,3,TRUE))^(1/12)</f>
        <v>0.99762636457512177</v>
      </c>
      <c r="Z399">
        <f t="shared" si="92"/>
        <v>0</v>
      </c>
      <c r="AA399">
        <f t="shared" si="96"/>
        <v>0</v>
      </c>
    </row>
    <row r="400" spans="1:27" x14ac:dyDescent="0.2">
      <c r="A400" s="2">
        <f t="shared" si="97"/>
        <v>54939</v>
      </c>
      <c r="B400">
        <f t="shared" si="93"/>
        <v>481</v>
      </c>
      <c r="C400">
        <f t="shared" si="85"/>
        <v>40</v>
      </c>
      <c r="D400">
        <f t="shared" si="86"/>
        <v>1</v>
      </c>
      <c r="E400">
        <f t="shared" si="87"/>
        <v>95</v>
      </c>
      <c r="F400">
        <f>IF(C400&gt;=$J$2,0,VLOOKUP($E400,'Mortality Table'!$A$3:$C$128,2+G$2,FALSE))</f>
        <v>0</v>
      </c>
      <c r="G400">
        <f>F400*Assumptions!$B$1</f>
        <v>0</v>
      </c>
      <c r="H400">
        <f t="shared" si="88"/>
        <v>0</v>
      </c>
      <c r="I400">
        <f>HLOOKUP(C400,Assumptions!$A$6:$J$7,2,TRUE)</f>
        <v>2.6499999999999999E-2</v>
      </c>
      <c r="J400" s="22">
        <f t="shared" si="84"/>
        <v>0</v>
      </c>
      <c r="K400" s="22">
        <f t="shared" si="89"/>
        <v>0</v>
      </c>
      <c r="L400">
        <f t="shared" si="94"/>
        <v>0</v>
      </c>
      <c r="M400" s="22">
        <f t="shared" si="90"/>
        <v>0</v>
      </c>
      <c r="N400">
        <f>M399*Assumptions!$B$11/$E$2*J400</f>
        <v>0</v>
      </c>
      <c r="O400">
        <f>M399*Assumptions!$B$13/$E$2*J400</f>
        <v>0</v>
      </c>
      <c r="P400">
        <f>H400*Assumptions!$B$15</f>
        <v>0</v>
      </c>
      <c r="Q400">
        <f>O400*Assumptions!$B$17</f>
        <v>0</v>
      </c>
      <c r="R400">
        <f>HLOOKUP(B400,Assumptions!$A$26:$D$27,2,TRUE)</f>
        <v>0</v>
      </c>
      <c r="S400">
        <f t="shared" si="95"/>
        <v>0</v>
      </c>
      <c r="T400">
        <f t="shared" si="91"/>
        <v>0</v>
      </c>
      <c r="U400">
        <f>IF(B400&gt;$K$2,0,IF(T401=0,0,(1-T401)*Assumptions!$B$11/$E$2*(1-Assumptions!$B$30)))</f>
        <v>0</v>
      </c>
      <c r="V400">
        <f>(N400-O400)*(1-Assumptions!$B$30)-Q400+U399*M399</f>
        <v>0</v>
      </c>
      <c r="W400">
        <f>W399*(1+Assumptions!$B$36)^(1/12)</f>
        <v>1.3806529762991429</v>
      </c>
      <c r="X400" s="19">
        <f>IF(B400&gt;$K$2,0,W399*Assumptions!$B$32/12*M399+V400*Assumptions!$B$34/12)</f>
        <v>0</v>
      </c>
      <c r="Y400" s="20">
        <f>1/(1+HLOOKUP(YEAR(A400),Assumptions!$A$41:$AL$43,3,TRUE))^(1/12)</f>
        <v>0.99762636457512177</v>
      </c>
      <c r="Z400">
        <f t="shared" si="92"/>
        <v>0</v>
      </c>
      <c r="AA400">
        <f t="shared" si="96"/>
        <v>0</v>
      </c>
    </row>
    <row r="401" spans="1:27" x14ac:dyDescent="0.2">
      <c r="A401" s="2">
        <f t="shared" si="97"/>
        <v>54969</v>
      </c>
      <c r="B401">
        <f t="shared" si="93"/>
        <v>482</v>
      </c>
      <c r="C401">
        <f t="shared" si="85"/>
        <v>40.083333333333336</v>
      </c>
      <c r="D401">
        <f t="shared" si="86"/>
        <v>0</v>
      </c>
      <c r="E401">
        <f t="shared" si="87"/>
        <v>95</v>
      </c>
      <c r="F401">
        <f>IF(C401&gt;=$J$2,0,VLOOKUP($E401,'Mortality Table'!$A$3:$C$128,2+G$2,FALSE))</f>
        <v>0</v>
      </c>
      <c r="G401">
        <f>F401*Assumptions!$B$1</f>
        <v>0</v>
      </c>
      <c r="H401">
        <f t="shared" si="88"/>
        <v>0</v>
      </c>
      <c r="I401">
        <f>HLOOKUP(C401,Assumptions!$A$6:$J$7,2,TRUE)</f>
        <v>2.6499999999999999E-2</v>
      </c>
      <c r="J401" s="22">
        <f t="shared" si="84"/>
        <v>0</v>
      </c>
      <c r="K401" s="22">
        <f t="shared" si="89"/>
        <v>0</v>
      </c>
      <c r="L401">
        <f t="shared" si="94"/>
        <v>0</v>
      </c>
      <c r="M401" s="22">
        <f t="shared" si="90"/>
        <v>0</v>
      </c>
      <c r="N401">
        <f>M400*Assumptions!$B$11/$E$2*J401</f>
        <v>0</v>
      </c>
      <c r="O401">
        <f>M400*Assumptions!$B$13/$E$2*J401</f>
        <v>0</v>
      </c>
      <c r="P401">
        <f>H401*Assumptions!$B$15</f>
        <v>0</v>
      </c>
      <c r="Q401">
        <f>O401*Assumptions!$B$17</f>
        <v>0</v>
      </c>
      <c r="R401">
        <f>HLOOKUP(B401,Assumptions!$A$26:$D$27,2,TRUE)</f>
        <v>0</v>
      </c>
      <c r="S401">
        <f t="shared" si="95"/>
        <v>0</v>
      </c>
      <c r="T401">
        <f t="shared" si="91"/>
        <v>8.3333333333335702E-2</v>
      </c>
      <c r="U401">
        <f>IF(B401&gt;$K$2,0,IF(T402=0,0,(1-T402)*Assumptions!$B$11/$E$2*(1-Assumptions!$B$30)))</f>
        <v>0</v>
      </c>
      <c r="V401">
        <f>(N401-O401)*(1-Assumptions!$B$30)-Q401+U400*M400</f>
        <v>0</v>
      </c>
      <c r="W401">
        <f>W400*(1+Assumptions!$B$36)^(1/12)</f>
        <v>1.3817982805656686</v>
      </c>
      <c r="X401" s="19">
        <f>IF(B401&gt;$K$2,0,W400*Assumptions!$B$32/12*M400+V401*Assumptions!$B$34/12)</f>
        <v>0</v>
      </c>
      <c r="Y401" s="20">
        <f>1/(1+HLOOKUP(YEAR(A401),Assumptions!$A$41:$AL$43,3,TRUE))^(1/12)</f>
        <v>0.99762636457512177</v>
      </c>
      <c r="Z401">
        <f t="shared" si="92"/>
        <v>0</v>
      </c>
      <c r="AA401">
        <f t="shared" si="96"/>
        <v>0</v>
      </c>
    </row>
    <row r="402" spans="1:27" x14ac:dyDescent="0.2">
      <c r="A402" s="2">
        <f t="shared" si="97"/>
        <v>55000</v>
      </c>
      <c r="B402">
        <f t="shared" si="93"/>
        <v>483</v>
      </c>
      <c r="C402">
        <f t="shared" si="85"/>
        <v>40.166666666666664</v>
      </c>
      <c r="D402">
        <f t="shared" si="86"/>
        <v>0</v>
      </c>
      <c r="E402">
        <f t="shared" si="87"/>
        <v>95</v>
      </c>
      <c r="F402">
        <f>IF(C402&gt;=$J$2,0,VLOOKUP($E402,'Mortality Table'!$A$3:$C$128,2+G$2,FALSE))</f>
        <v>0</v>
      </c>
      <c r="G402">
        <f>F402*Assumptions!$B$1</f>
        <v>0</v>
      </c>
      <c r="H402">
        <f t="shared" si="88"/>
        <v>0</v>
      </c>
      <c r="I402">
        <f>HLOOKUP(C402,Assumptions!$A$6:$J$7,2,TRUE)</f>
        <v>2.6499999999999999E-2</v>
      </c>
      <c r="J402" s="22">
        <f t="shared" si="84"/>
        <v>0</v>
      </c>
      <c r="K402" s="22">
        <f t="shared" si="89"/>
        <v>0</v>
      </c>
      <c r="L402">
        <f t="shared" si="94"/>
        <v>0</v>
      </c>
      <c r="M402" s="22">
        <f t="shared" si="90"/>
        <v>0</v>
      </c>
      <c r="N402">
        <f>M401*Assumptions!$B$11/$E$2*J402</f>
        <v>0</v>
      </c>
      <c r="O402">
        <f>M401*Assumptions!$B$13/$E$2*J402</f>
        <v>0</v>
      </c>
      <c r="P402">
        <f>H402*Assumptions!$B$15</f>
        <v>0</v>
      </c>
      <c r="Q402">
        <f>O402*Assumptions!$B$17</f>
        <v>0</v>
      </c>
      <c r="R402">
        <f>HLOOKUP(B402,Assumptions!$A$26:$D$27,2,TRUE)</f>
        <v>0</v>
      </c>
      <c r="S402">
        <f t="shared" si="95"/>
        <v>0</v>
      </c>
      <c r="T402">
        <f t="shared" si="91"/>
        <v>0.1666666666666643</v>
      </c>
      <c r="U402">
        <f>IF(B402&gt;$K$2,0,IF(T403=0,0,(1-T403)*Assumptions!$B$11/$E$2*(1-Assumptions!$B$30)))</f>
        <v>0</v>
      </c>
      <c r="V402">
        <f>(N402-O402)*(1-Assumptions!$B$30)-Q402+U401*M401</f>
        <v>0</v>
      </c>
      <c r="W402">
        <f>W401*(1+Assumptions!$B$36)^(1/12)</f>
        <v>1.3829445349057359</v>
      </c>
      <c r="X402" s="19">
        <f>IF(B402&gt;$K$2,0,W401*Assumptions!$B$32/12*M401+V402*Assumptions!$B$34/12)</f>
        <v>0</v>
      </c>
      <c r="Y402" s="20">
        <f>1/(1+HLOOKUP(YEAR(A402),Assumptions!$A$41:$AL$43,3,TRUE))^(1/12)</f>
        <v>0.99762636457512177</v>
      </c>
      <c r="Z402">
        <f t="shared" si="92"/>
        <v>0</v>
      </c>
      <c r="AA402">
        <f t="shared" si="96"/>
        <v>0</v>
      </c>
    </row>
    <row r="403" spans="1:27" x14ac:dyDescent="0.2">
      <c r="A403" s="2">
        <f t="shared" si="97"/>
        <v>55031</v>
      </c>
      <c r="B403">
        <f t="shared" si="93"/>
        <v>484</v>
      </c>
      <c r="C403">
        <f t="shared" si="85"/>
        <v>40.25</v>
      </c>
      <c r="D403">
        <f t="shared" si="86"/>
        <v>0</v>
      </c>
      <c r="E403">
        <f t="shared" si="87"/>
        <v>95</v>
      </c>
      <c r="F403">
        <f>IF(C403&gt;=$J$2,0,VLOOKUP($E403,'Mortality Table'!$A$3:$C$128,2+G$2,FALSE))</f>
        <v>0</v>
      </c>
      <c r="G403">
        <f>F403*Assumptions!$B$1</f>
        <v>0</v>
      </c>
      <c r="H403">
        <f t="shared" si="88"/>
        <v>0</v>
      </c>
      <c r="I403">
        <f>HLOOKUP(C403,Assumptions!$A$6:$J$7,2,TRUE)</f>
        <v>2.6499999999999999E-2</v>
      </c>
      <c r="J403" s="22">
        <f t="shared" si="84"/>
        <v>0</v>
      </c>
      <c r="K403" s="22">
        <f t="shared" si="89"/>
        <v>0</v>
      </c>
      <c r="L403">
        <f t="shared" si="94"/>
        <v>0</v>
      </c>
      <c r="M403" s="22">
        <f t="shared" si="90"/>
        <v>0</v>
      </c>
      <c r="N403">
        <f>M402*Assumptions!$B$11/$E$2*J403</f>
        <v>0</v>
      </c>
      <c r="O403">
        <f>M402*Assumptions!$B$13/$E$2*J403</f>
        <v>0</v>
      </c>
      <c r="P403">
        <f>H403*Assumptions!$B$15</f>
        <v>0</v>
      </c>
      <c r="Q403">
        <f>O403*Assumptions!$B$17</f>
        <v>0</v>
      </c>
      <c r="R403">
        <f>HLOOKUP(B403,Assumptions!$A$26:$D$27,2,TRUE)</f>
        <v>0</v>
      </c>
      <c r="S403">
        <f t="shared" si="95"/>
        <v>0</v>
      </c>
      <c r="T403">
        <f t="shared" si="91"/>
        <v>0.25</v>
      </c>
      <c r="U403">
        <f>IF(B403&gt;$K$2,0,IF(T404=0,0,(1-T404)*Assumptions!$B$11/$E$2*(1-Assumptions!$B$30)))</f>
        <v>0</v>
      </c>
      <c r="V403">
        <f>(N403-O403)*(1-Assumptions!$B$30)-Q403+U402*M402</f>
        <v>0</v>
      </c>
      <c r="W403">
        <f>W402*(1+Assumptions!$B$36)^(1/12)</f>
        <v>1.3840917401074668</v>
      </c>
      <c r="X403" s="19">
        <f>IF(B403&gt;$K$2,0,W402*Assumptions!$B$32/12*M402+V403*Assumptions!$B$34/12)</f>
        <v>0</v>
      </c>
      <c r="Y403" s="20">
        <f>1/(1+HLOOKUP(YEAR(A403),Assumptions!$A$41:$AL$43,3,TRUE))^(1/12)</f>
        <v>0.99762636457512177</v>
      </c>
      <c r="Z403">
        <f t="shared" si="92"/>
        <v>0</v>
      </c>
      <c r="AA403">
        <f t="shared" si="96"/>
        <v>0</v>
      </c>
    </row>
    <row r="404" spans="1:27" x14ac:dyDescent="0.2">
      <c r="A404" s="2">
        <f t="shared" si="97"/>
        <v>55061</v>
      </c>
      <c r="B404">
        <f t="shared" si="93"/>
        <v>485</v>
      </c>
      <c r="C404">
        <f t="shared" si="85"/>
        <v>40.333333333333336</v>
      </c>
      <c r="D404">
        <f t="shared" si="86"/>
        <v>0</v>
      </c>
      <c r="E404">
        <f t="shared" si="87"/>
        <v>95</v>
      </c>
      <c r="F404">
        <f>IF(C404&gt;=$J$2,0,VLOOKUP($E404,'Mortality Table'!$A$3:$C$128,2+G$2,FALSE))</f>
        <v>0</v>
      </c>
      <c r="G404">
        <f>F404*Assumptions!$B$1</f>
        <v>0</v>
      </c>
      <c r="H404">
        <f t="shared" si="88"/>
        <v>0</v>
      </c>
      <c r="I404">
        <f>HLOOKUP(C404,Assumptions!$A$6:$J$7,2,TRUE)</f>
        <v>2.6499999999999999E-2</v>
      </c>
      <c r="J404" s="22">
        <f t="shared" si="84"/>
        <v>0</v>
      </c>
      <c r="K404" s="22">
        <f t="shared" si="89"/>
        <v>0</v>
      </c>
      <c r="L404">
        <f t="shared" si="94"/>
        <v>0</v>
      </c>
      <c r="M404" s="22">
        <f t="shared" si="90"/>
        <v>0</v>
      </c>
      <c r="N404">
        <f>M403*Assumptions!$B$11/$E$2*J404</f>
        <v>0</v>
      </c>
      <c r="O404">
        <f>M403*Assumptions!$B$13/$E$2*J404</f>
        <v>0</v>
      </c>
      <c r="P404">
        <f>H404*Assumptions!$B$15</f>
        <v>0</v>
      </c>
      <c r="Q404">
        <f>O404*Assumptions!$B$17</f>
        <v>0</v>
      </c>
      <c r="R404">
        <f>HLOOKUP(B404,Assumptions!$A$26:$D$27,2,TRUE)</f>
        <v>0</v>
      </c>
      <c r="S404">
        <f t="shared" si="95"/>
        <v>0</v>
      </c>
      <c r="T404">
        <f t="shared" si="91"/>
        <v>0.3333333333333357</v>
      </c>
      <c r="U404">
        <f>IF(B404&gt;$K$2,0,IF(T405=0,0,(1-T405)*Assumptions!$B$11/$E$2*(1-Assumptions!$B$30)))</f>
        <v>0</v>
      </c>
      <c r="V404">
        <f>(N404-O404)*(1-Assumptions!$B$30)-Q404+U403*M403</f>
        <v>0</v>
      </c>
      <c r="W404">
        <f>W403*(1+Assumptions!$B$36)^(1/12)</f>
        <v>1.3852398969596378</v>
      </c>
      <c r="X404" s="19">
        <f>IF(B404&gt;$K$2,0,W403*Assumptions!$B$32/12*M403+V404*Assumptions!$B$34/12)</f>
        <v>0</v>
      </c>
      <c r="Y404" s="20">
        <f>1/(1+HLOOKUP(YEAR(A404),Assumptions!$A$41:$AL$43,3,TRUE))^(1/12)</f>
        <v>0.99762636457512177</v>
      </c>
      <c r="Z404">
        <f t="shared" si="92"/>
        <v>0</v>
      </c>
      <c r="AA404">
        <f t="shared" si="96"/>
        <v>0</v>
      </c>
    </row>
    <row r="405" spans="1:27" x14ac:dyDescent="0.2">
      <c r="A405" s="2">
        <f t="shared" si="97"/>
        <v>55092</v>
      </c>
      <c r="B405">
        <f t="shared" si="93"/>
        <v>486</v>
      </c>
      <c r="C405">
        <f t="shared" si="85"/>
        <v>40.416666666666664</v>
      </c>
      <c r="D405">
        <f t="shared" si="86"/>
        <v>0</v>
      </c>
      <c r="E405">
        <f t="shared" si="87"/>
        <v>95</v>
      </c>
      <c r="F405">
        <f>IF(C405&gt;=$J$2,0,VLOOKUP($E405,'Mortality Table'!$A$3:$C$128,2+G$2,FALSE))</f>
        <v>0</v>
      </c>
      <c r="G405">
        <f>F405*Assumptions!$B$1</f>
        <v>0</v>
      </c>
      <c r="H405">
        <f t="shared" si="88"/>
        <v>0</v>
      </c>
      <c r="I405">
        <f>HLOOKUP(C405,Assumptions!$A$6:$J$7,2,TRUE)</f>
        <v>2.6499999999999999E-2</v>
      </c>
      <c r="J405" s="22">
        <f t="shared" si="84"/>
        <v>0</v>
      </c>
      <c r="K405" s="22">
        <f t="shared" si="89"/>
        <v>0</v>
      </c>
      <c r="L405">
        <f t="shared" si="94"/>
        <v>0</v>
      </c>
      <c r="M405" s="22">
        <f t="shared" si="90"/>
        <v>0</v>
      </c>
      <c r="N405">
        <f>M404*Assumptions!$B$11/$E$2*J405</f>
        <v>0</v>
      </c>
      <c r="O405">
        <f>M404*Assumptions!$B$13/$E$2*J405</f>
        <v>0</v>
      </c>
      <c r="P405">
        <f>H405*Assumptions!$B$15</f>
        <v>0</v>
      </c>
      <c r="Q405">
        <f>O405*Assumptions!$B$17</f>
        <v>0</v>
      </c>
      <c r="R405">
        <f>HLOOKUP(B405,Assumptions!$A$26:$D$27,2,TRUE)</f>
        <v>0</v>
      </c>
      <c r="S405">
        <f t="shared" si="95"/>
        <v>0</v>
      </c>
      <c r="T405">
        <f t="shared" si="91"/>
        <v>0.4166666666666643</v>
      </c>
      <c r="U405">
        <f>IF(B405&gt;$K$2,0,IF(T406=0,0,(1-T406)*Assumptions!$B$11/$E$2*(1-Assumptions!$B$30)))</f>
        <v>0</v>
      </c>
      <c r="V405">
        <f>(N405-O405)*(1-Assumptions!$B$30)-Q405+U404*M404</f>
        <v>0</v>
      </c>
      <c r="W405">
        <f>W404*(1+Assumptions!$B$36)^(1/12)</f>
        <v>1.3863890062516788</v>
      </c>
      <c r="X405" s="19">
        <f>IF(B405&gt;$K$2,0,W404*Assumptions!$B$32/12*M404+V405*Assumptions!$B$34/12)</f>
        <v>0</v>
      </c>
      <c r="Y405" s="20">
        <f>1/(1+HLOOKUP(YEAR(A405),Assumptions!$A$41:$AL$43,3,TRUE))^(1/12)</f>
        <v>0.99762636457512177</v>
      </c>
      <c r="Z405">
        <f t="shared" si="92"/>
        <v>0</v>
      </c>
      <c r="AA405">
        <f t="shared" si="96"/>
        <v>0</v>
      </c>
    </row>
    <row r="406" spans="1:27" x14ac:dyDescent="0.2">
      <c r="A406" s="2">
        <f t="shared" si="97"/>
        <v>55122</v>
      </c>
      <c r="B406">
        <f t="shared" si="93"/>
        <v>487</v>
      </c>
      <c r="C406">
        <f t="shared" si="85"/>
        <v>40.5</v>
      </c>
      <c r="D406">
        <f t="shared" si="86"/>
        <v>0</v>
      </c>
      <c r="E406">
        <f t="shared" si="87"/>
        <v>95</v>
      </c>
      <c r="F406">
        <f>IF(C406&gt;=$J$2,0,VLOOKUP($E406,'Mortality Table'!$A$3:$C$128,2+G$2,FALSE))</f>
        <v>0</v>
      </c>
      <c r="G406">
        <f>F406*Assumptions!$B$1</f>
        <v>0</v>
      </c>
      <c r="H406">
        <f t="shared" si="88"/>
        <v>0</v>
      </c>
      <c r="I406">
        <f>HLOOKUP(C406,Assumptions!$A$6:$J$7,2,TRUE)</f>
        <v>2.6499999999999999E-2</v>
      </c>
      <c r="J406" s="22">
        <f t="shared" si="84"/>
        <v>0</v>
      </c>
      <c r="K406" s="22">
        <f t="shared" si="89"/>
        <v>0</v>
      </c>
      <c r="L406">
        <f t="shared" si="94"/>
        <v>0</v>
      </c>
      <c r="M406" s="22">
        <f t="shared" si="90"/>
        <v>0</v>
      </c>
      <c r="N406">
        <f>M405*Assumptions!$B$11/$E$2*J406</f>
        <v>0</v>
      </c>
      <c r="O406">
        <f>M405*Assumptions!$B$13/$E$2*J406</f>
        <v>0</v>
      </c>
      <c r="P406">
        <f>H406*Assumptions!$B$15</f>
        <v>0</v>
      </c>
      <c r="Q406">
        <f>O406*Assumptions!$B$17</f>
        <v>0</v>
      </c>
      <c r="R406">
        <f>HLOOKUP(B406,Assumptions!$A$26:$D$27,2,TRUE)</f>
        <v>0</v>
      </c>
      <c r="S406">
        <f t="shared" si="95"/>
        <v>0</v>
      </c>
      <c r="T406">
        <f t="shared" si="91"/>
        <v>0.5</v>
      </c>
      <c r="U406">
        <f>IF(B406&gt;$K$2,0,IF(T407=0,0,(1-T407)*Assumptions!$B$11/$E$2*(1-Assumptions!$B$30)))</f>
        <v>0</v>
      </c>
      <c r="V406">
        <f>(N406-O406)*(1-Assumptions!$B$30)-Q406+U405*M405</f>
        <v>0</v>
      </c>
      <c r="W406">
        <f>W405*(1+Assumptions!$B$36)^(1/12)</f>
        <v>1.3875390687736751</v>
      </c>
      <c r="X406" s="19">
        <f>IF(B406&gt;$K$2,0,W405*Assumptions!$B$32/12*M405+V406*Assumptions!$B$34/12)</f>
        <v>0</v>
      </c>
      <c r="Y406" s="20">
        <f>1/(1+HLOOKUP(YEAR(A406),Assumptions!$A$41:$AL$43,3,TRUE))^(1/12)</f>
        <v>0.99762636457512177</v>
      </c>
      <c r="Z406">
        <f t="shared" si="92"/>
        <v>0</v>
      </c>
      <c r="AA406">
        <f t="shared" si="96"/>
        <v>0</v>
      </c>
    </row>
    <row r="407" spans="1:27" x14ac:dyDescent="0.2">
      <c r="A407" s="2">
        <f t="shared" si="97"/>
        <v>55153</v>
      </c>
      <c r="B407">
        <f t="shared" si="93"/>
        <v>488</v>
      </c>
      <c r="C407">
        <f t="shared" si="85"/>
        <v>40.583333333333336</v>
      </c>
      <c r="D407">
        <f t="shared" si="86"/>
        <v>0</v>
      </c>
      <c r="E407">
        <f t="shared" si="87"/>
        <v>95</v>
      </c>
      <c r="F407">
        <f>IF(C407&gt;=$J$2,0,VLOOKUP($E407,'Mortality Table'!$A$3:$C$128,2+G$2,FALSE))</f>
        <v>0</v>
      </c>
      <c r="G407">
        <f>F407*Assumptions!$B$1</f>
        <v>0</v>
      </c>
      <c r="H407">
        <f t="shared" si="88"/>
        <v>0</v>
      </c>
      <c r="I407">
        <f>HLOOKUP(C407,Assumptions!$A$6:$J$7,2,TRUE)</f>
        <v>2.6499999999999999E-2</v>
      </c>
      <c r="J407" s="22">
        <f t="shared" si="84"/>
        <v>0</v>
      </c>
      <c r="K407" s="22">
        <f t="shared" si="89"/>
        <v>0</v>
      </c>
      <c r="L407">
        <f t="shared" si="94"/>
        <v>0</v>
      </c>
      <c r="M407" s="22">
        <f t="shared" si="90"/>
        <v>0</v>
      </c>
      <c r="N407">
        <f>M406*Assumptions!$B$11/$E$2*J407</f>
        <v>0</v>
      </c>
      <c r="O407">
        <f>M406*Assumptions!$B$13/$E$2*J407</f>
        <v>0</v>
      </c>
      <c r="P407">
        <f>H407*Assumptions!$B$15</f>
        <v>0</v>
      </c>
      <c r="Q407">
        <f>O407*Assumptions!$B$17</f>
        <v>0</v>
      </c>
      <c r="R407">
        <f>HLOOKUP(B407,Assumptions!$A$26:$D$27,2,TRUE)</f>
        <v>0</v>
      </c>
      <c r="S407">
        <f t="shared" si="95"/>
        <v>0</v>
      </c>
      <c r="T407">
        <f t="shared" si="91"/>
        <v>0.5833333333333357</v>
      </c>
      <c r="U407">
        <f>IF(B407&gt;$K$2,0,IF(T408=0,0,(1-T408)*Assumptions!$B$11/$E$2*(1-Assumptions!$B$30)))</f>
        <v>0</v>
      </c>
      <c r="V407">
        <f>(N407-O407)*(1-Assumptions!$B$30)-Q407+U406*M406</f>
        <v>0</v>
      </c>
      <c r="W407">
        <f>W406*(1+Assumptions!$B$36)^(1/12)</f>
        <v>1.3886900853163673</v>
      </c>
      <c r="X407" s="19">
        <f>IF(B407&gt;$K$2,0,W406*Assumptions!$B$32/12*M406+V407*Assumptions!$B$34/12)</f>
        <v>0</v>
      </c>
      <c r="Y407" s="20">
        <f>1/(1+HLOOKUP(YEAR(A407),Assumptions!$A$41:$AL$43,3,TRUE))^(1/12)</f>
        <v>0.99762636457512177</v>
      </c>
      <c r="Z407">
        <f t="shared" si="92"/>
        <v>0</v>
      </c>
      <c r="AA407">
        <f t="shared" si="96"/>
        <v>0</v>
      </c>
    </row>
    <row r="408" spans="1:27" x14ac:dyDescent="0.2">
      <c r="A408" s="2">
        <f t="shared" si="97"/>
        <v>55184</v>
      </c>
      <c r="B408">
        <f t="shared" si="93"/>
        <v>489</v>
      </c>
      <c r="C408">
        <f t="shared" si="85"/>
        <v>40.666666666666664</v>
      </c>
      <c r="D408">
        <f t="shared" si="86"/>
        <v>0</v>
      </c>
      <c r="E408">
        <f t="shared" si="87"/>
        <v>95</v>
      </c>
      <c r="F408">
        <f>IF(C408&gt;=$J$2,0,VLOOKUP($E408,'Mortality Table'!$A$3:$C$128,2+G$2,FALSE))</f>
        <v>0</v>
      </c>
      <c r="G408">
        <f>F408*Assumptions!$B$1</f>
        <v>0</v>
      </c>
      <c r="H408">
        <f t="shared" si="88"/>
        <v>0</v>
      </c>
      <c r="I408">
        <f>HLOOKUP(C408,Assumptions!$A$6:$J$7,2,TRUE)</f>
        <v>2.6499999999999999E-2</v>
      </c>
      <c r="J408" s="22">
        <f t="shared" si="84"/>
        <v>0</v>
      </c>
      <c r="K408" s="22">
        <f t="shared" si="89"/>
        <v>0</v>
      </c>
      <c r="L408">
        <f t="shared" si="94"/>
        <v>0</v>
      </c>
      <c r="M408" s="22">
        <f t="shared" si="90"/>
        <v>0</v>
      </c>
      <c r="N408">
        <f>M407*Assumptions!$B$11/$E$2*J408</f>
        <v>0</v>
      </c>
      <c r="O408">
        <f>M407*Assumptions!$B$13/$E$2*J408</f>
        <v>0</v>
      </c>
      <c r="P408">
        <f>H408*Assumptions!$B$15</f>
        <v>0</v>
      </c>
      <c r="Q408">
        <f>O408*Assumptions!$B$17</f>
        <v>0</v>
      </c>
      <c r="R408">
        <f>HLOOKUP(B408,Assumptions!$A$26:$D$27,2,TRUE)</f>
        <v>0</v>
      </c>
      <c r="S408">
        <f t="shared" si="95"/>
        <v>0</v>
      </c>
      <c r="T408">
        <f t="shared" si="91"/>
        <v>0.6666666666666643</v>
      </c>
      <c r="U408">
        <f>IF(B408&gt;$K$2,0,IF(T409=0,0,(1-T409)*Assumptions!$B$11/$E$2*(1-Assumptions!$B$30)))</f>
        <v>0</v>
      </c>
      <c r="V408">
        <f>(N408-O408)*(1-Assumptions!$B$30)-Q408+U407*M407</f>
        <v>0</v>
      </c>
      <c r="W408">
        <f>W407*(1+Assumptions!$B$36)^(1/12)</f>
        <v>1.3898420566711518</v>
      </c>
      <c r="X408" s="19">
        <f>IF(B408&gt;$K$2,0,W407*Assumptions!$B$32/12*M407+V408*Assumptions!$B$34/12)</f>
        <v>0</v>
      </c>
      <c r="Y408" s="20">
        <f>1/(1+HLOOKUP(YEAR(A408),Assumptions!$A$41:$AL$43,3,TRUE))^(1/12)</f>
        <v>0.99761125679893925</v>
      </c>
      <c r="Z408">
        <f t="shared" si="92"/>
        <v>0</v>
      </c>
      <c r="AA408">
        <f t="shared" si="96"/>
        <v>0</v>
      </c>
    </row>
    <row r="409" spans="1:27" x14ac:dyDescent="0.2">
      <c r="A409" s="2">
        <f t="shared" si="97"/>
        <v>55212</v>
      </c>
      <c r="B409">
        <f t="shared" si="93"/>
        <v>490</v>
      </c>
      <c r="C409">
        <f t="shared" si="85"/>
        <v>40.75</v>
      </c>
      <c r="D409">
        <f t="shared" si="86"/>
        <v>0</v>
      </c>
      <c r="E409">
        <f t="shared" si="87"/>
        <v>95</v>
      </c>
      <c r="F409">
        <f>IF(C409&gt;=$J$2,0,VLOOKUP($E409,'Mortality Table'!$A$3:$C$128,2+G$2,FALSE))</f>
        <v>0</v>
      </c>
      <c r="G409">
        <f>F409*Assumptions!$B$1</f>
        <v>0</v>
      </c>
      <c r="H409">
        <f t="shared" si="88"/>
        <v>0</v>
      </c>
      <c r="I409">
        <f>HLOOKUP(C409,Assumptions!$A$6:$J$7,2,TRUE)</f>
        <v>2.6499999999999999E-2</v>
      </c>
      <c r="J409" s="22">
        <f t="shared" si="84"/>
        <v>0</v>
      </c>
      <c r="K409" s="22">
        <f t="shared" si="89"/>
        <v>0</v>
      </c>
      <c r="L409">
        <f t="shared" si="94"/>
        <v>0</v>
      </c>
      <c r="M409" s="22">
        <f t="shared" si="90"/>
        <v>0</v>
      </c>
      <c r="N409">
        <f>M408*Assumptions!$B$11/$E$2*J409</f>
        <v>0</v>
      </c>
      <c r="O409">
        <f>M408*Assumptions!$B$13/$E$2*J409</f>
        <v>0</v>
      </c>
      <c r="P409">
        <f>H409*Assumptions!$B$15</f>
        <v>0</v>
      </c>
      <c r="Q409">
        <f>O409*Assumptions!$B$17</f>
        <v>0</v>
      </c>
      <c r="R409">
        <f>HLOOKUP(B409,Assumptions!$A$26:$D$27,2,TRUE)</f>
        <v>0</v>
      </c>
      <c r="S409">
        <f t="shared" si="95"/>
        <v>0</v>
      </c>
      <c r="T409">
        <f t="shared" si="91"/>
        <v>0.75</v>
      </c>
      <c r="U409">
        <f>IF(B409&gt;$K$2,0,IF(T410=0,0,(1-T410)*Assumptions!$B$11/$E$2*(1-Assumptions!$B$30)))</f>
        <v>0</v>
      </c>
      <c r="V409">
        <f>(N409-O409)*(1-Assumptions!$B$30)-Q409+U408*M408</f>
        <v>0</v>
      </c>
      <c r="W409">
        <f>W408*(1+Assumptions!$B$36)^(1/12)</f>
        <v>1.3909949836300817</v>
      </c>
      <c r="X409" s="19">
        <f>IF(B409&gt;$K$2,0,W408*Assumptions!$B$32/12*M408+V409*Assumptions!$B$34/12)</f>
        <v>0</v>
      </c>
      <c r="Y409" s="20">
        <f>1/(1+HLOOKUP(YEAR(A409),Assumptions!$A$41:$AL$43,3,TRUE))^(1/12)</f>
        <v>0.99761125679893925</v>
      </c>
      <c r="Z409">
        <f t="shared" si="92"/>
        <v>0</v>
      </c>
      <c r="AA409">
        <f t="shared" si="96"/>
        <v>0</v>
      </c>
    </row>
    <row r="410" spans="1:27" x14ac:dyDescent="0.2">
      <c r="A410" s="2">
        <f t="shared" si="97"/>
        <v>55243</v>
      </c>
      <c r="B410">
        <f t="shared" si="93"/>
        <v>491</v>
      </c>
      <c r="C410">
        <f t="shared" si="85"/>
        <v>40.833333333333336</v>
      </c>
      <c r="D410">
        <f t="shared" si="86"/>
        <v>0</v>
      </c>
      <c r="E410">
        <f t="shared" si="87"/>
        <v>95</v>
      </c>
      <c r="F410">
        <f>IF(C410&gt;=$J$2,0,VLOOKUP($E410,'Mortality Table'!$A$3:$C$128,2+G$2,FALSE))</f>
        <v>0</v>
      </c>
      <c r="G410">
        <f>F410*Assumptions!$B$1</f>
        <v>0</v>
      </c>
      <c r="H410">
        <f t="shared" si="88"/>
        <v>0</v>
      </c>
      <c r="I410">
        <f>HLOOKUP(C410,Assumptions!$A$6:$J$7,2,TRUE)</f>
        <v>2.6499999999999999E-2</v>
      </c>
      <c r="J410" s="22">
        <f t="shared" si="84"/>
        <v>0</v>
      </c>
      <c r="K410" s="22">
        <f t="shared" si="89"/>
        <v>0</v>
      </c>
      <c r="L410">
        <f t="shared" si="94"/>
        <v>0</v>
      </c>
      <c r="M410" s="22">
        <f t="shared" si="90"/>
        <v>0</v>
      </c>
      <c r="N410">
        <f>M409*Assumptions!$B$11/$E$2*J410</f>
        <v>0</v>
      </c>
      <c r="O410">
        <f>M409*Assumptions!$B$13/$E$2*J410</f>
        <v>0</v>
      </c>
      <c r="P410">
        <f>H410*Assumptions!$B$15</f>
        <v>0</v>
      </c>
      <c r="Q410">
        <f>O410*Assumptions!$B$17</f>
        <v>0</v>
      </c>
      <c r="R410">
        <f>HLOOKUP(B410,Assumptions!$A$26:$D$27,2,TRUE)</f>
        <v>0</v>
      </c>
      <c r="S410">
        <f t="shared" si="95"/>
        <v>0</v>
      </c>
      <c r="T410">
        <f t="shared" si="91"/>
        <v>0.8333333333333357</v>
      </c>
      <c r="U410">
        <f>IF(B410&gt;$K$2,0,IF(T411=0,0,(1-T411)*Assumptions!$B$11/$E$2*(1-Assumptions!$B$30)))</f>
        <v>0</v>
      </c>
      <c r="V410">
        <f>(N410-O410)*(1-Assumptions!$B$30)-Q410+U409*M409</f>
        <v>0</v>
      </c>
      <c r="W410">
        <f>W409*(1+Assumptions!$B$36)^(1/12)</f>
        <v>1.392148866985867</v>
      </c>
      <c r="X410" s="19">
        <f>IF(B410&gt;$K$2,0,W409*Assumptions!$B$32/12*M409+V410*Assumptions!$B$34/12)</f>
        <v>0</v>
      </c>
      <c r="Y410" s="20">
        <f>1/(1+HLOOKUP(YEAR(A410),Assumptions!$A$41:$AL$43,3,TRUE))^(1/12)</f>
        <v>0.99761125679893925</v>
      </c>
      <c r="Z410">
        <f t="shared" si="92"/>
        <v>0</v>
      </c>
      <c r="AA410">
        <f t="shared" si="96"/>
        <v>0</v>
      </c>
    </row>
    <row r="411" spans="1:27" x14ac:dyDescent="0.2">
      <c r="A411" s="2">
        <f t="shared" si="97"/>
        <v>55273</v>
      </c>
      <c r="B411">
        <f t="shared" si="93"/>
        <v>492</v>
      </c>
      <c r="C411">
        <f t="shared" si="85"/>
        <v>40.916666666666664</v>
      </c>
      <c r="D411">
        <f t="shared" si="86"/>
        <v>0</v>
      </c>
      <c r="E411">
        <f t="shared" si="87"/>
        <v>95</v>
      </c>
      <c r="F411">
        <f>IF(C411&gt;=$J$2,0,VLOOKUP($E411,'Mortality Table'!$A$3:$C$128,2+G$2,FALSE))</f>
        <v>0</v>
      </c>
      <c r="G411">
        <f>F411*Assumptions!$B$1</f>
        <v>0</v>
      </c>
      <c r="H411">
        <f t="shared" si="88"/>
        <v>0</v>
      </c>
      <c r="I411">
        <f>HLOOKUP(C411,Assumptions!$A$6:$J$7,2,TRUE)</f>
        <v>2.6499999999999999E-2</v>
      </c>
      <c r="J411" s="22">
        <f t="shared" si="84"/>
        <v>0</v>
      </c>
      <c r="K411" s="22">
        <f t="shared" si="89"/>
        <v>0</v>
      </c>
      <c r="L411">
        <f t="shared" si="94"/>
        <v>0</v>
      </c>
      <c r="M411" s="22">
        <f t="shared" si="90"/>
        <v>0</v>
      </c>
      <c r="N411">
        <f>M410*Assumptions!$B$11/$E$2*J411</f>
        <v>0</v>
      </c>
      <c r="O411">
        <f>M410*Assumptions!$B$13/$E$2*J411</f>
        <v>0</v>
      </c>
      <c r="P411">
        <f>H411*Assumptions!$B$15</f>
        <v>0</v>
      </c>
      <c r="Q411">
        <f>O411*Assumptions!$B$17</f>
        <v>0</v>
      </c>
      <c r="R411">
        <f>HLOOKUP(B411,Assumptions!$A$26:$D$27,2,TRUE)</f>
        <v>0</v>
      </c>
      <c r="S411">
        <f t="shared" si="95"/>
        <v>0</v>
      </c>
      <c r="T411">
        <f t="shared" si="91"/>
        <v>0.9166666666666643</v>
      </c>
      <c r="U411">
        <f>IF(B411&gt;$K$2,0,IF(T412=0,0,(1-T412)*Assumptions!$B$11/$E$2*(1-Assumptions!$B$30)))</f>
        <v>0</v>
      </c>
      <c r="V411">
        <f>(N411-O411)*(1-Assumptions!$B$30)-Q411+U410*M410</f>
        <v>0</v>
      </c>
      <c r="W411">
        <f>W410*(1+Assumptions!$B$36)^(1/12)</f>
        <v>1.3933037075318757</v>
      </c>
      <c r="X411" s="19">
        <f>IF(B411&gt;$K$2,0,W410*Assumptions!$B$32/12*M410+V411*Assumptions!$B$34/12)</f>
        <v>0</v>
      </c>
      <c r="Y411" s="20">
        <f>1/(1+HLOOKUP(YEAR(A411),Assumptions!$A$41:$AL$43,3,TRUE))^(1/12)</f>
        <v>0.99761125679893925</v>
      </c>
      <c r="Z411">
        <f t="shared" si="92"/>
        <v>0</v>
      </c>
      <c r="AA411">
        <f t="shared" si="96"/>
        <v>0</v>
      </c>
    </row>
    <row r="412" spans="1:27" x14ac:dyDescent="0.2">
      <c r="A412" s="2">
        <f t="shared" si="97"/>
        <v>55304</v>
      </c>
      <c r="B412">
        <f t="shared" si="93"/>
        <v>493</v>
      </c>
      <c r="C412">
        <f t="shared" si="85"/>
        <v>41</v>
      </c>
      <c r="D412">
        <f t="shared" si="86"/>
        <v>1</v>
      </c>
      <c r="E412">
        <f t="shared" si="87"/>
        <v>96</v>
      </c>
      <c r="F412">
        <f>IF(C412&gt;=$J$2,0,VLOOKUP($E412,'Mortality Table'!$A$3:$C$128,2+G$2,FALSE))</f>
        <v>0</v>
      </c>
      <c r="G412">
        <f>F412*Assumptions!$B$1</f>
        <v>0</v>
      </c>
      <c r="H412">
        <f t="shared" si="88"/>
        <v>0</v>
      </c>
      <c r="I412">
        <f>HLOOKUP(C412,Assumptions!$A$6:$J$7,2,TRUE)</f>
        <v>2.6499999999999999E-2</v>
      </c>
      <c r="J412" s="22">
        <f t="shared" si="84"/>
        <v>0</v>
      </c>
      <c r="K412" s="22">
        <f t="shared" si="89"/>
        <v>0</v>
      </c>
      <c r="L412">
        <f t="shared" si="94"/>
        <v>0</v>
      </c>
      <c r="M412" s="22">
        <f t="shared" si="90"/>
        <v>0</v>
      </c>
      <c r="N412">
        <f>M411*Assumptions!$B$11/$E$2*J412</f>
        <v>0</v>
      </c>
      <c r="O412">
        <f>M411*Assumptions!$B$13/$E$2*J412</f>
        <v>0</v>
      </c>
      <c r="P412">
        <f>H412*Assumptions!$B$15</f>
        <v>0</v>
      </c>
      <c r="Q412">
        <f>O412*Assumptions!$B$17</f>
        <v>0</v>
      </c>
      <c r="R412">
        <f>HLOOKUP(B412,Assumptions!$A$26:$D$27,2,TRUE)</f>
        <v>0</v>
      </c>
      <c r="S412">
        <f t="shared" si="95"/>
        <v>0</v>
      </c>
      <c r="T412">
        <f t="shared" si="91"/>
        <v>0</v>
      </c>
      <c r="U412">
        <f>IF(B412&gt;$K$2,0,IF(T413=0,0,(1-T413)*Assumptions!$B$11/$E$2*(1-Assumptions!$B$30)))</f>
        <v>0</v>
      </c>
      <c r="V412">
        <f>(N412-O412)*(1-Assumptions!$B$30)-Q412+U411*M411</f>
        <v>0</v>
      </c>
      <c r="W412">
        <f>W411*(1+Assumptions!$B$36)^(1/12)</f>
        <v>1.3944595060621332</v>
      </c>
      <c r="X412" s="19">
        <f>IF(B412&gt;$K$2,0,W411*Assumptions!$B$32/12*M411+V412*Assumptions!$B$34/12)</f>
        <v>0</v>
      </c>
      <c r="Y412" s="20">
        <f>1/(1+HLOOKUP(YEAR(A412),Assumptions!$A$41:$AL$43,3,TRUE))^(1/12)</f>
        <v>0.99761125679893925</v>
      </c>
      <c r="Z412">
        <f t="shared" si="92"/>
        <v>0</v>
      </c>
      <c r="AA412">
        <f t="shared" si="96"/>
        <v>0</v>
      </c>
    </row>
    <row r="413" spans="1:27" x14ac:dyDescent="0.2">
      <c r="A413" s="2">
        <f t="shared" si="97"/>
        <v>55334</v>
      </c>
      <c r="B413">
        <f t="shared" si="93"/>
        <v>494</v>
      </c>
      <c r="C413">
        <f t="shared" si="85"/>
        <v>41.083333333333336</v>
      </c>
      <c r="D413">
        <f t="shared" si="86"/>
        <v>0</v>
      </c>
      <c r="E413">
        <f t="shared" si="87"/>
        <v>96</v>
      </c>
      <c r="F413">
        <f>IF(C413&gt;=$J$2,0,VLOOKUP($E413,'Mortality Table'!$A$3:$C$128,2+G$2,FALSE))</f>
        <v>0</v>
      </c>
      <c r="G413">
        <f>F413*Assumptions!$B$1</f>
        <v>0</v>
      </c>
      <c r="H413">
        <f t="shared" si="88"/>
        <v>0</v>
      </c>
      <c r="I413">
        <f>HLOOKUP(C413,Assumptions!$A$6:$J$7,2,TRUE)</f>
        <v>2.6499999999999999E-2</v>
      </c>
      <c r="J413" s="22">
        <f t="shared" si="84"/>
        <v>0</v>
      </c>
      <c r="K413" s="22">
        <f t="shared" si="89"/>
        <v>0</v>
      </c>
      <c r="L413">
        <f t="shared" si="94"/>
        <v>0</v>
      </c>
      <c r="M413" s="22">
        <f t="shared" si="90"/>
        <v>0</v>
      </c>
      <c r="N413">
        <f>M412*Assumptions!$B$11/$E$2*J413</f>
        <v>0</v>
      </c>
      <c r="O413">
        <f>M412*Assumptions!$B$13/$E$2*J413</f>
        <v>0</v>
      </c>
      <c r="P413">
        <f>H413*Assumptions!$B$15</f>
        <v>0</v>
      </c>
      <c r="Q413">
        <f>O413*Assumptions!$B$17</f>
        <v>0</v>
      </c>
      <c r="R413">
        <f>HLOOKUP(B413,Assumptions!$A$26:$D$27,2,TRUE)</f>
        <v>0</v>
      </c>
      <c r="S413">
        <f t="shared" si="95"/>
        <v>0</v>
      </c>
      <c r="T413">
        <f t="shared" si="91"/>
        <v>8.3333333333335702E-2</v>
      </c>
      <c r="U413">
        <f>IF(B413&gt;$K$2,0,IF(T414=0,0,(1-T414)*Assumptions!$B$11/$E$2*(1-Assumptions!$B$30)))</f>
        <v>0</v>
      </c>
      <c r="V413">
        <f>(N413-O413)*(1-Assumptions!$B$30)-Q413+U412*M412</f>
        <v>0</v>
      </c>
      <c r="W413">
        <f>W412*(1+Assumptions!$B$36)^(1/12)</f>
        <v>1.3956162633713241</v>
      </c>
      <c r="X413" s="19">
        <f>IF(B413&gt;$K$2,0,W412*Assumptions!$B$32/12*M412+V413*Assumptions!$B$34/12)</f>
        <v>0</v>
      </c>
      <c r="Y413" s="20">
        <f>1/(1+HLOOKUP(YEAR(A413),Assumptions!$A$41:$AL$43,3,TRUE))^(1/12)</f>
        <v>0.99761125679893925</v>
      </c>
      <c r="Z413">
        <f t="shared" si="92"/>
        <v>0</v>
      </c>
      <c r="AA413">
        <f t="shared" si="96"/>
        <v>0</v>
      </c>
    </row>
    <row r="414" spans="1:27" x14ac:dyDescent="0.2">
      <c r="A414" s="2">
        <f t="shared" si="97"/>
        <v>55365</v>
      </c>
      <c r="B414">
        <f t="shared" si="93"/>
        <v>495</v>
      </c>
      <c r="C414">
        <f t="shared" si="85"/>
        <v>41.166666666666664</v>
      </c>
      <c r="D414">
        <f t="shared" si="86"/>
        <v>0</v>
      </c>
      <c r="E414">
        <f t="shared" si="87"/>
        <v>96</v>
      </c>
      <c r="F414">
        <f>IF(C414&gt;=$J$2,0,VLOOKUP($E414,'Mortality Table'!$A$3:$C$128,2+G$2,FALSE))</f>
        <v>0</v>
      </c>
      <c r="G414">
        <f>F414*Assumptions!$B$1</f>
        <v>0</v>
      </c>
      <c r="H414">
        <f t="shared" si="88"/>
        <v>0</v>
      </c>
      <c r="I414">
        <f>HLOOKUP(C414,Assumptions!$A$6:$J$7,2,TRUE)</f>
        <v>2.6499999999999999E-2</v>
      </c>
      <c r="J414" s="22">
        <f t="shared" si="84"/>
        <v>0</v>
      </c>
      <c r="K414" s="22">
        <f t="shared" si="89"/>
        <v>0</v>
      </c>
      <c r="L414">
        <f t="shared" si="94"/>
        <v>0</v>
      </c>
      <c r="M414" s="22">
        <f t="shared" si="90"/>
        <v>0</v>
      </c>
      <c r="N414">
        <f>M413*Assumptions!$B$11/$E$2*J414</f>
        <v>0</v>
      </c>
      <c r="O414">
        <f>M413*Assumptions!$B$13/$E$2*J414</f>
        <v>0</v>
      </c>
      <c r="P414">
        <f>H414*Assumptions!$B$15</f>
        <v>0</v>
      </c>
      <c r="Q414">
        <f>O414*Assumptions!$B$17</f>
        <v>0</v>
      </c>
      <c r="R414">
        <f>HLOOKUP(B414,Assumptions!$A$26:$D$27,2,TRUE)</f>
        <v>0</v>
      </c>
      <c r="S414">
        <f t="shared" si="95"/>
        <v>0</v>
      </c>
      <c r="T414">
        <f t="shared" si="91"/>
        <v>0.1666666666666643</v>
      </c>
      <c r="U414">
        <f>IF(B414&gt;$K$2,0,IF(T415=0,0,(1-T415)*Assumptions!$B$11/$E$2*(1-Assumptions!$B$30)))</f>
        <v>0</v>
      </c>
      <c r="V414">
        <f>(N414-O414)*(1-Assumptions!$B$30)-Q414+U413*M413</f>
        <v>0</v>
      </c>
      <c r="W414">
        <f>W413*(1+Assumptions!$B$36)^(1/12)</f>
        <v>1.3967739802547918</v>
      </c>
      <c r="X414" s="19">
        <f>IF(B414&gt;$K$2,0,W413*Assumptions!$B$32/12*M413+V414*Assumptions!$B$34/12)</f>
        <v>0</v>
      </c>
      <c r="Y414" s="20">
        <f>1/(1+HLOOKUP(YEAR(A414),Assumptions!$A$41:$AL$43,3,TRUE))^(1/12)</f>
        <v>0.99761125679893925</v>
      </c>
      <c r="Z414">
        <f t="shared" si="92"/>
        <v>0</v>
      </c>
      <c r="AA414">
        <f t="shared" si="96"/>
        <v>0</v>
      </c>
    </row>
    <row r="415" spans="1:27" x14ac:dyDescent="0.2">
      <c r="A415" s="2">
        <f t="shared" si="97"/>
        <v>55396</v>
      </c>
      <c r="B415">
        <f t="shared" si="93"/>
        <v>496</v>
      </c>
      <c r="C415">
        <f t="shared" si="85"/>
        <v>41.25</v>
      </c>
      <c r="D415">
        <f t="shared" si="86"/>
        <v>0</v>
      </c>
      <c r="E415">
        <f t="shared" si="87"/>
        <v>96</v>
      </c>
      <c r="F415">
        <f>IF(C415&gt;=$J$2,0,VLOOKUP($E415,'Mortality Table'!$A$3:$C$128,2+G$2,FALSE))</f>
        <v>0</v>
      </c>
      <c r="G415">
        <f>F415*Assumptions!$B$1</f>
        <v>0</v>
      </c>
      <c r="H415">
        <f t="shared" si="88"/>
        <v>0</v>
      </c>
      <c r="I415">
        <f>HLOOKUP(C415,Assumptions!$A$6:$J$7,2,TRUE)</f>
        <v>2.6499999999999999E-2</v>
      </c>
      <c r="J415" s="22">
        <f t="shared" si="84"/>
        <v>0</v>
      </c>
      <c r="K415" s="22">
        <f t="shared" si="89"/>
        <v>0</v>
      </c>
      <c r="L415">
        <f t="shared" si="94"/>
        <v>0</v>
      </c>
      <c r="M415" s="22">
        <f t="shared" si="90"/>
        <v>0</v>
      </c>
      <c r="N415">
        <f>M414*Assumptions!$B$11/$E$2*J415</f>
        <v>0</v>
      </c>
      <c r="O415">
        <f>M414*Assumptions!$B$13/$E$2*J415</f>
        <v>0</v>
      </c>
      <c r="P415">
        <f>H415*Assumptions!$B$15</f>
        <v>0</v>
      </c>
      <c r="Q415">
        <f>O415*Assumptions!$B$17</f>
        <v>0</v>
      </c>
      <c r="R415">
        <f>HLOOKUP(B415,Assumptions!$A$26:$D$27,2,TRUE)</f>
        <v>0</v>
      </c>
      <c r="S415">
        <f t="shared" si="95"/>
        <v>0</v>
      </c>
      <c r="T415">
        <f t="shared" si="91"/>
        <v>0.25</v>
      </c>
      <c r="U415">
        <f>IF(B415&gt;$K$2,0,IF(T416=0,0,(1-T416)*Assumptions!$B$11/$E$2*(1-Assumptions!$B$30)))</f>
        <v>0</v>
      </c>
      <c r="V415">
        <f>(N415-O415)*(1-Assumptions!$B$30)-Q415+U414*M414</f>
        <v>0</v>
      </c>
      <c r="W415">
        <f>W414*(1+Assumptions!$B$36)^(1/12)</f>
        <v>1.3979326575085402</v>
      </c>
      <c r="X415" s="19">
        <f>IF(B415&gt;$K$2,0,W414*Assumptions!$B$32/12*M414+V415*Assumptions!$B$34/12)</f>
        <v>0</v>
      </c>
      <c r="Y415" s="20">
        <f>1/(1+HLOOKUP(YEAR(A415),Assumptions!$A$41:$AL$43,3,TRUE))^(1/12)</f>
        <v>0.99761125679893925</v>
      </c>
      <c r="Z415">
        <f t="shared" si="92"/>
        <v>0</v>
      </c>
      <c r="AA415">
        <f t="shared" si="96"/>
        <v>0</v>
      </c>
    </row>
    <row r="416" spans="1:27" x14ac:dyDescent="0.2">
      <c r="A416" s="2">
        <f t="shared" si="97"/>
        <v>55426</v>
      </c>
      <c r="B416">
        <f t="shared" si="93"/>
        <v>497</v>
      </c>
      <c r="C416">
        <f t="shared" si="85"/>
        <v>41.333333333333336</v>
      </c>
      <c r="D416">
        <f t="shared" si="86"/>
        <v>0</v>
      </c>
      <c r="E416">
        <f t="shared" si="87"/>
        <v>96</v>
      </c>
      <c r="F416">
        <f>IF(C416&gt;=$J$2,0,VLOOKUP($E416,'Mortality Table'!$A$3:$C$128,2+G$2,FALSE))</f>
        <v>0</v>
      </c>
      <c r="G416">
        <f>F416*Assumptions!$B$1</f>
        <v>0</v>
      </c>
      <c r="H416">
        <f t="shared" si="88"/>
        <v>0</v>
      </c>
      <c r="I416">
        <f>HLOOKUP(C416,Assumptions!$A$6:$J$7,2,TRUE)</f>
        <v>2.6499999999999999E-2</v>
      </c>
      <c r="J416" s="22">
        <f t="shared" si="84"/>
        <v>0</v>
      </c>
      <c r="K416" s="22">
        <f t="shared" si="89"/>
        <v>0</v>
      </c>
      <c r="L416">
        <f t="shared" si="94"/>
        <v>0</v>
      </c>
      <c r="M416" s="22">
        <f t="shared" si="90"/>
        <v>0</v>
      </c>
      <c r="N416">
        <f>M415*Assumptions!$B$11/$E$2*J416</f>
        <v>0</v>
      </c>
      <c r="O416">
        <f>M415*Assumptions!$B$13/$E$2*J416</f>
        <v>0</v>
      </c>
      <c r="P416">
        <f>H416*Assumptions!$B$15</f>
        <v>0</v>
      </c>
      <c r="Q416">
        <f>O416*Assumptions!$B$17</f>
        <v>0</v>
      </c>
      <c r="R416">
        <f>HLOOKUP(B416,Assumptions!$A$26:$D$27,2,TRUE)</f>
        <v>0</v>
      </c>
      <c r="S416">
        <f t="shared" si="95"/>
        <v>0</v>
      </c>
      <c r="T416">
        <f t="shared" si="91"/>
        <v>0.3333333333333357</v>
      </c>
      <c r="U416">
        <f>IF(B416&gt;$K$2,0,IF(T417=0,0,(1-T417)*Assumptions!$B$11/$E$2*(1-Assumptions!$B$30)))</f>
        <v>0</v>
      </c>
      <c r="V416">
        <f>(N416-O416)*(1-Assumptions!$B$30)-Q416+U415*M415</f>
        <v>0</v>
      </c>
      <c r="W416">
        <f>W415*(1+Assumptions!$B$36)^(1/12)</f>
        <v>1.3990922959292327</v>
      </c>
      <c r="X416" s="19">
        <f>IF(B416&gt;$K$2,0,W415*Assumptions!$B$32/12*M415+V416*Assumptions!$B$34/12)</f>
        <v>0</v>
      </c>
      <c r="Y416" s="20">
        <f>1/(1+HLOOKUP(YEAR(A416),Assumptions!$A$41:$AL$43,3,TRUE))^(1/12)</f>
        <v>0.99761125679893925</v>
      </c>
      <c r="Z416">
        <f t="shared" si="92"/>
        <v>0</v>
      </c>
      <c r="AA416">
        <f t="shared" si="96"/>
        <v>0</v>
      </c>
    </row>
    <row r="417" spans="1:28" x14ac:dyDescent="0.2">
      <c r="A417" s="2">
        <f t="shared" si="97"/>
        <v>55457</v>
      </c>
      <c r="B417">
        <f t="shared" si="93"/>
        <v>498</v>
      </c>
      <c r="C417">
        <f t="shared" si="85"/>
        <v>41.416666666666664</v>
      </c>
      <c r="D417">
        <f t="shared" si="86"/>
        <v>0</v>
      </c>
      <c r="E417">
        <f t="shared" si="87"/>
        <v>96</v>
      </c>
      <c r="F417">
        <f>IF(C417&gt;=$J$2,0,VLOOKUP($E417,'Mortality Table'!$A$3:$C$128,2+G$2,FALSE))</f>
        <v>0</v>
      </c>
      <c r="G417">
        <f>F417*Assumptions!$B$1</f>
        <v>0</v>
      </c>
      <c r="H417">
        <f t="shared" si="88"/>
        <v>0</v>
      </c>
      <c r="I417">
        <f>HLOOKUP(C417,Assumptions!$A$6:$J$7,2,TRUE)</f>
        <v>2.6499999999999999E-2</v>
      </c>
      <c r="J417" s="22">
        <f t="shared" si="84"/>
        <v>0</v>
      </c>
      <c r="K417" s="22">
        <f t="shared" si="89"/>
        <v>0</v>
      </c>
      <c r="L417">
        <f t="shared" si="94"/>
        <v>0</v>
      </c>
      <c r="M417" s="22">
        <f t="shared" si="90"/>
        <v>0</v>
      </c>
      <c r="N417">
        <f>M416*Assumptions!$B$11/$E$2*J417</f>
        <v>0</v>
      </c>
      <c r="O417">
        <f>M416*Assumptions!$B$13/$E$2*J417</f>
        <v>0</v>
      </c>
      <c r="P417">
        <f>H417*Assumptions!$B$15</f>
        <v>0</v>
      </c>
      <c r="Q417">
        <f>O417*Assumptions!$B$17</f>
        <v>0</v>
      </c>
      <c r="R417">
        <f>HLOOKUP(B417,Assumptions!$A$26:$D$27,2,TRUE)</f>
        <v>0</v>
      </c>
      <c r="S417">
        <f t="shared" si="95"/>
        <v>0</v>
      </c>
      <c r="T417">
        <f t="shared" si="91"/>
        <v>0.4166666666666643</v>
      </c>
      <c r="U417">
        <f>IF(B417&gt;$K$2,0,IF(T418=0,0,(1-T418)*Assumptions!$B$11/$E$2*(1-Assumptions!$B$30)))</f>
        <v>0</v>
      </c>
      <c r="V417">
        <f>(N417-O417)*(1-Assumptions!$B$30)-Q417+U416*M416</f>
        <v>0</v>
      </c>
      <c r="W417">
        <f>W416*(1+Assumptions!$B$36)^(1/12)</f>
        <v>1.400252896314194</v>
      </c>
      <c r="X417" s="19">
        <f>IF(B417&gt;$K$2,0,W416*Assumptions!$B$32/12*M416+V417*Assumptions!$B$34/12)</f>
        <v>0</v>
      </c>
      <c r="Y417" s="20">
        <f>1/(1+HLOOKUP(YEAR(A417),Assumptions!$A$41:$AL$43,3,TRUE))^(1/12)</f>
        <v>0.99761125679893925</v>
      </c>
      <c r="Z417">
        <f t="shared" si="92"/>
        <v>0</v>
      </c>
      <c r="AA417">
        <f t="shared" si="96"/>
        <v>0</v>
      </c>
    </row>
    <row r="418" spans="1:28" x14ac:dyDescent="0.2">
      <c r="A418" s="2">
        <f t="shared" si="97"/>
        <v>55487</v>
      </c>
      <c r="B418">
        <f t="shared" si="93"/>
        <v>499</v>
      </c>
      <c r="C418">
        <f t="shared" si="85"/>
        <v>41.5</v>
      </c>
      <c r="D418">
        <f t="shared" si="86"/>
        <v>0</v>
      </c>
      <c r="E418">
        <f t="shared" si="87"/>
        <v>96</v>
      </c>
      <c r="F418">
        <f>IF(C418&gt;=$J$2,0,VLOOKUP($E418,'Mortality Table'!$A$3:$C$128,2+G$2,FALSE))</f>
        <v>0</v>
      </c>
      <c r="G418">
        <f>F418*Assumptions!$B$1</f>
        <v>0</v>
      </c>
      <c r="H418">
        <f t="shared" si="88"/>
        <v>0</v>
      </c>
      <c r="I418">
        <f>HLOOKUP(C418,Assumptions!$A$6:$J$7,2,TRUE)</f>
        <v>2.6499999999999999E-2</v>
      </c>
      <c r="J418" s="22">
        <f t="shared" si="84"/>
        <v>0</v>
      </c>
      <c r="K418" s="22">
        <f t="shared" si="89"/>
        <v>0</v>
      </c>
      <c r="L418">
        <f t="shared" si="94"/>
        <v>0</v>
      </c>
      <c r="M418" s="22">
        <f t="shared" si="90"/>
        <v>0</v>
      </c>
      <c r="N418">
        <f>M417*Assumptions!$B$11/$E$2*J418</f>
        <v>0</v>
      </c>
      <c r="O418">
        <f>M417*Assumptions!$B$13/$E$2*J418</f>
        <v>0</v>
      </c>
      <c r="P418">
        <f>H418*Assumptions!$B$15</f>
        <v>0</v>
      </c>
      <c r="Q418">
        <f>O418*Assumptions!$B$17</f>
        <v>0</v>
      </c>
      <c r="R418">
        <f>HLOOKUP(B418,Assumptions!$A$26:$D$27,2,TRUE)</f>
        <v>0</v>
      </c>
      <c r="S418">
        <f t="shared" si="95"/>
        <v>0</v>
      </c>
      <c r="T418">
        <f t="shared" si="91"/>
        <v>0.5</v>
      </c>
      <c r="U418">
        <f>IF(B418&gt;$K$2,0,IF(T419=0,0,(1-T419)*Assumptions!$B$11/$E$2*(1-Assumptions!$B$30)))</f>
        <v>0</v>
      </c>
      <c r="V418">
        <f>(N418-O418)*(1-Assumptions!$B$30)-Q418+U417*M417</f>
        <v>0</v>
      </c>
      <c r="W418">
        <f>W417*(1+Assumptions!$B$36)^(1/12)</f>
        <v>1.4014144594614102</v>
      </c>
      <c r="X418" s="19">
        <f>IF(B418&gt;$K$2,0,W417*Assumptions!$B$32/12*M417+V418*Assumptions!$B$34/12)</f>
        <v>0</v>
      </c>
      <c r="Y418" s="20">
        <f>1/(1+HLOOKUP(YEAR(A418),Assumptions!$A$41:$AL$43,3,TRUE))^(1/12)</f>
        <v>0.99761125679893925</v>
      </c>
      <c r="Z418">
        <f t="shared" si="92"/>
        <v>0</v>
      </c>
      <c r="AA418">
        <f t="shared" si="96"/>
        <v>0</v>
      </c>
    </row>
    <row r="419" spans="1:28" s="22" customFormat="1" x14ac:dyDescent="0.2">
      <c r="A419" s="21">
        <f t="shared" si="97"/>
        <v>55518</v>
      </c>
      <c r="B419" s="22">
        <f t="shared" si="93"/>
        <v>500</v>
      </c>
      <c r="C419" s="22">
        <f t="shared" si="85"/>
        <v>41.583333333333336</v>
      </c>
      <c r="D419" s="22">
        <f t="shared" si="86"/>
        <v>0</v>
      </c>
      <c r="E419" s="22">
        <f t="shared" si="87"/>
        <v>96</v>
      </c>
      <c r="F419" s="22">
        <f>IF(C419&gt;=$J$2,0,VLOOKUP($E419,'Mortality Table'!$A$3:$C$128,2+G$2,FALSE))</f>
        <v>0</v>
      </c>
      <c r="G419">
        <f>F419*Assumptions!$B$1</f>
        <v>0</v>
      </c>
      <c r="H419">
        <f t="shared" si="88"/>
        <v>0</v>
      </c>
      <c r="I419" s="22">
        <f>HLOOKUP(C419,Assumptions!$A$6:$J$7,2,TRUE)</f>
        <v>2.6499999999999999E-2</v>
      </c>
      <c r="J419" s="22">
        <f t="shared" si="84"/>
        <v>0</v>
      </c>
      <c r="K419" s="22">
        <f t="shared" si="89"/>
        <v>0</v>
      </c>
      <c r="L419" s="22">
        <f t="shared" si="94"/>
        <v>0</v>
      </c>
      <c r="M419" s="22">
        <f t="shared" si="90"/>
        <v>0</v>
      </c>
      <c r="N419" s="22">
        <f>M418*Assumptions!$B$11/$E$2*J419</f>
        <v>0</v>
      </c>
      <c r="O419" s="22">
        <f>M418*Assumptions!$B$13/$E$2*J419</f>
        <v>0</v>
      </c>
      <c r="P419" s="22">
        <f>H419*Assumptions!$B$15</f>
        <v>0</v>
      </c>
      <c r="Q419" s="22">
        <f>O419*Assumptions!$B$17</f>
        <v>0</v>
      </c>
      <c r="R419" s="22">
        <f>HLOOKUP(B419,Assumptions!$A$26:$D$27,2,TRUE)</f>
        <v>0</v>
      </c>
      <c r="S419">
        <f t="shared" si="95"/>
        <v>0</v>
      </c>
      <c r="T419">
        <f t="shared" si="91"/>
        <v>0.5833333333333357</v>
      </c>
      <c r="U419">
        <f>IF(B419&gt;$K$2,0,IF(T420=0,0,(1-T420)*Assumptions!$B$11/$E$2*(1-Assumptions!$B$30)))</f>
        <v>0</v>
      </c>
      <c r="V419" s="22">
        <f>(N419-O419)*(1-Assumptions!$B$30)-Q419+U418*M418</f>
        <v>0</v>
      </c>
      <c r="W419" s="22">
        <f>W418*(1+Assumptions!$B$36)^(1/12)</f>
        <v>1.4025769861695292</v>
      </c>
      <c r="X419" s="19">
        <f>IF(B419&gt;$K$2,0,W418*Assumptions!$B$32/12*M418+V419*Assumptions!$B$34/12)</f>
        <v>0</v>
      </c>
      <c r="Y419" s="20">
        <f>1/(1+HLOOKUP(YEAR(A419),Assumptions!$A$41:$AL$43,3,TRUE))^(1/12)</f>
        <v>0.99761125679893925</v>
      </c>
      <c r="Z419" s="22">
        <f t="shared" si="92"/>
        <v>0</v>
      </c>
      <c r="AA419">
        <f t="shared" si="96"/>
        <v>0</v>
      </c>
      <c r="AB419"/>
    </row>
    <row r="420" spans="1:28" x14ac:dyDescent="0.2">
      <c r="A420" s="2">
        <f t="shared" si="97"/>
        <v>55549</v>
      </c>
      <c r="B420">
        <f t="shared" si="93"/>
        <v>501</v>
      </c>
      <c r="C420" s="22">
        <f t="shared" ref="C420:C483" si="98">(B420+11)/12-1</f>
        <v>41.666666666666664</v>
      </c>
      <c r="D420" s="22">
        <f t="shared" ref="D420:D483" si="99">IF(C420-INT(C420)=0,1,0)</f>
        <v>0</v>
      </c>
      <c r="E420" s="22">
        <f t="shared" si="87"/>
        <v>96</v>
      </c>
      <c r="F420" s="22">
        <f>IF(C420&gt;=$J$2,0,VLOOKUP($E420,'Mortality Table'!$A$3:$C$128,2+G$2,FALSE))</f>
        <v>0</v>
      </c>
      <c r="G420">
        <f>F420*Assumptions!$B$1</f>
        <v>0</v>
      </c>
      <c r="H420">
        <f t="shared" si="88"/>
        <v>0</v>
      </c>
      <c r="I420" s="22">
        <f>HLOOKUP(C420,Assumptions!$A$6:$J$7,2,TRUE)</f>
        <v>2.6499999999999999E-2</v>
      </c>
      <c r="J420" s="22">
        <f t="shared" si="84"/>
        <v>0</v>
      </c>
      <c r="K420" s="22">
        <f t="shared" si="89"/>
        <v>0</v>
      </c>
      <c r="L420" s="22">
        <f t="shared" ref="L420:L483" si="100">(1-(1-I420)^K420)*(M419-H420)</f>
        <v>0</v>
      </c>
      <c r="M420" s="22">
        <f t="shared" si="90"/>
        <v>0</v>
      </c>
      <c r="N420" s="22">
        <f>M419*Assumptions!$B$11/$E$2*J420</f>
        <v>0</v>
      </c>
      <c r="O420" s="22">
        <f>M419*Assumptions!$B$13/$E$2*J420</f>
        <v>0</v>
      </c>
      <c r="P420" s="22">
        <f>H420*Assumptions!$B$15</f>
        <v>0</v>
      </c>
      <c r="Q420" s="22">
        <f>O420*Assumptions!$B$17</f>
        <v>0</v>
      </c>
      <c r="R420" s="22">
        <f>HLOOKUP(B420,Assumptions!$A$26:$D$27,2,TRUE)</f>
        <v>0</v>
      </c>
      <c r="S420">
        <f t="shared" si="95"/>
        <v>0</v>
      </c>
      <c r="T420">
        <f t="shared" si="91"/>
        <v>0.6666666666666643</v>
      </c>
      <c r="U420">
        <f>IF(B420&gt;$K$2,0,IF(T421=0,0,(1-T421)*Assumptions!$B$11/$E$2*(1-Assumptions!$B$30)))</f>
        <v>0</v>
      </c>
      <c r="V420" s="22">
        <f>(N420-O420)*(1-Assumptions!$B$30)-Q420+U419*M419</f>
        <v>0</v>
      </c>
      <c r="W420" s="22">
        <f>W419*(1+Assumptions!$B$36)^(1/12)</f>
        <v>1.4037404772378617</v>
      </c>
      <c r="X420" s="19">
        <f>IF(B420&gt;$K$2,0,W419*Assumptions!$B$32/12*M419+V420*Assumptions!$B$34/12)</f>
        <v>0</v>
      </c>
      <c r="Y420" s="20">
        <f>1/(1+HLOOKUP(YEAR(A420),Assumptions!$A$41:$AL$43,3,TRUE))^(1/12)</f>
        <v>0.99759647506272275</v>
      </c>
      <c r="Z420" s="22">
        <f t="shared" ref="Z420:Z483" si="101">(Z421+P421+Q421+S421+X421-N421)*Y421</f>
        <v>0</v>
      </c>
      <c r="AA420">
        <f t="shared" si="96"/>
        <v>0</v>
      </c>
    </row>
    <row r="421" spans="1:28" x14ac:dyDescent="0.2">
      <c r="A421" s="2">
        <f t="shared" si="97"/>
        <v>55578</v>
      </c>
      <c r="B421">
        <f t="shared" si="93"/>
        <v>502</v>
      </c>
      <c r="C421" s="22">
        <f t="shared" si="98"/>
        <v>41.75</v>
      </c>
      <c r="D421" s="22">
        <f t="shared" si="99"/>
        <v>0</v>
      </c>
      <c r="E421" s="22">
        <f t="shared" si="87"/>
        <v>96</v>
      </c>
      <c r="F421" s="22">
        <f>IF(C421&gt;=$J$2,0,VLOOKUP($E421,'Mortality Table'!$A$3:$C$128,2+G$2,FALSE))</f>
        <v>0</v>
      </c>
      <c r="G421">
        <f>F421*Assumptions!$B$1</f>
        <v>0</v>
      </c>
      <c r="H421">
        <f t="shared" si="88"/>
        <v>0</v>
      </c>
      <c r="I421" s="22">
        <f>HLOOKUP(C421,Assumptions!$A$6:$J$7,2,TRUE)</f>
        <v>2.6499999999999999E-2</v>
      </c>
      <c r="J421" s="22">
        <f t="shared" si="84"/>
        <v>0</v>
      </c>
      <c r="K421" s="22">
        <f t="shared" si="89"/>
        <v>0</v>
      </c>
      <c r="L421" s="22">
        <f t="shared" si="100"/>
        <v>0</v>
      </c>
      <c r="M421" s="22">
        <f t="shared" si="90"/>
        <v>0</v>
      </c>
      <c r="N421" s="22">
        <f>M420*Assumptions!$B$11/$E$2*J421</f>
        <v>0</v>
      </c>
      <c r="O421" s="22">
        <f>M420*Assumptions!$B$13/$E$2*J421</f>
        <v>0</v>
      </c>
      <c r="P421" s="22">
        <f>H421*Assumptions!$B$15</f>
        <v>0</v>
      </c>
      <c r="Q421" s="22">
        <f>O421*Assumptions!$B$17</f>
        <v>0</v>
      </c>
      <c r="R421" s="22">
        <f>HLOOKUP(B421,Assumptions!$A$26:$D$27,2,TRUE)</f>
        <v>0</v>
      </c>
      <c r="S421">
        <f t="shared" si="95"/>
        <v>0</v>
      </c>
      <c r="T421">
        <f t="shared" si="91"/>
        <v>0.75</v>
      </c>
      <c r="U421">
        <f>IF(B421&gt;$K$2,0,IF(T422=0,0,(1-T422)*Assumptions!$B$11/$E$2*(1-Assumptions!$B$30)))</f>
        <v>0</v>
      </c>
      <c r="V421" s="22">
        <f>(N421-O421)*(1-Assumptions!$B$30)-Q421+U420*M420</f>
        <v>0</v>
      </c>
      <c r="W421" s="22">
        <f>W420*(1+Assumptions!$B$36)^(1/12)</f>
        <v>1.404904933466381</v>
      </c>
      <c r="X421" s="19">
        <f>IF(B421&gt;$K$2,0,W420*Assumptions!$B$32/12*M420+V421*Assumptions!$B$34/12)</f>
        <v>0</v>
      </c>
      <c r="Y421" s="20">
        <f>1/(1+HLOOKUP(YEAR(A421),Assumptions!$A$41:$AL$43,3,TRUE))^(1/12)</f>
        <v>0.99759647506272275</v>
      </c>
      <c r="Z421" s="22">
        <f t="shared" si="101"/>
        <v>0</v>
      </c>
      <c r="AA421">
        <f t="shared" si="96"/>
        <v>0</v>
      </c>
    </row>
    <row r="422" spans="1:28" x14ac:dyDescent="0.2">
      <c r="A422" s="2">
        <f t="shared" si="97"/>
        <v>55609</v>
      </c>
      <c r="B422">
        <f t="shared" si="93"/>
        <v>503</v>
      </c>
      <c r="C422" s="22">
        <f t="shared" si="98"/>
        <v>41.833333333333336</v>
      </c>
      <c r="D422" s="22">
        <f t="shared" si="99"/>
        <v>0</v>
      </c>
      <c r="E422" s="22">
        <f t="shared" si="87"/>
        <v>96</v>
      </c>
      <c r="F422" s="22">
        <f>IF(C422&gt;=$J$2,0,VLOOKUP($E422,'Mortality Table'!$A$3:$C$128,2+G$2,FALSE))</f>
        <v>0</v>
      </c>
      <c r="G422">
        <f>F422*Assumptions!$B$1</f>
        <v>0</v>
      </c>
      <c r="H422">
        <f t="shared" si="88"/>
        <v>0</v>
      </c>
      <c r="I422" s="22">
        <f>HLOOKUP(C422,Assumptions!$A$6:$J$7,2,TRUE)</f>
        <v>2.6499999999999999E-2</v>
      </c>
      <c r="J422" s="22">
        <f t="shared" si="84"/>
        <v>0</v>
      </c>
      <c r="K422" s="22">
        <f t="shared" si="89"/>
        <v>0</v>
      </c>
      <c r="L422" s="22">
        <f t="shared" si="100"/>
        <v>0</v>
      </c>
      <c r="M422" s="22">
        <f t="shared" si="90"/>
        <v>0</v>
      </c>
      <c r="N422" s="22">
        <f>M421*Assumptions!$B$11/$E$2*J422</f>
        <v>0</v>
      </c>
      <c r="O422" s="22">
        <f>M421*Assumptions!$B$13/$E$2*J422</f>
        <v>0</v>
      </c>
      <c r="P422" s="22">
        <f>H422*Assumptions!$B$15</f>
        <v>0</v>
      </c>
      <c r="Q422" s="22">
        <f>O422*Assumptions!$B$17</f>
        <v>0</v>
      </c>
      <c r="R422" s="22">
        <f>HLOOKUP(B422,Assumptions!$A$26:$D$27,2,TRUE)</f>
        <v>0</v>
      </c>
      <c r="S422">
        <f t="shared" si="95"/>
        <v>0</v>
      </c>
      <c r="T422">
        <f t="shared" si="91"/>
        <v>0.8333333333333357</v>
      </c>
      <c r="U422">
        <f>IF(B422&gt;$K$2,0,IF(T423=0,0,(1-T423)*Assumptions!$B$11/$E$2*(1-Assumptions!$B$30)))</f>
        <v>0</v>
      </c>
      <c r="V422" s="22">
        <f>(N422-O422)*(1-Assumptions!$B$30)-Q422+U421*M421</f>
        <v>0</v>
      </c>
      <c r="W422" s="22">
        <f>W421*(1+Assumptions!$B$36)^(1/12)</f>
        <v>1.4060703556557244</v>
      </c>
      <c r="X422" s="19">
        <f>IF(B422&gt;$K$2,0,W421*Assumptions!$B$32/12*M421+V422*Assumptions!$B$34/12)</f>
        <v>0</v>
      </c>
      <c r="Y422" s="20">
        <f>1/(1+HLOOKUP(YEAR(A422),Assumptions!$A$41:$AL$43,3,TRUE))^(1/12)</f>
        <v>0.99759647506272275</v>
      </c>
      <c r="Z422" s="22">
        <f t="shared" si="101"/>
        <v>0</v>
      </c>
      <c r="AA422">
        <f t="shared" si="96"/>
        <v>0</v>
      </c>
    </row>
    <row r="423" spans="1:28" x14ac:dyDescent="0.2">
      <c r="A423" s="2">
        <f t="shared" si="97"/>
        <v>55639</v>
      </c>
      <c r="B423">
        <f t="shared" si="93"/>
        <v>504</v>
      </c>
      <c r="C423" s="22">
        <f t="shared" si="98"/>
        <v>41.916666666666664</v>
      </c>
      <c r="D423" s="22">
        <f t="shared" si="99"/>
        <v>0</v>
      </c>
      <c r="E423" s="22">
        <f t="shared" si="87"/>
        <v>96</v>
      </c>
      <c r="F423" s="22">
        <f>IF(C423&gt;=$J$2,0,VLOOKUP($E423,'Mortality Table'!$A$3:$C$128,2+G$2,FALSE))</f>
        <v>0</v>
      </c>
      <c r="G423">
        <f>F423*Assumptions!$B$1</f>
        <v>0</v>
      </c>
      <c r="H423">
        <f t="shared" si="88"/>
        <v>0</v>
      </c>
      <c r="I423" s="22">
        <f>HLOOKUP(C423,Assumptions!$A$6:$J$7,2,TRUE)</f>
        <v>2.6499999999999999E-2</v>
      </c>
      <c r="J423" s="22">
        <f t="shared" si="84"/>
        <v>0</v>
      </c>
      <c r="K423" s="22">
        <f t="shared" si="89"/>
        <v>0</v>
      </c>
      <c r="L423" s="22">
        <f t="shared" si="100"/>
        <v>0</v>
      </c>
      <c r="M423" s="22">
        <f t="shared" si="90"/>
        <v>0</v>
      </c>
      <c r="N423" s="22">
        <f>M422*Assumptions!$B$11/$E$2*J423</f>
        <v>0</v>
      </c>
      <c r="O423" s="22">
        <f>M422*Assumptions!$B$13/$E$2*J423</f>
        <v>0</v>
      </c>
      <c r="P423" s="22">
        <f>H423*Assumptions!$B$15</f>
        <v>0</v>
      </c>
      <c r="Q423" s="22">
        <f>O423*Assumptions!$B$17</f>
        <v>0</v>
      </c>
      <c r="R423" s="22">
        <f>HLOOKUP(B423,Assumptions!$A$26:$D$27,2,TRUE)</f>
        <v>0</v>
      </c>
      <c r="S423">
        <f t="shared" si="95"/>
        <v>0</v>
      </c>
      <c r="T423">
        <f t="shared" si="91"/>
        <v>0.9166666666666643</v>
      </c>
      <c r="U423">
        <f>IF(B423&gt;$K$2,0,IF(T424=0,0,(1-T424)*Assumptions!$B$11/$E$2*(1-Assumptions!$B$30)))</f>
        <v>0</v>
      </c>
      <c r="V423" s="22">
        <f>(N423-O423)*(1-Assumptions!$B$30)-Q423+U422*M422</f>
        <v>0</v>
      </c>
      <c r="W423" s="22">
        <f>W422*(1+Assumptions!$B$36)^(1/12)</f>
        <v>1.4072367446071929</v>
      </c>
      <c r="X423" s="19">
        <f>IF(B423&gt;$K$2,0,W422*Assumptions!$B$32/12*M422+V423*Assumptions!$B$34/12)</f>
        <v>0</v>
      </c>
      <c r="Y423" s="20">
        <f>1/(1+HLOOKUP(YEAR(A423),Assumptions!$A$41:$AL$43,3,TRUE))^(1/12)</f>
        <v>0.99759647506272275</v>
      </c>
      <c r="Z423" s="22">
        <f t="shared" si="101"/>
        <v>0</v>
      </c>
      <c r="AA423">
        <f t="shared" si="96"/>
        <v>0</v>
      </c>
    </row>
    <row r="424" spans="1:28" x14ac:dyDescent="0.2">
      <c r="A424" s="2">
        <f t="shared" si="97"/>
        <v>55670</v>
      </c>
      <c r="B424">
        <f t="shared" si="93"/>
        <v>505</v>
      </c>
      <c r="C424" s="22">
        <f t="shared" si="98"/>
        <v>42</v>
      </c>
      <c r="D424" s="22">
        <f t="shared" si="99"/>
        <v>1</v>
      </c>
      <c r="E424" s="22">
        <f t="shared" si="87"/>
        <v>97</v>
      </c>
      <c r="F424" s="22">
        <f>IF(C424&gt;=$J$2,0,VLOOKUP($E424,'Mortality Table'!$A$3:$C$128,2+G$2,FALSE))</f>
        <v>0</v>
      </c>
      <c r="G424">
        <f>F424*Assumptions!$B$1</f>
        <v>0</v>
      </c>
      <c r="H424">
        <f t="shared" si="88"/>
        <v>0</v>
      </c>
      <c r="I424" s="22">
        <f>HLOOKUP(C424,Assumptions!$A$6:$J$7,2,TRUE)</f>
        <v>2.6499999999999999E-2</v>
      </c>
      <c r="J424" s="22">
        <f t="shared" si="84"/>
        <v>0</v>
      </c>
      <c r="K424" s="22">
        <f t="shared" si="89"/>
        <v>0</v>
      </c>
      <c r="L424" s="22">
        <f t="shared" si="100"/>
        <v>0</v>
      </c>
      <c r="M424" s="22">
        <f t="shared" si="90"/>
        <v>0</v>
      </c>
      <c r="N424" s="22">
        <f>M423*Assumptions!$B$11/$E$2*J424</f>
        <v>0</v>
      </c>
      <c r="O424" s="22">
        <f>M423*Assumptions!$B$13/$E$2*J424</f>
        <v>0</v>
      </c>
      <c r="P424" s="22">
        <f>H424*Assumptions!$B$15</f>
        <v>0</v>
      </c>
      <c r="Q424" s="22">
        <f>O424*Assumptions!$B$17</f>
        <v>0</v>
      </c>
      <c r="R424" s="22">
        <f>HLOOKUP(B424,Assumptions!$A$26:$D$27,2,TRUE)</f>
        <v>0</v>
      </c>
      <c r="S424">
        <f t="shared" si="95"/>
        <v>0</v>
      </c>
      <c r="T424">
        <f t="shared" si="91"/>
        <v>0</v>
      </c>
      <c r="U424">
        <f>IF(B424&gt;$K$2,0,IF(T425=0,0,(1-T425)*Assumptions!$B$11/$E$2*(1-Assumptions!$B$30)))</f>
        <v>0</v>
      </c>
      <c r="V424" s="22">
        <f>(N424-O424)*(1-Assumptions!$B$30)-Q424+U423*M423</f>
        <v>0</v>
      </c>
      <c r="W424" s="22">
        <f>W423*(1+Assumptions!$B$36)^(1/12)</f>
        <v>1.408404101122753</v>
      </c>
      <c r="X424" s="19">
        <f>IF(B424&gt;$K$2,0,W423*Assumptions!$B$32/12*M423+V424*Assumptions!$B$34/12)</f>
        <v>0</v>
      </c>
      <c r="Y424" s="20">
        <f>1/(1+HLOOKUP(YEAR(A424),Assumptions!$A$41:$AL$43,3,TRUE))^(1/12)</f>
        <v>0.99759647506272275</v>
      </c>
      <c r="Z424" s="22">
        <f t="shared" si="101"/>
        <v>0</v>
      </c>
      <c r="AA424">
        <f t="shared" si="96"/>
        <v>0</v>
      </c>
    </row>
    <row r="425" spans="1:28" x14ac:dyDescent="0.2">
      <c r="A425" s="2">
        <f t="shared" si="97"/>
        <v>55700</v>
      </c>
      <c r="B425">
        <f t="shared" si="93"/>
        <v>506</v>
      </c>
      <c r="C425" s="22">
        <f t="shared" si="98"/>
        <v>42.083333333333336</v>
      </c>
      <c r="D425" s="22">
        <f t="shared" si="99"/>
        <v>0</v>
      </c>
      <c r="E425" s="22">
        <f t="shared" si="87"/>
        <v>97</v>
      </c>
      <c r="F425" s="22">
        <f>IF(C425&gt;=$J$2,0,VLOOKUP($E425,'Mortality Table'!$A$3:$C$128,2+G$2,FALSE))</f>
        <v>0</v>
      </c>
      <c r="G425">
        <f>F425*Assumptions!$B$1</f>
        <v>0</v>
      </c>
      <c r="H425">
        <f t="shared" si="88"/>
        <v>0</v>
      </c>
      <c r="I425" s="22">
        <f>HLOOKUP(C425,Assumptions!$A$6:$J$7,2,TRUE)</f>
        <v>2.6499999999999999E-2</v>
      </c>
      <c r="J425" s="22">
        <f t="shared" si="84"/>
        <v>0</v>
      </c>
      <c r="K425" s="22">
        <f t="shared" si="89"/>
        <v>0</v>
      </c>
      <c r="L425" s="22">
        <f t="shared" si="100"/>
        <v>0</v>
      </c>
      <c r="M425" s="22">
        <f t="shared" si="90"/>
        <v>0</v>
      </c>
      <c r="N425" s="22">
        <f>M424*Assumptions!$B$11/$E$2*J425</f>
        <v>0</v>
      </c>
      <c r="O425" s="22">
        <f>M424*Assumptions!$B$13/$E$2*J425</f>
        <v>0</v>
      </c>
      <c r="P425" s="22">
        <f>H425*Assumptions!$B$15</f>
        <v>0</v>
      </c>
      <c r="Q425" s="22">
        <f>O425*Assumptions!$B$17</f>
        <v>0</v>
      </c>
      <c r="R425" s="22">
        <f>HLOOKUP(B425,Assumptions!$A$26:$D$27,2,TRUE)</f>
        <v>0</v>
      </c>
      <c r="S425">
        <f t="shared" si="95"/>
        <v>0</v>
      </c>
      <c r="T425">
        <f t="shared" si="91"/>
        <v>8.3333333333335702E-2</v>
      </c>
      <c r="U425">
        <f>IF(B425&gt;$K$2,0,IF(T426=0,0,(1-T426)*Assumptions!$B$11/$E$2*(1-Assumptions!$B$30)))</f>
        <v>0</v>
      </c>
      <c r="V425" s="22">
        <f>(N425-O425)*(1-Assumptions!$B$30)-Q425+U424*M424</f>
        <v>0</v>
      </c>
      <c r="W425" s="22">
        <f>W424*(1+Assumptions!$B$36)^(1/12)</f>
        <v>1.4095724260050357</v>
      </c>
      <c r="X425" s="19">
        <f>IF(B425&gt;$K$2,0,W424*Assumptions!$B$32/12*M424+V425*Assumptions!$B$34/12)</f>
        <v>0</v>
      </c>
      <c r="Y425" s="20">
        <f>1/(1+HLOOKUP(YEAR(A425),Assumptions!$A$41:$AL$43,3,TRUE))^(1/12)</f>
        <v>0.99759647506272275</v>
      </c>
      <c r="Z425" s="22">
        <f t="shared" si="101"/>
        <v>0</v>
      </c>
      <c r="AA425">
        <f t="shared" si="96"/>
        <v>0</v>
      </c>
    </row>
    <row r="426" spans="1:28" x14ac:dyDescent="0.2">
      <c r="A426" s="2">
        <f t="shared" si="97"/>
        <v>55731</v>
      </c>
      <c r="B426">
        <f t="shared" si="93"/>
        <v>507</v>
      </c>
      <c r="C426" s="22">
        <f t="shared" si="98"/>
        <v>42.166666666666664</v>
      </c>
      <c r="D426" s="22">
        <f t="shared" si="99"/>
        <v>0</v>
      </c>
      <c r="E426" s="22">
        <f t="shared" si="87"/>
        <v>97</v>
      </c>
      <c r="F426" s="22">
        <f>IF(C426&gt;=$J$2,0,VLOOKUP($E426,'Mortality Table'!$A$3:$C$128,2+G$2,FALSE))</f>
        <v>0</v>
      </c>
      <c r="G426">
        <f>F426*Assumptions!$B$1</f>
        <v>0</v>
      </c>
      <c r="H426">
        <f t="shared" si="88"/>
        <v>0</v>
      </c>
      <c r="I426" s="22">
        <f>HLOOKUP(C426,Assumptions!$A$6:$J$7,2,TRUE)</f>
        <v>2.6499999999999999E-2</v>
      </c>
      <c r="J426" s="22">
        <f t="shared" si="84"/>
        <v>0</v>
      </c>
      <c r="K426" s="22">
        <f t="shared" si="89"/>
        <v>0</v>
      </c>
      <c r="L426" s="22">
        <f t="shared" si="100"/>
        <v>0</v>
      </c>
      <c r="M426" s="22">
        <f t="shared" si="90"/>
        <v>0</v>
      </c>
      <c r="N426" s="22">
        <f>M425*Assumptions!$B$11/$E$2*J426</f>
        <v>0</v>
      </c>
      <c r="O426" s="22">
        <f>M425*Assumptions!$B$13/$E$2*J426</f>
        <v>0</v>
      </c>
      <c r="P426" s="22">
        <f>H426*Assumptions!$B$15</f>
        <v>0</v>
      </c>
      <c r="Q426" s="22">
        <f>O426*Assumptions!$B$17</f>
        <v>0</v>
      </c>
      <c r="R426" s="22">
        <f>HLOOKUP(B426,Assumptions!$A$26:$D$27,2,TRUE)</f>
        <v>0</v>
      </c>
      <c r="S426">
        <f t="shared" si="95"/>
        <v>0</v>
      </c>
      <c r="T426">
        <f t="shared" si="91"/>
        <v>0.1666666666666643</v>
      </c>
      <c r="U426">
        <f>IF(B426&gt;$K$2,0,IF(T427=0,0,(1-T427)*Assumptions!$B$11/$E$2*(1-Assumptions!$B$30)))</f>
        <v>0</v>
      </c>
      <c r="V426" s="22">
        <f>(N426-O426)*(1-Assumptions!$B$30)-Q426+U425*M425</f>
        <v>0</v>
      </c>
      <c r="W426" s="22">
        <f>W425*(1+Assumptions!$B$36)^(1/12)</f>
        <v>1.4107417200573382</v>
      </c>
      <c r="X426" s="19">
        <f>IF(B426&gt;$K$2,0,W425*Assumptions!$B$32/12*M425+V426*Assumptions!$B$34/12)</f>
        <v>0</v>
      </c>
      <c r="Y426" s="20">
        <f>1/(1+HLOOKUP(YEAR(A426),Assumptions!$A$41:$AL$43,3,TRUE))^(1/12)</f>
        <v>0.99759647506272275</v>
      </c>
      <c r="Z426" s="22">
        <f t="shared" si="101"/>
        <v>0</v>
      </c>
      <c r="AA426">
        <f t="shared" si="96"/>
        <v>0</v>
      </c>
    </row>
    <row r="427" spans="1:28" x14ac:dyDescent="0.2">
      <c r="A427" s="2">
        <f t="shared" si="97"/>
        <v>55762</v>
      </c>
      <c r="B427">
        <f t="shared" si="93"/>
        <v>508</v>
      </c>
      <c r="C427" s="22">
        <f t="shared" si="98"/>
        <v>42.25</v>
      </c>
      <c r="D427" s="22">
        <f t="shared" si="99"/>
        <v>0</v>
      </c>
      <c r="E427" s="22">
        <f t="shared" si="87"/>
        <v>97</v>
      </c>
      <c r="F427" s="22">
        <f>IF(C427&gt;=$J$2,0,VLOOKUP($E427,'Mortality Table'!$A$3:$C$128,2+G$2,FALSE))</f>
        <v>0</v>
      </c>
      <c r="G427">
        <f>F427*Assumptions!$B$1</f>
        <v>0</v>
      </c>
      <c r="H427">
        <f t="shared" si="88"/>
        <v>0</v>
      </c>
      <c r="I427" s="22">
        <f>HLOOKUP(C427,Assumptions!$A$6:$J$7,2,TRUE)</f>
        <v>2.6499999999999999E-2</v>
      </c>
      <c r="J427" s="22">
        <f t="shared" si="84"/>
        <v>0</v>
      </c>
      <c r="K427" s="22">
        <f t="shared" si="89"/>
        <v>0</v>
      </c>
      <c r="L427" s="22">
        <f t="shared" si="100"/>
        <v>0</v>
      </c>
      <c r="M427" s="22">
        <f t="shared" si="90"/>
        <v>0</v>
      </c>
      <c r="N427" s="22">
        <f>M426*Assumptions!$B$11/$E$2*J427</f>
        <v>0</v>
      </c>
      <c r="O427" s="22">
        <f>M426*Assumptions!$B$13/$E$2*J427</f>
        <v>0</v>
      </c>
      <c r="P427" s="22">
        <f>H427*Assumptions!$B$15</f>
        <v>0</v>
      </c>
      <c r="Q427" s="22">
        <f>O427*Assumptions!$B$17</f>
        <v>0</v>
      </c>
      <c r="R427" s="22">
        <f>HLOOKUP(B427,Assumptions!$A$26:$D$27,2,TRUE)</f>
        <v>0</v>
      </c>
      <c r="S427">
        <f t="shared" si="95"/>
        <v>0</v>
      </c>
      <c r="T427">
        <f t="shared" si="91"/>
        <v>0.25</v>
      </c>
      <c r="U427">
        <f>IF(B427&gt;$K$2,0,IF(T428=0,0,(1-T428)*Assumptions!$B$11/$E$2*(1-Assumptions!$B$30)))</f>
        <v>0</v>
      </c>
      <c r="V427" s="22">
        <f>(N427-O427)*(1-Assumptions!$B$30)-Q427+U426*M426</f>
        <v>0</v>
      </c>
      <c r="W427" s="22">
        <f>W426*(1+Assumptions!$B$36)^(1/12)</f>
        <v>1.4119119840836241</v>
      </c>
      <c r="X427" s="19">
        <f>IF(B427&gt;$K$2,0,W426*Assumptions!$B$32/12*M426+V427*Assumptions!$B$34/12)</f>
        <v>0</v>
      </c>
      <c r="Y427" s="20">
        <f>1/(1+HLOOKUP(YEAR(A427),Assumptions!$A$41:$AL$43,3,TRUE))^(1/12)</f>
        <v>0.99759647506272275</v>
      </c>
      <c r="Z427" s="22">
        <f t="shared" si="101"/>
        <v>0</v>
      </c>
      <c r="AA427">
        <f t="shared" si="96"/>
        <v>0</v>
      </c>
    </row>
    <row r="428" spans="1:28" x14ac:dyDescent="0.2">
      <c r="A428" s="2">
        <f t="shared" si="97"/>
        <v>55792</v>
      </c>
      <c r="B428">
        <f t="shared" si="93"/>
        <v>509</v>
      </c>
      <c r="C428" s="22">
        <f t="shared" si="98"/>
        <v>42.333333333333336</v>
      </c>
      <c r="D428" s="22">
        <f t="shared" si="99"/>
        <v>0</v>
      </c>
      <c r="E428" s="22">
        <f t="shared" si="87"/>
        <v>97</v>
      </c>
      <c r="F428" s="22">
        <f>IF(C428&gt;=$J$2,0,VLOOKUP($E428,'Mortality Table'!$A$3:$C$128,2+G$2,FALSE))</f>
        <v>0</v>
      </c>
      <c r="G428">
        <f>F428*Assumptions!$B$1</f>
        <v>0</v>
      </c>
      <c r="H428">
        <f t="shared" si="88"/>
        <v>0</v>
      </c>
      <c r="I428" s="22">
        <f>HLOOKUP(C428,Assumptions!$A$6:$J$7,2,TRUE)</f>
        <v>2.6499999999999999E-2</v>
      </c>
      <c r="J428" s="22">
        <f t="shared" si="84"/>
        <v>0</v>
      </c>
      <c r="K428" s="22">
        <f t="shared" si="89"/>
        <v>0</v>
      </c>
      <c r="L428" s="22">
        <f t="shared" si="100"/>
        <v>0</v>
      </c>
      <c r="M428" s="22">
        <f t="shared" si="90"/>
        <v>0</v>
      </c>
      <c r="N428" s="22">
        <f>M427*Assumptions!$B$11/$E$2*J428</f>
        <v>0</v>
      </c>
      <c r="O428" s="22">
        <f>M427*Assumptions!$B$13/$E$2*J428</f>
        <v>0</v>
      </c>
      <c r="P428" s="22">
        <f>H428*Assumptions!$B$15</f>
        <v>0</v>
      </c>
      <c r="Q428" s="22">
        <f>O428*Assumptions!$B$17</f>
        <v>0</v>
      </c>
      <c r="R428" s="22">
        <f>HLOOKUP(B428,Assumptions!$A$26:$D$27,2,TRUE)</f>
        <v>0</v>
      </c>
      <c r="S428">
        <f t="shared" si="95"/>
        <v>0</v>
      </c>
      <c r="T428">
        <f t="shared" si="91"/>
        <v>0.3333333333333357</v>
      </c>
      <c r="U428">
        <f>IF(B428&gt;$K$2,0,IF(T429=0,0,(1-T429)*Assumptions!$B$11/$E$2*(1-Assumptions!$B$30)))</f>
        <v>0</v>
      </c>
      <c r="V428" s="22">
        <f>(N428-O428)*(1-Assumptions!$B$30)-Q428+U427*M427</f>
        <v>0</v>
      </c>
      <c r="W428" s="22">
        <f>W427*(1+Assumptions!$B$36)^(1/12)</f>
        <v>1.4130832188885236</v>
      </c>
      <c r="X428" s="19">
        <f>IF(B428&gt;$K$2,0,W427*Assumptions!$B$32/12*M427+V428*Assumptions!$B$34/12)</f>
        <v>0</v>
      </c>
      <c r="Y428" s="20">
        <f>1/(1+HLOOKUP(YEAR(A428),Assumptions!$A$41:$AL$43,3,TRUE))^(1/12)</f>
        <v>0.99759647506272275</v>
      </c>
      <c r="Z428" s="22">
        <f t="shared" si="101"/>
        <v>0</v>
      </c>
      <c r="AA428">
        <f t="shared" si="96"/>
        <v>0</v>
      </c>
    </row>
    <row r="429" spans="1:28" x14ac:dyDescent="0.2">
      <c r="A429" s="2">
        <f t="shared" si="97"/>
        <v>55823</v>
      </c>
      <c r="B429">
        <f t="shared" si="93"/>
        <v>510</v>
      </c>
      <c r="C429" s="22">
        <f t="shared" si="98"/>
        <v>42.416666666666664</v>
      </c>
      <c r="D429" s="22">
        <f t="shared" si="99"/>
        <v>0</v>
      </c>
      <c r="E429" s="22">
        <f t="shared" si="87"/>
        <v>97</v>
      </c>
      <c r="F429" s="22">
        <f>IF(C429&gt;=$J$2,0,VLOOKUP($E429,'Mortality Table'!$A$3:$C$128,2+G$2,FALSE))</f>
        <v>0</v>
      </c>
      <c r="G429">
        <f>F429*Assumptions!$B$1</f>
        <v>0</v>
      </c>
      <c r="H429">
        <f t="shared" si="88"/>
        <v>0</v>
      </c>
      <c r="I429" s="22">
        <f>HLOOKUP(C429,Assumptions!$A$6:$J$7,2,TRUE)</f>
        <v>2.6499999999999999E-2</v>
      </c>
      <c r="J429" s="22">
        <f t="shared" si="84"/>
        <v>0</v>
      </c>
      <c r="K429" s="22">
        <f t="shared" si="89"/>
        <v>0</v>
      </c>
      <c r="L429" s="22">
        <f t="shared" si="100"/>
        <v>0</v>
      </c>
      <c r="M429" s="22">
        <f t="shared" si="90"/>
        <v>0</v>
      </c>
      <c r="N429" s="22">
        <f>M428*Assumptions!$B$11/$E$2*J429</f>
        <v>0</v>
      </c>
      <c r="O429" s="22">
        <f>M428*Assumptions!$B$13/$E$2*J429</f>
        <v>0</v>
      </c>
      <c r="P429" s="22">
        <f>H429*Assumptions!$B$15</f>
        <v>0</v>
      </c>
      <c r="Q429" s="22">
        <f>O429*Assumptions!$B$17</f>
        <v>0</v>
      </c>
      <c r="R429" s="22">
        <f>HLOOKUP(B429,Assumptions!$A$26:$D$27,2,TRUE)</f>
        <v>0</v>
      </c>
      <c r="S429">
        <f t="shared" si="95"/>
        <v>0</v>
      </c>
      <c r="T429">
        <f t="shared" si="91"/>
        <v>0.4166666666666643</v>
      </c>
      <c r="U429">
        <f>IF(B429&gt;$K$2,0,IF(T430=0,0,(1-T430)*Assumptions!$B$11/$E$2*(1-Assumptions!$B$30)))</f>
        <v>0</v>
      </c>
      <c r="V429" s="22">
        <f>(N429-O429)*(1-Assumptions!$B$30)-Q429+U428*M428</f>
        <v>0</v>
      </c>
      <c r="W429" s="22">
        <f>W428*(1+Assumptions!$B$36)^(1/12)</f>
        <v>1.4142554252773345</v>
      </c>
      <c r="X429" s="19">
        <f>IF(B429&gt;$K$2,0,W428*Assumptions!$B$32/12*M428+V429*Assumptions!$B$34/12)</f>
        <v>0</v>
      </c>
      <c r="Y429" s="20">
        <f>1/(1+HLOOKUP(YEAR(A429),Assumptions!$A$41:$AL$43,3,TRUE))^(1/12)</f>
        <v>0.99759647506272275</v>
      </c>
      <c r="Z429" s="22">
        <f t="shared" si="101"/>
        <v>0</v>
      </c>
      <c r="AA429">
        <f t="shared" si="96"/>
        <v>0</v>
      </c>
    </row>
    <row r="430" spans="1:28" x14ac:dyDescent="0.2">
      <c r="A430" s="2">
        <f t="shared" si="97"/>
        <v>55853</v>
      </c>
      <c r="B430">
        <f t="shared" si="93"/>
        <v>511</v>
      </c>
      <c r="C430" s="22">
        <f t="shared" si="98"/>
        <v>42.5</v>
      </c>
      <c r="D430" s="22">
        <f t="shared" si="99"/>
        <v>0</v>
      </c>
      <c r="E430" s="22">
        <f t="shared" si="87"/>
        <v>97</v>
      </c>
      <c r="F430" s="22">
        <f>IF(C430&gt;=$J$2,0,VLOOKUP($E430,'Mortality Table'!$A$3:$C$128,2+G$2,FALSE))</f>
        <v>0</v>
      </c>
      <c r="G430">
        <f>F430*Assumptions!$B$1</f>
        <v>0</v>
      </c>
      <c r="H430">
        <f t="shared" si="88"/>
        <v>0</v>
      </c>
      <c r="I430" s="22">
        <f>HLOOKUP(C430,Assumptions!$A$6:$J$7,2,TRUE)</f>
        <v>2.6499999999999999E-2</v>
      </c>
      <c r="J430" s="22">
        <f t="shared" si="84"/>
        <v>0</v>
      </c>
      <c r="K430" s="22">
        <f t="shared" si="89"/>
        <v>0</v>
      </c>
      <c r="L430" s="22">
        <f t="shared" si="100"/>
        <v>0</v>
      </c>
      <c r="M430" s="22">
        <f t="shared" si="90"/>
        <v>0</v>
      </c>
      <c r="N430" s="22">
        <f>M429*Assumptions!$B$11/$E$2*J430</f>
        <v>0</v>
      </c>
      <c r="O430" s="22">
        <f>M429*Assumptions!$B$13/$E$2*J430</f>
        <v>0</v>
      </c>
      <c r="P430" s="22">
        <f>H430*Assumptions!$B$15</f>
        <v>0</v>
      </c>
      <c r="Q430" s="22">
        <f>O430*Assumptions!$B$17</f>
        <v>0</v>
      </c>
      <c r="R430" s="22">
        <f>HLOOKUP(B430,Assumptions!$A$26:$D$27,2,TRUE)</f>
        <v>0</v>
      </c>
      <c r="S430">
        <f t="shared" si="95"/>
        <v>0</v>
      </c>
      <c r="T430">
        <f t="shared" si="91"/>
        <v>0.5</v>
      </c>
      <c r="U430">
        <f>IF(B430&gt;$K$2,0,IF(T431=0,0,(1-T431)*Assumptions!$B$11/$E$2*(1-Assumptions!$B$30)))</f>
        <v>0</v>
      </c>
      <c r="V430" s="22">
        <f>(N430-O430)*(1-Assumptions!$B$30)-Q430+U429*M429</f>
        <v>0</v>
      </c>
      <c r="W430" s="22">
        <f>W429*(1+Assumptions!$B$36)^(1/12)</f>
        <v>1.4154286040560229</v>
      </c>
      <c r="X430" s="19">
        <f>IF(B430&gt;$K$2,0,W429*Assumptions!$B$32/12*M429+V430*Assumptions!$B$34/12)</f>
        <v>0</v>
      </c>
      <c r="Y430" s="20">
        <f>1/(1+HLOOKUP(YEAR(A430),Assumptions!$A$41:$AL$43,3,TRUE))^(1/12)</f>
        <v>0.99759647506272275</v>
      </c>
      <c r="Z430" s="22">
        <f t="shared" si="101"/>
        <v>0</v>
      </c>
      <c r="AA430">
        <f t="shared" si="96"/>
        <v>0</v>
      </c>
    </row>
    <row r="431" spans="1:28" x14ac:dyDescent="0.2">
      <c r="A431" s="2">
        <f t="shared" si="97"/>
        <v>55884</v>
      </c>
      <c r="B431">
        <f t="shared" si="93"/>
        <v>512</v>
      </c>
      <c r="C431" s="22">
        <f t="shared" si="98"/>
        <v>42.583333333333336</v>
      </c>
      <c r="D431" s="22">
        <f t="shared" si="99"/>
        <v>0</v>
      </c>
      <c r="E431" s="22">
        <f t="shared" si="87"/>
        <v>97</v>
      </c>
      <c r="F431" s="22">
        <f>IF(C431&gt;=$J$2,0,VLOOKUP($E431,'Mortality Table'!$A$3:$C$128,2+G$2,FALSE))</f>
        <v>0</v>
      </c>
      <c r="G431">
        <f>F431*Assumptions!$B$1</f>
        <v>0</v>
      </c>
      <c r="H431">
        <f t="shared" si="88"/>
        <v>0</v>
      </c>
      <c r="I431" s="22">
        <f>HLOOKUP(C431,Assumptions!$A$6:$J$7,2,TRUE)</f>
        <v>2.6499999999999999E-2</v>
      </c>
      <c r="J431" s="22">
        <f t="shared" si="84"/>
        <v>0</v>
      </c>
      <c r="K431" s="22">
        <f t="shared" si="89"/>
        <v>0</v>
      </c>
      <c r="L431" s="22">
        <f t="shared" si="100"/>
        <v>0</v>
      </c>
      <c r="M431" s="22">
        <f t="shared" si="90"/>
        <v>0</v>
      </c>
      <c r="N431" s="22">
        <f>M430*Assumptions!$B$11/$E$2*J431</f>
        <v>0</v>
      </c>
      <c r="O431" s="22">
        <f>M430*Assumptions!$B$13/$E$2*J431</f>
        <v>0</v>
      </c>
      <c r="P431" s="22">
        <f>H431*Assumptions!$B$15</f>
        <v>0</v>
      </c>
      <c r="Q431" s="22">
        <f>O431*Assumptions!$B$17</f>
        <v>0</v>
      </c>
      <c r="R431" s="22">
        <f>HLOOKUP(B431,Assumptions!$A$26:$D$27,2,TRUE)</f>
        <v>0</v>
      </c>
      <c r="S431">
        <f t="shared" si="95"/>
        <v>0</v>
      </c>
      <c r="T431">
        <f t="shared" si="91"/>
        <v>0.5833333333333357</v>
      </c>
      <c r="U431">
        <f>IF(B431&gt;$K$2,0,IF(T432=0,0,(1-T432)*Assumptions!$B$11/$E$2*(1-Assumptions!$B$30)))</f>
        <v>0</v>
      </c>
      <c r="V431" s="22">
        <f>(N431-O431)*(1-Assumptions!$B$30)-Q431+U430*M430</f>
        <v>0</v>
      </c>
      <c r="W431" s="22">
        <f>W430*(1+Assumptions!$B$36)^(1/12)</f>
        <v>1.4166027560312231</v>
      </c>
      <c r="X431" s="19">
        <f>IF(B431&gt;$K$2,0,W430*Assumptions!$B$32/12*M430+V431*Assumptions!$B$34/12)</f>
        <v>0</v>
      </c>
      <c r="Y431" s="20">
        <f>1/(1+HLOOKUP(YEAR(A431),Assumptions!$A$41:$AL$43,3,TRUE))^(1/12)</f>
        <v>0.99759647506272275</v>
      </c>
      <c r="Z431" s="22">
        <f t="shared" si="101"/>
        <v>0</v>
      </c>
      <c r="AA431">
        <f t="shared" si="96"/>
        <v>0</v>
      </c>
    </row>
    <row r="432" spans="1:28" x14ac:dyDescent="0.2">
      <c r="A432" s="2">
        <f t="shared" si="97"/>
        <v>55915</v>
      </c>
      <c r="B432">
        <f t="shared" si="93"/>
        <v>513</v>
      </c>
      <c r="C432" s="22">
        <f t="shared" si="98"/>
        <v>42.666666666666664</v>
      </c>
      <c r="D432" s="22">
        <f t="shared" si="99"/>
        <v>0</v>
      </c>
      <c r="E432" s="22">
        <f t="shared" si="87"/>
        <v>97</v>
      </c>
      <c r="F432" s="22">
        <f>IF(C432&gt;=$J$2,0,VLOOKUP($E432,'Mortality Table'!$A$3:$C$128,2+G$2,FALSE))</f>
        <v>0</v>
      </c>
      <c r="G432">
        <f>F432*Assumptions!$B$1</f>
        <v>0</v>
      </c>
      <c r="H432">
        <f t="shared" si="88"/>
        <v>0</v>
      </c>
      <c r="I432" s="22">
        <f>HLOOKUP(C432,Assumptions!$A$6:$J$7,2,TRUE)</f>
        <v>2.6499999999999999E-2</v>
      </c>
      <c r="J432" s="22">
        <f t="shared" si="84"/>
        <v>0</v>
      </c>
      <c r="K432" s="22">
        <f t="shared" si="89"/>
        <v>0</v>
      </c>
      <c r="L432" s="22">
        <f t="shared" si="100"/>
        <v>0</v>
      </c>
      <c r="M432" s="22">
        <f t="shared" si="90"/>
        <v>0</v>
      </c>
      <c r="N432" s="22">
        <f>M431*Assumptions!$B$11/$E$2*J432</f>
        <v>0</v>
      </c>
      <c r="O432" s="22">
        <f>M431*Assumptions!$B$13/$E$2*J432</f>
        <v>0</v>
      </c>
      <c r="P432" s="22">
        <f>H432*Assumptions!$B$15</f>
        <v>0</v>
      </c>
      <c r="Q432" s="22">
        <f>O432*Assumptions!$B$17</f>
        <v>0</v>
      </c>
      <c r="R432" s="22">
        <f>HLOOKUP(B432,Assumptions!$A$26:$D$27,2,TRUE)</f>
        <v>0</v>
      </c>
      <c r="S432">
        <f t="shared" si="95"/>
        <v>0</v>
      </c>
      <c r="T432">
        <f t="shared" si="91"/>
        <v>0.6666666666666643</v>
      </c>
      <c r="U432">
        <f>IF(B432&gt;$K$2,0,IF(T433=0,0,(1-T433)*Assumptions!$B$11/$E$2*(1-Assumptions!$B$30)))</f>
        <v>0</v>
      </c>
      <c r="V432" s="22">
        <f>(N432-O432)*(1-Assumptions!$B$30)-Q432+U431*M431</f>
        <v>0</v>
      </c>
      <c r="W432" s="22">
        <f>W431*(1+Assumptions!$B$36)^(1/12)</f>
        <v>1.4177778820102389</v>
      </c>
      <c r="X432" s="19">
        <f>IF(B432&gt;$K$2,0,W431*Assumptions!$B$32/12*M431+V432*Assumptions!$B$34/12)</f>
        <v>0</v>
      </c>
      <c r="Y432" s="20">
        <f>1/(1+HLOOKUP(YEAR(A432),Assumptions!$A$41:$AL$43,3,TRUE))^(1/12)</f>
        <v>0.99757644752594421</v>
      </c>
      <c r="Z432" s="22">
        <f t="shared" si="101"/>
        <v>0</v>
      </c>
      <c r="AA432">
        <f t="shared" si="96"/>
        <v>0</v>
      </c>
    </row>
    <row r="433" spans="1:27" x14ac:dyDescent="0.2">
      <c r="A433" s="2">
        <f t="shared" si="97"/>
        <v>55943</v>
      </c>
      <c r="B433">
        <f t="shared" si="93"/>
        <v>514</v>
      </c>
      <c r="C433" s="22">
        <f t="shared" si="98"/>
        <v>42.75</v>
      </c>
      <c r="D433" s="22">
        <f t="shared" si="99"/>
        <v>0</v>
      </c>
      <c r="E433" s="22">
        <f t="shared" si="87"/>
        <v>97</v>
      </c>
      <c r="F433" s="22">
        <f>IF(C433&gt;=$J$2,0,VLOOKUP($E433,'Mortality Table'!$A$3:$C$128,2+G$2,FALSE))</f>
        <v>0</v>
      </c>
      <c r="G433">
        <f>F433*Assumptions!$B$1</f>
        <v>0</v>
      </c>
      <c r="H433">
        <f t="shared" si="88"/>
        <v>0</v>
      </c>
      <c r="I433" s="22">
        <f>HLOOKUP(C433,Assumptions!$A$6:$J$7,2,TRUE)</f>
        <v>2.6499999999999999E-2</v>
      </c>
      <c r="J433" s="22">
        <f t="shared" si="84"/>
        <v>0</v>
      </c>
      <c r="K433" s="22">
        <f t="shared" si="89"/>
        <v>0</v>
      </c>
      <c r="L433" s="22">
        <f t="shared" si="100"/>
        <v>0</v>
      </c>
      <c r="M433" s="22">
        <f t="shared" si="90"/>
        <v>0</v>
      </c>
      <c r="N433" s="22">
        <f>M432*Assumptions!$B$11/$E$2*J433</f>
        <v>0</v>
      </c>
      <c r="O433" s="22">
        <f>M432*Assumptions!$B$13/$E$2*J433</f>
        <v>0</v>
      </c>
      <c r="P433" s="22">
        <f>H433*Assumptions!$B$15</f>
        <v>0</v>
      </c>
      <c r="Q433" s="22">
        <f>O433*Assumptions!$B$17</f>
        <v>0</v>
      </c>
      <c r="R433" s="22">
        <f>HLOOKUP(B433,Assumptions!$A$26:$D$27,2,TRUE)</f>
        <v>0</v>
      </c>
      <c r="S433">
        <f t="shared" si="95"/>
        <v>0</v>
      </c>
      <c r="T433">
        <f t="shared" si="91"/>
        <v>0.75</v>
      </c>
      <c r="U433">
        <f>IF(B433&gt;$K$2,0,IF(T434=0,0,(1-T434)*Assumptions!$B$11/$E$2*(1-Assumptions!$B$30)))</f>
        <v>0</v>
      </c>
      <c r="V433" s="22">
        <f>(N433-O433)*(1-Assumptions!$B$30)-Q433+U432*M432</f>
        <v>0</v>
      </c>
      <c r="W433" s="22">
        <f>W432*(1+Assumptions!$B$36)^(1/12)</f>
        <v>1.4189539828010433</v>
      </c>
      <c r="X433" s="19">
        <f>IF(B433&gt;$K$2,0,W432*Assumptions!$B$32/12*M432+V433*Assumptions!$B$34/12)</f>
        <v>0</v>
      </c>
      <c r="Y433" s="20">
        <f>1/(1+HLOOKUP(YEAR(A433),Assumptions!$A$41:$AL$43,3,TRUE))^(1/12)</f>
        <v>0.99757644752594421</v>
      </c>
      <c r="Z433" s="22">
        <f t="shared" si="101"/>
        <v>0</v>
      </c>
      <c r="AA433">
        <f t="shared" si="96"/>
        <v>0</v>
      </c>
    </row>
    <row r="434" spans="1:27" x14ac:dyDescent="0.2">
      <c r="A434" s="2">
        <f t="shared" si="97"/>
        <v>55974</v>
      </c>
      <c r="B434">
        <f t="shared" si="93"/>
        <v>515</v>
      </c>
      <c r="C434" s="22">
        <f t="shared" si="98"/>
        <v>42.833333333333336</v>
      </c>
      <c r="D434" s="22">
        <f t="shared" si="99"/>
        <v>0</v>
      </c>
      <c r="E434" s="22">
        <f t="shared" si="87"/>
        <v>97</v>
      </c>
      <c r="F434" s="22">
        <f>IF(C434&gt;=$J$2,0,VLOOKUP($E434,'Mortality Table'!$A$3:$C$128,2+G$2,FALSE))</f>
        <v>0</v>
      </c>
      <c r="G434">
        <f>F434*Assumptions!$B$1</f>
        <v>0</v>
      </c>
      <c r="H434">
        <f t="shared" si="88"/>
        <v>0</v>
      </c>
      <c r="I434" s="22">
        <f>HLOOKUP(C434,Assumptions!$A$6:$J$7,2,TRUE)</f>
        <v>2.6499999999999999E-2</v>
      </c>
      <c r="J434" s="22">
        <f t="shared" si="84"/>
        <v>0</v>
      </c>
      <c r="K434" s="22">
        <f t="shared" si="89"/>
        <v>0</v>
      </c>
      <c r="L434" s="22">
        <f t="shared" si="100"/>
        <v>0</v>
      </c>
      <c r="M434" s="22">
        <f t="shared" si="90"/>
        <v>0</v>
      </c>
      <c r="N434" s="22">
        <f>M433*Assumptions!$B$11/$E$2*J434</f>
        <v>0</v>
      </c>
      <c r="O434" s="22">
        <f>M433*Assumptions!$B$13/$E$2*J434</f>
        <v>0</v>
      </c>
      <c r="P434" s="22">
        <f>H434*Assumptions!$B$15</f>
        <v>0</v>
      </c>
      <c r="Q434" s="22">
        <f>O434*Assumptions!$B$17</f>
        <v>0</v>
      </c>
      <c r="R434" s="22">
        <f>HLOOKUP(B434,Assumptions!$A$26:$D$27,2,TRUE)</f>
        <v>0</v>
      </c>
      <c r="S434">
        <f t="shared" si="95"/>
        <v>0</v>
      </c>
      <c r="T434">
        <f t="shared" si="91"/>
        <v>0.8333333333333357</v>
      </c>
      <c r="U434">
        <f>IF(B434&gt;$K$2,0,IF(T435=0,0,(1-T435)*Assumptions!$B$11/$E$2*(1-Assumptions!$B$30)))</f>
        <v>0</v>
      </c>
      <c r="V434" s="22">
        <f>(N434-O434)*(1-Assumptions!$B$30)-Q434+U433*M433</f>
        <v>0</v>
      </c>
      <c r="W434" s="22">
        <f>W433*(1+Assumptions!$B$36)^(1/12)</f>
        <v>1.42013105921228</v>
      </c>
      <c r="X434" s="19">
        <f>IF(B434&gt;$K$2,0,W433*Assumptions!$B$32/12*M433+V434*Assumptions!$B$34/12)</f>
        <v>0</v>
      </c>
      <c r="Y434" s="20">
        <f>1/(1+HLOOKUP(YEAR(A434),Assumptions!$A$41:$AL$43,3,TRUE))^(1/12)</f>
        <v>0.99757644752594421</v>
      </c>
      <c r="Z434" s="22">
        <f t="shared" si="101"/>
        <v>0</v>
      </c>
      <c r="AA434">
        <f t="shared" si="96"/>
        <v>0</v>
      </c>
    </row>
    <row r="435" spans="1:27" x14ac:dyDescent="0.2">
      <c r="A435" s="2">
        <f t="shared" si="97"/>
        <v>56004</v>
      </c>
      <c r="B435">
        <f t="shared" si="93"/>
        <v>516</v>
      </c>
      <c r="C435" s="22">
        <f t="shared" si="98"/>
        <v>42.916666666666664</v>
      </c>
      <c r="D435" s="22">
        <f t="shared" si="99"/>
        <v>0</v>
      </c>
      <c r="E435" s="22">
        <f t="shared" si="87"/>
        <v>97</v>
      </c>
      <c r="F435" s="22">
        <f>IF(C435&gt;=$J$2,0,VLOOKUP($E435,'Mortality Table'!$A$3:$C$128,2+G$2,FALSE))</f>
        <v>0</v>
      </c>
      <c r="G435">
        <f>F435*Assumptions!$B$1</f>
        <v>0</v>
      </c>
      <c r="H435">
        <f t="shared" si="88"/>
        <v>0</v>
      </c>
      <c r="I435" s="22">
        <f>HLOOKUP(C435,Assumptions!$A$6:$J$7,2,TRUE)</f>
        <v>2.6499999999999999E-2</v>
      </c>
      <c r="J435" s="22">
        <f t="shared" si="84"/>
        <v>0</v>
      </c>
      <c r="K435" s="22">
        <f t="shared" si="89"/>
        <v>0</v>
      </c>
      <c r="L435" s="22">
        <f t="shared" si="100"/>
        <v>0</v>
      </c>
      <c r="M435" s="22">
        <f t="shared" si="90"/>
        <v>0</v>
      </c>
      <c r="N435" s="22">
        <f>M434*Assumptions!$B$11/$E$2*J435</f>
        <v>0</v>
      </c>
      <c r="O435" s="22">
        <f>M434*Assumptions!$B$13/$E$2*J435</f>
        <v>0</v>
      </c>
      <c r="P435" s="22">
        <f>H435*Assumptions!$B$15</f>
        <v>0</v>
      </c>
      <c r="Q435" s="22">
        <f>O435*Assumptions!$B$17</f>
        <v>0</v>
      </c>
      <c r="R435" s="22">
        <f>HLOOKUP(B435,Assumptions!$A$26:$D$27,2,TRUE)</f>
        <v>0</v>
      </c>
      <c r="S435">
        <f t="shared" si="95"/>
        <v>0</v>
      </c>
      <c r="T435">
        <f t="shared" si="91"/>
        <v>0.9166666666666643</v>
      </c>
      <c r="U435">
        <f>IF(B435&gt;$K$2,0,IF(T436=0,0,(1-T436)*Assumptions!$B$11/$E$2*(1-Assumptions!$B$30)))</f>
        <v>0</v>
      </c>
      <c r="V435" s="22">
        <f>(N435-O435)*(1-Assumptions!$B$30)-Q435+U434*M434</f>
        <v>0</v>
      </c>
      <c r="W435" s="22">
        <f>W434*(1+Assumptions!$B$36)^(1/12)</f>
        <v>1.4213091120532633</v>
      </c>
      <c r="X435" s="19">
        <f>IF(B435&gt;$K$2,0,W434*Assumptions!$B$32/12*M434+V435*Assumptions!$B$34/12)</f>
        <v>0</v>
      </c>
      <c r="Y435" s="20">
        <f>1/(1+HLOOKUP(YEAR(A435),Assumptions!$A$41:$AL$43,3,TRUE))^(1/12)</f>
        <v>0.99757644752594421</v>
      </c>
      <c r="Z435" s="22">
        <f t="shared" si="101"/>
        <v>0</v>
      </c>
      <c r="AA435">
        <f t="shared" si="96"/>
        <v>0</v>
      </c>
    </row>
    <row r="436" spans="1:27" x14ac:dyDescent="0.2">
      <c r="A436" s="2">
        <f t="shared" si="97"/>
        <v>56035</v>
      </c>
      <c r="B436">
        <f t="shared" si="93"/>
        <v>517</v>
      </c>
      <c r="C436" s="22">
        <f t="shared" si="98"/>
        <v>43</v>
      </c>
      <c r="D436" s="22">
        <f t="shared" si="99"/>
        <v>1</v>
      </c>
      <c r="E436" s="22">
        <f t="shared" si="87"/>
        <v>98</v>
      </c>
      <c r="F436" s="22">
        <f>IF(C436&gt;=$J$2,0,VLOOKUP($E436,'Mortality Table'!$A$3:$C$128,2+G$2,FALSE))</f>
        <v>0</v>
      </c>
      <c r="G436">
        <f>F436*Assumptions!$B$1</f>
        <v>0</v>
      </c>
      <c r="H436">
        <f t="shared" si="88"/>
        <v>0</v>
      </c>
      <c r="I436" s="22">
        <f>HLOOKUP(C436,Assumptions!$A$6:$J$7,2,TRUE)</f>
        <v>2.6499999999999999E-2</v>
      </c>
      <c r="J436" s="22">
        <f t="shared" si="84"/>
        <v>0</v>
      </c>
      <c r="K436" s="22">
        <f t="shared" si="89"/>
        <v>0</v>
      </c>
      <c r="L436" s="22">
        <f t="shared" si="100"/>
        <v>0</v>
      </c>
      <c r="M436" s="22">
        <f t="shared" si="90"/>
        <v>0</v>
      </c>
      <c r="N436" s="22">
        <f>M435*Assumptions!$B$11/$E$2*J436</f>
        <v>0</v>
      </c>
      <c r="O436" s="22">
        <f>M435*Assumptions!$B$13/$E$2*J436</f>
        <v>0</v>
      </c>
      <c r="P436" s="22">
        <f>H436*Assumptions!$B$15</f>
        <v>0</v>
      </c>
      <c r="Q436" s="22">
        <f>O436*Assumptions!$B$17</f>
        <v>0</v>
      </c>
      <c r="R436" s="22">
        <f>HLOOKUP(B436,Assumptions!$A$26:$D$27,2,TRUE)</f>
        <v>0</v>
      </c>
      <c r="S436">
        <f t="shared" si="95"/>
        <v>0</v>
      </c>
      <c r="T436">
        <f t="shared" si="91"/>
        <v>0</v>
      </c>
      <c r="U436">
        <f>IF(B436&gt;$K$2,0,IF(T437=0,0,(1-T437)*Assumptions!$B$11/$E$2*(1-Assumptions!$B$30)))</f>
        <v>0</v>
      </c>
      <c r="V436" s="22">
        <f>(N436-O436)*(1-Assumptions!$B$30)-Q436+U435*M435</f>
        <v>0</v>
      </c>
      <c r="W436" s="22">
        <f>W435*(1+Assumptions!$B$36)^(1/12)</f>
        <v>1.422488142133979</v>
      </c>
      <c r="X436" s="19">
        <f>IF(B436&gt;$K$2,0,W435*Assumptions!$B$32/12*M435+V436*Assumptions!$B$34/12)</f>
        <v>0</v>
      </c>
      <c r="Y436" s="20">
        <f>1/(1+HLOOKUP(YEAR(A436),Assumptions!$A$41:$AL$43,3,TRUE))^(1/12)</f>
        <v>0.99757644752594421</v>
      </c>
      <c r="Z436" s="22">
        <f t="shared" si="101"/>
        <v>0</v>
      </c>
      <c r="AA436">
        <f t="shared" si="96"/>
        <v>0</v>
      </c>
    </row>
    <row r="437" spans="1:27" x14ac:dyDescent="0.2">
      <c r="A437" s="2">
        <f t="shared" si="97"/>
        <v>56065</v>
      </c>
      <c r="B437">
        <f t="shared" si="93"/>
        <v>518</v>
      </c>
      <c r="C437" s="22">
        <f t="shared" si="98"/>
        <v>43.083333333333336</v>
      </c>
      <c r="D437" s="22">
        <f t="shared" si="99"/>
        <v>0</v>
      </c>
      <c r="E437" s="22">
        <f t="shared" si="87"/>
        <v>98</v>
      </c>
      <c r="F437" s="22">
        <f>IF(C437&gt;=$J$2,0,VLOOKUP($E437,'Mortality Table'!$A$3:$C$128,2+G$2,FALSE))</f>
        <v>0</v>
      </c>
      <c r="G437">
        <f>F437*Assumptions!$B$1</f>
        <v>0</v>
      </c>
      <c r="H437">
        <f t="shared" si="88"/>
        <v>0</v>
      </c>
      <c r="I437" s="22">
        <f>HLOOKUP(C437,Assumptions!$A$6:$J$7,2,TRUE)</f>
        <v>2.6499999999999999E-2</v>
      </c>
      <c r="J437" s="22">
        <f t="shared" si="84"/>
        <v>0</v>
      </c>
      <c r="K437" s="22">
        <f t="shared" si="89"/>
        <v>0</v>
      </c>
      <c r="L437" s="22">
        <f t="shared" si="100"/>
        <v>0</v>
      </c>
      <c r="M437" s="22">
        <f t="shared" si="90"/>
        <v>0</v>
      </c>
      <c r="N437" s="22">
        <f>M436*Assumptions!$B$11/$E$2*J437</f>
        <v>0</v>
      </c>
      <c r="O437" s="22">
        <f>M436*Assumptions!$B$13/$E$2*J437</f>
        <v>0</v>
      </c>
      <c r="P437" s="22">
        <f>H437*Assumptions!$B$15</f>
        <v>0</v>
      </c>
      <c r="Q437" s="22">
        <f>O437*Assumptions!$B$17</f>
        <v>0</v>
      </c>
      <c r="R437" s="22">
        <f>HLOOKUP(B437,Assumptions!$A$26:$D$27,2,TRUE)</f>
        <v>0</v>
      </c>
      <c r="S437">
        <f t="shared" si="95"/>
        <v>0</v>
      </c>
      <c r="T437">
        <f t="shared" si="91"/>
        <v>8.3333333333335702E-2</v>
      </c>
      <c r="U437">
        <f>IF(B437&gt;$K$2,0,IF(T438=0,0,(1-T438)*Assumptions!$B$11/$E$2*(1-Assumptions!$B$30)))</f>
        <v>0</v>
      </c>
      <c r="V437" s="22">
        <f>(N437-O437)*(1-Assumptions!$B$30)-Q437+U436*M436</f>
        <v>0</v>
      </c>
      <c r="W437" s="22">
        <f>W436*(1+Assumptions!$B$36)^(1/12)</f>
        <v>1.4236681502650845</v>
      </c>
      <c r="X437" s="19">
        <f>IF(B437&gt;$K$2,0,W436*Assumptions!$B$32/12*M436+V437*Assumptions!$B$34/12)</f>
        <v>0</v>
      </c>
      <c r="Y437" s="20">
        <f>1/(1+HLOOKUP(YEAR(A437),Assumptions!$A$41:$AL$43,3,TRUE))^(1/12)</f>
        <v>0.99757644752594421</v>
      </c>
      <c r="Z437" s="22">
        <f t="shared" si="101"/>
        <v>0</v>
      </c>
      <c r="AA437">
        <f t="shared" si="96"/>
        <v>0</v>
      </c>
    </row>
    <row r="438" spans="1:27" x14ac:dyDescent="0.2">
      <c r="A438" s="2">
        <f t="shared" si="97"/>
        <v>56096</v>
      </c>
      <c r="B438">
        <f t="shared" si="93"/>
        <v>519</v>
      </c>
      <c r="C438" s="22">
        <f t="shared" si="98"/>
        <v>43.166666666666664</v>
      </c>
      <c r="D438" s="22">
        <f t="shared" si="99"/>
        <v>0</v>
      </c>
      <c r="E438" s="22">
        <f t="shared" si="87"/>
        <v>98</v>
      </c>
      <c r="F438" s="22">
        <f>IF(C438&gt;=$J$2,0,VLOOKUP($E438,'Mortality Table'!$A$3:$C$128,2+G$2,FALSE))</f>
        <v>0</v>
      </c>
      <c r="G438">
        <f>F438*Assumptions!$B$1</f>
        <v>0</v>
      </c>
      <c r="H438">
        <f t="shared" si="88"/>
        <v>0</v>
      </c>
      <c r="I438" s="22">
        <f>HLOOKUP(C438,Assumptions!$A$6:$J$7,2,TRUE)</f>
        <v>2.6499999999999999E-2</v>
      </c>
      <c r="J438" s="22">
        <f t="shared" si="84"/>
        <v>0</v>
      </c>
      <c r="K438" s="22">
        <f t="shared" si="89"/>
        <v>0</v>
      </c>
      <c r="L438" s="22">
        <f t="shared" si="100"/>
        <v>0</v>
      </c>
      <c r="M438" s="22">
        <f t="shared" si="90"/>
        <v>0</v>
      </c>
      <c r="N438" s="22">
        <f>M437*Assumptions!$B$11/$E$2*J438</f>
        <v>0</v>
      </c>
      <c r="O438" s="22">
        <f>M437*Assumptions!$B$13/$E$2*J438</f>
        <v>0</v>
      </c>
      <c r="P438" s="22">
        <f>H438*Assumptions!$B$15</f>
        <v>0</v>
      </c>
      <c r="Q438" s="22">
        <f>O438*Assumptions!$B$17</f>
        <v>0</v>
      </c>
      <c r="R438" s="22">
        <f>HLOOKUP(B438,Assumptions!$A$26:$D$27,2,TRUE)</f>
        <v>0</v>
      </c>
      <c r="S438">
        <f t="shared" si="95"/>
        <v>0</v>
      </c>
      <c r="T438">
        <f t="shared" si="91"/>
        <v>0.1666666666666643</v>
      </c>
      <c r="U438">
        <f>IF(B438&gt;$K$2,0,IF(T439=0,0,(1-T439)*Assumptions!$B$11/$E$2*(1-Assumptions!$B$30)))</f>
        <v>0</v>
      </c>
      <c r="V438" s="22">
        <f>(N438-O438)*(1-Assumptions!$B$30)-Q438+U437*M437</f>
        <v>0</v>
      </c>
      <c r="W438" s="22">
        <f>W437*(1+Assumptions!$B$36)^(1/12)</f>
        <v>1.4248491372579102</v>
      </c>
      <c r="X438" s="19">
        <f>IF(B438&gt;$K$2,0,W437*Assumptions!$B$32/12*M437+V438*Assumptions!$B$34/12)</f>
        <v>0</v>
      </c>
      <c r="Y438" s="20">
        <f>1/(1+HLOOKUP(YEAR(A438),Assumptions!$A$41:$AL$43,3,TRUE))^(1/12)</f>
        <v>0.99757644752594421</v>
      </c>
      <c r="Z438" s="22">
        <f t="shared" si="101"/>
        <v>0</v>
      </c>
      <c r="AA438">
        <f t="shared" si="96"/>
        <v>0</v>
      </c>
    </row>
    <row r="439" spans="1:27" x14ac:dyDescent="0.2">
      <c r="A439" s="2">
        <f t="shared" si="97"/>
        <v>56127</v>
      </c>
      <c r="B439">
        <f t="shared" si="93"/>
        <v>520</v>
      </c>
      <c r="C439" s="22">
        <f t="shared" si="98"/>
        <v>43.25</v>
      </c>
      <c r="D439" s="22">
        <f t="shared" si="99"/>
        <v>0</v>
      </c>
      <c r="E439" s="22">
        <f t="shared" si="87"/>
        <v>98</v>
      </c>
      <c r="F439" s="22">
        <f>IF(C439&gt;=$J$2,0,VLOOKUP($E439,'Mortality Table'!$A$3:$C$128,2+G$2,FALSE))</f>
        <v>0</v>
      </c>
      <c r="G439">
        <f>F439*Assumptions!$B$1</f>
        <v>0</v>
      </c>
      <c r="H439">
        <f t="shared" si="88"/>
        <v>0</v>
      </c>
      <c r="I439" s="22">
        <f>HLOOKUP(C439,Assumptions!$A$6:$J$7,2,TRUE)</f>
        <v>2.6499999999999999E-2</v>
      </c>
      <c r="J439" s="22">
        <f t="shared" si="84"/>
        <v>0</v>
      </c>
      <c r="K439" s="22">
        <f t="shared" si="89"/>
        <v>0</v>
      </c>
      <c r="L439" s="22">
        <f t="shared" si="100"/>
        <v>0</v>
      </c>
      <c r="M439" s="22">
        <f t="shared" si="90"/>
        <v>0</v>
      </c>
      <c r="N439" s="22">
        <f>M438*Assumptions!$B$11/$E$2*J439</f>
        <v>0</v>
      </c>
      <c r="O439" s="22">
        <f>M438*Assumptions!$B$13/$E$2*J439</f>
        <v>0</v>
      </c>
      <c r="P439" s="22">
        <f>H439*Assumptions!$B$15</f>
        <v>0</v>
      </c>
      <c r="Q439" s="22">
        <f>O439*Assumptions!$B$17</f>
        <v>0</v>
      </c>
      <c r="R439" s="22">
        <f>HLOOKUP(B439,Assumptions!$A$26:$D$27,2,TRUE)</f>
        <v>0</v>
      </c>
      <c r="S439">
        <f t="shared" si="95"/>
        <v>0</v>
      </c>
      <c r="T439">
        <f t="shared" si="91"/>
        <v>0.25</v>
      </c>
      <c r="U439">
        <f>IF(B439&gt;$K$2,0,IF(T440=0,0,(1-T440)*Assumptions!$B$11/$E$2*(1-Assumptions!$B$30)))</f>
        <v>0</v>
      </c>
      <c r="V439" s="22">
        <f>(N439-O439)*(1-Assumptions!$B$30)-Q439+U438*M438</f>
        <v>0</v>
      </c>
      <c r="W439" s="22">
        <f>W438*(1+Assumptions!$B$36)^(1/12)</f>
        <v>1.4260311039244589</v>
      </c>
      <c r="X439" s="19">
        <f>IF(B439&gt;$K$2,0,W438*Assumptions!$B$32/12*M438+V439*Assumptions!$B$34/12)</f>
        <v>0</v>
      </c>
      <c r="Y439" s="20">
        <f>1/(1+HLOOKUP(YEAR(A439),Assumptions!$A$41:$AL$43,3,TRUE))^(1/12)</f>
        <v>0.99757644752594421</v>
      </c>
      <c r="Z439" s="22">
        <f t="shared" si="101"/>
        <v>0</v>
      </c>
      <c r="AA439">
        <f t="shared" si="96"/>
        <v>0</v>
      </c>
    </row>
    <row r="440" spans="1:27" x14ac:dyDescent="0.2">
      <c r="A440" s="2">
        <f t="shared" si="97"/>
        <v>56157</v>
      </c>
      <c r="B440">
        <f t="shared" si="93"/>
        <v>521</v>
      </c>
      <c r="C440" s="22">
        <f t="shared" si="98"/>
        <v>43.333333333333336</v>
      </c>
      <c r="D440" s="22">
        <f t="shared" si="99"/>
        <v>0</v>
      </c>
      <c r="E440" s="22">
        <f t="shared" si="87"/>
        <v>98</v>
      </c>
      <c r="F440" s="22">
        <f>IF(C440&gt;=$J$2,0,VLOOKUP($E440,'Mortality Table'!$A$3:$C$128,2+G$2,FALSE))</f>
        <v>0</v>
      </c>
      <c r="G440">
        <f>F440*Assumptions!$B$1</f>
        <v>0</v>
      </c>
      <c r="H440">
        <f t="shared" si="88"/>
        <v>0</v>
      </c>
      <c r="I440" s="22">
        <f>HLOOKUP(C440,Assumptions!$A$6:$J$7,2,TRUE)</f>
        <v>2.6499999999999999E-2</v>
      </c>
      <c r="J440" s="22">
        <f t="shared" si="84"/>
        <v>0</v>
      </c>
      <c r="K440" s="22">
        <f t="shared" si="89"/>
        <v>0</v>
      </c>
      <c r="L440" s="22">
        <f t="shared" si="100"/>
        <v>0</v>
      </c>
      <c r="M440" s="22">
        <f t="shared" si="90"/>
        <v>0</v>
      </c>
      <c r="N440" s="22">
        <f>M439*Assumptions!$B$11/$E$2*J440</f>
        <v>0</v>
      </c>
      <c r="O440" s="22">
        <f>M439*Assumptions!$B$13/$E$2*J440</f>
        <v>0</v>
      </c>
      <c r="P440" s="22">
        <f>H440*Assumptions!$B$15</f>
        <v>0</v>
      </c>
      <c r="Q440" s="22">
        <f>O440*Assumptions!$B$17</f>
        <v>0</v>
      </c>
      <c r="R440" s="22">
        <f>HLOOKUP(B440,Assumptions!$A$26:$D$27,2,TRUE)</f>
        <v>0</v>
      </c>
      <c r="S440">
        <f t="shared" si="95"/>
        <v>0</v>
      </c>
      <c r="T440">
        <f t="shared" si="91"/>
        <v>0.3333333333333357</v>
      </c>
      <c r="U440">
        <f>IF(B440&gt;$K$2,0,IF(T441=0,0,(1-T441)*Assumptions!$B$11/$E$2*(1-Assumptions!$B$30)))</f>
        <v>0</v>
      </c>
      <c r="V440" s="22">
        <f>(N440-O440)*(1-Assumptions!$B$30)-Q440+U439*M439</f>
        <v>0</v>
      </c>
      <c r="W440" s="22">
        <f>W439*(1+Assumptions!$B$36)^(1/12)</f>
        <v>1.4272140510774074</v>
      </c>
      <c r="X440" s="19">
        <f>IF(B440&gt;$K$2,0,W439*Assumptions!$B$32/12*M439+V440*Assumptions!$B$34/12)</f>
        <v>0</v>
      </c>
      <c r="Y440" s="20">
        <f>1/(1+HLOOKUP(YEAR(A440),Assumptions!$A$41:$AL$43,3,TRUE))^(1/12)</f>
        <v>0.99757644752594421</v>
      </c>
      <c r="Z440" s="22">
        <f t="shared" si="101"/>
        <v>0</v>
      </c>
      <c r="AA440">
        <f t="shared" si="96"/>
        <v>0</v>
      </c>
    </row>
    <row r="441" spans="1:27" x14ac:dyDescent="0.2">
      <c r="A441" s="2">
        <f t="shared" si="97"/>
        <v>56188</v>
      </c>
      <c r="B441">
        <f t="shared" si="93"/>
        <v>522</v>
      </c>
      <c r="C441" s="22">
        <f t="shared" si="98"/>
        <v>43.416666666666664</v>
      </c>
      <c r="D441" s="22">
        <f t="shared" si="99"/>
        <v>0</v>
      </c>
      <c r="E441" s="22">
        <f t="shared" si="87"/>
        <v>98</v>
      </c>
      <c r="F441" s="22">
        <f>IF(C441&gt;=$J$2,0,VLOOKUP($E441,'Mortality Table'!$A$3:$C$128,2+G$2,FALSE))</f>
        <v>0</v>
      </c>
      <c r="G441">
        <f>F441*Assumptions!$B$1</f>
        <v>0</v>
      </c>
      <c r="H441">
        <f t="shared" si="88"/>
        <v>0</v>
      </c>
      <c r="I441" s="22">
        <f>HLOOKUP(C441,Assumptions!$A$6:$J$7,2,TRUE)</f>
        <v>2.6499999999999999E-2</v>
      </c>
      <c r="J441" s="22">
        <f t="shared" si="84"/>
        <v>0</v>
      </c>
      <c r="K441" s="22">
        <f t="shared" si="89"/>
        <v>0</v>
      </c>
      <c r="L441" s="22">
        <f t="shared" si="100"/>
        <v>0</v>
      </c>
      <c r="M441" s="22">
        <f t="shared" si="90"/>
        <v>0</v>
      </c>
      <c r="N441" s="22">
        <f>M440*Assumptions!$B$11/$E$2*J441</f>
        <v>0</v>
      </c>
      <c r="O441" s="22">
        <f>M440*Assumptions!$B$13/$E$2*J441</f>
        <v>0</v>
      </c>
      <c r="P441" s="22">
        <f>H441*Assumptions!$B$15</f>
        <v>0</v>
      </c>
      <c r="Q441" s="22">
        <f>O441*Assumptions!$B$17</f>
        <v>0</v>
      </c>
      <c r="R441" s="22">
        <f>HLOOKUP(B441,Assumptions!$A$26:$D$27,2,TRUE)</f>
        <v>0</v>
      </c>
      <c r="S441">
        <f t="shared" si="95"/>
        <v>0</v>
      </c>
      <c r="T441">
        <f t="shared" si="91"/>
        <v>0.4166666666666643</v>
      </c>
      <c r="U441">
        <f>IF(B441&gt;$K$2,0,IF(T442=0,0,(1-T442)*Assumptions!$B$11/$E$2*(1-Assumptions!$B$30)))</f>
        <v>0</v>
      </c>
      <c r="V441" s="22">
        <f>(N441-O441)*(1-Assumptions!$B$30)-Q441+U440*M440</f>
        <v>0</v>
      </c>
      <c r="W441" s="22">
        <f>W440*(1+Assumptions!$B$36)^(1/12)</f>
        <v>1.4283979795301065</v>
      </c>
      <c r="X441" s="19">
        <f>IF(B441&gt;$K$2,0,W440*Assumptions!$B$32/12*M440+V441*Assumptions!$B$34/12)</f>
        <v>0</v>
      </c>
      <c r="Y441" s="20">
        <f>1/(1+HLOOKUP(YEAR(A441),Assumptions!$A$41:$AL$43,3,TRUE))^(1/12)</f>
        <v>0.99757644752594421</v>
      </c>
      <c r="Z441" s="22">
        <f t="shared" si="101"/>
        <v>0</v>
      </c>
      <c r="AA441">
        <f t="shared" si="96"/>
        <v>0</v>
      </c>
    </row>
    <row r="442" spans="1:27" x14ac:dyDescent="0.2">
      <c r="A442" s="2">
        <f t="shared" si="97"/>
        <v>56218</v>
      </c>
      <c r="B442">
        <f t="shared" si="93"/>
        <v>523</v>
      </c>
      <c r="C442" s="22">
        <f t="shared" si="98"/>
        <v>43.5</v>
      </c>
      <c r="D442" s="22">
        <f t="shared" si="99"/>
        <v>0</v>
      </c>
      <c r="E442" s="22">
        <f t="shared" si="87"/>
        <v>98</v>
      </c>
      <c r="F442" s="22">
        <f>IF(C442&gt;=$J$2,0,VLOOKUP($E442,'Mortality Table'!$A$3:$C$128,2+G$2,FALSE))</f>
        <v>0</v>
      </c>
      <c r="G442">
        <f>F442*Assumptions!$B$1</f>
        <v>0</v>
      </c>
      <c r="H442">
        <f t="shared" si="88"/>
        <v>0</v>
      </c>
      <c r="I442" s="22">
        <f>HLOOKUP(C442,Assumptions!$A$6:$J$7,2,TRUE)</f>
        <v>2.6499999999999999E-2</v>
      </c>
      <c r="J442" s="22">
        <f t="shared" si="84"/>
        <v>0</v>
      </c>
      <c r="K442" s="22">
        <f t="shared" si="89"/>
        <v>0</v>
      </c>
      <c r="L442" s="22">
        <f t="shared" si="100"/>
        <v>0</v>
      </c>
      <c r="M442" s="22">
        <f t="shared" si="90"/>
        <v>0</v>
      </c>
      <c r="N442" s="22">
        <f>M441*Assumptions!$B$11/$E$2*J442</f>
        <v>0</v>
      </c>
      <c r="O442" s="22">
        <f>M441*Assumptions!$B$13/$E$2*J442</f>
        <v>0</v>
      </c>
      <c r="P442" s="22">
        <f>H442*Assumptions!$B$15</f>
        <v>0</v>
      </c>
      <c r="Q442" s="22">
        <f>O442*Assumptions!$B$17</f>
        <v>0</v>
      </c>
      <c r="R442" s="22">
        <f>HLOOKUP(B442,Assumptions!$A$26:$D$27,2,TRUE)</f>
        <v>0</v>
      </c>
      <c r="S442">
        <f t="shared" si="95"/>
        <v>0</v>
      </c>
      <c r="T442">
        <f t="shared" si="91"/>
        <v>0.5</v>
      </c>
      <c r="U442">
        <f>IF(B442&gt;$K$2,0,IF(T443=0,0,(1-T443)*Assumptions!$B$11/$E$2*(1-Assumptions!$B$30)))</f>
        <v>0</v>
      </c>
      <c r="V442" s="22">
        <f>(N442-O442)*(1-Assumptions!$B$30)-Q442+U441*M441</f>
        <v>0</v>
      </c>
      <c r="W442" s="22">
        <f>W441*(1+Assumptions!$B$36)^(1/12)</f>
        <v>1.4295828900965817</v>
      </c>
      <c r="X442" s="19">
        <f>IF(B442&gt;$K$2,0,W441*Assumptions!$B$32/12*M441+V442*Assumptions!$B$34/12)</f>
        <v>0</v>
      </c>
      <c r="Y442" s="20">
        <f>1/(1+HLOOKUP(YEAR(A442),Assumptions!$A$41:$AL$43,3,TRUE))^(1/12)</f>
        <v>0.99757644752594421</v>
      </c>
      <c r="Z442" s="22">
        <f t="shared" si="101"/>
        <v>0</v>
      </c>
      <c r="AA442">
        <f t="shared" si="96"/>
        <v>0</v>
      </c>
    </row>
    <row r="443" spans="1:27" x14ac:dyDescent="0.2">
      <c r="A443" s="2">
        <f t="shared" si="97"/>
        <v>56249</v>
      </c>
      <c r="B443">
        <f t="shared" si="93"/>
        <v>524</v>
      </c>
      <c r="C443" s="22">
        <f t="shared" si="98"/>
        <v>43.583333333333336</v>
      </c>
      <c r="D443" s="22">
        <f t="shared" si="99"/>
        <v>0</v>
      </c>
      <c r="E443" s="22">
        <f t="shared" si="87"/>
        <v>98</v>
      </c>
      <c r="F443" s="22">
        <f>IF(C443&gt;=$J$2,0,VLOOKUP($E443,'Mortality Table'!$A$3:$C$128,2+G$2,FALSE))</f>
        <v>0</v>
      </c>
      <c r="G443">
        <f>F443*Assumptions!$B$1</f>
        <v>0</v>
      </c>
      <c r="H443">
        <f t="shared" si="88"/>
        <v>0</v>
      </c>
      <c r="I443" s="22">
        <f>HLOOKUP(C443,Assumptions!$A$6:$J$7,2,TRUE)</f>
        <v>2.6499999999999999E-2</v>
      </c>
      <c r="J443" s="22">
        <f t="shared" si="84"/>
        <v>0</v>
      </c>
      <c r="K443" s="22">
        <f t="shared" si="89"/>
        <v>0</v>
      </c>
      <c r="L443" s="22">
        <f t="shared" si="100"/>
        <v>0</v>
      </c>
      <c r="M443" s="22">
        <f t="shared" si="90"/>
        <v>0</v>
      </c>
      <c r="N443" s="22">
        <f>M442*Assumptions!$B$11/$E$2*J443</f>
        <v>0</v>
      </c>
      <c r="O443" s="22">
        <f>M442*Assumptions!$B$13/$E$2*J443</f>
        <v>0</v>
      </c>
      <c r="P443" s="22">
        <f>H443*Assumptions!$B$15</f>
        <v>0</v>
      </c>
      <c r="Q443" s="22">
        <f>O443*Assumptions!$B$17</f>
        <v>0</v>
      </c>
      <c r="R443" s="22">
        <f>HLOOKUP(B443,Assumptions!$A$26:$D$27,2,TRUE)</f>
        <v>0</v>
      </c>
      <c r="S443">
        <f t="shared" si="95"/>
        <v>0</v>
      </c>
      <c r="T443">
        <f t="shared" si="91"/>
        <v>0.5833333333333357</v>
      </c>
      <c r="U443">
        <f>IF(B443&gt;$K$2,0,IF(T444=0,0,(1-T444)*Assumptions!$B$11/$E$2*(1-Assumptions!$B$30)))</f>
        <v>0</v>
      </c>
      <c r="V443" s="22">
        <f>(N443-O443)*(1-Assumptions!$B$30)-Q443+U442*M442</f>
        <v>0</v>
      </c>
      <c r="W443" s="22">
        <f>W442*(1+Assumptions!$B$36)^(1/12)</f>
        <v>1.4307687835915339</v>
      </c>
      <c r="X443" s="19">
        <f>IF(B443&gt;$K$2,0,W442*Assumptions!$B$32/12*M442+V443*Assumptions!$B$34/12)</f>
        <v>0</v>
      </c>
      <c r="Y443" s="20">
        <f>1/(1+HLOOKUP(YEAR(A443),Assumptions!$A$41:$AL$43,3,TRUE))^(1/12)</f>
        <v>0.99757644752594421</v>
      </c>
      <c r="Z443" s="22">
        <f t="shared" si="101"/>
        <v>0</v>
      </c>
      <c r="AA443">
        <f t="shared" si="96"/>
        <v>0</v>
      </c>
    </row>
    <row r="444" spans="1:27" x14ac:dyDescent="0.2">
      <c r="A444" s="2">
        <f t="shared" si="97"/>
        <v>56280</v>
      </c>
      <c r="B444">
        <f t="shared" si="93"/>
        <v>525</v>
      </c>
      <c r="C444" s="22">
        <f t="shared" si="98"/>
        <v>43.666666666666664</v>
      </c>
      <c r="D444" s="22">
        <f t="shared" si="99"/>
        <v>0</v>
      </c>
      <c r="E444" s="22">
        <f t="shared" si="87"/>
        <v>98</v>
      </c>
      <c r="F444" s="22">
        <f>IF(C444&gt;=$J$2,0,VLOOKUP($E444,'Mortality Table'!$A$3:$C$128,2+G$2,FALSE))</f>
        <v>0</v>
      </c>
      <c r="G444">
        <f>F444*Assumptions!$B$1</f>
        <v>0</v>
      </c>
      <c r="H444">
        <f t="shared" si="88"/>
        <v>0</v>
      </c>
      <c r="I444" s="22">
        <f>HLOOKUP(C444,Assumptions!$A$6:$J$7,2,TRUE)</f>
        <v>2.6499999999999999E-2</v>
      </c>
      <c r="J444" s="22">
        <f t="shared" si="84"/>
        <v>0</v>
      </c>
      <c r="K444" s="22">
        <f t="shared" si="89"/>
        <v>0</v>
      </c>
      <c r="L444" s="22">
        <f t="shared" si="100"/>
        <v>0</v>
      </c>
      <c r="M444" s="22">
        <f t="shared" si="90"/>
        <v>0</v>
      </c>
      <c r="N444" s="22">
        <f>M443*Assumptions!$B$11/$E$2*J444</f>
        <v>0</v>
      </c>
      <c r="O444" s="22">
        <f>M443*Assumptions!$B$13/$E$2*J444</f>
        <v>0</v>
      </c>
      <c r="P444" s="22">
        <f>H444*Assumptions!$B$15</f>
        <v>0</v>
      </c>
      <c r="Q444" s="22">
        <f>O444*Assumptions!$B$17</f>
        <v>0</v>
      </c>
      <c r="R444" s="22">
        <f>HLOOKUP(B444,Assumptions!$A$26:$D$27,2,TRUE)</f>
        <v>0</v>
      </c>
      <c r="S444">
        <f t="shared" si="95"/>
        <v>0</v>
      </c>
      <c r="T444">
        <f t="shared" si="91"/>
        <v>0.6666666666666643</v>
      </c>
      <c r="U444">
        <f>IF(B444&gt;$K$2,0,IF(T445=0,0,(1-T445)*Assumptions!$B$11/$E$2*(1-Assumptions!$B$30)))</f>
        <v>0</v>
      </c>
      <c r="V444" s="22">
        <f>(N444-O444)*(1-Assumptions!$B$30)-Q444+U443*M443</f>
        <v>0</v>
      </c>
      <c r="W444" s="22">
        <f>W443*(1+Assumptions!$B$36)^(1/12)</f>
        <v>1.4319556608303399</v>
      </c>
      <c r="X444" s="19">
        <f>IF(B444&gt;$K$2,0,W443*Assumptions!$B$32/12*M443+V444*Assumptions!$B$34/12)</f>
        <v>0</v>
      </c>
      <c r="Y444" s="20">
        <f>1/(1+HLOOKUP(YEAR(A444),Assumptions!$A$41:$AL$43,3,TRUE))^(1/12)</f>
        <v>0.99757644752594421</v>
      </c>
      <c r="Z444" s="22">
        <f t="shared" si="101"/>
        <v>0</v>
      </c>
      <c r="AA444">
        <f t="shared" si="96"/>
        <v>0</v>
      </c>
    </row>
    <row r="445" spans="1:27" x14ac:dyDescent="0.2">
      <c r="A445" s="2">
        <f t="shared" si="97"/>
        <v>56308</v>
      </c>
      <c r="B445">
        <f t="shared" si="93"/>
        <v>526</v>
      </c>
      <c r="C445" s="22">
        <f t="shared" si="98"/>
        <v>43.75</v>
      </c>
      <c r="D445" s="22">
        <f t="shared" si="99"/>
        <v>0</v>
      </c>
      <c r="E445" s="22">
        <f t="shared" si="87"/>
        <v>98</v>
      </c>
      <c r="F445" s="22">
        <f>IF(C445&gt;=$J$2,0,VLOOKUP($E445,'Mortality Table'!$A$3:$C$128,2+G$2,FALSE))</f>
        <v>0</v>
      </c>
      <c r="G445">
        <f>F445*Assumptions!$B$1</f>
        <v>0</v>
      </c>
      <c r="H445">
        <f t="shared" si="88"/>
        <v>0</v>
      </c>
      <c r="I445" s="22">
        <f>HLOOKUP(C445,Assumptions!$A$6:$J$7,2,TRUE)</f>
        <v>2.6499999999999999E-2</v>
      </c>
      <c r="J445" s="22">
        <f t="shared" si="84"/>
        <v>0</v>
      </c>
      <c r="K445" s="22">
        <f t="shared" si="89"/>
        <v>0</v>
      </c>
      <c r="L445" s="22">
        <f t="shared" si="100"/>
        <v>0</v>
      </c>
      <c r="M445" s="22">
        <f t="shared" si="90"/>
        <v>0</v>
      </c>
      <c r="N445" s="22">
        <f>M444*Assumptions!$B$11/$E$2*J445</f>
        <v>0</v>
      </c>
      <c r="O445" s="22">
        <f>M444*Assumptions!$B$13/$E$2*J445</f>
        <v>0</v>
      </c>
      <c r="P445" s="22">
        <f>H445*Assumptions!$B$15</f>
        <v>0</v>
      </c>
      <c r="Q445" s="22">
        <f>O445*Assumptions!$B$17</f>
        <v>0</v>
      </c>
      <c r="R445" s="22">
        <f>HLOOKUP(B445,Assumptions!$A$26:$D$27,2,TRUE)</f>
        <v>0</v>
      </c>
      <c r="S445">
        <f t="shared" si="95"/>
        <v>0</v>
      </c>
      <c r="T445">
        <f t="shared" si="91"/>
        <v>0.75</v>
      </c>
      <c r="U445">
        <f>IF(B445&gt;$K$2,0,IF(T446=0,0,(1-T446)*Assumptions!$B$11/$E$2*(1-Assumptions!$B$30)))</f>
        <v>0</v>
      </c>
      <c r="V445" s="22">
        <f>(N445-O445)*(1-Assumptions!$B$30)-Q445+U444*M444</f>
        <v>0</v>
      </c>
      <c r="W445" s="22">
        <f>W444*(1+Assumptions!$B$36)^(1/12)</f>
        <v>1.4331435226290523</v>
      </c>
      <c r="X445" s="19">
        <f>IF(B445&gt;$K$2,0,W444*Assumptions!$B$32/12*M444+V445*Assumptions!$B$34/12)</f>
        <v>0</v>
      </c>
      <c r="Y445" s="20">
        <f>1/(1+HLOOKUP(YEAR(A445),Assumptions!$A$41:$AL$43,3,TRUE))^(1/12)</f>
        <v>0.99757644752594421</v>
      </c>
      <c r="Z445" s="22">
        <f t="shared" si="101"/>
        <v>0</v>
      </c>
      <c r="AA445">
        <f t="shared" si="96"/>
        <v>0</v>
      </c>
    </row>
    <row r="446" spans="1:27" x14ac:dyDescent="0.2">
      <c r="A446" s="2">
        <f t="shared" si="97"/>
        <v>56339</v>
      </c>
      <c r="B446">
        <f t="shared" si="93"/>
        <v>527</v>
      </c>
      <c r="C446" s="22">
        <f t="shared" si="98"/>
        <v>43.833333333333336</v>
      </c>
      <c r="D446" s="22">
        <f t="shared" si="99"/>
        <v>0</v>
      </c>
      <c r="E446" s="22">
        <f t="shared" si="87"/>
        <v>98</v>
      </c>
      <c r="F446" s="22">
        <f>IF(C446&gt;=$J$2,0,VLOOKUP($E446,'Mortality Table'!$A$3:$C$128,2+G$2,FALSE))</f>
        <v>0</v>
      </c>
      <c r="G446">
        <f>F446*Assumptions!$B$1</f>
        <v>0</v>
      </c>
      <c r="H446">
        <f t="shared" si="88"/>
        <v>0</v>
      </c>
      <c r="I446" s="22">
        <f>HLOOKUP(C446,Assumptions!$A$6:$J$7,2,TRUE)</f>
        <v>2.6499999999999999E-2</v>
      </c>
      <c r="J446" s="22">
        <f t="shared" si="84"/>
        <v>0</v>
      </c>
      <c r="K446" s="22">
        <f t="shared" si="89"/>
        <v>0</v>
      </c>
      <c r="L446" s="22">
        <f t="shared" si="100"/>
        <v>0</v>
      </c>
      <c r="M446" s="22">
        <f t="shared" si="90"/>
        <v>0</v>
      </c>
      <c r="N446" s="22">
        <f>M445*Assumptions!$B$11/$E$2*J446</f>
        <v>0</v>
      </c>
      <c r="O446" s="22">
        <f>M445*Assumptions!$B$13/$E$2*J446</f>
        <v>0</v>
      </c>
      <c r="P446" s="22">
        <f>H446*Assumptions!$B$15</f>
        <v>0</v>
      </c>
      <c r="Q446" s="22">
        <f>O446*Assumptions!$B$17</f>
        <v>0</v>
      </c>
      <c r="R446" s="22">
        <f>HLOOKUP(B446,Assumptions!$A$26:$D$27,2,TRUE)</f>
        <v>0</v>
      </c>
      <c r="S446">
        <f t="shared" si="95"/>
        <v>0</v>
      </c>
      <c r="T446">
        <f t="shared" si="91"/>
        <v>0.8333333333333357</v>
      </c>
      <c r="U446">
        <f>IF(B446&gt;$K$2,0,IF(T447=0,0,(1-T447)*Assumptions!$B$11/$E$2*(1-Assumptions!$B$30)))</f>
        <v>0</v>
      </c>
      <c r="V446" s="22">
        <f>(N446-O446)*(1-Assumptions!$B$30)-Q446+U445*M445</f>
        <v>0</v>
      </c>
      <c r="W446" s="22">
        <f>W445*(1+Assumptions!$B$36)^(1/12)</f>
        <v>1.4343323698044015</v>
      </c>
      <c r="X446" s="19">
        <f>IF(B446&gt;$K$2,0,W445*Assumptions!$B$32/12*M445+V446*Assumptions!$B$34/12)</f>
        <v>0</v>
      </c>
      <c r="Y446" s="20">
        <f>1/(1+HLOOKUP(YEAR(A446),Assumptions!$A$41:$AL$43,3,TRUE))^(1/12)</f>
        <v>0.99757644752594421</v>
      </c>
      <c r="Z446" s="22">
        <f t="shared" si="101"/>
        <v>0</v>
      </c>
      <c r="AA446">
        <f t="shared" si="96"/>
        <v>0</v>
      </c>
    </row>
    <row r="447" spans="1:27" x14ac:dyDescent="0.2">
      <c r="A447" s="2">
        <f t="shared" si="97"/>
        <v>56369</v>
      </c>
      <c r="B447">
        <f t="shared" si="93"/>
        <v>528</v>
      </c>
      <c r="C447" s="22">
        <f t="shared" si="98"/>
        <v>43.916666666666664</v>
      </c>
      <c r="D447" s="22">
        <f t="shared" si="99"/>
        <v>0</v>
      </c>
      <c r="E447" s="22">
        <f t="shared" si="87"/>
        <v>98</v>
      </c>
      <c r="F447" s="22">
        <f>IF(C447&gt;=$J$2,0,VLOOKUP($E447,'Mortality Table'!$A$3:$C$128,2+G$2,FALSE))</f>
        <v>0</v>
      </c>
      <c r="G447">
        <f>F447*Assumptions!$B$1</f>
        <v>0</v>
      </c>
      <c r="H447">
        <f t="shared" si="88"/>
        <v>0</v>
      </c>
      <c r="I447" s="22">
        <f>HLOOKUP(C447,Assumptions!$A$6:$J$7,2,TRUE)</f>
        <v>2.6499999999999999E-2</v>
      </c>
      <c r="J447" s="22">
        <f t="shared" si="84"/>
        <v>0</v>
      </c>
      <c r="K447" s="22">
        <f t="shared" si="89"/>
        <v>0</v>
      </c>
      <c r="L447" s="22">
        <f t="shared" si="100"/>
        <v>0</v>
      </c>
      <c r="M447" s="22">
        <f t="shared" si="90"/>
        <v>0</v>
      </c>
      <c r="N447" s="22">
        <f>M446*Assumptions!$B$11/$E$2*J447</f>
        <v>0</v>
      </c>
      <c r="O447" s="22">
        <f>M446*Assumptions!$B$13/$E$2*J447</f>
        <v>0</v>
      </c>
      <c r="P447" s="22">
        <f>H447*Assumptions!$B$15</f>
        <v>0</v>
      </c>
      <c r="Q447" s="22">
        <f>O447*Assumptions!$B$17</f>
        <v>0</v>
      </c>
      <c r="R447" s="22">
        <f>HLOOKUP(B447,Assumptions!$A$26:$D$27,2,TRUE)</f>
        <v>0</v>
      </c>
      <c r="S447">
        <f t="shared" si="95"/>
        <v>0</v>
      </c>
      <c r="T447">
        <f t="shared" si="91"/>
        <v>0.9166666666666643</v>
      </c>
      <c r="U447">
        <f>IF(B447&gt;$K$2,0,IF(T448=0,0,(1-T448)*Assumptions!$B$11/$E$2*(1-Assumptions!$B$30)))</f>
        <v>0</v>
      </c>
      <c r="V447" s="22">
        <f>(N447-O447)*(1-Assumptions!$B$30)-Q447+U446*M446</f>
        <v>0</v>
      </c>
      <c r="W447" s="22">
        <f>W446*(1+Assumptions!$B$36)^(1/12)</f>
        <v>1.4355222031737946</v>
      </c>
      <c r="X447" s="19">
        <f>IF(B447&gt;$K$2,0,W446*Assumptions!$B$32/12*M446+V447*Assumptions!$B$34/12)</f>
        <v>0</v>
      </c>
      <c r="Y447" s="20">
        <f>1/(1+HLOOKUP(YEAR(A447),Assumptions!$A$41:$AL$43,3,TRUE))^(1/12)</f>
        <v>0.99757644752594421</v>
      </c>
      <c r="Z447" s="22">
        <f t="shared" si="101"/>
        <v>0</v>
      </c>
      <c r="AA447">
        <f t="shared" si="96"/>
        <v>0</v>
      </c>
    </row>
    <row r="448" spans="1:27" x14ac:dyDescent="0.2">
      <c r="A448" s="2">
        <f t="shared" si="97"/>
        <v>56400</v>
      </c>
      <c r="B448">
        <f t="shared" si="93"/>
        <v>529</v>
      </c>
      <c r="C448" s="22">
        <f t="shared" si="98"/>
        <v>44</v>
      </c>
      <c r="D448" s="22">
        <f t="shared" si="99"/>
        <v>1</v>
      </c>
      <c r="E448" s="22">
        <f t="shared" si="87"/>
        <v>99</v>
      </c>
      <c r="F448" s="22">
        <f>IF(C448&gt;=$J$2,0,VLOOKUP($E448,'Mortality Table'!$A$3:$C$128,2+G$2,FALSE))</f>
        <v>0</v>
      </c>
      <c r="G448">
        <f>F448*Assumptions!$B$1</f>
        <v>0</v>
      </c>
      <c r="H448">
        <f t="shared" si="88"/>
        <v>0</v>
      </c>
      <c r="I448" s="22">
        <f>HLOOKUP(C448,Assumptions!$A$6:$J$7,2,TRUE)</f>
        <v>2.6499999999999999E-2</v>
      </c>
      <c r="J448" s="22">
        <f t="shared" si="84"/>
        <v>0</v>
      </c>
      <c r="K448" s="22">
        <f t="shared" si="89"/>
        <v>0</v>
      </c>
      <c r="L448" s="22">
        <f t="shared" si="100"/>
        <v>0</v>
      </c>
      <c r="M448" s="22">
        <f t="shared" si="90"/>
        <v>0</v>
      </c>
      <c r="N448" s="22">
        <f>M447*Assumptions!$B$11/$E$2*J448</f>
        <v>0</v>
      </c>
      <c r="O448" s="22">
        <f>M447*Assumptions!$B$13/$E$2*J448</f>
        <v>0</v>
      </c>
      <c r="P448" s="22">
        <f>H448*Assumptions!$B$15</f>
        <v>0</v>
      </c>
      <c r="Q448" s="22">
        <f>O448*Assumptions!$B$17</f>
        <v>0</v>
      </c>
      <c r="R448" s="22">
        <f>HLOOKUP(B448,Assumptions!$A$26:$D$27,2,TRUE)</f>
        <v>0</v>
      </c>
      <c r="S448">
        <f t="shared" si="95"/>
        <v>0</v>
      </c>
      <c r="T448">
        <f t="shared" si="91"/>
        <v>0</v>
      </c>
      <c r="U448">
        <f>IF(B448&gt;$K$2,0,IF(T449=0,0,(1-T449)*Assumptions!$B$11/$E$2*(1-Assumptions!$B$30)))</f>
        <v>0</v>
      </c>
      <c r="V448" s="22">
        <f>(N448-O448)*(1-Assumptions!$B$30)-Q448+U447*M447</f>
        <v>0</v>
      </c>
      <c r="W448" s="22">
        <f>W447*(1+Assumptions!$B$36)^(1/12)</f>
        <v>1.4367130235553174</v>
      </c>
      <c r="X448" s="19">
        <f>IF(B448&gt;$K$2,0,W447*Assumptions!$B$32/12*M447+V448*Assumptions!$B$34/12)</f>
        <v>0</v>
      </c>
      <c r="Y448" s="20">
        <f>1/(1+HLOOKUP(YEAR(A448),Assumptions!$A$41:$AL$43,3,TRUE))^(1/12)</f>
        <v>0.99757644752594421</v>
      </c>
      <c r="Z448" s="22">
        <f t="shared" si="101"/>
        <v>0</v>
      </c>
      <c r="AA448">
        <f t="shared" si="96"/>
        <v>0</v>
      </c>
    </row>
    <row r="449" spans="1:27" x14ac:dyDescent="0.2">
      <c r="A449" s="2">
        <f t="shared" si="97"/>
        <v>56430</v>
      </c>
      <c r="B449">
        <f t="shared" si="93"/>
        <v>530</v>
      </c>
      <c r="C449" s="22">
        <f t="shared" si="98"/>
        <v>44.083333333333336</v>
      </c>
      <c r="D449" s="22">
        <f t="shared" si="99"/>
        <v>0</v>
      </c>
      <c r="E449" s="22">
        <f t="shared" si="87"/>
        <v>99</v>
      </c>
      <c r="F449" s="22">
        <f>IF(C449&gt;=$J$2,0,VLOOKUP($E449,'Mortality Table'!$A$3:$C$128,2+G$2,FALSE))</f>
        <v>0</v>
      </c>
      <c r="G449">
        <f>F449*Assumptions!$B$1</f>
        <v>0</v>
      </c>
      <c r="H449">
        <f t="shared" si="88"/>
        <v>0</v>
      </c>
      <c r="I449" s="22">
        <f>HLOOKUP(C449,Assumptions!$A$6:$J$7,2,TRUE)</f>
        <v>2.6499999999999999E-2</v>
      </c>
      <c r="J449" s="22">
        <f t="shared" si="84"/>
        <v>0</v>
      </c>
      <c r="K449" s="22">
        <f t="shared" si="89"/>
        <v>0</v>
      </c>
      <c r="L449" s="22">
        <f t="shared" si="100"/>
        <v>0</v>
      </c>
      <c r="M449" s="22">
        <f t="shared" si="90"/>
        <v>0</v>
      </c>
      <c r="N449" s="22">
        <f>M448*Assumptions!$B$11/$E$2*J449</f>
        <v>0</v>
      </c>
      <c r="O449" s="22">
        <f>M448*Assumptions!$B$13/$E$2*J449</f>
        <v>0</v>
      </c>
      <c r="P449" s="22">
        <f>H449*Assumptions!$B$15</f>
        <v>0</v>
      </c>
      <c r="Q449" s="22">
        <f>O449*Assumptions!$B$17</f>
        <v>0</v>
      </c>
      <c r="R449" s="22">
        <f>HLOOKUP(B449,Assumptions!$A$26:$D$27,2,TRUE)</f>
        <v>0</v>
      </c>
      <c r="S449">
        <f t="shared" si="95"/>
        <v>0</v>
      </c>
      <c r="T449">
        <f t="shared" si="91"/>
        <v>8.3333333333335702E-2</v>
      </c>
      <c r="U449">
        <f>IF(B449&gt;$K$2,0,IF(T450=0,0,(1-T450)*Assumptions!$B$11/$E$2*(1-Assumptions!$B$30)))</f>
        <v>0</v>
      </c>
      <c r="V449" s="22">
        <f>(N449-O449)*(1-Assumptions!$B$30)-Q449+U448*M448</f>
        <v>0</v>
      </c>
      <c r="W449" s="22">
        <f>W448*(1+Assumptions!$B$36)^(1/12)</f>
        <v>1.4379048317677341</v>
      </c>
      <c r="X449" s="19">
        <f>IF(B449&gt;$K$2,0,W448*Assumptions!$B$32/12*M448+V449*Assumptions!$B$34/12)</f>
        <v>0</v>
      </c>
      <c r="Y449" s="20">
        <f>1/(1+HLOOKUP(YEAR(A449),Assumptions!$A$41:$AL$43,3,TRUE))^(1/12)</f>
        <v>0.99757644752594421</v>
      </c>
      <c r="Z449" s="22">
        <f t="shared" si="101"/>
        <v>0</v>
      </c>
      <c r="AA449">
        <f t="shared" si="96"/>
        <v>0</v>
      </c>
    </row>
    <row r="450" spans="1:27" x14ac:dyDescent="0.2">
      <c r="A450" s="2">
        <f t="shared" si="97"/>
        <v>56461</v>
      </c>
      <c r="B450">
        <f t="shared" si="93"/>
        <v>531</v>
      </c>
      <c r="C450" s="22">
        <f t="shared" si="98"/>
        <v>44.166666666666664</v>
      </c>
      <c r="D450" s="22">
        <f t="shared" si="99"/>
        <v>0</v>
      </c>
      <c r="E450" s="22">
        <f t="shared" si="87"/>
        <v>99</v>
      </c>
      <c r="F450" s="22">
        <f>IF(C450&gt;=$J$2,0,VLOOKUP($E450,'Mortality Table'!$A$3:$C$128,2+G$2,FALSE))</f>
        <v>0</v>
      </c>
      <c r="G450">
        <f>F450*Assumptions!$B$1</f>
        <v>0</v>
      </c>
      <c r="H450">
        <f t="shared" si="88"/>
        <v>0</v>
      </c>
      <c r="I450" s="22">
        <f>HLOOKUP(C450,Assumptions!$A$6:$J$7,2,TRUE)</f>
        <v>2.6499999999999999E-2</v>
      </c>
      <c r="J450" s="22">
        <f t="shared" si="84"/>
        <v>0</v>
      </c>
      <c r="K450" s="22">
        <f t="shared" si="89"/>
        <v>0</v>
      </c>
      <c r="L450" s="22">
        <f t="shared" si="100"/>
        <v>0</v>
      </c>
      <c r="M450" s="22">
        <f t="shared" si="90"/>
        <v>0</v>
      </c>
      <c r="N450" s="22">
        <f>M449*Assumptions!$B$11/$E$2*J450</f>
        <v>0</v>
      </c>
      <c r="O450" s="22">
        <f>M449*Assumptions!$B$13/$E$2*J450</f>
        <v>0</v>
      </c>
      <c r="P450" s="22">
        <f>H450*Assumptions!$B$15</f>
        <v>0</v>
      </c>
      <c r="Q450" s="22">
        <f>O450*Assumptions!$B$17</f>
        <v>0</v>
      </c>
      <c r="R450" s="22">
        <f>HLOOKUP(B450,Assumptions!$A$26:$D$27,2,TRUE)</f>
        <v>0</v>
      </c>
      <c r="S450">
        <f t="shared" si="95"/>
        <v>0</v>
      </c>
      <c r="T450">
        <f t="shared" si="91"/>
        <v>0.1666666666666643</v>
      </c>
      <c r="U450">
        <f>IF(B450&gt;$K$2,0,IF(T451=0,0,(1-T451)*Assumptions!$B$11/$E$2*(1-Assumptions!$B$30)))</f>
        <v>0</v>
      </c>
      <c r="V450" s="22">
        <f>(N450-O450)*(1-Assumptions!$B$30)-Q450+U449*M449</f>
        <v>0</v>
      </c>
      <c r="W450" s="22">
        <f>W449*(1+Assumptions!$B$36)^(1/12)</f>
        <v>1.439097628630488</v>
      </c>
      <c r="X450" s="19">
        <f>IF(B450&gt;$K$2,0,W449*Assumptions!$B$32/12*M449+V450*Assumptions!$B$34/12)</f>
        <v>0</v>
      </c>
      <c r="Y450" s="20">
        <f>1/(1+HLOOKUP(YEAR(A450),Assumptions!$A$41:$AL$43,3,TRUE))^(1/12)</f>
        <v>0.99757644752594421</v>
      </c>
      <c r="Z450" s="22">
        <f t="shared" si="101"/>
        <v>0</v>
      </c>
      <c r="AA450">
        <f t="shared" si="96"/>
        <v>0</v>
      </c>
    </row>
    <row r="451" spans="1:27" x14ac:dyDescent="0.2">
      <c r="A451" s="2">
        <f t="shared" si="97"/>
        <v>56492</v>
      </c>
      <c r="B451">
        <f t="shared" si="93"/>
        <v>532</v>
      </c>
      <c r="C451" s="22">
        <f t="shared" si="98"/>
        <v>44.25</v>
      </c>
      <c r="D451" s="22">
        <f t="shared" si="99"/>
        <v>0</v>
      </c>
      <c r="E451" s="22">
        <f t="shared" si="87"/>
        <v>99</v>
      </c>
      <c r="F451" s="22">
        <f>IF(C451&gt;=$J$2,0,VLOOKUP($E451,'Mortality Table'!$A$3:$C$128,2+G$2,FALSE))</f>
        <v>0</v>
      </c>
      <c r="G451">
        <f>F451*Assumptions!$B$1</f>
        <v>0</v>
      </c>
      <c r="H451">
        <f t="shared" si="88"/>
        <v>0</v>
      </c>
      <c r="I451" s="22">
        <f>HLOOKUP(C451,Assumptions!$A$6:$J$7,2,TRUE)</f>
        <v>2.6499999999999999E-2</v>
      </c>
      <c r="J451" s="22">
        <f t="shared" si="84"/>
        <v>0</v>
      </c>
      <c r="K451" s="22">
        <f t="shared" si="89"/>
        <v>0</v>
      </c>
      <c r="L451" s="22">
        <f t="shared" si="100"/>
        <v>0</v>
      </c>
      <c r="M451" s="22">
        <f t="shared" si="90"/>
        <v>0</v>
      </c>
      <c r="N451" s="22">
        <f>M450*Assumptions!$B$11/$E$2*J451</f>
        <v>0</v>
      </c>
      <c r="O451" s="22">
        <f>M450*Assumptions!$B$13/$E$2*J451</f>
        <v>0</v>
      </c>
      <c r="P451" s="22">
        <f>H451*Assumptions!$B$15</f>
        <v>0</v>
      </c>
      <c r="Q451" s="22">
        <f>O451*Assumptions!$B$17</f>
        <v>0</v>
      </c>
      <c r="R451" s="22">
        <f>HLOOKUP(B451,Assumptions!$A$26:$D$27,2,TRUE)</f>
        <v>0</v>
      </c>
      <c r="S451">
        <f t="shared" si="95"/>
        <v>0</v>
      </c>
      <c r="T451">
        <f t="shared" si="91"/>
        <v>0.25</v>
      </c>
      <c r="U451">
        <f>IF(B451&gt;$K$2,0,IF(T452=0,0,(1-T452)*Assumptions!$B$11/$E$2*(1-Assumptions!$B$30)))</f>
        <v>0</v>
      </c>
      <c r="V451" s="22">
        <f>(N451-O451)*(1-Assumptions!$B$30)-Q451+U450*M450</f>
        <v>0</v>
      </c>
      <c r="W451" s="22">
        <f>W450*(1+Assumptions!$B$36)^(1/12)</f>
        <v>1.4402914149637021</v>
      </c>
      <c r="X451" s="19">
        <f>IF(B451&gt;$K$2,0,W450*Assumptions!$B$32/12*M450+V451*Assumptions!$B$34/12)</f>
        <v>0</v>
      </c>
      <c r="Y451" s="20">
        <f>1/(1+HLOOKUP(YEAR(A451),Assumptions!$A$41:$AL$43,3,TRUE))^(1/12)</f>
        <v>0.99757644752594421</v>
      </c>
      <c r="Z451" s="22">
        <f t="shared" si="101"/>
        <v>0</v>
      </c>
      <c r="AA451">
        <f t="shared" si="96"/>
        <v>0</v>
      </c>
    </row>
    <row r="452" spans="1:27" x14ac:dyDescent="0.2">
      <c r="A452" s="2">
        <f t="shared" si="97"/>
        <v>56522</v>
      </c>
      <c r="B452">
        <f t="shared" si="93"/>
        <v>533</v>
      </c>
      <c r="C452" s="22">
        <f t="shared" si="98"/>
        <v>44.333333333333336</v>
      </c>
      <c r="D452" s="22">
        <f t="shared" si="99"/>
        <v>0</v>
      </c>
      <c r="E452" s="22">
        <f t="shared" si="87"/>
        <v>99</v>
      </c>
      <c r="F452" s="22">
        <f>IF(C452&gt;=$J$2,0,VLOOKUP($E452,'Mortality Table'!$A$3:$C$128,2+G$2,FALSE))</f>
        <v>0</v>
      </c>
      <c r="G452">
        <f>F452*Assumptions!$B$1</f>
        <v>0</v>
      </c>
      <c r="H452">
        <f t="shared" si="88"/>
        <v>0</v>
      </c>
      <c r="I452" s="22">
        <f>HLOOKUP(C452,Assumptions!$A$6:$J$7,2,TRUE)</f>
        <v>2.6499999999999999E-2</v>
      </c>
      <c r="J452" s="22">
        <f t="shared" si="84"/>
        <v>0</v>
      </c>
      <c r="K452" s="22">
        <f t="shared" si="89"/>
        <v>0</v>
      </c>
      <c r="L452" s="22">
        <f t="shared" si="100"/>
        <v>0</v>
      </c>
      <c r="M452" s="22">
        <f t="shared" si="90"/>
        <v>0</v>
      </c>
      <c r="N452" s="22">
        <f>M451*Assumptions!$B$11/$E$2*J452</f>
        <v>0</v>
      </c>
      <c r="O452" s="22">
        <f>M451*Assumptions!$B$13/$E$2*J452</f>
        <v>0</v>
      </c>
      <c r="P452" s="22">
        <f>H452*Assumptions!$B$15</f>
        <v>0</v>
      </c>
      <c r="Q452" s="22">
        <f>O452*Assumptions!$B$17</f>
        <v>0</v>
      </c>
      <c r="R452" s="22">
        <f>HLOOKUP(B452,Assumptions!$A$26:$D$27,2,TRUE)</f>
        <v>0</v>
      </c>
      <c r="S452">
        <f t="shared" si="95"/>
        <v>0</v>
      </c>
      <c r="T452">
        <f t="shared" si="91"/>
        <v>0.3333333333333357</v>
      </c>
      <c r="U452">
        <f>IF(B452&gt;$K$2,0,IF(T453=0,0,(1-T453)*Assumptions!$B$11/$E$2*(1-Assumptions!$B$30)))</f>
        <v>0</v>
      </c>
      <c r="V452" s="22">
        <f>(N452-O452)*(1-Assumptions!$B$30)-Q452+U451*M451</f>
        <v>0</v>
      </c>
      <c r="W452" s="22">
        <f>W451*(1+Assumptions!$B$36)^(1/12)</f>
        <v>1.44148619158818</v>
      </c>
      <c r="X452" s="19">
        <f>IF(B452&gt;$K$2,0,W451*Assumptions!$B$32/12*M451+V452*Assumptions!$B$34/12)</f>
        <v>0</v>
      </c>
      <c r="Y452" s="20">
        <f>1/(1+HLOOKUP(YEAR(A452),Assumptions!$A$41:$AL$43,3,TRUE))^(1/12)</f>
        <v>0.99757644752594421</v>
      </c>
      <c r="Z452" s="22">
        <f t="shared" si="101"/>
        <v>0</v>
      </c>
      <c r="AA452">
        <f t="shared" si="96"/>
        <v>0</v>
      </c>
    </row>
    <row r="453" spans="1:27" x14ac:dyDescent="0.2">
      <c r="A453" s="2">
        <f t="shared" si="97"/>
        <v>56553</v>
      </c>
      <c r="B453">
        <f t="shared" si="93"/>
        <v>534</v>
      </c>
      <c r="C453" s="22">
        <f t="shared" si="98"/>
        <v>44.416666666666664</v>
      </c>
      <c r="D453" s="22">
        <f t="shared" si="99"/>
        <v>0</v>
      </c>
      <c r="E453" s="22">
        <f t="shared" si="87"/>
        <v>99</v>
      </c>
      <c r="F453" s="22">
        <f>IF(C453&gt;=$J$2,0,VLOOKUP($E453,'Mortality Table'!$A$3:$C$128,2+G$2,FALSE))</f>
        <v>0</v>
      </c>
      <c r="G453">
        <f>F453*Assumptions!$B$1</f>
        <v>0</v>
      </c>
      <c r="H453">
        <f t="shared" si="88"/>
        <v>0</v>
      </c>
      <c r="I453" s="22">
        <f>HLOOKUP(C453,Assumptions!$A$6:$J$7,2,TRUE)</f>
        <v>2.6499999999999999E-2</v>
      </c>
      <c r="J453" s="22">
        <f t="shared" si="84"/>
        <v>0</v>
      </c>
      <c r="K453" s="22">
        <f t="shared" si="89"/>
        <v>0</v>
      </c>
      <c r="L453" s="22">
        <f t="shared" si="100"/>
        <v>0</v>
      </c>
      <c r="M453" s="22">
        <f t="shared" si="90"/>
        <v>0</v>
      </c>
      <c r="N453" s="22">
        <f>M452*Assumptions!$B$11/$E$2*J453</f>
        <v>0</v>
      </c>
      <c r="O453" s="22">
        <f>M452*Assumptions!$B$13/$E$2*J453</f>
        <v>0</v>
      </c>
      <c r="P453" s="22">
        <f>H453*Assumptions!$B$15</f>
        <v>0</v>
      </c>
      <c r="Q453" s="22">
        <f>O453*Assumptions!$B$17</f>
        <v>0</v>
      </c>
      <c r="R453" s="22">
        <f>HLOOKUP(B453,Assumptions!$A$26:$D$27,2,TRUE)</f>
        <v>0</v>
      </c>
      <c r="S453">
        <f t="shared" si="95"/>
        <v>0</v>
      </c>
      <c r="T453">
        <f t="shared" si="91"/>
        <v>0.4166666666666643</v>
      </c>
      <c r="U453">
        <f>IF(B453&gt;$K$2,0,IF(T454=0,0,(1-T454)*Assumptions!$B$11/$E$2*(1-Assumptions!$B$30)))</f>
        <v>0</v>
      </c>
      <c r="V453" s="22">
        <f>(N453-O453)*(1-Assumptions!$B$30)-Q453+U452*M452</f>
        <v>0</v>
      </c>
      <c r="W453" s="22">
        <f>W452*(1+Assumptions!$B$36)^(1/12)</f>
        <v>1.4426819593254061</v>
      </c>
      <c r="X453" s="19">
        <f>IF(B453&gt;$K$2,0,W452*Assumptions!$B$32/12*M452+V453*Assumptions!$B$34/12)</f>
        <v>0</v>
      </c>
      <c r="Y453" s="20">
        <f>1/(1+HLOOKUP(YEAR(A453),Assumptions!$A$41:$AL$43,3,TRUE))^(1/12)</f>
        <v>0.99757644752594421</v>
      </c>
      <c r="Z453" s="22">
        <f t="shared" si="101"/>
        <v>0</v>
      </c>
      <c r="AA453">
        <f t="shared" si="96"/>
        <v>0</v>
      </c>
    </row>
    <row r="454" spans="1:27" x14ac:dyDescent="0.2">
      <c r="A454" s="2">
        <f t="shared" si="97"/>
        <v>56583</v>
      </c>
      <c r="B454">
        <f t="shared" si="93"/>
        <v>535</v>
      </c>
      <c r="C454" s="22">
        <f t="shared" si="98"/>
        <v>44.5</v>
      </c>
      <c r="D454" s="22">
        <f t="shared" si="99"/>
        <v>0</v>
      </c>
      <c r="E454" s="22">
        <f t="shared" si="87"/>
        <v>99</v>
      </c>
      <c r="F454" s="22">
        <f>IF(C454&gt;=$J$2,0,VLOOKUP($E454,'Mortality Table'!$A$3:$C$128,2+G$2,FALSE))</f>
        <v>0</v>
      </c>
      <c r="G454">
        <f>F454*Assumptions!$B$1</f>
        <v>0</v>
      </c>
      <c r="H454">
        <f t="shared" si="88"/>
        <v>0</v>
      </c>
      <c r="I454" s="22">
        <f>HLOOKUP(C454,Assumptions!$A$6:$J$7,2,TRUE)</f>
        <v>2.6499999999999999E-2</v>
      </c>
      <c r="J454" s="22">
        <f t="shared" si="84"/>
        <v>0</v>
      </c>
      <c r="K454" s="22">
        <f t="shared" si="89"/>
        <v>0</v>
      </c>
      <c r="L454" s="22">
        <f t="shared" si="100"/>
        <v>0</v>
      </c>
      <c r="M454" s="22">
        <f t="shared" si="90"/>
        <v>0</v>
      </c>
      <c r="N454" s="22">
        <f>M453*Assumptions!$B$11/$E$2*J454</f>
        <v>0</v>
      </c>
      <c r="O454" s="22">
        <f>M453*Assumptions!$B$13/$E$2*J454</f>
        <v>0</v>
      </c>
      <c r="P454" s="22">
        <f>H454*Assumptions!$B$15</f>
        <v>0</v>
      </c>
      <c r="Q454" s="22">
        <f>O454*Assumptions!$B$17</f>
        <v>0</v>
      </c>
      <c r="R454" s="22">
        <f>HLOOKUP(B454,Assumptions!$A$26:$D$27,2,TRUE)</f>
        <v>0</v>
      </c>
      <c r="S454">
        <f t="shared" si="95"/>
        <v>0</v>
      </c>
      <c r="T454">
        <f t="shared" si="91"/>
        <v>0.5</v>
      </c>
      <c r="U454">
        <f>IF(B454&gt;$K$2,0,IF(T455=0,0,(1-T455)*Assumptions!$B$11/$E$2*(1-Assumptions!$B$30)))</f>
        <v>0</v>
      </c>
      <c r="V454" s="22">
        <f>(N454-O454)*(1-Assumptions!$B$30)-Q454+U453*M453</f>
        <v>0</v>
      </c>
      <c r="W454" s="22">
        <f>W453*(1+Assumptions!$B$36)^(1/12)</f>
        <v>1.4438787189975462</v>
      </c>
      <c r="X454" s="19">
        <f>IF(B454&gt;$K$2,0,W453*Assumptions!$B$32/12*M453+V454*Assumptions!$B$34/12)</f>
        <v>0</v>
      </c>
      <c r="Y454" s="20">
        <f>1/(1+HLOOKUP(YEAR(A454),Assumptions!$A$41:$AL$43,3,TRUE))^(1/12)</f>
        <v>0.99757644752594421</v>
      </c>
      <c r="Z454" s="22">
        <f t="shared" si="101"/>
        <v>0</v>
      </c>
      <c r="AA454">
        <f t="shared" si="96"/>
        <v>0</v>
      </c>
    </row>
    <row r="455" spans="1:27" x14ac:dyDescent="0.2">
      <c r="A455" s="2">
        <f t="shared" si="97"/>
        <v>56614</v>
      </c>
      <c r="B455">
        <f t="shared" si="93"/>
        <v>536</v>
      </c>
      <c r="C455" s="22">
        <f t="shared" si="98"/>
        <v>44.583333333333336</v>
      </c>
      <c r="D455" s="22">
        <f t="shared" si="99"/>
        <v>0</v>
      </c>
      <c r="E455" s="22">
        <f t="shared" si="87"/>
        <v>99</v>
      </c>
      <c r="F455" s="22">
        <f>IF(C455&gt;=$J$2,0,VLOOKUP($E455,'Mortality Table'!$A$3:$C$128,2+G$2,FALSE))</f>
        <v>0</v>
      </c>
      <c r="G455">
        <f>F455*Assumptions!$B$1</f>
        <v>0</v>
      </c>
      <c r="H455">
        <f t="shared" si="88"/>
        <v>0</v>
      </c>
      <c r="I455" s="22">
        <f>HLOOKUP(C455,Assumptions!$A$6:$J$7,2,TRUE)</f>
        <v>2.6499999999999999E-2</v>
      </c>
      <c r="J455" s="22">
        <f t="shared" si="84"/>
        <v>0</v>
      </c>
      <c r="K455" s="22">
        <f t="shared" si="89"/>
        <v>0</v>
      </c>
      <c r="L455" s="22">
        <f t="shared" si="100"/>
        <v>0</v>
      </c>
      <c r="M455" s="22">
        <f t="shared" si="90"/>
        <v>0</v>
      </c>
      <c r="N455" s="22">
        <f>M454*Assumptions!$B$11/$E$2*J455</f>
        <v>0</v>
      </c>
      <c r="O455" s="22">
        <f>M454*Assumptions!$B$13/$E$2*J455</f>
        <v>0</v>
      </c>
      <c r="P455" s="22">
        <f>H455*Assumptions!$B$15</f>
        <v>0</v>
      </c>
      <c r="Q455" s="22">
        <f>O455*Assumptions!$B$17</f>
        <v>0</v>
      </c>
      <c r="R455" s="22">
        <f>HLOOKUP(B455,Assumptions!$A$26:$D$27,2,TRUE)</f>
        <v>0</v>
      </c>
      <c r="S455">
        <f t="shared" si="95"/>
        <v>0</v>
      </c>
      <c r="T455">
        <f t="shared" si="91"/>
        <v>0.5833333333333357</v>
      </c>
      <c r="U455">
        <f>IF(B455&gt;$K$2,0,IF(T456=0,0,(1-T456)*Assumptions!$B$11/$E$2*(1-Assumptions!$B$30)))</f>
        <v>0</v>
      </c>
      <c r="V455" s="22">
        <f>(N455-O455)*(1-Assumptions!$B$30)-Q455+U454*M454</f>
        <v>0</v>
      </c>
      <c r="W455" s="22">
        <f>W454*(1+Assumptions!$B$36)^(1/12)</f>
        <v>1.445076471427448</v>
      </c>
      <c r="X455" s="19">
        <f>IF(B455&gt;$K$2,0,W454*Assumptions!$B$32/12*M454+V455*Assumptions!$B$34/12)</f>
        <v>0</v>
      </c>
      <c r="Y455" s="20">
        <f>1/(1+HLOOKUP(YEAR(A455),Assumptions!$A$41:$AL$43,3,TRUE))^(1/12)</f>
        <v>0.99757644752594421</v>
      </c>
      <c r="Z455" s="22">
        <f t="shared" si="101"/>
        <v>0</v>
      </c>
      <c r="AA455">
        <f t="shared" si="96"/>
        <v>0</v>
      </c>
    </row>
    <row r="456" spans="1:27" x14ac:dyDescent="0.2">
      <c r="A456" s="2">
        <f t="shared" si="97"/>
        <v>56645</v>
      </c>
      <c r="B456">
        <f t="shared" si="93"/>
        <v>537</v>
      </c>
      <c r="C456" s="22">
        <f t="shared" si="98"/>
        <v>44.666666666666664</v>
      </c>
      <c r="D456" s="22">
        <f t="shared" si="99"/>
        <v>0</v>
      </c>
      <c r="E456" s="22">
        <f t="shared" si="87"/>
        <v>99</v>
      </c>
      <c r="F456" s="22">
        <f>IF(C456&gt;=$J$2,0,VLOOKUP($E456,'Mortality Table'!$A$3:$C$128,2+G$2,FALSE))</f>
        <v>0</v>
      </c>
      <c r="G456">
        <f>F456*Assumptions!$B$1</f>
        <v>0</v>
      </c>
      <c r="H456">
        <f t="shared" si="88"/>
        <v>0</v>
      </c>
      <c r="I456" s="22">
        <f>HLOOKUP(C456,Assumptions!$A$6:$J$7,2,TRUE)</f>
        <v>2.6499999999999999E-2</v>
      </c>
      <c r="J456" s="22">
        <f t="shared" si="84"/>
        <v>0</v>
      </c>
      <c r="K456" s="22">
        <f t="shared" si="89"/>
        <v>0</v>
      </c>
      <c r="L456" s="22">
        <f t="shared" si="100"/>
        <v>0</v>
      </c>
      <c r="M456" s="22">
        <f t="shared" si="90"/>
        <v>0</v>
      </c>
      <c r="N456" s="22">
        <f>M455*Assumptions!$B$11/$E$2*J456</f>
        <v>0</v>
      </c>
      <c r="O456" s="22">
        <f>M455*Assumptions!$B$13/$E$2*J456</f>
        <v>0</v>
      </c>
      <c r="P456" s="22">
        <f>H456*Assumptions!$B$15</f>
        <v>0</v>
      </c>
      <c r="Q456" s="22">
        <f>O456*Assumptions!$B$17</f>
        <v>0</v>
      </c>
      <c r="R456" s="22">
        <f>HLOOKUP(B456,Assumptions!$A$26:$D$27,2,TRUE)</f>
        <v>0</v>
      </c>
      <c r="S456">
        <f t="shared" si="95"/>
        <v>0</v>
      </c>
      <c r="T456">
        <f t="shared" si="91"/>
        <v>0.6666666666666643</v>
      </c>
      <c r="U456">
        <f>IF(B456&gt;$K$2,0,IF(T457=0,0,(1-T457)*Assumptions!$B$11/$E$2*(1-Assumptions!$B$30)))</f>
        <v>0</v>
      </c>
      <c r="V456" s="22">
        <f>(N456-O456)*(1-Assumptions!$B$30)-Q456+U455*M455</f>
        <v>0</v>
      </c>
      <c r="W456" s="22">
        <f>W455*(1+Assumptions!$B$36)^(1/12)</f>
        <v>1.446275217438642</v>
      </c>
      <c r="X456" s="19">
        <f>IF(B456&gt;$K$2,0,W455*Assumptions!$B$32/12*M455+V456*Assumptions!$B$34/12)</f>
        <v>0</v>
      </c>
      <c r="Y456" s="20">
        <f>1/(1+HLOOKUP(YEAR(A456),Assumptions!$A$41:$AL$43,3,TRUE))^(1/12)</f>
        <v>0.99757644752594421</v>
      </c>
      <c r="Z456" s="22">
        <f t="shared" si="101"/>
        <v>0</v>
      </c>
      <c r="AA456">
        <f t="shared" si="96"/>
        <v>0</v>
      </c>
    </row>
    <row r="457" spans="1:27" x14ac:dyDescent="0.2">
      <c r="A457" s="2">
        <f t="shared" si="97"/>
        <v>56673</v>
      </c>
      <c r="B457">
        <f t="shared" si="93"/>
        <v>538</v>
      </c>
      <c r="C457" s="22">
        <f t="shared" si="98"/>
        <v>44.75</v>
      </c>
      <c r="D457" s="22">
        <f t="shared" si="99"/>
        <v>0</v>
      </c>
      <c r="E457" s="22">
        <f t="shared" si="87"/>
        <v>99</v>
      </c>
      <c r="F457" s="22">
        <f>IF(C457&gt;=$J$2,0,VLOOKUP($E457,'Mortality Table'!$A$3:$C$128,2+G$2,FALSE))</f>
        <v>0</v>
      </c>
      <c r="G457">
        <f>F457*Assumptions!$B$1</f>
        <v>0</v>
      </c>
      <c r="H457">
        <f t="shared" si="88"/>
        <v>0</v>
      </c>
      <c r="I457" s="22">
        <f>HLOOKUP(C457,Assumptions!$A$6:$J$7,2,TRUE)</f>
        <v>2.6499999999999999E-2</v>
      </c>
      <c r="J457" s="22">
        <f t="shared" si="84"/>
        <v>0</v>
      </c>
      <c r="K457" s="22">
        <f t="shared" si="89"/>
        <v>0</v>
      </c>
      <c r="L457" s="22">
        <f t="shared" si="100"/>
        <v>0</v>
      </c>
      <c r="M457" s="22">
        <f t="shared" si="90"/>
        <v>0</v>
      </c>
      <c r="N457" s="22">
        <f>M456*Assumptions!$B$11/$E$2*J457</f>
        <v>0</v>
      </c>
      <c r="O457" s="22">
        <f>M456*Assumptions!$B$13/$E$2*J457</f>
        <v>0</v>
      </c>
      <c r="P457" s="22">
        <f>H457*Assumptions!$B$15</f>
        <v>0</v>
      </c>
      <c r="Q457" s="22">
        <f>O457*Assumptions!$B$17</f>
        <v>0</v>
      </c>
      <c r="R457" s="22">
        <f>HLOOKUP(B457,Assumptions!$A$26:$D$27,2,TRUE)</f>
        <v>0</v>
      </c>
      <c r="S457">
        <f t="shared" si="95"/>
        <v>0</v>
      </c>
      <c r="T457">
        <f t="shared" si="91"/>
        <v>0.75</v>
      </c>
      <c r="U457">
        <f>IF(B457&gt;$K$2,0,IF(T458=0,0,(1-T458)*Assumptions!$B$11/$E$2*(1-Assumptions!$B$30)))</f>
        <v>0</v>
      </c>
      <c r="V457" s="22">
        <f>(N457-O457)*(1-Assumptions!$B$30)-Q457+U456*M456</f>
        <v>0</v>
      </c>
      <c r="W457" s="22">
        <f>W456*(1+Assumptions!$B$36)^(1/12)</f>
        <v>1.4474749578553416</v>
      </c>
      <c r="X457" s="19">
        <f>IF(B457&gt;$K$2,0,W456*Assumptions!$B$32/12*M456+V457*Assumptions!$B$34/12)</f>
        <v>0</v>
      </c>
      <c r="Y457" s="20">
        <f>1/(1+HLOOKUP(YEAR(A457),Assumptions!$A$41:$AL$43,3,TRUE))^(1/12)</f>
        <v>0.99757644752594421</v>
      </c>
      <c r="Z457" s="22">
        <f t="shared" si="101"/>
        <v>0</v>
      </c>
      <c r="AA457">
        <f t="shared" si="96"/>
        <v>0</v>
      </c>
    </row>
    <row r="458" spans="1:27" x14ac:dyDescent="0.2">
      <c r="A458" s="2">
        <f t="shared" si="97"/>
        <v>56704</v>
      </c>
      <c r="B458">
        <f t="shared" si="93"/>
        <v>539</v>
      </c>
      <c r="C458" s="22">
        <f t="shared" si="98"/>
        <v>44.833333333333336</v>
      </c>
      <c r="D458" s="22">
        <f t="shared" si="99"/>
        <v>0</v>
      </c>
      <c r="E458" s="22">
        <f t="shared" si="87"/>
        <v>99</v>
      </c>
      <c r="F458" s="22">
        <f>IF(C458&gt;=$J$2,0,VLOOKUP($E458,'Mortality Table'!$A$3:$C$128,2+G$2,FALSE))</f>
        <v>0</v>
      </c>
      <c r="G458">
        <f>F458*Assumptions!$B$1</f>
        <v>0</v>
      </c>
      <c r="H458">
        <f t="shared" si="88"/>
        <v>0</v>
      </c>
      <c r="I458" s="22">
        <f>HLOOKUP(C458,Assumptions!$A$6:$J$7,2,TRUE)</f>
        <v>2.6499999999999999E-2</v>
      </c>
      <c r="J458" s="22">
        <f t="shared" si="84"/>
        <v>0</v>
      </c>
      <c r="K458" s="22">
        <f t="shared" si="89"/>
        <v>0</v>
      </c>
      <c r="L458" s="22">
        <f t="shared" si="100"/>
        <v>0</v>
      </c>
      <c r="M458" s="22">
        <f t="shared" si="90"/>
        <v>0</v>
      </c>
      <c r="N458" s="22">
        <f>M457*Assumptions!$B$11/$E$2*J458</f>
        <v>0</v>
      </c>
      <c r="O458" s="22">
        <f>M457*Assumptions!$B$13/$E$2*J458</f>
        <v>0</v>
      </c>
      <c r="P458" s="22">
        <f>H458*Assumptions!$B$15</f>
        <v>0</v>
      </c>
      <c r="Q458" s="22">
        <f>O458*Assumptions!$B$17</f>
        <v>0</v>
      </c>
      <c r="R458" s="22">
        <f>HLOOKUP(B458,Assumptions!$A$26:$D$27,2,TRUE)</f>
        <v>0</v>
      </c>
      <c r="S458">
        <f t="shared" si="95"/>
        <v>0</v>
      </c>
      <c r="T458">
        <f t="shared" si="91"/>
        <v>0.8333333333333357</v>
      </c>
      <c r="U458">
        <f>IF(B458&gt;$K$2,0,IF(T459=0,0,(1-T459)*Assumptions!$B$11/$E$2*(1-Assumptions!$B$30)))</f>
        <v>0</v>
      </c>
      <c r="V458" s="22">
        <f>(N458-O458)*(1-Assumptions!$B$30)-Q458+U457*M457</f>
        <v>0</v>
      </c>
      <c r="W458" s="22">
        <f>W457*(1+Assumptions!$B$36)^(1/12)</f>
        <v>1.4486756935024443</v>
      </c>
      <c r="X458" s="19">
        <f>IF(B458&gt;$K$2,0,W457*Assumptions!$B$32/12*M457+V458*Assumptions!$B$34/12)</f>
        <v>0</v>
      </c>
      <c r="Y458" s="20">
        <f>1/(1+HLOOKUP(YEAR(A458),Assumptions!$A$41:$AL$43,3,TRUE))^(1/12)</f>
        <v>0.99757644752594421</v>
      </c>
      <c r="Z458" s="22">
        <f t="shared" si="101"/>
        <v>0</v>
      </c>
      <c r="AA458">
        <f t="shared" si="96"/>
        <v>0</v>
      </c>
    </row>
    <row r="459" spans="1:27" x14ac:dyDescent="0.2">
      <c r="A459" s="2">
        <f t="shared" si="97"/>
        <v>56734</v>
      </c>
      <c r="B459">
        <f t="shared" si="93"/>
        <v>540</v>
      </c>
      <c r="C459" s="22">
        <f t="shared" si="98"/>
        <v>44.916666666666664</v>
      </c>
      <c r="D459" s="22">
        <f t="shared" si="99"/>
        <v>0</v>
      </c>
      <c r="E459" s="22">
        <f t="shared" si="87"/>
        <v>99</v>
      </c>
      <c r="F459" s="22">
        <f>IF(C459&gt;=$J$2,0,VLOOKUP($E459,'Mortality Table'!$A$3:$C$128,2+G$2,FALSE))</f>
        <v>0</v>
      </c>
      <c r="G459">
        <f>F459*Assumptions!$B$1</f>
        <v>0</v>
      </c>
      <c r="H459">
        <f t="shared" si="88"/>
        <v>0</v>
      </c>
      <c r="I459" s="22">
        <f>HLOOKUP(C459,Assumptions!$A$6:$J$7,2,TRUE)</f>
        <v>2.6499999999999999E-2</v>
      </c>
      <c r="J459" s="22">
        <f t="shared" ref="J459:J503" si="102">IF(B459&gt;$K$2,0,IF(($E$2*(B459+11))/12-INT(($E$2*(B459+11))/12)=0,1,0))</f>
        <v>0</v>
      </c>
      <c r="K459" s="22">
        <f t="shared" si="89"/>
        <v>0</v>
      </c>
      <c r="L459" s="22">
        <f t="shared" si="100"/>
        <v>0</v>
      </c>
      <c r="M459" s="22">
        <f t="shared" si="90"/>
        <v>0</v>
      </c>
      <c r="N459" s="22">
        <f>M458*Assumptions!$B$11/$E$2*J459</f>
        <v>0</v>
      </c>
      <c r="O459" s="22">
        <f>M458*Assumptions!$B$13/$E$2*J459</f>
        <v>0</v>
      </c>
      <c r="P459" s="22">
        <f>H459*Assumptions!$B$15</f>
        <v>0</v>
      </c>
      <c r="Q459" s="22">
        <f>O459*Assumptions!$B$17</f>
        <v>0</v>
      </c>
      <c r="R459" s="22">
        <f>HLOOKUP(B459,Assumptions!$A$26:$D$27,2,TRUE)</f>
        <v>0</v>
      </c>
      <c r="S459">
        <f t="shared" si="95"/>
        <v>0</v>
      </c>
      <c r="T459">
        <f t="shared" si="91"/>
        <v>0.9166666666666643</v>
      </c>
      <c r="U459">
        <f>IF(B459&gt;$K$2,0,IF(T460=0,0,(1-T460)*Assumptions!$B$11/$E$2*(1-Assumptions!$B$30)))</f>
        <v>0</v>
      </c>
      <c r="V459" s="22">
        <f>(N459-O459)*(1-Assumptions!$B$30)-Q459+U458*M458</f>
        <v>0</v>
      </c>
      <c r="W459" s="22">
        <f>W458*(1+Assumptions!$B$36)^(1/12)</f>
        <v>1.4498774252055315</v>
      </c>
      <c r="X459" s="19">
        <f>IF(B459&gt;$K$2,0,W458*Assumptions!$B$32/12*M458+V459*Assumptions!$B$34/12)</f>
        <v>0</v>
      </c>
      <c r="Y459" s="20">
        <f>1/(1+HLOOKUP(YEAR(A459),Assumptions!$A$41:$AL$43,3,TRUE))^(1/12)</f>
        <v>0.99757644752594421</v>
      </c>
      <c r="Z459" s="22">
        <f t="shared" si="101"/>
        <v>0</v>
      </c>
      <c r="AA459">
        <f t="shared" si="96"/>
        <v>0</v>
      </c>
    </row>
    <row r="460" spans="1:27" x14ac:dyDescent="0.2">
      <c r="A460" s="2">
        <f t="shared" si="97"/>
        <v>56765</v>
      </c>
      <c r="B460">
        <f t="shared" si="93"/>
        <v>541</v>
      </c>
      <c r="C460" s="22">
        <f t="shared" si="98"/>
        <v>45</v>
      </c>
      <c r="D460" s="22">
        <f t="shared" si="99"/>
        <v>1</v>
      </c>
      <c r="E460" s="22">
        <f t="shared" ref="E460:E523" si="103">$C$2+INT($C460)</f>
        <v>100</v>
      </c>
      <c r="F460" s="22">
        <f>IF(C460&gt;=$J$2,0,VLOOKUP($E460,'Mortality Table'!$A$3:$C$128,2+G$2,FALSE))</f>
        <v>0</v>
      </c>
      <c r="G460">
        <f>F460*Assumptions!$B$1</f>
        <v>0</v>
      </c>
      <c r="H460">
        <f t="shared" ref="H460:H503" si="104">(1-(1-G460)^(1/12))*M459</f>
        <v>0</v>
      </c>
      <c r="I460" s="22">
        <f>HLOOKUP(C460,Assumptions!$A$6:$J$7,2,TRUE)</f>
        <v>2.6499999999999999E-2</v>
      </c>
      <c r="J460" s="22">
        <f t="shared" si="102"/>
        <v>0</v>
      </c>
      <c r="K460" s="22">
        <f t="shared" ref="K460:K503" si="105">IF(B461&gt;$K$2,0,IF(J461=0,0,1/$E$2))</f>
        <v>0</v>
      </c>
      <c r="L460" s="22">
        <f t="shared" si="100"/>
        <v>0</v>
      </c>
      <c r="M460" s="22">
        <f t="shared" ref="M460:M503" si="106">IF(B460&gt;$K$2,0,M459-H460-L460)</f>
        <v>0</v>
      </c>
      <c r="N460" s="22">
        <f>M459*Assumptions!$B$11/$E$2*J460</f>
        <v>0</v>
      </c>
      <c r="O460" s="22">
        <f>M459*Assumptions!$B$13/$E$2*J460</f>
        <v>0</v>
      </c>
      <c r="P460" s="22">
        <f>H460*Assumptions!$B$15</f>
        <v>0</v>
      </c>
      <c r="Q460" s="22">
        <f>O460*Assumptions!$B$17</f>
        <v>0</v>
      </c>
      <c r="R460" s="22">
        <f>HLOOKUP(B460,Assumptions!$A$26:$D$27,2,TRUE)</f>
        <v>0</v>
      </c>
      <c r="S460">
        <f t="shared" si="95"/>
        <v>0</v>
      </c>
      <c r="T460">
        <f t="shared" ref="T460:T503" si="107">($E$2*(B460+11))/12-INT(($E$2*(B460+11))/12)</f>
        <v>0</v>
      </c>
      <c r="U460">
        <f>IF(B460&gt;$K$2,0,IF(T461=0,0,(1-T461)*Assumptions!$B$11/$E$2*(1-Assumptions!$B$30)))</f>
        <v>0</v>
      </c>
      <c r="V460" s="22">
        <f>(N460-O460)*(1-Assumptions!$B$30)-Q460+U459*M459</f>
        <v>0</v>
      </c>
      <c r="W460" s="22">
        <f>W459*(1+Assumptions!$B$36)^(1/12)</f>
        <v>1.4510801537908695</v>
      </c>
      <c r="X460" s="19">
        <f>IF(B460&gt;$K$2,0,W459*Assumptions!$B$32/12*M459+V460*Assumptions!$B$34/12)</f>
        <v>0</v>
      </c>
      <c r="Y460" s="20">
        <f>1/(1+HLOOKUP(YEAR(A460),Assumptions!$A$41:$AL$43,3,TRUE))^(1/12)</f>
        <v>0.99757644752594421</v>
      </c>
      <c r="Z460" s="22">
        <f t="shared" si="101"/>
        <v>0</v>
      </c>
      <c r="AA460">
        <f t="shared" si="96"/>
        <v>0</v>
      </c>
    </row>
    <row r="461" spans="1:27" x14ac:dyDescent="0.2">
      <c r="A461" s="2">
        <f t="shared" si="97"/>
        <v>56795</v>
      </c>
      <c r="B461">
        <f t="shared" ref="B461:B524" si="108">B460+1</f>
        <v>542</v>
      </c>
      <c r="C461" s="22">
        <f t="shared" si="98"/>
        <v>45.083333333333336</v>
      </c>
      <c r="D461" s="22">
        <f t="shared" si="99"/>
        <v>0</v>
      </c>
      <c r="E461" s="22">
        <f t="shared" si="103"/>
        <v>100</v>
      </c>
      <c r="F461" s="22">
        <f>IF(C461&gt;=$J$2,0,VLOOKUP($E461,'Mortality Table'!$A$3:$C$128,2+G$2,FALSE))</f>
        <v>0</v>
      </c>
      <c r="G461">
        <f>F461*Assumptions!$B$1</f>
        <v>0</v>
      </c>
      <c r="H461">
        <f t="shared" si="104"/>
        <v>0</v>
      </c>
      <c r="I461" s="22">
        <f>HLOOKUP(C461,Assumptions!$A$6:$J$7,2,TRUE)</f>
        <v>2.6499999999999999E-2</v>
      </c>
      <c r="J461" s="22">
        <f t="shared" si="102"/>
        <v>0</v>
      </c>
      <c r="K461" s="22">
        <f t="shared" si="105"/>
        <v>0</v>
      </c>
      <c r="L461" s="22">
        <f t="shared" si="100"/>
        <v>0</v>
      </c>
      <c r="M461" s="22">
        <f t="shared" si="106"/>
        <v>0</v>
      </c>
      <c r="N461" s="22">
        <f>M460*Assumptions!$B$11/$E$2*J461</f>
        <v>0</v>
      </c>
      <c r="O461" s="22">
        <f>M460*Assumptions!$B$13/$E$2*J461</f>
        <v>0</v>
      </c>
      <c r="P461" s="22">
        <f>H461*Assumptions!$B$15</f>
        <v>0</v>
      </c>
      <c r="Q461" s="22">
        <f>O461*Assumptions!$B$17</f>
        <v>0</v>
      </c>
      <c r="R461" s="22">
        <f>HLOOKUP(B461,Assumptions!$A$26:$D$27,2,TRUE)</f>
        <v>0</v>
      </c>
      <c r="S461">
        <f t="shared" ref="S461:S503" si="109">N461*R461</f>
        <v>0</v>
      </c>
      <c r="T461">
        <f t="shared" si="107"/>
        <v>8.3333333333335702E-2</v>
      </c>
      <c r="U461">
        <f>IF(B461&gt;$K$2,0,IF(T462=0,0,(1-T462)*Assumptions!$B$11/$E$2*(1-Assumptions!$B$30)))</f>
        <v>0</v>
      </c>
      <c r="V461" s="22">
        <f>(N461-O461)*(1-Assumptions!$B$30)-Q461+U460*M460</f>
        <v>0</v>
      </c>
      <c r="W461" s="22">
        <f>W460*(1+Assumptions!$B$36)^(1/12)</f>
        <v>1.4522838800854103</v>
      </c>
      <c r="X461" s="19">
        <f>IF(B461&gt;$K$2,0,W460*Assumptions!$B$32/12*M460+V461*Assumptions!$B$34/12)</f>
        <v>0</v>
      </c>
      <c r="Y461" s="20">
        <f>1/(1+HLOOKUP(YEAR(A461),Assumptions!$A$41:$AL$43,3,TRUE))^(1/12)</f>
        <v>0.99757644752594421</v>
      </c>
      <c r="Z461" s="22">
        <f t="shared" si="101"/>
        <v>0</v>
      </c>
      <c r="AA461">
        <f t="shared" ref="AA461:AA503" si="110">P461+Q461</f>
        <v>0</v>
      </c>
    </row>
    <row r="462" spans="1:27" x14ac:dyDescent="0.2">
      <c r="A462" s="2">
        <f t="shared" si="97"/>
        <v>56826</v>
      </c>
      <c r="B462">
        <f t="shared" si="108"/>
        <v>543</v>
      </c>
      <c r="C462" s="22">
        <f t="shared" si="98"/>
        <v>45.166666666666664</v>
      </c>
      <c r="D462" s="22">
        <f t="shared" si="99"/>
        <v>0</v>
      </c>
      <c r="E462" s="22">
        <f t="shared" si="103"/>
        <v>100</v>
      </c>
      <c r="F462" s="22">
        <f>IF(C462&gt;=$J$2,0,VLOOKUP($E462,'Mortality Table'!$A$3:$C$128,2+G$2,FALSE))</f>
        <v>0</v>
      </c>
      <c r="G462">
        <f>F462*Assumptions!$B$1</f>
        <v>0</v>
      </c>
      <c r="H462">
        <f t="shared" si="104"/>
        <v>0</v>
      </c>
      <c r="I462" s="22">
        <f>HLOOKUP(C462,Assumptions!$A$6:$J$7,2,TRUE)</f>
        <v>2.6499999999999999E-2</v>
      </c>
      <c r="J462" s="22">
        <f t="shared" si="102"/>
        <v>0</v>
      </c>
      <c r="K462" s="22">
        <f t="shared" si="105"/>
        <v>0</v>
      </c>
      <c r="L462" s="22">
        <f t="shared" si="100"/>
        <v>0</v>
      </c>
      <c r="M462" s="22">
        <f t="shared" si="106"/>
        <v>0</v>
      </c>
      <c r="N462" s="22">
        <f>M461*Assumptions!$B$11/$E$2*J462</f>
        <v>0</v>
      </c>
      <c r="O462" s="22">
        <f>M461*Assumptions!$B$13/$E$2*J462</f>
        <v>0</v>
      </c>
      <c r="P462" s="22">
        <f>H462*Assumptions!$B$15</f>
        <v>0</v>
      </c>
      <c r="Q462" s="22">
        <f>O462*Assumptions!$B$17</f>
        <v>0</v>
      </c>
      <c r="R462" s="22">
        <f>HLOOKUP(B462,Assumptions!$A$26:$D$27,2,TRUE)</f>
        <v>0</v>
      </c>
      <c r="S462">
        <f t="shared" si="109"/>
        <v>0</v>
      </c>
      <c r="T462">
        <f t="shared" si="107"/>
        <v>0.1666666666666643</v>
      </c>
      <c r="U462">
        <f>IF(B462&gt;$K$2,0,IF(T463=0,0,(1-T463)*Assumptions!$B$11/$E$2*(1-Assumptions!$B$30)))</f>
        <v>0</v>
      </c>
      <c r="V462" s="22">
        <f>(N462-O462)*(1-Assumptions!$B$30)-Q462+U461*M461</f>
        <v>0</v>
      </c>
      <c r="W462" s="22">
        <f>W461*(1+Assumptions!$B$36)^(1/12)</f>
        <v>1.4534886049167917</v>
      </c>
      <c r="X462" s="19">
        <f>IF(B462&gt;$K$2,0,W461*Assumptions!$B$32/12*M461+V462*Assumptions!$B$34/12)</f>
        <v>0</v>
      </c>
      <c r="Y462" s="20">
        <f>1/(1+HLOOKUP(YEAR(A462),Assumptions!$A$41:$AL$43,3,TRUE))^(1/12)</f>
        <v>0.99757644752594421</v>
      </c>
      <c r="Z462" s="22">
        <f t="shared" si="101"/>
        <v>0</v>
      </c>
      <c r="AA462">
        <f t="shared" si="110"/>
        <v>0</v>
      </c>
    </row>
    <row r="463" spans="1:27" x14ac:dyDescent="0.2">
      <c r="A463" s="2">
        <f t="shared" ref="A463:A526" si="111">DATE(YEAR(A462),MONTH(A462)+2,1)-1</f>
        <v>56857</v>
      </c>
      <c r="B463">
        <f t="shared" si="108"/>
        <v>544</v>
      </c>
      <c r="C463" s="22">
        <f t="shared" si="98"/>
        <v>45.25</v>
      </c>
      <c r="D463" s="22">
        <f t="shared" si="99"/>
        <v>0</v>
      </c>
      <c r="E463" s="22">
        <f t="shared" si="103"/>
        <v>100</v>
      </c>
      <c r="F463" s="22">
        <f>IF(C463&gt;=$J$2,0,VLOOKUP($E463,'Mortality Table'!$A$3:$C$128,2+G$2,FALSE))</f>
        <v>0</v>
      </c>
      <c r="G463">
        <f>F463*Assumptions!$B$1</f>
        <v>0</v>
      </c>
      <c r="H463">
        <f t="shared" si="104"/>
        <v>0</v>
      </c>
      <c r="I463" s="22">
        <f>HLOOKUP(C463,Assumptions!$A$6:$J$7,2,TRUE)</f>
        <v>2.6499999999999999E-2</v>
      </c>
      <c r="J463" s="22">
        <f t="shared" si="102"/>
        <v>0</v>
      </c>
      <c r="K463" s="22">
        <f t="shared" si="105"/>
        <v>0</v>
      </c>
      <c r="L463" s="22">
        <f t="shared" si="100"/>
        <v>0</v>
      </c>
      <c r="M463" s="22">
        <f t="shared" si="106"/>
        <v>0</v>
      </c>
      <c r="N463" s="22">
        <f>M462*Assumptions!$B$11/$E$2*J463</f>
        <v>0</v>
      </c>
      <c r="O463" s="22">
        <f>M462*Assumptions!$B$13/$E$2*J463</f>
        <v>0</v>
      </c>
      <c r="P463" s="22">
        <f>H463*Assumptions!$B$15</f>
        <v>0</v>
      </c>
      <c r="Q463" s="22">
        <f>O463*Assumptions!$B$17</f>
        <v>0</v>
      </c>
      <c r="R463" s="22">
        <f>HLOOKUP(B463,Assumptions!$A$26:$D$27,2,TRUE)</f>
        <v>0</v>
      </c>
      <c r="S463">
        <f t="shared" si="109"/>
        <v>0</v>
      </c>
      <c r="T463">
        <f t="shared" si="107"/>
        <v>0.25</v>
      </c>
      <c r="U463">
        <f>IF(B463&gt;$K$2,0,IF(T464=0,0,(1-T464)*Assumptions!$B$11/$E$2*(1-Assumptions!$B$30)))</f>
        <v>0</v>
      </c>
      <c r="V463" s="22">
        <f>(N463-O463)*(1-Assumptions!$B$30)-Q463+U462*M462</f>
        <v>0</v>
      </c>
      <c r="W463" s="22">
        <f>W462*(1+Assumptions!$B$36)^(1/12)</f>
        <v>1.4546943291133381</v>
      </c>
      <c r="X463" s="19">
        <f>IF(B463&gt;$K$2,0,W462*Assumptions!$B$32/12*M462+V463*Assumptions!$B$34/12)</f>
        <v>0</v>
      </c>
      <c r="Y463" s="20">
        <f>1/(1+HLOOKUP(YEAR(A463),Assumptions!$A$41:$AL$43,3,TRUE))^(1/12)</f>
        <v>0.99757644752594421</v>
      </c>
      <c r="Z463" s="22">
        <f t="shared" si="101"/>
        <v>0</v>
      </c>
      <c r="AA463">
        <f t="shared" si="110"/>
        <v>0</v>
      </c>
    </row>
    <row r="464" spans="1:27" x14ac:dyDescent="0.2">
      <c r="A464" s="2">
        <f t="shared" si="111"/>
        <v>56887</v>
      </c>
      <c r="B464">
        <f t="shared" si="108"/>
        <v>545</v>
      </c>
      <c r="C464" s="22">
        <f t="shared" si="98"/>
        <v>45.333333333333336</v>
      </c>
      <c r="D464" s="22">
        <f t="shared" si="99"/>
        <v>0</v>
      </c>
      <c r="E464" s="22">
        <f t="shared" si="103"/>
        <v>100</v>
      </c>
      <c r="F464" s="22">
        <f>IF(C464&gt;=$J$2,0,VLOOKUP($E464,'Mortality Table'!$A$3:$C$128,2+G$2,FALSE))</f>
        <v>0</v>
      </c>
      <c r="G464">
        <f>F464*Assumptions!$B$1</f>
        <v>0</v>
      </c>
      <c r="H464">
        <f t="shared" si="104"/>
        <v>0</v>
      </c>
      <c r="I464" s="22">
        <f>HLOOKUP(C464,Assumptions!$A$6:$J$7,2,TRUE)</f>
        <v>2.6499999999999999E-2</v>
      </c>
      <c r="J464" s="22">
        <f t="shared" si="102"/>
        <v>0</v>
      </c>
      <c r="K464" s="22">
        <f t="shared" si="105"/>
        <v>0</v>
      </c>
      <c r="L464" s="22">
        <f t="shared" si="100"/>
        <v>0</v>
      </c>
      <c r="M464" s="22">
        <f t="shared" si="106"/>
        <v>0</v>
      </c>
      <c r="N464" s="22">
        <f>M463*Assumptions!$B$11/$E$2*J464</f>
        <v>0</v>
      </c>
      <c r="O464" s="22">
        <f>M463*Assumptions!$B$13/$E$2*J464</f>
        <v>0</v>
      </c>
      <c r="P464" s="22">
        <f>H464*Assumptions!$B$15</f>
        <v>0</v>
      </c>
      <c r="Q464" s="22">
        <f>O464*Assumptions!$B$17</f>
        <v>0</v>
      </c>
      <c r="R464" s="22">
        <f>HLOOKUP(B464,Assumptions!$A$26:$D$27,2,TRUE)</f>
        <v>0</v>
      </c>
      <c r="S464">
        <f t="shared" si="109"/>
        <v>0</v>
      </c>
      <c r="T464">
        <f t="shared" si="107"/>
        <v>0.3333333333333357</v>
      </c>
      <c r="U464">
        <f>IF(B464&gt;$K$2,0,IF(T465=0,0,(1-T465)*Assumptions!$B$11/$E$2*(1-Assumptions!$B$30)))</f>
        <v>0</v>
      </c>
      <c r="V464" s="22">
        <f>(N464-O464)*(1-Assumptions!$B$30)-Q464+U463*M463</f>
        <v>0</v>
      </c>
      <c r="W464" s="22">
        <f>W463*(1+Assumptions!$B$36)^(1/12)</f>
        <v>1.4559010535040608</v>
      </c>
      <c r="X464" s="19">
        <f>IF(B464&gt;$K$2,0,W463*Assumptions!$B$32/12*M463+V464*Assumptions!$B$34/12)</f>
        <v>0</v>
      </c>
      <c r="Y464" s="20">
        <f>1/(1+HLOOKUP(YEAR(A464),Assumptions!$A$41:$AL$43,3,TRUE))^(1/12)</f>
        <v>0.99757644752594421</v>
      </c>
      <c r="Z464" s="22">
        <f t="shared" si="101"/>
        <v>0</v>
      </c>
      <c r="AA464">
        <f t="shared" si="110"/>
        <v>0</v>
      </c>
    </row>
    <row r="465" spans="1:27" x14ac:dyDescent="0.2">
      <c r="A465" s="2">
        <f t="shared" si="111"/>
        <v>56918</v>
      </c>
      <c r="B465">
        <f t="shared" si="108"/>
        <v>546</v>
      </c>
      <c r="C465" s="22">
        <f t="shared" si="98"/>
        <v>45.416666666666664</v>
      </c>
      <c r="D465" s="22">
        <f t="shared" si="99"/>
        <v>0</v>
      </c>
      <c r="E465" s="22">
        <f t="shared" si="103"/>
        <v>100</v>
      </c>
      <c r="F465" s="22">
        <f>IF(C465&gt;=$J$2,0,VLOOKUP($E465,'Mortality Table'!$A$3:$C$128,2+G$2,FALSE))</f>
        <v>0</v>
      </c>
      <c r="G465">
        <f>F465*Assumptions!$B$1</f>
        <v>0</v>
      </c>
      <c r="H465">
        <f t="shared" si="104"/>
        <v>0</v>
      </c>
      <c r="I465" s="22">
        <f>HLOOKUP(C465,Assumptions!$A$6:$J$7,2,TRUE)</f>
        <v>2.6499999999999999E-2</v>
      </c>
      <c r="J465" s="22">
        <f t="shared" si="102"/>
        <v>0</v>
      </c>
      <c r="K465" s="22">
        <f t="shared" si="105"/>
        <v>0</v>
      </c>
      <c r="L465" s="22">
        <f t="shared" si="100"/>
        <v>0</v>
      </c>
      <c r="M465" s="22">
        <f t="shared" si="106"/>
        <v>0</v>
      </c>
      <c r="N465" s="22">
        <f>M464*Assumptions!$B$11/$E$2*J465</f>
        <v>0</v>
      </c>
      <c r="O465" s="22">
        <f>M464*Assumptions!$B$13/$E$2*J465</f>
        <v>0</v>
      </c>
      <c r="P465" s="22">
        <f>H465*Assumptions!$B$15</f>
        <v>0</v>
      </c>
      <c r="Q465" s="22">
        <f>O465*Assumptions!$B$17</f>
        <v>0</v>
      </c>
      <c r="R465" s="22">
        <f>HLOOKUP(B465,Assumptions!$A$26:$D$27,2,TRUE)</f>
        <v>0</v>
      </c>
      <c r="S465">
        <f t="shared" si="109"/>
        <v>0</v>
      </c>
      <c r="T465">
        <f t="shared" si="107"/>
        <v>0.4166666666666643</v>
      </c>
      <c r="U465">
        <f>IF(B465&gt;$K$2,0,IF(T466=0,0,(1-T466)*Assumptions!$B$11/$E$2*(1-Assumptions!$B$30)))</f>
        <v>0</v>
      </c>
      <c r="V465" s="22">
        <f>(N465-O465)*(1-Assumptions!$B$30)-Q465+U464*M464</f>
        <v>0</v>
      </c>
      <c r="W465" s="22">
        <f>W464*(1+Assumptions!$B$36)^(1/12)</f>
        <v>1.4571087789186592</v>
      </c>
      <c r="X465" s="19">
        <f>IF(B465&gt;$K$2,0,W464*Assumptions!$B$32/12*M464+V465*Assumptions!$B$34/12)</f>
        <v>0</v>
      </c>
      <c r="Y465" s="20">
        <f>1/(1+HLOOKUP(YEAR(A465),Assumptions!$A$41:$AL$43,3,TRUE))^(1/12)</f>
        <v>0.99757644752594421</v>
      </c>
      <c r="Z465" s="22">
        <f t="shared" si="101"/>
        <v>0</v>
      </c>
      <c r="AA465">
        <f t="shared" si="110"/>
        <v>0</v>
      </c>
    </row>
    <row r="466" spans="1:27" x14ac:dyDescent="0.2">
      <c r="A466" s="2">
        <f t="shared" si="111"/>
        <v>56948</v>
      </c>
      <c r="B466">
        <f t="shared" si="108"/>
        <v>547</v>
      </c>
      <c r="C466" s="22">
        <f t="shared" si="98"/>
        <v>45.5</v>
      </c>
      <c r="D466" s="22">
        <f t="shared" si="99"/>
        <v>0</v>
      </c>
      <c r="E466" s="22">
        <f t="shared" si="103"/>
        <v>100</v>
      </c>
      <c r="F466" s="22">
        <f>IF(C466&gt;=$J$2,0,VLOOKUP($E466,'Mortality Table'!$A$3:$C$128,2+G$2,FALSE))</f>
        <v>0</v>
      </c>
      <c r="G466">
        <f>F466*Assumptions!$B$1</f>
        <v>0</v>
      </c>
      <c r="H466">
        <f t="shared" si="104"/>
        <v>0</v>
      </c>
      <c r="I466" s="22">
        <f>HLOOKUP(C466,Assumptions!$A$6:$J$7,2,TRUE)</f>
        <v>2.6499999999999999E-2</v>
      </c>
      <c r="J466" s="22">
        <f t="shared" si="102"/>
        <v>0</v>
      </c>
      <c r="K466" s="22">
        <f t="shared" si="105"/>
        <v>0</v>
      </c>
      <c r="L466" s="22">
        <f t="shared" si="100"/>
        <v>0</v>
      </c>
      <c r="M466" s="22">
        <f t="shared" si="106"/>
        <v>0</v>
      </c>
      <c r="N466" s="22">
        <f>M465*Assumptions!$B$11/$E$2*J466</f>
        <v>0</v>
      </c>
      <c r="O466" s="22">
        <f>M465*Assumptions!$B$13/$E$2*J466</f>
        <v>0</v>
      </c>
      <c r="P466" s="22">
        <f>H466*Assumptions!$B$15</f>
        <v>0</v>
      </c>
      <c r="Q466" s="22">
        <f>O466*Assumptions!$B$17</f>
        <v>0</v>
      </c>
      <c r="R466" s="22">
        <f>HLOOKUP(B466,Assumptions!$A$26:$D$27,2,TRUE)</f>
        <v>0</v>
      </c>
      <c r="S466">
        <f t="shared" si="109"/>
        <v>0</v>
      </c>
      <c r="T466">
        <f t="shared" si="107"/>
        <v>0.5</v>
      </c>
      <c r="U466">
        <f>IF(B466&gt;$K$2,0,IF(T467=0,0,(1-T467)*Assumptions!$B$11/$E$2*(1-Assumptions!$B$30)))</f>
        <v>0</v>
      </c>
      <c r="V466" s="22">
        <f>(N466-O466)*(1-Assumptions!$B$30)-Q466+U465*M465</f>
        <v>0</v>
      </c>
      <c r="W466" s="22">
        <f>W465*(1+Assumptions!$B$36)^(1/12)</f>
        <v>1.4583175061875207</v>
      </c>
      <c r="X466" s="19">
        <f>IF(B466&gt;$K$2,0,W465*Assumptions!$B$32/12*M465+V466*Assumptions!$B$34/12)</f>
        <v>0</v>
      </c>
      <c r="Y466" s="20">
        <f>1/(1+HLOOKUP(YEAR(A466),Assumptions!$A$41:$AL$43,3,TRUE))^(1/12)</f>
        <v>0.99757644752594421</v>
      </c>
      <c r="Z466" s="22">
        <f t="shared" si="101"/>
        <v>0</v>
      </c>
      <c r="AA466">
        <f t="shared" si="110"/>
        <v>0</v>
      </c>
    </row>
    <row r="467" spans="1:27" x14ac:dyDescent="0.2">
      <c r="A467" s="2">
        <f t="shared" si="111"/>
        <v>56979</v>
      </c>
      <c r="B467">
        <f t="shared" si="108"/>
        <v>548</v>
      </c>
      <c r="C467" s="22">
        <f t="shared" si="98"/>
        <v>45.583333333333336</v>
      </c>
      <c r="D467" s="22">
        <f t="shared" si="99"/>
        <v>0</v>
      </c>
      <c r="E467" s="22">
        <f t="shared" si="103"/>
        <v>100</v>
      </c>
      <c r="F467" s="22">
        <f>IF(C467&gt;=$J$2,0,VLOOKUP($E467,'Mortality Table'!$A$3:$C$128,2+G$2,FALSE))</f>
        <v>0</v>
      </c>
      <c r="G467">
        <f>F467*Assumptions!$B$1</f>
        <v>0</v>
      </c>
      <c r="H467">
        <f t="shared" si="104"/>
        <v>0</v>
      </c>
      <c r="I467" s="22">
        <f>HLOOKUP(C467,Assumptions!$A$6:$J$7,2,TRUE)</f>
        <v>2.6499999999999999E-2</v>
      </c>
      <c r="J467" s="22">
        <f t="shared" si="102"/>
        <v>0</v>
      </c>
      <c r="K467" s="22">
        <f t="shared" si="105"/>
        <v>0</v>
      </c>
      <c r="L467" s="22">
        <f t="shared" si="100"/>
        <v>0</v>
      </c>
      <c r="M467" s="22">
        <f t="shared" si="106"/>
        <v>0</v>
      </c>
      <c r="N467" s="22">
        <f>M466*Assumptions!$B$11/$E$2*J467</f>
        <v>0</v>
      </c>
      <c r="O467" s="22">
        <f>M466*Assumptions!$B$13/$E$2*J467</f>
        <v>0</v>
      </c>
      <c r="P467" s="22">
        <f>H467*Assumptions!$B$15</f>
        <v>0</v>
      </c>
      <c r="Q467" s="22">
        <f>O467*Assumptions!$B$17</f>
        <v>0</v>
      </c>
      <c r="R467" s="22">
        <f>HLOOKUP(B467,Assumptions!$A$26:$D$27,2,TRUE)</f>
        <v>0</v>
      </c>
      <c r="S467">
        <f t="shared" si="109"/>
        <v>0</v>
      </c>
      <c r="T467">
        <f t="shared" si="107"/>
        <v>0.5833333333333357</v>
      </c>
      <c r="U467">
        <f>IF(B467&gt;$K$2,0,IF(T468=0,0,(1-T468)*Assumptions!$B$11/$E$2*(1-Assumptions!$B$30)))</f>
        <v>0</v>
      </c>
      <c r="V467" s="22">
        <f>(N467-O467)*(1-Assumptions!$B$30)-Q467+U466*M466</f>
        <v>0</v>
      </c>
      <c r="W467" s="22">
        <f>W466*(1+Assumptions!$B$36)^(1/12)</f>
        <v>1.4595272361417215</v>
      </c>
      <c r="X467" s="19">
        <f>IF(B467&gt;$K$2,0,W466*Assumptions!$B$32/12*M466+V467*Assumptions!$B$34/12)</f>
        <v>0</v>
      </c>
      <c r="Y467" s="20">
        <f>1/(1+HLOOKUP(YEAR(A467),Assumptions!$A$41:$AL$43,3,TRUE))^(1/12)</f>
        <v>0.99757644752594421</v>
      </c>
      <c r="Z467" s="22">
        <f t="shared" si="101"/>
        <v>0</v>
      </c>
      <c r="AA467">
        <f t="shared" si="110"/>
        <v>0</v>
      </c>
    </row>
    <row r="468" spans="1:27" x14ac:dyDescent="0.2">
      <c r="A468" s="2">
        <f t="shared" si="111"/>
        <v>57010</v>
      </c>
      <c r="B468">
        <f t="shared" si="108"/>
        <v>549</v>
      </c>
      <c r="C468" s="22">
        <f t="shared" si="98"/>
        <v>45.666666666666664</v>
      </c>
      <c r="D468" s="22">
        <f t="shared" si="99"/>
        <v>0</v>
      </c>
      <c r="E468" s="22">
        <f t="shared" si="103"/>
        <v>100</v>
      </c>
      <c r="F468" s="22">
        <f>IF(C468&gt;=$J$2,0,VLOOKUP($E468,'Mortality Table'!$A$3:$C$128,2+G$2,FALSE))</f>
        <v>0</v>
      </c>
      <c r="G468">
        <f>F468*Assumptions!$B$1</f>
        <v>0</v>
      </c>
      <c r="H468">
        <f t="shared" si="104"/>
        <v>0</v>
      </c>
      <c r="I468" s="22">
        <f>HLOOKUP(C468,Assumptions!$A$6:$J$7,2,TRUE)</f>
        <v>2.6499999999999999E-2</v>
      </c>
      <c r="J468" s="22">
        <f t="shared" si="102"/>
        <v>0</v>
      </c>
      <c r="K468" s="22">
        <f t="shared" si="105"/>
        <v>0</v>
      </c>
      <c r="L468" s="22">
        <f t="shared" si="100"/>
        <v>0</v>
      </c>
      <c r="M468" s="22">
        <f t="shared" si="106"/>
        <v>0</v>
      </c>
      <c r="N468" s="22">
        <f>M467*Assumptions!$B$11/$E$2*J468</f>
        <v>0</v>
      </c>
      <c r="O468" s="22">
        <f>M467*Assumptions!$B$13/$E$2*J468</f>
        <v>0</v>
      </c>
      <c r="P468" s="22">
        <f>H468*Assumptions!$B$15</f>
        <v>0</v>
      </c>
      <c r="Q468" s="22">
        <f>O468*Assumptions!$B$17</f>
        <v>0</v>
      </c>
      <c r="R468" s="22">
        <f>HLOOKUP(B468,Assumptions!$A$26:$D$27,2,TRUE)</f>
        <v>0</v>
      </c>
      <c r="S468">
        <f t="shared" si="109"/>
        <v>0</v>
      </c>
      <c r="T468">
        <f t="shared" si="107"/>
        <v>0.6666666666666643</v>
      </c>
      <c r="U468">
        <f>IF(B468&gt;$K$2,0,IF(T469=0,0,(1-T469)*Assumptions!$B$11/$E$2*(1-Assumptions!$B$30)))</f>
        <v>0</v>
      </c>
      <c r="V468" s="22">
        <f>(N468-O468)*(1-Assumptions!$B$30)-Q468+U467*M467</f>
        <v>0</v>
      </c>
      <c r="W468" s="22">
        <f>W467*(1+Assumptions!$B$36)^(1/12)</f>
        <v>1.4607379696130274</v>
      </c>
      <c r="X468" s="19">
        <f>IF(B468&gt;$K$2,0,W467*Assumptions!$B$32/12*M467+V468*Assumptions!$B$34/12)</f>
        <v>0</v>
      </c>
      <c r="Y468" s="20">
        <f>1/(1+HLOOKUP(YEAR(A468),Assumptions!$A$41:$AL$43,3,TRUE))^(1/12)</f>
        <v>0.99757644752594421</v>
      </c>
      <c r="Z468" s="22">
        <f t="shared" si="101"/>
        <v>0</v>
      </c>
      <c r="AA468">
        <f t="shared" si="110"/>
        <v>0</v>
      </c>
    </row>
    <row r="469" spans="1:27" x14ac:dyDescent="0.2">
      <c r="A469" s="2">
        <f t="shared" si="111"/>
        <v>57039</v>
      </c>
      <c r="B469">
        <f t="shared" si="108"/>
        <v>550</v>
      </c>
      <c r="C469" s="22">
        <f t="shared" si="98"/>
        <v>45.75</v>
      </c>
      <c r="D469" s="22">
        <f t="shared" si="99"/>
        <v>0</v>
      </c>
      <c r="E469" s="22">
        <f t="shared" si="103"/>
        <v>100</v>
      </c>
      <c r="F469" s="22">
        <f>IF(C469&gt;=$J$2,0,VLOOKUP($E469,'Mortality Table'!$A$3:$C$128,2+G$2,FALSE))</f>
        <v>0</v>
      </c>
      <c r="G469">
        <f>F469*Assumptions!$B$1</f>
        <v>0</v>
      </c>
      <c r="H469">
        <f t="shared" si="104"/>
        <v>0</v>
      </c>
      <c r="I469" s="22">
        <f>HLOOKUP(C469,Assumptions!$A$6:$J$7,2,TRUE)</f>
        <v>2.6499999999999999E-2</v>
      </c>
      <c r="J469" s="22">
        <f t="shared" si="102"/>
        <v>0</v>
      </c>
      <c r="K469" s="22">
        <f t="shared" si="105"/>
        <v>0</v>
      </c>
      <c r="L469" s="22">
        <f t="shared" si="100"/>
        <v>0</v>
      </c>
      <c r="M469" s="22">
        <f t="shared" si="106"/>
        <v>0</v>
      </c>
      <c r="N469" s="22">
        <f>M468*Assumptions!$B$11/$E$2*J469</f>
        <v>0</v>
      </c>
      <c r="O469" s="22">
        <f>M468*Assumptions!$B$13/$E$2*J469</f>
        <v>0</v>
      </c>
      <c r="P469" s="22">
        <f>H469*Assumptions!$B$15</f>
        <v>0</v>
      </c>
      <c r="Q469" s="22">
        <f>O469*Assumptions!$B$17</f>
        <v>0</v>
      </c>
      <c r="R469" s="22">
        <f>HLOOKUP(B469,Assumptions!$A$26:$D$27,2,TRUE)</f>
        <v>0</v>
      </c>
      <c r="S469">
        <f t="shared" si="109"/>
        <v>0</v>
      </c>
      <c r="T469">
        <f t="shared" si="107"/>
        <v>0.75</v>
      </c>
      <c r="U469">
        <f>IF(B469&gt;$K$2,0,IF(T470=0,0,(1-T470)*Assumptions!$B$11/$E$2*(1-Assumptions!$B$30)))</f>
        <v>0</v>
      </c>
      <c r="V469" s="22">
        <f>(N469-O469)*(1-Assumptions!$B$30)-Q469+U468*M468</f>
        <v>0</v>
      </c>
      <c r="W469" s="22">
        <f>W468*(1+Assumptions!$B$36)^(1/12)</f>
        <v>1.4619497074338941</v>
      </c>
      <c r="X469" s="19">
        <f>IF(B469&gt;$K$2,0,W468*Assumptions!$B$32/12*M468+V469*Assumptions!$B$34/12)</f>
        <v>0</v>
      </c>
      <c r="Y469" s="20">
        <f>1/(1+HLOOKUP(YEAR(A469),Assumptions!$A$41:$AL$43,3,TRUE))^(1/12)</f>
        <v>0.99757644752594421</v>
      </c>
      <c r="Z469" s="22">
        <f t="shared" si="101"/>
        <v>0</v>
      </c>
      <c r="AA469">
        <f t="shared" si="110"/>
        <v>0</v>
      </c>
    </row>
    <row r="470" spans="1:27" x14ac:dyDescent="0.2">
      <c r="A470" s="2">
        <f t="shared" si="111"/>
        <v>57070</v>
      </c>
      <c r="B470">
        <f t="shared" si="108"/>
        <v>551</v>
      </c>
      <c r="C470" s="22">
        <f t="shared" si="98"/>
        <v>45.833333333333336</v>
      </c>
      <c r="D470" s="22">
        <f t="shared" si="99"/>
        <v>0</v>
      </c>
      <c r="E470" s="22">
        <f t="shared" si="103"/>
        <v>100</v>
      </c>
      <c r="F470" s="22">
        <f>IF(C470&gt;=$J$2,0,VLOOKUP($E470,'Mortality Table'!$A$3:$C$128,2+G$2,FALSE))</f>
        <v>0</v>
      </c>
      <c r="G470">
        <f>F470*Assumptions!$B$1</f>
        <v>0</v>
      </c>
      <c r="H470">
        <f t="shared" si="104"/>
        <v>0</v>
      </c>
      <c r="I470" s="22">
        <f>HLOOKUP(C470,Assumptions!$A$6:$J$7,2,TRUE)</f>
        <v>2.6499999999999999E-2</v>
      </c>
      <c r="J470" s="22">
        <f t="shared" si="102"/>
        <v>0</v>
      </c>
      <c r="K470" s="22">
        <f t="shared" si="105"/>
        <v>0</v>
      </c>
      <c r="L470" s="22">
        <f t="shared" si="100"/>
        <v>0</v>
      </c>
      <c r="M470" s="22">
        <f t="shared" si="106"/>
        <v>0</v>
      </c>
      <c r="N470" s="22">
        <f>M469*Assumptions!$B$11/$E$2*J470</f>
        <v>0</v>
      </c>
      <c r="O470" s="22">
        <f>M469*Assumptions!$B$13/$E$2*J470</f>
        <v>0</v>
      </c>
      <c r="P470" s="22">
        <f>H470*Assumptions!$B$15</f>
        <v>0</v>
      </c>
      <c r="Q470" s="22">
        <f>O470*Assumptions!$B$17</f>
        <v>0</v>
      </c>
      <c r="R470" s="22">
        <f>HLOOKUP(B470,Assumptions!$A$26:$D$27,2,TRUE)</f>
        <v>0</v>
      </c>
      <c r="S470">
        <f t="shared" si="109"/>
        <v>0</v>
      </c>
      <c r="T470">
        <f t="shared" si="107"/>
        <v>0.8333333333333357</v>
      </c>
      <c r="U470">
        <f>IF(B470&gt;$K$2,0,IF(T471=0,0,(1-T471)*Assumptions!$B$11/$E$2*(1-Assumptions!$B$30)))</f>
        <v>0</v>
      </c>
      <c r="V470" s="22">
        <f>(N470-O470)*(1-Assumptions!$B$30)-Q470+U469*M469</f>
        <v>0</v>
      </c>
      <c r="W470" s="22">
        <f>W469*(1+Assumptions!$B$36)^(1/12)</f>
        <v>1.4631624504374676</v>
      </c>
      <c r="X470" s="19">
        <f>IF(B470&gt;$K$2,0,W469*Assumptions!$B$32/12*M469+V470*Assumptions!$B$34/12)</f>
        <v>0</v>
      </c>
      <c r="Y470" s="20">
        <f>1/(1+HLOOKUP(YEAR(A470),Assumptions!$A$41:$AL$43,3,TRUE))^(1/12)</f>
        <v>0.99757644752594421</v>
      </c>
      <c r="Z470" s="22">
        <f t="shared" si="101"/>
        <v>0</v>
      </c>
      <c r="AA470">
        <f t="shared" si="110"/>
        <v>0</v>
      </c>
    </row>
    <row r="471" spans="1:27" x14ac:dyDescent="0.2">
      <c r="A471" s="2">
        <f t="shared" si="111"/>
        <v>57100</v>
      </c>
      <c r="B471">
        <f t="shared" si="108"/>
        <v>552</v>
      </c>
      <c r="C471" s="22">
        <f t="shared" si="98"/>
        <v>45.916666666666664</v>
      </c>
      <c r="D471" s="22">
        <f t="shared" si="99"/>
        <v>0</v>
      </c>
      <c r="E471" s="22">
        <f t="shared" si="103"/>
        <v>100</v>
      </c>
      <c r="F471" s="22">
        <f>IF(C471&gt;=$J$2,0,VLOOKUP($E471,'Mortality Table'!$A$3:$C$128,2+G$2,FALSE))</f>
        <v>0</v>
      </c>
      <c r="G471">
        <f>F471*Assumptions!$B$1</f>
        <v>0</v>
      </c>
      <c r="H471">
        <f t="shared" si="104"/>
        <v>0</v>
      </c>
      <c r="I471" s="22">
        <f>HLOOKUP(C471,Assumptions!$A$6:$J$7,2,TRUE)</f>
        <v>2.6499999999999999E-2</v>
      </c>
      <c r="J471" s="22">
        <f t="shared" si="102"/>
        <v>0</v>
      </c>
      <c r="K471" s="22">
        <f t="shared" si="105"/>
        <v>0</v>
      </c>
      <c r="L471" s="22">
        <f t="shared" si="100"/>
        <v>0</v>
      </c>
      <c r="M471" s="22">
        <f t="shared" si="106"/>
        <v>0</v>
      </c>
      <c r="N471" s="22">
        <f>M470*Assumptions!$B$11/$E$2*J471</f>
        <v>0</v>
      </c>
      <c r="O471" s="22">
        <f>M470*Assumptions!$B$13/$E$2*J471</f>
        <v>0</v>
      </c>
      <c r="P471" s="22">
        <f>H471*Assumptions!$B$15</f>
        <v>0</v>
      </c>
      <c r="Q471" s="22">
        <f>O471*Assumptions!$B$17</f>
        <v>0</v>
      </c>
      <c r="R471" s="22">
        <f>HLOOKUP(B471,Assumptions!$A$26:$D$27,2,TRUE)</f>
        <v>0</v>
      </c>
      <c r="S471">
        <f t="shared" si="109"/>
        <v>0</v>
      </c>
      <c r="T471">
        <f t="shared" si="107"/>
        <v>0.9166666666666643</v>
      </c>
      <c r="U471">
        <f>IF(B471&gt;$K$2,0,IF(T472=0,0,(1-T472)*Assumptions!$B$11/$E$2*(1-Assumptions!$B$30)))</f>
        <v>0</v>
      </c>
      <c r="V471" s="22">
        <f>(N471-O471)*(1-Assumptions!$B$30)-Q471+U470*M470</f>
        <v>0</v>
      </c>
      <c r="W471" s="22">
        <f>W470*(1+Assumptions!$B$36)^(1/12)</f>
        <v>1.4643761994575857</v>
      </c>
      <c r="X471" s="19">
        <f>IF(B471&gt;$K$2,0,W470*Assumptions!$B$32/12*M470+V471*Assumptions!$B$34/12)</f>
        <v>0</v>
      </c>
      <c r="Y471" s="20">
        <f>1/(1+HLOOKUP(YEAR(A471),Assumptions!$A$41:$AL$43,3,TRUE))^(1/12)</f>
        <v>0.99757644752594421</v>
      </c>
      <c r="Z471" s="22">
        <f t="shared" si="101"/>
        <v>0</v>
      </c>
      <c r="AA471">
        <f t="shared" si="110"/>
        <v>0</v>
      </c>
    </row>
    <row r="472" spans="1:27" x14ac:dyDescent="0.2">
      <c r="A472" s="2">
        <f t="shared" si="111"/>
        <v>57131</v>
      </c>
      <c r="B472">
        <f t="shared" si="108"/>
        <v>553</v>
      </c>
      <c r="C472" s="22">
        <f t="shared" si="98"/>
        <v>46</v>
      </c>
      <c r="D472" s="22">
        <f t="shared" si="99"/>
        <v>1</v>
      </c>
      <c r="E472" s="22">
        <f t="shared" si="103"/>
        <v>101</v>
      </c>
      <c r="F472" s="22">
        <f>IF(C472&gt;=$J$2,0,VLOOKUP($E472,'Mortality Table'!$A$3:$C$128,2+G$2,FALSE))</f>
        <v>0</v>
      </c>
      <c r="G472">
        <f>F472*Assumptions!$B$1</f>
        <v>0</v>
      </c>
      <c r="H472">
        <f t="shared" si="104"/>
        <v>0</v>
      </c>
      <c r="I472" s="22">
        <f>HLOOKUP(C472,Assumptions!$A$6:$J$7,2,TRUE)</f>
        <v>2.6499999999999999E-2</v>
      </c>
      <c r="J472" s="22">
        <f t="shared" si="102"/>
        <v>0</v>
      </c>
      <c r="K472" s="22">
        <f t="shared" si="105"/>
        <v>0</v>
      </c>
      <c r="L472" s="22">
        <f t="shared" si="100"/>
        <v>0</v>
      </c>
      <c r="M472" s="22">
        <f t="shared" si="106"/>
        <v>0</v>
      </c>
      <c r="N472" s="22">
        <f>M471*Assumptions!$B$11/$E$2*J472</f>
        <v>0</v>
      </c>
      <c r="O472" s="22">
        <f>M471*Assumptions!$B$13/$E$2*J472</f>
        <v>0</v>
      </c>
      <c r="P472" s="22">
        <f>H472*Assumptions!$B$15</f>
        <v>0</v>
      </c>
      <c r="Q472" s="22">
        <f>O472*Assumptions!$B$17</f>
        <v>0</v>
      </c>
      <c r="R472" s="22">
        <f>HLOOKUP(B472,Assumptions!$A$26:$D$27,2,TRUE)</f>
        <v>0</v>
      </c>
      <c r="S472">
        <f t="shared" si="109"/>
        <v>0</v>
      </c>
      <c r="T472">
        <f t="shared" si="107"/>
        <v>0</v>
      </c>
      <c r="U472">
        <f>IF(B472&gt;$K$2,0,IF(T473=0,0,(1-T473)*Assumptions!$B$11/$E$2*(1-Assumptions!$B$30)))</f>
        <v>0</v>
      </c>
      <c r="V472" s="22">
        <f>(N472-O472)*(1-Assumptions!$B$30)-Q472+U471*M471</f>
        <v>0</v>
      </c>
      <c r="W472" s="22">
        <f>W471*(1+Assumptions!$B$36)^(1/12)</f>
        <v>1.4655909553287771</v>
      </c>
      <c r="X472" s="19">
        <f>IF(B472&gt;$K$2,0,W471*Assumptions!$B$32/12*M471+V472*Assumptions!$B$34/12)</f>
        <v>0</v>
      </c>
      <c r="Y472" s="20">
        <f>1/(1+HLOOKUP(YEAR(A472),Assumptions!$A$41:$AL$43,3,TRUE))^(1/12)</f>
        <v>0.99757644752594421</v>
      </c>
      <c r="Z472" s="22">
        <f t="shared" si="101"/>
        <v>0</v>
      </c>
      <c r="AA472">
        <f t="shared" si="110"/>
        <v>0</v>
      </c>
    </row>
    <row r="473" spans="1:27" x14ac:dyDescent="0.2">
      <c r="A473" s="2">
        <f t="shared" si="111"/>
        <v>57161</v>
      </c>
      <c r="B473">
        <f t="shared" si="108"/>
        <v>554</v>
      </c>
      <c r="C473" s="22">
        <f t="shared" si="98"/>
        <v>46.083333333333336</v>
      </c>
      <c r="D473" s="22">
        <f t="shared" si="99"/>
        <v>0</v>
      </c>
      <c r="E473" s="22">
        <f t="shared" si="103"/>
        <v>101</v>
      </c>
      <c r="F473" s="22">
        <f>IF(C473&gt;=$J$2,0,VLOOKUP($E473,'Mortality Table'!$A$3:$C$128,2+G$2,FALSE))</f>
        <v>0</v>
      </c>
      <c r="G473">
        <f>F473*Assumptions!$B$1</f>
        <v>0</v>
      </c>
      <c r="H473">
        <f t="shared" si="104"/>
        <v>0</v>
      </c>
      <c r="I473" s="22">
        <f>HLOOKUP(C473,Assumptions!$A$6:$J$7,2,TRUE)</f>
        <v>2.6499999999999999E-2</v>
      </c>
      <c r="J473" s="22">
        <f t="shared" si="102"/>
        <v>0</v>
      </c>
      <c r="K473" s="22">
        <f t="shared" si="105"/>
        <v>0</v>
      </c>
      <c r="L473" s="22">
        <f t="shared" si="100"/>
        <v>0</v>
      </c>
      <c r="M473" s="22">
        <f t="shared" si="106"/>
        <v>0</v>
      </c>
      <c r="N473" s="22">
        <f>M472*Assumptions!$B$11/$E$2*J473</f>
        <v>0</v>
      </c>
      <c r="O473" s="22">
        <f>M472*Assumptions!$B$13/$E$2*J473</f>
        <v>0</v>
      </c>
      <c r="P473" s="22">
        <f>H473*Assumptions!$B$15</f>
        <v>0</v>
      </c>
      <c r="Q473" s="22">
        <f>O473*Assumptions!$B$17</f>
        <v>0</v>
      </c>
      <c r="R473" s="22">
        <f>HLOOKUP(B473,Assumptions!$A$26:$D$27,2,TRUE)</f>
        <v>0</v>
      </c>
      <c r="S473">
        <f t="shared" si="109"/>
        <v>0</v>
      </c>
      <c r="T473">
        <f t="shared" si="107"/>
        <v>8.3333333333335702E-2</v>
      </c>
      <c r="U473">
        <f>IF(B473&gt;$K$2,0,IF(T474=0,0,(1-T474)*Assumptions!$B$11/$E$2*(1-Assumptions!$B$30)))</f>
        <v>0</v>
      </c>
      <c r="V473" s="22">
        <f>(N473-O473)*(1-Assumptions!$B$30)-Q473+U472*M472</f>
        <v>0</v>
      </c>
      <c r="W473" s="22">
        <f>W472*(1+Assumptions!$B$36)^(1/12)</f>
        <v>1.4668067188862635</v>
      </c>
      <c r="X473" s="19">
        <f>IF(B473&gt;$K$2,0,W472*Assumptions!$B$32/12*M472+V473*Assumptions!$B$34/12)</f>
        <v>0</v>
      </c>
      <c r="Y473" s="20">
        <f>1/(1+HLOOKUP(YEAR(A473),Assumptions!$A$41:$AL$43,3,TRUE))^(1/12)</f>
        <v>0.99757644752594421</v>
      </c>
      <c r="Z473" s="22">
        <f t="shared" si="101"/>
        <v>0</v>
      </c>
      <c r="AA473">
        <f t="shared" si="110"/>
        <v>0</v>
      </c>
    </row>
    <row r="474" spans="1:27" x14ac:dyDescent="0.2">
      <c r="A474" s="2">
        <f t="shared" si="111"/>
        <v>57192</v>
      </c>
      <c r="B474">
        <f t="shared" si="108"/>
        <v>555</v>
      </c>
      <c r="C474" s="22">
        <f t="shared" si="98"/>
        <v>46.166666666666664</v>
      </c>
      <c r="D474" s="22">
        <f t="shared" si="99"/>
        <v>0</v>
      </c>
      <c r="E474" s="22">
        <f t="shared" si="103"/>
        <v>101</v>
      </c>
      <c r="F474" s="22">
        <f>IF(C474&gt;=$J$2,0,VLOOKUP($E474,'Mortality Table'!$A$3:$C$128,2+G$2,FALSE))</f>
        <v>0</v>
      </c>
      <c r="G474">
        <f>F474*Assumptions!$B$1</f>
        <v>0</v>
      </c>
      <c r="H474">
        <f t="shared" si="104"/>
        <v>0</v>
      </c>
      <c r="I474" s="22">
        <f>HLOOKUP(C474,Assumptions!$A$6:$J$7,2,TRUE)</f>
        <v>2.6499999999999999E-2</v>
      </c>
      <c r="J474" s="22">
        <f t="shared" si="102"/>
        <v>0</v>
      </c>
      <c r="K474" s="22">
        <f t="shared" si="105"/>
        <v>0</v>
      </c>
      <c r="L474" s="22">
        <f t="shared" si="100"/>
        <v>0</v>
      </c>
      <c r="M474" s="22">
        <f t="shared" si="106"/>
        <v>0</v>
      </c>
      <c r="N474" s="22">
        <f>M473*Assumptions!$B$11/$E$2*J474</f>
        <v>0</v>
      </c>
      <c r="O474" s="22">
        <f>M473*Assumptions!$B$13/$E$2*J474</f>
        <v>0</v>
      </c>
      <c r="P474" s="22">
        <f>H474*Assumptions!$B$15</f>
        <v>0</v>
      </c>
      <c r="Q474" s="22">
        <f>O474*Assumptions!$B$17</f>
        <v>0</v>
      </c>
      <c r="R474" s="22">
        <f>HLOOKUP(B474,Assumptions!$A$26:$D$27,2,TRUE)</f>
        <v>0</v>
      </c>
      <c r="S474">
        <f t="shared" si="109"/>
        <v>0</v>
      </c>
      <c r="T474">
        <f t="shared" si="107"/>
        <v>0.1666666666666643</v>
      </c>
      <c r="U474">
        <f>IF(B474&gt;$K$2,0,IF(T475=0,0,(1-T475)*Assumptions!$B$11/$E$2*(1-Assumptions!$B$30)))</f>
        <v>0</v>
      </c>
      <c r="V474" s="22">
        <f>(N474-O474)*(1-Assumptions!$B$30)-Q474+U473*M473</f>
        <v>0</v>
      </c>
      <c r="W474" s="22">
        <f>W473*(1+Assumptions!$B$36)^(1/12)</f>
        <v>1.4680234909659586</v>
      </c>
      <c r="X474" s="19">
        <f>IF(B474&gt;$K$2,0,W473*Assumptions!$B$32/12*M473+V474*Assumptions!$B$34/12)</f>
        <v>0</v>
      </c>
      <c r="Y474" s="20">
        <f>1/(1+HLOOKUP(YEAR(A474),Assumptions!$A$41:$AL$43,3,TRUE))^(1/12)</f>
        <v>0.99757644752594421</v>
      </c>
      <c r="Z474" s="22">
        <f t="shared" si="101"/>
        <v>0</v>
      </c>
      <c r="AA474">
        <f t="shared" si="110"/>
        <v>0</v>
      </c>
    </row>
    <row r="475" spans="1:27" x14ac:dyDescent="0.2">
      <c r="A475" s="2">
        <f t="shared" si="111"/>
        <v>57223</v>
      </c>
      <c r="B475">
        <f t="shared" si="108"/>
        <v>556</v>
      </c>
      <c r="C475" s="22">
        <f t="shared" si="98"/>
        <v>46.25</v>
      </c>
      <c r="D475" s="22">
        <f t="shared" si="99"/>
        <v>0</v>
      </c>
      <c r="E475" s="22">
        <f t="shared" si="103"/>
        <v>101</v>
      </c>
      <c r="F475" s="22">
        <f>IF(C475&gt;=$J$2,0,VLOOKUP($E475,'Mortality Table'!$A$3:$C$128,2+G$2,FALSE))</f>
        <v>0</v>
      </c>
      <c r="G475">
        <f>F475*Assumptions!$B$1</f>
        <v>0</v>
      </c>
      <c r="H475">
        <f t="shared" si="104"/>
        <v>0</v>
      </c>
      <c r="I475" s="22">
        <f>HLOOKUP(C475,Assumptions!$A$6:$J$7,2,TRUE)</f>
        <v>2.6499999999999999E-2</v>
      </c>
      <c r="J475" s="22">
        <f t="shared" si="102"/>
        <v>0</v>
      </c>
      <c r="K475" s="22">
        <f t="shared" si="105"/>
        <v>0</v>
      </c>
      <c r="L475" s="22">
        <f t="shared" si="100"/>
        <v>0</v>
      </c>
      <c r="M475" s="22">
        <f t="shared" si="106"/>
        <v>0</v>
      </c>
      <c r="N475" s="22">
        <f>M474*Assumptions!$B$11/$E$2*J475</f>
        <v>0</v>
      </c>
      <c r="O475" s="22">
        <f>M474*Assumptions!$B$13/$E$2*J475</f>
        <v>0</v>
      </c>
      <c r="P475" s="22">
        <f>H475*Assumptions!$B$15</f>
        <v>0</v>
      </c>
      <c r="Q475" s="22">
        <f>O475*Assumptions!$B$17</f>
        <v>0</v>
      </c>
      <c r="R475" s="22">
        <f>HLOOKUP(B475,Assumptions!$A$26:$D$27,2,TRUE)</f>
        <v>0</v>
      </c>
      <c r="S475">
        <f t="shared" si="109"/>
        <v>0</v>
      </c>
      <c r="T475">
        <f t="shared" si="107"/>
        <v>0.25</v>
      </c>
      <c r="U475">
        <f>IF(B475&gt;$K$2,0,IF(T476=0,0,(1-T476)*Assumptions!$B$11/$E$2*(1-Assumptions!$B$30)))</f>
        <v>0</v>
      </c>
      <c r="V475" s="22">
        <f>(N475-O475)*(1-Assumptions!$B$30)-Q475+U474*M474</f>
        <v>0</v>
      </c>
      <c r="W475" s="22">
        <f>W474*(1+Assumptions!$B$36)^(1/12)</f>
        <v>1.4692412724044703</v>
      </c>
      <c r="X475" s="19">
        <f>IF(B475&gt;$K$2,0,W474*Assumptions!$B$32/12*M474+V475*Assumptions!$B$34/12)</f>
        <v>0</v>
      </c>
      <c r="Y475" s="20">
        <f>1/(1+HLOOKUP(YEAR(A475),Assumptions!$A$41:$AL$43,3,TRUE))^(1/12)</f>
        <v>0.99757644752594421</v>
      </c>
      <c r="Z475" s="22">
        <f t="shared" si="101"/>
        <v>0</v>
      </c>
      <c r="AA475">
        <f t="shared" si="110"/>
        <v>0</v>
      </c>
    </row>
    <row r="476" spans="1:27" x14ac:dyDescent="0.2">
      <c r="A476" s="2">
        <f t="shared" si="111"/>
        <v>57253</v>
      </c>
      <c r="B476">
        <f t="shared" si="108"/>
        <v>557</v>
      </c>
      <c r="C476" s="22">
        <f t="shared" si="98"/>
        <v>46.333333333333336</v>
      </c>
      <c r="D476" s="22">
        <f t="shared" si="99"/>
        <v>0</v>
      </c>
      <c r="E476" s="22">
        <f t="shared" si="103"/>
        <v>101</v>
      </c>
      <c r="F476" s="22">
        <f>IF(C476&gt;=$J$2,0,VLOOKUP($E476,'Mortality Table'!$A$3:$C$128,2+G$2,FALSE))</f>
        <v>0</v>
      </c>
      <c r="G476">
        <f>F476*Assumptions!$B$1</f>
        <v>0</v>
      </c>
      <c r="H476">
        <f t="shared" si="104"/>
        <v>0</v>
      </c>
      <c r="I476" s="22">
        <f>HLOOKUP(C476,Assumptions!$A$6:$J$7,2,TRUE)</f>
        <v>2.6499999999999999E-2</v>
      </c>
      <c r="J476" s="22">
        <f t="shared" si="102"/>
        <v>0</v>
      </c>
      <c r="K476" s="22">
        <f t="shared" si="105"/>
        <v>0</v>
      </c>
      <c r="L476" s="22">
        <f t="shared" si="100"/>
        <v>0</v>
      </c>
      <c r="M476" s="22">
        <f t="shared" si="106"/>
        <v>0</v>
      </c>
      <c r="N476" s="22">
        <f>M475*Assumptions!$B$11/$E$2*J476</f>
        <v>0</v>
      </c>
      <c r="O476" s="22">
        <f>M475*Assumptions!$B$13/$E$2*J476</f>
        <v>0</v>
      </c>
      <c r="P476" s="22">
        <f>H476*Assumptions!$B$15</f>
        <v>0</v>
      </c>
      <c r="Q476" s="22">
        <f>O476*Assumptions!$B$17</f>
        <v>0</v>
      </c>
      <c r="R476" s="22">
        <f>HLOOKUP(B476,Assumptions!$A$26:$D$27,2,TRUE)</f>
        <v>0</v>
      </c>
      <c r="S476">
        <f t="shared" si="109"/>
        <v>0</v>
      </c>
      <c r="T476">
        <f t="shared" si="107"/>
        <v>0.3333333333333357</v>
      </c>
      <c r="U476">
        <f>IF(B476&gt;$K$2,0,IF(T477=0,0,(1-T477)*Assumptions!$B$11/$E$2*(1-Assumptions!$B$30)))</f>
        <v>0</v>
      </c>
      <c r="V476" s="22">
        <f>(N476-O476)*(1-Assumptions!$B$30)-Q476+U475*M475</f>
        <v>0</v>
      </c>
      <c r="W476" s="22">
        <f>W475*(1+Assumptions!$B$36)^(1/12)</f>
        <v>1.4704600640391003</v>
      </c>
      <c r="X476" s="19">
        <f>IF(B476&gt;$K$2,0,W475*Assumptions!$B$32/12*M475+V476*Assumptions!$B$34/12)</f>
        <v>0</v>
      </c>
      <c r="Y476" s="20">
        <f>1/(1+HLOOKUP(YEAR(A476),Assumptions!$A$41:$AL$43,3,TRUE))^(1/12)</f>
        <v>0.99757644752594421</v>
      </c>
      <c r="Z476" s="22">
        <f t="shared" si="101"/>
        <v>0</v>
      </c>
      <c r="AA476">
        <f t="shared" si="110"/>
        <v>0</v>
      </c>
    </row>
    <row r="477" spans="1:27" x14ac:dyDescent="0.2">
      <c r="A477" s="2">
        <f t="shared" si="111"/>
        <v>57284</v>
      </c>
      <c r="B477">
        <f t="shared" si="108"/>
        <v>558</v>
      </c>
      <c r="C477" s="22">
        <f t="shared" si="98"/>
        <v>46.416666666666664</v>
      </c>
      <c r="D477" s="22">
        <f t="shared" si="99"/>
        <v>0</v>
      </c>
      <c r="E477" s="22">
        <f t="shared" si="103"/>
        <v>101</v>
      </c>
      <c r="F477" s="22">
        <f>IF(C477&gt;=$J$2,0,VLOOKUP($E477,'Mortality Table'!$A$3:$C$128,2+G$2,FALSE))</f>
        <v>0</v>
      </c>
      <c r="G477">
        <f>F477*Assumptions!$B$1</f>
        <v>0</v>
      </c>
      <c r="H477">
        <f t="shared" si="104"/>
        <v>0</v>
      </c>
      <c r="I477" s="22">
        <f>HLOOKUP(C477,Assumptions!$A$6:$J$7,2,TRUE)</f>
        <v>2.6499999999999999E-2</v>
      </c>
      <c r="J477" s="22">
        <f t="shared" si="102"/>
        <v>0</v>
      </c>
      <c r="K477" s="22">
        <f t="shared" si="105"/>
        <v>0</v>
      </c>
      <c r="L477" s="22">
        <f t="shared" si="100"/>
        <v>0</v>
      </c>
      <c r="M477" s="22">
        <f t="shared" si="106"/>
        <v>0</v>
      </c>
      <c r="N477" s="22">
        <f>M476*Assumptions!$B$11/$E$2*J477</f>
        <v>0</v>
      </c>
      <c r="O477" s="22">
        <f>M476*Assumptions!$B$13/$E$2*J477</f>
        <v>0</v>
      </c>
      <c r="P477" s="22">
        <f>H477*Assumptions!$B$15</f>
        <v>0</v>
      </c>
      <c r="Q477" s="22">
        <f>O477*Assumptions!$B$17</f>
        <v>0</v>
      </c>
      <c r="R477" s="22">
        <f>HLOOKUP(B477,Assumptions!$A$26:$D$27,2,TRUE)</f>
        <v>0</v>
      </c>
      <c r="S477">
        <f t="shared" si="109"/>
        <v>0</v>
      </c>
      <c r="T477">
        <f t="shared" si="107"/>
        <v>0.4166666666666643</v>
      </c>
      <c r="U477">
        <f>IF(B477&gt;$K$2,0,IF(T478=0,0,(1-T478)*Assumptions!$B$11/$E$2*(1-Assumptions!$B$30)))</f>
        <v>0</v>
      </c>
      <c r="V477" s="22">
        <f>(N477-O477)*(1-Assumptions!$B$30)-Q477+U476*M476</f>
        <v>0</v>
      </c>
      <c r="W477" s="22">
        <f>W476*(1+Assumptions!$B$36)^(1/12)</f>
        <v>1.4716798667078448</v>
      </c>
      <c r="X477" s="19">
        <f>IF(B477&gt;$K$2,0,W476*Assumptions!$B$32/12*M476+V477*Assumptions!$B$34/12)</f>
        <v>0</v>
      </c>
      <c r="Y477" s="20">
        <f>1/(1+HLOOKUP(YEAR(A477),Assumptions!$A$41:$AL$43,3,TRUE))^(1/12)</f>
        <v>0.99757644752594421</v>
      </c>
      <c r="Z477" s="22">
        <f t="shared" si="101"/>
        <v>0</v>
      </c>
      <c r="AA477">
        <f t="shared" si="110"/>
        <v>0</v>
      </c>
    </row>
    <row r="478" spans="1:27" x14ac:dyDescent="0.2">
      <c r="A478" s="2">
        <f t="shared" si="111"/>
        <v>57314</v>
      </c>
      <c r="B478">
        <f t="shared" si="108"/>
        <v>559</v>
      </c>
      <c r="C478" s="22">
        <f t="shared" si="98"/>
        <v>46.5</v>
      </c>
      <c r="D478" s="22">
        <f t="shared" si="99"/>
        <v>0</v>
      </c>
      <c r="E478" s="22">
        <f t="shared" si="103"/>
        <v>101</v>
      </c>
      <c r="F478" s="22">
        <f>IF(C478&gt;=$J$2,0,VLOOKUP($E478,'Mortality Table'!$A$3:$C$128,2+G$2,FALSE))</f>
        <v>0</v>
      </c>
      <c r="G478">
        <f>F478*Assumptions!$B$1</f>
        <v>0</v>
      </c>
      <c r="H478">
        <f t="shared" si="104"/>
        <v>0</v>
      </c>
      <c r="I478" s="22">
        <f>HLOOKUP(C478,Assumptions!$A$6:$J$7,2,TRUE)</f>
        <v>2.6499999999999999E-2</v>
      </c>
      <c r="J478" s="22">
        <f t="shared" si="102"/>
        <v>0</v>
      </c>
      <c r="K478" s="22">
        <f t="shared" si="105"/>
        <v>0</v>
      </c>
      <c r="L478" s="22">
        <f t="shared" si="100"/>
        <v>0</v>
      </c>
      <c r="M478" s="22">
        <f t="shared" si="106"/>
        <v>0</v>
      </c>
      <c r="N478" s="22">
        <f>M477*Assumptions!$B$11/$E$2*J478</f>
        <v>0</v>
      </c>
      <c r="O478" s="22">
        <f>M477*Assumptions!$B$13/$E$2*J478</f>
        <v>0</v>
      </c>
      <c r="P478" s="22">
        <f>H478*Assumptions!$B$15</f>
        <v>0</v>
      </c>
      <c r="Q478" s="22">
        <f>O478*Assumptions!$B$17</f>
        <v>0</v>
      </c>
      <c r="R478" s="22">
        <f>HLOOKUP(B478,Assumptions!$A$26:$D$27,2,TRUE)</f>
        <v>0</v>
      </c>
      <c r="S478">
        <f t="shared" si="109"/>
        <v>0</v>
      </c>
      <c r="T478">
        <f t="shared" si="107"/>
        <v>0.5</v>
      </c>
      <c r="U478">
        <f>IF(B478&gt;$K$2,0,IF(T479=0,0,(1-T479)*Assumptions!$B$11/$E$2*(1-Assumptions!$B$30)))</f>
        <v>0</v>
      </c>
      <c r="V478" s="22">
        <f>(N478-O478)*(1-Assumptions!$B$30)-Q478+U477*M477</f>
        <v>0</v>
      </c>
      <c r="W478" s="22">
        <f>W477*(1+Assumptions!$B$36)^(1/12)</f>
        <v>1.4729006812493948</v>
      </c>
      <c r="X478" s="19">
        <f>IF(B478&gt;$K$2,0,W477*Assumptions!$B$32/12*M477+V478*Assumptions!$B$34/12)</f>
        <v>0</v>
      </c>
      <c r="Y478" s="20">
        <f>1/(1+HLOOKUP(YEAR(A478),Assumptions!$A$41:$AL$43,3,TRUE))^(1/12)</f>
        <v>0.99757644752594421</v>
      </c>
      <c r="Z478" s="22">
        <f t="shared" si="101"/>
        <v>0</v>
      </c>
      <c r="AA478">
        <f t="shared" si="110"/>
        <v>0</v>
      </c>
    </row>
    <row r="479" spans="1:27" x14ac:dyDescent="0.2">
      <c r="A479" s="2">
        <f t="shared" si="111"/>
        <v>57345</v>
      </c>
      <c r="B479">
        <f t="shared" si="108"/>
        <v>560</v>
      </c>
      <c r="C479" s="22">
        <f t="shared" si="98"/>
        <v>46.583333333333336</v>
      </c>
      <c r="D479" s="22">
        <f t="shared" si="99"/>
        <v>0</v>
      </c>
      <c r="E479" s="22">
        <f t="shared" si="103"/>
        <v>101</v>
      </c>
      <c r="F479" s="22">
        <f>IF(C479&gt;=$J$2,0,VLOOKUP($E479,'Mortality Table'!$A$3:$C$128,2+G$2,FALSE))</f>
        <v>0</v>
      </c>
      <c r="G479">
        <f>F479*Assumptions!$B$1</f>
        <v>0</v>
      </c>
      <c r="H479">
        <f t="shared" si="104"/>
        <v>0</v>
      </c>
      <c r="I479" s="22">
        <f>HLOOKUP(C479,Assumptions!$A$6:$J$7,2,TRUE)</f>
        <v>2.6499999999999999E-2</v>
      </c>
      <c r="J479" s="22">
        <f t="shared" si="102"/>
        <v>0</v>
      </c>
      <c r="K479" s="22">
        <f t="shared" si="105"/>
        <v>0</v>
      </c>
      <c r="L479" s="22">
        <f t="shared" si="100"/>
        <v>0</v>
      </c>
      <c r="M479" s="22">
        <f t="shared" si="106"/>
        <v>0</v>
      </c>
      <c r="N479" s="22">
        <f>M478*Assumptions!$B$11/$E$2*J479</f>
        <v>0</v>
      </c>
      <c r="O479" s="22">
        <f>M478*Assumptions!$B$13/$E$2*J479</f>
        <v>0</v>
      </c>
      <c r="P479" s="22">
        <f>H479*Assumptions!$B$15</f>
        <v>0</v>
      </c>
      <c r="Q479" s="22">
        <f>O479*Assumptions!$B$17</f>
        <v>0</v>
      </c>
      <c r="R479" s="22">
        <f>HLOOKUP(B479,Assumptions!$A$26:$D$27,2,TRUE)</f>
        <v>0</v>
      </c>
      <c r="S479">
        <f t="shared" si="109"/>
        <v>0</v>
      </c>
      <c r="T479">
        <f t="shared" si="107"/>
        <v>0.5833333333333357</v>
      </c>
      <c r="U479">
        <f>IF(B479&gt;$K$2,0,IF(T480=0,0,(1-T480)*Assumptions!$B$11/$E$2*(1-Assumptions!$B$30)))</f>
        <v>0</v>
      </c>
      <c r="V479" s="22">
        <f>(N479-O479)*(1-Assumptions!$B$30)-Q479+U478*M478</f>
        <v>0</v>
      </c>
      <c r="W479" s="22">
        <f>W478*(1+Assumptions!$B$36)^(1/12)</f>
        <v>1.4741225085031375</v>
      </c>
      <c r="X479" s="19">
        <f>IF(B479&gt;$K$2,0,W478*Assumptions!$B$32/12*M478+V479*Assumptions!$B$34/12)</f>
        <v>0</v>
      </c>
      <c r="Y479" s="20">
        <f>1/(1+HLOOKUP(YEAR(A479),Assumptions!$A$41:$AL$43,3,TRUE))^(1/12)</f>
        <v>0.99757644752594421</v>
      </c>
      <c r="Z479" s="22">
        <f t="shared" si="101"/>
        <v>0</v>
      </c>
      <c r="AA479">
        <f t="shared" si="110"/>
        <v>0</v>
      </c>
    </row>
    <row r="480" spans="1:27" x14ac:dyDescent="0.2">
      <c r="A480" s="2">
        <f t="shared" si="111"/>
        <v>57376</v>
      </c>
      <c r="B480">
        <f t="shared" si="108"/>
        <v>561</v>
      </c>
      <c r="C480" s="22">
        <f t="shared" si="98"/>
        <v>46.666666666666664</v>
      </c>
      <c r="D480" s="22">
        <f t="shared" si="99"/>
        <v>0</v>
      </c>
      <c r="E480" s="22">
        <f t="shared" si="103"/>
        <v>101</v>
      </c>
      <c r="F480" s="22">
        <f>IF(C480&gt;=$J$2,0,VLOOKUP($E480,'Mortality Table'!$A$3:$C$128,2+G$2,FALSE))</f>
        <v>0</v>
      </c>
      <c r="G480">
        <f>F480*Assumptions!$B$1</f>
        <v>0</v>
      </c>
      <c r="H480">
        <f t="shared" si="104"/>
        <v>0</v>
      </c>
      <c r="I480" s="22">
        <f>HLOOKUP(C480,Assumptions!$A$6:$J$7,2,TRUE)</f>
        <v>2.6499999999999999E-2</v>
      </c>
      <c r="J480" s="22">
        <f t="shared" si="102"/>
        <v>0</v>
      </c>
      <c r="K480" s="22">
        <f t="shared" si="105"/>
        <v>0</v>
      </c>
      <c r="L480" s="22">
        <f t="shared" si="100"/>
        <v>0</v>
      </c>
      <c r="M480" s="22">
        <f t="shared" si="106"/>
        <v>0</v>
      </c>
      <c r="N480" s="22">
        <f>M479*Assumptions!$B$11/$E$2*J480</f>
        <v>0</v>
      </c>
      <c r="O480" s="22">
        <f>M479*Assumptions!$B$13/$E$2*J480</f>
        <v>0</v>
      </c>
      <c r="P480" s="22">
        <f>H480*Assumptions!$B$15</f>
        <v>0</v>
      </c>
      <c r="Q480" s="22">
        <f>O480*Assumptions!$B$17</f>
        <v>0</v>
      </c>
      <c r="R480" s="22">
        <f>HLOOKUP(B480,Assumptions!$A$26:$D$27,2,TRUE)</f>
        <v>0</v>
      </c>
      <c r="S480">
        <f t="shared" si="109"/>
        <v>0</v>
      </c>
      <c r="T480">
        <f t="shared" si="107"/>
        <v>0.6666666666666643</v>
      </c>
      <c r="U480">
        <f>IF(B480&gt;$K$2,0,IF(T481=0,0,(1-T481)*Assumptions!$B$11/$E$2*(1-Assumptions!$B$30)))</f>
        <v>0</v>
      </c>
      <c r="V480" s="22">
        <f>(N480-O480)*(1-Assumptions!$B$30)-Q480+U479*M479</f>
        <v>0</v>
      </c>
      <c r="W480" s="22">
        <f>W479*(1+Assumptions!$B$36)^(1/12)</f>
        <v>1.4753453493091564</v>
      </c>
      <c r="X480" s="19">
        <f>IF(B480&gt;$K$2,0,W479*Assumptions!$B$32/12*M479+V480*Assumptions!$B$34/12)</f>
        <v>0</v>
      </c>
      <c r="Y480" s="20">
        <f>1/(1+HLOOKUP(YEAR(A480),Assumptions!$A$41:$AL$43,3,TRUE))^(1/12)</f>
        <v>0.99757644752594421</v>
      </c>
      <c r="Z480" s="22">
        <f t="shared" si="101"/>
        <v>0</v>
      </c>
      <c r="AA480">
        <f t="shared" si="110"/>
        <v>0</v>
      </c>
    </row>
    <row r="481" spans="1:27" x14ac:dyDescent="0.2">
      <c r="A481" s="2">
        <f t="shared" si="111"/>
        <v>57404</v>
      </c>
      <c r="B481">
        <f t="shared" si="108"/>
        <v>562</v>
      </c>
      <c r="C481" s="22">
        <f t="shared" si="98"/>
        <v>46.75</v>
      </c>
      <c r="D481" s="22">
        <f t="shared" si="99"/>
        <v>0</v>
      </c>
      <c r="E481" s="22">
        <f t="shared" si="103"/>
        <v>101</v>
      </c>
      <c r="F481" s="22">
        <f>IF(C481&gt;=$J$2,0,VLOOKUP($E481,'Mortality Table'!$A$3:$C$128,2+G$2,FALSE))</f>
        <v>0</v>
      </c>
      <c r="G481">
        <f>F481*Assumptions!$B$1</f>
        <v>0</v>
      </c>
      <c r="H481">
        <f t="shared" si="104"/>
        <v>0</v>
      </c>
      <c r="I481" s="22">
        <f>HLOOKUP(C481,Assumptions!$A$6:$J$7,2,TRUE)</f>
        <v>2.6499999999999999E-2</v>
      </c>
      <c r="J481" s="22">
        <f t="shared" si="102"/>
        <v>0</v>
      </c>
      <c r="K481" s="22">
        <f t="shared" si="105"/>
        <v>0</v>
      </c>
      <c r="L481" s="22">
        <f t="shared" si="100"/>
        <v>0</v>
      </c>
      <c r="M481" s="22">
        <f t="shared" si="106"/>
        <v>0</v>
      </c>
      <c r="N481" s="22">
        <f>M480*Assumptions!$B$11/$E$2*J481</f>
        <v>0</v>
      </c>
      <c r="O481" s="22">
        <f>M480*Assumptions!$B$13/$E$2*J481</f>
        <v>0</v>
      </c>
      <c r="P481" s="22">
        <f>H481*Assumptions!$B$15</f>
        <v>0</v>
      </c>
      <c r="Q481" s="22">
        <f>O481*Assumptions!$B$17</f>
        <v>0</v>
      </c>
      <c r="R481" s="22">
        <f>HLOOKUP(B481,Assumptions!$A$26:$D$27,2,TRUE)</f>
        <v>0</v>
      </c>
      <c r="S481">
        <f t="shared" si="109"/>
        <v>0</v>
      </c>
      <c r="T481">
        <f t="shared" si="107"/>
        <v>0.75</v>
      </c>
      <c r="U481">
        <f>IF(B481&gt;$K$2,0,IF(T482=0,0,(1-T482)*Assumptions!$B$11/$E$2*(1-Assumptions!$B$30)))</f>
        <v>0</v>
      </c>
      <c r="V481" s="22">
        <f>(N481-O481)*(1-Assumptions!$B$30)-Q481+U480*M480</f>
        <v>0</v>
      </c>
      <c r="W481" s="22">
        <f>W480*(1+Assumptions!$B$36)^(1/12)</f>
        <v>1.4765692045082317</v>
      </c>
      <c r="X481" s="19">
        <f>IF(B481&gt;$K$2,0,W480*Assumptions!$B$32/12*M480+V481*Assumptions!$B$34/12)</f>
        <v>0</v>
      </c>
      <c r="Y481" s="20">
        <f>1/(1+HLOOKUP(YEAR(A481),Assumptions!$A$41:$AL$43,3,TRUE))^(1/12)</f>
        <v>0.99757644752594421</v>
      </c>
      <c r="Z481" s="22">
        <f t="shared" si="101"/>
        <v>0</v>
      </c>
      <c r="AA481">
        <f t="shared" si="110"/>
        <v>0</v>
      </c>
    </row>
    <row r="482" spans="1:27" x14ac:dyDescent="0.2">
      <c r="A482" s="2">
        <f t="shared" si="111"/>
        <v>57435</v>
      </c>
      <c r="B482">
        <f t="shared" si="108"/>
        <v>563</v>
      </c>
      <c r="C482" s="22">
        <f t="shared" si="98"/>
        <v>46.833333333333336</v>
      </c>
      <c r="D482" s="22">
        <f t="shared" si="99"/>
        <v>0</v>
      </c>
      <c r="E482" s="22">
        <f t="shared" si="103"/>
        <v>101</v>
      </c>
      <c r="F482" s="22">
        <f>IF(C482&gt;=$J$2,0,VLOOKUP($E482,'Mortality Table'!$A$3:$C$128,2+G$2,FALSE))</f>
        <v>0</v>
      </c>
      <c r="G482">
        <f>F482*Assumptions!$B$1</f>
        <v>0</v>
      </c>
      <c r="H482">
        <f t="shared" si="104"/>
        <v>0</v>
      </c>
      <c r="I482" s="22">
        <f>HLOOKUP(C482,Assumptions!$A$6:$J$7,2,TRUE)</f>
        <v>2.6499999999999999E-2</v>
      </c>
      <c r="J482" s="22">
        <f t="shared" si="102"/>
        <v>0</v>
      </c>
      <c r="K482" s="22">
        <f t="shared" si="105"/>
        <v>0</v>
      </c>
      <c r="L482" s="22">
        <f t="shared" si="100"/>
        <v>0</v>
      </c>
      <c r="M482" s="22">
        <f t="shared" si="106"/>
        <v>0</v>
      </c>
      <c r="N482" s="22">
        <f>M481*Assumptions!$B$11/$E$2*J482</f>
        <v>0</v>
      </c>
      <c r="O482" s="22">
        <f>M481*Assumptions!$B$13/$E$2*J482</f>
        <v>0</v>
      </c>
      <c r="P482" s="22">
        <f>H482*Assumptions!$B$15</f>
        <v>0</v>
      </c>
      <c r="Q482" s="22">
        <f>O482*Assumptions!$B$17</f>
        <v>0</v>
      </c>
      <c r="R482" s="22">
        <f>HLOOKUP(B482,Assumptions!$A$26:$D$27,2,TRUE)</f>
        <v>0</v>
      </c>
      <c r="S482">
        <f t="shared" si="109"/>
        <v>0</v>
      </c>
      <c r="T482">
        <f t="shared" si="107"/>
        <v>0.8333333333333357</v>
      </c>
      <c r="U482">
        <f>IF(B482&gt;$K$2,0,IF(T483=0,0,(1-T483)*Assumptions!$B$11/$E$2*(1-Assumptions!$B$30)))</f>
        <v>0</v>
      </c>
      <c r="V482" s="22">
        <f>(N482-O482)*(1-Assumptions!$B$30)-Q482+U481*M481</f>
        <v>0</v>
      </c>
      <c r="W482" s="22">
        <f>W481*(1+Assumptions!$B$36)^(1/12)</f>
        <v>1.477794074941841</v>
      </c>
      <c r="X482" s="19">
        <f>IF(B482&gt;$K$2,0,W481*Assumptions!$B$32/12*M481+V482*Assumptions!$B$34/12)</f>
        <v>0</v>
      </c>
      <c r="Y482" s="20">
        <f>1/(1+HLOOKUP(YEAR(A482),Assumptions!$A$41:$AL$43,3,TRUE))^(1/12)</f>
        <v>0.99757644752594421</v>
      </c>
      <c r="Z482" s="22">
        <f t="shared" si="101"/>
        <v>0</v>
      </c>
      <c r="AA482">
        <f t="shared" si="110"/>
        <v>0</v>
      </c>
    </row>
    <row r="483" spans="1:27" x14ac:dyDescent="0.2">
      <c r="A483" s="2">
        <f t="shared" si="111"/>
        <v>57465</v>
      </c>
      <c r="B483">
        <f t="shared" si="108"/>
        <v>564</v>
      </c>
      <c r="C483" s="22">
        <f t="shared" si="98"/>
        <v>46.916666666666664</v>
      </c>
      <c r="D483" s="22">
        <f t="shared" si="99"/>
        <v>0</v>
      </c>
      <c r="E483" s="22">
        <f t="shared" si="103"/>
        <v>101</v>
      </c>
      <c r="F483" s="22">
        <f>IF(C483&gt;=$J$2,0,VLOOKUP($E483,'Mortality Table'!$A$3:$C$128,2+G$2,FALSE))</f>
        <v>0</v>
      </c>
      <c r="G483">
        <f>F483*Assumptions!$B$1</f>
        <v>0</v>
      </c>
      <c r="H483">
        <f t="shared" si="104"/>
        <v>0</v>
      </c>
      <c r="I483" s="22">
        <f>HLOOKUP(C483,Assumptions!$A$6:$J$7,2,TRUE)</f>
        <v>2.6499999999999999E-2</v>
      </c>
      <c r="J483" s="22">
        <f t="shared" si="102"/>
        <v>0</v>
      </c>
      <c r="K483" s="22">
        <f t="shared" si="105"/>
        <v>0</v>
      </c>
      <c r="L483" s="22">
        <f t="shared" si="100"/>
        <v>0</v>
      </c>
      <c r="M483" s="22">
        <f t="shared" si="106"/>
        <v>0</v>
      </c>
      <c r="N483" s="22">
        <f>M482*Assumptions!$B$11/$E$2*J483</f>
        <v>0</v>
      </c>
      <c r="O483" s="22">
        <f>M482*Assumptions!$B$13/$E$2*J483</f>
        <v>0</v>
      </c>
      <c r="P483" s="22">
        <f>H483*Assumptions!$B$15</f>
        <v>0</v>
      </c>
      <c r="Q483" s="22">
        <f>O483*Assumptions!$B$17</f>
        <v>0</v>
      </c>
      <c r="R483" s="22">
        <f>HLOOKUP(B483,Assumptions!$A$26:$D$27,2,TRUE)</f>
        <v>0</v>
      </c>
      <c r="S483">
        <f t="shared" si="109"/>
        <v>0</v>
      </c>
      <c r="T483">
        <f t="shared" si="107"/>
        <v>0.9166666666666643</v>
      </c>
      <c r="U483">
        <f>IF(B483&gt;$K$2,0,IF(T484=0,0,(1-T484)*Assumptions!$B$11/$E$2*(1-Assumptions!$B$30)))</f>
        <v>0</v>
      </c>
      <c r="V483" s="22">
        <f>(N483-O483)*(1-Assumptions!$B$30)-Q483+U482*M482</f>
        <v>0</v>
      </c>
      <c r="W483" s="22">
        <f>W482*(1+Assumptions!$B$36)^(1/12)</f>
        <v>1.4790199614521602</v>
      </c>
      <c r="X483" s="19">
        <f>IF(B483&gt;$K$2,0,W482*Assumptions!$B$32/12*M482+V483*Assumptions!$B$34/12)</f>
        <v>0</v>
      </c>
      <c r="Y483" s="20">
        <f>1/(1+HLOOKUP(YEAR(A483),Assumptions!$A$41:$AL$43,3,TRUE))^(1/12)</f>
        <v>0.99757644752594421</v>
      </c>
      <c r="Z483" s="22">
        <f t="shared" si="101"/>
        <v>0</v>
      </c>
      <c r="AA483">
        <f t="shared" si="110"/>
        <v>0</v>
      </c>
    </row>
    <row r="484" spans="1:27" x14ac:dyDescent="0.2">
      <c r="A484" s="2">
        <f t="shared" si="111"/>
        <v>57496</v>
      </c>
      <c r="B484">
        <f t="shared" si="108"/>
        <v>565</v>
      </c>
      <c r="C484" s="22">
        <f t="shared" ref="C484:C503" si="112">(B484+11)/12-1</f>
        <v>47</v>
      </c>
      <c r="D484" s="22">
        <f t="shared" ref="D484:D503" si="113">IF(C484-INT(C484)=0,1,0)</f>
        <v>1</v>
      </c>
      <c r="E484" s="22">
        <f t="shared" si="103"/>
        <v>102</v>
      </c>
      <c r="F484" s="22">
        <f>IF(C484&gt;=$J$2,0,VLOOKUP($E484,'Mortality Table'!$A$3:$C$128,2+G$2,FALSE))</f>
        <v>0</v>
      </c>
      <c r="G484">
        <f>F484*Assumptions!$B$1</f>
        <v>0</v>
      </c>
      <c r="H484">
        <f t="shared" si="104"/>
        <v>0</v>
      </c>
      <c r="I484" s="22">
        <f>HLOOKUP(C484,Assumptions!$A$6:$J$7,2,TRUE)</f>
        <v>2.6499999999999999E-2</v>
      </c>
      <c r="J484" s="22">
        <f t="shared" si="102"/>
        <v>0</v>
      </c>
      <c r="K484" s="22">
        <f t="shared" si="105"/>
        <v>0</v>
      </c>
      <c r="L484" s="22">
        <f t="shared" ref="L484:L503" si="114">(1-(1-I484)^K484)*(M483-H484)</f>
        <v>0</v>
      </c>
      <c r="M484" s="22">
        <f t="shared" si="106"/>
        <v>0</v>
      </c>
      <c r="N484" s="22">
        <f>M483*Assumptions!$B$11/$E$2*J484</f>
        <v>0</v>
      </c>
      <c r="O484" s="22">
        <f>M483*Assumptions!$B$13/$E$2*J484</f>
        <v>0</v>
      </c>
      <c r="P484" s="22">
        <f>H484*Assumptions!$B$15</f>
        <v>0</v>
      </c>
      <c r="Q484" s="22">
        <f>O484*Assumptions!$B$17</f>
        <v>0</v>
      </c>
      <c r="R484" s="22">
        <f>HLOOKUP(B484,Assumptions!$A$26:$D$27,2,TRUE)</f>
        <v>0</v>
      </c>
      <c r="S484">
        <f t="shared" si="109"/>
        <v>0</v>
      </c>
      <c r="T484">
        <f t="shared" si="107"/>
        <v>0</v>
      </c>
      <c r="U484">
        <f>IF(B484&gt;$K$2,0,IF(T485=0,0,(1-T485)*Assumptions!$B$11/$E$2*(1-Assumptions!$B$30)))</f>
        <v>0</v>
      </c>
      <c r="V484" s="22">
        <f>(N484-O484)*(1-Assumptions!$B$30)-Q484+U483*M483</f>
        <v>0</v>
      </c>
      <c r="W484" s="22">
        <f>W483*(1+Assumptions!$B$36)^(1/12)</f>
        <v>1.4802468648820635</v>
      </c>
      <c r="X484" s="19">
        <f>IF(B484&gt;$K$2,0,W483*Assumptions!$B$32/12*M483+V484*Assumptions!$B$34/12)</f>
        <v>0</v>
      </c>
      <c r="Y484" s="20">
        <f>1/(1+HLOOKUP(YEAR(A484),Assumptions!$A$41:$AL$43,3,TRUE))^(1/12)</f>
        <v>0.99757644752594421</v>
      </c>
      <c r="Z484" s="22">
        <f t="shared" ref="Z484:Z503" si="115">(Z485+P485+Q485+S485+X485-N485)*Y485</f>
        <v>0</v>
      </c>
      <c r="AA484">
        <f t="shared" si="110"/>
        <v>0</v>
      </c>
    </row>
    <row r="485" spans="1:27" x14ac:dyDescent="0.2">
      <c r="A485" s="2">
        <f t="shared" si="111"/>
        <v>57526</v>
      </c>
      <c r="B485">
        <f t="shared" si="108"/>
        <v>566</v>
      </c>
      <c r="C485" s="22">
        <f t="shared" si="112"/>
        <v>47.083333333333336</v>
      </c>
      <c r="D485" s="22">
        <f t="shared" si="113"/>
        <v>0</v>
      </c>
      <c r="E485" s="22">
        <f t="shared" si="103"/>
        <v>102</v>
      </c>
      <c r="F485" s="22">
        <f>IF(C485&gt;=$J$2,0,VLOOKUP($E485,'Mortality Table'!$A$3:$C$128,2+G$2,FALSE))</f>
        <v>0</v>
      </c>
      <c r="G485">
        <f>F485*Assumptions!$B$1</f>
        <v>0</v>
      </c>
      <c r="H485">
        <f t="shared" si="104"/>
        <v>0</v>
      </c>
      <c r="I485" s="22">
        <f>HLOOKUP(C485,Assumptions!$A$6:$J$7,2,TRUE)</f>
        <v>2.6499999999999999E-2</v>
      </c>
      <c r="J485" s="22">
        <f t="shared" si="102"/>
        <v>0</v>
      </c>
      <c r="K485" s="22">
        <f t="shared" si="105"/>
        <v>0</v>
      </c>
      <c r="L485" s="22">
        <f t="shared" si="114"/>
        <v>0</v>
      </c>
      <c r="M485" s="22">
        <f t="shared" si="106"/>
        <v>0</v>
      </c>
      <c r="N485" s="22">
        <f>M484*Assumptions!$B$11/$E$2*J485</f>
        <v>0</v>
      </c>
      <c r="O485" s="22">
        <f>M484*Assumptions!$B$13/$E$2*J485</f>
        <v>0</v>
      </c>
      <c r="P485" s="22">
        <f>H485*Assumptions!$B$15</f>
        <v>0</v>
      </c>
      <c r="Q485" s="22">
        <f>O485*Assumptions!$B$17</f>
        <v>0</v>
      </c>
      <c r="R485" s="22">
        <f>HLOOKUP(B485,Assumptions!$A$26:$D$27,2,TRUE)</f>
        <v>0</v>
      </c>
      <c r="S485">
        <f t="shared" si="109"/>
        <v>0</v>
      </c>
      <c r="T485">
        <f t="shared" si="107"/>
        <v>8.3333333333335702E-2</v>
      </c>
      <c r="U485">
        <f>IF(B485&gt;$K$2,0,IF(T486=0,0,(1-T486)*Assumptions!$B$11/$E$2*(1-Assumptions!$B$30)))</f>
        <v>0</v>
      </c>
      <c r="V485" s="22">
        <f>(N485-O485)*(1-Assumptions!$B$30)-Q485+U484*M484</f>
        <v>0</v>
      </c>
      <c r="W485" s="22">
        <f>W484*(1+Assumptions!$B$36)^(1/12)</f>
        <v>1.4814747860751245</v>
      </c>
      <c r="X485" s="19">
        <f>IF(B485&gt;$K$2,0,W484*Assumptions!$B$32/12*M484+V485*Assumptions!$B$34/12)</f>
        <v>0</v>
      </c>
      <c r="Y485" s="20">
        <f>1/(1+HLOOKUP(YEAR(A485),Assumptions!$A$41:$AL$43,3,TRUE))^(1/12)</f>
        <v>0.99757644752594421</v>
      </c>
      <c r="Z485" s="22">
        <f t="shared" si="115"/>
        <v>0</v>
      </c>
      <c r="AA485">
        <f t="shared" si="110"/>
        <v>0</v>
      </c>
    </row>
    <row r="486" spans="1:27" x14ac:dyDescent="0.2">
      <c r="A486" s="2">
        <f t="shared" si="111"/>
        <v>57557</v>
      </c>
      <c r="B486">
        <f t="shared" si="108"/>
        <v>567</v>
      </c>
      <c r="C486" s="22">
        <f t="shared" si="112"/>
        <v>47.166666666666664</v>
      </c>
      <c r="D486" s="22">
        <f t="shared" si="113"/>
        <v>0</v>
      </c>
      <c r="E486" s="22">
        <f t="shared" si="103"/>
        <v>102</v>
      </c>
      <c r="F486" s="22">
        <f>IF(C486&gt;=$J$2,0,VLOOKUP($E486,'Mortality Table'!$A$3:$C$128,2+G$2,FALSE))</f>
        <v>0</v>
      </c>
      <c r="G486">
        <f>F486*Assumptions!$B$1</f>
        <v>0</v>
      </c>
      <c r="H486">
        <f t="shared" si="104"/>
        <v>0</v>
      </c>
      <c r="I486" s="22">
        <f>HLOOKUP(C486,Assumptions!$A$6:$J$7,2,TRUE)</f>
        <v>2.6499999999999999E-2</v>
      </c>
      <c r="J486" s="22">
        <f t="shared" si="102"/>
        <v>0</v>
      </c>
      <c r="K486" s="22">
        <f t="shared" si="105"/>
        <v>0</v>
      </c>
      <c r="L486" s="22">
        <f t="shared" si="114"/>
        <v>0</v>
      </c>
      <c r="M486" s="22">
        <f t="shared" si="106"/>
        <v>0</v>
      </c>
      <c r="N486" s="22">
        <f>M485*Assumptions!$B$11/$E$2*J486</f>
        <v>0</v>
      </c>
      <c r="O486" s="22">
        <f>M485*Assumptions!$B$13/$E$2*J486</f>
        <v>0</v>
      </c>
      <c r="P486" s="22">
        <f>H486*Assumptions!$B$15</f>
        <v>0</v>
      </c>
      <c r="Q486" s="22">
        <f>O486*Assumptions!$B$17</f>
        <v>0</v>
      </c>
      <c r="R486" s="22">
        <f>HLOOKUP(B486,Assumptions!$A$26:$D$27,2,TRUE)</f>
        <v>0</v>
      </c>
      <c r="S486">
        <f t="shared" si="109"/>
        <v>0</v>
      </c>
      <c r="T486">
        <f t="shared" si="107"/>
        <v>0.1666666666666643</v>
      </c>
      <c r="U486">
        <f>IF(B486&gt;$K$2,0,IF(T487=0,0,(1-T487)*Assumptions!$B$11/$E$2*(1-Assumptions!$B$30)))</f>
        <v>0</v>
      </c>
      <c r="V486" s="22">
        <f>(N486-O486)*(1-Assumptions!$B$30)-Q486+U485*M485</f>
        <v>0</v>
      </c>
      <c r="W486" s="22">
        <f>W485*(1+Assumptions!$B$36)^(1/12)</f>
        <v>1.4827037258756166</v>
      </c>
      <c r="X486" s="19">
        <f>IF(B486&gt;$K$2,0,W485*Assumptions!$B$32/12*M485+V486*Assumptions!$B$34/12)</f>
        <v>0</v>
      </c>
      <c r="Y486" s="20">
        <f>1/(1+HLOOKUP(YEAR(A486),Assumptions!$A$41:$AL$43,3,TRUE))^(1/12)</f>
        <v>0.99757644752594421</v>
      </c>
      <c r="Z486" s="22">
        <f t="shared" si="115"/>
        <v>0</v>
      </c>
      <c r="AA486">
        <f t="shared" si="110"/>
        <v>0</v>
      </c>
    </row>
    <row r="487" spans="1:27" x14ac:dyDescent="0.2">
      <c r="A487" s="2">
        <f t="shared" si="111"/>
        <v>57588</v>
      </c>
      <c r="B487">
        <f t="shared" si="108"/>
        <v>568</v>
      </c>
      <c r="C487" s="22">
        <f t="shared" si="112"/>
        <v>47.25</v>
      </c>
      <c r="D487" s="22">
        <f t="shared" si="113"/>
        <v>0</v>
      </c>
      <c r="E487" s="22">
        <f t="shared" si="103"/>
        <v>102</v>
      </c>
      <c r="F487" s="22">
        <f>IF(C487&gt;=$J$2,0,VLOOKUP($E487,'Mortality Table'!$A$3:$C$128,2+G$2,FALSE))</f>
        <v>0</v>
      </c>
      <c r="G487">
        <f>F487*Assumptions!$B$1</f>
        <v>0</v>
      </c>
      <c r="H487">
        <f t="shared" si="104"/>
        <v>0</v>
      </c>
      <c r="I487" s="22">
        <f>HLOOKUP(C487,Assumptions!$A$6:$J$7,2,TRUE)</f>
        <v>2.6499999999999999E-2</v>
      </c>
      <c r="J487" s="22">
        <f t="shared" si="102"/>
        <v>0</v>
      </c>
      <c r="K487" s="22">
        <f t="shared" si="105"/>
        <v>0</v>
      </c>
      <c r="L487" s="22">
        <f t="shared" si="114"/>
        <v>0</v>
      </c>
      <c r="M487" s="22">
        <f t="shared" si="106"/>
        <v>0</v>
      </c>
      <c r="N487" s="22">
        <f>M486*Assumptions!$B$11/$E$2*J487</f>
        <v>0</v>
      </c>
      <c r="O487" s="22">
        <f>M486*Assumptions!$B$13/$E$2*J487</f>
        <v>0</v>
      </c>
      <c r="P487" s="22">
        <f>H487*Assumptions!$B$15</f>
        <v>0</v>
      </c>
      <c r="Q487" s="22">
        <f>O487*Assumptions!$B$17</f>
        <v>0</v>
      </c>
      <c r="R487" s="22">
        <f>HLOOKUP(B487,Assumptions!$A$26:$D$27,2,TRUE)</f>
        <v>0</v>
      </c>
      <c r="S487">
        <f t="shared" si="109"/>
        <v>0</v>
      </c>
      <c r="T487">
        <f t="shared" si="107"/>
        <v>0.25</v>
      </c>
      <c r="U487">
        <f>IF(B487&gt;$K$2,0,IF(T488=0,0,(1-T488)*Assumptions!$B$11/$E$2*(1-Assumptions!$B$30)))</f>
        <v>0</v>
      </c>
      <c r="V487" s="22">
        <f>(N487-O487)*(1-Assumptions!$B$30)-Q487+U486*M486</f>
        <v>0</v>
      </c>
      <c r="W487" s="22">
        <f>W486*(1+Assumptions!$B$36)^(1/12)</f>
        <v>1.4839336851285134</v>
      </c>
      <c r="X487" s="19">
        <f>IF(B487&gt;$K$2,0,W486*Assumptions!$B$32/12*M486+V487*Assumptions!$B$34/12)</f>
        <v>0</v>
      </c>
      <c r="Y487" s="20">
        <f>1/(1+HLOOKUP(YEAR(A487),Assumptions!$A$41:$AL$43,3,TRUE))^(1/12)</f>
        <v>0.99757644752594421</v>
      </c>
      <c r="Z487" s="22">
        <f t="shared" si="115"/>
        <v>0</v>
      </c>
      <c r="AA487">
        <f t="shared" si="110"/>
        <v>0</v>
      </c>
    </row>
    <row r="488" spans="1:27" x14ac:dyDescent="0.2">
      <c r="A488" s="2">
        <f t="shared" si="111"/>
        <v>57618</v>
      </c>
      <c r="B488">
        <f t="shared" si="108"/>
        <v>569</v>
      </c>
      <c r="C488" s="22">
        <f t="shared" si="112"/>
        <v>47.333333333333336</v>
      </c>
      <c r="D488" s="22">
        <f t="shared" si="113"/>
        <v>0</v>
      </c>
      <c r="E488" s="22">
        <f t="shared" si="103"/>
        <v>102</v>
      </c>
      <c r="F488" s="22">
        <f>IF(C488&gt;=$J$2,0,VLOOKUP($E488,'Mortality Table'!$A$3:$C$128,2+G$2,FALSE))</f>
        <v>0</v>
      </c>
      <c r="G488">
        <f>F488*Assumptions!$B$1</f>
        <v>0</v>
      </c>
      <c r="H488">
        <f t="shared" si="104"/>
        <v>0</v>
      </c>
      <c r="I488" s="22">
        <f>HLOOKUP(C488,Assumptions!$A$6:$J$7,2,TRUE)</f>
        <v>2.6499999999999999E-2</v>
      </c>
      <c r="J488" s="22">
        <f t="shared" si="102"/>
        <v>0</v>
      </c>
      <c r="K488" s="22">
        <f t="shared" si="105"/>
        <v>0</v>
      </c>
      <c r="L488" s="22">
        <f t="shared" si="114"/>
        <v>0</v>
      </c>
      <c r="M488" s="22">
        <f t="shared" si="106"/>
        <v>0</v>
      </c>
      <c r="N488" s="22">
        <f>M487*Assumptions!$B$11/$E$2*J488</f>
        <v>0</v>
      </c>
      <c r="O488" s="22">
        <f>M487*Assumptions!$B$13/$E$2*J488</f>
        <v>0</v>
      </c>
      <c r="P488" s="22">
        <f>H488*Assumptions!$B$15</f>
        <v>0</v>
      </c>
      <c r="Q488" s="22">
        <f>O488*Assumptions!$B$17</f>
        <v>0</v>
      </c>
      <c r="R488" s="22">
        <f>HLOOKUP(B488,Assumptions!$A$26:$D$27,2,TRUE)</f>
        <v>0</v>
      </c>
      <c r="S488">
        <f t="shared" si="109"/>
        <v>0</v>
      </c>
      <c r="T488">
        <f t="shared" si="107"/>
        <v>0.3333333333333357</v>
      </c>
      <c r="U488">
        <f>IF(B488&gt;$K$2,0,IF(T489=0,0,(1-T489)*Assumptions!$B$11/$E$2*(1-Assumptions!$B$30)))</f>
        <v>0</v>
      </c>
      <c r="V488" s="22">
        <f>(N488-O488)*(1-Assumptions!$B$30)-Q488+U487*M487</f>
        <v>0</v>
      </c>
      <c r="W488" s="22">
        <f>W487*(1+Assumptions!$B$36)^(1/12)</f>
        <v>1.4851646646794896</v>
      </c>
      <c r="X488" s="19">
        <f>IF(B488&gt;$K$2,0,W487*Assumptions!$B$32/12*M487+V488*Assumptions!$B$34/12)</f>
        <v>0</v>
      </c>
      <c r="Y488" s="20">
        <f>1/(1+HLOOKUP(YEAR(A488),Assumptions!$A$41:$AL$43,3,TRUE))^(1/12)</f>
        <v>0.99757644752594421</v>
      </c>
      <c r="Z488" s="22">
        <f t="shared" si="115"/>
        <v>0</v>
      </c>
      <c r="AA488">
        <f t="shared" si="110"/>
        <v>0</v>
      </c>
    </row>
    <row r="489" spans="1:27" x14ac:dyDescent="0.2">
      <c r="A489" s="2">
        <f t="shared" si="111"/>
        <v>57649</v>
      </c>
      <c r="B489">
        <f t="shared" si="108"/>
        <v>570</v>
      </c>
      <c r="C489" s="22">
        <f t="shared" si="112"/>
        <v>47.416666666666664</v>
      </c>
      <c r="D489" s="22">
        <f t="shared" si="113"/>
        <v>0</v>
      </c>
      <c r="E489" s="22">
        <f t="shared" si="103"/>
        <v>102</v>
      </c>
      <c r="F489" s="22">
        <f>IF(C489&gt;=$J$2,0,VLOOKUP($E489,'Mortality Table'!$A$3:$C$128,2+G$2,FALSE))</f>
        <v>0</v>
      </c>
      <c r="G489">
        <f>F489*Assumptions!$B$1</f>
        <v>0</v>
      </c>
      <c r="H489">
        <f t="shared" si="104"/>
        <v>0</v>
      </c>
      <c r="I489" s="22">
        <f>HLOOKUP(C489,Assumptions!$A$6:$J$7,2,TRUE)</f>
        <v>2.6499999999999999E-2</v>
      </c>
      <c r="J489" s="22">
        <f t="shared" si="102"/>
        <v>0</v>
      </c>
      <c r="K489" s="22">
        <f t="shared" si="105"/>
        <v>0</v>
      </c>
      <c r="L489" s="22">
        <f t="shared" si="114"/>
        <v>0</v>
      </c>
      <c r="M489" s="22">
        <f t="shared" si="106"/>
        <v>0</v>
      </c>
      <c r="N489" s="22">
        <f>M488*Assumptions!$B$11/$E$2*J489</f>
        <v>0</v>
      </c>
      <c r="O489" s="22">
        <f>M488*Assumptions!$B$13/$E$2*J489</f>
        <v>0</v>
      </c>
      <c r="P489" s="22">
        <f>H489*Assumptions!$B$15</f>
        <v>0</v>
      </c>
      <c r="Q489" s="22">
        <f>O489*Assumptions!$B$17</f>
        <v>0</v>
      </c>
      <c r="R489" s="22">
        <f>HLOOKUP(B489,Assumptions!$A$26:$D$27,2,TRUE)</f>
        <v>0</v>
      </c>
      <c r="S489">
        <f t="shared" si="109"/>
        <v>0</v>
      </c>
      <c r="T489">
        <f t="shared" si="107"/>
        <v>0.4166666666666643</v>
      </c>
      <c r="U489">
        <f>IF(B489&gt;$K$2,0,IF(T490=0,0,(1-T490)*Assumptions!$B$11/$E$2*(1-Assumptions!$B$30)))</f>
        <v>0</v>
      </c>
      <c r="V489" s="22">
        <f>(N489-O489)*(1-Assumptions!$B$30)-Q489+U488*M488</f>
        <v>0</v>
      </c>
      <c r="W489" s="22">
        <f>W488*(1+Assumptions!$B$36)^(1/12)</f>
        <v>1.4863966653749214</v>
      </c>
      <c r="X489" s="19">
        <f>IF(B489&gt;$K$2,0,W488*Assumptions!$B$32/12*M488+V489*Assumptions!$B$34/12)</f>
        <v>0</v>
      </c>
      <c r="Y489" s="20">
        <f>1/(1+HLOOKUP(YEAR(A489),Assumptions!$A$41:$AL$43,3,TRUE))^(1/12)</f>
        <v>0.99757644752594421</v>
      </c>
      <c r="Z489" s="22">
        <f t="shared" si="115"/>
        <v>0</v>
      </c>
      <c r="AA489">
        <f t="shared" si="110"/>
        <v>0</v>
      </c>
    </row>
    <row r="490" spans="1:27" x14ac:dyDescent="0.2">
      <c r="A490" s="2">
        <f t="shared" si="111"/>
        <v>57679</v>
      </c>
      <c r="B490">
        <f t="shared" si="108"/>
        <v>571</v>
      </c>
      <c r="C490" s="22">
        <f t="shared" si="112"/>
        <v>47.5</v>
      </c>
      <c r="D490" s="22">
        <f t="shared" si="113"/>
        <v>0</v>
      </c>
      <c r="E490" s="22">
        <f t="shared" si="103"/>
        <v>102</v>
      </c>
      <c r="F490" s="22">
        <f>IF(C490&gt;=$J$2,0,VLOOKUP($E490,'Mortality Table'!$A$3:$C$128,2+G$2,FALSE))</f>
        <v>0</v>
      </c>
      <c r="G490">
        <f>F490*Assumptions!$B$1</f>
        <v>0</v>
      </c>
      <c r="H490">
        <f t="shared" si="104"/>
        <v>0</v>
      </c>
      <c r="I490" s="22">
        <f>HLOOKUP(C490,Assumptions!$A$6:$J$7,2,TRUE)</f>
        <v>2.6499999999999999E-2</v>
      </c>
      <c r="J490" s="22">
        <f t="shared" si="102"/>
        <v>0</v>
      </c>
      <c r="K490" s="22">
        <f t="shared" si="105"/>
        <v>0</v>
      </c>
      <c r="L490" s="22">
        <f t="shared" si="114"/>
        <v>0</v>
      </c>
      <c r="M490" s="22">
        <f t="shared" si="106"/>
        <v>0</v>
      </c>
      <c r="N490" s="22">
        <f>M489*Assumptions!$B$11/$E$2*J490</f>
        <v>0</v>
      </c>
      <c r="O490" s="22">
        <f>M489*Assumptions!$B$13/$E$2*J490</f>
        <v>0</v>
      </c>
      <c r="P490" s="22">
        <f>H490*Assumptions!$B$15</f>
        <v>0</v>
      </c>
      <c r="Q490" s="22">
        <f>O490*Assumptions!$B$17</f>
        <v>0</v>
      </c>
      <c r="R490" s="22">
        <f>HLOOKUP(B490,Assumptions!$A$26:$D$27,2,TRUE)</f>
        <v>0</v>
      </c>
      <c r="S490">
        <f t="shared" si="109"/>
        <v>0</v>
      </c>
      <c r="T490">
        <f t="shared" si="107"/>
        <v>0.5</v>
      </c>
      <c r="U490">
        <f>IF(B490&gt;$K$2,0,IF(T491=0,0,(1-T491)*Assumptions!$B$11/$E$2*(1-Assumptions!$B$30)))</f>
        <v>0</v>
      </c>
      <c r="V490" s="22">
        <f>(N490-O490)*(1-Assumptions!$B$30)-Q490+U489*M489</f>
        <v>0</v>
      </c>
      <c r="W490" s="22">
        <f>W489*(1+Assumptions!$B$36)^(1/12)</f>
        <v>1.4876296880618869</v>
      </c>
      <c r="X490" s="19">
        <f>IF(B490&gt;$K$2,0,W489*Assumptions!$B$32/12*M489+V490*Assumptions!$B$34/12)</f>
        <v>0</v>
      </c>
      <c r="Y490" s="20">
        <f>1/(1+HLOOKUP(YEAR(A490),Assumptions!$A$41:$AL$43,3,TRUE))^(1/12)</f>
        <v>0.99757644752594421</v>
      </c>
      <c r="Z490" s="22">
        <f t="shared" si="115"/>
        <v>0</v>
      </c>
      <c r="AA490">
        <f t="shared" si="110"/>
        <v>0</v>
      </c>
    </row>
    <row r="491" spans="1:27" x14ac:dyDescent="0.2">
      <c r="A491" s="2">
        <f t="shared" si="111"/>
        <v>57710</v>
      </c>
      <c r="B491">
        <f t="shared" si="108"/>
        <v>572</v>
      </c>
      <c r="C491" s="22">
        <f t="shared" si="112"/>
        <v>47.583333333333336</v>
      </c>
      <c r="D491" s="22">
        <f t="shared" si="113"/>
        <v>0</v>
      </c>
      <c r="E491" s="22">
        <f t="shared" si="103"/>
        <v>102</v>
      </c>
      <c r="F491" s="22">
        <f>IF(C491&gt;=$J$2,0,VLOOKUP($E491,'Mortality Table'!$A$3:$C$128,2+G$2,FALSE))</f>
        <v>0</v>
      </c>
      <c r="G491">
        <f>F491*Assumptions!$B$1</f>
        <v>0</v>
      </c>
      <c r="H491">
        <f t="shared" si="104"/>
        <v>0</v>
      </c>
      <c r="I491" s="22">
        <f>HLOOKUP(C491,Assumptions!$A$6:$J$7,2,TRUE)</f>
        <v>2.6499999999999999E-2</v>
      </c>
      <c r="J491" s="22">
        <f t="shared" si="102"/>
        <v>0</v>
      </c>
      <c r="K491" s="22">
        <f t="shared" si="105"/>
        <v>0</v>
      </c>
      <c r="L491" s="22">
        <f t="shared" si="114"/>
        <v>0</v>
      </c>
      <c r="M491" s="22">
        <f t="shared" si="106"/>
        <v>0</v>
      </c>
      <c r="N491" s="22">
        <f>M490*Assumptions!$B$11/$E$2*J491</f>
        <v>0</v>
      </c>
      <c r="O491" s="22">
        <f>M490*Assumptions!$B$13/$E$2*J491</f>
        <v>0</v>
      </c>
      <c r="P491" s="22">
        <f>H491*Assumptions!$B$15</f>
        <v>0</v>
      </c>
      <c r="Q491" s="22">
        <f>O491*Assumptions!$B$17</f>
        <v>0</v>
      </c>
      <c r="R491" s="22">
        <f>HLOOKUP(B491,Assumptions!$A$26:$D$27,2,TRUE)</f>
        <v>0</v>
      </c>
      <c r="S491">
        <f t="shared" si="109"/>
        <v>0</v>
      </c>
      <c r="T491">
        <f t="shared" si="107"/>
        <v>0.5833333333333357</v>
      </c>
      <c r="U491">
        <f>IF(B491&gt;$K$2,0,IF(T492=0,0,(1-T492)*Assumptions!$B$11/$E$2*(1-Assumptions!$B$30)))</f>
        <v>0</v>
      </c>
      <c r="V491" s="22">
        <f>(N491-O491)*(1-Assumptions!$B$30)-Q491+U490*M490</f>
        <v>0</v>
      </c>
      <c r="W491" s="22">
        <f>W490*(1+Assumptions!$B$36)^(1/12)</f>
        <v>1.4888637335881671</v>
      </c>
      <c r="X491" s="19">
        <f>IF(B491&gt;$K$2,0,W490*Assumptions!$B$32/12*M490+V491*Assumptions!$B$34/12)</f>
        <v>0</v>
      </c>
      <c r="Y491" s="20">
        <f>1/(1+HLOOKUP(YEAR(A491),Assumptions!$A$41:$AL$43,3,TRUE))^(1/12)</f>
        <v>0.99757644752594421</v>
      </c>
      <c r="Z491" s="22">
        <f t="shared" si="115"/>
        <v>0</v>
      </c>
      <c r="AA491">
        <f t="shared" si="110"/>
        <v>0</v>
      </c>
    </row>
    <row r="492" spans="1:27" x14ac:dyDescent="0.2">
      <c r="A492" s="2">
        <f t="shared" si="111"/>
        <v>57741</v>
      </c>
      <c r="B492">
        <f t="shared" si="108"/>
        <v>573</v>
      </c>
      <c r="C492" s="22">
        <f t="shared" si="112"/>
        <v>47.666666666666664</v>
      </c>
      <c r="D492" s="22">
        <f t="shared" si="113"/>
        <v>0</v>
      </c>
      <c r="E492" s="22">
        <f t="shared" si="103"/>
        <v>102</v>
      </c>
      <c r="F492" s="22">
        <f>IF(C492&gt;=$J$2,0,VLOOKUP($E492,'Mortality Table'!$A$3:$C$128,2+G$2,FALSE))</f>
        <v>0</v>
      </c>
      <c r="G492">
        <f>F492*Assumptions!$B$1</f>
        <v>0</v>
      </c>
      <c r="H492">
        <f t="shared" si="104"/>
        <v>0</v>
      </c>
      <c r="I492" s="22">
        <f>HLOOKUP(C492,Assumptions!$A$6:$J$7,2,TRUE)</f>
        <v>2.6499999999999999E-2</v>
      </c>
      <c r="J492" s="22">
        <f t="shared" si="102"/>
        <v>0</v>
      </c>
      <c r="K492" s="22">
        <f t="shared" si="105"/>
        <v>0</v>
      </c>
      <c r="L492" s="22">
        <f t="shared" si="114"/>
        <v>0</v>
      </c>
      <c r="M492" s="22">
        <f t="shared" si="106"/>
        <v>0</v>
      </c>
      <c r="N492" s="22">
        <f>M491*Assumptions!$B$11/$E$2*J492</f>
        <v>0</v>
      </c>
      <c r="O492" s="22">
        <f>M491*Assumptions!$B$13/$E$2*J492</f>
        <v>0</v>
      </c>
      <c r="P492" s="22">
        <f>H492*Assumptions!$B$15</f>
        <v>0</v>
      </c>
      <c r="Q492" s="22">
        <f>O492*Assumptions!$B$17</f>
        <v>0</v>
      </c>
      <c r="R492" s="22">
        <f>HLOOKUP(B492,Assumptions!$A$26:$D$27,2,TRUE)</f>
        <v>0</v>
      </c>
      <c r="S492">
        <f t="shared" si="109"/>
        <v>0</v>
      </c>
      <c r="T492">
        <f t="shared" si="107"/>
        <v>0.6666666666666643</v>
      </c>
      <c r="U492">
        <f>IF(B492&gt;$K$2,0,IF(T493=0,0,(1-T493)*Assumptions!$B$11/$E$2*(1-Assumptions!$B$30)))</f>
        <v>0</v>
      </c>
      <c r="V492" s="22">
        <f>(N492-O492)*(1-Assumptions!$B$30)-Q492+U491*M491</f>
        <v>0</v>
      </c>
      <c r="W492" s="22">
        <f>W491*(1+Assumptions!$B$36)^(1/12)</f>
        <v>1.4900988028022462</v>
      </c>
      <c r="X492" s="19">
        <f>IF(B492&gt;$K$2,0,W491*Assumptions!$B$32/12*M491+V492*Assumptions!$B$34/12)</f>
        <v>0</v>
      </c>
      <c r="Y492" s="20">
        <f>1/(1+HLOOKUP(YEAR(A492),Assumptions!$A$41:$AL$43,3,TRUE))^(1/12)</f>
        <v>0.99757644752594421</v>
      </c>
      <c r="Z492" s="22">
        <f t="shared" si="115"/>
        <v>0</v>
      </c>
      <c r="AA492">
        <f t="shared" si="110"/>
        <v>0</v>
      </c>
    </row>
    <row r="493" spans="1:27" x14ac:dyDescent="0.2">
      <c r="A493" s="2">
        <f t="shared" si="111"/>
        <v>57769</v>
      </c>
      <c r="B493">
        <f t="shared" si="108"/>
        <v>574</v>
      </c>
      <c r="C493" s="22">
        <f t="shared" si="112"/>
        <v>47.75</v>
      </c>
      <c r="D493" s="22">
        <f t="shared" si="113"/>
        <v>0</v>
      </c>
      <c r="E493" s="22">
        <f t="shared" si="103"/>
        <v>102</v>
      </c>
      <c r="F493" s="22">
        <f>IF(C493&gt;=$J$2,0,VLOOKUP($E493,'Mortality Table'!$A$3:$C$128,2+G$2,FALSE))</f>
        <v>0</v>
      </c>
      <c r="G493">
        <f>F493*Assumptions!$B$1</f>
        <v>0</v>
      </c>
      <c r="H493">
        <f t="shared" si="104"/>
        <v>0</v>
      </c>
      <c r="I493" s="22">
        <f>HLOOKUP(C493,Assumptions!$A$6:$J$7,2,TRUE)</f>
        <v>2.6499999999999999E-2</v>
      </c>
      <c r="J493" s="22">
        <f t="shared" si="102"/>
        <v>0</v>
      </c>
      <c r="K493" s="22">
        <f t="shared" si="105"/>
        <v>0</v>
      </c>
      <c r="L493" s="22">
        <f t="shared" si="114"/>
        <v>0</v>
      </c>
      <c r="M493" s="22">
        <f t="shared" si="106"/>
        <v>0</v>
      </c>
      <c r="N493" s="22">
        <f>M492*Assumptions!$B$11/$E$2*J493</f>
        <v>0</v>
      </c>
      <c r="O493" s="22">
        <f>M492*Assumptions!$B$13/$E$2*J493</f>
        <v>0</v>
      </c>
      <c r="P493" s="22">
        <f>H493*Assumptions!$B$15</f>
        <v>0</v>
      </c>
      <c r="Q493" s="22">
        <f>O493*Assumptions!$B$17</f>
        <v>0</v>
      </c>
      <c r="R493" s="22">
        <f>HLOOKUP(B493,Assumptions!$A$26:$D$27,2,TRUE)</f>
        <v>0</v>
      </c>
      <c r="S493">
        <f t="shared" si="109"/>
        <v>0</v>
      </c>
      <c r="T493">
        <f t="shared" si="107"/>
        <v>0.75</v>
      </c>
      <c r="U493">
        <f>IF(B493&gt;$K$2,0,IF(T494=0,0,(1-T494)*Assumptions!$B$11/$E$2*(1-Assumptions!$B$30)))</f>
        <v>0</v>
      </c>
      <c r="V493" s="22">
        <f>(N493-O493)*(1-Assumptions!$B$30)-Q493+U492*M492</f>
        <v>0</v>
      </c>
      <c r="W493" s="22">
        <f>W492*(1+Assumptions!$B$36)^(1/12)</f>
        <v>1.4913348965533122</v>
      </c>
      <c r="X493" s="19">
        <f>IF(B493&gt;$K$2,0,W492*Assumptions!$B$32/12*M492+V493*Assumptions!$B$34/12)</f>
        <v>0</v>
      </c>
      <c r="Y493" s="20">
        <f>1/(1+HLOOKUP(YEAR(A493),Assumptions!$A$41:$AL$43,3,TRUE))^(1/12)</f>
        <v>0.99757644752594421</v>
      </c>
      <c r="Z493" s="22">
        <f t="shared" si="115"/>
        <v>0</v>
      </c>
      <c r="AA493">
        <f t="shared" si="110"/>
        <v>0</v>
      </c>
    </row>
    <row r="494" spans="1:27" x14ac:dyDescent="0.2">
      <c r="A494" s="2">
        <f t="shared" si="111"/>
        <v>57800</v>
      </c>
      <c r="B494">
        <f t="shared" si="108"/>
        <v>575</v>
      </c>
      <c r="C494" s="22">
        <f t="shared" si="112"/>
        <v>47.833333333333336</v>
      </c>
      <c r="D494" s="22">
        <f t="shared" si="113"/>
        <v>0</v>
      </c>
      <c r="E494" s="22">
        <f t="shared" si="103"/>
        <v>102</v>
      </c>
      <c r="F494" s="22">
        <f>IF(C494&gt;=$J$2,0,VLOOKUP($E494,'Mortality Table'!$A$3:$C$128,2+G$2,FALSE))</f>
        <v>0</v>
      </c>
      <c r="G494">
        <f>F494*Assumptions!$B$1</f>
        <v>0</v>
      </c>
      <c r="H494">
        <f t="shared" si="104"/>
        <v>0</v>
      </c>
      <c r="I494" s="22">
        <f>HLOOKUP(C494,Assumptions!$A$6:$J$7,2,TRUE)</f>
        <v>2.6499999999999999E-2</v>
      </c>
      <c r="J494" s="22">
        <f t="shared" si="102"/>
        <v>0</v>
      </c>
      <c r="K494" s="22">
        <f t="shared" si="105"/>
        <v>0</v>
      </c>
      <c r="L494" s="22">
        <f t="shared" si="114"/>
        <v>0</v>
      </c>
      <c r="M494" s="22">
        <f t="shared" si="106"/>
        <v>0</v>
      </c>
      <c r="N494" s="22">
        <f>M493*Assumptions!$B$11/$E$2*J494</f>
        <v>0</v>
      </c>
      <c r="O494" s="22">
        <f>M493*Assumptions!$B$13/$E$2*J494</f>
        <v>0</v>
      </c>
      <c r="P494" s="22">
        <f>H494*Assumptions!$B$15</f>
        <v>0</v>
      </c>
      <c r="Q494" s="22">
        <f>O494*Assumptions!$B$17</f>
        <v>0</v>
      </c>
      <c r="R494" s="22">
        <f>HLOOKUP(B494,Assumptions!$A$26:$D$27,2,TRUE)</f>
        <v>0</v>
      </c>
      <c r="S494">
        <f t="shared" si="109"/>
        <v>0</v>
      </c>
      <c r="T494">
        <f t="shared" si="107"/>
        <v>0.8333333333333357</v>
      </c>
      <c r="U494">
        <f>IF(B494&gt;$K$2,0,IF(T495=0,0,(1-T495)*Assumptions!$B$11/$E$2*(1-Assumptions!$B$30)))</f>
        <v>0</v>
      </c>
      <c r="V494" s="22">
        <f>(N494-O494)*(1-Assumptions!$B$30)-Q494+U493*M493</f>
        <v>0</v>
      </c>
      <c r="W494" s="22">
        <f>W493*(1+Assumptions!$B$36)^(1/12)</f>
        <v>1.4925720156912576</v>
      </c>
      <c r="X494" s="19">
        <f>IF(B494&gt;$K$2,0,W493*Assumptions!$B$32/12*M493+V494*Assumptions!$B$34/12)</f>
        <v>0</v>
      </c>
      <c r="Y494" s="20">
        <f>1/(1+HLOOKUP(YEAR(A494),Assumptions!$A$41:$AL$43,3,TRUE))^(1/12)</f>
        <v>0.99757644752594421</v>
      </c>
      <c r="Z494" s="22">
        <f t="shared" si="115"/>
        <v>0</v>
      </c>
      <c r="AA494">
        <f t="shared" si="110"/>
        <v>0</v>
      </c>
    </row>
    <row r="495" spans="1:27" x14ac:dyDescent="0.2">
      <c r="A495" s="2">
        <f t="shared" si="111"/>
        <v>57830</v>
      </c>
      <c r="B495">
        <f t="shared" si="108"/>
        <v>576</v>
      </c>
      <c r="C495" s="22">
        <f t="shared" si="112"/>
        <v>47.916666666666664</v>
      </c>
      <c r="D495" s="22">
        <f t="shared" si="113"/>
        <v>0</v>
      </c>
      <c r="E495" s="22">
        <f t="shared" si="103"/>
        <v>102</v>
      </c>
      <c r="F495" s="22">
        <f>IF(C495&gt;=$J$2,0,VLOOKUP($E495,'Mortality Table'!$A$3:$C$128,2+G$2,FALSE))</f>
        <v>0</v>
      </c>
      <c r="G495">
        <f>F495*Assumptions!$B$1</f>
        <v>0</v>
      </c>
      <c r="H495">
        <f t="shared" si="104"/>
        <v>0</v>
      </c>
      <c r="I495" s="22">
        <f>HLOOKUP(C495,Assumptions!$A$6:$J$7,2,TRUE)</f>
        <v>2.6499999999999999E-2</v>
      </c>
      <c r="J495" s="22">
        <f t="shared" si="102"/>
        <v>0</v>
      </c>
      <c r="K495" s="22">
        <f t="shared" si="105"/>
        <v>0</v>
      </c>
      <c r="L495" s="22">
        <f t="shared" si="114"/>
        <v>0</v>
      </c>
      <c r="M495" s="22">
        <f t="shared" si="106"/>
        <v>0</v>
      </c>
      <c r="N495" s="22">
        <f>M494*Assumptions!$B$11/$E$2*J495</f>
        <v>0</v>
      </c>
      <c r="O495" s="22">
        <f>M494*Assumptions!$B$13/$E$2*J495</f>
        <v>0</v>
      </c>
      <c r="P495" s="22">
        <f>H495*Assumptions!$B$15</f>
        <v>0</v>
      </c>
      <c r="Q495" s="22">
        <f>O495*Assumptions!$B$17</f>
        <v>0</v>
      </c>
      <c r="R495" s="22">
        <f>HLOOKUP(B495,Assumptions!$A$26:$D$27,2,TRUE)</f>
        <v>0</v>
      </c>
      <c r="S495">
        <f t="shared" si="109"/>
        <v>0</v>
      </c>
      <c r="T495">
        <f t="shared" si="107"/>
        <v>0.9166666666666643</v>
      </c>
      <c r="U495">
        <f>IF(B495&gt;$K$2,0,IF(T496=0,0,(1-T496)*Assumptions!$B$11/$E$2*(1-Assumptions!$B$30)))</f>
        <v>0</v>
      </c>
      <c r="V495" s="22">
        <f>(N495-O495)*(1-Assumptions!$B$30)-Q495+U494*M494</f>
        <v>0</v>
      </c>
      <c r="W495" s="22">
        <f>W494*(1+Assumptions!$B$36)^(1/12)</f>
        <v>1.4938101610666801</v>
      </c>
      <c r="X495" s="19">
        <f>IF(B495&gt;$K$2,0,W494*Assumptions!$B$32/12*M494+V495*Assumptions!$B$34/12)</f>
        <v>0</v>
      </c>
      <c r="Y495" s="20">
        <f>1/(1+HLOOKUP(YEAR(A495),Assumptions!$A$41:$AL$43,3,TRUE))^(1/12)</f>
        <v>0.99757644752594421</v>
      </c>
      <c r="Z495" s="22">
        <f t="shared" si="115"/>
        <v>0</v>
      </c>
      <c r="AA495">
        <f t="shared" si="110"/>
        <v>0</v>
      </c>
    </row>
    <row r="496" spans="1:27" x14ac:dyDescent="0.2">
      <c r="A496" s="2">
        <f t="shared" si="111"/>
        <v>57861</v>
      </c>
      <c r="B496">
        <f t="shared" si="108"/>
        <v>577</v>
      </c>
      <c r="C496" s="22">
        <f t="shared" si="112"/>
        <v>48</v>
      </c>
      <c r="D496" s="22">
        <f t="shared" si="113"/>
        <v>1</v>
      </c>
      <c r="E496" s="22">
        <f t="shared" si="103"/>
        <v>103</v>
      </c>
      <c r="F496" s="22">
        <f>IF(C496&gt;=$J$2,0,VLOOKUP($E496,'Mortality Table'!$A$3:$C$128,2+G$2,FALSE))</f>
        <v>0</v>
      </c>
      <c r="G496">
        <f>F496*Assumptions!$B$1</f>
        <v>0</v>
      </c>
      <c r="H496">
        <f t="shared" si="104"/>
        <v>0</v>
      </c>
      <c r="I496" s="22">
        <f>HLOOKUP(C496,Assumptions!$A$6:$J$7,2,TRUE)</f>
        <v>2.6499999999999999E-2</v>
      </c>
      <c r="J496" s="22">
        <f t="shared" si="102"/>
        <v>0</v>
      </c>
      <c r="K496" s="22">
        <f t="shared" si="105"/>
        <v>0</v>
      </c>
      <c r="L496" s="22">
        <f t="shared" si="114"/>
        <v>0</v>
      </c>
      <c r="M496" s="22">
        <f t="shared" si="106"/>
        <v>0</v>
      </c>
      <c r="N496" s="22">
        <f>M495*Assumptions!$B$11/$E$2*J496</f>
        <v>0</v>
      </c>
      <c r="O496" s="22">
        <f>M495*Assumptions!$B$13/$E$2*J496</f>
        <v>0</v>
      </c>
      <c r="P496" s="22">
        <f>H496*Assumptions!$B$15</f>
        <v>0</v>
      </c>
      <c r="Q496" s="22">
        <f>O496*Assumptions!$B$17</f>
        <v>0</v>
      </c>
      <c r="R496" s="22">
        <f>HLOOKUP(B496,Assumptions!$A$26:$D$27,2,TRUE)</f>
        <v>0</v>
      </c>
      <c r="S496">
        <f t="shared" si="109"/>
        <v>0</v>
      </c>
      <c r="T496">
        <f t="shared" si="107"/>
        <v>0</v>
      </c>
      <c r="U496">
        <f>IF(B496&gt;$K$2,0,IF(T497=0,0,(1-T497)*Assumptions!$B$11/$E$2*(1-Assumptions!$B$30)))</f>
        <v>0</v>
      </c>
      <c r="V496" s="22">
        <f>(N496-O496)*(1-Assumptions!$B$30)-Q496+U495*M495</f>
        <v>0</v>
      </c>
      <c r="W496" s="22">
        <f>W495*(1+Assumptions!$B$36)^(1/12)</f>
        <v>1.4950493335308825</v>
      </c>
      <c r="X496" s="19">
        <f>IF(B496&gt;$K$2,0,W495*Assumptions!$B$32/12*M495+V496*Assumptions!$B$34/12)</f>
        <v>0</v>
      </c>
      <c r="Y496" s="20">
        <f>1/(1+HLOOKUP(YEAR(A496),Assumptions!$A$41:$AL$43,3,TRUE))^(1/12)</f>
        <v>0.99757644752594421</v>
      </c>
      <c r="Z496" s="22">
        <f t="shared" si="115"/>
        <v>0</v>
      </c>
      <c r="AA496">
        <f t="shared" si="110"/>
        <v>0</v>
      </c>
    </row>
    <row r="497" spans="1:27" x14ac:dyDescent="0.2">
      <c r="A497" s="2">
        <f t="shared" si="111"/>
        <v>57891</v>
      </c>
      <c r="B497">
        <f t="shared" si="108"/>
        <v>578</v>
      </c>
      <c r="C497" s="22">
        <f t="shared" si="112"/>
        <v>48.083333333333336</v>
      </c>
      <c r="D497" s="22">
        <f t="shared" si="113"/>
        <v>0</v>
      </c>
      <c r="E497" s="22">
        <f t="shared" si="103"/>
        <v>103</v>
      </c>
      <c r="F497" s="22">
        <f>IF(C497&gt;=$J$2,0,VLOOKUP($E497,'Mortality Table'!$A$3:$C$128,2+G$2,FALSE))</f>
        <v>0</v>
      </c>
      <c r="G497">
        <f>F497*Assumptions!$B$1</f>
        <v>0</v>
      </c>
      <c r="H497">
        <f t="shared" si="104"/>
        <v>0</v>
      </c>
      <c r="I497" s="22">
        <f>HLOOKUP(C497,Assumptions!$A$6:$J$7,2,TRUE)</f>
        <v>2.6499999999999999E-2</v>
      </c>
      <c r="J497" s="22">
        <f t="shared" si="102"/>
        <v>0</v>
      </c>
      <c r="K497" s="22">
        <f t="shared" si="105"/>
        <v>0</v>
      </c>
      <c r="L497" s="22">
        <f t="shared" si="114"/>
        <v>0</v>
      </c>
      <c r="M497" s="22">
        <f t="shared" si="106"/>
        <v>0</v>
      </c>
      <c r="N497" s="22">
        <f>M496*Assumptions!$B$11/$E$2*J497</f>
        <v>0</v>
      </c>
      <c r="O497" s="22">
        <f>M496*Assumptions!$B$13/$E$2*J497</f>
        <v>0</v>
      </c>
      <c r="P497" s="22">
        <f>H497*Assumptions!$B$15</f>
        <v>0</v>
      </c>
      <c r="Q497" s="22">
        <f>O497*Assumptions!$B$17</f>
        <v>0</v>
      </c>
      <c r="R497" s="22">
        <f>HLOOKUP(B497,Assumptions!$A$26:$D$27,2,TRUE)</f>
        <v>0</v>
      </c>
      <c r="S497">
        <f t="shared" si="109"/>
        <v>0</v>
      </c>
      <c r="T497">
        <f t="shared" si="107"/>
        <v>8.3333333333335702E-2</v>
      </c>
      <c r="U497">
        <f>IF(B497&gt;$K$2,0,IF(T498=0,0,(1-T498)*Assumptions!$B$11/$E$2*(1-Assumptions!$B$30)))</f>
        <v>0</v>
      </c>
      <c r="V497" s="22">
        <f>(N497-O497)*(1-Assumptions!$B$30)-Q497+U496*M496</f>
        <v>0</v>
      </c>
      <c r="W497" s="22">
        <f>W496*(1+Assumptions!$B$36)^(1/12)</f>
        <v>1.4962895339358742</v>
      </c>
      <c r="X497" s="19">
        <f>IF(B497&gt;$K$2,0,W496*Assumptions!$B$32/12*M496+V497*Assumptions!$B$34/12)</f>
        <v>0</v>
      </c>
      <c r="Y497" s="20">
        <f>1/(1+HLOOKUP(YEAR(A497),Assumptions!$A$41:$AL$43,3,TRUE))^(1/12)</f>
        <v>0.99757644752594421</v>
      </c>
      <c r="Z497" s="22">
        <f t="shared" si="115"/>
        <v>0</v>
      </c>
      <c r="AA497">
        <f t="shared" si="110"/>
        <v>0</v>
      </c>
    </row>
    <row r="498" spans="1:27" x14ac:dyDescent="0.2">
      <c r="A498" s="2">
        <f t="shared" si="111"/>
        <v>57922</v>
      </c>
      <c r="B498">
        <f t="shared" si="108"/>
        <v>579</v>
      </c>
      <c r="C498" s="22">
        <f t="shared" si="112"/>
        <v>48.166666666666664</v>
      </c>
      <c r="D498" s="22">
        <f t="shared" si="113"/>
        <v>0</v>
      </c>
      <c r="E498" s="22">
        <f t="shared" si="103"/>
        <v>103</v>
      </c>
      <c r="F498" s="22">
        <f>IF(C498&gt;=$J$2,0,VLOOKUP($E498,'Mortality Table'!$A$3:$C$128,2+G$2,FALSE))</f>
        <v>0</v>
      </c>
      <c r="G498">
        <f>F498*Assumptions!$B$1</f>
        <v>0</v>
      </c>
      <c r="H498">
        <f t="shared" si="104"/>
        <v>0</v>
      </c>
      <c r="I498" s="22">
        <f>HLOOKUP(C498,Assumptions!$A$6:$J$7,2,TRUE)</f>
        <v>2.6499999999999999E-2</v>
      </c>
      <c r="J498" s="22">
        <f t="shared" si="102"/>
        <v>0</v>
      </c>
      <c r="K498" s="22">
        <f t="shared" si="105"/>
        <v>0</v>
      </c>
      <c r="L498" s="22">
        <f t="shared" si="114"/>
        <v>0</v>
      </c>
      <c r="M498" s="22">
        <f t="shared" si="106"/>
        <v>0</v>
      </c>
      <c r="N498" s="22">
        <f>M497*Assumptions!$B$11/$E$2*J498</f>
        <v>0</v>
      </c>
      <c r="O498" s="22">
        <f>M497*Assumptions!$B$13/$E$2*J498</f>
        <v>0</v>
      </c>
      <c r="P498" s="22">
        <f>H498*Assumptions!$B$15</f>
        <v>0</v>
      </c>
      <c r="Q498" s="22">
        <f>O498*Assumptions!$B$17</f>
        <v>0</v>
      </c>
      <c r="R498" s="22">
        <f>HLOOKUP(B498,Assumptions!$A$26:$D$27,2,TRUE)</f>
        <v>0</v>
      </c>
      <c r="S498">
        <f t="shared" si="109"/>
        <v>0</v>
      </c>
      <c r="T498">
        <f t="shared" si="107"/>
        <v>0.1666666666666643</v>
      </c>
      <c r="U498">
        <f>IF(B498&gt;$K$2,0,IF(T499=0,0,(1-T499)*Assumptions!$B$11/$E$2*(1-Assumptions!$B$30)))</f>
        <v>0</v>
      </c>
      <c r="V498" s="22">
        <f>(N498-O498)*(1-Assumptions!$B$30)-Q498+U497*M497</f>
        <v>0</v>
      </c>
      <c r="W498" s="22">
        <f>W497*(1+Assumptions!$B$36)^(1/12)</f>
        <v>1.4975307631343713</v>
      </c>
      <c r="X498" s="19">
        <f>IF(B498&gt;$K$2,0,W497*Assumptions!$B$32/12*M497+V498*Assumptions!$B$34/12)</f>
        <v>0</v>
      </c>
      <c r="Y498" s="20">
        <f>1/(1+HLOOKUP(YEAR(A498),Assumptions!$A$41:$AL$43,3,TRUE))^(1/12)</f>
        <v>0.99757644752594421</v>
      </c>
      <c r="Z498" s="22">
        <f t="shared" si="115"/>
        <v>0</v>
      </c>
      <c r="AA498">
        <f t="shared" si="110"/>
        <v>0</v>
      </c>
    </row>
    <row r="499" spans="1:27" x14ac:dyDescent="0.2">
      <c r="A499" s="2">
        <f t="shared" si="111"/>
        <v>57953</v>
      </c>
      <c r="B499">
        <f t="shared" si="108"/>
        <v>580</v>
      </c>
      <c r="C499" s="22">
        <f t="shared" si="112"/>
        <v>48.25</v>
      </c>
      <c r="D499" s="22">
        <f t="shared" si="113"/>
        <v>0</v>
      </c>
      <c r="E499" s="22">
        <f t="shared" si="103"/>
        <v>103</v>
      </c>
      <c r="F499" s="22">
        <f>IF(C499&gt;=$J$2,0,VLOOKUP($E499,'Mortality Table'!$A$3:$C$128,2+G$2,FALSE))</f>
        <v>0</v>
      </c>
      <c r="G499">
        <f>F499*Assumptions!$B$1</f>
        <v>0</v>
      </c>
      <c r="H499">
        <f t="shared" si="104"/>
        <v>0</v>
      </c>
      <c r="I499" s="22">
        <f>HLOOKUP(C499,Assumptions!$A$6:$J$7,2,TRUE)</f>
        <v>2.6499999999999999E-2</v>
      </c>
      <c r="J499" s="22">
        <f t="shared" si="102"/>
        <v>0</v>
      </c>
      <c r="K499" s="22">
        <f t="shared" si="105"/>
        <v>0</v>
      </c>
      <c r="L499" s="22">
        <f t="shared" si="114"/>
        <v>0</v>
      </c>
      <c r="M499" s="22">
        <f t="shared" si="106"/>
        <v>0</v>
      </c>
      <c r="N499" s="22">
        <f>M498*Assumptions!$B$11/$E$2*J499</f>
        <v>0</v>
      </c>
      <c r="O499" s="22">
        <f>M498*Assumptions!$B$13/$E$2*J499</f>
        <v>0</v>
      </c>
      <c r="P499" s="22">
        <f>H499*Assumptions!$B$15</f>
        <v>0</v>
      </c>
      <c r="Q499" s="22">
        <f>O499*Assumptions!$B$17</f>
        <v>0</v>
      </c>
      <c r="R499" s="22">
        <f>HLOOKUP(B499,Assumptions!$A$26:$D$27,2,TRUE)</f>
        <v>0</v>
      </c>
      <c r="S499">
        <f t="shared" si="109"/>
        <v>0</v>
      </c>
      <c r="T499">
        <f t="shared" si="107"/>
        <v>0.25</v>
      </c>
      <c r="U499">
        <f>IF(B499&gt;$K$2,0,IF(T500=0,0,(1-T500)*Assumptions!$B$11/$E$2*(1-Assumptions!$B$30)))</f>
        <v>0</v>
      </c>
      <c r="V499" s="22">
        <f>(N499-O499)*(1-Assumptions!$B$30)-Q499+U498*M498</f>
        <v>0</v>
      </c>
      <c r="W499" s="22">
        <f>W498*(1+Assumptions!$B$36)^(1/12)</f>
        <v>1.4987730219797972</v>
      </c>
      <c r="X499" s="19">
        <f>IF(B499&gt;$K$2,0,W498*Assumptions!$B$32/12*M498+V499*Assumptions!$B$34/12)</f>
        <v>0</v>
      </c>
      <c r="Y499" s="20">
        <f>1/(1+HLOOKUP(YEAR(A499),Assumptions!$A$41:$AL$43,3,TRUE))^(1/12)</f>
        <v>0.99757644752594421</v>
      </c>
      <c r="Z499" s="22">
        <f t="shared" si="115"/>
        <v>0</v>
      </c>
      <c r="AA499">
        <f t="shared" si="110"/>
        <v>0</v>
      </c>
    </row>
    <row r="500" spans="1:27" x14ac:dyDescent="0.2">
      <c r="A500" s="2">
        <f t="shared" si="111"/>
        <v>57983</v>
      </c>
      <c r="B500">
        <f t="shared" si="108"/>
        <v>581</v>
      </c>
      <c r="C500" s="22">
        <f t="shared" si="112"/>
        <v>48.333333333333336</v>
      </c>
      <c r="D500" s="22">
        <f t="shared" si="113"/>
        <v>0</v>
      </c>
      <c r="E500" s="22">
        <f t="shared" si="103"/>
        <v>103</v>
      </c>
      <c r="F500" s="22">
        <f>IF(C500&gt;=$J$2,0,VLOOKUP($E500,'Mortality Table'!$A$3:$C$128,2+G$2,FALSE))</f>
        <v>0</v>
      </c>
      <c r="G500">
        <f>F500*Assumptions!$B$1</f>
        <v>0</v>
      </c>
      <c r="H500">
        <f t="shared" si="104"/>
        <v>0</v>
      </c>
      <c r="I500" s="22">
        <f>HLOOKUP(C500,Assumptions!$A$6:$J$7,2,TRUE)</f>
        <v>2.6499999999999999E-2</v>
      </c>
      <c r="J500" s="22">
        <f t="shared" si="102"/>
        <v>0</v>
      </c>
      <c r="K500" s="22">
        <f t="shared" si="105"/>
        <v>0</v>
      </c>
      <c r="L500" s="22">
        <f t="shared" si="114"/>
        <v>0</v>
      </c>
      <c r="M500" s="22">
        <f t="shared" si="106"/>
        <v>0</v>
      </c>
      <c r="N500" s="22">
        <f>M499*Assumptions!$B$11/$E$2*J500</f>
        <v>0</v>
      </c>
      <c r="O500" s="22">
        <f>M499*Assumptions!$B$13/$E$2*J500</f>
        <v>0</v>
      </c>
      <c r="P500" s="22">
        <f>H500*Assumptions!$B$15</f>
        <v>0</v>
      </c>
      <c r="Q500" s="22">
        <f>O500*Assumptions!$B$17</f>
        <v>0</v>
      </c>
      <c r="R500" s="22">
        <f>HLOOKUP(B500,Assumptions!$A$26:$D$27,2,TRUE)</f>
        <v>0</v>
      </c>
      <c r="S500">
        <f t="shared" si="109"/>
        <v>0</v>
      </c>
      <c r="T500">
        <f t="shared" si="107"/>
        <v>0.3333333333333357</v>
      </c>
      <c r="U500">
        <f>IF(B500&gt;$K$2,0,IF(T501=0,0,(1-T501)*Assumptions!$B$11/$E$2*(1-Assumptions!$B$30)))</f>
        <v>0</v>
      </c>
      <c r="V500" s="22">
        <f>(N500-O500)*(1-Assumptions!$B$30)-Q500+U499*M499</f>
        <v>0</v>
      </c>
      <c r="W500" s="22">
        <f>W499*(1+Assumptions!$B$36)^(1/12)</f>
        <v>1.5000163113262832</v>
      </c>
      <c r="X500" s="19">
        <f>IF(B500&gt;$K$2,0,W499*Assumptions!$B$32/12*M499+V500*Assumptions!$B$34/12)</f>
        <v>0</v>
      </c>
      <c r="Y500" s="20">
        <f>1/(1+HLOOKUP(YEAR(A500),Assumptions!$A$41:$AL$43,3,TRUE))^(1/12)</f>
        <v>0.99757644752594421</v>
      </c>
      <c r="Z500" s="22">
        <f t="shared" si="115"/>
        <v>0</v>
      </c>
      <c r="AA500">
        <f t="shared" si="110"/>
        <v>0</v>
      </c>
    </row>
    <row r="501" spans="1:27" x14ac:dyDescent="0.2">
      <c r="A501" s="2">
        <f t="shared" si="111"/>
        <v>58014</v>
      </c>
      <c r="B501">
        <f t="shared" si="108"/>
        <v>582</v>
      </c>
      <c r="C501" s="22">
        <f t="shared" si="112"/>
        <v>48.416666666666664</v>
      </c>
      <c r="D501" s="22">
        <f t="shared" si="113"/>
        <v>0</v>
      </c>
      <c r="E501" s="22">
        <f t="shared" si="103"/>
        <v>103</v>
      </c>
      <c r="F501" s="22">
        <f>IF(C501&gt;=$J$2,0,VLOOKUP($E501,'Mortality Table'!$A$3:$C$128,2+G$2,FALSE))</f>
        <v>0</v>
      </c>
      <c r="G501">
        <f>F501*Assumptions!$B$1</f>
        <v>0</v>
      </c>
      <c r="H501">
        <f t="shared" si="104"/>
        <v>0</v>
      </c>
      <c r="I501" s="22">
        <f>HLOOKUP(C501,Assumptions!$A$6:$J$7,2,TRUE)</f>
        <v>2.6499999999999999E-2</v>
      </c>
      <c r="J501" s="22">
        <f t="shared" si="102"/>
        <v>0</v>
      </c>
      <c r="K501" s="22">
        <f t="shared" si="105"/>
        <v>0</v>
      </c>
      <c r="L501" s="22">
        <f t="shared" si="114"/>
        <v>0</v>
      </c>
      <c r="M501" s="22">
        <f t="shared" si="106"/>
        <v>0</v>
      </c>
      <c r="N501" s="22">
        <f>M500*Assumptions!$B$11/$E$2*J501</f>
        <v>0</v>
      </c>
      <c r="O501" s="22">
        <f>M500*Assumptions!$B$13/$E$2*J501</f>
        <v>0</v>
      </c>
      <c r="P501" s="22">
        <f>H501*Assumptions!$B$15</f>
        <v>0</v>
      </c>
      <c r="Q501" s="22">
        <f>O501*Assumptions!$B$17</f>
        <v>0</v>
      </c>
      <c r="R501" s="22">
        <f>HLOOKUP(B501,Assumptions!$A$26:$D$27,2,TRUE)</f>
        <v>0</v>
      </c>
      <c r="S501">
        <f t="shared" si="109"/>
        <v>0</v>
      </c>
      <c r="T501">
        <f t="shared" si="107"/>
        <v>0.4166666666666643</v>
      </c>
      <c r="U501">
        <f>IF(B501&gt;$K$2,0,IF(T502=0,0,(1-T502)*Assumptions!$B$11/$E$2*(1-Assumptions!$B$30)))</f>
        <v>0</v>
      </c>
      <c r="V501" s="22">
        <f>(N501-O501)*(1-Assumptions!$B$30)-Q501+U500*M500</f>
        <v>0</v>
      </c>
      <c r="W501" s="22">
        <f>W500*(1+Assumptions!$B$36)^(1/12)</f>
        <v>1.5012606320286692</v>
      </c>
      <c r="X501" s="19">
        <f>IF(B501&gt;$K$2,0,W500*Assumptions!$B$32/12*M500+V501*Assumptions!$B$34/12)</f>
        <v>0</v>
      </c>
      <c r="Y501" s="20">
        <f>1/(1+HLOOKUP(YEAR(A501),Assumptions!$A$41:$AL$43,3,TRUE))^(1/12)</f>
        <v>0.99757644752594421</v>
      </c>
      <c r="Z501" s="22">
        <f t="shared" si="115"/>
        <v>0</v>
      </c>
      <c r="AA501">
        <f t="shared" si="110"/>
        <v>0</v>
      </c>
    </row>
    <row r="502" spans="1:27" x14ac:dyDescent="0.2">
      <c r="A502" s="2">
        <f t="shared" si="111"/>
        <v>58044</v>
      </c>
      <c r="B502">
        <f t="shared" si="108"/>
        <v>583</v>
      </c>
      <c r="C502" s="22">
        <f t="shared" si="112"/>
        <v>48.5</v>
      </c>
      <c r="D502" s="22">
        <f t="shared" si="113"/>
        <v>0</v>
      </c>
      <c r="E502" s="22">
        <f t="shared" si="103"/>
        <v>103</v>
      </c>
      <c r="F502" s="22">
        <f>IF(C502&gt;=$J$2,0,VLOOKUP($E502,'Mortality Table'!$A$3:$C$128,2+G$2,FALSE))</f>
        <v>0</v>
      </c>
      <c r="G502">
        <f>F502*Assumptions!$B$1</f>
        <v>0</v>
      </c>
      <c r="H502">
        <f t="shared" si="104"/>
        <v>0</v>
      </c>
      <c r="I502" s="22">
        <f>HLOOKUP(C502,Assumptions!$A$6:$J$7,2,TRUE)</f>
        <v>2.6499999999999999E-2</v>
      </c>
      <c r="J502" s="22">
        <f t="shared" si="102"/>
        <v>0</v>
      </c>
      <c r="K502" s="22">
        <f t="shared" si="105"/>
        <v>0</v>
      </c>
      <c r="L502" s="22">
        <f t="shared" si="114"/>
        <v>0</v>
      </c>
      <c r="M502" s="22">
        <f t="shared" si="106"/>
        <v>0</v>
      </c>
      <c r="N502" s="22">
        <f>M501*Assumptions!$B$11/$E$2*J502</f>
        <v>0</v>
      </c>
      <c r="O502" s="22">
        <f>M501*Assumptions!$B$13/$E$2*J502</f>
        <v>0</v>
      </c>
      <c r="P502" s="22">
        <f>H502*Assumptions!$B$15</f>
        <v>0</v>
      </c>
      <c r="Q502" s="22">
        <f>O502*Assumptions!$B$17</f>
        <v>0</v>
      </c>
      <c r="R502" s="22">
        <f>HLOOKUP(B502,Assumptions!$A$26:$D$27,2,TRUE)</f>
        <v>0</v>
      </c>
      <c r="S502">
        <f t="shared" si="109"/>
        <v>0</v>
      </c>
      <c r="T502">
        <f t="shared" si="107"/>
        <v>0.5</v>
      </c>
      <c r="U502">
        <f>IF(B502&gt;$K$2,0,IF(T503=0,0,(1-T503)*Assumptions!$B$11/$E$2*(1-Assumptions!$B$30)))</f>
        <v>0</v>
      </c>
      <c r="V502" s="22">
        <f>(N502-O502)*(1-Assumptions!$B$30)-Q502+U501*M501</f>
        <v>0</v>
      </c>
      <c r="W502" s="22">
        <f>W501*(1+Assumptions!$B$36)^(1/12)</f>
        <v>1.5025059849425044</v>
      </c>
      <c r="X502" s="19">
        <f>IF(B502&gt;$K$2,0,W501*Assumptions!$B$32/12*M501+V502*Assumptions!$B$34/12)</f>
        <v>0</v>
      </c>
      <c r="Y502" s="20">
        <f>1/(1+HLOOKUP(YEAR(A502),Assumptions!$A$41:$AL$43,3,TRUE))^(1/12)</f>
        <v>0.99757644752594421</v>
      </c>
      <c r="Z502" s="22">
        <f t="shared" si="115"/>
        <v>0</v>
      </c>
      <c r="AA502">
        <f t="shared" si="110"/>
        <v>0</v>
      </c>
    </row>
    <row r="503" spans="1:27" x14ac:dyDescent="0.2">
      <c r="A503" s="2">
        <f t="shared" si="111"/>
        <v>58075</v>
      </c>
      <c r="B503">
        <f t="shared" si="108"/>
        <v>584</v>
      </c>
      <c r="C503" s="22">
        <f t="shared" si="112"/>
        <v>48.583333333333336</v>
      </c>
      <c r="D503" s="22">
        <f t="shared" si="113"/>
        <v>0</v>
      </c>
      <c r="E503" s="22">
        <f t="shared" si="103"/>
        <v>103</v>
      </c>
      <c r="F503" s="22">
        <f>IF(C503&gt;=$J$2,0,VLOOKUP($E503,'Mortality Table'!$A$3:$C$128,2+G$2,FALSE))</f>
        <v>0</v>
      </c>
      <c r="G503">
        <f>F503*Assumptions!$B$1</f>
        <v>0</v>
      </c>
      <c r="H503">
        <f t="shared" si="104"/>
        <v>0</v>
      </c>
      <c r="I503" s="22">
        <f>HLOOKUP(C503,Assumptions!$A$6:$J$7,2,TRUE)</f>
        <v>2.6499999999999999E-2</v>
      </c>
      <c r="J503" s="22">
        <f t="shared" si="102"/>
        <v>0</v>
      </c>
      <c r="K503" s="22">
        <f t="shared" si="105"/>
        <v>0</v>
      </c>
      <c r="L503" s="22">
        <f t="shared" si="114"/>
        <v>0</v>
      </c>
      <c r="M503" s="22">
        <f t="shared" si="106"/>
        <v>0</v>
      </c>
      <c r="N503" s="22">
        <f>M502*Assumptions!$B$11/$E$2*J503</f>
        <v>0</v>
      </c>
      <c r="O503" s="22">
        <f>M502*Assumptions!$B$13/$E$2*J503</f>
        <v>0</v>
      </c>
      <c r="P503" s="22">
        <f>H503*Assumptions!$B$15</f>
        <v>0</v>
      </c>
      <c r="Q503" s="22">
        <f>O503*Assumptions!$B$17</f>
        <v>0</v>
      </c>
      <c r="R503" s="22">
        <f>HLOOKUP(B503,Assumptions!$A$26:$D$27,2,TRUE)</f>
        <v>0</v>
      </c>
      <c r="S503">
        <f t="shared" si="109"/>
        <v>0</v>
      </c>
      <c r="T503">
        <f t="shared" si="107"/>
        <v>0.5833333333333357</v>
      </c>
      <c r="U503">
        <f>IF(B503&gt;$K$2,0,IF(T504=0,0,(1-T504)*Assumptions!$B$11/$E$2*(1-Assumptions!$B$30)))</f>
        <v>0</v>
      </c>
      <c r="V503" s="22">
        <f>(N503-O503)*(1-Assumptions!$B$30)-Q503+U502*M502</f>
        <v>0</v>
      </c>
      <c r="W503" s="22">
        <f>W502*(1+Assumptions!$B$36)^(1/12)</f>
        <v>1.5037523709240475</v>
      </c>
      <c r="X503" s="19">
        <f>IF(B503&gt;$K$2,0,W502*Assumptions!$B$32/12*M502+V503*Assumptions!$B$34/12)</f>
        <v>0</v>
      </c>
      <c r="Y503" s="20">
        <f>1/(1+HLOOKUP(YEAR(A503),Assumptions!$A$41:$AL$43,3,TRUE))^(1/12)</f>
        <v>0.99757644752594421</v>
      </c>
      <c r="Z503" s="22">
        <f t="shared" si="115"/>
        <v>0</v>
      </c>
      <c r="AA503">
        <f t="shared" si="110"/>
        <v>0</v>
      </c>
    </row>
    <row r="504" spans="1:27" x14ac:dyDescent="0.2">
      <c r="A504" s="2">
        <f t="shared" si="111"/>
        <v>58106</v>
      </c>
      <c r="B504">
        <f t="shared" si="108"/>
        <v>585</v>
      </c>
      <c r="C504" s="22">
        <f t="shared" ref="C504:C567" si="116">(B504+11)/12-1</f>
        <v>48.666666666666664</v>
      </c>
      <c r="D504" s="22">
        <f t="shared" ref="D504:D567" si="117">IF(C504-INT(C504)=0,1,0)</f>
        <v>0</v>
      </c>
      <c r="E504" s="22">
        <f t="shared" si="103"/>
        <v>103</v>
      </c>
      <c r="F504" s="22">
        <f>IF(C504&gt;=$J$2,0,VLOOKUP($E504,'Mortality Table'!$A$3:$C$128,2+G$2,FALSE))</f>
        <v>0</v>
      </c>
      <c r="G504">
        <f>F504*Assumptions!$B$1</f>
        <v>0</v>
      </c>
      <c r="H504">
        <f t="shared" ref="H504:H567" si="118">(1-(1-G504)^(1/12))*M503</f>
        <v>0</v>
      </c>
      <c r="I504" s="22">
        <f>HLOOKUP(C504,Assumptions!$A$6:$J$7,2,TRUE)</f>
        <v>2.6499999999999999E-2</v>
      </c>
      <c r="J504" s="22">
        <f t="shared" ref="J504:J567" si="119">IF(B504&gt;$K$2,0,IF(($E$2*(B504+11))/12-INT(($E$2*(B504+11))/12)=0,1,0))</f>
        <v>0</v>
      </c>
      <c r="K504" s="22">
        <f t="shared" ref="K504:K567" si="120">IF(B505&gt;$K$2,0,IF(J505=0,0,1/$E$2))</f>
        <v>0</v>
      </c>
      <c r="L504" s="22">
        <f t="shared" ref="L504:L567" si="121">(1-(1-I504)^K504)*(M503-H504)</f>
        <v>0</v>
      </c>
      <c r="M504" s="22">
        <f t="shared" ref="M504:M567" si="122">IF(B504&gt;$K$2,0,M503-H504-L504)</f>
        <v>0</v>
      </c>
      <c r="N504" s="22">
        <f>M503*Assumptions!$B$11/$E$2*J504</f>
        <v>0</v>
      </c>
      <c r="O504" s="22">
        <f>M503*Assumptions!$B$13/$E$2*J504</f>
        <v>0</v>
      </c>
      <c r="P504" s="22">
        <f>H504*Assumptions!$B$15</f>
        <v>0</v>
      </c>
      <c r="Q504" s="22">
        <f>O504*Assumptions!$B$17</f>
        <v>0</v>
      </c>
      <c r="R504" s="22">
        <f>HLOOKUP(B504,Assumptions!$A$26:$D$27,2,TRUE)</f>
        <v>0</v>
      </c>
      <c r="S504">
        <f t="shared" ref="S504:S567" si="123">N504*R504</f>
        <v>0</v>
      </c>
      <c r="T504">
        <f t="shared" ref="T504:T567" si="124">($E$2*(B504+11))/12-INT(($E$2*(B504+11))/12)</f>
        <v>0.6666666666666643</v>
      </c>
      <c r="U504">
        <f>IF(B504&gt;$K$2,0,IF(T505=0,0,(1-T505)*Assumptions!$B$11/$E$2*(1-Assumptions!$B$30)))</f>
        <v>0</v>
      </c>
      <c r="V504" s="22">
        <f>(N504-O504)*(1-Assumptions!$B$30)-Q504+U503*M503</f>
        <v>0</v>
      </c>
      <c r="W504" s="22">
        <f>W503*(1+Assumptions!$B$36)^(1/12)</f>
        <v>1.5049997908302675</v>
      </c>
      <c r="X504" s="19">
        <f>IF(B504&gt;$K$2,0,W503*Assumptions!$B$32/12*M503+V504*Assumptions!$B$34/12)</f>
        <v>0</v>
      </c>
      <c r="Y504" s="20">
        <f>1/(1+HLOOKUP(YEAR(A504),Assumptions!$A$41:$AL$43,3,TRUE))^(1/12)</f>
        <v>0.99757644752594421</v>
      </c>
      <c r="Z504" s="22">
        <f t="shared" ref="Z504:Z567" si="125">(Z505+P505+Q505+S505+X505-N505)*Y505</f>
        <v>0</v>
      </c>
      <c r="AA504">
        <f t="shared" ref="AA504:AA567" si="126">P504+Q504</f>
        <v>0</v>
      </c>
    </row>
    <row r="505" spans="1:27" x14ac:dyDescent="0.2">
      <c r="A505" s="2">
        <f t="shared" si="111"/>
        <v>58134</v>
      </c>
      <c r="B505">
        <f t="shared" si="108"/>
        <v>586</v>
      </c>
      <c r="C505" s="22">
        <f t="shared" si="116"/>
        <v>48.75</v>
      </c>
      <c r="D505" s="22">
        <f t="shared" si="117"/>
        <v>0</v>
      </c>
      <c r="E505" s="22">
        <f t="shared" si="103"/>
        <v>103</v>
      </c>
      <c r="F505" s="22">
        <f>IF(C505&gt;=$J$2,0,VLOOKUP($E505,'Mortality Table'!$A$3:$C$128,2+G$2,FALSE))</f>
        <v>0</v>
      </c>
      <c r="G505">
        <f>F505*Assumptions!$B$1</f>
        <v>0</v>
      </c>
      <c r="H505">
        <f t="shared" si="118"/>
        <v>0</v>
      </c>
      <c r="I505" s="22">
        <f>HLOOKUP(C505,Assumptions!$A$6:$J$7,2,TRUE)</f>
        <v>2.6499999999999999E-2</v>
      </c>
      <c r="J505" s="22">
        <f t="shared" si="119"/>
        <v>0</v>
      </c>
      <c r="K505" s="22">
        <f t="shared" si="120"/>
        <v>0</v>
      </c>
      <c r="L505" s="22">
        <f t="shared" si="121"/>
        <v>0</v>
      </c>
      <c r="M505" s="22">
        <f t="shared" si="122"/>
        <v>0</v>
      </c>
      <c r="N505" s="22">
        <f>M504*Assumptions!$B$11/$E$2*J505</f>
        <v>0</v>
      </c>
      <c r="O505" s="22">
        <f>M504*Assumptions!$B$13/$E$2*J505</f>
        <v>0</v>
      </c>
      <c r="P505" s="22">
        <f>H505*Assumptions!$B$15</f>
        <v>0</v>
      </c>
      <c r="Q505" s="22">
        <f>O505*Assumptions!$B$17</f>
        <v>0</v>
      </c>
      <c r="R505" s="22">
        <f>HLOOKUP(B505,Assumptions!$A$26:$D$27,2,TRUE)</f>
        <v>0</v>
      </c>
      <c r="S505">
        <f t="shared" si="123"/>
        <v>0</v>
      </c>
      <c r="T505">
        <f t="shared" si="124"/>
        <v>0.75</v>
      </c>
      <c r="U505">
        <f>IF(B505&gt;$K$2,0,IF(T506=0,0,(1-T506)*Assumptions!$B$11/$E$2*(1-Assumptions!$B$30)))</f>
        <v>0</v>
      </c>
      <c r="V505" s="22">
        <f>(N505-O505)*(1-Assumptions!$B$30)-Q505+U504*M504</f>
        <v>0</v>
      </c>
      <c r="W505" s="22">
        <f>W504*(1+Assumptions!$B$36)^(1/12)</f>
        <v>1.5062482455188442</v>
      </c>
      <c r="X505" s="19">
        <f>IF(B505&gt;$K$2,0,W504*Assumptions!$B$32/12*M504+V505*Assumptions!$B$34/12)</f>
        <v>0</v>
      </c>
      <c r="Y505" s="20">
        <f>1/(1+HLOOKUP(YEAR(A505),Assumptions!$A$41:$AL$43,3,TRUE))^(1/12)</f>
        <v>0.99757644752594421</v>
      </c>
      <c r="Z505" s="22">
        <f t="shared" si="125"/>
        <v>0</v>
      </c>
      <c r="AA505">
        <f t="shared" si="126"/>
        <v>0</v>
      </c>
    </row>
    <row r="506" spans="1:27" x14ac:dyDescent="0.2">
      <c r="A506" s="2">
        <f t="shared" si="111"/>
        <v>58165</v>
      </c>
      <c r="B506">
        <f t="shared" si="108"/>
        <v>587</v>
      </c>
      <c r="C506" s="22">
        <f t="shared" si="116"/>
        <v>48.833333333333336</v>
      </c>
      <c r="D506" s="22">
        <f t="shared" si="117"/>
        <v>0</v>
      </c>
      <c r="E506" s="22">
        <f t="shared" si="103"/>
        <v>103</v>
      </c>
      <c r="F506" s="22">
        <f>IF(C506&gt;=$J$2,0,VLOOKUP($E506,'Mortality Table'!$A$3:$C$128,2+G$2,FALSE))</f>
        <v>0</v>
      </c>
      <c r="G506">
        <f>F506*Assumptions!$B$1</f>
        <v>0</v>
      </c>
      <c r="H506">
        <f t="shared" si="118"/>
        <v>0</v>
      </c>
      <c r="I506" s="22">
        <f>HLOOKUP(C506,Assumptions!$A$6:$J$7,2,TRUE)</f>
        <v>2.6499999999999999E-2</v>
      </c>
      <c r="J506" s="22">
        <f t="shared" si="119"/>
        <v>0</v>
      </c>
      <c r="K506" s="22">
        <f t="shared" si="120"/>
        <v>0</v>
      </c>
      <c r="L506" s="22">
        <f t="shared" si="121"/>
        <v>0</v>
      </c>
      <c r="M506" s="22">
        <f t="shared" si="122"/>
        <v>0</v>
      </c>
      <c r="N506" s="22">
        <f>M505*Assumptions!$B$11/$E$2*J506</f>
        <v>0</v>
      </c>
      <c r="O506" s="22">
        <f>M505*Assumptions!$B$13/$E$2*J506</f>
        <v>0</v>
      </c>
      <c r="P506" s="22">
        <f>H506*Assumptions!$B$15</f>
        <v>0</v>
      </c>
      <c r="Q506" s="22">
        <f>O506*Assumptions!$B$17</f>
        <v>0</v>
      </c>
      <c r="R506" s="22">
        <f>HLOOKUP(B506,Assumptions!$A$26:$D$27,2,TRUE)</f>
        <v>0</v>
      </c>
      <c r="S506">
        <f t="shared" si="123"/>
        <v>0</v>
      </c>
      <c r="T506">
        <f t="shared" si="124"/>
        <v>0.8333333333333357</v>
      </c>
      <c r="U506">
        <f>IF(B506&gt;$K$2,0,IF(T507=0,0,(1-T507)*Assumptions!$B$11/$E$2*(1-Assumptions!$B$30)))</f>
        <v>0</v>
      </c>
      <c r="V506" s="22">
        <f>(N506-O506)*(1-Assumptions!$B$30)-Q506+U505*M505</f>
        <v>0</v>
      </c>
      <c r="W506" s="22">
        <f>W505*(1+Assumptions!$B$36)^(1/12)</f>
        <v>1.5074977358481692</v>
      </c>
      <c r="X506" s="19">
        <f>IF(B506&gt;$K$2,0,W505*Assumptions!$B$32/12*M505+V506*Assumptions!$B$34/12)</f>
        <v>0</v>
      </c>
      <c r="Y506" s="20">
        <f>1/(1+HLOOKUP(YEAR(A506),Assumptions!$A$41:$AL$43,3,TRUE))^(1/12)</f>
        <v>0.99757644752594421</v>
      </c>
      <c r="Z506" s="22">
        <f t="shared" si="125"/>
        <v>0</v>
      </c>
      <c r="AA506">
        <f t="shared" si="126"/>
        <v>0</v>
      </c>
    </row>
    <row r="507" spans="1:27" x14ac:dyDescent="0.2">
      <c r="A507" s="2">
        <f t="shared" si="111"/>
        <v>58195</v>
      </c>
      <c r="B507">
        <f t="shared" si="108"/>
        <v>588</v>
      </c>
      <c r="C507" s="22">
        <f t="shared" si="116"/>
        <v>48.916666666666664</v>
      </c>
      <c r="D507" s="22">
        <f t="shared" si="117"/>
        <v>0</v>
      </c>
      <c r="E507" s="22">
        <f t="shared" si="103"/>
        <v>103</v>
      </c>
      <c r="F507" s="22">
        <f>IF(C507&gt;=$J$2,0,VLOOKUP($E507,'Mortality Table'!$A$3:$C$128,2+G$2,FALSE))</f>
        <v>0</v>
      </c>
      <c r="G507">
        <f>F507*Assumptions!$B$1</f>
        <v>0</v>
      </c>
      <c r="H507">
        <f t="shared" si="118"/>
        <v>0</v>
      </c>
      <c r="I507" s="22">
        <f>HLOOKUP(C507,Assumptions!$A$6:$J$7,2,TRUE)</f>
        <v>2.6499999999999999E-2</v>
      </c>
      <c r="J507" s="22">
        <f t="shared" si="119"/>
        <v>0</v>
      </c>
      <c r="K507" s="22">
        <f t="shared" si="120"/>
        <v>0</v>
      </c>
      <c r="L507" s="22">
        <f t="shared" si="121"/>
        <v>0</v>
      </c>
      <c r="M507" s="22">
        <f t="shared" si="122"/>
        <v>0</v>
      </c>
      <c r="N507" s="22">
        <f>M506*Assumptions!$B$11/$E$2*J507</f>
        <v>0</v>
      </c>
      <c r="O507" s="22">
        <f>M506*Assumptions!$B$13/$E$2*J507</f>
        <v>0</v>
      </c>
      <c r="P507" s="22">
        <f>H507*Assumptions!$B$15</f>
        <v>0</v>
      </c>
      <c r="Q507" s="22">
        <f>O507*Assumptions!$B$17</f>
        <v>0</v>
      </c>
      <c r="R507" s="22">
        <f>HLOOKUP(B507,Assumptions!$A$26:$D$27,2,TRUE)</f>
        <v>0</v>
      </c>
      <c r="S507">
        <f t="shared" si="123"/>
        <v>0</v>
      </c>
      <c r="T507">
        <f t="shared" si="124"/>
        <v>0.9166666666666643</v>
      </c>
      <c r="U507">
        <f>IF(B507&gt;$K$2,0,IF(T508=0,0,(1-T508)*Assumptions!$B$11/$E$2*(1-Assumptions!$B$30)))</f>
        <v>0</v>
      </c>
      <c r="V507" s="22">
        <f>(N507-O507)*(1-Assumptions!$B$30)-Q507+U506*M506</f>
        <v>0</v>
      </c>
      <c r="W507" s="22">
        <f>W506*(1+Assumptions!$B$36)^(1/12)</f>
        <v>1.5087482626773459</v>
      </c>
      <c r="X507" s="19">
        <f>IF(B507&gt;$K$2,0,W506*Assumptions!$B$32/12*M506+V507*Assumptions!$B$34/12)</f>
        <v>0</v>
      </c>
      <c r="Y507" s="20">
        <f>1/(1+HLOOKUP(YEAR(A507),Assumptions!$A$41:$AL$43,3,TRUE))^(1/12)</f>
        <v>0.99757644752594421</v>
      </c>
      <c r="Z507" s="22">
        <f t="shared" si="125"/>
        <v>0</v>
      </c>
      <c r="AA507">
        <f t="shared" si="126"/>
        <v>0</v>
      </c>
    </row>
    <row r="508" spans="1:27" x14ac:dyDescent="0.2">
      <c r="A508" s="2">
        <f t="shared" si="111"/>
        <v>58226</v>
      </c>
      <c r="B508">
        <f t="shared" si="108"/>
        <v>589</v>
      </c>
      <c r="C508" s="22">
        <f t="shared" si="116"/>
        <v>49</v>
      </c>
      <c r="D508" s="22">
        <f t="shared" si="117"/>
        <v>1</v>
      </c>
      <c r="E508" s="22">
        <f t="shared" si="103"/>
        <v>104</v>
      </c>
      <c r="F508" s="22">
        <f>IF(C508&gt;=$J$2,0,VLOOKUP($E508,'Mortality Table'!$A$3:$C$128,2+G$2,FALSE))</f>
        <v>0</v>
      </c>
      <c r="G508">
        <f>F508*Assumptions!$B$1</f>
        <v>0</v>
      </c>
      <c r="H508">
        <f t="shared" si="118"/>
        <v>0</v>
      </c>
      <c r="I508" s="22">
        <f>HLOOKUP(C508,Assumptions!$A$6:$J$7,2,TRUE)</f>
        <v>2.6499999999999999E-2</v>
      </c>
      <c r="J508" s="22">
        <f t="shared" si="119"/>
        <v>0</v>
      </c>
      <c r="K508" s="22">
        <f t="shared" si="120"/>
        <v>0</v>
      </c>
      <c r="L508" s="22">
        <f t="shared" si="121"/>
        <v>0</v>
      </c>
      <c r="M508" s="22">
        <f t="shared" si="122"/>
        <v>0</v>
      </c>
      <c r="N508" s="22">
        <f>M507*Assumptions!$B$11/$E$2*J508</f>
        <v>0</v>
      </c>
      <c r="O508" s="22">
        <f>M507*Assumptions!$B$13/$E$2*J508</f>
        <v>0</v>
      </c>
      <c r="P508" s="22">
        <f>H508*Assumptions!$B$15</f>
        <v>0</v>
      </c>
      <c r="Q508" s="22">
        <f>O508*Assumptions!$B$17</f>
        <v>0</v>
      </c>
      <c r="R508" s="22">
        <f>HLOOKUP(B508,Assumptions!$A$26:$D$27,2,TRUE)</f>
        <v>0</v>
      </c>
      <c r="S508">
        <f t="shared" si="123"/>
        <v>0</v>
      </c>
      <c r="T508">
        <f t="shared" si="124"/>
        <v>0</v>
      </c>
      <c r="U508">
        <f>IF(B508&gt;$K$2,0,IF(T509=0,0,(1-T509)*Assumptions!$B$11/$E$2*(1-Assumptions!$B$30)))</f>
        <v>0</v>
      </c>
      <c r="V508" s="22">
        <f>(N508-O508)*(1-Assumptions!$B$30)-Q508+U507*M507</f>
        <v>0</v>
      </c>
      <c r="W508" s="22">
        <f>W507*(1+Assumptions!$B$36)^(1/12)</f>
        <v>1.5099998268661903</v>
      </c>
      <c r="X508" s="19">
        <f>IF(B508&gt;$K$2,0,W507*Assumptions!$B$32/12*M507+V508*Assumptions!$B$34/12)</f>
        <v>0</v>
      </c>
      <c r="Y508" s="20">
        <f>1/(1+HLOOKUP(YEAR(A508),Assumptions!$A$41:$AL$43,3,TRUE))^(1/12)</f>
        <v>0.99757644752594421</v>
      </c>
      <c r="Z508" s="22">
        <f t="shared" si="125"/>
        <v>0</v>
      </c>
      <c r="AA508">
        <f t="shared" si="126"/>
        <v>0</v>
      </c>
    </row>
    <row r="509" spans="1:27" x14ac:dyDescent="0.2">
      <c r="A509" s="2">
        <f t="shared" si="111"/>
        <v>58256</v>
      </c>
      <c r="B509">
        <f t="shared" si="108"/>
        <v>590</v>
      </c>
      <c r="C509" s="22">
        <f t="shared" si="116"/>
        <v>49.083333333333336</v>
      </c>
      <c r="D509" s="22">
        <f t="shared" si="117"/>
        <v>0</v>
      </c>
      <c r="E509" s="22">
        <f t="shared" si="103"/>
        <v>104</v>
      </c>
      <c r="F509" s="22">
        <f>IF(C509&gt;=$J$2,0,VLOOKUP($E509,'Mortality Table'!$A$3:$C$128,2+G$2,FALSE))</f>
        <v>0</v>
      </c>
      <c r="G509">
        <f>F509*Assumptions!$B$1</f>
        <v>0</v>
      </c>
      <c r="H509">
        <f t="shared" si="118"/>
        <v>0</v>
      </c>
      <c r="I509" s="22">
        <f>HLOOKUP(C509,Assumptions!$A$6:$J$7,2,TRUE)</f>
        <v>2.6499999999999999E-2</v>
      </c>
      <c r="J509" s="22">
        <f t="shared" si="119"/>
        <v>0</v>
      </c>
      <c r="K509" s="22">
        <f t="shared" si="120"/>
        <v>0</v>
      </c>
      <c r="L509" s="22">
        <f t="shared" si="121"/>
        <v>0</v>
      </c>
      <c r="M509" s="22">
        <f t="shared" si="122"/>
        <v>0</v>
      </c>
      <c r="N509" s="22">
        <f>M508*Assumptions!$B$11/$E$2*J509</f>
        <v>0</v>
      </c>
      <c r="O509" s="22">
        <f>M508*Assumptions!$B$13/$E$2*J509</f>
        <v>0</v>
      </c>
      <c r="P509" s="22">
        <f>H509*Assumptions!$B$15</f>
        <v>0</v>
      </c>
      <c r="Q509" s="22">
        <f>O509*Assumptions!$B$17</f>
        <v>0</v>
      </c>
      <c r="R509" s="22">
        <f>HLOOKUP(B509,Assumptions!$A$26:$D$27,2,TRUE)</f>
        <v>0</v>
      </c>
      <c r="S509">
        <f t="shared" si="123"/>
        <v>0</v>
      </c>
      <c r="T509">
        <f t="shared" si="124"/>
        <v>8.3333333333335702E-2</v>
      </c>
      <c r="U509">
        <f>IF(B509&gt;$K$2,0,IF(T510=0,0,(1-T510)*Assumptions!$B$11/$E$2*(1-Assumptions!$B$30)))</f>
        <v>0</v>
      </c>
      <c r="V509" s="22">
        <f>(N509-O509)*(1-Assumptions!$B$30)-Q509+U508*M508</f>
        <v>0</v>
      </c>
      <c r="W509" s="22">
        <f>W508*(1+Assumptions!$B$36)^(1/12)</f>
        <v>1.5112524292752318</v>
      </c>
      <c r="X509" s="19">
        <f>IF(B509&gt;$K$2,0,W508*Assumptions!$B$32/12*M508+V509*Assumptions!$B$34/12)</f>
        <v>0</v>
      </c>
      <c r="Y509" s="20">
        <f>1/(1+HLOOKUP(YEAR(A509),Assumptions!$A$41:$AL$43,3,TRUE))^(1/12)</f>
        <v>0.99757644752594421</v>
      </c>
      <c r="Z509" s="22">
        <f t="shared" si="125"/>
        <v>0</v>
      </c>
      <c r="AA509">
        <f t="shared" si="126"/>
        <v>0</v>
      </c>
    </row>
    <row r="510" spans="1:27" x14ac:dyDescent="0.2">
      <c r="A510" s="2">
        <f t="shared" si="111"/>
        <v>58287</v>
      </c>
      <c r="B510">
        <f t="shared" si="108"/>
        <v>591</v>
      </c>
      <c r="C510" s="22">
        <f t="shared" si="116"/>
        <v>49.166666666666664</v>
      </c>
      <c r="D510" s="22">
        <f t="shared" si="117"/>
        <v>0</v>
      </c>
      <c r="E510" s="22">
        <f t="shared" si="103"/>
        <v>104</v>
      </c>
      <c r="F510" s="22">
        <f>IF(C510&gt;=$J$2,0,VLOOKUP($E510,'Mortality Table'!$A$3:$C$128,2+G$2,FALSE))</f>
        <v>0</v>
      </c>
      <c r="G510">
        <f>F510*Assumptions!$B$1</f>
        <v>0</v>
      </c>
      <c r="H510">
        <f t="shared" si="118"/>
        <v>0</v>
      </c>
      <c r="I510" s="22">
        <f>HLOOKUP(C510,Assumptions!$A$6:$J$7,2,TRUE)</f>
        <v>2.6499999999999999E-2</v>
      </c>
      <c r="J510" s="22">
        <f t="shared" si="119"/>
        <v>0</v>
      </c>
      <c r="K510" s="22">
        <f t="shared" si="120"/>
        <v>0</v>
      </c>
      <c r="L510" s="22">
        <f t="shared" si="121"/>
        <v>0</v>
      </c>
      <c r="M510" s="22">
        <f t="shared" si="122"/>
        <v>0</v>
      </c>
      <c r="N510" s="22">
        <f>M509*Assumptions!$B$11/$E$2*J510</f>
        <v>0</v>
      </c>
      <c r="O510" s="22">
        <f>M509*Assumptions!$B$13/$E$2*J510</f>
        <v>0</v>
      </c>
      <c r="P510" s="22">
        <f>H510*Assumptions!$B$15</f>
        <v>0</v>
      </c>
      <c r="Q510" s="22">
        <f>O510*Assumptions!$B$17</f>
        <v>0</v>
      </c>
      <c r="R510" s="22">
        <f>HLOOKUP(B510,Assumptions!$A$26:$D$27,2,TRUE)</f>
        <v>0</v>
      </c>
      <c r="S510">
        <f t="shared" si="123"/>
        <v>0</v>
      </c>
      <c r="T510">
        <f t="shared" si="124"/>
        <v>0.1666666666666643</v>
      </c>
      <c r="U510">
        <f>IF(B510&gt;$K$2,0,IF(T511=0,0,(1-T511)*Assumptions!$B$11/$E$2*(1-Assumptions!$B$30)))</f>
        <v>0</v>
      </c>
      <c r="V510" s="22">
        <f>(N510-O510)*(1-Assumptions!$B$30)-Q510+U509*M509</f>
        <v>0</v>
      </c>
      <c r="W510" s="22">
        <f>W509*(1+Assumptions!$B$36)^(1/12)</f>
        <v>1.5125060707657139</v>
      </c>
      <c r="X510" s="19">
        <f>IF(B510&gt;$K$2,0,W509*Assumptions!$B$32/12*M509+V510*Assumptions!$B$34/12)</f>
        <v>0</v>
      </c>
      <c r="Y510" s="20">
        <f>1/(1+HLOOKUP(YEAR(A510),Assumptions!$A$41:$AL$43,3,TRUE))^(1/12)</f>
        <v>0.99757644752594421</v>
      </c>
      <c r="Z510" s="22">
        <f t="shared" si="125"/>
        <v>0</v>
      </c>
      <c r="AA510">
        <f t="shared" si="126"/>
        <v>0</v>
      </c>
    </row>
    <row r="511" spans="1:27" x14ac:dyDescent="0.2">
      <c r="A511" s="2">
        <f t="shared" si="111"/>
        <v>58318</v>
      </c>
      <c r="B511">
        <f t="shared" si="108"/>
        <v>592</v>
      </c>
      <c r="C511" s="22">
        <f t="shared" si="116"/>
        <v>49.25</v>
      </c>
      <c r="D511" s="22">
        <f t="shared" si="117"/>
        <v>0</v>
      </c>
      <c r="E511" s="22">
        <f t="shared" si="103"/>
        <v>104</v>
      </c>
      <c r="F511" s="22">
        <f>IF(C511&gt;=$J$2,0,VLOOKUP($E511,'Mortality Table'!$A$3:$C$128,2+G$2,FALSE))</f>
        <v>0</v>
      </c>
      <c r="G511">
        <f>F511*Assumptions!$B$1</f>
        <v>0</v>
      </c>
      <c r="H511">
        <f t="shared" si="118"/>
        <v>0</v>
      </c>
      <c r="I511" s="22">
        <f>HLOOKUP(C511,Assumptions!$A$6:$J$7,2,TRUE)</f>
        <v>2.6499999999999999E-2</v>
      </c>
      <c r="J511" s="22">
        <f t="shared" si="119"/>
        <v>0</v>
      </c>
      <c r="K511" s="22">
        <f t="shared" si="120"/>
        <v>0</v>
      </c>
      <c r="L511" s="22">
        <f t="shared" si="121"/>
        <v>0</v>
      </c>
      <c r="M511" s="22">
        <f t="shared" si="122"/>
        <v>0</v>
      </c>
      <c r="N511" s="22">
        <f>M510*Assumptions!$B$11/$E$2*J511</f>
        <v>0</v>
      </c>
      <c r="O511" s="22">
        <f>M510*Assumptions!$B$13/$E$2*J511</f>
        <v>0</v>
      </c>
      <c r="P511" s="22">
        <f>H511*Assumptions!$B$15</f>
        <v>0</v>
      </c>
      <c r="Q511" s="22">
        <f>O511*Assumptions!$B$17</f>
        <v>0</v>
      </c>
      <c r="R511" s="22">
        <f>HLOOKUP(B511,Assumptions!$A$26:$D$27,2,TRUE)</f>
        <v>0</v>
      </c>
      <c r="S511">
        <f t="shared" si="123"/>
        <v>0</v>
      </c>
      <c r="T511">
        <f t="shared" si="124"/>
        <v>0.25</v>
      </c>
      <c r="U511">
        <f>IF(B511&gt;$K$2,0,IF(T512=0,0,(1-T512)*Assumptions!$B$11/$E$2*(1-Assumptions!$B$30)))</f>
        <v>0</v>
      </c>
      <c r="V511" s="22">
        <f>(N511-O511)*(1-Assumptions!$B$30)-Q511+U510*M510</f>
        <v>0</v>
      </c>
      <c r="W511" s="22">
        <f>W510*(1+Assumptions!$B$36)^(1/12)</f>
        <v>1.5137607521995939</v>
      </c>
      <c r="X511" s="19">
        <f>IF(B511&gt;$K$2,0,W510*Assumptions!$B$32/12*M510+V511*Assumptions!$B$34/12)</f>
        <v>0</v>
      </c>
      <c r="Y511" s="20">
        <f>1/(1+HLOOKUP(YEAR(A511),Assumptions!$A$41:$AL$43,3,TRUE))^(1/12)</f>
        <v>0.99757644752594421</v>
      </c>
      <c r="Z511" s="22">
        <f t="shared" si="125"/>
        <v>0</v>
      </c>
      <c r="AA511">
        <f t="shared" si="126"/>
        <v>0</v>
      </c>
    </row>
    <row r="512" spans="1:27" x14ac:dyDescent="0.2">
      <c r="A512" s="2">
        <f t="shared" si="111"/>
        <v>58348</v>
      </c>
      <c r="B512">
        <f t="shared" si="108"/>
        <v>593</v>
      </c>
      <c r="C512" s="22">
        <f t="shared" si="116"/>
        <v>49.333333333333336</v>
      </c>
      <c r="D512" s="22">
        <f t="shared" si="117"/>
        <v>0</v>
      </c>
      <c r="E512" s="22">
        <f t="shared" si="103"/>
        <v>104</v>
      </c>
      <c r="F512" s="22">
        <f>IF(C512&gt;=$J$2,0,VLOOKUP($E512,'Mortality Table'!$A$3:$C$128,2+G$2,FALSE))</f>
        <v>0</v>
      </c>
      <c r="G512">
        <f>F512*Assumptions!$B$1</f>
        <v>0</v>
      </c>
      <c r="H512">
        <f t="shared" si="118"/>
        <v>0</v>
      </c>
      <c r="I512" s="22">
        <f>HLOOKUP(C512,Assumptions!$A$6:$J$7,2,TRUE)</f>
        <v>2.6499999999999999E-2</v>
      </c>
      <c r="J512" s="22">
        <f t="shared" si="119"/>
        <v>0</v>
      </c>
      <c r="K512" s="22">
        <f t="shared" si="120"/>
        <v>0</v>
      </c>
      <c r="L512" s="22">
        <f t="shared" si="121"/>
        <v>0</v>
      </c>
      <c r="M512" s="22">
        <f t="shared" si="122"/>
        <v>0</v>
      </c>
      <c r="N512" s="22">
        <f>M511*Assumptions!$B$11/$E$2*J512</f>
        <v>0</v>
      </c>
      <c r="O512" s="22">
        <f>M511*Assumptions!$B$13/$E$2*J512</f>
        <v>0</v>
      </c>
      <c r="P512" s="22">
        <f>H512*Assumptions!$B$15</f>
        <v>0</v>
      </c>
      <c r="Q512" s="22">
        <f>O512*Assumptions!$B$17</f>
        <v>0</v>
      </c>
      <c r="R512" s="22">
        <f>HLOOKUP(B512,Assumptions!$A$26:$D$27,2,TRUE)</f>
        <v>0</v>
      </c>
      <c r="S512">
        <f t="shared" si="123"/>
        <v>0</v>
      </c>
      <c r="T512">
        <f t="shared" si="124"/>
        <v>0.3333333333333357</v>
      </c>
      <c r="U512">
        <f>IF(B512&gt;$K$2,0,IF(T513=0,0,(1-T513)*Assumptions!$B$11/$E$2*(1-Assumptions!$B$30)))</f>
        <v>0</v>
      </c>
      <c r="V512" s="22">
        <f>(N512-O512)*(1-Assumptions!$B$30)-Q512+U511*M511</f>
        <v>0</v>
      </c>
      <c r="W512" s="22">
        <f>W511*(1+Assumptions!$B$36)^(1/12)</f>
        <v>1.5150164744395449</v>
      </c>
      <c r="X512" s="19">
        <f>IF(B512&gt;$K$2,0,W511*Assumptions!$B$32/12*M511+V512*Assumptions!$B$34/12)</f>
        <v>0</v>
      </c>
      <c r="Y512" s="20">
        <f>1/(1+HLOOKUP(YEAR(A512),Assumptions!$A$41:$AL$43,3,TRUE))^(1/12)</f>
        <v>0.99757644752594421</v>
      </c>
      <c r="Z512" s="22">
        <f t="shared" si="125"/>
        <v>0</v>
      </c>
      <c r="AA512">
        <f t="shared" si="126"/>
        <v>0</v>
      </c>
    </row>
    <row r="513" spans="1:27" x14ac:dyDescent="0.2">
      <c r="A513" s="2">
        <f t="shared" si="111"/>
        <v>58379</v>
      </c>
      <c r="B513">
        <f t="shared" si="108"/>
        <v>594</v>
      </c>
      <c r="C513" s="22">
        <f t="shared" si="116"/>
        <v>49.416666666666664</v>
      </c>
      <c r="D513" s="22">
        <f t="shared" si="117"/>
        <v>0</v>
      </c>
      <c r="E513" s="22">
        <f t="shared" si="103"/>
        <v>104</v>
      </c>
      <c r="F513" s="22">
        <f>IF(C513&gt;=$J$2,0,VLOOKUP($E513,'Mortality Table'!$A$3:$C$128,2+G$2,FALSE))</f>
        <v>0</v>
      </c>
      <c r="G513">
        <f>F513*Assumptions!$B$1</f>
        <v>0</v>
      </c>
      <c r="H513">
        <f t="shared" si="118"/>
        <v>0</v>
      </c>
      <c r="I513" s="22">
        <f>HLOOKUP(C513,Assumptions!$A$6:$J$7,2,TRUE)</f>
        <v>2.6499999999999999E-2</v>
      </c>
      <c r="J513" s="22">
        <f t="shared" si="119"/>
        <v>0</v>
      </c>
      <c r="K513" s="22">
        <f t="shared" si="120"/>
        <v>0</v>
      </c>
      <c r="L513" s="22">
        <f t="shared" si="121"/>
        <v>0</v>
      </c>
      <c r="M513" s="22">
        <f t="shared" si="122"/>
        <v>0</v>
      </c>
      <c r="N513" s="22">
        <f>M512*Assumptions!$B$11/$E$2*J513</f>
        <v>0</v>
      </c>
      <c r="O513" s="22">
        <f>M512*Assumptions!$B$13/$E$2*J513</f>
        <v>0</v>
      </c>
      <c r="P513" s="22">
        <f>H513*Assumptions!$B$15</f>
        <v>0</v>
      </c>
      <c r="Q513" s="22">
        <f>O513*Assumptions!$B$17</f>
        <v>0</v>
      </c>
      <c r="R513" s="22">
        <f>HLOOKUP(B513,Assumptions!$A$26:$D$27,2,TRUE)</f>
        <v>0</v>
      </c>
      <c r="S513">
        <f t="shared" si="123"/>
        <v>0</v>
      </c>
      <c r="T513">
        <f t="shared" si="124"/>
        <v>0.4166666666666643</v>
      </c>
      <c r="U513">
        <f>IF(B513&gt;$K$2,0,IF(T514=0,0,(1-T514)*Assumptions!$B$11/$E$2*(1-Assumptions!$B$30)))</f>
        <v>0</v>
      </c>
      <c r="V513" s="22">
        <f>(N513-O513)*(1-Assumptions!$B$30)-Q513+U512*M512</f>
        <v>0</v>
      </c>
      <c r="W513" s="22">
        <f>W512*(1+Assumptions!$B$36)^(1/12)</f>
        <v>1.5162732383489548</v>
      </c>
      <c r="X513" s="19">
        <f>IF(B513&gt;$K$2,0,W512*Assumptions!$B$32/12*M512+V513*Assumptions!$B$34/12)</f>
        <v>0</v>
      </c>
      <c r="Y513" s="20">
        <f>1/(1+HLOOKUP(YEAR(A513),Assumptions!$A$41:$AL$43,3,TRUE))^(1/12)</f>
        <v>0.99757644752594421</v>
      </c>
      <c r="Z513" s="22">
        <f t="shared" si="125"/>
        <v>0</v>
      </c>
      <c r="AA513">
        <f t="shared" si="126"/>
        <v>0</v>
      </c>
    </row>
    <row r="514" spans="1:27" x14ac:dyDescent="0.2">
      <c r="A514" s="2">
        <f t="shared" si="111"/>
        <v>58409</v>
      </c>
      <c r="B514">
        <f t="shared" si="108"/>
        <v>595</v>
      </c>
      <c r="C514" s="22">
        <f t="shared" si="116"/>
        <v>49.5</v>
      </c>
      <c r="D514" s="22">
        <f t="shared" si="117"/>
        <v>0</v>
      </c>
      <c r="E514" s="22">
        <f t="shared" si="103"/>
        <v>104</v>
      </c>
      <c r="F514" s="22">
        <f>IF(C514&gt;=$J$2,0,VLOOKUP($E514,'Mortality Table'!$A$3:$C$128,2+G$2,FALSE))</f>
        <v>0</v>
      </c>
      <c r="G514">
        <f>F514*Assumptions!$B$1</f>
        <v>0</v>
      </c>
      <c r="H514">
        <f t="shared" si="118"/>
        <v>0</v>
      </c>
      <c r="I514" s="22">
        <f>HLOOKUP(C514,Assumptions!$A$6:$J$7,2,TRUE)</f>
        <v>2.6499999999999999E-2</v>
      </c>
      <c r="J514" s="22">
        <f t="shared" si="119"/>
        <v>0</v>
      </c>
      <c r="K514" s="22">
        <f t="shared" si="120"/>
        <v>0</v>
      </c>
      <c r="L514" s="22">
        <f t="shared" si="121"/>
        <v>0</v>
      </c>
      <c r="M514" s="22">
        <f t="shared" si="122"/>
        <v>0</v>
      </c>
      <c r="N514" s="22">
        <f>M513*Assumptions!$B$11/$E$2*J514</f>
        <v>0</v>
      </c>
      <c r="O514" s="22">
        <f>M513*Assumptions!$B$13/$E$2*J514</f>
        <v>0</v>
      </c>
      <c r="P514" s="22">
        <f>H514*Assumptions!$B$15</f>
        <v>0</v>
      </c>
      <c r="Q514" s="22">
        <f>O514*Assumptions!$B$17</f>
        <v>0</v>
      </c>
      <c r="R514" s="22">
        <f>HLOOKUP(B514,Assumptions!$A$26:$D$27,2,TRUE)</f>
        <v>0</v>
      </c>
      <c r="S514">
        <f t="shared" si="123"/>
        <v>0</v>
      </c>
      <c r="T514">
        <f t="shared" si="124"/>
        <v>0.5</v>
      </c>
      <c r="U514">
        <f>IF(B514&gt;$K$2,0,IF(T515=0,0,(1-T515)*Assumptions!$B$11/$E$2*(1-Assumptions!$B$30)))</f>
        <v>0</v>
      </c>
      <c r="V514" s="22">
        <f>(N514-O514)*(1-Assumptions!$B$30)-Q514+U513*M513</f>
        <v>0</v>
      </c>
      <c r="W514" s="22">
        <f>W513*(1+Assumptions!$B$36)^(1/12)</f>
        <v>1.5175310447919284</v>
      </c>
      <c r="X514" s="19">
        <f>IF(B514&gt;$K$2,0,W513*Assumptions!$B$32/12*M513+V514*Assumptions!$B$34/12)</f>
        <v>0</v>
      </c>
      <c r="Y514" s="20">
        <f>1/(1+HLOOKUP(YEAR(A514),Assumptions!$A$41:$AL$43,3,TRUE))^(1/12)</f>
        <v>0.99757644752594421</v>
      </c>
      <c r="Z514" s="22">
        <f t="shared" si="125"/>
        <v>0</v>
      </c>
      <c r="AA514">
        <f t="shared" si="126"/>
        <v>0</v>
      </c>
    </row>
    <row r="515" spans="1:27" x14ac:dyDescent="0.2">
      <c r="A515" s="2">
        <f t="shared" si="111"/>
        <v>58440</v>
      </c>
      <c r="B515">
        <f t="shared" si="108"/>
        <v>596</v>
      </c>
      <c r="C515" s="22">
        <f t="shared" si="116"/>
        <v>49.583333333333336</v>
      </c>
      <c r="D515" s="22">
        <f t="shared" si="117"/>
        <v>0</v>
      </c>
      <c r="E515" s="22">
        <f t="shared" si="103"/>
        <v>104</v>
      </c>
      <c r="F515" s="22">
        <f>IF(C515&gt;=$J$2,0,VLOOKUP($E515,'Mortality Table'!$A$3:$C$128,2+G$2,FALSE))</f>
        <v>0</v>
      </c>
      <c r="G515">
        <f>F515*Assumptions!$B$1</f>
        <v>0</v>
      </c>
      <c r="H515">
        <f t="shared" si="118"/>
        <v>0</v>
      </c>
      <c r="I515" s="22">
        <f>HLOOKUP(C515,Assumptions!$A$6:$J$7,2,TRUE)</f>
        <v>2.6499999999999999E-2</v>
      </c>
      <c r="J515" s="22">
        <f t="shared" si="119"/>
        <v>0</v>
      </c>
      <c r="K515" s="22">
        <f t="shared" si="120"/>
        <v>0</v>
      </c>
      <c r="L515" s="22">
        <f t="shared" si="121"/>
        <v>0</v>
      </c>
      <c r="M515" s="22">
        <f t="shared" si="122"/>
        <v>0</v>
      </c>
      <c r="N515" s="22">
        <f>M514*Assumptions!$B$11/$E$2*J515</f>
        <v>0</v>
      </c>
      <c r="O515" s="22">
        <f>M514*Assumptions!$B$13/$E$2*J515</f>
        <v>0</v>
      </c>
      <c r="P515" s="22">
        <f>H515*Assumptions!$B$15</f>
        <v>0</v>
      </c>
      <c r="Q515" s="22">
        <f>O515*Assumptions!$B$17</f>
        <v>0</v>
      </c>
      <c r="R515" s="22">
        <f>HLOOKUP(B515,Assumptions!$A$26:$D$27,2,TRUE)</f>
        <v>0</v>
      </c>
      <c r="S515">
        <f t="shared" si="123"/>
        <v>0</v>
      </c>
      <c r="T515">
        <f t="shared" si="124"/>
        <v>0.5833333333333357</v>
      </c>
      <c r="U515">
        <f>IF(B515&gt;$K$2,0,IF(T516=0,0,(1-T516)*Assumptions!$B$11/$E$2*(1-Assumptions!$B$30)))</f>
        <v>0</v>
      </c>
      <c r="V515" s="22">
        <f>(N515-O515)*(1-Assumptions!$B$30)-Q515+U514*M514</f>
        <v>0</v>
      </c>
      <c r="W515" s="22">
        <f>W514*(1+Assumptions!$B$36)^(1/12)</f>
        <v>1.5187898946332867</v>
      </c>
      <c r="X515" s="19">
        <f>IF(B515&gt;$K$2,0,W514*Assumptions!$B$32/12*M514+V515*Assumptions!$B$34/12)</f>
        <v>0</v>
      </c>
      <c r="Y515" s="20">
        <f>1/(1+HLOOKUP(YEAR(A515),Assumptions!$A$41:$AL$43,3,TRUE))^(1/12)</f>
        <v>0.99757644752594421</v>
      </c>
      <c r="Z515" s="22">
        <f t="shared" si="125"/>
        <v>0</v>
      </c>
      <c r="AA515">
        <f t="shared" si="126"/>
        <v>0</v>
      </c>
    </row>
    <row r="516" spans="1:27" x14ac:dyDescent="0.2">
      <c r="A516" s="2">
        <f t="shared" si="111"/>
        <v>58471</v>
      </c>
      <c r="B516">
        <f t="shared" si="108"/>
        <v>597</v>
      </c>
      <c r="C516" s="22">
        <f t="shared" si="116"/>
        <v>49.666666666666664</v>
      </c>
      <c r="D516" s="22">
        <f t="shared" si="117"/>
        <v>0</v>
      </c>
      <c r="E516" s="22">
        <f t="shared" si="103"/>
        <v>104</v>
      </c>
      <c r="F516" s="22">
        <f>IF(C516&gt;=$J$2,0,VLOOKUP($E516,'Mortality Table'!$A$3:$C$128,2+G$2,FALSE))</f>
        <v>0</v>
      </c>
      <c r="G516">
        <f>F516*Assumptions!$B$1</f>
        <v>0</v>
      </c>
      <c r="H516">
        <f t="shared" si="118"/>
        <v>0</v>
      </c>
      <c r="I516" s="22">
        <f>HLOOKUP(C516,Assumptions!$A$6:$J$7,2,TRUE)</f>
        <v>2.6499999999999999E-2</v>
      </c>
      <c r="J516" s="22">
        <f t="shared" si="119"/>
        <v>0</v>
      </c>
      <c r="K516" s="22">
        <f t="shared" si="120"/>
        <v>0</v>
      </c>
      <c r="L516" s="22">
        <f t="shared" si="121"/>
        <v>0</v>
      </c>
      <c r="M516" s="22">
        <f t="shared" si="122"/>
        <v>0</v>
      </c>
      <c r="N516" s="22">
        <f>M515*Assumptions!$B$11/$E$2*J516</f>
        <v>0</v>
      </c>
      <c r="O516" s="22">
        <f>M515*Assumptions!$B$13/$E$2*J516</f>
        <v>0</v>
      </c>
      <c r="P516" s="22">
        <f>H516*Assumptions!$B$15</f>
        <v>0</v>
      </c>
      <c r="Q516" s="22">
        <f>O516*Assumptions!$B$17</f>
        <v>0</v>
      </c>
      <c r="R516" s="22">
        <f>HLOOKUP(B516,Assumptions!$A$26:$D$27,2,TRUE)</f>
        <v>0</v>
      </c>
      <c r="S516">
        <f t="shared" si="123"/>
        <v>0</v>
      </c>
      <c r="T516">
        <f t="shared" si="124"/>
        <v>0.6666666666666643</v>
      </c>
      <c r="U516">
        <f>IF(B516&gt;$K$2,0,IF(T517=0,0,(1-T517)*Assumptions!$B$11/$E$2*(1-Assumptions!$B$30)))</f>
        <v>0</v>
      </c>
      <c r="V516" s="22">
        <f>(N516-O516)*(1-Assumptions!$B$30)-Q516+U515*M515</f>
        <v>0</v>
      </c>
      <c r="W516" s="22">
        <f>W515*(1+Assumptions!$B$36)^(1/12)</f>
        <v>1.5200497887385689</v>
      </c>
      <c r="X516" s="19">
        <f>IF(B516&gt;$K$2,0,W515*Assumptions!$B$32/12*M515+V516*Assumptions!$B$34/12)</f>
        <v>0</v>
      </c>
      <c r="Y516" s="20">
        <f>1/(1+HLOOKUP(YEAR(A516),Assumptions!$A$41:$AL$43,3,TRUE))^(1/12)</f>
        <v>0.99757644752594421</v>
      </c>
      <c r="Z516" s="22">
        <f t="shared" si="125"/>
        <v>0</v>
      </c>
      <c r="AA516">
        <f t="shared" si="126"/>
        <v>0</v>
      </c>
    </row>
    <row r="517" spans="1:27" x14ac:dyDescent="0.2">
      <c r="A517" s="2">
        <f t="shared" si="111"/>
        <v>58500</v>
      </c>
      <c r="B517">
        <f t="shared" si="108"/>
        <v>598</v>
      </c>
      <c r="C517" s="22">
        <f t="shared" si="116"/>
        <v>49.75</v>
      </c>
      <c r="D517" s="22">
        <f t="shared" si="117"/>
        <v>0</v>
      </c>
      <c r="E517" s="22">
        <f t="shared" si="103"/>
        <v>104</v>
      </c>
      <c r="F517" s="22">
        <f>IF(C517&gt;=$J$2,0,VLOOKUP($E517,'Mortality Table'!$A$3:$C$128,2+G$2,FALSE))</f>
        <v>0</v>
      </c>
      <c r="G517">
        <f>F517*Assumptions!$B$1</f>
        <v>0</v>
      </c>
      <c r="H517">
        <f t="shared" si="118"/>
        <v>0</v>
      </c>
      <c r="I517" s="22">
        <f>HLOOKUP(C517,Assumptions!$A$6:$J$7,2,TRUE)</f>
        <v>2.6499999999999999E-2</v>
      </c>
      <c r="J517" s="22">
        <f t="shared" si="119"/>
        <v>0</v>
      </c>
      <c r="K517" s="22">
        <f t="shared" si="120"/>
        <v>0</v>
      </c>
      <c r="L517" s="22">
        <f t="shared" si="121"/>
        <v>0</v>
      </c>
      <c r="M517" s="22">
        <f t="shared" si="122"/>
        <v>0</v>
      </c>
      <c r="N517" s="22">
        <f>M516*Assumptions!$B$11/$E$2*J517</f>
        <v>0</v>
      </c>
      <c r="O517" s="22">
        <f>M516*Assumptions!$B$13/$E$2*J517</f>
        <v>0</v>
      </c>
      <c r="P517" s="22">
        <f>H517*Assumptions!$B$15</f>
        <v>0</v>
      </c>
      <c r="Q517" s="22">
        <f>O517*Assumptions!$B$17</f>
        <v>0</v>
      </c>
      <c r="R517" s="22">
        <f>HLOOKUP(B517,Assumptions!$A$26:$D$27,2,TRUE)</f>
        <v>0</v>
      </c>
      <c r="S517">
        <f t="shared" si="123"/>
        <v>0</v>
      </c>
      <c r="T517">
        <f t="shared" si="124"/>
        <v>0.75</v>
      </c>
      <c r="U517">
        <f>IF(B517&gt;$K$2,0,IF(T518=0,0,(1-T518)*Assumptions!$B$11/$E$2*(1-Assumptions!$B$30)))</f>
        <v>0</v>
      </c>
      <c r="V517" s="22">
        <f>(N517-O517)*(1-Assumptions!$B$30)-Q517+U516*M516</f>
        <v>0</v>
      </c>
      <c r="W517" s="22">
        <f>W516*(1+Assumptions!$B$36)^(1/12)</f>
        <v>1.5213107279740314</v>
      </c>
      <c r="X517" s="19">
        <f>IF(B517&gt;$K$2,0,W516*Assumptions!$B$32/12*M516+V517*Assumptions!$B$34/12)</f>
        <v>0</v>
      </c>
      <c r="Y517" s="20">
        <f>1/(1+HLOOKUP(YEAR(A517),Assumptions!$A$41:$AL$43,3,TRUE))^(1/12)</f>
        <v>0.99757644752594421</v>
      </c>
      <c r="Z517" s="22">
        <f t="shared" si="125"/>
        <v>0</v>
      </c>
      <c r="AA517">
        <f t="shared" si="126"/>
        <v>0</v>
      </c>
    </row>
    <row r="518" spans="1:27" x14ac:dyDescent="0.2">
      <c r="A518" s="2">
        <f t="shared" si="111"/>
        <v>58531</v>
      </c>
      <c r="B518">
        <f t="shared" si="108"/>
        <v>599</v>
      </c>
      <c r="C518" s="22">
        <f t="shared" si="116"/>
        <v>49.833333333333336</v>
      </c>
      <c r="D518" s="22">
        <f t="shared" si="117"/>
        <v>0</v>
      </c>
      <c r="E518" s="22">
        <f t="shared" si="103"/>
        <v>104</v>
      </c>
      <c r="F518" s="22">
        <f>IF(C518&gt;=$J$2,0,VLOOKUP($E518,'Mortality Table'!$A$3:$C$128,2+G$2,FALSE))</f>
        <v>0</v>
      </c>
      <c r="G518">
        <f>F518*Assumptions!$B$1</f>
        <v>0</v>
      </c>
      <c r="H518">
        <f t="shared" si="118"/>
        <v>0</v>
      </c>
      <c r="I518" s="22">
        <f>HLOOKUP(C518,Assumptions!$A$6:$J$7,2,TRUE)</f>
        <v>2.6499999999999999E-2</v>
      </c>
      <c r="J518" s="22">
        <f t="shared" si="119"/>
        <v>0</v>
      </c>
      <c r="K518" s="22">
        <f t="shared" si="120"/>
        <v>0</v>
      </c>
      <c r="L518" s="22">
        <f t="shared" si="121"/>
        <v>0</v>
      </c>
      <c r="M518" s="22">
        <f t="shared" si="122"/>
        <v>0</v>
      </c>
      <c r="N518" s="22">
        <f>M517*Assumptions!$B$11/$E$2*J518</f>
        <v>0</v>
      </c>
      <c r="O518" s="22">
        <f>M517*Assumptions!$B$13/$E$2*J518</f>
        <v>0</v>
      </c>
      <c r="P518" s="22">
        <f>H518*Assumptions!$B$15</f>
        <v>0</v>
      </c>
      <c r="Q518" s="22">
        <f>O518*Assumptions!$B$17</f>
        <v>0</v>
      </c>
      <c r="R518" s="22">
        <f>HLOOKUP(B518,Assumptions!$A$26:$D$27,2,TRUE)</f>
        <v>0</v>
      </c>
      <c r="S518">
        <f t="shared" si="123"/>
        <v>0</v>
      </c>
      <c r="T518">
        <f t="shared" si="124"/>
        <v>0.8333333333333357</v>
      </c>
      <c r="U518">
        <f>IF(B518&gt;$K$2,0,IF(T519=0,0,(1-T519)*Assumptions!$B$11/$E$2*(1-Assumptions!$B$30)))</f>
        <v>0</v>
      </c>
      <c r="V518" s="22">
        <f>(N518-O518)*(1-Assumptions!$B$30)-Q518+U517*M517</f>
        <v>0</v>
      </c>
      <c r="W518" s="22">
        <f>W517*(1+Assumptions!$B$36)^(1/12)</f>
        <v>1.5225727132066496</v>
      </c>
      <c r="X518" s="19">
        <f>IF(B518&gt;$K$2,0,W517*Assumptions!$B$32/12*M517+V518*Assumptions!$B$34/12)</f>
        <v>0</v>
      </c>
      <c r="Y518" s="20">
        <f>1/(1+HLOOKUP(YEAR(A518),Assumptions!$A$41:$AL$43,3,TRUE))^(1/12)</f>
        <v>0.99757644752594421</v>
      </c>
      <c r="Z518" s="22">
        <f t="shared" si="125"/>
        <v>0</v>
      </c>
      <c r="AA518">
        <f t="shared" si="126"/>
        <v>0</v>
      </c>
    </row>
    <row r="519" spans="1:27" x14ac:dyDescent="0.2">
      <c r="A519" s="2">
        <f t="shared" si="111"/>
        <v>58561</v>
      </c>
      <c r="B519">
        <f t="shared" si="108"/>
        <v>600</v>
      </c>
      <c r="C519" s="22">
        <f t="shared" si="116"/>
        <v>49.916666666666664</v>
      </c>
      <c r="D519" s="22">
        <f t="shared" si="117"/>
        <v>0</v>
      </c>
      <c r="E519" s="22">
        <f t="shared" si="103"/>
        <v>104</v>
      </c>
      <c r="F519" s="22">
        <f>IF(C519&gt;=$J$2,0,VLOOKUP($E519,'Mortality Table'!$A$3:$C$128,2+G$2,FALSE))</f>
        <v>0</v>
      </c>
      <c r="G519">
        <f>F519*Assumptions!$B$1</f>
        <v>0</v>
      </c>
      <c r="H519">
        <f t="shared" si="118"/>
        <v>0</v>
      </c>
      <c r="I519" s="22">
        <f>HLOOKUP(C519,Assumptions!$A$6:$J$7,2,TRUE)</f>
        <v>2.6499999999999999E-2</v>
      </c>
      <c r="J519" s="22">
        <f t="shared" si="119"/>
        <v>0</v>
      </c>
      <c r="K519" s="22">
        <f t="shared" si="120"/>
        <v>0</v>
      </c>
      <c r="L519" s="22">
        <f t="shared" si="121"/>
        <v>0</v>
      </c>
      <c r="M519" s="22">
        <f t="shared" si="122"/>
        <v>0</v>
      </c>
      <c r="N519" s="22">
        <f>M518*Assumptions!$B$11/$E$2*J519</f>
        <v>0</v>
      </c>
      <c r="O519" s="22">
        <f>M518*Assumptions!$B$13/$E$2*J519</f>
        <v>0</v>
      </c>
      <c r="P519" s="22">
        <f>H519*Assumptions!$B$15</f>
        <v>0</v>
      </c>
      <c r="Q519" s="22">
        <f>O519*Assumptions!$B$17</f>
        <v>0</v>
      </c>
      <c r="R519" s="22">
        <f>HLOOKUP(B519,Assumptions!$A$26:$D$27,2,TRUE)</f>
        <v>0</v>
      </c>
      <c r="S519">
        <f t="shared" si="123"/>
        <v>0</v>
      </c>
      <c r="T519">
        <f t="shared" si="124"/>
        <v>0.9166666666666643</v>
      </c>
      <c r="U519">
        <f>IF(B519&gt;$K$2,0,IF(T520=0,0,(1-T520)*Assumptions!$B$11/$E$2*(1-Assumptions!$B$30)))</f>
        <v>0</v>
      </c>
      <c r="V519" s="22">
        <f>(N519-O519)*(1-Assumptions!$B$30)-Q519+U518*M518</f>
        <v>0</v>
      </c>
      <c r="W519" s="22">
        <f>W518*(1+Assumptions!$B$36)^(1/12)</f>
        <v>1.523835745304118</v>
      </c>
      <c r="X519" s="19">
        <f>IF(B519&gt;$K$2,0,W518*Assumptions!$B$32/12*M518+V519*Assumptions!$B$34/12)</f>
        <v>0</v>
      </c>
      <c r="Y519" s="20">
        <f>1/(1+HLOOKUP(YEAR(A519),Assumptions!$A$41:$AL$43,3,TRUE))^(1/12)</f>
        <v>0.99757644752594421</v>
      </c>
      <c r="Z519" s="22">
        <f t="shared" si="125"/>
        <v>0</v>
      </c>
      <c r="AA519">
        <f t="shared" si="126"/>
        <v>0</v>
      </c>
    </row>
    <row r="520" spans="1:27" x14ac:dyDescent="0.2">
      <c r="A520" s="2">
        <f t="shared" si="111"/>
        <v>58592</v>
      </c>
      <c r="B520">
        <f t="shared" si="108"/>
        <v>601</v>
      </c>
      <c r="C520" s="22">
        <f t="shared" si="116"/>
        <v>50</v>
      </c>
      <c r="D520" s="22">
        <f t="shared" si="117"/>
        <v>1</v>
      </c>
      <c r="E520" s="22">
        <f t="shared" si="103"/>
        <v>105</v>
      </c>
      <c r="F520" s="22">
        <f>IF(C520&gt;=$J$2,0,VLOOKUP($E520,'Mortality Table'!$A$3:$C$128,2+G$2,FALSE))</f>
        <v>0</v>
      </c>
      <c r="G520">
        <f>F520*Assumptions!$B$1</f>
        <v>0</v>
      </c>
      <c r="H520">
        <f t="shared" si="118"/>
        <v>0</v>
      </c>
      <c r="I520" s="22">
        <f>HLOOKUP(C520,Assumptions!$A$6:$J$7,2,TRUE)</f>
        <v>2.6499999999999999E-2</v>
      </c>
      <c r="J520" s="22">
        <f t="shared" si="119"/>
        <v>0</v>
      </c>
      <c r="K520" s="22">
        <f t="shared" si="120"/>
        <v>0</v>
      </c>
      <c r="L520" s="22">
        <f t="shared" si="121"/>
        <v>0</v>
      </c>
      <c r="M520" s="22">
        <f t="shared" si="122"/>
        <v>0</v>
      </c>
      <c r="N520" s="22">
        <f>M519*Assumptions!$B$11/$E$2*J520</f>
        <v>0</v>
      </c>
      <c r="O520" s="22">
        <f>M519*Assumptions!$B$13/$E$2*J520</f>
        <v>0</v>
      </c>
      <c r="P520" s="22">
        <f>H520*Assumptions!$B$15</f>
        <v>0</v>
      </c>
      <c r="Q520" s="22">
        <f>O520*Assumptions!$B$17</f>
        <v>0</v>
      </c>
      <c r="R520" s="22">
        <f>HLOOKUP(B520,Assumptions!$A$26:$D$27,2,TRUE)</f>
        <v>0</v>
      </c>
      <c r="S520">
        <f t="shared" si="123"/>
        <v>0</v>
      </c>
      <c r="T520">
        <f t="shared" si="124"/>
        <v>0</v>
      </c>
      <c r="U520">
        <f>IF(B520&gt;$K$2,0,IF(T521=0,0,(1-T521)*Assumptions!$B$11/$E$2*(1-Assumptions!$B$30)))</f>
        <v>0</v>
      </c>
      <c r="V520" s="22">
        <f>(N520-O520)*(1-Assumptions!$B$30)-Q520+U519*M519</f>
        <v>0</v>
      </c>
      <c r="W520" s="22">
        <f>W519*(1+Assumptions!$B$36)^(1/12)</f>
        <v>1.5250998251348509</v>
      </c>
      <c r="X520" s="19">
        <f>IF(B520&gt;$K$2,0,W519*Assumptions!$B$32/12*M519+V520*Assumptions!$B$34/12)</f>
        <v>0</v>
      </c>
      <c r="Y520" s="20">
        <f>1/(1+HLOOKUP(YEAR(A520),Assumptions!$A$41:$AL$43,3,TRUE))^(1/12)</f>
        <v>0.99757644752594421</v>
      </c>
      <c r="Z520" s="22">
        <f t="shared" si="125"/>
        <v>0</v>
      </c>
      <c r="AA520">
        <f t="shared" si="126"/>
        <v>0</v>
      </c>
    </row>
    <row r="521" spans="1:27" x14ac:dyDescent="0.2">
      <c r="A521" s="2">
        <f t="shared" si="111"/>
        <v>58622</v>
      </c>
      <c r="B521">
        <f t="shared" si="108"/>
        <v>602</v>
      </c>
      <c r="C521" s="22">
        <f t="shared" si="116"/>
        <v>50.083333333333336</v>
      </c>
      <c r="D521" s="22">
        <f t="shared" si="117"/>
        <v>0</v>
      </c>
      <c r="E521" s="22">
        <f t="shared" si="103"/>
        <v>105</v>
      </c>
      <c r="F521" s="22">
        <f>IF(C521&gt;=$J$2,0,VLOOKUP($E521,'Mortality Table'!$A$3:$C$128,2+G$2,FALSE))</f>
        <v>0</v>
      </c>
      <c r="G521">
        <f>F521*Assumptions!$B$1</f>
        <v>0</v>
      </c>
      <c r="H521">
        <f t="shared" si="118"/>
        <v>0</v>
      </c>
      <c r="I521" s="22">
        <f>HLOOKUP(C521,Assumptions!$A$6:$J$7,2,TRUE)</f>
        <v>2.6499999999999999E-2</v>
      </c>
      <c r="J521" s="22">
        <f t="shared" si="119"/>
        <v>0</v>
      </c>
      <c r="K521" s="22">
        <f t="shared" si="120"/>
        <v>0</v>
      </c>
      <c r="L521" s="22">
        <f t="shared" si="121"/>
        <v>0</v>
      </c>
      <c r="M521" s="22">
        <f t="shared" si="122"/>
        <v>0</v>
      </c>
      <c r="N521" s="22">
        <f>M520*Assumptions!$B$11/$E$2*J521</f>
        <v>0</v>
      </c>
      <c r="O521" s="22">
        <f>M520*Assumptions!$B$13/$E$2*J521</f>
        <v>0</v>
      </c>
      <c r="P521" s="22">
        <f>H521*Assumptions!$B$15</f>
        <v>0</v>
      </c>
      <c r="Q521" s="22">
        <f>O521*Assumptions!$B$17</f>
        <v>0</v>
      </c>
      <c r="R521" s="22">
        <f>HLOOKUP(B521,Assumptions!$A$26:$D$27,2,TRUE)</f>
        <v>0</v>
      </c>
      <c r="S521">
        <f t="shared" si="123"/>
        <v>0</v>
      </c>
      <c r="T521">
        <f t="shared" si="124"/>
        <v>8.3333333333335702E-2</v>
      </c>
      <c r="U521">
        <f>IF(B521&gt;$K$2,0,IF(T522=0,0,(1-T522)*Assumptions!$B$11/$E$2*(1-Assumptions!$B$30)))</f>
        <v>0</v>
      </c>
      <c r="V521" s="22">
        <f>(N521-O521)*(1-Assumptions!$B$30)-Q521+U520*M520</f>
        <v>0</v>
      </c>
      <c r="W521" s="22">
        <f>W520*(1+Assumptions!$B$36)^(1/12)</f>
        <v>1.5263649535679829</v>
      </c>
      <c r="X521" s="19">
        <f>IF(B521&gt;$K$2,0,W520*Assumptions!$B$32/12*M520+V521*Assumptions!$B$34/12)</f>
        <v>0</v>
      </c>
      <c r="Y521" s="20">
        <f>1/(1+HLOOKUP(YEAR(A521),Assumptions!$A$41:$AL$43,3,TRUE))^(1/12)</f>
        <v>0.99757644752594421</v>
      </c>
      <c r="Z521" s="22">
        <f t="shared" si="125"/>
        <v>0</v>
      </c>
      <c r="AA521">
        <f t="shared" si="126"/>
        <v>0</v>
      </c>
    </row>
    <row r="522" spans="1:27" x14ac:dyDescent="0.2">
      <c r="A522" s="2">
        <f t="shared" si="111"/>
        <v>58653</v>
      </c>
      <c r="B522">
        <f t="shared" si="108"/>
        <v>603</v>
      </c>
      <c r="C522" s="22">
        <f t="shared" si="116"/>
        <v>50.166666666666664</v>
      </c>
      <c r="D522" s="22">
        <f t="shared" si="117"/>
        <v>0</v>
      </c>
      <c r="E522" s="22">
        <f t="shared" si="103"/>
        <v>105</v>
      </c>
      <c r="F522" s="22">
        <f>IF(C522&gt;=$J$2,0,VLOOKUP($E522,'Mortality Table'!$A$3:$C$128,2+G$2,FALSE))</f>
        <v>0</v>
      </c>
      <c r="G522">
        <f>F522*Assumptions!$B$1</f>
        <v>0</v>
      </c>
      <c r="H522">
        <f t="shared" si="118"/>
        <v>0</v>
      </c>
      <c r="I522" s="22">
        <f>HLOOKUP(C522,Assumptions!$A$6:$J$7,2,TRUE)</f>
        <v>2.6499999999999999E-2</v>
      </c>
      <c r="J522" s="22">
        <f t="shared" si="119"/>
        <v>0</v>
      </c>
      <c r="K522" s="22">
        <f t="shared" si="120"/>
        <v>0</v>
      </c>
      <c r="L522" s="22">
        <f t="shared" si="121"/>
        <v>0</v>
      </c>
      <c r="M522" s="22">
        <f t="shared" si="122"/>
        <v>0</v>
      </c>
      <c r="N522" s="22">
        <f>M521*Assumptions!$B$11/$E$2*J522</f>
        <v>0</v>
      </c>
      <c r="O522" s="22">
        <f>M521*Assumptions!$B$13/$E$2*J522</f>
        <v>0</v>
      </c>
      <c r="P522" s="22">
        <f>H522*Assumptions!$B$15</f>
        <v>0</v>
      </c>
      <c r="Q522" s="22">
        <f>O522*Assumptions!$B$17</f>
        <v>0</v>
      </c>
      <c r="R522" s="22">
        <f>HLOOKUP(B522,Assumptions!$A$26:$D$27,2,TRUE)</f>
        <v>0</v>
      </c>
      <c r="S522">
        <f t="shared" si="123"/>
        <v>0</v>
      </c>
      <c r="T522">
        <f t="shared" si="124"/>
        <v>0.1666666666666643</v>
      </c>
      <c r="U522">
        <f>IF(B522&gt;$K$2,0,IF(T523=0,0,(1-T523)*Assumptions!$B$11/$E$2*(1-Assumptions!$B$30)))</f>
        <v>0</v>
      </c>
      <c r="V522" s="22">
        <f>(N522-O522)*(1-Assumptions!$B$30)-Q522+U521*M521</f>
        <v>0</v>
      </c>
      <c r="W522" s="22">
        <f>W521*(1+Assumptions!$B$36)^(1/12)</f>
        <v>1.5276311314733697</v>
      </c>
      <c r="X522" s="19">
        <f>IF(B522&gt;$K$2,0,W521*Assumptions!$B$32/12*M521+V522*Assumptions!$B$34/12)</f>
        <v>0</v>
      </c>
      <c r="Y522" s="20">
        <f>1/(1+HLOOKUP(YEAR(A522),Assumptions!$A$41:$AL$43,3,TRUE))^(1/12)</f>
        <v>0.99757644752594421</v>
      </c>
      <c r="Z522" s="22">
        <f t="shared" si="125"/>
        <v>0</v>
      </c>
      <c r="AA522">
        <f t="shared" si="126"/>
        <v>0</v>
      </c>
    </row>
    <row r="523" spans="1:27" x14ac:dyDescent="0.2">
      <c r="A523" s="2">
        <f t="shared" si="111"/>
        <v>58684</v>
      </c>
      <c r="B523">
        <f t="shared" si="108"/>
        <v>604</v>
      </c>
      <c r="C523" s="22">
        <f t="shared" si="116"/>
        <v>50.25</v>
      </c>
      <c r="D523" s="22">
        <f t="shared" si="117"/>
        <v>0</v>
      </c>
      <c r="E523" s="22">
        <f t="shared" si="103"/>
        <v>105</v>
      </c>
      <c r="F523" s="22">
        <f>IF(C523&gt;=$J$2,0,VLOOKUP($E523,'Mortality Table'!$A$3:$C$128,2+G$2,FALSE))</f>
        <v>0</v>
      </c>
      <c r="G523">
        <f>F523*Assumptions!$B$1</f>
        <v>0</v>
      </c>
      <c r="H523">
        <f t="shared" si="118"/>
        <v>0</v>
      </c>
      <c r="I523" s="22">
        <f>HLOOKUP(C523,Assumptions!$A$6:$J$7,2,TRUE)</f>
        <v>2.6499999999999999E-2</v>
      </c>
      <c r="J523" s="22">
        <f t="shared" si="119"/>
        <v>0</v>
      </c>
      <c r="K523" s="22">
        <f t="shared" si="120"/>
        <v>0</v>
      </c>
      <c r="L523" s="22">
        <f t="shared" si="121"/>
        <v>0</v>
      </c>
      <c r="M523" s="22">
        <f t="shared" si="122"/>
        <v>0</v>
      </c>
      <c r="N523" s="22">
        <f>M522*Assumptions!$B$11/$E$2*J523</f>
        <v>0</v>
      </c>
      <c r="O523" s="22">
        <f>M522*Assumptions!$B$13/$E$2*J523</f>
        <v>0</v>
      </c>
      <c r="P523" s="22">
        <f>H523*Assumptions!$B$15</f>
        <v>0</v>
      </c>
      <c r="Q523" s="22">
        <f>O523*Assumptions!$B$17</f>
        <v>0</v>
      </c>
      <c r="R523" s="22">
        <f>HLOOKUP(B523,Assumptions!$A$26:$D$27,2,TRUE)</f>
        <v>0</v>
      </c>
      <c r="S523">
        <f t="shared" si="123"/>
        <v>0</v>
      </c>
      <c r="T523">
        <f t="shared" si="124"/>
        <v>0.25</v>
      </c>
      <c r="U523">
        <f>IF(B523&gt;$K$2,0,IF(T524=0,0,(1-T524)*Assumptions!$B$11/$E$2*(1-Assumptions!$B$30)))</f>
        <v>0</v>
      </c>
      <c r="V523" s="22">
        <f>(N523-O523)*(1-Assumptions!$B$30)-Q523+U522*M522</f>
        <v>0</v>
      </c>
      <c r="W523" s="22">
        <f>W522*(1+Assumptions!$B$36)^(1/12)</f>
        <v>1.5288983597215886</v>
      </c>
      <c r="X523" s="19">
        <f>IF(B523&gt;$K$2,0,W522*Assumptions!$B$32/12*M522+V523*Assumptions!$B$34/12)</f>
        <v>0</v>
      </c>
      <c r="Y523" s="20">
        <f>1/(1+HLOOKUP(YEAR(A523),Assumptions!$A$41:$AL$43,3,TRUE))^(1/12)</f>
        <v>0.99757644752594421</v>
      </c>
      <c r="Z523" s="22">
        <f t="shared" si="125"/>
        <v>0</v>
      </c>
      <c r="AA523">
        <f t="shared" si="126"/>
        <v>0</v>
      </c>
    </row>
    <row r="524" spans="1:27" x14ac:dyDescent="0.2">
      <c r="A524" s="2">
        <f t="shared" si="111"/>
        <v>58714</v>
      </c>
      <c r="B524">
        <f t="shared" si="108"/>
        <v>605</v>
      </c>
      <c r="C524" s="22">
        <f t="shared" si="116"/>
        <v>50.333333333333336</v>
      </c>
      <c r="D524" s="22">
        <f t="shared" si="117"/>
        <v>0</v>
      </c>
      <c r="E524" s="22">
        <f t="shared" ref="E524:E576" si="127">$C$2+INT($C524)</f>
        <v>105</v>
      </c>
      <c r="F524" s="22">
        <f>IF(C524&gt;=$J$2,0,VLOOKUP($E524,'Mortality Table'!$A$3:$C$128,2+G$2,FALSE))</f>
        <v>0</v>
      </c>
      <c r="G524">
        <f>F524*Assumptions!$B$1</f>
        <v>0</v>
      </c>
      <c r="H524">
        <f t="shared" si="118"/>
        <v>0</v>
      </c>
      <c r="I524" s="22">
        <f>HLOOKUP(C524,Assumptions!$A$6:$J$7,2,TRUE)</f>
        <v>2.6499999999999999E-2</v>
      </c>
      <c r="J524" s="22">
        <f t="shared" si="119"/>
        <v>0</v>
      </c>
      <c r="K524" s="22">
        <f t="shared" si="120"/>
        <v>0</v>
      </c>
      <c r="L524" s="22">
        <f t="shared" si="121"/>
        <v>0</v>
      </c>
      <c r="M524" s="22">
        <f t="shared" si="122"/>
        <v>0</v>
      </c>
      <c r="N524" s="22">
        <f>M523*Assumptions!$B$11/$E$2*J524</f>
        <v>0</v>
      </c>
      <c r="O524" s="22">
        <f>M523*Assumptions!$B$13/$E$2*J524</f>
        <v>0</v>
      </c>
      <c r="P524" s="22">
        <f>H524*Assumptions!$B$15</f>
        <v>0</v>
      </c>
      <c r="Q524" s="22">
        <f>O524*Assumptions!$B$17</f>
        <v>0</v>
      </c>
      <c r="R524" s="22">
        <f>HLOOKUP(B524,Assumptions!$A$26:$D$27,2,TRUE)</f>
        <v>0</v>
      </c>
      <c r="S524">
        <f t="shared" si="123"/>
        <v>0</v>
      </c>
      <c r="T524">
        <f t="shared" si="124"/>
        <v>0.3333333333333357</v>
      </c>
      <c r="U524">
        <f>IF(B524&gt;$K$2,0,IF(T525=0,0,(1-T525)*Assumptions!$B$11/$E$2*(1-Assumptions!$B$30)))</f>
        <v>0</v>
      </c>
      <c r="V524" s="22">
        <f>(N524-O524)*(1-Assumptions!$B$30)-Q524+U523*M523</f>
        <v>0</v>
      </c>
      <c r="W524" s="22">
        <f>W523*(1+Assumptions!$B$36)^(1/12)</f>
        <v>1.530166639183939</v>
      </c>
      <c r="X524" s="19">
        <f>IF(B524&gt;$K$2,0,W523*Assumptions!$B$32/12*M523+V524*Assumptions!$B$34/12)</f>
        <v>0</v>
      </c>
      <c r="Y524" s="20">
        <f>1/(1+HLOOKUP(YEAR(A524),Assumptions!$A$41:$AL$43,3,TRUE))^(1/12)</f>
        <v>0.99757644752594421</v>
      </c>
      <c r="Z524" s="22">
        <f t="shared" si="125"/>
        <v>0</v>
      </c>
      <c r="AA524">
        <f t="shared" si="126"/>
        <v>0</v>
      </c>
    </row>
    <row r="525" spans="1:27" x14ac:dyDescent="0.2">
      <c r="A525" s="2">
        <f t="shared" si="111"/>
        <v>58745</v>
      </c>
      <c r="B525">
        <f t="shared" ref="B525:B576" si="128">B524+1</f>
        <v>606</v>
      </c>
      <c r="C525" s="22">
        <f t="shared" si="116"/>
        <v>50.416666666666664</v>
      </c>
      <c r="D525" s="22">
        <f t="shared" si="117"/>
        <v>0</v>
      </c>
      <c r="E525" s="22">
        <f t="shared" si="127"/>
        <v>105</v>
      </c>
      <c r="F525" s="22">
        <f>IF(C525&gt;=$J$2,0,VLOOKUP($E525,'Mortality Table'!$A$3:$C$128,2+G$2,FALSE))</f>
        <v>0</v>
      </c>
      <c r="G525">
        <f>F525*Assumptions!$B$1</f>
        <v>0</v>
      </c>
      <c r="H525">
        <f t="shared" si="118"/>
        <v>0</v>
      </c>
      <c r="I525" s="22">
        <f>HLOOKUP(C525,Assumptions!$A$6:$J$7,2,TRUE)</f>
        <v>2.6499999999999999E-2</v>
      </c>
      <c r="J525" s="22">
        <f t="shared" si="119"/>
        <v>0</v>
      </c>
      <c r="K525" s="22">
        <f t="shared" si="120"/>
        <v>0</v>
      </c>
      <c r="L525" s="22">
        <f t="shared" si="121"/>
        <v>0</v>
      </c>
      <c r="M525" s="22">
        <f t="shared" si="122"/>
        <v>0</v>
      </c>
      <c r="N525" s="22">
        <f>M524*Assumptions!$B$11/$E$2*J525</f>
        <v>0</v>
      </c>
      <c r="O525" s="22">
        <f>M524*Assumptions!$B$13/$E$2*J525</f>
        <v>0</v>
      </c>
      <c r="P525" s="22">
        <f>H525*Assumptions!$B$15</f>
        <v>0</v>
      </c>
      <c r="Q525" s="22">
        <f>O525*Assumptions!$B$17</f>
        <v>0</v>
      </c>
      <c r="R525" s="22">
        <f>HLOOKUP(B525,Assumptions!$A$26:$D$27,2,TRUE)</f>
        <v>0</v>
      </c>
      <c r="S525">
        <f t="shared" si="123"/>
        <v>0</v>
      </c>
      <c r="T525">
        <f t="shared" si="124"/>
        <v>0.4166666666666643</v>
      </c>
      <c r="U525">
        <f>IF(B525&gt;$K$2,0,IF(T526=0,0,(1-T526)*Assumptions!$B$11/$E$2*(1-Assumptions!$B$30)))</f>
        <v>0</v>
      </c>
      <c r="V525" s="22">
        <f>(N525-O525)*(1-Assumptions!$B$30)-Q525+U524*M524</f>
        <v>0</v>
      </c>
      <c r="W525" s="22">
        <f>W524*(1+Assumptions!$B$36)^(1/12)</f>
        <v>1.531435970732443</v>
      </c>
      <c r="X525" s="19">
        <f>IF(B525&gt;$K$2,0,W524*Assumptions!$B$32/12*M524+V525*Assumptions!$B$34/12)</f>
        <v>0</v>
      </c>
      <c r="Y525" s="20">
        <f>1/(1+HLOOKUP(YEAR(A525),Assumptions!$A$41:$AL$43,3,TRUE))^(1/12)</f>
        <v>0.99757644752594421</v>
      </c>
      <c r="Z525" s="22">
        <f t="shared" si="125"/>
        <v>0</v>
      </c>
      <c r="AA525">
        <f t="shared" si="126"/>
        <v>0</v>
      </c>
    </row>
    <row r="526" spans="1:27" x14ac:dyDescent="0.2">
      <c r="A526" s="2">
        <f t="shared" si="111"/>
        <v>58775</v>
      </c>
      <c r="B526">
        <f t="shared" si="128"/>
        <v>607</v>
      </c>
      <c r="C526" s="22">
        <f t="shared" si="116"/>
        <v>50.5</v>
      </c>
      <c r="D526" s="22">
        <f t="shared" si="117"/>
        <v>0</v>
      </c>
      <c r="E526" s="22">
        <f t="shared" si="127"/>
        <v>105</v>
      </c>
      <c r="F526" s="22">
        <f>IF(C526&gt;=$J$2,0,VLOOKUP($E526,'Mortality Table'!$A$3:$C$128,2+G$2,FALSE))</f>
        <v>0</v>
      </c>
      <c r="G526">
        <f>F526*Assumptions!$B$1</f>
        <v>0</v>
      </c>
      <c r="H526">
        <f t="shared" si="118"/>
        <v>0</v>
      </c>
      <c r="I526" s="22">
        <f>HLOOKUP(C526,Assumptions!$A$6:$J$7,2,TRUE)</f>
        <v>2.6499999999999999E-2</v>
      </c>
      <c r="J526" s="22">
        <f t="shared" si="119"/>
        <v>0</v>
      </c>
      <c r="K526" s="22">
        <f t="shared" si="120"/>
        <v>0</v>
      </c>
      <c r="L526" s="22">
        <f t="shared" si="121"/>
        <v>0</v>
      </c>
      <c r="M526" s="22">
        <f t="shared" si="122"/>
        <v>0</v>
      </c>
      <c r="N526" s="22">
        <f>M525*Assumptions!$B$11/$E$2*J526</f>
        <v>0</v>
      </c>
      <c r="O526" s="22">
        <f>M525*Assumptions!$B$13/$E$2*J526</f>
        <v>0</v>
      </c>
      <c r="P526" s="22">
        <f>H526*Assumptions!$B$15</f>
        <v>0</v>
      </c>
      <c r="Q526" s="22">
        <f>O526*Assumptions!$B$17</f>
        <v>0</v>
      </c>
      <c r="R526" s="22">
        <f>HLOOKUP(B526,Assumptions!$A$26:$D$27,2,TRUE)</f>
        <v>0</v>
      </c>
      <c r="S526">
        <f t="shared" si="123"/>
        <v>0</v>
      </c>
      <c r="T526">
        <f t="shared" si="124"/>
        <v>0.5</v>
      </c>
      <c r="U526">
        <f>IF(B526&gt;$K$2,0,IF(T527=0,0,(1-T527)*Assumptions!$B$11/$E$2*(1-Assumptions!$B$30)))</f>
        <v>0</v>
      </c>
      <c r="V526" s="22">
        <f>(N526-O526)*(1-Assumptions!$B$30)-Q526+U525*M525</f>
        <v>0</v>
      </c>
      <c r="W526" s="22">
        <f>W525*(1+Assumptions!$B$36)^(1/12)</f>
        <v>1.5327063552398463</v>
      </c>
      <c r="X526" s="19">
        <f>IF(B526&gt;$K$2,0,W525*Assumptions!$B$32/12*M525+V526*Assumptions!$B$34/12)</f>
        <v>0</v>
      </c>
      <c r="Y526" s="20">
        <f>1/(1+HLOOKUP(YEAR(A526),Assumptions!$A$41:$AL$43,3,TRUE))^(1/12)</f>
        <v>0.99757644752594421</v>
      </c>
      <c r="Z526" s="22">
        <f t="shared" si="125"/>
        <v>0</v>
      </c>
      <c r="AA526">
        <f t="shared" si="126"/>
        <v>0</v>
      </c>
    </row>
    <row r="527" spans="1:27" x14ac:dyDescent="0.2">
      <c r="A527" s="2">
        <f t="shared" ref="A527:A576" si="129">DATE(YEAR(A526),MONTH(A526)+2,1)-1</f>
        <v>58806</v>
      </c>
      <c r="B527">
        <f t="shared" si="128"/>
        <v>608</v>
      </c>
      <c r="C527" s="22">
        <f t="shared" si="116"/>
        <v>50.583333333333336</v>
      </c>
      <c r="D527" s="22">
        <f t="shared" si="117"/>
        <v>0</v>
      </c>
      <c r="E527" s="22">
        <f t="shared" si="127"/>
        <v>105</v>
      </c>
      <c r="F527" s="22">
        <f>IF(C527&gt;=$J$2,0,VLOOKUP($E527,'Mortality Table'!$A$3:$C$128,2+G$2,FALSE))</f>
        <v>0</v>
      </c>
      <c r="G527">
        <f>F527*Assumptions!$B$1</f>
        <v>0</v>
      </c>
      <c r="H527">
        <f t="shared" si="118"/>
        <v>0</v>
      </c>
      <c r="I527" s="22">
        <f>HLOOKUP(C527,Assumptions!$A$6:$J$7,2,TRUE)</f>
        <v>2.6499999999999999E-2</v>
      </c>
      <c r="J527" s="22">
        <f t="shared" si="119"/>
        <v>0</v>
      </c>
      <c r="K527" s="22">
        <f t="shared" si="120"/>
        <v>0</v>
      </c>
      <c r="L527" s="22">
        <f t="shared" si="121"/>
        <v>0</v>
      </c>
      <c r="M527" s="22">
        <f t="shared" si="122"/>
        <v>0</v>
      </c>
      <c r="N527" s="22">
        <f>M526*Assumptions!$B$11/$E$2*J527</f>
        <v>0</v>
      </c>
      <c r="O527" s="22">
        <f>M526*Assumptions!$B$13/$E$2*J527</f>
        <v>0</v>
      </c>
      <c r="P527" s="22">
        <f>H527*Assumptions!$B$15</f>
        <v>0</v>
      </c>
      <c r="Q527" s="22">
        <f>O527*Assumptions!$B$17</f>
        <v>0</v>
      </c>
      <c r="R527" s="22">
        <f>HLOOKUP(B527,Assumptions!$A$26:$D$27,2,TRUE)</f>
        <v>0</v>
      </c>
      <c r="S527">
        <f t="shared" si="123"/>
        <v>0</v>
      </c>
      <c r="T527">
        <f t="shared" si="124"/>
        <v>0.5833333333333357</v>
      </c>
      <c r="U527">
        <f>IF(B527&gt;$K$2,0,IF(T528=0,0,(1-T528)*Assumptions!$B$11/$E$2*(1-Assumptions!$B$30)))</f>
        <v>0</v>
      </c>
      <c r="V527" s="22">
        <f>(N527-O527)*(1-Assumptions!$B$30)-Q527+U526*M526</f>
        <v>0</v>
      </c>
      <c r="W527" s="22">
        <f>W526*(1+Assumptions!$B$36)^(1/12)</f>
        <v>1.5339777935796184</v>
      </c>
      <c r="X527" s="19">
        <f>IF(B527&gt;$K$2,0,W526*Assumptions!$B$32/12*M526+V527*Assumptions!$B$34/12)</f>
        <v>0</v>
      </c>
      <c r="Y527" s="20">
        <f>1/(1+HLOOKUP(YEAR(A527),Assumptions!$A$41:$AL$43,3,TRUE))^(1/12)</f>
        <v>0.99757644752594421</v>
      </c>
      <c r="Z527" s="22">
        <f t="shared" si="125"/>
        <v>0</v>
      </c>
      <c r="AA527">
        <f t="shared" si="126"/>
        <v>0</v>
      </c>
    </row>
    <row r="528" spans="1:27" x14ac:dyDescent="0.2">
      <c r="A528" s="2">
        <f t="shared" si="129"/>
        <v>58837</v>
      </c>
      <c r="B528">
        <f t="shared" si="128"/>
        <v>609</v>
      </c>
      <c r="C528" s="22">
        <f t="shared" si="116"/>
        <v>50.666666666666664</v>
      </c>
      <c r="D528" s="22">
        <f t="shared" si="117"/>
        <v>0</v>
      </c>
      <c r="E528" s="22">
        <f t="shared" si="127"/>
        <v>105</v>
      </c>
      <c r="F528" s="22">
        <f>IF(C528&gt;=$J$2,0,VLOOKUP($E528,'Mortality Table'!$A$3:$C$128,2+G$2,FALSE))</f>
        <v>0</v>
      </c>
      <c r="G528">
        <f>F528*Assumptions!$B$1</f>
        <v>0</v>
      </c>
      <c r="H528">
        <f t="shared" si="118"/>
        <v>0</v>
      </c>
      <c r="I528" s="22">
        <f>HLOOKUP(C528,Assumptions!$A$6:$J$7,2,TRUE)</f>
        <v>2.6499999999999999E-2</v>
      </c>
      <c r="J528" s="22">
        <f t="shared" si="119"/>
        <v>0</v>
      </c>
      <c r="K528" s="22">
        <f t="shared" si="120"/>
        <v>0</v>
      </c>
      <c r="L528" s="22">
        <f t="shared" si="121"/>
        <v>0</v>
      </c>
      <c r="M528" s="22">
        <f t="shared" si="122"/>
        <v>0</v>
      </c>
      <c r="N528" s="22">
        <f>M527*Assumptions!$B$11/$E$2*J528</f>
        <v>0</v>
      </c>
      <c r="O528" s="22">
        <f>M527*Assumptions!$B$13/$E$2*J528</f>
        <v>0</v>
      </c>
      <c r="P528" s="22">
        <f>H528*Assumptions!$B$15</f>
        <v>0</v>
      </c>
      <c r="Q528" s="22">
        <f>O528*Assumptions!$B$17</f>
        <v>0</v>
      </c>
      <c r="R528" s="22">
        <f>HLOOKUP(B528,Assumptions!$A$26:$D$27,2,TRUE)</f>
        <v>0</v>
      </c>
      <c r="S528">
        <f t="shared" si="123"/>
        <v>0</v>
      </c>
      <c r="T528">
        <f t="shared" si="124"/>
        <v>0.6666666666666643</v>
      </c>
      <c r="U528">
        <f>IF(B528&gt;$K$2,0,IF(T529=0,0,(1-T529)*Assumptions!$B$11/$E$2*(1-Assumptions!$B$30)))</f>
        <v>0</v>
      </c>
      <c r="V528" s="22">
        <f>(N528-O528)*(1-Assumptions!$B$30)-Q528+U527*M527</f>
        <v>0</v>
      </c>
      <c r="W528" s="22">
        <f>W527*(1+Assumptions!$B$36)^(1/12)</f>
        <v>1.5352502866259534</v>
      </c>
      <c r="X528" s="19">
        <f>IF(B528&gt;$K$2,0,W527*Assumptions!$B$32/12*M527+V528*Assumptions!$B$34/12)</f>
        <v>0</v>
      </c>
      <c r="Y528" s="20">
        <f>1/(1+HLOOKUP(YEAR(A528),Assumptions!$A$41:$AL$43,3,TRUE))^(1/12)</f>
        <v>0.99757644752594421</v>
      </c>
      <c r="Z528" s="22">
        <f t="shared" si="125"/>
        <v>0</v>
      </c>
      <c r="AA528">
        <f t="shared" si="126"/>
        <v>0</v>
      </c>
    </row>
    <row r="529" spans="1:27" x14ac:dyDescent="0.2">
      <c r="A529" s="2">
        <f t="shared" si="129"/>
        <v>58865</v>
      </c>
      <c r="B529">
        <f t="shared" si="128"/>
        <v>610</v>
      </c>
      <c r="C529" s="22">
        <f t="shared" si="116"/>
        <v>50.75</v>
      </c>
      <c r="D529" s="22">
        <f t="shared" si="117"/>
        <v>0</v>
      </c>
      <c r="E529" s="22">
        <f t="shared" si="127"/>
        <v>105</v>
      </c>
      <c r="F529" s="22">
        <f>IF(C529&gt;=$J$2,0,VLOOKUP($E529,'Mortality Table'!$A$3:$C$128,2+G$2,FALSE))</f>
        <v>0</v>
      </c>
      <c r="G529">
        <f>F529*Assumptions!$B$1</f>
        <v>0</v>
      </c>
      <c r="H529">
        <f t="shared" si="118"/>
        <v>0</v>
      </c>
      <c r="I529" s="22">
        <f>HLOOKUP(C529,Assumptions!$A$6:$J$7,2,TRUE)</f>
        <v>2.6499999999999999E-2</v>
      </c>
      <c r="J529" s="22">
        <f t="shared" si="119"/>
        <v>0</v>
      </c>
      <c r="K529" s="22">
        <f t="shared" si="120"/>
        <v>0</v>
      </c>
      <c r="L529" s="22">
        <f t="shared" si="121"/>
        <v>0</v>
      </c>
      <c r="M529" s="22">
        <f t="shared" si="122"/>
        <v>0</v>
      </c>
      <c r="N529" s="22">
        <f>M528*Assumptions!$B$11/$E$2*J529</f>
        <v>0</v>
      </c>
      <c r="O529" s="22">
        <f>M528*Assumptions!$B$13/$E$2*J529</f>
        <v>0</v>
      </c>
      <c r="P529" s="22">
        <f>H529*Assumptions!$B$15</f>
        <v>0</v>
      </c>
      <c r="Q529" s="22">
        <f>O529*Assumptions!$B$17</f>
        <v>0</v>
      </c>
      <c r="R529" s="22">
        <f>HLOOKUP(B529,Assumptions!$A$26:$D$27,2,TRUE)</f>
        <v>0</v>
      </c>
      <c r="S529">
        <f t="shared" si="123"/>
        <v>0</v>
      </c>
      <c r="T529">
        <f t="shared" si="124"/>
        <v>0.75</v>
      </c>
      <c r="U529">
        <f>IF(B529&gt;$K$2,0,IF(T530=0,0,(1-T530)*Assumptions!$B$11/$E$2*(1-Assumptions!$B$30)))</f>
        <v>0</v>
      </c>
      <c r="V529" s="22">
        <f>(N529-O529)*(1-Assumptions!$B$30)-Q529+U528*M528</f>
        <v>0</v>
      </c>
      <c r="W529" s="22">
        <f>W528*(1+Assumptions!$B$36)^(1/12)</f>
        <v>1.5365238352537705</v>
      </c>
      <c r="X529" s="19">
        <f>IF(B529&gt;$K$2,0,W528*Assumptions!$B$32/12*M528+V529*Assumptions!$B$34/12)</f>
        <v>0</v>
      </c>
      <c r="Y529" s="20">
        <f>1/(1+HLOOKUP(YEAR(A529),Assumptions!$A$41:$AL$43,3,TRUE))^(1/12)</f>
        <v>0.99757644752594421</v>
      </c>
      <c r="Z529" s="22">
        <f t="shared" si="125"/>
        <v>0</v>
      </c>
      <c r="AA529">
        <f t="shared" si="126"/>
        <v>0</v>
      </c>
    </row>
    <row r="530" spans="1:27" x14ac:dyDescent="0.2">
      <c r="A530" s="2">
        <f t="shared" si="129"/>
        <v>58896</v>
      </c>
      <c r="B530">
        <f t="shared" si="128"/>
        <v>611</v>
      </c>
      <c r="C530" s="22">
        <f t="shared" si="116"/>
        <v>50.833333333333336</v>
      </c>
      <c r="D530" s="22">
        <f t="shared" si="117"/>
        <v>0</v>
      </c>
      <c r="E530" s="22">
        <f t="shared" si="127"/>
        <v>105</v>
      </c>
      <c r="F530" s="22">
        <f>IF(C530&gt;=$J$2,0,VLOOKUP($E530,'Mortality Table'!$A$3:$C$128,2+G$2,FALSE))</f>
        <v>0</v>
      </c>
      <c r="G530">
        <f>F530*Assumptions!$B$1</f>
        <v>0</v>
      </c>
      <c r="H530">
        <f t="shared" si="118"/>
        <v>0</v>
      </c>
      <c r="I530" s="22">
        <f>HLOOKUP(C530,Assumptions!$A$6:$J$7,2,TRUE)</f>
        <v>2.6499999999999999E-2</v>
      </c>
      <c r="J530" s="22">
        <f t="shared" si="119"/>
        <v>0</v>
      </c>
      <c r="K530" s="22">
        <f t="shared" si="120"/>
        <v>0</v>
      </c>
      <c r="L530" s="22">
        <f t="shared" si="121"/>
        <v>0</v>
      </c>
      <c r="M530" s="22">
        <f t="shared" si="122"/>
        <v>0</v>
      </c>
      <c r="N530" s="22">
        <f>M529*Assumptions!$B$11/$E$2*J530</f>
        <v>0</v>
      </c>
      <c r="O530" s="22">
        <f>M529*Assumptions!$B$13/$E$2*J530</f>
        <v>0</v>
      </c>
      <c r="P530" s="22">
        <f>H530*Assumptions!$B$15</f>
        <v>0</v>
      </c>
      <c r="Q530" s="22">
        <f>O530*Assumptions!$B$17</f>
        <v>0</v>
      </c>
      <c r="R530" s="22">
        <f>HLOOKUP(B530,Assumptions!$A$26:$D$27,2,TRUE)</f>
        <v>0</v>
      </c>
      <c r="S530">
        <f t="shared" si="123"/>
        <v>0</v>
      </c>
      <c r="T530">
        <f t="shared" si="124"/>
        <v>0.8333333333333357</v>
      </c>
      <c r="U530">
        <f>IF(B530&gt;$K$2,0,IF(T531=0,0,(1-T531)*Assumptions!$B$11/$E$2*(1-Assumptions!$B$30)))</f>
        <v>0</v>
      </c>
      <c r="V530" s="22">
        <f>(N530-O530)*(1-Assumptions!$B$30)-Q530+U529*M529</f>
        <v>0</v>
      </c>
      <c r="W530" s="22">
        <f>W529*(1+Assumptions!$B$36)^(1/12)</f>
        <v>1.5377984403387148</v>
      </c>
      <c r="X530" s="19">
        <f>IF(B530&gt;$K$2,0,W529*Assumptions!$B$32/12*M529+V530*Assumptions!$B$34/12)</f>
        <v>0</v>
      </c>
      <c r="Y530" s="20">
        <f>1/(1+HLOOKUP(YEAR(A530),Assumptions!$A$41:$AL$43,3,TRUE))^(1/12)</f>
        <v>0.99757644752594421</v>
      </c>
      <c r="Z530" s="22">
        <f t="shared" si="125"/>
        <v>0</v>
      </c>
      <c r="AA530">
        <f t="shared" si="126"/>
        <v>0</v>
      </c>
    </row>
    <row r="531" spans="1:27" x14ac:dyDescent="0.2">
      <c r="A531" s="2">
        <f t="shared" si="129"/>
        <v>58926</v>
      </c>
      <c r="B531">
        <f t="shared" si="128"/>
        <v>612</v>
      </c>
      <c r="C531" s="22">
        <f t="shared" si="116"/>
        <v>50.916666666666664</v>
      </c>
      <c r="D531" s="22">
        <f t="shared" si="117"/>
        <v>0</v>
      </c>
      <c r="E531" s="22">
        <f t="shared" si="127"/>
        <v>105</v>
      </c>
      <c r="F531" s="22">
        <f>IF(C531&gt;=$J$2,0,VLOOKUP($E531,'Mortality Table'!$A$3:$C$128,2+G$2,FALSE))</f>
        <v>0</v>
      </c>
      <c r="G531">
        <f>F531*Assumptions!$B$1</f>
        <v>0</v>
      </c>
      <c r="H531">
        <f t="shared" si="118"/>
        <v>0</v>
      </c>
      <c r="I531" s="22">
        <f>HLOOKUP(C531,Assumptions!$A$6:$J$7,2,TRUE)</f>
        <v>2.6499999999999999E-2</v>
      </c>
      <c r="J531" s="22">
        <f t="shared" si="119"/>
        <v>0</v>
      </c>
      <c r="K531" s="22">
        <f t="shared" si="120"/>
        <v>0</v>
      </c>
      <c r="L531" s="22">
        <f t="shared" si="121"/>
        <v>0</v>
      </c>
      <c r="M531" s="22">
        <f t="shared" si="122"/>
        <v>0</v>
      </c>
      <c r="N531" s="22">
        <f>M530*Assumptions!$B$11/$E$2*J531</f>
        <v>0</v>
      </c>
      <c r="O531" s="22">
        <f>M530*Assumptions!$B$13/$E$2*J531</f>
        <v>0</v>
      </c>
      <c r="P531" s="22">
        <f>H531*Assumptions!$B$15</f>
        <v>0</v>
      </c>
      <c r="Q531" s="22">
        <f>O531*Assumptions!$B$17</f>
        <v>0</v>
      </c>
      <c r="R531" s="22">
        <f>HLOOKUP(B531,Assumptions!$A$26:$D$27,2,TRUE)</f>
        <v>0</v>
      </c>
      <c r="S531">
        <f t="shared" si="123"/>
        <v>0</v>
      </c>
      <c r="T531">
        <f t="shared" si="124"/>
        <v>0.9166666666666643</v>
      </c>
      <c r="U531">
        <f>IF(B531&gt;$K$2,0,IF(T532=0,0,(1-T532)*Assumptions!$B$11/$E$2*(1-Assumptions!$B$30)))</f>
        <v>0</v>
      </c>
      <c r="V531" s="22">
        <f>(N531-O531)*(1-Assumptions!$B$30)-Q531+U530*M530</f>
        <v>0</v>
      </c>
      <c r="W531" s="22">
        <f>W530*(1+Assumptions!$B$36)^(1/12)</f>
        <v>1.5390741027571579</v>
      </c>
      <c r="X531" s="19">
        <f>IF(B531&gt;$K$2,0,W530*Assumptions!$B$32/12*M530+V531*Assumptions!$B$34/12)</f>
        <v>0</v>
      </c>
      <c r="Y531" s="20">
        <f>1/(1+HLOOKUP(YEAR(A531),Assumptions!$A$41:$AL$43,3,TRUE))^(1/12)</f>
        <v>0.99757644752594421</v>
      </c>
      <c r="Z531" s="22">
        <f t="shared" si="125"/>
        <v>0</v>
      </c>
      <c r="AA531">
        <f t="shared" si="126"/>
        <v>0</v>
      </c>
    </row>
    <row r="532" spans="1:27" x14ac:dyDescent="0.2">
      <c r="A532" s="2">
        <f t="shared" si="129"/>
        <v>58957</v>
      </c>
      <c r="B532">
        <f t="shared" si="128"/>
        <v>613</v>
      </c>
      <c r="C532" s="22">
        <f t="shared" si="116"/>
        <v>51</v>
      </c>
      <c r="D532" s="22">
        <f t="shared" si="117"/>
        <v>1</v>
      </c>
      <c r="E532" s="22">
        <f t="shared" si="127"/>
        <v>106</v>
      </c>
      <c r="F532" s="22">
        <f>IF(C532&gt;=$J$2,0,VLOOKUP($E532,'Mortality Table'!$A$3:$C$128,2+G$2,FALSE))</f>
        <v>0</v>
      </c>
      <c r="G532">
        <f>F532*Assumptions!$B$1</f>
        <v>0</v>
      </c>
      <c r="H532">
        <f t="shared" si="118"/>
        <v>0</v>
      </c>
      <c r="I532" s="22">
        <f>HLOOKUP(C532,Assumptions!$A$6:$J$7,2,TRUE)</f>
        <v>2.6499999999999999E-2</v>
      </c>
      <c r="J532" s="22">
        <f t="shared" si="119"/>
        <v>0</v>
      </c>
      <c r="K532" s="22">
        <f t="shared" si="120"/>
        <v>0</v>
      </c>
      <c r="L532" s="22">
        <f t="shared" si="121"/>
        <v>0</v>
      </c>
      <c r="M532" s="22">
        <f t="shared" si="122"/>
        <v>0</v>
      </c>
      <c r="N532" s="22">
        <f>M531*Assumptions!$B$11/$E$2*J532</f>
        <v>0</v>
      </c>
      <c r="O532" s="22">
        <f>M531*Assumptions!$B$13/$E$2*J532</f>
        <v>0</v>
      </c>
      <c r="P532" s="22">
        <f>H532*Assumptions!$B$15</f>
        <v>0</v>
      </c>
      <c r="Q532" s="22">
        <f>O532*Assumptions!$B$17</f>
        <v>0</v>
      </c>
      <c r="R532" s="22">
        <f>HLOOKUP(B532,Assumptions!$A$26:$D$27,2,TRUE)</f>
        <v>0</v>
      </c>
      <c r="S532">
        <f t="shared" si="123"/>
        <v>0</v>
      </c>
      <c r="T532">
        <f t="shared" si="124"/>
        <v>0</v>
      </c>
      <c r="U532">
        <f>IF(B532&gt;$K$2,0,IF(T533=0,0,(1-T533)*Assumptions!$B$11/$E$2*(1-Assumptions!$B$30)))</f>
        <v>0</v>
      </c>
      <c r="V532" s="22">
        <f>(N532-O532)*(1-Assumptions!$B$30)-Q532+U531*M531</f>
        <v>0</v>
      </c>
      <c r="W532" s="22">
        <f>W531*(1+Assumptions!$B$36)^(1/12)</f>
        <v>1.5403508233861982</v>
      </c>
      <c r="X532" s="19">
        <f>IF(B532&gt;$K$2,0,W531*Assumptions!$B$32/12*M531+V532*Assumptions!$B$34/12)</f>
        <v>0</v>
      </c>
      <c r="Y532" s="20">
        <f>1/(1+HLOOKUP(YEAR(A532),Assumptions!$A$41:$AL$43,3,TRUE))^(1/12)</f>
        <v>0.99757644752594421</v>
      </c>
      <c r="Z532" s="22">
        <f t="shared" si="125"/>
        <v>0</v>
      </c>
      <c r="AA532">
        <f t="shared" si="126"/>
        <v>0</v>
      </c>
    </row>
    <row r="533" spans="1:27" x14ac:dyDescent="0.2">
      <c r="A533" s="2">
        <f t="shared" si="129"/>
        <v>58987</v>
      </c>
      <c r="B533">
        <f t="shared" si="128"/>
        <v>614</v>
      </c>
      <c r="C533" s="22">
        <f t="shared" si="116"/>
        <v>51.083333333333336</v>
      </c>
      <c r="D533" s="22">
        <f t="shared" si="117"/>
        <v>0</v>
      </c>
      <c r="E533" s="22">
        <f t="shared" si="127"/>
        <v>106</v>
      </c>
      <c r="F533" s="22">
        <f>IF(C533&gt;=$J$2,0,VLOOKUP($E533,'Mortality Table'!$A$3:$C$128,2+G$2,FALSE))</f>
        <v>0</v>
      </c>
      <c r="G533">
        <f>F533*Assumptions!$B$1</f>
        <v>0</v>
      </c>
      <c r="H533">
        <f t="shared" si="118"/>
        <v>0</v>
      </c>
      <c r="I533" s="22">
        <f>HLOOKUP(C533,Assumptions!$A$6:$J$7,2,TRUE)</f>
        <v>2.6499999999999999E-2</v>
      </c>
      <c r="J533" s="22">
        <f t="shared" si="119"/>
        <v>0</v>
      </c>
      <c r="K533" s="22">
        <f t="shared" si="120"/>
        <v>0</v>
      </c>
      <c r="L533" s="22">
        <f t="shared" si="121"/>
        <v>0</v>
      </c>
      <c r="M533" s="22">
        <f t="shared" si="122"/>
        <v>0</v>
      </c>
      <c r="N533" s="22">
        <f>M532*Assumptions!$B$11/$E$2*J533</f>
        <v>0</v>
      </c>
      <c r="O533" s="22">
        <f>M532*Assumptions!$B$13/$E$2*J533</f>
        <v>0</v>
      </c>
      <c r="P533" s="22">
        <f>H533*Assumptions!$B$15</f>
        <v>0</v>
      </c>
      <c r="Q533" s="22">
        <f>O533*Assumptions!$B$17</f>
        <v>0</v>
      </c>
      <c r="R533" s="22">
        <f>HLOOKUP(B533,Assumptions!$A$26:$D$27,2,TRUE)</f>
        <v>0</v>
      </c>
      <c r="S533">
        <f t="shared" si="123"/>
        <v>0</v>
      </c>
      <c r="T533">
        <f t="shared" si="124"/>
        <v>8.3333333333335702E-2</v>
      </c>
      <c r="U533">
        <f>IF(B533&gt;$K$2,0,IF(T534=0,0,(1-T534)*Assumptions!$B$11/$E$2*(1-Assumptions!$B$30)))</f>
        <v>0</v>
      </c>
      <c r="V533" s="22">
        <f>(N533-O533)*(1-Assumptions!$B$30)-Q533+U532*M532</f>
        <v>0</v>
      </c>
      <c r="W533" s="22">
        <f>W532*(1+Assumptions!$B$36)^(1/12)</f>
        <v>1.5416286031036615</v>
      </c>
      <c r="X533" s="19">
        <f>IF(B533&gt;$K$2,0,W532*Assumptions!$B$32/12*M532+V533*Assumptions!$B$34/12)</f>
        <v>0</v>
      </c>
      <c r="Y533" s="20">
        <f>1/(1+HLOOKUP(YEAR(A533),Assumptions!$A$41:$AL$43,3,TRUE))^(1/12)</f>
        <v>0.99757644752594421</v>
      </c>
      <c r="Z533" s="22">
        <f t="shared" si="125"/>
        <v>0</v>
      </c>
      <c r="AA533">
        <f t="shared" si="126"/>
        <v>0</v>
      </c>
    </row>
    <row r="534" spans="1:27" x14ac:dyDescent="0.2">
      <c r="A534" s="2">
        <f t="shared" si="129"/>
        <v>59018</v>
      </c>
      <c r="B534">
        <f t="shared" si="128"/>
        <v>615</v>
      </c>
      <c r="C534" s="22">
        <f t="shared" si="116"/>
        <v>51.166666666666664</v>
      </c>
      <c r="D534" s="22">
        <f t="shared" si="117"/>
        <v>0</v>
      </c>
      <c r="E534" s="22">
        <f t="shared" si="127"/>
        <v>106</v>
      </c>
      <c r="F534" s="22">
        <f>IF(C534&gt;=$J$2,0,VLOOKUP($E534,'Mortality Table'!$A$3:$C$128,2+G$2,FALSE))</f>
        <v>0</v>
      </c>
      <c r="G534">
        <f>F534*Assumptions!$B$1</f>
        <v>0</v>
      </c>
      <c r="H534">
        <f t="shared" si="118"/>
        <v>0</v>
      </c>
      <c r="I534" s="22">
        <f>HLOOKUP(C534,Assumptions!$A$6:$J$7,2,TRUE)</f>
        <v>2.6499999999999999E-2</v>
      </c>
      <c r="J534" s="22">
        <f t="shared" si="119"/>
        <v>0</v>
      </c>
      <c r="K534" s="22">
        <f t="shared" si="120"/>
        <v>0</v>
      </c>
      <c r="L534" s="22">
        <f t="shared" si="121"/>
        <v>0</v>
      </c>
      <c r="M534" s="22">
        <f t="shared" si="122"/>
        <v>0</v>
      </c>
      <c r="N534" s="22">
        <f>M533*Assumptions!$B$11/$E$2*J534</f>
        <v>0</v>
      </c>
      <c r="O534" s="22">
        <f>M533*Assumptions!$B$13/$E$2*J534</f>
        <v>0</v>
      </c>
      <c r="P534" s="22">
        <f>H534*Assumptions!$B$15</f>
        <v>0</v>
      </c>
      <c r="Q534" s="22">
        <f>O534*Assumptions!$B$17</f>
        <v>0</v>
      </c>
      <c r="R534" s="22">
        <f>HLOOKUP(B534,Assumptions!$A$26:$D$27,2,TRUE)</f>
        <v>0</v>
      </c>
      <c r="S534">
        <f t="shared" si="123"/>
        <v>0</v>
      </c>
      <c r="T534">
        <f t="shared" si="124"/>
        <v>0.1666666666666643</v>
      </c>
      <c r="U534">
        <f>IF(B534&gt;$K$2,0,IF(T535=0,0,(1-T535)*Assumptions!$B$11/$E$2*(1-Assumptions!$B$30)))</f>
        <v>0</v>
      </c>
      <c r="V534" s="22">
        <f>(N534-O534)*(1-Assumptions!$B$30)-Q534+U533*M533</f>
        <v>0</v>
      </c>
      <c r="W534" s="22">
        <f>W533*(1+Assumptions!$B$36)^(1/12)</f>
        <v>1.5429074427881022</v>
      </c>
      <c r="X534" s="19">
        <f>IF(B534&gt;$K$2,0,W533*Assumptions!$B$32/12*M533+V534*Assumptions!$B$34/12)</f>
        <v>0</v>
      </c>
      <c r="Y534" s="20">
        <f>1/(1+HLOOKUP(YEAR(A534),Assumptions!$A$41:$AL$43,3,TRUE))^(1/12)</f>
        <v>0.99757644752594421</v>
      </c>
      <c r="Z534" s="22">
        <f t="shared" si="125"/>
        <v>0</v>
      </c>
      <c r="AA534">
        <f t="shared" si="126"/>
        <v>0</v>
      </c>
    </row>
    <row r="535" spans="1:27" x14ac:dyDescent="0.2">
      <c r="A535" s="2">
        <f t="shared" si="129"/>
        <v>59049</v>
      </c>
      <c r="B535">
        <f t="shared" si="128"/>
        <v>616</v>
      </c>
      <c r="C535" s="22">
        <f t="shared" si="116"/>
        <v>51.25</v>
      </c>
      <c r="D535" s="22">
        <f t="shared" si="117"/>
        <v>0</v>
      </c>
      <c r="E535" s="22">
        <f t="shared" si="127"/>
        <v>106</v>
      </c>
      <c r="F535" s="22">
        <f>IF(C535&gt;=$J$2,0,VLOOKUP($E535,'Mortality Table'!$A$3:$C$128,2+G$2,FALSE))</f>
        <v>0</v>
      </c>
      <c r="G535">
        <f>F535*Assumptions!$B$1</f>
        <v>0</v>
      </c>
      <c r="H535">
        <f t="shared" si="118"/>
        <v>0</v>
      </c>
      <c r="I535" s="22">
        <f>HLOOKUP(C535,Assumptions!$A$6:$J$7,2,TRUE)</f>
        <v>2.6499999999999999E-2</v>
      </c>
      <c r="J535" s="22">
        <f t="shared" si="119"/>
        <v>0</v>
      </c>
      <c r="K535" s="22">
        <f t="shared" si="120"/>
        <v>0</v>
      </c>
      <c r="L535" s="22">
        <f t="shared" si="121"/>
        <v>0</v>
      </c>
      <c r="M535" s="22">
        <f t="shared" si="122"/>
        <v>0</v>
      </c>
      <c r="N535" s="22">
        <f>M534*Assumptions!$B$11/$E$2*J535</f>
        <v>0</v>
      </c>
      <c r="O535" s="22">
        <f>M534*Assumptions!$B$13/$E$2*J535</f>
        <v>0</v>
      </c>
      <c r="P535" s="22">
        <f>H535*Assumptions!$B$15</f>
        <v>0</v>
      </c>
      <c r="Q535" s="22">
        <f>O535*Assumptions!$B$17</f>
        <v>0</v>
      </c>
      <c r="R535" s="22">
        <f>HLOOKUP(B535,Assumptions!$A$26:$D$27,2,TRUE)</f>
        <v>0</v>
      </c>
      <c r="S535">
        <f t="shared" si="123"/>
        <v>0</v>
      </c>
      <c r="T535">
        <f t="shared" si="124"/>
        <v>0.25</v>
      </c>
      <c r="U535">
        <f>IF(B535&gt;$K$2,0,IF(T536=0,0,(1-T536)*Assumptions!$B$11/$E$2*(1-Assumptions!$B$30)))</f>
        <v>0</v>
      </c>
      <c r="V535" s="22">
        <f>(N535-O535)*(1-Assumptions!$B$30)-Q535+U534*M534</f>
        <v>0</v>
      </c>
      <c r="W535" s="22">
        <f>W534*(1+Assumptions!$B$36)^(1/12)</f>
        <v>1.5441873433188034</v>
      </c>
      <c r="X535" s="19">
        <f>IF(B535&gt;$K$2,0,W534*Assumptions!$B$32/12*M534+V535*Assumptions!$B$34/12)</f>
        <v>0</v>
      </c>
      <c r="Y535" s="20">
        <f>1/(1+HLOOKUP(YEAR(A535),Assumptions!$A$41:$AL$43,3,TRUE))^(1/12)</f>
        <v>0.99757644752594421</v>
      </c>
      <c r="Z535" s="22">
        <f t="shared" si="125"/>
        <v>0</v>
      </c>
      <c r="AA535">
        <f t="shared" si="126"/>
        <v>0</v>
      </c>
    </row>
    <row r="536" spans="1:27" x14ac:dyDescent="0.2">
      <c r="A536" s="2">
        <f t="shared" si="129"/>
        <v>59079</v>
      </c>
      <c r="B536">
        <f t="shared" si="128"/>
        <v>617</v>
      </c>
      <c r="C536" s="22">
        <f t="shared" si="116"/>
        <v>51.333333333333336</v>
      </c>
      <c r="D536" s="22">
        <f t="shared" si="117"/>
        <v>0</v>
      </c>
      <c r="E536" s="22">
        <f t="shared" si="127"/>
        <v>106</v>
      </c>
      <c r="F536" s="22">
        <f>IF(C536&gt;=$J$2,0,VLOOKUP($E536,'Mortality Table'!$A$3:$C$128,2+G$2,FALSE))</f>
        <v>0</v>
      </c>
      <c r="G536">
        <f>F536*Assumptions!$B$1</f>
        <v>0</v>
      </c>
      <c r="H536">
        <f t="shared" si="118"/>
        <v>0</v>
      </c>
      <c r="I536" s="22">
        <f>HLOOKUP(C536,Assumptions!$A$6:$J$7,2,TRUE)</f>
        <v>2.6499999999999999E-2</v>
      </c>
      <c r="J536" s="22">
        <f t="shared" si="119"/>
        <v>0</v>
      </c>
      <c r="K536" s="22">
        <f t="shared" si="120"/>
        <v>0</v>
      </c>
      <c r="L536" s="22">
        <f t="shared" si="121"/>
        <v>0</v>
      </c>
      <c r="M536" s="22">
        <f t="shared" si="122"/>
        <v>0</v>
      </c>
      <c r="N536" s="22">
        <f>M535*Assumptions!$B$11/$E$2*J536</f>
        <v>0</v>
      </c>
      <c r="O536" s="22">
        <f>M535*Assumptions!$B$13/$E$2*J536</f>
        <v>0</v>
      </c>
      <c r="P536" s="22">
        <f>H536*Assumptions!$B$15</f>
        <v>0</v>
      </c>
      <c r="Q536" s="22">
        <f>O536*Assumptions!$B$17</f>
        <v>0</v>
      </c>
      <c r="R536" s="22">
        <f>HLOOKUP(B536,Assumptions!$A$26:$D$27,2,TRUE)</f>
        <v>0</v>
      </c>
      <c r="S536">
        <f t="shared" si="123"/>
        <v>0</v>
      </c>
      <c r="T536">
        <f t="shared" si="124"/>
        <v>0.3333333333333357</v>
      </c>
      <c r="U536">
        <f>IF(B536&gt;$K$2,0,IF(T537=0,0,(1-T537)*Assumptions!$B$11/$E$2*(1-Assumptions!$B$30)))</f>
        <v>0</v>
      </c>
      <c r="V536" s="22">
        <f>(N536-O536)*(1-Assumptions!$B$30)-Q536+U535*M535</f>
        <v>0</v>
      </c>
      <c r="W536" s="22">
        <f>W535*(1+Assumptions!$B$36)^(1/12)</f>
        <v>1.5454683055757772</v>
      </c>
      <c r="X536" s="19">
        <f>IF(B536&gt;$K$2,0,W535*Assumptions!$B$32/12*M535+V536*Assumptions!$B$34/12)</f>
        <v>0</v>
      </c>
      <c r="Y536" s="20">
        <f>1/(1+HLOOKUP(YEAR(A536),Assumptions!$A$41:$AL$43,3,TRUE))^(1/12)</f>
        <v>0.99757644752594421</v>
      </c>
      <c r="Z536" s="22">
        <f t="shared" si="125"/>
        <v>0</v>
      </c>
      <c r="AA536">
        <f t="shared" si="126"/>
        <v>0</v>
      </c>
    </row>
    <row r="537" spans="1:27" x14ac:dyDescent="0.2">
      <c r="A537" s="2">
        <f t="shared" si="129"/>
        <v>59110</v>
      </c>
      <c r="B537">
        <f t="shared" si="128"/>
        <v>618</v>
      </c>
      <c r="C537" s="22">
        <f t="shared" si="116"/>
        <v>51.416666666666664</v>
      </c>
      <c r="D537" s="22">
        <f t="shared" si="117"/>
        <v>0</v>
      </c>
      <c r="E537" s="22">
        <f t="shared" si="127"/>
        <v>106</v>
      </c>
      <c r="F537" s="22">
        <f>IF(C537&gt;=$J$2,0,VLOOKUP($E537,'Mortality Table'!$A$3:$C$128,2+G$2,FALSE))</f>
        <v>0</v>
      </c>
      <c r="G537">
        <f>F537*Assumptions!$B$1</f>
        <v>0</v>
      </c>
      <c r="H537">
        <f t="shared" si="118"/>
        <v>0</v>
      </c>
      <c r="I537" s="22">
        <f>HLOOKUP(C537,Assumptions!$A$6:$J$7,2,TRUE)</f>
        <v>2.6499999999999999E-2</v>
      </c>
      <c r="J537" s="22">
        <f t="shared" si="119"/>
        <v>0</v>
      </c>
      <c r="K537" s="22">
        <f t="shared" si="120"/>
        <v>0</v>
      </c>
      <c r="L537" s="22">
        <f t="shared" si="121"/>
        <v>0</v>
      </c>
      <c r="M537" s="22">
        <f t="shared" si="122"/>
        <v>0</v>
      </c>
      <c r="N537" s="22">
        <f>M536*Assumptions!$B$11/$E$2*J537</f>
        <v>0</v>
      </c>
      <c r="O537" s="22">
        <f>M536*Assumptions!$B$13/$E$2*J537</f>
        <v>0</v>
      </c>
      <c r="P537" s="22">
        <f>H537*Assumptions!$B$15</f>
        <v>0</v>
      </c>
      <c r="Q537" s="22">
        <f>O537*Assumptions!$B$17</f>
        <v>0</v>
      </c>
      <c r="R537" s="22">
        <f>HLOOKUP(B537,Assumptions!$A$26:$D$27,2,TRUE)</f>
        <v>0</v>
      </c>
      <c r="S537">
        <f t="shared" si="123"/>
        <v>0</v>
      </c>
      <c r="T537">
        <f t="shared" si="124"/>
        <v>0.4166666666666643</v>
      </c>
      <c r="U537">
        <f>IF(B537&gt;$K$2,0,IF(T538=0,0,(1-T538)*Assumptions!$B$11/$E$2*(1-Assumptions!$B$30)))</f>
        <v>0</v>
      </c>
      <c r="V537" s="22">
        <f>(N537-O537)*(1-Assumptions!$B$30)-Q537+U536*M536</f>
        <v>0</v>
      </c>
      <c r="W537" s="22">
        <f>W536*(1+Assumptions!$B$36)^(1/12)</f>
        <v>1.5467503304397663</v>
      </c>
      <c r="X537" s="19">
        <f>IF(B537&gt;$K$2,0,W536*Assumptions!$B$32/12*M536+V537*Assumptions!$B$34/12)</f>
        <v>0</v>
      </c>
      <c r="Y537" s="20">
        <f>1/(1+HLOOKUP(YEAR(A537),Assumptions!$A$41:$AL$43,3,TRUE))^(1/12)</f>
        <v>0.99757644752594421</v>
      </c>
      <c r="Z537" s="22">
        <f t="shared" si="125"/>
        <v>0</v>
      </c>
      <c r="AA537">
        <f t="shared" si="126"/>
        <v>0</v>
      </c>
    </row>
    <row r="538" spans="1:27" x14ac:dyDescent="0.2">
      <c r="A538" s="2">
        <f t="shared" si="129"/>
        <v>59140</v>
      </c>
      <c r="B538">
        <f t="shared" si="128"/>
        <v>619</v>
      </c>
      <c r="C538" s="22">
        <f t="shared" si="116"/>
        <v>51.5</v>
      </c>
      <c r="D538" s="22">
        <f t="shared" si="117"/>
        <v>0</v>
      </c>
      <c r="E538" s="22">
        <f t="shared" si="127"/>
        <v>106</v>
      </c>
      <c r="F538" s="22">
        <f>IF(C538&gt;=$J$2,0,VLOOKUP($E538,'Mortality Table'!$A$3:$C$128,2+G$2,FALSE))</f>
        <v>0</v>
      </c>
      <c r="G538">
        <f>F538*Assumptions!$B$1</f>
        <v>0</v>
      </c>
      <c r="H538">
        <f t="shared" si="118"/>
        <v>0</v>
      </c>
      <c r="I538" s="22">
        <f>HLOOKUP(C538,Assumptions!$A$6:$J$7,2,TRUE)</f>
        <v>2.6499999999999999E-2</v>
      </c>
      <c r="J538" s="22">
        <f t="shared" si="119"/>
        <v>0</v>
      </c>
      <c r="K538" s="22">
        <f t="shared" si="120"/>
        <v>0</v>
      </c>
      <c r="L538" s="22">
        <f t="shared" si="121"/>
        <v>0</v>
      </c>
      <c r="M538" s="22">
        <f t="shared" si="122"/>
        <v>0</v>
      </c>
      <c r="N538" s="22">
        <f>M537*Assumptions!$B$11/$E$2*J538</f>
        <v>0</v>
      </c>
      <c r="O538" s="22">
        <f>M537*Assumptions!$B$13/$E$2*J538</f>
        <v>0</v>
      </c>
      <c r="P538" s="22">
        <f>H538*Assumptions!$B$15</f>
        <v>0</v>
      </c>
      <c r="Q538" s="22">
        <f>O538*Assumptions!$B$17</f>
        <v>0</v>
      </c>
      <c r="R538" s="22">
        <f>HLOOKUP(B538,Assumptions!$A$26:$D$27,2,TRUE)</f>
        <v>0</v>
      </c>
      <c r="S538">
        <f t="shared" si="123"/>
        <v>0</v>
      </c>
      <c r="T538">
        <f t="shared" si="124"/>
        <v>0.5</v>
      </c>
      <c r="U538">
        <f>IF(B538&gt;$K$2,0,IF(T539=0,0,(1-T539)*Assumptions!$B$11/$E$2*(1-Assumptions!$B$30)))</f>
        <v>0</v>
      </c>
      <c r="V538" s="22">
        <f>(N538-O538)*(1-Assumptions!$B$30)-Q538+U537*M537</f>
        <v>0</v>
      </c>
      <c r="W538" s="22">
        <f>W537*(1+Assumptions!$B$36)^(1/12)</f>
        <v>1.5480334187922435</v>
      </c>
      <c r="X538" s="19">
        <f>IF(B538&gt;$K$2,0,W537*Assumptions!$B$32/12*M537+V538*Assumptions!$B$34/12)</f>
        <v>0</v>
      </c>
      <c r="Y538" s="20">
        <f>1/(1+HLOOKUP(YEAR(A538),Assumptions!$A$41:$AL$43,3,TRUE))^(1/12)</f>
        <v>0.99757644752594421</v>
      </c>
      <c r="Z538" s="22">
        <f t="shared" si="125"/>
        <v>0</v>
      </c>
      <c r="AA538">
        <f t="shared" si="126"/>
        <v>0</v>
      </c>
    </row>
    <row r="539" spans="1:27" x14ac:dyDescent="0.2">
      <c r="A539" s="2">
        <f t="shared" si="129"/>
        <v>59171</v>
      </c>
      <c r="B539">
        <f t="shared" si="128"/>
        <v>620</v>
      </c>
      <c r="C539" s="22">
        <f t="shared" si="116"/>
        <v>51.583333333333336</v>
      </c>
      <c r="D539" s="22">
        <f t="shared" si="117"/>
        <v>0</v>
      </c>
      <c r="E539" s="22">
        <f t="shared" si="127"/>
        <v>106</v>
      </c>
      <c r="F539" s="22">
        <f>IF(C539&gt;=$J$2,0,VLOOKUP($E539,'Mortality Table'!$A$3:$C$128,2+G$2,FALSE))</f>
        <v>0</v>
      </c>
      <c r="G539">
        <f>F539*Assumptions!$B$1</f>
        <v>0</v>
      </c>
      <c r="H539">
        <f t="shared" si="118"/>
        <v>0</v>
      </c>
      <c r="I539" s="22">
        <f>HLOOKUP(C539,Assumptions!$A$6:$J$7,2,TRUE)</f>
        <v>2.6499999999999999E-2</v>
      </c>
      <c r="J539" s="22">
        <f t="shared" si="119"/>
        <v>0</v>
      </c>
      <c r="K539" s="22">
        <f t="shared" si="120"/>
        <v>0</v>
      </c>
      <c r="L539" s="22">
        <f t="shared" si="121"/>
        <v>0</v>
      </c>
      <c r="M539" s="22">
        <f t="shared" si="122"/>
        <v>0</v>
      </c>
      <c r="N539" s="22">
        <f>M538*Assumptions!$B$11/$E$2*J539</f>
        <v>0</v>
      </c>
      <c r="O539" s="22">
        <f>M538*Assumptions!$B$13/$E$2*J539</f>
        <v>0</v>
      </c>
      <c r="P539" s="22">
        <f>H539*Assumptions!$B$15</f>
        <v>0</v>
      </c>
      <c r="Q539" s="22">
        <f>O539*Assumptions!$B$17</f>
        <v>0</v>
      </c>
      <c r="R539" s="22">
        <f>HLOOKUP(B539,Assumptions!$A$26:$D$27,2,TRUE)</f>
        <v>0</v>
      </c>
      <c r="S539">
        <f t="shared" si="123"/>
        <v>0</v>
      </c>
      <c r="T539">
        <f t="shared" si="124"/>
        <v>0.5833333333333357</v>
      </c>
      <c r="U539">
        <f>IF(B539&gt;$K$2,0,IF(T540=0,0,(1-T540)*Assumptions!$B$11/$E$2*(1-Assumptions!$B$30)))</f>
        <v>0</v>
      </c>
      <c r="V539" s="22">
        <f>(N539-O539)*(1-Assumptions!$B$30)-Q539+U538*M538</f>
        <v>0</v>
      </c>
      <c r="W539" s="22">
        <f>W538*(1+Assumptions!$B$36)^(1/12)</f>
        <v>1.5493175715154133</v>
      </c>
      <c r="X539" s="19">
        <f>IF(B539&gt;$K$2,0,W538*Assumptions!$B$32/12*M538+V539*Assumptions!$B$34/12)</f>
        <v>0</v>
      </c>
      <c r="Y539" s="20">
        <f>1/(1+HLOOKUP(YEAR(A539),Assumptions!$A$41:$AL$43,3,TRUE))^(1/12)</f>
        <v>0.99757644752594421</v>
      </c>
      <c r="Z539" s="22">
        <f t="shared" si="125"/>
        <v>0</v>
      </c>
      <c r="AA539">
        <f t="shared" si="126"/>
        <v>0</v>
      </c>
    </row>
    <row r="540" spans="1:27" x14ac:dyDescent="0.2">
      <c r="A540" s="2">
        <f t="shared" si="129"/>
        <v>59202</v>
      </c>
      <c r="B540">
        <f t="shared" si="128"/>
        <v>621</v>
      </c>
      <c r="C540" s="22">
        <f t="shared" si="116"/>
        <v>51.666666666666664</v>
      </c>
      <c r="D540" s="22">
        <f t="shared" si="117"/>
        <v>0</v>
      </c>
      <c r="E540" s="22">
        <f t="shared" si="127"/>
        <v>106</v>
      </c>
      <c r="F540" s="22">
        <f>IF(C540&gt;=$J$2,0,VLOOKUP($E540,'Mortality Table'!$A$3:$C$128,2+G$2,FALSE))</f>
        <v>0</v>
      </c>
      <c r="G540">
        <f>F540*Assumptions!$B$1</f>
        <v>0</v>
      </c>
      <c r="H540">
        <f t="shared" si="118"/>
        <v>0</v>
      </c>
      <c r="I540" s="22">
        <f>HLOOKUP(C540,Assumptions!$A$6:$J$7,2,TRUE)</f>
        <v>2.6499999999999999E-2</v>
      </c>
      <c r="J540" s="22">
        <f t="shared" si="119"/>
        <v>0</v>
      </c>
      <c r="K540" s="22">
        <f t="shared" si="120"/>
        <v>0</v>
      </c>
      <c r="L540" s="22">
        <f t="shared" si="121"/>
        <v>0</v>
      </c>
      <c r="M540" s="22">
        <f t="shared" si="122"/>
        <v>0</v>
      </c>
      <c r="N540" s="22">
        <f>M539*Assumptions!$B$11/$E$2*J540</f>
        <v>0</v>
      </c>
      <c r="O540" s="22">
        <f>M539*Assumptions!$B$13/$E$2*J540</f>
        <v>0</v>
      </c>
      <c r="P540" s="22">
        <f>H540*Assumptions!$B$15</f>
        <v>0</v>
      </c>
      <c r="Q540" s="22">
        <f>O540*Assumptions!$B$17</f>
        <v>0</v>
      </c>
      <c r="R540" s="22">
        <f>HLOOKUP(B540,Assumptions!$A$26:$D$27,2,TRUE)</f>
        <v>0</v>
      </c>
      <c r="S540">
        <f t="shared" si="123"/>
        <v>0</v>
      </c>
      <c r="T540">
        <f t="shared" si="124"/>
        <v>0.6666666666666643</v>
      </c>
      <c r="U540">
        <f>IF(B540&gt;$K$2,0,IF(T541=0,0,(1-T541)*Assumptions!$B$11/$E$2*(1-Assumptions!$B$30)))</f>
        <v>0</v>
      </c>
      <c r="V540" s="22">
        <f>(N540-O540)*(1-Assumptions!$B$30)-Q540+U539*M539</f>
        <v>0</v>
      </c>
      <c r="W540" s="22">
        <f>W539*(1+Assumptions!$B$36)^(1/12)</f>
        <v>1.5506027894922116</v>
      </c>
      <c r="X540" s="19">
        <f>IF(B540&gt;$K$2,0,W539*Assumptions!$B$32/12*M539+V540*Assumptions!$B$34/12)</f>
        <v>0</v>
      </c>
      <c r="Y540" s="20">
        <f>1/(1+HLOOKUP(YEAR(A540),Assumptions!$A$41:$AL$43,3,TRUE))^(1/12)</f>
        <v>0.99757644752594421</v>
      </c>
      <c r="Z540" s="22">
        <f t="shared" si="125"/>
        <v>0</v>
      </c>
      <c r="AA540">
        <f t="shared" si="126"/>
        <v>0</v>
      </c>
    </row>
    <row r="541" spans="1:27" x14ac:dyDescent="0.2">
      <c r="A541" s="2">
        <f t="shared" si="129"/>
        <v>59230</v>
      </c>
      <c r="B541">
        <f t="shared" si="128"/>
        <v>622</v>
      </c>
      <c r="C541" s="22">
        <f t="shared" si="116"/>
        <v>51.75</v>
      </c>
      <c r="D541" s="22">
        <f t="shared" si="117"/>
        <v>0</v>
      </c>
      <c r="E541" s="22">
        <f t="shared" si="127"/>
        <v>106</v>
      </c>
      <c r="F541" s="22">
        <f>IF(C541&gt;=$J$2,0,VLOOKUP($E541,'Mortality Table'!$A$3:$C$128,2+G$2,FALSE))</f>
        <v>0</v>
      </c>
      <c r="G541">
        <f>F541*Assumptions!$B$1</f>
        <v>0</v>
      </c>
      <c r="H541">
        <f t="shared" si="118"/>
        <v>0</v>
      </c>
      <c r="I541" s="22">
        <f>HLOOKUP(C541,Assumptions!$A$6:$J$7,2,TRUE)</f>
        <v>2.6499999999999999E-2</v>
      </c>
      <c r="J541" s="22">
        <f t="shared" si="119"/>
        <v>0</v>
      </c>
      <c r="K541" s="22">
        <f t="shared" si="120"/>
        <v>0</v>
      </c>
      <c r="L541" s="22">
        <f t="shared" si="121"/>
        <v>0</v>
      </c>
      <c r="M541" s="22">
        <f t="shared" si="122"/>
        <v>0</v>
      </c>
      <c r="N541" s="22">
        <f>M540*Assumptions!$B$11/$E$2*J541</f>
        <v>0</v>
      </c>
      <c r="O541" s="22">
        <f>M540*Assumptions!$B$13/$E$2*J541</f>
        <v>0</v>
      </c>
      <c r="P541" s="22">
        <f>H541*Assumptions!$B$15</f>
        <v>0</v>
      </c>
      <c r="Q541" s="22">
        <f>O541*Assumptions!$B$17</f>
        <v>0</v>
      </c>
      <c r="R541" s="22">
        <f>HLOOKUP(B541,Assumptions!$A$26:$D$27,2,TRUE)</f>
        <v>0</v>
      </c>
      <c r="S541">
        <f t="shared" si="123"/>
        <v>0</v>
      </c>
      <c r="T541">
        <f t="shared" si="124"/>
        <v>0.75</v>
      </c>
      <c r="U541">
        <f>IF(B541&gt;$K$2,0,IF(T542=0,0,(1-T542)*Assumptions!$B$11/$E$2*(1-Assumptions!$B$30)))</f>
        <v>0</v>
      </c>
      <c r="V541" s="22">
        <f>(N541-O541)*(1-Assumptions!$B$30)-Q541+U540*M540</f>
        <v>0</v>
      </c>
      <c r="W541" s="22">
        <f>W540*(1+Assumptions!$B$36)^(1/12)</f>
        <v>1.5518890736063069</v>
      </c>
      <c r="X541" s="19">
        <f>IF(B541&gt;$K$2,0,W540*Assumptions!$B$32/12*M540+V541*Assumptions!$B$34/12)</f>
        <v>0</v>
      </c>
      <c r="Y541" s="20">
        <f>1/(1+HLOOKUP(YEAR(A541),Assumptions!$A$41:$AL$43,3,TRUE))^(1/12)</f>
        <v>0.99757644752594421</v>
      </c>
      <c r="Z541" s="22">
        <f t="shared" si="125"/>
        <v>0</v>
      </c>
      <c r="AA541">
        <f t="shared" si="126"/>
        <v>0</v>
      </c>
    </row>
    <row r="542" spans="1:27" x14ac:dyDescent="0.2">
      <c r="A542" s="2">
        <f t="shared" si="129"/>
        <v>59261</v>
      </c>
      <c r="B542">
        <f t="shared" si="128"/>
        <v>623</v>
      </c>
      <c r="C542" s="22">
        <f t="shared" si="116"/>
        <v>51.833333333333336</v>
      </c>
      <c r="D542" s="22">
        <f t="shared" si="117"/>
        <v>0</v>
      </c>
      <c r="E542" s="22">
        <f t="shared" si="127"/>
        <v>106</v>
      </c>
      <c r="F542" s="22">
        <f>IF(C542&gt;=$J$2,0,VLOOKUP($E542,'Mortality Table'!$A$3:$C$128,2+G$2,FALSE))</f>
        <v>0</v>
      </c>
      <c r="G542">
        <f>F542*Assumptions!$B$1</f>
        <v>0</v>
      </c>
      <c r="H542">
        <f t="shared" si="118"/>
        <v>0</v>
      </c>
      <c r="I542" s="22">
        <f>HLOOKUP(C542,Assumptions!$A$6:$J$7,2,TRUE)</f>
        <v>2.6499999999999999E-2</v>
      </c>
      <c r="J542" s="22">
        <f t="shared" si="119"/>
        <v>0</v>
      </c>
      <c r="K542" s="22">
        <f t="shared" si="120"/>
        <v>0</v>
      </c>
      <c r="L542" s="22">
        <f t="shared" si="121"/>
        <v>0</v>
      </c>
      <c r="M542" s="22">
        <f t="shared" si="122"/>
        <v>0</v>
      </c>
      <c r="N542" s="22">
        <f>M541*Assumptions!$B$11/$E$2*J542</f>
        <v>0</v>
      </c>
      <c r="O542" s="22">
        <f>M541*Assumptions!$B$13/$E$2*J542</f>
        <v>0</v>
      </c>
      <c r="P542" s="22">
        <f>H542*Assumptions!$B$15</f>
        <v>0</v>
      </c>
      <c r="Q542" s="22">
        <f>O542*Assumptions!$B$17</f>
        <v>0</v>
      </c>
      <c r="R542" s="22">
        <f>HLOOKUP(B542,Assumptions!$A$26:$D$27,2,TRUE)</f>
        <v>0</v>
      </c>
      <c r="S542">
        <f t="shared" si="123"/>
        <v>0</v>
      </c>
      <c r="T542">
        <f t="shared" si="124"/>
        <v>0.8333333333333357</v>
      </c>
      <c r="U542">
        <f>IF(B542&gt;$K$2,0,IF(T543=0,0,(1-T543)*Assumptions!$B$11/$E$2*(1-Assumptions!$B$30)))</f>
        <v>0</v>
      </c>
      <c r="V542" s="22">
        <f>(N542-O542)*(1-Assumptions!$B$30)-Q542+U541*M541</f>
        <v>0</v>
      </c>
      <c r="W542" s="22">
        <f>W541*(1+Assumptions!$B$36)^(1/12)</f>
        <v>1.5531764247421007</v>
      </c>
      <c r="X542" s="19">
        <f>IF(B542&gt;$K$2,0,W541*Assumptions!$B$32/12*M541+V542*Assumptions!$B$34/12)</f>
        <v>0</v>
      </c>
      <c r="Y542" s="20">
        <f>1/(1+HLOOKUP(YEAR(A542),Assumptions!$A$41:$AL$43,3,TRUE))^(1/12)</f>
        <v>0.99757644752594421</v>
      </c>
      <c r="Z542" s="22">
        <f t="shared" si="125"/>
        <v>0</v>
      </c>
      <c r="AA542">
        <f t="shared" si="126"/>
        <v>0</v>
      </c>
    </row>
    <row r="543" spans="1:27" x14ac:dyDescent="0.2">
      <c r="A543" s="2">
        <f t="shared" si="129"/>
        <v>59291</v>
      </c>
      <c r="B543">
        <f t="shared" si="128"/>
        <v>624</v>
      </c>
      <c r="C543" s="22">
        <f t="shared" si="116"/>
        <v>51.916666666666664</v>
      </c>
      <c r="D543" s="22">
        <f t="shared" si="117"/>
        <v>0</v>
      </c>
      <c r="E543" s="22">
        <f t="shared" si="127"/>
        <v>106</v>
      </c>
      <c r="F543" s="22">
        <f>IF(C543&gt;=$J$2,0,VLOOKUP($E543,'Mortality Table'!$A$3:$C$128,2+G$2,FALSE))</f>
        <v>0</v>
      </c>
      <c r="G543">
        <f>F543*Assumptions!$B$1</f>
        <v>0</v>
      </c>
      <c r="H543">
        <f t="shared" si="118"/>
        <v>0</v>
      </c>
      <c r="I543" s="22">
        <f>HLOOKUP(C543,Assumptions!$A$6:$J$7,2,TRUE)</f>
        <v>2.6499999999999999E-2</v>
      </c>
      <c r="J543" s="22">
        <f t="shared" si="119"/>
        <v>0</v>
      </c>
      <c r="K543" s="22">
        <f t="shared" si="120"/>
        <v>0</v>
      </c>
      <c r="L543" s="22">
        <f t="shared" si="121"/>
        <v>0</v>
      </c>
      <c r="M543" s="22">
        <f t="shared" si="122"/>
        <v>0</v>
      </c>
      <c r="N543" s="22">
        <f>M542*Assumptions!$B$11/$E$2*J543</f>
        <v>0</v>
      </c>
      <c r="O543" s="22">
        <f>M542*Assumptions!$B$13/$E$2*J543</f>
        <v>0</v>
      </c>
      <c r="P543" s="22">
        <f>H543*Assumptions!$B$15</f>
        <v>0</v>
      </c>
      <c r="Q543" s="22">
        <f>O543*Assumptions!$B$17</f>
        <v>0</v>
      </c>
      <c r="R543" s="22">
        <f>HLOOKUP(B543,Assumptions!$A$26:$D$27,2,TRUE)</f>
        <v>0</v>
      </c>
      <c r="S543">
        <f t="shared" si="123"/>
        <v>0</v>
      </c>
      <c r="T543">
        <f t="shared" si="124"/>
        <v>0.9166666666666643</v>
      </c>
      <c r="U543">
        <f>IF(B543&gt;$K$2,0,IF(T544=0,0,(1-T544)*Assumptions!$B$11/$E$2*(1-Assumptions!$B$30)))</f>
        <v>0</v>
      </c>
      <c r="V543" s="22">
        <f>(N543-O543)*(1-Assumptions!$B$30)-Q543+U542*M542</f>
        <v>0</v>
      </c>
      <c r="W543" s="22">
        <f>W542*(1+Assumptions!$B$36)^(1/12)</f>
        <v>1.5544648437847282</v>
      </c>
      <c r="X543" s="19">
        <f>IF(B543&gt;$K$2,0,W542*Assumptions!$B$32/12*M542+V543*Assumptions!$B$34/12)</f>
        <v>0</v>
      </c>
      <c r="Y543" s="20">
        <f>1/(1+HLOOKUP(YEAR(A543),Assumptions!$A$41:$AL$43,3,TRUE))^(1/12)</f>
        <v>0.99757644752594421</v>
      </c>
      <c r="Z543" s="22">
        <f t="shared" si="125"/>
        <v>0</v>
      </c>
      <c r="AA543">
        <f t="shared" si="126"/>
        <v>0</v>
      </c>
    </row>
    <row r="544" spans="1:27" x14ac:dyDescent="0.2">
      <c r="A544" s="2">
        <f t="shared" si="129"/>
        <v>59322</v>
      </c>
      <c r="B544">
        <f t="shared" si="128"/>
        <v>625</v>
      </c>
      <c r="C544" s="22">
        <f t="shared" si="116"/>
        <v>52</v>
      </c>
      <c r="D544" s="22">
        <f t="shared" si="117"/>
        <v>1</v>
      </c>
      <c r="E544" s="22">
        <f t="shared" si="127"/>
        <v>107</v>
      </c>
      <c r="F544" s="22">
        <f>IF(C544&gt;=$J$2,0,VLOOKUP($E544,'Mortality Table'!$A$3:$C$128,2+G$2,FALSE))</f>
        <v>0</v>
      </c>
      <c r="G544">
        <f>F544*Assumptions!$B$1</f>
        <v>0</v>
      </c>
      <c r="H544">
        <f t="shared" si="118"/>
        <v>0</v>
      </c>
      <c r="I544" s="22">
        <f>HLOOKUP(C544,Assumptions!$A$6:$J$7,2,TRUE)</f>
        <v>2.6499999999999999E-2</v>
      </c>
      <c r="J544" s="22">
        <f t="shared" si="119"/>
        <v>0</v>
      </c>
      <c r="K544" s="22">
        <f t="shared" si="120"/>
        <v>0</v>
      </c>
      <c r="L544" s="22">
        <f t="shared" si="121"/>
        <v>0</v>
      </c>
      <c r="M544" s="22">
        <f t="shared" si="122"/>
        <v>0</v>
      </c>
      <c r="N544" s="22">
        <f>M543*Assumptions!$B$11/$E$2*J544</f>
        <v>0</v>
      </c>
      <c r="O544" s="22">
        <f>M543*Assumptions!$B$13/$E$2*J544</f>
        <v>0</v>
      </c>
      <c r="P544" s="22">
        <f>H544*Assumptions!$B$15</f>
        <v>0</v>
      </c>
      <c r="Q544" s="22">
        <f>O544*Assumptions!$B$17</f>
        <v>0</v>
      </c>
      <c r="R544" s="22">
        <f>HLOOKUP(B544,Assumptions!$A$26:$D$27,2,TRUE)</f>
        <v>0</v>
      </c>
      <c r="S544">
        <f t="shared" si="123"/>
        <v>0</v>
      </c>
      <c r="T544">
        <f t="shared" si="124"/>
        <v>0</v>
      </c>
      <c r="U544">
        <f>IF(B544&gt;$K$2,0,IF(T545=0,0,(1-T545)*Assumptions!$B$11/$E$2*(1-Assumptions!$B$30)))</f>
        <v>0</v>
      </c>
      <c r="V544" s="22">
        <f>(N544-O544)*(1-Assumptions!$B$30)-Q544+U543*M543</f>
        <v>0</v>
      </c>
      <c r="W544" s="22">
        <f>W543*(1+Assumptions!$B$36)^(1/12)</f>
        <v>1.5557543316200588</v>
      </c>
      <c r="X544" s="19">
        <f>IF(B544&gt;$K$2,0,W543*Assumptions!$B$32/12*M543+V544*Assumptions!$B$34/12)</f>
        <v>0</v>
      </c>
      <c r="Y544" s="20">
        <f>1/(1+HLOOKUP(YEAR(A544),Assumptions!$A$41:$AL$43,3,TRUE))^(1/12)</f>
        <v>0.99757644752594421</v>
      </c>
      <c r="Z544" s="22">
        <f t="shared" si="125"/>
        <v>0</v>
      </c>
      <c r="AA544">
        <f t="shared" si="126"/>
        <v>0</v>
      </c>
    </row>
    <row r="545" spans="1:27" x14ac:dyDescent="0.2">
      <c r="A545" s="2">
        <f t="shared" si="129"/>
        <v>59352</v>
      </c>
      <c r="B545">
        <f t="shared" si="128"/>
        <v>626</v>
      </c>
      <c r="C545" s="22">
        <f t="shared" si="116"/>
        <v>52.083333333333336</v>
      </c>
      <c r="D545" s="22">
        <f t="shared" si="117"/>
        <v>0</v>
      </c>
      <c r="E545" s="22">
        <f t="shared" si="127"/>
        <v>107</v>
      </c>
      <c r="F545" s="22">
        <f>IF(C545&gt;=$J$2,0,VLOOKUP($E545,'Mortality Table'!$A$3:$C$128,2+G$2,FALSE))</f>
        <v>0</v>
      </c>
      <c r="G545">
        <f>F545*Assumptions!$B$1</f>
        <v>0</v>
      </c>
      <c r="H545">
        <f t="shared" si="118"/>
        <v>0</v>
      </c>
      <c r="I545" s="22">
        <f>HLOOKUP(C545,Assumptions!$A$6:$J$7,2,TRUE)</f>
        <v>2.6499999999999999E-2</v>
      </c>
      <c r="J545" s="22">
        <f t="shared" si="119"/>
        <v>0</v>
      </c>
      <c r="K545" s="22">
        <f t="shared" si="120"/>
        <v>0</v>
      </c>
      <c r="L545" s="22">
        <f t="shared" si="121"/>
        <v>0</v>
      </c>
      <c r="M545" s="22">
        <f t="shared" si="122"/>
        <v>0</v>
      </c>
      <c r="N545" s="22">
        <f>M544*Assumptions!$B$11/$E$2*J545</f>
        <v>0</v>
      </c>
      <c r="O545" s="22">
        <f>M544*Assumptions!$B$13/$E$2*J545</f>
        <v>0</v>
      </c>
      <c r="P545" s="22">
        <f>H545*Assumptions!$B$15</f>
        <v>0</v>
      </c>
      <c r="Q545" s="22">
        <f>O545*Assumptions!$B$17</f>
        <v>0</v>
      </c>
      <c r="R545" s="22">
        <f>HLOOKUP(B545,Assumptions!$A$26:$D$27,2,TRUE)</f>
        <v>0</v>
      </c>
      <c r="S545">
        <f t="shared" si="123"/>
        <v>0</v>
      </c>
      <c r="T545">
        <f t="shared" si="124"/>
        <v>8.3333333333335702E-2</v>
      </c>
      <c r="U545">
        <f>IF(B545&gt;$K$2,0,IF(T546=0,0,(1-T546)*Assumptions!$B$11/$E$2*(1-Assumptions!$B$30)))</f>
        <v>0</v>
      </c>
      <c r="V545" s="22">
        <f>(N545-O545)*(1-Assumptions!$B$30)-Q545+U544*M544</f>
        <v>0</v>
      </c>
      <c r="W545" s="22">
        <f>W544*(1+Assumptions!$B$36)^(1/12)</f>
        <v>1.5570448891346969</v>
      </c>
      <c r="X545" s="19">
        <f>IF(B545&gt;$K$2,0,W544*Assumptions!$B$32/12*M544+V545*Assumptions!$B$34/12)</f>
        <v>0</v>
      </c>
      <c r="Y545" s="20">
        <f>1/(1+HLOOKUP(YEAR(A545),Assumptions!$A$41:$AL$43,3,TRUE))^(1/12)</f>
        <v>0.99757644752594421</v>
      </c>
      <c r="Z545" s="22">
        <f t="shared" si="125"/>
        <v>0</v>
      </c>
      <c r="AA545">
        <f t="shared" si="126"/>
        <v>0</v>
      </c>
    </row>
    <row r="546" spans="1:27" x14ac:dyDescent="0.2">
      <c r="A546" s="2">
        <f t="shared" si="129"/>
        <v>59383</v>
      </c>
      <c r="B546">
        <f t="shared" si="128"/>
        <v>627</v>
      </c>
      <c r="C546" s="22">
        <f t="shared" si="116"/>
        <v>52.166666666666664</v>
      </c>
      <c r="D546" s="22">
        <f t="shared" si="117"/>
        <v>0</v>
      </c>
      <c r="E546" s="22">
        <f t="shared" si="127"/>
        <v>107</v>
      </c>
      <c r="F546" s="22">
        <f>IF(C546&gt;=$J$2,0,VLOOKUP($E546,'Mortality Table'!$A$3:$C$128,2+G$2,FALSE))</f>
        <v>0</v>
      </c>
      <c r="G546">
        <f>F546*Assumptions!$B$1</f>
        <v>0</v>
      </c>
      <c r="H546">
        <f t="shared" si="118"/>
        <v>0</v>
      </c>
      <c r="I546" s="22">
        <f>HLOOKUP(C546,Assumptions!$A$6:$J$7,2,TRUE)</f>
        <v>2.6499999999999999E-2</v>
      </c>
      <c r="J546" s="22">
        <f t="shared" si="119"/>
        <v>0</v>
      </c>
      <c r="K546" s="22">
        <f t="shared" si="120"/>
        <v>0</v>
      </c>
      <c r="L546" s="22">
        <f t="shared" si="121"/>
        <v>0</v>
      </c>
      <c r="M546" s="22">
        <f t="shared" si="122"/>
        <v>0</v>
      </c>
      <c r="N546" s="22">
        <f>M545*Assumptions!$B$11/$E$2*J546</f>
        <v>0</v>
      </c>
      <c r="O546" s="22">
        <f>M545*Assumptions!$B$13/$E$2*J546</f>
        <v>0</v>
      </c>
      <c r="P546" s="22">
        <f>H546*Assumptions!$B$15</f>
        <v>0</v>
      </c>
      <c r="Q546" s="22">
        <f>O546*Assumptions!$B$17</f>
        <v>0</v>
      </c>
      <c r="R546" s="22">
        <f>HLOOKUP(B546,Assumptions!$A$26:$D$27,2,TRUE)</f>
        <v>0</v>
      </c>
      <c r="S546">
        <f t="shared" si="123"/>
        <v>0</v>
      </c>
      <c r="T546">
        <f t="shared" si="124"/>
        <v>0.1666666666666643</v>
      </c>
      <c r="U546">
        <f>IF(B546&gt;$K$2,0,IF(T547=0,0,(1-T547)*Assumptions!$B$11/$E$2*(1-Assumptions!$B$30)))</f>
        <v>0</v>
      </c>
      <c r="V546" s="22">
        <f>(N546-O546)*(1-Assumptions!$B$30)-Q546+U545*M545</f>
        <v>0</v>
      </c>
      <c r="W546" s="22">
        <f>W545*(1+Assumptions!$B$36)^(1/12)</f>
        <v>1.558336517215982</v>
      </c>
      <c r="X546" s="19">
        <f>IF(B546&gt;$K$2,0,W545*Assumptions!$B$32/12*M545+V546*Assumptions!$B$34/12)</f>
        <v>0</v>
      </c>
      <c r="Y546" s="20">
        <f>1/(1+HLOOKUP(YEAR(A546),Assumptions!$A$41:$AL$43,3,TRUE))^(1/12)</f>
        <v>0.99757644752594421</v>
      </c>
      <c r="Z546" s="22">
        <f t="shared" si="125"/>
        <v>0</v>
      </c>
      <c r="AA546">
        <f t="shared" si="126"/>
        <v>0</v>
      </c>
    </row>
    <row r="547" spans="1:27" x14ac:dyDescent="0.2">
      <c r="A547" s="2">
        <f t="shared" si="129"/>
        <v>59414</v>
      </c>
      <c r="B547">
        <f t="shared" si="128"/>
        <v>628</v>
      </c>
      <c r="C547" s="22">
        <f t="shared" si="116"/>
        <v>52.25</v>
      </c>
      <c r="D547" s="22">
        <f t="shared" si="117"/>
        <v>0</v>
      </c>
      <c r="E547" s="22">
        <f t="shared" si="127"/>
        <v>107</v>
      </c>
      <c r="F547" s="22">
        <f>IF(C547&gt;=$J$2,0,VLOOKUP($E547,'Mortality Table'!$A$3:$C$128,2+G$2,FALSE))</f>
        <v>0</v>
      </c>
      <c r="G547">
        <f>F547*Assumptions!$B$1</f>
        <v>0</v>
      </c>
      <c r="H547">
        <f t="shared" si="118"/>
        <v>0</v>
      </c>
      <c r="I547" s="22">
        <f>HLOOKUP(C547,Assumptions!$A$6:$J$7,2,TRUE)</f>
        <v>2.6499999999999999E-2</v>
      </c>
      <c r="J547" s="22">
        <f t="shared" si="119"/>
        <v>0</v>
      </c>
      <c r="K547" s="22">
        <f t="shared" si="120"/>
        <v>0</v>
      </c>
      <c r="L547" s="22">
        <f t="shared" si="121"/>
        <v>0</v>
      </c>
      <c r="M547" s="22">
        <f t="shared" si="122"/>
        <v>0</v>
      </c>
      <c r="N547" s="22">
        <f>M546*Assumptions!$B$11/$E$2*J547</f>
        <v>0</v>
      </c>
      <c r="O547" s="22">
        <f>M546*Assumptions!$B$13/$E$2*J547</f>
        <v>0</v>
      </c>
      <c r="P547" s="22">
        <f>H547*Assumptions!$B$15</f>
        <v>0</v>
      </c>
      <c r="Q547" s="22">
        <f>O547*Assumptions!$B$17</f>
        <v>0</v>
      </c>
      <c r="R547" s="22">
        <f>HLOOKUP(B547,Assumptions!$A$26:$D$27,2,TRUE)</f>
        <v>0</v>
      </c>
      <c r="S547">
        <f t="shared" si="123"/>
        <v>0</v>
      </c>
      <c r="T547">
        <f t="shared" si="124"/>
        <v>0.25</v>
      </c>
      <c r="U547">
        <f>IF(B547&gt;$K$2,0,IF(T548=0,0,(1-T548)*Assumptions!$B$11/$E$2*(1-Assumptions!$B$30)))</f>
        <v>0</v>
      </c>
      <c r="V547" s="22">
        <f>(N547-O547)*(1-Assumptions!$B$30)-Q547+U546*M546</f>
        <v>0</v>
      </c>
      <c r="W547" s="22">
        <f>W546*(1+Assumptions!$B$36)^(1/12)</f>
        <v>1.5596292167519901</v>
      </c>
      <c r="X547" s="19">
        <f>IF(B547&gt;$K$2,0,W546*Assumptions!$B$32/12*M546+V547*Assumptions!$B$34/12)</f>
        <v>0</v>
      </c>
      <c r="Y547" s="20">
        <f>1/(1+HLOOKUP(YEAR(A547),Assumptions!$A$41:$AL$43,3,TRUE))^(1/12)</f>
        <v>0.99757644752594421</v>
      </c>
      <c r="Z547" s="22">
        <f t="shared" si="125"/>
        <v>0</v>
      </c>
      <c r="AA547">
        <f t="shared" si="126"/>
        <v>0</v>
      </c>
    </row>
    <row r="548" spans="1:27" x14ac:dyDescent="0.2">
      <c r="A548" s="2">
        <f t="shared" si="129"/>
        <v>59444</v>
      </c>
      <c r="B548">
        <f t="shared" si="128"/>
        <v>629</v>
      </c>
      <c r="C548" s="22">
        <f t="shared" si="116"/>
        <v>52.333333333333336</v>
      </c>
      <c r="D548" s="22">
        <f t="shared" si="117"/>
        <v>0</v>
      </c>
      <c r="E548" s="22">
        <f t="shared" si="127"/>
        <v>107</v>
      </c>
      <c r="F548" s="22">
        <f>IF(C548&gt;=$J$2,0,VLOOKUP($E548,'Mortality Table'!$A$3:$C$128,2+G$2,FALSE))</f>
        <v>0</v>
      </c>
      <c r="G548">
        <f>F548*Assumptions!$B$1</f>
        <v>0</v>
      </c>
      <c r="H548">
        <f t="shared" si="118"/>
        <v>0</v>
      </c>
      <c r="I548" s="22">
        <f>HLOOKUP(C548,Assumptions!$A$6:$J$7,2,TRUE)</f>
        <v>2.6499999999999999E-2</v>
      </c>
      <c r="J548" s="22">
        <f t="shared" si="119"/>
        <v>0</v>
      </c>
      <c r="K548" s="22">
        <f t="shared" si="120"/>
        <v>0</v>
      </c>
      <c r="L548" s="22">
        <f t="shared" si="121"/>
        <v>0</v>
      </c>
      <c r="M548" s="22">
        <f t="shared" si="122"/>
        <v>0</v>
      </c>
      <c r="N548" s="22">
        <f>M547*Assumptions!$B$11/$E$2*J548</f>
        <v>0</v>
      </c>
      <c r="O548" s="22">
        <f>M547*Assumptions!$B$13/$E$2*J548</f>
        <v>0</v>
      </c>
      <c r="P548" s="22">
        <f>H548*Assumptions!$B$15</f>
        <v>0</v>
      </c>
      <c r="Q548" s="22">
        <f>O548*Assumptions!$B$17</f>
        <v>0</v>
      </c>
      <c r="R548" s="22">
        <f>HLOOKUP(B548,Assumptions!$A$26:$D$27,2,TRUE)</f>
        <v>0</v>
      </c>
      <c r="S548">
        <f t="shared" si="123"/>
        <v>0</v>
      </c>
      <c r="T548">
        <f t="shared" si="124"/>
        <v>0.3333333333333357</v>
      </c>
      <c r="U548">
        <f>IF(B548&gt;$K$2,0,IF(T549=0,0,(1-T549)*Assumptions!$B$11/$E$2*(1-Assumptions!$B$30)))</f>
        <v>0</v>
      </c>
      <c r="V548" s="22">
        <f>(N548-O548)*(1-Assumptions!$B$30)-Q548+U547*M547</f>
        <v>0</v>
      </c>
      <c r="W548" s="22">
        <f>W547*(1+Assumptions!$B$36)^(1/12)</f>
        <v>1.5609229886315337</v>
      </c>
      <c r="X548" s="19">
        <f>IF(B548&gt;$K$2,0,W547*Assumptions!$B$32/12*M547+V548*Assumptions!$B$34/12)</f>
        <v>0</v>
      </c>
      <c r="Y548" s="20">
        <f>1/(1+HLOOKUP(YEAR(A548),Assumptions!$A$41:$AL$43,3,TRUE))^(1/12)</f>
        <v>0.99757644752594421</v>
      </c>
      <c r="Z548" s="22">
        <f t="shared" si="125"/>
        <v>0</v>
      </c>
      <c r="AA548">
        <f t="shared" si="126"/>
        <v>0</v>
      </c>
    </row>
    <row r="549" spans="1:27" x14ac:dyDescent="0.2">
      <c r="A549" s="2">
        <f t="shared" si="129"/>
        <v>59475</v>
      </c>
      <c r="B549">
        <f t="shared" si="128"/>
        <v>630</v>
      </c>
      <c r="C549" s="22">
        <f t="shared" si="116"/>
        <v>52.416666666666664</v>
      </c>
      <c r="D549" s="22">
        <f t="shared" si="117"/>
        <v>0</v>
      </c>
      <c r="E549" s="22">
        <f t="shared" si="127"/>
        <v>107</v>
      </c>
      <c r="F549" s="22">
        <f>IF(C549&gt;=$J$2,0,VLOOKUP($E549,'Mortality Table'!$A$3:$C$128,2+G$2,FALSE))</f>
        <v>0</v>
      </c>
      <c r="G549">
        <f>F549*Assumptions!$B$1</f>
        <v>0</v>
      </c>
      <c r="H549">
        <f t="shared" si="118"/>
        <v>0</v>
      </c>
      <c r="I549" s="22">
        <f>HLOOKUP(C549,Assumptions!$A$6:$J$7,2,TRUE)</f>
        <v>2.6499999999999999E-2</v>
      </c>
      <c r="J549" s="22">
        <f t="shared" si="119"/>
        <v>0</v>
      </c>
      <c r="K549" s="22">
        <f t="shared" si="120"/>
        <v>0</v>
      </c>
      <c r="L549" s="22">
        <f t="shared" si="121"/>
        <v>0</v>
      </c>
      <c r="M549" s="22">
        <f t="shared" si="122"/>
        <v>0</v>
      </c>
      <c r="N549" s="22">
        <f>M548*Assumptions!$B$11/$E$2*J549</f>
        <v>0</v>
      </c>
      <c r="O549" s="22">
        <f>M548*Assumptions!$B$13/$E$2*J549</f>
        <v>0</v>
      </c>
      <c r="P549" s="22">
        <f>H549*Assumptions!$B$15</f>
        <v>0</v>
      </c>
      <c r="Q549" s="22">
        <f>O549*Assumptions!$B$17</f>
        <v>0</v>
      </c>
      <c r="R549" s="22">
        <f>HLOOKUP(B549,Assumptions!$A$26:$D$27,2,TRUE)</f>
        <v>0</v>
      </c>
      <c r="S549">
        <f t="shared" si="123"/>
        <v>0</v>
      </c>
      <c r="T549">
        <f t="shared" si="124"/>
        <v>0.4166666666666643</v>
      </c>
      <c r="U549">
        <f>IF(B549&gt;$K$2,0,IF(T550=0,0,(1-T550)*Assumptions!$B$11/$E$2*(1-Assumptions!$B$30)))</f>
        <v>0</v>
      </c>
      <c r="V549" s="22">
        <f>(N549-O549)*(1-Assumptions!$B$30)-Q549+U548*M548</f>
        <v>0</v>
      </c>
      <c r="W549" s="22">
        <f>W548*(1+Assumptions!$B$36)^(1/12)</f>
        <v>1.5622178337441626</v>
      </c>
      <c r="X549" s="19">
        <f>IF(B549&gt;$K$2,0,W548*Assumptions!$B$32/12*M548+V549*Assumptions!$B$34/12)</f>
        <v>0</v>
      </c>
      <c r="Y549" s="20">
        <f>1/(1+HLOOKUP(YEAR(A549),Assumptions!$A$41:$AL$43,3,TRUE))^(1/12)</f>
        <v>0.99757644752594421</v>
      </c>
      <c r="Z549" s="22">
        <f t="shared" si="125"/>
        <v>0</v>
      </c>
      <c r="AA549">
        <f t="shared" si="126"/>
        <v>0</v>
      </c>
    </row>
    <row r="550" spans="1:27" x14ac:dyDescent="0.2">
      <c r="A550" s="2">
        <f t="shared" si="129"/>
        <v>59505</v>
      </c>
      <c r="B550">
        <f t="shared" si="128"/>
        <v>631</v>
      </c>
      <c r="C550" s="22">
        <f t="shared" si="116"/>
        <v>52.5</v>
      </c>
      <c r="D550" s="22">
        <f t="shared" si="117"/>
        <v>0</v>
      </c>
      <c r="E550" s="22">
        <f t="shared" si="127"/>
        <v>107</v>
      </c>
      <c r="F550" s="22">
        <f>IF(C550&gt;=$J$2,0,VLOOKUP($E550,'Mortality Table'!$A$3:$C$128,2+G$2,FALSE))</f>
        <v>0</v>
      </c>
      <c r="G550">
        <f>F550*Assumptions!$B$1</f>
        <v>0</v>
      </c>
      <c r="H550">
        <f t="shared" si="118"/>
        <v>0</v>
      </c>
      <c r="I550" s="22">
        <f>HLOOKUP(C550,Assumptions!$A$6:$J$7,2,TRUE)</f>
        <v>2.6499999999999999E-2</v>
      </c>
      <c r="J550" s="22">
        <f t="shared" si="119"/>
        <v>0</v>
      </c>
      <c r="K550" s="22">
        <f t="shared" si="120"/>
        <v>0</v>
      </c>
      <c r="L550" s="22">
        <f t="shared" si="121"/>
        <v>0</v>
      </c>
      <c r="M550" s="22">
        <f t="shared" si="122"/>
        <v>0</v>
      </c>
      <c r="N550" s="22">
        <f>M549*Assumptions!$B$11/$E$2*J550</f>
        <v>0</v>
      </c>
      <c r="O550" s="22">
        <f>M549*Assumptions!$B$13/$E$2*J550</f>
        <v>0</v>
      </c>
      <c r="P550" s="22">
        <f>H550*Assumptions!$B$15</f>
        <v>0</v>
      </c>
      <c r="Q550" s="22">
        <f>O550*Assumptions!$B$17</f>
        <v>0</v>
      </c>
      <c r="R550" s="22">
        <f>HLOOKUP(B550,Assumptions!$A$26:$D$27,2,TRUE)</f>
        <v>0</v>
      </c>
      <c r="S550">
        <f t="shared" si="123"/>
        <v>0</v>
      </c>
      <c r="T550">
        <f t="shared" si="124"/>
        <v>0.5</v>
      </c>
      <c r="U550">
        <f>IF(B550&gt;$K$2,0,IF(T551=0,0,(1-T551)*Assumptions!$B$11/$E$2*(1-Assumptions!$B$30)))</f>
        <v>0</v>
      </c>
      <c r="V550" s="22">
        <f>(N550-O550)*(1-Assumptions!$B$30)-Q550+U549*M549</f>
        <v>0</v>
      </c>
      <c r="W550" s="22">
        <f>W549*(1+Assumptions!$B$36)^(1/12)</f>
        <v>1.5635137529801646</v>
      </c>
      <c r="X550" s="19">
        <f>IF(B550&gt;$K$2,0,W549*Assumptions!$B$32/12*M549+V550*Assumptions!$B$34/12)</f>
        <v>0</v>
      </c>
      <c r="Y550" s="20">
        <f>1/(1+HLOOKUP(YEAR(A550),Assumptions!$A$41:$AL$43,3,TRUE))^(1/12)</f>
        <v>0.99757644752594421</v>
      </c>
      <c r="Z550" s="22">
        <f t="shared" si="125"/>
        <v>0</v>
      </c>
      <c r="AA550">
        <f t="shared" si="126"/>
        <v>0</v>
      </c>
    </row>
    <row r="551" spans="1:27" x14ac:dyDescent="0.2">
      <c r="A551" s="2">
        <f t="shared" si="129"/>
        <v>59536</v>
      </c>
      <c r="B551">
        <f t="shared" si="128"/>
        <v>632</v>
      </c>
      <c r="C551" s="22">
        <f t="shared" si="116"/>
        <v>52.583333333333336</v>
      </c>
      <c r="D551" s="22">
        <f t="shared" si="117"/>
        <v>0</v>
      </c>
      <c r="E551" s="22">
        <f t="shared" si="127"/>
        <v>107</v>
      </c>
      <c r="F551" s="22">
        <f>IF(C551&gt;=$J$2,0,VLOOKUP($E551,'Mortality Table'!$A$3:$C$128,2+G$2,FALSE))</f>
        <v>0</v>
      </c>
      <c r="G551">
        <f>F551*Assumptions!$B$1</f>
        <v>0</v>
      </c>
      <c r="H551">
        <f t="shared" si="118"/>
        <v>0</v>
      </c>
      <c r="I551" s="22">
        <f>HLOOKUP(C551,Assumptions!$A$6:$J$7,2,TRUE)</f>
        <v>2.6499999999999999E-2</v>
      </c>
      <c r="J551" s="22">
        <f t="shared" si="119"/>
        <v>0</v>
      </c>
      <c r="K551" s="22">
        <f t="shared" si="120"/>
        <v>0</v>
      </c>
      <c r="L551" s="22">
        <f t="shared" si="121"/>
        <v>0</v>
      </c>
      <c r="M551" s="22">
        <f t="shared" si="122"/>
        <v>0</v>
      </c>
      <c r="N551" s="22">
        <f>M550*Assumptions!$B$11/$E$2*J551</f>
        <v>0</v>
      </c>
      <c r="O551" s="22">
        <f>M550*Assumptions!$B$13/$E$2*J551</f>
        <v>0</v>
      </c>
      <c r="P551" s="22">
        <f>H551*Assumptions!$B$15</f>
        <v>0</v>
      </c>
      <c r="Q551" s="22">
        <f>O551*Assumptions!$B$17</f>
        <v>0</v>
      </c>
      <c r="R551" s="22">
        <f>HLOOKUP(B551,Assumptions!$A$26:$D$27,2,TRUE)</f>
        <v>0</v>
      </c>
      <c r="S551">
        <f t="shared" si="123"/>
        <v>0</v>
      </c>
      <c r="T551">
        <f t="shared" si="124"/>
        <v>0.5833333333333357</v>
      </c>
      <c r="U551">
        <f>IF(B551&gt;$K$2,0,IF(T552=0,0,(1-T552)*Assumptions!$B$11/$E$2*(1-Assumptions!$B$30)))</f>
        <v>0</v>
      </c>
      <c r="V551" s="22">
        <f>(N551-O551)*(1-Assumptions!$B$30)-Q551+U550*M550</f>
        <v>0</v>
      </c>
      <c r="W551" s="22">
        <f>W550*(1+Assumptions!$B$36)^(1/12)</f>
        <v>1.5648107472305661</v>
      </c>
      <c r="X551" s="19">
        <f>IF(B551&gt;$K$2,0,W550*Assumptions!$B$32/12*M550+V551*Assumptions!$B$34/12)</f>
        <v>0</v>
      </c>
      <c r="Y551" s="20">
        <f>1/(1+HLOOKUP(YEAR(A551),Assumptions!$A$41:$AL$43,3,TRUE))^(1/12)</f>
        <v>0.99757644752594421</v>
      </c>
      <c r="Z551" s="22">
        <f t="shared" si="125"/>
        <v>0</v>
      </c>
      <c r="AA551">
        <f t="shared" si="126"/>
        <v>0</v>
      </c>
    </row>
    <row r="552" spans="1:27" x14ac:dyDescent="0.2">
      <c r="A552" s="2">
        <f t="shared" si="129"/>
        <v>59567</v>
      </c>
      <c r="B552">
        <f t="shared" si="128"/>
        <v>633</v>
      </c>
      <c r="C552" s="22">
        <f t="shared" si="116"/>
        <v>52.666666666666664</v>
      </c>
      <c r="D552" s="22">
        <f t="shared" si="117"/>
        <v>0</v>
      </c>
      <c r="E552" s="22">
        <f t="shared" si="127"/>
        <v>107</v>
      </c>
      <c r="F552" s="22">
        <f>IF(C552&gt;=$J$2,0,VLOOKUP($E552,'Mortality Table'!$A$3:$C$128,2+G$2,FALSE))</f>
        <v>0</v>
      </c>
      <c r="G552">
        <f>F552*Assumptions!$B$1</f>
        <v>0</v>
      </c>
      <c r="H552">
        <f t="shared" si="118"/>
        <v>0</v>
      </c>
      <c r="I552" s="22">
        <f>HLOOKUP(C552,Assumptions!$A$6:$J$7,2,TRUE)</f>
        <v>2.6499999999999999E-2</v>
      </c>
      <c r="J552" s="22">
        <f t="shared" si="119"/>
        <v>0</v>
      </c>
      <c r="K552" s="22">
        <f t="shared" si="120"/>
        <v>0</v>
      </c>
      <c r="L552" s="22">
        <f t="shared" si="121"/>
        <v>0</v>
      </c>
      <c r="M552" s="22">
        <f t="shared" si="122"/>
        <v>0</v>
      </c>
      <c r="N552" s="22">
        <f>M551*Assumptions!$B$11/$E$2*J552</f>
        <v>0</v>
      </c>
      <c r="O552" s="22">
        <f>M551*Assumptions!$B$13/$E$2*J552</f>
        <v>0</v>
      </c>
      <c r="P552" s="22">
        <f>H552*Assumptions!$B$15</f>
        <v>0</v>
      </c>
      <c r="Q552" s="22">
        <f>O552*Assumptions!$B$17</f>
        <v>0</v>
      </c>
      <c r="R552" s="22">
        <f>HLOOKUP(B552,Assumptions!$A$26:$D$27,2,TRUE)</f>
        <v>0</v>
      </c>
      <c r="S552">
        <f t="shared" si="123"/>
        <v>0</v>
      </c>
      <c r="T552">
        <f t="shared" si="124"/>
        <v>0.6666666666666643</v>
      </c>
      <c r="U552">
        <f>IF(B552&gt;$K$2,0,IF(T553=0,0,(1-T553)*Assumptions!$B$11/$E$2*(1-Assumptions!$B$30)))</f>
        <v>0</v>
      </c>
      <c r="V552" s="22">
        <f>(N552-O552)*(1-Assumptions!$B$30)-Q552+U551*M551</f>
        <v>0</v>
      </c>
      <c r="W552" s="22">
        <f>W551*(1+Assumptions!$B$36)^(1/12)</f>
        <v>1.5661088173871325</v>
      </c>
      <c r="X552" s="19">
        <f>IF(B552&gt;$K$2,0,W551*Assumptions!$B$32/12*M551+V552*Assumptions!$B$34/12)</f>
        <v>0</v>
      </c>
      <c r="Y552" s="20">
        <f>1/(1+HLOOKUP(YEAR(A552),Assumptions!$A$41:$AL$43,3,TRUE))^(1/12)</f>
        <v>0.99757644752594421</v>
      </c>
      <c r="Z552" s="22">
        <f t="shared" si="125"/>
        <v>0</v>
      </c>
      <c r="AA552">
        <f t="shared" si="126"/>
        <v>0</v>
      </c>
    </row>
    <row r="553" spans="1:27" x14ac:dyDescent="0.2">
      <c r="A553" s="2">
        <f t="shared" si="129"/>
        <v>59595</v>
      </c>
      <c r="B553">
        <f t="shared" si="128"/>
        <v>634</v>
      </c>
      <c r="C553" s="22">
        <f t="shared" si="116"/>
        <v>52.75</v>
      </c>
      <c r="D553" s="22">
        <f t="shared" si="117"/>
        <v>0</v>
      </c>
      <c r="E553" s="22">
        <f t="shared" si="127"/>
        <v>107</v>
      </c>
      <c r="F553" s="22">
        <f>IF(C553&gt;=$J$2,0,VLOOKUP($E553,'Mortality Table'!$A$3:$C$128,2+G$2,FALSE))</f>
        <v>0</v>
      </c>
      <c r="G553">
        <f>F553*Assumptions!$B$1</f>
        <v>0</v>
      </c>
      <c r="H553">
        <f t="shared" si="118"/>
        <v>0</v>
      </c>
      <c r="I553" s="22">
        <f>HLOOKUP(C553,Assumptions!$A$6:$J$7,2,TRUE)</f>
        <v>2.6499999999999999E-2</v>
      </c>
      <c r="J553" s="22">
        <f t="shared" si="119"/>
        <v>0</v>
      </c>
      <c r="K553" s="22">
        <f t="shared" si="120"/>
        <v>0</v>
      </c>
      <c r="L553" s="22">
        <f t="shared" si="121"/>
        <v>0</v>
      </c>
      <c r="M553" s="22">
        <f t="shared" si="122"/>
        <v>0</v>
      </c>
      <c r="N553" s="22">
        <f>M552*Assumptions!$B$11/$E$2*J553</f>
        <v>0</v>
      </c>
      <c r="O553" s="22">
        <f>M552*Assumptions!$B$13/$E$2*J553</f>
        <v>0</v>
      </c>
      <c r="P553" s="22">
        <f>H553*Assumptions!$B$15</f>
        <v>0</v>
      </c>
      <c r="Q553" s="22">
        <f>O553*Assumptions!$B$17</f>
        <v>0</v>
      </c>
      <c r="R553" s="22">
        <f>HLOOKUP(B553,Assumptions!$A$26:$D$27,2,TRUE)</f>
        <v>0</v>
      </c>
      <c r="S553">
        <f t="shared" si="123"/>
        <v>0</v>
      </c>
      <c r="T553">
        <f t="shared" si="124"/>
        <v>0.75</v>
      </c>
      <c r="U553">
        <f>IF(B553&gt;$K$2,0,IF(T554=0,0,(1-T554)*Assumptions!$B$11/$E$2*(1-Assumptions!$B$30)))</f>
        <v>0</v>
      </c>
      <c r="V553" s="22">
        <f>(N553-O553)*(1-Assumptions!$B$30)-Q553+U552*M552</f>
        <v>0</v>
      </c>
      <c r="W553" s="22">
        <f>W552*(1+Assumptions!$B$36)^(1/12)</f>
        <v>1.5674079643423686</v>
      </c>
      <c r="X553" s="19">
        <f>IF(B553&gt;$K$2,0,W552*Assumptions!$B$32/12*M552+V553*Assumptions!$B$34/12)</f>
        <v>0</v>
      </c>
      <c r="Y553" s="20">
        <f>1/(1+HLOOKUP(YEAR(A553),Assumptions!$A$41:$AL$43,3,TRUE))^(1/12)</f>
        <v>0.99757644752594421</v>
      </c>
      <c r="Z553" s="22">
        <f t="shared" si="125"/>
        <v>0</v>
      </c>
      <c r="AA553">
        <f t="shared" si="126"/>
        <v>0</v>
      </c>
    </row>
    <row r="554" spans="1:27" x14ac:dyDescent="0.2">
      <c r="A554" s="2">
        <f t="shared" si="129"/>
        <v>59626</v>
      </c>
      <c r="B554">
        <f t="shared" si="128"/>
        <v>635</v>
      </c>
      <c r="C554" s="22">
        <f t="shared" si="116"/>
        <v>52.833333333333336</v>
      </c>
      <c r="D554" s="22">
        <f t="shared" si="117"/>
        <v>0</v>
      </c>
      <c r="E554" s="22">
        <f t="shared" si="127"/>
        <v>107</v>
      </c>
      <c r="F554" s="22">
        <f>IF(C554&gt;=$J$2,0,VLOOKUP($E554,'Mortality Table'!$A$3:$C$128,2+G$2,FALSE))</f>
        <v>0</v>
      </c>
      <c r="G554">
        <f>F554*Assumptions!$B$1</f>
        <v>0</v>
      </c>
      <c r="H554">
        <f t="shared" si="118"/>
        <v>0</v>
      </c>
      <c r="I554" s="22">
        <f>HLOOKUP(C554,Assumptions!$A$6:$J$7,2,TRUE)</f>
        <v>2.6499999999999999E-2</v>
      </c>
      <c r="J554" s="22">
        <f t="shared" si="119"/>
        <v>0</v>
      </c>
      <c r="K554" s="22">
        <f t="shared" si="120"/>
        <v>0</v>
      </c>
      <c r="L554" s="22">
        <f t="shared" si="121"/>
        <v>0</v>
      </c>
      <c r="M554" s="22">
        <f t="shared" si="122"/>
        <v>0</v>
      </c>
      <c r="N554" s="22">
        <f>M553*Assumptions!$B$11/$E$2*J554</f>
        <v>0</v>
      </c>
      <c r="O554" s="22">
        <f>M553*Assumptions!$B$13/$E$2*J554</f>
        <v>0</v>
      </c>
      <c r="P554" s="22">
        <f>H554*Assumptions!$B$15</f>
        <v>0</v>
      </c>
      <c r="Q554" s="22">
        <f>O554*Assumptions!$B$17</f>
        <v>0</v>
      </c>
      <c r="R554" s="22">
        <f>HLOOKUP(B554,Assumptions!$A$26:$D$27,2,TRUE)</f>
        <v>0</v>
      </c>
      <c r="S554">
        <f t="shared" si="123"/>
        <v>0</v>
      </c>
      <c r="T554">
        <f t="shared" si="124"/>
        <v>0.8333333333333357</v>
      </c>
      <c r="U554">
        <f>IF(B554&gt;$K$2,0,IF(T555=0,0,(1-T555)*Assumptions!$B$11/$E$2*(1-Assumptions!$B$30)))</f>
        <v>0</v>
      </c>
      <c r="V554" s="22">
        <f>(N554-O554)*(1-Assumptions!$B$30)-Q554+U553*M553</f>
        <v>0</v>
      </c>
      <c r="W554" s="22">
        <f>W553*(1+Assumptions!$B$36)^(1/12)</f>
        <v>1.5687081889895202</v>
      </c>
      <c r="X554" s="19">
        <f>IF(B554&gt;$K$2,0,W553*Assumptions!$B$32/12*M553+V554*Assumptions!$B$34/12)</f>
        <v>0</v>
      </c>
      <c r="Y554" s="20">
        <f>1/(1+HLOOKUP(YEAR(A554),Assumptions!$A$41:$AL$43,3,TRUE))^(1/12)</f>
        <v>0.99757644752594421</v>
      </c>
      <c r="Z554" s="22">
        <f t="shared" si="125"/>
        <v>0</v>
      </c>
      <c r="AA554">
        <f t="shared" si="126"/>
        <v>0</v>
      </c>
    </row>
    <row r="555" spans="1:27" x14ac:dyDescent="0.2">
      <c r="A555" s="2">
        <f t="shared" si="129"/>
        <v>59656</v>
      </c>
      <c r="B555">
        <f t="shared" si="128"/>
        <v>636</v>
      </c>
      <c r="C555" s="22">
        <f t="shared" si="116"/>
        <v>52.916666666666664</v>
      </c>
      <c r="D555" s="22">
        <f t="shared" si="117"/>
        <v>0</v>
      </c>
      <c r="E555" s="22">
        <f t="shared" si="127"/>
        <v>107</v>
      </c>
      <c r="F555" s="22">
        <f>IF(C555&gt;=$J$2,0,VLOOKUP($E555,'Mortality Table'!$A$3:$C$128,2+G$2,FALSE))</f>
        <v>0</v>
      </c>
      <c r="G555">
        <f>F555*Assumptions!$B$1</f>
        <v>0</v>
      </c>
      <c r="H555">
        <f t="shared" si="118"/>
        <v>0</v>
      </c>
      <c r="I555" s="22">
        <f>HLOOKUP(C555,Assumptions!$A$6:$J$7,2,TRUE)</f>
        <v>2.6499999999999999E-2</v>
      </c>
      <c r="J555" s="22">
        <f t="shared" si="119"/>
        <v>0</v>
      </c>
      <c r="K555" s="22">
        <f t="shared" si="120"/>
        <v>0</v>
      </c>
      <c r="L555" s="22">
        <f t="shared" si="121"/>
        <v>0</v>
      </c>
      <c r="M555" s="22">
        <f t="shared" si="122"/>
        <v>0</v>
      </c>
      <c r="N555" s="22">
        <f>M554*Assumptions!$B$11/$E$2*J555</f>
        <v>0</v>
      </c>
      <c r="O555" s="22">
        <f>M554*Assumptions!$B$13/$E$2*J555</f>
        <v>0</v>
      </c>
      <c r="P555" s="22">
        <f>H555*Assumptions!$B$15</f>
        <v>0</v>
      </c>
      <c r="Q555" s="22">
        <f>O555*Assumptions!$B$17</f>
        <v>0</v>
      </c>
      <c r="R555" s="22">
        <f>HLOOKUP(B555,Assumptions!$A$26:$D$27,2,TRUE)</f>
        <v>0</v>
      </c>
      <c r="S555">
        <f t="shared" si="123"/>
        <v>0</v>
      </c>
      <c r="T555">
        <f t="shared" si="124"/>
        <v>0.9166666666666643</v>
      </c>
      <c r="U555">
        <f>IF(B555&gt;$K$2,0,IF(T556=0,0,(1-T556)*Assumptions!$B$11/$E$2*(1-Assumptions!$B$30)))</f>
        <v>0</v>
      </c>
      <c r="V555" s="22">
        <f>(N555-O555)*(1-Assumptions!$B$30)-Q555+U554*M554</f>
        <v>0</v>
      </c>
      <c r="W555" s="22">
        <f>W554*(1+Assumptions!$B$36)^(1/12)</f>
        <v>1.570009492222574</v>
      </c>
      <c r="X555" s="19">
        <f>IF(B555&gt;$K$2,0,W554*Assumptions!$B$32/12*M554+V555*Assumptions!$B$34/12)</f>
        <v>0</v>
      </c>
      <c r="Y555" s="20">
        <f>1/(1+HLOOKUP(YEAR(A555),Assumptions!$A$41:$AL$43,3,TRUE))^(1/12)</f>
        <v>0.99757644752594421</v>
      </c>
      <c r="Z555" s="22">
        <f t="shared" si="125"/>
        <v>0</v>
      </c>
      <c r="AA555">
        <f t="shared" si="126"/>
        <v>0</v>
      </c>
    </row>
    <row r="556" spans="1:27" x14ac:dyDescent="0.2">
      <c r="A556" s="2">
        <f t="shared" si="129"/>
        <v>59687</v>
      </c>
      <c r="B556">
        <f t="shared" si="128"/>
        <v>637</v>
      </c>
      <c r="C556" s="22">
        <f t="shared" si="116"/>
        <v>53</v>
      </c>
      <c r="D556" s="22">
        <f t="shared" si="117"/>
        <v>1</v>
      </c>
      <c r="E556" s="22">
        <f t="shared" si="127"/>
        <v>108</v>
      </c>
      <c r="F556" s="22">
        <f>IF(C556&gt;=$J$2,0,VLOOKUP($E556,'Mortality Table'!$A$3:$C$128,2+G$2,FALSE))</f>
        <v>0</v>
      </c>
      <c r="G556">
        <f>F556*Assumptions!$B$1</f>
        <v>0</v>
      </c>
      <c r="H556">
        <f t="shared" si="118"/>
        <v>0</v>
      </c>
      <c r="I556" s="22">
        <f>HLOOKUP(C556,Assumptions!$A$6:$J$7,2,TRUE)</f>
        <v>2.6499999999999999E-2</v>
      </c>
      <c r="J556" s="22">
        <f t="shared" si="119"/>
        <v>0</v>
      </c>
      <c r="K556" s="22">
        <f t="shared" si="120"/>
        <v>0</v>
      </c>
      <c r="L556" s="22">
        <f t="shared" si="121"/>
        <v>0</v>
      </c>
      <c r="M556" s="22">
        <f t="shared" si="122"/>
        <v>0</v>
      </c>
      <c r="N556" s="22">
        <f>M555*Assumptions!$B$11/$E$2*J556</f>
        <v>0</v>
      </c>
      <c r="O556" s="22">
        <f>M555*Assumptions!$B$13/$E$2*J556</f>
        <v>0</v>
      </c>
      <c r="P556" s="22">
        <f>H556*Assumptions!$B$15</f>
        <v>0</v>
      </c>
      <c r="Q556" s="22">
        <f>O556*Assumptions!$B$17</f>
        <v>0</v>
      </c>
      <c r="R556" s="22">
        <f>HLOOKUP(B556,Assumptions!$A$26:$D$27,2,TRUE)</f>
        <v>0</v>
      </c>
      <c r="S556">
        <f t="shared" si="123"/>
        <v>0</v>
      </c>
      <c r="T556">
        <f t="shared" si="124"/>
        <v>0</v>
      </c>
      <c r="U556">
        <f>IF(B556&gt;$K$2,0,IF(T557=0,0,(1-T557)*Assumptions!$B$11/$E$2*(1-Assumptions!$B$30)))</f>
        <v>0</v>
      </c>
      <c r="V556" s="22">
        <f>(N556-O556)*(1-Assumptions!$B$30)-Q556+U555*M555</f>
        <v>0</v>
      </c>
      <c r="W556" s="22">
        <f>W555*(1+Assumptions!$B$36)^(1/12)</f>
        <v>1.571311874936258</v>
      </c>
      <c r="X556" s="19">
        <f>IF(B556&gt;$K$2,0,W555*Assumptions!$B$32/12*M555+V556*Assumptions!$B$34/12)</f>
        <v>0</v>
      </c>
      <c r="Y556" s="20">
        <f>1/(1+HLOOKUP(YEAR(A556),Assumptions!$A$41:$AL$43,3,TRUE))^(1/12)</f>
        <v>0.99757644752594421</v>
      </c>
      <c r="Z556" s="22">
        <f t="shared" si="125"/>
        <v>0</v>
      </c>
      <c r="AA556">
        <f t="shared" si="126"/>
        <v>0</v>
      </c>
    </row>
    <row r="557" spans="1:27" x14ac:dyDescent="0.2">
      <c r="A557" s="2">
        <f t="shared" si="129"/>
        <v>59717</v>
      </c>
      <c r="B557">
        <f t="shared" si="128"/>
        <v>638</v>
      </c>
      <c r="C557" s="22">
        <f t="shared" si="116"/>
        <v>53.083333333333336</v>
      </c>
      <c r="D557" s="22">
        <f t="shared" si="117"/>
        <v>0</v>
      </c>
      <c r="E557" s="22">
        <f t="shared" si="127"/>
        <v>108</v>
      </c>
      <c r="F557" s="22">
        <f>IF(C557&gt;=$J$2,0,VLOOKUP($E557,'Mortality Table'!$A$3:$C$128,2+G$2,FALSE))</f>
        <v>0</v>
      </c>
      <c r="G557">
        <f>F557*Assumptions!$B$1</f>
        <v>0</v>
      </c>
      <c r="H557">
        <f t="shared" si="118"/>
        <v>0</v>
      </c>
      <c r="I557" s="22">
        <f>HLOOKUP(C557,Assumptions!$A$6:$J$7,2,TRUE)</f>
        <v>2.6499999999999999E-2</v>
      </c>
      <c r="J557" s="22">
        <f t="shared" si="119"/>
        <v>0</v>
      </c>
      <c r="K557" s="22">
        <f t="shared" si="120"/>
        <v>0</v>
      </c>
      <c r="L557" s="22">
        <f t="shared" si="121"/>
        <v>0</v>
      </c>
      <c r="M557" s="22">
        <f t="shared" si="122"/>
        <v>0</v>
      </c>
      <c r="N557" s="22">
        <f>M556*Assumptions!$B$11/$E$2*J557</f>
        <v>0</v>
      </c>
      <c r="O557" s="22">
        <f>M556*Assumptions!$B$13/$E$2*J557</f>
        <v>0</v>
      </c>
      <c r="P557" s="22">
        <f>H557*Assumptions!$B$15</f>
        <v>0</v>
      </c>
      <c r="Q557" s="22">
        <f>O557*Assumptions!$B$17</f>
        <v>0</v>
      </c>
      <c r="R557" s="22">
        <f>HLOOKUP(B557,Assumptions!$A$26:$D$27,2,TRUE)</f>
        <v>0</v>
      </c>
      <c r="S557">
        <f t="shared" si="123"/>
        <v>0</v>
      </c>
      <c r="T557">
        <f t="shared" si="124"/>
        <v>8.3333333333335702E-2</v>
      </c>
      <c r="U557">
        <f>IF(B557&gt;$K$2,0,IF(T558=0,0,(1-T558)*Assumptions!$B$11/$E$2*(1-Assumptions!$B$30)))</f>
        <v>0</v>
      </c>
      <c r="V557" s="22">
        <f>(N557-O557)*(1-Assumptions!$B$30)-Q557+U556*M556</f>
        <v>0</v>
      </c>
      <c r="W557" s="22">
        <f>W556*(1+Assumptions!$B$36)^(1/12)</f>
        <v>1.5726153380260424</v>
      </c>
      <c r="X557" s="19">
        <f>IF(B557&gt;$K$2,0,W556*Assumptions!$B$32/12*M556+V557*Assumptions!$B$34/12)</f>
        <v>0</v>
      </c>
      <c r="Y557" s="20">
        <f>1/(1+HLOOKUP(YEAR(A557),Assumptions!$A$41:$AL$43,3,TRUE))^(1/12)</f>
        <v>0.99757644752594421</v>
      </c>
      <c r="Z557" s="22">
        <f t="shared" si="125"/>
        <v>0</v>
      </c>
      <c r="AA557">
        <f t="shared" si="126"/>
        <v>0</v>
      </c>
    </row>
    <row r="558" spans="1:27" x14ac:dyDescent="0.2">
      <c r="A558" s="2">
        <f t="shared" si="129"/>
        <v>59748</v>
      </c>
      <c r="B558">
        <f t="shared" si="128"/>
        <v>639</v>
      </c>
      <c r="C558" s="22">
        <f t="shared" si="116"/>
        <v>53.166666666666664</v>
      </c>
      <c r="D558" s="22">
        <f t="shared" si="117"/>
        <v>0</v>
      </c>
      <c r="E558" s="22">
        <f t="shared" si="127"/>
        <v>108</v>
      </c>
      <c r="F558" s="22">
        <f>IF(C558&gt;=$J$2,0,VLOOKUP($E558,'Mortality Table'!$A$3:$C$128,2+G$2,FALSE))</f>
        <v>0</v>
      </c>
      <c r="G558">
        <f>F558*Assumptions!$B$1</f>
        <v>0</v>
      </c>
      <c r="H558">
        <f t="shared" si="118"/>
        <v>0</v>
      </c>
      <c r="I558" s="22">
        <f>HLOOKUP(C558,Assumptions!$A$6:$J$7,2,TRUE)</f>
        <v>2.6499999999999999E-2</v>
      </c>
      <c r="J558" s="22">
        <f t="shared" si="119"/>
        <v>0</v>
      </c>
      <c r="K558" s="22">
        <f t="shared" si="120"/>
        <v>0</v>
      </c>
      <c r="L558" s="22">
        <f t="shared" si="121"/>
        <v>0</v>
      </c>
      <c r="M558" s="22">
        <f t="shared" si="122"/>
        <v>0</v>
      </c>
      <c r="N558" s="22">
        <f>M557*Assumptions!$B$11/$E$2*J558</f>
        <v>0</v>
      </c>
      <c r="O558" s="22">
        <f>M557*Assumptions!$B$13/$E$2*J558</f>
        <v>0</v>
      </c>
      <c r="P558" s="22">
        <f>H558*Assumptions!$B$15</f>
        <v>0</v>
      </c>
      <c r="Q558" s="22">
        <f>O558*Assumptions!$B$17</f>
        <v>0</v>
      </c>
      <c r="R558" s="22">
        <f>HLOOKUP(B558,Assumptions!$A$26:$D$27,2,TRUE)</f>
        <v>0</v>
      </c>
      <c r="S558">
        <f t="shared" si="123"/>
        <v>0</v>
      </c>
      <c r="T558">
        <f t="shared" si="124"/>
        <v>0.1666666666666643</v>
      </c>
      <c r="U558">
        <f>IF(B558&gt;$K$2,0,IF(T559=0,0,(1-T559)*Assumptions!$B$11/$E$2*(1-Assumptions!$B$30)))</f>
        <v>0</v>
      </c>
      <c r="V558" s="22">
        <f>(N558-O558)*(1-Assumptions!$B$30)-Q558+U557*M557</f>
        <v>0</v>
      </c>
      <c r="W558" s="22">
        <f>W557*(1+Assumptions!$B$36)^(1/12)</f>
        <v>1.5739198823881404</v>
      </c>
      <c r="X558" s="19">
        <f>IF(B558&gt;$K$2,0,W557*Assumptions!$B$32/12*M557+V558*Assumptions!$B$34/12)</f>
        <v>0</v>
      </c>
      <c r="Y558" s="20">
        <f>1/(1+HLOOKUP(YEAR(A558),Assumptions!$A$41:$AL$43,3,TRUE))^(1/12)</f>
        <v>0.99757644752594421</v>
      </c>
      <c r="Z558" s="22">
        <f t="shared" si="125"/>
        <v>0</v>
      </c>
      <c r="AA558">
        <f t="shared" si="126"/>
        <v>0</v>
      </c>
    </row>
    <row r="559" spans="1:27" x14ac:dyDescent="0.2">
      <c r="A559" s="2">
        <f t="shared" si="129"/>
        <v>59779</v>
      </c>
      <c r="B559">
        <f t="shared" si="128"/>
        <v>640</v>
      </c>
      <c r="C559" s="22">
        <f t="shared" si="116"/>
        <v>53.25</v>
      </c>
      <c r="D559" s="22">
        <f t="shared" si="117"/>
        <v>0</v>
      </c>
      <c r="E559" s="22">
        <f t="shared" si="127"/>
        <v>108</v>
      </c>
      <c r="F559" s="22">
        <f>IF(C559&gt;=$J$2,0,VLOOKUP($E559,'Mortality Table'!$A$3:$C$128,2+G$2,FALSE))</f>
        <v>0</v>
      </c>
      <c r="G559">
        <f>F559*Assumptions!$B$1</f>
        <v>0</v>
      </c>
      <c r="H559">
        <f t="shared" si="118"/>
        <v>0</v>
      </c>
      <c r="I559" s="22">
        <f>HLOOKUP(C559,Assumptions!$A$6:$J$7,2,TRUE)</f>
        <v>2.6499999999999999E-2</v>
      </c>
      <c r="J559" s="22">
        <f t="shared" si="119"/>
        <v>0</v>
      </c>
      <c r="K559" s="22">
        <f t="shared" si="120"/>
        <v>0</v>
      </c>
      <c r="L559" s="22">
        <f t="shared" si="121"/>
        <v>0</v>
      </c>
      <c r="M559" s="22">
        <f t="shared" si="122"/>
        <v>0</v>
      </c>
      <c r="N559" s="22">
        <f>M558*Assumptions!$B$11/$E$2*J559</f>
        <v>0</v>
      </c>
      <c r="O559" s="22">
        <f>M558*Assumptions!$B$13/$E$2*J559</f>
        <v>0</v>
      </c>
      <c r="P559" s="22">
        <f>H559*Assumptions!$B$15</f>
        <v>0</v>
      </c>
      <c r="Q559" s="22">
        <f>O559*Assumptions!$B$17</f>
        <v>0</v>
      </c>
      <c r="R559" s="22">
        <f>HLOOKUP(B559,Assumptions!$A$26:$D$27,2,TRUE)</f>
        <v>0</v>
      </c>
      <c r="S559">
        <f t="shared" si="123"/>
        <v>0</v>
      </c>
      <c r="T559">
        <f t="shared" si="124"/>
        <v>0.25</v>
      </c>
      <c r="U559">
        <f>IF(B559&gt;$K$2,0,IF(T560=0,0,(1-T560)*Assumptions!$B$11/$E$2*(1-Assumptions!$B$30)))</f>
        <v>0</v>
      </c>
      <c r="V559" s="22">
        <f>(N559-O559)*(1-Assumptions!$B$30)-Q559+U558*M558</f>
        <v>0</v>
      </c>
      <c r="W559" s="22">
        <f>W558*(1+Assumptions!$B$36)^(1/12)</f>
        <v>1.5752255089195086</v>
      </c>
      <c r="X559" s="19">
        <f>IF(B559&gt;$K$2,0,W558*Assumptions!$B$32/12*M558+V559*Assumptions!$B$34/12)</f>
        <v>0</v>
      </c>
      <c r="Y559" s="20">
        <f>1/(1+HLOOKUP(YEAR(A559),Assumptions!$A$41:$AL$43,3,TRUE))^(1/12)</f>
        <v>0.99757644752594421</v>
      </c>
      <c r="Z559" s="22">
        <f t="shared" si="125"/>
        <v>0</v>
      </c>
      <c r="AA559">
        <f t="shared" si="126"/>
        <v>0</v>
      </c>
    </row>
    <row r="560" spans="1:27" x14ac:dyDescent="0.2">
      <c r="A560" s="2">
        <f t="shared" si="129"/>
        <v>59809</v>
      </c>
      <c r="B560">
        <f t="shared" si="128"/>
        <v>641</v>
      </c>
      <c r="C560" s="22">
        <f t="shared" si="116"/>
        <v>53.333333333333336</v>
      </c>
      <c r="D560" s="22">
        <f t="shared" si="117"/>
        <v>0</v>
      </c>
      <c r="E560" s="22">
        <f t="shared" si="127"/>
        <v>108</v>
      </c>
      <c r="F560" s="22">
        <f>IF(C560&gt;=$J$2,0,VLOOKUP($E560,'Mortality Table'!$A$3:$C$128,2+G$2,FALSE))</f>
        <v>0</v>
      </c>
      <c r="G560">
        <f>F560*Assumptions!$B$1</f>
        <v>0</v>
      </c>
      <c r="H560">
        <f t="shared" si="118"/>
        <v>0</v>
      </c>
      <c r="I560" s="22">
        <f>HLOOKUP(C560,Assumptions!$A$6:$J$7,2,TRUE)</f>
        <v>2.6499999999999999E-2</v>
      </c>
      <c r="J560" s="22">
        <f t="shared" si="119"/>
        <v>0</v>
      </c>
      <c r="K560" s="22">
        <f t="shared" si="120"/>
        <v>0</v>
      </c>
      <c r="L560" s="22">
        <f t="shared" si="121"/>
        <v>0</v>
      </c>
      <c r="M560" s="22">
        <f t="shared" si="122"/>
        <v>0</v>
      </c>
      <c r="N560" s="22">
        <f>M559*Assumptions!$B$11/$E$2*J560</f>
        <v>0</v>
      </c>
      <c r="O560" s="22">
        <f>M559*Assumptions!$B$13/$E$2*J560</f>
        <v>0</v>
      </c>
      <c r="P560" s="22">
        <f>H560*Assumptions!$B$15</f>
        <v>0</v>
      </c>
      <c r="Q560" s="22">
        <f>O560*Assumptions!$B$17</f>
        <v>0</v>
      </c>
      <c r="R560" s="22">
        <f>HLOOKUP(B560,Assumptions!$A$26:$D$27,2,TRUE)</f>
        <v>0</v>
      </c>
      <c r="S560">
        <f t="shared" si="123"/>
        <v>0</v>
      </c>
      <c r="T560">
        <f t="shared" si="124"/>
        <v>0.3333333333333357</v>
      </c>
      <c r="U560">
        <f>IF(B560&gt;$K$2,0,IF(T561=0,0,(1-T561)*Assumptions!$B$11/$E$2*(1-Assumptions!$B$30)))</f>
        <v>0</v>
      </c>
      <c r="V560" s="22">
        <f>(N560-O560)*(1-Assumptions!$B$30)-Q560+U559*M559</f>
        <v>0</v>
      </c>
      <c r="W560" s="22">
        <f>W559*(1+Assumptions!$B$36)^(1/12)</f>
        <v>1.5765322185178476</v>
      </c>
      <c r="X560" s="19">
        <f>IF(B560&gt;$K$2,0,W559*Assumptions!$B$32/12*M559+V560*Assumptions!$B$34/12)</f>
        <v>0</v>
      </c>
      <c r="Y560" s="20">
        <f>1/(1+HLOOKUP(YEAR(A560),Assumptions!$A$41:$AL$43,3,TRUE))^(1/12)</f>
        <v>0.99757644752594421</v>
      </c>
      <c r="Z560" s="22">
        <f t="shared" si="125"/>
        <v>0</v>
      </c>
      <c r="AA560">
        <f t="shared" si="126"/>
        <v>0</v>
      </c>
    </row>
    <row r="561" spans="1:27" x14ac:dyDescent="0.2">
      <c r="A561" s="2">
        <f t="shared" si="129"/>
        <v>59840</v>
      </c>
      <c r="B561">
        <f t="shared" si="128"/>
        <v>642</v>
      </c>
      <c r="C561" s="22">
        <f t="shared" si="116"/>
        <v>53.416666666666664</v>
      </c>
      <c r="D561" s="22">
        <f t="shared" si="117"/>
        <v>0</v>
      </c>
      <c r="E561" s="22">
        <f t="shared" si="127"/>
        <v>108</v>
      </c>
      <c r="F561" s="22">
        <f>IF(C561&gt;=$J$2,0,VLOOKUP($E561,'Mortality Table'!$A$3:$C$128,2+G$2,FALSE))</f>
        <v>0</v>
      </c>
      <c r="G561">
        <f>F561*Assumptions!$B$1</f>
        <v>0</v>
      </c>
      <c r="H561">
        <f t="shared" si="118"/>
        <v>0</v>
      </c>
      <c r="I561" s="22">
        <f>HLOOKUP(C561,Assumptions!$A$6:$J$7,2,TRUE)</f>
        <v>2.6499999999999999E-2</v>
      </c>
      <c r="J561" s="22">
        <f t="shared" si="119"/>
        <v>0</v>
      </c>
      <c r="K561" s="22">
        <f t="shared" si="120"/>
        <v>0</v>
      </c>
      <c r="L561" s="22">
        <f t="shared" si="121"/>
        <v>0</v>
      </c>
      <c r="M561" s="22">
        <f t="shared" si="122"/>
        <v>0</v>
      </c>
      <c r="N561" s="22">
        <f>M560*Assumptions!$B$11/$E$2*J561</f>
        <v>0</v>
      </c>
      <c r="O561" s="22">
        <f>M560*Assumptions!$B$13/$E$2*J561</f>
        <v>0</v>
      </c>
      <c r="P561" s="22">
        <f>H561*Assumptions!$B$15</f>
        <v>0</v>
      </c>
      <c r="Q561" s="22">
        <f>O561*Assumptions!$B$17</f>
        <v>0</v>
      </c>
      <c r="R561" s="22">
        <f>HLOOKUP(B561,Assumptions!$A$26:$D$27,2,TRUE)</f>
        <v>0</v>
      </c>
      <c r="S561">
        <f t="shared" si="123"/>
        <v>0</v>
      </c>
      <c r="T561">
        <f t="shared" si="124"/>
        <v>0.4166666666666643</v>
      </c>
      <c r="U561">
        <f>IF(B561&gt;$K$2,0,IF(T562=0,0,(1-T562)*Assumptions!$B$11/$E$2*(1-Assumptions!$B$30)))</f>
        <v>0</v>
      </c>
      <c r="V561" s="22">
        <f>(N561-O561)*(1-Assumptions!$B$30)-Q561+U560*M560</f>
        <v>0</v>
      </c>
      <c r="W561" s="22">
        <f>W560*(1+Assumptions!$B$36)^(1/12)</f>
        <v>1.577840012081603</v>
      </c>
      <c r="X561" s="19">
        <f>IF(B561&gt;$K$2,0,W560*Assumptions!$B$32/12*M560+V561*Assumptions!$B$34/12)</f>
        <v>0</v>
      </c>
      <c r="Y561" s="20">
        <f>1/(1+HLOOKUP(YEAR(A561),Assumptions!$A$41:$AL$43,3,TRUE))^(1/12)</f>
        <v>0.99757644752594421</v>
      </c>
      <c r="Z561" s="22">
        <f t="shared" si="125"/>
        <v>0</v>
      </c>
      <c r="AA561">
        <f t="shared" si="126"/>
        <v>0</v>
      </c>
    </row>
    <row r="562" spans="1:27" x14ac:dyDescent="0.2">
      <c r="A562" s="2">
        <f t="shared" si="129"/>
        <v>59870</v>
      </c>
      <c r="B562">
        <f t="shared" si="128"/>
        <v>643</v>
      </c>
      <c r="C562" s="22">
        <f t="shared" si="116"/>
        <v>53.5</v>
      </c>
      <c r="D562" s="22">
        <f t="shared" si="117"/>
        <v>0</v>
      </c>
      <c r="E562" s="22">
        <f t="shared" si="127"/>
        <v>108</v>
      </c>
      <c r="F562" s="22">
        <f>IF(C562&gt;=$J$2,0,VLOOKUP($E562,'Mortality Table'!$A$3:$C$128,2+G$2,FALSE))</f>
        <v>0</v>
      </c>
      <c r="G562">
        <f>F562*Assumptions!$B$1</f>
        <v>0</v>
      </c>
      <c r="H562">
        <f t="shared" si="118"/>
        <v>0</v>
      </c>
      <c r="I562" s="22">
        <f>HLOOKUP(C562,Assumptions!$A$6:$J$7,2,TRUE)</f>
        <v>2.6499999999999999E-2</v>
      </c>
      <c r="J562" s="22">
        <f t="shared" si="119"/>
        <v>0</v>
      </c>
      <c r="K562" s="22">
        <f t="shared" si="120"/>
        <v>0</v>
      </c>
      <c r="L562" s="22">
        <f t="shared" si="121"/>
        <v>0</v>
      </c>
      <c r="M562" s="22">
        <f t="shared" si="122"/>
        <v>0</v>
      </c>
      <c r="N562" s="22">
        <f>M561*Assumptions!$B$11/$E$2*J562</f>
        <v>0</v>
      </c>
      <c r="O562" s="22">
        <f>M561*Assumptions!$B$13/$E$2*J562</f>
        <v>0</v>
      </c>
      <c r="P562" s="22">
        <f>H562*Assumptions!$B$15</f>
        <v>0</v>
      </c>
      <c r="Q562" s="22">
        <f>O562*Assumptions!$B$17</f>
        <v>0</v>
      </c>
      <c r="R562" s="22">
        <f>HLOOKUP(B562,Assumptions!$A$26:$D$27,2,TRUE)</f>
        <v>0</v>
      </c>
      <c r="S562">
        <f t="shared" si="123"/>
        <v>0</v>
      </c>
      <c r="T562">
        <f t="shared" si="124"/>
        <v>0.5</v>
      </c>
      <c r="U562">
        <f>IF(B562&gt;$K$2,0,IF(T563=0,0,(1-T563)*Assumptions!$B$11/$E$2*(1-Assumptions!$B$30)))</f>
        <v>0</v>
      </c>
      <c r="V562" s="22">
        <f>(N562-O562)*(1-Assumptions!$B$30)-Q562+U561*M561</f>
        <v>0</v>
      </c>
      <c r="W562" s="22">
        <f>W561*(1+Assumptions!$B$36)^(1/12)</f>
        <v>1.5791488905099651</v>
      </c>
      <c r="X562" s="19">
        <f>IF(B562&gt;$K$2,0,W561*Assumptions!$B$32/12*M561+V562*Assumptions!$B$34/12)</f>
        <v>0</v>
      </c>
      <c r="Y562" s="20">
        <f>1/(1+HLOOKUP(YEAR(A562),Assumptions!$A$41:$AL$43,3,TRUE))^(1/12)</f>
        <v>0.99757644752594421</v>
      </c>
      <c r="Z562" s="22">
        <f t="shared" si="125"/>
        <v>0</v>
      </c>
      <c r="AA562">
        <f t="shared" si="126"/>
        <v>0</v>
      </c>
    </row>
    <row r="563" spans="1:27" x14ac:dyDescent="0.2">
      <c r="A563" s="2">
        <f t="shared" si="129"/>
        <v>59901</v>
      </c>
      <c r="B563">
        <f t="shared" si="128"/>
        <v>644</v>
      </c>
      <c r="C563" s="22">
        <f t="shared" si="116"/>
        <v>53.583333333333336</v>
      </c>
      <c r="D563" s="22">
        <f t="shared" si="117"/>
        <v>0</v>
      </c>
      <c r="E563" s="22">
        <f t="shared" si="127"/>
        <v>108</v>
      </c>
      <c r="F563" s="22">
        <f>IF(C563&gt;=$J$2,0,VLOOKUP($E563,'Mortality Table'!$A$3:$C$128,2+G$2,FALSE))</f>
        <v>0</v>
      </c>
      <c r="G563">
        <f>F563*Assumptions!$B$1</f>
        <v>0</v>
      </c>
      <c r="H563">
        <f t="shared" si="118"/>
        <v>0</v>
      </c>
      <c r="I563" s="22">
        <f>HLOOKUP(C563,Assumptions!$A$6:$J$7,2,TRUE)</f>
        <v>2.6499999999999999E-2</v>
      </c>
      <c r="J563" s="22">
        <f t="shared" si="119"/>
        <v>0</v>
      </c>
      <c r="K563" s="22">
        <f t="shared" si="120"/>
        <v>0</v>
      </c>
      <c r="L563" s="22">
        <f t="shared" si="121"/>
        <v>0</v>
      </c>
      <c r="M563" s="22">
        <f t="shared" si="122"/>
        <v>0</v>
      </c>
      <c r="N563" s="22">
        <f>M562*Assumptions!$B$11/$E$2*J563</f>
        <v>0</v>
      </c>
      <c r="O563" s="22">
        <f>M562*Assumptions!$B$13/$E$2*J563</f>
        <v>0</v>
      </c>
      <c r="P563" s="22">
        <f>H563*Assumptions!$B$15</f>
        <v>0</v>
      </c>
      <c r="Q563" s="22">
        <f>O563*Assumptions!$B$17</f>
        <v>0</v>
      </c>
      <c r="R563" s="22">
        <f>HLOOKUP(B563,Assumptions!$A$26:$D$27,2,TRUE)</f>
        <v>0</v>
      </c>
      <c r="S563">
        <f t="shared" si="123"/>
        <v>0</v>
      </c>
      <c r="T563">
        <f t="shared" si="124"/>
        <v>0.5833333333333357</v>
      </c>
      <c r="U563">
        <f>IF(B563&gt;$K$2,0,IF(T564=0,0,(1-T564)*Assumptions!$B$11/$E$2*(1-Assumptions!$B$30)))</f>
        <v>0</v>
      </c>
      <c r="V563" s="22">
        <f>(N563-O563)*(1-Assumptions!$B$30)-Q563+U562*M562</f>
        <v>0</v>
      </c>
      <c r="W563" s="22">
        <f>W562*(1+Assumptions!$B$36)^(1/12)</f>
        <v>1.5804588547028706</v>
      </c>
      <c r="X563" s="19">
        <f>IF(B563&gt;$K$2,0,W562*Assumptions!$B$32/12*M562+V563*Assumptions!$B$34/12)</f>
        <v>0</v>
      </c>
      <c r="Y563" s="20">
        <f>1/(1+HLOOKUP(YEAR(A563),Assumptions!$A$41:$AL$43,3,TRUE))^(1/12)</f>
        <v>0.99757644752594421</v>
      </c>
      <c r="Z563" s="22">
        <f t="shared" si="125"/>
        <v>0</v>
      </c>
      <c r="AA563">
        <f t="shared" si="126"/>
        <v>0</v>
      </c>
    </row>
    <row r="564" spans="1:27" x14ac:dyDescent="0.2">
      <c r="A564" s="2">
        <f t="shared" si="129"/>
        <v>59932</v>
      </c>
      <c r="B564">
        <f t="shared" si="128"/>
        <v>645</v>
      </c>
      <c r="C564" s="22">
        <f t="shared" si="116"/>
        <v>53.666666666666664</v>
      </c>
      <c r="D564" s="22">
        <f t="shared" si="117"/>
        <v>0</v>
      </c>
      <c r="E564" s="22">
        <f t="shared" si="127"/>
        <v>108</v>
      </c>
      <c r="F564" s="22">
        <f>IF(C564&gt;=$J$2,0,VLOOKUP($E564,'Mortality Table'!$A$3:$C$128,2+G$2,FALSE))</f>
        <v>0</v>
      </c>
      <c r="G564">
        <f>F564*Assumptions!$B$1</f>
        <v>0</v>
      </c>
      <c r="H564">
        <f t="shared" si="118"/>
        <v>0</v>
      </c>
      <c r="I564" s="22">
        <f>HLOOKUP(C564,Assumptions!$A$6:$J$7,2,TRUE)</f>
        <v>2.6499999999999999E-2</v>
      </c>
      <c r="J564" s="22">
        <f t="shared" si="119"/>
        <v>0</v>
      </c>
      <c r="K564" s="22">
        <f t="shared" si="120"/>
        <v>0</v>
      </c>
      <c r="L564" s="22">
        <f t="shared" si="121"/>
        <v>0</v>
      </c>
      <c r="M564" s="22">
        <f t="shared" si="122"/>
        <v>0</v>
      </c>
      <c r="N564" s="22">
        <f>M563*Assumptions!$B$11/$E$2*J564</f>
        <v>0</v>
      </c>
      <c r="O564" s="22">
        <f>M563*Assumptions!$B$13/$E$2*J564</f>
        <v>0</v>
      </c>
      <c r="P564" s="22">
        <f>H564*Assumptions!$B$15</f>
        <v>0</v>
      </c>
      <c r="Q564" s="22">
        <f>O564*Assumptions!$B$17</f>
        <v>0</v>
      </c>
      <c r="R564" s="22">
        <f>HLOOKUP(B564,Assumptions!$A$26:$D$27,2,TRUE)</f>
        <v>0</v>
      </c>
      <c r="S564">
        <f t="shared" si="123"/>
        <v>0</v>
      </c>
      <c r="T564">
        <f t="shared" si="124"/>
        <v>0.6666666666666643</v>
      </c>
      <c r="U564">
        <f>IF(B564&gt;$K$2,0,IF(T565=0,0,(1-T565)*Assumptions!$B$11/$E$2*(1-Assumptions!$B$30)))</f>
        <v>0</v>
      </c>
      <c r="V564" s="22">
        <f>(N564-O564)*(1-Assumptions!$B$30)-Q564+U563*M563</f>
        <v>0</v>
      </c>
      <c r="W564" s="22">
        <f>W563*(1+Assumptions!$B$36)^(1/12)</f>
        <v>1.5817699055610026</v>
      </c>
      <c r="X564" s="19">
        <f>IF(B564&gt;$K$2,0,W563*Assumptions!$B$32/12*M563+V564*Assumptions!$B$34/12)</f>
        <v>0</v>
      </c>
      <c r="Y564" s="20">
        <f>1/(1+HLOOKUP(YEAR(A564),Assumptions!$A$41:$AL$43,3,TRUE))^(1/12)</f>
        <v>0.99757644752594421</v>
      </c>
      <c r="Z564" s="22">
        <f t="shared" si="125"/>
        <v>0</v>
      </c>
      <c r="AA564">
        <f t="shared" si="126"/>
        <v>0</v>
      </c>
    </row>
    <row r="565" spans="1:27" x14ac:dyDescent="0.2">
      <c r="A565" s="2">
        <f t="shared" si="129"/>
        <v>59961</v>
      </c>
      <c r="B565">
        <f t="shared" si="128"/>
        <v>646</v>
      </c>
      <c r="C565" s="22">
        <f t="shared" si="116"/>
        <v>53.75</v>
      </c>
      <c r="D565" s="22">
        <f t="shared" si="117"/>
        <v>0</v>
      </c>
      <c r="E565" s="22">
        <f t="shared" si="127"/>
        <v>108</v>
      </c>
      <c r="F565" s="22">
        <f>IF(C565&gt;=$J$2,0,VLOOKUP($E565,'Mortality Table'!$A$3:$C$128,2+G$2,FALSE))</f>
        <v>0</v>
      </c>
      <c r="G565">
        <f>F565*Assumptions!$B$1</f>
        <v>0</v>
      </c>
      <c r="H565">
        <f t="shared" si="118"/>
        <v>0</v>
      </c>
      <c r="I565" s="22">
        <f>HLOOKUP(C565,Assumptions!$A$6:$J$7,2,TRUE)</f>
        <v>2.6499999999999999E-2</v>
      </c>
      <c r="J565" s="22">
        <f t="shared" si="119"/>
        <v>0</v>
      </c>
      <c r="K565" s="22">
        <f t="shared" si="120"/>
        <v>0</v>
      </c>
      <c r="L565" s="22">
        <f t="shared" si="121"/>
        <v>0</v>
      </c>
      <c r="M565" s="22">
        <f t="shared" si="122"/>
        <v>0</v>
      </c>
      <c r="N565" s="22">
        <f>M564*Assumptions!$B$11/$E$2*J565</f>
        <v>0</v>
      </c>
      <c r="O565" s="22">
        <f>M564*Assumptions!$B$13/$E$2*J565</f>
        <v>0</v>
      </c>
      <c r="P565" s="22">
        <f>H565*Assumptions!$B$15</f>
        <v>0</v>
      </c>
      <c r="Q565" s="22">
        <f>O565*Assumptions!$B$17</f>
        <v>0</v>
      </c>
      <c r="R565" s="22">
        <f>HLOOKUP(B565,Assumptions!$A$26:$D$27,2,TRUE)</f>
        <v>0</v>
      </c>
      <c r="S565">
        <f t="shared" si="123"/>
        <v>0</v>
      </c>
      <c r="T565">
        <f t="shared" si="124"/>
        <v>0.75</v>
      </c>
      <c r="U565">
        <f>IF(B565&gt;$K$2,0,IF(T566=0,0,(1-T566)*Assumptions!$B$11/$E$2*(1-Assumptions!$B$30)))</f>
        <v>0</v>
      </c>
      <c r="V565" s="22">
        <f>(N565-O565)*(1-Assumptions!$B$30)-Q565+U564*M564</f>
        <v>0</v>
      </c>
      <c r="W565" s="22">
        <f>W564*(1+Assumptions!$B$36)^(1/12)</f>
        <v>1.5830820439857911</v>
      </c>
      <c r="X565" s="19">
        <f>IF(B565&gt;$K$2,0,W564*Assumptions!$B$32/12*M564+V565*Assumptions!$B$34/12)</f>
        <v>0</v>
      </c>
      <c r="Y565" s="20">
        <f>1/(1+HLOOKUP(YEAR(A565),Assumptions!$A$41:$AL$43,3,TRUE))^(1/12)</f>
        <v>0.99757644752594421</v>
      </c>
      <c r="Z565" s="22">
        <f t="shared" si="125"/>
        <v>0</v>
      </c>
      <c r="AA565">
        <f t="shared" si="126"/>
        <v>0</v>
      </c>
    </row>
    <row r="566" spans="1:27" x14ac:dyDescent="0.2">
      <c r="A566" s="2">
        <f t="shared" si="129"/>
        <v>59992</v>
      </c>
      <c r="B566">
        <f t="shared" si="128"/>
        <v>647</v>
      </c>
      <c r="C566" s="22">
        <f t="shared" si="116"/>
        <v>53.833333333333336</v>
      </c>
      <c r="D566" s="22">
        <f t="shared" si="117"/>
        <v>0</v>
      </c>
      <c r="E566" s="22">
        <f t="shared" si="127"/>
        <v>108</v>
      </c>
      <c r="F566" s="22">
        <f>IF(C566&gt;=$J$2,0,VLOOKUP($E566,'Mortality Table'!$A$3:$C$128,2+G$2,FALSE))</f>
        <v>0</v>
      </c>
      <c r="G566">
        <f>F566*Assumptions!$B$1</f>
        <v>0</v>
      </c>
      <c r="H566">
        <f t="shared" si="118"/>
        <v>0</v>
      </c>
      <c r="I566" s="22">
        <f>HLOOKUP(C566,Assumptions!$A$6:$J$7,2,TRUE)</f>
        <v>2.6499999999999999E-2</v>
      </c>
      <c r="J566" s="22">
        <f t="shared" si="119"/>
        <v>0</v>
      </c>
      <c r="K566" s="22">
        <f t="shared" si="120"/>
        <v>0</v>
      </c>
      <c r="L566" s="22">
        <f t="shared" si="121"/>
        <v>0</v>
      </c>
      <c r="M566" s="22">
        <f t="shared" si="122"/>
        <v>0</v>
      </c>
      <c r="N566" s="22">
        <f>M565*Assumptions!$B$11/$E$2*J566</f>
        <v>0</v>
      </c>
      <c r="O566" s="22">
        <f>M565*Assumptions!$B$13/$E$2*J566</f>
        <v>0</v>
      </c>
      <c r="P566" s="22">
        <f>H566*Assumptions!$B$15</f>
        <v>0</v>
      </c>
      <c r="Q566" s="22">
        <f>O566*Assumptions!$B$17</f>
        <v>0</v>
      </c>
      <c r="R566" s="22">
        <f>HLOOKUP(B566,Assumptions!$A$26:$D$27,2,TRUE)</f>
        <v>0</v>
      </c>
      <c r="S566">
        <f t="shared" si="123"/>
        <v>0</v>
      </c>
      <c r="T566">
        <f t="shared" si="124"/>
        <v>0.8333333333333357</v>
      </c>
      <c r="U566">
        <f>IF(B566&gt;$K$2,0,IF(T567=0,0,(1-T567)*Assumptions!$B$11/$E$2*(1-Assumptions!$B$30)))</f>
        <v>0</v>
      </c>
      <c r="V566" s="22">
        <f>(N566-O566)*(1-Assumptions!$B$30)-Q566+U565*M565</f>
        <v>0</v>
      </c>
      <c r="W566" s="22">
        <f>W565*(1+Assumptions!$B$36)^(1/12)</f>
        <v>1.5843952708794145</v>
      </c>
      <c r="X566" s="19">
        <f>IF(B566&gt;$K$2,0,W565*Assumptions!$B$32/12*M565+V566*Assumptions!$B$34/12)</f>
        <v>0</v>
      </c>
      <c r="Y566" s="20">
        <f>1/(1+HLOOKUP(YEAR(A566),Assumptions!$A$41:$AL$43,3,TRUE))^(1/12)</f>
        <v>0.99757644752594421</v>
      </c>
      <c r="Z566" s="22">
        <f t="shared" si="125"/>
        <v>0</v>
      </c>
      <c r="AA566">
        <f t="shared" si="126"/>
        <v>0</v>
      </c>
    </row>
    <row r="567" spans="1:27" x14ac:dyDescent="0.2">
      <c r="A567" s="2">
        <f t="shared" si="129"/>
        <v>60022</v>
      </c>
      <c r="B567">
        <f t="shared" si="128"/>
        <v>648</v>
      </c>
      <c r="C567" s="22">
        <f t="shared" si="116"/>
        <v>53.916666666666664</v>
      </c>
      <c r="D567" s="22">
        <f t="shared" si="117"/>
        <v>0</v>
      </c>
      <c r="E567" s="22">
        <f t="shared" si="127"/>
        <v>108</v>
      </c>
      <c r="F567" s="22">
        <f>IF(C567&gt;=$J$2,0,VLOOKUP($E567,'Mortality Table'!$A$3:$C$128,2+G$2,FALSE))</f>
        <v>0</v>
      </c>
      <c r="G567">
        <f>F567*Assumptions!$B$1</f>
        <v>0</v>
      </c>
      <c r="H567">
        <f t="shared" si="118"/>
        <v>0</v>
      </c>
      <c r="I567" s="22">
        <f>HLOOKUP(C567,Assumptions!$A$6:$J$7,2,TRUE)</f>
        <v>2.6499999999999999E-2</v>
      </c>
      <c r="J567" s="22">
        <f t="shared" si="119"/>
        <v>0</v>
      </c>
      <c r="K567" s="22">
        <f t="shared" si="120"/>
        <v>0</v>
      </c>
      <c r="L567" s="22">
        <f t="shared" si="121"/>
        <v>0</v>
      </c>
      <c r="M567" s="22">
        <f t="shared" si="122"/>
        <v>0</v>
      </c>
      <c r="N567" s="22">
        <f>M566*Assumptions!$B$11/$E$2*J567</f>
        <v>0</v>
      </c>
      <c r="O567" s="22">
        <f>M566*Assumptions!$B$13/$E$2*J567</f>
        <v>0</v>
      </c>
      <c r="P567" s="22">
        <f>H567*Assumptions!$B$15</f>
        <v>0</v>
      </c>
      <c r="Q567" s="22">
        <f>O567*Assumptions!$B$17</f>
        <v>0</v>
      </c>
      <c r="R567" s="22">
        <f>HLOOKUP(B567,Assumptions!$A$26:$D$27,2,TRUE)</f>
        <v>0</v>
      </c>
      <c r="S567">
        <f t="shared" si="123"/>
        <v>0</v>
      </c>
      <c r="T567">
        <f t="shared" si="124"/>
        <v>0.9166666666666643</v>
      </c>
      <c r="U567">
        <f>IF(B567&gt;$K$2,0,IF(T568=0,0,(1-T568)*Assumptions!$B$11/$E$2*(1-Assumptions!$B$30)))</f>
        <v>0</v>
      </c>
      <c r="V567" s="22">
        <f>(N567-O567)*(1-Assumptions!$B$30)-Q567+U566*M566</f>
        <v>0</v>
      </c>
      <c r="W567" s="22">
        <f>W566*(1+Assumptions!$B$36)^(1/12)</f>
        <v>1.5857095871447988</v>
      </c>
      <c r="X567" s="19">
        <f>IF(B567&gt;$K$2,0,W566*Assumptions!$B$32/12*M566+V567*Assumptions!$B$34/12)</f>
        <v>0</v>
      </c>
      <c r="Y567" s="20">
        <f>1/(1+HLOOKUP(YEAR(A567),Assumptions!$A$41:$AL$43,3,TRUE))^(1/12)</f>
        <v>0.99757644752594421</v>
      </c>
      <c r="Z567" s="22">
        <f t="shared" si="125"/>
        <v>0</v>
      </c>
      <c r="AA567">
        <f t="shared" si="126"/>
        <v>0</v>
      </c>
    </row>
    <row r="568" spans="1:27" x14ac:dyDescent="0.2">
      <c r="A568" s="2">
        <f t="shared" si="129"/>
        <v>60053</v>
      </c>
      <c r="B568">
        <f t="shared" si="128"/>
        <v>649</v>
      </c>
      <c r="C568" s="22">
        <f t="shared" ref="C568:C576" si="130">(B568+11)/12-1</f>
        <v>54</v>
      </c>
      <c r="D568" s="22">
        <f t="shared" ref="D568:D576" si="131">IF(C568-INT(C568)=0,1,0)</f>
        <v>1</v>
      </c>
      <c r="E568" s="22">
        <f t="shared" si="127"/>
        <v>109</v>
      </c>
      <c r="F568" s="22">
        <f>IF(C568&gt;=$J$2,0,VLOOKUP($E568,'Mortality Table'!$A$3:$C$128,2+G$2,FALSE))</f>
        <v>0</v>
      </c>
      <c r="G568">
        <f>F568*Assumptions!$B$1</f>
        <v>0</v>
      </c>
      <c r="H568">
        <f t="shared" ref="H568:H576" si="132">(1-(1-G568)^(1/12))*M567</f>
        <v>0</v>
      </c>
      <c r="I568" s="22">
        <f>HLOOKUP(C568,Assumptions!$A$6:$J$7,2,TRUE)</f>
        <v>2.6499999999999999E-2</v>
      </c>
      <c r="J568" s="22">
        <f t="shared" ref="J568:J576" si="133">IF(B568&gt;$K$2,0,IF(($E$2*(B568+11))/12-INT(($E$2*(B568+11))/12)=0,1,0))</f>
        <v>0</v>
      </c>
      <c r="K568" s="22">
        <f t="shared" ref="K568:K576" si="134">IF(B569&gt;$K$2,0,IF(J569=0,0,1/$E$2))</f>
        <v>0</v>
      </c>
      <c r="L568" s="22">
        <f t="shared" ref="L568:L576" si="135">(1-(1-I568)^K568)*(M567-H568)</f>
        <v>0</v>
      </c>
      <c r="M568" s="22">
        <f t="shared" ref="M568:M576" si="136">IF(B568&gt;$K$2,0,M567-H568-L568)</f>
        <v>0</v>
      </c>
      <c r="N568" s="22">
        <f>M567*Assumptions!$B$11/$E$2*J568</f>
        <v>0</v>
      </c>
      <c r="O568" s="22">
        <f>M567*Assumptions!$B$13/$E$2*J568</f>
        <v>0</v>
      </c>
      <c r="P568" s="22">
        <f>H568*Assumptions!$B$15</f>
        <v>0</v>
      </c>
      <c r="Q568" s="22">
        <f>O568*Assumptions!$B$17</f>
        <v>0</v>
      </c>
      <c r="R568" s="22">
        <f>HLOOKUP(B568,Assumptions!$A$26:$D$27,2,TRUE)</f>
        <v>0</v>
      </c>
      <c r="S568">
        <f t="shared" ref="S568:S576" si="137">N568*R568</f>
        <v>0</v>
      </c>
      <c r="T568">
        <f t="shared" ref="T568:T576" si="138">($E$2*(B568+11))/12-INT(($E$2*(B568+11))/12)</f>
        <v>0</v>
      </c>
      <c r="U568">
        <f>IF(B568&gt;$K$2,0,IF(T569=0,0,(1-T569)*Assumptions!$B$11/$E$2*(1-Assumptions!$B$30)))</f>
        <v>0</v>
      </c>
      <c r="V568" s="22">
        <f>(N568-O568)*(1-Assumptions!$B$30)-Q568+U567*M567</f>
        <v>0</v>
      </c>
      <c r="W568" s="22">
        <f>W567*(1+Assumptions!$B$36)^(1/12)</f>
        <v>1.5870249936856196</v>
      </c>
      <c r="X568" s="19">
        <f>IF(B568&gt;$K$2,0,W567*Assumptions!$B$32/12*M567+V568*Assumptions!$B$34/12)</f>
        <v>0</v>
      </c>
      <c r="Y568" s="20">
        <f>1/(1+HLOOKUP(YEAR(A568),Assumptions!$A$41:$AL$43,3,TRUE))^(1/12)</f>
        <v>0.99757644752594421</v>
      </c>
      <c r="Z568" s="22">
        <f t="shared" ref="Z568:Z576" si="139">(Z569+P569+Q569+S569+X569-N569)*Y569</f>
        <v>0</v>
      </c>
      <c r="AA568">
        <f t="shared" ref="AA568:AA576" si="140">P568+Q568</f>
        <v>0</v>
      </c>
    </row>
    <row r="569" spans="1:27" x14ac:dyDescent="0.2">
      <c r="A569" s="2">
        <f t="shared" si="129"/>
        <v>60083</v>
      </c>
      <c r="B569">
        <f t="shared" si="128"/>
        <v>650</v>
      </c>
      <c r="C569" s="22">
        <f t="shared" si="130"/>
        <v>54.083333333333336</v>
      </c>
      <c r="D569" s="22">
        <f t="shared" si="131"/>
        <v>0</v>
      </c>
      <c r="E569" s="22">
        <f t="shared" si="127"/>
        <v>109</v>
      </c>
      <c r="F569" s="22">
        <f>IF(C569&gt;=$J$2,0,VLOOKUP($E569,'Mortality Table'!$A$3:$C$128,2+G$2,FALSE))</f>
        <v>0</v>
      </c>
      <c r="G569">
        <f>F569*Assumptions!$B$1</f>
        <v>0</v>
      </c>
      <c r="H569">
        <f t="shared" si="132"/>
        <v>0</v>
      </c>
      <c r="I569" s="22">
        <f>HLOOKUP(C569,Assumptions!$A$6:$J$7,2,TRUE)</f>
        <v>2.6499999999999999E-2</v>
      </c>
      <c r="J569" s="22">
        <f t="shared" si="133"/>
        <v>0</v>
      </c>
      <c r="K569" s="22">
        <f t="shared" si="134"/>
        <v>0</v>
      </c>
      <c r="L569" s="22">
        <f t="shared" si="135"/>
        <v>0</v>
      </c>
      <c r="M569" s="22">
        <f t="shared" si="136"/>
        <v>0</v>
      </c>
      <c r="N569" s="22">
        <f>M568*Assumptions!$B$11/$E$2*J569</f>
        <v>0</v>
      </c>
      <c r="O569" s="22">
        <f>M568*Assumptions!$B$13/$E$2*J569</f>
        <v>0</v>
      </c>
      <c r="P569" s="22">
        <f>H569*Assumptions!$B$15</f>
        <v>0</v>
      </c>
      <c r="Q569" s="22">
        <f>O569*Assumptions!$B$17</f>
        <v>0</v>
      </c>
      <c r="R569" s="22">
        <f>HLOOKUP(B569,Assumptions!$A$26:$D$27,2,TRUE)</f>
        <v>0</v>
      </c>
      <c r="S569">
        <f t="shared" si="137"/>
        <v>0</v>
      </c>
      <c r="T569">
        <f t="shared" si="138"/>
        <v>8.3333333333335702E-2</v>
      </c>
      <c r="U569">
        <f>IF(B569&gt;$K$2,0,IF(T570=0,0,(1-T570)*Assumptions!$B$11/$E$2*(1-Assumptions!$B$30)))</f>
        <v>0</v>
      </c>
      <c r="V569" s="22">
        <f>(N569-O569)*(1-Assumptions!$B$30)-Q569+U568*M568</f>
        <v>0</v>
      </c>
      <c r="W569" s="22">
        <f>W568*(1+Assumptions!$B$36)^(1/12)</f>
        <v>1.5883414914063017</v>
      </c>
      <c r="X569" s="19">
        <f>IF(B569&gt;$K$2,0,W568*Assumptions!$B$32/12*M568+V569*Assumptions!$B$34/12)</f>
        <v>0</v>
      </c>
      <c r="Y569" s="20">
        <f>1/(1+HLOOKUP(YEAR(A569),Assumptions!$A$41:$AL$43,3,TRUE))^(1/12)</f>
        <v>0.99757644752594421</v>
      </c>
      <c r="Z569" s="22">
        <f t="shared" si="139"/>
        <v>0</v>
      </c>
      <c r="AA569">
        <f t="shared" si="140"/>
        <v>0</v>
      </c>
    </row>
    <row r="570" spans="1:27" x14ac:dyDescent="0.2">
      <c r="A570" s="2">
        <f t="shared" si="129"/>
        <v>60114</v>
      </c>
      <c r="B570">
        <f t="shared" si="128"/>
        <v>651</v>
      </c>
      <c r="C570" s="22">
        <f t="shared" si="130"/>
        <v>54.166666666666664</v>
      </c>
      <c r="D570" s="22">
        <f t="shared" si="131"/>
        <v>0</v>
      </c>
      <c r="E570" s="22">
        <f t="shared" si="127"/>
        <v>109</v>
      </c>
      <c r="F570" s="22">
        <f>IF(C570&gt;=$J$2,0,VLOOKUP($E570,'Mortality Table'!$A$3:$C$128,2+G$2,FALSE))</f>
        <v>0</v>
      </c>
      <c r="G570">
        <f>F570*Assumptions!$B$1</f>
        <v>0</v>
      </c>
      <c r="H570">
        <f t="shared" si="132"/>
        <v>0</v>
      </c>
      <c r="I570" s="22">
        <f>HLOOKUP(C570,Assumptions!$A$6:$J$7,2,TRUE)</f>
        <v>2.6499999999999999E-2</v>
      </c>
      <c r="J570" s="22">
        <f t="shared" si="133"/>
        <v>0</v>
      </c>
      <c r="K570" s="22">
        <f t="shared" si="134"/>
        <v>0</v>
      </c>
      <c r="L570" s="22">
        <f t="shared" si="135"/>
        <v>0</v>
      </c>
      <c r="M570" s="22">
        <f t="shared" si="136"/>
        <v>0</v>
      </c>
      <c r="N570" s="22">
        <f>M569*Assumptions!$B$11/$E$2*J570</f>
        <v>0</v>
      </c>
      <c r="O570" s="22">
        <f>M569*Assumptions!$B$13/$E$2*J570</f>
        <v>0</v>
      </c>
      <c r="P570" s="22">
        <f>H570*Assumptions!$B$15</f>
        <v>0</v>
      </c>
      <c r="Q570" s="22">
        <f>O570*Assumptions!$B$17</f>
        <v>0</v>
      </c>
      <c r="R570" s="22">
        <f>HLOOKUP(B570,Assumptions!$A$26:$D$27,2,TRUE)</f>
        <v>0</v>
      </c>
      <c r="S570">
        <f t="shared" si="137"/>
        <v>0</v>
      </c>
      <c r="T570">
        <f t="shared" si="138"/>
        <v>0.1666666666666643</v>
      </c>
      <c r="U570">
        <f>IF(B570&gt;$K$2,0,IF(T571=0,0,(1-T571)*Assumptions!$B$11/$E$2*(1-Assumptions!$B$30)))</f>
        <v>0</v>
      </c>
      <c r="V570" s="22">
        <f>(N570-O570)*(1-Assumptions!$B$30)-Q570+U569*M569</f>
        <v>0</v>
      </c>
      <c r="W570" s="22">
        <f>W569*(1+Assumptions!$B$36)^(1/12)</f>
        <v>1.5896590812120206</v>
      </c>
      <c r="X570" s="19">
        <f>IF(B570&gt;$K$2,0,W569*Assumptions!$B$32/12*M569+V570*Assumptions!$B$34/12)</f>
        <v>0</v>
      </c>
      <c r="Y570" s="20">
        <f>1/(1+HLOOKUP(YEAR(A570),Assumptions!$A$41:$AL$43,3,TRUE))^(1/12)</f>
        <v>0.99757644752594421</v>
      </c>
      <c r="Z570" s="22">
        <f t="shared" si="139"/>
        <v>0</v>
      </c>
      <c r="AA570">
        <f t="shared" si="140"/>
        <v>0</v>
      </c>
    </row>
    <row r="571" spans="1:27" x14ac:dyDescent="0.2">
      <c r="A571" s="2">
        <f t="shared" si="129"/>
        <v>60145</v>
      </c>
      <c r="B571">
        <f t="shared" si="128"/>
        <v>652</v>
      </c>
      <c r="C571" s="22">
        <f t="shared" si="130"/>
        <v>54.25</v>
      </c>
      <c r="D571" s="22">
        <f t="shared" si="131"/>
        <v>0</v>
      </c>
      <c r="E571" s="22">
        <f t="shared" si="127"/>
        <v>109</v>
      </c>
      <c r="F571" s="22">
        <f>IF(C571&gt;=$J$2,0,VLOOKUP($E571,'Mortality Table'!$A$3:$C$128,2+G$2,FALSE))</f>
        <v>0</v>
      </c>
      <c r="G571">
        <f>F571*Assumptions!$B$1</f>
        <v>0</v>
      </c>
      <c r="H571">
        <f t="shared" si="132"/>
        <v>0</v>
      </c>
      <c r="I571" s="22">
        <f>HLOOKUP(C571,Assumptions!$A$6:$J$7,2,TRUE)</f>
        <v>2.6499999999999999E-2</v>
      </c>
      <c r="J571" s="22">
        <f t="shared" si="133"/>
        <v>0</v>
      </c>
      <c r="K571" s="22">
        <f t="shared" si="134"/>
        <v>0</v>
      </c>
      <c r="L571" s="22">
        <f t="shared" si="135"/>
        <v>0</v>
      </c>
      <c r="M571" s="22">
        <f t="shared" si="136"/>
        <v>0</v>
      </c>
      <c r="N571" s="22">
        <f>M570*Assumptions!$B$11/$E$2*J571</f>
        <v>0</v>
      </c>
      <c r="O571" s="22">
        <f>M570*Assumptions!$B$13/$E$2*J571</f>
        <v>0</v>
      </c>
      <c r="P571" s="22">
        <f>H571*Assumptions!$B$15</f>
        <v>0</v>
      </c>
      <c r="Q571" s="22">
        <f>O571*Assumptions!$B$17</f>
        <v>0</v>
      </c>
      <c r="R571" s="22">
        <f>HLOOKUP(B571,Assumptions!$A$26:$D$27,2,TRUE)</f>
        <v>0</v>
      </c>
      <c r="S571">
        <f t="shared" si="137"/>
        <v>0</v>
      </c>
      <c r="T571">
        <f t="shared" si="138"/>
        <v>0.25</v>
      </c>
      <c r="U571">
        <f>IF(B571&gt;$K$2,0,IF(T572=0,0,(1-T572)*Assumptions!$B$11/$E$2*(1-Assumptions!$B$30)))</f>
        <v>0</v>
      </c>
      <c r="V571" s="22">
        <f>(N571-O571)*(1-Assumptions!$B$30)-Q571+U570*M570</f>
        <v>0</v>
      </c>
      <c r="W571" s="22">
        <f>W570*(1+Assumptions!$B$36)^(1/12)</f>
        <v>1.5909777640087024</v>
      </c>
      <c r="X571" s="19">
        <f>IF(B571&gt;$K$2,0,W570*Assumptions!$B$32/12*M570+V571*Assumptions!$B$34/12)</f>
        <v>0</v>
      </c>
      <c r="Y571" s="20">
        <f>1/(1+HLOOKUP(YEAR(A571),Assumptions!$A$41:$AL$43,3,TRUE))^(1/12)</f>
        <v>0.99757644752594421</v>
      </c>
      <c r="Z571" s="22">
        <f t="shared" si="139"/>
        <v>0</v>
      </c>
      <c r="AA571">
        <f t="shared" si="140"/>
        <v>0</v>
      </c>
    </row>
    <row r="572" spans="1:27" x14ac:dyDescent="0.2">
      <c r="A572" s="2">
        <f t="shared" si="129"/>
        <v>60175</v>
      </c>
      <c r="B572">
        <f t="shared" si="128"/>
        <v>653</v>
      </c>
      <c r="C572" s="22">
        <f t="shared" si="130"/>
        <v>54.333333333333336</v>
      </c>
      <c r="D572" s="22">
        <f t="shared" si="131"/>
        <v>0</v>
      </c>
      <c r="E572" s="22">
        <f t="shared" si="127"/>
        <v>109</v>
      </c>
      <c r="F572" s="22">
        <f>IF(C572&gt;=$J$2,0,VLOOKUP($E572,'Mortality Table'!$A$3:$C$128,2+G$2,FALSE))</f>
        <v>0</v>
      </c>
      <c r="G572">
        <f>F572*Assumptions!$B$1</f>
        <v>0</v>
      </c>
      <c r="H572">
        <f t="shared" si="132"/>
        <v>0</v>
      </c>
      <c r="I572" s="22">
        <f>HLOOKUP(C572,Assumptions!$A$6:$J$7,2,TRUE)</f>
        <v>2.6499999999999999E-2</v>
      </c>
      <c r="J572" s="22">
        <f t="shared" si="133"/>
        <v>0</v>
      </c>
      <c r="K572" s="22">
        <f t="shared" si="134"/>
        <v>0</v>
      </c>
      <c r="L572" s="22">
        <f t="shared" si="135"/>
        <v>0</v>
      </c>
      <c r="M572" s="22">
        <f t="shared" si="136"/>
        <v>0</v>
      </c>
      <c r="N572" s="22">
        <f>M571*Assumptions!$B$11/$E$2*J572</f>
        <v>0</v>
      </c>
      <c r="O572" s="22">
        <f>M571*Assumptions!$B$13/$E$2*J572</f>
        <v>0</v>
      </c>
      <c r="P572" s="22">
        <f>H572*Assumptions!$B$15</f>
        <v>0</v>
      </c>
      <c r="Q572" s="22">
        <f>O572*Assumptions!$B$17</f>
        <v>0</v>
      </c>
      <c r="R572" s="22">
        <f>HLOOKUP(B572,Assumptions!$A$26:$D$27,2,TRUE)</f>
        <v>0</v>
      </c>
      <c r="S572">
        <f t="shared" si="137"/>
        <v>0</v>
      </c>
      <c r="T572">
        <f t="shared" si="138"/>
        <v>0.3333333333333357</v>
      </c>
      <c r="U572">
        <f>IF(B572&gt;$K$2,0,IF(T573=0,0,(1-T573)*Assumptions!$B$11/$E$2*(1-Assumptions!$B$30)))</f>
        <v>0</v>
      </c>
      <c r="V572" s="22">
        <f>(N572-O572)*(1-Assumptions!$B$30)-Q572+U571*M571</f>
        <v>0</v>
      </c>
      <c r="W572" s="22">
        <f>W571*(1+Assumptions!$B$36)^(1/12)</f>
        <v>1.5922975407030249</v>
      </c>
      <c r="X572" s="19">
        <f>IF(B572&gt;$K$2,0,W571*Assumptions!$B$32/12*M571+V572*Assumptions!$B$34/12)</f>
        <v>0</v>
      </c>
      <c r="Y572" s="20">
        <f>1/(1+HLOOKUP(YEAR(A572),Assumptions!$A$41:$AL$43,3,TRUE))^(1/12)</f>
        <v>0.99757644752594421</v>
      </c>
      <c r="Z572" s="22">
        <f t="shared" si="139"/>
        <v>0</v>
      </c>
      <c r="AA572">
        <f t="shared" si="140"/>
        <v>0</v>
      </c>
    </row>
    <row r="573" spans="1:27" x14ac:dyDescent="0.2">
      <c r="A573" s="2">
        <f t="shared" si="129"/>
        <v>60206</v>
      </c>
      <c r="B573">
        <f t="shared" si="128"/>
        <v>654</v>
      </c>
      <c r="C573" s="22">
        <f t="shared" si="130"/>
        <v>54.416666666666664</v>
      </c>
      <c r="D573" s="22">
        <f t="shared" si="131"/>
        <v>0</v>
      </c>
      <c r="E573" s="22">
        <f t="shared" si="127"/>
        <v>109</v>
      </c>
      <c r="F573" s="22">
        <f>IF(C573&gt;=$J$2,0,VLOOKUP($E573,'Mortality Table'!$A$3:$C$128,2+G$2,FALSE))</f>
        <v>0</v>
      </c>
      <c r="G573">
        <f>F573*Assumptions!$B$1</f>
        <v>0</v>
      </c>
      <c r="H573">
        <f t="shared" si="132"/>
        <v>0</v>
      </c>
      <c r="I573" s="22">
        <f>HLOOKUP(C573,Assumptions!$A$6:$J$7,2,TRUE)</f>
        <v>2.6499999999999999E-2</v>
      </c>
      <c r="J573" s="22">
        <f t="shared" si="133"/>
        <v>0</v>
      </c>
      <c r="K573" s="22">
        <f t="shared" si="134"/>
        <v>0</v>
      </c>
      <c r="L573" s="22">
        <f t="shared" si="135"/>
        <v>0</v>
      </c>
      <c r="M573" s="22">
        <f t="shared" si="136"/>
        <v>0</v>
      </c>
      <c r="N573" s="22">
        <f>M572*Assumptions!$B$11/$E$2*J573</f>
        <v>0</v>
      </c>
      <c r="O573" s="22">
        <f>M572*Assumptions!$B$13/$E$2*J573</f>
        <v>0</v>
      </c>
      <c r="P573" s="22">
        <f>H573*Assumptions!$B$15</f>
        <v>0</v>
      </c>
      <c r="Q573" s="22">
        <f>O573*Assumptions!$B$17</f>
        <v>0</v>
      </c>
      <c r="R573" s="22">
        <f>HLOOKUP(B573,Assumptions!$A$26:$D$27,2,TRUE)</f>
        <v>0</v>
      </c>
      <c r="S573">
        <f t="shared" si="137"/>
        <v>0</v>
      </c>
      <c r="T573">
        <f t="shared" si="138"/>
        <v>0.4166666666666643</v>
      </c>
      <c r="U573">
        <f>IF(B573&gt;$K$2,0,IF(T574=0,0,(1-T574)*Assumptions!$B$11/$E$2*(1-Assumptions!$B$30)))</f>
        <v>0</v>
      </c>
      <c r="V573" s="22">
        <f>(N573-O573)*(1-Assumptions!$B$30)-Q573+U572*M572</f>
        <v>0</v>
      </c>
      <c r="W573" s="22">
        <f>W572*(1+Assumptions!$B$36)^(1/12)</f>
        <v>1.5936184122024177</v>
      </c>
      <c r="X573" s="19">
        <f>IF(B573&gt;$K$2,0,W572*Assumptions!$B$32/12*M572+V573*Assumptions!$B$34/12)</f>
        <v>0</v>
      </c>
      <c r="Y573" s="20">
        <f>1/(1+HLOOKUP(YEAR(A573),Assumptions!$A$41:$AL$43,3,TRUE))^(1/12)</f>
        <v>0.99757644752594421</v>
      </c>
      <c r="Z573" s="22">
        <f t="shared" si="139"/>
        <v>0</v>
      </c>
      <c r="AA573">
        <f t="shared" si="140"/>
        <v>0</v>
      </c>
    </row>
    <row r="574" spans="1:27" x14ac:dyDescent="0.2">
      <c r="A574" s="2">
        <f t="shared" si="129"/>
        <v>60236</v>
      </c>
      <c r="B574">
        <f t="shared" si="128"/>
        <v>655</v>
      </c>
      <c r="C574" s="22">
        <f t="shared" si="130"/>
        <v>54.5</v>
      </c>
      <c r="D574" s="22">
        <f t="shared" si="131"/>
        <v>0</v>
      </c>
      <c r="E574" s="22">
        <f t="shared" si="127"/>
        <v>109</v>
      </c>
      <c r="F574" s="22">
        <f>IF(C574&gt;=$J$2,0,VLOOKUP($E574,'Mortality Table'!$A$3:$C$128,2+G$2,FALSE))</f>
        <v>0</v>
      </c>
      <c r="G574">
        <f>F574*Assumptions!$B$1</f>
        <v>0</v>
      </c>
      <c r="H574">
        <f t="shared" si="132"/>
        <v>0</v>
      </c>
      <c r="I574" s="22">
        <f>HLOOKUP(C574,Assumptions!$A$6:$J$7,2,TRUE)</f>
        <v>2.6499999999999999E-2</v>
      </c>
      <c r="J574" s="22">
        <f t="shared" si="133"/>
        <v>0</v>
      </c>
      <c r="K574" s="22">
        <f t="shared" si="134"/>
        <v>0</v>
      </c>
      <c r="L574" s="22">
        <f t="shared" si="135"/>
        <v>0</v>
      </c>
      <c r="M574" s="22">
        <f t="shared" si="136"/>
        <v>0</v>
      </c>
      <c r="N574" s="22">
        <f>M573*Assumptions!$B$11/$E$2*J574</f>
        <v>0</v>
      </c>
      <c r="O574" s="22">
        <f>M573*Assumptions!$B$13/$E$2*J574</f>
        <v>0</v>
      </c>
      <c r="P574" s="22">
        <f>H574*Assumptions!$B$15</f>
        <v>0</v>
      </c>
      <c r="Q574" s="22">
        <f>O574*Assumptions!$B$17</f>
        <v>0</v>
      </c>
      <c r="R574" s="22">
        <f>HLOOKUP(B574,Assumptions!$A$26:$D$27,2,TRUE)</f>
        <v>0</v>
      </c>
      <c r="S574">
        <f t="shared" si="137"/>
        <v>0</v>
      </c>
      <c r="T574">
        <f t="shared" si="138"/>
        <v>0.5</v>
      </c>
      <c r="U574">
        <f>IF(B574&gt;$K$2,0,IF(T575=0,0,(1-T575)*Assumptions!$B$11/$E$2*(1-Assumptions!$B$30)))</f>
        <v>0</v>
      </c>
      <c r="V574" s="22">
        <f>(N574-O574)*(1-Assumptions!$B$30)-Q574+U573*M573</f>
        <v>0</v>
      </c>
      <c r="W574" s="22">
        <f>W573*(1+Assumptions!$B$36)^(1/12)</f>
        <v>1.5949403794150634</v>
      </c>
      <c r="X574" s="19">
        <f>IF(B574&gt;$K$2,0,W573*Assumptions!$B$32/12*M573+V574*Assumptions!$B$34/12)</f>
        <v>0</v>
      </c>
      <c r="Y574" s="20">
        <f>1/(1+HLOOKUP(YEAR(A574),Assumptions!$A$41:$AL$43,3,TRUE))^(1/12)</f>
        <v>0.99757644752594421</v>
      </c>
      <c r="Z574" s="22">
        <f t="shared" si="139"/>
        <v>0</v>
      </c>
      <c r="AA574">
        <f t="shared" si="140"/>
        <v>0</v>
      </c>
    </row>
    <row r="575" spans="1:27" x14ac:dyDescent="0.2">
      <c r="A575" s="2">
        <f t="shared" si="129"/>
        <v>60267</v>
      </c>
      <c r="B575">
        <f t="shared" si="128"/>
        <v>656</v>
      </c>
      <c r="C575" s="22">
        <f t="shared" si="130"/>
        <v>54.583333333333336</v>
      </c>
      <c r="D575" s="22">
        <f t="shared" si="131"/>
        <v>0</v>
      </c>
      <c r="E575" s="22">
        <f t="shared" si="127"/>
        <v>109</v>
      </c>
      <c r="F575" s="22">
        <f>IF(C575&gt;=$J$2,0,VLOOKUP($E575,'Mortality Table'!$A$3:$C$128,2+G$2,FALSE))</f>
        <v>0</v>
      </c>
      <c r="G575">
        <f>F575*Assumptions!$B$1</f>
        <v>0</v>
      </c>
      <c r="H575">
        <f t="shared" si="132"/>
        <v>0</v>
      </c>
      <c r="I575" s="22">
        <f>HLOOKUP(C575,Assumptions!$A$6:$J$7,2,TRUE)</f>
        <v>2.6499999999999999E-2</v>
      </c>
      <c r="J575" s="22">
        <f t="shared" si="133"/>
        <v>0</v>
      </c>
      <c r="K575" s="22">
        <f t="shared" si="134"/>
        <v>0</v>
      </c>
      <c r="L575" s="22">
        <f t="shared" si="135"/>
        <v>0</v>
      </c>
      <c r="M575" s="22">
        <f t="shared" si="136"/>
        <v>0</v>
      </c>
      <c r="N575" s="22">
        <f>M574*Assumptions!$B$11/$E$2*J575</f>
        <v>0</v>
      </c>
      <c r="O575" s="22">
        <f>M574*Assumptions!$B$13/$E$2*J575</f>
        <v>0</v>
      </c>
      <c r="P575" s="22">
        <f>H575*Assumptions!$B$15</f>
        <v>0</v>
      </c>
      <c r="Q575" s="22">
        <f>O575*Assumptions!$B$17</f>
        <v>0</v>
      </c>
      <c r="R575" s="22">
        <f>HLOOKUP(B575,Assumptions!$A$26:$D$27,2,TRUE)</f>
        <v>0</v>
      </c>
      <c r="S575">
        <f t="shared" si="137"/>
        <v>0</v>
      </c>
      <c r="T575">
        <f t="shared" si="138"/>
        <v>0.5833333333333357</v>
      </c>
      <c r="U575">
        <f>IF(B575&gt;$K$2,0,IF(T576=0,0,(1-T576)*Assumptions!$B$11/$E$2*(1-Assumptions!$B$30)))</f>
        <v>0</v>
      </c>
      <c r="V575" s="22">
        <f>(N575-O575)*(1-Assumptions!$B$30)-Q575+U574*M574</f>
        <v>0</v>
      </c>
      <c r="W575" s="22">
        <f>W574*(1+Assumptions!$B$36)^(1/12)</f>
        <v>1.5962634432498979</v>
      </c>
      <c r="X575" s="19">
        <f>IF(B575&gt;$K$2,0,W574*Assumptions!$B$32/12*M574+V575*Assumptions!$B$34/12)</f>
        <v>0</v>
      </c>
      <c r="Y575" s="20">
        <f>1/(1+HLOOKUP(YEAR(A575),Assumptions!$A$41:$AL$43,3,TRUE))^(1/12)</f>
        <v>0.99757644752594421</v>
      </c>
      <c r="Z575" s="22">
        <f t="shared" si="139"/>
        <v>0</v>
      </c>
      <c r="AA575">
        <f t="shared" si="140"/>
        <v>0</v>
      </c>
    </row>
    <row r="576" spans="1:27" x14ac:dyDescent="0.2">
      <c r="A576" s="2">
        <f t="shared" si="129"/>
        <v>60298</v>
      </c>
      <c r="B576">
        <f t="shared" si="128"/>
        <v>657</v>
      </c>
      <c r="C576" s="22">
        <f t="shared" si="130"/>
        <v>54.666666666666664</v>
      </c>
      <c r="D576" s="22">
        <f t="shared" si="131"/>
        <v>0</v>
      </c>
      <c r="E576" s="22">
        <f t="shared" si="127"/>
        <v>109</v>
      </c>
      <c r="F576" s="22">
        <f>IF(C576&gt;=$J$2,0,VLOOKUP($E576,'Mortality Table'!$A$3:$C$128,2+G$2,FALSE))</f>
        <v>0</v>
      </c>
      <c r="G576">
        <f>F576*Assumptions!$B$1</f>
        <v>0</v>
      </c>
      <c r="H576">
        <f t="shared" si="132"/>
        <v>0</v>
      </c>
      <c r="I576" s="22">
        <f>HLOOKUP(C576,Assumptions!$A$6:$J$7,2,TRUE)</f>
        <v>2.6499999999999999E-2</v>
      </c>
      <c r="J576" s="22">
        <f t="shared" si="133"/>
        <v>0</v>
      </c>
      <c r="K576" s="22">
        <f t="shared" si="134"/>
        <v>0</v>
      </c>
      <c r="L576" s="22">
        <f t="shared" si="135"/>
        <v>0</v>
      </c>
      <c r="M576" s="22">
        <f t="shared" si="136"/>
        <v>0</v>
      </c>
      <c r="N576" s="22">
        <f>M575*Assumptions!$B$11/$E$2*J576</f>
        <v>0</v>
      </c>
      <c r="O576" s="22">
        <f>M575*Assumptions!$B$13/$E$2*J576</f>
        <v>0</v>
      </c>
      <c r="P576" s="22">
        <f>H576*Assumptions!$B$15</f>
        <v>0</v>
      </c>
      <c r="Q576" s="22">
        <f>O576*Assumptions!$B$17</f>
        <v>0</v>
      </c>
      <c r="R576" s="22">
        <f>HLOOKUP(B576,Assumptions!$A$26:$D$27,2,TRUE)</f>
        <v>0</v>
      </c>
      <c r="S576">
        <f t="shared" si="137"/>
        <v>0</v>
      </c>
      <c r="T576">
        <f t="shared" si="138"/>
        <v>0.6666666666666643</v>
      </c>
      <c r="U576">
        <f>IF(B576&gt;$K$2,0,IF(T577=0,0,(1-T577)*Assumptions!$B$11/$E$2*(1-Assumptions!$B$30)))</f>
        <v>0</v>
      </c>
      <c r="V576" s="22">
        <f>(N576-O576)*(1-Assumptions!$B$30)-Q576+U575*M575</f>
        <v>0</v>
      </c>
      <c r="W576" s="22">
        <f>W575*(1+Assumptions!$B$36)^(1/12)</f>
        <v>1.5975876046166111</v>
      </c>
      <c r="X576" s="19">
        <f>IF(B576&gt;$K$2,0,W575*Assumptions!$B$32/12*M575+V576*Assumptions!$B$34/12)</f>
        <v>0</v>
      </c>
      <c r="Y576" s="20">
        <f>1/(1+HLOOKUP(YEAR(A576),Assumptions!$A$41:$AL$43,3,TRUE))^(1/12)</f>
        <v>0.99757644752594421</v>
      </c>
      <c r="Z576" s="22">
        <f t="shared" si="139"/>
        <v>0</v>
      </c>
      <c r="AA576">
        <f t="shared" si="140"/>
        <v>0</v>
      </c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28"/>
  <sheetViews>
    <sheetView workbookViewId="0">
      <selection activeCell="F43" sqref="F43"/>
    </sheetView>
  </sheetViews>
  <sheetFormatPr baseColWidth="10" defaultRowHeight="12.75" x14ac:dyDescent="0.2"/>
  <sheetData>
    <row r="1" spans="1:3" x14ac:dyDescent="0.2">
      <c r="A1" s="3"/>
      <c r="B1" s="4" t="s">
        <v>21</v>
      </c>
      <c r="C1" s="5" t="s">
        <v>22</v>
      </c>
    </row>
    <row r="2" spans="1:3" x14ac:dyDescent="0.2">
      <c r="A2" s="6" t="s">
        <v>23</v>
      </c>
      <c r="B2" s="7" t="s">
        <v>24</v>
      </c>
      <c r="C2" s="8" t="s">
        <v>25</v>
      </c>
    </row>
    <row r="3" spans="1:3" x14ac:dyDescent="0.2">
      <c r="A3" s="9">
        <v>0</v>
      </c>
      <c r="B3" s="10">
        <v>5.3379999999999999E-3</v>
      </c>
      <c r="C3" s="10">
        <v>4.1719999999999995E-3</v>
      </c>
    </row>
    <row r="4" spans="1:3" x14ac:dyDescent="0.2">
      <c r="A4" s="9">
        <f>A3+1</f>
        <v>1</v>
      </c>
      <c r="B4" s="11">
        <v>4.0300000000000004E-4</v>
      </c>
      <c r="C4" s="11">
        <v>3.501E-4</v>
      </c>
    </row>
    <row r="5" spans="1:3" x14ac:dyDescent="0.2">
      <c r="A5" s="9">
        <f t="shared" ref="A5:A68" si="0">A4+1</f>
        <v>2</v>
      </c>
      <c r="B5" s="11">
        <v>3.703E-4</v>
      </c>
      <c r="C5" s="11">
        <v>3.1359999999999998E-4</v>
      </c>
    </row>
    <row r="6" spans="1:3" x14ac:dyDescent="0.2">
      <c r="A6" s="9">
        <f t="shared" si="0"/>
        <v>3</v>
      </c>
      <c r="B6" s="11">
        <v>3.436E-4</v>
      </c>
      <c r="C6" s="11">
        <v>2.8599999999999996E-4</v>
      </c>
    </row>
    <row r="7" spans="1:3" x14ac:dyDescent="0.2">
      <c r="A7" s="9">
        <f t="shared" si="0"/>
        <v>4</v>
      </c>
      <c r="B7" s="11">
        <v>3.234E-4</v>
      </c>
      <c r="C7" s="11">
        <v>2.6679999999999998E-4</v>
      </c>
    </row>
    <row r="8" spans="1:3" x14ac:dyDescent="0.2">
      <c r="A8" s="9">
        <f t="shared" si="0"/>
        <v>5</v>
      </c>
      <c r="B8" s="11">
        <v>3.1069999999999996E-4</v>
      </c>
      <c r="C8" s="11">
        <v>2.5519999999999997E-4</v>
      </c>
    </row>
    <row r="9" spans="1:3" x14ac:dyDescent="0.2">
      <c r="A9" s="9">
        <f t="shared" si="0"/>
        <v>6</v>
      </c>
      <c r="B9" s="11">
        <v>3.0680000000000003E-4</v>
      </c>
      <c r="C9" s="11">
        <v>2.5019999999999996E-4</v>
      </c>
    </row>
    <row r="10" spans="1:3" x14ac:dyDescent="0.2">
      <c r="A10" s="9">
        <f t="shared" si="0"/>
        <v>7</v>
      </c>
      <c r="B10" s="11">
        <v>3.1319999999999997E-4</v>
      </c>
      <c r="C10" s="11">
        <v>2.5130000000000004E-4</v>
      </c>
    </row>
    <row r="11" spans="1:3" x14ac:dyDescent="0.2">
      <c r="A11" s="9">
        <f t="shared" si="0"/>
        <v>8</v>
      </c>
      <c r="B11" s="11">
        <v>3.3150000000000003E-4</v>
      </c>
      <c r="C11" s="11">
        <v>2.5769999999999998E-4</v>
      </c>
    </row>
    <row r="12" spans="1:3" x14ac:dyDescent="0.2">
      <c r="A12" s="9">
        <f t="shared" si="0"/>
        <v>9</v>
      </c>
      <c r="B12" s="11">
        <v>3.6289999999999998E-4</v>
      </c>
      <c r="C12" s="11">
        <v>2.6900000000000003E-4</v>
      </c>
    </row>
    <row r="13" spans="1:3" x14ac:dyDescent="0.2">
      <c r="A13" s="9">
        <f t="shared" si="0"/>
        <v>10</v>
      </c>
      <c r="B13" s="11">
        <v>4.0789999999999999E-4</v>
      </c>
      <c r="C13" s="11">
        <v>2.8439999999999997E-4</v>
      </c>
    </row>
    <row r="14" spans="1:3" x14ac:dyDescent="0.2">
      <c r="A14" s="9">
        <f t="shared" si="0"/>
        <v>11</v>
      </c>
      <c r="B14" s="11">
        <v>4.6550000000000004E-4</v>
      </c>
      <c r="C14" s="11">
        <v>3.035E-4</v>
      </c>
    </row>
    <row r="15" spans="1:3" x14ac:dyDescent="0.2">
      <c r="A15" s="9">
        <f t="shared" si="0"/>
        <v>12</v>
      </c>
      <c r="B15" s="11">
        <v>5.3350000000000001E-4</v>
      </c>
      <c r="C15" s="11">
        <v>3.258E-4</v>
      </c>
    </row>
    <row r="16" spans="1:3" x14ac:dyDescent="0.2">
      <c r="A16" s="9">
        <f t="shared" si="0"/>
        <v>13</v>
      </c>
      <c r="B16" s="11">
        <v>6.0860000000000005E-4</v>
      </c>
      <c r="C16" s="11">
        <v>3.503E-4</v>
      </c>
    </row>
    <row r="17" spans="1:3" x14ac:dyDescent="0.2">
      <c r="A17" s="9">
        <f t="shared" si="0"/>
        <v>14</v>
      </c>
      <c r="B17" s="11">
        <v>6.8589999999999992E-4</v>
      </c>
      <c r="C17" s="11">
        <v>3.7490000000000001E-4</v>
      </c>
    </row>
    <row r="18" spans="1:3" x14ac:dyDescent="0.2">
      <c r="A18" s="9">
        <f t="shared" si="0"/>
        <v>15</v>
      </c>
      <c r="B18" s="11">
        <v>7.5970000000000009E-4</v>
      </c>
      <c r="C18" s="11">
        <v>3.9730000000000001E-4</v>
      </c>
    </row>
    <row r="19" spans="1:3" x14ac:dyDescent="0.2">
      <c r="A19" s="9">
        <f t="shared" si="0"/>
        <v>16</v>
      </c>
      <c r="B19" s="11">
        <v>8.2399999999999997E-4</v>
      </c>
      <c r="C19" s="11">
        <v>4.1520000000000001E-4</v>
      </c>
    </row>
    <row r="20" spans="1:3" x14ac:dyDescent="0.2">
      <c r="A20" s="9">
        <f t="shared" si="0"/>
        <v>17</v>
      </c>
      <c r="B20" s="11">
        <v>8.7280000000000007E-4</v>
      </c>
      <c r="C20" s="11">
        <v>4.2659999999999996E-4</v>
      </c>
    </row>
    <row r="21" spans="1:3" x14ac:dyDescent="0.2">
      <c r="A21" s="9">
        <f t="shared" si="0"/>
        <v>18</v>
      </c>
      <c r="B21" s="11">
        <v>9.012E-4</v>
      </c>
      <c r="C21" s="11">
        <v>4.2959999999999998E-4</v>
      </c>
    </row>
    <row r="22" spans="1:3" x14ac:dyDescent="0.2">
      <c r="A22" s="9">
        <f t="shared" si="0"/>
        <v>19</v>
      </c>
      <c r="B22" s="11">
        <v>9.0590000000000006E-4</v>
      </c>
      <c r="C22" s="11">
        <v>4.2329999999999999E-4</v>
      </c>
    </row>
    <row r="23" spans="1:3" x14ac:dyDescent="0.2">
      <c r="A23" s="9">
        <f t="shared" si="0"/>
        <v>20</v>
      </c>
      <c r="B23" s="11">
        <v>8.8639999999999997E-4</v>
      </c>
      <c r="C23" s="11">
        <v>4.0749999999999998E-4</v>
      </c>
    </row>
    <row r="24" spans="1:3" x14ac:dyDescent="0.2">
      <c r="A24" s="9">
        <f t="shared" si="0"/>
        <v>21</v>
      </c>
      <c r="B24" s="11">
        <v>8.4550000000000001E-4</v>
      </c>
      <c r="C24" s="11">
        <v>3.8309999999999999E-4</v>
      </c>
    </row>
    <row r="25" spans="1:3" x14ac:dyDescent="0.2">
      <c r="A25" s="9">
        <f t="shared" si="0"/>
        <v>22</v>
      </c>
      <c r="B25" s="11">
        <v>7.8890000000000004E-4</v>
      </c>
      <c r="C25" s="11">
        <v>3.5199999999999999E-4</v>
      </c>
    </row>
    <row r="26" spans="1:3" x14ac:dyDescent="0.2">
      <c r="A26" s="9">
        <f t="shared" si="0"/>
        <v>23</v>
      </c>
      <c r="B26" s="11">
        <v>7.2409999999999998E-4</v>
      </c>
      <c r="C26" s="11">
        <v>3.1700000000000001E-4</v>
      </c>
    </row>
    <row r="27" spans="1:3" x14ac:dyDescent="0.2">
      <c r="A27" s="9">
        <f t="shared" si="0"/>
        <v>24</v>
      </c>
      <c r="B27" s="11">
        <v>6.5859999999999996E-4</v>
      </c>
      <c r="C27" s="11">
        <v>2.8140000000000001E-4</v>
      </c>
    </row>
    <row r="28" spans="1:3" x14ac:dyDescent="0.2">
      <c r="A28" s="9">
        <f t="shared" si="0"/>
        <v>25</v>
      </c>
      <c r="B28" s="11">
        <v>5.9850000000000007E-4</v>
      </c>
      <c r="C28" s="11">
        <v>2.4870000000000003E-4</v>
      </c>
    </row>
    <row r="29" spans="1:3" x14ac:dyDescent="0.2">
      <c r="A29" s="9">
        <f t="shared" si="0"/>
        <v>26</v>
      </c>
      <c r="B29" s="11">
        <v>5.4779999999999998E-4</v>
      </c>
      <c r="C29" s="11">
        <v>2.2120000000000001E-4</v>
      </c>
    </row>
    <row r="30" spans="1:3" x14ac:dyDescent="0.2">
      <c r="A30" s="9">
        <f t="shared" si="0"/>
        <v>27</v>
      </c>
      <c r="B30" s="11">
        <v>5.084E-4</v>
      </c>
      <c r="C30" s="11">
        <v>2.0039999999999999E-4</v>
      </c>
    </row>
    <row r="31" spans="1:3" x14ac:dyDescent="0.2">
      <c r="A31" s="9">
        <f t="shared" si="0"/>
        <v>28</v>
      </c>
      <c r="B31" s="11">
        <v>4.8089999999999998E-4</v>
      </c>
      <c r="C31" s="11">
        <v>1.8759999999999998E-4</v>
      </c>
    </row>
    <row r="32" spans="1:3" x14ac:dyDescent="0.2">
      <c r="A32" s="9">
        <f t="shared" si="0"/>
        <v>29</v>
      </c>
      <c r="B32" s="11">
        <v>4.6460000000000002E-4</v>
      </c>
      <c r="C32" s="11">
        <v>1.8340000000000001E-4</v>
      </c>
    </row>
    <row r="33" spans="1:3" x14ac:dyDescent="0.2">
      <c r="A33" s="9">
        <f t="shared" si="0"/>
        <v>30</v>
      </c>
      <c r="B33" s="11">
        <v>4.5829999999999997E-4</v>
      </c>
      <c r="C33" s="11">
        <v>1.8759999999999998E-4</v>
      </c>
    </row>
    <row r="34" spans="1:3" x14ac:dyDescent="0.2">
      <c r="A34" s="9">
        <f t="shared" si="0"/>
        <v>31</v>
      </c>
      <c r="B34" s="11">
        <v>4.6139999999999999E-4</v>
      </c>
      <c r="C34" s="11">
        <v>1.9909999999999999E-4</v>
      </c>
    </row>
    <row r="35" spans="1:3" x14ac:dyDescent="0.2">
      <c r="A35" s="9">
        <f t="shared" si="0"/>
        <v>32</v>
      </c>
      <c r="B35" s="11">
        <v>4.7410000000000003E-4</v>
      </c>
      <c r="C35" s="11">
        <v>2.162E-4</v>
      </c>
    </row>
    <row r="36" spans="1:3" x14ac:dyDescent="0.2">
      <c r="A36" s="9">
        <f t="shared" si="0"/>
        <v>33</v>
      </c>
      <c r="B36" s="11">
        <v>4.973E-4</v>
      </c>
      <c r="C36" s="11">
        <v>2.3670000000000001E-4</v>
      </c>
    </row>
    <row r="37" spans="1:3" x14ac:dyDescent="0.2">
      <c r="A37" s="9">
        <f t="shared" si="0"/>
        <v>34</v>
      </c>
      <c r="B37" s="11">
        <v>5.3140000000000001E-4</v>
      </c>
      <c r="C37" s="11">
        <v>2.5950000000000002E-4</v>
      </c>
    </row>
    <row r="38" spans="1:3" x14ac:dyDescent="0.2">
      <c r="A38" s="9">
        <f t="shared" si="0"/>
        <v>35</v>
      </c>
      <c r="B38" s="11">
        <v>5.7509999999999994E-4</v>
      </c>
      <c r="C38" s="11">
        <v>2.856E-4</v>
      </c>
    </row>
    <row r="39" spans="1:3" x14ac:dyDescent="0.2">
      <c r="A39" s="9">
        <f t="shared" si="0"/>
        <v>36</v>
      </c>
      <c r="B39" s="11">
        <v>6.2549999999999997E-4</v>
      </c>
      <c r="C39" s="11">
        <v>3.1780000000000003E-4</v>
      </c>
    </row>
    <row r="40" spans="1:3" x14ac:dyDescent="0.2">
      <c r="A40" s="9">
        <f t="shared" si="0"/>
        <v>37</v>
      </c>
      <c r="B40" s="11">
        <v>6.7969999999999999E-4</v>
      </c>
      <c r="C40" s="11">
        <v>3.6020000000000003E-4</v>
      </c>
    </row>
    <row r="41" spans="1:3" x14ac:dyDescent="0.2">
      <c r="A41" s="9">
        <f t="shared" si="0"/>
        <v>38</v>
      </c>
      <c r="B41" s="11">
        <v>7.3609999999999995E-4</v>
      </c>
      <c r="C41" s="11">
        <v>4.1549999999999996E-4</v>
      </c>
    </row>
    <row r="42" spans="1:3" x14ac:dyDescent="0.2">
      <c r="A42" s="9">
        <f t="shared" si="0"/>
        <v>39</v>
      </c>
      <c r="B42" s="11">
        <v>7.9579999999999994E-4</v>
      </c>
      <c r="C42" s="11">
        <v>4.8289999999999997E-4</v>
      </c>
    </row>
    <row r="43" spans="1:3" x14ac:dyDescent="0.2">
      <c r="A43" s="9">
        <f t="shared" si="0"/>
        <v>40</v>
      </c>
      <c r="B43" s="11">
        <v>8.6180000000000002E-4</v>
      </c>
      <c r="C43" s="11">
        <v>5.5900000000000004E-4</v>
      </c>
    </row>
    <row r="44" spans="1:3" x14ac:dyDescent="0.2">
      <c r="A44" s="9">
        <f t="shared" si="0"/>
        <v>41</v>
      </c>
      <c r="B44" s="11">
        <v>9.3829999999999998E-4</v>
      </c>
      <c r="C44" s="11">
        <v>6.3929999999999998E-4</v>
      </c>
    </row>
    <row r="45" spans="1:3" x14ac:dyDescent="0.2">
      <c r="A45" s="9">
        <f t="shared" si="0"/>
        <v>42</v>
      </c>
      <c r="B45" s="11">
        <v>1.0290999999999998E-3</v>
      </c>
      <c r="C45" s="11">
        <v>7.203E-4</v>
      </c>
    </row>
    <row r="46" spans="1:3" x14ac:dyDescent="0.2">
      <c r="A46" s="9">
        <f t="shared" si="0"/>
        <v>43</v>
      </c>
      <c r="B46" s="11">
        <v>1.1359999999999999E-3</v>
      </c>
      <c r="C46" s="11">
        <v>8.0059999999999994E-4</v>
      </c>
    </row>
    <row r="47" spans="1:3" x14ac:dyDescent="0.2">
      <c r="A47" s="9">
        <f t="shared" si="0"/>
        <v>44</v>
      </c>
      <c r="B47" s="11">
        <v>1.2584999999999999E-3</v>
      </c>
      <c r="C47" s="11">
        <v>8.8049999999999999E-4</v>
      </c>
    </row>
    <row r="48" spans="1:3" x14ac:dyDescent="0.2">
      <c r="A48" s="9">
        <f t="shared" si="0"/>
        <v>45</v>
      </c>
      <c r="B48" s="11">
        <v>1.3949000000000001E-3</v>
      </c>
      <c r="C48" s="11">
        <v>9.6170000000000001E-4</v>
      </c>
    </row>
    <row r="49" spans="1:3" x14ac:dyDescent="0.2">
      <c r="A49" s="9">
        <f t="shared" si="0"/>
        <v>46</v>
      </c>
      <c r="B49" s="11">
        <v>1.5444E-3</v>
      </c>
      <c r="C49" s="11">
        <v>1.0457000000000001E-3</v>
      </c>
    </row>
    <row r="50" spans="1:3" x14ac:dyDescent="0.2">
      <c r="A50" s="9">
        <f t="shared" si="0"/>
        <v>47</v>
      </c>
      <c r="B50" s="11">
        <v>1.7098999999999999E-3</v>
      </c>
      <c r="C50" s="11">
        <v>1.1355999999999998E-3</v>
      </c>
    </row>
    <row r="51" spans="1:3" x14ac:dyDescent="0.2">
      <c r="A51" s="9">
        <f t="shared" si="0"/>
        <v>48</v>
      </c>
      <c r="B51" s="11">
        <v>1.8961E-3</v>
      </c>
      <c r="C51" s="11">
        <v>1.2356000000000001E-3</v>
      </c>
    </row>
    <row r="52" spans="1:3" x14ac:dyDescent="0.2">
      <c r="A52" s="9">
        <f t="shared" si="0"/>
        <v>49</v>
      </c>
      <c r="B52" s="11">
        <v>2.1078999999999998E-3</v>
      </c>
      <c r="C52" s="11">
        <v>1.3505000000000001E-3</v>
      </c>
    </row>
    <row r="53" spans="1:3" x14ac:dyDescent="0.2">
      <c r="A53" s="9">
        <f t="shared" si="0"/>
        <v>50</v>
      </c>
      <c r="B53" s="11">
        <v>2.3466999999999997E-3</v>
      </c>
      <c r="C53" s="11">
        <v>1.4852000000000001E-3</v>
      </c>
    </row>
    <row r="54" spans="1:3" x14ac:dyDescent="0.2">
      <c r="A54" s="9">
        <f t="shared" si="0"/>
        <v>51</v>
      </c>
      <c r="B54" s="11">
        <v>2.6094E-3</v>
      </c>
      <c r="C54" s="11">
        <v>1.6440999999999999E-3</v>
      </c>
    </row>
    <row r="55" spans="1:3" x14ac:dyDescent="0.2">
      <c r="A55" s="9">
        <f t="shared" si="0"/>
        <v>52</v>
      </c>
      <c r="B55" s="11">
        <v>2.8907E-3</v>
      </c>
      <c r="C55" s="11">
        <v>1.8298000000000001E-3</v>
      </c>
    </row>
    <row r="56" spans="1:3" x14ac:dyDescent="0.2">
      <c r="A56" s="9">
        <f t="shared" si="0"/>
        <v>53</v>
      </c>
      <c r="B56" s="11">
        <v>3.1871999999999998E-3</v>
      </c>
      <c r="C56" s="11">
        <v>2.0413000000000002E-3</v>
      </c>
    </row>
    <row r="57" spans="1:3" x14ac:dyDescent="0.2">
      <c r="A57" s="9">
        <f t="shared" si="0"/>
        <v>54</v>
      </c>
      <c r="B57" s="11">
        <v>3.5024000000000001E-3</v>
      </c>
      <c r="C57" s="11">
        <v>2.2740999999999998E-3</v>
      </c>
    </row>
    <row r="58" spans="1:3" x14ac:dyDescent="0.2">
      <c r="A58" s="9">
        <f t="shared" si="0"/>
        <v>55</v>
      </c>
      <c r="B58" s="11">
        <v>3.8455E-3</v>
      </c>
      <c r="C58" s="11">
        <v>2.5233E-3</v>
      </c>
    </row>
    <row r="59" spans="1:3" x14ac:dyDescent="0.2">
      <c r="A59" s="9">
        <f t="shared" si="0"/>
        <v>56</v>
      </c>
      <c r="B59" s="11">
        <v>4.2255000000000001E-3</v>
      </c>
      <c r="C59" s="11">
        <v>2.7833999999999997E-3</v>
      </c>
    </row>
    <row r="60" spans="1:3" x14ac:dyDescent="0.2">
      <c r="A60" s="9">
        <f t="shared" si="0"/>
        <v>57</v>
      </c>
      <c r="B60" s="11">
        <v>4.6439000000000003E-3</v>
      </c>
      <c r="C60" s="11">
        <v>3.0477E-3</v>
      </c>
    </row>
    <row r="61" spans="1:3" x14ac:dyDescent="0.2">
      <c r="A61" s="9">
        <f t="shared" si="0"/>
        <v>58</v>
      </c>
      <c r="B61" s="11">
        <v>5.0921999999999999E-3</v>
      </c>
      <c r="C61" s="11">
        <v>3.3078000000000001E-3</v>
      </c>
    </row>
    <row r="62" spans="1:3" x14ac:dyDescent="0.2">
      <c r="A62" s="9">
        <f t="shared" si="0"/>
        <v>59</v>
      </c>
      <c r="B62" s="11">
        <v>5.5557999999999996E-3</v>
      </c>
      <c r="C62" s="11">
        <v>3.5561E-3</v>
      </c>
    </row>
    <row r="63" spans="1:3" x14ac:dyDescent="0.2">
      <c r="A63" s="9">
        <f t="shared" si="0"/>
        <v>60</v>
      </c>
      <c r="B63" s="11">
        <v>6.0185999999999998E-3</v>
      </c>
      <c r="C63" s="11">
        <v>3.7886999999999999E-3</v>
      </c>
    </row>
    <row r="64" spans="1:3" x14ac:dyDescent="0.2">
      <c r="A64" s="9">
        <f t="shared" si="0"/>
        <v>61</v>
      </c>
      <c r="B64" s="11">
        <v>6.4713000000000001E-3</v>
      </c>
      <c r="C64" s="11">
        <v>4.0088999999999993E-3</v>
      </c>
    </row>
    <row r="65" spans="1:3" x14ac:dyDescent="0.2">
      <c r="A65" s="9">
        <f t="shared" si="0"/>
        <v>62</v>
      </c>
      <c r="B65" s="11">
        <v>6.9176000000000003E-3</v>
      </c>
      <c r="C65" s="11">
        <v>4.2285000000000005E-3</v>
      </c>
    </row>
    <row r="66" spans="1:3" x14ac:dyDescent="0.2">
      <c r="A66" s="9">
        <f t="shared" si="0"/>
        <v>63</v>
      </c>
      <c r="B66" s="11">
        <v>7.3750999999999999E-3</v>
      </c>
      <c r="C66" s="11">
        <v>4.4637000000000001E-3</v>
      </c>
    </row>
    <row r="67" spans="1:3" x14ac:dyDescent="0.2">
      <c r="A67" s="9">
        <f t="shared" si="0"/>
        <v>64</v>
      </c>
      <c r="B67" s="11">
        <v>7.7819000000000004E-3</v>
      </c>
      <c r="C67" s="11">
        <v>4.7300000000000007E-3</v>
      </c>
    </row>
    <row r="68" spans="1:3" x14ac:dyDescent="0.2">
      <c r="A68" s="9">
        <f t="shared" si="0"/>
        <v>65</v>
      </c>
      <c r="B68" s="11">
        <v>8.4460000000000004E-3</v>
      </c>
      <c r="C68" s="11">
        <v>5.0397999999999997E-3</v>
      </c>
    </row>
    <row r="69" spans="1:3" x14ac:dyDescent="0.2">
      <c r="A69" s="9">
        <f t="shared" ref="A69:A128" si="1">A68+1</f>
        <v>66</v>
      </c>
      <c r="B69" s="11">
        <v>8.1419999999999999E-3</v>
      </c>
      <c r="C69" s="11">
        <v>5.4032000000000004E-3</v>
      </c>
    </row>
    <row r="70" spans="1:3" x14ac:dyDescent="0.2">
      <c r="A70" s="9">
        <f t="shared" si="1"/>
        <v>67</v>
      </c>
      <c r="B70" s="11">
        <v>1.00047E-2</v>
      </c>
      <c r="C70" s="11">
        <v>5.8288000000000003E-3</v>
      </c>
    </row>
    <row r="71" spans="1:3" x14ac:dyDescent="0.2">
      <c r="A71" s="9">
        <f t="shared" si="1"/>
        <v>68</v>
      </c>
      <c r="B71" s="11">
        <v>1.10735E-2</v>
      </c>
      <c r="C71" s="11">
        <v>6.3263999999999994E-3</v>
      </c>
    </row>
    <row r="72" spans="1:3" x14ac:dyDescent="0.2">
      <c r="A72" s="9">
        <f t="shared" si="1"/>
        <v>69</v>
      </c>
      <c r="B72" s="11">
        <v>1.2380200000000001E-2</v>
      </c>
      <c r="C72" s="11">
        <v>6.9088999999999999E-3</v>
      </c>
    </row>
    <row r="73" spans="1:3" x14ac:dyDescent="0.2">
      <c r="A73" s="9">
        <f t="shared" si="1"/>
        <v>70</v>
      </c>
      <c r="B73" s="11">
        <v>1.39483E-2</v>
      </c>
      <c r="C73" s="11">
        <v>7.5944999999999997E-3</v>
      </c>
    </row>
    <row r="74" spans="1:3" x14ac:dyDescent="0.2">
      <c r="A74" s="9">
        <f t="shared" si="1"/>
        <v>71</v>
      </c>
      <c r="B74" s="11">
        <v>1.57944E-2</v>
      </c>
      <c r="C74" s="11">
        <v>8.4105000000000013E-3</v>
      </c>
    </row>
    <row r="75" spans="1:3" x14ac:dyDescent="0.2">
      <c r="A75" s="9">
        <f t="shared" si="1"/>
        <v>72</v>
      </c>
      <c r="B75" s="11">
        <v>1.7928799999999998E-2</v>
      </c>
      <c r="C75" s="11">
        <v>9.3939000000000002E-3</v>
      </c>
    </row>
    <row r="76" spans="1:3" x14ac:dyDescent="0.2">
      <c r="A76" s="9">
        <f t="shared" si="1"/>
        <v>73</v>
      </c>
      <c r="B76" s="11">
        <v>2.0356800000000001E-2</v>
      </c>
      <c r="C76" s="11">
        <v>1.0590400000000002E-2</v>
      </c>
    </row>
    <row r="77" spans="1:3" x14ac:dyDescent="0.2">
      <c r="A77" s="9">
        <f t="shared" si="1"/>
        <v>74</v>
      </c>
      <c r="B77" s="11">
        <v>2.3079699999999998E-2</v>
      </c>
      <c r="C77" s="11">
        <v>1.20521E-2</v>
      </c>
    </row>
    <row r="78" spans="1:3" x14ac:dyDescent="0.2">
      <c r="A78" s="9">
        <f t="shared" si="1"/>
        <v>75</v>
      </c>
      <c r="B78" s="11">
        <v>2.6097000000000002E-2</v>
      </c>
      <c r="C78" s="11">
        <v>1.38361E-2</v>
      </c>
    </row>
    <row r="79" spans="1:3" x14ac:dyDescent="0.2">
      <c r="A79" s="9">
        <f t="shared" si="1"/>
        <v>76</v>
      </c>
      <c r="B79" s="11">
        <v>2.94081E-2</v>
      </c>
      <c r="C79" s="11">
        <v>1.6002300000000001E-2</v>
      </c>
    </row>
    <row r="80" spans="1:3" x14ac:dyDescent="0.2">
      <c r="A80" s="9">
        <f t="shared" si="1"/>
        <v>77</v>
      </c>
      <c r="B80" s="11">
        <v>3.3012399999999997E-2</v>
      </c>
      <c r="C80" s="11">
        <v>1.86114E-2</v>
      </c>
    </row>
    <row r="81" spans="1:3" x14ac:dyDescent="0.2">
      <c r="A81" s="9">
        <f t="shared" si="1"/>
        <v>78</v>
      </c>
      <c r="B81" s="11">
        <v>3.6910600000000002E-2</v>
      </c>
      <c r="C81" s="11">
        <v>2.1722100000000001E-2</v>
      </c>
    </row>
    <row r="82" spans="1:3" x14ac:dyDescent="0.2">
      <c r="A82" s="9">
        <f t="shared" si="1"/>
        <v>79</v>
      </c>
      <c r="B82" s="11">
        <v>4.11066E-2</v>
      </c>
      <c r="C82" s="11">
        <v>2.5388899999999999E-2</v>
      </c>
    </row>
    <row r="83" spans="1:3" x14ac:dyDescent="0.2">
      <c r="A83" s="9">
        <f t="shared" si="1"/>
        <v>80</v>
      </c>
      <c r="B83" s="11">
        <v>4.5610399999999995E-2</v>
      </c>
      <c r="C83" s="11">
        <v>2.9660200000000001E-2</v>
      </c>
    </row>
    <row r="84" spans="1:3" x14ac:dyDescent="0.2">
      <c r="A84" s="9">
        <f t="shared" si="1"/>
        <v>81</v>
      </c>
      <c r="B84" s="11">
        <v>5.0439999999999999E-2</v>
      </c>
      <c r="C84" s="11">
        <v>3.4579399999999996E-2</v>
      </c>
    </row>
    <row r="85" spans="1:3" x14ac:dyDescent="0.2">
      <c r="A85" s="9">
        <f t="shared" si="1"/>
        <v>82</v>
      </c>
      <c r="B85" s="11">
        <v>5.5623800000000001E-2</v>
      </c>
      <c r="C85" s="11">
        <v>4.0185600000000002E-2</v>
      </c>
    </row>
    <row r="86" spans="1:3" x14ac:dyDescent="0.2">
      <c r="A86" s="9">
        <f t="shared" si="1"/>
        <v>83</v>
      </c>
      <c r="B86" s="11">
        <v>6.1201999999999999E-2</v>
      </c>
      <c r="C86" s="11">
        <v>4.6515300000000002E-2</v>
      </c>
    </row>
    <row r="87" spans="1:3" x14ac:dyDescent="0.2">
      <c r="A87" s="9">
        <f t="shared" si="1"/>
        <v>84</v>
      </c>
      <c r="B87" s="11">
        <v>6.7227500000000009E-2</v>
      </c>
      <c r="C87" s="11">
        <v>5.3603200000000004E-2</v>
      </c>
    </row>
    <row r="88" spans="1:3" x14ac:dyDescent="0.2">
      <c r="A88" s="9">
        <f t="shared" si="1"/>
        <v>85</v>
      </c>
      <c r="B88" s="11">
        <v>7.376640000000001E-2</v>
      </c>
      <c r="C88" s="11">
        <v>6.14846E-2</v>
      </c>
    </row>
    <row r="89" spans="1:3" x14ac:dyDescent="0.2">
      <c r="A89" s="9">
        <f t="shared" si="1"/>
        <v>86</v>
      </c>
      <c r="B89" s="11">
        <v>8.0897499999999997E-2</v>
      </c>
      <c r="C89" s="11">
        <v>7.0197200000000001E-2</v>
      </c>
    </row>
    <row r="90" spans="1:3" x14ac:dyDescent="0.2">
      <c r="A90" s="9">
        <f t="shared" si="1"/>
        <v>87</v>
      </c>
      <c r="B90" s="11">
        <v>8.8712100000000002E-2</v>
      </c>
      <c r="C90" s="11">
        <v>7.9782700000000012E-2</v>
      </c>
    </row>
    <row r="91" spans="1:3" x14ac:dyDescent="0.2">
      <c r="A91" s="9">
        <f t="shared" si="1"/>
        <v>88</v>
      </c>
      <c r="B91" s="11">
        <v>9.7312599999999999E-2</v>
      </c>
      <c r="C91" s="11">
        <v>9.0285799999999999E-2</v>
      </c>
    </row>
    <row r="92" spans="1:3" x14ac:dyDescent="0.2">
      <c r="A92" s="9">
        <f t="shared" si="1"/>
        <v>89</v>
      </c>
      <c r="B92" s="11">
        <v>0.10681109999999999</v>
      </c>
      <c r="C92" s="11">
        <v>0.10175379999999999</v>
      </c>
    </row>
    <row r="93" spans="1:3" x14ac:dyDescent="0.2">
      <c r="A93" s="9">
        <f t="shared" si="1"/>
        <v>90</v>
      </c>
      <c r="B93" s="11">
        <v>0.11732769999999999</v>
      </c>
      <c r="C93" s="11">
        <v>0.1142358</v>
      </c>
    </row>
    <row r="94" spans="1:3" x14ac:dyDescent="0.2">
      <c r="A94" s="9">
        <f t="shared" si="1"/>
        <v>91</v>
      </c>
      <c r="B94" s="11">
        <v>0.12898869999999998</v>
      </c>
      <c r="C94" s="11">
        <v>0.12778249999999999</v>
      </c>
    </row>
    <row r="95" spans="1:3" x14ac:dyDescent="0.2">
      <c r="A95" s="9">
        <f t="shared" si="1"/>
        <v>92</v>
      </c>
      <c r="B95" s="11">
        <v>0.1419241</v>
      </c>
      <c r="C95" s="11">
        <v>0.14244589999999999</v>
      </c>
    </row>
    <row r="96" spans="1:3" x14ac:dyDescent="0.2">
      <c r="A96" s="9">
        <f t="shared" si="1"/>
        <v>93</v>
      </c>
      <c r="B96" s="11">
        <v>0.15626580000000001</v>
      </c>
      <c r="C96" s="11">
        <v>0.1582789</v>
      </c>
    </row>
    <row r="97" spans="1:3" x14ac:dyDescent="0.2">
      <c r="A97" s="9">
        <f t="shared" si="1"/>
        <v>94</v>
      </c>
      <c r="B97" s="11">
        <v>0.17214490000000002</v>
      </c>
      <c r="C97" s="11">
        <v>0.1753344</v>
      </c>
    </row>
    <row r="98" spans="1:3" x14ac:dyDescent="0.2">
      <c r="A98" s="9">
        <f t="shared" si="1"/>
        <v>95</v>
      </c>
      <c r="B98" s="11">
        <v>0.1896901</v>
      </c>
      <c r="C98" s="11">
        <v>0.19366460000000002</v>
      </c>
    </row>
    <row r="99" spans="1:3" x14ac:dyDescent="0.2">
      <c r="A99" s="9">
        <f t="shared" si="1"/>
        <v>96</v>
      </c>
      <c r="B99" s="11">
        <v>0.20902560000000001</v>
      </c>
      <c r="C99" s="11">
        <v>0.21332039999999999</v>
      </c>
    </row>
    <row r="100" spans="1:3" x14ac:dyDescent="0.2">
      <c r="A100" s="9">
        <f t="shared" si="1"/>
        <v>97</v>
      </c>
      <c r="B100" s="11">
        <v>0.2302699</v>
      </c>
      <c r="C100" s="11">
        <v>0.23435110000000001</v>
      </c>
    </row>
    <row r="101" spans="1:3" x14ac:dyDescent="0.2">
      <c r="A101" s="9">
        <f t="shared" si="1"/>
        <v>98</v>
      </c>
      <c r="B101" s="11">
        <v>0.2535346</v>
      </c>
      <c r="C101" s="11">
        <v>0.25680360000000002</v>
      </c>
    </row>
    <row r="102" spans="1:3" x14ac:dyDescent="0.2">
      <c r="A102" s="9">
        <f t="shared" si="1"/>
        <v>99</v>
      </c>
      <c r="B102" s="11">
        <v>0.27892309999999998</v>
      </c>
      <c r="C102" s="11">
        <v>0.28072219999999998</v>
      </c>
    </row>
    <row r="103" spans="1:3" x14ac:dyDescent="0.2">
      <c r="A103" s="9">
        <f t="shared" si="1"/>
        <v>100</v>
      </c>
      <c r="B103" s="11">
        <v>0.30653039999999998</v>
      </c>
      <c r="C103" s="11">
        <v>0.30614809999999998</v>
      </c>
    </row>
    <row r="104" spans="1:3" x14ac:dyDescent="0.2">
      <c r="A104" s="9">
        <f t="shared" si="1"/>
        <v>101</v>
      </c>
      <c r="B104" s="11">
        <v>0.33644279999999999</v>
      </c>
      <c r="C104" s="11">
        <v>0.3331191</v>
      </c>
    </row>
    <row r="105" spans="1:3" x14ac:dyDescent="0.2">
      <c r="A105" s="9">
        <f t="shared" si="1"/>
        <v>102</v>
      </c>
      <c r="B105" s="11">
        <v>0.36873729999999999</v>
      </c>
      <c r="C105" s="11">
        <v>0.36166919999999997</v>
      </c>
    </row>
    <row r="106" spans="1:3" x14ac:dyDescent="0.2">
      <c r="A106" s="9">
        <f t="shared" si="1"/>
        <v>103</v>
      </c>
      <c r="B106" s="11">
        <v>0.40348219999999996</v>
      </c>
      <c r="C106" s="11">
        <v>0.39182899999999998</v>
      </c>
    </row>
    <row r="107" spans="1:3" x14ac:dyDescent="0.2">
      <c r="A107" s="9">
        <f t="shared" si="1"/>
        <v>104</v>
      </c>
      <c r="B107" s="11">
        <v>0.44073660000000003</v>
      </c>
      <c r="C107" s="11">
        <v>0.42362540000000004</v>
      </c>
    </row>
    <row r="108" spans="1:3" x14ac:dyDescent="0.2">
      <c r="A108" s="9">
        <f t="shared" si="1"/>
        <v>105</v>
      </c>
      <c r="B108" s="11">
        <v>0.48055059999999999</v>
      </c>
      <c r="C108" s="11">
        <v>0.45708159999999998</v>
      </c>
    </row>
    <row r="109" spans="1:3" x14ac:dyDescent="0.2">
      <c r="A109" s="9">
        <f t="shared" si="1"/>
        <v>106</v>
      </c>
      <c r="B109" s="11">
        <v>0.52296640000000005</v>
      </c>
      <c r="C109" s="11">
        <v>0.49221759999999998</v>
      </c>
    </row>
    <row r="110" spans="1:3" x14ac:dyDescent="0.2">
      <c r="A110" s="9">
        <f t="shared" si="1"/>
        <v>107</v>
      </c>
      <c r="B110" s="11">
        <v>0.56801809999999997</v>
      </c>
      <c r="C110" s="11">
        <v>0.52905010000000008</v>
      </c>
    </row>
    <row r="111" spans="1:3" x14ac:dyDescent="0.2">
      <c r="A111" s="9">
        <f t="shared" si="1"/>
        <v>108</v>
      </c>
      <c r="B111" s="11">
        <v>0.61573270000000002</v>
      </c>
      <c r="C111" s="11">
        <v>0.56759280000000001</v>
      </c>
    </row>
    <row r="112" spans="1:3" x14ac:dyDescent="0.2">
      <c r="A112" s="9">
        <f t="shared" si="1"/>
        <v>109</v>
      </c>
      <c r="B112" s="11">
        <v>0.66613099999999992</v>
      </c>
      <c r="C112" s="11">
        <v>0.60785699999999998</v>
      </c>
    </row>
    <row r="113" spans="1:3" x14ac:dyDescent="0.2">
      <c r="A113" s="9">
        <f t="shared" si="1"/>
        <v>110</v>
      </c>
      <c r="B113" s="11">
        <v>0.71922819999999998</v>
      </c>
      <c r="C113" s="11">
        <v>0.64985150000000003</v>
      </c>
    </row>
    <row r="114" spans="1:3" x14ac:dyDescent="0.2">
      <c r="A114" s="9">
        <f t="shared" si="1"/>
        <v>111</v>
      </c>
      <c r="B114" s="11">
        <v>0.77503480000000002</v>
      </c>
      <c r="C114" s="11">
        <v>0.6935830999999999</v>
      </c>
    </row>
    <row r="115" spans="1:3" x14ac:dyDescent="0.2">
      <c r="A115" s="9">
        <f t="shared" si="1"/>
        <v>112</v>
      </c>
      <c r="B115" s="11">
        <v>0.83355760000000001</v>
      </c>
      <c r="C115" s="11">
        <v>0.73905670000000001</v>
      </c>
    </row>
    <row r="116" spans="1:3" x14ac:dyDescent="0.2">
      <c r="A116" s="9">
        <f t="shared" si="1"/>
        <v>113</v>
      </c>
      <c r="B116" s="11">
        <v>0.89480039999999994</v>
      </c>
      <c r="C116" s="11">
        <v>0.78627579999999997</v>
      </c>
    </row>
    <row r="117" spans="1:3" x14ac:dyDescent="0.2">
      <c r="A117" s="9">
        <f t="shared" si="1"/>
        <v>114</v>
      </c>
      <c r="B117" s="11">
        <v>0.95876490000000003</v>
      </c>
      <c r="C117" s="11">
        <v>0.8352427</v>
      </c>
    </row>
    <row r="118" spans="1:3" x14ac:dyDescent="0.2">
      <c r="A118" s="9">
        <f t="shared" si="1"/>
        <v>115</v>
      </c>
      <c r="B118" s="11">
        <v>0.99571389999999993</v>
      </c>
      <c r="C118" s="11">
        <v>0.88595840000000003</v>
      </c>
    </row>
    <row r="119" spans="1:3" x14ac:dyDescent="0.2">
      <c r="A119" s="9">
        <f t="shared" si="1"/>
        <v>116</v>
      </c>
      <c r="B119" s="11">
        <v>1</v>
      </c>
      <c r="C119" s="11">
        <v>0.93842370000000008</v>
      </c>
    </row>
    <row r="120" spans="1:3" x14ac:dyDescent="0.2">
      <c r="A120" s="9">
        <f t="shared" si="1"/>
        <v>117</v>
      </c>
      <c r="B120" s="12"/>
      <c r="C120" s="12"/>
    </row>
    <row r="121" spans="1:3" x14ac:dyDescent="0.2">
      <c r="A121" s="9">
        <f t="shared" si="1"/>
        <v>118</v>
      </c>
      <c r="B121" s="12"/>
      <c r="C121" s="12"/>
    </row>
    <row r="122" spans="1:3" x14ac:dyDescent="0.2">
      <c r="A122" s="9">
        <f t="shared" si="1"/>
        <v>119</v>
      </c>
      <c r="B122" s="12"/>
      <c r="C122" s="12"/>
    </row>
    <row r="123" spans="1:3" x14ac:dyDescent="0.2">
      <c r="A123" s="9">
        <f t="shared" si="1"/>
        <v>120</v>
      </c>
      <c r="B123" s="12"/>
      <c r="C123" s="12"/>
    </row>
    <row r="124" spans="1:3" x14ac:dyDescent="0.2">
      <c r="A124" s="9">
        <f t="shared" si="1"/>
        <v>121</v>
      </c>
      <c r="B124" s="12"/>
      <c r="C124" s="12"/>
    </row>
    <row r="125" spans="1:3" x14ac:dyDescent="0.2">
      <c r="A125" s="9">
        <f t="shared" si="1"/>
        <v>122</v>
      </c>
      <c r="B125" s="13"/>
      <c r="C125" s="12"/>
    </row>
    <row r="126" spans="1:3" x14ac:dyDescent="0.2">
      <c r="A126" s="9">
        <f t="shared" si="1"/>
        <v>123</v>
      </c>
      <c r="B126" s="12"/>
      <c r="C126" s="12"/>
    </row>
    <row r="127" spans="1:3" x14ac:dyDescent="0.2">
      <c r="A127" s="9">
        <f t="shared" si="1"/>
        <v>124</v>
      </c>
      <c r="B127" s="12"/>
      <c r="C127" s="12"/>
    </row>
    <row r="128" spans="1:3" x14ac:dyDescent="0.2">
      <c r="A128" s="14">
        <f t="shared" si="1"/>
        <v>125</v>
      </c>
      <c r="B128" s="15"/>
      <c r="C128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L46"/>
  <sheetViews>
    <sheetView topLeftCell="A13" workbookViewId="0">
      <selection activeCell="C55" sqref="C55"/>
    </sheetView>
  </sheetViews>
  <sheetFormatPr baseColWidth="10" defaultRowHeight="12.75" x14ac:dyDescent="0.2"/>
  <cols>
    <col min="1" max="1" width="20.7109375" bestFit="1" customWidth="1"/>
    <col min="2" max="2" width="23.5703125" bestFit="1" customWidth="1"/>
  </cols>
  <sheetData>
    <row r="1" spans="1:10" x14ac:dyDescent="0.2">
      <c r="A1" s="1" t="s">
        <v>26</v>
      </c>
      <c r="B1" s="16">
        <v>0.27060000000000001</v>
      </c>
    </row>
    <row r="4" spans="1:10" x14ac:dyDescent="0.2">
      <c r="A4" s="1" t="s">
        <v>31</v>
      </c>
    </row>
    <row r="6" spans="1:10" x14ac:dyDescent="0.2">
      <c r="A6">
        <v>0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</row>
    <row r="7" spans="1:10" x14ac:dyDescent="0.2">
      <c r="A7" s="16">
        <v>1.6500000000000001E-2</v>
      </c>
      <c r="B7" s="16">
        <v>2.6599999999999999E-2</v>
      </c>
      <c r="C7" s="16">
        <v>2.75E-2</v>
      </c>
      <c r="D7" s="16">
        <v>2.7E-2</v>
      </c>
      <c r="E7" s="16">
        <v>4.2999999999999997E-2</v>
      </c>
      <c r="F7" s="16">
        <v>3.4299999999999997E-2</v>
      </c>
      <c r="G7" s="16">
        <v>5.2400000000000002E-2</v>
      </c>
      <c r="H7" s="16">
        <v>3.49E-2</v>
      </c>
      <c r="I7" s="16">
        <v>4.5100000000000001E-2</v>
      </c>
      <c r="J7" s="16">
        <v>2.6499999999999999E-2</v>
      </c>
    </row>
    <row r="11" spans="1:10" x14ac:dyDescent="0.2">
      <c r="A11" s="1" t="s">
        <v>40</v>
      </c>
      <c r="B11">
        <v>150</v>
      </c>
    </row>
    <row r="12" spans="1:10" x14ac:dyDescent="0.2">
      <c r="A12" s="1"/>
    </row>
    <row r="13" spans="1:10" x14ac:dyDescent="0.2">
      <c r="A13" s="1" t="s">
        <v>41</v>
      </c>
      <c r="B13">
        <v>60</v>
      </c>
    </row>
    <row r="15" spans="1:10" x14ac:dyDescent="0.2">
      <c r="A15" s="1" t="s">
        <v>42</v>
      </c>
      <c r="B15">
        <v>7500</v>
      </c>
    </row>
    <row r="17" spans="1:4" x14ac:dyDescent="0.2">
      <c r="A17" s="1" t="s">
        <v>44</v>
      </c>
      <c r="B17" s="17">
        <v>0.64159999999999995</v>
      </c>
    </row>
    <row r="23" spans="1:4" x14ac:dyDescent="0.2">
      <c r="A23" s="1" t="s">
        <v>46</v>
      </c>
    </row>
    <row r="26" spans="1:4" x14ac:dyDescent="0.2">
      <c r="A26">
        <v>1</v>
      </c>
      <c r="B26">
        <v>13</v>
      </c>
      <c r="C26">
        <v>25</v>
      </c>
      <c r="D26">
        <v>37</v>
      </c>
    </row>
    <row r="27" spans="1:4" x14ac:dyDescent="0.2">
      <c r="A27" s="16">
        <v>0.17100000000000001</v>
      </c>
      <c r="B27" s="16">
        <v>8.5500000000000007E-2</v>
      </c>
      <c r="C27" s="16">
        <v>8.5500000000000007E-2</v>
      </c>
      <c r="D27" s="18">
        <v>0</v>
      </c>
    </row>
    <row r="30" spans="1:4" x14ac:dyDescent="0.2">
      <c r="A30" s="1" t="s">
        <v>51</v>
      </c>
      <c r="B30" s="18">
        <v>0.2</v>
      </c>
    </row>
    <row r="32" spans="1:4" x14ac:dyDescent="0.2">
      <c r="A32" t="s">
        <v>52</v>
      </c>
      <c r="B32">
        <v>153.715</v>
      </c>
    </row>
    <row r="34" spans="1:38" x14ac:dyDescent="0.2">
      <c r="A34" t="s">
        <v>53</v>
      </c>
      <c r="B34" s="16">
        <v>2.8999999999999998E-3</v>
      </c>
    </row>
    <row r="36" spans="1:38" x14ac:dyDescent="0.2">
      <c r="A36" t="s">
        <v>54</v>
      </c>
      <c r="B36" s="18">
        <v>0.01</v>
      </c>
    </row>
    <row r="39" spans="1:38" x14ac:dyDescent="0.2">
      <c r="A39" t="s">
        <v>57</v>
      </c>
    </row>
    <row r="41" spans="1:38" x14ac:dyDescent="0.2">
      <c r="A41">
        <v>2017</v>
      </c>
      <c r="B41">
        <v>2018</v>
      </c>
      <c r="C41">
        <v>2019</v>
      </c>
      <c r="D41">
        <v>2020</v>
      </c>
      <c r="E41">
        <v>2021</v>
      </c>
      <c r="F41">
        <v>2022</v>
      </c>
      <c r="G41">
        <v>2023</v>
      </c>
      <c r="H41">
        <v>2024</v>
      </c>
      <c r="I41">
        <v>2025</v>
      </c>
      <c r="J41">
        <v>2026</v>
      </c>
      <c r="K41">
        <v>2027</v>
      </c>
      <c r="L41">
        <v>2028</v>
      </c>
      <c r="M41">
        <v>2029</v>
      </c>
      <c r="N41">
        <v>2030</v>
      </c>
      <c r="O41">
        <v>2031</v>
      </c>
      <c r="P41">
        <v>2032</v>
      </c>
      <c r="Q41">
        <v>2033</v>
      </c>
      <c r="R41">
        <v>2034</v>
      </c>
      <c r="S41">
        <v>2035</v>
      </c>
      <c r="T41">
        <v>2036</v>
      </c>
      <c r="U41">
        <v>2037</v>
      </c>
      <c r="V41">
        <v>2038</v>
      </c>
      <c r="W41">
        <v>2039</v>
      </c>
      <c r="X41">
        <v>2040</v>
      </c>
      <c r="Y41">
        <v>2041</v>
      </c>
      <c r="Z41">
        <v>2042</v>
      </c>
      <c r="AA41">
        <v>2043</v>
      </c>
      <c r="AB41">
        <v>2044</v>
      </c>
      <c r="AC41">
        <v>2045</v>
      </c>
      <c r="AD41">
        <v>2046</v>
      </c>
      <c r="AE41">
        <v>2047</v>
      </c>
      <c r="AF41">
        <v>2048</v>
      </c>
      <c r="AG41">
        <v>2049</v>
      </c>
      <c r="AH41">
        <v>2050</v>
      </c>
      <c r="AI41">
        <v>2051</v>
      </c>
      <c r="AJ41">
        <v>2052</v>
      </c>
      <c r="AK41">
        <v>2053</v>
      </c>
      <c r="AL41">
        <v>2053</v>
      </c>
    </row>
    <row r="42" spans="1:38" x14ac:dyDescent="0.2">
      <c r="A42">
        <v>1.8848764873174162</v>
      </c>
      <c r="B42">
        <v>1.8406901385362568</v>
      </c>
      <c r="C42">
        <v>1.6941658209836845</v>
      </c>
      <c r="D42">
        <v>1.6261183998164959</v>
      </c>
      <c r="E42">
        <v>1.5335871617852823</v>
      </c>
      <c r="F42">
        <v>1.5213694462861134</v>
      </c>
      <c r="G42">
        <v>1.4270081362352414</v>
      </c>
      <c r="H42">
        <v>1.4589505688163713</v>
      </c>
      <c r="I42">
        <v>1.5035087563983405</v>
      </c>
      <c r="J42">
        <v>1.5141311664607402</v>
      </c>
      <c r="K42">
        <v>1.5571657125337566</v>
      </c>
      <c r="L42">
        <v>1.5864907845133887</v>
      </c>
      <c r="M42">
        <v>1.686071644385893</v>
      </c>
      <c r="N42">
        <v>1.7560207384833468</v>
      </c>
      <c r="O42">
        <v>1.8322125385566701</v>
      </c>
      <c r="P42">
        <v>1.9444715539438149</v>
      </c>
      <c r="Q42">
        <v>2.0270543560324343</v>
      </c>
      <c r="R42">
        <v>2.1395415048066329</v>
      </c>
      <c r="S42">
        <v>2.2104907607984421</v>
      </c>
      <c r="T42">
        <v>2.223831324284375</v>
      </c>
      <c r="U42">
        <v>2.2731495385054488</v>
      </c>
      <c r="V42">
        <v>2.37450548921433</v>
      </c>
      <c r="W42">
        <v>2.4832693050990482</v>
      </c>
      <c r="X42">
        <v>2.5283367643389854</v>
      </c>
      <c r="Y42">
        <v>2.5835366615046746</v>
      </c>
      <c r="Z42">
        <v>2.6391894621767547</v>
      </c>
      <c r="AA42">
        <v>2.7126176915617517</v>
      </c>
      <c r="AB42">
        <v>2.7715056730686105</v>
      </c>
      <c r="AC42">
        <v>2.7995803999435882</v>
      </c>
      <c r="AD42">
        <v>2.8041259588468503</v>
      </c>
      <c r="AE42">
        <v>2.8216312823866412</v>
      </c>
      <c r="AF42">
        <v>2.8554295951583835</v>
      </c>
      <c r="AG42">
        <v>2.8779655365265895</v>
      </c>
      <c r="AH42">
        <v>2.8928166809751037</v>
      </c>
      <c r="AI42">
        <v>2.9114796079870358</v>
      </c>
      <c r="AJ42">
        <v>2.9298301555225716</v>
      </c>
      <c r="AK42">
        <v>2.9545924066929423</v>
      </c>
      <c r="AL42">
        <v>2.9545924066929423</v>
      </c>
    </row>
    <row r="43" spans="1:38" x14ac:dyDescent="0.2">
      <c r="A43">
        <f>ROUND(A42,4)/100</f>
        <v>1.8849000000000001E-2</v>
      </c>
      <c r="B43">
        <f t="shared" ref="B43:AL43" si="0">ROUND(B42,4)/100</f>
        <v>1.8407E-2</v>
      </c>
      <c r="C43">
        <f t="shared" si="0"/>
        <v>1.6941999999999999E-2</v>
      </c>
      <c r="D43">
        <f t="shared" si="0"/>
        <v>1.6261000000000001E-2</v>
      </c>
      <c r="E43">
        <f t="shared" si="0"/>
        <v>1.5336000000000001E-2</v>
      </c>
      <c r="F43">
        <f t="shared" si="0"/>
        <v>1.5214E-2</v>
      </c>
      <c r="G43">
        <f t="shared" si="0"/>
        <v>1.427E-2</v>
      </c>
      <c r="H43">
        <f t="shared" si="0"/>
        <v>1.4590000000000001E-2</v>
      </c>
      <c r="I43">
        <f t="shared" si="0"/>
        <v>1.5035E-2</v>
      </c>
      <c r="J43">
        <f t="shared" si="0"/>
        <v>1.5141E-2</v>
      </c>
      <c r="K43">
        <f t="shared" si="0"/>
        <v>1.5571999999999999E-2</v>
      </c>
      <c r="L43">
        <f t="shared" si="0"/>
        <v>1.5865000000000001E-2</v>
      </c>
      <c r="M43">
        <f t="shared" si="0"/>
        <v>1.6861000000000001E-2</v>
      </c>
      <c r="N43">
        <f t="shared" si="0"/>
        <v>1.7559999999999999E-2</v>
      </c>
      <c r="O43">
        <f t="shared" si="0"/>
        <v>1.8322000000000001E-2</v>
      </c>
      <c r="P43">
        <f t="shared" si="0"/>
        <v>1.9445E-2</v>
      </c>
      <c r="Q43">
        <f t="shared" si="0"/>
        <v>2.0270999999999997E-2</v>
      </c>
      <c r="R43">
        <f t="shared" si="0"/>
        <v>2.1395000000000001E-2</v>
      </c>
      <c r="S43">
        <f t="shared" si="0"/>
        <v>2.2105E-2</v>
      </c>
      <c r="T43">
        <f t="shared" si="0"/>
        <v>2.2238000000000001E-2</v>
      </c>
      <c r="U43">
        <f t="shared" si="0"/>
        <v>2.2730999999999998E-2</v>
      </c>
      <c r="V43">
        <f t="shared" si="0"/>
        <v>2.3744999999999999E-2</v>
      </c>
      <c r="W43">
        <f t="shared" si="0"/>
        <v>2.4832999999999997E-2</v>
      </c>
      <c r="X43">
        <f t="shared" si="0"/>
        <v>2.5283000000000003E-2</v>
      </c>
      <c r="Y43">
        <f t="shared" si="0"/>
        <v>2.5835E-2</v>
      </c>
      <c r="Z43">
        <f t="shared" si="0"/>
        <v>2.6392000000000002E-2</v>
      </c>
      <c r="AA43">
        <f t="shared" si="0"/>
        <v>2.7126000000000001E-2</v>
      </c>
      <c r="AB43">
        <f t="shared" si="0"/>
        <v>2.7715E-2</v>
      </c>
      <c r="AC43">
        <f t="shared" si="0"/>
        <v>2.7996E-2</v>
      </c>
      <c r="AD43">
        <f t="shared" si="0"/>
        <v>2.8041E-2</v>
      </c>
      <c r="AE43">
        <f t="shared" si="0"/>
        <v>2.8216000000000001E-2</v>
      </c>
      <c r="AF43">
        <f t="shared" si="0"/>
        <v>2.8554E-2</v>
      </c>
      <c r="AG43">
        <f t="shared" si="0"/>
        <v>2.878E-2</v>
      </c>
      <c r="AH43">
        <f t="shared" si="0"/>
        <v>2.8927999999999999E-2</v>
      </c>
      <c r="AI43">
        <f t="shared" si="0"/>
        <v>2.9115000000000002E-2</v>
      </c>
      <c r="AJ43">
        <f t="shared" si="0"/>
        <v>2.9298000000000001E-2</v>
      </c>
      <c r="AK43">
        <f t="shared" si="0"/>
        <v>2.9546000000000003E-2</v>
      </c>
      <c r="AL43">
        <f t="shared" si="0"/>
        <v>2.9546000000000003E-2</v>
      </c>
    </row>
    <row r="46" spans="1:38" x14ac:dyDescent="0.2">
      <c r="A46" s="1"/>
      <c r="B4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Resumo</vt:lpstr>
      <vt:lpstr>Portfolio</vt:lpstr>
      <vt:lpstr>Proj Cash Flows</vt:lpstr>
      <vt:lpstr>Mortality Table</vt:lpstr>
      <vt:lpstr>Assumptions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Crispim</dc:creator>
  <cp:lastModifiedBy>Ricardo Crispim</cp:lastModifiedBy>
  <dcterms:created xsi:type="dcterms:W3CDTF">2018-04-11T08:38:02Z</dcterms:created>
  <dcterms:modified xsi:type="dcterms:W3CDTF">2018-05-08T15:31:29Z</dcterms:modified>
</cp:coreProperties>
</file>