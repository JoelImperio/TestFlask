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80" windowWidth="28515" windowHeight="10995" activeTab="3"/>
  </bookViews>
  <sheets>
    <sheet name="Resumo" sheetId="7" r:id="rId1"/>
    <sheet name="Portfolio" sheetId="1" r:id="rId2"/>
    <sheet name="Proj Cash Flows" sheetId="3" r:id="rId3"/>
    <sheet name="Mortality Table" sheetId="4" r:id="rId4"/>
    <sheet name="Assumptions" sheetId="2" r:id="rId5"/>
    <sheet name="Mortality Tarif Male" sheetId="6" r:id="rId6"/>
    <sheet name="Mortality Tarif Female" sheetId="5" r:id="rId7"/>
  </sheets>
  <externalReferences>
    <externalReference r:id="rId8"/>
  </externalReferences>
  <definedNames>
    <definedName name="_xlnm._FilterDatabase" localSheetId="1" hidden="1">Portfolio!$A$5:$AJ$250</definedName>
  </definedNames>
  <calcPr calcId="145621"/>
</workbook>
</file>

<file path=xl/calcChain.xml><?xml version="1.0" encoding="utf-8"?>
<calcChain xmlns="http://schemas.openxmlformats.org/spreadsheetml/2006/main">
  <c r="AK9" i="1" l="1"/>
  <c r="AK10" i="1"/>
  <c r="AK17" i="1"/>
  <c r="AK18" i="1"/>
  <c r="AK25" i="1"/>
  <c r="AK26" i="1"/>
  <c r="AK33" i="1"/>
  <c r="AK34" i="1"/>
  <c r="AK41" i="1"/>
  <c r="AK42" i="1"/>
  <c r="AK49" i="1"/>
  <c r="AK50" i="1"/>
  <c r="AK57" i="1"/>
  <c r="AK58" i="1"/>
  <c r="AK65" i="1"/>
  <c r="AK66" i="1"/>
  <c r="AK73" i="1"/>
  <c r="AK74" i="1"/>
  <c r="AK81" i="1"/>
  <c r="AK82" i="1"/>
  <c r="AK89" i="1"/>
  <c r="AK90" i="1"/>
  <c r="AK97" i="1"/>
  <c r="AK98" i="1"/>
  <c r="AK105" i="1"/>
  <c r="AK106" i="1"/>
  <c r="AK113" i="1"/>
  <c r="AK114" i="1"/>
  <c r="AK121" i="1"/>
  <c r="AK122" i="1"/>
  <c r="AK129" i="1"/>
  <c r="AK130" i="1"/>
  <c r="AK137" i="1"/>
  <c r="AK138" i="1"/>
  <c r="AK145" i="1"/>
  <c r="AK146" i="1"/>
  <c r="AK153" i="1"/>
  <c r="AK154" i="1"/>
  <c r="AK161" i="1"/>
  <c r="AK162" i="1"/>
  <c r="AK169" i="1"/>
  <c r="AK170" i="1"/>
  <c r="AK177" i="1"/>
  <c r="AK178" i="1"/>
  <c r="AK185" i="1"/>
  <c r="AK186" i="1"/>
  <c r="AK193" i="1"/>
  <c r="AK194" i="1"/>
  <c r="AK201" i="1"/>
  <c r="AK202" i="1"/>
  <c r="AK209" i="1"/>
  <c r="AK210" i="1"/>
  <c r="AK217" i="1"/>
  <c r="AK218" i="1"/>
  <c r="AK225" i="1"/>
  <c r="AK226" i="1"/>
  <c r="AK229" i="1"/>
  <c r="AK233" i="1"/>
  <c r="AK234" i="1"/>
  <c r="AK241" i="1"/>
  <c r="AK242" i="1"/>
  <c r="AK249" i="1"/>
  <c r="AK250" i="1"/>
  <c r="AJ7" i="1"/>
  <c r="AK7" i="1" s="1"/>
  <c r="AJ8" i="1"/>
  <c r="AK8" i="1" s="1"/>
  <c r="AJ9" i="1"/>
  <c r="AJ10" i="1"/>
  <c r="AJ11" i="1"/>
  <c r="AK11" i="1" s="1"/>
  <c r="AJ12" i="1"/>
  <c r="AK12" i="1" s="1"/>
  <c r="AJ13" i="1"/>
  <c r="AK13" i="1" s="1"/>
  <c r="AJ14" i="1"/>
  <c r="AK14" i="1" s="1"/>
  <c r="AJ15" i="1"/>
  <c r="AK15" i="1" s="1"/>
  <c r="AJ16" i="1"/>
  <c r="AK16" i="1" s="1"/>
  <c r="AJ17" i="1"/>
  <c r="AJ18" i="1"/>
  <c r="AJ19" i="1"/>
  <c r="AK19" i="1" s="1"/>
  <c r="AJ20" i="1"/>
  <c r="AK20" i="1" s="1"/>
  <c r="AJ21" i="1"/>
  <c r="AK21" i="1" s="1"/>
  <c r="AJ22" i="1"/>
  <c r="AK22" i="1" s="1"/>
  <c r="AJ23" i="1"/>
  <c r="AK23" i="1" s="1"/>
  <c r="AJ24" i="1"/>
  <c r="AK24" i="1" s="1"/>
  <c r="AJ25" i="1"/>
  <c r="AJ26" i="1"/>
  <c r="AJ27" i="1"/>
  <c r="AK27" i="1" s="1"/>
  <c r="AJ28" i="1"/>
  <c r="AK28" i="1" s="1"/>
  <c r="AJ29" i="1"/>
  <c r="AK29" i="1" s="1"/>
  <c r="AJ30" i="1"/>
  <c r="AK30" i="1" s="1"/>
  <c r="AJ31" i="1"/>
  <c r="AK31" i="1" s="1"/>
  <c r="AJ32" i="1"/>
  <c r="AK32" i="1" s="1"/>
  <c r="AJ33" i="1"/>
  <c r="AJ34" i="1"/>
  <c r="AJ35" i="1"/>
  <c r="AK35" i="1" s="1"/>
  <c r="AJ36" i="1"/>
  <c r="AK36" i="1" s="1"/>
  <c r="AJ37" i="1"/>
  <c r="AK37" i="1" s="1"/>
  <c r="AJ38" i="1"/>
  <c r="AK38" i="1" s="1"/>
  <c r="AJ39" i="1"/>
  <c r="AK39" i="1" s="1"/>
  <c r="AJ40" i="1"/>
  <c r="AK40" i="1" s="1"/>
  <c r="AJ41" i="1"/>
  <c r="AJ42" i="1"/>
  <c r="AJ43" i="1"/>
  <c r="AK43" i="1" s="1"/>
  <c r="AJ44" i="1"/>
  <c r="AK44" i="1" s="1"/>
  <c r="AJ45" i="1"/>
  <c r="AK45" i="1" s="1"/>
  <c r="AJ46" i="1"/>
  <c r="AK46" i="1" s="1"/>
  <c r="AJ47" i="1"/>
  <c r="AK47" i="1" s="1"/>
  <c r="AJ48" i="1"/>
  <c r="AK48" i="1" s="1"/>
  <c r="AJ49" i="1"/>
  <c r="AJ50" i="1"/>
  <c r="AJ51" i="1"/>
  <c r="AK51" i="1" s="1"/>
  <c r="AJ52" i="1"/>
  <c r="AK52" i="1" s="1"/>
  <c r="AJ53" i="1"/>
  <c r="AK53" i="1" s="1"/>
  <c r="AJ54" i="1"/>
  <c r="AK54" i="1" s="1"/>
  <c r="AJ55" i="1"/>
  <c r="AK55" i="1" s="1"/>
  <c r="AJ56" i="1"/>
  <c r="AK56" i="1" s="1"/>
  <c r="AJ57" i="1"/>
  <c r="AJ58" i="1"/>
  <c r="AJ59" i="1"/>
  <c r="AK59" i="1" s="1"/>
  <c r="AJ60" i="1"/>
  <c r="AK60" i="1" s="1"/>
  <c r="AJ61" i="1"/>
  <c r="AK61" i="1" s="1"/>
  <c r="AJ62" i="1"/>
  <c r="AK62" i="1" s="1"/>
  <c r="AJ63" i="1"/>
  <c r="AK63" i="1" s="1"/>
  <c r="AJ64" i="1"/>
  <c r="AK64" i="1" s="1"/>
  <c r="AJ65" i="1"/>
  <c r="AJ66" i="1"/>
  <c r="AJ67" i="1"/>
  <c r="AK67" i="1" s="1"/>
  <c r="AJ68" i="1"/>
  <c r="AK68" i="1" s="1"/>
  <c r="AJ69" i="1"/>
  <c r="AK69" i="1" s="1"/>
  <c r="AJ70" i="1"/>
  <c r="AK70" i="1" s="1"/>
  <c r="AJ71" i="1"/>
  <c r="AK71" i="1" s="1"/>
  <c r="AJ72" i="1"/>
  <c r="AK72" i="1" s="1"/>
  <c r="AJ73" i="1"/>
  <c r="AJ74" i="1"/>
  <c r="AJ75" i="1"/>
  <c r="AK75" i="1" s="1"/>
  <c r="AJ76" i="1"/>
  <c r="AK76" i="1" s="1"/>
  <c r="AJ77" i="1"/>
  <c r="AK77" i="1" s="1"/>
  <c r="AJ78" i="1"/>
  <c r="AK78" i="1" s="1"/>
  <c r="AJ79" i="1"/>
  <c r="AK79" i="1" s="1"/>
  <c r="AJ80" i="1"/>
  <c r="AK80" i="1" s="1"/>
  <c r="AJ81" i="1"/>
  <c r="AJ82" i="1"/>
  <c r="AJ83" i="1"/>
  <c r="AK83" i="1" s="1"/>
  <c r="AJ84" i="1"/>
  <c r="AK84" i="1" s="1"/>
  <c r="AJ85" i="1"/>
  <c r="AK85" i="1" s="1"/>
  <c r="AJ86" i="1"/>
  <c r="AK86" i="1" s="1"/>
  <c r="AJ87" i="1"/>
  <c r="AK87" i="1" s="1"/>
  <c r="AJ88" i="1"/>
  <c r="AK88" i="1" s="1"/>
  <c r="AJ89" i="1"/>
  <c r="AJ90" i="1"/>
  <c r="AJ91" i="1"/>
  <c r="AK91" i="1" s="1"/>
  <c r="AJ92" i="1"/>
  <c r="AK92" i="1" s="1"/>
  <c r="AJ93" i="1"/>
  <c r="AK93" i="1" s="1"/>
  <c r="AJ94" i="1"/>
  <c r="AK94" i="1" s="1"/>
  <c r="AJ95" i="1"/>
  <c r="AK95" i="1" s="1"/>
  <c r="AJ96" i="1"/>
  <c r="AK96" i="1" s="1"/>
  <c r="AJ97" i="1"/>
  <c r="AJ98" i="1"/>
  <c r="AJ99" i="1"/>
  <c r="AK99" i="1" s="1"/>
  <c r="AJ100" i="1"/>
  <c r="AK100" i="1" s="1"/>
  <c r="AJ101" i="1"/>
  <c r="AK101" i="1" s="1"/>
  <c r="AJ102" i="1"/>
  <c r="AK102" i="1" s="1"/>
  <c r="AJ103" i="1"/>
  <c r="AK103" i="1" s="1"/>
  <c r="AJ104" i="1"/>
  <c r="AK104" i="1" s="1"/>
  <c r="AJ105" i="1"/>
  <c r="AJ106" i="1"/>
  <c r="AJ107" i="1"/>
  <c r="AK107" i="1" s="1"/>
  <c r="AJ108" i="1"/>
  <c r="AK108" i="1" s="1"/>
  <c r="AJ109" i="1"/>
  <c r="AK109" i="1" s="1"/>
  <c r="AJ110" i="1"/>
  <c r="AK110" i="1" s="1"/>
  <c r="AJ111" i="1"/>
  <c r="AK111" i="1" s="1"/>
  <c r="AJ112" i="1"/>
  <c r="AK112" i="1" s="1"/>
  <c r="AJ113" i="1"/>
  <c r="AJ114" i="1"/>
  <c r="AJ115" i="1"/>
  <c r="AK115" i="1" s="1"/>
  <c r="AJ116" i="1"/>
  <c r="AK116" i="1" s="1"/>
  <c r="AJ117" i="1"/>
  <c r="AK117" i="1" s="1"/>
  <c r="AJ118" i="1"/>
  <c r="AK118" i="1" s="1"/>
  <c r="AJ119" i="1"/>
  <c r="AK119" i="1" s="1"/>
  <c r="AJ120" i="1"/>
  <c r="AK120" i="1" s="1"/>
  <c r="AJ121" i="1"/>
  <c r="AJ122" i="1"/>
  <c r="AJ123" i="1"/>
  <c r="AK123" i="1" s="1"/>
  <c r="AJ124" i="1"/>
  <c r="AK124" i="1" s="1"/>
  <c r="AJ125" i="1"/>
  <c r="AK125" i="1" s="1"/>
  <c r="AJ126" i="1"/>
  <c r="AK126" i="1" s="1"/>
  <c r="AJ127" i="1"/>
  <c r="AK127" i="1" s="1"/>
  <c r="AJ128" i="1"/>
  <c r="AK128" i="1" s="1"/>
  <c r="AJ129" i="1"/>
  <c r="AJ130" i="1"/>
  <c r="AJ131" i="1"/>
  <c r="AK131" i="1" s="1"/>
  <c r="AJ132" i="1"/>
  <c r="AK132" i="1" s="1"/>
  <c r="AJ133" i="1"/>
  <c r="AK133" i="1" s="1"/>
  <c r="AJ134" i="1"/>
  <c r="AK134" i="1" s="1"/>
  <c r="AJ135" i="1"/>
  <c r="AK135" i="1" s="1"/>
  <c r="AJ136" i="1"/>
  <c r="AK136" i="1" s="1"/>
  <c r="AJ137" i="1"/>
  <c r="AJ138" i="1"/>
  <c r="AJ139" i="1"/>
  <c r="AK139" i="1" s="1"/>
  <c r="AJ140" i="1"/>
  <c r="AK140" i="1" s="1"/>
  <c r="AJ141" i="1"/>
  <c r="AK141" i="1" s="1"/>
  <c r="AJ142" i="1"/>
  <c r="AK142" i="1" s="1"/>
  <c r="AJ143" i="1"/>
  <c r="AK143" i="1" s="1"/>
  <c r="AJ144" i="1"/>
  <c r="AK144" i="1" s="1"/>
  <c r="AJ145" i="1"/>
  <c r="AJ146" i="1"/>
  <c r="AJ147" i="1"/>
  <c r="AK147" i="1" s="1"/>
  <c r="AJ148" i="1"/>
  <c r="AK148" i="1" s="1"/>
  <c r="AJ149" i="1"/>
  <c r="AK149" i="1" s="1"/>
  <c r="AJ150" i="1"/>
  <c r="AK150" i="1" s="1"/>
  <c r="AJ151" i="1"/>
  <c r="AK151" i="1" s="1"/>
  <c r="AJ152" i="1"/>
  <c r="AK152" i="1" s="1"/>
  <c r="AJ153" i="1"/>
  <c r="AJ154" i="1"/>
  <c r="AJ155" i="1"/>
  <c r="AK155" i="1" s="1"/>
  <c r="AJ156" i="1"/>
  <c r="AK156" i="1" s="1"/>
  <c r="AJ157" i="1"/>
  <c r="AK157" i="1" s="1"/>
  <c r="AJ158" i="1"/>
  <c r="AK158" i="1" s="1"/>
  <c r="AJ159" i="1"/>
  <c r="AK159" i="1" s="1"/>
  <c r="AJ160" i="1"/>
  <c r="AK160" i="1" s="1"/>
  <c r="AJ161" i="1"/>
  <c r="AJ162" i="1"/>
  <c r="AJ163" i="1"/>
  <c r="AK163" i="1" s="1"/>
  <c r="AJ164" i="1"/>
  <c r="AK164" i="1" s="1"/>
  <c r="AJ165" i="1"/>
  <c r="AK165" i="1" s="1"/>
  <c r="AJ166" i="1"/>
  <c r="AK166" i="1" s="1"/>
  <c r="AJ167" i="1"/>
  <c r="AK167" i="1" s="1"/>
  <c r="AJ168" i="1"/>
  <c r="AK168" i="1" s="1"/>
  <c r="AJ169" i="1"/>
  <c r="AJ170" i="1"/>
  <c r="AJ171" i="1"/>
  <c r="AK171" i="1" s="1"/>
  <c r="AJ172" i="1"/>
  <c r="AK172" i="1" s="1"/>
  <c r="AJ173" i="1"/>
  <c r="AK173" i="1" s="1"/>
  <c r="AJ174" i="1"/>
  <c r="AK174" i="1" s="1"/>
  <c r="AJ175" i="1"/>
  <c r="AK175" i="1" s="1"/>
  <c r="AJ176" i="1"/>
  <c r="AK176" i="1" s="1"/>
  <c r="AJ177" i="1"/>
  <c r="AJ178" i="1"/>
  <c r="AJ179" i="1"/>
  <c r="AK179" i="1" s="1"/>
  <c r="AJ180" i="1"/>
  <c r="AK180" i="1" s="1"/>
  <c r="AJ181" i="1"/>
  <c r="AK181" i="1" s="1"/>
  <c r="AJ182" i="1"/>
  <c r="AK182" i="1" s="1"/>
  <c r="AJ183" i="1"/>
  <c r="AK183" i="1" s="1"/>
  <c r="AJ184" i="1"/>
  <c r="AK184" i="1" s="1"/>
  <c r="AJ185" i="1"/>
  <c r="AJ186" i="1"/>
  <c r="AJ187" i="1"/>
  <c r="AK187" i="1" s="1"/>
  <c r="AJ188" i="1"/>
  <c r="AK188" i="1" s="1"/>
  <c r="AJ189" i="1"/>
  <c r="AK189" i="1" s="1"/>
  <c r="AJ190" i="1"/>
  <c r="AK190" i="1" s="1"/>
  <c r="AJ191" i="1"/>
  <c r="AK191" i="1" s="1"/>
  <c r="AJ192" i="1"/>
  <c r="AK192" i="1" s="1"/>
  <c r="AJ193" i="1"/>
  <c r="AJ194" i="1"/>
  <c r="AJ195" i="1"/>
  <c r="AK195" i="1" s="1"/>
  <c r="AJ196" i="1"/>
  <c r="AK196" i="1" s="1"/>
  <c r="AJ197" i="1"/>
  <c r="AK197" i="1" s="1"/>
  <c r="AJ198" i="1"/>
  <c r="AK198" i="1" s="1"/>
  <c r="AJ199" i="1"/>
  <c r="AK199" i="1" s="1"/>
  <c r="AJ200" i="1"/>
  <c r="AK200" i="1" s="1"/>
  <c r="AJ201" i="1"/>
  <c r="AJ202" i="1"/>
  <c r="AJ203" i="1"/>
  <c r="AK203" i="1" s="1"/>
  <c r="AJ204" i="1"/>
  <c r="AK204" i="1" s="1"/>
  <c r="AJ205" i="1"/>
  <c r="AK205" i="1" s="1"/>
  <c r="AJ206" i="1"/>
  <c r="AK206" i="1" s="1"/>
  <c r="AJ207" i="1"/>
  <c r="AK207" i="1" s="1"/>
  <c r="AJ208" i="1"/>
  <c r="AK208" i="1" s="1"/>
  <c r="AJ209" i="1"/>
  <c r="AJ210" i="1"/>
  <c r="AJ211" i="1"/>
  <c r="AK211" i="1" s="1"/>
  <c r="AJ212" i="1"/>
  <c r="AK212" i="1" s="1"/>
  <c r="AJ213" i="1"/>
  <c r="AK213" i="1" s="1"/>
  <c r="AJ214" i="1"/>
  <c r="AK214" i="1" s="1"/>
  <c r="AJ215" i="1"/>
  <c r="AK215" i="1" s="1"/>
  <c r="AJ216" i="1"/>
  <c r="AK216" i="1" s="1"/>
  <c r="AJ217" i="1"/>
  <c r="AJ218" i="1"/>
  <c r="AJ219" i="1"/>
  <c r="AK219" i="1" s="1"/>
  <c r="AJ220" i="1"/>
  <c r="AK220" i="1" s="1"/>
  <c r="AJ221" i="1"/>
  <c r="AK221" i="1" s="1"/>
  <c r="AJ222" i="1"/>
  <c r="AK222" i="1" s="1"/>
  <c r="AJ223" i="1"/>
  <c r="AK223" i="1" s="1"/>
  <c r="AJ224" i="1"/>
  <c r="AK224" i="1" s="1"/>
  <c r="AJ225" i="1"/>
  <c r="AJ226" i="1"/>
  <c r="AJ227" i="1"/>
  <c r="AK227" i="1" s="1"/>
  <c r="AJ228" i="1"/>
  <c r="AK228" i="1" s="1"/>
  <c r="AJ229" i="1"/>
  <c r="AJ230" i="1"/>
  <c r="AK230" i="1" s="1"/>
  <c r="AJ231" i="1"/>
  <c r="AK231" i="1" s="1"/>
  <c r="AJ232" i="1"/>
  <c r="AK232" i="1" s="1"/>
  <c r="AJ233" i="1"/>
  <c r="AJ234" i="1"/>
  <c r="AJ235" i="1"/>
  <c r="AK235" i="1" s="1"/>
  <c r="AJ236" i="1"/>
  <c r="AK236" i="1" s="1"/>
  <c r="AJ237" i="1"/>
  <c r="AK237" i="1" s="1"/>
  <c r="AJ238" i="1"/>
  <c r="AK238" i="1" s="1"/>
  <c r="AJ239" i="1"/>
  <c r="AK239" i="1" s="1"/>
  <c r="AJ240" i="1"/>
  <c r="AK240" i="1" s="1"/>
  <c r="AJ241" i="1"/>
  <c r="AJ242" i="1"/>
  <c r="AJ243" i="1"/>
  <c r="AK243" i="1" s="1"/>
  <c r="AJ244" i="1"/>
  <c r="AK244" i="1" s="1"/>
  <c r="AJ245" i="1"/>
  <c r="AK245" i="1" s="1"/>
  <c r="AJ246" i="1"/>
  <c r="AK246" i="1" s="1"/>
  <c r="AJ247" i="1"/>
  <c r="AK247" i="1" s="1"/>
  <c r="AJ248" i="1"/>
  <c r="AK248" i="1" s="1"/>
  <c r="AJ249" i="1"/>
  <c r="AJ250" i="1"/>
  <c r="AJ6" i="1"/>
  <c r="AK6" i="1" s="1"/>
  <c r="L265" i="3" l="1"/>
  <c r="AG265" i="3"/>
  <c r="AY265" i="3"/>
  <c r="L266" i="3"/>
  <c r="AG266" i="3"/>
  <c r="AY266" i="3"/>
  <c r="L267" i="3"/>
  <c r="AG267" i="3"/>
  <c r="AY267" i="3"/>
  <c r="L268" i="3"/>
  <c r="AG268" i="3"/>
  <c r="AY268" i="3"/>
  <c r="L269" i="3"/>
  <c r="AG269" i="3"/>
  <c r="AY269" i="3"/>
  <c r="L270" i="3"/>
  <c r="AG270" i="3"/>
  <c r="AY270" i="3"/>
  <c r="L271" i="3"/>
  <c r="AG271" i="3"/>
  <c r="AY271" i="3"/>
  <c r="L272" i="3"/>
  <c r="AG272" i="3"/>
  <c r="AY272" i="3"/>
  <c r="L273" i="3"/>
  <c r="AG273" i="3"/>
  <c r="AY273" i="3"/>
  <c r="L274" i="3"/>
  <c r="AG274" i="3"/>
  <c r="AY274" i="3"/>
  <c r="L275" i="3"/>
  <c r="AY275" i="3"/>
  <c r="L276" i="3"/>
  <c r="AG276" i="3"/>
  <c r="AY276" i="3"/>
  <c r="L277" i="3"/>
  <c r="AG277" i="3"/>
  <c r="AY277" i="3"/>
  <c r="L278" i="3"/>
  <c r="AG278" i="3"/>
  <c r="AY278" i="3"/>
  <c r="L279" i="3"/>
  <c r="AG279" i="3"/>
  <c r="AY279" i="3"/>
  <c r="L280" i="3"/>
  <c r="AG280" i="3"/>
  <c r="AY280" i="3"/>
  <c r="L281" i="3"/>
  <c r="AG281" i="3"/>
  <c r="AY281" i="3"/>
  <c r="L282" i="3"/>
  <c r="AG282" i="3"/>
  <c r="AY282" i="3"/>
  <c r="L283" i="3"/>
  <c r="AG283" i="3"/>
  <c r="AY283" i="3"/>
  <c r="L284" i="3"/>
  <c r="AG284" i="3"/>
  <c r="AY284" i="3"/>
  <c r="L285" i="3"/>
  <c r="AG285" i="3"/>
  <c r="AY285" i="3"/>
  <c r="L286" i="3"/>
  <c r="AG286" i="3"/>
  <c r="AY286" i="3"/>
  <c r="L287" i="3"/>
  <c r="AY287" i="3"/>
  <c r="AZ287" i="3"/>
  <c r="A278" i="7"/>
  <c r="A275" i="7"/>
  <c r="A276" i="7"/>
  <c r="A277" i="7"/>
  <c r="A268" i="7"/>
  <c r="A269" i="7"/>
  <c r="A270" i="7"/>
  <c r="A271" i="7"/>
  <c r="A272" i="7" s="1"/>
  <c r="A273" i="7" s="1"/>
  <c r="A274" i="7" s="1"/>
  <c r="A277" i="3"/>
  <c r="A278" i="3"/>
  <c r="A279" i="3"/>
  <c r="A280" i="3"/>
  <c r="A281" i="3"/>
  <c r="A282" i="3" s="1"/>
  <c r="A283" i="3" s="1"/>
  <c r="A284" i="3" s="1"/>
  <c r="A285" i="3" s="1"/>
  <c r="A286" i="3" s="1"/>
  <c r="A287" i="3" s="1"/>
  <c r="A267" i="7"/>
  <c r="A274" i="3"/>
  <c r="A275" i="3"/>
  <c r="A276" i="3"/>
  <c r="A265" i="3"/>
  <c r="A266" i="3"/>
  <c r="A267" i="3"/>
  <c r="A268" i="3"/>
  <c r="A269" i="3"/>
  <c r="A270" i="3" s="1"/>
  <c r="A271" i="3" s="1"/>
  <c r="A272" i="3" s="1"/>
  <c r="A273" i="3" s="1"/>
  <c r="A263" i="7"/>
  <c r="A264" i="7" s="1"/>
  <c r="A265" i="7" s="1"/>
  <c r="A266" i="7" s="1"/>
  <c r="A256" i="7"/>
  <c r="A257" i="7" s="1"/>
  <c r="A258" i="7" s="1"/>
  <c r="A259" i="7" s="1"/>
  <c r="A260" i="7" s="1"/>
  <c r="A261" i="7" s="1"/>
  <c r="A262" i="7" s="1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Y13" i="3" l="1"/>
  <c r="AY14" i="3"/>
  <c r="AY15" i="3"/>
  <c r="AY16" i="3"/>
  <c r="AY17" i="3"/>
  <c r="AY18" i="3"/>
  <c r="AY19" i="3"/>
  <c r="AY20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Y51" i="3"/>
  <c r="AY52" i="3"/>
  <c r="AY53" i="3"/>
  <c r="AY54" i="3"/>
  <c r="AY55" i="3"/>
  <c r="AY56" i="3"/>
  <c r="AY57" i="3"/>
  <c r="AY58" i="3"/>
  <c r="AY59" i="3"/>
  <c r="AY60" i="3"/>
  <c r="AY61" i="3"/>
  <c r="AY62" i="3"/>
  <c r="AY63" i="3"/>
  <c r="AY64" i="3"/>
  <c r="AY65" i="3"/>
  <c r="AY66" i="3"/>
  <c r="AY67" i="3"/>
  <c r="AY68" i="3"/>
  <c r="AY69" i="3"/>
  <c r="AY70" i="3"/>
  <c r="AY71" i="3"/>
  <c r="AY72" i="3"/>
  <c r="AY73" i="3"/>
  <c r="AY74" i="3"/>
  <c r="AY75" i="3"/>
  <c r="AY76" i="3"/>
  <c r="AY77" i="3"/>
  <c r="AY78" i="3"/>
  <c r="AY79" i="3"/>
  <c r="AY80" i="3"/>
  <c r="AY81" i="3"/>
  <c r="AY82" i="3"/>
  <c r="AY83" i="3"/>
  <c r="AY84" i="3"/>
  <c r="AY85" i="3"/>
  <c r="AY86" i="3"/>
  <c r="AY87" i="3"/>
  <c r="AY88" i="3"/>
  <c r="AY89" i="3"/>
  <c r="AY90" i="3"/>
  <c r="AY91" i="3"/>
  <c r="AY92" i="3"/>
  <c r="AY93" i="3"/>
  <c r="AY94" i="3"/>
  <c r="AY95" i="3"/>
  <c r="AY96" i="3"/>
  <c r="AY97" i="3"/>
  <c r="AY98" i="3"/>
  <c r="AY99" i="3"/>
  <c r="AY100" i="3"/>
  <c r="AY101" i="3"/>
  <c r="AY102" i="3"/>
  <c r="AY103" i="3"/>
  <c r="AY104" i="3"/>
  <c r="AY105" i="3"/>
  <c r="AY106" i="3"/>
  <c r="AY107" i="3"/>
  <c r="AY108" i="3"/>
  <c r="AY109" i="3"/>
  <c r="AY110" i="3"/>
  <c r="AY111" i="3"/>
  <c r="AY112" i="3"/>
  <c r="AY113" i="3"/>
  <c r="AY114" i="3"/>
  <c r="AY115" i="3"/>
  <c r="AY116" i="3"/>
  <c r="AY117" i="3"/>
  <c r="AY118" i="3"/>
  <c r="AY119" i="3"/>
  <c r="AY120" i="3"/>
  <c r="AY121" i="3"/>
  <c r="AY122" i="3"/>
  <c r="AY123" i="3"/>
  <c r="AY124" i="3"/>
  <c r="AY125" i="3"/>
  <c r="AY126" i="3"/>
  <c r="AY127" i="3"/>
  <c r="AY128" i="3"/>
  <c r="AY129" i="3"/>
  <c r="AY130" i="3"/>
  <c r="AY131" i="3"/>
  <c r="AY132" i="3"/>
  <c r="AY133" i="3"/>
  <c r="AY134" i="3"/>
  <c r="AY135" i="3"/>
  <c r="AY136" i="3"/>
  <c r="AY137" i="3"/>
  <c r="AY138" i="3"/>
  <c r="AY139" i="3"/>
  <c r="AY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57" i="3"/>
  <c r="AY158" i="3"/>
  <c r="AY159" i="3"/>
  <c r="AY160" i="3"/>
  <c r="AY161" i="3"/>
  <c r="AY162" i="3"/>
  <c r="AY163" i="3"/>
  <c r="AY164" i="3"/>
  <c r="AY165" i="3"/>
  <c r="AY166" i="3"/>
  <c r="AY167" i="3"/>
  <c r="AY168" i="3"/>
  <c r="AY169" i="3"/>
  <c r="AY170" i="3"/>
  <c r="AY171" i="3"/>
  <c r="AY172" i="3"/>
  <c r="AY173" i="3"/>
  <c r="AY174" i="3"/>
  <c r="AY175" i="3"/>
  <c r="AY176" i="3"/>
  <c r="AY177" i="3"/>
  <c r="AY178" i="3"/>
  <c r="AY179" i="3"/>
  <c r="AY180" i="3"/>
  <c r="AY181" i="3"/>
  <c r="AY182" i="3"/>
  <c r="AY183" i="3"/>
  <c r="AY184" i="3"/>
  <c r="AY185" i="3"/>
  <c r="AY186" i="3"/>
  <c r="AY187" i="3"/>
  <c r="AY188" i="3"/>
  <c r="AY189" i="3"/>
  <c r="AY190" i="3"/>
  <c r="AY191" i="3"/>
  <c r="AY192" i="3"/>
  <c r="AY193" i="3"/>
  <c r="AY194" i="3"/>
  <c r="AY195" i="3"/>
  <c r="AY196" i="3"/>
  <c r="AY197" i="3"/>
  <c r="AY198" i="3"/>
  <c r="AY199" i="3"/>
  <c r="AY200" i="3"/>
  <c r="AY201" i="3"/>
  <c r="AY202" i="3"/>
  <c r="AY203" i="3"/>
  <c r="AY204" i="3"/>
  <c r="AY205" i="3"/>
  <c r="AY206" i="3"/>
  <c r="AY207" i="3"/>
  <c r="AY208" i="3"/>
  <c r="AY209" i="3"/>
  <c r="AY210" i="3"/>
  <c r="AY211" i="3"/>
  <c r="AY212" i="3"/>
  <c r="AY213" i="3"/>
  <c r="AY214" i="3"/>
  <c r="AY215" i="3"/>
  <c r="AY216" i="3"/>
  <c r="AY217" i="3"/>
  <c r="AY218" i="3"/>
  <c r="AY219" i="3"/>
  <c r="AY220" i="3"/>
  <c r="AY221" i="3"/>
  <c r="AY222" i="3"/>
  <c r="AY223" i="3"/>
  <c r="AY224" i="3"/>
  <c r="AY225" i="3"/>
  <c r="AY226" i="3"/>
  <c r="AY227" i="3"/>
  <c r="AY228" i="3"/>
  <c r="AY229" i="3"/>
  <c r="AY230" i="3"/>
  <c r="AY231" i="3"/>
  <c r="AY232" i="3"/>
  <c r="AY233" i="3"/>
  <c r="AY234" i="3"/>
  <c r="AY235" i="3"/>
  <c r="AY236" i="3"/>
  <c r="AY237" i="3"/>
  <c r="AY238" i="3"/>
  <c r="AY239" i="3"/>
  <c r="AY240" i="3"/>
  <c r="AY241" i="3"/>
  <c r="AY242" i="3"/>
  <c r="AY243" i="3"/>
  <c r="AY244" i="3"/>
  <c r="AY245" i="3"/>
  <c r="AY246" i="3"/>
  <c r="AY247" i="3"/>
  <c r="AY248" i="3"/>
  <c r="AY249" i="3"/>
  <c r="AY250" i="3"/>
  <c r="AY251" i="3"/>
  <c r="AY252" i="3"/>
  <c r="AY253" i="3"/>
  <c r="AY254" i="3"/>
  <c r="AY255" i="3"/>
  <c r="AY256" i="3"/>
  <c r="AY257" i="3"/>
  <c r="AY258" i="3"/>
  <c r="AY259" i="3"/>
  <c r="AY260" i="3"/>
  <c r="AY261" i="3"/>
  <c r="AY262" i="3"/>
  <c r="AY263" i="3"/>
  <c r="AY264" i="3"/>
  <c r="AY12" i="3"/>
  <c r="AL29" i="2" l="1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29" i="2"/>
  <c r="Q11" i="3"/>
  <c r="AG2" i="3"/>
  <c r="AH2" i="3" s="1"/>
  <c r="AI2" i="3" s="1"/>
  <c r="B1" i="5" l="1"/>
  <c r="D29" i="5" s="1"/>
  <c r="B1" i="6"/>
  <c r="D45" i="6" s="1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D10" i="5" l="1"/>
  <c r="D40" i="5"/>
  <c r="F126" i="5"/>
  <c r="D20" i="5"/>
  <c r="F111" i="5"/>
  <c r="D110" i="5"/>
  <c r="D102" i="5"/>
  <c r="D96" i="5"/>
  <c r="D78" i="5"/>
  <c r="D81" i="6"/>
  <c r="D64" i="5"/>
  <c r="F110" i="5"/>
  <c r="D128" i="5"/>
  <c r="D63" i="5"/>
  <c r="F47" i="5"/>
  <c r="D127" i="5"/>
  <c r="D56" i="5"/>
  <c r="F46" i="5"/>
  <c r="D118" i="5"/>
  <c r="D46" i="5"/>
  <c r="D95" i="5"/>
  <c r="D30" i="5"/>
  <c r="D136" i="5"/>
  <c r="D79" i="5"/>
  <c r="D43" i="6"/>
  <c r="D115" i="6"/>
  <c r="D116" i="6"/>
  <c r="D60" i="6"/>
  <c r="D128" i="6"/>
  <c r="F23" i="5"/>
  <c r="F15" i="5"/>
  <c r="F79" i="5"/>
  <c r="F30" i="5"/>
  <c r="F94" i="5"/>
  <c r="D21" i="5"/>
  <c r="D47" i="5"/>
  <c r="D70" i="5"/>
  <c r="D88" i="5"/>
  <c r="D111" i="5"/>
  <c r="D134" i="5"/>
  <c r="F31" i="5"/>
  <c r="F95" i="5"/>
  <c r="D28" i="5"/>
  <c r="D48" i="5"/>
  <c r="D71" i="5"/>
  <c r="D94" i="5"/>
  <c r="D112" i="5"/>
  <c r="D135" i="5"/>
  <c r="F63" i="5"/>
  <c r="F127" i="5"/>
  <c r="D12" i="5"/>
  <c r="D38" i="5"/>
  <c r="D62" i="5"/>
  <c r="D80" i="5"/>
  <c r="D103" i="5"/>
  <c r="D126" i="5"/>
  <c r="D104" i="5"/>
  <c r="D72" i="5"/>
  <c r="D37" i="5"/>
  <c r="D98" i="6"/>
  <c r="F14" i="5"/>
  <c r="D44" i="6"/>
  <c r="D87" i="5"/>
  <c r="D55" i="5"/>
  <c r="D19" i="5"/>
  <c r="F78" i="5"/>
  <c r="D120" i="5"/>
  <c r="D119" i="5"/>
  <c r="D86" i="5"/>
  <c r="D54" i="5"/>
  <c r="D11" i="5"/>
  <c r="F62" i="5"/>
  <c r="F9" i="5"/>
  <c r="F106" i="5"/>
  <c r="F74" i="5"/>
  <c r="F26" i="5"/>
  <c r="D133" i="5"/>
  <c r="D125" i="5"/>
  <c r="D117" i="5"/>
  <c r="D109" i="5"/>
  <c r="D101" i="5"/>
  <c r="D93" i="5"/>
  <c r="D85" i="5"/>
  <c r="D77" i="5"/>
  <c r="D69" i="5"/>
  <c r="D61" i="5"/>
  <c r="D53" i="5"/>
  <c r="D45" i="5"/>
  <c r="D36" i="5"/>
  <c r="D27" i="5"/>
  <c r="D18" i="5"/>
  <c r="D97" i="6"/>
  <c r="F136" i="5"/>
  <c r="F120" i="5"/>
  <c r="F104" i="5"/>
  <c r="F88" i="5"/>
  <c r="F72" i="5"/>
  <c r="F56" i="5"/>
  <c r="F40" i="5"/>
  <c r="F24" i="5"/>
  <c r="F122" i="5"/>
  <c r="F90" i="5"/>
  <c r="F58" i="5"/>
  <c r="F42" i="5"/>
  <c r="F10" i="5"/>
  <c r="F53" i="6"/>
  <c r="F94" i="6"/>
  <c r="D26" i="6"/>
  <c r="D63" i="6"/>
  <c r="D99" i="6"/>
  <c r="D132" i="6"/>
  <c r="D27" i="6"/>
  <c r="D64" i="6"/>
  <c r="D100" i="6"/>
  <c r="D133" i="6"/>
  <c r="D42" i="6"/>
  <c r="D79" i="6"/>
  <c r="D114" i="6"/>
  <c r="D24" i="6"/>
  <c r="D132" i="5"/>
  <c r="D124" i="5"/>
  <c r="D116" i="5"/>
  <c r="D108" i="5"/>
  <c r="D100" i="5"/>
  <c r="D92" i="5"/>
  <c r="D84" i="5"/>
  <c r="D76" i="5"/>
  <c r="D68" i="5"/>
  <c r="D60" i="5"/>
  <c r="D52" i="5"/>
  <c r="D44" i="5"/>
  <c r="D35" i="5"/>
  <c r="D26" i="5"/>
  <c r="D17" i="5"/>
  <c r="D82" i="6"/>
  <c r="D25" i="6"/>
  <c r="F135" i="5"/>
  <c r="F119" i="5"/>
  <c r="F103" i="5"/>
  <c r="F87" i="5"/>
  <c r="F71" i="5"/>
  <c r="F55" i="5"/>
  <c r="F39" i="5"/>
  <c r="F11" i="5"/>
  <c r="F19" i="5"/>
  <c r="F27" i="5"/>
  <c r="F35" i="5"/>
  <c r="F43" i="5"/>
  <c r="F51" i="5"/>
  <c r="F59" i="5"/>
  <c r="F67" i="5"/>
  <c r="F75" i="5"/>
  <c r="F83" i="5"/>
  <c r="F91" i="5"/>
  <c r="F99" i="5"/>
  <c r="F107" i="5"/>
  <c r="F115" i="5"/>
  <c r="F123" i="5"/>
  <c r="F131" i="5"/>
  <c r="D15" i="5"/>
  <c r="D23" i="5"/>
  <c r="D31" i="5"/>
  <c r="D39" i="5"/>
  <c r="F12" i="5"/>
  <c r="F20" i="5"/>
  <c r="F28" i="5"/>
  <c r="F36" i="5"/>
  <c r="F44" i="5"/>
  <c r="F52" i="5"/>
  <c r="F60" i="5"/>
  <c r="F68" i="5"/>
  <c r="F76" i="5"/>
  <c r="F84" i="5"/>
  <c r="F92" i="5"/>
  <c r="F100" i="5"/>
  <c r="F108" i="5"/>
  <c r="F116" i="5"/>
  <c r="F124" i="5"/>
  <c r="F132" i="5"/>
  <c r="F13" i="5"/>
  <c r="F21" i="5"/>
  <c r="F29" i="5"/>
  <c r="F37" i="5"/>
  <c r="F45" i="5"/>
  <c r="F53" i="5"/>
  <c r="F61" i="5"/>
  <c r="F69" i="5"/>
  <c r="F77" i="5"/>
  <c r="F85" i="5"/>
  <c r="F93" i="5"/>
  <c r="F101" i="5"/>
  <c r="F109" i="5"/>
  <c r="F117" i="5"/>
  <c r="F125" i="5"/>
  <c r="F133" i="5"/>
  <c r="F17" i="5"/>
  <c r="F25" i="5"/>
  <c r="F33" i="5"/>
  <c r="F41" i="5"/>
  <c r="F49" i="5"/>
  <c r="F57" i="5"/>
  <c r="F65" i="5"/>
  <c r="F73" i="5"/>
  <c r="F81" i="5"/>
  <c r="F89" i="5"/>
  <c r="F97" i="5"/>
  <c r="F105" i="5"/>
  <c r="F113" i="5"/>
  <c r="F121" i="5"/>
  <c r="F129" i="5"/>
  <c r="F137" i="5"/>
  <c r="G137" i="5" s="1"/>
  <c r="D123" i="5"/>
  <c r="D107" i="5"/>
  <c r="D91" i="5"/>
  <c r="D75" i="5"/>
  <c r="D67" i="5"/>
  <c r="D51" i="5"/>
  <c r="D43" i="5"/>
  <c r="D34" i="5"/>
  <c r="D25" i="5"/>
  <c r="F134" i="5"/>
  <c r="F118" i="5"/>
  <c r="F102" i="5"/>
  <c r="F86" i="5"/>
  <c r="F70" i="5"/>
  <c r="F54" i="5"/>
  <c r="F38" i="5"/>
  <c r="F22" i="5"/>
  <c r="D130" i="5"/>
  <c r="D106" i="5"/>
  <c r="D82" i="5"/>
  <c r="D66" i="5"/>
  <c r="D33" i="5"/>
  <c r="D127" i="6"/>
  <c r="F130" i="5"/>
  <c r="F98" i="5"/>
  <c r="F82" i="5"/>
  <c r="F66" i="5"/>
  <c r="F50" i="5"/>
  <c r="F34" i="5"/>
  <c r="F18" i="5"/>
  <c r="D131" i="5"/>
  <c r="D115" i="5"/>
  <c r="D99" i="5"/>
  <c r="D83" i="5"/>
  <c r="D59" i="5"/>
  <c r="D16" i="5"/>
  <c r="D9" i="5"/>
  <c r="D122" i="5"/>
  <c r="D114" i="5"/>
  <c r="D98" i="5"/>
  <c r="D90" i="5"/>
  <c r="D74" i="5"/>
  <c r="D58" i="5"/>
  <c r="D50" i="5"/>
  <c r="D42" i="5"/>
  <c r="D24" i="5"/>
  <c r="D14" i="5"/>
  <c r="D80" i="6"/>
  <c r="F114" i="5"/>
  <c r="D137" i="5"/>
  <c r="E137" i="5" s="1"/>
  <c r="D129" i="5"/>
  <c r="D121" i="5"/>
  <c r="D113" i="5"/>
  <c r="D105" i="5"/>
  <c r="D97" i="5"/>
  <c r="D89" i="5"/>
  <c r="D81" i="5"/>
  <c r="D73" i="5"/>
  <c r="D65" i="5"/>
  <c r="D57" i="5"/>
  <c r="D49" i="5"/>
  <c r="D41" i="5"/>
  <c r="D32" i="5"/>
  <c r="D22" i="5"/>
  <c r="D13" i="5"/>
  <c r="D117" i="6"/>
  <c r="D61" i="6"/>
  <c r="F128" i="5"/>
  <c r="F112" i="5"/>
  <c r="F96" i="5"/>
  <c r="F80" i="5"/>
  <c r="F64" i="5"/>
  <c r="F48" i="5"/>
  <c r="F32" i="5"/>
  <c r="F16" i="5"/>
  <c r="F93" i="6"/>
  <c r="D125" i="6"/>
  <c r="D109" i="6"/>
  <c r="D91" i="6"/>
  <c r="D73" i="6"/>
  <c r="D55" i="6"/>
  <c r="D36" i="6"/>
  <c r="D18" i="6"/>
  <c r="F71" i="6"/>
  <c r="D137" i="6"/>
  <c r="E137" i="6" s="1"/>
  <c r="D124" i="6"/>
  <c r="D108" i="6"/>
  <c r="D90" i="6"/>
  <c r="D72" i="6"/>
  <c r="D53" i="6"/>
  <c r="D35" i="6"/>
  <c r="D17" i="6"/>
  <c r="F70" i="6"/>
  <c r="D136" i="6"/>
  <c r="D123" i="6"/>
  <c r="D107" i="6"/>
  <c r="D89" i="6"/>
  <c r="D71" i="6"/>
  <c r="D52" i="6"/>
  <c r="D34" i="6"/>
  <c r="D16" i="6"/>
  <c r="F135" i="6"/>
  <c r="F10" i="6"/>
  <c r="F18" i="6"/>
  <c r="F26" i="6"/>
  <c r="F34" i="6"/>
  <c r="F42" i="6"/>
  <c r="F50" i="6"/>
  <c r="F58" i="6"/>
  <c r="F66" i="6"/>
  <c r="F74" i="6"/>
  <c r="F82" i="6"/>
  <c r="F90" i="6"/>
  <c r="F98" i="6"/>
  <c r="F106" i="6"/>
  <c r="F114" i="6"/>
  <c r="F122" i="6"/>
  <c r="F130" i="6"/>
  <c r="F9" i="6"/>
  <c r="F11" i="6"/>
  <c r="F19" i="6"/>
  <c r="F27" i="6"/>
  <c r="F35" i="6"/>
  <c r="F43" i="6"/>
  <c r="F51" i="6"/>
  <c r="F59" i="6"/>
  <c r="F67" i="6"/>
  <c r="F75" i="6"/>
  <c r="F83" i="6"/>
  <c r="F91" i="6"/>
  <c r="F99" i="6"/>
  <c r="F107" i="6"/>
  <c r="F115" i="6"/>
  <c r="F123" i="6"/>
  <c r="F131" i="6"/>
  <c r="F12" i="6"/>
  <c r="F20" i="6"/>
  <c r="F28" i="6"/>
  <c r="F36" i="6"/>
  <c r="F44" i="6"/>
  <c r="F52" i="6"/>
  <c r="F60" i="6"/>
  <c r="F68" i="6"/>
  <c r="F76" i="6"/>
  <c r="F84" i="6"/>
  <c r="F92" i="6"/>
  <c r="F100" i="6"/>
  <c r="F108" i="6"/>
  <c r="F116" i="6"/>
  <c r="F124" i="6"/>
  <c r="F132" i="6"/>
  <c r="F16" i="6"/>
  <c r="F24" i="6"/>
  <c r="F32" i="6"/>
  <c r="F40" i="6"/>
  <c r="F48" i="6"/>
  <c r="F56" i="6"/>
  <c r="F64" i="6"/>
  <c r="F72" i="6"/>
  <c r="F80" i="6"/>
  <c r="F88" i="6"/>
  <c r="F96" i="6"/>
  <c r="F104" i="6"/>
  <c r="F112" i="6"/>
  <c r="F120" i="6"/>
  <c r="F128" i="6"/>
  <c r="F136" i="6"/>
  <c r="D14" i="6"/>
  <c r="D22" i="6"/>
  <c r="D30" i="6"/>
  <c r="D38" i="6"/>
  <c r="D46" i="6"/>
  <c r="D54" i="6"/>
  <c r="D62" i="6"/>
  <c r="D70" i="6"/>
  <c r="D78" i="6"/>
  <c r="D86" i="6"/>
  <c r="D94" i="6"/>
  <c r="D102" i="6"/>
  <c r="D110" i="6"/>
  <c r="D118" i="6"/>
  <c r="D126" i="6"/>
  <c r="D134" i="6"/>
  <c r="F17" i="6"/>
  <c r="F25" i="6"/>
  <c r="F33" i="6"/>
  <c r="F41" i="6"/>
  <c r="F49" i="6"/>
  <c r="F57" i="6"/>
  <c r="F65" i="6"/>
  <c r="F73" i="6"/>
  <c r="F81" i="6"/>
  <c r="F89" i="6"/>
  <c r="F97" i="6"/>
  <c r="F105" i="6"/>
  <c r="F113" i="6"/>
  <c r="F121" i="6"/>
  <c r="F129" i="6"/>
  <c r="F137" i="6"/>
  <c r="G137" i="6" s="1"/>
  <c r="F13" i="6"/>
  <c r="F31" i="6"/>
  <c r="F54" i="6"/>
  <c r="F77" i="6"/>
  <c r="F95" i="6"/>
  <c r="F118" i="6"/>
  <c r="F14" i="6"/>
  <c r="F37" i="6"/>
  <c r="F55" i="6"/>
  <c r="F78" i="6"/>
  <c r="F101" i="6"/>
  <c r="F119" i="6"/>
  <c r="F15" i="6"/>
  <c r="F38" i="6"/>
  <c r="F61" i="6"/>
  <c r="F79" i="6"/>
  <c r="F102" i="6"/>
  <c r="F125" i="6"/>
  <c r="D10" i="6"/>
  <c r="D19" i="6"/>
  <c r="D28" i="6"/>
  <c r="D37" i="6"/>
  <c r="D47" i="6"/>
  <c r="D56" i="6"/>
  <c r="D65" i="6"/>
  <c r="D74" i="6"/>
  <c r="D83" i="6"/>
  <c r="D92" i="6"/>
  <c r="D101" i="6"/>
  <c r="D111" i="6"/>
  <c r="D120" i="6"/>
  <c r="D129" i="6"/>
  <c r="D9" i="6"/>
  <c r="F21" i="6"/>
  <c r="F39" i="6"/>
  <c r="F62" i="6"/>
  <c r="F85" i="6"/>
  <c r="F103" i="6"/>
  <c r="F126" i="6"/>
  <c r="D11" i="6"/>
  <c r="D20" i="6"/>
  <c r="D29" i="6"/>
  <c r="D39" i="6"/>
  <c r="D48" i="6"/>
  <c r="D57" i="6"/>
  <c r="D66" i="6"/>
  <c r="D75" i="6"/>
  <c r="D84" i="6"/>
  <c r="D93" i="6"/>
  <c r="D103" i="6"/>
  <c r="D112" i="6"/>
  <c r="D121" i="6"/>
  <c r="D130" i="6"/>
  <c r="F22" i="6"/>
  <c r="F45" i="6"/>
  <c r="F63" i="6"/>
  <c r="F86" i="6"/>
  <c r="F109" i="6"/>
  <c r="F127" i="6"/>
  <c r="D12" i="6"/>
  <c r="D21" i="6"/>
  <c r="D31" i="6"/>
  <c r="D40" i="6"/>
  <c r="D49" i="6"/>
  <c r="D58" i="6"/>
  <c r="D67" i="6"/>
  <c r="D76" i="6"/>
  <c r="D85" i="6"/>
  <c r="D95" i="6"/>
  <c r="D104" i="6"/>
  <c r="D113" i="6"/>
  <c r="D122" i="6"/>
  <c r="D131" i="6"/>
  <c r="F23" i="6"/>
  <c r="F46" i="6"/>
  <c r="F69" i="6"/>
  <c r="F87" i="6"/>
  <c r="F110" i="6"/>
  <c r="F133" i="6"/>
  <c r="D13" i="6"/>
  <c r="D23" i="6"/>
  <c r="D32" i="6"/>
  <c r="D41" i="6"/>
  <c r="D50" i="6"/>
  <c r="D59" i="6"/>
  <c r="D68" i="6"/>
  <c r="D77" i="6"/>
  <c r="D87" i="6"/>
  <c r="D96" i="6"/>
  <c r="D105" i="6"/>
  <c r="D135" i="6"/>
  <c r="D119" i="6"/>
  <c r="D106" i="6"/>
  <c r="D88" i="6"/>
  <c r="D69" i="6"/>
  <c r="D51" i="6"/>
  <c r="D33" i="6"/>
  <c r="D15" i="6"/>
  <c r="F134" i="6"/>
  <c r="F47" i="6"/>
  <c r="F117" i="6"/>
  <c r="F30" i="6"/>
  <c r="F111" i="6"/>
  <c r="F29" i="6"/>
  <c r="G10" i="5" l="1"/>
  <c r="G82" i="5"/>
  <c r="G76" i="6"/>
  <c r="G128" i="6"/>
  <c r="E135" i="6"/>
  <c r="E115" i="6"/>
  <c r="G105" i="6"/>
  <c r="G14" i="5"/>
  <c r="E63" i="5"/>
  <c r="G65" i="5"/>
  <c r="G97" i="5"/>
  <c r="G110" i="6"/>
  <c r="G136" i="5"/>
  <c r="G33" i="5"/>
  <c r="G28" i="5"/>
  <c r="E117" i="6"/>
  <c r="G20" i="5"/>
  <c r="G122" i="5"/>
  <c r="E94" i="5"/>
  <c r="G90" i="5"/>
  <c r="G85" i="5"/>
  <c r="G69" i="5"/>
  <c r="G68" i="5"/>
  <c r="E63" i="6"/>
  <c r="E88" i="5"/>
  <c r="G92" i="5"/>
  <c r="G31" i="5"/>
  <c r="G134" i="5"/>
  <c r="G132" i="5"/>
  <c r="G133" i="5"/>
  <c r="G44" i="5"/>
  <c r="E71" i="5"/>
  <c r="G111" i="5"/>
  <c r="G110" i="5"/>
  <c r="E112" i="5"/>
  <c r="E132" i="5"/>
  <c r="G84" i="5"/>
  <c r="E19" i="5"/>
  <c r="G124" i="5"/>
  <c r="E57" i="5"/>
  <c r="E121" i="5"/>
  <c r="E46" i="5"/>
  <c r="E10" i="5"/>
  <c r="G46" i="5"/>
  <c r="E72" i="5"/>
  <c r="G37" i="5"/>
  <c r="G100" i="5"/>
  <c r="G36" i="5"/>
  <c r="G130" i="5"/>
  <c r="G60" i="5"/>
  <c r="G53" i="5"/>
  <c r="E111" i="5"/>
  <c r="G48" i="5"/>
  <c r="E80" i="5"/>
  <c r="G76" i="5"/>
  <c r="G55" i="6"/>
  <c r="E11" i="5"/>
  <c r="E95" i="5"/>
  <c r="G72" i="6"/>
  <c r="G114" i="5"/>
  <c r="G98" i="5"/>
  <c r="G12" i="5"/>
  <c r="G95" i="5"/>
  <c r="E104" i="5"/>
  <c r="G56" i="5"/>
  <c r="E82" i="5"/>
  <c r="G41" i="5"/>
  <c r="E109" i="5"/>
  <c r="E20" i="5"/>
  <c r="G97" i="6"/>
  <c r="G108" i="5"/>
  <c r="E58" i="5"/>
  <c r="G118" i="5"/>
  <c r="G91" i="5"/>
  <c r="G79" i="5"/>
  <c r="G19" i="6"/>
  <c r="E130" i="5"/>
  <c r="G25" i="5"/>
  <c r="G120" i="5"/>
  <c r="E118" i="5"/>
  <c r="E40" i="5"/>
  <c r="E64" i="6"/>
  <c r="G17" i="5"/>
  <c r="G22" i="5"/>
  <c r="G75" i="5"/>
  <c r="E92" i="5"/>
  <c r="E69" i="5"/>
  <c r="E48" i="5"/>
  <c r="E38" i="5"/>
  <c r="G132" i="6"/>
  <c r="G68" i="6"/>
  <c r="G50" i="5"/>
  <c r="G117" i="5"/>
  <c r="G116" i="5"/>
  <c r="G64" i="5"/>
  <c r="E22" i="5"/>
  <c r="E89" i="5"/>
  <c r="E98" i="5"/>
  <c r="E115" i="5"/>
  <c r="G38" i="5"/>
  <c r="E34" i="5"/>
  <c r="G73" i="5"/>
  <c r="G131" i="5"/>
  <c r="G67" i="5"/>
  <c r="E39" i="5"/>
  <c r="G87" i="5"/>
  <c r="E35" i="5"/>
  <c r="E100" i="5"/>
  <c r="G24" i="5"/>
  <c r="E77" i="5"/>
  <c r="E103" i="5"/>
  <c r="E62" i="5"/>
  <c r="E110" i="5"/>
  <c r="E134" i="5"/>
  <c r="E86" i="5"/>
  <c r="G40" i="6"/>
  <c r="G102" i="5"/>
  <c r="G99" i="5"/>
  <c r="E68" i="5"/>
  <c r="G15" i="5"/>
  <c r="E79" i="5"/>
  <c r="G126" i="5"/>
  <c r="G106" i="5"/>
  <c r="G34" i="5"/>
  <c r="G21" i="5"/>
  <c r="E129" i="5"/>
  <c r="E106" i="5"/>
  <c r="G29" i="5"/>
  <c r="E76" i="5"/>
  <c r="G104" i="5"/>
  <c r="G23" i="6"/>
  <c r="G129" i="5"/>
  <c r="E73" i="5"/>
  <c r="G83" i="5"/>
  <c r="E84" i="5"/>
  <c r="E61" i="5"/>
  <c r="G86" i="6"/>
  <c r="G11" i="6"/>
  <c r="G42" i="5"/>
  <c r="E90" i="5"/>
  <c r="G77" i="5"/>
  <c r="E26" i="5"/>
  <c r="E133" i="5"/>
  <c r="E136" i="5"/>
  <c r="E136" i="6"/>
  <c r="G9" i="5"/>
  <c r="G49" i="5"/>
  <c r="G74" i="5"/>
  <c r="G80" i="5"/>
  <c r="E32" i="5"/>
  <c r="E97" i="5"/>
  <c r="E14" i="5"/>
  <c r="E114" i="5"/>
  <c r="E131" i="5"/>
  <c r="G54" i="5"/>
  <c r="E43" i="5"/>
  <c r="G125" i="5"/>
  <c r="G61" i="5"/>
  <c r="G123" i="5"/>
  <c r="G59" i="5"/>
  <c r="E31" i="5"/>
  <c r="G103" i="5"/>
  <c r="E44" i="5"/>
  <c r="E108" i="5"/>
  <c r="G40" i="5"/>
  <c r="E18" i="5"/>
  <c r="E85" i="5"/>
  <c r="E78" i="5"/>
  <c r="E55" i="5"/>
  <c r="E127" i="5"/>
  <c r="E128" i="5"/>
  <c r="E12" i="5"/>
  <c r="G36" i="6"/>
  <c r="E16" i="5"/>
  <c r="E75" i="5"/>
  <c r="G35" i="5"/>
  <c r="E45" i="5"/>
  <c r="E102" i="5"/>
  <c r="E47" i="5"/>
  <c r="G127" i="6"/>
  <c r="E81" i="6"/>
  <c r="G113" i="5"/>
  <c r="E59" i="5"/>
  <c r="E91" i="5"/>
  <c r="G27" i="5"/>
  <c r="E117" i="5"/>
  <c r="G47" i="5"/>
  <c r="G124" i="6"/>
  <c r="G58" i="5"/>
  <c r="G26" i="5"/>
  <c r="E83" i="5"/>
  <c r="E107" i="5"/>
  <c r="G19" i="5"/>
  <c r="E17" i="5"/>
  <c r="E28" i="5"/>
  <c r="G134" i="6"/>
  <c r="G32" i="5"/>
  <c r="G18" i="5"/>
  <c r="E81" i="5"/>
  <c r="E25" i="5"/>
  <c r="G13" i="5"/>
  <c r="G120" i="6"/>
  <c r="G72" i="5"/>
  <c r="G96" i="5"/>
  <c r="E41" i="5"/>
  <c r="E105" i="5"/>
  <c r="E24" i="5"/>
  <c r="E122" i="5"/>
  <c r="E33" i="5"/>
  <c r="G70" i="5"/>
  <c r="E51" i="5"/>
  <c r="G121" i="5"/>
  <c r="G57" i="5"/>
  <c r="G115" i="5"/>
  <c r="G51" i="5"/>
  <c r="E23" i="5"/>
  <c r="G119" i="5"/>
  <c r="E52" i="5"/>
  <c r="E116" i="5"/>
  <c r="G52" i="5"/>
  <c r="E27" i="5"/>
  <c r="E93" i="5"/>
  <c r="E135" i="5"/>
  <c r="E119" i="5"/>
  <c r="E96" i="5"/>
  <c r="E126" i="5"/>
  <c r="G63" i="5"/>
  <c r="E30" i="5"/>
  <c r="G56" i="6"/>
  <c r="G100" i="6"/>
  <c r="E50" i="5"/>
  <c r="G105" i="5"/>
  <c r="G88" i="5"/>
  <c r="E29" i="5"/>
  <c r="E120" i="5"/>
  <c r="G48" i="6"/>
  <c r="E9" i="6"/>
  <c r="G16" i="5"/>
  <c r="E65" i="5"/>
  <c r="G93" i="5"/>
  <c r="G39" i="5"/>
  <c r="E53" i="5"/>
  <c r="G30" i="5"/>
  <c r="E70" i="5"/>
  <c r="G24" i="6"/>
  <c r="E74" i="5"/>
  <c r="G89" i="5"/>
  <c r="G55" i="5"/>
  <c r="E125" i="5"/>
  <c r="E54" i="5"/>
  <c r="E64" i="5"/>
  <c r="E13" i="5"/>
  <c r="E99" i="5"/>
  <c r="E123" i="5"/>
  <c r="G11" i="5"/>
  <c r="G71" i="5"/>
  <c r="E87" i="5"/>
  <c r="G12" i="6"/>
  <c r="E106" i="6"/>
  <c r="G81" i="6"/>
  <c r="E130" i="6"/>
  <c r="E98" i="6"/>
  <c r="G89" i="6"/>
  <c r="E45" i="6"/>
  <c r="G112" i="6"/>
  <c r="G108" i="6"/>
  <c r="G44" i="6"/>
  <c r="G96" i="6"/>
  <c r="G41" i="6"/>
  <c r="G114" i="6"/>
  <c r="G70" i="6"/>
  <c r="G128" i="5"/>
  <c r="G81" i="5"/>
  <c r="G101" i="5"/>
  <c r="G112" i="5"/>
  <c r="E49" i="5"/>
  <c r="E113" i="5"/>
  <c r="E42" i="5"/>
  <c r="E9" i="5"/>
  <c r="E66" i="5"/>
  <c r="G86" i="5"/>
  <c r="E67" i="5"/>
  <c r="G109" i="5"/>
  <c r="G45" i="5"/>
  <c r="G107" i="5"/>
  <c r="G43" i="5"/>
  <c r="E15" i="5"/>
  <c r="G135" i="5"/>
  <c r="E60" i="5"/>
  <c r="E124" i="5"/>
  <c r="G66" i="5"/>
  <c r="E36" i="5"/>
  <c r="E101" i="5"/>
  <c r="G94" i="5"/>
  <c r="G23" i="5"/>
  <c r="E37" i="5"/>
  <c r="G62" i="5"/>
  <c r="G127" i="5"/>
  <c r="G78" i="5"/>
  <c r="E56" i="5"/>
  <c r="E21" i="5"/>
  <c r="E28" i="6"/>
  <c r="E110" i="6"/>
  <c r="G50" i="6"/>
  <c r="E34" i="6"/>
  <c r="E17" i="6"/>
  <c r="E100" i="6"/>
  <c r="G20" i="6"/>
  <c r="E50" i="6"/>
  <c r="E121" i="6"/>
  <c r="G113" i="6"/>
  <c r="E102" i="6"/>
  <c r="G35" i="6"/>
  <c r="E52" i="6"/>
  <c r="E35" i="6"/>
  <c r="E114" i="6"/>
  <c r="G87" i="6"/>
  <c r="E76" i="6"/>
  <c r="G33" i="6"/>
  <c r="G54" i="6"/>
  <c r="E30" i="6"/>
  <c r="G27" i="6"/>
  <c r="E71" i="6"/>
  <c r="E53" i="6"/>
  <c r="E128" i="6"/>
  <c r="G117" i="6"/>
  <c r="G52" i="6"/>
  <c r="G116" i="6"/>
  <c r="E27" i="6"/>
  <c r="E87" i="6"/>
  <c r="E13" i="6"/>
  <c r="E49" i="6"/>
  <c r="E84" i="6"/>
  <c r="E129" i="6"/>
  <c r="E56" i="6"/>
  <c r="E134" i="6"/>
  <c r="E133" i="6"/>
  <c r="G60" i="6"/>
  <c r="G111" i="6"/>
  <c r="E69" i="6"/>
  <c r="E77" i="6"/>
  <c r="G133" i="6"/>
  <c r="E113" i="6"/>
  <c r="E40" i="6"/>
  <c r="G45" i="6"/>
  <c r="E75" i="6"/>
  <c r="G126" i="6"/>
  <c r="E120" i="6"/>
  <c r="E47" i="6"/>
  <c r="G61" i="6"/>
  <c r="G14" i="6"/>
  <c r="E126" i="6"/>
  <c r="E62" i="6"/>
  <c r="G123" i="6"/>
  <c r="G59" i="6"/>
  <c r="G130" i="6"/>
  <c r="G66" i="6"/>
  <c r="G135" i="6"/>
  <c r="E124" i="6"/>
  <c r="E109" i="6"/>
  <c r="G94" i="6"/>
  <c r="G53" i="6"/>
  <c r="G39" i="6"/>
  <c r="E26" i="6"/>
  <c r="E88" i="6"/>
  <c r="E68" i="6"/>
  <c r="G104" i="6"/>
  <c r="E104" i="6"/>
  <c r="E31" i="6"/>
  <c r="G22" i="6"/>
  <c r="E66" i="6"/>
  <c r="G103" i="6"/>
  <c r="E111" i="6"/>
  <c r="E37" i="6"/>
  <c r="G32" i="6"/>
  <c r="G118" i="6"/>
  <c r="E118" i="6"/>
  <c r="E54" i="6"/>
  <c r="G115" i="6"/>
  <c r="G51" i="6"/>
  <c r="G122" i="6"/>
  <c r="G58" i="6"/>
  <c r="E16" i="6"/>
  <c r="G64" i="6"/>
  <c r="E125" i="6"/>
  <c r="E25" i="6"/>
  <c r="E132" i="6"/>
  <c r="E95" i="6"/>
  <c r="G15" i="6"/>
  <c r="E46" i="6"/>
  <c r="G43" i="6"/>
  <c r="G71" i="6"/>
  <c r="E99" i="6"/>
  <c r="G69" i="6"/>
  <c r="E48" i="6"/>
  <c r="G77" i="6"/>
  <c r="E38" i="6"/>
  <c r="G42" i="6"/>
  <c r="G28" i="6"/>
  <c r="E116" i="6"/>
  <c r="G46" i="6"/>
  <c r="E39" i="6"/>
  <c r="G101" i="6"/>
  <c r="G98" i="6"/>
  <c r="E42" i="6"/>
  <c r="G95" i="6"/>
  <c r="G25" i="6"/>
  <c r="G30" i="6"/>
  <c r="E15" i="6"/>
  <c r="E105" i="6"/>
  <c r="E32" i="6"/>
  <c r="G17" i="6"/>
  <c r="E67" i="6"/>
  <c r="G109" i="6"/>
  <c r="E103" i="6"/>
  <c r="E29" i="6"/>
  <c r="G21" i="6"/>
  <c r="E74" i="6"/>
  <c r="G125" i="6"/>
  <c r="G78" i="6"/>
  <c r="G31" i="6"/>
  <c r="E86" i="6"/>
  <c r="E22" i="6"/>
  <c r="G83" i="6"/>
  <c r="G90" i="6"/>
  <c r="G26" i="6"/>
  <c r="E89" i="6"/>
  <c r="E72" i="6"/>
  <c r="E55" i="6"/>
  <c r="E79" i="6"/>
  <c r="E21" i="6"/>
  <c r="G85" i="6"/>
  <c r="E101" i="6"/>
  <c r="G107" i="6"/>
  <c r="G93" i="6"/>
  <c r="G63" i="6"/>
  <c r="G84" i="6"/>
  <c r="E119" i="6"/>
  <c r="E12" i="6"/>
  <c r="E92" i="6"/>
  <c r="G106" i="6"/>
  <c r="E24" i="6"/>
  <c r="G73" i="6"/>
  <c r="E41" i="6"/>
  <c r="E112" i="6"/>
  <c r="E10" i="6"/>
  <c r="E94" i="6"/>
  <c r="E36" i="6"/>
  <c r="G119" i="6"/>
  <c r="G65" i="6"/>
  <c r="G129" i="6"/>
  <c r="E33" i="6"/>
  <c r="E96" i="6"/>
  <c r="E23" i="6"/>
  <c r="E131" i="6"/>
  <c r="E58" i="6"/>
  <c r="G80" i="6"/>
  <c r="E93" i="6"/>
  <c r="E20" i="6"/>
  <c r="E65" i="6"/>
  <c r="G102" i="6"/>
  <c r="G49" i="6"/>
  <c r="G13" i="6"/>
  <c r="E78" i="6"/>
  <c r="E14" i="6"/>
  <c r="G75" i="6"/>
  <c r="G82" i="6"/>
  <c r="G18" i="6"/>
  <c r="E107" i="6"/>
  <c r="E90" i="6"/>
  <c r="E73" i="6"/>
  <c r="E97" i="6"/>
  <c r="E60" i="6"/>
  <c r="E44" i="6"/>
  <c r="E59" i="6"/>
  <c r="E57" i="6"/>
  <c r="E80" i="6"/>
  <c r="G47" i="6"/>
  <c r="E85" i="6"/>
  <c r="G62" i="6"/>
  <c r="E19" i="6"/>
  <c r="G99" i="6"/>
  <c r="E18" i="6"/>
  <c r="G16" i="6"/>
  <c r="G92" i="6"/>
  <c r="G121" i="6"/>
  <c r="E83" i="6"/>
  <c r="G91" i="6"/>
  <c r="G34" i="6"/>
  <c r="E43" i="6"/>
  <c r="G88" i="6"/>
  <c r="G38" i="6"/>
  <c r="G29" i="6"/>
  <c r="E51" i="6"/>
  <c r="E122" i="6"/>
  <c r="G57" i="6"/>
  <c r="E11" i="6"/>
  <c r="G79" i="6"/>
  <c r="G37" i="6"/>
  <c r="E70" i="6"/>
  <c r="G136" i="6"/>
  <c r="G131" i="6"/>
  <c r="G67" i="6"/>
  <c r="G9" i="6"/>
  <c r="G74" i="6"/>
  <c r="G10" i="6"/>
  <c r="E123" i="6"/>
  <c r="E108" i="6"/>
  <c r="E91" i="6"/>
  <c r="E127" i="6"/>
  <c r="E61" i="6"/>
  <c r="E82" i="6"/>
  <c r="L36" i="3" l="1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AF7" i="1"/>
  <c r="AG7" i="1" s="1"/>
  <c r="AH7" i="1" s="1"/>
  <c r="AF8" i="1"/>
  <c r="AG8" i="1" s="1"/>
  <c r="AH8" i="1" s="1"/>
  <c r="AF9" i="1"/>
  <c r="AG9" i="1" s="1"/>
  <c r="AH9" i="1" s="1"/>
  <c r="AF10" i="1"/>
  <c r="AG10" i="1" s="1"/>
  <c r="AH10" i="1" s="1"/>
  <c r="AF11" i="1"/>
  <c r="AG11" i="1" s="1"/>
  <c r="AH11" i="1" s="1"/>
  <c r="AF12" i="1"/>
  <c r="AG12" i="1" s="1"/>
  <c r="AH12" i="1" s="1"/>
  <c r="AF13" i="1"/>
  <c r="AG13" i="1" s="1"/>
  <c r="AH13" i="1" s="1"/>
  <c r="AF14" i="1"/>
  <c r="AG14" i="1" s="1"/>
  <c r="AH14" i="1" s="1"/>
  <c r="AF15" i="1"/>
  <c r="AG15" i="1" s="1"/>
  <c r="AH15" i="1" s="1"/>
  <c r="AF16" i="1"/>
  <c r="AG16" i="1" s="1"/>
  <c r="AH16" i="1" s="1"/>
  <c r="AF17" i="1"/>
  <c r="AG17" i="1" s="1"/>
  <c r="AH17" i="1" s="1"/>
  <c r="AF18" i="1"/>
  <c r="AG18" i="1" s="1"/>
  <c r="AH18" i="1" s="1"/>
  <c r="AF19" i="1"/>
  <c r="AG19" i="1" s="1"/>
  <c r="AH19" i="1" s="1"/>
  <c r="AF20" i="1"/>
  <c r="AG20" i="1" s="1"/>
  <c r="AH20" i="1" s="1"/>
  <c r="AF21" i="1"/>
  <c r="AG21" i="1" s="1"/>
  <c r="AH21" i="1" s="1"/>
  <c r="AF22" i="1"/>
  <c r="AG22" i="1" s="1"/>
  <c r="AH22" i="1" s="1"/>
  <c r="AF23" i="1"/>
  <c r="AG23" i="1" s="1"/>
  <c r="AH23" i="1" s="1"/>
  <c r="AF24" i="1"/>
  <c r="AG24" i="1" s="1"/>
  <c r="AH24" i="1" s="1"/>
  <c r="AF25" i="1"/>
  <c r="AG25" i="1" s="1"/>
  <c r="AH25" i="1" s="1"/>
  <c r="AF26" i="1"/>
  <c r="AG26" i="1" s="1"/>
  <c r="AH26" i="1" s="1"/>
  <c r="AF27" i="1"/>
  <c r="AG27" i="1" s="1"/>
  <c r="AH27" i="1" s="1"/>
  <c r="AF28" i="1"/>
  <c r="AG28" i="1" s="1"/>
  <c r="AH28" i="1" s="1"/>
  <c r="AF29" i="1"/>
  <c r="AG29" i="1" s="1"/>
  <c r="AH29" i="1" s="1"/>
  <c r="AF30" i="1"/>
  <c r="AG30" i="1" s="1"/>
  <c r="AH30" i="1" s="1"/>
  <c r="AF31" i="1"/>
  <c r="AG31" i="1" s="1"/>
  <c r="AH31" i="1" s="1"/>
  <c r="AF32" i="1"/>
  <c r="AG32" i="1" s="1"/>
  <c r="AH32" i="1" s="1"/>
  <c r="AF33" i="1"/>
  <c r="AG33" i="1" s="1"/>
  <c r="AH33" i="1" s="1"/>
  <c r="AF34" i="1"/>
  <c r="AG34" i="1" s="1"/>
  <c r="AH34" i="1" s="1"/>
  <c r="AF35" i="1"/>
  <c r="AG35" i="1" s="1"/>
  <c r="AH35" i="1" s="1"/>
  <c r="AF36" i="1"/>
  <c r="AG36" i="1" s="1"/>
  <c r="AH36" i="1" s="1"/>
  <c r="AF37" i="1"/>
  <c r="AG37" i="1" s="1"/>
  <c r="AH37" i="1" s="1"/>
  <c r="AF38" i="1"/>
  <c r="AG38" i="1" s="1"/>
  <c r="AH38" i="1" s="1"/>
  <c r="AF39" i="1"/>
  <c r="AG39" i="1" s="1"/>
  <c r="AH39" i="1" s="1"/>
  <c r="AF40" i="1"/>
  <c r="AG40" i="1" s="1"/>
  <c r="AH40" i="1" s="1"/>
  <c r="AF41" i="1"/>
  <c r="AG41" i="1" s="1"/>
  <c r="AH41" i="1" s="1"/>
  <c r="AF42" i="1"/>
  <c r="AG42" i="1" s="1"/>
  <c r="AH42" i="1" s="1"/>
  <c r="AF43" i="1"/>
  <c r="AG43" i="1" s="1"/>
  <c r="AH43" i="1" s="1"/>
  <c r="AF44" i="1"/>
  <c r="AG44" i="1" s="1"/>
  <c r="AH44" i="1" s="1"/>
  <c r="AF45" i="1"/>
  <c r="AG45" i="1" s="1"/>
  <c r="AH45" i="1" s="1"/>
  <c r="AF46" i="1"/>
  <c r="AG46" i="1" s="1"/>
  <c r="AH46" i="1" s="1"/>
  <c r="AF47" i="1"/>
  <c r="AG47" i="1" s="1"/>
  <c r="AH47" i="1" s="1"/>
  <c r="AF48" i="1"/>
  <c r="AG48" i="1" s="1"/>
  <c r="AH48" i="1" s="1"/>
  <c r="AF49" i="1"/>
  <c r="AG49" i="1" s="1"/>
  <c r="AH49" i="1" s="1"/>
  <c r="AF50" i="1"/>
  <c r="AG50" i="1" s="1"/>
  <c r="AH50" i="1" s="1"/>
  <c r="AF51" i="1"/>
  <c r="AG51" i="1" s="1"/>
  <c r="AH51" i="1" s="1"/>
  <c r="AF52" i="1"/>
  <c r="AG52" i="1" s="1"/>
  <c r="AH52" i="1" s="1"/>
  <c r="AF53" i="1"/>
  <c r="AG53" i="1" s="1"/>
  <c r="AH53" i="1" s="1"/>
  <c r="AF54" i="1"/>
  <c r="AG54" i="1" s="1"/>
  <c r="AH54" i="1" s="1"/>
  <c r="AF55" i="1"/>
  <c r="AG55" i="1" s="1"/>
  <c r="AH55" i="1" s="1"/>
  <c r="AF56" i="1"/>
  <c r="AG56" i="1" s="1"/>
  <c r="AH56" i="1" s="1"/>
  <c r="AF57" i="1"/>
  <c r="AG57" i="1" s="1"/>
  <c r="AH57" i="1" s="1"/>
  <c r="AF58" i="1"/>
  <c r="AG58" i="1" s="1"/>
  <c r="AH58" i="1" s="1"/>
  <c r="AF59" i="1"/>
  <c r="AG59" i="1" s="1"/>
  <c r="AH59" i="1" s="1"/>
  <c r="AF60" i="1"/>
  <c r="AG60" i="1" s="1"/>
  <c r="AH60" i="1" s="1"/>
  <c r="AF61" i="1"/>
  <c r="AG61" i="1" s="1"/>
  <c r="AH61" i="1" s="1"/>
  <c r="AF62" i="1"/>
  <c r="AG62" i="1" s="1"/>
  <c r="AH62" i="1" s="1"/>
  <c r="AF63" i="1"/>
  <c r="AG63" i="1" s="1"/>
  <c r="AH63" i="1" s="1"/>
  <c r="AF64" i="1"/>
  <c r="AG64" i="1" s="1"/>
  <c r="AH64" i="1" s="1"/>
  <c r="AF65" i="1"/>
  <c r="AG65" i="1" s="1"/>
  <c r="AH65" i="1" s="1"/>
  <c r="AF66" i="1"/>
  <c r="AG66" i="1" s="1"/>
  <c r="AH66" i="1" s="1"/>
  <c r="AF67" i="1"/>
  <c r="AG67" i="1" s="1"/>
  <c r="AH67" i="1" s="1"/>
  <c r="AF68" i="1"/>
  <c r="AG68" i="1" s="1"/>
  <c r="AH68" i="1" s="1"/>
  <c r="AF69" i="1"/>
  <c r="AG69" i="1" s="1"/>
  <c r="AH69" i="1" s="1"/>
  <c r="AF70" i="1"/>
  <c r="AG70" i="1" s="1"/>
  <c r="AH70" i="1" s="1"/>
  <c r="AF71" i="1"/>
  <c r="AG71" i="1" s="1"/>
  <c r="AH71" i="1" s="1"/>
  <c r="AF72" i="1"/>
  <c r="AG72" i="1" s="1"/>
  <c r="AH72" i="1" s="1"/>
  <c r="AF73" i="1"/>
  <c r="AG73" i="1" s="1"/>
  <c r="AH73" i="1" s="1"/>
  <c r="AF74" i="1"/>
  <c r="AG74" i="1" s="1"/>
  <c r="AH74" i="1" s="1"/>
  <c r="AF75" i="1"/>
  <c r="AG75" i="1" s="1"/>
  <c r="AH75" i="1" s="1"/>
  <c r="AF76" i="1"/>
  <c r="AG76" i="1" s="1"/>
  <c r="AH76" i="1" s="1"/>
  <c r="AF77" i="1"/>
  <c r="AG77" i="1" s="1"/>
  <c r="AH77" i="1" s="1"/>
  <c r="AF78" i="1"/>
  <c r="AG78" i="1" s="1"/>
  <c r="AH78" i="1" s="1"/>
  <c r="AF79" i="1"/>
  <c r="AG79" i="1" s="1"/>
  <c r="AH79" i="1" s="1"/>
  <c r="AF80" i="1"/>
  <c r="AG80" i="1" s="1"/>
  <c r="AH80" i="1" s="1"/>
  <c r="AF81" i="1"/>
  <c r="AG81" i="1" s="1"/>
  <c r="AH81" i="1" s="1"/>
  <c r="AF82" i="1"/>
  <c r="AG82" i="1" s="1"/>
  <c r="AH82" i="1" s="1"/>
  <c r="AF83" i="1"/>
  <c r="AG83" i="1" s="1"/>
  <c r="AH83" i="1" s="1"/>
  <c r="AF84" i="1"/>
  <c r="AG84" i="1" s="1"/>
  <c r="AH84" i="1" s="1"/>
  <c r="AF85" i="1"/>
  <c r="AG85" i="1" s="1"/>
  <c r="AH85" i="1" s="1"/>
  <c r="AF86" i="1"/>
  <c r="AG86" i="1" s="1"/>
  <c r="AH86" i="1" s="1"/>
  <c r="AF87" i="1"/>
  <c r="AG87" i="1" s="1"/>
  <c r="AH87" i="1" s="1"/>
  <c r="AF88" i="1"/>
  <c r="AG88" i="1" s="1"/>
  <c r="AH88" i="1" s="1"/>
  <c r="AF89" i="1"/>
  <c r="AG89" i="1" s="1"/>
  <c r="AH89" i="1" s="1"/>
  <c r="AF90" i="1"/>
  <c r="AG90" i="1" s="1"/>
  <c r="AH90" i="1" s="1"/>
  <c r="AF91" i="1"/>
  <c r="AG91" i="1" s="1"/>
  <c r="AH91" i="1" s="1"/>
  <c r="AF92" i="1"/>
  <c r="AG92" i="1" s="1"/>
  <c r="AH92" i="1" s="1"/>
  <c r="AF93" i="1"/>
  <c r="AG93" i="1" s="1"/>
  <c r="AH93" i="1" s="1"/>
  <c r="AF94" i="1"/>
  <c r="AG94" i="1" s="1"/>
  <c r="AH94" i="1" s="1"/>
  <c r="AF95" i="1"/>
  <c r="AG95" i="1" s="1"/>
  <c r="AH95" i="1" s="1"/>
  <c r="AF96" i="1"/>
  <c r="AG96" i="1" s="1"/>
  <c r="AH96" i="1" s="1"/>
  <c r="AF97" i="1"/>
  <c r="AG97" i="1" s="1"/>
  <c r="AH97" i="1" s="1"/>
  <c r="AF98" i="1"/>
  <c r="AG98" i="1" s="1"/>
  <c r="AH98" i="1" s="1"/>
  <c r="AF99" i="1"/>
  <c r="AG99" i="1" s="1"/>
  <c r="AH99" i="1" s="1"/>
  <c r="AF100" i="1"/>
  <c r="AG100" i="1" s="1"/>
  <c r="AH100" i="1" s="1"/>
  <c r="AF101" i="1"/>
  <c r="AG101" i="1" s="1"/>
  <c r="AH101" i="1" s="1"/>
  <c r="AF102" i="1"/>
  <c r="AG102" i="1" s="1"/>
  <c r="AH102" i="1" s="1"/>
  <c r="AF103" i="1"/>
  <c r="AG103" i="1" s="1"/>
  <c r="AH103" i="1" s="1"/>
  <c r="AF104" i="1"/>
  <c r="AG104" i="1" s="1"/>
  <c r="AH104" i="1" s="1"/>
  <c r="AF105" i="1"/>
  <c r="AG105" i="1" s="1"/>
  <c r="AH105" i="1" s="1"/>
  <c r="AF106" i="1"/>
  <c r="AG106" i="1" s="1"/>
  <c r="AH106" i="1" s="1"/>
  <c r="AF107" i="1"/>
  <c r="AG107" i="1" s="1"/>
  <c r="AH107" i="1" s="1"/>
  <c r="AF108" i="1"/>
  <c r="AG108" i="1" s="1"/>
  <c r="AH108" i="1" s="1"/>
  <c r="AF109" i="1"/>
  <c r="AG109" i="1" s="1"/>
  <c r="AH109" i="1" s="1"/>
  <c r="AF110" i="1"/>
  <c r="AG110" i="1" s="1"/>
  <c r="AH110" i="1" s="1"/>
  <c r="AF111" i="1"/>
  <c r="AG111" i="1" s="1"/>
  <c r="AH111" i="1" s="1"/>
  <c r="AF112" i="1"/>
  <c r="AG112" i="1" s="1"/>
  <c r="AH112" i="1" s="1"/>
  <c r="AF113" i="1"/>
  <c r="AG113" i="1" s="1"/>
  <c r="AH113" i="1" s="1"/>
  <c r="AF114" i="1"/>
  <c r="AG114" i="1" s="1"/>
  <c r="AH114" i="1" s="1"/>
  <c r="AF115" i="1"/>
  <c r="AG115" i="1" s="1"/>
  <c r="AH115" i="1" s="1"/>
  <c r="AF116" i="1"/>
  <c r="AG116" i="1" s="1"/>
  <c r="AH116" i="1" s="1"/>
  <c r="AF117" i="1"/>
  <c r="AG117" i="1" s="1"/>
  <c r="AH117" i="1" s="1"/>
  <c r="AF118" i="1"/>
  <c r="AG118" i="1" s="1"/>
  <c r="AH118" i="1" s="1"/>
  <c r="AF119" i="1"/>
  <c r="AG119" i="1" s="1"/>
  <c r="AH119" i="1" s="1"/>
  <c r="AF120" i="1"/>
  <c r="AG120" i="1" s="1"/>
  <c r="AH120" i="1" s="1"/>
  <c r="AF121" i="1"/>
  <c r="AG121" i="1" s="1"/>
  <c r="AH121" i="1" s="1"/>
  <c r="AF122" i="1"/>
  <c r="AG122" i="1" s="1"/>
  <c r="AH122" i="1" s="1"/>
  <c r="AF123" i="1"/>
  <c r="AG123" i="1" s="1"/>
  <c r="AH123" i="1" s="1"/>
  <c r="AF124" i="1"/>
  <c r="AG124" i="1" s="1"/>
  <c r="AH124" i="1" s="1"/>
  <c r="AF125" i="1"/>
  <c r="AG125" i="1" s="1"/>
  <c r="AH125" i="1" s="1"/>
  <c r="AF126" i="1"/>
  <c r="AG126" i="1" s="1"/>
  <c r="AH126" i="1" s="1"/>
  <c r="AF127" i="1"/>
  <c r="AG127" i="1" s="1"/>
  <c r="AH127" i="1" s="1"/>
  <c r="AF128" i="1"/>
  <c r="AG128" i="1" s="1"/>
  <c r="AH128" i="1" s="1"/>
  <c r="AF129" i="1"/>
  <c r="AG129" i="1" s="1"/>
  <c r="AH129" i="1" s="1"/>
  <c r="AF130" i="1"/>
  <c r="AG130" i="1" s="1"/>
  <c r="AH130" i="1" s="1"/>
  <c r="AF131" i="1"/>
  <c r="AG131" i="1" s="1"/>
  <c r="AH131" i="1" s="1"/>
  <c r="AF132" i="1"/>
  <c r="AG132" i="1" s="1"/>
  <c r="AH132" i="1" s="1"/>
  <c r="AF133" i="1"/>
  <c r="AG133" i="1" s="1"/>
  <c r="AH133" i="1" s="1"/>
  <c r="AF134" i="1"/>
  <c r="AG134" i="1" s="1"/>
  <c r="AH134" i="1" s="1"/>
  <c r="AF135" i="1"/>
  <c r="AG135" i="1" s="1"/>
  <c r="AH135" i="1" s="1"/>
  <c r="AF136" i="1"/>
  <c r="AG136" i="1" s="1"/>
  <c r="AH136" i="1" s="1"/>
  <c r="AF137" i="1"/>
  <c r="AG137" i="1" s="1"/>
  <c r="AH137" i="1" s="1"/>
  <c r="AF138" i="1"/>
  <c r="AG138" i="1" s="1"/>
  <c r="AH138" i="1" s="1"/>
  <c r="AF139" i="1"/>
  <c r="AG139" i="1" s="1"/>
  <c r="AH139" i="1" s="1"/>
  <c r="AF140" i="1"/>
  <c r="AG140" i="1" s="1"/>
  <c r="AH140" i="1" s="1"/>
  <c r="AF141" i="1"/>
  <c r="AG141" i="1" s="1"/>
  <c r="AH141" i="1" s="1"/>
  <c r="AF142" i="1"/>
  <c r="AG142" i="1" s="1"/>
  <c r="AH142" i="1" s="1"/>
  <c r="AF143" i="1"/>
  <c r="AG143" i="1" s="1"/>
  <c r="AH143" i="1" s="1"/>
  <c r="AF144" i="1"/>
  <c r="AG144" i="1" s="1"/>
  <c r="AH144" i="1" s="1"/>
  <c r="AF145" i="1"/>
  <c r="AG145" i="1" s="1"/>
  <c r="AH145" i="1" s="1"/>
  <c r="AF146" i="1"/>
  <c r="AG146" i="1" s="1"/>
  <c r="AH146" i="1" s="1"/>
  <c r="AF147" i="1"/>
  <c r="AG147" i="1" s="1"/>
  <c r="AH147" i="1" s="1"/>
  <c r="AF148" i="1"/>
  <c r="AG148" i="1" s="1"/>
  <c r="AH148" i="1" s="1"/>
  <c r="AF149" i="1"/>
  <c r="AG149" i="1" s="1"/>
  <c r="AH149" i="1" s="1"/>
  <c r="AF150" i="1"/>
  <c r="AG150" i="1" s="1"/>
  <c r="AH150" i="1" s="1"/>
  <c r="AF151" i="1"/>
  <c r="AG151" i="1" s="1"/>
  <c r="AH151" i="1" s="1"/>
  <c r="AF152" i="1"/>
  <c r="AG152" i="1" s="1"/>
  <c r="AH152" i="1" s="1"/>
  <c r="AF153" i="1"/>
  <c r="AG153" i="1" s="1"/>
  <c r="AH153" i="1" s="1"/>
  <c r="AF154" i="1"/>
  <c r="AG154" i="1" s="1"/>
  <c r="AH154" i="1" s="1"/>
  <c r="AF155" i="1"/>
  <c r="AG155" i="1" s="1"/>
  <c r="AH155" i="1" s="1"/>
  <c r="AF156" i="1"/>
  <c r="AG156" i="1" s="1"/>
  <c r="AH156" i="1" s="1"/>
  <c r="AF157" i="1"/>
  <c r="AG157" i="1" s="1"/>
  <c r="AH157" i="1" s="1"/>
  <c r="AF158" i="1"/>
  <c r="AG158" i="1" s="1"/>
  <c r="AH158" i="1" s="1"/>
  <c r="AF159" i="1"/>
  <c r="AG159" i="1" s="1"/>
  <c r="AH159" i="1" s="1"/>
  <c r="AF160" i="1"/>
  <c r="AG160" i="1" s="1"/>
  <c r="AH160" i="1" s="1"/>
  <c r="AF161" i="1"/>
  <c r="AG161" i="1" s="1"/>
  <c r="AH161" i="1" s="1"/>
  <c r="AF162" i="1"/>
  <c r="AG162" i="1" s="1"/>
  <c r="AH162" i="1" s="1"/>
  <c r="AF163" i="1"/>
  <c r="AG163" i="1" s="1"/>
  <c r="AH163" i="1" s="1"/>
  <c r="AF164" i="1"/>
  <c r="AG164" i="1" s="1"/>
  <c r="AH164" i="1" s="1"/>
  <c r="AF165" i="1"/>
  <c r="AG165" i="1" s="1"/>
  <c r="AH165" i="1" s="1"/>
  <c r="AF166" i="1"/>
  <c r="AG166" i="1" s="1"/>
  <c r="AH166" i="1" s="1"/>
  <c r="AF167" i="1"/>
  <c r="AG167" i="1" s="1"/>
  <c r="AH167" i="1" s="1"/>
  <c r="AF168" i="1"/>
  <c r="AG168" i="1" s="1"/>
  <c r="AH168" i="1" s="1"/>
  <c r="AF169" i="1"/>
  <c r="AG169" i="1" s="1"/>
  <c r="AH169" i="1" s="1"/>
  <c r="AF170" i="1"/>
  <c r="AG170" i="1" s="1"/>
  <c r="AH170" i="1" s="1"/>
  <c r="AF171" i="1"/>
  <c r="AG171" i="1" s="1"/>
  <c r="AH171" i="1" s="1"/>
  <c r="AF172" i="1"/>
  <c r="AG172" i="1" s="1"/>
  <c r="AH172" i="1" s="1"/>
  <c r="AF173" i="1"/>
  <c r="AG173" i="1" s="1"/>
  <c r="AH173" i="1" s="1"/>
  <c r="AF174" i="1"/>
  <c r="AG174" i="1" s="1"/>
  <c r="AH174" i="1" s="1"/>
  <c r="AF175" i="1"/>
  <c r="AG175" i="1" s="1"/>
  <c r="AH175" i="1" s="1"/>
  <c r="AF176" i="1"/>
  <c r="AG176" i="1" s="1"/>
  <c r="AH176" i="1" s="1"/>
  <c r="AF177" i="1"/>
  <c r="AG177" i="1" s="1"/>
  <c r="AH177" i="1" s="1"/>
  <c r="AF178" i="1"/>
  <c r="AG178" i="1" s="1"/>
  <c r="AH178" i="1" s="1"/>
  <c r="AF179" i="1"/>
  <c r="AG179" i="1" s="1"/>
  <c r="AH179" i="1" s="1"/>
  <c r="AF180" i="1"/>
  <c r="AG180" i="1" s="1"/>
  <c r="AH180" i="1" s="1"/>
  <c r="AF181" i="1"/>
  <c r="AG181" i="1" s="1"/>
  <c r="AH181" i="1" s="1"/>
  <c r="AF182" i="1"/>
  <c r="AG182" i="1" s="1"/>
  <c r="AH182" i="1" s="1"/>
  <c r="AF183" i="1"/>
  <c r="AG183" i="1" s="1"/>
  <c r="AH183" i="1" s="1"/>
  <c r="AF184" i="1"/>
  <c r="AG184" i="1" s="1"/>
  <c r="AH184" i="1" s="1"/>
  <c r="AF185" i="1"/>
  <c r="AG185" i="1" s="1"/>
  <c r="AH185" i="1" s="1"/>
  <c r="AF186" i="1"/>
  <c r="AG186" i="1" s="1"/>
  <c r="AH186" i="1" s="1"/>
  <c r="AF187" i="1"/>
  <c r="AG187" i="1" s="1"/>
  <c r="AH187" i="1" s="1"/>
  <c r="AF188" i="1"/>
  <c r="AG188" i="1" s="1"/>
  <c r="AH188" i="1" s="1"/>
  <c r="AF189" i="1"/>
  <c r="AG189" i="1" s="1"/>
  <c r="AH189" i="1" s="1"/>
  <c r="AF190" i="1"/>
  <c r="AG190" i="1" s="1"/>
  <c r="AH190" i="1" s="1"/>
  <c r="AF191" i="1"/>
  <c r="AG191" i="1" s="1"/>
  <c r="AH191" i="1" s="1"/>
  <c r="AF192" i="1"/>
  <c r="AG192" i="1" s="1"/>
  <c r="AH192" i="1" s="1"/>
  <c r="AF193" i="1"/>
  <c r="AG193" i="1" s="1"/>
  <c r="AH193" i="1" s="1"/>
  <c r="AF194" i="1"/>
  <c r="AG194" i="1" s="1"/>
  <c r="AH194" i="1" s="1"/>
  <c r="AF195" i="1"/>
  <c r="AG195" i="1" s="1"/>
  <c r="AH195" i="1" s="1"/>
  <c r="AF196" i="1"/>
  <c r="AG196" i="1" s="1"/>
  <c r="AH196" i="1" s="1"/>
  <c r="AF197" i="1"/>
  <c r="AG197" i="1" s="1"/>
  <c r="AH197" i="1" s="1"/>
  <c r="AF198" i="1"/>
  <c r="AG198" i="1" s="1"/>
  <c r="AH198" i="1" s="1"/>
  <c r="AF199" i="1"/>
  <c r="AG199" i="1" s="1"/>
  <c r="AH199" i="1" s="1"/>
  <c r="AF200" i="1"/>
  <c r="AG200" i="1" s="1"/>
  <c r="AH200" i="1" s="1"/>
  <c r="AF201" i="1"/>
  <c r="AG201" i="1" s="1"/>
  <c r="AH201" i="1" s="1"/>
  <c r="AF202" i="1"/>
  <c r="AG202" i="1" s="1"/>
  <c r="AH202" i="1" s="1"/>
  <c r="AF203" i="1"/>
  <c r="AG203" i="1" s="1"/>
  <c r="AH203" i="1" s="1"/>
  <c r="AF204" i="1"/>
  <c r="AG204" i="1" s="1"/>
  <c r="AH204" i="1" s="1"/>
  <c r="AF205" i="1"/>
  <c r="AG205" i="1" s="1"/>
  <c r="AH205" i="1" s="1"/>
  <c r="AF206" i="1"/>
  <c r="AG206" i="1" s="1"/>
  <c r="AH206" i="1" s="1"/>
  <c r="AF207" i="1"/>
  <c r="AG207" i="1" s="1"/>
  <c r="AH207" i="1" s="1"/>
  <c r="AF208" i="1"/>
  <c r="AG208" i="1" s="1"/>
  <c r="AH208" i="1" s="1"/>
  <c r="AF209" i="1"/>
  <c r="AG209" i="1" s="1"/>
  <c r="AH209" i="1" s="1"/>
  <c r="AF210" i="1"/>
  <c r="AG210" i="1" s="1"/>
  <c r="AH210" i="1" s="1"/>
  <c r="AF211" i="1"/>
  <c r="AG211" i="1" s="1"/>
  <c r="AH211" i="1" s="1"/>
  <c r="AF212" i="1"/>
  <c r="AG212" i="1" s="1"/>
  <c r="AH212" i="1" s="1"/>
  <c r="AF213" i="1"/>
  <c r="AG213" i="1" s="1"/>
  <c r="AH213" i="1" s="1"/>
  <c r="AF214" i="1"/>
  <c r="AG214" i="1" s="1"/>
  <c r="AH214" i="1" s="1"/>
  <c r="AF215" i="1"/>
  <c r="AG215" i="1" s="1"/>
  <c r="AH215" i="1" s="1"/>
  <c r="AF216" i="1"/>
  <c r="AG216" i="1" s="1"/>
  <c r="AH216" i="1" s="1"/>
  <c r="AF217" i="1"/>
  <c r="AG217" i="1" s="1"/>
  <c r="AH217" i="1" s="1"/>
  <c r="AF218" i="1"/>
  <c r="AG218" i="1" s="1"/>
  <c r="AH218" i="1" s="1"/>
  <c r="AF219" i="1"/>
  <c r="AG219" i="1" s="1"/>
  <c r="AH219" i="1" s="1"/>
  <c r="AF220" i="1"/>
  <c r="AG220" i="1" s="1"/>
  <c r="AH220" i="1" s="1"/>
  <c r="AF221" i="1"/>
  <c r="AG221" i="1" s="1"/>
  <c r="AH221" i="1" s="1"/>
  <c r="AF222" i="1"/>
  <c r="AG222" i="1" s="1"/>
  <c r="AH222" i="1" s="1"/>
  <c r="AF223" i="1"/>
  <c r="AG223" i="1" s="1"/>
  <c r="AH223" i="1" s="1"/>
  <c r="AF224" i="1"/>
  <c r="AG224" i="1" s="1"/>
  <c r="AH224" i="1" s="1"/>
  <c r="AF225" i="1"/>
  <c r="AG225" i="1" s="1"/>
  <c r="AH225" i="1" s="1"/>
  <c r="AF226" i="1"/>
  <c r="AG226" i="1" s="1"/>
  <c r="AH226" i="1" s="1"/>
  <c r="AF227" i="1"/>
  <c r="AG227" i="1" s="1"/>
  <c r="AH227" i="1" s="1"/>
  <c r="AF228" i="1"/>
  <c r="AG228" i="1" s="1"/>
  <c r="AH228" i="1" s="1"/>
  <c r="AF229" i="1"/>
  <c r="AG229" i="1" s="1"/>
  <c r="AH229" i="1" s="1"/>
  <c r="AF230" i="1"/>
  <c r="AG230" i="1" s="1"/>
  <c r="AH230" i="1" s="1"/>
  <c r="AF231" i="1"/>
  <c r="AG231" i="1" s="1"/>
  <c r="AH231" i="1" s="1"/>
  <c r="AF232" i="1"/>
  <c r="AG232" i="1" s="1"/>
  <c r="AH232" i="1" s="1"/>
  <c r="AF233" i="1"/>
  <c r="AG233" i="1" s="1"/>
  <c r="AH233" i="1" s="1"/>
  <c r="AF234" i="1"/>
  <c r="AG234" i="1" s="1"/>
  <c r="AH234" i="1" s="1"/>
  <c r="AF235" i="1"/>
  <c r="AG235" i="1" s="1"/>
  <c r="AH235" i="1" s="1"/>
  <c r="AF236" i="1"/>
  <c r="AG236" i="1" s="1"/>
  <c r="AH236" i="1" s="1"/>
  <c r="AF237" i="1"/>
  <c r="AG237" i="1" s="1"/>
  <c r="AH237" i="1" s="1"/>
  <c r="AF238" i="1"/>
  <c r="AG238" i="1" s="1"/>
  <c r="AH238" i="1" s="1"/>
  <c r="AF239" i="1"/>
  <c r="AG239" i="1" s="1"/>
  <c r="AH239" i="1" s="1"/>
  <c r="AF240" i="1"/>
  <c r="AG240" i="1" s="1"/>
  <c r="AH240" i="1" s="1"/>
  <c r="AF241" i="1"/>
  <c r="AG241" i="1" s="1"/>
  <c r="AH241" i="1" s="1"/>
  <c r="AF242" i="1"/>
  <c r="AG242" i="1" s="1"/>
  <c r="AH242" i="1" s="1"/>
  <c r="AF243" i="1"/>
  <c r="AG243" i="1" s="1"/>
  <c r="AH243" i="1" s="1"/>
  <c r="AF244" i="1"/>
  <c r="AG244" i="1" s="1"/>
  <c r="AH244" i="1" s="1"/>
  <c r="AF245" i="1"/>
  <c r="AG245" i="1" s="1"/>
  <c r="AH245" i="1" s="1"/>
  <c r="AF246" i="1"/>
  <c r="AG246" i="1" s="1"/>
  <c r="AH246" i="1" s="1"/>
  <c r="AF247" i="1"/>
  <c r="AG247" i="1" s="1"/>
  <c r="AH247" i="1" s="1"/>
  <c r="AF248" i="1"/>
  <c r="AG248" i="1" s="1"/>
  <c r="AH248" i="1" s="1"/>
  <c r="AF249" i="1"/>
  <c r="AG249" i="1" s="1"/>
  <c r="AH249" i="1" s="1"/>
  <c r="AF250" i="1"/>
  <c r="AG250" i="1" s="1"/>
  <c r="AH250" i="1" s="1"/>
  <c r="AF6" i="1"/>
  <c r="AG6" i="1" s="1"/>
  <c r="L12" i="3"/>
  <c r="B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4" i="4"/>
  <c r="AX11" i="3" l="1"/>
  <c r="T11" i="3"/>
  <c r="AH11" i="3"/>
  <c r="AH6" i="1"/>
  <c r="AK1" i="1"/>
  <c r="AK2" i="1"/>
  <c r="A25" i="3"/>
  <c r="AG24" i="3"/>
  <c r="K11" i="3"/>
  <c r="C11" i="3"/>
  <c r="D11" i="3" s="1"/>
  <c r="B12" i="3"/>
  <c r="C12" i="3" l="1"/>
  <c r="J12" i="3" s="1"/>
  <c r="M12" i="3" s="1"/>
  <c r="AX12" i="3"/>
  <c r="AI12" i="3"/>
  <c r="AP12" i="3"/>
  <c r="AM12" i="3"/>
  <c r="AH12" i="3"/>
  <c r="Q12" i="3"/>
  <c r="A26" i="3"/>
  <c r="AG25" i="3"/>
  <c r="X12" i="3"/>
  <c r="Y11" i="3" s="1"/>
  <c r="E11" i="3"/>
  <c r="F11" i="3" s="1"/>
  <c r="G11" i="3" s="1"/>
  <c r="T12" i="3"/>
  <c r="K12" i="3"/>
  <c r="B13" i="3"/>
  <c r="J11" i="3"/>
  <c r="D12" i="3" l="1"/>
  <c r="E12" i="3"/>
  <c r="AI13" i="3"/>
  <c r="AX13" i="3"/>
  <c r="AH13" i="3"/>
  <c r="Q13" i="3"/>
  <c r="AP13" i="3"/>
  <c r="AT12" i="3"/>
  <c r="A27" i="3"/>
  <c r="AG26" i="3"/>
  <c r="X13" i="3"/>
  <c r="T13" i="3"/>
  <c r="K13" i="3"/>
  <c r="C13" i="3"/>
  <c r="B14" i="3"/>
  <c r="AA11" i="3" l="1"/>
  <c r="AO12" i="3"/>
  <c r="Y12" i="3"/>
  <c r="P12" i="3"/>
  <c r="R11" i="3"/>
  <c r="F12" i="3"/>
  <c r="G12" i="3" s="1"/>
  <c r="H12" i="3" s="1"/>
  <c r="I12" i="3" s="1"/>
  <c r="AJ12" i="3" s="1"/>
  <c r="S11" i="3"/>
  <c r="Z11" i="3"/>
  <c r="AL12" i="3"/>
  <c r="AP14" i="3"/>
  <c r="AX14" i="3"/>
  <c r="AI14" i="3"/>
  <c r="AH14" i="3"/>
  <c r="Q14" i="3"/>
  <c r="A28" i="3"/>
  <c r="AG27" i="3"/>
  <c r="X14" i="3"/>
  <c r="T14" i="3"/>
  <c r="K14" i="3"/>
  <c r="B15" i="3"/>
  <c r="C14" i="3"/>
  <c r="D13" i="3"/>
  <c r="E13" i="3"/>
  <c r="J13" i="3"/>
  <c r="M13" i="3" s="1"/>
  <c r="BA11" i="3" l="1"/>
  <c r="AB11" i="3"/>
  <c r="U11" i="3"/>
  <c r="V11" i="3" s="1"/>
  <c r="N12" i="3"/>
  <c r="O12" i="3" s="1"/>
  <c r="AO13" i="3" s="1"/>
  <c r="W11" i="3"/>
  <c r="AA12" i="3"/>
  <c r="Z12" i="3"/>
  <c r="Q15" i="3"/>
  <c r="AI15" i="3"/>
  <c r="AX15" i="3"/>
  <c r="AH15" i="3"/>
  <c r="AP15" i="3"/>
  <c r="F13" i="3"/>
  <c r="G13" i="3" s="1"/>
  <c r="H13" i="3" s="1"/>
  <c r="S12" i="3"/>
  <c r="A29" i="3"/>
  <c r="AG28" i="3"/>
  <c r="Y13" i="3"/>
  <c r="X15" i="3"/>
  <c r="R12" i="3"/>
  <c r="J14" i="3"/>
  <c r="M14" i="3" s="1"/>
  <c r="D14" i="3"/>
  <c r="E14" i="3"/>
  <c r="T15" i="3"/>
  <c r="K15" i="3"/>
  <c r="C15" i="3"/>
  <c r="B16" i="3"/>
  <c r="BA12" i="3" l="1"/>
  <c r="AM13" i="3"/>
  <c r="AT13" i="3"/>
  <c r="AC11" i="3"/>
  <c r="AD11" i="3" s="1"/>
  <c r="AS11" i="3" s="1"/>
  <c r="AR12" i="3" s="1"/>
  <c r="I13" i="3"/>
  <c r="AJ13" i="3" s="1"/>
  <c r="P13" i="3"/>
  <c r="AL13" i="3"/>
  <c r="Z13" i="3"/>
  <c r="AA13" i="3"/>
  <c r="AP16" i="3"/>
  <c r="AX16" i="3"/>
  <c r="AI16" i="3"/>
  <c r="AH16" i="3"/>
  <c r="Q16" i="3"/>
  <c r="N13" i="3"/>
  <c r="U12" i="3"/>
  <c r="V12" i="3" s="1"/>
  <c r="AB12" i="3"/>
  <c r="F14" i="3"/>
  <c r="G14" i="3" s="1"/>
  <c r="H14" i="3" s="1"/>
  <c r="S13" i="3"/>
  <c r="A30" i="3"/>
  <c r="AG29" i="3"/>
  <c r="W12" i="3"/>
  <c r="Y14" i="3"/>
  <c r="X16" i="3"/>
  <c r="E15" i="3"/>
  <c r="J15" i="3"/>
  <c r="M15" i="3" s="1"/>
  <c r="D15" i="3"/>
  <c r="T16" i="3"/>
  <c r="K16" i="3"/>
  <c r="C16" i="3"/>
  <c r="B17" i="3"/>
  <c r="R13" i="3"/>
  <c r="BA13" i="3" l="1"/>
  <c r="AQ12" i="3"/>
  <c r="AU12" i="3" s="1"/>
  <c r="AE11" i="3"/>
  <c r="AF11" i="3" s="1"/>
  <c r="AV12" i="3" s="1"/>
  <c r="O13" i="3"/>
  <c r="AA14" i="3"/>
  <c r="Z14" i="3"/>
  <c r="AP17" i="3"/>
  <c r="AX17" i="3"/>
  <c r="AI17" i="3"/>
  <c r="AH17" i="3"/>
  <c r="Q17" i="3"/>
  <c r="AC12" i="3"/>
  <c r="AD12" i="3" s="1"/>
  <c r="U13" i="3"/>
  <c r="V13" i="3" s="1"/>
  <c r="AB13" i="3"/>
  <c r="A31" i="3"/>
  <c r="AG30" i="3"/>
  <c r="F15" i="3"/>
  <c r="G15" i="3" s="1"/>
  <c r="H15" i="3" s="1"/>
  <c r="S14" i="3"/>
  <c r="W13" i="3"/>
  <c r="X17" i="3"/>
  <c r="Y15" i="3"/>
  <c r="T17" i="3"/>
  <c r="K17" i="3"/>
  <c r="C17" i="3"/>
  <c r="B18" i="3"/>
  <c r="R14" i="3"/>
  <c r="J16" i="3"/>
  <c r="M16" i="3" s="1"/>
  <c r="E16" i="3"/>
  <c r="D16" i="3"/>
  <c r="AW12" i="3" l="1"/>
  <c r="BA14" i="3"/>
  <c r="AE12" i="3"/>
  <c r="AF12" i="3" s="1"/>
  <c r="AV13" i="3" s="1"/>
  <c r="AK12" i="3"/>
  <c r="AN12" i="3" s="1"/>
  <c r="AT14" i="3"/>
  <c r="AO14" i="3"/>
  <c r="AM14" i="3"/>
  <c r="P14" i="3"/>
  <c r="AL14" i="3"/>
  <c r="I14" i="3"/>
  <c r="N14" i="3"/>
  <c r="Z15" i="3"/>
  <c r="AA15" i="3"/>
  <c r="U14" i="3"/>
  <c r="V14" i="3" s="1"/>
  <c r="AC13" i="3"/>
  <c r="AD13" i="3" s="1"/>
  <c r="AX18" i="3"/>
  <c r="AI18" i="3"/>
  <c r="AH18" i="3"/>
  <c r="Q18" i="3"/>
  <c r="AP18" i="3"/>
  <c r="AS12" i="3"/>
  <c r="AB14" i="3"/>
  <c r="A32" i="3"/>
  <c r="AG31" i="3"/>
  <c r="F16" i="3"/>
  <c r="G16" i="3" s="1"/>
  <c r="H16" i="3" s="1"/>
  <c r="S15" i="3"/>
  <c r="W14" i="3"/>
  <c r="Y16" i="3"/>
  <c r="X18" i="3"/>
  <c r="D17" i="3"/>
  <c r="J17" i="3"/>
  <c r="M17" i="3" s="1"/>
  <c r="E17" i="3"/>
  <c r="R15" i="3"/>
  <c r="B19" i="3"/>
  <c r="T18" i="3"/>
  <c r="K18" i="3"/>
  <c r="C18" i="3"/>
  <c r="AR13" i="3" l="1"/>
  <c r="AQ13" i="3" s="1"/>
  <c r="AU13" i="3" s="1"/>
  <c r="BA15" i="3"/>
  <c r="AK13" i="3"/>
  <c r="AN13" i="3" s="1"/>
  <c r="O14" i="3"/>
  <c r="AO15" i="3" s="1"/>
  <c r="AJ14" i="3"/>
  <c r="AA16" i="3"/>
  <c r="Z16" i="3"/>
  <c r="AS13" i="3"/>
  <c r="AE13" i="3"/>
  <c r="AF13" i="3" s="1"/>
  <c r="AV14" i="3" s="1"/>
  <c r="AI19" i="3"/>
  <c r="AX19" i="3"/>
  <c r="AM19" i="3"/>
  <c r="AH19" i="3"/>
  <c r="Q19" i="3"/>
  <c r="AP19" i="3"/>
  <c r="AB15" i="3"/>
  <c r="AC14" i="3"/>
  <c r="AD14" i="3" s="1"/>
  <c r="AK14" i="3" s="1"/>
  <c r="U15" i="3"/>
  <c r="V15" i="3" s="1"/>
  <c r="A33" i="3"/>
  <c r="AG32" i="3"/>
  <c r="F17" i="3"/>
  <c r="G17" i="3" s="1"/>
  <c r="H17" i="3" s="1"/>
  <c r="S16" i="3"/>
  <c r="W15" i="3"/>
  <c r="X19" i="3"/>
  <c r="Y17" i="3"/>
  <c r="R16" i="3"/>
  <c r="B20" i="3"/>
  <c r="T19" i="3"/>
  <c r="K19" i="3"/>
  <c r="C19" i="3"/>
  <c r="E18" i="3"/>
  <c r="J18" i="3"/>
  <c r="M18" i="3" s="1"/>
  <c r="D18" i="3"/>
  <c r="BA16" i="3" l="1"/>
  <c r="AW13" i="3"/>
  <c r="AM15" i="3"/>
  <c r="AT15" i="3"/>
  <c r="N15" i="3"/>
  <c r="AL15" i="3"/>
  <c r="P15" i="3"/>
  <c r="I15" i="3"/>
  <c r="AJ15" i="3" s="1"/>
  <c r="AN14" i="3"/>
  <c r="Z17" i="3"/>
  <c r="AA17" i="3"/>
  <c r="Y18" i="3"/>
  <c r="AP20" i="3"/>
  <c r="AS14" i="3"/>
  <c r="AE14" i="3"/>
  <c r="AF14" i="3" s="1"/>
  <c r="AI20" i="3"/>
  <c r="AX20" i="3"/>
  <c r="AH20" i="3"/>
  <c r="Q20" i="3"/>
  <c r="AB16" i="3"/>
  <c r="U16" i="3"/>
  <c r="V16" i="3" s="1"/>
  <c r="S17" i="3"/>
  <c r="A34" i="3"/>
  <c r="AG33" i="3"/>
  <c r="AC15" i="3"/>
  <c r="AD15" i="3" s="1"/>
  <c r="W16" i="3"/>
  <c r="X20" i="3"/>
  <c r="R17" i="3"/>
  <c r="B21" i="3"/>
  <c r="T20" i="3"/>
  <c r="K20" i="3"/>
  <c r="C20" i="3"/>
  <c r="D19" i="3"/>
  <c r="E19" i="3"/>
  <c r="J19" i="3"/>
  <c r="M19" i="3" s="1"/>
  <c r="F18" i="3"/>
  <c r="G18" i="3" s="1"/>
  <c r="H18" i="3" s="1"/>
  <c r="AR14" i="3" l="1"/>
  <c r="AQ14" i="3" s="1"/>
  <c r="AU14" i="3" s="1"/>
  <c r="AW14" i="3" s="1"/>
  <c r="AR15" i="3" s="1"/>
  <c r="BA17" i="3"/>
  <c r="AK15" i="3"/>
  <c r="AN15" i="3" s="1"/>
  <c r="AV15" i="3"/>
  <c r="O15" i="3"/>
  <c r="AO16" i="3" s="1"/>
  <c r="Z18" i="3"/>
  <c r="AA18" i="3"/>
  <c r="AP21" i="3"/>
  <c r="AI21" i="3"/>
  <c r="AX21" i="3"/>
  <c r="AM21" i="3"/>
  <c r="AH21" i="3"/>
  <c r="Q21" i="3"/>
  <c r="AC16" i="3"/>
  <c r="AD16" i="3" s="1"/>
  <c r="U17" i="3"/>
  <c r="V17" i="3" s="1"/>
  <c r="AB17" i="3"/>
  <c r="AE15" i="3"/>
  <c r="AF15" i="3" s="1"/>
  <c r="F19" i="3"/>
  <c r="G19" i="3" s="1"/>
  <c r="H19" i="3" s="1"/>
  <c r="S18" i="3"/>
  <c r="A35" i="3"/>
  <c r="AG34" i="3"/>
  <c r="W17" i="3"/>
  <c r="X21" i="3"/>
  <c r="Y19" i="3"/>
  <c r="R18" i="3"/>
  <c r="B22" i="3"/>
  <c r="T21" i="3"/>
  <c r="K21" i="3"/>
  <c r="C21" i="3"/>
  <c r="J20" i="3"/>
  <c r="M20" i="3" s="1"/>
  <c r="D20" i="3"/>
  <c r="E20" i="3"/>
  <c r="BA18" i="3" l="1"/>
  <c r="AE16" i="3"/>
  <c r="AF16" i="3" s="1"/>
  <c r="AQ15" i="3"/>
  <c r="AU15" i="3" s="1"/>
  <c r="AM16" i="3"/>
  <c r="AT16" i="3"/>
  <c r="AS15" i="3"/>
  <c r="P16" i="3"/>
  <c r="AL16" i="3"/>
  <c r="N16" i="3"/>
  <c r="AK16" i="3" s="1"/>
  <c r="I16" i="3"/>
  <c r="AJ16" i="3" s="1"/>
  <c r="AA19" i="3"/>
  <c r="Z19" i="3"/>
  <c r="U18" i="3"/>
  <c r="V18" i="3" s="1"/>
  <c r="AX22" i="3"/>
  <c r="AI22" i="3"/>
  <c r="AH22" i="3"/>
  <c r="Q22" i="3"/>
  <c r="AP22" i="3"/>
  <c r="AC17" i="3"/>
  <c r="AD17" i="3" s="1"/>
  <c r="AB18" i="3"/>
  <c r="F20" i="3"/>
  <c r="G20" i="3" s="1"/>
  <c r="H20" i="3" s="1"/>
  <c r="S19" i="3"/>
  <c r="A36" i="3"/>
  <c r="W18" i="3"/>
  <c r="Y20" i="3"/>
  <c r="X22" i="3"/>
  <c r="B23" i="3"/>
  <c r="AW23" i="3" s="1"/>
  <c r="T22" i="3"/>
  <c r="K22" i="3"/>
  <c r="C22" i="3"/>
  <c r="D21" i="3"/>
  <c r="E21" i="3"/>
  <c r="J21" i="3"/>
  <c r="M21" i="3" s="1"/>
  <c r="R19" i="3"/>
  <c r="BA19" i="3" l="1"/>
  <c r="AE17" i="3"/>
  <c r="AF17" i="3" s="1"/>
  <c r="AW15" i="3"/>
  <c r="AR16" i="3" s="1"/>
  <c r="AV16" i="3"/>
  <c r="O16" i="3"/>
  <c r="AO17" i="3" s="1"/>
  <c r="AN16" i="3"/>
  <c r="AA20" i="3"/>
  <c r="Z20" i="3"/>
  <c r="AX23" i="3"/>
  <c r="AH23" i="3"/>
  <c r="Q23" i="3"/>
  <c r="AP23" i="3"/>
  <c r="AB19" i="3"/>
  <c r="U19" i="3"/>
  <c r="V19" i="3" s="1"/>
  <c r="A37" i="3"/>
  <c r="AG36" i="3"/>
  <c r="F21" i="3"/>
  <c r="G21" i="3" s="1"/>
  <c r="H21" i="3" s="1"/>
  <c r="S20" i="3"/>
  <c r="AC18" i="3"/>
  <c r="AD18" i="3" s="1"/>
  <c r="W19" i="3"/>
  <c r="Y21" i="3"/>
  <c r="X23" i="3"/>
  <c r="B24" i="3"/>
  <c r="T23" i="3"/>
  <c r="K23" i="3"/>
  <c r="C23" i="3"/>
  <c r="D22" i="3"/>
  <c r="E22" i="3"/>
  <c r="J22" i="3"/>
  <c r="M22" i="3" s="1"/>
  <c r="R20" i="3"/>
  <c r="AM17" i="3" l="1"/>
  <c r="BA20" i="3"/>
  <c r="AQ16" i="3"/>
  <c r="AU16" i="3" s="1"/>
  <c r="AL17" i="3"/>
  <c r="AT17" i="3"/>
  <c r="AS16" i="3"/>
  <c r="P17" i="3"/>
  <c r="I17" i="3"/>
  <c r="AJ17" i="3" s="1"/>
  <c r="N17" i="3"/>
  <c r="AK17" i="3" s="1"/>
  <c r="AA21" i="3"/>
  <c r="Z21" i="3"/>
  <c r="AX24" i="3"/>
  <c r="AI24" i="3"/>
  <c r="AH24" i="3"/>
  <c r="AP24" i="3"/>
  <c r="AB20" i="3"/>
  <c r="U20" i="3"/>
  <c r="V20" i="3" s="1"/>
  <c r="AE18" i="3"/>
  <c r="AF18" i="3" s="1"/>
  <c r="S21" i="3"/>
  <c r="AC19" i="3"/>
  <c r="AD19" i="3" s="1"/>
  <c r="A38" i="3"/>
  <c r="AG37" i="3"/>
  <c r="W20" i="3"/>
  <c r="X24" i="3"/>
  <c r="Y22" i="3"/>
  <c r="R21" i="3"/>
  <c r="F22" i="3"/>
  <c r="G22" i="3" s="1"/>
  <c r="H22" i="3" s="1"/>
  <c r="B25" i="3"/>
  <c r="T24" i="3"/>
  <c r="K24" i="3"/>
  <c r="C24" i="3"/>
  <c r="J23" i="3"/>
  <c r="M23" i="3" s="1"/>
  <c r="D23" i="3"/>
  <c r="E23" i="3"/>
  <c r="BA21" i="3" l="1"/>
  <c r="AW16" i="3"/>
  <c r="AR17" i="3" s="1"/>
  <c r="AV17" i="3"/>
  <c r="O17" i="3"/>
  <c r="AO18" i="3" s="1"/>
  <c r="AN17" i="3"/>
  <c r="AA22" i="3"/>
  <c r="Z22" i="3"/>
  <c r="AP25" i="3"/>
  <c r="U21" i="3"/>
  <c r="V21" i="3" s="1"/>
  <c r="AX25" i="3"/>
  <c r="AI25" i="3"/>
  <c r="AM25" i="3"/>
  <c r="AH25" i="3"/>
  <c r="Y23" i="3"/>
  <c r="AB21" i="3"/>
  <c r="AE19" i="3"/>
  <c r="AF19" i="3" s="1"/>
  <c r="AC20" i="3"/>
  <c r="AD20" i="3" s="1"/>
  <c r="S22" i="3"/>
  <c r="A39" i="3"/>
  <c r="AG38" i="3"/>
  <c r="W21" i="3"/>
  <c r="X25" i="3"/>
  <c r="R22" i="3"/>
  <c r="D24" i="3"/>
  <c r="J24" i="3"/>
  <c r="M24" i="3" s="1"/>
  <c r="E24" i="3"/>
  <c r="F23" i="3"/>
  <c r="G23" i="3" s="1"/>
  <c r="H23" i="3" s="1"/>
  <c r="B26" i="3"/>
  <c r="T25" i="3"/>
  <c r="K25" i="3"/>
  <c r="C25" i="3"/>
  <c r="BA22" i="3" l="1"/>
  <c r="AQ17" i="3"/>
  <c r="AU17" i="3" s="1"/>
  <c r="AW17" i="3" s="1"/>
  <c r="AM18" i="3"/>
  <c r="AL18" i="3"/>
  <c r="P18" i="3"/>
  <c r="AS17" i="3"/>
  <c r="N18" i="3"/>
  <c r="AK18" i="3" s="1"/>
  <c r="AT18" i="3"/>
  <c r="I18" i="3"/>
  <c r="AJ18" i="3" s="1"/>
  <c r="AA23" i="3"/>
  <c r="Z23" i="3"/>
  <c r="Y24" i="3"/>
  <c r="AX26" i="3"/>
  <c r="AI26" i="3"/>
  <c r="AM26" i="3"/>
  <c r="AH26" i="3"/>
  <c r="AP26" i="3"/>
  <c r="U22" i="3"/>
  <c r="V22" i="3" s="1"/>
  <c r="AB22" i="3"/>
  <c r="AE20" i="3"/>
  <c r="AF20" i="3" s="1"/>
  <c r="AC21" i="3"/>
  <c r="AD21" i="3" s="1"/>
  <c r="F24" i="3"/>
  <c r="G24" i="3" s="1"/>
  <c r="H24" i="3" s="1"/>
  <c r="S23" i="3"/>
  <c r="A40" i="3"/>
  <c r="AG39" i="3"/>
  <c r="W22" i="3"/>
  <c r="X26" i="3"/>
  <c r="D25" i="3"/>
  <c r="E25" i="3"/>
  <c r="J25" i="3"/>
  <c r="M25" i="3" s="1"/>
  <c r="R23" i="3"/>
  <c r="B27" i="3"/>
  <c r="T26" i="3"/>
  <c r="K26" i="3"/>
  <c r="C26" i="3"/>
  <c r="AR18" i="3" l="1"/>
  <c r="AQ18" i="3" s="1"/>
  <c r="AU18" i="3" s="1"/>
  <c r="BA23" i="3"/>
  <c r="AV18" i="3"/>
  <c r="AN18" i="3"/>
  <c r="O18" i="3"/>
  <c r="AA24" i="3"/>
  <c r="Z24" i="3"/>
  <c r="AP27" i="3"/>
  <c r="AB23" i="3"/>
  <c r="AX27" i="3"/>
  <c r="AI27" i="3"/>
  <c r="AM27" i="3"/>
  <c r="AH27" i="3"/>
  <c r="U23" i="3"/>
  <c r="V23" i="3" s="1"/>
  <c r="AE21" i="3"/>
  <c r="AF21" i="3" s="1"/>
  <c r="S24" i="3"/>
  <c r="A41" i="3"/>
  <c r="AG40" i="3"/>
  <c r="AC22" i="3"/>
  <c r="AD22" i="3" s="1"/>
  <c r="Y25" i="3"/>
  <c r="W23" i="3"/>
  <c r="X27" i="3"/>
  <c r="B28" i="3"/>
  <c r="T27" i="3"/>
  <c r="K27" i="3"/>
  <c r="C27" i="3"/>
  <c r="E26" i="3"/>
  <c r="J26" i="3"/>
  <c r="M26" i="3" s="1"/>
  <c r="D26" i="3"/>
  <c r="R24" i="3"/>
  <c r="F25" i="3"/>
  <c r="G25" i="3" s="1"/>
  <c r="H25" i="3" s="1"/>
  <c r="BA24" i="3" l="1"/>
  <c r="AW18" i="3"/>
  <c r="P19" i="3"/>
  <c r="AO19" i="3"/>
  <c r="I19" i="3"/>
  <c r="AJ19" i="3" s="1"/>
  <c r="AT19" i="3"/>
  <c r="N19" i="3"/>
  <c r="AK19" i="3" s="1"/>
  <c r="AL19" i="3"/>
  <c r="AS18" i="3"/>
  <c r="AA25" i="3"/>
  <c r="Z25" i="3"/>
  <c r="AX28" i="3"/>
  <c r="AI28" i="3"/>
  <c r="AM28" i="3"/>
  <c r="AH28" i="3"/>
  <c r="AP28" i="3"/>
  <c r="AB24" i="3"/>
  <c r="U24" i="3"/>
  <c r="V24" i="3" s="1"/>
  <c r="AE22" i="3"/>
  <c r="AF22" i="3" s="1"/>
  <c r="AC23" i="3"/>
  <c r="AD23" i="3" s="1"/>
  <c r="S25" i="3"/>
  <c r="A42" i="3"/>
  <c r="AG41" i="3"/>
  <c r="F26" i="3"/>
  <c r="G26" i="3" s="1"/>
  <c r="H26" i="3" s="1"/>
  <c r="Y26" i="3"/>
  <c r="W24" i="3"/>
  <c r="X28" i="3"/>
  <c r="D27" i="3"/>
  <c r="E27" i="3"/>
  <c r="J27" i="3"/>
  <c r="M27" i="3" s="1"/>
  <c r="R25" i="3"/>
  <c r="B29" i="3"/>
  <c r="T28" i="3"/>
  <c r="K28" i="3"/>
  <c r="C28" i="3"/>
  <c r="AR19" i="3" l="1"/>
  <c r="AQ19" i="3" s="1"/>
  <c r="AU19" i="3" s="1"/>
  <c r="BA25" i="3"/>
  <c r="O19" i="3"/>
  <c r="AM20" i="3" s="1"/>
  <c r="AV19" i="3"/>
  <c r="AN19" i="3"/>
  <c r="AA26" i="3"/>
  <c r="Z26" i="3"/>
  <c r="AP29" i="3"/>
  <c r="AI29" i="3"/>
  <c r="AX29" i="3"/>
  <c r="AM29" i="3"/>
  <c r="AH29" i="3"/>
  <c r="AB25" i="3"/>
  <c r="U25" i="3"/>
  <c r="V25" i="3" s="1"/>
  <c r="AE23" i="3"/>
  <c r="AF23" i="3" s="1"/>
  <c r="S26" i="3"/>
  <c r="AC24" i="3"/>
  <c r="AD24" i="3" s="1"/>
  <c r="A43" i="3"/>
  <c r="AG42" i="3"/>
  <c r="X29" i="3"/>
  <c r="Y27" i="3"/>
  <c r="R26" i="3"/>
  <c r="B30" i="3"/>
  <c r="T29" i="3"/>
  <c r="K29" i="3"/>
  <c r="C29" i="3"/>
  <c r="E28" i="3"/>
  <c r="D28" i="3"/>
  <c r="J28" i="3"/>
  <c r="M28" i="3" s="1"/>
  <c r="F27" i="3"/>
  <c r="G27" i="3" s="1"/>
  <c r="H27" i="3" s="1"/>
  <c r="BA26" i="3" l="1"/>
  <c r="AW19" i="3"/>
  <c r="I20" i="3"/>
  <c r="AJ20" i="3" s="1"/>
  <c r="AO20" i="3"/>
  <c r="AL20" i="3"/>
  <c r="P20" i="3"/>
  <c r="N20" i="3"/>
  <c r="AK20" i="3" s="1"/>
  <c r="AS19" i="3"/>
  <c r="AT20" i="3"/>
  <c r="AA27" i="3"/>
  <c r="Z27" i="3"/>
  <c r="AI30" i="3"/>
  <c r="AX30" i="3"/>
  <c r="AM30" i="3"/>
  <c r="AH30" i="3"/>
  <c r="AP30" i="3"/>
  <c r="AG23" i="3"/>
  <c r="AI23" i="3" s="1"/>
  <c r="Q24" i="3" s="1"/>
  <c r="U26" i="3"/>
  <c r="V26" i="3" s="1"/>
  <c r="AE24" i="3"/>
  <c r="AF24" i="3" s="1"/>
  <c r="A44" i="3"/>
  <c r="AG43" i="3"/>
  <c r="AB26" i="3"/>
  <c r="S27" i="3"/>
  <c r="X30" i="3"/>
  <c r="Y28" i="3"/>
  <c r="J29" i="3"/>
  <c r="M29" i="3" s="1"/>
  <c r="D29" i="3"/>
  <c r="E29" i="3"/>
  <c r="R27" i="3"/>
  <c r="B31" i="3"/>
  <c r="T30" i="3"/>
  <c r="K30" i="3"/>
  <c r="C30" i="3"/>
  <c r="F28" i="3"/>
  <c r="G28" i="3" s="1"/>
  <c r="H28" i="3" s="1"/>
  <c r="AR20" i="3" l="1"/>
  <c r="AQ20" i="3" s="1"/>
  <c r="AU20" i="3" s="1"/>
  <c r="BA27" i="3"/>
  <c r="AN20" i="3"/>
  <c r="AV20" i="3"/>
  <c r="O20" i="3"/>
  <c r="AA28" i="3"/>
  <c r="Z28" i="3"/>
  <c r="AP31" i="3"/>
  <c r="AI31" i="3"/>
  <c r="AX31" i="3"/>
  <c r="AM31" i="3"/>
  <c r="AH31" i="3"/>
  <c r="AB27" i="3"/>
  <c r="U27" i="3"/>
  <c r="V27" i="3" s="1"/>
  <c r="W25" i="3"/>
  <c r="AC25" i="3" s="1"/>
  <c r="AD25" i="3" s="1"/>
  <c r="Q25" i="3"/>
  <c r="W26" i="3" s="1"/>
  <c r="AC26" i="3" s="1"/>
  <c r="AD26" i="3" s="1"/>
  <c r="Y29" i="3"/>
  <c r="S28" i="3"/>
  <c r="A45" i="3"/>
  <c r="AG44" i="3"/>
  <c r="X31" i="3"/>
  <c r="R28" i="3"/>
  <c r="F29" i="3"/>
  <c r="G29" i="3" s="1"/>
  <c r="H29" i="3" s="1"/>
  <c r="B32" i="3"/>
  <c r="T31" i="3"/>
  <c r="K31" i="3"/>
  <c r="C31" i="3"/>
  <c r="J30" i="3"/>
  <c r="M30" i="3" s="1"/>
  <c r="D30" i="3"/>
  <c r="E30" i="3"/>
  <c r="AE25" i="3" l="1"/>
  <c r="AF25" i="3" s="1"/>
  <c r="BA28" i="3"/>
  <c r="AW20" i="3"/>
  <c r="P21" i="3"/>
  <c r="AO21" i="3"/>
  <c r="AT21" i="3"/>
  <c r="N21" i="3"/>
  <c r="AK21" i="3" s="1"/>
  <c r="AL21" i="3"/>
  <c r="AS20" i="3"/>
  <c r="I21" i="3"/>
  <c r="AJ21" i="3" s="1"/>
  <c r="Z29" i="3"/>
  <c r="AA29" i="3"/>
  <c r="Y30" i="3"/>
  <c r="AX32" i="3"/>
  <c r="AI32" i="3"/>
  <c r="AM32" i="3"/>
  <c r="AH32" i="3"/>
  <c r="AP32" i="3"/>
  <c r="Q26" i="3"/>
  <c r="W27" i="3" s="1"/>
  <c r="AC27" i="3" s="1"/>
  <c r="AD27" i="3" s="1"/>
  <c r="U28" i="3"/>
  <c r="V28" i="3" s="1"/>
  <c r="AE26" i="3"/>
  <c r="AF26" i="3" s="1"/>
  <c r="A46" i="3"/>
  <c r="AG45" i="3"/>
  <c r="S29" i="3"/>
  <c r="AB28" i="3"/>
  <c r="X32" i="3"/>
  <c r="J31" i="3"/>
  <c r="M31" i="3" s="1"/>
  <c r="E31" i="3"/>
  <c r="D31" i="3"/>
  <c r="B33" i="3"/>
  <c r="T32" i="3"/>
  <c r="K32" i="3"/>
  <c r="C32" i="3"/>
  <c r="R29" i="3"/>
  <c r="F30" i="3"/>
  <c r="G30" i="3" s="1"/>
  <c r="H30" i="3" s="1"/>
  <c r="AR21" i="3" l="1"/>
  <c r="AQ21" i="3" s="1"/>
  <c r="AU21" i="3" s="1"/>
  <c r="BA29" i="3"/>
  <c r="AV21" i="3"/>
  <c r="O21" i="3"/>
  <c r="AM22" i="3" s="1"/>
  <c r="AN21" i="3"/>
  <c r="AA30" i="3"/>
  <c r="Z30" i="3"/>
  <c r="AP33" i="3"/>
  <c r="AB29" i="3"/>
  <c r="Q27" i="3"/>
  <c r="W28" i="3" s="1"/>
  <c r="AC28" i="3" s="1"/>
  <c r="AD28" i="3" s="1"/>
  <c r="AX33" i="3"/>
  <c r="AI33" i="3"/>
  <c r="AM33" i="3"/>
  <c r="AH33" i="3"/>
  <c r="U29" i="3"/>
  <c r="V29" i="3" s="1"/>
  <c r="AE27" i="3"/>
  <c r="AF27" i="3" s="1"/>
  <c r="A47" i="3"/>
  <c r="AG46" i="3"/>
  <c r="S30" i="3"/>
  <c r="X33" i="3"/>
  <c r="Y31" i="3"/>
  <c r="J32" i="3"/>
  <c r="M32" i="3" s="1"/>
  <c r="E32" i="3"/>
  <c r="D32" i="3"/>
  <c r="R30" i="3"/>
  <c r="B34" i="3"/>
  <c r="T33" i="3"/>
  <c r="K33" i="3"/>
  <c r="C33" i="3"/>
  <c r="F31" i="3"/>
  <c r="G31" i="3" s="1"/>
  <c r="H31" i="3" s="1"/>
  <c r="BA30" i="3" l="1"/>
  <c r="AW21" i="3"/>
  <c r="AS21" i="3"/>
  <c r="AO22" i="3"/>
  <c r="AT22" i="3"/>
  <c r="N22" i="3"/>
  <c r="AK22" i="3" s="1"/>
  <c r="P22" i="3"/>
  <c r="I22" i="3"/>
  <c r="AJ22" i="3" s="1"/>
  <c r="AL22" i="3"/>
  <c r="Z31" i="3"/>
  <c r="AA31" i="3"/>
  <c r="Q28" i="3"/>
  <c r="W29" i="3" s="1"/>
  <c r="AC29" i="3" s="1"/>
  <c r="AD29" i="3" s="1"/>
  <c r="AX34" i="3"/>
  <c r="AI34" i="3"/>
  <c r="AM34" i="3"/>
  <c r="AH34" i="3"/>
  <c r="AP34" i="3"/>
  <c r="AB30" i="3"/>
  <c r="U30" i="3"/>
  <c r="V30" i="3" s="1"/>
  <c r="AE28" i="3"/>
  <c r="AF28" i="3" s="1"/>
  <c r="F32" i="3"/>
  <c r="G32" i="3" s="1"/>
  <c r="H32" i="3" s="1"/>
  <c r="S31" i="3"/>
  <c r="A48" i="3"/>
  <c r="X34" i="3"/>
  <c r="Y32" i="3"/>
  <c r="R31" i="3"/>
  <c r="J33" i="3"/>
  <c r="M33" i="3" s="1"/>
  <c r="D33" i="3"/>
  <c r="E33" i="3"/>
  <c r="B35" i="3"/>
  <c r="AW35" i="3" s="1"/>
  <c r="T34" i="3"/>
  <c r="K34" i="3"/>
  <c r="C34" i="3"/>
  <c r="AR22" i="3" l="1"/>
  <c r="AQ22" i="3" s="1"/>
  <c r="AU22" i="3" s="1"/>
  <c r="BA31" i="3"/>
  <c r="AV22" i="3"/>
  <c r="O22" i="3"/>
  <c r="AN22" i="3"/>
  <c r="AM23" i="3"/>
  <c r="Z32" i="3"/>
  <c r="AA32" i="3"/>
  <c r="Q29" i="3"/>
  <c r="W30" i="3" s="1"/>
  <c r="AC30" i="3" s="1"/>
  <c r="AD30" i="3" s="1"/>
  <c r="AP35" i="3"/>
  <c r="AX35" i="3"/>
  <c r="AM35" i="3"/>
  <c r="AH35" i="3"/>
  <c r="AB31" i="3"/>
  <c r="U31" i="3"/>
  <c r="V31" i="3" s="1"/>
  <c r="AE29" i="3"/>
  <c r="AF29" i="3" s="1"/>
  <c r="F33" i="3"/>
  <c r="G33" i="3" s="1"/>
  <c r="H33" i="3" s="1"/>
  <c r="S32" i="3"/>
  <c r="A49" i="3"/>
  <c r="AG48" i="3"/>
  <c r="Y33" i="3"/>
  <c r="X35" i="3"/>
  <c r="T35" i="3"/>
  <c r="K35" i="3"/>
  <c r="B36" i="3"/>
  <c r="C35" i="3"/>
  <c r="E34" i="3"/>
  <c r="J34" i="3"/>
  <c r="M34" i="3" s="1"/>
  <c r="D34" i="3"/>
  <c r="R32" i="3"/>
  <c r="BA32" i="3" l="1"/>
  <c r="AW22" i="3"/>
  <c r="AS22" i="3"/>
  <c r="AO23" i="3"/>
  <c r="AL23" i="3"/>
  <c r="AT23" i="3"/>
  <c r="P23" i="3"/>
  <c r="N23" i="3"/>
  <c r="AK23" i="3" s="1"/>
  <c r="I23" i="3"/>
  <c r="AA33" i="3"/>
  <c r="Z33" i="3"/>
  <c r="Q30" i="3"/>
  <c r="W31" i="3" s="1"/>
  <c r="AC31" i="3" s="1"/>
  <c r="AD31" i="3" s="1"/>
  <c r="AI36" i="3"/>
  <c r="AX36" i="3"/>
  <c r="AM36" i="3"/>
  <c r="AH36" i="3"/>
  <c r="AP36" i="3"/>
  <c r="U32" i="3"/>
  <c r="V32" i="3" s="1"/>
  <c r="AB32" i="3"/>
  <c r="AE30" i="3"/>
  <c r="AF30" i="3" s="1"/>
  <c r="F34" i="3"/>
  <c r="G34" i="3" s="1"/>
  <c r="H34" i="3" s="1"/>
  <c r="S33" i="3"/>
  <c r="A50" i="3"/>
  <c r="AG49" i="3"/>
  <c r="Y34" i="3"/>
  <c r="X36" i="3"/>
  <c r="R33" i="3"/>
  <c r="D35" i="3"/>
  <c r="E35" i="3"/>
  <c r="J35" i="3"/>
  <c r="M35" i="3" s="1"/>
  <c r="B37" i="3"/>
  <c r="T36" i="3"/>
  <c r="K36" i="3"/>
  <c r="C36" i="3"/>
  <c r="AR23" i="3" l="1"/>
  <c r="AQ23" i="3" s="1"/>
  <c r="AU23" i="3" s="1"/>
  <c r="BA33" i="3"/>
  <c r="AV23" i="3"/>
  <c r="O23" i="3"/>
  <c r="AM24" i="3" s="1"/>
  <c r="AJ23" i="3"/>
  <c r="AN23" i="3" s="1"/>
  <c r="AA34" i="3"/>
  <c r="Z34" i="3"/>
  <c r="AP37" i="3"/>
  <c r="Q31" i="3"/>
  <c r="W32" i="3" s="1"/>
  <c r="AC32" i="3" s="1"/>
  <c r="AD32" i="3" s="1"/>
  <c r="AX37" i="3"/>
  <c r="AI37" i="3"/>
  <c r="AM37" i="3"/>
  <c r="AH37" i="3"/>
  <c r="Y35" i="3"/>
  <c r="U33" i="3"/>
  <c r="V33" i="3" s="1"/>
  <c r="AE31" i="3"/>
  <c r="AF31" i="3" s="1"/>
  <c r="F35" i="3"/>
  <c r="G35" i="3" s="1"/>
  <c r="H35" i="3" s="1"/>
  <c r="S34" i="3"/>
  <c r="AB33" i="3"/>
  <c r="A51" i="3"/>
  <c r="AG50" i="3"/>
  <c r="X37" i="3"/>
  <c r="B38" i="3"/>
  <c r="T37" i="3"/>
  <c r="K37" i="3"/>
  <c r="C37" i="3"/>
  <c r="D36" i="3"/>
  <c r="E36" i="3"/>
  <c r="J36" i="3"/>
  <c r="M36" i="3" s="1"/>
  <c r="R34" i="3"/>
  <c r="BA34" i="3" l="1"/>
  <c r="I24" i="3"/>
  <c r="AJ24" i="3" s="1"/>
  <c r="AO24" i="3"/>
  <c r="AT24" i="3"/>
  <c r="AS23" i="3"/>
  <c r="P24" i="3"/>
  <c r="AL24" i="3"/>
  <c r="N24" i="3"/>
  <c r="AK24" i="3" s="1"/>
  <c r="Z35" i="3"/>
  <c r="AA35" i="3"/>
  <c r="Q32" i="3"/>
  <c r="W33" i="3" s="1"/>
  <c r="AC33" i="3" s="1"/>
  <c r="AD33" i="3" s="1"/>
  <c r="Y36" i="3"/>
  <c r="AI38" i="3"/>
  <c r="AX38" i="3"/>
  <c r="AM38" i="3"/>
  <c r="AH38" i="3"/>
  <c r="AP38" i="3"/>
  <c r="AB34" i="3"/>
  <c r="U34" i="3"/>
  <c r="V34" i="3" s="1"/>
  <c r="AE32" i="3"/>
  <c r="AF32" i="3" s="1"/>
  <c r="S35" i="3"/>
  <c r="A52" i="3"/>
  <c r="AG51" i="3"/>
  <c r="X38" i="3"/>
  <c r="B39" i="3"/>
  <c r="T38" i="3"/>
  <c r="K38" i="3"/>
  <c r="C38" i="3"/>
  <c r="E37" i="3"/>
  <c r="J37" i="3"/>
  <c r="M37" i="3" s="1"/>
  <c r="D37" i="3"/>
  <c r="F36" i="3"/>
  <c r="G36" i="3" s="1"/>
  <c r="H36" i="3" s="1"/>
  <c r="R35" i="3"/>
  <c r="AR24" i="3" l="1"/>
  <c r="AQ24" i="3" s="1"/>
  <c r="AU24" i="3" s="1"/>
  <c r="BA35" i="3"/>
  <c r="AV24" i="3"/>
  <c r="AN24" i="3"/>
  <c r="O24" i="3"/>
  <c r="AO25" i="3" s="1"/>
  <c r="AA36" i="3"/>
  <c r="Z36" i="3"/>
  <c r="Q33" i="3"/>
  <c r="W34" i="3" s="1"/>
  <c r="AC34" i="3" s="1"/>
  <c r="AD34" i="3" s="1"/>
  <c r="AP39" i="3"/>
  <c r="AI39" i="3"/>
  <c r="AX39" i="3"/>
  <c r="AM39" i="3"/>
  <c r="AH39" i="3"/>
  <c r="U35" i="3"/>
  <c r="V35" i="3" s="1"/>
  <c r="AE33" i="3"/>
  <c r="AF33" i="3" s="1"/>
  <c r="A53" i="3"/>
  <c r="AG52" i="3"/>
  <c r="S36" i="3"/>
  <c r="AB35" i="3"/>
  <c r="Y37" i="3"/>
  <c r="X39" i="3"/>
  <c r="F37" i="3"/>
  <c r="G37" i="3" s="1"/>
  <c r="H37" i="3" s="1"/>
  <c r="R36" i="3"/>
  <c r="B40" i="3"/>
  <c r="T39" i="3"/>
  <c r="K39" i="3"/>
  <c r="C39" i="3"/>
  <c r="D38" i="3"/>
  <c r="J38" i="3"/>
  <c r="M38" i="3" s="1"/>
  <c r="E38" i="3"/>
  <c r="AW24" i="3" l="1"/>
  <c r="BA36" i="3"/>
  <c r="AL25" i="3"/>
  <c r="AS24" i="3"/>
  <c r="AT25" i="3"/>
  <c r="N25" i="3"/>
  <c r="AK25" i="3" s="1"/>
  <c r="I25" i="3"/>
  <c r="AJ25" i="3" s="1"/>
  <c r="P25" i="3"/>
  <c r="AA37" i="3"/>
  <c r="Z37" i="3"/>
  <c r="Q34" i="3"/>
  <c r="W35" i="3" s="1"/>
  <c r="AC35" i="3" s="1"/>
  <c r="AD35" i="3" s="1"/>
  <c r="AX40" i="3"/>
  <c r="AI40" i="3"/>
  <c r="AM40" i="3"/>
  <c r="AH40" i="3"/>
  <c r="AP40" i="3"/>
  <c r="U36" i="3"/>
  <c r="V36" i="3" s="1"/>
  <c r="AE34" i="3"/>
  <c r="AF34" i="3" s="1"/>
  <c r="F38" i="3"/>
  <c r="G38" i="3" s="1"/>
  <c r="H38" i="3" s="1"/>
  <c r="S37" i="3"/>
  <c r="AB36" i="3"/>
  <c r="A54" i="3"/>
  <c r="AG53" i="3"/>
  <c r="Y38" i="3"/>
  <c r="X40" i="3"/>
  <c r="T40" i="3"/>
  <c r="K40" i="3"/>
  <c r="C40" i="3"/>
  <c r="B41" i="3"/>
  <c r="D39" i="3"/>
  <c r="E39" i="3"/>
  <c r="J39" i="3"/>
  <c r="M39" i="3" s="1"/>
  <c r="R37" i="3"/>
  <c r="AR25" i="3" l="1"/>
  <c r="AQ25" i="3" s="1"/>
  <c r="AU25" i="3" s="1"/>
  <c r="BA37" i="3"/>
  <c r="AN25" i="3"/>
  <c r="AV25" i="3"/>
  <c r="O25" i="3"/>
  <c r="AO26" i="3" s="1"/>
  <c r="AA38" i="3"/>
  <c r="Z38" i="3"/>
  <c r="Q35" i="3"/>
  <c r="W36" i="3" s="1"/>
  <c r="AC36" i="3" s="1"/>
  <c r="AD36" i="3" s="1"/>
  <c r="AP41" i="3"/>
  <c r="AX41" i="3"/>
  <c r="AI41" i="3"/>
  <c r="AM41" i="3"/>
  <c r="AH41" i="3"/>
  <c r="AB37" i="3"/>
  <c r="U37" i="3"/>
  <c r="V37" i="3" s="1"/>
  <c r="AE35" i="3"/>
  <c r="AF35" i="3" s="1"/>
  <c r="S38" i="3"/>
  <c r="A55" i="3"/>
  <c r="AG54" i="3"/>
  <c r="Y39" i="3"/>
  <c r="X41" i="3"/>
  <c r="B42" i="3"/>
  <c r="T41" i="3"/>
  <c r="K41" i="3"/>
  <c r="C41" i="3"/>
  <c r="F39" i="3"/>
  <c r="G39" i="3" s="1"/>
  <c r="H39" i="3" s="1"/>
  <c r="R38" i="3"/>
  <c r="J40" i="3"/>
  <c r="M40" i="3" s="1"/>
  <c r="E40" i="3"/>
  <c r="D40" i="3"/>
  <c r="BA38" i="3" l="1"/>
  <c r="AW25" i="3"/>
  <c r="AT26" i="3"/>
  <c r="AL26" i="3"/>
  <c r="AS25" i="3"/>
  <c r="P26" i="3"/>
  <c r="I26" i="3"/>
  <c r="AJ26" i="3" s="1"/>
  <c r="N26" i="3"/>
  <c r="AK26" i="3" s="1"/>
  <c r="Z39" i="3"/>
  <c r="AA39" i="3"/>
  <c r="AI42" i="3"/>
  <c r="AX42" i="3"/>
  <c r="AM42" i="3"/>
  <c r="AH42" i="3"/>
  <c r="AP42" i="3"/>
  <c r="AG35" i="3"/>
  <c r="AI35" i="3" s="1"/>
  <c r="Q36" i="3" s="1"/>
  <c r="U38" i="3"/>
  <c r="V38" i="3" s="1"/>
  <c r="AE36" i="3"/>
  <c r="AF36" i="3" s="1"/>
  <c r="AB38" i="3"/>
  <c r="A56" i="3"/>
  <c r="AG55" i="3"/>
  <c r="F40" i="3"/>
  <c r="G40" i="3" s="1"/>
  <c r="H40" i="3" s="1"/>
  <c r="S39" i="3"/>
  <c r="Y40" i="3"/>
  <c r="X42" i="3"/>
  <c r="R39" i="3"/>
  <c r="B43" i="3"/>
  <c r="T42" i="3"/>
  <c r="K42" i="3"/>
  <c r="C42" i="3"/>
  <c r="D41" i="3"/>
  <c r="E41" i="3"/>
  <c r="J41" i="3"/>
  <c r="M41" i="3" s="1"/>
  <c r="AR26" i="3" l="1"/>
  <c r="AQ26" i="3" s="1"/>
  <c r="AU26" i="3" s="1"/>
  <c r="BA39" i="3"/>
  <c r="AV26" i="3"/>
  <c r="O26" i="3"/>
  <c r="AO27" i="3" s="1"/>
  <c r="AN26" i="3"/>
  <c r="Z40" i="3"/>
  <c r="AA40" i="3"/>
  <c r="AB39" i="3"/>
  <c r="AP43" i="3"/>
  <c r="AX43" i="3"/>
  <c r="AI43" i="3"/>
  <c r="AM43" i="3"/>
  <c r="AH43" i="3"/>
  <c r="W37" i="3"/>
  <c r="AC37" i="3" s="1"/>
  <c r="AD37" i="3" s="1"/>
  <c r="Q37" i="3"/>
  <c r="W38" i="3" s="1"/>
  <c r="AC38" i="3" s="1"/>
  <c r="AD38" i="3" s="1"/>
  <c r="U39" i="3"/>
  <c r="V39" i="3" s="1"/>
  <c r="S40" i="3"/>
  <c r="A57" i="3"/>
  <c r="AG56" i="3"/>
  <c r="Y41" i="3"/>
  <c r="X43" i="3"/>
  <c r="B44" i="3"/>
  <c r="T43" i="3"/>
  <c r="K43" i="3"/>
  <c r="C43" i="3"/>
  <c r="D42" i="3"/>
  <c r="E42" i="3"/>
  <c r="J42" i="3"/>
  <c r="M42" i="3" s="1"/>
  <c r="F41" i="3"/>
  <c r="G41" i="3" s="1"/>
  <c r="H41" i="3" s="1"/>
  <c r="R40" i="3"/>
  <c r="AW26" i="3" l="1"/>
  <c r="BA40" i="3"/>
  <c r="AE37" i="3"/>
  <c r="AF37" i="3" s="1"/>
  <c r="AL27" i="3"/>
  <c r="I27" i="3"/>
  <c r="AJ27" i="3" s="1"/>
  <c r="AS26" i="3"/>
  <c r="N27" i="3"/>
  <c r="AK27" i="3" s="1"/>
  <c r="P27" i="3"/>
  <c r="AT27" i="3"/>
  <c r="F42" i="3"/>
  <c r="G42" i="3" s="1"/>
  <c r="H42" i="3" s="1"/>
  <c r="AA41" i="3"/>
  <c r="Z41" i="3"/>
  <c r="Y42" i="3"/>
  <c r="AX44" i="3"/>
  <c r="AI44" i="3"/>
  <c r="AM44" i="3"/>
  <c r="AH44" i="3"/>
  <c r="Q38" i="3"/>
  <c r="W39" i="3" s="1"/>
  <c r="AC39" i="3" s="1"/>
  <c r="AD39" i="3" s="1"/>
  <c r="AP44" i="3"/>
  <c r="U40" i="3"/>
  <c r="V40" i="3" s="1"/>
  <c r="AE38" i="3"/>
  <c r="AF38" i="3" s="1"/>
  <c r="A58" i="3"/>
  <c r="AG57" i="3"/>
  <c r="AB40" i="3"/>
  <c r="S41" i="3"/>
  <c r="X44" i="3"/>
  <c r="B45" i="3"/>
  <c r="T44" i="3"/>
  <c r="K44" i="3"/>
  <c r="C44" i="3"/>
  <c r="R41" i="3"/>
  <c r="E43" i="3"/>
  <c r="D43" i="3"/>
  <c r="J43" i="3"/>
  <c r="M43" i="3" s="1"/>
  <c r="AR27" i="3" l="1"/>
  <c r="AQ27" i="3" s="1"/>
  <c r="AU27" i="3" s="1"/>
  <c r="BA41" i="3"/>
  <c r="AV27" i="3"/>
  <c r="O27" i="3"/>
  <c r="AO28" i="3" s="1"/>
  <c r="AN27" i="3"/>
  <c r="AA42" i="3"/>
  <c r="Z42" i="3"/>
  <c r="Q39" i="3"/>
  <c r="W40" i="3" s="1"/>
  <c r="AC40" i="3" s="1"/>
  <c r="AD40" i="3" s="1"/>
  <c r="AX45" i="3"/>
  <c r="AI45" i="3"/>
  <c r="AM45" i="3"/>
  <c r="AH45" i="3"/>
  <c r="AP45" i="3"/>
  <c r="U41" i="3"/>
  <c r="V41" i="3" s="1"/>
  <c r="AB41" i="3"/>
  <c r="AE39" i="3"/>
  <c r="AF39" i="3" s="1"/>
  <c r="S42" i="3"/>
  <c r="A59" i="3"/>
  <c r="AG58" i="3"/>
  <c r="X45" i="3"/>
  <c r="Y43" i="3"/>
  <c r="B46" i="3"/>
  <c r="T45" i="3"/>
  <c r="K45" i="3"/>
  <c r="C45" i="3"/>
  <c r="F43" i="3"/>
  <c r="G43" i="3" s="1"/>
  <c r="H43" i="3" s="1"/>
  <c r="R42" i="3"/>
  <c r="E44" i="3"/>
  <c r="D44" i="3"/>
  <c r="J44" i="3"/>
  <c r="M44" i="3" s="1"/>
  <c r="BA42" i="3" l="1"/>
  <c r="AW27" i="3"/>
  <c r="I28" i="3"/>
  <c r="AJ28" i="3" s="1"/>
  <c r="AS27" i="3"/>
  <c r="AL28" i="3"/>
  <c r="AT28" i="3"/>
  <c r="P28" i="3"/>
  <c r="N28" i="3"/>
  <c r="AK28" i="3" s="1"/>
  <c r="Z43" i="3"/>
  <c r="AA43" i="3"/>
  <c r="AP46" i="3"/>
  <c r="Q40" i="3"/>
  <c r="W41" i="3" s="1"/>
  <c r="AC41" i="3" s="1"/>
  <c r="AD41" i="3" s="1"/>
  <c r="AI46" i="3"/>
  <c r="AX46" i="3"/>
  <c r="AM46" i="3"/>
  <c r="AH46" i="3"/>
  <c r="U42" i="3"/>
  <c r="V42" i="3" s="1"/>
  <c r="AB42" i="3"/>
  <c r="AE40" i="3"/>
  <c r="AF40" i="3" s="1"/>
  <c r="A60" i="3"/>
  <c r="F44" i="3"/>
  <c r="G44" i="3" s="1"/>
  <c r="H44" i="3" s="1"/>
  <c r="S43" i="3"/>
  <c r="X46" i="3"/>
  <c r="Y44" i="3"/>
  <c r="B47" i="3"/>
  <c r="AW47" i="3" s="1"/>
  <c r="T46" i="3"/>
  <c r="K46" i="3"/>
  <c r="C46" i="3"/>
  <c r="R43" i="3"/>
  <c r="D45" i="3"/>
  <c r="E45" i="3"/>
  <c r="J45" i="3"/>
  <c r="M45" i="3" s="1"/>
  <c r="AR28" i="3" l="1"/>
  <c r="AQ28" i="3" s="1"/>
  <c r="AU28" i="3" s="1"/>
  <c r="BA43" i="3"/>
  <c r="AV28" i="3"/>
  <c r="O28" i="3"/>
  <c r="AO29" i="3" s="1"/>
  <c r="AN28" i="3"/>
  <c r="Z44" i="3"/>
  <c r="AA44" i="3"/>
  <c r="Q41" i="3"/>
  <c r="W42" i="3" s="1"/>
  <c r="AC42" i="3" s="1"/>
  <c r="AD42" i="3" s="1"/>
  <c r="AX47" i="3"/>
  <c r="AM47" i="3"/>
  <c r="AH47" i="3"/>
  <c r="AP47" i="3"/>
  <c r="U43" i="3"/>
  <c r="V43" i="3" s="1"/>
  <c r="AE41" i="3"/>
  <c r="AF41" i="3" s="1"/>
  <c r="S44" i="3"/>
  <c r="A61" i="3"/>
  <c r="AG60" i="3"/>
  <c r="AB43" i="3"/>
  <c r="X47" i="3"/>
  <c r="Y45" i="3"/>
  <c r="B48" i="3"/>
  <c r="T47" i="3"/>
  <c r="K47" i="3"/>
  <c r="C47" i="3"/>
  <c r="D46" i="3"/>
  <c r="E46" i="3"/>
  <c r="J46" i="3"/>
  <c r="M46" i="3" s="1"/>
  <c r="F45" i="3"/>
  <c r="G45" i="3" s="1"/>
  <c r="H45" i="3" s="1"/>
  <c r="R44" i="3"/>
  <c r="AW28" i="3" l="1"/>
  <c r="BA44" i="3"/>
  <c r="AL29" i="3"/>
  <c r="N29" i="3"/>
  <c r="AK29" i="3" s="1"/>
  <c r="AS28" i="3"/>
  <c r="AT29" i="3"/>
  <c r="I29" i="3"/>
  <c r="AJ29" i="3" s="1"/>
  <c r="P29" i="3"/>
  <c r="AA45" i="3"/>
  <c r="Z45" i="3"/>
  <c r="AP48" i="3"/>
  <c r="Q42" i="3"/>
  <c r="W43" i="3" s="1"/>
  <c r="AC43" i="3" s="1"/>
  <c r="AD43" i="3" s="1"/>
  <c r="AX48" i="3"/>
  <c r="AI48" i="3"/>
  <c r="AM48" i="3"/>
  <c r="AH48" i="3"/>
  <c r="U44" i="3"/>
  <c r="V44" i="3" s="1"/>
  <c r="AE42" i="3"/>
  <c r="AF42" i="3" s="1"/>
  <c r="A62" i="3"/>
  <c r="AG61" i="3"/>
  <c r="AB44" i="3"/>
  <c r="F46" i="3"/>
  <c r="G46" i="3" s="1"/>
  <c r="H46" i="3" s="1"/>
  <c r="S45" i="3"/>
  <c r="X48" i="3"/>
  <c r="Y46" i="3"/>
  <c r="E47" i="3"/>
  <c r="D47" i="3"/>
  <c r="J47" i="3"/>
  <c r="M47" i="3" s="1"/>
  <c r="R45" i="3"/>
  <c r="B49" i="3"/>
  <c r="T48" i="3"/>
  <c r="K48" i="3"/>
  <c r="C48" i="3"/>
  <c r="AR29" i="3" l="1"/>
  <c r="AQ29" i="3" s="1"/>
  <c r="AU29" i="3" s="1"/>
  <c r="BA45" i="3"/>
  <c r="AV29" i="3"/>
  <c r="AN29" i="3"/>
  <c r="O29" i="3"/>
  <c r="AO30" i="3" s="1"/>
  <c r="AA46" i="3"/>
  <c r="Z46" i="3"/>
  <c r="AP49" i="3"/>
  <c r="Q43" i="3"/>
  <c r="W44" i="3" s="1"/>
  <c r="AC44" i="3" s="1"/>
  <c r="AD44" i="3" s="1"/>
  <c r="AX49" i="3"/>
  <c r="AI49" i="3"/>
  <c r="AM49" i="3"/>
  <c r="AH49" i="3"/>
  <c r="U45" i="3"/>
  <c r="V45" i="3" s="1"/>
  <c r="AE43" i="3"/>
  <c r="AF43" i="3" s="1"/>
  <c r="A63" i="3"/>
  <c r="AG62" i="3"/>
  <c r="AB45" i="3"/>
  <c r="S46" i="3"/>
  <c r="X49" i="3"/>
  <c r="Y47" i="3"/>
  <c r="F47" i="3"/>
  <c r="G47" i="3" s="1"/>
  <c r="H47" i="3" s="1"/>
  <c r="R46" i="3"/>
  <c r="B50" i="3"/>
  <c r="T49" i="3"/>
  <c r="K49" i="3"/>
  <c r="C49" i="3"/>
  <c r="J48" i="3"/>
  <c r="M48" i="3" s="1"/>
  <c r="E48" i="3"/>
  <c r="D48" i="3"/>
  <c r="BA46" i="3" l="1"/>
  <c r="AW29" i="3"/>
  <c r="AT30" i="3"/>
  <c r="AL30" i="3"/>
  <c r="I30" i="3"/>
  <c r="AJ30" i="3" s="1"/>
  <c r="N30" i="3"/>
  <c r="AK30" i="3" s="1"/>
  <c r="P30" i="3"/>
  <c r="AS29" i="3"/>
  <c r="F48" i="3"/>
  <c r="G48" i="3" s="1"/>
  <c r="H48" i="3" s="1"/>
  <c r="AA47" i="3"/>
  <c r="Z47" i="3"/>
  <c r="Q44" i="3"/>
  <c r="W45" i="3" s="1"/>
  <c r="AC45" i="3" s="1"/>
  <c r="AD45" i="3" s="1"/>
  <c r="Y48" i="3"/>
  <c r="AX50" i="3"/>
  <c r="AI50" i="3"/>
  <c r="AM50" i="3"/>
  <c r="AH50" i="3"/>
  <c r="AP50" i="3"/>
  <c r="AB46" i="3"/>
  <c r="U46" i="3"/>
  <c r="V46" i="3" s="1"/>
  <c r="AE44" i="3"/>
  <c r="AF44" i="3" s="1"/>
  <c r="S47" i="3"/>
  <c r="A64" i="3"/>
  <c r="AG63" i="3"/>
  <c r="X50" i="3"/>
  <c r="R47" i="3"/>
  <c r="D49" i="3"/>
  <c r="J49" i="3"/>
  <c r="M49" i="3" s="1"/>
  <c r="E49" i="3"/>
  <c r="B51" i="3"/>
  <c r="T50" i="3"/>
  <c r="K50" i="3"/>
  <c r="C50" i="3"/>
  <c r="AR30" i="3" l="1"/>
  <c r="AQ30" i="3" s="1"/>
  <c r="AU30" i="3" s="1"/>
  <c r="BA47" i="3"/>
  <c r="AV30" i="3"/>
  <c r="AN30" i="3"/>
  <c r="O30" i="3"/>
  <c r="AO31" i="3" s="1"/>
  <c r="AA48" i="3"/>
  <c r="Z48" i="3"/>
  <c r="Q45" i="3"/>
  <c r="W46" i="3" s="1"/>
  <c r="AC46" i="3" s="1"/>
  <c r="AD46" i="3" s="1"/>
  <c r="AP51" i="3"/>
  <c r="AI51" i="3"/>
  <c r="AX51" i="3"/>
  <c r="AM51" i="3"/>
  <c r="AH51" i="3"/>
  <c r="AB47" i="3"/>
  <c r="U47" i="3"/>
  <c r="V47" i="3" s="1"/>
  <c r="AE45" i="3"/>
  <c r="AF45" i="3" s="1"/>
  <c r="Y49" i="3"/>
  <c r="S48" i="3"/>
  <c r="A65" i="3"/>
  <c r="AG64" i="3"/>
  <c r="X51" i="3"/>
  <c r="B52" i="3"/>
  <c r="T51" i="3"/>
  <c r="K51" i="3"/>
  <c r="C51" i="3"/>
  <c r="D50" i="3"/>
  <c r="E50" i="3"/>
  <c r="J50" i="3"/>
  <c r="M50" i="3" s="1"/>
  <c r="F49" i="3"/>
  <c r="G49" i="3" s="1"/>
  <c r="H49" i="3" s="1"/>
  <c r="R48" i="3"/>
  <c r="AW30" i="3" l="1"/>
  <c r="BA48" i="3"/>
  <c r="I31" i="3"/>
  <c r="AJ31" i="3" s="1"/>
  <c r="AL31" i="3"/>
  <c r="AT31" i="3"/>
  <c r="P31" i="3"/>
  <c r="AS30" i="3"/>
  <c r="N31" i="3"/>
  <c r="AK31" i="3" s="1"/>
  <c r="Z49" i="3"/>
  <c r="AA49" i="3"/>
  <c r="Q46" i="3"/>
  <c r="W47" i="3" s="1"/>
  <c r="AC47" i="3" s="1"/>
  <c r="AD47" i="3" s="1"/>
  <c r="AX52" i="3"/>
  <c r="AI52" i="3"/>
  <c r="AM52" i="3"/>
  <c r="AH52" i="3"/>
  <c r="AP52" i="3"/>
  <c r="Y50" i="3"/>
  <c r="AB48" i="3"/>
  <c r="U48" i="3"/>
  <c r="V48" i="3" s="1"/>
  <c r="AE46" i="3"/>
  <c r="AF46" i="3" s="1"/>
  <c r="F50" i="3"/>
  <c r="G50" i="3" s="1"/>
  <c r="H50" i="3" s="1"/>
  <c r="S49" i="3"/>
  <c r="A66" i="3"/>
  <c r="AG65" i="3"/>
  <c r="X52" i="3"/>
  <c r="B53" i="3"/>
  <c r="T52" i="3"/>
  <c r="K52" i="3"/>
  <c r="C52" i="3"/>
  <c r="R49" i="3"/>
  <c r="E51" i="3"/>
  <c r="J51" i="3"/>
  <c r="M51" i="3" s="1"/>
  <c r="D51" i="3"/>
  <c r="AR31" i="3" l="1"/>
  <c r="AQ31" i="3" s="1"/>
  <c r="AU31" i="3" s="1"/>
  <c r="BA49" i="3"/>
  <c r="AV31" i="3"/>
  <c r="O31" i="3"/>
  <c r="AO32" i="3" s="1"/>
  <c r="AN31" i="3"/>
  <c r="AA50" i="3"/>
  <c r="Z50" i="3"/>
  <c r="Q47" i="3"/>
  <c r="W48" i="3" s="1"/>
  <c r="AC48" i="3" s="1"/>
  <c r="AD48" i="3" s="1"/>
  <c r="AX53" i="3"/>
  <c r="AI53" i="3"/>
  <c r="AM53" i="3"/>
  <c r="AH53" i="3"/>
  <c r="AP53" i="3"/>
  <c r="U49" i="3"/>
  <c r="V49" i="3" s="1"/>
  <c r="AB49" i="3"/>
  <c r="AE47" i="3"/>
  <c r="AF47" i="3" s="1"/>
  <c r="S50" i="3"/>
  <c r="A67" i="3"/>
  <c r="AG66" i="3"/>
  <c r="X53" i="3"/>
  <c r="Y51" i="3"/>
  <c r="F51" i="3"/>
  <c r="G51" i="3" s="1"/>
  <c r="H51" i="3" s="1"/>
  <c r="R50" i="3"/>
  <c r="B54" i="3"/>
  <c r="T53" i="3"/>
  <c r="K53" i="3"/>
  <c r="C53" i="3"/>
  <c r="E52" i="3"/>
  <c r="D52" i="3"/>
  <c r="J52" i="3"/>
  <c r="M52" i="3" s="1"/>
  <c r="BA50" i="3" l="1"/>
  <c r="AW31" i="3"/>
  <c r="P32" i="3"/>
  <c r="AL32" i="3"/>
  <c r="AS31" i="3"/>
  <c r="N32" i="3"/>
  <c r="AK32" i="3" s="1"/>
  <c r="I32" i="3"/>
  <c r="AJ32" i="3" s="1"/>
  <c r="AT32" i="3"/>
  <c r="AA51" i="3"/>
  <c r="Z51" i="3"/>
  <c r="AP54" i="3"/>
  <c r="AI54" i="3"/>
  <c r="AX54" i="3"/>
  <c r="AM54" i="3"/>
  <c r="AH54" i="3"/>
  <c r="AG47" i="3"/>
  <c r="AI47" i="3" s="1"/>
  <c r="Q48" i="3" s="1"/>
  <c r="AB50" i="3"/>
  <c r="U50" i="3"/>
  <c r="V50" i="3" s="1"/>
  <c r="AE48" i="3"/>
  <c r="AF48" i="3" s="1"/>
  <c r="F52" i="3"/>
  <c r="G52" i="3" s="1"/>
  <c r="H52" i="3" s="1"/>
  <c r="S51" i="3"/>
  <c r="A68" i="3"/>
  <c r="AG67" i="3"/>
  <c r="Y52" i="3"/>
  <c r="X54" i="3"/>
  <c r="R51" i="3"/>
  <c r="B55" i="3"/>
  <c r="T54" i="3"/>
  <c r="K54" i="3"/>
  <c r="C54" i="3"/>
  <c r="E53" i="3"/>
  <c r="J53" i="3"/>
  <c r="M53" i="3" s="1"/>
  <c r="D53" i="3"/>
  <c r="AR32" i="3" l="1"/>
  <c r="AQ32" i="3" s="1"/>
  <c r="AU32" i="3" s="1"/>
  <c r="BA51" i="3"/>
  <c r="AV32" i="3"/>
  <c r="AN32" i="3"/>
  <c r="O32" i="3"/>
  <c r="AO33" i="3" s="1"/>
  <c r="AA52" i="3"/>
  <c r="Z52" i="3"/>
  <c r="AI55" i="3"/>
  <c r="AX55" i="3"/>
  <c r="AM55" i="3"/>
  <c r="AH55" i="3"/>
  <c r="AP55" i="3"/>
  <c r="U51" i="3"/>
  <c r="V51" i="3" s="1"/>
  <c r="AB51" i="3"/>
  <c r="W49" i="3"/>
  <c r="AC49" i="3" s="1"/>
  <c r="AD49" i="3" s="1"/>
  <c r="Q49" i="3"/>
  <c r="W50" i="3" s="1"/>
  <c r="AC50" i="3" s="1"/>
  <c r="AD50" i="3" s="1"/>
  <c r="A69" i="3"/>
  <c r="AG68" i="3"/>
  <c r="S52" i="3"/>
  <c r="X55" i="3"/>
  <c r="Y53" i="3"/>
  <c r="D54" i="3"/>
  <c r="J54" i="3"/>
  <c r="M54" i="3" s="1"/>
  <c r="E54" i="3"/>
  <c r="B56" i="3"/>
  <c r="T55" i="3"/>
  <c r="K55" i="3"/>
  <c r="C55" i="3"/>
  <c r="F53" i="3"/>
  <c r="G53" i="3" s="1"/>
  <c r="H53" i="3" s="1"/>
  <c r="R52" i="3"/>
  <c r="BA52" i="3" l="1"/>
  <c r="AW32" i="3"/>
  <c r="AE49" i="3"/>
  <c r="AF49" i="3" s="1"/>
  <c r="AL33" i="3"/>
  <c r="AS32" i="3"/>
  <c r="P33" i="3"/>
  <c r="AT33" i="3"/>
  <c r="I33" i="3"/>
  <c r="AJ33" i="3" s="1"/>
  <c r="N33" i="3"/>
  <c r="AK33" i="3" s="1"/>
  <c r="AA53" i="3"/>
  <c r="Z53" i="3"/>
  <c r="Y54" i="3"/>
  <c r="AP56" i="3"/>
  <c r="AX56" i="3"/>
  <c r="AI56" i="3"/>
  <c r="AM56" i="3"/>
  <c r="AH56" i="3"/>
  <c r="Q50" i="3"/>
  <c r="W51" i="3" s="1"/>
  <c r="AC51" i="3" s="1"/>
  <c r="AD51" i="3" s="1"/>
  <c r="U52" i="3"/>
  <c r="V52" i="3" s="1"/>
  <c r="AE50" i="3"/>
  <c r="AF50" i="3" s="1"/>
  <c r="A70" i="3"/>
  <c r="AG69" i="3"/>
  <c r="AB52" i="3"/>
  <c r="S53" i="3"/>
  <c r="X56" i="3"/>
  <c r="D55" i="3"/>
  <c r="E55" i="3"/>
  <c r="J55" i="3"/>
  <c r="M55" i="3" s="1"/>
  <c r="R53" i="3"/>
  <c r="F54" i="3"/>
  <c r="G54" i="3" s="1"/>
  <c r="H54" i="3" s="1"/>
  <c r="B57" i="3"/>
  <c r="T56" i="3"/>
  <c r="K56" i="3"/>
  <c r="C56" i="3"/>
  <c r="AR33" i="3" l="1"/>
  <c r="AQ33" i="3" s="1"/>
  <c r="AU33" i="3" s="1"/>
  <c r="BA53" i="3"/>
  <c r="AV33" i="3"/>
  <c r="AN33" i="3"/>
  <c r="O33" i="3"/>
  <c r="AO34" i="3" s="1"/>
  <c r="AA54" i="3"/>
  <c r="Z54" i="3"/>
  <c r="U53" i="3"/>
  <c r="V53" i="3" s="1"/>
  <c r="AX57" i="3"/>
  <c r="AI57" i="3"/>
  <c r="AM57" i="3"/>
  <c r="AH57" i="3"/>
  <c r="Q51" i="3"/>
  <c r="W52" i="3" s="1"/>
  <c r="AC52" i="3" s="1"/>
  <c r="AD52" i="3" s="1"/>
  <c r="AP57" i="3"/>
  <c r="AE51" i="3"/>
  <c r="AF51" i="3" s="1"/>
  <c r="S54" i="3"/>
  <c r="AB53" i="3"/>
  <c r="A71" i="3"/>
  <c r="AG70" i="3"/>
  <c r="Y55" i="3"/>
  <c r="X57" i="3"/>
  <c r="B58" i="3"/>
  <c r="T57" i="3"/>
  <c r="K57" i="3"/>
  <c r="C57" i="3"/>
  <c r="F55" i="3"/>
  <c r="G55" i="3" s="1"/>
  <c r="H55" i="3" s="1"/>
  <c r="R54" i="3"/>
  <c r="J56" i="3"/>
  <c r="M56" i="3" s="1"/>
  <c r="E56" i="3"/>
  <c r="D56" i="3"/>
  <c r="BA54" i="3" l="1"/>
  <c r="AW33" i="3"/>
  <c r="AT34" i="3"/>
  <c r="AL34" i="3"/>
  <c r="AS33" i="3"/>
  <c r="P34" i="3"/>
  <c r="N34" i="3"/>
  <c r="AK34" i="3" s="1"/>
  <c r="I34" i="3"/>
  <c r="AJ34" i="3" s="1"/>
  <c r="F56" i="3"/>
  <c r="G56" i="3" s="1"/>
  <c r="H56" i="3" s="1"/>
  <c r="Z55" i="3"/>
  <c r="AA55" i="3"/>
  <c r="AX58" i="3"/>
  <c r="AI58" i="3"/>
  <c r="AM58" i="3"/>
  <c r="AH58" i="3"/>
  <c r="AP58" i="3"/>
  <c r="Q52" i="3"/>
  <c r="W53" i="3" s="1"/>
  <c r="AC53" i="3" s="1"/>
  <c r="AD53" i="3" s="1"/>
  <c r="AB54" i="3"/>
  <c r="U54" i="3"/>
  <c r="V54" i="3" s="1"/>
  <c r="AE52" i="3"/>
  <c r="AF52" i="3" s="1"/>
  <c r="S55" i="3"/>
  <c r="Y56" i="3"/>
  <c r="A72" i="3"/>
  <c r="X58" i="3"/>
  <c r="R55" i="3"/>
  <c r="B59" i="3"/>
  <c r="AW59" i="3" s="1"/>
  <c r="T58" i="3"/>
  <c r="K58" i="3"/>
  <c r="C58" i="3"/>
  <c r="D57" i="3"/>
  <c r="E57" i="3"/>
  <c r="J57" i="3"/>
  <c r="M57" i="3" s="1"/>
  <c r="AR34" i="3" l="1"/>
  <c r="AQ34" i="3" s="1"/>
  <c r="AU34" i="3" s="1"/>
  <c r="BA55" i="3"/>
  <c r="AV34" i="3"/>
  <c r="AN34" i="3"/>
  <c r="O34" i="3"/>
  <c r="AO35" i="3" s="1"/>
  <c r="AA56" i="3"/>
  <c r="Z56" i="3"/>
  <c r="AP59" i="3"/>
  <c r="AX59" i="3"/>
  <c r="AM59" i="3"/>
  <c r="AH59" i="3"/>
  <c r="Q53" i="3"/>
  <c r="W54" i="3" s="1"/>
  <c r="AC54" i="3" s="1"/>
  <c r="AD54" i="3" s="1"/>
  <c r="U55" i="3"/>
  <c r="V55" i="3" s="1"/>
  <c r="AB55" i="3"/>
  <c r="AE53" i="3"/>
  <c r="AF53" i="3" s="1"/>
  <c r="S56" i="3"/>
  <c r="A73" i="3"/>
  <c r="AG72" i="3"/>
  <c r="Y57" i="3"/>
  <c r="X59" i="3"/>
  <c r="F57" i="3"/>
  <c r="G57" i="3" s="1"/>
  <c r="H57" i="3" s="1"/>
  <c r="R56" i="3"/>
  <c r="B60" i="3"/>
  <c r="T59" i="3"/>
  <c r="K59" i="3"/>
  <c r="C59" i="3"/>
  <c r="D58" i="3"/>
  <c r="E58" i="3"/>
  <c r="J58" i="3"/>
  <c r="M58" i="3" s="1"/>
  <c r="AW34" i="3" l="1"/>
  <c r="BA56" i="3"/>
  <c r="AL35" i="3"/>
  <c r="N35" i="3"/>
  <c r="AK35" i="3" s="1"/>
  <c r="AS34" i="3"/>
  <c r="AT35" i="3"/>
  <c r="I35" i="3"/>
  <c r="AJ35" i="3" s="1"/>
  <c r="P35" i="3"/>
  <c r="AP60" i="3"/>
  <c r="F58" i="3"/>
  <c r="G58" i="3" s="1"/>
  <c r="H58" i="3" s="1"/>
  <c r="AA57" i="3"/>
  <c r="Z57" i="3"/>
  <c r="Q54" i="3"/>
  <c r="W55" i="3" s="1"/>
  <c r="AC55" i="3" s="1"/>
  <c r="AD55" i="3" s="1"/>
  <c r="AI60" i="3"/>
  <c r="AX60" i="3"/>
  <c r="AM60" i="3"/>
  <c r="AH60" i="3"/>
  <c r="U56" i="3"/>
  <c r="V56" i="3" s="1"/>
  <c r="AE54" i="3"/>
  <c r="AF54" i="3" s="1"/>
  <c r="S57" i="3"/>
  <c r="A74" i="3"/>
  <c r="AG73" i="3"/>
  <c r="AB56" i="3"/>
  <c r="X60" i="3"/>
  <c r="Y58" i="3"/>
  <c r="E59" i="3"/>
  <c r="J59" i="3"/>
  <c r="M59" i="3" s="1"/>
  <c r="D59" i="3"/>
  <c r="R57" i="3"/>
  <c r="B61" i="3"/>
  <c r="T60" i="3"/>
  <c r="K60" i="3"/>
  <c r="C60" i="3"/>
  <c r="AR35" i="3" l="1"/>
  <c r="AQ35" i="3" s="1"/>
  <c r="AU35" i="3" s="1"/>
  <c r="BA57" i="3"/>
  <c r="AN35" i="3"/>
  <c r="AV35" i="3"/>
  <c r="O35" i="3"/>
  <c r="AO36" i="3" s="1"/>
  <c r="AA58" i="3"/>
  <c r="Z58" i="3"/>
  <c r="Q55" i="3"/>
  <c r="W56" i="3" s="1"/>
  <c r="AC56" i="3" s="1"/>
  <c r="AD56" i="3" s="1"/>
  <c r="AX61" i="3"/>
  <c r="AI61" i="3"/>
  <c r="AM61" i="3"/>
  <c r="AH61" i="3"/>
  <c r="AP61" i="3"/>
  <c r="Y59" i="3"/>
  <c r="U57" i="3"/>
  <c r="V57" i="3" s="1"/>
  <c r="AB57" i="3"/>
  <c r="AE55" i="3"/>
  <c r="AF55" i="3" s="1"/>
  <c r="A75" i="3"/>
  <c r="AG74" i="3"/>
  <c r="S58" i="3"/>
  <c r="X61" i="3"/>
  <c r="B62" i="3"/>
  <c r="T61" i="3"/>
  <c r="K61" i="3"/>
  <c r="C61" i="3"/>
  <c r="J60" i="3"/>
  <c r="M60" i="3" s="1"/>
  <c r="D60" i="3"/>
  <c r="E60" i="3"/>
  <c r="F59" i="3"/>
  <c r="G59" i="3" s="1"/>
  <c r="H59" i="3" s="1"/>
  <c r="R58" i="3"/>
  <c r="BA58" i="3" l="1"/>
  <c r="AL36" i="3"/>
  <c r="P36" i="3"/>
  <c r="N36" i="3"/>
  <c r="AK36" i="3" s="1"/>
  <c r="I36" i="3"/>
  <c r="AJ36" i="3" s="1"/>
  <c r="AS35" i="3"/>
  <c r="AT36" i="3"/>
  <c r="AA59" i="3"/>
  <c r="Z59" i="3"/>
  <c r="Y60" i="3"/>
  <c r="Q56" i="3"/>
  <c r="W57" i="3" s="1"/>
  <c r="AC57" i="3" s="1"/>
  <c r="AD57" i="3" s="1"/>
  <c r="AI62" i="3"/>
  <c r="AX62" i="3"/>
  <c r="AM62" i="3"/>
  <c r="AH62" i="3"/>
  <c r="AP62" i="3"/>
  <c r="AB58" i="3"/>
  <c r="U58" i="3"/>
  <c r="V58" i="3" s="1"/>
  <c r="AE56" i="3"/>
  <c r="AF56" i="3" s="1"/>
  <c r="A76" i="3"/>
  <c r="AG75" i="3"/>
  <c r="S59" i="3"/>
  <c r="X62" i="3"/>
  <c r="B63" i="3"/>
  <c r="T62" i="3"/>
  <c r="K62" i="3"/>
  <c r="C62" i="3"/>
  <c r="E61" i="3"/>
  <c r="D61" i="3"/>
  <c r="J61" i="3"/>
  <c r="M61" i="3" s="1"/>
  <c r="R59" i="3"/>
  <c r="F60" i="3"/>
  <c r="G60" i="3" s="1"/>
  <c r="H60" i="3" s="1"/>
  <c r="AR36" i="3" l="1"/>
  <c r="AQ36" i="3" s="1"/>
  <c r="AU36" i="3" s="1"/>
  <c r="BA59" i="3"/>
  <c r="O36" i="3"/>
  <c r="AO37" i="3" s="1"/>
  <c r="AN36" i="3"/>
  <c r="AV36" i="3"/>
  <c r="AA60" i="3"/>
  <c r="Z60" i="3"/>
  <c r="Q57" i="3"/>
  <c r="W58" i="3" s="1"/>
  <c r="AC58" i="3" s="1"/>
  <c r="AD58" i="3" s="1"/>
  <c r="AX63" i="3"/>
  <c r="AI63" i="3"/>
  <c r="AM63" i="3"/>
  <c r="AH63" i="3"/>
  <c r="AP63" i="3"/>
  <c r="U59" i="3"/>
  <c r="V59" i="3" s="1"/>
  <c r="AE57" i="3"/>
  <c r="AF57" i="3" s="1"/>
  <c r="A77" i="3"/>
  <c r="AG76" i="3"/>
  <c r="S60" i="3"/>
  <c r="AB59" i="3"/>
  <c r="Y61" i="3"/>
  <c r="X63" i="3"/>
  <c r="F61" i="3"/>
  <c r="G61" i="3" s="1"/>
  <c r="H61" i="3" s="1"/>
  <c r="R60" i="3"/>
  <c r="B64" i="3"/>
  <c r="T63" i="3"/>
  <c r="K63" i="3"/>
  <c r="C63" i="3"/>
  <c r="E62" i="3"/>
  <c r="J62" i="3"/>
  <c r="M62" i="3" s="1"/>
  <c r="D62" i="3"/>
  <c r="AW36" i="3" l="1"/>
  <c r="BA60" i="3"/>
  <c r="P37" i="3"/>
  <c r="AL37" i="3"/>
  <c r="AT37" i="3"/>
  <c r="I37" i="3"/>
  <c r="AJ37" i="3" s="1"/>
  <c r="AS36" i="3"/>
  <c r="N37" i="3"/>
  <c r="AK37" i="3" s="1"/>
  <c r="F62" i="3"/>
  <c r="G62" i="3" s="1"/>
  <c r="H62" i="3" s="1"/>
  <c r="AA61" i="3"/>
  <c r="Z61" i="3"/>
  <c r="Q58" i="3"/>
  <c r="W59" i="3" s="1"/>
  <c r="AC59" i="3" s="1"/>
  <c r="AD59" i="3" s="1"/>
  <c r="AP64" i="3"/>
  <c r="AX64" i="3"/>
  <c r="AI64" i="3"/>
  <c r="AM64" i="3"/>
  <c r="AH64" i="3"/>
  <c r="U60" i="3"/>
  <c r="V60" i="3" s="1"/>
  <c r="AE58" i="3"/>
  <c r="AF58" i="3" s="1"/>
  <c r="A78" i="3"/>
  <c r="AG77" i="3"/>
  <c r="S61" i="3"/>
  <c r="AB60" i="3"/>
  <c r="Y62" i="3"/>
  <c r="X64" i="3"/>
  <c r="B65" i="3"/>
  <c r="T64" i="3"/>
  <c r="K64" i="3"/>
  <c r="C64" i="3"/>
  <c r="R61" i="3"/>
  <c r="J63" i="3"/>
  <c r="M63" i="3" s="1"/>
  <c r="E63" i="3"/>
  <c r="D63" i="3"/>
  <c r="AR37" i="3" l="1"/>
  <c r="AQ37" i="3" s="1"/>
  <c r="AU37" i="3" s="1"/>
  <c r="BA61" i="3"/>
  <c r="AN37" i="3"/>
  <c r="AV37" i="3"/>
  <c r="O37" i="3"/>
  <c r="AA62" i="3"/>
  <c r="Z62" i="3"/>
  <c r="Q59" i="3"/>
  <c r="W60" i="3" s="1"/>
  <c r="AC60" i="3" s="1"/>
  <c r="AD60" i="3" s="1"/>
  <c r="AI65" i="3"/>
  <c r="AX65" i="3"/>
  <c r="AH65" i="3"/>
  <c r="AP65" i="3"/>
  <c r="U61" i="3"/>
  <c r="V61" i="3" s="1"/>
  <c r="AB61" i="3"/>
  <c r="AE59" i="3"/>
  <c r="AF59" i="3" s="1"/>
  <c r="A79" i="3"/>
  <c r="AG78" i="3"/>
  <c r="S62" i="3"/>
  <c r="X65" i="3"/>
  <c r="Y63" i="3"/>
  <c r="B66" i="3"/>
  <c r="T65" i="3"/>
  <c r="K65" i="3"/>
  <c r="C65" i="3"/>
  <c r="D64" i="3"/>
  <c r="J64" i="3"/>
  <c r="M64" i="3" s="1"/>
  <c r="E64" i="3"/>
  <c r="F63" i="3"/>
  <c r="G63" i="3" s="1"/>
  <c r="H63" i="3" s="1"/>
  <c r="R62" i="3"/>
  <c r="BA62" i="3" l="1"/>
  <c r="AW37" i="3"/>
  <c r="AS37" i="3"/>
  <c r="AO38" i="3"/>
  <c r="N38" i="3"/>
  <c r="AK38" i="3" s="1"/>
  <c r="AL38" i="3"/>
  <c r="P38" i="3"/>
  <c r="AT38" i="3"/>
  <c r="I38" i="3"/>
  <c r="AJ38" i="3" s="1"/>
  <c r="Z63" i="3"/>
  <c r="AA63" i="3"/>
  <c r="AP66" i="3"/>
  <c r="AX66" i="3"/>
  <c r="AI66" i="3"/>
  <c r="AH66" i="3"/>
  <c r="AG59" i="3"/>
  <c r="AI59" i="3" s="1"/>
  <c r="Q60" i="3" s="1"/>
  <c r="U62" i="3"/>
  <c r="V62" i="3" s="1"/>
  <c r="AE60" i="3"/>
  <c r="AF60" i="3" s="1"/>
  <c r="A80" i="3"/>
  <c r="AG79" i="3"/>
  <c r="AB62" i="3"/>
  <c r="F64" i="3"/>
  <c r="G64" i="3" s="1"/>
  <c r="H64" i="3" s="1"/>
  <c r="S63" i="3"/>
  <c r="Y64" i="3"/>
  <c r="X66" i="3"/>
  <c r="B67" i="3"/>
  <c r="T66" i="3"/>
  <c r="K66" i="3"/>
  <c r="C66" i="3"/>
  <c r="D65" i="3"/>
  <c r="J65" i="3"/>
  <c r="M65" i="3" s="1"/>
  <c r="E65" i="3"/>
  <c r="R63" i="3"/>
  <c r="AR38" i="3" l="1"/>
  <c r="AQ38" i="3" s="1"/>
  <c r="AU38" i="3" s="1"/>
  <c r="BA63" i="3"/>
  <c r="AV38" i="3"/>
  <c r="AN38" i="3"/>
  <c r="O38" i="3"/>
  <c r="AA64" i="3"/>
  <c r="Z64" i="3"/>
  <c r="AP67" i="3"/>
  <c r="AI67" i="3"/>
  <c r="AX67" i="3"/>
  <c r="AM67" i="3"/>
  <c r="AH67" i="3"/>
  <c r="W61" i="3"/>
  <c r="AC61" i="3" s="1"/>
  <c r="AD61" i="3" s="1"/>
  <c r="Q61" i="3"/>
  <c r="W62" i="3" s="1"/>
  <c r="AC62" i="3" s="1"/>
  <c r="AD62" i="3" s="1"/>
  <c r="U63" i="3"/>
  <c r="V63" i="3" s="1"/>
  <c r="AB63" i="3"/>
  <c r="A81" i="3"/>
  <c r="AG80" i="3"/>
  <c r="S64" i="3"/>
  <c r="Y65" i="3"/>
  <c r="X67" i="3"/>
  <c r="B68" i="3"/>
  <c r="T67" i="3"/>
  <c r="K67" i="3"/>
  <c r="C67" i="3"/>
  <c r="J66" i="3"/>
  <c r="M66" i="3" s="1"/>
  <c r="D66" i="3"/>
  <c r="E66" i="3"/>
  <c r="F65" i="3"/>
  <c r="G65" i="3" s="1"/>
  <c r="H65" i="3" s="1"/>
  <c r="R64" i="3"/>
  <c r="BA64" i="3" l="1"/>
  <c r="AW38" i="3"/>
  <c r="AE61" i="3"/>
  <c r="AF61" i="3" s="1"/>
  <c r="P39" i="3"/>
  <c r="AO39" i="3"/>
  <c r="I39" i="3"/>
  <c r="AJ39" i="3" s="1"/>
  <c r="AL39" i="3"/>
  <c r="AS38" i="3"/>
  <c r="AT39" i="3"/>
  <c r="N39" i="3"/>
  <c r="AK39" i="3" s="1"/>
  <c r="AA65" i="3"/>
  <c r="Z65" i="3"/>
  <c r="Y66" i="3"/>
  <c r="AI68" i="3"/>
  <c r="AX68" i="3"/>
  <c r="AM68" i="3"/>
  <c r="AH68" i="3"/>
  <c r="AP68" i="3"/>
  <c r="Q62" i="3"/>
  <c r="W63" i="3" s="1"/>
  <c r="AC63" i="3" s="1"/>
  <c r="AD63" i="3" s="1"/>
  <c r="U64" i="3"/>
  <c r="V64" i="3" s="1"/>
  <c r="AE62" i="3"/>
  <c r="AF62" i="3" s="1"/>
  <c r="AB64" i="3"/>
  <c r="F66" i="3"/>
  <c r="G66" i="3" s="1"/>
  <c r="H66" i="3" s="1"/>
  <c r="S65" i="3"/>
  <c r="A82" i="3"/>
  <c r="AG81" i="3"/>
  <c r="X68" i="3"/>
  <c r="R65" i="3"/>
  <c r="B69" i="3"/>
  <c r="T68" i="3"/>
  <c r="K68" i="3"/>
  <c r="C68" i="3"/>
  <c r="J67" i="3"/>
  <c r="M67" i="3" s="1"/>
  <c r="E67" i="3"/>
  <c r="D67" i="3"/>
  <c r="AR39" i="3" l="1"/>
  <c r="AQ39" i="3" s="1"/>
  <c r="AU39" i="3" s="1"/>
  <c r="BA65" i="3"/>
  <c r="O39" i="3"/>
  <c r="AO40" i="3" s="1"/>
  <c r="AN39" i="3"/>
  <c r="AV39" i="3"/>
  <c r="AA66" i="3"/>
  <c r="Z66" i="3"/>
  <c r="AX69" i="3"/>
  <c r="AI69" i="3"/>
  <c r="AH69" i="3"/>
  <c r="AP69" i="3"/>
  <c r="Q63" i="3"/>
  <c r="W64" i="3" s="1"/>
  <c r="AC64" i="3" s="1"/>
  <c r="AD64" i="3" s="1"/>
  <c r="AB65" i="3"/>
  <c r="U65" i="3"/>
  <c r="V65" i="3" s="1"/>
  <c r="AE63" i="3"/>
  <c r="AF63" i="3" s="1"/>
  <c r="A83" i="3"/>
  <c r="AG82" i="3"/>
  <c r="S66" i="3"/>
  <c r="Y67" i="3"/>
  <c r="X69" i="3"/>
  <c r="E68" i="3"/>
  <c r="D68" i="3"/>
  <c r="J68" i="3"/>
  <c r="M68" i="3" s="1"/>
  <c r="F67" i="3"/>
  <c r="G67" i="3" s="1"/>
  <c r="H67" i="3" s="1"/>
  <c r="R66" i="3"/>
  <c r="B70" i="3"/>
  <c r="T69" i="3"/>
  <c r="K69" i="3"/>
  <c r="C69" i="3"/>
  <c r="BA66" i="3" l="1"/>
  <c r="AW39" i="3"/>
  <c r="AS39" i="3"/>
  <c r="AL40" i="3"/>
  <c r="I40" i="3"/>
  <c r="AJ40" i="3" s="1"/>
  <c r="P40" i="3"/>
  <c r="N40" i="3"/>
  <c r="AK40" i="3" s="1"/>
  <c r="AT40" i="3"/>
  <c r="AA67" i="3"/>
  <c r="Z67" i="3"/>
  <c r="U66" i="3"/>
  <c r="V66" i="3" s="1"/>
  <c r="AP70" i="3"/>
  <c r="Q64" i="3"/>
  <c r="AI70" i="3"/>
  <c r="AX70" i="3"/>
  <c r="AH70" i="3"/>
  <c r="AB66" i="3"/>
  <c r="AE64" i="3"/>
  <c r="AF64" i="3" s="1"/>
  <c r="A84" i="3"/>
  <c r="F68" i="3"/>
  <c r="G68" i="3" s="1"/>
  <c r="H68" i="3" s="1"/>
  <c r="S67" i="3"/>
  <c r="Y68" i="3"/>
  <c r="X70" i="3"/>
  <c r="E69" i="3"/>
  <c r="J69" i="3"/>
  <c r="M69" i="3" s="1"/>
  <c r="D69" i="3"/>
  <c r="B71" i="3"/>
  <c r="AW71" i="3" s="1"/>
  <c r="T70" i="3"/>
  <c r="K70" i="3"/>
  <c r="C70" i="3"/>
  <c r="R67" i="3"/>
  <c r="AR40" i="3" l="1"/>
  <c r="AQ40" i="3" s="1"/>
  <c r="AU40" i="3" s="1"/>
  <c r="BA67" i="3"/>
  <c r="AV40" i="3"/>
  <c r="O40" i="3"/>
  <c r="AN40" i="3"/>
  <c r="AA68" i="3"/>
  <c r="Z68" i="3"/>
  <c r="W65" i="3"/>
  <c r="AC65" i="3" s="1"/>
  <c r="AD65" i="3" s="1"/>
  <c r="Q65" i="3"/>
  <c r="AX71" i="3"/>
  <c r="AM71" i="3"/>
  <c r="AH71" i="3"/>
  <c r="AP71" i="3"/>
  <c r="U67" i="3"/>
  <c r="V67" i="3" s="1"/>
  <c r="A85" i="3"/>
  <c r="AG84" i="3"/>
  <c r="AB67" i="3"/>
  <c r="S68" i="3"/>
  <c r="X71" i="3"/>
  <c r="Y69" i="3"/>
  <c r="B72" i="3"/>
  <c r="T71" i="3"/>
  <c r="K71" i="3"/>
  <c r="C71" i="3"/>
  <c r="F69" i="3"/>
  <c r="G69" i="3" s="1"/>
  <c r="H69" i="3" s="1"/>
  <c r="R68" i="3"/>
  <c r="D70" i="3"/>
  <c r="E70" i="3"/>
  <c r="J70" i="3"/>
  <c r="M70" i="3" s="1"/>
  <c r="BA68" i="3" l="1"/>
  <c r="AW40" i="3"/>
  <c r="AE65" i="3"/>
  <c r="AF65" i="3" s="1"/>
  <c r="I41" i="3"/>
  <c r="AJ41" i="3" s="1"/>
  <c r="AO41" i="3"/>
  <c r="AL41" i="3"/>
  <c r="AT41" i="3"/>
  <c r="AS40" i="3"/>
  <c r="N41" i="3"/>
  <c r="AK41" i="3" s="1"/>
  <c r="P41" i="3"/>
  <c r="AA69" i="3"/>
  <c r="Z69" i="3"/>
  <c r="W66" i="3"/>
  <c r="AC66" i="3" s="1"/>
  <c r="AD66" i="3" s="1"/>
  <c r="Q66" i="3"/>
  <c r="W67" i="3" s="1"/>
  <c r="AC67" i="3" s="1"/>
  <c r="AD67" i="3" s="1"/>
  <c r="AP72" i="3"/>
  <c r="AX72" i="3"/>
  <c r="AI72" i="3"/>
  <c r="AH72" i="3"/>
  <c r="U68" i="3"/>
  <c r="V68" i="3" s="1"/>
  <c r="F70" i="3"/>
  <c r="G70" i="3" s="1"/>
  <c r="H70" i="3" s="1"/>
  <c r="S69" i="3"/>
  <c r="AB68" i="3"/>
  <c r="A86" i="3"/>
  <c r="AG85" i="3"/>
  <c r="Y70" i="3"/>
  <c r="X72" i="3"/>
  <c r="B73" i="3"/>
  <c r="T72" i="3"/>
  <c r="K72" i="3"/>
  <c r="C72" i="3"/>
  <c r="R69" i="3"/>
  <c r="D71" i="3"/>
  <c r="E71" i="3"/>
  <c r="J71" i="3"/>
  <c r="M71" i="3" s="1"/>
  <c r="AR41" i="3" l="1"/>
  <c r="AQ41" i="3" s="1"/>
  <c r="AU41" i="3" s="1"/>
  <c r="BA69" i="3"/>
  <c r="AE66" i="3"/>
  <c r="AF66" i="3" s="1"/>
  <c r="AN41" i="3"/>
  <c r="AV41" i="3"/>
  <c r="O41" i="3"/>
  <c r="AA70" i="3"/>
  <c r="Z70" i="3"/>
  <c r="Q67" i="3"/>
  <c r="W68" i="3" s="1"/>
  <c r="AC68" i="3" s="1"/>
  <c r="AX73" i="3"/>
  <c r="AI73" i="3"/>
  <c r="AM73" i="3"/>
  <c r="AH73" i="3"/>
  <c r="AP73" i="3"/>
  <c r="U69" i="3"/>
  <c r="V69" i="3" s="1"/>
  <c r="AB69" i="3"/>
  <c r="AE67" i="3"/>
  <c r="AF67" i="3" s="1"/>
  <c r="S70" i="3"/>
  <c r="Y71" i="3"/>
  <c r="A87" i="3"/>
  <c r="AG86" i="3"/>
  <c r="X73" i="3"/>
  <c r="J72" i="3"/>
  <c r="M72" i="3" s="1"/>
  <c r="D72" i="3"/>
  <c r="E72" i="3"/>
  <c r="B74" i="3"/>
  <c r="T73" i="3"/>
  <c r="K73" i="3"/>
  <c r="C73" i="3"/>
  <c r="F71" i="3"/>
  <c r="G71" i="3" s="1"/>
  <c r="H71" i="3" s="1"/>
  <c r="R70" i="3"/>
  <c r="AW41" i="3" l="1"/>
  <c r="BA70" i="3"/>
  <c r="N42" i="3"/>
  <c r="AK42" i="3" s="1"/>
  <c r="AO42" i="3"/>
  <c r="AL42" i="3"/>
  <c r="P42" i="3"/>
  <c r="AS41" i="3"/>
  <c r="I42" i="3"/>
  <c r="AJ42" i="3" s="1"/>
  <c r="AT42" i="3"/>
  <c r="Z71" i="3"/>
  <c r="AA71" i="3"/>
  <c r="Q68" i="3"/>
  <c r="Q69" i="3" s="1"/>
  <c r="AD68" i="3"/>
  <c r="AP74" i="3"/>
  <c r="Y72" i="3"/>
  <c r="AI74" i="3"/>
  <c r="AX74" i="3"/>
  <c r="AH74" i="3"/>
  <c r="U70" i="3"/>
  <c r="V70" i="3" s="1"/>
  <c r="F72" i="3"/>
  <c r="G72" i="3" s="1"/>
  <c r="H72" i="3" s="1"/>
  <c r="S71" i="3"/>
  <c r="A88" i="3"/>
  <c r="AG87" i="3"/>
  <c r="AB70" i="3"/>
  <c r="X74" i="3"/>
  <c r="D73" i="3"/>
  <c r="J73" i="3"/>
  <c r="M73" i="3" s="1"/>
  <c r="E73" i="3"/>
  <c r="B75" i="3"/>
  <c r="T74" i="3"/>
  <c r="K74" i="3"/>
  <c r="C74" i="3"/>
  <c r="R71" i="3"/>
  <c r="AR42" i="3" l="1"/>
  <c r="AQ42" i="3" s="1"/>
  <c r="AU42" i="3" s="1"/>
  <c r="AE68" i="3"/>
  <c r="AF68" i="3" s="1"/>
  <c r="BA71" i="3"/>
  <c r="AN42" i="3"/>
  <c r="AV42" i="3"/>
  <c r="O42" i="3"/>
  <c r="AO43" i="3" s="1"/>
  <c r="AA72" i="3"/>
  <c r="Z72" i="3"/>
  <c r="AP75" i="3"/>
  <c r="W69" i="3"/>
  <c r="AC69" i="3" s="1"/>
  <c r="AD69" i="3" s="1"/>
  <c r="W70" i="3"/>
  <c r="AC70" i="3" s="1"/>
  <c r="U71" i="3"/>
  <c r="V71" i="3" s="1"/>
  <c r="AX75" i="3"/>
  <c r="AI75" i="3"/>
  <c r="AH75" i="3"/>
  <c r="Q70" i="3"/>
  <c r="W71" i="3" s="1"/>
  <c r="S72" i="3"/>
  <c r="A89" i="3"/>
  <c r="AG88" i="3"/>
  <c r="AB71" i="3"/>
  <c r="X75" i="3"/>
  <c r="Y73" i="3"/>
  <c r="B76" i="3"/>
  <c r="T75" i="3"/>
  <c r="K75" i="3"/>
  <c r="C75" i="3"/>
  <c r="D74" i="3"/>
  <c r="E74" i="3"/>
  <c r="J74" i="3"/>
  <c r="M74" i="3" s="1"/>
  <c r="F73" i="3"/>
  <c r="G73" i="3" s="1"/>
  <c r="H73" i="3" s="1"/>
  <c r="R72" i="3"/>
  <c r="AW42" i="3" l="1"/>
  <c r="AE69" i="3"/>
  <c r="AF69" i="3" s="1"/>
  <c r="BA72" i="3"/>
  <c r="AL43" i="3"/>
  <c r="P43" i="3"/>
  <c r="AT43" i="3"/>
  <c r="N43" i="3"/>
  <c r="AK43" i="3" s="1"/>
  <c r="AS42" i="3"/>
  <c r="I43" i="3"/>
  <c r="AJ43" i="3" s="1"/>
  <c r="Z73" i="3"/>
  <c r="AA73" i="3"/>
  <c r="U72" i="3"/>
  <c r="V72" i="3" s="1"/>
  <c r="AD70" i="3"/>
  <c r="AX76" i="3"/>
  <c r="AI76" i="3"/>
  <c r="AH76" i="3"/>
  <c r="AP76" i="3"/>
  <c r="Q71" i="3"/>
  <c r="F74" i="3"/>
  <c r="G74" i="3" s="1"/>
  <c r="H74" i="3" s="1"/>
  <c r="S73" i="3"/>
  <c r="AC71" i="3"/>
  <c r="AD71" i="3" s="1"/>
  <c r="A90" i="3"/>
  <c r="AG89" i="3"/>
  <c r="AB72" i="3"/>
  <c r="X76" i="3"/>
  <c r="Y74" i="3"/>
  <c r="E75" i="3"/>
  <c r="J75" i="3"/>
  <c r="M75" i="3" s="1"/>
  <c r="D75" i="3"/>
  <c r="R73" i="3"/>
  <c r="B77" i="3"/>
  <c r="T76" i="3"/>
  <c r="K76" i="3"/>
  <c r="C76" i="3"/>
  <c r="AR43" i="3" l="1"/>
  <c r="AQ43" i="3" s="1"/>
  <c r="AU43" i="3" s="1"/>
  <c r="AE70" i="3"/>
  <c r="AF70" i="3" s="1"/>
  <c r="BA73" i="3"/>
  <c r="AV43" i="3"/>
  <c r="O43" i="3"/>
  <c r="AN43" i="3"/>
  <c r="AA74" i="3"/>
  <c r="Z74" i="3"/>
  <c r="W72" i="3"/>
  <c r="AC72" i="3" s="1"/>
  <c r="AD72" i="3" s="1"/>
  <c r="AX77" i="3"/>
  <c r="AI77" i="3"/>
  <c r="AH77" i="3"/>
  <c r="AP77" i="3"/>
  <c r="AB73" i="3"/>
  <c r="U73" i="3"/>
  <c r="V73" i="3" s="1"/>
  <c r="AE71" i="3"/>
  <c r="AF71" i="3" s="1"/>
  <c r="S74" i="3"/>
  <c r="A91" i="3"/>
  <c r="AG90" i="3"/>
  <c r="Y75" i="3"/>
  <c r="X77" i="3"/>
  <c r="B78" i="3"/>
  <c r="T77" i="3"/>
  <c r="K77" i="3"/>
  <c r="C77" i="3"/>
  <c r="F75" i="3"/>
  <c r="G75" i="3" s="1"/>
  <c r="H75" i="3" s="1"/>
  <c r="R74" i="3"/>
  <c r="J76" i="3"/>
  <c r="M76" i="3" s="1"/>
  <c r="D76" i="3"/>
  <c r="E76" i="3"/>
  <c r="BA74" i="3" l="1"/>
  <c r="AW43" i="3"/>
  <c r="I44" i="3"/>
  <c r="AJ44" i="3" s="1"/>
  <c r="AO44" i="3"/>
  <c r="AS43" i="3"/>
  <c r="AL44" i="3"/>
  <c r="N44" i="3"/>
  <c r="AK44" i="3" s="1"/>
  <c r="AT44" i="3"/>
  <c r="P44" i="3"/>
  <c r="AA75" i="3"/>
  <c r="Z75" i="3"/>
  <c r="AP78" i="3"/>
  <c r="AI78" i="3"/>
  <c r="AX78" i="3"/>
  <c r="AH78" i="3"/>
  <c r="AG71" i="3"/>
  <c r="AI71" i="3" s="1"/>
  <c r="Q72" i="3" s="1"/>
  <c r="U74" i="3"/>
  <c r="V74" i="3" s="1"/>
  <c r="AB74" i="3"/>
  <c r="AE72" i="3"/>
  <c r="AF72" i="3" s="1"/>
  <c r="F76" i="3"/>
  <c r="G76" i="3" s="1"/>
  <c r="H76" i="3" s="1"/>
  <c r="S75" i="3"/>
  <c r="A92" i="3"/>
  <c r="AG91" i="3"/>
  <c r="Y76" i="3"/>
  <c r="X78" i="3"/>
  <c r="E77" i="3"/>
  <c r="D77" i="3"/>
  <c r="J77" i="3"/>
  <c r="M77" i="3" s="1"/>
  <c r="R75" i="3"/>
  <c r="B79" i="3"/>
  <c r="T78" i="3"/>
  <c r="K78" i="3"/>
  <c r="C78" i="3"/>
  <c r="AR44" i="3" l="1"/>
  <c r="AQ44" i="3" s="1"/>
  <c r="AU44" i="3" s="1"/>
  <c r="BA75" i="3"/>
  <c r="O44" i="3"/>
  <c r="AN44" i="3"/>
  <c r="AV44" i="3"/>
  <c r="AA76" i="3"/>
  <c r="Z76" i="3"/>
  <c r="AX79" i="3"/>
  <c r="AI79" i="3"/>
  <c r="AH79" i="3"/>
  <c r="AP79" i="3"/>
  <c r="AB75" i="3"/>
  <c r="W73" i="3"/>
  <c r="AC73" i="3" s="1"/>
  <c r="AD73" i="3" s="1"/>
  <c r="Q73" i="3"/>
  <c r="U75" i="3"/>
  <c r="V75" i="3" s="1"/>
  <c r="A93" i="3"/>
  <c r="AG92" i="3"/>
  <c r="S76" i="3"/>
  <c r="X79" i="3"/>
  <c r="Y77" i="3"/>
  <c r="F77" i="3"/>
  <c r="G77" i="3" s="1"/>
  <c r="H77" i="3" s="1"/>
  <c r="R76" i="3"/>
  <c r="B80" i="3"/>
  <c r="T79" i="3"/>
  <c r="K79" i="3"/>
  <c r="C79" i="3"/>
  <c r="D78" i="3"/>
  <c r="E78" i="3"/>
  <c r="J78" i="3"/>
  <c r="M78" i="3" s="1"/>
  <c r="BA76" i="3" l="1"/>
  <c r="AW44" i="3"/>
  <c r="AE73" i="3"/>
  <c r="AF73" i="3" s="1"/>
  <c r="AS44" i="3"/>
  <c r="AO45" i="3"/>
  <c r="P45" i="3"/>
  <c r="I45" i="3"/>
  <c r="AJ45" i="3" s="1"/>
  <c r="AT45" i="3"/>
  <c r="AL45" i="3"/>
  <c r="N45" i="3"/>
  <c r="AK45" i="3" s="1"/>
  <c r="AA77" i="3"/>
  <c r="Z77" i="3"/>
  <c r="W74" i="3"/>
  <c r="AC74" i="3" s="1"/>
  <c r="AD74" i="3" s="1"/>
  <c r="Y78" i="3"/>
  <c r="AX80" i="3"/>
  <c r="AI80" i="3"/>
  <c r="AH80" i="3"/>
  <c r="AP80" i="3"/>
  <c r="U76" i="3"/>
  <c r="V76" i="3" s="1"/>
  <c r="Q74" i="3"/>
  <c r="AB76" i="3"/>
  <c r="F78" i="3"/>
  <c r="G78" i="3" s="1"/>
  <c r="H78" i="3" s="1"/>
  <c r="S77" i="3"/>
  <c r="A94" i="3"/>
  <c r="AG93" i="3"/>
  <c r="X80" i="3"/>
  <c r="R77" i="3"/>
  <c r="B81" i="3"/>
  <c r="T80" i="3"/>
  <c r="K80" i="3"/>
  <c r="C80" i="3"/>
  <c r="J79" i="3"/>
  <c r="M79" i="3" s="1"/>
  <c r="D79" i="3"/>
  <c r="E79" i="3"/>
  <c r="AR45" i="3" l="1"/>
  <c r="AQ45" i="3" s="1"/>
  <c r="AU45" i="3" s="1"/>
  <c r="BA77" i="3"/>
  <c r="AE74" i="3"/>
  <c r="AF74" i="3" s="1"/>
  <c r="O45" i="3"/>
  <c r="AN45" i="3"/>
  <c r="AV45" i="3"/>
  <c r="AA78" i="3"/>
  <c r="Z78" i="3"/>
  <c r="W75" i="3"/>
  <c r="AC75" i="3" s="1"/>
  <c r="AD75" i="3" s="1"/>
  <c r="AP81" i="3"/>
  <c r="AX81" i="3"/>
  <c r="AI81" i="3"/>
  <c r="AH81" i="3"/>
  <c r="Q75" i="3"/>
  <c r="U77" i="3"/>
  <c r="V77" i="3" s="1"/>
  <c r="A95" i="3"/>
  <c r="AG94" i="3"/>
  <c r="S78" i="3"/>
  <c r="AB77" i="3"/>
  <c r="X81" i="3"/>
  <c r="Y79" i="3"/>
  <c r="B82" i="3"/>
  <c r="T81" i="3"/>
  <c r="K81" i="3"/>
  <c r="C81" i="3"/>
  <c r="E80" i="3"/>
  <c r="J80" i="3"/>
  <c r="M80" i="3" s="1"/>
  <c r="D80" i="3"/>
  <c r="F79" i="3"/>
  <c r="G79" i="3" s="1"/>
  <c r="H79" i="3" s="1"/>
  <c r="R78" i="3"/>
  <c r="BA78" i="3" l="1"/>
  <c r="AW45" i="3"/>
  <c r="AE75" i="3"/>
  <c r="AF75" i="3" s="1"/>
  <c r="I46" i="3"/>
  <c r="AJ46" i="3" s="1"/>
  <c r="AO46" i="3"/>
  <c r="AL46" i="3"/>
  <c r="N46" i="3"/>
  <c r="AK46" i="3" s="1"/>
  <c r="P46" i="3"/>
  <c r="AT46" i="3"/>
  <c r="AS45" i="3"/>
  <c r="Z79" i="3"/>
  <c r="AA79" i="3"/>
  <c r="W76" i="3"/>
  <c r="AC76" i="3" s="1"/>
  <c r="AD76" i="3" s="1"/>
  <c r="Q76" i="3"/>
  <c r="AI82" i="3"/>
  <c r="AX82" i="3"/>
  <c r="AH82" i="3"/>
  <c r="AP82" i="3"/>
  <c r="U78" i="3"/>
  <c r="V78" i="3" s="1"/>
  <c r="AB78" i="3"/>
  <c r="F80" i="3"/>
  <c r="G80" i="3" s="1"/>
  <c r="H80" i="3" s="1"/>
  <c r="S79" i="3"/>
  <c r="A96" i="3"/>
  <c r="X82" i="3"/>
  <c r="Y80" i="3"/>
  <c r="R79" i="3"/>
  <c r="B83" i="3"/>
  <c r="AW83" i="3" s="1"/>
  <c r="T82" i="3"/>
  <c r="K82" i="3"/>
  <c r="C82" i="3"/>
  <c r="D81" i="3"/>
  <c r="E81" i="3"/>
  <c r="J81" i="3"/>
  <c r="M81" i="3" s="1"/>
  <c r="AR46" i="3" l="1"/>
  <c r="AQ46" i="3" s="1"/>
  <c r="AU46" i="3" s="1"/>
  <c r="AE76" i="3"/>
  <c r="AF76" i="3" s="1"/>
  <c r="BA79" i="3"/>
  <c r="AV46" i="3"/>
  <c r="AN46" i="3"/>
  <c r="O46" i="3"/>
  <c r="AA80" i="3"/>
  <c r="Z80" i="3"/>
  <c r="W77" i="3"/>
  <c r="AC77" i="3" s="1"/>
  <c r="AD77" i="3" s="1"/>
  <c r="Q77" i="3"/>
  <c r="AP83" i="3"/>
  <c r="AX83" i="3"/>
  <c r="AH83" i="3"/>
  <c r="AB79" i="3"/>
  <c r="U79" i="3"/>
  <c r="V79" i="3" s="1"/>
  <c r="A97" i="3"/>
  <c r="AG96" i="3"/>
  <c r="S80" i="3"/>
  <c r="Y81" i="3"/>
  <c r="X83" i="3"/>
  <c r="F81" i="3"/>
  <c r="G81" i="3" s="1"/>
  <c r="H81" i="3" s="1"/>
  <c r="R80" i="3"/>
  <c r="B84" i="3"/>
  <c r="T83" i="3"/>
  <c r="K83" i="3"/>
  <c r="C83" i="3"/>
  <c r="J82" i="3"/>
  <c r="M82" i="3" s="1"/>
  <c r="E82" i="3"/>
  <c r="D82" i="3"/>
  <c r="AW46" i="3" l="1"/>
  <c r="AE77" i="3"/>
  <c r="AF77" i="3" s="1"/>
  <c r="BA80" i="3"/>
  <c r="P47" i="3"/>
  <c r="AO47" i="3"/>
  <c r="AL47" i="3"/>
  <c r="AT47" i="3"/>
  <c r="AS46" i="3"/>
  <c r="N47" i="3"/>
  <c r="AK47" i="3" s="1"/>
  <c r="I47" i="3"/>
  <c r="AJ47" i="3" s="1"/>
  <c r="F82" i="3"/>
  <c r="G82" i="3" s="1"/>
  <c r="H82" i="3" s="1"/>
  <c r="AA81" i="3"/>
  <c r="Z81" i="3"/>
  <c r="W78" i="3"/>
  <c r="AC78" i="3" s="1"/>
  <c r="AD78" i="3" s="1"/>
  <c r="Q78" i="3"/>
  <c r="AI84" i="3"/>
  <c r="AX84" i="3"/>
  <c r="AH84" i="3"/>
  <c r="AB80" i="3"/>
  <c r="AP84" i="3"/>
  <c r="U80" i="3"/>
  <c r="V80" i="3" s="1"/>
  <c r="S81" i="3"/>
  <c r="A98" i="3"/>
  <c r="AG97" i="3"/>
  <c r="Y82" i="3"/>
  <c r="X84" i="3"/>
  <c r="E83" i="3"/>
  <c r="D83" i="3"/>
  <c r="J83" i="3"/>
  <c r="M83" i="3" s="1"/>
  <c r="R81" i="3"/>
  <c r="B85" i="3"/>
  <c r="T84" i="3"/>
  <c r="K84" i="3"/>
  <c r="C84" i="3"/>
  <c r="AR47" i="3" l="1"/>
  <c r="AQ47" i="3" s="1"/>
  <c r="AU47" i="3" s="1"/>
  <c r="BA81" i="3"/>
  <c r="AE78" i="3"/>
  <c r="AF78" i="3" s="1"/>
  <c r="AV47" i="3"/>
  <c r="AN47" i="3"/>
  <c r="O47" i="3"/>
  <c r="AA82" i="3"/>
  <c r="Z82" i="3"/>
  <c r="W79" i="3"/>
  <c r="AC79" i="3" s="1"/>
  <c r="AD79" i="3" s="1"/>
  <c r="Q79" i="3"/>
  <c r="AP85" i="3"/>
  <c r="U81" i="3"/>
  <c r="V81" i="3" s="1"/>
  <c r="AX85" i="3"/>
  <c r="AI85" i="3"/>
  <c r="AM85" i="3"/>
  <c r="AH85" i="3"/>
  <c r="A99" i="3"/>
  <c r="AG98" i="3"/>
  <c r="AB81" i="3"/>
  <c r="S82" i="3"/>
  <c r="X85" i="3"/>
  <c r="Y83" i="3"/>
  <c r="F83" i="3"/>
  <c r="G83" i="3" s="1"/>
  <c r="H83" i="3" s="1"/>
  <c r="R82" i="3"/>
  <c r="B86" i="3"/>
  <c r="T85" i="3"/>
  <c r="K85" i="3"/>
  <c r="C85" i="3"/>
  <c r="E84" i="3"/>
  <c r="J84" i="3"/>
  <c r="M84" i="3" s="1"/>
  <c r="D84" i="3"/>
  <c r="BA82" i="3" l="1"/>
  <c r="AE79" i="3"/>
  <c r="AF79" i="3" s="1"/>
  <c r="AS47" i="3"/>
  <c r="AO48" i="3"/>
  <c r="AL48" i="3"/>
  <c r="AT48" i="3"/>
  <c r="N48" i="3"/>
  <c r="AK48" i="3" s="1"/>
  <c r="I48" i="3"/>
  <c r="AJ48" i="3" s="1"/>
  <c r="P48" i="3"/>
  <c r="AA83" i="3"/>
  <c r="Z83" i="3"/>
  <c r="W80" i="3"/>
  <c r="AC80" i="3" s="1"/>
  <c r="AD80" i="3" s="1"/>
  <c r="Q80" i="3"/>
  <c r="Y84" i="3"/>
  <c r="AI86" i="3"/>
  <c r="AX86" i="3"/>
  <c r="AM86" i="3"/>
  <c r="AH86" i="3"/>
  <c r="AP86" i="3"/>
  <c r="AB82" i="3"/>
  <c r="U82" i="3"/>
  <c r="V82" i="3" s="1"/>
  <c r="A100" i="3"/>
  <c r="AG99" i="3"/>
  <c r="S83" i="3"/>
  <c r="X86" i="3"/>
  <c r="B87" i="3"/>
  <c r="T86" i="3"/>
  <c r="K86" i="3"/>
  <c r="C86" i="3"/>
  <c r="J85" i="3"/>
  <c r="M85" i="3" s="1"/>
  <c r="E85" i="3"/>
  <c r="D85" i="3"/>
  <c r="R83" i="3"/>
  <c r="F84" i="3"/>
  <c r="G84" i="3" s="1"/>
  <c r="H84" i="3" s="1"/>
  <c r="AR48" i="3" l="1"/>
  <c r="AQ48" i="3" s="1"/>
  <c r="AU48" i="3" s="1"/>
  <c r="BA83" i="3"/>
  <c r="AE80" i="3"/>
  <c r="AF80" i="3" s="1"/>
  <c r="AV48" i="3"/>
  <c r="AN48" i="3"/>
  <c r="O48" i="3"/>
  <c r="AA84" i="3"/>
  <c r="Z84" i="3"/>
  <c r="W81" i="3"/>
  <c r="AC81" i="3" s="1"/>
  <c r="AD81" i="3" s="1"/>
  <c r="Q81" i="3"/>
  <c r="AX87" i="3"/>
  <c r="AI87" i="3"/>
  <c r="AM87" i="3"/>
  <c r="AH87" i="3"/>
  <c r="AP87" i="3"/>
  <c r="U83" i="3"/>
  <c r="V83" i="3" s="1"/>
  <c r="A101" i="3"/>
  <c r="AG100" i="3"/>
  <c r="S84" i="3"/>
  <c r="AB83" i="3"/>
  <c r="Y85" i="3"/>
  <c r="X87" i="3"/>
  <c r="D86" i="3"/>
  <c r="E86" i="3"/>
  <c r="J86" i="3"/>
  <c r="M86" i="3" s="1"/>
  <c r="F85" i="3"/>
  <c r="G85" i="3" s="1"/>
  <c r="H85" i="3" s="1"/>
  <c r="R84" i="3"/>
  <c r="B88" i="3"/>
  <c r="T87" i="3"/>
  <c r="K87" i="3"/>
  <c r="C87" i="3"/>
  <c r="AW48" i="3" l="1"/>
  <c r="AE81" i="3"/>
  <c r="AF81" i="3" s="1"/>
  <c r="BA84" i="3"/>
  <c r="AT49" i="3"/>
  <c r="AO49" i="3"/>
  <c r="N49" i="3"/>
  <c r="AK49" i="3" s="1"/>
  <c r="AS48" i="3"/>
  <c r="AL49" i="3"/>
  <c r="P49" i="3"/>
  <c r="I49" i="3"/>
  <c r="AJ49" i="3" s="1"/>
  <c r="AA85" i="3"/>
  <c r="Z85" i="3"/>
  <c r="W82" i="3"/>
  <c r="AC82" i="3" s="1"/>
  <c r="AD82" i="3" s="1"/>
  <c r="Q82" i="3"/>
  <c r="AB84" i="3"/>
  <c r="AX88" i="3"/>
  <c r="AI88" i="3"/>
  <c r="AM88" i="3"/>
  <c r="AH88" i="3"/>
  <c r="AP88" i="3"/>
  <c r="U84" i="3"/>
  <c r="V84" i="3" s="1"/>
  <c r="F86" i="3"/>
  <c r="G86" i="3" s="1"/>
  <c r="H86" i="3" s="1"/>
  <c r="S85" i="3"/>
  <c r="A102" i="3"/>
  <c r="AG101" i="3"/>
  <c r="Y86" i="3"/>
  <c r="X88" i="3"/>
  <c r="B89" i="3"/>
  <c r="T88" i="3"/>
  <c r="K88" i="3"/>
  <c r="C88" i="3"/>
  <c r="J87" i="3"/>
  <c r="M87" i="3" s="1"/>
  <c r="E87" i="3"/>
  <c r="D87" i="3"/>
  <c r="R85" i="3"/>
  <c r="AR49" i="3" l="1"/>
  <c r="AQ49" i="3" s="1"/>
  <c r="AU49" i="3" s="1"/>
  <c r="BA85" i="3"/>
  <c r="AE82" i="3"/>
  <c r="AF82" i="3" s="1"/>
  <c r="AN49" i="3"/>
  <c r="O49" i="3"/>
  <c r="AV49" i="3"/>
  <c r="AA86" i="3"/>
  <c r="Z86" i="3"/>
  <c r="W83" i="3"/>
  <c r="AC83" i="3" s="1"/>
  <c r="Q83" i="3"/>
  <c r="AP89" i="3"/>
  <c r="AX89" i="3"/>
  <c r="AI89" i="3"/>
  <c r="AM89" i="3"/>
  <c r="AH89" i="3"/>
  <c r="U85" i="3"/>
  <c r="V85" i="3" s="1"/>
  <c r="AB85" i="3"/>
  <c r="A103" i="3"/>
  <c r="AG102" i="3"/>
  <c r="S86" i="3"/>
  <c r="Y87" i="3"/>
  <c r="X89" i="3"/>
  <c r="F87" i="3"/>
  <c r="G87" i="3" s="1"/>
  <c r="H87" i="3" s="1"/>
  <c r="R86" i="3"/>
  <c r="B90" i="3"/>
  <c r="T89" i="3"/>
  <c r="K89" i="3"/>
  <c r="C89" i="3"/>
  <c r="E88" i="3"/>
  <c r="J88" i="3"/>
  <c r="M88" i="3" s="1"/>
  <c r="D88" i="3"/>
  <c r="BA86" i="3" l="1"/>
  <c r="AW49" i="3"/>
  <c r="P50" i="3"/>
  <c r="AO50" i="3"/>
  <c r="AS49" i="3"/>
  <c r="AT50" i="3"/>
  <c r="AL50" i="3"/>
  <c r="N50" i="3"/>
  <c r="AK50" i="3" s="1"/>
  <c r="I50" i="3"/>
  <c r="AJ50" i="3" s="1"/>
  <c r="AA87" i="3"/>
  <c r="Z87" i="3"/>
  <c r="W84" i="3"/>
  <c r="AC84" i="3" s="1"/>
  <c r="AD84" i="3" s="1"/>
  <c r="AD83" i="3"/>
  <c r="AI90" i="3"/>
  <c r="AX90" i="3"/>
  <c r="AM90" i="3"/>
  <c r="AH90" i="3"/>
  <c r="AP90" i="3"/>
  <c r="U86" i="3"/>
  <c r="V86" i="3" s="1"/>
  <c r="A104" i="3"/>
  <c r="AG103" i="3"/>
  <c r="AB86" i="3"/>
  <c r="S87" i="3"/>
  <c r="Y88" i="3"/>
  <c r="X90" i="3"/>
  <c r="R87" i="3"/>
  <c r="D89" i="3"/>
  <c r="E89" i="3"/>
  <c r="J89" i="3"/>
  <c r="M89" i="3" s="1"/>
  <c r="B91" i="3"/>
  <c r="T90" i="3"/>
  <c r="K90" i="3"/>
  <c r="C90" i="3"/>
  <c r="F88" i="3"/>
  <c r="G88" i="3" s="1"/>
  <c r="H88" i="3" s="1"/>
  <c r="AR50" i="3" l="1"/>
  <c r="AQ50" i="3" s="1"/>
  <c r="AU50" i="3" s="1"/>
  <c r="BA87" i="3"/>
  <c r="AE84" i="3"/>
  <c r="AF84" i="3" s="1"/>
  <c r="AE83" i="3"/>
  <c r="AF83" i="3" s="1"/>
  <c r="AG83" i="3" s="1"/>
  <c r="AI83" i="3" s="1"/>
  <c r="Q84" i="3" s="1"/>
  <c r="W85" i="3" s="1"/>
  <c r="AC85" i="3" s="1"/>
  <c r="AD85" i="3" s="1"/>
  <c r="AV50" i="3"/>
  <c r="AN50" i="3"/>
  <c r="O50" i="3"/>
  <c r="AA88" i="3"/>
  <c r="Z88" i="3"/>
  <c r="AP91" i="3"/>
  <c r="AI91" i="3"/>
  <c r="AX91" i="3"/>
  <c r="AM91" i="3"/>
  <c r="AH91" i="3"/>
  <c r="U87" i="3"/>
  <c r="V87" i="3" s="1"/>
  <c r="S88" i="3"/>
  <c r="A105" i="3"/>
  <c r="AG104" i="3"/>
  <c r="AB87" i="3"/>
  <c r="Y89" i="3"/>
  <c r="X91" i="3"/>
  <c r="B92" i="3"/>
  <c r="T91" i="3"/>
  <c r="K91" i="3"/>
  <c r="C91" i="3"/>
  <c r="E90" i="3"/>
  <c r="D90" i="3"/>
  <c r="J90" i="3"/>
  <c r="M90" i="3" s="1"/>
  <c r="F89" i="3"/>
  <c r="G89" i="3" s="1"/>
  <c r="H89" i="3" s="1"/>
  <c r="R88" i="3"/>
  <c r="BA88" i="3" l="1"/>
  <c r="AW50" i="3"/>
  <c r="Q85" i="3"/>
  <c r="W86" i="3" s="1"/>
  <c r="AC86" i="3" s="1"/>
  <c r="AD86" i="3" s="1"/>
  <c r="AE86" i="3" s="1"/>
  <c r="AF86" i="3" s="1"/>
  <c r="AE85" i="3"/>
  <c r="AF85" i="3" s="1"/>
  <c r="AS50" i="3"/>
  <c r="AO51" i="3"/>
  <c r="AL51" i="3"/>
  <c r="I51" i="3"/>
  <c r="AJ51" i="3" s="1"/>
  <c r="AT51" i="3"/>
  <c r="P51" i="3"/>
  <c r="N51" i="3"/>
  <c r="AK51" i="3" s="1"/>
  <c r="Z89" i="3"/>
  <c r="AA89" i="3"/>
  <c r="Y90" i="3"/>
  <c r="AI92" i="3"/>
  <c r="AX92" i="3"/>
  <c r="AM92" i="3"/>
  <c r="AH92" i="3"/>
  <c r="AP92" i="3"/>
  <c r="AB88" i="3"/>
  <c r="U88" i="3"/>
  <c r="V88" i="3" s="1"/>
  <c r="A106" i="3"/>
  <c r="AG105" i="3"/>
  <c r="F90" i="3"/>
  <c r="G90" i="3" s="1"/>
  <c r="H90" i="3" s="1"/>
  <c r="S89" i="3"/>
  <c r="X92" i="3"/>
  <c r="R89" i="3"/>
  <c r="B93" i="3"/>
  <c r="T92" i="3"/>
  <c r="K92" i="3"/>
  <c r="C92" i="3"/>
  <c r="J91" i="3"/>
  <c r="M91" i="3" s="1"/>
  <c r="D91" i="3"/>
  <c r="E91" i="3"/>
  <c r="AR51" i="3" l="1"/>
  <c r="AQ51" i="3" s="1"/>
  <c r="AU51" i="3" s="1"/>
  <c r="Q86" i="3"/>
  <c r="Q87" i="3" s="1"/>
  <c r="W88" i="3" s="1"/>
  <c r="AC88" i="3" s="1"/>
  <c r="AD88" i="3" s="1"/>
  <c r="BA89" i="3"/>
  <c r="AV51" i="3"/>
  <c r="AN51" i="3"/>
  <c r="O51" i="3"/>
  <c r="AA90" i="3"/>
  <c r="Z90" i="3"/>
  <c r="AX93" i="3"/>
  <c r="AI93" i="3"/>
  <c r="AM93" i="3"/>
  <c r="AH93" i="3"/>
  <c r="AP93" i="3"/>
  <c r="U89" i="3"/>
  <c r="V89" i="3" s="1"/>
  <c r="S90" i="3"/>
  <c r="AB89" i="3"/>
  <c r="A107" i="3"/>
  <c r="AG106" i="3"/>
  <c r="X93" i="3"/>
  <c r="Y91" i="3"/>
  <c r="F91" i="3"/>
  <c r="G91" i="3" s="1"/>
  <c r="H91" i="3" s="1"/>
  <c r="R90" i="3"/>
  <c r="D92" i="3"/>
  <c r="E92" i="3"/>
  <c r="J92" i="3"/>
  <c r="M92" i="3" s="1"/>
  <c r="B94" i="3"/>
  <c r="T93" i="3"/>
  <c r="K93" i="3"/>
  <c r="C93" i="3"/>
  <c r="BA90" i="3" l="1"/>
  <c r="W87" i="3"/>
  <c r="AC87" i="3" s="1"/>
  <c r="AD87" i="3" s="1"/>
  <c r="AE87" i="3" s="1"/>
  <c r="AF87" i="3" s="1"/>
  <c r="Q88" i="3"/>
  <c r="W89" i="3" s="1"/>
  <c r="AC89" i="3" s="1"/>
  <c r="AD89" i="3" s="1"/>
  <c r="AW51" i="3"/>
  <c r="P52" i="3"/>
  <c r="AO52" i="3"/>
  <c r="I52" i="3"/>
  <c r="AJ52" i="3" s="1"/>
  <c r="AL52" i="3"/>
  <c r="N52" i="3"/>
  <c r="AK52" i="3" s="1"/>
  <c r="AS51" i="3"/>
  <c r="AT52" i="3"/>
  <c r="AA91" i="3"/>
  <c r="Z91" i="3"/>
  <c r="U90" i="3"/>
  <c r="V90" i="3" s="1"/>
  <c r="AP94" i="3"/>
  <c r="AI94" i="3"/>
  <c r="AX94" i="3"/>
  <c r="AM94" i="3"/>
  <c r="AH94" i="3"/>
  <c r="AB90" i="3"/>
  <c r="AE88" i="3"/>
  <c r="AF88" i="3" s="1"/>
  <c r="F92" i="3"/>
  <c r="G92" i="3" s="1"/>
  <c r="H92" i="3" s="1"/>
  <c r="S91" i="3"/>
  <c r="A108" i="3"/>
  <c r="Y92" i="3"/>
  <c r="X94" i="3"/>
  <c r="R91" i="3"/>
  <c r="B95" i="3"/>
  <c r="AW95" i="3" s="1"/>
  <c r="T94" i="3"/>
  <c r="K94" i="3"/>
  <c r="C94" i="3"/>
  <c r="J93" i="3"/>
  <c r="M93" i="3" s="1"/>
  <c r="D93" i="3"/>
  <c r="E93" i="3"/>
  <c r="AR52" i="3" l="1"/>
  <c r="AQ52" i="3" s="1"/>
  <c r="AU52" i="3" s="1"/>
  <c r="Q89" i="3"/>
  <c r="W90" i="3" s="1"/>
  <c r="AC90" i="3" s="1"/>
  <c r="AD90" i="3" s="1"/>
  <c r="BA91" i="3"/>
  <c r="AN52" i="3"/>
  <c r="AV52" i="3"/>
  <c r="O52" i="3"/>
  <c r="AP95" i="3"/>
  <c r="AA92" i="3"/>
  <c r="Z92" i="3"/>
  <c r="AX95" i="3"/>
  <c r="AM95" i="3"/>
  <c r="AH95" i="3"/>
  <c r="U91" i="3"/>
  <c r="V91" i="3" s="1"/>
  <c r="AE89" i="3"/>
  <c r="AF89" i="3" s="1"/>
  <c r="AB91" i="3"/>
  <c r="S92" i="3"/>
  <c r="A109" i="3"/>
  <c r="AG108" i="3"/>
  <c r="Y93" i="3"/>
  <c r="X95" i="3"/>
  <c r="F93" i="3"/>
  <c r="G93" i="3" s="1"/>
  <c r="H93" i="3" s="1"/>
  <c r="R92" i="3"/>
  <c r="B96" i="3"/>
  <c r="T95" i="3"/>
  <c r="K95" i="3"/>
  <c r="C95" i="3"/>
  <c r="D94" i="3"/>
  <c r="E94" i="3"/>
  <c r="J94" i="3"/>
  <c r="M94" i="3" s="1"/>
  <c r="BA92" i="3" l="1"/>
  <c r="Q90" i="3"/>
  <c r="W91" i="3" s="1"/>
  <c r="AC91" i="3" s="1"/>
  <c r="AD91" i="3" s="1"/>
  <c r="AW52" i="3"/>
  <c r="N53" i="3"/>
  <c r="AK53" i="3" s="1"/>
  <c r="AO53" i="3"/>
  <c r="P53" i="3"/>
  <c r="AL53" i="3"/>
  <c r="I53" i="3"/>
  <c r="AJ53" i="3" s="1"/>
  <c r="AS52" i="3"/>
  <c r="AT53" i="3"/>
  <c r="F94" i="3"/>
  <c r="G94" i="3" s="1"/>
  <c r="H94" i="3" s="1"/>
  <c r="AA93" i="3"/>
  <c r="Z93" i="3"/>
  <c r="U92" i="3"/>
  <c r="V92" i="3" s="1"/>
  <c r="AX96" i="3"/>
  <c r="AI96" i="3"/>
  <c r="AM96" i="3"/>
  <c r="AH96" i="3"/>
  <c r="AP96" i="3"/>
  <c r="AB92" i="3"/>
  <c r="AE90" i="3"/>
  <c r="AF90" i="3" s="1"/>
  <c r="A110" i="3"/>
  <c r="AG109" i="3"/>
  <c r="S93" i="3"/>
  <c r="X96" i="3"/>
  <c r="Y94" i="3"/>
  <c r="R93" i="3"/>
  <c r="B97" i="3"/>
  <c r="T96" i="3"/>
  <c r="K96" i="3"/>
  <c r="C96" i="3"/>
  <c r="D95" i="3"/>
  <c r="E95" i="3"/>
  <c r="J95" i="3"/>
  <c r="M95" i="3" s="1"/>
  <c r="AR53" i="3" l="1"/>
  <c r="AQ53" i="3" s="1"/>
  <c r="AU53" i="3" s="1"/>
  <c r="Q91" i="3"/>
  <c r="W92" i="3" s="1"/>
  <c r="AC92" i="3" s="1"/>
  <c r="AD92" i="3" s="1"/>
  <c r="BA93" i="3"/>
  <c r="AV53" i="3"/>
  <c r="AN53" i="3"/>
  <c r="O53" i="3"/>
  <c r="AA94" i="3"/>
  <c r="Z94" i="3"/>
  <c r="AP97" i="3"/>
  <c r="AX97" i="3"/>
  <c r="AI97" i="3"/>
  <c r="AM97" i="3"/>
  <c r="AH97" i="3"/>
  <c r="U93" i="3"/>
  <c r="V93" i="3" s="1"/>
  <c r="AE91" i="3"/>
  <c r="AF91" i="3" s="1"/>
  <c r="S94" i="3"/>
  <c r="AB93" i="3"/>
  <c r="A111" i="3"/>
  <c r="AG110" i="3"/>
  <c r="X97" i="3"/>
  <c r="Y95" i="3"/>
  <c r="F95" i="3"/>
  <c r="G95" i="3" s="1"/>
  <c r="H95" i="3" s="1"/>
  <c r="R94" i="3"/>
  <c r="B98" i="3"/>
  <c r="T97" i="3"/>
  <c r="K97" i="3"/>
  <c r="C97" i="3"/>
  <c r="E96" i="3"/>
  <c r="J96" i="3"/>
  <c r="M96" i="3" s="1"/>
  <c r="D96" i="3"/>
  <c r="Q92" i="3" l="1"/>
  <c r="W93" i="3" s="1"/>
  <c r="AC93" i="3" s="1"/>
  <c r="AD93" i="3" s="1"/>
  <c r="BA94" i="3"/>
  <c r="AW53" i="3"/>
  <c r="P54" i="3"/>
  <c r="AO54" i="3"/>
  <c r="AL54" i="3"/>
  <c r="N54" i="3"/>
  <c r="AK54" i="3" s="1"/>
  <c r="AT54" i="3"/>
  <c r="AS53" i="3"/>
  <c r="I54" i="3"/>
  <c r="AJ54" i="3" s="1"/>
  <c r="Z95" i="3"/>
  <c r="AA95" i="3"/>
  <c r="Y96" i="3"/>
  <c r="AX98" i="3"/>
  <c r="AI98" i="3"/>
  <c r="AM98" i="3"/>
  <c r="AH98" i="3"/>
  <c r="AP98" i="3"/>
  <c r="U94" i="3"/>
  <c r="V94" i="3" s="1"/>
  <c r="AE92" i="3"/>
  <c r="AF92" i="3" s="1"/>
  <c r="F96" i="3"/>
  <c r="G96" i="3" s="1"/>
  <c r="H96" i="3" s="1"/>
  <c r="S95" i="3"/>
  <c r="AB94" i="3"/>
  <c r="A112" i="3"/>
  <c r="AG111" i="3"/>
  <c r="X98" i="3"/>
  <c r="R95" i="3"/>
  <c r="B99" i="3"/>
  <c r="T98" i="3"/>
  <c r="K98" i="3"/>
  <c r="C98" i="3"/>
  <c r="J97" i="3"/>
  <c r="M97" i="3" s="1"/>
  <c r="E97" i="3"/>
  <c r="D97" i="3"/>
  <c r="AR54" i="3" l="1"/>
  <c r="AQ54" i="3" s="1"/>
  <c r="AU54" i="3" s="1"/>
  <c r="Q93" i="3"/>
  <c r="W94" i="3" s="1"/>
  <c r="AC94" i="3" s="1"/>
  <c r="AD94" i="3" s="1"/>
  <c r="BA95" i="3"/>
  <c r="AV54" i="3"/>
  <c r="AN54" i="3"/>
  <c r="O54" i="3"/>
  <c r="AO55" i="3" s="1"/>
  <c r="Z96" i="3"/>
  <c r="AA96" i="3"/>
  <c r="AP99" i="3"/>
  <c r="AI99" i="3"/>
  <c r="AX99" i="3"/>
  <c r="AM99" i="3"/>
  <c r="AH99" i="3"/>
  <c r="AB95" i="3"/>
  <c r="U95" i="3"/>
  <c r="V95" i="3" s="1"/>
  <c r="AE93" i="3"/>
  <c r="AF93" i="3" s="1"/>
  <c r="A113" i="3"/>
  <c r="AG112" i="3"/>
  <c r="S96" i="3"/>
  <c r="Y97" i="3"/>
  <c r="X99" i="3"/>
  <c r="F97" i="3"/>
  <c r="G97" i="3" s="1"/>
  <c r="H97" i="3" s="1"/>
  <c r="R96" i="3"/>
  <c r="B100" i="3"/>
  <c r="T99" i="3"/>
  <c r="K99" i="3"/>
  <c r="C99" i="3"/>
  <c r="E98" i="3"/>
  <c r="J98" i="3"/>
  <c r="M98" i="3" s="1"/>
  <c r="D98" i="3"/>
  <c r="Q94" i="3" l="1"/>
  <c r="W95" i="3" s="1"/>
  <c r="AC95" i="3" s="1"/>
  <c r="AD95" i="3" s="1"/>
  <c r="AW54" i="3"/>
  <c r="BA96" i="3"/>
  <c r="AT55" i="3"/>
  <c r="AL55" i="3"/>
  <c r="I55" i="3"/>
  <c r="AJ55" i="3" s="1"/>
  <c r="P55" i="3"/>
  <c r="N55" i="3"/>
  <c r="AK55" i="3" s="1"/>
  <c r="AS54" i="3"/>
  <c r="F98" i="3"/>
  <c r="G98" i="3" s="1"/>
  <c r="H98" i="3" s="1"/>
  <c r="Z97" i="3"/>
  <c r="AA97" i="3"/>
  <c r="AB96" i="3"/>
  <c r="AI100" i="3"/>
  <c r="AX100" i="3"/>
  <c r="AM100" i="3"/>
  <c r="AH100" i="3"/>
  <c r="AP100" i="3"/>
  <c r="U96" i="3"/>
  <c r="V96" i="3" s="1"/>
  <c r="AE94" i="3"/>
  <c r="AF94" i="3" s="1"/>
  <c r="A114" i="3"/>
  <c r="AG113" i="3"/>
  <c r="S97" i="3"/>
  <c r="Y98" i="3"/>
  <c r="X100" i="3"/>
  <c r="R97" i="3"/>
  <c r="B101" i="3"/>
  <c r="T100" i="3"/>
  <c r="K100" i="3"/>
  <c r="C100" i="3"/>
  <c r="D99" i="3"/>
  <c r="J99" i="3"/>
  <c r="M99" i="3" s="1"/>
  <c r="E99" i="3"/>
  <c r="AR55" i="3" l="1"/>
  <c r="AQ55" i="3" s="1"/>
  <c r="AU55" i="3" s="1"/>
  <c r="Q95" i="3"/>
  <c r="W96" i="3" s="1"/>
  <c r="AC96" i="3" s="1"/>
  <c r="AD96" i="3" s="1"/>
  <c r="BA97" i="3"/>
  <c r="AV55" i="3"/>
  <c r="AN55" i="3"/>
  <c r="O55" i="3"/>
  <c r="AO56" i="3" s="1"/>
  <c r="AA98" i="3"/>
  <c r="Z98" i="3"/>
  <c r="AP101" i="3"/>
  <c r="AX101" i="3"/>
  <c r="AI101" i="3"/>
  <c r="AM101" i="3"/>
  <c r="AH101" i="3"/>
  <c r="U97" i="3"/>
  <c r="V97" i="3" s="1"/>
  <c r="AE95" i="3"/>
  <c r="AF95" i="3" s="1"/>
  <c r="AB97" i="3"/>
  <c r="S98" i="3"/>
  <c r="A115" i="3"/>
  <c r="AG114" i="3"/>
  <c r="X101" i="3"/>
  <c r="Y99" i="3"/>
  <c r="J100" i="3"/>
  <c r="M100" i="3" s="1"/>
  <c r="D100" i="3"/>
  <c r="E100" i="3"/>
  <c r="F99" i="3"/>
  <c r="G99" i="3" s="1"/>
  <c r="H99" i="3" s="1"/>
  <c r="R98" i="3"/>
  <c r="B102" i="3"/>
  <c r="T101" i="3"/>
  <c r="K101" i="3"/>
  <c r="C101" i="3"/>
  <c r="BA98" i="3" l="1"/>
  <c r="AW55" i="3"/>
  <c r="AT56" i="3"/>
  <c r="AS55" i="3"/>
  <c r="N56" i="3"/>
  <c r="AK56" i="3" s="1"/>
  <c r="AL56" i="3"/>
  <c r="I56" i="3"/>
  <c r="AJ56" i="3" s="1"/>
  <c r="P56" i="3"/>
  <c r="AA99" i="3"/>
  <c r="Z99" i="3"/>
  <c r="Y100" i="3"/>
  <c r="AX102" i="3"/>
  <c r="AI102" i="3"/>
  <c r="AM102" i="3"/>
  <c r="AH102" i="3"/>
  <c r="AP102" i="3"/>
  <c r="AG95" i="3"/>
  <c r="AI95" i="3" s="1"/>
  <c r="Q96" i="3" s="1"/>
  <c r="AB98" i="3"/>
  <c r="U98" i="3"/>
  <c r="V98" i="3" s="1"/>
  <c r="AE96" i="3"/>
  <c r="AF96" i="3" s="1"/>
  <c r="S99" i="3"/>
  <c r="A116" i="3"/>
  <c r="AG115" i="3"/>
  <c r="X102" i="3"/>
  <c r="R99" i="3"/>
  <c r="F100" i="3"/>
  <c r="G100" i="3" s="1"/>
  <c r="H100" i="3" s="1"/>
  <c r="B103" i="3"/>
  <c r="T102" i="3"/>
  <c r="K102" i="3"/>
  <c r="C102" i="3"/>
  <c r="D101" i="3"/>
  <c r="E101" i="3"/>
  <c r="J101" i="3"/>
  <c r="M101" i="3" s="1"/>
  <c r="AR56" i="3" l="1"/>
  <c r="AQ56" i="3" s="1"/>
  <c r="AU56" i="3" s="1"/>
  <c r="BA99" i="3"/>
  <c r="AV56" i="3"/>
  <c r="AN56" i="3"/>
  <c r="O56" i="3"/>
  <c r="AO57" i="3" s="1"/>
  <c r="AA100" i="3"/>
  <c r="Z100" i="3"/>
  <c r="AP103" i="3"/>
  <c r="AI103" i="3"/>
  <c r="AX103" i="3"/>
  <c r="AM103" i="3"/>
  <c r="AH103" i="3"/>
  <c r="AB99" i="3"/>
  <c r="W97" i="3"/>
  <c r="AC97" i="3" s="1"/>
  <c r="AD97" i="3" s="1"/>
  <c r="Q97" i="3"/>
  <c r="W98" i="3" s="1"/>
  <c r="AC98" i="3" s="1"/>
  <c r="AD98" i="3" s="1"/>
  <c r="U99" i="3"/>
  <c r="V99" i="3" s="1"/>
  <c r="S100" i="3"/>
  <c r="A117" i="3"/>
  <c r="AG116" i="3"/>
  <c r="Y101" i="3"/>
  <c r="X103" i="3"/>
  <c r="F101" i="3"/>
  <c r="G101" i="3" s="1"/>
  <c r="H101" i="3" s="1"/>
  <c r="R100" i="3"/>
  <c r="B104" i="3"/>
  <c r="T103" i="3"/>
  <c r="K103" i="3"/>
  <c r="C103" i="3"/>
  <c r="D102" i="3"/>
  <c r="E102" i="3"/>
  <c r="J102" i="3"/>
  <c r="M102" i="3" s="1"/>
  <c r="BA100" i="3" l="1"/>
  <c r="AW56" i="3"/>
  <c r="AE97" i="3"/>
  <c r="AF97" i="3" s="1"/>
  <c r="P57" i="3"/>
  <c r="AS56" i="3"/>
  <c r="I57" i="3"/>
  <c r="AJ57" i="3" s="1"/>
  <c r="AL57" i="3"/>
  <c r="AT57" i="3"/>
  <c r="N57" i="3"/>
  <c r="AK57" i="3" s="1"/>
  <c r="F102" i="3"/>
  <c r="G102" i="3" s="1"/>
  <c r="H102" i="3" s="1"/>
  <c r="AA101" i="3"/>
  <c r="Z101" i="3"/>
  <c r="Y102" i="3"/>
  <c r="AX104" i="3"/>
  <c r="AI104" i="3"/>
  <c r="AM104" i="3"/>
  <c r="AH104" i="3"/>
  <c r="AP104" i="3"/>
  <c r="U100" i="3"/>
  <c r="V100" i="3" s="1"/>
  <c r="Q98" i="3"/>
  <c r="W99" i="3" s="1"/>
  <c r="AC99" i="3" s="1"/>
  <c r="AD99" i="3" s="1"/>
  <c r="AB100" i="3"/>
  <c r="AE98" i="3"/>
  <c r="AF98" i="3" s="1"/>
  <c r="S101" i="3"/>
  <c r="A118" i="3"/>
  <c r="AG117" i="3"/>
  <c r="X104" i="3"/>
  <c r="R101" i="3"/>
  <c r="B105" i="3"/>
  <c r="T104" i="3"/>
  <c r="K104" i="3"/>
  <c r="C104" i="3"/>
  <c r="J103" i="3"/>
  <c r="M103" i="3" s="1"/>
  <c r="D103" i="3"/>
  <c r="E103" i="3"/>
  <c r="AR57" i="3" l="1"/>
  <c r="AQ57" i="3" s="1"/>
  <c r="AU57" i="3" s="1"/>
  <c r="BA101" i="3"/>
  <c r="AN57" i="3"/>
  <c r="AV57" i="3"/>
  <c r="O57" i="3"/>
  <c r="N58" i="3" s="1"/>
  <c r="AK58" i="3" s="1"/>
  <c r="AA102" i="3"/>
  <c r="Z102" i="3"/>
  <c r="AP105" i="3"/>
  <c r="AX105" i="3"/>
  <c r="AI105" i="3"/>
  <c r="AM105" i="3"/>
  <c r="AH105" i="3"/>
  <c r="Q99" i="3"/>
  <c r="W100" i="3" s="1"/>
  <c r="AC100" i="3" s="1"/>
  <c r="AD100" i="3" s="1"/>
  <c r="AB101" i="3"/>
  <c r="U101" i="3"/>
  <c r="V101" i="3" s="1"/>
  <c r="AE99" i="3"/>
  <c r="AF99" i="3" s="1"/>
  <c r="A119" i="3"/>
  <c r="AG118" i="3"/>
  <c r="S102" i="3"/>
  <c r="Y103" i="3"/>
  <c r="X105" i="3"/>
  <c r="F103" i="3"/>
  <c r="G103" i="3" s="1"/>
  <c r="H103" i="3" s="1"/>
  <c r="R102" i="3"/>
  <c r="B106" i="3"/>
  <c r="T105" i="3"/>
  <c r="K105" i="3"/>
  <c r="C105" i="3"/>
  <c r="J104" i="3"/>
  <c r="M104" i="3" s="1"/>
  <c r="D104" i="3"/>
  <c r="E104" i="3"/>
  <c r="BA102" i="3" l="1"/>
  <c r="AW57" i="3"/>
  <c r="P58" i="3"/>
  <c r="AO58" i="3"/>
  <c r="AT58" i="3"/>
  <c r="AS57" i="3"/>
  <c r="AL58" i="3"/>
  <c r="I58" i="3"/>
  <c r="AJ58" i="3" s="1"/>
  <c r="Z103" i="3"/>
  <c r="AA103" i="3"/>
  <c r="Q100" i="3"/>
  <c r="W101" i="3" s="1"/>
  <c r="AC101" i="3" s="1"/>
  <c r="AD101" i="3" s="1"/>
  <c r="AX106" i="3"/>
  <c r="AI106" i="3"/>
  <c r="AM106" i="3"/>
  <c r="AH106" i="3"/>
  <c r="AP106" i="3"/>
  <c r="U102" i="3"/>
  <c r="V102" i="3" s="1"/>
  <c r="AB102" i="3"/>
  <c r="AE100" i="3"/>
  <c r="AF100" i="3" s="1"/>
  <c r="F104" i="3"/>
  <c r="G104" i="3" s="1"/>
  <c r="H104" i="3" s="1"/>
  <c r="S103" i="3"/>
  <c r="A120" i="3"/>
  <c r="Y104" i="3"/>
  <c r="X106" i="3"/>
  <c r="B107" i="3"/>
  <c r="AW107" i="3" s="1"/>
  <c r="T106" i="3"/>
  <c r="K106" i="3"/>
  <c r="C106" i="3"/>
  <c r="E105" i="3"/>
  <c r="D105" i="3"/>
  <c r="J105" i="3"/>
  <c r="M105" i="3" s="1"/>
  <c r="R103" i="3"/>
  <c r="AR58" i="3" l="1"/>
  <c r="AQ58" i="3" s="1"/>
  <c r="AU58" i="3" s="1"/>
  <c r="BA103" i="3"/>
  <c r="AV58" i="3"/>
  <c r="AN58" i="3"/>
  <c r="O58" i="3"/>
  <c r="Z104" i="3"/>
  <c r="AA104" i="3"/>
  <c r="AP107" i="3"/>
  <c r="Q101" i="3"/>
  <c r="W102" i="3" s="1"/>
  <c r="AC102" i="3" s="1"/>
  <c r="AD102" i="3" s="1"/>
  <c r="AX107" i="3"/>
  <c r="AM107" i="3"/>
  <c r="AH107" i="3"/>
  <c r="U103" i="3"/>
  <c r="V103" i="3" s="1"/>
  <c r="AB103" i="3"/>
  <c r="AE101" i="3"/>
  <c r="AF101" i="3" s="1"/>
  <c r="S104" i="3"/>
  <c r="A121" i="3"/>
  <c r="AG120" i="3"/>
  <c r="Y105" i="3"/>
  <c r="X107" i="3"/>
  <c r="D106" i="3"/>
  <c r="E106" i="3"/>
  <c r="J106" i="3"/>
  <c r="M106" i="3" s="1"/>
  <c r="F105" i="3"/>
  <c r="G105" i="3" s="1"/>
  <c r="H105" i="3" s="1"/>
  <c r="R104" i="3"/>
  <c r="B108" i="3"/>
  <c r="T107" i="3"/>
  <c r="K107" i="3"/>
  <c r="C107" i="3"/>
  <c r="AW58" i="3" l="1"/>
  <c r="BA104" i="3"/>
  <c r="AS58" i="3"/>
  <c r="AO59" i="3"/>
  <c r="N59" i="3"/>
  <c r="AK59" i="3" s="1"/>
  <c r="I59" i="3"/>
  <c r="AJ59" i="3" s="1"/>
  <c r="AL59" i="3"/>
  <c r="AT59" i="3"/>
  <c r="P59" i="3"/>
  <c r="Z105" i="3"/>
  <c r="AA105" i="3"/>
  <c r="Q102" i="3"/>
  <c r="W103" i="3" s="1"/>
  <c r="AC103" i="3" s="1"/>
  <c r="AD103" i="3" s="1"/>
  <c r="AI108" i="3"/>
  <c r="AX108" i="3"/>
  <c r="AM108" i="3"/>
  <c r="AH108" i="3"/>
  <c r="AP108" i="3"/>
  <c r="U104" i="3"/>
  <c r="V104" i="3" s="1"/>
  <c r="AE102" i="3"/>
  <c r="AF102" i="3" s="1"/>
  <c r="A122" i="3"/>
  <c r="AG121" i="3"/>
  <c r="AB104" i="3"/>
  <c r="S105" i="3"/>
  <c r="Y106" i="3"/>
  <c r="X108" i="3"/>
  <c r="R105" i="3"/>
  <c r="B109" i="3"/>
  <c r="T108" i="3"/>
  <c r="K108" i="3"/>
  <c r="C108" i="3"/>
  <c r="F106" i="3"/>
  <c r="G106" i="3" s="1"/>
  <c r="H106" i="3" s="1"/>
  <c r="J107" i="3"/>
  <c r="M107" i="3" s="1"/>
  <c r="E107" i="3"/>
  <c r="D107" i="3"/>
  <c r="AR59" i="3" l="1"/>
  <c r="AQ59" i="3" s="1"/>
  <c r="AU59" i="3" s="1"/>
  <c r="BA105" i="3"/>
  <c r="O59" i="3"/>
  <c r="AN59" i="3"/>
  <c r="AV59" i="3"/>
  <c r="AA106" i="3"/>
  <c r="Z106" i="3"/>
  <c r="Q103" i="3"/>
  <c r="W104" i="3" s="1"/>
  <c r="AC104" i="3" s="1"/>
  <c r="AD104" i="3" s="1"/>
  <c r="AI109" i="3"/>
  <c r="AX109" i="3"/>
  <c r="AM109" i="3"/>
  <c r="AH109" i="3"/>
  <c r="AP109" i="3"/>
  <c r="AB105" i="3"/>
  <c r="U105" i="3"/>
  <c r="V105" i="3" s="1"/>
  <c r="AE103" i="3"/>
  <c r="AF103" i="3" s="1"/>
  <c r="S106" i="3"/>
  <c r="A123" i="3"/>
  <c r="AG122" i="3"/>
  <c r="Y107" i="3"/>
  <c r="X109" i="3"/>
  <c r="D108" i="3"/>
  <c r="E108" i="3"/>
  <c r="J108" i="3"/>
  <c r="M108" i="3" s="1"/>
  <c r="F107" i="3"/>
  <c r="G107" i="3" s="1"/>
  <c r="H107" i="3" s="1"/>
  <c r="R106" i="3"/>
  <c r="B110" i="3"/>
  <c r="T109" i="3"/>
  <c r="K109" i="3"/>
  <c r="C109" i="3"/>
  <c r="BA106" i="3" l="1"/>
  <c r="P60" i="3"/>
  <c r="AO60" i="3"/>
  <c r="AT60" i="3"/>
  <c r="AL60" i="3"/>
  <c r="I60" i="3"/>
  <c r="AJ60" i="3" s="1"/>
  <c r="N60" i="3"/>
  <c r="AK60" i="3" s="1"/>
  <c r="AS59" i="3"/>
  <c r="AA107" i="3"/>
  <c r="Z107" i="3"/>
  <c r="Q104" i="3"/>
  <c r="W105" i="3" s="1"/>
  <c r="AC105" i="3" s="1"/>
  <c r="Y108" i="3"/>
  <c r="AP110" i="3"/>
  <c r="AI110" i="3"/>
  <c r="AX110" i="3"/>
  <c r="AH110" i="3"/>
  <c r="AB106" i="3"/>
  <c r="U106" i="3"/>
  <c r="V106" i="3" s="1"/>
  <c r="AE104" i="3"/>
  <c r="AF104" i="3" s="1"/>
  <c r="F108" i="3"/>
  <c r="G108" i="3" s="1"/>
  <c r="H108" i="3" s="1"/>
  <c r="S107" i="3"/>
  <c r="A124" i="3"/>
  <c r="AG123" i="3"/>
  <c r="X110" i="3"/>
  <c r="E109" i="3"/>
  <c r="D109" i="3"/>
  <c r="J109" i="3"/>
  <c r="M109" i="3" s="1"/>
  <c r="R107" i="3"/>
  <c r="B111" i="3"/>
  <c r="T110" i="3"/>
  <c r="K110" i="3"/>
  <c r="C110" i="3"/>
  <c r="AR60" i="3" l="1"/>
  <c r="AQ60" i="3" s="1"/>
  <c r="AU60" i="3" s="1"/>
  <c r="BA107" i="3"/>
  <c r="AV60" i="3"/>
  <c r="O60" i="3"/>
  <c r="AL61" i="3" s="1"/>
  <c r="AN60" i="3"/>
  <c r="AA108" i="3"/>
  <c r="Z108" i="3"/>
  <c r="Q105" i="3"/>
  <c r="W106" i="3" s="1"/>
  <c r="AC106" i="3" s="1"/>
  <c r="AD106" i="3" s="1"/>
  <c r="AD105" i="3"/>
  <c r="AP111" i="3"/>
  <c r="AX111" i="3"/>
  <c r="AI111" i="3"/>
  <c r="AM111" i="3"/>
  <c r="AH111" i="3"/>
  <c r="U107" i="3"/>
  <c r="V107" i="3" s="1"/>
  <c r="AB107" i="3"/>
  <c r="A125" i="3"/>
  <c r="AG124" i="3"/>
  <c r="S108" i="3"/>
  <c r="X111" i="3"/>
  <c r="Y109" i="3"/>
  <c r="E110" i="3"/>
  <c r="J110" i="3"/>
  <c r="M110" i="3" s="1"/>
  <c r="D110" i="3"/>
  <c r="F109" i="3"/>
  <c r="G109" i="3" s="1"/>
  <c r="H109" i="3" s="1"/>
  <c r="R108" i="3"/>
  <c r="B112" i="3"/>
  <c r="T111" i="3"/>
  <c r="K111" i="3"/>
  <c r="C111" i="3"/>
  <c r="BA108" i="3" l="1"/>
  <c r="AW60" i="3"/>
  <c r="AE105" i="3"/>
  <c r="AF105" i="3" s="1"/>
  <c r="AS60" i="3"/>
  <c r="AO61" i="3"/>
  <c r="I61" i="3"/>
  <c r="AJ61" i="3" s="1"/>
  <c r="P61" i="3"/>
  <c r="AT61" i="3"/>
  <c r="AV61" i="3" s="1"/>
  <c r="N61" i="3"/>
  <c r="AK61" i="3" s="1"/>
  <c r="AA109" i="3"/>
  <c r="Z109" i="3"/>
  <c r="Q106" i="3"/>
  <c r="W107" i="3" s="1"/>
  <c r="AC107" i="3" s="1"/>
  <c r="AD107" i="3" s="1"/>
  <c r="U108" i="3"/>
  <c r="V108" i="3" s="1"/>
  <c r="AX112" i="3"/>
  <c r="AI112" i="3"/>
  <c r="AM112" i="3"/>
  <c r="AH112" i="3"/>
  <c r="AP112" i="3"/>
  <c r="AE106" i="3"/>
  <c r="AF106" i="3" s="1"/>
  <c r="A126" i="3"/>
  <c r="AG125" i="3"/>
  <c r="F110" i="3"/>
  <c r="G110" i="3" s="1"/>
  <c r="H110" i="3" s="1"/>
  <c r="S109" i="3"/>
  <c r="AB108" i="3"/>
  <c r="X112" i="3"/>
  <c r="Y110" i="3"/>
  <c r="B113" i="3"/>
  <c r="T112" i="3"/>
  <c r="K112" i="3"/>
  <c r="C112" i="3"/>
  <c r="D111" i="3"/>
  <c r="E111" i="3"/>
  <c r="J111" i="3"/>
  <c r="M111" i="3" s="1"/>
  <c r="R109" i="3"/>
  <c r="AR61" i="3" l="1"/>
  <c r="AQ61" i="3" s="1"/>
  <c r="AU61" i="3" s="1"/>
  <c r="BA109" i="3"/>
  <c r="AN61" i="3"/>
  <c r="O61" i="3"/>
  <c r="AS61" i="3" s="1"/>
  <c r="AA110" i="3"/>
  <c r="Z110" i="3"/>
  <c r="Q107" i="3"/>
  <c r="W108" i="3" s="1"/>
  <c r="AC108" i="3" s="1"/>
  <c r="AD108" i="3" s="1"/>
  <c r="AP113" i="3"/>
  <c r="AX113" i="3"/>
  <c r="AI113" i="3"/>
  <c r="AM113" i="3"/>
  <c r="AH113" i="3"/>
  <c r="AB109" i="3"/>
  <c r="U109" i="3"/>
  <c r="V109" i="3" s="1"/>
  <c r="AE107" i="3"/>
  <c r="AF107" i="3" s="1"/>
  <c r="A127" i="3"/>
  <c r="AG126" i="3"/>
  <c r="S110" i="3"/>
  <c r="X113" i="3"/>
  <c r="Y111" i="3"/>
  <c r="F111" i="3"/>
  <c r="G111" i="3" s="1"/>
  <c r="H111" i="3" s="1"/>
  <c r="R110" i="3"/>
  <c r="B114" i="3"/>
  <c r="T113" i="3"/>
  <c r="K113" i="3"/>
  <c r="C113" i="3"/>
  <c r="E112" i="3"/>
  <c r="J112" i="3"/>
  <c r="M112" i="3" s="1"/>
  <c r="D112" i="3"/>
  <c r="BA110" i="3" l="1"/>
  <c r="AW61" i="3"/>
  <c r="AL62" i="3"/>
  <c r="N62" i="3"/>
  <c r="AK62" i="3" s="1"/>
  <c r="AO62" i="3"/>
  <c r="I62" i="3"/>
  <c r="AJ62" i="3" s="1"/>
  <c r="P62" i="3"/>
  <c r="AT62" i="3"/>
  <c r="AA111" i="3"/>
  <c r="Z111" i="3"/>
  <c r="AX114" i="3"/>
  <c r="AI114" i="3"/>
  <c r="AM114" i="3"/>
  <c r="AH114" i="3"/>
  <c r="AP114" i="3"/>
  <c r="AG107" i="3"/>
  <c r="AI107" i="3" s="1"/>
  <c r="Q108" i="3" s="1"/>
  <c r="U110" i="3"/>
  <c r="V110" i="3" s="1"/>
  <c r="AE108" i="3"/>
  <c r="AF108" i="3" s="1"/>
  <c r="A128" i="3"/>
  <c r="AG127" i="3"/>
  <c r="F112" i="3"/>
  <c r="G112" i="3" s="1"/>
  <c r="H112" i="3" s="1"/>
  <c r="S111" i="3"/>
  <c r="AB110" i="3"/>
  <c r="X114" i="3"/>
  <c r="Y112" i="3"/>
  <c r="J113" i="3"/>
  <c r="M113" i="3" s="1"/>
  <c r="D113" i="3"/>
  <c r="E113" i="3"/>
  <c r="R111" i="3"/>
  <c r="B115" i="3"/>
  <c r="T114" i="3"/>
  <c r="K114" i="3"/>
  <c r="C114" i="3"/>
  <c r="AR62" i="3" l="1"/>
  <c r="AQ62" i="3" s="1"/>
  <c r="AU62" i="3" s="1"/>
  <c r="BA111" i="3"/>
  <c r="AV62" i="3"/>
  <c r="AN62" i="3"/>
  <c r="O62" i="3"/>
  <c r="I63" i="3" s="1"/>
  <c r="AJ63" i="3" s="1"/>
  <c r="Z112" i="3"/>
  <c r="AA112" i="3"/>
  <c r="AP115" i="3"/>
  <c r="AX115" i="3"/>
  <c r="AI115" i="3"/>
  <c r="AM115" i="3"/>
  <c r="AH115" i="3"/>
  <c r="U111" i="3"/>
  <c r="V111" i="3" s="1"/>
  <c r="W109" i="3"/>
  <c r="AC109" i="3" s="1"/>
  <c r="AD109" i="3" s="1"/>
  <c r="Q109" i="3"/>
  <c r="A129" i="3"/>
  <c r="AG128" i="3"/>
  <c r="S112" i="3"/>
  <c r="Y113" i="3"/>
  <c r="AB111" i="3"/>
  <c r="X115" i="3"/>
  <c r="E114" i="3"/>
  <c r="J114" i="3"/>
  <c r="M114" i="3" s="1"/>
  <c r="D114" i="3"/>
  <c r="B116" i="3"/>
  <c r="T115" i="3"/>
  <c r="K115" i="3"/>
  <c r="C115" i="3"/>
  <c r="F113" i="3"/>
  <c r="G113" i="3" s="1"/>
  <c r="H113" i="3" s="1"/>
  <c r="R112" i="3"/>
  <c r="AW62" i="3" l="1"/>
  <c r="BA112" i="3"/>
  <c r="AE109" i="3"/>
  <c r="AF109" i="3" s="1"/>
  <c r="P63" i="3"/>
  <c r="AO63" i="3"/>
  <c r="AT63" i="3"/>
  <c r="AL63" i="3"/>
  <c r="AS62" i="3"/>
  <c r="N63" i="3"/>
  <c r="AK63" i="3" s="1"/>
  <c r="Z113" i="3"/>
  <c r="AA113" i="3"/>
  <c r="W110" i="3"/>
  <c r="AC110" i="3" s="1"/>
  <c r="AD110" i="3" s="1"/>
  <c r="Y114" i="3"/>
  <c r="AP116" i="3"/>
  <c r="AI116" i="3"/>
  <c r="AX116" i="3"/>
  <c r="AM116" i="3"/>
  <c r="AH116" i="3"/>
  <c r="Q110" i="3"/>
  <c r="W111" i="3" s="1"/>
  <c r="AC111" i="3" s="1"/>
  <c r="AD111" i="3" s="1"/>
  <c r="U112" i="3"/>
  <c r="V112" i="3" s="1"/>
  <c r="AB112" i="3"/>
  <c r="A130" i="3"/>
  <c r="AG129" i="3"/>
  <c r="F114" i="3"/>
  <c r="G114" i="3" s="1"/>
  <c r="H114" i="3" s="1"/>
  <c r="S113" i="3"/>
  <c r="X116" i="3"/>
  <c r="D115" i="3"/>
  <c r="E115" i="3"/>
  <c r="J115" i="3"/>
  <c r="M115" i="3" s="1"/>
  <c r="R113" i="3"/>
  <c r="B117" i="3"/>
  <c r="T116" i="3"/>
  <c r="K116" i="3"/>
  <c r="C116" i="3"/>
  <c r="AR63" i="3" l="1"/>
  <c r="AQ63" i="3" s="1"/>
  <c r="AU63" i="3" s="1"/>
  <c r="AE110" i="3"/>
  <c r="AF110" i="3" s="1"/>
  <c r="BA113" i="3"/>
  <c r="AV63" i="3"/>
  <c r="AN63" i="3"/>
  <c r="O63" i="3"/>
  <c r="AA114" i="3"/>
  <c r="Z114" i="3"/>
  <c r="AI117" i="3"/>
  <c r="AX117" i="3"/>
  <c r="AM117" i="3"/>
  <c r="AH117" i="3"/>
  <c r="Q111" i="3"/>
  <c r="W112" i="3" s="1"/>
  <c r="AC112" i="3" s="1"/>
  <c r="AD112" i="3" s="1"/>
  <c r="AP117" i="3"/>
  <c r="U113" i="3"/>
  <c r="V113" i="3" s="1"/>
  <c r="AE111" i="3"/>
  <c r="AF111" i="3" s="1"/>
  <c r="AB113" i="3"/>
  <c r="S114" i="3"/>
  <c r="A131" i="3"/>
  <c r="AG130" i="3"/>
  <c r="X117" i="3"/>
  <c r="Y115" i="3"/>
  <c r="B118" i="3"/>
  <c r="T117" i="3"/>
  <c r="K117" i="3"/>
  <c r="C117" i="3"/>
  <c r="J116" i="3"/>
  <c r="M116" i="3" s="1"/>
  <c r="E116" i="3"/>
  <c r="D116" i="3"/>
  <c r="F115" i="3"/>
  <c r="G115" i="3" s="1"/>
  <c r="H115" i="3" s="1"/>
  <c r="R114" i="3"/>
  <c r="BA114" i="3" l="1"/>
  <c r="AW63" i="3"/>
  <c r="I64" i="3"/>
  <c r="AJ64" i="3" s="1"/>
  <c r="AO64" i="3"/>
  <c r="AS63" i="3"/>
  <c r="P64" i="3"/>
  <c r="AL64" i="3"/>
  <c r="N64" i="3"/>
  <c r="AK64" i="3" s="1"/>
  <c r="AT64" i="3"/>
  <c r="AA115" i="3"/>
  <c r="Z115" i="3"/>
  <c r="AP118" i="3"/>
  <c r="Q112" i="3"/>
  <c r="W113" i="3" s="1"/>
  <c r="AC113" i="3" s="1"/>
  <c r="AD113" i="3" s="1"/>
  <c r="AX118" i="3"/>
  <c r="AI118" i="3"/>
  <c r="AM118" i="3"/>
  <c r="AH118" i="3"/>
  <c r="U114" i="3"/>
  <c r="V114" i="3" s="1"/>
  <c r="AB114" i="3"/>
  <c r="AE112" i="3"/>
  <c r="AF112" i="3" s="1"/>
  <c r="A132" i="3"/>
  <c r="F116" i="3"/>
  <c r="G116" i="3" s="1"/>
  <c r="H116" i="3" s="1"/>
  <c r="S115" i="3"/>
  <c r="X118" i="3"/>
  <c r="Y116" i="3"/>
  <c r="R115" i="3"/>
  <c r="B119" i="3"/>
  <c r="AW119" i="3" s="1"/>
  <c r="T118" i="3"/>
  <c r="K118" i="3"/>
  <c r="C118" i="3"/>
  <c r="J117" i="3"/>
  <c r="M117" i="3" s="1"/>
  <c r="D117" i="3"/>
  <c r="E117" i="3"/>
  <c r="AR64" i="3" l="1"/>
  <c r="AQ64" i="3" s="1"/>
  <c r="AU64" i="3" s="1"/>
  <c r="BA115" i="3"/>
  <c r="AN64" i="3"/>
  <c r="AV64" i="3"/>
  <c r="O64" i="3"/>
  <c r="AS64" i="3" s="1"/>
  <c r="AA116" i="3"/>
  <c r="Z116" i="3"/>
  <c r="AP119" i="3"/>
  <c r="Q113" i="3"/>
  <c r="W114" i="3" s="1"/>
  <c r="AC114" i="3" s="1"/>
  <c r="AD114" i="3" s="1"/>
  <c r="U115" i="3"/>
  <c r="V115" i="3" s="1"/>
  <c r="AX119" i="3"/>
  <c r="AM119" i="3"/>
  <c r="AH119" i="3"/>
  <c r="AB115" i="3"/>
  <c r="AE113" i="3"/>
  <c r="AF113" i="3" s="1"/>
  <c r="A133" i="3"/>
  <c r="AG132" i="3"/>
  <c r="F117" i="3"/>
  <c r="G117" i="3" s="1"/>
  <c r="H117" i="3" s="1"/>
  <c r="S116" i="3"/>
  <c r="Y117" i="3"/>
  <c r="X119" i="3"/>
  <c r="B120" i="3"/>
  <c r="T119" i="3"/>
  <c r="K119" i="3"/>
  <c r="C119" i="3"/>
  <c r="E118" i="3"/>
  <c r="J118" i="3"/>
  <c r="M118" i="3" s="1"/>
  <c r="D118" i="3"/>
  <c r="R116" i="3"/>
  <c r="BA116" i="3" l="1"/>
  <c r="AW64" i="3"/>
  <c r="AL65" i="3"/>
  <c r="AO65" i="3"/>
  <c r="AM65" i="3"/>
  <c r="P65" i="3"/>
  <c r="AT65" i="3"/>
  <c r="I65" i="3"/>
  <c r="AJ65" i="3" s="1"/>
  <c r="N65" i="3"/>
  <c r="AK65" i="3" s="1"/>
  <c r="AA117" i="3"/>
  <c r="Z117" i="3"/>
  <c r="Q114" i="3"/>
  <c r="W115" i="3" s="1"/>
  <c r="AC115" i="3" s="1"/>
  <c r="AD115" i="3" s="1"/>
  <c r="AX120" i="3"/>
  <c r="AI120" i="3"/>
  <c r="AM120" i="3"/>
  <c r="AH120" i="3"/>
  <c r="AP120" i="3"/>
  <c r="U116" i="3"/>
  <c r="V116" i="3" s="1"/>
  <c r="AE114" i="3"/>
  <c r="AF114" i="3" s="1"/>
  <c r="F118" i="3"/>
  <c r="G118" i="3" s="1"/>
  <c r="H118" i="3" s="1"/>
  <c r="S117" i="3"/>
  <c r="AB116" i="3"/>
  <c r="A134" i="3"/>
  <c r="AG133" i="3"/>
  <c r="X120" i="3"/>
  <c r="Y118" i="3"/>
  <c r="R117" i="3"/>
  <c r="B121" i="3"/>
  <c r="T120" i="3"/>
  <c r="K120" i="3"/>
  <c r="C120" i="3"/>
  <c r="D119" i="3"/>
  <c r="J119" i="3"/>
  <c r="M119" i="3" s="1"/>
  <c r="E119" i="3"/>
  <c r="AR65" i="3" l="1"/>
  <c r="AQ65" i="3" s="1"/>
  <c r="AU65" i="3" s="1"/>
  <c r="BA117" i="3"/>
  <c r="AV65" i="3"/>
  <c r="O65" i="3"/>
  <c r="AL66" i="3" s="1"/>
  <c r="AN65" i="3"/>
  <c r="AM66" i="3"/>
  <c r="AA118" i="3"/>
  <c r="Z118" i="3"/>
  <c r="U117" i="3"/>
  <c r="V117" i="3" s="1"/>
  <c r="Q115" i="3"/>
  <c r="W116" i="3" s="1"/>
  <c r="AC116" i="3" s="1"/>
  <c r="AD116" i="3" s="1"/>
  <c r="AX121" i="3"/>
  <c r="AI121" i="3"/>
  <c r="AM121" i="3"/>
  <c r="AH121" i="3"/>
  <c r="AP121" i="3"/>
  <c r="AB117" i="3"/>
  <c r="AE115" i="3"/>
  <c r="AF115" i="3" s="1"/>
  <c r="S118" i="3"/>
  <c r="A135" i="3"/>
  <c r="AG134" i="3"/>
  <c r="Y119" i="3"/>
  <c r="X121" i="3"/>
  <c r="B122" i="3"/>
  <c r="T121" i="3"/>
  <c r="K121" i="3"/>
  <c r="C121" i="3"/>
  <c r="J120" i="3"/>
  <c r="M120" i="3" s="1"/>
  <c r="D120" i="3"/>
  <c r="E120" i="3"/>
  <c r="R118" i="3"/>
  <c r="F119" i="3"/>
  <c r="G119" i="3" s="1"/>
  <c r="H119" i="3" s="1"/>
  <c r="BA118" i="3" l="1"/>
  <c r="AW65" i="3"/>
  <c r="I66" i="3"/>
  <c r="AJ66" i="3" s="1"/>
  <c r="AO66" i="3"/>
  <c r="AT66" i="3"/>
  <c r="AV66" i="3" s="1"/>
  <c r="P66" i="3"/>
  <c r="AS65" i="3"/>
  <c r="N66" i="3"/>
  <c r="AK66" i="3" s="1"/>
  <c r="AA119" i="3"/>
  <c r="Z119" i="3"/>
  <c r="Q116" i="3"/>
  <c r="W117" i="3" s="1"/>
  <c r="AC117" i="3" s="1"/>
  <c r="AD117" i="3" s="1"/>
  <c r="Y120" i="3"/>
  <c r="AP122" i="3"/>
  <c r="AX122" i="3"/>
  <c r="AI122" i="3"/>
  <c r="AM122" i="3"/>
  <c r="AH122" i="3"/>
  <c r="AB118" i="3"/>
  <c r="U118" i="3"/>
  <c r="V118" i="3" s="1"/>
  <c r="AE116" i="3"/>
  <c r="AF116" i="3" s="1"/>
  <c r="S119" i="3"/>
  <c r="A136" i="3"/>
  <c r="AG135" i="3"/>
  <c r="X122" i="3"/>
  <c r="R119" i="3"/>
  <c r="F120" i="3"/>
  <c r="G120" i="3" s="1"/>
  <c r="H120" i="3" s="1"/>
  <c r="B123" i="3"/>
  <c r="T122" i="3"/>
  <c r="K122" i="3"/>
  <c r="C122" i="3"/>
  <c r="D121" i="3"/>
  <c r="E121" i="3"/>
  <c r="J121" i="3"/>
  <c r="M121" i="3" s="1"/>
  <c r="AR66" i="3" l="1"/>
  <c r="AQ66" i="3" s="1"/>
  <c r="AU66" i="3" s="1"/>
  <c r="BA119" i="3"/>
  <c r="AN66" i="3"/>
  <c r="O66" i="3"/>
  <c r="AA120" i="3"/>
  <c r="Z120" i="3"/>
  <c r="Q117" i="3"/>
  <c r="W118" i="3" s="1"/>
  <c r="AC118" i="3" s="1"/>
  <c r="AD118" i="3" s="1"/>
  <c r="AI123" i="3"/>
  <c r="AX123" i="3"/>
  <c r="AH123" i="3"/>
  <c r="AP123" i="3"/>
  <c r="U119" i="3"/>
  <c r="V119" i="3" s="1"/>
  <c r="AB119" i="3"/>
  <c r="AE117" i="3"/>
  <c r="AF117" i="3" s="1"/>
  <c r="S120" i="3"/>
  <c r="A137" i="3"/>
  <c r="AG136" i="3"/>
  <c r="Y121" i="3"/>
  <c r="X123" i="3"/>
  <c r="R120" i="3"/>
  <c r="B124" i="3"/>
  <c r="T123" i="3"/>
  <c r="K123" i="3"/>
  <c r="C123" i="3"/>
  <c r="D122" i="3"/>
  <c r="E122" i="3"/>
  <c r="J122" i="3"/>
  <c r="M122" i="3" s="1"/>
  <c r="F121" i="3"/>
  <c r="G121" i="3" s="1"/>
  <c r="H121" i="3" s="1"/>
  <c r="BA120" i="3" l="1"/>
  <c r="AW66" i="3"/>
  <c r="N67" i="3"/>
  <c r="AK67" i="3" s="1"/>
  <c r="AO67" i="3"/>
  <c r="AT67" i="3"/>
  <c r="AL67" i="3"/>
  <c r="I67" i="3"/>
  <c r="AJ67" i="3" s="1"/>
  <c r="P67" i="3"/>
  <c r="AS66" i="3"/>
  <c r="AA121" i="3"/>
  <c r="Z121" i="3"/>
  <c r="Q118" i="3"/>
  <c r="W119" i="3" s="1"/>
  <c r="AC119" i="3" s="1"/>
  <c r="AD119" i="3" s="1"/>
  <c r="AP124" i="3"/>
  <c r="AX124" i="3"/>
  <c r="AI124" i="3"/>
  <c r="AM124" i="3"/>
  <c r="AH124" i="3"/>
  <c r="U120" i="3"/>
  <c r="V120" i="3" s="1"/>
  <c r="AB120" i="3"/>
  <c r="AE118" i="3"/>
  <c r="AF118" i="3" s="1"/>
  <c r="A138" i="3"/>
  <c r="AG137" i="3"/>
  <c r="F122" i="3"/>
  <c r="G122" i="3" s="1"/>
  <c r="H122" i="3" s="1"/>
  <c r="S121" i="3"/>
  <c r="Y122" i="3"/>
  <c r="X124" i="3"/>
  <c r="B125" i="3"/>
  <c r="T124" i="3"/>
  <c r="K124" i="3"/>
  <c r="C124" i="3"/>
  <c r="E123" i="3"/>
  <c r="D123" i="3"/>
  <c r="J123" i="3"/>
  <c r="M123" i="3" s="1"/>
  <c r="R121" i="3"/>
  <c r="AR67" i="3" l="1"/>
  <c r="AQ67" i="3" s="1"/>
  <c r="AU67" i="3" s="1"/>
  <c r="BA121" i="3"/>
  <c r="O67" i="3"/>
  <c r="AL68" i="3" s="1"/>
  <c r="AN67" i="3"/>
  <c r="AV67" i="3"/>
  <c r="AA122" i="3"/>
  <c r="Z122" i="3"/>
  <c r="Q119" i="3"/>
  <c r="W120" i="3" s="1"/>
  <c r="AC120" i="3" s="1"/>
  <c r="AD120" i="3" s="1"/>
  <c r="AI125" i="3"/>
  <c r="AX125" i="3"/>
  <c r="AH125" i="3"/>
  <c r="AP125" i="3"/>
  <c r="AB121" i="3"/>
  <c r="U121" i="3"/>
  <c r="V121" i="3" s="1"/>
  <c r="AE119" i="3"/>
  <c r="AF119" i="3" s="1"/>
  <c r="S122" i="3"/>
  <c r="A139" i="3"/>
  <c r="AG138" i="3"/>
  <c r="Y123" i="3"/>
  <c r="X125" i="3"/>
  <c r="F123" i="3"/>
  <c r="G123" i="3" s="1"/>
  <c r="H123" i="3" s="1"/>
  <c r="R122" i="3"/>
  <c r="B126" i="3"/>
  <c r="T125" i="3"/>
  <c r="K125" i="3"/>
  <c r="C125" i="3"/>
  <c r="J124" i="3"/>
  <c r="M124" i="3" s="1"/>
  <c r="E124" i="3"/>
  <c r="D124" i="3"/>
  <c r="BA122" i="3" l="1"/>
  <c r="AW67" i="3"/>
  <c r="AT68" i="3"/>
  <c r="AV68" i="3" s="1"/>
  <c r="I68" i="3"/>
  <c r="AJ68" i="3" s="1"/>
  <c r="N68" i="3"/>
  <c r="AK68" i="3" s="1"/>
  <c r="AO68" i="3"/>
  <c r="AS67" i="3"/>
  <c r="P68" i="3"/>
  <c r="AA123" i="3"/>
  <c r="Z123" i="3"/>
  <c r="AI126" i="3"/>
  <c r="AX126" i="3"/>
  <c r="AH126" i="3"/>
  <c r="AP126" i="3"/>
  <c r="AG119" i="3"/>
  <c r="AI119" i="3" s="1"/>
  <c r="Q120" i="3" s="1"/>
  <c r="U122" i="3"/>
  <c r="V122" i="3" s="1"/>
  <c r="AE120" i="3"/>
  <c r="AF120" i="3" s="1"/>
  <c r="AB122" i="3"/>
  <c r="S123" i="3"/>
  <c r="A140" i="3"/>
  <c r="AG139" i="3"/>
  <c r="X126" i="3"/>
  <c r="Y124" i="3"/>
  <c r="R123" i="3"/>
  <c r="E125" i="3"/>
  <c r="D125" i="3"/>
  <c r="J125" i="3"/>
  <c r="M125" i="3" s="1"/>
  <c r="F124" i="3"/>
  <c r="G124" i="3" s="1"/>
  <c r="H124" i="3" s="1"/>
  <c r="B127" i="3"/>
  <c r="T126" i="3"/>
  <c r="K126" i="3"/>
  <c r="C126" i="3"/>
  <c r="AR68" i="3" l="1"/>
  <c r="AQ68" i="3" s="1"/>
  <c r="AU68" i="3" s="1"/>
  <c r="BA123" i="3"/>
  <c r="AN68" i="3"/>
  <c r="O68" i="3"/>
  <c r="AA124" i="3"/>
  <c r="Z124" i="3"/>
  <c r="AX127" i="3"/>
  <c r="AI127" i="3"/>
  <c r="AH127" i="3"/>
  <c r="AP127" i="3"/>
  <c r="AB123" i="3"/>
  <c r="U123" i="3"/>
  <c r="V123" i="3" s="1"/>
  <c r="W121" i="3"/>
  <c r="AC121" i="3" s="1"/>
  <c r="AD121" i="3" s="1"/>
  <c r="Q121" i="3"/>
  <c r="W122" i="3" s="1"/>
  <c r="AC122" i="3" s="1"/>
  <c r="AD122" i="3" s="1"/>
  <c r="A141" i="3"/>
  <c r="AG140" i="3"/>
  <c r="S124" i="3"/>
  <c r="X127" i="3"/>
  <c r="Y125" i="3"/>
  <c r="B128" i="3"/>
  <c r="T127" i="3"/>
  <c r="K127" i="3"/>
  <c r="C127" i="3"/>
  <c r="D126" i="3"/>
  <c r="E126" i="3"/>
  <c r="J126" i="3"/>
  <c r="M126" i="3" s="1"/>
  <c r="F125" i="3"/>
  <c r="G125" i="3" s="1"/>
  <c r="H125" i="3" s="1"/>
  <c r="R124" i="3"/>
  <c r="BA124" i="3" l="1"/>
  <c r="AE121" i="3"/>
  <c r="AF121" i="3" s="1"/>
  <c r="AW68" i="3"/>
  <c r="AO69" i="3"/>
  <c r="AM69" i="3"/>
  <c r="P69" i="3"/>
  <c r="AT69" i="3"/>
  <c r="N69" i="3"/>
  <c r="AK69" i="3" s="1"/>
  <c r="AL69" i="3"/>
  <c r="AS68" i="3"/>
  <c r="I69" i="3"/>
  <c r="AJ69" i="3" s="1"/>
  <c r="AA125" i="3"/>
  <c r="Z125" i="3"/>
  <c r="Y126" i="3"/>
  <c r="AX128" i="3"/>
  <c r="AI128" i="3"/>
  <c r="AH128" i="3"/>
  <c r="AP128" i="3"/>
  <c r="Q122" i="3"/>
  <c r="U124" i="3"/>
  <c r="V124" i="3" s="1"/>
  <c r="AE122" i="3"/>
  <c r="AF122" i="3" s="1"/>
  <c r="A142" i="3"/>
  <c r="AG141" i="3"/>
  <c r="AB124" i="3"/>
  <c r="F126" i="3"/>
  <c r="G126" i="3" s="1"/>
  <c r="H126" i="3" s="1"/>
  <c r="S125" i="3"/>
  <c r="X128" i="3"/>
  <c r="B129" i="3"/>
  <c r="T128" i="3"/>
  <c r="K128" i="3"/>
  <c r="C128" i="3"/>
  <c r="R125" i="3"/>
  <c r="J127" i="3"/>
  <c r="M127" i="3" s="1"/>
  <c r="D127" i="3"/>
  <c r="E127" i="3"/>
  <c r="AR69" i="3" l="1"/>
  <c r="AQ69" i="3" s="1"/>
  <c r="AU69" i="3" s="1"/>
  <c r="BA125" i="3"/>
  <c r="AV69" i="3"/>
  <c r="O69" i="3"/>
  <c r="N70" i="3" s="1"/>
  <c r="AK70" i="3" s="1"/>
  <c r="AN69" i="3"/>
  <c r="AA126" i="3"/>
  <c r="Z126" i="3"/>
  <c r="AP129" i="3"/>
  <c r="U125" i="3"/>
  <c r="V125" i="3" s="1"/>
  <c r="W123" i="3"/>
  <c r="AC123" i="3" s="1"/>
  <c r="AD123" i="3" s="1"/>
  <c r="AX129" i="3"/>
  <c r="AI129" i="3"/>
  <c r="AH129" i="3"/>
  <c r="Q123" i="3"/>
  <c r="W124" i="3" s="1"/>
  <c r="AC124" i="3" s="1"/>
  <c r="AD124" i="3" s="1"/>
  <c r="AB125" i="3"/>
  <c r="S126" i="3"/>
  <c r="A143" i="3"/>
  <c r="AG142" i="3"/>
  <c r="X129" i="3"/>
  <c r="Y127" i="3"/>
  <c r="B130" i="3"/>
  <c r="T129" i="3"/>
  <c r="K129" i="3"/>
  <c r="C129" i="3"/>
  <c r="J128" i="3"/>
  <c r="M128" i="3" s="1"/>
  <c r="D128" i="3"/>
  <c r="E128" i="3"/>
  <c r="F127" i="3"/>
  <c r="G127" i="3" s="1"/>
  <c r="H127" i="3" s="1"/>
  <c r="R126" i="3"/>
  <c r="BA126" i="3" l="1"/>
  <c r="AE123" i="3"/>
  <c r="AF123" i="3" s="1"/>
  <c r="AW69" i="3"/>
  <c r="AL70" i="3"/>
  <c r="AO70" i="3"/>
  <c r="AS69" i="3"/>
  <c r="AT70" i="3"/>
  <c r="I70" i="3"/>
  <c r="AJ70" i="3" s="1"/>
  <c r="AM70" i="3"/>
  <c r="P70" i="3"/>
  <c r="Z127" i="3"/>
  <c r="AA127" i="3"/>
  <c r="AI130" i="3"/>
  <c r="AX130" i="3"/>
  <c r="AH130" i="3"/>
  <c r="Q124" i="3"/>
  <c r="AP130" i="3"/>
  <c r="AB126" i="3"/>
  <c r="U126" i="3"/>
  <c r="V126" i="3" s="1"/>
  <c r="AE124" i="3"/>
  <c r="AF124" i="3" s="1"/>
  <c r="A144" i="3"/>
  <c r="S127" i="3"/>
  <c r="Y128" i="3"/>
  <c r="X130" i="3"/>
  <c r="R127" i="3"/>
  <c r="B131" i="3"/>
  <c r="AW131" i="3" s="1"/>
  <c r="T130" i="3"/>
  <c r="K130" i="3"/>
  <c r="C130" i="3"/>
  <c r="E129" i="3"/>
  <c r="J129" i="3"/>
  <c r="M129" i="3" s="1"/>
  <c r="D129" i="3"/>
  <c r="F128" i="3"/>
  <c r="G128" i="3" s="1"/>
  <c r="H128" i="3" s="1"/>
  <c r="AR70" i="3" l="1"/>
  <c r="AQ70" i="3" s="1"/>
  <c r="AU70" i="3" s="1"/>
  <c r="BA127" i="3"/>
  <c r="AV70" i="3"/>
  <c r="O70" i="3"/>
  <c r="AO71" i="3" s="1"/>
  <c r="AN70" i="3"/>
  <c r="AA128" i="3"/>
  <c r="Z128" i="3"/>
  <c r="W125" i="3"/>
  <c r="AC125" i="3" s="1"/>
  <c r="AD125" i="3" s="1"/>
  <c r="AX131" i="3"/>
  <c r="AH131" i="3"/>
  <c r="Q125" i="3"/>
  <c r="AP131" i="3"/>
  <c r="AB127" i="3"/>
  <c r="U127" i="3"/>
  <c r="V127" i="3" s="1"/>
  <c r="Y129" i="3"/>
  <c r="S128" i="3"/>
  <c r="A145" i="3"/>
  <c r="AG144" i="3"/>
  <c r="X131" i="3"/>
  <c r="F129" i="3"/>
  <c r="G129" i="3" s="1"/>
  <c r="H129" i="3" s="1"/>
  <c r="R128" i="3"/>
  <c r="B132" i="3"/>
  <c r="T131" i="3"/>
  <c r="K131" i="3"/>
  <c r="C131" i="3"/>
  <c r="D130" i="3"/>
  <c r="E130" i="3"/>
  <c r="J130" i="3"/>
  <c r="M130" i="3" s="1"/>
  <c r="BA128" i="3" l="1"/>
  <c r="AW70" i="3"/>
  <c r="AE125" i="3"/>
  <c r="AF125" i="3" s="1"/>
  <c r="I71" i="3"/>
  <c r="AJ71" i="3" s="1"/>
  <c r="AL71" i="3"/>
  <c r="P71" i="3"/>
  <c r="AS70" i="3"/>
  <c r="N71" i="3"/>
  <c r="AK71" i="3" s="1"/>
  <c r="AT71" i="3"/>
  <c r="AA129" i="3"/>
  <c r="Z129" i="3"/>
  <c r="W126" i="3"/>
  <c r="AC126" i="3" s="1"/>
  <c r="AD126" i="3" s="1"/>
  <c r="U128" i="3"/>
  <c r="V128" i="3" s="1"/>
  <c r="AP132" i="3"/>
  <c r="AI132" i="3"/>
  <c r="AX132" i="3"/>
  <c r="AH132" i="3"/>
  <c r="Q126" i="3"/>
  <c r="S129" i="3"/>
  <c r="A146" i="3"/>
  <c r="AG145" i="3"/>
  <c r="AB128" i="3"/>
  <c r="Y130" i="3"/>
  <c r="X132" i="3"/>
  <c r="R129" i="3"/>
  <c r="B133" i="3"/>
  <c r="T132" i="3"/>
  <c r="K132" i="3"/>
  <c r="C132" i="3"/>
  <c r="J131" i="3"/>
  <c r="M131" i="3" s="1"/>
  <c r="E131" i="3"/>
  <c r="D131" i="3"/>
  <c r="F130" i="3"/>
  <c r="G130" i="3" s="1"/>
  <c r="H130" i="3" s="1"/>
  <c r="AR71" i="3" l="1"/>
  <c r="AQ71" i="3" s="1"/>
  <c r="AU71" i="3" s="1"/>
  <c r="BA129" i="3"/>
  <c r="AE126" i="3"/>
  <c r="AF126" i="3" s="1"/>
  <c r="AV71" i="3"/>
  <c r="AN71" i="3"/>
  <c r="O71" i="3"/>
  <c r="AT72" i="3" s="1"/>
  <c r="F131" i="3"/>
  <c r="G131" i="3" s="1"/>
  <c r="H131" i="3" s="1"/>
  <c r="AA130" i="3"/>
  <c r="Z130" i="3"/>
  <c r="W127" i="3"/>
  <c r="AC127" i="3" s="1"/>
  <c r="AD127" i="3" s="1"/>
  <c r="Q127" i="3"/>
  <c r="AX133" i="3"/>
  <c r="AI133" i="3"/>
  <c r="AH133" i="3"/>
  <c r="AP133" i="3"/>
  <c r="AB129" i="3"/>
  <c r="U129" i="3"/>
  <c r="V129" i="3" s="1"/>
  <c r="A147" i="3"/>
  <c r="AG146" i="3"/>
  <c r="S130" i="3"/>
  <c r="Y131" i="3"/>
  <c r="X133" i="3"/>
  <c r="R130" i="3"/>
  <c r="E132" i="3"/>
  <c r="J132" i="3"/>
  <c r="M132" i="3" s="1"/>
  <c r="D132" i="3"/>
  <c r="B134" i="3"/>
  <c r="T133" i="3"/>
  <c r="K133" i="3"/>
  <c r="C133" i="3"/>
  <c r="AE127" i="3" l="1"/>
  <c r="AF127" i="3" s="1"/>
  <c r="BA130" i="3"/>
  <c r="P72" i="3"/>
  <c r="AL72" i="3"/>
  <c r="AV72" i="3" s="1"/>
  <c r="N72" i="3"/>
  <c r="AK72" i="3" s="1"/>
  <c r="I72" i="3"/>
  <c r="AJ72" i="3" s="1"/>
  <c r="AS71" i="3"/>
  <c r="AM72" i="3"/>
  <c r="AO72" i="3"/>
  <c r="AA131" i="3"/>
  <c r="Z131" i="3"/>
  <c r="W128" i="3"/>
  <c r="AC128" i="3" s="1"/>
  <c r="Y132" i="3"/>
  <c r="Q128" i="3"/>
  <c r="W129" i="3" s="1"/>
  <c r="AC129" i="3" s="1"/>
  <c r="AP134" i="3"/>
  <c r="AI134" i="3"/>
  <c r="AX134" i="3"/>
  <c r="AH134" i="3"/>
  <c r="AB130" i="3"/>
  <c r="U130" i="3"/>
  <c r="V130" i="3" s="1"/>
  <c r="F132" i="3"/>
  <c r="G132" i="3" s="1"/>
  <c r="H132" i="3" s="1"/>
  <c r="S131" i="3"/>
  <c r="A148" i="3"/>
  <c r="AG147" i="3"/>
  <c r="X134" i="3"/>
  <c r="R131" i="3"/>
  <c r="B135" i="3"/>
  <c r="T134" i="3"/>
  <c r="K134" i="3"/>
  <c r="C134" i="3"/>
  <c r="D133" i="3"/>
  <c r="E133" i="3"/>
  <c r="J133" i="3"/>
  <c r="M133" i="3" s="1"/>
  <c r="AR72" i="3" l="1"/>
  <c r="AQ72" i="3" s="1"/>
  <c r="AU72" i="3" s="1"/>
  <c r="BA131" i="3"/>
  <c r="AN72" i="3"/>
  <c r="O72" i="3"/>
  <c r="AO73" i="3" s="1"/>
  <c r="AA132" i="3"/>
  <c r="Z132" i="3"/>
  <c r="AD128" i="3"/>
  <c r="AD129" i="3"/>
  <c r="Q129" i="3"/>
  <c r="W130" i="3" s="1"/>
  <c r="AC130" i="3" s="1"/>
  <c r="AD130" i="3" s="1"/>
  <c r="AI135" i="3"/>
  <c r="AX135" i="3"/>
  <c r="AH135" i="3"/>
  <c r="AP135" i="3"/>
  <c r="U131" i="3"/>
  <c r="V131" i="3" s="1"/>
  <c r="A149" i="3"/>
  <c r="AG148" i="3"/>
  <c r="AB131" i="3"/>
  <c r="S132" i="3"/>
  <c r="X135" i="3"/>
  <c r="Y133" i="3"/>
  <c r="F133" i="3"/>
  <c r="G133" i="3" s="1"/>
  <c r="H133" i="3" s="1"/>
  <c r="R132" i="3"/>
  <c r="B136" i="3"/>
  <c r="T135" i="3"/>
  <c r="K135" i="3"/>
  <c r="C135" i="3"/>
  <c r="J134" i="3"/>
  <c r="M134" i="3" s="1"/>
  <c r="D134" i="3"/>
  <c r="E134" i="3"/>
  <c r="BA132" i="3" l="1"/>
  <c r="AE129" i="3"/>
  <c r="AF129" i="3" s="1"/>
  <c r="AE128" i="3"/>
  <c r="AF128" i="3" s="1"/>
  <c r="AW72" i="3"/>
  <c r="AL73" i="3"/>
  <c r="I73" i="3"/>
  <c r="AJ73" i="3" s="1"/>
  <c r="AT73" i="3"/>
  <c r="P73" i="3"/>
  <c r="N73" i="3"/>
  <c r="AK73" i="3" s="1"/>
  <c r="AS72" i="3"/>
  <c r="Z133" i="3"/>
  <c r="AA133" i="3"/>
  <c r="Q130" i="3"/>
  <c r="AP136" i="3"/>
  <c r="AX136" i="3"/>
  <c r="AI136" i="3"/>
  <c r="AH136" i="3"/>
  <c r="AB132" i="3"/>
  <c r="U132" i="3"/>
  <c r="V132" i="3" s="1"/>
  <c r="AE130" i="3"/>
  <c r="AF130" i="3" s="1"/>
  <c r="F134" i="3"/>
  <c r="G134" i="3" s="1"/>
  <c r="H134" i="3" s="1"/>
  <c r="S133" i="3"/>
  <c r="A150" i="3"/>
  <c r="AG149" i="3"/>
  <c r="Y134" i="3"/>
  <c r="X136" i="3"/>
  <c r="B137" i="3"/>
  <c r="T136" i="3"/>
  <c r="K136" i="3"/>
  <c r="C136" i="3"/>
  <c r="D135" i="3"/>
  <c r="J135" i="3"/>
  <c r="M135" i="3" s="1"/>
  <c r="E135" i="3"/>
  <c r="R133" i="3"/>
  <c r="AR73" i="3" l="1"/>
  <c r="AQ73" i="3" s="1"/>
  <c r="AU73" i="3" s="1"/>
  <c r="BA133" i="3"/>
  <c r="AV73" i="3"/>
  <c r="AN73" i="3"/>
  <c r="O73" i="3"/>
  <c r="I74" i="3" s="1"/>
  <c r="AJ74" i="3" s="1"/>
  <c r="Z134" i="3"/>
  <c r="AA134" i="3"/>
  <c r="W131" i="3"/>
  <c r="AC131" i="3" s="1"/>
  <c r="AD131" i="3" s="1"/>
  <c r="Q131" i="3"/>
  <c r="AX137" i="3"/>
  <c r="AI137" i="3"/>
  <c r="AH137" i="3"/>
  <c r="AP137" i="3"/>
  <c r="U133" i="3"/>
  <c r="V133" i="3" s="1"/>
  <c r="A151" i="3"/>
  <c r="AG150" i="3"/>
  <c r="AB133" i="3"/>
  <c r="F135" i="3"/>
  <c r="G135" i="3" s="1"/>
  <c r="H135" i="3" s="1"/>
  <c r="S134" i="3"/>
  <c r="Y135" i="3"/>
  <c r="X137" i="3"/>
  <c r="R134" i="3"/>
  <c r="B138" i="3"/>
  <c r="T137" i="3"/>
  <c r="K137" i="3"/>
  <c r="C137" i="3"/>
  <c r="D136" i="3"/>
  <c r="J136" i="3"/>
  <c r="M136" i="3" s="1"/>
  <c r="E136" i="3"/>
  <c r="AW73" i="3" l="1"/>
  <c r="BA134" i="3"/>
  <c r="AE131" i="3"/>
  <c r="AF131" i="3" s="1"/>
  <c r="AG131" i="3" s="1"/>
  <c r="AI131" i="3" s="1"/>
  <c r="Q132" i="3" s="1"/>
  <c r="AL74" i="3"/>
  <c r="P74" i="3"/>
  <c r="AT74" i="3"/>
  <c r="AO74" i="3"/>
  <c r="AM74" i="3"/>
  <c r="AS73" i="3"/>
  <c r="N74" i="3"/>
  <c r="AK74" i="3" s="1"/>
  <c r="AA135" i="3"/>
  <c r="Z135" i="3"/>
  <c r="W132" i="3"/>
  <c r="AP138" i="3"/>
  <c r="AI138" i="3"/>
  <c r="AX138" i="3"/>
  <c r="AH138" i="3"/>
  <c r="U134" i="3"/>
  <c r="V134" i="3" s="1"/>
  <c r="AB134" i="3"/>
  <c r="S135" i="3"/>
  <c r="A152" i="3"/>
  <c r="AG151" i="3"/>
  <c r="Y136" i="3"/>
  <c r="X138" i="3"/>
  <c r="R135" i="3"/>
  <c r="E137" i="3"/>
  <c r="J137" i="3"/>
  <c r="M137" i="3" s="1"/>
  <c r="D137" i="3"/>
  <c r="B139" i="3"/>
  <c r="T138" i="3"/>
  <c r="K138" i="3"/>
  <c r="C138" i="3"/>
  <c r="F136" i="3"/>
  <c r="G136" i="3" s="1"/>
  <c r="H136" i="3" s="1"/>
  <c r="AR74" i="3" l="1"/>
  <c r="AQ74" i="3" s="1"/>
  <c r="AU74" i="3" s="1"/>
  <c r="BA135" i="3"/>
  <c r="AV74" i="3"/>
  <c r="AN74" i="3"/>
  <c r="O74" i="3"/>
  <c r="AS74" i="3" s="1"/>
  <c r="F137" i="3"/>
  <c r="G137" i="3" s="1"/>
  <c r="H137" i="3" s="1"/>
  <c r="Z136" i="3"/>
  <c r="AA136" i="3"/>
  <c r="AC132" i="3"/>
  <c r="AD132" i="3" s="1"/>
  <c r="AX139" i="3"/>
  <c r="AI139" i="3"/>
  <c r="AM139" i="3"/>
  <c r="AH139" i="3"/>
  <c r="AP139" i="3"/>
  <c r="U135" i="3"/>
  <c r="V135" i="3" s="1"/>
  <c r="W133" i="3"/>
  <c r="AC133" i="3" s="1"/>
  <c r="AD133" i="3" s="1"/>
  <c r="Q133" i="3"/>
  <c r="S136" i="3"/>
  <c r="A153" i="3"/>
  <c r="AG152" i="3"/>
  <c r="AB135" i="3"/>
  <c r="Y137" i="3"/>
  <c r="X139" i="3"/>
  <c r="E138" i="3"/>
  <c r="J138" i="3"/>
  <c r="M138" i="3" s="1"/>
  <c r="D138" i="3"/>
  <c r="B140" i="3"/>
  <c r="T139" i="3"/>
  <c r="K139" i="3"/>
  <c r="C139" i="3"/>
  <c r="R136" i="3"/>
  <c r="AW74" i="3" l="1"/>
  <c r="AE133" i="3"/>
  <c r="AF133" i="3" s="1"/>
  <c r="BA136" i="3"/>
  <c r="AE132" i="3"/>
  <c r="AF132" i="3" s="1"/>
  <c r="AT75" i="3"/>
  <c r="AL75" i="3"/>
  <c r="N75" i="3"/>
  <c r="AK75" i="3" s="1"/>
  <c r="P75" i="3"/>
  <c r="I75" i="3"/>
  <c r="AJ75" i="3" s="1"/>
  <c r="AO75" i="3"/>
  <c r="AM75" i="3"/>
  <c r="F138" i="3"/>
  <c r="G138" i="3" s="1"/>
  <c r="H138" i="3" s="1"/>
  <c r="AA137" i="3"/>
  <c r="Z137" i="3"/>
  <c r="W134" i="3"/>
  <c r="AC134" i="3" s="1"/>
  <c r="AD134" i="3" s="1"/>
  <c r="Y138" i="3"/>
  <c r="AI140" i="3"/>
  <c r="AX140" i="3"/>
  <c r="AH140" i="3"/>
  <c r="AP140" i="3"/>
  <c r="Q134" i="3"/>
  <c r="U136" i="3"/>
  <c r="V136" i="3" s="1"/>
  <c r="S137" i="3"/>
  <c r="A154" i="3"/>
  <c r="AG153" i="3"/>
  <c r="AB136" i="3"/>
  <c r="X140" i="3"/>
  <c r="E139" i="3"/>
  <c r="D139" i="3"/>
  <c r="J139" i="3"/>
  <c r="M139" i="3" s="1"/>
  <c r="B141" i="3"/>
  <c r="T140" i="3"/>
  <c r="K140" i="3"/>
  <c r="C140" i="3"/>
  <c r="R137" i="3"/>
  <c r="AR75" i="3" l="1"/>
  <c r="AQ75" i="3" s="1"/>
  <c r="AU75" i="3" s="1"/>
  <c r="BA137" i="3"/>
  <c r="AE134" i="3"/>
  <c r="AF134" i="3" s="1"/>
  <c r="AV75" i="3"/>
  <c r="O75" i="3"/>
  <c r="I76" i="3" s="1"/>
  <c r="AJ76" i="3" s="1"/>
  <c r="AN75" i="3"/>
  <c r="AA138" i="3"/>
  <c r="Z138" i="3"/>
  <c r="W135" i="3"/>
  <c r="AC135" i="3" s="1"/>
  <c r="AD135" i="3" s="1"/>
  <c r="AP141" i="3"/>
  <c r="Q135" i="3"/>
  <c r="AX141" i="3"/>
  <c r="AI141" i="3"/>
  <c r="AH141" i="3"/>
  <c r="U137" i="3"/>
  <c r="V137" i="3" s="1"/>
  <c r="AB137" i="3"/>
  <c r="S138" i="3"/>
  <c r="A155" i="3"/>
  <c r="AG154" i="3"/>
  <c r="X141" i="3"/>
  <c r="Y139" i="3"/>
  <c r="D140" i="3"/>
  <c r="J140" i="3"/>
  <c r="M140" i="3" s="1"/>
  <c r="E140" i="3"/>
  <c r="F139" i="3"/>
  <c r="G139" i="3" s="1"/>
  <c r="H139" i="3" s="1"/>
  <c r="R138" i="3"/>
  <c r="B142" i="3"/>
  <c r="T141" i="3"/>
  <c r="K141" i="3"/>
  <c r="C141" i="3"/>
  <c r="BA138" i="3" l="1"/>
  <c r="AW75" i="3"/>
  <c r="AE135" i="3"/>
  <c r="AF135" i="3" s="1"/>
  <c r="AM76" i="3"/>
  <c r="N76" i="3"/>
  <c r="AK76" i="3" s="1"/>
  <c r="AS75" i="3"/>
  <c r="AL76" i="3"/>
  <c r="AO76" i="3"/>
  <c r="P76" i="3"/>
  <c r="AT76" i="3"/>
  <c r="AA139" i="3"/>
  <c r="Z139" i="3"/>
  <c r="W136" i="3"/>
  <c r="AC136" i="3" s="1"/>
  <c r="AD136" i="3" s="1"/>
  <c r="Q136" i="3"/>
  <c r="AI142" i="3"/>
  <c r="AX142" i="3"/>
  <c r="AH142" i="3"/>
  <c r="AP142" i="3"/>
  <c r="U138" i="3"/>
  <c r="V138" i="3" s="1"/>
  <c r="F140" i="3"/>
  <c r="G140" i="3" s="1"/>
  <c r="H140" i="3" s="1"/>
  <c r="S139" i="3"/>
  <c r="A156" i="3"/>
  <c r="AB138" i="3"/>
  <c r="X142" i="3"/>
  <c r="Y140" i="3"/>
  <c r="B143" i="3"/>
  <c r="AW143" i="3" s="1"/>
  <c r="T142" i="3"/>
  <c r="K142" i="3"/>
  <c r="C142" i="3"/>
  <c r="R139" i="3"/>
  <c r="D141" i="3"/>
  <c r="E141" i="3"/>
  <c r="J141" i="3"/>
  <c r="M141" i="3" s="1"/>
  <c r="AR76" i="3" l="1"/>
  <c r="AQ76" i="3" s="1"/>
  <c r="AU76" i="3" s="1"/>
  <c r="BA139" i="3"/>
  <c r="AE136" i="3"/>
  <c r="AF136" i="3" s="1"/>
  <c r="O76" i="3"/>
  <c r="AL77" i="3" s="1"/>
  <c r="AN76" i="3"/>
  <c r="AV76" i="3"/>
  <c r="AA140" i="3"/>
  <c r="Z140" i="3"/>
  <c r="W137" i="3"/>
  <c r="AC137" i="3" s="1"/>
  <c r="AD137" i="3" s="1"/>
  <c r="Q137" i="3"/>
  <c r="AX143" i="3"/>
  <c r="AH143" i="3"/>
  <c r="AP143" i="3"/>
  <c r="U139" i="3"/>
  <c r="V139" i="3" s="1"/>
  <c r="AB139" i="3"/>
  <c r="S140" i="3"/>
  <c r="A157" i="3"/>
  <c r="AG156" i="3"/>
  <c r="Y141" i="3"/>
  <c r="X143" i="3"/>
  <c r="E142" i="3"/>
  <c r="J142" i="3"/>
  <c r="M142" i="3" s="1"/>
  <c r="D142" i="3"/>
  <c r="B144" i="3"/>
  <c r="T143" i="3"/>
  <c r="K143" i="3"/>
  <c r="C143" i="3"/>
  <c r="F141" i="3"/>
  <c r="G141" i="3" s="1"/>
  <c r="H141" i="3" s="1"/>
  <c r="R140" i="3"/>
  <c r="BA140" i="3" l="1"/>
  <c r="AW76" i="3"/>
  <c r="AE137" i="3"/>
  <c r="AF137" i="3" s="1"/>
  <c r="P77" i="3"/>
  <c r="AT77" i="3"/>
  <c r="AV77" i="3" s="1"/>
  <c r="AM77" i="3"/>
  <c r="AO77" i="3"/>
  <c r="N77" i="3"/>
  <c r="AK77" i="3" s="1"/>
  <c r="AS76" i="3"/>
  <c r="I77" i="3"/>
  <c r="AJ77" i="3" s="1"/>
  <c r="AA141" i="3"/>
  <c r="Z141" i="3"/>
  <c r="W138" i="3"/>
  <c r="AC138" i="3" s="1"/>
  <c r="AD138" i="3" s="1"/>
  <c r="Q138" i="3"/>
  <c r="W139" i="3" s="1"/>
  <c r="AC139" i="3" s="1"/>
  <c r="AD139" i="3" s="1"/>
  <c r="AP144" i="3"/>
  <c r="AX144" i="3"/>
  <c r="AI144" i="3"/>
  <c r="AH144" i="3"/>
  <c r="U140" i="3"/>
  <c r="V140" i="3" s="1"/>
  <c r="F142" i="3"/>
  <c r="G142" i="3" s="1"/>
  <c r="H142" i="3" s="1"/>
  <c r="A158" i="3"/>
  <c r="AG157" i="3"/>
  <c r="S141" i="3"/>
  <c r="AB140" i="3"/>
  <c r="Y142" i="3"/>
  <c r="X144" i="3"/>
  <c r="B145" i="3"/>
  <c r="T144" i="3"/>
  <c r="K144" i="3"/>
  <c r="C144" i="3"/>
  <c r="E143" i="3"/>
  <c r="J143" i="3"/>
  <c r="M143" i="3" s="1"/>
  <c r="D143" i="3"/>
  <c r="R141" i="3"/>
  <c r="AR77" i="3" l="1"/>
  <c r="AQ77" i="3" s="1"/>
  <c r="AU77" i="3" s="1"/>
  <c r="BA141" i="3"/>
  <c r="AE138" i="3"/>
  <c r="AF138" i="3" s="1"/>
  <c r="O77" i="3"/>
  <c r="AS77" i="3" s="1"/>
  <c r="AN77" i="3"/>
  <c r="AA142" i="3"/>
  <c r="Z142" i="3"/>
  <c r="Q139" i="3"/>
  <c r="AX145" i="3"/>
  <c r="AI145" i="3"/>
  <c r="AM145" i="3"/>
  <c r="AH145" i="3"/>
  <c r="AP145" i="3"/>
  <c r="AB141" i="3"/>
  <c r="U141" i="3"/>
  <c r="V141" i="3" s="1"/>
  <c r="AE139" i="3"/>
  <c r="AF139" i="3" s="1"/>
  <c r="S142" i="3"/>
  <c r="A159" i="3"/>
  <c r="AG158" i="3"/>
  <c r="Y143" i="3"/>
  <c r="X145" i="3"/>
  <c r="F143" i="3"/>
  <c r="G143" i="3" s="1"/>
  <c r="H143" i="3" s="1"/>
  <c r="R142" i="3"/>
  <c r="B146" i="3"/>
  <c r="T145" i="3"/>
  <c r="K145" i="3"/>
  <c r="C145" i="3"/>
  <c r="D144" i="3"/>
  <c r="J144" i="3"/>
  <c r="M144" i="3" s="1"/>
  <c r="E144" i="3"/>
  <c r="BA142" i="3" l="1"/>
  <c r="AW77" i="3"/>
  <c r="AT78" i="3"/>
  <c r="AO78" i="3"/>
  <c r="AM78" i="3"/>
  <c r="AL78" i="3"/>
  <c r="I78" i="3"/>
  <c r="AJ78" i="3" s="1"/>
  <c r="N78" i="3"/>
  <c r="AK78" i="3" s="1"/>
  <c r="P78" i="3"/>
  <c r="Z143" i="3"/>
  <c r="AA143" i="3"/>
  <c r="W140" i="3"/>
  <c r="AC140" i="3" s="1"/>
  <c r="AD140" i="3" s="1"/>
  <c r="Q140" i="3"/>
  <c r="Y144" i="3"/>
  <c r="AP146" i="3"/>
  <c r="AX146" i="3"/>
  <c r="AI146" i="3"/>
  <c r="AM146" i="3"/>
  <c r="AH146" i="3"/>
  <c r="U142" i="3"/>
  <c r="V142" i="3" s="1"/>
  <c r="AB142" i="3"/>
  <c r="A160" i="3"/>
  <c r="AG159" i="3"/>
  <c r="S143" i="3"/>
  <c r="X146" i="3"/>
  <c r="B147" i="3"/>
  <c r="T146" i="3"/>
  <c r="K146" i="3"/>
  <c r="C146" i="3"/>
  <c r="D145" i="3"/>
  <c r="E145" i="3"/>
  <c r="J145" i="3"/>
  <c r="M145" i="3" s="1"/>
  <c r="R143" i="3"/>
  <c r="F144" i="3"/>
  <c r="G144" i="3" s="1"/>
  <c r="H144" i="3" s="1"/>
  <c r="AR78" i="3" l="1"/>
  <c r="AQ78" i="3" s="1"/>
  <c r="AU78" i="3" s="1"/>
  <c r="BA143" i="3"/>
  <c r="AE140" i="3"/>
  <c r="AF140" i="3" s="1"/>
  <c r="O78" i="3"/>
  <c r="P79" i="3" s="1"/>
  <c r="AV78" i="3"/>
  <c r="AN78" i="3"/>
  <c r="Z144" i="3"/>
  <c r="AA144" i="3"/>
  <c r="W141" i="3"/>
  <c r="AC141" i="3" s="1"/>
  <c r="AD141" i="3" s="1"/>
  <c r="Q141" i="3"/>
  <c r="AB143" i="3"/>
  <c r="AI147" i="3"/>
  <c r="AX147" i="3"/>
  <c r="AM147" i="3"/>
  <c r="AH147" i="3"/>
  <c r="AP147" i="3"/>
  <c r="U143" i="3"/>
  <c r="V143" i="3" s="1"/>
  <c r="S144" i="3"/>
  <c r="A161" i="3"/>
  <c r="AG160" i="3"/>
  <c r="X147" i="3"/>
  <c r="Y145" i="3"/>
  <c r="R144" i="3"/>
  <c r="B148" i="3"/>
  <c r="T147" i="3"/>
  <c r="K147" i="3"/>
  <c r="C147" i="3"/>
  <c r="J146" i="3"/>
  <c r="M146" i="3" s="1"/>
  <c r="D146" i="3"/>
  <c r="E146" i="3"/>
  <c r="F145" i="3"/>
  <c r="G145" i="3" s="1"/>
  <c r="H145" i="3" s="1"/>
  <c r="AL79" i="3" l="1"/>
  <c r="BA144" i="3"/>
  <c r="AE141" i="3"/>
  <c r="AF141" i="3" s="1"/>
  <c r="AW78" i="3"/>
  <c r="AT79" i="3"/>
  <c r="AO79" i="3"/>
  <c r="AM79" i="3"/>
  <c r="I79" i="3"/>
  <c r="AJ79" i="3" s="1"/>
  <c r="N79" i="3"/>
  <c r="AK79" i="3" s="1"/>
  <c r="AS78" i="3"/>
  <c r="Z145" i="3"/>
  <c r="AA145" i="3"/>
  <c r="W142" i="3"/>
  <c r="AC142" i="3" s="1"/>
  <c r="Q142" i="3"/>
  <c r="W143" i="3" s="1"/>
  <c r="AC143" i="3" s="1"/>
  <c r="AD143" i="3" s="1"/>
  <c r="AP148" i="3"/>
  <c r="AB144" i="3"/>
  <c r="AI148" i="3"/>
  <c r="AX148" i="3"/>
  <c r="AM148" i="3"/>
  <c r="AH148" i="3"/>
  <c r="U144" i="3"/>
  <c r="V144" i="3" s="1"/>
  <c r="A162" i="3"/>
  <c r="AG161" i="3"/>
  <c r="F146" i="3"/>
  <c r="G146" i="3" s="1"/>
  <c r="H146" i="3" s="1"/>
  <c r="S145" i="3"/>
  <c r="Y146" i="3"/>
  <c r="X148" i="3"/>
  <c r="B149" i="3"/>
  <c r="T148" i="3"/>
  <c r="K148" i="3"/>
  <c r="C148" i="3"/>
  <c r="D147" i="3"/>
  <c r="J147" i="3"/>
  <c r="M147" i="3" s="1"/>
  <c r="E147" i="3"/>
  <c r="R145" i="3"/>
  <c r="AR79" i="3" l="1"/>
  <c r="AQ79" i="3" s="1"/>
  <c r="AU79" i="3" s="1"/>
  <c r="AV79" i="3"/>
  <c r="BA145" i="3"/>
  <c r="AN79" i="3"/>
  <c r="O79" i="3"/>
  <c r="AM80" i="3" s="1"/>
  <c r="AA146" i="3"/>
  <c r="Z146" i="3"/>
  <c r="AD142" i="3"/>
  <c r="Q143" i="3"/>
  <c r="U145" i="3"/>
  <c r="V145" i="3" s="1"/>
  <c r="AX149" i="3"/>
  <c r="AI149" i="3"/>
  <c r="AM149" i="3"/>
  <c r="AH149" i="3"/>
  <c r="AP149" i="3"/>
  <c r="AE143" i="3"/>
  <c r="AF143" i="3" s="1"/>
  <c r="AB145" i="3"/>
  <c r="A163" i="3"/>
  <c r="AG162" i="3"/>
  <c r="F147" i="3"/>
  <c r="G147" i="3" s="1"/>
  <c r="H147" i="3" s="1"/>
  <c r="S146" i="3"/>
  <c r="X149" i="3"/>
  <c r="Y147" i="3"/>
  <c r="R146" i="3"/>
  <c r="B150" i="3"/>
  <c r="T149" i="3"/>
  <c r="K149" i="3"/>
  <c r="C149" i="3"/>
  <c r="D148" i="3"/>
  <c r="J148" i="3"/>
  <c r="M148" i="3" s="1"/>
  <c r="E148" i="3"/>
  <c r="BA146" i="3" l="1"/>
  <c r="AE142" i="3"/>
  <c r="AF142" i="3" s="1"/>
  <c r="AG143" i="3" s="1"/>
  <c r="AI143" i="3" s="1"/>
  <c r="Q144" i="3" s="1"/>
  <c r="AW79" i="3"/>
  <c r="AT80" i="3"/>
  <c r="I80" i="3"/>
  <c r="AJ80" i="3" s="1"/>
  <c r="N80" i="3"/>
  <c r="AK80" i="3" s="1"/>
  <c r="AO80" i="3"/>
  <c r="AL80" i="3"/>
  <c r="AS79" i="3"/>
  <c r="P80" i="3"/>
  <c r="AA147" i="3"/>
  <c r="Z147" i="3"/>
  <c r="W144" i="3"/>
  <c r="AC144" i="3" s="1"/>
  <c r="AD144" i="3" s="1"/>
  <c r="AP150" i="3"/>
  <c r="AX150" i="3"/>
  <c r="AI150" i="3"/>
  <c r="AM150" i="3"/>
  <c r="AH150" i="3"/>
  <c r="AB146" i="3"/>
  <c r="U146" i="3"/>
  <c r="V146" i="3" s="1"/>
  <c r="S147" i="3"/>
  <c r="A164" i="3"/>
  <c r="AG163" i="3"/>
  <c r="X150" i="3"/>
  <c r="Y148" i="3"/>
  <c r="B151" i="3"/>
  <c r="T150" i="3"/>
  <c r="K150" i="3"/>
  <c r="C150" i="3"/>
  <c r="D149" i="3"/>
  <c r="E149" i="3"/>
  <c r="J149" i="3"/>
  <c r="M149" i="3" s="1"/>
  <c r="R147" i="3"/>
  <c r="F148" i="3"/>
  <c r="G148" i="3" s="1"/>
  <c r="H148" i="3" s="1"/>
  <c r="AR80" i="3" l="1"/>
  <c r="AQ80" i="3" s="1"/>
  <c r="AU80" i="3" s="1"/>
  <c r="BA147" i="3"/>
  <c r="AE144" i="3"/>
  <c r="AF144" i="3" s="1"/>
  <c r="AV80" i="3"/>
  <c r="O80" i="3"/>
  <c r="I81" i="3" s="1"/>
  <c r="AJ81" i="3" s="1"/>
  <c r="AN80" i="3"/>
  <c r="AA148" i="3"/>
  <c r="Z148" i="3"/>
  <c r="AI151" i="3"/>
  <c r="AX151" i="3"/>
  <c r="AM151" i="3"/>
  <c r="AH151" i="3"/>
  <c r="AP151" i="3"/>
  <c r="U147" i="3"/>
  <c r="V147" i="3" s="1"/>
  <c r="W145" i="3"/>
  <c r="AC145" i="3" s="1"/>
  <c r="AD145" i="3" s="1"/>
  <c r="Q145" i="3"/>
  <c r="W146" i="3" s="1"/>
  <c r="AC146" i="3" s="1"/>
  <c r="AD146" i="3" s="1"/>
  <c r="AB147" i="3"/>
  <c r="A165" i="3"/>
  <c r="AG164" i="3"/>
  <c r="S148" i="3"/>
  <c r="X151" i="3"/>
  <c r="Y149" i="3"/>
  <c r="J150" i="3"/>
  <c r="M150" i="3" s="1"/>
  <c r="E150" i="3"/>
  <c r="D150" i="3"/>
  <c r="F149" i="3"/>
  <c r="G149" i="3" s="1"/>
  <c r="H149" i="3" s="1"/>
  <c r="R148" i="3"/>
  <c r="B152" i="3"/>
  <c r="T151" i="3"/>
  <c r="K151" i="3"/>
  <c r="C151" i="3"/>
  <c r="AW80" i="3" l="1"/>
  <c r="AE145" i="3"/>
  <c r="AF145" i="3" s="1"/>
  <c r="BA148" i="3"/>
  <c r="P81" i="3"/>
  <c r="AT81" i="3"/>
  <c r="AL81" i="3"/>
  <c r="AS80" i="3"/>
  <c r="AO81" i="3"/>
  <c r="AM81" i="3"/>
  <c r="N81" i="3"/>
  <c r="AK81" i="3" s="1"/>
  <c r="AA149" i="3"/>
  <c r="Z149" i="3"/>
  <c r="Y150" i="3"/>
  <c r="AX152" i="3"/>
  <c r="AI152" i="3"/>
  <c r="AH152" i="3"/>
  <c r="AP152" i="3"/>
  <c r="Q146" i="3"/>
  <c r="W147" i="3" s="1"/>
  <c r="AC147" i="3" s="1"/>
  <c r="AD147" i="3" s="1"/>
  <c r="U148" i="3"/>
  <c r="V148" i="3" s="1"/>
  <c r="AE146" i="3"/>
  <c r="AF146" i="3" s="1"/>
  <c r="F150" i="3"/>
  <c r="G150" i="3" s="1"/>
  <c r="H150" i="3" s="1"/>
  <c r="S149" i="3"/>
  <c r="AB148" i="3"/>
  <c r="A166" i="3"/>
  <c r="AG165" i="3"/>
  <c r="X152" i="3"/>
  <c r="D151" i="3"/>
  <c r="J151" i="3"/>
  <c r="M151" i="3" s="1"/>
  <c r="E151" i="3"/>
  <c r="B153" i="3"/>
  <c r="T152" i="3"/>
  <c r="K152" i="3"/>
  <c r="C152" i="3"/>
  <c r="R149" i="3"/>
  <c r="AR81" i="3" l="1"/>
  <c r="AQ81" i="3" s="1"/>
  <c r="AU81" i="3" s="1"/>
  <c r="BA149" i="3"/>
  <c r="AV81" i="3"/>
  <c r="AN81" i="3"/>
  <c r="O81" i="3"/>
  <c r="Z150" i="3"/>
  <c r="AA150" i="3"/>
  <c r="AX153" i="3"/>
  <c r="AI153" i="3"/>
  <c r="AM153" i="3"/>
  <c r="AH153" i="3"/>
  <c r="AP153" i="3"/>
  <c r="Q147" i="3"/>
  <c r="W148" i="3" s="1"/>
  <c r="AC148" i="3" s="1"/>
  <c r="AD148" i="3" s="1"/>
  <c r="U149" i="3"/>
  <c r="V149" i="3" s="1"/>
  <c r="AE147" i="3"/>
  <c r="AF147" i="3" s="1"/>
  <c r="S150" i="3"/>
  <c r="A167" i="3"/>
  <c r="AG166" i="3"/>
  <c r="AB149" i="3"/>
  <c r="Y151" i="3"/>
  <c r="X153" i="3"/>
  <c r="R150" i="3"/>
  <c r="B154" i="3"/>
  <c r="T153" i="3"/>
  <c r="K153" i="3"/>
  <c r="C153" i="3"/>
  <c r="D152" i="3"/>
  <c r="E152" i="3"/>
  <c r="J152" i="3"/>
  <c r="M152" i="3" s="1"/>
  <c r="F151" i="3"/>
  <c r="G151" i="3" s="1"/>
  <c r="H151" i="3" s="1"/>
  <c r="AW81" i="3" l="1"/>
  <c r="BA150" i="3"/>
  <c r="AO82" i="3"/>
  <c r="AM82" i="3"/>
  <c r="I82" i="3"/>
  <c r="AJ82" i="3" s="1"/>
  <c r="AT82" i="3"/>
  <c r="N82" i="3"/>
  <c r="AK82" i="3" s="1"/>
  <c r="AS81" i="3"/>
  <c r="P82" i="3"/>
  <c r="AL82" i="3"/>
  <c r="Z151" i="3"/>
  <c r="AA151" i="3"/>
  <c r="AP154" i="3"/>
  <c r="AI154" i="3"/>
  <c r="AX154" i="3"/>
  <c r="AM154" i="3"/>
  <c r="AH154" i="3"/>
  <c r="Q148" i="3"/>
  <c r="W149" i="3" s="1"/>
  <c r="AC149" i="3" s="1"/>
  <c r="AD149" i="3" s="1"/>
  <c r="U150" i="3"/>
  <c r="V150" i="3" s="1"/>
  <c r="AE148" i="3"/>
  <c r="AF148" i="3" s="1"/>
  <c r="F152" i="3"/>
  <c r="G152" i="3" s="1"/>
  <c r="H152" i="3" s="1"/>
  <c r="S151" i="3"/>
  <c r="A168" i="3"/>
  <c r="AB150" i="3"/>
  <c r="X154" i="3"/>
  <c r="Y152" i="3"/>
  <c r="R151" i="3"/>
  <c r="B155" i="3"/>
  <c r="AW155" i="3" s="1"/>
  <c r="T154" i="3"/>
  <c r="K154" i="3"/>
  <c r="C154" i="3"/>
  <c r="E153" i="3"/>
  <c r="J153" i="3"/>
  <c r="M153" i="3" s="1"/>
  <c r="D153" i="3"/>
  <c r="AR82" i="3" l="1"/>
  <c r="AQ82" i="3" s="1"/>
  <c r="AU82" i="3" s="1"/>
  <c r="BA151" i="3"/>
  <c r="O82" i="3"/>
  <c r="AS82" i="3" s="1"/>
  <c r="AV82" i="3"/>
  <c r="AN82" i="3"/>
  <c r="Z152" i="3"/>
  <c r="AA152" i="3"/>
  <c r="Q149" i="3"/>
  <c r="W150" i="3" s="1"/>
  <c r="AC150" i="3" s="1"/>
  <c r="AD150" i="3" s="1"/>
  <c r="AX155" i="3"/>
  <c r="AM155" i="3"/>
  <c r="AH155" i="3"/>
  <c r="AP155" i="3"/>
  <c r="AB151" i="3"/>
  <c r="U151" i="3"/>
  <c r="V151" i="3" s="1"/>
  <c r="AE149" i="3"/>
  <c r="AF149" i="3" s="1"/>
  <c r="F153" i="3"/>
  <c r="G153" i="3" s="1"/>
  <c r="H153" i="3" s="1"/>
  <c r="S152" i="3"/>
  <c r="A169" i="3"/>
  <c r="AG168" i="3"/>
  <c r="Y153" i="3"/>
  <c r="X155" i="3"/>
  <c r="B156" i="3"/>
  <c r="T155" i="3"/>
  <c r="K155" i="3"/>
  <c r="C155" i="3"/>
  <c r="D154" i="3"/>
  <c r="J154" i="3"/>
  <c r="M154" i="3" s="1"/>
  <c r="E154" i="3"/>
  <c r="R152" i="3"/>
  <c r="AW82" i="3" l="1"/>
  <c r="BA152" i="3"/>
  <c r="I83" i="3"/>
  <c r="AJ83" i="3" s="1"/>
  <c r="AL83" i="3"/>
  <c r="P83" i="3"/>
  <c r="AO83" i="3"/>
  <c r="AM83" i="3"/>
  <c r="N83" i="3"/>
  <c r="AK83" i="3" s="1"/>
  <c r="AT83" i="3"/>
  <c r="AA153" i="3"/>
  <c r="Z153" i="3"/>
  <c r="AB152" i="3"/>
  <c r="Q150" i="3"/>
  <c r="W151" i="3" s="1"/>
  <c r="AC151" i="3" s="1"/>
  <c r="AD151" i="3" s="1"/>
  <c r="AP156" i="3"/>
  <c r="AI156" i="3"/>
  <c r="AX156" i="3"/>
  <c r="AM156" i="3"/>
  <c r="AH156" i="3"/>
  <c r="U152" i="3"/>
  <c r="V152" i="3" s="1"/>
  <c r="AE150" i="3"/>
  <c r="AF150" i="3" s="1"/>
  <c r="S153" i="3"/>
  <c r="A170" i="3"/>
  <c r="AG169" i="3"/>
  <c r="Y154" i="3"/>
  <c r="X156" i="3"/>
  <c r="R153" i="3"/>
  <c r="F154" i="3"/>
  <c r="G154" i="3" s="1"/>
  <c r="H154" i="3" s="1"/>
  <c r="B157" i="3"/>
  <c r="T156" i="3"/>
  <c r="K156" i="3"/>
  <c r="C156" i="3"/>
  <c r="J155" i="3"/>
  <c r="M155" i="3" s="1"/>
  <c r="E155" i="3"/>
  <c r="D155" i="3"/>
  <c r="AR83" i="3" l="1"/>
  <c r="AQ83" i="3" s="1"/>
  <c r="AU83" i="3" s="1"/>
  <c r="BA153" i="3"/>
  <c r="AV83" i="3"/>
  <c r="O83" i="3"/>
  <c r="P84" i="3" s="1"/>
  <c r="AN83" i="3"/>
  <c r="AA154" i="3"/>
  <c r="Z154" i="3"/>
  <c r="Q151" i="3"/>
  <c r="AX157" i="3"/>
  <c r="AI157" i="3"/>
  <c r="AM157" i="3"/>
  <c r="AH157" i="3"/>
  <c r="AP157" i="3"/>
  <c r="U153" i="3"/>
  <c r="V153" i="3" s="1"/>
  <c r="AB153" i="3"/>
  <c r="AE151" i="3"/>
  <c r="AF151" i="3" s="1"/>
  <c r="A171" i="3"/>
  <c r="AG170" i="3"/>
  <c r="S154" i="3"/>
  <c r="Y155" i="3"/>
  <c r="X157" i="3"/>
  <c r="F155" i="3"/>
  <c r="G155" i="3" s="1"/>
  <c r="H155" i="3" s="1"/>
  <c r="R154" i="3"/>
  <c r="B158" i="3"/>
  <c r="T157" i="3"/>
  <c r="K157" i="3"/>
  <c r="C157" i="3"/>
  <c r="E156" i="3"/>
  <c r="J156" i="3"/>
  <c r="M156" i="3" s="1"/>
  <c r="D156" i="3"/>
  <c r="I84" i="3" l="1"/>
  <c r="AJ84" i="3" s="1"/>
  <c r="AT84" i="3"/>
  <c r="BA154" i="3"/>
  <c r="AS83" i="3"/>
  <c r="AO84" i="3"/>
  <c r="AM84" i="3"/>
  <c r="AL84" i="3"/>
  <c r="N84" i="3"/>
  <c r="AK84" i="3" s="1"/>
  <c r="AA155" i="3"/>
  <c r="Z155" i="3"/>
  <c r="W152" i="3"/>
  <c r="AC152" i="3" s="1"/>
  <c r="AD152" i="3" s="1"/>
  <c r="Q152" i="3"/>
  <c r="W153" i="3" s="1"/>
  <c r="AC153" i="3" s="1"/>
  <c r="AD153" i="3" s="1"/>
  <c r="AP158" i="3"/>
  <c r="Y156" i="3"/>
  <c r="AI158" i="3"/>
  <c r="AX158" i="3"/>
  <c r="AM158" i="3"/>
  <c r="AH158" i="3"/>
  <c r="U154" i="3"/>
  <c r="V154" i="3" s="1"/>
  <c r="AB154" i="3"/>
  <c r="A172" i="3"/>
  <c r="AG171" i="3"/>
  <c r="S155" i="3"/>
  <c r="X158" i="3"/>
  <c r="R155" i="3"/>
  <c r="B159" i="3"/>
  <c r="T158" i="3"/>
  <c r="K158" i="3"/>
  <c r="C158" i="3"/>
  <c r="D157" i="3"/>
  <c r="E157" i="3"/>
  <c r="J157" i="3"/>
  <c r="M157" i="3" s="1"/>
  <c r="F156" i="3"/>
  <c r="G156" i="3" s="1"/>
  <c r="H156" i="3" s="1"/>
  <c r="AR84" i="3" l="1"/>
  <c r="AQ84" i="3" s="1"/>
  <c r="AU84" i="3" s="1"/>
  <c r="AV84" i="3"/>
  <c r="BA155" i="3"/>
  <c r="AE152" i="3"/>
  <c r="AF152" i="3" s="1"/>
  <c r="AN84" i="3"/>
  <c r="O84" i="3"/>
  <c r="AS84" i="3" s="1"/>
  <c r="AA156" i="3"/>
  <c r="Z156" i="3"/>
  <c r="Q153" i="3"/>
  <c r="W154" i="3" s="1"/>
  <c r="AC154" i="3" s="1"/>
  <c r="AD154" i="3" s="1"/>
  <c r="AI159" i="3"/>
  <c r="AX159" i="3"/>
  <c r="AM159" i="3"/>
  <c r="AH159" i="3"/>
  <c r="AP159" i="3"/>
  <c r="U155" i="3"/>
  <c r="V155" i="3" s="1"/>
  <c r="AE153" i="3"/>
  <c r="AF153" i="3" s="1"/>
  <c r="AB155" i="3"/>
  <c r="S156" i="3"/>
  <c r="A173" i="3"/>
  <c r="AG172" i="3"/>
  <c r="X159" i="3"/>
  <c r="Y157" i="3"/>
  <c r="F157" i="3"/>
  <c r="G157" i="3" s="1"/>
  <c r="H157" i="3" s="1"/>
  <c r="R156" i="3"/>
  <c r="B160" i="3"/>
  <c r="T159" i="3"/>
  <c r="K159" i="3"/>
  <c r="C159" i="3"/>
  <c r="J158" i="3"/>
  <c r="M158" i="3" s="1"/>
  <c r="D158" i="3"/>
  <c r="E158" i="3"/>
  <c r="BA156" i="3" l="1"/>
  <c r="AW84" i="3"/>
  <c r="P85" i="3"/>
  <c r="I85" i="3"/>
  <c r="AJ85" i="3" s="1"/>
  <c r="N85" i="3"/>
  <c r="AK85" i="3" s="1"/>
  <c r="AT85" i="3"/>
  <c r="AO85" i="3"/>
  <c r="AL85" i="3"/>
  <c r="AA157" i="3"/>
  <c r="Z157" i="3"/>
  <c r="Q154" i="3"/>
  <c r="W155" i="3" s="1"/>
  <c r="AC155" i="3" s="1"/>
  <c r="AP160" i="3"/>
  <c r="AX160" i="3"/>
  <c r="AI160" i="3"/>
  <c r="AM160" i="3"/>
  <c r="AH160" i="3"/>
  <c r="AB156" i="3"/>
  <c r="U156" i="3"/>
  <c r="V156" i="3" s="1"/>
  <c r="AE154" i="3"/>
  <c r="AF154" i="3" s="1"/>
  <c r="S157" i="3"/>
  <c r="A174" i="3"/>
  <c r="AG173" i="3"/>
  <c r="X160" i="3"/>
  <c r="Y158" i="3"/>
  <c r="D159" i="3"/>
  <c r="J159" i="3"/>
  <c r="M159" i="3" s="1"/>
  <c r="E159" i="3"/>
  <c r="R157" i="3"/>
  <c r="F158" i="3"/>
  <c r="G158" i="3" s="1"/>
  <c r="H158" i="3" s="1"/>
  <c r="B161" i="3"/>
  <c r="T160" i="3"/>
  <c r="K160" i="3"/>
  <c r="C160" i="3"/>
  <c r="AR85" i="3" l="1"/>
  <c r="AQ85" i="3" s="1"/>
  <c r="AU85" i="3" s="1"/>
  <c r="BA157" i="3"/>
  <c r="O85" i="3"/>
  <c r="AO86" i="3" s="1"/>
  <c r="AV85" i="3"/>
  <c r="AN85" i="3"/>
  <c r="Z158" i="3"/>
  <c r="AA158" i="3"/>
  <c r="Q155" i="3"/>
  <c r="W156" i="3" s="1"/>
  <c r="AC156" i="3" s="1"/>
  <c r="AD156" i="3" s="1"/>
  <c r="AD155" i="3"/>
  <c r="AI161" i="3"/>
  <c r="AX161" i="3"/>
  <c r="AM161" i="3"/>
  <c r="AH161" i="3"/>
  <c r="AP161" i="3"/>
  <c r="AB157" i="3"/>
  <c r="U157" i="3"/>
  <c r="V157" i="3" s="1"/>
  <c r="S158" i="3"/>
  <c r="A175" i="3"/>
  <c r="AG174" i="3"/>
  <c r="Y159" i="3"/>
  <c r="X161" i="3"/>
  <c r="B162" i="3"/>
  <c r="T161" i="3"/>
  <c r="K161" i="3"/>
  <c r="C161" i="3"/>
  <c r="D160" i="3"/>
  <c r="E160" i="3"/>
  <c r="J160" i="3"/>
  <c r="M160" i="3" s="1"/>
  <c r="F159" i="3"/>
  <c r="G159" i="3" s="1"/>
  <c r="H159" i="3" s="1"/>
  <c r="R158" i="3"/>
  <c r="BA158" i="3" l="1"/>
  <c r="AE155" i="3"/>
  <c r="AF155" i="3" s="1"/>
  <c r="AG155" i="3" s="1"/>
  <c r="AI155" i="3" s="1"/>
  <c r="Q156" i="3" s="1"/>
  <c r="AW85" i="3"/>
  <c r="AS85" i="3"/>
  <c r="P86" i="3"/>
  <c r="N86" i="3"/>
  <c r="AK86" i="3" s="1"/>
  <c r="I86" i="3"/>
  <c r="AJ86" i="3" s="1"/>
  <c r="AL86" i="3"/>
  <c r="AT86" i="3"/>
  <c r="Z159" i="3"/>
  <c r="AA159" i="3"/>
  <c r="AI162" i="3"/>
  <c r="AX162" i="3"/>
  <c r="AM162" i="3"/>
  <c r="AH162" i="3"/>
  <c r="AP162" i="3"/>
  <c r="AB158" i="3"/>
  <c r="U158" i="3"/>
  <c r="V158" i="3" s="1"/>
  <c r="AE156" i="3"/>
  <c r="AF156" i="3" s="1"/>
  <c r="F160" i="3"/>
  <c r="G160" i="3" s="1"/>
  <c r="H160" i="3" s="1"/>
  <c r="S159" i="3"/>
  <c r="A176" i="3"/>
  <c r="AG175" i="3"/>
  <c r="X162" i="3"/>
  <c r="Y160" i="3"/>
  <c r="R159" i="3"/>
  <c r="E161" i="3"/>
  <c r="D161" i="3"/>
  <c r="J161" i="3"/>
  <c r="M161" i="3" s="1"/>
  <c r="B163" i="3"/>
  <c r="T162" i="3"/>
  <c r="K162" i="3"/>
  <c r="C162" i="3"/>
  <c r="AR86" i="3" l="1"/>
  <c r="AQ86" i="3" s="1"/>
  <c r="AU86" i="3" s="1"/>
  <c r="BA159" i="3"/>
  <c r="AN86" i="3"/>
  <c r="AV86" i="3"/>
  <c r="O86" i="3"/>
  <c r="AO87" i="3" s="1"/>
  <c r="AA160" i="3"/>
  <c r="Z160" i="3"/>
  <c r="AP163" i="3"/>
  <c r="AX163" i="3"/>
  <c r="AI163" i="3"/>
  <c r="AM163" i="3"/>
  <c r="AH163" i="3"/>
  <c r="U159" i="3"/>
  <c r="V159" i="3" s="1"/>
  <c r="W157" i="3"/>
  <c r="AC157" i="3" s="1"/>
  <c r="AD157" i="3" s="1"/>
  <c r="Q157" i="3"/>
  <c r="W158" i="3" s="1"/>
  <c r="AC158" i="3" s="1"/>
  <c r="AD158" i="3" s="1"/>
  <c r="S160" i="3"/>
  <c r="A177" i="3"/>
  <c r="AG176" i="3"/>
  <c r="AB159" i="3"/>
  <c r="X163" i="3"/>
  <c r="Y161" i="3"/>
  <c r="F161" i="3"/>
  <c r="G161" i="3" s="1"/>
  <c r="H161" i="3" s="1"/>
  <c r="R160" i="3"/>
  <c r="B164" i="3"/>
  <c r="T163" i="3"/>
  <c r="K163" i="3"/>
  <c r="C163" i="3"/>
  <c r="J162" i="3"/>
  <c r="M162" i="3" s="1"/>
  <c r="E162" i="3"/>
  <c r="D162" i="3"/>
  <c r="AL87" i="3" l="1"/>
  <c r="BA160" i="3"/>
  <c r="I87" i="3"/>
  <c r="AJ87" i="3" s="1"/>
  <c r="AW86" i="3"/>
  <c r="AE157" i="3"/>
  <c r="AF157" i="3" s="1"/>
  <c r="N87" i="3"/>
  <c r="AK87" i="3" s="1"/>
  <c r="AS86" i="3"/>
  <c r="P87" i="3"/>
  <c r="AT87" i="3"/>
  <c r="F162" i="3"/>
  <c r="G162" i="3" s="1"/>
  <c r="H162" i="3" s="1"/>
  <c r="AA161" i="3"/>
  <c r="Z161" i="3"/>
  <c r="Y162" i="3"/>
  <c r="U160" i="3"/>
  <c r="V160" i="3" s="1"/>
  <c r="AI164" i="3"/>
  <c r="AX164" i="3"/>
  <c r="AM164" i="3"/>
  <c r="AH164" i="3"/>
  <c r="AP164" i="3"/>
  <c r="Q158" i="3"/>
  <c r="W159" i="3" s="1"/>
  <c r="AC159" i="3" s="1"/>
  <c r="AD159" i="3" s="1"/>
  <c r="AE158" i="3"/>
  <c r="AF158" i="3" s="1"/>
  <c r="AB160" i="3"/>
  <c r="A178" i="3"/>
  <c r="AG177" i="3"/>
  <c r="S161" i="3"/>
  <c r="X164" i="3"/>
  <c r="R161" i="3"/>
  <c r="B165" i="3"/>
  <c r="T164" i="3"/>
  <c r="K164" i="3"/>
  <c r="C164" i="3"/>
  <c r="E163" i="3"/>
  <c r="D163" i="3"/>
  <c r="J163" i="3"/>
  <c r="M163" i="3" s="1"/>
  <c r="AR87" i="3" l="1"/>
  <c r="AQ87" i="3" s="1"/>
  <c r="AU87" i="3" s="1"/>
  <c r="AV87" i="3"/>
  <c r="AN87" i="3"/>
  <c r="BA161" i="3"/>
  <c r="O87" i="3"/>
  <c r="AO88" i="3" s="1"/>
  <c r="AA162" i="3"/>
  <c r="Z162" i="3"/>
  <c r="AP165" i="3"/>
  <c r="Q159" i="3"/>
  <c r="W160" i="3" s="1"/>
  <c r="AC160" i="3" s="1"/>
  <c r="AD160" i="3" s="1"/>
  <c r="AX165" i="3"/>
  <c r="AI165" i="3"/>
  <c r="AM165" i="3"/>
  <c r="AH165" i="3"/>
  <c r="U161" i="3"/>
  <c r="V161" i="3" s="1"/>
  <c r="AB161" i="3"/>
  <c r="AE159" i="3"/>
  <c r="AF159" i="3" s="1"/>
  <c r="F163" i="3"/>
  <c r="G163" i="3" s="1"/>
  <c r="H163" i="3" s="1"/>
  <c r="S162" i="3"/>
  <c r="A179" i="3"/>
  <c r="AG178" i="3"/>
  <c r="X165" i="3"/>
  <c r="Y163" i="3"/>
  <c r="R162" i="3"/>
  <c r="B166" i="3"/>
  <c r="T165" i="3"/>
  <c r="K165" i="3"/>
  <c r="C165" i="3"/>
  <c r="D164" i="3"/>
  <c r="J164" i="3"/>
  <c r="M164" i="3" s="1"/>
  <c r="E164" i="3"/>
  <c r="BA162" i="3" l="1"/>
  <c r="AL88" i="3"/>
  <c r="AS87" i="3"/>
  <c r="AT88" i="3"/>
  <c r="N88" i="3"/>
  <c r="AK88" i="3" s="1"/>
  <c r="I88" i="3"/>
  <c r="AJ88" i="3" s="1"/>
  <c r="P88" i="3"/>
  <c r="AW87" i="3"/>
  <c r="Z163" i="3"/>
  <c r="AA163" i="3"/>
  <c r="Q160" i="3"/>
  <c r="W161" i="3" s="1"/>
  <c r="AC161" i="3" s="1"/>
  <c r="AD161" i="3" s="1"/>
  <c r="AP166" i="3"/>
  <c r="AX166" i="3"/>
  <c r="AI166" i="3"/>
  <c r="AM166" i="3"/>
  <c r="AH166" i="3"/>
  <c r="AB162" i="3"/>
  <c r="U162" i="3"/>
  <c r="V162" i="3" s="1"/>
  <c r="AE160" i="3"/>
  <c r="AF160" i="3" s="1"/>
  <c r="A180" i="3"/>
  <c r="S163" i="3"/>
  <c r="X166" i="3"/>
  <c r="Y164" i="3"/>
  <c r="R163" i="3"/>
  <c r="B167" i="3"/>
  <c r="AW167" i="3" s="1"/>
  <c r="T166" i="3"/>
  <c r="K166" i="3"/>
  <c r="C166" i="3"/>
  <c r="E165" i="3"/>
  <c r="J165" i="3"/>
  <c r="M165" i="3" s="1"/>
  <c r="D165" i="3"/>
  <c r="F164" i="3"/>
  <c r="G164" i="3" s="1"/>
  <c r="H164" i="3" s="1"/>
  <c r="AR88" i="3" l="1"/>
  <c r="AQ88" i="3" s="1"/>
  <c r="AU88" i="3" s="1"/>
  <c r="AV88" i="3"/>
  <c r="AN88" i="3"/>
  <c r="O88" i="3"/>
  <c r="AO89" i="3" s="1"/>
  <c r="BA163" i="3"/>
  <c r="Z164" i="3"/>
  <c r="AA164" i="3"/>
  <c r="Q161" i="3"/>
  <c r="W162" i="3" s="1"/>
  <c r="AC162" i="3" s="1"/>
  <c r="AD162" i="3" s="1"/>
  <c r="AX167" i="3"/>
  <c r="AM167" i="3"/>
  <c r="AH167" i="3"/>
  <c r="AP167" i="3"/>
  <c r="U163" i="3"/>
  <c r="V163" i="3" s="1"/>
  <c r="AE161" i="3"/>
  <c r="AF161" i="3" s="1"/>
  <c r="AB163" i="3"/>
  <c r="A181" i="3"/>
  <c r="AG180" i="3"/>
  <c r="F165" i="3"/>
  <c r="G165" i="3" s="1"/>
  <c r="H165" i="3" s="1"/>
  <c r="S164" i="3"/>
  <c r="Y165" i="3"/>
  <c r="X167" i="3"/>
  <c r="R164" i="3"/>
  <c r="B168" i="3"/>
  <c r="T167" i="3"/>
  <c r="K167" i="3"/>
  <c r="C167" i="3"/>
  <c r="J166" i="3"/>
  <c r="M166" i="3" s="1"/>
  <c r="E166" i="3"/>
  <c r="D166" i="3"/>
  <c r="N89" i="3" l="1"/>
  <c r="AK89" i="3" s="1"/>
  <c r="I89" i="3"/>
  <c r="AJ89" i="3" s="1"/>
  <c r="P89" i="3"/>
  <c r="AW88" i="3"/>
  <c r="AL89" i="3"/>
  <c r="AT89" i="3"/>
  <c r="AS88" i="3"/>
  <c r="BA164" i="3"/>
  <c r="Z165" i="3"/>
  <c r="AA165" i="3"/>
  <c r="Q162" i="3"/>
  <c r="Q163" i="3" s="1"/>
  <c r="W164" i="3" s="1"/>
  <c r="AX168" i="3"/>
  <c r="AI168" i="3"/>
  <c r="AM168" i="3"/>
  <c r="AH168" i="3"/>
  <c r="AP168" i="3"/>
  <c r="AB164" i="3"/>
  <c r="U164" i="3"/>
  <c r="V164" i="3" s="1"/>
  <c r="AE162" i="3"/>
  <c r="AF162" i="3" s="1"/>
  <c r="A182" i="3"/>
  <c r="AG181" i="3"/>
  <c r="S165" i="3"/>
  <c r="X168" i="3"/>
  <c r="Y166" i="3"/>
  <c r="R165" i="3"/>
  <c r="B169" i="3"/>
  <c r="T168" i="3"/>
  <c r="K168" i="3"/>
  <c r="C168" i="3"/>
  <c r="D167" i="3"/>
  <c r="J167" i="3"/>
  <c r="M167" i="3" s="1"/>
  <c r="E167" i="3"/>
  <c r="F166" i="3"/>
  <c r="G166" i="3" s="1"/>
  <c r="H166" i="3" s="1"/>
  <c r="AR89" i="3" l="1"/>
  <c r="AQ89" i="3" s="1"/>
  <c r="AU89" i="3" s="1"/>
  <c r="O89" i="3"/>
  <c r="AO90" i="3" s="1"/>
  <c r="AN89" i="3"/>
  <c r="AV89" i="3"/>
  <c r="BA165" i="3"/>
  <c r="AA166" i="3"/>
  <c r="Z166" i="3"/>
  <c r="W163" i="3"/>
  <c r="AC163" i="3" s="1"/>
  <c r="AD163" i="3" s="1"/>
  <c r="AP169" i="3"/>
  <c r="AX169" i="3"/>
  <c r="AI169" i="3"/>
  <c r="AM169" i="3"/>
  <c r="AH169" i="3"/>
  <c r="AB165" i="3"/>
  <c r="U165" i="3"/>
  <c r="V165" i="3" s="1"/>
  <c r="Q164" i="3"/>
  <c r="W165" i="3" s="1"/>
  <c r="S166" i="3"/>
  <c r="AC164" i="3"/>
  <c r="AD164" i="3" s="1"/>
  <c r="A183" i="3"/>
  <c r="AG182" i="3"/>
  <c r="Y167" i="3"/>
  <c r="X169" i="3"/>
  <c r="R166" i="3"/>
  <c r="F167" i="3"/>
  <c r="G167" i="3" s="1"/>
  <c r="H167" i="3" s="1"/>
  <c r="B170" i="3"/>
  <c r="T169" i="3"/>
  <c r="K169" i="3"/>
  <c r="C169" i="3"/>
  <c r="D168" i="3"/>
  <c r="E168" i="3"/>
  <c r="J168" i="3"/>
  <c r="M168" i="3" s="1"/>
  <c r="N90" i="3" l="1"/>
  <c r="AK90" i="3" s="1"/>
  <c r="I90" i="3"/>
  <c r="AJ90" i="3" s="1"/>
  <c r="AS89" i="3"/>
  <c r="AL90" i="3"/>
  <c r="P90" i="3"/>
  <c r="AT90" i="3"/>
  <c r="AW89" i="3"/>
  <c r="AE163" i="3"/>
  <c r="AF163" i="3" s="1"/>
  <c r="BA166" i="3"/>
  <c r="F168" i="3"/>
  <c r="G168" i="3" s="1"/>
  <c r="H168" i="3" s="1"/>
  <c r="Z167" i="3"/>
  <c r="AA167" i="3"/>
  <c r="Y168" i="3"/>
  <c r="AI170" i="3"/>
  <c r="AX170" i="3"/>
  <c r="AM170" i="3"/>
  <c r="AH170" i="3"/>
  <c r="AP170" i="3"/>
  <c r="U166" i="3"/>
  <c r="V166" i="3" s="1"/>
  <c r="AB166" i="3"/>
  <c r="AE164" i="3"/>
  <c r="AF164" i="3" s="1"/>
  <c r="Q165" i="3"/>
  <c r="W166" i="3" s="1"/>
  <c r="S167" i="3"/>
  <c r="AC165" i="3"/>
  <c r="AD165" i="3" s="1"/>
  <c r="A184" i="3"/>
  <c r="AG183" i="3"/>
  <c r="X170" i="3"/>
  <c r="R167" i="3"/>
  <c r="B171" i="3"/>
  <c r="T170" i="3"/>
  <c r="K170" i="3"/>
  <c r="C170" i="3"/>
  <c r="J169" i="3"/>
  <c r="M169" i="3" s="1"/>
  <c r="D169" i="3"/>
  <c r="E169" i="3"/>
  <c r="AR90" i="3" l="1"/>
  <c r="AQ90" i="3" s="1"/>
  <c r="AU90" i="3" s="1"/>
  <c r="O90" i="3"/>
  <c r="AO91" i="3" s="1"/>
  <c r="AV90" i="3"/>
  <c r="AN90" i="3"/>
  <c r="BA167" i="3"/>
  <c r="AL91" i="3"/>
  <c r="Z168" i="3"/>
  <c r="AA168" i="3"/>
  <c r="AP171" i="3"/>
  <c r="AI171" i="3"/>
  <c r="AX171" i="3"/>
  <c r="AM171" i="3"/>
  <c r="AH171" i="3"/>
  <c r="U167" i="3"/>
  <c r="V167" i="3" s="1"/>
  <c r="AB167" i="3"/>
  <c r="Q166" i="3"/>
  <c r="W167" i="3" s="1"/>
  <c r="AE165" i="3"/>
  <c r="AF165" i="3" s="1"/>
  <c r="S168" i="3"/>
  <c r="AC166" i="3"/>
  <c r="AD166" i="3" s="1"/>
  <c r="A185" i="3"/>
  <c r="AG184" i="3"/>
  <c r="X171" i="3"/>
  <c r="Y169" i="3"/>
  <c r="D170" i="3"/>
  <c r="J170" i="3"/>
  <c r="M170" i="3" s="1"/>
  <c r="E170" i="3"/>
  <c r="F169" i="3"/>
  <c r="G169" i="3" s="1"/>
  <c r="H169" i="3" s="1"/>
  <c r="R168" i="3"/>
  <c r="B172" i="3"/>
  <c r="T171" i="3"/>
  <c r="K171" i="3"/>
  <c r="C171" i="3"/>
  <c r="N91" i="3" l="1"/>
  <c r="AK91" i="3" s="1"/>
  <c r="AW90" i="3"/>
  <c r="P91" i="3"/>
  <c r="AT91" i="3"/>
  <c r="AV91" i="3" s="1"/>
  <c r="I91" i="3"/>
  <c r="AJ91" i="3" s="1"/>
  <c r="AS90" i="3"/>
  <c r="BA168" i="3"/>
  <c r="AA169" i="3"/>
  <c r="Z169" i="3"/>
  <c r="AI172" i="3"/>
  <c r="AX172" i="3"/>
  <c r="AM172" i="3"/>
  <c r="AH172" i="3"/>
  <c r="F170" i="3"/>
  <c r="G170" i="3" s="1"/>
  <c r="H170" i="3" s="1"/>
  <c r="AP172" i="3"/>
  <c r="U168" i="3"/>
  <c r="V168" i="3" s="1"/>
  <c r="AE166" i="3"/>
  <c r="AF166" i="3" s="1"/>
  <c r="Q167" i="3"/>
  <c r="W168" i="3" s="1"/>
  <c r="AC167" i="3"/>
  <c r="AD167" i="3" s="1"/>
  <c r="S169" i="3"/>
  <c r="A186" i="3"/>
  <c r="AG185" i="3"/>
  <c r="AB168" i="3"/>
  <c r="X172" i="3"/>
  <c r="Y170" i="3"/>
  <c r="D171" i="3"/>
  <c r="E171" i="3"/>
  <c r="J171" i="3"/>
  <c r="M171" i="3" s="1"/>
  <c r="R169" i="3"/>
  <c r="B173" i="3"/>
  <c r="T172" i="3"/>
  <c r="K172" i="3"/>
  <c r="C172" i="3"/>
  <c r="AR91" i="3" l="1"/>
  <c r="AQ91" i="3" s="1"/>
  <c r="AU91" i="3" s="1"/>
  <c r="AW91" i="3" s="1"/>
  <c r="BA169" i="3"/>
  <c r="O91" i="3"/>
  <c r="AO92" i="3" s="1"/>
  <c r="AN91" i="3"/>
  <c r="AA170" i="3"/>
  <c r="Z170" i="3"/>
  <c r="AP173" i="3"/>
  <c r="AX173" i="3"/>
  <c r="AI173" i="3"/>
  <c r="AM173" i="3"/>
  <c r="AH173" i="3"/>
  <c r="U169" i="3"/>
  <c r="V169" i="3" s="1"/>
  <c r="AB169" i="3"/>
  <c r="AE167" i="3"/>
  <c r="AF167" i="3" s="1"/>
  <c r="A187" i="3"/>
  <c r="AG186" i="3"/>
  <c r="F171" i="3"/>
  <c r="G171" i="3" s="1"/>
  <c r="H171" i="3" s="1"/>
  <c r="S170" i="3"/>
  <c r="AC168" i="3"/>
  <c r="AD168" i="3" s="1"/>
  <c r="Y171" i="3"/>
  <c r="X173" i="3"/>
  <c r="B174" i="3"/>
  <c r="T173" i="3"/>
  <c r="K173" i="3"/>
  <c r="C173" i="3"/>
  <c r="J172" i="3"/>
  <c r="M172" i="3" s="1"/>
  <c r="D172" i="3"/>
  <c r="E172" i="3"/>
  <c r="R170" i="3"/>
  <c r="AT92" i="3" l="1"/>
  <c r="AL92" i="3"/>
  <c r="N92" i="3"/>
  <c r="AK92" i="3" s="1"/>
  <c r="I92" i="3"/>
  <c r="AJ92" i="3" s="1"/>
  <c r="AS91" i="3"/>
  <c r="P92" i="3"/>
  <c r="BA170" i="3"/>
  <c r="AA171" i="3"/>
  <c r="Z171" i="3"/>
  <c r="AP174" i="3"/>
  <c r="AI174" i="3"/>
  <c r="AX174" i="3"/>
  <c r="AM174" i="3"/>
  <c r="AH174" i="3"/>
  <c r="U170" i="3"/>
  <c r="V170" i="3" s="1"/>
  <c r="AG167" i="3"/>
  <c r="AI167" i="3" s="1"/>
  <c r="Q168" i="3" s="1"/>
  <c r="AB170" i="3"/>
  <c r="AE168" i="3"/>
  <c r="AF168" i="3" s="1"/>
  <c r="F172" i="3"/>
  <c r="G172" i="3" s="1"/>
  <c r="H172" i="3" s="1"/>
  <c r="S171" i="3"/>
  <c r="A188" i="3"/>
  <c r="AG187" i="3"/>
  <c r="X174" i="3"/>
  <c r="Y172" i="3"/>
  <c r="B175" i="3"/>
  <c r="T174" i="3"/>
  <c r="K174" i="3"/>
  <c r="C174" i="3"/>
  <c r="D173" i="3"/>
  <c r="E173" i="3"/>
  <c r="J173" i="3"/>
  <c r="M173" i="3" s="1"/>
  <c r="R171" i="3"/>
  <c r="AR92" i="3" l="1"/>
  <c r="AQ92" i="3" s="1"/>
  <c r="AU92" i="3" s="1"/>
  <c r="AN92" i="3"/>
  <c r="AV92" i="3"/>
  <c r="O92" i="3"/>
  <c r="AO93" i="3" s="1"/>
  <c r="BA171" i="3"/>
  <c r="F173" i="3"/>
  <c r="G173" i="3" s="1"/>
  <c r="H173" i="3" s="1"/>
  <c r="AA172" i="3"/>
  <c r="Z172" i="3"/>
  <c r="AX175" i="3"/>
  <c r="AI175" i="3"/>
  <c r="AM175" i="3"/>
  <c r="AH175" i="3"/>
  <c r="AP175" i="3"/>
  <c r="U171" i="3"/>
  <c r="V171" i="3" s="1"/>
  <c r="W169" i="3"/>
  <c r="AC169" i="3" s="1"/>
  <c r="AD169" i="3" s="1"/>
  <c r="Q169" i="3"/>
  <c r="W170" i="3" s="1"/>
  <c r="AC170" i="3" s="1"/>
  <c r="AD170" i="3" s="1"/>
  <c r="AB171" i="3"/>
  <c r="A189" i="3"/>
  <c r="AG188" i="3"/>
  <c r="S172" i="3"/>
  <c r="Y173" i="3"/>
  <c r="X175" i="3"/>
  <c r="R172" i="3"/>
  <c r="B176" i="3"/>
  <c r="T175" i="3"/>
  <c r="K175" i="3"/>
  <c r="C175" i="3"/>
  <c r="D174" i="3"/>
  <c r="E174" i="3"/>
  <c r="J174" i="3"/>
  <c r="M174" i="3" s="1"/>
  <c r="P93" i="3" l="1"/>
  <c r="AW92" i="3"/>
  <c r="AL93" i="3"/>
  <c r="AS92" i="3"/>
  <c r="AT93" i="3"/>
  <c r="N93" i="3"/>
  <c r="AK93" i="3" s="1"/>
  <c r="I93" i="3"/>
  <c r="AJ93" i="3" s="1"/>
  <c r="BA172" i="3"/>
  <c r="AE169" i="3"/>
  <c r="AF169" i="3" s="1"/>
  <c r="Z173" i="3"/>
  <c r="AA173" i="3"/>
  <c r="Y174" i="3"/>
  <c r="AP176" i="3"/>
  <c r="AB172" i="3"/>
  <c r="AX176" i="3"/>
  <c r="AI176" i="3"/>
  <c r="AM176" i="3"/>
  <c r="AH176" i="3"/>
  <c r="U172" i="3"/>
  <c r="V172" i="3" s="1"/>
  <c r="Q170" i="3"/>
  <c r="W171" i="3" s="1"/>
  <c r="AC171" i="3" s="1"/>
  <c r="AD171" i="3" s="1"/>
  <c r="AE170" i="3"/>
  <c r="AF170" i="3" s="1"/>
  <c r="A190" i="3"/>
  <c r="AG189" i="3"/>
  <c r="S173" i="3"/>
  <c r="X176" i="3"/>
  <c r="B177" i="3"/>
  <c r="T176" i="3"/>
  <c r="K176" i="3"/>
  <c r="C176" i="3"/>
  <c r="R173" i="3"/>
  <c r="F174" i="3"/>
  <c r="G174" i="3" s="1"/>
  <c r="H174" i="3" s="1"/>
  <c r="E175" i="3"/>
  <c r="J175" i="3"/>
  <c r="M175" i="3" s="1"/>
  <c r="D175" i="3"/>
  <c r="AR93" i="3" l="1"/>
  <c r="AQ93" i="3" s="1"/>
  <c r="AU93" i="3" s="1"/>
  <c r="O93" i="3"/>
  <c r="AO94" i="3" s="1"/>
  <c r="AV93" i="3"/>
  <c r="AN93" i="3"/>
  <c r="BA173" i="3"/>
  <c r="F175" i="3"/>
  <c r="G175" i="3" s="1"/>
  <c r="H175" i="3" s="1"/>
  <c r="Z174" i="3"/>
  <c r="AA174" i="3"/>
  <c r="AX177" i="3"/>
  <c r="AI177" i="3"/>
  <c r="AM177" i="3"/>
  <c r="AH177" i="3"/>
  <c r="AP177" i="3"/>
  <c r="U173" i="3"/>
  <c r="V173" i="3" s="1"/>
  <c r="Q171" i="3"/>
  <c r="W172" i="3" s="1"/>
  <c r="AC172" i="3" s="1"/>
  <c r="AD172" i="3" s="1"/>
  <c r="AB173" i="3"/>
  <c r="AE171" i="3"/>
  <c r="AF171" i="3" s="1"/>
  <c r="S174" i="3"/>
  <c r="A191" i="3"/>
  <c r="AG190" i="3"/>
  <c r="X177" i="3"/>
  <c r="Y175" i="3"/>
  <c r="B178" i="3"/>
  <c r="T177" i="3"/>
  <c r="K177" i="3"/>
  <c r="C177" i="3"/>
  <c r="J176" i="3"/>
  <c r="M176" i="3" s="1"/>
  <c r="E176" i="3"/>
  <c r="D176" i="3"/>
  <c r="R174" i="3"/>
  <c r="AL94" i="3" l="1"/>
  <c r="AS93" i="3"/>
  <c r="I94" i="3"/>
  <c r="AJ94" i="3" s="1"/>
  <c r="AT94" i="3"/>
  <c r="N94" i="3"/>
  <c r="AK94" i="3" s="1"/>
  <c r="P94" i="3"/>
  <c r="AW93" i="3"/>
  <c r="BA174" i="3"/>
  <c r="Z175" i="3"/>
  <c r="AA175" i="3"/>
  <c r="Q172" i="3"/>
  <c r="W173" i="3" s="1"/>
  <c r="AC173" i="3" s="1"/>
  <c r="AP178" i="3"/>
  <c r="AI178" i="3"/>
  <c r="AX178" i="3"/>
  <c r="AM178" i="3"/>
  <c r="AH178" i="3"/>
  <c r="U174" i="3"/>
  <c r="V174" i="3" s="1"/>
  <c r="AE172" i="3"/>
  <c r="AF172" i="3" s="1"/>
  <c r="AB174" i="3"/>
  <c r="A192" i="3"/>
  <c r="F176" i="3"/>
  <c r="G176" i="3" s="1"/>
  <c r="H176" i="3" s="1"/>
  <c r="S175" i="3"/>
  <c r="X178" i="3"/>
  <c r="Y176" i="3"/>
  <c r="R175" i="3"/>
  <c r="B179" i="3"/>
  <c r="AW179" i="3" s="1"/>
  <c r="T178" i="3"/>
  <c r="K178" i="3"/>
  <c r="C178" i="3"/>
  <c r="J177" i="3"/>
  <c r="M177" i="3" s="1"/>
  <c r="E177" i="3"/>
  <c r="D177" i="3"/>
  <c r="AR94" i="3" l="1"/>
  <c r="AQ94" i="3" s="1"/>
  <c r="AU94" i="3" s="1"/>
  <c r="AV94" i="3"/>
  <c r="AN94" i="3"/>
  <c r="O94" i="3"/>
  <c r="AO95" i="3" s="1"/>
  <c r="BA175" i="3"/>
  <c r="Z176" i="3"/>
  <c r="AA176" i="3"/>
  <c r="Q173" i="3"/>
  <c r="W174" i="3" s="1"/>
  <c r="AC174" i="3" s="1"/>
  <c r="AD173" i="3"/>
  <c r="AX179" i="3"/>
  <c r="AM179" i="3"/>
  <c r="AH179" i="3"/>
  <c r="AP179" i="3"/>
  <c r="U175" i="3"/>
  <c r="V175" i="3" s="1"/>
  <c r="AB175" i="3"/>
  <c r="A193" i="3"/>
  <c r="AG192" i="3"/>
  <c r="F177" i="3"/>
  <c r="G177" i="3" s="1"/>
  <c r="H177" i="3" s="1"/>
  <c r="S176" i="3"/>
  <c r="X179" i="3"/>
  <c r="Y177" i="3"/>
  <c r="R176" i="3"/>
  <c r="B180" i="3"/>
  <c r="T179" i="3"/>
  <c r="K179" i="3"/>
  <c r="C179" i="3"/>
  <c r="D178" i="3"/>
  <c r="J178" i="3"/>
  <c r="M178" i="3" s="1"/>
  <c r="E178" i="3"/>
  <c r="AW94" i="3" l="1"/>
  <c r="AT95" i="3"/>
  <c r="I95" i="3"/>
  <c r="AJ95" i="3" s="1"/>
  <c r="AS94" i="3"/>
  <c r="P95" i="3"/>
  <c r="N95" i="3"/>
  <c r="AK95" i="3" s="1"/>
  <c r="AL95" i="3"/>
  <c r="BA176" i="3"/>
  <c r="AE173" i="3"/>
  <c r="AF173" i="3" s="1"/>
  <c r="Z177" i="3"/>
  <c r="AA177" i="3"/>
  <c r="AD174" i="3"/>
  <c r="Q174" i="3"/>
  <c r="W175" i="3" s="1"/>
  <c r="AC175" i="3" s="1"/>
  <c r="AP180" i="3"/>
  <c r="AX180" i="3"/>
  <c r="AI180" i="3"/>
  <c r="AM180" i="3"/>
  <c r="AH180" i="3"/>
  <c r="AB176" i="3"/>
  <c r="U176" i="3"/>
  <c r="V176" i="3" s="1"/>
  <c r="F178" i="3"/>
  <c r="G178" i="3" s="1"/>
  <c r="H178" i="3" s="1"/>
  <c r="S177" i="3"/>
  <c r="A194" i="3"/>
  <c r="AG193" i="3"/>
  <c r="Y178" i="3"/>
  <c r="X180" i="3"/>
  <c r="B181" i="3"/>
  <c r="T180" i="3"/>
  <c r="K180" i="3"/>
  <c r="C180" i="3"/>
  <c r="D179" i="3"/>
  <c r="E179" i="3"/>
  <c r="J179" i="3"/>
  <c r="M179" i="3" s="1"/>
  <c r="R177" i="3"/>
  <c r="AR95" i="3" l="1"/>
  <c r="AQ95" i="3" s="1"/>
  <c r="AU95" i="3" s="1"/>
  <c r="O95" i="3"/>
  <c r="AO96" i="3" s="1"/>
  <c r="AV95" i="3"/>
  <c r="AN95" i="3"/>
  <c r="BA177" i="3"/>
  <c r="AE174" i="3"/>
  <c r="AF174" i="3" s="1"/>
  <c r="AA178" i="3"/>
  <c r="Z178" i="3"/>
  <c r="Q175" i="3"/>
  <c r="W176" i="3" s="1"/>
  <c r="AC176" i="3" s="1"/>
  <c r="AD176" i="3" s="1"/>
  <c r="AD175" i="3"/>
  <c r="AX181" i="3"/>
  <c r="AI181" i="3"/>
  <c r="AP181" i="3"/>
  <c r="AH181" i="3"/>
  <c r="U177" i="3"/>
  <c r="V177" i="3" s="1"/>
  <c r="A195" i="3"/>
  <c r="AG194" i="3"/>
  <c r="S178" i="3"/>
  <c r="AB177" i="3"/>
  <c r="Y179" i="3"/>
  <c r="X181" i="3"/>
  <c r="R178" i="3"/>
  <c r="F179" i="3"/>
  <c r="G179" i="3" s="1"/>
  <c r="H179" i="3" s="1"/>
  <c r="B182" i="3"/>
  <c r="T181" i="3"/>
  <c r="K181" i="3"/>
  <c r="C181" i="3"/>
  <c r="J180" i="3"/>
  <c r="M180" i="3" s="1"/>
  <c r="D180" i="3"/>
  <c r="E180" i="3"/>
  <c r="AL96" i="3" l="1"/>
  <c r="AT96" i="3"/>
  <c r="N96" i="3"/>
  <c r="AK96" i="3" s="1"/>
  <c r="I96" i="3"/>
  <c r="AJ96" i="3" s="1"/>
  <c r="P96" i="3"/>
  <c r="AS95" i="3"/>
  <c r="BA178" i="3"/>
  <c r="AE175" i="3"/>
  <c r="AF175" i="3" s="1"/>
  <c r="AA179" i="3"/>
  <c r="Z179" i="3"/>
  <c r="Q176" i="3"/>
  <c r="W177" i="3" s="1"/>
  <c r="AC177" i="3" s="1"/>
  <c r="AD177" i="3" s="1"/>
  <c r="Y180" i="3"/>
  <c r="AI182" i="3"/>
  <c r="AX182" i="3"/>
  <c r="AP182" i="3"/>
  <c r="AM182" i="3"/>
  <c r="AH182" i="3"/>
  <c r="U178" i="3"/>
  <c r="V178" i="3" s="1"/>
  <c r="AB178" i="3"/>
  <c r="AE176" i="3"/>
  <c r="AF176" i="3" s="1"/>
  <c r="A196" i="3"/>
  <c r="AG195" i="3"/>
  <c r="F180" i="3"/>
  <c r="G180" i="3" s="1"/>
  <c r="H180" i="3" s="1"/>
  <c r="S179" i="3"/>
  <c r="X182" i="3"/>
  <c r="R179" i="3"/>
  <c r="E181" i="3"/>
  <c r="J181" i="3"/>
  <c r="M181" i="3" s="1"/>
  <c r="D181" i="3"/>
  <c r="B183" i="3"/>
  <c r="T182" i="3"/>
  <c r="K182" i="3"/>
  <c r="C182" i="3"/>
  <c r="AV96" i="3" l="1"/>
  <c r="AR96" i="3"/>
  <c r="AQ96" i="3" s="1"/>
  <c r="AU96" i="3" s="1"/>
  <c r="O96" i="3"/>
  <c r="AO97" i="3" s="1"/>
  <c r="AN96" i="3"/>
  <c r="BA179" i="3"/>
  <c r="F181" i="3"/>
  <c r="G181" i="3" s="1"/>
  <c r="H181" i="3" s="1"/>
  <c r="AA180" i="3"/>
  <c r="Z180" i="3"/>
  <c r="Q177" i="3"/>
  <c r="W178" i="3" s="1"/>
  <c r="AC178" i="3" s="1"/>
  <c r="Y181" i="3"/>
  <c r="S180" i="3"/>
  <c r="AI183" i="3"/>
  <c r="AX183" i="3"/>
  <c r="AP183" i="3"/>
  <c r="AH183" i="3"/>
  <c r="U179" i="3"/>
  <c r="V179" i="3" s="1"/>
  <c r="AB179" i="3"/>
  <c r="AE177" i="3"/>
  <c r="AF177" i="3" s="1"/>
  <c r="A197" i="3"/>
  <c r="AG196" i="3"/>
  <c r="X183" i="3"/>
  <c r="E182" i="3"/>
  <c r="J182" i="3"/>
  <c r="M182" i="3" s="1"/>
  <c r="D182" i="3"/>
  <c r="B184" i="3"/>
  <c r="T183" i="3"/>
  <c r="K183" i="3"/>
  <c r="C183" i="3"/>
  <c r="R180" i="3"/>
  <c r="AW96" i="3" l="1"/>
  <c r="AL97" i="3"/>
  <c r="P97" i="3"/>
  <c r="I97" i="3"/>
  <c r="AJ97" i="3" s="1"/>
  <c r="AT97" i="3"/>
  <c r="AS96" i="3"/>
  <c r="N97" i="3"/>
  <c r="AK97" i="3" s="1"/>
  <c r="BA180" i="3"/>
  <c r="F182" i="3"/>
  <c r="G182" i="3" s="1"/>
  <c r="H182" i="3" s="1"/>
  <c r="Z181" i="3"/>
  <c r="AA181" i="3"/>
  <c r="Q178" i="3"/>
  <c r="W179" i="3" s="1"/>
  <c r="AC179" i="3" s="1"/>
  <c r="AD178" i="3"/>
  <c r="U180" i="3"/>
  <c r="V180" i="3" s="1"/>
  <c r="Y182" i="3"/>
  <c r="AB180" i="3"/>
  <c r="R181" i="3"/>
  <c r="S181" i="3"/>
  <c r="AX184" i="3"/>
  <c r="AI184" i="3"/>
  <c r="AP184" i="3"/>
  <c r="AM184" i="3"/>
  <c r="AH184" i="3"/>
  <c r="A198" i="3"/>
  <c r="AG197" i="3"/>
  <c r="X184" i="3"/>
  <c r="B185" i="3"/>
  <c r="T184" i="3"/>
  <c r="K184" i="3"/>
  <c r="C184" i="3"/>
  <c r="D183" i="3"/>
  <c r="J183" i="3"/>
  <c r="M183" i="3" s="1"/>
  <c r="E183" i="3"/>
  <c r="AR97" i="3" l="1"/>
  <c r="AQ97" i="3" s="1"/>
  <c r="AU97" i="3" s="1"/>
  <c r="AV97" i="3"/>
  <c r="O97" i="3"/>
  <c r="AO98" i="3" s="1"/>
  <c r="AN97" i="3"/>
  <c r="AE178" i="3"/>
  <c r="AF178" i="3" s="1"/>
  <c r="BA181" i="3"/>
  <c r="AA182" i="3"/>
  <c r="Z182" i="3"/>
  <c r="Q179" i="3"/>
  <c r="W180" i="3" s="1"/>
  <c r="AC180" i="3" s="1"/>
  <c r="AD179" i="3"/>
  <c r="AB181" i="3"/>
  <c r="F183" i="3"/>
  <c r="G183" i="3" s="1"/>
  <c r="H183" i="3" s="1"/>
  <c r="S182" i="3"/>
  <c r="Y183" i="3"/>
  <c r="U181" i="3"/>
  <c r="V181" i="3" s="1"/>
  <c r="R182" i="3"/>
  <c r="AX185" i="3"/>
  <c r="AI185" i="3"/>
  <c r="AP185" i="3"/>
  <c r="AM185" i="3"/>
  <c r="AH185" i="3"/>
  <c r="A199" i="3"/>
  <c r="AG198" i="3"/>
  <c r="X185" i="3"/>
  <c r="D184" i="3"/>
  <c r="E184" i="3"/>
  <c r="J184" i="3"/>
  <c r="M184" i="3" s="1"/>
  <c r="B186" i="3"/>
  <c r="T185" i="3"/>
  <c r="K185" i="3"/>
  <c r="C185" i="3"/>
  <c r="I98" i="3" l="1"/>
  <c r="AJ98" i="3" s="1"/>
  <c r="AS97" i="3"/>
  <c r="AW97" i="3"/>
  <c r="AL98" i="3"/>
  <c r="P98" i="3"/>
  <c r="N98" i="3"/>
  <c r="AK98" i="3" s="1"/>
  <c r="AT98" i="3"/>
  <c r="BA182" i="3"/>
  <c r="AE179" i="3"/>
  <c r="AF179" i="3" s="1"/>
  <c r="AG179" i="3" s="1"/>
  <c r="AI179" i="3" s="1"/>
  <c r="Q180" i="3" s="1"/>
  <c r="AA183" i="3"/>
  <c r="Z183" i="3"/>
  <c r="AD180" i="3"/>
  <c r="U182" i="3"/>
  <c r="V182" i="3" s="1"/>
  <c r="AB182" i="3"/>
  <c r="S183" i="3"/>
  <c r="R183" i="3"/>
  <c r="Y184" i="3"/>
  <c r="F184" i="3"/>
  <c r="G184" i="3" s="1"/>
  <c r="H184" i="3" s="1"/>
  <c r="AI186" i="3"/>
  <c r="AX186" i="3"/>
  <c r="AP186" i="3"/>
  <c r="AM186" i="3"/>
  <c r="AH186" i="3"/>
  <c r="A200" i="3"/>
  <c r="AG199" i="3"/>
  <c r="X186" i="3"/>
  <c r="B187" i="3"/>
  <c r="T186" i="3"/>
  <c r="K186" i="3"/>
  <c r="C186" i="3"/>
  <c r="E185" i="3"/>
  <c r="J185" i="3"/>
  <c r="M185" i="3" s="1"/>
  <c r="D185" i="3"/>
  <c r="AV98" i="3" l="1"/>
  <c r="AN98" i="3"/>
  <c r="O98" i="3"/>
  <c r="AO99" i="3" s="1"/>
  <c r="AR98" i="3"/>
  <c r="AQ98" i="3" s="1"/>
  <c r="AU98" i="3" s="1"/>
  <c r="BA183" i="3"/>
  <c r="N99" i="3"/>
  <c r="AK99" i="3" s="1"/>
  <c r="AE180" i="3"/>
  <c r="AF180" i="3" s="1"/>
  <c r="AA184" i="3"/>
  <c r="Z184" i="3"/>
  <c r="U183" i="3"/>
  <c r="V183" i="3" s="1"/>
  <c r="AB183" i="3"/>
  <c r="R184" i="3"/>
  <c r="S184" i="3"/>
  <c r="Y185" i="3"/>
  <c r="F185" i="3"/>
  <c r="G185" i="3" s="1"/>
  <c r="H185" i="3" s="1"/>
  <c r="Q181" i="3"/>
  <c r="W181" i="3"/>
  <c r="AI187" i="3"/>
  <c r="AX187" i="3"/>
  <c r="AP187" i="3"/>
  <c r="AM187" i="3"/>
  <c r="AH187" i="3"/>
  <c r="A201" i="3"/>
  <c r="AG200" i="3"/>
  <c r="X187" i="3"/>
  <c r="J186" i="3"/>
  <c r="M186" i="3" s="1"/>
  <c r="E186" i="3"/>
  <c r="D186" i="3"/>
  <c r="B188" i="3"/>
  <c r="T187" i="3"/>
  <c r="K187" i="3"/>
  <c r="C187" i="3"/>
  <c r="AL99" i="3" l="1"/>
  <c r="P99" i="3"/>
  <c r="AW98" i="3"/>
  <c r="AT99" i="3"/>
  <c r="AS98" i="3"/>
  <c r="I99" i="3"/>
  <c r="AJ99" i="3" s="1"/>
  <c r="BA184" i="3"/>
  <c r="F186" i="3"/>
  <c r="G186" i="3" s="1"/>
  <c r="H186" i="3" s="1"/>
  <c r="Z185" i="3"/>
  <c r="AA185" i="3"/>
  <c r="AB184" i="3"/>
  <c r="U184" i="3"/>
  <c r="V184" i="3" s="1"/>
  <c r="R185" i="3"/>
  <c r="S185" i="3"/>
  <c r="Y186" i="3"/>
  <c r="AC181" i="3"/>
  <c r="AD181" i="3" s="1"/>
  <c r="Q182" i="3"/>
  <c r="W182" i="3"/>
  <c r="AX188" i="3"/>
  <c r="AI188" i="3"/>
  <c r="AP188" i="3"/>
  <c r="AM188" i="3"/>
  <c r="AH188" i="3"/>
  <c r="A202" i="3"/>
  <c r="AG201" i="3"/>
  <c r="X188" i="3"/>
  <c r="J187" i="3"/>
  <c r="M187" i="3" s="1"/>
  <c r="D187" i="3"/>
  <c r="E187" i="3"/>
  <c r="B189" i="3"/>
  <c r="T188" i="3"/>
  <c r="K188" i="3"/>
  <c r="C188" i="3"/>
  <c r="AN99" i="3" l="1"/>
  <c r="AR99" i="3"/>
  <c r="AQ99" i="3" s="1"/>
  <c r="AU99" i="3" s="1"/>
  <c r="AV99" i="3"/>
  <c r="O99" i="3"/>
  <c r="AO100" i="3" s="1"/>
  <c r="BA185" i="3"/>
  <c r="AA186" i="3"/>
  <c r="Z186" i="3"/>
  <c r="AB185" i="3"/>
  <c r="U185" i="3"/>
  <c r="V185" i="3" s="1"/>
  <c r="R186" i="3"/>
  <c r="S186" i="3"/>
  <c r="Y187" i="3"/>
  <c r="F187" i="3"/>
  <c r="G187" i="3" s="1"/>
  <c r="H187" i="3" s="1"/>
  <c r="AC182" i="3"/>
  <c r="AD182" i="3" s="1"/>
  <c r="Q183" i="3"/>
  <c r="W183" i="3"/>
  <c r="AE181" i="3"/>
  <c r="AF181" i="3" s="1"/>
  <c r="AX189" i="3"/>
  <c r="AI189" i="3"/>
  <c r="AP189" i="3"/>
  <c r="AH189" i="3"/>
  <c r="A203" i="3"/>
  <c r="AG202" i="3"/>
  <c r="X189" i="3"/>
  <c r="D188" i="3"/>
  <c r="J188" i="3"/>
  <c r="M188" i="3" s="1"/>
  <c r="E188" i="3"/>
  <c r="B190" i="3"/>
  <c r="T189" i="3"/>
  <c r="K189" i="3"/>
  <c r="C189" i="3"/>
  <c r="AL100" i="3" l="1"/>
  <c r="AW99" i="3"/>
  <c r="I100" i="3"/>
  <c r="AJ100" i="3" s="1"/>
  <c r="P100" i="3"/>
  <c r="AS99" i="3"/>
  <c r="N100" i="3"/>
  <c r="AK100" i="3" s="1"/>
  <c r="AT100" i="3"/>
  <c r="BA186" i="3"/>
  <c r="AE182" i="3"/>
  <c r="AF182" i="3" s="1"/>
  <c r="F188" i="3"/>
  <c r="G188" i="3" s="1"/>
  <c r="H188" i="3" s="1"/>
  <c r="Z187" i="3"/>
  <c r="AA187" i="3"/>
  <c r="R187" i="3"/>
  <c r="S187" i="3"/>
  <c r="Y188" i="3"/>
  <c r="AB186" i="3"/>
  <c r="U186" i="3"/>
  <c r="V186" i="3" s="1"/>
  <c r="AC183" i="3"/>
  <c r="AD183" i="3" s="1"/>
  <c r="Q184" i="3"/>
  <c r="W184" i="3"/>
  <c r="AI190" i="3"/>
  <c r="AX190" i="3"/>
  <c r="AP190" i="3"/>
  <c r="AH190" i="3"/>
  <c r="A204" i="3"/>
  <c r="X190" i="3"/>
  <c r="E189" i="3"/>
  <c r="D189" i="3"/>
  <c r="J189" i="3"/>
  <c r="M189" i="3" s="1"/>
  <c r="B191" i="3"/>
  <c r="AW191" i="3" s="1"/>
  <c r="T190" i="3"/>
  <c r="K190" i="3"/>
  <c r="C190" i="3"/>
  <c r="AV100" i="3" l="1"/>
  <c r="AN100" i="3"/>
  <c r="O100" i="3"/>
  <c r="AO101" i="3" s="1"/>
  <c r="AR100" i="3"/>
  <c r="AQ100" i="3" s="1"/>
  <c r="AU100" i="3" s="1"/>
  <c r="BA187" i="3"/>
  <c r="F189" i="3"/>
  <c r="G189" i="3" s="1"/>
  <c r="H189" i="3" s="1"/>
  <c r="Z188" i="3"/>
  <c r="AA188" i="3"/>
  <c r="AB187" i="3"/>
  <c r="R188" i="3"/>
  <c r="S188" i="3"/>
  <c r="Y189" i="3"/>
  <c r="U187" i="3"/>
  <c r="V187" i="3" s="1"/>
  <c r="Q185" i="3"/>
  <c r="W185" i="3"/>
  <c r="AE183" i="3"/>
  <c r="AF183" i="3" s="1"/>
  <c r="AC184" i="3"/>
  <c r="AD184" i="3" s="1"/>
  <c r="AX191" i="3"/>
  <c r="AP191" i="3"/>
  <c r="AH191" i="3"/>
  <c r="A205" i="3"/>
  <c r="AG204" i="3"/>
  <c r="X191" i="3"/>
  <c r="D190" i="3"/>
  <c r="E190" i="3"/>
  <c r="J190" i="3"/>
  <c r="M190" i="3" s="1"/>
  <c r="B192" i="3"/>
  <c r="T191" i="3"/>
  <c r="K191" i="3"/>
  <c r="C191" i="3"/>
  <c r="AW100" i="3" l="1"/>
  <c r="P101" i="3"/>
  <c r="AL101" i="3"/>
  <c r="I101" i="3"/>
  <c r="AJ101" i="3" s="1"/>
  <c r="AT101" i="3"/>
  <c r="AS100" i="3"/>
  <c r="N101" i="3"/>
  <c r="AK101" i="3" s="1"/>
  <c r="BA188" i="3"/>
  <c r="Z189" i="3"/>
  <c r="AA189" i="3"/>
  <c r="U188" i="3"/>
  <c r="V188" i="3" s="1"/>
  <c r="S189" i="3"/>
  <c r="R189" i="3"/>
  <c r="Y190" i="3"/>
  <c r="AB188" i="3"/>
  <c r="AE184" i="3"/>
  <c r="AF184" i="3" s="1"/>
  <c r="Q186" i="3"/>
  <c r="W186" i="3"/>
  <c r="AC185" i="3"/>
  <c r="AD185" i="3" s="1"/>
  <c r="F190" i="3"/>
  <c r="G190" i="3" s="1"/>
  <c r="H190" i="3" s="1"/>
  <c r="AX192" i="3"/>
  <c r="AI192" i="3"/>
  <c r="AP192" i="3"/>
  <c r="AH192" i="3"/>
  <c r="A206" i="3"/>
  <c r="AG205" i="3"/>
  <c r="X192" i="3"/>
  <c r="E191" i="3"/>
  <c r="J191" i="3"/>
  <c r="M191" i="3" s="1"/>
  <c r="D191" i="3"/>
  <c r="B193" i="3"/>
  <c r="T192" i="3"/>
  <c r="K192" i="3"/>
  <c r="C192" i="3"/>
  <c r="AV101" i="3" l="1"/>
  <c r="AR101" i="3"/>
  <c r="AQ101" i="3" s="1"/>
  <c r="AU101" i="3" s="1"/>
  <c r="AN101" i="3"/>
  <c r="O101" i="3"/>
  <c r="AO102" i="3" s="1"/>
  <c r="BA189" i="3"/>
  <c r="F191" i="3"/>
  <c r="G191" i="3" s="1"/>
  <c r="H191" i="3" s="1"/>
  <c r="AA190" i="3"/>
  <c r="Z190" i="3"/>
  <c r="U189" i="3"/>
  <c r="V189" i="3" s="1"/>
  <c r="R190" i="3"/>
  <c r="S190" i="3"/>
  <c r="Y191" i="3"/>
  <c r="AB189" i="3"/>
  <c r="AE185" i="3"/>
  <c r="AF185" i="3" s="1"/>
  <c r="Q187" i="3"/>
  <c r="W187" i="3"/>
  <c r="AC186" i="3"/>
  <c r="AD186" i="3" s="1"/>
  <c r="AX193" i="3"/>
  <c r="AI193" i="3"/>
  <c r="AP193" i="3"/>
  <c r="AH193" i="3"/>
  <c r="A207" i="3"/>
  <c r="AG206" i="3"/>
  <c r="X193" i="3"/>
  <c r="J192" i="3"/>
  <c r="M192" i="3" s="1"/>
  <c r="D192" i="3"/>
  <c r="E192" i="3"/>
  <c r="B194" i="3"/>
  <c r="T193" i="3"/>
  <c r="K193" i="3"/>
  <c r="C193" i="3"/>
  <c r="AW101" i="3" l="1"/>
  <c r="AS101" i="3"/>
  <c r="AT102" i="3"/>
  <c r="P102" i="3"/>
  <c r="AL102" i="3"/>
  <c r="I102" i="3"/>
  <c r="AJ102" i="3" s="1"/>
  <c r="N102" i="3"/>
  <c r="AK102" i="3" s="1"/>
  <c r="BA190" i="3"/>
  <c r="AA191" i="3"/>
  <c r="Z191" i="3"/>
  <c r="AB190" i="3"/>
  <c r="S191" i="3"/>
  <c r="R191" i="3"/>
  <c r="Y192" i="3"/>
  <c r="U190" i="3"/>
  <c r="V190" i="3" s="1"/>
  <c r="AE186" i="3"/>
  <c r="AF186" i="3" s="1"/>
  <c r="Q188" i="3"/>
  <c r="W188" i="3"/>
  <c r="AC187" i="3"/>
  <c r="AD187" i="3" s="1"/>
  <c r="F192" i="3"/>
  <c r="G192" i="3" s="1"/>
  <c r="H192" i="3" s="1"/>
  <c r="AI194" i="3"/>
  <c r="AX194" i="3"/>
  <c r="AP194" i="3"/>
  <c r="AH194" i="3"/>
  <c r="A208" i="3"/>
  <c r="AG207" i="3"/>
  <c r="X194" i="3"/>
  <c r="J193" i="3"/>
  <c r="M193" i="3" s="1"/>
  <c r="E193" i="3"/>
  <c r="D193" i="3"/>
  <c r="B195" i="3"/>
  <c r="T194" i="3"/>
  <c r="K194" i="3"/>
  <c r="C194" i="3"/>
  <c r="O102" i="3" l="1"/>
  <c r="AO103" i="3" s="1"/>
  <c r="AR102" i="3"/>
  <c r="AQ102" i="3" s="1"/>
  <c r="AU102" i="3" s="1"/>
  <c r="AV102" i="3"/>
  <c r="AN102" i="3"/>
  <c r="BA191" i="3"/>
  <c r="AA192" i="3"/>
  <c r="F193" i="3"/>
  <c r="G193" i="3" s="1"/>
  <c r="H193" i="3" s="1"/>
  <c r="Z192" i="3"/>
  <c r="U191" i="3"/>
  <c r="V191" i="3" s="1"/>
  <c r="AB191" i="3"/>
  <c r="S192" i="3"/>
  <c r="R192" i="3"/>
  <c r="Y193" i="3"/>
  <c r="AC188" i="3"/>
  <c r="AD188" i="3" s="1"/>
  <c r="Q189" i="3"/>
  <c r="W189" i="3"/>
  <c r="AE187" i="3"/>
  <c r="AF187" i="3" s="1"/>
  <c r="AI195" i="3"/>
  <c r="AX195" i="3"/>
  <c r="AP195" i="3"/>
  <c r="AH195" i="3"/>
  <c r="A209" i="3"/>
  <c r="AG208" i="3"/>
  <c r="X195" i="3"/>
  <c r="D194" i="3"/>
  <c r="E194" i="3"/>
  <c r="J194" i="3"/>
  <c r="M194" i="3" s="1"/>
  <c r="B196" i="3"/>
  <c r="T195" i="3"/>
  <c r="K195" i="3"/>
  <c r="C195" i="3"/>
  <c r="AL103" i="3" l="1"/>
  <c r="P103" i="3"/>
  <c r="AT103" i="3"/>
  <c r="I103" i="3"/>
  <c r="AJ103" i="3" s="1"/>
  <c r="N103" i="3"/>
  <c r="AK103" i="3" s="1"/>
  <c r="AS102" i="3"/>
  <c r="AW102" i="3"/>
  <c r="BA192" i="3"/>
  <c r="AA193" i="3"/>
  <c r="Z193" i="3"/>
  <c r="U192" i="3"/>
  <c r="V192" i="3" s="1"/>
  <c r="AB192" i="3"/>
  <c r="Y194" i="3"/>
  <c r="S193" i="3"/>
  <c r="R193" i="3"/>
  <c r="Q190" i="3"/>
  <c r="W190" i="3"/>
  <c r="AE188" i="3"/>
  <c r="AF188" i="3" s="1"/>
  <c r="AC189" i="3"/>
  <c r="AD189" i="3" s="1"/>
  <c r="F194" i="3"/>
  <c r="G194" i="3" s="1"/>
  <c r="H194" i="3" s="1"/>
  <c r="AX196" i="3"/>
  <c r="AI196" i="3"/>
  <c r="AP196" i="3"/>
  <c r="AH196" i="3"/>
  <c r="A210" i="3"/>
  <c r="AG209" i="3"/>
  <c r="X196" i="3"/>
  <c r="E195" i="3"/>
  <c r="J195" i="3"/>
  <c r="M195" i="3" s="1"/>
  <c r="D195" i="3"/>
  <c r="B197" i="3"/>
  <c r="T196" i="3"/>
  <c r="K196" i="3"/>
  <c r="C196" i="3"/>
  <c r="AV103" i="3" l="1"/>
  <c r="AN103" i="3"/>
  <c r="O103" i="3"/>
  <c r="AO104" i="3" s="1"/>
  <c r="AR103" i="3"/>
  <c r="AQ103" i="3" s="1"/>
  <c r="AU103" i="3" s="1"/>
  <c r="BA193" i="3"/>
  <c r="AA194" i="3"/>
  <c r="Z194" i="3"/>
  <c r="U193" i="3"/>
  <c r="V193" i="3" s="1"/>
  <c r="S194" i="3"/>
  <c r="R194" i="3"/>
  <c r="Y195" i="3"/>
  <c r="F195" i="3"/>
  <c r="G195" i="3" s="1"/>
  <c r="H195" i="3" s="1"/>
  <c r="AB193" i="3"/>
  <c r="AE189" i="3"/>
  <c r="AF189" i="3" s="1"/>
  <c r="AC190" i="3"/>
  <c r="AD190" i="3" s="1"/>
  <c r="Q191" i="3"/>
  <c r="W191" i="3"/>
  <c r="AX197" i="3"/>
  <c r="AI197" i="3"/>
  <c r="AP197" i="3"/>
  <c r="AH197" i="3"/>
  <c r="A211" i="3"/>
  <c r="AG210" i="3"/>
  <c r="X197" i="3"/>
  <c r="D196" i="3"/>
  <c r="E196" i="3"/>
  <c r="J196" i="3"/>
  <c r="M196" i="3" s="1"/>
  <c r="B198" i="3"/>
  <c r="T197" i="3"/>
  <c r="K197" i="3"/>
  <c r="C197" i="3"/>
  <c r="AW103" i="3" l="1"/>
  <c r="AL104" i="3"/>
  <c r="P104" i="3"/>
  <c r="AS103" i="3"/>
  <c r="I104" i="3"/>
  <c r="AJ104" i="3" s="1"/>
  <c r="N104" i="3"/>
  <c r="AK104" i="3" s="1"/>
  <c r="AT104" i="3"/>
  <c r="BA194" i="3"/>
  <c r="Z195" i="3"/>
  <c r="AA195" i="3"/>
  <c r="AB194" i="3"/>
  <c r="U194" i="3"/>
  <c r="V194" i="3" s="1"/>
  <c r="R195" i="3"/>
  <c r="S195" i="3"/>
  <c r="Y196" i="3"/>
  <c r="F196" i="3"/>
  <c r="G196" i="3" s="1"/>
  <c r="H196" i="3" s="1"/>
  <c r="W192" i="3"/>
  <c r="AC191" i="3"/>
  <c r="AD191" i="3" s="1"/>
  <c r="AE190" i="3"/>
  <c r="AF190" i="3" s="1"/>
  <c r="AI198" i="3"/>
  <c r="AX198" i="3"/>
  <c r="AP198" i="3"/>
  <c r="AH198" i="3"/>
  <c r="A212" i="3"/>
  <c r="AG211" i="3"/>
  <c r="X198" i="3"/>
  <c r="D197" i="3"/>
  <c r="E197" i="3"/>
  <c r="J197" i="3"/>
  <c r="M197" i="3" s="1"/>
  <c r="B199" i="3"/>
  <c r="T198" i="3"/>
  <c r="K198" i="3"/>
  <c r="C198" i="3"/>
  <c r="O104" i="3" l="1"/>
  <c r="AT105" i="3" s="1"/>
  <c r="AR104" i="3"/>
  <c r="AQ104" i="3" s="1"/>
  <c r="AU104" i="3" s="1"/>
  <c r="AN104" i="3"/>
  <c r="AV104" i="3"/>
  <c r="BA195" i="3"/>
  <c r="Z196" i="3"/>
  <c r="AA196" i="3"/>
  <c r="AB195" i="3"/>
  <c r="S196" i="3"/>
  <c r="R196" i="3"/>
  <c r="Y197" i="3"/>
  <c r="U195" i="3"/>
  <c r="V195" i="3" s="1"/>
  <c r="F197" i="3"/>
  <c r="G197" i="3" s="1"/>
  <c r="H197" i="3" s="1"/>
  <c r="AE191" i="3"/>
  <c r="AF191" i="3" s="1"/>
  <c r="AG191" i="3" s="1"/>
  <c r="AI191" i="3" s="1"/>
  <c r="Q192" i="3" s="1"/>
  <c r="AC192" i="3"/>
  <c r="AD192" i="3" s="1"/>
  <c r="AI199" i="3"/>
  <c r="AX199" i="3"/>
  <c r="AP199" i="3"/>
  <c r="AH199" i="3"/>
  <c r="A213" i="3"/>
  <c r="AG212" i="3"/>
  <c r="X199" i="3"/>
  <c r="B200" i="3"/>
  <c r="T199" i="3"/>
  <c r="K199" i="3"/>
  <c r="C199" i="3"/>
  <c r="D198" i="3"/>
  <c r="E198" i="3"/>
  <c r="J198" i="3"/>
  <c r="M198" i="3" s="1"/>
  <c r="AO105" i="3" l="1"/>
  <c r="AL105" i="3"/>
  <c r="AV105" i="3" s="1"/>
  <c r="P105" i="3"/>
  <c r="N105" i="3"/>
  <c r="AK105" i="3" s="1"/>
  <c r="AS104" i="3"/>
  <c r="I105" i="3"/>
  <c r="AJ105" i="3" s="1"/>
  <c r="AW104" i="3"/>
  <c r="BA196" i="3"/>
  <c r="Z197" i="3"/>
  <c r="AA197" i="3"/>
  <c r="U196" i="3"/>
  <c r="V196" i="3" s="1"/>
  <c r="R197" i="3"/>
  <c r="S197" i="3"/>
  <c r="Y198" i="3"/>
  <c r="F198" i="3"/>
  <c r="G198" i="3" s="1"/>
  <c r="H198" i="3" s="1"/>
  <c r="AB196" i="3"/>
  <c r="AE192" i="3"/>
  <c r="AF192" i="3" s="1"/>
  <c r="Q193" i="3"/>
  <c r="W193" i="3"/>
  <c r="AX200" i="3"/>
  <c r="AI200" i="3"/>
  <c r="AP200" i="3"/>
  <c r="AH200" i="3"/>
  <c r="A214" i="3"/>
  <c r="AG213" i="3"/>
  <c r="X200" i="3"/>
  <c r="E199" i="3"/>
  <c r="J199" i="3"/>
  <c r="M199" i="3" s="1"/>
  <c r="D199" i="3"/>
  <c r="B201" i="3"/>
  <c r="T200" i="3"/>
  <c r="K200" i="3"/>
  <c r="C200" i="3"/>
  <c r="AR105" i="3" l="1"/>
  <c r="AQ105" i="3" s="1"/>
  <c r="AU105" i="3" s="1"/>
  <c r="AW105" i="3" s="1"/>
  <c r="AN105" i="3"/>
  <c r="O105" i="3"/>
  <c r="AO106" i="3" s="1"/>
  <c r="BA197" i="3"/>
  <c r="F199" i="3"/>
  <c r="G199" i="3" s="1"/>
  <c r="H199" i="3" s="1"/>
  <c r="AA198" i="3"/>
  <c r="Z198" i="3"/>
  <c r="S198" i="3"/>
  <c r="R198" i="3"/>
  <c r="Y199" i="3"/>
  <c r="AB197" i="3"/>
  <c r="U197" i="3"/>
  <c r="V197" i="3" s="1"/>
  <c r="Q194" i="3"/>
  <c r="W194" i="3"/>
  <c r="AC193" i="3"/>
  <c r="AD193" i="3" s="1"/>
  <c r="AX201" i="3"/>
  <c r="AI201" i="3"/>
  <c r="AP201" i="3"/>
  <c r="AH201" i="3"/>
  <c r="A215" i="3"/>
  <c r="AG214" i="3"/>
  <c r="X201" i="3"/>
  <c r="J200" i="3"/>
  <c r="M200" i="3" s="1"/>
  <c r="E200" i="3"/>
  <c r="D200" i="3"/>
  <c r="B202" i="3"/>
  <c r="T201" i="3"/>
  <c r="K201" i="3"/>
  <c r="C201" i="3"/>
  <c r="AL106" i="3" l="1"/>
  <c r="N106" i="3"/>
  <c r="AK106" i="3" s="1"/>
  <c r="I106" i="3"/>
  <c r="AJ106" i="3" s="1"/>
  <c r="AT106" i="3"/>
  <c r="P106" i="3"/>
  <c r="AS105" i="3"/>
  <c r="BA198" i="3"/>
  <c r="O106" i="3"/>
  <c r="AO107" i="3" s="1"/>
  <c r="F200" i="3"/>
  <c r="G200" i="3" s="1"/>
  <c r="H200" i="3" s="1"/>
  <c r="AA199" i="3"/>
  <c r="Z199" i="3"/>
  <c r="U198" i="3"/>
  <c r="V198" i="3" s="1"/>
  <c r="AB198" i="3"/>
  <c r="R199" i="3"/>
  <c r="S199" i="3"/>
  <c r="Y200" i="3"/>
  <c r="AE193" i="3"/>
  <c r="AF193" i="3" s="1"/>
  <c r="AC194" i="3"/>
  <c r="AD194" i="3" s="1"/>
  <c r="Q195" i="3"/>
  <c r="W195" i="3"/>
  <c r="AI202" i="3"/>
  <c r="AX202" i="3"/>
  <c r="AP202" i="3"/>
  <c r="AH202" i="3"/>
  <c r="A216" i="3"/>
  <c r="X202" i="3"/>
  <c r="J201" i="3"/>
  <c r="M201" i="3" s="1"/>
  <c r="D201" i="3"/>
  <c r="E201" i="3"/>
  <c r="B203" i="3"/>
  <c r="AW203" i="3" s="1"/>
  <c r="T202" i="3"/>
  <c r="K202" i="3"/>
  <c r="C202" i="3"/>
  <c r="AV106" i="3" l="1"/>
  <c r="AR106" i="3"/>
  <c r="AQ106" i="3" s="1"/>
  <c r="AU106" i="3" s="1"/>
  <c r="AN106" i="3"/>
  <c r="I107" i="3"/>
  <c r="AJ107" i="3" s="1"/>
  <c r="AT107" i="3"/>
  <c r="AL107" i="3"/>
  <c r="N107" i="3"/>
  <c r="AK107" i="3" s="1"/>
  <c r="P107" i="3"/>
  <c r="AS106" i="3"/>
  <c r="BA199" i="3"/>
  <c r="AA200" i="3"/>
  <c r="Z200" i="3"/>
  <c r="AB199" i="3"/>
  <c r="U199" i="3"/>
  <c r="V199" i="3" s="1"/>
  <c r="S200" i="3"/>
  <c r="R200" i="3"/>
  <c r="Y201" i="3"/>
  <c r="AE194" i="3"/>
  <c r="AF194" i="3" s="1"/>
  <c r="Q196" i="3"/>
  <c r="W196" i="3"/>
  <c r="AC195" i="3"/>
  <c r="AD195" i="3" s="1"/>
  <c r="F201" i="3"/>
  <c r="G201" i="3" s="1"/>
  <c r="H201" i="3" s="1"/>
  <c r="AX203" i="3"/>
  <c r="AP203" i="3"/>
  <c r="AH203" i="3"/>
  <c r="A217" i="3"/>
  <c r="AG216" i="3"/>
  <c r="X203" i="3"/>
  <c r="D202" i="3"/>
  <c r="E202" i="3"/>
  <c r="J202" i="3"/>
  <c r="M202" i="3" s="1"/>
  <c r="B204" i="3"/>
  <c r="T203" i="3"/>
  <c r="K203" i="3"/>
  <c r="C203" i="3"/>
  <c r="AW106" i="3" l="1"/>
  <c r="AR107" i="3" s="1"/>
  <c r="AQ107" i="3" s="1"/>
  <c r="AU107" i="3" s="1"/>
  <c r="AV107" i="3"/>
  <c r="O107" i="3"/>
  <c r="AO108" i="3" s="1"/>
  <c r="AN107" i="3"/>
  <c r="BA200" i="3"/>
  <c r="AA201" i="3"/>
  <c r="Z201" i="3"/>
  <c r="U200" i="3"/>
  <c r="V200" i="3" s="1"/>
  <c r="R201" i="3"/>
  <c r="S201" i="3"/>
  <c r="Y202" i="3"/>
  <c r="AB200" i="3"/>
  <c r="AE195" i="3"/>
  <c r="AF195" i="3" s="1"/>
  <c r="AC196" i="3"/>
  <c r="AD196" i="3" s="1"/>
  <c r="Q197" i="3"/>
  <c r="W197" i="3"/>
  <c r="F202" i="3"/>
  <c r="G202" i="3" s="1"/>
  <c r="H202" i="3" s="1"/>
  <c r="AX204" i="3"/>
  <c r="AI204" i="3"/>
  <c r="AP204" i="3"/>
  <c r="AH204" i="3"/>
  <c r="A218" i="3"/>
  <c r="AG217" i="3"/>
  <c r="X204" i="3"/>
  <c r="J203" i="3"/>
  <c r="M203" i="3" s="1"/>
  <c r="E203" i="3"/>
  <c r="D203" i="3"/>
  <c r="B205" i="3"/>
  <c r="T204" i="3"/>
  <c r="K204" i="3"/>
  <c r="C204" i="3"/>
  <c r="N108" i="3" l="1"/>
  <c r="AK108" i="3" s="1"/>
  <c r="P108" i="3"/>
  <c r="AS107" i="3"/>
  <c r="I108" i="3"/>
  <c r="AJ108" i="3" s="1"/>
  <c r="AL108" i="3"/>
  <c r="AT108" i="3"/>
  <c r="BA201" i="3"/>
  <c r="F203" i="3"/>
  <c r="G203" i="3" s="1"/>
  <c r="H203" i="3" s="1"/>
  <c r="AA202" i="3"/>
  <c r="Z202" i="3"/>
  <c r="AB201" i="3"/>
  <c r="U201" i="3"/>
  <c r="V201" i="3" s="1"/>
  <c r="S202" i="3"/>
  <c r="R202" i="3"/>
  <c r="Y203" i="3"/>
  <c r="AE196" i="3"/>
  <c r="AF196" i="3" s="1"/>
  <c r="AC197" i="3"/>
  <c r="AD197" i="3" s="1"/>
  <c r="Q198" i="3"/>
  <c r="W198" i="3"/>
  <c r="AX205" i="3"/>
  <c r="AI205" i="3"/>
  <c r="AP205" i="3"/>
  <c r="AM205" i="3"/>
  <c r="AH205" i="3"/>
  <c r="A219" i="3"/>
  <c r="AG218" i="3"/>
  <c r="X205" i="3"/>
  <c r="D204" i="3"/>
  <c r="E204" i="3"/>
  <c r="J204" i="3"/>
  <c r="M204" i="3" s="1"/>
  <c r="B206" i="3"/>
  <c r="T205" i="3"/>
  <c r="K205" i="3"/>
  <c r="C205" i="3"/>
  <c r="AR108" i="3" l="1"/>
  <c r="AQ108" i="3" s="1"/>
  <c r="AU108" i="3" s="1"/>
  <c r="O108" i="3"/>
  <c r="AO109" i="3" s="1"/>
  <c r="AN108" i="3"/>
  <c r="AV108" i="3"/>
  <c r="BA202" i="3"/>
  <c r="F204" i="3"/>
  <c r="G204" i="3" s="1"/>
  <c r="H204" i="3" s="1"/>
  <c r="AA203" i="3"/>
  <c r="Z203" i="3"/>
  <c r="U202" i="3"/>
  <c r="V202" i="3" s="1"/>
  <c r="AB202" i="3"/>
  <c r="S203" i="3"/>
  <c r="R203" i="3"/>
  <c r="Y204" i="3"/>
  <c r="AE197" i="3"/>
  <c r="AF197" i="3" s="1"/>
  <c r="AC198" i="3"/>
  <c r="AD198" i="3" s="1"/>
  <c r="Q199" i="3"/>
  <c r="W199" i="3"/>
  <c r="AI206" i="3"/>
  <c r="AX206" i="3"/>
  <c r="AP206" i="3"/>
  <c r="AM206" i="3"/>
  <c r="AH206" i="3"/>
  <c r="A220" i="3"/>
  <c r="AG219" i="3"/>
  <c r="X206" i="3"/>
  <c r="J205" i="3"/>
  <c r="M205" i="3" s="1"/>
  <c r="D205" i="3"/>
  <c r="E205" i="3"/>
  <c r="B207" i="3"/>
  <c r="T206" i="3"/>
  <c r="K206" i="3"/>
  <c r="C206" i="3"/>
  <c r="AL109" i="3" l="1"/>
  <c r="BA203" i="3"/>
  <c r="AT109" i="3"/>
  <c r="P109" i="3"/>
  <c r="AS108" i="3"/>
  <c r="I109" i="3"/>
  <c r="AJ109" i="3" s="1"/>
  <c r="N109" i="3"/>
  <c r="AK109" i="3" s="1"/>
  <c r="AW108" i="3"/>
  <c r="Z204" i="3"/>
  <c r="AA204" i="3"/>
  <c r="U203" i="3"/>
  <c r="V203" i="3" s="1"/>
  <c r="AB203" i="3"/>
  <c r="R204" i="3"/>
  <c r="S204" i="3"/>
  <c r="Y205" i="3"/>
  <c r="F205" i="3"/>
  <c r="G205" i="3" s="1"/>
  <c r="H205" i="3" s="1"/>
  <c r="Q200" i="3"/>
  <c r="W200" i="3"/>
  <c r="AE198" i="3"/>
  <c r="AF198" i="3" s="1"/>
  <c r="AC199" i="3"/>
  <c r="AD199" i="3" s="1"/>
  <c r="AX207" i="3"/>
  <c r="AI207" i="3"/>
  <c r="AP207" i="3"/>
  <c r="AM207" i="3"/>
  <c r="AH207" i="3"/>
  <c r="A221" i="3"/>
  <c r="AG220" i="3"/>
  <c r="X207" i="3"/>
  <c r="D206" i="3"/>
  <c r="J206" i="3"/>
  <c r="M206" i="3" s="1"/>
  <c r="E206" i="3"/>
  <c r="B208" i="3"/>
  <c r="T207" i="3"/>
  <c r="K207" i="3"/>
  <c r="C207" i="3"/>
  <c r="AV109" i="3" l="1"/>
  <c r="AR109" i="3"/>
  <c r="AQ109" i="3" s="1"/>
  <c r="AU109" i="3" s="1"/>
  <c r="AN109" i="3"/>
  <c r="O109" i="3"/>
  <c r="AM110" i="3" s="1"/>
  <c r="BA204" i="3"/>
  <c r="Z205" i="3"/>
  <c r="AA205" i="3"/>
  <c r="Y206" i="3"/>
  <c r="AB204" i="3"/>
  <c r="U204" i="3"/>
  <c r="V204" i="3" s="1"/>
  <c r="R205" i="3"/>
  <c r="S205" i="3"/>
  <c r="AE199" i="3"/>
  <c r="AF199" i="3" s="1"/>
  <c r="AC200" i="3"/>
  <c r="AD200" i="3" s="1"/>
  <c r="Q201" i="3"/>
  <c r="W201" i="3"/>
  <c r="F206" i="3"/>
  <c r="G206" i="3" s="1"/>
  <c r="H206" i="3" s="1"/>
  <c r="AX208" i="3"/>
  <c r="AI208" i="3"/>
  <c r="AP208" i="3"/>
  <c r="AM208" i="3"/>
  <c r="AH208" i="3"/>
  <c r="A222" i="3"/>
  <c r="AG221" i="3"/>
  <c r="X208" i="3"/>
  <c r="B209" i="3"/>
  <c r="T208" i="3"/>
  <c r="K208" i="3"/>
  <c r="C208" i="3"/>
  <c r="E207" i="3"/>
  <c r="J207" i="3"/>
  <c r="M207" i="3" s="1"/>
  <c r="D207" i="3"/>
  <c r="AW109" i="3" l="1"/>
  <c r="AL110" i="3"/>
  <c r="AO110" i="3"/>
  <c r="AS109" i="3"/>
  <c r="N110" i="3"/>
  <c r="AK110" i="3" s="1"/>
  <c r="AT110" i="3"/>
  <c r="P110" i="3"/>
  <c r="I110" i="3"/>
  <c r="AJ110" i="3" s="1"/>
  <c r="BA205" i="3"/>
  <c r="F207" i="3"/>
  <c r="G207" i="3" s="1"/>
  <c r="H207" i="3" s="1"/>
  <c r="AA206" i="3"/>
  <c r="Z206" i="3"/>
  <c r="S206" i="3"/>
  <c r="R206" i="3"/>
  <c r="Y207" i="3"/>
  <c r="U205" i="3"/>
  <c r="V205" i="3" s="1"/>
  <c r="AB205" i="3"/>
  <c r="AE200" i="3"/>
  <c r="AF200" i="3" s="1"/>
  <c r="AC201" i="3"/>
  <c r="AD201" i="3" s="1"/>
  <c r="Q202" i="3"/>
  <c r="W202" i="3"/>
  <c r="AX209" i="3"/>
  <c r="AI209" i="3"/>
  <c r="AP209" i="3"/>
  <c r="AM209" i="3"/>
  <c r="AH209" i="3"/>
  <c r="A223" i="3"/>
  <c r="AG222" i="3"/>
  <c r="X209" i="3"/>
  <c r="D208" i="3"/>
  <c r="E208" i="3"/>
  <c r="J208" i="3"/>
  <c r="M208" i="3" s="1"/>
  <c r="B210" i="3"/>
  <c r="T209" i="3"/>
  <c r="K209" i="3"/>
  <c r="C209" i="3"/>
  <c r="AN110" i="3" l="1"/>
  <c r="AR110" i="3"/>
  <c r="AQ110" i="3" s="1"/>
  <c r="AU110" i="3" s="1"/>
  <c r="O110" i="3"/>
  <c r="AO111" i="3" s="1"/>
  <c r="AV110" i="3"/>
  <c r="BA206" i="3"/>
  <c r="AL111" i="3"/>
  <c r="AA207" i="3"/>
  <c r="Z207" i="3"/>
  <c r="U206" i="3"/>
  <c r="V206" i="3" s="1"/>
  <c r="S207" i="3"/>
  <c r="R207" i="3"/>
  <c r="Y208" i="3"/>
  <c r="F208" i="3"/>
  <c r="G208" i="3" s="1"/>
  <c r="H208" i="3" s="1"/>
  <c r="AB206" i="3"/>
  <c r="AE201" i="3"/>
  <c r="AF201" i="3" s="1"/>
  <c r="AC202" i="3"/>
  <c r="AD202" i="3" s="1"/>
  <c r="Q203" i="3"/>
  <c r="W203" i="3"/>
  <c r="AI210" i="3"/>
  <c r="AX210" i="3"/>
  <c r="AP210" i="3"/>
  <c r="AM210" i="3"/>
  <c r="AH210" i="3"/>
  <c r="A224" i="3"/>
  <c r="AG223" i="3"/>
  <c r="X210" i="3"/>
  <c r="E209" i="3"/>
  <c r="J209" i="3"/>
  <c r="M209" i="3" s="1"/>
  <c r="D209" i="3"/>
  <c r="B211" i="3"/>
  <c r="T210" i="3"/>
  <c r="K210" i="3"/>
  <c r="C210" i="3"/>
  <c r="N111" i="3" l="1"/>
  <c r="AK111" i="3" s="1"/>
  <c r="P111" i="3"/>
  <c r="AT111" i="3"/>
  <c r="AV111" i="3" s="1"/>
  <c r="AS110" i="3"/>
  <c r="I111" i="3"/>
  <c r="AJ111" i="3" s="1"/>
  <c r="AW110" i="3"/>
  <c r="BA207" i="3"/>
  <c r="O111" i="3"/>
  <c r="AO112" i="3" s="1"/>
  <c r="F209" i="3"/>
  <c r="G209" i="3" s="1"/>
  <c r="H209" i="3" s="1"/>
  <c r="AA208" i="3"/>
  <c r="Z208" i="3"/>
  <c r="U207" i="3"/>
  <c r="V207" i="3" s="1"/>
  <c r="R208" i="3"/>
  <c r="S208" i="3"/>
  <c r="Y209" i="3"/>
  <c r="AB207" i="3"/>
  <c r="AE202" i="3"/>
  <c r="AF202" i="3" s="1"/>
  <c r="AC203" i="3"/>
  <c r="AD203" i="3" s="1"/>
  <c r="W204" i="3"/>
  <c r="AI211" i="3"/>
  <c r="AX211" i="3"/>
  <c r="AP211" i="3"/>
  <c r="AM211" i="3"/>
  <c r="AH211" i="3"/>
  <c r="A225" i="3"/>
  <c r="AG224" i="3"/>
  <c r="X211" i="3"/>
  <c r="E210" i="3"/>
  <c r="J210" i="3"/>
  <c r="M210" i="3" s="1"/>
  <c r="D210" i="3"/>
  <c r="B212" i="3"/>
  <c r="T211" i="3"/>
  <c r="K211" i="3"/>
  <c r="C211" i="3"/>
  <c r="AN111" i="3" l="1"/>
  <c r="BA208" i="3"/>
  <c r="AR111" i="3"/>
  <c r="AQ111" i="3" s="1"/>
  <c r="AU111" i="3" s="1"/>
  <c r="AW111" i="3" s="1"/>
  <c r="N112" i="3"/>
  <c r="AK112" i="3" s="1"/>
  <c r="AT112" i="3"/>
  <c r="AL112" i="3"/>
  <c r="AS111" i="3"/>
  <c r="I112" i="3"/>
  <c r="P112" i="3"/>
  <c r="F210" i="3"/>
  <c r="G210" i="3" s="1"/>
  <c r="H210" i="3" s="1"/>
  <c r="Z209" i="3"/>
  <c r="AA209" i="3"/>
  <c r="AB208" i="3"/>
  <c r="U208" i="3"/>
  <c r="V208" i="3" s="1"/>
  <c r="S209" i="3"/>
  <c r="R209" i="3"/>
  <c r="Y210" i="3"/>
  <c r="AE203" i="3"/>
  <c r="AF203" i="3" s="1"/>
  <c r="AG203" i="3" s="1"/>
  <c r="AI203" i="3" s="1"/>
  <c r="Q204" i="3" s="1"/>
  <c r="AC204" i="3"/>
  <c r="AD204" i="3" s="1"/>
  <c r="AI212" i="3"/>
  <c r="AX212" i="3"/>
  <c r="AP212" i="3"/>
  <c r="AM212" i="3"/>
  <c r="AH212" i="3"/>
  <c r="A226" i="3"/>
  <c r="AG225" i="3"/>
  <c r="X212" i="3"/>
  <c r="J211" i="3"/>
  <c r="M211" i="3" s="1"/>
  <c r="D211" i="3"/>
  <c r="E211" i="3"/>
  <c r="B213" i="3"/>
  <c r="T212" i="3"/>
  <c r="K212" i="3"/>
  <c r="C212" i="3"/>
  <c r="BA209" i="3" l="1"/>
  <c r="AR112" i="3"/>
  <c r="AQ112" i="3" s="1"/>
  <c r="AU112" i="3" s="1"/>
  <c r="O112" i="3"/>
  <c r="AO113" i="3" s="1"/>
  <c r="AV112" i="3"/>
  <c r="AJ112" i="3"/>
  <c r="AN112" i="3" s="1"/>
  <c r="Z210" i="3"/>
  <c r="AA210" i="3"/>
  <c r="U209" i="3"/>
  <c r="V209" i="3" s="1"/>
  <c r="R210" i="3"/>
  <c r="S210" i="3"/>
  <c r="Y211" i="3"/>
  <c r="AB209" i="3"/>
  <c r="AE204" i="3"/>
  <c r="AF204" i="3" s="1"/>
  <c r="Q205" i="3"/>
  <c r="W205" i="3"/>
  <c r="F211" i="3"/>
  <c r="G211" i="3" s="1"/>
  <c r="H211" i="3" s="1"/>
  <c r="AX213" i="3"/>
  <c r="AI213" i="3"/>
  <c r="AP213" i="3"/>
  <c r="AM213" i="3"/>
  <c r="AH213" i="3"/>
  <c r="A227" i="3"/>
  <c r="AG226" i="3"/>
  <c r="X213" i="3"/>
  <c r="B214" i="3"/>
  <c r="T213" i="3"/>
  <c r="K213" i="3"/>
  <c r="C213" i="3"/>
  <c r="E212" i="3"/>
  <c r="D212" i="3"/>
  <c r="J212" i="3"/>
  <c r="M212" i="3" s="1"/>
  <c r="AW112" i="3" l="1"/>
  <c r="BA210" i="3"/>
  <c r="AL113" i="3"/>
  <c r="AS112" i="3"/>
  <c r="I113" i="3"/>
  <c r="AJ113" i="3" s="1"/>
  <c r="AT113" i="3"/>
  <c r="P113" i="3"/>
  <c r="N113" i="3"/>
  <c r="AK113" i="3" s="1"/>
  <c r="Z211" i="3"/>
  <c r="AA211" i="3"/>
  <c r="U210" i="3"/>
  <c r="V210" i="3" s="1"/>
  <c r="R211" i="3"/>
  <c r="S211" i="3"/>
  <c r="Y212" i="3"/>
  <c r="AB210" i="3"/>
  <c r="AC205" i="3"/>
  <c r="AD205" i="3" s="1"/>
  <c r="Q206" i="3"/>
  <c r="W206" i="3"/>
  <c r="F212" i="3"/>
  <c r="G212" i="3" s="1"/>
  <c r="H212" i="3" s="1"/>
  <c r="AI214" i="3"/>
  <c r="AX214" i="3"/>
  <c r="AP214" i="3"/>
  <c r="AM214" i="3"/>
  <c r="AH214" i="3"/>
  <c r="A228" i="3"/>
  <c r="X214" i="3"/>
  <c r="D213" i="3"/>
  <c r="E213" i="3"/>
  <c r="J213" i="3"/>
  <c r="M213" i="3" s="1"/>
  <c r="B215" i="3"/>
  <c r="AW215" i="3" s="1"/>
  <c r="T214" i="3"/>
  <c r="K214" i="3"/>
  <c r="C214" i="3"/>
  <c r="AR113" i="3" l="1"/>
  <c r="AQ113" i="3" s="1"/>
  <c r="AU113" i="3" s="1"/>
  <c r="BA211" i="3"/>
  <c r="AV113" i="3"/>
  <c r="AN113" i="3"/>
  <c r="O113" i="3"/>
  <c r="AO114" i="3" s="1"/>
  <c r="AA212" i="3"/>
  <c r="Z212" i="3"/>
  <c r="R212" i="3"/>
  <c r="S212" i="3"/>
  <c r="Y213" i="3"/>
  <c r="U211" i="3"/>
  <c r="V211" i="3" s="1"/>
  <c r="AB211" i="3"/>
  <c r="AE205" i="3"/>
  <c r="AF205" i="3" s="1"/>
  <c r="AC206" i="3"/>
  <c r="AD206" i="3" s="1"/>
  <c r="Q207" i="3"/>
  <c r="W207" i="3"/>
  <c r="F213" i="3"/>
  <c r="G213" i="3" s="1"/>
  <c r="H213" i="3" s="1"/>
  <c r="AX215" i="3"/>
  <c r="AP215" i="3"/>
  <c r="AM215" i="3"/>
  <c r="AH215" i="3"/>
  <c r="A229" i="3"/>
  <c r="AG228" i="3"/>
  <c r="X215" i="3"/>
  <c r="D214" i="3"/>
  <c r="E214" i="3"/>
  <c r="J214" i="3"/>
  <c r="M214" i="3" s="1"/>
  <c r="B216" i="3"/>
  <c r="T215" i="3"/>
  <c r="K215" i="3"/>
  <c r="C215" i="3"/>
  <c r="BA212" i="3" l="1"/>
  <c r="AW113" i="3"/>
  <c r="AL114" i="3"/>
  <c r="N114" i="3"/>
  <c r="AK114" i="3" s="1"/>
  <c r="P114" i="3"/>
  <c r="I114" i="3"/>
  <c r="AS113" i="3"/>
  <c r="AT114" i="3"/>
  <c r="Z213" i="3"/>
  <c r="AA213" i="3"/>
  <c r="S213" i="3"/>
  <c r="R213" i="3"/>
  <c r="Y214" i="3"/>
  <c r="AB212" i="3"/>
  <c r="U212" i="3"/>
  <c r="V212" i="3" s="1"/>
  <c r="AE206" i="3"/>
  <c r="AF206" i="3" s="1"/>
  <c r="AC207" i="3"/>
  <c r="AD207" i="3" s="1"/>
  <c r="Q208" i="3"/>
  <c r="W208" i="3"/>
  <c r="F214" i="3"/>
  <c r="G214" i="3" s="1"/>
  <c r="H214" i="3" s="1"/>
  <c r="AX216" i="3"/>
  <c r="AI216" i="3"/>
  <c r="AP216" i="3"/>
  <c r="AM216" i="3"/>
  <c r="AH216" i="3"/>
  <c r="A230" i="3"/>
  <c r="AG229" i="3"/>
  <c r="X216" i="3"/>
  <c r="D215" i="3"/>
  <c r="J215" i="3"/>
  <c r="M215" i="3" s="1"/>
  <c r="E215" i="3"/>
  <c r="B217" i="3"/>
  <c r="T216" i="3"/>
  <c r="K216" i="3"/>
  <c r="C216" i="3"/>
  <c r="AR114" i="3" l="1"/>
  <c r="AQ114" i="3" s="1"/>
  <c r="AU114" i="3" s="1"/>
  <c r="BA213" i="3"/>
  <c r="AV114" i="3"/>
  <c r="O114" i="3"/>
  <c r="AO115" i="3" s="1"/>
  <c r="AJ114" i="3"/>
  <c r="AN114" i="3" s="1"/>
  <c r="AA214" i="3"/>
  <c r="Z214" i="3"/>
  <c r="AB213" i="3"/>
  <c r="U213" i="3"/>
  <c r="V213" i="3" s="1"/>
  <c r="S214" i="3"/>
  <c r="R214" i="3"/>
  <c r="Y215" i="3"/>
  <c r="AE207" i="3"/>
  <c r="AF207" i="3" s="1"/>
  <c r="AC208" i="3"/>
  <c r="AD208" i="3" s="1"/>
  <c r="Q209" i="3"/>
  <c r="W209" i="3"/>
  <c r="F215" i="3"/>
  <c r="G215" i="3" s="1"/>
  <c r="H215" i="3" s="1"/>
  <c r="AX217" i="3"/>
  <c r="AI217" i="3"/>
  <c r="AP217" i="3"/>
  <c r="AM217" i="3"/>
  <c r="AH217" i="3"/>
  <c r="A231" i="3"/>
  <c r="AG230" i="3"/>
  <c r="X217" i="3"/>
  <c r="D216" i="3"/>
  <c r="E216" i="3"/>
  <c r="J216" i="3"/>
  <c r="M216" i="3" s="1"/>
  <c r="B218" i="3"/>
  <c r="T217" i="3"/>
  <c r="K217" i="3"/>
  <c r="C217" i="3"/>
  <c r="BA214" i="3" l="1"/>
  <c r="AW114" i="3"/>
  <c r="P115" i="3"/>
  <c r="AL115" i="3"/>
  <c r="N115" i="3"/>
  <c r="AK115" i="3" s="1"/>
  <c r="I115" i="3"/>
  <c r="AJ115" i="3" s="1"/>
  <c r="AT115" i="3"/>
  <c r="AS114" i="3"/>
  <c r="AA215" i="3"/>
  <c r="Z215" i="3"/>
  <c r="U214" i="3"/>
  <c r="V214" i="3" s="1"/>
  <c r="AB214" i="3"/>
  <c r="S215" i="3"/>
  <c r="R215" i="3"/>
  <c r="Y216" i="3"/>
  <c r="AE208" i="3"/>
  <c r="AF208" i="3" s="1"/>
  <c r="AC209" i="3"/>
  <c r="AD209" i="3" s="1"/>
  <c r="Q210" i="3"/>
  <c r="W210" i="3"/>
  <c r="F216" i="3"/>
  <c r="G216" i="3" s="1"/>
  <c r="H216" i="3" s="1"/>
  <c r="AI218" i="3"/>
  <c r="AX218" i="3"/>
  <c r="AP218" i="3"/>
  <c r="AM218" i="3"/>
  <c r="AH218" i="3"/>
  <c r="A232" i="3"/>
  <c r="AG231" i="3"/>
  <c r="X218" i="3"/>
  <c r="D217" i="3"/>
  <c r="E217" i="3"/>
  <c r="J217" i="3"/>
  <c r="M217" i="3" s="1"/>
  <c r="B219" i="3"/>
  <c r="T218" i="3"/>
  <c r="K218" i="3"/>
  <c r="C218" i="3"/>
  <c r="AR115" i="3" l="1"/>
  <c r="AQ115" i="3" s="1"/>
  <c r="AU115" i="3" s="1"/>
  <c r="BA215" i="3"/>
  <c r="AV115" i="3"/>
  <c r="O115" i="3"/>
  <c r="AO116" i="3" s="1"/>
  <c r="AN115" i="3"/>
  <c r="F217" i="3"/>
  <c r="G217" i="3" s="1"/>
  <c r="H217" i="3" s="1"/>
  <c r="AA216" i="3"/>
  <c r="Z216" i="3"/>
  <c r="AB215" i="3"/>
  <c r="U215" i="3"/>
  <c r="V215" i="3" s="1"/>
  <c r="S216" i="3"/>
  <c r="R216" i="3"/>
  <c r="Y217" i="3"/>
  <c r="AE209" i="3"/>
  <c r="AF209" i="3" s="1"/>
  <c r="AC210" i="3"/>
  <c r="AD210" i="3" s="1"/>
  <c r="Q211" i="3"/>
  <c r="W211" i="3"/>
  <c r="AI219" i="3"/>
  <c r="AX219" i="3"/>
  <c r="AP219" i="3"/>
  <c r="AM219" i="3"/>
  <c r="AH219" i="3"/>
  <c r="A233" i="3"/>
  <c r="AG232" i="3"/>
  <c r="X219" i="3"/>
  <c r="B220" i="3"/>
  <c r="T219" i="3"/>
  <c r="K219" i="3"/>
  <c r="C219" i="3"/>
  <c r="D218" i="3"/>
  <c r="E218" i="3"/>
  <c r="J218" i="3"/>
  <c r="M218" i="3" s="1"/>
  <c r="BA216" i="3" l="1"/>
  <c r="AW115" i="3"/>
  <c r="AL116" i="3"/>
  <c r="I116" i="3"/>
  <c r="AJ116" i="3" s="1"/>
  <c r="AT116" i="3"/>
  <c r="P116" i="3"/>
  <c r="N116" i="3"/>
  <c r="AK116" i="3" s="1"/>
  <c r="AS115" i="3"/>
  <c r="F218" i="3"/>
  <c r="G218" i="3" s="1"/>
  <c r="H218" i="3" s="1"/>
  <c r="AA217" i="3"/>
  <c r="Z217" i="3"/>
  <c r="Y218" i="3"/>
  <c r="U216" i="3"/>
  <c r="V216" i="3" s="1"/>
  <c r="AB216" i="3"/>
  <c r="S217" i="3"/>
  <c r="R217" i="3"/>
  <c r="AE210" i="3"/>
  <c r="AF210" i="3" s="1"/>
  <c r="AC211" i="3"/>
  <c r="AD211" i="3" s="1"/>
  <c r="Q212" i="3"/>
  <c r="W212" i="3"/>
  <c r="AX220" i="3"/>
  <c r="AI220" i="3"/>
  <c r="AP220" i="3"/>
  <c r="AM220" i="3"/>
  <c r="AH220" i="3"/>
  <c r="A234" i="3"/>
  <c r="AG233" i="3"/>
  <c r="X220" i="3"/>
  <c r="B221" i="3"/>
  <c r="T220" i="3"/>
  <c r="K220" i="3"/>
  <c r="C220" i="3"/>
  <c r="D219" i="3"/>
  <c r="E219" i="3"/>
  <c r="J219" i="3"/>
  <c r="M219" i="3" s="1"/>
  <c r="AR116" i="3" l="1"/>
  <c r="AQ116" i="3" s="1"/>
  <c r="AU116" i="3" s="1"/>
  <c r="BA217" i="3"/>
  <c r="AV116" i="3"/>
  <c r="AN116" i="3"/>
  <c r="O116" i="3"/>
  <c r="AO117" i="3" s="1"/>
  <c r="F219" i="3"/>
  <c r="G219" i="3" s="1"/>
  <c r="H219" i="3" s="1"/>
  <c r="AA218" i="3"/>
  <c r="Z218" i="3"/>
  <c r="U217" i="3"/>
  <c r="V217" i="3" s="1"/>
  <c r="AB217" i="3"/>
  <c r="R218" i="3"/>
  <c r="S218" i="3"/>
  <c r="Y219" i="3"/>
  <c r="AC212" i="3"/>
  <c r="AD212" i="3" s="1"/>
  <c r="Q213" i="3"/>
  <c r="W213" i="3"/>
  <c r="AE211" i="3"/>
  <c r="AF211" i="3" s="1"/>
  <c r="AX221" i="3"/>
  <c r="AI221" i="3"/>
  <c r="AP221" i="3"/>
  <c r="AM221" i="3"/>
  <c r="AH221" i="3"/>
  <c r="A235" i="3"/>
  <c r="AG234" i="3"/>
  <c r="X221" i="3"/>
  <c r="J220" i="3"/>
  <c r="M220" i="3" s="1"/>
  <c r="D220" i="3"/>
  <c r="E220" i="3"/>
  <c r="B222" i="3"/>
  <c r="T221" i="3"/>
  <c r="K221" i="3"/>
  <c r="C221" i="3"/>
  <c r="AW116" i="3" l="1"/>
  <c r="BA218" i="3"/>
  <c r="AL117" i="3"/>
  <c r="I117" i="3"/>
  <c r="AJ117" i="3" s="1"/>
  <c r="AS116" i="3"/>
  <c r="AT117" i="3"/>
  <c r="N117" i="3"/>
  <c r="AK117" i="3" s="1"/>
  <c r="P117" i="3"/>
  <c r="F220" i="3"/>
  <c r="G220" i="3" s="1"/>
  <c r="H220" i="3" s="1"/>
  <c r="AA219" i="3"/>
  <c r="Z219" i="3"/>
  <c r="BA219" i="3" s="1"/>
  <c r="AB218" i="3"/>
  <c r="S219" i="3"/>
  <c r="R219" i="3"/>
  <c r="Y220" i="3"/>
  <c r="U218" i="3"/>
  <c r="V218" i="3" s="1"/>
  <c r="AE212" i="3"/>
  <c r="AF212" i="3" s="1"/>
  <c r="Q214" i="3"/>
  <c r="W214" i="3"/>
  <c r="AC213" i="3"/>
  <c r="AD213" i="3" s="1"/>
  <c r="AI222" i="3"/>
  <c r="AX222" i="3"/>
  <c r="AP222" i="3"/>
  <c r="AM222" i="3"/>
  <c r="AH222" i="3"/>
  <c r="A236" i="3"/>
  <c r="AG235" i="3"/>
  <c r="X222" i="3"/>
  <c r="B223" i="3"/>
  <c r="T222" i="3"/>
  <c r="K222" i="3"/>
  <c r="C222" i="3"/>
  <c r="E221" i="3"/>
  <c r="J221" i="3"/>
  <c r="M221" i="3" s="1"/>
  <c r="D221" i="3"/>
  <c r="AR117" i="3" l="1"/>
  <c r="AQ117" i="3" s="1"/>
  <c r="AU117" i="3" s="1"/>
  <c r="AV117" i="3"/>
  <c r="AN117" i="3"/>
  <c r="O117" i="3"/>
  <c r="AO118" i="3" s="1"/>
  <c r="AA220" i="3"/>
  <c r="Z220" i="3"/>
  <c r="U219" i="3"/>
  <c r="V219" i="3" s="1"/>
  <c r="AB219" i="3"/>
  <c r="R220" i="3"/>
  <c r="S220" i="3"/>
  <c r="Y221" i="3"/>
  <c r="AE213" i="3"/>
  <c r="AF213" i="3" s="1"/>
  <c r="AC214" i="3"/>
  <c r="AD214" i="3" s="1"/>
  <c r="Q215" i="3"/>
  <c r="W215" i="3"/>
  <c r="F221" i="3"/>
  <c r="G221" i="3" s="1"/>
  <c r="H221" i="3" s="1"/>
  <c r="AI223" i="3"/>
  <c r="AX223" i="3"/>
  <c r="AP223" i="3"/>
  <c r="AM223" i="3"/>
  <c r="AH223" i="3"/>
  <c r="A237" i="3"/>
  <c r="AG236" i="3"/>
  <c r="X223" i="3"/>
  <c r="E222" i="3"/>
  <c r="J222" i="3"/>
  <c r="M222" i="3" s="1"/>
  <c r="D222" i="3"/>
  <c r="B224" i="3"/>
  <c r="T223" i="3"/>
  <c r="K223" i="3"/>
  <c r="C223" i="3"/>
  <c r="BA220" i="3" l="1"/>
  <c r="AW117" i="3"/>
  <c r="AL118" i="3"/>
  <c r="AS117" i="3"/>
  <c r="I118" i="3"/>
  <c r="AJ118" i="3" s="1"/>
  <c r="AT118" i="3"/>
  <c r="N118" i="3"/>
  <c r="AK118" i="3" s="1"/>
  <c r="P118" i="3"/>
  <c r="F222" i="3"/>
  <c r="G222" i="3" s="1"/>
  <c r="H222" i="3" s="1"/>
  <c r="Z221" i="3"/>
  <c r="AA221" i="3"/>
  <c r="U220" i="3"/>
  <c r="V220" i="3" s="1"/>
  <c r="AB220" i="3"/>
  <c r="S221" i="3"/>
  <c r="R221" i="3"/>
  <c r="Y222" i="3"/>
  <c r="AC215" i="3"/>
  <c r="AD215" i="3" s="1"/>
  <c r="AE214" i="3"/>
  <c r="AF214" i="3" s="1"/>
  <c r="W216" i="3"/>
  <c r="AX224" i="3"/>
  <c r="AI224" i="3"/>
  <c r="AP224" i="3"/>
  <c r="AM224" i="3"/>
  <c r="AH224" i="3"/>
  <c r="A238" i="3"/>
  <c r="AG237" i="3"/>
  <c r="X224" i="3"/>
  <c r="J223" i="3"/>
  <c r="M223" i="3" s="1"/>
  <c r="D223" i="3"/>
  <c r="E223" i="3"/>
  <c r="B225" i="3"/>
  <c r="T224" i="3"/>
  <c r="K224" i="3"/>
  <c r="C224" i="3"/>
  <c r="AR118" i="3" l="1"/>
  <c r="AQ118" i="3" s="1"/>
  <c r="AU118" i="3" s="1"/>
  <c r="BA221" i="3"/>
  <c r="AV118" i="3"/>
  <c r="O118" i="3"/>
  <c r="AO119" i="3" s="1"/>
  <c r="AN118" i="3"/>
  <c r="Z222" i="3"/>
  <c r="AA222" i="3"/>
  <c r="U221" i="3"/>
  <c r="V221" i="3" s="1"/>
  <c r="AB221" i="3"/>
  <c r="S222" i="3"/>
  <c r="R222" i="3"/>
  <c r="Y223" i="3"/>
  <c r="AE215" i="3"/>
  <c r="AF215" i="3" s="1"/>
  <c r="AC216" i="3"/>
  <c r="AD216" i="3" s="1"/>
  <c r="F223" i="3"/>
  <c r="G223" i="3" s="1"/>
  <c r="H223" i="3" s="1"/>
  <c r="AX225" i="3"/>
  <c r="AI225" i="3"/>
  <c r="AP225" i="3"/>
  <c r="AM225" i="3"/>
  <c r="AH225" i="3"/>
  <c r="A239" i="3"/>
  <c r="AG238" i="3"/>
  <c r="X225" i="3"/>
  <c r="B226" i="3"/>
  <c r="T225" i="3"/>
  <c r="K225" i="3"/>
  <c r="C225" i="3"/>
  <c r="D224" i="3"/>
  <c r="E224" i="3"/>
  <c r="J224" i="3"/>
  <c r="M224" i="3" s="1"/>
  <c r="AL119" i="3" l="1"/>
  <c r="AW118" i="3"/>
  <c r="BA222" i="3"/>
  <c r="P119" i="3"/>
  <c r="AS118" i="3"/>
  <c r="N119" i="3"/>
  <c r="AK119" i="3" s="1"/>
  <c r="AT119" i="3"/>
  <c r="I119" i="3"/>
  <c r="AJ119" i="3" s="1"/>
  <c r="Z223" i="3"/>
  <c r="AA223" i="3"/>
  <c r="U222" i="3"/>
  <c r="V222" i="3" s="1"/>
  <c r="S223" i="3"/>
  <c r="R223" i="3"/>
  <c r="Y224" i="3"/>
  <c r="AB222" i="3"/>
  <c r="AE216" i="3"/>
  <c r="AF216" i="3" s="1"/>
  <c r="AG215" i="3"/>
  <c r="AI215" i="3" s="1"/>
  <c r="Q216" i="3" s="1"/>
  <c r="F224" i="3"/>
  <c r="G224" i="3" s="1"/>
  <c r="H224" i="3" s="1"/>
  <c r="AI226" i="3"/>
  <c r="AX226" i="3"/>
  <c r="AP226" i="3"/>
  <c r="AM226" i="3"/>
  <c r="AH226" i="3"/>
  <c r="A240" i="3"/>
  <c r="X226" i="3"/>
  <c r="E225" i="3"/>
  <c r="D225" i="3"/>
  <c r="J225" i="3"/>
  <c r="M225" i="3" s="1"/>
  <c r="B227" i="3"/>
  <c r="AW227" i="3" s="1"/>
  <c r="T226" i="3"/>
  <c r="K226" i="3"/>
  <c r="C226" i="3"/>
  <c r="AV119" i="3" l="1"/>
  <c r="AR119" i="3"/>
  <c r="AQ119" i="3" s="1"/>
  <c r="AU119" i="3" s="1"/>
  <c r="BA223" i="3"/>
  <c r="AN119" i="3"/>
  <c r="O119" i="3"/>
  <c r="AO120" i="3" s="1"/>
  <c r="AA224" i="3"/>
  <c r="Z224" i="3"/>
  <c r="AB223" i="3"/>
  <c r="U223" i="3"/>
  <c r="V223" i="3" s="1"/>
  <c r="S224" i="3"/>
  <c r="R224" i="3"/>
  <c r="Y225" i="3"/>
  <c r="Q217" i="3"/>
  <c r="W217" i="3"/>
  <c r="F225" i="3"/>
  <c r="G225" i="3" s="1"/>
  <c r="H225" i="3" s="1"/>
  <c r="AX227" i="3"/>
  <c r="AP227" i="3"/>
  <c r="AM227" i="3"/>
  <c r="AH227" i="3"/>
  <c r="A241" i="3"/>
  <c r="AG240" i="3"/>
  <c r="X227" i="3"/>
  <c r="E226" i="3"/>
  <c r="J226" i="3"/>
  <c r="M226" i="3" s="1"/>
  <c r="D226" i="3"/>
  <c r="B228" i="3"/>
  <c r="T227" i="3"/>
  <c r="K227" i="3"/>
  <c r="C227" i="3"/>
  <c r="AL120" i="3" l="1"/>
  <c r="BA224" i="3"/>
  <c r="AS119" i="3"/>
  <c r="AT120" i="3"/>
  <c r="N120" i="3"/>
  <c r="AK120" i="3" s="1"/>
  <c r="P120" i="3"/>
  <c r="I120" i="3"/>
  <c r="AJ120" i="3" s="1"/>
  <c r="AA225" i="3"/>
  <c r="Z225" i="3"/>
  <c r="AB224" i="3"/>
  <c r="U224" i="3"/>
  <c r="V224" i="3" s="1"/>
  <c r="R225" i="3"/>
  <c r="S225" i="3"/>
  <c r="Y226" i="3"/>
  <c r="AC217" i="3"/>
  <c r="AD217" i="3" s="1"/>
  <c r="Q218" i="3"/>
  <c r="W218" i="3"/>
  <c r="F226" i="3"/>
  <c r="G226" i="3" s="1"/>
  <c r="H226" i="3" s="1"/>
  <c r="AI228" i="3"/>
  <c r="AX228" i="3"/>
  <c r="AP228" i="3"/>
  <c r="AM228" i="3"/>
  <c r="AH228" i="3"/>
  <c r="A242" i="3"/>
  <c r="AG241" i="3"/>
  <c r="X228" i="3"/>
  <c r="J227" i="3"/>
  <c r="M227" i="3" s="1"/>
  <c r="D227" i="3"/>
  <c r="E227" i="3"/>
  <c r="B229" i="3"/>
  <c r="T228" i="3"/>
  <c r="K228" i="3"/>
  <c r="C228" i="3"/>
  <c r="AR120" i="3" l="1"/>
  <c r="AQ120" i="3" s="1"/>
  <c r="AU120" i="3" s="1"/>
  <c r="BA225" i="3"/>
  <c r="AN120" i="3"/>
  <c r="AV120" i="3"/>
  <c r="O120" i="3"/>
  <c r="AO121" i="3" s="1"/>
  <c r="Z226" i="3"/>
  <c r="AA226" i="3"/>
  <c r="R226" i="3"/>
  <c r="S226" i="3"/>
  <c r="Y227" i="3"/>
  <c r="AB225" i="3"/>
  <c r="U225" i="3"/>
  <c r="V225" i="3" s="1"/>
  <c r="AC218" i="3"/>
  <c r="AD218" i="3" s="1"/>
  <c r="Q219" i="3"/>
  <c r="W219" i="3"/>
  <c r="AE217" i="3"/>
  <c r="AF217" i="3" s="1"/>
  <c r="F227" i="3"/>
  <c r="G227" i="3" s="1"/>
  <c r="H227" i="3" s="1"/>
  <c r="AX229" i="3"/>
  <c r="AI229" i="3"/>
  <c r="AP229" i="3"/>
  <c r="AM229" i="3"/>
  <c r="AH229" i="3"/>
  <c r="A243" i="3"/>
  <c r="AG242" i="3"/>
  <c r="X229" i="3"/>
  <c r="J228" i="3"/>
  <c r="M228" i="3" s="1"/>
  <c r="E228" i="3"/>
  <c r="D228" i="3"/>
  <c r="B230" i="3"/>
  <c r="T229" i="3"/>
  <c r="K229" i="3"/>
  <c r="C229" i="3"/>
  <c r="BA226" i="3" l="1"/>
  <c r="AW120" i="3"/>
  <c r="AL121" i="3"/>
  <c r="P121" i="3"/>
  <c r="AT121" i="3"/>
  <c r="AS120" i="3"/>
  <c r="N121" i="3"/>
  <c r="AK121" i="3" s="1"/>
  <c r="I121" i="3"/>
  <c r="AJ121" i="3" s="1"/>
  <c r="AA227" i="3"/>
  <c r="Z227" i="3"/>
  <c r="AB226" i="3"/>
  <c r="U226" i="3"/>
  <c r="V226" i="3" s="1"/>
  <c r="S227" i="3"/>
  <c r="R227" i="3"/>
  <c r="Y228" i="3"/>
  <c r="AE218" i="3"/>
  <c r="AF218" i="3" s="1"/>
  <c r="AC219" i="3"/>
  <c r="AD219" i="3" s="1"/>
  <c r="Q220" i="3"/>
  <c r="W220" i="3"/>
  <c r="F228" i="3"/>
  <c r="G228" i="3" s="1"/>
  <c r="H228" i="3" s="1"/>
  <c r="AI230" i="3"/>
  <c r="AX230" i="3"/>
  <c r="AP230" i="3"/>
  <c r="AM230" i="3"/>
  <c r="AH230" i="3"/>
  <c r="A244" i="3"/>
  <c r="AG243" i="3"/>
  <c r="X230" i="3"/>
  <c r="B231" i="3"/>
  <c r="T230" i="3"/>
  <c r="K230" i="3"/>
  <c r="C230" i="3"/>
  <c r="D229" i="3"/>
  <c r="E229" i="3"/>
  <c r="J229" i="3"/>
  <c r="M229" i="3" s="1"/>
  <c r="AR121" i="3" l="1"/>
  <c r="AQ121" i="3" s="1"/>
  <c r="AU121" i="3" s="1"/>
  <c r="BA227" i="3"/>
  <c r="AV121" i="3"/>
  <c r="AN121" i="3"/>
  <c r="O121" i="3"/>
  <c r="AT122" i="3" s="1"/>
  <c r="Z228" i="3"/>
  <c r="AA228" i="3"/>
  <c r="U227" i="3"/>
  <c r="V227" i="3" s="1"/>
  <c r="AB227" i="3"/>
  <c r="R228" i="3"/>
  <c r="S228" i="3"/>
  <c r="Y229" i="3"/>
  <c r="F229" i="3"/>
  <c r="G229" i="3" s="1"/>
  <c r="H229" i="3" s="1"/>
  <c r="Q221" i="3"/>
  <c r="W221" i="3"/>
  <c r="AE219" i="3"/>
  <c r="AF219" i="3" s="1"/>
  <c r="AC220" i="3"/>
  <c r="AD220" i="3" s="1"/>
  <c r="AX231" i="3"/>
  <c r="AI231" i="3"/>
  <c r="AP231" i="3"/>
  <c r="AM231" i="3"/>
  <c r="AH231" i="3"/>
  <c r="A245" i="3"/>
  <c r="AG244" i="3"/>
  <c r="X231" i="3"/>
  <c r="D230" i="3"/>
  <c r="E230" i="3"/>
  <c r="J230" i="3"/>
  <c r="M230" i="3" s="1"/>
  <c r="B232" i="3"/>
  <c r="T231" i="3"/>
  <c r="K231" i="3"/>
  <c r="C231" i="3"/>
  <c r="AO122" i="3" l="1"/>
  <c r="AL122" i="3"/>
  <c r="AV122" i="3" s="1"/>
  <c r="BA228" i="3"/>
  <c r="AW121" i="3"/>
  <c r="P122" i="3"/>
  <c r="N122" i="3"/>
  <c r="AK122" i="3" s="1"/>
  <c r="AS121" i="3"/>
  <c r="I122" i="3"/>
  <c r="AJ122" i="3" s="1"/>
  <c r="Z229" i="3"/>
  <c r="AA229" i="3"/>
  <c r="AB228" i="3"/>
  <c r="Y230" i="3"/>
  <c r="R229" i="3"/>
  <c r="S229" i="3"/>
  <c r="U228" i="3"/>
  <c r="V228" i="3" s="1"/>
  <c r="AE220" i="3"/>
  <c r="AF220" i="3" s="1"/>
  <c r="AC221" i="3"/>
  <c r="AD221" i="3" s="1"/>
  <c r="Q222" i="3"/>
  <c r="W222" i="3"/>
  <c r="F230" i="3"/>
  <c r="G230" i="3" s="1"/>
  <c r="H230" i="3" s="1"/>
  <c r="AX232" i="3"/>
  <c r="AI232" i="3"/>
  <c r="AP232" i="3"/>
  <c r="AM232" i="3"/>
  <c r="AH232" i="3"/>
  <c r="A246" i="3"/>
  <c r="AG245" i="3"/>
  <c r="X232" i="3"/>
  <c r="E231" i="3"/>
  <c r="J231" i="3"/>
  <c r="M231" i="3" s="1"/>
  <c r="D231" i="3"/>
  <c r="B233" i="3"/>
  <c r="T232" i="3"/>
  <c r="K232" i="3"/>
  <c r="C232" i="3"/>
  <c r="AR122" i="3" l="1"/>
  <c r="AQ122" i="3" s="1"/>
  <c r="AU122" i="3" s="1"/>
  <c r="BA229" i="3"/>
  <c r="O122" i="3"/>
  <c r="AO123" i="3" s="1"/>
  <c r="AN122" i="3"/>
  <c r="F231" i="3"/>
  <c r="G231" i="3" s="1"/>
  <c r="H231" i="3" s="1"/>
  <c r="AA230" i="3"/>
  <c r="Z230" i="3"/>
  <c r="AM123" i="3"/>
  <c r="AB229" i="3"/>
  <c r="U229" i="3"/>
  <c r="V229" i="3" s="1"/>
  <c r="S230" i="3"/>
  <c r="R230" i="3"/>
  <c r="Y231" i="3"/>
  <c r="AE221" i="3"/>
  <c r="AF221" i="3" s="1"/>
  <c r="AC222" i="3"/>
  <c r="AD222" i="3" s="1"/>
  <c r="Q223" i="3"/>
  <c r="W223" i="3"/>
  <c r="AX233" i="3"/>
  <c r="AI233" i="3"/>
  <c r="AP233" i="3"/>
  <c r="AM233" i="3"/>
  <c r="AH233" i="3"/>
  <c r="A247" i="3"/>
  <c r="AG246" i="3"/>
  <c r="X233" i="3"/>
  <c r="E232" i="3"/>
  <c r="D232" i="3"/>
  <c r="J232" i="3"/>
  <c r="M232" i="3" s="1"/>
  <c r="B234" i="3"/>
  <c r="T233" i="3"/>
  <c r="K233" i="3"/>
  <c r="C233" i="3"/>
  <c r="BA230" i="3" l="1"/>
  <c r="AL123" i="3"/>
  <c r="AW122" i="3"/>
  <c r="P123" i="3"/>
  <c r="AS122" i="3"/>
  <c r="I123" i="3"/>
  <c r="AJ123" i="3" s="1"/>
  <c r="AT123" i="3"/>
  <c r="N123" i="3"/>
  <c r="AK123" i="3" s="1"/>
  <c r="AA231" i="3"/>
  <c r="Z231" i="3"/>
  <c r="U230" i="3"/>
  <c r="V230" i="3" s="1"/>
  <c r="R231" i="3"/>
  <c r="S231" i="3"/>
  <c r="Y232" i="3"/>
  <c r="AB230" i="3"/>
  <c r="F232" i="3"/>
  <c r="G232" i="3" s="1"/>
  <c r="H232" i="3" s="1"/>
  <c r="AE222" i="3"/>
  <c r="AF222" i="3" s="1"/>
  <c r="Q224" i="3"/>
  <c r="W224" i="3"/>
  <c r="AC223" i="3"/>
  <c r="AD223" i="3" s="1"/>
  <c r="AI234" i="3"/>
  <c r="AX234" i="3"/>
  <c r="AP234" i="3"/>
  <c r="AM234" i="3"/>
  <c r="AH234" i="3"/>
  <c r="A248" i="3"/>
  <c r="AG247" i="3"/>
  <c r="X234" i="3"/>
  <c r="J233" i="3"/>
  <c r="M233" i="3" s="1"/>
  <c r="D233" i="3"/>
  <c r="E233" i="3"/>
  <c r="B235" i="3"/>
  <c r="T234" i="3"/>
  <c r="K234" i="3"/>
  <c r="C234" i="3"/>
  <c r="AR123" i="3" l="1"/>
  <c r="AQ123" i="3" s="1"/>
  <c r="AU123" i="3" s="1"/>
  <c r="BA231" i="3"/>
  <c r="AN123" i="3"/>
  <c r="O123" i="3"/>
  <c r="AO124" i="3" s="1"/>
  <c r="AV123" i="3"/>
  <c r="F233" i="3"/>
  <c r="G233" i="3" s="1"/>
  <c r="H233" i="3" s="1"/>
  <c r="AA232" i="3"/>
  <c r="Z232" i="3"/>
  <c r="R232" i="3"/>
  <c r="S232" i="3"/>
  <c r="Y233" i="3"/>
  <c r="AB231" i="3"/>
  <c r="U231" i="3"/>
  <c r="V231" i="3" s="1"/>
  <c r="AE223" i="3"/>
  <c r="AF223" i="3" s="1"/>
  <c r="Q225" i="3"/>
  <c r="W225" i="3"/>
  <c r="AC224" i="3"/>
  <c r="AD224" i="3" s="1"/>
  <c r="AI235" i="3"/>
  <c r="AX235" i="3"/>
  <c r="AP235" i="3"/>
  <c r="AM235" i="3"/>
  <c r="AH235" i="3"/>
  <c r="A249" i="3"/>
  <c r="AG248" i="3"/>
  <c r="X235" i="3"/>
  <c r="B236" i="3"/>
  <c r="T235" i="3"/>
  <c r="K235" i="3"/>
  <c r="C235" i="3"/>
  <c r="D234" i="3"/>
  <c r="J234" i="3"/>
  <c r="M234" i="3" s="1"/>
  <c r="E234" i="3"/>
  <c r="BA232" i="3" l="1"/>
  <c r="AW123" i="3"/>
  <c r="P124" i="3"/>
  <c r="AL124" i="3"/>
  <c r="N124" i="3"/>
  <c r="AK124" i="3" s="1"/>
  <c r="AT124" i="3"/>
  <c r="I124" i="3"/>
  <c r="AJ124" i="3" s="1"/>
  <c r="AS123" i="3"/>
  <c r="Z233" i="3"/>
  <c r="AA233" i="3"/>
  <c r="AB232" i="3"/>
  <c r="S233" i="3"/>
  <c r="R233" i="3"/>
  <c r="Y234" i="3"/>
  <c r="U232" i="3"/>
  <c r="V232" i="3" s="1"/>
  <c r="Q226" i="3"/>
  <c r="W226" i="3"/>
  <c r="AE224" i="3"/>
  <c r="AF224" i="3" s="1"/>
  <c r="AC225" i="3"/>
  <c r="AD225" i="3" s="1"/>
  <c r="F234" i="3"/>
  <c r="G234" i="3" s="1"/>
  <c r="H234" i="3" s="1"/>
  <c r="AI236" i="3"/>
  <c r="AX236" i="3"/>
  <c r="AP236" i="3"/>
  <c r="AM236" i="3"/>
  <c r="AH236" i="3"/>
  <c r="A250" i="3"/>
  <c r="AG249" i="3"/>
  <c r="X236" i="3"/>
  <c r="D235" i="3"/>
  <c r="E235" i="3"/>
  <c r="J235" i="3"/>
  <c r="M235" i="3" s="1"/>
  <c r="B237" i="3"/>
  <c r="T236" i="3"/>
  <c r="K236" i="3"/>
  <c r="C236" i="3"/>
  <c r="AR124" i="3" l="1"/>
  <c r="AQ124" i="3" s="1"/>
  <c r="AU124" i="3" s="1"/>
  <c r="BA233" i="3"/>
  <c r="AV124" i="3"/>
  <c r="AN124" i="3"/>
  <c r="O124" i="3"/>
  <c r="AO125" i="3" s="1"/>
  <c r="F235" i="3"/>
  <c r="G235" i="3" s="1"/>
  <c r="H235" i="3" s="1"/>
  <c r="Z234" i="3"/>
  <c r="AA234" i="3"/>
  <c r="U233" i="3"/>
  <c r="V233" i="3" s="1"/>
  <c r="AB233" i="3"/>
  <c r="S234" i="3"/>
  <c r="R234" i="3"/>
  <c r="Y235" i="3"/>
  <c r="AC226" i="3"/>
  <c r="AD226" i="3" s="1"/>
  <c r="Q227" i="3"/>
  <c r="W227" i="3"/>
  <c r="AE225" i="3"/>
  <c r="AF225" i="3" s="1"/>
  <c r="AX237" i="3"/>
  <c r="AI237" i="3"/>
  <c r="AP237" i="3"/>
  <c r="AM237" i="3"/>
  <c r="AH237" i="3"/>
  <c r="A251" i="3"/>
  <c r="AG250" i="3"/>
  <c r="X237" i="3"/>
  <c r="E236" i="3"/>
  <c r="D236" i="3"/>
  <c r="J236" i="3"/>
  <c r="M236" i="3" s="1"/>
  <c r="B238" i="3"/>
  <c r="T237" i="3"/>
  <c r="K237" i="3"/>
  <c r="C237" i="3"/>
  <c r="AM125" i="3" l="1"/>
  <c r="AW124" i="3"/>
  <c r="BA234" i="3"/>
  <c r="P125" i="3"/>
  <c r="AL125" i="3"/>
  <c r="AT125" i="3"/>
  <c r="N125" i="3"/>
  <c r="AK125" i="3" s="1"/>
  <c r="AS124" i="3"/>
  <c r="I125" i="3"/>
  <c r="AJ125" i="3" s="1"/>
  <c r="AA235" i="3"/>
  <c r="Z235" i="3"/>
  <c r="U234" i="3"/>
  <c r="V234" i="3" s="1"/>
  <c r="AB234" i="3"/>
  <c r="S235" i="3"/>
  <c r="R235" i="3"/>
  <c r="Y236" i="3"/>
  <c r="AC227" i="3"/>
  <c r="AD227" i="3" s="1"/>
  <c r="AE226" i="3"/>
  <c r="AF226" i="3" s="1"/>
  <c r="W228" i="3"/>
  <c r="F236" i="3"/>
  <c r="G236" i="3" s="1"/>
  <c r="H236" i="3" s="1"/>
  <c r="AI238" i="3"/>
  <c r="AX238" i="3"/>
  <c r="AP238" i="3"/>
  <c r="AM238" i="3"/>
  <c r="AH238" i="3"/>
  <c r="A252" i="3"/>
  <c r="X238" i="3"/>
  <c r="B239" i="3"/>
  <c r="AW239" i="3" s="1"/>
  <c r="T238" i="3"/>
  <c r="K238" i="3"/>
  <c r="C238" i="3"/>
  <c r="E237" i="3"/>
  <c r="D237" i="3"/>
  <c r="J237" i="3"/>
  <c r="M237" i="3" s="1"/>
  <c r="AR125" i="3" l="1"/>
  <c r="AQ125" i="3" s="1"/>
  <c r="AU125" i="3" s="1"/>
  <c r="BA235" i="3"/>
  <c r="AV125" i="3"/>
  <c r="O125" i="3"/>
  <c r="AO126" i="3" s="1"/>
  <c r="AN125" i="3"/>
  <c r="F237" i="3"/>
  <c r="G237" i="3" s="1"/>
  <c r="H237" i="3" s="1"/>
  <c r="Z236" i="3"/>
  <c r="AA236" i="3"/>
  <c r="U235" i="3"/>
  <c r="V235" i="3" s="1"/>
  <c r="S236" i="3"/>
  <c r="R236" i="3"/>
  <c r="Y237" i="3"/>
  <c r="AB235" i="3"/>
  <c r="AE227" i="3"/>
  <c r="AF227" i="3" s="1"/>
  <c r="AG227" i="3" s="1"/>
  <c r="AI227" i="3" s="1"/>
  <c r="Q228" i="3" s="1"/>
  <c r="AC228" i="3"/>
  <c r="AD228" i="3" s="1"/>
  <c r="AX239" i="3"/>
  <c r="AP239" i="3"/>
  <c r="AM239" i="3"/>
  <c r="AH239" i="3"/>
  <c r="A253" i="3"/>
  <c r="AG252" i="3"/>
  <c r="X239" i="3"/>
  <c r="E238" i="3"/>
  <c r="J238" i="3"/>
  <c r="M238" i="3" s="1"/>
  <c r="D238" i="3"/>
  <c r="B240" i="3"/>
  <c r="T239" i="3"/>
  <c r="K239" i="3"/>
  <c r="C239" i="3"/>
  <c r="AM126" i="3" l="1"/>
  <c r="AW125" i="3"/>
  <c r="BA236" i="3"/>
  <c r="AL126" i="3"/>
  <c r="AS125" i="3"/>
  <c r="AT126" i="3"/>
  <c r="N126" i="3"/>
  <c r="AK126" i="3" s="1"/>
  <c r="P126" i="3"/>
  <c r="I126" i="3"/>
  <c r="AJ126" i="3" s="1"/>
  <c r="F238" i="3"/>
  <c r="G238" i="3" s="1"/>
  <c r="H238" i="3" s="1"/>
  <c r="Z237" i="3"/>
  <c r="AA237" i="3"/>
  <c r="U236" i="3"/>
  <c r="V236" i="3" s="1"/>
  <c r="AB236" i="3"/>
  <c r="R237" i="3"/>
  <c r="S237" i="3"/>
  <c r="Y238" i="3"/>
  <c r="AE228" i="3"/>
  <c r="AF228" i="3" s="1"/>
  <c r="Q229" i="3"/>
  <c r="W229" i="3"/>
  <c r="AX240" i="3"/>
  <c r="AI240" i="3"/>
  <c r="AP240" i="3"/>
  <c r="AM240" i="3"/>
  <c r="AH240" i="3"/>
  <c r="A254" i="3"/>
  <c r="AG253" i="3"/>
  <c r="X240" i="3"/>
  <c r="J239" i="3"/>
  <c r="M239" i="3" s="1"/>
  <c r="D239" i="3"/>
  <c r="E239" i="3"/>
  <c r="B241" i="3"/>
  <c r="T240" i="3"/>
  <c r="K240" i="3"/>
  <c r="C240" i="3"/>
  <c r="AR126" i="3" l="1"/>
  <c r="AQ126" i="3" s="1"/>
  <c r="AU126" i="3" s="1"/>
  <c r="BA237" i="3"/>
  <c r="AV126" i="3"/>
  <c r="O126" i="3"/>
  <c r="AO127" i="3" s="1"/>
  <c r="AN126" i="3"/>
  <c r="Z238" i="3"/>
  <c r="AA238" i="3"/>
  <c r="AM127" i="3"/>
  <c r="U237" i="3"/>
  <c r="V237" i="3" s="1"/>
  <c r="S238" i="3"/>
  <c r="R238" i="3"/>
  <c r="Y239" i="3"/>
  <c r="AB237" i="3"/>
  <c r="AC229" i="3"/>
  <c r="AD229" i="3" s="1"/>
  <c r="Q230" i="3"/>
  <c r="W230" i="3"/>
  <c r="F239" i="3"/>
  <c r="G239" i="3" s="1"/>
  <c r="H239" i="3" s="1"/>
  <c r="AX241" i="3"/>
  <c r="AI241" i="3"/>
  <c r="AP241" i="3"/>
  <c r="AH241" i="3"/>
  <c r="A255" i="3"/>
  <c r="AG254" i="3"/>
  <c r="X241" i="3"/>
  <c r="J240" i="3"/>
  <c r="M240" i="3" s="1"/>
  <c r="D240" i="3"/>
  <c r="E240" i="3"/>
  <c r="B242" i="3"/>
  <c r="T241" i="3"/>
  <c r="K241" i="3"/>
  <c r="C241" i="3"/>
  <c r="AW126" i="3" l="1"/>
  <c r="BA238" i="3"/>
  <c r="P127" i="3"/>
  <c r="AL127" i="3"/>
  <c r="AS126" i="3"/>
  <c r="I127" i="3"/>
  <c r="AJ127" i="3" s="1"/>
  <c r="N127" i="3"/>
  <c r="AK127" i="3" s="1"/>
  <c r="AT127" i="3"/>
  <c r="Z239" i="3"/>
  <c r="AA239" i="3"/>
  <c r="AB238" i="3"/>
  <c r="U238" i="3"/>
  <c r="V238" i="3" s="1"/>
  <c r="R239" i="3"/>
  <c r="S239" i="3"/>
  <c r="Y240" i="3"/>
  <c r="F240" i="3"/>
  <c r="G240" i="3" s="1"/>
  <c r="H240" i="3" s="1"/>
  <c r="AE229" i="3"/>
  <c r="AF229" i="3" s="1"/>
  <c r="AC230" i="3"/>
  <c r="AD230" i="3" s="1"/>
  <c r="Q231" i="3"/>
  <c r="W231" i="3"/>
  <c r="AI242" i="3"/>
  <c r="AX242" i="3"/>
  <c r="AP242" i="3"/>
  <c r="AM242" i="3"/>
  <c r="AH242" i="3"/>
  <c r="A256" i="3"/>
  <c r="AG255" i="3"/>
  <c r="X242" i="3"/>
  <c r="B243" i="3"/>
  <c r="T242" i="3"/>
  <c r="K242" i="3"/>
  <c r="C242" i="3"/>
  <c r="D241" i="3"/>
  <c r="E241" i="3"/>
  <c r="J241" i="3"/>
  <c r="M241" i="3" s="1"/>
  <c r="AR127" i="3" l="1"/>
  <c r="AQ127" i="3" s="1"/>
  <c r="AU127" i="3" s="1"/>
  <c r="BA239" i="3"/>
  <c r="AV127" i="3"/>
  <c r="O127" i="3"/>
  <c r="AO128" i="3" s="1"/>
  <c r="AN127" i="3"/>
  <c r="AA240" i="3"/>
  <c r="Z240" i="3"/>
  <c r="AM128" i="3"/>
  <c r="S240" i="3"/>
  <c r="R240" i="3"/>
  <c r="Y241" i="3"/>
  <c r="AB239" i="3"/>
  <c r="U239" i="3"/>
  <c r="V239" i="3" s="1"/>
  <c r="AE230" i="3"/>
  <c r="AF230" i="3" s="1"/>
  <c r="Q232" i="3"/>
  <c r="W232" i="3"/>
  <c r="AC231" i="3"/>
  <c r="AD231" i="3" s="1"/>
  <c r="F241" i="3"/>
  <c r="G241" i="3" s="1"/>
  <c r="H241" i="3" s="1"/>
  <c r="AI243" i="3"/>
  <c r="AX243" i="3"/>
  <c r="AP243" i="3"/>
  <c r="AH243" i="3"/>
  <c r="A257" i="3"/>
  <c r="AG256" i="3"/>
  <c r="X243" i="3"/>
  <c r="D242" i="3"/>
  <c r="J242" i="3"/>
  <c r="M242" i="3" s="1"/>
  <c r="E242" i="3"/>
  <c r="B244" i="3"/>
  <c r="T243" i="3"/>
  <c r="K243" i="3"/>
  <c r="C243" i="3"/>
  <c r="BA240" i="3" l="1"/>
  <c r="AW127" i="3"/>
  <c r="AL128" i="3"/>
  <c r="I128" i="3"/>
  <c r="AJ128" i="3" s="1"/>
  <c r="AT128" i="3"/>
  <c r="N128" i="3"/>
  <c r="AK128" i="3" s="1"/>
  <c r="AS127" i="3"/>
  <c r="P128" i="3"/>
  <c r="Z241" i="3"/>
  <c r="AA241" i="3"/>
  <c r="Y242" i="3"/>
  <c r="U240" i="3"/>
  <c r="V240" i="3" s="1"/>
  <c r="AB240" i="3"/>
  <c r="R241" i="3"/>
  <c r="S241" i="3"/>
  <c r="AE231" i="3"/>
  <c r="AF231" i="3" s="1"/>
  <c r="AC232" i="3"/>
  <c r="AD232" i="3" s="1"/>
  <c r="Q233" i="3"/>
  <c r="W233" i="3"/>
  <c r="F242" i="3"/>
  <c r="G242" i="3" s="1"/>
  <c r="H242" i="3" s="1"/>
  <c r="AI244" i="3"/>
  <c r="AX244" i="3"/>
  <c r="AP244" i="3"/>
  <c r="AM244" i="3"/>
  <c r="AH244" i="3"/>
  <c r="A258" i="3"/>
  <c r="AG257" i="3"/>
  <c r="X244" i="3"/>
  <c r="B245" i="3"/>
  <c r="T244" i="3"/>
  <c r="K244" i="3"/>
  <c r="C244" i="3"/>
  <c r="E243" i="3"/>
  <c r="D243" i="3"/>
  <c r="J243" i="3"/>
  <c r="M243" i="3" s="1"/>
  <c r="AR128" i="3" l="1"/>
  <c r="AQ128" i="3" s="1"/>
  <c r="AU128" i="3" s="1"/>
  <c r="BA241" i="3"/>
  <c r="AV128" i="3"/>
  <c r="O128" i="3"/>
  <c r="AO129" i="3" s="1"/>
  <c r="AN128" i="3"/>
  <c r="AA242" i="3"/>
  <c r="F243" i="3"/>
  <c r="G243" i="3" s="1"/>
  <c r="H243" i="3" s="1"/>
  <c r="Z242" i="3"/>
  <c r="Y243" i="3"/>
  <c r="S242" i="3"/>
  <c r="R242" i="3"/>
  <c r="AB241" i="3"/>
  <c r="U241" i="3"/>
  <c r="V241" i="3" s="1"/>
  <c r="AE232" i="3"/>
  <c r="AF232" i="3" s="1"/>
  <c r="AC233" i="3"/>
  <c r="AD233" i="3" s="1"/>
  <c r="Q234" i="3"/>
  <c r="W234" i="3"/>
  <c r="AX245" i="3"/>
  <c r="AI245" i="3"/>
  <c r="AP245" i="3"/>
  <c r="AH245" i="3"/>
  <c r="A259" i="3"/>
  <c r="AG258" i="3"/>
  <c r="X245" i="3"/>
  <c r="D244" i="3"/>
  <c r="J244" i="3"/>
  <c r="M244" i="3" s="1"/>
  <c r="E244" i="3"/>
  <c r="B246" i="3"/>
  <c r="T245" i="3"/>
  <c r="K245" i="3"/>
  <c r="C245" i="3"/>
  <c r="AM129" i="3" l="1"/>
  <c r="BA242" i="3"/>
  <c r="AW128" i="3"/>
  <c r="AS128" i="3"/>
  <c r="AL129" i="3"/>
  <c r="N129" i="3"/>
  <c r="AK129" i="3" s="1"/>
  <c r="P129" i="3"/>
  <c r="I129" i="3"/>
  <c r="AT129" i="3"/>
  <c r="F244" i="3"/>
  <c r="G244" i="3" s="1"/>
  <c r="H244" i="3" s="1"/>
  <c r="Z243" i="3"/>
  <c r="AA243" i="3"/>
  <c r="Y244" i="3"/>
  <c r="AB242" i="3"/>
  <c r="U242" i="3"/>
  <c r="V242" i="3" s="1"/>
  <c r="S243" i="3"/>
  <c r="R243" i="3"/>
  <c r="AE233" i="3"/>
  <c r="AF233" i="3" s="1"/>
  <c r="AC234" i="3"/>
  <c r="AD234" i="3" s="1"/>
  <c r="Q235" i="3"/>
  <c r="W235" i="3"/>
  <c r="AI246" i="3"/>
  <c r="AX246" i="3"/>
  <c r="AP246" i="3"/>
  <c r="AM246" i="3"/>
  <c r="AH246" i="3"/>
  <c r="A260" i="3"/>
  <c r="AG259" i="3"/>
  <c r="X246" i="3"/>
  <c r="J245" i="3"/>
  <c r="M245" i="3" s="1"/>
  <c r="E245" i="3"/>
  <c r="D245" i="3"/>
  <c r="B247" i="3"/>
  <c r="T246" i="3"/>
  <c r="K246" i="3"/>
  <c r="C246" i="3"/>
  <c r="AR129" i="3" l="1"/>
  <c r="AQ129" i="3" s="1"/>
  <c r="AU129" i="3" s="1"/>
  <c r="BA243" i="3"/>
  <c r="AV129" i="3"/>
  <c r="O129" i="3"/>
  <c r="AO130" i="3" s="1"/>
  <c r="AJ129" i="3"/>
  <c r="AN129" i="3" s="1"/>
  <c r="Z244" i="3"/>
  <c r="AA244" i="3"/>
  <c r="F245" i="3"/>
  <c r="G245" i="3" s="1"/>
  <c r="H245" i="3" s="1"/>
  <c r="S244" i="3"/>
  <c r="Y245" i="3"/>
  <c r="AB243" i="3"/>
  <c r="R244" i="3"/>
  <c r="U243" i="3"/>
  <c r="V243" i="3" s="1"/>
  <c r="AE234" i="3"/>
  <c r="AF234" i="3" s="1"/>
  <c r="AC235" i="3"/>
  <c r="AD235" i="3" s="1"/>
  <c r="Q236" i="3"/>
  <c r="W236" i="3"/>
  <c r="AX247" i="3"/>
  <c r="AI247" i="3"/>
  <c r="AP247" i="3"/>
  <c r="AM247" i="3"/>
  <c r="AH247" i="3"/>
  <c r="A261" i="3"/>
  <c r="AG260" i="3"/>
  <c r="X247" i="3"/>
  <c r="B248" i="3"/>
  <c r="T247" i="3"/>
  <c r="K247" i="3"/>
  <c r="C247" i="3"/>
  <c r="J246" i="3"/>
  <c r="M246" i="3" s="1"/>
  <c r="D246" i="3"/>
  <c r="E246" i="3"/>
  <c r="BA244" i="3" l="1"/>
  <c r="AM130" i="3"/>
  <c r="AW129" i="3"/>
  <c r="AL130" i="3"/>
  <c r="P130" i="3"/>
  <c r="AS129" i="3"/>
  <c r="N130" i="3"/>
  <c r="AK130" i="3" s="1"/>
  <c r="I130" i="3"/>
  <c r="AJ130" i="3" s="1"/>
  <c r="AT130" i="3"/>
  <c r="F246" i="3"/>
  <c r="G246" i="3" s="1"/>
  <c r="H246" i="3" s="1"/>
  <c r="Z245" i="3"/>
  <c r="AA245" i="3"/>
  <c r="U244" i="3"/>
  <c r="V244" i="3" s="1"/>
  <c r="AB244" i="3"/>
  <c r="R245" i="3"/>
  <c r="S245" i="3"/>
  <c r="Y246" i="3"/>
  <c r="Q237" i="3"/>
  <c r="W237" i="3"/>
  <c r="AC236" i="3"/>
  <c r="AD236" i="3" s="1"/>
  <c r="AE235" i="3"/>
  <c r="AF235" i="3" s="1"/>
  <c r="AX248" i="3"/>
  <c r="AI248" i="3"/>
  <c r="AP248" i="3"/>
  <c r="AM248" i="3"/>
  <c r="AH248" i="3"/>
  <c r="A262" i="3"/>
  <c r="AG261" i="3"/>
  <c r="X248" i="3"/>
  <c r="E247" i="3"/>
  <c r="D247" i="3"/>
  <c r="J247" i="3"/>
  <c r="M247" i="3" s="1"/>
  <c r="B249" i="3"/>
  <c r="T248" i="3"/>
  <c r="K248" i="3"/>
  <c r="C248" i="3"/>
  <c r="AR130" i="3" l="1"/>
  <c r="AQ130" i="3" s="1"/>
  <c r="AU130" i="3" s="1"/>
  <c r="BA245" i="3"/>
  <c r="AV130" i="3"/>
  <c r="O130" i="3"/>
  <c r="AO131" i="3" s="1"/>
  <c r="AN130" i="3"/>
  <c r="AA246" i="3"/>
  <c r="Z246" i="3"/>
  <c r="AM131" i="3"/>
  <c r="AB245" i="3"/>
  <c r="U245" i="3"/>
  <c r="V245" i="3" s="1"/>
  <c r="R246" i="3"/>
  <c r="S246" i="3"/>
  <c r="Y247" i="3"/>
  <c r="F247" i="3"/>
  <c r="G247" i="3" s="1"/>
  <c r="H247" i="3" s="1"/>
  <c r="AE236" i="3"/>
  <c r="AF236" i="3" s="1"/>
  <c r="AC237" i="3"/>
  <c r="AD237" i="3" s="1"/>
  <c r="Q238" i="3"/>
  <c r="W238" i="3"/>
  <c r="AX249" i="3"/>
  <c r="AI249" i="3"/>
  <c r="AP249" i="3"/>
  <c r="AM249" i="3"/>
  <c r="AH249" i="3"/>
  <c r="A263" i="3"/>
  <c r="AG262" i="3"/>
  <c r="X249" i="3"/>
  <c r="J248" i="3"/>
  <c r="M248" i="3" s="1"/>
  <c r="E248" i="3"/>
  <c r="D248" i="3"/>
  <c r="B250" i="3"/>
  <c r="T249" i="3"/>
  <c r="K249" i="3"/>
  <c r="C249" i="3"/>
  <c r="BA246" i="3" l="1"/>
  <c r="AW130" i="3"/>
  <c r="AL131" i="3"/>
  <c r="AT131" i="3"/>
  <c r="I131" i="3"/>
  <c r="AJ131" i="3" s="1"/>
  <c r="N131" i="3"/>
  <c r="AK131" i="3" s="1"/>
  <c r="P131" i="3"/>
  <c r="AS130" i="3"/>
  <c r="Z247" i="3"/>
  <c r="AA247" i="3"/>
  <c r="AB246" i="3"/>
  <c r="R247" i="3"/>
  <c r="S247" i="3"/>
  <c r="Y248" i="3"/>
  <c r="U246" i="3"/>
  <c r="V246" i="3" s="1"/>
  <c r="F248" i="3"/>
  <c r="G248" i="3" s="1"/>
  <c r="H248" i="3" s="1"/>
  <c r="AE237" i="3"/>
  <c r="AF237" i="3" s="1"/>
  <c r="AC238" i="3"/>
  <c r="AD238" i="3" s="1"/>
  <c r="Q239" i="3"/>
  <c r="W239" i="3"/>
  <c r="AI250" i="3"/>
  <c r="AX250" i="3"/>
  <c r="AP250" i="3"/>
  <c r="AH250" i="3"/>
  <c r="A264" i="3"/>
  <c r="AG264" i="3" s="1"/>
  <c r="X250" i="3"/>
  <c r="J249" i="3"/>
  <c r="M249" i="3" s="1"/>
  <c r="E249" i="3"/>
  <c r="D249" i="3"/>
  <c r="B251" i="3"/>
  <c r="T250" i="3"/>
  <c r="K250" i="3"/>
  <c r="C250" i="3"/>
  <c r="AR131" i="3" l="1"/>
  <c r="AQ131" i="3" s="1"/>
  <c r="AU131" i="3" s="1"/>
  <c r="BA247" i="3"/>
  <c r="AW251" i="3"/>
  <c r="AV131" i="3"/>
  <c r="O131" i="3"/>
  <c r="AO132" i="3" s="1"/>
  <c r="AN131" i="3"/>
  <c r="Z248" i="3"/>
  <c r="AA248" i="3"/>
  <c r="Y249" i="3"/>
  <c r="S248" i="3"/>
  <c r="R248" i="3"/>
  <c r="U247" i="3"/>
  <c r="V247" i="3" s="1"/>
  <c r="AB247" i="3"/>
  <c r="F249" i="3"/>
  <c r="G249" i="3" s="1"/>
  <c r="H249" i="3" s="1"/>
  <c r="AE238" i="3"/>
  <c r="AF238" i="3" s="1"/>
  <c r="AC239" i="3"/>
  <c r="AD239" i="3" s="1"/>
  <c r="W240" i="3"/>
  <c r="AX251" i="3"/>
  <c r="AP251" i="3"/>
  <c r="AM251" i="3"/>
  <c r="AH251" i="3"/>
  <c r="X251" i="3"/>
  <c r="J250" i="3"/>
  <c r="M250" i="3" s="1"/>
  <c r="E250" i="3"/>
  <c r="D250" i="3"/>
  <c r="B252" i="3"/>
  <c r="T251" i="3"/>
  <c r="K251" i="3"/>
  <c r="C251" i="3"/>
  <c r="BA248" i="3" l="1"/>
  <c r="AM132" i="3"/>
  <c r="P132" i="3"/>
  <c r="AT132" i="3"/>
  <c r="I132" i="3"/>
  <c r="AJ132" i="3" s="1"/>
  <c r="AL132" i="3"/>
  <c r="AS131" i="3"/>
  <c r="N132" i="3"/>
  <c r="AK132" i="3" s="1"/>
  <c r="Z249" i="3"/>
  <c r="AA249" i="3"/>
  <c r="F250" i="3"/>
  <c r="G250" i="3" s="1"/>
  <c r="H250" i="3" s="1"/>
  <c r="S249" i="3"/>
  <c r="Y250" i="3"/>
  <c r="U248" i="3"/>
  <c r="V248" i="3" s="1"/>
  <c r="AB248" i="3"/>
  <c r="R249" i="3"/>
  <c r="AE239" i="3"/>
  <c r="AF239" i="3" s="1"/>
  <c r="AC240" i="3"/>
  <c r="AD240" i="3" s="1"/>
  <c r="AX252" i="3"/>
  <c r="AI252" i="3"/>
  <c r="AP252" i="3"/>
  <c r="AH252" i="3"/>
  <c r="X252" i="3"/>
  <c r="B253" i="3"/>
  <c r="T252" i="3"/>
  <c r="K252" i="3"/>
  <c r="C252" i="3"/>
  <c r="E251" i="3"/>
  <c r="J251" i="3"/>
  <c r="M251" i="3" s="1"/>
  <c r="D251" i="3"/>
  <c r="AR132" i="3" l="1"/>
  <c r="AQ132" i="3" s="1"/>
  <c r="AU132" i="3" s="1"/>
  <c r="BA249" i="3"/>
  <c r="O132" i="3"/>
  <c r="AO133" i="3" s="1"/>
  <c r="AV132" i="3"/>
  <c r="AN132" i="3"/>
  <c r="Z250" i="3"/>
  <c r="AA250" i="3"/>
  <c r="AB249" i="3"/>
  <c r="Y251" i="3"/>
  <c r="U249" i="3"/>
  <c r="V249" i="3" s="1"/>
  <c r="R250" i="3"/>
  <c r="S250" i="3"/>
  <c r="F251" i="3"/>
  <c r="G251" i="3" s="1"/>
  <c r="H251" i="3" s="1"/>
  <c r="AE240" i="3"/>
  <c r="AF240" i="3" s="1"/>
  <c r="AG239" i="3"/>
  <c r="AI239" i="3" s="1"/>
  <c r="Q240" i="3" s="1"/>
  <c r="AX253" i="3"/>
  <c r="AI253" i="3"/>
  <c r="AP253" i="3"/>
  <c r="AH253" i="3"/>
  <c r="X253" i="3"/>
  <c r="E252" i="3"/>
  <c r="D252" i="3"/>
  <c r="J252" i="3"/>
  <c r="M252" i="3" s="1"/>
  <c r="B254" i="3"/>
  <c r="T253" i="3"/>
  <c r="K253" i="3"/>
  <c r="C253" i="3"/>
  <c r="AM133" i="3" l="1"/>
  <c r="AW132" i="3"/>
  <c r="BA250" i="3"/>
  <c r="AL133" i="3"/>
  <c r="N133" i="3"/>
  <c r="AK133" i="3" s="1"/>
  <c r="I133" i="3"/>
  <c r="AJ133" i="3" s="1"/>
  <c r="AT133" i="3"/>
  <c r="AS132" i="3"/>
  <c r="P133" i="3"/>
  <c r="AA251" i="3"/>
  <c r="F252" i="3"/>
  <c r="G252" i="3" s="1"/>
  <c r="H252" i="3" s="1"/>
  <c r="Z251" i="3"/>
  <c r="BA251" i="3" s="1"/>
  <c r="Y252" i="3"/>
  <c r="S251" i="3"/>
  <c r="R251" i="3"/>
  <c r="AB250" i="3"/>
  <c r="U250" i="3"/>
  <c r="V250" i="3" s="1"/>
  <c r="Q241" i="3"/>
  <c r="W241" i="3"/>
  <c r="AI254" i="3"/>
  <c r="AX254" i="3"/>
  <c r="AP254" i="3"/>
  <c r="AH254" i="3"/>
  <c r="X254" i="3"/>
  <c r="B255" i="3"/>
  <c r="T254" i="3"/>
  <c r="K254" i="3"/>
  <c r="C254" i="3"/>
  <c r="D253" i="3"/>
  <c r="E253" i="3"/>
  <c r="J253" i="3"/>
  <c r="M253" i="3" s="1"/>
  <c r="AR133" i="3" l="1"/>
  <c r="AQ133" i="3" s="1"/>
  <c r="AU133" i="3" s="1"/>
  <c r="AV133" i="3"/>
  <c r="O133" i="3"/>
  <c r="AO134" i="3" s="1"/>
  <c r="AN133" i="3"/>
  <c r="Z252" i="3"/>
  <c r="AA252" i="3"/>
  <c r="Y253" i="3"/>
  <c r="AB251" i="3"/>
  <c r="F253" i="3"/>
  <c r="G253" i="3" s="1"/>
  <c r="H253" i="3" s="1"/>
  <c r="S252" i="3"/>
  <c r="U251" i="3"/>
  <c r="V251" i="3" s="1"/>
  <c r="R252" i="3"/>
  <c r="AC241" i="3"/>
  <c r="AD241" i="3" s="1"/>
  <c r="Q242" i="3"/>
  <c r="W242" i="3"/>
  <c r="AX255" i="3"/>
  <c r="AI255" i="3"/>
  <c r="AP255" i="3"/>
  <c r="AH255" i="3"/>
  <c r="X255" i="3"/>
  <c r="D254" i="3"/>
  <c r="E254" i="3"/>
  <c r="J254" i="3"/>
  <c r="M254" i="3" s="1"/>
  <c r="B256" i="3"/>
  <c r="T255" i="3"/>
  <c r="K255" i="3"/>
  <c r="C255" i="3"/>
  <c r="BA252" i="3" l="1"/>
  <c r="AM134" i="3"/>
  <c r="AW133" i="3"/>
  <c r="AL134" i="3"/>
  <c r="P134" i="3"/>
  <c r="I134" i="3"/>
  <c r="AJ134" i="3" s="1"/>
  <c r="AT134" i="3"/>
  <c r="AS133" i="3"/>
  <c r="N134" i="3"/>
  <c r="AK134" i="3" s="1"/>
  <c r="AA253" i="3"/>
  <c r="F254" i="3"/>
  <c r="G254" i="3" s="1"/>
  <c r="H254" i="3" s="1"/>
  <c r="Z253" i="3"/>
  <c r="BA253" i="3" s="1"/>
  <c r="Y254" i="3"/>
  <c r="S253" i="3"/>
  <c r="AB252" i="3"/>
  <c r="U252" i="3"/>
  <c r="V252" i="3" s="1"/>
  <c r="R253" i="3"/>
  <c r="AC242" i="3"/>
  <c r="AD242" i="3" s="1"/>
  <c r="Q243" i="3"/>
  <c r="W243" i="3"/>
  <c r="AE241" i="3"/>
  <c r="AF241" i="3" s="1"/>
  <c r="AX256" i="3"/>
  <c r="AI256" i="3"/>
  <c r="AP256" i="3"/>
  <c r="AH256" i="3"/>
  <c r="X256" i="3"/>
  <c r="E255" i="3"/>
  <c r="J255" i="3"/>
  <c r="M255" i="3" s="1"/>
  <c r="D255" i="3"/>
  <c r="B257" i="3"/>
  <c r="T256" i="3"/>
  <c r="K256" i="3"/>
  <c r="C256" i="3"/>
  <c r="AR134" i="3" l="1"/>
  <c r="AQ134" i="3" s="1"/>
  <c r="AU134" i="3" s="1"/>
  <c r="AV134" i="3"/>
  <c r="AE242" i="3"/>
  <c r="AF242" i="3" s="1"/>
  <c r="AN134" i="3"/>
  <c r="O134" i="3"/>
  <c r="AO135" i="3" s="1"/>
  <c r="AA254" i="3"/>
  <c r="F255" i="3"/>
  <c r="G255" i="3" s="1"/>
  <c r="H255" i="3" s="1"/>
  <c r="Z254" i="3"/>
  <c r="Y255" i="3"/>
  <c r="U253" i="3"/>
  <c r="V253" i="3" s="1"/>
  <c r="S254" i="3"/>
  <c r="AB253" i="3"/>
  <c r="R254" i="3"/>
  <c r="AC243" i="3"/>
  <c r="AD243" i="3" s="1"/>
  <c r="Q244" i="3"/>
  <c r="W244" i="3"/>
  <c r="AX257" i="3"/>
  <c r="AI257" i="3"/>
  <c r="AP257" i="3"/>
  <c r="AH257" i="3"/>
  <c r="X257" i="3"/>
  <c r="D256" i="3"/>
  <c r="E256" i="3"/>
  <c r="J256" i="3"/>
  <c r="M256" i="3" s="1"/>
  <c r="B258" i="3"/>
  <c r="T257" i="3"/>
  <c r="K257" i="3"/>
  <c r="C257" i="3"/>
  <c r="Y256" i="3" l="1"/>
  <c r="BA254" i="3"/>
  <c r="AM135" i="3"/>
  <c r="AL135" i="3"/>
  <c r="AW134" i="3"/>
  <c r="P135" i="3"/>
  <c r="AT135" i="3"/>
  <c r="AS134" i="3"/>
  <c r="N135" i="3"/>
  <c r="AK135" i="3" s="1"/>
  <c r="I135" i="3"/>
  <c r="AJ135" i="3" s="1"/>
  <c r="AA255" i="3"/>
  <c r="F256" i="3"/>
  <c r="G256" i="3" s="1"/>
  <c r="H256" i="3" s="1"/>
  <c r="Z255" i="3"/>
  <c r="BA255" i="3" s="1"/>
  <c r="U254" i="3"/>
  <c r="V254" i="3" s="1"/>
  <c r="S255" i="3"/>
  <c r="AB254" i="3"/>
  <c r="R255" i="3"/>
  <c r="Q245" i="3"/>
  <c r="W245" i="3"/>
  <c r="AC244" i="3"/>
  <c r="AD244" i="3" s="1"/>
  <c r="AE243" i="3"/>
  <c r="AF243" i="3" s="1"/>
  <c r="AI258" i="3"/>
  <c r="AX258" i="3"/>
  <c r="AP258" i="3"/>
  <c r="AH258" i="3"/>
  <c r="X258" i="3"/>
  <c r="D257" i="3"/>
  <c r="E257" i="3"/>
  <c r="J257" i="3"/>
  <c r="M257" i="3" s="1"/>
  <c r="B259" i="3"/>
  <c r="T258" i="3"/>
  <c r="K258" i="3"/>
  <c r="C258" i="3"/>
  <c r="AR135" i="3" l="1"/>
  <c r="AQ135" i="3" s="1"/>
  <c r="AU135" i="3" s="1"/>
  <c r="AV135" i="3"/>
  <c r="AE244" i="3"/>
  <c r="AF244" i="3" s="1"/>
  <c r="AN135" i="3"/>
  <c r="O135" i="3"/>
  <c r="AO136" i="3" s="1"/>
  <c r="Z256" i="3"/>
  <c r="AA256" i="3"/>
  <c r="Y257" i="3"/>
  <c r="AB255" i="3"/>
  <c r="S256" i="3"/>
  <c r="F257" i="3"/>
  <c r="G257" i="3" s="1"/>
  <c r="H257" i="3" s="1"/>
  <c r="U255" i="3"/>
  <c r="V255" i="3" s="1"/>
  <c r="R256" i="3"/>
  <c r="AC245" i="3"/>
  <c r="AD245" i="3" s="1"/>
  <c r="Q246" i="3"/>
  <c r="W246" i="3"/>
  <c r="AI259" i="3"/>
  <c r="AX259" i="3"/>
  <c r="AP259" i="3"/>
  <c r="AM259" i="3"/>
  <c r="AH259" i="3"/>
  <c r="X259" i="3"/>
  <c r="D258" i="3"/>
  <c r="J258" i="3"/>
  <c r="M258" i="3" s="1"/>
  <c r="E258" i="3"/>
  <c r="B260" i="3"/>
  <c r="T259" i="3"/>
  <c r="K259" i="3"/>
  <c r="C259" i="3"/>
  <c r="BA256" i="3" l="1"/>
  <c r="AM136" i="3"/>
  <c r="AL136" i="3"/>
  <c r="P136" i="3"/>
  <c r="AW135" i="3"/>
  <c r="N136" i="3"/>
  <c r="AK136" i="3" s="1"/>
  <c r="AS135" i="3"/>
  <c r="AT136" i="3"/>
  <c r="I136" i="3"/>
  <c r="AA257" i="3"/>
  <c r="F258" i="3"/>
  <c r="G258" i="3" s="1"/>
  <c r="H258" i="3" s="1"/>
  <c r="Z257" i="3"/>
  <c r="BA257" i="3" s="1"/>
  <c r="U256" i="3"/>
  <c r="V256" i="3" s="1"/>
  <c r="Y258" i="3"/>
  <c r="S257" i="3"/>
  <c r="AB256" i="3"/>
  <c r="R257" i="3"/>
  <c r="AE245" i="3"/>
  <c r="AF245" i="3" s="1"/>
  <c r="Q247" i="3"/>
  <c r="W247" i="3"/>
  <c r="AC246" i="3"/>
  <c r="AD246" i="3" s="1"/>
  <c r="AI260" i="3"/>
  <c r="AX260" i="3"/>
  <c r="AP260" i="3"/>
  <c r="AM260" i="3"/>
  <c r="AH260" i="3"/>
  <c r="X260" i="3"/>
  <c r="E259" i="3"/>
  <c r="J259" i="3"/>
  <c r="M259" i="3" s="1"/>
  <c r="D259" i="3"/>
  <c r="B261" i="3"/>
  <c r="T260" i="3"/>
  <c r="K260" i="3"/>
  <c r="C260" i="3"/>
  <c r="AR136" i="3" l="1"/>
  <c r="AQ136" i="3" s="1"/>
  <c r="AU136" i="3" s="1"/>
  <c r="AV136" i="3"/>
  <c r="O136" i="3"/>
  <c r="AO137" i="3" s="1"/>
  <c r="AJ136" i="3"/>
  <c r="AN136" i="3" s="1"/>
  <c r="AA258" i="3"/>
  <c r="Z258" i="3"/>
  <c r="Y259" i="3"/>
  <c r="U257" i="3"/>
  <c r="V257" i="3" s="1"/>
  <c r="AB257" i="3"/>
  <c r="S258" i="3"/>
  <c r="R258" i="3"/>
  <c r="F259" i="3"/>
  <c r="G259" i="3" s="1"/>
  <c r="H259" i="3" s="1"/>
  <c r="AE246" i="3"/>
  <c r="AF246" i="3" s="1"/>
  <c r="Q248" i="3"/>
  <c r="W248" i="3"/>
  <c r="AC247" i="3"/>
  <c r="AD247" i="3" s="1"/>
  <c r="AX261" i="3"/>
  <c r="AI261" i="3"/>
  <c r="AP261" i="3"/>
  <c r="AH261" i="3"/>
  <c r="X261" i="3"/>
  <c r="D260" i="3"/>
  <c r="J260" i="3"/>
  <c r="M260" i="3" s="1"/>
  <c r="E260" i="3"/>
  <c r="B262" i="3"/>
  <c r="T261" i="3"/>
  <c r="K261" i="3"/>
  <c r="C261" i="3"/>
  <c r="BA258" i="3" l="1"/>
  <c r="AM137" i="3"/>
  <c r="AL137" i="3"/>
  <c r="AW136" i="3"/>
  <c r="I137" i="3"/>
  <c r="AJ137" i="3" s="1"/>
  <c r="N137" i="3"/>
  <c r="AK137" i="3" s="1"/>
  <c r="AT137" i="3"/>
  <c r="AS136" i="3"/>
  <c r="P137" i="3"/>
  <c r="F260" i="3"/>
  <c r="G260" i="3" s="1"/>
  <c r="H260" i="3" s="1"/>
  <c r="Z259" i="3"/>
  <c r="AA259" i="3"/>
  <c r="Y260" i="3"/>
  <c r="U258" i="3"/>
  <c r="V258" i="3" s="1"/>
  <c r="R259" i="3"/>
  <c r="S259" i="3"/>
  <c r="AB258" i="3"/>
  <c r="AE247" i="3"/>
  <c r="AF247" i="3" s="1"/>
  <c r="Q249" i="3"/>
  <c r="W249" i="3"/>
  <c r="AC248" i="3"/>
  <c r="AD248" i="3" s="1"/>
  <c r="AI262" i="3"/>
  <c r="AX262" i="3"/>
  <c r="AP262" i="3"/>
  <c r="AH262" i="3"/>
  <c r="X262" i="3"/>
  <c r="E261" i="3"/>
  <c r="J261" i="3"/>
  <c r="M261" i="3" s="1"/>
  <c r="D261" i="3"/>
  <c r="B263" i="3"/>
  <c r="T262" i="3"/>
  <c r="K262" i="3"/>
  <c r="C262" i="3"/>
  <c r="AR137" i="3" l="1"/>
  <c r="AQ137" i="3" s="1"/>
  <c r="AU137" i="3" s="1"/>
  <c r="BA259" i="3"/>
  <c r="AV137" i="3"/>
  <c r="BA263" i="3"/>
  <c r="AW263" i="3"/>
  <c r="O137" i="3"/>
  <c r="AO138" i="3" s="1"/>
  <c r="AN137" i="3"/>
  <c r="Z260" i="3"/>
  <c r="AA260" i="3"/>
  <c r="AA263" i="3"/>
  <c r="Y261" i="3"/>
  <c r="F261" i="3"/>
  <c r="G261" i="3" s="1"/>
  <c r="H261" i="3" s="1"/>
  <c r="S260" i="3"/>
  <c r="U259" i="3"/>
  <c r="V259" i="3" s="1"/>
  <c r="R260" i="3"/>
  <c r="AB259" i="3"/>
  <c r="AC249" i="3"/>
  <c r="AD249" i="3" s="1"/>
  <c r="Q250" i="3"/>
  <c r="W250" i="3"/>
  <c r="AE248" i="3"/>
  <c r="AF248" i="3" s="1"/>
  <c r="AX263" i="3"/>
  <c r="AP263" i="3"/>
  <c r="AH263" i="3"/>
  <c r="X263" i="3"/>
  <c r="Y262" i="3" s="1"/>
  <c r="D262" i="3"/>
  <c r="E262" i="3"/>
  <c r="J262" i="3"/>
  <c r="M262" i="3" s="1"/>
  <c r="B264" i="3"/>
  <c r="T263" i="3"/>
  <c r="K263" i="3"/>
  <c r="C263" i="3"/>
  <c r="BA260" i="3" l="1"/>
  <c r="AM138" i="3"/>
  <c r="AW264" i="3"/>
  <c r="BA264" i="3"/>
  <c r="AE249" i="3"/>
  <c r="AF249" i="3" s="1"/>
  <c r="AW137" i="3"/>
  <c r="P138" i="3"/>
  <c r="I138" i="3"/>
  <c r="AJ138" i="3" s="1"/>
  <c r="AL138" i="3"/>
  <c r="AS137" i="3"/>
  <c r="N138" i="3"/>
  <c r="AK138" i="3" s="1"/>
  <c r="AT138" i="3"/>
  <c r="Z261" i="3"/>
  <c r="AA261" i="3"/>
  <c r="AA264" i="3"/>
  <c r="Z264" i="3"/>
  <c r="U260" i="3"/>
  <c r="V260" i="3" s="1"/>
  <c r="AB260" i="3"/>
  <c r="F262" i="3"/>
  <c r="G262" i="3" s="1"/>
  <c r="H262" i="3" s="1"/>
  <c r="S261" i="3"/>
  <c r="R261" i="3"/>
  <c r="AC250" i="3"/>
  <c r="AD250" i="3" s="1"/>
  <c r="Q251" i="3"/>
  <c r="W251" i="3"/>
  <c r="B265" i="3"/>
  <c r="AX264" i="3"/>
  <c r="AI264" i="3"/>
  <c r="AP264" i="3"/>
  <c r="AH264" i="3"/>
  <c r="X264" i="3"/>
  <c r="T264" i="3"/>
  <c r="K264" i="3"/>
  <c r="C264" i="3"/>
  <c r="E263" i="3"/>
  <c r="D263" i="3"/>
  <c r="J263" i="3"/>
  <c r="M263" i="3" s="1"/>
  <c r="AR138" i="3" l="1"/>
  <c r="AQ138" i="3" s="1"/>
  <c r="AU138" i="3" s="1"/>
  <c r="BA261" i="3"/>
  <c r="AW265" i="3"/>
  <c r="BA265" i="3"/>
  <c r="AV138" i="3"/>
  <c r="AN138" i="3"/>
  <c r="O138" i="3"/>
  <c r="AO139" i="3" s="1"/>
  <c r="F263" i="3"/>
  <c r="G263" i="3" s="1"/>
  <c r="H263" i="3" s="1"/>
  <c r="Z262" i="3"/>
  <c r="BA262" i="3" s="1"/>
  <c r="AA262" i="3"/>
  <c r="Z265" i="3"/>
  <c r="AA265" i="3"/>
  <c r="Y263" i="3"/>
  <c r="S262" i="3"/>
  <c r="U261" i="3"/>
  <c r="V261" i="3" s="1"/>
  <c r="AB261" i="3"/>
  <c r="R262" i="3"/>
  <c r="AC251" i="3"/>
  <c r="AD251" i="3" s="1"/>
  <c r="W252" i="3"/>
  <c r="AE250" i="3"/>
  <c r="AF250" i="3" s="1"/>
  <c r="C265" i="3"/>
  <c r="AM265" i="3"/>
  <c r="T265" i="3"/>
  <c r="AP265" i="3"/>
  <c r="AX265" i="3"/>
  <c r="AH265" i="3"/>
  <c r="X265" i="3"/>
  <c r="K265" i="3"/>
  <c r="B266" i="3"/>
  <c r="AI265" i="3"/>
  <c r="E264" i="3"/>
  <c r="D264" i="3"/>
  <c r="F264" i="3"/>
  <c r="G264" i="3" s="1"/>
  <c r="H264" i="3" s="1"/>
  <c r="J264" i="3"/>
  <c r="M264" i="3" s="1"/>
  <c r="AW138" i="3" l="1"/>
  <c r="AW266" i="3"/>
  <c r="BA266" i="3"/>
  <c r="AE251" i="3"/>
  <c r="AF251" i="3" s="1"/>
  <c r="AG251" i="3" s="1"/>
  <c r="AI251" i="3" s="1"/>
  <c r="Q252" i="3" s="1"/>
  <c r="AL139" i="3"/>
  <c r="N139" i="3"/>
  <c r="AK139" i="3" s="1"/>
  <c r="P139" i="3"/>
  <c r="AT139" i="3"/>
  <c r="I139" i="3"/>
  <c r="AJ139" i="3" s="1"/>
  <c r="AS138" i="3"/>
  <c r="Z263" i="3"/>
  <c r="AA266" i="3"/>
  <c r="Z266" i="3"/>
  <c r="U262" i="3"/>
  <c r="V262" i="3" s="1"/>
  <c r="S263" i="3"/>
  <c r="AB262" i="3"/>
  <c r="R263" i="3"/>
  <c r="U263" i="3" s="1"/>
  <c r="V263" i="3" s="1"/>
  <c r="AB263" i="3"/>
  <c r="AC252" i="3"/>
  <c r="AD252" i="3" s="1"/>
  <c r="AH266" i="3"/>
  <c r="AI266" i="3"/>
  <c r="C266" i="3"/>
  <c r="AM266" i="3"/>
  <c r="AP266" i="3"/>
  <c r="K266" i="3"/>
  <c r="AX266" i="3"/>
  <c r="X266" i="3"/>
  <c r="B267" i="3"/>
  <c r="T266" i="3"/>
  <c r="F265" i="3"/>
  <c r="G265" i="3" s="1"/>
  <c r="H265" i="3" s="1"/>
  <c r="J265" i="3"/>
  <c r="M265" i="3" s="1"/>
  <c r="D265" i="3"/>
  <c r="E265" i="3"/>
  <c r="AR139" i="3" l="1"/>
  <c r="AQ139" i="3" s="1"/>
  <c r="AU139" i="3" s="1"/>
  <c r="AW267" i="3"/>
  <c r="BA267" i="3"/>
  <c r="AE252" i="3"/>
  <c r="AF252" i="3" s="1"/>
  <c r="AN139" i="3"/>
  <c r="AV139" i="3"/>
  <c r="O139" i="3"/>
  <c r="AO140" i="3" s="1"/>
  <c r="AA267" i="3"/>
  <c r="Z267" i="3"/>
  <c r="R264" i="3"/>
  <c r="S264" i="3"/>
  <c r="Q253" i="3"/>
  <c r="W253" i="3"/>
  <c r="T267" i="3"/>
  <c r="AI267" i="3"/>
  <c r="X267" i="3"/>
  <c r="AP267" i="3"/>
  <c r="C267" i="3"/>
  <c r="AH267" i="3"/>
  <c r="B268" i="3"/>
  <c r="AX267" i="3"/>
  <c r="K267" i="3"/>
  <c r="AM267" i="3"/>
  <c r="J266" i="3"/>
  <c r="M266" i="3" s="1"/>
  <c r="F266" i="3"/>
  <c r="G266" i="3" s="1"/>
  <c r="H266" i="3" s="1"/>
  <c r="D266" i="3"/>
  <c r="E266" i="3"/>
  <c r="AW139" i="3" l="1"/>
  <c r="AM140" i="3"/>
  <c r="BA268" i="3"/>
  <c r="AW268" i="3"/>
  <c r="AT140" i="3"/>
  <c r="P140" i="3"/>
  <c r="AL140" i="3"/>
  <c r="I140" i="3"/>
  <c r="AJ140" i="3" s="1"/>
  <c r="N140" i="3"/>
  <c r="AK140" i="3" s="1"/>
  <c r="AS139" i="3"/>
  <c r="Z268" i="3"/>
  <c r="AA268" i="3"/>
  <c r="U264" i="3"/>
  <c r="V264" i="3" s="1"/>
  <c r="AB264" i="3"/>
  <c r="AB265" i="3"/>
  <c r="S265" i="3"/>
  <c r="R265" i="3"/>
  <c r="AC253" i="3"/>
  <c r="AD253" i="3" s="1"/>
  <c r="Q254" i="3"/>
  <c r="W254" i="3"/>
  <c r="C268" i="3"/>
  <c r="K268" i="3"/>
  <c r="AM268" i="3"/>
  <c r="X268" i="3"/>
  <c r="AI268" i="3"/>
  <c r="AH268" i="3"/>
  <c r="AP268" i="3"/>
  <c r="T268" i="3"/>
  <c r="B269" i="3"/>
  <c r="AX268" i="3"/>
  <c r="E267" i="3"/>
  <c r="F267" i="3"/>
  <c r="G267" i="3" s="1"/>
  <c r="H267" i="3" s="1"/>
  <c r="D267" i="3"/>
  <c r="J267" i="3"/>
  <c r="M267" i="3" s="1"/>
  <c r="AR140" i="3" l="1"/>
  <c r="AQ140" i="3" s="1"/>
  <c r="AU140" i="3" s="1"/>
  <c r="AW269" i="3"/>
  <c r="BA269" i="3"/>
  <c r="AE253" i="3"/>
  <c r="AF253" i="3" s="1"/>
  <c r="AV140" i="3"/>
  <c r="AN140" i="3"/>
  <c r="O140" i="3"/>
  <c r="AO141" i="3" s="1"/>
  <c r="AM141" i="3"/>
  <c r="Z269" i="3"/>
  <c r="AA269" i="3"/>
  <c r="U265" i="3"/>
  <c r="V265" i="3" s="1"/>
  <c r="R266" i="3"/>
  <c r="S266" i="3"/>
  <c r="AB266" i="3"/>
  <c r="AL141" i="3"/>
  <c r="AC254" i="3"/>
  <c r="AD254" i="3" s="1"/>
  <c r="Q255" i="3"/>
  <c r="W255" i="3"/>
  <c r="AP269" i="3"/>
  <c r="AM269" i="3"/>
  <c r="T269" i="3"/>
  <c r="C269" i="3"/>
  <c r="X269" i="3"/>
  <c r="AI269" i="3"/>
  <c r="AX269" i="3"/>
  <c r="K269" i="3"/>
  <c r="AH269" i="3"/>
  <c r="B270" i="3"/>
  <c r="J268" i="3"/>
  <c r="M268" i="3" s="1"/>
  <c r="F268" i="3"/>
  <c r="G268" i="3" s="1"/>
  <c r="H268" i="3" s="1"/>
  <c r="D268" i="3"/>
  <c r="E268" i="3"/>
  <c r="AW140" i="3" l="1"/>
  <c r="P141" i="3"/>
  <c r="AW270" i="3"/>
  <c r="BA270" i="3"/>
  <c r="AS140" i="3"/>
  <c r="AE254" i="3"/>
  <c r="AF254" i="3" s="1"/>
  <c r="N141" i="3"/>
  <c r="AK141" i="3" s="1"/>
  <c r="I141" i="3"/>
  <c r="AJ141" i="3" s="1"/>
  <c r="AT141" i="3"/>
  <c r="AV141" i="3" s="1"/>
  <c r="AA270" i="3"/>
  <c r="Z270" i="3"/>
  <c r="R267" i="3"/>
  <c r="S267" i="3"/>
  <c r="AB267" i="3"/>
  <c r="Y264" i="3"/>
  <c r="U266" i="3"/>
  <c r="V266" i="3" s="1"/>
  <c r="AC255" i="3"/>
  <c r="AD255" i="3" s="1"/>
  <c r="Q256" i="3"/>
  <c r="W256" i="3"/>
  <c r="F269" i="3"/>
  <c r="G269" i="3" s="1"/>
  <c r="H269" i="3" s="1"/>
  <c r="D269" i="3"/>
  <c r="J269" i="3"/>
  <c r="M269" i="3" s="1"/>
  <c r="E269" i="3"/>
  <c r="X270" i="3"/>
  <c r="AI270" i="3"/>
  <c r="AM270" i="3"/>
  <c r="AH270" i="3"/>
  <c r="AP270" i="3"/>
  <c r="T270" i="3"/>
  <c r="B271" i="3"/>
  <c r="C270" i="3"/>
  <c r="AX270" i="3"/>
  <c r="K270" i="3"/>
  <c r="AR141" i="3" l="1"/>
  <c r="AQ141" i="3" s="1"/>
  <c r="AU141" i="3" s="1"/>
  <c r="BA271" i="3"/>
  <c r="AW271" i="3"/>
  <c r="AE255" i="3"/>
  <c r="AF255" i="3" s="1"/>
  <c r="O141" i="3"/>
  <c r="AO142" i="3" s="1"/>
  <c r="AN141" i="3"/>
  <c r="AM142" i="3"/>
  <c r="AA271" i="3"/>
  <c r="Z271" i="3"/>
  <c r="U267" i="3"/>
  <c r="V267" i="3" s="1"/>
  <c r="R268" i="3"/>
  <c r="S268" i="3"/>
  <c r="AB268" i="3"/>
  <c r="Y265" i="3"/>
  <c r="AC256" i="3"/>
  <c r="AD256" i="3" s="1"/>
  <c r="Q257" i="3"/>
  <c r="W257" i="3"/>
  <c r="D270" i="3"/>
  <c r="J270" i="3"/>
  <c r="M270" i="3" s="1"/>
  <c r="E270" i="3"/>
  <c r="F270" i="3"/>
  <c r="G270" i="3" s="1"/>
  <c r="H270" i="3" s="1"/>
  <c r="C271" i="3"/>
  <c r="AX271" i="3"/>
  <c r="X271" i="3"/>
  <c r="B272" i="3"/>
  <c r="AH271" i="3"/>
  <c r="K271" i="3"/>
  <c r="AM271" i="3"/>
  <c r="T271" i="3"/>
  <c r="AI271" i="3"/>
  <c r="AP271" i="3"/>
  <c r="AL142" i="3" l="1"/>
  <c r="BA272" i="3"/>
  <c r="AW272" i="3"/>
  <c r="AT142" i="3"/>
  <c r="N142" i="3"/>
  <c r="AK142" i="3" s="1"/>
  <c r="AS141" i="3"/>
  <c r="AE256" i="3"/>
  <c r="AF256" i="3" s="1"/>
  <c r="I142" i="3"/>
  <c r="AJ142" i="3" s="1"/>
  <c r="P142" i="3"/>
  <c r="AW141" i="3"/>
  <c r="AA272" i="3"/>
  <c r="Z272" i="3"/>
  <c r="R269" i="3"/>
  <c r="S269" i="3"/>
  <c r="U268" i="3"/>
  <c r="V268" i="3" s="1"/>
  <c r="Y266" i="3"/>
  <c r="AC257" i="3"/>
  <c r="AD257" i="3" s="1"/>
  <c r="Q258" i="3"/>
  <c r="W258" i="3"/>
  <c r="B273" i="3"/>
  <c r="T272" i="3"/>
  <c r="AP272" i="3"/>
  <c r="X272" i="3"/>
  <c r="C272" i="3"/>
  <c r="AH272" i="3"/>
  <c r="AX272" i="3"/>
  <c r="AI272" i="3"/>
  <c r="AM272" i="3"/>
  <c r="K272" i="3"/>
  <c r="J271" i="3"/>
  <c r="M271" i="3" s="1"/>
  <c r="D271" i="3"/>
  <c r="E271" i="3"/>
  <c r="F271" i="3"/>
  <c r="G271" i="3" s="1"/>
  <c r="H271" i="3" s="1"/>
  <c r="AV142" i="3" l="1"/>
  <c r="AR142" i="3"/>
  <c r="AQ142" i="3" s="1"/>
  <c r="AU142" i="3" s="1"/>
  <c r="AN142" i="3"/>
  <c r="BA273" i="3"/>
  <c r="AW273" i="3"/>
  <c r="O142" i="3"/>
  <c r="AO143" i="3" s="1"/>
  <c r="AE257" i="3"/>
  <c r="AF257" i="3" s="1"/>
  <c r="AM143" i="3"/>
  <c r="Z273" i="3"/>
  <c r="AA273" i="3"/>
  <c r="AB269" i="3"/>
  <c r="R270" i="3"/>
  <c r="S270" i="3"/>
  <c r="AB270" i="3"/>
  <c r="Y267" i="3"/>
  <c r="U269" i="3"/>
  <c r="V269" i="3" s="1"/>
  <c r="AC258" i="3"/>
  <c r="AD258" i="3" s="1"/>
  <c r="Q259" i="3"/>
  <c r="W259" i="3"/>
  <c r="AX273" i="3"/>
  <c r="T273" i="3"/>
  <c r="AP273" i="3"/>
  <c r="K273" i="3"/>
  <c r="B274" i="3"/>
  <c r="X273" i="3"/>
  <c r="AM273" i="3"/>
  <c r="AI273" i="3"/>
  <c r="AH273" i="3"/>
  <c r="C273" i="3"/>
  <c r="E272" i="3"/>
  <c r="D272" i="3"/>
  <c r="F272" i="3"/>
  <c r="G272" i="3" s="1"/>
  <c r="H272" i="3" s="1"/>
  <c r="J272" i="3"/>
  <c r="M272" i="3" s="1"/>
  <c r="AW142" i="3" l="1"/>
  <c r="P143" i="3"/>
  <c r="N143" i="3"/>
  <c r="AK143" i="3" s="1"/>
  <c r="AL143" i="3"/>
  <c r="AT143" i="3"/>
  <c r="AW274" i="3"/>
  <c r="BA274" i="3"/>
  <c r="AS142" i="3"/>
  <c r="I143" i="3"/>
  <c r="AA274" i="3"/>
  <c r="Z274" i="3"/>
  <c r="U270" i="3"/>
  <c r="V270" i="3" s="1"/>
  <c r="Y268" i="3"/>
  <c r="S271" i="3"/>
  <c r="R271" i="3"/>
  <c r="AE258" i="3"/>
  <c r="AF258" i="3" s="1"/>
  <c r="Q260" i="3"/>
  <c r="W260" i="3"/>
  <c r="AC259" i="3"/>
  <c r="AD259" i="3" s="1"/>
  <c r="AX274" i="3"/>
  <c r="X274" i="3"/>
  <c r="T274" i="3"/>
  <c r="B275" i="3"/>
  <c r="AH274" i="3"/>
  <c r="C274" i="3"/>
  <c r="AM274" i="3"/>
  <c r="AP274" i="3"/>
  <c r="K274" i="3"/>
  <c r="AI274" i="3"/>
  <c r="F273" i="3"/>
  <c r="G273" i="3" s="1"/>
  <c r="H273" i="3" s="1"/>
  <c r="J273" i="3"/>
  <c r="M273" i="3" s="1"/>
  <c r="D273" i="3"/>
  <c r="E273" i="3"/>
  <c r="AR143" i="3" l="1"/>
  <c r="AQ143" i="3" s="1"/>
  <c r="AU143" i="3" s="1"/>
  <c r="O143" i="3"/>
  <c r="AO144" i="3" s="1"/>
  <c r="AV143" i="3"/>
  <c r="AJ143" i="3"/>
  <c r="AN143" i="3" s="1"/>
  <c r="BA275" i="3"/>
  <c r="AW275" i="3"/>
  <c r="AM144" i="3"/>
  <c r="AA275" i="3"/>
  <c r="Z275" i="3"/>
  <c r="U271" i="3"/>
  <c r="V271" i="3" s="1"/>
  <c r="R272" i="3"/>
  <c r="S272" i="3"/>
  <c r="AB272" i="3"/>
  <c r="AB271" i="3"/>
  <c r="Y269" i="3"/>
  <c r="AL144" i="3"/>
  <c r="AC260" i="3"/>
  <c r="AD260" i="3" s="1"/>
  <c r="Q261" i="3"/>
  <c r="W261" i="3"/>
  <c r="AE259" i="3"/>
  <c r="AF259" i="3" s="1"/>
  <c r="D274" i="3"/>
  <c r="F274" i="3"/>
  <c r="G274" i="3" s="1"/>
  <c r="H274" i="3" s="1"/>
  <c r="E274" i="3"/>
  <c r="J274" i="3"/>
  <c r="M274" i="3" s="1"/>
  <c r="T275" i="3"/>
  <c r="AX275" i="3"/>
  <c r="C275" i="3"/>
  <c r="AP275" i="3"/>
  <c r="X275" i="3"/>
  <c r="AH275" i="3"/>
  <c r="B276" i="3"/>
  <c r="AM275" i="3"/>
  <c r="K275" i="3"/>
  <c r="AT144" i="3" l="1"/>
  <c r="AV144" i="3" s="1"/>
  <c r="I144" i="3"/>
  <c r="AJ144" i="3" s="1"/>
  <c r="N144" i="3"/>
  <c r="AK144" i="3" s="1"/>
  <c r="AS143" i="3"/>
  <c r="P144" i="3"/>
  <c r="BA276" i="3"/>
  <c r="AW276" i="3"/>
  <c r="AE260" i="3"/>
  <c r="AF260" i="3" s="1"/>
  <c r="AA276" i="3"/>
  <c r="Z276" i="3"/>
  <c r="S273" i="3"/>
  <c r="R273" i="3"/>
  <c r="AB273" i="3"/>
  <c r="Y270" i="3"/>
  <c r="U272" i="3"/>
  <c r="V272" i="3" s="1"/>
  <c r="AC261" i="3"/>
  <c r="AD261" i="3" s="1"/>
  <c r="Q262" i="3"/>
  <c r="W262" i="3"/>
  <c r="F275" i="3"/>
  <c r="G275" i="3" s="1"/>
  <c r="H275" i="3" s="1"/>
  <c r="D275" i="3"/>
  <c r="E275" i="3"/>
  <c r="J275" i="3"/>
  <c r="M275" i="3" s="1"/>
  <c r="AX276" i="3"/>
  <c r="AM276" i="3"/>
  <c r="K276" i="3"/>
  <c r="AH276" i="3"/>
  <c r="AP276" i="3"/>
  <c r="B277" i="3"/>
  <c r="T276" i="3"/>
  <c r="AI276" i="3"/>
  <c r="C276" i="3"/>
  <c r="X276" i="3"/>
  <c r="AR144" i="3" l="1"/>
  <c r="AQ144" i="3" s="1"/>
  <c r="AU144" i="3" s="1"/>
  <c r="AW144" i="3" s="1"/>
  <c r="O144" i="3"/>
  <c r="AO145" i="3" s="1"/>
  <c r="AN144" i="3"/>
  <c r="AW277" i="3"/>
  <c r="BA277" i="3"/>
  <c r="AE261" i="3"/>
  <c r="AF261" i="3" s="1"/>
  <c r="Z277" i="3"/>
  <c r="AA277" i="3"/>
  <c r="S274" i="3"/>
  <c r="R274" i="3"/>
  <c r="U273" i="3"/>
  <c r="V273" i="3" s="1"/>
  <c r="Y271" i="3"/>
  <c r="AL145" i="3"/>
  <c r="AC262" i="3"/>
  <c r="AD262" i="3" s="1"/>
  <c r="Q263" i="3"/>
  <c r="W263" i="3"/>
  <c r="F276" i="3"/>
  <c r="G276" i="3" s="1"/>
  <c r="H276" i="3" s="1"/>
  <c r="E276" i="3"/>
  <c r="J276" i="3"/>
  <c r="M276" i="3" s="1"/>
  <c r="D276" i="3"/>
  <c r="T277" i="3"/>
  <c r="K277" i="3"/>
  <c r="AI277" i="3"/>
  <c r="AM277" i="3"/>
  <c r="B278" i="3"/>
  <c r="X277" i="3"/>
  <c r="AH277" i="3"/>
  <c r="AX277" i="3"/>
  <c r="AP277" i="3"/>
  <c r="C277" i="3"/>
  <c r="P145" i="3" l="1"/>
  <c r="AT145" i="3"/>
  <c r="AV145" i="3" s="1"/>
  <c r="I145" i="3"/>
  <c r="AJ145" i="3" s="1"/>
  <c r="N145" i="3"/>
  <c r="AK145" i="3" s="1"/>
  <c r="AS144" i="3"/>
  <c r="BA278" i="3"/>
  <c r="AW278" i="3"/>
  <c r="AE262" i="3"/>
  <c r="AF262" i="3" s="1"/>
  <c r="Z278" i="3"/>
  <c r="AA278" i="3"/>
  <c r="W264" i="3"/>
  <c r="AB274" i="3"/>
  <c r="R275" i="3"/>
  <c r="AB275" i="3"/>
  <c r="S275" i="3"/>
  <c r="Y272" i="3"/>
  <c r="AC263" i="3"/>
  <c r="AD263" i="3" s="1"/>
  <c r="U274" i="3"/>
  <c r="V274" i="3" s="1"/>
  <c r="T278" i="3"/>
  <c r="AM278" i="3"/>
  <c r="AP278" i="3"/>
  <c r="B279" i="3"/>
  <c r="AX278" i="3"/>
  <c r="AI278" i="3"/>
  <c r="C278" i="3"/>
  <c r="X278" i="3"/>
  <c r="K278" i="3"/>
  <c r="AH278" i="3"/>
  <c r="D277" i="3"/>
  <c r="E277" i="3"/>
  <c r="F277" i="3"/>
  <c r="G277" i="3" s="1"/>
  <c r="H277" i="3" s="1"/>
  <c r="J277" i="3"/>
  <c r="M277" i="3" s="1"/>
  <c r="O145" i="3" l="1"/>
  <c r="AO146" i="3" s="1"/>
  <c r="AN145" i="3"/>
  <c r="AR145" i="3"/>
  <c r="AQ145" i="3" s="1"/>
  <c r="AU145" i="3" s="1"/>
  <c r="AW145" i="3" s="1"/>
  <c r="AW279" i="3"/>
  <c r="BA279" i="3"/>
  <c r="AE263" i="3"/>
  <c r="AF263" i="3" s="1"/>
  <c r="AG263" i="3" s="1"/>
  <c r="AI263" i="3" s="1"/>
  <c r="Q264" i="3" s="1"/>
  <c r="Z279" i="3"/>
  <c r="AA279" i="3"/>
  <c r="Q265" i="3"/>
  <c r="W265" i="3"/>
  <c r="U275" i="3"/>
  <c r="V275" i="3" s="1"/>
  <c r="Y273" i="3"/>
  <c r="AC264" i="3"/>
  <c r="AD264" i="3" s="1"/>
  <c r="R276" i="3"/>
  <c r="S276" i="3"/>
  <c r="AB276" i="3"/>
  <c r="AL146" i="3"/>
  <c r="AM279" i="3"/>
  <c r="AH279" i="3"/>
  <c r="C279" i="3"/>
  <c r="X279" i="3"/>
  <c r="AI279" i="3"/>
  <c r="AP279" i="3"/>
  <c r="B280" i="3"/>
  <c r="K279" i="3"/>
  <c r="AX279" i="3"/>
  <c r="T279" i="3"/>
  <c r="J278" i="3"/>
  <c r="M278" i="3" s="1"/>
  <c r="D278" i="3"/>
  <c r="F278" i="3"/>
  <c r="G278" i="3" s="1"/>
  <c r="H278" i="3" s="1"/>
  <c r="E278" i="3"/>
  <c r="I146" i="3" l="1"/>
  <c r="AJ146" i="3" s="1"/>
  <c r="N146" i="3"/>
  <c r="AK146" i="3" s="1"/>
  <c r="P146" i="3"/>
  <c r="AT146" i="3"/>
  <c r="AV146" i="3" s="1"/>
  <c r="AS145" i="3"/>
  <c r="BA280" i="3"/>
  <c r="AW280" i="3"/>
  <c r="AA280" i="3"/>
  <c r="Z280" i="3"/>
  <c r="AE264" i="3"/>
  <c r="AF264" i="3" s="1"/>
  <c r="Y274" i="3"/>
  <c r="R277" i="3"/>
  <c r="S277" i="3"/>
  <c r="AB277" i="3"/>
  <c r="AC265" i="3"/>
  <c r="AD265" i="3" s="1"/>
  <c r="U276" i="3"/>
  <c r="V276" i="3" s="1"/>
  <c r="Q266" i="3"/>
  <c r="W266" i="3"/>
  <c r="T280" i="3"/>
  <c r="C280" i="3"/>
  <c r="B281" i="3"/>
  <c r="K280" i="3"/>
  <c r="AM280" i="3"/>
  <c r="AP280" i="3"/>
  <c r="AI280" i="3"/>
  <c r="X280" i="3"/>
  <c r="AH280" i="3"/>
  <c r="AX280" i="3"/>
  <c r="F279" i="3"/>
  <c r="G279" i="3" s="1"/>
  <c r="H279" i="3" s="1"/>
  <c r="E279" i="3"/>
  <c r="D279" i="3"/>
  <c r="J279" i="3"/>
  <c r="M279" i="3" s="1"/>
  <c r="O146" i="3" l="1"/>
  <c r="AO147" i="3" s="1"/>
  <c r="AN146" i="3"/>
  <c r="AR146" i="3"/>
  <c r="AQ146" i="3" s="1"/>
  <c r="AU146" i="3" s="1"/>
  <c r="AW146" i="3" s="1"/>
  <c r="BA281" i="3"/>
  <c r="AW281" i="3"/>
  <c r="AA281" i="3"/>
  <c r="Z281" i="3"/>
  <c r="U277" i="3"/>
  <c r="V277" i="3" s="1"/>
  <c r="R278" i="3"/>
  <c r="S278" i="3"/>
  <c r="Y275" i="3"/>
  <c r="AE265" i="3"/>
  <c r="AF265" i="3" s="1"/>
  <c r="AC266" i="3"/>
  <c r="AD266" i="3" s="1"/>
  <c r="Q267" i="3"/>
  <c r="W267" i="3"/>
  <c r="AL147" i="3"/>
  <c r="N147" i="3"/>
  <c r="AK147" i="3" s="1"/>
  <c r="J280" i="3"/>
  <c r="M280" i="3" s="1"/>
  <c r="F280" i="3"/>
  <c r="G280" i="3" s="1"/>
  <c r="H280" i="3" s="1"/>
  <c r="D280" i="3"/>
  <c r="E280" i="3"/>
  <c r="C281" i="3"/>
  <c r="X281" i="3"/>
  <c r="AP281" i="3"/>
  <c r="AH281" i="3"/>
  <c r="B282" i="3"/>
  <c r="K281" i="3"/>
  <c r="T281" i="3"/>
  <c r="AI281" i="3"/>
  <c r="AM281" i="3"/>
  <c r="AX281" i="3"/>
  <c r="AT147" i="3" l="1"/>
  <c r="AV147" i="3" s="1"/>
  <c r="I147" i="3"/>
  <c r="AJ147" i="3" s="1"/>
  <c r="AN147" i="3" s="1"/>
  <c r="P147" i="3"/>
  <c r="AS146" i="3"/>
  <c r="AW282" i="3"/>
  <c r="BA282" i="3"/>
  <c r="AA282" i="3"/>
  <c r="Z282" i="3"/>
  <c r="AE266" i="3"/>
  <c r="AF266" i="3" s="1"/>
  <c r="U278" i="3"/>
  <c r="V278" i="3" s="1"/>
  <c r="Y276" i="3"/>
  <c r="AB278" i="3"/>
  <c r="AC267" i="3"/>
  <c r="AD267" i="3" s="1"/>
  <c r="Q268" i="3"/>
  <c r="W268" i="3"/>
  <c r="S279" i="3"/>
  <c r="AB279" i="3"/>
  <c r="R279" i="3"/>
  <c r="X282" i="3"/>
  <c r="AI282" i="3"/>
  <c r="AM282" i="3"/>
  <c r="B283" i="3"/>
  <c r="AP282" i="3"/>
  <c r="K282" i="3"/>
  <c r="C282" i="3"/>
  <c r="AH282" i="3"/>
  <c r="AX282" i="3"/>
  <c r="T282" i="3"/>
  <c r="D281" i="3"/>
  <c r="E281" i="3"/>
  <c r="J281" i="3"/>
  <c r="M281" i="3" s="1"/>
  <c r="F281" i="3"/>
  <c r="G281" i="3" s="1"/>
  <c r="H281" i="3" s="1"/>
  <c r="O147" i="3" l="1"/>
  <c r="AO148" i="3" s="1"/>
  <c r="AR147" i="3"/>
  <c r="AQ147" i="3" s="1"/>
  <c r="AU147" i="3" s="1"/>
  <c r="AW147" i="3" s="1"/>
  <c r="BA283" i="3"/>
  <c r="AW283" i="3"/>
  <c r="AA283" i="3"/>
  <c r="Z283" i="3"/>
  <c r="Y277" i="3"/>
  <c r="AC268" i="3"/>
  <c r="AD268" i="3" s="1"/>
  <c r="Q269" i="3"/>
  <c r="W269" i="3"/>
  <c r="U279" i="3"/>
  <c r="V279" i="3" s="1"/>
  <c r="AE267" i="3"/>
  <c r="AF267" i="3" s="1"/>
  <c r="R280" i="3"/>
  <c r="S280" i="3"/>
  <c r="AL148" i="3"/>
  <c r="E282" i="3"/>
  <c r="D282" i="3"/>
  <c r="F282" i="3"/>
  <c r="G282" i="3" s="1"/>
  <c r="H282" i="3" s="1"/>
  <c r="J282" i="3"/>
  <c r="M282" i="3" s="1"/>
  <c r="C283" i="3"/>
  <c r="X283" i="3"/>
  <c r="AI283" i="3"/>
  <c r="AX283" i="3"/>
  <c r="T283" i="3"/>
  <c r="AM283" i="3"/>
  <c r="K283" i="3"/>
  <c r="B284" i="3"/>
  <c r="AP283" i="3"/>
  <c r="AH283" i="3"/>
  <c r="P148" i="3" l="1"/>
  <c r="AS147" i="3"/>
  <c r="N148" i="3"/>
  <c r="AK148" i="3" s="1"/>
  <c r="AT148" i="3"/>
  <c r="AV148" i="3" s="1"/>
  <c r="I148" i="3"/>
  <c r="AJ148" i="3" s="1"/>
  <c r="AW284" i="3"/>
  <c r="BA284" i="3"/>
  <c r="Z284" i="3"/>
  <c r="AA284" i="3"/>
  <c r="AE268" i="3"/>
  <c r="AF268" i="3" s="1"/>
  <c r="Q270" i="3"/>
  <c r="W270" i="3"/>
  <c r="U280" i="3"/>
  <c r="V280" i="3" s="1"/>
  <c r="Y278" i="3"/>
  <c r="S281" i="3"/>
  <c r="R281" i="3"/>
  <c r="AB280" i="3"/>
  <c r="AC269" i="3"/>
  <c r="AD269" i="3" s="1"/>
  <c r="B285" i="3"/>
  <c r="AX284" i="3"/>
  <c r="K284" i="3"/>
  <c r="X284" i="3"/>
  <c r="AM284" i="3"/>
  <c r="C284" i="3"/>
  <c r="AH284" i="3"/>
  <c r="T284" i="3"/>
  <c r="AP284" i="3"/>
  <c r="AI284" i="3"/>
  <c r="J283" i="3"/>
  <c r="M283" i="3" s="1"/>
  <c r="D283" i="3"/>
  <c r="E283" i="3"/>
  <c r="F283" i="3"/>
  <c r="G283" i="3" s="1"/>
  <c r="H283" i="3" s="1"/>
  <c r="O148" i="3" l="1"/>
  <c r="AO149" i="3" s="1"/>
  <c r="AN148" i="3"/>
  <c r="AR148" i="3"/>
  <c r="AQ148" i="3" s="1"/>
  <c r="AU148" i="3" s="1"/>
  <c r="AW148" i="3" s="1"/>
  <c r="BA285" i="3"/>
  <c r="AW285" i="3"/>
  <c r="Z285" i="3"/>
  <c r="AA285" i="3"/>
  <c r="AB281" i="3"/>
  <c r="AC270" i="3"/>
  <c r="AD270" i="3" s="1"/>
  <c r="Q271" i="3"/>
  <c r="W271" i="3"/>
  <c r="AE269" i="3"/>
  <c r="AF269" i="3" s="1"/>
  <c r="R282" i="3"/>
  <c r="S282" i="3"/>
  <c r="U281" i="3"/>
  <c r="V281" i="3" s="1"/>
  <c r="Y279" i="3"/>
  <c r="AL149" i="3"/>
  <c r="J284" i="3"/>
  <c r="M284" i="3" s="1"/>
  <c r="E284" i="3"/>
  <c r="F284" i="3"/>
  <c r="G284" i="3" s="1"/>
  <c r="H284" i="3" s="1"/>
  <c r="D284" i="3"/>
  <c r="AI285" i="3"/>
  <c r="B286" i="3"/>
  <c r="X285" i="3"/>
  <c r="AP285" i="3"/>
  <c r="C285" i="3"/>
  <c r="AX285" i="3"/>
  <c r="K285" i="3"/>
  <c r="AH285" i="3"/>
  <c r="T285" i="3"/>
  <c r="AM285" i="3"/>
  <c r="AS148" i="3" l="1"/>
  <c r="I149" i="3"/>
  <c r="AJ149" i="3" s="1"/>
  <c r="AT149" i="3"/>
  <c r="AV149" i="3" s="1"/>
  <c r="N149" i="3"/>
  <c r="AK149" i="3" s="1"/>
  <c r="P149" i="3"/>
  <c r="BA286" i="3"/>
  <c r="AW286" i="3"/>
  <c r="AA286" i="3"/>
  <c r="Z286" i="3"/>
  <c r="AE270" i="3"/>
  <c r="AF270" i="3" s="1"/>
  <c r="Q272" i="3"/>
  <c r="W272" i="3"/>
  <c r="Y280" i="3"/>
  <c r="U282" i="3"/>
  <c r="V282" i="3" s="1"/>
  <c r="AC271" i="3"/>
  <c r="AD271" i="3" s="1"/>
  <c r="R283" i="3"/>
  <c r="S283" i="3"/>
  <c r="AB282" i="3"/>
  <c r="C286" i="3"/>
  <c r="AP286" i="3"/>
  <c r="AM286" i="3"/>
  <c r="AI286" i="3"/>
  <c r="B287" i="3"/>
  <c r="AX286" i="3"/>
  <c r="K286" i="3"/>
  <c r="T286" i="3"/>
  <c r="X286" i="3"/>
  <c r="AH286" i="3"/>
  <c r="F285" i="3"/>
  <c r="G285" i="3" s="1"/>
  <c r="H285" i="3" s="1"/>
  <c r="E285" i="3"/>
  <c r="J285" i="3"/>
  <c r="M285" i="3" s="1"/>
  <c r="D285" i="3"/>
  <c r="AR149" i="3" l="1"/>
  <c r="AQ149" i="3" s="1"/>
  <c r="AU149" i="3" s="1"/>
  <c r="AW149" i="3" s="1"/>
  <c r="O149" i="3"/>
  <c r="AO150" i="3" s="1"/>
  <c r="AN149" i="3"/>
  <c r="AW287" i="3"/>
  <c r="BA287" i="3"/>
  <c r="Z287" i="3"/>
  <c r="AA287" i="3"/>
  <c r="U283" i="3"/>
  <c r="V283" i="3" s="1"/>
  <c r="AE271" i="3"/>
  <c r="AF271" i="3" s="1"/>
  <c r="Y281" i="3"/>
  <c r="S284" i="3"/>
  <c r="R284" i="3"/>
  <c r="AB284" i="3"/>
  <c r="AC272" i="3"/>
  <c r="AD272" i="3" s="1"/>
  <c r="Q273" i="3"/>
  <c r="W273" i="3"/>
  <c r="AB283" i="3"/>
  <c r="P150" i="3"/>
  <c r="AL150" i="3"/>
  <c r="AP287" i="3"/>
  <c r="K287" i="3"/>
  <c r="Y287" i="3"/>
  <c r="AH287" i="3"/>
  <c r="AX287" i="3"/>
  <c r="S287" i="3"/>
  <c r="X287" i="3"/>
  <c r="T287" i="3"/>
  <c r="U287" i="3" s="1"/>
  <c r="V287" i="3" s="1"/>
  <c r="AB287" i="3"/>
  <c r="AM287" i="3"/>
  <c r="C287" i="3"/>
  <c r="R287" i="3"/>
  <c r="J286" i="3"/>
  <c r="M286" i="3" s="1"/>
  <c r="E286" i="3"/>
  <c r="D286" i="3"/>
  <c r="F286" i="3"/>
  <c r="G286" i="3" s="1"/>
  <c r="H286" i="3" s="1"/>
  <c r="AS149" i="3" l="1"/>
  <c r="I150" i="3"/>
  <c r="AJ150" i="3" s="1"/>
  <c r="AT150" i="3"/>
  <c r="N150" i="3"/>
  <c r="AK150" i="3" s="1"/>
  <c r="AE272" i="3"/>
  <c r="AF272" i="3" s="1"/>
  <c r="Y286" i="3"/>
  <c r="U284" i="3"/>
  <c r="V284" i="3" s="1"/>
  <c r="R285" i="3"/>
  <c r="AB285" i="3"/>
  <c r="S285" i="3"/>
  <c r="AC273" i="3"/>
  <c r="AD273" i="3" s="1"/>
  <c r="Y282" i="3"/>
  <c r="Q274" i="3"/>
  <c r="W274" i="3"/>
  <c r="O150" i="3"/>
  <c r="AO151" i="3" s="1"/>
  <c r="AV150" i="3"/>
  <c r="E287" i="3"/>
  <c r="F287" i="3"/>
  <c r="G287" i="3" s="1"/>
  <c r="H287" i="3" s="1"/>
  <c r="D287" i="3"/>
  <c r="J287" i="3"/>
  <c r="M287" i="3" s="1"/>
  <c r="AR150" i="3" l="1"/>
  <c r="AQ150" i="3" s="1"/>
  <c r="AU150" i="3" s="1"/>
  <c r="AW150" i="3" s="1"/>
  <c r="AN150" i="3"/>
  <c r="AS150" i="3"/>
  <c r="AC274" i="3"/>
  <c r="AD274" i="3" s="1"/>
  <c r="AE273" i="3"/>
  <c r="AF273" i="3" s="1"/>
  <c r="AB286" i="3"/>
  <c r="S286" i="3"/>
  <c r="R286" i="3"/>
  <c r="Y283" i="3"/>
  <c r="U285" i="3"/>
  <c r="V285" i="3" s="1"/>
  <c r="Q275" i="3"/>
  <c r="W275" i="3"/>
  <c r="AL151" i="3"/>
  <c r="AT151" i="3"/>
  <c r="I151" i="3"/>
  <c r="AJ151" i="3" s="1"/>
  <c r="N151" i="3"/>
  <c r="AK151" i="3" s="1"/>
  <c r="P151" i="3"/>
  <c r="AR151" i="3" l="1"/>
  <c r="AQ151" i="3" s="1"/>
  <c r="AU151" i="3" s="1"/>
  <c r="AE274" i="3"/>
  <c r="AF274" i="3" s="1"/>
  <c r="Y284" i="3"/>
  <c r="U286" i="3"/>
  <c r="V286" i="3" s="1"/>
  <c r="Q276" i="3"/>
  <c r="W276" i="3"/>
  <c r="AC275" i="3"/>
  <c r="AD275" i="3" s="1"/>
  <c r="O151" i="3"/>
  <c r="AO152" i="3" s="1"/>
  <c r="AV151" i="3"/>
  <c r="AN151" i="3"/>
  <c r="AW151" i="3" l="1"/>
  <c r="N152" i="3"/>
  <c r="AK152" i="3" s="1"/>
  <c r="AE275" i="3"/>
  <c r="AF275" i="3" s="1"/>
  <c r="AG275" i="3" s="1"/>
  <c r="AI275" i="3" s="1"/>
  <c r="Q277" i="3"/>
  <c r="W277" i="3"/>
  <c r="Y285" i="3"/>
  <c r="AL152" i="3"/>
  <c r="AC276" i="3"/>
  <c r="AD276" i="3" s="1"/>
  <c r="AT152" i="3"/>
  <c r="I152" i="3"/>
  <c r="AJ152" i="3" s="1"/>
  <c r="AS151" i="3"/>
  <c r="AM152" i="3"/>
  <c r="P152" i="3"/>
  <c r="AR152" i="3" l="1"/>
  <c r="AQ152" i="3" s="1"/>
  <c r="AU152" i="3" s="1"/>
  <c r="AV152" i="3"/>
  <c r="AE276" i="3"/>
  <c r="AF276" i="3" s="1"/>
  <c r="AC277" i="3"/>
  <c r="AD277" i="3" s="1"/>
  <c r="Q278" i="3"/>
  <c r="W278" i="3"/>
  <c r="O152" i="3"/>
  <c r="AO153" i="3" s="1"/>
  <c r="AN152" i="3"/>
  <c r="AW152" i="3" l="1"/>
  <c r="AL153" i="3"/>
  <c r="AE277" i="3"/>
  <c r="AF277" i="3" s="1"/>
  <c r="AC278" i="3"/>
  <c r="AD278" i="3" s="1"/>
  <c r="Q279" i="3"/>
  <c r="W279" i="3"/>
  <c r="P153" i="3"/>
  <c r="N153" i="3"/>
  <c r="AK153" i="3" s="1"/>
  <c r="AS152" i="3"/>
  <c r="AT153" i="3"/>
  <c r="I153" i="3"/>
  <c r="AJ153" i="3" s="1"/>
  <c r="AR153" i="3" l="1"/>
  <c r="AQ153" i="3" s="1"/>
  <c r="AU153" i="3" s="1"/>
  <c r="AV153" i="3"/>
  <c r="AE278" i="3"/>
  <c r="AF278" i="3" s="1"/>
  <c r="AC279" i="3"/>
  <c r="AD279" i="3" s="1"/>
  <c r="Q280" i="3"/>
  <c r="W280" i="3"/>
  <c r="O153" i="3"/>
  <c r="AO154" i="3" s="1"/>
  <c r="AN153" i="3"/>
  <c r="AW153" i="3" l="1"/>
  <c r="AL154" i="3"/>
  <c r="AE279" i="3"/>
  <c r="AF279" i="3" s="1"/>
  <c r="Q281" i="3"/>
  <c r="W281" i="3"/>
  <c r="AC280" i="3"/>
  <c r="AD280" i="3" s="1"/>
  <c r="P154" i="3"/>
  <c r="AS153" i="3"/>
  <c r="N154" i="3"/>
  <c r="AK154" i="3" s="1"/>
  <c r="AT154" i="3"/>
  <c r="I154" i="3"/>
  <c r="AJ154" i="3" s="1"/>
  <c r="AR154" i="3" l="1"/>
  <c r="AQ154" i="3" s="1"/>
  <c r="AU154" i="3" s="1"/>
  <c r="AV154" i="3"/>
  <c r="AE280" i="3"/>
  <c r="AF280" i="3" s="1"/>
  <c r="Q282" i="3"/>
  <c r="W282" i="3"/>
  <c r="AC281" i="3"/>
  <c r="AD281" i="3" s="1"/>
  <c r="O154" i="3"/>
  <c r="AO155" i="3" s="1"/>
  <c r="AN154" i="3"/>
  <c r="AW154" i="3" l="1"/>
  <c r="AL155" i="3"/>
  <c r="AE281" i="3"/>
  <c r="AF281" i="3" s="1"/>
  <c r="Q283" i="3"/>
  <c r="W283" i="3"/>
  <c r="AC282" i="3"/>
  <c r="AD282" i="3" s="1"/>
  <c r="P155" i="3"/>
  <c r="AS154" i="3"/>
  <c r="AT155" i="3"/>
  <c r="N155" i="3"/>
  <c r="AK155" i="3" s="1"/>
  <c r="I155" i="3"/>
  <c r="AJ155" i="3" s="1"/>
  <c r="AR155" i="3" l="1"/>
  <c r="AQ155" i="3" s="1"/>
  <c r="AU155" i="3" s="1"/>
  <c r="AV155" i="3"/>
  <c r="AN155" i="3"/>
  <c r="AE282" i="3"/>
  <c r="AF282" i="3" s="1"/>
  <c r="AC283" i="3"/>
  <c r="AD283" i="3" s="1"/>
  <c r="Q284" i="3"/>
  <c r="W284" i="3"/>
  <c r="O155" i="3"/>
  <c r="AO156" i="3" s="1"/>
  <c r="AE283" i="3" l="1"/>
  <c r="AF283" i="3" s="1"/>
  <c r="AC284" i="3"/>
  <c r="AD284" i="3" s="1"/>
  <c r="Q285" i="3"/>
  <c r="W285" i="3"/>
  <c r="AL156" i="3"/>
  <c r="AT156" i="3"/>
  <c r="AS155" i="3"/>
  <c r="N156" i="3"/>
  <c r="AK156" i="3" s="1"/>
  <c r="I156" i="3"/>
  <c r="AJ156" i="3" s="1"/>
  <c r="P156" i="3"/>
  <c r="AR156" i="3" l="1"/>
  <c r="AQ156" i="3" s="1"/>
  <c r="AU156" i="3" s="1"/>
  <c r="O156" i="3"/>
  <c r="AL157" i="3" s="1"/>
  <c r="AE284" i="3"/>
  <c r="AF284" i="3" s="1"/>
  <c r="AC285" i="3"/>
  <c r="AD285" i="3" s="1"/>
  <c r="Q286" i="3"/>
  <c r="W286" i="3"/>
  <c r="AN156" i="3"/>
  <c r="AV156" i="3"/>
  <c r="AW156" i="3" l="1"/>
  <c r="AS156" i="3"/>
  <c r="AO157" i="3"/>
  <c r="P157" i="3"/>
  <c r="I157" i="3"/>
  <c r="AJ157" i="3" s="1"/>
  <c r="N157" i="3"/>
  <c r="AK157" i="3" s="1"/>
  <c r="AT157" i="3"/>
  <c r="AV157" i="3" s="1"/>
  <c r="AE285" i="3"/>
  <c r="AF285" i="3" s="1"/>
  <c r="AC286" i="3"/>
  <c r="AD286" i="3" s="1"/>
  <c r="Q287" i="3"/>
  <c r="W287" i="3"/>
  <c r="AR157" i="3" l="1"/>
  <c r="AQ157" i="3" s="1"/>
  <c r="AU157" i="3" s="1"/>
  <c r="O157" i="3"/>
  <c r="AN157" i="3"/>
  <c r="AE286" i="3"/>
  <c r="AF286" i="3" s="1"/>
  <c r="AC287" i="3"/>
  <c r="AD287" i="3" s="1"/>
  <c r="AW157" i="3" l="1"/>
  <c r="AL158" i="3"/>
  <c r="AO158" i="3"/>
  <c r="P158" i="3"/>
  <c r="AS157" i="3"/>
  <c r="I158" i="3"/>
  <c r="AJ158" i="3" s="1"/>
  <c r="N158" i="3"/>
  <c r="AK158" i="3" s="1"/>
  <c r="AT158" i="3"/>
  <c r="AE287" i="3"/>
  <c r="AF287" i="3" s="1"/>
  <c r="AG287" i="3" s="1"/>
  <c r="AI287" i="3" s="1"/>
  <c r="AR158" i="3" l="1"/>
  <c r="AQ158" i="3" s="1"/>
  <c r="AU158" i="3" s="1"/>
  <c r="AV158" i="3"/>
  <c r="O158" i="3"/>
  <c r="AN158" i="3"/>
  <c r="AL159" i="3"/>
  <c r="AW158" i="3" l="1"/>
  <c r="AT159" i="3"/>
  <c r="AV159" i="3" s="1"/>
  <c r="AO159" i="3"/>
  <c r="P159" i="3"/>
  <c r="N159" i="3"/>
  <c r="AK159" i="3" s="1"/>
  <c r="AS158" i="3"/>
  <c r="I159" i="3"/>
  <c r="AJ159" i="3" s="1"/>
  <c r="AR159" i="3" l="1"/>
  <c r="AQ159" i="3" s="1"/>
  <c r="AU159" i="3" s="1"/>
  <c r="AN159" i="3"/>
  <c r="O159" i="3"/>
  <c r="AW159" i="3" l="1"/>
  <c r="P160" i="3"/>
  <c r="AO160" i="3"/>
  <c r="AT160" i="3"/>
  <c r="AS159" i="3"/>
  <c r="N160" i="3"/>
  <c r="AK160" i="3" s="1"/>
  <c r="I160" i="3"/>
  <c r="AL160" i="3"/>
  <c r="AR160" i="3" l="1"/>
  <c r="AQ160" i="3" s="1"/>
  <c r="AU160" i="3" s="1"/>
  <c r="AJ160" i="3"/>
  <c r="AN160" i="3" s="1"/>
  <c r="O160" i="3"/>
  <c r="AO161" i="3" s="1"/>
  <c r="AV160" i="3"/>
  <c r="AW160" i="3" l="1"/>
  <c r="AS160" i="3"/>
  <c r="N161" i="3"/>
  <c r="AK161" i="3" s="1"/>
  <c r="I161" i="3"/>
  <c r="AT161" i="3"/>
  <c r="P161" i="3"/>
  <c r="AL161" i="3"/>
  <c r="AR161" i="3" l="1"/>
  <c r="AQ161" i="3" s="1"/>
  <c r="AU161" i="3" s="1"/>
  <c r="AJ161" i="3"/>
  <c r="AN161" i="3" s="1"/>
  <c r="O161" i="3"/>
  <c r="AO162" i="3" s="1"/>
  <c r="AV161" i="3"/>
  <c r="AW161" i="3" l="1"/>
  <c r="AT162" i="3"/>
  <c r="I162" i="3"/>
  <c r="AL162" i="3"/>
  <c r="N162" i="3"/>
  <c r="AK162" i="3" s="1"/>
  <c r="AS161" i="3"/>
  <c r="P162" i="3"/>
  <c r="AR162" i="3" l="1"/>
  <c r="AQ162" i="3" s="1"/>
  <c r="AU162" i="3" s="1"/>
  <c r="AJ162" i="3"/>
  <c r="AN162" i="3" s="1"/>
  <c r="O162" i="3"/>
  <c r="AO163" i="3" s="1"/>
  <c r="AV162" i="3"/>
  <c r="AW162" i="3" l="1"/>
  <c r="N163" i="3"/>
  <c r="AK163" i="3" s="1"/>
  <c r="I163" i="3"/>
  <c r="AS162" i="3"/>
  <c r="AT163" i="3"/>
  <c r="P163" i="3"/>
  <c r="AL163" i="3"/>
  <c r="AR163" i="3" l="1"/>
  <c r="AQ163" i="3" s="1"/>
  <c r="AU163" i="3" s="1"/>
  <c r="AJ163" i="3"/>
  <c r="AN163" i="3" s="1"/>
  <c r="O163" i="3"/>
  <c r="AO164" i="3" s="1"/>
  <c r="AV163" i="3"/>
  <c r="AW163" i="3" l="1"/>
  <c r="AT164" i="3"/>
  <c r="N164" i="3"/>
  <c r="AK164" i="3" s="1"/>
  <c r="AS163" i="3"/>
  <c r="AL164" i="3"/>
  <c r="P164" i="3"/>
  <c r="I164" i="3"/>
  <c r="AR164" i="3" l="1"/>
  <c r="AQ164" i="3" s="1"/>
  <c r="AU164" i="3" s="1"/>
  <c r="AJ164" i="3"/>
  <c r="AN164" i="3" s="1"/>
  <c r="O164" i="3"/>
  <c r="AO165" i="3" s="1"/>
  <c r="AV164" i="3"/>
  <c r="AW164" i="3" l="1"/>
  <c r="I165" i="3"/>
  <c r="AS164" i="3"/>
  <c r="N165" i="3"/>
  <c r="AK165" i="3" s="1"/>
  <c r="AT165" i="3"/>
  <c r="P165" i="3"/>
  <c r="AL165" i="3"/>
  <c r="AR165" i="3" l="1"/>
  <c r="AQ165" i="3" s="1"/>
  <c r="AU165" i="3" s="1"/>
  <c r="AV165" i="3"/>
  <c r="AJ165" i="3"/>
  <c r="AN165" i="3" s="1"/>
  <c r="O165" i="3"/>
  <c r="AO166" i="3" s="1"/>
  <c r="AW165" i="3" l="1"/>
  <c r="P166" i="3"/>
  <c r="I166" i="3"/>
  <c r="AT166" i="3"/>
  <c r="AL166" i="3"/>
  <c r="AS165" i="3"/>
  <c r="N166" i="3"/>
  <c r="AK166" i="3" s="1"/>
  <c r="AR166" i="3" l="1"/>
  <c r="AQ166" i="3" s="1"/>
  <c r="AU166" i="3" s="1"/>
  <c r="AV166" i="3"/>
  <c r="AJ166" i="3"/>
  <c r="AN166" i="3" s="1"/>
  <c r="O166" i="3"/>
  <c r="AO167" i="3" s="1"/>
  <c r="AW166" i="3" l="1"/>
  <c r="AL167" i="3"/>
  <c r="AS166" i="3"/>
  <c r="P167" i="3"/>
  <c r="N167" i="3"/>
  <c r="AK167" i="3" s="1"/>
  <c r="I167" i="3"/>
  <c r="AT167" i="3"/>
  <c r="AR167" i="3" l="1"/>
  <c r="AQ167" i="3" s="1"/>
  <c r="AU167" i="3" s="1"/>
  <c r="AV167" i="3"/>
  <c r="AJ167" i="3"/>
  <c r="AN167" i="3" s="1"/>
  <c r="O167" i="3"/>
  <c r="AO168" i="3" s="1"/>
  <c r="AL168" i="3" l="1"/>
  <c r="P168" i="3"/>
  <c r="AT168" i="3"/>
  <c r="AS167" i="3"/>
  <c r="N168" i="3"/>
  <c r="AK168" i="3" s="1"/>
  <c r="I168" i="3"/>
  <c r="AR168" i="3" l="1"/>
  <c r="AQ168" i="3" s="1"/>
  <c r="AU168" i="3" s="1"/>
  <c r="AV168" i="3"/>
  <c r="AJ168" i="3"/>
  <c r="AN168" i="3" s="1"/>
  <c r="O168" i="3"/>
  <c r="AO169" i="3" s="1"/>
  <c r="AW168" i="3" l="1"/>
  <c r="P169" i="3"/>
  <c r="AL169" i="3"/>
  <c r="I169" i="3"/>
  <c r="AJ169" i="3" s="1"/>
  <c r="N169" i="3"/>
  <c r="AK169" i="3" s="1"/>
  <c r="AT169" i="3"/>
  <c r="AS168" i="3"/>
  <c r="AR169" i="3" l="1"/>
  <c r="AQ169" i="3" s="1"/>
  <c r="AU169" i="3" s="1"/>
  <c r="AV169" i="3"/>
  <c r="O169" i="3"/>
  <c r="AO170" i="3" s="1"/>
  <c r="AN169" i="3"/>
  <c r="AW169" i="3" l="1"/>
  <c r="AS169" i="3"/>
  <c r="N170" i="3"/>
  <c r="AK170" i="3" s="1"/>
  <c r="P170" i="3"/>
  <c r="AL170" i="3"/>
  <c r="I170" i="3"/>
  <c r="AT170" i="3"/>
  <c r="AR170" i="3" l="1"/>
  <c r="AQ170" i="3" s="1"/>
  <c r="AU170" i="3" s="1"/>
  <c r="AV170" i="3"/>
  <c r="AJ170" i="3"/>
  <c r="AN170" i="3" s="1"/>
  <c r="O170" i="3"/>
  <c r="AO171" i="3" s="1"/>
  <c r="AW170" i="3" l="1"/>
  <c r="AL171" i="3"/>
  <c r="P171" i="3"/>
  <c r="AT171" i="3"/>
  <c r="I171" i="3"/>
  <c r="AS170" i="3"/>
  <c r="N171" i="3"/>
  <c r="AK171" i="3" s="1"/>
  <c r="AR171" i="3" l="1"/>
  <c r="AQ171" i="3" s="1"/>
  <c r="AU171" i="3" s="1"/>
  <c r="AV171" i="3"/>
  <c r="AJ171" i="3"/>
  <c r="AN171" i="3" s="1"/>
  <c r="O171" i="3"/>
  <c r="AO172" i="3" s="1"/>
  <c r="AW171" i="3" l="1"/>
  <c r="AL172" i="3"/>
  <c r="N172" i="3"/>
  <c r="AK172" i="3" s="1"/>
  <c r="P172" i="3"/>
  <c r="I172" i="3"/>
  <c r="AS171" i="3"/>
  <c r="AT172" i="3"/>
  <c r="AR172" i="3" l="1"/>
  <c r="AQ172" i="3" s="1"/>
  <c r="AU172" i="3" s="1"/>
  <c r="AV172" i="3"/>
  <c r="AJ172" i="3"/>
  <c r="AN172" i="3" s="1"/>
  <c r="O172" i="3"/>
  <c r="AO173" i="3" s="1"/>
  <c r="AW172" i="3" l="1"/>
  <c r="P173" i="3"/>
  <c r="AS172" i="3"/>
  <c r="AT173" i="3"/>
  <c r="AL173" i="3"/>
  <c r="N173" i="3"/>
  <c r="AK173" i="3" s="1"/>
  <c r="I173" i="3"/>
  <c r="AR173" i="3" l="1"/>
  <c r="AQ173" i="3" s="1"/>
  <c r="AU173" i="3" s="1"/>
  <c r="AV173" i="3"/>
  <c r="AJ173" i="3"/>
  <c r="AN173" i="3" s="1"/>
  <c r="O173" i="3"/>
  <c r="AO174" i="3" s="1"/>
  <c r="AW173" i="3" l="1"/>
  <c r="AS173" i="3"/>
  <c r="N174" i="3"/>
  <c r="AK174" i="3" s="1"/>
  <c r="AL174" i="3"/>
  <c r="I174" i="3"/>
  <c r="AT174" i="3"/>
  <c r="P174" i="3"/>
  <c r="AR174" i="3" l="1"/>
  <c r="AQ174" i="3" s="1"/>
  <c r="AU174" i="3" s="1"/>
  <c r="AV174" i="3"/>
  <c r="AJ174" i="3"/>
  <c r="AN174" i="3" s="1"/>
  <c r="O174" i="3"/>
  <c r="AO175" i="3" s="1"/>
  <c r="AW174" i="3" l="1"/>
  <c r="AL175" i="3"/>
  <c r="AS174" i="3"/>
  <c r="N175" i="3"/>
  <c r="AK175" i="3" s="1"/>
  <c r="AT175" i="3"/>
  <c r="I175" i="3"/>
  <c r="P175" i="3"/>
  <c r="AR175" i="3" l="1"/>
  <c r="AQ175" i="3" s="1"/>
  <c r="AU175" i="3" s="1"/>
  <c r="AJ175" i="3"/>
  <c r="AN175" i="3" s="1"/>
  <c r="O175" i="3"/>
  <c r="AO176" i="3" s="1"/>
  <c r="AV175" i="3"/>
  <c r="AW175" i="3" l="1"/>
  <c r="AL176" i="3"/>
  <c r="AT176" i="3"/>
  <c r="I176" i="3"/>
  <c r="AS175" i="3"/>
  <c r="N176" i="3"/>
  <c r="AK176" i="3" s="1"/>
  <c r="P176" i="3"/>
  <c r="AR176" i="3" l="1"/>
  <c r="AQ176" i="3" s="1"/>
  <c r="AU176" i="3" s="1"/>
  <c r="AJ176" i="3"/>
  <c r="AN176" i="3" s="1"/>
  <c r="O176" i="3"/>
  <c r="AO177" i="3" s="1"/>
  <c r="AV176" i="3"/>
  <c r="AW176" i="3" l="1"/>
  <c r="AL177" i="3"/>
  <c r="N177" i="3"/>
  <c r="AK177" i="3" s="1"/>
  <c r="AS176" i="3"/>
  <c r="I177" i="3"/>
  <c r="P177" i="3"/>
  <c r="AT177" i="3"/>
  <c r="AR177" i="3" l="1"/>
  <c r="AQ177" i="3" s="1"/>
  <c r="AU177" i="3" s="1"/>
  <c r="AV177" i="3"/>
  <c r="AJ177" i="3"/>
  <c r="AN177" i="3" s="1"/>
  <c r="O177" i="3"/>
  <c r="AO178" i="3" s="1"/>
  <c r="AW177" i="3" l="1"/>
  <c r="AS177" i="3"/>
  <c r="AL178" i="3"/>
  <c r="AT178" i="3"/>
  <c r="I178" i="3"/>
  <c r="AJ178" i="3" s="1"/>
  <c r="N178" i="3"/>
  <c r="AK178" i="3" s="1"/>
  <c r="P178" i="3"/>
  <c r="AR178" i="3" l="1"/>
  <c r="AQ178" i="3" s="1"/>
  <c r="AU178" i="3" s="1"/>
  <c r="O178" i="3"/>
  <c r="AO179" i="3" s="1"/>
  <c r="AV178" i="3"/>
  <c r="AN178" i="3"/>
  <c r="AW178" i="3" l="1"/>
  <c r="AL179" i="3"/>
  <c r="P179" i="3"/>
  <c r="N179" i="3"/>
  <c r="AK179" i="3" s="1"/>
  <c r="AT179" i="3"/>
  <c r="I179" i="3"/>
  <c r="AJ179" i="3" s="1"/>
  <c r="AS178" i="3"/>
  <c r="AR179" i="3" l="1"/>
  <c r="AQ179" i="3" s="1"/>
  <c r="AU179" i="3" s="1"/>
  <c r="O179" i="3"/>
  <c r="N180" i="3" s="1"/>
  <c r="AK180" i="3" s="1"/>
  <c r="AV179" i="3"/>
  <c r="AN179" i="3"/>
  <c r="I180" i="3" l="1"/>
  <c r="AJ180" i="3" s="1"/>
  <c r="AT180" i="3"/>
  <c r="AS179" i="3"/>
  <c r="AO180" i="3"/>
  <c r="AL180" i="3"/>
  <c r="P180" i="3"/>
  <c r="AR180" i="3" l="1"/>
  <c r="AQ180" i="3" s="1"/>
  <c r="AU180" i="3" s="1"/>
  <c r="O180" i="3"/>
  <c r="AO181" i="3" s="1"/>
  <c r="AV180" i="3"/>
  <c r="AN180" i="3"/>
  <c r="AM181" i="3"/>
  <c r="AW180" i="3" l="1"/>
  <c r="AL181" i="3"/>
  <c r="AS180" i="3"/>
  <c r="AT181" i="3"/>
  <c r="N181" i="3"/>
  <c r="AK181" i="3" s="1"/>
  <c r="P181" i="3"/>
  <c r="I181" i="3"/>
  <c r="AJ181" i="3" s="1"/>
  <c r="AR181" i="3" l="1"/>
  <c r="AQ181" i="3" s="1"/>
  <c r="AU181" i="3" s="1"/>
  <c r="AV181" i="3"/>
  <c r="O181" i="3"/>
  <c r="N182" i="3" s="1"/>
  <c r="AK182" i="3" s="1"/>
  <c r="AN181" i="3"/>
  <c r="AL182" i="3" l="1"/>
  <c r="AO182" i="3"/>
  <c r="AW181" i="3"/>
  <c r="P182" i="3"/>
  <c r="AS181" i="3"/>
  <c r="AT182" i="3"/>
  <c r="I182" i="3"/>
  <c r="AJ182" i="3" s="1"/>
  <c r="AN182" i="3" l="1"/>
  <c r="AV182" i="3"/>
  <c r="AR182" i="3"/>
  <c r="AQ182" i="3" s="1"/>
  <c r="AU182" i="3" s="1"/>
  <c r="O182" i="3"/>
  <c r="I183" i="3" s="1"/>
  <c r="AM183" i="3"/>
  <c r="AW182" i="3" l="1"/>
  <c r="AO183" i="3"/>
  <c r="AL183" i="3"/>
  <c r="P183" i="3"/>
  <c r="AT183" i="3"/>
  <c r="AS182" i="3"/>
  <c r="N183" i="3"/>
  <c r="AK183" i="3" s="1"/>
  <c r="AJ183" i="3"/>
  <c r="AR183" i="3" l="1"/>
  <c r="AQ183" i="3" s="1"/>
  <c r="AU183" i="3" s="1"/>
  <c r="O183" i="3"/>
  <c r="AT184" i="3" s="1"/>
  <c r="AV183" i="3"/>
  <c r="AN183" i="3"/>
  <c r="AL184" i="3"/>
  <c r="AW183" i="3" l="1"/>
  <c r="AO184" i="3"/>
  <c r="P184" i="3"/>
  <c r="N184" i="3"/>
  <c r="AK184" i="3" s="1"/>
  <c r="I184" i="3"/>
  <c r="AJ184" i="3" s="1"/>
  <c r="AS183" i="3"/>
  <c r="AV184" i="3"/>
  <c r="AR184" i="3" l="1"/>
  <c r="AQ184" i="3" s="1"/>
  <c r="AU184" i="3" s="1"/>
  <c r="AN184" i="3"/>
  <c r="O184" i="3"/>
  <c r="AT185" i="3" s="1"/>
  <c r="AL185" i="3"/>
  <c r="AO185" i="3"/>
  <c r="P185" i="3"/>
  <c r="AW184" i="3" l="1"/>
  <c r="N185" i="3"/>
  <c r="AK185" i="3" s="1"/>
  <c r="I185" i="3"/>
  <c r="AJ185" i="3" s="1"/>
  <c r="AS184" i="3"/>
  <c r="AV185" i="3"/>
  <c r="AR185" i="3" l="1"/>
  <c r="AQ185" i="3" s="1"/>
  <c r="AU185" i="3" s="1"/>
  <c r="AW185" i="3" s="1"/>
  <c r="O185" i="3"/>
  <c r="I186" i="3" s="1"/>
  <c r="AN185" i="3"/>
  <c r="AO186" i="3"/>
  <c r="AL186" i="3" l="1"/>
  <c r="P186" i="3"/>
  <c r="AS185" i="3"/>
  <c r="N186" i="3"/>
  <c r="AK186" i="3" s="1"/>
  <c r="AT186" i="3"/>
  <c r="AJ186" i="3"/>
  <c r="O186" i="3"/>
  <c r="AV186" i="3" l="1"/>
  <c r="AR186" i="3"/>
  <c r="AQ186" i="3" s="1"/>
  <c r="AU186" i="3" s="1"/>
  <c r="AN186" i="3"/>
  <c r="AL187" i="3"/>
  <c r="AO187" i="3"/>
  <c r="N187" i="3"/>
  <c r="AK187" i="3" s="1"/>
  <c r="I187" i="3"/>
  <c r="AJ187" i="3" s="1"/>
  <c r="AT187" i="3"/>
  <c r="P187" i="3"/>
  <c r="AS186" i="3"/>
  <c r="AW186" i="3" l="1"/>
  <c r="AR187" i="3" s="1"/>
  <c r="O187" i="3"/>
  <c r="N188" i="3" s="1"/>
  <c r="AK188" i="3" s="1"/>
  <c r="AV187" i="3"/>
  <c r="AN187" i="3"/>
  <c r="AQ187" i="3" l="1"/>
  <c r="AU187" i="3" s="1"/>
  <c r="AW187" i="3" s="1"/>
  <c r="P188" i="3"/>
  <c r="AL188" i="3"/>
  <c r="AO188" i="3"/>
  <c r="I188" i="3"/>
  <c r="AJ188" i="3" s="1"/>
  <c r="AT188" i="3"/>
  <c r="AS187" i="3"/>
  <c r="O188" i="3"/>
  <c r="AR188" i="3" l="1"/>
  <c r="AQ188" i="3" s="1"/>
  <c r="AU188" i="3" s="1"/>
  <c r="AV188" i="3"/>
  <c r="AN188" i="3"/>
  <c r="AL189" i="3"/>
  <c r="AO189" i="3"/>
  <c r="AM189" i="3"/>
  <c r="P189" i="3"/>
  <c r="N189" i="3"/>
  <c r="AK189" i="3" s="1"/>
  <c r="I189" i="3"/>
  <c r="AT189" i="3"/>
  <c r="AS188" i="3"/>
  <c r="AW188" i="3" l="1"/>
  <c r="AR189" i="3" s="1"/>
  <c r="AV189" i="3"/>
  <c r="AJ189" i="3"/>
  <c r="AN189" i="3" s="1"/>
  <c r="O189" i="3"/>
  <c r="AM190" i="3" s="1"/>
  <c r="AQ189" i="3" l="1"/>
  <c r="AU189" i="3" s="1"/>
  <c r="AL190" i="3"/>
  <c r="AO190" i="3"/>
  <c r="I190" i="3"/>
  <c r="AJ190" i="3" s="1"/>
  <c r="P190" i="3"/>
  <c r="AT190" i="3"/>
  <c r="AS189" i="3"/>
  <c r="N190" i="3"/>
  <c r="AK190" i="3" s="1"/>
  <c r="AW189" i="3" l="1"/>
  <c r="AR190" i="3" s="1"/>
  <c r="AV190" i="3"/>
  <c r="AN190" i="3"/>
  <c r="O190" i="3"/>
  <c r="AM191" i="3" s="1"/>
  <c r="AQ190" i="3" l="1"/>
  <c r="AU190" i="3" s="1"/>
  <c r="AW190" i="3" s="1"/>
  <c r="AL191" i="3"/>
  <c r="AO191" i="3"/>
  <c r="P191" i="3"/>
  <c r="I191" i="3"/>
  <c r="AS190" i="3"/>
  <c r="N191" i="3"/>
  <c r="AK191" i="3" s="1"/>
  <c r="AT191" i="3"/>
  <c r="AR191" i="3" l="1"/>
  <c r="AQ191" i="3" s="1"/>
  <c r="AU191" i="3" s="1"/>
  <c r="AV191" i="3"/>
  <c r="AJ191" i="3"/>
  <c r="AN191" i="3" s="1"/>
  <c r="O191" i="3"/>
  <c r="AM192" i="3" s="1"/>
  <c r="AL192" i="3" l="1"/>
  <c r="AO192" i="3"/>
  <c r="N192" i="3"/>
  <c r="AK192" i="3" s="1"/>
  <c r="P192" i="3"/>
  <c r="I192" i="3"/>
  <c r="AS191" i="3"/>
  <c r="AT192" i="3"/>
  <c r="AR192" i="3" l="1"/>
  <c r="AQ192" i="3" s="1"/>
  <c r="AU192" i="3" s="1"/>
  <c r="AV192" i="3"/>
  <c r="AJ192" i="3"/>
  <c r="AN192" i="3" s="1"/>
  <c r="O192" i="3"/>
  <c r="AM193" i="3" s="1"/>
  <c r="AW192" i="3" l="1"/>
  <c r="AL193" i="3"/>
  <c r="AO193" i="3"/>
  <c r="P193" i="3"/>
  <c r="AS192" i="3"/>
  <c r="AT193" i="3"/>
  <c r="N193" i="3"/>
  <c r="AK193" i="3" s="1"/>
  <c r="I193" i="3"/>
  <c r="AR193" i="3" l="1"/>
  <c r="AQ193" i="3" s="1"/>
  <c r="AU193" i="3" s="1"/>
  <c r="AV193" i="3"/>
  <c r="AJ193" i="3"/>
  <c r="AN193" i="3" s="1"/>
  <c r="O193" i="3"/>
  <c r="AM194" i="3" s="1"/>
  <c r="AW193" i="3" l="1"/>
  <c r="AL194" i="3"/>
  <c r="AO194" i="3"/>
  <c r="N194" i="3"/>
  <c r="AK194" i="3" s="1"/>
  <c r="P194" i="3"/>
  <c r="I194" i="3"/>
  <c r="AS193" i="3"/>
  <c r="AT194" i="3"/>
  <c r="AR194" i="3" l="1"/>
  <c r="AQ194" i="3" s="1"/>
  <c r="AU194" i="3" s="1"/>
  <c r="AV194" i="3"/>
  <c r="AJ194" i="3"/>
  <c r="AN194" i="3" s="1"/>
  <c r="O194" i="3"/>
  <c r="AM195" i="3" s="1"/>
  <c r="AW194" i="3" l="1"/>
  <c r="AL195" i="3"/>
  <c r="AO195" i="3"/>
  <c r="P195" i="3"/>
  <c r="N195" i="3"/>
  <c r="AK195" i="3" s="1"/>
  <c r="AT195" i="3"/>
  <c r="AS194" i="3"/>
  <c r="I195" i="3"/>
  <c r="AJ195" i="3" s="1"/>
  <c r="AR195" i="3" l="1"/>
  <c r="AQ195" i="3" s="1"/>
  <c r="AU195" i="3" s="1"/>
  <c r="AN195" i="3"/>
  <c r="AV195" i="3"/>
  <c r="O195" i="3"/>
  <c r="AW195" i="3" l="1"/>
  <c r="AO196" i="3"/>
  <c r="AM196" i="3"/>
  <c r="AL196" i="3"/>
  <c r="N196" i="3"/>
  <c r="AK196" i="3" s="1"/>
  <c r="AS195" i="3"/>
  <c r="AT196" i="3"/>
  <c r="P196" i="3"/>
  <c r="I196" i="3"/>
  <c r="AJ196" i="3" s="1"/>
  <c r="AR196" i="3" l="1"/>
  <c r="AQ196" i="3" s="1"/>
  <c r="AU196" i="3" s="1"/>
  <c r="O196" i="3"/>
  <c r="AM197" i="3" s="1"/>
  <c r="AN196" i="3"/>
  <c r="AV196" i="3"/>
  <c r="AW196" i="3" l="1"/>
  <c r="AL197" i="3"/>
  <c r="AS196" i="3"/>
  <c r="AO197" i="3"/>
  <c r="P197" i="3"/>
  <c r="I197" i="3"/>
  <c r="AJ197" i="3" s="1"/>
  <c r="AT197" i="3"/>
  <c r="N197" i="3"/>
  <c r="AK197" i="3" s="1"/>
  <c r="AR197" i="3" l="1"/>
  <c r="AQ197" i="3" s="1"/>
  <c r="AU197" i="3" s="1"/>
  <c r="AV197" i="3"/>
  <c r="O197" i="3"/>
  <c r="AN197" i="3"/>
  <c r="AL198" i="3"/>
  <c r="AW197" i="3" l="1"/>
  <c r="AO198" i="3"/>
  <c r="AM198" i="3"/>
  <c r="P198" i="3"/>
  <c r="AS197" i="3"/>
  <c r="I198" i="3"/>
  <c r="AJ198" i="3" s="1"/>
  <c r="AT198" i="3"/>
  <c r="AV198" i="3" s="1"/>
  <c r="N198" i="3"/>
  <c r="AK198" i="3" s="1"/>
  <c r="AR198" i="3" l="1"/>
  <c r="AQ198" i="3" s="1"/>
  <c r="AU198" i="3" s="1"/>
  <c r="O198" i="3"/>
  <c r="AL199" i="3" s="1"/>
  <c r="AN198" i="3"/>
  <c r="AW198" i="3" l="1"/>
  <c r="AO199" i="3"/>
  <c r="AT199" i="3"/>
  <c r="AV199" i="3" s="1"/>
  <c r="AM199" i="3"/>
  <c r="P199" i="3"/>
  <c r="I199" i="3"/>
  <c r="AJ199" i="3" s="1"/>
  <c r="AS198" i="3"/>
  <c r="N199" i="3"/>
  <c r="AK199" i="3" s="1"/>
  <c r="AR199" i="3" l="1"/>
  <c r="AQ199" i="3" s="1"/>
  <c r="AU199" i="3" s="1"/>
  <c r="O199" i="3"/>
  <c r="AM200" i="3" s="1"/>
  <c r="AN199" i="3"/>
  <c r="AO200" i="3" l="1"/>
  <c r="AL200" i="3"/>
  <c r="AW199" i="3"/>
  <c r="P200" i="3"/>
  <c r="AT200" i="3"/>
  <c r="N200" i="3"/>
  <c r="AK200" i="3" s="1"/>
  <c r="AS199" i="3"/>
  <c r="I200" i="3"/>
  <c r="AJ200" i="3" s="1"/>
  <c r="AR200" i="3" l="1"/>
  <c r="AQ200" i="3" s="1"/>
  <c r="AU200" i="3" s="1"/>
  <c r="O200" i="3"/>
  <c r="AM201" i="3" s="1"/>
  <c r="AN200" i="3"/>
  <c r="AV200" i="3"/>
  <c r="AO201" i="3" l="1"/>
  <c r="AL201" i="3"/>
  <c r="AW200" i="3"/>
  <c r="P201" i="3"/>
  <c r="AT201" i="3"/>
  <c r="I201" i="3"/>
  <c r="AJ201" i="3" s="1"/>
  <c r="N201" i="3"/>
  <c r="AK201" i="3" s="1"/>
  <c r="AS200" i="3"/>
  <c r="AR201" i="3" l="1"/>
  <c r="AQ201" i="3" s="1"/>
  <c r="AU201" i="3" s="1"/>
  <c r="AV201" i="3"/>
  <c r="O201" i="3"/>
  <c r="AM202" i="3" s="1"/>
  <c r="AN201" i="3"/>
  <c r="AL202" i="3"/>
  <c r="AO202" i="3"/>
  <c r="AT202" i="3"/>
  <c r="P202" i="3" l="1"/>
  <c r="N202" i="3"/>
  <c r="AK202" i="3" s="1"/>
  <c r="I202" i="3"/>
  <c r="AJ202" i="3" s="1"/>
  <c r="AS201" i="3"/>
  <c r="AW201" i="3"/>
  <c r="AR202" i="3" s="1"/>
  <c r="O202" i="3"/>
  <c r="AO203" i="3" s="1"/>
  <c r="AV202" i="3"/>
  <c r="AN202" i="3" l="1"/>
  <c r="AQ202" i="3"/>
  <c r="AU202" i="3" s="1"/>
  <c r="AW202" i="3" s="1"/>
  <c r="AM203" i="3"/>
  <c r="AL203" i="3"/>
  <c r="P203" i="3"/>
  <c r="N203" i="3"/>
  <c r="AK203" i="3" s="1"/>
  <c r="AS202" i="3"/>
  <c r="I203" i="3"/>
  <c r="AJ203" i="3" s="1"/>
  <c r="AT203" i="3"/>
  <c r="AR203" i="3" l="1"/>
  <c r="AQ203" i="3" s="1"/>
  <c r="AU203" i="3" s="1"/>
  <c r="AV203" i="3"/>
  <c r="O203" i="3"/>
  <c r="AO204" i="3" s="1"/>
  <c r="AN203" i="3"/>
  <c r="AM204" i="3"/>
  <c r="AL204" i="3"/>
  <c r="P204" i="3"/>
  <c r="AS203" i="3" l="1"/>
  <c r="N204" i="3"/>
  <c r="AK204" i="3" s="1"/>
  <c r="I204" i="3"/>
  <c r="AJ204" i="3" s="1"/>
  <c r="AT204" i="3"/>
  <c r="AV204" i="3" s="1"/>
  <c r="O204" i="3"/>
  <c r="AR204" i="3" l="1"/>
  <c r="AQ204" i="3" s="1"/>
  <c r="AU204" i="3" s="1"/>
  <c r="AN204" i="3"/>
  <c r="AL205" i="3"/>
  <c r="AO205" i="3"/>
  <c r="AS204" i="3"/>
  <c r="AT205" i="3"/>
  <c r="N205" i="3"/>
  <c r="AK205" i="3" s="1"/>
  <c r="I205" i="3"/>
  <c r="P205" i="3"/>
  <c r="AW204" i="3" l="1"/>
  <c r="AR205" i="3" s="1"/>
  <c r="AV205" i="3"/>
  <c r="AJ205" i="3"/>
  <c r="AN205" i="3" s="1"/>
  <c r="O205" i="3"/>
  <c r="AQ205" i="3" l="1"/>
  <c r="AU205" i="3" s="1"/>
  <c r="AW205" i="3" s="1"/>
  <c r="AL206" i="3"/>
  <c r="AO206" i="3"/>
  <c r="I206" i="3"/>
  <c r="AJ206" i="3" s="1"/>
  <c r="AT206" i="3"/>
  <c r="N206" i="3"/>
  <c r="AK206" i="3" s="1"/>
  <c r="AS205" i="3"/>
  <c r="P206" i="3"/>
  <c r="AR206" i="3" l="1"/>
  <c r="AQ206" i="3" s="1"/>
  <c r="AU206" i="3" s="1"/>
  <c r="AV206" i="3"/>
  <c r="O206" i="3"/>
  <c r="AN206" i="3"/>
  <c r="AW206" i="3" l="1"/>
  <c r="AL207" i="3"/>
  <c r="AO207" i="3"/>
  <c r="P207" i="3"/>
  <c r="I207" i="3"/>
  <c r="AJ207" i="3" s="1"/>
  <c r="AT207" i="3"/>
  <c r="N207" i="3"/>
  <c r="AK207" i="3" s="1"/>
  <c r="AS206" i="3"/>
  <c r="AR207" i="3" l="1"/>
  <c r="AQ207" i="3" s="1"/>
  <c r="AU207" i="3" s="1"/>
  <c r="O207" i="3"/>
  <c r="AS207" i="3" s="1"/>
  <c r="AV207" i="3"/>
  <c r="AN207" i="3"/>
  <c r="AW207" i="3" l="1"/>
  <c r="P208" i="3"/>
  <c r="N208" i="3"/>
  <c r="AK208" i="3" s="1"/>
  <c r="AL208" i="3"/>
  <c r="AO208" i="3"/>
  <c r="AT208" i="3"/>
  <c r="I208" i="3"/>
  <c r="AJ208" i="3" s="1"/>
  <c r="AR208" i="3" l="1"/>
  <c r="AQ208" i="3" s="1"/>
  <c r="AU208" i="3" s="1"/>
  <c r="O208" i="3"/>
  <c r="P209" i="3" s="1"/>
  <c r="AN208" i="3"/>
  <c r="AV208" i="3"/>
  <c r="AL209" i="3"/>
  <c r="AW208" i="3" l="1"/>
  <c r="AO209" i="3"/>
  <c r="AS208" i="3"/>
  <c r="I209" i="3"/>
  <c r="AJ209" i="3" s="1"/>
  <c r="N209" i="3"/>
  <c r="AK209" i="3" s="1"/>
  <c r="AT209" i="3"/>
  <c r="AV209" i="3" s="1"/>
  <c r="AR209" i="3" l="1"/>
  <c r="AQ209" i="3" s="1"/>
  <c r="AU209" i="3" s="1"/>
  <c r="O209" i="3"/>
  <c r="I210" i="3" s="1"/>
  <c r="AJ210" i="3" s="1"/>
  <c r="AN209" i="3"/>
  <c r="AL210" i="3"/>
  <c r="P210" i="3" l="1"/>
  <c r="AO210" i="3"/>
  <c r="AW209" i="3"/>
  <c r="AT210" i="3"/>
  <c r="AV210" i="3" s="1"/>
  <c r="AS209" i="3"/>
  <c r="N210" i="3"/>
  <c r="AR210" i="3" l="1"/>
  <c r="AQ210" i="3" s="1"/>
  <c r="AU210" i="3" s="1"/>
  <c r="AK210" i="3"/>
  <c r="AN210" i="3" s="1"/>
  <c r="O210" i="3"/>
  <c r="I211" i="3" s="1"/>
  <c r="AJ211" i="3" s="1"/>
  <c r="AW210" i="3" l="1"/>
  <c r="P211" i="3"/>
  <c r="AO211" i="3"/>
  <c r="AL211" i="3"/>
  <c r="AS210" i="3"/>
  <c r="AT211" i="3"/>
  <c r="N211" i="3"/>
  <c r="AK211" i="3" s="1"/>
  <c r="AR211" i="3" l="1"/>
  <c r="AQ211" i="3" s="1"/>
  <c r="AU211" i="3" s="1"/>
  <c r="O211" i="3"/>
  <c r="N212" i="3" s="1"/>
  <c r="AK212" i="3" s="1"/>
  <c r="AN211" i="3"/>
  <c r="AV211" i="3"/>
  <c r="AL212" i="3"/>
  <c r="AO212" i="3"/>
  <c r="AW211" i="3" l="1"/>
  <c r="P212" i="3"/>
  <c r="AS211" i="3"/>
  <c r="I212" i="3"/>
  <c r="AJ212" i="3" s="1"/>
  <c r="AN212" i="3" s="1"/>
  <c r="AT212" i="3"/>
  <c r="AV212" i="3" s="1"/>
  <c r="O212" i="3"/>
  <c r="I213" i="3" s="1"/>
  <c r="AJ213" i="3" s="1"/>
  <c r="AR212" i="3" l="1"/>
  <c r="AQ212" i="3" s="1"/>
  <c r="AU212" i="3" s="1"/>
  <c r="P213" i="3"/>
  <c r="AL213" i="3"/>
  <c r="AO213" i="3"/>
  <c r="AS212" i="3"/>
  <c r="AT213" i="3"/>
  <c r="N213" i="3"/>
  <c r="AK213" i="3" s="1"/>
  <c r="AW212" i="3" l="1"/>
  <c r="AR213" i="3" s="1"/>
  <c r="O213" i="3"/>
  <c r="AT214" i="3" s="1"/>
  <c r="AN213" i="3"/>
  <c r="AV213" i="3"/>
  <c r="AL214" i="3"/>
  <c r="AQ213" i="3" l="1"/>
  <c r="AU213" i="3" s="1"/>
  <c r="N214" i="3"/>
  <c r="AK214" i="3" s="1"/>
  <c r="AS213" i="3"/>
  <c r="AO214" i="3"/>
  <c r="I214" i="3"/>
  <c r="AJ214" i="3" s="1"/>
  <c r="P214" i="3"/>
  <c r="AV214" i="3"/>
  <c r="AW213" i="3" l="1"/>
  <c r="AR214" i="3" s="1"/>
  <c r="O214" i="3"/>
  <c r="AO215" i="3" s="1"/>
  <c r="AN214" i="3"/>
  <c r="AQ214" i="3" l="1"/>
  <c r="AU214" i="3" s="1"/>
  <c r="AL215" i="3"/>
  <c r="P215" i="3"/>
  <c r="N215" i="3"/>
  <c r="AK215" i="3" s="1"/>
  <c r="I215" i="3"/>
  <c r="AJ215" i="3" s="1"/>
  <c r="AS214" i="3"/>
  <c r="AT215" i="3"/>
  <c r="AW214" i="3" l="1"/>
  <c r="O215" i="3"/>
  <c r="AO216" i="3" s="1"/>
  <c r="AN215" i="3"/>
  <c r="AV215" i="3"/>
  <c r="AR215" i="3" l="1"/>
  <c r="AQ215" i="3" s="1"/>
  <c r="AU215" i="3" s="1"/>
  <c r="AL216" i="3"/>
  <c r="P216" i="3"/>
  <c r="I216" i="3"/>
  <c r="AJ216" i="3" s="1"/>
  <c r="AT216" i="3"/>
  <c r="N216" i="3"/>
  <c r="AK216" i="3" s="1"/>
  <c r="AS215" i="3"/>
  <c r="AR216" i="3" l="1"/>
  <c r="AQ216" i="3" s="1"/>
  <c r="AU216" i="3" s="1"/>
  <c r="AV216" i="3"/>
  <c r="O216" i="3"/>
  <c r="AO217" i="3" s="1"/>
  <c r="AN216" i="3"/>
  <c r="AL217" i="3"/>
  <c r="P217" i="3"/>
  <c r="AS216" i="3" l="1"/>
  <c r="I217" i="3"/>
  <c r="AJ217" i="3" s="1"/>
  <c r="AT217" i="3"/>
  <c r="N217" i="3"/>
  <c r="AK217" i="3" s="1"/>
  <c r="AW216" i="3"/>
  <c r="O217" i="3"/>
  <c r="AO218" i="3" s="1"/>
  <c r="AV217" i="3"/>
  <c r="AR217" i="3" l="1"/>
  <c r="AQ217" i="3" s="1"/>
  <c r="AU217" i="3" s="1"/>
  <c r="AW217" i="3" s="1"/>
  <c r="AN217" i="3"/>
  <c r="AL218" i="3"/>
  <c r="P218" i="3"/>
  <c r="N218" i="3"/>
  <c r="AK218" i="3" s="1"/>
  <c r="AT218" i="3"/>
  <c r="I218" i="3"/>
  <c r="AJ218" i="3" s="1"/>
  <c r="AS217" i="3"/>
  <c r="AR218" i="3" l="1"/>
  <c r="AQ218" i="3" s="1"/>
  <c r="AU218" i="3" s="1"/>
  <c r="AW218" i="3" s="1"/>
  <c r="O218" i="3"/>
  <c r="AO219" i="3" s="1"/>
  <c r="AV218" i="3"/>
  <c r="AN218" i="3"/>
  <c r="AL219" i="3" l="1"/>
  <c r="P219" i="3"/>
  <c r="I219" i="3"/>
  <c r="AJ219" i="3" s="1"/>
  <c r="AT219" i="3"/>
  <c r="AS218" i="3"/>
  <c r="N219" i="3"/>
  <c r="AK219" i="3" s="1"/>
  <c r="AR219" i="3" l="1"/>
  <c r="AQ219" i="3" s="1"/>
  <c r="AU219" i="3" s="1"/>
  <c r="AV219" i="3"/>
  <c r="O219" i="3"/>
  <c r="AO220" i="3" s="1"/>
  <c r="AN219" i="3"/>
  <c r="AL220" i="3"/>
  <c r="P220" i="3" l="1"/>
  <c r="AS219" i="3"/>
  <c r="N220" i="3"/>
  <c r="AK220" i="3" s="1"/>
  <c r="I220" i="3"/>
  <c r="AJ220" i="3" s="1"/>
  <c r="AT220" i="3"/>
  <c r="AV220" i="3" s="1"/>
  <c r="AW219" i="3"/>
  <c r="O220" i="3"/>
  <c r="AO221" i="3" s="1"/>
  <c r="AR220" i="3" l="1"/>
  <c r="AQ220" i="3" s="1"/>
  <c r="AU220" i="3" s="1"/>
  <c r="AW220" i="3" s="1"/>
  <c r="AN220" i="3"/>
  <c r="N221" i="3"/>
  <c r="AK221" i="3" s="1"/>
  <c r="AT221" i="3"/>
  <c r="I221" i="3"/>
  <c r="AJ221" i="3" s="1"/>
  <c r="AL221" i="3"/>
  <c r="AS220" i="3"/>
  <c r="P221" i="3"/>
  <c r="AR221" i="3" l="1"/>
  <c r="AQ221" i="3" s="1"/>
  <c r="AU221" i="3" s="1"/>
  <c r="O221" i="3"/>
  <c r="AO222" i="3" s="1"/>
  <c r="AV221" i="3"/>
  <c r="AN221" i="3"/>
  <c r="AL222" i="3" l="1"/>
  <c r="AT222" i="3"/>
  <c r="P222" i="3"/>
  <c r="AS221" i="3"/>
  <c r="N222" i="3"/>
  <c r="AK222" i="3" s="1"/>
  <c r="I222" i="3"/>
  <c r="AJ222" i="3" s="1"/>
  <c r="AW221" i="3"/>
  <c r="O222" i="3"/>
  <c r="AO223" i="3" s="1"/>
  <c r="AR222" i="3" l="1"/>
  <c r="AQ222" i="3" s="1"/>
  <c r="AU222" i="3" s="1"/>
  <c r="AV222" i="3"/>
  <c r="AN222" i="3"/>
  <c r="N223" i="3"/>
  <c r="AK223" i="3" s="1"/>
  <c r="AL223" i="3"/>
  <c r="P223" i="3"/>
  <c r="AS222" i="3"/>
  <c r="I223" i="3"/>
  <c r="AJ223" i="3" s="1"/>
  <c r="AT223" i="3"/>
  <c r="AW222" i="3" l="1"/>
  <c r="AR223" i="3" s="1"/>
  <c r="O223" i="3"/>
  <c r="AO224" i="3" s="1"/>
  <c r="AV223" i="3"/>
  <c r="AN223" i="3"/>
  <c r="AQ223" i="3" l="1"/>
  <c r="AU223" i="3" s="1"/>
  <c r="AW223" i="3" s="1"/>
  <c r="AL224" i="3"/>
  <c r="P224" i="3"/>
  <c r="I224" i="3"/>
  <c r="AJ224" i="3" s="1"/>
  <c r="AS223" i="3"/>
  <c r="AT224" i="3"/>
  <c r="N224" i="3"/>
  <c r="AK224" i="3" s="1"/>
  <c r="AR224" i="3" l="1"/>
  <c r="AQ224" i="3" s="1"/>
  <c r="AU224" i="3" s="1"/>
  <c r="O224" i="3"/>
  <c r="AO225" i="3" s="1"/>
  <c r="AV224" i="3"/>
  <c r="AN224" i="3"/>
  <c r="AL225" i="3"/>
  <c r="P225" i="3" l="1"/>
  <c r="AW224" i="3"/>
  <c r="N225" i="3"/>
  <c r="AK225" i="3" s="1"/>
  <c r="AT225" i="3"/>
  <c r="AV225" i="3" s="1"/>
  <c r="AS224" i="3"/>
  <c r="I225" i="3"/>
  <c r="AJ225" i="3" s="1"/>
  <c r="AR225" i="3" l="1"/>
  <c r="AQ225" i="3" s="1"/>
  <c r="AU225" i="3" s="1"/>
  <c r="O225" i="3"/>
  <c r="AO226" i="3" s="1"/>
  <c r="AN225" i="3"/>
  <c r="AL226" i="3"/>
  <c r="P226" i="3" l="1"/>
  <c r="N226" i="3"/>
  <c r="AK226" i="3" s="1"/>
  <c r="AT226" i="3"/>
  <c r="AV226" i="3" s="1"/>
  <c r="I226" i="3"/>
  <c r="AJ226" i="3" s="1"/>
  <c r="AS225" i="3"/>
  <c r="AW225" i="3"/>
  <c r="AR226" i="3" l="1"/>
  <c r="AQ226" i="3" s="1"/>
  <c r="AU226" i="3" s="1"/>
  <c r="AW226" i="3" s="1"/>
  <c r="O226" i="3"/>
  <c r="AO227" i="3" s="1"/>
  <c r="AN226" i="3"/>
  <c r="AL227" i="3"/>
  <c r="N227" i="3" l="1"/>
  <c r="AK227" i="3" s="1"/>
  <c r="AS226" i="3"/>
  <c r="P227" i="3"/>
  <c r="I227" i="3"/>
  <c r="AJ227" i="3" s="1"/>
  <c r="AT227" i="3"/>
  <c r="AR227" i="3" l="1"/>
  <c r="AQ227" i="3" s="1"/>
  <c r="AU227" i="3" s="1"/>
  <c r="O227" i="3"/>
  <c r="I228" i="3" s="1"/>
  <c r="AJ228" i="3" s="1"/>
  <c r="AN227" i="3"/>
  <c r="AV227" i="3"/>
  <c r="P228" i="3" l="1"/>
  <c r="AS227" i="3"/>
  <c r="AT228" i="3"/>
  <c r="N228" i="3"/>
  <c r="AK228" i="3" s="1"/>
  <c r="AO228" i="3"/>
  <c r="AL228" i="3"/>
  <c r="O228" i="3"/>
  <c r="AO229" i="3" s="1"/>
  <c r="AR228" i="3" l="1"/>
  <c r="AQ228" i="3" s="1"/>
  <c r="AU228" i="3" s="1"/>
  <c r="AV228" i="3"/>
  <c r="AN228" i="3"/>
  <c r="AL229" i="3"/>
  <c r="AS228" i="3"/>
  <c r="AT229" i="3"/>
  <c r="N229" i="3"/>
  <c r="AK229" i="3" s="1"/>
  <c r="I229" i="3"/>
  <c r="AJ229" i="3" s="1"/>
  <c r="P229" i="3"/>
  <c r="AW228" i="3" l="1"/>
  <c r="O229" i="3"/>
  <c r="AL230" i="3" s="1"/>
  <c r="AV229" i="3"/>
  <c r="AN229" i="3"/>
  <c r="AO230" i="3" l="1"/>
  <c r="AR229" i="3"/>
  <c r="AQ229" i="3" s="1"/>
  <c r="AU229" i="3" s="1"/>
  <c r="AW229" i="3" s="1"/>
  <c r="P230" i="3"/>
  <c r="N230" i="3"/>
  <c r="AK230" i="3" s="1"/>
  <c r="I230" i="3"/>
  <c r="AJ230" i="3" s="1"/>
  <c r="AT230" i="3"/>
  <c r="AV230" i="3" s="1"/>
  <c r="AS229" i="3"/>
  <c r="AR230" i="3" l="1"/>
  <c r="AQ230" i="3" s="1"/>
  <c r="AU230" i="3" s="1"/>
  <c r="O230" i="3"/>
  <c r="AO231" i="3" s="1"/>
  <c r="AN230" i="3"/>
  <c r="AL231" i="3"/>
  <c r="N231" i="3" l="1"/>
  <c r="AK231" i="3" s="1"/>
  <c r="AT231" i="3"/>
  <c r="AV231" i="3" s="1"/>
  <c r="I231" i="3"/>
  <c r="AJ231" i="3" s="1"/>
  <c r="AS230" i="3"/>
  <c r="P231" i="3"/>
  <c r="AW230" i="3"/>
  <c r="AR231" i="3" l="1"/>
  <c r="AQ231" i="3" s="1"/>
  <c r="AU231" i="3" s="1"/>
  <c r="AW231" i="3" s="1"/>
  <c r="O231" i="3"/>
  <c r="AN231" i="3"/>
  <c r="AO232" i="3" l="1"/>
  <c r="AL232" i="3"/>
  <c r="I232" i="3"/>
  <c r="AJ232" i="3" s="1"/>
  <c r="AS231" i="3"/>
  <c r="AT232" i="3"/>
  <c r="N232" i="3"/>
  <c r="AK232" i="3" s="1"/>
  <c r="P232" i="3"/>
  <c r="O232" i="3"/>
  <c r="AO233" i="3" s="1"/>
  <c r="AV232" i="3" l="1"/>
  <c r="AN232" i="3"/>
  <c r="AL233" i="3"/>
  <c r="AR232" i="3"/>
  <c r="AQ232" i="3" s="1"/>
  <c r="AU232" i="3" s="1"/>
  <c r="P233" i="3"/>
  <c r="I233" i="3"/>
  <c r="AJ233" i="3" s="1"/>
  <c r="AS232" i="3"/>
  <c r="N233" i="3"/>
  <c r="AK233" i="3" s="1"/>
  <c r="AT233" i="3"/>
  <c r="AW232" i="3" l="1"/>
  <c r="AR233" i="3" s="1"/>
  <c r="AQ233" i="3" s="1"/>
  <c r="AU233" i="3" s="1"/>
  <c r="O233" i="3"/>
  <c r="AO234" i="3" s="1"/>
  <c r="AV233" i="3"/>
  <c r="AN233" i="3"/>
  <c r="AL234" i="3"/>
  <c r="AW233" i="3" l="1"/>
  <c r="P234" i="3"/>
  <c r="I234" i="3"/>
  <c r="AJ234" i="3" s="1"/>
  <c r="AT234" i="3"/>
  <c r="AV234" i="3" s="1"/>
  <c r="AS233" i="3"/>
  <c r="N234" i="3"/>
  <c r="AK234" i="3" s="1"/>
  <c r="O234" i="3" l="1"/>
  <c r="AO235" i="3" s="1"/>
  <c r="AN234" i="3"/>
  <c r="AR234" i="3"/>
  <c r="AQ234" i="3" s="1"/>
  <c r="AU234" i="3" s="1"/>
  <c r="AW234" i="3" s="1"/>
  <c r="AL235" i="3"/>
  <c r="P235" i="3" l="1"/>
  <c r="AT235" i="3"/>
  <c r="I235" i="3"/>
  <c r="AJ235" i="3" s="1"/>
  <c r="AS234" i="3"/>
  <c r="N235" i="3"/>
  <c r="AK235" i="3" s="1"/>
  <c r="AR235" i="3" l="1"/>
  <c r="AQ235" i="3" s="1"/>
  <c r="AU235" i="3" s="1"/>
  <c r="AV235" i="3"/>
  <c r="AN235" i="3"/>
  <c r="O235" i="3"/>
  <c r="AO236" i="3" s="1"/>
  <c r="AL236" i="3"/>
  <c r="P236" i="3" l="1"/>
  <c r="AW235" i="3"/>
  <c r="I236" i="3"/>
  <c r="AJ236" i="3" s="1"/>
  <c r="N236" i="3"/>
  <c r="AK236" i="3" s="1"/>
  <c r="AT236" i="3"/>
  <c r="AV236" i="3" s="1"/>
  <c r="AS235" i="3"/>
  <c r="O236" i="3" l="1"/>
  <c r="AO237" i="3" s="1"/>
  <c r="AN236" i="3"/>
  <c r="AR236" i="3"/>
  <c r="AQ236" i="3" s="1"/>
  <c r="AU236" i="3" s="1"/>
  <c r="AW236" i="3" s="1"/>
  <c r="AL237" i="3"/>
  <c r="P237" i="3" l="1"/>
  <c r="AT237" i="3"/>
  <c r="AV237" i="3" s="1"/>
  <c r="I237" i="3"/>
  <c r="AJ237" i="3" s="1"/>
  <c r="AS236" i="3"/>
  <c r="N237" i="3"/>
  <c r="AK237" i="3" s="1"/>
  <c r="AN237" i="3" l="1"/>
  <c r="O237" i="3"/>
  <c r="N238" i="3" s="1"/>
  <c r="AK238" i="3" s="1"/>
  <c r="AR237" i="3"/>
  <c r="AQ237" i="3" s="1"/>
  <c r="AU237" i="3" s="1"/>
  <c r="AW237" i="3" s="1"/>
  <c r="P238" i="3" l="1"/>
  <c r="AT238" i="3"/>
  <c r="I238" i="3"/>
  <c r="AJ238" i="3" s="1"/>
  <c r="AS237" i="3"/>
  <c r="AO238" i="3"/>
  <c r="AL238" i="3"/>
  <c r="O238" i="3"/>
  <c r="AT239" i="3" s="1"/>
  <c r="AL239" i="3"/>
  <c r="AO239" i="3" l="1"/>
  <c r="P239" i="3"/>
  <c r="AV238" i="3"/>
  <c r="AN238" i="3"/>
  <c r="AR238" i="3"/>
  <c r="AQ238" i="3" s="1"/>
  <c r="AU238" i="3" s="1"/>
  <c r="AW238" i="3" s="1"/>
  <c r="N239" i="3"/>
  <c r="AK239" i="3" s="1"/>
  <c r="AS238" i="3"/>
  <c r="I239" i="3"/>
  <c r="AJ239" i="3" s="1"/>
  <c r="AV239" i="3"/>
  <c r="AN239" i="3" l="1"/>
  <c r="O239" i="3"/>
  <c r="N240" i="3" s="1"/>
  <c r="AK240" i="3" s="1"/>
  <c r="AR239" i="3"/>
  <c r="AQ239" i="3" s="1"/>
  <c r="AU239" i="3" s="1"/>
  <c r="AL240" i="3"/>
  <c r="P240" i="3" l="1"/>
  <c r="AO240" i="3"/>
  <c r="AS239" i="3"/>
  <c r="AT240" i="3"/>
  <c r="AV240" i="3" s="1"/>
  <c r="I240" i="3"/>
  <c r="AJ240" i="3" s="1"/>
  <c r="AN240" i="3" s="1"/>
  <c r="AM241" i="3"/>
  <c r="O240" i="3" l="1"/>
  <c r="P241" i="3" s="1"/>
  <c r="AR240" i="3"/>
  <c r="AQ240" i="3" s="1"/>
  <c r="AU240" i="3" s="1"/>
  <c r="AW240" i="3" s="1"/>
  <c r="AT241" i="3" l="1"/>
  <c r="AO241" i="3"/>
  <c r="AL241" i="3"/>
  <c r="AS240" i="3"/>
  <c r="I241" i="3"/>
  <c r="AJ241" i="3" s="1"/>
  <c r="N241" i="3"/>
  <c r="AK241" i="3" s="1"/>
  <c r="O241" i="3" l="1"/>
  <c r="AO242" i="3" s="1"/>
  <c r="AV241" i="3"/>
  <c r="AR241" i="3"/>
  <c r="AQ241" i="3" s="1"/>
  <c r="AU241" i="3" s="1"/>
  <c r="AL242" i="3"/>
  <c r="AN241" i="3"/>
  <c r="P242" i="3" l="1"/>
  <c r="I242" i="3"/>
  <c r="AJ242" i="3" s="1"/>
  <c r="AS241" i="3"/>
  <c r="AT242" i="3"/>
  <c r="AV242" i="3" s="1"/>
  <c r="N242" i="3"/>
  <c r="AK242" i="3" s="1"/>
  <c r="AW241" i="3"/>
  <c r="AM243" i="3"/>
  <c r="O242" i="3" l="1"/>
  <c r="AN242" i="3"/>
  <c r="AR242" i="3"/>
  <c r="AQ242" i="3" s="1"/>
  <c r="AU242" i="3" s="1"/>
  <c r="AW242" i="3" s="1"/>
  <c r="I243" i="3" l="1"/>
  <c r="AJ243" i="3" s="1"/>
  <c r="AL243" i="3"/>
  <c r="AO243" i="3"/>
  <c r="N243" i="3"/>
  <c r="AK243" i="3" s="1"/>
  <c r="AS242" i="3"/>
  <c r="AT243" i="3"/>
  <c r="P243" i="3"/>
  <c r="O243" i="3" l="1"/>
  <c r="I244" i="3" s="1"/>
  <c r="AJ244" i="3" s="1"/>
  <c r="AV243" i="3"/>
  <c r="AN243" i="3"/>
  <c r="AL244" i="3"/>
  <c r="AR243" i="3"/>
  <c r="AQ243" i="3" s="1"/>
  <c r="AU243" i="3" s="1"/>
  <c r="AW243" i="3" s="1"/>
  <c r="AO244" i="3" l="1"/>
  <c r="AS243" i="3"/>
  <c r="N244" i="3"/>
  <c r="AK244" i="3" s="1"/>
  <c r="AN244" i="3" s="1"/>
  <c r="AT244" i="3"/>
  <c r="AV244" i="3" s="1"/>
  <c r="P244" i="3"/>
  <c r="O244" i="3" l="1"/>
  <c r="AS244" i="3" s="1"/>
  <c r="AR244" i="3"/>
  <c r="AQ244" i="3" s="1"/>
  <c r="AU244" i="3" s="1"/>
  <c r="AW244" i="3" s="1"/>
  <c r="AM245" i="3"/>
  <c r="AL245" i="3"/>
  <c r="AO245" i="3"/>
  <c r="P245" i="3" l="1"/>
  <c r="I245" i="3"/>
  <c r="AJ245" i="3" s="1"/>
  <c r="AT245" i="3"/>
  <c r="AR245" i="3" s="1"/>
  <c r="AQ245" i="3" s="1"/>
  <c r="N245" i="3"/>
  <c r="AK245" i="3" s="1"/>
  <c r="AU245" i="3" l="1"/>
  <c r="O245" i="3"/>
  <c r="I246" i="3" s="1"/>
  <c r="AN245" i="3"/>
  <c r="AV245" i="3"/>
  <c r="AL246" i="3"/>
  <c r="AO246" i="3"/>
  <c r="AW245" i="3" l="1"/>
  <c r="AS245" i="3"/>
  <c r="AT246" i="3"/>
  <c r="N246" i="3"/>
  <c r="AK246" i="3" s="1"/>
  <c r="P246" i="3"/>
  <c r="AJ246" i="3"/>
  <c r="O246" i="3"/>
  <c r="AV246" i="3"/>
  <c r="AR246" i="3" l="1"/>
  <c r="AQ246" i="3" s="1"/>
  <c r="AU246" i="3" s="1"/>
  <c r="AW246" i="3" s="1"/>
  <c r="AN246" i="3"/>
  <c r="P247" i="3"/>
  <c r="AL247" i="3"/>
  <c r="AO247" i="3"/>
  <c r="AS246" i="3"/>
  <c r="AT247" i="3"/>
  <c r="I247" i="3"/>
  <c r="N247" i="3"/>
  <c r="AK247" i="3" s="1"/>
  <c r="AV247" i="3" l="1"/>
  <c r="AJ247" i="3"/>
  <c r="AN247" i="3" s="1"/>
  <c r="O247" i="3"/>
  <c r="AR247" i="3"/>
  <c r="AQ247" i="3" s="1"/>
  <c r="AU247" i="3" s="1"/>
  <c r="AW247" i="3" s="1"/>
  <c r="AO248" i="3" l="1"/>
  <c r="I248" i="3"/>
  <c r="AJ248" i="3" s="1"/>
  <c r="AT248" i="3"/>
  <c r="N248" i="3"/>
  <c r="AK248" i="3" s="1"/>
  <c r="P248" i="3"/>
  <c r="AL248" i="3"/>
  <c r="O248" i="3"/>
  <c r="AS247" i="3"/>
  <c r="AV248" i="3" l="1"/>
  <c r="AN248" i="3"/>
  <c r="AR248" i="3"/>
  <c r="AQ248" i="3" s="1"/>
  <c r="AU248" i="3" s="1"/>
  <c r="AS248" i="3"/>
  <c r="P249" i="3"/>
  <c r="N249" i="3"/>
  <c r="AK249" i="3" s="1"/>
  <c r="AT249" i="3"/>
  <c r="AO249" i="3"/>
  <c r="I249" i="3"/>
  <c r="AJ249" i="3" s="1"/>
  <c r="AL249" i="3"/>
  <c r="AM250" i="3"/>
  <c r="AW248" i="3" l="1"/>
  <c r="AR249" i="3" s="1"/>
  <c r="AQ249" i="3" s="1"/>
  <c r="AU249" i="3" s="1"/>
  <c r="AV249" i="3"/>
  <c r="AN249" i="3"/>
  <c r="O249" i="3"/>
  <c r="AW249" i="3" l="1"/>
  <c r="AO250" i="3"/>
  <c r="I250" i="3"/>
  <c r="N250" i="3"/>
  <c r="AK250" i="3" s="1"/>
  <c r="P250" i="3"/>
  <c r="AT250" i="3"/>
  <c r="AS249" i="3"/>
  <c r="AL250" i="3"/>
  <c r="AJ250" i="3" l="1"/>
  <c r="AN250" i="3" s="1"/>
  <c r="O250" i="3"/>
  <c r="AR250" i="3"/>
  <c r="AQ250" i="3" s="1"/>
  <c r="AU250" i="3" s="1"/>
  <c r="AW250" i="3" s="1"/>
  <c r="AV250" i="3"/>
  <c r="AS250" i="3" l="1"/>
  <c r="P251" i="3"/>
  <c r="AO251" i="3"/>
  <c r="AL251" i="3"/>
  <c r="I251" i="3"/>
  <c r="AT251" i="3"/>
  <c r="N251" i="3"/>
  <c r="AK251" i="3" s="1"/>
  <c r="AM252" i="3"/>
  <c r="AV251" i="3" l="1"/>
  <c r="AJ251" i="3"/>
  <c r="AN251" i="3" s="1"/>
  <c r="O251" i="3"/>
  <c r="AR251" i="3"/>
  <c r="AQ251" i="3" s="1"/>
  <c r="AU251" i="3" s="1"/>
  <c r="AM253" i="3"/>
  <c r="AL252" i="3" l="1"/>
  <c r="P252" i="3"/>
  <c r="AT252" i="3"/>
  <c r="AS251" i="3"/>
  <c r="N252" i="3"/>
  <c r="AK252" i="3" s="1"/>
  <c r="I252" i="3"/>
  <c r="AO252" i="3"/>
  <c r="AR252" i="3" l="1"/>
  <c r="AQ252" i="3" s="1"/>
  <c r="AU252" i="3" s="1"/>
  <c r="AV252" i="3"/>
  <c r="AJ252" i="3"/>
  <c r="AN252" i="3" s="1"/>
  <c r="O252" i="3"/>
  <c r="AM254" i="3"/>
  <c r="AW252" i="3" l="1"/>
  <c r="I253" i="3"/>
  <c r="AJ253" i="3" s="1"/>
  <c r="AL253" i="3"/>
  <c r="AT253" i="3"/>
  <c r="AS252" i="3"/>
  <c r="P253" i="3"/>
  <c r="N253" i="3"/>
  <c r="AK253" i="3" s="1"/>
  <c r="AO253" i="3"/>
  <c r="AN253" i="3" l="1"/>
  <c r="O253" i="3"/>
  <c r="AV253" i="3"/>
  <c r="AR253" i="3"/>
  <c r="AQ253" i="3" s="1"/>
  <c r="AU253" i="3" s="1"/>
  <c r="AW253" i="3" s="1"/>
  <c r="AM255" i="3"/>
  <c r="AL254" i="3" l="1"/>
  <c r="N254" i="3"/>
  <c r="AK254" i="3" s="1"/>
  <c r="I254" i="3"/>
  <c r="AJ254" i="3" s="1"/>
  <c r="P254" i="3"/>
  <c r="AS253" i="3"/>
  <c r="AT254" i="3"/>
  <c r="AO254" i="3"/>
  <c r="O254" i="3"/>
  <c r="AV254" i="3" l="1"/>
  <c r="AN254" i="3"/>
  <c r="AR254" i="3"/>
  <c r="AQ254" i="3" s="1"/>
  <c r="AU254" i="3" s="1"/>
  <c r="AT255" i="3"/>
  <c r="AO255" i="3"/>
  <c r="P255" i="3"/>
  <c r="N255" i="3"/>
  <c r="AK255" i="3" s="1"/>
  <c r="I255" i="3"/>
  <c r="AJ255" i="3" s="1"/>
  <c r="AS254" i="3"/>
  <c r="AL255" i="3"/>
  <c r="AM256" i="3"/>
  <c r="AW254" i="3" l="1"/>
  <c r="AR255" i="3" s="1"/>
  <c r="AQ255" i="3" s="1"/>
  <c r="AU255" i="3" s="1"/>
  <c r="AW255" i="3" s="1"/>
  <c r="AN255" i="3"/>
  <c r="AV255" i="3"/>
  <c r="O255" i="3"/>
  <c r="I256" i="3" l="1"/>
  <c r="AT256" i="3"/>
  <c r="AL256" i="3"/>
  <c r="N256" i="3"/>
  <c r="AK256" i="3" s="1"/>
  <c r="P256" i="3"/>
  <c r="AO256" i="3"/>
  <c r="AS255" i="3"/>
  <c r="AR256" i="3" l="1"/>
  <c r="AQ256" i="3" s="1"/>
  <c r="AU256" i="3" s="1"/>
  <c r="AV256" i="3"/>
  <c r="AJ256" i="3"/>
  <c r="AN256" i="3" s="1"/>
  <c r="O256" i="3"/>
  <c r="P257" i="3" s="1"/>
  <c r="AW256" i="3" l="1"/>
  <c r="AO257" i="3"/>
  <c r="AL257" i="3"/>
  <c r="AS256" i="3"/>
  <c r="I257" i="3"/>
  <c r="AT257" i="3"/>
  <c r="N257" i="3"/>
  <c r="AK257" i="3" s="1"/>
  <c r="AM257" i="3"/>
  <c r="AV257" i="3" l="1"/>
  <c r="AJ257" i="3"/>
  <c r="AN257" i="3" s="1"/>
  <c r="O257" i="3"/>
  <c r="P258" i="3" s="1"/>
  <c r="AR257" i="3"/>
  <c r="AQ257" i="3" s="1"/>
  <c r="AU257" i="3" s="1"/>
  <c r="AW257" i="3" l="1"/>
  <c r="AO258" i="3"/>
  <c r="AT258" i="3"/>
  <c r="AS257" i="3"/>
  <c r="I258" i="3"/>
  <c r="AM258" i="3"/>
  <c r="N258" i="3"/>
  <c r="AK258" i="3" s="1"/>
  <c r="AL258" i="3"/>
  <c r="AJ258" i="3" l="1"/>
  <c r="AN258" i="3" s="1"/>
  <c r="O258" i="3"/>
  <c r="AR258" i="3"/>
  <c r="AQ258" i="3" s="1"/>
  <c r="AU258" i="3" s="1"/>
  <c r="AV258" i="3"/>
  <c r="P264" i="3"/>
  <c r="AW258" i="3" l="1"/>
  <c r="AO259" i="3"/>
  <c r="P259" i="3"/>
  <c r="I259" i="3"/>
  <c r="AT259" i="3"/>
  <c r="N259" i="3"/>
  <c r="AK259" i="3" s="1"/>
  <c r="AS258" i="3"/>
  <c r="AL259" i="3"/>
  <c r="O264" i="3"/>
  <c r="AO265" i="3" s="1"/>
  <c r="AR259" i="3" l="1"/>
  <c r="AQ259" i="3" s="1"/>
  <c r="AU259" i="3" s="1"/>
  <c r="AJ259" i="3"/>
  <c r="AN259" i="3" s="1"/>
  <c r="O259" i="3"/>
  <c r="AV259" i="3"/>
  <c r="P265" i="3"/>
  <c r="AT265" i="3"/>
  <c r="I265" i="3"/>
  <c r="AJ265" i="3" s="1"/>
  <c r="AL265" i="3"/>
  <c r="N265" i="3"/>
  <c r="AK265" i="3" s="1"/>
  <c r="AS264" i="3"/>
  <c r="AT260" i="3" l="1"/>
  <c r="P260" i="3"/>
  <c r="AL260" i="3"/>
  <c r="N260" i="3"/>
  <c r="AK260" i="3" s="1"/>
  <c r="I260" i="3"/>
  <c r="AJ260" i="3" s="1"/>
  <c r="AS259" i="3"/>
  <c r="O260" i="3"/>
  <c r="AO260" i="3"/>
  <c r="AW259" i="3"/>
  <c r="AR265" i="3"/>
  <c r="AN265" i="3"/>
  <c r="AV265" i="3"/>
  <c r="O265" i="3"/>
  <c r="AO266" i="3" s="1"/>
  <c r="AN260" i="3" l="1"/>
  <c r="AR260" i="3"/>
  <c r="AQ260" i="3" s="1"/>
  <c r="AU260" i="3" s="1"/>
  <c r="AV260" i="3"/>
  <c r="P261" i="3"/>
  <c r="AT261" i="3"/>
  <c r="AS260" i="3"/>
  <c r="AL261" i="3"/>
  <c r="I261" i="3"/>
  <c r="AJ261" i="3" s="1"/>
  <c r="AO261" i="3"/>
  <c r="AM261" i="3"/>
  <c r="N261" i="3"/>
  <c r="AK261" i="3" s="1"/>
  <c r="P266" i="3"/>
  <c r="AT266" i="3"/>
  <c r="I266" i="3"/>
  <c r="AJ266" i="3" s="1"/>
  <c r="N266" i="3"/>
  <c r="AK266" i="3" s="1"/>
  <c r="AL266" i="3"/>
  <c r="AS265" i="3"/>
  <c r="AV261" i="3" l="1"/>
  <c r="O261" i="3"/>
  <c r="AW260" i="3"/>
  <c r="AR261" i="3" s="1"/>
  <c r="AQ261" i="3" s="1"/>
  <c r="AN261" i="3"/>
  <c r="AR266" i="3"/>
  <c r="AN266" i="3"/>
  <c r="AV266" i="3"/>
  <c r="O266" i="3"/>
  <c r="AO267" i="3" s="1"/>
  <c r="P262" i="3" l="1"/>
  <c r="I262" i="3"/>
  <c r="AT262" i="3"/>
  <c r="N262" i="3"/>
  <c r="AK262" i="3" s="1"/>
  <c r="AL262" i="3"/>
  <c r="AS261" i="3"/>
  <c r="AM262" i="3"/>
  <c r="AO262" i="3"/>
  <c r="AU261" i="3"/>
  <c r="AW261" i="3" s="1"/>
  <c r="P267" i="3"/>
  <c r="AT267" i="3"/>
  <c r="N267" i="3"/>
  <c r="AK267" i="3" s="1"/>
  <c r="AL267" i="3"/>
  <c r="I267" i="3"/>
  <c r="AJ267" i="3" s="1"/>
  <c r="AS266" i="3"/>
  <c r="AJ262" i="3" l="1"/>
  <c r="AN262" i="3" s="1"/>
  <c r="O262" i="3"/>
  <c r="P263" i="3" s="1"/>
  <c r="AV262" i="3"/>
  <c r="AR262" i="3"/>
  <c r="AQ262" i="3" s="1"/>
  <c r="AU262" i="3" s="1"/>
  <c r="AW262" i="3" s="1"/>
  <c r="AR267" i="3"/>
  <c r="AN267" i="3"/>
  <c r="AV267" i="3"/>
  <c r="O267" i="3"/>
  <c r="AO268" i="3" s="1"/>
  <c r="AL263" i="3" l="1"/>
  <c r="AO263" i="3"/>
  <c r="AM263" i="3"/>
  <c r="N263" i="3"/>
  <c r="AK263" i="3" s="1"/>
  <c r="I263" i="3"/>
  <c r="AT263" i="3"/>
  <c r="AS262" i="3"/>
  <c r="AO264" i="3"/>
  <c r="AL264" i="3"/>
  <c r="P268" i="3"/>
  <c r="AT268" i="3"/>
  <c r="N268" i="3"/>
  <c r="AK268" i="3" s="1"/>
  <c r="AL268" i="3"/>
  <c r="I268" i="3"/>
  <c r="AJ268" i="3" s="1"/>
  <c r="AS267" i="3"/>
  <c r="AJ263" i="3" l="1"/>
  <c r="AN263" i="3" s="1"/>
  <c r="O263" i="3"/>
  <c r="AV263" i="3"/>
  <c r="AR263" i="3"/>
  <c r="AQ263" i="3" s="1"/>
  <c r="AU263" i="3" s="1"/>
  <c r="AR268" i="3"/>
  <c r="AQ264" i="3"/>
  <c r="AN268" i="3"/>
  <c r="AV268" i="3"/>
  <c r="O268" i="3"/>
  <c r="AO269" i="3" s="1"/>
  <c r="I264" i="3" l="1"/>
  <c r="AJ264" i="3" s="1"/>
  <c r="AM264" i="3"/>
  <c r="AS263" i="3"/>
  <c r="AT264" i="3"/>
  <c r="N264" i="3"/>
  <c r="AK264" i="3" s="1"/>
  <c r="AU264" i="3"/>
  <c r="AV264" i="3"/>
  <c r="AQ265" i="3"/>
  <c r="AU265" i="3" s="1"/>
  <c r="P269" i="3"/>
  <c r="AT269" i="3"/>
  <c r="N269" i="3"/>
  <c r="AK269" i="3" s="1"/>
  <c r="I269" i="3"/>
  <c r="AJ269" i="3" s="1"/>
  <c r="AL269" i="3"/>
  <c r="AS268" i="3"/>
  <c r="AR264" i="3" l="1"/>
  <c r="AN264" i="3"/>
  <c r="AR269" i="3"/>
  <c r="AQ266" i="3"/>
  <c r="AU266" i="3" s="1"/>
  <c r="AV269" i="3"/>
  <c r="AN269" i="3"/>
  <c r="O269" i="3"/>
  <c r="AO270" i="3" s="1"/>
  <c r="AQ269" i="3"/>
  <c r="AQ267" i="3" l="1"/>
  <c r="AU267" i="3" s="1"/>
  <c r="P270" i="3"/>
  <c r="AT270" i="3"/>
  <c r="AL270" i="3"/>
  <c r="I270" i="3"/>
  <c r="AJ270" i="3" s="1"/>
  <c r="N270" i="3"/>
  <c r="AK270" i="3" s="1"/>
  <c r="AS269" i="3"/>
  <c r="AR270" i="3" l="1"/>
  <c r="AQ268" i="3"/>
  <c r="AU268" i="3" s="1"/>
  <c r="AN270" i="3"/>
  <c r="AV270" i="3"/>
  <c r="O270" i="3"/>
  <c r="AO271" i="3" s="1"/>
  <c r="AQ270" i="3"/>
  <c r="AU269" i="3" l="1"/>
  <c r="P271" i="3"/>
  <c r="AT271" i="3"/>
  <c r="AL271" i="3"/>
  <c r="I271" i="3"/>
  <c r="AJ271" i="3" s="1"/>
  <c r="N271" i="3"/>
  <c r="AK271" i="3" s="1"/>
  <c r="AS270" i="3"/>
  <c r="AR271" i="3" l="1"/>
  <c r="AU270" i="3"/>
  <c r="AV271" i="3"/>
  <c r="AN271" i="3"/>
  <c r="O271" i="3"/>
  <c r="AO272" i="3" s="1"/>
  <c r="AQ271" i="3"/>
  <c r="AU271" i="3" l="1"/>
  <c r="P272" i="3"/>
  <c r="AT272" i="3"/>
  <c r="I272" i="3"/>
  <c r="AJ272" i="3" s="1"/>
  <c r="AL272" i="3"/>
  <c r="N272" i="3"/>
  <c r="AK272" i="3" s="1"/>
  <c r="AS271" i="3"/>
  <c r="AR272" i="3" l="1"/>
  <c r="AN272" i="3"/>
  <c r="AV272" i="3"/>
  <c r="O272" i="3"/>
  <c r="AO273" i="3" s="1"/>
  <c r="AQ272" i="3"/>
  <c r="AU272" i="3" s="1"/>
  <c r="P273" i="3" l="1"/>
  <c r="AT273" i="3"/>
  <c r="N273" i="3"/>
  <c r="AK273" i="3" s="1"/>
  <c r="AL273" i="3"/>
  <c r="I273" i="3"/>
  <c r="AJ273" i="3" s="1"/>
  <c r="AS272" i="3"/>
  <c r="AR273" i="3" l="1"/>
  <c r="AN273" i="3"/>
  <c r="AV273" i="3"/>
  <c r="O273" i="3"/>
  <c r="AO274" i="3" s="1"/>
  <c r="AQ273" i="3"/>
  <c r="AU273" i="3" s="1"/>
  <c r="P274" i="3" l="1"/>
  <c r="AT274" i="3"/>
  <c r="AL274" i="3"/>
  <c r="I274" i="3"/>
  <c r="AJ274" i="3" s="1"/>
  <c r="N274" i="3"/>
  <c r="AK274" i="3" s="1"/>
  <c r="AS273" i="3"/>
  <c r="AR274" i="3" l="1"/>
  <c r="AN274" i="3"/>
  <c r="AV274" i="3"/>
  <c r="AQ274" i="3"/>
  <c r="AU274" i="3" s="1"/>
  <c r="O274" i="3"/>
  <c r="AO275" i="3" s="1"/>
  <c r="P275" i="3" l="1"/>
  <c r="AT275" i="3"/>
  <c r="I275" i="3"/>
  <c r="AJ275" i="3" s="1"/>
  <c r="AL275" i="3"/>
  <c r="N275" i="3"/>
  <c r="AK275" i="3" s="1"/>
  <c r="AS274" i="3"/>
  <c r="AR275" i="3" l="1"/>
  <c r="AN275" i="3"/>
  <c r="AV275" i="3"/>
  <c r="AQ275" i="3"/>
  <c r="AU275" i="3" s="1"/>
  <c r="O275" i="3"/>
  <c r="AO276" i="3" s="1"/>
  <c r="P276" i="3" l="1"/>
  <c r="AT276" i="3"/>
  <c r="I276" i="3"/>
  <c r="AJ276" i="3" s="1"/>
  <c r="N276" i="3"/>
  <c r="AK276" i="3" s="1"/>
  <c r="AL276" i="3"/>
  <c r="AS275" i="3"/>
  <c r="AR276" i="3" l="1"/>
  <c r="AN276" i="3"/>
  <c r="AV276" i="3"/>
  <c r="O276" i="3"/>
  <c r="AO277" i="3" s="1"/>
  <c r="AQ276" i="3"/>
  <c r="AU276" i="3" s="1"/>
  <c r="P277" i="3" l="1"/>
  <c r="AT277" i="3"/>
  <c r="N277" i="3"/>
  <c r="AK277" i="3" s="1"/>
  <c r="AL277" i="3"/>
  <c r="I277" i="3"/>
  <c r="AJ277" i="3" s="1"/>
  <c r="AS276" i="3"/>
  <c r="AR277" i="3" l="1"/>
  <c r="AN277" i="3"/>
  <c r="AV277" i="3"/>
  <c r="AQ277" i="3"/>
  <c r="AU277" i="3" s="1"/>
  <c r="O277" i="3"/>
  <c r="AO278" i="3" s="1"/>
  <c r="P278" i="3" l="1"/>
  <c r="AT278" i="3"/>
  <c r="N278" i="3"/>
  <c r="AK278" i="3" s="1"/>
  <c r="I278" i="3"/>
  <c r="AJ278" i="3" s="1"/>
  <c r="AL278" i="3"/>
  <c r="AS277" i="3"/>
  <c r="AR278" i="3" l="1"/>
  <c r="AN278" i="3"/>
  <c r="AV278" i="3"/>
  <c r="O278" i="3"/>
  <c r="AO279" i="3" s="1"/>
  <c r="AQ278" i="3"/>
  <c r="AU278" i="3" s="1"/>
  <c r="P279" i="3" l="1"/>
  <c r="AT279" i="3"/>
  <c r="N279" i="3"/>
  <c r="AK279" i="3" s="1"/>
  <c r="I279" i="3"/>
  <c r="AJ279" i="3" s="1"/>
  <c r="AL279" i="3"/>
  <c r="AS278" i="3"/>
  <c r="AR279" i="3" l="1"/>
  <c r="AN279" i="3"/>
  <c r="AQ279" i="3"/>
  <c r="AU279" i="3" s="1"/>
  <c r="AV279" i="3"/>
  <c r="O279" i="3"/>
  <c r="AO280" i="3" s="1"/>
  <c r="P280" i="3" l="1"/>
  <c r="AT280" i="3"/>
  <c r="AL280" i="3"/>
  <c r="I280" i="3"/>
  <c r="AJ280" i="3" s="1"/>
  <c r="N280" i="3"/>
  <c r="AK280" i="3" s="1"/>
  <c r="AS279" i="3"/>
  <c r="AR280" i="3" l="1"/>
  <c r="AN280" i="3"/>
  <c r="AV280" i="3"/>
  <c r="O280" i="3"/>
  <c r="AO281" i="3" s="1"/>
  <c r="AQ280" i="3"/>
  <c r="AU280" i="3" s="1"/>
  <c r="P281" i="3" l="1"/>
  <c r="O281" i="3"/>
  <c r="AO282" i="3" s="1"/>
  <c r="AT281" i="3"/>
  <c r="AL281" i="3"/>
  <c r="N281" i="3"/>
  <c r="AK281" i="3" s="1"/>
  <c r="I281" i="3"/>
  <c r="AJ281" i="3" s="1"/>
  <c r="AS280" i="3"/>
  <c r="AR281" i="3" l="1"/>
  <c r="AN281" i="3"/>
  <c r="AV281" i="3"/>
  <c r="P282" i="3"/>
  <c r="AT282" i="3"/>
  <c r="N282" i="3"/>
  <c r="AK282" i="3" s="1"/>
  <c r="AL282" i="3"/>
  <c r="I282" i="3"/>
  <c r="AJ282" i="3" s="1"/>
  <c r="AS281" i="3"/>
  <c r="AQ281" i="3"/>
  <c r="AU281" i="3" s="1"/>
  <c r="AR282" i="3" l="1"/>
  <c r="AN282" i="3"/>
  <c r="AV282" i="3"/>
  <c r="O282" i="3"/>
  <c r="AO283" i="3" s="1"/>
  <c r="AQ282" i="3" l="1"/>
  <c r="AU282" i="3" s="1"/>
  <c r="P283" i="3"/>
  <c r="AT283" i="3"/>
  <c r="N283" i="3"/>
  <c r="AK283" i="3" s="1"/>
  <c r="I283" i="3"/>
  <c r="AJ283" i="3" s="1"/>
  <c r="AL283" i="3"/>
  <c r="AS282" i="3"/>
  <c r="AR283" i="3" l="1"/>
  <c r="AN283" i="3"/>
  <c r="AV283" i="3"/>
  <c r="AQ283" i="3"/>
  <c r="AU283" i="3" s="1"/>
  <c r="O283" i="3"/>
  <c r="AO284" i="3" s="1"/>
  <c r="P284" i="3" l="1"/>
  <c r="AT284" i="3"/>
  <c r="I284" i="3"/>
  <c r="AJ284" i="3" s="1"/>
  <c r="N284" i="3"/>
  <c r="AK284" i="3" s="1"/>
  <c r="AL284" i="3"/>
  <c r="AS283" i="3"/>
  <c r="AR284" i="3" l="1"/>
  <c r="AN284" i="3"/>
  <c r="AV284" i="3"/>
  <c r="O284" i="3"/>
  <c r="AO285" i="3" s="1"/>
  <c r="AQ284" i="3"/>
  <c r="AU284" i="3" s="1"/>
  <c r="P285" i="3" l="1"/>
  <c r="AT285" i="3"/>
  <c r="N285" i="3"/>
  <c r="AK285" i="3" s="1"/>
  <c r="I285" i="3"/>
  <c r="AJ285" i="3" s="1"/>
  <c r="AL285" i="3"/>
  <c r="AS284" i="3"/>
  <c r="AR285" i="3" l="1"/>
  <c r="AN285" i="3"/>
  <c r="AV285" i="3"/>
  <c r="O285" i="3"/>
  <c r="AO286" i="3" s="1"/>
  <c r="AQ285" i="3"/>
  <c r="AU285" i="3" s="1"/>
  <c r="P286" i="3" l="1"/>
  <c r="AT286" i="3"/>
  <c r="AL286" i="3"/>
  <c r="I286" i="3"/>
  <c r="AJ286" i="3" s="1"/>
  <c r="N286" i="3"/>
  <c r="AK286" i="3" s="1"/>
  <c r="AS285" i="3"/>
  <c r="AR286" i="3" l="1"/>
  <c r="AN286" i="3"/>
  <c r="AV286" i="3"/>
  <c r="O286" i="3"/>
  <c r="AO287" i="3" s="1"/>
  <c r="AQ286" i="3"/>
  <c r="AU286" i="3" s="1"/>
  <c r="P287" i="3" l="1"/>
  <c r="AT287" i="3"/>
  <c r="N287" i="3"/>
  <c r="AK287" i="3" s="1"/>
  <c r="I287" i="3"/>
  <c r="AJ287" i="3" s="1"/>
  <c r="AL287" i="3"/>
  <c r="AS286" i="3"/>
  <c r="AR287" i="3" l="1"/>
  <c r="AN287" i="3"/>
  <c r="AV287" i="3"/>
  <c r="O287" i="3"/>
  <c r="AS287" i="3" s="1"/>
  <c r="AQ287" i="3"/>
  <c r="AZ286" i="3" l="1"/>
  <c r="AZ285" i="3" s="1"/>
  <c r="AZ284" i="3" s="1"/>
  <c r="AZ283" i="3" s="1"/>
  <c r="AZ282" i="3" s="1"/>
  <c r="AZ281" i="3" s="1"/>
  <c r="AZ280" i="3" s="1"/>
  <c r="AZ279" i="3" s="1"/>
  <c r="AZ278" i="3" s="1"/>
  <c r="AZ277" i="3" s="1"/>
  <c r="AZ276" i="3" s="1"/>
  <c r="AZ275" i="3" s="1"/>
  <c r="AZ274" i="3" s="1"/>
  <c r="AZ273" i="3" s="1"/>
  <c r="AZ272" i="3" s="1"/>
  <c r="AZ271" i="3" s="1"/>
  <c r="AZ270" i="3" s="1"/>
  <c r="AZ269" i="3" s="1"/>
  <c r="AZ268" i="3" s="1"/>
  <c r="AZ267" i="3" s="1"/>
  <c r="AZ266" i="3" s="1"/>
  <c r="AZ265" i="3" s="1"/>
  <c r="AZ264" i="3" s="1"/>
  <c r="AZ263" i="3" s="1"/>
  <c r="AZ262" i="3" s="1"/>
  <c r="AZ261" i="3" s="1"/>
  <c r="AZ260" i="3" s="1"/>
  <c r="AZ259" i="3" s="1"/>
  <c r="AZ258" i="3" s="1"/>
  <c r="AZ257" i="3" s="1"/>
  <c r="AZ256" i="3" s="1"/>
  <c r="AZ255" i="3" s="1"/>
  <c r="AZ254" i="3" s="1"/>
  <c r="AZ253" i="3" s="1"/>
  <c r="AZ252" i="3" s="1"/>
  <c r="AZ251" i="3" s="1"/>
  <c r="AZ250" i="3" s="1"/>
  <c r="AZ249" i="3" s="1"/>
  <c r="AZ248" i="3" s="1"/>
  <c r="AZ247" i="3" s="1"/>
  <c r="AZ246" i="3" s="1"/>
  <c r="AZ245" i="3" s="1"/>
  <c r="AZ244" i="3" s="1"/>
  <c r="AZ243" i="3" s="1"/>
  <c r="AZ242" i="3" s="1"/>
  <c r="AZ241" i="3" s="1"/>
  <c r="AZ240" i="3" s="1"/>
  <c r="AZ239" i="3" s="1"/>
  <c r="AZ238" i="3" s="1"/>
  <c r="AZ237" i="3" s="1"/>
  <c r="AZ236" i="3" s="1"/>
  <c r="AZ235" i="3" s="1"/>
  <c r="AZ234" i="3" s="1"/>
  <c r="AZ233" i="3" s="1"/>
  <c r="AZ232" i="3" s="1"/>
  <c r="AZ231" i="3" s="1"/>
  <c r="AZ230" i="3" s="1"/>
  <c r="AZ229" i="3" s="1"/>
  <c r="AZ228" i="3" s="1"/>
  <c r="AZ227" i="3" s="1"/>
  <c r="AZ226" i="3" s="1"/>
  <c r="AZ225" i="3" s="1"/>
  <c r="AZ224" i="3" s="1"/>
  <c r="AZ223" i="3" s="1"/>
  <c r="AZ222" i="3" s="1"/>
  <c r="AZ221" i="3" s="1"/>
  <c r="AZ220" i="3" s="1"/>
  <c r="AZ219" i="3" s="1"/>
  <c r="AZ218" i="3" s="1"/>
  <c r="AZ217" i="3" s="1"/>
  <c r="AZ216" i="3" s="1"/>
  <c r="AZ215" i="3" s="1"/>
  <c r="AZ214" i="3" s="1"/>
  <c r="AZ213" i="3" s="1"/>
  <c r="AZ212" i="3" s="1"/>
  <c r="AZ211" i="3" s="1"/>
  <c r="AZ210" i="3" s="1"/>
  <c r="AZ209" i="3" s="1"/>
  <c r="AZ208" i="3" s="1"/>
  <c r="AZ207" i="3" s="1"/>
  <c r="AZ206" i="3" s="1"/>
  <c r="AZ205" i="3" s="1"/>
  <c r="AZ204" i="3" s="1"/>
  <c r="AZ203" i="3" s="1"/>
  <c r="AZ202" i="3" s="1"/>
  <c r="AZ201" i="3" s="1"/>
  <c r="AZ200" i="3" s="1"/>
  <c r="AZ199" i="3" s="1"/>
  <c r="AZ198" i="3" s="1"/>
  <c r="AZ197" i="3" s="1"/>
  <c r="AZ196" i="3" s="1"/>
  <c r="AZ195" i="3" s="1"/>
  <c r="AZ194" i="3" s="1"/>
  <c r="AZ193" i="3" s="1"/>
  <c r="AZ192" i="3" s="1"/>
  <c r="AZ191" i="3" s="1"/>
  <c r="AZ190" i="3" s="1"/>
  <c r="AZ189" i="3" s="1"/>
  <c r="AZ188" i="3" s="1"/>
  <c r="AZ187" i="3" s="1"/>
  <c r="AZ186" i="3" s="1"/>
  <c r="AZ185" i="3" s="1"/>
  <c r="AZ184" i="3" s="1"/>
  <c r="AZ183" i="3" s="1"/>
  <c r="AZ182" i="3" s="1"/>
  <c r="AZ181" i="3" s="1"/>
  <c r="AZ180" i="3" s="1"/>
  <c r="AZ179" i="3" s="1"/>
  <c r="AZ178" i="3" s="1"/>
  <c r="AZ177" i="3" s="1"/>
  <c r="AZ176" i="3" s="1"/>
  <c r="AZ175" i="3" s="1"/>
  <c r="AZ174" i="3" s="1"/>
  <c r="AZ173" i="3" s="1"/>
  <c r="AZ172" i="3" s="1"/>
  <c r="AZ171" i="3" s="1"/>
  <c r="AZ170" i="3" s="1"/>
  <c r="AZ169" i="3" s="1"/>
  <c r="AZ168" i="3" s="1"/>
  <c r="AZ167" i="3" s="1"/>
  <c r="AZ166" i="3" s="1"/>
  <c r="AZ165" i="3" s="1"/>
  <c r="AZ164" i="3" s="1"/>
  <c r="AZ163" i="3" s="1"/>
  <c r="AZ162" i="3" s="1"/>
  <c r="AZ161" i="3" s="1"/>
  <c r="AZ160" i="3" s="1"/>
  <c r="AZ159" i="3" s="1"/>
  <c r="AZ158" i="3" s="1"/>
  <c r="AZ157" i="3" s="1"/>
  <c r="AZ156" i="3" s="1"/>
  <c r="AZ155" i="3" s="1"/>
  <c r="AZ154" i="3" s="1"/>
  <c r="AZ153" i="3" s="1"/>
  <c r="AZ152" i="3" s="1"/>
  <c r="AZ151" i="3" s="1"/>
  <c r="AZ150" i="3" s="1"/>
  <c r="AZ149" i="3" s="1"/>
  <c r="AZ148" i="3" s="1"/>
  <c r="AZ147" i="3" s="1"/>
  <c r="AZ146" i="3" s="1"/>
  <c r="AZ145" i="3" s="1"/>
  <c r="AZ144" i="3" s="1"/>
  <c r="AZ143" i="3" s="1"/>
  <c r="AZ142" i="3" s="1"/>
  <c r="AZ141" i="3" s="1"/>
  <c r="AZ140" i="3" s="1"/>
  <c r="AZ139" i="3" s="1"/>
  <c r="AZ138" i="3" s="1"/>
  <c r="AZ137" i="3" s="1"/>
  <c r="AZ136" i="3" s="1"/>
  <c r="AZ135" i="3" s="1"/>
  <c r="AZ134" i="3" s="1"/>
  <c r="AZ133" i="3" s="1"/>
  <c r="AZ132" i="3" s="1"/>
  <c r="AZ131" i="3" s="1"/>
  <c r="AZ130" i="3" s="1"/>
  <c r="AZ129" i="3" s="1"/>
  <c r="AZ128" i="3" s="1"/>
  <c r="AZ127" i="3" s="1"/>
  <c r="AZ126" i="3" s="1"/>
  <c r="AZ125" i="3" s="1"/>
  <c r="AZ124" i="3" s="1"/>
  <c r="AZ123" i="3" s="1"/>
  <c r="AZ122" i="3" s="1"/>
  <c r="AZ121" i="3" s="1"/>
  <c r="AZ120" i="3" s="1"/>
  <c r="AZ119" i="3" s="1"/>
  <c r="AZ118" i="3" s="1"/>
  <c r="AZ117" i="3" s="1"/>
  <c r="AZ116" i="3" s="1"/>
  <c r="AZ115" i="3" s="1"/>
  <c r="AZ114" i="3" s="1"/>
  <c r="AZ113" i="3" s="1"/>
  <c r="AZ112" i="3" s="1"/>
  <c r="AZ111" i="3" s="1"/>
  <c r="AZ110" i="3" s="1"/>
  <c r="AZ109" i="3" s="1"/>
  <c r="AZ108" i="3" s="1"/>
  <c r="AZ107" i="3" s="1"/>
  <c r="AZ106" i="3" s="1"/>
  <c r="AZ105" i="3" s="1"/>
  <c r="AZ104" i="3" s="1"/>
  <c r="AZ103" i="3" s="1"/>
  <c r="AZ102" i="3" s="1"/>
  <c r="AZ101" i="3" s="1"/>
  <c r="AZ100" i="3" s="1"/>
  <c r="AZ99" i="3" s="1"/>
  <c r="AZ98" i="3" s="1"/>
  <c r="AZ97" i="3" s="1"/>
  <c r="AZ96" i="3" s="1"/>
  <c r="AZ95" i="3" s="1"/>
  <c r="AZ94" i="3" s="1"/>
  <c r="AZ93" i="3" s="1"/>
  <c r="AZ92" i="3" s="1"/>
  <c r="AZ91" i="3" s="1"/>
  <c r="AZ90" i="3" s="1"/>
  <c r="AZ89" i="3" s="1"/>
  <c r="AZ88" i="3" s="1"/>
  <c r="AZ87" i="3" s="1"/>
  <c r="AZ86" i="3" s="1"/>
  <c r="AZ85" i="3" s="1"/>
  <c r="AZ84" i="3" s="1"/>
  <c r="AZ83" i="3" s="1"/>
  <c r="AZ82" i="3" s="1"/>
  <c r="AZ81" i="3" s="1"/>
  <c r="AZ80" i="3" s="1"/>
  <c r="AZ79" i="3" s="1"/>
  <c r="AZ78" i="3" s="1"/>
  <c r="AZ77" i="3" s="1"/>
  <c r="AZ76" i="3" s="1"/>
  <c r="AZ75" i="3" s="1"/>
  <c r="AZ74" i="3" s="1"/>
  <c r="AZ73" i="3" s="1"/>
  <c r="AZ72" i="3" s="1"/>
  <c r="AZ71" i="3" s="1"/>
  <c r="AZ70" i="3" s="1"/>
  <c r="AZ69" i="3" s="1"/>
  <c r="AZ68" i="3" s="1"/>
  <c r="AZ67" i="3" s="1"/>
  <c r="AZ66" i="3" s="1"/>
  <c r="AZ65" i="3" s="1"/>
  <c r="AZ64" i="3" s="1"/>
  <c r="AZ63" i="3" s="1"/>
  <c r="AZ62" i="3" s="1"/>
  <c r="AZ61" i="3" s="1"/>
  <c r="AZ60" i="3" s="1"/>
  <c r="AZ59" i="3" s="1"/>
  <c r="AZ58" i="3" s="1"/>
  <c r="AZ57" i="3" s="1"/>
  <c r="AZ56" i="3" s="1"/>
  <c r="AZ55" i="3" s="1"/>
  <c r="AZ54" i="3" s="1"/>
  <c r="AZ53" i="3" s="1"/>
  <c r="AZ52" i="3" s="1"/>
  <c r="AZ51" i="3" s="1"/>
  <c r="AZ50" i="3" s="1"/>
  <c r="AZ49" i="3" s="1"/>
  <c r="AZ48" i="3" s="1"/>
  <c r="AZ47" i="3" s="1"/>
  <c r="AZ46" i="3" s="1"/>
  <c r="AZ45" i="3" s="1"/>
  <c r="AZ44" i="3" s="1"/>
  <c r="AZ43" i="3" s="1"/>
  <c r="AZ42" i="3" s="1"/>
  <c r="AZ41" i="3" s="1"/>
  <c r="AZ40" i="3" s="1"/>
  <c r="AZ39" i="3" s="1"/>
  <c r="AZ38" i="3" s="1"/>
  <c r="AZ37" i="3" s="1"/>
  <c r="AZ36" i="3" s="1"/>
  <c r="AZ35" i="3" s="1"/>
  <c r="AZ34" i="3" s="1"/>
  <c r="AZ33" i="3" s="1"/>
  <c r="AZ32" i="3" s="1"/>
  <c r="AZ31" i="3" s="1"/>
  <c r="AZ30" i="3" s="1"/>
  <c r="AZ29" i="3" s="1"/>
  <c r="AZ28" i="3" s="1"/>
  <c r="AZ27" i="3" s="1"/>
  <c r="AZ26" i="3" s="1"/>
  <c r="AZ25" i="3" s="1"/>
  <c r="AZ24" i="3" s="1"/>
  <c r="AZ23" i="3" s="1"/>
  <c r="AZ22" i="3" s="1"/>
  <c r="AZ21" i="3" s="1"/>
  <c r="AZ20" i="3" s="1"/>
  <c r="AZ19" i="3" s="1"/>
  <c r="AZ18" i="3" s="1"/>
  <c r="AZ17" i="3" s="1"/>
  <c r="AZ16" i="3" s="1"/>
  <c r="AZ15" i="3" s="1"/>
  <c r="AZ14" i="3" s="1"/>
  <c r="AZ13" i="3" s="1"/>
  <c r="AZ12" i="3" s="1"/>
  <c r="AZ11" i="3" s="1"/>
  <c r="AU287" i="3"/>
</calcChain>
</file>

<file path=xl/sharedStrings.xml><?xml version="1.0" encoding="utf-8"?>
<sst xmlns="http://schemas.openxmlformats.org/spreadsheetml/2006/main" count="460" uniqueCount="133">
  <si>
    <t>Mixte 1 tete mod 2 TARIF A</t>
  </si>
  <si>
    <t>Output_Format</t>
  </si>
  <si>
    <t xml:space="preserve"> FORMAT_SORTIE</t>
  </si>
  <si>
    <t>NUMLINES</t>
  </si>
  <si>
    <t>VARIABLE_TYPES</t>
  </si>
  <si>
    <t>T1</t>
  </si>
  <si>
    <t>I</t>
  </si>
  <si>
    <t>N</t>
  </si>
  <si>
    <t>!</t>
  </si>
  <si>
    <t>SPCODE</t>
  </si>
  <si>
    <t>AGE_AT_ENTRY</t>
  </si>
  <si>
    <t>ANN_RIDER_PP</t>
  </si>
  <si>
    <t>ANNUAL_PREM</t>
  </si>
  <si>
    <t>INIT_PB_ACQ</t>
  </si>
  <si>
    <t>INIT_POLS_IF</t>
  </si>
  <si>
    <t>POL_TERM_Y</t>
  </si>
  <si>
    <t>PREM_FREQ</t>
  </si>
  <si>
    <t>SUM_ASSURED</t>
  </si>
  <si>
    <t>VAL_INT_PC</t>
  </si>
  <si>
    <t>ESC_RATE_PC</t>
  </si>
  <si>
    <t>DURATIONIF_M</t>
  </si>
  <si>
    <t>TEST</t>
  </si>
  <si>
    <t>TEST2</t>
  </si>
  <si>
    <t>GC1</t>
  </si>
  <si>
    <t>GC2</t>
  </si>
  <si>
    <t>GC3</t>
  </si>
  <si>
    <t>GC4</t>
  </si>
  <si>
    <t>GC5</t>
  </si>
  <si>
    <t>GC6</t>
  </si>
  <si>
    <t>GC7</t>
  </si>
  <si>
    <t>GC8</t>
  </si>
  <si>
    <t>GC9</t>
  </si>
  <si>
    <t>CODE_TABLE</t>
  </si>
  <si>
    <t>SA_AT_DTH_PC</t>
  </si>
  <si>
    <t>MTHS_TO_SALE</t>
  </si>
  <si>
    <t>SEX</t>
  </si>
  <si>
    <t>SEX2</t>
  </si>
  <si>
    <t>TEST3</t>
  </si>
  <si>
    <t>SINGLE_PREM</t>
  </si>
  <si>
    <t>*</t>
  </si>
  <si>
    <t>EKM 95</t>
  </si>
  <si>
    <t>EKF 95</t>
  </si>
  <si>
    <t>x</t>
  </si>
  <si>
    <t>qx</t>
  </si>
  <si>
    <t>qy</t>
  </si>
  <si>
    <t>Mortality</t>
  </si>
  <si>
    <t>Lapse Probability</t>
  </si>
  <si>
    <t>Date</t>
  </si>
  <si>
    <t>T</t>
  </si>
  <si>
    <t>Anos Decorridos</t>
  </si>
  <si>
    <t>Anniversary_Date</t>
  </si>
  <si>
    <t>Age Anniversary Date</t>
  </si>
  <si>
    <t>Q_EXP_PN</t>
  </si>
  <si>
    <t>Q_EXP</t>
  </si>
  <si>
    <t>Montly Death Rate</t>
  </si>
  <si>
    <t>Number of Deaths</t>
  </si>
  <si>
    <t>Annual Lapse Probability</t>
  </si>
  <si>
    <t>Premium Payment</t>
  </si>
  <si>
    <t>Aux Lapse</t>
  </si>
  <si>
    <t>Monthly Lapse Probability</t>
  </si>
  <si>
    <t>Number of Surrenders</t>
  </si>
  <si>
    <t>POL_Term_M</t>
  </si>
  <si>
    <t>Months to End</t>
  </si>
  <si>
    <t>Max Number Months</t>
  </si>
  <si>
    <t>Number Policies</t>
  </si>
  <si>
    <t>End Year</t>
  </si>
  <si>
    <t>Number In Force</t>
  </si>
  <si>
    <t>CF Premium</t>
  </si>
  <si>
    <t>Riders End Age</t>
  </si>
  <si>
    <t>lx</t>
  </si>
  <si>
    <t>lxx</t>
  </si>
  <si>
    <t>V</t>
  </si>
  <si>
    <t>Dx</t>
  </si>
  <si>
    <t>Nx</t>
  </si>
  <si>
    <t>Cx</t>
  </si>
  <si>
    <t>Mx</t>
  </si>
  <si>
    <t>PUP Age</t>
  </si>
  <si>
    <t>PUP Age + 1</t>
  </si>
  <si>
    <t>Aux Interp</t>
  </si>
  <si>
    <t>Cap PB</t>
  </si>
  <si>
    <t>Time Since Last Premium</t>
  </si>
  <si>
    <t>Charges over the Premium</t>
  </si>
  <si>
    <t>Fractionement Charge</t>
  </si>
  <si>
    <t>Premium Frequency</t>
  </si>
  <si>
    <t>Charge</t>
  </si>
  <si>
    <t>PUP t PB</t>
  </si>
  <si>
    <t>Risque En Cour PP</t>
  </si>
  <si>
    <t>Prime Pure</t>
  </si>
  <si>
    <t>Charges over the Capital</t>
  </si>
  <si>
    <t>PAP * Annuity t</t>
  </si>
  <si>
    <t>Annuity Age</t>
  </si>
  <si>
    <t>Annuity Age + 1</t>
  </si>
  <si>
    <t>Zilmer</t>
  </si>
  <si>
    <t>Prime Invetaire</t>
  </si>
  <si>
    <t>Math_Reserve</t>
  </si>
  <si>
    <t>Prov_Tech_PP</t>
  </si>
  <si>
    <t>PM Zilm</t>
  </si>
  <si>
    <t>PM_Pour_PB</t>
  </si>
  <si>
    <t xml:space="preserve">PUP t </t>
  </si>
  <si>
    <t>PUP t * Capital</t>
  </si>
  <si>
    <t>Discount Rate</t>
  </si>
  <si>
    <t>Investment Yield and PB Rate</t>
  </si>
  <si>
    <t>PB Rate</t>
  </si>
  <si>
    <t>PB Calcul</t>
  </si>
  <si>
    <t>Death Cash Flow</t>
  </si>
  <si>
    <t>Surrender Cash Flow</t>
  </si>
  <si>
    <t>Rider Cash Flow</t>
  </si>
  <si>
    <t>Claim Ratio by Cover</t>
  </si>
  <si>
    <t>Maturity Cash Flows</t>
  </si>
  <si>
    <t>Claims Cash Flow</t>
  </si>
  <si>
    <t>Comission Cash Flow</t>
  </si>
  <si>
    <t>Comission Protection Avenir</t>
  </si>
  <si>
    <t>Fixed Anual Expense</t>
  </si>
  <si>
    <t>Reserves Expenses</t>
  </si>
  <si>
    <t>Expense Inflation</t>
  </si>
  <si>
    <t>Expense Inflation Factor</t>
  </si>
  <si>
    <t>Total Expenses</t>
  </si>
  <si>
    <t>Math Reserve In Force</t>
  </si>
  <si>
    <t>Prime Pure Enc</t>
  </si>
  <si>
    <t>Prov Mat Ajust</t>
  </si>
  <si>
    <t>Reserve Expenses</t>
  </si>
  <si>
    <t>Ren Financeiro</t>
  </si>
  <si>
    <t>Prov Tech Ajust Zilm</t>
  </si>
  <si>
    <t>Yield</t>
  </si>
  <si>
    <t>Atenção PB nestes acertos de reserva para despesas</t>
  </si>
  <si>
    <t>BEL</t>
  </si>
  <si>
    <t>Discount Factor</t>
  </si>
  <si>
    <t>CF_Premiuns</t>
  </si>
  <si>
    <t>CF_Claims</t>
  </si>
  <si>
    <t>CF_Comission</t>
  </si>
  <si>
    <t>CF_Expenses</t>
  </si>
  <si>
    <t>BEL prophet</t>
  </si>
  <si>
    <t>Provision pour Management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</si>
</sst>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General_)"/>
    <numFmt numFmtId="165" formatCode="0.0000000_)"/>
    <numFmt numFmtId="166" formatCode="0.0000"/>
    <numFmt numFmtId="167" formatCode="0.000000000"/>
    <numFmt numFmtId="168" formatCode="0.00000000"/>
    <numFmt numFmtId="169" formatCode="0.000%"/>
    <numFmt numFmtId="170" formatCode="0.0000%"/>
    <numFmt numFmtId="171" formatCode="0.0000000"/>
    <numFmt numFmtId="172" formatCode="0.00000"/>
  </numFmts>
  <fonts count="11" x14ac:knownFonts="1"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Courier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4" fillId="0" borderId="0"/>
    <xf numFmtId="0" fontId="5" fillId="0" borderId="0"/>
    <xf numFmtId="164" fontId="8" fillId="0" borderId="0"/>
    <xf numFmtId="9" fontId="9" fillId="0" borderId="0" applyFont="0" applyFill="0" applyBorder="0" applyAlignment="0" applyProtection="0"/>
  </cellStyleXfs>
  <cellXfs count="35">
    <xf numFmtId="0" fontId="0" fillId="0" borderId="0" xfId="0"/>
    <xf numFmtId="0" fontId="2" fillId="0" borderId="1" xfId="1" applyFont="1" applyBorder="1" applyAlignment="1">
      <alignment horizontal="center"/>
    </xf>
    <xf numFmtId="0" fontId="3" fillId="0" borderId="1" xfId="1" applyFont="1" applyBorder="1" applyAlignment="1">
      <alignment horizontal="center"/>
    </xf>
    <xf numFmtId="0" fontId="2" fillId="0" borderId="1" xfId="2" applyFont="1" applyBorder="1" applyAlignment="1">
      <alignment horizontal="center"/>
    </xf>
    <xf numFmtId="0" fontId="5" fillId="0" borderId="0" xfId="3"/>
    <xf numFmtId="1" fontId="6" fillId="0" borderId="2" xfId="1" applyNumberFormat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1" fontId="4" fillId="0" borderId="4" xfId="1" applyNumberFormat="1" applyFont="1" applyBorder="1" applyAlignment="1">
      <alignment horizontal="center"/>
    </xf>
    <xf numFmtId="165" fontId="7" fillId="0" borderId="5" xfId="4" applyNumberFormat="1" applyFont="1" applyFill="1" applyBorder="1"/>
    <xf numFmtId="165" fontId="7" fillId="0" borderId="6" xfId="4" applyNumberFormat="1" applyFont="1" applyFill="1" applyBorder="1"/>
    <xf numFmtId="165" fontId="7" fillId="0" borderId="7" xfId="4" applyNumberFormat="1" applyFont="1" applyBorder="1"/>
    <xf numFmtId="4" fontId="4" fillId="0" borderId="0" xfId="1" applyNumberFormat="1" applyFont="1"/>
    <xf numFmtId="1" fontId="4" fillId="0" borderId="8" xfId="1" applyNumberFormat="1" applyFont="1" applyBorder="1" applyAlignment="1">
      <alignment horizontal="center"/>
    </xf>
    <xf numFmtId="165" fontId="7" fillId="0" borderId="3" xfId="4" applyNumberFormat="1" applyFont="1" applyBorder="1"/>
    <xf numFmtId="0" fontId="5" fillId="0" borderId="0" xfId="0" applyFont="1"/>
    <xf numFmtId="10" fontId="0" fillId="0" borderId="0" xfId="0" applyNumberFormat="1"/>
    <xf numFmtId="14" fontId="0" fillId="0" borderId="0" xfId="0" applyNumberFormat="1"/>
    <xf numFmtId="0" fontId="0" fillId="0" borderId="0" xfId="0" applyFill="1"/>
    <xf numFmtId="166" fontId="0" fillId="0" borderId="0" xfId="0" applyNumberFormat="1"/>
    <xf numFmtId="167" fontId="0" fillId="0" borderId="0" xfId="0" applyNumberFormat="1" applyFill="1"/>
    <xf numFmtId="0" fontId="5" fillId="0" borderId="0" xfId="3" applyFill="1"/>
    <xf numFmtId="0" fontId="5" fillId="0" borderId="0" xfId="3" applyFont="1"/>
    <xf numFmtId="166" fontId="5" fillId="0" borderId="0" xfId="3" applyNumberFormat="1" applyFont="1"/>
    <xf numFmtId="9" fontId="0" fillId="0" borderId="0" xfId="0" applyNumberFormat="1"/>
    <xf numFmtId="169" fontId="0" fillId="0" borderId="0" xfId="0" applyNumberFormat="1"/>
    <xf numFmtId="0" fontId="0" fillId="0" borderId="0" xfId="0" quotePrefix="1"/>
    <xf numFmtId="170" fontId="0" fillId="0" borderId="0" xfId="5" applyNumberFormat="1" applyFont="1"/>
    <xf numFmtId="10" fontId="5" fillId="0" borderId="0" xfId="0" applyNumberFormat="1" applyFont="1"/>
    <xf numFmtId="168" fontId="0" fillId="0" borderId="0" xfId="0" applyNumberFormat="1"/>
    <xf numFmtId="171" fontId="0" fillId="0" borderId="0" xfId="0" applyNumberFormat="1"/>
    <xf numFmtId="172" fontId="0" fillId="0" borderId="0" xfId="0" applyNumberFormat="1"/>
    <xf numFmtId="167" fontId="0" fillId="0" borderId="0" xfId="0" applyNumberFormat="1"/>
    <xf numFmtId="3" fontId="5" fillId="0" borderId="0" xfId="0" applyNumberFormat="1" applyFont="1"/>
    <xf numFmtId="3" fontId="0" fillId="0" borderId="0" xfId="0" applyNumberFormat="1"/>
  </cellXfs>
  <cellStyles count="6">
    <cellStyle name="Normal" xfId="0" builtinId="0"/>
    <cellStyle name="Normal 2" xfId="3"/>
    <cellStyle name="Normal 2 2" xfId="1"/>
    <cellStyle name="Normal 3" xfId="2"/>
    <cellStyle name="Normal_EKM-EKF95" xfId="4"/>
    <cellStyle name="Pourcentage" xfId="5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2</xdr:row>
          <xdr:rowOff>66675</xdr:rowOff>
        </xdr:from>
        <xdr:to>
          <xdr:col>12</xdr:col>
          <xdr:colOff>628650</xdr:colOff>
          <xdr:row>7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artage%20Autoris&#233;/Ricardo%20Crispim/Provision_Global_31122017/Mod%202/Results_by_M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1XT_1"/>
    </sheetNames>
    <sheetDataSet>
      <sheetData sheetId="0">
        <row r="5">
          <cell r="F5">
            <v>15163.392039</v>
          </cell>
        </row>
        <row r="6">
          <cell r="F6">
            <v>12669.44562</v>
          </cell>
        </row>
        <row r="7">
          <cell r="F7">
            <v>2522.1912040000002</v>
          </cell>
        </row>
        <row r="8">
          <cell r="F8">
            <v>18218.445059999998</v>
          </cell>
        </row>
        <row r="9">
          <cell r="F9">
            <v>15773.91452</v>
          </cell>
        </row>
        <row r="10">
          <cell r="F10">
            <v>23589.964753</v>
          </cell>
        </row>
        <row r="11">
          <cell r="F11">
            <v>9112.6963469999992</v>
          </cell>
        </row>
        <row r="12">
          <cell r="F12">
            <v>9336.9138559999992</v>
          </cell>
        </row>
        <row r="13">
          <cell r="F13">
            <v>23488.115519999999</v>
          </cell>
        </row>
        <row r="14">
          <cell r="F14">
            <v>23229.381616999999</v>
          </cell>
        </row>
        <row r="15">
          <cell r="F15">
            <v>4178.8465500000002</v>
          </cell>
        </row>
        <row r="16">
          <cell r="F16">
            <v>26736.794470000001</v>
          </cell>
        </row>
        <row r="17">
          <cell r="F17">
            <v>22833.138465</v>
          </cell>
        </row>
        <row r="18">
          <cell r="F18">
            <v>22950.459744</v>
          </cell>
        </row>
        <row r="19">
          <cell r="F19">
            <v>20487.836465</v>
          </cell>
        </row>
        <row r="20">
          <cell r="F20">
            <v>19182.771127</v>
          </cell>
        </row>
        <row r="21">
          <cell r="F21">
            <v>18913.703947999998</v>
          </cell>
        </row>
        <row r="22">
          <cell r="F22">
            <v>14583.462765</v>
          </cell>
        </row>
        <row r="23">
          <cell r="F23">
            <v>19029.449458999999</v>
          </cell>
        </row>
        <row r="24">
          <cell r="F24">
            <v>18874.902848000002</v>
          </cell>
        </row>
        <row r="25">
          <cell r="F25">
            <v>23186.966795</v>
          </cell>
        </row>
        <row r="26">
          <cell r="F26">
            <v>18985.703913000001</v>
          </cell>
        </row>
        <row r="27">
          <cell r="F27">
            <v>23346.536923</v>
          </cell>
        </row>
        <row r="28">
          <cell r="F28">
            <v>14359.002205000001</v>
          </cell>
        </row>
        <row r="29">
          <cell r="F29">
            <v>3130.8678930000001</v>
          </cell>
        </row>
        <row r="30">
          <cell r="F30">
            <v>14670.277507000001</v>
          </cell>
        </row>
        <row r="31">
          <cell r="F31">
            <v>15468.007777000001</v>
          </cell>
        </row>
        <row r="32">
          <cell r="F32">
            <v>2712.04997</v>
          </cell>
        </row>
        <row r="33">
          <cell r="F33">
            <v>2721.4066790000002</v>
          </cell>
        </row>
        <row r="34">
          <cell r="F34">
            <v>3400.3650130000001</v>
          </cell>
        </row>
        <row r="35">
          <cell r="F35">
            <v>17816.038365</v>
          </cell>
        </row>
        <row r="36">
          <cell r="F36">
            <v>18095.581113</v>
          </cell>
        </row>
        <row r="37">
          <cell r="F37">
            <v>17766.480334</v>
          </cell>
        </row>
        <row r="38">
          <cell r="F38">
            <v>17816.038365</v>
          </cell>
        </row>
        <row r="39">
          <cell r="F39">
            <v>12217.013758999999</v>
          </cell>
        </row>
        <row r="40">
          <cell r="F40">
            <v>12534.319817</v>
          </cell>
        </row>
        <row r="41">
          <cell r="F41">
            <v>23534.389747000001</v>
          </cell>
        </row>
        <row r="42">
          <cell r="F42">
            <v>20123.796329000001</v>
          </cell>
        </row>
        <row r="43">
          <cell r="F43">
            <v>18247.196940999998</v>
          </cell>
        </row>
        <row r="44">
          <cell r="F44">
            <v>12921.251289</v>
          </cell>
        </row>
        <row r="45">
          <cell r="F45">
            <v>8822.9549929999994</v>
          </cell>
        </row>
        <row r="46">
          <cell r="F46">
            <v>20029.807736999999</v>
          </cell>
        </row>
        <row r="47">
          <cell r="F47">
            <v>21033.588294000001</v>
          </cell>
        </row>
        <row r="48">
          <cell r="F48">
            <v>14321.098744999999</v>
          </cell>
        </row>
        <row r="49">
          <cell r="F49">
            <v>14964.820894</v>
          </cell>
        </row>
        <row r="50">
          <cell r="F50">
            <v>17660.031435000001</v>
          </cell>
        </row>
        <row r="51">
          <cell r="F51">
            <v>17488.489890000001</v>
          </cell>
        </row>
        <row r="52">
          <cell r="F52">
            <v>11839.157929000001</v>
          </cell>
        </row>
        <row r="53">
          <cell r="F53">
            <v>18378.199151000001</v>
          </cell>
        </row>
        <row r="54">
          <cell r="F54">
            <v>18068.398926999998</v>
          </cell>
        </row>
        <row r="55">
          <cell r="F55">
            <v>19863.747549</v>
          </cell>
        </row>
        <row r="56">
          <cell r="F56">
            <v>19502.898980999998</v>
          </cell>
        </row>
        <row r="57">
          <cell r="F57">
            <v>18050.560513</v>
          </cell>
        </row>
        <row r="58">
          <cell r="F58">
            <v>17512.333580999999</v>
          </cell>
        </row>
        <row r="59">
          <cell r="F59">
            <v>23190.557331</v>
          </cell>
        </row>
        <row r="60">
          <cell r="F60">
            <v>14570.510522</v>
          </cell>
        </row>
        <row r="61">
          <cell r="F61">
            <v>13508.406282</v>
          </cell>
        </row>
        <row r="62">
          <cell r="F62">
            <v>12258.803043</v>
          </cell>
        </row>
        <row r="63">
          <cell r="F63">
            <v>10375.871915</v>
          </cell>
        </row>
        <row r="64">
          <cell r="F64">
            <v>20822.398879</v>
          </cell>
        </row>
        <row r="65">
          <cell r="F65">
            <v>20098.174072000002</v>
          </cell>
        </row>
        <row r="66">
          <cell r="F66">
            <v>18129.594136</v>
          </cell>
        </row>
        <row r="67">
          <cell r="F67">
            <v>22078.084868999998</v>
          </cell>
        </row>
        <row r="68">
          <cell r="F68">
            <v>18033.143907999998</v>
          </cell>
        </row>
        <row r="69">
          <cell r="F69">
            <v>12040.138274999999</v>
          </cell>
        </row>
        <row r="70">
          <cell r="F70">
            <v>18069.182201</v>
          </cell>
        </row>
        <row r="71">
          <cell r="F71">
            <v>49597.224144</v>
          </cell>
        </row>
        <row r="72">
          <cell r="F72">
            <v>23720.917518999999</v>
          </cell>
        </row>
        <row r="73">
          <cell r="F73">
            <v>18226.331696000001</v>
          </cell>
        </row>
        <row r="74">
          <cell r="F74">
            <v>3613.547579</v>
          </cell>
        </row>
        <row r="75">
          <cell r="F75">
            <v>18847.194243000002</v>
          </cell>
        </row>
        <row r="76">
          <cell r="F76">
            <v>23036.253685</v>
          </cell>
        </row>
        <row r="77">
          <cell r="F77">
            <v>22633.957758</v>
          </cell>
        </row>
        <row r="78">
          <cell r="F78">
            <v>23671.715869</v>
          </cell>
        </row>
        <row r="79">
          <cell r="F79">
            <v>17898.798566000001</v>
          </cell>
        </row>
        <row r="80">
          <cell r="F80">
            <v>47061.542740999997</v>
          </cell>
        </row>
        <row r="81">
          <cell r="F81">
            <v>23367.246531000001</v>
          </cell>
        </row>
        <row r="82">
          <cell r="F82">
            <v>29620.917204000001</v>
          </cell>
        </row>
        <row r="83">
          <cell r="F83">
            <v>10393.93684</v>
          </cell>
        </row>
        <row r="84">
          <cell r="F84">
            <v>19254.460204999999</v>
          </cell>
        </row>
        <row r="85">
          <cell r="F85">
            <v>9703.2164769999999</v>
          </cell>
        </row>
        <row r="86">
          <cell r="F86">
            <v>9630.6157309999999</v>
          </cell>
        </row>
        <row r="87">
          <cell r="F87">
            <v>29610.134823</v>
          </cell>
        </row>
        <row r="88">
          <cell r="F88">
            <v>22477.532412</v>
          </cell>
        </row>
        <row r="89">
          <cell r="F89">
            <v>17180.404824000001</v>
          </cell>
        </row>
        <row r="90">
          <cell r="F90">
            <v>17967.212513999999</v>
          </cell>
        </row>
        <row r="91">
          <cell r="F91">
            <v>35787.268746000002</v>
          </cell>
        </row>
        <row r="92">
          <cell r="F92">
            <v>5014.6163969999998</v>
          </cell>
        </row>
        <row r="93">
          <cell r="F93">
            <v>13616.874973</v>
          </cell>
        </row>
        <row r="94">
          <cell r="F94">
            <v>15432.319157</v>
          </cell>
        </row>
        <row r="95">
          <cell r="F95">
            <v>15459.461517</v>
          </cell>
        </row>
        <row r="96">
          <cell r="F96">
            <v>4254.5934619999998</v>
          </cell>
        </row>
        <row r="97">
          <cell r="F97">
            <v>18487.204063000001</v>
          </cell>
        </row>
        <row r="98">
          <cell r="F98">
            <v>2120.0337279999999</v>
          </cell>
        </row>
        <row r="99">
          <cell r="F99">
            <v>18821.415156999999</v>
          </cell>
        </row>
        <row r="100">
          <cell r="F100">
            <v>19937.650303999999</v>
          </cell>
        </row>
        <row r="101">
          <cell r="F101">
            <v>29457.247636</v>
          </cell>
        </row>
        <row r="102">
          <cell r="F102">
            <v>24563.389633999999</v>
          </cell>
        </row>
        <row r="103">
          <cell r="F103">
            <v>14767.674235</v>
          </cell>
        </row>
        <row r="104">
          <cell r="F104">
            <v>5720.8596250000001</v>
          </cell>
        </row>
        <row r="105">
          <cell r="F105">
            <v>3684.3498</v>
          </cell>
        </row>
        <row r="106">
          <cell r="F106">
            <v>29439.345764000002</v>
          </cell>
        </row>
        <row r="107">
          <cell r="F107">
            <v>19673.738146</v>
          </cell>
        </row>
        <row r="108">
          <cell r="F108">
            <v>10016.878344999999</v>
          </cell>
        </row>
        <row r="109">
          <cell r="F109">
            <v>13605.630943</v>
          </cell>
        </row>
        <row r="110">
          <cell r="F110">
            <v>17103.198455000002</v>
          </cell>
        </row>
        <row r="111">
          <cell r="F111">
            <v>39262.863426000004</v>
          </cell>
        </row>
        <row r="112">
          <cell r="F112">
            <v>17557.757164999999</v>
          </cell>
        </row>
        <row r="113">
          <cell r="F113">
            <v>33147.474259000002</v>
          </cell>
        </row>
        <row r="114">
          <cell r="F114">
            <v>21795.386981</v>
          </cell>
        </row>
        <row r="115">
          <cell r="F115">
            <v>23389.657925</v>
          </cell>
        </row>
        <row r="116">
          <cell r="F116">
            <v>39180.789865999999</v>
          </cell>
        </row>
        <row r="117">
          <cell r="F117">
            <v>15201.675407000001</v>
          </cell>
        </row>
        <row r="118">
          <cell r="F118">
            <v>11748.059442</v>
          </cell>
        </row>
        <row r="119">
          <cell r="F119">
            <v>16862.552615000001</v>
          </cell>
        </row>
        <row r="120">
          <cell r="F120">
            <v>22232.268817</v>
          </cell>
        </row>
        <row r="121">
          <cell r="F121">
            <v>17718.839773</v>
          </cell>
        </row>
        <row r="122">
          <cell r="F122">
            <v>17347.077872000002</v>
          </cell>
        </row>
        <row r="123">
          <cell r="F123">
            <v>13278.866732</v>
          </cell>
        </row>
        <row r="124">
          <cell r="F124">
            <v>17000.243005</v>
          </cell>
        </row>
        <row r="125">
          <cell r="F125">
            <v>22197.924229</v>
          </cell>
        </row>
        <row r="126">
          <cell r="F126">
            <v>3008.9546409999998</v>
          </cell>
        </row>
        <row r="127">
          <cell r="F127">
            <v>5081.0280210000001</v>
          </cell>
        </row>
        <row r="128">
          <cell r="F128">
            <v>22584.540272999999</v>
          </cell>
        </row>
        <row r="129">
          <cell r="F129">
            <v>22242.008870000001</v>
          </cell>
        </row>
        <row r="130">
          <cell r="F130">
            <v>17006.909320999999</v>
          </cell>
        </row>
        <row r="131">
          <cell r="F131">
            <v>22023.337534999999</v>
          </cell>
        </row>
        <row r="132">
          <cell r="F132">
            <v>22456.681601</v>
          </cell>
        </row>
        <row r="133">
          <cell r="F133">
            <v>15408.174285999999</v>
          </cell>
        </row>
        <row r="134">
          <cell r="F134">
            <v>15512.116459000001</v>
          </cell>
        </row>
        <row r="135">
          <cell r="F135">
            <v>23033.647492</v>
          </cell>
        </row>
        <row r="136">
          <cell r="F136">
            <v>18943.038708</v>
          </cell>
        </row>
        <row r="137">
          <cell r="F137">
            <v>18480.606071999999</v>
          </cell>
        </row>
        <row r="138">
          <cell r="F138">
            <v>14989.211090000001</v>
          </cell>
        </row>
        <row r="139">
          <cell r="F139">
            <v>12013.520646000001</v>
          </cell>
        </row>
        <row r="140">
          <cell r="F140">
            <v>22443.652935999999</v>
          </cell>
        </row>
        <row r="141">
          <cell r="F141">
            <v>23099.968013999998</v>
          </cell>
        </row>
        <row r="142">
          <cell r="F142">
            <v>17997.303122000001</v>
          </cell>
        </row>
        <row r="143">
          <cell r="F143">
            <v>17691.633338</v>
          </cell>
        </row>
        <row r="144">
          <cell r="F144">
            <v>14984.076564999999</v>
          </cell>
        </row>
        <row r="145">
          <cell r="F145">
            <v>15122.907205</v>
          </cell>
        </row>
        <row r="146">
          <cell r="F146">
            <v>19690.755063000001</v>
          </cell>
        </row>
        <row r="147">
          <cell r="F147">
            <v>4967.6053250000004</v>
          </cell>
        </row>
        <row r="148">
          <cell r="F148">
            <v>17525.470911</v>
          </cell>
        </row>
        <row r="149">
          <cell r="F149">
            <v>3649.1197280000001</v>
          </cell>
        </row>
        <row r="150">
          <cell r="F150">
            <v>19096.885214000002</v>
          </cell>
        </row>
        <row r="151">
          <cell r="F151">
            <v>37622.203012999998</v>
          </cell>
        </row>
        <row r="152">
          <cell r="F152">
            <v>11721.528591</v>
          </cell>
        </row>
        <row r="153">
          <cell r="F153">
            <v>22713.611177999999</v>
          </cell>
        </row>
        <row r="154">
          <cell r="F154">
            <v>14494.240470999999</v>
          </cell>
        </row>
        <row r="155">
          <cell r="F155">
            <v>22905.046476</v>
          </cell>
        </row>
        <row r="156">
          <cell r="F156">
            <v>18294.043799999999</v>
          </cell>
        </row>
        <row r="157">
          <cell r="F157">
            <v>21608.855015000001</v>
          </cell>
        </row>
        <row r="158">
          <cell r="F158">
            <v>21084.52822</v>
          </cell>
        </row>
        <row r="159">
          <cell r="F159">
            <v>13266.700360999999</v>
          </cell>
        </row>
        <row r="160">
          <cell r="F160">
            <v>13098.488479</v>
          </cell>
        </row>
        <row r="161">
          <cell r="F161">
            <v>30977.015211000002</v>
          </cell>
        </row>
        <row r="162">
          <cell r="F162">
            <v>16955.560543</v>
          </cell>
        </row>
        <row r="163">
          <cell r="F163">
            <v>13552.022528</v>
          </cell>
        </row>
        <row r="164">
          <cell r="F164">
            <v>14539.653388000001</v>
          </cell>
        </row>
        <row r="165">
          <cell r="F165">
            <v>17661.952692999999</v>
          </cell>
        </row>
        <row r="166">
          <cell r="F166">
            <v>28308.73878</v>
          </cell>
        </row>
        <row r="167">
          <cell r="F167">
            <v>19275.978406999999</v>
          </cell>
        </row>
        <row r="168">
          <cell r="F168">
            <v>19445.416829999998</v>
          </cell>
        </row>
        <row r="169">
          <cell r="F169">
            <v>14048.743487</v>
          </cell>
        </row>
        <row r="170">
          <cell r="F170">
            <v>2833.4180820000001</v>
          </cell>
        </row>
        <row r="171">
          <cell r="F171">
            <v>16590.107728999999</v>
          </cell>
        </row>
        <row r="172">
          <cell r="F172">
            <v>17391.618208</v>
          </cell>
        </row>
        <row r="173">
          <cell r="F173">
            <v>16569.727446000001</v>
          </cell>
        </row>
        <row r="174">
          <cell r="F174">
            <v>17170.969260000002</v>
          </cell>
        </row>
        <row r="175">
          <cell r="F175">
            <v>14616.485828999999</v>
          </cell>
        </row>
        <row r="176">
          <cell r="F176">
            <v>16742.688905999999</v>
          </cell>
        </row>
        <row r="177">
          <cell r="F177">
            <v>10882.169838</v>
          </cell>
        </row>
        <row r="178">
          <cell r="F178">
            <v>13388.000892</v>
          </cell>
        </row>
        <row r="179">
          <cell r="F179">
            <v>23864.710442</v>
          </cell>
        </row>
        <row r="180">
          <cell r="F180">
            <v>13020.990035999999</v>
          </cell>
        </row>
        <row r="181">
          <cell r="F181">
            <v>13745.252994</v>
          </cell>
        </row>
        <row r="182">
          <cell r="F182">
            <v>21998.232865999998</v>
          </cell>
        </row>
        <row r="183">
          <cell r="F183">
            <v>22555.943472999999</v>
          </cell>
        </row>
        <row r="184">
          <cell r="F184">
            <v>17204.846029</v>
          </cell>
        </row>
        <row r="185">
          <cell r="F185">
            <v>17032.471874999999</v>
          </cell>
        </row>
        <row r="186">
          <cell r="F186">
            <v>17415.257151999998</v>
          </cell>
        </row>
        <row r="187">
          <cell r="F187">
            <v>21611.108521999999</v>
          </cell>
        </row>
        <row r="188">
          <cell r="F188">
            <v>16483.821218000001</v>
          </cell>
        </row>
        <row r="189">
          <cell r="F189">
            <v>21599.231760999999</v>
          </cell>
        </row>
        <row r="190">
          <cell r="F190">
            <v>22270.673164</v>
          </cell>
        </row>
        <row r="191">
          <cell r="F191">
            <v>15218.920958999999</v>
          </cell>
        </row>
        <row r="192">
          <cell r="F192">
            <v>28396.705096999998</v>
          </cell>
        </row>
        <row r="193">
          <cell r="F193">
            <v>28610.395317999999</v>
          </cell>
        </row>
        <row r="194">
          <cell r="F194">
            <v>4600.1672859999999</v>
          </cell>
        </row>
        <row r="195">
          <cell r="F195">
            <v>4645.2972149999996</v>
          </cell>
        </row>
        <row r="196">
          <cell r="F196">
            <v>17933.569422</v>
          </cell>
        </row>
        <row r="197">
          <cell r="F197">
            <v>14660.087399</v>
          </cell>
        </row>
        <row r="198">
          <cell r="F198">
            <v>13366.700654</v>
          </cell>
        </row>
        <row r="199">
          <cell r="F199">
            <v>19115.365365000001</v>
          </cell>
        </row>
        <row r="200">
          <cell r="F200">
            <v>18925.684815000001</v>
          </cell>
        </row>
        <row r="201">
          <cell r="F201">
            <v>16367.361391</v>
          </cell>
        </row>
        <row r="202">
          <cell r="F202">
            <v>15989.277977</v>
          </cell>
        </row>
        <row r="203">
          <cell r="F203">
            <v>13870.207627</v>
          </cell>
        </row>
        <row r="204">
          <cell r="F204">
            <v>14836.460488000001</v>
          </cell>
        </row>
        <row r="205">
          <cell r="F205">
            <v>11829.112246999999</v>
          </cell>
        </row>
        <row r="206">
          <cell r="F206">
            <v>21888.750015000001</v>
          </cell>
        </row>
        <row r="207">
          <cell r="F207">
            <v>27344.938481000001</v>
          </cell>
        </row>
        <row r="208">
          <cell r="F208">
            <v>16553.361313000001</v>
          </cell>
        </row>
        <row r="209">
          <cell r="F209">
            <v>14802.952123999999</v>
          </cell>
        </row>
        <row r="210">
          <cell r="F210">
            <v>17277.968239999998</v>
          </cell>
        </row>
        <row r="211">
          <cell r="F211">
            <v>11404.560320000001</v>
          </cell>
        </row>
        <row r="212">
          <cell r="F212">
            <v>16806.682986</v>
          </cell>
        </row>
        <row r="213">
          <cell r="F213">
            <v>16386.494021999999</v>
          </cell>
        </row>
        <row r="214">
          <cell r="F214">
            <v>22409.353523999998</v>
          </cell>
        </row>
        <row r="215">
          <cell r="F215">
            <v>14823.166214999999</v>
          </cell>
        </row>
        <row r="216">
          <cell r="F216">
            <v>16261.416036000001</v>
          </cell>
        </row>
        <row r="217">
          <cell r="F217">
            <v>11363.138115</v>
          </cell>
        </row>
        <row r="218">
          <cell r="F218">
            <v>9058.3360009999997</v>
          </cell>
        </row>
        <row r="219">
          <cell r="F219">
            <v>2716.3836980000001</v>
          </cell>
        </row>
        <row r="220">
          <cell r="F220">
            <v>22382.103855000001</v>
          </cell>
        </row>
        <row r="221">
          <cell r="F221">
            <v>21293.955565</v>
          </cell>
        </row>
        <row r="222">
          <cell r="F222">
            <v>16271.734375</v>
          </cell>
        </row>
        <row r="223">
          <cell r="F223">
            <v>4795.3237580000005</v>
          </cell>
        </row>
        <row r="224">
          <cell r="F224">
            <v>4949.8722040000002</v>
          </cell>
        </row>
        <row r="225">
          <cell r="F225">
            <v>21342.657028000001</v>
          </cell>
        </row>
        <row r="226">
          <cell r="F226">
            <v>16004.826016000001</v>
          </cell>
        </row>
        <row r="227">
          <cell r="F227">
            <v>16262.422508</v>
          </cell>
        </row>
        <row r="228">
          <cell r="F228">
            <v>18933.279358</v>
          </cell>
        </row>
        <row r="229">
          <cell r="F229">
            <v>12065.858887</v>
          </cell>
        </row>
        <row r="230">
          <cell r="F230">
            <v>2714.5660899999998</v>
          </cell>
        </row>
        <row r="231">
          <cell r="F231">
            <v>2679.701278</v>
          </cell>
        </row>
        <row r="232">
          <cell r="F232">
            <v>16072.238697999999</v>
          </cell>
        </row>
        <row r="233">
          <cell r="F233">
            <v>38435.524721000002</v>
          </cell>
        </row>
        <row r="234">
          <cell r="F234">
            <v>29701.902743999999</v>
          </cell>
        </row>
        <row r="235">
          <cell r="F235">
            <v>18998.135216999999</v>
          </cell>
        </row>
        <row r="236">
          <cell r="F236">
            <v>16254.417506</v>
          </cell>
        </row>
        <row r="237">
          <cell r="F237">
            <v>17505.358402999998</v>
          </cell>
        </row>
        <row r="238">
          <cell r="F238">
            <v>22181.260622999998</v>
          </cell>
        </row>
        <row r="239">
          <cell r="F239">
            <v>21473.211342999999</v>
          </cell>
        </row>
        <row r="240">
          <cell r="F240">
            <v>16653.726022999999</v>
          </cell>
        </row>
        <row r="241">
          <cell r="F241">
            <v>13639.705489</v>
          </cell>
        </row>
        <row r="242">
          <cell r="F242">
            <v>17444.766530000001</v>
          </cell>
        </row>
        <row r="243">
          <cell r="F243">
            <v>22112.674763999999</v>
          </cell>
        </row>
        <row r="244">
          <cell r="F244">
            <v>17300.557970000002</v>
          </cell>
        </row>
        <row r="245">
          <cell r="F245">
            <v>10658.311288000001</v>
          </cell>
        </row>
        <row r="246">
          <cell r="F246">
            <v>22260.713937</v>
          </cell>
        </row>
        <row r="247">
          <cell r="F247">
            <v>16672.462517</v>
          </cell>
        </row>
        <row r="248">
          <cell r="F248">
            <v>17890.276353000001</v>
          </cell>
        </row>
        <row r="249">
          <cell r="F249">
            <v>7336.3470909999996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278"/>
  <sheetViews>
    <sheetView workbookViewId="0">
      <selection activeCell="D3" sqref="D3:D254"/>
    </sheetView>
  </sheetViews>
  <sheetFormatPr baseColWidth="10" defaultRowHeight="15" x14ac:dyDescent="0.25"/>
  <cols>
    <col min="2" max="2" width="12.28515625" bestFit="1" customWidth="1"/>
    <col min="3" max="3" width="10.140625" bestFit="1" customWidth="1"/>
    <col min="4" max="4" width="13.140625" bestFit="1" customWidth="1"/>
    <col min="5" max="5" width="12.7109375" bestFit="1" customWidth="1"/>
    <col min="6" max="6" width="12" style="34" bestFit="1" customWidth="1"/>
  </cols>
  <sheetData>
    <row r="1" spans="1:6" x14ac:dyDescent="0.25">
      <c r="A1" s="15" t="s">
        <v>47</v>
      </c>
      <c r="B1" s="15" t="s">
        <v>127</v>
      </c>
      <c r="C1" s="15" t="s">
        <v>128</v>
      </c>
      <c r="D1" s="15" t="s">
        <v>129</v>
      </c>
      <c r="E1" s="15" t="s">
        <v>130</v>
      </c>
      <c r="F1" s="33" t="s">
        <v>125</v>
      </c>
    </row>
    <row r="2" spans="1:6" x14ac:dyDescent="0.25">
      <c r="A2" s="17">
        <v>43100</v>
      </c>
      <c r="B2">
        <v>0</v>
      </c>
      <c r="C2">
        <v>0</v>
      </c>
      <c r="D2">
        <v>0</v>
      </c>
      <c r="E2">
        <v>0</v>
      </c>
      <c r="F2" s="34">
        <v>4252405.61801985</v>
      </c>
    </row>
    <row r="3" spans="1:6" x14ac:dyDescent="0.25">
      <c r="A3" s="17">
        <f>DATE(YEAR(A2),MONTH(A2)+2,1)-1</f>
        <v>43131</v>
      </c>
      <c r="B3">
        <v>24650.841666666653</v>
      </c>
      <c r="C3">
        <v>17185.490266849421</v>
      </c>
      <c r="D3">
        <v>41.875</v>
      </c>
      <c r="E3">
        <v>4063.9472244722701</v>
      </c>
      <c r="F3" s="34">
        <v>4262233.5914634597</v>
      </c>
    </row>
    <row r="4" spans="1:6" x14ac:dyDescent="0.25">
      <c r="A4" s="17">
        <f t="shared" ref="A4:A67" si="0">DATE(YEAR(A3),MONTH(A3)+2,1)-1</f>
        <v>43159</v>
      </c>
      <c r="B4">
        <v>25646.178720628166</v>
      </c>
      <c r="C4">
        <v>57247.361315449489</v>
      </c>
      <c r="D4">
        <v>41.739896391801636</v>
      </c>
      <c r="E4">
        <v>4022.4844930508334</v>
      </c>
      <c r="F4" s="34">
        <v>4233051.5783322882</v>
      </c>
    </row>
    <row r="5" spans="1:6" x14ac:dyDescent="0.25">
      <c r="A5" s="17">
        <f t="shared" si="0"/>
        <v>43190</v>
      </c>
      <c r="B5">
        <v>24462.71407708589</v>
      </c>
      <c r="C5">
        <v>87778.317445596898</v>
      </c>
      <c r="D5">
        <v>41.605017053620223</v>
      </c>
      <c r="E5">
        <v>3973.7875973975742</v>
      </c>
      <c r="F5" s="34">
        <v>4172159.5866867998</v>
      </c>
    </row>
    <row r="6" spans="1:6" x14ac:dyDescent="0.25">
      <c r="A6" s="17">
        <f t="shared" si="0"/>
        <v>43220</v>
      </c>
      <c r="B6">
        <v>23279.65431950309</v>
      </c>
      <c r="C6">
        <v>80980.928814145751</v>
      </c>
      <c r="D6">
        <v>41.470573728841828</v>
      </c>
      <c r="E6">
        <v>3913.7821478084506</v>
      </c>
      <c r="F6" s="34">
        <v>4116849.4394232859</v>
      </c>
    </row>
    <row r="7" spans="1:6" x14ac:dyDescent="0.25">
      <c r="A7" s="17">
        <f t="shared" si="0"/>
        <v>43251</v>
      </c>
      <c r="B7">
        <v>21854.788792052863</v>
      </c>
      <c r="C7">
        <v>185003.54726624439</v>
      </c>
      <c r="D7">
        <v>41.336565007481454</v>
      </c>
      <c r="E7">
        <v>3790.6710823482858</v>
      </c>
      <c r="F7" s="34">
        <v>3956130.9195575803</v>
      </c>
    </row>
    <row r="8" spans="1:6" x14ac:dyDescent="0.25">
      <c r="A8" s="17">
        <f t="shared" si="0"/>
        <v>43281</v>
      </c>
      <c r="B8">
        <v>22318.111636416699</v>
      </c>
      <c r="C8">
        <v>16119.904536474456</v>
      </c>
      <c r="D8">
        <v>41.202989484115463</v>
      </c>
      <c r="E8">
        <v>3784.4908081404965</v>
      </c>
      <c r="F8" s="34">
        <v>3964521.2060146211</v>
      </c>
    </row>
    <row r="9" spans="1:6" x14ac:dyDescent="0.25">
      <c r="A9" s="17">
        <f t="shared" si="0"/>
        <v>43312</v>
      </c>
      <c r="B9">
        <v>23078.605710284068</v>
      </c>
      <c r="C9">
        <v>36739.826040598316</v>
      </c>
      <c r="D9">
        <v>41.069845757866702</v>
      </c>
      <c r="E9">
        <v>3760.8496312107445</v>
      </c>
      <c r="F9" s="34">
        <v>3953088.6020439961</v>
      </c>
    </row>
    <row r="10" spans="1:6" x14ac:dyDescent="0.25">
      <c r="A10" s="17">
        <f t="shared" si="0"/>
        <v>43343</v>
      </c>
      <c r="B10">
        <v>22241.167417296918</v>
      </c>
      <c r="C10">
        <v>16064.419546342457</v>
      </c>
      <c r="D10">
        <v>40.936658057186499</v>
      </c>
      <c r="E10">
        <v>3755.0006927751401</v>
      </c>
      <c r="F10" s="34">
        <v>3961482.5579709182</v>
      </c>
    </row>
    <row r="11" spans="1:6" x14ac:dyDescent="0.25">
      <c r="A11" s="17">
        <f t="shared" si="0"/>
        <v>43373</v>
      </c>
      <c r="B11">
        <v>21495.660215527485</v>
      </c>
      <c r="C11">
        <v>55123.516969668788</v>
      </c>
      <c r="D11">
        <v>40.803902491364177</v>
      </c>
      <c r="E11">
        <v>3714.4165317984921</v>
      </c>
      <c r="F11" s="34">
        <v>3930125.3944529411</v>
      </c>
    </row>
    <row r="12" spans="1:6" x14ac:dyDescent="0.25">
      <c r="A12" s="17">
        <f t="shared" si="0"/>
        <v>43404</v>
      </c>
      <c r="B12">
        <v>21932.665727084521</v>
      </c>
      <c r="C12">
        <v>15833.66004264247</v>
      </c>
      <c r="D12">
        <v>40.671577657619956</v>
      </c>
      <c r="E12">
        <v>3708.3134421283257</v>
      </c>
      <c r="F12" s="34">
        <v>3938453.6305948771</v>
      </c>
    </row>
    <row r="13" spans="1:6" x14ac:dyDescent="0.25">
      <c r="A13" s="17">
        <f t="shared" si="0"/>
        <v>43434</v>
      </c>
      <c r="B13">
        <v>20877.405551191463</v>
      </c>
      <c r="C13">
        <v>93483.636278854581</v>
      </c>
      <c r="D13">
        <v>40.539464598155277</v>
      </c>
      <c r="E13">
        <v>3646.1662936243524</v>
      </c>
      <c r="F13" s="34">
        <v>3868151.5778818633</v>
      </c>
    </row>
    <row r="14" spans="1:6" x14ac:dyDescent="0.25">
      <c r="A14" s="17">
        <f t="shared" si="0"/>
        <v>43465</v>
      </c>
      <c r="B14">
        <v>23842.387570708372</v>
      </c>
      <c r="C14">
        <v>31258.325325509912</v>
      </c>
      <c r="D14">
        <v>40.407780895386082</v>
      </c>
      <c r="E14">
        <v>3624.3227941421778</v>
      </c>
      <c r="F14" s="34">
        <v>3862954.8550525899</v>
      </c>
    </row>
    <row r="15" spans="1:6" x14ac:dyDescent="0.25">
      <c r="A15" s="17">
        <f t="shared" si="0"/>
        <v>43496</v>
      </c>
      <c r="B15">
        <v>21629.61196280209</v>
      </c>
      <c r="C15">
        <v>54247.658896937566</v>
      </c>
      <c r="D15">
        <v>40.27652515323873</v>
      </c>
      <c r="E15">
        <v>3598.9530706439741</v>
      </c>
      <c r="F15" s="34">
        <v>3832109.5301702614</v>
      </c>
    </row>
    <row r="16" spans="1:6" x14ac:dyDescent="0.25">
      <c r="A16" s="17">
        <f t="shared" si="0"/>
        <v>43524</v>
      </c>
      <c r="B16">
        <v>22685.313743502928</v>
      </c>
      <c r="C16">
        <v>15840.324058963295</v>
      </c>
      <c r="D16">
        <v>40.14556067179884</v>
      </c>
      <c r="E16">
        <v>3593.2459386295013</v>
      </c>
      <c r="F16" s="34">
        <v>3840689.8660870469</v>
      </c>
    </row>
    <row r="17" spans="1:6" x14ac:dyDescent="0.25">
      <c r="A17" s="17">
        <f t="shared" si="0"/>
        <v>43555</v>
      </c>
      <c r="B17">
        <v>21544.548139501592</v>
      </c>
      <c r="C17">
        <v>15742.593157444046</v>
      </c>
      <c r="D17">
        <v>40.014807465955805</v>
      </c>
      <c r="E17">
        <v>3587.586454651233</v>
      </c>
      <c r="F17" s="34">
        <v>3848244.9784823121</v>
      </c>
    </row>
    <row r="18" spans="1:6" x14ac:dyDescent="0.25">
      <c r="A18" s="17">
        <f t="shared" si="0"/>
        <v>43585</v>
      </c>
      <c r="B18">
        <v>20881.198958404344</v>
      </c>
      <c r="C18">
        <v>15711.584682464758</v>
      </c>
      <c r="D18">
        <v>39.884480304805003</v>
      </c>
      <c r="E18">
        <v>3581.7273352048342</v>
      </c>
      <c r="F18" s="34">
        <v>3855184.3242364456</v>
      </c>
    </row>
    <row r="19" spans="1:6" x14ac:dyDescent="0.25">
      <c r="A19" s="17">
        <f t="shared" si="0"/>
        <v>43616</v>
      </c>
      <c r="B19">
        <v>20183.686480205339</v>
      </c>
      <c r="C19">
        <v>15661.437136931503</v>
      </c>
      <c r="D19">
        <v>39.754577799527013</v>
      </c>
      <c r="E19">
        <v>3575.744652900124</v>
      </c>
      <c r="F19" s="34">
        <v>3861492.1395797124</v>
      </c>
    </row>
    <row r="20" spans="1:6" x14ac:dyDescent="0.25">
      <c r="A20" s="17">
        <f t="shared" si="0"/>
        <v>43646</v>
      </c>
      <c r="B20">
        <v>20386.18171784886</v>
      </c>
      <c r="C20">
        <v>15698.862582620119</v>
      </c>
      <c r="D20">
        <v>39.625098565831657</v>
      </c>
      <c r="E20">
        <v>3569.7133057659576</v>
      </c>
      <c r="F20" s="34">
        <v>3867980.0227120481</v>
      </c>
    </row>
    <row r="21" spans="1:6" x14ac:dyDescent="0.25">
      <c r="A21" s="17">
        <f t="shared" si="0"/>
        <v>43677</v>
      </c>
      <c r="B21">
        <v>21392.510966915022</v>
      </c>
      <c r="C21">
        <v>16243.461025913939</v>
      </c>
      <c r="D21">
        <v>39.496041223943209</v>
      </c>
      <c r="E21">
        <v>3563.6984219175206</v>
      </c>
      <c r="F21" s="34">
        <v>3874944.8700348237</v>
      </c>
    </row>
    <row r="22" spans="1:6" x14ac:dyDescent="0.25">
      <c r="A22" s="17">
        <f t="shared" si="0"/>
        <v>43708</v>
      </c>
      <c r="B22">
        <v>20592.090054867087</v>
      </c>
      <c r="C22">
        <v>15735.29469561654</v>
      </c>
      <c r="D22">
        <v>39.366918026046939</v>
      </c>
      <c r="E22">
        <v>3558.0021058533803</v>
      </c>
      <c r="F22" s="34">
        <v>3881633.0458794772</v>
      </c>
    </row>
    <row r="23" spans="1:6" x14ac:dyDescent="0.25">
      <c r="A23" s="17">
        <f t="shared" si="0"/>
        <v>43738</v>
      </c>
      <c r="B23">
        <v>19951.726682461729</v>
      </c>
      <c r="C23">
        <v>15688.634991160128</v>
      </c>
      <c r="D23">
        <v>39.238217211547926</v>
      </c>
      <c r="E23">
        <v>3552.0266404670419</v>
      </c>
      <c r="F23" s="34">
        <v>3887742.9922734578</v>
      </c>
    </row>
    <row r="24" spans="1:6" x14ac:dyDescent="0.25">
      <c r="A24" s="17">
        <f t="shared" si="0"/>
        <v>43769</v>
      </c>
      <c r="B24">
        <v>20375.339170382838</v>
      </c>
      <c r="C24">
        <v>15752.68195951276</v>
      </c>
      <c r="D24">
        <v>39.109937397954781</v>
      </c>
      <c r="E24">
        <v>3546.0171291245497</v>
      </c>
      <c r="F24" s="34">
        <v>3894227.2019369742</v>
      </c>
    </row>
    <row r="25" spans="1:6" x14ac:dyDescent="0.25">
      <c r="A25" s="17">
        <f t="shared" si="0"/>
        <v>43799</v>
      </c>
      <c r="B25">
        <v>19710.765105129936</v>
      </c>
      <c r="C25">
        <v>15712.983408560025</v>
      </c>
      <c r="D25">
        <v>38.981854769652657</v>
      </c>
      <c r="E25">
        <v>3540.0102652634296</v>
      </c>
      <c r="F25" s="34">
        <v>3900101.7553296722</v>
      </c>
    </row>
    <row r="26" spans="1:6" x14ac:dyDescent="0.25">
      <c r="A26" s="17">
        <f t="shared" si="0"/>
        <v>43830</v>
      </c>
      <c r="B26">
        <v>22626.987988360084</v>
      </c>
      <c r="C26">
        <v>15944.672492338643</v>
      </c>
      <c r="D26">
        <v>38.854191851403236</v>
      </c>
      <c r="E26">
        <v>3534.2747550296631</v>
      </c>
      <c r="F26" s="34">
        <v>3908674.9358711191</v>
      </c>
    </row>
    <row r="27" spans="1:6" x14ac:dyDescent="0.25">
      <c r="A27" s="17">
        <f t="shared" si="0"/>
        <v>43861</v>
      </c>
      <c r="B27">
        <v>20642.668949148745</v>
      </c>
      <c r="C27">
        <v>15834.774230138783</v>
      </c>
      <c r="D27">
        <v>38.726947267060829</v>
      </c>
      <c r="E27">
        <v>3543.8991736175026</v>
      </c>
      <c r="F27" s="34">
        <v>3915157.7148434394</v>
      </c>
    </row>
    <row r="28" spans="1:6" x14ac:dyDescent="0.25">
      <c r="A28" s="17">
        <f t="shared" si="0"/>
        <v>43890</v>
      </c>
      <c r="B28">
        <v>21655.689405859801</v>
      </c>
      <c r="C28">
        <v>15988.15789947248</v>
      </c>
      <c r="D28">
        <v>38.5999714266719</v>
      </c>
      <c r="E28">
        <v>3538.0990865511458</v>
      </c>
      <c r="F28" s="34">
        <v>3922514.7775719613</v>
      </c>
    </row>
    <row r="29" spans="1:6" x14ac:dyDescent="0.25">
      <c r="A29" s="17">
        <f t="shared" si="0"/>
        <v>43921</v>
      </c>
      <c r="B29">
        <v>20618.861655853842</v>
      </c>
      <c r="C29">
        <v>15911.702262786592</v>
      </c>
      <c r="D29">
        <v>38.473192546190141</v>
      </c>
      <c r="E29">
        <v>3532.3398076323915</v>
      </c>
      <c r="F29" s="34">
        <v>3928927.2501391596</v>
      </c>
    </row>
    <row r="30" spans="1:6" x14ac:dyDescent="0.25">
      <c r="A30" s="17">
        <f t="shared" si="0"/>
        <v>43951</v>
      </c>
      <c r="B30">
        <v>19981.308322147441</v>
      </c>
      <c r="C30">
        <v>15882.4122375152</v>
      </c>
      <c r="D30">
        <v>38.346830272840094</v>
      </c>
      <c r="E30">
        <v>3526.3929772015449</v>
      </c>
      <c r="F30" s="34">
        <v>3934746.1579282638</v>
      </c>
    </row>
    <row r="31" spans="1:6" x14ac:dyDescent="0.25">
      <c r="A31" s="17">
        <f t="shared" si="0"/>
        <v>43982</v>
      </c>
      <c r="B31">
        <v>19329.28858419459</v>
      </c>
      <c r="C31">
        <v>15839.515787946862</v>
      </c>
      <c r="D31">
        <v>38.220883236919271</v>
      </c>
      <c r="E31">
        <v>3520.3255152997363</v>
      </c>
      <c r="F31" s="34">
        <v>3939969.9627789105</v>
      </c>
    </row>
    <row r="32" spans="1:6" x14ac:dyDescent="0.25">
      <c r="A32" s="17">
        <f t="shared" si="0"/>
        <v>44012</v>
      </c>
      <c r="B32">
        <v>19504.663844216189</v>
      </c>
      <c r="C32">
        <v>15870.359544779481</v>
      </c>
      <c r="D32">
        <v>38.095350073230719</v>
      </c>
      <c r="E32">
        <v>3514.2137229447603</v>
      </c>
      <c r="F32" s="34">
        <v>3945351.5629336447</v>
      </c>
    </row>
    <row r="33" spans="1:6" x14ac:dyDescent="0.25">
      <c r="A33" s="17">
        <f t="shared" si="0"/>
        <v>44043</v>
      </c>
      <c r="B33">
        <v>20482.001885672042</v>
      </c>
      <c r="C33">
        <v>16416.322893534245</v>
      </c>
      <c r="D33">
        <v>37.970229421068176</v>
      </c>
      <c r="E33">
        <v>3508.1104434350709</v>
      </c>
      <c r="F33" s="34">
        <v>3951178.0049051316</v>
      </c>
    </row>
    <row r="34" spans="1:6" x14ac:dyDescent="0.25">
      <c r="A34" s="17">
        <f t="shared" si="0"/>
        <v>44074</v>
      </c>
      <c r="B34">
        <v>19715.084963163103</v>
      </c>
      <c r="C34">
        <v>15927.749193426656</v>
      </c>
      <c r="D34">
        <v>37.845034974260649</v>
      </c>
      <c r="E34">
        <v>3502.3190799636081</v>
      </c>
      <c r="F34" s="34">
        <v>3956739.8572872644</v>
      </c>
    </row>
    <row r="35" spans="1:6" x14ac:dyDescent="0.25">
      <c r="A35" s="17">
        <f t="shared" si="0"/>
        <v>44104</v>
      </c>
      <c r="B35">
        <v>19097.574585960305</v>
      </c>
      <c r="C35">
        <v>15882.164611344702</v>
      </c>
      <c r="D35">
        <v>37.720253594224673</v>
      </c>
      <c r="E35">
        <v>3496.2593818649257</v>
      </c>
      <c r="F35" s="34">
        <v>3961743.4495326891</v>
      </c>
    </row>
    <row r="36" spans="1:6" x14ac:dyDescent="0.25">
      <c r="A36" s="17">
        <f t="shared" si="0"/>
        <v>44135</v>
      </c>
      <c r="B36">
        <v>19450.223525088822</v>
      </c>
      <c r="C36">
        <v>15900.940008286301</v>
      </c>
      <c r="D36">
        <v>37.595883917160691</v>
      </c>
      <c r="E36">
        <v>3490.1769018794562</v>
      </c>
      <c r="F36" s="34">
        <v>3967093.8524400806</v>
      </c>
    </row>
    <row r="37" spans="1:6" x14ac:dyDescent="0.25">
      <c r="A37" s="17">
        <f t="shared" si="0"/>
        <v>44165</v>
      </c>
      <c r="B37">
        <v>18761.002311239965</v>
      </c>
      <c r="C37">
        <v>15847.380194616066</v>
      </c>
      <c r="D37">
        <v>37.471691789228998</v>
      </c>
      <c r="E37">
        <v>3484.0902907020973</v>
      </c>
      <c r="F37" s="34">
        <v>3971822.0015114639</v>
      </c>
    </row>
    <row r="38" spans="1:6" x14ac:dyDescent="0.25">
      <c r="A38" s="17">
        <f t="shared" si="0"/>
        <v>44196</v>
      </c>
      <c r="B38">
        <v>21538.948157121387</v>
      </c>
      <c r="C38">
        <v>16061.664729702157</v>
      </c>
      <c r="D38">
        <v>37.347910192570851</v>
      </c>
      <c r="E38">
        <v>3478.2638201556397</v>
      </c>
      <c r="F38" s="34">
        <v>3979126.1219206923</v>
      </c>
    </row>
    <row r="39" spans="1:6" x14ac:dyDescent="0.25">
      <c r="A39" s="17">
        <f t="shared" si="0"/>
        <v>44227</v>
      </c>
      <c r="B39">
        <v>19629.946963516522</v>
      </c>
      <c r="C39">
        <v>15956.90286699177</v>
      </c>
      <c r="D39">
        <v>37.224537769195123</v>
      </c>
      <c r="E39">
        <v>3489.0126037958962</v>
      </c>
      <c r="F39" s="34">
        <v>3984322.8536797906</v>
      </c>
    </row>
    <row r="40" spans="1:6" x14ac:dyDescent="0.25">
      <c r="A40" s="17">
        <f t="shared" si="0"/>
        <v>44255</v>
      </c>
      <c r="B40">
        <v>20601.672086182418</v>
      </c>
      <c r="C40">
        <v>16104.054952154596</v>
      </c>
      <c r="D40">
        <v>37.101412266820759</v>
      </c>
      <c r="E40">
        <v>3483.1757330635219</v>
      </c>
      <c r="F40" s="34">
        <v>3990356.713665592</v>
      </c>
    </row>
    <row r="41" spans="1:6" x14ac:dyDescent="0.25">
      <c r="A41" s="17">
        <f t="shared" si="0"/>
        <v>44286</v>
      </c>
      <c r="B41">
        <v>19556.518350899267</v>
      </c>
      <c r="C41">
        <v>15996.49605629243</v>
      </c>
      <c r="D41">
        <v>36.978464463210571</v>
      </c>
      <c r="E41">
        <v>3477.3857126269127</v>
      </c>
      <c r="F41" s="34">
        <v>3995466.5493759424</v>
      </c>
    </row>
    <row r="42" spans="1:6" x14ac:dyDescent="0.25">
      <c r="A42" s="17">
        <f t="shared" si="0"/>
        <v>44316</v>
      </c>
      <c r="B42">
        <v>18929.657042035098</v>
      </c>
      <c r="C42">
        <v>15962.085637501907</v>
      </c>
      <c r="D42">
        <v>36.855924327518522</v>
      </c>
      <c r="E42">
        <v>3471.4085769622779</v>
      </c>
      <c r="F42" s="34">
        <v>3999996.5187848653</v>
      </c>
    </row>
    <row r="43" spans="1:6" x14ac:dyDescent="0.25">
      <c r="A43" s="17">
        <f t="shared" si="0"/>
        <v>44347</v>
      </c>
      <c r="B43">
        <v>18296.389086078332</v>
      </c>
      <c r="C43">
        <v>15918.823699041408</v>
      </c>
      <c r="D43">
        <v>36.73379050721168</v>
      </c>
      <c r="E43">
        <v>3465.3164182654059</v>
      </c>
      <c r="F43" s="34">
        <v>4003948.4454710227</v>
      </c>
    </row>
    <row r="44" spans="1:6" x14ac:dyDescent="0.25">
      <c r="A44" s="17">
        <f t="shared" si="0"/>
        <v>44377</v>
      </c>
      <c r="B44">
        <v>18512.069781592181</v>
      </c>
      <c r="C44">
        <v>15961.302672747166</v>
      </c>
      <c r="D44">
        <v>36.612061654247114</v>
      </c>
      <c r="E44">
        <v>3459.1778423581318</v>
      </c>
      <c r="F44" s="34">
        <v>4008084.8495896403</v>
      </c>
    </row>
    <row r="45" spans="1:6" x14ac:dyDescent="0.25">
      <c r="A45" s="17">
        <f t="shared" si="0"/>
        <v>44408</v>
      </c>
      <c r="B45">
        <v>19459.148133690178</v>
      </c>
      <c r="C45">
        <v>16487.920363315196</v>
      </c>
      <c r="D45">
        <v>36.490736425056951</v>
      </c>
      <c r="E45">
        <v>3453.0515974941109</v>
      </c>
      <c r="F45" s="34">
        <v>4012653.2114668195</v>
      </c>
    </row>
    <row r="46" spans="1:6" x14ac:dyDescent="0.25">
      <c r="A46" s="17">
        <f t="shared" si="0"/>
        <v>44439</v>
      </c>
      <c r="B46">
        <v>18725.365527684513</v>
      </c>
      <c r="C46">
        <v>16018.722372973139</v>
      </c>
      <c r="D46">
        <v>36.369345403966875</v>
      </c>
      <c r="E46">
        <v>3447.2260395141298</v>
      </c>
      <c r="F46" s="34">
        <v>4016968.7334035775</v>
      </c>
    </row>
    <row r="47" spans="1:6" x14ac:dyDescent="0.25">
      <c r="A47" s="17">
        <f t="shared" si="0"/>
        <v>44469</v>
      </c>
      <c r="B47">
        <v>18130.468184167719</v>
      </c>
      <c r="C47">
        <v>15974.405010298442</v>
      </c>
      <c r="D47">
        <v>36.248358517757218</v>
      </c>
      <c r="E47">
        <v>3441.1427585790129</v>
      </c>
      <c r="F47" s="34">
        <v>4020745.3564733914</v>
      </c>
    </row>
    <row r="48" spans="1:6" x14ac:dyDescent="0.25">
      <c r="A48" s="17">
        <f t="shared" si="0"/>
        <v>44500</v>
      </c>
      <c r="B48">
        <v>18412.113636194044</v>
      </c>
      <c r="C48">
        <v>15953.037012221186</v>
      </c>
      <c r="D48">
        <v>36.127774419933992</v>
      </c>
      <c r="E48">
        <v>3435.0469288353138</v>
      </c>
      <c r="F48" s="34">
        <v>4024836.0023345239</v>
      </c>
    </row>
    <row r="49" spans="1:6" x14ac:dyDescent="0.25">
      <c r="A49" s="17">
        <f t="shared" si="0"/>
        <v>44530</v>
      </c>
      <c r="B49">
        <v>17704.842398252138</v>
      </c>
      <c r="C49">
        <v>15869.416908325455</v>
      </c>
      <c r="D49">
        <v>36.007343959077623</v>
      </c>
      <c r="E49">
        <v>3428.9454894246496</v>
      </c>
      <c r="F49" s="34">
        <v>4028314.4103864278</v>
      </c>
    </row>
    <row r="50" spans="1:6" x14ac:dyDescent="0.25">
      <c r="A50" s="17">
        <f t="shared" si="0"/>
        <v>44561</v>
      </c>
      <c r="B50">
        <v>20382.085931395024</v>
      </c>
      <c r="C50">
        <v>16076.957766760883</v>
      </c>
      <c r="D50">
        <v>35.8873152651325</v>
      </c>
      <c r="E50">
        <v>3423.0869990478168</v>
      </c>
      <c r="F50" s="34">
        <v>4034272.9140936215</v>
      </c>
    </row>
    <row r="51" spans="1:6" x14ac:dyDescent="0.25">
      <c r="A51" s="17">
        <f t="shared" si="0"/>
        <v>44592</v>
      </c>
      <c r="B51">
        <v>18546.397714546343</v>
      </c>
      <c r="C51">
        <v>15977.19960222905</v>
      </c>
      <c r="D51">
        <v>35.767686996708569</v>
      </c>
      <c r="E51">
        <v>3434.3415717494067</v>
      </c>
      <c r="F51" s="34">
        <v>4038451.465669937</v>
      </c>
    </row>
    <row r="52" spans="1:6" x14ac:dyDescent="0.25">
      <c r="A52" s="17">
        <f t="shared" si="0"/>
        <v>44620</v>
      </c>
      <c r="B52">
        <v>19449.861457880263</v>
      </c>
      <c r="C52">
        <v>16110.068025873523</v>
      </c>
      <c r="D52">
        <v>35.648287436549019</v>
      </c>
      <c r="E52">
        <v>3428.4160546072872</v>
      </c>
      <c r="F52" s="34">
        <v>4043411.9186034044</v>
      </c>
    </row>
    <row r="53" spans="1:6" x14ac:dyDescent="0.25">
      <c r="A53" s="17">
        <f t="shared" si="0"/>
        <v>44651</v>
      </c>
      <c r="B53">
        <v>18429.403379810657</v>
      </c>
      <c r="C53">
        <v>15982.823650377311</v>
      </c>
      <c r="D53">
        <v>35.529042107132469</v>
      </c>
      <c r="E53">
        <v>3422.5385969944937</v>
      </c>
      <c r="F53" s="34">
        <v>4047491.4001324908</v>
      </c>
    </row>
    <row r="54" spans="1:6" x14ac:dyDescent="0.25">
      <c r="A54" s="17">
        <f t="shared" si="0"/>
        <v>44681</v>
      </c>
      <c r="B54">
        <v>17764.350236587503</v>
      </c>
      <c r="C54">
        <v>15935.152794943051</v>
      </c>
      <c r="D54">
        <v>35.410195929455234</v>
      </c>
      <c r="E54">
        <v>3416.4805712443344</v>
      </c>
      <c r="F54" s="34">
        <v>4050964.8126295959</v>
      </c>
    </row>
    <row r="55" spans="1:6" x14ac:dyDescent="0.25">
      <c r="A55" s="17">
        <f t="shared" si="0"/>
        <v>44712</v>
      </c>
      <c r="B55">
        <v>17163.321965582887</v>
      </c>
      <c r="C55">
        <v>15845.402944339326</v>
      </c>
      <c r="D55">
        <v>35.291747566524862</v>
      </c>
      <c r="E55">
        <v>3410.3040614537326</v>
      </c>
      <c r="F55" s="34">
        <v>4053937.6149603808</v>
      </c>
    </row>
    <row r="56" spans="1:6" x14ac:dyDescent="0.25">
      <c r="A56" s="17">
        <f t="shared" si="0"/>
        <v>44742</v>
      </c>
      <c r="B56">
        <v>17278.594818657137</v>
      </c>
      <c r="C56">
        <v>32803.536870941549</v>
      </c>
      <c r="D56">
        <v>35.173695685830275</v>
      </c>
      <c r="E56">
        <v>3388.6919208871068</v>
      </c>
      <c r="F56" s="34">
        <v>4040093.0293989517</v>
      </c>
    </row>
    <row r="57" spans="1:6" x14ac:dyDescent="0.25">
      <c r="A57" s="17">
        <f t="shared" si="0"/>
        <v>44773</v>
      </c>
      <c r="B57">
        <v>18140.135473310114</v>
      </c>
      <c r="C57">
        <v>41282.313675426914</v>
      </c>
      <c r="D57">
        <v>35.056038959326791</v>
      </c>
      <c r="E57">
        <v>3365.4229406006129</v>
      </c>
      <c r="F57" s="34">
        <v>4018637.1629169262</v>
      </c>
    </row>
    <row r="58" spans="1:6" x14ac:dyDescent="0.25">
      <c r="A58" s="17">
        <f t="shared" si="0"/>
        <v>44804</v>
      </c>
      <c r="B58">
        <v>17439.671135419816</v>
      </c>
      <c r="C58">
        <v>15846.151622268726</v>
      </c>
      <c r="D58">
        <v>34.938337118352905</v>
      </c>
      <c r="E58">
        <v>3359.5555649188695</v>
      </c>
      <c r="F58" s="34">
        <v>4021895.9646264669</v>
      </c>
    </row>
    <row r="59" spans="1:6" x14ac:dyDescent="0.25">
      <c r="A59" s="17">
        <f t="shared" si="0"/>
        <v>44834</v>
      </c>
      <c r="B59">
        <v>16867.714406311516</v>
      </c>
      <c r="C59">
        <v>15716.405378255389</v>
      </c>
      <c r="D59">
        <v>34.821030808386951</v>
      </c>
      <c r="E59">
        <v>3353.4408538819107</v>
      </c>
      <c r="F59" s="34">
        <v>4024722.8909525517</v>
      </c>
    </row>
    <row r="60" spans="1:6" x14ac:dyDescent="0.25">
      <c r="A60" s="17">
        <f t="shared" si="0"/>
        <v>44865</v>
      </c>
      <c r="B60">
        <v>17164.169933402864</v>
      </c>
      <c r="C60">
        <v>44653.186794078625</v>
      </c>
      <c r="D60">
        <v>34.704118699103802</v>
      </c>
      <c r="E60">
        <v>3329.2242010289174</v>
      </c>
      <c r="F60" s="34">
        <v>3998937.3842745242</v>
      </c>
    </row>
    <row r="61" spans="1:6" x14ac:dyDescent="0.25">
      <c r="A61" s="17">
        <f t="shared" si="0"/>
        <v>44895</v>
      </c>
      <c r="B61">
        <v>16265.672173320479</v>
      </c>
      <c r="C61">
        <v>98219.917772913803</v>
      </c>
      <c r="D61">
        <v>34.587337317628084</v>
      </c>
      <c r="E61">
        <v>3259.1098358098716</v>
      </c>
      <c r="F61" s="34">
        <v>3918724.4140499053</v>
      </c>
    </row>
    <row r="62" spans="1:6" x14ac:dyDescent="0.25">
      <c r="A62" s="17">
        <f t="shared" si="0"/>
        <v>44926</v>
      </c>
      <c r="B62">
        <v>18869.660050126495</v>
      </c>
      <c r="C62">
        <v>15555.088784310221</v>
      </c>
      <c r="D62">
        <v>34.470949262498074</v>
      </c>
      <c r="E62">
        <v>3253.3483763193758</v>
      </c>
      <c r="F62" s="34">
        <v>3923685.1441829242</v>
      </c>
    </row>
    <row r="63" spans="1:6" x14ac:dyDescent="0.25">
      <c r="A63" s="17">
        <f t="shared" si="0"/>
        <v>44957</v>
      </c>
      <c r="B63">
        <v>17033.643018782604</v>
      </c>
      <c r="C63">
        <v>40037.698477665232</v>
      </c>
      <c r="D63">
        <v>34.354953207785876</v>
      </c>
      <c r="E63">
        <v>3248.251726136798</v>
      </c>
      <c r="F63" s="34">
        <v>3902034.1559557179</v>
      </c>
    </row>
    <row r="64" spans="1:6" x14ac:dyDescent="0.25">
      <c r="A64" s="17">
        <f t="shared" si="0"/>
        <v>44985</v>
      </c>
      <c r="B64">
        <v>17928.334541980857</v>
      </c>
      <c r="C64">
        <v>15436.081680291665</v>
      </c>
      <c r="D64">
        <v>34.239172259926285</v>
      </c>
      <c r="E64">
        <v>3242.5438027332721</v>
      </c>
      <c r="F64" s="34">
        <v>3905859.7199942074</v>
      </c>
    </row>
    <row r="65" spans="1:6" x14ac:dyDescent="0.25">
      <c r="A65" s="17">
        <f t="shared" si="0"/>
        <v>45016</v>
      </c>
      <c r="B65">
        <v>16631.016878568578</v>
      </c>
      <c r="C65">
        <v>63788.961175125885</v>
      </c>
      <c r="D65">
        <v>34.123523037557121</v>
      </c>
      <c r="E65">
        <v>3203.3631556108785</v>
      </c>
      <c r="F65" s="34">
        <v>3860078.902918621</v>
      </c>
    </row>
    <row r="66" spans="1:6" x14ac:dyDescent="0.25">
      <c r="A66" s="17">
        <f t="shared" si="0"/>
        <v>45046</v>
      </c>
      <c r="B66">
        <v>16040.475486138032</v>
      </c>
      <c r="C66">
        <v>58873.14943130569</v>
      </c>
      <c r="D66">
        <v>34.008264743163281</v>
      </c>
      <c r="E66">
        <v>3165.4426828461765</v>
      </c>
      <c r="F66" s="34">
        <v>3818607.3037579735</v>
      </c>
    </row>
    <row r="67" spans="1:6" x14ac:dyDescent="0.25">
      <c r="A67" s="17">
        <f t="shared" si="0"/>
        <v>45077</v>
      </c>
      <c r="B67">
        <v>15134.041692011735</v>
      </c>
      <c r="C67">
        <v>98858.681669666679</v>
      </c>
      <c r="D67">
        <v>33.893396054275122</v>
      </c>
      <c r="E67">
        <v>3085.1055800896925</v>
      </c>
      <c r="F67" s="34">
        <v>3736275.1935339198</v>
      </c>
    </row>
    <row r="68" spans="1:6" x14ac:dyDescent="0.25">
      <c r="A68" s="17">
        <f t="shared" ref="A68:A131" si="1">DATE(YEAR(A67),MONTH(A67)+2,1)-1</f>
        <v>45107</v>
      </c>
      <c r="B68">
        <v>14869.786030390092</v>
      </c>
      <c r="C68">
        <v>148437.16110982661</v>
      </c>
      <c r="D68">
        <v>33.778915652900231</v>
      </c>
      <c r="E68">
        <v>2960.802582058725</v>
      </c>
      <c r="F68" s="34">
        <v>3604127.4936574493</v>
      </c>
    </row>
    <row r="69" spans="1:6" x14ac:dyDescent="0.25">
      <c r="A69" s="17">
        <f t="shared" si="1"/>
        <v>45138</v>
      </c>
      <c r="B69">
        <v>13821.643814737223</v>
      </c>
      <c r="C69">
        <v>184635.18256883745</v>
      </c>
      <c r="D69">
        <v>20.244128873761994</v>
      </c>
      <c r="E69">
        <v>2828.1803341465206</v>
      </c>
      <c r="F69" s="34">
        <v>3434723.660025246</v>
      </c>
    </row>
    <row r="70" spans="1:6" x14ac:dyDescent="0.25">
      <c r="A70" s="17">
        <f t="shared" si="1"/>
        <v>45169</v>
      </c>
      <c r="B70">
        <v>14511.726012032308</v>
      </c>
      <c r="C70">
        <v>37722.575813386808</v>
      </c>
      <c r="D70">
        <v>20.176365268023922</v>
      </c>
      <c r="E70">
        <v>2806.2638589405469</v>
      </c>
      <c r="F70" s="34">
        <v>3412744.3558668606</v>
      </c>
    </row>
    <row r="71" spans="1:6" x14ac:dyDescent="0.25">
      <c r="A71" s="17">
        <f t="shared" si="1"/>
        <v>45199</v>
      </c>
      <c r="B71">
        <v>13757.58875833214</v>
      </c>
      <c r="C71">
        <v>29431.36273841681</v>
      </c>
      <c r="D71">
        <v>20.108828601872439</v>
      </c>
      <c r="E71">
        <v>2786.3257117843391</v>
      </c>
      <c r="F71" s="34">
        <v>3398296.1655624588</v>
      </c>
    </row>
    <row r="72" spans="1:6" x14ac:dyDescent="0.25">
      <c r="A72" s="17">
        <f t="shared" si="1"/>
        <v>45230</v>
      </c>
      <c r="B72">
        <v>14067.526485174834</v>
      </c>
      <c r="C72">
        <v>60194.925592595704</v>
      </c>
      <c r="D72">
        <v>20.041518114917082</v>
      </c>
      <c r="E72">
        <v>2748.5982031109884</v>
      </c>
      <c r="F72" s="34">
        <v>3353415.0750025269</v>
      </c>
    </row>
    <row r="73" spans="1:6" x14ac:dyDescent="0.25">
      <c r="A73" s="17">
        <f t="shared" si="1"/>
        <v>45260</v>
      </c>
      <c r="B73">
        <v>13136.557943518819</v>
      </c>
      <c r="C73">
        <v>123134.41876941999</v>
      </c>
      <c r="D73">
        <v>19.974163301287277</v>
      </c>
      <c r="E73">
        <v>2663.7740981459465</v>
      </c>
      <c r="F73" s="34">
        <v>3244695.38900655</v>
      </c>
    </row>
    <row r="74" spans="1:6" x14ac:dyDescent="0.25">
      <c r="A74" s="17">
        <f t="shared" si="1"/>
        <v>45291</v>
      </c>
      <c r="B74">
        <v>15198.830666990032</v>
      </c>
      <c r="C74">
        <v>118885.20560674329</v>
      </c>
      <c r="D74">
        <v>19.907034999134428</v>
      </c>
      <c r="E74">
        <v>2569.8715109853479</v>
      </c>
      <c r="F74" s="34">
        <v>3142252.7107389565</v>
      </c>
    </row>
    <row r="75" spans="1:6" x14ac:dyDescent="0.25">
      <c r="A75" s="17">
        <f t="shared" si="1"/>
        <v>45322</v>
      </c>
      <c r="B75">
        <v>13413.430196694098</v>
      </c>
      <c r="C75">
        <v>12413.978492605409</v>
      </c>
      <c r="D75">
        <v>19.840132446220576</v>
      </c>
      <c r="E75">
        <v>2579.116046254182</v>
      </c>
      <c r="F75" s="34">
        <v>3144448.3497821763</v>
      </c>
    </row>
    <row r="76" spans="1:6" x14ac:dyDescent="0.25">
      <c r="A76" s="17">
        <f t="shared" si="1"/>
        <v>45351</v>
      </c>
      <c r="B76">
        <v>14237.415051158296</v>
      </c>
      <c r="C76">
        <v>12529.154287764688</v>
      </c>
      <c r="D76">
        <v>19.773276845342146</v>
      </c>
      <c r="E76">
        <v>2574.6278357926408</v>
      </c>
      <c r="F76" s="34">
        <v>3147360.0047951704</v>
      </c>
    </row>
    <row r="77" spans="1:6" x14ac:dyDescent="0.25">
      <c r="A77" s="17">
        <f t="shared" si="1"/>
        <v>45382</v>
      </c>
      <c r="B77">
        <v>13264.19775258443</v>
      </c>
      <c r="C77">
        <v>12427.158616505762</v>
      </c>
      <c r="D77">
        <v>19.706380362546199</v>
      </c>
      <c r="E77">
        <v>2570.1798782354522</v>
      </c>
      <c r="F77" s="34">
        <v>3149408.4696675949</v>
      </c>
    </row>
    <row r="78" spans="1:6" x14ac:dyDescent="0.25">
      <c r="A78" s="17">
        <f t="shared" si="1"/>
        <v>45412</v>
      </c>
      <c r="B78">
        <v>12793.003477420896</v>
      </c>
      <c r="C78">
        <v>12397.117256825164</v>
      </c>
      <c r="D78">
        <v>19.639710332830628</v>
      </c>
      <c r="E78">
        <v>2565.5474710036369</v>
      </c>
      <c r="F78" s="34">
        <v>3151022.9547924879</v>
      </c>
    </row>
    <row r="79" spans="1:6" x14ac:dyDescent="0.25">
      <c r="A79" s="17">
        <f t="shared" si="1"/>
        <v>45443</v>
      </c>
      <c r="B79">
        <v>12250.234941039547</v>
      </c>
      <c r="C79">
        <v>12354.942868991648</v>
      </c>
      <c r="D79">
        <v>19.573265989189231</v>
      </c>
      <c r="E79">
        <v>2560.835578934079</v>
      </c>
      <c r="F79" s="34">
        <v>3152143.5740447738</v>
      </c>
    </row>
    <row r="80" spans="1:6" x14ac:dyDescent="0.25">
      <c r="A80" s="17">
        <f t="shared" si="1"/>
        <v>45473</v>
      </c>
      <c r="B80">
        <v>12351.38716452733</v>
      </c>
      <c r="C80">
        <v>12357.473821286789</v>
      </c>
      <c r="D80">
        <v>19.507046567215127</v>
      </c>
      <c r="E80">
        <v>2556.0909280335864</v>
      </c>
      <c r="F80" s="34">
        <v>3153368.9788977923</v>
      </c>
    </row>
    <row r="81" spans="1:6" x14ac:dyDescent="0.25">
      <c r="A81" s="17">
        <f t="shared" si="1"/>
        <v>45504</v>
      </c>
      <c r="B81">
        <v>11935.39934291582</v>
      </c>
      <c r="C81">
        <v>12349.83137575458</v>
      </c>
      <c r="D81">
        <v>19.441051305091946</v>
      </c>
      <c r="E81">
        <v>2551.2920831808733</v>
      </c>
      <c r="F81" s="34">
        <v>3154192.3832317959</v>
      </c>
    </row>
    <row r="82" spans="1:6" x14ac:dyDescent="0.25">
      <c r="A82" s="17">
        <f t="shared" si="1"/>
        <v>45535</v>
      </c>
      <c r="B82">
        <v>12694.689990581724</v>
      </c>
      <c r="C82">
        <v>12430.506796885389</v>
      </c>
      <c r="D82">
        <v>19.375279443585033</v>
      </c>
      <c r="E82">
        <v>2546.5381357018405</v>
      </c>
      <c r="F82" s="34">
        <v>3155700.2170012696</v>
      </c>
    </row>
    <row r="83" spans="1:6" x14ac:dyDescent="0.25">
      <c r="A83" s="17">
        <f t="shared" si="1"/>
        <v>45565</v>
      </c>
      <c r="B83">
        <v>12076.172215610117</v>
      </c>
      <c r="C83">
        <v>12357.963902937772</v>
      </c>
      <c r="D83">
        <v>19.309730226032727</v>
      </c>
      <c r="E83">
        <v>2541.8411929209833</v>
      </c>
      <c r="F83" s="34">
        <v>3156668.6595100882</v>
      </c>
    </row>
    <row r="84" spans="1:6" x14ac:dyDescent="0.25">
      <c r="A84" s="17">
        <f t="shared" si="1"/>
        <v>45596</v>
      </c>
      <c r="B84">
        <v>12517.758312820684</v>
      </c>
      <c r="C84">
        <v>12429.225848358357</v>
      </c>
      <c r="D84">
        <v>19.244402898337597</v>
      </c>
      <c r="E84">
        <v>2537.0847053093603</v>
      </c>
      <c r="F84" s="34">
        <v>3158013.4176491378</v>
      </c>
    </row>
    <row r="85" spans="1:6" x14ac:dyDescent="0.25">
      <c r="A85" s="17">
        <f t="shared" si="1"/>
        <v>45626</v>
      </c>
      <c r="B85">
        <v>11985.873156635173</v>
      </c>
      <c r="C85">
        <v>12386.86283255868</v>
      </c>
      <c r="D85">
        <v>19.179028935666064</v>
      </c>
      <c r="E85">
        <v>2532.3581644133669</v>
      </c>
      <c r="F85" s="34">
        <v>3158875.0697318781</v>
      </c>
    </row>
    <row r="86" spans="1:6" x14ac:dyDescent="0.25">
      <c r="A86" s="17">
        <f t="shared" si="1"/>
        <v>45657</v>
      </c>
      <c r="B86">
        <v>14235.594851225749</v>
      </c>
      <c r="C86">
        <v>12490.016814661065</v>
      </c>
      <c r="D86">
        <v>19.113877216301727</v>
      </c>
      <c r="E86">
        <v>2527.8756462644155</v>
      </c>
      <c r="F86" s="34">
        <v>3161888.8778813593</v>
      </c>
    </row>
    <row r="87" spans="1:6" x14ac:dyDescent="0.25">
      <c r="A87" s="17">
        <f t="shared" si="1"/>
        <v>45688</v>
      </c>
      <c r="B87">
        <v>12640.900292994342</v>
      </c>
      <c r="C87">
        <v>12390.343126618696</v>
      </c>
      <c r="D87">
        <v>19.048946984160381</v>
      </c>
      <c r="E87">
        <v>2537.0977813193531</v>
      </c>
      <c r="F87" s="34">
        <v>3163517.831545922</v>
      </c>
    </row>
    <row r="88" spans="1:6" x14ac:dyDescent="0.25">
      <c r="A88" s="17">
        <f t="shared" si="1"/>
        <v>45716</v>
      </c>
      <c r="B88">
        <v>13452.859938920277</v>
      </c>
      <c r="C88">
        <v>12507.622206123238</v>
      </c>
      <c r="D88">
        <v>18.984055456278433</v>
      </c>
      <c r="E88">
        <v>2532.6057236258257</v>
      </c>
      <c r="F88" s="34">
        <v>3165848.0497387303</v>
      </c>
    </row>
    <row r="89" spans="1:6" x14ac:dyDescent="0.25">
      <c r="A89" s="17">
        <f t="shared" si="1"/>
        <v>45747</v>
      </c>
      <c r="B89">
        <v>12519.114258707061</v>
      </c>
      <c r="C89">
        <v>12414.092526933779</v>
      </c>
      <c r="D89">
        <v>18.91912078213236</v>
      </c>
      <c r="E89">
        <v>2528.1540264570958</v>
      </c>
      <c r="F89" s="34">
        <v>3167345.4682038603</v>
      </c>
    </row>
    <row r="90" spans="1:6" x14ac:dyDescent="0.25">
      <c r="A90" s="17">
        <f t="shared" si="1"/>
        <v>45777</v>
      </c>
      <c r="B90">
        <v>12109.373374647817</v>
      </c>
      <c r="C90">
        <v>12415.720713994529</v>
      </c>
      <c r="D90">
        <v>18.854408361821598</v>
      </c>
      <c r="E90">
        <v>2523.5154141210019</v>
      </c>
      <c r="F90" s="34">
        <v>3168438.0842574565</v>
      </c>
    </row>
    <row r="91" spans="1:6" x14ac:dyDescent="0.25">
      <c r="A91" s="17">
        <f t="shared" si="1"/>
        <v>45808</v>
      </c>
      <c r="B91">
        <v>11588.570282259878</v>
      </c>
      <c r="C91">
        <v>12375.009030411255</v>
      </c>
      <c r="D91">
        <v>18.789917434141962</v>
      </c>
      <c r="E91">
        <v>2518.8079448557764</v>
      </c>
      <c r="F91" s="34">
        <v>3169056.7404754008</v>
      </c>
    </row>
    <row r="92" spans="1:6" x14ac:dyDescent="0.25">
      <c r="A92" s="17">
        <f t="shared" si="1"/>
        <v>45838</v>
      </c>
      <c r="B92">
        <v>11590.277601689408</v>
      </c>
      <c r="C92">
        <v>12316.61551109932</v>
      </c>
      <c r="D92">
        <v>18.725647240497974</v>
      </c>
      <c r="E92">
        <v>2514.0836223511978</v>
      </c>
      <c r="F92" s="34">
        <v>3169741.0559588065</v>
      </c>
    </row>
    <row r="93" spans="1:6" x14ac:dyDescent="0.25">
      <c r="A93" s="17">
        <f t="shared" si="1"/>
        <v>45869</v>
      </c>
      <c r="B93">
        <v>11191.749444141744</v>
      </c>
      <c r="C93">
        <v>12309.434519819086</v>
      </c>
      <c r="D93">
        <v>18.661597024893936</v>
      </c>
      <c r="E93">
        <v>2509.2928319348339</v>
      </c>
      <c r="F93" s="34">
        <v>3170039.730654676</v>
      </c>
    </row>
    <row r="94" spans="1:6" x14ac:dyDescent="0.25">
      <c r="A94" s="17">
        <f t="shared" si="1"/>
        <v>45900</v>
      </c>
      <c r="B94">
        <v>11922.094491042082</v>
      </c>
      <c r="C94">
        <v>12387.060473746609</v>
      </c>
      <c r="D94">
        <v>18.597766033924991</v>
      </c>
      <c r="E94">
        <v>2504.5452057479592</v>
      </c>
      <c r="F94" s="34">
        <v>3170996.3075609757</v>
      </c>
    </row>
    <row r="95" spans="1:6" x14ac:dyDescent="0.25">
      <c r="A95" s="17">
        <f t="shared" si="1"/>
        <v>45930</v>
      </c>
      <c r="B95">
        <v>11327.517418292282</v>
      </c>
      <c r="C95">
        <v>12317.009643929372</v>
      </c>
      <c r="D95">
        <v>18.53415351676826</v>
      </c>
      <c r="E95">
        <v>2499.8520836248654</v>
      </c>
      <c r="F95" s="34">
        <v>3171434.3052896159</v>
      </c>
    </row>
    <row r="96" spans="1:6" x14ac:dyDescent="0.25">
      <c r="A96" s="17">
        <f t="shared" si="1"/>
        <v>45961</v>
      </c>
      <c r="B96">
        <v>11775.402036636979</v>
      </c>
      <c r="C96">
        <v>12392.22635295868</v>
      </c>
      <c r="D96">
        <v>18.470758725173969</v>
      </c>
      <c r="E96">
        <v>2495.100440020833</v>
      </c>
      <c r="F96" s="34">
        <v>3172250.3309949213</v>
      </c>
    </row>
    <row r="97" spans="1:6" x14ac:dyDescent="0.25">
      <c r="A97" s="17">
        <f t="shared" si="1"/>
        <v>45991</v>
      </c>
      <c r="B97">
        <v>11157.460253420619</v>
      </c>
      <c r="C97">
        <v>12258.647903782403</v>
      </c>
      <c r="D97">
        <v>18.40732444409084</v>
      </c>
      <c r="E97">
        <v>2490.4027199046486</v>
      </c>
      <c r="F97" s="34">
        <v>3172587.769954253</v>
      </c>
    </row>
    <row r="98" spans="1:6" x14ac:dyDescent="0.25">
      <c r="A98" s="17">
        <f t="shared" si="1"/>
        <v>46022</v>
      </c>
      <c r="B98">
        <v>13188.583934292772</v>
      </c>
      <c r="C98">
        <v>12235.782832784987</v>
      </c>
      <c r="D98">
        <v>18.34410819696383</v>
      </c>
      <c r="E98">
        <v>2485.9433135439326</v>
      </c>
      <c r="F98" s="34">
        <v>3174984.1401852234</v>
      </c>
    </row>
    <row r="99" spans="1:6" x14ac:dyDescent="0.25">
      <c r="A99" s="17">
        <f t="shared" si="1"/>
        <v>46053</v>
      </c>
      <c r="B99">
        <v>11706.080533302791</v>
      </c>
      <c r="C99">
        <v>12171.271693102397</v>
      </c>
      <c r="D99">
        <v>18.281109233764134</v>
      </c>
      <c r="E99">
        <v>2495.3359038901935</v>
      </c>
      <c r="F99" s="34">
        <v>3175983.8338524634</v>
      </c>
    </row>
    <row r="100" spans="1:6" x14ac:dyDescent="0.25">
      <c r="A100" s="17">
        <f t="shared" si="1"/>
        <v>46081</v>
      </c>
      <c r="B100">
        <v>12499.055358464728</v>
      </c>
      <c r="C100">
        <v>12226.839470675168</v>
      </c>
      <c r="D100">
        <v>18.21813630213828</v>
      </c>
      <c r="E100">
        <v>2490.857915454892</v>
      </c>
      <c r="F100" s="34">
        <v>3177726.7282225052</v>
      </c>
    </row>
    <row r="101" spans="1:6" x14ac:dyDescent="0.25">
      <c r="A101" s="17">
        <f t="shared" si="1"/>
        <v>46112</v>
      </c>
      <c r="B101">
        <v>11298.141932244604</v>
      </c>
      <c r="C101">
        <v>33049.229331265262</v>
      </c>
      <c r="D101">
        <v>18.155127258384269</v>
      </c>
      <c r="E101">
        <v>2471.674160686372</v>
      </c>
      <c r="F101" s="34">
        <v>3157467.7500516232</v>
      </c>
    </row>
    <row r="102" spans="1:6" x14ac:dyDescent="0.25">
      <c r="A102" s="17">
        <f t="shared" si="1"/>
        <v>46142</v>
      </c>
      <c r="B102">
        <v>10913.844767715431</v>
      </c>
      <c r="C102">
        <v>11944.32520093245</v>
      </c>
      <c r="D102">
        <v>18.092336293921296</v>
      </c>
      <c r="E102">
        <v>2467.0648197274131</v>
      </c>
      <c r="F102" s="34">
        <v>3157908.6649046014</v>
      </c>
    </row>
    <row r="103" spans="1:6" x14ac:dyDescent="0.25">
      <c r="A103" s="17">
        <f t="shared" si="1"/>
        <v>46173</v>
      </c>
      <c r="B103">
        <v>10500.459626752036</v>
      </c>
      <c r="C103">
        <v>11931.138664401644</v>
      </c>
      <c r="D103">
        <v>18.029762653427422</v>
      </c>
      <c r="E103">
        <v>2462.399729634405</v>
      </c>
      <c r="F103" s="34">
        <v>3157954.6613174458</v>
      </c>
    </row>
    <row r="104" spans="1:6" x14ac:dyDescent="0.25">
      <c r="A104" s="17">
        <f t="shared" si="1"/>
        <v>46203</v>
      </c>
      <c r="B104">
        <v>10535.033612244511</v>
      </c>
      <c r="C104">
        <v>11916.956275434111</v>
      </c>
      <c r="D104">
        <v>17.967405584198616</v>
      </c>
      <c r="E104">
        <v>2457.7327562973978</v>
      </c>
      <c r="F104" s="34">
        <v>3158054.201072237</v>
      </c>
    </row>
    <row r="105" spans="1:6" x14ac:dyDescent="0.25">
      <c r="A105" s="17">
        <f t="shared" si="1"/>
        <v>46234</v>
      </c>
      <c r="B105">
        <v>10154.577929432184</v>
      </c>
      <c r="C105">
        <v>11911.213498271309</v>
      </c>
      <c r="D105">
        <v>17.905264336139613</v>
      </c>
      <c r="E105">
        <v>2453.0123422039342</v>
      </c>
      <c r="F105" s="34">
        <v>3157783.9352077688</v>
      </c>
    </row>
    <row r="106" spans="1:6" x14ac:dyDescent="0.25">
      <c r="A106" s="17">
        <f t="shared" si="1"/>
        <v>46265</v>
      </c>
      <c r="B106">
        <v>10857.998972247509</v>
      </c>
      <c r="C106">
        <v>11986.893636053472</v>
      </c>
      <c r="D106">
        <v>17.843338161754904</v>
      </c>
      <c r="E106">
        <v>2448.3335044228493</v>
      </c>
      <c r="F106" s="34">
        <v>3158145.8123481618</v>
      </c>
    </row>
    <row r="107" spans="1:6" x14ac:dyDescent="0.25">
      <c r="A107" s="17">
        <f t="shared" si="1"/>
        <v>46295</v>
      </c>
      <c r="B107">
        <v>10245.046801251923</v>
      </c>
      <c r="C107">
        <v>11907.622963437025</v>
      </c>
      <c r="D107">
        <v>17.781626316139725</v>
      </c>
      <c r="E107">
        <v>2443.7098483548643</v>
      </c>
      <c r="F107" s="34">
        <v>3157979.1468182644</v>
      </c>
    </row>
    <row r="108" spans="1:6" x14ac:dyDescent="0.25">
      <c r="A108" s="17">
        <f t="shared" si="1"/>
        <v>46326</v>
      </c>
      <c r="B108">
        <v>10492.440807330238</v>
      </c>
      <c r="C108">
        <v>11910.580304378018</v>
      </c>
      <c r="D108">
        <v>11.848086736048792</v>
      </c>
      <c r="E108">
        <v>2439.0442940236508</v>
      </c>
      <c r="F108" s="34">
        <v>3158067.3082025517</v>
      </c>
    </row>
    <row r="109" spans="1:6" x14ac:dyDescent="0.25">
      <c r="A109" s="17">
        <f t="shared" si="1"/>
        <v>46356</v>
      </c>
      <c r="B109">
        <v>10088.171759153969</v>
      </c>
      <c r="C109">
        <v>11899.032261794973</v>
      </c>
      <c r="D109">
        <v>11.80749840373543</v>
      </c>
      <c r="E109">
        <v>2434.3680045656638</v>
      </c>
      <c r="F109" s="34">
        <v>3157767.5759321102</v>
      </c>
    </row>
    <row r="110" spans="1:6" x14ac:dyDescent="0.25">
      <c r="A110" s="17">
        <f t="shared" si="1"/>
        <v>46387</v>
      </c>
      <c r="B110">
        <v>12180.186653379529</v>
      </c>
      <c r="C110">
        <v>12029.476332551789</v>
      </c>
      <c r="D110">
        <v>11.767049230299703</v>
      </c>
      <c r="E110">
        <v>2429.9316606703278</v>
      </c>
      <c r="F110" s="34">
        <v>3159433.5156903742</v>
      </c>
    </row>
    <row r="111" spans="1:6" x14ac:dyDescent="0.25">
      <c r="A111" s="17">
        <f t="shared" si="1"/>
        <v>46418</v>
      </c>
      <c r="B111">
        <v>10675.908747006091</v>
      </c>
      <c r="C111">
        <v>11928.4782194657</v>
      </c>
      <c r="D111">
        <v>11.726738738238026</v>
      </c>
      <c r="E111">
        <v>2439.2343267480856</v>
      </c>
      <c r="F111" s="34">
        <v>3159800.9029534636</v>
      </c>
    </row>
    <row r="112" spans="1:6" x14ac:dyDescent="0.25">
      <c r="A112" s="17">
        <f t="shared" si="1"/>
        <v>46446</v>
      </c>
      <c r="B112">
        <v>11018.838302529157</v>
      </c>
      <c r="C112">
        <v>11916.083826065647</v>
      </c>
      <c r="D112">
        <v>5.8899565273507806</v>
      </c>
      <c r="E112">
        <v>2434.8414944833203</v>
      </c>
      <c r="F112" s="34">
        <v>3160534.3171570143</v>
      </c>
    </row>
    <row r="113" spans="1:6" x14ac:dyDescent="0.25">
      <c r="A113" s="17">
        <f t="shared" si="1"/>
        <v>46477</v>
      </c>
      <c r="B113">
        <v>10259.025324780159</v>
      </c>
      <c r="C113">
        <v>11815.497007833294</v>
      </c>
      <c r="D113">
        <v>5.8701510304432452</v>
      </c>
      <c r="E113">
        <v>2430.3845455887381</v>
      </c>
      <c r="F113" s="34">
        <v>3160613.92695679</v>
      </c>
    </row>
    <row r="114" spans="1:6" x14ac:dyDescent="0.25">
      <c r="A114" s="17">
        <f t="shared" si="1"/>
        <v>46507</v>
      </c>
      <c r="B114">
        <v>9996.6593620840904</v>
      </c>
      <c r="C114">
        <v>26013.192132701617</v>
      </c>
      <c r="D114">
        <v>5.8504121312611659</v>
      </c>
      <c r="E114">
        <v>2412.4701221849646</v>
      </c>
      <c r="F114" s="34">
        <v>3146251.5124082207</v>
      </c>
    </row>
    <row r="115" spans="1:6" x14ac:dyDescent="0.25">
      <c r="A115" s="17">
        <f t="shared" si="1"/>
        <v>46538</v>
      </c>
      <c r="B115">
        <v>9560.0417658375754</v>
      </c>
      <c r="C115">
        <v>11686.169213250461</v>
      </c>
      <c r="D115">
        <v>5.8307396058638332</v>
      </c>
      <c r="E115">
        <v>2407.8637118733759</v>
      </c>
      <c r="F115" s="34">
        <v>3145765.6233503884</v>
      </c>
    </row>
    <row r="116" spans="1:6" x14ac:dyDescent="0.25">
      <c r="A116" s="17">
        <f t="shared" si="1"/>
        <v>46568</v>
      </c>
      <c r="B116">
        <v>9465.6823473836357</v>
      </c>
      <c r="C116">
        <v>60243.429125014634</v>
      </c>
      <c r="D116">
        <v>5.8111332310635539</v>
      </c>
      <c r="E116">
        <v>2372.0416826640767</v>
      </c>
      <c r="F116" s="34">
        <v>3096663.3305317638</v>
      </c>
    </row>
    <row r="117" spans="1:6" x14ac:dyDescent="0.25">
      <c r="A117" s="17">
        <f t="shared" si="1"/>
        <v>46599</v>
      </c>
      <c r="B117">
        <v>8960.2557107798857</v>
      </c>
      <c r="C117">
        <v>45651.699699346522</v>
      </c>
      <c r="D117">
        <v>5.7915927844231323</v>
      </c>
      <c r="E117">
        <v>2339.8136641958763</v>
      </c>
      <c r="F117" s="34">
        <v>3061616.3199477256</v>
      </c>
    </row>
    <row r="118" spans="1:6" x14ac:dyDescent="0.25">
      <c r="A118" s="17">
        <f t="shared" si="1"/>
        <v>46630</v>
      </c>
      <c r="B118">
        <v>9638.1784426197064</v>
      </c>
      <c r="C118">
        <v>17856.61777266223</v>
      </c>
      <c r="D118">
        <v>5.772118044253328</v>
      </c>
      <c r="E118">
        <v>2323.9742830522155</v>
      </c>
      <c r="F118" s="34">
        <v>3055013.0149412253</v>
      </c>
    </row>
    <row r="119" spans="1:6" x14ac:dyDescent="0.25">
      <c r="A119" s="17">
        <f t="shared" si="1"/>
        <v>46660</v>
      </c>
      <c r="B119">
        <v>9032.8105633882606</v>
      </c>
      <c r="C119">
        <v>32023.360408815981</v>
      </c>
      <c r="D119">
        <v>5.7527087896103559</v>
      </c>
      <c r="E119">
        <v>2304.9345363073271</v>
      </c>
      <c r="F119" s="34">
        <v>3033648.1502425112</v>
      </c>
    </row>
    <row r="120" spans="1:6" x14ac:dyDescent="0.25">
      <c r="A120" s="17">
        <f t="shared" si="1"/>
        <v>46691</v>
      </c>
      <c r="B120">
        <v>9326.9092196192178</v>
      </c>
      <c r="C120">
        <v>13544.035108358403</v>
      </c>
      <c r="D120">
        <v>5.733364800293371</v>
      </c>
      <c r="E120">
        <v>2290.4082337777118</v>
      </c>
      <c r="F120" s="34">
        <v>3031043.7266019108</v>
      </c>
    </row>
    <row r="121" spans="1:6" x14ac:dyDescent="0.25">
      <c r="A121" s="17">
        <f t="shared" si="1"/>
        <v>46721</v>
      </c>
      <c r="B121">
        <v>8850.7948678722405</v>
      </c>
      <c r="C121">
        <v>72256.991713388197</v>
      </c>
      <c r="D121">
        <v>5.7140858568419741</v>
      </c>
      <c r="E121">
        <v>2242.959948229699</v>
      </c>
      <c r="F121" s="34">
        <v>2969294.3437792836</v>
      </c>
    </row>
    <row r="122" spans="1:6" x14ac:dyDescent="0.25">
      <c r="A122" s="17">
        <f t="shared" si="1"/>
        <v>46752</v>
      </c>
      <c r="B122">
        <v>10805.355543510999</v>
      </c>
      <c r="C122">
        <v>12277.267522339675</v>
      </c>
      <c r="D122">
        <v>5.6948717405337206</v>
      </c>
      <c r="E122">
        <v>2229.0159342345632</v>
      </c>
      <c r="F122" s="34">
        <v>2969413.6452117749</v>
      </c>
    </row>
    <row r="123" spans="1:6" x14ac:dyDescent="0.25">
      <c r="A123" s="17">
        <f t="shared" si="1"/>
        <v>46783</v>
      </c>
      <c r="B123">
        <v>9025.0042957590103</v>
      </c>
      <c r="C123">
        <v>159431.44019895367</v>
      </c>
      <c r="D123">
        <v>5.6757222333816388</v>
      </c>
      <c r="E123">
        <v>2117.020305131301</v>
      </c>
      <c r="F123" s="34">
        <v>2820782.0652300012</v>
      </c>
    </row>
    <row r="124" spans="1:6" x14ac:dyDescent="0.25">
      <c r="A124" s="17">
        <f t="shared" si="1"/>
        <v>46812</v>
      </c>
      <c r="B124">
        <v>8443.0100321048103</v>
      </c>
      <c r="C124">
        <v>105889.70861205297</v>
      </c>
      <c r="D124">
        <v>5.6564225929373499</v>
      </c>
      <c r="E124">
        <v>2043.0931708081175</v>
      </c>
      <c r="F124" s="34">
        <v>2724989.0802190909</v>
      </c>
    </row>
    <row r="125" spans="1:6" x14ac:dyDescent="0.25">
      <c r="A125" s="17">
        <f t="shared" si="1"/>
        <v>46843</v>
      </c>
      <c r="B125">
        <v>7503.7554416405828</v>
      </c>
      <c r="C125">
        <v>174977.78386733882</v>
      </c>
      <c r="D125">
        <v>5.637188578699905</v>
      </c>
      <c r="E125">
        <v>1924.3278758665638</v>
      </c>
      <c r="F125" s="34">
        <v>2559161.8152582147</v>
      </c>
    </row>
    <row r="126" spans="1:6" x14ac:dyDescent="0.25">
      <c r="A126" s="17">
        <f t="shared" si="1"/>
        <v>46873</v>
      </c>
      <c r="B126">
        <v>7447.0839941742433</v>
      </c>
      <c r="C126">
        <v>134315.33624477172</v>
      </c>
      <c r="D126">
        <v>5.6180199675149396</v>
      </c>
      <c r="E126">
        <v>1825.0900559604977</v>
      </c>
      <c r="F126" s="34">
        <v>2433821.9241999271</v>
      </c>
    </row>
    <row r="127" spans="1:6" x14ac:dyDescent="0.25">
      <c r="A127" s="17">
        <f t="shared" si="1"/>
        <v>46904</v>
      </c>
      <c r="B127">
        <v>6747.8623551684186</v>
      </c>
      <c r="C127">
        <v>155340.43385882035</v>
      </c>
      <c r="D127">
        <v>5.5989165369868958</v>
      </c>
      <c r="E127">
        <v>1720.0482935106841</v>
      </c>
      <c r="F127" s="34">
        <v>2286698.25785146</v>
      </c>
    </row>
    <row r="128" spans="1:6" x14ac:dyDescent="0.25">
      <c r="A128" s="17">
        <f t="shared" si="1"/>
        <v>46934</v>
      </c>
      <c r="B128">
        <v>6418.1684604683587</v>
      </c>
      <c r="C128">
        <v>161293.83799176328</v>
      </c>
      <c r="D128">
        <v>5.5798780654764517</v>
      </c>
      <c r="E128">
        <v>1613.635295264515</v>
      </c>
      <c r="F128" s="34">
        <v>2133204.8159621693</v>
      </c>
    </row>
    <row r="129" spans="1:6" x14ac:dyDescent="0.25">
      <c r="A129" s="17">
        <f t="shared" si="1"/>
        <v>46965</v>
      </c>
      <c r="B129">
        <v>6109.1509044654404</v>
      </c>
      <c r="C129">
        <v>88994.847993386255</v>
      </c>
      <c r="D129">
        <v>5.5609043320979401</v>
      </c>
      <c r="E129">
        <v>1544.2706174192751</v>
      </c>
      <c r="F129" s="34">
        <v>2051569.2598649324</v>
      </c>
    </row>
    <row r="130" spans="1:6" x14ac:dyDescent="0.25">
      <c r="A130" s="17">
        <f t="shared" si="1"/>
        <v>46996</v>
      </c>
      <c r="B130">
        <v>6413.3802708534158</v>
      </c>
      <c r="C130">
        <v>7607.8527177271926</v>
      </c>
      <c r="D130">
        <v>5.5419951167167936</v>
      </c>
      <c r="E130">
        <v>1541.3604190221338</v>
      </c>
      <c r="F130" s="34">
        <v>2051520.7054466868</v>
      </c>
    </row>
    <row r="131" spans="1:6" x14ac:dyDescent="0.25">
      <c r="A131" s="17">
        <f t="shared" si="1"/>
        <v>47026</v>
      </c>
      <c r="B131">
        <v>5920.3772455127737</v>
      </c>
      <c r="C131">
        <v>46045.081644428319</v>
      </c>
      <c r="D131">
        <v>5.5231501999469819</v>
      </c>
      <c r="E131">
        <v>1510.6713224456437</v>
      </c>
      <c r="F131" s="34">
        <v>2012572.5632870039</v>
      </c>
    </row>
    <row r="132" spans="1:6" x14ac:dyDescent="0.25">
      <c r="A132" s="17">
        <f t="shared" ref="A132:A195" si="2">DATE(YEAR(A131),MONTH(A131)+2,1)-1</f>
        <v>47057</v>
      </c>
      <c r="B132">
        <v>5793.3105556942082</v>
      </c>
      <c r="C132">
        <v>162357.7461955334</v>
      </c>
      <c r="D132">
        <v>5.5043693631484789</v>
      </c>
      <c r="E132">
        <v>1387.1677230356709</v>
      </c>
      <c r="F132" s="34">
        <v>1857257.0902521615</v>
      </c>
    </row>
    <row r="133" spans="1:6" x14ac:dyDescent="0.25">
      <c r="A133" s="17">
        <f t="shared" si="2"/>
        <v>47087</v>
      </c>
      <c r="B133">
        <v>5306.9047266298294</v>
      </c>
      <c r="C133">
        <v>77192.608354543961</v>
      </c>
      <c r="D133">
        <v>5.4856523884247128</v>
      </c>
      <c r="E133">
        <v>1339.7778396302274</v>
      </c>
      <c r="F133" s="34">
        <v>1786463.8959912527</v>
      </c>
    </row>
    <row r="134" spans="1:6" x14ac:dyDescent="0.25">
      <c r="A134" s="17">
        <f t="shared" si="2"/>
        <v>47118</v>
      </c>
      <c r="B134">
        <v>5617.2941396446004</v>
      </c>
      <c r="C134">
        <v>261355.44262157974</v>
      </c>
      <c r="D134">
        <v>5.4669990586200452</v>
      </c>
      <c r="E134">
        <v>1147.1321997747</v>
      </c>
      <c r="F134" s="34">
        <v>1531918.0004163813</v>
      </c>
    </row>
    <row r="135" spans="1:6" x14ac:dyDescent="0.25">
      <c r="A135" s="17">
        <f t="shared" si="2"/>
        <v>47149</v>
      </c>
      <c r="B135">
        <v>5428.2634371699542</v>
      </c>
      <c r="C135">
        <v>95067.966539857895</v>
      </c>
      <c r="D135">
        <v>5.4484091573172515</v>
      </c>
      <c r="E135">
        <v>1093.0942175458742</v>
      </c>
      <c r="F135" s="34">
        <v>1443315.7699345376</v>
      </c>
    </row>
    <row r="136" spans="1:6" x14ac:dyDescent="0.25">
      <c r="A136" s="17">
        <f t="shared" si="2"/>
        <v>47177</v>
      </c>
      <c r="B136">
        <v>4683.9728659628872</v>
      </c>
      <c r="C136">
        <v>5499.8499885120791</v>
      </c>
      <c r="D136">
        <v>5.4296617234437639</v>
      </c>
      <c r="E136">
        <v>1091.1714878385333</v>
      </c>
      <c r="F136" s="34">
        <v>1443415.7652352729</v>
      </c>
    </row>
    <row r="137" spans="1:6" x14ac:dyDescent="0.25">
      <c r="A137" s="17">
        <f t="shared" si="2"/>
        <v>47208</v>
      </c>
      <c r="B137">
        <v>4445.3387102653205</v>
      </c>
      <c r="C137">
        <v>5500.752993232024</v>
      </c>
      <c r="D137">
        <v>5.4109787976251402</v>
      </c>
      <c r="E137">
        <v>1089.1189326124857</v>
      </c>
      <c r="F137" s="34">
        <v>1443278.4340412368</v>
      </c>
    </row>
    <row r="138" spans="1:6" x14ac:dyDescent="0.25">
      <c r="A138" s="17">
        <f t="shared" si="2"/>
        <v>47238</v>
      </c>
      <c r="B138">
        <v>4575.6349334804218</v>
      </c>
      <c r="C138">
        <v>5505.3566890960847</v>
      </c>
      <c r="D138">
        <v>5.3923601578955802</v>
      </c>
      <c r="E138">
        <v>1087.0786252234302</v>
      </c>
      <c r="F138" s="34">
        <v>1443268.6628141401</v>
      </c>
    </row>
    <row r="139" spans="1:6" x14ac:dyDescent="0.25">
      <c r="A139" s="17">
        <f t="shared" si="2"/>
        <v>47269</v>
      </c>
      <c r="B139">
        <v>4415.5160765908613</v>
      </c>
      <c r="C139">
        <v>5505.6781751443768</v>
      </c>
      <c r="D139">
        <v>5.3738055830530476</v>
      </c>
      <c r="E139">
        <v>1085.0217194627605</v>
      </c>
      <c r="F139" s="34">
        <v>1443100.5130800228</v>
      </c>
    </row>
    <row r="140" spans="1:6" x14ac:dyDescent="0.25">
      <c r="A140" s="17">
        <f t="shared" si="2"/>
        <v>47299</v>
      </c>
      <c r="B140">
        <v>4400.6686186576253</v>
      </c>
      <c r="C140">
        <v>5508.2455200414797</v>
      </c>
      <c r="D140">
        <v>5.3553148526566421</v>
      </c>
      <c r="E140">
        <v>1082.9560159142347</v>
      </c>
      <c r="F140" s="34">
        <v>1442916.7982793769</v>
      </c>
    </row>
    <row r="141" spans="1:6" x14ac:dyDescent="0.25">
      <c r="A141" s="17">
        <f t="shared" si="2"/>
        <v>47330</v>
      </c>
      <c r="B141">
        <v>4385.8628627095213</v>
      </c>
      <c r="C141">
        <v>5510.7788138268788</v>
      </c>
      <c r="D141">
        <v>5.3368877470239724</v>
      </c>
      <c r="E141">
        <v>1080.8894950117822</v>
      </c>
      <c r="F141" s="34">
        <v>1442717.5732160266</v>
      </c>
    </row>
    <row r="142" spans="1:6" x14ac:dyDescent="0.25">
      <c r="A142" s="17">
        <f t="shared" si="2"/>
        <v>47361</v>
      </c>
      <c r="B142">
        <v>4589.9631621756353</v>
      </c>
      <c r="C142">
        <v>5419.0480473006755</v>
      </c>
      <c r="D142">
        <v>5.318524047228558</v>
      </c>
      <c r="E142">
        <v>1078.8580421326233</v>
      </c>
      <c r="F142" s="34">
        <v>1442815.9512476821</v>
      </c>
    </row>
    <row r="143" spans="1:6" x14ac:dyDescent="0.25">
      <c r="A143" s="17">
        <f t="shared" si="2"/>
        <v>47391</v>
      </c>
      <c r="B143">
        <v>4254.101421336557</v>
      </c>
      <c r="C143">
        <v>37177.417379998769</v>
      </c>
      <c r="D143">
        <v>5.3002235350972207</v>
      </c>
      <c r="E143">
        <v>1060.0744415095423</v>
      </c>
      <c r="F143" s="34">
        <v>1410839.0372794049</v>
      </c>
    </row>
    <row r="144" spans="1:6" x14ac:dyDescent="0.25">
      <c r="A144" s="17">
        <f t="shared" si="2"/>
        <v>47422</v>
      </c>
      <c r="B144">
        <v>4283.8955779451335</v>
      </c>
      <c r="C144">
        <v>5311.5582494114833</v>
      </c>
      <c r="D144">
        <v>5.2819859932074946</v>
      </c>
      <c r="E144">
        <v>1058.0726917770821</v>
      </c>
      <c r="F144" s="34">
        <v>1410715.2098807038</v>
      </c>
    </row>
    <row r="145" spans="1:6" x14ac:dyDescent="0.25">
      <c r="A145" s="17">
        <f t="shared" si="2"/>
        <v>47452</v>
      </c>
      <c r="B145">
        <v>4127.6644546126481</v>
      </c>
      <c r="C145">
        <v>5313.1826757416893</v>
      </c>
      <c r="D145">
        <v>5.2638112048850436</v>
      </c>
      <c r="E145">
        <v>1056.0357134426692</v>
      </c>
      <c r="F145" s="34">
        <v>1410435.4094279113</v>
      </c>
    </row>
    <row r="146" spans="1:6" x14ac:dyDescent="0.25">
      <c r="A146" s="17">
        <f t="shared" si="2"/>
        <v>47483</v>
      </c>
      <c r="B146">
        <v>4887.6680130395853</v>
      </c>
      <c r="C146">
        <v>5377.9829488354508</v>
      </c>
      <c r="D146">
        <v>5.2456989542010843</v>
      </c>
      <c r="E146">
        <v>1054.0704782816772</v>
      </c>
      <c r="F146" s="34">
        <v>1410852.4054707712</v>
      </c>
    </row>
    <row r="147" spans="1:6" x14ac:dyDescent="0.25">
      <c r="A147" s="17">
        <f t="shared" si="2"/>
        <v>47514</v>
      </c>
      <c r="B147">
        <v>5016.6454970182858</v>
      </c>
      <c r="C147">
        <v>5395.4412214292988</v>
      </c>
      <c r="D147">
        <v>5.2276490259698249</v>
      </c>
      <c r="E147">
        <v>1057.7055260001609</v>
      </c>
      <c r="F147" s="34">
        <v>1411458.7918197829</v>
      </c>
    </row>
    <row r="148" spans="1:6" x14ac:dyDescent="0.25">
      <c r="A148" s="17">
        <f t="shared" si="2"/>
        <v>47542</v>
      </c>
      <c r="B148">
        <v>4300.1833788976955</v>
      </c>
      <c r="C148">
        <v>5342.241472123058</v>
      </c>
      <c r="D148">
        <v>5.2094420763597276</v>
      </c>
      <c r="E148">
        <v>1055.8286764884613</v>
      </c>
      <c r="F148" s="34">
        <v>1411404.6911392557</v>
      </c>
    </row>
    <row r="149" spans="1:6" x14ac:dyDescent="0.25">
      <c r="A149" s="17">
        <f t="shared" si="2"/>
        <v>47573</v>
      </c>
      <c r="B149">
        <v>4072.1829460387803</v>
      </c>
      <c r="C149">
        <v>5343.1392796500913</v>
      </c>
      <c r="D149">
        <v>5.1912985382396615</v>
      </c>
      <c r="E149">
        <v>1053.8247537503128</v>
      </c>
      <c r="F149" s="34">
        <v>1411123.635747398</v>
      </c>
    </row>
    <row r="150" spans="1:6" x14ac:dyDescent="0.25">
      <c r="A150" s="17">
        <f t="shared" si="2"/>
        <v>47603</v>
      </c>
      <c r="B150">
        <v>4020.9516620395225</v>
      </c>
      <c r="C150">
        <v>5181.6298214868493</v>
      </c>
      <c r="D150">
        <v>5.1732181907589556</v>
      </c>
      <c r="E150">
        <v>1051.8730121289966</v>
      </c>
      <c r="F150" s="34">
        <v>1410954.4203473818</v>
      </c>
    </row>
    <row r="151" spans="1:6" x14ac:dyDescent="0.25">
      <c r="A151" s="17">
        <f t="shared" si="2"/>
        <v>47634</v>
      </c>
      <c r="B151">
        <v>3868.429491266651</v>
      </c>
      <c r="C151">
        <v>5182.4749401068038</v>
      </c>
      <c r="D151">
        <v>5.1552008138361209</v>
      </c>
      <c r="E151">
        <v>1049.8647686876018</v>
      </c>
      <c r="F151" s="34">
        <v>1410633.6182710973</v>
      </c>
    </row>
    <row r="152" spans="1:6" x14ac:dyDescent="0.25">
      <c r="A152" s="17">
        <f t="shared" si="2"/>
        <v>47664</v>
      </c>
      <c r="B152">
        <v>3855.3437675629471</v>
      </c>
      <c r="C152">
        <v>5183.4455745380692</v>
      </c>
      <c r="D152">
        <v>5.13724618815617</v>
      </c>
      <c r="E152">
        <v>1047.8481514550313</v>
      </c>
      <c r="F152" s="34">
        <v>1410300.328704525</v>
      </c>
    </row>
    <row r="153" spans="1:6" x14ac:dyDescent="0.25">
      <c r="A153" s="17">
        <f t="shared" si="2"/>
        <v>47695</v>
      </c>
      <c r="B153">
        <v>3842.298487883013</v>
      </c>
      <c r="C153">
        <v>5186.1492432771256</v>
      </c>
      <c r="D153">
        <v>5.1193540951679504</v>
      </c>
      <c r="E153">
        <v>1045.832139729632</v>
      </c>
      <c r="F153" s="34">
        <v>1409952.8402614212</v>
      </c>
    </row>
    <row r="154" spans="1:6" x14ac:dyDescent="0.25">
      <c r="A154" s="17">
        <f t="shared" si="2"/>
        <v>47726</v>
      </c>
      <c r="B154">
        <v>4019.8303841736383</v>
      </c>
      <c r="C154">
        <v>5184.0487453234791</v>
      </c>
      <c r="D154">
        <v>5.1015243170814841</v>
      </c>
      <c r="E154">
        <v>1043.8520958273168</v>
      </c>
      <c r="F154" s="34">
        <v>1409786.477641996</v>
      </c>
    </row>
    <row r="155" spans="1:6" x14ac:dyDescent="0.25">
      <c r="A155" s="17">
        <f t="shared" si="2"/>
        <v>47756</v>
      </c>
      <c r="B155">
        <v>3797.3962187341549</v>
      </c>
      <c r="C155">
        <v>5184.1629270407147</v>
      </c>
      <c r="D155">
        <v>5.0837566368653162</v>
      </c>
      <c r="E155">
        <v>1041.8457550489186</v>
      </c>
      <c r="F155" s="34">
        <v>1409399.3492775196</v>
      </c>
    </row>
    <row r="156" spans="1:6" x14ac:dyDescent="0.25">
      <c r="A156" s="17">
        <f t="shared" si="2"/>
        <v>47787</v>
      </c>
      <c r="B156">
        <v>3921.076780061655</v>
      </c>
      <c r="C156">
        <v>5188.7622776743156</v>
      </c>
      <c r="D156">
        <v>5.0660508382438723</v>
      </c>
      <c r="E156">
        <v>1039.8510435902381</v>
      </c>
      <c r="F156" s="34">
        <v>1409132.7525520129</v>
      </c>
    </row>
    <row r="157" spans="1:6" x14ac:dyDescent="0.25">
      <c r="A157" s="17">
        <f t="shared" si="2"/>
        <v>47817</v>
      </c>
      <c r="B157">
        <v>3771.6979994698022</v>
      </c>
      <c r="C157">
        <v>5190.6919419254291</v>
      </c>
      <c r="D157">
        <v>5.0484067056948261</v>
      </c>
      <c r="E157">
        <v>1037.8406332373443</v>
      </c>
      <c r="F157" s="34">
        <v>1408716.4884213086</v>
      </c>
    </row>
    <row r="158" spans="1:6" x14ac:dyDescent="0.25">
      <c r="A158" s="17">
        <f t="shared" si="2"/>
        <v>47848</v>
      </c>
      <c r="B158">
        <v>4484.4414865414983</v>
      </c>
      <c r="C158">
        <v>5239.0694282767518</v>
      </c>
      <c r="D158">
        <v>5.0308240244464777</v>
      </c>
      <c r="E158">
        <v>1035.9017121858628</v>
      </c>
      <c r="F158" s="34">
        <v>1408965.9425100805</v>
      </c>
    </row>
    <row r="159" spans="1:6" x14ac:dyDescent="0.25">
      <c r="A159" s="17">
        <f t="shared" si="2"/>
        <v>47879</v>
      </c>
      <c r="B159">
        <v>4550.1444185144373</v>
      </c>
      <c r="C159">
        <v>5229.2033560850987</v>
      </c>
      <c r="D159">
        <v>5.0133025804751368</v>
      </c>
      <c r="E159">
        <v>1039.3925707487961</v>
      </c>
      <c r="F159" s="34">
        <v>1409375.877195589</v>
      </c>
    </row>
    <row r="160" spans="1:6" x14ac:dyDescent="0.25">
      <c r="A160" s="17">
        <f t="shared" si="2"/>
        <v>47907</v>
      </c>
      <c r="B160">
        <v>3860.9185687411377</v>
      </c>
      <c r="C160">
        <v>5177.462637349433</v>
      </c>
      <c r="D160">
        <v>4.9956322815622265</v>
      </c>
      <c r="E160">
        <v>1037.5486536356548</v>
      </c>
      <c r="F160" s="34">
        <v>1409150.8090440664</v>
      </c>
    </row>
    <row r="161" spans="1:6" x14ac:dyDescent="0.25">
      <c r="A161" s="17">
        <f t="shared" si="2"/>
        <v>47938</v>
      </c>
      <c r="B161">
        <v>3643.4798335313435</v>
      </c>
      <c r="C161">
        <v>5178.8635549141754</v>
      </c>
      <c r="D161">
        <v>4.9780242648392816</v>
      </c>
      <c r="E161">
        <v>1035.5835693134591</v>
      </c>
      <c r="F161" s="34">
        <v>1408708.5431429762</v>
      </c>
    </row>
    <row r="162" spans="1:6" x14ac:dyDescent="0.25">
      <c r="A162" s="17">
        <f t="shared" si="2"/>
        <v>47968</v>
      </c>
      <c r="B162">
        <v>3747.2018446735697</v>
      </c>
      <c r="C162">
        <v>5175.3999592262053</v>
      </c>
      <c r="D162">
        <v>4.9604783107813688</v>
      </c>
      <c r="E162">
        <v>1033.6310966162075</v>
      </c>
      <c r="F162" s="34">
        <v>1408374.7632061476</v>
      </c>
    </row>
    <row r="163" spans="1:6" x14ac:dyDescent="0.25">
      <c r="A163" s="17">
        <f t="shared" si="2"/>
        <v>47999</v>
      </c>
      <c r="B163">
        <v>3601.1283249788271</v>
      </c>
      <c r="C163">
        <v>5176.0759977713196</v>
      </c>
      <c r="D163">
        <v>4.9429942006373109</v>
      </c>
      <c r="E163">
        <v>1031.6639958667649</v>
      </c>
      <c r="F163" s="34">
        <v>1407895.712899799</v>
      </c>
    </row>
    <row r="164" spans="1:6" x14ac:dyDescent="0.25">
      <c r="A164" s="17">
        <f t="shared" si="2"/>
        <v>48029</v>
      </c>
      <c r="B164">
        <v>3565.5054751401658</v>
      </c>
      <c r="C164">
        <v>5174.6757804442987</v>
      </c>
      <c r="D164">
        <v>4.9255717164269583</v>
      </c>
      <c r="E164">
        <v>1029.6905084880914</v>
      </c>
      <c r="F164" s="34">
        <v>1407383.7055121171</v>
      </c>
    </row>
    <row r="165" spans="1:6" x14ac:dyDescent="0.25">
      <c r="A165" s="17">
        <f t="shared" si="2"/>
        <v>48060</v>
      </c>
      <c r="B165">
        <v>3553.3324592587064</v>
      </c>
      <c r="C165">
        <v>5178.3846608489757</v>
      </c>
      <c r="D165">
        <v>4.9082106409384734</v>
      </c>
      <c r="E165">
        <v>1027.7134459764684</v>
      </c>
      <c r="F165" s="34">
        <v>1406857.0353907668</v>
      </c>
    </row>
    <row r="166" spans="1:6" x14ac:dyDescent="0.25">
      <c r="A166" s="17">
        <f t="shared" si="2"/>
        <v>48091</v>
      </c>
      <c r="B166">
        <v>3724.2818355367453</v>
      </c>
      <c r="C166">
        <v>5176.362574069859</v>
      </c>
      <c r="D166">
        <v>4.8909107577256226</v>
      </c>
      <c r="E166">
        <v>1025.7687485915476</v>
      </c>
      <c r="F166" s="34">
        <v>1406504.5012670499</v>
      </c>
    </row>
    <row r="167" spans="1:6" x14ac:dyDescent="0.25">
      <c r="A167" s="17">
        <f t="shared" si="2"/>
        <v>48121</v>
      </c>
      <c r="B167">
        <v>3511.7394106153793</v>
      </c>
      <c r="C167">
        <v>5176.3935865239273</v>
      </c>
      <c r="D167">
        <v>4.8736718511050707</v>
      </c>
      <c r="E167">
        <v>1023.7993337676324</v>
      </c>
      <c r="F167" s="34">
        <v>1405940.8465667141</v>
      </c>
    </row>
    <row r="168" spans="1:6" x14ac:dyDescent="0.25">
      <c r="A168" s="17">
        <f t="shared" si="2"/>
        <v>48152</v>
      </c>
      <c r="B168">
        <v>3595.4751139771861</v>
      </c>
      <c r="C168">
        <v>5159.0106443115756</v>
      </c>
      <c r="D168">
        <v>4.8564937061537039</v>
      </c>
      <c r="E168">
        <v>1021.8463407293399</v>
      </c>
      <c r="F168" s="34">
        <v>1405479.4272198861</v>
      </c>
    </row>
    <row r="169" spans="1:6" x14ac:dyDescent="0.25">
      <c r="A169" s="17">
        <f t="shared" si="2"/>
        <v>48182</v>
      </c>
      <c r="B169">
        <v>3452.6259904268486</v>
      </c>
      <c r="C169">
        <v>5160.9055800744281</v>
      </c>
      <c r="D169">
        <v>4.8393761087059408</v>
      </c>
      <c r="E169">
        <v>1019.8731291999094</v>
      </c>
      <c r="F169" s="34">
        <v>1404874.5554802741</v>
      </c>
    </row>
    <row r="170" spans="1:6" x14ac:dyDescent="0.25">
      <c r="A170" s="17">
        <f t="shared" si="2"/>
        <v>48213</v>
      </c>
      <c r="B170">
        <v>4157.459055381406</v>
      </c>
      <c r="C170">
        <v>5226.6185888966857</v>
      </c>
      <c r="D170">
        <v>4.8223188453510675</v>
      </c>
      <c r="E170">
        <v>1017.9664012900496</v>
      </c>
      <c r="F170" s="34">
        <v>1404909.8117095355</v>
      </c>
    </row>
    <row r="171" spans="1:6" x14ac:dyDescent="0.25">
      <c r="A171" s="17">
        <f t="shared" si="2"/>
        <v>48244</v>
      </c>
      <c r="B171">
        <v>4209.2255505536914</v>
      </c>
      <c r="C171">
        <v>5170.7067642745706</v>
      </c>
      <c r="D171">
        <v>0</v>
      </c>
      <c r="E171">
        <v>1021.1818781961927</v>
      </c>
      <c r="F171" s="34">
        <v>1405183.6472458923</v>
      </c>
    </row>
    <row r="172" spans="1:6" x14ac:dyDescent="0.25">
      <c r="A172" s="17">
        <f t="shared" si="2"/>
        <v>48273</v>
      </c>
      <c r="B172">
        <v>3349.9401896094546</v>
      </c>
      <c r="C172">
        <v>21954.851737740682</v>
      </c>
      <c r="D172">
        <v>0</v>
      </c>
      <c r="E172">
        <v>1007.0198148836362</v>
      </c>
      <c r="F172" s="34">
        <v>1387828.6543326301</v>
      </c>
    </row>
    <row r="173" spans="1:6" x14ac:dyDescent="0.25">
      <c r="A173" s="17">
        <f t="shared" si="2"/>
        <v>48304</v>
      </c>
      <c r="B173">
        <v>3338.4257022178454</v>
      </c>
      <c r="C173">
        <v>5107.8256648404968</v>
      </c>
      <c r="D173">
        <v>0</v>
      </c>
      <c r="E173">
        <v>1005.1083904831974</v>
      </c>
      <c r="F173" s="34">
        <v>1387283.2096736333</v>
      </c>
    </row>
    <row r="174" spans="1:6" x14ac:dyDescent="0.25">
      <c r="A174" s="17">
        <f t="shared" si="2"/>
        <v>48334</v>
      </c>
      <c r="B174">
        <v>3455.2373977030966</v>
      </c>
      <c r="C174">
        <v>5117.6376600917292</v>
      </c>
      <c r="D174">
        <v>0</v>
      </c>
      <c r="E174">
        <v>1003.2168833094031</v>
      </c>
      <c r="F174" s="34">
        <v>1386845.7801550445</v>
      </c>
    </row>
    <row r="175" spans="1:6" x14ac:dyDescent="0.25">
      <c r="A175" s="17">
        <f t="shared" si="2"/>
        <v>48365</v>
      </c>
      <c r="B175">
        <v>3315.4869123207982</v>
      </c>
      <c r="C175">
        <v>5118.6473158409253</v>
      </c>
      <c r="D175">
        <v>0</v>
      </c>
      <c r="E175">
        <v>1001.3094876401027</v>
      </c>
      <c r="F175" s="34">
        <v>1386268.7953127201</v>
      </c>
    </row>
    <row r="176" spans="1:6" x14ac:dyDescent="0.25">
      <c r="A176" s="17">
        <f t="shared" si="2"/>
        <v>48395</v>
      </c>
      <c r="B176">
        <v>3304.0639284376125</v>
      </c>
      <c r="C176">
        <v>5122.3701758772395</v>
      </c>
      <c r="D176">
        <v>0</v>
      </c>
      <c r="E176">
        <v>999.3940351161408</v>
      </c>
      <c r="F176" s="34">
        <v>1385677.6533536729</v>
      </c>
    </row>
    <row r="177" spans="1:6" x14ac:dyDescent="0.25">
      <c r="A177" s="17">
        <f t="shared" si="2"/>
        <v>48426</v>
      </c>
      <c r="B177">
        <v>3292.6708863191902</v>
      </c>
      <c r="C177">
        <v>5123.8041028084472</v>
      </c>
      <c r="D177">
        <v>0</v>
      </c>
      <c r="E177">
        <v>997.47775873764522</v>
      </c>
      <c r="F177" s="34">
        <v>1385074.6512381476</v>
      </c>
    </row>
    <row r="178" spans="1:6" x14ac:dyDescent="0.25">
      <c r="A178" s="17">
        <f t="shared" si="2"/>
        <v>48457</v>
      </c>
      <c r="B178">
        <v>3281.3117810796998</v>
      </c>
      <c r="C178">
        <v>5126.7594131367332</v>
      </c>
      <c r="D178">
        <v>0</v>
      </c>
      <c r="E178">
        <v>995.56110322973427</v>
      </c>
      <c r="F178" s="34">
        <v>1384458.2828495402</v>
      </c>
    </row>
    <row r="179" spans="1:6" x14ac:dyDescent="0.25">
      <c r="A179" s="17">
        <f t="shared" si="2"/>
        <v>48487</v>
      </c>
      <c r="B179">
        <v>3269.9834415053165</v>
      </c>
      <c r="C179">
        <v>5061.1142964139617</v>
      </c>
      <c r="D179">
        <v>0</v>
      </c>
      <c r="E179">
        <v>993.64519667200625</v>
      </c>
      <c r="F179" s="34">
        <v>1383897.1571633522</v>
      </c>
    </row>
    <row r="180" spans="1:6" x14ac:dyDescent="0.25">
      <c r="A180" s="17">
        <f t="shared" si="2"/>
        <v>48518</v>
      </c>
      <c r="B180">
        <v>3342.2432273906716</v>
      </c>
      <c r="C180">
        <v>26988.090484818724</v>
      </c>
      <c r="D180">
        <v>0</v>
      </c>
      <c r="E180">
        <v>978.34392738314023</v>
      </c>
      <c r="F180" s="34">
        <v>1361495.7150908201</v>
      </c>
    </row>
    <row r="181" spans="1:6" x14ac:dyDescent="0.25">
      <c r="A181" s="17">
        <f t="shared" si="2"/>
        <v>48548</v>
      </c>
      <c r="B181">
        <v>3124.0208985279514</v>
      </c>
      <c r="C181">
        <v>27645.776169114462</v>
      </c>
      <c r="D181">
        <v>0</v>
      </c>
      <c r="E181">
        <v>962.60768890890984</v>
      </c>
      <c r="F181" s="34">
        <v>1338198.1211238229</v>
      </c>
    </row>
    <row r="182" spans="1:6" x14ac:dyDescent="0.25">
      <c r="A182" s="17">
        <f t="shared" si="2"/>
        <v>48579</v>
      </c>
      <c r="B182">
        <v>3770.4384570419134</v>
      </c>
      <c r="C182">
        <v>21391.390049357375</v>
      </c>
      <c r="D182">
        <v>0</v>
      </c>
      <c r="E182">
        <v>948.56471182350367</v>
      </c>
      <c r="F182" s="34">
        <v>1321777.95433629</v>
      </c>
    </row>
    <row r="183" spans="1:6" x14ac:dyDescent="0.25">
      <c r="A183" s="17">
        <f t="shared" si="2"/>
        <v>48610</v>
      </c>
      <c r="B183">
        <v>3675.2609346941044</v>
      </c>
      <c r="C183">
        <v>94175.43732358214</v>
      </c>
      <c r="D183">
        <v>0</v>
      </c>
      <c r="E183">
        <v>889.27156046763662</v>
      </c>
      <c r="F183" s="34">
        <v>1232600.8397609834</v>
      </c>
    </row>
    <row r="184" spans="1:6" x14ac:dyDescent="0.25">
      <c r="A184" s="17">
        <f t="shared" si="2"/>
        <v>48638</v>
      </c>
      <c r="B184">
        <v>2606.8293545178644</v>
      </c>
      <c r="C184">
        <v>120268.01279102435</v>
      </c>
      <c r="D184">
        <v>0</v>
      </c>
      <c r="E184">
        <v>810.95467569739549</v>
      </c>
      <c r="F184" s="34">
        <v>1116191.7743197505</v>
      </c>
    </row>
    <row r="185" spans="1:6" x14ac:dyDescent="0.25">
      <c r="A185" s="17">
        <f t="shared" si="2"/>
        <v>48669</v>
      </c>
      <c r="B185">
        <v>2576.6151506184287</v>
      </c>
      <c r="C185">
        <v>14784.207310751101</v>
      </c>
      <c r="D185">
        <v>0</v>
      </c>
      <c r="E185">
        <v>798.55554066294133</v>
      </c>
      <c r="F185" s="34">
        <v>1105053.8589540946</v>
      </c>
    </row>
    <row r="186" spans="1:6" x14ac:dyDescent="0.25">
      <c r="A186" s="17">
        <f t="shared" si="2"/>
        <v>48699</v>
      </c>
      <c r="B186">
        <v>2348.2465788396489</v>
      </c>
      <c r="C186">
        <v>124492.33344735626</v>
      </c>
      <c r="D186">
        <v>0</v>
      </c>
      <c r="E186">
        <v>735.65775887496909</v>
      </c>
      <c r="F186" s="34">
        <v>984023.70451260766</v>
      </c>
    </row>
    <row r="187" spans="1:6" x14ac:dyDescent="0.25">
      <c r="A187" s="17">
        <f t="shared" si="2"/>
        <v>48730</v>
      </c>
      <c r="B187">
        <v>2265.976698846343</v>
      </c>
      <c r="C187">
        <v>41191.899219604675</v>
      </c>
      <c r="D187">
        <v>0</v>
      </c>
      <c r="E187">
        <v>709.06723821213086</v>
      </c>
      <c r="F187" s="34">
        <v>946035.73002969474</v>
      </c>
    </row>
    <row r="188" spans="1:6" x14ac:dyDescent="0.25">
      <c r="A188" s="17">
        <f t="shared" si="2"/>
        <v>48760</v>
      </c>
      <c r="B188">
        <v>2131.5431378836465</v>
      </c>
      <c r="C188">
        <v>67543.25988453177</v>
      </c>
      <c r="D188">
        <v>0</v>
      </c>
      <c r="E188">
        <v>668.24278015447919</v>
      </c>
      <c r="F188" s="34">
        <v>881539.20319044846</v>
      </c>
    </row>
    <row r="189" spans="1:6" x14ac:dyDescent="0.25">
      <c r="A189" s="17">
        <f t="shared" si="2"/>
        <v>48791</v>
      </c>
      <c r="B189">
        <v>2013.1719174847055</v>
      </c>
      <c r="C189">
        <v>42396.896232223342</v>
      </c>
      <c r="D189">
        <v>0</v>
      </c>
      <c r="E189">
        <v>634.01530629338629</v>
      </c>
      <c r="F189" s="34">
        <v>841996.94482808898</v>
      </c>
    </row>
    <row r="190" spans="1:6" x14ac:dyDescent="0.25">
      <c r="A190" s="17">
        <f t="shared" si="2"/>
        <v>48822</v>
      </c>
      <c r="B190">
        <v>1758.3161352526281</v>
      </c>
      <c r="C190">
        <v>105889.01545544996</v>
      </c>
      <c r="D190">
        <v>0</v>
      </c>
      <c r="E190">
        <v>575.72483317054048</v>
      </c>
      <c r="F190" s="34">
        <v>738699.81785340351</v>
      </c>
    </row>
    <row r="191" spans="1:6" x14ac:dyDescent="0.25">
      <c r="A191" s="17">
        <f t="shared" si="2"/>
        <v>48852</v>
      </c>
      <c r="B191">
        <v>1689.833485545684</v>
      </c>
      <c r="C191">
        <v>35002.259048582266</v>
      </c>
      <c r="D191">
        <v>0</v>
      </c>
      <c r="E191">
        <v>550.59946662811444</v>
      </c>
      <c r="F191" s="34">
        <v>706073.19584822515</v>
      </c>
    </row>
    <row r="192" spans="1:6" x14ac:dyDescent="0.25">
      <c r="A192" s="17">
        <f t="shared" si="2"/>
        <v>48883</v>
      </c>
      <c r="B192">
        <v>1544.883250050337</v>
      </c>
      <c r="C192">
        <v>60754.531279589355</v>
      </c>
      <c r="D192">
        <v>0</v>
      </c>
      <c r="E192">
        <v>511.66944507975904</v>
      </c>
      <c r="F192" s="34">
        <v>647533.67240381509</v>
      </c>
    </row>
    <row r="193" spans="1:6" x14ac:dyDescent="0.25">
      <c r="A193" s="17">
        <f t="shared" si="2"/>
        <v>48913</v>
      </c>
      <c r="B193">
        <v>1453.739470276136</v>
      </c>
      <c r="C193">
        <v>38286.777320248089</v>
      </c>
      <c r="D193">
        <v>0</v>
      </c>
      <c r="E193">
        <v>469.63905985981268</v>
      </c>
      <c r="F193" s="34">
        <v>611314.80866364588</v>
      </c>
    </row>
    <row r="194" spans="1:6" x14ac:dyDescent="0.25">
      <c r="A194" s="17">
        <f t="shared" si="2"/>
        <v>48944</v>
      </c>
      <c r="B194">
        <v>1776.3180582861714</v>
      </c>
      <c r="C194">
        <v>129365.94479129656</v>
      </c>
      <c r="D194">
        <v>0</v>
      </c>
      <c r="E194">
        <v>381.79788342170423</v>
      </c>
      <c r="F194" s="34">
        <v>484366.57568754931</v>
      </c>
    </row>
    <row r="195" spans="1:6" x14ac:dyDescent="0.25">
      <c r="A195" s="17">
        <f t="shared" si="2"/>
        <v>48975</v>
      </c>
      <c r="B195">
        <v>1518.4969224633878</v>
      </c>
      <c r="C195">
        <v>173025.13844414309</v>
      </c>
      <c r="D195">
        <v>0</v>
      </c>
      <c r="E195">
        <v>276.75628070969378</v>
      </c>
      <c r="F195" s="34">
        <v>313438.40875094652</v>
      </c>
    </row>
    <row r="196" spans="1:6" x14ac:dyDescent="0.25">
      <c r="A196" s="17">
        <f t="shared" ref="A196:A259" si="3">DATE(YEAR(A195),MONTH(A195)+2,1)-1</f>
        <v>49003</v>
      </c>
      <c r="B196">
        <v>733.23670025520198</v>
      </c>
      <c r="C196">
        <v>1169.9545447368059</v>
      </c>
      <c r="D196">
        <v>0</v>
      </c>
      <c r="E196">
        <v>276.28313757298702</v>
      </c>
      <c r="F196" s="34">
        <v>313278.8361331558</v>
      </c>
    </row>
    <row r="197" spans="1:6" x14ac:dyDescent="0.25">
      <c r="A197" s="17">
        <f t="shared" si="3"/>
        <v>49034</v>
      </c>
      <c r="B197">
        <v>730.80045821393389</v>
      </c>
      <c r="C197">
        <v>1170.9363406470641</v>
      </c>
      <c r="D197">
        <v>0</v>
      </c>
      <c r="E197">
        <v>275.72462388597467</v>
      </c>
      <c r="F197" s="34">
        <v>313116.12223873578</v>
      </c>
    </row>
    <row r="198" spans="1:6" x14ac:dyDescent="0.25">
      <c r="A198" s="17">
        <f t="shared" si="3"/>
        <v>49064</v>
      </c>
      <c r="B198">
        <v>728.36865007030747</v>
      </c>
      <c r="C198">
        <v>1170.339501312488</v>
      </c>
      <c r="D198">
        <v>0</v>
      </c>
      <c r="E198">
        <v>275.16691492921717</v>
      </c>
      <c r="F198" s="34">
        <v>312951.84378564527</v>
      </c>
    </row>
    <row r="199" spans="1:6" x14ac:dyDescent="0.25">
      <c r="A199" s="17">
        <f t="shared" si="3"/>
        <v>49095</v>
      </c>
      <c r="B199">
        <v>725.944945173924</v>
      </c>
      <c r="C199">
        <v>1169.8544898929044</v>
      </c>
      <c r="D199">
        <v>0</v>
      </c>
      <c r="E199">
        <v>274.60900736551736</v>
      </c>
      <c r="F199" s="34">
        <v>312785.89448533126</v>
      </c>
    </row>
    <row r="200" spans="1:6" x14ac:dyDescent="0.25">
      <c r="A200" s="17">
        <f t="shared" si="3"/>
        <v>49125</v>
      </c>
      <c r="B200">
        <v>723.52931648421475</v>
      </c>
      <c r="C200">
        <v>1170.2632093685834</v>
      </c>
      <c r="D200">
        <v>0</v>
      </c>
      <c r="E200">
        <v>274.05050182105003</v>
      </c>
      <c r="F200" s="34">
        <v>312617.38633092341</v>
      </c>
    </row>
    <row r="201" spans="1:6" x14ac:dyDescent="0.25">
      <c r="A201" s="17">
        <f t="shared" si="3"/>
        <v>49156</v>
      </c>
      <c r="B201">
        <v>721.11904773395634</v>
      </c>
      <c r="C201">
        <v>1171.1135016486021</v>
      </c>
      <c r="D201">
        <v>0</v>
      </c>
      <c r="E201">
        <v>273.4922712608618</v>
      </c>
      <c r="F201" s="34">
        <v>312445.8783164841</v>
      </c>
    </row>
    <row r="202" spans="1:6" x14ac:dyDescent="0.25">
      <c r="A202" s="17">
        <f t="shared" si="3"/>
        <v>49187</v>
      </c>
      <c r="B202">
        <v>718.71302886079468</v>
      </c>
      <c r="C202">
        <v>1170.485439175892</v>
      </c>
      <c r="D202">
        <v>0</v>
      </c>
      <c r="E202">
        <v>272.93505957110386</v>
      </c>
      <c r="F202" s="34">
        <v>312272.84673101408</v>
      </c>
    </row>
    <row r="203" spans="1:6" x14ac:dyDescent="0.25">
      <c r="A203" s="17">
        <f t="shared" si="3"/>
        <v>49217</v>
      </c>
      <c r="B203">
        <v>716.3150490162501</v>
      </c>
      <c r="C203">
        <v>1169.8484337674986</v>
      </c>
      <c r="D203">
        <v>0</v>
      </c>
      <c r="E203">
        <v>272.37790119225605</v>
      </c>
      <c r="F203" s="34">
        <v>312098.30581304512</v>
      </c>
    </row>
    <row r="204" spans="1:6" x14ac:dyDescent="0.25">
      <c r="A204" s="17">
        <f t="shared" si="3"/>
        <v>49248</v>
      </c>
      <c r="B204">
        <v>713.92508130087003</v>
      </c>
      <c r="C204">
        <v>1170.6721074724737</v>
      </c>
      <c r="D204">
        <v>0</v>
      </c>
      <c r="E204">
        <v>271.82080029469142</v>
      </c>
      <c r="F204" s="34">
        <v>311920.80017313064</v>
      </c>
    </row>
    <row r="205" spans="1:6" x14ac:dyDescent="0.25">
      <c r="A205" s="17">
        <f t="shared" si="3"/>
        <v>49278</v>
      </c>
      <c r="B205">
        <v>711.53903937319114</v>
      </c>
      <c r="C205">
        <v>1171.0152937597243</v>
      </c>
      <c r="D205">
        <v>0</v>
      </c>
      <c r="E205">
        <v>271.26489367540853</v>
      </c>
      <c r="F205" s="34">
        <v>311740.80779548141</v>
      </c>
    </row>
    <row r="206" spans="1:6" x14ac:dyDescent="0.25">
      <c r="A206" s="17">
        <f t="shared" si="3"/>
        <v>49309</v>
      </c>
      <c r="B206">
        <v>1346.4205265089615</v>
      </c>
      <c r="C206">
        <v>1219.6950180672018</v>
      </c>
      <c r="D206">
        <v>0</v>
      </c>
      <c r="E206">
        <v>270.77487664751072</v>
      </c>
      <c r="F206" s="34">
        <v>312147.18939079437</v>
      </c>
    </row>
    <row r="207" spans="1:6" x14ac:dyDescent="0.25">
      <c r="A207" s="17">
        <f t="shared" si="3"/>
        <v>49340</v>
      </c>
      <c r="B207">
        <v>1458.5971023776799</v>
      </c>
      <c r="C207">
        <v>1226.779140906239</v>
      </c>
      <c r="D207">
        <v>0</v>
      </c>
      <c r="E207">
        <v>271.28509818245124</v>
      </c>
      <c r="F207" s="34">
        <v>312676.97875847173</v>
      </c>
    </row>
    <row r="208" spans="1:6" x14ac:dyDescent="0.25">
      <c r="A208" s="17">
        <f t="shared" si="3"/>
        <v>49368</v>
      </c>
      <c r="B208">
        <v>704.41731099347453</v>
      </c>
      <c r="C208">
        <v>1176.3782145961932</v>
      </c>
      <c r="D208">
        <v>0</v>
      </c>
      <c r="E208">
        <v>270.814746460241</v>
      </c>
      <c r="F208" s="34">
        <v>312504.42577893211</v>
      </c>
    </row>
    <row r="209" spans="1:6" x14ac:dyDescent="0.25">
      <c r="A209" s="17">
        <f t="shared" si="3"/>
        <v>49399</v>
      </c>
      <c r="B209">
        <v>667.51786059356209</v>
      </c>
      <c r="C209">
        <v>1166.9199173415489</v>
      </c>
      <c r="D209">
        <v>0</v>
      </c>
      <c r="E209">
        <v>270.26489008631336</v>
      </c>
      <c r="F209" s="34">
        <v>312304.66682124871</v>
      </c>
    </row>
    <row r="210" spans="1:6" x14ac:dyDescent="0.25">
      <c r="A210" s="17">
        <f t="shared" si="3"/>
        <v>49429</v>
      </c>
      <c r="B210">
        <v>665.28124302736649</v>
      </c>
      <c r="C210">
        <v>1166.3120083801659</v>
      </c>
      <c r="D210">
        <v>0</v>
      </c>
      <c r="E210">
        <v>269.7134196610462</v>
      </c>
      <c r="F210" s="34">
        <v>312103.46632902231</v>
      </c>
    </row>
    <row r="211" spans="1:6" x14ac:dyDescent="0.25">
      <c r="A211" s="17">
        <f t="shared" si="3"/>
        <v>49460</v>
      </c>
      <c r="B211">
        <v>663.05213058034292</v>
      </c>
      <c r="C211">
        <v>1165.8277781898398</v>
      </c>
      <c r="D211">
        <v>0</v>
      </c>
      <c r="E211">
        <v>269.16172996685793</v>
      </c>
      <c r="F211" s="34">
        <v>311900.70571897266</v>
      </c>
    </row>
    <row r="212" spans="1:6" x14ac:dyDescent="0.25">
      <c r="A212" s="17">
        <f t="shared" si="3"/>
        <v>49490</v>
      </c>
      <c r="B212">
        <v>660.8304980297404</v>
      </c>
      <c r="C212">
        <v>1166.2549478260266</v>
      </c>
      <c r="D212">
        <v>0</v>
      </c>
      <c r="E212">
        <v>268.60937570566108</v>
      </c>
      <c r="F212" s="34">
        <v>311695.47889058123</v>
      </c>
    </row>
    <row r="213" spans="1:6" x14ac:dyDescent="0.25">
      <c r="A213" s="17">
        <f t="shared" si="3"/>
        <v>49521</v>
      </c>
      <c r="B213">
        <v>641.28871707769576</v>
      </c>
      <c r="C213">
        <v>1162.0459471327529</v>
      </c>
      <c r="D213">
        <v>0</v>
      </c>
      <c r="E213">
        <v>268.05851304430161</v>
      </c>
      <c r="F213" s="34">
        <v>311475.09587658377</v>
      </c>
    </row>
    <row r="214" spans="1:6" x14ac:dyDescent="0.25">
      <c r="A214" s="17">
        <f t="shared" si="3"/>
        <v>49552</v>
      </c>
      <c r="B214">
        <v>639.1332972383201</v>
      </c>
      <c r="C214">
        <v>1161.4226850692746</v>
      </c>
      <c r="D214">
        <v>0</v>
      </c>
      <c r="E214">
        <v>267.50743824435796</v>
      </c>
      <c r="F214" s="34">
        <v>311253.32987157337</v>
      </c>
    </row>
    <row r="215" spans="1:6" x14ac:dyDescent="0.25">
      <c r="A215" s="17">
        <f t="shared" si="3"/>
        <v>49582</v>
      </c>
      <c r="B215">
        <v>636.985133225661</v>
      </c>
      <c r="C215">
        <v>1160.7903643177328</v>
      </c>
      <c r="D215">
        <v>0</v>
      </c>
      <c r="E215">
        <v>266.95641542293464</v>
      </c>
      <c r="F215" s="34">
        <v>311030.19461595343</v>
      </c>
    </row>
    <row r="216" spans="1:6" x14ac:dyDescent="0.25">
      <c r="A216" s="17">
        <f t="shared" si="3"/>
        <v>49613</v>
      </c>
      <c r="B216">
        <v>634.84420057470527</v>
      </c>
      <c r="C216">
        <v>1161.5726884149196</v>
      </c>
      <c r="D216">
        <v>0</v>
      </c>
      <c r="E216">
        <v>266.4054487972723</v>
      </c>
      <c r="F216" s="34">
        <v>310804.28014296666</v>
      </c>
    </row>
    <row r="217" spans="1:6" x14ac:dyDescent="0.25">
      <c r="A217" s="17">
        <f t="shared" si="3"/>
        <v>49643</v>
      </c>
      <c r="B217">
        <v>632.70656987568975</v>
      </c>
      <c r="C217">
        <v>1161.8991917131639</v>
      </c>
      <c r="D217">
        <v>0</v>
      </c>
      <c r="E217">
        <v>265.85570573243763</v>
      </c>
      <c r="F217" s="34">
        <v>310576.03928340069</v>
      </c>
    </row>
    <row r="218" spans="1:6" x14ac:dyDescent="0.25">
      <c r="A218" s="17">
        <f t="shared" si="3"/>
        <v>49674</v>
      </c>
      <c r="B218">
        <v>1243.0374005092294</v>
      </c>
      <c r="C218">
        <v>1208.6212534867946</v>
      </c>
      <c r="D218">
        <v>0</v>
      </c>
      <c r="E218">
        <v>265.36931718627761</v>
      </c>
      <c r="F218" s="34">
        <v>310911.47734301002</v>
      </c>
    </row>
    <row r="219" spans="1:6" x14ac:dyDescent="0.25">
      <c r="A219" s="17">
        <f t="shared" si="3"/>
        <v>49705</v>
      </c>
      <c r="B219">
        <v>1350.2030500064466</v>
      </c>
      <c r="C219">
        <v>1216.0022748494239</v>
      </c>
      <c r="D219">
        <v>0</v>
      </c>
      <c r="E219">
        <v>265.87812375178959</v>
      </c>
      <c r="F219" s="34">
        <v>311350.18031324417</v>
      </c>
    </row>
    <row r="220" spans="1:6" x14ac:dyDescent="0.25">
      <c r="A220" s="17">
        <f t="shared" si="3"/>
        <v>49734</v>
      </c>
      <c r="B220">
        <v>626.32480017180092</v>
      </c>
      <c r="C220">
        <v>1167.5927970824705</v>
      </c>
      <c r="D220">
        <v>0</v>
      </c>
      <c r="E220">
        <v>265.41273929190396</v>
      </c>
      <c r="F220" s="34">
        <v>311114.68471511418</v>
      </c>
    </row>
    <row r="221" spans="1:6" x14ac:dyDescent="0.25">
      <c r="A221" s="17">
        <f t="shared" si="3"/>
        <v>49765</v>
      </c>
      <c r="B221">
        <v>624.20940928156131</v>
      </c>
      <c r="C221">
        <v>1168.3446537567911</v>
      </c>
      <c r="D221">
        <v>0</v>
      </c>
      <c r="E221">
        <v>264.86865178097645</v>
      </c>
      <c r="F221" s="34">
        <v>310876.43393024721</v>
      </c>
    </row>
    <row r="222" spans="1:6" x14ac:dyDescent="0.25">
      <c r="A222" s="17">
        <f t="shared" si="3"/>
        <v>49795</v>
      </c>
      <c r="B222">
        <v>622.09888099343914</v>
      </c>
      <c r="C222">
        <v>1167.7057404107461</v>
      </c>
      <c r="D222">
        <v>0</v>
      </c>
      <c r="E222">
        <v>264.32554319264665</v>
      </c>
      <c r="F222" s="34">
        <v>310636.81755783624</v>
      </c>
    </row>
    <row r="223" spans="1:6" x14ac:dyDescent="0.25">
      <c r="A223" s="17">
        <f t="shared" si="3"/>
        <v>49826</v>
      </c>
      <c r="B223">
        <v>619.99550091448691</v>
      </c>
      <c r="C223">
        <v>1167.205290834532</v>
      </c>
      <c r="D223">
        <v>0</v>
      </c>
      <c r="E223">
        <v>263.78219676908043</v>
      </c>
      <c r="F223" s="34">
        <v>310395.70201492723</v>
      </c>
    </row>
    <row r="224" spans="1:6" x14ac:dyDescent="0.25">
      <c r="A224" s="17">
        <f t="shared" si="3"/>
        <v>49856</v>
      </c>
      <c r="B224">
        <v>617.89924479039939</v>
      </c>
      <c r="C224">
        <v>1167.5938433677313</v>
      </c>
      <c r="D224">
        <v>0</v>
      </c>
      <c r="E224">
        <v>263.23810709042965</v>
      </c>
      <c r="F224" s="34">
        <v>310152.20341632876</v>
      </c>
    </row>
    <row r="225" spans="1:6" x14ac:dyDescent="0.25">
      <c r="A225" s="17">
        <f t="shared" si="3"/>
        <v>49887</v>
      </c>
      <c r="B225">
        <v>615.80734141352514</v>
      </c>
      <c r="C225">
        <v>1168.4578019680725</v>
      </c>
      <c r="D225">
        <v>0</v>
      </c>
      <c r="E225">
        <v>262.69430877444881</v>
      </c>
      <c r="F225" s="34">
        <v>309905.84604554123</v>
      </c>
    </row>
    <row r="226" spans="1:6" x14ac:dyDescent="0.25">
      <c r="A226" s="17">
        <f t="shared" si="3"/>
        <v>49918</v>
      </c>
      <c r="B226">
        <v>613.71893480629251</v>
      </c>
      <c r="C226">
        <v>1167.7860823012547</v>
      </c>
      <c r="D226">
        <v>0</v>
      </c>
      <c r="E226">
        <v>262.15152825987792</v>
      </c>
      <c r="F226" s="34">
        <v>309658.16281526117</v>
      </c>
    </row>
    <row r="227" spans="1:6" x14ac:dyDescent="0.25">
      <c r="A227" s="17">
        <f t="shared" si="3"/>
        <v>49948</v>
      </c>
      <c r="B227">
        <v>611.63762330825568</v>
      </c>
      <c r="C227">
        <v>1167.1053571040086</v>
      </c>
      <c r="D227">
        <v>0</v>
      </c>
      <c r="E227">
        <v>261.60879999953761</v>
      </c>
      <c r="F227" s="34">
        <v>309409.16734152817</v>
      </c>
    </row>
    <row r="228" spans="1:6" x14ac:dyDescent="0.25">
      <c r="A228" s="17">
        <f t="shared" si="3"/>
        <v>49979</v>
      </c>
      <c r="B228">
        <v>609.56338276977124</v>
      </c>
      <c r="C228">
        <v>1167.789125413203</v>
      </c>
      <c r="D228">
        <v>0</v>
      </c>
      <c r="E228">
        <v>261.06612823920221</v>
      </c>
      <c r="F228" s="34">
        <v>309157.49973792897</v>
      </c>
    </row>
    <row r="229" spans="1:6" x14ac:dyDescent="0.25">
      <c r="A229" s="17">
        <f t="shared" si="3"/>
        <v>50009</v>
      </c>
      <c r="B229">
        <v>598.10082097572854</v>
      </c>
      <c r="C229">
        <v>1165.2840349407659</v>
      </c>
      <c r="D229">
        <v>0</v>
      </c>
      <c r="E229">
        <v>260.52537565193467</v>
      </c>
      <c r="F229" s="34">
        <v>308896.95372068102</v>
      </c>
    </row>
    <row r="230" spans="1:6" x14ac:dyDescent="0.25">
      <c r="A230" s="17">
        <f t="shared" si="3"/>
        <v>50040</v>
      </c>
      <c r="B230">
        <v>1042.7596077617154</v>
      </c>
      <c r="C230">
        <v>1166.9220447184105</v>
      </c>
      <c r="D230">
        <v>0</v>
      </c>
      <c r="E230">
        <v>260.05521971462423</v>
      </c>
      <c r="F230" s="34">
        <v>309079.4206536368</v>
      </c>
    </row>
    <row r="231" spans="1:6" x14ac:dyDescent="0.25">
      <c r="A231" s="17">
        <f t="shared" si="3"/>
        <v>50071</v>
      </c>
      <c r="B231">
        <v>1132.8791961870779</v>
      </c>
      <c r="C231">
        <v>1167.9213522064417</v>
      </c>
      <c r="D231">
        <v>0</v>
      </c>
      <c r="E231">
        <v>260.5106509540517</v>
      </c>
      <c r="F231" s="34">
        <v>309363.32899535802</v>
      </c>
    </row>
    <row r="232" spans="1:6" x14ac:dyDescent="0.25">
      <c r="A232" s="17">
        <f t="shared" si="3"/>
        <v>50099</v>
      </c>
      <c r="B232">
        <v>592.01708366651758</v>
      </c>
      <c r="C232">
        <v>1167.4335654655254</v>
      </c>
      <c r="D232">
        <v>0</v>
      </c>
      <c r="E232">
        <v>260.01583284111075</v>
      </c>
      <c r="F232" s="34">
        <v>309107.89009989973</v>
      </c>
    </row>
    <row r="233" spans="1:6" x14ac:dyDescent="0.25">
      <c r="A233" s="17">
        <f t="shared" si="3"/>
        <v>50130</v>
      </c>
      <c r="B233">
        <v>590.0033801330128</v>
      </c>
      <c r="C233">
        <v>1167.2444483406596</v>
      </c>
      <c r="D233">
        <v>0</v>
      </c>
      <c r="E233">
        <v>259.49007856842906</v>
      </c>
      <c r="F233" s="34">
        <v>308850.67347624863</v>
      </c>
    </row>
    <row r="234" spans="1:6" x14ac:dyDescent="0.25">
      <c r="A234" s="17">
        <f t="shared" si="3"/>
        <v>50160</v>
      </c>
      <c r="B234">
        <v>587.99425376842942</v>
      </c>
      <c r="C234">
        <v>1518.6519718980651</v>
      </c>
      <c r="D234">
        <v>0</v>
      </c>
      <c r="E234">
        <v>251.44489813896271</v>
      </c>
      <c r="F234" s="34">
        <v>308247.60315416887</v>
      </c>
    </row>
    <row r="235" spans="1:6" x14ac:dyDescent="0.25">
      <c r="A235" s="17">
        <f t="shared" si="3"/>
        <v>50191</v>
      </c>
      <c r="B235">
        <v>585.99197972019999</v>
      </c>
      <c r="C235">
        <v>1165.9974636311758</v>
      </c>
      <c r="D235">
        <v>0</v>
      </c>
      <c r="E235">
        <v>250.93945980602967</v>
      </c>
      <c r="F235" s="34">
        <v>307994.55987025291</v>
      </c>
    </row>
    <row r="236" spans="1:6" x14ac:dyDescent="0.25">
      <c r="A236" s="17">
        <f t="shared" si="3"/>
        <v>50221</v>
      </c>
      <c r="B236">
        <v>583.9965345798995</v>
      </c>
      <c r="C236">
        <v>1166.3936525135784</v>
      </c>
      <c r="D236">
        <v>0</v>
      </c>
      <c r="E236">
        <v>250.43310143984067</v>
      </c>
      <c r="F236" s="34">
        <v>307739.15690590878</v>
      </c>
    </row>
    <row r="237" spans="1:6" x14ac:dyDescent="0.25">
      <c r="A237" s="17">
        <f t="shared" si="3"/>
        <v>50252</v>
      </c>
      <c r="B237">
        <v>582.0052639482534</v>
      </c>
      <c r="C237">
        <v>1167.3690778100179</v>
      </c>
      <c r="D237">
        <v>0</v>
      </c>
      <c r="E237">
        <v>249.92700887654911</v>
      </c>
      <c r="F237" s="34">
        <v>307480.81450950657</v>
      </c>
    </row>
    <row r="238" spans="1:6" x14ac:dyDescent="0.25">
      <c r="A238" s="17">
        <f t="shared" si="3"/>
        <v>50283</v>
      </c>
      <c r="B238">
        <v>580.01710792537961</v>
      </c>
      <c r="C238">
        <v>1166.7476754927138</v>
      </c>
      <c r="D238">
        <v>0</v>
      </c>
      <c r="E238">
        <v>249.42185135187773</v>
      </c>
      <c r="F238" s="34">
        <v>307221.12617739203</v>
      </c>
    </row>
    <row r="239" spans="1:6" x14ac:dyDescent="0.25">
      <c r="A239" s="17">
        <f t="shared" si="3"/>
        <v>50313</v>
      </c>
      <c r="B239">
        <v>578.03575475932121</v>
      </c>
      <c r="C239">
        <v>1166.116780250404</v>
      </c>
      <c r="D239">
        <v>0</v>
      </c>
      <c r="E239">
        <v>248.91666906071927</v>
      </c>
      <c r="F239" s="34">
        <v>306960.1057067574</v>
      </c>
    </row>
    <row r="240" spans="1:6" x14ac:dyDescent="0.25">
      <c r="A240" s="17">
        <f t="shared" si="3"/>
        <v>50344</v>
      </c>
      <c r="B240">
        <v>549.44166969741264</v>
      </c>
      <c r="C240">
        <v>1125.5903612718812</v>
      </c>
      <c r="D240">
        <v>0</v>
      </c>
      <c r="E240">
        <v>248.41544015586203</v>
      </c>
      <c r="F240" s="34">
        <v>306711.02943856741</v>
      </c>
    </row>
    <row r="241" spans="1:6" x14ac:dyDescent="0.25">
      <c r="A241" s="17">
        <f t="shared" si="3"/>
        <v>50374</v>
      </c>
      <c r="B241">
        <v>547.55933747043366</v>
      </c>
      <c r="C241">
        <v>9450.9559676234257</v>
      </c>
      <c r="D241">
        <v>0</v>
      </c>
      <c r="E241">
        <v>238.66830882375515</v>
      </c>
      <c r="F241" s="34">
        <v>298143.9853957083</v>
      </c>
    </row>
    <row r="242" spans="1:6" x14ac:dyDescent="0.25">
      <c r="A242" s="17">
        <f t="shared" si="3"/>
        <v>50405</v>
      </c>
      <c r="B242">
        <v>974.78117205696799</v>
      </c>
      <c r="C242">
        <v>1037.2874981640248</v>
      </c>
      <c r="D242">
        <v>0</v>
      </c>
      <c r="E242">
        <v>238.25612675416031</v>
      </c>
      <c r="F242" s="34">
        <v>298402.18237110157</v>
      </c>
    </row>
    <row r="243" spans="1:6" x14ac:dyDescent="0.25">
      <c r="A243" s="17">
        <f t="shared" si="3"/>
        <v>50436</v>
      </c>
      <c r="B243">
        <v>543.80963451114906</v>
      </c>
      <c r="C243">
        <v>29690.557236362121</v>
      </c>
      <c r="D243">
        <v>0</v>
      </c>
      <c r="E243">
        <v>209.94491270196994</v>
      </c>
      <c r="F243" s="34">
        <v>269629.62291812798</v>
      </c>
    </row>
    <row r="244" spans="1:6" x14ac:dyDescent="0.25">
      <c r="A244" s="17">
        <f t="shared" si="3"/>
        <v>50464</v>
      </c>
      <c r="B244">
        <v>541.93613497851231</v>
      </c>
      <c r="C244">
        <v>5473.6954000814421</v>
      </c>
      <c r="D244">
        <v>0</v>
      </c>
      <c r="E244">
        <v>201.09136035536008</v>
      </c>
      <c r="F244" s="34">
        <v>265024.58202876535</v>
      </c>
    </row>
    <row r="245" spans="1:6" x14ac:dyDescent="0.25">
      <c r="A245" s="17">
        <f t="shared" si="3"/>
        <v>50495</v>
      </c>
      <c r="B245">
        <v>472.88180305512196</v>
      </c>
      <c r="C245">
        <v>41764.815417835685</v>
      </c>
      <c r="D245">
        <v>0</v>
      </c>
      <c r="E245">
        <v>176.60424980923787</v>
      </c>
      <c r="F245" s="34">
        <v>224074.8393662218</v>
      </c>
    </row>
    <row r="246" spans="1:6" x14ac:dyDescent="0.25">
      <c r="A246" s="17">
        <f t="shared" si="3"/>
        <v>50525</v>
      </c>
      <c r="B246">
        <v>471.25848780092912</v>
      </c>
      <c r="C246">
        <v>859.16249734134362</v>
      </c>
      <c r="D246">
        <v>0</v>
      </c>
      <c r="E246">
        <v>176.26198648720904</v>
      </c>
      <c r="F246" s="34">
        <v>223949.30797032299</v>
      </c>
    </row>
    <row r="247" spans="1:6" x14ac:dyDescent="0.25">
      <c r="A247" s="17">
        <f t="shared" si="3"/>
        <v>50556</v>
      </c>
      <c r="B247">
        <v>469.64075833625913</v>
      </c>
      <c r="C247">
        <v>3242.5347689530131</v>
      </c>
      <c r="D247">
        <v>0</v>
      </c>
      <c r="E247">
        <v>161.30722375228694</v>
      </c>
      <c r="F247" s="34">
        <v>221453.49560383632</v>
      </c>
    </row>
    <row r="248" spans="1:6" x14ac:dyDescent="0.25">
      <c r="A248" s="17">
        <f t="shared" si="3"/>
        <v>50586</v>
      </c>
      <c r="B248">
        <v>407.78842872672823</v>
      </c>
      <c r="C248">
        <v>23893.048476633794</v>
      </c>
      <c r="D248">
        <v>0</v>
      </c>
      <c r="E248">
        <v>140.95607570323253</v>
      </c>
      <c r="F248" s="34">
        <v>198260.78270515768</v>
      </c>
    </row>
    <row r="249" spans="1:6" x14ac:dyDescent="0.25">
      <c r="A249" s="17">
        <f t="shared" si="3"/>
        <v>50617</v>
      </c>
      <c r="B249">
        <v>299.73633645466566</v>
      </c>
      <c r="C249">
        <v>50524.413864852788</v>
      </c>
      <c r="D249">
        <v>0</v>
      </c>
      <c r="E249">
        <v>107.30980249963039</v>
      </c>
      <c r="F249" s="34">
        <v>148316.89802509328</v>
      </c>
    </row>
    <row r="250" spans="1:6" x14ac:dyDescent="0.25">
      <c r="A250" s="17">
        <f t="shared" si="3"/>
        <v>50648</v>
      </c>
      <c r="B250">
        <v>298.71441187061549</v>
      </c>
      <c r="C250">
        <v>577.48366935756223</v>
      </c>
      <c r="D250">
        <v>0</v>
      </c>
      <c r="E250">
        <v>107.1065487688621</v>
      </c>
      <c r="F250" s="34">
        <v>148221.35790954501</v>
      </c>
    </row>
    <row r="251" spans="1:6" x14ac:dyDescent="0.25">
      <c r="A251" s="17">
        <f t="shared" si="3"/>
        <v>50678</v>
      </c>
      <c r="B251">
        <v>297.69598364065109</v>
      </c>
      <c r="C251">
        <v>414.09062116110613</v>
      </c>
      <c r="D251">
        <v>0</v>
      </c>
      <c r="E251">
        <v>106.90317814337021</v>
      </c>
      <c r="F251" s="34">
        <v>148288.20876135805</v>
      </c>
    </row>
    <row r="252" spans="1:6" x14ac:dyDescent="0.25">
      <c r="A252" s="17">
        <f t="shared" si="3"/>
        <v>50709</v>
      </c>
      <c r="B252">
        <v>171.2509627168784</v>
      </c>
      <c r="C252">
        <v>54901.610203639517</v>
      </c>
      <c r="D252">
        <v>0</v>
      </c>
      <c r="E252">
        <v>72.176053500763061</v>
      </c>
      <c r="F252" s="34">
        <v>93775.952997371074</v>
      </c>
    </row>
    <row r="253" spans="1:6" x14ac:dyDescent="0.25">
      <c r="A253" s="17">
        <f t="shared" si="3"/>
        <v>50739</v>
      </c>
      <c r="B253">
        <v>101.65870513728294</v>
      </c>
      <c r="C253">
        <v>22890.550489489586</v>
      </c>
      <c r="D253">
        <v>0</v>
      </c>
      <c r="E253">
        <v>52.258605957039322</v>
      </c>
      <c r="F253" s="34">
        <v>71118.372425793001</v>
      </c>
    </row>
    <row r="254" spans="1:6" x14ac:dyDescent="0.25">
      <c r="A254" s="17">
        <f t="shared" si="3"/>
        <v>50770</v>
      </c>
      <c r="B254">
        <v>43.487254081874404</v>
      </c>
      <c r="C254">
        <v>46071.587812577825</v>
      </c>
      <c r="D254">
        <v>0</v>
      </c>
      <c r="E254">
        <v>12.715131138294842</v>
      </c>
      <c r="F254" s="34">
        <v>25216.773521671246</v>
      </c>
    </row>
    <row r="255" spans="1:6" x14ac:dyDescent="0.25">
      <c r="A255" s="17">
        <f t="shared" si="3"/>
        <v>50801</v>
      </c>
    </row>
    <row r="256" spans="1:6" x14ac:dyDescent="0.25">
      <c r="A256" s="17">
        <f t="shared" si="3"/>
        <v>50829</v>
      </c>
    </row>
    <row r="257" spans="1:1" x14ac:dyDescent="0.25">
      <c r="A257" s="17">
        <f t="shared" si="3"/>
        <v>50860</v>
      </c>
    </row>
    <row r="258" spans="1:1" x14ac:dyDescent="0.25">
      <c r="A258" s="17">
        <f t="shared" si="3"/>
        <v>50890</v>
      </c>
    </row>
    <row r="259" spans="1:1" x14ac:dyDescent="0.25">
      <c r="A259" s="17">
        <f t="shared" si="3"/>
        <v>50921</v>
      </c>
    </row>
    <row r="260" spans="1:1" x14ac:dyDescent="0.25">
      <c r="A260" s="17">
        <f t="shared" ref="A260:A278" si="4">DATE(YEAR(A259),MONTH(A259)+2,1)-1</f>
        <v>50951</v>
      </c>
    </row>
    <row r="261" spans="1:1" x14ac:dyDescent="0.25">
      <c r="A261" s="17">
        <f t="shared" si="4"/>
        <v>50982</v>
      </c>
    </row>
    <row r="262" spans="1:1" x14ac:dyDescent="0.25">
      <c r="A262" s="17">
        <f t="shared" si="4"/>
        <v>51013</v>
      </c>
    </row>
    <row r="263" spans="1:1" x14ac:dyDescent="0.25">
      <c r="A263" s="17">
        <f t="shared" si="4"/>
        <v>51043</v>
      </c>
    </row>
    <row r="264" spans="1:1" x14ac:dyDescent="0.25">
      <c r="A264" s="17">
        <f t="shared" si="4"/>
        <v>51074</v>
      </c>
    </row>
    <row r="265" spans="1:1" x14ac:dyDescent="0.25">
      <c r="A265" s="17">
        <f t="shared" si="4"/>
        <v>51104</v>
      </c>
    </row>
    <row r="266" spans="1:1" x14ac:dyDescent="0.25">
      <c r="A266" s="17">
        <f t="shared" si="4"/>
        <v>51135</v>
      </c>
    </row>
    <row r="267" spans="1:1" x14ac:dyDescent="0.25">
      <c r="A267" s="17">
        <f t="shared" si="4"/>
        <v>51166</v>
      </c>
    </row>
    <row r="268" spans="1:1" x14ac:dyDescent="0.25">
      <c r="A268" s="17">
        <f t="shared" si="4"/>
        <v>51195</v>
      </c>
    </row>
    <row r="269" spans="1:1" x14ac:dyDescent="0.25">
      <c r="A269" s="17">
        <f t="shared" si="4"/>
        <v>51226</v>
      </c>
    </row>
    <row r="270" spans="1:1" x14ac:dyDescent="0.25">
      <c r="A270" s="17">
        <f t="shared" si="4"/>
        <v>51256</v>
      </c>
    </row>
    <row r="271" spans="1:1" x14ac:dyDescent="0.25">
      <c r="A271" s="17">
        <f t="shared" si="4"/>
        <v>51287</v>
      </c>
    </row>
    <row r="272" spans="1:1" x14ac:dyDescent="0.25">
      <c r="A272" s="17">
        <f t="shared" si="4"/>
        <v>51317</v>
      </c>
    </row>
    <row r="273" spans="1:1" x14ac:dyDescent="0.25">
      <c r="A273" s="17">
        <f t="shared" si="4"/>
        <v>51348</v>
      </c>
    </row>
    <row r="274" spans="1:1" x14ac:dyDescent="0.25">
      <c r="A274" s="17">
        <f t="shared" si="4"/>
        <v>51379</v>
      </c>
    </row>
    <row r="275" spans="1:1" x14ac:dyDescent="0.25">
      <c r="A275" s="17">
        <f t="shared" si="4"/>
        <v>51409</v>
      </c>
    </row>
    <row r="276" spans="1:1" x14ac:dyDescent="0.25">
      <c r="A276" s="17">
        <f t="shared" si="4"/>
        <v>51440</v>
      </c>
    </row>
    <row r="277" spans="1:1" x14ac:dyDescent="0.25">
      <c r="A277" s="17">
        <f t="shared" si="4"/>
        <v>51470</v>
      </c>
    </row>
    <row r="278" spans="1:1" x14ac:dyDescent="0.25">
      <c r="A278" s="17">
        <f t="shared" si="4"/>
        <v>51501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cular">
                <anchor moveWithCells="1" sizeWithCells="1">
                  <from>
                    <xdr:col>9</xdr:col>
                    <xdr:colOff>400050</xdr:colOff>
                    <xdr:row>2</xdr:row>
                    <xdr:rowOff>66675</xdr:rowOff>
                  </from>
                  <to>
                    <xdr:col>12</xdr:col>
                    <xdr:colOff>628650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K250"/>
  <sheetViews>
    <sheetView topLeftCell="Q1" workbookViewId="0">
      <selection activeCell="AK6" sqref="AK6:AK250"/>
    </sheetView>
  </sheetViews>
  <sheetFormatPr baseColWidth="10" defaultRowHeight="15" x14ac:dyDescent="0.25"/>
  <cols>
    <col min="35" max="36" width="19.7109375" bestFit="1" customWidth="1"/>
  </cols>
  <sheetData>
    <row r="1" spans="1:37" x14ac:dyDescent="0.25">
      <c r="A1" t="s">
        <v>0</v>
      </c>
      <c r="AJ1" t="s">
        <v>63</v>
      </c>
      <c r="AK1">
        <f>MAX(AG:AG)+1</f>
        <v>253</v>
      </c>
    </row>
    <row r="2" spans="1:37" x14ac:dyDescent="0.25">
      <c r="A2" t="s">
        <v>1</v>
      </c>
      <c r="B2" t="s">
        <v>2</v>
      </c>
      <c r="AJ2" t="s">
        <v>64</v>
      </c>
      <c r="AK2">
        <f>COUNT(AG:AG)</f>
        <v>245</v>
      </c>
    </row>
    <row r="3" spans="1:37" x14ac:dyDescent="0.25">
      <c r="A3" t="s">
        <v>3</v>
      </c>
      <c r="B3">
        <v>245</v>
      </c>
    </row>
    <row r="4" spans="1:37" x14ac:dyDescent="0.25">
      <c r="A4" t="s">
        <v>4</v>
      </c>
      <c r="B4" t="s">
        <v>5</v>
      </c>
      <c r="C4" t="s">
        <v>6</v>
      </c>
      <c r="D4" t="s">
        <v>6</v>
      </c>
      <c r="E4" t="s">
        <v>7</v>
      </c>
      <c r="F4" t="s">
        <v>7</v>
      </c>
      <c r="G4" t="s">
        <v>7</v>
      </c>
      <c r="H4" t="s">
        <v>6</v>
      </c>
      <c r="I4" t="s">
        <v>6</v>
      </c>
      <c r="J4" t="s">
        <v>6</v>
      </c>
      <c r="K4" t="s">
        <v>7</v>
      </c>
      <c r="L4" t="s">
        <v>7</v>
      </c>
      <c r="M4" t="s">
        <v>7</v>
      </c>
      <c r="N4" t="s">
        <v>6</v>
      </c>
      <c r="O4" t="s">
        <v>7</v>
      </c>
      <c r="P4" t="s">
        <v>7</v>
      </c>
      <c r="Q4" t="s">
        <v>7</v>
      </c>
      <c r="R4" t="s">
        <v>7</v>
      </c>
      <c r="S4" t="s">
        <v>7</v>
      </c>
      <c r="T4" t="s">
        <v>7</v>
      </c>
      <c r="U4" t="s">
        <v>7</v>
      </c>
      <c r="V4" t="s">
        <v>7</v>
      </c>
      <c r="W4" t="s">
        <v>7</v>
      </c>
      <c r="X4" t="s">
        <v>7</v>
      </c>
      <c r="Y4" t="s">
        <v>7</v>
      </c>
      <c r="Z4" t="s">
        <v>6</v>
      </c>
      <c r="AA4" t="s">
        <v>6</v>
      </c>
      <c r="AB4" t="s">
        <v>6</v>
      </c>
      <c r="AC4" t="s">
        <v>6</v>
      </c>
      <c r="AD4" t="s">
        <v>6</v>
      </c>
      <c r="AE4" t="s">
        <v>7</v>
      </c>
      <c r="AF4" t="s">
        <v>7</v>
      </c>
    </row>
    <row r="5" spans="1:37" x14ac:dyDescent="0.25">
      <c r="A5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14</v>
      </c>
      <c r="H5" t="s">
        <v>15</v>
      </c>
      <c r="I5" t="s">
        <v>16</v>
      </c>
      <c r="J5" t="s">
        <v>17</v>
      </c>
      <c r="K5" t="s">
        <v>18</v>
      </c>
      <c r="L5" t="s">
        <v>19</v>
      </c>
      <c r="M5" t="s">
        <v>20</v>
      </c>
      <c r="N5" t="s">
        <v>21</v>
      </c>
      <c r="O5" t="s">
        <v>22</v>
      </c>
      <c r="P5" t="s">
        <v>23</v>
      </c>
      <c r="Q5" t="s">
        <v>24</v>
      </c>
      <c r="R5" t="s">
        <v>25</v>
      </c>
      <c r="S5" t="s">
        <v>26</v>
      </c>
      <c r="T5" t="s">
        <v>27</v>
      </c>
      <c r="U5" t="s">
        <v>28</v>
      </c>
      <c r="V5" t="s">
        <v>29</v>
      </c>
      <c r="W5" t="s">
        <v>30</v>
      </c>
      <c r="X5" t="s">
        <v>31</v>
      </c>
      <c r="Y5" t="s">
        <v>32</v>
      </c>
      <c r="Z5" t="s">
        <v>33</v>
      </c>
      <c r="AA5" t="s">
        <v>34</v>
      </c>
      <c r="AB5" t="s">
        <v>35</v>
      </c>
      <c r="AC5" t="s">
        <v>36</v>
      </c>
      <c r="AD5" t="s">
        <v>37</v>
      </c>
      <c r="AE5" t="s">
        <v>38</v>
      </c>
      <c r="AF5" s="21" t="s">
        <v>61</v>
      </c>
      <c r="AG5" s="15" t="s">
        <v>62</v>
      </c>
      <c r="AH5" s="15" t="s">
        <v>65</v>
      </c>
      <c r="AI5" s="15" t="s">
        <v>125</v>
      </c>
      <c r="AJ5" s="15" t="s">
        <v>131</v>
      </c>
    </row>
    <row r="6" spans="1:37" x14ac:dyDescent="0.25">
      <c r="A6" t="s">
        <v>39</v>
      </c>
      <c r="B6">
        <v>35</v>
      </c>
      <c r="C6">
        <v>30</v>
      </c>
      <c r="D6">
        <v>369</v>
      </c>
      <c r="E6">
        <v>701.2</v>
      </c>
      <c r="F6">
        <v>122.4</v>
      </c>
      <c r="G6">
        <v>1</v>
      </c>
      <c r="H6">
        <v>35</v>
      </c>
      <c r="I6">
        <v>2</v>
      </c>
      <c r="J6">
        <v>30000</v>
      </c>
      <c r="K6">
        <v>3.5</v>
      </c>
      <c r="L6">
        <v>0</v>
      </c>
      <c r="M6">
        <v>251</v>
      </c>
      <c r="N6">
        <v>13166.9</v>
      </c>
      <c r="O6">
        <v>301</v>
      </c>
      <c r="P6">
        <v>92.1</v>
      </c>
      <c r="Q6">
        <v>0</v>
      </c>
      <c r="R6">
        <v>91.8</v>
      </c>
      <c r="S6">
        <v>32.1</v>
      </c>
      <c r="T6">
        <v>0</v>
      </c>
      <c r="U6">
        <v>153</v>
      </c>
      <c r="V6">
        <v>0</v>
      </c>
      <c r="W6">
        <v>0</v>
      </c>
      <c r="X6">
        <v>0</v>
      </c>
      <c r="Y6">
        <v>1</v>
      </c>
      <c r="Z6">
        <v>100</v>
      </c>
      <c r="AA6">
        <v>0</v>
      </c>
      <c r="AB6">
        <v>0</v>
      </c>
      <c r="AC6">
        <v>1</v>
      </c>
      <c r="AD6">
        <v>0</v>
      </c>
      <c r="AE6">
        <v>1070.2</v>
      </c>
      <c r="AF6">
        <f>H6*12</f>
        <v>420</v>
      </c>
      <c r="AG6">
        <f>AF6-M6</f>
        <v>169</v>
      </c>
      <c r="AH6">
        <f>2018+AG6/12</f>
        <v>2032.0833333333333</v>
      </c>
      <c r="AI6">
        <v>15163.392197470561</v>
      </c>
      <c r="AJ6">
        <f>[1]F1XT_1!F5</f>
        <v>15163.392039</v>
      </c>
      <c r="AK6">
        <f>AJ6-AI6</f>
        <v>-1.5847056056372821E-4</v>
      </c>
    </row>
    <row r="7" spans="1:37" x14ac:dyDescent="0.25">
      <c r="A7" t="s">
        <v>39</v>
      </c>
      <c r="B7">
        <v>35</v>
      </c>
      <c r="C7">
        <v>27</v>
      </c>
      <c r="D7">
        <v>234.6</v>
      </c>
      <c r="E7">
        <v>555.29999999999995</v>
      </c>
      <c r="F7">
        <v>98.4</v>
      </c>
      <c r="G7">
        <v>1</v>
      </c>
      <c r="H7">
        <v>30</v>
      </c>
      <c r="I7">
        <v>12</v>
      </c>
      <c r="J7">
        <v>20000</v>
      </c>
      <c r="K7">
        <v>3.5</v>
      </c>
      <c r="L7">
        <v>0</v>
      </c>
      <c r="M7">
        <v>249</v>
      </c>
      <c r="N7">
        <v>11206.8</v>
      </c>
      <c r="O7">
        <v>3101</v>
      </c>
      <c r="P7">
        <v>42.9</v>
      </c>
      <c r="Q7">
        <v>0</v>
      </c>
      <c r="R7">
        <v>63</v>
      </c>
      <c r="S7">
        <v>23.7</v>
      </c>
      <c r="T7">
        <v>0</v>
      </c>
      <c r="U7">
        <v>105</v>
      </c>
      <c r="V7">
        <v>0</v>
      </c>
      <c r="W7">
        <v>0</v>
      </c>
      <c r="X7">
        <v>0</v>
      </c>
      <c r="Y7">
        <v>2</v>
      </c>
      <c r="Z7">
        <v>100</v>
      </c>
      <c r="AA7">
        <v>0</v>
      </c>
      <c r="AB7">
        <v>1</v>
      </c>
      <c r="AC7">
        <v>1</v>
      </c>
      <c r="AD7">
        <v>0</v>
      </c>
      <c r="AE7">
        <v>789.9</v>
      </c>
      <c r="AF7">
        <f t="shared" ref="AF7:AF70" si="0">H7*12</f>
        <v>360</v>
      </c>
      <c r="AG7">
        <f t="shared" ref="AG7:AG70" si="1">AF7-M7</f>
        <v>111</v>
      </c>
      <c r="AH7">
        <f t="shared" ref="AH7:AH70" si="2">2018+AG7/12</f>
        <v>2027.25</v>
      </c>
      <c r="AI7">
        <v>12669.445566777915</v>
      </c>
      <c r="AJ7">
        <f>[1]F1XT_1!F6</f>
        <v>12669.44562</v>
      </c>
      <c r="AK7">
        <f t="shared" ref="AK7:AK70" si="3">AJ7-AI7</f>
        <v>5.322208562574815E-5</v>
      </c>
    </row>
    <row r="8" spans="1:37" x14ac:dyDescent="0.25">
      <c r="A8" t="s">
        <v>39</v>
      </c>
      <c r="B8">
        <v>35</v>
      </c>
      <c r="C8">
        <v>18</v>
      </c>
      <c r="D8">
        <v>0</v>
      </c>
      <c r="E8">
        <v>0</v>
      </c>
      <c r="F8">
        <v>47.4</v>
      </c>
      <c r="G8">
        <v>1</v>
      </c>
      <c r="H8">
        <v>40</v>
      </c>
      <c r="I8">
        <v>1</v>
      </c>
      <c r="J8">
        <v>687.5</v>
      </c>
      <c r="K8">
        <v>3.5</v>
      </c>
      <c r="L8">
        <v>0</v>
      </c>
      <c r="M8">
        <v>249</v>
      </c>
      <c r="N8">
        <v>402.9</v>
      </c>
      <c r="O8">
        <v>3201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100</v>
      </c>
      <c r="AA8">
        <v>0</v>
      </c>
      <c r="AB8">
        <v>0</v>
      </c>
      <c r="AC8">
        <v>1</v>
      </c>
      <c r="AD8">
        <v>0</v>
      </c>
      <c r="AE8">
        <v>241.6</v>
      </c>
      <c r="AF8">
        <f t="shared" si="0"/>
        <v>480</v>
      </c>
      <c r="AG8">
        <f t="shared" si="1"/>
        <v>231</v>
      </c>
      <c r="AH8">
        <f t="shared" si="2"/>
        <v>2037.25</v>
      </c>
      <c r="AI8">
        <v>2522.1991130721653</v>
      </c>
      <c r="AJ8">
        <f>[1]F1XT_1!F7</f>
        <v>2522.1912040000002</v>
      </c>
      <c r="AK8">
        <f t="shared" si="3"/>
        <v>-7.9090721651482454E-3</v>
      </c>
    </row>
    <row r="9" spans="1:37" x14ac:dyDescent="0.25">
      <c r="A9" t="s">
        <v>39</v>
      </c>
      <c r="B9">
        <v>35</v>
      </c>
      <c r="C9">
        <v>26</v>
      </c>
      <c r="D9">
        <v>351.1</v>
      </c>
      <c r="E9">
        <v>831.7</v>
      </c>
      <c r="F9">
        <v>137.30000000000001</v>
      </c>
      <c r="G9">
        <v>1</v>
      </c>
      <c r="H9">
        <v>30</v>
      </c>
      <c r="I9">
        <v>12</v>
      </c>
      <c r="J9">
        <v>30000</v>
      </c>
      <c r="K9">
        <v>3.5</v>
      </c>
      <c r="L9">
        <v>0</v>
      </c>
      <c r="M9">
        <v>247</v>
      </c>
      <c r="N9">
        <v>16611.599999999999</v>
      </c>
      <c r="O9">
        <v>5001</v>
      </c>
      <c r="P9">
        <v>63.6</v>
      </c>
      <c r="Q9">
        <v>0</v>
      </c>
      <c r="R9">
        <v>94.5</v>
      </c>
      <c r="S9">
        <v>35.5</v>
      </c>
      <c r="T9">
        <v>0</v>
      </c>
      <c r="U9">
        <v>157.5</v>
      </c>
      <c r="V9">
        <v>0</v>
      </c>
      <c r="W9">
        <v>0</v>
      </c>
      <c r="X9">
        <v>0</v>
      </c>
      <c r="Y9">
        <v>2</v>
      </c>
      <c r="Z9">
        <v>100</v>
      </c>
      <c r="AA9">
        <v>0</v>
      </c>
      <c r="AB9">
        <v>1</v>
      </c>
      <c r="AC9">
        <v>1</v>
      </c>
      <c r="AD9">
        <v>0</v>
      </c>
      <c r="AE9">
        <v>1182.8</v>
      </c>
      <c r="AF9">
        <f t="shared" si="0"/>
        <v>360</v>
      </c>
      <c r="AG9">
        <f t="shared" si="1"/>
        <v>113</v>
      </c>
      <c r="AH9">
        <f t="shared" si="2"/>
        <v>2027.4166666666667</v>
      </c>
      <c r="AI9">
        <v>18218.445039955004</v>
      </c>
      <c r="AJ9">
        <f>[1]F1XT_1!F8</f>
        <v>18218.445059999998</v>
      </c>
      <c r="AK9">
        <f t="shared" si="3"/>
        <v>2.0044994016643614E-5</v>
      </c>
    </row>
    <row r="10" spans="1:37" x14ac:dyDescent="0.25">
      <c r="A10" t="s">
        <v>39</v>
      </c>
      <c r="B10">
        <v>35</v>
      </c>
      <c r="C10">
        <v>31</v>
      </c>
      <c r="D10">
        <v>240</v>
      </c>
      <c r="E10">
        <v>700</v>
      </c>
      <c r="F10">
        <v>124.2</v>
      </c>
      <c r="G10">
        <v>1</v>
      </c>
      <c r="H10">
        <v>25</v>
      </c>
      <c r="I10">
        <v>12</v>
      </c>
      <c r="J10">
        <v>20000</v>
      </c>
      <c r="K10">
        <v>3.5</v>
      </c>
      <c r="L10">
        <v>0</v>
      </c>
      <c r="M10">
        <v>247</v>
      </c>
      <c r="N10">
        <v>14888.8</v>
      </c>
      <c r="O10">
        <v>7401</v>
      </c>
      <c r="P10">
        <v>43.8</v>
      </c>
      <c r="Q10">
        <v>0</v>
      </c>
      <c r="R10">
        <v>63</v>
      </c>
      <c r="S10">
        <v>28.2</v>
      </c>
      <c r="T10">
        <v>0</v>
      </c>
      <c r="U10">
        <v>105</v>
      </c>
      <c r="V10">
        <v>0</v>
      </c>
      <c r="W10">
        <v>0</v>
      </c>
      <c r="X10">
        <v>0</v>
      </c>
      <c r="Y10">
        <v>2</v>
      </c>
      <c r="Z10">
        <v>100</v>
      </c>
      <c r="AA10">
        <v>0</v>
      </c>
      <c r="AB10">
        <v>1</v>
      </c>
      <c r="AC10">
        <v>1</v>
      </c>
      <c r="AD10">
        <v>0</v>
      </c>
      <c r="AE10">
        <v>940</v>
      </c>
      <c r="AF10">
        <f t="shared" si="0"/>
        <v>300</v>
      </c>
      <c r="AG10">
        <f t="shared" si="1"/>
        <v>53</v>
      </c>
      <c r="AH10">
        <f t="shared" si="2"/>
        <v>2022.4166666666667</v>
      </c>
      <c r="AI10">
        <v>15773.914500990619</v>
      </c>
      <c r="AJ10">
        <f>[1]F1XT_1!F9</f>
        <v>15773.91452</v>
      </c>
      <c r="AK10">
        <f t="shared" si="3"/>
        <v>1.9009381503565237E-5</v>
      </c>
    </row>
    <row r="11" spans="1:37" x14ac:dyDescent="0.25">
      <c r="A11" t="s">
        <v>39</v>
      </c>
      <c r="B11">
        <v>35</v>
      </c>
      <c r="C11">
        <v>30</v>
      </c>
      <c r="D11">
        <v>499.7</v>
      </c>
      <c r="E11">
        <v>1146.8</v>
      </c>
      <c r="F11">
        <v>183.6</v>
      </c>
      <c r="G11">
        <v>1</v>
      </c>
      <c r="H11">
        <v>30</v>
      </c>
      <c r="I11">
        <v>12</v>
      </c>
      <c r="J11">
        <v>40000</v>
      </c>
      <c r="K11">
        <v>3.5</v>
      </c>
      <c r="L11">
        <v>0</v>
      </c>
      <c r="M11">
        <v>247</v>
      </c>
      <c r="N11">
        <v>22161.599999999999</v>
      </c>
      <c r="O11">
        <v>8201</v>
      </c>
      <c r="P11">
        <v>114.3</v>
      </c>
      <c r="Q11">
        <v>0</v>
      </c>
      <c r="R11">
        <v>126</v>
      </c>
      <c r="S11">
        <v>49.4</v>
      </c>
      <c r="T11">
        <v>0</v>
      </c>
      <c r="U11">
        <v>210</v>
      </c>
      <c r="V11">
        <v>0</v>
      </c>
      <c r="W11">
        <v>0</v>
      </c>
      <c r="X11">
        <v>0</v>
      </c>
      <c r="Y11">
        <v>1</v>
      </c>
      <c r="Z11">
        <v>100</v>
      </c>
      <c r="AA11">
        <v>0</v>
      </c>
      <c r="AB11">
        <v>0</v>
      </c>
      <c r="AC11">
        <v>1</v>
      </c>
      <c r="AD11">
        <v>0</v>
      </c>
      <c r="AE11">
        <v>1646.5</v>
      </c>
      <c r="AF11">
        <f t="shared" si="0"/>
        <v>360</v>
      </c>
      <c r="AG11">
        <f t="shared" si="1"/>
        <v>113</v>
      </c>
      <c r="AH11">
        <f t="shared" si="2"/>
        <v>2027.4166666666667</v>
      </c>
      <c r="AI11">
        <v>23589.964820960045</v>
      </c>
      <c r="AJ11">
        <f>[1]F1XT_1!F10</f>
        <v>23589.964753</v>
      </c>
      <c r="AK11">
        <f t="shared" si="3"/>
        <v>-6.7960045271320269E-5</v>
      </c>
    </row>
    <row r="12" spans="1:37" x14ac:dyDescent="0.25">
      <c r="A12" t="s">
        <v>39</v>
      </c>
      <c r="B12">
        <v>35</v>
      </c>
      <c r="C12">
        <v>23</v>
      </c>
      <c r="D12">
        <v>0</v>
      </c>
      <c r="E12">
        <v>0</v>
      </c>
      <c r="F12">
        <v>124.1</v>
      </c>
      <c r="G12">
        <v>1</v>
      </c>
      <c r="H12">
        <v>30</v>
      </c>
      <c r="I12">
        <v>1</v>
      </c>
      <c r="J12">
        <v>9057.2000000000007</v>
      </c>
      <c r="K12">
        <v>3.5</v>
      </c>
      <c r="L12">
        <v>0</v>
      </c>
      <c r="M12">
        <v>245</v>
      </c>
      <c r="N12">
        <v>6860.7</v>
      </c>
      <c r="O12">
        <v>8601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</v>
      </c>
      <c r="Z12">
        <v>100</v>
      </c>
      <c r="AA12">
        <v>0</v>
      </c>
      <c r="AB12">
        <v>0</v>
      </c>
      <c r="AC12">
        <v>1</v>
      </c>
      <c r="AD12">
        <v>0</v>
      </c>
      <c r="AE12">
        <v>3985.3</v>
      </c>
      <c r="AF12">
        <f t="shared" si="0"/>
        <v>360</v>
      </c>
      <c r="AG12">
        <f t="shared" si="1"/>
        <v>115</v>
      </c>
      <c r="AH12">
        <f t="shared" si="2"/>
        <v>2027.5833333333333</v>
      </c>
      <c r="AI12">
        <v>9112.7318992402106</v>
      </c>
      <c r="AJ12">
        <f>[1]F1XT_1!F11</f>
        <v>9112.6963469999992</v>
      </c>
      <c r="AK12">
        <f t="shared" si="3"/>
        <v>-3.5552240211472963E-2</v>
      </c>
    </row>
    <row r="13" spans="1:37" x14ac:dyDescent="0.25">
      <c r="A13" t="s">
        <v>39</v>
      </c>
      <c r="B13">
        <v>35</v>
      </c>
      <c r="C13">
        <v>31</v>
      </c>
      <c r="D13">
        <v>0</v>
      </c>
      <c r="E13">
        <v>0</v>
      </c>
      <c r="F13">
        <v>131.69999999999999</v>
      </c>
      <c r="G13">
        <v>1</v>
      </c>
      <c r="H13">
        <v>30</v>
      </c>
      <c r="I13">
        <v>1</v>
      </c>
      <c r="J13">
        <v>9307</v>
      </c>
      <c r="K13">
        <v>3.5</v>
      </c>
      <c r="L13">
        <v>0</v>
      </c>
      <c r="M13">
        <v>246</v>
      </c>
      <c r="N13">
        <v>7064.4</v>
      </c>
      <c r="O13">
        <v>8701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2</v>
      </c>
      <c r="Z13">
        <v>100</v>
      </c>
      <c r="AA13">
        <v>0</v>
      </c>
      <c r="AB13">
        <v>1</v>
      </c>
      <c r="AC13">
        <v>1</v>
      </c>
      <c r="AD13">
        <v>0</v>
      </c>
      <c r="AE13">
        <v>1195.0999999999999</v>
      </c>
      <c r="AF13">
        <f t="shared" si="0"/>
        <v>360</v>
      </c>
      <c r="AG13">
        <f t="shared" si="1"/>
        <v>114</v>
      </c>
      <c r="AH13">
        <f t="shared" si="2"/>
        <v>2027.5</v>
      </c>
      <c r="AI13">
        <v>9336.9497703066227</v>
      </c>
      <c r="AJ13">
        <f>[1]F1XT_1!F12</f>
        <v>9336.9138559999992</v>
      </c>
      <c r="AK13">
        <f t="shared" si="3"/>
        <v>-3.591430662345374E-2</v>
      </c>
    </row>
    <row r="14" spans="1:37" x14ac:dyDescent="0.25">
      <c r="A14" t="s">
        <v>39</v>
      </c>
      <c r="B14">
        <v>35</v>
      </c>
      <c r="C14">
        <v>28</v>
      </c>
      <c r="D14">
        <v>492.7</v>
      </c>
      <c r="E14">
        <v>1139.8</v>
      </c>
      <c r="F14">
        <v>175.6</v>
      </c>
      <c r="G14">
        <v>1</v>
      </c>
      <c r="H14">
        <v>30</v>
      </c>
      <c r="I14">
        <v>12</v>
      </c>
      <c r="J14">
        <v>40000</v>
      </c>
      <c r="K14">
        <v>3.5</v>
      </c>
      <c r="L14">
        <v>0</v>
      </c>
      <c r="M14">
        <v>246</v>
      </c>
      <c r="N14">
        <v>22005.599999999999</v>
      </c>
      <c r="O14">
        <v>9601</v>
      </c>
      <c r="P14">
        <v>107.8</v>
      </c>
      <c r="Q14">
        <v>0</v>
      </c>
      <c r="R14">
        <v>126</v>
      </c>
      <c r="S14">
        <v>48.9</v>
      </c>
      <c r="T14">
        <v>0</v>
      </c>
      <c r="U14">
        <v>210</v>
      </c>
      <c r="V14">
        <v>0</v>
      </c>
      <c r="W14">
        <v>0</v>
      </c>
      <c r="X14">
        <v>0</v>
      </c>
      <c r="Y14">
        <v>1</v>
      </c>
      <c r="Z14">
        <v>100</v>
      </c>
      <c r="AA14">
        <v>0</v>
      </c>
      <c r="AB14">
        <v>0</v>
      </c>
      <c r="AC14">
        <v>1</v>
      </c>
      <c r="AD14">
        <v>0</v>
      </c>
      <c r="AE14">
        <v>1632.5</v>
      </c>
      <c r="AF14">
        <f t="shared" si="0"/>
        <v>360</v>
      </c>
      <c r="AG14">
        <f t="shared" si="1"/>
        <v>114</v>
      </c>
      <c r="AH14">
        <f t="shared" si="2"/>
        <v>2027.5</v>
      </c>
      <c r="AI14">
        <v>23488.115620971181</v>
      </c>
      <c r="AJ14">
        <f>[1]F1XT_1!F13</f>
        <v>23488.115519999999</v>
      </c>
      <c r="AK14">
        <f t="shared" si="3"/>
        <v>-1.009711813821923E-4</v>
      </c>
    </row>
    <row r="15" spans="1:37" x14ac:dyDescent="0.25">
      <c r="A15" t="s">
        <v>39</v>
      </c>
      <c r="B15">
        <v>35</v>
      </c>
      <c r="C15">
        <v>37</v>
      </c>
      <c r="D15">
        <v>396.7</v>
      </c>
      <c r="E15">
        <v>1092.4000000000001</v>
      </c>
      <c r="F15">
        <v>181.1</v>
      </c>
      <c r="G15">
        <v>1</v>
      </c>
      <c r="H15">
        <v>25</v>
      </c>
      <c r="I15">
        <v>12</v>
      </c>
      <c r="J15">
        <v>30000</v>
      </c>
      <c r="K15">
        <v>3.5</v>
      </c>
      <c r="L15">
        <v>0</v>
      </c>
      <c r="M15">
        <v>246</v>
      </c>
      <c r="N15">
        <v>22138.2</v>
      </c>
      <c r="O15">
        <v>10801</v>
      </c>
      <c r="P15">
        <v>100</v>
      </c>
      <c r="Q15">
        <v>0</v>
      </c>
      <c r="R15">
        <v>94.5</v>
      </c>
      <c r="S15">
        <v>44.7</v>
      </c>
      <c r="T15">
        <v>0</v>
      </c>
      <c r="U15">
        <v>157.5</v>
      </c>
      <c r="V15">
        <v>0</v>
      </c>
      <c r="W15">
        <v>0</v>
      </c>
      <c r="X15">
        <v>0</v>
      </c>
      <c r="Y15">
        <v>1</v>
      </c>
      <c r="Z15">
        <v>100</v>
      </c>
      <c r="AA15">
        <v>0</v>
      </c>
      <c r="AB15">
        <v>0</v>
      </c>
      <c r="AC15">
        <v>1</v>
      </c>
      <c r="AD15">
        <v>0</v>
      </c>
      <c r="AE15">
        <v>1489.1</v>
      </c>
      <c r="AF15">
        <f t="shared" si="0"/>
        <v>300</v>
      </c>
      <c r="AG15">
        <f t="shared" si="1"/>
        <v>54</v>
      </c>
      <c r="AH15">
        <f t="shared" si="2"/>
        <v>2022.5</v>
      </c>
      <c r="AI15">
        <v>23229.38162021037</v>
      </c>
      <c r="AJ15">
        <f>[1]F1XT_1!F14</f>
        <v>23229.381616999999</v>
      </c>
      <c r="AK15">
        <f t="shared" si="3"/>
        <v>-3.210370778106153E-6</v>
      </c>
    </row>
    <row r="16" spans="1:37" x14ac:dyDescent="0.25">
      <c r="A16" t="s">
        <v>39</v>
      </c>
      <c r="B16">
        <v>35</v>
      </c>
      <c r="C16">
        <v>31</v>
      </c>
      <c r="D16">
        <v>0</v>
      </c>
      <c r="E16">
        <v>0</v>
      </c>
      <c r="F16">
        <v>89.2</v>
      </c>
      <c r="G16">
        <v>1</v>
      </c>
      <c r="H16">
        <v>30</v>
      </c>
      <c r="I16">
        <v>1</v>
      </c>
      <c r="J16">
        <v>3361.2</v>
      </c>
      <c r="K16">
        <v>3.5</v>
      </c>
      <c r="L16">
        <v>0</v>
      </c>
      <c r="M16">
        <v>243</v>
      </c>
      <c r="N16">
        <v>2545.6999999999998</v>
      </c>
      <c r="O16">
        <v>14301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1</v>
      </c>
      <c r="Z16">
        <v>100</v>
      </c>
      <c r="AA16">
        <v>0</v>
      </c>
      <c r="AB16">
        <v>0</v>
      </c>
      <c r="AC16">
        <v>1</v>
      </c>
      <c r="AD16">
        <v>0</v>
      </c>
      <c r="AE16">
        <v>2482.4</v>
      </c>
      <c r="AF16">
        <f t="shared" si="0"/>
        <v>360</v>
      </c>
      <c r="AG16">
        <f t="shared" si="1"/>
        <v>117</v>
      </c>
      <c r="AH16">
        <f t="shared" si="2"/>
        <v>2027.75</v>
      </c>
      <c r="AI16">
        <v>4178.8599111981475</v>
      </c>
      <c r="AJ16">
        <f>[1]F1XT_1!F15</f>
        <v>4178.8465500000002</v>
      </c>
      <c r="AK16">
        <f t="shared" si="3"/>
        <v>-1.3361198147322284E-2</v>
      </c>
    </row>
    <row r="17" spans="1:37" x14ac:dyDescent="0.25">
      <c r="A17" t="s">
        <v>39</v>
      </c>
      <c r="B17">
        <v>35</v>
      </c>
      <c r="C17">
        <v>37</v>
      </c>
      <c r="D17">
        <v>429.8</v>
      </c>
      <c r="E17">
        <v>1236.0999999999999</v>
      </c>
      <c r="F17">
        <v>185.5</v>
      </c>
      <c r="G17">
        <v>1</v>
      </c>
      <c r="H17">
        <v>25</v>
      </c>
      <c r="I17">
        <v>12</v>
      </c>
      <c r="J17">
        <v>35000</v>
      </c>
      <c r="K17">
        <v>3.5</v>
      </c>
      <c r="L17">
        <v>0</v>
      </c>
      <c r="M17">
        <v>243</v>
      </c>
      <c r="N17">
        <v>25417.9</v>
      </c>
      <c r="O17">
        <v>16301</v>
      </c>
      <c r="P17">
        <v>85.7</v>
      </c>
      <c r="Q17">
        <v>0</v>
      </c>
      <c r="R17">
        <v>110.3</v>
      </c>
      <c r="S17">
        <v>50</v>
      </c>
      <c r="T17">
        <v>0</v>
      </c>
      <c r="U17">
        <v>183.8</v>
      </c>
      <c r="V17">
        <v>0</v>
      </c>
      <c r="W17">
        <v>0</v>
      </c>
      <c r="X17">
        <v>0</v>
      </c>
      <c r="Y17">
        <v>2</v>
      </c>
      <c r="Z17">
        <v>100</v>
      </c>
      <c r="AA17">
        <v>0</v>
      </c>
      <c r="AB17">
        <v>1</v>
      </c>
      <c r="AC17">
        <v>1</v>
      </c>
      <c r="AD17">
        <v>0</v>
      </c>
      <c r="AE17">
        <v>1665.9</v>
      </c>
      <c r="AF17">
        <f t="shared" si="0"/>
        <v>300</v>
      </c>
      <c r="AG17">
        <f t="shared" si="1"/>
        <v>57</v>
      </c>
      <c r="AH17">
        <f t="shared" si="2"/>
        <v>2022.75</v>
      </c>
      <c r="AI17">
        <v>26736.794489745978</v>
      </c>
      <c r="AJ17">
        <f>[1]F1XT_1!F16</f>
        <v>26736.794470000001</v>
      </c>
      <c r="AK17">
        <f t="shared" si="3"/>
        <v>-1.9745977624552324E-5</v>
      </c>
    </row>
    <row r="18" spans="1:37" x14ac:dyDescent="0.25">
      <c r="A18" t="s">
        <v>39</v>
      </c>
      <c r="B18">
        <v>35</v>
      </c>
      <c r="C18">
        <v>39</v>
      </c>
      <c r="D18">
        <v>0</v>
      </c>
      <c r="E18">
        <v>0</v>
      </c>
      <c r="F18">
        <v>155.6</v>
      </c>
      <c r="G18">
        <v>1</v>
      </c>
      <c r="H18">
        <v>30</v>
      </c>
      <c r="I18">
        <v>1</v>
      </c>
      <c r="J18">
        <v>24925.3</v>
      </c>
      <c r="K18">
        <v>3.5</v>
      </c>
      <c r="L18">
        <v>0</v>
      </c>
      <c r="M18">
        <v>242</v>
      </c>
      <c r="N18">
        <v>19014.3</v>
      </c>
      <c r="O18">
        <v>16701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1</v>
      </c>
      <c r="Z18">
        <v>100</v>
      </c>
      <c r="AA18">
        <v>0</v>
      </c>
      <c r="AB18">
        <v>0</v>
      </c>
      <c r="AC18">
        <v>1</v>
      </c>
      <c r="AD18">
        <v>0</v>
      </c>
      <c r="AE18">
        <v>1769.8</v>
      </c>
      <c r="AF18">
        <f t="shared" si="0"/>
        <v>360</v>
      </c>
      <c r="AG18">
        <f t="shared" si="1"/>
        <v>118</v>
      </c>
      <c r="AH18">
        <f t="shared" si="2"/>
        <v>2027.8333333333333</v>
      </c>
      <c r="AI18">
        <v>22833.235713900362</v>
      </c>
      <c r="AJ18">
        <f>[1]F1XT_1!F17</f>
        <v>22833.138465</v>
      </c>
      <c r="AK18">
        <f t="shared" si="3"/>
        <v>-9.724890036159195E-2</v>
      </c>
    </row>
    <row r="19" spans="1:37" x14ac:dyDescent="0.25">
      <c r="A19" t="s">
        <v>39</v>
      </c>
      <c r="B19">
        <v>35</v>
      </c>
      <c r="C19">
        <v>33</v>
      </c>
      <c r="D19">
        <v>0</v>
      </c>
      <c r="E19">
        <v>0</v>
      </c>
      <c r="F19">
        <v>149.19999999999999</v>
      </c>
      <c r="G19">
        <v>1</v>
      </c>
      <c r="H19">
        <v>30</v>
      </c>
      <c r="I19">
        <v>1</v>
      </c>
      <c r="J19">
        <v>25160.1</v>
      </c>
      <c r="K19">
        <v>3.5</v>
      </c>
      <c r="L19">
        <v>0</v>
      </c>
      <c r="M19">
        <v>242</v>
      </c>
      <c r="N19">
        <v>18932.8</v>
      </c>
      <c r="O19">
        <v>16801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2</v>
      </c>
      <c r="Z19">
        <v>100</v>
      </c>
      <c r="AA19">
        <v>0</v>
      </c>
      <c r="AB19">
        <v>1</v>
      </c>
      <c r="AC19">
        <v>1</v>
      </c>
      <c r="AD19">
        <v>0</v>
      </c>
      <c r="AE19">
        <v>1601.8</v>
      </c>
      <c r="AF19">
        <f t="shared" si="0"/>
        <v>360</v>
      </c>
      <c r="AG19">
        <f t="shared" si="1"/>
        <v>118</v>
      </c>
      <c r="AH19">
        <f t="shared" si="2"/>
        <v>2027.8333333333333</v>
      </c>
      <c r="AI19">
        <v>22950.562500703585</v>
      </c>
      <c r="AJ19">
        <f>[1]F1XT_1!F18</f>
        <v>22950.459744</v>
      </c>
      <c r="AK19">
        <f t="shared" si="3"/>
        <v>-0.10275670358532807</v>
      </c>
    </row>
    <row r="20" spans="1:37" x14ac:dyDescent="0.25">
      <c r="A20" t="s">
        <v>39</v>
      </c>
      <c r="B20">
        <v>35</v>
      </c>
      <c r="C20">
        <v>29</v>
      </c>
      <c r="D20">
        <v>1161.4000000000001</v>
      </c>
      <c r="E20">
        <v>920.2</v>
      </c>
      <c r="F20">
        <v>118</v>
      </c>
      <c r="G20">
        <v>1</v>
      </c>
      <c r="H20">
        <v>35</v>
      </c>
      <c r="I20">
        <v>12</v>
      </c>
      <c r="J20">
        <v>40000</v>
      </c>
      <c r="K20">
        <v>3.5</v>
      </c>
      <c r="L20">
        <v>0</v>
      </c>
      <c r="M20">
        <v>243</v>
      </c>
      <c r="N20">
        <v>16568.599999999999</v>
      </c>
      <c r="O20">
        <v>18701</v>
      </c>
      <c r="P20">
        <v>93.7</v>
      </c>
      <c r="Q20">
        <v>0</v>
      </c>
      <c r="R20">
        <v>126</v>
      </c>
      <c r="S20">
        <v>41.8</v>
      </c>
      <c r="T20">
        <v>689.9</v>
      </c>
      <c r="U20">
        <v>210</v>
      </c>
      <c r="V20">
        <v>0</v>
      </c>
      <c r="W20">
        <v>0</v>
      </c>
      <c r="X20">
        <v>0</v>
      </c>
      <c r="Y20">
        <v>2</v>
      </c>
      <c r="Z20">
        <v>100</v>
      </c>
      <c r="AA20">
        <v>0</v>
      </c>
      <c r="AB20">
        <v>0</v>
      </c>
      <c r="AC20">
        <v>1</v>
      </c>
      <c r="AD20">
        <v>2</v>
      </c>
      <c r="AE20">
        <v>2081.6</v>
      </c>
      <c r="AF20">
        <f t="shared" si="0"/>
        <v>420</v>
      </c>
      <c r="AG20">
        <f t="shared" si="1"/>
        <v>177</v>
      </c>
      <c r="AH20">
        <f t="shared" si="2"/>
        <v>2032.75</v>
      </c>
      <c r="AI20">
        <v>20487.836220066863</v>
      </c>
      <c r="AJ20">
        <f>[1]F1XT_1!F19</f>
        <v>20487.836465</v>
      </c>
      <c r="AK20">
        <f t="shared" si="3"/>
        <v>2.4493313685525209E-4</v>
      </c>
    </row>
    <row r="21" spans="1:37" x14ac:dyDescent="0.25">
      <c r="A21" t="s">
        <v>39</v>
      </c>
      <c r="B21">
        <v>35</v>
      </c>
      <c r="C21">
        <v>37</v>
      </c>
      <c r="D21">
        <v>307</v>
      </c>
      <c r="E21">
        <v>883</v>
      </c>
      <c r="F21">
        <v>129.9</v>
      </c>
      <c r="G21">
        <v>1</v>
      </c>
      <c r="H21">
        <v>25</v>
      </c>
      <c r="I21">
        <v>12</v>
      </c>
      <c r="J21">
        <v>25000</v>
      </c>
      <c r="K21">
        <v>3.5</v>
      </c>
      <c r="L21">
        <v>0</v>
      </c>
      <c r="M21">
        <v>242</v>
      </c>
      <c r="N21">
        <v>18044.900000000001</v>
      </c>
      <c r="O21">
        <v>20501</v>
      </c>
      <c r="P21">
        <v>61.2</v>
      </c>
      <c r="Q21">
        <v>0</v>
      </c>
      <c r="R21">
        <v>78.8</v>
      </c>
      <c r="S21">
        <v>35.700000000000003</v>
      </c>
      <c r="T21">
        <v>0</v>
      </c>
      <c r="U21">
        <v>131.30000000000001</v>
      </c>
      <c r="V21">
        <v>0</v>
      </c>
      <c r="W21">
        <v>0</v>
      </c>
      <c r="X21">
        <v>0</v>
      </c>
      <c r="Y21">
        <v>2</v>
      </c>
      <c r="Z21">
        <v>100</v>
      </c>
      <c r="AA21">
        <v>0</v>
      </c>
      <c r="AB21">
        <v>1</v>
      </c>
      <c r="AC21">
        <v>1</v>
      </c>
      <c r="AD21">
        <v>0</v>
      </c>
      <c r="AE21">
        <v>1190</v>
      </c>
      <c r="AF21">
        <f t="shared" si="0"/>
        <v>300</v>
      </c>
      <c r="AG21">
        <f t="shared" si="1"/>
        <v>58</v>
      </c>
      <c r="AH21">
        <f t="shared" si="2"/>
        <v>2022.8333333333333</v>
      </c>
      <c r="AI21">
        <v>19182.771141223759</v>
      </c>
      <c r="AJ21">
        <f>[1]F1XT_1!F20</f>
        <v>19182.771127</v>
      </c>
      <c r="AK21">
        <f t="shared" si="3"/>
        <v>-1.4223758626030758E-5</v>
      </c>
    </row>
    <row r="22" spans="1:37" x14ac:dyDescent="0.25">
      <c r="A22" t="s">
        <v>39</v>
      </c>
      <c r="B22">
        <v>35</v>
      </c>
      <c r="C22">
        <v>34</v>
      </c>
      <c r="D22">
        <v>320.7</v>
      </c>
      <c r="E22">
        <v>898.9</v>
      </c>
      <c r="F22">
        <v>130.5</v>
      </c>
      <c r="G22">
        <v>1</v>
      </c>
      <c r="H22">
        <v>25</v>
      </c>
      <c r="I22">
        <v>12</v>
      </c>
      <c r="J22">
        <v>25000</v>
      </c>
      <c r="K22">
        <v>3.5</v>
      </c>
      <c r="L22">
        <v>0</v>
      </c>
      <c r="M22">
        <v>242</v>
      </c>
      <c r="N22">
        <v>18021.5</v>
      </c>
      <c r="O22">
        <v>20601</v>
      </c>
      <c r="P22">
        <v>74</v>
      </c>
      <c r="Q22">
        <v>0</v>
      </c>
      <c r="R22">
        <v>78.8</v>
      </c>
      <c r="S22">
        <v>36.6</v>
      </c>
      <c r="T22">
        <v>0</v>
      </c>
      <c r="U22">
        <v>131.30000000000001</v>
      </c>
      <c r="V22">
        <v>0</v>
      </c>
      <c r="W22">
        <v>0</v>
      </c>
      <c r="X22">
        <v>0</v>
      </c>
      <c r="Y22">
        <v>1</v>
      </c>
      <c r="Z22">
        <v>100</v>
      </c>
      <c r="AA22">
        <v>0</v>
      </c>
      <c r="AB22">
        <v>0</v>
      </c>
      <c r="AC22">
        <v>1</v>
      </c>
      <c r="AD22">
        <v>0</v>
      </c>
      <c r="AE22">
        <v>1219.5999999999999</v>
      </c>
      <c r="AF22">
        <f t="shared" si="0"/>
        <v>300</v>
      </c>
      <c r="AG22">
        <f t="shared" si="1"/>
        <v>58</v>
      </c>
      <c r="AH22">
        <f t="shared" si="2"/>
        <v>2022.8333333333333</v>
      </c>
      <c r="AI22">
        <v>18913.703954374967</v>
      </c>
      <c r="AJ22">
        <f>[1]F1XT_1!F21</f>
        <v>18913.703947999998</v>
      </c>
      <c r="AK22">
        <f t="shared" si="3"/>
        <v>-6.3749685068614781E-6</v>
      </c>
    </row>
    <row r="23" spans="1:37" x14ac:dyDescent="0.25">
      <c r="A23" t="s">
        <v>39</v>
      </c>
      <c r="B23">
        <v>35</v>
      </c>
      <c r="C23">
        <v>20</v>
      </c>
      <c r="D23">
        <v>0</v>
      </c>
      <c r="E23">
        <v>0</v>
      </c>
      <c r="F23">
        <v>104.1</v>
      </c>
      <c r="G23">
        <v>1</v>
      </c>
      <c r="H23">
        <v>40</v>
      </c>
      <c r="I23">
        <v>1</v>
      </c>
      <c r="J23">
        <v>17827.099999999999</v>
      </c>
      <c r="K23">
        <v>3.5</v>
      </c>
      <c r="L23">
        <v>0</v>
      </c>
      <c r="M23">
        <v>242</v>
      </c>
      <c r="N23">
        <v>10322.700000000001</v>
      </c>
      <c r="O23">
        <v>20701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</v>
      </c>
      <c r="Z23">
        <v>100</v>
      </c>
      <c r="AA23">
        <v>0</v>
      </c>
      <c r="AB23">
        <v>0</v>
      </c>
      <c r="AC23">
        <v>1</v>
      </c>
      <c r="AD23">
        <v>0</v>
      </c>
      <c r="AE23">
        <v>1593.8</v>
      </c>
      <c r="AF23">
        <f t="shared" si="0"/>
        <v>480</v>
      </c>
      <c r="AG23">
        <f t="shared" si="1"/>
        <v>238</v>
      </c>
      <c r="AH23">
        <f t="shared" si="2"/>
        <v>2037.8333333333333</v>
      </c>
      <c r="AI23">
        <v>14583.675048976578</v>
      </c>
      <c r="AJ23">
        <f>[1]F1XT_1!F22</f>
        <v>14583.462765</v>
      </c>
      <c r="AK23">
        <f t="shared" si="3"/>
        <v>-0.21228397657796449</v>
      </c>
    </row>
    <row r="24" spans="1:37" x14ac:dyDescent="0.25">
      <c r="A24" t="s">
        <v>39</v>
      </c>
      <c r="B24">
        <v>35</v>
      </c>
      <c r="C24">
        <v>34</v>
      </c>
      <c r="D24">
        <v>303.10000000000002</v>
      </c>
      <c r="E24">
        <v>878.5</v>
      </c>
      <c r="F24">
        <v>126.7</v>
      </c>
      <c r="G24">
        <v>1</v>
      </c>
      <c r="H24">
        <v>25</v>
      </c>
      <c r="I24">
        <v>12</v>
      </c>
      <c r="J24">
        <v>25000</v>
      </c>
      <c r="K24">
        <v>3.5</v>
      </c>
      <c r="L24">
        <v>0</v>
      </c>
      <c r="M24">
        <v>242</v>
      </c>
      <c r="N24">
        <v>18051.900000000001</v>
      </c>
      <c r="O24">
        <v>21001</v>
      </c>
      <c r="P24">
        <v>57.5</v>
      </c>
      <c r="Q24">
        <v>0</v>
      </c>
      <c r="R24">
        <v>78.8</v>
      </c>
      <c r="S24">
        <v>35.5</v>
      </c>
      <c r="T24">
        <v>0</v>
      </c>
      <c r="U24">
        <v>131.30000000000001</v>
      </c>
      <c r="V24">
        <v>0</v>
      </c>
      <c r="W24">
        <v>0</v>
      </c>
      <c r="X24">
        <v>0</v>
      </c>
      <c r="Y24">
        <v>2</v>
      </c>
      <c r="Z24">
        <v>100</v>
      </c>
      <c r="AA24">
        <v>0</v>
      </c>
      <c r="AB24">
        <v>1</v>
      </c>
      <c r="AC24">
        <v>1</v>
      </c>
      <c r="AD24">
        <v>0</v>
      </c>
      <c r="AE24">
        <v>1181.5999999999999</v>
      </c>
      <c r="AF24">
        <f t="shared" si="0"/>
        <v>300</v>
      </c>
      <c r="AG24">
        <f t="shared" si="1"/>
        <v>58</v>
      </c>
      <c r="AH24">
        <f t="shared" si="2"/>
        <v>2022.8333333333333</v>
      </c>
      <c r="AI24">
        <v>19029.449438463787</v>
      </c>
      <c r="AJ24">
        <f>[1]F1XT_1!F23</f>
        <v>19029.449458999999</v>
      </c>
      <c r="AK24">
        <f t="shared" si="3"/>
        <v>2.0536212105071172E-5</v>
      </c>
    </row>
    <row r="25" spans="1:37" x14ac:dyDescent="0.25">
      <c r="A25" t="s">
        <v>39</v>
      </c>
      <c r="B25">
        <v>35</v>
      </c>
      <c r="C25">
        <v>36</v>
      </c>
      <c r="D25">
        <v>327</v>
      </c>
      <c r="E25">
        <v>905.9</v>
      </c>
      <c r="F25">
        <v>127.8</v>
      </c>
      <c r="G25">
        <v>1</v>
      </c>
      <c r="H25">
        <v>25</v>
      </c>
      <c r="I25">
        <v>12</v>
      </c>
      <c r="J25">
        <v>25000</v>
      </c>
      <c r="K25">
        <v>3.5</v>
      </c>
      <c r="L25">
        <v>0</v>
      </c>
      <c r="M25">
        <v>242</v>
      </c>
      <c r="N25">
        <v>18012.900000000001</v>
      </c>
      <c r="O25">
        <v>21101</v>
      </c>
      <c r="P25">
        <v>79.900000000000006</v>
      </c>
      <c r="Q25">
        <v>0</v>
      </c>
      <c r="R25">
        <v>78.8</v>
      </c>
      <c r="S25">
        <v>37</v>
      </c>
      <c r="T25">
        <v>0</v>
      </c>
      <c r="U25">
        <v>131.30000000000001</v>
      </c>
      <c r="V25">
        <v>0</v>
      </c>
      <c r="W25">
        <v>0</v>
      </c>
      <c r="X25">
        <v>0</v>
      </c>
      <c r="Y25">
        <v>1</v>
      </c>
      <c r="Z25">
        <v>100</v>
      </c>
      <c r="AA25">
        <v>0</v>
      </c>
      <c r="AB25">
        <v>0</v>
      </c>
      <c r="AC25">
        <v>1</v>
      </c>
      <c r="AD25">
        <v>0</v>
      </c>
      <c r="AE25">
        <v>1232.9000000000001</v>
      </c>
      <c r="AF25">
        <f t="shared" si="0"/>
        <v>300</v>
      </c>
      <c r="AG25">
        <f t="shared" si="1"/>
        <v>58</v>
      </c>
      <c r="AH25">
        <f t="shared" si="2"/>
        <v>2022.8333333333333</v>
      </c>
      <c r="AI25">
        <v>18874.902850808794</v>
      </c>
      <c r="AJ25">
        <f>[1]F1XT_1!F24</f>
        <v>18874.902848000002</v>
      </c>
      <c r="AK25">
        <f t="shared" si="3"/>
        <v>-2.8087924874853343E-6</v>
      </c>
    </row>
    <row r="26" spans="1:37" x14ac:dyDescent="0.25">
      <c r="A26" t="s">
        <v>39</v>
      </c>
      <c r="B26">
        <v>35</v>
      </c>
      <c r="C26">
        <v>27</v>
      </c>
      <c r="D26">
        <v>469.3</v>
      </c>
      <c r="E26">
        <v>1110.5</v>
      </c>
      <c r="F26">
        <v>148.9</v>
      </c>
      <c r="G26">
        <v>1</v>
      </c>
      <c r="H26">
        <v>30</v>
      </c>
      <c r="I26">
        <v>12</v>
      </c>
      <c r="J26">
        <v>40000</v>
      </c>
      <c r="K26">
        <v>3.5</v>
      </c>
      <c r="L26">
        <v>0</v>
      </c>
      <c r="M26">
        <v>242</v>
      </c>
      <c r="N26">
        <v>21484.400000000001</v>
      </c>
      <c r="O26">
        <v>21501</v>
      </c>
      <c r="P26">
        <v>85.9</v>
      </c>
      <c r="Q26">
        <v>0</v>
      </c>
      <c r="R26">
        <v>126</v>
      </c>
      <c r="S26">
        <v>47.4</v>
      </c>
      <c r="T26">
        <v>0</v>
      </c>
      <c r="U26">
        <v>210</v>
      </c>
      <c r="V26">
        <v>0</v>
      </c>
      <c r="W26">
        <v>0</v>
      </c>
      <c r="X26">
        <v>0</v>
      </c>
      <c r="Y26">
        <v>2</v>
      </c>
      <c r="Z26">
        <v>100</v>
      </c>
      <c r="AA26">
        <v>0</v>
      </c>
      <c r="AB26">
        <v>1</v>
      </c>
      <c r="AC26">
        <v>1</v>
      </c>
      <c r="AD26">
        <v>0</v>
      </c>
      <c r="AE26">
        <v>1579.8</v>
      </c>
      <c r="AF26">
        <f t="shared" si="0"/>
        <v>360</v>
      </c>
      <c r="AG26">
        <f t="shared" si="1"/>
        <v>118</v>
      </c>
      <c r="AH26">
        <f t="shared" si="2"/>
        <v>2027.8333333333333</v>
      </c>
      <c r="AI26">
        <v>23186.966699486322</v>
      </c>
      <c r="AJ26">
        <f>[1]F1XT_1!F25</f>
        <v>23186.966795</v>
      </c>
      <c r="AK26">
        <f t="shared" si="3"/>
        <v>9.5513678388670087E-5</v>
      </c>
    </row>
    <row r="27" spans="1:37" x14ac:dyDescent="0.25">
      <c r="A27" t="s">
        <v>39</v>
      </c>
      <c r="B27">
        <v>35</v>
      </c>
      <c r="C27">
        <v>26</v>
      </c>
      <c r="D27">
        <v>810.5</v>
      </c>
      <c r="E27">
        <v>914</v>
      </c>
      <c r="F27">
        <v>112.4</v>
      </c>
      <c r="G27">
        <v>1</v>
      </c>
      <c r="H27">
        <v>35</v>
      </c>
      <c r="I27">
        <v>12</v>
      </c>
      <c r="J27">
        <v>40000</v>
      </c>
      <c r="K27">
        <v>3.5</v>
      </c>
      <c r="L27">
        <v>0</v>
      </c>
      <c r="M27">
        <v>242</v>
      </c>
      <c r="N27">
        <v>16443.099999999999</v>
      </c>
      <c r="O27">
        <v>26101</v>
      </c>
      <c r="P27">
        <v>88.2</v>
      </c>
      <c r="Q27">
        <v>0</v>
      </c>
      <c r="R27">
        <v>126</v>
      </c>
      <c r="S27">
        <v>41.4</v>
      </c>
      <c r="T27">
        <v>344.9</v>
      </c>
      <c r="U27">
        <v>210</v>
      </c>
      <c r="V27">
        <v>0</v>
      </c>
      <c r="W27">
        <v>0</v>
      </c>
      <c r="X27">
        <v>0</v>
      </c>
      <c r="Y27">
        <v>2</v>
      </c>
      <c r="Z27">
        <v>100</v>
      </c>
      <c r="AA27">
        <v>0</v>
      </c>
      <c r="AB27">
        <v>1</v>
      </c>
      <c r="AC27">
        <v>1</v>
      </c>
      <c r="AD27">
        <v>1</v>
      </c>
      <c r="AE27">
        <v>1724.5</v>
      </c>
      <c r="AF27">
        <f t="shared" si="0"/>
        <v>420</v>
      </c>
      <c r="AG27">
        <f t="shared" si="1"/>
        <v>178</v>
      </c>
      <c r="AH27">
        <f t="shared" si="2"/>
        <v>2032.8333333333333</v>
      </c>
      <c r="AI27">
        <v>18985.703638310042</v>
      </c>
      <c r="AJ27">
        <f>[1]F1XT_1!F26</f>
        <v>18985.703913000001</v>
      </c>
      <c r="AK27">
        <f t="shared" si="3"/>
        <v>2.746899590420071E-4</v>
      </c>
    </row>
    <row r="28" spans="1:37" x14ac:dyDescent="0.25">
      <c r="A28" t="s">
        <v>39</v>
      </c>
      <c r="B28">
        <v>35</v>
      </c>
      <c r="C28">
        <v>35</v>
      </c>
      <c r="D28">
        <v>524.9</v>
      </c>
      <c r="E28">
        <v>1175.3</v>
      </c>
      <c r="F28">
        <v>142.1</v>
      </c>
      <c r="G28">
        <v>1</v>
      </c>
      <c r="H28">
        <v>30</v>
      </c>
      <c r="I28">
        <v>12</v>
      </c>
      <c r="J28">
        <v>40000</v>
      </c>
      <c r="K28">
        <v>3.5</v>
      </c>
      <c r="L28">
        <v>0</v>
      </c>
      <c r="M28">
        <v>240</v>
      </c>
      <c r="N28">
        <v>21307.3</v>
      </c>
      <c r="O28">
        <v>26501</v>
      </c>
      <c r="P28">
        <v>137.9</v>
      </c>
      <c r="Q28">
        <v>0</v>
      </c>
      <c r="R28">
        <v>126</v>
      </c>
      <c r="S28">
        <v>51</v>
      </c>
      <c r="T28">
        <v>0</v>
      </c>
      <c r="U28">
        <v>210</v>
      </c>
      <c r="V28">
        <v>0</v>
      </c>
      <c r="W28">
        <v>0</v>
      </c>
      <c r="X28">
        <v>0</v>
      </c>
      <c r="Y28">
        <v>1</v>
      </c>
      <c r="Z28">
        <v>100</v>
      </c>
      <c r="AA28">
        <v>0</v>
      </c>
      <c r="AB28">
        <v>0</v>
      </c>
      <c r="AC28">
        <v>1</v>
      </c>
      <c r="AD28">
        <v>0</v>
      </c>
      <c r="AE28">
        <v>1700.2</v>
      </c>
      <c r="AF28">
        <f t="shared" si="0"/>
        <v>360</v>
      </c>
      <c r="AG28">
        <f t="shared" si="1"/>
        <v>120</v>
      </c>
      <c r="AH28">
        <f t="shared" si="2"/>
        <v>2028</v>
      </c>
      <c r="AI28">
        <v>23346.537039753868</v>
      </c>
      <c r="AJ28">
        <f>[1]F1XT_1!F27</f>
        <v>23346.536923</v>
      </c>
      <c r="AK28">
        <f t="shared" si="3"/>
        <v>-1.1675386849674396E-4</v>
      </c>
    </row>
    <row r="29" spans="1:37" x14ac:dyDescent="0.25">
      <c r="A29" t="s">
        <v>39</v>
      </c>
      <c r="B29">
        <v>35</v>
      </c>
      <c r="C29">
        <v>31</v>
      </c>
      <c r="D29">
        <v>356</v>
      </c>
      <c r="E29">
        <v>693.9</v>
      </c>
      <c r="F29">
        <v>80.599999999999994</v>
      </c>
      <c r="G29">
        <v>1</v>
      </c>
      <c r="H29">
        <v>35</v>
      </c>
      <c r="I29">
        <v>12</v>
      </c>
      <c r="J29">
        <v>30000</v>
      </c>
      <c r="K29">
        <v>3.5</v>
      </c>
      <c r="L29">
        <v>0</v>
      </c>
      <c r="M29">
        <v>241</v>
      </c>
      <c r="N29">
        <v>12289.7</v>
      </c>
      <c r="O29">
        <v>28401</v>
      </c>
      <c r="P29">
        <v>72.5</v>
      </c>
      <c r="Q29">
        <v>0</v>
      </c>
      <c r="R29">
        <v>94.5</v>
      </c>
      <c r="S29">
        <v>31.5</v>
      </c>
      <c r="T29">
        <v>0</v>
      </c>
      <c r="U29">
        <v>157.5</v>
      </c>
      <c r="V29">
        <v>0</v>
      </c>
      <c r="W29">
        <v>0</v>
      </c>
      <c r="X29">
        <v>0</v>
      </c>
      <c r="Y29">
        <v>2</v>
      </c>
      <c r="Z29">
        <v>100</v>
      </c>
      <c r="AA29">
        <v>0</v>
      </c>
      <c r="AB29">
        <v>1</v>
      </c>
      <c r="AC29">
        <v>1</v>
      </c>
      <c r="AD29">
        <v>0</v>
      </c>
      <c r="AE29">
        <v>1049.9000000000001</v>
      </c>
      <c r="AF29">
        <f t="shared" si="0"/>
        <v>420</v>
      </c>
      <c r="AG29">
        <f t="shared" si="1"/>
        <v>179</v>
      </c>
      <c r="AH29">
        <f t="shared" si="2"/>
        <v>2032.9166666666667</v>
      </c>
      <c r="AI29">
        <v>14359.002124529961</v>
      </c>
      <c r="AJ29">
        <f>[1]F1XT_1!F28</f>
        <v>14359.002205000001</v>
      </c>
      <c r="AK29">
        <f t="shared" si="3"/>
        <v>8.0470039392821491E-5</v>
      </c>
    </row>
    <row r="30" spans="1:37" x14ac:dyDescent="0.25">
      <c r="A30" t="s">
        <v>39</v>
      </c>
      <c r="B30">
        <v>35</v>
      </c>
      <c r="C30">
        <v>36</v>
      </c>
      <c r="D30">
        <v>0</v>
      </c>
      <c r="E30">
        <v>0</v>
      </c>
      <c r="F30">
        <v>44.6</v>
      </c>
      <c r="G30">
        <v>1</v>
      </c>
      <c r="H30">
        <v>30</v>
      </c>
      <c r="I30">
        <v>1</v>
      </c>
      <c r="J30">
        <v>2175.8000000000002</v>
      </c>
      <c r="K30">
        <v>3.5</v>
      </c>
      <c r="L30">
        <v>0</v>
      </c>
      <c r="M30">
        <v>241</v>
      </c>
      <c r="N30">
        <v>1635.5</v>
      </c>
      <c r="O30">
        <v>29401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2</v>
      </c>
      <c r="Z30">
        <v>100</v>
      </c>
      <c r="AA30">
        <v>0</v>
      </c>
      <c r="AB30">
        <v>1</v>
      </c>
      <c r="AC30">
        <v>1</v>
      </c>
      <c r="AD30">
        <v>0</v>
      </c>
      <c r="AE30">
        <v>1471.8</v>
      </c>
      <c r="AF30">
        <f t="shared" si="0"/>
        <v>360</v>
      </c>
      <c r="AG30">
        <f t="shared" si="1"/>
        <v>119</v>
      </c>
      <c r="AH30">
        <f t="shared" si="2"/>
        <v>2027.9166666666667</v>
      </c>
      <c r="AI30">
        <v>3130.8768744717659</v>
      </c>
      <c r="AJ30">
        <f>[1]F1XT_1!F29</f>
        <v>3130.8678930000001</v>
      </c>
      <c r="AK30">
        <f t="shared" si="3"/>
        <v>-8.9814717657645815E-3</v>
      </c>
    </row>
    <row r="31" spans="1:37" x14ac:dyDescent="0.25">
      <c r="A31" t="s">
        <v>39</v>
      </c>
      <c r="B31">
        <v>35</v>
      </c>
      <c r="C31">
        <v>32</v>
      </c>
      <c r="D31">
        <v>646.79999999999995</v>
      </c>
      <c r="E31">
        <v>731.2</v>
      </c>
      <c r="F31">
        <v>81.2</v>
      </c>
      <c r="G31">
        <v>1</v>
      </c>
      <c r="H31">
        <v>35</v>
      </c>
      <c r="I31">
        <v>12</v>
      </c>
      <c r="J31">
        <v>30000</v>
      </c>
      <c r="K31">
        <v>3.5</v>
      </c>
      <c r="L31">
        <v>0</v>
      </c>
      <c r="M31">
        <v>240</v>
      </c>
      <c r="N31">
        <v>12395.2</v>
      </c>
      <c r="O31">
        <v>30501</v>
      </c>
      <c r="P31">
        <v>102.5</v>
      </c>
      <c r="Q31">
        <v>0</v>
      </c>
      <c r="R31">
        <v>94.5</v>
      </c>
      <c r="S31">
        <v>33.6</v>
      </c>
      <c r="T31">
        <v>258.7</v>
      </c>
      <c r="U31">
        <v>157.5</v>
      </c>
      <c r="V31">
        <v>0</v>
      </c>
      <c r="W31">
        <v>0</v>
      </c>
      <c r="X31">
        <v>0</v>
      </c>
      <c r="Y31">
        <v>1</v>
      </c>
      <c r="Z31">
        <v>100</v>
      </c>
      <c r="AA31">
        <v>0</v>
      </c>
      <c r="AB31">
        <v>0</v>
      </c>
      <c r="AC31">
        <v>1</v>
      </c>
      <c r="AD31">
        <v>1</v>
      </c>
      <c r="AE31">
        <v>1378</v>
      </c>
      <c r="AF31">
        <f t="shared" si="0"/>
        <v>420</v>
      </c>
      <c r="AG31">
        <f t="shared" si="1"/>
        <v>180</v>
      </c>
      <c r="AH31">
        <f t="shared" si="2"/>
        <v>2033</v>
      </c>
      <c r="AI31">
        <v>14670.277644580128</v>
      </c>
      <c r="AJ31">
        <f>[1]F1XT_1!F30</f>
        <v>14670.277507000001</v>
      </c>
      <c r="AK31">
        <f t="shared" si="3"/>
        <v>-1.3758012755715754E-4</v>
      </c>
    </row>
    <row r="32" spans="1:37" x14ac:dyDescent="0.25">
      <c r="A32" t="s">
        <v>39</v>
      </c>
      <c r="B32">
        <v>35</v>
      </c>
      <c r="C32">
        <v>30</v>
      </c>
      <c r="D32">
        <v>871.7</v>
      </c>
      <c r="E32">
        <v>692</v>
      </c>
      <c r="F32">
        <v>78.7</v>
      </c>
      <c r="G32">
        <v>1</v>
      </c>
      <c r="H32">
        <v>35</v>
      </c>
      <c r="I32">
        <v>12</v>
      </c>
      <c r="J32">
        <v>30000</v>
      </c>
      <c r="K32">
        <v>3.5</v>
      </c>
      <c r="L32">
        <v>0</v>
      </c>
      <c r="M32">
        <v>240</v>
      </c>
      <c r="N32">
        <v>12204.5</v>
      </c>
      <c r="O32">
        <v>30901</v>
      </c>
      <c r="P32">
        <v>70.900000000000006</v>
      </c>
      <c r="Q32">
        <v>0</v>
      </c>
      <c r="R32">
        <v>94.5</v>
      </c>
      <c r="S32">
        <v>31.4</v>
      </c>
      <c r="T32">
        <v>517.4</v>
      </c>
      <c r="U32">
        <v>157.5</v>
      </c>
      <c r="V32">
        <v>0</v>
      </c>
      <c r="W32">
        <v>0</v>
      </c>
      <c r="X32">
        <v>0</v>
      </c>
      <c r="Y32">
        <v>2</v>
      </c>
      <c r="Z32">
        <v>100</v>
      </c>
      <c r="AA32">
        <v>0</v>
      </c>
      <c r="AB32">
        <v>1</v>
      </c>
      <c r="AC32">
        <v>1</v>
      </c>
      <c r="AD32">
        <v>2</v>
      </c>
      <c r="AE32">
        <v>1563.7</v>
      </c>
      <c r="AF32">
        <f t="shared" si="0"/>
        <v>420</v>
      </c>
      <c r="AG32">
        <f t="shared" si="1"/>
        <v>180</v>
      </c>
      <c r="AH32">
        <f t="shared" si="2"/>
        <v>2033</v>
      </c>
      <c r="AI32">
        <v>15468.007628089292</v>
      </c>
      <c r="AJ32">
        <f>[1]F1XT_1!F31</f>
        <v>15468.007777000001</v>
      </c>
      <c r="AK32">
        <f t="shared" si="3"/>
        <v>1.4891070895828307E-4</v>
      </c>
    </row>
    <row r="33" spans="1:37" x14ac:dyDescent="0.25">
      <c r="A33" t="s">
        <v>39</v>
      </c>
      <c r="B33">
        <v>35</v>
      </c>
      <c r="C33">
        <v>36</v>
      </c>
      <c r="D33">
        <v>0</v>
      </c>
      <c r="E33">
        <v>0</v>
      </c>
      <c r="F33">
        <v>37.1</v>
      </c>
      <c r="G33">
        <v>1</v>
      </c>
      <c r="H33">
        <v>30</v>
      </c>
      <c r="I33">
        <v>1</v>
      </c>
      <c r="J33">
        <v>1697.4</v>
      </c>
      <c r="K33">
        <v>3.5</v>
      </c>
      <c r="L33">
        <v>0</v>
      </c>
      <c r="M33">
        <v>240</v>
      </c>
      <c r="N33">
        <v>1283.5999999999999</v>
      </c>
      <c r="O33">
        <v>31301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Z33">
        <v>100</v>
      </c>
      <c r="AA33">
        <v>0</v>
      </c>
      <c r="AB33">
        <v>0</v>
      </c>
      <c r="AC33">
        <v>1</v>
      </c>
      <c r="AD33">
        <v>2</v>
      </c>
      <c r="AE33">
        <v>1286</v>
      </c>
      <c r="AF33">
        <f t="shared" si="0"/>
        <v>360</v>
      </c>
      <c r="AG33">
        <f t="shared" si="1"/>
        <v>120</v>
      </c>
      <c r="AH33">
        <f t="shared" si="2"/>
        <v>2028</v>
      </c>
      <c r="AI33">
        <v>2712.0568998140943</v>
      </c>
      <c r="AJ33">
        <f>[1]F1XT_1!F32</f>
        <v>2712.04997</v>
      </c>
      <c r="AK33">
        <f t="shared" si="3"/>
        <v>-6.9298140942919417E-3</v>
      </c>
    </row>
    <row r="34" spans="1:37" x14ac:dyDescent="0.25">
      <c r="A34" t="s">
        <v>39</v>
      </c>
      <c r="B34">
        <v>35</v>
      </c>
      <c r="C34">
        <v>33</v>
      </c>
      <c r="D34">
        <v>0</v>
      </c>
      <c r="E34">
        <v>0</v>
      </c>
      <c r="F34">
        <v>36</v>
      </c>
      <c r="G34">
        <v>1</v>
      </c>
      <c r="H34">
        <v>30</v>
      </c>
      <c r="I34">
        <v>1</v>
      </c>
      <c r="J34">
        <v>1695.8</v>
      </c>
      <c r="K34">
        <v>3.5</v>
      </c>
      <c r="L34">
        <v>0</v>
      </c>
      <c r="M34">
        <v>240</v>
      </c>
      <c r="N34">
        <v>1270.0999999999999</v>
      </c>
      <c r="O34">
        <v>31401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2</v>
      </c>
      <c r="Z34">
        <v>100</v>
      </c>
      <c r="AA34">
        <v>0</v>
      </c>
      <c r="AB34">
        <v>1</v>
      </c>
      <c r="AC34">
        <v>1</v>
      </c>
      <c r="AD34">
        <v>2</v>
      </c>
      <c r="AE34">
        <v>1201.3</v>
      </c>
      <c r="AF34">
        <f t="shared" si="0"/>
        <v>360</v>
      </c>
      <c r="AG34">
        <f t="shared" si="1"/>
        <v>120</v>
      </c>
      <c r="AH34">
        <f t="shared" si="2"/>
        <v>2028</v>
      </c>
      <c r="AI34">
        <v>2721.4138183907276</v>
      </c>
      <c r="AJ34">
        <f>[1]F1XT_1!F33</f>
        <v>2721.4066790000002</v>
      </c>
      <c r="AK34">
        <f t="shared" si="3"/>
        <v>-7.1393907273886725E-3</v>
      </c>
    </row>
    <row r="35" spans="1:37" x14ac:dyDescent="0.25">
      <c r="A35" t="s">
        <v>39</v>
      </c>
      <c r="B35">
        <v>35</v>
      </c>
      <c r="C35">
        <v>23</v>
      </c>
      <c r="D35">
        <v>0</v>
      </c>
      <c r="E35">
        <v>0</v>
      </c>
      <c r="F35">
        <v>35.200000000000003</v>
      </c>
      <c r="G35">
        <v>1</v>
      </c>
      <c r="H35">
        <v>40</v>
      </c>
      <c r="I35">
        <v>1</v>
      </c>
      <c r="J35">
        <v>1908.7</v>
      </c>
      <c r="K35">
        <v>3.5</v>
      </c>
      <c r="L35">
        <v>0</v>
      </c>
      <c r="M35">
        <v>240</v>
      </c>
      <c r="N35">
        <v>1091.7</v>
      </c>
      <c r="O35">
        <v>31801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2</v>
      </c>
      <c r="Z35">
        <v>100</v>
      </c>
      <c r="AA35">
        <v>0</v>
      </c>
      <c r="AB35">
        <v>1</v>
      </c>
      <c r="AC35">
        <v>1</v>
      </c>
      <c r="AD35">
        <v>2</v>
      </c>
      <c r="AE35">
        <v>1229.3</v>
      </c>
      <c r="AF35">
        <f t="shared" si="0"/>
        <v>480</v>
      </c>
      <c r="AG35">
        <f t="shared" si="1"/>
        <v>240</v>
      </c>
      <c r="AH35">
        <f t="shared" si="2"/>
        <v>2038</v>
      </c>
      <c r="AI35">
        <v>3400.3882445194367</v>
      </c>
      <c r="AJ35">
        <f>[1]F1XT_1!F34</f>
        <v>3400.3650130000001</v>
      </c>
      <c r="AK35">
        <f t="shared" si="3"/>
        <v>-2.3231519436649251E-2</v>
      </c>
    </row>
    <row r="36" spans="1:37" x14ac:dyDescent="0.25">
      <c r="A36" t="s">
        <v>39</v>
      </c>
      <c r="B36">
        <v>35</v>
      </c>
      <c r="C36">
        <v>35</v>
      </c>
      <c r="D36">
        <v>393.6</v>
      </c>
      <c r="E36">
        <v>881.5</v>
      </c>
      <c r="F36">
        <v>106.4</v>
      </c>
      <c r="G36">
        <v>1</v>
      </c>
      <c r="H36">
        <v>30</v>
      </c>
      <c r="I36">
        <v>12</v>
      </c>
      <c r="J36">
        <v>30000</v>
      </c>
      <c r="K36">
        <v>3.5</v>
      </c>
      <c r="L36">
        <v>0</v>
      </c>
      <c r="M36">
        <v>240</v>
      </c>
      <c r="N36">
        <v>15980.5</v>
      </c>
      <c r="O36">
        <v>32601</v>
      </c>
      <c r="P36">
        <v>103.4</v>
      </c>
      <c r="Q36">
        <v>0</v>
      </c>
      <c r="R36">
        <v>94.5</v>
      </c>
      <c r="S36">
        <v>38.200000000000003</v>
      </c>
      <c r="T36">
        <v>0</v>
      </c>
      <c r="U36">
        <v>157.5</v>
      </c>
      <c r="V36">
        <v>0</v>
      </c>
      <c r="W36">
        <v>0</v>
      </c>
      <c r="X36">
        <v>0</v>
      </c>
      <c r="Y36">
        <v>1</v>
      </c>
      <c r="Z36">
        <v>100</v>
      </c>
      <c r="AA36">
        <v>0</v>
      </c>
      <c r="AB36">
        <v>0</v>
      </c>
      <c r="AC36">
        <v>1</v>
      </c>
      <c r="AD36">
        <v>0</v>
      </c>
      <c r="AE36">
        <v>1275.0999999999999</v>
      </c>
      <c r="AF36">
        <f t="shared" si="0"/>
        <v>360</v>
      </c>
      <c r="AG36">
        <f t="shared" si="1"/>
        <v>120</v>
      </c>
      <c r="AH36">
        <f t="shared" si="2"/>
        <v>2028</v>
      </c>
      <c r="AI36">
        <v>17816.038452580229</v>
      </c>
      <c r="AJ36">
        <f>[1]F1XT_1!F35</f>
        <v>17816.038365</v>
      </c>
      <c r="AK36">
        <f t="shared" si="3"/>
        <v>-8.7580228864680976E-5</v>
      </c>
    </row>
    <row r="37" spans="1:37" x14ac:dyDescent="0.25">
      <c r="A37" t="s">
        <v>39</v>
      </c>
      <c r="B37">
        <v>35</v>
      </c>
      <c r="C37">
        <v>35</v>
      </c>
      <c r="D37">
        <v>362.8</v>
      </c>
      <c r="E37">
        <v>846</v>
      </c>
      <c r="F37">
        <v>104.4</v>
      </c>
      <c r="G37">
        <v>1</v>
      </c>
      <c r="H37">
        <v>30</v>
      </c>
      <c r="I37">
        <v>12</v>
      </c>
      <c r="J37">
        <v>30000</v>
      </c>
      <c r="K37">
        <v>3.5</v>
      </c>
      <c r="L37">
        <v>0</v>
      </c>
      <c r="M37">
        <v>240</v>
      </c>
      <c r="N37">
        <v>15927.8</v>
      </c>
      <c r="O37">
        <v>32801</v>
      </c>
      <c r="P37">
        <v>74.5</v>
      </c>
      <c r="Q37">
        <v>0</v>
      </c>
      <c r="R37">
        <v>94.5</v>
      </c>
      <c r="S37">
        <v>36.299999999999997</v>
      </c>
      <c r="T37">
        <v>0</v>
      </c>
      <c r="U37">
        <v>157.5</v>
      </c>
      <c r="V37">
        <v>0</v>
      </c>
      <c r="W37">
        <v>0</v>
      </c>
      <c r="X37">
        <v>0</v>
      </c>
      <c r="Y37">
        <v>2</v>
      </c>
      <c r="Z37">
        <v>100</v>
      </c>
      <c r="AA37">
        <v>0</v>
      </c>
      <c r="AB37">
        <v>1</v>
      </c>
      <c r="AC37">
        <v>1</v>
      </c>
      <c r="AD37">
        <v>0</v>
      </c>
      <c r="AE37">
        <v>1208.8</v>
      </c>
      <c r="AF37">
        <f t="shared" si="0"/>
        <v>360</v>
      </c>
      <c r="AG37">
        <f t="shared" si="1"/>
        <v>120</v>
      </c>
      <c r="AH37">
        <f t="shared" si="2"/>
        <v>2028</v>
      </c>
      <c r="AI37">
        <v>18095.581199367123</v>
      </c>
      <c r="AJ37">
        <f>[1]F1XT_1!F36</f>
        <v>18095.581113</v>
      </c>
      <c r="AK37">
        <f t="shared" si="3"/>
        <v>-8.6367123003583401E-5</v>
      </c>
    </row>
    <row r="38" spans="1:37" x14ac:dyDescent="0.25">
      <c r="A38" t="s">
        <v>39</v>
      </c>
      <c r="B38">
        <v>35</v>
      </c>
      <c r="C38">
        <v>33</v>
      </c>
      <c r="D38">
        <v>359.4</v>
      </c>
      <c r="E38">
        <v>841.9</v>
      </c>
      <c r="F38">
        <v>104.3</v>
      </c>
      <c r="G38">
        <v>1</v>
      </c>
      <c r="H38">
        <v>30</v>
      </c>
      <c r="I38">
        <v>12</v>
      </c>
      <c r="J38">
        <v>30000</v>
      </c>
      <c r="K38">
        <v>3.5</v>
      </c>
      <c r="L38">
        <v>0</v>
      </c>
      <c r="M38">
        <v>240</v>
      </c>
      <c r="N38">
        <v>15924.7</v>
      </c>
      <c r="O38">
        <v>32901</v>
      </c>
      <c r="P38">
        <v>71.400000000000006</v>
      </c>
      <c r="Q38">
        <v>0</v>
      </c>
      <c r="R38">
        <v>94.5</v>
      </c>
      <c r="S38">
        <v>36</v>
      </c>
      <c r="T38">
        <v>0</v>
      </c>
      <c r="U38">
        <v>157.5</v>
      </c>
      <c r="V38">
        <v>0</v>
      </c>
      <c r="W38">
        <v>0</v>
      </c>
      <c r="X38">
        <v>0</v>
      </c>
      <c r="Y38">
        <v>2</v>
      </c>
      <c r="Z38">
        <v>100</v>
      </c>
      <c r="AA38">
        <v>0</v>
      </c>
      <c r="AB38">
        <v>1</v>
      </c>
      <c r="AC38">
        <v>1</v>
      </c>
      <c r="AD38">
        <v>0</v>
      </c>
      <c r="AE38">
        <v>1201.3</v>
      </c>
      <c r="AF38">
        <f t="shared" si="0"/>
        <v>360</v>
      </c>
      <c r="AG38">
        <f t="shared" si="1"/>
        <v>120</v>
      </c>
      <c r="AH38">
        <f t="shared" si="2"/>
        <v>2028</v>
      </c>
      <c r="AI38">
        <v>17766.480299899442</v>
      </c>
      <c r="AJ38">
        <f>[1]F1XT_1!F37</f>
        <v>17766.480334</v>
      </c>
      <c r="AK38">
        <f t="shared" si="3"/>
        <v>3.41005579684861E-5</v>
      </c>
    </row>
    <row r="39" spans="1:37" x14ac:dyDescent="0.25">
      <c r="A39" t="s">
        <v>39</v>
      </c>
      <c r="B39">
        <v>35</v>
      </c>
      <c r="C39">
        <v>35</v>
      </c>
      <c r="D39">
        <v>393.6</v>
      </c>
      <c r="E39">
        <v>881.5</v>
      </c>
      <c r="F39">
        <v>106.4</v>
      </c>
      <c r="G39">
        <v>1</v>
      </c>
      <c r="H39">
        <v>30</v>
      </c>
      <c r="I39">
        <v>12</v>
      </c>
      <c r="J39">
        <v>30000</v>
      </c>
      <c r="K39">
        <v>3.5</v>
      </c>
      <c r="L39">
        <v>0</v>
      </c>
      <c r="M39">
        <v>240</v>
      </c>
      <c r="N39">
        <v>15980.5</v>
      </c>
      <c r="O39">
        <v>33001</v>
      </c>
      <c r="P39">
        <v>103.4</v>
      </c>
      <c r="Q39">
        <v>0</v>
      </c>
      <c r="R39">
        <v>94.5</v>
      </c>
      <c r="S39">
        <v>38.200000000000003</v>
      </c>
      <c r="T39">
        <v>0</v>
      </c>
      <c r="U39">
        <v>157.5</v>
      </c>
      <c r="V39">
        <v>0</v>
      </c>
      <c r="W39">
        <v>0</v>
      </c>
      <c r="X39">
        <v>0</v>
      </c>
      <c r="Y39">
        <v>1</v>
      </c>
      <c r="Z39">
        <v>100</v>
      </c>
      <c r="AA39">
        <v>0</v>
      </c>
      <c r="AB39">
        <v>0</v>
      </c>
      <c r="AC39">
        <v>1</v>
      </c>
      <c r="AD39">
        <v>0</v>
      </c>
      <c r="AE39">
        <v>1275.0999999999999</v>
      </c>
      <c r="AF39">
        <f t="shared" si="0"/>
        <v>360</v>
      </c>
      <c r="AG39">
        <f t="shared" si="1"/>
        <v>120</v>
      </c>
      <c r="AH39">
        <f t="shared" si="2"/>
        <v>2028</v>
      </c>
      <c r="AI39">
        <v>17816.038452580229</v>
      </c>
      <c r="AJ39">
        <f>[1]F1XT_1!F38</f>
        <v>17816.038365</v>
      </c>
      <c r="AK39">
        <f t="shared" si="3"/>
        <v>-8.7580228864680976E-5</v>
      </c>
    </row>
    <row r="40" spans="1:37" x14ac:dyDescent="0.25">
      <c r="A40" t="s">
        <v>39</v>
      </c>
      <c r="B40">
        <v>35</v>
      </c>
      <c r="C40">
        <v>22</v>
      </c>
      <c r="D40">
        <v>167.9</v>
      </c>
      <c r="E40">
        <v>571.6</v>
      </c>
      <c r="F40">
        <v>61.5</v>
      </c>
      <c r="G40">
        <v>1</v>
      </c>
      <c r="H40">
        <v>40</v>
      </c>
      <c r="I40">
        <v>1</v>
      </c>
      <c r="J40">
        <v>30000</v>
      </c>
      <c r="K40">
        <v>3.5</v>
      </c>
      <c r="L40">
        <v>0</v>
      </c>
      <c r="M40">
        <v>240</v>
      </c>
      <c r="N40">
        <v>9534.5</v>
      </c>
      <c r="O40">
        <v>33101</v>
      </c>
      <c r="P40">
        <v>77.900000000000006</v>
      </c>
      <c r="Q40">
        <v>0</v>
      </c>
      <c r="R40">
        <v>90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1</v>
      </c>
      <c r="Z40">
        <v>100</v>
      </c>
      <c r="AA40">
        <v>0</v>
      </c>
      <c r="AB40">
        <v>0</v>
      </c>
      <c r="AC40">
        <v>1</v>
      </c>
      <c r="AD40">
        <v>0</v>
      </c>
      <c r="AE40">
        <v>739.5</v>
      </c>
      <c r="AF40">
        <f t="shared" si="0"/>
        <v>480</v>
      </c>
      <c r="AG40">
        <f t="shared" si="1"/>
        <v>240</v>
      </c>
      <c r="AH40">
        <f t="shared" si="2"/>
        <v>2038</v>
      </c>
      <c r="AI40">
        <v>12217.014098670896</v>
      </c>
      <c r="AJ40">
        <f>[1]F1XT_1!F39</f>
        <v>12217.013758999999</v>
      </c>
      <c r="AK40">
        <f t="shared" si="3"/>
        <v>-3.3967089621000923E-4</v>
      </c>
    </row>
    <row r="41" spans="1:37" x14ac:dyDescent="0.25">
      <c r="A41" t="s">
        <v>39</v>
      </c>
      <c r="B41">
        <v>35</v>
      </c>
      <c r="C41">
        <v>22</v>
      </c>
      <c r="D41">
        <v>151.69999999999999</v>
      </c>
      <c r="E41">
        <v>547.79999999999995</v>
      </c>
      <c r="F41">
        <v>62.8</v>
      </c>
      <c r="G41">
        <v>1</v>
      </c>
      <c r="H41">
        <v>40</v>
      </c>
      <c r="I41">
        <v>1</v>
      </c>
      <c r="J41">
        <v>30000</v>
      </c>
      <c r="K41">
        <v>3.5</v>
      </c>
      <c r="L41">
        <v>0</v>
      </c>
      <c r="M41">
        <v>240</v>
      </c>
      <c r="N41">
        <v>9512.1</v>
      </c>
      <c r="O41">
        <v>33301</v>
      </c>
      <c r="P41">
        <v>61.7</v>
      </c>
      <c r="Q41">
        <v>0</v>
      </c>
      <c r="R41">
        <v>90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2</v>
      </c>
      <c r="Z41">
        <v>100</v>
      </c>
      <c r="AA41">
        <v>0</v>
      </c>
      <c r="AB41">
        <v>1</v>
      </c>
      <c r="AC41">
        <v>1</v>
      </c>
      <c r="AD41">
        <v>0</v>
      </c>
      <c r="AE41">
        <v>699.5</v>
      </c>
      <c r="AF41">
        <f t="shared" si="0"/>
        <v>480</v>
      </c>
      <c r="AG41">
        <f t="shared" si="1"/>
        <v>240</v>
      </c>
      <c r="AH41">
        <f t="shared" si="2"/>
        <v>2038</v>
      </c>
      <c r="AI41">
        <v>12534.319469782662</v>
      </c>
      <c r="AJ41">
        <f>[1]F1XT_1!F40</f>
        <v>12534.319817</v>
      </c>
      <c r="AK41">
        <f t="shared" si="3"/>
        <v>3.4721733754849993E-4</v>
      </c>
    </row>
    <row r="42" spans="1:37" x14ac:dyDescent="0.25">
      <c r="A42" t="s">
        <v>39</v>
      </c>
      <c r="B42">
        <v>35</v>
      </c>
      <c r="C42">
        <v>41</v>
      </c>
      <c r="D42">
        <v>0</v>
      </c>
      <c r="E42">
        <v>1069.5</v>
      </c>
      <c r="F42">
        <v>142.9</v>
      </c>
      <c r="G42">
        <v>1</v>
      </c>
      <c r="H42">
        <v>25</v>
      </c>
      <c r="I42">
        <v>12</v>
      </c>
      <c r="J42">
        <v>30000</v>
      </c>
      <c r="K42">
        <v>3.5</v>
      </c>
      <c r="L42">
        <v>0</v>
      </c>
      <c r="M42">
        <v>240</v>
      </c>
      <c r="N42">
        <v>21366.9</v>
      </c>
      <c r="O42">
        <v>35901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2</v>
      </c>
      <c r="Z42">
        <v>100</v>
      </c>
      <c r="AA42">
        <v>0</v>
      </c>
      <c r="AB42">
        <v>1</v>
      </c>
      <c r="AC42">
        <v>1</v>
      </c>
      <c r="AD42">
        <v>2</v>
      </c>
      <c r="AE42">
        <v>1069.5</v>
      </c>
      <c r="AF42">
        <f t="shared" si="0"/>
        <v>300</v>
      </c>
      <c r="AG42">
        <f t="shared" si="1"/>
        <v>60</v>
      </c>
      <c r="AH42">
        <f t="shared" si="2"/>
        <v>2023</v>
      </c>
      <c r="AI42">
        <v>23534.389759600439</v>
      </c>
      <c r="AJ42">
        <f>[1]F1XT_1!F41</f>
        <v>23534.389747000001</v>
      </c>
      <c r="AK42">
        <f t="shared" si="3"/>
        <v>-1.2600437912624329E-5</v>
      </c>
    </row>
    <row r="43" spans="1:37" x14ac:dyDescent="0.25">
      <c r="A43" t="s">
        <v>39</v>
      </c>
      <c r="B43">
        <v>35</v>
      </c>
      <c r="C43">
        <v>31</v>
      </c>
      <c r="D43">
        <v>1164.5</v>
      </c>
      <c r="E43">
        <v>925.1</v>
      </c>
      <c r="F43">
        <v>105</v>
      </c>
      <c r="G43">
        <v>1</v>
      </c>
      <c r="H43">
        <v>35</v>
      </c>
      <c r="I43">
        <v>12</v>
      </c>
      <c r="J43">
        <v>40000</v>
      </c>
      <c r="K43">
        <v>3.5</v>
      </c>
      <c r="L43">
        <v>0</v>
      </c>
      <c r="M43">
        <v>240</v>
      </c>
      <c r="N43">
        <v>16284.2</v>
      </c>
      <c r="O43">
        <v>39001</v>
      </c>
      <c r="P43">
        <v>96.6</v>
      </c>
      <c r="Q43">
        <v>0</v>
      </c>
      <c r="R43">
        <v>126</v>
      </c>
      <c r="S43">
        <v>42</v>
      </c>
      <c r="T43">
        <v>689.9</v>
      </c>
      <c r="U43">
        <v>210</v>
      </c>
      <c r="V43">
        <v>0</v>
      </c>
      <c r="W43">
        <v>0</v>
      </c>
      <c r="X43">
        <v>0</v>
      </c>
      <c r="Y43">
        <v>2</v>
      </c>
      <c r="Z43">
        <v>100</v>
      </c>
      <c r="AA43">
        <v>0</v>
      </c>
      <c r="AB43">
        <v>1</v>
      </c>
      <c r="AC43">
        <v>1</v>
      </c>
      <c r="AD43">
        <v>2</v>
      </c>
      <c r="AE43">
        <v>2089.6</v>
      </c>
      <c r="AF43">
        <f t="shared" si="0"/>
        <v>420</v>
      </c>
      <c r="AG43">
        <f t="shared" si="1"/>
        <v>180</v>
      </c>
      <c r="AH43">
        <f t="shared" si="2"/>
        <v>2033</v>
      </c>
      <c r="AI43">
        <v>20123.796213879541</v>
      </c>
      <c r="AJ43">
        <f>[1]F1XT_1!F42</f>
        <v>20123.796329000001</v>
      </c>
      <c r="AK43">
        <f t="shared" si="3"/>
        <v>1.1512045966810547E-4</v>
      </c>
    </row>
    <row r="44" spans="1:37" x14ac:dyDescent="0.25">
      <c r="A44" t="s">
        <v>39</v>
      </c>
      <c r="B44">
        <v>35</v>
      </c>
      <c r="C44">
        <v>32</v>
      </c>
      <c r="D44">
        <v>517.4</v>
      </c>
      <c r="E44">
        <v>975</v>
      </c>
      <c r="F44">
        <v>108.2</v>
      </c>
      <c r="G44">
        <v>1</v>
      </c>
      <c r="H44">
        <v>35</v>
      </c>
      <c r="I44">
        <v>12</v>
      </c>
      <c r="J44">
        <v>40000</v>
      </c>
      <c r="K44">
        <v>3.5</v>
      </c>
      <c r="L44">
        <v>0</v>
      </c>
      <c r="M44">
        <v>240</v>
      </c>
      <c r="N44">
        <v>16527</v>
      </c>
      <c r="O44">
        <v>39101</v>
      </c>
      <c r="P44">
        <v>136.6</v>
      </c>
      <c r="Q44">
        <v>0</v>
      </c>
      <c r="R44">
        <v>126</v>
      </c>
      <c r="S44">
        <v>44.8</v>
      </c>
      <c r="T44">
        <v>0</v>
      </c>
      <c r="U44">
        <v>210</v>
      </c>
      <c r="V44">
        <v>0</v>
      </c>
      <c r="W44">
        <v>0</v>
      </c>
      <c r="X44">
        <v>0</v>
      </c>
      <c r="Y44">
        <v>1</v>
      </c>
      <c r="Z44">
        <v>100</v>
      </c>
      <c r="AA44">
        <v>0</v>
      </c>
      <c r="AB44">
        <v>0</v>
      </c>
      <c r="AC44">
        <v>1</v>
      </c>
      <c r="AD44">
        <v>0</v>
      </c>
      <c r="AE44">
        <v>1492.4</v>
      </c>
      <c r="AF44">
        <f t="shared" si="0"/>
        <v>420</v>
      </c>
      <c r="AG44">
        <f t="shared" si="1"/>
        <v>180</v>
      </c>
      <c r="AH44">
        <f t="shared" si="2"/>
        <v>2033</v>
      </c>
      <c r="AI44">
        <v>18247.197124677845</v>
      </c>
      <c r="AJ44">
        <f>[1]F1XT_1!F43</f>
        <v>18247.196940999998</v>
      </c>
      <c r="AK44">
        <f t="shared" si="3"/>
        <v>-1.8367784650763497E-4</v>
      </c>
    </row>
    <row r="45" spans="1:37" x14ac:dyDescent="0.25">
      <c r="A45" t="s">
        <v>39</v>
      </c>
      <c r="B45">
        <v>35</v>
      </c>
      <c r="C45">
        <v>30</v>
      </c>
      <c r="D45">
        <v>747.7</v>
      </c>
      <c r="E45">
        <v>601.5</v>
      </c>
      <c r="F45">
        <v>66.599999999999994</v>
      </c>
      <c r="G45">
        <v>1</v>
      </c>
      <c r="H45">
        <v>35</v>
      </c>
      <c r="I45">
        <v>12</v>
      </c>
      <c r="J45">
        <v>25000</v>
      </c>
      <c r="K45">
        <v>3.5</v>
      </c>
      <c r="L45">
        <v>0</v>
      </c>
      <c r="M45">
        <v>240</v>
      </c>
      <c r="N45">
        <v>10276.299999999999</v>
      </c>
      <c r="O45">
        <v>40502</v>
      </c>
      <c r="P45">
        <v>79</v>
      </c>
      <c r="Q45">
        <v>0</v>
      </c>
      <c r="R45">
        <v>78.8</v>
      </c>
      <c r="S45">
        <v>27.5</v>
      </c>
      <c r="T45">
        <v>431.1</v>
      </c>
      <c r="U45">
        <v>131.30000000000001</v>
      </c>
      <c r="V45">
        <v>0</v>
      </c>
      <c r="W45">
        <v>0</v>
      </c>
      <c r="X45">
        <v>0</v>
      </c>
      <c r="Y45">
        <v>1</v>
      </c>
      <c r="Z45">
        <v>100</v>
      </c>
      <c r="AA45">
        <v>0</v>
      </c>
      <c r="AB45">
        <v>0</v>
      </c>
      <c r="AC45">
        <v>1</v>
      </c>
      <c r="AD45">
        <v>2</v>
      </c>
      <c r="AE45">
        <v>1349.2</v>
      </c>
      <c r="AF45">
        <f t="shared" si="0"/>
        <v>420</v>
      </c>
      <c r="AG45">
        <f t="shared" si="1"/>
        <v>180</v>
      </c>
      <c r="AH45">
        <f t="shared" si="2"/>
        <v>2033</v>
      </c>
      <c r="AI45">
        <v>12921.251455796677</v>
      </c>
      <c r="AJ45">
        <f>[1]F1XT_1!F44</f>
        <v>12921.251289</v>
      </c>
      <c r="AK45">
        <f t="shared" si="3"/>
        <v>-1.6679667714925017E-4</v>
      </c>
    </row>
    <row r="46" spans="1:37" x14ac:dyDescent="0.25">
      <c r="A46" t="s">
        <v>39</v>
      </c>
      <c r="B46">
        <v>35</v>
      </c>
      <c r="C46">
        <v>20</v>
      </c>
      <c r="D46">
        <v>0</v>
      </c>
      <c r="E46">
        <v>0</v>
      </c>
      <c r="F46">
        <v>59.1</v>
      </c>
      <c r="G46">
        <v>1</v>
      </c>
      <c r="H46">
        <v>40</v>
      </c>
      <c r="I46">
        <v>1</v>
      </c>
      <c r="J46">
        <v>9706.7999999999993</v>
      </c>
      <c r="K46">
        <v>3.5</v>
      </c>
      <c r="L46">
        <v>0</v>
      </c>
      <c r="M46">
        <v>239</v>
      </c>
      <c r="N46">
        <v>5527.4</v>
      </c>
      <c r="O46">
        <v>40701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2</v>
      </c>
      <c r="Z46">
        <v>100</v>
      </c>
      <c r="AA46">
        <v>0</v>
      </c>
      <c r="AB46">
        <v>1</v>
      </c>
      <c r="AC46">
        <v>1</v>
      </c>
      <c r="AD46">
        <v>2</v>
      </c>
      <c r="AE46">
        <v>915.3</v>
      </c>
      <c r="AF46">
        <f t="shared" si="0"/>
        <v>480</v>
      </c>
      <c r="AG46">
        <f t="shared" si="1"/>
        <v>241</v>
      </c>
      <c r="AH46">
        <f t="shared" si="2"/>
        <v>2038.0833333333333</v>
      </c>
      <c r="AI46">
        <v>8823.0743635298586</v>
      </c>
      <c r="AJ46">
        <f>[1]F1XT_1!F45</f>
        <v>8822.9549929999994</v>
      </c>
      <c r="AK46">
        <f t="shared" si="3"/>
        <v>-0.11937052985922492</v>
      </c>
    </row>
    <row r="47" spans="1:37" x14ac:dyDescent="0.25">
      <c r="A47" t="s">
        <v>39</v>
      </c>
      <c r="B47">
        <v>35</v>
      </c>
      <c r="C47">
        <v>42</v>
      </c>
      <c r="D47">
        <v>0</v>
      </c>
      <c r="E47">
        <v>931.1</v>
      </c>
      <c r="F47">
        <v>132.69999999999999</v>
      </c>
      <c r="G47">
        <v>1</v>
      </c>
      <c r="H47">
        <v>20</v>
      </c>
      <c r="I47">
        <v>2</v>
      </c>
      <c r="J47">
        <v>20000</v>
      </c>
      <c r="K47">
        <v>3.5</v>
      </c>
      <c r="L47">
        <v>0</v>
      </c>
      <c r="M47">
        <v>239</v>
      </c>
      <c r="N47">
        <v>19877.599999999999</v>
      </c>
      <c r="O47">
        <v>40801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1</v>
      </c>
      <c r="Z47">
        <v>100</v>
      </c>
      <c r="AA47">
        <v>0</v>
      </c>
      <c r="AB47">
        <v>0</v>
      </c>
      <c r="AC47">
        <v>1</v>
      </c>
      <c r="AD47">
        <v>0</v>
      </c>
      <c r="AE47">
        <v>931.1</v>
      </c>
      <c r="AF47">
        <f t="shared" si="0"/>
        <v>240</v>
      </c>
      <c r="AG47">
        <f t="shared" si="1"/>
        <v>1</v>
      </c>
      <c r="AH47">
        <f t="shared" si="2"/>
        <v>2018.0833333333333</v>
      </c>
      <c r="AI47">
        <v>20029.807736505147</v>
      </c>
      <c r="AJ47">
        <f>[1]F1XT_1!F46</f>
        <v>20029.807736999999</v>
      </c>
      <c r="AK47">
        <f t="shared" si="3"/>
        <v>4.9485242925584316E-7</v>
      </c>
    </row>
    <row r="48" spans="1:37" x14ac:dyDescent="0.25">
      <c r="A48" t="s">
        <v>39</v>
      </c>
      <c r="B48">
        <v>35</v>
      </c>
      <c r="C48">
        <v>19</v>
      </c>
      <c r="D48">
        <v>594.20000000000005</v>
      </c>
      <c r="E48">
        <v>1166.3</v>
      </c>
      <c r="F48">
        <v>122.9</v>
      </c>
      <c r="G48">
        <v>1</v>
      </c>
      <c r="H48">
        <v>35</v>
      </c>
      <c r="I48">
        <v>12</v>
      </c>
      <c r="J48">
        <v>50000</v>
      </c>
      <c r="K48">
        <v>3.5</v>
      </c>
      <c r="L48">
        <v>0</v>
      </c>
      <c r="M48">
        <v>239</v>
      </c>
      <c r="N48">
        <v>19999.099999999999</v>
      </c>
      <c r="O48">
        <v>42101</v>
      </c>
      <c r="P48">
        <v>121.4</v>
      </c>
      <c r="Q48">
        <v>0</v>
      </c>
      <c r="R48">
        <v>157.5</v>
      </c>
      <c r="S48">
        <v>52.8</v>
      </c>
      <c r="T48">
        <v>0</v>
      </c>
      <c r="U48">
        <v>262.5</v>
      </c>
      <c r="V48">
        <v>0</v>
      </c>
      <c r="W48">
        <v>0</v>
      </c>
      <c r="X48">
        <v>0</v>
      </c>
      <c r="Y48">
        <v>1</v>
      </c>
      <c r="Z48">
        <v>100</v>
      </c>
      <c r="AA48">
        <v>0</v>
      </c>
      <c r="AB48">
        <v>0</v>
      </c>
      <c r="AC48">
        <v>1</v>
      </c>
      <c r="AD48">
        <v>0</v>
      </c>
      <c r="AE48">
        <v>1760.5</v>
      </c>
      <c r="AF48">
        <f t="shared" si="0"/>
        <v>420</v>
      </c>
      <c r="AG48">
        <f t="shared" si="1"/>
        <v>181</v>
      </c>
      <c r="AH48">
        <f t="shared" si="2"/>
        <v>2033.0833333333333</v>
      </c>
      <c r="AI48">
        <v>21033.588463029075</v>
      </c>
      <c r="AJ48">
        <f>[1]F1XT_1!F47</f>
        <v>21033.588294000001</v>
      </c>
      <c r="AK48">
        <f t="shared" si="3"/>
        <v>-1.6902907373150811E-4</v>
      </c>
    </row>
    <row r="49" spans="1:37" x14ac:dyDescent="0.25">
      <c r="A49" t="s">
        <v>39</v>
      </c>
      <c r="B49">
        <v>35</v>
      </c>
      <c r="C49">
        <v>32</v>
      </c>
      <c r="D49">
        <v>357.7</v>
      </c>
      <c r="E49">
        <v>696.1</v>
      </c>
      <c r="F49">
        <v>77</v>
      </c>
      <c r="G49">
        <v>1</v>
      </c>
      <c r="H49">
        <v>35</v>
      </c>
      <c r="I49">
        <v>12</v>
      </c>
      <c r="J49">
        <v>30000</v>
      </c>
      <c r="K49">
        <v>3.5</v>
      </c>
      <c r="L49">
        <v>0</v>
      </c>
      <c r="M49">
        <v>239</v>
      </c>
      <c r="N49">
        <v>12148.5</v>
      </c>
      <c r="O49">
        <v>43101</v>
      </c>
      <c r="P49">
        <v>74.099999999999994</v>
      </c>
      <c r="Q49">
        <v>0</v>
      </c>
      <c r="R49">
        <v>94.5</v>
      </c>
      <c r="S49">
        <v>31.6</v>
      </c>
      <c r="T49">
        <v>0</v>
      </c>
      <c r="U49">
        <v>157.5</v>
      </c>
      <c r="V49">
        <v>0</v>
      </c>
      <c r="W49">
        <v>0</v>
      </c>
      <c r="X49">
        <v>0</v>
      </c>
      <c r="Y49">
        <v>2</v>
      </c>
      <c r="Z49">
        <v>100</v>
      </c>
      <c r="AA49">
        <v>0</v>
      </c>
      <c r="AB49">
        <v>1</v>
      </c>
      <c r="AC49">
        <v>1</v>
      </c>
      <c r="AD49">
        <v>0</v>
      </c>
      <c r="AE49">
        <v>1053.8</v>
      </c>
      <c r="AF49">
        <f t="shared" si="0"/>
        <v>420</v>
      </c>
      <c r="AG49">
        <f t="shared" si="1"/>
        <v>181</v>
      </c>
      <c r="AH49">
        <f t="shared" si="2"/>
        <v>2033.0833333333333</v>
      </c>
      <c r="AI49">
        <v>14321.098756241989</v>
      </c>
      <c r="AJ49">
        <f>[1]F1XT_1!F48</f>
        <v>14321.098744999999</v>
      </c>
      <c r="AK49">
        <f t="shared" si="3"/>
        <v>-1.1241989341215231E-5</v>
      </c>
    </row>
    <row r="50" spans="1:37" x14ac:dyDescent="0.25">
      <c r="A50" t="s">
        <v>39</v>
      </c>
      <c r="B50">
        <v>35</v>
      </c>
      <c r="C50">
        <v>35</v>
      </c>
      <c r="D50">
        <v>328.2</v>
      </c>
      <c r="E50">
        <v>734.5</v>
      </c>
      <c r="F50">
        <v>86.9</v>
      </c>
      <c r="G50">
        <v>1</v>
      </c>
      <c r="H50">
        <v>30</v>
      </c>
      <c r="I50">
        <v>12</v>
      </c>
      <c r="J50">
        <v>25000</v>
      </c>
      <c r="K50">
        <v>3.5</v>
      </c>
      <c r="L50">
        <v>0</v>
      </c>
      <c r="M50">
        <v>239</v>
      </c>
      <c r="N50">
        <v>13238.4</v>
      </c>
      <c r="O50">
        <v>43201</v>
      </c>
      <c r="P50">
        <v>86.2</v>
      </c>
      <c r="Q50">
        <v>0</v>
      </c>
      <c r="R50">
        <v>78.8</v>
      </c>
      <c r="S50">
        <v>31.9</v>
      </c>
      <c r="T50">
        <v>0</v>
      </c>
      <c r="U50">
        <v>131.30000000000001</v>
      </c>
      <c r="V50">
        <v>0</v>
      </c>
      <c r="W50">
        <v>0</v>
      </c>
      <c r="X50">
        <v>0</v>
      </c>
      <c r="Y50">
        <v>1</v>
      </c>
      <c r="Z50">
        <v>100</v>
      </c>
      <c r="AA50">
        <v>0</v>
      </c>
      <c r="AB50">
        <v>0</v>
      </c>
      <c r="AC50">
        <v>1</v>
      </c>
      <c r="AD50">
        <v>0</v>
      </c>
      <c r="AE50">
        <v>1062.7</v>
      </c>
      <c r="AF50">
        <f t="shared" si="0"/>
        <v>360</v>
      </c>
      <c r="AG50">
        <f t="shared" si="1"/>
        <v>121</v>
      </c>
      <c r="AH50">
        <f t="shared" si="2"/>
        <v>2028.0833333333333</v>
      </c>
      <c r="AI50">
        <v>14964.82096739906</v>
      </c>
      <c r="AJ50">
        <f>[1]F1XT_1!F49</f>
        <v>14964.820894</v>
      </c>
      <c r="AK50">
        <f t="shared" si="3"/>
        <v>-7.339906005654484E-5</v>
      </c>
    </row>
    <row r="51" spans="1:37" x14ac:dyDescent="0.25">
      <c r="A51" t="s">
        <v>39</v>
      </c>
      <c r="B51">
        <v>35</v>
      </c>
      <c r="C51">
        <v>34</v>
      </c>
      <c r="D51">
        <v>389</v>
      </c>
      <c r="E51">
        <v>876.2</v>
      </c>
      <c r="F51">
        <v>106.1</v>
      </c>
      <c r="G51">
        <v>1</v>
      </c>
      <c r="H51">
        <v>30</v>
      </c>
      <c r="I51">
        <v>12</v>
      </c>
      <c r="J51">
        <v>30000</v>
      </c>
      <c r="K51">
        <v>3.5</v>
      </c>
      <c r="L51">
        <v>0</v>
      </c>
      <c r="M51">
        <v>240</v>
      </c>
      <c r="N51">
        <v>15970.9</v>
      </c>
      <c r="O51">
        <v>43501</v>
      </c>
      <c r="P51">
        <v>99.1</v>
      </c>
      <c r="Q51">
        <v>0</v>
      </c>
      <c r="R51">
        <v>94.5</v>
      </c>
      <c r="S51">
        <v>37.9</v>
      </c>
      <c r="T51">
        <v>0</v>
      </c>
      <c r="U51">
        <v>157.5</v>
      </c>
      <c r="V51">
        <v>0</v>
      </c>
      <c r="W51">
        <v>0</v>
      </c>
      <c r="X51">
        <v>0</v>
      </c>
      <c r="Y51">
        <v>1</v>
      </c>
      <c r="Z51">
        <v>100</v>
      </c>
      <c r="AA51">
        <v>0</v>
      </c>
      <c r="AB51">
        <v>0</v>
      </c>
      <c r="AC51">
        <v>1</v>
      </c>
      <c r="AD51">
        <v>0</v>
      </c>
      <c r="AE51">
        <v>1265.2</v>
      </c>
      <c r="AF51">
        <f t="shared" si="0"/>
        <v>360</v>
      </c>
      <c r="AG51">
        <f t="shared" si="1"/>
        <v>120</v>
      </c>
      <c r="AH51">
        <f t="shared" si="2"/>
        <v>2028</v>
      </c>
      <c r="AI51">
        <v>17660.031511255456</v>
      </c>
      <c r="AJ51">
        <f>[1]F1XT_1!F50</f>
        <v>17660.031435000001</v>
      </c>
      <c r="AK51">
        <f t="shared" si="3"/>
        <v>-7.625545549672097E-5</v>
      </c>
    </row>
    <row r="52" spans="1:37" x14ac:dyDescent="0.25">
      <c r="A52" t="s">
        <v>39</v>
      </c>
      <c r="B52">
        <v>35</v>
      </c>
      <c r="C52">
        <v>28</v>
      </c>
      <c r="D52">
        <v>353</v>
      </c>
      <c r="E52">
        <v>834.1</v>
      </c>
      <c r="F52">
        <v>104.2</v>
      </c>
      <c r="G52">
        <v>1</v>
      </c>
      <c r="H52">
        <v>30</v>
      </c>
      <c r="I52">
        <v>12</v>
      </c>
      <c r="J52">
        <v>30000</v>
      </c>
      <c r="K52">
        <v>3.5</v>
      </c>
      <c r="L52">
        <v>0</v>
      </c>
      <c r="M52">
        <v>240</v>
      </c>
      <c r="N52">
        <v>15914.6</v>
      </c>
      <c r="O52">
        <v>43601</v>
      </c>
      <c r="P52">
        <v>65.400000000000006</v>
      </c>
      <c r="Q52">
        <v>0</v>
      </c>
      <c r="R52">
        <v>94.5</v>
      </c>
      <c r="S52">
        <v>35.6</v>
      </c>
      <c r="T52">
        <v>0</v>
      </c>
      <c r="U52">
        <v>157.5</v>
      </c>
      <c r="V52">
        <v>0</v>
      </c>
      <c r="W52">
        <v>0</v>
      </c>
      <c r="X52">
        <v>0</v>
      </c>
      <c r="Y52">
        <v>2</v>
      </c>
      <c r="Z52">
        <v>100</v>
      </c>
      <c r="AA52">
        <v>0</v>
      </c>
      <c r="AB52">
        <v>1</v>
      </c>
      <c r="AC52">
        <v>1</v>
      </c>
      <c r="AD52">
        <v>0</v>
      </c>
      <c r="AE52">
        <v>1187.0999999999999</v>
      </c>
      <c r="AF52">
        <f t="shared" si="0"/>
        <v>360</v>
      </c>
      <c r="AG52">
        <f t="shared" si="1"/>
        <v>120</v>
      </c>
      <c r="AH52">
        <f t="shared" si="2"/>
        <v>2028</v>
      </c>
      <c r="AI52">
        <v>17488.489765800321</v>
      </c>
      <c r="AJ52">
        <f>[1]F1XT_1!F51</f>
        <v>17488.489890000001</v>
      </c>
      <c r="AK52">
        <f t="shared" si="3"/>
        <v>1.2419967970345169E-4</v>
      </c>
    </row>
    <row r="53" spans="1:37" x14ac:dyDescent="0.25">
      <c r="A53" t="s">
        <v>39</v>
      </c>
      <c r="B53">
        <v>35</v>
      </c>
      <c r="C53">
        <v>28</v>
      </c>
      <c r="D53">
        <v>0</v>
      </c>
      <c r="E53">
        <v>0</v>
      </c>
      <c r="F53">
        <v>76.599999999999994</v>
      </c>
      <c r="G53">
        <v>1</v>
      </c>
      <c r="H53">
        <v>35</v>
      </c>
      <c r="I53">
        <v>1</v>
      </c>
      <c r="J53">
        <v>12987.2</v>
      </c>
      <c r="K53">
        <v>3.5</v>
      </c>
      <c r="L53">
        <v>0</v>
      </c>
      <c r="M53">
        <v>239</v>
      </c>
      <c r="N53">
        <v>8460.9</v>
      </c>
      <c r="O53">
        <v>44101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2</v>
      </c>
      <c r="Z53">
        <v>100</v>
      </c>
      <c r="AA53">
        <v>0</v>
      </c>
      <c r="AB53">
        <v>1</v>
      </c>
      <c r="AC53">
        <v>1</v>
      </c>
      <c r="AD53">
        <v>0</v>
      </c>
      <c r="AE53">
        <v>1040</v>
      </c>
      <c r="AF53">
        <f t="shared" si="0"/>
        <v>420</v>
      </c>
      <c r="AG53">
        <f t="shared" si="1"/>
        <v>181</v>
      </c>
      <c r="AH53">
        <f t="shared" si="2"/>
        <v>2033.0833333333333</v>
      </c>
      <c r="AI53">
        <v>11839.263745526672</v>
      </c>
      <c r="AJ53">
        <f>[1]F1XT_1!F52</f>
        <v>11839.157929000001</v>
      </c>
      <c r="AK53">
        <f t="shared" si="3"/>
        <v>-0.10581652667133312</v>
      </c>
    </row>
    <row r="54" spans="1:37" x14ac:dyDescent="0.25">
      <c r="A54" t="s">
        <v>39</v>
      </c>
      <c r="B54">
        <v>35</v>
      </c>
      <c r="C54">
        <v>31</v>
      </c>
      <c r="D54">
        <v>0</v>
      </c>
      <c r="E54">
        <v>0</v>
      </c>
      <c r="F54">
        <v>136.6</v>
      </c>
      <c r="G54">
        <v>1</v>
      </c>
      <c r="H54">
        <v>30</v>
      </c>
      <c r="I54">
        <v>1</v>
      </c>
      <c r="J54">
        <v>19885.3</v>
      </c>
      <c r="K54">
        <v>3.5</v>
      </c>
      <c r="L54">
        <v>0</v>
      </c>
      <c r="M54">
        <v>239</v>
      </c>
      <c r="N54">
        <v>14923.7</v>
      </c>
      <c r="O54">
        <v>44301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100</v>
      </c>
      <c r="AA54">
        <v>0</v>
      </c>
      <c r="AB54">
        <v>0</v>
      </c>
      <c r="AC54">
        <v>1</v>
      </c>
      <c r="AD54">
        <v>0</v>
      </c>
      <c r="AE54">
        <v>1655</v>
      </c>
      <c r="AF54">
        <f t="shared" si="0"/>
        <v>360</v>
      </c>
      <c r="AG54">
        <f t="shared" si="1"/>
        <v>121</v>
      </c>
      <c r="AH54">
        <f t="shared" si="2"/>
        <v>2028.0833333333333</v>
      </c>
      <c r="AI54">
        <v>18378.282999328676</v>
      </c>
      <c r="AJ54">
        <f>[1]F1XT_1!F53</f>
        <v>18378.199151000001</v>
      </c>
      <c r="AK54">
        <f t="shared" si="3"/>
        <v>-8.3848328675230732E-2</v>
      </c>
    </row>
    <row r="55" spans="1:37" x14ac:dyDescent="0.25">
      <c r="A55" t="s">
        <v>39</v>
      </c>
      <c r="B55">
        <v>35</v>
      </c>
      <c r="C55">
        <v>32</v>
      </c>
      <c r="D55">
        <v>672</v>
      </c>
      <c r="E55">
        <v>975</v>
      </c>
      <c r="F55">
        <v>105.6</v>
      </c>
      <c r="G55">
        <v>1</v>
      </c>
      <c r="H55">
        <v>35</v>
      </c>
      <c r="I55">
        <v>12</v>
      </c>
      <c r="J55">
        <v>40000</v>
      </c>
      <c r="K55">
        <v>3.5</v>
      </c>
      <c r="L55">
        <v>0</v>
      </c>
      <c r="M55">
        <v>239</v>
      </c>
      <c r="N55">
        <v>16429.2</v>
      </c>
      <c r="O55">
        <v>44501</v>
      </c>
      <c r="P55">
        <v>136.6</v>
      </c>
      <c r="Q55">
        <v>0</v>
      </c>
      <c r="R55">
        <v>126</v>
      </c>
      <c r="S55">
        <v>49.4</v>
      </c>
      <c r="T55">
        <v>0</v>
      </c>
      <c r="U55">
        <v>210</v>
      </c>
      <c r="V55">
        <v>101.9</v>
      </c>
      <c r="W55">
        <v>0</v>
      </c>
      <c r="X55">
        <v>48.1</v>
      </c>
      <c r="Y55">
        <v>1</v>
      </c>
      <c r="Z55">
        <v>100</v>
      </c>
      <c r="AA55">
        <v>0</v>
      </c>
      <c r="AB55">
        <v>0</v>
      </c>
      <c r="AC55">
        <v>1</v>
      </c>
      <c r="AD55">
        <v>0</v>
      </c>
      <c r="AE55">
        <v>1647</v>
      </c>
      <c r="AF55">
        <f t="shared" si="0"/>
        <v>420</v>
      </c>
      <c r="AG55">
        <f t="shared" si="1"/>
        <v>181</v>
      </c>
      <c r="AH55">
        <f t="shared" si="2"/>
        <v>2033.0833333333333</v>
      </c>
      <c r="AI55">
        <v>18068.399114893225</v>
      </c>
      <c r="AJ55">
        <f>[1]F1XT_1!F54</f>
        <v>18068.398926999998</v>
      </c>
      <c r="AK55">
        <f t="shared" si="3"/>
        <v>-1.8789322712109424E-4</v>
      </c>
    </row>
    <row r="56" spans="1:37" x14ac:dyDescent="0.25">
      <c r="A56" t="s">
        <v>39</v>
      </c>
      <c r="B56">
        <v>35</v>
      </c>
      <c r="C56">
        <v>34</v>
      </c>
      <c r="D56">
        <v>266.39999999999998</v>
      </c>
      <c r="E56">
        <v>934.4</v>
      </c>
      <c r="F56">
        <v>103.1</v>
      </c>
      <c r="G56">
        <v>1</v>
      </c>
      <c r="H56">
        <v>35</v>
      </c>
      <c r="I56">
        <v>12</v>
      </c>
      <c r="J56">
        <v>40000</v>
      </c>
      <c r="K56">
        <v>3.5</v>
      </c>
      <c r="L56">
        <v>0</v>
      </c>
      <c r="M56">
        <v>239</v>
      </c>
      <c r="N56">
        <v>16226.2</v>
      </c>
      <c r="O56">
        <v>47301</v>
      </c>
      <c r="P56">
        <v>104.4</v>
      </c>
      <c r="Q56">
        <v>0</v>
      </c>
      <c r="R56">
        <v>126</v>
      </c>
      <c r="S56">
        <v>36</v>
      </c>
      <c r="T56">
        <v>0</v>
      </c>
      <c r="U56">
        <v>0</v>
      </c>
      <c r="V56">
        <v>0</v>
      </c>
      <c r="W56">
        <v>0</v>
      </c>
      <c r="X56">
        <v>0</v>
      </c>
      <c r="Y56">
        <v>2</v>
      </c>
      <c r="Z56">
        <v>100</v>
      </c>
      <c r="AA56">
        <v>0</v>
      </c>
      <c r="AB56">
        <v>1</v>
      </c>
      <c r="AC56">
        <v>1</v>
      </c>
      <c r="AD56">
        <v>0</v>
      </c>
      <c r="AE56">
        <v>1200.8</v>
      </c>
      <c r="AF56">
        <f t="shared" si="0"/>
        <v>420</v>
      </c>
      <c r="AG56">
        <f t="shared" si="1"/>
        <v>181</v>
      </c>
      <c r="AH56">
        <f t="shared" si="2"/>
        <v>2033.0833333333333</v>
      </c>
      <c r="AI56">
        <v>19863.747767025256</v>
      </c>
      <c r="AJ56">
        <f>[1]F1XT_1!F55</f>
        <v>19863.747549</v>
      </c>
      <c r="AK56">
        <f t="shared" si="3"/>
        <v>-2.1802525589009747E-4</v>
      </c>
    </row>
    <row r="57" spans="1:37" x14ac:dyDescent="0.25">
      <c r="A57" t="s">
        <v>39</v>
      </c>
      <c r="B57">
        <v>35</v>
      </c>
      <c r="C57">
        <v>35</v>
      </c>
      <c r="D57">
        <v>322.39999999999998</v>
      </c>
      <c r="E57">
        <v>1000</v>
      </c>
      <c r="F57">
        <v>108.6</v>
      </c>
      <c r="G57">
        <v>1</v>
      </c>
      <c r="H57">
        <v>35</v>
      </c>
      <c r="I57">
        <v>12</v>
      </c>
      <c r="J57">
        <v>40000</v>
      </c>
      <c r="K57">
        <v>3.5</v>
      </c>
      <c r="L57">
        <v>0</v>
      </c>
      <c r="M57">
        <v>239</v>
      </c>
      <c r="N57">
        <v>16573.400000000001</v>
      </c>
      <c r="O57">
        <v>47501</v>
      </c>
      <c r="P57">
        <v>156.69999999999999</v>
      </c>
      <c r="Q57">
        <v>0</v>
      </c>
      <c r="R57">
        <v>126</v>
      </c>
      <c r="S57">
        <v>39.700000000000003</v>
      </c>
      <c r="T57">
        <v>0</v>
      </c>
      <c r="U57">
        <v>0</v>
      </c>
      <c r="V57">
        <v>0</v>
      </c>
      <c r="W57">
        <v>0</v>
      </c>
      <c r="X57">
        <v>0</v>
      </c>
      <c r="Y57">
        <v>1</v>
      </c>
      <c r="Z57">
        <v>100</v>
      </c>
      <c r="AA57">
        <v>0</v>
      </c>
      <c r="AB57">
        <v>0</v>
      </c>
      <c r="AC57">
        <v>1</v>
      </c>
      <c r="AD57">
        <v>0</v>
      </c>
      <c r="AE57">
        <v>1322.4</v>
      </c>
      <c r="AF57">
        <f t="shared" si="0"/>
        <v>420</v>
      </c>
      <c r="AG57">
        <f t="shared" si="1"/>
        <v>181</v>
      </c>
      <c r="AH57">
        <f t="shared" si="2"/>
        <v>2033.0833333333333</v>
      </c>
      <c r="AI57">
        <v>19502.899058754905</v>
      </c>
      <c r="AJ57">
        <f>[1]F1XT_1!F56</f>
        <v>19502.898980999998</v>
      </c>
      <c r="AK57">
        <f t="shared" si="3"/>
        <v>-7.7754906669724733E-5</v>
      </c>
    </row>
    <row r="58" spans="1:37" x14ac:dyDescent="0.25">
      <c r="A58" t="s">
        <v>39</v>
      </c>
      <c r="B58">
        <v>35</v>
      </c>
      <c r="C58">
        <v>37</v>
      </c>
      <c r="D58">
        <v>404.3</v>
      </c>
      <c r="E58">
        <v>894</v>
      </c>
      <c r="F58">
        <v>105.2</v>
      </c>
      <c r="G58">
        <v>1</v>
      </c>
      <c r="H58">
        <v>30</v>
      </c>
      <c r="I58">
        <v>12</v>
      </c>
      <c r="J58">
        <v>30000</v>
      </c>
      <c r="K58">
        <v>3.5</v>
      </c>
      <c r="L58">
        <v>0</v>
      </c>
      <c r="M58">
        <v>239</v>
      </c>
      <c r="N58">
        <v>15904</v>
      </c>
      <c r="O58">
        <v>47901</v>
      </c>
      <c r="P58">
        <v>113.3</v>
      </c>
      <c r="Q58">
        <v>0</v>
      </c>
      <c r="R58">
        <v>94.5</v>
      </c>
      <c r="S58">
        <v>39</v>
      </c>
      <c r="T58">
        <v>0</v>
      </c>
      <c r="U58">
        <v>157.5</v>
      </c>
      <c r="V58">
        <v>0</v>
      </c>
      <c r="W58">
        <v>0</v>
      </c>
      <c r="X58">
        <v>0</v>
      </c>
      <c r="Y58">
        <v>1</v>
      </c>
      <c r="Z58">
        <v>100</v>
      </c>
      <c r="AA58">
        <v>0</v>
      </c>
      <c r="AB58">
        <v>0</v>
      </c>
      <c r="AC58">
        <v>1</v>
      </c>
      <c r="AD58">
        <v>0</v>
      </c>
      <c r="AE58">
        <v>1298.3</v>
      </c>
      <c r="AF58">
        <f t="shared" si="0"/>
        <v>360</v>
      </c>
      <c r="AG58">
        <f t="shared" si="1"/>
        <v>121</v>
      </c>
      <c r="AH58">
        <f t="shared" si="2"/>
        <v>2028.0833333333333</v>
      </c>
      <c r="AI58">
        <v>18050.560565629745</v>
      </c>
      <c r="AJ58">
        <f>[1]F1XT_1!F57</f>
        <v>18050.560513</v>
      </c>
      <c r="AK58">
        <f t="shared" si="3"/>
        <v>-5.2629744459409267E-5</v>
      </c>
    </row>
    <row r="59" spans="1:37" x14ac:dyDescent="0.25">
      <c r="A59" t="s">
        <v>39</v>
      </c>
      <c r="B59">
        <v>35</v>
      </c>
      <c r="C59">
        <v>32</v>
      </c>
      <c r="D59">
        <v>357.9</v>
      </c>
      <c r="E59">
        <v>840.2</v>
      </c>
      <c r="F59">
        <v>102</v>
      </c>
      <c r="G59">
        <v>1</v>
      </c>
      <c r="H59">
        <v>30</v>
      </c>
      <c r="I59">
        <v>12</v>
      </c>
      <c r="J59">
        <v>30000</v>
      </c>
      <c r="K59">
        <v>3.5</v>
      </c>
      <c r="L59">
        <v>0</v>
      </c>
      <c r="M59">
        <v>239</v>
      </c>
      <c r="N59">
        <v>15826.3</v>
      </c>
      <c r="O59">
        <v>48101</v>
      </c>
      <c r="P59">
        <v>70</v>
      </c>
      <c r="Q59">
        <v>0</v>
      </c>
      <c r="R59">
        <v>94.5</v>
      </c>
      <c r="S59">
        <v>35.9</v>
      </c>
      <c r="T59">
        <v>0</v>
      </c>
      <c r="U59">
        <v>157.5</v>
      </c>
      <c r="V59">
        <v>0</v>
      </c>
      <c r="W59">
        <v>0</v>
      </c>
      <c r="X59">
        <v>0</v>
      </c>
      <c r="Y59">
        <v>2</v>
      </c>
      <c r="Z59">
        <v>100</v>
      </c>
      <c r="AA59">
        <v>0</v>
      </c>
      <c r="AB59">
        <v>1</v>
      </c>
      <c r="AC59">
        <v>1</v>
      </c>
      <c r="AD59">
        <v>0</v>
      </c>
      <c r="AE59">
        <v>1198.0999999999999</v>
      </c>
      <c r="AF59">
        <f t="shared" si="0"/>
        <v>360</v>
      </c>
      <c r="AG59">
        <f t="shared" si="1"/>
        <v>121</v>
      </c>
      <c r="AH59">
        <f t="shared" si="2"/>
        <v>2028.0833333333333</v>
      </c>
      <c r="AI59">
        <v>17512.333470052843</v>
      </c>
      <c r="AJ59">
        <f>[1]F1XT_1!F58</f>
        <v>17512.333580999999</v>
      </c>
      <c r="AK59">
        <f t="shared" si="3"/>
        <v>1.1094715591752902E-4</v>
      </c>
    </row>
    <row r="60" spans="1:37" x14ac:dyDescent="0.25">
      <c r="A60" t="s">
        <v>39</v>
      </c>
      <c r="B60">
        <v>35</v>
      </c>
      <c r="C60">
        <v>32</v>
      </c>
      <c r="D60">
        <v>484.1</v>
      </c>
      <c r="E60">
        <v>1101.0999999999999</v>
      </c>
      <c r="F60">
        <v>137.4</v>
      </c>
      <c r="G60">
        <v>1</v>
      </c>
      <c r="H60">
        <v>30</v>
      </c>
      <c r="I60">
        <v>1</v>
      </c>
      <c r="J60">
        <v>40000</v>
      </c>
      <c r="K60">
        <v>3.5</v>
      </c>
      <c r="L60">
        <v>0</v>
      </c>
      <c r="M60">
        <v>239</v>
      </c>
      <c r="N60">
        <v>21140.7</v>
      </c>
      <c r="O60">
        <v>48401</v>
      </c>
      <c r="P60">
        <v>116.5</v>
      </c>
      <c r="Q60">
        <v>0</v>
      </c>
      <c r="R60">
        <v>120</v>
      </c>
      <c r="S60">
        <v>47.6</v>
      </c>
      <c r="T60">
        <v>0</v>
      </c>
      <c r="U60">
        <v>200</v>
      </c>
      <c r="V60">
        <v>0</v>
      </c>
      <c r="W60">
        <v>0</v>
      </c>
      <c r="X60">
        <v>0</v>
      </c>
      <c r="Y60">
        <v>1</v>
      </c>
      <c r="Z60">
        <v>100</v>
      </c>
      <c r="AA60">
        <v>0</v>
      </c>
      <c r="AB60">
        <v>0</v>
      </c>
      <c r="AC60">
        <v>1</v>
      </c>
      <c r="AD60">
        <v>0</v>
      </c>
      <c r="AE60">
        <v>1585.2</v>
      </c>
      <c r="AF60">
        <f t="shared" si="0"/>
        <v>360</v>
      </c>
      <c r="AG60">
        <f t="shared" si="1"/>
        <v>121</v>
      </c>
      <c r="AH60">
        <f t="shared" si="2"/>
        <v>2028.0833333333333</v>
      </c>
      <c r="AI60">
        <v>23190.557388502028</v>
      </c>
      <c r="AJ60">
        <f>[1]F1XT_1!F59</f>
        <v>23190.557331</v>
      </c>
      <c r="AK60">
        <f t="shared" si="3"/>
        <v>-5.7502027630107477E-5</v>
      </c>
    </row>
    <row r="61" spans="1:37" x14ac:dyDescent="0.25">
      <c r="A61" t="s">
        <v>39</v>
      </c>
      <c r="B61">
        <v>35</v>
      </c>
      <c r="C61">
        <v>35</v>
      </c>
      <c r="D61">
        <v>586.9</v>
      </c>
      <c r="E61">
        <v>734.5</v>
      </c>
      <c r="F61">
        <v>67</v>
      </c>
      <c r="G61">
        <v>1</v>
      </c>
      <c r="H61">
        <v>30</v>
      </c>
      <c r="I61">
        <v>12</v>
      </c>
      <c r="J61">
        <v>25000</v>
      </c>
      <c r="K61">
        <v>3.5</v>
      </c>
      <c r="L61">
        <v>0</v>
      </c>
      <c r="M61">
        <v>229</v>
      </c>
      <c r="N61">
        <v>12452</v>
      </c>
      <c r="O61">
        <v>49002</v>
      </c>
      <c r="P61">
        <v>86.2</v>
      </c>
      <c r="Q61">
        <v>0</v>
      </c>
      <c r="R61">
        <v>78.8</v>
      </c>
      <c r="S61">
        <v>31.9</v>
      </c>
      <c r="T61">
        <v>258.7</v>
      </c>
      <c r="U61">
        <v>131.30000000000001</v>
      </c>
      <c r="V61">
        <v>0</v>
      </c>
      <c r="W61">
        <v>0</v>
      </c>
      <c r="X61">
        <v>0</v>
      </c>
      <c r="Y61">
        <v>1</v>
      </c>
      <c r="Z61">
        <v>100</v>
      </c>
      <c r="AA61">
        <v>0</v>
      </c>
      <c r="AB61">
        <v>0</v>
      </c>
      <c r="AC61">
        <v>1</v>
      </c>
      <c r="AD61">
        <v>1.2</v>
      </c>
      <c r="AE61">
        <v>1321.4</v>
      </c>
      <c r="AF61">
        <f t="shared" si="0"/>
        <v>360</v>
      </c>
      <c r="AG61">
        <f t="shared" si="1"/>
        <v>131</v>
      </c>
      <c r="AH61">
        <f t="shared" si="2"/>
        <v>2028.9166666666667</v>
      </c>
      <c r="AI61">
        <v>14570.510601008742</v>
      </c>
      <c r="AJ61">
        <f>[1]F1XT_1!F60</f>
        <v>14570.510522</v>
      </c>
      <c r="AK61">
        <f t="shared" si="3"/>
        <v>-7.9008741522557102E-5</v>
      </c>
    </row>
    <row r="62" spans="1:37" x14ac:dyDescent="0.25">
      <c r="A62" t="s">
        <v>39</v>
      </c>
      <c r="B62">
        <v>35</v>
      </c>
      <c r="C62">
        <v>24</v>
      </c>
      <c r="D62">
        <v>462</v>
      </c>
      <c r="E62">
        <v>770.7</v>
      </c>
      <c r="F62">
        <v>76.8</v>
      </c>
      <c r="G62">
        <v>1</v>
      </c>
      <c r="H62">
        <v>40</v>
      </c>
      <c r="I62">
        <v>12</v>
      </c>
      <c r="J62">
        <v>40000</v>
      </c>
      <c r="K62">
        <v>3.5</v>
      </c>
      <c r="L62">
        <v>0</v>
      </c>
      <c r="M62">
        <v>238</v>
      </c>
      <c r="N62">
        <v>12541.7</v>
      </c>
      <c r="O62">
        <v>50101</v>
      </c>
      <c r="P62">
        <v>89</v>
      </c>
      <c r="Q62">
        <v>0</v>
      </c>
      <c r="R62">
        <v>126</v>
      </c>
      <c r="S62">
        <v>37</v>
      </c>
      <c r="T62">
        <v>0</v>
      </c>
      <c r="U62">
        <v>210</v>
      </c>
      <c r="V62">
        <v>0</v>
      </c>
      <c r="W62">
        <v>0</v>
      </c>
      <c r="X62">
        <v>0</v>
      </c>
      <c r="Y62">
        <v>2</v>
      </c>
      <c r="Z62">
        <v>100</v>
      </c>
      <c r="AA62">
        <v>0</v>
      </c>
      <c r="AB62">
        <v>1</v>
      </c>
      <c r="AC62">
        <v>1</v>
      </c>
      <c r="AD62">
        <v>0</v>
      </c>
      <c r="AE62">
        <v>1232.7</v>
      </c>
      <c r="AF62">
        <f t="shared" si="0"/>
        <v>480</v>
      </c>
      <c r="AG62">
        <f t="shared" si="1"/>
        <v>242</v>
      </c>
      <c r="AH62">
        <f t="shared" si="2"/>
        <v>2038.1666666666667</v>
      </c>
      <c r="AI62">
        <v>13508.405961691133</v>
      </c>
      <c r="AJ62">
        <f>[1]F1XT_1!F61</f>
        <v>13508.406282</v>
      </c>
      <c r="AK62">
        <f t="shared" si="3"/>
        <v>3.2030886723077856E-4</v>
      </c>
    </row>
    <row r="63" spans="1:37" x14ac:dyDescent="0.25">
      <c r="A63" t="s">
        <v>39</v>
      </c>
      <c r="B63">
        <v>35</v>
      </c>
      <c r="C63">
        <v>36</v>
      </c>
      <c r="D63">
        <v>265.7</v>
      </c>
      <c r="E63">
        <v>591.70000000000005</v>
      </c>
      <c r="F63">
        <v>68.3</v>
      </c>
      <c r="G63">
        <v>1</v>
      </c>
      <c r="H63">
        <v>30</v>
      </c>
      <c r="I63">
        <v>12</v>
      </c>
      <c r="J63">
        <v>20000</v>
      </c>
      <c r="K63">
        <v>3.5</v>
      </c>
      <c r="L63">
        <v>0</v>
      </c>
      <c r="M63">
        <v>238</v>
      </c>
      <c r="N63">
        <v>10534.2</v>
      </c>
      <c r="O63">
        <v>51401</v>
      </c>
      <c r="P63">
        <v>72</v>
      </c>
      <c r="Q63">
        <v>0</v>
      </c>
      <c r="R63">
        <v>63</v>
      </c>
      <c r="S63">
        <v>25.7</v>
      </c>
      <c r="T63">
        <v>0</v>
      </c>
      <c r="U63">
        <v>105</v>
      </c>
      <c r="V63">
        <v>0</v>
      </c>
      <c r="W63">
        <v>0</v>
      </c>
      <c r="X63">
        <v>0</v>
      </c>
      <c r="Y63">
        <v>1</v>
      </c>
      <c r="Z63">
        <v>100</v>
      </c>
      <c r="AA63">
        <v>0</v>
      </c>
      <c r="AB63">
        <v>0</v>
      </c>
      <c r="AC63">
        <v>1</v>
      </c>
      <c r="AD63">
        <v>0</v>
      </c>
      <c r="AE63">
        <v>857.4</v>
      </c>
      <c r="AF63">
        <f t="shared" si="0"/>
        <v>360</v>
      </c>
      <c r="AG63">
        <f t="shared" si="1"/>
        <v>122</v>
      </c>
      <c r="AH63">
        <f t="shared" si="2"/>
        <v>2028.1666666666667</v>
      </c>
      <c r="AI63">
        <v>12258.803099024119</v>
      </c>
      <c r="AJ63">
        <f>[1]F1XT_1!F62</f>
        <v>12258.803043</v>
      </c>
      <c r="AK63">
        <f t="shared" si="3"/>
        <v>-5.6024118748609908E-5</v>
      </c>
    </row>
    <row r="64" spans="1:37" x14ac:dyDescent="0.25">
      <c r="A64" t="s">
        <v>39</v>
      </c>
      <c r="B64">
        <v>35</v>
      </c>
      <c r="C64">
        <v>31</v>
      </c>
      <c r="D64">
        <v>409.8</v>
      </c>
      <c r="E64">
        <v>462.7</v>
      </c>
      <c r="F64">
        <v>50.2</v>
      </c>
      <c r="G64">
        <v>1</v>
      </c>
      <c r="H64">
        <v>35</v>
      </c>
      <c r="I64">
        <v>12</v>
      </c>
      <c r="J64">
        <v>20000</v>
      </c>
      <c r="K64">
        <v>3.5</v>
      </c>
      <c r="L64">
        <v>0</v>
      </c>
      <c r="M64">
        <v>238</v>
      </c>
      <c r="N64">
        <v>8043.4</v>
      </c>
      <c r="O64">
        <v>51601</v>
      </c>
      <c r="P64">
        <v>48.3</v>
      </c>
      <c r="Q64">
        <v>0</v>
      </c>
      <c r="R64">
        <v>63</v>
      </c>
      <c r="S64">
        <v>21</v>
      </c>
      <c r="T64">
        <v>172.5</v>
      </c>
      <c r="U64">
        <v>105</v>
      </c>
      <c r="V64">
        <v>0</v>
      </c>
      <c r="W64">
        <v>0</v>
      </c>
      <c r="X64">
        <v>0</v>
      </c>
      <c r="Y64">
        <v>2</v>
      </c>
      <c r="Z64">
        <v>100</v>
      </c>
      <c r="AA64">
        <v>0</v>
      </c>
      <c r="AB64">
        <v>1</v>
      </c>
      <c r="AC64">
        <v>1</v>
      </c>
      <c r="AD64">
        <v>1</v>
      </c>
      <c r="AE64">
        <v>872.5</v>
      </c>
      <c r="AF64">
        <f t="shared" si="0"/>
        <v>420</v>
      </c>
      <c r="AG64">
        <f t="shared" si="1"/>
        <v>182</v>
      </c>
      <c r="AH64">
        <f t="shared" si="2"/>
        <v>2033.1666666666667</v>
      </c>
      <c r="AI64">
        <v>10375.871850319383</v>
      </c>
      <c r="AJ64">
        <f>[1]F1XT_1!F63</f>
        <v>10375.871915</v>
      </c>
      <c r="AK64">
        <f t="shared" si="3"/>
        <v>6.4680616560508497E-5</v>
      </c>
    </row>
    <row r="65" spans="1:37" x14ac:dyDescent="0.25">
      <c r="A65" t="s">
        <v>39</v>
      </c>
      <c r="B65">
        <v>35</v>
      </c>
      <c r="C65">
        <v>33</v>
      </c>
      <c r="D65">
        <v>258.8</v>
      </c>
      <c r="E65">
        <v>966</v>
      </c>
      <c r="F65">
        <v>135.9</v>
      </c>
      <c r="G65">
        <v>1</v>
      </c>
      <c r="H65">
        <v>20</v>
      </c>
      <c r="I65">
        <v>12</v>
      </c>
      <c r="J65">
        <v>21000</v>
      </c>
      <c r="K65">
        <v>3.5</v>
      </c>
      <c r="L65">
        <v>0</v>
      </c>
      <c r="M65">
        <v>238</v>
      </c>
      <c r="N65">
        <v>20749.099999999999</v>
      </c>
      <c r="O65">
        <v>55801</v>
      </c>
      <c r="P65">
        <v>45.5</v>
      </c>
      <c r="Q65">
        <v>0</v>
      </c>
      <c r="R65">
        <v>66.2</v>
      </c>
      <c r="S65">
        <v>36.799999999999997</v>
      </c>
      <c r="T65">
        <v>0</v>
      </c>
      <c r="U65">
        <v>110.3</v>
      </c>
      <c r="V65">
        <v>0</v>
      </c>
      <c r="W65">
        <v>0</v>
      </c>
      <c r="X65">
        <v>0</v>
      </c>
      <c r="Y65">
        <v>2</v>
      </c>
      <c r="Z65">
        <v>100</v>
      </c>
      <c r="AA65">
        <v>0</v>
      </c>
      <c r="AB65">
        <v>1</v>
      </c>
      <c r="AC65">
        <v>1</v>
      </c>
      <c r="AD65">
        <v>0</v>
      </c>
      <c r="AE65">
        <v>1224.8</v>
      </c>
      <c r="AF65">
        <f t="shared" si="0"/>
        <v>240</v>
      </c>
      <c r="AG65">
        <f t="shared" si="1"/>
        <v>2</v>
      </c>
      <c r="AH65">
        <f t="shared" si="2"/>
        <v>2018.1666666666667</v>
      </c>
      <c r="AI65">
        <v>20822.398879170298</v>
      </c>
      <c r="AJ65">
        <f>[1]F1XT_1!F64</f>
        <v>20822.398879</v>
      </c>
      <c r="AK65">
        <f t="shared" si="3"/>
        <v>-1.7029742593877017E-7</v>
      </c>
    </row>
    <row r="66" spans="1:37" x14ac:dyDescent="0.25">
      <c r="A66" t="s">
        <v>39</v>
      </c>
      <c r="B66">
        <v>35</v>
      </c>
      <c r="C66">
        <v>40</v>
      </c>
      <c r="D66">
        <v>418.9</v>
      </c>
      <c r="E66">
        <v>985.6</v>
      </c>
      <c r="F66">
        <v>116.1</v>
      </c>
      <c r="G66">
        <v>1</v>
      </c>
      <c r="H66">
        <v>28</v>
      </c>
      <c r="I66">
        <v>12</v>
      </c>
      <c r="J66">
        <v>30000</v>
      </c>
      <c r="K66">
        <v>3.5</v>
      </c>
      <c r="L66">
        <v>0</v>
      </c>
      <c r="M66">
        <v>238</v>
      </c>
      <c r="N66">
        <v>17634.099999999999</v>
      </c>
      <c r="O66">
        <v>58401</v>
      </c>
      <c r="P66">
        <v>124.8</v>
      </c>
      <c r="Q66">
        <v>0</v>
      </c>
      <c r="R66">
        <v>94.5</v>
      </c>
      <c r="S66">
        <v>42.1</v>
      </c>
      <c r="T66">
        <v>0</v>
      </c>
      <c r="U66">
        <v>157.5</v>
      </c>
      <c r="V66">
        <v>0</v>
      </c>
      <c r="W66">
        <v>0</v>
      </c>
      <c r="X66">
        <v>0</v>
      </c>
      <c r="Y66">
        <v>1</v>
      </c>
      <c r="Z66">
        <v>100</v>
      </c>
      <c r="AA66">
        <v>0</v>
      </c>
      <c r="AB66">
        <v>0</v>
      </c>
      <c r="AC66">
        <v>1</v>
      </c>
      <c r="AD66">
        <v>0</v>
      </c>
      <c r="AE66">
        <v>1404.5</v>
      </c>
      <c r="AF66">
        <f t="shared" si="0"/>
        <v>336</v>
      </c>
      <c r="AG66">
        <f t="shared" si="1"/>
        <v>98</v>
      </c>
      <c r="AH66">
        <f t="shared" si="2"/>
        <v>2026.1666666666667</v>
      </c>
      <c r="AI66">
        <v>20098.174068958542</v>
      </c>
      <c r="AJ66">
        <f>[1]F1XT_1!F65</f>
        <v>20098.174072000002</v>
      </c>
      <c r="AK66">
        <f t="shared" si="3"/>
        <v>3.0414594220928848E-6</v>
      </c>
    </row>
    <row r="67" spans="1:37" x14ac:dyDescent="0.25">
      <c r="A67" t="s">
        <v>39</v>
      </c>
      <c r="B67">
        <v>35</v>
      </c>
      <c r="C67">
        <v>36</v>
      </c>
      <c r="D67">
        <v>657.4</v>
      </c>
      <c r="E67">
        <v>887.4</v>
      </c>
      <c r="F67">
        <v>102.3</v>
      </c>
      <c r="G67">
        <v>1</v>
      </c>
      <c r="H67">
        <v>30</v>
      </c>
      <c r="I67">
        <v>12</v>
      </c>
      <c r="J67">
        <v>30000</v>
      </c>
      <c r="K67">
        <v>3.5</v>
      </c>
      <c r="L67">
        <v>0</v>
      </c>
      <c r="M67">
        <v>238</v>
      </c>
      <c r="N67">
        <v>15801.3</v>
      </c>
      <c r="O67">
        <v>58701</v>
      </c>
      <c r="P67">
        <v>108.1</v>
      </c>
      <c r="Q67">
        <v>0</v>
      </c>
      <c r="R67">
        <v>94.5</v>
      </c>
      <c r="S67">
        <v>38.6</v>
      </c>
      <c r="T67">
        <v>258.7</v>
      </c>
      <c r="U67">
        <v>157.5</v>
      </c>
      <c r="V67">
        <v>0</v>
      </c>
      <c r="W67">
        <v>0</v>
      </c>
      <c r="X67">
        <v>0</v>
      </c>
      <c r="Y67">
        <v>1</v>
      </c>
      <c r="Z67">
        <v>100</v>
      </c>
      <c r="AA67">
        <v>0</v>
      </c>
      <c r="AB67">
        <v>0</v>
      </c>
      <c r="AC67">
        <v>1</v>
      </c>
      <c r="AD67">
        <v>1</v>
      </c>
      <c r="AE67">
        <v>1544.8</v>
      </c>
      <c r="AF67">
        <f t="shared" si="0"/>
        <v>360</v>
      </c>
      <c r="AG67">
        <f t="shared" si="1"/>
        <v>122</v>
      </c>
      <c r="AH67">
        <f t="shared" si="2"/>
        <v>2028.1666666666667</v>
      </c>
      <c r="AI67">
        <v>18129.594220848783</v>
      </c>
      <c r="AJ67">
        <f>[1]F1XT_1!F66</f>
        <v>18129.594136</v>
      </c>
      <c r="AK67">
        <f t="shared" si="3"/>
        <v>-8.4848783444613218E-5</v>
      </c>
    </row>
    <row r="68" spans="1:37" x14ac:dyDescent="0.25">
      <c r="A68" t="s">
        <v>39</v>
      </c>
      <c r="B68">
        <v>35</v>
      </c>
      <c r="C68">
        <v>37</v>
      </c>
      <c r="D68">
        <v>396.7</v>
      </c>
      <c r="E68">
        <v>1092.4000000000001</v>
      </c>
      <c r="F68">
        <v>134.4</v>
      </c>
      <c r="G68">
        <v>1</v>
      </c>
      <c r="H68">
        <v>25</v>
      </c>
      <c r="I68">
        <v>12</v>
      </c>
      <c r="J68">
        <v>30000</v>
      </c>
      <c r="K68">
        <v>3.5</v>
      </c>
      <c r="L68">
        <v>0</v>
      </c>
      <c r="M68">
        <v>237</v>
      </c>
      <c r="N68">
        <v>20961.7</v>
      </c>
      <c r="O68">
        <v>60601</v>
      </c>
      <c r="P68">
        <v>100</v>
      </c>
      <c r="Q68">
        <v>0</v>
      </c>
      <c r="R68">
        <v>94.5</v>
      </c>
      <c r="S68">
        <v>44.7</v>
      </c>
      <c r="T68">
        <v>0</v>
      </c>
      <c r="U68">
        <v>157.5</v>
      </c>
      <c r="V68">
        <v>0</v>
      </c>
      <c r="W68">
        <v>0</v>
      </c>
      <c r="X68">
        <v>0</v>
      </c>
      <c r="Y68">
        <v>1</v>
      </c>
      <c r="Z68">
        <v>100</v>
      </c>
      <c r="AA68">
        <v>0</v>
      </c>
      <c r="AB68">
        <v>0</v>
      </c>
      <c r="AC68">
        <v>1</v>
      </c>
      <c r="AD68">
        <v>0</v>
      </c>
      <c r="AE68">
        <v>1489.1</v>
      </c>
      <c r="AF68">
        <f t="shared" si="0"/>
        <v>300</v>
      </c>
      <c r="AG68">
        <f t="shared" si="1"/>
        <v>63</v>
      </c>
      <c r="AH68">
        <f t="shared" si="2"/>
        <v>2023.25</v>
      </c>
      <c r="AI68">
        <v>22078.084878037407</v>
      </c>
      <c r="AJ68">
        <f>[1]F1XT_1!F67</f>
        <v>22078.084868999998</v>
      </c>
      <c r="AK68">
        <f t="shared" si="3"/>
        <v>-9.0374087449163198E-6</v>
      </c>
    </row>
    <row r="69" spans="1:37" x14ac:dyDescent="0.25">
      <c r="A69" t="s">
        <v>39</v>
      </c>
      <c r="B69">
        <v>35</v>
      </c>
      <c r="C69">
        <v>24</v>
      </c>
      <c r="D69">
        <v>341.4</v>
      </c>
      <c r="E69">
        <v>1007.5</v>
      </c>
      <c r="F69">
        <v>95.5</v>
      </c>
      <c r="G69">
        <v>1</v>
      </c>
      <c r="H69">
        <v>40</v>
      </c>
      <c r="I69">
        <v>12</v>
      </c>
      <c r="J69">
        <v>50000</v>
      </c>
      <c r="K69">
        <v>3.5</v>
      </c>
      <c r="L69">
        <v>0</v>
      </c>
      <c r="M69">
        <v>238</v>
      </c>
      <c r="N69">
        <v>15822.6</v>
      </c>
      <c r="O69">
        <v>60801</v>
      </c>
      <c r="P69">
        <v>143.4</v>
      </c>
      <c r="Q69">
        <v>0</v>
      </c>
      <c r="R69">
        <v>157.5</v>
      </c>
      <c r="S69">
        <v>40.5</v>
      </c>
      <c r="T69">
        <v>0</v>
      </c>
      <c r="U69">
        <v>0</v>
      </c>
      <c r="V69">
        <v>0</v>
      </c>
      <c r="W69">
        <v>0</v>
      </c>
      <c r="X69">
        <v>0</v>
      </c>
      <c r="Y69">
        <v>1</v>
      </c>
      <c r="Z69">
        <v>100</v>
      </c>
      <c r="AA69">
        <v>0</v>
      </c>
      <c r="AB69">
        <v>0</v>
      </c>
      <c r="AC69">
        <v>1</v>
      </c>
      <c r="AD69">
        <v>0</v>
      </c>
      <c r="AE69">
        <v>1348.9</v>
      </c>
      <c r="AF69">
        <f t="shared" si="0"/>
        <v>480</v>
      </c>
      <c r="AG69">
        <f t="shared" si="1"/>
        <v>242</v>
      </c>
      <c r="AH69">
        <f t="shared" si="2"/>
        <v>2038.1666666666667</v>
      </c>
      <c r="AI69">
        <v>18033.144534385658</v>
      </c>
      <c r="AJ69">
        <f>[1]F1XT_1!F68</f>
        <v>18033.143907999998</v>
      </c>
      <c r="AK69">
        <f t="shared" si="3"/>
        <v>-6.2638565941597335E-4</v>
      </c>
    </row>
    <row r="70" spans="1:37" x14ac:dyDescent="0.25">
      <c r="A70" t="s">
        <v>39</v>
      </c>
      <c r="B70">
        <v>35</v>
      </c>
      <c r="C70">
        <v>31</v>
      </c>
      <c r="D70">
        <v>244.7</v>
      </c>
      <c r="E70">
        <v>559.1</v>
      </c>
      <c r="F70">
        <v>65.2</v>
      </c>
      <c r="G70">
        <v>1</v>
      </c>
      <c r="H70">
        <v>30</v>
      </c>
      <c r="I70">
        <v>2</v>
      </c>
      <c r="J70">
        <v>20000</v>
      </c>
      <c r="K70">
        <v>3.5</v>
      </c>
      <c r="L70">
        <v>0</v>
      </c>
      <c r="M70">
        <v>237</v>
      </c>
      <c r="N70">
        <v>10436.299999999999</v>
      </c>
      <c r="O70">
        <v>60902</v>
      </c>
      <c r="P70">
        <v>57.4</v>
      </c>
      <c r="Q70">
        <v>0</v>
      </c>
      <c r="R70">
        <v>61.2</v>
      </c>
      <c r="S70">
        <v>24.1</v>
      </c>
      <c r="T70">
        <v>0</v>
      </c>
      <c r="U70">
        <v>102</v>
      </c>
      <c r="V70">
        <v>0</v>
      </c>
      <c r="W70">
        <v>0</v>
      </c>
      <c r="X70">
        <v>0</v>
      </c>
      <c r="Y70">
        <v>1</v>
      </c>
      <c r="Z70">
        <v>100</v>
      </c>
      <c r="AA70">
        <v>0</v>
      </c>
      <c r="AB70">
        <v>0</v>
      </c>
      <c r="AC70">
        <v>1</v>
      </c>
      <c r="AD70">
        <v>0</v>
      </c>
      <c r="AE70">
        <v>803.8</v>
      </c>
      <c r="AF70">
        <f t="shared" si="0"/>
        <v>360</v>
      </c>
      <c r="AG70">
        <f t="shared" si="1"/>
        <v>123</v>
      </c>
      <c r="AH70">
        <f t="shared" si="2"/>
        <v>2028.25</v>
      </c>
      <c r="AI70">
        <v>12040.138309470618</v>
      </c>
      <c r="AJ70">
        <f>[1]F1XT_1!F69</f>
        <v>12040.138274999999</v>
      </c>
      <c r="AK70">
        <f t="shared" si="3"/>
        <v>-3.447061862971168E-5</v>
      </c>
    </row>
    <row r="71" spans="1:37" x14ac:dyDescent="0.25">
      <c r="A71" t="s">
        <v>39</v>
      </c>
      <c r="B71">
        <v>35</v>
      </c>
      <c r="C71">
        <v>33</v>
      </c>
      <c r="D71">
        <v>342.3</v>
      </c>
      <c r="E71">
        <v>801.8</v>
      </c>
      <c r="F71">
        <v>99.9</v>
      </c>
      <c r="G71">
        <v>1</v>
      </c>
      <c r="H71">
        <v>30</v>
      </c>
      <c r="I71">
        <v>1</v>
      </c>
      <c r="J71">
        <v>30000</v>
      </c>
      <c r="K71">
        <v>3.5</v>
      </c>
      <c r="L71">
        <v>0</v>
      </c>
      <c r="M71">
        <v>238</v>
      </c>
      <c r="N71">
        <v>15732.9</v>
      </c>
      <c r="O71">
        <v>61401</v>
      </c>
      <c r="P71">
        <v>68</v>
      </c>
      <c r="Q71">
        <v>0</v>
      </c>
      <c r="R71">
        <v>90</v>
      </c>
      <c r="S71">
        <v>34.299999999999997</v>
      </c>
      <c r="T71">
        <v>0</v>
      </c>
      <c r="U71">
        <v>150</v>
      </c>
      <c r="V71">
        <v>0</v>
      </c>
      <c r="W71">
        <v>0</v>
      </c>
      <c r="X71">
        <v>0</v>
      </c>
      <c r="Y71">
        <v>2</v>
      </c>
      <c r="Z71">
        <v>100</v>
      </c>
      <c r="AA71">
        <v>0</v>
      </c>
      <c r="AB71">
        <v>1</v>
      </c>
      <c r="AC71">
        <v>1</v>
      </c>
      <c r="AD71">
        <v>0</v>
      </c>
      <c r="AE71">
        <v>1144.0999999999999</v>
      </c>
      <c r="AF71">
        <f t="shared" ref="AF71:AF134" si="4">H71*12</f>
        <v>360</v>
      </c>
      <c r="AG71">
        <f t="shared" ref="AG71:AG134" si="5">AF71-M71</f>
        <v>122</v>
      </c>
      <c r="AH71">
        <f t="shared" ref="AH71:AH134" si="6">2018+AG71/12</f>
        <v>2028.1666666666667</v>
      </c>
      <c r="AI71">
        <v>18069.182158715557</v>
      </c>
      <c r="AJ71">
        <f>[1]F1XT_1!F70</f>
        <v>18069.182201</v>
      </c>
      <c r="AK71">
        <f t="shared" ref="AK71:AK134" si="7">AJ71-AI71</f>
        <v>4.2284442315576598E-5</v>
      </c>
    </row>
    <row r="72" spans="1:37" x14ac:dyDescent="0.25">
      <c r="A72" t="s">
        <v>39</v>
      </c>
      <c r="B72">
        <v>35</v>
      </c>
      <c r="C72">
        <v>43</v>
      </c>
      <c r="D72">
        <v>0</v>
      </c>
      <c r="E72">
        <v>2409</v>
      </c>
      <c r="F72">
        <v>324.60000000000002</v>
      </c>
      <c r="G72">
        <v>1</v>
      </c>
      <c r="H72">
        <v>20</v>
      </c>
      <c r="I72">
        <v>12</v>
      </c>
      <c r="J72">
        <v>50000</v>
      </c>
      <c r="K72">
        <v>3.5</v>
      </c>
      <c r="L72">
        <v>0</v>
      </c>
      <c r="M72">
        <v>238</v>
      </c>
      <c r="N72">
        <v>49386.1</v>
      </c>
      <c r="O72">
        <v>62101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1</v>
      </c>
      <c r="Z72">
        <v>100</v>
      </c>
      <c r="AA72">
        <v>0</v>
      </c>
      <c r="AB72">
        <v>0</v>
      </c>
      <c r="AC72">
        <v>1</v>
      </c>
      <c r="AD72">
        <v>0</v>
      </c>
      <c r="AE72">
        <v>2409</v>
      </c>
      <c r="AF72">
        <f t="shared" si="4"/>
        <v>240</v>
      </c>
      <c r="AG72">
        <f t="shared" si="5"/>
        <v>2</v>
      </c>
      <c r="AH72">
        <f t="shared" si="6"/>
        <v>2018.1666666666667</v>
      </c>
      <c r="AI72">
        <v>49597.224144289641</v>
      </c>
      <c r="AJ72">
        <f>[1]F1XT_1!F71</f>
        <v>49597.224144</v>
      </c>
      <c r="AK72">
        <f t="shared" si="7"/>
        <v>-2.8964132070541382E-7</v>
      </c>
    </row>
    <row r="73" spans="1:37" x14ac:dyDescent="0.25">
      <c r="A73" t="s">
        <v>39</v>
      </c>
      <c r="B73">
        <v>35</v>
      </c>
      <c r="C73">
        <v>36</v>
      </c>
      <c r="D73">
        <v>521.5</v>
      </c>
      <c r="E73">
        <v>1160.5999999999999</v>
      </c>
      <c r="F73">
        <v>136.4</v>
      </c>
      <c r="G73">
        <v>1</v>
      </c>
      <c r="H73">
        <v>30</v>
      </c>
      <c r="I73">
        <v>4</v>
      </c>
      <c r="J73">
        <v>40000</v>
      </c>
      <c r="K73">
        <v>3.5</v>
      </c>
      <c r="L73">
        <v>0</v>
      </c>
      <c r="M73">
        <v>238</v>
      </c>
      <c r="N73">
        <v>21068.3</v>
      </c>
      <c r="O73">
        <v>63201</v>
      </c>
      <c r="P73">
        <v>141.4</v>
      </c>
      <c r="Q73">
        <v>0</v>
      </c>
      <c r="R73">
        <v>123.6</v>
      </c>
      <c r="S73">
        <v>50.5</v>
      </c>
      <c r="T73">
        <v>0</v>
      </c>
      <c r="U73">
        <v>206</v>
      </c>
      <c r="V73">
        <v>0</v>
      </c>
      <c r="W73">
        <v>0</v>
      </c>
      <c r="X73">
        <v>0</v>
      </c>
      <c r="Y73">
        <v>1</v>
      </c>
      <c r="Z73">
        <v>100</v>
      </c>
      <c r="AA73">
        <v>0</v>
      </c>
      <c r="AB73">
        <v>0</v>
      </c>
      <c r="AC73">
        <v>1</v>
      </c>
      <c r="AD73">
        <v>0</v>
      </c>
      <c r="AE73">
        <v>1682.1</v>
      </c>
      <c r="AF73">
        <f t="shared" si="4"/>
        <v>360</v>
      </c>
      <c r="AG73">
        <f t="shared" si="5"/>
        <v>122</v>
      </c>
      <c r="AH73">
        <f t="shared" si="6"/>
        <v>2028.1666666666667</v>
      </c>
      <c r="AI73">
        <v>23720.917632154378</v>
      </c>
      <c r="AJ73">
        <f>[1]F1XT_1!F72</f>
        <v>23720.917518999999</v>
      </c>
      <c r="AK73">
        <f t="shared" si="7"/>
        <v>-1.1315437950543128E-4</v>
      </c>
    </row>
    <row r="74" spans="1:37" x14ac:dyDescent="0.25">
      <c r="A74" t="s">
        <v>39</v>
      </c>
      <c r="B74">
        <v>35</v>
      </c>
      <c r="C74">
        <v>36</v>
      </c>
      <c r="D74">
        <v>479.4</v>
      </c>
      <c r="E74">
        <v>848.3</v>
      </c>
      <c r="F74">
        <v>100.1</v>
      </c>
      <c r="G74">
        <v>1</v>
      </c>
      <c r="H74">
        <v>30</v>
      </c>
      <c r="I74">
        <v>12</v>
      </c>
      <c r="J74">
        <v>30000</v>
      </c>
      <c r="K74">
        <v>3.5</v>
      </c>
      <c r="L74">
        <v>0</v>
      </c>
      <c r="M74">
        <v>238</v>
      </c>
      <c r="N74">
        <v>15737.2</v>
      </c>
      <c r="O74">
        <v>64601</v>
      </c>
      <c r="P74">
        <v>76.3</v>
      </c>
      <c r="Q74">
        <v>0</v>
      </c>
      <c r="R74">
        <v>94.5</v>
      </c>
      <c r="S74">
        <v>36.4</v>
      </c>
      <c r="T74">
        <v>114.7</v>
      </c>
      <c r="U74">
        <v>157.5</v>
      </c>
      <c r="V74">
        <v>0</v>
      </c>
      <c r="W74">
        <v>0</v>
      </c>
      <c r="X74">
        <v>0</v>
      </c>
      <c r="Y74">
        <v>2</v>
      </c>
      <c r="Z74">
        <v>100</v>
      </c>
      <c r="AA74">
        <v>0</v>
      </c>
      <c r="AB74">
        <v>1</v>
      </c>
      <c r="AC74">
        <v>1</v>
      </c>
      <c r="AD74">
        <v>0.443</v>
      </c>
      <c r="AE74">
        <v>1327.7</v>
      </c>
      <c r="AF74">
        <f t="shared" si="4"/>
        <v>360</v>
      </c>
      <c r="AG74">
        <f t="shared" si="5"/>
        <v>122</v>
      </c>
      <c r="AH74">
        <f t="shared" si="6"/>
        <v>2028.1666666666667</v>
      </c>
      <c r="AI74">
        <v>18226.331810450134</v>
      </c>
      <c r="AJ74">
        <f>[1]F1XT_1!F73</f>
        <v>18226.331696000001</v>
      </c>
      <c r="AK74">
        <f t="shared" si="7"/>
        <v>-1.1445013296906836E-4</v>
      </c>
    </row>
    <row r="75" spans="1:37" x14ac:dyDescent="0.25">
      <c r="A75" t="s">
        <v>39</v>
      </c>
      <c r="B75">
        <v>35</v>
      </c>
      <c r="C75">
        <v>36</v>
      </c>
      <c r="D75">
        <v>0</v>
      </c>
      <c r="E75">
        <v>0</v>
      </c>
      <c r="F75">
        <v>68.900000000000006</v>
      </c>
      <c r="G75">
        <v>1</v>
      </c>
      <c r="H75">
        <v>25</v>
      </c>
      <c r="I75">
        <v>1</v>
      </c>
      <c r="J75">
        <v>3064.1</v>
      </c>
      <c r="K75">
        <v>3.5</v>
      </c>
      <c r="L75">
        <v>0</v>
      </c>
      <c r="M75">
        <v>236</v>
      </c>
      <c r="N75">
        <v>2618.6999999999998</v>
      </c>
      <c r="O75">
        <v>64602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2</v>
      </c>
      <c r="Z75">
        <v>100</v>
      </c>
      <c r="AA75">
        <v>0</v>
      </c>
      <c r="AB75">
        <v>1</v>
      </c>
      <c r="AC75">
        <v>1</v>
      </c>
      <c r="AD75">
        <v>0.443</v>
      </c>
      <c r="AE75">
        <v>1805.4</v>
      </c>
      <c r="AF75">
        <f t="shared" si="4"/>
        <v>300</v>
      </c>
      <c r="AG75">
        <f t="shared" si="5"/>
        <v>64</v>
      </c>
      <c r="AH75">
        <f t="shared" si="6"/>
        <v>2023.3333333333333</v>
      </c>
      <c r="AI75">
        <v>3613.5518220540107</v>
      </c>
      <c r="AJ75">
        <f>[1]F1XT_1!F74</f>
        <v>3613.547579</v>
      </c>
      <c r="AK75">
        <f t="shared" si="7"/>
        <v>-4.2430540106579429E-3</v>
      </c>
    </row>
    <row r="76" spans="1:37" x14ac:dyDescent="0.25">
      <c r="A76" t="s">
        <v>39</v>
      </c>
      <c r="B76">
        <v>35</v>
      </c>
      <c r="C76">
        <v>37</v>
      </c>
      <c r="D76">
        <v>885.4</v>
      </c>
      <c r="E76">
        <v>850.9</v>
      </c>
      <c r="F76">
        <v>100.2</v>
      </c>
      <c r="G76">
        <v>1</v>
      </c>
      <c r="H76">
        <v>30</v>
      </c>
      <c r="I76">
        <v>12</v>
      </c>
      <c r="J76">
        <v>30000</v>
      </c>
      <c r="K76">
        <v>3.5</v>
      </c>
      <c r="L76">
        <v>0</v>
      </c>
      <c r="M76">
        <v>238</v>
      </c>
      <c r="N76">
        <v>15737.3</v>
      </c>
      <c r="O76">
        <v>64901</v>
      </c>
      <c r="P76">
        <v>78.3</v>
      </c>
      <c r="Q76">
        <v>0</v>
      </c>
      <c r="R76">
        <v>94.5</v>
      </c>
      <c r="S76">
        <v>37.700000000000003</v>
      </c>
      <c r="T76">
        <v>517.4</v>
      </c>
      <c r="U76">
        <v>157.5</v>
      </c>
      <c r="V76">
        <v>0</v>
      </c>
      <c r="W76">
        <v>0</v>
      </c>
      <c r="X76">
        <v>0</v>
      </c>
      <c r="Y76">
        <v>2</v>
      </c>
      <c r="Z76">
        <v>100</v>
      </c>
      <c r="AA76">
        <v>0</v>
      </c>
      <c r="AB76">
        <v>1</v>
      </c>
      <c r="AC76">
        <v>1</v>
      </c>
      <c r="AD76">
        <v>2</v>
      </c>
      <c r="AE76">
        <v>1736.3</v>
      </c>
      <c r="AF76">
        <f t="shared" si="4"/>
        <v>360</v>
      </c>
      <c r="AG76">
        <f t="shared" si="5"/>
        <v>122</v>
      </c>
      <c r="AH76">
        <f t="shared" si="6"/>
        <v>2028.1666666666667</v>
      </c>
      <c r="AI76">
        <v>18847.194382903563</v>
      </c>
      <c r="AJ76">
        <f>[1]F1XT_1!F75</f>
        <v>18847.194243000002</v>
      </c>
      <c r="AK76">
        <f t="shared" si="7"/>
        <v>-1.3990356092108414E-4</v>
      </c>
    </row>
    <row r="77" spans="1:37" x14ac:dyDescent="0.25">
      <c r="A77" t="s">
        <v>39</v>
      </c>
      <c r="B77">
        <v>35</v>
      </c>
      <c r="C77">
        <v>40</v>
      </c>
      <c r="D77">
        <v>374.1</v>
      </c>
      <c r="E77">
        <v>1066.5999999999999</v>
      </c>
      <c r="F77">
        <v>136.6</v>
      </c>
      <c r="G77">
        <v>1</v>
      </c>
      <c r="H77">
        <v>25</v>
      </c>
      <c r="I77">
        <v>12</v>
      </c>
      <c r="J77">
        <v>30000</v>
      </c>
      <c r="K77">
        <v>3.5</v>
      </c>
      <c r="L77">
        <v>0</v>
      </c>
      <c r="M77">
        <v>238</v>
      </c>
      <c r="N77">
        <v>21117.200000000001</v>
      </c>
      <c r="O77">
        <v>65301</v>
      </c>
      <c r="P77">
        <v>78.8</v>
      </c>
      <c r="Q77">
        <v>0</v>
      </c>
      <c r="R77">
        <v>94.5</v>
      </c>
      <c r="S77">
        <v>43.3</v>
      </c>
      <c r="T77">
        <v>0</v>
      </c>
      <c r="U77">
        <v>157.5</v>
      </c>
      <c r="V77">
        <v>0</v>
      </c>
      <c r="W77">
        <v>0</v>
      </c>
      <c r="X77">
        <v>0</v>
      </c>
      <c r="Y77">
        <v>2</v>
      </c>
      <c r="Z77">
        <v>100</v>
      </c>
      <c r="AA77">
        <v>0</v>
      </c>
      <c r="AB77">
        <v>1</v>
      </c>
      <c r="AC77">
        <v>1</v>
      </c>
      <c r="AD77">
        <v>0</v>
      </c>
      <c r="AE77">
        <v>1440.7</v>
      </c>
      <c r="AF77">
        <f t="shared" si="4"/>
        <v>300</v>
      </c>
      <c r="AG77">
        <f t="shared" si="5"/>
        <v>62</v>
      </c>
      <c r="AH77">
        <f t="shared" si="6"/>
        <v>2023.1666666666667</v>
      </c>
      <c r="AI77">
        <v>23036.253713877941</v>
      </c>
      <c r="AJ77">
        <f>[1]F1XT_1!F76</f>
        <v>23036.253685</v>
      </c>
      <c r="AK77">
        <f t="shared" si="7"/>
        <v>-2.8877941076643765E-5</v>
      </c>
    </row>
    <row r="78" spans="1:37" x14ac:dyDescent="0.25">
      <c r="A78" t="s">
        <v>39</v>
      </c>
      <c r="B78">
        <v>35</v>
      </c>
      <c r="C78">
        <v>38</v>
      </c>
      <c r="D78">
        <v>660.2</v>
      </c>
      <c r="E78">
        <v>1098.0999999999999</v>
      </c>
      <c r="F78">
        <v>137.9</v>
      </c>
      <c r="G78">
        <v>1</v>
      </c>
      <c r="H78">
        <v>25</v>
      </c>
      <c r="I78">
        <v>12</v>
      </c>
      <c r="J78">
        <v>30000</v>
      </c>
      <c r="K78">
        <v>3.5</v>
      </c>
      <c r="L78">
        <v>0</v>
      </c>
      <c r="M78">
        <v>238</v>
      </c>
      <c r="N78">
        <v>21081.3</v>
      </c>
      <c r="O78">
        <v>65901</v>
      </c>
      <c r="P78">
        <v>104.6</v>
      </c>
      <c r="Q78">
        <v>0</v>
      </c>
      <c r="R78">
        <v>94.5</v>
      </c>
      <c r="S78">
        <v>44.9</v>
      </c>
      <c r="T78">
        <v>258.7</v>
      </c>
      <c r="U78">
        <v>157.5</v>
      </c>
      <c r="V78">
        <v>0</v>
      </c>
      <c r="W78">
        <v>0</v>
      </c>
      <c r="X78">
        <v>0</v>
      </c>
      <c r="Y78">
        <v>1</v>
      </c>
      <c r="Z78">
        <v>100</v>
      </c>
      <c r="AA78">
        <v>0</v>
      </c>
      <c r="AB78">
        <v>0</v>
      </c>
      <c r="AC78">
        <v>1</v>
      </c>
      <c r="AD78">
        <v>1</v>
      </c>
      <c r="AE78">
        <v>1758.3</v>
      </c>
      <c r="AF78">
        <f t="shared" si="4"/>
        <v>300</v>
      </c>
      <c r="AG78">
        <f t="shared" si="5"/>
        <v>62</v>
      </c>
      <c r="AH78">
        <f t="shared" si="6"/>
        <v>2023.1666666666667</v>
      </c>
      <c r="AI78">
        <v>22633.957777022959</v>
      </c>
      <c r="AJ78">
        <f>[1]F1XT_1!F77</f>
        <v>22633.957758</v>
      </c>
      <c r="AK78">
        <f t="shared" si="7"/>
        <v>-1.9022958440473303E-5</v>
      </c>
    </row>
    <row r="79" spans="1:37" x14ac:dyDescent="0.25">
      <c r="A79" t="s">
        <v>39</v>
      </c>
      <c r="B79">
        <v>35</v>
      </c>
      <c r="C79">
        <v>36</v>
      </c>
      <c r="D79">
        <v>486.2</v>
      </c>
      <c r="E79">
        <v>1131</v>
      </c>
      <c r="F79">
        <v>133.19999999999999</v>
      </c>
      <c r="G79">
        <v>1</v>
      </c>
      <c r="H79">
        <v>30</v>
      </c>
      <c r="I79">
        <v>12</v>
      </c>
      <c r="J79">
        <v>40000</v>
      </c>
      <c r="K79">
        <v>3.5</v>
      </c>
      <c r="L79">
        <v>0</v>
      </c>
      <c r="M79">
        <v>238</v>
      </c>
      <c r="N79">
        <v>20982.9</v>
      </c>
      <c r="O79">
        <v>66001</v>
      </c>
      <c r="P79">
        <v>101.7</v>
      </c>
      <c r="Q79">
        <v>0</v>
      </c>
      <c r="R79">
        <v>126</v>
      </c>
      <c r="S79">
        <v>48.5</v>
      </c>
      <c r="T79">
        <v>0</v>
      </c>
      <c r="U79">
        <v>210</v>
      </c>
      <c r="V79">
        <v>0</v>
      </c>
      <c r="W79">
        <v>0</v>
      </c>
      <c r="X79">
        <v>0</v>
      </c>
      <c r="Y79">
        <v>2</v>
      </c>
      <c r="Z79">
        <v>100</v>
      </c>
      <c r="AA79">
        <v>0</v>
      </c>
      <c r="AB79">
        <v>1</v>
      </c>
      <c r="AC79">
        <v>1</v>
      </c>
      <c r="AD79">
        <v>0</v>
      </c>
      <c r="AE79">
        <v>1617.2</v>
      </c>
      <c r="AF79">
        <f t="shared" si="4"/>
        <v>360</v>
      </c>
      <c r="AG79">
        <f t="shared" si="5"/>
        <v>122</v>
      </c>
      <c r="AH79">
        <f t="shared" si="6"/>
        <v>2028.1666666666667</v>
      </c>
      <c r="AI79">
        <v>23671.716022376015</v>
      </c>
      <c r="AJ79">
        <f>[1]F1XT_1!F78</f>
        <v>23671.715869</v>
      </c>
      <c r="AK79">
        <f t="shared" si="7"/>
        <v>-1.5337601507781073E-4</v>
      </c>
    </row>
    <row r="80" spans="1:37" x14ac:dyDescent="0.25">
      <c r="A80" t="s">
        <v>39</v>
      </c>
      <c r="B80">
        <v>35</v>
      </c>
      <c r="C80">
        <v>31</v>
      </c>
      <c r="D80">
        <v>615.29999999999995</v>
      </c>
      <c r="E80">
        <v>838.4</v>
      </c>
      <c r="F80">
        <v>99.6</v>
      </c>
      <c r="G80">
        <v>1</v>
      </c>
      <c r="H80">
        <v>30</v>
      </c>
      <c r="I80">
        <v>12</v>
      </c>
      <c r="J80">
        <v>30000</v>
      </c>
      <c r="K80">
        <v>3.5</v>
      </c>
      <c r="L80">
        <v>0</v>
      </c>
      <c r="M80">
        <v>238</v>
      </c>
      <c r="N80">
        <v>15727.7</v>
      </c>
      <c r="O80">
        <v>66101</v>
      </c>
      <c r="P80">
        <v>68.8</v>
      </c>
      <c r="Q80">
        <v>0</v>
      </c>
      <c r="R80">
        <v>94.5</v>
      </c>
      <c r="S80">
        <v>35.799999999999997</v>
      </c>
      <c r="T80">
        <v>258.7</v>
      </c>
      <c r="U80">
        <v>157.5</v>
      </c>
      <c r="V80">
        <v>0</v>
      </c>
      <c r="W80">
        <v>0</v>
      </c>
      <c r="X80">
        <v>0</v>
      </c>
      <c r="Y80">
        <v>2</v>
      </c>
      <c r="Z80">
        <v>100</v>
      </c>
      <c r="AA80">
        <v>0</v>
      </c>
      <c r="AB80">
        <v>1</v>
      </c>
      <c r="AC80">
        <v>1</v>
      </c>
      <c r="AD80">
        <v>1</v>
      </c>
      <c r="AE80">
        <v>1453.7</v>
      </c>
      <c r="AF80">
        <f t="shared" si="4"/>
        <v>360</v>
      </c>
      <c r="AG80">
        <f t="shared" si="5"/>
        <v>122</v>
      </c>
      <c r="AH80">
        <f t="shared" si="6"/>
        <v>2028.1666666666667</v>
      </c>
      <c r="AI80">
        <v>17898.798397867798</v>
      </c>
      <c r="AJ80">
        <f>[1]F1XT_1!F79</f>
        <v>17898.798566000001</v>
      </c>
      <c r="AK80">
        <f t="shared" si="7"/>
        <v>1.6813220281619579E-4</v>
      </c>
    </row>
    <row r="81" spans="1:37" x14ac:dyDescent="0.25">
      <c r="A81" t="s">
        <v>39</v>
      </c>
      <c r="B81">
        <v>35</v>
      </c>
      <c r="C81">
        <v>29</v>
      </c>
      <c r="D81">
        <v>3461.9</v>
      </c>
      <c r="E81">
        <v>2390.6</v>
      </c>
      <c r="F81">
        <v>246.8</v>
      </c>
      <c r="G81">
        <v>1</v>
      </c>
      <c r="H81">
        <v>35</v>
      </c>
      <c r="I81">
        <v>12</v>
      </c>
      <c r="J81">
        <v>100000</v>
      </c>
      <c r="K81">
        <v>3.5</v>
      </c>
      <c r="L81">
        <v>0</v>
      </c>
      <c r="M81">
        <v>237</v>
      </c>
      <c r="N81">
        <v>40268</v>
      </c>
      <c r="O81">
        <v>66901</v>
      </c>
      <c r="P81">
        <v>305</v>
      </c>
      <c r="Q81">
        <v>0</v>
      </c>
      <c r="R81">
        <v>315</v>
      </c>
      <c r="S81">
        <v>109.4</v>
      </c>
      <c r="T81">
        <v>2207.5</v>
      </c>
      <c r="U81">
        <v>525</v>
      </c>
      <c r="V81">
        <v>0</v>
      </c>
      <c r="W81">
        <v>0</v>
      </c>
      <c r="X81">
        <v>0</v>
      </c>
      <c r="Y81">
        <v>1</v>
      </c>
      <c r="Z81">
        <v>100</v>
      </c>
      <c r="AA81">
        <v>0</v>
      </c>
      <c r="AB81">
        <v>0</v>
      </c>
      <c r="AC81">
        <v>1</v>
      </c>
      <c r="AD81">
        <v>2</v>
      </c>
      <c r="AE81">
        <v>5852.5</v>
      </c>
      <c r="AF81">
        <f t="shared" si="4"/>
        <v>420</v>
      </c>
      <c r="AG81">
        <f t="shared" si="5"/>
        <v>183</v>
      </c>
      <c r="AH81">
        <f t="shared" si="6"/>
        <v>2033.25</v>
      </c>
      <c r="AI81">
        <v>47061.543487617302</v>
      </c>
      <c r="AJ81">
        <f>[1]F1XT_1!F80</f>
        <v>47061.542740999997</v>
      </c>
      <c r="AK81">
        <f t="shared" si="7"/>
        <v>-7.4661730468505993E-4</v>
      </c>
    </row>
    <row r="82" spans="1:37" x14ac:dyDescent="0.25">
      <c r="A82" t="s">
        <v>39</v>
      </c>
      <c r="B82">
        <v>35</v>
      </c>
      <c r="C82">
        <v>37</v>
      </c>
      <c r="D82">
        <v>539</v>
      </c>
      <c r="E82">
        <v>1192</v>
      </c>
      <c r="F82">
        <v>134</v>
      </c>
      <c r="G82">
        <v>1</v>
      </c>
      <c r="H82">
        <v>30</v>
      </c>
      <c r="I82">
        <v>12</v>
      </c>
      <c r="J82">
        <v>40000</v>
      </c>
      <c r="K82">
        <v>3.5</v>
      </c>
      <c r="L82">
        <v>0</v>
      </c>
      <c r="M82">
        <v>237</v>
      </c>
      <c r="N82">
        <v>20955.2</v>
      </c>
      <c r="O82">
        <v>69101</v>
      </c>
      <c r="P82">
        <v>151</v>
      </c>
      <c r="Q82">
        <v>0</v>
      </c>
      <c r="R82">
        <v>126</v>
      </c>
      <c r="S82">
        <v>52</v>
      </c>
      <c r="T82">
        <v>0</v>
      </c>
      <c r="U82">
        <v>210</v>
      </c>
      <c r="V82">
        <v>0</v>
      </c>
      <c r="W82">
        <v>0</v>
      </c>
      <c r="X82">
        <v>0</v>
      </c>
      <c r="Y82">
        <v>1</v>
      </c>
      <c r="Z82">
        <v>100</v>
      </c>
      <c r="AA82">
        <v>0</v>
      </c>
      <c r="AB82">
        <v>0</v>
      </c>
      <c r="AC82">
        <v>1</v>
      </c>
      <c r="AD82">
        <v>0</v>
      </c>
      <c r="AE82">
        <v>1731</v>
      </c>
      <c r="AF82">
        <f t="shared" si="4"/>
        <v>360</v>
      </c>
      <c r="AG82">
        <f t="shared" si="5"/>
        <v>123</v>
      </c>
      <c r="AH82">
        <f t="shared" si="6"/>
        <v>2028.25</v>
      </c>
      <c r="AI82">
        <v>23367.246606201148</v>
      </c>
      <c r="AJ82">
        <f>[1]F1XT_1!F81</f>
        <v>23367.246531000001</v>
      </c>
      <c r="AK82">
        <f t="shared" si="7"/>
        <v>-7.5201147410552949E-5</v>
      </c>
    </row>
    <row r="83" spans="1:37" x14ac:dyDescent="0.25">
      <c r="A83" t="s">
        <v>39</v>
      </c>
      <c r="B83">
        <v>35</v>
      </c>
      <c r="C83">
        <v>42</v>
      </c>
      <c r="D83">
        <v>0</v>
      </c>
      <c r="E83">
        <v>1437.7</v>
      </c>
      <c r="F83">
        <v>190.3</v>
      </c>
      <c r="G83">
        <v>1</v>
      </c>
      <c r="H83">
        <v>20</v>
      </c>
      <c r="I83">
        <v>12</v>
      </c>
      <c r="J83">
        <v>30000</v>
      </c>
      <c r="K83">
        <v>3.5</v>
      </c>
      <c r="L83">
        <v>0</v>
      </c>
      <c r="M83">
        <v>237</v>
      </c>
      <c r="N83">
        <v>29449.200000000001</v>
      </c>
      <c r="O83">
        <v>69401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1</v>
      </c>
      <c r="Z83">
        <v>100</v>
      </c>
      <c r="AA83">
        <v>0</v>
      </c>
      <c r="AB83">
        <v>0</v>
      </c>
      <c r="AC83">
        <v>1</v>
      </c>
      <c r="AD83">
        <v>0</v>
      </c>
      <c r="AE83">
        <v>1437.7</v>
      </c>
      <c r="AF83">
        <f t="shared" si="4"/>
        <v>240</v>
      </c>
      <c r="AG83">
        <f t="shared" si="5"/>
        <v>3</v>
      </c>
      <c r="AH83">
        <f t="shared" si="6"/>
        <v>2018.25</v>
      </c>
      <c r="AI83">
        <v>29620.917204279172</v>
      </c>
      <c r="AJ83">
        <f>[1]F1XT_1!F82</f>
        <v>29620.917204000001</v>
      </c>
      <c r="AK83">
        <f t="shared" si="7"/>
        <v>-2.7917121769860387E-7</v>
      </c>
    </row>
    <row r="84" spans="1:37" x14ac:dyDescent="0.25">
      <c r="A84" t="s">
        <v>39</v>
      </c>
      <c r="B84">
        <v>35</v>
      </c>
      <c r="C84">
        <v>33</v>
      </c>
      <c r="D84">
        <v>233.1</v>
      </c>
      <c r="E84">
        <v>452.2</v>
      </c>
      <c r="F84">
        <v>49.2</v>
      </c>
      <c r="G84">
        <v>1</v>
      </c>
      <c r="H84">
        <v>35</v>
      </c>
      <c r="I84">
        <v>2</v>
      </c>
      <c r="J84">
        <v>20000</v>
      </c>
      <c r="K84">
        <v>3.5</v>
      </c>
      <c r="L84">
        <v>0</v>
      </c>
      <c r="M84">
        <v>237</v>
      </c>
      <c r="N84">
        <v>8007.3</v>
      </c>
      <c r="O84">
        <v>70901</v>
      </c>
      <c r="P84">
        <v>49.3</v>
      </c>
      <c r="Q84">
        <v>0</v>
      </c>
      <c r="R84">
        <v>61.2</v>
      </c>
      <c r="S84">
        <v>20.6</v>
      </c>
      <c r="T84">
        <v>0</v>
      </c>
      <c r="U84">
        <v>102</v>
      </c>
      <c r="V84">
        <v>0</v>
      </c>
      <c r="W84">
        <v>0</v>
      </c>
      <c r="X84">
        <v>0</v>
      </c>
      <c r="Y84">
        <v>2</v>
      </c>
      <c r="Z84">
        <v>100</v>
      </c>
      <c r="AA84">
        <v>0</v>
      </c>
      <c r="AB84">
        <v>1</v>
      </c>
      <c r="AC84">
        <v>1</v>
      </c>
      <c r="AD84">
        <v>0</v>
      </c>
      <c r="AE84">
        <v>685.3</v>
      </c>
      <c r="AF84">
        <f t="shared" si="4"/>
        <v>420</v>
      </c>
      <c r="AG84">
        <f t="shared" si="5"/>
        <v>183</v>
      </c>
      <c r="AH84">
        <f t="shared" si="6"/>
        <v>2033.25</v>
      </c>
      <c r="AI84">
        <v>10393.93690327655</v>
      </c>
      <c r="AJ84">
        <f>[1]F1XT_1!F83</f>
        <v>10393.93684</v>
      </c>
      <c r="AK84">
        <f t="shared" si="7"/>
        <v>-6.3276549553847872E-5</v>
      </c>
    </row>
    <row r="85" spans="1:37" x14ac:dyDescent="0.25">
      <c r="A85" t="s">
        <v>39</v>
      </c>
      <c r="B85">
        <v>35</v>
      </c>
      <c r="C85">
        <v>43</v>
      </c>
      <c r="D85">
        <v>0</v>
      </c>
      <c r="E85">
        <v>948.5</v>
      </c>
      <c r="F85">
        <v>113.7</v>
      </c>
      <c r="G85">
        <v>1</v>
      </c>
      <c r="H85">
        <v>25</v>
      </c>
      <c r="I85">
        <v>12</v>
      </c>
      <c r="J85">
        <v>25000</v>
      </c>
      <c r="K85">
        <v>3.5</v>
      </c>
      <c r="L85">
        <v>0</v>
      </c>
      <c r="M85">
        <v>237</v>
      </c>
      <c r="N85">
        <v>17408.599999999999</v>
      </c>
      <c r="O85">
        <v>74401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1</v>
      </c>
      <c r="Z85">
        <v>100</v>
      </c>
      <c r="AA85">
        <v>0</v>
      </c>
      <c r="AB85">
        <v>0</v>
      </c>
      <c r="AC85">
        <v>1</v>
      </c>
      <c r="AD85">
        <v>0</v>
      </c>
      <c r="AE85">
        <v>948.5</v>
      </c>
      <c r="AF85">
        <f t="shared" si="4"/>
        <v>300</v>
      </c>
      <c r="AG85">
        <f t="shared" si="5"/>
        <v>63</v>
      </c>
      <c r="AH85">
        <f t="shared" si="6"/>
        <v>2023.25</v>
      </c>
      <c r="AI85">
        <v>19254.460183380917</v>
      </c>
      <c r="AJ85">
        <f>[1]F1XT_1!F84</f>
        <v>19254.460204999999</v>
      </c>
      <c r="AK85">
        <f t="shared" si="7"/>
        <v>2.161908196285367E-5</v>
      </c>
    </row>
    <row r="86" spans="1:37" x14ac:dyDescent="0.25">
      <c r="A86" t="s">
        <v>39</v>
      </c>
      <c r="B86">
        <v>35</v>
      </c>
      <c r="C86">
        <v>37</v>
      </c>
      <c r="D86">
        <v>183.6</v>
      </c>
      <c r="E86">
        <v>425.3</v>
      </c>
      <c r="F86">
        <v>49</v>
      </c>
      <c r="G86">
        <v>1</v>
      </c>
      <c r="H86">
        <v>30</v>
      </c>
      <c r="I86">
        <v>12</v>
      </c>
      <c r="J86">
        <v>15000</v>
      </c>
      <c r="K86">
        <v>3.5</v>
      </c>
      <c r="L86">
        <v>0</v>
      </c>
      <c r="M86">
        <v>237</v>
      </c>
      <c r="N86">
        <v>7821</v>
      </c>
      <c r="O86">
        <v>76001</v>
      </c>
      <c r="P86">
        <v>39.200000000000003</v>
      </c>
      <c r="Q86">
        <v>0</v>
      </c>
      <c r="R86">
        <v>47.3</v>
      </c>
      <c r="S86">
        <v>18.3</v>
      </c>
      <c r="T86">
        <v>0</v>
      </c>
      <c r="U86">
        <v>78.8</v>
      </c>
      <c r="V86">
        <v>0</v>
      </c>
      <c r="W86">
        <v>0</v>
      </c>
      <c r="X86">
        <v>0</v>
      </c>
      <c r="Y86">
        <v>2</v>
      </c>
      <c r="Z86">
        <v>100</v>
      </c>
      <c r="AA86">
        <v>0</v>
      </c>
      <c r="AB86">
        <v>1</v>
      </c>
      <c r="AC86">
        <v>1</v>
      </c>
      <c r="AD86">
        <v>0</v>
      </c>
      <c r="AE86">
        <v>608.9</v>
      </c>
      <c r="AF86">
        <f t="shared" si="4"/>
        <v>360</v>
      </c>
      <c r="AG86">
        <f t="shared" si="5"/>
        <v>123</v>
      </c>
      <c r="AH86">
        <f t="shared" si="6"/>
        <v>2028.25</v>
      </c>
      <c r="AI86">
        <v>9703.2165475437832</v>
      </c>
      <c r="AJ86">
        <f>[1]F1XT_1!F85</f>
        <v>9703.2164769999999</v>
      </c>
      <c r="AK86">
        <f t="shared" si="7"/>
        <v>-7.0543783294851892E-5</v>
      </c>
    </row>
    <row r="87" spans="1:37" x14ac:dyDescent="0.25">
      <c r="A87" t="s">
        <v>39</v>
      </c>
      <c r="B87">
        <v>35</v>
      </c>
      <c r="C87">
        <v>38</v>
      </c>
      <c r="D87">
        <v>205.2</v>
      </c>
      <c r="E87">
        <v>450.7</v>
      </c>
      <c r="F87">
        <v>50.6</v>
      </c>
      <c r="G87">
        <v>1</v>
      </c>
      <c r="H87">
        <v>30</v>
      </c>
      <c r="I87">
        <v>12</v>
      </c>
      <c r="J87">
        <v>15000</v>
      </c>
      <c r="K87">
        <v>3.5</v>
      </c>
      <c r="L87">
        <v>0</v>
      </c>
      <c r="M87">
        <v>237</v>
      </c>
      <c r="N87">
        <v>7862.6</v>
      </c>
      <c r="O87">
        <v>76201</v>
      </c>
      <c r="P87">
        <v>59.5</v>
      </c>
      <c r="Q87">
        <v>0</v>
      </c>
      <c r="R87">
        <v>47.3</v>
      </c>
      <c r="S87">
        <v>19.600000000000001</v>
      </c>
      <c r="T87">
        <v>0</v>
      </c>
      <c r="U87">
        <v>78.8</v>
      </c>
      <c r="V87">
        <v>0</v>
      </c>
      <c r="W87">
        <v>0</v>
      </c>
      <c r="X87">
        <v>0</v>
      </c>
      <c r="Y87">
        <v>1</v>
      </c>
      <c r="Z87">
        <v>100</v>
      </c>
      <c r="AA87">
        <v>0</v>
      </c>
      <c r="AB87">
        <v>0</v>
      </c>
      <c r="AC87">
        <v>1</v>
      </c>
      <c r="AD87">
        <v>0</v>
      </c>
      <c r="AE87">
        <v>655.9</v>
      </c>
      <c r="AF87">
        <f t="shared" si="4"/>
        <v>360</v>
      </c>
      <c r="AG87">
        <f t="shared" si="5"/>
        <v>123</v>
      </c>
      <c r="AH87">
        <f t="shared" si="6"/>
        <v>2028.25</v>
      </c>
      <c r="AI87">
        <v>9630.6157423995537</v>
      </c>
      <c r="AJ87">
        <f>[1]F1XT_1!F86</f>
        <v>9630.6157309999999</v>
      </c>
      <c r="AK87">
        <f t="shared" si="7"/>
        <v>-1.139955384132918E-5</v>
      </c>
    </row>
    <row r="88" spans="1:37" x14ac:dyDescent="0.25">
      <c r="A88" t="s">
        <v>39</v>
      </c>
      <c r="B88">
        <v>35</v>
      </c>
      <c r="C88">
        <v>32</v>
      </c>
      <c r="D88">
        <v>122.1</v>
      </c>
      <c r="E88">
        <v>1395.7</v>
      </c>
      <c r="F88">
        <v>189.5</v>
      </c>
      <c r="G88">
        <v>1</v>
      </c>
      <c r="H88">
        <v>20</v>
      </c>
      <c r="I88">
        <v>12</v>
      </c>
      <c r="J88">
        <v>30000</v>
      </c>
      <c r="K88">
        <v>3.5</v>
      </c>
      <c r="L88">
        <v>0</v>
      </c>
      <c r="M88">
        <v>237</v>
      </c>
      <c r="N88">
        <v>29458.9</v>
      </c>
      <c r="O88">
        <v>80001</v>
      </c>
      <c r="P88">
        <v>76.5</v>
      </c>
      <c r="Q88">
        <v>0</v>
      </c>
      <c r="R88">
        <v>0</v>
      </c>
      <c r="S88">
        <v>45.6</v>
      </c>
      <c r="T88">
        <v>0</v>
      </c>
      <c r="U88">
        <v>0</v>
      </c>
      <c r="V88">
        <v>0</v>
      </c>
      <c r="W88">
        <v>0</v>
      </c>
      <c r="X88">
        <v>0</v>
      </c>
      <c r="Y88">
        <v>1</v>
      </c>
      <c r="Z88">
        <v>100</v>
      </c>
      <c r="AA88">
        <v>0</v>
      </c>
      <c r="AB88">
        <v>0</v>
      </c>
      <c r="AC88">
        <v>1</v>
      </c>
      <c r="AD88">
        <v>0</v>
      </c>
      <c r="AE88">
        <v>1517.8</v>
      </c>
      <c r="AF88">
        <f t="shared" si="4"/>
        <v>240</v>
      </c>
      <c r="AG88">
        <f t="shared" si="5"/>
        <v>3</v>
      </c>
      <c r="AH88">
        <f t="shared" si="6"/>
        <v>2018.25</v>
      </c>
      <c r="AI88">
        <v>29610.134823447461</v>
      </c>
      <c r="AJ88">
        <f>[1]F1XT_1!F87</f>
        <v>29610.134823</v>
      </c>
      <c r="AK88">
        <f t="shared" si="7"/>
        <v>-4.4746047933585942E-7</v>
      </c>
    </row>
    <row r="89" spans="1:37" x14ac:dyDescent="0.25">
      <c r="A89" t="s">
        <v>39</v>
      </c>
      <c r="B89">
        <v>35</v>
      </c>
      <c r="C89">
        <v>30</v>
      </c>
      <c r="D89">
        <v>473.8</v>
      </c>
      <c r="E89">
        <v>1115.8</v>
      </c>
      <c r="F89">
        <v>129.69999999999999</v>
      </c>
      <c r="G89">
        <v>1</v>
      </c>
      <c r="H89">
        <v>30</v>
      </c>
      <c r="I89">
        <v>12</v>
      </c>
      <c r="J89">
        <v>40000</v>
      </c>
      <c r="K89">
        <v>3.5</v>
      </c>
      <c r="L89">
        <v>0</v>
      </c>
      <c r="M89">
        <v>237</v>
      </c>
      <c r="N89">
        <v>20838.900000000001</v>
      </c>
      <c r="O89">
        <v>80601</v>
      </c>
      <c r="P89">
        <v>90.1</v>
      </c>
      <c r="Q89">
        <v>0</v>
      </c>
      <c r="R89">
        <v>126</v>
      </c>
      <c r="S89">
        <v>47.7</v>
      </c>
      <c r="T89">
        <v>0</v>
      </c>
      <c r="U89">
        <v>210</v>
      </c>
      <c r="V89">
        <v>0</v>
      </c>
      <c r="W89">
        <v>0</v>
      </c>
      <c r="X89">
        <v>0</v>
      </c>
      <c r="Y89">
        <v>2</v>
      </c>
      <c r="Z89">
        <v>100</v>
      </c>
      <c r="AA89">
        <v>0</v>
      </c>
      <c r="AB89">
        <v>1</v>
      </c>
      <c r="AC89">
        <v>1</v>
      </c>
      <c r="AD89">
        <v>0</v>
      </c>
      <c r="AE89">
        <v>1589.6</v>
      </c>
      <c r="AF89">
        <f t="shared" si="4"/>
        <v>360</v>
      </c>
      <c r="AG89">
        <f t="shared" si="5"/>
        <v>123</v>
      </c>
      <c r="AH89">
        <f t="shared" si="6"/>
        <v>2028.25</v>
      </c>
      <c r="AI89">
        <v>22477.5321662446</v>
      </c>
      <c r="AJ89">
        <f>[1]F1XT_1!F88</f>
        <v>22477.532412</v>
      </c>
      <c r="AK89">
        <f t="shared" si="7"/>
        <v>2.4575540010118857E-4</v>
      </c>
    </row>
    <row r="90" spans="1:37" x14ac:dyDescent="0.25">
      <c r="A90" t="s">
        <v>39</v>
      </c>
      <c r="B90">
        <v>35</v>
      </c>
      <c r="C90">
        <v>29</v>
      </c>
      <c r="D90">
        <v>354.2</v>
      </c>
      <c r="E90">
        <v>835.5</v>
      </c>
      <c r="F90">
        <v>97.4</v>
      </c>
      <c r="G90">
        <v>1</v>
      </c>
      <c r="H90">
        <v>30</v>
      </c>
      <c r="I90">
        <v>12</v>
      </c>
      <c r="J90">
        <v>30000</v>
      </c>
      <c r="K90">
        <v>3.5</v>
      </c>
      <c r="L90">
        <v>0</v>
      </c>
      <c r="M90">
        <v>237</v>
      </c>
      <c r="N90">
        <v>15627.3</v>
      </c>
      <c r="O90">
        <v>81301</v>
      </c>
      <c r="P90">
        <v>66.5</v>
      </c>
      <c r="Q90">
        <v>0</v>
      </c>
      <c r="R90">
        <v>94.5</v>
      </c>
      <c r="S90">
        <v>35.700000000000003</v>
      </c>
      <c r="T90">
        <v>0</v>
      </c>
      <c r="U90">
        <v>157.5</v>
      </c>
      <c r="V90">
        <v>0</v>
      </c>
      <c r="W90">
        <v>0</v>
      </c>
      <c r="X90">
        <v>0</v>
      </c>
      <c r="Y90">
        <v>2</v>
      </c>
      <c r="Z90">
        <v>100</v>
      </c>
      <c r="AA90">
        <v>0</v>
      </c>
      <c r="AB90">
        <v>1</v>
      </c>
      <c r="AC90">
        <v>1</v>
      </c>
      <c r="AD90">
        <v>0</v>
      </c>
      <c r="AE90">
        <v>1189.7</v>
      </c>
      <c r="AF90">
        <f t="shared" si="4"/>
        <v>360</v>
      </c>
      <c r="AG90">
        <f t="shared" si="5"/>
        <v>123</v>
      </c>
      <c r="AH90">
        <f t="shared" si="6"/>
        <v>2028.25</v>
      </c>
      <c r="AI90">
        <v>17180.404655381208</v>
      </c>
      <c r="AJ90">
        <f>[1]F1XT_1!F89</f>
        <v>17180.404824000001</v>
      </c>
      <c r="AK90">
        <f t="shared" si="7"/>
        <v>1.6861879339558072E-4</v>
      </c>
    </row>
    <row r="91" spans="1:37" x14ac:dyDescent="0.25">
      <c r="A91" t="s">
        <v>39</v>
      </c>
      <c r="B91">
        <v>35</v>
      </c>
      <c r="C91">
        <v>35</v>
      </c>
      <c r="D91">
        <v>678.2</v>
      </c>
      <c r="E91">
        <v>881.5</v>
      </c>
      <c r="F91">
        <v>99.6</v>
      </c>
      <c r="G91">
        <v>1</v>
      </c>
      <c r="H91">
        <v>30</v>
      </c>
      <c r="I91">
        <v>12</v>
      </c>
      <c r="J91">
        <v>30000</v>
      </c>
      <c r="K91">
        <v>3.5</v>
      </c>
      <c r="L91">
        <v>0</v>
      </c>
      <c r="M91">
        <v>237</v>
      </c>
      <c r="N91">
        <v>15697.4</v>
      </c>
      <c r="O91">
        <v>81601</v>
      </c>
      <c r="P91">
        <v>103.4</v>
      </c>
      <c r="Q91">
        <v>0</v>
      </c>
      <c r="R91">
        <v>94.5</v>
      </c>
      <c r="S91">
        <v>38.200000000000003</v>
      </c>
      <c r="T91">
        <v>284.60000000000002</v>
      </c>
      <c r="U91">
        <v>157.5</v>
      </c>
      <c r="V91">
        <v>0</v>
      </c>
      <c r="W91">
        <v>0</v>
      </c>
      <c r="X91">
        <v>0</v>
      </c>
      <c r="Y91">
        <v>1</v>
      </c>
      <c r="Z91">
        <v>100</v>
      </c>
      <c r="AA91">
        <v>0</v>
      </c>
      <c r="AB91">
        <v>0</v>
      </c>
      <c r="AC91">
        <v>1</v>
      </c>
      <c r="AD91">
        <v>1.1000000000000001</v>
      </c>
      <c r="AE91">
        <v>1559.7</v>
      </c>
      <c r="AF91">
        <f t="shared" si="4"/>
        <v>360</v>
      </c>
      <c r="AG91">
        <f t="shared" si="5"/>
        <v>123</v>
      </c>
      <c r="AH91">
        <f t="shared" si="6"/>
        <v>2028.25</v>
      </c>
      <c r="AI91">
        <v>17967.212604204356</v>
      </c>
      <c r="AJ91">
        <f>[1]F1XT_1!F90</f>
        <v>17967.212513999999</v>
      </c>
      <c r="AK91">
        <f t="shared" si="7"/>
        <v>-9.0204357547918335E-5</v>
      </c>
    </row>
    <row r="92" spans="1:37" x14ac:dyDescent="0.25">
      <c r="A92" t="s">
        <v>39</v>
      </c>
      <c r="B92">
        <v>35</v>
      </c>
      <c r="C92">
        <v>33</v>
      </c>
      <c r="D92">
        <v>2636</v>
      </c>
      <c r="E92">
        <v>1841.9</v>
      </c>
      <c r="F92">
        <v>190.4</v>
      </c>
      <c r="G92">
        <v>1</v>
      </c>
      <c r="H92">
        <v>35</v>
      </c>
      <c r="I92">
        <v>12</v>
      </c>
      <c r="J92">
        <v>75000</v>
      </c>
      <c r="K92">
        <v>3.5</v>
      </c>
      <c r="L92">
        <v>0</v>
      </c>
      <c r="M92">
        <v>237</v>
      </c>
      <c r="N92">
        <v>30524.400000000001</v>
      </c>
      <c r="O92">
        <v>81901</v>
      </c>
      <c r="P92">
        <v>267.39999999999998</v>
      </c>
      <c r="Q92">
        <v>0</v>
      </c>
      <c r="R92">
        <v>236.3</v>
      </c>
      <c r="S92">
        <v>84.7</v>
      </c>
      <c r="T92">
        <v>1653.8</v>
      </c>
      <c r="U92">
        <v>393.8</v>
      </c>
      <c r="V92">
        <v>0</v>
      </c>
      <c r="W92">
        <v>0</v>
      </c>
      <c r="X92">
        <v>0</v>
      </c>
      <c r="Y92">
        <v>1</v>
      </c>
      <c r="Z92">
        <v>100</v>
      </c>
      <c r="AA92">
        <v>0</v>
      </c>
      <c r="AB92">
        <v>0</v>
      </c>
      <c r="AC92">
        <v>1</v>
      </c>
      <c r="AD92">
        <v>2</v>
      </c>
      <c r="AE92">
        <v>4477.8999999999996</v>
      </c>
      <c r="AF92">
        <f t="shared" si="4"/>
        <v>420</v>
      </c>
      <c r="AG92">
        <f t="shared" si="5"/>
        <v>183</v>
      </c>
      <c r="AH92">
        <f t="shared" si="6"/>
        <v>2033.25</v>
      </c>
      <c r="AI92">
        <v>35787.269012685749</v>
      </c>
      <c r="AJ92">
        <f>[1]F1XT_1!F91</f>
        <v>35787.268746000002</v>
      </c>
      <c r="AK92">
        <f t="shared" si="7"/>
        <v>-2.6668574719224125E-4</v>
      </c>
    </row>
    <row r="93" spans="1:37" x14ac:dyDescent="0.25">
      <c r="A93" t="s">
        <v>39</v>
      </c>
      <c r="B93">
        <v>35</v>
      </c>
      <c r="C93">
        <v>32</v>
      </c>
      <c r="D93">
        <v>0</v>
      </c>
      <c r="E93">
        <v>0</v>
      </c>
      <c r="F93">
        <v>128</v>
      </c>
      <c r="G93">
        <v>1</v>
      </c>
      <c r="H93">
        <v>20</v>
      </c>
      <c r="I93">
        <v>1</v>
      </c>
      <c r="J93">
        <v>4889.6000000000004</v>
      </c>
      <c r="K93">
        <v>3.5</v>
      </c>
      <c r="L93">
        <v>0</v>
      </c>
      <c r="M93">
        <v>237</v>
      </c>
      <c r="N93">
        <v>4853.5</v>
      </c>
      <c r="O93">
        <v>82001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100</v>
      </c>
      <c r="AA93">
        <v>0</v>
      </c>
      <c r="AB93">
        <v>0</v>
      </c>
      <c r="AC93">
        <v>1</v>
      </c>
      <c r="AD93">
        <v>2</v>
      </c>
      <c r="AE93">
        <v>2677.5</v>
      </c>
      <c r="AF93">
        <f t="shared" si="4"/>
        <v>240</v>
      </c>
      <c r="AG93">
        <f t="shared" si="5"/>
        <v>3</v>
      </c>
      <c r="AH93">
        <f t="shared" si="6"/>
        <v>2018.25</v>
      </c>
      <c r="AI93">
        <v>5014.6164015009017</v>
      </c>
      <c r="AJ93">
        <f>[1]F1XT_1!F92</f>
        <v>5014.6163969999998</v>
      </c>
      <c r="AK93">
        <f t="shared" si="7"/>
        <v>-4.5009019231656566E-6</v>
      </c>
    </row>
    <row r="94" spans="1:37" x14ac:dyDescent="0.25">
      <c r="A94" t="s">
        <v>39</v>
      </c>
      <c r="B94">
        <v>35</v>
      </c>
      <c r="C94">
        <v>28</v>
      </c>
      <c r="D94">
        <v>351.5</v>
      </c>
      <c r="E94">
        <v>688.5</v>
      </c>
      <c r="F94">
        <v>73.3</v>
      </c>
      <c r="G94">
        <v>1</v>
      </c>
      <c r="H94">
        <v>35</v>
      </c>
      <c r="I94">
        <v>12</v>
      </c>
      <c r="J94">
        <v>30000</v>
      </c>
      <c r="K94">
        <v>3.5</v>
      </c>
      <c r="L94">
        <v>0</v>
      </c>
      <c r="M94">
        <v>237</v>
      </c>
      <c r="N94">
        <v>11967.3</v>
      </c>
      <c r="O94">
        <v>82401</v>
      </c>
      <c r="P94">
        <v>68.3</v>
      </c>
      <c r="Q94">
        <v>0</v>
      </c>
      <c r="R94">
        <v>94.5</v>
      </c>
      <c r="S94">
        <v>31.2</v>
      </c>
      <c r="T94">
        <v>0</v>
      </c>
      <c r="U94">
        <v>157.5</v>
      </c>
      <c r="V94">
        <v>0</v>
      </c>
      <c r="W94">
        <v>0</v>
      </c>
      <c r="X94">
        <v>0</v>
      </c>
      <c r="Y94">
        <v>2</v>
      </c>
      <c r="Z94">
        <v>100</v>
      </c>
      <c r="AA94">
        <v>0</v>
      </c>
      <c r="AB94">
        <v>1</v>
      </c>
      <c r="AC94">
        <v>1</v>
      </c>
      <c r="AD94">
        <v>0</v>
      </c>
      <c r="AE94">
        <v>1040</v>
      </c>
      <c r="AF94">
        <f t="shared" si="4"/>
        <v>420</v>
      </c>
      <c r="AG94">
        <f t="shared" si="5"/>
        <v>183</v>
      </c>
      <c r="AH94">
        <f t="shared" si="6"/>
        <v>2033.25</v>
      </c>
      <c r="AI94">
        <v>13616.874745557785</v>
      </c>
      <c r="AJ94">
        <f>[1]F1XT_1!F93</f>
        <v>13616.874973</v>
      </c>
      <c r="AK94">
        <f t="shared" si="7"/>
        <v>2.2744221496395767E-4</v>
      </c>
    </row>
    <row r="95" spans="1:37" x14ac:dyDescent="0.25">
      <c r="A95" t="s">
        <v>39</v>
      </c>
      <c r="B95">
        <v>35</v>
      </c>
      <c r="C95">
        <v>40</v>
      </c>
      <c r="D95">
        <v>249.3</v>
      </c>
      <c r="E95">
        <v>711.1</v>
      </c>
      <c r="F95">
        <v>87.1</v>
      </c>
      <c r="G95">
        <v>1</v>
      </c>
      <c r="H95">
        <v>25</v>
      </c>
      <c r="I95">
        <v>12</v>
      </c>
      <c r="J95">
        <v>20000</v>
      </c>
      <c r="K95">
        <v>3.5</v>
      </c>
      <c r="L95">
        <v>0</v>
      </c>
      <c r="M95">
        <v>236</v>
      </c>
      <c r="N95">
        <v>13907.5</v>
      </c>
      <c r="O95">
        <v>84601</v>
      </c>
      <c r="P95">
        <v>52.5</v>
      </c>
      <c r="Q95">
        <v>0</v>
      </c>
      <c r="R95">
        <v>63</v>
      </c>
      <c r="S95">
        <v>28.8</v>
      </c>
      <c r="T95">
        <v>0</v>
      </c>
      <c r="U95">
        <v>105</v>
      </c>
      <c r="V95">
        <v>0</v>
      </c>
      <c r="W95">
        <v>0</v>
      </c>
      <c r="X95">
        <v>0</v>
      </c>
      <c r="Y95">
        <v>2</v>
      </c>
      <c r="Z95">
        <v>100</v>
      </c>
      <c r="AA95">
        <v>0</v>
      </c>
      <c r="AB95">
        <v>1</v>
      </c>
      <c r="AC95">
        <v>1</v>
      </c>
      <c r="AD95">
        <v>0</v>
      </c>
      <c r="AE95">
        <v>960.4</v>
      </c>
      <c r="AF95">
        <f t="shared" si="4"/>
        <v>300</v>
      </c>
      <c r="AG95">
        <f t="shared" si="5"/>
        <v>64</v>
      </c>
      <c r="AH95">
        <f t="shared" si="6"/>
        <v>2023.3333333333333</v>
      </c>
      <c r="AI95">
        <v>15432.319178416143</v>
      </c>
      <c r="AJ95">
        <f>[1]F1XT_1!F94</f>
        <v>15432.319157</v>
      </c>
      <c r="AK95">
        <f t="shared" si="7"/>
        <v>-2.141614277206827E-5</v>
      </c>
    </row>
    <row r="96" spans="1:37" x14ac:dyDescent="0.25">
      <c r="A96" t="s">
        <v>39</v>
      </c>
      <c r="B96">
        <v>35</v>
      </c>
      <c r="C96">
        <v>41</v>
      </c>
      <c r="D96">
        <v>279.39999999999998</v>
      </c>
      <c r="E96">
        <v>746.5</v>
      </c>
      <c r="F96">
        <v>88.3</v>
      </c>
      <c r="G96">
        <v>1</v>
      </c>
      <c r="H96">
        <v>25</v>
      </c>
      <c r="I96">
        <v>12</v>
      </c>
      <c r="J96">
        <v>20000</v>
      </c>
      <c r="K96">
        <v>3.5</v>
      </c>
      <c r="L96">
        <v>0</v>
      </c>
      <c r="M96">
        <v>236</v>
      </c>
      <c r="N96">
        <v>13863</v>
      </c>
      <c r="O96">
        <v>84901</v>
      </c>
      <c r="P96">
        <v>80.599999999999994</v>
      </c>
      <c r="Q96">
        <v>0</v>
      </c>
      <c r="R96">
        <v>63</v>
      </c>
      <c r="S96">
        <v>30.8</v>
      </c>
      <c r="T96">
        <v>0</v>
      </c>
      <c r="U96">
        <v>105</v>
      </c>
      <c r="V96">
        <v>0</v>
      </c>
      <c r="W96">
        <v>0</v>
      </c>
      <c r="X96">
        <v>0</v>
      </c>
      <c r="Y96">
        <v>1</v>
      </c>
      <c r="Z96">
        <v>100</v>
      </c>
      <c r="AA96">
        <v>0</v>
      </c>
      <c r="AB96">
        <v>0</v>
      </c>
      <c r="AC96">
        <v>1</v>
      </c>
      <c r="AD96">
        <v>0</v>
      </c>
      <c r="AE96">
        <v>1025.9000000000001</v>
      </c>
      <c r="AF96">
        <f t="shared" si="4"/>
        <v>300</v>
      </c>
      <c r="AG96">
        <f t="shared" si="5"/>
        <v>64</v>
      </c>
      <c r="AH96">
        <f t="shared" si="6"/>
        <v>2023.3333333333333</v>
      </c>
      <c r="AI96">
        <v>15459.461519903016</v>
      </c>
      <c r="AJ96">
        <f>[1]F1XT_1!F95</f>
        <v>15459.461517</v>
      </c>
      <c r="AK96">
        <f t="shared" si="7"/>
        <v>-2.9030161385890096E-6</v>
      </c>
    </row>
    <row r="97" spans="1:37" x14ac:dyDescent="0.25">
      <c r="A97" t="s">
        <v>39</v>
      </c>
      <c r="B97">
        <v>35</v>
      </c>
      <c r="C97">
        <v>34</v>
      </c>
      <c r="D97">
        <v>0</v>
      </c>
      <c r="E97">
        <v>0</v>
      </c>
      <c r="F97">
        <v>44.5</v>
      </c>
      <c r="G97">
        <v>1</v>
      </c>
      <c r="H97">
        <v>40</v>
      </c>
      <c r="I97">
        <v>1</v>
      </c>
      <c r="J97">
        <v>3141.8</v>
      </c>
      <c r="K97">
        <v>3.5</v>
      </c>
      <c r="L97">
        <v>0</v>
      </c>
      <c r="M97">
        <v>236</v>
      </c>
      <c r="N97">
        <v>1815.4</v>
      </c>
      <c r="O97">
        <v>85501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2</v>
      </c>
      <c r="Z97">
        <v>100</v>
      </c>
      <c r="AA97">
        <v>0</v>
      </c>
      <c r="AB97">
        <v>1</v>
      </c>
      <c r="AC97">
        <v>1</v>
      </c>
      <c r="AD97">
        <v>0</v>
      </c>
      <c r="AE97">
        <v>1578</v>
      </c>
      <c r="AF97">
        <f t="shared" si="4"/>
        <v>480</v>
      </c>
      <c r="AG97">
        <f t="shared" si="5"/>
        <v>244</v>
      </c>
      <c r="AH97">
        <f t="shared" si="6"/>
        <v>2038.3333333333333</v>
      </c>
      <c r="AI97">
        <v>4254.6311594631006</v>
      </c>
      <c r="AJ97">
        <f>[1]F1XT_1!F96</f>
        <v>4254.5934619999998</v>
      </c>
      <c r="AK97">
        <f t="shared" si="7"/>
        <v>-3.7697463100812456E-2</v>
      </c>
    </row>
    <row r="98" spans="1:37" x14ac:dyDescent="0.25">
      <c r="A98" t="s">
        <v>39</v>
      </c>
      <c r="B98">
        <v>35</v>
      </c>
      <c r="C98">
        <v>31</v>
      </c>
      <c r="D98">
        <v>681.6</v>
      </c>
      <c r="E98">
        <v>925.1</v>
      </c>
      <c r="F98">
        <v>95.5</v>
      </c>
      <c r="G98">
        <v>1</v>
      </c>
      <c r="H98">
        <v>35</v>
      </c>
      <c r="I98">
        <v>12</v>
      </c>
      <c r="J98">
        <v>40000</v>
      </c>
      <c r="K98">
        <v>3.5</v>
      </c>
      <c r="L98">
        <v>0</v>
      </c>
      <c r="M98">
        <v>236</v>
      </c>
      <c r="N98">
        <v>15889.3</v>
      </c>
      <c r="O98">
        <v>85901</v>
      </c>
      <c r="P98">
        <v>96.6</v>
      </c>
      <c r="Q98">
        <v>0</v>
      </c>
      <c r="R98">
        <v>126</v>
      </c>
      <c r="S98">
        <v>42</v>
      </c>
      <c r="T98">
        <v>207</v>
      </c>
      <c r="U98">
        <v>210</v>
      </c>
      <c r="V98">
        <v>0</v>
      </c>
      <c r="W98">
        <v>0</v>
      </c>
      <c r="X98">
        <v>0</v>
      </c>
      <c r="Y98">
        <v>2</v>
      </c>
      <c r="Z98">
        <v>100</v>
      </c>
      <c r="AA98">
        <v>0</v>
      </c>
      <c r="AB98">
        <v>1</v>
      </c>
      <c r="AC98">
        <v>1</v>
      </c>
      <c r="AD98">
        <v>0.6</v>
      </c>
      <c r="AE98">
        <v>1606.7</v>
      </c>
      <c r="AF98">
        <f t="shared" si="4"/>
        <v>420</v>
      </c>
      <c r="AG98">
        <f t="shared" si="5"/>
        <v>184</v>
      </c>
      <c r="AH98">
        <f t="shared" si="6"/>
        <v>2033.3333333333333</v>
      </c>
      <c r="AI98">
        <v>18487.203919285454</v>
      </c>
      <c r="AJ98">
        <f>[1]F1XT_1!F97</f>
        <v>18487.204063000001</v>
      </c>
      <c r="AK98">
        <f t="shared" si="7"/>
        <v>1.437145474483259E-4</v>
      </c>
    </row>
    <row r="99" spans="1:37" x14ac:dyDescent="0.25">
      <c r="A99" t="s">
        <v>39</v>
      </c>
      <c r="B99">
        <v>35</v>
      </c>
      <c r="C99">
        <v>24</v>
      </c>
      <c r="D99">
        <v>0</v>
      </c>
      <c r="E99">
        <v>0</v>
      </c>
      <c r="F99">
        <v>127.7</v>
      </c>
      <c r="G99">
        <v>1</v>
      </c>
      <c r="H99">
        <v>30</v>
      </c>
      <c r="I99">
        <v>1</v>
      </c>
      <c r="J99">
        <v>859</v>
      </c>
      <c r="K99">
        <v>3.5</v>
      </c>
      <c r="L99">
        <v>0</v>
      </c>
      <c r="M99">
        <v>236</v>
      </c>
      <c r="N99">
        <v>635.79999999999995</v>
      </c>
      <c r="O99">
        <v>86301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2</v>
      </c>
      <c r="Z99">
        <v>100</v>
      </c>
      <c r="AA99">
        <v>0</v>
      </c>
      <c r="AB99">
        <v>1</v>
      </c>
      <c r="AC99">
        <v>1</v>
      </c>
      <c r="AD99">
        <v>0.6</v>
      </c>
      <c r="AE99">
        <v>1588.5</v>
      </c>
      <c r="AF99">
        <f t="shared" si="4"/>
        <v>360</v>
      </c>
      <c r="AG99">
        <f t="shared" si="5"/>
        <v>124</v>
      </c>
      <c r="AH99">
        <f t="shared" si="6"/>
        <v>2028.3333333333333</v>
      </c>
      <c r="AI99">
        <v>2120.0375861633015</v>
      </c>
      <c r="AJ99">
        <f>[1]F1XT_1!F98</f>
        <v>2120.0337279999999</v>
      </c>
      <c r="AK99">
        <f t="shared" si="7"/>
        <v>-3.8581633016292471E-3</v>
      </c>
    </row>
    <row r="100" spans="1:37" x14ac:dyDescent="0.25">
      <c r="A100" t="s">
        <v>39</v>
      </c>
      <c r="B100">
        <v>35</v>
      </c>
      <c r="C100">
        <v>38</v>
      </c>
      <c r="D100">
        <v>94.5</v>
      </c>
      <c r="E100">
        <v>853.5</v>
      </c>
      <c r="F100">
        <v>95.6</v>
      </c>
      <c r="G100">
        <v>1</v>
      </c>
      <c r="H100">
        <v>30</v>
      </c>
      <c r="I100">
        <v>12</v>
      </c>
      <c r="J100">
        <v>30000</v>
      </c>
      <c r="K100">
        <v>3.5</v>
      </c>
      <c r="L100">
        <v>0</v>
      </c>
      <c r="M100">
        <v>236</v>
      </c>
      <c r="N100">
        <v>15547</v>
      </c>
      <c r="O100">
        <v>86501</v>
      </c>
      <c r="P100">
        <v>0</v>
      </c>
      <c r="Q100">
        <v>0</v>
      </c>
      <c r="R100">
        <v>94.5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2</v>
      </c>
      <c r="Z100">
        <v>100</v>
      </c>
      <c r="AA100">
        <v>0</v>
      </c>
      <c r="AB100">
        <v>1</v>
      </c>
      <c r="AC100">
        <v>1</v>
      </c>
      <c r="AD100">
        <v>0</v>
      </c>
      <c r="AE100">
        <v>948</v>
      </c>
      <c r="AF100">
        <f t="shared" si="4"/>
        <v>360</v>
      </c>
      <c r="AG100">
        <f t="shared" si="5"/>
        <v>124</v>
      </c>
      <c r="AH100">
        <f t="shared" si="6"/>
        <v>2028.3333333333333</v>
      </c>
      <c r="AI100">
        <v>18821.415305841419</v>
      </c>
      <c r="AJ100">
        <f>[1]F1XT_1!F99</f>
        <v>18821.415156999999</v>
      </c>
      <c r="AK100">
        <f t="shared" si="7"/>
        <v>-1.488414200139232E-4</v>
      </c>
    </row>
    <row r="101" spans="1:37" x14ac:dyDescent="0.25">
      <c r="A101" t="s">
        <v>39</v>
      </c>
      <c r="B101">
        <v>35</v>
      </c>
      <c r="C101">
        <v>38</v>
      </c>
      <c r="D101">
        <v>250.4</v>
      </c>
      <c r="E101">
        <v>924.9</v>
      </c>
      <c r="F101">
        <v>132.19999999999999</v>
      </c>
      <c r="G101">
        <v>1</v>
      </c>
      <c r="H101">
        <v>20</v>
      </c>
      <c r="I101">
        <v>12</v>
      </c>
      <c r="J101">
        <v>20000</v>
      </c>
      <c r="K101">
        <v>3.5</v>
      </c>
      <c r="L101">
        <v>0</v>
      </c>
      <c r="M101">
        <v>239</v>
      </c>
      <c r="N101">
        <v>19880.2</v>
      </c>
      <c r="O101">
        <v>87501</v>
      </c>
      <c r="P101">
        <v>47.1</v>
      </c>
      <c r="Q101">
        <v>0</v>
      </c>
      <c r="R101">
        <v>63</v>
      </c>
      <c r="S101">
        <v>35.299999999999997</v>
      </c>
      <c r="T101">
        <v>0</v>
      </c>
      <c r="U101">
        <v>105</v>
      </c>
      <c r="V101">
        <v>0</v>
      </c>
      <c r="W101">
        <v>0</v>
      </c>
      <c r="X101">
        <v>0</v>
      </c>
      <c r="Y101">
        <v>2</v>
      </c>
      <c r="Z101">
        <v>100</v>
      </c>
      <c r="AA101">
        <v>0</v>
      </c>
      <c r="AB101">
        <v>1</v>
      </c>
      <c r="AC101">
        <v>1</v>
      </c>
      <c r="AD101">
        <v>0</v>
      </c>
      <c r="AE101">
        <v>1175.3</v>
      </c>
      <c r="AF101">
        <f t="shared" si="4"/>
        <v>240</v>
      </c>
      <c r="AG101">
        <f t="shared" si="5"/>
        <v>1</v>
      </c>
      <c r="AH101">
        <f t="shared" si="6"/>
        <v>2018.0833333333333</v>
      </c>
      <c r="AI101">
        <v>19937.650304220897</v>
      </c>
      <c r="AJ101">
        <f>[1]F1XT_1!F100</f>
        <v>19937.650303999999</v>
      </c>
      <c r="AK101">
        <f t="shared" si="7"/>
        <v>-2.2089807316660881E-7</v>
      </c>
    </row>
    <row r="102" spans="1:37" x14ac:dyDescent="0.25">
      <c r="A102" t="s">
        <v>39</v>
      </c>
      <c r="B102">
        <v>35</v>
      </c>
      <c r="C102">
        <v>33</v>
      </c>
      <c r="D102">
        <v>124.2</v>
      </c>
      <c r="E102">
        <v>1397.8</v>
      </c>
      <c r="F102">
        <v>185.4</v>
      </c>
      <c r="G102">
        <v>1</v>
      </c>
      <c r="H102">
        <v>20</v>
      </c>
      <c r="I102">
        <v>12</v>
      </c>
      <c r="J102">
        <v>30000</v>
      </c>
      <c r="K102">
        <v>3.5</v>
      </c>
      <c r="L102">
        <v>0</v>
      </c>
      <c r="M102">
        <v>236</v>
      </c>
      <c r="N102">
        <v>29277.8</v>
      </c>
      <c r="O102">
        <v>88301</v>
      </c>
      <c r="P102">
        <v>78.5</v>
      </c>
      <c r="Q102">
        <v>0</v>
      </c>
      <c r="R102">
        <v>0</v>
      </c>
      <c r="S102">
        <v>45.7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1</v>
      </c>
      <c r="Z102">
        <v>100</v>
      </c>
      <c r="AA102">
        <v>0</v>
      </c>
      <c r="AB102">
        <v>0</v>
      </c>
      <c r="AC102">
        <v>1</v>
      </c>
      <c r="AD102">
        <v>0</v>
      </c>
      <c r="AE102">
        <v>1522</v>
      </c>
      <c r="AF102">
        <f t="shared" si="4"/>
        <v>240</v>
      </c>
      <c r="AG102">
        <f t="shared" si="5"/>
        <v>4</v>
      </c>
      <c r="AH102">
        <f t="shared" si="6"/>
        <v>2018.3333333333333</v>
      </c>
      <c r="AI102">
        <v>29457.247636532389</v>
      </c>
      <c r="AJ102">
        <f>[1]F1XT_1!F101</f>
        <v>29457.247636</v>
      </c>
      <c r="AK102">
        <f t="shared" si="7"/>
        <v>-5.3238909458741546E-7</v>
      </c>
    </row>
    <row r="103" spans="1:37" x14ac:dyDescent="0.25">
      <c r="A103" t="s">
        <v>39</v>
      </c>
      <c r="B103">
        <v>35</v>
      </c>
      <c r="C103">
        <v>45</v>
      </c>
      <c r="D103">
        <v>0</v>
      </c>
      <c r="E103">
        <v>1156.5999999999999</v>
      </c>
      <c r="F103">
        <v>147</v>
      </c>
      <c r="G103">
        <v>1</v>
      </c>
      <c r="H103">
        <v>25</v>
      </c>
      <c r="I103">
        <v>12</v>
      </c>
      <c r="J103">
        <v>32000</v>
      </c>
      <c r="K103">
        <v>3.5</v>
      </c>
      <c r="L103">
        <v>0</v>
      </c>
      <c r="M103">
        <v>236</v>
      </c>
      <c r="N103">
        <v>22228.1</v>
      </c>
      <c r="O103">
        <v>88401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2</v>
      </c>
      <c r="Z103">
        <v>100</v>
      </c>
      <c r="AA103">
        <v>0</v>
      </c>
      <c r="AB103">
        <v>1</v>
      </c>
      <c r="AC103">
        <v>1</v>
      </c>
      <c r="AD103">
        <v>0</v>
      </c>
      <c r="AE103">
        <v>1156.5999999999999</v>
      </c>
      <c r="AF103">
        <f t="shared" si="4"/>
        <v>300</v>
      </c>
      <c r="AG103">
        <f t="shared" si="5"/>
        <v>64</v>
      </c>
      <c r="AH103">
        <f t="shared" si="6"/>
        <v>2023.3333333333333</v>
      </c>
      <c r="AI103">
        <v>24563.389627563123</v>
      </c>
      <c r="AJ103">
        <f>[1]F1XT_1!F102</f>
        <v>24563.389633999999</v>
      </c>
      <c r="AK103">
        <f t="shared" si="7"/>
        <v>6.4368759922217578E-6</v>
      </c>
    </row>
    <row r="104" spans="1:37" x14ac:dyDescent="0.25">
      <c r="A104" t="s">
        <v>39</v>
      </c>
      <c r="B104">
        <v>35</v>
      </c>
      <c r="C104">
        <v>36</v>
      </c>
      <c r="D104">
        <v>540.4</v>
      </c>
      <c r="E104">
        <v>706.6</v>
      </c>
      <c r="F104">
        <v>68.8</v>
      </c>
      <c r="G104">
        <v>1</v>
      </c>
      <c r="H104">
        <v>35</v>
      </c>
      <c r="I104">
        <v>12</v>
      </c>
      <c r="J104">
        <v>30000</v>
      </c>
      <c r="K104">
        <v>3.5</v>
      </c>
      <c r="L104">
        <v>0</v>
      </c>
      <c r="M104">
        <v>234</v>
      </c>
      <c r="N104">
        <v>11828.4</v>
      </c>
      <c r="O104">
        <v>89002</v>
      </c>
      <c r="P104">
        <v>83.7</v>
      </c>
      <c r="Q104">
        <v>0</v>
      </c>
      <c r="R104">
        <v>94.5</v>
      </c>
      <c r="S104">
        <v>32.200000000000003</v>
      </c>
      <c r="T104">
        <v>172.5</v>
      </c>
      <c r="U104">
        <v>157.5</v>
      </c>
      <c r="V104">
        <v>0</v>
      </c>
      <c r="W104">
        <v>0</v>
      </c>
      <c r="X104">
        <v>0</v>
      </c>
      <c r="Y104">
        <v>2</v>
      </c>
      <c r="Z104">
        <v>100</v>
      </c>
      <c r="AA104">
        <v>0</v>
      </c>
      <c r="AB104">
        <v>1</v>
      </c>
      <c r="AC104">
        <v>1</v>
      </c>
      <c r="AD104">
        <v>0.66600000000000004</v>
      </c>
      <c r="AE104">
        <v>1247</v>
      </c>
      <c r="AF104">
        <f t="shared" si="4"/>
        <v>420</v>
      </c>
      <c r="AG104">
        <f t="shared" si="5"/>
        <v>186</v>
      </c>
      <c r="AH104">
        <f t="shared" si="6"/>
        <v>2033.5</v>
      </c>
      <c r="AI104">
        <v>14767.674451591374</v>
      </c>
      <c r="AJ104">
        <f>[1]F1XT_1!F103</f>
        <v>14767.674235</v>
      </c>
      <c r="AK104">
        <f t="shared" si="7"/>
        <v>-2.1659137382812332E-4</v>
      </c>
    </row>
    <row r="105" spans="1:37" x14ac:dyDescent="0.25">
      <c r="A105" t="s">
        <v>39</v>
      </c>
      <c r="B105">
        <v>35</v>
      </c>
      <c r="C105">
        <v>34</v>
      </c>
      <c r="D105">
        <v>0</v>
      </c>
      <c r="E105">
        <v>0</v>
      </c>
      <c r="F105">
        <v>68.900000000000006</v>
      </c>
      <c r="G105">
        <v>1</v>
      </c>
      <c r="H105">
        <v>35</v>
      </c>
      <c r="I105">
        <v>1</v>
      </c>
      <c r="J105">
        <v>5111.8</v>
      </c>
      <c r="K105">
        <v>3.5</v>
      </c>
      <c r="L105">
        <v>0</v>
      </c>
      <c r="M105">
        <v>234</v>
      </c>
      <c r="N105">
        <v>3378.5</v>
      </c>
      <c r="O105">
        <v>89602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1</v>
      </c>
      <c r="Z105">
        <v>100</v>
      </c>
      <c r="AA105">
        <v>0</v>
      </c>
      <c r="AB105">
        <v>0</v>
      </c>
      <c r="AC105">
        <v>1</v>
      </c>
      <c r="AD105">
        <v>0.66600000000000004</v>
      </c>
      <c r="AE105">
        <v>1780.4</v>
      </c>
      <c r="AF105">
        <f t="shared" si="4"/>
        <v>420</v>
      </c>
      <c r="AG105">
        <f t="shared" si="5"/>
        <v>186</v>
      </c>
      <c r="AH105">
        <f t="shared" si="6"/>
        <v>2033.5</v>
      </c>
      <c r="AI105">
        <v>5720.9006465285938</v>
      </c>
      <c r="AJ105">
        <f>[1]F1XT_1!F104</f>
        <v>5720.8596250000001</v>
      </c>
      <c r="AK105">
        <f t="shared" si="7"/>
        <v>-4.1021528593773837E-2</v>
      </c>
    </row>
    <row r="106" spans="1:37" x14ac:dyDescent="0.25">
      <c r="A106" t="s">
        <v>39</v>
      </c>
      <c r="B106">
        <v>35</v>
      </c>
      <c r="C106">
        <v>21</v>
      </c>
      <c r="D106">
        <v>0</v>
      </c>
      <c r="E106">
        <v>0</v>
      </c>
      <c r="F106">
        <v>38.6</v>
      </c>
      <c r="G106">
        <v>1</v>
      </c>
      <c r="H106">
        <v>40</v>
      </c>
      <c r="I106">
        <v>1</v>
      </c>
      <c r="J106">
        <v>2298.1</v>
      </c>
      <c r="K106">
        <v>3.5</v>
      </c>
      <c r="L106">
        <v>0</v>
      </c>
      <c r="M106">
        <v>236</v>
      </c>
      <c r="N106">
        <v>1301.0999999999999</v>
      </c>
      <c r="O106">
        <v>89801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2</v>
      </c>
      <c r="Z106">
        <v>100</v>
      </c>
      <c r="AA106">
        <v>0</v>
      </c>
      <c r="AB106">
        <v>1</v>
      </c>
      <c r="AC106">
        <v>1</v>
      </c>
      <c r="AD106">
        <v>0.66600000000000004</v>
      </c>
      <c r="AE106">
        <v>1666.9</v>
      </c>
      <c r="AF106">
        <f t="shared" si="4"/>
        <v>480</v>
      </c>
      <c r="AG106">
        <f t="shared" si="5"/>
        <v>244</v>
      </c>
      <c r="AH106">
        <f t="shared" si="6"/>
        <v>2038.3333333333333</v>
      </c>
      <c r="AI106">
        <v>3684.3784806675103</v>
      </c>
      <c r="AJ106">
        <f>[1]F1XT_1!F105</f>
        <v>3684.3498</v>
      </c>
      <c r="AK106">
        <f t="shared" si="7"/>
        <v>-2.8680667510343483E-2</v>
      </c>
    </row>
    <row r="107" spans="1:37" x14ac:dyDescent="0.25">
      <c r="A107" t="s">
        <v>39</v>
      </c>
      <c r="B107">
        <v>35</v>
      </c>
      <c r="C107">
        <v>38</v>
      </c>
      <c r="D107">
        <v>213.2</v>
      </c>
      <c r="E107">
        <v>1387.1</v>
      </c>
      <c r="F107">
        <v>185.5</v>
      </c>
      <c r="G107">
        <v>1</v>
      </c>
      <c r="H107">
        <v>20</v>
      </c>
      <c r="I107">
        <v>12</v>
      </c>
      <c r="J107">
        <v>30000</v>
      </c>
      <c r="K107">
        <v>3.5</v>
      </c>
      <c r="L107">
        <v>0</v>
      </c>
      <c r="M107">
        <v>236</v>
      </c>
      <c r="N107">
        <v>29281.1</v>
      </c>
      <c r="O107">
        <v>90501</v>
      </c>
      <c r="P107">
        <v>70.7</v>
      </c>
      <c r="Q107">
        <v>0</v>
      </c>
      <c r="R107">
        <v>94.5</v>
      </c>
      <c r="S107">
        <v>48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2</v>
      </c>
      <c r="Z107">
        <v>100</v>
      </c>
      <c r="AA107">
        <v>0</v>
      </c>
      <c r="AB107">
        <v>1</v>
      </c>
      <c r="AC107">
        <v>1</v>
      </c>
      <c r="AD107">
        <v>0</v>
      </c>
      <c r="AE107">
        <v>1600.3</v>
      </c>
      <c r="AF107">
        <f t="shared" si="4"/>
        <v>240</v>
      </c>
      <c r="AG107">
        <f t="shared" si="5"/>
        <v>4</v>
      </c>
      <c r="AH107">
        <f t="shared" si="6"/>
        <v>2018.3333333333333</v>
      </c>
      <c r="AI107">
        <v>29439.345763662262</v>
      </c>
      <c r="AJ107">
        <f>[1]F1XT_1!F106</f>
        <v>29439.345764000002</v>
      </c>
      <c r="AK107">
        <f t="shared" si="7"/>
        <v>3.3773903851397336E-7</v>
      </c>
    </row>
    <row r="108" spans="1:37" x14ac:dyDescent="0.25">
      <c r="A108" t="s">
        <v>39</v>
      </c>
      <c r="B108">
        <v>35</v>
      </c>
      <c r="C108">
        <v>43</v>
      </c>
      <c r="D108">
        <v>0</v>
      </c>
      <c r="E108">
        <v>932.1</v>
      </c>
      <c r="F108">
        <v>124</v>
      </c>
      <c r="G108">
        <v>1</v>
      </c>
      <c r="H108">
        <v>20</v>
      </c>
      <c r="I108">
        <v>12</v>
      </c>
      <c r="J108">
        <v>20000</v>
      </c>
      <c r="K108">
        <v>3.5</v>
      </c>
      <c r="L108">
        <v>0</v>
      </c>
      <c r="M108">
        <v>236</v>
      </c>
      <c r="N108">
        <v>19518.5</v>
      </c>
      <c r="O108">
        <v>90801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2</v>
      </c>
      <c r="Z108">
        <v>100</v>
      </c>
      <c r="AA108">
        <v>0</v>
      </c>
      <c r="AB108">
        <v>1</v>
      </c>
      <c r="AC108">
        <v>1</v>
      </c>
      <c r="AD108">
        <v>0</v>
      </c>
      <c r="AE108">
        <v>932.1</v>
      </c>
      <c r="AF108">
        <f t="shared" si="4"/>
        <v>240</v>
      </c>
      <c r="AG108">
        <f t="shared" si="5"/>
        <v>4</v>
      </c>
      <c r="AH108">
        <f t="shared" si="6"/>
        <v>2018.3333333333333</v>
      </c>
      <c r="AI108">
        <v>19673.73814615262</v>
      </c>
      <c r="AJ108">
        <f>[1]F1XT_1!F107</f>
        <v>19673.738146</v>
      </c>
      <c r="AK108">
        <f t="shared" si="7"/>
        <v>-1.5262048691511154E-7</v>
      </c>
    </row>
    <row r="109" spans="1:37" x14ac:dyDescent="0.25">
      <c r="A109" t="s">
        <v>39</v>
      </c>
      <c r="B109">
        <v>35</v>
      </c>
      <c r="C109">
        <v>36</v>
      </c>
      <c r="D109">
        <v>118.4</v>
      </c>
      <c r="E109">
        <v>439.4</v>
      </c>
      <c r="F109">
        <v>61.8</v>
      </c>
      <c r="G109">
        <v>1</v>
      </c>
      <c r="H109">
        <v>20</v>
      </c>
      <c r="I109">
        <v>1</v>
      </c>
      <c r="J109">
        <v>10000</v>
      </c>
      <c r="K109">
        <v>3.5</v>
      </c>
      <c r="L109">
        <v>0</v>
      </c>
      <c r="M109">
        <v>236</v>
      </c>
      <c r="N109">
        <v>9760.7000000000007</v>
      </c>
      <c r="O109">
        <v>90901</v>
      </c>
      <c r="P109">
        <v>21.6</v>
      </c>
      <c r="Q109">
        <v>0</v>
      </c>
      <c r="R109">
        <v>30</v>
      </c>
      <c r="S109">
        <v>16.8</v>
      </c>
      <c r="T109">
        <v>0</v>
      </c>
      <c r="U109">
        <v>50</v>
      </c>
      <c r="V109">
        <v>0</v>
      </c>
      <c r="W109">
        <v>0</v>
      </c>
      <c r="X109">
        <v>0</v>
      </c>
      <c r="Y109">
        <v>2</v>
      </c>
      <c r="Z109">
        <v>100</v>
      </c>
      <c r="AA109">
        <v>0</v>
      </c>
      <c r="AB109">
        <v>1</v>
      </c>
      <c r="AC109">
        <v>1</v>
      </c>
      <c r="AD109">
        <v>1</v>
      </c>
      <c r="AE109">
        <v>557.79999999999995</v>
      </c>
      <c r="AF109">
        <f t="shared" si="4"/>
        <v>240</v>
      </c>
      <c r="AG109">
        <f t="shared" si="5"/>
        <v>4</v>
      </c>
      <c r="AH109">
        <f t="shared" si="6"/>
        <v>2018.3333333333333</v>
      </c>
      <c r="AI109">
        <v>10016.87834526016</v>
      </c>
      <c r="AJ109">
        <f>[1]F1XT_1!F108</f>
        <v>10016.878344999999</v>
      </c>
      <c r="AK109">
        <f t="shared" si="7"/>
        <v>-2.6016095944214612E-7</v>
      </c>
    </row>
    <row r="110" spans="1:37" x14ac:dyDescent="0.25">
      <c r="A110" t="s">
        <v>39</v>
      </c>
      <c r="B110">
        <v>35</v>
      </c>
      <c r="C110">
        <v>31</v>
      </c>
      <c r="D110">
        <v>383.7</v>
      </c>
      <c r="E110">
        <v>726.3</v>
      </c>
      <c r="F110">
        <v>73.2</v>
      </c>
      <c r="G110">
        <v>1</v>
      </c>
      <c r="H110">
        <v>35</v>
      </c>
      <c r="I110">
        <v>12</v>
      </c>
      <c r="J110">
        <v>30000</v>
      </c>
      <c r="K110">
        <v>3.5</v>
      </c>
      <c r="L110">
        <v>0</v>
      </c>
      <c r="M110">
        <v>236</v>
      </c>
      <c r="N110">
        <v>12068.7</v>
      </c>
      <c r="O110">
        <v>92201</v>
      </c>
      <c r="P110">
        <v>98.4</v>
      </c>
      <c r="Q110">
        <v>0</v>
      </c>
      <c r="R110">
        <v>94.5</v>
      </c>
      <c r="S110">
        <v>33.299999999999997</v>
      </c>
      <c r="T110">
        <v>0</v>
      </c>
      <c r="U110">
        <v>157.5</v>
      </c>
      <c r="V110">
        <v>0</v>
      </c>
      <c r="W110">
        <v>0</v>
      </c>
      <c r="X110">
        <v>0</v>
      </c>
      <c r="Y110">
        <v>1</v>
      </c>
      <c r="Z110">
        <v>100</v>
      </c>
      <c r="AA110">
        <v>0</v>
      </c>
      <c r="AB110">
        <v>0</v>
      </c>
      <c r="AC110">
        <v>1</v>
      </c>
      <c r="AD110">
        <v>0</v>
      </c>
      <c r="AE110">
        <v>1110</v>
      </c>
      <c r="AF110">
        <f t="shared" si="4"/>
        <v>420</v>
      </c>
      <c r="AG110">
        <f t="shared" si="5"/>
        <v>184</v>
      </c>
      <c r="AH110">
        <f t="shared" si="6"/>
        <v>2033.3333333333333</v>
      </c>
      <c r="AI110">
        <v>13605.631130824931</v>
      </c>
      <c r="AJ110">
        <f>[1]F1XT_1!F109</f>
        <v>13605.630943</v>
      </c>
      <c r="AK110">
        <f t="shared" si="7"/>
        <v>-1.8782493134494871E-4</v>
      </c>
    </row>
    <row r="111" spans="1:37" x14ac:dyDescent="0.25">
      <c r="A111" t="s">
        <v>39</v>
      </c>
      <c r="B111">
        <v>35</v>
      </c>
      <c r="C111">
        <v>23</v>
      </c>
      <c r="D111">
        <v>358.2</v>
      </c>
      <c r="E111">
        <v>835.5</v>
      </c>
      <c r="F111">
        <v>93.1</v>
      </c>
      <c r="G111">
        <v>1</v>
      </c>
      <c r="H111">
        <v>30</v>
      </c>
      <c r="I111">
        <v>4</v>
      </c>
      <c r="J111">
        <v>30000</v>
      </c>
      <c r="K111">
        <v>3.5</v>
      </c>
      <c r="L111">
        <v>0</v>
      </c>
      <c r="M111">
        <v>236</v>
      </c>
      <c r="N111">
        <v>15477.6</v>
      </c>
      <c r="O111">
        <v>93001</v>
      </c>
      <c r="P111">
        <v>71.599999999999994</v>
      </c>
      <c r="Q111">
        <v>0</v>
      </c>
      <c r="R111">
        <v>96.4</v>
      </c>
      <c r="S111">
        <v>35.700000000000003</v>
      </c>
      <c r="T111">
        <v>0</v>
      </c>
      <c r="U111">
        <v>154.5</v>
      </c>
      <c r="V111">
        <v>0</v>
      </c>
      <c r="W111">
        <v>0</v>
      </c>
      <c r="X111">
        <v>0</v>
      </c>
      <c r="Y111">
        <v>1</v>
      </c>
      <c r="Z111">
        <v>100</v>
      </c>
      <c r="AA111">
        <v>0</v>
      </c>
      <c r="AB111">
        <v>0</v>
      </c>
      <c r="AC111">
        <v>1</v>
      </c>
      <c r="AD111">
        <v>0</v>
      </c>
      <c r="AE111">
        <v>1193.7</v>
      </c>
      <c r="AF111">
        <f t="shared" si="4"/>
        <v>360</v>
      </c>
      <c r="AG111">
        <f t="shared" si="5"/>
        <v>124</v>
      </c>
      <c r="AH111">
        <f t="shared" si="6"/>
        <v>2028.3333333333333</v>
      </c>
      <c r="AI111">
        <v>17103.198512700954</v>
      </c>
      <c r="AJ111">
        <f>[1]F1XT_1!F110</f>
        <v>17103.198455000002</v>
      </c>
      <c r="AK111">
        <f t="shared" si="7"/>
        <v>-5.7700952311279252E-5</v>
      </c>
    </row>
    <row r="112" spans="1:37" x14ac:dyDescent="0.25">
      <c r="A112" t="s">
        <v>39</v>
      </c>
      <c r="B112">
        <v>35</v>
      </c>
      <c r="C112">
        <v>30</v>
      </c>
      <c r="D112">
        <v>158.4</v>
      </c>
      <c r="E112">
        <v>1856.1</v>
      </c>
      <c r="F112">
        <v>246.7</v>
      </c>
      <c r="G112">
        <v>1</v>
      </c>
      <c r="H112">
        <v>20</v>
      </c>
      <c r="I112">
        <v>12</v>
      </c>
      <c r="J112">
        <v>40000</v>
      </c>
      <c r="K112">
        <v>3.5</v>
      </c>
      <c r="L112">
        <v>0</v>
      </c>
      <c r="M112">
        <v>236</v>
      </c>
      <c r="N112">
        <v>39039.4</v>
      </c>
      <c r="O112">
        <v>93301</v>
      </c>
      <c r="P112">
        <v>97.9</v>
      </c>
      <c r="Q112">
        <v>0</v>
      </c>
      <c r="R112">
        <v>0</v>
      </c>
      <c r="S112">
        <v>60.5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1</v>
      </c>
      <c r="Z112">
        <v>100</v>
      </c>
      <c r="AA112">
        <v>0</v>
      </c>
      <c r="AB112">
        <v>0</v>
      </c>
      <c r="AC112">
        <v>1</v>
      </c>
      <c r="AD112">
        <v>0</v>
      </c>
      <c r="AE112">
        <v>2014.5</v>
      </c>
      <c r="AF112">
        <f t="shared" si="4"/>
        <v>240</v>
      </c>
      <c r="AG112">
        <f t="shared" si="5"/>
        <v>4</v>
      </c>
      <c r="AH112">
        <f t="shared" si="6"/>
        <v>2018.3333333333333</v>
      </c>
      <c r="AI112">
        <v>39262.863425663192</v>
      </c>
      <c r="AJ112">
        <f>[1]F1XT_1!F111</f>
        <v>39262.863426000004</v>
      </c>
      <c r="AK112">
        <f t="shared" si="7"/>
        <v>3.3681135391816497E-7</v>
      </c>
    </row>
    <row r="113" spans="1:37" x14ac:dyDescent="0.25">
      <c r="A113" t="s">
        <v>39</v>
      </c>
      <c r="B113">
        <v>35</v>
      </c>
      <c r="C113">
        <v>36</v>
      </c>
      <c r="D113">
        <v>398.5</v>
      </c>
      <c r="E113">
        <v>887.5</v>
      </c>
      <c r="F113">
        <v>97.5</v>
      </c>
      <c r="G113">
        <v>1</v>
      </c>
      <c r="H113">
        <v>30</v>
      </c>
      <c r="I113">
        <v>12</v>
      </c>
      <c r="J113">
        <v>30000</v>
      </c>
      <c r="K113">
        <v>3.5</v>
      </c>
      <c r="L113">
        <v>0</v>
      </c>
      <c r="M113">
        <v>236</v>
      </c>
      <c r="N113">
        <v>15613.1</v>
      </c>
      <c r="O113">
        <v>94501</v>
      </c>
      <c r="P113">
        <v>108</v>
      </c>
      <c r="Q113">
        <v>0</v>
      </c>
      <c r="R113">
        <v>94.5</v>
      </c>
      <c r="S113">
        <v>38.5</v>
      </c>
      <c r="T113">
        <v>0</v>
      </c>
      <c r="U113">
        <v>157.5</v>
      </c>
      <c r="V113">
        <v>0</v>
      </c>
      <c r="W113">
        <v>0</v>
      </c>
      <c r="X113">
        <v>0</v>
      </c>
      <c r="Y113">
        <v>1</v>
      </c>
      <c r="Z113">
        <v>100</v>
      </c>
      <c r="AA113">
        <v>0</v>
      </c>
      <c r="AB113">
        <v>0</v>
      </c>
      <c r="AC113">
        <v>1</v>
      </c>
      <c r="AD113">
        <v>0</v>
      </c>
      <c r="AE113">
        <v>1286</v>
      </c>
      <c r="AF113">
        <f t="shared" si="4"/>
        <v>360</v>
      </c>
      <c r="AG113">
        <f t="shared" si="5"/>
        <v>124</v>
      </c>
      <c r="AH113">
        <f t="shared" si="6"/>
        <v>2028.3333333333333</v>
      </c>
      <c r="AI113">
        <v>17557.75725290001</v>
      </c>
      <c r="AJ113">
        <f>[1]F1XT_1!F112</f>
        <v>17557.757164999999</v>
      </c>
      <c r="AK113">
        <f t="shared" si="7"/>
        <v>-8.7900010839803144E-5</v>
      </c>
    </row>
    <row r="114" spans="1:37" x14ac:dyDescent="0.25">
      <c r="A114" t="s">
        <v>39</v>
      </c>
      <c r="B114">
        <v>35</v>
      </c>
      <c r="C114">
        <v>32</v>
      </c>
      <c r="D114">
        <v>716</v>
      </c>
      <c r="E114">
        <v>1680.1</v>
      </c>
      <c r="F114">
        <v>190.1</v>
      </c>
      <c r="G114">
        <v>1</v>
      </c>
      <c r="H114">
        <v>30</v>
      </c>
      <c r="I114">
        <v>12</v>
      </c>
      <c r="J114">
        <v>60000</v>
      </c>
      <c r="K114">
        <v>3.5</v>
      </c>
      <c r="L114">
        <v>0</v>
      </c>
      <c r="M114">
        <v>236</v>
      </c>
      <c r="N114">
        <v>31076.6</v>
      </c>
      <c r="O114">
        <v>96901</v>
      </c>
      <c r="P114">
        <v>140.1</v>
      </c>
      <c r="Q114">
        <v>0</v>
      </c>
      <c r="R114">
        <v>189</v>
      </c>
      <c r="S114">
        <v>71.900000000000006</v>
      </c>
      <c r="T114">
        <v>0</v>
      </c>
      <c r="U114">
        <v>315</v>
      </c>
      <c r="V114">
        <v>0</v>
      </c>
      <c r="W114">
        <v>0</v>
      </c>
      <c r="X114">
        <v>0</v>
      </c>
      <c r="Y114">
        <v>2</v>
      </c>
      <c r="Z114">
        <v>100</v>
      </c>
      <c r="AA114">
        <v>0</v>
      </c>
      <c r="AB114">
        <v>1</v>
      </c>
      <c r="AC114">
        <v>1</v>
      </c>
      <c r="AD114">
        <v>0</v>
      </c>
      <c r="AE114">
        <v>2396.1</v>
      </c>
      <c r="AF114">
        <f t="shared" si="4"/>
        <v>360</v>
      </c>
      <c r="AG114">
        <f t="shared" si="5"/>
        <v>124</v>
      </c>
      <c r="AH114">
        <f t="shared" si="6"/>
        <v>2028.3333333333333</v>
      </c>
      <c r="AI114">
        <v>33147.474007768156</v>
      </c>
      <c r="AJ114">
        <f>[1]F1XT_1!F113</f>
        <v>33147.474259000002</v>
      </c>
      <c r="AK114">
        <f t="shared" si="7"/>
        <v>2.5123184605035931E-4</v>
      </c>
    </row>
    <row r="115" spans="1:37" x14ac:dyDescent="0.25">
      <c r="A115" t="s">
        <v>39</v>
      </c>
      <c r="B115">
        <v>35</v>
      </c>
      <c r="C115">
        <v>35</v>
      </c>
      <c r="D115">
        <v>388.3</v>
      </c>
      <c r="E115">
        <v>1082.8</v>
      </c>
      <c r="F115">
        <v>130.69999999999999</v>
      </c>
      <c r="G115">
        <v>1</v>
      </c>
      <c r="H115">
        <v>25</v>
      </c>
      <c r="I115">
        <v>12</v>
      </c>
      <c r="J115">
        <v>30000</v>
      </c>
      <c r="K115">
        <v>3.5</v>
      </c>
      <c r="L115">
        <v>0</v>
      </c>
      <c r="M115">
        <v>236</v>
      </c>
      <c r="N115">
        <v>20845.400000000001</v>
      </c>
      <c r="O115">
        <v>98301</v>
      </c>
      <c r="P115">
        <v>92.2</v>
      </c>
      <c r="Q115">
        <v>0</v>
      </c>
      <c r="R115">
        <v>94.5</v>
      </c>
      <c r="S115">
        <v>44.1</v>
      </c>
      <c r="T115">
        <v>0</v>
      </c>
      <c r="U115">
        <v>157.5</v>
      </c>
      <c r="V115">
        <v>0</v>
      </c>
      <c r="W115">
        <v>0</v>
      </c>
      <c r="X115">
        <v>0</v>
      </c>
      <c r="Y115">
        <v>1</v>
      </c>
      <c r="Z115">
        <v>100</v>
      </c>
      <c r="AA115">
        <v>0</v>
      </c>
      <c r="AB115">
        <v>0</v>
      </c>
      <c r="AC115">
        <v>1</v>
      </c>
      <c r="AD115">
        <v>0</v>
      </c>
      <c r="AE115">
        <v>1471.1</v>
      </c>
      <c r="AF115">
        <f t="shared" si="4"/>
        <v>300</v>
      </c>
      <c r="AG115">
        <f t="shared" si="5"/>
        <v>64</v>
      </c>
      <c r="AH115">
        <f t="shared" si="6"/>
        <v>2023.3333333333333</v>
      </c>
      <c r="AI115">
        <v>21795.386990395389</v>
      </c>
      <c r="AJ115">
        <f>[1]F1XT_1!F114</f>
        <v>21795.386981</v>
      </c>
      <c r="AK115">
        <f t="shared" si="7"/>
        <v>-9.3953894975129515E-6</v>
      </c>
    </row>
    <row r="116" spans="1:37" x14ac:dyDescent="0.25">
      <c r="A116" t="s">
        <v>39</v>
      </c>
      <c r="B116">
        <v>35</v>
      </c>
      <c r="C116">
        <v>36</v>
      </c>
      <c r="D116">
        <v>486.2</v>
      </c>
      <c r="E116">
        <v>1131</v>
      </c>
      <c r="F116">
        <v>127</v>
      </c>
      <c r="G116">
        <v>1</v>
      </c>
      <c r="H116">
        <v>30</v>
      </c>
      <c r="I116">
        <v>12</v>
      </c>
      <c r="J116">
        <v>40000</v>
      </c>
      <c r="K116">
        <v>3.5</v>
      </c>
      <c r="L116">
        <v>0</v>
      </c>
      <c r="M116">
        <v>236</v>
      </c>
      <c r="N116">
        <v>20728.2</v>
      </c>
      <c r="O116">
        <v>101601</v>
      </c>
      <c r="P116">
        <v>101.7</v>
      </c>
      <c r="Q116">
        <v>0</v>
      </c>
      <c r="R116">
        <v>126</v>
      </c>
      <c r="S116">
        <v>48.5</v>
      </c>
      <c r="T116">
        <v>0</v>
      </c>
      <c r="U116">
        <v>210</v>
      </c>
      <c r="V116">
        <v>0</v>
      </c>
      <c r="W116">
        <v>0</v>
      </c>
      <c r="X116">
        <v>0</v>
      </c>
      <c r="Y116">
        <v>2</v>
      </c>
      <c r="Z116">
        <v>100</v>
      </c>
      <c r="AA116">
        <v>0</v>
      </c>
      <c r="AB116">
        <v>1</v>
      </c>
      <c r="AC116">
        <v>1</v>
      </c>
      <c r="AD116">
        <v>0</v>
      </c>
      <c r="AE116">
        <v>1617.2</v>
      </c>
      <c r="AF116">
        <f t="shared" si="4"/>
        <v>360</v>
      </c>
      <c r="AG116">
        <f t="shared" si="5"/>
        <v>124</v>
      </c>
      <c r="AH116">
        <f t="shared" si="6"/>
        <v>2028.3333333333333</v>
      </c>
      <c r="AI116">
        <v>23389.65807885295</v>
      </c>
      <c r="AJ116">
        <f>[1]F1XT_1!F115</f>
        <v>23389.657925</v>
      </c>
      <c r="AK116">
        <f t="shared" si="7"/>
        <v>-1.5385295046144165E-4</v>
      </c>
    </row>
    <row r="117" spans="1:37" x14ac:dyDescent="0.25">
      <c r="A117" t="s">
        <v>39</v>
      </c>
      <c r="B117">
        <v>35</v>
      </c>
      <c r="C117">
        <v>16</v>
      </c>
      <c r="D117">
        <v>496.7</v>
      </c>
      <c r="E117">
        <v>1852.8</v>
      </c>
      <c r="F117">
        <v>244.7</v>
      </c>
      <c r="G117">
        <v>1</v>
      </c>
      <c r="H117">
        <v>20</v>
      </c>
      <c r="I117">
        <v>12</v>
      </c>
      <c r="J117">
        <v>40000</v>
      </c>
      <c r="K117">
        <v>3.5</v>
      </c>
      <c r="L117">
        <v>0</v>
      </c>
      <c r="M117">
        <v>236</v>
      </c>
      <c r="N117">
        <v>39040.400000000001</v>
      </c>
      <c r="O117">
        <v>104401</v>
      </c>
      <c r="P117">
        <v>90.2</v>
      </c>
      <c r="Q117">
        <v>0</v>
      </c>
      <c r="R117">
        <v>126</v>
      </c>
      <c r="S117">
        <v>70.5</v>
      </c>
      <c r="T117">
        <v>0</v>
      </c>
      <c r="U117">
        <v>210</v>
      </c>
      <c r="V117">
        <v>0</v>
      </c>
      <c r="W117">
        <v>0</v>
      </c>
      <c r="X117">
        <v>0</v>
      </c>
      <c r="Y117">
        <v>1</v>
      </c>
      <c r="Z117">
        <v>100</v>
      </c>
      <c r="AA117">
        <v>0</v>
      </c>
      <c r="AB117">
        <v>0</v>
      </c>
      <c r="AC117">
        <v>1</v>
      </c>
      <c r="AD117">
        <v>0</v>
      </c>
      <c r="AE117">
        <v>2349.5</v>
      </c>
      <c r="AF117">
        <f t="shared" si="4"/>
        <v>240</v>
      </c>
      <c r="AG117">
        <f t="shared" si="5"/>
        <v>4</v>
      </c>
      <c r="AH117">
        <f t="shared" si="6"/>
        <v>2018.3333333333333</v>
      </c>
      <c r="AI117">
        <v>39180.789866161162</v>
      </c>
      <c r="AJ117">
        <f>[1]F1XT_1!F116</f>
        <v>39180.789865999999</v>
      </c>
      <c r="AK117">
        <f t="shared" si="7"/>
        <v>-1.6116246115416288E-7</v>
      </c>
    </row>
    <row r="118" spans="1:37" x14ac:dyDescent="0.25">
      <c r="A118" t="s">
        <v>39</v>
      </c>
      <c r="B118">
        <v>35</v>
      </c>
      <c r="C118">
        <v>39</v>
      </c>
      <c r="D118">
        <v>248</v>
      </c>
      <c r="E118">
        <v>709.5</v>
      </c>
      <c r="F118">
        <v>85</v>
      </c>
      <c r="G118">
        <v>1</v>
      </c>
      <c r="H118">
        <v>25</v>
      </c>
      <c r="I118">
        <v>12</v>
      </c>
      <c r="J118">
        <v>20000</v>
      </c>
      <c r="K118">
        <v>3.5</v>
      </c>
      <c r="L118">
        <v>0</v>
      </c>
      <c r="M118">
        <v>235</v>
      </c>
      <c r="N118">
        <v>13825.9</v>
      </c>
      <c r="O118">
        <v>105601</v>
      </c>
      <c r="P118">
        <v>51.2</v>
      </c>
      <c r="Q118">
        <v>0</v>
      </c>
      <c r="R118">
        <v>63</v>
      </c>
      <c r="S118">
        <v>28.8</v>
      </c>
      <c r="T118">
        <v>0</v>
      </c>
      <c r="U118">
        <v>105</v>
      </c>
      <c r="V118">
        <v>0</v>
      </c>
      <c r="W118">
        <v>0</v>
      </c>
      <c r="X118">
        <v>0</v>
      </c>
      <c r="Y118">
        <v>2</v>
      </c>
      <c r="Z118">
        <v>100</v>
      </c>
      <c r="AA118">
        <v>0</v>
      </c>
      <c r="AB118">
        <v>1</v>
      </c>
      <c r="AC118">
        <v>1</v>
      </c>
      <c r="AD118">
        <v>0</v>
      </c>
      <c r="AE118">
        <v>957.5</v>
      </c>
      <c r="AF118">
        <f t="shared" si="4"/>
        <v>300</v>
      </c>
      <c r="AG118">
        <f t="shared" si="5"/>
        <v>65</v>
      </c>
      <c r="AH118">
        <f t="shared" si="6"/>
        <v>2023.4166666666667</v>
      </c>
      <c r="AI118">
        <v>15201.675434619128</v>
      </c>
      <c r="AJ118">
        <f>[1]F1XT_1!F117</f>
        <v>15201.675407000001</v>
      </c>
      <c r="AK118">
        <f t="shared" si="7"/>
        <v>-2.761912764981389E-5</v>
      </c>
    </row>
    <row r="119" spans="1:37" x14ac:dyDescent="0.25">
      <c r="A119" t="s">
        <v>39</v>
      </c>
      <c r="B119">
        <v>35</v>
      </c>
      <c r="C119">
        <v>29</v>
      </c>
      <c r="D119">
        <v>236.1</v>
      </c>
      <c r="E119">
        <v>557.1</v>
      </c>
      <c r="F119">
        <v>61.8</v>
      </c>
      <c r="G119">
        <v>1</v>
      </c>
      <c r="H119">
        <v>30</v>
      </c>
      <c r="I119">
        <v>12</v>
      </c>
      <c r="J119">
        <v>20000</v>
      </c>
      <c r="K119">
        <v>3.5</v>
      </c>
      <c r="L119">
        <v>0</v>
      </c>
      <c r="M119">
        <v>235</v>
      </c>
      <c r="N119">
        <v>10290</v>
      </c>
      <c r="O119">
        <v>105801</v>
      </c>
      <c r="P119">
        <v>44.3</v>
      </c>
      <c r="Q119">
        <v>0</v>
      </c>
      <c r="R119">
        <v>63</v>
      </c>
      <c r="S119">
        <v>23.8</v>
      </c>
      <c r="T119">
        <v>0</v>
      </c>
      <c r="U119">
        <v>105</v>
      </c>
      <c r="V119">
        <v>0</v>
      </c>
      <c r="W119">
        <v>0</v>
      </c>
      <c r="X119">
        <v>0</v>
      </c>
      <c r="Y119">
        <v>2</v>
      </c>
      <c r="Z119">
        <v>100</v>
      </c>
      <c r="AA119">
        <v>0</v>
      </c>
      <c r="AB119">
        <v>1</v>
      </c>
      <c r="AC119">
        <v>1</v>
      </c>
      <c r="AD119">
        <v>0</v>
      </c>
      <c r="AE119">
        <v>793.2</v>
      </c>
      <c r="AF119">
        <f t="shared" si="4"/>
        <v>360</v>
      </c>
      <c r="AG119">
        <f t="shared" si="5"/>
        <v>125</v>
      </c>
      <c r="AH119">
        <f t="shared" si="6"/>
        <v>2028.4166666666667</v>
      </c>
      <c r="AI119">
        <v>11748.059328006542</v>
      </c>
      <c r="AJ119">
        <f>[1]F1XT_1!F118</f>
        <v>11748.059442</v>
      </c>
      <c r="AK119">
        <f t="shared" si="7"/>
        <v>1.1399345748941414E-4</v>
      </c>
    </row>
    <row r="120" spans="1:37" x14ac:dyDescent="0.25">
      <c r="A120" t="s">
        <v>39</v>
      </c>
      <c r="B120">
        <v>35</v>
      </c>
      <c r="C120">
        <v>32</v>
      </c>
      <c r="D120">
        <v>381.3</v>
      </c>
      <c r="E120">
        <v>867.1</v>
      </c>
      <c r="F120">
        <v>93.5</v>
      </c>
      <c r="G120">
        <v>1</v>
      </c>
      <c r="H120">
        <v>30</v>
      </c>
      <c r="I120">
        <v>12</v>
      </c>
      <c r="J120">
        <v>30000</v>
      </c>
      <c r="K120">
        <v>3.5</v>
      </c>
      <c r="L120">
        <v>0</v>
      </c>
      <c r="M120">
        <v>235</v>
      </c>
      <c r="N120">
        <v>15475.2</v>
      </c>
      <c r="O120">
        <v>106001</v>
      </c>
      <c r="P120">
        <v>91.8</v>
      </c>
      <c r="Q120">
        <v>0</v>
      </c>
      <c r="R120">
        <v>94.5</v>
      </c>
      <c r="S120">
        <v>37.5</v>
      </c>
      <c r="T120">
        <v>0</v>
      </c>
      <c r="U120">
        <v>157.5</v>
      </c>
      <c r="V120">
        <v>0</v>
      </c>
      <c r="W120">
        <v>0</v>
      </c>
      <c r="X120">
        <v>0</v>
      </c>
      <c r="Y120">
        <v>1</v>
      </c>
      <c r="Z120">
        <v>100</v>
      </c>
      <c r="AA120">
        <v>0</v>
      </c>
      <c r="AB120">
        <v>0</v>
      </c>
      <c r="AC120">
        <v>1</v>
      </c>
      <c r="AD120">
        <v>0</v>
      </c>
      <c r="AE120">
        <v>1248.4000000000001</v>
      </c>
      <c r="AF120">
        <f t="shared" si="4"/>
        <v>360</v>
      </c>
      <c r="AG120">
        <f t="shared" si="5"/>
        <v>125</v>
      </c>
      <c r="AH120">
        <f t="shared" si="6"/>
        <v>2028.4166666666667</v>
      </c>
      <c r="AI120">
        <v>16862.552667048698</v>
      </c>
      <c r="AJ120">
        <f>[1]F1XT_1!F119</f>
        <v>16862.552615000001</v>
      </c>
      <c r="AK120">
        <f t="shared" si="7"/>
        <v>-5.2048697398277E-5</v>
      </c>
    </row>
    <row r="121" spans="1:37" x14ac:dyDescent="0.25">
      <c r="A121" t="s">
        <v>39</v>
      </c>
      <c r="B121">
        <v>35</v>
      </c>
      <c r="C121">
        <v>39</v>
      </c>
      <c r="D121">
        <v>406.9</v>
      </c>
      <c r="E121">
        <v>1104.5</v>
      </c>
      <c r="F121">
        <v>129</v>
      </c>
      <c r="G121">
        <v>1</v>
      </c>
      <c r="H121">
        <v>25</v>
      </c>
      <c r="I121">
        <v>12</v>
      </c>
      <c r="J121">
        <v>30000</v>
      </c>
      <c r="K121">
        <v>3.5</v>
      </c>
      <c r="L121">
        <v>0</v>
      </c>
      <c r="M121">
        <v>235</v>
      </c>
      <c r="N121">
        <v>20690.900000000001</v>
      </c>
      <c r="O121">
        <v>106201</v>
      </c>
      <c r="P121">
        <v>109.5</v>
      </c>
      <c r="Q121">
        <v>0</v>
      </c>
      <c r="R121">
        <v>94.5</v>
      </c>
      <c r="S121">
        <v>45.4</v>
      </c>
      <c r="T121">
        <v>0</v>
      </c>
      <c r="U121">
        <v>157.5</v>
      </c>
      <c r="V121">
        <v>0</v>
      </c>
      <c r="W121">
        <v>0</v>
      </c>
      <c r="X121">
        <v>0</v>
      </c>
      <c r="Y121">
        <v>1</v>
      </c>
      <c r="Z121">
        <v>100</v>
      </c>
      <c r="AA121">
        <v>0</v>
      </c>
      <c r="AB121">
        <v>0</v>
      </c>
      <c r="AC121">
        <v>1</v>
      </c>
      <c r="AD121">
        <v>0</v>
      </c>
      <c r="AE121">
        <v>1511.4</v>
      </c>
      <c r="AF121">
        <f t="shared" si="4"/>
        <v>300</v>
      </c>
      <c r="AG121">
        <f t="shared" si="5"/>
        <v>65</v>
      </c>
      <c r="AH121">
        <f t="shared" si="6"/>
        <v>2023.4166666666667</v>
      </c>
      <c r="AI121">
        <v>22232.268849232009</v>
      </c>
      <c r="AJ121">
        <f>[1]F1XT_1!F120</f>
        <v>22232.268817</v>
      </c>
      <c r="AK121">
        <f t="shared" si="7"/>
        <v>-3.2232008379651234E-5</v>
      </c>
    </row>
    <row r="122" spans="1:37" x14ac:dyDescent="0.25">
      <c r="A122" t="s">
        <v>39</v>
      </c>
      <c r="B122">
        <v>35</v>
      </c>
      <c r="C122">
        <v>29</v>
      </c>
      <c r="D122">
        <v>612.9</v>
      </c>
      <c r="E122">
        <v>835.5</v>
      </c>
      <c r="F122">
        <v>95</v>
      </c>
      <c r="G122">
        <v>1</v>
      </c>
      <c r="H122">
        <v>30</v>
      </c>
      <c r="I122">
        <v>12</v>
      </c>
      <c r="J122">
        <v>30000</v>
      </c>
      <c r="K122">
        <v>3.5</v>
      </c>
      <c r="L122">
        <v>0</v>
      </c>
      <c r="M122">
        <v>236</v>
      </c>
      <c r="N122">
        <v>15531.1</v>
      </c>
      <c r="O122">
        <v>106901</v>
      </c>
      <c r="P122">
        <v>66.5</v>
      </c>
      <c r="Q122">
        <v>0</v>
      </c>
      <c r="R122">
        <v>94.5</v>
      </c>
      <c r="S122">
        <v>35.700000000000003</v>
      </c>
      <c r="T122">
        <v>258.7</v>
      </c>
      <c r="U122">
        <v>157.5</v>
      </c>
      <c r="V122">
        <v>0</v>
      </c>
      <c r="W122">
        <v>0</v>
      </c>
      <c r="X122">
        <v>0</v>
      </c>
      <c r="Y122">
        <v>2</v>
      </c>
      <c r="Z122">
        <v>100</v>
      </c>
      <c r="AA122">
        <v>0</v>
      </c>
      <c r="AB122">
        <v>1</v>
      </c>
      <c r="AC122">
        <v>1</v>
      </c>
      <c r="AD122">
        <v>1</v>
      </c>
      <c r="AE122">
        <v>1448.4</v>
      </c>
      <c r="AF122">
        <f t="shared" si="4"/>
        <v>360</v>
      </c>
      <c r="AG122">
        <f t="shared" si="5"/>
        <v>124</v>
      </c>
      <c r="AH122">
        <f t="shared" si="6"/>
        <v>2028.3333333333333</v>
      </c>
      <c r="AI122">
        <v>17718.839603315486</v>
      </c>
      <c r="AJ122">
        <f>[1]F1XT_1!F121</f>
        <v>17718.839773</v>
      </c>
      <c r="AK122">
        <f t="shared" si="7"/>
        <v>1.6968451382126659E-4</v>
      </c>
    </row>
    <row r="123" spans="1:37" x14ac:dyDescent="0.25">
      <c r="A123" t="s">
        <v>39</v>
      </c>
      <c r="B123">
        <v>35</v>
      </c>
      <c r="C123">
        <v>28</v>
      </c>
      <c r="D123">
        <v>468.7</v>
      </c>
      <c r="E123">
        <v>918</v>
      </c>
      <c r="F123">
        <v>92.9</v>
      </c>
      <c r="G123">
        <v>1</v>
      </c>
      <c r="H123">
        <v>35</v>
      </c>
      <c r="I123">
        <v>12</v>
      </c>
      <c r="J123">
        <v>40000</v>
      </c>
      <c r="K123">
        <v>3.5</v>
      </c>
      <c r="L123">
        <v>0</v>
      </c>
      <c r="M123">
        <v>235</v>
      </c>
      <c r="N123">
        <v>15758.8</v>
      </c>
      <c r="O123">
        <v>107401</v>
      </c>
      <c r="P123">
        <v>91.1</v>
      </c>
      <c r="Q123">
        <v>0</v>
      </c>
      <c r="R123">
        <v>126</v>
      </c>
      <c r="S123">
        <v>41.6</v>
      </c>
      <c r="T123">
        <v>0</v>
      </c>
      <c r="U123">
        <v>210</v>
      </c>
      <c r="V123">
        <v>0</v>
      </c>
      <c r="W123">
        <v>0</v>
      </c>
      <c r="X123">
        <v>0</v>
      </c>
      <c r="Y123">
        <v>2</v>
      </c>
      <c r="Z123">
        <v>100</v>
      </c>
      <c r="AA123">
        <v>0</v>
      </c>
      <c r="AB123">
        <v>1</v>
      </c>
      <c r="AC123">
        <v>1</v>
      </c>
      <c r="AD123">
        <v>0</v>
      </c>
      <c r="AE123">
        <v>1386.7</v>
      </c>
      <c r="AF123">
        <f t="shared" si="4"/>
        <v>420</v>
      </c>
      <c r="AG123">
        <f t="shared" si="5"/>
        <v>185</v>
      </c>
      <c r="AH123">
        <f t="shared" si="6"/>
        <v>2033.4166666666667</v>
      </c>
      <c r="AI123">
        <v>17347.077568297213</v>
      </c>
      <c r="AJ123">
        <f>[1]F1XT_1!F122</f>
        <v>17347.077872000002</v>
      </c>
      <c r="AK123">
        <f t="shared" si="7"/>
        <v>3.0370278909686022E-4</v>
      </c>
    </row>
    <row r="124" spans="1:37" x14ac:dyDescent="0.25">
      <c r="A124" t="s">
        <v>39</v>
      </c>
      <c r="B124">
        <v>35</v>
      </c>
      <c r="C124">
        <v>45</v>
      </c>
      <c r="D124">
        <v>0</v>
      </c>
      <c r="E124">
        <v>0</v>
      </c>
      <c r="F124">
        <v>128.1</v>
      </c>
      <c r="G124">
        <v>1</v>
      </c>
      <c r="H124">
        <v>25</v>
      </c>
      <c r="I124">
        <v>1</v>
      </c>
      <c r="J124">
        <v>13497.9</v>
      </c>
      <c r="K124">
        <v>3.5</v>
      </c>
      <c r="L124">
        <v>0</v>
      </c>
      <c r="M124">
        <v>235</v>
      </c>
      <c r="N124">
        <v>11525.6</v>
      </c>
      <c r="O124">
        <v>107501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2</v>
      </c>
      <c r="Z124">
        <v>100</v>
      </c>
      <c r="AA124">
        <v>0</v>
      </c>
      <c r="AB124">
        <v>1</v>
      </c>
      <c r="AC124">
        <v>1</v>
      </c>
      <c r="AD124">
        <v>0</v>
      </c>
      <c r="AE124">
        <v>1991.8</v>
      </c>
      <c r="AF124">
        <f t="shared" si="4"/>
        <v>300</v>
      </c>
      <c r="AG124">
        <f t="shared" si="5"/>
        <v>65</v>
      </c>
      <c r="AH124">
        <f t="shared" si="6"/>
        <v>2023.4166666666667</v>
      </c>
      <c r="AI124">
        <v>13278.885724733442</v>
      </c>
      <c r="AJ124">
        <f>[1]F1XT_1!F123</f>
        <v>13278.866732</v>
      </c>
      <c r="AK124">
        <f t="shared" si="7"/>
        <v>-1.8992733441336895E-2</v>
      </c>
    </row>
    <row r="125" spans="1:37" x14ac:dyDescent="0.25">
      <c r="A125" t="s">
        <v>39</v>
      </c>
      <c r="B125">
        <v>35</v>
      </c>
      <c r="C125">
        <v>26</v>
      </c>
      <c r="D125">
        <v>351</v>
      </c>
      <c r="E125">
        <v>831.7</v>
      </c>
      <c r="F125">
        <v>92.6</v>
      </c>
      <c r="G125">
        <v>1</v>
      </c>
      <c r="H125">
        <v>30</v>
      </c>
      <c r="I125">
        <v>12</v>
      </c>
      <c r="J125">
        <v>30000</v>
      </c>
      <c r="K125">
        <v>3.5</v>
      </c>
      <c r="L125">
        <v>0</v>
      </c>
      <c r="M125">
        <v>235</v>
      </c>
      <c r="N125">
        <v>15433.9</v>
      </c>
      <c r="O125">
        <v>110501</v>
      </c>
      <c r="P125">
        <v>63.5</v>
      </c>
      <c r="Q125">
        <v>0</v>
      </c>
      <c r="R125">
        <v>94.5</v>
      </c>
      <c r="S125">
        <v>35.5</v>
      </c>
      <c r="T125">
        <v>0</v>
      </c>
      <c r="U125">
        <v>157.5</v>
      </c>
      <c r="V125">
        <v>0</v>
      </c>
      <c r="W125">
        <v>0</v>
      </c>
      <c r="X125">
        <v>0</v>
      </c>
      <c r="Y125">
        <v>2</v>
      </c>
      <c r="Z125">
        <v>100</v>
      </c>
      <c r="AA125">
        <v>0</v>
      </c>
      <c r="AB125">
        <v>1</v>
      </c>
      <c r="AC125">
        <v>1</v>
      </c>
      <c r="AD125">
        <v>0</v>
      </c>
      <c r="AE125">
        <v>1182.7</v>
      </c>
      <c r="AF125">
        <f t="shared" si="4"/>
        <v>360</v>
      </c>
      <c r="AG125">
        <f t="shared" si="5"/>
        <v>125</v>
      </c>
      <c r="AH125">
        <f t="shared" si="6"/>
        <v>2028.4166666666667</v>
      </c>
      <c r="AI125">
        <v>17000.24299841141</v>
      </c>
      <c r="AJ125">
        <f>[1]F1XT_1!F124</f>
        <v>17000.243005</v>
      </c>
      <c r="AK125">
        <f t="shared" si="7"/>
        <v>6.5885906224139035E-6</v>
      </c>
    </row>
    <row r="126" spans="1:37" x14ac:dyDescent="0.25">
      <c r="A126" t="s">
        <v>39</v>
      </c>
      <c r="B126">
        <v>35</v>
      </c>
      <c r="C126">
        <v>31</v>
      </c>
      <c r="D126">
        <v>475.5</v>
      </c>
      <c r="E126">
        <v>1117.8</v>
      </c>
      <c r="F126">
        <v>123.5</v>
      </c>
      <c r="G126">
        <v>1</v>
      </c>
      <c r="H126">
        <v>30</v>
      </c>
      <c r="I126">
        <v>12</v>
      </c>
      <c r="J126">
        <v>40000</v>
      </c>
      <c r="K126">
        <v>3.5</v>
      </c>
      <c r="L126">
        <v>0</v>
      </c>
      <c r="M126">
        <v>235</v>
      </c>
      <c r="N126">
        <v>20585.900000000001</v>
      </c>
      <c r="O126">
        <v>110801</v>
      </c>
      <c r="P126">
        <v>91.7</v>
      </c>
      <c r="Q126">
        <v>0</v>
      </c>
      <c r="R126">
        <v>126</v>
      </c>
      <c r="S126">
        <v>47.8</v>
      </c>
      <c r="T126">
        <v>0</v>
      </c>
      <c r="U126">
        <v>210</v>
      </c>
      <c r="V126">
        <v>0</v>
      </c>
      <c r="W126">
        <v>0</v>
      </c>
      <c r="X126">
        <v>0</v>
      </c>
      <c r="Y126">
        <v>2</v>
      </c>
      <c r="Z126">
        <v>100</v>
      </c>
      <c r="AA126">
        <v>0</v>
      </c>
      <c r="AB126">
        <v>1</v>
      </c>
      <c r="AC126">
        <v>1</v>
      </c>
      <c r="AD126">
        <v>0</v>
      </c>
      <c r="AE126">
        <v>1593.3</v>
      </c>
      <c r="AF126">
        <f t="shared" si="4"/>
        <v>360</v>
      </c>
      <c r="AG126">
        <f t="shared" si="5"/>
        <v>125</v>
      </c>
      <c r="AH126">
        <f t="shared" si="6"/>
        <v>2028.4166666666667</v>
      </c>
      <c r="AI126">
        <v>22197.923989469651</v>
      </c>
      <c r="AJ126">
        <f>[1]F1XT_1!F125</f>
        <v>22197.924229</v>
      </c>
      <c r="AK126">
        <f t="shared" si="7"/>
        <v>2.3953034906298853E-4</v>
      </c>
    </row>
    <row r="127" spans="1:37" x14ac:dyDescent="0.25">
      <c r="A127" t="s">
        <v>39</v>
      </c>
      <c r="B127">
        <v>35</v>
      </c>
      <c r="C127">
        <v>17</v>
      </c>
      <c r="D127">
        <v>0</v>
      </c>
      <c r="E127">
        <v>0</v>
      </c>
      <c r="F127">
        <v>23.4</v>
      </c>
      <c r="G127">
        <v>1</v>
      </c>
      <c r="H127">
        <v>40</v>
      </c>
      <c r="I127">
        <v>1</v>
      </c>
      <c r="J127">
        <v>1318.7</v>
      </c>
      <c r="K127">
        <v>3.5</v>
      </c>
      <c r="L127">
        <v>0</v>
      </c>
      <c r="M127">
        <v>235</v>
      </c>
      <c r="N127">
        <v>743.2</v>
      </c>
      <c r="O127">
        <v>111101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2</v>
      </c>
      <c r="Z127">
        <v>100</v>
      </c>
      <c r="AA127">
        <v>0</v>
      </c>
      <c r="AB127">
        <v>1</v>
      </c>
      <c r="AC127">
        <v>1</v>
      </c>
      <c r="AD127">
        <v>0</v>
      </c>
      <c r="AE127">
        <v>1820.3</v>
      </c>
      <c r="AF127">
        <f t="shared" si="4"/>
        <v>480</v>
      </c>
      <c r="AG127">
        <f t="shared" si="5"/>
        <v>245</v>
      </c>
      <c r="AH127">
        <f t="shared" si="6"/>
        <v>2038.4166666666667</v>
      </c>
      <c r="AI127">
        <v>3008.9712768980003</v>
      </c>
      <c r="AJ127">
        <f>[1]F1XT_1!F126</f>
        <v>3008.9546409999998</v>
      </c>
      <c r="AK127">
        <f t="shared" si="7"/>
        <v>-1.6635898000458837E-2</v>
      </c>
    </row>
    <row r="128" spans="1:37" x14ac:dyDescent="0.25">
      <c r="A128" t="s">
        <v>39</v>
      </c>
      <c r="B128">
        <v>35</v>
      </c>
      <c r="C128">
        <v>42</v>
      </c>
      <c r="D128">
        <v>0</v>
      </c>
      <c r="E128">
        <v>0</v>
      </c>
      <c r="F128">
        <v>96.1</v>
      </c>
      <c r="G128">
        <v>1</v>
      </c>
      <c r="H128">
        <v>25</v>
      </c>
      <c r="I128">
        <v>1</v>
      </c>
      <c r="J128">
        <v>4625.8999999999996</v>
      </c>
      <c r="K128">
        <v>3.5</v>
      </c>
      <c r="L128">
        <v>0</v>
      </c>
      <c r="M128">
        <v>235</v>
      </c>
      <c r="N128">
        <v>3946.8</v>
      </c>
      <c r="O128">
        <v>112201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2</v>
      </c>
      <c r="Z128">
        <v>100</v>
      </c>
      <c r="AA128">
        <v>0</v>
      </c>
      <c r="AB128">
        <v>1</v>
      </c>
      <c r="AC128">
        <v>1</v>
      </c>
      <c r="AD128">
        <v>0</v>
      </c>
      <c r="AE128">
        <v>2721.2</v>
      </c>
      <c r="AF128">
        <f t="shared" si="4"/>
        <v>300</v>
      </c>
      <c r="AG128">
        <f t="shared" si="5"/>
        <v>65</v>
      </c>
      <c r="AH128">
        <f t="shared" si="6"/>
        <v>2023.4166666666667</v>
      </c>
      <c r="AI128">
        <v>5081.0345656165828</v>
      </c>
      <c r="AJ128">
        <f>[1]F1XT_1!F127</f>
        <v>5081.0280210000001</v>
      </c>
      <c r="AK128">
        <f t="shared" si="7"/>
        <v>-6.5446165826870129E-3</v>
      </c>
    </row>
    <row r="129" spans="1:37" x14ac:dyDescent="0.25">
      <c r="A129" t="s">
        <v>39</v>
      </c>
      <c r="B129">
        <v>35</v>
      </c>
      <c r="C129">
        <v>33</v>
      </c>
      <c r="D129">
        <v>479.3</v>
      </c>
      <c r="E129">
        <v>1122.5</v>
      </c>
      <c r="F129">
        <v>123.5</v>
      </c>
      <c r="G129">
        <v>1</v>
      </c>
      <c r="H129">
        <v>30</v>
      </c>
      <c r="I129">
        <v>12</v>
      </c>
      <c r="J129">
        <v>40000</v>
      </c>
      <c r="K129">
        <v>3.5</v>
      </c>
      <c r="L129">
        <v>0</v>
      </c>
      <c r="M129">
        <v>235</v>
      </c>
      <c r="N129">
        <v>20593.599999999999</v>
      </c>
      <c r="O129">
        <v>112301</v>
      </c>
      <c r="P129">
        <v>95.2</v>
      </c>
      <c r="Q129">
        <v>0</v>
      </c>
      <c r="R129">
        <v>126</v>
      </c>
      <c r="S129">
        <v>48.1</v>
      </c>
      <c r="T129">
        <v>0</v>
      </c>
      <c r="U129">
        <v>210</v>
      </c>
      <c r="V129">
        <v>0</v>
      </c>
      <c r="W129">
        <v>0</v>
      </c>
      <c r="X129">
        <v>0</v>
      </c>
      <c r="Y129">
        <v>2</v>
      </c>
      <c r="Z129">
        <v>100</v>
      </c>
      <c r="AA129">
        <v>0</v>
      </c>
      <c r="AB129">
        <v>1</v>
      </c>
      <c r="AC129">
        <v>1</v>
      </c>
      <c r="AD129">
        <v>0</v>
      </c>
      <c r="AE129">
        <v>1601.8</v>
      </c>
      <c r="AF129">
        <f t="shared" si="4"/>
        <v>360</v>
      </c>
      <c r="AG129">
        <f t="shared" si="5"/>
        <v>125</v>
      </c>
      <c r="AH129">
        <f t="shared" si="6"/>
        <v>2028.4166666666667</v>
      </c>
      <c r="AI129">
        <v>22584.540198478597</v>
      </c>
      <c r="AJ129">
        <f>[1]F1XT_1!F128</f>
        <v>22584.540272999999</v>
      </c>
      <c r="AK129">
        <f t="shared" si="7"/>
        <v>7.4521401984384283E-5</v>
      </c>
    </row>
    <row r="130" spans="1:37" x14ac:dyDescent="0.25">
      <c r="A130" t="s">
        <v>39</v>
      </c>
      <c r="B130">
        <v>35</v>
      </c>
      <c r="C130">
        <v>33</v>
      </c>
      <c r="D130">
        <v>513.29999999999995</v>
      </c>
      <c r="E130">
        <v>1161.7</v>
      </c>
      <c r="F130">
        <v>125.3</v>
      </c>
      <c r="G130">
        <v>1</v>
      </c>
      <c r="H130">
        <v>30</v>
      </c>
      <c r="I130">
        <v>12</v>
      </c>
      <c r="J130">
        <v>40000</v>
      </c>
      <c r="K130">
        <v>3.5</v>
      </c>
      <c r="L130">
        <v>0</v>
      </c>
      <c r="M130">
        <v>235</v>
      </c>
      <c r="N130">
        <v>20648.7</v>
      </c>
      <c r="O130">
        <v>112401</v>
      </c>
      <c r="P130">
        <v>127</v>
      </c>
      <c r="Q130">
        <v>0</v>
      </c>
      <c r="R130">
        <v>126</v>
      </c>
      <c r="S130">
        <v>50.3</v>
      </c>
      <c r="T130">
        <v>0</v>
      </c>
      <c r="U130">
        <v>210</v>
      </c>
      <c r="V130">
        <v>0</v>
      </c>
      <c r="W130">
        <v>0</v>
      </c>
      <c r="X130">
        <v>0</v>
      </c>
      <c r="Y130">
        <v>1</v>
      </c>
      <c r="Z130">
        <v>100</v>
      </c>
      <c r="AA130">
        <v>0</v>
      </c>
      <c r="AB130">
        <v>0</v>
      </c>
      <c r="AC130">
        <v>1</v>
      </c>
      <c r="AD130">
        <v>0</v>
      </c>
      <c r="AE130">
        <v>1675</v>
      </c>
      <c r="AF130">
        <f t="shared" si="4"/>
        <v>360</v>
      </c>
      <c r="AG130">
        <f t="shared" si="5"/>
        <v>125</v>
      </c>
      <c r="AH130">
        <f t="shared" si="6"/>
        <v>2028.4166666666667</v>
      </c>
      <c r="AI130">
        <v>22242.008950048774</v>
      </c>
      <c r="AJ130">
        <f>[1]F1XT_1!F129</f>
        <v>22242.008870000001</v>
      </c>
      <c r="AK130">
        <f t="shared" si="7"/>
        <v>-8.0048772360896692E-5</v>
      </c>
    </row>
    <row r="131" spans="1:37" x14ac:dyDescent="0.25">
      <c r="A131" t="s">
        <v>39</v>
      </c>
      <c r="B131">
        <v>35</v>
      </c>
      <c r="C131">
        <v>25</v>
      </c>
      <c r="D131">
        <v>350.1</v>
      </c>
      <c r="E131">
        <v>830.6</v>
      </c>
      <c r="F131">
        <v>92.6</v>
      </c>
      <c r="G131">
        <v>1</v>
      </c>
      <c r="H131">
        <v>30</v>
      </c>
      <c r="I131">
        <v>12</v>
      </c>
      <c r="J131">
        <v>30000</v>
      </c>
      <c r="K131">
        <v>3.5</v>
      </c>
      <c r="L131">
        <v>0</v>
      </c>
      <c r="M131">
        <v>235</v>
      </c>
      <c r="N131">
        <v>15435.2</v>
      </c>
      <c r="O131">
        <v>113301</v>
      </c>
      <c r="P131">
        <v>62.7</v>
      </c>
      <c r="Q131">
        <v>0</v>
      </c>
      <c r="R131">
        <v>94.5</v>
      </c>
      <c r="S131">
        <v>35.4</v>
      </c>
      <c r="T131">
        <v>0</v>
      </c>
      <c r="U131">
        <v>157.5</v>
      </c>
      <c r="V131">
        <v>0</v>
      </c>
      <c r="W131">
        <v>0</v>
      </c>
      <c r="X131">
        <v>0</v>
      </c>
      <c r="Y131">
        <v>2</v>
      </c>
      <c r="Z131">
        <v>100</v>
      </c>
      <c r="AA131">
        <v>0</v>
      </c>
      <c r="AB131">
        <v>1</v>
      </c>
      <c r="AC131">
        <v>1</v>
      </c>
      <c r="AD131">
        <v>0</v>
      </c>
      <c r="AE131">
        <v>1180.7</v>
      </c>
      <c r="AF131">
        <f t="shared" si="4"/>
        <v>360</v>
      </c>
      <c r="AG131">
        <f t="shared" si="5"/>
        <v>125</v>
      </c>
      <c r="AH131">
        <f t="shared" si="6"/>
        <v>2028.4166666666667</v>
      </c>
      <c r="AI131">
        <v>17006.909340022768</v>
      </c>
      <c r="AJ131">
        <f>[1]F1XT_1!F130</f>
        <v>17006.909320999999</v>
      </c>
      <c r="AK131">
        <f t="shared" si="7"/>
        <v>-1.9022769265575334E-5</v>
      </c>
    </row>
    <row r="132" spans="1:37" x14ac:dyDescent="0.25">
      <c r="A132" t="s">
        <v>39</v>
      </c>
      <c r="B132">
        <v>35</v>
      </c>
      <c r="C132">
        <v>37</v>
      </c>
      <c r="D132">
        <v>368.2</v>
      </c>
      <c r="E132">
        <v>1059.7</v>
      </c>
      <c r="F132">
        <v>127</v>
      </c>
      <c r="G132">
        <v>1</v>
      </c>
      <c r="H132">
        <v>25</v>
      </c>
      <c r="I132">
        <v>12</v>
      </c>
      <c r="J132">
        <v>30000</v>
      </c>
      <c r="K132">
        <v>3.5</v>
      </c>
      <c r="L132">
        <v>0</v>
      </c>
      <c r="M132">
        <v>235</v>
      </c>
      <c r="N132">
        <v>20747.3</v>
      </c>
      <c r="O132">
        <v>113801</v>
      </c>
      <c r="P132">
        <v>73.400000000000006</v>
      </c>
      <c r="Q132">
        <v>0</v>
      </c>
      <c r="R132">
        <v>94.5</v>
      </c>
      <c r="S132">
        <v>42.8</v>
      </c>
      <c r="T132">
        <v>0</v>
      </c>
      <c r="U132">
        <v>157.5</v>
      </c>
      <c r="V132">
        <v>0</v>
      </c>
      <c r="W132">
        <v>0</v>
      </c>
      <c r="X132">
        <v>0</v>
      </c>
      <c r="Y132">
        <v>2</v>
      </c>
      <c r="Z132">
        <v>100</v>
      </c>
      <c r="AA132">
        <v>0</v>
      </c>
      <c r="AB132">
        <v>1</v>
      </c>
      <c r="AC132">
        <v>1</v>
      </c>
      <c r="AD132">
        <v>0</v>
      </c>
      <c r="AE132">
        <v>1427.9</v>
      </c>
      <c r="AF132">
        <f t="shared" si="4"/>
        <v>300</v>
      </c>
      <c r="AG132">
        <f t="shared" si="5"/>
        <v>65</v>
      </c>
      <c r="AH132">
        <f t="shared" si="6"/>
        <v>2023.4166666666667</v>
      </c>
      <c r="AI132">
        <v>22023.337551303892</v>
      </c>
      <c r="AJ132">
        <f>[1]F1XT_1!F131</f>
        <v>22023.337534999999</v>
      </c>
      <c r="AK132">
        <f t="shared" si="7"/>
        <v>-1.6303893062286079E-5</v>
      </c>
    </row>
    <row r="133" spans="1:37" x14ac:dyDescent="0.25">
      <c r="A133" t="s">
        <v>39</v>
      </c>
      <c r="B133">
        <v>35</v>
      </c>
      <c r="C133">
        <v>40</v>
      </c>
      <c r="D133">
        <v>412.7</v>
      </c>
      <c r="E133">
        <v>1111.5999999999999</v>
      </c>
      <c r="F133">
        <v>129.1</v>
      </c>
      <c r="G133">
        <v>1</v>
      </c>
      <c r="H133">
        <v>25</v>
      </c>
      <c r="I133">
        <v>12</v>
      </c>
      <c r="J133">
        <v>30000</v>
      </c>
      <c r="K133">
        <v>3.5</v>
      </c>
      <c r="L133">
        <v>0</v>
      </c>
      <c r="M133">
        <v>235</v>
      </c>
      <c r="N133">
        <v>20680.3</v>
      </c>
      <c r="O133">
        <v>113901</v>
      </c>
      <c r="P133">
        <v>115</v>
      </c>
      <c r="Q133">
        <v>0</v>
      </c>
      <c r="R133">
        <v>94.5</v>
      </c>
      <c r="S133">
        <v>45.7</v>
      </c>
      <c r="T133">
        <v>0</v>
      </c>
      <c r="U133">
        <v>157.5</v>
      </c>
      <c r="V133">
        <v>0</v>
      </c>
      <c r="W133">
        <v>0</v>
      </c>
      <c r="X133">
        <v>0</v>
      </c>
      <c r="Y133">
        <v>1</v>
      </c>
      <c r="Z133">
        <v>100</v>
      </c>
      <c r="AA133">
        <v>0</v>
      </c>
      <c r="AB133">
        <v>0</v>
      </c>
      <c r="AC133">
        <v>1</v>
      </c>
      <c r="AD133">
        <v>0</v>
      </c>
      <c r="AE133">
        <v>1524.3</v>
      </c>
      <c r="AF133">
        <f t="shared" si="4"/>
        <v>300</v>
      </c>
      <c r="AG133">
        <f t="shared" si="5"/>
        <v>65</v>
      </c>
      <c r="AH133">
        <f t="shared" si="6"/>
        <v>2023.4166666666667</v>
      </c>
      <c r="AI133">
        <v>22456.681629249182</v>
      </c>
      <c r="AJ133">
        <f>[1]F1XT_1!F132</f>
        <v>22456.681601</v>
      </c>
      <c r="AK133">
        <f t="shared" si="7"/>
        <v>-2.824918192345649E-5</v>
      </c>
    </row>
    <row r="134" spans="1:37" x14ac:dyDescent="0.25">
      <c r="A134" t="s">
        <v>39</v>
      </c>
      <c r="B134">
        <v>35</v>
      </c>
      <c r="C134">
        <v>43</v>
      </c>
      <c r="D134">
        <v>0</v>
      </c>
      <c r="E134">
        <v>758.8</v>
      </c>
      <c r="F134">
        <v>86.7</v>
      </c>
      <c r="G134">
        <v>1</v>
      </c>
      <c r="H134">
        <v>25</v>
      </c>
      <c r="I134">
        <v>12</v>
      </c>
      <c r="J134">
        <v>20000</v>
      </c>
      <c r="K134">
        <v>3.5</v>
      </c>
      <c r="L134">
        <v>0</v>
      </c>
      <c r="M134">
        <v>235</v>
      </c>
      <c r="N134">
        <v>13758.3</v>
      </c>
      <c r="O134">
        <v>114601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1</v>
      </c>
      <c r="Z134">
        <v>100</v>
      </c>
      <c r="AA134">
        <v>0</v>
      </c>
      <c r="AB134">
        <v>0</v>
      </c>
      <c r="AC134">
        <v>1</v>
      </c>
      <c r="AD134">
        <v>1.5</v>
      </c>
      <c r="AE134">
        <v>758.8</v>
      </c>
      <c r="AF134">
        <f t="shared" si="4"/>
        <v>300</v>
      </c>
      <c r="AG134">
        <f t="shared" si="5"/>
        <v>65</v>
      </c>
      <c r="AH134">
        <f t="shared" si="6"/>
        <v>2023.4166666666667</v>
      </c>
      <c r="AI134">
        <v>15408.174268168368</v>
      </c>
      <c r="AJ134">
        <f>[1]F1XT_1!F133</f>
        <v>15408.174285999999</v>
      </c>
      <c r="AK134">
        <f t="shared" si="7"/>
        <v>1.7831631339504384E-5</v>
      </c>
    </row>
    <row r="135" spans="1:37" x14ac:dyDescent="0.25">
      <c r="A135" t="s">
        <v>39</v>
      </c>
      <c r="B135">
        <v>35</v>
      </c>
      <c r="C135">
        <v>41</v>
      </c>
      <c r="D135">
        <v>250.9</v>
      </c>
      <c r="E135">
        <v>713</v>
      </c>
      <c r="F135">
        <v>85.1</v>
      </c>
      <c r="G135">
        <v>1</v>
      </c>
      <c r="H135">
        <v>25</v>
      </c>
      <c r="I135">
        <v>12</v>
      </c>
      <c r="J135">
        <v>20000</v>
      </c>
      <c r="K135">
        <v>3.5</v>
      </c>
      <c r="L135">
        <v>0</v>
      </c>
      <c r="M135">
        <v>235</v>
      </c>
      <c r="N135">
        <v>13818</v>
      </c>
      <c r="O135">
        <v>114701</v>
      </c>
      <c r="P135">
        <v>54</v>
      </c>
      <c r="Q135">
        <v>0</v>
      </c>
      <c r="R135">
        <v>63</v>
      </c>
      <c r="S135">
        <v>28.9</v>
      </c>
      <c r="T135">
        <v>0</v>
      </c>
      <c r="U135">
        <v>105</v>
      </c>
      <c r="V135">
        <v>0</v>
      </c>
      <c r="W135">
        <v>0</v>
      </c>
      <c r="X135">
        <v>0</v>
      </c>
      <c r="Y135">
        <v>2</v>
      </c>
      <c r="Z135">
        <v>100</v>
      </c>
      <c r="AA135">
        <v>0</v>
      </c>
      <c r="AB135">
        <v>1</v>
      </c>
      <c r="AC135">
        <v>1</v>
      </c>
      <c r="AD135">
        <v>0</v>
      </c>
      <c r="AE135">
        <v>963.9</v>
      </c>
      <c r="AF135">
        <f t="shared" ref="AF135:AF198" si="8">H135*12</f>
        <v>300</v>
      </c>
      <c r="AG135">
        <f t="shared" ref="AG135:AG198" si="9">AF135-M135</f>
        <v>65</v>
      </c>
      <c r="AH135">
        <f t="shared" ref="AH135:AH198" si="10">2018+AG135/12</f>
        <v>2023.4166666666667</v>
      </c>
      <c r="AI135">
        <v>15512.116472192267</v>
      </c>
      <c r="AJ135">
        <f>[1]F1XT_1!F134</f>
        <v>15512.116459000001</v>
      </c>
      <c r="AK135">
        <f t="shared" ref="AK135:AK198" si="11">AJ135-AI135</f>
        <v>-1.3192266123951413E-5</v>
      </c>
    </row>
    <row r="136" spans="1:37" x14ac:dyDescent="0.25">
      <c r="A136" t="s">
        <v>39</v>
      </c>
      <c r="B136">
        <v>35</v>
      </c>
      <c r="C136">
        <v>35</v>
      </c>
      <c r="D136">
        <v>780.4</v>
      </c>
      <c r="E136">
        <v>1031.2</v>
      </c>
      <c r="F136">
        <v>124.6</v>
      </c>
      <c r="G136">
        <v>1</v>
      </c>
      <c r="H136">
        <v>25</v>
      </c>
      <c r="I136">
        <v>1</v>
      </c>
      <c r="J136">
        <v>30000</v>
      </c>
      <c r="K136">
        <v>3.5</v>
      </c>
      <c r="L136">
        <v>0</v>
      </c>
      <c r="M136">
        <v>234</v>
      </c>
      <c r="N136">
        <v>20590</v>
      </c>
      <c r="O136">
        <v>116501</v>
      </c>
      <c r="P136">
        <v>87.8</v>
      </c>
      <c r="Q136">
        <v>0</v>
      </c>
      <c r="R136">
        <v>90</v>
      </c>
      <c r="S136">
        <v>42</v>
      </c>
      <c r="T136">
        <v>410.6</v>
      </c>
      <c r="U136">
        <v>150</v>
      </c>
      <c r="V136">
        <v>0</v>
      </c>
      <c r="W136">
        <v>0</v>
      </c>
      <c r="X136">
        <v>0</v>
      </c>
      <c r="Y136">
        <v>1</v>
      </c>
      <c r="Z136">
        <v>100</v>
      </c>
      <c r="AA136">
        <v>0</v>
      </c>
      <c r="AB136">
        <v>0</v>
      </c>
      <c r="AC136">
        <v>1</v>
      </c>
      <c r="AD136">
        <v>1.6666000000000001</v>
      </c>
      <c r="AE136">
        <v>1811.6</v>
      </c>
      <c r="AF136">
        <f t="shared" si="8"/>
        <v>300</v>
      </c>
      <c r="AG136">
        <f t="shared" si="9"/>
        <v>66</v>
      </c>
      <c r="AH136">
        <f t="shared" si="10"/>
        <v>2023.5</v>
      </c>
      <c r="AI136">
        <v>23033.647501781921</v>
      </c>
      <c r="AJ136">
        <f>[1]F1XT_1!F135</f>
        <v>23033.647492</v>
      </c>
      <c r="AK136">
        <f t="shared" si="11"/>
        <v>-9.7819211077876389E-6</v>
      </c>
    </row>
    <row r="137" spans="1:37" x14ac:dyDescent="0.25">
      <c r="A137" t="s">
        <v>39</v>
      </c>
      <c r="B137">
        <v>35</v>
      </c>
      <c r="C137">
        <v>34</v>
      </c>
      <c r="D137">
        <v>741.5</v>
      </c>
      <c r="E137">
        <v>934.4</v>
      </c>
      <c r="F137">
        <v>93.5</v>
      </c>
      <c r="G137">
        <v>1</v>
      </c>
      <c r="H137">
        <v>35</v>
      </c>
      <c r="I137">
        <v>12</v>
      </c>
      <c r="J137">
        <v>40000</v>
      </c>
      <c r="K137">
        <v>3.5</v>
      </c>
      <c r="L137">
        <v>0</v>
      </c>
      <c r="M137">
        <v>235</v>
      </c>
      <c r="N137">
        <v>15832.8</v>
      </c>
      <c r="O137">
        <v>117201</v>
      </c>
      <c r="P137">
        <v>104.3</v>
      </c>
      <c r="Q137">
        <v>0</v>
      </c>
      <c r="R137">
        <v>126</v>
      </c>
      <c r="S137">
        <v>42.5</v>
      </c>
      <c r="T137">
        <v>258.7</v>
      </c>
      <c r="U137">
        <v>210</v>
      </c>
      <c r="V137">
        <v>0</v>
      </c>
      <c r="W137">
        <v>0</v>
      </c>
      <c r="X137">
        <v>0</v>
      </c>
      <c r="Y137">
        <v>2</v>
      </c>
      <c r="Z137">
        <v>100</v>
      </c>
      <c r="AA137">
        <v>0</v>
      </c>
      <c r="AB137">
        <v>1</v>
      </c>
      <c r="AC137">
        <v>1</v>
      </c>
      <c r="AD137">
        <v>0.75</v>
      </c>
      <c r="AE137">
        <v>1675.9</v>
      </c>
      <c r="AF137">
        <f t="shared" si="8"/>
        <v>420</v>
      </c>
      <c r="AG137">
        <f t="shared" si="9"/>
        <v>185</v>
      </c>
      <c r="AH137">
        <f t="shared" si="10"/>
        <v>2033.4166666666667</v>
      </c>
      <c r="AI137">
        <v>18943.038910361411</v>
      </c>
      <c r="AJ137">
        <f>[1]F1XT_1!F136</f>
        <v>18943.038708</v>
      </c>
      <c r="AK137">
        <f t="shared" si="11"/>
        <v>-2.0236141062923707E-4</v>
      </c>
    </row>
    <row r="138" spans="1:37" x14ac:dyDescent="0.25">
      <c r="A138" t="s">
        <v>39</v>
      </c>
      <c r="B138">
        <v>35</v>
      </c>
      <c r="C138">
        <v>34</v>
      </c>
      <c r="D138">
        <v>789.7</v>
      </c>
      <c r="E138">
        <v>990.7</v>
      </c>
      <c r="F138">
        <v>97.5</v>
      </c>
      <c r="G138">
        <v>1</v>
      </c>
      <c r="H138">
        <v>35</v>
      </c>
      <c r="I138">
        <v>12</v>
      </c>
      <c r="J138">
        <v>40000</v>
      </c>
      <c r="K138">
        <v>3.5</v>
      </c>
      <c r="L138">
        <v>0</v>
      </c>
      <c r="M138">
        <v>235</v>
      </c>
      <c r="N138">
        <v>16133.6</v>
      </c>
      <c r="O138">
        <v>117301</v>
      </c>
      <c r="P138">
        <v>149.30000000000001</v>
      </c>
      <c r="Q138">
        <v>0</v>
      </c>
      <c r="R138">
        <v>126</v>
      </c>
      <c r="S138">
        <v>45.7</v>
      </c>
      <c r="T138">
        <v>258.7</v>
      </c>
      <c r="U138">
        <v>210</v>
      </c>
      <c r="V138">
        <v>0</v>
      </c>
      <c r="W138">
        <v>0</v>
      </c>
      <c r="X138">
        <v>0</v>
      </c>
      <c r="Y138">
        <v>1</v>
      </c>
      <c r="Z138">
        <v>100</v>
      </c>
      <c r="AA138">
        <v>0</v>
      </c>
      <c r="AB138">
        <v>0</v>
      </c>
      <c r="AC138">
        <v>1</v>
      </c>
      <c r="AD138">
        <v>0.75</v>
      </c>
      <c r="AE138">
        <v>1780.4</v>
      </c>
      <c r="AF138">
        <f t="shared" si="8"/>
        <v>420</v>
      </c>
      <c r="AG138">
        <f t="shared" si="9"/>
        <v>185</v>
      </c>
      <c r="AH138">
        <f t="shared" si="10"/>
        <v>2033.4166666666667</v>
      </c>
      <c r="AI138">
        <v>18480.606191227482</v>
      </c>
      <c r="AJ138">
        <f>[1]F1XT_1!F137</f>
        <v>18480.606071999999</v>
      </c>
      <c r="AK138">
        <f t="shared" si="11"/>
        <v>-1.1922748308279552E-4</v>
      </c>
    </row>
    <row r="139" spans="1:37" x14ac:dyDescent="0.25">
      <c r="A139" t="s">
        <v>39</v>
      </c>
      <c r="B139">
        <v>35</v>
      </c>
      <c r="C139">
        <v>21</v>
      </c>
      <c r="D139">
        <v>601.20000000000005</v>
      </c>
      <c r="E139">
        <v>997.6</v>
      </c>
      <c r="F139">
        <v>86.6</v>
      </c>
      <c r="G139">
        <v>1</v>
      </c>
      <c r="H139">
        <v>40</v>
      </c>
      <c r="I139">
        <v>12</v>
      </c>
      <c r="J139">
        <v>50000</v>
      </c>
      <c r="K139">
        <v>3.5</v>
      </c>
      <c r="L139">
        <v>0</v>
      </c>
      <c r="M139">
        <v>235</v>
      </c>
      <c r="N139">
        <v>15342.9</v>
      </c>
      <c r="O139">
        <v>118501</v>
      </c>
      <c r="P139">
        <v>133.19999999999999</v>
      </c>
      <c r="Q139">
        <v>0</v>
      </c>
      <c r="R139">
        <v>157.5</v>
      </c>
      <c r="S139">
        <v>48</v>
      </c>
      <c r="T139">
        <v>0</v>
      </c>
      <c r="U139">
        <v>262.5</v>
      </c>
      <c r="V139">
        <v>0</v>
      </c>
      <c r="W139">
        <v>0</v>
      </c>
      <c r="X139">
        <v>0</v>
      </c>
      <c r="Y139">
        <v>1</v>
      </c>
      <c r="Z139">
        <v>100</v>
      </c>
      <c r="AA139">
        <v>0</v>
      </c>
      <c r="AB139">
        <v>0</v>
      </c>
      <c r="AC139">
        <v>1</v>
      </c>
      <c r="AD139">
        <v>0</v>
      </c>
      <c r="AE139">
        <v>1598.8</v>
      </c>
      <c r="AF139">
        <f t="shared" si="8"/>
        <v>480</v>
      </c>
      <c r="AG139">
        <f t="shared" si="9"/>
        <v>245</v>
      </c>
      <c r="AH139">
        <f t="shared" si="10"/>
        <v>2038.4166666666667</v>
      </c>
      <c r="AI139">
        <v>14989.211627084536</v>
      </c>
      <c r="AJ139">
        <f>[1]F1XT_1!F138</f>
        <v>14989.211090000001</v>
      </c>
      <c r="AK139">
        <f t="shared" si="11"/>
        <v>-5.3708453560830094E-4</v>
      </c>
    </row>
    <row r="140" spans="1:37" x14ac:dyDescent="0.25">
      <c r="A140" t="s">
        <v>39</v>
      </c>
      <c r="B140">
        <v>35</v>
      </c>
      <c r="C140">
        <v>20</v>
      </c>
      <c r="D140">
        <v>677.7</v>
      </c>
      <c r="E140">
        <v>696.7</v>
      </c>
      <c r="F140">
        <v>58.4</v>
      </c>
      <c r="G140">
        <v>1</v>
      </c>
      <c r="H140">
        <v>40</v>
      </c>
      <c r="I140">
        <v>12</v>
      </c>
      <c r="J140">
        <v>35000</v>
      </c>
      <c r="K140">
        <v>3.5</v>
      </c>
      <c r="L140">
        <v>0</v>
      </c>
      <c r="M140">
        <v>234</v>
      </c>
      <c r="N140">
        <v>10633</v>
      </c>
      <c r="O140">
        <v>119501</v>
      </c>
      <c r="P140">
        <v>91.4</v>
      </c>
      <c r="Q140">
        <v>0</v>
      </c>
      <c r="R140">
        <v>110.3</v>
      </c>
      <c r="S140">
        <v>33.5</v>
      </c>
      <c r="T140">
        <v>258.7</v>
      </c>
      <c r="U140">
        <v>183.8</v>
      </c>
      <c r="V140">
        <v>0</v>
      </c>
      <c r="W140">
        <v>0</v>
      </c>
      <c r="X140">
        <v>0</v>
      </c>
      <c r="Y140">
        <v>1</v>
      </c>
      <c r="Z140">
        <v>100</v>
      </c>
      <c r="AA140">
        <v>0</v>
      </c>
      <c r="AB140">
        <v>0</v>
      </c>
      <c r="AC140">
        <v>1</v>
      </c>
      <c r="AD140">
        <v>0.85699999999999998</v>
      </c>
      <c r="AE140">
        <v>1374.4</v>
      </c>
      <c r="AF140">
        <f t="shared" si="8"/>
        <v>480</v>
      </c>
      <c r="AG140">
        <f t="shared" si="9"/>
        <v>246</v>
      </c>
      <c r="AH140">
        <f t="shared" si="10"/>
        <v>2038.5</v>
      </c>
      <c r="AI140">
        <v>12013.52100385602</v>
      </c>
      <c r="AJ140">
        <f>[1]F1XT_1!F139</f>
        <v>12013.520646000001</v>
      </c>
      <c r="AK140">
        <f t="shared" si="11"/>
        <v>-3.578560190362623E-4</v>
      </c>
    </row>
    <row r="141" spans="1:37" x14ac:dyDescent="0.25">
      <c r="A141" t="s">
        <v>39</v>
      </c>
      <c r="B141">
        <v>35</v>
      </c>
      <c r="C141">
        <v>40</v>
      </c>
      <c r="D141">
        <v>671.4</v>
      </c>
      <c r="E141">
        <v>1111.5999999999999</v>
      </c>
      <c r="F141">
        <v>126</v>
      </c>
      <c r="G141">
        <v>1</v>
      </c>
      <c r="H141">
        <v>25</v>
      </c>
      <c r="I141">
        <v>12</v>
      </c>
      <c r="J141">
        <v>30000</v>
      </c>
      <c r="K141">
        <v>3.5</v>
      </c>
      <c r="L141">
        <v>0</v>
      </c>
      <c r="M141">
        <v>234</v>
      </c>
      <c r="N141">
        <v>20553.400000000001</v>
      </c>
      <c r="O141">
        <v>119901</v>
      </c>
      <c r="P141">
        <v>115</v>
      </c>
      <c r="Q141">
        <v>0</v>
      </c>
      <c r="R141">
        <v>94.5</v>
      </c>
      <c r="S141">
        <v>45.7</v>
      </c>
      <c r="T141">
        <v>258.7</v>
      </c>
      <c r="U141">
        <v>157.5</v>
      </c>
      <c r="V141">
        <v>0</v>
      </c>
      <c r="W141">
        <v>0</v>
      </c>
      <c r="X141">
        <v>0</v>
      </c>
      <c r="Y141">
        <v>1</v>
      </c>
      <c r="Z141">
        <v>100</v>
      </c>
      <c r="AA141">
        <v>0</v>
      </c>
      <c r="AB141">
        <v>0</v>
      </c>
      <c r="AC141">
        <v>1</v>
      </c>
      <c r="AD141">
        <v>1</v>
      </c>
      <c r="AE141">
        <v>1783</v>
      </c>
      <c r="AF141">
        <f t="shared" si="8"/>
        <v>300</v>
      </c>
      <c r="AG141">
        <f t="shared" si="9"/>
        <v>66</v>
      </c>
      <c r="AH141">
        <f t="shared" si="10"/>
        <v>2023.5</v>
      </c>
      <c r="AI141">
        <v>22443.652965113342</v>
      </c>
      <c r="AJ141">
        <f>[1]F1XT_1!F140</f>
        <v>22443.652935999999</v>
      </c>
      <c r="AK141">
        <f t="shared" si="11"/>
        <v>-2.9113343771314248E-5</v>
      </c>
    </row>
    <row r="142" spans="1:37" x14ac:dyDescent="0.25">
      <c r="A142" t="s">
        <v>39</v>
      </c>
      <c r="B142">
        <v>35</v>
      </c>
      <c r="C142">
        <v>36</v>
      </c>
      <c r="D142">
        <v>488.6</v>
      </c>
      <c r="E142">
        <v>1131.0999999999999</v>
      </c>
      <c r="F142">
        <v>120.8</v>
      </c>
      <c r="G142">
        <v>1</v>
      </c>
      <c r="H142">
        <v>30</v>
      </c>
      <c r="I142">
        <v>12</v>
      </c>
      <c r="J142">
        <v>40000</v>
      </c>
      <c r="K142">
        <v>3.5</v>
      </c>
      <c r="L142">
        <v>0</v>
      </c>
      <c r="M142">
        <v>234</v>
      </c>
      <c r="N142">
        <v>20473.5</v>
      </c>
      <c r="O142">
        <v>121601</v>
      </c>
      <c r="P142">
        <v>101.7</v>
      </c>
      <c r="Q142">
        <v>0</v>
      </c>
      <c r="R142">
        <v>126</v>
      </c>
      <c r="S142">
        <v>50.9</v>
      </c>
      <c r="T142">
        <v>0</v>
      </c>
      <c r="U142">
        <v>210</v>
      </c>
      <c r="V142">
        <v>0</v>
      </c>
      <c r="W142">
        <v>0</v>
      </c>
      <c r="X142">
        <v>0</v>
      </c>
      <c r="Y142">
        <v>2</v>
      </c>
      <c r="Z142">
        <v>100</v>
      </c>
      <c r="AA142">
        <v>0</v>
      </c>
      <c r="AB142">
        <v>1</v>
      </c>
      <c r="AC142">
        <v>1</v>
      </c>
      <c r="AD142">
        <v>1</v>
      </c>
      <c r="AE142">
        <v>1619.7</v>
      </c>
      <c r="AF142">
        <f t="shared" si="8"/>
        <v>360</v>
      </c>
      <c r="AG142">
        <f t="shared" si="9"/>
        <v>126</v>
      </c>
      <c r="AH142">
        <f t="shared" si="10"/>
        <v>2028.5</v>
      </c>
      <c r="AI142">
        <v>23099.968167250317</v>
      </c>
      <c r="AJ142">
        <f>[1]F1XT_1!F141</f>
        <v>23099.968013999998</v>
      </c>
      <c r="AK142">
        <f t="shared" si="11"/>
        <v>-1.5325031927204691E-4</v>
      </c>
    </row>
    <row r="143" spans="1:37" x14ac:dyDescent="0.25">
      <c r="A143" t="s">
        <v>39</v>
      </c>
      <c r="B143">
        <v>35</v>
      </c>
      <c r="C143">
        <v>36</v>
      </c>
      <c r="D143">
        <v>778</v>
      </c>
      <c r="E143">
        <v>848.3</v>
      </c>
      <c r="F143">
        <v>90.6</v>
      </c>
      <c r="G143">
        <v>1</v>
      </c>
      <c r="H143">
        <v>30</v>
      </c>
      <c r="I143">
        <v>12</v>
      </c>
      <c r="J143">
        <v>30000</v>
      </c>
      <c r="K143">
        <v>3.5</v>
      </c>
      <c r="L143">
        <v>0</v>
      </c>
      <c r="M143">
        <v>234</v>
      </c>
      <c r="N143">
        <v>15355.1</v>
      </c>
      <c r="O143">
        <v>123201</v>
      </c>
      <c r="P143">
        <v>76.3</v>
      </c>
      <c r="Q143">
        <v>0</v>
      </c>
      <c r="R143">
        <v>94.5</v>
      </c>
      <c r="S143">
        <v>41</v>
      </c>
      <c r="T143">
        <v>258.7</v>
      </c>
      <c r="U143">
        <v>157.5</v>
      </c>
      <c r="V143">
        <v>101.9</v>
      </c>
      <c r="W143">
        <v>0</v>
      </c>
      <c r="X143">
        <v>48.1</v>
      </c>
      <c r="Y143">
        <v>2</v>
      </c>
      <c r="Z143">
        <v>100</v>
      </c>
      <c r="AA143">
        <v>0</v>
      </c>
      <c r="AB143">
        <v>1</v>
      </c>
      <c r="AC143">
        <v>1</v>
      </c>
      <c r="AD143">
        <v>1</v>
      </c>
      <c r="AE143">
        <v>1626.3</v>
      </c>
      <c r="AF143">
        <f t="shared" si="8"/>
        <v>360</v>
      </c>
      <c r="AG143">
        <f t="shared" si="9"/>
        <v>126</v>
      </c>
      <c r="AH143">
        <f t="shared" si="10"/>
        <v>2028.5</v>
      </c>
      <c r="AI143">
        <v>17997.303237554541</v>
      </c>
      <c r="AJ143">
        <f>[1]F1XT_1!F142</f>
        <v>17997.303122000001</v>
      </c>
      <c r="AK143">
        <f t="shared" si="11"/>
        <v>-1.1555453966138884E-4</v>
      </c>
    </row>
    <row r="144" spans="1:37" x14ac:dyDescent="0.25">
      <c r="A144" t="s">
        <v>39</v>
      </c>
      <c r="B144">
        <v>35</v>
      </c>
      <c r="C144">
        <v>36</v>
      </c>
      <c r="D144">
        <v>812</v>
      </c>
      <c r="E144">
        <v>887.4</v>
      </c>
      <c r="F144">
        <v>93</v>
      </c>
      <c r="G144">
        <v>1</v>
      </c>
      <c r="H144">
        <v>30</v>
      </c>
      <c r="I144">
        <v>12</v>
      </c>
      <c r="J144">
        <v>30000</v>
      </c>
      <c r="K144">
        <v>3.5</v>
      </c>
      <c r="L144">
        <v>0</v>
      </c>
      <c r="M144">
        <v>234</v>
      </c>
      <c r="N144">
        <v>15424.9</v>
      </c>
      <c r="O144">
        <v>123701</v>
      </c>
      <c r="P144">
        <v>108.1</v>
      </c>
      <c r="Q144">
        <v>0</v>
      </c>
      <c r="R144">
        <v>94.5</v>
      </c>
      <c r="S144">
        <v>43.2</v>
      </c>
      <c r="T144">
        <v>258.7</v>
      </c>
      <c r="U144">
        <v>157.5</v>
      </c>
      <c r="V144">
        <v>101.9</v>
      </c>
      <c r="W144">
        <v>0</v>
      </c>
      <c r="X144">
        <v>48.1</v>
      </c>
      <c r="Y144">
        <v>1</v>
      </c>
      <c r="Z144">
        <v>100</v>
      </c>
      <c r="AA144">
        <v>0</v>
      </c>
      <c r="AB144">
        <v>0</v>
      </c>
      <c r="AC144">
        <v>1</v>
      </c>
      <c r="AD144">
        <v>1</v>
      </c>
      <c r="AE144">
        <v>1699.4</v>
      </c>
      <c r="AF144">
        <f t="shared" si="8"/>
        <v>360</v>
      </c>
      <c r="AG144">
        <f t="shared" si="9"/>
        <v>126</v>
      </c>
      <c r="AH144">
        <f t="shared" si="10"/>
        <v>2028.5</v>
      </c>
      <c r="AI144">
        <v>17691.633429498601</v>
      </c>
      <c r="AJ144">
        <f>[1]F1XT_1!F143</f>
        <v>17691.633338</v>
      </c>
      <c r="AK144">
        <f t="shared" si="11"/>
        <v>-9.1498601250350475E-5</v>
      </c>
    </row>
    <row r="145" spans="1:37" x14ac:dyDescent="0.25">
      <c r="A145" t="s">
        <v>39</v>
      </c>
      <c r="B145">
        <v>35</v>
      </c>
      <c r="C145">
        <v>39</v>
      </c>
      <c r="D145">
        <v>271.2</v>
      </c>
      <c r="E145">
        <v>736.3</v>
      </c>
      <c r="F145">
        <v>83.7</v>
      </c>
      <c r="G145">
        <v>1</v>
      </c>
      <c r="H145">
        <v>25</v>
      </c>
      <c r="I145">
        <v>12</v>
      </c>
      <c r="J145">
        <v>20000</v>
      </c>
      <c r="K145">
        <v>3.5</v>
      </c>
      <c r="L145">
        <v>0</v>
      </c>
      <c r="M145">
        <v>234</v>
      </c>
      <c r="N145">
        <v>13709.2</v>
      </c>
      <c r="O145">
        <v>124601</v>
      </c>
      <c r="P145">
        <v>73</v>
      </c>
      <c r="Q145">
        <v>0</v>
      </c>
      <c r="R145">
        <v>63</v>
      </c>
      <c r="S145">
        <v>30.2</v>
      </c>
      <c r="T145">
        <v>0</v>
      </c>
      <c r="U145">
        <v>105</v>
      </c>
      <c r="V145">
        <v>0</v>
      </c>
      <c r="W145">
        <v>0</v>
      </c>
      <c r="X145">
        <v>0</v>
      </c>
      <c r="Y145">
        <v>1</v>
      </c>
      <c r="Z145">
        <v>100</v>
      </c>
      <c r="AA145">
        <v>0</v>
      </c>
      <c r="AB145">
        <v>0</v>
      </c>
      <c r="AC145">
        <v>1</v>
      </c>
      <c r="AD145">
        <v>0</v>
      </c>
      <c r="AE145">
        <v>1007.5</v>
      </c>
      <c r="AF145">
        <f t="shared" si="8"/>
        <v>300</v>
      </c>
      <c r="AG145">
        <f t="shared" si="9"/>
        <v>66</v>
      </c>
      <c r="AH145">
        <f t="shared" si="10"/>
        <v>2023.5</v>
      </c>
      <c r="AI145">
        <v>14984.076587011881</v>
      </c>
      <c r="AJ145">
        <f>[1]F1XT_1!F144</f>
        <v>14984.076564999999</v>
      </c>
      <c r="AK145">
        <f t="shared" si="11"/>
        <v>-2.2011881810612977E-5</v>
      </c>
    </row>
    <row r="146" spans="1:37" x14ac:dyDescent="0.25">
      <c r="A146" t="s">
        <v>39</v>
      </c>
      <c r="B146">
        <v>35</v>
      </c>
      <c r="C146">
        <v>39</v>
      </c>
      <c r="D146">
        <v>247.9</v>
      </c>
      <c r="E146">
        <v>709.4</v>
      </c>
      <c r="F146">
        <v>82.6</v>
      </c>
      <c r="G146">
        <v>1</v>
      </c>
      <c r="H146">
        <v>25</v>
      </c>
      <c r="I146">
        <v>12</v>
      </c>
      <c r="J146">
        <v>20000</v>
      </c>
      <c r="K146">
        <v>3.5</v>
      </c>
      <c r="L146">
        <v>0</v>
      </c>
      <c r="M146">
        <v>234</v>
      </c>
      <c r="N146">
        <v>13740.5</v>
      </c>
      <c r="O146">
        <v>124701</v>
      </c>
      <c r="P146">
        <v>51.2</v>
      </c>
      <c r="Q146">
        <v>0</v>
      </c>
      <c r="R146">
        <v>63</v>
      </c>
      <c r="S146">
        <v>28.7</v>
      </c>
      <c r="T146">
        <v>0</v>
      </c>
      <c r="U146">
        <v>105</v>
      </c>
      <c r="V146">
        <v>0</v>
      </c>
      <c r="W146">
        <v>0</v>
      </c>
      <c r="X146">
        <v>0</v>
      </c>
      <c r="Y146">
        <v>2</v>
      </c>
      <c r="Z146">
        <v>100</v>
      </c>
      <c r="AA146">
        <v>0</v>
      </c>
      <c r="AB146">
        <v>1</v>
      </c>
      <c r="AC146">
        <v>1</v>
      </c>
      <c r="AD146">
        <v>0</v>
      </c>
      <c r="AE146">
        <v>957.3</v>
      </c>
      <c r="AF146">
        <f t="shared" si="8"/>
        <v>300</v>
      </c>
      <c r="AG146">
        <f t="shared" si="9"/>
        <v>66</v>
      </c>
      <c r="AH146">
        <f t="shared" si="10"/>
        <v>2023.5</v>
      </c>
      <c r="AI146">
        <v>15122.907234414517</v>
      </c>
      <c r="AJ146">
        <f>[1]F1XT_1!F145</f>
        <v>15122.907205</v>
      </c>
      <c r="AK146">
        <f t="shared" si="11"/>
        <v>-2.9414517484838143E-5</v>
      </c>
    </row>
    <row r="147" spans="1:37" x14ac:dyDescent="0.25">
      <c r="A147" t="s">
        <v>39</v>
      </c>
      <c r="B147">
        <v>35</v>
      </c>
      <c r="C147">
        <v>31</v>
      </c>
      <c r="D147">
        <v>257.2</v>
      </c>
      <c r="E147">
        <v>943.2</v>
      </c>
      <c r="F147">
        <v>119.4</v>
      </c>
      <c r="G147">
        <v>1</v>
      </c>
      <c r="H147">
        <v>20</v>
      </c>
      <c r="I147">
        <v>12</v>
      </c>
      <c r="J147">
        <v>20300</v>
      </c>
      <c r="K147">
        <v>3.5</v>
      </c>
      <c r="L147">
        <v>0</v>
      </c>
      <c r="M147">
        <v>234</v>
      </c>
      <c r="N147">
        <v>19568.2</v>
      </c>
      <c r="O147">
        <v>130101</v>
      </c>
      <c r="P147">
        <v>50.7</v>
      </c>
      <c r="Q147">
        <v>0</v>
      </c>
      <c r="R147">
        <v>63.9</v>
      </c>
      <c r="S147">
        <v>36</v>
      </c>
      <c r="T147">
        <v>0</v>
      </c>
      <c r="U147">
        <v>106.6</v>
      </c>
      <c r="V147">
        <v>0</v>
      </c>
      <c r="W147">
        <v>0</v>
      </c>
      <c r="X147">
        <v>0</v>
      </c>
      <c r="Y147">
        <v>1</v>
      </c>
      <c r="Z147">
        <v>100</v>
      </c>
      <c r="AA147">
        <v>0</v>
      </c>
      <c r="AB147">
        <v>0</v>
      </c>
      <c r="AC147">
        <v>1</v>
      </c>
      <c r="AD147">
        <v>0</v>
      </c>
      <c r="AE147">
        <v>1200.4000000000001</v>
      </c>
      <c r="AF147">
        <f t="shared" si="8"/>
        <v>240</v>
      </c>
      <c r="AG147">
        <f t="shared" si="9"/>
        <v>6</v>
      </c>
      <c r="AH147">
        <f t="shared" si="10"/>
        <v>2018.5</v>
      </c>
      <c r="AI147">
        <v>19690.755063410634</v>
      </c>
      <c r="AJ147">
        <f>[1]F1XT_1!F146</f>
        <v>19690.755063000001</v>
      </c>
      <c r="AK147">
        <f t="shared" si="11"/>
        <v>-4.1063321987167001E-7</v>
      </c>
    </row>
    <row r="148" spans="1:37" x14ac:dyDescent="0.25">
      <c r="A148" t="s">
        <v>39</v>
      </c>
      <c r="B148">
        <v>35</v>
      </c>
      <c r="C148">
        <v>39</v>
      </c>
      <c r="D148">
        <v>0</v>
      </c>
      <c r="E148">
        <v>0</v>
      </c>
      <c r="F148">
        <v>77.7</v>
      </c>
      <c r="G148">
        <v>1</v>
      </c>
      <c r="H148">
        <v>25</v>
      </c>
      <c r="I148">
        <v>1</v>
      </c>
      <c r="J148">
        <v>4515</v>
      </c>
      <c r="K148">
        <v>3.5</v>
      </c>
      <c r="L148">
        <v>0</v>
      </c>
      <c r="M148">
        <v>234</v>
      </c>
      <c r="N148">
        <v>3841.6</v>
      </c>
      <c r="O148">
        <v>130601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2</v>
      </c>
      <c r="Z148">
        <v>100</v>
      </c>
      <c r="AA148">
        <v>0</v>
      </c>
      <c r="AB148">
        <v>1</v>
      </c>
      <c r="AC148">
        <v>1</v>
      </c>
      <c r="AD148">
        <v>0</v>
      </c>
      <c r="AE148">
        <v>1273.5999999999999</v>
      </c>
      <c r="AF148">
        <f t="shared" si="8"/>
        <v>300</v>
      </c>
      <c r="AG148">
        <f t="shared" si="9"/>
        <v>66</v>
      </c>
      <c r="AH148">
        <f t="shared" si="10"/>
        <v>2023.5</v>
      </c>
      <c r="AI148">
        <v>4967.6119062126008</v>
      </c>
      <c r="AJ148">
        <f>[1]F1XT_1!F147</f>
        <v>4967.6053250000004</v>
      </c>
      <c r="AK148">
        <f t="shared" si="11"/>
        <v>-6.5812126003947924E-3</v>
      </c>
    </row>
    <row r="149" spans="1:37" x14ac:dyDescent="0.25">
      <c r="A149" t="s">
        <v>39</v>
      </c>
      <c r="B149">
        <v>35</v>
      </c>
      <c r="C149">
        <v>36</v>
      </c>
      <c r="D149">
        <v>657.2</v>
      </c>
      <c r="E149">
        <v>887.6</v>
      </c>
      <c r="F149">
        <v>87.9</v>
      </c>
      <c r="G149">
        <v>1</v>
      </c>
      <c r="H149">
        <v>30</v>
      </c>
      <c r="I149">
        <v>12</v>
      </c>
      <c r="J149">
        <v>30000</v>
      </c>
      <c r="K149">
        <v>3.5</v>
      </c>
      <c r="L149">
        <v>0</v>
      </c>
      <c r="M149">
        <v>232</v>
      </c>
      <c r="N149">
        <v>15236.7</v>
      </c>
      <c r="O149">
        <v>130902</v>
      </c>
      <c r="P149">
        <v>108</v>
      </c>
      <c r="Q149">
        <v>0</v>
      </c>
      <c r="R149">
        <v>94.5</v>
      </c>
      <c r="S149">
        <v>38.5</v>
      </c>
      <c r="T149">
        <v>258.7</v>
      </c>
      <c r="U149">
        <v>157.5</v>
      </c>
      <c r="V149">
        <v>0</v>
      </c>
      <c r="W149">
        <v>0</v>
      </c>
      <c r="X149">
        <v>0</v>
      </c>
      <c r="Y149">
        <v>1</v>
      </c>
      <c r="Z149">
        <v>100</v>
      </c>
      <c r="AA149">
        <v>0</v>
      </c>
      <c r="AB149">
        <v>0</v>
      </c>
      <c r="AC149">
        <v>1</v>
      </c>
      <c r="AD149">
        <v>1</v>
      </c>
      <c r="AE149">
        <v>1544.8</v>
      </c>
      <c r="AF149">
        <f t="shared" si="8"/>
        <v>360</v>
      </c>
      <c r="AG149">
        <f t="shared" si="9"/>
        <v>128</v>
      </c>
      <c r="AH149">
        <f t="shared" si="10"/>
        <v>2028.6666666666667</v>
      </c>
      <c r="AI149">
        <v>17525.471005517342</v>
      </c>
      <c r="AJ149">
        <f>[1]F1XT_1!F148</f>
        <v>17525.470911</v>
      </c>
      <c r="AK149">
        <f t="shared" si="11"/>
        <v>-9.4517341494793072E-5</v>
      </c>
    </row>
    <row r="150" spans="1:37" x14ac:dyDescent="0.25">
      <c r="A150" t="s">
        <v>39</v>
      </c>
      <c r="B150">
        <v>35</v>
      </c>
      <c r="C150">
        <v>30</v>
      </c>
      <c r="D150">
        <v>0</v>
      </c>
      <c r="E150">
        <v>0</v>
      </c>
      <c r="F150">
        <v>46.1</v>
      </c>
      <c r="G150">
        <v>1</v>
      </c>
      <c r="H150">
        <v>30</v>
      </c>
      <c r="I150">
        <v>1</v>
      </c>
      <c r="J150">
        <v>2732.5</v>
      </c>
      <c r="K150">
        <v>3.5</v>
      </c>
      <c r="L150">
        <v>0</v>
      </c>
      <c r="M150">
        <v>234</v>
      </c>
      <c r="N150">
        <v>2016.1</v>
      </c>
      <c r="O150">
        <v>131801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2</v>
      </c>
      <c r="Z150">
        <v>100</v>
      </c>
      <c r="AA150">
        <v>0</v>
      </c>
      <c r="AB150">
        <v>1</v>
      </c>
      <c r="AC150">
        <v>1</v>
      </c>
      <c r="AD150">
        <v>1</v>
      </c>
      <c r="AE150">
        <v>1169.5</v>
      </c>
      <c r="AF150">
        <f t="shared" si="8"/>
        <v>360</v>
      </c>
      <c r="AG150">
        <f t="shared" si="9"/>
        <v>126</v>
      </c>
      <c r="AH150">
        <f t="shared" si="10"/>
        <v>2028.5</v>
      </c>
      <c r="AI150">
        <v>3649.1322419559092</v>
      </c>
      <c r="AJ150">
        <f>[1]F1XT_1!F149</f>
        <v>3649.1197280000001</v>
      </c>
      <c r="AK150">
        <f t="shared" si="11"/>
        <v>-1.2513955909071228E-2</v>
      </c>
    </row>
    <row r="151" spans="1:37" x14ac:dyDescent="0.25">
      <c r="A151" t="s">
        <v>39</v>
      </c>
      <c r="B151">
        <v>35</v>
      </c>
      <c r="C151">
        <v>30</v>
      </c>
      <c r="D151">
        <v>0</v>
      </c>
      <c r="E151">
        <v>0</v>
      </c>
      <c r="F151">
        <v>180.6</v>
      </c>
      <c r="G151">
        <v>1</v>
      </c>
      <c r="H151">
        <v>30</v>
      </c>
      <c r="I151">
        <v>1</v>
      </c>
      <c r="J151">
        <v>20813.7</v>
      </c>
      <c r="K151">
        <v>3.5</v>
      </c>
      <c r="L151">
        <v>0</v>
      </c>
      <c r="M151">
        <v>234</v>
      </c>
      <c r="N151">
        <v>15356.5</v>
      </c>
      <c r="O151">
        <v>132201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2</v>
      </c>
      <c r="Z151">
        <v>100</v>
      </c>
      <c r="AA151">
        <v>0</v>
      </c>
      <c r="AB151">
        <v>1</v>
      </c>
      <c r="AC151">
        <v>1</v>
      </c>
      <c r="AD151">
        <v>1</v>
      </c>
      <c r="AE151">
        <v>2384.3000000000002</v>
      </c>
      <c r="AF151">
        <f t="shared" si="8"/>
        <v>360</v>
      </c>
      <c r="AG151">
        <f t="shared" si="9"/>
        <v>126</v>
      </c>
      <c r="AH151">
        <f t="shared" si="10"/>
        <v>2028.5</v>
      </c>
      <c r="AI151">
        <v>19096.980537869182</v>
      </c>
      <c r="AJ151">
        <f>[1]F1XT_1!F150</f>
        <v>19096.885214000002</v>
      </c>
      <c r="AK151">
        <f t="shared" si="11"/>
        <v>-9.5323869179992471E-2</v>
      </c>
    </row>
    <row r="152" spans="1:37" x14ac:dyDescent="0.25">
      <c r="A152" t="s">
        <v>39</v>
      </c>
      <c r="B152">
        <v>35</v>
      </c>
      <c r="C152">
        <v>44</v>
      </c>
      <c r="D152">
        <v>0</v>
      </c>
      <c r="E152">
        <v>1799.9</v>
      </c>
      <c r="F152">
        <v>208.2</v>
      </c>
      <c r="G152">
        <v>1</v>
      </c>
      <c r="H152">
        <v>25</v>
      </c>
      <c r="I152">
        <v>12</v>
      </c>
      <c r="J152">
        <v>50000</v>
      </c>
      <c r="K152">
        <v>3.5</v>
      </c>
      <c r="L152">
        <v>0</v>
      </c>
      <c r="M152">
        <v>234</v>
      </c>
      <c r="N152">
        <v>34306.699999999997</v>
      </c>
      <c r="O152">
        <v>132601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2</v>
      </c>
      <c r="Z152">
        <v>100</v>
      </c>
      <c r="AA152">
        <v>0</v>
      </c>
      <c r="AB152">
        <v>1</v>
      </c>
      <c r="AC152">
        <v>1</v>
      </c>
      <c r="AD152">
        <v>0.6</v>
      </c>
      <c r="AE152">
        <v>1799.9</v>
      </c>
      <c r="AF152">
        <f t="shared" si="8"/>
        <v>300</v>
      </c>
      <c r="AG152">
        <f t="shared" si="9"/>
        <v>66</v>
      </c>
      <c r="AH152">
        <f t="shared" si="10"/>
        <v>2023.5</v>
      </c>
      <c r="AI152">
        <v>37622.203017659333</v>
      </c>
      <c r="AJ152">
        <f>[1]F1XT_1!F151</f>
        <v>37622.203012999998</v>
      </c>
      <c r="AK152">
        <f t="shared" si="11"/>
        <v>-4.6593340812250972E-6</v>
      </c>
    </row>
    <row r="153" spans="1:37" x14ac:dyDescent="0.25">
      <c r="A153" t="s">
        <v>39</v>
      </c>
      <c r="B153">
        <v>35</v>
      </c>
      <c r="C153">
        <v>24</v>
      </c>
      <c r="D153">
        <v>404.4</v>
      </c>
      <c r="E153">
        <v>674.3</v>
      </c>
      <c r="F153">
        <v>60.9</v>
      </c>
      <c r="G153">
        <v>1</v>
      </c>
      <c r="H153">
        <v>40</v>
      </c>
      <c r="I153">
        <v>12</v>
      </c>
      <c r="J153">
        <v>35000</v>
      </c>
      <c r="K153">
        <v>3.5</v>
      </c>
      <c r="L153">
        <v>0</v>
      </c>
      <c r="M153">
        <v>234</v>
      </c>
      <c r="N153">
        <v>10702.2</v>
      </c>
      <c r="O153">
        <v>132701</v>
      </c>
      <c r="P153">
        <v>77.900000000000006</v>
      </c>
      <c r="Q153">
        <v>0</v>
      </c>
      <c r="R153">
        <v>110.3</v>
      </c>
      <c r="S153">
        <v>32.4</v>
      </c>
      <c r="T153">
        <v>0</v>
      </c>
      <c r="U153">
        <v>183.8</v>
      </c>
      <c r="V153">
        <v>0</v>
      </c>
      <c r="W153">
        <v>0</v>
      </c>
      <c r="X153">
        <v>0</v>
      </c>
      <c r="Y153">
        <v>2</v>
      </c>
      <c r="Z153">
        <v>100</v>
      </c>
      <c r="AA153">
        <v>0</v>
      </c>
      <c r="AB153">
        <v>1</v>
      </c>
      <c r="AC153">
        <v>1</v>
      </c>
      <c r="AD153">
        <v>0</v>
      </c>
      <c r="AE153">
        <v>1078.7</v>
      </c>
      <c r="AF153">
        <f t="shared" si="8"/>
        <v>480</v>
      </c>
      <c r="AG153">
        <f t="shared" si="9"/>
        <v>246</v>
      </c>
      <c r="AH153">
        <f t="shared" si="10"/>
        <v>2038.5</v>
      </c>
      <c r="AI153">
        <v>11721.528289904538</v>
      </c>
      <c r="AJ153">
        <f>[1]F1XT_1!F152</f>
        <v>11721.528591</v>
      </c>
      <c r="AK153">
        <f t="shared" si="11"/>
        <v>3.0109546241874341E-4</v>
      </c>
    </row>
    <row r="154" spans="1:37" x14ac:dyDescent="0.25">
      <c r="A154" t="s">
        <v>39</v>
      </c>
      <c r="B154">
        <v>35</v>
      </c>
      <c r="C154">
        <v>41</v>
      </c>
      <c r="D154">
        <v>0</v>
      </c>
      <c r="E154">
        <v>1119.5999999999999</v>
      </c>
      <c r="F154">
        <v>126.4</v>
      </c>
      <c r="G154">
        <v>1</v>
      </c>
      <c r="H154">
        <v>25</v>
      </c>
      <c r="I154">
        <v>12</v>
      </c>
      <c r="J154">
        <v>30000</v>
      </c>
      <c r="K154">
        <v>3.5</v>
      </c>
      <c r="L154">
        <v>0</v>
      </c>
      <c r="M154">
        <v>234</v>
      </c>
      <c r="N154">
        <v>20541.099999999999</v>
      </c>
      <c r="O154">
        <v>133401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1</v>
      </c>
      <c r="Z154">
        <v>100</v>
      </c>
      <c r="AA154">
        <v>0</v>
      </c>
      <c r="AB154">
        <v>0</v>
      </c>
      <c r="AC154">
        <v>1</v>
      </c>
      <c r="AD154">
        <v>0</v>
      </c>
      <c r="AE154">
        <v>1119.5999999999999</v>
      </c>
      <c r="AF154">
        <f t="shared" si="8"/>
        <v>300</v>
      </c>
      <c r="AG154">
        <f t="shared" si="9"/>
        <v>66</v>
      </c>
      <c r="AH154">
        <f t="shared" si="10"/>
        <v>2023.5</v>
      </c>
      <c r="AI154">
        <v>22713.611186470942</v>
      </c>
      <c r="AJ154">
        <f>[1]F1XT_1!F153</f>
        <v>22713.611177999999</v>
      </c>
      <c r="AK154">
        <f t="shared" si="11"/>
        <v>-8.4709427028428763E-6</v>
      </c>
    </row>
    <row r="155" spans="1:37" x14ac:dyDescent="0.25">
      <c r="A155" t="s">
        <v>39</v>
      </c>
      <c r="B155">
        <v>35</v>
      </c>
      <c r="C155">
        <v>26</v>
      </c>
      <c r="D155">
        <v>810.3</v>
      </c>
      <c r="E155">
        <v>774.9</v>
      </c>
      <c r="F155">
        <v>69.8</v>
      </c>
      <c r="G155">
        <v>1</v>
      </c>
      <c r="H155">
        <v>40</v>
      </c>
      <c r="I155">
        <v>12</v>
      </c>
      <c r="J155">
        <v>40000</v>
      </c>
      <c r="K155">
        <v>3.5</v>
      </c>
      <c r="L155">
        <v>0</v>
      </c>
      <c r="M155">
        <v>234</v>
      </c>
      <c r="N155">
        <v>12252.9</v>
      </c>
      <c r="O155">
        <v>133501</v>
      </c>
      <c r="P155">
        <v>92.2</v>
      </c>
      <c r="Q155">
        <v>0</v>
      </c>
      <c r="R155">
        <v>126</v>
      </c>
      <c r="S155">
        <v>37.200000000000003</v>
      </c>
      <c r="T155">
        <v>344.9</v>
      </c>
      <c r="U155">
        <v>210</v>
      </c>
      <c r="V155">
        <v>0</v>
      </c>
      <c r="W155">
        <v>0</v>
      </c>
      <c r="X155">
        <v>0</v>
      </c>
      <c r="Y155">
        <v>2</v>
      </c>
      <c r="Z155">
        <v>100</v>
      </c>
      <c r="AA155">
        <v>0</v>
      </c>
      <c r="AB155">
        <v>1</v>
      </c>
      <c r="AC155">
        <v>1</v>
      </c>
      <c r="AD155">
        <v>1</v>
      </c>
      <c r="AE155">
        <v>1585.2</v>
      </c>
      <c r="AF155">
        <f t="shared" si="8"/>
        <v>480</v>
      </c>
      <c r="AG155">
        <f t="shared" si="9"/>
        <v>246</v>
      </c>
      <c r="AH155">
        <f t="shared" si="10"/>
        <v>2038.5</v>
      </c>
      <c r="AI155">
        <v>14494.240245606656</v>
      </c>
      <c r="AJ155">
        <f>[1]F1XT_1!F154</f>
        <v>14494.240470999999</v>
      </c>
      <c r="AK155">
        <f t="shared" si="11"/>
        <v>2.2539334349858109E-4</v>
      </c>
    </row>
    <row r="156" spans="1:37" x14ac:dyDescent="0.25">
      <c r="A156" t="s">
        <v>39</v>
      </c>
      <c r="B156">
        <v>35</v>
      </c>
      <c r="C156">
        <v>41</v>
      </c>
      <c r="D156">
        <v>0</v>
      </c>
      <c r="E156">
        <v>1069.5</v>
      </c>
      <c r="F156">
        <v>124.4</v>
      </c>
      <c r="G156">
        <v>1</v>
      </c>
      <c r="H156">
        <v>25</v>
      </c>
      <c r="I156">
        <v>12</v>
      </c>
      <c r="J156">
        <v>30000</v>
      </c>
      <c r="K156">
        <v>3.5</v>
      </c>
      <c r="L156">
        <v>0</v>
      </c>
      <c r="M156">
        <v>234</v>
      </c>
      <c r="N156">
        <v>20598.900000000001</v>
      </c>
      <c r="O156">
        <v>133601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2</v>
      </c>
      <c r="Z156">
        <v>100</v>
      </c>
      <c r="AA156">
        <v>0</v>
      </c>
      <c r="AB156">
        <v>1</v>
      </c>
      <c r="AC156">
        <v>1</v>
      </c>
      <c r="AD156">
        <v>0</v>
      </c>
      <c r="AE156">
        <v>1069.5</v>
      </c>
      <c r="AF156">
        <f t="shared" si="8"/>
        <v>300</v>
      </c>
      <c r="AG156">
        <f t="shared" si="9"/>
        <v>66</v>
      </c>
      <c r="AH156">
        <f t="shared" si="10"/>
        <v>2023.5</v>
      </c>
      <c r="AI156">
        <v>22905.046498299183</v>
      </c>
      <c r="AJ156">
        <f>[1]F1XT_1!F155</f>
        <v>22905.046476</v>
      </c>
      <c r="AK156">
        <f t="shared" si="11"/>
        <v>-2.229918391094543E-5</v>
      </c>
    </row>
    <row r="157" spans="1:37" x14ac:dyDescent="0.25">
      <c r="A157" t="s">
        <v>39</v>
      </c>
      <c r="B157">
        <v>35</v>
      </c>
      <c r="C157">
        <v>32</v>
      </c>
      <c r="D157">
        <v>862.3</v>
      </c>
      <c r="E157">
        <v>975</v>
      </c>
      <c r="F157">
        <v>93.3</v>
      </c>
      <c r="G157">
        <v>1</v>
      </c>
      <c r="H157">
        <v>35</v>
      </c>
      <c r="I157">
        <v>12</v>
      </c>
      <c r="J157">
        <v>40000</v>
      </c>
      <c r="K157">
        <v>3.5</v>
      </c>
      <c r="L157">
        <v>0</v>
      </c>
      <c r="M157">
        <v>234</v>
      </c>
      <c r="N157">
        <v>15940.3</v>
      </c>
      <c r="O157">
        <v>133701</v>
      </c>
      <c r="P157">
        <v>136.6</v>
      </c>
      <c r="Q157">
        <v>0</v>
      </c>
      <c r="R157">
        <v>126</v>
      </c>
      <c r="S157">
        <v>44.8</v>
      </c>
      <c r="T157">
        <v>344.9</v>
      </c>
      <c r="U157">
        <v>210</v>
      </c>
      <c r="V157">
        <v>0</v>
      </c>
      <c r="W157">
        <v>0</v>
      </c>
      <c r="X157">
        <v>0</v>
      </c>
      <c r="Y157">
        <v>1</v>
      </c>
      <c r="Z157">
        <v>100</v>
      </c>
      <c r="AA157">
        <v>0</v>
      </c>
      <c r="AB157">
        <v>0</v>
      </c>
      <c r="AC157">
        <v>1</v>
      </c>
      <c r="AD157">
        <v>1</v>
      </c>
      <c r="AE157">
        <v>1837.3</v>
      </c>
      <c r="AF157">
        <f t="shared" si="8"/>
        <v>420</v>
      </c>
      <c r="AG157">
        <f t="shared" si="9"/>
        <v>186</v>
      </c>
      <c r="AH157">
        <f t="shared" si="10"/>
        <v>2033.5</v>
      </c>
      <c r="AI157">
        <v>18294.044011783462</v>
      </c>
      <c r="AJ157">
        <f>[1]F1XT_1!F156</f>
        <v>18294.043799999999</v>
      </c>
      <c r="AK157">
        <f t="shared" si="11"/>
        <v>-2.117834628734272E-4</v>
      </c>
    </row>
    <row r="158" spans="1:37" x14ac:dyDescent="0.25">
      <c r="A158" t="s">
        <v>39</v>
      </c>
      <c r="B158">
        <v>35</v>
      </c>
      <c r="C158">
        <v>34</v>
      </c>
      <c r="D158">
        <v>363.6</v>
      </c>
      <c r="E158">
        <v>1054.2</v>
      </c>
      <c r="F158">
        <v>120.7</v>
      </c>
      <c r="G158">
        <v>1</v>
      </c>
      <c r="H158">
        <v>25</v>
      </c>
      <c r="I158">
        <v>12</v>
      </c>
      <c r="J158">
        <v>30000</v>
      </c>
      <c r="K158">
        <v>3.5</v>
      </c>
      <c r="L158">
        <v>0</v>
      </c>
      <c r="M158">
        <v>233</v>
      </c>
      <c r="N158">
        <v>20497.8</v>
      </c>
      <c r="O158">
        <v>139802</v>
      </c>
      <c r="P158">
        <v>69.099999999999994</v>
      </c>
      <c r="Q158">
        <v>0</v>
      </c>
      <c r="R158">
        <v>94.5</v>
      </c>
      <c r="S158">
        <v>42.5</v>
      </c>
      <c r="T158">
        <v>0</v>
      </c>
      <c r="U158">
        <v>157.5</v>
      </c>
      <c r="V158">
        <v>0</v>
      </c>
      <c r="W158">
        <v>0</v>
      </c>
      <c r="X158">
        <v>0</v>
      </c>
      <c r="Y158">
        <v>2</v>
      </c>
      <c r="Z158">
        <v>100</v>
      </c>
      <c r="AA158">
        <v>0</v>
      </c>
      <c r="AB158">
        <v>1</v>
      </c>
      <c r="AC158">
        <v>1</v>
      </c>
      <c r="AD158">
        <v>0</v>
      </c>
      <c r="AE158">
        <v>1417.8</v>
      </c>
      <c r="AF158">
        <f t="shared" si="8"/>
        <v>300</v>
      </c>
      <c r="AG158">
        <f t="shared" si="9"/>
        <v>67</v>
      </c>
      <c r="AH158">
        <f t="shared" si="10"/>
        <v>2023.5833333333333</v>
      </c>
      <c r="AI158">
        <v>21608.85497404791</v>
      </c>
      <c r="AJ158">
        <f>[1]F1XT_1!F157</f>
        <v>21608.855015000001</v>
      </c>
      <c r="AK158">
        <f t="shared" si="11"/>
        <v>4.0952090785140172E-5</v>
      </c>
    </row>
    <row r="159" spans="1:37" x14ac:dyDescent="0.25">
      <c r="A159" t="s">
        <v>39</v>
      </c>
      <c r="B159">
        <v>35</v>
      </c>
      <c r="C159">
        <v>31</v>
      </c>
      <c r="D159">
        <v>639.5</v>
      </c>
      <c r="E159">
        <v>1210.5</v>
      </c>
      <c r="F159">
        <v>112.7</v>
      </c>
      <c r="G159">
        <v>1</v>
      </c>
      <c r="H159">
        <v>35</v>
      </c>
      <c r="I159">
        <v>12</v>
      </c>
      <c r="J159">
        <v>50000</v>
      </c>
      <c r="K159">
        <v>3.5</v>
      </c>
      <c r="L159">
        <v>0</v>
      </c>
      <c r="M159">
        <v>233</v>
      </c>
      <c r="N159">
        <v>19747</v>
      </c>
      <c r="O159">
        <v>140601</v>
      </c>
      <c r="P159">
        <v>164</v>
      </c>
      <c r="Q159">
        <v>0</v>
      </c>
      <c r="R159">
        <v>157.5</v>
      </c>
      <c r="S159">
        <v>55.5</v>
      </c>
      <c r="T159">
        <v>0</v>
      </c>
      <c r="U159">
        <v>262.5</v>
      </c>
      <c r="V159">
        <v>0</v>
      </c>
      <c r="W159">
        <v>0</v>
      </c>
      <c r="X159">
        <v>0</v>
      </c>
      <c r="Y159">
        <v>1</v>
      </c>
      <c r="Z159">
        <v>100</v>
      </c>
      <c r="AA159">
        <v>0</v>
      </c>
      <c r="AB159">
        <v>0</v>
      </c>
      <c r="AC159">
        <v>1</v>
      </c>
      <c r="AD159">
        <v>0</v>
      </c>
      <c r="AE159">
        <v>1850</v>
      </c>
      <c r="AF159">
        <f t="shared" si="8"/>
        <v>420</v>
      </c>
      <c r="AG159">
        <f t="shared" si="9"/>
        <v>187</v>
      </c>
      <c r="AH159">
        <f t="shared" si="10"/>
        <v>2033.5833333333333</v>
      </c>
      <c r="AI159">
        <v>21084.528553281558</v>
      </c>
      <c r="AJ159">
        <f>[1]F1XT_1!F158</f>
        <v>21084.52822</v>
      </c>
      <c r="AK159">
        <f t="shared" si="11"/>
        <v>-3.3328155768685974E-4</v>
      </c>
    </row>
    <row r="160" spans="1:37" x14ac:dyDescent="0.25">
      <c r="A160" t="s">
        <v>39</v>
      </c>
      <c r="B160">
        <v>35</v>
      </c>
      <c r="C160">
        <v>28</v>
      </c>
      <c r="D160">
        <v>351.6</v>
      </c>
      <c r="E160">
        <v>688.4</v>
      </c>
      <c r="F160">
        <v>66.2</v>
      </c>
      <c r="G160">
        <v>1</v>
      </c>
      <c r="H160">
        <v>35</v>
      </c>
      <c r="I160">
        <v>12</v>
      </c>
      <c r="J160">
        <v>30000</v>
      </c>
      <c r="K160">
        <v>3.5</v>
      </c>
      <c r="L160">
        <v>0</v>
      </c>
      <c r="M160">
        <v>233</v>
      </c>
      <c r="N160">
        <v>11670.9</v>
      </c>
      <c r="O160">
        <v>142601</v>
      </c>
      <c r="P160">
        <v>68.400000000000006</v>
      </c>
      <c r="Q160">
        <v>0</v>
      </c>
      <c r="R160">
        <v>94.5</v>
      </c>
      <c r="S160">
        <v>31.2</v>
      </c>
      <c r="T160">
        <v>0</v>
      </c>
      <c r="U160">
        <v>157.5</v>
      </c>
      <c r="V160">
        <v>0</v>
      </c>
      <c r="W160">
        <v>0</v>
      </c>
      <c r="X160">
        <v>0</v>
      </c>
      <c r="Y160">
        <v>2</v>
      </c>
      <c r="Z160">
        <v>100</v>
      </c>
      <c r="AA160">
        <v>0</v>
      </c>
      <c r="AB160">
        <v>1</v>
      </c>
      <c r="AC160">
        <v>1</v>
      </c>
      <c r="AD160">
        <v>0</v>
      </c>
      <c r="AE160">
        <v>1040</v>
      </c>
      <c r="AF160">
        <f t="shared" si="8"/>
        <v>420</v>
      </c>
      <c r="AG160">
        <f t="shared" si="9"/>
        <v>187</v>
      </c>
      <c r="AH160">
        <f t="shared" si="10"/>
        <v>2033.5833333333333</v>
      </c>
      <c r="AI160">
        <v>13266.700133819511</v>
      </c>
      <c r="AJ160">
        <f>[1]F1XT_1!F159</f>
        <v>13266.700360999999</v>
      </c>
      <c r="AK160">
        <f t="shared" si="11"/>
        <v>2.2718048785463907E-4</v>
      </c>
    </row>
    <row r="161" spans="1:37" x14ac:dyDescent="0.25">
      <c r="A161" t="s">
        <v>39</v>
      </c>
      <c r="B161">
        <v>35</v>
      </c>
      <c r="C161">
        <v>29</v>
      </c>
      <c r="D161">
        <v>376.4</v>
      </c>
      <c r="E161">
        <v>717.9</v>
      </c>
      <c r="F161">
        <v>67</v>
      </c>
      <c r="G161">
        <v>1</v>
      </c>
      <c r="H161">
        <v>35</v>
      </c>
      <c r="I161">
        <v>12</v>
      </c>
      <c r="J161">
        <v>30000</v>
      </c>
      <c r="K161">
        <v>3.5</v>
      </c>
      <c r="L161">
        <v>0</v>
      </c>
      <c r="M161">
        <v>233</v>
      </c>
      <c r="N161">
        <v>11785.4</v>
      </c>
      <c r="O161">
        <v>142701</v>
      </c>
      <c r="P161">
        <v>91.5</v>
      </c>
      <c r="Q161">
        <v>0</v>
      </c>
      <c r="R161">
        <v>94.5</v>
      </c>
      <c r="S161">
        <v>32.9</v>
      </c>
      <c r="T161">
        <v>0</v>
      </c>
      <c r="U161">
        <v>157.5</v>
      </c>
      <c r="V161">
        <v>0</v>
      </c>
      <c r="W161">
        <v>0</v>
      </c>
      <c r="X161">
        <v>0</v>
      </c>
      <c r="Y161">
        <v>1</v>
      </c>
      <c r="Z161">
        <v>100</v>
      </c>
      <c r="AA161">
        <v>0</v>
      </c>
      <c r="AB161">
        <v>0</v>
      </c>
      <c r="AC161">
        <v>1</v>
      </c>
      <c r="AD161">
        <v>0</v>
      </c>
      <c r="AE161">
        <v>1094.3</v>
      </c>
      <c r="AF161">
        <f t="shared" si="8"/>
        <v>420</v>
      </c>
      <c r="AG161">
        <f t="shared" si="9"/>
        <v>187</v>
      </c>
      <c r="AH161">
        <f t="shared" si="10"/>
        <v>2033.5833333333333</v>
      </c>
      <c r="AI161">
        <v>13098.488715324151</v>
      </c>
      <c r="AJ161">
        <f>[1]F1XT_1!F160</f>
        <v>13098.488479</v>
      </c>
      <c r="AK161">
        <f t="shared" si="11"/>
        <v>-2.3632415104657412E-4</v>
      </c>
    </row>
    <row r="162" spans="1:37" x14ac:dyDescent="0.25">
      <c r="A162" t="s">
        <v>39</v>
      </c>
      <c r="B162">
        <v>35</v>
      </c>
      <c r="C162">
        <v>24</v>
      </c>
      <c r="D162">
        <v>971.4</v>
      </c>
      <c r="E162">
        <v>1879.5</v>
      </c>
      <c r="F162">
        <v>176.6</v>
      </c>
      <c r="G162">
        <v>1</v>
      </c>
      <c r="H162">
        <v>35</v>
      </c>
      <c r="I162">
        <v>12</v>
      </c>
      <c r="J162">
        <v>80000</v>
      </c>
      <c r="K162">
        <v>3.5</v>
      </c>
      <c r="L162">
        <v>0</v>
      </c>
      <c r="M162">
        <v>233</v>
      </c>
      <c r="N162">
        <v>31078</v>
      </c>
      <c r="O162">
        <v>142901</v>
      </c>
      <c r="P162">
        <v>211.4</v>
      </c>
      <c r="Q162">
        <v>0</v>
      </c>
      <c r="R162">
        <v>254.5</v>
      </c>
      <c r="S162">
        <v>85.5</v>
      </c>
      <c r="T162">
        <v>0</v>
      </c>
      <c r="U162">
        <v>420</v>
      </c>
      <c r="V162">
        <v>0</v>
      </c>
      <c r="W162">
        <v>0</v>
      </c>
      <c r="X162">
        <v>0</v>
      </c>
      <c r="Y162">
        <v>1</v>
      </c>
      <c r="Z162">
        <v>100</v>
      </c>
      <c r="AA162">
        <v>0</v>
      </c>
      <c r="AB162">
        <v>1</v>
      </c>
      <c r="AC162">
        <v>1</v>
      </c>
      <c r="AD162">
        <v>0</v>
      </c>
      <c r="AE162">
        <v>2850.9</v>
      </c>
      <c r="AF162">
        <f t="shared" si="8"/>
        <v>420</v>
      </c>
      <c r="AG162">
        <f t="shared" si="9"/>
        <v>187</v>
      </c>
      <c r="AH162">
        <f t="shared" si="10"/>
        <v>2033.5833333333333</v>
      </c>
      <c r="AI162">
        <v>30977.01576525547</v>
      </c>
      <c r="AJ162">
        <f>[1]F1XT_1!F161</f>
        <v>30977.015211000002</v>
      </c>
      <c r="AK162">
        <f t="shared" si="11"/>
        <v>-5.5425546815968119E-4</v>
      </c>
    </row>
    <row r="163" spans="1:37" x14ac:dyDescent="0.25">
      <c r="A163" t="s">
        <v>39</v>
      </c>
      <c r="B163">
        <v>35</v>
      </c>
      <c r="C163">
        <v>33</v>
      </c>
      <c r="D163">
        <v>359.4</v>
      </c>
      <c r="E163">
        <v>841.9</v>
      </c>
      <c r="F163">
        <v>85.7</v>
      </c>
      <c r="G163">
        <v>1</v>
      </c>
      <c r="H163">
        <v>30</v>
      </c>
      <c r="I163">
        <v>12</v>
      </c>
      <c r="J163">
        <v>30000</v>
      </c>
      <c r="K163">
        <v>3.5</v>
      </c>
      <c r="L163">
        <v>0</v>
      </c>
      <c r="M163">
        <v>232</v>
      </c>
      <c r="N163">
        <v>15157.5</v>
      </c>
      <c r="O163">
        <v>144101</v>
      </c>
      <c r="P163">
        <v>71.400000000000006</v>
      </c>
      <c r="Q163">
        <v>0</v>
      </c>
      <c r="R163">
        <v>94.5</v>
      </c>
      <c r="S163">
        <v>36</v>
      </c>
      <c r="T163">
        <v>0</v>
      </c>
      <c r="U163">
        <v>157.5</v>
      </c>
      <c r="V163">
        <v>0</v>
      </c>
      <c r="W163">
        <v>0</v>
      </c>
      <c r="X163">
        <v>0</v>
      </c>
      <c r="Y163">
        <v>2</v>
      </c>
      <c r="Z163">
        <v>100</v>
      </c>
      <c r="AA163">
        <v>0</v>
      </c>
      <c r="AB163">
        <v>1</v>
      </c>
      <c r="AC163">
        <v>1</v>
      </c>
      <c r="AD163">
        <v>0</v>
      </c>
      <c r="AE163">
        <v>1201.3</v>
      </c>
      <c r="AF163">
        <f t="shared" si="8"/>
        <v>360</v>
      </c>
      <c r="AG163">
        <f t="shared" si="9"/>
        <v>128</v>
      </c>
      <c r="AH163">
        <f t="shared" si="10"/>
        <v>2028.6666666666667</v>
      </c>
      <c r="AI163">
        <v>16955.560473333284</v>
      </c>
      <c r="AJ163">
        <f>[1]F1XT_1!F162</f>
        <v>16955.560543</v>
      </c>
      <c r="AK163">
        <f t="shared" si="11"/>
        <v>6.9666715717175975E-5</v>
      </c>
    </row>
    <row r="164" spans="1:37" x14ac:dyDescent="0.25">
      <c r="A164" t="s">
        <v>39</v>
      </c>
      <c r="B164">
        <v>35</v>
      </c>
      <c r="C164">
        <v>31</v>
      </c>
      <c r="D164">
        <v>355.9</v>
      </c>
      <c r="E164">
        <v>693.9</v>
      </c>
      <c r="F164">
        <v>64.5</v>
      </c>
      <c r="G164">
        <v>1</v>
      </c>
      <c r="H164">
        <v>35</v>
      </c>
      <c r="I164">
        <v>12</v>
      </c>
      <c r="J164">
        <v>30000</v>
      </c>
      <c r="K164">
        <v>3.5</v>
      </c>
      <c r="L164">
        <v>0</v>
      </c>
      <c r="M164">
        <v>232</v>
      </c>
      <c r="N164">
        <v>11620.8</v>
      </c>
      <c r="O164">
        <v>144401</v>
      </c>
      <c r="P164">
        <v>72.400000000000006</v>
      </c>
      <c r="Q164">
        <v>0</v>
      </c>
      <c r="R164">
        <v>94.5</v>
      </c>
      <c r="S164">
        <v>31.5</v>
      </c>
      <c r="T164">
        <v>0</v>
      </c>
      <c r="U164">
        <v>157.5</v>
      </c>
      <c r="V164">
        <v>0</v>
      </c>
      <c r="W164">
        <v>0</v>
      </c>
      <c r="X164">
        <v>0</v>
      </c>
      <c r="Y164">
        <v>2</v>
      </c>
      <c r="Z164">
        <v>100</v>
      </c>
      <c r="AA164">
        <v>0</v>
      </c>
      <c r="AB164">
        <v>1</v>
      </c>
      <c r="AC164">
        <v>1</v>
      </c>
      <c r="AD164">
        <v>0</v>
      </c>
      <c r="AE164">
        <v>1049.8</v>
      </c>
      <c r="AF164">
        <f t="shared" si="8"/>
        <v>420</v>
      </c>
      <c r="AG164">
        <f t="shared" si="9"/>
        <v>188</v>
      </c>
      <c r="AH164">
        <f t="shared" si="10"/>
        <v>2033.6666666666667</v>
      </c>
      <c r="AI164">
        <v>13552.022403236177</v>
      </c>
      <c r="AJ164">
        <f>[1]F1XT_1!F163</f>
        <v>13552.022528</v>
      </c>
      <c r="AK164">
        <f t="shared" si="11"/>
        <v>1.2476382289605681E-4</v>
      </c>
    </row>
    <row r="165" spans="1:37" x14ac:dyDescent="0.25">
      <c r="A165" t="s">
        <v>39</v>
      </c>
      <c r="B165">
        <v>35</v>
      </c>
      <c r="C165">
        <v>25</v>
      </c>
      <c r="D165">
        <v>244.2</v>
      </c>
      <c r="E165">
        <v>706.8</v>
      </c>
      <c r="F165">
        <v>77.8</v>
      </c>
      <c r="G165">
        <v>1</v>
      </c>
      <c r="H165">
        <v>25</v>
      </c>
      <c r="I165">
        <v>12</v>
      </c>
      <c r="J165">
        <v>20000</v>
      </c>
      <c r="K165">
        <v>3.5</v>
      </c>
      <c r="L165">
        <v>0</v>
      </c>
      <c r="M165">
        <v>232</v>
      </c>
      <c r="N165">
        <v>13559.6</v>
      </c>
      <c r="O165">
        <v>144701</v>
      </c>
      <c r="P165">
        <v>47.6</v>
      </c>
      <c r="Q165">
        <v>0</v>
      </c>
      <c r="R165">
        <v>63</v>
      </c>
      <c r="S165">
        <v>28.6</v>
      </c>
      <c r="T165">
        <v>0</v>
      </c>
      <c r="U165">
        <v>105</v>
      </c>
      <c r="V165">
        <v>0</v>
      </c>
      <c r="W165">
        <v>0</v>
      </c>
      <c r="X165">
        <v>0</v>
      </c>
      <c r="Y165">
        <v>1</v>
      </c>
      <c r="Z165">
        <v>100</v>
      </c>
      <c r="AA165">
        <v>0</v>
      </c>
      <c r="AB165">
        <v>0</v>
      </c>
      <c r="AC165">
        <v>1</v>
      </c>
      <c r="AD165">
        <v>0</v>
      </c>
      <c r="AE165">
        <v>951</v>
      </c>
      <c r="AF165">
        <f t="shared" si="8"/>
        <v>300</v>
      </c>
      <c r="AG165">
        <f t="shared" si="9"/>
        <v>68</v>
      </c>
      <c r="AH165">
        <f t="shared" si="10"/>
        <v>2023.6666666666667</v>
      </c>
      <c r="AI165">
        <v>14539.653390889829</v>
      </c>
      <c r="AJ165">
        <f>[1]F1XT_1!F164</f>
        <v>14539.653388000001</v>
      </c>
      <c r="AK165">
        <f t="shared" si="11"/>
        <v>-2.8898284654133022E-6</v>
      </c>
    </row>
    <row r="166" spans="1:37" x14ac:dyDescent="0.25">
      <c r="A166" t="s">
        <v>39</v>
      </c>
      <c r="B166">
        <v>35</v>
      </c>
      <c r="C166">
        <v>33</v>
      </c>
      <c r="D166">
        <v>359.8</v>
      </c>
      <c r="E166">
        <v>877.6</v>
      </c>
      <c r="F166">
        <v>91.1</v>
      </c>
      <c r="G166">
        <v>1</v>
      </c>
      <c r="H166">
        <v>29</v>
      </c>
      <c r="I166">
        <v>12</v>
      </c>
      <c r="J166">
        <v>30000</v>
      </c>
      <c r="K166">
        <v>3.5</v>
      </c>
      <c r="L166">
        <v>0</v>
      </c>
      <c r="M166">
        <v>232</v>
      </c>
      <c r="N166">
        <v>16036.1</v>
      </c>
      <c r="O166">
        <v>145001</v>
      </c>
      <c r="P166">
        <v>70.7</v>
      </c>
      <c r="Q166">
        <v>0</v>
      </c>
      <c r="R166">
        <v>94.5</v>
      </c>
      <c r="S166">
        <v>37.1</v>
      </c>
      <c r="T166">
        <v>0</v>
      </c>
      <c r="U166">
        <v>157.5</v>
      </c>
      <c r="V166">
        <v>0</v>
      </c>
      <c r="W166">
        <v>0</v>
      </c>
      <c r="X166">
        <v>0</v>
      </c>
      <c r="Y166">
        <v>2</v>
      </c>
      <c r="Z166">
        <v>100</v>
      </c>
      <c r="AA166">
        <v>0</v>
      </c>
      <c r="AB166">
        <v>1</v>
      </c>
      <c r="AC166">
        <v>1</v>
      </c>
      <c r="AD166">
        <v>0</v>
      </c>
      <c r="AE166">
        <v>1237.4000000000001</v>
      </c>
      <c r="AF166">
        <f t="shared" si="8"/>
        <v>348</v>
      </c>
      <c r="AG166">
        <f t="shared" si="9"/>
        <v>116</v>
      </c>
      <c r="AH166">
        <f t="shared" si="10"/>
        <v>2027.6666666666667</v>
      </c>
      <c r="AI166">
        <v>17661.952603132428</v>
      </c>
      <c r="AJ166">
        <f>[1]F1XT_1!F165</f>
        <v>17661.952692999999</v>
      </c>
      <c r="AK166">
        <f t="shared" si="11"/>
        <v>8.9867571659851819E-5</v>
      </c>
    </row>
    <row r="167" spans="1:37" x14ac:dyDescent="0.25">
      <c r="A167" t="s">
        <v>39</v>
      </c>
      <c r="B167">
        <v>35</v>
      </c>
      <c r="C167">
        <v>32</v>
      </c>
      <c r="D167">
        <v>163.1</v>
      </c>
      <c r="E167">
        <v>1344.8</v>
      </c>
      <c r="F167">
        <v>134.6</v>
      </c>
      <c r="G167">
        <v>1</v>
      </c>
      <c r="H167">
        <v>31</v>
      </c>
      <c r="I167">
        <v>12</v>
      </c>
      <c r="J167">
        <v>50000</v>
      </c>
      <c r="K167">
        <v>3.5</v>
      </c>
      <c r="L167">
        <v>0</v>
      </c>
      <c r="M167">
        <v>232</v>
      </c>
      <c r="N167">
        <v>23900.9</v>
      </c>
      <c r="O167">
        <v>146701</v>
      </c>
      <c r="P167">
        <v>117.9</v>
      </c>
      <c r="Q167">
        <v>0</v>
      </c>
      <c r="R167">
        <v>0</v>
      </c>
      <c r="S167">
        <v>45.2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2</v>
      </c>
      <c r="Z167">
        <v>100</v>
      </c>
      <c r="AA167">
        <v>0</v>
      </c>
      <c r="AB167">
        <v>1</v>
      </c>
      <c r="AC167">
        <v>1</v>
      </c>
      <c r="AD167">
        <v>0</v>
      </c>
      <c r="AE167">
        <v>1507.9</v>
      </c>
      <c r="AF167">
        <f t="shared" si="8"/>
        <v>372</v>
      </c>
      <c r="AG167">
        <f t="shared" si="9"/>
        <v>140</v>
      </c>
      <c r="AH167">
        <f t="shared" si="10"/>
        <v>2029.6666666666667</v>
      </c>
      <c r="AI167">
        <v>28308.738566140099</v>
      </c>
      <c r="AJ167">
        <f>[1]F1XT_1!F166</f>
        <v>28308.73878</v>
      </c>
      <c r="AK167">
        <f t="shared" si="11"/>
        <v>2.1385990112321451E-4</v>
      </c>
    </row>
    <row r="168" spans="1:37" x14ac:dyDescent="0.25">
      <c r="A168" t="s">
        <v>39</v>
      </c>
      <c r="B168">
        <v>35</v>
      </c>
      <c r="C168">
        <v>45</v>
      </c>
      <c r="D168">
        <v>0</v>
      </c>
      <c r="E168">
        <v>975.6</v>
      </c>
      <c r="F168">
        <v>112.8</v>
      </c>
      <c r="G168">
        <v>1</v>
      </c>
      <c r="H168">
        <v>20</v>
      </c>
      <c r="I168">
        <v>12</v>
      </c>
      <c r="J168">
        <v>20000</v>
      </c>
      <c r="K168">
        <v>3.5</v>
      </c>
      <c r="L168">
        <v>0</v>
      </c>
      <c r="M168">
        <v>232</v>
      </c>
      <c r="N168">
        <v>19010.400000000001</v>
      </c>
      <c r="O168">
        <v>146801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100</v>
      </c>
      <c r="AA168">
        <v>0</v>
      </c>
      <c r="AB168">
        <v>0</v>
      </c>
      <c r="AC168">
        <v>1</v>
      </c>
      <c r="AD168">
        <v>0</v>
      </c>
      <c r="AE168">
        <v>975.6</v>
      </c>
      <c r="AF168">
        <f t="shared" si="8"/>
        <v>240</v>
      </c>
      <c r="AG168">
        <f t="shared" si="9"/>
        <v>8</v>
      </c>
      <c r="AH168">
        <f t="shared" si="10"/>
        <v>2018.6666666666667</v>
      </c>
      <c r="AI168">
        <v>19275.978406794744</v>
      </c>
      <c r="AJ168">
        <f>[1]F1XT_1!F167</f>
        <v>19275.978406999999</v>
      </c>
      <c r="AK168">
        <f t="shared" si="11"/>
        <v>2.0525476429611444E-7</v>
      </c>
    </row>
    <row r="169" spans="1:37" x14ac:dyDescent="0.25">
      <c r="A169" t="s">
        <v>39</v>
      </c>
      <c r="B169">
        <v>35</v>
      </c>
      <c r="C169">
        <v>37</v>
      </c>
      <c r="D169">
        <v>74.8</v>
      </c>
      <c r="E169">
        <v>906.1</v>
      </c>
      <c r="F169">
        <v>112.4</v>
      </c>
      <c r="G169">
        <v>1</v>
      </c>
      <c r="H169">
        <v>20</v>
      </c>
      <c r="I169">
        <v>4</v>
      </c>
      <c r="J169">
        <v>20000</v>
      </c>
      <c r="K169">
        <v>3.5</v>
      </c>
      <c r="L169">
        <v>0</v>
      </c>
      <c r="M169">
        <v>232</v>
      </c>
      <c r="N169">
        <v>19042.099999999999</v>
      </c>
      <c r="O169">
        <v>148001</v>
      </c>
      <c r="P169">
        <v>45.3</v>
      </c>
      <c r="Q169">
        <v>0</v>
      </c>
      <c r="R169">
        <v>0</v>
      </c>
      <c r="S169">
        <v>29.5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2</v>
      </c>
      <c r="Z169">
        <v>100</v>
      </c>
      <c r="AA169">
        <v>0</v>
      </c>
      <c r="AB169">
        <v>1</v>
      </c>
      <c r="AC169">
        <v>1</v>
      </c>
      <c r="AD169">
        <v>0</v>
      </c>
      <c r="AE169">
        <v>980.9</v>
      </c>
      <c r="AF169">
        <f t="shared" si="8"/>
        <v>240</v>
      </c>
      <c r="AG169">
        <f t="shared" si="9"/>
        <v>8</v>
      </c>
      <c r="AH169">
        <f t="shared" si="10"/>
        <v>2018.6666666666667</v>
      </c>
      <c r="AI169">
        <v>19445.416829848898</v>
      </c>
      <c r="AJ169">
        <f>[1]F1XT_1!F168</f>
        <v>19445.416829999998</v>
      </c>
      <c r="AK169">
        <f t="shared" si="11"/>
        <v>1.5109981177374721E-7</v>
      </c>
    </row>
    <row r="170" spans="1:37" x14ac:dyDescent="0.25">
      <c r="A170" t="s">
        <v>39</v>
      </c>
      <c r="B170">
        <v>35</v>
      </c>
      <c r="C170">
        <v>30</v>
      </c>
      <c r="D170">
        <v>587.1</v>
      </c>
      <c r="E170">
        <v>691.9</v>
      </c>
      <c r="F170">
        <v>64.400000000000006</v>
      </c>
      <c r="G170">
        <v>1</v>
      </c>
      <c r="H170">
        <v>35</v>
      </c>
      <c r="I170">
        <v>12</v>
      </c>
      <c r="J170">
        <v>30000</v>
      </c>
      <c r="K170">
        <v>3.5</v>
      </c>
      <c r="L170">
        <v>0</v>
      </c>
      <c r="M170">
        <v>232</v>
      </c>
      <c r="N170">
        <v>11611.8</v>
      </c>
      <c r="O170">
        <v>150401</v>
      </c>
      <c r="P170">
        <v>70.900000000000006</v>
      </c>
      <c r="Q170">
        <v>0</v>
      </c>
      <c r="R170">
        <v>94.5</v>
      </c>
      <c r="S170">
        <v>31.4</v>
      </c>
      <c r="T170">
        <v>232.8</v>
      </c>
      <c r="U170">
        <v>157.5</v>
      </c>
      <c r="V170">
        <v>0</v>
      </c>
      <c r="W170">
        <v>0</v>
      </c>
      <c r="X170">
        <v>0</v>
      </c>
      <c r="Y170">
        <v>2</v>
      </c>
      <c r="Z170">
        <v>100</v>
      </c>
      <c r="AA170">
        <v>0</v>
      </c>
      <c r="AB170">
        <v>1</v>
      </c>
      <c r="AC170">
        <v>1</v>
      </c>
      <c r="AD170">
        <v>0.9</v>
      </c>
      <c r="AE170">
        <v>1279</v>
      </c>
      <c r="AF170">
        <f t="shared" si="8"/>
        <v>420</v>
      </c>
      <c r="AG170">
        <f t="shared" si="9"/>
        <v>188</v>
      </c>
      <c r="AH170">
        <f t="shared" si="10"/>
        <v>2033.6666666666667</v>
      </c>
      <c r="AI170">
        <v>14048.743317747259</v>
      </c>
      <c r="AJ170">
        <f>[1]F1XT_1!F169</f>
        <v>14048.743487</v>
      </c>
      <c r="AK170">
        <f t="shared" si="11"/>
        <v>1.6925274030654691E-4</v>
      </c>
    </row>
    <row r="171" spans="1:37" x14ac:dyDescent="0.25">
      <c r="A171" t="s">
        <v>39</v>
      </c>
      <c r="B171">
        <v>35</v>
      </c>
      <c r="C171">
        <v>30</v>
      </c>
      <c r="D171">
        <v>0</v>
      </c>
      <c r="E171">
        <v>0</v>
      </c>
      <c r="F171">
        <v>30.5</v>
      </c>
      <c r="G171">
        <v>1</v>
      </c>
      <c r="H171">
        <v>30</v>
      </c>
      <c r="I171">
        <v>1</v>
      </c>
      <c r="J171">
        <v>1765.3</v>
      </c>
      <c r="K171">
        <v>3.5</v>
      </c>
      <c r="L171">
        <v>0</v>
      </c>
      <c r="M171">
        <v>231</v>
      </c>
      <c r="N171">
        <v>1293.4000000000001</v>
      </c>
      <c r="O171">
        <v>157701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2</v>
      </c>
      <c r="Z171">
        <v>100</v>
      </c>
      <c r="AA171">
        <v>0</v>
      </c>
      <c r="AB171">
        <v>1</v>
      </c>
      <c r="AC171">
        <v>1</v>
      </c>
      <c r="AD171">
        <v>2</v>
      </c>
      <c r="AE171">
        <v>1192.2</v>
      </c>
      <c r="AF171">
        <f t="shared" si="8"/>
        <v>360</v>
      </c>
      <c r="AG171">
        <f t="shared" si="9"/>
        <v>129</v>
      </c>
      <c r="AH171">
        <f t="shared" si="10"/>
        <v>2028.75</v>
      </c>
      <c r="AI171">
        <v>2833.4264913001898</v>
      </c>
      <c r="AJ171">
        <f>[1]F1XT_1!F170</f>
        <v>2833.4180820000001</v>
      </c>
      <c r="AK171">
        <f t="shared" si="11"/>
        <v>-8.4093001896690112E-3</v>
      </c>
    </row>
    <row r="172" spans="1:37" x14ac:dyDescent="0.25">
      <c r="A172" t="s">
        <v>39</v>
      </c>
      <c r="B172">
        <v>35</v>
      </c>
      <c r="C172">
        <v>33</v>
      </c>
      <c r="D172">
        <v>385</v>
      </c>
      <c r="E172">
        <v>871.3</v>
      </c>
      <c r="F172">
        <v>84.6</v>
      </c>
      <c r="G172">
        <v>1</v>
      </c>
      <c r="H172">
        <v>30</v>
      </c>
      <c r="I172">
        <v>12</v>
      </c>
      <c r="J172">
        <v>30000</v>
      </c>
      <c r="K172">
        <v>3.5</v>
      </c>
      <c r="L172">
        <v>0</v>
      </c>
      <c r="M172">
        <v>231</v>
      </c>
      <c r="N172">
        <v>15107</v>
      </c>
      <c r="O172">
        <v>159502</v>
      </c>
      <c r="P172">
        <v>95.3</v>
      </c>
      <c r="Q172">
        <v>0</v>
      </c>
      <c r="R172">
        <v>94.5</v>
      </c>
      <c r="S172">
        <v>37.700000000000003</v>
      </c>
      <c r="T172">
        <v>0</v>
      </c>
      <c r="U172">
        <v>157.5</v>
      </c>
      <c r="V172">
        <v>0</v>
      </c>
      <c r="W172">
        <v>0</v>
      </c>
      <c r="X172">
        <v>0</v>
      </c>
      <c r="Y172">
        <v>1</v>
      </c>
      <c r="Z172">
        <v>100</v>
      </c>
      <c r="AA172">
        <v>0</v>
      </c>
      <c r="AB172">
        <v>0</v>
      </c>
      <c r="AC172">
        <v>1</v>
      </c>
      <c r="AD172">
        <v>0</v>
      </c>
      <c r="AE172">
        <v>1256.3</v>
      </c>
      <c r="AF172">
        <f t="shared" si="8"/>
        <v>360</v>
      </c>
      <c r="AG172">
        <f t="shared" si="9"/>
        <v>129</v>
      </c>
      <c r="AH172">
        <f t="shared" si="10"/>
        <v>2028.75</v>
      </c>
      <c r="AI172">
        <v>16590.107796625613</v>
      </c>
      <c r="AJ172">
        <f>[1]F1XT_1!F171</f>
        <v>16590.107728999999</v>
      </c>
      <c r="AK172">
        <f t="shared" si="11"/>
        <v>-6.7625613155541942E-5</v>
      </c>
    </row>
    <row r="173" spans="1:37" x14ac:dyDescent="0.25">
      <c r="A173" t="s">
        <v>39</v>
      </c>
      <c r="B173">
        <v>35</v>
      </c>
      <c r="C173">
        <v>30</v>
      </c>
      <c r="D173">
        <v>723.9</v>
      </c>
      <c r="E173">
        <v>962.4</v>
      </c>
      <c r="F173">
        <v>85.1</v>
      </c>
      <c r="G173">
        <v>1</v>
      </c>
      <c r="H173">
        <v>35</v>
      </c>
      <c r="I173">
        <v>12</v>
      </c>
      <c r="J173">
        <v>40000</v>
      </c>
      <c r="K173">
        <v>3.5</v>
      </c>
      <c r="L173">
        <v>0</v>
      </c>
      <c r="M173">
        <v>231</v>
      </c>
      <c r="N173">
        <v>15558.4</v>
      </c>
      <c r="O173">
        <v>164801</v>
      </c>
      <c r="P173">
        <v>126.4</v>
      </c>
      <c r="Q173">
        <v>0</v>
      </c>
      <c r="R173">
        <v>126</v>
      </c>
      <c r="S173">
        <v>44.1</v>
      </c>
      <c r="T173">
        <v>217.4</v>
      </c>
      <c r="U173">
        <v>210</v>
      </c>
      <c r="V173">
        <v>0</v>
      </c>
      <c r="W173">
        <v>0</v>
      </c>
      <c r="X173">
        <v>0</v>
      </c>
      <c r="Y173">
        <v>1</v>
      </c>
      <c r="Z173">
        <v>100</v>
      </c>
      <c r="AA173">
        <v>0</v>
      </c>
      <c r="AB173">
        <v>0</v>
      </c>
      <c r="AC173">
        <v>1</v>
      </c>
      <c r="AD173">
        <v>0.75</v>
      </c>
      <c r="AE173">
        <v>1686.3</v>
      </c>
      <c r="AF173">
        <f t="shared" si="8"/>
        <v>420</v>
      </c>
      <c r="AG173">
        <f t="shared" si="9"/>
        <v>189</v>
      </c>
      <c r="AH173">
        <f t="shared" si="10"/>
        <v>2033.75</v>
      </c>
      <c r="AI173">
        <v>17391.618525257723</v>
      </c>
      <c r="AJ173">
        <f>[1]F1XT_1!F172</f>
        <v>17391.618208</v>
      </c>
      <c r="AK173">
        <f t="shared" si="11"/>
        <v>-3.172577235091012E-4</v>
      </c>
    </row>
    <row r="174" spans="1:37" x14ac:dyDescent="0.25">
      <c r="A174" t="s">
        <v>39</v>
      </c>
      <c r="B174">
        <v>35</v>
      </c>
      <c r="C174">
        <v>30</v>
      </c>
      <c r="D174">
        <v>356.7</v>
      </c>
      <c r="E174">
        <v>836.8</v>
      </c>
      <c r="F174">
        <v>83.5</v>
      </c>
      <c r="G174">
        <v>1</v>
      </c>
      <c r="H174">
        <v>30</v>
      </c>
      <c r="I174">
        <v>12</v>
      </c>
      <c r="J174">
        <v>30000</v>
      </c>
      <c r="K174">
        <v>3.5</v>
      </c>
      <c r="L174">
        <v>0</v>
      </c>
      <c r="M174">
        <v>231</v>
      </c>
      <c r="N174">
        <v>15052.5</v>
      </c>
      <c r="O174">
        <v>164901</v>
      </c>
      <c r="P174">
        <v>68.900000000000006</v>
      </c>
      <c r="Q174">
        <v>0</v>
      </c>
      <c r="R174">
        <v>94.5</v>
      </c>
      <c r="S174">
        <v>35.799999999999997</v>
      </c>
      <c r="T174">
        <v>0</v>
      </c>
      <c r="U174">
        <v>157.5</v>
      </c>
      <c r="V174">
        <v>0</v>
      </c>
      <c r="W174">
        <v>0</v>
      </c>
      <c r="X174">
        <v>0</v>
      </c>
      <c r="Y174">
        <v>2</v>
      </c>
      <c r="Z174">
        <v>100</v>
      </c>
      <c r="AA174">
        <v>0</v>
      </c>
      <c r="AB174">
        <v>1</v>
      </c>
      <c r="AC174">
        <v>1</v>
      </c>
      <c r="AD174">
        <v>0</v>
      </c>
      <c r="AE174">
        <v>1193.5</v>
      </c>
      <c r="AF174">
        <f t="shared" si="8"/>
        <v>360</v>
      </c>
      <c r="AG174">
        <f t="shared" si="9"/>
        <v>129</v>
      </c>
      <c r="AH174">
        <f t="shared" si="10"/>
        <v>2028.75</v>
      </c>
      <c r="AI174">
        <v>16569.727251511464</v>
      </c>
      <c r="AJ174">
        <f>[1]F1XT_1!F173</f>
        <v>16569.727446000001</v>
      </c>
      <c r="AK174">
        <f t="shared" si="11"/>
        <v>1.9448853709036484E-4</v>
      </c>
    </row>
    <row r="175" spans="1:37" x14ac:dyDescent="0.25">
      <c r="A175" t="s">
        <v>39</v>
      </c>
      <c r="B175">
        <v>35</v>
      </c>
      <c r="C175">
        <v>35</v>
      </c>
      <c r="D175">
        <v>362.6</v>
      </c>
      <c r="E175">
        <v>846.1</v>
      </c>
      <c r="F175">
        <v>83.6</v>
      </c>
      <c r="G175">
        <v>1</v>
      </c>
      <c r="H175">
        <v>30</v>
      </c>
      <c r="I175">
        <v>12</v>
      </c>
      <c r="J175">
        <v>30000</v>
      </c>
      <c r="K175">
        <v>3.5</v>
      </c>
      <c r="L175">
        <v>0</v>
      </c>
      <c r="M175">
        <v>231</v>
      </c>
      <c r="N175">
        <v>15066.9</v>
      </c>
      <c r="O175">
        <v>165402</v>
      </c>
      <c r="P175">
        <v>74.400000000000006</v>
      </c>
      <c r="Q175">
        <v>0</v>
      </c>
      <c r="R175">
        <v>94.5</v>
      </c>
      <c r="S175">
        <v>36.200000000000003</v>
      </c>
      <c r="T175">
        <v>0</v>
      </c>
      <c r="U175">
        <v>157.5</v>
      </c>
      <c r="V175">
        <v>0</v>
      </c>
      <c r="W175">
        <v>0</v>
      </c>
      <c r="X175">
        <v>0</v>
      </c>
      <c r="Y175">
        <v>2</v>
      </c>
      <c r="Z175">
        <v>100</v>
      </c>
      <c r="AA175">
        <v>0</v>
      </c>
      <c r="AB175">
        <v>1</v>
      </c>
      <c r="AC175">
        <v>1</v>
      </c>
      <c r="AD175">
        <v>0</v>
      </c>
      <c r="AE175">
        <v>1208.7</v>
      </c>
      <c r="AF175">
        <f t="shared" si="8"/>
        <v>360</v>
      </c>
      <c r="AG175">
        <f t="shared" si="9"/>
        <v>129</v>
      </c>
      <c r="AH175">
        <f t="shared" si="10"/>
        <v>2028.75</v>
      </c>
      <c r="AI175">
        <v>17170.969329080544</v>
      </c>
      <c r="AJ175">
        <f>[1]F1XT_1!F174</f>
        <v>17170.969260000002</v>
      </c>
      <c r="AK175">
        <f t="shared" si="11"/>
        <v>-6.9080542743904516E-5</v>
      </c>
    </row>
    <row r="176" spans="1:37" x14ac:dyDescent="0.25">
      <c r="A176" t="s">
        <v>39</v>
      </c>
      <c r="B176">
        <v>35</v>
      </c>
      <c r="C176">
        <v>32</v>
      </c>
      <c r="D176">
        <v>788.8</v>
      </c>
      <c r="E176">
        <v>696.1</v>
      </c>
      <c r="F176">
        <v>63</v>
      </c>
      <c r="G176">
        <v>1</v>
      </c>
      <c r="H176">
        <v>35</v>
      </c>
      <c r="I176">
        <v>12</v>
      </c>
      <c r="J176">
        <v>30000</v>
      </c>
      <c r="K176">
        <v>3.5</v>
      </c>
      <c r="L176">
        <v>0</v>
      </c>
      <c r="M176">
        <v>231</v>
      </c>
      <c r="N176">
        <v>11556.8</v>
      </c>
      <c r="O176">
        <v>166001</v>
      </c>
      <c r="P176">
        <v>74.099999999999994</v>
      </c>
      <c r="Q176">
        <v>0</v>
      </c>
      <c r="R176">
        <v>94.5</v>
      </c>
      <c r="S176">
        <v>31.6</v>
      </c>
      <c r="T176">
        <v>431.1</v>
      </c>
      <c r="U176">
        <v>157.5</v>
      </c>
      <c r="V176">
        <v>0</v>
      </c>
      <c r="W176">
        <v>0</v>
      </c>
      <c r="X176">
        <v>0</v>
      </c>
      <c r="Y176">
        <v>2</v>
      </c>
      <c r="Z176">
        <v>100</v>
      </c>
      <c r="AA176">
        <v>0</v>
      </c>
      <c r="AB176">
        <v>1</v>
      </c>
      <c r="AC176">
        <v>1</v>
      </c>
      <c r="AD176">
        <v>1.6666000000000001</v>
      </c>
      <c r="AE176">
        <v>1484.9</v>
      </c>
      <c r="AF176">
        <f t="shared" si="8"/>
        <v>420</v>
      </c>
      <c r="AG176">
        <f t="shared" si="9"/>
        <v>189</v>
      </c>
      <c r="AH176">
        <f t="shared" si="10"/>
        <v>2033.75</v>
      </c>
      <c r="AI176">
        <v>14616.485792583777</v>
      </c>
      <c r="AJ176">
        <f>[1]F1XT_1!F175</f>
        <v>14616.485828999999</v>
      </c>
      <c r="AK176">
        <f t="shared" si="11"/>
        <v>3.6416222428670153E-5</v>
      </c>
    </row>
    <row r="177" spans="1:37" x14ac:dyDescent="0.25">
      <c r="A177" t="s">
        <v>39</v>
      </c>
      <c r="B177">
        <v>35</v>
      </c>
      <c r="C177">
        <v>20</v>
      </c>
      <c r="D177">
        <v>1002</v>
      </c>
      <c r="E177">
        <v>954.6</v>
      </c>
      <c r="F177">
        <v>80</v>
      </c>
      <c r="G177">
        <v>1</v>
      </c>
      <c r="H177">
        <v>40</v>
      </c>
      <c r="I177">
        <v>12</v>
      </c>
      <c r="J177">
        <v>50000</v>
      </c>
      <c r="K177">
        <v>3.5</v>
      </c>
      <c r="L177">
        <v>0</v>
      </c>
      <c r="M177">
        <v>231</v>
      </c>
      <c r="N177">
        <v>14970.4</v>
      </c>
      <c r="O177">
        <v>166201</v>
      </c>
      <c r="P177">
        <v>105</v>
      </c>
      <c r="Q177">
        <v>0</v>
      </c>
      <c r="R177">
        <v>157.5</v>
      </c>
      <c r="S177">
        <v>45.8</v>
      </c>
      <c r="T177">
        <v>431.2</v>
      </c>
      <c r="U177">
        <v>262.5</v>
      </c>
      <c r="V177">
        <v>0</v>
      </c>
      <c r="W177">
        <v>0</v>
      </c>
      <c r="X177">
        <v>0</v>
      </c>
      <c r="Y177">
        <v>2</v>
      </c>
      <c r="Z177">
        <v>100</v>
      </c>
      <c r="AA177">
        <v>0</v>
      </c>
      <c r="AB177">
        <v>1</v>
      </c>
      <c r="AC177">
        <v>1</v>
      </c>
      <c r="AD177">
        <v>1</v>
      </c>
      <c r="AE177">
        <v>1956.6</v>
      </c>
      <c r="AF177">
        <f t="shared" si="8"/>
        <v>480</v>
      </c>
      <c r="AG177">
        <f t="shared" si="9"/>
        <v>249</v>
      </c>
      <c r="AH177">
        <f t="shared" si="10"/>
        <v>2038.75</v>
      </c>
      <c r="AI177">
        <v>16742.688231859323</v>
      </c>
      <c r="AJ177">
        <f>[1]F1XT_1!F176</f>
        <v>16742.688905999999</v>
      </c>
      <c r="AK177">
        <f t="shared" si="11"/>
        <v>6.7414067598292604E-4</v>
      </c>
    </row>
    <row r="178" spans="1:37" x14ac:dyDescent="0.25">
      <c r="A178" t="s">
        <v>39</v>
      </c>
      <c r="B178">
        <v>35</v>
      </c>
      <c r="C178">
        <v>26</v>
      </c>
      <c r="D178">
        <v>521.6</v>
      </c>
      <c r="E178">
        <v>581.29999999999995</v>
      </c>
      <c r="F178">
        <v>48.2</v>
      </c>
      <c r="G178">
        <v>1</v>
      </c>
      <c r="H178">
        <v>40</v>
      </c>
      <c r="I178">
        <v>12</v>
      </c>
      <c r="J178">
        <v>30000</v>
      </c>
      <c r="K178">
        <v>3.5</v>
      </c>
      <c r="L178">
        <v>0</v>
      </c>
      <c r="M178">
        <v>231</v>
      </c>
      <c r="N178">
        <v>9014.6</v>
      </c>
      <c r="O178">
        <v>167701</v>
      </c>
      <c r="P178">
        <v>69.2</v>
      </c>
      <c r="Q178">
        <v>0</v>
      </c>
      <c r="R178">
        <v>94.5</v>
      </c>
      <c r="S178">
        <v>27.9</v>
      </c>
      <c r="T178">
        <v>172.5</v>
      </c>
      <c r="U178">
        <v>157.5</v>
      </c>
      <c r="V178">
        <v>0</v>
      </c>
      <c r="W178">
        <v>0</v>
      </c>
      <c r="X178">
        <v>0</v>
      </c>
      <c r="Y178">
        <v>2</v>
      </c>
      <c r="Z178">
        <v>100</v>
      </c>
      <c r="AA178">
        <v>0</v>
      </c>
      <c r="AB178">
        <v>1</v>
      </c>
      <c r="AC178">
        <v>1</v>
      </c>
      <c r="AD178">
        <v>0.66659999999999997</v>
      </c>
      <c r="AE178">
        <v>1102.9000000000001</v>
      </c>
      <c r="AF178">
        <f t="shared" si="8"/>
        <v>480</v>
      </c>
      <c r="AG178">
        <f t="shared" si="9"/>
        <v>249</v>
      </c>
      <c r="AH178">
        <f t="shared" si="10"/>
        <v>2038.75</v>
      </c>
      <c r="AI178">
        <v>10882.169665111713</v>
      </c>
      <c r="AJ178">
        <f>[1]F1XT_1!F177</f>
        <v>10882.169838</v>
      </c>
      <c r="AK178">
        <f t="shared" si="11"/>
        <v>1.7288828712480608E-4</v>
      </c>
    </row>
    <row r="179" spans="1:37" x14ac:dyDescent="0.25">
      <c r="A179" t="s">
        <v>39</v>
      </c>
      <c r="B179">
        <v>35</v>
      </c>
      <c r="C179">
        <v>22</v>
      </c>
      <c r="D179">
        <v>674.7</v>
      </c>
      <c r="E179">
        <v>766.9</v>
      </c>
      <c r="F179">
        <v>64.2</v>
      </c>
      <c r="G179">
        <v>1</v>
      </c>
      <c r="H179">
        <v>40</v>
      </c>
      <c r="I179">
        <v>12</v>
      </c>
      <c r="J179">
        <v>40000</v>
      </c>
      <c r="K179">
        <v>3.5</v>
      </c>
      <c r="L179">
        <v>0</v>
      </c>
      <c r="M179">
        <v>231</v>
      </c>
      <c r="N179">
        <v>11984.6</v>
      </c>
      <c r="O179">
        <v>170101</v>
      </c>
      <c r="P179">
        <v>86.3</v>
      </c>
      <c r="Q179">
        <v>0</v>
      </c>
      <c r="R179">
        <v>126</v>
      </c>
      <c r="S179">
        <v>36.799999999999997</v>
      </c>
      <c r="T179">
        <v>215.6</v>
      </c>
      <c r="U179">
        <v>210</v>
      </c>
      <c r="V179">
        <v>0</v>
      </c>
      <c r="W179">
        <v>0</v>
      </c>
      <c r="X179">
        <v>0</v>
      </c>
      <c r="Y179">
        <v>2</v>
      </c>
      <c r="Z179">
        <v>100</v>
      </c>
      <c r="AA179">
        <v>0</v>
      </c>
      <c r="AB179">
        <v>1</v>
      </c>
      <c r="AC179">
        <v>1</v>
      </c>
      <c r="AD179">
        <v>0.625</v>
      </c>
      <c r="AE179">
        <v>1441.6</v>
      </c>
      <c r="AF179">
        <f t="shared" si="8"/>
        <v>480</v>
      </c>
      <c r="AG179">
        <f t="shared" si="9"/>
        <v>249</v>
      </c>
      <c r="AH179">
        <f t="shared" si="10"/>
        <v>2038.75</v>
      </c>
      <c r="AI179">
        <v>13388.000381618776</v>
      </c>
      <c r="AJ179">
        <f>[1]F1XT_1!F178</f>
        <v>13388.000892</v>
      </c>
      <c r="AK179">
        <f t="shared" si="11"/>
        <v>5.103812236484373E-4</v>
      </c>
    </row>
    <row r="180" spans="1:37" x14ac:dyDescent="0.25">
      <c r="A180" t="s">
        <v>39</v>
      </c>
      <c r="B180">
        <v>35</v>
      </c>
      <c r="C180">
        <v>38</v>
      </c>
      <c r="D180">
        <v>1139.2</v>
      </c>
      <c r="E180">
        <v>1138</v>
      </c>
      <c r="F180">
        <v>111.7</v>
      </c>
      <c r="G180">
        <v>1</v>
      </c>
      <c r="H180">
        <v>30</v>
      </c>
      <c r="I180">
        <v>12</v>
      </c>
      <c r="J180">
        <v>40000</v>
      </c>
      <c r="K180">
        <v>3.5</v>
      </c>
      <c r="L180">
        <v>0</v>
      </c>
      <c r="M180">
        <v>231</v>
      </c>
      <c r="N180">
        <v>20094.5</v>
      </c>
      <c r="O180">
        <v>170601</v>
      </c>
      <c r="P180">
        <v>107.6</v>
      </c>
      <c r="Q180">
        <v>0</v>
      </c>
      <c r="R180">
        <v>126</v>
      </c>
      <c r="S180">
        <v>48.9</v>
      </c>
      <c r="T180">
        <v>646.70000000000005</v>
      </c>
      <c r="U180">
        <v>210</v>
      </c>
      <c r="V180">
        <v>0</v>
      </c>
      <c r="W180">
        <v>0</v>
      </c>
      <c r="X180">
        <v>0</v>
      </c>
      <c r="Y180">
        <v>2</v>
      </c>
      <c r="Z180">
        <v>100</v>
      </c>
      <c r="AA180">
        <v>0</v>
      </c>
      <c r="AB180">
        <v>1</v>
      </c>
      <c r="AC180">
        <v>1</v>
      </c>
      <c r="AD180">
        <v>1.875</v>
      </c>
      <c r="AE180">
        <v>2277.1999999999998</v>
      </c>
      <c r="AF180">
        <f t="shared" si="8"/>
        <v>360</v>
      </c>
      <c r="AG180">
        <f t="shared" si="9"/>
        <v>129</v>
      </c>
      <c r="AH180">
        <f t="shared" si="10"/>
        <v>2028.75</v>
      </c>
      <c r="AI180">
        <v>23864.710657108397</v>
      </c>
      <c r="AJ180">
        <f>[1]F1XT_1!F179</f>
        <v>23864.710442</v>
      </c>
      <c r="AK180">
        <f t="shared" si="11"/>
        <v>-2.1510839724214748E-4</v>
      </c>
    </row>
    <row r="181" spans="1:37" x14ac:dyDescent="0.25">
      <c r="A181" t="s">
        <v>39</v>
      </c>
      <c r="B181">
        <v>35</v>
      </c>
      <c r="C181">
        <v>33</v>
      </c>
      <c r="D181">
        <v>451.2</v>
      </c>
      <c r="E181">
        <v>670.9</v>
      </c>
      <c r="F181">
        <v>65.099999999999994</v>
      </c>
      <c r="G181">
        <v>1</v>
      </c>
      <c r="H181">
        <v>30</v>
      </c>
      <c r="I181">
        <v>12</v>
      </c>
      <c r="J181">
        <v>23100</v>
      </c>
      <c r="K181">
        <v>3.5</v>
      </c>
      <c r="L181">
        <v>0</v>
      </c>
      <c r="M181">
        <v>231</v>
      </c>
      <c r="N181">
        <v>11632.4</v>
      </c>
      <c r="O181">
        <v>171401</v>
      </c>
      <c r="P181">
        <v>73.400000000000006</v>
      </c>
      <c r="Q181">
        <v>0</v>
      </c>
      <c r="R181">
        <v>72.8</v>
      </c>
      <c r="S181">
        <v>33.700000000000003</v>
      </c>
      <c r="T181">
        <v>0</v>
      </c>
      <c r="U181">
        <v>121.3</v>
      </c>
      <c r="V181">
        <v>101.9</v>
      </c>
      <c r="W181">
        <v>0</v>
      </c>
      <c r="X181">
        <v>48.1</v>
      </c>
      <c r="Y181">
        <v>1</v>
      </c>
      <c r="Z181">
        <v>100</v>
      </c>
      <c r="AA181">
        <v>0</v>
      </c>
      <c r="AB181">
        <v>0</v>
      </c>
      <c r="AC181">
        <v>1</v>
      </c>
      <c r="AD181">
        <v>0</v>
      </c>
      <c r="AE181">
        <v>1122.0999999999999</v>
      </c>
      <c r="AF181">
        <f t="shared" si="8"/>
        <v>360</v>
      </c>
      <c r="AG181">
        <f t="shared" si="9"/>
        <v>129</v>
      </c>
      <c r="AH181">
        <f t="shared" si="10"/>
        <v>2028.75</v>
      </c>
      <c r="AI181">
        <v>13020.99008747538</v>
      </c>
      <c r="AJ181">
        <f>[1]F1XT_1!F180</f>
        <v>13020.990035999999</v>
      </c>
      <c r="AK181">
        <f t="shared" si="11"/>
        <v>-5.1475381042109802E-5</v>
      </c>
    </row>
    <row r="182" spans="1:37" x14ac:dyDescent="0.25">
      <c r="A182" t="s">
        <v>39</v>
      </c>
      <c r="B182">
        <v>35</v>
      </c>
      <c r="C182">
        <v>33</v>
      </c>
      <c r="D182">
        <v>287.60000000000002</v>
      </c>
      <c r="E182">
        <v>673.6</v>
      </c>
      <c r="F182">
        <v>66.7</v>
      </c>
      <c r="G182">
        <v>1</v>
      </c>
      <c r="H182">
        <v>30</v>
      </c>
      <c r="I182">
        <v>12</v>
      </c>
      <c r="J182">
        <v>24000</v>
      </c>
      <c r="K182">
        <v>3.5</v>
      </c>
      <c r="L182">
        <v>0</v>
      </c>
      <c r="M182">
        <v>231</v>
      </c>
      <c r="N182">
        <v>12049.2</v>
      </c>
      <c r="O182">
        <v>171501</v>
      </c>
      <c r="P182">
        <v>57.1</v>
      </c>
      <c r="Q182">
        <v>0</v>
      </c>
      <c r="R182">
        <v>75.599999999999994</v>
      </c>
      <c r="S182">
        <v>28.9</v>
      </c>
      <c r="T182">
        <v>0</v>
      </c>
      <c r="U182">
        <v>126</v>
      </c>
      <c r="V182">
        <v>0</v>
      </c>
      <c r="W182">
        <v>0</v>
      </c>
      <c r="X182">
        <v>0</v>
      </c>
      <c r="Y182">
        <v>2</v>
      </c>
      <c r="Z182">
        <v>100</v>
      </c>
      <c r="AA182">
        <v>0</v>
      </c>
      <c r="AB182">
        <v>1</v>
      </c>
      <c r="AC182">
        <v>1</v>
      </c>
      <c r="AD182">
        <v>0</v>
      </c>
      <c r="AE182">
        <v>961.2</v>
      </c>
      <c r="AF182">
        <f t="shared" si="8"/>
        <v>360</v>
      </c>
      <c r="AG182">
        <f t="shared" si="9"/>
        <v>129</v>
      </c>
      <c r="AH182">
        <f t="shared" si="10"/>
        <v>2028.75</v>
      </c>
      <c r="AI182">
        <v>13745.252934243012</v>
      </c>
      <c r="AJ182">
        <f>[1]F1XT_1!F181</f>
        <v>13745.252994</v>
      </c>
      <c r="AK182">
        <f t="shared" si="11"/>
        <v>5.9756988775916398E-5</v>
      </c>
    </row>
    <row r="183" spans="1:37" x14ac:dyDescent="0.25">
      <c r="A183" t="s">
        <v>39</v>
      </c>
      <c r="B183">
        <v>35</v>
      </c>
      <c r="C183">
        <v>39</v>
      </c>
      <c r="D183">
        <v>751.8</v>
      </c>
      <c r="E183">
        <v>1104.5</v>
      </c>
      <c r="F183">
        <v>116.5</v>
      </c>
      <c r="G183">
        <v>1</v>
      </c>
      <c r="H183">
        <v>25</v>
      </c>
      <c r="I183">
        <v>12</v>
      </c>
      <c r="J183">
        <v>30000</v>
      </c>
      <c r="K183">
        <v>3.5</v>
      </c>
      <c r="L183">
        <v>0</v>
      </c>
      <c r="M183">
        <v>231</v>
      </c>
      <c r="N183">
        <v>20182.7</v>
      </c>
      <c r="O183">
        <v>172501</v>
      </c>
      <c r="P183">
        <v>109.5</v>
      </c>
      <c r="Q183">
        <v>0</v>
      </c>
      <c r="R183">
        <v>94.5</v>
      </c>
      <c r="S183">
        <v>45.4</v>
      </c>
      <c r="T183">
        <v>344.9</v>
      </c>
      <c r="U183">
        <v>157.5</v>
      </c>
      <c r="V183">
        <v>0</v>
      </c>
      <c r="W183">
        <v>0</v>
      </c>
      <c r="X183">
        <v>0</v>
      </c>
      <c r="Y183">
        <v>1</v>
      </c>
      <c r="Z183">
        <v>100</v>
      </c>
      <c r="AA183">
        <v>0</v>
      </c>
      <c r="AB183">
        <v>0</v>
      </c>
      <c r="AC183">
        <v>1</v>
      </c>
      <c r="AD183">
        <v>1.3332999999999999</v>
      </c>
      <c r="AE183">
        <v>1856.3</v>
      </c>
      <c r="AF183">
        <f t="shared" si="8"/>
        <v>300</v>
      </c>
      <c r="AG183">
        <f t="shared" si="9"/>
        <v>69</v>
      </c>
      <c r="AH183">
        <f t="shared" si="10"/>
        <v>2023.75</v>
      </c>
      <c r="AI183">
        <v>21998.232898714898</v>
      </c>
      <c r="AJ183">
        <f>[1]F1XT_1!F182</f>
        <v>21998.232865999998</v>
      </c>
      <c r="AK183">
        <f t="shared" si="11"/>
        <v>-3.2714899134589359E-5</v>
      </c>
    </row>
    <row r="184" spans="1:37" x14ac:dyDescent="0.25">
      <c r="A184" t="s">
        <v>39</v>
      </c>
      <c r="B184">
        <v>35</v>
      </c>
      <c r="C184">
        <v>44</v>
      </c>
      <c r="D184">
        <v>0</v>
      </c>
      <c r="E184">
        <v>1079.9000000000001</v>
      </c>
      <c r="F184">
        <v>115.6</v>
      </c>
      <c r="G184">
        <v>1</v>
      </c>
      <c r="H184">
        <v>25</v>
      </c>
      <c r="I184">
        <v>12</v>
      </c>
      <c r="J184">
        <v>30000</v>
      </c>
      <c r="K184">
        <v>3.5</v>
      </c>
      <c r="L184">
        <v>0</v>
      </c>
      <c r="M184">
        <v>231</v>
      </c>
      <c r="N184">
        <v>20199.7</v>
      </c>
      <c r="O184">
        <v>172601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2</v>
      </c>
      <c r="Z184">
        <v>100</v>
      </c>
      <c r="AA184">
        <v>0</v>
      </c>
      <c r="AB184">
        <v>1</v>
      </c>
      <c r="AC184">
        <v>1</v>
      </c>
      <c r="AD184">
        <v>0</v>
      </c>
      <c r="AE184">
        <v>1079.9000000000001</v>
      </c>
      <c r="AF184">
        <f t="shared" si="8"/>
        <v>300</v>
      </c>
      <c r="AG184">
        <f t="shared" si="9"/>
        <v>69</v>
      </c>
      <c r="AH184">
        <f t="shared" si="10"/>
        <v>2023.75</v>
      </c>
      <c r="AI184">
        <v>22555.943476176471</v>
      </c>
      <c r="AJ184">
        <f>[1]F1XT_1!F183</f>
        <v>22555.943472999999</v>
      </c>
      <c r="AK184">
        <f t="shared" si="11"/>
        <v>-3.1764720915816724E-6</v>
      </c>
    </row>
    <row r="185" spans="1:37" x14ac:dyDescent="0.25">
      <c r="A185" t="s">
        <v>39</v>
      </c>
      <c r="B185">
        <v>35</v>
      </c>
      <c r="C185">
        <v>28</v>
      </c>
      <c r="D185">
        <v>730.3</v>
      </c>
      <c r="E185">
        <v>952.6</v>
      </c>
      <c r="F185">
        <v>83.8</v>
      </c>
      <c r="G185">
        <v>1</v>
      </c>
      <c r="H185">
        <v>35</v>
      </c>
      <c r="I185">
        <v>12</v>
      </c>
      <c r="J185">
        <v>40000</v>
      </c>
      <c r="K185">
        <v>3.5</v>
      </c>
      <c r="L185">
        <v>0</v>
      </c>
      <c r="M185">
        <v>231</v>
      </c>
      <c r="N185">
        <v>15478</v>
      </c>
      <c r="O185">
        <v>172902</v>
      </c>
      <c r="P185">
        <v>118</v>
      </c>
      <c r="Q185">
        <v>0</v>
      </c>
      <c r="R185">
        <v>126</v>
      </c>
      <c r="S185">
        <v>43.5</v>
      </c>
      <c r="T185">
        <v>232.8</v>
      </c>
      <c r="U185">
        <v>210</v>
      </c>
      <c r="V185">
        <v>0</v>
      </c>
      <c r="W185">
        <v>0</v>
      </c>
      <c r="X185">
        <v>0</v>
      </c>
      <c r="Y185">
        <v>1</v>
      </c>
      <c r="Z185">
        <v>100</v>
      </c>
      <c r="AA185">
        <v>0</v>
      </c>
      <c r="AB185">
        <v>0</v>
      </c>
      <c r="AC185">
        <v>1</v>
      </c>
      <c r="AD185">
        <v>0.67500000000000004</v>
      </c>
      <c r="AE185">
        <v>1682.9</v>
      </c>
      <c r="AF185">
        <f t="shared" si="8"/>
        <v>420</v>
      </c>
      <c r="AG185">
        <f t="shared" si="9"/>
        <v>189</v>
      </c>
      <c r="AH185">
        <f t="shared" si="10"/>
        <v>2033.75</v>
      </c>
      <c r="AI185">
        <v>17204.846349874235</v>
      </c>
      <c r="AJ185">
        <f>[1]F1XT_1!F184</f>
        <v>17204.846029</v>
      </c>
      <c r="AK185">
        <f t="shared" si="11"/>
        <v>-3.2087423460325226E-4</v>
      </c>
    </row>
    <row r="186" spans="1:37" x14ac:dyDescent="0.25">
      <c r="A186" t="s">
        <v>39</v>
      </c>
      <c r="B186">
        <v>35</v>
      </c>
      <c r="C186">
        <v>36</v>
      </c>
      <c r="D186">
        <v>398.7</v>
      </c>
      <c r="E186">
        <v>887.4</v>
      </c>
      <c r="F186">
        <v>85.8</v>
      </c>
      <c r="G186">
        <v>1</v>
      </c>
      <c r="H186">
        <v>30</v>
      </c>
      <c r="I186">
        <v>12</v>
      </c>
      <c r="J186">
        <v>30000</v>
      </c>
      <c r="K186">
        <v>3.5</v>
      </c>
      <c r="L186">
        <v>0</v>
      </c>
      <c r="M186">
        <v>231</v>
      </c>
      <c r="N186">
        <v>15142.7</v>
      </c>
      <c r="O186">
        <v>173801</v>
      </c>
      <c r="P186">
        <v>108.1</v>
      </c>
      <c r="Q186">
        <v>0</v>
      </c>
      <c r="R186">
        <v>94.5</v>
      </c>
      <c r="S186">
        <v>38.6</v>
      </c>
      <c r="T186">
        <v>0</v>
      </c>
      <c r="U186">
        <v>157.5</v>
      </c>
      <c r="V186">
        <v>0</v>
      </c>
      <c r="W186">
        <v>0</v>
      </c>
      <c r="X186">
        <v>0</v>
      </c>
      <c r="Y186">
        <v>1</v>
      </c>
      <c r="Z186">
        <v>100</v>
      </c>
      <c r="AA186">
        <v>0</v>
      </c>
      <c r="AB186">
        <v>0</v>
      </c>
      <c r="AC186">
        <v>1</v>
      </c>
      <c r="AD186">
        <v>0</v>
      </c>
      <c r="AE186">
        <v>1286.0999999999999</v>
      </c>
      <c r="AF186">
        <f t="shared" si="8"/>
        <v>360</v>
      </c>
      <c r="AG186">
        <f t="shared" si="9"/>
        <v>129</v>
      </c>
      <c r="AH186">
        <f t="shared" si="10"/>
        <v>2028.75</v>
      </c>
      <c r="AI186">
        <v>17032.47197129557</v>
      </c>
      <c r="AJ186">
        <f>[1]F1XT_1!F185</f>
        <v>17032.471874999999</v>
      </c>
      <c r="AK186">
        <f t="shared" si="11"/>
        <v>-9.6295570983784273E-5</v>
      </c>
    </row>
    <row r="187" spans="1:37" x14ac:dyDescent="0.25">
      <c r="A187" t="s">
        <v>39</v>
      </c>
      <c r="B187">
        <v>35</v>
      </c>
      <c r="C187">
        <v>33</v>
      </c>
      <c r="D187">
        <v>618.1</v>
      </c>
      <c r="E187">
        <v>841.9</v>
      </c>
      <c r="F187">
        <v>83.5</v>
      </c>
      <c r="G187">
        <v>1</v>
      </c>
      <c r="H187">
        <v>30</v>
      </c>
      <c r="I187">
        <v>12</v>
      </c>
      <c r="J187">
        <v>30000</v>
      </c>
      <c r="K187">
        <v>3.5</v>
      </c>
      <c r="L187">
        <v>0</v>
      </c>
      <c r="M187">
        <v>231</v>
      </c>
      <c r="N187">
        <v>15061.6</v>
      </c>
      <c r="O187">
        <v>173901</v>
      </c>
      <c r="P187">
        <v>71.400000000000006</v>
      </c>
      <c r="Q187">
        <v>0</v>
      </c>
      <c r="R187">
        <v>94.5</v>
      </c>
      <c r="S187">
        <v>36</v>
      </c>
      <c r="T187">
        <v>258.7</v>
      </c>
      <c r="U187">
        <v>157.5</v>
      </c>
      <c r="V187">
        <v>0</v>
      </c>
      <c r="W187">
        <v>0</v>
      </c>
      <c r="X187">
        <v>0</v>
      </c>
      <c r="Y187">
        <v>2</v>
      </c>
      <c r="Z187">
        <v>100</v>
      </c>
      <c r="AA187">
        <v>0</v>
      </c>
      <c r="AB187">
        <v>1</v>
      </c>
      <c r="AC187">
        <v>1</v>
      </c>
      <c r="AD187">
        <v>1</v>
      </c>
      <c r="AE187">
        <v>1460</v>
      </c>
      <c r="AF187">
        <f t="shared" si="8"/>
        <v>360</v>
      </c>
      <c r="AG187">
        <f t="shared" si="9"/>
        <v>129</v>
      </c>
      <c r="AH187">
        <f t="shared" si="10"/>
        <v>2028.75</v>
      </c>
      <c r="AI187">
        <v>17415.257077860628</v>
      </c>
      <c r="AJ187">
        <f>[1]F1XT_1!F186</f>
        <v>17415.257151999998</v>
      </c>
      <c r="AK187">
        <f t="shared" si="11"/>
        <v>7.4139370553893968E-5</v>
      </c>
    </row>
    <row r="188" spans="1:37" x14ac:dyDescent="0.25">
      <c r="A188" t="s">
        <v>39</v>
      </c>
      <c r="B188">
        <v>35</v>
      </c>
      <c r="C188">
        <v>38</v>
      </c>
      <c r="D188">
        <v>370</v>
      </c>
      <c r="E188">
        <v>1061.9000000000001</v>
      </c>
      <c r="F188">
        <v>111.7</v>
      </c>
      <c r="G188">
        <v>1</v>
      </c>
      <c r="H188">
        <v>25</v>
      </c>
      <c r="I188">
        <v>12</v>
      </c>
      <c r="J188">
        <v>30000</v>
      </c>
      <c r="K188">
        <v>3.5</v>
      </c>
      <c r="L188">
        <v>0</v>
      </c>
      <c r="M188">
        <v>230</v>
      </c>
      <c r="N188">
        <v>20103</v>
      </c>
      <c r="O188">
        <v>174801</v>
      </c>
      <c r="P188">
        <v>75.099999999999994</v>
      </c>
      <c r="Q188">
        <v>0</v>
      </c>
      <c r="R188">
        <v>94.5</v>
      </c>
      <c r="S188">
        <v>42.9</v>
      </c>
      <c r="T188">
        <v>0</v>
      </c>
      <c r="U188">
        <v>157.5</v>
      </c>
      <c r="V188">
        <v>0</v>
      </c>
      <c r="W188">
        <v>0</v>
      </c>
      <c r="X188">
        <v>0</v>
      </c>
      <c r="Y188">
        <v>2</v>
      </c>
      <c r="Z188">
        <v>100</v>
      </c>
      <c r="AA188">
        <v>0</v>
      </c>
      <c r="AB188">
        <v>1</v>
      </c>
      <c r="AC188">
        <v>1</v>
      </c>
      <c r="AD188">
        <v>0</v>
      </c>
      <c r="AE188">
        <v>1431.9</v>
      </c>
      <c r="AF188">
        <f t="shared" si="8"/>
        <v>300</v>
      </c>
      <c r="AG188">
        <f t="shared" si="9"/>
        <v>70</v>
      </c>
      <c r="AH188">
        <f t="shared" si="10"/>
        <v>2023.8333333333333</v>
      </c>
      <c r="AI188">
        <v>21611.108559849697</v>
      </c>
      <c r="AJ188">
        <f>[1]F1XT_1!F187</f>
        <v>21611.108521999999</v>
      </c>
      <c r="AK188">
        <f t="shared" si="11"/>
        <v>-3.7849698856007308E-5</v>
      </c>
    </row>
    <row r="189" spans="1:37" x14ac:dyDescent="0.25">
      <c r="A189" t="s">
        <v>39</v>
      </c>
      <c r="B189">
        <v>35</v>
      </c>
      <c r="C189">
        <v>29</v>
      </c>
      <c r="D189">
        <v>354.1</v>
      </c>
      <c r="E189">
        <v>835.4</v>
      </c>
      <c r="F189">
        <v>81.099999999999994</v>
      </c>
      <c r="G189">
        <v>1</v>
      </c>
      <c r="H189">
        <v>30</v>
      </c>
      <c r="I189">
        <v>12</v>
      </c>
      <c r="J189">
        <v>30000</v>
      </c>
      <c r="K189">
        <v>3.5</v>
      </c>
      <c r="L189">
        <v>0</v>
      </c>
      <c r="M189">
        <v>230</v>
      </c>
      <c r="N189">
        <v>14954.3</v>
      </c>
      <c r="O189">
        <v>174901</v>
      </c>
      <c r="P189">
        <v>66.400000000000006</v>
      </c>
      <c r="Q189">
        <v>0</v>
      </c>
      <c r="R189">
        <v>94.5</v>
      </c>
      <c r="S189">
        <v>35.700000000000003</v>
      </c>
      <c r="T189">
        <v>0</v>
      </c>
      <c r="U189">
        <v>157.5</v>
      </c>
      <c r="V189">
        <v>0</v>
      </c>
      <c r="W189">
        <v>0</v>
      </c>
      <c r="X189">
        <v>0</v>
      </c>
      <c r="Y189">
        <v>2</v>
      </c>
      <c r="Z189">
        <v>100</v>
      </c>
      <c r="AA189">
        <v>0</v>
      </c>
      <c r="AB189">
        <v>1</v>
      </c>
      <c r="AC189">
        <v>1</v>
      </c>
      <c r="AD189">
        <v>0</v>
      </c>
      <c r="AE189">
        <v>1189.5</v>
      </c>
      <c r="AF189">
        <f t="shared" si="8"/>
        <v>360</v>
      </c>
      <c r="AG189">
        <f t="shared" si="9"/>
        <v>130</v>
      </c>
      <c r="AH189">
        <f t="shared" si="10"/>
        <v>2028.8333333333333</v>
      </c>
      <c r="AI189">
        <v>16483.821045359746</v>
      </c>
      <c r="AJ189">
        <f>[1]F1XT_1!F188</f>
        <v>16483.821218000001</v>
      </c>
      <c r="AK189">
        <f t="shared" si="11"/>
        <v>1.7264025518670678E-4</v>
      </c>
    </row>
    <row r="190" spans="1:37" x14ac:dyDescent="0.25">
      <c r="A190" t="s">
        <v>39</v>
      </c>
      <c r="B190">
        <v>35</v>
      </c>
      <c r="C190">
        <v>39</v>
      </c>
      <c r="D190">
        <v>406.9</v>
      </c>
      <c r="E190">
        <v>1104.5</v>
      </c>
      <c r="F190">
        <v>113.2</v>
      </c>
      <c r="G190">
        <v>1</v>
      </c>
      <c r="H190">
        <v>25</v>
      </c>
      <c r="I190">
        <v>12</v>
      </c>
      <c r="J190">
        <v>30000</v>
      </c>
      <c r="K190">
        <v>3.5</v>
      </c>
      <c r="L190">
        <v>0</v>
      </c>
      <c r="M190">
        <v>230</v>
      </c>
      <c r="N190">
        <v>20055.7</v>
      </c>
      <c r="O190">
        <v>175001</v>
      </c>
      <c r="P190">
        <v>109.5</v>
      </c>
      <c r="Q190">
        <v>0</v>
      </c>
      <c r="R190">
        <v>94.5</v>
      </c>
      <c r="S190">
        <v>45.4</v>
      </c>
      <c r="T190">
        <v>0</v>
      </c>
      <c r="U190">
        <v>157.5</v>
      </c>
      <c r="V190">
        <v>0</v>
      </c>
      <c r="W190">
        <v>0</v>
      </c>
      <c r="X190">
        <v>0</v>
      </c>
      <c r="Y190">
        <v>1</v>
      </c>
      <c r="Z190">
        <v>100</v>
      </c>
      <c r="AA190">
        <v>0</v>
      </c>
      <c r="AB190">
        <v>0</v>
      </c>
      <c r="AC190">
        <v>1</v>
      </c>
      <c r="AD190">
        <v>0</v>
      </c>
      <c r="AE190">
        <v>1511.4</v>
      </c>
      <c r="AF190">
        <f t="shared" si="8"/>
        <v>300</v>
      </c>
      <c r="AG190">
        <f t="shared" si="9"/>
        <v>70</v>
      </c>
      <c r="AH190">
        <f t="shared" si="10"/>
        <v>2023.8333333333333</v>
      </c>
      <c r="AI190">
        <v>21599.231794435695</v>
      </c>
      <c r="AJ190">
        <f>[1]F1XT_1!F189</f>
        <v>21599.231760999999</v>
      </c>
      <c r="AK190">
        <f t="shared" si="11"/>
        <v>-3.3435695513617247E-5</v>
      </c>
    </row>
    <row r="191" spans="1:37" x14ac:dyDescent="0.25">
      <c r="A191" t="s">
        <v>39</v>
      </c>
      <c r="B191">
        <v>35</v>
      </c>
      <c r="C191">
        <v>41</v>
      </c>
      <c r="D191">
        <v>376.4</v>
      </c>
      <c r="E191">
        <v>1069.5</v>
      </c>
      <c r="F191">
        <v>112</v>
      </c>
      <c r="G191">
        <v>1</v>
      </c>
      <c r="H191">
        <v>25</v>
      </c>
      <c r="I191">
        <v>12</v>
      </c>
      <c r="J191">
        <v>30000</v>
      </c>
      <c r="K191">
        <v>3.5</v>
      </c>
      <c r="L191">
        <v>0</v>
      </c>
      <c r="M191">
        <v>230</v>
      </c>
      <c r="N191">
        <v>20087</v>
      </c>
      <c r="O191">
        <v>176102</v>
      </c>
      <c r="P191">
        <v>81</v>
      </c>
      <c r="Q191">
        <v>0</v>
      </c>
      <c r="R191">
        <v>94.5</v>
      </c>
      <c r="S191">
        <v>43.4</v>
      </c>
      <c r="T191">
        <v>0</v>
      </c>
      <c r="U191">
        <v>157.5</v>
      </c>
      <c r="V191">
        <v>0</v>
      </c>
      <c r="W191">
        <v>0</v>
      </c>
      <c r="X191">
        <v>0</v>
      </c>
      <c r="Y191">
        <v>2</v>
      </c>
      <c r="Z191">
        <v>100</v>
      </c>
      <c r="AA191">
        <v>0</v>
      </c>
      <c r="AB191">
        <v>1</v>
      </c>
      <c r="AC191">
        <v>1</v>
      </c>
      <c r="AD191">
        <v>0</v>
      </c>
      <c r="AE191">
        <v>1445.9</v>
      </c>
      <c r="AF191">
        <f t="shared" si="8"/>
        <v>300</v>
      </c>
      <c r="AG191">
        <f t="shared" si="9"/>
        <v>70</v>
      </c>
      <c r="AH191">
        <f t="shared" si="10"/>
        <v>2023.8333333333333</v>
      </c>
      <c r="AI191">
        <v>22270.673192280079</v>
      </c>
      <c r="AJ191">
        <f>[1]F1XT_1!F190</f>
        <v>22270.673164</v>
      </c>
      <c r="AK191">
        <f t="shared" si="11"/>
        <v>-2.828007927746512E-5</v>
      </c>
    </row>
    <row r="192" spans="1:37" x14ac:dyDescent="0.25">
      <c r="A192" t="s">
        <v>39</v>
      </c>
      <c r="B192">
        <v>35</v>
      </c>
      <c r="C192">
        <v>45</v>
      </c>
      <c r="D192">
        <v>0</v>
      </c>
      <c r="E192">
        <v>780.5</v>
      </c>
      <c r="F192">
        <v>83.5</v>
      </c>
      <c r="G192">
        <v>1</v>
      </c>
      <c r="H192">
        <v>20</v>
      </c>
      <c r="I192">
        <v>12</v>
      </c>
      <c r="J192">
        <v>16000</v>
      </c>
      <c r="K192">
        <v>3.5</v>
      </c>
      <c r="L192">
        <v>0</v>
      </c>
      <c r="M192">
        <v>229</v>
      </c>
      <c r="N192">
        <v>14911.4</v>
      </c>
      <c r="O192">
        <v>179401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100</v>
      </c>
      <c r="AA192">
        <v>0</v>
      </c>
      <c r="AB192">
        <v>0</v>
      </c>
      <c r="AC192">
        <v>1</v>
      </c>
      <c r="AD192">
        <v>0</v>
      </c>
      <c r="AE192">
        <v>780.5</v>
      </c>
      <c r="AF192">
        <f t="shared" si="8"/>
        <v>240</v>
      </c>
      <c r="AG192">
        <f t="shared" si="9"/>
        <v>11</v>
      </c>
      <c r="AH192">
        <f t="shared" si="10"/>
        <v>2018.9166666666667</v>
      </c>
      <c r="AI192">
        <v>15218.920958868952</v>
      </c>
      <c r="AJ192">
        <f>[1]F1XT_1!F191</f>
        <v>15218.920958999999</v>
      </c>
      <c r="AK192">
        <f t="shared" si="11"/>
        <v>1.3104727258905768E-7</v>
      </c>
    </row>
    <row r="193" spans="1:37" x14ac:dyDescent="0.25">
      <c r="A193" t="s">
        <v>39</v>
      </c>
      <c r="B193">
        <v>35</v>
      </c>
      <c r="C193">
        <v>32</v>
      </c>
      <c r="D193">
        <v>381.9</v>
      </c>
      <c r="E193">
        <v>1395.6</v>
      </c>
      <c r="F193">
        <v>159.80000000000001</v>
      </c>
      <c r="G193">
        <v>1</v>
      </c>
      <c r="H193">
        <v>20</v>
      </c>
      <c r="I193">
        <v>12</v>
      </c>
      <c r="J193">
        <v>30000</v>
      </c>
      <c r="K193">
        <v>3.5</v>
      </c>
      <c r="L193">
        <v>0</v>
      </c>
      <c r="M193">
        <v>230</v>
      </c>
      <c r="N193">
        <v>28196.2</v>
      </c>
      <c r="O193">
        <v>185802</v>
      </c>
      <c r="P193">
        <v>76.599999999999994</v>
      </c>
      <c r="Q193">
        <v>0</v>
      </c>
      <c r="R193">
        <v>94.5</v>
      </c>
      <c r="S193">
        <v>53.3</v>
      </c>
      <c r="T193">
        <v>0</v>
      </c>
      <c r="U193">
        <v>157.5</v>
      </c>
      <c r="V193">
        <v>0</v>
      </c>
      <c r="W193">
        <v>0</v>
      </c>
      <c r="X193">
        <v>0</v>
      </c>
      <c r="Y193">
        <v>1</v>
      </c>
      <c r="Z193">
        <v>100</v>
      </c>
      <c r="AA193">
        <v>0</v>
      </c>
      <c r="AB193">
        <v>0</v>
      </c>
      <c r="AC193">
        <v>1</v>
      </c>
      <c r="AD193">
        <v>0</v>
      </c>
      <c r="AE193">
        <v>1777.5</v>
      </c>
      <c r="AF193">
        <f t="shared" si="8"/>
        <v>240</v>
      </c>
      <c r="AG193">
        <f t="shared" si="9"/>
        <v>10</v>
      </c>
      <c r="AH193">
        <f t="shared" si="10"/>
        <v>2018.8333333333333</v>
      </c>
      <c r="AI193">
        <v>28396.705097032496</v>
      </c>
      <c r="AJ193">
        <f>[1]F1XT_1!F192</f>
        <v>28396.705096999998</v>
      </c>
      <c r="AK193">
        <f t="shared" si="11"/>
        <v>-3.2498064683750272E-8</v>
      </c>
    </row>
    <row r="194" spans="1:37" x14ac:dyDescent="0.25">
      <c r="A194" t="s">
        <v>39</v>
      </c>
      <c r="B194">
        <v>35</v>
      </c>
      <c r="C194">
        <v>45</v>
      </c>
      <c r="D194">
        <v>0</v>
      </c>
      <c r="E194">
        <v>1404.5</v>
      </c>
      <c r="F194">
        <v>160.4</v>
      </c>
      <c r="G194">
        <v>1</v>
      </c>
      <c r="H194">
        <v>20</v>
      </c>
      <c r="I194">
        <v>12</v>
      </c>
      <c r="J194">
        <v>30000</v>
      </c>
      <c r="K194">
        <v>3.5</v>
      </c>
      <c r="L194">
        <v>0</v>
      </c>
      <c r="M194">
        <v>230</v>
      </c>
      <c r="N194">
        <v>28189.4</v>
      </c>
      <c r="O194">
        <v>186201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2</v>
      </c>
      <c r="Z194">
        <v>100</v>
      </c>
      <c r="AA194">
        <v>0</v>
      </c>
      <c r="AB194">
        <v>1</v>
      </c>
      <c r="AC194">
        <v>1</v>
      </c>
      <c r="AD194">
        <v>1</v>
      </c>
      <c r="AE194">
        <v>1404.5</v>
      </c>
      <c r="AF194">
        <f t="shared" si="8"/>
        <v>240</v>
      </c>
      <c r="AG194">
        <f t="shared" si="9"/>
        <v>10</v>
      </c>
      <c r="AH194">
        <f t="shared" si="10"/>
        <v>2018.8333333333333</v>
      </c>
      <c r="AI194">
        <v>28610.395317943749</v>
      </c>
      <c r="AJ194">
        <f>[1]F1XT_1!F193</f>
        <v>28610.395317999999</v>
      </c>
      <c r="AK194">
        <f t="shared" si="11"/>
        <v>5.6250428315252066E-8</v>
      </c>
    </row>
    <row r="195" spans="1:37" x14ac:dyDescent="0.25">
      <c r="A195" t="s">
        <v>39</v>
      </c>
      <c r="B195">
        <v>35</v>
      </c>
      <c r="C195">
        <v>28</v>
      </c>
      <c r="D195">
        <v>0</v>
      </c>
      <c r="E195">
        <v>0</v>
      </c>
      <c r="F195">
        <v>45.2</v>
      </c>
      <c r="G195">
        <v>1</v>
      </c>
      <c r="H195">
        <v>35</v>
      </c>
      <c r="I195">
        <v>1</v>
      </c>
      <c r="J195">
        <v>3679.6</v>
      </c>
      <c r="K195">
        <v>3.5</v>
      </c>
      <c r="L195">
        <v>0</v>
      </c>
      <c r="M195">
        <v>230</v>
      </c>
      <c r="N195">
        <v>2376</v>
      </c>
      <c r="O195">
        <v>187501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1</v>
      </c>
      <c r="Z195">
        <v>100</v>
      </c>
      <c r="AA195">
        <v>0</v>
      </c>
      <c r="AB195">
        <v>0</v>
      </c>
      <c r="AC195">
        <v>1</v>
      </c>
      <c r="AD195">
        <v>1</v>
      </c>
      <c r="AE195">
        <v>1087.5999999999999</v>
      </c>
      <c r="AF195">
        <f t="shared" si="8"/>
        <v>420</v>
      </c>
      <c r="AG195">
        <f t="shared" si="9"/>
        <v>190</v>
      </c>
      <c r="AH195">
        <f t="shared" si="10"/>
        <v>2033.8333333333333</v>
      </c>
      <c r="AI195">
        <v>4600.1988166930005</v>
      </c>
      <c r="AJ195">
        <f>[1]F1XT_1!F194</f>
        <v>4600.1672859999999</v>
      </c>
      <c r="AK195">
        <f t="shared" si="11"/>
        <v>-3.1530693000604515E-2</v>
      </c>
    </row>
    <row r="196" spans="1:37" x14ac:dyDescent="0.25">
      <c r="A196" t="s">
        <v>39</v>
      </c>
      <c r="B196">
        <v>35</v>
      </c>
      <c r="C196">
        <v>24</v>
      </c>
      <c r="D196">
        <v>0</v>
      </c>
      <c r="E196">
        <v>0</v>
      </c>
      <c r="F196">
        <v>44.7</v>
      </c>
      <c r="G196">
        <v>1</v>
      </c>
      <c r="H196">
        <v>35</v>
      </c>
      <c r="I196">
        <v>1</v>
      </c>
      <c r="J196">
        <v>3734.5</v>
      </c>
      <c r="K196">
        <v>3.5</v>
      </c>
      <c r="L196">
        <v>0</v>
      </c>
      <c r="M196">
        <v>230</v>
      </c>
      <c r="N196">
        <v>2378.8000000000002</v>
      </c>
      <c r="O196">
        <v>187601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2</v>
      </c>
      <c r="Z196">
        <v>100</v>
      </c>
      <c r="AA196">
        <v>0</v>
      </c>
      <c r="AB196">
        <v>1</v>
      </c>
      <c r="AC196">
        <v>1</v>
      </c>
      <c r="AD196">
        <v>1</v>
      </c>
      <c r="AE196">
        <v>1030</v>
      </c>
      <c r="AF196">
        <f t="shared" si="8"/>
        <v>420</v>
      </c>
      <c r="AG196">
        <f t="shared" si="9"/>
        <v>190</v>
      </c>
      <c r="AH196">
        <f t="shared" si="10"/>
        <v>2033.8333333333333</v>
      </c>
      <c r="AI196">
        <v>4645.330128558021</v>
      </c>
      <c r="AJ196">
        <f>[1]F1XT_1!F195</f>
        <v>4645.2972149999996</v>
      </c>
      <c r="AK196">
        <f t="shared" si="11"/>
        <v>-3.2913558021391509E-2</v>
      </c>
    </row>
    <row r="197" spans="1:37" x14ac:dyDescent="0.25">
      <c r="A197" t="s">
        <v>39</v>
      </c>
      <c r="B197">
        <v>35</v>
      </c>
      <c r="C197">
        <v>34</v>
      </c>
      <c r="D197">
        <v>878.5</v>
      </c>
      <c r="E197">
        <v>843.8</v>
      </c>
      <c r="F197">
        <v>81.099999999999994</v>
      </c>
      <c r="G197">
        <v>1</v>
      </c>
      <c r="H197">
        <v>30</v>
      </c>
      <c r="I197">
        <v>12</v>
      </c>
      <c r="J197">
        <v>30000</v>
      </c>
      <c r="K197">
        <v>3.5</v>
      </c>
      <c r="L197">
        <v>0</v>
      </c>
      <c r="M197">
        <v>230</v>
      </c>
      <c r="N197">
        <v>14968.7</v>
      </c>
      <c r="O197">
        <v>187701</v>
      </c>
      <c r="P197">
        <v>72.900000000000006</v>
      </c>
      <c r="Q197">
        <v>0</v>
      </c>
      <c r="R197">
        <v>94.5</v>
      </c>
      <c r="S197">
        <v>36.200000000000003</v>
      </c>
      <c r="T197">
        <v>517.4</v>
      </c>
      <c r="U197">
        <v>157.5</v>
      </c>
      <c r="V197">
        <v>0</v>
      </c>
      <c r="W197">
        <v>0</v>
      </c>
      <c r="X197">
        <v>0</v>
      </c>
      <c r="Y197">
        <v>2</v>
      </c>
      <c r="Z197">
        <v>100</v>
      </c>
      <c r="AA197">
        <v>0</v>
      </c>
      <c r="AB197">
        <v>1</v>
      </c>
      <c r="AC197">
        <v>1</v>
      </c>
      <c r="AD197">
        <v>2</v>
      </c>
      <c r="AE197">
        <v>1722.3</v>
      </c>
      <c r="AF197">
        <f t="shared" si="8"/>
        <v>360</v>
      </c>
      <c r="AG197">
        <f t="shared" si="9"/>
        <v>130</v>
      </c>
      <c r="AH197">
        <f t="shared" si="10"/>
        <v>2028.8333333333333</v>
      </c>
      <c r="AI197">
        <v>17933.569426610535</v>
      </c>
      <c r="AJ197">
        <f>[1]F1XT_1!F196</f>
        <v>17933.569422</v>
      </c>
      <c r="AK197">
        <f t="shared" si="11"/>
        <v>-4.6105342335067689E-6</v>
      </c>
    </row>
    <row r="198" spans="1:37" x14ac:dyDescent="0.25">
      <c r="A198" t="s">
        <v>39</v>
      </c>
      <c r="B198">
        <v>35</v>
      </c>
      <c r="C198">
        <v>39</v>
      </c>
      <c r="D198">
        <v>271.2</v>
      </c>
      <c r="E198">
        <v>736.3</v>
      </c>
      <c r="F198">
        <v>75.599999999999994</v>
      </c>
      <c r="G198">
        <v>1</v>
      </c>
      <c r="H198">
        <v>25</v>
      </c>
      <c r="I198">
        <v>12</v>
      </c>
      <c r="J198">
        <v>20000</v>
      </c>
      <c r="K198">
        <v>3.5</v>
      </c>
      <c r="L198">
        <v>0</v>
      </c>
      <c r="M198">
        <v>230</v>
      </c>
      <c r="N198">
        <v>13370.4</v>
      </c>
      <c r="O198">
        <v>189201</v>
      </c>
      <c r="P198">
        <v>73</v>
      </c>
      <c r="Q198">
        <v>0</v>
      </c>
      <c r="R198">
        <v>63</v>
      </c>
      <c r="S198">
        <v>30.2</v>
      </c>
      <c r="T198">
        <v>0</v>
      </c>
      <c r="U198">
        <v>105</v>
      </c>
      <c r="V198">
        <v>0</v>
      </c>
      <c r="W198">
        <v>0</v>
      </c>
      <c r="X198">
        <v>0</v>
      </c>
      <c r="Y198">
        <v>1</v>
      </c>
      <c r="Z198">
        <v>100</v>
      </c>
      <c r="AA198">
        <v>0</v>
      </c>
      <c r="AB198">
        <v>0</v>
      </c>
      <c r="AC198">
        <v>1</v>
      </c>
      <c r="AD198">
        <v>0</v>
      </c>
      <c r="AE198">
        <v>1007.5</v>
      </c>
      <c r="AF198">
        <f t="shared" si="8"/>
        <v>300</v>
      </c>
      <c r="AG198">
        <f t="shared" si="9"/>
        <v>70</v>
      </c>
      <c r="AH198">
        <f t="shared" si="10"/>
        <v>2023.8333333333333</v>
      </c>
      <c r="AI198">
        <v>14660.087420835816</v>
      </c>
      <c r="AJ198">
        <f>[1]F1XT_1!F197</f>
        <v>14660.087399</v>
      </c>
      <c r="AK198">
        <f t="shared" si="11"/>
        <v>-2.1835816369275562E-5</v>
      </c>
    </row>
    <row r="199" spans="1:37" x14ac:dyDescent="0.25">
      <c r="A199" t="s">
        <v>39</v>
      </c>
      <c r="B199">
        <v>35</v>
      </c>
      <c r="C199">
        <v>26</v>
      </c>
      <c r="D199">
        <v>521.6</v>
      </c>
      <c r="E199">
        <v>685.5</v>
      </c>
      <c r="F199">
        <v>60.7</v>
      </c>
      <c r="G199">
        <v>1</v>
      </c>
      <c r="H199">
        <v>35</v>
      </c>
      <c r="I199">
        <v>12</v>
      </c>
      <c r="J199">
        <v>30000</v>
      </c>
      <c r="K199">
        <v>3.5</v>
      </c>
      <c r="L199">
        <v>0</v>
      </c>
      <c r="M199">
        <v>230</v>
      </c>
      <c r="N199">
        <v>11438.5</v>
      </c>
      <c r="O199">
        <v>190001</v>
      </c>
      <c r="P199">
        <v>66.099999999999994</v>
      </c>
      <c r="Q199">
        <v>0</v>
      </c>
      <c r="R199">
        <v>94.5</v>
      </c>
      <c r="S199">
        <v>31</v>
      </c>
      <c r="T199">
        <v>172.5</v>
      </c>
      <c r="U199">
        <v>157.5</v>
      </c>
      <c r="V199">
        <v>0</v>
      </c>
      <c r="W199">
        <v>0</v>
      </c>
      <c r="X199">
        <v>0</v>
      </c>
      <c r="Y199">
        <v>2</v>
      </c>
      <c r="Z199">
        <v>100</v>
      </c>
      <c r="AA199">
        <v>0</v>
      </c>
      <c r="AB199">
        <v>1</v>
      </c>
      <c r="AC199">
        <v>1</v>
      </c>
      <c r="AD199">
        <v>0.66600000000000004</v>
      </c>
      <c r="AE199">
        <v>1207.0999999999999</v>
      </c>
      <c r="AF199">
        <f t="shared" ref="AF199:AF250" si="12">H199*12</f>
        <v>420</v>
      </c>
      <c r="AG199">
        <f t="shared" ref="AG199:AG250" si="13">AF199-M199</f>
        <v>190</v>
      </c>
      <c r="AH199">
        <f t="shared" ref="AH199:AH250" si="14">2018+AG199/12</f>
        <v>2033.8333333333333</v>
      </c>
      <c r="AI199">
        <v>13366.70044538283</v>
      </c>
      <c r="AJ199">
        <f>[1]F1XT_1!F198</f>
        <v>13366.700654</v>
      </c>
      <c r="AK199">
        <f t="shared" ref="AK199:AK250" si="15">AJ199-AI199</f>
        <v>2.0861716984654777E-4</v>
      </c>
    </row>
    <row r="200" spans="1:37" x14ac:dyDescent="0.25">
      <c r="A200" t="s">
        <v>39</v>
      </c>
      <c r="B200">
        <v>35</v>
      </c>
      <c r="C200">
        <v>45</v>
      </c>
      <c r="D200">
        <v>0</v>
      </c>
      <c r="E200">
        <v>936.4</v>
      </c>
      <c r="F200">
        <v>106.9</v>
      </c>
      <c r="G200">
        <v>1</v>
      </c>
      <c r="H200">
        <v>20</v>
      </c>
      <c r="I200">
        <v>12</v>
      </c>
      <c r="J200">
        <v>20000</v>
      </c>
      <c r="K200">
        <v>3.5</v>
      </c>
      <c r="L200">
        <v>0</v>
      </c>
      <c r="M200">
        <v>230</v>
      </c>
      <c r="N200">
        <v>18792.900000000001</v>
      </c>
      <c r="O200">
        <v>191301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2</v>
      </c>
      <c r="Z200">
        <v>100</v>
      </c>
      <c r="AA200">
        <v>0</v>
      </c>
      <c r="AB200">
        <v>1</v>
      </c>
      <c r="AC200">
        <v>1</v>
      </c>
      <c r="AD200">
        <v>0</v>
      </c>
      <c r="AE200">
        <v>936.4</v>
      </c>
      <c r="AF200">
        <f t="shared" si="12"/>
        <v>240</v>
      </c>
      <c r="AG200">
        <f t="shared" si="13"/>
        <v>10</v>
      </c>
      <c r="AH200">
        <f t="shared" si="14"/>
        <v>2018.8333333333333</v>
      </c>
      <c r="AI200">
        <v>19115.365365133297</v>
      </c>
      <c r="AJ200">
        <f>[1]F1XT_1!F199</f>
        <v>19115.365365000001</v>
      </c>
      <c r="AK200">
        <f t="shared" si="15"/>
        <v>-1.3329554349184036E-7</v>
      </c>
    </row>
    <row r="201" spans="1:37" x14ac:dyDescent="0.25">
      <c r="A201" t="s">
        <v>39</v>
      </c>
      <c r="B201">
        <v>35</v>
      </c>
      <c r="C201">
        <v>48</v>
      </c>
      <c r="D201">
        <v>0</v>
      </c>
      <c r="E201">
        <v>944.8</v>
      </c>
      <c r="F201">
        <v>102</v>
      </c>
      <c r="G201">
        <v>1</v>
      </c>
      <c r="H201">
        <v>20</v>
      </c>
      <c r="I201">
        <v>12</v>
      </c>
      <c r="J201">
        <v>20000</v>
      </c>
      <c r="K201">
        <v>3.5</v>
      </c>
      <c r="L201">
        <v>0</v>
      </c>
      <c r="M201">
        <v>228</v>
      </c>
      <c r="N201">
        <v>18543.8</v>
      </c>
      <c r="O201">
        <v>194301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2</v>
      </c>
      <c r="Z201">
        <v>100</v>
      </c>
      <c r="AA201">
        <v>0</v>
      </c>
      <c r="AB201">
        <v>1</v>
      </c>
      <c r="AC201">
        <v>1</v>
      </c>
      <c r="AD201">
        <v>0</v>
      </c>
      <c r="AE201">
        <v>944.8</v>
      </c>
      <c r="AF201">
        <f t="shared" si="12"/>
        <v>240</v>
      </c>
      <c r="AG201">
        <f t="shared" si="13"/>
        <v>12</v>
      </c>
      <c r="AH201">
        <f t="shared" si="14"/>
        <v>2019</v>
      </c>
      <c r="AI201">
        <v>18925.68481419914</v>
      </c>
      <c r="AJ201">
        <f>[1]F1XT_1!F200</f>
        <v>18925.684815000001</v>
      </c>
      <c r="AK201">
        <f t="shared" si="15"/>
        <v>8.008610166143626E-7</v>
      </c>
    </row>
    <row r="202" spans="1:37" x14ac:dyDescent="0.25">
      <c r="A202" t="s">
        <v>39</v>
      </c>
      <c r="B202">
        <v>35</v>
      </c>
      <c r="C202">
        <v>24</v>
      </c>
      <c r="D202">
        <v>462.7</v>
      </c>
      <c r="E202">
        <v>910.5</v>
      </c>
      <c r="F202">
        <v>78.8</v>
      </c>
      <c r="G202">
        <v>1</v>
      </c>
      <c r="H202">
        <v>35</v>
      </c>
      <c r="I202">
        <v>12</v>
      </c>
      <c r="J202">
        <v>40000</v>
      </c>
      <c r="K202">
        <v>3.5</v>
      </c>
      <c r="L202">
        <v>0</v>
      </c>
      <c r="M202">
        <v>229</v>
      </c>
      <c r="N202">
        <v>15146.2</v>
      </c>
      <c r="O202">
        <v>194601</v>
      </c>
      <c r="P202">
        <v>85.5</v>
      </c>
      <c r="Q202">
        <v>0</v>
      </c>
      <c r="R202">
        <v>126</v>
      </c>
      <c r="S202">
        <v>41.2</v>
      </c>
      <c r="T202">
        <v>0</v>
      </c>
      <c r="U202">
        <v>210</v>
      </c>
      <c r="V202">
        <v>0</v>
      </c>
      <c r="W202">
        <v>0</v>
      </c>
      <c r="X202">
        <v>0</v>
      </c>
      <c r="Y202">
        <v>2</v>
      </c>
      <c r="Z202">
        <v>100</v>
      </c>
      <c r="AA202">
        <v>0</v>
      </c>
      <c r="AB202">
        <v>1</v>
      </c>
      <c r="AC202">
        <v>1</v>
      </c>
      <c r="AD202">
        <v>0</v>
      </c>
      <c r="AE202">
        <v>1373.2</v>
      </c>
      <c r="AF202">
        <f t="shared" si="12"/>
        <v>420</v>
      </c>
      <c r="AG202">
        <f t="shared" si="13"/>
        <v>191</v>
      </c>
      <c r="AH202">
        <f t="shared" si="14"/>
        <v>2033.9166666666667</v>
      </c>
      <c r="AI202">
        <v>16367.361111362126</v>
      </c>
      <c r="AJ202">
        <f>[1]F1XT_1!F201</f>
        <v>16367.361391</v>
      </c>
      <c r="AK202">
        <f t="shared" si="15"/>
        <v>2.7963787397311535E-4</v>
      </c>
    </row>
    <row r="203" spans="1:37" x14ac:dyDescent="0.25">
      <c r="A203" t="s">
        <v>39</v>
      </c>
      <c r="B203">
        <v>35</v>
      </c>
      <c r="C203">
        <v>26</v>
      </c>
      <c r="D203">
        <v>490.3</v>
      </c>
      <c r="E203">
        <v>945.2</v>
      </c>
      <c r="F203">
        <v>78.2</v>
      </c>
      <c r="G203">
        <v>1</v>
      </c>
      <c r="H203">
        <v>35</v>
      </c>
      <c r="I203">
        <v>12</v>
      </c>
      <c r="J203">
        <v>40000</v>
      </c>
      <c r="K203">
        <v>3.5</v>
      </c>
      <c r="L203">
        <v>0</v>
      </c>
      <c r="M203">
        <v>229</v>
      </c>
      <c r="N203">
        <v>15208.5</v>
      </c>
      <c r="O203">
        <v>194701</v>
      </c>
      <c r="P203">
        <v>111.2</v>
      </c>
      <c r="Q203">
        <v>0</v>
      </c>
      <c r="R203">
        <v>126</v>
      </c>
      <c r="S203">
        <v>43.1</v>
      </c>
      <c r="T203">
        <v>0</v>
      </c>
      <c r="U203">
        <v>210</v>
      </c>
      <c r="V203">
        <v>0</v>
      </c>
      <c r="W203">
        <v>0</v>
      </c>
      <c r="X203">
        <v>0</v>
      </c>
      <c r="Y203">
        <v>1</v>
      </c>
      <c r="Z203">
        <v>100</v>
      </c>
      <c r="AA203">
        <v>0</v>
      </c>
      <c r="AB203">
        <v>0</v>
      </c>
      <c r="AC203">
        <v>1</v>
      </c>
      <c r="AD203">
        <v>0</v>
      </c>
      <c r="AE203">
        <v>1435.5</v>
      </c>
      <c r="AF203">
        <f t="shared" si="12"/>
        <v>420</v>
      </c>
      <c r="AG203">
        <f t="shared" si="13"/>
        <v>191</v>
      </c>
      <c r="AH203">
        <f t="shared" si="14"/>
        <v>2033.9166666666667</v>
      </c>
      <c r="AI203">
        <v>15989.278258105269</v>
      </c>
      <c r="AJ203">
        <f>[1]F1XT_1!F202</f>
        <v>15989.277977</v>
      </c>
      <c r="AK203">
        <f t="shared" si="15"/>
        <v>-2.8110526909586042E-4</v>
      </c>
    </row>
    <row r="204" spans="1:37" x14ac:dyDescent="0.25">
      <c r="A204" t="s">
        <v>39</v>
      </c>
      <c r="B204">
        <v>35</v>
      </c>
      <c r="C204">
        <v>24</v>
      </c>
      <c r="D204">
        <v>692</v>
      </c>
      <c r="E204">
        <v>682.9</v>
      </c>
      <c r="F204">
        <v>58.9</v>
      </c>
      <c r="G204">
        <v>1</v>
      </c>
      <c r="H204">
        <v>35</v>
      </c>
      <c r="I204">
        <v>12</v>
      </c>
      <c r="J204">
        <v>30000</v>
      </c>
      <c r="K204">
        <v>3.5</v>
      </c>
      <c r="L204">
        <v>0</v>
      </c>
      <c r="M204">
        <v>229</v>
      </c>
      <c r="N204">
        <v>11359.7</v>
      </c>
      <c r="O204">
        <v>195301</v>
      </c>
      <c r="P204">
        <v>64.2</v>
      </c>
      <c r="Q204">
        <v>0</v>
      </c>
      <c r="R204">
        <v>94.5</v>
      </c>
      <c r="S204">
        <v>30.9</v>
      </c>
      <c r="T204">
        <v>344.9</v>
      </c>
      <c r="U204">
        <v>157.5</v>
      </c>
      <c r="V204">
        <v>0</v>
      </c>
      <c r="W204">
        <v>0</v>
      </c>
      <c r="X204">
        <v>0</v>
      </c>
      <c r="Y204">
        <v>2</v>
      </c>
      <c r="Z204">
        <v>100</v>
      </c>
      <c r="AA204">
        <v>0</v>
      </c>
      <c r="AB204">
        <v>1</v>
      </c>
      <c r="AC204">
        <v>1</v>
      </c>
      <c r="AD204">
        <v>1.3332999999999999</v>
      </c>
      <c r="AE204">
        <v>1374.9</v>
      </c>
      <c r="AF204">
        <f t="shared" si="12"/>
        <v>420</v>
      </c>
      <c r="AG204">
        <f t="shared" si="13"/>
        <v>191</v>
      </c>
      <c r="AH204">
        <f t="shared" si="14"/>
        <v>2033.9166666666667</v>
      </c>
      <c r="AI204">
        <v>13870.207417516525</v>
      </c>
      <c r="AJ204">
        <f>[1]F1XT_1!F203</f>
        <v>13870.207627</v>
      </c>
      <c r="AK204">
        <f t="shared" si="15"/>
        <v>2.094834744639229E-4</v>
      </c>
    </row>
    <row r="205" spans="1:37" x14ac:dyDescent="0.25">
      <c r="A205" t="s">
        <v>39</v>
      </c>
      <c r="B205">
        <v>35</v>
      </c>
      <c r="C205">
        <v>34</v>
      </c>
      <c r="D205">
        <v>879.6</v>
      </c>
      <c r="E205">
        <v>700.8</v>
      </c>
      <c r="F205">
        <v>61.3</v>
      </c>
      <c r="G205">
        <v>1</v>
      </c>
      <c r="H205">
        <v>35</v>
      </c>
      <c r="I205">
        <v>12</v>
      </c>
      <c r="J205">
        <v>30000</v>
      </c>
      <c r="K205">
        <v>3.5</v>
      </c>
      <c r="L205">
        <v>0</v>
      </c>
      <c r="M205">
        <v>230</v>
      </c>
      <c r="N205">
        <v>11505.9</v>
      </c>
      <c r="O205">
        <v>195501</v>
      </c>
      <c r="P205">
        <v>78.3</v>
      </c>
      <c r="Q205">
        <v>0</v>
      </c>
      <c r="R205">
        <v>94.5</v>
      </c>
      <c r="S205">
        <v>31.9</v>
      </c>
      <c r="T205">
        <v>517.4</v>
      </c>
      <c r="U205">
        <v>157.5</v>
      </c>
      <c r="V205">
        <v>0</v>
      </c>
      <c r="W205">
        <v>0</v>
      </c>
      <c r="X205">
        <v>0</v>
      </c>
      <c r="Y205">
        <v>2</v>
      </c>
      <c r="Z205">
        <v>100</v>
      </c>
      <c r="AA205">
        <v>0</v>
      </c>
      <c r="AB205">
        <v>1</v>
      </c>
      <c r="AC205">
        <v>1</v>
      </c>
      <c r="AD205">
        <v>2</v>
      </c>
      <c r="AE205">
        <v>1580.4</v>
      </c>
      <c r="AF205">
        <f t="shared" si="12"/>
        <v>420</v>
      </c>
      <c r="AG205">
        <f t="shared" si="13"/>
        <v>190</v>
      </c>
      <c r="AH205">
        <f t="shared" si="14"/>
        <v>2033.8333333333333</v>
      </c>
      <c r="AI205">
        <v>14836.460620323913</v>
      </c>
      <c r="AJ205">
        <f>[1]F1XT_1!F204</f>
        <v>14836.460488000001</v>
      </c>
      <c r="AK205">
        <f t="shared" si="15"/>
        <v>-1.3232391211204231E-4</v>
      </c>
    </row>
    <row r="206" spans="1:37" x14ac:dyDescent="0.25">
      <c r="A206" t="s">
        <v>39</v>
      </c>
      <c r="B206">
        <v>35</v>
      </c>
      <c r="C206">
        <v>20</v>
      </c>
      <c r="D206">
        <v>859.9</v>
      </c>
      <c r="E206">
        <v>572.79999999999995</v>
      </c>
      <c r="F206">
        <v>46.8</v>
      </c>
      <c r="G206">
        <v>1</v>
      </c>
      <c r="H206">
        <v>40</v>
      </c>
      <c r="I206">
        <v>12</v>
      </c>
      <c r="J206">
        <v>30000</v>
      </c>
      <c r="K206">
        <v>3.5</v>
      </c>
      <c r="L206">
        <v>0</v>
      </c>
      <c r="M206">
        <v>230</v>
      </c>
      <c r="N206">
        <v>8924.1</v>
      </c>
      <c r="O206">
        <v>196501</v>
      </c>
      <c r="P206">
        <v>63</v>
      </c>
      <c r="Q206">
        <v>0</v>
      </c>
      <c r="R206">
        <v>94.5</v>
      </c>
      <c r="S206">
        <v>27.5</v>
      </c>
      <c r="T206">
        <v>517.4</v>
      </c>
      <c r="U206">
        <v>157.5</v>
      </c>
      <c r="V206">
        <v>0</v>
      </c>
      <c r="W206">
        <v>0</v>
      </c>
      <c r="X206">
        <v>0</v>
      </c>
      <c r="Y206">
        <v>2</v>
      </c>
      <c r="Z206">
        <v>100</v>
      </c>
      <c r="AA206">
        <v>0</v>
      </c>
      <c r="AB206">
        <v>1</v>
      </c>
      <c r="AC206">
        <v>1</v>
      </c>
      <c r="AD206">
        <v>2</v>
      </c>
      <c r="AE206">
        <v>1432.7</v>
      </c>
      <c r="AF206">
        <f t="shared" si="12"/>
        <v>480</v>
      </c>
      <c r="AG206">
        <f t="shared" si="13"/>
        <v>250</v>
      </c>
      <c r="AH206">
        <f t="shared" si="14"/>
        <v>2038.8333333333333</v>
      </c>
      <c r="AI206">
        <v>11829.111839059493</v>
      </c>
      <c r="AJ206">
        <f>[1]F1XT_1!F205</f>
        <v>11829.112246999999</v>
      </c>
      <c r="AK206">
        <f t="shared" si="15"/>
        <v>4.0794050619297195E-4</v>
      </c>
    </row>
    <row r="207" spans="1:37" x14ac:dyDescent="0.25">
      <c r="A207" t="s">
        <v>39</v>
      </c>
      <c r="B207">
        <v>35</v>
      </c>
      <c r="C207">
        <v>38</v>
      </c>
      <c r="D207">
        <v>628.70000000000005</v>
      </c>
      <c r="E207">
        <v>1061.9000000000001</v>
      </c>
      <c r="F207">
        <v>111.7</v>
      </c>
      <c r="G207">
        <v>1</v>
      </c>
      <c r="H207">
        <v>25</v>
      </c>
      <c r="I207">
        <v>12</v>
      </c>
      <c r="J207">
        <v>30000</v>
      </c>
      <c r="K207">
        <v>3.5</v>
      </c>
      <c r="L207">
        <v>0</v>
      </c>
      <c r="M207">
        <v>230</v>
      </c>
      <c r="N207">
        <v>20103</v>
      </c>
      <c r="O207">
        <v>197701</v>
      </c>
      <c r="P207">
        <v>75.099999999999994</v>
      </c>
      <c r="Q207">
        <v>0</v>
      </c>
      <c r="R207">
        <v>94.5</v>
      </c>
      <c r="S207">
        <v>42.9</v>
      </c>
      <c r="T207">
        <v>258.7</v>
      </c>
      <c r="U207">
        <v>157.5</v>
      </c>
      <c r="V207">
        <v>0</v>
      </c>
      <c r="W207">
        <v>0</v>
      </c>
      <c r="X207">
        <v>0</v>
      </c>
      <c r="Y207">
        <v>2</v>
      </c>
      <c r="Z207">
        <v>100</v>
      </c>
      <c r="AA207">
        <v>0</v>
      </c>
      <c r="AB207">
        <v>1</v>
      </c>
      <c r="AC207">
        <v>1</v>
      </c>
      <c r="AD207">
        <v>1</v>
      </c>
      <c r="AE207">
        <v>1690.6</v>
      </c>
      <c r="AF207">
        <f t="shared" si="12"/>
        <v>300</v>
      </c>
      <c r="AG207">
        <f t="shared" si="13"/>
        <v>70</v>
      </c>
      <c r="AH207">
        <f t="shared" si="14"/>
        <v>2023.8333333333333</v>
      </c>
      <c r="AI207">
        <v>21888.750052765914</v>
      </c>
      <c r="AJ207">
        <f>[1]F1XT_1!F206</f>
        <v>21888.750015000001</v>
      </c>
      <c r="AK207">
        <f t="shared" si="15"/>
        <v>-3.7765912566101179E-5</v>
      </c>
    </row>
    <row r="208" spans="1:37" x14ac:dyDescent="0.25">
      <c r="A208" t="s">
        <v>39</v>
      </c>
      <c r="B208">
        <v>35</v>
      </c>
      <c r="C208">
        <v>36</v>
      </c>
      <c r="D208">
        <v>664.4</v>
      </c>
      <c r="E208">
        <v>1479</v>
      </c>
      <c r="F208">
        <v>138.80000000000001</v>
      </c>
      <c r="G208">
        <v>1</v>
      </c>
      <c r="H208">
        <v>30</v>
      </c>
      <c r="I208">
        <v>12</v>
      </c>
      <c r="J208">
        <v>50000</v>
      </c>
      <c r="K208">
        <v>3.5</v>
      </c>
      <c r="L208">
        <v>0</v>
      </c>
      <c r="M208">
        <v>230</v>
      </c>
      <c r="N208">
        <v>25081</v>
      </c>
      <c r="O208">
        <v>198601</v>
      </c>
      <c r="P208">
        <v>180.1</v>
      </c>
      <c r="Q208">
        <v>0</v>
      </c>
      <c r="R208">
        <v>157.5</v>
      </c>
      <c r="S208">
        <v>64.3</v>
      </c>
      <c r="T208">
        <v>0</v>
      </c>
      <c r="U208">
        <v>262.5</v>
      </c>
      <c r="V208">
        <v>0</v>
      </c>
      <c r="W208">
        <v>0</v>
      </c>
      <c r="X208">
        <v>0</v>
      </c>
      <c r="Y208">
        <v>1</v>
      </c>
      <c r="Z208">
        <v>100</v>
      </c>
      <c r="AA208">
        <v>0</v>
      </c>
      <c r="AB208">
        <v>0</v>
      </c>
      <c r="AC208">
        <v>1</v>
      </c>
      <c r="AD208">
        <v>0</v>
      </c>
      <c r="AE208">
        <v>2143.4</v>
      </c>
      <c r="AF208">
        <f t="shared" si="12"/>
        <v>360</v>
      </c>
      <c r="AG208">
        <f t="shared" si="13"/>
        <v>130</v>
      </c>
      <c r="AH208">
        <f t="shared" si="14"/>
        <v>2028.8333333333333</v>
      </c>
      <c r="AI208">
        <v>27344.93864267119</v>
      </c>
      <c r="AJ208">
        <f>[1]F1XT_1!F207</f>
        <v>27344.938481000001</v>
      </c>
      <c r="AK208">
        <f t="shared" si="15"/>
        <v>-1.6167118883458897E-4</v>
      </c>
    </row>
    <row r="209" spans="1:37" x14ac:dyDescent="0.25">
      <c r="A209" t="s">
        <v>39</v>
      </c>
      <c r="B209">
        <v>35</v>
      </c>
      <c r="C209">
        <v>29</v>
      </c>
      <c r="D209">
        <v>350.8</v>
      </c>
      <c r="E209">
        <v>827.4</v>
      </c>
      <c r="F209">
        <v>78.7</v>
      </c>
      <c r="G209">
        <v>1</v>
      </c>
      <c r="H209">
        <v>30</v>
      </c>
      <c r="I209">
        <v>6</v>
      </c>
      <c r="J209">
        <v>30000</v>
      </c>
      <c r="K209">
        <v>3.5</v>
      </c>
      <c r="L209">
        <v>0</v>
      </c>
      <c r="M209">
        <v>229</v>
      </c>
      <c r="N209">
        <v>14858.2</v>
      </c>
      <c r="O209">
        <v>201101</v>
      </c>
      <c r="P209">
        <v>65.8</v>
      </c>
      <c r="Q209">
        <v>0</v>
      </c>
      <c r="R209">
        <v>93.6</v>
      </c>
      <c r="S209">
        <v>35.4</v>
      </c>
      <c r="T209">
        <v>0</v>
      </c>
      <c r="U209">
        <v>156</v>
      </c>
      <c r="V209">
        <v>0</v>
      </c>
      <c r="W209">
        <v>0</v>
      </c>
      <c r="X209">
        <v>0</v>
      </c>
      <c r="Y209">
        <v>2</v>
      </c>
      <c r="Z209">
        <v>100</v>
      </c>
      <c r="AA209">
        <v>0</v>
      </c>
      <c r="AB209">
        <v>1</v>
      </c>
      <c r="AC209">
        <v>1</v>
      </c>
      <c r="AD209">
        <v>0</v>
      </c>
      <c r="AE209">
        <v>1178.2</v>
      </c>
      <c r="AF209">
        <f t="shared" si="12"/>
        <v>360</v>
      </c>
      <c r="AG209">
        <f t="shared" si="13"/>
        <v>131</v>
      </c>
      <c r="AH209">
        <f t="shared" si="14"/>
        <v>2028.9166666666667</v>
      </c>
      <c r="AI209">
        <v>16553.361140469216</v>
      </c>
      <c r="AJ209">
        <f>[1]F1XT_1!F208</f>
        <v>16553.361313000001</v>
      </c>
      <c r="AK209">
        <f t="shared" si="15"/>
        <v>1.7253078476642258E-4</v>
      </c>
    </row>
    <row r="210" spans="1:37" x14ac:dyDescent="0.25">
      <c r="A210" t="s">
        <v>39</v>
      </c>
      <c r="B210">
        <v>35</v>
      </c>
      <c r="C210">
        <v>21</v>
      </c>
      <c r="D210">
        <v>572.29999999999995</v>
      </c>
      <c r="E210">
        <v>956.6</v>
      </c>
      <c r="F210">
        <v>75.5</v>
      </c>
      <c r="G210">
        <v>1</v>
      </c>
      <c r="H210">
        <v>40</v>
      </c>
      <c r="I210">
        <v>12</v>
      </c>
      <c r="J210">
        <v>50000</v>
      </c>
      <c r="K210">
        <v>3.5</v>
      </c>
      <c r="L210">
        <v>0</v>
      </c>
      <c r="M210">
        <v>229</v>
      </c>
      <c r="N210">
        <v>14781.2</v>
      </c>
      <c r="O210">
        <v>201201</v>
      </c>
      <c r="P210">
        <v>106.4</v>
      </c>
      <c r="Q210">
        <v>0</v>
      </c>
      <c r="R210">
        <v>157.5</v>
      </c>
      <c r="S210">
        <v>45.9</v>
      </c>
      <c r="T210">
        <v>0</v>
      </c>
      <c r="U210">
        <v>262.5</v>
      </c>
      <c r="V210">
        <v>0</v>
      </c>
      <c r="W210">
        <v>0</v>
      </c>
      <c r="X210">
        <v>0</v>
      </c>
      <c r="Y210">
        <v>2</v>
      </c>
      <c r="Z210">
        <v>100</v>
      </c>
      <c r="AA210">
        <v>0</v>
      </c>
      <c r="AB210">
        <v>1</v>
      </c>
      <c r="AC210">
        <v>1</v>
      </c>
      <c r="AD210">
        <v>0</v>
      </c>
      <c r="AE210">
        <v>1528.9</v>
      </c>
      <c r="AF210">
        <f t="shared" si="12"/>
        <v>480</v>
      </c>
      <c r="AG210">
        <f t="shared" si="13"/>
        <v>251</v>
      </c>
      <c r="AH210">
        <f t="shared" si="14"/>
        <v>2038.9166666666667</v>
      </c>
      <c r="AI210">
        <v>14802.9514354811</v>
      </c>
      <c r="AJ210">
        <f>[1]F1XT_1!F209</f>
        <v>14802.952123999999</v>
      </c>
      <c r="AK210">
        <f t="shared" si="15"/>
        <v>6.8851889955112711E-4</v>
      </c>
    </row>
    <row r="211" spans="1:37" x14ac:dyDescent="0.25">
      <c r="A211" t="s">
        <v>39</v>
      </c>
      <c r="B211">
        <v>35</v>
      </c>
      <c r="C211">
        <v>32</v>
      </c>
      <c r="D211">
        <v>812.4</v>
      </c>
      <c r="E211">
        <v>867.1</v>
      </c>
      <c r="F211">
        <v>79.3</v>
      </c>
      <c r="G211">
        <v>1</v>
      </c>
      <c r="H211">
        <v>30</v>
      </c>
      <c r="I211">
        <v>12</v>
      </c>
      <c r="J211">
        <v>30000</v>
      </c>
      <c r="K211">
        <v>3.5</v>
      </c>
      <c r="L211">
        <v>0</v>
      </c>
      <c r="M211">
        <v>229</v>
      </c>
      <c r="N211">
        <v>14904.7</v>
      </c>
      <c r="O211">
        <v>201801</v>
      </c>
      <c r="P211">
        <v>91.8</v>
      </c>
      <c r="Q211">
        <v>0</v>
      </c>
      <c r="R211">
        <v>94.5</v>
      </c>
      <c r="S211">
        <v>37.5</v>
      </c>
      <c r="T211">
        <v>431.1</v>
      </c>
      <c r="U211">
        <v>157.5</v>
      </c>
      <c r="V211">
        <v>0</v>
      </c>
      <c r="W211">
        <v>0</v>
      </c>
      <c r="X211">
        <v>0</v>
      </c>
      <c r="Y211">
        <v>1</v>
      </c>
      <c r="Z211">
        <v>100</v>
      </c>
      <c r="AA211">
        <v>0</v>
      </c>
      <c r="AB211">
        <v>0</v>
      </c>
      <c r="AC211">
        <v>1</v>
      </c>
      <c r="AD211">
        <v>1.6666000000000001</v>
      </c>
      <c r="AE211">
        <v>1679.5</v>
      </c>
      <c r="AF211">
        <f t="shared" si="12"/>
        <v>360</v>
      </c>
      <c r="AG211">
        <f t="shared" si="13"/>
        <v>131</v>
      </c>
      <c r="AH211">
        <f t="shared" si="14"/>
        <v>2028.9166666666667</v>
      </c>
      <c r="AI211">
        <v>17277.968305258324</v>
      </c>
      <c r="AJ211">
        <f>[1]F1XT_1!F210</f>
        <v>17277.968239999998</v>
      </c>
      <c r="AK211">
        <f t="shared" si="15"/>
        <v>-6.5258325776085258E-5</v>
      </c>
    </row>
    <row r="212" spans="1:37" x14ac:dyDescent="0.25">
      <c r="A212" t="s">
        <v>39</v>
      </c>
      <c r="B212">
        <v>35</v>
      </c>
      <c r="C212">
        <v>29</v>
      </c>
      <c r="D212">
        <v>380.3</v>
      </c>
      <c r="E212">
        <v>575.1</v>
      </c>
      <c r="F212">
        <v>49.6</v>
      </c>
      <c r="G212">
        <v>1</v>
      </c>
      <c r="H212">
        <v>35</v>
      </c>
      <c r="I212">
        <v>12</v>
      </c>
      <c r="J212">
        <v>25000</v>
      </c>
      <c r="K212">
        <v>3.5</v>
      </c>
      <c r="L212">
        <v>0</v>
      </c>
      <c r="M212">
        <v>229</v>
      </c>
      <c r="N212">
        <v>9484.6</v>
      </c>
      <c r="O212">
        <v>203401</v>
      </c>
      <c r="P212">
        <v>58</v>
      </c>
      <c r="Q212">
        <v>0</v>
      </c>
      <c r="R212">
        <v>78.8</v>
      </c>
      <c r="S212">
        <v>26</v>
      </c>
      <c r="T212">
        <v>86.2</v>
      </c>
      <c r="U212">
        <v>131.30000000000001</v>
      </c>
      <c r="V212">
        <v>0</v>
      </c>
      <c r="W212">
        <v>0</v>
      </c>
      <c r="X212">
        <v>0</v>
      </c>
      <c r="Y212">
        <v>2</v>
      </c>
      <c r="Z212">
        <v>100</v>
      </c>
      <c r="AA212">
        <v>0</v>
      </c>
      <c r="AB212">
        <v>1</v>
      </c>
      <c r="AC212">
        <v>1</v>
      </c>
      <c r="AD212">
        <v>0.4</v>
      </c>
      <c r="AE212">
        <v>955.4</v>
      </c>
      <c r="AF212">
        <f t="shared" si="12"/>
        <v>420</v>
      </c>
      <c r="AG212">
        <f t="shared" si="13"/>
        <v>191</v>
      </c>
      <c r="AH212">
        <f t="shared" si="14"/>
        <v>2033.9166666666667</v>
      </c>
      <c r="AI212">
        <v>11404.560144192794</v>
      </c>
      <c r="AJ212">
        <f>[1]F1XT_1!F211</f>
        <v>11404.560320000001</v>
      </c>
      <c r="AK212">
        <f t="shared" si="15"/>
        <v>1.7580720668775029E-4</v>
      </c>
    </row>
    <row r="213" spans="1:37" x14ac:dyDescent="0.25">
      <c r="A213" t="s">
        <v>39</v>
      </c>
      <c r="B213">
        <v>35</v>
      </c>
      <c r="C213">
        <v>34</v>
      </c>
      <c r="D213">
        <v>361.1</v>
      </c>
      <c r="E213">
        <v>843.8</v>
      </c>
      <c r="F213">
        <v>78.7</v>
      </c>
      <c r="G213">
        <v>1</v>
      </c>
      <c r="H213">
        <v>30</v>
      </c>
      <c r="I213">
        <v>12</v>
      </c>
      <c r="J213">
        <v>30000</v>
      </c>
      <c r="K213">
        <v>3.5</v>
      </c>
      <c r="L213">
        <v>0</v>
      </c>
      <c r="M213">
        <v>229</v>
      </c>
      <c r="N213">
        <v>14872.9</v>
      </c>
      <c r="O213">
        <v>205701</v>
      </c>
      <c r="P213">
        <v>72.900000000000006</v>
      </c>
      <c r="Q213">
        <v>0</v>
      </c>
      <c r="R213">
        <v>94.5</v>
      </c>
      <c r="S213">
        <v>36.200000000000003</v>
      </c>
      <c r="T213">
        <v>0</v>
      </c>
      <c r="U213">
        <v>157.5</v>
      </c>
      <c r="V213">
        <v>0</v>
      </c>
      <c r="W213">
        <v>0</v>
      </c>
      <c r="X213">
        <v>0</v>
      </c>
      <c r="Y213">
        <v>2</v>
      </c>
      <c r="Z213">
        <v>100</v>
      </c>
      <c r="AA213">
        <v>0</v>
      </c>
      <c r="AB213">
        <v>1</v>
      </c>
      <c r="AC213">
        <v>1</v>
      </c>
      <c r="AD213">
        <v>0</v>
      </c>
      <c r="AE213">
        <v>1204.9000000000001</v>
      </c>
      <c r="AF213">
        <f t="shared" si="12"/>
        <v>360</v>
      </c>
      <c r="AG213">
        <f t="shared" si="13"/>
        <v>131</v>
      </c>
      <c r="AH213">
        <f t="shared" si="14"/>
        <v>2028.9166666666667</v>
      </c>
      <c r="AI213">
        <v>16806.682985837586</v>
      </c>
      <c r="AJ213">
        <f>[1]F1XT_1!F212</f>
        <v>16806.682986</v>
      </c>
      <c r="AK213">
        <f t="shared" si="15"/>
        <v>1.6241392586380243E-7</v>
      </c>
    </row>
    <row r="214" spans="1:37" x14ac:dyDescent="0.25">
      <c r="A214" t="s">
        <v>39</v>
      </c>
      <c r="B214">
        <v>35</v>
      </c>
      <c r="C214">
        <v>33</v>
      </c>
      <c r="D214">
        <v>385</v>
      </c>
      <c r="E214">
        <v>871.3</v>
      </c>
      <c r="F214">
        <v>79.7</v>
      </c>
      <c r="G214">
        <v>1</v>
      </c>
      <c r="H214">
        <v>30</v>
      </c>
      <c r="I214">
        <v>12</v>
      </c>
      <c r="J214">
        <v>30000</v>
      </c>
      <c r="K214">
        <v>3.5</v>
      </c>
      <c r="L214">
        <v>0</v>
      </c>
      <c r="M214">
        <v>229</v>
      </c>
      <c r="N214">
        <v>14917.3</v>
      </c>
      <c r="O214">
        <v>205801</v>
      </c>
      <c r="P214">
        <v>95.3</v>
      </c>
      <c r="Q214">
        <v>0</v>
      </c>
      <c r="R214">
        <v>94.5</v>
      </c>
      <c r="S214">
        <v>37.700000000000003</v>
      </c>
      <c r="T214">
        <v>0</v>
      </c>
      <c r="U214">
        <v>157.5</v>
      </c>
      <c r="V214">
        <v>0</v>
      </c>
      <c r="W214">
        <v>0</v>
      </c>
      <c r="X214">
        <v>0</v>
      </c>
      <c r="Y214">
        <v>1</v>
      </c>
      <c r="Z214">
        <v>100</v>
      </c>
      <c r="AA214">
        <v>0</v>
      </c>
      <c r="AB214">
        <v>0</v>
      </c>
      <c r="AC214">
        <v>1</v>
      </c>
      <c r="AD214">
        <v>0</v>
      </c>
      <c r="AE214">
        <v>1256.3</v>
      </c>
      <c r="AF214">
        <f t="shared" si="12"/>
        <v>360</v>
      </c>
      <c r="AG214">
        <f t="shared" si="13"/>
        <v>131</v>
      </c>
      <c r="AH214">
        <f t="shared" si="14"/>
        <v>2028.9166666666667</v>
      </c>
      <c r="AI214">
        <v>16386.494094135163</v>
      </c>
      <c r="AJ214">
        <f>[1]F1XT_1!F213</f>
        <v>16386.494021999999</v>
      </c>
      <c r="AK214">
        <f t="shared" si="15"/>
        <v>-7.2135164373321459E-5</v>
      </c>
    </row>
    <row r="215" spans="1:37" x14ac:dyDescent="0.25">
      <c r="A215" t="s">
        <v>39</v>
      </c>
      <c r="B215">
        <v>35</v>
      </c>
      <c r="C215">
        <v>36</v>
      </c>
      <c r="D215">
        <v>486.2</v>
      </c>
      <c r="E215">
        <v>1131</v>
      </c>
      <c r="F215">
        <v>105.4</v>
      </c>
      <c r="G215">
        <v>1</v>
      </c>
      <c r="H215">
        <v>30</v>
      </c>
      <c r="I215">
        <v>12</v>
      </c>
      <c r="J215">
        <v>40000</v>
      </c>
      <c r="K215">
        <v>3.5</v>
      </c>
      <c r="L215">
        <v>0</v>
      </c>
      <c r="M215">
        <v>229</v>
      </c>
      <c r="N215">
        <v>19836.7</v>
      </c>
      <c r="O215">
        <v>206001</v>
      </c>
      <c r="P215">
        <v>101.7</v>
      </c>
      <c r="Q215">
        <v>0</v>
      </c>
      <c r="R215">
        <v>126</v>
      </c>
      <c r="S215">
        <v>48.5</v>
      </c>
      <c r="T215">
        <v>0</v>
      </c>
      <c r="U215">
        <v>210</v>
      </c>
      <c r="V215">
        <v>0</v>
      </c>
      <c r="W215">
        <v>0</v>
      </c>
      <c r="X215">
        <v>0</v>
      </c>
      <c r="Y215">
        <v>2</v>
      </c>
      <c r="Z215">
        <v>100</v>
      </c>
      <c r="AA215">
        <v>0</v>
      </c>
      <c r="AB215">
        <v>1</v>
      </c>
      <c r="AC215">
        <v>1</v>
      </c>
      <c r="AD215">
        <v>0</v>
      </c>
      <c r="AE215">
        <v>1617.2</v>
      </c>
      <c r="AF215">
        <f t="shared" si="12"/>
        <v>360</v>
      </c>
      <c r="AG215">
        <f t="shared" si="13"/>
        <v>131</v>
      </c>
      <c r="AH215">
        <f t="shared" si="14"/>
        <v>2028.9166666666667</v>
      </c>
      <c r="AI215">
        <v>22409.353672891339</v>
      </c>
      <c r="AJ215">
        <f>[1]F1XT_1!F214</f>
        <v>22409.353523999998</v>
      </c>
      <c r="AK215">
        <f t="shared" si="15"/>
        <v>-1.4889134035911411E-4</v>
      </c>
    </row>
    <row r="216" spans="1:37" x14ac:dyDescent="0.25">
      <c r="A216" t="s">
        <v>39</v>
      </c>
      <c r="B216">
        <v>35</v>
      </c>
      <c r="C216">
        <v>35</v>
      </c>
      <c r="D216">
        <v>561.1</v>
      </c>
      <c r="E216">
        <v>705</v>
      </c>
      <c r="F216">
        <v>65.8</v>
      </c>
      <c r="G216">
        <v>1</v>
      </c>
      <c r="H216">
        <v>30</v>
      </c>
      <c r="I216">
        <v>12</v>
      </c>
      <c r="J216">
        <v>25000</v>
      </c>
      <c r="K216">
        <v>3.5</v>
      </c>
      <c r="L216">
        <v>0</v>
      </c>
      <c r="M216">
        <v>229</v>
      </c>
      <c r="N216">
        <v>12396.3</v>
      </c>
      <c r="O216">
        <v>206301</v>
      </c>
      <c r="P216">
        <v>62.1</v>
      </c>
      <c r="Q216">
        <v>0</v>
      </c>
      <c r="R216">
        <v>78.8</v>
      </c>
      <c r="S216">
        <v>30.2</v>
      </c>
      <c r="T216">
        <v>258.7</v>
      </c>
      <c r="U216">
        <v>131.30000000000001</v>
      </c>
      <c r="V216">
        <v>0</v>
      </c>
      <c r="W216">
        <v>0</v>
      </c>
      <c r="X216">
        <v>0</v>
      </c>
      <c r="Y216">
        <v>2</v>
      </c>
      <c r="Z216">
        <v>100</v>
      </c>
      <c r="AA216">
        <v>0</v>
      </c>
      <c r="AB216">
        <v>1</v>
      </c>
      <c r="AC216">
        <v>1</v>
      </c>
      <c r="AD216">
        <v>1.2</v>
      </c>
      <c r="AE216">
        <v>1266.0999999999999</v>
      </c>
      <c r="AF216">
        <f t="shared" si="12"/>
        <v>360</v>
      </c>
      <c r="AG216">
        <f t="shared" si="13"/>
        <v>131</v>
      </c>
      <c r="AH216">
        <f t="shared" si="14"/>
        <v>2028.9166666666667</v>
      </c>
      <c r="AI216">
        <v>14823.166268861047</v>
      </c>
      <c r="AJ216">
        <f>[1]F1XT_1!F215</f>
        <v>14823.166214999999</v>
      </c>
      <c r="AK216">
        <f t="shared" si="15"/>
        <v>-5.3861047490499914E-5</v>
      </c>
    </row>
    <row r="217" spans="1:37" x14ac:dyDescent="0.25">
      <c r="A217" t="s">
        <v>39</v>
      </c>
      <c r="B217">
        <v>35</v>
      </c>
      <c r="C217">
        <v>32</v>
      </c>
      <c r="D217">
        <v>381.3</v>
      </c>
      <c r="E217">
        <v>867.1</v>
      </c>
      <c r="F217">
        <v>87.1</v>
      </c>
      <c r="G217">
        <v>1</v>
      </c>
      <c r="H217">
        <v>30</v>
      </c>
      <c r="I217">
        <v>12</v>
      </c>
      <c r="J217">
        <v>30000</v>
      </c>
      <c r="K217">
        <v>3.5</v>
      </c>
      <c r="L217">
        <v>0</v>
      </c>
      <c r="M217">
        <v>229</v>
      </c>
      <c r="N217">
        <v>14904.7</v>
      </c>
      <c r="O217">
        <v>207401</v>
      </c>
      <c r="P217">
        <v>91.8</v>
      </c>
      <c r="Q217">
        <v>0</v>
      </c>
      <c r="R217">
        <v>94.5</v>
      </c>
      <c r="S217">
        <v>37.5</v>
      </c>
      <c r="T217">
        <v>0</v>
      </c>
      <c r="U217">
        <v>157.5</v>
      </c>
      <c r="V217">
        <v>0</v>
      </c>
      <c r="W217">
        <v>0</v>
      </c>
      <c r="X217">
        <v>0</v>
      </c>
      <c r="Y217">
        <v>1</v>
      </c>
      <c r="Z217">
        <v>100</v>
      </c>
      <c r="AA217">
        <v>0</v>
      </c>
      <c r="AB217">
        <v>0</v>
      </c>
      <c r="AC217">
        <v>1</v>
      </c>
      <c r="AD217">
        <v>0</v>
      </c>
      <c r="AE217">
        <v>1248.4000000000001</v>
      </c>
      <c r="AF217">
        <f t="shared" si="12"/>
        <v>360</v>
      </c>
      <c r="AG217">
        <f t="shared" si="13"/>
        <v>131</v>
      </c>
      <c r="AH217">
        <f t="shared" si="14"/>
        <v>2028.9166666666667</v>
      </c>
      <c r="AI217">
        <v>16261.416101113227</v>
      </c>
      <c r="AJ217">
        <f>[1]F1XT_1!F216</f>
        <v>16261.416036000001</v>
      </c>
      <c r="AK217">
        <f t="shared" si="15"/>
        <v>-6.5113226810353808E-5</v>
      </c>
    </row>
    <row r="218" spans="1:37" x14ac:dyDescent="0.25">
      <c r="A218" t="s">
        <v>39</v>
      </c>
      <c r="B218">
        <v>35</v>
      </c>
      <c r="C218">
        <v>33</v>
      </c>
      <c r="D218">
        <v>256.60000000000002</v>
      </c>
      <c r="E218">
        <v>581</v>
      </c>
      <c r="F218">
        <v>53.4</v>
      </c>
      <c r="G218">
        <v>1</v>
      </c>
      <c r="H218">
        <v>30</v>
      </c>
      <c r="I218">
        <v>12</v>
      </c>
      <c r="J218">
        <v>20000</v>
      </c>
      <c r="K218">
        <v>3.5</v>
      </c>
      <c r="L218">
        <v>0</v>
      </c>
      <c r="M218">
        <v>229</v>
      </c>
      <c r="N218">
        <v>9944.9</v>
      </c>
      <c r="O218">
        <v>207501</v>
      </c>
      <c r="P218">
        <v>63.5</v>
      </c>
      <c r="Q218">
        <v>0</v>
      </c>
      <c r="R218">
        <v>63</v>
      </c>
      <c r="S218">
        <v>25.1</v>
      </c>
      <c r="T218">
        <v>0</v>
      </c>
      <c r="U218">
        <v>105</v>
      </c>
      <c r="V218">
        <v>0</v>
      </c>
      <c r="W218">
        <v>0</v>
      </c>
      <c r="X218">
        <v>0</v>
      </c>
      <c r="Y218">
        <v>1</v>
      </c>
      <c r="Z218">
        <v>100</v>
      </c>
      <c r="AA218">
        <v>0</v>
      </c>
      <c r="AB218">
        <v>0</v>
      </c>
      <c r="AC218">
        <v>1</v>
      </c>
      <c r="AD218">
        <v>0</v>
      </c>
      <c r="AE218">
        <v>837.6</v>
      </c>
      <c r="AF218">
        <f t="shared" si="12"/>
        <v>360</v>
      </c>
      <c r="AG218">
        <f t="shared" si="13"/>
        <v>131</v>
      </c>
      <c r="AH218">
        <f t="shared" si="14"/>
        <v>2028.9166666666667</v>
      </c>
      <c r="AI218">
        <v>11363.138162574487</v>
      </c>
      <c r="AJ218">
        <f>[1]F1XT_1!F217</f>
        <v>11363.138115</v>
      </c>
      <c r="AK218">
        <f t="shared" si="15"/>
        <v>-4.7574487325618975E-5</v>
      </c>
    </row>
    <row r="219" spans="1:37" x14ac:dyDescent="0.25">
      <c r="A219" t="s">
        <v>39</v>
      </c>
      <c r="B219">
        <v>35</v>
      </c>
      <c r="C219">
        <v>26</v>
      </c>
      <c r="D219">
        <v>232.8</v>
      </c>
      <c r="E219">
        <v>457.1</v>
      </c>
      <c r="F219">
        <v>39.5</v>
      </c>
      <c r="G219">
        <v>1</v>
      </c>
      <c r="H219">
        <v>35</v>
      </c>
      <c r="I219">
        <v>12</v>
      </c>
      <c r="J219">
        <v>20000</v>
      </c>
      <c r="K219">
        <v>3.5</v>
      </c>
      <c r="L219">
        <v>0</v>
      </c>
      <c r="M219">
        <v>229</v>
      </c>
      <c r="N219">
        <v>7576.3</v>
      </c>
      <c r="O219">
        <v>207701</v>
      </c>
      <c r="P219">
        <v>44.1</v>
      </c>
      <c r="Q219">
        <v>0</v>
      </c>
      <c r="R219">
        <v>63</v>
      </c>
      <c r="S219">
        <v>20.7</v>
      </c>
      <c r="T219">
        <v>0</v>
      </c>
      <c r="U219">
        <v>105</v>
      </c>
      <c r="V219">
        <v>0</v>
      </c>
      <c r="W219">
        <v>0</v>
      </c>
      <c r="X219">
        <v>0</v>
      </c>
      <c r="Y219">
        <v>2</v>
      </c>
      <c r="Z219">
        <v>100</v>
      </c>
      <c r="AA219">
        <v>0</v>
      </c>
      <c r="AB219">
        <v>1</v>
      </c>
      <c r="AC219">
        <v>1</v>
      </c>
      <c r="AD219">
        <v>0</v>
      </c>
      <c r="AE219">
        <v>689.9</v>
      </c>
      <c r="AF219">
        <f t="shared" si="12"/>
        <v>420</v>
      </c>
      <c r="AG219">
        <f t="shared" si="13"/>
        <v>191</v>
      </c>
      <c r="AH219">
        <f t="shared" si="14"/>
        <v>2033.9166666666667</v>
      </c>
      <c r="AI219">
        <v>9058.3358610741252</v>
      </c>
      <c r="AJ219">
        <f>[1]F1XT_1!F218</f>
        <v>9058.3360009999997</v>
      </c>
      <c r="AK219">
        <f t="shared" si="15"/>
        <v>1.3992587446409743E-4</v>
      </c>
    </row>
    <row r="220" spans="1:37" x14ac:dyDescent="0.25">
      <c r="A220" t="s">
        <v>39</v>
      </c>
      <c r="B220">
        <v>35</v>
      </c>
      <c r="C220">
        <v>30</v>
      </c>
      <c r="D220">
        <v>0</v>
      </c>
      <c r="E220">
        <v>0</v>
      </c>
      <c r="F220">
        <v>23.5</v>
      </c>
      <c r="G220">
        <v>1</v>
      </c>
      <c r="H220">
        <v>35</v>
      </c>
      <c r="I220">
        <v>1</v>
      </c>
      <c r="J220">
        <v>1233.9000000000001</v>
      </c>
      <c r="K220">
        <v>3.5</v>
      </c>
      <c r="L220">
        <v>0</v>
      </c>
      <c r="M220">
        <v>229</v>
      </c>
      <c r="N220">
        <v>787.3</v>
      </c>
      <c r="O220">
        <v>208001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2</v>
      </c>
      <c r="Z220">
        <v>100</v>
      </c>
      <c r="AA220">
        <v>0</v>
      </c>
      <c r="AB220">
        <v>1</v>
      </c>
      <c r="AC220">
        <v>1</v>
      </c>
      <c r="AD220">
        <v>0</v>
      </c>
      <c r="AE220">
        <v>466.5</v>
      </c>
      <c r="AF220">
        <f t="shared" si="12"/>
        <v>420</v>
      </c>
      <c r="AG220">
        <f t="shared" si="13"/>
        <v>191</v>
      </c>
      <c r="AH220">
        <f t="shared" si="14"/>
        <v>2033.9166666666667</v>
      </c>
      <c r="AI220">
        <v>2716.3945448119248</v>
      </c>
      <c r="AJ220">
        <f>[1]F1XT_1!F219</f>
        <v>2716.3836980000001</v>
      </c>
      <c r="AK220">
        <f t="shared" si="15"/>
        <v>-1.0846811924693611E-2</v>
      </c>
    </row>
    <row r="221" spans="1:37" x14ac:dyDescent="0.25">
      <c r="A221" t="s">
        <v>39</v>
      </c>
      <c r="B221">
        <v>35</v>
      </c>
      <c r="C221">
        <v>41</v>
      </c>
      <c r="D221">
        <v>0</v>
      </c>
      <c r="E221">
        <v>1069.5</v>
      </c>
      <c r="F221">
        <v>108.9</v>
      </c>
      <c r="G221">
        <v>1</v>
      </c>
      <c r="H221">
        <v>25</v>
      </c>
      <c r="I221">
        <v>12</v>
      </c>
      <c r="J221">
        <v>30000</v>
      </c>
      <c r="K221">
        <v>3.5</v>
      </c>
      <c r="L221">
        <v>0</v>
      </c>
      <c r="M221">
        <v>229</v>
      </c>
      <c r="N221">
        <v>19959</v>
      </c>
      <c r="O221">
        <v>208102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2</v>
      </c>
      <c r="Z221">
        <v>100</v>
      </c>
      <c r="AA221">
        <v>0</v>
      </c>
      <c r="AB221">
        <v>1</v>
      </c>
      <c r="AC221">
        <v>1</v>
      </c>
      <c r="AD221">
        <v>0</v>
      </c>
      <c r="AE221">
        <v>1069.5</v>
      </c>
      <c r="AF221">
        <f t="shared" si="12"/>
        <v>300</v>
      </c>
      <c r="AG221">
        <f t="shared" si="13"/>
        <v>71</v>
      </c>
      <c r="AH221">
        <f t="shared" si="14"/>
        <v>2023.9166666666667</v>
      </c>
      <c r="AI221">
        <v>22382.103885252302</v>
      </c>
      <c r="AJ221">
        <f>[1]F1XT_1!F220</f>
        <v>22382.103855000001</v>
      </c>
      <c r="AK221">
        <f t="shared" si="15"/>
        <v>-3.0252300348365679E-5</v>
      </c>
    </row>
    <row r="222" spans="1:37" x14ac:dyDescent="0.25">
      <c r="A222" t="s">
        <v>39</v>
      </c>
      <c r="B222">
        <v>35</v>
      </c>
      <c r="C222">
        <v>33</v>
      </c>
      <c r="D222">
        <v>599.6</v>
      </c>
      <c r="E222">
        <v>1163.8</v>
      </c>
      <c r="F222">
        <v>96.9</v>
      </c>
      <c r="G222">
        <v>1</v>
      </c>
      <c r="H222">
        <v>35</v>
      </c>
      <c r="I222">
        <v>12</v>
      </c>
      <c r="J222">
        <v>50000</v>
      </c>
      <c r="K222">
        <v>3.5</v>
      </c>
      <c r="L222">
        <v>0</v>
      </c>
      <c r="M222">
        <v>228</v>
      </c>
      <c r="N222">
        <v>18910.099999999999</v>
      </c>
      <c r="O222">
        <v>208601</v>
      </c>
      <c r="P222">
        <v>126.7</v>
      </c>
      <c r="Q222">
        <v>0</v>
      </c>
      <c r="R222">
        <v>157.5</v>
      </c>
      <c r="S222">
        <v>52.9</v>
      </c>
      <c r="T222">
        <v>0</v>
      </c>
      <c r="U222">
        <v>262.5</v>
      </c>
      <c r="V222">
        <v>0</v>
      </c>
      <c r="W222">
        <v>0</v>
      </c>
      <c r="X222">
        <v>0</v>
      </c>
      <c r="Y222">
        <v>2</v>
      </c>
      <c r="Z222">
        <v>100</v>
      </c>
      <c r="AA222">
        <v>0</v>
      </c>
      <c r="AB222">
        <v>1</v>
      </c>
      <c r="AC222">
        <v>1</v>
      </c>
      <c r="AD222">
        <v>0</v>
      </c>
      <c r="AE222">
        <v>1763.4</v>
      </c>
      <c r="AF222">
        <f t="shared" si="12"/>
        <v>420</v>
      </c>
      <c r="AG222">
        <f t="shared" si="13"/>
        <v>192</v>
      </c>
      <c r="AH222">
        <f t="shared" si="14"/>
        <v>2034</v>
      </c>
      <c r="AI222">
        <v>21293.955643132998</v>
      </c>
      <c r="AJ222">
        <f>[1]F1XT_1!F221</f>
        <v>21293.955565</v>
      </c>
      <c r="AK222">
        <f t="shared" si="15"/>
        <v>-7.8132998169166967E-5</v>
      </c>
    </row>
    <row r="223" spans="1:37" x14ac:dyDescent="0.25">
      <c r="A223" t="s">
        <v>39</v>
      </c>
      <c r="B223">
        <v>35</v>
      </c>
      <c r="C223">
        <v>31</v>
      </c>
      <c r="D223">
        <v>356.6</v>
      </c>
      <c r="E223">
        <v>838.4</v>
      </c>
      <c r="F223">
        <v>76.900000000000006</v>
      </c>
      <c r="G223">
        <v>1</v>
      </c>
      <c r="H223">
        <v>30</v>
      </c>
      <c r="I223">
        <v>12</v>
      </c>
      <c r="J223">
        <v>30000</v>
      </c>
      <c r="K223">
        <v>3.5</v>
      </c>
      <c r="L223">
        <v>0</v>
      </c>
      <c r="M223">
        <v>228</v>
      </c>
      <c r="N223">
        <v>14767</v>
      </c>
      <c r="O223">
        <v>209701</v>
      </c>
      <c r="P223">
        <v>68.8</v>
      </c>
      <c r="Q223">
        <v>0</v>
      </c>
      <c r="R223">
        <v>94.5</v>
      </c>
      <c r="S223">
        <v>35.799999999999997</v>
      </c>
      <c r="T223">
        <v>0</v>
      </c>
      <c r="U223">
        <v>157.5</v>
      </c>
      <c r="V223">
        <v>0</v>
      </c>
      <c r="W223">
        <v>0</v>
      </c>
      <c r="X223">
        <v>0</v>
      </c>
      <c r="Y223">
        <v>2</v>
      </c>
      <c r="Z223">
        <v>100</v>
      </c>
      <c r="AA223">
        <v>0</v>
      </c>
      <c r="AB223">
        <v>1</v>
      </c>
      <c r="AC223">
        <v>1</v>
      </c>
      <c r="AD223">
        <v>0</v>
      </c>
      <c r="AE223">
        <v>1195</v>
      </c>
      <c r="AF223">
        <f t="shared" si="12"/>
        <v>360</v>
      </c>
      <c r="AG223">
        <f t="shared" si="13"/>
        <v>132</v>
      </c>
      <c r="AH223">
        <f t="shared" si="14"/>
        <v>2029</v>
      </c>
      <c r="AI223">
        <v>16271.734176051603</v>
      </c>
      <c r="AJ223">
        <f>[1]F1XT_1!F222</f>
        <v>16271.734375</v>
      </c>
      <c r="AK223">
        <f t="shared" si="15"/>
        <v>1.989483971556183E-4</v>
      </c>
    </row>
    <row r="224" spans="1:37" x14ac:dyDescent="0.25">
      <c r="A224" t="s">
        <v>39</v>
      </c>
      <c r="B224">
        <v>35</v>
      </c>
      <c r="C224">
        <v>35</v>
      </c>
      <c r="D224">
        <v>0</v>
      </c>
      <c r="E224">
        <v>0</v>
      </c>
      <c r="F224">
        <v>54.7</v>
      </c>
      <c r="G224">
        <v>1</v>
      </c>
      <c r="H224">
        <v>30</v>
      </c>
      <c r="I224">
        <v>1</v>
      </c>
      <c r="J224">
        <v>4062.1</v>
      </c>
      <c r="K224">
        <v>3.5</v>
      </c>
      <c r="L224">
        <v>0</v>
      </c>
      <c r="M224">
        <v>229</v>
      </c>
      <c r="N224">
        <v>2968.8</v>
      </c>
      <c r="O224">
        <v>210001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2</v>
      </c>
      <c r="Z224">
        <v>100</v>
      </c>
      <c r="AA224">
        <v>0</v>
      </c>
      <c r="AB224">
        <v>1</v>
      </c>
      <c r="AC224">
        <v>1</v>
      </c>
      <c r="AD224">
        <v>0</v>
      </c>
      <c r="AE224">
        <v>1208.8</v>
      </c>
      <c r="AF224">
        <f t="shared" si="12"/>
        <v>360</v>
      </c>
      <c r="AG224">
        <f t="shared" si="13"/>
        <v>131</v>
      </c>
      <c r="AH224">
        <f t="shared" si="14"/>
        <v>2028.9166666666667</v>
      </c>
      <c r="AI224">
        <v>4795.3434844942294</v>
      </c>
      <c r="AJ224">
        <f>[1]F1XT_1!F223</f>
        <v>4795.3237580000005</v>
      </c>
      <c r="AK224">
        <f t="shared" si="15"/>
        <v>-1.972649422896211E-2</v>
      </c>
    </row>
    <row r="225" spans="1:37" x14ac:dyDescent="0.25">
      <c r="A225" t="s">
        <v>39</v>
      </c>
      <c r="B225">
        <v>35</v>
      </c>
      <c r="C225">
        <v>34</v>
      </c>
      <c r="D225">
        <v>0</v>
      </c>
      <c r="E225">
        <v>0</v>
      </c>
      <c r="F225">
        <v>67.3</v>
      </c>
      <c r="G225">
        <v>1</v>
      </c>
      <c r="H225">
        <v>25</v>
      </c>
      <c r="I225">
        <v>1</v>
      </c>
      <c r="J225">
        <v>4479</v>
      </c>
      <c r="K225">
        <v>3.5</v>
      </c>
      <c r="L225">
        <v>0</v>
      </c>
      <c r="M225">
        <v>229</v>
      </c>
      <c r="N225">
        <v>3769.3</v>
      </c>
      <c r="O225">
        <v>210101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1</v>
      </c>
      <c r="Z225">
        <v>100</v>
      </c>
      <c r="AA225">
        <v>0</v>
      </c>
      <c r="AB225">
        <v>0</v>
      </c>
      <c r="AC225">
        <v>1</v>
      </c>
      <c r="AD225">
        <v>0</v>
      </c>
      <c r="AE225">
        <v>1032.5999999999999</v>
      </c>
      <c r="AF225">
        <f t="shared" si="12"/>
        <v>300</v>
      </c>
      <c r="AG225">
        <f t="shared" si="13"/>
        <v>71</v>
      </c>
      <c r="AH225">
        <f t="shared" si="14"/>
        <v>2023.9166666666667</v>
      </c>
      <c r="AI225">
        <v>4949.8796566276806</v>
      </c>
      <c r="AJ225">
        <f>[1]F1XT_1!F224</f>
        <v>4949.8722040000002</v>
      </c>
      <c r="AK225">
        <f t="shared" si="15"/>
        <v>-7.452627680322621E-3</v>
      </c>
    </row>
    <row r="226" spans="1:37" x14ac:dyDescent="0.25">
      <c r="A226" t="s">
        <v>39</v>
      </c>
      <c r="B226">
        <v>35</v>
      </c>
      <c r="C226">
        <v>36</v>
      </c>
      <c r="D226">
        <v>513.1</v>
      </c>
      <c r="E226">
        <v>1057.8</v>
      </c>
      <c r="F226">
        <v>108.6</v>
      </c>
      <c r="G226">
        <v>1</v>
      </c>
      <c r="H226">
        <v>25</v>
      </c>
      <c r="I226">
        <v>12</v>
      </c>
      <c r="J226">
        <v>30000</v>
      </c>
      <c r="K226">
        <v>3.5</v>
      </c>
      <c r="L226">
        <v>0</v>
      </c>
      <c r="M226">
        <v>229</v>
      </c>
      <c r="N226">
        <v>19980.900000000001</v>
      </c>
      <c r="O226">
        <v>210701</v>
      </c>
      <c r="P226">
        <v>71.8</v>
      </c>
      <c r="Q226">
        <v>0</v>
      </c>
      <c r="R226">
        <v>94.5</v>
      </c>
      <c r="S226">
        <v>42.7</v>
      </c>
      <c r="T226">
        <v>146.6</v>
      </c>
      <c r="U226">
        <v>157.5</v>
      </c>
      <c r="V226">
        <v>0</v>
      </c>
      <c r="W226">
        <v>0</v>
      </c>
      <c r="X226">
        <v>0</v>
      </c>
      <c r="Y226">
        <v>2</v>
      </c>
      <c r="Z226">
        <v>100</v>
      </c>
      <c r="AA226">
        <v>0</v>
      </c>
      <c r="AB226">
        <v>1</v>
      </c>
      <c r="AC226">
        <v>1</v>
      </c>
      <c r="AD226">
        <v>0.56659999999999999</v>
      </c>
      <c r="AE226">
        <v>1570.9</v>
      </c>
      <c r="AF226">
        <f t="shared" si="12"/>
        <v>300</v>
      </c>
      <c r="AG226">
        <f t="shared" si="13"/>
        <v>71</v>
      </c>
      <c r="AH226">
        <f t="shared" si="14"/>
        <v>2023.9166666666667</v>
      </c>
      <c r="AI226">
        <v>21342.65702110223</v>
      </c>
      <c r="AJ226">
        <f>[1]F1XT_1!F225</f>
        <v>21342.657028000001</v>
      </c>
      <c r="AK226">
        <f t="shared" si="15"/>
        <v>6.8977715272922069E-6</v>
      </c>
    </row>
    <row r="227" spans="1:37" x14ac:dyDescent="0.25">
      <c r="A227" t="s">
        <v>39</v>
      </c>
      <c r="B227">
        <v>35</v>
      </c>
      <c r="C227">
        <v>27</v>
      </c>
      <c r="D227">
        <v>493.7</v>
      </c>
      <c r="E227">
        <v>948.7</v>
      </c>
      <c r="F227">
        <v>76.8</v>
      </c>
      <c r="G227">
        <v>1</v>
      </c>
      <c r="H227">
        <v>35</v>
      </c>
      <c r="I227">
        <v>12</v>
      </c>
      <c r="J227">
        <v>40000</v>
      </c>
      <c r="K227">
        <v>3.5</v>
      </c>
      <c r="L227">
        <v>0</v>
      </c>
      <c r="M227">
        <v>228</v>
      </c>
      <c r="N227">
        <v>15145.2</v>
      </c>
      <c r="O227">
        <v>213501</v>
      </c>
      <c r="P227">
        <v>114.4</v>
      </c>
      <c r="Q227">
        <v>0</v>
      </c>
      <c r="R227">
        <v>126</v>
      </c>
      <c r="S227">
        <v>43.3</v>
      </c>
      <c r="T227">
        <v>0</v>
      </c>
      <c r="U227">
        <v>210</v>
      </c>
      <c r="V227">
        <v>0</v>
      </c>
      <c r="W227">
        <v>0</v>
      </c>
      <c r="X227">
        <v>0</v>
      </c>
      <c r="Y227">
        <v>1</v>
      </c>
      <c r="Z227">
        <v>100</v>
      </c>
      <c r="AA227">
        <v>0</v>
      </c>
      <c r="AB227">
        <v>0</v>
      </c>
      <c r="AC227">
        <v>1</v>
      </c>
      <c r="AD227">
        <v>0</v>
      </c>
      <c r="AE227">
        <v>1442.4</v>
      </c>
      <c r="AF227">
        <f t="shared" si="12"/>
        <v>420</v>
      </c>
      <c r="AG227">
        <f t="shared" si="13"/>
        <v>192</v>
      </c>
      <c r="AH227">
        <f t="shared" si="14"/>
        <v>2034</v>
      </c>
      <c r="AI227">
        <v>16004.826323654908</v>
      </c>
      <c r="AJ227">
        <f>[1]F1XT_1!F226</f>
        <v>16004.826016000001</v>
      </c>
      <c r="AK227">
        <f t="shared" si="15"/>
        <v>-3.076549073739443E-4</v>
      </c>
    </row>
    <row r="228" spans="1:37" x14ac:dyDescent="0.25">
      <c r="A228" t="s">
        <v>39</v>
      </c>
      <c r="B228">
        <v>35</v>
      </c>
      <c r="C228">
        <v>22</v>
      </c>
      <c r="D228">
        <v>460.3</v>
      </c>
      <c r="E228">
        <v>907.5</v>
      </c>
      <c r="F228">
        <v>76.900000000000006</v>
      </c>
      <c r="G228">
        <v>1</v>
      </c>
      <c r="H228">
        <v>35</v>
      </c>
      <c r="I228">
        <v>12</v>
      </c>
      <c r="J228">
        <v>40000</v>
      </c>
      <c r="K228">
        <v>3.5</v>
      </c>
      <c r="L228">
        <v>0</v>
      </c>
      <c r="M228">
        <v>228</v>
      </c>
      <c r="N228">
        <v>15047</v>
      </c>
      <c r="O228">
        <v>213601</v>
      </c>
      <c r="P228">
        <v>83.3</v>
      </c>
      <c r="Q228">
        <v>0</v>
      </c>
      <c r="R228">
        <v>126</v>
      </c>
      <c r="S228">
        <v>41</v>
      </c>
      <c r="T228">
        <v>0</v>
      </c>
      <c r="U228">
        <v>210</v>
      </c>
      <c r="V228">
        <v>0</v>
      </c>
      <c r="W228">
        <v>0</v>
      </c>
      <c r="X228">
        <v>0</v>
      </c>
      <c r="Y228">
        <v>2</v>
      </c>
      <c r="Z228">
        <v>100</v>
      </c>
      <c r="AA228">
        <v>0</v>
      </c>
      <c r="AB228">
        <v>1</v>
      </c>
      <c r="AC228">
        <v>1</v>
      </c>
      <c r="AD228">
        <v>0</v>
      </c>
      <c r="AE228">
        <v>1367.8</v>
      </c>
      <c r="AF228">
        <f t="shared" si="12"/>
        <v>420</v>
      </c>
      <c r="AG228">
        <f t="shared" si="13"/>
        <v>192</v>
      </c>
      <c r="AH228">
        <f t="shared" si="14"/>
        <v>2034</v>
      </c>
      <c r="AI228">
        <v>16262.42227095411</v>
      </c>
      <c r="AJ228">
        <f>[1]F1XT_1!F227</f>
        <v>16262.422508</v>
      </c>
      <c r="AK228">
        <f t="shared" si="15"/>
        <v>2.3704588966211304E-4</v>
      </c>
    </row>
    <row r="229" spans="1:37" x14ac:dyDescent="0.25">
      <c r="A229" t="s">
        <v>39</v>
      </c>
      <c r="B229">
        <v>35</v>
      </c>
      <c r="C229">
        <v>45</v>
      </c>
      <c r="D229">
        <v>0</v>
      </c>
      <c r="E229">
        <v>936.4</v>
      </c>
      <c r="F229">
        <v>102</v>
      </c>
      <c r="G229">
        <v>1</v>
      </c>
      <c r="H229">
        <v>20</v>
      </c>
      <c r="I229">
        <v>12</v>
      </c>
      <c r="J229">
        <v>20000</v>
      </c>
      <c r="K229">
        <v>3.5</v>
      </c>
      <c r="L229">
        <v>0</v>
      </c>
      <c r="M229">
        <v>228</v>
      </c>
      <c r="N229">
        <v>18551.5</v>
      </c>
      <c r="O229">
        <v>213701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2</v>
      </c>
      <c r="Z229">
        <v>100</v>
      </c>
      <c r="AA229">
        <v>0</v>
      </c>
      <c r="AB229">
        <v>1</v>
      </c>
      <c r="AC229">
        <v>1</v>
      </c>
      <c r="AD229">
        <v>0</v>
      </c>
      <c r="AE229">
        <v>936.4</v>
      </c>
      <c r="AF229">
        <f t="shared" si="12"/>
        <v>240</v>
      </c>
      <c r="AG229">
        <f t="shared" si="13"/>
        <v>12</v>
      </c>
      <c r="AH229">
        <f t="shared" si="14"/>
        <v>2019</v>
      </c>
      <c r="AI229">
        <v>18933.279357412681</v>
      </c>
      <c r="AJ229">
        <f>[1]F1XT_1!F228</f>
        <v>18933.279358</v>
      </c>
      <c r="AK229">
        <f t="shared" si="15"/>
        <v>5.8731893659569323E-7</v>
      </c>
    </row>
    <row r="230" spans="1:37" x14ac:dyDescent="0.25">
      <c r="A230" t="s">
        <v>39</v>
      </c>
      <c r="B230">
        <v>35</v>
      </c>
      <c r="C230">
        <v>32</v>
      </c>
      <c r="D230">
        <v>497.3</v>
      </c>
      <c r="E230">
        <v>560.20000000000005</v>
      </c>
      <c r="F230">
        <v>52.6</v>
      </c>
      <c r="G230">
        <v>1</v>
      </c>
      <c r="H230">
        <v>30</v>
      </c>
      <c r="I230">
        <v>12</v>
      </c>
      <c r="J230">
        <v>20000</v>
      </c>
      <c r="K230">
        <v>3.5</v>
      </c>
      <c r="L230">
        <v>0</v>
      </c>
      <c r="M230">
        <v>229</v>
      </c>
      <c r="N230">
        <v>9910.9</v>
      </c>
      <c r="O230">
        <v>214002</v>
      </c>
      <c r="P230">
        <v>46.7</v>
      </c>
      <c r="Q230">
        <v>0</v>
      </c>
      <c r="R230">
        <v>63</v>
      </c>
      <c r="S230">
        <v>23.9</v>
      </c>
      <c r="T230">
        <v>258.7</v>
      </c>
      <c r="U230">
        <v>105</v>
      </c>
      <c r="V230">
        <v>0</v>
      </c>
      <c r="W230">
        <v>0</v>
      </c>
      <c r="X230">
        <v>0</v>
      </c>
      <c r="Y230">
        <v>2</v>
      </c>
      <c r="Z230">
        <v>100</v>
      </c>
      <c r="AA230">
        <v>0</v>
      </c>
      <c r="AB230">
        <v>1</v>
      </c>
      <c r="AC230">
        <v>1</v>
      </c>
      <c r="AD230">
        <v>1.5</v>
      </c>
      <c r="AE230">
        <v>1057.5</v>
      </c>
      <c r="AF230">
        <f t="shared" si="12"/>
        <v>360</v>
      </c>
      <c r="AG230">
        <f t="shared" si="13"/>
        <v>131</v>
      </c>
      <c r="AH230">
        <f t="shared" si="14"/>
        <v>2028.9166666666667</v>
      </c>
      <c r="AI230">
        <v>12065.858780666</v>
      </c>
      <c r="AJ230">
        <f>[1]F1XT_1!F229</f>
        <v>12065.858887</v>
      </c>
      <c r="AK230">
        <f t="shared" si="15"/>
        <v>1.0633400052029174E-4</v>
      </c>
    </row>
    <row r="231" spans="1:37" x14ac:dyDescent="0.25">
      <c r="A231" t="s">
        <v>39</v>
      </c>
      <c r="B231">
        <v>35</v>
      </c>
      <c r="C231">
        <v>23</v>
      </c>
      <c r="D231">
        <v>0</v>
      </c>
      <c r="E231">
        <v>0</v>
      </c>
      <c r="F231">
        <v>11.3</v>
      </c>
      <c r="G231">
        <v>1</v>
      </c>
      <c r="H231">
        <v>40</v>
      </c>
      <c r="I231">
        <v>1</v>
      </c>
      <c r="J231">
        <v>882</v>
      </c>
      <c r="K231">
        <v>3.5</v>
      </c>
      <c r="L231">
        <v>0</v>
      </c>
      <c r="M231">
        <v>229</v>
      </c>
      <c r="N231">
        <v>492.6</v>
      </c>
      <c r="O231">
        <v>217601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2</v>
      </c>
      <c r="Z231">
        <v>100</v>
      </c>
      <c r="AA231">
        <v>0</v>
      </c>
      <c r="AB231">
        <v>1</v>
      </c>
      <c r="AC231">
        <v>1</v>
      </c>
      <c r="AD231">
        <v>2</v>
      </c>
      <c r="AE231">
        <v>787.2</v>
      </c>
      <c r="AF231">
        <f t="shared" si="12"/>
        <v>480</v>
      </c>
      <c r="AG231">
        <f t="shared" si="13"/>
        <v>251</v>
      </c>
      <c r="AH231">
        <f t="shared" si="14"/>
        <v>2038.9166666666667</v>
      </c>
      <c r="AI231">
        <v>2714.5774755437687</v>
      </c>
      <c r="AJ231">
        <f>[1]F1XT_1!F230</f>
        <v>2714.5660899999998</v>
      </c>
      <c r="AK231">
        <f t="shared" si="15"/>
        <v>-1.1385543768938078E-2</v>
      </c>
    </row>
    <row r="232" spans="1:37" x14ac:dyDescent="0.25">
      <c r="A232" t="s">
        <v>39</v>
      </c>
      <c r="B232">
        <v>35</v>
      </c>
      <c r="C232">
        <v>20</v>
      </c>
      <c r="D232">
        <v>0</v>
      </c>
      <c r="E232">
        <v>0</v>
      </c>
      <c r="F232">
        <v>10.8</v>
      </c>
      <c r="G232">
        <v>1</v>
      </c>
      <c r="H232">
        <v>40</v>
      </c>
      <c r="I232">
        <v>1</v>
      </c>
      <c r="J232">
        <v>834</v>
      </c>
      <c r="K232">
        <v>3.5</v>
      </c>
      <c r="L232">
        <v>0</v>
      </c>
      <c r="M232">
        <v>229</v>
      </c>
      <c r="N232">
        <v>469.7</v>
      </c>
      <c r="O232">
        <v>217701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1</v>
      </c>
      <c r="Z232">
        <v>100</v>
      </c>
      <c r="AA232">
        <v>0</v>
      </c>
      <c r="AB232">
        <v>0</v>
      </c>
      <c r="AC232">
        <v>1</v>
      </c>
      <c r="AD232">
        <v>2</v>
      </c>
      <c r="AE232">
        <v>810</v>
      </c>
      <c r="AF232">
        <f t="shared" si="12"/>
        <v>480</v>
      </c>
      <c r="AG232">
        <f t="shared" si="13"/>
        <v>251</v>
      </c>
      <c r="AH232">
        <f t="shared" si="14"/>
        <v>2038.9166666666667</v>
      </c>
      <c r="AI232">
        <v>2679.7119332891548</v>
      </c>
      <c r="AJ232">
        <f>[1]F1XT_1!F231</f>
        <v>2679.701278</v>
      </c>
      <c r="AK232">
        <f t="shared" si="15"/>
        <v>-1.0655289154783532E-2</v>
      </c>
    </row>
    <row r="233" spans="1:37" x14ac:dyDescent="0.25">
      <c r="A233" t="s">
        <v>39</v>
      </c>
      <c r="B233">
        <v>35</v>
      </c>
      <c r="C233">
        <v>28</v>
      </c>
      <c r="D233">
        <v>652.1</v>
      </c>
      <c r="E233">
        <v>952.6</v>
      </c>
      <c r="F233">
        <v>77.3</v>
      </c>
      <c r="G233">
        <v>1</v>
      </c>
      <c r="H233">
        <v>35</v>
      </c>
      <c r="I233">
        <v>12</v>
      </c>
      <c r="J233">
        <v>40000</v>
      </c>
      <c r="K233">
        <v>3.5</v>
      </c>
      <c r="L233">
        <v>0</v>
      </c>
      <c r="M233">
        <v>228</v>
      </c>
      <c r="N233">
        <v>15182.6</v>
      </c>
      <c r="O233">
        <v>217901</v>
      </c>
      <c r="P233">
        <v>118</v>
      </c>
      <c r="Q233">
        <v>0</v>
      </c>
      <c r="R233">
        <v>126</v>
      </c>
      <c r="S233">
        <v>48.1</v>
      </c>
      <c r="T233">
        <v>0</v>
      </c>
      <c r="U233">
        <v>210</v>
      </c>
      <c r="V233">
        <v>101.9</v>
      </c>
      <c r="W233">
        <v>0</v>
      </c>
      <c r="X233">
        <v>48.1</v>
      </c>
      <c r="Y233">
        <v>1</v>
      </c>
      <c r="Z233">
        <v>100</v>
      </c>
      <c r="AA233">
        <v>0</v>
      </c>
      <c r="AB233">
        <v>0</v>
      </c>
      <c r="AC233">
        <v>1</v>
      </c>
      <c r="AD233">
        <v>0</v>
      </c>
      <c r="AE233">
        <v>1604.7</v>
      </c>
      <c r="AF233">
        <f t="shared" si="12"/>
        <v>420</v>
      </c>
      <c r="AG233">
        <f t="shared" si="13"/>
        <v>192</v>
      </c>
      <c r="AH233">
        <f t="shared" si="14"/>
        <v>2034</v>
      </c>
      <c r="AI233">
        <v>16072.23903468312</v>
      </c>
      <c r="AJ233">
        <f>[1]F1XT_1!F232</f>
        <v>16072.238697999999</v>
      </c>
      <c r="AK233">
        <f t="shared" si="15"/>
        <v>-3.366831206221832E-4</v>
      </c>
    </row>
    <row r="234" spans="1:37" x14ac:dyDescent="0.25">
      <c r="A234" t="s">
        <v>39</v>
      </c>
      <c r="B234">
        <v>35</v>
      </c>
      <c r="C234">
        <v>34</v>
      </c>
      <c r="D234">
        <v>3002.5</v>
      </c>
      <c r="E234">
        <v>2105.1</v>
      </c>
      <c r="F234">
        <v>176</v>
      </c>
      <c r="G234">
        <v>1</v>
      </c>
      <c r="H234">
        <v>35</v>
      </c>
      <c r="I234">
        <v>12</v>
      </c>
      <c r="J234">
        <v>85000</v>
      </c>
      <c r="K234">
        <v>3.5</v>
      </c>
      <c r="L234">
        <v>0</v>
      </c>
      <c r="M234">
        <v>229</v>
      </c>
      <c r="N234">
        <v>33043.599999999999</v>
      </c>
      <c r="O234">
        <v>218201</v>
      </c>
      <c r="P234">
        <v>317.2</v>
      </c>
      <c r="Q234">
        <v>0</v>
      </c>
      <c r="R234">
        <v>267.8</v>
      </c>
      <c r="S234">
        <v>96.9</v>
      </c>
      <c r="T234">
        <v>1874.3</v>
      </c>
      <c r="U234">
        <v>446.3</v>
      </c>
      <c r="V234">
        <v>0</v>
      </c>
      <c r="W234">
        <v>0</v>
      </c>
      <c r="X234">
        <v>0</v>
      </c>
      <c r="Y234">
        <v>1</v>
      </c>
      <c r="Z234">
        <v>100</v>
      </c>
      <c r="AA234">
        <v>0</v>
      </c>
      <c r="AB234">
        <v>0</v>
      </c>
      <c r="AC234">
        <v>1</v>
      </c>
      <c r="AD234">
        <v>2</v>
      </c>
      <c r="AE234">
        <v>5107.6000000000004</v>
      </c>
      <c r="AF234">
        <f t="shared" si="12"/>
        <v>420</v>
      </c>
      <c r="AG234">
        <f t="shared" si="13"/>
        <v>191</v>
      </c>
      <c r="AH234">
        <f t="shared" si="14"/>
        <v>2033.9166666666667</v>
      </c>
      <c r="AI234">
        <v>38435.524994333457</v>
      </c>
      <c r="AJ234">
        <f>[1]F1XT_1!F233</f>
        <v>38435.524721000002</v>
      </c>
      <c r="AK234">
        <f t="shared" si="15"/>
        <v>-2.733334549702704E-4</v>
      </c>
    </row>
    <row r="235" spans="1:37" x14ac:dyDescent="0.25">
      <c r="A235" t="s">
        <v>39</v>
      </c>
      <c r="B235">
        <v>35</v>
      </c>
      <c r="C235">
        <v>27</v>
      </c>
      <c r="D235">
        <v>325.5</v>
      </c>
      <c r="E235">
        <v>1353.6</v>
      </c>
      <c r="F235">
        <v>130.1</v>
      </c>
      <c r="G235">
        <v>1</v>
      </c>
      <c r="H235">
        <v>30</v>
      </c>
      <c r="I235">
        <v>1</v>
      </c>
      <c r="J235">
        <v>50000</v>
      </c>
      <c r="K235">
        <v>3.5</v>
      </c>
      <c r="L235">
        <v>0</v>
      </c>
      <c r="M235">
        <v>229</v>
      </c>
      <c r="N235">
        <v>24742</v>
      </c>
      <c r="O235">
        <v>218501</v>
      </c>
      <c r="P235">
        <v>125.1</v>
      </c>
      <c r="Q235">
        <v>0</v>
      </c>
      <c r="R235">
        <v>150</v>
      </c>
      <c r="S235">
        <v>50.4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1</v>
      </c>
      <c r="Z235">
        <v>100</v>
      </c>
      <c r="AA235">
        <v>0</v>
      </c>
      <c r="AB235">
        <v>0</v>
      </c>
      <c r="AC235">
        <v>1</v>
      </c>
      <c r="AD235">
        <v>0</v>
      </c>
      <c r="AE235">
        <v>1679.1</v>
      </c>
      <c r="AF235">
        <f t="shared" si="12"/>
        <v>360</v>
      </c>
      <c r="AG235">
        <f t="shared" si="13"/>
        <v>131</v>
      </c>
      <c r="AH235">
        <f t="shared" si="14"/>
        <v>2028.9166666666667</v>
      </c>
      <c r="AI235">
        <v>29701.902928424166</v>
      </c>
      <c r="AJ235">
        <f>[1]F1XT_1!F234</f>
        <v>29701.902743999999</v>
      </c>
      <c r="AK235">
        <f t="shared" si="15"/>
        <v>-1.8442416694597341E-4</v>
      </c>
    </row>
    <row r="236" spans="1:37" x14ac:dyDescent="0.25">
      <c r="A236" t="s">
        <v>39</v>
      </c>
      <c r="B236">
        <v>35</v>
      </c>
      <c r="C236">
        <v>23</v>
      </c>
      <c r="D236">
        <v>290.5</v>
      </c>
      <c r="E236">
        <v>915.2</v>
      </c>
      <c r="F236">
        <v>75.8</v>
      </c>
      <c r="G236">
        <v>1</v>
      </c>
      <c r="H236">
        <v>40</v>
      </c>
      <c r="I236">
        <v>1</v>
      </c>
      <c r="J236">
        <v>50000</v>
      </c>
      <c r="K236">
        <v>3.5</v>
      </c>
      <c r="L236">
        <v>0</v>
      </c>
      <c r="M236">
        <v>229</v>
      </c>
      <c r="N236">
        <v>14794</v>
      </c>
      <c r="O236">
        <v>218601</v>
      </c>
      <c r="P236">
        <v>104.3</v>
      </c>
      <c r="Q236">
        <v>0</v>
      </c>
      <c r="R236">
        <v>150</v>
      </c>
      <c r="S236">
        <v>36.200000000000003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2</v>
      </c>
      <c r="Z236">
        <v>100</v>
      </c>
      <c r="AA236">
        <v>0</v>
      </c>
      <c r="AB236">
        <v>1</v>
      </c>
      <c r="AC236">
        <v>1</v>
      </c>
      <c r="AD236">
        <v>0</v>
      </c>
      <c r="AE236">
        <v>1205.7</v>
      </c>
      <c r="AF236">
        <f t="shared" si="12"/>
        <v>480</v>
      </c>
      <c r="AG236">
        <f t="shared" si="13"/>
        <v>251</v>
      </c>
      <c r="AH236">
        <f t="shared" si="14"/>
        <v>2038.9166666666667</v>
      </c>
      <c r="AI236">
        <v>18998.134640144141</v>
      </c>
      <c r="AJ236">
        <f>[1]F1XT_1!F235</f>
        <v>18998.135216999999</v>
      </c>
      <c r="AK236">
        <f t="shared" si="15"/>
        <v>5.7685585852595977E-4</v>
      </c>
    </row>
    <row r="237" spans="1:37" x14ac:dyDescent="0.25">
      <c r="A237" t="s">
        <v>39</v>
      </c>
      <c r="B237">
        <v>35</v>
      </c>
      <c r="C237">
        <v>23</v>
      </c>
      <c r="D237">
        <v>461.6</v>
      </c>
      <c r="E237">
        <v>909</v>
      </c>
      <c r="F237">
        <v>76.900000000000006</v>
      </c>
      <c r="G237">
        <v>1</v>
      </c>
      <c r="H237">
        <v>35</v>
      </c>
      <c r="I237">
        <v>12</v>
      </c>
      <c r="J237">
        <v>40000</v>
      </c>
      <c r="K237">
        <v>3.5</v>
      </c>
      <c r="L237">
        <v>0</v>
      </c>
      <c r="M237">
        <v>228</v>
      </c>
      <c r="N237">
        <v>15046.7</v>
      </c>
      <c r="O237">
        <v>219001</v>
      </c>
      <c r="P237">
        <v>84.4</v>
      </c>
      <c r="Q237">
        <v>0</v>
      </c>
      <c r="R237">
        <v>126</v>
      </c>
      <c r="S237">
        <v>41.2</v>
      </c>
      <c r="T237">
        <v>0</v>
      </c>
      <c r="U237">
        <v>210</v>
      </c>
      <c r="V237">
        <v>0</v>
      </c>
      <c r="W237">
        <v>0</v>
      </c>
      <c r="X237">
        <v>0</v>
      </c>
      <c r="Y237">
        <v>2</v>
      </c>
      <c r="Z237">
        <v>100</v>
      </c>
      <c r="AA237">
        <v>0</v>
      </c>
      <c r="AB237">
        <v>1</v>
      </c>
      <c r="AC237">
        <v>1</v>
      </c>
      <c r="AD237">
        <v>0</v>
      </c>
      <c r="AE237">
        <v>1370.6</v>
      </c>
      <c r="AF237">
        <f t="shared" si="12"/>
        <v>420</v>
      </c>
      <c r="AG237">
        <f t="shared" si="13"/>
        <v>192</v>
      </c>
      <c r="AH237">
        <f t="shared" si="14"/>
        <v>2034</v>
      </c>
      <c r="AI237">
        <v>16254.417243790658</v>
      </c>
      <c r="AJ237">
        <f>[1]F1XT_1!F236</f>
        <v>16254.417506</v>
      </c>
      <c r="AK237">
        <f t="shared" si="15"/>
        <v>2.6220934159937315E-4</v>
      </c>
    </row>
    <row r="238" spans="1:37" x14ac:dyDescent="0.25">
      <c r="A238" t="s">
        <v>39</v>
      </c>
      <c r="B238">
        <v>35</v>
      </c>
      <c r="C238">
        <v>38</v>
      </c>
      <c r="D238">
        <v>369.4</v>
      </c>
      <c r="E238">
        <v>853.5</v>
      </c>
      <c r="F238">
        <v>79.099999999999994</v>
      </c>
      <c r="G238">
        <v>1</v>
      </c>
      <c r="H238">
        <v>30</v>
      </c>
      <c r="I238">
        <v>12</v>
      </c>
      <c r="J238">
        <v>30000</v>
      </c>
      <c r="K238">
        <v>3.5</v>
      </c>
      <c r="L238">
        <v>0</v>
      </c>
      <c r="M238">
        <v>229</v>
      </c>
      <c r="N238">
        <v>14880.4</v>
      </c>
      <c r="O238">
        <v>219301</v>
      </c>
      <c r="P238">
        <v>80.7</v>
      </c>
      <c r="Q238">
        <v>0</v>
      </c>
      <c r="R238">
        <v>94.5</v>
      </c>
      <c r="S238">
        <v>36.700000000000003</v>
      </c>
      <c r="T238">
        <v>0</v>
      </c>
      <c r="U238">
        <v>157.5</v>
      </c>
      <c r="V238">
        <v>0</v>
      </c>
      <c r="W238">
        <v>0</v>
      </c>
      <c r="X238">
        <v>0</v>
      </c>
      <c r="Y238">
        <v>2</v>
      </c>
      <c r="Z238">
        <v>100</v>
      </c>
      <c r="AA238">
        <v>0</v>
      </c>
      <c r="AB238">
        <v>1</v>
      </c>
      <c r="AC238">
        <v>1</v>
      </c>
      <c r="AD238">
        <v>0</v>
      </c>
      <c r="AE238">
        <v>1222.9000000000001</v>
      </c>
      <c r="AF238">
        <f t="shared" si="12"/>
        <v>360</v>
      </c>
      <c r="AG238">
        <f t="shared" si="13"/>
        <v>131</v>
      </c>
      <c r="AH238">
        <f t="shared" si="14"/>
        <v>2028.9166666666667</v>
      </c>
      <c r="AI238">
        <v>17505.358568857067</v>
      </c>
      <c r="AJ238">
        <f>[1]F1XT_1!F237</f>
        <v>17505.358402999998</v>
      </c>
      <c r="AK238">
        <f t="shared" si="15"/>
        <v>-1.6585706907790154E-4</v>
      </c>
    </row>
    <row r="239" spans="1:37" x14ac:dyDescent="0.25">
      <c r="A239" t="s">
        <v>39</v>
      </c>
      <c r="B239">
        <v>35</v>
      </c>
      <c r="C239">
        <v>41</v>
      </c>
      <c r="D239">
        <v>0</v>
      </c>
      <c r="E239">
        <v>1119.5999999999999</v>
      </c>
      <c r="F239">
        <v>110.9</v>
      </c>
      <c r="G239">
        <v>1</v>
      </c>
      <c r="H239">
        <v>25</v>
      </c>
      <c r="I239">
        <v>12</v>
      </c>
      <c r="J239">
        <v>30000</v>
      </c>
      <c r="K239">
        <v>3.5</v>
      </c>
      <c r="L239">
        <v>0</v>
      </c>
      <c r="M239">
        <v>229</v>
      </c>
      <c r="N239">
        <v>19907.5</v>
      </c>
      <c r="O239">
        <v>220001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Z239">
        <v>100</v>
      </c>
      <c r="AA239">
        <v>0</v>
      </c>
      <c r="AB239">
        <v>0</v>
      </c>
      <c r="AC239">
        <v>1</v>
      </c>
      <c r="AD239">
        <v>1</v>
      </c>
      <c r="AE239">
        <v>1119.5999999999999</v>
      </c>
      <c r="AF239">
        <f t="shared" si="12"/>
        <v>300</v>
      </c>
      <c r="AG239">
        <f t="shared" si="13"/>
        <v>71</v>
      </c>
      <c r="AH239">
        <f t="shared" si="14"/>
        <v>2023.9166666666667</v>
      </c>
      <c r="AI239">
        <v>22181.260640206652</v>
      </c>
      <c r="AJ239">
        <f>[1]F1XT_1!F238</f>
        <v>22181.260622999998</v>
      </c>
      <c r="AK239">
        <f t="shared" si="15"/>
        <v>-1.720665386528708E-5</v>
      </c>
    </row>
    <row r="240" spans="1:37" x14ac:dyDescent="0.25">
      <c r="A240" t="s">
        <v>39</v>
      </c>
      <c r="B240">
        <v>35</v>
      </c>
      <c r="C240">
        <v>39</v>
      </c>
      <c r="D240">
        <v>406.9</v>
      </c>
      <c r="E240">
        <v>1104.5</v>
      </c>
      <c r="F240">
        <v>110.1</v>
      </c>
      <c r="G240">
        <v>1</v>
      </c>
      <c r="H240">
        <v>25</v>
      </c>
      <c r="I240">
        <v>12</v>
      </c>
      <c r="J240">
        <v>30000</v>
      </c>
      <c r="K240">
        <v>3.5</v>
      </c>
      <c r="L240">
        <v>0</v>
      </c>
      <c r="M240">
        <v>229</v>
      </c>
      <c r="N240">
        <v>19928.599999999999</v>
      </c>
      <c r="O240">
        <v>220701</v>
      </c>
      <c r="P240">
        <v>109.5</v>
      </c>
      <c r="Q240">
        <v>0</v>
      </c>
      <c r="R240">
        <v>94.5</v>
      </c>
      <c r="S240">
        <v>45.4</v>
      </c>
      <c r="T240">
        <v>0</v>
      </c>
      <c r="U240">
        <v>157.5</v>
      </c>
      <c r="V240">
        <v>0</v>
      </c>
      <c r="W240">
        <v>0</v>
      </c>
      <c r="X240">
        <v>0</v>
      </c>
      <c r="Y240">
        <v>1</v>
      </c>
      <c r="Z240">
        <v>100</v>
      </c>
      <c r="AA240">
        <v>0</v>
      </c>
      <c r="AB240">
        <v>0</v>
      </c>
      <c r="AC240">
        <v>1</v>
      </c>
      <c r="AD240">
        <v>0</v>
      </c>
      <c r="AE240">
        <v>1511.4</v>
      </c>
      <c r="AF240">
        <f t="shared" si="12"/>
        <v>300</v>
      </c>
      <c r="AG240">
        <f t="shared" si="13"/>
        <v>71</v>
      </c>
      <c r="AH240">
        <f t="shared" si="14"/>
        <v>2023.9166666666667</v>
      </c>
      <c r="AI240">
        <v>21473.211377025949</v>
      </c>
      <c r="AJ240">
        <f>[1]F1XT_1!F239</f>
        <v>21473.211342999999</v>
      </c>
      <c r="AK240">
        <f t="shared" si="15"/>
        <v>-3.4025950299110264E-5</v>
      </c>
    </row>
    <row r="241" spans="1:37" x14ac:dyDescent="0.25">
      <c r="A241" t="s">
        <v>39</v>
      </c>
      <c r="B241">
        <v>35</v>
      </c>
      <c r="C241">
        <v>33</v>
      </c>
      <c r="D241">
        <v>359.4</v>
      </c>
      <c r="E241">
        <v>841.9</v>
      </c>
      <c r="F241">
        <v>78.7</v>
      </c>
      <c r="G241">
        <v>1</v>
      </c>
      <c r="H241">
        <v>30</v>
      </c>
      <c r="I241">
        <v>12</v>
      </c>
      <c r="J241">
        <v>30000</v>
      </c>
      <c r="K241">
        <v>3.5</v>
      </c>
      <c r="L241">
        <v>0</v>
      </c>
      <c r="M241">
        <v>229</v>
      </c>
      <c r="N241">
        <v>14869.7</v>
      </c>
      <c r="O241">
        <v>220801</v>
      </c>
      <c r="P241">
        <v>71.400000000000006</v>
      </c>
      <c r="Q241">
        <v>0</v>
      </c>
      <c r="R241">
        <v>94.5</v>
      </c>
      <c r="S241">
        <v>36</v>
      </c>
      <c r="T241">
        <v>0</v>
      </c>
      <c r="U241">
        <v>157.5</v>
      </c>
      <c r="V241">
        <v>0</v>
      </c>
      <c r="W241">
        <v>0</v>
      </c>
      <c r="X241">
        <v>0</v>
      </c>
      <c r="Y241">
        <v>2</v>
      </c>
      <c r="Z241">
        <v>100</v>
      </c>
      <c r="AA241">
        <v>0</v>
      </c>
      <c r="AB241">
        <v>1</v>
      </c>
      <c r="AC241">
        <v>1</v>
      </c>
      <c r="AD241">
        <v>0</v>
      </c>
      <c r="AE241">
        <v>1201.3</v>
      </c>
      <c r="AF241">
        <f t="shared" si="12"/>
        <v>360</v>
      </c>
      <c r="AG241">
        <f t="shared" si="13"/>
        <v>131</v>
      </c>
      <c r="AH241">
        <f t="shared" si="14"/>
        <v>2028.9166666666667</v>
      </c>
      <c r="AI241">
        <v>16653.725938709485</v>
      </c>
      <c r="AJ241">
        <f>[1]F1XT_1!F240</f>
        <v>16653.726022999999</v>
      </c>
      <c r="AK241">
        <f t="shared" si="15"/>
        <v>8.4290513768792152E-5</v>
      </c>
    </row>
    <row r="242" spans="1:37" x14ac:dyDescent="0.25">
      <c r="A242" t="s">
        <v>39</v>
      </c>
      <c r="B242">
        <v>35</v>
      </c>
      <c r="C242">
        <v>27</v>
      </c>
      <c r="D242">
        <v>207.9</v>
      </c>
      <c r="E242">
        <v>711.6</v>
      </c>
      <c r="F242">
        <v>57.8</v>
      </c>
      <c r="G242">
        <v>1</v>
      </c>
      <c r="H242">
        <v>35</v>
      </c>
      <c r="I242">
        <v>12</v>
      </c>
      <c r="J242">
        <v>30000</v>
      </c>
      <c r="K242">
        <v>3.5</v>
      </c>
      <c r="L242">
        <v>0</v>
      </c>
      <c r="M242">
        <v>228</v>
      </c>
      <c r="N242">
        <v>11358.9</v>
      </c>
      <c r="O242">
        <v>221802</v>
      </c>
      <c r="P242">
        <v>85.8</v>
      </c>
      <c r="Q242">
        <v>0</v>
      </c>
      <c r="R242">
        <v>94.5</v>
      </c>
      <c r="S242">
        <v>27.6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1</v>
      </c>
      <c r="Z242">
        <v>100</v>
      </c>
      <c r="AA242">
        <v>0</v>
      </c>
      <c r="AB242">
        <v>0</v>
      </c>
      <c r="AC242">
        <v>1</v>
      </c>
      <c r="AD242">
        <v>0</v>
      </c>
      <c r="AE242">
        <v>919.5</v>
      </c>
      <c r="AF242">
        <f t="shared" si="12"/>
        <v>420</v>
      </c>
      <c r="AG242">
        <f t="shared" si="13"/>
        <v>192</v>
      </c>
      <c r="AH242">
        <f t="shared" si="14"/>
        <v>2034</v>
      </c>
      <c r="AI242">
        <v>13639.70571992007</v>
      </c>
      <c r="AJ242">
        <f>[1]F1XT_1!F241</f>
        <v>13639.705489</v>
      </c>
      <c r="AK242">
        <f t="shared" si="15"/>
        <v>-2.3092006995284464E-4</v>
      </c>
    </row>
    <row r="243" spans="1:37" x14ac:dyDescent="0.25">
      <c r="A243" t="s">
        <v>39</v>
      </c>
      <c r="B243">
        <v>35</v>
      </c>
      <c r="C243">
        <v>36</v>
      </c>
      <c r="D243">
        <v>623.4</v>
      </c>
      <c r="E243">
        <v>848.3</v>
      </c>
      <c r="F243">
        <v>77.099999999999994</v>
      </c>
      <c r="G243">
        <v>1</v>
      </c>
      <c r="H243">
        <v>30</v>
      </c>
      <c r="I243">
        <v>12</v>
      </c>
      <c r="J243">
        <v>30000</v>
      </c>
      <c r="K243">
        <v>3.5</v>
      </c>
      <c r="L243">
        <v>0</v>
      </c>
      <c r="M243">
        <v>228</v>
      </c>
      <c r="N243">
        <v>14782</v>
      </c>
      <c r="O243">
        <v>222501</v>
      </c>
      <c r="P243">
        <v>76.3</v>
      </c>
      <c r="Q243">
        <v>0</v>
      </c>
      <c r="R243">
        <v>94.5</v>
      </c>
      <c r="S243">
        <v>36.4</v>
      </c>
      <c r="T243">
        <v>258.7</v>
      </c>
      <c r="U243">
        <v>157.5</v>
      </c>
      <c r="V243">
        <v>0</v>
      </c>
      <c r="W243">
        <v>0</v>
      </c>
      <c r="X243">
        <v>0</v>
      </c>
      <c r="Y243">
        <v>2</v>
      </c>
      <c r="Z243">
        <v>100</v>
      </c>
      <c r="AA243">
        <v>0</v>
      </c>
      <c r="AB243">
        <v>1</v>
      </c>
      <c r="AC243">
        <v>1</v>
      </c>
      <c r="AD243">
        <v>1</v>
      </c>
      <c r="AE243">
        <v>1471.7</v>
      </c>
      <c r="AF243">
        <f t="shared" si="12"/>
        <v>360</v>
      </c>
      <c r="AG243">
        <f t="shared" si="13"/>
        <v>132</v>
      </c>
      <c r="AH243">
        <f t="shared" si="14"/>
        <v>2029</v>
      </c>
      <c r="AI243">
        <v>17444.766639940346</v>
      </c>
      <c r="AJ243">
        <f>[1]F1XT_1!F242</f>
        <v>17444.766530000001</v>
      </c>
      <c r="AK243">
        <f t="shared" si="15"/>
        <v>-1.0994034528266639E-4</v>
      </c>
    </row>
    <row r="244" spans="1:37" x14ac:dyDescent="0.25">
      <c r="A244" t="s">
        <v>39</v>
      </c>
      <c r="B244">
        <v>35</v>
      </c>
      <c r="C244">
        <v>35</v>
      </c>
      <c r="D244">
        <v>783.6</v>
      </c>
      <c r="E244">
        <v>1175.2</v>
      </c>
      <c r="F244">
        <v>105</v>
      </c>
      <c r="G244">
        <v>1</v>
      </c>
      <c r="H244">
        <v>30</v>
      </c>
      <c r="I244">
        <v>12</v>
      </c>
      <c r="J244">
        <v>40000</v>
      </c>
      <c r="K244">
        <v>3.5</v>
      </c>
      <c r="L244">
        <v>0</v>
      </c>
      <c r="M244">
        <v>228</v>
      </c>
      <c r="N244">
        <v>19797.400000000001</v>
      </c>
      <c r="O244">
        <v>222601</v>
      </c>
      <c r="P244">
        <v>137.9</v>
      </c>
      <c r="Q244">
        <v>0</v>
      </c>
      <c r="R244">
        <v>126</v>
      </c>
      <c r="S244">
        <v>51</v>
      </c>
      <c r="T244">
        <v>258.7</v>
      </c>
      <c r="U244">
        <v>210</v>
      </c>
      <c r="V244">
        <v>0</v>
      </c>
      <c r="W244">
        <v>0</v>
      </c>
      <c r="X244">
        <v>0</v>
      </c>
      <c r="Y244">
        <v>1</v>
      </c>
      <c r="Z244">
        <v>100</v>
      </c>
      <c r="AA244">
        <v>0</v>
      </c>
      <c r="AB244">
        <v>0</v>
      </c>
      <c r="AC244">
        <v>1</v>
      </c>
      <c r="AD244">
        <v>0.75</v>
      </c>
      <c r="AE244">
        <v>1958.8</v>
      </c>
      <c r="AF244">
        <f t="shared" si="12"/>
        <v>360</v>
      </c>
      <c r="AG244">
        <f t="shared" si="13"/>
        <v>132</v>
      </c>
      <c r="AH244">
        <f t="shared" si="14"/>
        <v>2029</v>
      </c>
      <c r="AI244">
        <v>22112.674891858998</v>
      </c>
      <c r="AJ244">
        <f>[1]F1XT_1!F243</f>
        <v>22112.674763999999</v>
      </c>
      <c r="AK244">
        <f t="shared" si="15"/>
        <v>-1.2785899889422581E-4</v>
      </c>
    </row>
    <row r="245" spans="1:37" x14ac:dyDescent="0.25">
      <c r="A245" t="s">
        <v>39</v>
      </c>
      <c r="B245">
        <v>35</v>
      </c>
      <c r="C245">
        <v>29</v>
      </c>
      <c r="D245">
        <v>686</v>
      </c>
      <c r="E245">
        <v>920.2</v>
      </c>
      <c r="F245">
        <v>77</v>
      </c>
      <c r="G245">
        <v>1</v>
      </c>
      <c r="H245">
        <v>35</v>
      </c>
      <c r="I245">
        <v>12</v>
      </c>
      <c r="J245">
        <v>40000</v>
      </c>
      <c r="K245">
        <v>3.5</v>
      </c>
      <c r="L245">
        <v>0</v>
      </c>
      <c r="M245">
        <v>228</v>
      </c>
      <c r="N245">
        <v>15076.6</v>
      </c>
      <c r="O245">
        <v>222701</v>
      </c>
      <c r="P245">
        <v>92.7</v>
      </c>
      <c r="Q245">
        <v>0</v>
      </c>
      <c r="R245">
        <v>126</v>
      </c>
      <c r="S245">
        <v>41.7</v>
      </c>
      <c r="T245">
        <v>215.6</v>
      </c>
      <c r="U245">
        <v>210</v>
      </c>
      <c r="V245">
        <v>0</v>
      </c>
      <c r="W245">
        <v>0</v>
      </c>
      <c r="X245">
        <v>0</v>
      </c>
      <c r="Y245">
        <v>2</v>
      </c>
      <c r="Z245">
        <v>100</v>
      </c>
      <c r="AA245">
        <v>0</v>
      </c>
      <c r="AB245">
        <v>1</v>
      </c>
      <c r="AC245">
        <v>1</v>
      </c>
      <c r="AD245">
        <v>0.625</v>
      </c>
      <c r="AE245">
        <v>1606.2</v>
      </c>
      <c r="AF245">
        <f t="shared" si="12"/>
        <v>420</v>
      </c>
      <c r="AG245">
        <f t="shared" si="13"/>
        <v>192</v>
      </c>
      <c r="AH245">
        <f t="shared" si="14"/>
        <v>2034</v>
      </c>
      <c r="AI245">
        <v>17300.557688827765</v>
      </c>
      <c r="AJ245">
        <f>[1]F1XT_1!F244</f>
        <v>17300.557970000002</v>
      </c>
      <c r="AK245">
        <f t="shared" si="15"/>
        <v>2.8117223700974137E-4</v>
      </c>
    </row>
    <row r="246" spans="1:37" x14ac:dyDescent="0.25">
      <c r="A246" t="s">
        <v>39</v>
      </c>
      <c r="B246">
        <v>35</v>
      </c>
      <c r="C246">
        <v>38</v>
      </c>
      <c r="D246">
        <v>0</v>
      </c>
      <c r="E246">
        <v>0</v>
      </c>
      <c r="F246">
        <v>108.6</v>
      </c>
      <c r="G246">
        <v>1</v>
      </c>
      <c r="H246">
        <v>25</v>
      </c>
      <c r="I246">
        <v>1</v>
      </c>
      <c r="J246">
        <v>10685.6</v>
      </c>
      <c r="K246">
        <v>3.5</v>
      </c>
      <c r="L246">
        <v>0</v>
      </c>
      <c r="M246">
        <v>229</v>
      </c>
      <c r="N246">
        <v>8981.7999999999993</v>
      </c>
      <c r="O246">
        <v>223301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2</v>
      </c>
      <c r="Z246">
        <v>100</v>
      </c>
      <c r="AA246">
        <v>0</v>
      </c>
      <c r="AB246">
        <v>1</v>
      </c>
      <c r="AC246">
        <v>1</v>
      </c>
      <c r="AD246">
        <v>0.625</v>
      </c>
      <c r="AE246">
        <v>1431.8</v>
      </c>
      <c r="AF246">
        <f t="shared" si="12"/>
        <v>300</v>
      </c>
      <c r="AG246">
        <f t="shared" si="13"/>
        <v>71</v>
      </c>
      <c r="AH246">
        <f t="shared" si="14"/>
        <v>2023.9166666666667</v>
      </c>
      <c r="AI246">
        <v>10658.329164274748</v>
      </c>
      <c r="AJ246">
        <f>[1]F1XT_1!F245</f>
        <v>10658.311288000001</v>
      </c>
      <c r="AK246">
        <f t="shared" si="15"/>
        <v>-1.7876274747322896E-2</v>
      </c>
    </row>
    <row r="247" spans="1:37" x14ac:dyDescent="0.25">
      <c r="A247" t="s">
        <v>39</v>
      </c>
      <c r="B247">
        <v>35</v>
      </c>
      <c r="C247">
        <v>36</v>
      </c>
      <c r="D247">
        <v>790.3</v>
      </c>
      <c r="E247">
        <v>1183.2</v>
      </c>
      <c r="F247">
        <v>105.5</v>
      </c>
      <c r="G247">
        <v>1</v>
      </c>
      <c r="H247">
        <v>30</v>
      </c>
      <c r="I247">
        <v>12</v>
      </c>
      <c r="J247">
        <v>40000</v>
      </c>
      <c r="K247">
        <v>3.5</v>
      </c>
      <c r="L247">
        <v>0</v>
      </c>
      <c r="M247">
        <v>228</v>
      </c>
      <c r="N247">
        <v>19813.900000000001</v>
      </c>
      <c r="O247">
        <v>226001</v>
      </c>
      <c r="P247">
        <v>144.1</v>
      </c>
      <c r="Q247">
        <v>0</v>
      </c>
      <c r="R247">
        <v>126</v>
      </c>
      <c r="S247">
        <v>51.5</v>
      </c>
      <c r="T247">
        <v>258.7</v>
      </c>
      <c r="U247">
        <v>210</v>
      </c>
      <c r="V247">
        <v>0</v>
      </c>
      <c r="W247">
        <v>0</v>
      </c>
      <c r="X247">
        <v>0</v>
      </c>
      <c r="Y247">
        <v>1</v>
      </c>
      <c r="Z247">
        <v>100</v>
      </c>
      <c r="AA247">
        <v>0</v>
      </c>
      <c r="AB247">
        <v>0</v>
      </c>
      <c r="AC247">
        <v>1</v>
      </c>
      <c r="AD247">
        <v>0.75</v>
      </c>
      <c r="AE247">
        <v>1973.5</v>
      </c>
      <c r="AF247">
        <f t="shared" si="12"/>
        <v>360</v>
      </c>
      <c r="AG247">
        <f t="shared" si="13"/>
        <v>132</v>
      </c>
      <c r="AH247">
        <f t="shared" si="14"/>
        <v>2029</v>
      </c>
      <c r="AI247">
        <v>22260.714070344391</v>
      </c>
      <c r="AJ247">
        <f>[1]F1XT_1!F246</f>
        <v>22260.713937</v>
      </c>
      <c r="AK247">
        <f t="shared" si="15"/>
        <v>-1.3334439063328318E-4</v>
      </c>
    </row>
    <row r="248" spans="1:37" x14ac:dyDescent="0.25">
      <c r="A248" t="s">
        <v>39</v>
      </c>
      <c r="B248">
        <v>35</v>
      </c>
      <c r="C248">
        <v>29</v>
      </c>
      <c r="D248">
        <v>470.4</v>
      </c>
      <c r="E248">
        <v>920.2</v>
      </c>
      <c r="F248">
        <v>77</v>
      </c>
      <c r="G248">
        <v>1</v>
      </c>
      <c r="H248">
        <v>35</v>
      </c>
      <c r="I248">
        <v>12</v>
      </c>
      <c r="J248">
        <v>40000</v>
      </c>
      <c r="K248">
        <v>3.5</v>
      </c>
      <c r="L248">
        <v>0</v>
      </c>
      <c r="M248">
        <v>228</v>
      </c>
      <c r="N248">
        <v>15076.6</v>
      </c>
      <c r="O248">
        <v>226201</v>
      </c>
      <c r="P248">
        <v>92.7</v>
      </c>
      <c r="Q248">
        <v>0</v>
      </c>
      <c r="R248">
        <v>126</v>
      </c>
      <c r="S248">
        <v>41.7</v>
      </c>
      <c r="T248">
        <v>0</v>
      </c>
      <c r="U248">
        <v>210</v>
      </c>
      <c r="V248">
        <v>0</v>
      </c>
      <c r="W248">
        <v>0</v>
      </c>
      <c r="X248">
        <v>0</v>
      </c>
      <c r="Y248">
        <v>2</v>
      </c>
      <c r="Z248">
        <v>100</v>
      </c>
      <c r="AA248">
        <v>0</v>
      </c>
      <c r="AB248">
        <v>1</v>
      </c>
      <c r="AC248">
        <v>1</v>
      </c>
      <c r="AD248">
        <v>0</v>
      </c>
      <c r="AE248">
        <v>1390.6</v>
      </c>
      <c r="AF248">
        <f t="shared" si="12"/>
        <v>420</v>
      </c>
      <c r="AG248">
        <f t="shared" si="13"/>
        <v>192</v>
      </c>
      <c r="AH248">
        <f t="shared" si="14"/>
        <v>2034</v>
      </c>
      <c r="AI248">
        <v>16672.462235484785</v>
      </c>
      <c r="AJ248">
        <f>[1]F1XT_1!F247</f>
        <v>16672.462517</v>
      </c>
      <c r="AK248">
        <f t="shared" si="15"/>
        <v>2.8151521473773755E-4</v>
      </c>
    </row>
    <row r="249" spans="1:37" x14ac:dyDescent="0.25">
      <c r="A249" t="s">
        <v>39</v>
      </c>
      <c r="B249">
        <v>35</v>
      </c>
      <c r="C249">
        <v>28</v>
      </c>
      <c r="D249">
        <v>759.9</v>
      </c>
      <c r="E249">
        <v>1236.2</v>
      </c>
      <c r="F249">
        <v>91.6</v>
      </c>
      <c r="G249">
        <v>1</v>
      </c>
      <c r="H249">
        <v>40</v>
      </c>
      <c r="I249">
        <v>12</v>
      </c>
      <c r="J249">
        <v>60000</v>
      </c>
      <c r="K249">
        <v>3.5</v>
      </c>
      <c r="L249">
        <v>0</v>
      </c>
      <c r="M249">
        <v>228</v>
      </c>
      <c r="N249">
        <v>18178</v>
      </c>
      <c r="O249">
        <v>227301</v>
      </c>
      <c r="P249">
        <v>196</v>
      </c>
      <c r="Q249">
        <v>0</v>
      </c>
      <c r="R249">
        <v>189</v>
      </c>
      <c r="S249">
        <v>59.9</v>
      </c>
      <c r="T249">
        <v>0</v>
      </c>
      <c r="U249">
        <v>315</v>
      </c>
      <c r="V249">
        <v>0</v>
      </c>
      <c r="W249">
        <v>0</v>
      </c>
      <c r="X249">
        <v>0</v>
      </c>
      <c r="Y249">
        <v>1</v>
      </c>
      <c r="Z249">
        <v>100</v>
      </c>
      <c r="AA249">
        <v>0</v>
      </c>
      <c r="AB249">
        <v>0</v>
      </c>
      <c r="AC249">
        <v>1</v>
      </c>
      <c r="AD249">
        <v>0</v>
      </c>
      <c r="AE249">
        <v>1996.1</v>
      </c>
      <c r="AF249">
        <f t="shared" si="12"/>
        <v>480</v>
      </c>
      <c r="AG249">
        <f t="shared" si="13"/>
        <v>252</v>
      </c>
      <c r="AH249">
        <f t="shared" si="14"/>
        <v>2039</v>
      </c>
      <c r="AI249">
        <v>17890.277087707953</v>
      </c>
      <c r="AJ249">
        <f>[1]F1XT_1!F248</f>
        <v>17890.276353000001</v>
      </c>
      <c r="AK249">
        <f t="shared" si="15"/>
        <v>-7.3470795177854598E-4</v>
      </c>
    </row>
    <row r="250" spans="1:37" x14ac:dyDescent="0.25">
      <c r="A250" t="s">
        <v>39</v>
      </c>
      <c r="B250">
        <v>35</v>
      </c>
      <c r="C250">
        <v>23</v>
      </c>
      <c r="D250">
        <v>230.2</v>
      </c>
      <c r="E250">
        <v>384.4</v>
      </c>
      <c r="F250">
        <v>26.1</v>
      </c>
      <c r="G250">
        <v>1</v>
      </c>
      <c r="H250">
        <v>40</v>
      </c>
      <c r="I250">
        <v>12</v>
      </c>
      <c r="J250">
        <v>20000</v>
      </c>
      <c r="K250">
        <v>3.5</v>
      </c>
      <c r="L250">
        <v>0</v>
      </c>
      <c r="M250">
        <v>230</v>
      </c>
      <c r="N250">
        <v>5956.4</v>
      </c>
      <c r="O250">
        <v>464602</v>
      </c>
      <c r="P250">
        <v>43.8</v>
      </c>
      <c r="Q250">
        <v>0</v>
      </c>
      <c r="R250">
        <v>63</v>
      </c>
      <c r="S250">
        <v>18.399999999999999</v>
      </c>
      <c r="T250">
        <v>0</v>
      </c>
      <c r="U250">
        <v>105</v>
      </c>
      <c r="V250">
        <v>0</v>
      </c>
      <c r="W250">
        <v>0</v>
      </c>
      <c r="X250">
        <v>0</v>
      </c>
      <c r="Y250">
        <v>2</v>
      </c>
      <c r="Z250">
        <v>100</v>
      </c>
      <c r="AA250">
        <v>0</v>
      </c>
      <c r="AB250">
        <v>1</v>
      </c>
      <c r="AC250">
        <v>1</v>
      </c>
      <c r="AD250">
        <v>0</v>
      </c>
      <c r="AE250">
        <v>614.6</v>
      </c>
      <c r="AF250">
        <f t="shared" si="12"/>
        <v>480</v>
      </c>
      <c r="AG250">
        <f t="shared" si="13"/>
        <v>250</v>
      </c>
      <c r="AH250">
        <f t="shared" si="14"/>
        <v>2038.8333333333333</v>
      </c>
      <c r="AI250">
        <v>7336.3468634023948</v>
      </c>
      <c r="AJ250">
        <f>[1]F1XT_1!F249</f>
        <v>7336.3470909999996</v>
      </c>
      <c r="AK250">
        <f t="shared" si="15"/>
        <v>2.2759760486223968E-4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A287"/>
  <sheetViews>
    <sheetView topLeftCell="AK1" workbookViewId="0">
      <selection activeCell="AP3" sqref="AP3"/>
    </sheetView>
  </sheetViews>
  <sheetFormatPr baseColWidth="10" defaultRowHeight="15" x14ac:dyDescent="0.25"/>
  <cols>
    <col min="2" max="2" width="8" bestFit="1" customWidth="1"/>
    <col min="3" max="3" width="16" customWidth="1"/>
    <col min="4" max="4" width="18.85546875" customWidth="1"/>
    <col min="5" max="6" width="21.140625" customWidth="1"/>
    <col min="9" max="9" width="15.85546875" bestFit="1" customWidth="1"/>
    <col min="11" max="11" width="16.5703125" bestFit="1" customWidth="1"/>
    <col min="12" max="12" width="12.85546875" bestFit="1" customWidth="1"/>
    <col min="13" max="13" width="22.7109375" bestFit="1" customWidth="1"/>
    <col min="14" max="14" width="19.140625" bestFit="1" customWidth="1"/>
    <col min="15" max="15" width="14.7109375" bestFit="1" customWidth="1"/>
    <col min="18" max="18" width="12.85546875" customWidth="1"/>
    <col min="21" max="21" width="15.28515625" customWidth="1"/>
    <col min="22" max="23" width="22.7109375" bestFit="1" customWidth="1"/>
    <col min="24" max="24" width="17.28515625" bestFit="1" customWidth="1"/>
    <col min="25" max="25" width="17" bestFit="1" customWidth="1"/>
    <col min="26" max="26" width="20.28515625" bestFit="1" customWidth="1"/>
    <col min="27" max="27" width="16.7109375" customWidth="1"/>
    <col min="28" max="28" width="11" customWidth="1"/>
    <col min="29" max="29" width="12.7109375" bestFit="1" customWidth="1"/>
    <col min="30" max="31" width="13.140625" bestFit="1" customWidth="1"/>
    <col min="32" max="32" width="12.42578125" bestFit="1" customWidth="1"/>
    <col min="33" max="33" width="20.7109375" bestFit="1" customWidth="1"/>
    <col min="34" max="34" width="14.7109375" bestFit="1" customWidth="1"/>
    <col min="36" max="36" width="15.140625" bestFit="1" customWidth="1"/>
    <col min="37" max="37" width="18.42578125" bestFit="1" customWidth="1"/>
    <col min="38" max="38" width="14.5703125" bestFit="1" customWidth="1"/>
    <col min="39" max="39" width="18.140625" bestFit="1" customWidth="1"/>
    <col min="40" max="40" width="16.140625" bestFit="1" customWidth="1"/>
    <col min="41" max="41" width="19.140625" bestFit="1" customWidth="1"/>
    <col min="42" max="42" width="21.28515625" bestFit="1" customWidth="1"/>
    <col min="43" max="43" width="13.85546875" bestFit="1" customWidth="1"/>
    <col min="44" max="44" width="16.5703125" bestFit="1" customWidth="1"/>
    <col min="45" max="45" width="19.7109375" bestFit="1" customWidth="1"/>
    <col min="46" max="46" width="14.140625" bestFit="1" customWidth="1"/>
    <col min="47" max="47" width="14.5703125" bestFit="1" customWidth="1"/>
    <col min="48" max="48" width="18.140625" bestFit="1" customWidth="1"/>
    <col min="49" max="49" width="13.42578125" bestFit="1" customWidth="1"/>
    <col min="51" max="51" width="14.140625" bestFit="1" customWidth="1"/>
    <col min="52" max="52" width="13.5703125" bestFit="1" customWidth="1"/>
    <col min="53" max="53" width="31.85546875" bestFit="1" customWidth="1"/>
  </cols>
  <sheetData>
    <row r="1" spans="1:53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s="15" t="s">
        <v>61</v>
      </c>
      <c r="AG1" t="s">
        <v>82</v>
      </c>
      <c r="AH1" t="s">
        <v>93</v>
      </c>
      <c r="AI1" t="s">
        <v>87</v>
      </c>
    </row>
    <row r="2" spans="1:53" x14ac:dyDescent="0.25">
      <c r="A2" t="s">
        <v>39</v>
      </c>
      <c r="B2">
        <v>35</v>
      </c>
      <c r="C2">
        <v>23</v>
      </c>
      <c r="D2">
        <v>230.2</v>
      </c>
      <c r="E2">
        <v>384.4</v>
      </c>
      <c r="F2">
        <v>26.1</v>
      </c>
      <c r="G2">
        <v>1</v>
      </c>
      <c r="H2">
        <v>40</v>
      </c>
      <c r="I2">
        <v>12</v>
      </c>
      <c r="J2">
        <v>20000</v>
      </c>
      <c r="K2">
        <v>3.5</v>
      </c>
      <c r="L2">
        <v>0</v>
      </c>
      <c r="M2">
        <v>230</v>
      </c>
      <c r="N2">
        <v>5956.4</v>
      </c>
      <c r="O2">
        <v>464602</v>
      </c>
      <c r="P2">
        <v>43.8</v>
      </c>
      <c r="Q2">
        <v>0</v>
      </c>
      <c r="R2">
        <v>63</v>
      </c>
      <c r="S2">
        <v>18.399999999999999</v>
      </c>
      <c r="T2">
        <v>0</v>
      </c>
      <c r="U2">
        <v>105</v>
      </c>
      <c r="V2">
        <v>0</v>
      </c>
      <c r="W2">
        <v>0</v>
      </c>
      <c r="X2">
        <v>0</v>
      </c>
      <c r="Y2">
        <v>2</v>
      </c>
      <c r="Z2">
        <v>100</v>
      </c>
      <c r="AA2">
        <v>0</v>
      </c>
      <c r="AB2">
        <v>1</v>
      </c>
      <c r="AC2">
        <v>1</v>
      </c>
      <c r="AD2">
        <v>0</v>
      </c>
      <c r="AE2">
        <v>614.6</v>
      </c>
      <c r="AF2">
        <v>480</v>
      </c>
      <c r="AG2">
        <f>SUMIF(Assumptions!A14:A18,I2,Assumptions!B14:B18)</f>
        <v>0.05</v>
      </c>
      <c r="AH2">
        <f>E2*(1-Assumptions!B11)/(1+AG2)</f>
        <v>325.82476190476189</v>
      </c>
      <c r="AI2">
        <f>MAX(0,AH2-Assumptions!B20*J2)</f>
        <v>240.82476190476189</v>
      </c>
    </row>
    <row r="7" spans="1:53" x14ac:dyDescent="0.25">
      <c r="AT7" t="s">
        <v>124</v>
      </c>
    </row>
    <row r="9" spans="1:53" x14ac:dyDescent="0.25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  <c r="K9">
        <v>11</v>
      </c>
      <c r="L9">
        <v>12</v>
      </c>
      <c r="M9">
        <v>13</v>
      </c>
      <c r="N9">
        <v>14</v>
      </c>
      <c r="O9">
        <v>15</v>
      </c>
      <c r="P9">
        <v>16</v>
      </c>
      <c r="Q9">
        <v>17</v>
      </c>
      <c r="R9">
        <v>18</v>
      </c>
      <c r="S9">
        <v>19</v>
      </c>
      <c r="T9">
        <v>20</v>
      </c>
      <c r="U9">
        <v>21</v>
      </c>
      <c r="V9">
        <v>22</v>
      </c>
      <c r="W9">
        <v>23</v>
      </c>
      <c r="X9">
        <v>24</v>
      </c>
      <c r="Y9">
        <v>25</v>
      </c>
      <c r="Z9">
        <v>26</v>
      </c>
      <c r="AA9">
        <v>27</v>
      </c>
      <c r="AB9">
        <v>28</v>
      </c>
      <c r="AC9">
        <v>29</v>
      </c>
      <c r="AD9">
        <v>30</v>
      </c>
      <c r="AE9">
        <v>31</v>
      </c>
      <c r="AF9">
        <v>32</v>
      </c>
      <c r="AG9">
        <v>33</v>
      </c>
      <c r="AH9">
        <v>34</v>
      </c>
      <c r="AI9">
        <v>35</v>
      </c>
      <c r="AJ9">
        <v>36</v>
      </c>
      <c r="AK9">
        <v>37</v>
      </c>
      <c r="AL9">
        <v>38</v>
      </c>
      <c r="AM9">
        <v>39</v>
      </c>
      <c r="AN9">
        <v>40</v>
      </c>
      <c r="AO9">
        <v>41</v>
      </c>
      <c r="AP9">
        <v>42</v>
      </c>
      <c r="AQ9">
        <v>43</v>
      </c>
      <c r="AR9">
        <v>44</v>
      </c>
      <c r="AS9">
        <v>45</v>
      </c>
      <c r="AT9">
        <v>46</v>
      </c>
      <c r="AU9">
        <v>47</v>
      </c>
      <c r="AV9">
        <v>48</v>
      </c>
      <c r="AW9">
        <v>49</v>
      </c>
      <c r="AX9">
        <v>50</v>
      </c>
      <c r="AY9">
        <v>51</v>
      </c>
      <c r="AZ9">
        <v>52</v>
      </c>
    </row>
    <row r="10" spans="1:53" x14ac:dyDescent="0.25">
      <c r="A10" s="15" t="s">
        <v>47</v>
      </c>
      <c r="B10" s="15" t="s">
        <v>48</v>
      </c>
      <c r="C10" s="15" t="s">
        <v>49</v>
      </c>
      <c r="D10" s="15" t="s">
        <v>50</v>
      </c>
      <c r="E10" s="15" t="s">
        <v>51</v>
      </c>
      <c r="F10" s="15" t="s">
        <v>52</v>
      </c>
      <c r="G10" t="s">
        <v>53</v>
      </c>
      <c r="H10" t="s">
        <v>54</v>
      </c>
      <c r="I10" s="15" t="s">
        <v>55</v>
      </c>
      <c r="J10" s="15" t="s">
        <v>56</v>
      </c>
      <c r="K10" s="15" t="s">
        <v>57</v>
      </c>
      <c r="L10" s="15" t="s">
        <v>58</v>
      </c>
      <c r="M10" s="15" t="s">
        <v>59</v>
      </c>
      <c r="N10" s="15" t="s">
        <v>60</v>
      </c>
      <c r="O10" s="15" t="s">
        <v>66</v>
      </c>
      <c r="P10" s="15" t="s">
        <v>67</v>
      </c>
      <c r="Q10" s="15" t="s">
        <v>79</v>
      </c>
      <c r="R10" s="15" t="s">
        <v>76</v>
      </c>
      <c r="S10" s="15" t="s">
        <v>77</v>
      </c>
      <c r="T10" s="15" t="s">
        <v>78</v>
      </c>
      <c r="U10" s="15" t="s">
        <v>98</v>
      </c>
      <c r="V10" s="15" t="s">
        <v>99</v>
      </c>
      <c r="W10" s="15" t="s">
        <v>85</v>
      </c>
      <c r="X10" s="15" t="s">
        <v>80</v>
      </c>
      <c r="Y10" s="15" t="s">
        <v>86</v>
      </c>
      <c r="Z10" s="15" t="s">
        <v>90</v>
      </c>
      <c r="AA10" s="15" t="s">
        <v>91</v>
      </c>
      <c r="AB10" s="15" t="s">
        <v>89</v>
      </c>
      <c r="AC10" s="15" t="s">
        <v>92</v>
      </c>
      <c r="AD10" s="15" t="s">
        <v>94</v>
      </c>
      <c r="AE10" s="15" t="s">
        <v>95</v>
      </c>
      <c r="AF10" s="15" t="s">
        <v>96</v>
      </c>
      <c r="AG10" s="15" t="s">
        <v>97</v>
      </c>
      <c r="AH10" s="15" t="s">
        <v>102</v>
      </c>
      <c r="AI10" s="15" t="s">
        <v>103</v>
      </c>
      <c r="AJ10" s="15" t="s">
        <v>104</v>
      </c>
      <c r="AK10" s="15" t="s">
        <v>105</v>
      </c>
      <c r="AL10" s="15" t="s">
        <v>106</v>
      </c>
      <c r="AM10" s="15" t="s">
        <v>108</v>
      </c>
      <c r="AN10" s="15" t="s">
        <v>109</v>
      </c>
      <c r="AO10" s="15" t="s">
        <v>110</v>
      </c>
      <c r="AP10" s="15" t="s">
        <v>115</v>
      </c>
      <c r="AQ10" s="15" t="s">
        <v>116</v>
      </c>
      <c r="AR10" s="15" t="s">
        <v>120</v>
      </c>
      <c r="AS10" s="15" t="s">
        <v>117</v>
      </c>
      <c r="AT10" s="15" t="s">
        <v>118</v>
      </c>
      <c r="AU10" s="15" t="s">
        <v>119</v>
      </c>
      <c r="AV10" s="15" t="s">
        <v>122</v>
      </c>
      <c r="AW10" s="15" t="s">
        <v>121</v>
      </c>
      <c r="AX10" s="15" t="s">
        <v>123</v>
      </c>
      <c r="AY10" s="15" t="s">
        <v>126</v>
      </c>
      <c r="AZ10" s="15" t="s">
        <v>125</v>
      </c>
      <c r="BA10" s="15" t="s">
        <v>132</v>
      </c>
    </row>
    <row r="11" spans="1:53" x14ac:dyDescent="0.25">
      <c r="A11" s="17">
        <v>43100</v>
      </c>
      <c r="B11">
        <f>M2</f>
        <v>230</v>
      </c>
      <c r="C11">
        <f>(B11+11)/12-1</f>
        <v>19.083333333333332</v>
      </c>
      <c r="D11">
        <f>IF(C11-INT(C11)=0,1,0)</f>
        <v>0</v>
      </c>
      <c r="E11">
        <f>$C$2+INT($C11)</f>
        <v>42</v>
      </c>
      <c r="F11">
        <f>IF(C11&gt;=$H$2,0,VLOOKUP($E11,'Mortality Table'!$A$3:$C$128,2+AB$2,FALSE))</f>
        <v>7.203E-4</v>
      </c>
      <c r="G11">
        <f>F11*Assumptions!$B$1</f>
        <v>7.7972475000000002E-4</v>
      </c>
      <c r="J11">
        <f>HLOOKUP(C11,Assumptions!$A$6:$J$7,2,TRUE)</f>
        <v>3.5200000000000002E-2</v>
      </c>
      <c r="K11" s="18">
        <f>IF(B11&gt;$AF$2,0,IF(($I$2*(B11+11))/12-INT(($I$2*(B11+11))/12)=0,1,0))</f>
        <v>1</v>
      </c>
      <c r="O11" s="19">
        <v>1</v>
      </c>
      <c r="Q11">
        <f>F2</f>
        <v>26.1</v>
      </c>
      <c r="R11">
        <f>IF(B11&gt;$AF$2,0,IF($Y$2=1,(SUMIF('Mortality Tarif Male'!A:A,E12,'Mortality Tarif Male'!G:G)-SUMIF('Mortality Tarif Male'!A:A,$C$2+$H$2,'Mortality Tarif Male'!G:G)+SUMIF('Mortality Tarif Male'!A:A,$C$2+$H$2,'Mortality Tarif Male'!D:D))/SUMIF('Mortality Tarif Male'!A:A,E12,'Mortality Tarif Male'!D:D),(SUMIF('Mortality Tarif Female'!A:A,E12,'Mortality Tarif Female'!G:G)-SUMIF('Mortality Tarif Female'!A:A,$C$2+$H$2,'Mortality Tarif Female'!G:G)+SUMIF('Mortality Tarif Female'!A:A,$C$2+$H$2,'Mortality Tarif Female'!D:D))/SUMIF('Mortality Tarif Female'!A:A,E12,'Mortality Tarif Female'!D:D)))</f>
        <v>0.49430528196572693</v>
      </c>
      <c r="S11">
        <f>IF(B11&gt;=$AF$2,0,IF($Y$2=1,(SUMIF('Mortality Tarif Male'!A:A,E12+1,'Mortality Tarif Male'!G:G)-SUMIF('Mortality Tarif Male'!A:A,$C$2+$H$2,'Mortality Tarif Male'!G:G)+SUMIF('Mortality Tarif Male'!A:A,$C$2+$H$2,'Mortality Tarif Male'!D:D))/SUMIF('Mortality Tarif Male'!A:A,E12+1,'Mortality Tarif Male'!D:D),(SUMIF('Mortality Tarif Female'!A:A,E12+1,'Mortality Tarif Female'!G:G)-SUMIF('Mortality Tarif Female'!A:A,$C$2+$H$2,'Mortality Tarif Female'!G:G)+SUMIF('Mortality Tarif Female'!A:A,$C$2+$H$2,'Mortality Tarif Female'!D:D))/SUMIF('Mortality Tarif Female'!A:A,E12+1,'Mortality Tarif Female'!D:D)))</f>
        <v>0.51100285398145329</v>
      </c>
      <c r="T11">
        <f>INT(B11/12)+1-B11/12</f>
        <v>0.83333333333333215</v>
      </c>
      <c r="U11">
        <f>IF(B11&gt;=$AF$2,0,(T11*R11+(1-T11)*S11))</f>
        <v>0.49708821063501468</v>
      </c>
      <c r="V11">
        <f>U11*$J$2</f>
        <v>9941.7642127002928</v>
      </c>
      <c r="W11">
        <f>IF(B11&gt;$AF$2,0,(T11*R11+(1-T11)*S11)*(Q11))</f>
        <v>12.974002297573884</v>
      </c>
      <c r="Y11">
        <f>IF(B11&gt;$AF$2,0,IF(X12=0,0,(1-X12)*($D$2+$E$2)/$I$2*1/(1+$AG$2)*1/(1+Assumptions!$B$11)))</f>
        <v>0</v>
      </c>
      <c r="Z11">
        <f>IF(B11&gt;$AF$2,0,IF($Y$2=1,(SUMIF('Mortality Tarif Male'!A:A,E12,'Mortality Tarif Male'!E:E)-SUMIF('Mortality Tarif Male'!A:A,$C$2+$H$2,'Mortality Tarif Male'!E:E))/SUMIF('Mortality Tarif Male'!A:A,E12,'Mortality Tarif Male'!D:D),(SUMIF('Mortality Tarif Female'!A:A,E12,'Mortality Tarif Female'!E:E)-SUMIF('Mortality Tarif Female'!A:A,$C$2+$H$2,'Mortality Tarif Female'!E:E))/SUMIF('Mortality Tarif Female'!A:A,E12,'Mortality Tarif Female'!D:D)))</f>
        <v>14.971801039678217</v>
      </c>
      <c r="AA11">
        <f>IF(B11&gt;=$AF$2,0,IF($Y$2=1,(SUMIF('Mortality Tarif Male'!A:A,E12+1,'Mortality Tarif Male'!E:E)-SUMIF('Mortality Tarif Male'!A:A,$C$2+$H$2,'Mortality Tarif Male'!E:E))/SUMIF('Mortality Tarif Male'!A:A,E12+1,'Mortality Tarif Male'!D:D),(SUMIF('Mortality Tarif Female'!A:A,E12+1,'Mortality Tarif Female'!E:E)-SUMIF('Mortality Tarif Female'!A:A,$C$2+$H$2,'Mortality Tarif Female'!E:E))/SUMIF('Mortality Tarif Female'!A:A,E12+1,'Mortality Tarif Female'!D:D)))</f>
        <v>14.478058988373103</v>
      </c>
      <c r="AB11">
        <f t="shared" ref="AB11:AB74" si="0">IF(B11&gt;=$AF$2,0,(T11*Z11+(1-T11)*AA11))*$AI$2</f>
        <v>3585.7628686746525</v>
      </c>
      <c r="AC11">
        <f>IF(B11&gt;=$AF$2,0,MIN(1/3*(V11+W11+Y11-AB11),(V11-AB11),(T11*Z11+(1-T11)*AA11)*$AH$2*Assumptions!$B$22))</f>
        <v>388.10970223897169</v>
      </c>
      <c r="AD11">
        <f>V11+W11+Y11-AB11-AC11</f>
        <v>5980.8656440842442</v>
      </c>
      <c r="AE11">
        <f>AD11-Y11+AC11</f>
        <v>6368.9753463232155</v>
      </c>
      <c r="AF11">
        <f>AE11-AC11</f>
        <v>5980.8656440842442</v>
      </c>
      <c r="AH11" s="27">
        <f>IF(B11&gt;$AF$2,0,HLOOKUP(YEAR(A11),Assumptions!$A$34:$AL$37,4,TRUE)/100)</f>
        <v>1.2418E-2</v>
      </c>
      <c r="AP11">
        <v>1</v>
      </c>
      <c r="AS11">
        <f>AD11*O11</f>
        <v>5980.8656440842442</v>
      </c>
      <c r="AX11">
        <f>IF(B11&gt;$AF$2,0,HLOOKUP(YEAR(A11),Assumptions!$A$34:$AL$37,2,TRUE)/100)</f>
        <v>1.8418E-2</v>
      </c>
      <c r="AZ11" s="30">
        <f>(AZ12+AN12+AO12+AQ12-P12)*AY12</f>
        <v>7336.3468634023948</v>
      </c>
      <c r="BA11">
        <f>IF(B11&gt;$AF$2,0,IF($E$2=0,(T11*Z11+(1-T11)*AA11)*$J$2*Assumptions!$B$20,0))</f>
        <v>0</v>
      </c>
    </row>
    <row r="12" spans="1:53" x14ac:dyDescent="0.25">
      <c r="A12" s="17">
        <f>DATE(YEAR(A11),MONTH(A11)+2,1)-1</f>
        <v>43131</v>
      </c>
      <c r="B12">
        <f t="shared" ref="B12:B75" si="1">B11+1</f>
        <v>231</v>
      </c>
      <c r="C12">
        <f t="shared" ref="C12:C75" si="2">(B12+11)/12-1</f>
        <v>19.166666666666668</v>
      </c>
      <c r="D12">
        <f t="shared" ref="D12:D35" si="3">IF(C12-INT(C12)=0,1,0)</f>
        <v>0</v>
      </c>
      <c r="E12">
        <f t="shared" ref="E12:E75" si="4">$C$2+INT($C12)</f>
        <v>42</v>
      </c>
      <c r="F12">
        <f>IF(C12&gt;=$H$2,0,VLOOKUP($E12,'Mortality Table'!$A$3:$C$128,2+AB$2,FALSE))</f>
        <v>7.203E-4</v>
      </c>
      <c r="G12">
        <f>F12*Assumptions!$B$1</f>
        <v>7.7972475000000002E-4</v>
      </c>
      <c r="H12">
        <f>(1-(1-G12)^(1/12))</f>
        <v>6.5000295176975698E-5</v>
      </c>
      <c r="I12">
        <f>H12*O11*(1-M12/2)</f>
        <v>6.490338785722641E-5</v>
      </c>
      <c r="J12">
        <f>HLOOKUP(C12,Assumptions!$A$6:$J$7,2,TRUE)</f>
        <v>3.5200000000000002E-2</v>
      </c>
      <c r="K12" s="18">
        <f t="shared" ref="K12:K75" si="5">IF(B12&gt;$AF$2,0,IF(($I$2*(B12+11))/12-INT(($I$2*(B12+11))/12)=0,1,0))</f>
        <v>1</v>
      </c>
      <c r="L12" s="18">
        <f>1/12</f>
        <v>8.3333333333333329E-2</v>
      </c>
      <c r="M12" s="18">
        <f t="shared" ref="M12" si="6">(1-(1-J12)^L12)</f>
        <v>2.9817501439168836E-3</v>
      </c>
      <c r="N12">
        <f>M12*O11*(1-H12/2)</f>
        <v>2.9816532365971342E-3</v>
      </c>
      <c r="O12" s="20">
        <f>IF(B12&gt;$AF$2,0,O11-I12-N12)</f>
        <v>0.99695344337554559</v>
      </c>
      <c r="P12">
        <f>IF(B12&gt;$AF$2,0,O11*($E$2+IF(E12&lt;=Assumptions!$B$9,$D$2,0))/$I$2*K12)</f>
        <v>51.216666666666661</v>
      </c>
      <c r="Q12">
        <f>IF(B12&gt;$AF$2,0,Q11+AI11)</f>
        <v>26.1</v>
      </c>
      <c r="R12">
        <f>IF(B12&gt;$AF$2,0,IF($Y$2=1,(SUMIF('Mortality Tarif Male'!A:A,E13,'Mortality Tarif Male'!G:G)-SUMIF('Mortality Tarif Male'!A:A,$C$2+$H$2,'Mortality Tarif Male'!G:G)+SUMIF('Mortality Tarif Male'!A:A,$C$2+$H$2,'Mortality Tarif Male'!D:D))/SUMIF('Mortality Tarif Male'!A:A,E13,'Mortality Tarif Male'!D:D),(SUMIF('Mortality Tarif Female'!A:A,E13,'Mortality Tarif Female'!G:G)-SUMIF('Mortality Tarif Female'!A:A,$C$2+$H$2,'Mortality Tarif Female'!G:G)+SUMIF('Mortality Tarif Female'!A:A,$C$2+$H$2,'Mortality Tarif Female'!D:D))/SUMIF('Mortality Tarif Female'!A:A,E13,'Mortality Tarif Female'!D:D)))</f>
        <v>0.49430528196572693</v>
      </c>
      <c r="S12">
        <f>IF(B12&gt;=$AF$2,0,IF($Y$2=1,(SUMIF('Mortality Tarif Male'!A:A,E13+1,'Mortality Tarif Male'!G:G)-SUMIF('Mortality Tarif Male'!A:A,$C$2+$H$2,'Mortality Tarif Male'!G:G)+SUMIF('Mortality Tarif Male'!A:A,$C$2+$H$2,'Mortality Tarif Male'!D:D))/SUMIF('Mortality Tarif Male'!A:A,E13+1,'Mortality Tarif Male'!D:D),(SUMIF('Mortality Tarif Female'!A:A,E13+1,'Mortality Tarif Female'!G:G)-SUMIF('Mortality Tarif Female'!A:A,$C$2+$H$2,'Mortality Tarif Female'!G:G)+SUMIF('Mortality Tarif Female'!A:A,$C$2+$H$2,'Mortality Tarif Female'!D:D))/SUMIF('Mortality Tarif Female'!A:A,E13+1,'Mortality Tarif Female'!D:D)))</f>
        <v>0.51100285398145329</v>
      </c>
      <c r="T12">
        <f>INT(B12/12)+1-B12/12</f>
        <v>0.75</v>
      </c>
      <c r="U12">
        <f>IF(B12&gt;=$AF$2,0,(T12*R12+(1-T12)*S12))</f>
        <v>0.4984796749696585</v>
      </c>
      <c r="V12">
        <f>U12*$J$2</f>
        <v>9969.5934993931696</v>
      </c>
      <c r="W12">
        <f t="shared" ref="W12:W75" si="7">IF(B12&gt;$AF$2,0,(T12*R12+(1-T12)*S12)*(Q11))</f>
        <v>13.010319516708087</v>
      </c>
      <c r="X12">
        <f t="shared" ref="X12:X75" si="8">($I$2*(B12+11))/12-INT(($I$2*(B12+11))/12)</f>
        <v>0</v>
      </c>
      <c r="Y12">
        <f>IF(B12&gt;$AF$2,0,IF(X13=0,0,(1-X13)*($E$2+IF(E12&lt;=Assumptions!$B$9,$D$2,0))/$I$2*1/(1+$AG$2)*1/(1+Assumptions!$B$11)))</f>
        <v>0</v>
      </c>
      <c r="Z12">
        <f>IF(B12&gt;$AF$2,0,IF($Y$2=1,(SUMIF('Mortality Tarif Male'!A:A,E13,'Mortality Tarif Male'!E:E)-SUMIF('Mortality Tarif Male'!A:A,$C$2+$H$2,'Mortality Tarif Male'!E:E))/SUMIF('Mortality Tarif Male'!A:A,E13,'Mortality Tarif Male'!D:D),(SUMIF('Mortality Tarif Female'!A:A,E13,'Mortality Tarif Female'!E:E)-SUMIF('Mortality Tarif Female'!A:A,$C$2+$H$2,'Mortality Tarif Female'!E:E))/SUMIF('Mortality Tarif Female'!A:A,E13,'Mortality Tarif Female'!D:D)))</f>
        <v>14.971801039678217</v>
      </c>
      <c r="AA12">
        <f>IF(B12&gt;=$AF$2,0,IF($Y$2=1,(SUMIF('Mortality Tarif Male'!A:A,E13+1,'Mortality Tarif Male'!E:E)-SUMIF('Mortality Tarif Male'!A:A,$C$2+$H$2,'Mortality Tarif Male'!E:E))/SUMIF('Mortality Tarif Male'!A:A,E13+1,'Mortality Tarif Male'!D:D),(SUMIF('Mortality Tarif Female'!A:A,E13+1,'Mortality Tarif Female'!E:E)-SUMIF('Mortality Tarif Female'!A:A,$C$2+$H$2,'Mortality Tarif Female'!E:E))/SUMIF('Mortality Tarif Female'!A:A,E13+1,'Mortality Tarif Female'!D:D)))</f>
        <v>14.478058988373103</v>
      </c>
      <c r="AB12">
        <f t="shared" si="0"/>
        <v>3575.8540926789924</v>
      </c>
      <c r="AC12">
        <f>IF(B12&gt;=$AF$2,0,MIN(1/3*(V12+W12+Y12-AB12),(V12-AB12),(T12*Z12+(1-T12)*AA12)*$AH$2*Assumptions!$B$22))</f>
        <v>387.03721299691256</v>
      </c>
      <c r="AD12">
        <f>V12+W12+Y12-AB12-AC12</f>
        <v>6019.7125132339734</v>
      </c>
      <c r="AE12">
        <f>AD12-Y12+AC12</f>
        <v>6406.7497262308862</v>
      </c>
      <c r="AF12">
        <f>AE12-AC12</f>
        <v>6019.7125132339734</v>
      </c>
      <c r="AG12" s="26">
        <v>0</v>
      </c>
      <c r="AH12" s="27">
        <f>IF(B12&gt;$AF$2,0,HLOOKUP(YEAR(A12),Assumptions!$A$34:$AL$37,4,TRUE)/100)</f>
        <v>1.0946000000000001E-2</v>
      </c>
      <c r="AI12">
        <f>IF(B12&gt;$AF$2,0,IF(MONTH(A12)=12,AG12*MAX(0,AH12-$K$2/100)/U12*MIN(12,B12)/12,0))</f>
        <v>0</v>
      </c>
      <c r="AJ12">
        <f>I12*($J$2+Q12)</f>
        <v>1.2997617355676017</v>
      </c>
      <c r="AK12">
        <f>(AD12+BA12)*N12</f>
        <v>17.948695298468344</v>
      </c>
      <c r="AL12">
        <f>IF(E12&gt;Assumptions!$B$9,0,SUMPRODUCT($P$2:$X$2,Assumptions!$A$43:$I$43)/$I$2*O11*K12)</f>
        <v>5.6014599999999994</v>
      </c>
      <c r="AM12">
        <f>IF(B12-1=$AF$2,($J$2+Q11)*O11,0)</f>
        <v>0</v>
      </c>
      <c r="AN12">
        <f>SUM(AJ12:AM12)</f>
        <v>24.849917034035943</v>
      </c>
      <c r="AO12">
        <f>IF(E12&gt;Assumptions!$B$9,0,($V$2+$X$2)/$I$2*O11*K12*Assumptions!$B$46)</f>
        <v>0</v>
      </c>
      <c r="AP12">
        <f>IF(B12&gt;$AF$2,0,AP11*(1+Assumptions!$B$52)^(1/12))</f>
        <v>1.0008295381143462</v>
      </c>
      <c r="AQ12" s="29">
        <f>IF(B12&gt;$AF$2,0,O11*Assumptions!$B$48/12*AP11+AR12*Assumptions!$B$50/12)</f>
        <v>14.258455454275387</v>
      </c>
      <c r="AR12" s="31">
        <f>AS11+AW11+AT12-AL12+BA11*O11</f>
        <v>5995.3329142429748</v>
      </c>
      <c r="AS12">
        <f t="shared" ref="AS12:AS75" si="9">AD12*O12</f>
        <v>6001.373118199469</v>
      </c>
      <c r="AT12">
        <f>$AI$2/$I$2*O11*K12</f>
        <v>20.068730158730158</v>
      </c>
      <c r="AU12" s="19">
        <f>AS11+AW11+P12-AQ12-AO12-AL12</f>
        <v>6012.2223952966351</v>
      </c>
      <c r="AV12" s="19">
        <f>AF11*O11+AT12-AL12</f>
        <v>5995.3329142429748</v>
      </c>
      <c r="AW12">
        <f>IF(B12&gt;$AF$2,0,IF(MONTH(A12)=12,0,AW11+AU12*((1+AX12)^(1/12)-1)-AV12*((1+$K$2/100)^(1/12)-1)))</f>
        <v>-8.7869714325930968</v>
      </c>
      <c r="AX12">
        <f>IF(B12&gt;$AF$2,0,HLOOKUP(YEAR(A12),Assumptions!$A$34:$AL$37,2,TRUE)/100)</f>
        <v>1.6946000000000003E-2</v>
      </c>
      <c r="AY12" s="32">
        <f>1/(1+HLOOKUP(YEAR(A12),Assumptions!$A$27:$AL$29,3,TRUE))^(1/12)</f>
        <v>0.99848118442253453</v>
      </c>
      <c r="AZ12" s="30">
        <f t="shared" ref="AZ12:AZ75" si="10">(AZ13+AN13+AO13+AQ13-P13)*AY13</f>
        <v>7359.614664711843</v>
      </c>
      <c r="BA12">
        <f>IF(B12&gt;$AF$2,0,IF($E$2=0,(T12*Z12+(1-T12)*AA12)*$J$2*Assumptions!$B$20,0))</f>
        <v>0</v>
      </c>
    </row>
    <row r="13" spans="1:53" x14ac:dyDescent="0.25">
      <c r="A13" s="17">
        <f t="shared" ref="A13:A76" si="11">DATE(YEAR(A12),MONTH(A12)+2,1)-1</f>
        <v>43159</v>
      </c>
      <c r="B13">
        <f t="shared" si="1"/>
        <v>232</v>
      </c>
      <c r="C13">
        <f t="shared" si="2"/>
        <v>19.25</v>
      </c>
      <c r="D13">
        <f t="shared" si="3"/>
        <v>0</v>
      </c>
      <c r="E13">
        <f t="shared" si="4"/>
        <v>42</v>
      </c>
      <c r="F13">
        <f>IF(C13&gt;=$H$2,0,VLOOKUP($E13,'Mortality Table'!$A$3:$C$128,2+AB$2,FALSE))</f>
        <v>7.203E-4</v>
      </c>
      <c r="G13">
        <f>F13*Assumptions!$B$1</f>
        <v>7.7972475000000002E-4</v>
      </c>
      <c r="H13">
        <f t="shared" ref="H13:H76" si="12">(1-(1-G13)^(1/12))</f>
        <v>6.5000295176975698E-5</v>
      </c>
      <c r="I13">
        <f t="shared" ref="I13:I35" si="13">H13*O12*(1-M13/2)</f>
        <v>6.4705656011000443E-5</v>
      </c>
      <c r="J13">
        <f>HLOOKUP(C13,Assumptions!$A$6:$J$7,2,TRUE)</f>
        <v>3.5200000000000002E-2</v>
      </c>
      <c r="K13" s="18">
        <f t="shared" si="5"/>
        <v>1</v>
      </c>
      <c r="L13" s="18">
        <f t="shared" ref="L13:L76" si="14">1/12</f>
        <v>8.3333333333333329E-2</v>
      </c>
      <c r="M13" s="18">
        <f t="shared" ref="M13:M35" si="15">(1-(1-J13)^L13)</f>
        <v>2.9817501439168836E-3</v>
      </c>
      <c r="N13">
        <f t="shared" ref="N13:N35" si="16">M13*O12*(1-H13/2)</f>
        <v>2.9725694611773532E-3</v>
      </c>
      <c r="O13" s="20">
        <f t="shared" ref="O13:O35" si="17">IF(B13&gt;$AF$2,0,O12-I13-N13)</f>
        <v>0.99391616825835727</v>
      </c>
      <c r="P13">
        <f>IF(B13&gt;$AF$2,0,O12*($E$2+IF(E13&lt;=Assumptions!$B$9,$D$2,0))/$I$2*K13)</f>
        <v>51.060632191550859</v>
      </c>
      <c r="Q13">
        <f t="shared" ref="Q13:Q76" si="18">IF(B13&gt;$AF$2,0,Q12+AI12)</f>
        <v>26.1</v>
      </c>
      <c r="R13">
        <f>IF(B13&gt;$AF$2,0,IF($Y$2=1,(SUMIF('Mortality Tarif Male'!A:A,E14,'Mortality Tarif Male'!G:G)-SUMIF('Mortality Tarif Male'!A:A,$C$2+$H$2,'Mortality Tarif Male'!G:G)+SUMIF('Mortality Tarif Male'!A:A,$C$2+$H$2,'Mortality Tarif Male'!D:D))/SUMIF('Mortality Tarif Male'!A:A,E14,'Mortality Tarif Male'!D:D),(SUMIF('Mortality Tarif Female'!A:A,E14,'Mortality Tarif Female'!G:G)-SUMIF('Mortality Tarif Female'!A:A,$C$2+$H$2,'Mortality Tarif Female'!G:G)+SUMIF('Mortality Tarif Female'!A:A,$C$2+$H$2,'Mortality Tarif Female'!D:D))/SUMIF('Mortality Tarif Female'!A:A,E14,'Mortality Tarif Female'!D:D)))</f>
        <v>0.49430528196572693</v>
      </c>
      <c r="S13">
        <f>IF(B13&gt;=$AF$2,0,IF($Y$2=1,(SUMIF('Mortality Tarif Male'!A:A,E14+1,'Mortality Tarif Male'!G:G)-SUMIF('Mortality Tarif Male'!A:A,$C$2+$H$2,'Mortality Tarif Male'!G:G)+SUMIF('Mortality Tarif Male'!A:A,$C$2+$H$2,'Mortality Tarif Male'!D:D))/SUMIF('Mortality Tarif Male'!A:A,E14+1,'Mortality Tarif Male'!D:D),(SUMIF('Mortality Tarif Female'!A:A,E14+1,'Mortality Tarif Female'!G:G)-SUMIF('Mortality Tarif Female'!A:A,$C$2+$H$2,'Mortality Tarif Female'!G:G)+SUMIF('Mortality Tarif Female'!A:A,$C$2+$H$2,'Mortality Tarif Female'!D:D))/SUMIF('Mortality Tarif Female'!A:A,E14+1,'Mortality Tarif Female'!D:D)))</f>
        <v>0.51100285398145329</v>
      </c>
      <c r="T13">
        <f t="shared" ref="T13:T76" si="19">INT(B13/12)+1-B13/12</f>
        <v>0.66666666666666785</v>
      </c>
      <c r="U13">
        <f t="shared" ref="U13:U76" si="20">IF(B13&gt;=$AF$2,0,(T13*R13+(1-T13)*S13))</f>
        <v>0.49987113930430238</v>
      </c>
      <c r="V13">
        <f t="shared" ref="V13:V76" si="21">U13*$J$2</f>
        <v>9997.4227860860483</v>
      </c>
      <c r="W13">
        <f t="shared" si="7"/>
        <v>13.046636735842293</v>
      </c>
      <c r="X13">
        <f t="shared" si="8"/>
        <v>0</v>
      </c>
      <c r="Y13">
        <f>IF(B13&gt;$AF$2,0,IF(X14=0,0,(1-X14)*($E$2+IF(E13&lt;=Assumptions!$B$9,$D$2,0))/$I$2*1/(1+$AG$2)*1/(1+Assumptions!$B$11)))</f>
        <v>0</v>
      </c>
      <c r="Z13">
        <f>IF(B13&gt;$AF$2,0,IF($Y$2=1,(SUMIF('Mortality Tarif Male'!A:A,E14,'Mortality Tarif Male'!E:E)-SUMIF('Mortality Tarif Male'!A:A,$C$2+$H$2,'Mortality Tarif Male'!E:E))/SUMIF('Mortality Tarif Male'!A:A,E14,'Mortality Tarif Male'!D:D),(SUMIF('Mortality Tarif Female'!A:A,E14,'Mortality Tarif Female'!E:E)-SUMIF('Mortality Tarif Female'!A:A,$C$2+$H$2,'Mortality Tarif Female'!E:E))/SUMIF('Mortality Tarif Female'!A:A,E14,'Mortality Tarif Female'!D:D)))</f>
        <v>14.971801039678217</v>
      </c>
      <c r="AA13">
        <f>IF(B13&gt;=$AF$2,0,IF($Y$2=1,(SUMIF('Mortality Tarif Male'!A:A,E14+1,'Mortality Tarif Male'!E:E)-SUMIF('Mortality Tarif Male'!A:A,$C$2+$H$2,'Mortality Tarif Male'!E:E))/SUMIF('Mortality Tarif Male'!A:A,E14+1,'Mortality Tarif Male'!D:D),(SUMIF('Mortality Tarif Female'!A:A,E14+1,'Mortality Tarif Female'!E:E)-SUMIF('Mortality Tarif Female'!A:A,$C$2+$H$2,'Mortality Tarif Female'!E:E))/SUMIF('Mortality Tarif Female'!A:A,E14+1,'Mortality Tarif Female'!D:D)))</f>
        <v>14.478058988373103</v>
      </c>
      <c r="AB13">
        <f t="shared" si="0"/>
        <v>3565.9453166833323</v>
      </c>
      <c r="AC13">
        <f>IF(B13&gt;=$AF$2,0,MIN(1/3*(V13+W13+Y13-AB13),(V13-AB13),(T13*Z13+(1-T13)*AA13)*$AH$2*Assumptions!$B$22))</f>
        <v>385.96472375485354</v>
      </c>
      <c r="AD13">
        <f t="shared" ref="AD13:AD76" si="22">V13+W13+Y13-AB13-AC13</f>
        <v>6058.5593823837053</v>
      </c>
      <c r="AE13">
        <f t="shared" ref="AE13:AE76" si="23">AD13-Y13+AC13</f>
        <v>6444.5241061385586</v>
      </c>
      <c r="AF13">
        <f t="shared" ref="AF13:AF76" si="24">AE13-AC13</f>
        <v>6058.5593823837053</v>
      </c>
      <c r="AG13" s="26">
        <v>0</v>
      </c>
      <c r="AH13" s="27">
        <f>IF(B13&gt;$AF$2,0,HLOOKUP(YEAR(A13),Assumptions!$A$34:$AL$37,4,TRUE)/100)</f>
        <v>1.0946000000000001E-2</v>
      </c>
      <c r="AI13">
        <f t="shared" ref="AI13:AI76" si="25">IF(B13&gt;$AF$2,0,IF(MONTH(A13)=12,AG13*MAX(0,AH13-$K$2/100)/U13*MIN(12,B13)/12,0))</f>
        <v>0</v>
      </c>
      <c r="AJ13">
        <f t="shared" ref="AJ13:AJ76" si="26">I13*($J$2+Q13)</f>
        <v>1.2958019378418959</v>
      </c>
      <c r="AK13">
        <f t="shared" ref="AK13:AK76" si="27">(AD13+BA13)*N13</f>
        <v>18.00948859880333</v>
      </c>
      <c r="AL13">
        <f>IF(E13&gt;Assumptions!$B$9,0,SUMPRODUCT($P$2:$X$2,Assumptions!$A$43:$I$43)/$I$2*O12*K13)</f>
        <v>5.5843948349303831</v>
      </c>
      <c r="AM13">
        <f t="shared" ref="AM13:AM76" si="28">IF(B13-1=$AF$2,($J$2+Q12)*O12,0)</f>
        <v>0</v>
      </c>
      <c r="AN13">
        <f t="shared" ref="AN13:AN76" si="29">SUM(AJ13:AM13)</f>
        <v>24.889685371575609</v>
      </c>
      <c r="AO13">
        <f>IF(E13&gt;Assumptions!$B$9,0,($V$2+$X$2)/$I$2*O12*K13*Assumptions!$B$46)</f>
        <v>0</v>
      </c>
      <c r="AP13">
        <f>IF(B13&gt;$AF$2,0,AP12*(1+Assumptions!$B$52)^(1/12))</f>
        <v>1.0016597643621754</v>
      </c>
      <c r="AQ13" s="29">
        <f>IF(B13&gt;$AF$2,0,O12*Assumptions!$B$48/12*AP12+AR13*Assumptions!$B$50/12)</f>
        <v>14.232845801363538</v>
      </c>
      <c r="AR13" s="31">
        <f t="shared" ref="AR13:AR76" si="30">AS12+AW12+AT13-AL13+BA12*O12</f>
        <v>6007.0093415678657</v>
      </c>
      <c r="AS13">
        <f t="shared" si="9"/>
        <v>6021.7001265045319</v>
      </c>
      <c r="AT13">
        <f t="shared" ref="AT13:AT76" si="31">$AI$2/$I$2*O12*K13</f>
        <v>20.007589635920692</v>
      </c>
      <c r="AU13" s="19">
        <f t="shared" ref="AU13:AU76" si="32">AS12+AW12+P13-AQ13-AO13-AL13</f>
        <v>6023.829538322133</v>
      </c>
      <c r="AV13" s="19">
        <f t="shared" ref="AV13:AV76" si="33">AF12*O12+AT13-AL13</f>
        <v>6015.7963130004591</v>
      </c>
      <c r="AW13">
        <f t="shared" ref="AW13:AW76" si="34">IF(B13&gt;$AF$2,0,IF(MONTH(A13)=12,0,AW12+AU13*((1+AX13)^(1/12)-1)-AV13*((1+$K$2/100)^(1/12)-1)))</f>
        <v>-17.616425937715263</v>
      </c>
      <c r="AX13">
        <f>IF(B13&gt;$AF$2,0,HLOOKUP(YEAR(A13),Assumptions!$A$34:$AL$37,2,TRUE)/100)</f>
        <v>1.6946000000000003E-2</v>
      </c>
      <c r="AY13" s="32">
        <f>1/(1+HLOOKUP(YEAR(A13),Assumptions!$A$27:$AL$29,3,TRUE))^(1/12)</f>
        <v>0.99848118442253453</v>
      </c>
      <c r="AZ13" s="30">
        <f t="shared" si="10"/>
        <v>7382.7476661164565</v>
      </c>
      <c r="BA13">
        <f>IF(B13&gt;$AF$2,0,IF($E$2=0,(T13*Z13+(1-T13)*AA13)*$J$2*Assumptions!$B$20,0))</f>
        <v>0</v>
      </c>
    </row>
    <row r="14" spans="1:53" x14ac:dyDescent="0.25">
      <c r="A14" s="17">
        <f t="shared" si="11"/>
        <v>43190</v>
      </c>
      <c r="B14">
        <f t="shared" si="1"/>
        <v>233</v>
      </c>
      <c r="C14">
        <f t="shared" si="2"/>
        <v>19.333333333333332</v>
      </c>
      <c r="D14">
        <f t="shared" si="3"/>
        <v>0</v>
      </c>
      <c r="E14">
        <f t="shared" si="4"/>
        <v>42</v>
      </c>
      <c r="F14">
        <f>IF(C14&gt;=$H$2,0,VLOOKUP($E14,'Mortality Table'!$A$3:$C$128,2+AB$2,FALSE))</f>
        <v>7.203E-4</v>
      </c>
      <c r="G14">
        <f>F14*Assumptions!$B$1</f>
        <v>7.7972475000000002E-4</v>
      </c>
      <c r="H14">
        <f t="shared" si="12"/>
        <v>6.5000295176975698E-5</v>
      </c>
      <c r="I14">
        <f t="shared" si="13"/>
        <v>6.4508526566040458E-5</v>
      </c>
      <c r="J14">
        <f>HLOOKUP(C14,Assumptions!$A$6:$J$7,2,TRUE)</f>
        <v>3.5200000000000002E-2</v>
      </c>
      <c r="K14" s="18">
        <f t="shared" si="5"/>
        <v>1</v>
      </c>
      <c r="L14" s="18">
        <f t="shared" si="14"/>
        <v>8.3333333333333329E-2</v>
      </c>
      <c r="M14" s="18">
        <f t="shared" si="15"/>
        <v>2.9817501439168836E-3</v>
      </c>
      <c r="N14">
        <f t="shared" si="16"/>
        <v>2.9635133599937528E-3</v>
      </c>
      <c r="O14" s="20">
        <f t="shared" si="17"/>
        <v>0.99088814637179745</v>
      </c>
      <c r="P14">
        <f>IF(B14&gt;$AF$2,0,O13*($E$2+IF(E14&lt;=Assumptions!$B$9,$D$2,0))/$I$2*K14)</f>
        <v>50.905073084298856</v>
      </c>
      <c r="Q14">
        <f t="shared" si="18"/>
        <v>26.1</v>
      </c>
      <c r="R14">
        <f>IF(B14&gt;$AF$2,0,IF($Y$2=1,(SUMIF('Mortality Tarif Male'!A:A,E15,'Mortality Tarif Male'!G:G)-SUMIF('Mortality Tarif Male'!A:A,$C$2+$H$2,'Mortality Tarif Male'!G:G)+SUMIF('Mortality Tarif Male'!A:A,$C$2+$H$2,'Mortality Tarif Male'!D:D))/SUMIF('Mortality Tarif Male'!A:A,E15,'Mortality Tarif Male'!D:D),(SUMIF('Mortality Tarif Female'!A:A,E15,'Mortality Tarif Female'!G:G)-SUMIF('Mortality Tarif Female'!A:A,$C$2+$H$2,'Mortality Tarif Female'!G:G)+SUMIF('Mortality Tarif Female'!A:A,$C$2+$H$2,'Mortality Tarif Female'!D:D))/SUMIF('Mortality Tarif Female'!A:A,E15,'Mortality Tarif Female'!D:D)))</f>
        <v>0.49430528196572693</v>
      </c>
      <c r="S14">
        <f>IF(B14&gt;=$AF$2,0,IF($Y$2=1,(SUMIF('Mortality Tarif Male'!A:A,E15+1,'Mortality Tarif Male'!G:G)-SUMIF('Mortality Tarif Male'!A:A,$C$2+$H$2,'Mortality Tarif Male'!G:G)+SUMIF('Mortality Tarif Male'!A:A,$C$2+$H$2,'Mortality Tarif Male'!D:D))/SUMIF('Mortality Tarif Male'!A:A,E15+1,'Mortality Tarif Male'!D:D),(SUMIF('Mortality Tarif Female'!A:A,E15+1,'Mortality Tarif Female'!G:G)-SUMIF('Mortality Tarif Female'!A:A,$C$2+$H$2,'Mortality Tarif Female'!G:G)+SUMIF('Mortality Tarif Female'!A:A,$C$2+$H$2,'Mortality Tarif Female'!D:D))/SUMIF('Mortality Tarif Female'!A:A,E15+1,'Mortality Tarif Female'!D:D)))</f>
        <v>0.51100285398145329</v>
      </c>
      <c r="T14">
        <f t="shared" si="19"/>
        <v>0.58333333333333215</v>
      </c>
      <c r="U14">
        <f t="shared" si="20"/>
        <v>0.50126260363894626</v>
      </c>
      <c r="V14">
        <f t="shared" si="21"/>
        <v>10025.252072778925</v>
      </c>
      <c r="W14">
        <f t="shared" si="7"/>
        <v>13.082953954976498</v>
      </c>
      <c r="X14">
        <f t="shared" si="8"/>
        <v>0</v>
      </c>
      <c r="Y14">
        <f>IF(B14&gt;$AF$2,0,IF(X15=0,0,(1-X15)*($E$2+IF(E14&lt;=Assumptions!$B$9,$D$2,0))/$I$2*1/(1+$AG$2)*1/(1+Assumptions!$B$11)))</f>
        <v>0</v>
      </c>
      <c r="Z14">
        <f>IF(B14&gt;$AF$2,0,IF($Y$2=1,(SUMIF('Mortality Tarif Male'!A:A,E15,'Mortality Tarif Male'!E:E)-SUMIF('Mortality Tarif Male'!A:A,$C$2+$H$2,'Mortality Tarif Male'!E:E))/SUMIF('Mortality Tarif Male'!A:A,E15,'Mortality Tarif Male'!D:D),(SUMIF('Mortality Tarif Female'!A:A,E15,'Mortality Tarif Female'!E:E)-SUMIF('Mortality Tarif Female'!A:A,$C$2+$H$2,'Mortality Tarif Female'!E:E))/SUMIF('Mortality Tarif Female'!A:A,E15,'Mortality Tarif Female'!D:D)))</f>
        <v>14.971801039678217</v>
      </c>
      <c r="AA14">
        <f>IF(B14&gt;=$AF$2,0,IF($Y$2=1,(SUMIF('Mortality Tarif Male'!A:A,E15+1,'Mortality Tarif Male'!E:E)-SUMIF('Mortality Tarif Male'!A:A,$C$2+$H$2,'Mortality Tarif Male'!E:E))/SUMIF('Mortality Tarif Male'!A:A,E15+1,'Mortality Tarif Male'!D:D),(SUMIF('Mortality Tarif Female'!A:A,E15+1,'Mortality Tarif Female'!E:E)-SUMIF('Mortality Tarif Female'!A:A,$C$2+$H$2,'Mortality Tarif Female'!E:E))/SUMIF('Mortality Tarif Female'!A:A,E15+1,'Mortality Tarif Female'!D:D)))</f>
        <v>14.478058988373103</v>
      </c>
      <c r="AB14">
        <f t="shared" si="0"/>
        <v>3556.0365406876722</v>
      </c>
      <c r="AC14">
        <f>IF(B14&gt;=$AF$2,0,MIN(1/3*(V14+W14+Y14-AB14),(V14-AB14),(T14*Z14+(1-T14)*AA14)*$AH$2*Assumptions!$B$22))</f>
        <v>384.89223451279452</v>
      </c>
      <c r="AD14">
        <f t="shared" si="22"/>
        <v>6097.4062515334344</v>
      </c>
      <c r="AE14">
        <f t="shared" si="23"/>
        <v>6482.2984860462293</v>
      </c>
      <c r="AF14">
        <f t="shared" si="24"/>
        <v>6097.4062515334344</v>
      </c>
      <c r="AG14" s="26">
        <v>0</v>
      </c>
      <c r="AH14" s="27">
        <f>IF(B14&gt;$AF$2,0,HLOOKUP(YEAR(A14),Assumptions!$A$34:$AL$37,4,TRUE)/100)</f>
        <v>1.0946000000000001E-2</v>
      </c>
      <c r="AI14">
        <f t="shared" si="25"/>
        <v>0</v>
      </c>
      <c r="AJ14">
        <f t="shared" si="26"/>
        <v>1.2918542038641827</v>
      </c>
      <c r="AK14">
        <f t="shared" si="27"/>
        <v>18.06974488772876</v>
      </c>
      <c r="AL14">
        <f>IF(E14&gt;Assumptions!$B$9,0,SUMPRODUCT($P$2:$X$2,Assumptions!$A$43:$I$43)/$I$2*O13*K14)</f>
        <v>5.5673816598524573</v>
      </c>
      <c r="AM14">
        <f t="shared" si="28"/>
        <v>0</v>
      </c>
      <c r="AN14">
        <f t="shared" si="29"/>
        <v>24.928980751445401</v>
      </c>
      <c r="AO14">
        <f>IF(E14&gt;Assumptions!$B$9,0,($V$2+$X$2)/$I$2*O13*K14*Assumptions!$B$46)</f>
        <v>0</v>
      </c>
      <c r="AP14">
        <f>IF(B14&gt;$AF$2,0,AP13*(1+Assumptions!$B$52)^(1/12))</f>
        <v>1.0024906793143209</v>
      </c>
      <c r="AQ14" s="29">
        <f>IF(B14&gt;$AF$2,0,O13*Assumptions!$B$48/12*AP13+AR14*Assumptions!$B$50/12)</f>
        <v>14.207245406506502</v>
      </c>
      <c r="AR14" s="31">
        <f t="shared" si="30"/>
        <v>6018.4629542881394</v>
      </c>
      <c r="AS14">
        <f t="shared" si="9"/>
        <v>6041.8475782577743</v>
      </c>
      <c r="AT14">
        <f t="shared" si="31"/>
        <v>19.946635381176012</v>
      </c>
      <c r="AU14" s="19">
        <f t="shared" si="32"/>
        <v>6035.2141465847562</v>
      </c>
      <c r="AV14" s="19">
        <f t="shared" si="33"/>
        <v>6036.0793802258549</v>
      </c>
      <c r="AW14">
        <f t="shared" si="34"/>
        <v>-26.488157643278164</v>
      </c>
      <c r="AX14">
        <f>IF(B14&gt;$AF$2,0,HLOOKUP(YEAR(A14),Assumptions!$A$34:$AL$37,2,TRUE)/100)</f>
        <v>1.6946000000000003E-2</v>
      </c>
      <c r="AY14" s="32">
        <f>1/(1+HLOOKUP(YEAR(A14),Assumptions!$A$27:$AL$29,3,TRUE))^(1/12)</f>
        <v>0.99848118442253453</v>
      </c>
      <c r="AZ14" s="30">
        <f t="shared" si="10"/>
        <v>7405.7466016360904</v>
      </c>
      <c r="BA14">
        <f>IF(B14&gt;$AF$2,0,IF($E$2=0,(T14*Z14+(1-T14)*AA14)*$J$2*Assumptions!$B$20,0))</f>
        <v>0</v>
      </c>
    </row>
    <row r="15" spans="1:53" x14ac:dyDescent="0.25">
      <c r="A15" s="17">
        <f t="shared" si="11"/>
        <v>43220</v>
      </c>
      <c r="B15">
        <f t="shared" si="1"/>
        <v>234</v>
      </c>
      <c r="C15">
        <f t="shared" si="2"/>
        <v>19.416666666666668</v>
      </c>
      <c r="D15">
        <f t="shared" si="3"/>
        <v>0</v>
      </c>
      <c r="E15">
        <f t="shared" si="4"/>
        <v>42</v>
      </c>
      <c r="F15">
        <f>IF(C15&gt;=$H$2,0,VLOOKUP($E15,'Mortality Table'!$A$3:$C$128,2+AB$2,FALSE))</f>
        <v>7.203E-4</v>
      </c>
      <c r="G15">
        <f>F15*Assumptions!$B$1</f>
        <v>7.7972475000000002E-4</v>
      </c>
      <c r="H15">
        <f t="shared" si="12"/>
        <v>6.5000295176975698E-5</v>
      </c>
      <c r="I15">
        <f t="shared" si="13"/>
        <v>6.4311997687096893E-5</v>
      </c>
      <c r="J15">
        <f>HLOOKUP(C15,Assumptions!$A$6:$J$7,2,TRUE)</f>
        <v>3.5200000000000002E-2</v>
      </c>
      <c r="K15" s="18">
        <f t="shared" si="5"/>
        <v>1</v>
      </c>
      <c r="L15" s="18">
        <f t="shared" si="14"/>
        <v>8.3333333333333329E-2</v>
      </c>
      <c r="M15" s="18">
        <f t="shared" si="15"/>
        <v>2.9817501439168836E-3</v>
      </c>
      <c r="N15">
        <f t="shared" si="16"/>
        <v>2.9544848487352052E-3</v>
      </c>
      <c r="O15" s="20">
        <f t="shared" si="17"/>
        <v>0.9878693495253752</v>
      </c>
      <c r="P15">
        <f>IF(B15&gt;$AF$2,0,O14*($E$2+IF(E15&lt;=Assumptions!$B$9,$D$2,0))/$I$2*K15)</f>
        <v>50.749987896675549</v>
      </c>
      <c r="Q15">
        <f t="shared" si="18"/>
        <v>26.1</v>
      </c>
      <c r="R15">
        <f>IF(B15&gt;$AF$2,0,IF($Y$2=1,(SUMIF('Mortality Tarif Male'!A:A,E16,'Mortality Tarif Male'!G:G)-SUMIF('Mortality Tarif Male'!A:A,$C$2+$H$2,'Mortality Tarif Male'!G:G)+SUMIF('Mortality Tarif Male'!A:A,$C$2+$H$2,'Mortality Tarif Male'!D:D))/SUMIF('Mortality Tarif Male'!A:A,E16,'Mortality Tarif Male'!D:D),(SUMIF('Mortality Tarif Female'!A:A,E16,'Mortality Tarif Female'!G:G)-SUMIF('Mortality Tarif Female'!A:A,$C$2+$H$2,'Mortality Tarif Female'!G:G)+SUMIF('Mortality Tarif Female'!A:A,$C$2+$H$2,'Mortality Tarif Female'!D:D))/SUMIF('Mortality Tarif Female'!A:A,E16,'Mortality Tarif Female'!D:D)))</f>
        <v>0.49430528196572693</v>
      </c>
      <c r="S15">
        <f>IF(B15&gt;=$AF$2,0,IF($Y$2=1,(SUMIF('Mortality Tarif Male'!A:A,E16+1,'Mortality Tarif Male'!G:G)-SUMIF('Mortality Tarif Male'!A:A,$C$2+$H$2,'Mortality Tarif Male'!G:G)+SUMIF('Mortality Tarif Male'!A:A,$C$2+$H$2,'Mortality Tarif Male'!D:D))/SUMIF('Mortality Tarif Male'!A:A,E16+1,'Mortality Tarif Male'!D:D),(SUMIF('Mortality Tarif Female'!A:A,E16+1,'Mortality Tarif Female'!G:G)-SUMIF('Mortality Tarif Female'!A:A,$C$2+$H$2,'Mortality Tarif Female'!G:G)+SUMIF('Mortality Tarif Female'!A:A,$C$2+$H$2,'Mortality Tarif Female'!D:D))/SUMIF('Mortality Tarif Female'!A:A,E16+1,'Mortality Tarif Female'!D:D)))</f>
        <v>0.51100285398145329</v>
      </c>
      <c r="T15">
        <f t="shared" si="19"/>
        <v>0.5</v>
      </c>
      <c r="U15">
        <f t="shared" si="20"/>
        <v>0.50265406797359014</v>
      </c>
      <c r="V15">
        <f t="shared" si="21"/>
        <v>10053.081359471802</v>
      </c>
      <c r="W15">
        <f t="shared" si="7"/>
        <v>13.119271174110704</v>
      </c>
      <c r="X15">
        <f t="shared" si="8"/>
        <v>0</v>
      </c>
      <c r="Y15">
        <f>IF(B15&gt;$AF$2,0,IF(X16=0,0,(1-X16)*($E$2+IF(E15&lt;=Assumptions!$B$9,$D$2,0))/$I$2*1/(1+$AG$2)*1/(1+Assumptions!$B$11)))</f>
        <v>0</v>
      </c>
      <c r="Z15">
        <f>IF(B15&gt;$AF$2,0,IF($Y$2=1,(SUMIF('Mortality Tarif Male'!A:A,E16,'Mortality Tarif Male'!E:E)-SUMIF('Mortality Tarif Male'!A:A,$C$2+$H$2,'Mortality Tarif Male'!E:E))/SUMIF('Mortality Tarif Male'!A:A,E16,'Mortality Tarif Male'!D:D),(SUMIF('Mortality Tarif Female'!A:A,E16,'Mortality Tarif Female'!E:E)-SUMIF('Mortality Tarif Female'!A:A,$C$2+$H$2,'Mortality Tarif Female'!E:E))/SUMIF('Mortality Tarif Female'!A:A,E16,'Mortality Tarif Female'!D:D)))</f>
        <v>14.971801039678217</v>
      </c>
      <c r="AA15">
        <f>IF(B15&gt;=$AF$2,0,IF($Y$2=1,(SUMIF('Mortality Tarif Male'!A:A,E16+1,'Mortality Tarif Male'!E:E)-SUMIF('Mortality Tarif Male'!A:A,$C$2+$H$2,'Mortality Tarif Male'!E:E))/SUMIF('Mortality Tarif Male'!A:A,E16+1,'Mortality Tarif Male'!D:D),(SUMIF('Mortality Tarif Female'!A:A,E16+1,'Mortality Tarif Female'!E:E)-SUMIF('Mortality Tarif Female'!A:A,$C$2+$H$2,'Mortality Tarif Female'!E:E))/SUMIF('Mortality Tarif Female'!A:A,E16+1,'Mortality Tarif Female'!D:D)))</f>
        <v>14.478058988373103</v>
      </c>
      <c r="AB15">
        <f t="shared" si="0"/>
        <v>3546.1277646920116</v>
      </c>
      <c r="AC15">
        <f>IF(B15&gt;=$AF$2,0,MIN(1/3*(V15+W15+Y15-AB15),(V15-AB15),(T15*Z15+(1-T15)*AA15)*$AH$2*Assumptions!$B$22))</f>
        <v>383.81974527073544</v>
      </c>
      <c r="AD15">
        <f t="shared" si="22"/>
        <v>6136.2531206831663</v>
      </c>
      <c r="AE15">
        <f t="shared" si="23"/>
        <v>6520.0728659539018</v>
      </c>
      <c r="AF15">
        <f t="shared" si="24"/>
        <v>6136.2531206831663</v>
      </c>
      <c r="AG15" s="26">
        <v>0</v>
      </c>
      <c r="AH15" s="27">
        <f>IF(B15&gt;$AF$2,0,HLOOKUP(YEAR(A15),Assumptions!$A$34:$AL$37,4,TRUE)/100)</f>
        <v>1.0946000000000001E-2</v>
      </c>
      <c r="AI15">
        <f t="shared" si="25"/>
        <v>0</v>
      </c>
      <c r="AJ15">
        <f t="shared" si="26"/>
        <v>1.2879184968815709</v>
      </c>
      <c r="AK15">
        <f t="shared" si="27"/>
        <v>18.129466873062537</v>
      </c>
      <c r="AL15">
        <f>IF(E15&gt;Assumptions!$B$9,0,SUMPRODUCT($P$2:$X$2,Assumptions!$A$43:$I$43)/$I$2*O14*K15)</f>
        <v>5.5504203163757682</v>
      </c>
      <c r="AM15">
        <f t="shared" si="28"/>
        <v>0</v>
      </c>
      <c r="AN15">
        <f t="shared" si="29"/>
        <v>24.967805686319874</v>
      </c>
      <c r="AO15">
        <f>IF(E15&gt;Assumptions!$B$9,0,($V$2+$X$2)/$I$2*O14*K15*Assumptions!$B$46)</f>
        <v>0</v>
      </c>
      <c r="AP15">
        <f>IF(B15&gt;$AF$2,0,AP14*(1+Assumptions!$B$52)^(1/12))</f>
        <v>1.003322283542089</v>
      </c>
      <c r="AQ15" s="29">
        <f>IF(B15&gt;$AF$2,0,O14*Assumptions!$B$48/12*AP14+AR15*Assumptions!$B$50/12)</f>
        <v>14.181654399031016</v>
      </c>
      <c r="AR15" s="31">
        <f t="shared" si="30"/>
        <v>6029.6948671251403</v>
      </c>
      <c r="AS15">
        <f t="shared" si="9"/>
        <v>6061.8163788523334</v>
      </c>
      <c r="AT15">
        <f t="shared" si="31"/>
        <v>19.885866827019914</v>
      </c>
      <c r="AU15" s="19">
        <f t="shared" si="32"/>
        <v>6046.3773337957655</v>
      </c>
      <c r="AV15" s="19">
        <f t="shared" si="33"/>
        <v>6056.1830247684184</v>
      </c>
      <c r="AW15">
        <f t="shared" si="34"/>
        <v>-35.40196172574646</v>
      </c>
      <c r="AX15">
        <f>IF(B15&gt;$AF$2,0,HLOOKUP(YEAR(A15),Assumptions!$A$34:$AL$37,2,TRUE)/100)</f>
        <v>1.6946000000000003E-2</v>
      </c>
      <c r="AY15" s="32">
        <f>1/(1+HLOOKUP(YEAR(A15),Assumptions!$A$27:$AL$29,3,TRUE))^(1/12)</f>
        <v>0.99848118442253453</v>
      </c>
      <c r="AZ15" s="30">
        <f t="shared" si="10"/>
        <v>7428.6122023168982</v>
      </c>
      <c r="BA15">
        <f>IF(B15&gt;$AF$2,0,IF($E$2=0,(T15*Z15+(1-T15)*AA15)*$J$2*Assumptions!$B$20,0))</f>
        <v>0</v>
      </c>
    </row>
    <row r="16" spans="1:53" x14ac:dyDescent="0.25">
      <c r="A16" s="17">
        <f t="shared" si="11"/>
        <v>43251</v>
      </c>
      <c r="B16">
        <f t="shared" si="1"/>
        <v>235</v>
      </c>
      <c r="C16">
        <f t="shared" si="2"/>
        <v>19.5</v>
      </c>
      <c r="D16">
        <f t="shared" si="3"/>
        <v>0</v>
      </c>
      <c r="E16">
        <f t="shared" si="4"/>
        <v>42</v>
      </c>
      <c r="F16">
        <f>IF(C16&gt;=$H$2,0,VLOOKUP($E16,'Mortality Table'!$A$3:$C$128,2+AB$2,FALSE))</f>
        <v>7.203E-4</v>
      </c>
      <c r="G16">
        <f>F16*Assumptions!$B$1</f>
        <v>7.7972475000000002E-4</v>
      </c>
      <c r="H16">
        <f t="shared" si="12"/>
        <v>6.5000295176975698E-5</v>
      </c>
      <c r="I16">
        <f t="shared" si="13"/>
        <v>6.4116067544511373E-5</v>
      </c>
      <c r="J16">
        <f>HLOOKUP(C16,Assumptions!$A$6:$J$7,2,TRUE)</f>
        <v>3.5200000000000002E-2</v>
      </c>
      <c r="K16" s="18">
        <f t="shared" si="5"/>
        <v>1</v>
      </c>
      <c r="L16" s="18">
        <f t="shared" si="14"/>
        <v>8.3333333333333329E-2</v>
      </c>
      <c r="M16" s="18">
        <f t="shared" si="15"/>
        <v>2.9817501439168836E-3</v>
      </c>
      <c r="N16">
        <f t="shared" si="16"/>
        <v>2.9454838433474405E-3</v>
      </c>
      <c r="O16" s="20">
        <f t="shared" si="17"/>
        <v>0.98485974961448319</v>
      </c>
      <c r="P16">
        <f>IF(B16&gt;$AF$2,0,O15*($E$2+IF(E16&lt;=Assumptions!$B$9,$D$2,0))/$I$2*K16)</f>
        <v>50.595375184857964</v>
      </c>
      <c r="Q16">
        <f t="shared" si="18"/>
        <v>26.1</v>
      </c>
      <c r="R16">
        <f>IF(B16&gt;$AF$2,0,IF($Y$2=1,(SUMIF('Mortality Tarif Male'!A:A,E17,'Mortality Tarif Male'!G:G)-SUMIF('Mortality Tarif Male'!A:A,$C$2+$H$2,'Mortality Tarif Male'!G:G)+SUMIF('Mortality Tarif Male'!A:A,$C$2+$H$2,'Mortality Tarif Male'!D:D))/SUMIF('Mortality Tarif Male'!A:A,E17,'Mortality Tarif Male'!D:D),(SUMIF('Mortality Tarif Female'!A:A,E17,'Mortality Tarif Female'!G:G)-SUMIF('Mortality Tarif Female'!A:A,$C$2+$H$2,'Mortality Tarif Female'!G:G)+SUMIF('Mortality Tarif Female'!A:A,$C$2+$H$2,'Mortality Tarif Female'!D:D))/SUMIF('Mortality Tarif Female'!A:A,E17,'Mortality Tarif Female'!D:D)))</f>
        <v>0.49430528196572693</v>
      </c>
      <c r="S16">
        <f>IF(B16&gt;=$AF$2,0,IF($Y$2=1,(SUMIF('Mortality Tarif Male'!A:A,E17+1,'Mortality Tarif Male'!G:G)-SUMIF('Mortality Tarif Male'!A:A,$C$2+$H$2,'Mortality Tarif Male'!G:G)+SUMIF('Mortality Tarif Male'!A:A,$C$2+$H$2,'Mortality Tarif Male'!D:D))/SUMIF('Mortality Tarif Male'!A:A,E17+1,'Mortality Tarif Male'!D:D),(SUMIF('Mortality Tarif Female'!A:A,E17+1,'Mortality Tarif Female'!G:G)-SUMIF('Mortality Tarif Female'!A:A,$C$2+$H$2,'Mortality Tarif Female'!G:G)+SUMIF('Mortality Tarif Female'!A:A,$C$2+$H$2,'Mortality Tarif Female'!D:D))/SUMIF('Mortality Tarif Female'!A:A,E17+1,'Mortality Tarif Female'!D:D)))</f>
        <v>0.51100285398145329</v>
      </c>
      <c r="T16">
        <f t="shared" si="19"/>
        <v>0.41666666666666785</v>
      </c>
      <c r="U16">
        <f t="shared" si="20"/>
        <v>0.50404553230823401</v>
      </c>
      <c r="V16">
        <f t="shared" si="21"/>
        <v>10080.910646164681</v>
      </c>
      <c r="W16">
        <f t="shared" si="7"/>
        <v>13.155588393244908</v>
      </c>
      <c r="X16">
        <f t="shared" si="8"/>
        <v>0</v>
      </c>
      <c r="Y16">
        <f>IF(B16&gt;$AF$2,0,IF(X17=0,0,(1-X17)*($E$2+IF(E16&lt;=Assumptions!$B$9,$D$2,0))/$I$2*1/(1+$AG$2)*1/(1+Assumptions!$B$11)))</f>
        <v>0</v>
      </c>
      <c r="Z16">
        <f>IF(B16&gt;$AF$2,0,IF($Y$2=1,(SUMIF('Mortality Tarif Male'!A:A,E17,'Mortality Tarif Male'!E:E)-SUMIF('Mortality Tarif Male'!A:A,$C$2+$H$2,'Mortality Tarif Male'!E:E))/SUMIF('Mortality Tarif Male'!A:A,E17,'Mortality Tarif Male'!D:D),(SUMIF('Mortality Tarif Female'!A:A,E17,'Mortality Tarif Female'!E:E)-SUMIF('Mortality Tarif Female'!A:A,$C$2+$H$2,'Mortality Tarif Female'!E:E))/SUMIF('Mortality Tarif Female'!A:A,E17,'Mortality Tarif Female'!D:D)))</f>
        <v>14.971801039678217</v>
      </c>
      <c r="AA16">
        <f>IF(B16&gt;=$AF$2,0,IF($Y$2=1,(SUMIF('Mortality Tarif Male'!A:A,E17+1,'Mortality Tarif Male'!E:E)-SUMIF('Mortality Tarif Male'!A:A,$C$2+$H$2,'Mortality Tarif Male'!E:E))/SUMIF('Mortality Tarif Male'!A:A,E17+1,'Mortality Tarif Male'!D:D),(SUMIF('Mortality Tarif Female'!A:A,E17+1,'Mortality Tarif Female'!E:E)-SUMIF('Mortality Tarif Female'!A:A,$C$2+$H$2,'Mortality Tarif Female'!E:E))/SUMIF('Mortality Tarif Female'!A:A,E17+1,'Mortality Tarif Female'!D:D)))</f>
        <v>14.478058988373103</v>
      </c>
      <c r="AB16">
        <f t="shared" si="0"/>
        <v>3536.2189886963515</v>
      </c>
      <c r="AC16">
        <f>IF(B16&gt;=$AF$2,0,MIN(1/3*(V16+W16+Y16-AB16),(V16-AB16),(T16*Z16+(1-T16)*AA16)*$AH$2*Assumptions!$B$22))</f>
        <v>382.74725602867642</v>
      </c>
      <c r="AD16">
        <f t="shared" si="22"/>
        <v>6175.0999898328982</v>
      </c>
      <c r="AE16">
        <f t="shared" si="23"/>
        <v>6557.8472458615743</v>
      </c>
      <c r="AF16">
        <f t="shared" si="24"/>
        <v>6175.0999898328982</v>
      </c>
      <c r="AG16" s="26">
        <v>0</v>
      </c>
      <c r="AH16" s="27">
        <f>IF(B16&gt;$AF$2,0,HLOOKUP(YEAR(A16),Assumptions!$A$34:$AL$37,4,TRUE)/100)</f>
        <v>1.0946000000000001E-2</v>
      </c>
      <c r="AI16">
        <f t="shared" si="25"/>
        <v>0</v>
      </c>
      <c r="AJ16">
        <f t="shared" si="26"/>
        <v>1.2839947802531391</v>
      </c>
      <c r="AK16">
        <f t="shared" si="27"/>
        <v>18.188657251107745</v>
      </c>
      <c r="AL16">
        <f>IF(E16&gt;Assumptions!$B$9,0,SUMPRODUCT($P$2:$X$2,Assumptions!$A$43:$I$43)/$I$2*O15*K16)</f>
        <v>5.5335106465924078</v>
      </c>
      <c r="AM16">
        <f t="shared" si="28"/>
        <v>0</v>
      </c>
      <c r="AN16">
        <f t="shared" si="29"/>
        <v>25.006162677953292</v>
      </c>
      <c r="AO16">
        <f>IF(E16&gt;Assumptions!$B$9,0,($V$2+$X$2)/$I$2*O15*K16*Assumptions!$B$46)</f>
        <v>0</v>
      </c>
      <c r="AP16">
        <f>IF(B16&gt;$AF$2,0,AP15*(1+Assumptions!$B$52)^(1/12))</f>
        <v>1.00415457761726</v>
      </c>
      <c r="AQ16" s="29">
        <f>IF(B16&gt;$AF$2,0,O15*Assumptions!$B$48/12*AP15+AR16*Assumptions!$B$50/12)</f>
        <v>14.156072907387507</v>
      </c>
      <c r="AR16" s="31">
        <f t="shared" si="30"/>
        <v>6040.7061898876991</v>
      </c>
      <c r="AS16">
        <f t="shared" si="9"/>
        <v>6081.607429831226</v>
      </c>
      <c r="AT16">
        <f t="shared" si="31"/>
        <v>19.82528340770504</v>
      </c>
      <c r="AU16" s="19">
        <f t="shared" si="32"/>
        <v>6057.3202087574655</v>
      </c>
      <c r="AV16" s="19">
        <f t="shared" si="33"/>
        <v>6076.1081516134454</v>
      </c>
      <c r="AW16">
        <f t="shared" si="34"/>
        <v>-44.357634405923761</v>
      </c>
      <c r="AX16">
        <f>IF(B16&gt;$AF$2,0,HLOOKUP(YEAR(A16),Assumptions!$A$34:$AL$37,2,TRUE)/100)</f>
        <v>1.6946000000000003E-2</v>
      </c>
      <c r="AY16" s="32">
        <f>1/(1+HLOOKUP(YEAR(A16),Assumptions!$A$27:$AL$29,3,TRUE))^(1/12)</f>
        <v>0.99848118442253453</v>
      </c>
      <c r="AZ16" s="30">
        <f t="shared" si="10"/>
        <v>7451.345196243019</v>
      </c>
      <c r="BA16">
        <f>IF(B16&gt;$AF$2,0,IF($E$2=0,(T16*Z16+(1-T16)*AA16)*$J$2*Assumptions!$B$20,0))</f>
        <v>0</v>
      </c>
    </row>
    <row r="17" spans="1:53" x14ac:dyDescent="0.25">
      <c r="A17" s="17">
        <f t="shared" si="11"/>
        <v>43281</v>
      </c>
      <c r="B17">
        <f t="shared" si="1"/>
        <v>236</v>
      </c>
      <c r="C17">
        <f t="shared" si="2"/>
        <v>19.583333333333332</v>
      </c>
      <c r="D17">
        <f t="shared" si="3"/>
        <v>0</v>
      </c>
      <c r="E17">
        <f t="shared" si="4"/>
        <v>42</v>
      </c>
      <c r="F17">
        <f>IF(C17&gt;=$H$2,0,VLOOKUP($E17,'Mortality Table'!$A$3:$C$128,2+AB$2,FALSE))</f>
        <v>7.203E-4</v>
      </c>
      <c r="G17">
        <f>F17*Assumptions!$B$1</f>
        <v>7.7972475000000002E-4</v>
      </c>
      <c r="H17">
        <f t="shared" si="12"/>
        <v>6.5000295176975698E-5</v>
      </c>
      <c r="I17">
        <f t="shared" si="13"/>
        <v>6.3920734314199695E-5</v>
      </c>
      <c r="J17">
        <f>HLOOKUP(C17,Assumptions!$A$6:$J$7,2,TRUE)</f>
        <v>3.5200000000000002E-2</v>
      </c>
      <c r="K17" s="18">
        <f t="shared" si="5"/>
        <v>1</v>
      </c>
      <c r="L17" s="18">
        <f t="shared" si="14"/>
        <v>8.3333333333333329E-2</v>
      </c>
      <c r="M17" s="18">
        <f t="shared" si="15"/>
        <v>2.9817501439168836E-3</v>
      </c>
      <c r="N17">
        <f t="shared" si="16"/>
        <v>2.9365102600322672E-3</v>
      </c>
      <c r="O17" s="20">
        <f t="shared" si="17"/>
        <v>0.98185931862013676</v>
      </c>
      <c r="P17">
        <f>IF(B17&gt;$AF$2,0,O16*($E$2+IF(E17&lt;=Assumptions!$B$9,$D$2,0))/$I$2*K17)</f>
        <v>50.441233509421778</v>
      </c>
      <c r="Q17">
        <f t="shared" si="18"/>
        <v>26.1</v>
      </c>
      <c r="R17">
        <f>IF(B17&gt;$AF$2,0,IF($Y$2=1,(SUMIF('Mortality Tarif Male'!A:A,E18,'Mortality Tarif Male'!G:G)-SUMIF('Mortality Tarif Male'!A:A,$C$2+$H$2,'Mortality Tarif Male'!G:G)+SUMIF('Mortality Tarif Male'!A:A,$C$2+$H$2,'Mortality Tarif Male'!D:D))/SUMIF('Mortality Tarif Male'!A:A,E18,'Mortality Tarif Male'!D:D),(SUMIF('Mortality Tarif Female'!A:A,E18,'Mortality Tarif Female'!G:G)-SUMIF('Mortality Tarif Female'!A:A,$C$2+$H$2,'Mortality Tarif Female'!G:G)+SUMIF('Mortality Tarif Female'!A:A,$C$2+$H$2,'Mortality Tarif Female'!D:D))/SUMIF('Mortality Tarif Female'!A:A,E18,'Mortality Tarif Female'!D:D)))</f>
        <v>0.49430528196572693</v>
      </c>
      <c r="S17">
        <f>IF(B17&gt;=$AF$2,0,IF($Y$2=1,(SUMIF('Mortality Tarif Male'!A:A,E18+1,'Mortality Tarif Male'!G:G)-SUMIF('Mortality Tarif Male'!A:A,$C$2+$H$2,'Mortality Tarif Male'!G:G)+SUMIF('Mortality Tarif Male'!A:A,$C$2+$H$2,'Mortality Tarif Male'!D:D))/SUMIF('Mortality Tarif Male'!A:A,E18+1,'Mortality Tarif Male'!D:D),(SUMIF('Mortality Tarif Female'!A:A,E18+1,'Mortality Tarif Female'!G:G)-SUMIF('Mortality Tarif Female'!A:A,$C$2+$H$2,'Mortality Tarif Female'!G:G)+SUMIF('Mortality Tarif Female'!A:A,$C$2+$H$2,'Mortality Tarif Female'!D:D))/SUMIF('Mortality Tarif Female'!A:A,E18+1,'Mortality Tarif Female'!D:D)))</f>
        <v>0.51100285398145329</v>
      </c>
      <c r="T17">
        <f t="shared" si="19"/>
        <v>0.33333333333333215</v>
      </c>
      <c r="U17">
        <f t="shared" si="20"/>
        <v>0.50543699664287778</v>
      </c>
      <c r="V17">
        <f t="shared" si="21"/>
        <v>10108.739932857556</v>
      </c>
      <c r="W17">
        <f t="shared" si="7"/>
        <v>13.191905612379111</v>
      </c>
      <c r="X17">
        <f t="shared" si="8"/>
        <v>0</v>
      </c>
      <c r="Y17">
        <f>IF(B17&gt;$AF$2,0,IF(X18=0,0,(1-X18)*($E$2+IF(E17&lt;=Assumptions!$B$9,$D$2,0))/$I$2*1/(1+$AG$2)*1/(1+Assumptions!$B$11)))</f>
        <v>0</v>
      </c>
      <c r="Z17">
        <f>IF(B17&gt;$AF$2,0,IF($Y$2=1,(SUMIF('Mortality Tarif Male'!A:A,E18,'Mortality Tarif Male'!E:E)-SUMIF('Mortality Tarif Male'!A:A,$C$2+$H$2,'Mortality Tarif Male'!E:E))/SUMIF('Mortality Tarif Male'!A:A,E18,'Mortality Tarif Male'!D:D),(SUMIF('Mortality Tarif Female'!A:A,E18,'Mortality Tarif Female'!E:E)-SUMIF('Mortality Tarif Female'!A:A,$C$2+$H$2,'Mortality Tarif Female'!E:E))/SUMIF('Mortality Tarif Female'!A:A,E18,'Mortality Tarif Female'!D:D)))</f>
        <v>14.971801039678217</v>
      </c>
      <c r="AA17">
        <f>IF(B17&gt;=$AF$2,0,IF($Y$2=1,(SUMIF('Mortality Tarif Male'!A:A,E18+1,'Mortality Tarif Male'!E:E)-SUMIF('Mortality Tarif Male'!A:A,$C$2+$H$2,'Mortality Tarif Male'!E:E))/SUMIF('Mortality Tarif Male'!A:A,E18+1,'Mortality Tarif Male'!D:D),(SUMIF('Mortality Tarif Female'!A:A,E18+1,'Mortality Tarif Female'!E:E)-SUMIF('Mortality Tarif Female'!A:A,$C$2+$H$2,'Mortality Tarif Female'!E:E))/SUMIF('Mortality Tarif Female'!A:A,E18+1,'Mortality Tarif Female'!D:D)))</f>
        <v>14.478058988373103</v>
      </c>
      <c r="AB17">
        <f t="shared" si="0"/>
        <v>3526.310212700691</v>
      </c>
      <c r="AC17">
        <f>IF(B17&gt;=$AF$2,0,MIN(1/3*(V17+W17+Y17-AB17),(V17-AB17),(T17*Z17+(1-T17)*AA17)*$AH$2*Assumptions!$B$22))</f>
        <v>381.67476678661734</v>
      </c>
      <c r="AD17">
        <f t="shared" si="22"/>
        <v>6213.9468589826256</v>
      </c>
      <c r="AE17">
        <f t="shared" si="23"/>
        <v>6595.6216257692431</v>
      </c>
      <c r="AF17">
        <f t="shared" si="24"/>
        <v>6213.9468589826256</v>
      </c>
      <c r="AG17" s="26">
        <v>0</v>
      </c>
      <c r="AH17" s="27">
        <f>IF(B17&gt;$AF$2,0,HLOOKUP(YEAR(A17),Assumptions!$A$34:$AL$37,4,TRUE)/100)</f>
        <v>1.0946000000000001E-2</v>
      </c>
      <c r="AI17">
        <f t="shared" si="25"/>
        <v>0</v>
      </c>
      <c r="AJ17">
        <f t="shared" si="26"/>
        <v>1.2800830174495945</v>
      </c>
      <c r="AK17">
        <f t="shared" si="27"/>
        <v>18.247318706697762</v>
      </c>
      <c r="AL17">
        <f>IF(E17&gt;Assumptions!$B$9,0,SUMPRODUCT($P$2:$X$2,Assumptions!$A$43:$I$43)/$I$2*O16*K17)</f>
        <v>5.5166524930755427</v>
      </c>
      <c r="AM17">
        <f t="shared" si="28"/>
        <v>0</v>
      </c>
      <c r="AN17">
        <f t="shared" si="29"/>
        <v>25.0440542172229</v>
      </c>
      <c r="AO17">
        <f>IF(E17&gt;Assumptions!$B$9,0,($V$2+$X$2)/$I$2*O16*K17*Assumptions!$B$46)</f>
        <v>0</v>
      </c>
      <c r="AP17">
        <f>IF(B17&gt;$AF$2,0,AP16*(1+Assumptions!$B$52)^(1/12))</f>
        <v>1.0049875621120887</v>
      </c>
      <c r="AQ17" s="29">
        <f>IF(B17&gt;$AF$2,0,O16*Assumptions!$B$48/12*AP16+AR17*Assumptions!$B$50/12)</f>
        <v>14.130501059154067</v>
      </c>
      <c r="AR17" s="31">
        <f t="shared" si="30"/>
        <v>6051.4980274914342</v>
      </c>
      <c r="AS17">
        <f t="shared" si="9"/>
        <v>6101.22162890242</v>
      </c>
      <c r="AT17">
        <f t="shared" si="31"/>
        <v>19.764884559207612</v>
      </c>
      <c r="AU17" s="19">
        <f t="shared" si="32"/>
        <v>6068.0438753824947</v>
      </c>
      <c r="AV17" s="19">
        <f t="shared" si="33"/>
        <v>6095.855661897358</v>
      </c>
      <c r="AW17">
        <f t="shared" si="34"/>
        <v>-53.354972944754863</v>
      </c>
      <c r="AX17">
        <f>IF(B17&gt;$AF$2,0,HLOOKUP(YEAR(A17),Assumptions!$A$34:$AL$37,2,TRUE)/100)</f>
        <v>1.6946000000000003E-2</v>
      </c>
      <c r="AY17" s="32">
        <f>1/(1+HLOOKUP(YEAR(A17),Assumptions!$A$27:$AL$29,3,TRUE))^(1/12)</f>
        <v>0.99848118442253453</v>
      </c>
      <c r="AZ17" s="30">
        <f t="shared" si="10"/>
        <v>7473.9463085482212</v>
      </c>
      <c r="BA17">
        <f>IF(B17&gt;$AF$2,0,IF($E$2=0,(T17*Z17+(1-T17)*AA17)*$J$2*Assumptions!$B$20,0))</f>
        <v>0</v>
      </c>
    </row>
    <row r="18" spans="1:53" x14ac:dyDescent="0.25">
      <c r="A18" s="17">
        <f t="shared" si="11"/>
        <v>43312</v>
      </c>
      <c r="B18">
        <f t="shared" si="1"/>
        <v>237</v>
      </c>
      <c r="C18">
        <f t="shared" si="2"/>
        <v>19.666666666666668</v>
      </c>
      <c r="D18">
        <f t="shared" si="3"/>
        <v>0</v>
      </c>
      <c r="E18">
        <f t="shared" si="4"/>
        <v>42</v>
      </c>
      <c r="F18">
        <f>IF(C18&gt;=$H$2,0,VLOOKUP($E18,'Mortality Table'!$A$3:$C$128,2+AB$2,FALSE))</f>
        <v>7.203E-4</v>
      </c>
      <c r="G18">
        <f>F18*Assumptions!$B$1</f>
        <v>7.7972475000000002E-4</v>
      </c>
      <c r="H18">
        <f t="shared" si="12"/>
        <v>6.5000295176975698E-5</v>
      </c>
      <c r="I18">
        <f t="shared" si="13"/>
        <v>6.3725996177634771E-5</v>
      </c>
      <c r="J18">
        <f>HLOOKUP(C18,Assumptions!$A$6:$J$7,2,TRUE)</f>
        <v>3.5200000000000002E-2</v>
      </c>
      <c r="K18" s="18">
        <f t="shared" si="5"/>
        <v>1</v>
      </c>
      <c r="L18" s="18">
        <f t="shared" si="14"/>
        <v>8.3333333333333329E-2</v>
      </c>
      <c r="M18" s="18">
        <f t="shared" si="15"/>
        <v>2.9817501439168836E-3</v>
      </c>
      <c r="N18">
        <f t="shared" si="16"/>
        <v>2.9275640152467875E-3</v>
      </c>
      <c r="O18" s="20">
        <f t="shared" si="17"/>
        <v>0.97886802860871236</v>
      </c>
      <c r="P18">
        <f>IF(B18&gt;$AF$2,0,O17*($E$2+IF(E18&lt;=Assumptions!$B$9,$D$2,0))/$I$2*K18)</f>
        <v>50.287561435328001</v>
      </c>
      <c r="Q18">
        <f t="shared" si="18"/>
        <v>26.1</v>
      </c>
      <c r="R18">
        <f>IF(B18&gt;$AF$2,0,IF($Y$2=1,(SUMIF('Mortality Tarif Male'!A:A,E19,'Mortality Tarif Male'!G:G)-SUMIF('Mortality Tarif Male'!A:A,$C$2+$H$2,'Mortality Tarif Male'!G:G)+SUMIF('Mortality Tarif Male'!A:A,$C$2+$H$2,'Mortality Tarif Male'!D:D))/SUMIF('Mortality Tarif Male'!A:A,E19,'Mortality Tarif Male'!D:D),(SUMIF('Mortality Tarif Female'!A:A,E19,'Mortality Tarif Female'!G:G)-SUMIF('Mortality Tarif Female'!A:A,$C$2+$H$2,'Mortality Tarif Female'!G:G)+SUMIF('Mortality Tarif Female'!A:A,$C$2+$H$2,'Mortality Tarif Female'!D:D))/SUMIF('Mortality Tarif Female'!A:A,E19,'Mortality Tarif Female'!D:D)))</f>
        <v>0.49430528196572693</v>
      </c>
      <c r="S18">
        <f>IF(B18&gt;=$AF$2,0,IF($Y$2=1,(SUMIF('Mortality Tarif Male'!A:A,E19+1,'Mortality Tarif Male'!G:G)-SUMIF('Mortality Tarif Male'!A:A,$C$2+$H$2,'Mortality Tarif Male'!G:G)+SUMIF('Mortality Tarif Male'!A:A,$C$2+$H$2,'Mortality Tarif Male'!D:D))/SUMIF('Mortality Tarif Male'!A:A,E19+1,'Mortality Tarif Male'!D:D),(SUMIF('Mortality Tarif Female'!A:A,E19+1,'Mortality Tarif Female'!G:G)-SUMIF('Mortality Tarif Female'!A:A,$C$2+$H$2,'Mortality Tarif Female'!G:G)+SUMIF('Mortality Tarif Female'!A:A,$C$2+$H$2,'Mortality Tarif Female'!D:D))/SUMIF('Mortality Tarif Female'!A:A,E19+1,'Mortality Tarif Female'!D:D)))</f>
        <v>0.51100285398145329</v>
      </c>
      <c r="T18">
        <f t="shared" si="19"/>
        <v>0.25</v>
      </c>
      <c r="U18">
        <f t="shared" si="20"/>
        <v>0.50682846097752166</v>
      </c>
      <c r="V18">
        <f t="shared" si="21"/>
        <v>10136.569219550433</v>
      </c>
      <c r="W18">
        <f t="shared" si="7"/>
        <v>13.228222831513316</v>
      </c>
      <c r="X18">
        <f t="shared" si="8"/>
        <v>0</v>
      </c>
      <c r="Y18">
        <f>IF(B18&gt;$AF$2,0,IF(X19=0,0,(1-X19)*($E$2+IF(E18&lt;=Assumptions!$B$9,$D$2,0))/$I$2*1/(1+$AG$2)*1/(1+Assumptions!$B$11)))</f>
        <v>0</v>
      </c>
      <c r="Z18">
        <f>IF(B18&gt;$AF$2,0,IF($Y$2=1,(SUMIF('Mortality Tarif Male'!A:A,E19,'Mortality Tarif Male'!E:E)-SUMIF('Mortality Tarif Male'!A:A,$C$2+$H$2,'Mortality Tarif Male'!E:E))/SUMIF('Mortality Tarif Male'!A:A,E19,'Mortality Tarif Male'!D:D),(SUMIF('Mortality Tarif Female'!A:A,E19,'Mortality Tarif Female'!E:E)-SUMIF('Mortality Tarif Female'!A:A,$C$2+$H$2,'Mortality Tarif Female'!E:E))/SUMIF('Mortality Tarif Female'!A:A,E19,'Mortality Tarif Female'!D:D)))</f>
        <v>14.971801039678217</v>
      </c>
      <c r="AA18">
        <f>IF(B18&gt;=$AF$2,0,IF($Y$2=1,(SUMIF('Mortality Tarif Male'!A:A,E19+1,'Mortality Tarif Male'!E:E)-SUMIF('Mortality Tarif Male'!A:A,$C$2+$H$2,'Mortality Tarif Male'!E:E))/SUMIF('Mortality Tarif Male'!A:A,E19+1,'Mortality Tarif Male'!D:D),(SUMIF('Mortality Tarif Female'!A:A,E19+1,'Mortality Tarif Female'!E:E)-SUMIF('Mortality Tarif Female'!A:A,$C$2+$H$2,'Mortality Tarif Female'!E:E))/SUMIF('Mortality Tarif Female'!A:A,E19+1,'Mortality Tarif Female'!D:D)))</f>
        <v>14.478058988373103</v>
      </c>
      <c r="AB18">
        <f t="shared" si="0"/>
        <v>3516.4014367050308</v>
      </c>
      <c r="AC18">
        <f>IF(B18&gt;=$AF$2,0,MIN(1/3*(V18+W18+Y18-AB18),(V18-AB18),(T18*Z18+(1-T18)*AA18)*$AH$2*Assumptions!$B$22))</f>
        <v>380.60227754455826</v>
      </c>
      <c r="AD18">
        <f t="shared" si="22"/>
        <v>6252.7937281323557</v>
      </c>
      <c r="AE18">
        <f t="shared" si="23"/>
        <v>6633.3960056769138</v>
      </c>
      <c r="AF18">
        <f t="shared" si="24"/>
        <v>6252.7937281323557</v>
      </c>
      <c r="AG18" s="26">
        <v>0</v>
      </c>
      <c r="AH18" s="27">
        <f>IF(B18&gt;$AF$2,0,HLOOKUP(YEAR(A18),Assumptions!$A$34:$AL$37,4,TRUE)/100)</f>
        <v>1.0946000000000001E-2</v>
      </c>
      <c r="AI18">
        <f t="shared" si="25"/>
        <v>0</v>
      </c>
      <c r="AJ18">
        <f t="shared" si="26"/>
        <v>1.2761831720529315</v>
      </c>
      <c r="AK18">
        <f t="shared" si="27"/>
        <v>18.305453913241088</v>
      </c>
      <c r="AL18">
        <f>IF(E18&gt;Assumptions!$B$9,0,SUMPRODUCT($P$2:$X$2,Assumptions!$A$43:$I$43)/$I$2*O17*K18)</f>
        <v>5.4998456988779507</v>
      </c>
      <c r="AM18">
        <f t="shared" si="28"/>
        <v>0</v>
      </c>
      <c r="AN18">
        <f t="shared" si="29"/>
        <v>25.081482784171971</v>
      </c>
      <c r="AO18">
        <f>IF(E18&gt;Assumptions!$B$9,0,($V$2+$X$2)/$I$2*O17*K18*Assumptions!$B$46)</f>
        <v>0</v>
      </c>
      <c r="AP18">
        <f>IF(B18&gt;$AF$2,0,AP17*(1+Assumptions!$B$52)^(1/12))</f>
        <v>1.0058212375993045</v>
      </c>
      <c r="AQ18" s="29">
        <f>IF(B18&gt;$AF$2,0,O17*Assumptions!$B$48/12*AP17+AR18*Assumptions!$B$50/12)</f>
        <v>14.104938981040418</v>
      </c>
      <c r="AR18" s="31">
        <f t="shared" si="30"/>
        <v>6062.0714799780089</v>
      </c>
      <c r="AS18">
        <f t="shared" si="9"/>
        <v>6120.6598699538399</v>
      </c>
      <c r="AT18">
        <f t="shared" si="31"/>
        <v>19.704669719222181</v>
      </c>
      <c r="AU18" s="19">
        <f t="shared" si="32"/>
        <v>6078.5494327130746</v>
      </c>
      <c r="AV18" s="19">
        <f t="shared" si="33"/>
        <v>6115.4264529227639</v>
      </c>
      <c r="AW18">
        <f t="shared" si="34"/>
        <v>-62.39377563914428</v>
      </c>
      <c r="AX18">
        <f>IF(B18&gt;$AF$2,0,HLOOKUP(YEAR(A18),Assumptions!$A$34:$AL$37,2,TRUE)/100)</f>
        <v>1.6946000000000003E-2</v>
      </c>
      <c r="AY18" s="32">
        <f>1/(1+HLOOKUP(YEAR(A18),Assumptions!$A$27:$AL$29,3,TRUE))^(1/12)</f>
        <v>0.99848118442253453</v>
      </c>
      <c r="AZ18" s="30">
        <f t="shared" si="10"/>
        <v>7496.4162614274992</v>
      </c>
      <c r="BA18">
        <f>IF(B18&gt;$AF$2,0,IF($E$2=0,(T18*Z18+(1-T18)*AA18)*$J$2*Assumptions!$B$20,0))</f>
        <v>0</v>
      </c>
    </row>
    <row r="19" spans="1:53" x14ac:dyDescent="0.25">
      <c r="A19" s="17">
        <f t="shared" si="11"/>
        <v>43343</v>
      </c>
      <c r="B19">
        <f t="shared" si="1"/>
        <v>238</v>
      </c>
      <c r="C19">
        <f t="shared" si="2"/>
        <v>19.75</v>
      </c>
      <c r="D19">
        <f t="shared" si="3"/>
        <v>0</v>
      </c>
      <c r="E19">
        <f t="shared" si="4"/>
        <v>42</v>
      </c>
      <c r="F19">
        <f>IF(C19&gt;=$H$2,0,VLOOKUP($E19,'Mortality Table'!$A$3:$C$128,2+AB$2,FALSE))</f>
        <v>7.203E-4</v>
      </c>
      <c r="G19">
        <f>F19*Assumptions!$B$1</f>
        <v>7.7972475000000002E-4</v>
      </c>
      <c r="H19">
        <f t="shared" si="12"/>
        <v>6.5000295176975698E-5</v>
      </c>
      <c r="I19">
        <f t="shared" si="13"/>
        <v>6.3531851321829857E-5</v>
      </c>
      <c r="J19">
        <f>HLOOKUP(C19,Assumptions!$A$6:$J$7,2,TRUE)</f>
        <v>3.5200000000000002E-2</v>
      </c>
      <c r="K19" s="18">
        <f t="shared" si="5"/>
        <v>1</v>
      </c>
      <c r="L19" s="18">
        <f t="shared" si="14"/>
        <v>8.3333333333333329E-2</v>
      </c>
      <c r="M19" s="18">
        <f t="shared" si="15"/>
        <v>2.9817501439168836E-3</v>
      </c>
      <c r="N19">
        <f t="shared" si="16"/>
        <v>2.9186450257026237E-3</v>
      </c>
      <c r="O19" s="20">
        <f t="shared" si="17"/>
        <v>0.97588585173168796</v>
      </c>
      <c r="P19">
        <f>IF(B19&gt;$AF$2,0,O18*($E$2+IF(E19&lt;=Assumptions!$B$9,$D$2,0))/$I$2*K19)</f>
        <v>50.134357531909551</v>
      </c>
      <c r="Q19">
        <f t="shared" si="18"/>
        <v>26.1</v>
      </c>
      <c r="R19">
        <f>IF(B19&gt;$AF$2,0,IF($Y$2=1,(SUMIF('Mortality Tarif Male'!A:A,E20,'Mortality Tarif Male'!G:G)-SUMIF('Mortality Tarif Male'!A:A,$C$2+$H$2,'Mortality Tarif Male'!G:G)+SUMIF('Mortality Tarif Male'!A:A,$C$2+$H$2,'Mortality Tarif Male'!D:D))/SUMIF('Mortality Tarif Male'!A:A,E20,'Mortality Tarif Male'!D:D),(SUMIF('Mortality Tarif Female'!A:A,E20,'Mortality Tarif Female'!G:G)-SUMIF('Mortality Tarif Female'!A:A,$C$2+$H$2,'Mortality Tarif Female'!G:G)+SUMIF('Mortality Tarif Female'!A:A,$C$2+$H$2,'Mortality Tarif Female'!D:D))/SUMIF('Mortality Tarif Female'!A:A,E20,'Mortality Tarif Female'!D:D)))</f>
        <v>0.49430528196572693</v>
      </c>
      <c r="S19">
        <f>IF(B19&gt;=$AF$2,0,IF($Y$2=1,(SUMIF('Mortality Tarif Male'!A:A,E20+1,'Mortality Tarif Male'!G:G)-SUMIF('Mortality Tarif Male'!A:A,$C$2+$H$2,'Mortality Tarif Male'!G:G)+SUMIF('Mortality Tarif Male'!A:A,$C$2+$H$2,'Mortality Tarif Male'!D:D))/SUMIF('Mortality Tarif Male'!A:A,E20+1,'Mortality Tarif Male'!D:D),(SUMIF('Mortality Tarif Female'!A:A,E20+1,'Mortality Tarif Female'!G:G)-SUMIF('Mortality Tarif Female'!A:A,$C$2+$H$2,'Mortality Tarif Female'!G:G)+SUMIF('Mortality Tarif Female'!A:A,$C$2+$H$2,'Mortality Tarif Female'!D:D))/SUMIF('Mortality Tarif Female'!A:A,E20+1,'Mortality Tarif Female'!D:D)))</f>
        <v>0.51100285398145329</v>
      </c>
      <c r="T19">
        <f t="shared" si="19"/>
        <v>0.16666666666666785</v>
      </c>
      <c r="U19">
        <f t="shared" si="20"/>
        <v>0.50821992531216553</v>
      </c>
      <c r="V19">
        <f t="shared" si="21"/>
        <v>10164.398506243311</v>
      </c>
      <c r="W19">
        <f t="shared" si="7"/>
        <v>13.264540050647522</v>
      </c>
      <c r="X19">
        <f t="shared" si="8"/>
        <v>0</v>
      </c>
      <c r="Y19">
        <f>IF(B19&gt;$AF$2,0,IF(X20=0,0,(1-X20)*($E$2+IF(E19&lt;=Assumptions!$B$9,$D$2,0))/$I$2*1/(1+$AG$2)*1/(1+Assumptions!$B$11)))</f>
        <v>0</v>
      </c>
      <c r="Z19">
        <f>IF(B19&gt;$AF$2,0,IF($Y$2=1,(SUMIF('Mortality Tarif Male'!A:A,E20,'Mortality Tarif Male'!E:E)-SUMIF('Mortality Tarif Male'!A:A,$C$2+$H$2,'Mortality Tarif Male'!E:E))/SUMIF('Mortality Tarif Male'!A:A,E20,'Mortality Tarif Male'!D:D),(SUMIF('Mortality Tarif Female'!A:A,E20,'Mortality Tarif Female'!E:E)-SUMIF('Mortality Tarif Female'!A:A,$C$2+$H$2,'Mortality Tarif Female'!E:E))/SUMIF('Mortality Tarif Female'!A:A,E20,'Mortality Tarif Female'!D:D)))</f>
        <v>14.971801039678217</v>
      </c>
      <c r="AA19">
        <f>IF(B19&gt;=$AF$2,0,IF($Y$2=1,(SUMIF('Mortality Tarif Male'!A:A,E20+1,'Mortality Tarif Male'!E:E)-SUMIF('Mortality Tarif Male'!A:A,$C$2+$H$2,'Mortality Tarif Male'!E:E))/SUMIF('Mortality Tarif Male'!A:A,E20+1,'Mortality Tarif Male'!D:D),(SUMIF('Mortality Tarif Female'!A:A,E20+1,'Mortality Tarif Female'!E:E)-SUMIF('Mortality Tarif Female'!A:A,$C$2+$H$2,'Mortality Tarif Female'!E:E))/SUMIF('Mortality Tarif Female'!A:A,E20+1,'Mortality Tarif Female'!D:D)))</f>
        <v>14.478058988373103</v>
      </c>
      <c r="AB19">
        <f t="shared" si="0"/>
        <v>3506.4926607093707</v>
      </c>
      <c r="AC19">
        <f>IF(B19&gt;=$AF$2,0,MIN(1/3*(V19+W19+Y19-AB19),(V19-AB19),(T19*Z19+(1-T19)*AA19)*$AH$2*Assumptions!$B$22))</f>
        <v>379.52978830249924</v>
      </c>
      <c r="AD19">
        <f t="shared" si="22"/>
        <v>6291.6405972820885</v>
      </c>
      <c r="AE19">
        <f t="shared" si="23"/>
        <v>6671.1703855845881</v>
      </c>
      <c r="AF19">
        <f t="shared" si="24"/>
        <v>6291.6405972820885</v>
      </c>
      <c r="AG19" s="26">
        <v>0</v>
      </c>
      <c r="AH19" s="27">
        <f>IF(B19&gt;$AF$2,0,HLOOKUP(YEAR(A19),Assumptions!$A$34:$AL$37,4,TRUE)/100)</f>
        <v>1.0946000000000001E-2</v>
      </c>
      <c r="AI19">
        <f t="shared" si="25"/>
        <v>0</v>
      </c>
      <c r="AJ19">
        <f t="shared" si="26"/>
        <v>1.2722952077560967</v>
      </c>
      <c r="AK19">
        <f t="shared" si="27"/>
        <v>18.363065532766051</v>
      </c>
      <c r="AL19">
        <f>IF(E19&gt;Assumptions!$B$9,0,SUMPRODUCT($P$2:$X$2,Assumptions!$A$43:$I$43)/$I$2*O18*K19)</f>
        <v>5.4830901075305576</v>
      </c>
      <c r="AM19">
        <f t="shared" si="28"/>
        <v>0</v>
      </c>
      <c r="AN19">
        <f t="shared" si="29"/>
        <v>25.118450848052706</v>
      </c>
      <c r="AO19">
        <f>IF(E19&gt;Assumptions!$B$9,0,($V$2+$X$2)/$I$2*O18*K19*Assumptions!$B$46)</f>
        <v>0</v>
      </c>
      <c r="AP19">
        <f>IF(B19&gt;$AF$2,0,AP18*(1+Assumptions!$B$52)^(1/12))</f>
        <v>1.006655604652112</v>
      </c>
      <c r="AQ19" s="29">
        <f>IF(B19&gt;$AF$2,0,O18*Assumptions!$B$48/12*AP18+AR19*Assumptions!$B$50/12)</f>
        <v>14.079386798891846</v>
      </c>
      <c r="AR19" s="31">
        <f t="shared" si="30"/>
        <v>6072.4276425343223</v>
      </c>
      <c r="AS19">
        <f t="shared" si="9"/>
        <v>6139.9230430682965</v>
      </c>
      <c r="AT19">
        <f t="shared" si="31"/>
        <v>19.6446383271564</v>
      </c>
      <c r="AU19" s="19">
        <f t="shared" si="32"/>
        <v>6088.8379749401838</v>
      </c>
      <c r="AV19" s="19">
        <f t="shared" si="33"/>
        <v>6134.8214181734666</v>
      </c>
      <c r="AW19">
        <f t="shared" si="34"/>
        <v>-71.473841817790913</v>
      </c>
      <c r="AX19">
        <f>IF(B19&gt;$AF$2,0,HLOOKUP(YEAR(A19),Assumptions!$A$34:$AL$37,2,TRUE)/100)</f>
        <v>1.6946000000000003E-2</v>
      </c>
      <c r="AY19" s="32">
        <f>1/(1+HLOOKUP(YEAR(A19),Assumptions!$A$27:$AL$29,3,TRUE))^(1/12)</f>
        <v>0.99848118442253453</v>
      </c>
      <c r="AZ19" s="30">
        <f t="shared" si="10"/>
        <v>7518.7557741486353</v>
      </c>
      <c r="BA19">
        <f>IF(B19&gt;$AF$2,0,IF($E$2=0,(T19*Z19+(1-T19)*AA19)*$J$2*Assumptions!$B$20,0))</f>
        <v>0</v>
      </c>
    </row>
    <row r="20" spans="1:53" x14ac:dyDescent="0.25">
      <c r="A20" s="17">
        <f t="shared" si="11"/>
        <v>43373</v>
      </c>
      <c r="B20">
        <f t="shared" si="1"/>
        <v>239</v>
      </c>
      <c r="C20">
        <f t="shared" si="2"/>
        <v>19.833333333333332</v>
      </c>
      <c r="D20">
        <f t="shared" si="3"/>
        <v>0</v>
      </c>
      <c r="E20">
        <f t="shared" si="4"/>
        <v>42</v>
      </c>
      <c r="F20">
        <f>IF(C20&gt;=$H$2,0,VLOOKUP($E20,'Mortality Table'!$A$3:$C$128,2+AB$2,FALSE))</f>
        <v>7.203E-4</v>
      </c>
      <c r="G20">
        <f>F20*Assumptions!$B$1</f>
        <v>7.7972475000000002E-4</v>
      </c>
      <c r="H20">
        <f t="shared" si="12"/>
        <v>6.5000295176975698E-5</v>
      </c>
      <c r="I20">
        <f t="shared" si="13"/>
        <v>6.3338297939321485E-5</v>
      </c>
      <c r="J20">
        <f>HLOOKUP(C20,Assumptions!$A$6:$J$7,2,TRUE)</f>
        <v>3.5200000000000002E-2</v>
      </c>
      <c r="K20" s="18">
        <f t="shared" si="5"/>
        <v>1</v>
      </c>
      <c r="L20" s="18">
        <f t="shared" si="14"/>
        <v>8.3333333333333329E-2</v>
      </c>
      <c r="M20" s="18">
        <f t="shared" si="15"/>
        <v>2.9817501439168836E-3</v>
      </c>
      <c r="N20">
        <f t="shared" si="16"/>
        <v>2.9097532083651387E-3</v>
      </c>
      <c r="O20" s="20">
        <f t="shared" si="17"/>
        <v>0.97291276022538342</v>
      </c>
      <c r="P20">
        <f>IF(B20&gt;$AF$2,0,O19*($E$2+IF(E20&lt;=Assumptions!$B$9,$D$2,0))/$I$2*K20)</f>
        <v>49.981620372857947</v>
      </c>
      <c r="Q20">
        <f t="shared" si="18"/>
        <v>26.1</v>
      </c>
      <c r="R20">
        <f>IF(B20&gt;$AF$2,0,IF($Y$2=1,(SUMIF('Mortality Tarif Male'!A:A,E21,'Mortality Tarif Male'!G:G)-SUMIF('Mortality Tarif Male'!A:A,$C$2+$H$2,'Mortality Tarif Male'!G:G)+SUMIF('Mortality Tarif Male'!A:A,$C$2+$H$2,'Mortality Tarif Male'!D:D))/SUMIF('Mortality Tarif Male'!A:A,E21,'Mortality Tarif Male'!D:D),(SUMIF('Mortality Tarif Female'!A:A,E21,'Mortality Tarif Female'!G:G)-SUMIF('Mortality Tarif Female'!A:A,$C$2+$H$2,'Mortality Tarif Female'!G:G)+SUMIF('Mortality Tarif Female'!A:A,$C$2+$H$2,'Mortality Tarif Female'!D:D))/SUMIF('Mortality Tarif Female'!A:A,E21,'Mortality Tarif Female'!D:D)))</f>
        <v>0.49430528196572693</v>
      </c>
      <c r="S20">
        <f>IF(B20&gt;=$AF$2,0,IF($Y$2=1,(SUMIF('Mortality Tarif Male'!A:A,E21+1,'Mortality Tarif Male'!G:G)-SUMIF('Mortality Tarif Male'!A:A,$C$2+$H$2,'Mortality Tarif Male'!G:G)+SUMIF('Mortality Tarif Male'!A:A,$C$2+$H$2,'Mortality Tarif Male'!D:D))/SUMIF('Mortality Tarif Male'!A:A,E21+1,'Mortality Tarif Male'!D:D),(SUMIF('Mortality Tarif Female'!A:A,E21+1,'Mortality Tarif Female'!G:G)-SUMIF('Mortality Tarif Female'!A:A,$C$2+$H$2,'Mortality Tarif Female'!G:G)+SUMIF('Mortality Tarif Female'!A:A,$C$2+$H$2,'Mortality Tarif Female'!D:D))/SUMIF('Mortality Tarif Female'!A:A,E21+1,'Mortality Tarif Female'!D:D)))</f>
        <v>0.51100285398145329</v>
      </c>
      <c r="T20">
        <f t="shared" si="19"/>
        <v>8.3333333333332149E-2</v>
      </c>
      <c r="U20">
        <f t="shared" si="20"/>
        <v>0.50961138964680941</v>
      </c>
      <c r="V20">
        <f t="shared" si="21"/>
        <v>10192.227792936188</v>
      </c>
      <c r="W20">
        <f t="shared" si="7"/>
        <v>13.300857269781726</v>
      </c>
      <c r="X20">
        <f t="shared" si="8"/>
        <v>0</v>
      </c>
      <c r="Y20">
        <f>IF(B20&gt;$AF$2,0,IF(X21=0,0,(1-X21)*($E$2+IF(E20&lt;=Assumptions!$B$9,$D$2,0))/$I$2*1/(1+$AG$2)*1/(1+Assumptions!$B$11)))</f>
        <v>0</v>
      </c>
      <c r="Z20">
        <f>IF(B20&gt;$AF$2,0,IF($Y$2=1,(SUMIF('Mortality Tarif Male'!A:A,E21,'Mortality Tarif Male'!E:E)-SUMIF('Mortality Tarif Male'!A:A,$C$2+$H$2,'Mortality Tarif Male'!E:E))/SUMIF('Mortality Tarif Male'!A:A,E21,'Mortality Tarif Male'!D:D),(SUMIF('Mortality Tarif Female'!A:A,E21,'Mortality Tarif Female'!E:E)-SUMIF('Mortality Tarif Female'!A:A,$C$2+$H$2,'Mortality Tarif Female'!E:E))/SUMIF('Mortality Tarif Female'!A:A,E21,'Mortality Tarif Female'!D:D)))</f>
        <v>14.971801039678217</v>
      </c>
      <c r="AA20">
        <f>IF(B20&gt;=$AF$2,0,IF($Y$2=1,(SUMIF('Mortality Tarif Male'!A:A,E21+1,'Mortality Tarif Male'!E:E)-SUMIF('Mortality Tarif Male'!A:A,$C$2+$H$2,'Mortality Tarif Male'!E:E))/SUMIF('Mortality Tarif Male'!A:A,E21+1,'Mortality Tarif Male'!D:D),(SUMIF('Mortality Tarif Female'!A:A,E21+1,'Mortality Tarif Female'!E:E)-SUMIF('Mortality Tarif Female'!A:A,$C$2+$H$2,'Mortality Tarif Female'!E:E))/SUMIF('Mortality Tarif Female'!A:A,E21+1,'Mortality Tarif Female'!D:D)))</f>
        <v>14.478058988373103</v>
      </c>
      <c r="AB20">
        <f t="shared" si="0"/>
        <v>3496.5838847137102</v>
      </c>
      <c r="AC20">
        <f>IF(B20&gt;=$AF$2,0,MIN(1/3*(V20+W20+Y20-AB20),(V20-AB20),(T20*Z20+(1-T20)*AA20)*$AH$2*Assumptions!$B$22))</f>
        <v>378.45729906044011</v>
      </c>
      <c r="AD20">
        <f t="shared" si="22"/>
        <v>6330.4874664318195</v>
      </c>
      <c r="AE20">
        <f t="shared" si="23"/>
        <v>6708.9447654922596</v>
      </c>
      <c r="AF20">
        <f t="shared" si="24"/>
        <v>6330.4874664318195</v>
      </c>
      <c r="AG20" s="26">
        <v>0</v>
      </c>
      <c r="AH20" s="27">
        <f>IF(B20&gt;$AF$2,0,HLOOKUP(YEAR(A20),Assumptions!$A$34:$AL$37,4,TRUE)/100)</f>
        <v>1.0946000000000001E-2</v>
      </c>
      <c r="AI20">
        <f t="shared" si="25"/>
        <v>0</v>
      </c>
      <c r="AJ20">
        <f t="shared" si="26"/>
        <v>1.2684190883626458</v>
      </c>
      <c r="AK20">
        <f t="shared" si="27"/>
        <v>18.420156215965285</v>
      </c>
      <c r="AL20">
        <f>IF(E20&gt;Assumptions!$B$9,0,SUMPRODUCT($P$2:$X$2,Assumptions!$A$43:$I$43)/$I$2*O19*K20)</f>
        <v>5.4663855630409799</v>
      </c>
      <c r="AM20">
        <f t="shared" si="28"/>
        <v>0</v>
      </c>
      <c r="AN20">
        <f t="shared" si="29"/>
        <v>25.15496086736891</v>
      </c>
      <c r="AO20">
        <f>IF(E20&gt;Assumptions!$B$9,0,($V$2+$X$2)/$I$2*O19*K20*Assumptions!$B$46)</f>
        <v>0</v>
      </c>
      <c r="AP20">
        <f>IF(B20&gt;$AF$2,0,AP19*(1+Assumptions!$B$52)^(1/12))</f>
        <v>1.0074906638441912</v>
      </c>
      <c r="AQ20" s="29">
        <f>IF(B20&gt;$AF$2,0,O19*Assumptions!$B$48/12*AP19+AR20*Assumptions!$B$50/12)</f>
        <v>14.053844637693173</v>
      </c>
      <c r="AR20" s="31">
        <f t="shared" si="30"/>
        <v>6082.56760551159</v>
      </c>
      <c r="AS20">
        <f t="shared" si="9"/>
        <v>6159.0120345383757</v>
      </c>
      <c r="AT20">
        <f t="shared" si="31"/>
        <v>19.584789824125792</v>
      </c>
      <c r="AU20" s="19">
        <f t="shared" si="32"/>
        <v>6098.9105914226293</v>
      </c>
      <c r="AV20" s="19">
        <f t="shared" si="33"/>
        <v>6154.0414473293813</v>
      </c>
      <c r="AW20">
        <f t="shared" si="34"/>
        <v>-80.594971837038912</v>
      </c>
      <c r="AX20">
        <f>IF(B20&gt;$AF$2,0,HLOOKUP(YEAR(A20),Assumptions!$A$34:$AL$37,2,TRUE)/100)</f>
        <v>1.6946000000000003E-2</v>
      </c>
      <c r="AY20" s="32">
        <f>1/(1+HLOOKUP(YEAR(A20),Assumptions!$A$27:$AL$29,3,TRUE))^(1/12)</f>
        <v>0.99848118442253453</v>
      </c>
      <c r="AZ20" s="30">
        <f t="shared" si="10"/>
        <v>7540.9655630637089</v>
      </c>
      <c r="BA20">
        <f>IF(B20&gt;$AF$2,0,IF($E$2=0,(T20*Z20+(1-T20)*AA20)*$J$2*Assumptions!$B$20,0))</f>
        <v>0</v>
      </c>
    </row>
    <row r="21" spans="1:53" x14ac:dyDescent="0.25">
      <c r="A21" s="17">
        <f t="shared" si="11"/>
        <v>43404</v>
      </c>
      <c r="B21">
        <f t="shared" si="1"/>
        <v>240</v>
      </c>
      <c r="C21">
        <f t="shared" si="2"/>
        <v>19.916666666666668</v>
      </c>
      <c r="D21">
        <f t="shared" si="3"/>
        <v>0</v>
      </c>
      <c r="E21">
        <f t="shared" si="4"/>
        <v>42</v>
      </c>
      <c r="F21">
        <f>IF(C21&gt;=$H$2,0,VLOOKUP($E21,'Mortality Table'!$A$3:$C$128,2+AB$2,FALSE))</f>
        <v>7.203E-4</v>
      </c>
      <c r="G21">
        <f>F21*Assumptions!$B$1</f>
        <v>7.7972475000000002E-4</v>
      </c>
      <c r="H21">
        <f t="shared" si="12"/>
        <v>6.5000295176975698E-5</v>
      </c>
      <c r="I21">
        <f t="shared" si="13"/>
        <v>6.3145334228152769E-5</v>
      </c>
      <c r="J21">
        <f>HLOOKUP(C21,Assumptions!$A$6:$J$7,2,TRUE)</f>
        <v>3.5200000000000002E-2</v>
      </c>
      <c r="K21" s="18">
        <f t="shared" si="5"/>
        <v>1</v>
      </c>
      <c r="L21" s="18">
        <f t="shared" si="14"/>
        <v>8.3333333333333329E-2</v>
      </c>
      <c r="M21" s="18">
        <f t="shared" si="15"/>
        <v>2.9817501439168836E-3</v>
      </c>
      <c r="N21">
        <f t="shared" si="16"/>
        <v>2.9008884804526663E-3</v>
      </c>
      <c r="O21" s="20">
        <f t="shared" si="17"/>
        <v>0.96994872641070262</v>
      </c>
      <c r="P21">
        <f>IF(B21&gt;$AF$2,0,O20*($E$2+IF(E21&lt;=Assumptions!$B$9,$D$2,0))/$I$2*K21)</f>
        <v>49.829348536210041</v>
      </c>
      <c r="Q21">
        <f t="shared" si="18"/>
        <v>26.1</v>
      </c>
      <c r="R21">
        <f>IF(B21&gt;$AF$2,0,IF($Y$2=1,(SUMIF('Mortality Tarif Male'!A:A,E22,'Mortality Tarif Male'!G:G)-SUMIF('Mortality Tarif Male'!A:A,$C$2+$H$2,'Mortality Tarif Male'!G:G)+SUMIF('Mortality Tarif Male'!A:A,$C$2+$H$2,'Mortality Tarif Male'!D:D))/SUMIF('Mortality Tarif Male'!A:A,E22,'Mortality Tarif Male'!D:D),(SUMIF('Mortality Tarif Female'!A:A,E22,'Mortality Tarif Female'!G:G)-SUMIF('Mortality Tarif Female'!A:A,$C$2+$H$2,'Mortality Tarif Female'!G:G)+SUMIF('Mortality Tarif Female'!A:A,$C$2+$H$2,'Mortality Tarif Female'!D:D))/SUMIF('Mortality Tarif Female'!A:A,E22,'Mortality Tarif Female'!D:D)))</f>
        <v>0.51100285398145329</v>
      </c>
      <c r="S21">
        <f>IF(B21&gt;=$AF$2,0,IF($Y$2=1,(SUMIF('Mortality Tarif Male'!A:A,E22+1,'Mortality Tarif Male'!G:G)-SUMIF('Mortality Tarif Male'!A:A,$C$2+$H$2,'Mortality Tarif Male'!G:G)+SUMIF('Mortality Tarif Male'!A:A,$C$2+$H$2,'Mortality Tarif Male'!D:D))/SUMIF('Mortality Tarif Male'!A:A,E22+1,'Mortality Tarif Male'!D:D),(SUMIF('Mortality Tarif Female'!A:A,E22+1,'Mortality Tarif Female'!G:G)-SUMIF('Mortality Tarif Female'!A:A,$C$2+$H$2,'Mortality Tarif Female'!G:G)+SUMIF('Mortality Tarif Female'!A:A,$C$2+$H$2,'Mortality Tarif Female'!D:D))/SUMIF('Mortality Tarif Female'!A:A,E22+1,'Mortality Tarif Female'!D:D)))</f>
        <v>0.52828073605038051</v>
      </c>
      <c r="T21">
        <f t="shared" si="19"/>
        <v>1</v>
      </c>
      <c r="U21">
        <f t="shared" si="20"/>
        <v>0.51100285398145329</v>
      </c>
      <c r="V21">
        <f t="shared" si="21"/>
        <v>10220.057079629065</v>
      </c>
      <c r="W21">
        <f t="shared" si="7"/>
        <v>13.337174488915931</v>
      </c>
      <c r="X21">
        <f t="shared" si="8"/>
        <v>0</v>
      </c>
      <c r="Y21">
        <f>IF(B21&gt;$AF$2,0,IF(X22=0,0,(1-X22)*($E$2+IF(E21&lt;=Assumptions!$B$9,$D$2,0))/$I$2*1/(1+$AG$2)*1/(1+Assumptions!$B$11)))</f>
        <v>0</v>
      </c>
      <c r="Z21">
        <f>IF(B21&gt;$AF$2,0,IF($Y$2=1,(SUMIF('Mortality Tarif Male'!A:A,E22,'Mortality Tarif Male'!E:E)-SUMIF('Mortality Tarif Male'!A:A,$C$2+$H$2,'Mortality Tarif Male'!E:E))/SUMIF('Mortality Tarif Male'!A:A,E22,'Mortality Tarif Male'!D:D),(SUMIF('Mortality Tarif Female'!A:A,E22,'Mortality Tarif Female'!E:E)-SUMIF('Mortality Tarif Female'!A:A,$C$2+$H$2,'Mortality Tarif Female'!E:E))/SUMIF('Mortality Tarif Female'!A:A,E22,'Mortality Tarif Female'!D:D)))</f>
        <v>14.478058988373103</v>
      </c>
      <c r="AA21">
        <f>IF(B21&gt;=$AF$2,0,IF($Y$2=1,(SUMIF('Mortality Tarif Male'!A:A,E22+1,'Mortality Tarif Male'!E:E)-SUMIF('Mortality Tarif Male'!A:A,$C$2+$H$2,'Mortality Tarif Male'!E:E))/SUMIF('Mortality Tarif Male'!A:A,E22+1,'Mortality Tarif Male'!D:D),(SUMIF('Mortality Tarif Female'!A:A,E22+1,'Mortality Tarif Female'!E:E)-SUMIF('Mortality Tarif Female'!A:A,$C$2+$H$2,'Mortality Tarif Female'!E:E))/SUMIF('Mortality Tarif Female'!A:A,E22+1,'Mortality Tarif Female'!D:D)))</f>
        <v>13.967132360239102</v>
      </c>
      <c r="AB21">
        <f t="shared" si="0"/>
        <v>3486.6751087180505</v>
      </c>
      <c r="AC21">
        <f>IF(B21&gt;=$AF$2,0,MIN(1/3*(V21+W21+Y21-AB21),(V21-AB21),(T21*Z21+(1-T21)*AA21)*$AH$2*Assumptions!$B$22))</f>
        <v>377.38480981838114</v>
      </c>
      <c r="AD21">
        <f t="shared" si="22"/>
        <v>6369.3343355815487</v>
      </c>
      <c r="AE21">
        <f t="shared" si="23"/>
        <v>6746.7191453999294</v>
      </c>
      <c r="AF21">
        <f t="shared" si="24"/>
        <v>6369.3343355815487</v>
      </c>
      <c r="AG21" s="26">
        <v>0</v>
      </c>
      <c r="AH21" s="27">
        <f>IF(B21&gt;$AF$2,0,HLOOKUP(YEAR(A21),Assumptions!$A$34:$AL$37,4,TRUE)/100)</f>
        <v>1.0946000000000001E-2</v>
      </c>
      <c r="AI21">
        <f t="shared" si="25"/>
        <v>0</v>
      </c>
      <c r="AJ21">
        <f t="shared" si="26"/>
        <v>1.2645547777864101</v>
      </c>
      <c r="AK21">
        <f t="shared" si="27"/>
        <v>18.476728602240151</v>
      </c>
      <c r="AL21">
        <f>IF(E21&gt;Assumptions!$B$9,0,SUMPRODUCT($P$2:$X$2,Assumptions!$A$43:$I$43)/$I$2*O20*K21)</f>
        <v>5.4497319098920753</v>
      </c>
      <c r="AM21">
        <f t="shared" si="28"/>
        <v>0</v>
      </c>
      <c r="AN21">
        <f t="shared" si="29"/>
        <v>25.191015289918639</v>
      </c>
      <c r="AO21">
        <f>IF(E21&gt;Assumptions!$B$9,0,($V$2+$X$2)/$I$2*O20*K21*Assumptions!$B$46)</f>
        <v>0</v>
      </c>
      <c r="AP21">
        <f>IF(B21&gt;$AF$2,0,AP20*(1+Assumptions!$B$52)^(1/12))</f>
        <v>1.0083264157496978</v>
      </c>
      <c r="AQ21" s="29">
        <f>IF(B21&gt;$AF$2,0,O20*Assumptions!$B$48/12*AP20+AR21*Assumptions!$B$50/12)</f>
        <v>14.028312621572608</v>
      </c>
      <c r="AR21" s="31">
        <f t="shared" si="30"/>
        <v>6092.4924544443929</v>
      </c>
      <c r="AS21">
        <f t="shared" si="9"/>
        <v>6177.9277268812821</v>
      </c>
      <c r="AT21">
        <f t="shared" si="31"/>
        <v>19.525123652948555</v>
      </c>
      <c r="AU21" s="19">
        <f t="shared" si="32"/>
        <v>6108.7683667060819</v>
      </c>
      <c r="AV21" s="19">
        <f t="shared" si="33"/>
        <v>6173.0874262814323</v>
      </c>
      <c r="AW21">
        <f t="shared" si="34"/>
        <v>-89.756967076744587</v>
      </c>
      <c r="AX21">
        <f>IF(B21&gt;$AF$2,0,HLOOKUP(YEAR(A21),Assumptions!$A$34:$AL$37,2,TRUE)/100)</f>
        <v>1.6946000000000003E-2</v>
      </c>
      <c r="AY21" s="32">
        <f>1/(1+HLOOKUP(YEAR(A21),Assumptions!$A$27:$AL$29,3,TRUE))^(1/12)</f>
        <v>0.99848118442253453</v>
      </c>
      <c r="AZ21" s="30">
        <f t="shared" si="10"/>
        <v>7563.0463416205721</v>
      </c>
      <c r="BA21">
        <f>IF(B21&gt;$AF$2,0,IF($E$2=0,(T21*Z21+(1-T21)*AA21)*$J$2*Assumptions!$B$20,0))</f>
        <v>0</v>
      </c>
    </row>
    <row r="22" spans="1:53" x14ac:dyDescent="0.25">
      <c r="A22" s="17">
        <f t="shared" si="11"/>
        <v>43434</v>
      </c>
      <c r="B22">
        <f t="shared" si="1"/>
        <v>241</v>
      </c>
      <c r="C22">
        <f t="shared" si="2"/>
        <v>20</v>
      </c>
      <c r="D22">
        <f t="shared" si="3"/>
        <v>1</v>
      </c>
      <c r="E22">
        <f t="shared" si="4"/>
        <v>43</v>
      </c>
      <c r="F22">
        <f>IF(C22&gt;=$H$2,0,VLOOKUP($E22,'Mortality Table'!$A$3:$C$128,2+AB$2,FALSE))</f>
        <v>8.0059999999999994E-4</v>
      </c>
      <c r="G22">
        <f>F22*Assumptions!$B$1</f>
        <v>8.666495E-4</v>
      </c>
      <c r="H22">
        <f t="shared" si="12"/>
        <v>7.2249494695642014E-5</v>
      </c>
      <c r="I22">
        <f t="shared" si="13"/>
        <v>6.9973827365302723E-5</v>
      </c>
      <c r="J22">
        <f>HLOOKUP(C22,Assumptions!$A$6:$J$7,2,TRUE)</f>
        <v>3.5200000000000002E-2</v>
      </c>
      <c r="K22" s="18">
        <f t="shared" si="5"/>
        <v>1</v>
      </c>
      <c r="L22" s="18">
        <f t="shared" si="14"/>
        <v>8.3333333333333329E-2</v>
      </c>
      <c r="M22" s="18">
        <f t="shared" si="15"/>
        <v>2.9817501439168836E-3</v>
      </c>
      <c r="N22">
        <f t="shared" si="16"/>
        <v>2.8920402765685587E-3</v>
      </c>
      <c r="O22" s="20">
        <f t="shared" si="17"/>
        <v>0.9669867123067688</v>
      </c>
      <c r="P22">
        <f>IF(B22&gt;$AF$2,0,O21*($E$2+IF(E22&lt;=Assumptions!$B$9,$D$2,0))/$I$2*K22)</f>
        <v>49.677540604334808</v>
      </c>
      <c r="Q22">
        <f t="shared" si="18"/>
        <v>26.1</v>
      </c>
      <c r="R22">
        <f>IF(B22&gt;$AF$2,0,IF($Y$2=1,(SUMIF('Mortality Tarif Male'!A:A,E23,'Mortality Tarif Male'!G:G)-SUMIF('Mortality Tarif Male'!A:A,$C$2+$H$2,'Mortality Tarif Male'!G:G)+SUMIF('Mortality Tarif Male'!A:A,$C$2+$H$2,'Mortality Tarif Male'!D:D))/SUMIF('Mortality Tarif Male'!A:A,E23,'Mortality Tarif Male'!D:D),(SUMIF('Mortality Tarif Female'!A:A,E23,'Mortality Tarif Female'!G:G)-SUMIF('Mortality Tarif Female'!A:A,$C$2+$H$2,'Mortality Tarif Female'!G:G)+SUMIF('Mortality Tarif Female'!A:A,$C$2+$H$2,'Mortality Tarif Female'!D:D))/SUMIF('Mortality Tarif Female'!A:A,E23,'Mortality Tarif Female'!D:D)))</f>
        <v>0.51100285398145329</v>
      </c>
      <c r="S22">
        <f>IF(B22&gt;=$AF$2,0,IF($Y$2=1,(SUMIF('Mortality Tarif Male'!A:A,E23+1,'Mortality Tarif Male'!G:G)-SUMIF('Mortality Tarif Male'!A:A,$C$2+$H$2,'Mortality Tarif Male'!G:G)+SUMIF('Mortality Tarif Male'!A:A,$C$2+$H$2,'Mortality Tarif Male'!D:D))/SUMIF('Mortality Tarif Male'!A:A,E23+1,'Mortality Tarif Male'!D:D),(SUMIF('Mortality Tarif Female'!A:A,E23+1,'Mortality Tarif Female'!G:G)-SUMIF('Mortality Tarif Female'!A:A,$C$2+$H$2,'Mortality Tarif Female'!G:G)+SUMIF('Mortality Tarif Female'!A:A,$C$2+$H$2,'Mortality Tarif Female'!D:D))/SUMIF('Mortality Tarif Female'!A:A,E23+1,'Mortality Tarif Female'!D:D)))</f>
        <v>0.52828073605038051</v>
      </c>
      <c r="T22">
        <f t="shared" si="19"/>
        <v>0.91666666666666785</v>
      </c>
      <c r="U22">
        <f t="shared" si="20"/>
        <v>0.51244267748719718</v>
      </c>
      <c r="V22">
        <f t="shared" si="21"/>
        <v>10248.853549743944</v>
      </c>
      <c r="W22">
        <f t="shared" si="7"/>
        <v>13.374753882415847</v>
      </c>
      <c r="X22">
        <f t="shared" si="8"/>
        <v>0</v>
      </c>
      <c r="Y22">
        <f>IF(B22&gt;$AF$2,0,IF(X23=0,0,(1-X23)*($E$2+IF(E22&lt;=Assumptions!$B$9,$D$2,0))/$I$2*1/(1+$AG$2)*1/(1+Assumptions!$B$11)))</f>
        <v>0</v>
      </c>
      <c r="Z22">
        <f>IF(B22&gt;$AF$2,0,IF($Y$2=1,(SUMIF('Mortality Tarif Male'!A:A,E23,'Mortality Tarif Male'!E:E)-SUMIF('Mortality Tarif Male'!A:A,$C$2+$H$2,'Mortality Tarif Male'!E:E))/SUMIF('Mortality Tarif Male'!A:A,E23,'Mortality Tarif Male'!D:D),(SUMIF('Mortality Tarif Female'!A:A,E23,'Mortality Tarif Female'!E:E)-SUMIF('Mortality Tarif Female'!A:A,$C$2+$H$2,'Mortality Tarif Female'!E:E))/SUMIF('Mortality Tarif Female'!A:A,E23,'Mortality Tarif Female'!D:D)))</f>
        <v>14.478058988373103</v>
      </c>
      <c r="AA22">
        <f>IF(B22&gt;=$AF$2,0,IF($Y$2=1,(SUMIF('Mortality Tarif Male'!A:A,E23+1,'Mortality Tarif Male'!E:E)-SUMIF('Mortality Tarif Male'!A:A,$C$2+$H$2,'Mortality Tarif Male'!E:E))/SUMIF('Mortality Tarif Male'!A:A,E23+1,'Mortality Tarif Male'!D:D),(SUMIF('Mortality Tarif Female'!A:A,E23+1,'Mortality Tarif Female'!E:E)-SUMIF('Mortality Tarif Female'!A:A,$C$2+$H$2,'Mortality Tarif Female'!E:E))/SUMIF('Mortality Tarif Female'!A:A,E23+1,'Mortality Tarif Female'!D:D)))</f>
        <v>13.967132360239102</v>
      </c>
      <c r="AB22">
        <f t="shared" si="0"/>
        <v>3476.4214600871187</v>
      </c>
      <c r="AC22">
        <f>IF(B22&gt;=$AF$2,0,MIN(1/3*(V22+W22+Y22-AB22),(V22-AB22),(T22*Z22+(1-T22)*AA22)*$AH$2*Assumptions!$B$22))</f>
        <v>376.27499283863062</v>
      </c>
      <c r="AD22">
        <f t="shared" si="22"/>
        <v>6409.5318507006104</v>
      </c>
      <c r="AE22">
        <f t="shared" si="23"/>
        <v>6785.8068435392415</v>
      </c>
      <c r="AF22">
        <f t="shared" si="24"/>
        <v>6409.5318507006104</v>
      </c>
      <c r="AG22" s="26">
        <v>0</v>
      </c>
      <c r="AH22" s="27">
        <f>IF(B22&gt;$AF$2,0,HLOOKUP(YEAR(A22),Assumptions!$A$34:$AL$37,4,TRUE)/100)</f>
        <v>1.0946000000000001E-2</v>
      </c>
      <c r="AI22">
        <f t="shared" si="25"/>
        <v>0</v>
      </c>
      <c r="AJ22">
        <f t="shared" si="26"/>
        <v>1.4013028642002887</v>
      </c>
      <c r="AK22">
        <f t="shared" si="27"/>
        <v>18.536624266175178</v>
      </c>
      <c r="AL22">
        <f>IF(E22&gt;Assumptions!$B$9,0,SUMPRODUCT($P$2:$X$2,Assumptions!$A$43:$I$43)/$I$2*O21*K22)</f>
        <v>5.4331289930404933</v>
      </c>
      <c r="AM22">
        <f t="shared" si="28"/>
        <v>0</v>
      </c>
      <c r="AN22">
        <f t="shared" si="29"/>
        <v>25.371056123415961</v>
      </c>
      <c r="AO22">
        <f>IF(E22&gt;Assumptions!$B$9,0,($V$2+$X$2)/$I$2*O21*K22*Assumptions!$B$46)</f>
        <v>0</v>
      </c>
      <c r="AP22">
        <f>IF(B22&gt;$AF$2,0,AP21*(1+Assumptions!$B$52)^(1/12))</f>
        <v>1.0091628609432644</v>
      </c>
      <c r="AQ22" s="29">
        <f>IF(B22&gt;$AF$2,0,O21*Assumptions!$B$48/12*AP21+AR22*Assumptions!$B$50/12)</f>
        <v>14.002790873805711</v>
      </c>
      <c r="AR22" s="31">
        <f t="shared" si="30"/>
        <v>6102.2032700696373</v>
      </c>
      <c r="AS22">
        <f t="shared" si="9"/>
        <v>6197.9321317345029</v>
      </c>
      <c r="AT22">
        <f t="shared" si="31"/>
        <v>19.465639258140374</v>
      </c>
      <c r="AU22" s="19">
        <f t="shared" si="32"/>
        <v>6118.4123805420259</v>
      </c>
      <c r="AV22" s="19">
        <f t="shared" si="33"/>
        <v>6191.9602371463816</v>
      </c>
      <c r="AW22">
        <f t="shared" si="34"/>
        <v>-98.959629936159317</v>
      </c>
      <c r="AX22">
        <f>IF(B22&gt;$AF$2,0,HLOOKUP(YEAR(A22),Assumptions!$A$34:$AL$37,2,TRUE)/100)</f>
        <v>1.6946000000000003E-2</v>
      </c>
      <c r="AY22" s="32">
        <f>1/(1+HLOOKUP(YEAR(A22),Assumptions!$A$27:$AL$29,3,TRUE))^(1/12)</f>
        <v>0.99848118442253453</v>
      </c>
      <c r="AZ22" s="30">
        <f t="shared" si="10"/>
        <v>7584.8543808037011</v>
      </c>
      <c r="BA22">
        <f>IF(B22&gt;$AF$2,0,IF($E$2=0,(T22*Z22+(1-T22)*AA22)*$J$2*Assumptions!$B$20,0))</f>
        <v>0</v>
      </c>
    </row>
    <row r="23" spans="1:53" x14ac:dyDescent="0.25">
      <c r="A23" s="17">
        <f t="shared" si="11"/>
        <v>43465</v>
      </c>
      <c r="B23">
        <f t="shared" si="1"/>
        <v>242</v>
      </c>
      <c r="C23">
        <f t="shared" si="2"/>
        <v>20.083333333333332</v>
      </c>
      <c r="D23">
        <f t="shared" si="3"/>
        <v>0</v>
      </c>
      <c r="E23">
        <f t="shared" si="4"/>
        <v>43</v>
      </c>
      <c r="F23">
        <f>IF(C23&gt;=$H$2,0,VLOOKUP($E23,'Mortality Table'!$A$3:$C$128,2+AB$2,FALSE))</f>
        <v>8.0059999999999994E-4</v>
      </c>
      <c r="G23">
        <f>F23*Assumptions!$B$1</f>
        <v>8.666495E-4</v>
      </c>
      <c r="H23">
        <f t="shared" si="12"/>
        <v>7.2249494695642014E-5</v>
      </c>
      <c r="I23">
        <f t="shared" si="13"/>
        <v>6.9760142396274279E-5</v>
      </c>
      <c r="J23">
        <f>HLOOKUP(C23,Assumptions!$A$6:$J$7,2,TRUE)</f>
        <v>3.5200000000000002E-2</v>
      </c>
      <c r="K23" s="18">
        <f t="shared" si="5"/>
        <v>1</v>
      </c>
      <c r="L23" s="18">
        <f t="shared" si="14"/>
        <v>8.3333333333333329E-2</v>
      </c>
      <c r="M23" s="18">
        <f t="shared" si="15"/>
        <v>2.9817501439168836E-3</v>
      </c>
      <c r="N23">
        <f t="shared" si="16"/>
        <v>2.8832086096411322E-3</v>
      </c>
      <c r="O23" s="20">
        <f t="shared" si="17"/>
        <v>0.96403374355473148</v>
      </c>
      <c r="P23">
        <f>IF(B23&gt;$AF$2,0,O22*($E$2+IF(E23&lt;=Assumptions!$B$9,$D$2,0))/$I$2*K23)</f>
        <v>49.52583611531167</v>
      </c>
      <c r="Q23">
        <f t="shared" si="18"/>
        <v>26.1</v>
      </c>
      <c r="R23">
        <f>IF(B23&gt;$AF$2,0,IF($Y$2=1,(SUMIF('Mortality Tarif Male'!A:A,E24,'Mortality Tarif Male'!G:G)-SUMIF('Mortality Tarif Male'!A:A,$C$2+$H$2,'Mortality Tarif Male'!G:G)+SUMIF('Mortality Tarif Male'!A:A,$C$2+$H$2,'Mortality Tarif Male'!D:D))/SUMIF('Mortality Tarif Male'!A:A,E24,'Mortality Tarif Male'!D:D),(SUMIF('Mortality Tarif Female'!A:A,E24,'Mortality Tarif Female'!G:G)-SUMIF('Mortality Tarif Female'!A:A,$C$2+$H$2,'Mortality Tarif Female'!G:G)+SUMIF('Mortality Tarif Female'!A:A,$C$2+$H$2,'Mortality Tarif Female'!D:D))/SUMIF('Mortality Tarif Female'!A:A,E24,'Mortality Tarif Female'!D:D)))</f>
        <v>0.51100285398145329</v>
      </c>
      <c r="S23">
        <f>IF(B23&gt;=$AF$2,0,IF($Y$2=1,(SUMIF('Mortality Tarif Male'!A:A,E24+1,'Mortality Tarif Male'!G:G)-SUMIF('Mortality Tarif Male'!A:A,$C$2+$H$2,'Mortality Tarif Male'!G:G)+SUMIF('Mortality Tarif Male'!A:A,$C$2+$H$2,'Mortality Tarif Male'!D:D))/SUMIF('Mortality Tarif Male'!A:A,E24+1,'Mortality Tarif Male'!D:D),(SUMIF('Mortality Tarif Female'!A:A,E24+1,'Mortality Tarif Female'!G:G)-SUMIF('Mortality Tarif Female'!A:A,$C$2+$H$2,'Mortality Tarif Female'!G:G)+SUMIF('Mortality Tarif Female'!A:A,$C$2+$H$2,'Mortality Tarif Female'!D:D))/SUMIF('Mortality Tarif Female'!A:A,E24+1,'Mortality Tarif Female'!D:D)))</f>
        <v>0.52828073605038051</v>
      </c>
      <c r="T23">
        <f t="shared" si="19"/>
        <v>0.83333333333333215</v>
      </c>
      <c r="U23">
        <f t="shared" si="20"/>
        <v>0.51388250099294119</v>
      </c>
      <c r="V23">
        <f t="shared" si="21"/>
        <v>10277.650019858824</v>
      </c>
      <c r="W23">
        <f t="shared" si="7"/>
        <v>13.412333275915765</v>
      </c>
      <c r="X23">
        <f t="shared" si="8"/>
        <v>0</v>
      </c>
      <c r="Y23">
        <f>IF(B23&gt;$AF$2,0,IF(X24=0,0,(1-X24)*($E$2+IF(E23&lt;=Assumptions!$B$9,$D$2,0))/$I$2*1/(1+$AG$2)*1/(1+Assumptions!$B$11)))</f>
        <v>0</v>
      </c>
      <c r="Z23">
        <f>IF(B23&gt;$AF$2,0,IF($Y$2=1,(SUMIF('Mortality Tarif Male'!A:A,E24,'Mortality Tarif Male'!E:E)-SUMIF('Mortality Tarif Male'!A:A,$C$2+$H$2,'Mortality Tarif Male'!E:E))/SUMIF('Mortality Tarif Male'!A:A,E24,'Mortality Tarif Male'!D:D),(SUMIF('Mortality Tarif Female'!A:A,E24,'Mortality Tarif Female'!E:E)-SUMIF('Mortality Tarif Female'!A:A,$C$2+$H$2,'Mortality Tarif Female'!E:E))/SUMIF('Mortality Tarif Female'!A:A,E24,'Mortality Tarif Female'!D:D)))</f>
        <v>14.478058988373103</v>
      </c>
      <c r="AA23">
        <f>IF(B23&gt;=$AF$2,0,IF($Y$2=1,(SUMIF('Mortality Tarif Male'!A:A,E24+1,'Mortality Tarif Male'!E:E)-SUMIF('Mortality Tarif Male'!A:A,$C$2+$H$2,'Mortality Tarif Male'!E:E))/SUMIF('Mortality Tarif Male'!A:A,E24+1,'Mortality Tarif Male'!D:D),(SUMIF('Mortality Tarif Female'!A:A,E24+1,'Mortality Tarif Female'!E:E)-SUMIF('Mortality Tarif Female'!A:A,$C$2+$H$2,'Mortality Tarif Female'!E:E))/SUMIF('Mortality Tarif Female'!A:A,E24+1,'Mortality Tarif Female'!D:D)))</f>
        <v>13.967132360239102</v>
      </c>
      <c r="AB23">
        <f t="shared" si="0"/>
        <v>3466.1678114561878</v>
      </c>
      <c r="AC23">
        <f>IF(B23&gt;=$AF$2,0,MIN(1/3*(V23+W23+Y23-AB23),(V23-AB23),(T23*Z23+(1-T23)*AA23)*$AH$2*Assumptions!$B$22))</f>
        <v>375.16517585888027</v>
      </c>
      <c r="AD23">
        <f t="shared" si="22"/>
        <v>6449.7293658196713</v>
      </c>
      <c r="AE23">
        <f t="shared" si="23"/>
        <v>6824.8945416785518</v>
      </c>
      <c r="AF23">
        <f t="shared" si="24"/>
        <v>6449.7293658196713</v>
      </c>
      <c r="AG23" s="26">
        <f t="shared" ref="AG23:AG86" si="35">IF(MONTH(A23)=12,AVERAGE(AF12:AF23),0)</f>
        <v>6233.7079550498247</v>
      </c>
      <c r="AH23" s="27">
        <f>IF(B23&gt;$AF$2,0,HLOOKUP(YEAR(A23),Assumptions!$A$34:$AL$37,4,TRUE)/100)</f>
        <v>1.0946000000000001E-2</v>
      </c>
      <c r="AI23">
        <f t="shared" si="25"/>
        <v>0</v>
      </c>
      <c r="AJ23">
        <f t="shared" si="26"/>
        <v>1.3970235876420283</v>
      </c>
      <c r="AK23">
        <f t="shared" si="27"/>
        <v>18.595915237386517</v>
      </c>
      <c r="AL23">
        <f>IF(E23&gt;Assumptions!$B$9,0,SUMPRODUCT($P$2:$X$2,Assumptions!$A$43:$I$43)/$I$2*O22*K23)</f>
        <v>5.416537389517873</v>
      </c>
      <c r="AM23">
        <f t="shared" si="28"/>
        <v>0</v>
      </c>
      <c r="AN23">
        <f t="shared" si="29"/>
        <v>25.409476214546419</v>
      </c>
      <c r="AO23">
        <f>IF(E23&gt;Assumptions!$B$9,0,($V$2+$X$2)/$I$2*O22*K23*Assumptions!$B$46)</f>
        <v>0</v>
      </c>
      <c r="AP23">
        <f>IF(B23&gt;$AF$2,0,AP22*(1+Assumptions!$B$52)^(1/12))</f>
        <v>1.0099999999999993</v>
      </c>
      <c r="AQ23" s="29">
        <f>IF(B23&gt;$AF$2,0,O22*Assumptions!$B$48/12*AP22+AR23*Assumptions!$B$50/12)</f>
        <v>13.977493643137596</v>
      </c>
      <c r="AR23" s="31">
        <f t="shared" si="30"/>
        <v>6112.9621598051881</v>
      </c>
      <c r="AS23">
        <f t="shared" si="9"/>
        <v>6217.7567454460223</v>
      </c>
      <c r="AT23">
        <f t="shared" si="31"/>
        <v>19.406195396362175</v>
      </c>
      <c r="AU23" s="19">
        <f t="shared" si="32"/>
        <v>6129.1043068810004</v>
      </c>
      <c r="AV23" s="19">
        <f t="shared" si="33"/>
        <v>6211.9217897413473</v>
      </c>
      <c r="AW23">
        <f t="shared" si="34"/>
        <v>0</v>
      </c>
      <c r="AX23">
        <f>IF(B23&gt;$AF$2,0,HLOOKUP(YEAR(A23),Assumptions!$A$34:$AL$37,2,TRUE)/100)</f>
        <v>1.6946000000000003E-2</v>
      </c>
      <c r="AY23" s="32">
        <f>1/(1+HLOOKUP(YEAR(A23),Assumptions!$A$27:$AL$29,3,TRUE))^(1/12)</f>
        <v>0.99848118442253453</v>
      </c>
      <c r="AZ23" s="30">
        <f t="shared" si="10"/>
        <v>7606.5307654102953</v>
      </c>
      <c r="BA23">
        <f>IF(B23&gt;$AF$2,0,IF($E$2=0,(T23*Z23+(1-T23)*AA23)*$J$2*Assumptions!$B$20,0))</f>
        <v>0</v>
      </c>
    </row>
    <row r="24" spans="1:53" x14ac:dyDescent="0.25">
      <c r="A24" s="17">
        <f t="shared" si="11"/>
        <v>43496</v>
      </c>
      <c r="B24">
        <f t="shared" si="1"/>
        <v>243</v>
      </c>
      <c r="C24">
        <f t="shared" si="2"/>
        <v>20.166666666666668</v>
      </c>
      <c r="D24">
        <f t="shared" si="3"/>
        <v>0</v>
      </c>
      <c r="E24">
        <f t="shared" si="4"/>
        <v>43</v>
      </c>
      <c r="F24">
        <f>IF(C24&gt;=$H$2,0,VLOOKUP($E24,'Mortality Table'!$A$3:$C$128,2+AB$2,FALSE))</f>
        <v>8.0059999999999994E-4</v>
      </c>
      <c r="G24">
        <f>F24*Assumptions!$B$1</f>
        <v>8.666495E-4</v>
      </c>
      <c r="H24">
        <f t="shared" si="12"/>
        <v>7.2249494695642014E-5</v>
      </c>
      <c r="I24">
        <f t="shared" si="13"/>
        <v>6.9547109975029873E-5</v>
      </c>
      <c r="J24">
        <f>HLOOKUP(C24,Assumptions!$A$6:$J$7,2,TRUE)</f>
        <v>3.5200000000000002E-2</v>
      </c>
      <c r="K24" s="18">
        <f t="shared" si="5"/>
        <v>1</v>
      </c>
      <c r="L24" s="18">
        <f t="shared" si="14"/>
        <v>8.3333333333333329E-2</v>
      </c>
      <c r="M24" s="18">
        <f t="shared" si="15"/>
        <v>2.9817501439168836E-3</v>
      </c>
      <c r="N24">
        <f t="shared" si="16"/>
        <v>2.8744039127187051E-3</v>
      </c>
      <c r="O24" s="20">
        <f t="shared" si="17"/>
        <v>0.96108979253203775</v>
      </c>
      <c r="P24">
        <f>IF(B24&gt;$AF$2,0,O23*($E$2+IF(E24&lt;=Assumptions!$B$9,$D$2,0))/$I$2*K24)</f>
        <v>49.374594899061492</v>
      </c>
      <c r="Q24">
        <f t="shared" si="18"/>
        <v>26.1</v>
      </c>
      <c r="R24">
        <f>IF(B24&gt;$AF$2,0,IF($Y$2=1,(SUMIF('Mortality Tarif Male'!A:A,E25,'Mortality Tarif Male'!G:G)-SUMIF('Mortality Tarif Male'!A:A,$C$2+$H$2,'Mortality Tarif Male'!G:G)+SUMIF('Mortality Tarif Male'!A:A,$C$2+$H$2,'Mortality Tarif Male'!D:D))/SUMIF('Mortality Tarif Male'!A:A,E25,'Mortality Tarif Male'!D:D),(SUMIF('Mortality Tarif Female'!A:A,E25,'Mortality Tarif Female'!G:G)-SUMIF('Mortality Tarif Female'!A:A,$C$2+$H$2,'Mortality Tarif Female'!G:G)+SUMIF('Mortality Tarif Female'!A:A,$C$2+$H$2,'Mortality Tarif Female'!D:D))/SUMIF('Mortality Tarif Female'!A:A,E25,'Mortality Tarif Female'!D:D)))</f>
        <v>0.51100285398145329</v>
      </c>
      <c r="S24">
        <f>IF(B24&gt;=$AF$2,0,IF($Y$2=1,(SUMIF('Mortality Tarif Male'!A:A,E25+1,'Mortality Tarif Male'!G:G)-SUMIF('Mortality Tarif Male'!A:A,$C$2+$H$2,'Mortality Tarif Male'!G:G)+SUMIF('Mortality Tarif Male'!A:A,$C$2+$H$2,'Mortality Tarif Male'!D:D))/SUMIF('Mortality Tarif Male'!A:A,E25+1,'Mortality Tarif Male'!D:D),(SUMIF('Mortality Tarif Female'!A:A,E25+1,'Mortality Tarif Female'!G:G)-SUMIF('Mortality Tarif Female'!A:A,$C$2+$H$2,'Mortality Tarif Female'!G:G)+SUMIF('Mortality Tarif Female'!A:A,$C$2+$H$2,'Mortality Tarif Female'!D:D))/SUMIF('Mortality Tarif Female'!A:A,E25+1,'Mortality Tarif Female'!D:D)))</f>
        <v>0.52828073605038051</v>
      </c>
      <c r="T24">
        <f t="shared" si="19"/>
        <v>0.75</v>
      </c>
      <c r="U24">
        <f t="shared" si="20"/>
        <v>0.51532232449868509</v>
      </c>
      <c r="V24">
        <f t="shared" si="21"/>
        <v>10306.446489973701</v>
      </c>
      <c r="W24">
        <f t="shared" si="7"/>
        <v>13.449912669415681</v>
      </c>
      <c r="X24">
        <f t="shared" si="8"/>
        <v>0</v>
      </c>
      <c r="Y24">
        <f>IF(B24&gt;$AF$2,0,IF(X25=0,0,(1-X25)*($E$2+IF(E24&lt;=Assumptions!$B$9,$D$2,0))/$I$2*1/(1+$AG$2)*1/(1+Assumptions!$B$11)))</f>
        <v>0</v>
      </c>
      <c r="Z24">
        <f>IF(B24&gt;$AF$2,0,IF($Y$2=1,(SUMIF('Mortality Tarif Male'!A:A,E25,'Mortality Tarif Male'!E:E)-SUMIF('Mortality Tarif Male'!A:A,$C$2+$H$2,'Mortality Tarif Male'!E:E))/SUMIF('Mortality Tarif Male'!A:A,E25,'Mortality Tarif Male'!D:D),(SUMIF('Mortality Tarif Female'!A:A,E25,'Mortality Tarif Female'!E:E)-SUMIF('Mortality Tarif Female'!A:A,$C$2+$H$2,'Mortality Tarif Female'!E:E))/SUMIF('Mortality Tarif Female'!A:A,E25,'Mortality Tarif Female'!D:D)))</f>
        <v>14.478058988373103</v>
      </c>
      <c r="AA24">
        <f>IF(B24&gt;=$AF$2,0,IF($Y$2=1,(SUMIF('Mortality Tarif Male'!A:A,E25+1,'Mortality Tarif Male'!E:E)-SUMIF('Mortality Tarif Male'!A:A,$C$2+$H$2,'Mortality Tarif Male'!E:E))/SUMIF('Mortality Tarif Male'!A:A,E25+1,'Mortality Tarif Male'!D:D),(SUMIF('Mortality Tarif Female'!A:A,E25+1,'Mortality Tarif Female'!E:E)-SUMIF('Mortality Tarif Female'!A:A,$C$2+$H$2,'Mortality Tarif Female'!E:E))/SUMIF('Mortality Tarif Female'!A:A,E25+1,'Mortality Tarif Female'!D:D)))</f>
        <v>13.967132360239102</v>
      </c>
      <c r="AB24">
        <f t="shared" si="0"/>
        <v>3455.9141628252569</v>
      </c>
      <c r="AC24">
        <f>IF(B24&gt;=$AF$2,0,MIN(1/3*(V24+W24+Y24-AB24),(V24-AB24),(T24*Z24+(1-T24)*AA24)*$AH$2*Assumptions!$B$22))</f>
        <v>374.05535887912987</v>
      </c>
      <c r="AD24">
        <f t="shared" si="22"/>
        <v>6489.9268809387304</v>
      </c>
      <c r="AE24">
        <f t="shared" si="23"/>
        <v>6863.9822398178603</v>
      </c>
      <c r="AF24">
        <f t="shared" si="24"/>
        <v>6489.9268809387304</v>
      </c>
      <c r="AG24" s="26">
        <f t="shared" si="35"/>
        <v>0</v>
      </c>
      <c r="AH24" s="27">
        <f>IF(B24&gt;$AF$2,0,HLOOKUP(YEAR(A24),Assumptions!$A$34:$AL$37,4,TRUE)/100)</f>
        <v>1.0260999999999999E-2</v>
      </c>
      <c r="AI24">
        <f t="shared" si="25"/>
        <v>0</v>
      </c>
      <c r="AJ24">
        <f t="shared" si="26"/>
        <v>1.3927573790709455</v>
      </c>
      <c r="AK24">
        <f t="shared" si="27"/>
        <v>18.65467121982859</v>
      </c>
      <c r="AL24">
        <f>IF(E24&gt;Assumptions!$B$9,0,SUMPRODUCT($P$2:$X$2,Assumptions!$A$43:$I$43)/$I$2*O23*K24)</f>
        <v>5.3999964531720854</v>
      </c>
      <c r="AM24">
        <f t="shared" si="28"/>
        <v>0</v>
      </c>
      <c r="AN24">
        <f t="shared" si="29"/>
        <v>25.447425052071623</v>
      </c>
      <c r="AO24">
        <f>IF(E24&gt;Assumptions!$B$9,0,($V$2+$X$2)/$I$2*O23*K24*Assumptions!$B$46)</f>
        <v>0</v>
      </c>
      <c r="AP24">
        <f>IF(B24&gt;$AF$2,0,AP23*(1+Assumptions!$B$52)^(1/12))</f>
        <v>1.0108378334954891</v>
      </c>
      <c r="AQ24" s="29">
        <f>IF(B24&gt;$AF$2,0,O23*Assumptions!$B$48/12*AP23+AR24*Assumptions!$B$50/12)</f>
        <v>13.978354336448623</v>
      </c>
      <c r="AR24" s="31">
        <f t="shared" si="30"/>
        <v>6231.7036820561607</v>
      </c>
      <c r="AS24">
        <f t="shared" si="9"/>
        <v>6237.4024795494988</v>
      </c>
      <c r="AT24">
        <f t="shared" si="31"/>
        <v>19.346933063310374</v>
      </c>
      <c r="AU24" s="19">
        <f t="shared" si="32"/>
        <v>6247.7529895554635</v>
      </c>
      <c r="AV24" s="19">
        <f t="shared" si="33"/>
        <v>6231.7036820561607</v>
      </c>
      <c r="AW24">
        <f t="shared" si="34"/>
        <v>-9.4868147478208513</v>
      </c>
      <c r="AX24">
        <f>IF(B24&gt;$AF$2,0,HLOOKUP(YEAR(A24),Assumptions!$A$34:$AL$37,2,TRUE)/100)</f>
        <v>1.6261000000000001E-2</v>
      </c>
      <c r="AY24" s="32">
        <f>1/(1+HLOOKUP(YEAR(A24),Assumptions!$A$27:$AL$29,3,TRUE))^(1/12)</f>
        <v>0.99860097247287194</v>
      </c>
      <c r="AZ24" s="30">
        <f t="shared" si="10"/>
        <v>7627.1362358011174</v>
      </c>
      <c r="BA24">
        <f>IF(B24&gt;$AF$2,0,IF($E$2=0,(T24*Z24+(1-T24)*AA24)*$J$2*Assumptions!$B$20,0))</f>
        <v>0</v>
      </c>
    </row>
    <row r="25" spans="1:53" x14ac:dyDescent="0.25">
      <c r="A25" s="17">
        <f t="shared" si="11"/>
        <v>43524</v>
      </c>
      <c r="B25">
        <f t="shared" si="1"/>
        <v>244</v>
      </c>
      <c r="C25">
        <f t="shared" si="2"/>
        <v>20.25</v>
      </c>
      <c r="D25">
        <f t="shared" si="3"/>
        <v>0</v>
      </c>
      <c r="E25">
        <f t="shared" si="4"/>
        <v>43</v>
      </c>
      <c r="F25">
        <f>IF(C25&gt;=$H$2,0,VLOOKUP($E25,'Mortality Table'!$A$3:$C$128,2+AB$2,FALSE))</f>
        <v>8.0059999999999994E-4</v>
      </c>
      <c r="G25">
        <f>F25*Assumptions!$B$1</f>
        <v>8.666495E-4</v>
      </c>
      <c r="H25">
        <f t="shared" si="12"/>
        <v>7.2249494695642014E-5</v>
      </c>
      <c r="I25">
        <f t="shared" si="13"/>
        <v>6.9334728108829397E-5</v>
      </c>
      <c r="J25">
        <f>HLOOKUP(C25,Assumptions!$A$6:$J$7,2,TRUE)</f>
        <v>3.5200000000000002E-2</v>
      </c>
      <c r="K25" s="18">
        <f t="shared" si="5"/>
        <v>1</v>
      </c>
      <c r="L25" s="18">
        <f t="shared" si="14"/>
        <v>8.3333333333333329E-2</v>
      </c>
      <c r="M25" s="18">
        <f t="shared" si="15"/>
        <v>2.9817501439168836E-3</v>
      </c>
      <c r="N25">
        <f t="shared" si="16"/>
        <v>2.8656261034407013E-3</v>
      </c>
      <c r="O25" s="20">
        <f t="shared" si="17"/>
        <v>0.95815483170048821</v>
      </c>
      <c r="P25">
        <f>IF(B25&gt;$AF$2,0,O24*($E$2+IF(E25&lt;=Assumptions!$B$9,$D$2,0))/$I$2*K25)</f>
        <v>49.223815540849195</v>
      </c>
      <c r="Q25">
        <f t="shared" si="18"/>
        <v>26.1</v>
      </c>
      <c r="R25">
        <f>IF(B25&gt;$AF$2,0,IF($Y$2=1,(SUMIF('Mortality Tarif Male'!A:A,E26,'Mortality Tarif Male'!G:G)-SUMIF('Mortality Tarif Male'!A:A,$C$2+$H$2,'Mortality Tarif Male'!G:G)+SUMIF('Mortality Tarif Male'!A:A,$C$2+$H$2,'Mortality Tarif Male'!D:D))/SUMIF('Mortality Tarif Male'!A:A,E26,'Mortality Tarif Male'!D:D),(SUMIF('Mortality Tarif Female'!A:A,E26,'Mortality Tarif Female'!G:G)-SUMIF('Mortality Tarif Female'!A:A,$C$2+$H$2,'Mortality Tarif Female'!G:G)+SUMIF('Mortality Tarif Female'!A:A,$C$2+$H$2,'Mortality Tarif Female'!D:D))/SUMIF('Mortality Tarif Female'!A:A,E26,'Mortality Tarif Female'!D:D)))</f>
        <v>0.51100285398145329</v>
      </c>
      <c r="S25">
        <f>IF(B25&gt;=$AF$2,0,IF($Y$2=1,(SUMIF('Mortality Tarif Male'!A:A,E26+1,'Mortality Tarif Male'!G:G)-SUMIF('Mortality Tarif Male'!A:A,$C$2+$H$2,'Mortality Tarif Male'!G:G)+SUMIF('Mortality Tarif Male'!A:A,$C$2+$H$2,'Mortality Tarif Male'!D:D))/SUMIF('Mortality Tarif Male'!A:A,E26+1,'Mortality Tarif Male'!D:D),(SUMIF('Mortality Tarif Female'!A:A,E26+1,'Mortality Tarif Female'!G:G)-SUMIF('Mortality Tarif Female'!A:A,$C$2+$H$2,'Mortality Tarif Female'!G:G)+SUMIF('Mortality Tarif Female'!A:A,$C$2+$H$2,'Mortality Tarif Female'!D:D))/SUMIF('Mortality Tarif Female'!A:A,E26+1,'Mortality Tarif Female'!D:D)))</f>
        <v>0.52828073605038051</v>
      </c>
      <c r="T25">
        <f t="shared" si="19"/>
        <v>0.66666666666666785</v>
      </c>
      <c r="U25">
        <f t="shared" si="20"/>
        <v>0.51676214800442899</v>
      </c>
      <c r="V25">
        <f t="shared" si="21"/>
        <v>10335.242960088579</v>
      </c>
      <c r="W25">
        <f t="shared" si="7"/>
        <v>13.487492062915598</v>
      </c>
      <c r="X25">
        <f t="shared" si="8"/>
        <v>0</v>
      </c>
      <c r="Y25">
        <f>IF(B25&gt;$AF$2,0,IF(X26=0,0,(1-X26)*($E$2+IF(E25&lt;=Assumptions!$B$9,$D$2,0))/$I$2*1/(1+$AG$2)*1/(1+Assumptions!$B$11)))</f>
        <v>0</v>
      </c>
      <c r="Z25">
        <f>IF(B25&gt;$AF$2,0,IF($Y$2=1,(SUMIF('Mortality Tarif Male'!A:A,E26,'Mortality Tarif Male'!E:E)-SUMIF('Mortality Tarif Male'!A:A,$C$2+$H$2,'Mortality Tarif Male'!E:E))/SUMIF('Mortality Tarif Male'!A:A,E26,'Mortality Tarif Male'!D:D),(SUMIF('Mortality Tarif Female'!A:A,E26,'Mortality Tarif Female'!E:E)-SUMIF('Mortality Tarif Female'!A:A,$C$2+$H$2,'Mortality Tarif Female'!E:E))/SUMIF('Mortality Tarif Female'!A:A,E26,'Mortality Tarif Female'!D:D)))</f>
        <v>14.478058988373103</v>
      </c>
      <c r="AA25">
        <f>IF(B25&gt;=$AF$2,0,IF($Y$2=1,(SUMIF('Mortality Tarif Male'!A:A,E26+1,'Mortality Tarif Male'!E:E)-SUMIF('Mortality Tarif Male'!A:A,$C$2+$H$2,'Mortality Tarif Male'!E:E))/SUMIF('Mortality Tarif Male'!A:A,E26+1,'Mortality Tarif Male'!D:D),(SUMIF('Mortality Tarif Female'!A:A,E26+1,'Mortality Tarif Female'!E:E)-SUMIF('Mortality Tarif Female'!A:A,$C$2+$H$2,'Mortality Tarif Female'!E:E))/SUMIF('Mortality Tarif Female'!A:A,E26+1,'Mortality Tarif Female'!D:D)))</f>
        <v>13.967132360239102</v>
      </c>
      <c r="AB25">
        <f t="shared" si="0"/>
        <v>3445.660514194326</v>
      </c>
      <c r="AC25">
        <f>IF(B25&gt;=$AF$2,0,MIN(1/3*(V25+W25+Y25-AB25),(V25-AB25),(T25*Z25+(1-T25)*AA25)*$AH$2*Assumptions!$B$22))</f>
        <v>372.94554189937946</v>
      </c>
      <c r="AD25">
        <f t="shared" si="22"/>
        <v>6530.1243960577895</v>
      </c>
      <c r="AE25">
        <f t="shared" si="23"/>
        <v>6903.0699379571688</v>
      </c>
      <c r="AF25">
        <f t="shared" si="24"/>
        <v>6530.1243960577895</v>
      </c>
      <c r="AG25" s="26">
        <f t="shared" si="35"/>
        <v>0</v>
      </c>
      <c r="AH25" s="27">
        <f>IF(B25&gt;$AF$2,0,HLOOKUP(YEAR(A25),Assumptions!$A$34:$AL$37,4,TRUE)/100)</f>
        <v>1.0260999999999999E-2</v>
      </c>
      <c r="AI25">
        <f t="shared" si="25"/>
        <v>0</v>
      </c>
      <c r="AJ25">
        <f t="shared" si="26"/>
        <v>1.3885041985802282</v>
      </c>
      <c r="AK25">
        <f t="shared" si="27"/>
        <v>18.712894928058148</v>
      </c>
      <c r="AL25">
        <f>IF(E25&gt;Assumptions!$B$9,0,SUMPRODUCT($P$2:$X$2,Assumptions!$A$43:$I$43)/$I$2*O24*K25)</f>
        <v>5.383506029276508</v>
      </c>
      <c r="AM25">
        <f t="shared" si="28"/>
        <v>0</v>
      </c>
      <c r="AN25">
        <f t="shared" si="29"/>
        <v>25.484905155914884</v>
      </c>
      <c r="AO25">
        <f>IF(E25&gt;Assumptions!$B$9,0,($V$2+$X$2)/$I$2*O24*K25*Assumptions!$B$46)</f>
        <v>0</v>
      </c>
      <c r="AP25">
        <f>IF(B25&gt;$AF$2,0,AP24*(1+Assumptions!$B$52)^(1/12))</f>
        <v>1.0116763620057967</v>
      </c>
      <c r="AQ25" s="29">
        <f>IF(B25&gt;$AF$2,0,O24*Assumptions!$B$48/12*AP24+AR25*Assumptions!$B$50/12)</f>
        <v>13.953025924041937</v>
      </c>
      <c r="AR25" s="31">
        <f t="shared" si="30"/>
        <v>6241.8200104770367</v>
      </c>
      <c r="AS25">
        <f t="shared" si="9"/>
        <v>6256.8702416880033</v>
      </c>
      <c r="AT25">
        <f t="shared" si="31"/>
        <v>19.287851704635418</v>
      </c>
      <c r="AU25" s="19">
        <f t="shared" si="32"/>
        <v>6257.8029483892087</v>
      </c>
      <c r="AV25" s="19">
        <f t="shared" si="33"/>
        <v>6251.3068252248577</v>
      </c>
      <c r="AW25">
        <f t="shared" si="34"/>
        <v>-19.016390058769794</v>
      </c>
      <c r="AX25">
        <f>IF(B25&gt;$AF$2,0,HLOOKUP(YEAR(A25),Assumptions!$A$34:$AL$37,2,TRUE)/100)</f>
        <v>1.6261000000000001E-2</v>
      </c>
      <c r="AY25" s="32">
        <f>1/(1+HLOOKUP(YEAR(A25),Assumptions!$A$27:$AL$29,3,TRUE))^(1/12)</f>
        <v>0.99860097247287194</v>
      </c>
      <c r="AZ25" s="30">
        <f t="shared" si="10"/>
        <v>7647.6076431497131</v>
      </c>
      <c r="BA25">
        <f>IF(B25&gt;$AF$2,0,IF($E$2=0,(T25*Z25+(1-T25)*AA25)*$J$2*Assumptions!$B$20,0))</f>
        <v>0</v>
      </c>
    </row>
    <row r="26" spans="1:53" x14ac:dyDescent="0.25">
      <c r="A26" s="17">
        <f t="shared" si="11"/>
        <v>43555</v>
      </c>
      <c r="B26">
        <f t="shared" si="1"/>
        <v>245</v>
      </c>
      <c r="C26">
        <f t="shared" si="2"/>
        <v>20.333333333333332</v>
      </c>
      <c r="D26">
        <f t="shared" si="3"/>
        <v>0</v>
      </c>
      <c r="E26">
        <f t="shared" si="4"/>
        <v>43</v>
      </c>
      <c r="F26">
        <f>IF(C26&gt;=$H$2,0,VLOOKUP($E26,'Mortality Table'!$A$3:$C$128,2+AB$2,FALSE))</f>
        <v>8.0059999999999994E-4</v>
      </c>
      <c r="G26">
        <f>F26*Assumptions!$B$1</f>
        <v>8.666495E-4</v>
      </c>
      <c r="H26">
        <f t="shared" si="12"/>
        <v>7.2249494695642014E-5</v>
      </c>
      <c r="I26">
        <f t="shared" si="13"/>
        <v>6.9122994811018129E-5</v>
      </c>
      <c r="J26">
        <f>HLOOKUP(C26,Assumptions!$A$6:$J$7,2,TRUE)</f>
        <v>3.5200000000000002E-2</v>
      </c>
      <c r="K26" s="18">
        <f t="shared" si="5"/>
        <v>1</v>
      </c>
      <c r="L26" s="18">
        <f t="shared" si="14"/>
        <v>8.3333333333333329E-2</v>
      </c>
      <c r="M26" s="18">
        <f t="shared" si="15"/>
        <v>2.9817501439168836E-3</v>
      </c>
      <c r="N26">
        <f t="shared" si="16"/>
        <v>2.856875099698058E-3</v>
      </c>
      <c r="O26" s="20">
        <f t="shared" si="17"/>
        <v>0.95522883360597921</v>
      </c>
      <c r="P26">
        <f>IF(B26&gt;$AF$2,0,O25*($E$2+IF(E26&lt;=Assumptions!$B$9,$D$2,0))/$I$2*K26)</f>
        <v>49.073496630259996</v>
      </c>
      <c r="Q26">
        <f t="shared" si="18"/>
        <v>26.1</v>
      </c>
      <c r="R26">
        <f>IF(B26&gt;$AF$2,0,IF($Y$2=1,(SUMIF('Mortality Tarif Male'!A:A,E27,'Mortality Tarif Male'!G:G)-SUMIF('Mortality Tarif Male'!A:A,$C$2+$H$2,'Mortality Tarif Male'!G:G)+SUMIF('Mortality Tarif Male'!A:A,$C$2+$H$2,'Mortality Tarif Male'!D:D))/SUMIF('Mortality Tarif Male'!A:A,E27,'Mortality Tarif Male'!D:D),(SUMIF('Mortality Tarif Female'!A:A,E27,'Mortality Tarif Female'!G:G)-SUMIF('Mortality Tarif Female'!A:A,$C$2+$H$2,'Mortality Tarif Female'!G:G)+SUMIF('Mortality Tarif Female'!A:A,$C$2+$H$2,'Mortality Tarif Female'!D:D))/SUMIF('Mortality Tarif Female'!A:A,E27,'Mortality Tarif Female'!D:D)))</f>
        <v>0.51100285398145329</v>
      </c>
      <c r="S26">
        <f>IF(B26&gt;=$AF$2,0,IF($Y$2=1,(SUMIF('Mortality Tarif Male'!A:A,E27+1,'Mortality Tarif Male'!G:G)-SUMIF('Mortality Tarif Male'!A:A,$C$2+$H$2,'Mortality Tarif Male'!G:G)+SUMIF('Mortality Tarif Male'!A:A,$C$2+$H$2,'Mortality Tarif Male'!D:D))/SUMIF('Mortality Tarif Male'!A:A,E27+1,'Mortality Tarif Male'!D:D),(SUMIF('Mortality Tarif Female'!A:A,E27+1,'Mortality Tarif Female'!G:G)-SUMIF('Mortality Tarif Female'!A:A,$C$2+$H$2,'Mortality Tarif Female'!G:G)+SUMIF('Mortality Tarif Female'!A:A,$C$2+$H$2,'Mortality Tarif Female'!D:D))/SUMIF('Mortality Tarif Female'!A:A,E27+1,'Mortality Tarif Female'!D:D)))</f>
        <v>0.52828073605038051</v>
      </c>
      <c r="T26">
        <f t="shared" si="19"/>
        <v>0.58333333333333215</v>
      </c>
      <c r="U26">
        <f t="shared" si="20"/>
        <v>0.518201971510173</v>
      </c>
      <c r="V26">
        <f t="shared" si="21"/>
        <v>10364.03943020346</v>
      </c>
      <c r="W26">
        <f t="shared" si="7"/>
        <v>13.525071456415516</v>
      </c>
      <c r="X26">
        <f t="shared" si="8"/>
        <v>0</v>
      </c>
      <c r="Y26">
        <f>IF(B26&gt;$AF$2,0,IF(X27=0,0,(1-X27)*($E$2+IF(E26&lt;=Assumptions!$B$9,$D$2,0))/$I$2*1/(1+$AG$2)*1/(1+Assumptions!$B$11)))</f>
        <v>0</v>
      </c>
      <c r="Z26">
        <f>IF(B26&gt;$AF$2,0,IF($Y$2=1,(SUMIF('Mortality Tarif Male'!A:A,E27,'Mortality Tarif Male'!E:E)-SUMIF('Mortality Tarif Male'!A:A,$C$2+$H$2,'Mortality Tarif Male'!E:E))/SUMIF('Mortality Tarif Male'!A:A,E27,'Mortality Tarif Male'!D:D),(SUMIF('Mortality Tarif Female'!A:A,E27,'Mortality Tarif Female'!E:E)-SUMIF('Mortality Tarif Female'!A:A,$C$2+$H$2,'Mortality Tarif Female'!E:E))/SUMIF('Mortality Tarif Female'!A:A,E27,'Mortality Tarif Female'!D:D)))</f>
        <v>14.478058988373103</v>
      </c>
      <c r="AA26">
        <f>IF(B26&gt;=$AF$2,0,IF($Y$2=1,(SUMIF('Mortality Tarif Male'!A:A,E27+1,'Mortality Tarif Male'!E:E)-SUMIF('Mortality Tarif Male'!A:A,$C$2+$H$2,'Mortality Tarif Male'!E:E))/SUMIF('Mortality Tarif Male'!A:A,E27+1,'Mortality Tarif Male'!D:D),(SUMIF('Mortality Tarif Female'!A:A,E27+1,'Mortality Tarif Female'!E:E)-SUMIF('Mortality Tarif Female'!A:A,$C$2+$H$2,'Mortality Tarif Female'!E:E))/SUMIF('Mortality Tarif Female'!A:A,E27+1,'Mortality Tarif Female'!D:D)))</f>
        <v>13.967132360239102</v>
      </c>
      <c r="AB26">
        <f t="shared" si="0"/>
        <v>3435.4068655633951</v>
      </c>
      <c r="AC26">
        <f>IF(B26&gt;=$AF$2,0,MIN(1/3*(V26+W26+Y26-AB26),(V26-AB26),(T26*Z26+(1-T26)*AA26)*$AH$2*Assumptions!$B$22))</f>
        <v>371.83572491962906</v>
      </c>
      <c r="AD26">
        <f t="shared" si="22"/>
        <v>6570.3219111768522</v>
      </c>
      <c r="AE26">
        <f t="shared" si="23"/>
        <v>6942.1576360964809</v>
      </c>
      <c r="AF26">
        <f t="shared" si="24"/>
        <v>6570.3219111768522</v>
      </c>
      <c r="AG26" s="26">
        <f t="shared" si="35"/>
        <v>0</v>
      </c>
      <c r="AH26" s="27">
        <f>IF(B26&gt;$AF$2,0,HLOOKUP(YEAR(A26),Assumptions!$A$34:$AL$37,4,TRUE)/100)</f>
        <v>1.0260999999999999E-2</v>
      </c>
      <c r="AI26">
        <f t="shared" si="25"/>
        <v>0</v>
      </c>
      <c r="AJ26">
        <f t="shared" si="26"/>
        <v>1.3842640063849301</v>
      </c>
      <c r="AK26">
        <f t="shared" si="27"/>
        <v>18.770589065041705</v>
      </c>
      <c r="AL26">
        <f>IF(E26&gt;Assumptions!$B$9,0,SUMPRODUCT($P$2:$X$2,Assumptions!$A$43:$I$43)/$I$2*O25*K26)</f>
        <v>5.3670659635770157</v>
      </c>
      <c r="AM26">
        <f t="shared" si="28"/>
        <v>0</v>
      </c>
      <c r="AN26">
        <f t="shared" si="29"/>
        <v>25.521919035003652</v>
      </c>
      <c r="AO26">
        <f>IF(E26&gt;Assumptions!$B$9,0,($V$2+$X$2)/$I$2*O25*K26*Assumptions!$B$46)</f>
        <v>0</v>
      </c>
      <c r="AP26">
        <f>IF(B26&gt;$AF$2,0,AP25*(1+Assumptions!$B$52)^(1/12))</f>
        <v>1.0125155861074635</v>
      </c>
      <c r="AQ26" s="29">
        <f>IF(B26&gt;$AF$2,0,O25*Assumptions!$B$48/12*AP25+AR26*Assumptions!$B$50/12)</f>
        <v>13.927706044142202</v>
      </c>
      <c r="AR26" s="31">
        <f t="shared" si="30"/>
        <v>6251.715736433337</v>
      </c>
      <c r="AS26">
        <f t="shared" si="9"/>
        <v>6276.1609356292729</v>
      </c>
      <c r="AT26">
        <f t="shared" si="31"/>
        <v>19.228950767680608</v>
      </c>
      <c r="AU26" s="19">
        <f t="shared" si="32"/>
        <v>6267.6325762517745</v>
      </c>
      <c r="AV26" s="19">
        <f t="shared" si="33"/>
        <v>6270.7321264921065</v>
      </c>
      <c r="AW26">
        <f t="shared" si="34"/>
        <v>-28.588511731227452</v>
      </c>
      <c r="AX26">
        <f>IF(B26&gt;$AF$2,0,HLOOKUP(YEAR(A26),Assumptions!$A$34:$AL$37,2,TRUE)/100)</f>
        <v>1.6261000000000001E-2</v>
      </c>
      <c r="AY26" s="32">
        <f>1/(1+HLOOKUP(YEAR(A26),Assumptions!$A$27:$AL$29,3,TRUE))^(1/12)</f>
        <v>0.99860097247287194</v>
      </c>
      <c r="AZ26" s="30">
        <f t="shared" si="10"/>
        <v>7667.9457177753011</v>
      </c>
      <c r="BA26">
        <f>IF(B26&gt;$AF$2,0,IF($E$2=0,(T26*Z26+(1-T26)*AA26)*$J$2*Assumptions!$B$20,0))</f>
        <v>0</v>
      </c>
    </row>
    <row r="27" spans="1:53" x14ac:dyDescent="0.25">
      <c r="A27" s="17">
        <f t="shared" si="11"/>
        <v>43585</v>
      </c>
      <c r="B27">
        <f t="shared" si="1"/>
        <v>246</v>
      </c>
      <c r="C27">
        <f t="shared" si="2"/>
        <v>20.416666666666668</v>
      </c>
      <c r="D27">
        <f t="shared" si="3"/>
        <v>0</v>
      </c>
      <c r="E27">
        <f t="shared" si="4"/>
        <v>43</v>
      </c>
      <c r="F27">
        <f>IF(C27&gt;=$H$2,0,VLOOKUP($E27,'Mortality Table'!$A$3:$C$128,2+AB$2,FALSE))</f>
        <v>8.0059999999999994E-4</v>
      </c>
      <c r="G27">
        <f>F27*Assumptions!$B$1</f>
        <v>8.666495E-4</v>
      </c>
      <c r="H27">
        <f t="shared" si="12"/>
        <v>7.2249494695642014E-5</v>
      </c>
      <c r="I27">
        <f t="shared" si="13"/>
        <v>6.8911908101008186E-5</v>
      </c>
      <c r="J27">
        <f>HLOOKUP(C27,Assumptions!$A$6:$J$7,2,TRUE)</f>
        <v>3.5200000000000002E-2</v>
      </c>
      <c r="K27" s="18">
        <f t="shared" si="5"/>
        <v>1</v>
      </c>
      <c r="L27" s="18">
        <f t="shared" si="14"/>
        <v>8.3333333333333329E-2</v>
      </c>
      <c r="M27" s="18">
        <f t="shared" si="15"/>
        <v>2.9817501439168836E-3</v>
      </c>
      <c r="N27">
        <f t="shared" si="16"/>
        <v>2.8481508196324542E-3</v>
      </c>
      <c r="O27" s="20">
        <f t="shared" si="17"/>
        <v>0.95231177087824581</v>
      </c>
      <c r="P27">
        <f>IF(B27&gt;$AF$2,0,O26*($E$2+IF(E27&lt;=Assumptions!$B$9,$D$2,0))/$I$2*K27)</f>
        <v>48.923636761186231</v>
      </c>
      <c r="Q27">
        <f t="shared" si="18"/>
        <v>26.1</v>
      </c>
      <c r="R27">
        <f>IF(B27&gt;$AF$2,0,IF($Y$2=1,(SUMIF('Mortality Tarif Male'!A:A,E28,'Mortality Tarif Male'!G:G)-SUMIF('Mortality Tarif Male'!A:A,$C$2+$H$2,'Mortality Tarif Male'!G:G)+SUMIF('Mortality Tarif Male'!A:A,$C$2+$H$2,'Mortality Tarif Male'!D:D))/SUMIF('Mortality Tarif Male'!A:A,E28,'Mortality Tarif Male'!D:D),(SUMIF('Mortality Tarif Female'!A:A,E28,'Mortality Tarif Female'!G:G)-SUMIF('Mortality Tarif Female'!A:A,$C$2+$H$2,'Mortality Tarif Female'!G:G)+SUMIF('Mortality Tarif Female'!A:A,$C$2+$H$2,'Mortality Tarif Female'!D:D))/SUMIF('Mortality Tarif Female'!A:A,E28,'Mortality Tarif Female'!D:D)))</f>
        <v>0.51100285398145329</v>
      </c>
      <c r="S27">
        <f>IF(B27&gt;=$AF$2,0,IF($Y$2=1,(SUMIF('Mortality Tarif Male'!A:A,E28+1,'Mortality Tarif Male'!G:G)-SUMIF('Mortality Tarif Male'!A:A,$C$2+$H$2,'Mortality Tarif Male'!G:G)+SUMIF('Mortality Tarif Male'!A:A,$C$2+$H$2,'Mortality Tarif Male'!D:D))/SUMIF('Mortality Tarif Male'!A:A,E28+1,'Mortality Tarif Male'!D:D),(SUMIF('Mortality Tarif Female'!A:A,E28+1,'Mortality Tarif Female'!G:G)-SUMIF('Mortality Tarif Female'!A:A,$C$2+$H$2,'Mortality Tarif Female'!G:G)+SUMIF('Mortality Tarif Female'!A:A,$C$2+$H$2,'Mortality Tarif Female'!D:D))/SUMIF('Mortality Tarif Female'!A:A,E28+1,'Mortality Tarif Female'!D:D)))</f>
        <v>0.52828073605038051</v>
      </c>
      <c r="T27">
        <f t="shared" si="19"/>
        <v>0.5</v>
      </c>
      <c r="U27">
        <f t="shared" si="20"/>
        <v>0.5196417950159169</v>
      </c>
      <c r="V27">
        <f t="shared" si="21"/>
        <v>10392.835900318338</v>
      </c>
      <c r="W27">
        <f t="shared" si="7"/>
        <v>13.562650849915432</v>
      </c>
      <c r="X27">
        <f t="shared" si="8"/>
        <v>0</v>
      </c>
      <c r="Y27">
        <f>IF(B27&gt;$AF$2,0,IF(X28=0,0,(1-X28)*($E$2+IF(E27&lt;=Assumptions!$B$9,$D$2,0))/$I$2*1/(1+$AG$2)*1/(1+Assumptions!$B$11)))</f>
        <v>0</v>
      </c>
      <c r="Z27">
        <f>IF(B27&gt;$AF$2,0,IF($Y$2=1,(SUMIF('Mortality Tarif Male'!A:A,E28,'Mortality Tarif Male'!E:E)-SUMIF('Mortality Tarif Male'!A:A,$C$2+$H$2,'Mortality Tarif Male'!E:E))/SUMIF('Mortality Tarif Male'!A:A,E28,'Mortality Tarif Male'!D:D),(SUMIF('Mortality Tarif Female'!A:A,E28,'Mortality Tarif Female'!E:E)-SUMIF('Mortality Tarif Female'!A:A,$C$2+$H$2,'Mortality Tarif Female'!E:E))/SUMIF('Mortality Tarif Female'!A:A,E28,'Mortality Tarif Female'!D:D)))</f>
        <v>14.478058988373103</v>
      </c>
      <c r="AA27">
        <f>IF(B27&gt;=$AF$2,0,IF($Y$2=1,(SUMIF('Mortality Tarif Male'!A:A,E28+1,'Mortality Tarif Male'!E:E)-SUMIF('Mortality Tarif Male'!A:A,$C$2+$H$2,'Mortality Tarif Male'!E:E))/SUMIF('Mortality Tarif Male'!A:A,E28+1,'Mortality Tarif Male'!D:D),(SUMIF('Mortality Tarif Female'!A:A,E28+1,'Mortality Tarif Female'!E:E)-SUMIF('Mortality Tarif Female'!A:A,$C$2+$H$2,'Mortality Tarif Female'!E:E))/SUMIF('Mortality Tarif Female'!A:A,E28+1,'Mortality Tarif Female'!D:D)))</f>
        <v>13.967132360239102</v>
      </c>
      <c r="AB27">
        <f t="shared" si="0"/>
        <v>3425.1532169324637</v>
      </c>
      <c r="AC27">
        <f>IF(B27&gt;=$AF$2,0,MIN(1/3*(V27+W27+Y27-AB27),(V27-AB27),(T27*Z27+(1-T27)*AA27)*$AH$2*Assumptions!$B$22))</f>
        <v>370.7259079398786</v>
      </c>
      <c r="AD27">
        <f t="shared" si="22"/>
        <v>6610.5194262959112</v>
      </c>
      <c r="AE27">
        <f t="shared" si="23"/>
        <v>6981.2453342357894</v>
      </c>
      <c r="AF27">
        <f t="shared" si="24"/>
        <v>6610.5194262959112</v>
      </c>
      <c r="AG27" s="26">
        <f t="shared" si="35"/>
        <v>0</v>
      </c>
      <c r="AH27" s="27">
        <f>IF(B27&gt;$AF$2,0,HLOOKUP(YEAR(A27),Assumptions!$A$34:$AL$37,4,TRUE)/100)</f>
        <v>1.0260999999999999E-2</v>
      </c>
      <c r="AI27">
        <f t="shared" si="25"/>
        <v>0</v>
      </c>
      <c r="AJ27">
        <f t="shared" si="26"/>
        <v>1.3800367628215999</v>
      </c>
      <c r="AK27">
        <f t="shared" si="27"/>
        <v>18.827756322200962</v>
      </c>
      <c r="AL27">
        <f>IF(E27&gt;Assumptions!$B$9,0,SUMPRODUCT($P$2:$X$2,Assumptions!$A$43:$I$43)/$I$2*O26*K27)</f>
        <v>5.3506761022905476</v>
      </c>
      <c r="AM27">
        <f t="shared" si="28"/>
        <v>0</v>
      </c>
      <c r="AN27">
        <f t="shared" si="29"/>
        <v>25.558469187313108</v>
      </c>
      <c r="AO27">
        <f>IF(E27&gt;Assumptions!$B$9,0,($V$2+$X$2)/$I$2*O26*K27*Assumptions!$B$46)</f>
        <v>0</v>
      </c>
      <c r="AP27">
        <f>IF(B27&gt;$AF$2,0,AP26*(1+Assumptions!$B$52)^(1/12))</f>
        <v>1.0133555063775093</v>
      </c>
      <c r="AQ27" s="29">
        <f>IF(B27&gt;$AF$2,0,O26*Assumptions!$B$48/12*AP26+AR27*Assumptions!$B$50/12)</f>
        <v>13.902394829114709</v>
      </c>
      <c r="AR27" s="31">
        <f t="shared" si="30"/>
        <v>6261.3919774972319</v>
      </c>
      <c r="AS27">
        <f t="shared" si="9"/>
        <v>6295.2754612809049</v>
      </c>
      <c r="AT27">
        <f t="shared" si="31"/>
        <v>19.170229701476948</v>
      </c>
      <c r="AU27" s="19">
        <f t="shared" si="32"/>
        <v>6277.2429897278262</v>
      </c>
      <c r="AV27" s="19">
        <f t="shared" si="33"/>
        <v>6289.9804892284592</v>
      </c>
      <c r="AW27">
        <f t="shared" si="34"/>
        <v>-38.202966655155564</v>
      </c>
      <c r="AX27">
        <f>IF(B27&gt;$AF$2,0,HLOOKUP(YEAR(A27),Assumptions!$A$34:$AL$37,2,TRUE)/100)</f>
        <v>1.6261000000000001E-2</v>
      </c>
      <c r="AY27" s="32">
        <f>1/(1+HLOOKUP(YEAR(A27),Assumptions!$A$27:$AL$29,3,TRUE))^(1/12)</f>
        <v>0.99860097247287194</v>
      </c>
      <c r="AZ27" s="30">
        <f t="shared" si="10"/>
        <v>7688.1511869838196</v>
      </c>
      <c r="BA27">
        <f>IF(B27&gt;$AF$2,0,IF($E$2=0,(T27*Z27+(1-T27)*AA27)*$J$2*Assumptions!$B$20,0))</f>
        <v>0</v>
      </c>
    </row>
    <row r="28" spans="1:53" x14ac:dyDescent="0.25">
      <c r="A28" s="17">
        <f t="shared" si="11"/>
        <v>43616</v>
      </c>
      <c r="B28">
        <f t="shared" si="1"/>
        <v>247</v>
      </c>
      <c r="C28">
        <f t="shared" si="2"/>
        <v>20.5</v>
      </c>
      <c r="D28">
        <f t="shared" si="3"/>
        <v>0</v>
      </c>
      <c r="E28">
        <f t="shared" si="4"/>
        <v>43</v>
      </c>
      <c r="F28">
        <f>IF(C28&gt;=$H$2,0,VLOOKUP($E28,'Mortality Table'!$A$3:$C$128,2+AB$2,FALSE))</f>
        <v>8.0059999999999994E-4</v>
      </c>
      <c r="G28">
        <f>F28*Assumptions!$B$1</f>
        <v>8.666495E-4</v>
      </c>
      <c r="H28">
        <f t="shared" si="12"/>
        <v>7.2249494695642014E-5</v>
      </c>
      <c r="I28">
        <f t="shared" si="13"/>
        <v>6.8701466004259925E-5</v>
      </c>
      <c r="J28">
        <f>HLOOKUP(C28,Assumptions!$A$6:$J$7,2,TRUE)</f>
        <v>3.5200000000000002E-2</v>
      </c>
      <c r="K28" s="18">
        <f t="shared" si="5"/>
        <v>1</v>
      </c>
      <c r="L28" s="18">
        <f t="shared" si="14"/>
        <v>8.3333333333333329E-2</v>
      </c>
      <c r="M28" s="18">
        <f t="shared" si="15"/>
        <v>2.9817501439168836E-3</v>
      </c>
      <c r="N28">
        <f t="shared" si="16"/>
        <v>2.8394531816355465E-3</v>
      </c>
      <c r="O28" s="20">
        <f t="shared" si="17"/>
        <v>0.94940361623060598</v>
      </c>
      <c r="P28">
        <f>IF(B28&gt;$AF$2,0,O27*($E$2+IF(E28&lt;=Assumptions!$B$9,$D$2,0))/$I$2*K28)</f>
        <v>48.774234531814152</v>
      </c>
      <c r="Q28">
        <f t="shared" si="18"/>
        <v>26.1</v>
      </c>
      <c r="R28">
        <f>IF(B28&gt;$AF$2,0,IF($Y$2=1,(SUMIF('Mortality Tarif Male'!A:A,E29,'Mortality Tarif Male'!G:G)-SUMIF('Mortality Tarif Male'!A:A,$C$2+$H$2,'Mortality Tarif Male'!G:G)+SUMIF('Mortality Tarif Male'!A:A,$C$2+$H$2,'Mortality Tarif Male'!D:D))/SUMIF('Mortality Tarif Male'!A:A,E29,'Mortality Tarif Male'!D:D),(SUMIF('Mortality Tarif Female'!A:A,E29,'Mortality Tarif Female'!G:G)-SUMIF('Mortality Tarif Female'!A:A,$C$2+$H$2,'Mortality Tarif Female'!G:G)+SUMIF('Mortality Tarif Female'!A:A,$C$2+$H$2,'Mortality Tarif Female'!D:D))/SUMIF('Mortality Tarif Female'!A:A,E29,'Mortality Tarif Female'!D:D)))</f>
        <v>0.51100285398145329</v>
      </c>
      <c r="S28">
        <f>IF(B28&gt;=$AF$2,0,IF($Y$2=1,(SUMIF('Mortality Tarif Male'!A:A,E29+1,'Mortality Tarif Male'!G:G)-SUMIF('Mortality Tarif Male'!A:A,$C$2+$H$2,'Mortality Tarif Male'!G:G)+SUMIF('Mortality Tarif Male'!A:A,$C$2+$H$2,'Mortality Tarif Male'!D:D))/SUMIF('Mortality Tarif Male'!A:A,E29+1,'Mortality Tarif Male'!D:D),(SUMIF('Mortality Tarif Female'!A:A,E29+1,'Mortality Tarif Female'!G:G)-SUMIF('Mortality Tarif Female'!A:A,$C$2+$H$2,'Mortality Tarif Female'!G:G)+SUMIF('Mortality Tarif Female'!A:A,$C$2+$H$2,'Mortality Tarif Female'!D:D))/SUMIF('Mortality Tarif Female'!A:A,E29+1,'Mortality Tarif Female'!D:D)))</f>
        <v>0.52828073605038051</v>
      </c>
      <c r="T28">
        <f t="shared" si="19"/>
        <v>0.41666666666666785</v>
      </c>
      <c r="U28">
        <f t="shared" si="20"/>
        <v>0.52108161852166079</v>
      </c>
      <c r="V28">
        <f t="shared" si="21"/>
        <v>10421.632370433215</v>
      </c>
      <c r="W28">
        <f t="shared" si="7"/>
        <v>13.600230243415348</v>
      </c>
      <c r="X28">
        <f t="shared" si="8"/>
        <v>0</v>
      </c>
      <c r="Y28">
        <f>IF(B28&gt;$AF$2,0,IF(X29=0,0,(1-X29)*($E$2+IF(E28&lt;=Assumptions!$B$9,$D$2,0))/$I$2*1/(1+$AG$2)*1/(1+Assumptions!$B$11)))</f>
        <v>0</v>
      </c>
      <c r="Z28">
        <f>IF(B28&gt;$AF$2,0,IF($Y$2=1,(SUMIF('Mortality Tarif Male'!A:A,E29,'Mortality Tarif Male'!E:E)-SUMIF('Mortality Tarif Male'!A:A,$C$2+$H$2,'Mortality Tarif Male'!E:E))/SUMIF('Mortality Tarif Male'!A:A,E29,'Mortality Tarif Male'!D:D),(SUMIF('Mortality Tarif Female'!A:A,E29,'Mortality Tarif Female'!E:E)-SUMIF('Mortality Tarif Female'!A:A,$C$2+$H$2,'Mortality Tarif Female'!E:E))/SUMIF('Mortality Tarif Female'!A:A,E29,'Mortality Tarif Female'!D:D)))</f>
        <v>14.478058988373103</v>
      </c>
      <c r="AA28">
        <f>IF(B28&gt;=$AF$2,0,IF($Y$2=1,(SUMIF('Mortality Tarif Male'!A:A,E29+1,'Mortality Tarif Male'!E:E)-SUMIF('Mortality Tarif Male'!A:A,$C$2+$H$2,'Mortality Tarif Male'!E:E))/SUMIF('Mortality Tarif Male'!A:A,E29+1,'Mortality Tarif Male'!D:D),(SUMIF('Mortality Tarif Female'!A:A,E29+1,'Mortality Tarif Female'!E:E)-SUMIF('Mortality Tarif Female'!A:A,$C$2+$H$2,'Mortality Tarif Female'!E:E))/SUMIF('Mortality Tarif Female'!A:A,E29+1,'Mortality Tarif Female'!D:D)))</f>
        <v>13.967132360239102</v>
      </c>
      <c r="AB28">
        <f t="shared" si="0"/>
        <v>3414.8995683015328</v>
      </c>
      <c r="AC28">
        <f>IF(B28&gt;=$AF$2,0,MIN(1/3*(V28+W28+Y28-AB28),(V28-AB28),(T28*Z28+(1-T28)*AA28)*$AH$2*Assumptions!$B$22))</f>
        <v>369.61609096012819</v>
      </c>
      <c r="AD28">
        <f t="shared" si="22"/>
        <v>6650.7169414149694</v>
      </c>
      <c r="AE28">
        <f t="shared" si="23"/>
        <v>7020.3330323750979</v>
      </c>
      <c r="AF28">
        <f t="shared" si="24"/>
        <v>6650.7169414149694</v>
      </c>
      <c r="AG28" s="26">
        <f t="shared" si="35"/>
        <v>0</v>
      </c>
      <c r="AH28" s="27">
        <f>IF(B28&gt;$AF$2,0,HLOOKUP(YEAR(A28),Assumptions!$A$34:$AL$37,4,TRUE)/100)</f>
        <v>1.0260999999999999E-2</v>
      </c>
      <c r="AI28">
        <f t="shared" si="25"/>
        <v>0</v>
      </c>
      <c r="AJ28">
        <f t="shared" si="26"/>
        <v>1.3758224283479097</v>
      </c>
      <c r="AK28">
        <f t="shared" si="27"/>
        <v>18.884399379458166</v>
      </c>
      <c r="AL28">
        <f>IF(E28&gt;Assumptions!$B$9,0,SUMPRODUCT($P$2:$X$2,Assumptions!$A$43:$I$43)/$I$2*O27*K28)</f>
        <v>5.3343362921036581</v>
      </c>
      <c r="AM28">
        <f t="shared" si="28"/>
        <v>0</v>
      </c>
      <c r="AN28">
        <f t="shared" si="29"/>
        <v>25.594558099909733</v>
      </c>
      <c r="AO28">
        <f>IF(E28&gt;Assumptions!$B$9,0,($V$2+$X$2)/$I$2*O27*K28*Assumptions!$B$46)</f>
        <v>0</v>
      </c>
      <c r="AP28">
        <f>IF(B28&gt;$AF$2,0,AP27*(1+Assumptions!$B$52)^(1/12))</f>
        <v>1.014196123393432</v>
      </c>
      <c r="AQ28" s="29">
        <f>IF(B28&gt;$AF$2,0,O27*Assumptions!$B$48/12*AP27+AR28*Assumptions!$B$50/12)</f>
        <v>13.877092410435035</v>
      </c>
      <c r="AR28" s="31">
        <f t="shared" si="30"/>
        <v>6270.8498462903844</v>
      </c>
      <c r="AS28">
        <f t="shared" si="9"/>
        <v>6314.2147147055275</v>
      </c>
      <c r="AT28">
        <f t="shared" si="31"/>
        <v>19.111687956737978</v>
      </c>
      <c r="AU28" s="19">
        <f t="shared" si="32"/>
        <v>6286.6353004550256</v>
      </c>
      <c r="AV28" s="19">
        <f t="shared" si="33"/>
        <v>6309.0528129455397</v>
      </c>
      <c r="AW28">
        <f t="shared" si="34"/>
        <v>-47.859542807672554</v>
      </c>
      <c r="AX28">
        <f>IF(B28&gt;$AF$2,0,HLOOKUP(YEAR(A28),Assumptions!$A$34:$AL$37,2,TRUE)/100)</f>
        <v>1.6261000000000001E-2</v>
      </c>
      <c r="AY28" s="32">
        <f>1/(1+HLOOKUP(YEAR(A28),Assumptions!$A$27:$AL$29,3,TRUE))^(1/12)</f>
        <v>0.99860097247287194</v>
      </c>
      <c r="AZ28" s="30">
        <f t="shared" si="10"/>
        <v>7708.2247750797969</v>
      </c>
      <c r="BA28">
        <f>IF(B28&gt;$AF$2,0,IF($E$2=0,(T28*Z28+(1-T28)*AA28)*$J$2*Assumptions!$B$20,0))</f>
        <v>0</v>
      </c>
    </row>
    <row r="29" spans="1:53" x14ac:dyDescent="0.25">
      <c r="A29" s="17">
        <f t="shared" si="11"/>
        <v>43646</v>
      </c>
      <c r="B29">
        <f t="shared" si="1"/>
        <v>248</v>
      </c>
      <c r="C29">
        <f t="shared" si="2"/>
        <v>20.583333333333332</v>
      </c>
      <c r="D29">
        <f t="shared" si="3"/>
        <v>0</v>
      </c>
      <c r="E29">
        <f t="shared" si="4"/>
        <v>43</v>
      </c>
      <c r="F29">
        <f>IF(C29&gt;=$H$2,0,VLOOKUP($E29,'Mortality Table'!$A$3:$C$128,2+AB$2,FALSE))</f>
        <v>8.0059999999999994E-4</v>
      </c>
      <c r="G29">
        <f>F29*Assumptions!$B$1</f>
        <v>8.666495E-4</v>
      </c>
      <c r="H29">
        <f t="shared" si="12"/>
        <v>7.2249494695642014E-5</v>
      </c>
      <c r="I29">
        <f t="shared" si="13"/>
        <v>6.8491666552263544E-5</v>
      </c>
      <c r="J29">
        <f>HLOOKUP(C29,Assumptions!$A$6:$J$7,2,TRUE)</f>
        <v>3.5200000000000002E-2</v>
      </c>
      <c r="K29" s="18">
        <f t="shared" si="5"/>
        <v>1</v>
      </c>
      <c r="L29" s="18">
        <f t="shared" si="14"/>
        <v>8.3333333333333329E-2</v>
      </c>
      <c r="M29" s="18">
        <f t="shared" si="15"/>
        <v>2.9817501439168836E-3</v>
      </c>
      <c r="N29">
        <f t="shared" si="16"/>
        <v>2.8307821043482063E-3</v>
      </c>
      <c r="O29" s="20">
        <f t="shared" si="17"/>
        <v>0.94650434245970549</v>
      </c>
      <c r="P29">
        <f>IF(B29&gt;$AF$2,0,O28*($E$2+IF(E29&lt;=Assumptions!$B$9,$D$2,0))/$I$2*K29)</f>
        <v>48.625288544610861</v>
      </c>
      <c r="Q29">
        <f t="shared" si="18"/>
        <v>26.1</v>
      </c>
      <c r="R29">
        <f>IF(B29&gt;$AF$2,0,IF($Y$2=1,(SUMIF('Mortality Tarif Male'!A:A,E30,'Mortality Tarif Male'!G:G)-SUMIF('Mortality Tarif Male'!A:A,$C$2+$H$2,'Mortality Tarif Male'!G:G)+SUMIF('Mortality Tarif Male'!A:A,$C$2+$H$2,'Mortality Tarif Male'!D:D))/SUMIF('Mortality Tarif Male'!A:A,E30,'Mortality Tarif Male'!D:D),(SUMIF('Mortality Tarif Female'!A:A,E30,'Mortality Tarif Female'!G:G)-SUMIF('Mortality Tarif Female'!A:A,$C$2+$H$2,'Mortality Tarif Female'!G:G)+SUMIF('Mortality Tarif Female'!A:A,$C$2+$H$2,'Mortality Tarif Female'!D:D))/SUMIF('Mortality Tarif Female'!A:A,E30,'Mortality Tarif Female'!D:D)))</f>
        <v>0.51100285398145329</v>
      </c>
      <c r="S29">
        <f>IF(B29&gt;=$AF$2,0,IF($Y$2=1,(SUMIF('Mortality Tarif Male'!A:A,E30+1,'Mortality Tarif Male'!G:G)-SUMIF('Mortality Tarif Male'!A:A,$C$2+$H$2,'Mortality Tarif Male'!G:G)+SUMIF('Mortality Tarif Male'!A:A,$C$2+$H$2,'Mortality Tarif Male'!D:D))/SUMIF('Mortality Tarif Male'!A:A,E30+1,'Mortality Tarif Male'!D:D),(SUMIF('Mortality Tarif Female'!A:A,E30+1,'Mortality Tarif Female'!G:G)-SUMIF('Mortality Tarif Female'!A:A,$C$2+$H$2,'Mortality Tarif Female'!G:G)+SUMIF('Mortality Tarif Female'!A:A,$C$2+$H$2,'Mortality Tarif Female'!D:D))/SUMIF('Mortality Tarif Female'!A:A,E30+1,'Mortality Tarif Female'!D:D)))</f>
        <v>0.52828073605038051</v>
      </c>
      <c r="T29">
        <f t="shared" si="19"/>
        <v>0.33333333333333215</v>
      </c>
      <c r="U29">
        <f t="shared" si="20"/>
        <v>0.5225214420274048</v>
      </c>
      <c r="V29">
        <f t="shared" si="21"/>
        <v>10450.428840548097</v>
      </c>
      <c r="W29">
        <f t="shared" si="7"/>
        <v>13.637809636915266</v>
      </c>
      <c r="X29">
        <f t="shared" si="8"/>
        <v>0</v>
      </c>
      <c r="Y29">
        <f>IF(B29&gt;$AF$2,0,IF(X30=0,0,(1-X30)*($E$2+IF(E29&lt;=Assumptions!$B$9,$D$2,0))/$I$2*1/(1+$AG$2)*1/(1+Assumptions!$B$11)))</f>
        <v>0</v>
      </c>
      <c r="Z29">
        <f>IF(B29&gt;$AF$2,0,IF($Y$2=1,(SUMIF('Mortality Tarif Male'!A:A,E30,'Mortality Tarif Male'!E:E)-SUMIF('Mortality Tarif Male'!A:A,$C$2+$H$2,'Mortality Tarif Male'!E:E))/SUMIF('Mortality Tarif Male'!A:A,E30,'Mortality Tarif Male'!D:D),(SUMIF('Mortality Tarif Female'!A:A,E30,'Mortality Tarif Female'!E:E)-SUMIF('Mortality Tarif Female'!A:A,$C$2+$H$2,'Mortality Tarif Female'!E:E))/SUMIF('Mortality Tarif Female'!A:A,E30,'Mortality Tarif Female'!D:D)))</f>
        <v>14.478058988373103</v>
      </c>
      <c r="AA29">
        <f>IF(B29&gt;=$AF$2,0,IF($Y$2=1,(SUMIF('Mortality Tarif Male'!A:A,E30+1,'Mortality Tarif Male'!E:E)-SUMIF('Mortality Tarif Male'!A:A,$C$2+$H$2,'Mortality Tarif Male'!E:E))/SUMIF('Mortality Tarif Male'!A:A,E30+1,'Mortality Tarif Male'!D:D),(SUMIF('Mortality Tarif Female'!A:A,E30+1,'Mortality Tarif Female'!E:E)-SUMIF('Mortality Tarif Female'!A:A,$C$2+$H$2,'Mortality Tarif Female'!E:E))/SUMIF('Mortality Tarif Female'!A:A,E30+1,'Mortality Tarif Female'!D:D)))</f>
        <v>13.967132360239102</v>
      </c>
      <c r="AB29">
        <f t="shared" si="0"/>
        <v>3404.645919670601</v>
      </c>
      <c r="AC29">
        <f>IF(B29&gt;=$AF$2,0,MIN(1/3*(V29+W29+Y29-AB29),(V29-AB29),(T29*Z29+(1-T29)*AA29)*$AH$2*Assumptions!$B$22))</f>
        <v>368.50627398037773</v>
      </c>
      <c r="AD29">
        <f t="shared" si="22"/>
        <v>6690.914456534033</v>
      </c>
      <c r="AE29">
        <f t="shared" si="23"/>
        <v>7059.4207305144109</v>
      </c>
      <c r="AF29">
        <f t="shared" si="24"/>
        <v>6690.914456534033</v>
      </c>
      <c r="AG29" s="26">
        <f t="shared" si="35"/>
        <v>0</v>
      </c>
      <c r="AH29" s="27">
        <f>IF(B29&gt;$AF$2,0,HLOOKUP(YEAR(A29),Assumptions!$A$34:$AL$37,4,TRUE)/100)</f>
        <v>1.0260999999999999E-2</v>
      </c>
      <c r="AI29">
        <f t="shared" si="25"/>
        <v>0</v>
      </c>
      <c r="AJ29">
        <f t="shared" si="26"/>
        <v>1.3716209635422849</v>
      </c>
      <c r="AK29">
        <f t="shared" si="27"/>
        <v>18.940520905281247</v>
      </c>
      <c r="AL29">
        <f>IF(E29&gt;Assumptions!$B$9,0,SUMPRODUCT($P$2:$X$2,Assumptions!$A$43:$I$43)/$I$2*O28*K29)</f>
        <v>5.31804638017109</v>
      </c>
      <c r="AM29">
        <f t="shared" si="28"/>
        <v>0</v>
      </c>
      <c r="AN29">
        <f t="shared" si="29"/>
        <v>25.630188248994621</v>
      </c>
      <c r="AO29">
        <f>IF(E29&gt;Assumptions!$B$9,0,($V$2+$X$2)/$I$2*O28*K29*Assumptions!$B$46)</f>
        <v>0</v>
      </c>
      <c r="AP29">
        <f>IF(B29&gt;$AF$2,0,AP28*(1+Assumptions!$B$52)^(1/12))</f>
        <v>1.015037437733209</v>
      </c>
      <c r="AQ29" s="29">
        <f>IF(B29&gt;$AF$2,0,O28*Assumptions!$B$48/12*AP28+AR29*Assumptions!$B$50/12)</f>
        <v>13.851798918693087</v>
      </c>
      <c r="AR29" s="31">
        <f t="shared" si="30"/>
        <v>6280.0904505035387</v>
      </c>
      <c r="AS29">
        <f t="shared" si="9"/>
        <v>6332.9795881358823</v>
      </c>
      <c r="AT29">
        <f t="shared" si="31"/>
        <v>19.053324985854637</v>
      </c>
      <c r="AU29" s="19">
        <f t="shared" si="32"/>
        <v>6295.8106151436023</v>
      </c>
      <c r="AV29" s="19">
        <f t="shared" si="33"/>
        <v>6327.9499933112111</v>
      </c>
      <c r="AW29">
        <f t="shared" si="34"/>
        <v>-57.558029248646314</v>
      </c>
      <c r="AX29">
        <f>IF(B29&gt;$AF$2,0,HLOOKUP(YEAR(A29),Assumptions!$A$34:$AL$37,2,TRUE)/100)</f>
        <v>1.6261000000000001E-2</v>
      </c>
      <c r="AY29" s="32">
        <f>1/(1+HLOOKUP(YEAR(A29),Assumptions!$A$27:$AL$29,3,TRUE))^(1/12)</f>
        <v>0.99860097247287194</v>
      </c>
      <c r="AZ29" s="30">
        <f t="shared" si="10"/>
        <v>7728.1672033781797</v>
      </c>
      <c r="BA29">
        <f>IF(B29&gt;$AF$2,0,IF($E$2=0,(T29*Z29+(1-T29)*AA29)*$J$2*Assumptions!$B$20,0))</f>
        <v>0</v>
      </c>
    </row>
    <row r="30" spans="1:53" x14ac:dyDescent="0.25">
      <c r="A30" s="17">
        <f t="shared" si="11"/>
        <v>43677</v>
      </c>
      <c r="B30">
        <f t="shared" si="1"/>
        <v>249</v>
      </c>
      <c r="C30">
        <f t="shared" si="2"/>
        <v>20.666666666666668</v>
      </c>
      <c r="D30">
        <f t="shared" si="3"/>
        <v>0</v>
      </c>
      <c r="E30">
        <f t="shared" si="4"/>
        <v>43</v>
      </c>
      <c r="F30">
        <f>IF(C30&gt;=$H$2,0,VLOOKUP($E30,'Mortality Table'!$A$3:$C$128,2+AB$2,FALSE))</f>
        <v>8.0059999999999994E-4</v>
      </c>
      <c r="G30">
        <f>F30*Assumptions!$B$1</f>
        <v>8.666495E-4</v>
      </c>
      <c r="H30">
        <f t="shared" si="12"/>
        <v>7.2249494695642014E-5</v>
      </c>
      <c r="I30">
        <f t="shared" si="13"/>
        <v>6.8282507782520656E-5</v>
      </c>
      <c r="J30">
        <f>HLOOKUP(C30,Assumptions!$A$6:$J$7,2,TRUE)</f>
        <v>3.5200000000000002E-2</v>
      </c>
      <c r="K30" s="18">
        <f t="shared" si="5"/>
        <v>1</v>
      </c>
      <c r="L30" s="18">
        <f t="shared" si="14"/>
        <v>8.3333333333333329E-2</v>
      </c>
      <c r="M30" s="18">
        <f t="shared" si="15"/>
        <v>2.9817501439168836E-3</v>
      </c>
      <c r="N30">
        <f t="shared" si="16"/>
        <v>2.8221375066597582E-3</v>
      </c>
      <c r="O30" s="20">
        <f t="shared" si="17"/>
        <v>0.94361392244526321</v>
      </c>
      <c r="P30">
        <f>IF(B30&gt;$AF$2,0,O29*($E$2+IF(E30&lt;=Assumptions!$B$9,$D$2,0))/$I$2*K30)</f>
        <v>48.476797406311242</v>
      </c>
      <c r="Q30">
        <f t="shared" si="18"/>
        <v>26.1</v>
      </c>
      <c r="R30">
        <f>IF(B30&gt;$AF$2,0,IF($Y$2=1,(SUMIF('Mortality Tarif Male'!A:A,E31,'Mortality Tarif Male'!G:G)-SUMIF('Mortality Tarif Male'!A:A,$C$2+$H$2,'Mortality Tarif Male'!G:G)+SUMIF('Mortality Tarif Male'!A:A,$C$2+$H$2,'Mortality Tarif Male'!D:D))/SUMIF('Mortality Tarif Male'!A:A,E31,'Mortality Tarif Male'!D:D),(SUMIF('Mortality Tarif Female'!A:A,E31,'Mortality Tarif Female'!G:G)-SUMIF('Mortality Tarif Female'!A:A,$C$2+$H$2,'Mortality Tarif Female'!G:G)+SUMIF('Mortality Tarif Female'!A:A,$C$2+$H$2,'Mortality Tarif Female'!D:D))/SUMIF('Mortality Tarif Female'!A:A,E31,'Mortality Tarif Female'!D:D)))</f>
        <v>0.51100285398145329</v>
      </c>
      <c r="S30">
        <f>IF(B30&gt;=$AF$2,0,IF($Y$2=1,(SUMIF('Mortality Tarif Male'!A:A,E31+1,'Mortality Tarif Male'!G:G)-SUMIF('Mortality Tarif Male'!A:A,$C$2+$H$2,'Mortality Tarif Male'!G:G)+SUMIF('Mortality Tarif Male'!A:A,$C$2+$H$2,'Mortality Tarif Male'!D:D))/SUMIF('Mortality Tarif Male'!A:A,E31+1,'Mortality Tarif Male'!D:D),(SUMIF('Mortality Tarif Female'!A:A,E31+1,'Mortality Tarif Female'!G:G)-SUMIF('Mortality Tarif Female'!A:A,$C$2+$H$2,'Mortality Tarif Female'!G:G)+SUMIF('Mortality Tarif Female'!A:A,$C$2+$H$2,'Mortality Tarif Female'!D:D))/SUMIF('Mortality Tarif Female'!A:A,E31+1,'Mortality Tarif Female'!D:D)))</f>
        <v>0.52828073605038051</v>
      </c>
      <c r="T30">
        <f t="shared" si="19"/>
        <v>0.25</v>
      </c>
      <c r="U30">
        <f t="shared" si="20"/>
        <v>0.5239612655331487</v>
      </c>
      <c r="V30">
        <f t="shared" si="21"/>
        <v>10479.225310662974</v>
      </c>
      <c r="W30">
        <f t="shared" si="7"/>
        <v>13.675389030415182</v>
      </c>
      <c r="X30">
        <f t="shared" si="8"/>
        <v>0</v>
      </c>
      <c r="Y30">
        <f>IF(B30&gt;$AF$2,0,IF(X31=0,0,(1-X31)*($E$2+IF(E30&lt;=Assumptions!$B$9,$D$2,0))/$I$2*1/(1+$AG$2)*1/(1+Assumptions!$B$11)))</f>
        <v>0</v>
      </c>
      <c r="Z30">
        <f>IF(B30&gt;$AF$2,0,IF($Y$2=1,(SUMIF('Mortality Tarif Male'!A:A,E31,'Mortality Tarif Male'!E:E)-SUMIF('Mortality Tarif Male'!A:A,$C$2+$H$2,'Mortality Tarif Male'!E:E))/SUMIF('Mortality Tarif Male'!A:A,E31,'Mortality Tarif Male'!D:D),(SUMIF('Mortality Tarif Female'!A:A,E31,'Mortality Tarif Female'!E:E)-SUMIF('Mortality Tarif Female'!A:A,$C$2+$H$2,'Mortality Tarif Female'!E:E))/SUMIF('Mortality Tarif Female'!A:A,E31,'Mortality Tarif Female'!D:D)))</f>
        <v>14.478058988373103</v>
      </c>
      <c r="AA30">
        <f>IF(B30&gt;=$AF$2,0,IF($Y$2=1,(SUMIF('Mortality Tarif Male'!A:A,E31+1,'Mortality Tarif Male'!E:E)-SUMIF('Mortality Tarif Male'!A:A,$C$2+$H$2,'Mortality Tarif Male'!E:E))/SUMIF('Mortality Tarif Male'!A:A,E31+1,'Mortality Tarif Male'!D:D),(SUMIF('Mortality Tarif Female'!A:A,E31+1,'Mortality Tarif Female'!E:E)-SUMIF('Mortality Tarif Female'!A:A,$C$2+$H$2,'Mortality Tarif Female'!E:E))/SUMIF('Mortality Tarif Female'!A:A,E31+1,'Mortality Tarif Female'!D:D)))</f>
        <v>13.967132360239102</v>
      </c>
      <c r="AB30">
        <f t="shared" si="0"/>
        <v>3394.39227103967</v>
      </c>
      <c r="AC30">
        <f>IF(B30&gt;=$AF$2,0,MIN(1/3*(V30+W30+Y30-AB30),(V30-AB30),(T30*Z30+(1-T30)*AA30)*$AH$2*Assumptions!$B$22))</f>
        <v>367.39645700062727</v>
      </c>
      <c r="AD30">
        <f t="shared" si="22"/>
        <v>6731.111971653092</v>
      </c>
      <c r="AE30">
        <f t="shared" si="23"/>
        <v>7098.5084286537194</v>
      </c>
      <c r="AF30">
        <f t="shared" si="24"/>
        <v>6731.111971653092</v>
      </c>
      <c r="AG30" s="26">
        <f t="shared" si="35"/>
        <v>0</v>
      </c>
      <c r="AH30" s="27">
        <f>IF(B30&gt;$AF$2,0,HLOOKUP(YEAR(A30),Assumptions!$A$34:$AL$37,4,TRUE)/100)</f>
        <v>1.0260999999999999E-2</v>
      </c>
      <c r="AI30">
        <f t="shared" si="25"/>
        <v>0</v>
      </c>
      <c r="AJ30">
        <f t="shared" si="26"/>
        <v>1.3674323291035368</v>
      </c>
      <c r="AK30">
        <f t="shared" si="27"/>
        <v>18.996123556728705</v>
      </c>
      <c r="AL30">
        <f>IF(E30&gt;Assumptions!$B$9,0,SUMPRODUCT($P$2:$X$2,Assumptions!$A$43:$I$43)/$I$2*O29*K30)</f>
        <v>5.3018062141143414</v>
      </c>
      <c r="AM30">
        <f t="shared" si="28"/>
        <v>0</v>
      </c>
      <c r="AN30">
        <f t="shared" si="29"/>
        <v>25.665362099946584</v>
      </c>
      <c r="AO30">
        <f>IF(E30&gt;Assumptions!$B$9,0,($V$2+$X$2)/$I$2*O29*K30*Assumptions!$B$46)</f>
        <v>0</v>
      </c>
      <c r="AP30">
        <f>IF(B30&gt;$AF$2,0,AP29*(1+Assumptions!$B$52)^(1/12))</f>
        <v>1.015879449975297</v>
      </c>
      <c r="AQ30" s="29">
        <f>IF(B30&gt;$AF$2,0,O29*Assumptions!$B$48/12*AP29+AR30*Assumptions!$B$50/12)</f>
        <v>13.826514483597155</v>
      </c>
      <c r="AR30" s="31">
        <f t="shared" si="30"/>
        <v>6289.1148929160117</v>
      </c>
      <c r="AS30">
        <f t="shared" si="9"/>
        <v>6351.5709699898434</v>
      </c>
      <c r="AT30">
        <f t="shared" si="31"/>
        <v>18.995140242890148</v>
      </c>
      <c r="AU30" s="19">
        <f t="shared" si="32"/>
        <v>6304.7700355958359</v>
      </c>
      <c r="AV30" s="19">
        <f t="shared" si="33"/>
        <v>6346.6729221646583</v>
      </c>
      <c r="AW30">
        <f t="shared" si="34"/>
        <v>-67.298216116304062</v>
      </c>
      <c r="AX30">
        <f>IF(B30&gt;$AF$2,0,HLOOKUP(YEAR(A30),Assumptions!$A$34:$AL$37,2,TRUE)/100)</f>
        <v>1.6261000000000001E-2</v>
      </c>
      <c r="AY30" s="32">
        <f>1/(1+HLOOKUP(YEAR(A30),Assumptions!$A$27:$AL$29,3,TRUE))^(1/12)</f>
        <v>0.99860097247287194</v>
      </c>
      <c r="AZ30" s="30">
        <f t="shared" si="10"/>
        <v>7747.9791902161151</v>
      </c>
      <c r="BA30">
        <f>IF(B30&gt;$AF$2,0,IF($E$2=0,(T30*Z30+(1-T30)*AA30)*$J$2*Assumptions!$B$20,0))</f>
        <v>0</v>
      </c>
    </row>
    <row r="31" spans="1:53" x14ac:dyDescent="0.25">
      <c r="A31" s="17">
        <f t="shared" si="11"/>
        <v>43708</v>
      </c>
      <c r="B31">
        <f t="shared" si="1"/>
        <v>250</v>
      </c>
      <c r="C31">
        <f t="shared" si="2"/>
        <v>20.75</v>
      </c>
      <c r="D31">
        <f t="shared" si="3"/>
        <v>0</v>
      </c>
      <c r="E31">
        <f t="shared" si="4"/>
        <v>43</v>
      </c>
      <c r="F31">
        <f>IF(C31&gt;=$H$2,0,VLOOKUP($E31,'Mortality Table'!$A$3:$C$128,2+AB$2,FALSE))</f>
        <v>8.0059999999999994E-4</v>
      </c>
      <c r="G31">
        <f>F31*Assumptions!$B$1</f>
        <v>8.666495E-4</v>
      </c>
      <c r="H31">
        <f t="shared" si="12"/>
        <v>7.2249494695642014E-5</v>
      </c>
      <c r="I31">
        <f t="shared" si="13"/>
        <v>6.8073987738525923E-5</v>
      </c>
      <c r="J31">
        <f>HLOOKUP(C31,Assumptions!$A$6:$J$7,2,TRUE)</f>
        <v>3.5200000000000002E-2</v>
      </c>
      <c r="K31" s="18">
        <f t="shared" si="5"/>
        <v>1</v>
      </c>
      <c r="L31" s="18">
        <f t="shared" si="14"/>
        <v>8.3333333333333329E-2</v>
      </c>
      <c r="M31" s="18">
        <f t="shared" si="15"/>
        <v>2.9817501439168836E-3</v>
      </c>
      <c r="N31">
        <f t="shared" si="16"/>
        <v>2.8135193077072217E-3</v>
      </c>
      <c r="O31" s="20">
        <f t="shared" si="17"/>
        <v>0.94073232914981741</v>
      </c>
      <c r="P31">
        <f>IF(B31&gt;$AF$2,0,O30*($E$2+IF(E31&lt;=Assumptions!$B$9,$D$2,0))/$I$2*K31)</f>
        <v>48.328759727904888</v>
      </c>
      <c r="Q31">
        <f t="shared" si="18"/>
        <v>26.1</v>
      </c>
      <c r="R31">
        <f>IF(B31&gt;$AF$2,0,IF($Y$2=1,(SUMIF('Mortality Tarif Male'!A:A,E32,'Mortality Tarif Male'!G:G)-SUMIF('Mortality Tarif Male'!A:A,$C$2+$H$2,'Mortality Tarif Male'!G:G)+SUMIF('Mortality Tarif Male'!A:A,$C$2+$H$2,'Mortality Tarif Male'!D:D))/SUMIF('Mortality Tarif Male'!A:A,E32,'Mortality Tarif Male'!D:D),(SUMIF('Mortality Tarif Female'!A:A,E32,'Mortality Tarif Female'!G:G)-SUMIF('Mortality Tarif Female'!A:A,$C$2+$H$2,'Mortality Tarif Female'!G:G)+SUMIF('Mortality Tarif Female'!A:A,$C$2+$H$2,'Mortality Tarif Female'!D:D))/SUMIF('Mortality Tarif Female'!A:A,E32,'Mortality Tarif Female'!D:D)))</f>
        <v>0.51100285398145329</v>
      </c>
      <c r="S31">
        <f>IF(B31&gt;=$AF$2,0,IF($Y$2=1,(SUMIF('Mortality Tarif Male'!A:A,E32+1,'Mortality Tarif Male'!G:G)-SUMIF('Mortality Tarif Male'!A:A,$C$2+$H$2,'Mortality Tarif Male'!G:G)+SUMIF('Mortality Tarif Male'!A:A,$C$2+$H$2,'Mortality Tarif Male'!D:D))/SUMIF('Mortality Tarif Male'!A:A,E32+1,'Mortality Tarif Male'!D:D),(SUMIF('Mortality Tarif Female'!A:A,E32+1,'Mortality Tarif Female'!G:G)-SUMIF('Mortality Tarif Female'!A:A,$C$2+$H$2,'Mortality Tarif Female'!G:G)+SUMIF('Mortality Tarif Female'!A:A,$C$2+$H$2,'Mortality Tarif Female'!D:D))/SUMIF('Mortality Tarif Female'!A:A,E32+1,'Mortality Tarif Female'!D:D)))</f>
        <v>0.52828073605038051</v>
      </c>
      <c r="T31">
        <f t="shared" si="19"/>
        <v>0.16666666666666785</v>
      </c>
      <c r="U31">
        <f t="shared" si="20"/>
        <v>0.5254010890388926</v>
      </c>
      <c r="V31">
        <f t="shared" si="21"/>
        <v>10508.021780777852</v>
      </c>
      <c r="W31">
        <f t="shared" si="7"/>
        <v>13.712968423915097</v>
      </c>
      <c r="X31">
        <f t="shared" si="8"/>
        <v>0</v>
      </c>
      <c r="Y31">
        <f>IF(B31&gt;$AF$2,0,IF(X32=0,0,(1-X32)*($E$2+IF(E31&lt;=Assumptions!$B$9,$D$2,0))/$I$2*1/(1+$AG$2)*1/(1+Assumptions!$B$11)))</f>
        <v>0</v>
      </c>
      <c r="Z31">
        <f>IF(B31&gt;$AF$2,0,IF($Y$2=1,(SUMIF('Mortality Tarif Male'!A:A,E32,'Mortality Tarif Male'!E:E)-SUMIF('Mortality Tarif Male'!A:A,$C$2+$H$2,'Mortality Tarif Male'!E:E))/SUMIF('Mortality Tarif Male'!A:A,E32,'Mortality Tarif Male'!D:D),(SUMIF('Mortality Tarif Female'!A:A,E32,'Mortality Tarif Female'!E:E)-SUMIF('Mortality Tarif Female'!A:A,$C$2+$H$2,'Mortality Tarif Female'!E:E))/SUMIF('Mortality Tarif Female'!A:A,E32,'Mortality Tarif Female'!D:D)))</f>
        <v>14.478058988373103</v>
      </c>
      <c r="AA31">
        <f>IF(B31&gt;=$AF$2,0,IF($Y$2=1,(SUMIF('Mortality Tarif Male'!A:A,E32+1,'Mortality Tarif Male'!E:E)-SUMIF('Mortality Tarif Male'!A:A,$C$2+$H$2,'Mortality Tarif Male'!E:E))/SUMIF('Mortality Tarif Male'!A:A,E32+1,'Mortality Tarif Male'!D:D),(SUMIF('Mortality Tarif Female'!A:A,E32+1,'Mortality Tarif Female'!E:E)-SUMIF('Mortality Tarif Female'!A:A,$C$2+$H$2,'Mortality Tarif Female'!E:E))/SUMIF('Mortality Tarif Female'!A:A,E32+1,'Mortality Tarif Female'!D:D)))</f>
        <v>13.967132360239102</v>
      </c>
      <c r="AB31">
        <f t="shared" si="0"/>
        <v>3384.1386224087391</v>
      </c>
      <c r="AC31">
        <f>IF(B31&gt;=$AF$2,0,MIN(1/3*(V31+W31+Y31-AB31),(V31-AB31),(T31*Z31+(1-T31)*AA31)*$AH$2*Assumptions!$B$22))</f>
        <v>366.28664002087686</v>
      </c>
      <c r="AD31">
        <f t="shared" si="22"/>
        <v>6771.3094867721511</v>
      </c>
      <c r="AE31">
        <f t="shared" si="23"/>
        <v>7137.5961267930279</v>
      </c>
      <c r="AF31">
        <f t="shared" si="24"/>
        <v>6771.3094867721511</v>
      </c>
      <c r="AG31" s="26">
        <f t="shared" si="35"/>
        <v>0</v>
      </c>
      <c r="AH31" s="27">
        <f>IF(B31&gt;$AF$2,0,HLOOKUP(YEAR(A31),Assumptions!$A$34:$AL$37,4,TRUE)/100)</f>
        <v>1.0260999999999999E-2</v>
      </c>
      <c r="AI31">
        <f t="shared" si="25"/>
        <v>0</v>
      </c>
      <c r="AJ31">
        <f t="shared" si="26"/>
        <v>1.3632564858504939</v>
      </c>
      <c r="AK31">
        <f t="shared" si="27"/>
        <v>19.051209979494526</v>
      </c>
      <c r="AL31">
        <f>IF(E31&gt;Assumptions!$B$9,0,SUMPRODUCT($P$2:$X$2,Assumptions!$A$43:$I$43)/$I$2*O30*K31)</f>
        <v>5.2856156420202431</v>
      </c>
      <c r="AM31">
        <f t="shared" si="28"/>
        <v>0</v>
      </c>
      <c r="AN31">
        <f t="shared" si="29"/>
        <v>25.700082107365265</v>
      </c>
      <c r="AO31">
        <f>IF(E31&gt;Assumptions!$B$9,0,($V$2+$X$2)/$I$2*O30*K31*Assumptions!$B$46)</f>
        <v>0</v>
      </c>
      <c r="AP31">
        <f>IF(B31&gt;$AF$2,0,AP30*(1+Assumptions!$B$52)^(1/12))</f>
        <v>1.0167221606986325</v>
      </c>
      <c r="AQ31" s="29">
        <f>IF(B31&gt;$AF$2,0,O30*Assumptions!$B$48/12*AP30+AR31*Assumptions!$B$50/12)</f>
        <v>13.801239233977892</v>
      </c>
      <c r="AR31" s="31">
        <f t="shared" si="30"/>
        <v>6297.9242714150932</v>
      </c>
      <c r="AS31">
        <f t="shared" si="9"/>
        <v>6369.9897448854208</v>
      </c>
      <c r="AT31">
        <f t="shared" si="31"/>
        <v>18.937133183574915</v>
      </c>
      <c r="AU31" s="19">
        <f t="shared" si="32"/>
        <v>6313.5146587254458</v>
      </c>
      <c r="AV31" s="19">
        <f t="shared" si="33"/>
        <v>6365.2224875313977</v>
      </c>
      <c r="AW31">
        <f t="shared" si="34"/>
        <v>-77.079894622859229</v>
      </c>
      <c r="AX31">
        <f>IF(B31&gt;$AF$2,0,HLOOKUP(YEAR(A31),Assumptions!$A$34:$AL$37,2,TRUE)/100)</f>
        <v>1.6261000000000001E-2</v>
      </c>
      <c r="AY31" s="32">
        <f>1/(1+HLOOKUP(YEAR(A31),Assumptions!$A$27:$AL$29,3,TRUE))^(1/12)</f>
        <v>0.99860097247287194</v>
      </c>
      <c r="AZ31" s="30">
        <f t="shared" si="10"/>
        <v>7767.6614509646915</v>
      </c>
      <c r="BA31">
        <f>IF(B31&gt;$AF$2,0,IF($E$2=0,(T31*Z31+(1-T31)*AA31)*$J$2*Assumptions!$B$20,0))</f>
        <v>0</v>
      </c>
    </row>
    <row r="32" spans="1:53" x14ac:dyDescent="0.25">
      <c r="A32" s="17">
        <f t="shared" si="11"/>
        <v>43738</v>
      </c>
      <c r="B32">
        <f t="shared" si="1"/>
        <v>251</v>
      </c>
      <c r="C32">
        <f t="shared" si="2"/>
        <v>20.833333333333332</v>
      </c>
      <c r="D32">
        <f t="shared" si="3"/>
        <v>0</v>
      </c>
      <c r="E32">
        <f t="shared" si="4"/>
        <v>43</v>
      </c>
      <c r="F32">
        <f>IF(C32&gt;=$H$2,0,VLOOKUP($E32,'Mortality Table'!$A$3:$C$128,2+AB$2,FALSE))</f>
        <v>8.0059999999999994E-4</v>
      </c>
      <c r="G32">
        <f>F32*Assumptions!$B$1</f>
        <v>8.666495E-4</v>
      </c>
      <c r="H32">
        <f t="shared" si="12"/>
        <v>7.2249494695642014E-5</v>
      </c>
      <c r="I32">
        <f t="shared" si="13"/>
        <v>6.7866104469748719E-5</v>
      </c>
      <c r="J32">
        <f>HLOOKUP(C32,Assumptions!$A$6:$J$7,2,TRUE)</f>
        <v>3.5200000000000002E-2</v>
      </c>
      <c r="K32" s="18">
        <f t="shared" si="5"/>
        <v>1</v>
      </c>
      <c r="L32" s="18">
        <f t="shared" si="14"/>
        <v>8.3333333333333329E-2</v>
      </c>
      <c r="M32" s="18">
        <f t="shared" si="15"/>
        <v>2.9817501439168836E-3</v>
      </c>
      <c r="N32">
        <f t="shared" si="16"/>
        <v>2.8049274268745531E-3</v>
      </c>
      <c r="O32" s="20">
        <f t="shared" si="17"/>
        <v>0.93785953561847313</v>
      </c>
      <c r="P32">
        <f>IF(B32&gt;$AF$2,0,O31*($E$2+IF(E32&lt;=Assumptions!$B$9,$D$2,0))/$I$2*K32)</f>
        <v>48.181174124623141</v>
      </c>
      <c r="Q32">
        <f t="shared" si="18"/>
        <v>26.1</v>
      </c>
      <c r="R32">
        <f>IF(B32&gt;$AF$2,0,IF($Y$2=1,(SUMIF('Mortality Tarif Male'!A:A,E33,'Mortality Tarif Male'!G:G)-SUMIF('Mortality Tarif Male'!A:A,$C$2+$H$2,'Mortality Tarif Male'!G:G)+SUMIF('Mortality Tarif Male'!A:A,$C$2+$H$2,'Mortality Tarif Male'!D:D))/SUMIF('Mortality Tarif Male'!A:A,E33,'Mortality Tarif Male'!D:D),(SUMIF('Mortality Tarif Female'!A:A,E33,'Mortality Tarif Female'!G:G)-SUMIF('Mortality Tarif Female'!A:A,$C$2+$H$2,'Mortality Tarif Female'!G:G)+SUMIF('Mortality Tarif Female'!A:A,$C$2+$H$2,'Mortality Tarif Female'!D:D))/SUMIF('Mortality Tarif Female'!A:A,E33,'Mortality Tarif Female'!D:D)))</f>
        <v>0.51100285398145329</v>
      </c>
      <c r="S32">
        <f>IF(B32&gt;=$AF$2,0,IF($Y$2=1,(SUMIF('Mortality Tarif Male'!A:A,E33+1,'Mortality Tarif Male'!G:G)-SUMIF('Mortality Tarif Male'!A:A,$C$2+$H$2,'Mortality Tarif Male'!G:G)+SUMIF('Mortality Tarif Male'!A:A,$C$2+$H$2,'Mortality Tarif Male'!D:D))/SUMIF('Mortality Tarif Male'!A:A,E33+1,'Mortality Tarif Male'!D:D),(SUMIF('Mortality Tarif Female'!A:A,E33+1,'Mortality Tarif Female'!G:G)-SUMIF('Mortality Tarif Female'!A:A,$C$2+$H$2,'Mortality Tarif Female'!G:G)+SUMIF('Mortality Tarif Female'!A:A,$C$2+$H$2,'Mortality Tarif Female'!D:D))/SUMIF('Mortality Tarif Female'!A:A,E33+1,'Mortality Tarif Female'!D:D)))</f>
        <v>0.52828073605038051</v>
      </c>
      <c r="T32">
        <f t="shared" si="19"/>
        <v>8.3333333333332149E-2</v>
      </c>
      <c r="U32">
        <f t="shared" si="20"/>
        <v>0.52684091254463661</v>
      </c>
      <c r="V32">
        <f t="shared" si="21"/>
        <v>10536.818250892733</v>
      </c>
      <c r="W32">
        <f t="shared" si="7"/>
        <v>13.750547817415017</v>
      </c>
      <c r="X32">
        <f t="shared" si="8"/>
        <v>0</v>
      </c>
      <c r="Y32">
        <f>IF(B32&gt;$AF$2,0,IF(X33=0,0,(1-X33)*($E$2+IF(E32&lt;=Assumptions!$B$9,$D$2,0))/$I$2*1/(1+$AG$2)*1/(1+Assumptions!$B$11)))</f>
        <v>0</v>
      </c>
      <c r="Z32">
        <f>IF(B32&gt;$AF$2,0,IF($Y$2=1,(SUMIF('Mortality Tarif Male'!A:A,E33,'Mortality Tarif Male'!E:E)-SUMIF('Mortality Tarif Male'!A:A,$C$2+$H$2,'Mortality Tarif Male'!E:E))/SUMIF('Mortality Tarif Male'!A:A,E33,'Mortality Tarif Male'!D:D),(SUMIF('Mortality Tarif Female'!A:A,E33,'Mortality Tarif Female'!E:E)-SUMIF('Mortality Tarif Female'!A:A,$C$2+$H$2,'Mortality Tarif Female'!E:E))/SUMIF('Mortality Tarif Female'!A:A,E33,'Mortality Tarif Female'!D:D)))</f>
        <v>14.478058988373103</v>
      </c>
      <c r="AA32">
        <f>IF(B32&gt;=$AF$2,0,IF($Y$2=1,(SUMIF('Mortality Tarif Male'!A:A,E33+1,'Mortality Tarif Male'!E:E)-SUMIF('Mortality Tarif Male'!A:A,$C$2+$H$2,'Mortality Tarif Male'!E:E))/SUMIF('Mortality Tarif Male'!A:A,E33+1,'Mortality Tarif Male'!D:D),(SUMIF('Mortality Tarif Female'!A:A,E33+1,'Mortality Tarif Female'!E:E)-SUMIF('Mortality Tarif Female'!A:A,$C$2+$H$2,'Mortality Tarif Female'!E:E))/SUMIF('Mortality Tarif Female'!A:A,E33+1,'Mortality Tarif Female'!D:D)))</f>
        <v>13.967132360239102</v>
      </c>
      <c r="AB32">
        <f t="shared" si="0"/>
        <v>3373.8849737778073</v>
      </c>
      <c r="AC32">
        <f>IF(B32&gt;=$AF$2,0,MIN(1/3*(V32+W32+Y32-AB32),(V32-AB32),(T32*Z32+(1-T32)*AA32)*$AH$2*Assumptions!$B$22))</f>
        <v>365.1768230411264</v>
      </c>
      <c r="AD32">
        <f t="shared" si="22"/>
        <v>6811.5070018912147</v>
      </c>
      <c r="AE32">
        <f t="shared" si="23"/>
        <v>7176.6838249323409</v>
      </c>
      <c r="AF32">
        <f t="shared" si="24"/>
        <v>6811.5070018912147</v>
      </c>
      <c r="AG32" s="26">
        <f t="shared" si="35"/>
        <v>0</v>
      </c>
      <c r="AH32" s="27">
        <f>IF(B32&gt;$AF$2,0,HLOOKUP(YEAR(A32),Assumptions!$A$34:$AL$37,4,TRUE)/100)</f>
        <v>1.0260999999999999E-2</v>
      </c>
      <c r="AI32">
        <f t="shared" si="25"/>
        <v>0</v>
      </c>
      <c r="AJ32">
        <f t="shared" si="26"/>
        <v>1.3590933947216348</v>
      </c>
      <c r="AK32">
        <f t="shared" si="27"/>
        <v>19.105782807952728</v>
      </c>
      <c r="AL32">
        <f>IF(E32&gt;Assumptions!$B$9,0,SUMPRODUCT($P$2:$X$2,Assumptions!$A$43:$I$43)/$I$2*O31*K32)</f>
        <v>5.2694745124395359</v>
      </c>
      <c r="AM32">
        <f t="shared" si="28"/>
        <v>0</v>
      </c>
      <c r="AN32">
        <f t="shared" si="29"/>
        <v>25.734350715113901</v>
      </c>
      <c r="AO32">
        <f>IF(E32&gt;Assumptions!$B$9,0,($V$2+$X$2)/$I$2*O31*K32*Assumptions!$B$46)</f>
        <v>0</v>
      </c>
      <c r="AP32">
        <f>IF(B32&gt;$AF$2,0,AP31*(1+Assumptions!$B$52)^(1/12))</f>
        <v>1.0175655704826325</v>
      </c>
      <c r="AQ32" s="29">
        <f>IF(B32&gt;$AF$2,0,O31*Assumptions!$B$48/12*AP31+AR32*Assumptions!$B$50/12)</f>
        <v>13.775973297792333</v>
      </c>
      <c r="AR32" s="31">
        <f t="shared" si="30"/>
        <v>6306.5196790154232</v>
      </c>
      <c r="AS32">
        <f t="shared" si="9"/>
        <v>6388.236793655673</v>
      </c>
      <c r="AT32">
        <f t="shared" si="31"/>
        <v>18.879303265301406</v>
      </c>
      <c r="AU32" s="19">
        <f t="shared" si="32"/>
        <v>6322.045576576953</v>
      </c>
      <c r="AV32" s="19">
        <f t="shared" si="33"/>
        <v>6383.599573638282</v>
      </c>
      <c r="AW32">
        <f t="shared" si="34"/>
        <v>-86.902857050155419</v>
      </c>
      <c r="AX32">
        <f>IF(B32&gt;$AF$2,0,HLOOKUP(YEAR(A32),Assumptions!$A$34:$AL$37,2,TRUE)/100)</f>
        <v>1.6261000000000001E-2</v>
      </c>
      <c r="AY32" s="32">
        <f>1/(1+HLOOKUP(YEAR(A32),Assumptions!$A$27:$AL$29,3,TRUE))^(1/12)</f>
        <v>0.99860097247287194</v>
      </c>
      <c r="AZ32" s="30">
        <f t="shared" si="10"/>
        <v>7787.2146980406342</v>
      </c>
      <c r="BA32">
        <f>IF(B32&gt;$AF$2,0,IF($E$2=0,(T32*Z32+(1-T32)*AA32)*$J$2*Assumptions!$B$20,0))</f>
        <v>0</v>
      </c>
    </row>
    <row r="33" spans="1:53" x14ac:dyDescent="0.25">
      <c r="A33" s="17">
        <f t="shared" si="11"/>
        <v>43769</v>
      </c>
      <c r="B33">
        <f t="shared" si="1"/>
        <v>252</v>
      </c>
      <c r="C33">
        <f t="shared" si="2"/>
        <v>20.916666666666668</v>
      </c>
      <c r="D33">
        <f t="shared" si="3"/>
        <v>0</v>
      </c>
      <c r="E33">
        <f t="shared" si="4"/>
        <v>43</v>
      </c>
      <c r="F33">
        <f>IF(C33&gt;=$H$2,0,VLOOKUP($E33,'Mortality Table'!$A$3:$C$128,2+AB$2,FALSE))</f>
        <v>8.0059999999999994E-4</v>
      </c>
      <c r="G33">
        <f>F33*Assumptions!$B$1</f>
        <v>8.666495E-4</v>
      </c>
      <c r="H33">
        <f t="shared" si="12"/>
        <v>7.2249494695642014E-5</v>
      </c>
      <c r="I33">
        <f t="shared" si="13"/>
        <v>6.7658856031614959E-5</v>
      </c>
      <c r="J33">
        <f>HLOOKUP(C33,Assumptions!$A$6:$J$7,2,TRUE)</f>
        <v>3.5200000000000002E-2</v>
      </c>
      <c r="K33" s="18">
        <f t="shared" si="5"/>
        <v>1</v>
      </c>
      <c r="L33" s="18">
        <f t="shared" si="14"/>
        <v>8.3333333333333329E-2</v>
      </c>
      <c r="M33" s="18">
        <f t="shared" si="15"/>
        <v>2.9817501439168836E-3</v>
      </c>
      <c r="N33">
        <f t="shared" si="16"/>
        <v>2.7963617837918949E-3</v>
      </c>
      <c r="O33" s="20">
        <f t="shared" si="17"/>
        <v>0.93499551497864952</v>
      </c>
      <c r="P33">
        <f>IF(B33&gt;$AF$2,0,O32*($E$2+IF(E33&lt;=Assumptions!$B$9,$D$2,0))/$I$2*K33)</f>
        <v>48.034039215926128</v>
      </c>
      <c r="Q33">
        <f t="shared" si="18"/>
        <v>26.1</v>
      </c>
      <c r="R33">
        <f>IF(B33&gt;$AF$2,0,IF($Y$2=1,(SUMIF('Mortality Tarif Male'!A:A,E34,'Mortality Tarif Male'!G:G)-SUMIF('Mortality Tarif Male'!A:A,$C$2+$H$2,'Mortality Tarif Male'!G:G)+SUMIF('Mortality Tarif Male'!A:A,$C$2+$H$2,'Mortality Tarif Male'!D:D))/SUMIF('Mortality Tarif Male'!A:A,E34,'Mortality Tarif Male'!D:D),(SUMIF('Mortality Tarif Female'!A:A,E34,'Mortality Tarif Female'!G:G)-SUMIF('Mortality Tarif Female'!A:A,$C$2+$H$2,'Mortality Tarif Female'!G:G)+SUMIF('Mortality Tarif Female'!A:A,$C$2+$H$2,'Mortality Tarif Female'!D:D))/SUMIF('Mortality Tarif Female'!A:A,E34,'Mortality Tarif Female'!D:D)))</f>
        <v>0.52828073605038051</v>
      </c>
      <c r="S33">
        <f>IF(B33&gt;=$AF$2,0,IF($Y$2=1,(SUMIF('Mortality Tarif Male'!A:A,E34+1,'Mortality Tarif Male'!G:G)-SUMIF('Mortality Tarif Male'!A:A,$C$2+$H$2,'Mortality Tarif Male'!G:G)+SUMIF('Mortality Tarif Male'!A:A,$C$2+$H$2,'Mortality Tarif Male'!D:D))/SUMIF('Mortality Tarif Male'!A:A,E34+1,'Mortality Tarif Male'!D:D),(SUMIF('Mortality Tarif Female'!A:A,E34+1,'Mortality Tarif Female'!G:G)-SUMIF('Mortality Tarif Female'!A:A,$C$2+$H$2,'Mortality Tarif Female'!G:G)+SUMIF('Mortality Tarif Female'!A:A,$C$2+$H$2,'Mortality Tarif Female'!D:D))/SUMIF('Mortality Tarif Female'!A:A,E34+1,'Mortality Tarif Female'!D:D)))</f>
        <v>0.54616100261026923</v>
      </c>
      <c r="T33">
        <f t="shared" si="19"/>
        <v>1</v>
      </c>
      <c r="U33">
        <f t="shared" si="20"/>
        <v>0.52828073605038051</v>
      </c>
      <c r="V33">
        <f t="shared" si="21"/>
        <v>10565.614721007611</v>
      </c>
      <c r="W33">
        <f t="shared" si="7"/>
        <v>13.788127210914931</v>
      </c>
      <c r="X33">
        <f t="shared" si="8"/>
        <v>0</v>
      </c>
      <c r="Y33">
        <f>IF(B33&gt;$AF$2,0,IF(X34=0,0,(1-X34)*($E$2+IF(E33&lt;=Assumptions!$B$9,$D$2,0))/$I$2*1/(1+$AG$2)*1/(1+Assumptions!$B$11)))</f>
        <v>0</v>
      </c>
      <c r="Z33">
        <f>IF(B33&gt;$AF$2,0,IF($Y$2=1,(SUMIF('Mortality Tarif Male'!A:A,E34,'Mortality Tarif Male'!E:E)-SUMIF('Mortality Tarif Male'!A:A,$C$2+$H$2,'Mortality Tarif Male'!E:E))/SUMIF('Mortality Tarif Male'!A:A,E34,'Mortality Tarif Male'!D:D),(SUMIF('Mortality Tarif Female'!A:A,E34,'Mortality Tarif Female'!E:E)-SUMIF('Mortality Tarif Female'!A:A,$C$2+$H$2,'Mortality Tarif Female'!E:E))/SUMIF('Mortality Tarif Female'!A:A,E34,'Mortality Tarif Female'!D:D)))</f>
        <v>13.967132360239102</v>
      </c>
      <c r="AA33">
        <f>IF(B33&gt;=$AF$2,0,IF($Y$2=1,(SUMIF('Mortality Tarif Male'!A:A,E34+1,'Mortality Tarif Male'!E:E)-SUMIF('Mortality Tarif Male'!A:A,$C$2+$H$2,'Mortality Tarif Male'!E:E))/SUMIF('Mortality Tarif Male'!A:A,E34+1,'Mortality Tarif Male'!D:D),(SUMIF('Mortality Tarif Female'!A:A,E34+1,'Mortality Tarif Female'!E:E)-SUMIF('Mortality Tarif Female'!A:A,$C$2+$H$2,'Mortality Tarif Female'!E:E))/SUMIF('Mortality Tarif Female'!A:A,E34+1,'Mortality Tarif Female'!D:D)))</f>
        <v>13.438366712927463</v>
      </c>
      <c r="AB33">
        <f t="shared" si="0"/>
        <v>3363.6313251468769</v>
      </c>
      <c r="AC33">
        <f>IF(B33&gt;=$AF$2,0,MIN(1/3*(V33+W33+Y33-AB33),(V33-AB33),(T33*Z33+(1-T33)*AA33)*$AH$2*Assumptions!$B$22))</f>
        <v>364.06700606137605</v>
      </c>
      <c r="AD33">
        <f t="shared" si="22"/>
        <v>6851.7045170102738</v>
      </c>
      <c r="AE33">
        <f t="shared" si="23"/>
        <v>7215.7715230716494</v>
      </c>
      <c r="AF33">
        <f t="shared" si="24"/>
        <v>6851.7045170102738</v>
      </c>
      <c r="AG33" s="26">
        <f t="shared" si="35"/>
        <v>0</v>
      </c>
      <c r="AH33" s="27">
        <f>IF(B33&gt;$AF$2,0,HLOOKUP(YEAR(A33),Assumptions!$A$34:$AL$37,4,TRUE)/100)</f>
        <v>1.0260999999999999E-2</v>
      </c>
      <c r="AI33">
        <f t="shared" si="25"/>
        <v>0</v>
      </c>
      <c r="AJ33">
        <f t="shared" si="26"/>
        <v>1.3549430167747243</v>
      </c>
      <c r="AK33">
        <f t="shared" si="27"/>
        <v>19.159844665201835</v>
      </c>
      <c r="AL33">
        <f>IF(E33&gt;Assumptions!$B$9,0,SUMPRODUCT($P$2:$X$2,Assumptions!$A$43:$I$43)/$I$2*O32*K33)</f>
        <v>5.2533826743854517</v>
      </c>
      <c r="AM33">
        <f t="shared" si="28"/>
        <v>0</v>
      </c>
      <c r="AN33">
        <f t="shared" si="29"/>
        <v>25.76817035636201</v>
      </c>
      <c r="AO33">
        <f>IF(E33&gt;Assumptions!$B$9,0,($V$2+$X$2)/$I$2*O32*K33*Assumptions!$B$46)</f>
        <v>0</v>
      </c>
      <c r="AP33">
        <f>IF(B33&gt;$AF$2,0,AP32*(1+Assumptions!$B$52)^(1/12))</f>
        <v>1.0184096799071942</v>
      </c>
      <c r="AQ33" s="29">
        <f>IF(B33&gt;$AF$2,0,O32*Assumptions!$B$48/12*AP32+AR33*Assumptions!$B$50/12)</f>
        <v>13.750716802127883</v>
      </c>
      <c r="AR33" s="31">
        <f t="shared" si="30"/>
        <v>6314.9022038782514</v>
      </c>
      <c r="AS33">
        <f t="shared" si="9"/>
        <v>6406.3129933635601</v>
      </c>
      <c r="AT33">
        <f t="shared" si="31"/>
        <v>18.821649947119113</v>
      </c>
      <c r="AU33" s="19">
        <f t="shared" si="32"/>
        <v>6330.3638763449308</v>
      </c>
      <c r="AV33" s="19">
        <f t="shared" si="33"/>
        <v>6401.8050609284064</v>
      </c>
      <c r="AW33">
        <f t="shared" si="34"/>
        <v>-96.766896745327188</v>
      </c>
      <c r="AX33">
        <f>IF(B33&gt;$AF$2,0,HLOOKUP(YEAR(A33),Assumptions!$A$34:$AL$37,2,TRUE)/100)</f>
        <v>1.6261000000000001E-2</v>
      </c>
      <c r="AY33" s="32">
        <f>1/(1+HLOOKUP(YEAR(A33),Assumptions!$A$27:$AL$29,3,TRUE))^(1/12)</f>
        <v>0.99860097247287194</v>
      </c>
      <c r="AZ33" s="30">
        <f t="shared" si="10"/>
        <v>7806.6396409179579</v>
      </c>
      <c r="BA33">
        <f>IF(B33&gt;$AF$2,0,IF($E$2=0,(T33*Z33+(1-T33)*AA33)*$J$2*Assumptions!$B$20,0))</f>
        <v>0</v>
      </c>
    </row>
    <row r="34" spans="1:53" x14ac:dyDescent="0.25">
      <c r="A34" s="17">
        <f t="shared" si="11"/>
        <v>43799</v>
      </c>
      <c r="B34">
        <f t="shared" si="1"/>
        <v>253</v>
      </c>
      <c r="C34">
        <f t="shared" si="2"/>
        <v>21</v>
      </c>
      <c r="D34">
        <f t="shared" si="3"/>
        <v>1</v>
      </c>
      <c r="E34">
        <f t="shared" si="4"/>
        <v>44</v>
      </c>
      <c r="F34">
        <f>IF(C34&gt;=$H$2,0,VLOOKUP($E34,'Mortality Table'!$A$3:$C$128,2+AB$2,FALSE))</f>
        <v>8.8049999999999999E-4</v>
      </c>
      <c r="G34">
        <f>F34*Assumptions!$B$1</f>
        <v>9.5314124999999999E-4</v>
      </c>
      <c r="H34">
        <f t="shared" si="12"/>
        <v>7.9463157466319601E-5</v>
      </c>
      <c r="I34">
        <f t="shared" si="13"/>
        <v>7.4186927254423591E-5</v>
      </c>
      <c r="J34">
        <f>HLOOKUP(C34,Assumptions!$A$6:$J$7,2,TRUE)</f>
        <v>3.5200000000000002E-2</v>
      </c>
      <c r="K34" s="18">
        <f t="shared" si="5"/>
        <v>1</v>
      </c>
      <c r="L34" s="18">
        <f t="shared" si="14"/>
        <v>8.3333333333333329E-2</v>
      </c>
      <c r="M34" s="18">
        <f t="shared" si="15"/>
        <v>2.9817501439168836E-3</v>
      </c>
      <c r="N34">
        <f t="shared" si="16"/>
        <v>2.7878122427666017E-3</v>
      </c>
      <c r="O34" s="20">
        <f t="shared" si="17"/>
        <v>0.93213351580862847</v>
      </c>
      <c r="P34">
        <f>IF(B34&gt;$AF$2,0,O33*($E$2+IF(E34&lt;=Assumptions!$B$9,$D$2,0))/$I$2*K34)</f>
        <v>47.887353625489823</v>
      </c>
      <c r="Q34">
        <f t="shared" si="18"/>
        <v>26.1</v>
      </c>
      <c r="R34">
        <f>IF(B34&gt;$AF$2,0,IF($Y$2=1,(SUMIF('Mortality Tarif Male'!A:A,E35,'Mortality Tarif Male'!G:G)-SUMIF('Mortality Tarif Male'!A:A,$C$2+$H$2,'Mortality Tarif Male'!G:G)+SUMIF('Mortality Tarif Male'!A:A,$C$2+$H$2,'Mortality Tarif Male'!D:D))/SUMIF('Mortality Tarif Male'!A:A,E35,'Mortality Tarif Male'!D:D),(SUMIF('Mortality Tarif Female'!A:A,E35,'Mortality Tarif Female'!G:G)-SUMIF('Mortality Tarif Female'!A:A,$C$2+$H$2,'Mortality Tarif Female'!G:G)+SUMIF('Mortality Tarif Female'!A:A,$C$2+$H$2,'Mortality Tarif Female'!D:D))/SUMIF('Mortality Tarif Female'!A:A,E35,'Mortality Tarif Female'!D:D)))</f>
        <v>0.52828073605038051</v>
      </c>
      <c r="S34">
        <f>IF(B34&gt;=$AF$2,0,IF($Y$2=1,(SUMIF('Mortality Tarif Male'!A:A,E35+1,'Mortality Tarif Male'!G:G)-SUMIF('Mortality Tarif Male'!A:A,$C$2+$H$2,'Mortality Tarif Male'!G:G)+SUMIF('Mortality Tarif Male'!A:A,$C$2+$H$2,'Mortality Tarif Male'!D:D))/SUMIF('Mortality Tarif Male'!A:A,E35+1,'Mortality Tarif Male'!D:D),(SUMIF('Mortality Tarif Female'!A:A,E35+1,'Mortality Tarif Female'!G:G)-SUMIF('Mortality Tarif Female'!A:A,$C$2+$H$2,'Mortality Tarif Female'!G:G)+SUMIF('Mortality Tarif Female'!A:A,$C$2+$H$2,'Mortality Tarif Female'!D:D))/SUMIF('Mortality Tarif Female'!A:A,E35+1,'Mortality Tarif Female'!D:D)))</f>
        <v>0.54616100261026923</v>
      </c>
      <c r="T34">
        <f t="shared" si="19"/>
        <v>0.91666666666666785</v>
      </c>
      <c r="U34">
        <f t="shared" si="20"/>
        <v>0.52977075826370457</v>
      </c>
      <c r="V34">
        <f t="shared" si="21"/>
        <v>10595.415165274091</v>
      </c>
      <c r="W34">
        <f t="shared" si="7"/>
        <v>13.82701679068269</v>
      </c>
      <c r="X34">
        <f t="shared" si="8"/>
        <v>0</v>
      </c>
      <c r="Y34">
        <f>IF(B34&gt;$AF$2,0,IF(X35=0,0,(1-X35)*($E$2+IF(E34&lt;=Assumptions!$B$9,$D$2,0))/$I$2*1/(1+$AG$2)*1/(1+Assumptions!$B$11)))</f>
        <v>0</v>
      </c>
      <c r="Z34">
        <f>IF(B34&gt;$AF$2,0,IF($Y$2=1,(SUMIF('Mortality Tarif Male'!A:A,E35,'Mortality Tarif Male'!E:E)-SUMIF('Mortality Tarif Male'!A:A,$C$2+$H$2,'Mortality Tarif Male'!E:E))/SUMIF('Mortality Tarif Male'!A:A,E35,'Mortality Tarif Male'!D:D),(SUMIF('Mortality Tarif Female'!A:A,E35,'Mortality Tarif Female'!E:E)-SUMIF('Mortality Tarif Female'!A:A,$C$2+$H$2,'Mortality Tarif Female'!E:E))/SUMIF('Mortality Tarif Female'!A:A,E35,'Mortality Tarif Female'!D:D)))</f>
        <v>13.967132360239102</v>
      </c>
      <c r="AA34">
        <f>IF(B34&gt;=$AF$2,0,IF($Y$2=1,(SUMIF('Mortality Tarif Male'!A:A,E35+1,'Mortality Tarif Male'!E:E)-SUMIF('Mortality Tarif Male'!A:A,$C$2+$H$2,'Mortality Tarif Male'!E:E))/SUMIF('Mortality Tarif Male'!A:A,E35+1,'Mortality Tarif Male'!D:D),(SUMIF('Mortality Tarif Female'!A:A,E35+1,'Mortality Tarif Female'!E:E)-SUMIF('Mortality Tarif Female'!A:A,$C$2+$H$2,'Mortality Tarif Female'!E:E))/SUMIF('Mortality Tarif Female'!A:A,E35+1,'Mortality Tarif Female'!D:D)))</f>
        <v>13.438366712927463</v>
      </c>
      <c r="AB34">
        <f t="shared" si="0"/>
        <v>3353.0196700537731</v>
      </c>
      <c r="AC34">
        <f>IF(B34&gt;=$AF$2,0,MIN(1/3*(V34+W34+Y34-AB34),(V34-AB34),(T34*Z34+(1-T34)*AA34)*$AH$2*Assumptions!$B$22))</f>
        <v>362.91843978711785</v>
      </c>
      <c r="AD34">
        <f t="shared" si="22"/>
        <v>6893.3040722238838</v>
      </c>
      <c r="AE34">
        <f t="shared" si="23"/>
        <v>7256.2225120110015</v>
      </c>
      <c r="AF34">
        <f t="shared" si="24"/>
        <v>6893.3040722238838</v>
      </c>
      <c r="AG34" s="26">
        <f t="shared" si="35"/>
        <v>0</v>
      </c>
      <c r="AH34" s="27">
        <f>IF(B34&gt;$AF$2,0,HLOOKUP(YEAR(A34),Assumptions!$A$34:$AL$37,4,TRUE)/100)</f>
        <v>1.0260999999999999E-2</v>
      </c>
      <c r="AI34">
        <f t="shared" si="25"/>
        <v>0</v>
      </c>
      <c r="AJ34">
        <f t="shared" si="26"/>
        <v>1.4856748238898121</v>
      </c>
      <c r="AK34">
        <f t="shared" si="27"/>
        <v>19.217237485658615</v>
      </c>
      <c r="AL34">
        <f>IF(E34&gt;Assumptions!$B$9,0,SUMPRODUCT($P$2:$X$2,Assumptions!$A$43:$I$43)/$I$2*O33*K34)</f>
        <v>5.2373399773323053</v>
      </c>
      <c r="AM34">
        <f t="shared" si="28"/>
        <v>0</v>
      </c>
      <c r="AN34">
        <f t="shared" si="29"/>
        <v>25.940252286880732</v>
      </c>
      <c r="AO34">
        <f>IF(E34&gt;Assumptions!$B$9,0,($V$2+$X$2)/$I$2*O33*K34*Assumptions!$B$46)</f>
        <v>0</v>
      </c>
      <c r="AP34">
        <f>IF(B34&gt;$AF$2,0,AP33*(1+Assumptions!$B$52)^(1/12))</f>
        <v>1.0192544895526963</v>
      </c>
      <c r="AQ34" s="29">
        <f>IF(B34&gt;$AF$2,0,O33*Assumptions!$B$48/12*AP33+AR34*Assumptions!$B$50/12)</f>
        <v>13.725469873206253</v>
      </c>
      <c r="AR34" s="31">
        <f t="shared" si="30"/>
        <v>6323.0729293306294</v>
      </c>
      <c r="AS34">
        <f t="shared" si="9"/>
        <v>6425.4797603799843</v>
      </c>
      <c r="AT34">
        <f t="shared" si="31"/>
        <v>18.76417268972946</v>
      </c>
      <c r="AU34" s="19">
        <f t="shared" si="32"/>
        <v>6338.4706403931841</v>
      </c>
      <c r="AV34" s="19">
        <f t="shared" si="33"/>
        <v>6419.8398260759568</v>
      </c>
      <c r="AW34">
        <f t="shared" si="34"/>
        <v>-106.67180811647771</v>
      </c>
      <c r="AX34">
        <f>IF(B34&gt;$AF$2,0,HLOOKUP(YEAR(A34),Assumptions!$A$34:$AL$37,2,TRUE)/100)</f>
        <v>1.6261000000000001E-2</v>
      </c>
      <c r="AY34" s="32">
        <f>1/(1+HLOOKUP(YEAR(A34),Assumptions!$A$27:$AL$29,3,TRUE))^(1/12)</f>
        <v>0.99860097247287194</v>
      </c>
      <c r="AZ34" s="30">
        <f t="shared" si="10"/>
        <v>7825.7982773063259</v>
      </c>
      <c r="BA34">
        <f>IF(B34&gt;$AF$2,0,IF($E$2=0,(T34*Z34+(1-T34)*AA34)*$J$2*Assumptions!$B$20,0))</f>
        <v>0</v>
      </c>
    </row>
    <row r="35" spans="1:53" x14ac:dyDescent="0.25">
      <c r="A35" s="17">
        <f t="shared" si="11"/>
        <v>43830</v>
      </c>
      <c r="B35">
        <f t="shared" si="1"/>
        <v>254</v>
      </c>
      <c r="C35">
        <f t="shared" si="2"/>
        <v>21.083333333333332</v>
      </c>
      <c r="D35">
        <f t="shared" si="3"/>
        <v>0</v>
      </c>
      <c r="E35">
        <f t="shared" si="4"/>
        <v>44</v>
      </c>
      <c r="F35">
        <f>IF(C35&gt;=$H$2,0,VLOOKUP($E35,'Mortality Table'!$A$3:$C$128,2+AB$2,FALSE))</f>
        <v>8.8049999999999999E-4</v>
      </c>
      <c r="G35">
        <f>F35*Assumptions!$B$1</f>
        <v>9.5314124999999999E-4</v>
      </c>
      <c r="H35">
        <f t="shared" si="12"/>
        <v>7.9463157466319601E-5</v>
      </c>
      <c r="I35">
        <f t="shared" si="13"/>
        <v>7.3959842823720836E-5</v>
      </c>
      <c r="J35">
        <f>HLOOKUP(C35,Assumptions!$A$6:$J$7,2,TRUE)</f>
        <v>3.5200000000000002E-2</v>
      </c>
      <c r="K35" s="18">
        <f t="shared" si="5"/>
        <v>1</v>
      </c>
      <c r="L35" s="18">
        <f t="shared" si="14"/>
        <v>8.3333333333333329E-2</v>
      </c>
      <c r="M35" s="18">
        <f t="shared" si="15"/>
        <v>2.9817501439168836E-3</v>
      </c>
      <c r="N35">
        <f t="shared" si="16"/>
        <v>2.7792788153895142E-3</v>
      </c>
      <c r="O35" s="20">
        <f t="shared" si="17"/>
        <v>0.92928027715041517</v>
      </c>
      <c r="P35">
        <f>IF(B35&gt;$AF$2,0,O34*($E$2+IF(E35&lt;=Assumptions!$B$9,$D$2,0))/$I$2*K35)</f>
        <v>47.740771567998586</v>
      </c>
      <c r="Q35">
        <f t="shared" si="18"/>
        <v>26.1</v>
      </c>
      <c r="R35">
        <f>IF(B35&gt;$AF$2,0,IF($Y$2=1,(SUMIF('Mortality Tarif Male'!A:A,E36,'Mortality Tarif Male'!G:G)-SUMIF('Mortality Tarif Male'!A:A,$C$2+$H$2,'Mortality Tarif Male'!G:G)+SUMIF('Mortality Tarif Male'!A:A,$C$2+$H$2,'Mortality Tarif Male'!D:D))/SUMIF('Mortality Tarif Male'!A:A,E36,'Mortality Tarif Male'!D:D),(SUMIF('Mortality Tarif Female'!A:A,E36,'Mortality Tarif Female'!G:G)-SUMIF('Mortality Tarif Female'!A:A,$C$2+$H$2,'Mortality Tarif Female'!G:G)+SUMIF('Mortality Tarif Female'!A:A,$C$2+$H$2,'Mortality Tarif Female'!D:D))/SUMIF('Mortality Tarif Female'!A:A,E36,'Mortality Tarif Female'!D:D)))</f>
        <v>0.52828073605038051</v>
      </c>
      <c r="S35">
        <f>IF(B35&gt;=$AF$2,0,IF($Y$2=1,(SUMIF('Mortality Tarif Male'!A:A,E36+1,'Mortality Tarif Male'!G:G)-SUMIF('Mortality Tarif Male'!A:A,$C$2+$H$2,'Mortality Tarif Male'!G:G)+SUMIF('Mortality Tarif Male'!A:A,$C$2+$H$2,'Mortality Tarif Male'!D:D))/SUMIF('Mortality Tarif Male'!A:A,E36+1,'Mortality Tarif Male'!D:D),(SUMIF('Mortality Tarif Female'!A:A,E36+1,'Mortality Tarif Female'!G:G)-SUMIF('Mortality Tarif Female'!A:A,$C$2+$H$2,'Mortality Tarif Female'!G:G)+SUMIF('Mortality Tarif Female'!A:A,$C$2+$H$2,'Mortality Tarif Female'!D:D))/SUMIF('Mortality Tarif Female'!A:A,E36+1,'Mortality Tarif Female'!D:D)))</f>
        <v>0.54616100261026923</v>
      </c>
      <c r="T35">
        <f t="shared" si="19"/>
        <v>0.83333333333333215</v>
      </c>
      <c r="U35">
        <f t="shared" si="20"/>
        <v>0.53126078047702863</v>
      </c>
      <c r="V35">
        <f t="shared" si="21"/>
        <v>10625.215609540572</v>
      </c>
      <c r="W35">
        <f t="shared" si="7"/>
        <v>13.865906370450448</v>
      </c>
      <c r="X35">
        <f t="shared" si="8"/>
        <v>0</v>
      </c>
      <c r="Y35">
        <f>IF(B35&gt;$AF$2,0,IF(X36=0,0,(1-X36)*($E$2+IF(E35&lt;=Assumptions!$B$9,$D$2,0))/$I$2*1/(1+$AG$2)*1/(1+Assumptions!$B$11)))</f>
        <v>0</v>
      </c>
      <c r="Z35">
        <f>IF(B35&gt;$AF$2,0,IF($Y$2=1,(SUMIF('Mortality Tarif Male'!A:A,E36,'Mortality Tarif Male'!E:E)-SUMIF('Mortality Tarif Male'!A:A,$C$2+$H$2,'Mortality Tarif Male'!E:E))/SUMIF('Mortality Tarif Male'!A:A,E36,'Mortality Tarif Male'!D:D),(SUMIF('Mortality Tarif Female'!A:A,E36,'Mortality Tarif Female'!E:E)-SUMIF('Mortality Tarif Female'!A:A,$C$2+$H$2,'Mortality Tarif Female'!E:E))/SUMIF('Mortality Tarif Female'!A:A,E36,'Mortality Tarif Female'!D:D)))</f>
        <v>13.967132360239102</v>
      </c>
      <c r="AA35">
        <f>IF(B35&gt;=$AF$2,0,IF($Y$2=1,(SUMIF('Mortality Tarif Male'!A:A,E36+1,'Mortality Tarif Male'!E:E)-SUMIF('Mortality Tarif Male'!A:A,$C$2+$H$2,'Mortality Tarif Male'!E:E))/SUMIF('Mortality Tarif Male'!A:A,E36+1,'Mortality Tarif Male'!D:D),(SUMIF('Mortality Tarif Female'!A:A,E36+1,'Mortality Tarif Female'!E:E)-SUMIF('Mortality Tarif Female'!A:A,$C$2+$H$2,'Mortality Tarif Female'!E:E))/SUMIF('Mortality Tarif Female'!A:A,E36+1,'Mortality Tarif Female'!D:D)))</f>
        <v>13.438366712927463</v>
      </c>
      <c r="AB35">
        <f t="shared" si="0"/>
        <v>3342.4080149606698</v>
      </c>
      <c r="AC35">
        <f>IF(B35&gt;=$AF$2,0,MIN(1/3*(V35+W35+Y35-AB35),(V35-AB35),(T35*Z35+(1-T35)*AA35)*$AH$2*Assumptions!$B$22))</f>
        <v>361.76987351285965</v>
      </c>
      <c r="AD35">
        <f t="shared" si="22"/>
        <v>6934.903627437493</v>
      </c>
      <c r="AE35">
        <f t="shared" si="23"/>
        <v>7296.6735009503527</v>
      </c>
      <c r="AF35">
        <f t="shared" si="24"/>
        <v>6934.903627437493</v>
      </c>
      <c r="AG35" s="26">
        <f t="shared" si="35"/>
        <v>6711.3637241172</v>
      </c>
      <c r="AH35" s="27">
        <f>IF(B35&gt;$AF$2,0,HLOOKUP(YEAR(A35),Assumptions!$A$34:$AL$37,4,TRUE)/100)</f>
        <v>1.0260999999999999E-2</v>
      </c>
      <c r="AI35">
        <f t="shared" si="25"/>
        <v>0</v>
      </c>
      <c r="AJ35">
        <f t="shared" si="26"/>
        <v>1.4811272083721156</v>
      </c>
      <c r="AK35">
        <f t="shared" si="27"/>
        <v>19.274030738504919</v>
      </c>
      <c r="AL35">
        <f>IF(E35&gt;Assumptions!$B$9,0,SUMPRODUCT($P$2:$X$2,Assumptions!$A$43:$I$43)/$I$2*O34*K35)</f>
        <v>5.2213086034613996</v>
      </c>
      <c r="AM35">
        <f t="shared" si="28"/>
        <v>0</v>
      </c>
      <c r="AN35">
        <f t="shared" si="29"/>
        <v>25.976466550338433</v>
      </c>
      <c r="AO35">
        <f>IF(E35&gt;Assumptions!$B$9,0,($V$2+$X$2)/$I$2*O34*K35*Assumptions!$B$46)</f>
        <v>0</v>
      </c>
      <c r="AP35">
        <f>IF(B35&gt;$AF$2,0,AP34*(1+Assumptions!$B$52)^(1/12))</f>
        <v>1.0200999999999987</v>
      </c>
      <c r="AQ35" s="29">
        <f>IF(B35&gt;$AF$2,0,O34*Assumptions!$B$48/12*AP34+AR35*Assumptions!$B$50/12)</f>
        <v>13.700449445816515</v>
      </c>
      <c r="AR35" s="31">
        <f t="shared" si="30"/>
        <v>6332.2933796607167</v>
      </c>
      <c r="AS35">
        <f t="shared" si="9"/>
        <v>6444.4691649165334</v>
      </c>
      <c r="AT35">
        <f t="shared" si="31"/>
        <v>18.706736000671796</v>
      </c>
      <c r="AU35" s="19">
        <f t="shared" si="32"/>
        <v>6347.6269657822259</v>
      </c>
      <c r="AV35" s="19">
        <f t="shared" si="33"/>
        <v>6438.9651877771948</v>
      </c>
      <c r="AW35">
        <f t="shared" si="34"/>
        <v>0</v>
      </c>
      <c r="AX35">
        <f>IF(B35&gt;$AF$2,0,HLOOKUP(YEAR(A35),Assumptions!$A$34:$AL$37,2,TRUE)/100)</f>
        <v>1.6261000000000001E-2</v>
      </c>
      <c r="AY35" s="32">
        <f>1/(1+HLOOKUP(YEAR(A35),Assumptions!$A$27:$AL$29,3,TRUE))^(1/12)</f>
        <v>0.99860097247287194</v>
      </c>
      <c r="AZ35" s="30">
        <f t="shared" si="10"/>
        <v>7844.8259788121368</v>
      </c>
      <c r="BA35">
        <f>IF(B35&gt;$AF$2,0,IF($E$2=0,(T35*Z35+(1-T35)*AA35)*$J$2*Assumptions!$B$20,0))</f>
        <v>0</v>
      </c>
    </row>
    <row r="36" spans="1:53" x14ac:dyDescent="0.25">
      <c r="A36" s="17">
        <f t="shared" si="11"/>
        <v>43861</v>
      </c>
      <c r="B36">
        <f t="shared" si="1"/>
        <v>255</v>
      </c>
      <c r="C36">
        <f t="shared" si="2"/>
        <v>21.166666666666668</v>
      </c>
      <c r="D36">
        <f t="shared" ref="D36:D99" si="36">IF(C36-INT(C36)=0,1,0)</f>
        <v>0</v>
      </c>
      <c r="E36">
        <f t="shared" si="4"/>
        <v>44</v>
      </c>
      <c r="F36">
        <f>IF(C36&gt;=$H$2,0,VLOOKUP($E36,'Mortality Table'!$A$3:$C$128,2+AB$2,FALSE))</f>
        <v>8.8049999999999999E-4</v>
      </c>
      <c r="G36">
        <f>F36*Assumptions!$B$1</f>
        <v>9.5314124999999999E-4</v>
      </c>
      <c r="H36">
        <f t="shared" si="12"/>
        <v>7.9463157466319601E-5</v>
      </c>
      <c r="I36">
        <f t="shared" ref="I36:I99" si="37">H36*O35*(1-M36/2)</f>
        <v>7.373345349309264E-5</v>
      </c>
      <c r="J36">
        <f>HLOOKUP(C36,Assumptions!$A$6:$J$7,2,TRUE)</f>
        <v>3.5200000000000002E-2</v>
      </c>
      <c r="K36" s="18">
        <f t="shared" si="5"/>
        <v>1</v>
      </c>
      <c r="L36" s="18">
        <f t="shared" si="14"/>
        <v>8.3333333333333329E-2</v>
      </c>
      <c r="M36" s="18">
        <f t="shared" ref="M36:M99" si="38">(1-(1-J36)^L36)</f>
        <v>2.9817501439168836E-3</v>
      </c>
      <c r="N36">
        <f t="shared" ref="N36:N99" si="39">M36*O35*(1-H36/2)</f>
        <v>2.7707715086319161E-3</v>
      </c>
      <c r="O36" s="20">
        <f t="shared" ref="O36:O99" si="40">IF(B36&gt;$AF$2,0,O35-I36-N36)</f>
        <v>0.92643577218829021</v>
      </c>
      <c r="P36">
        <f>IF(B36&gt;$AF$2,0,O35*($E$2+IF(E36&lt;=Assumptions!$B$9,$D$2,0))/$I$2*K36)</f>
        <v>47.594638194720424</v>
      </c>
      <c r="Q36">
        <f t="shared" si="18"/>
        <v>26.1</v>
      </c>
      <c r="R36">
        <f>IF(B36&gt;$AF$2,0,IF($Y$2=1,(SUMIF('Mortality Tarif Male'!A:A,E37,'Mortality Tarif Male'!G:G)-SUMIF('Mortality Tarif Male'!A:A,$C$2+$H$2,'Mortality Tarif Male'!G:G)+SUMIF('Mortality Tarif Male'!A:A,$C$2+$H$2,'Mortality Tarif Male'!D:D))/SUMIF('Mortality Tarif Male'!A:A,E37,'Mortality Tarif Male'!D:D),(SUMIF('Mortality Tarif Female'!A:A,E37,'Mortality Tarif Female'!G:G)-SUMIF('Mortality Tarif Female'!A:A,$C$2+$H$2,'Mortality Tarif Female'!G:G)+SUMIF('Mortality Tarif Female'!A:A,$C$2+$H$2,'Mortality Tarif Female'!D:D))/SUMIF('Mortality Tarif Female'!A:A,E37,'Mortality Tarif Female'!D:D)))</f>
        <v>0.52828073605038051</v>
      </c>
      <c r="S36">
        <f>IF(B36&gt;=$AF$2,0,IF($Y$2=1,(SUMIF('Mortality Tarif Male'!A:A,E37+1,'Mortality Tarif Male'!G:G)-SUMIF('Mortality Tarif Male'!A:A,$C$2+$H$2,'Mortality Tarif Male'!G:G)+SUMIF('Mortality Tarif Male'!A:A,$C$2+$H$2,'Mortality Tarif Male'!D:D))/SUMIF('Mortality Tarif Male'!A:A,E37+1,'Mortality Tarif Male'!D:D),(SUMIF('Mortality Tarif Female'!A:A,E37+1,'Mortality Tarif Female'!G:G)-SUMIF('Mortality Tarif Female'!A:A,$C$2+$H$2,'Mortality Tarif Female'!G:G)+SUMIF('Mortality Tarif Female'!A:A,$C$2+$H$2,'Mortality Tarif Female'!D:D))/SUMIF('Mortality Tarif Female'!A:A,E37+1,'Mortality Tarif Female'!D:D)))</f>
        <v>0.54616100261026923</v>
      </c>
      <c r="T36">
        <f t="shared" si="19"/>
        <v>0.75</v>
      </c>
      <c r="U36">
        <f t="shared" si="20"/>
        <v>0.53275080269035269</v>
      </c>
      <c r="V36">
        <f t="shared" si="21"/>
        <v>10655.016053807054</v>
      </c>
      <c r="W36">
        <f t="shared" si="7"/>
        <v>13.904795950218206</v>
      </c>
      <c r="X36">
        <f t="shared" si="8"/>
        <v>0</v>
      </c>
      <c r="Y36">
        <f>IF(B36&gt;$AF$2,0,IF(X37=0,0,(1-X37)*($E$2+IF(E36&lt;=Assumptions!$B$9,$D$2,0))/$I$2*1/(1+$AG$2)*1/(1+Assumptions!$B$11)))</f>
        <v>0</v>
      </c>
      <c r="Z36">
        <f>IF(B36&gt;$AF$2,0,IF($Y$2=1,(SUMIF('Mortality Tarif Male'!A:A,E37,'Mortality Tarif Male'!E:E)-SUMIF('Mortality Tarif Male'!A:A,$C$2+$H$2,'Mortality Tarif Male'!E:E))/SUMIF('Mortality Tarif Male'!A:A,E37,'Mortality Tarif Male'!D:D),(SUMIF('Mortality Tarif Female'!A:A,E37,'Mortality Tarif Female'!E:E)-SUMIF('Mortality Tarif Female'!A:A,$C$2+$H$2,'Mortality Tarif Female'!E:E))/SUMIF('Mortality Tarif Female'!A:A,E37,'Mortality Tarif Female'!D:D)))</f>
        <v>13.967132360239102</v>
      </c>
      <c r="AA36">
        <f>IF(B36&gt;=$AF$2,0,IF($Y$2=1,(SUMIF('Mortality Tarif Male'!A:A,E37+1,'Mortality Tarif Male'!E:E)-SUMIF('Mortality Tarif Male'!A:A,$C$2+$H$2,'Mortality Tarif Male'!E:E))/SUMIF('Mortality Tarif Male'!A:A,E37+1,'Mortality Tarif Male'!D:D),(SUMIF('Mortality Tarif Female'!A:A,E37+1,'Mortality Tarif Female'!E:E)-SUMIF('Mortality Tarif Female'!A:A,$C$2+$H$2,'Mortality Tarif Female'!E:E))/SUMIF('Mortality Tarif Female'!A:A,E37+1,'Mortality Tarif Female'!D:D)))</f>
        <v>13.438366712927463</v>
      </c>
      <c r="AB36">
        <f t="shared" si="0"/>
        <v>3331.7963598675656</v>
      </c>
      <c r="AC36">
        <f>IF(B36&gt;=$AF$2,0,MIN(1/3*(V36+W36+Y36-AB36),(V36-AB36),(T36*Z36+(1-T36)*AA36)*$AH$2*Assumptions!$B$22))</f>
        <v>360.62130723860139</v>
      </c>
      <c r="AD36">
        <f t="shared" si="22"/>
        <v>6976.5031826511058</v>
      </c>
      <c r="AE36">
        <f t="shared" si="23"/>
        <v>7337.1244898897075</v>
      </c>
      <c r="AF36">
        <f t="shared" si="24"/>
        <v>6976.5031826511058</v>
      </c>
      <c r="AG36" s="26">
        <f t="shared" si="35"/>
        <v>0</v>
      </c>
      <c r="AH36" s="27">
        <f>IF(B36&gt;$AF$2,0,HLOOKUP(YEAR(A36),Assumptions!$A$34:$AL$37,4,TRUE)/100)</f>
        <v>9.3349999999999995E-3</v>
      </c>
      <c r="AI36">
        <f t="shared" si="25"/>
        <v>0</v>
      </c>
      <c r="AJ36">
        <f t="shared" si="26"/>
        <v>1.4765935129980223</v>
      </c>
      <c r="AK36">
        <f t="shared" si="27"/>
        <v>19.330296248369567</v>
      </c>
      <c r="AL36">
        <f>IF(E36&gt;Assumptions!$B$9,0,SUMPRODUCT($P$2:$X$2,Assumptions!$A$43:$I$43)/$I$2*O35*K36)</f>
        <v>5.2053263012469637</v>
      </c>
      <c r="AM36">
        <f t="shared" si="28"/>
        <v>0</v>
      </c>
      <c r="AN36">
        <f t="shared" si="29"/>
        <v>26.012216062614552</v>
      </c>
      <c r="AO36">
        <f>IF(E36&gt;Assumptions!$B$9,0,($V$2+$X$2)/$I$2*O35*K36*Assumptions!$B$46)</f>
        <v>0</v>
      </c>
      <c r="AP36">
        <f>IF(B36&gt;$AF$2,0,AP35*(1+Assumptions!$B$52)^(1/12))</f>
        <v>1.0209462118304431</v>
      </c>
      <c r="AQ36" s="29">
        <f>IF(B36&gt;$AF$2,0,O35*Assumptions!$B$48/12*AP35+AR36*Assumptions!$B$50/12)</f>
        <v>13.70361976665362</v>
      </c>
      <c r="AR36" s="31">
        <f t="shared" si="30"/>
        <v>6457.9133137392482</v>
      </c>
      <c r="AS36">
        <f t="shared" si="9"/>
        <v>6463.2821131934415</v>
      </c>
      <c r="AT36">
        <f t="shared" si="31"/>
        <v>18.649475123961658</v>
      </c>
      <c r="AU36" s="19">
        <f t="shared" si="32"/>
        <v>6473.1548570433533</v>
      </c>
      <c r="AV36" s="19">
        <f t="shared" si="33"/>
        <v>6457.9133137392482</v>
      </c>
      <c r="AW36">
        <f t="shared" si="34"/>
        <v>-10.325440414841003</v>
      </c>
      <c r="AX36">
        <f>IF(B36&gt;$AF$2,0,HLOOKUP(YEAR(A36),Assumptions!$A$34:$AL$37,2,TRUE)/100)</f>
        <v>1.5335000000000001E-2</v>
      </c>
      <c r="AY36" s="32">
        <f>1/(1+HLOOKUP(YEAR(A36),Assumptions!$A$27:$AL$29,3,TRUE))^(1/12)</f>
        <v>0.99865671918296972</v>
      </c>
      <c r="AZ36" s="30">
        <f t="shared" si="10"/>
        <v>7863.2567596981971</v>
      </c>
      <c r="BA36">
        <f>IF(B36&gt;$AF$2,0,IF($E$2=0,(T36*Z36+(1-T36)*AA36)*$J$2*Assumptions!$B$20,0))</f>
        <v>0</v>
      </c>
    </row>
    <row r="37" spans="1:53" x14ac:dyDescent="0.25">
      <c r="A37" s="17">
        <f t="shared" si="11"/>
        <v>43890</v>
      </c>
      <c r="B37">
        <f t="shared" si="1"/>
        <v>256</v>
      </c>
      <c r="C37">
        <f t="shared" si="2"/>
        <v>21.25</v>
      </c>
      <c r="D37">
        <f t="shared" si="36"/>
        <v>0</v>
      </c>
      <c r="E37">
        <f t="shared" si="4"/>
        <v>44</v>
      </c>
      <c r="F37">
        <f>IF(C37&gt;=$H$2,0,VLOOKUP($E37,'Mortality Table'!$A$3:$C$128,2+AB$2,FALSE))</f>
        <v>8.8049999999999999E-4</v>
      </c>
      <c r="G37">
        <f>F37*Assumptions!$B$1</f>
        <v>9.5314124999999999E-4</v>
      </c>
      <c r="H37">
        <f t="shared" si="12"/>
        <v>7.9463157466319601E-5</v>
      </c>
      <c r="I37">
        <f t="shared" si="37"/>
        <v>7.3507757134854147E-5</v>
      </c>
      <c r="J37">
        <f>HLOOKUP(C37,Assumptions!$A$6:$J$7,2,TRUE)</f>
        <v>3.5200000000000002E-2</v>
      </c>
      <c r="K37" s="18">
        <f t="shared" si="5"/>
        <v>1</v>
      </c>
      <c r="L37" s="18">
        <f t="shared" si="14"/>
        <v>8.3333333333333329E-2</v>
      </c>
      <c r="M37" s="18">
        <f t="shared" si="38"/>
        <v>2.9817501439168836E-3</v>
      </c>
      <c r="N37">
        <f t="shared" si="39"/>
        <v>2.762290242539208E-3</v>
      </c>
      <c r="O37" s="20">
        <f t="shared" si="40"/>
        <v>0.92359997418861617</v>
      </c>
      <c r="P37">
        <f>IF(B37&gt;$AF$2,0,O36*($E$2+IF(E37&lt;=Assumptions!$B$9,$D$2,0))/$I$2*K37)</f>
        <v>47.448952132243591</v>
      </c>
      <c r="Q37">
        <f t="shared" si="18"/>
        <v>26.1</v>
      </c>
      <c r="R37">
        <f>IF(B37&gt;$AF$2,0,IF($Y$2=1,(SUMIF('Mortality Tarif Male'!A:A,E38,'Mortality Tarif Male'!G:G)-SUMIF('Mortality Tarif Male'!A:A,$C$2+$H$2,'Mortality Tarif Male'!G:G)+SUMIF('Mortality Tarif Male'!A:A,$C$2+$H$2,'Mortality Tarif Male'!D:D))/SUMIF('Mortality Tarif Male'!A:A,E38,'Mortality Tarif Male'!D:D),(SUMIF('Mortality Tarif Female'!A:A,E38,'Mortality Tarif Female'!G:G)-SUMIF('Mortality Tarif Female'!A:A,$C$2+$H$2,'Mortality Tarif Female'!G:G)+SUMIF('Mortality Tarif Female'!A:A,$C$2+$H$2,'Mortality Tarif Female'!D:D))/SUMIF('Mortality Tarif Female'!A:A,E38,'Mortality Tarif Female'!D:D)))</f>
        <v>0.52828073605038051</v>
      </c>
      <c r="S37">
        <f>IF(B37&gt;=$AF$2,0,IF($Y$2=1,(SUMIF('Mortality Tarif Male'!A:A,E38+1,'Mortality Tarif Male'!G:G)-SUMIF('Mortality Tarif Male'!A:A,$C$2+$H$2,'Mortality Tarif Male'!G:G)+SUMIF('Mortality Tarif Male'!A:A,$C$2+$H$2,'Mortality Tarif Male'!D:D))/SUMIF('Mortality Tarif Male'!A:A,E38+1,'Mortality Tarif Male'!D:D),(SUMIF('Mortality Tarif Female'!A:A,E38+1,'Mortality Tarif Female'!G:G)-SUMIF('Mortality Tarif Female'!A:A,$C$2+$H$2,'Mortality Tarif Female'!G:G)+SUMIF('Mortality Tarif Female'!A:A,$C$2+$H$2,'Mortality Tarif Female'!D:D))/SUMIF('Mortality Tarif Female'!A:A,E38+1,'Mortality Tarif Female'!D:D)))</f>
        <v>0.54616100261026923</v>
      </c>
      <c r="T37">
        <f t="shared" si="19"/>
        <v>0.66666666666666785</v>
      </c>
      <c r="U37">
        <f t="shared" si="20"/>
        <v>0.53424082490367675</v>
      </c>
      <c r="V37">
        <f t="shared" si="21"/>
        <v>10684.816498073535</v>
      </c>
      <c r="W37">
        <f t="shared" si="7"/>
        <v>13.943685529985963</v>
      </c>
      <c r="X37">
        <f t="shared" si="8"/>
        <v>0</v>
      </c>
      <c r="Y37">
        <f>IF(B37&gt;$AF$2,0,IF(X38=0,0,(1-X38)*($E$2+IF(E37&lt;=Assumptions!$B$9,$D$2,0))/$I$2*1/(1+$AG$2)*1/(1+Assumptions!$B$11)))</f>
        <v>0</v>
      </c>
      <c r="Z37">
        <f>IF(B37&gt;$AF$2,0,IF($Y$2=1,(SUMIF('Mortality Tarif Male'!A:A,E38,'Mortality Tarif Male'!E:E)-SUMIF('Mortality Tarif Male'!A:A,$C$2+$H$2,'Mortality Tarif Male'!E:E))/SUMIF('Mortality Tarif Male'!A:A,E38,'Mortality Tarif Male'!D:D),(SUMIF('Mortality Tarif Female'!A:A,E38,'Mortality Tarif Female'!E:E)-SUMIF('Mortality Tarif Female'!A:A,$C$2+$H$2,'Mortality Tarif Female'!E:E))/SUMIF('Mortality Tarif Female'!A:A,E38,'Mortality Tarif Female'!D:D)))</f>
        <v>13.967132360239102</v>
      </c>
      <c r="AA37">
        <f>IF(B37&gt;=$AF$2,0,IF($Y$2=1,(SUMIF('Mortality Tarif Male'!A:A,E38+1,'Mortality Tarif Male'!E:E)-SUMIF('Mortality Tarif Male'!A:A,$C$2+$H$2,'Mortality Tarif Male'!E:E))/SUMIF('Mortality Tarif Male'!A:A,E38+1,'Mortality Tarif Male'!D:D),(SUMIF('Mortality Tarif Female'!A:A,E38+1,'Mortality Tarif Female'!E:E)-SUMIF('Mortality Tarif Female'!A:A,$C$2+$H$2,'Mortality Tarif Female'!E:E))/SUMIF('Mortality Tarif Female'!A:A,E38+1,'Mortality Tarif Female'!D:D)))</f>
        <v>13.438366712927463</v>
      </c>
      <c r="AB37">
        <f t="shared" si="0"/>
        <v>3321.1847047744627</v>
      </c>
      <c r="AC37">
        <f>IF(B37&gt;=$AF$2,0,MIN(1/3*(V37+W37+Y37-AB37),(V37-AB37),(T37*Z37+(1-T37)*AA37)*$AH$2*Assumptions!$B$22))</f>
        <v>359.47274096434319</v>
      </c>
      <c r="AD37">
        <f t="shared" si="22"/>
        <v>7018.102737864715</v>
      </c>
      <c r="AE37">
        <f t="shared" si="23"/>
        <v>7377.5754788290578</v>
      </c>
      <c r="AF37">
        <f t="shared" si="24"/>
        <v>7018.102737864715</v>
      </c>
      <c r="AG37" s="26">
        <f t="shared" si="35"/>
        <v>0</v>
      </c>
      <c r="AH37" s="27">
        <f>IF(B37&gt;$AF$2,0,HLOOKUP(YEAR(A37),Assumptions!$A$34:$AL$37,4,TRUE)/100)</f>
        <v>9.3349999999999995E-3</v>
      </c>
      <c r="AI37">
        <f t="shared" si="25"/>
        <v>0</v>
      </c>
      <c r="AJ37">
        <f t="shared" si="26"/>
        <v>1.4720736951583024</v>
      </c>
      <c r="AK37">
        <f t="shared" si="27"/>
        <v>19.386036713941404</v>
      </c>
      <c r="AL37">
        <f>IF(E37&gt;Assumptions!$B$9,0,SUMPRODUCT($P$2:$X$2,Assumptions!$A$43:$I$43)/$I$2*O36*K37)</f>
        <v>5.1893929204818194</v>
      </c>
      <c r="AM37">
        <f t="shared" si="28"/>
        <v>0</v>
      </c>
      <c r="AN37">
        <f t="shared" si="29"/>
        <v>26.047503329581527</v>
      </c>
      <c r="AO37">
        <f>IF(E37&gt;Assumptions!$B$9,0,($V$2+$X$2)/$I$2*O36*K37*Assumptions!$B$46)</f>
        <v>0</v>
      </c>
      <c r="AP37">
        <f>IF(B37&gt;$AF$2,0,AP36*(1+Assumptions!$B$52)^(1/12))</f>
        <v>1.0217931256258537</v>
      </c>
      <c r="AQ37" s="29">
        <f>IF(B37&gt;$AF$2,0,O36*Assumptions!$B$48/12*AP36+AR37*Assumptions!$B$50/12)</f>
        <v>13.678533876366908</v>
      </c>
      <c r="AR37" s="31">
        <f t="shared" si="30"/>
        <v>6466.3596693795607</v>
      </c>
      <c r="AS37">
        <f t="shared" si="9"/>
        <v>6481.919507544907</v>
      </c>
      <c r="AT37">
        <f t="shared" si="31"/>
        <v>18.592389521441604</v>
      </c>
      <c r="AU37" s="19">
        <f t="shared" si="32"/>
        <v>6481.5376981139962</v>
      </c>
      <c r="AV37" s="19">
        <f t="shared" si="33"/>
        <v>6476.6851097944018</v>
      </c>
      <c r="AW37">
        <f t="shared" si="34"/>
        <v>-20.694134746844767</v>
      </c>
      <c r="AX37">
        <f>IF(B37&gt;$AF$2,0,HLOOKUP(YEAR(A37),Assumptions!$A$34:$AL$37,2,TRUE)/100)</f>
        <v>1.5335000000000001E-2</v>
      </c>
      <c r="AY37" s="32">
        <f>1/(1+HLOOKUP(YEAR(A37),Assumptions!$A$27:$AL$29,3,TRUE))^(1/12)</f>
        <v>0.99865671918296972</v>
      </c>
      <c r="AZ37" s="30">
        <f t="shared" si="10"/>
        <v>7881.556444160803</v>
      </c>
      <c r="BA37">
        <f>IF(B37&gt;$AF$2,0,IF($E$2=0,(T37*Z37+(1-T37)*AA37)*$J$2*Assumptions!$B$20,0))</f>
        <v>0</v>
      </c>
    </row>
    <row r="38" spans="1:53" x14ac:dyDescent="0.25">
      <c r="A38" s="17">
        <f t="shared" si="11"/>
        <v>43921</v>
      </c>
      <c r="B38">
        <f t="shared" si="1"/>
        <v>257</v>
      </c>
      <c r="C38">
        <f t="shared" si="2"/>
        <v>21.333333333333332</v>
      </c>
      <c r="D38">
        <f t="shared" si="36"/>
        <v>0</v>
      </c>
      <c r="E38">
        <f t="shared" si="4"/>
        <v>44</v>
      </c>
      <c r="F38">
        <f>IF(C38&gt;=$H$2,0,VLOOKUP($E38,'Mortality Table'!$A$3:$C$128,2+AB$2,FALSE))</f>
        <v>8.8049999999999999E-4</v>
      </c>
      <c r="G38">
        <f>F38*Assumptions!$B$1</f>
        <v>9.5314124999999999E-4</v>
      </c>
      <c r="H38">
        <f t="shared" si="12"/>
        <v>7.9463157466319601E-5</v>
      </c>
      <c r="I38">
        <f t="shared" si="37"/>
        <v>7.3282751627833209E-5</v>
      </c>
      <c r="J38">
        <f>HLOOKUP(C38,Assumptions!$A$6:$J$7,2,TRUE)</f>
        <v>3.5200000000000002E-2</v>
      </c>
      <c r="K38" s="18">
        <f t="shared" si="5"/>
        <v>1</v>
      </c>
      <c r="L38" s="18">
        <f t="shared" si="14"/>
        <v>8.3333333333333329E-2</v>
      </c>
      <c r="M38" s="18">
        <f t="shared" si="38"/>
        <v>2.9817501439168836E-3</v>
      </c>
      <c r="N38">
        <f t="shared" si="39"/>
        <v>2.7538349374015311E-3</v>
      </c>
      <c r="O38" s="20">
        <f t="shared" si="40"/>
        <v>0.92077285649958673</v>
      </c>
      <c r="P38">
        <f>IF(B38&gt;$AF$2,0,O37*($E$2+IF(E38&lt;=Assumptions!$B$9,$D$2,0))/$I$2*K38)</f>
        <v>47.303712011360282</v>
      </c>
      <c r="Q38">
        <f t="shared" si="18"/>
        <v>26.1</v>
      </c>
      <c r="R38">
        <f>IF(B38&gt;$AF$2,0,IF($Y$2=1,(SUMIF('Mortality Tarif Male'!A:A,E39,'Mortality Tarif Male'!G:G)-SUMIF('Mortality Tarif Male'!A:A,$C$2+$H$2,'Mortality Tarif Male'!G:G)+SUMIF('Mortality Tarif Male'!A:A,$C$2+$H$2,'Mortality Tarif Male'!D:D))/SUMIF('Mortality Tarif Male'!A:A,E39,'Mortality Tarif Male'!D:D),(SUMIF('Mortality Tarif Female'!A:A,E39,'Mortality Tarif Female'!G:G)-SUMIF('Mortality Tarif Female'!A:A,$C$2+$H$2,'Mortality Tarif Female'!G:G)+SUMIF('Mortality Tarif Female'!A:A,$C$2+$H$2,'Mortality Tarif Female'!D:D))/SUMIF('Mortality Tarif Female'!A:A,E39,'Mortality Tarif Female'!D:D)))</f>
        <v>0.52828073605038051</v>
      </c>
      <c r="S38">
        <f>IF(B38&gt;=$AF$2,0,IF($Y$2=1,(SUMIF('Mortality Tarif Male'!A:A,E39+1,'Mortality Tarif Male'!G:G)-SUMIF('Mortality Tarif Male'!A:A,$C$2+$H$2,'Mortality Tarif Male'!G:G)+SUMIF('Mortality Tarif Male'!A:A,$C$2+$H$2,'Mortality Tarif Male'!D:D))/SUMIF('Mortality Tarif Male'!A:A,E39+1,'Mortality Tarif Male'!D:D),(SUMIF('Mortality Tarif Female'!A:A,E39+1,'Mortality Tarif Female'!G:G)-SUMIF('Mortality Tarif Female'!A:A,$C$2+$H$2,'Mortality Tarif Female'!G:G)+SUMIF('Mortality Tarif Female'!A:A,$C$2+$H$2,'Mortality Tarif Female'!D:D))/SUMIF('Mortality Tarif Female'!A:A,E39+1,'Mortality Tarif Female'!D:D)))</f>
        <v>0.54616100261026923</v>
      </c>
      <c r="T38">
        <f t="shared" si="19"/>
        <v>0.58333333333333215</v>
      </c>
      <c r="U38">
        <f t="shared" si="20"/>
        <v>0.53573084711700081</v>
      </c>
      <c r="V38">
        <f t="shared" si="21"/>
        <v>10714.616942340017</v>
      </c>
      <c r="W38">
        <f t="shared" si="7"/>
        <v>13.982575109753721</v>
      </c>
      <c r="X38">
        <f t="shared" si="8"/>
        <v>0</v>
      </c>
      <c r="Y38">
        <f>IF(B38&gt;$AF$2,0,IF(X39=0,0,(1-X39)*($E$2+IF(E38&lt;=Assumptions!$B$9,$D$2,0))/$I$2*1/(1+$AG$2)*1/(1+Assumptions!$B$11)))</f>
        <v>0</v>
      </c>
      <c r="Z38">
        <f>IF(B38&gt;$AF$2,0,IF($Y$2=1,(SUMIF('Mortality Tarif Male'!A:A,E39,'Mortality Tarif Male'!E:E)-SUMIF('Mortality Tarif Male'!A:A,$C$2+$H$2,'Mortality Tarif Male'!E:E))/SUMIF('Mortality Tarif Male'!A:A,E39,'Mortality Tarif Male'!D:D),(SUMIF('Mortality Tarif Female'!A:A,E39,'Mortality Tarif Female'!E:E)-SUMIF('Mortality Tarif Female'!A:A,$C$2+$H$2,'Mortality Tarif Female'!E:E))/SUMIF('Mortality Tarif Female'!A:A,E39,'Mortality Tarif Female'!D:D)))</f>
        <v>13.967132360239102</v>
      </c>
      <c r="AA38">
        <f>IF(B38&gt;=$AF$2,0,IF($Y$2=1,(SUMIF('Mortality Tarif Male'!A:A,E39+1,'Mortality Tarif Male'!E:E)-SUMIF('Mortality Tarif Male'!A:A,$C$2+$H$2,'Mortality Tarif Male'!E:E))/SUMIF('Mortality Tarif Male'!A:A,E39+1,'Mortality Tarif Male'!D:D),(SUMIF('Mortality Tarif Female'!A:A,E39+1,'Mortality Tarif Female'!E:E)-SUMIF('Mortality Tarif Female'!A:A,$C$2+$H$2,'Mortality Tarif Female'!E:E))/SUMIF('Mortality Tarif Female'!A:A,E39+1,'Mortality Tarif Female'!D:D)))</f>
        <v>13.438366712927463</v>
      </c>
      <c r="AB38">
        <f t="shared" si="0"/>
        <v>3310.5730496813585</v>
      </c>
      <c r="AC38">
        <f>IF(B38&gt;=$AF$2,0,MIN(1/3*(V38+W38+Y38-AB38),(V38-AB38),(T38*Z38+(1-T38)*AA38)*$AH$2*Assumptions!$B$22))</f>
        <v>358.32417469008493</v>
      </c>
      <c r="AD38">
        <f t="shared" si="22"/>
        <v>7059.7022930783278</v>
      </c>
      <c r="AE38">
        <f t="shared" si="23"/>
        <v>7418.0264677684127</v>
      </c>
      <c r="AF38">
        <f t="shared" si="24"/>
        <v>7059.7022930783278</v>
      </c>
      <c r="AG38" s="26">
        <f t="shared" si="35"/>
        <v>0</v>
      </c>
      <c r="AH38" s="27">
        <f>IF(B38&gt;$AF$2,0,HLOOKUP(YEAR(A38),Assumptions!$A$34:$AL$37,4,TRUE)/100)</f>
        <v>9.3349999999999995E-3</v>
      </c>
      <c r="AI38">
        <f t="shared" si="25"/>
        <v>0</v>
      </c>
      <c r="AJ38">
        <f t="shared" si="26"/>
        <v>1.4675677123741506</v>
      </c>
      <c r="AK38">
        <f t="shared" si="27"/>
        <v>19.441254822332802</v>
      </c>
      <c r="AL38">
        <f>IF(E38&gt;Assumptions!$B$9,0,SUMPRODUCT($P$2:$X$2,Assumptions!$A$43:$I$43)/$I$2*O37*K38)</f>
        <v>5.1735083114185656</v>
      </c>
      <c r="AM38">
        <f t="shared" si="28"/>
        <v>0</v>
      </c>
      <c r="AN38">
        <f t="shared" si="29"/>
        <v>26.082330846125519</v>
      </c>
      <c r="AO38">
        <f>IF(E38&gt;Assumptions!$B$9,0,($V$2+$X$2)/$I$2*O37*K38*Assumptions!$B$46)</f>
        <v>0</v>
      </c>
      <c r="AP38">
        <f>IF(B38&gt;$AF$2,0,AP37*(1+Assumptions!$B$52)^(1/12))</f>
        <v>1.0226407419685373</v>
      </c>
      <c r="AQ38" s="29">
        <f>IF(B38&gt;$AF$2,0,O37*Assumptions!$B$48/12*AP37+AR38*Assumptions!$B$50/12)</f>
        <v>13.653455739273678</v>
      </c>
      <c r="AR38" s="31">
        <f t="shared" si="30"/>
        <v>6474.5873431432456</v>
      </c>
      <c r="AS38">
        <f t="shared" si="9"/>
        <v>6500.3822464344148</v>
      </c>
      <c r="AT38">
        <f t="shared" si="31"/>
        <v>18.535478656601477</v>
      </c>
      <c r="AU38" s="19">
        <f t="shared" si="32"/>
        <v>6489.7021207587313</v>
      </c>
      <c r="AV38" s="19">
        <f t="shared" si="33"/>
        <v>6495.2814778900902</v>
      </c>
      <c r="AW38">
        <f t="shared" si="34"/>
        <v>-31.10585653785175</v>
      </c>
      <c r="AX38">
        <f>IF(B38&gt;$AF$2,0,HLOOKUP(YEAR(A38),Assumptions!$A$34:$AL$37,2,TRUE)/100)</f>
        <v>1.5335000000000001E-2</v>
      </c>
      <c r="AY38" s="32">
        <f>1/(1+HLOOKUP(YEAR(A38),Assumptions!$A$27:$AL$29,3,TRUE))^(1/12)</f>
        <v>0.99865671918296972</v>
      </c>
      <c r="AZ38" s="30">
        <f t="shared" si="10"/>
        <v>7899.7257538025979</v>
      </c>
      <c r="BA38">
        <f>IF(B38&gt;$AF$2,0,IF($E$2=0,(T38*Z38+(1-T38)*AA38)*$J$2*Assumptions!$B$20,0))</f>
        <v>0</v>
      </c>
    </row>
    <row r="39" spans="1:53" x14ac:dyDescent="0.25">
      <c r="A39" s="17">
        <f t="shared" si="11"/>
        <v>43951</v>
      </c>
      <c r="B39">
        <f t="shared" si="1"/>
        <v>258</v>
      </c>
      <c r="C39">
        <f t="shared" si="2"/>
        <v>21.416666666666668</v>
      </c>
      <c r="D39">
        <f t="shared" si="36"/>
        <v>0</v>
      </c>
      <c r="E39">
        <f t="shared" si="4"/>
        <v>44</v>
      </c>
      <c r="F39">
        <f>IF(C39&gt;=$H$2,0,VLOOKUP($E39,'Mortality Table'!$A$3:$C$128,2+AB$2,FALSE))</f>
        <v>8.8049999999999999E-4</v>
      </c>
      <c r="G39">
        <f>F39*Assumptions!$B$1</f>
        <v>9.5314124999999999E-4</v>
      </c>
      <c r="H39">
        <f t="shared" si="12"/>
        <v>7.9463157466319601E-5</v>
      </c>
      <c r="I39">
        <f t="shared" si="37"/>
        <v>7.3058434857350613E-5</v>
      </c>
      <c r="J39">
        <f>HLOOKUP(C39,Assumptions!$A$6:$J$7,2,TRUE)</f>
        <v>3.5200000000000002E-2</v>
      </c>
      <c r="K39" s="18">
        <f t="shared" si="5"/>
        <v>1</v>
      </c>
      <c r="L39" s="18">
        <f t="shared" si="14"/>
        <v>8.3333333333333329E-2</v>
      </c>
      <c r="M39" s="18">
        <f t="shared" si="38"/>
        <v>2.9817501439168836E-3</v>
      </c>
      <c r="N39">
        <f t="shared" si="39"/>
        <v>2.7454055137530139E-3</v>
      </c>
      <c r="O39" s="20">
        <f t="shared" si="40"/>
        <v>0.91795439255097633</v>
      </c>
      <c r="P39">
        <f>IF(B39&gt;$AF$2,0,O38*($E$2+IF(E39&lt;=Assumptions!$B$9,$D$2,0))/$I$2*K39)</f>
        <v>47.158916467053821</v>
      </c>
      <c r="Q39">
        <f t="shared" si="18"/>
        <v>26.1</v>
      </c>
      <c r="R39">
        <f>IF(B39&gt;$AF$2,0,IF($Y$2=1,(SUMIF('Mortality Tarif Male'!A:A,E40,'Mortality Tarif Male'!G:G)-SUMIF('Mortality Tarif Male'!A:A,$C$2+$H$2,'Mortality Tarif Male'!G:G)+SUMIF('Mortality Tarif Male'!A:A,$C$2+$H$2,'Mortality Tarif Male'!D:D))/SUMIF('Mortality Tarif Male'!A:A,E40,'Mortality Tarif Male'!D:D),(SUMIF('Mortality Tarif Female'!A:A,E40,'Mortality Tarif Female'!G:G)-SUMIF('Mortality Tarif Female'!A:A,$C$2+$H$2,'Mortality Tarif Female'!G:G)+SUMIF('Mortality Tarif Female'!A:A,$C$2+$H$2,'Mortality Tarif Female'!D:D))/SUMIF('Mortality Tarif Female'!A:A,E40,'Mortality Tarif Female'!D:D)))</f>
        <v>0.52828073605038051</v>
      </c>
      <c r="S39">
        <f>IF(B39&gt;=$AF$2,0,IF($Y$2=1,(SUMIF('Mortality Tarif Male'!A:A,E40+1,'Mortality Tarif Male'!G:G)-SUMIF('Mortality Tarif Male'!A:A,$C$2+$H$2,'Mortality Tarif Male'!G:G)+SUMIF('Mortality Tarif Male'!A:A,$C$2+$H$2,'Mortality Tarif Male'!D:D))/SUMIF('Mortality Tarif Male'!A:A,E40+1,'Mortality Tarif Male'!D:D),(SUMIF('Mortality Tarif Female'!A:A,E40+1,'Mortality Tarif Female'!G:G)-SUMIF('Mortality Tarif Female'!A:A,$C$2+$H$2,'Mortality Tarif Female'!G:G)+SUMIF('Mortality Tarif Female'!A:A,$C$2+$H$2,'Mortality Tarif Female'!D:D))/SUMIF('Mortality Tarif Female'!A:A,E40+1,'Mortality Tarif Female'!D:D)))</f>
        <v>0.54616100261026923</v>
      </c>
      <c r="T39">
        <f t="shared" si="19"/>
        <v>0.5</v>
      </c>
      <c r="U39">
        <f t="shared" si="20"/>
        <v>0.53722086933032487</v>
      </c>
      <c r="V39">
        <f t="shared" si="21"/>
        <v>10744.417386606498</v>
      </c>
      <c r="W39">
        <f t="shared" si="7"/>
        <v>14.02146468952148</v>
      </c>
      <c r="X39">
        <f t="shared" si="8"/>
        <v>0</v>
      </c>
      <c r="Y39">
        <f>IF(B39&gt;$AF$2,0,IF(X40=0,0,(1-X40)*($E$2+IF(E39&lt;=Assumptions!$B$9,$D$2,0))/$I$2*1/(1+$AG$2)*1/(1+Assumptions!$B$11)))</f>
        <v>0</v>
      </c>
      <c r="Z39">
        <f>IF(B39&gt;$AF$2,0,IF($Y$2=1,(SUMIF('Mortality Tarif Male'!A:A,E40,'Mortality Tarif Male'!E:E)-SUMIF('Mortality Tarif Male'!A:A,$C$2+$H$2,'Mortality Tarif Male'!E:E))/SUMIF('Mortality Tarif Male'!A:A,E40,'Mortality Tarif Male'!D:D),(SUMIF('Mortality Tarif Female'!A:A,E40,'Mortality Tarif Female'!E:E)-SUMIF('Mortality Tarif Female'!A:A,$C$2+$H$2,'Mortality Tarif Female'!E:E))/SUMIF('Mortality Tarif Female'!A:A,E40,'Mortality Tarif Female'!D:D)))</f>
        <v>13.967132360239102</v>
      </c>
      <c r="AA39">
        <f>IF(B39&gt;=$AF$2,0,IF($Y$2=1,(SUMIF('Mortality Tarif Male'!A:A,E40+1,'Mortality Tarif Male'!E:E)-SUMIF('Mortality Tarif Male'!A:A,$C$2+$H$2,'Mortality Tarif Male'!E:E))/SUMIF('Mortality Tarif Male'!A:A,E40+1,'Mortality Tarif Male'!D:D),(SUMIF('Mortality Tarif Female'!A:A,E40+1,'Mortality Tarif Female'!E:E)-SUMIF('Mortality Tarif Female'!A:A,$C$2+$H$2,'Mortality Tarif Female'!E:E))/SUMIF('Mortality Tarif Female'!A:A,E40+1,'Mortality Tarif Female'!D:D)))</f>
        <v>13.438366712927463</v>
      </c>
      <c r="AB39">
        <f t="shared" si="0"/>
        <v>3299.9613945882556</v>
      </c>
      <c r="AC39">
        <f>IF(B39&gt;=$AF$2,0,MIN(1/3*(V39+W39+Y39-AB39),(V39-AB39),(T39*Z39+(1-T39)*AA39)*$AH$2*Assumptions!$B$22))</f>
        <v>357.17560841582679</v>
      </c>
      <c r="AD39">
        <f t="shared" si="22"/>
        <v>7101.3018482919369</v>
      </c>
      <c r="AE39">
        <f t="shared" si="23"/>
        <v>7458.4774567077638</v>
      </c>
      <c r="AF39">
        <f t="shared" si="24"/>
        <v>7101.3018482919369</v>
      </c>
      <c r="AG39" s="26">
        <f t="shared" si="35"/>
        <v>0</v>
      </c>
      <c r="AH39" s="27">
        <f>IF(B39&gt;$AF$2,0,HLOOKUP(YEAR(A39),Assumptions!$A$34:$AL$37,4,TRUE)/100)</f>
        <v>9.3349999999999995E-3</v>
      </c>
      <c r="AI39">
        <f t="shared" si="25"/>
        <v>0</v>
      </c>
      <c r="AJ39">
        <f t="shared" si="26"/>
        <v>1.4630755222967891</v>
      </c>
      <c r="AK39">
        <f t="shared" si="27"/>
        <v>19.495953249125151</v>
      </c>
      <c r="AL39">
        <f>IF(E39&gt;Assumptions!$B$9,0,SUMPRODUCT($P$2:$X$2,Assumptions!$A$43:$I$43)/$I$2*O38*K39)</f>
        <v>5.1576723247681748</v>
      </c>
      <c r="AM39">
        <f t="shared" si="28"/>
        <v>0</v>
      </c>
      <c r="AN39">
        <f t="shared" si="29"/>
        <v>26.116701096190116</v>
      </c>
      <c r="AO39">
        <f>IF(E39&gt;Assumptions!$B$9,0,($V$2+$X$2)/$I$2*O38*K39*Assumptions!$B$46)</f>
        <v>0</v>
      </c>
      <c r="AP39">
        <f>IF(B39&gt;$AF$2,0,AP38*(1+Assumptions!$B$52)^(1/12))</f>
        <v>1.0234890614412835</v>
      </c>
      <c r="AQ39" s="29">
        <f>IF(B39&gt;$AF$2,0,O38*Assumptions!$B$48/12*AP38+AR39*Assumptions!$B$50/12)</f>
        <v>13.628385491754848</v>
      </c>
      <c r="AR39" s="31">
        <f t="shared" si="30"/>
        <v>6482.5974595663683</v>
      </c>
      <c r="AS39">
        <f t="shared" si="9"/>
        <v>6518.6712244699502</v>
      </c>
      <c r="AT39">
        <f t="shared" si="31"/>
        <v>18.478741994573372</v>
      </c>
      <c r="AU39" s="19">
        <f t="shared" si="32"/>
        <v>6497.6492485470944</v>
      </c>
      <c r="AV39" s="19">
        <f t="shared" si="33"/>
        <v>6513.70331610422</v>
      </c>
      <c r="AW39">
        <f t="shared" si="34"/>
        <v>-41.560380482158877</v>
      </c>
      <c r="AX39">
        <f>IF(B39&gt;$AF$2,0,HLOOKUP(YEAR(A39),Assumptions!$A$34:$AL$37,2,TRUE)/100)</f>
        <v>1.5335000000000001E-2</v>
      </c>
      <c r="AY39" s="32">
        <f>1/(1+HLOOKUP(YEAR(A39),Assumptions!$A$27:$AL$29,3,TRUE))^(1/12)</f>
        <v>0.99865671918296972</v>
      </c>
      <c r="AZ39" s="30">
        <f t="shared" si="10"/>
        <v>7917.7654072115029</v>
      </c>
      <c r="BA39">
        <f>IF(B39&gt;$AF$2,0,IF($E$2=0,(T39*Z39+(1-T39)*AA39)*$J$2*Assumptions!$B$20,0))</f>
        <v>0</v>
      </c>
    </row>
    <row r="40" spans="1:53" x14ac:dyDescent="0.25">
      <c r="A40" s="17">
        <f t="shared" si="11"/>
        <v>43982</v>
      </c>
      <c r="B40">
        <f t="shared" si="1"/>
        <v>259</v>
      </c>
      <c r="C40">
        <f t="shared" si="2"/>
        <v>21.5</v>
      </c>
      <c r="D40">
        <f t="shared" si="36"/>
        <v>0</v>
      </c>
      <c r="E40">
        <f t="shared" si="4"/>
        <v>44</v>
      </c>
      <c r="F40">
        <f>IF(C40&gt;=$H$2,0,VLOOKUP($E40,'Mortality Table'!$A$3:$C$128,2+AB$2,FALSE))</f>
        <v>8.8049999999999999E-4</v>
      </c>
      <c r="G40">
        <f>F40*Assumptions!$B$1</f>
        <v>9.5314124999999999E-4</v>
      </c>
      <c r="H40">
        <f t="shared" si="12"/>
        <v>7.9463157466319601E-5</v>
      </c>
      <c r="I40">
        <f t="shared" si="37"/>
        <v>7.2834804715200103E-5</v>
      </c>
      <c r="J40">
        <f>HLOOKUP(C40,Assumptions!$A$6:$J$7,2,TRUE)</f>
        <v>3.5200000000000002E-2</v>
      </c>
      <c r="K40" s="18">
        <f t="shared" si="5"/>
        <v>1</v>
      </c>
      <c r="L40" s="18">
        <f t="shared" si="14"/>
        <v>8.3333333333333329E-2</v>
      </c>
      <c r="M40" s="18">
        <f t="shared" si="38"/>
        <v>2.9817501439168836E-3</v>
      </c>
      <c r="N40">
        <f t="shared" si="39"/>
        <v>2.7370018923710314E-3</v>
      </c>
      <c r="O40" s="20">
        <f t="shared" si="40"/>
        <v>0.9151445558538901</v>
      </c>
      <c r="P40">
        <f>IF(B40&gt;$AF$2,0,O39*($E$2+IF(E40&lt;=Assumptions!$B$9,$D$2,0))/$I$2*K40)</f>
        <v>47.014564138485831</v>
      </c>
      <c r="Q40">
        <f t="shared" si="18"/>
        <v>26.1</v>
      </c>
      <c r="R40">
        <f>IF(B40&gt;$AF$2,0,IF($Y$2=1,(SUMIF('Mortality Tarif Male'!A:A,E41,'Mortality Tarif Male'!G:G)-SUMIF('Mortality Tarif Male'!A:A,$C$2+$H$2,'Mortality Tarif Male'!G:G)+SUMIF('Mortality Tarif Male'!A:A,$C$2+$H$2,'Mortality Tarif Male'!D:D))/SUMIF('Mortality Tarif Male'!A:A,E41,'Mortality Tarif Male'!D:D),(SUMIF('Mortality Tarif Female'!A:A,E41,'Mortality Tarif Female'!G:G)-SUMIF('Mortality Tarif Female'!A:A,$C$2+$H$2,'Mortality Tarif Female'!G:G)+SUMIF('Mortality Tarif Female'!A:A,$C$2+$H$2,'Mortality Tarif Female'!D:D))/SUMIF('Mortality Tarif Female'!A:A,E41,'Mortality Tarif Female'!D:D)))</f>
        <v>0.52828073605038051</v>
      </c>
      <c r="S40">
        <f>IF(B40&gt;=$AF$2,0,IF($Y$2=1,(SUMIF('Mortality Tarif Male'!A:A,E41+1,'Mortality Tarif Male'!G:G)-SUMIF('Mortality Tarif Male'!A:A,$C$2+$H$2,'Mortality Tarif Male'!G:G)+SUMIF('Mortality Tarif Male'!A:A,$C$2+$H$2,'Mortality Tarif Male'!D:D))/SUMIF('Mortality Tarif Male'!A:A,E41+1,'Mortality Tarif Male'!D:D),(SUMIF('Mortality Tarif Female'!A:A,E41+1,'Mortality Tarif Female'!G:G)-SUMIF('Mortality Tarif Female'!A:A,$C$2+$H$2,'Mortality Tarif Female'!G:G)+SUMIF('Mortality Tarif Female'!A:A,$C$2+$H$2,'Mortality Tarif Female'!D:D))/SUMIF('Mortality Tarif Female'!A:A,E41+1,'Mortality Tarif Female'!D:D)))</f>
        <v>0.54616100261026923</v>
      </c>
      <c r="T40">
        <f t="shared" si="19"/>
        <v>0.41666666666666785</v>
      </c>
      <c r="U40">
        <f t="shared" si="20"/>
        <v>0.53871089154364893</v>
      </c>
      <c r="V40">
        <f t="shared" si="21"/>
        <v>10774.217830872978</v>
      </c>
      <c r="W40">
        <f t="shared" si="7"/>
        <v>14.060354269289238</v>
      </c>
      <c r="X40">
        <f t="shared" si="8"/>
        <v>0</v>
      </c>
      <c r="Y40">
        <f>IF(B40&gt;$AF$2,0,IF(X41=0,0,(1-X41)*($E$2+IF(E40&lt;=Assumptions!$B$9,$D$2,0))/$I$2*1/(1+$AG$2)*1/(1+Assumptions!$B$11)))</f>
        <v>0</v>
      </c>
      <c r="Z40">
        <f>IF(B40&gt;$AF$2,0,IF($Y$2=1,(SUMIF('Mortality Tarif Male'!A:A,E41,'Mortality Tarif Male'!E:E)-SUMIF('Mortality Tarif Male'!A:A,$C$2+$H$2,'Mortality Tarif Male'!E:E))/SUMIF('Mortality Tarif Male'!A:A,E41,'Mortality Tarif Male'!D:D),(SUMIF('Mortality Tarif Female'!A:A,E41,'Mortality Tarif Female'!E:E)-SUMIF('Mortality Tarif Female'!A:A,$C$2+$H$2,'Mortality Tarif Female'!E:E))/SUMIF('Mortality Tarif Female'!A:A,E41,'Mortality Tarif Female'!D:D)))</f>
        <v>13.967132360239102</v>
      </c>
      <c r="AA40">
        <f>IF(B40&gt;=$AF$2,0,IF($Y$2=1,(SUMIF('Mortality Tarif Male'!A:A,E41+1,'Mortality Tarif Male'!E:E)-SUMIF('Mortality Tarif Male'!A:A,$C$2+$H$2,'Mortality Tarif Male'!E:E))/SUMIF('Mortality Tarif Male'!A:A,E41+1,'Mortality Tarif Male'!D:D),(SUMIF('Mortality Tarif Female'!A:A,E41+1,'Mortality Tarif Female'!E:E)-SUMIF('Mortality Tarif Female'!A:A,$C$2+$H$2,'Mortality Tarif Female'!E:E))/SUMIF('Mortality Tarif Female'!A:A,E41+1,'Mortality Tarif Female'!D:D)))</f>
        <v>13.438366712927463</v>
      </c>
      <c r="AB40">
        <f t="shared" si="0"/>
        <v>3289.3497394951519</v>
      </c>
      <c r="AC40">
        <f>IF(B40&gt;=$AF$2,0,MIN(1/3*(V40+W40+Y40-AB40),(V40-AB40),(T40*Z40+(1-T40)*AA40)*$AH$2*Assumptions!$B$22))</f>
        <v>356.02704214156853</v>
      </c>
      <c r="AD40">
        <f t="shared" si="22"/>
        <v>7142.901403505547</v>
      </c>
      <c r="AE40">
        <f t="shared" si="23"/>
        <v>7498.928445647116</v>
      </c>
      <c r="AF40">
        <f t="shared" si="24"/>
        <v>7142.901403505547</v>
      </c>
      <c r="AG40" s="26">
        <f t="shared" si="35"/>
        <v>0</v>
      </c>
      <c r="AH40" s="27">
        <f>IF(B40&gt;$AF$2,0,HLOOKUP(YEAR(A40),Assumptions!$A$34:$AL$37,4,TRUE)/100)</f>
        <v>9.3349999999999995E-3</v>
      </c>
      <c r="AI40">
        <f t="shared" si="25"/>
        <v>0</v>
      </c>
      <c r="AJ40">
        <f t="shared" si="26"/>
        <v>1.4585970827070687</v>
      </c>
      <c r="AK40">
        <f t="shared" si="27"/>
        <v>19.550134658414379</v>
      </c>
      <c r="AL40">
        <f>IF(E40&gt;Assumptions!$B$9,0,SUMPRODUCT($P$2:$X$2,Assumptions!$A$43:$I$43)/$I$2*O39*K40)</f>
        <v>5.1418848116985911</v>
      </c>
      <c r="AM40">
        <f t="shared" si="28"/>
        <v>0</v>
      </c>
      <c r="AN40">
        <f t="shared" si="29"/>
        <v>26.15061655282004</v>
      </c>
      <c r="AO40">
        <f>IF(E40&gt;Assumptions!$B$9,0,($V$2+$X$2)/$I$2*O39*K40*Assumptions!$B$46)</f>
        <v>0</v>
      </c>
      <c r="AP40">
        <f>IF(B40&gt;$AF$2,0,AP39*(1+Assumptions!$B$52)^(1/12))</f>
        <v>1.0243380846273653</v>
      </c>
      <c r="AQ40" s="29">
        <f>IF(B40&gt;$AF$2,0,O39*Assumptions!$B$48/12*AP39+AR40*Assumptions!$B$50/12)</f>
        <v>13.603323269283798</v>
      </c>
      <c r="AR40" s="31">
        <f t="shared" si="30"/>
        <v>6490.39113817822</v>
      </c>
      <c r="AS40">
        <f t="shared" si="9"/>
        <v>6536.7873324192124</v>
      </c>
      <c r="AT40">
        <f t="shared" si="31"/>
        <v>18.422179002126601</v>
      </c>
      <c r="AU40" s="19">
        <f t="shared" si="32"/>
        <v>6505.3802000452961</v>
      </c>
      <c r="AV40" s="19">
        <f t="shared" si="33"/>
        <v>6531.9515186603785</v>
      </c>
      <c r="AW40">
        <f t="shared" si="34"/>
        <v>-52.057482421803527</v>
      </c>
      <c r="AX40">
        <f>IF(B40&gt;$AF$2,0,HLOOKUP(YEAR(A40),Assumptions!$A$34:$AL$37,2,TRUE)/100)</f>
        <v>1.5335000000000001E-2</v>
      </c>
      <c r="AY40" s="32">
        <f>1/(1+HLOOKUP(YEAR(A40),Assumptions!$A$27:$AL$29,3,TRUE))^(1/12)</f>
        <v>0.99865671918296972</v>
      </c>
      <c r="AZ40" s="30">
        <f t="shared" si="10"/>
        <v>7935.6761199726461</v>
      </c>
      <c r="BA40">
        <f>IF(B40&gt;$AF$2,0,IF($E$2=0,(T40*Z40+(1-T40)*AA40)*$J$2*Assumptions!$B$20,0))</f>
        <v>0</v>
      </c>
    </row>
    <row r="41" spans="1:53" x14ac:dyDescent="0.25">
      <c r="A41" s="17">
        <f t="shared" si="11"/>
        <v>44012</v>
      </c>
      <c r="B41">
        <f t="shared" si="1"/>
        <v>260</v>
      </c>
      <c r="C41">
        <f t="shared" si="2"/>
        <v>21.583333333333332</v>
      </c>
      <c r="D41">
        <f t="shared" si="36"/>
        <v>0</v>
      </c>
      <c r="E41">
        <f t="shared" si="4"/>
        <v>44</v>
      </c>
      <c r="F41">
        <f>IF(C41&gt;=$H$2,0,VLOOKUP($E41,'Mortality Table'!$A$3:$C$128,2+AB$2,FALSE))</f>
        <v>8.8049999999999999E-4</v>
      </c>
      <c r="G41">
        <f>F41*Assumptions!$B$1</f>
        <v>9.5314124999999999E-4</v>
      </c>
      <c r="H41">
        <f t="shared" si="12"/>
        <v>7.9463157466319601E-5</v>
      </c>
      <c r="I41">
        <f t="shared" si="37"/>
        <v>7.2611859099628567E-5</v>
      </c>
      <c r="J41">
        <f>HLOOKUP(C41,Assumptions!$A$6:$J$7,2,TRUE)</f>
        <v>3.5200000000000002E-2</v>
      </c>
      <c r="K41" s="18">
        <f t="shared" si="5"/>
        <v>1</v>
      </c>
      <c r="L41" s="18">
        <f t="shared" si="14"/>
        <v>8.3333333333333329E-2</v>
      </c>
      <c r="M41" s="18">
        <f t="shared" si="38"/>
        <v>2.9817501439168836E-3</v>
      </c>
      <c r="N41">
        <f t="shared" si="39"/>
        <v>2.7286239942754548E-3</v>
      </c>
      <c r="O41" s="20">
        <f t="shared" si="40"/>
        <v>0.91234332000051499</v>
      </c>
      <c r="P41">
        <f>IF(B41&gt;$AF$2,0,O40*($E$2+IF(E41&lt;=Assumptions!$B$9,$D$2,0))/$I$2*K41)</f>
        <v>46.870653668983401</v>
      </c>
      <c r="Q41">
        <f t="shared" si="18"/>
        <v>26.1</v>
      </c>
      <c r="R41">
        <f>IF(B41&gt;$AF$2,0,IF($Y$2=1,(SUMIF('Mortality Tarif Male'!A:A,E42,'Mortality Tarif Male'!G:G)-SUMIF('Mortality Tarif Male'!A:A,$C$2+$H$2,'Mortality Tarif Male'!G:G)+SUMIF('Mortality Tarif Male'!A:A,$C$2+$H$2,'Mortality Tarif Male'!D:D))/SUMIF('Mortality Tarif Male'!A:A,E42,'Mortality Tarif Male'!D:D),(SUMIF('Mortality Tarif Female'!A:A,E42,'Mortality Tarif Female'!G:G)-SUMIF('Mortality Tarif Female'!A:A,$C$2+$H$2,'Mortality Tarif Female'!G:G)+SUMIF('Mortality Tarif Female'!A:A,$C$2+$H$2,'Mortality Tarif Female'!D:D))/SUMIF('Mortality Tarif Female'!A:A,E42,'Mortality Tarif Female'!D:D)))</f>
        <v>0.52828073605038051</v>
      </c>
      <c r="S41">
        <f>IF(B41&gt;=$AF$2,0,IF($Y$2=1,(SUMIF('Mortality Tarif Male'!A:A,E42+1,'Mortality Tarif Male'!G:G)-SUMIF('Mortality Tarif Male'!A:A,$C$2+$H$2,'Mortality Tarif Male'!G:G)+SUMIF('Mortality Tarif Male'!A:A,$C$2+$H$2,'Mortality Tarif Male'!D:D))/SUMIF('Mortality Tarif Male'!A:A,E42+1,'Mortality Tarif Male'!D:D),(SUMIF('Mortality Tarif Female'!A:A,E42+1,'Mortality Tarif Female'!G:G)-SUMIF('Mortality Tarif Female'!A:A,$C$2+$H$2,'Mortality Tarif Female'!G:G)+SUMIF('Mortality Tarif Female'!A:A,$C$2+$H$2,'Mortality Tarif Female'!D:D))/SUMIF('Mortality Tarif Female'!A:A,E42+1,'Mortality Tarif Female'!D:D)))</f>
        <v>0.54616100261026923</v>
      </c>
      <c r="T41">
        <f t="shared" si="19"/>
        <v>0.33333333333333215</v>
      </c>
      <c r="U41">
        <f t="shared" si="20"/>
        <v>0.54020091375697299</v>
      </c>
      <c r="V41">
        <f t="shared" si="21"/>
        <v>10804.01827513946</v>
      </c>
      <c r="W41">
        <f t="shared" si="7"/>
        <v>14.099243849056995</v>
      </c>
      <c r="X41">
        <f t="shared" si="8"/>
        <v>0</v>
      </c>
      <c r="Y41">
        <f>IF(B41&gt;$AF$2,0,IF(X42=0,0,(1-X42)*($E$2+IF(E41&lt;=Assumptions!$B$9,$D$2,0))/$I$2*1/(1+$AG$2)*1/(1+Assumptions!$B$11)))</f>
        <v>0</v>
      </c>
      <c r="Z41">
        <f>IF(B41&gt;$AF$2,0,IF($Y$2=1,(SUMIF('Mortality Tarif Male'!A:A,E42,'Mortality Tarif Male'!E:E)-SUMIF('Mortality Tarif Male'!A:A,$C$2+$H$2,'Mortality Tarif Male'!E:E))/SUMIF('Mortality Tarif Male'!A:A,E42,'Mortality Tarif Male'!D:D),(SUMIF('Mortality Tarif Female'!A:A,E42,'Mortality Tarif Female'!E:E)-SUMIF('Mortality Tarif Female'!A:A,$C$2+$H$2,'Mortality Tarif Female'!E:E))/SUMIF('Mortality Tarif Female'!A:A,E42,'Mortality Tarif Female'!D:D)))</f>
        <v>13.967132360239102</v>
      </c>
      <c r="AA41">
        <f>IF(B41&gt;=$AF$2,0,IF($Y$2=1,(SUMIF('Mortality Tarif Male'!A:A,E42+1,'Mortality Tarif Male'!E:E)-SUMIF('Mortality Tarif Male'!A:A,$C$2+$H$2,'Mortality Tarif Male'!E:E))/SUMIF('Mortality Tarif Male'!A:A,E42+1,'Mortality Tarif Male'!D:D),(SUMIF('Mortality Tarif Female'!A:A,E42+1,'Mortality Tarif Female'!E:E)-SUMIF('Mortality Tarif Female'!A:A,$C$2+$H$2,'Mortality Tarif Female'!E:E))/SUMIF('Mortality Tarif Female'!A:A,E42+1,'Mortality Tarif Female'!D:D)))</f>
        <v>13.438366712927463</v>
      </c>
      <c r="AB41">
        <f t="shared" si="0"/>
        <v>3278.7380844020481</v>
      </c>
      <c r="AC41">
        <f>IF(B41&gt;=$AF$2,0,MIN(1/3*(V41+W41+Y41-AB41),(V41-AB41),(T41*Z41+(1-T41)*AA41)*$AH$2*Assumptions!$B$22))</f>
        <v>354.87847586731033</v>
      </c>
      <c r="AD41">
        <f t="shared" si="22"/>
        <v>7184.5009587191598</v>
      </c>
      <c r="AE41">
        <f t="shared" si="23"/>
        <v>7539.3794345864699</v>
      </c>
      <c r="AF41">
        <f t="shared" si="24"/>
        <v>7184.5009587191598</v>
      </c>
      <c r="AG41" s="26">
        <f t="shared" si="35"/>
        <v>0</v>
      </c>
      <c r="AH41" s="27">
        <f>IF(B41&gt;$AF$2,0,HLOOKUP(YEAR(A41),Assumptions!$A$34:$AL$37,4,TRUE)/100)</f>
        <v>9.3349999999999995E-3</v>
      </c>
      <c r="AI41">
        <f t="shared" si="25"/>
        <v>0</v>
      </c>
      <c r="AJ41">
        <f t="shared" si="26"/>
        <v>1.4541323515150715</v>
      </c>
      <c r="AK41">
        <f t="shared" si="27"/>
        <v>19.60380170285611</v>
      </c>
      <c r="AL41">
        <f>IF(E41&gt;Assumptions!$B$9,0,SUMPRODUCT($P$2:$X$2,Assumptions!$A$43:$I$43)/$I$2*O40*K41)</f>
        <v>5.1261456238333309</v>
      </c>
      <c r="AM41">
        <f t="shared" si="28"/>
        <v>0</v>
      </c>
      <c r="AN41">
        <f t="shared" si="29"/>
        <v>26.184079678204512</v>
      </c>
      <c r="AO41">
        <f>IF(E41&gt;Assumptions!$B$9,0,($V$2+$X$2)/$I$2*O40*K41*Assumptions!$B$46)</f>
        <v>0</v>
      </c>
      <c r="AP41">
        <f>IF(B41&gt;$AF$2,0,AP40*(1+Assumptions!$B$52)^(1/12))</f>
        <v>1.02518781211054</v>
      </c>
      <c r="AQ41" s="29">
        <f>IF(B41&gt;$AF$2,0,O40*Assumptions!$B$48/12*AP40+AR41*Assumptions!$B$50/12)</f>
        <v>13.578269206430523</v>
      </c>
      <c r="AR41" s="31">
        <f t="shared" si="30"/>
        <v>6497.9694935212374</v>
      </c>
      <c r="AS41">
        <f t="shared" si="9"/>
        <v>6554.7314572247215</v>
      </c>
      <c r="AT41">
        <f t="shared" si="31"/>
        <v>18.365789147662682</v>
      </c>
      <c r="AU41" s="19">
        <f t="shared" si="32"/>
        <v>6512.896088836128</v>
      </c>
      <c r="AV41" s="19">
        <f t="shared" si="33"/>
        <v>6550.0269759430412</v>
      </c>
      <c r="AW41">
        <f t="shared" si="34"/>
        <v>-62.596939341865884</v>
      </c>
      <c r="AX41">
        <f>IF(B41&gt;$AF$2,0,HLOOKUP(YEAR(A41),Assumptions!$A$34:$AL$37,2,TRUE)/100)</f>
        <v>1.5335000000000001E-2</v>
      </c>
      <c r="AY41" s="32">
        <f>1/(1+HLOOKUP(YEAR(A41),Assumptions!$A$27:$AL$29,3,TRUE))^(1/12)</f>
        <v>0.99865671918296972</v>
      </c>
      <c r="AZ41" s="30">
        <f t="shared" si="10"/>
        <v>7953.4586046802478</v>
      </c>
      <c r="BA41">
        <f>IF(B41&gt;$AF$2,0,IF($E$2=0,(T41*Z41+(1-T41)*AA41)*$J$2*Assumptions!$B$20,0))</f>
        <v>0</v>
      </c>
    </row>
    <row r="42" spans="1:53" x14ac:dyDescent="0.25">
      <c r="A42" s="17">
        <f t="shared" si="11"/>
        <v>44043</v>
      </c>
      <c r="B42">
        <f t="shared" si="1"/>
        <v>261</v>
      </c>
      <c r="C42">
        <f t="shared" si="2"/>
        <v>21.666666666666668</v>
      </c>
      <c r="D42">
        <f t="shared" si="36"/>
        <v>0</v>
      </c>
      <c r="E42">
        <f t="shared" si="4"/>
        <v>44</v>
      </c>
      <c r="F42">
        <f>IF(C42&gt;=$H$2,0,VLOOKUP($E42,'Mortality Table'!$A$3:$C$128,2+AB$2,FALSE))</f>
        <v>8.8049999999999999E-4</v>
      </c>
      <c r="G42">
        <f>F42*Assumptions!$B$1</f>
        <v>9.5314124999999999E-4</v>
      </c>
      <c r="H42">
        <f t="shared" si="12"/>
        <v>7.9463157466319601E-5</v>
      </c>
      <c r="I42">
        <f t="shared" si="37"/>
        <v>7.2389595915316321E-5</v>
      </c>
      <c r="J42">
        <f>HLOOKUP(C42,Assumptions!$A$6:$J$7,2,TRUE)</f>
        <v>3.5200000000000002E-2</v>
      </c>
      <c r="K42" s="18">
        <f t="shared" si="5"/>
        <v>1</v>
      </c>
      <c r="L42" s="18">
        <f t="shared" si="14"/>
        <v>8.3333333333333329E-2</v>
      </c>
      <c r="M42" s="18">
        <f t="shared" si="38"/>
        <v>2.9817501439168836E-3</v>
      </c>
      <c r="N42">
        <f t="shared" si="39"/>
        <v>2.7202717407279137E-3</v>
      </c>
      <c r="O42" s="20">
        <f t="shared" si="40"/>
        <v>0.90955065866387186</v>
      </c>
      <c r="P42">
        <f>IF(B42&gt;$AF$2,0,O41*($E$2+IF(E42&lt;=Assumptions!$B$9,$D$2,0))/$I$2*K42)</f>
        <v>46.727183706026373</v>
      </c>
      <c r="Q42">
        <f t="shared" si="18"/>
        <v>26.1</v>
      </c>
      <c r="R42">
        <f>IF(B42&gt;$AF$2,0,IF($Y$2=1,(SUMIF('Mortality Tarif Male'!A:A,E43,'Mortality Tarif Male'!G:G)-SUMIF('Mortality Tarif Male'!A:A,$C$2+$H$2,'Mortality Tarif Male'!G:G)+SUMIF('Mortality Tarif Male'!A:A,$C$2+$H$2,'Mortality Tarif Male'!D:D))/SUMIF('Mortality Tarif Male'!A:A,E43,'Mortality Tarif Male'!D:D),(SUMIF('Mortality Tarif Female'!A:A,E43,'Mortality Tarif Female'!G:G)-SUMIF('Mortality Tarif Female'!A:A,$C$2+$H$2,'Mortality Tarif Female'!G:G)+SUMIF('Mortality Tarif Female'!A:A,$C$2+$H$2,'Mortality Tarif Female'!D:D))/SUMIF('Mortality Tarif Female'!A:A,E43,'Mortality Tarif Female'!D:D)))</f>
        <v>0.52828073605038051</v>
      </c>
      <c r="S42">
        <f>IF(B42&gt;=$AF$2,0,IF($Y$2=1,(SUMIF('Mortality Tarif Male'!A:A,E43+1,'Mortality Tarif Male'!G:G)-SUMIF('Mortality Tarif Male'!A:A,$C$2+$H$2,'Mortality Tarif Male'!G:G)+SUMIF('Mortality Tarif Male'!A:A,$C$2+$H$2,'Mortality Tarif Male'!D:D))/SUMIF('Mortality Tarif Male'!A:A,E43+1,'Mortality Tarif Male'!D:D),(SUMIF('Mortality Tarif Female'!A:A,E43+1,'Mortality Tarif Female'!G:G)-SUMIF('Mortality Tarif Female'!A:A,$C$2+$H$2,'Mortality Tarif Female'!G:G)+SUMIF('Mortality Tarif Female'!A:A,$C$2+$H$2,'Mortality Tarif Female'!D:D))/SUMIF('Mortality Tarif Female'!A:A,E43+1,'Mortality Tarif Female'!D:D)))</f>
        <v>0.54616100261026923</v>
      </c>
      <c r="T42">
        <f t="shared" si="19"/>
        <v>0.25</v>
      </c>
      <c r="U42">
        <f t="shared" si="20"/>
        <v>0.54169093597029705</v>
      </c>
      <c r="V42">
        <f t="shared" si="21"/>
        <v>10833.818719405941</v>
      </c>
      <c r="W42">
        <f t="shared" si="7"/>
        <v>14.138133428824753</v>
      </c>
      <c r="X42">
        <f t="shared" si="8"/>
        <v>0</v>
      </c>
      <c r="Y42">
        <f>IF(B42&gt;$AF$2,0,IF(X43=0,0,(1-X43)*($E$2+IF(E42&lt;=Assumptions!$B$9,$D$2,0))/$I$2*1/(1+$AG$2)*1/(1+Assumptions!$B$11)))</f>
        <v>0</v>
      </c>
      <c r="Z42">
        <f>IF(B42&gt;$AF$2,0,IF($Y$2=1,(SUMIF('Mortality Tarif Male'!A:A,E43,'Mortality Tarif Male'!E:E)-SUMIF('Mortality Tarif Male'!A:A,$C$2+$H$2,'Mortality Tarif Male'!E:E))/SUMIF('Mortality Tarif Male'!A:A,E43,'Mortality Tarif Male'!D:D),(SUMIF('Mortality Tarif Female'!A:A,E43,'Mortality Tarif Female'!E:E)-SUMIF('Mortality Tarif Female'!A:A,$C$2+$H$2,'Mortality Tarif Female'!E:E))/SUMIF('Mortality Tarif Female'!A:A,E43,'Mortality Tarif Female'!D:D)))</f>
        <v>13.967132360239102</v>
      </c>
      <c r="AA42">
        <f>IF(B42&gt;=$AF$2,0,IF($Y$2=1,(SUMIF('Mortality Tarif Male'!A:A,E43+1,'Mortality Tarif Male'!E:E)-SUMIF('Mortality Tarif Male'!A:A,$C$2+$H$2,'Mortality Tarif Male'!E:E))/SUMIF('Mortality Tarif Male'!A:A,E43+1,'Mortality Tarif Male'!D:D),(SUMIF('Mortality Tarif Female'!A:A,E43+1,'Mortality Tarif Female'!E:E)-SUMIF('Mortality Tarif Female'!A:A,$C$2+$H$2,'Mortality Tarif Female'!E:E))/SUMIF('Mortality Tarif Female'!A:A,E43+1,'Mortality Tarif Female'!D:D)))</f>
        <v>13.438366712927463</v>
      </c>
      <c r="AB42">
        <f t="shared" si="0"/>
        <v>3268.1264293089444</v>
      </c>
      <c r="AC42">
        <f>IF(B42&gt;=$AF$2,0,MIN(1/3*(V42+W42+Y42-AB42),(V42-AB42),(T42*Z42+(1-T42)*AA42)*$AH$2*Assumptions!$B$22))</f>
        <v>353.72990959305207</v>
      </c>
      <c r="AD42">
        <f t="shared" si="22"/>
        <v>7226.1005139327699</v>
      </c>
      <c r="AE42">
        <f t="shared" si="23"/>
        <v>7579.830423525822</v>
      </c>
      <c r="AF42">
        <f t="shared" si="24"/>
        <v>7226.1005139327699</v>
      </c>
      <c r="AG42" s="26">
        <f t="shared" si="35"/>
        <v>0</v>
      </c>
      <c r="AH42" s="27">
        <f>IF(B42&gt;$AF$2,0,HLOOKUP(YEAR(A42),Assumptions!$A$34:$AL$37,4,TRUE)/100)</f>
        <v>9.3349999999999995E-3</v>
      </c>
      <c r="AI42">
        <f t="shared" si="25"/>
        <v>0</v>
      </c>
      <c r="AJ42">
        <f t="shared" si="26"/>
        <v>1.449681286759716</v>
      </c>
      <c r="AK42">
        <f t="shared" si="27"/>
        <v>19.656957023710767</v>
      </c>
      <c r="AL42">
        <f>IF(E42&gt;Assumptions!$B$9,0,SUMPRODUCT($P$2:$X$2,Assumptions!$A$43:$I$43)/$I$2*O41*K42)</f>
        <v>5.1104546132500843</v>
      </c>
      <c r="AM42">
        <f t="shared" si="28"/>
        <v>0</v>
      </c>
      <c r="AN42">
        <f t="shared" si="29"/>
        <v>26.217092923720568</v>
      </c>
      <c r="AO42">
        <f>IF(E42&gt;Assumptions!$B$9,0,($V$2+$X$2)/$I$2*O41*K42*Assumptions!$B$46)</f>
        <v>0</v>
      </c>
      <c r="AP42">
        <f>IF(B42&gt;$AF$2,0,AP41*(1+Assumptions!$B$52)^(1/12))</f>
        <v>1.0260382444750489</v>
      </c>
      <c r="AQ42" s="29">
        <f>IF(B42&gt;$AF$2,0,O41*Assumptions!$B$48/12*AP41+AR42*Assumptions!$B$50/12)</f>
        <v>13.553223436865737</v>
      </c>
      <c r="AR42" s="31">
        <f t="shared" si="30"/>
        <v>6505.3336351708158</v>
      </c>
      <c r="AS42">
        <f t="shared" si="9"/>
        <v>6572.5044820188941</v>
      </c>
      <c r="AT42">
        <f t="shared" si="31"/>
        <v>18.309571901210333</v>
      </c>
      <c r="AU42" s="19">
        <f t="shared" si="32"/>
        <v>6520.1980235387664</v>
      </c>
      <c r="AV42" s="19">
        <f t="shared" si="33"/>
        <v>6567.9305745126812</v>
      </c>
      <c r="AW42">
        <f t="shared" si="34"/>
        <v>-73.178529365789558</v>
      </c>
      <c r="AX42">
        <f>IF(B42&gt;$AF$2,0,HLOOKUP(YEAR(A42),Assumptions!$A$34:$AL$37,2,TRUE)/100)</f>
        <v>1.5335000000000001E-2</v>
      </c>
      <c r="AY42" s="32">
        <f>1/(1+HLOOKUP(YEAR(A42),Assumptions!$A$27:$AL$29,3,TRUE))^(1/12)</f>
        <v>0.99865671918296972</v>
      </c>
      <c r="AZ42" s="30">
        <f t="shared" si="10"/>
        <v>7971.113570949462</v>
      </c>
      <c r="BA42">
        <f>IF(B42&gt;$AF$2,0,IF($E$2=0,(T42*Z42+(1-T42)*AA42)*$J$2*Assumptions!$B$20,0))</f>
        <v>0</v>
      </c>
    </row>
    <row r="43" spans="1:53" x14ac:dyDescent="0.25">
      <c r="A43" s="17">
        <f t="shared" si="11"/>
        <v>44074</v>
      </c>
      <c r="B43">
        <f t="shared" si="1"/>
        <v>262</v>
      </c>
      <c r="C43">
        <f t="shared" si="2"/>
        <v>21.75</v>
      </c>
      <c r="D43">
        <f t="shared" si="36"/>
        <v>0</v>
      </c>
      <c r="E43">
        <f t="shared" si="4"/>
        <v>44</v>
      </c>
      <c r="F43">
        <f>IF(C43&gt;=$H$2,0,VLOOKUP($E43,'Mortality Table'!$A$3:$C$128,2+AB$2,FALSE))</f>
        <v>8.8049999999999999E-4</v>
      </c>
      <c r="G43">
        <f>F43*Assumptions!$B$1</f>
        <v>9.5314124999999999E-4</v>
      </c>
      <c r="H43">
        <f t="shared" si="12"/>
        <v>7.9463157466319601E-5</v>
      </c>
      <c r="I43">
        <f t="shared" si="37"/>
        <v>7.2168013073357424E-5</v>
      </c>
      <c r="J43">
        <f>HLOOKUP(C43,Assumptions!$A$6:$J$7,2,TRUE)</f>
        <v>3.5200000000000002E-2</v>
      </c>
      <c r="K43" s="18">
        <f t="shared" si="5"/>
        <v>1</v>
      </c>
      <c r="L43" s="18">
        <f t="shared" si="14"/>
        <v>8.3333333333333329E-2</v>
      </c>
      <c r="M43" s="18">
        <f t="shared" si="38"/>
        <v>2.9817501439168836E-3</v>
      </c>
      <c r="N43">
        <f t="shared" si="39"/>
        <v>2.7119450532310518E-3</v>
      </c>
      <c r="O43" s="20">
        <f t="shared" si="40"/>
        <v>0.90676654559756753</v>
      </c>
      <c r="P43">
        <f>IF(B43&gt;$AF$2,0,O42*($E$2+IF(E43&lt;=Assumptions!$B$9,$D$2,0))/$I$2*K43)</f>
        <v>46.584152901234631</v>
      </c>
      <c r="Q43">
        <f t="shared" si="18"/>
        <v>26.1</v>
      </c>
      <c r="R43">
        <f>IF(B43&gt;$AF$2,0,IF($Y$2=1,(SUMIF('Mortality Tarif Male'!A:A,E44,'Mortality Tarif Male'!G:G)-SUMIF('Mortality Tarif Male'!A:A,$C$2+$H$2,'Mortality Tarif Male'!G:G)+SUMIF('Mortality Tarif Male'!A:A,$C$2+$H$2,'Mortality Tarif Male'!D:D))/SUMIF('Mortality Tarif Male'!A:A,E44,'Mortality Tarif Male'!D:D),(SUMIF('Mortality Tarif Female'!A:A,E44,'Mortality Tarif Female'!G:G)-SUMIF('Mortality Tarif Female'!A:A,$C$2+$H$2,'Mortality Tarif Female'!G:G)+SUMIF('Mortality Tarif Female'!A:A,$C$2+$H$2,'Mortality Tarif Female'!D:D))/SUMIF('Mortality Tarif Female'!A:A,E44,'Mortality Tarif Female'!D:D)))</f>
        <v>0.52828073605038051</v>
      </c>
      <c r="S43">
        <f>IF(B43&gt;=$AF$2,0,IF($Y$2=1,(SUMIF('Mortality Tarif Male'!A:A,E44+1,'Mortality Tarif Male'!G:G)-SUMIF('Mortality Tarif Male'!A:A,$C$2+$H$2,'Mortality Tarif Male'!G:G)+SUMIF('Mortality Tarif Male'!A:A,$C$2+$H$2,'Mortality Tarif Male'!D:D))/SUMIF('Mortality Tarif Male'!A:A,E44+1,'Mortality Tarif Male'!D:D),(SUMIF('Mortality Tarif Female'!A:A,E44+1,'Mortality Tarif Female'!G:G)-SUMIF('Mortality Tarif Female'!A:A,$C$2+$H$2,'Mortality Tarif Female'!G:G)+SUMIF('Mortality Tarif Female'!A:A,$C$2+$H$2,'Mortality Tarif Female'!D:D))/SUMIF('Mortality Tarif Female'!A:A,E44+1,'Mortality Tarif Female'!D:D)))</f>
        <v>0.54616100261026923</v>
      </c>
      <c r="T43">
        <f t="shared" si="19"/>
        <v>0.16666666666666785</v>
      </c>
      <c r="U43">
        <f t="shared" si="20"/>
        <v>0.54318095818362111</v>
      </c>
      <c r="V43">
        <f t="shared" si="21"/>
        <v>10863.619163672422</v>
      </c>
      <c r="W43">
        <f t="shared" si="7"/>
        <v>14.177023008592512</v>
      </c>
      <c r="X43">
        <f t="shared" si="8"/>
        <v>0</v>
      </c>
      <c r="Y43">
        <f>IF(B43&gt;$AF$2,0,IF(X44=0,0,(1-X44)*($E$2+IF(E43&lt;=Assumptions!$B$9,$D$2,0))/$I$2*1/(1+$AG$2)*1/(1+Assumptions!$B$11)))</f>
        <v>0</v>
      </c>
      <c r="Z43">
        <f>IF(B43&gt;$AF$2,0,IF($Y$2=1,(SUMIF('Mortality Tarif Male'!A:A,E44,'Mortality Tarif Male'!E:E)-SUMIF('Mortality Tarif Male'!A:A,$C$2+$H$2,'Mortality Tarif Male'!E:E))/SUMIF('Mortality Tarif Male'!A:A,E44,'Mortality Tarif Male'!D:D),(SUMIF('Mortality Tarif Female'!A:A,E44,'Mortality Tarif Female'!E:E)-SUMIF('Mortality Tarif Female'!A:A,$C$2+$H$2,'Mortality Tarif Female'!E:E))/SUMIF('Mortality Tarif Female'!A:A,E44,'Mortality Tarif Female'!D:D)))</f>
        <v>13.967132360239102</v>
      </c>
      <c r="AA43">
        <f>IF(B43&gt;=$AF$2,0,IF($Y$2=1,(SUMIF('Mortality Tarif Male'!A:A,E44+1,'Mortality Tarif Male'!E:E)-SUMIF('Mortality Tarif Male'!A:A,$C$2+$H$2,'Mortality Tarif Male'!E:E))/SUMIF('Mortality Tarif Male'!A:A,E44+1,'Mortality Tarif Male'!D:D),(SUMIF('Mortality Tarif Female'!A:A,E44+1,'Mortality Tarif Female'!E:E)-SUMIF('Mortality Tarif Female'!A:A,$C$2+$H$2,'Mortality Tarif Female'!E:E))/SUMIF('Mortality Tarif Female'!A:A,E44+1,'Mortality Tarif Female'!D:D)))</f>
        <v>13.438366712927463</v>
      </c>
      <c r="AB43">
        <f t="shared" si="0"/>
        <v>3257.5147742158415</v>
      </c>
      <c r="AC43">
        <f>IF(B43&gt;=$AF$2,0,MIN(1/3*(V43+W43+Y43-AB43),(V43-AB43),(T43*Z43+(1-T43)*AA43)*$AH$2*Assumptions!$B$22))</f>
        <v>352.58134331879398</v>
      </c>
      <c r="AD43">
        <f t="shared" si="22"/>
        <v>7267.7000691463791</v>
      </c>
      <c r="AE43">
        <f t="shared" si="23"/>
        <v>7620.2814124651732</v>
      </c>
      <c r="AF43">
        <f t="shared" si="24"/>
        <v>7267.7000691463791</v>
      </c>
      <c r="AG43" s="26">
        <f t="shared" si="35"/>
        <v>0</v>
      </c>
      <c r="AH43" s="27">
        <f>IF(B43&gt;$AF$2,0,HLOOKUP(YEAR(A43),Assumptions!$A$34:$AL$37,4,TRUE)/100)</f>
        <v>9.3349999999999995E-3</v>
      </c>
      <c r="AI43">
        <f t="shared" si="25"/>
        <v>0</v>
      </c>
      <c r="AJ43">
        <f t="shared" si="26"/>
        <v>1.445243846608363</v>
      </c>
      <c r="AK43">
        <f t="shared" si="27"/>
        <v>19.709603250888495</v>
      </c>
      <c r="AL43">
        <f>IF(E43&gt;Assumptions!$B$9,0,SUMPRODUCT($P$2:$X$2,Assumptions!$A$43:$I$43)/$I$2*O42*K43)</f>
        <v>5.0948116324793311</v>
      </c>
      <c r="AM43">
        <f t="shared" si="28"/>
        <v>0</v>
      </c>
      <c r="AN43">
        <f t="shared" si="29"/>
        <v>26.24965872997619</v>
      </c>
      <c r="AO43">
        <f>IF(E43&gt;Assumptions!$B$9,0,($V$2+$X$2)/$I$2*O42*K43*Assumptions!$B$46)</f>
        <v>0</v>
      </c>
      <c r="AP43">
        <f>IF(B43&gt;$AF$2,0,AP42*(1+Assumptions!$B$52)^(1/12))</f>
        <v>1.0268893823056178</v>
      </c>
      <c r="AQ43" s="29">
        <f>IF(B43&gt;$AF$2,0,O42*Assumptions!$B$48/12*AP42+AR43*Assumptions!$B$50/12)</f>
        <v>13.528186093364978</v>
      </c>
      <c r="AR43" s="31">
        <f t="shared" si="30"/>
        <v>6512.4846677550458</v>
      </c>
      <c r="AS43">
        <f t="shared" si="9"/>
        <v>6590.1072861390649</v>
      </c>
      <c r="AT43">
        <f t="shared" si="31"/>
        <v>18.253526734420525</v>
      </c>
      <c r="AU43" s="19">
        <f t="shared" si="32"/>
        <v>6527.2871078284961</v>
      </c>
      <c r="AV43" s="19">
        <f t="shared" si="33"/>
        <v>6585.6631971208353</v>
      </c>
      <c r="AW43">
        <f t="shared" si="34"/>
        <v>-83.802031750720388</v>
      </c>
      <c r="AX43">
        <f>IF(B43&gt;$AF$2,0,HLOOKUP(YEAR(A43),Assumptions!$A$34:$AL$37,2,TRUE)/100)</f>
        <v>1.5335000000000001E-2</v>
      </c>
      <c r="AY43" s="32">
        <f>1/(1+HLOOKUP(YEAR(A43),Assumptions!$A$27:$AL$29,3,TRUE))^(1/12)</f>
        <v>0.99865671918296972</v>
      </c>
      <c r="AZ43" s="30">
        <f t="shared" si="10"/>
        <v>7988.6417254281751</v>
      </c>
      <c r="BA43">
        <f>IF(B43&gt;$AF$2,0,IF($E$2=0,(T43*Z43+(1-T43)*AA43)*$J$2*Assumptions!$B$20,0))</f>
        <v>0</v>
      </c>
    </row>
    <row r="44" spans="1:53" x14ac:dyDescent="0.25">
      <c r="A44" s="17">
        <f t="shared" si="11"/>
        <v>44104</v>
      </c>
      <c r="B44">
        <f t="shared" si="1"/>
        <v>263</v>
      </c>
      <c r="C44">
        <f t="shared" si="2"/>
        <v>21.833333333333332</v>
      </c>
      <c r="D44">
        <f t="shared" si="36"/>
        <v>0</v>
      </c>
      <c r="E44">
        <f t="shared" si="4"/>
        <v>44</v>
      </c>
      <c r="F44">
        <f>IF(C44&gt;=$H$2,0,VLOOKUP($E44,'Mortality Table'!$A$3:$C$128,2+AB$2,FALSE))</f>
        <v>8.8049999999999999E-4</v>
      </c>
      <c r="G44">
        <f>F44*Assumptions!$B$1</f>
        <v>9.5314124999999999E-4</v>
      </c>
      <c r="H44">
        <f t="shared" si="12"/>
        <v>7.9463157466319601E-5</v>
      </c>
      <c r="I44">
        <f t="shared" si="37"/>
        <v>7.1947108491240007E-5</v>
      </c>
      <c r="J44">
        <f>HLOOKUP(C44,Assumptions!$A$6:$J$7,2,TRUE)</f>
        <v>3.5200000000000002E-2</v>
      </c>
      <c r="K44" s="18">
        <f t="shared" si="5"/>
        <v>1</v>
      </c>
      <c r="L44" s="18">
        <f t="shared" si="14"/>
        <v>8.3333333333333329E-2</v>
      </c>
      <c r="M44" s="18">
        <f t="shared" si="38"/>
        <v>2.9817501439168836E-3</v>
      </c>
      <c r="N44">
        <f t="shared" si="39"/>
        <v>2.7036438535277922E-3</v>
      </c>
      <c r="O44" s="20">
        <f t="shared" si="40"/>
        <v>0.90399095463554846</v>
      </c>
      <c r="P44">
        <f>IF(B44&gt;$AF$2,0,O43*($E$2+IF(E44&lt;=Assumptions!$B$9,$D$2,0))/$I$2*K44)</f>
        <v>46.441559910355409</v>
      </c>
      <c r="Q44">
        <f t="shared" si="18"/>
        <v>26.1</v>
      </c>
      <c r="R44">
        <f>IF(B44&gt;$AF$2,0,IF($Y$2=1,(SUMIF('Mortality Tarif Male'!A:A,E45,'Mortality Tarif Male'!G:G)-SUMIF('Mortality Tarif Male'!A:A,$C$2+$H$2,'Mortality Tarif Male'!G:G)+SUMIF('Mortality Tarif Male'!A:A,$C$2+$H$2,'Mortality Tarif Male'!D:D))/SUMIF('Mortality Tarif Male'!A:A,E45,'Mortality Tarif Male'!D:D),(SUMIF('Mortality Tarif Female'!A:A,E45,'Mortality Tarif Female'!G:G)-SUMIF('Mortality Tarif Female'!A:A,$C$2+$H$2,'Mortality Tarif Female'!G:G)+SUMIF('Mortality Tarif Female'!A:A,$C$2+$H$2,'Mortality Tarif Female'!D:D))/SUMIF('Mortality Tarif Female'!A:A,E45,'Mortality Tarif Female'!D:D)))</f>
        <v>0.52828073605038051</v>
      </c>
      <c r="S44">
        <f>IF(B44&gt;=$AF$2,0,IF($Y$2=1,(SUMIF('Mortality Tarif Male'!A:A,E45+1,'Mortality Tarif Male'!G:G)-SUMIF('Mortality Tarif Male'!A:A,$C$2+$H$2,'Mortality Tarif Male'!G:G)+SUMIF('Mortality Tarif Male'!A:A,$C$2+$H$2,'Mortality Tarif Male'!D:D))/SUMIF('Mortality Tarif Male'!A:A,E45+1,'Mortality Tarif Male'!D:D),(SUMIF('Mortality Tarif Female'!A:A,E45+1,'Mortality Tarif Female'!G:G)-SUMIF('Mortality Tarif Female'!A:A,$C$2+$H$2,'Mortality Tarif Female'!G:G)+SUMIF('Mortality Tarif Female'!A:A,$C$2+$H$2,'Mortality Tarif Female'!D:D))/SUMIF('Mortality Tarif Female'!A:A,E45+1,'Mortality Tarif Female'!D:D)))</f>
        <v>0.54616100261026923</v>
      </c>
      <c r="T44">
        <f t="shared" si="19"/>
        <v>8.3333333333332149E-2</v>
      </c>
      <c r="U44">
        <f t="shared" si="20"/>
        <v>0.54467098039694528</v>
      </c>
      <c r="V44">
        <f t="shared" si="21"/>
        <v>10893.419607938906</v>
      </c>
      <c r="W44">
        <f t="shared" si="7"/>
        <v>14.215912588360272</v>
      </c>
      <c r="X44">
        <f t="shared" si="8"/>
        <v>0</v>
      </c>
      <c r="Y44">
        <f>IF(B44&gt;$AF$2,0,IF(X45=0,0,(1-X45)*($E$2+IF(E44&lt;=Assumptions!$B$9,$D$2,0))/$I$2*1/(1+$AG$2)*1/(1+Assumptions!$B$11)))</f>
        <v>0</v>
      </c>
      <c r="Z44">
        <f>IF(B44&gt;$AF$2,0,IF($Y$2=1,(SUMIF('Mortality Tarif Male'!A:A,E45,'Mortality Tarif Male'!E:E)-SUMIF('Mortality Tarif Male'!A:A,$C$2+$H$2,'Mortality Tarif Male'!E:E))/SUMIF('Mortality Tarif Male'!A:A,E45,'Mortality Tarif Male'!D:D),(SUMIF('Mortality Tarif Female'!A:A,E45,'Mortality Tarif Female'!E:E)-SUMIF('Mortality Tarif Female'!A:A,$C$2+$H$2,'Mortality Tarif Female'!E:E))/SUMIF('Mortality Tarif Female'!A:A,E45,'Mortality Tarif Female'!D:D)))</f>
        <v>13.967132360239102</v>
      </c>
      <c r="AA44">
        <f>IF(B44&gt;=$AF$2,0,IF($Y$2=1,(SUMIF('Mortality Tarif Male'!A:A,E45+1,'Mortality Tarif Male'!E:E)-SUMIF('Mortality Tarif Male'!A:A,$C$2+$H$2,'Mortality Tarif Male'!E:E))/SUMIF('Mortality Tarif Male'!A:A,E45+1,'Mortality Tarif Male'!D:D),(SUMIF('Mortality Tarif Female'!A:A,E45+1,'Mortality Tarif Female'!E:E)-SUMIF('Mortality Tarif Female'!A:A,$C$2+$H$2,'Mortality Tarif Female'!E:E))/SUMIF('Mortality Tarif Female'!A:A,E45+1,'Mortality Tarif Female'!D:D)))</f>
        <v>13.438366712927463</v>
      </c>
      <c r="AB44">
        <f t="shared" si="0"/>
        <v>3246.9031191227373</v>
      </c>
      <c r="AC44">
        <f>IF(B44&gt;=$AF$2,0,MIN(1/3*(V44+W44+Y44-AB44),(V44-AB44),(T44*Z44+(1-T44)*AA44)*$AH$2*Assumptions!$B$22))</f>
        <v>351.43277704453567</v>
      </c>
      <c r="AD44">
        <f t="shared" si="22"/>
        <v>7309.2996243599937</v>
      </c>
      <c r="AE44">
        <f t="shared" si="23"/>
        <v>7660.7324014045298</v>
      </c>
      <c r="AF44">
        <f t="shared" si="24"/>
        <v>7309.2996243599937</v>
      </c>
      <c r="AG44" s="26">
        <f t="shared" si="35"/>
        <v>0</v>
      </c>
      <c r="AH44" s="27">
        <f>IF(B44&gt;$AF$2,0,HLOOKUP(YEAR(A44),Assumptions!$A$34:$AL$37,4,TRUE)/100)</f>
        <v>9.3349999999999995E-3</v>
      </c>
      <c r="AI44">
        <f t="shared" si="25"/>
        <v>0</v>
      </c>
      <c r="AJ44">
        <f t="shared" si="26"/>
        <v>1.4408199893564213</v>
      </c>
      <c r="AK44">
        <f t="shared" si="27"/>
        <v>19.761743002993896</v>
      </c>
      <c r="AL44">
        <f>IF(E44&gt;Assumptions!$B$9,0,SUMPRODUCT($P$2:$X$2,Assumptions!$A$43:$I$43)/$I$2*O43*K44)</f>
        <v>5.0792165345029501</v>
      </c>
      <c r="AM44">
        <f t="shared" si="28"/>
        <v>0</v>
      </c>
      <c r="AN44">
        <f t="shared" si="29"/>
        <v>26.281779526853267</v>
      </c>
      <c r="AO44">
        <f>IF(E44&gt;Assumptions!$B$9,0,($V$2+$X$2)/$I$2*O43*K44*Assumptions!$B$46)</f>
        <v>0</v>
      </c>
      <c r="AP44">
        <f>IF(B44&gt;$AF$2,0,AP43*(1+Assumptions!$B$52)^(1/12))</f>
        <v>1.0277412261874577</v>
      </c>
      <c r="AQ44" s="29">
        <f>IF(B44&gt;$AF$2,0,O43*Assumptions!$B$48/12*AP43+AR44*Assumptions!$B$50/12)</f>
        <v>13.503157307812682</v>
      </c>
      <c r="AR44" s="31">
        <f t="shared" si="30"/>
        <v>6519.4236909744031</v>
      </c>
      <c r="AS44">
        <f t="shared" si="9"/>
        <v>6607.5407451424462</v>
      </c>
      <c r="AT44">
        <f t="shared" si="31"/>
        <v>18.197653120561469</v>
      </c>
      <c r="AU44" s="19">
        <f t="shared" si="32"/>
        <v>6534.164440456384</v>
      </c>
      <c r="AV44" s="19">
        <f t="shared" si="33"/>
        <v>6603.2257227251239</v>
      </c>
      <c r="AW44">
        <f t="shared" si="34"/>
        <v>-94.4672268828635</v>
      </c>
      <c r="AX44">
        <f>IF(B44&gt;$AF$2,0,HLOOKUP(YEAR(A44),Assumptions!$A$34:$AL$37,2,TRUE)/100)</f>
        <v>1.5335000000000001E-2</v>
      </c>
      <c r="AY44" s="32">
        <f>1/(1+HLOOKUP(YEAR(A44),Assumptions!$A$27:$AL$29,3,TRUE))^(1/12)</f>
        <v>0.99865671918296972</v>
      </c>
      <c r="AZ44" s="30">
        <f t="shared" si="10"/>
        <v>8006.0437718087569</v>
      </c>
      <c r="BA44">
        <f>IF(B44&gt;$AF$2,0,IF($E$2=0,(T44*Z44+(1-T44)*AA44)*$J$2*Assumptions!$B$20,0))</f>
        <v>0</v>
      </c>
    </row>
    <row r="45" spans="1:53" x14ac:dyDescent="0.25">
      <c r="A45" s="17">
        <f t="shared" si="11"/>
        <v>44135</v>
      </c>
      <c r="B45">
        <f t="shared" si="1"/>
        <v>264</v>
      </c>
      <c r="C45">
        <f t="shared" si="2"/>
        <v>21.916666666666668</v>
      </c>
      <c r="D45">
        <f t="shared" si="36"/>
        <v>0</v>
      </c>
      <c r="E45">
        <f t="shared" si="4"/>
        <v>44</v>
      </c>
      <c r="F45">
        <f>IF(C45&gt;=$H$2,0,VLOOKUP($E45,'Mortality Table'!$A$3:$C$128,2+AB$2,FALSE))</f>
        <v>8.8049999999999999E-4</v>
      </c>
      <c r="G45">
        <f>F45*Assumptions!$B$1</f>
        <v>9.5314124999999999E-4</v>
      </c>
      <c r="H45">
        <f t="shared" si="12"/>
        <v>7.9463157466319601E-5</v>
      </c>
      <c r="I45">
        <f t="shared" si="37"/>
        <v>7.1726880092826738E-5</v>
      </c>
      <c r="J45">
        <f>HLOOKUP(C45,Assumptions!$A$6:$J$7,2,TRUE)</f>
        <v>3.5200000000000002E-2</v>
      </c>
      <c r="K45" s="18">
        <f t="shared" si="5"/>
        <v>1</v>
      </c>
      <c r="L45" s="18">
        <f t="shared" si="14"/>
        <v>8.3333333333333329E-2</v>
      </c>
      <c r="M45" s="18">
        <f t="shared" si="38"/>
        <v>2.9817501439168836E-3</v>
      </c>
      <c r="N45">
        <f t="shared" si="39"/>
        <v>2.695368063600601E-3</v>
      </c>
      <c r="O45" s="20">
        <f t="shared" si="40"/>
        <v>0.90122385969185503</v>
      </c>
      <c r="P45">
        <f>IF(B45&gt;$AF$2,0,O44*($E$2+IF(E45&lt;=Assumptions!$B$9,$D$2,0))/$I$2*K45)</f>
        <v>46.299403393250664</v>
      </c>
      <c r="Q45">
        <f t="shared" si="18"/>
        <v>26.1</v>
      </c>
      <c r="R45">
        <f>IF(B45&gt;$AF$2,0,IF($Y$2=1,(SUMIF('Mortality Tarif Male'!A:A,E46,'Mortality Tarif Male'!G:G)-SUMIF('Mortality Tarif Male'!A:A,$C$2+$H$2,'Mortality Tarif Male'!G:G)+SUMIF('Mortality Tarif Male'!A:A,$C$2+$H$2,'Mortality Tarif Male'!D:D))/SUMIF('Mortality Tarif Male'!A:A,E46,'Mortality Tarif Male'!D:D),(SUMIF('Mortality Tarif Female'!A:A,E46,'Mortality Tarif Female'!G:G)-SUMIF('Mortality Tarif Female'!A:A,$C$2+$H$2,'Mortality Tarif Female'!G:G)+SUMIF('Mortality Tarif Female'!A:A,$C$2+$H$2,'Mortality Tarif Female'!D:D))/SUMIF('Mortality Tarif Female'!A:A,E46,'Mortality Tarif Female'!D:D)))</f>
        <v>0.54616100261026923</v>
      </c>
      <c r="S45">
        <f>IF(B45&gt;=$AF$2,0,IF($Y$2=1,(SUMIF('Mortality Tarif Male'!A:A,E46+1,'Mortality Tarif Male'!G:G)-SUMIF('Mortality Tarif Male'!A:A,$C$2+$H$2,'Mortality Tarif Male'!G:G)+SUMIF('Mortality Tarif Male'!A:A,$C$2+$H$2,'Mortality Tarif Male'!D:D))/SUMIF('Mortality Tarif Male'!A:A,E46+1,'Mortality Tarif Male'!D:D),(SUMIF('Mortality Tarif Female'!A:A,E46+1,'Mortality Tarif Female'!G:G)-SUMIF('Mortality Tarif Female'!A:A,$C$2+$H$2,'Mortality Tarif Female'!G:G)+SUMIF('Mortality Tarif Female'!A:A,$C$2+$H$2,'Mortality Tarif Female'!D:D))/SUMIF('Mortality Tarif Female'!A:A,E46+1,'Mortality Tarif Female'!D:D)))</f>
        <v>0.56466476276535982</v>
      </c>
      <c r="T45">
        <f t="shared" si="19"/>
        <v>1</v>
      </c>
      <c r="U45">
        <f t="shared" si="20"/>
        <v>0.54616100261026923</v>
      </c>
      <c r="V45">
        <f t="shared" si="21"/>
        <v>10923.220052205384</v>
      </c>
      <c r="W45">
        <f t="shared" si="7"/>
        <v>14.254802168128027</v>
      </c>
      <c r="X45">
        <f t="shared" si="8"/>
        <v>0</v>
      </c>
      <c r="Y45">
        <f>IF(B45&gt;$AF$2,0,IF(X46=0,0,(1-X46)*($E$2+IF(E45&lt;=Assumptions!$B$9,$D$2,0))/$I$2*1/(1+$AG$2)*1/(1+Assumptions!$B$11)))</f>
        <v>0</v>
      </c>
      <c r="Z45">
        <f>IF(B45&gt;$AF$2,0,IF($Y$2=1,(SUMIF('Mortality Tarif Male'!A:A,E46,'Mortality Tarif Male'!E:E)-SUMIF('Mortality Tarif Male'!A:A,$C$2+$H$2,'Mortality Tarif Male'!E:E))/SUMIF('Mortality Tarif Male'!A:A,E46,'Mortality Tarif Male'!D:D),(SUMIF('Mortality Tarif Female'!A:A,E46,'Mortality Tarif Female'!E:E)-SUMIF('Mortality Tarif Female'!A:A,$C$2+$H$2,'Mortality Tarif Female'!E:E))/SUMIF('Mortality Tarif Female'!A:A,E46,'Mortality Tarif Female'!D:D)))</f>
        <v>13.438366712927463</v>
      </c>
      <c r="AA45">
        <f>IF(B45&gt;=$AF$2,0,IF($Y$2=1,(SUMIF('Mortality Tarif Male'!A:A,E46+1,'Mortality Tarif Male'!E:E)-SUMIF('Mortality Tarif Male'!A:A,$C$2+$H$2,'Mortality Tarif Male'!E:E))/SUMIF('Mortality Tarif Male'!A:A,E46+1,'Mortality Tarif Male'!D:D),(SUMIF('Mortality Tarif Female'!A:A,E46+1,'Mortality Tarif Female'!E:E)-SUMIF('Mortality Tarif Female'!A:A,$C$2+$H$2,'Mortality Tarif Female'!E:E))/SUMIF('Mortality Tarif Female'!A:A,E46+1,'Mortality Tarif Female'!D:D)))</f>
        <v>12.891133952019581</v>
      </c>
      <c r="AB45">
        <f t="shared" si="0"/>
        <v>3236.291464029634</v>
      </c>
      <c r="AC45">
        <f>IF(B45&gt;=$AF$2,0,MIN(1/3*(V45+W45+Y45-AB45),(V45-AB45),(T45*Z45+(1-T45)*AA45)*$AH$2*Assumptions!$B$22))</f>
        <v>350.28421077027753</v>
      </c>
      <c r="AD45">
        <f t="shared" si="22"/>
        <v>7350.8991795736019</v>
      </c>
      <c r="AE45">
        <f t="shared" si="23"/>
        <v>7701.1833903438792</v>
      </c>
      <c r="AF45">
        <f t="shared" si="24"/>
        <v>7350.8991795736019</v>
      </c>
      <c r="AG45" s="26">
        <f t="shared" si="35"/>
        <v>0</v>
      </c>
      <c r="AH45" s="27">
        <f>IF(B45&gt;$AF$2,0,HLOOKUP(YEAR(A45),Assumptions!$A$34:$AL$37,4,TRUE)/100)</f>
        <v>9.3349999999999995E-3</v>
      </c>
      <c r="AI45">
        <f t="shared" si="25"/>
        <v>0</v>
      </c>
      <c r="AJ45">
        <f t="shared" si="26"/>
        <v>1.4364096734269574</v>
      </c>
      <c r="AK45">
        <f t="shared" si="27"/>
        <v>19.813378887370547</v>
      </c>
      <c r="AL45">
        <f>IF(E45&gt;Assumptions!$B$9,0,SUMPRODUCT($P$2:$X$2,Assumptions!$A$43:$I$43)/$I$2*O44*K45)</f>
        <v>5.0636691727528387</v>
      </c>
      <c r="AM45">
        <f t="shared" si="28"/>
        <v>0</v>
      </c>
      <c r="AN45">
        <f t="shared" si="29"/>
        <v>26.313457733550344</v>
      </c>
      <c r="AO45">
        <f>IF(E45&gt;Assumptions!$B$9,0,($V$2+$X$2)/$I$2*O44*K45*Assumptions!$B$46)</f>
        <v>0</v>
      </c>
      <c r="AP45">
        <f>IF(B45&gt;$AF$2,0,AP44*(1+Assumptions!$B$52)^(1/12))</f>
        <v>1.028593776706265</v>
      </c>
      <c r="AQ45" s="29">
        <f>IF(B45&gt;$AF$2,0,O44*Assumptions!$B$48/12*AP44+AR45*Assumptions!$B$50/12)</f>
        <v>13.478137211206258</v>
      </c>
      <c r="AR45" s="31">
        <f t="shared" si="30"/>
        <v>6526.1517996213433</v>
      </c>
      <c r="AS45">
        <f t="shared" si="9"/>
        <v>6624.8057308210118</v>
      </c>
      <c r="AT45">
        <f t="shared" si="31"/>
        <v>18.141950534513697</v>
      </c>
      <c r="AU45" s="19">
        <f t="shared" si="32"/>
        <v>6540.8311152688739</v>
      </c>
      <c r="AV45" s="19">
        <f t="shared" si="33"/>
        <v>6620.6190265042069</v>
      </c>
      <c r="AW45">
        <f t="shared" si="34"/>
        <v>-105.17389627285831</v>
      </c>
      <c r="AX45">
        <f>IF(B45&gt;$AF$2,0,HLOOKUP(YEAR(A45),Assumptions!$A$34:$AL$37,2,TRUE)/100)</f>
        <v>1.5335000000000001E-2</v>
      </c>
      <c r="AY45" s="32">
        <f>1/(1+HLOOKUP(YEAR(A45),Assumptions!$A$27:$AL$29,3,TRUE))^(1/12)</f>
        <v>0.99865671918296972</v>
      </c>
      <c r="AZ45" s="30">
        <f t="shared" si="10"/>
        <v>8023.3204108397695</v>
      </c>
      <c r="BA45">
        <f>IF(B45&gt;$AF$2,0,IF($E$2=0,(T45*Z45+(1-T45)*AA45)*$J$2*Assumptions!$B$20,0))</f>
        <v>0</v>
      </c>
    </row>
    <row r="46" spans="1:53" x14ac:dyDescent="0.25">
      <c r="A46" s="17">
        <f t="shared" si="11"/>
        <v>44165</v>
      </c>
      <c r="B46">
        <f t="shared" si="1"/>
        <v>265</v>
      </c>
      <c r="C46">
        <f t="shared" si="2"/>
        <v>22</v>
      </c>
      <c r="D46">
        <f t="shared" si="36"/>
        <v>1</v>
      </c>
      <c r="E46">
        <f t="shared" si="4"/>
        <v>45</v>
      </c>
      <c r="F46">
        <f>IF(C46&gt;=$H$2,0,VLOOKUP($E46,'Mortality Table'!$A$3:$C$128,2+AB$2,FALSE))</f>
        <v>9.6170000000000001E-4</v>
      </c>
      <c r="G46">
        <f>F46*Assumptions!$B$1</f>
        <v>1.0410402500000001E-3</v>
      </c>
      <c r="H46">
        <f t="shared" si="12"/>
        <v>8.6794775513543421E-5</v>
      </c>
      <c r="I46">
        <f t="shared" si="37"/>
        <v>7.8104904071284534E-5</v>
      </c>
      <c r="J46">
        <f>HLOOKUP(C46,Assumptions!$A$6:$J$7,2,TRUE)</f>
        <v>3.5200000000000002E-2</v>
      </c>
      <c r="K46" s="18">
        <f t="shared" si="5"/>
        <v>1</v>
      </c>
      <c r="L46" s="18">
        <f t="shared" si="14"/>
        <v>8.3333333333333329E-2</v>
      </c>
      <c r="M46" s="18">
        <f t="shared" si="38"/>
        <v>2.9817501439168836E-3</v>
      </c>
      <c r="N46">
        <f t="shared" si="39"/>
        <v>2.687107754819399E-3</v>
      </c>
      <c r="O46" s="20">
        <f t="shared" si="40"/>
        <v>0.89845864703296441</v>
      </c>
      <c r="P46">
        <f>IF(B46&gt;$AF$2,0,O45*($E$2+IF(E46&lt;=Assumptions!$B$9,$D$2,0))/$I$2*K46)</f>
        <v>46.157682013884504</v>
      </c>
      <c r="Q46">
        <f t="shared" si="18"/>
        <v>26.1</v>
      </c>
      <c r="R46">
        <f>IF(B46&gt;$AF$2,0,IF($Y$2=1,(SUMIF('Mortality Tarif Male'!A:A,E47,'Mortality Tarif Male'!G:G)-SUMIF('Mortality Tarif Male'!A:A,$C$2+$H$2,'Mortality Tarif Male'!G:G)+SUMIF('Mortality Tarif Male'!A:A,$C$2+$H$2,'Mortality Tarif Male'!D:D))/SUMIF('Mortality Tarif Male'!A:A,E47,'Mortality Tarif Male'!D:D),(SUMIF('Mortality Tarif Female'!A:A,E47,'Mortality Tarif Female'!G:G)-SUMIF('Mortality Tarif Female'!A:A,$C$2+$H$2,'Mortality Tarif Female'!G:G)+SUMIF('Mortality Tarif Female'!A:A,$C$2+$H$2,'Mortality Tarif Female'!D:D))/SUMIF('Mortality Tarif Female'!A:A,E47,'Mortality Tarif Female'!D:D)))</f>
        <v>0.54616100261026923</v>
      </c>
      <c r="S46">
        <f>IF(B46&gt;=$AF$2,0,IF($Y$2=1,(SUMIF('Mortality Tarif Male'!A:A,E47+1,'Mortality Tarif Male'!G:G)-SUMIF('Mortality Tarif Male'!A:A,$C$2+$H$2,'Mortality Tarif Male'!G:G)+SUMIF('Mortality Tarif Male'!A:A,$C$2+$H$2,'Mortality Tarif Male'!D:D))/SUMIF('Mortality Tarif Male'!A:A,E47+1,'Mortality Tarif Male'!D:D),(SUMIF('Mortality Tarif Female'!A:A,E47+1,'Mortality Tarif Female'!G:G)-SUMIF('Mortality Tarif Female'!A:A,$C$2+$H$2,'Mortality Tarif Female'!G:G)+SUMIF('Mortality Tarif Female'!A:A,$C$2+$H$2,'Mortality Tarif Female'!D:D))/SUMIF('Mortality Tarif Female'!A:A,E47+1,'Mortality Tarif Female'!D:D)))</f>
        <v>0.56466476276535982</v>
      </c>
      <c r="T46">
        <f t="shared" si="19"/>
        <v>0.91666666666666785</v>
      </c>
      <c r="U46">
        <f t="shared" si="20"/>
        <v>0.5477029826231935</v>
      </c>
      <c r="V46">
        <f t="shared" si="21"/>
        <v>10954.059652463869</v>
      </c>
      <c r="W46">
        <f t="shared" si="7"/>
        <v>14.295047846465351</v>
      </c>
      <c r="X46">
        <f t="shared" si="8"/>
        <v>0</v>
      </c>
      <c r="Y46">
        <f>IF(B46&gt;$AF$2,0,IF(X47=0,0,(1-X47)*($E$2+IF(E46&lt;=Assumptions!$B$9,$D$2,0))/$I$2*1/(1+$AG$2)*1/(1+Assumptions!$B$11)))</f>
        <v>0</v>
      </c>
      <c r="Z46">
        <f>IF(B46&gt;$AF$2,0,IF($Y$2=1,(SUMIF('Mortality Tarif Male'!A:A,E47,'Mortality Tarif Male'!E:E)-SUMIF('Mortality Tarif Male'!A:A,$C$2+$H$2,'Mortality Tarif Male'!E:E))/SUMIF('Mortality Tarif Male'!A:A,E47,'Mortality Tarif Male'!D:D),(SUMIF('Mortality Tarif Female'!A:A,E47,'Mortality Tarif Female'!E:E)-SUMIF('Mortality Tarif Female'!A:A,$C$2+$H$2,'Mortality Tarif Female'!E:E))/SUMIF('Mortality Tarif Female'!A:A,E47,'Mortality Tarif Female'!D:D)))</f>
        <v>13.438366712927463</v>
      </c>
      <c r="AA46">
        <f>IF(B46&gt;=$AF$2,0,IF($Y$2=1,(SUMIF('Mortality Tarif Male'!A:A,E47+1,'Mortality Tarif Male'!E:E)-SUMIF('Mortality Tarif Male'!A:A,$C$2+$H$2,'Mortality Tarif Male'!E:E))/SUMIF('Mortality Tarif Male'!A:A,E47+1,'Mortality Tarif Male'!D:D),(SUMIF('Mortality Tarif Female'!A:A,E47+1,'Mortality Tarif Female'!E:E)-SUMIF('Mortality Tarif Female'!A:A,$C$2+$H$2,'Mortality Tarif Female'!E:E))/SUMIF('Mortality Tarif Female'!A:A,E47+1,'Mortality Tarif Female'!D:D)))</f>
        <v>12.891133952019581</v>
      </c>
      <c r="AB46">
        <f t="shared" si="0"/>
        <v>3225.309197416957</v>
      </c>
      <c r="AC46">
        <f>IF(B46&gt;=$AF$2,0,MIN(1/3*(V46+W46+Y46-AB46),(V46-AB46),(T46*Z46+(1-T46)*AA46)*$AH$2*Assumptions!$B$22))</f>
        <v>349.0955308767488</v>
      </c>
      <c r="AD46">
        <f t="shared" si="22"/>
        <v>7393.9499720166286</v>
      </c>
      <c r="AE46">
        <f t="shared" si="23"/>
        <v>7743.0455028933775</v>
      </c>
      <c r="AF46">
        <f t="shared" si="24"/>
        <v>7393.9499720166286</v>
      </c>
      <c r="AG46" s="26">
        <f t="shared" si="35"/>
        <v>0</v>
      </c>
      <c r="AH46" s="27">
        <f>IF(B46&gt;$AF$2,0,HLOOKUP(YEAR(A46),Assumptions!$A$34:$AL$37,4,TRUE)/100)</f>
        <v>9.3349999999999995E-3</v>
      </c>
      <c r="AI46">
        <f t="shared" si="25"/>
        <v>0</v>
      </c>
      <c r="AJ46">
        <f t="shared" si="26"/>
        <v>1.564136619421951</v>
      </c>
      <c r="AK46">
        <f t="shared" si="27"/>
        <v>19.868340308552561</v>
      </c>
      <c r="AL46">
        <f>IF(E46&gt;Assumptions!$B$9,0,SUMPRODUCT($P$2:$X$2,Assumptions!$A$43:$I$43)/$I$2*O45*K46)</f>
        <v>5.0481694011095382</v>
      </c>
      <c r="AM46">
        <f t="shared" si="28"/>
        <v>0</v>
      </c>
      <c r="AN46">
        <f t="shared" si="29"/>
        <v>26.480646329084053</v>
      </c>
      <c r="AO46">
        <f>IF(E46&gt;Assumptions!$B$9,0,($V$2+$X$2)/$I$2*O45*K46*Assumptions!$B$46)</f>
        <v>0</v>
      </c>
      <c r="AP46">
        <f>IF(B46&gt;$AF$2,0,AP45*(1+Assumptions!$B$52)^(1/12))</f>
        <v>1.0294470344482221</v>
      </c>
      <c r="AQ46" s="29">
        <f>IF(B46&gt;$AF$2,0,O45*Assumptions!$B$48/12*AP45+AR46*Assumptions!$B$50/12)</f>
        <v>13.453125933660143</v>
      </c>
      <c r="AR46" s="31">
        <f t="shared" si="30"/>
        <v>6532.670083599809</v>
      </c>
      <c r="AS46">
        <f t="shared" si="9"/>
        <v>6643.1582880874848</v>
      </c>
      <c r="AT46">
        <f t="shared" si="31"/>
        <v>18.086418452765127</v>
      </c>
      <c r="AU46" s="19">
        <f t="shared" si="32"/>
        <v>6547.288221227268</v>
      </c>
      <c r="AV46" s="19">
        <f t="shared" si="33"/>
        <v>6637.8439798726677</v>
      </c>
      <c r="AW46">
        <f t="shared" si="34"/>
        <v>-115.9218225511716</v>
      </c>
      <c r="AX46">
        <f>IF(B46&gt;$AF$2,0,HLOOKUP(YEAR(A46),Assumptions!$A$34:$AL$37,2,TRUE)/100)</f>
        <v>1.5335000000000001E-2</v>
      </c>
      <c r="AY46" s="32">
        <f>1/(1+HLOOKUP(YEAR(A46),Assumptions!$A$27:$AL$29,3,TRUE))^(1/12)</f>
        <v>0.99865671918296972</v>
      </c>
      <c r="AZ46" s="30">
        <f t="shared" si="10"/>
        <v>8040.3363897671788</v>
      </c>
      <c r="BA46">
        <f>IF(B46&gt;$AF$2,0,IF($E$2=0,(T46*Z46+(1-T46)*AA46)*$J$2*Assumptions!$B$20,0))</f>
        <v>0</v>
      </c>
    </row>
    <row r="47" spans="1:53" x14ac:dyDescent="0.25">
      <c r="A47" s="17">
        <f t="shared" si="11"/>
        <v>44196</v>
      </c>
      <c r="B47">
        <f t="shared" si="1"/>
        <v>266</v>
      </c>
      <c r="C47">
        <f t="shared" si="2"/>
        <v>22.083333333333332</v>
      </c>
      <c r="D47">
        <f t="shared" si="36"/>
        <v>0</v>
      </c>
      <c r="E47">
        <f t="shared" si="4"/>
        <v>45</v>
      </c>
      <c r="F47">
        <f>IF(C47&gt;=$H$2,0,VLOOKUP($E47,'Mortality Table'!$A$3:$C$128,2+AB$2,FALSE))</f>
        <v>9.6170000000000001E-4</v>
      </c>
      <c r="G47">
        <f>F47*Assumptions!$B$1</f>
        <v>1.0410402500000001E-3</v>
      </c>
      <c r="H47">
        <f t="shared" si="12"/>
        <v>8.6794775513543421E-5</v>
      </c>
      <c r="I47">
        <f t="shared" si="37"/>
        <v>7.7865255878289288E-5</v>
      </c>
      <c r="J47">
        <f>HLOOKUP(C47,Assumptions!$A$6:$J$7,2,TRUE)</f>
        <v>3.5200000000000002E-2</v>
      </c>
      <c r="K47" s="18">
        <f t="shared" si="5"/>
        <v>1</v>
      </c>
      <c r="L47" s="18">
        <f t="shared" si="14"/>
        <v>8.3333333333333329E-2</v>
      </c>
      <c r="M47" s="18">
        <f t="shared" si="38"/>
        <v>2.9817501439168836E-3</v>
      </c>
      <c r="N47">
        <f t="shared" si="39"/>
        <v>2.6788629393947718E-3</v>
      </c>
      <c r="O47" s="20">
        <f t="shared" si="40"/>
        <v>0.89570191883769135</v>
      </c>
      <c r="P47">
        <f>IF(B47&gt;$AF$2,0,O46*($E$2+IF(E47&lt;=Assumptions!$B$9,$D$2,0))/$I$2*K47)</f>
        <v>46.016057038871651</v>
      </c>
      <c r="Q47">
        <f t="shared" si="18"/>
        <v>26.1</v>
      </c>
      <c r="R47">
        <f>IF(B47&gt;$AF$2,0,IF($Y$2=1,(SUMIF('Mortality Tarif Male'!A:A,E48,'Mortality Tarif Male'!G:G)-SUMIF('Mortality Tarif Male'!A:A,$C$2+$H$2,'Mortality Tarif Male'!G:G)+SUMIF('Mortality Tarif Male'!A:A,$C$2+$H$2,'Mortality Tarif Male'!D:D))/SUMIF('Mortality Tarif Male'!A:A,E48,'Mortality Tarif Male'!D:D),(SUMIF('Mortality Tarif Female'!A:A,E48,'Mortality Tarif Female'!G:G)-SUMIF('Mortality Tarif Female'!A:A,$C$2+$H$2,'Mortality Tarif Female'!G:G)+SUMIF('Mortality Tarif Female'!A:A,$C$2+$H$2,'Mortality Tarif Female'!D:D))/SUMIF('Mortality Tarif Female'!A:A,E48,'Mortality Tarif Female'!D:D)))</f>
        <v>0.54616100261026923</v>
      </c>
      <c r="S47">
        <f>IF(B47&gt;=$AF$2,0,IF($Y$2=1,(SUMIF('Mortality Tarif Male'!A:A,E48+1,'Mortality Tarif Male'!G:G)-SUMIF('Mortality Tarif Male'!A:A,$C$2+$H$2,'Mortality Tarif Male'!G:G)+SUMIF('Mortality Tarif Male'!A:A,$C$2+$H$2,'Mortality Tarif Male'!D:D))/SUMIF('Mortality Tarif Male'!A:A,E48+1,'Mortality Tarif Male'!D:D),(SUMIF('Mortality Tarif Female'!A:A,E48+1,'Mortality Tarif Female'!G:G)-SUMIF('Mortality Tarif Female'!A:A,$C$2+$H$2,'Mortality Tarif Female'!G:G)+SUMIF('Mortality Tarif Female'!A:A,$C$2+$H$2,'Mortality Tarif Female'!D:D))/SUMIF('Mortality Tarif Female'!A:A,E48+1,'Mortality Tarif Female'!D:D)))</f>
        <v>0.56466476276535982</v>
      </c>
      <c r="T47">
        <f t="shared" si="19"/>
        <v>0.83333333333333215</v>
      </c>
      <c r="U47">
        <f t="shared" si="20"/>
        <v>0.54924496263611766</v>
      </c>
      <c r="V47">
        <f t="shared" si="21"/>
        <v>10984.899252722353</v>
      </c>
      <c r="W47">
        <f t="shared" si="7"/>
        <v>14.335293524802672</v>
      </c>
      <c r="X47">
        <f t="shared" si="8"/>
        <v>0</v>
      </c>
      <c r="Y47">
        <f>IF(B47&gt;$AF$2,0,IF(X48=0,0,(1-X48)*($E$2+IF(E47&lt;=Assumptions!$B$9,$D$2,0))/$I$2*1/(1+$AG$2)*1/(1+Assumptions!$B$11)))</f>
        <v>0</v>
      </c>
      <c r="Z47">
        <f>IF(B47&gt;$AF$2,0,IF($Y$2=1,(SUMIF('Mortality Tarif Male'!A:A,E48,'Mortality Tarif Male'!E:E)-SUMIF('Mortality Tarif Male'!A:A,$C$2+$H$2,'Mortality Tarif Male'!E:E))/SUMIF('Mortality Tarif Male'!A:A,E48,'Mortality Tarif Male'!D:D),(SUMIF('Mortality Tarif Female'!A:A,E48,'Mortality Tarif Female'!E:E)-SUMIF('Mortality Tarif Female'!A:A,$C$2+$H$2,'Mortality Tarif Female'!E:E))/SUMIF('Mortality Tarif Female'!A:A,E48,'Mortality Tarif Female'!D:D)))</f>
        <v>13.438366712927463</v>
      </c>
      <c r="AA47">
        <f>IF(B47&gt;=$AF$2,0,IF($Y$2=1,(SUMIF('Mortality Tarif Male'!A:A,E48+1,'Mortality Tarif Male'!E:E)-SUMIF('Mortality Tarif Male'!A:A,$C$2+$H$2,'Mortality Tarif Male'!E:E))/SUMIF('Mortality Tarif Male'!A:A,E48+1,'Mortality Tarif Male'!D:D),(SUMIF('Mortality Tarif Female'!A:A,E48+1,'Mortality Tarif Female'!E:E)-SUMIF('Mortality Tarif Female'!A:A,$C$2+$H$2,'Mortality Tarif Female'!E:E))/SUMIF('Mortality Tarif Female'!A:A,E48+1,'Mortality Tarif Female'!D:D)))</f>
        <v>12.891133952019581</v>
      </c>
      <c r="AB47">
        <f t="shared" si="0"/>
        <v>3214.3269308042795</v>
      </c>
      <c r="AC47">
        <f>IF(B47&gt;=$AF$2,0,MIN(1/3*(V47+W47+Y47-AB47),(V47-AB47),(T47*Z47+(1-T47)*AA47)*$AH$2*Assumptions!$B$22))</f>
        <v>347.90685098322024</v>
      </c>
      <c r="AD47">
        <f t="shared" si="22"/>
        <v>7437.0007644596544</v>
      </c>
      <c r="AE47">
        <f t="shared" si="23"/>
        <v>7784.9076154428749</v>
      </c>
      <c r="AF47">
        <f t="shared" si="24"/>
        <v>7437.0007644596544</v>
      </c>
      <c r="AG47" s="26">
        <f t="shared" si="35"/>
        <v>7205.6635456333179</v>
      </c>
      <c r="AH47" s="27">
        <f>IF(B47&gt;$AF$2,0,HLOOKUP(YEAR(A47),Assumptions!$A$34:$AL$37,4,TRUE)/100)</f>
        <v>9.3349999999999995E-3</v>
      </c>
      <c r="AI47">
        <f t="shared" si="25"/>
        <v>0</v>
      </c>
      <c r="AJ47">
        <f t="shared" si="26"/>
        <v>1.5593374007442089</v>
      </c>
      <c r="AK47">
        <f t="shared" si="27"/>
        <v>19.922705728161553</v>
      </c>
      <c r="AL47">
        <f>IF(E47&gt;Assumptions!$B$9,0,SUMPRODUCT($P$2:$X$2,Assumptions!$A$43:$I$43)/$I$2*O46*K47)</f>
        <v>5.0326801730092683</v>
      </c>
      <c r="AM47">
        <f t="shared" si="28"/>
        <v>0</v>
      </c>
      <c r="AN47">
        <f t="shared" si="29"/>
        <v>26.51472330191503</v>
      </c>
      <c r="AO47">
        <f>IF(E47&gt;Assumptions!$B$9,0,($V$2+$X$2)/$I$2*O46*K47*Assumptions!$B$46)</f>
        <v>0</v>
      </c>
      <c r="AP47">
        <f>IF(B47&gt;$AF$2,0,AP46*(1+Assumptions!$B$52)^(1/12))</f>
        <v>1.0303009999999975</v>
      </c>
      <c r="AQ47" s="29">
        <f>IF(B47&gt;$AF$2,0,O46*Assumptions!$B$48/12*AP46+AR47*Assumptions!$B$50/12)</f>
        <v>13.42834004482598</v>
      </c>
      <c r="AR47" s="31">
        <f t="shared" si="30"/>
        <v>6540.2347095093874</v>
      </c>
      <c r="AS47">
        <f t="shared" si="9"/>
        <v>6661.3358551238898</v>
      </c>
      <c r="AT47">
        <f t="shared" si="31"/>
        <v>18.030924146082349</v>
      </c>
      <c r="AU47" s="19">
        <f t="shared" si="32"/>
        <v>6554.7915023573505</v>
      </c>
      <c r="AV47" s="19">
        <f t="shared" si="33"/>
        <v>6656.1565320605587</v>
      </c>
      <c r="AW47">
        <f t="shared" si="34"/>
        <v>0</v>
      </c>
      <c r="AX47">
        <f>IF(B47&gt;$AF$2,0,HLOOKUP(YEAR(A47),Assumptions!$A$34:$AL$37,2,TRUE)/100)</f>
        <v>1.5335000000000001E-2</v>
      </c>
      <c r="AY47" s="32">
        <f>1/(1+HLOOKUP(YEAR(A47),Assumptions!$A$27:$AL$29,3,TRUE))^(1/12)</f>
        <v>0.99865671918296972</v>
      </c>
      <c r="AZ47" s="30">
        <f t="shared" si="10"/>
        <v>8057.2243406186435</v>
      </c>
      <c r="BA47">
        <f>IF(B47&gt;$AF$2,0,IF($E$2=0,(T47*Z47+(1-T47)*AA47)*$J$2*Assumptions!$B$20,0))</f>
        <v>0</v>
      </c>
    </row>
    <row r="48" spans="1:53" x14ac:dyDescent="0.25">
      <c r="A48" s="17">
        <f t="shared" si="11"/>
        <v>44227</v>
      </c>
      <c r="B48">
        <f t="shared" si="1"/>
        <v>267</v>
      </c>
      <c r="C48">
        <f t="shared" si="2"/>
        <v>22.166666666666668</v>
      </c>
      <c r="D48">
        <f t="shared" si="36"/>
        <v>0</v>
      </c>
      <c r="E48">
        <f t="shared" si="4"/>
        <v>45</v>
      </c>
      <c r="F48">
        <f>IF(C48&gt;=$H$2,0,VLOOKUP($E48,'Mortality Table'!$A$3:$C$128,2+AB$2,FALSE))</f>
        <v>9.6170000000000001E-4</v>
      </c>
      <c r="G48">
        <f>F48*Assumptions!$B$1</f>
        <v>1.0410402500000001E-3</v>
      </c>
      <c r="H48">
        <f t="shared" si="12"/>
        <v>8.6794775513543421E-5</v>
      </c>
      <c r="I48">
        <f t="shared" si="37"/>
        <v>7.7626342994518074E-5</v>
      </c>
      <c r="J48">
        <f>HLOOKUP(C48,Assumptions!$A$6:$J$7,2,TRUE)</f>
        <v>3.5200000000000002E-2</v>
      </c>
      <c r="K48" s="18">
        <f t="shared" si="5"/>
        <v>1</v>
      </c>
      <c r="L48" s="18">
        <f t="shared" si="14"/>
        <v>8.3333333333333329E-2</v>
      </c>
      <c r="M48" s="18">
        <f t="shared" si="38"/>
        <v>2.9817501439168836E-3</v>
      </c>
      <c r="N48">
        <f t="shared" si="39"/>
        <v>2.6706434214228657E-3</v>
      </c>
      <c r="O48" s="20">
        <f t="shared" si="40"/>
        <v>0.89295364907327401</v>
      </c>
      <c r="P48">
        <f>IF(B48&gt;$AF$2,0,O47*($E$2+IF(E48&lt;=Assumptions!$B$9,$D$2,0))/$I$2*K48)</f>
        <v>45.874866609803753</v>
      </c>
      <c r="Q48">
        <f t="shared" si="18"/>
        <v>26.1</v>
      </c>
      <c r="R48">
        <f>IF(B48&gt;$AF$2,0,IF($Y$2=1,(SUMIF('Mortality Tarif Male'!A:A,E49,'Mortality Tarif Male'!G:G)-SUMIF('Mortality Tarif Male'!A:A,$C$2+$H$2,'Mortality Tarif Male'!G:G)+SUMIF('Mortality Tarif Male'!A:A,$C$2+$H$2,'Mortality Tarif Male'!D:D))/SUMIF('Mortality Tarif Male'!A:A,E49,'Mortality Tarif Male'!D:D),(SUMIF('Mortality Tarif Female'!A:A,E49,'Mortality Tarif Female'!G:G)-SUMIF('Mortality Tarif Female'!A:A,$C$2+$H$2,'Mortality Tarif Female'!G:G)+SUMIF('Mortality Tarif Female'!A:A,$C$2+$H$2,'Mortality Tarif Female'!D:D))/SUMIF('Mortality Tarif Female'!A:A,E49,'Mortality Tarif Female'!D:D)))</f>
        <v>0.54616100261026923</v>
      </c>
      <c r="S48">
        <f>IF(B48&gt;=$AF$2,0,IF($Y$2=1,(SUMIF('Mortality Tarif Male'!A:A,E49+1,'Mortality Tarif Male'!G:G)-SUMIF('Mortality Tarif Male'!A:A,$C$2+$H$2,'Mortality Tarif Male'!G:G)+SUMIF('Mortality Tarif Male'!A:A,$C$2+$H$2,'Mortality Tarif Male'!D:D))/SUMIF('Mortality Tarif Male'!A:A,E49+1,'Mortality Tarif Male'!D:D),(SUMIF('Mortality Tarif Female'!A:A,E49+1,'Mortality Tarif Female'!G:G)-SUMIF('Mortality Tarif Female'!A:A,$C$2+$H$2,'Mortality Tarif Female'!G:G)+SUMIF('Mortality Tarif Female'!A:A,$C$2+$H$2,'Mortality Tarif Female'!D:D))/SUMIF('Mortality Tarif Female'!A:A,E49+1,'Mortality Tarif Female'!D:D)))</f>
        <v>0.56466476276535982</v>
      </c>
      <c r="T48">
        <f t="shared" si="19"/>
        <v>0.75</v>
      </c>
      <c r="U48">
        <f t="shared" si="20"/>
        <v>0.55078694264904193</v>
      </c>
      <c r="V48">
        <f t="shared" si="21"/>
        <v>11015.73885298084</v>
      </c>
      <c r="W48">
        <f t="shared" si="7"/>
        <v>14.375539203139995</v>
      </c>
      <c r="X48">
        <f t="shared" si="8"/>
        <v>0</v>
      </c>
      <c r="Y48">
        <f>IF(B48&gt;$AF$2,0,IF(X49=0,0,(1-X49)*($E$2+IF(E48&lt;=Assumptions!$B$9,$D$2,0))/$I$2*1/(1+$AG$2)*1/(1+Assumptions!$B$11)))</f>
        <v>0</v>
      </c>
      <c r="Z48">
        <f>IF(B48&gt;$AF$2,0,IF($Y$2=1,(SUMIF('Mortality Tarif Male'!A:A,E49,'Mortality Tarif Male'!E:E)-SUMIF('Mortality Tarif Male'!A:A,$C$2+$H$2,'Mortality Tarif Male'!E:E))/SUMIF('Mortality Tarif Male'!A:A,E49,'Mortality Tarif Male'!D:D),(SUMIF('Mortality Tarif Female'!A:A,E49,'Mortality Tarif Female'!E:E)-SUMIF('Mortality Tarif Female'!A:A,$C$2+$H$2,'Mortality Tarif Female'!E:E))/SUMIF('Mortality Tarif Female'!A:A,E49,'Mortality Tarif Female'!D:D)))</f>
        <v>13.438366712927463</v>
      </c>
      <c r="AA48">
        <f>IF(B48&gt;=$AF$2,0,IF($Y$2=1,(SUMIF('Mortality Tarif Male'!A:A,E49+1,'Mortality Tarif Male'!E:E)-SUMIF('Mortality Tarif Male'!A:A,$C$2+$H$2,'Mortality Tarif Male'!E:E))/SUMIF('Mortality Tarif Male'!A:A,E49+1,'Mortality Tarif Male'!D:D),(SUMIF('Mortality Tarif Female'!A:A,E49+1,'Mortality Tarif Female'!E:E)-SUMIF('Mortality Tarif Female'!A:A,$C$2+$H$2,'Mortality Tarif Female'!E:E))/SUMIF('Mortality Tarif Female'!A:A,E49+1,'Mortality Tarif Female'!D:D)))</f>
        <v>12.891133952019581</v>
      </c>
      <c r="AB48">
        <f t="shared" si="0"/>
        <v>3203.3446641916025</v>
      </c>
      <c r="AC48">
        <f>IF(B48&gt;=$AF$2,0,MIN(1/3*(V48+W48+Y48-AB48),(V48-AB48),(T48*Z48+(1-T48)*AA48)*$AH$2*Assumptions!$B$22))</f>
        <v>346.71817108969157</v>
      </c>
      <c r="AD48">
        <f t="shared" si="22"/>
        <v>7480.0515569026857</v>
      </c>
      <c r="AE48">
        <f t="shared" si="23"/>
        <v>7826.7697279923768</v>
      </c>
      <c r="AF48">
        <f t="shared" si="24"/>
        <v>7480.0515569026857</v>
      </c>
      <c r="AG48" s="26">
        <f t="shared" si="35"/>
        <v>0</v>
      </c>
      <c r="AH48" s="27">
        <f>IF(B48&gt;$AF$2,0,HLOOKUP(YEAR(A48),Assumptions!$A$34:$AL$37,4,TRUE)/100)</f>
        <v>9.2130000000000007E-3</v>
      </c>
      <c r="AI48">
        <f t="shared" si="25"/>
        <v>0</v>
      </c>
      <c r="AJ48">
        <f t="shared" si="26"/>
        <v>1.5545529074425184</v>
      </c>
      <c r="AK48">
        <f t="shared" si="27"/>
        <v>19.97655048234602</v>
      </c>
      <c r="AL48">
        <f>IF(E48&gt;Assumptions!$B$9,0,SUMPRODUCT($P$2:$X$2,Assumptions!$A$43:$I$43)/$I$2*O47*K48)</f>
        <v>5.0172384702925736</v>
      </c>
      <c r="AM48">
        <f t="shared" si="28"/>
        <v>0</v>
      </c>
      <c r="AN48">
        <f t="shared" si="29"/>
        <v>26.548341860081109</v>
      </c>
      <c r="AO48">
        <f>IF(E48&gt;Assumptions!$B$9,0,($V$2+$X$2)/$I$2*O47*K48*Assumptions!$B$46)</f>
        <v>0</v>
      </c>
      <c r="AP48">
        <f>IF(B48&gt;$AF$2,0,AP47*(1+Assumptions!$B$52)^(1/12))</f>
        <v>1.0311556739487464</v>
      </c>
      <c r="AQ48" s="29">
        <f>IF(B48&gt;$AF$2,0,O47*Assumptions!$B$48/12*AP47+AR48*Assumptions!$B$50/12)</f>
        <v>13.434183402111318</v>
      </c>
      <c r="AR48" s="31">
        <f t="shared" si="30"/>
        <v>6674.2942167654073</v>
      </c>
      <c r="AS48">
        <f t="shared" si="9"/>
        <v>6679.3393329924775</v>
      </c>
      <c r="AT48">
        <f t="shared" si="31"/>
        <v>17.975600111810447</v>
      </c>
      <c r="AU48" s="19">
        <f t="shared" si="32"/>
        <v>6688.759299861289</v>
      </c>
      <c r="AV48" s="19">
        <f t="shared" si="33"/>
        <v>6674.2942167654073</v>
      </c>
      <c r="AW48">
        <f t="shared" si="34"/>
        <v>-10.740105339755816</v>
      </c>
      <c r="AX48">
        <f>IF(B48&gt;$AF$2,0,HLOOKUP(YEAR(A48),Assumptions!$A$34:$AL$37,2,TRUE)/100)</f>
        <v>1.5213000000000001E-2</v>
      </c>
      <c r="AY48" s="32">
        <f>1/(1+HLOOKUP(YEAR(A48),Assumptions!$A$27:$AL$29,3,TRUE))^(1/12)</f>
        <v>0.99873250460197693</v>
      </c>
      <c r="AZ48" s="30">
        <f t="shared" si="10"/>
        <v>8073.3421374566042</v>
      </c>
      <c r="BA48">
        <f>IF(B48&gt;$AF$2,0,IF($E$2=0,(T48*Z48+(1-T48)*AA48)*$J$2*Assumptions!$B$20,0))</f>
        <v>0</v>
      </c>
    </row>
    <row r="49" spans="1:53" x14ac:dyDescent="0.25">
      <c r="A49" s="17">
        <f t="shared" si="11"/>
        <v>44255</v>
      </c>
      <c r="B49">
        <f t="shared" si="1"/>
        <v>268</v>
      </c>
      <c r="C49">
        <f t="shared" si="2"/>
        <v>22.25</v>
      </c>
      <c r="D49">
        <f t="shared" si="36"/>
        <v>0</v>
      </c>
      <c r="E49">
        <f t="shared" si="4"/>
        <v>45</v>
      </c>
      <c r="F49">
        <f>IF(C49&gt;=$H$2,0,VLOOKUP($E49,'Mortality Table'!$A$3:$C$128,2+AB$2,FALSE))</f>
        <v>9.6170000000000001E-4</v>
      </c>
      <c r="G49">
        <f>F49*Assumptions!$B$1</f>
        <v>1.0410402500000001E-3</v>
      </c>
      <c r="H49">
        <f t="shared" si="12"/>
        <v>8.6794775513543421E-5</v>
      </c>
      <c r="I49">
        <f t="shared" si="37"/>
        <v>7.7388163163831809E-5</v>
      </c>
      <c r="J49">
        <f>HLOOKUP(C49,Assumptions!$A$6:$J$7,2,TRUE)</f>
        <v>3.5200000000000002E-2</v>
      </c>
      <c r="K49" s="18">
        <f t="shared" si="5"/>
        <v>1</v>
      </c>
      <c r="L49" s="18">
        <f t="shared" si="14"/>
        <v>8.3333333333333329E-2</v>
      </c>
      <c r="M49" s="18">
        <f t="shared" si="38"/>
        <v>2.9817501439168836E-3</v>
      </c>
      <c r="N49">
        <f t="shared" si="39"/>
        <v>2.6624491232838587E-3</v>
      </c>
      <c r="O49" s="20">
        <f t="shared" si="40"/>
        <v>0.89021381178682635</v>
      </c>
      <c r="P49">
        <f>IF(B49&gt;$AF$2,0,O48*($E$2+IF(E49&lt;=Assumptions!$B$9,$D$2,0))/$I$2*K49)</f>
        <v>45.734109393369515</v>
      </c>
      <c r="Q49">
        <f t="shared" si="18"/>
        <v>26.1</v>
      </c>
      <c r="R49">
        <f>IF(B49&gt;$AF$2,0,IF($Y$2=1,(SUMIF('Mortality Tarif Male'!A:A,E50,'Mortality Tarif Male'!G:G)-SUMIF('Mortality Tarif Male'!A:A,$C$2+$H$2,'Mortality Tarif Male'!G:G)+SUMIF('Mortality Tarif Male'!A:A,$C$2+$H$2,'Mortality Tarif Male'!D:D))/SUMIF('Mortality Tarif Male'!A:A,E50,'Mortality Tarif Male'!D:D),(SUMIF('Mortality Tarif Female'!A:A,E50,'Mortality Tarif Female'!G:G)-SUMIF('Mortality Tarif Female'!A:A,$C$2+$H$2,'Mortality Tarif Female'!G:G)+SUMIF('Mortality Tarif Female'!A:A,$C$2+$H$2,'Mortality Tarif Female'!D:D))/SUMIF('Mortality Tarif Female'!A:A,E50,'Mortality Tarif Female'!D:D)))</f>
        <v>0.54616100261026923</v>
      </c>
      <c r="S49">
        <f>IF(B49&gt;=$AF$2,0,IF($Y$2=1,(SUMIF('Mortality Tarif Male'!A:A,E50+1,'Mortality Tarif Male'!G:G)-SUMIF('Mortality Tarif Male'!A:A,$C$2+$H$2,'Mortality Tarif Male'!G:G)+SUMIF('Mortality Tarif Male'!A:A,$C$2+$H$2,'Mortality Tarif Male'!D:D))/SUMIF('Mortality Tarif Male'!A:A,E50+1,'Mortality Tarif Male'!D:D),(SUMIF('Mortality Tarif Female'!A:A,E50+1,'Mortality Tarif Female'!G:G)-SUMIF('Mortality Tarif Female'!A:A,$C$2+$H$2,'Mortality Tarif Female'!G:G)+SUMIF('Mortality Tarif Female'!A:A,$C$2+$H$2,'Mortality Tarif Female'!D:D))/SUMIF('Mortality Tarif Female'!A:A,E50+1,'Mortality Tarif Female'!D:D)))</f>
        <v>0.56466476276535982</v>
      </c>
      <c r="T49">
        <f t="shared" si="19"/>
        <v>0.66666666666666785</v>
      </c>
      <c r="U49">
        <f t="shared" si="20"/>
        <v>0.55232892266196609</v>
      </c>
      <c r="V49">
        <f t="shared" si="21"/>
        <v>11046.578453239323</v>
      </c>
      <c r="W49">
        <f t="shared" si="7"/>
        <v>14.415784881477316</v>
      </c>
      <c r="X49">
        <f t="shared" si="8"/>
        <v>0</v>
      </c>
      <c r="Y49">
        <f>IF(B49&gt;$AF$2,0,IF(X50=0,0,(1-X50)*($E$2+IF(E49&lt;=Assumptions!$B$9,$D$2,0))/$I$2*1/(1+$AG$2)*1/(1+Assumptions!$B$11)))</f>
        <v>0</v>
      </c>
      <c r="Z49">
        <f>IF(B49&gt;$AF$2,0,IF($Y$2=1,(SUMIF('Mortality Tarif Male'!A:A,E50,'Mortality Tarif Male'!E:E)-SUMIF('Mortality Tarif Male'!A:A,$C$2+$H$2,'Mortality Tarif Male'!E:E))/SUMIF('Mortality Tarif Male'!A:A,E50,'Mortality Tarif Male'!D:D),(SUMIF('Mortality Tarif Female'!A:A,E50,'Mortality Tarif Female'!E:E)-SUMIF('Mortality Tarif Female'!A:A,$C$2+$H$2,'Mortality Tarif Female'!E:E))/SUMIF('Mortality Tarif Female'!A:A,E50,'Mortality Tarif Female'!D:D)))</f>
        <v>13.438366712927463</v>
      </c>
      <c r="AA49">
        <f>IF(B49&gt;=$AF$2,0,IF($Y$2=1,(SUMIF('Mortality Tarif Male'!A:A,E50+1,'Mortality Tarif Male'!E:E)-SUMIF('Mortality Tarif Male'!A:A,$C$2+$H$2,'Mortality Tarif Male'!E:E))/SUMIF('Mortality Tarif Male'!A:A,E50+1,'Mortality Tarif Male'!D:D),(SUMIF('Mortality Tarif Female'!A:A,E50+1,'Mortality Tarif Female'!E:E)-SUMIF('Mortality Tarif Female'!A:A,$C$2+$H$2,'Mortality Tarif Female'!E:E))/SUMIF('Mortality Tarif Female'!A:A,E50+1,'Mortality Tarif Female'!D:D)))</f>
        <v>12.891133952019581</v>
      </c>
      <c r="AB49">
        <f t="shared" si="0"/>
        <v>3192.3623975789251</v>
      </c>
      <c r="AC49">
        <f>IF(B49&gt;=$AF$2,0,MIN(1/3*(V49+W49+Y49-AB49),(V49-AB49),(T49*Z49+(1-T49)*AA49)*$AH$2*Assumptions!$B$22))</f>
        <v>345.52949119616284</v>
      </c>
      <c r="AD49">
        <f t="shared" si="22"/>
        <v>7523.1023493457124</v>
      </c>
      <c r="AE49">
        <f t="shared" si="23"/>
        <v>7868.6318405418751</v>
      </c>
      <c r="AF49">
        <f t="shared" si="24"/>
        <v>7523.1023493457124</v>
      </c>
      <c r="AG49" s="26">
        <f t="shared" si="35"/>
        <v>0</v>
      </c>
      <c r="AH49" s="27">
        <f>IF(B49&gt;$AF$2,0,HLOOKUP(YEAR(A49),Assumptions!$A$34:$AL$37,4,TRUE)/100)</f>
        <v>9.2130000000000007E-3</v>
      </c>
      <c r="AI49">
        <f t="shared" si="25"/>
        <v>0</v>
      </c>
      <c r="AJ49">
        <f t="shared" si="26"/>
        <v>1.549783094335212</v>
      </c>
      <c r="AK49">
        <f t="shared" si="27"/>
        <v>20.029877254390229</v>
      </c>
      <c r="AL49">
        <f>IF(E49&gt;Assumptions!$B$9,0,SUMPRODUCT($P$2:$X$2,Assumptions!$A$43:$I$43)/$I$2*O48*K49)</f>
        <v>5.0018441471379811</v>
      </c>
      <c r="AM49">
        <f t="shared" si="28"/>
        <v>0</v>
      </c>
      <c r="AN49">
        <f t="shared" si="29"/>
        <v>26.58150449586342</v>
      </c>
      <c r="AO49">
        <f>IF(E49&gt;Assumptions!$B$9,0,($V$2+$X$2)/$I$2*O48*K49*Assumptions!$B$46)</f>
        <v>0</v>
      </c>
      <c r="AP49">
        <f>IF(B49&gt;$AF$2,0,AP48*(1+Assumptions!$B$52)^(1/12))</f>
        <v>1.0320110568821113</v>
      </c>
      <c r="AQ49" s="29">
        <f>IF(B49&gt;$AF$2,0,O48*Assumptions!$B$48/12*AP48+AR49*Assumptions!$B$50/12)</f>
        <v>13.409434267615069</v>
      </c>
      <c r="AR49" s="31">
        <f t="shared" si="30"/>
        <v>6681.5178293330882</v>
      </c>
      <c r="AS49">
        <f t="shared" si="9"/>
        <v>6697.169618873475</v>
      </c>
      <c r="AT49">
        <f t="shared" si="31"/>
        <v>17.92044582750496</v>
      </c>
      <c r="AU49" s="19">
        <f t="shared" si="32"/>
        <v>6695.9220586313368</v>
      </c>
      <c r="AV49" s="19">
        <f t="shared" si="33"/>
        <v>6692.2579346728444</v>
      </c>
      <c r="AW49">
        <f t="shared" si="34"/>
        <v>-21.522764813698185</v>
      </c>
      <c r="AX49">
        <f>IF(B49&gt;$AF$2,0,HLOOKUP(YEAR(A49),Assumptions!$A$34:$AL$37,2,TRUE)/100)</f>
        <v>1.5213000000000001E-2</v>
      </c>
      <c r="AY49" s="32">
        <f>1/(1+HLOOKUP(YEAR(A49),Assumptions!$A$27:$AL$29,3,TRUE))^(1/12)</f>
        <v>0.99873250460197693</v>
      </c>
      <c r="AZ49" s="30">
        <f t="shared" si="10"/>
        <v>8089.3312187369847</v>
      </c>
      <c r="BA49">
        <f>IF(B49&gt;$AF$2,0,IF($E$2=0,(T49*Z49+(1-T49)*AA49)*$J$2*Assumptions!$B$20,0))</f>
        <v>0</v>
      </c>
    </row>
    <row r="50" spans="1:53" x14ac:dyDescent="0.25">
      <c r="A50" s="17">
        <f t="shared" si="11"/>
        <v>44286</v>
      </c>
      <c r="B50">
        <f t="shared" si="1"/>
        <v>269</v>
      </c>
      <c r="C50">
        <f t="shared" si="2"/>
        <v>22.333333333333332</v>
      </c>
      <c r="D50">
        <f t="shared" si="36"/>
        <v>0</v>
      </c>
      <c r="E50">
        <f t="shared" si="4"/>
        <v>45</v>
      </c>
      <c r="F50">
        <f>IF(C50&gt;=$H$2,0,VLOOKUP($E50,'Mortality Table'!$A$3:$C$128,2+AB$2,FALSE))</f>
        <v>9.6170000000000001E-4</v>
      </c>
      <c r="G50">
        <f>F50*Assumptions!$B$1</f>
        <v>1.0410402500000001E-3</v>
      </c>
      <c r="H50">
        <f t="shared" si="12"/>
        <v>8.6794775513543421E-5</v>
      </c>
      <c r="I50">
        <f t="shared" si="37"/>
        <v>7.7150714137013893E-5</v>
      </c>
      <c r="J50">
        <f>HLOOKUP(C50,Assumptions!$A$6:$J$7,2,TRUE)</f>
        <v>3.5200000000000002E-2</v>
      </c>
      <c r="K50" s="18">
        <f t="shared" si="5"/>
        <v>1</v>
      </c>
      <c r="L50" s="18">
        <f t="shared" si="14"/>
        <v>8.3333333333333329E-2</v>
      </c>
      <c r="M50" s="18">
        <f t="shared" si="38"/>
        <v>2.9817501439168836E-3</v>
      </c>
      <c r="N50">
        <f t="shared" si="39"/>
        <v>2.6542799675960877E-3</v>
      </c>
      <c r="O50" s="20">
        <f t="shared" si="40"/>
        <v>0.88748238110509325</v>
      </c>
      <c r="P50">
        <f>IF(B50&gt;$AF$2,0,O49*($E$2+IF(E50&lt;=Assumptions!$B$9,$D$2,0))/$I$2*K50)</f>
        <v>45.593784060348618</v>
      </c>
      <c r="Q50">
        <f t="shared" si="18"/>
        <v>26.1</v>
      </c>
      <c r="R50">
        <f>IF(B50&gt;$AF$2,0,IF($Y$2=1,(SUMIF('Mortality Tarif Male'!A:A,E51,'Mortality Tarif Male'!G:G)-SUMIF('Mortality Tarif Male'!A:A,$C$2+$H$2,'Mortality Tarif Male'!G:G)+SUMIF('Mortality Tarif Male'!A:A,$C$2+$H$2,'Mortality Tarif Male'!D:D))/SUMIF('Mortality Tarif Male'!A:A,E51,'Mortality Tarif Male'!D:D),(SUMIF('Mortality Tarif Female'!A:A,E51,'Mortality Tarif Female'!G:G)-SUMIF('Mortality Tarif Female'!A:A,$C$2+$H$2,'Mortality Tarif Female'!G:G)+SUMIF('Mortality Tarif Female'!A:A,$C$2+$H$2,'Mortality Tarif Female'!D:D))/SUMIF('Mortality Tarif Female'!A:A,E51,'Mortality Tarif Female'!D:D)))</f>
        <v>0.54616100261026923</v>
      </c>
      <c r="S50">
        <f>IF(B50&gt;=$AF$2,0,IF($Y$2=1,(SUMIF('Mortality Tarif Male'!A:A,E51+1,'Mortality Tarif Male'!G:G)-SUMIF('Mortality Tarif Male'!A:A,$C$2+$H$2,'Mortality Tarif Male'!G:G)+SUMIF('Mortality Tarif Male'!A:A,$C$2+$H$2,'Mortality Tarif Male'!D:D))/SUMIF('Mortality Tarif Male'!A:A,E51+1,'Mortality Tarif Male'!D:D),(SUMIF('Mortality Tarif Female'!A:A,E51+1,'Mortality Tarif Female'!G:G)-SUMIF('Mortality Tarif Female'!A:A,$C$2+$H$2,'Mortality Tarif Female'!G:G)+SUMIF('Mortality Tarif Female'!A:A,$C$2+$H$2,'Mortality Tarif Female'!D:D))/SUMIF('Mortality Tarif Female'!A:A,E51+1,'Mortality Tarif Female'!D:D)))</f>
        <v>0.56466476276535982</v>
      </c>
      <c r="T50">
        <f t="shared" si="19"/>
        <v>0.58333333333333215</v>
      </c>
      <c r="U50">
        <f t="shared" si="20"/>
        <v>0.55387090267489036</v>
      </c>
      <c r="V50">
        <f t="shared" si="21"/>
        <v>11077.418053497808</v>
      </c>
      <c r="W50">
        <f t="shared" si="7"/>
        <v>14.456030559814639</v>
      </c>
      <c r="X50">
        <f t="shared" si="8"/>
        <v>0</v>
      </c>
      <c r="Y50">
        <f>IF(B50&gt;$AF$2,0,IF(X51=0,0,(1-X51)*($E$2+IF(E50&lt;=Assumptions!$B$9,$D$2,0))/$I$2*1/(1+$AG$2)*1/(1+Assumptions!$B$11)))</f>
        <v>0</v>
      </c>
      <c r="Z50">
        <f>IF(B50&gt;$AF$2,0,IF($Y$2=1,(SUMIF('Mortality Tarif Male'!A:A,E51,'Mortality Tarif Male'!E:E)-SUMIF('Mortality Tarif Male'!A:A,$C$2+$H$2,'Mortality Tarif Male'!E:E))/SUMIF('Mortality Tarif Male'!A:A,E51,'Mortality Tarif Male'!D:D),(SUMIF('Mortality Tarif Female'!A:A,E51,'Mortality Tarif Female'!E:E)-SUMIF('Mortality Tarif Female'!A:A,$C$2+$H$2,'Mortality Tarif Female'!E:E))/SUMIF('Mortality Tarif Female'!A:A,E51,'Mortality Tarif Female'!D:D)))</f>
        <v>13.438366712927463</v>
      </c>
      <c r="AA50">
        <f>IF(B50&gt;=$AF$2,0,IF($Y$2=1,(SUMIF('Mortality Tarif Male'!A:A,E51+1,'Mortality Tarif Male'!E:E)-SUMIF('Mortality Tarif Male'!A:A,$C$2+$H$2,'Mortality Tarif Male'!E:E))/SUMIF('Mortality Tarif Male'!A:A,E51+1,'Mortality Tarif Male'!D:D),(SUMIF('Mortality Tarif Female'!A:A,E51+1,'Mortality Tarif Female'!E:E)-SUMIF('Mortality Tarif Female'!A:A,$C$2+$H$2,'Mortality Tarif Female'!E:E))/SUMIF('Mortality Tarif Female'!A:A,E51+1,'Mortality Tarif Female'!D:D)))</f>
        <v>12.891133952019581</v>
      </c>
      <c r="AB50">
        <f t="shared" si="0"/>
        <v>3181.3801309662476</v>
      </c>
      <c r="AC50">
        <f>IF(B50&gt;=$AF$2,0,MIN(1/3*(V50+W50+Y50-AB50),(V50-AB50),(T50*Z50+(1-T50)*AA50)*$AH$2*Assumptions!$B$22))</f>
        <v>344.34081130263428</v>
      </c>
      <c r="AD50">
        <f t="shared" si="22"/>
        <v>7566.1531417887409</v>
      </c>
      <c r="AE50">
        <f t="shared" si="23"/>
        <v>7910.4939530913753</v>
      </c>
      <c r="AF50">
        <f t="shared" si="24"/>
        <v>7566.1531417887409</v>
      </c>
      <c r="AG50" s="26">
        <f t="shared" si="35"/>
        <v>0</v>
      </c>
      <c r="AH50" s="27">
        <f>IF(B50&gt;$AF$2,0,HLOOKUP(YEAR(A50),Assumptions!$A$34:$AL$37,4,TRUE)/100)</f>
        <v>9.2130000000000007E-3</v>
      </c>
      <c r="AI50">
        <f t="shared" si="25"/>
        <v>0</v>
      </c>
      <c r="AJ50">
        <f t="shared" si="26"/>
        <v>1.5450279163792537</v>
      </c>
      <c r="AK50">
        <f t="shared" si="27"/>
        <v>20.082688716014058</v>
      </c>
      <c r="AL50">
        <f>IF(E50&gt;Assumptions!$B$9,0,SUMPRODUCT($P$2:$X$2,Assumptions!$A$43:$I$43)/$I$2*O49*K50)</f>
        <v>4.9864970581714356</v>
      </c>
      <c r="AM50">
        <f t="shared" si="28"/>
        <v>0</v>
      </c>
      <c r="AN50">
        <f t="shared" si="29"/>
        <v>26.614213690564746</v>
      </c>
      <c r="AO50">
        <f>IF(E50&gt;Assumptions!$B$9,0,($V$2+$X$2)/$I$2*O49*K50*Assumptions!$B$46)</f>
        <v>0</v>
      </c>
      <c r="AP50">
        <f>IF(B50&gt;$AF$2,0,AP49*(1+Assumptions!$B$52)^(1/12))</f>
        <v>1.0328671493882216</v>
      </c>
      <c r="AQ50" s="29">
        <f>IF(B50&gt;$AF$2,0,O49*Assumptions!$B$48/12*AP49+AR50*Assumptions!$B$50/12)</f>
        <v>13.38469240666323</v>
      </c>
      <c r="AR50" s="31">
        <f t="shared" si="30"/>
        <v>6688.5258177739306</v>
      </c>
      <c r="AS50">
        <f t="shared" si="9"/>
        <v>6714.8276060804537</v>
      </c>
      <c r="AT50">
        <f t="shared" si="31"/>
        <v>17.865460772324415</v>
      </c>
      <c r="AU50" s="19">
        <f t="shared" si="32"/>
        <v>6702.8694486552913</v>
      </c>
      <c r="AV50" s="19">
        <f t="shared" si="33"/>
        <v>6710.0485825876285</v>
      </c>
      <c r="AW50">
        <f t="shared" si="34"/>
        <v>-32.347752703673564</v>
      </c>
      <c r="AX50">
        <f>IF(B50&gt;$AF$2,0,HLOOKUP(YEAR(A50),Assumptions!$A$34:$AL$37,2,TRUE)/100)</f>
        <v>1.5213000000000001E-2</v>
      </c>
      <c r="AY50" s="32">
        <f>1/(1+HLOOKUP(YEAR(A50),Assumptions!$A$27:$AL$29,3,TRUE))^(1/12)</f>
        <v>0.99873250460197693</v>
      </c>
      <c r="AZ50" s="30">
        <f t="shared" si="10"/>
        <v>8105.1922991573083</v>
      </c>
      <c r="BA50">
        <f>IF(B50&gt;$AF$2,0,IF($E$2=0,(T50*Z50+(1-T50)*AA50)*$J$2*Assumptions!$B$20,0))</f>
        <v>0</v>
      </c>
    </row>
    <row r="51" spans="1:53" x14ac:dyDescent="0.25">
      <c r="A51" s="17">
        <f t="shared" si="11"/>
        <v>44316</v>
      </c>
      <c r="B51">
        <f t="shared" si="1"/>
        <v>270</v>
      </c>
      <c r="C51">
        <f t="shared" si="2"/>
        <v>22.416666666666668</v>
      </c>
      <c r="D51">
        <f t="shared" si="36"/>
        <v>0</v>
      </c>
      <c r="E51">
        <f t="shared" si="4"/>
        <v>45</v>
      </c>
      <c r="F51">
        <f>IF(C51&gt;=$H$2,0,VLOOKUP($E51,'Mortality Table'!$A$3:$C$128,2+AB$2,FALSE))</f>
        <v>9.6170000000000001E-4</v>
      </c>
      <c r="G51">
        <f>F51*Assumptions!$B$1</f>
        <v>1.0410402500000001E-3</v>
      </c>
      <c r="H51">
        <f t="shared" si="12"/>
        <v>8.6794775513543421E-5</v>
      </c>
      <c r="I51">
        <f t="shared" si="37"/>
        <v>7.6913993671748942E-5</v>
      </c>
      <c r="J51">
        <f>HLOOKUP(C51,Assumptions!$A$6:$J$7,2,TRUE)</f>
        <v>3.5200000000000002E-2</v>
      </c>
      <c r="K51" s="18">
        <f t="shared" si="5"/>
        <v>1</v>
      </c>
      <c r="L51" s="18">
        <f t="shared" si="14"/>
        <v>8.3333333333333329E-2</v>
      </c>
      <c r="M51" s="18">
        <f t="shared" si="38"/>
        <v>2.9817501439168836E-3</v>
      </c>
      <c r="N51">
        <f t="shared" si="39"/>
        <v>2.6461358772153177E-3</v>
      </c>
      <c r="O51" s="20">
        <f t="shared" si="40"/>
        <v>0.88475933123420625</v>
      </c>
      <c r="P51">
        <f>IF(B51&gt;$AF$2,0,O50*($E$2+IF(E51&lt;=Assumptions!$B$9,$D$2,0))/$I$2*K51)</f>
        <v>45.453889285599189</v>
      </c>
      <c r="Q51">
        <f t="shared" si="18"/>
        <v>26.1</v>
      </c>
      <c r="R51">
        <f>IF(B51&gt;$AF$2,0,IF($Y$2=1,(SUMIF('Mortality Tarif Male'!A:A,E52,'Mortality Tarif Male'!G:G)-SUMIF('Mortality Tarif Male'!A:A,$C$2+$H$2,'Mortality Tarif Male'!G:G)+SUMIF('Mortality Tarif Male'!A:A,$C$2+$H$2,'Mortality Tarif Male'!D:D))/SUMIF('Mortality Tarif Male'!A:A,E52,'Mortality Tarif Male'!D:D),(SUMIF('Mortality Tarif Female'!A:A,E52,'Mortality Tarif Female'!G:G)-SUMIF('Mortality Tarif Female'!A:A,$C$2+$H$2,'Mortality Tarif Female'!G:G)+SUMIF('Mortality Tarif Female'!A:A,$C$2+$H$2,'Mortality Tarif Female'!D:D))/SUMIF('Mortality Tarif Female'!A:A,E52,'Mortality Tarif Female'!D:D)))</f>
        <v>0.54616100261026923</v>
      </c>
      <c r="S51">
        <f>IF(B51&gt;=$AF$2,0,IF($Y$2=1,(SUMIF('Mortality Tarif Male'!A:A,E52+1,'Mortality Tarif Male'!G:G)-SUMIF('Mortality Tarif Male'!A:A,$C$2+$H$2,'Mortality Tarif Male'!G:G)+SUMIF('Mortality Tarif Male'!A:A,$C$2+$H$2,'Mortality Tarif Male'!D:D))/SUMIF('Mortality Tarif Male'!A:A,E52+1,'Mortality Tarif Male'!D:D),(SUMIF('Mortality Tarif Female'!A:A,E52+1,'Mortality Tarif Female'!G:G)-SUMIF('Mortality Tarif Female'!A:A,$C$2+$H$2,'Mortality Tarif Female'!G:G)+SUMIF('Mortality Tarif Female'!A:A,$C$2+$H$2,'Mortality Tarif Female'!D:D))/SUMIF('Mortality Tarif Female'!A:A,E52+1,'Mortality Tarif Female'!D:D)))</f>
        <v>0.56466476276535982</v>
      </c>
      <c r="T51">
        <f t="shared" si="19"/>
        <v>0.5</v>
      </c>
      <c r="U51">
        <f t="shared" si="20"/>
        <v>0.55541288268781452</v>
      </c>
      <c r="V51">
        <f t="shared" si="21"/>
        <v>11108.257653756291</v>
      </c>
      <c r="W51">
        <f t="shared" si="7"/>
        <v>14.49627623815196</v>
      </c>
      <c r="X51">
        <f t="shared" si="8"/>
        <v>0</v>
      </c>
      <c r="Y51">
        <f>IF(B51&gt;$AF$2,0,IF(X52=0,0,(1-X52)*($E$2+IF(E51&lt;=Assumptions!$B$9,$D$2,0))/$I$2*1/(1+$AG$2)*1/(1+Assumptions!$B$11)))</f>
        <v>0</v>
      </c>
      <c r="Z51">
        <f>IF(B51&gt;$AF$2,0,IF($Y$2=1,(SUMIF('Mortality Tarif Male'!A:A,E52,'Mortality Tarif Male'!E:E)-SUMIF('Mortality Tarif Male'!A:A,$C$2+$H$2,'Mortality Tarif Male'!E:E))/SUMIF('Mortality Tarif Male'!A:A,E52,'Mortality Tarif Male'!D:D),(SUMIF('Mortality Tarif Female'!A:A,E52,'Mortality Tarif Female'!E:E)-SUMIF('Mortality Tarif Female'!A:A,$C$2+$H$2,'Mortality Tarif Female'!E:E))/SUMIF('Mortality Tarif Female'!A:A,E52,'Mortality Tarif Female'!D:D)))</f>
        <v>13.438366712927463</v>
      </c>
      <c r="AA51">
        <f>IF(B51&gt;=$AF$2,0,IF($Y$2=1,(SUMIF('Mortality Tarif Male'!A:A,E52+1,'Mortality Tarif Male'!E:E)-SUMIF('Mortality Tarif Male'!A:A,$C$2+$H$2,'Mortality Tarif Male'!E:E))/SUMIF('Mortality Tarif Male'!A:A,E52+1,'Mortality Tarif Male'!D:D),(SUMIF('Mortality Tarif Female'!A:A,E52+1,'Mortality Tarif Female'!E:E)-SUMIF('Mortality Tarif Female'!A:A,$C$2+$H$2,'Mortality Tarif Female'!E:E))/SUMIF('Mortality Tarif Female'!A:A,E52+1,'Mortality Tarif Female'!D:D)))</f>
        <v>12.891133952019581</v>
      </c>
      <c r="AB51">
        <f t="shared" si="0"/>
        <v>3170.3978643535706</v>
      </c>
      <c r="AC51">
        <f>IF(B51&gt;=$AF$2,0,MIN(1/3*(V51+W51+Y51-AB51),(V51-AB51),(T51*Z51+(1-T51)*AA51)*$AH$2*Assumptions!$B$22))</f>
        <v>343.15213140910566</v>
      </c>
      <c r="AD51">
        <f t="shared" si="22"/>
        <v>7609.2039342317676</v>
      </c>
      <c r="AE51">
        <f t="shared" si="23"/>
        <v>7952.3560656408736</v>
      </c>
      <c r="AF51">
        <f t="shared" si="24"/>
        <v>7609.2039342317676</v>
      </c>
      <c r="AG51" s="26">
        <f t="shared" si="35"/>
        <v>0</v>
      </c>
      <c r="AH51" s="27">
        <f>IF(B51&gt;$AF$2,0,HLOOKUP(YEAR(A51),Assumptions!$A$34:$AL$37,4,TRUE)/100)</f>
        <v>9.2130000000000007E-3</v>
      </c>
      <c r="AI51">
        <f t="shared" si="25"/>
        <v>0</v>
      </c>
      <c r="AJ51">
        <f t="shared" si="26"/>
        <v>1.5402873286698113</v>
      </c>
      <c r="AK51">
        <f t="shared" si="27"/>
        <v>20.134987527418627</v>
      </c>
      <c r="AL51">
        <f>IF(E51&gt;Assumptions!$B$9,0,SUMPRODUCT($P$2:$X$2,Assumptions!$A$43:$I$43)/$I$2*O50*K51)</f>
        <v>4.9711970584649352</v>
      </c>
      <c r="AM51">
        <f t="shared" si="28"/>
        <v>0</v>
      </c>
      <c r="AN51">
        <f t="shared" si="29"/>
        <v>26.646471914553373</v>
      </c>
      <c r="AO51">
        <f>IF(E51&gt;Assumptions!$B$9,0,($V$2+$X$2)/$I$2*O50*K51*Assumptions!$B$46)</f>
        <v>0</v>
      </c>
      <c r="AP51">
        <f>IF(B51&gt;$AF$2,0,AP50*(1+Assumptions!$B$52)^(1/12))</f>
        <v>1.0337239520556951</v>
      </c>
      <c r="AQ51" s="29">
        <f>IF(B51&gt;$AF$2,0,O50*Assumptions!$B$48/12*AP50+AR51*Assumptions!$B$50/12)</f>
        <v>13.359957956503937</v>
      </c>
      <c r="AR51" s="31">
        <f t="shared" si="30"/>
        <v>6695.3193007453401</v>
      </c>
      <c r="AS51">
        <f t="shared" si="9"/>
        <v>6732.3141840755898</v>
      </c>
      <c r="AT51">
        <f t="shared" si="31"/>
        <v>17.810644427025437</v>
      </c>
      <c r="AU51" s="19">
        <f t="shared" si="32"/>
        <v>6709.6025876474096</v>
      </c>
      <c r="AV51" s="19">
        <f t="shared" si="33"/>
        <v>6727.667053449014</v>
      </c>
      <c r="AW51">
        <f t="shared" si="34"/>
        <v>-43.214844447869439</v>
      </c>
      <c r="AX51">
        <f>IF(B51&gt;$AF$2,0,HLOOKUP(YEAR(A51),Assumptions!$A$34:$AL$37,2,TRUE)/100)</f>
        <v>1.5213000000000001E-2</v>
      </c>
      <c r="AY51" s="32">
        <f>1/(1+HLOOKUP(YEAR(A51),Assumptions!$A$27:$AL$29,3,TRUE))^(1/12)</f>
        <v>0.99873250460197693</v>
      </c>
      <c r="AZ51" s="30">
        <f t="shared" si="10"/>
        <v>8120.9260903893646</v>
      </c>
      <c r="BA51">
        <f>IF(B51&gt;$AF$2,0,IF($E$2=0,(T51*Z51+(1-T51)*AA51)*$J$2*Assumptions!$B$20,0))</f>
        <v>0</v>
      </c>
    </row>
    <row r="52" spans="1:53" x14ac:dyDescent="0.25">
      <c r="A52" s="17">
        <f t="shared" si="11"/>
        <v>44347</v>
      </c>
      <c r="B52">
        <f t="shared" si="1"/>
        <v>271</v>
      </c>
      <c r="C52">
        <f t="shared" si="2"/>
        <v>22.5</v>
      </c>
      <c r="D52">
        <f t="shared" si="36"/>
        <v>0</v>
      </c>
      <c r="E52">
        <f t="shared" si="4"/>
        <v>45</v>
      </c>
      <c r="F52">
        <f>IF(C52&gt;=$H$2,0,VLOOKUP($E52,'Mortality Table'!$A$3:$C$128,2+AB$2,FALSE))</f>
        <v>9.6170000000000001E-4</v>
      </c>
      <c r="G52">
        <f>F52*Assumptions!$B$1</f>
        <v>1.0410402500000001E-3</v>
      </c>
      <c r="H52">
        <f t="shared" si="12"/>
        <v>8.6794775513543421E-5</v>
      </c>
      <c r="I52">
        <f t="shared" si="37"/>
        <v>7.6677999532601677E-5</v>
      </c>
      <c r="J52">
        <f>HLOOKUP(C52,Assumptions!$A$6:$J$7,2,TRUE)</f>
        <v>3.5200000000000002E-2</v>
      </c>
      <c r="K52" s="18">
        <f t="shared" si="5"/>
        <v>1</v>
      </c>
      <c r="L52" s="18">
        <f t="shared" si="14"/>
        <v>8.3333333333333329E-2</v>
      </c>
      <c r="M52" s="18">
        <f t="shared" si="38"/>
        <v>2.9817501439168836E-3</v>
      </c>
      <c r="N52">
        <f t="shared" si="39"/>
        <v>2.6380167752340163E-3</v>
      </c>
      <c r="O52" s="20">
        <f t="shared" si="40"/>
        <v>0.88204463645943965</v>
      </c>
      <c r="P52">
        <f>IF(B52&gt;$AF$2,0,O51*($E$2+IF(E52&lt;=Assumptions!$B$9,$D$2,0))/$I$2*K52)</f>
        <v>45.31442374804525</v>
      </c>
      <c r="Q52">
        <f t="shared" si="18"/>
        <v>26.1</v>
      </c>
      <c r="R52">
        <f>IF(B52&gt;$AF$2,0,IF($Y$2=1,(SUMIF('Mortality Tarif Male'!A:A,E53,'Mortality Tarif Male'!G:G)-SUMIF('Mortality Tarif Male'!A:A,$C$2+$H$2,'Mortality Tarif Male'!G:G)+SUMIF('Mortality Tarif Male'!A:A,$C$2+$H$2,'Mortality Tarif Male'!D:D))/SUMIF('Mortality Tarif Male'!A:A,E53,'Mortality Tarif Male'!D:D),(SUMIF('Mortality Tarif Female'!A:A,E53,'Mortality Tarif Female'!G:G)-SUMIF('Mortality Tarif Female'!A:A,$C$2+$H$2,'Mortality Tarif Female'!G:G)+SUMIF('Mortality Tarif Female'!A:A,$C$2+$H$2,'Mortality Tarif Female'!D:D))/SUMIF('Mortality Tarif Female'!A:A,E53,'Mortality Tarif Female'!D:D)))</f>
        <v>0.54616100261026923</v>
      </c>
      <c r="S52">
        <f>IF(B52&gt;=$AF$2,0,IF($Y$2=1,(SUMIF('Mortality Tarif Male'!A:A,E53+1,'Mortality Tarif Male'!G:G)-SUMIF('Mortality Tarif Male'!A:A,$C$2+$H$2,'Mortality Tarif Male'!G:G)+SUMIF('Mortality Tarif Male'!A:A,$C$2+$H$2,'Mortality Tarif Male'!D:D))/SUMIF('Mortality Tarif Male'!A:A,E53+1,'Mortality Tarif Male'!D:D),(SUMIF('Mortality Tarif Female'!A:A,E53+1,'Mortality Tarif Female'!G:G)-SUMIF('Mortality Tarif Female'!A:A,$C$2+$H$2,'Mortality Tarif Female'!G:G)+SUMIF('Mortality Tarif Female'!A:A,$C$2+$H$2,'Mortality Tarif Female'!D:D))/SUMIF('Mortality Tarif Female'!A:A,E53+1,'Mortality Tarif Female'!D:D)))</f>
        <v>0.56466476276535982</v>
      </c>
      <c r="T52">
        <f t="shared" si="19"/>
        <v>0.41666666666666785</v>
      </c>
      <c r="U52">
        <f t="shared" si="20"/>
        <v>0.55695486270073868</v>
      </c>
      <c r="V52">
        <f t="shared" si="21"/>
        <v>11139.097254014774</v>
      </c>
      <c r="W52">
        <f t="shared" si="7"/>
        <v>14.53652191648928</v>
      </c>
      <c r="X52">
        <f t="shared" si="8"/>
        <v>0</v>
      </c>
      <c r="Y52">
        <f>IF(B52&gt;$AF$2,0,IF(X53=0,0,(1-X53)*($E$2+IF(E52&lt;=Assumptions!$B$9,$D$2,0))/$I$2*1/(1+$AG$2)*1/(1+Assumptions!$B$11)))</f>
        <v>0</v>
      </c>
      <c r="Z52">
        <f>IF(B52&gt;$AF$2,0,IF($Y$2=1,(SUMIF('Mortality Tarif Male'!A:A,E53,'Mortality Tarif Male'!E:E)-SUMIF('Mortality Tarif Male'!A:A,$C$2+$H$2,'Mortality Tarif Male'!E:E))/SUMIF('Mortality Tarif Male'!A:A,E53,'Mortality Tarif Male'!D:D),(SUMIF('Mortality Tarif Female'!A:A,E53,'Mortality Tarif Female'!E:E)-SUMIF('Mortality Tarif Female'!A:A,$C$2+$H$2,'Mortality Tarif Female'!E:E))/SUMIF('Mortality Tarif Female'!A:A,E53,'Mortality Tarif Female'!D:D)))</f>
        <v>13.438366712927463</v>
      </c>
      <c r="AA52">
        <f>IF(B52&gt;=$AF$2,0,IF($Y$2=1,(SUMIF('Mortality Tarif Male'!A:A,E53+1,'Mortality Tarif Male'!E:E)-SUMIF('Mortality Tarif Male'!A:A,$C$2+$H$2,'Mortality Tarif Male'!E:E))/SUMIF('Mortality Tarif Male'!A:A,E53+1,'Mortality Tarif Male'!D:D),(SUMIF('Mortality Tarif Female'!A:A,E53+1,'Mortality Tarif Female'!E:E)-SUMIF('Mortality Tarif Female'!A:A,$C$2+$H$2,'Mortality Tarif Female'!E:E))/SUMIF('Mortality Tarif Female'!A:A,E53+1,'Mortality Tarif Female'!D:D)))</f>
        <v>12.891133952019581</v>
      </c>
      <c r="AB52">
        <f t="shared" si="0"/>
        <v>3159.4155977408941</v>
      </c>
      <c r="AC52">
        <f>IF(B52&gt;=$AF$2,0,MIN(1/3*(V52+W52+Y52-AB52),(V52-AB52),(T52*Z52+(1-T52)*AA52)*$AH$2*Assumptions!$B$22))</f>
        <v>341.96345151557705</v>
      </c>
      <c r="AD52">
        <f t="shared" si="22"/>
        <v>7652.2547266747924</v>
      </c>
      <c r="AE52">
        <f t="shared" si="23"/>
        <v>7994.2181781903691</v>
      </c>
      <c r="AF52">
        <f t="shared" si="24"/>
        <v>7652.2547266747924</v>
      </c>
      <c r="AG52" s="26">
        <f t="shared" si="35"/>
        <v>0</v>
      </c>
      <c r="AH52" s="27">
        <f>IF(B52&gt;$AF$2,0,HLOOKUP(YEAR(A52),Assumptions!$A$34:$AL$37,4,TRUE)/100)</f>
        <v>9.2130000000000007E-3</v>
      </c>
      <c r="AI52">
        <f t="shared" si="25"/>
        <v>0</v>
      </c>
      <c r="AJ52">
        <f t="shared" si="26"/>
        <v>1.5355612864398342</v>
      </c>
      <c r="AK52">
        <f t="shared" si="27"/>
        <v>20.186776337331896</v>
      </c>
      <c r="AL52">
        <f>IF(E52&gt;Assumptions!$B$9,0,SUMPRODUCT($P$2:$X$2,Assumptions!$A$43:$I$43)/$I$2*O51*K52)</f>
        <v>4.9559440035351567</v>
      </c>
      <c r="AM52">
        <f t="shared" si="28"/>
        <v>0</v>
      </c>
      <c r="AN52">
        <f t="shared" si="29"/>
        <v>26.678281627306887</v>
      </c>
      <c r="AO52">
        <f>IF(E52&gt;Assumptions!$B$9,0,($V$2+$X$2)/$I$2*O51*K52*Assumptions!$B$46)</f>
        <v>0</v>
      </c>
      <c r="AP52">
        <f>IF(B52&gt;$AF$2,0,AP51*(1+Assumptions!$B$52)^(1/12))</f>
        <v>1.0345814654736378</v>
      </c>
      <c r="AQ52" s="29">
        <f>IF(B52&gt;$AF$2,0,O51*Assumptions!$B$48/12*AP51+AR52*Assumptions!$B$50/12)</f>
        <v>13.335231053473716</v>
      </c>
      <c r="AR52" s="31">
        <f t="shared" si="30"/>
        <v>6701.8993918981423</v>
      </c>
      <c r="AS52">
        <f t="shared" si="9"/>
        <v>6749.6302384848959</v>
      </c>
      <c r="AT52">
        <f t="shared" si="31"/>
        <v>17.755996273957841</v>
      </c>
      <c r="AU52" s="19">
        <f t="shared" si="32"/>
        <v>6716.1225883187562</v>
      </c>
      <c r="AV52" s="19">
        <f t="shared" si="33"/>
        <v>6745.1142363460121</v>
      </c>
      <c r="AW52">
        <f t="shared" si="34"/>
        <v>-54.123816636059651</v>
      </c>
      <c r="AX52">
        <f>IF(B52&gt;$AF$2,0,HLOOKUP(YEAR(A52),Assumptions!$A$34:$AL$37,2,TRUE)/100)</f>
        <v>1.5213000000000001E-2</v>
      </c>
      <c r="AY52" s="32">
        <f>1/(1+HLOOKUP(YEAR(A52),Assumptions!$A$27:$AL$29,3,TRUE))^(1/12)</f>
        <v>0.99873250460197693</v>
      </c>
      <c r="AZ52" s="30">
        <f t="shared" si="10"/>
        <v>8136.5333010912409</v>
      </c>
      <c r="BA52">
        <f>IF(B52&gt;$AF$2,0,IF($E$2=0,(T52*Z52+(1-T52)*AA52)*$J$2*Assumptions!$B$20,0))</f>
        <v>0</v>
      </c>
    </row>
    <row r="53" spans="1:53" x14ac:dyDescent="0.25">
      <c r="A53" s="17">
        <f t="shared" si="11"/>
        <v>44377</v>
      </c>
      <c r="B53">
        <f t="shared" si="1"/>
        <v>272</v>
      </c>
      <c r="C53">
        <f t="shared" si="2"/>
        <v>22.583333333333332</v>
      </c>
      <c r="D53">
        <f t="shared" si="36"/>
        <v>0</v>
      </c>
      <c r="E53">
        <f t="shared" si="4"/>
        <v>45</v>
      </c>
      <c r="F53">
        <f>IF(C53&gt;=$H$2,0,VLOOKUP($E53,'Mortality Table'!$A$3:$C$128,2+AB$2,FALSE))</f>
        <v>9.6170000000000001E-4</v>
      </c>
      <c r="G53">
        <f>F53*Assumptions!$B$1</f>
        <v>1.0410402500000001E-3</v>
      </c>
      <c r="H53">
        <f t="shared" si="12"/>
        <v>8.6794775513543421E-5</v>
      </c>
      <c r="I53">
        <f t="shared" si="37"/>
        <v>7.6442729490995738E-5</v>
      </c>
      <c r="J53">
        <f>HLOOKUP(C53,Assumptions!$A$6:$J$7,2,TRUE)</f>
        <v>3.5200000000000002E-2</v>
      </c>
      <c r="K53" s="18">
        <f t="shared" si="5"/>
        <v>1</v>
      </c>
      <c r="L53" s="18">
        <f t="shared" si="14"/>
        <v>8.3333333333333329E-2</v>
      </c>
      <c r="M53" s="18">
        <f t="shared" si="38"/>
        <v>2.9817501439168836E-3</v>
      </c>
      <c r="N53">
        <f t="shared" si="39"/>
        <v>2.6299225849806232E-3</v>
      </c>
      <c r="O53" s="20">
        <f t="shared" si="40"/>
        <v>0.87933827114496799</v>
      </c>
      <c r="P53">
        <f>IF(B53&gt;$AF$2,0,O52*($E$2+IF(E53&lt;=Assumptions!$B$9,$D$2,0))/$I$2*K53)</f>
        <v>45.175386130664293</v>
      </c>
      <c r="Q53">
        <f t="shared" si="18"/>
        <v>26.1</v>
      </c>
      <c r="R53">
        <f>IF(B53&gt;$AF$2,0,IF($Y$2=1,(SUMIF('Mortality Tarif Male'!A:A,E54,'Mortality Tarif Male'!G:G)-SUMIF('Mortality Tarif Male'!A:A,$C$2+$H$2,'Mortality Tarif Male'!G:G)+SUMIF('Mortality Tarif Male'!A:A,$C$2+$H$2,'Mortality Tarif Male'!D:D))/SUMIF('Mortality Tarif Male'!A:A,E54,'Mortality Tarif Male'!D:D),(SUMIF('Mortality Tarif Female'!A:A,E54,'Mortality Tarif Female'!G:G)-SUMIF('Mortality Tarif Female'!A:A,$C$2+$H$2,'Mortality Tarif Female'!G:G)+SUMIF('Mortality Tarif Female'!A:A,$C$2+$H$2,'Mortality Tarif Female'!D:D))/SUMIF('Mortality Tarif Female'!A:A,E54,'Mortality Tarif Female'!D:D)))</f>
        <v>0.54616100261026923</v>
      </c>
      <c r="S53">
        <f>IF(B53&gt;=$AF$2,0,IF($Y$2=1,(SUMIF('Mortality Tarif Male'!A:A,E54+1,'Mortality Tarif Male'!G:G)-SUMIF('Mortality Tarif Male'!A:A,$C$2+$H$2,'Mortality Tarif Male'!G:G)+SUMIF('Mortality Tarif Male'!A:A,$C$2+$H$2,'Mortality Tarif Male'!D:D))/SUMIF('Mortality Tarif Male'!A:A,E54+1,'Mortality Tarif Male'!D:D),(SUMIF('Mortality Tarif Female'!A:A,E54+1,'Mortality Tarif Female'!G:G)-SUMIF('Mortality Tarif Female'!A:A,$C$2+$H$2,'Mortality Tarif Female'!G:G)+SUMIF('Mortality Tarif Female'!A:A,$C$2+$H$2,'Mortality Tarif Female'!D:D))/SUMIF('Mortality Tarif Female'!A:A,E54+1,'Mortality Tarif Female'!D:D)))</f>
        <v>0.56466476276535982</v>
      </c>
      <c r="T53">
        <f t="shared" si="19"/>
        <v>0.33333333333333215</v>
      </c>
      <c r="U53">
        <f t="shared" si="20"/>
        <v>0.55849684271366296</v>
      </c>
      <c r="V53">
        <f t="shared" si="21"/>
        <v>11169.936854273259</v>
      </c>
      <c r="W53">
        <f t="shared" si="7"/>
        <v>14.576767594826604</v>
      </c>
      <c r="X53">
        <f t="shared" si="8"/>
        <v>0</v>
      </c>
      <c r="Y53">
        <f>IF(B53&gt;$AF$2,0,IF(X54=0,0,(1-X54)*($E$2+IF(E53&lt;=Assumptions!$B$9,$D$2,0))/$I$2*1/(1+$AG$2)*1/(1+Assumptions!$B$11)))</f>
        <v>0</v>
      </c>
      <c r="Z53">
        <f>IF(B53&gt;$AF$2,0,IF($Y$2=1,(SUMIF('Mortality Tarif Male'!A:A,E54,'Mortality Tarif Male'!E:E)-SUMIF('Mortality Tarif Male'!A:A,$C$2+$H$2,'Mortality Tarif Male'!E:E))/SUMIF('Mortality Tarif Male'!A:A,E54,'Mortality Tarif Male'!D:D),(SUMIF('Mortality Tarif Female'!A:A,E54,'Mortality Tarif Female'!E:E)-SUMIF('Mortality Tarif Female'!A:A,$C$2+$H$2,'Mortality Tarif Female'!E:E))/SUMIF('Mortality Tarif Female'!A:A,E54,'Mortality Tarif Female'!D:D)))</f>
        <v>13.438366712927463</v>
      </c>
      <c r="AA53">
        <f>IF(B53&gt;=$AF$2,0,IF($Y$2=1,(SUMIF('Mortality Tarif Male'!A:A,E54+1,'Mortality Tarif Male'!E:E)-SUMIF('Mortality Tarif Male'!A:A,$C$2+$H$2,'Mortality Tarif Male'!E:E))/SUMIF('Mortality Tarif Male'!A:A,E54+1,'Mortality Tarif Male'!D:D),(SUMIF('Mortality Tarif Female'!A:A,E54+1,'Mortality Tarif Female'!E:E)-SUMIF('Mortality Tarif Female'!A:A,$C$2+$H$2,'Mortality Tarif Female'!E:E))/SUMIF('Mortality Tarif Female'!A:A,E54+1,'Mortality Tarif Female'!D:D)))</f>
        <v>12.891133952019581</v>
      </c>
      <c r="AB53">
        <f t="shared" si="0"/>
        <v>3148.4333311282162</v>
      </c>
      <c r="AC53">
        <f>IF(B53&gt;=$AF$2,0,MIN(1/3*(V53+W53+Y53-AB53),(V53-AB53),(T53*Z53+(1-T53)*AA53)*$AH$2*Assumptions!$B$22))</f>
        <v>340.77477162204826</v>
      </c>
      <c r="AD53">
        <f t="shared" si="22"/>
        <v>7695.3055191178209</v>
      </c>
      <c r="AE53">
        <f t="shared" si="23"/>
        <v>8036.0802907398693</v>
      </c>
      <c r="AF53">
        <f t="shared" si="24"/>
        <v>7695.3055191178209</v>
      </c>
      <c r="AG53" s="26">
        <f t="shared" si="35"/>
        <v>0</v>
      </c>
      <c r="AH53" s="27">
        <f>IF(B53&gt;$AF$2,0,HLOOKUP(YEAR(A53),Assumptions!$A$34:$AL$37,4,TRUE)/100)</f>
        <v>9.2130000000000007E-3</v>
      </c>
      <c r="AI53">
        <f t="shared" si="25"/>
        <v>0</v>
      </c>
      <c r="AJ53">
        <f t="shared" si="26"/>
        <v>1.5308497450596297</v>
      </c>
      <c r="AK53">
        <f t="shared" si="27"/>
        <v>20.238057783053996</v>
      </c>
      <c r="AL53">
        <f>IF(E53&gt;Assumptions!$B$9,0,SUMPRODUCT($P$2:$X$2,Assumptions!$A$43:$I$43)/$I$2*O52*K53)</f>
        <v>4.9407377493420919</v>
      </c>
      <c r="AM53">
        <f t="shared" si="28"/>
        <v>0</v>
      </c>
      <c r="AN53">
        <f t="shared" si="29"/>
        <v>26.709645277455717</v>
      </c>
      <c r="AO53">
        <f>IF(E53&gt;Assumptions!$B$9,0,($V$2+$X$2)/$I$2*O52*K53*Assumptions!$B$46)</f>
        <v>0</v>
      </c>
      <c r="AP53">
        <f>IF(B53&gt;$AF$2,0,AP52*(1+Assumptions!$B$52)^(1/12))</f>
        <v>1.0354396902316443</v>
      </c>
      <c r="AQ53" s="29">
        <f>IF(B53&gt;$AF$2,0,O52*Assumptions!$B$48/12*AP52+AR53*Assumptions!$B$50/12)</f>
        <v>13.310511833001621</v>
      </c>
      <c r="AR53" s="31">
        <f t="shared" si="30"/>
        <v>6708.2671998965543</v>
      </c>
      <c r="AS53">
        <f t="shared" si="9"/>
        <v>6766.776651113395</v>
      </c>
      <c r="AT53">
        <f t="shared" si="31"/>
        <v>17.701515797059734</v>
      </c>
      <c r="AU53" s="19">
        <f t="shared" si="32"/>
        <v>6722.4305583971573</v>
      </c>
      <c r="AV53" s="19">
        <f t="shared" si="33"/>
        <v>6762.3910165326142</v>
      </c>
      <c r="AW53">
        <f t="shared" si="34"/>
        <v>-65.074447004868318</v>
      </c>
      <c r="AX53">
        <f>IF(B53&gt;$AF$2,0,HLOOKUP(YEAR(A53),Assumptions!$A$34:$AL$37,2,TRUE)/100)</f>
        <v>1.5213000000000001E-2</v>
      </c>
      <c r="AY53" s="32">
        <f>1/(1+HLOOKUP(YEAR(A53),Assumptions!$A$27:$AL$29,3,TRUE))^(1/12)</f>
        <v>0.99873250460197693</v>
      </c>
      <c r="AZ53" s="30">
        <f t="shared" si="10"/>
        <v>8152.0146369193008</v>
      </c>
      <c r="BA53">
        <f>IF(B53&gt;$AF$2,0,IF($E$2=0,(T53*Z53+(1-T53)*AA53)*$J$2*Assumptions!$B$20,0))</f>
        <v>0</v>
      </c>
    </row>
    <row r="54" spans="1:53" x14ac:dyDescent="0.25">
      <c r="A54" s="17">
        <f t="shared" si="11"/>
        <v>44408</v>
      </c>
      <c r="B54">
        <f t="shared" si="1"/>
        <v>273</v>
      </c>
      <c r="C54">
        <f t="shared" si="2"/>
        <v>22.666666666666668</v>
      </c>
      <c r="D54">
        <f t="shared" si="36"/>
        <v>0</v>
      </c>
      <c r="E54">
        <f t="shared" si="4"/>
        <v>45</v>
      </c>
      <c r="F54">
        <f>IF(C54&gt;=$H$2,0,VLOOKUP($E54,'Mortality Table'!$A$3:$C$128,2+AB$2,FALSE))</f>
        <v>9.6170000000000001E-4</v>
      </c>
      <c r="G54">
        <f>F54*Assumptions!$B$1</f>
        <v>1.0410402500000001E-3</v>
      </c>
      <c r="H54">
        <f t="shared" si="12"/>
        <v>8.6794775513543421E-5</v>
      </c>
      <c r="I54">
        <f t="shared" si="37"/>
        <v>7.6208181325192707E-5</v>
      </c>
      <c r="J54">
        <f>HLOOKUP(C54,Assumptions!$A$6:$J$7,2,TRUE)</f>
        <v>3.5200000000000002E-2</v>
      </c>
      <c r="K54" s="18">
        <f t="shared" si="5"/>
        <v>1</v>
      </c>
      <c r="L54" s="18">
        <f t="shared" si="14"/>
        <v>8.3333333333333329E-2</v>
      </c>
      <c r="M54" s="18">
        <f t="shared" si="38"/>
        <v>2.9817501439168836E-3</v>
      </c>
      <c r="N54">
        <f t="shared" si="39"/>
        <v>2.6218532300188299E-3</v>
      </c>
      <c r="O54" s="20">
        <f t="shared" si="40"/>
        <v>0.876640209733624</v>
      </c>
      <c r="P54">
        <f>IF(B54&gt;$AF$2,0,O53*($E$2+IF(E54&lt;=Assumptions!$B$9,$D$2,0))/$I$2*K54)</f>
        <v>45.036775120474772</v>
      </c>
      <c r="Q54">
        <f t="shared" si="18"/>
        <v>26.1</v>
      </c>
      <c r="R54">
        <f>IF(B54&gt;$AF$2,0,IF($Y$2=1,(SUMIF('Mortality Tarif Male'!A:A,E55,'Mortality Tarif Male'!G:G)-SUMIF('Mortality Tarif Male'!A:A,$C$2+$H$2,'Mortality Tarif Male'!G:G)+SUMIF('Mortality Tarif Male'!A:A,$C$2+$H$2,'Mortality Tarif Male'!D:D))/SUMIF('Mortality Tarif Male'!A:A,E55,'Mortality Tarif Male'!D:D),(SUMIF('Mortality Tarif Female'!A:A,E55,'Mortality Tarif Female'!G:G)-SUMIF('Mortality Tarif Female'!A:A,$C$2+$H$2,'Mortality Tarif Female'!G:G)+SUMIF('Mortality Tarif Female'!A:A,$C$2+$H$2,'Mortality Tarif Female'!D:D))/SUMIF('Mortality Tarif Female'!A:A,E55,'Mortality Tarif Female'!D:D)))</f>
        <v>0.54616100261026923</v>
      </c>
      <c r="S54">
        <f>IF(B54&gt;=$AF$2,0,IF($Y$2=1,(SUMIF('Mortality Tarif Male'!A:A,E55+1,'Mortality Tarif Male'!G:G)-SUMIF('Mortality Tarif Male'!A:A,$C$2+$H$2,'Mortality Tarif Male'!G:G)+SUMIF('Mortality Tarif Male'!A:A,$C$2+$H$2,'Mortality Tarif Male'!D:D))/SUMIF('Mortality Tarif Male'!A:A,E55+1,'Mortality Tarif Male'!D:D),(SUMIF('Mortality Tarif Female'!A:A,E55+1,'Mortality Tarif Female'!G:G)-SUMIF('Mortality Tarif Female'!A:A,$C$2+$H$2,'Mortality Tarif Female'!G:G)+SUMIF('Mortality Tarif Female'!A:A,$C$2+$H$2,'Mortality Tarif Female'!D:D))/SUMIF('Mortality Tarif Female'!A:A,E55+1,'Mortality Tarif Female'!D:D)))</f>
        <v>0.56466476276535982</v>
      </c>
      <c r="T54">
        <f t="shared" si="19"/>
        <v>0.25</v>
      </c>
      <c r="U54">
        <f t="shared" si="20"/>
        <v>0.56003882272658712</v>
      </c>
      <c r="V54">
        <f t="shared" si="21"/>
        <v>11200.776454531742</v>
      </c>
      <c r="W54">
        <f t="shared" si="7"/>
        <v>14.617013273163925</v>
      </c>
      <c r="X54">
        <f t="shared" si="8"/>
        <v>0</v>
      </c>
      <c r="Y54">
        <f>IF(B54&gt;$AF$2,0,IF(X55=0,0,(1-X55)*($E$2+IF(E54&lt;=Assumptions!$B$9,$D$2,0))/$I$2*1/(1+$AG$2)*1/(1+Assumptions!$B$11)))</f>
        <v>0</v>
      </c>
      <c r="Z54">
        <f>IF(B54&gt;$AF$2,0,IF($Y$2=1,(SUMIF('Mortality Tarif Male'!A:A,E55,'Mortality Tarif Male'!E:E)-SUMIF('Mortality Tarif Male'!A:A,$C$2+$H$2,'Mortality Tarif Male'!E:E))/SUMIF('Mortality Tarif Male'!A:A,E55,'Mortality Tarif Male'!D:D),(SUMIF('Mortality Tarif Female'!A:A,E55,'Mortality Tarif Female'!E:E)-SUMIF('Mortality Tarif Female'!A:A,$C$2+$H$2,'Mortality Tarif Female'!E:E))/SUMIF('Mortality Tarif Female'!A:A,E55,'Mortality Tarif Female'!D:D)))</f>
        <v>13.438366712927463</v>
      </c>
      <c r="AA54">
        <f>IF(B54&gt;=$AF$2,0,IF($Y$2=1,(SUMIF('Mortality Tarif Male'!A:A,E55+1,'Mortality Tarif Male'!E:E)-SUMIF('Mortality Tarif Male'!A:A,$C$2+$H$2,'Mortality Tarif Male'!E:E))/SUMIF('Mortality Tarif Male'!A:A,E55+1,'Mortality Tarif Male'!D:D),(SUMIF('Mortality Tarif Female'!A:A,E55+1,'Mortality Tarif Female'!E:E)-SUMIF('Mortality Tarif Female'!A:A,$C$2+$H$2,'Mortality Tarif Female'!E:E))/SUMIF('Mortality Tarif Female'!A:A,E55+1,'Mortality Tarif Female'!D:D)))</f>
        <v>12.891133952019581</v>
      </c>
      <c r="AB54">
        <f t="shared" si="0"/>
        <v>3137.4510645155392</v>
      </c>
      <c r="AC54">
        <f>IF(B54&gt;=$AF$2,0,MIN(1/3*(V54+W54+Y54-AB54),(V54-AB54),(T54*Z54+(1-T54)*AA54)*$AH$2*Assumptions!$B$22))</f>
        <v>339.5860917285197</v>
      </c>
      <c r="AD54">
        <f t="shared" si="22"/>
        <v>7738.3563115608476</v>
      </c>
      <c r="AE54">
        <f t="shared" si="23"/>
        <v>8077.9424032893676</v>
      </c>
      <c r="AF54">
        <f t="shared" si="24"/>
        <v>7738.3563115608476</v>
      </c>
      <c r="AG54" s="26">
        <f t="shared" si="35"/>
        <v>0</v>
      </c>
      <c r="AH54" s="27">
        <f>IF(B54&gt;$AF$2,0,HLOOKUP(YEAR(A54),Assumptions!$A$34:$AL$37,4,TRUE)/100)</f>
        <v>9.2130000000000007E-3</v>
      </c>
      <c r="AI54">
        <f t="shared" si="25"/>
        <v>0</v>
      </c>
      <c r="AJ54">
        <f t="shared" si="26"/>
        <v>1.5261526600364417</v>
      </c>
      <c r="AK54">
        <f t="shared" si="27"/>
        <v>20.288834490502406</v>
      </c>
      <c r="AL54">
        <f>IF(E54&gt;Assumptions!$B$9,0,SUMPRODUCT($P$2:$X$2,Assumptions!$A$43:$I$43)/$I$2*O53*K54)</f>
        <v>4.9255781522876916</v>
      </c>
      <c r="AM54">
        <f t="shared" si="28"/>
        <v>0</v>
      </c>
      <c r="AN54">
        <f t="shared" si="29"/>
        <v>26.740565302826539</v>
      </c>
      <c r="AO54">
        <f>IF(E54&gt;Assumptions!$B$9,0,($V$2+$X$2)/$I$2*O53*K54*Assumptions!$B$46)</f>
        <v>0</v>
      </c>
      <c r="AP54">
        <f>IF(B54&gt;$AF$2,0,AP53*(1+Assumptions!$B$52)^(1/12))</f>
        <v>1.0362986269197982</v>
      </c>
      <c r="AQ54" s="29">
        <f>IF(B54&gt;$AF$2,0,O53*Assumptions!$B$48/12*AP53+AR54*Assumptions!$B$50/12)</f>
        <v>13.285800429613396</v>
      </c>
      <c r="AR54" s="31">
        <f t="shared" si="30"/>
        <v>6714.4238284380908</v>
      </c>
      <c r="AS54">
        <f t="shared" si="9"/>
        <v>6783.7542999602147</v>
      </c>
      <c r="AT54">
        <f t="shared" si="31"/>
        <v>17.647202481852656</v>
      </c>
      <c r="AU54" s="19">
        <f t="shared" si="32"/>
        <v>6728.5276006471004</v>
      </c>
      <c r="AV54" s="19">
        <f t="shared" si="33"/>
        <v>6779.4982754429593</v>
      </c>
      <c r="AW54">
        <f t="shared" si="34"/>
        <v>-76.066514433052262</v>
      </c>
      <c r="AX54">
        <f>IF(B54&gt;$AF$2,0,HLOOKUP(YEAR(A54),Assumptions!$A$34:$AL$37,2,TRUE)/100)</f>
        <v>1.5213000000000001E-2</v>
      </c>
      <c r="AY54" s="32">
        <f>1/(1+HLOOKUP(YEAR(A54),Assumptions!$A$27:$AL$29,3,TRUE))^(1/12)</f>
        <v>0.99873250460197693</v>
      </c>
      <c r="AZ54" s="30">
        <f t="shared" si="10"/>
        <v>8167.3708005401259</v>
      </c>
      <c r="BA54">
        <f>IF(B54&gt;$AF$2,0,IF($E$2=0,(T54*Z54+(1-T54)*AA54)*$J$2*Assumptions!$B$20,0))</f>
        <v>0</v>
      </c>
    </row>
    <row r="55" spans="1:53" x14ac:dyDescent="0.25">
      <c r="A55" s="17">
        <f t="shared" si="11"/>
        <v>44439</v>
      </c>
      <c r="B55">
        <f t="shared" si="1"/>
        <v>274</v>
      </c>
      <c r="C55">
        <f t="shared" si="2"/>
        <v>22.75</v>
      </c>
      <c r="D55">
        <f t="shared" si="36"/>
        <v>0</v>
      </c>
      <c r="E55">
        <f t="shared" si="4"/>
        <v>45</v>
      </c>
      <c r="F55">
        <f>IF(C55&gt;=$H$2,0,VLOOKUP($E55,'Mortality Table'!$A$3:$C$128,2+AB$2,FALSE))</f>
        <v>9.6170000000000001E-4</v>
      </c>
      <c r="G55">
        <f>F55*Assumptions!$B$1</f>
        <v>1.0410402500000001E-3</v>
      </c>
      <c r="H55">
        <f t="shared" si="12"/>
        <v>8.6794775513543421E-5</v>
      </c>
      <c r="I55">
        <f t="shared" si="37"/>
        <v>7.5974352820271061E-5</v>
      </c>
      <c r="J55">
        <f>HLOOKUP(C55,Assumptions!$A$6:$J$7,2,TRUE)</f>
        <v>3.5200000000000002E-2</v>
      </c>
      <c r="K55" s="18">
        <f t="shared" si="5"/>
        <v>1</v>
      </c>
      <c r="L55" s="18">
        <f t="shared" si="14"/>
        <v>8.3333333333333329E-2</v>
      </c>
      <c r="M55" s="18">
        <f t="shared" si="38"/>
        <v>2.9817501439168836E-3</v>
      </c>
      <c r="N55">
        <f t="shared" si="39"/>
        <v>2.6138086341468561E-3</v>
      </c>
      <c r="O55" s="20">
        <f t="shared" si="40"/>
        <v>0.87395042674665691</v>
      </c>
      <c r="P55">
        <f>IF(B55&gt;$AF$2,0,O54*($E$2+IF(E55&lt;=Assumptions!$B$9,$D$2,0))/$I$2*K55)</f>
        <v>44.898589408523769</v>
      </c>
      <c r="Q55">
        <f t="shared" si="18"/>
        <v>26.1</v>
      </c>
      <c r="R55">
        <f>IF(B55&gt;$AF$2,0,IF($Y$2=1,(SUMIF('Mortality Tarif Male'!A:A,E56,'Mortality Tarif Male'!G:G)-SUMIF('Mortality Tarif Male'!A:A,$C$2+$H$2,'Mortality Tarif Male'!G:G)+SUMIF('Mortality Tarif Male'!A:A,$C$2+$H$2,'Mortality Tarif Male'!D:D))/SUMIF('Mortality Tarif Male'!A:A,E56,'Mortality Tarif Male'!D:D),(SUMIF('Mortality Tarif Female'!A:A,E56,'Mortality Tarif Female'!G:G)-SUMIF('Mortality Tarif Female'!A:A,$C$2+$H$2,'Mortality Tarif Female'!G:G)+SUMIF('Mortality Tarif Female'!A:A,$C$2+$H$2,'Mortality Tarif Female'!D:D))/SUMIF('Mortality Tarif Female'!A:A,E56,'Mortality Tarif Female'!D:D)))</f>
        <v>0.54616100261026923</v>
      </c>
      <c r="S55">
        <f>IF(B55&gt;=$AF$2,0,IF($Y$2=1,(SUMIF('Mortality Tarif Male'!A:A,E56+1,'Mortality Tarif Male'!G:G)-SUMIF('Mortality Tarif Male'!A:A,$C$2+$H$2,'Mortality Tarif Male'!G:G)+SUMIF('Mortality Tarif Male'!A:A,$C$2+$H$2,'Mortality Tarif Male'!D:D))/SUMIF('Mortality Tarif Male'!A:A,E56+1,'Mortality Tarif Male'!D:D),(SUMIF('Mortality Tarif Female'!A:A,E56+1,'Mortality Tarif Female'!G:G)-SUMIF('Mortality Tarif Female'!A:A,$C$2+$H$2,'Mortality Tarif Female'!G:G)+SUMIF('Mortality Tarif Female'!A:A,$C$2+$H$2,'Mortality Tarif Female'!D:D))/SUMIF('Mortality Tarif Female'!A:A,E56+1,'Mortality Tarif Female'!D:D)))</f>
        <v>0.56466476276535982</v>
      </c>
      <c r="T55">
        <f t="shared" si="19"/>
        <v>0.16666666666666785</v>
      </c>
      <c r="U55">
        <f t="shared" si="20"/>
        <v>0.56158080273951139</v>
      </c>
      <c r="V55">
        <f t="shared" si="21"/>
        <v>11231.616054790227</v>
      </c>
      <c r="W55">
        <f t="shared" si="7"/>
        <v>14.657258951501248</v>
      </c>
      <c r="X55">
        <f t="shared" si="8"/>
        <v>0</v>
      </c>
      <c r="Y55">
        <f>IF(B55&gt;$AF$2,0,IF(X56=0,0,(1-X56)*($E$2+IF(E55&lt;=Assumptions!$B$9,$D$2,0))/$I$2*1/(1+$AG$2)*1/(1+Assumptions!$B$11)))</f>
        <v>0</v>
      </c>
      <c r="Z55">
        <f>IF(B55&gt;$AF$2,0,IF($Y$2=1,(SUMIF('Mortality Tarif Male'!A:A,E56,'Mortality Tarif Male'!E:E)-SUMIF('Mortality Tarif Male'!A:A,$C$2+$H$2,'Mortality Tarif Male'!E:E))/SUMIF('Mortality Tarif Male'!A:A,E56,'Mortality Tarif Male'!D:D),(SUMIF('Mortality Tarif Female'!A:A,E56,'Mortality Tarif Female'!E:E)-SUMIF('Mortality Tarif Female'!A:A,$C$2+$H$2,'Mortality Tarif Female'!E:E))/SUMIF('Mortality Tarif Female'!A:A,E56,'Mortality Tarif Female'!D:D)))</f>
        <v>13.438366712927463</v>
      </c>
      <c r="AA55">
        <f>IF(B55&gt;=$AF$2,0,IF($Y$2=1,(SUMIF('Mortality Tarif Male'!A:A,E56+1,'Mortality Tarif Male'!E:E)-SUMIF('Mortality Tarif Male'!A:A,$C$2+$H$2,'Mortality Tarif Male'!E:E))/SUMIF('Mortality Tarif Male'!A:A,E56+1,'Mortality Tarif Male'!D:D),(SUMIF('Mortality Tarif Female'!A:A,E56+1,'Mortality Tarif Female'!E:E)-SUMIF('Mortality Tarif Female'!A:A,$C$2+$H$2,'Mortality Tarif Female'!E:E))/SUMIF('Mortality Tarif Female'!A:A,E56+1,'Mortality Tarif Female'!D:D)))</f>
        <v>12.891133952019581</v>
      </c>
      <c r="AB55">
        <f t="shared" si="0"/>
        <v>3126.4687979028622</v>
      </c>
      <c r="AC55">
        <f>IF(B55&gt;=$AF$2,0,MIN(1/3*(V55+W55+Y55-AB55),(V55-AB55),(T55*Z55+(1-T55)*AA55)*$AH$2*Assumptions!$B$22))</f>
        <v>338.39741183499109</v>
      </c>
      <c r="AD55">
        <f t="shared" si="22"/>
        <v>7781.4071040038762</v>
      </c>
      <c r="AE55">
        <f t="shared" si="23"/>
        <v>8119.8045158388668</v>
      </c>
      <c r="AF55">
        <f t="shared" si="24"/>
        <v>7781.4071040038762</v>
      </c>
      <c r="AG55" s="26">
        <f t="shared" si="35"/>
        <v>0</v>
      </c>
      <c r="AH55" s="27">
        <f>IF(B55&gt;$AF$2,0,HLOOKUP(YEAR(A55),Assumptions!$A$34:$AL$37,4,TRUE)/100)</f>
        <v>9.2130000000000007E-3</v>
      </c>
      <c r="AI55">
        <f t="shared" si="25"/>
        <v>0</v>
      </c>
      <c r="AJ55">
        <f t="shared" si="26"/>
        <v>1.5214699870140302</v>
      </c>
      <c r="AK55">
        <f t="shared" si="27"/>
        <v>20.339109074257014</v>
      </c>
      <c r="AL55">
        <f>IF(E55&gt;Assumptions!$B$9,0,SUMPRODUCT($P$2:$X$2,Assumptions!$A$43:$I$43)/$I$2*O54*K55)</f>
        <v>4.9104650692145047</v>
      </c>
      <c r="AM55">
        <f t="shared" si="28"/>
        <v>0</v>
      </c>
      <c r="AN55">
        <f t="shared" si="29"/>
        <v>26.771044130485549</v>
      </c>
      <c r="AO55">
        <f>IF(E55&gt;Assumptions!$B$9,0,($V$2+$X$2)/$I$2*O54*K55*Assumptions!$B$46)</f>
        <v>0</v>
      </c>
      <c r="AP55">
        <f>IF(B55&gt;$AF$2,0,AP54*(1+Assumptions!$B$52)^(1/12))</f>
        <v>1.0371582761286728</v>
      </c>
      <c r="AQ55" s="29">
        <f>IF(B55&gt;$AF$2,0,O54*Assumptions!$B$48/12*AP54+AR55*Assumptions!$B$50/12)</f>
        <v>13.261096976935583</v>
      </c>
      <c r="AR55" s="31">
        <f t="shared" si="30"/>
        <v>6720.3703762733849</v>
      </c>
      <c r="AS55">
        <f t="shared" si="9"/>
        <v>6800.5640592336549</v>
      </c>
      <c r="AT55">
        <f t="shared" si="31"/>
        <v>17.59305581543671</v>
      </c>
      <c r="AU55" s="19">
        <f t="shared" si="32"/>
        <v>6734.4148128895358</v>
      </c>
      <c r="AV55" s="19">
        <f t="shared" si="33"/>
        <v>6796.4368907064372</v>
      </c>
      <c r="AW55">
        <f t="shared" si="34"/>
        <v>-87.099798936801832</v>
      </c>
      <c r="AX55">
        <f>IF(B55&gt;$AF$2,0,HLOOKUP(YEAR(A55),Assumptions!$A$34:$AL$37,2,TRUE)/100)</f>
        <v>1.5213000000000001E-2</v>
      </c>
      <c r="AY55" s="32">
        <f>1/(1+HLOOKUP(YEAR(A55),Assumptions!$A$27:$AL$29,3,TRUE))^(1/12)</f>
        <v>0.99873250460197693</v>
      </c>
      <c r="AZ55" s="30">
        <f t="shared" si="10"/>
        <v>8182.6024916424103</v>
      </c>
      <c r="BA55">
        <f>IF(B55&gt;$AF$2,0,IF($E$2=0,(T55*Z55+(1-T55)*AA55)*$J$2*Assumptions!$B$20,0))</f>
        <v>0</v>
      </c>
    </row>
    <row r="56" spans="1:53" x14ac:dyDescent="0.25">
      <c r="A56" s="17">
        <f t="shared" si="11"/>
        <v>44469</v>
      </c>
      <c r="B56">
        <f t="shared" si="1"/>
        <v>275</v>
      </c>
      <c r="C56">
        <f t="shared" si="2"/>
        <v>22.833333333333332</v>
      </c>
      <c r="D56">
        <f t="shared" si="36"/>
        <v>0</v>
      </c>
      <c r="E56">
        <f t="shared" si="4"/>
        <v>45</v>
      </c>
      <c r="F56">
        <f>IF(C56&gt;=$H$2,0,VLOOKUP($E56,'Mortality Table'!$A$3:$C$128,2+AB$2,FALSE))</f>
        <v>9.6170000000000001E-4</v>
      </c>
      <c r="G56">
        <f>F56*Assumptions!$B$1</f>
        <v>1.0410402500000001E-3</v>
      </c>
      <c r="H56">
        <f t="shared" si="12"/>
        <v>8.6794775513543421E-5</v>
      </c>
      <c r="I56">
        <f t="shared" si="37"/>
        <v>7.5741241768105324E-5</v>
      </c>
      <c r="J56">
        <f>HLOOKUP(C56,Assumptions!$A$6:$J$7,2,TRUE)</f>
        <v>3.5200000000000002E-2</v>
      </c>
      <c r="K56" s="18">
        <f t="shared" si="5"/>
        <v>1</v>
      </c>
      <c r="L56" s="18">
        <f t="shared" si="14"/>
        <v>8.3333333333333329E-2</v>
      </c>
      <c r="M56" s="18">
        <f t="shared" si="38"/>
        <v>2.9817501439168836E-3</v>
      </c>
      <c r="N56">
        <f t="shared" si="39"/>
        <v>2.6057887213967301E-3</v>
      </c>
      <c r="O56" s="20">
        <f t="shared" si="40"/>
        <v>0.87126889678349206</v>
      </c>
      <c r="P56">
        <f>IF(B56&gt;$AF$2,0,O55*($E$2+IF(E56&lt;=Assumptions!$B$9,$D$2,0))/$I$2*K56)</f>
        <v>44.76082768987461</v>
      </c>
      <c r="Q56">
        <f t="shared" si="18"/>
        <v>26.1</v>
      </c>
      <c r="R56">
        <f>IF(B56&gt;$AF$2,0,IF($Y$2=1,(SUMIF('Mortality Tarif Male'!A:A,E57,'Mortality Tarif Male'!G:G)-SUMIF('Mortality Tarif Male'!A:A,$C$2+$H$2,'Mortality Tarif Male'!G:G)+SUMIF('Mortality Tarif Male'!A:A,$C$2+$H$2,'Mortality Tarif Male'!D:D))/SUMIF('Mortality Tarif Male'!A:A,E57,'Mortality Tarif Male'!D:D),(SUMIF('Mortality Tarif Female'!A:A,E57,'Mortality Tarif Female'!G:G)-SUMIF('Mortality Tarif Female'!A:A,$C$2+$H$2,'Mortality Tarif Female'!G:G)+SUMIF('Mortality Tarif Female'!A:A,$C$2+$H$2,'Mortality Tarif Female'!D:D))/SUMIF('Mortality Tarif Female'!A:A,E57,'Mortality Tarif Female'!D:D)))</f>
        <v>0.54616100261026923</v>
      </c>
      <c r="S56">
        <f>IF(B56&gt;=$AF$2,0,IF($Y$2=1,(SUMIF('Mortality Tarif Male'!A:A,E57+1,'Mortality Tarif Male'!G:G)-SUMIF('Mortality Tarif Male'!A:A,$C$2+$H$2,'Mortality Tarif Male'!G:G)+SUMIF('Mortality Tarif Male'!A:A,$C$2+$H$2,'Mortality Tarif Male'!D:D))/SUMIF('Mortality Tarif Male'!A:A,E57+1,'Mortality Tarif Male'!D:D),(SUMIF('Mortality Tarif Female'!A:A,E57+1,'Mortality Tarif Female'!G:G)-SUMIF('Mortality Tarif Female'!A:A,$C$2+$H$2,'Mortality Tarif Female'!G:G)+SUMIF('Mortality Tarif Female'!A:A,$C$2+$H$2,'Mortality Tarif Female'!D:D))/SUMIF('Mortality Tarif Female'!A:A,E57+1,'Mortality Tarif Female'!D:D)))</f>
        <v>0.56466476276535982</v>
      </c>
      <c r="T56">
        <f t="shared" si="19"/>
        <v>8.3333333333332149E-2</v>
      </c>
      <c r="U56">
        <f t="shared" si="20"/>
        <v>0.56312278275243555</v>
      </c>
      <c r="V56">
        <f t="shared" si="21"/>
        <v>11262.45565504871</v>
      </c>
      <c r="W56">
        <f t="shared" si="7"/>
        <v>14.697504629838569</v>
      </c>
      <c r="X56">
        <f t="shared" si="8"/>
        <v>0</v>
      </c>
      <c r="Y56">
        <f>IF(B56&gt;$AF$2,0,IF(X57=0,0,(1-X57)*($E$2+IF(E56&lt;=Assumptions!$B$9,$D$2,0))/$I$2*1/(1+$AG$2)*1/(1+Assumptions!$B$11)))</f>
        <v>0</v>
      </c>
      <c r="Z56">
        <f>IF(B56&gt;$AF$2,0,IF($Y$2=1,(SUMIF('Mortality Tarif Male'!A:A,E57,'Mortality Tarif Male'!E:E)-SUMIF('Mortality Tarif Male'!A:A,$C$2+$H$2,'Mortality Tarif Male'!E:E))/SUMIF('Mortality Tarif Male'!A:A,E57,'Mortality Tarif Male'!D:D),(SUMIF('Mortality Tarif Female'!A:A,E57,'Mortality Tarif Female'!E:E)-SUMIF('Mortality Tarif Female'!A:A,$C$2+$H$2,'Mortality Tarif Female'!E:E))/SUMIF('Mortality Tarif Female'!A:A,E57,'Mortality Tarif Female'!D:D)))</f>
        <v>13.438366712927463</v>
      </c>
      <c r="AA56">
        <f>IF(B56&gt;=$AF$2,0,IF($Y$2=1,(SUMIF('Mortality Tarif Male'!A:A,E57+1,'Mortality Tarif Male'!E:E)-SUMIF('Mortality Tarif Male'!A:A,$C$2+$H$2,'Mortality Tarif Male'!E:E))/SUMIF('Mortality Tarif Male'!A:A,E57+1,'Mortality Tarif Male'!D:D),(SUMIF('Mortality Tarif Female'!A:A,E57+1,'Mortality Tarif Female'!E:E)-SUMIF('Mortality Tarif Female'!A:A,$C$2+$H$2,'Mortality Tarif Female'!E:E))/SUMIF('Mortality Tarif Female'!A:A,E57+1,'Mortality Tarif Female'!D:D)))</f>
        <v>12.891133952019581</v>
      </c>
      <c r="AB56">
        <f t="shared" si="0"/>
        <v>3115.4865312901852</v>
      </c>
      <c r="AC56">
        <f>IF(B56&gt;=$AF$2,0,MIN(1/3*(V56+W56+Y56-AB56),(V56-AB56),(T56*Z56+(1-T56)*AA56)*$AH$2*Assumptions!$B$22))</f>
        <v>337.20873194146247</v>
      </c>
      <c r="AD56">
        <f t="shared" si="22"/>
        <v>7824.4578964469019</v>
      </c>
      <c r="AE56">
        <f t="shared" si="23"/>
        <v>8161.6666283883642</v>
      </c>
      <c r="AF56">
        <f t="shared" si="24"/>
        <v>7824.4578964469019</v>
      </c>
      <c r="AG56" s="26">
        <f t="shared" si="35"/>
        <v>0</v>
      </c>
      <c r="AH56" s="27">
        <f>IF(B56&gt;$AF$2,0,HLOOKUP(YEAR(A56),Assumptions!$A$34:$AL$37,4,TRUE)/100)</f>
        <v>9.2130000000000007E-3</v>
      </c>
      <c r="AI56">
        <f t="shared" si="25"/>
        <v>0</v>
      </c>
      <c r="AJ56">
        <f t="shared" si="26"/>
        <v>1.5168016817722538</v>
      </c>
      <c r="AK56">
        <f t="shared" si="27"/>
        <v>20.388884137604922</v>
      </c>
      <c r="AL56">
        <f>IF(E56&gt;Assumptions!$B$9,0,SUMPRODUCT($P$2:$X$2,Assumptions!$A$43:$I$43)/$I$2*O55*K56)</f>
        <v>4.8953983574043285</v>
      </c>
      <c r="AM56">
        <f t="shared" si="28"/>
        <v>0</v>
      </c>
      <c r="AN56">
        <f t="shared" si="29"/>
        <v>26.801084176781504</v>
      </c>
      <c r="AO56">
        <f>IF(E56&gt;Assumptions!$B$9,0,($V$2+$X$2)/$I$2*O55*K56*Assumptions!$B$46)</f>
        <v>0</v>
      </c>
      <c r="AP56">
        <f>IF(B56&gt;$AF$2,0,AP55*(1+Assumptions!$B$52)^(1/12))</f>
        <v>1.0380186384493311</v>
      </c>
      <c r="AQ56" s="29">
        <f>IF(B56&gt;$AF$2,0,O55*Assumptions!$B$48/12*AP55+AR56*Assumptions!$B$50/12)</f>
        <v>13.236401607699641</v>
      </c>
      <c r="AR56" s="31">
        <f t="shared" si="30"/>
        <v>6726.1079372259346</v>
      </c>
      <c r="AS56">
        <f t="shared" si="9"/>
        <v>6817.2067993661749</v>
      </c>
      <c r="AT56">
        <f t="shared" si="31"/>
        <v>17.539075286485726</v>
      </c>
      <c r="AU56" s="19">
        <f t="shared" si="32"/>
        <v>6740.0932880216233</v>
      </c>
      <c r="AV56" s="19">
        <f t="shared" si="33"/>
        <v>6813.2077361627362</v>
      </c>
      <c r="AW56">
        <f t="shared" si="34"/>
        <v>-98.1740816650601</v>
      </c>
      <c r="AX56">
        <f>IF(B56&gt;$AF$2,0,HLOOKUP(YEAR(A56),Assumptions!$A$34:$AL$37,2,TRUE)/100)</f>
        <v>1.5213000000000001E-2</v>
      </c>
      <c r="AY56" s="32">
        <f>1/(1+HLOOKUP(YEAR(A56),Assumptions!$A$27:$AL$29,3,TRUE))^(1/12)</f>
        <v>0.99873250460197693</v>
      </c>
      <c r="AZ56" s="30">
        <f t="shared" si="10"/>
        <v>8197.7104069488105</v>
      </c>
      <c r="BA56">
        <f>IF(B56&gt;$AF$2,0,IF($E$2=0,(T56*Z56+(1-T56)*AA56)*$J$2*Assumptions!$B$20,0))</f>
        <v>0</v>
      </c>
    </row>
    <row r="57" spans="1:53" x14ac:dyDescent="0.25">
      <c r="A57" s="17">
        <f t="shared" si="11"/>
        <v>44500</v>
      </c>
      <c r="B57">
        <f t="shared" si="1"/>
        <v>276</v>
      </c>
      <c r="C57">
        <f t="shared" si="2"/>
        <v>22.916666666666668</v>
      </c>
      <c r="D57">
        <f t="shared" si="36"/>
        <v>0</v>
      </c>
      <c r="E57">
        <f t="shared" si="4"/>
        <v>45</v>
      </c>
      <c r="F57">
        <f>IF(C57&gt;=$H$2,0,VLOOKUP($E57,'Mortality Table'!$A$3:$C$128,2+AB$2,FALSE))</f>
        <v>9.6170000000000001E-4</v>
      </c>
      <c r="G57">
        <f>F57*Assumptions!$B$1</f>
        <v>1.0410402500000001E-3</v>
      </c>
      <c r="H57">
        <f t="shared" si="12"/>
        <v>8.6794775513543421E-5</v>
      </c>
      <c r="I57">
        <f t="shared" si="37"/>
        <v>7.5508845967345149E-5</v>
      </c>
      <c r="J57">
        <f>HLOOKUP(C57,Assumptions!$A$6:$J$7,2,TRUE)</f>
        <v>3.5200000000000002E-2</v>
      </c>
      <c r="K57" s="18">
        <f t="shared" si="5"/>
        <v>1</v>
      </c>
      <c r="L57" s="18">
        <f t="shared" si="14"/>
        <v>8.3333333333333329E-2</v>
      </c>
      <c r="M57" s="18">
        <f t="shared" si="38"/>
        <v>2.9817501439168836E-3</v>
      </c>
      <c r="N57">
        <f t="shared" si="39"/>
        <v>2.5977934160335715E-3</v>
      </c>
      <c r="O57" s="20">
        <f t="shared" si="40"/>
        <v>0.86859559452149115</v>
      </c>
      <c r="P57">
        <f>IF(B57&gt;$AF$2,0,O56*($E$2+IF(E57&lt;=Assumptions!$B$9,$D$2,0))/$I$2*K57)</f>
        <v>44.623488663594514</v>
      </c>
      <c r="Q57">
        <f t="shared" si="18"/>
        <v>26.1</v>
      </c>
      <c r="R57">
        <f>IF(B57&gt;$AF$2,0,IF($Y$2=1,(SUMIF('Mortality Tarif Male'!A:A,E58,'Mortality Tarif Male'!G:G)-SUMIF('Mortality Tarif Male'!A:A,$C$2+$H$2,'Mortality Tarif Male'!G:G)+SUMIF('Mortality Tarif Male'!A:A,$C$2+$H$2,'Mortality Tarif Male'!D:D))/SUMIF('Mortality Tarif Male'!A:A,E58,'Mortality Tarif Male'!D:D),(SUMIF('Mortality Tarif Female'!A:A,E58,'Mortality Tarif Female'!G:G)-SUMIF('Mortality Tarif Female'!A:A,$C$2+$H$2,'Mortality Tarif Female'!G:G)+SUMIF('Mortality Tarif Female'!A:A,$C$2+$H$2,'Mortality Tarif Female'!D:D))/SUMIF('Mortality Tarif Female'!A:A,E58,'Mortality Tarif Female'!D:D)))</f>
        <v>0.56466476276535982</v>
      </c>
      <c r="S57">
        <f>IF(B57&gt;=$AF$2,0,IF($Y$2=1,(SUMIF('Mortality Tarif Male'!A:A,E58+1,'Mortality Tarif Male'!G:G)-SUMIF('Mortality Tarif Male'!A:A,$C$2+$H$2,'Mortality Tarif Male'!G:G)+SUMIF('Mortality Tarif Male'!A:A,$C$2+$H$2,'Mortality Tarif Male'!D:D))/SUMIF('Mortality Tarif Male'!A:A,E58+1,'Mortality Tarif Male'!D:D),(SUMIF('Mortality Tarif Female'!A:A,E58+1,'Mortality Tarif Female'!G:G)-SUMIF('Mortality Tarif Female'!A:A,$C$2+$H$2,'Mortality Tarif Female'!G:G)+SUMIF('Mortality Tarif Female'!A:A,$C$2+$H$2,'Mortality Tarif Female'!D:D))/SUMIF('Mortality Tarif Female'!A:A,E58+1,'Mortality Tarif Female'!D:D)))</f>
        <v>0.58381254110884373</v>
      </c>
      <c r="T57">
        <f t="shared" si="19"/>
        <v>1</v>
      </c>
      <c r="U57">
        <f t="shared" si="20"/>
        <v>0.56466476276535982</v>
      </c>
      <c r="V57">
        <f t="shared" si="21"/>
        <v>11293.295255307195</v>
      </c>
      <c r="W57">
        <f t="shared" si="7"/>
        <v>14.737750308175892</v>
      </c>
      <c r="X57">
        <f t="shared" si="8"/>
        <v>0</v>
      </c>
      <c r="Y57">
        <f>IF(B57&gt;$AF$2,0,IF(X58=0,0,(1-X58)*($E$2+IF(E57&lt;=Assumptions!$B$9,$D$2,0))/$I$2*1/(1+$AG$2)*1/(1+Assumptions!$B$11)))</f>
        <v>0</v>
      </c>
      <c r="Z57">
        <f>IF(B57&gt;$AF$2,0,IF($Y$2=1,(SUMIF('Mortality Tarif Male'!A:A,E58,'Mortality Tarif Male'!E:E)-SUMIF('Mortality Tarif Male'!A:A,$C$2+$H$2,'Mortality Tarif Male'!E:E))/SUMIF('Mortality Tarif Male'!A:A,E58,'Mortality Tarif Male'!D:D),(SUMIF('Mortality Tarif Female'!A:A,E58,'Mortality Tarif Female'!E:E)-SUMIF('Mortality Tarif Female'!A:A,$C$2+$H$2,'Mortality Tarif Female'!E:E))/SUMIF('Mortality Tarif Female'!A:A,E58,'Mortality Tarif Female'!D:D)))</f>
        <v>12.891133952019581</v>
      </c>
      <c r="AA57">
        <f>IF(B57&gt;=$AF$2,0,IF($Y$2=1,(SUMIF('Mortality Tarif Male'!A:A,E58+1,'Mortality Tarif Male'!E:E)-SUMIF('Mortality Tarif Male'!A:A,$C$2+$H$2,'Mortality Tarif Male'!E:E))/SUMIF('Mortality Tarif Male'!A:A,E58+1,'Mortality Tarif Male'!D:D),(SUMIF('Mortality Tarif Female'!A:A,E58+1,'Mortality Tarif Female'!E:E)-SUMIF('Mortality Tarif Female'!A:A,$C$2+$H$2,'Mortality Tarif Female'!E:E))/SUMIF('Mortality Tarif Female'!A:A,E58+1,'Mortality Tarif Female'!D:D)))</f>
        <v>12.324821073294672</v>
      </c>
      <c r="AB57">
        <f t="shared" si="0"/>
        <v>3104.5042646775078</v>
      </c>
      <c r="AC57">
        <f>IF(B57&gt;=$AF$2,0,MIN(1/3*(V57+W57+Y57-AB57),(V57-AB57),(T57*Z57+(1-T57)*AA57)*$AH$2*Assumptions!$B$22))</f>
        <v>336.0200520479338</v>
      </c>
      <c r="AD57">
        <f t="shared" si="22"/>
        <v>7867.5086888899295</v>
      </c>
      <c r="AE57">
        <f t="shared" si="23"/>
        <v>8203.5287409378634</v>
      </c>
      <c r="AF57">
        <f t="shared" si="24"/>
        <v>7867.5086888899295</v>
      </c>
      <c r="AG57" s="26">
        <f t="shared" si="35"/>
        <v>0</v>
      </c>
      <c r="AH57" s="27">
        <f>IF(B57&gt;$AF$2,0,HLOOKUP(YEAR(A57),Assumptions!$A$34:$AL$37,4,TRUE)/100)</f>
        <v>9.2130000000000007E-3</v>
      </c>
      <c r="AI57">
        <f t="shared" si="25"/>
        <v>0</v>
      </c>
      <c r="AJ57">
        <f t="shared" si="26"/>
        <v>1.5121477002266506</v>
      </c>
      <c r="AK57">
        <f t="shared" si="27"/>
        <v>20.438162272585174</v>
      </c>
      <c r="AL57">
        <f>IF(E57&gt;Assumptions!$B$9,0,SUMPRODUCT($P$2:$X$2,Assumptions!$A$43:$I$43)/$I$2*O56*K57)</f>
        <v>4.8803778745768591</v>
      </c>
      <c r="AM57">
        <f t="shared" si="28"/>
        <v>0</v>
      </c>
      <c r="AN57">
        <f t="shared" si="29"/>
        <v>26.830687847388681</v>
      </c>
      <c r="AO57">
        <f>IF(E57&gt;Assumptions!$B$9,0,($V$2+$X$2)/$I$2*O56*K57*Assumptions!$B$46)</f>
        <v>0</v>
      </c>
      <c r="AP57">
        <f>IF(B57&gt;$AF$2,0,AP56*(1+Assumptions!$B$52)^(1/12))</f>
        <v>1.0388797144733264</v>
      </c>
      <c r="AQ57" s="29">
        <f>IF(B57&gt;$AF$2,0,O56*Assumptions!$B$48/12*AP56+AR57*Assumptions!$B$50/12)</f>
        <v>13.211714453746028</v>
      </c>
      <c r="AR57" s="31">
        <f t="shared" si="30"/>
        <v>6731.6376002117804</v>
      </c>
      <c r="AS57">
        <f t="shared" si="9"/>
        <v>6833.6833870293458</v>
      </c>
      <c r="AT57">
        <f t="shared" si="31"/>
        <v>17.48526038524242</v>
      </c>
      <c r="AU57" s="19">
        <f t="shared" si="32"/>
        <v>6745.5641140363869</v>
      </c>
      <c r="AV57" s="19">
        <f t="shared" si="33"/>
        <v>6829.8116818768403</v>
      </c>
      <c r="AW57">
        <f t="shared" si="34"/>
        <v>-109.28914489486033</v>
      </c>
      <c r="AX57">
        <f>IF(B57&gt;$AF$2,0,HLOOKUP(YEAR(A57),Assumptions!$A$34:$AL$37,2,TRUE)/100)</f>
        <v>1.5213000000000001E-2</v>
      </c>
      <c r="AY57" s="32">
        <f>1/(1+HLOOKUP(YEAR(A57),Assumptions!$A$27:$AL$29,3,TRUE))^(1/12)</f>
        <v>0.99873250460197693</v>
      </c>
      <c r="AZ57" s="30">
        <f t="shared" si="10"/>
        <v>8212.695240227742</v>
      </c>
      <c r="BA57">
        <f>IF(B57&gt;$AF$2,0,IF($E$2=0,(T57*Z57+(1-T57)*AA57)*$J$2*Assumptions!$B$20,0))</f>
        <v>0</v>
      </c>
    </row>
    <row r="58" spans="1:53" x14ac:dyDescent="0.25">
      <c r="A58" s="17">
        <f t="shared" si="11"/>
        <v>44530</v>
      </c>
      <c r="B58">
        <f t="shared" si="1"/>
        <v>277</v>
      </c>
      <c r="C58">
        <f t="shared" si="2"/>
        <v>23</v>
      </c>
      <c r="D58">
        <f t="shared" si="36"/>
        <v>1</v>
      </c>
      <c r="E58">
        <f t="shared" si="4"/>
        <v>46</v>
      </c>
      <c r="F58">
        <f>IF(C58&gt;=$H$2,0,VLOOKUP($E58,'Mortality Table'!$A$3:$C$128,2+AB$2,FALSE))</f>
        <v>1.0457000000000001E-3</v>
      </c>
      <c r="G58">
        <f>F58*Assumptions!$B$1</f>
        <v>1.13197025E-3</v>
      </c>
      <c r="H58">
        <f t="shared" si="12"/>
        <v>9.4379830295254763E-5</v>
      </c>
      <c r="I58">
        <f t="shared" si="37"/>
        <v>8.1855685991417393E-5</v>
      </c>
      <c r="J58">
        <f>HLOOKUP(C58,Assumptions!$A$6:$J$7,2,TRUE)</f>
        <v>3.5200000000000002E-2</v>
      </c>
      <c r="K58" s="18">
        <f t="shared" si="5"/>
        <v>1</v>
      </c>
      <c r="L58" s="18">
        <f t="shared" si="14"/>
        <v>8.3333333333333329E-2</v>
      </c>
      <c r="M58" s="18">
        <f t="shared" si="38"/>
        <v>2.9817501439168836E-3</v>
      </c>
      <c r="N58">
        <f t="shared" si="39"/>
        <v>2.5898128201553008E-3</v>
      </c>
      <c r="O58" s="20">
        <f t="shared" si="40"/>
        <v>0.86592392601534451</v>
      </c>
      <c r="P58">
        <f>IF(B58&gt;$AF$2,0,O57*($E$2+IF(E58&lt;=Assumptions!$B$9,$D$2,0))/$I$2*K58)</f>
        <v>44.486571032742368</v>
      </c>
      <c r="Q58">
        <f t="shared" si="18"/>
        <v>26.1</v>
      </c>
      <c r="R58">
        <f>IF(B58&gt;$AF$2,0,IF($Y$2=1,(SUMIF('Mortality Tarif Male'!A:A,E59,'Mortality Tarif Male'!G:G)-SUMIF('Mortality Tarif Male'!A:A,$C$2+$H$2,'Mortality Tarif Male'!G:G)+SUMIF('Mortality Tarif Male'!A:A,$C$2+$H$2,'Mortality Tarif Male'!D:D))/SUMIF('Mortality Tarif Male'!A:A,E59,'Mortality Tarif Male'!D:D),(SUMIF('Mortality Tarif Female'!A:A,E59,'Mortality Tarif Female'!G:G)-SUMIF('Mortality Tarif Female'!A:A,$C$2+$H$2,'Mortality Tarif Female'!G:G)+SUMIF('Mortality Tarif Female'!A:A,$C$2+$H$2,'Mortality Tarif Female'!D:D))/SUMIF('Mortality Tarif Female'!A:A,E59,'Mortality Tarif Female'!D:D)))</f>
        <v>0.56466476276535982</v>
      </c>
      <c r="S58">
        <f>IF(B58&gt;=$AF$2,0,IF($Y$2=1,(SUMIF('Mortality Tarif Male'!A:A,E59+1,'Mortality Tarif Male'!G:G)-SUMIF('Mortality Tarif Male'!A:A,$C$2+$H$2,'Mortality Tarif Male'!G:G)+SUMIF('Mortality Tarif Male'!A:A,$C$2+$H$2,'Mortality Tarif Male'!D:D))/SUMIF('Mortality Tarif Male'!A:A,E59+1,'Mortality Tarif Male'!D:D),(SUMIF('Mortality Tarif Female'!A:A,E59+1,'Mortality Tarif Female'!G:G)-SUMIF('Mortality Tarif Female'!A:A,$C$2+$H$2,'Mortality Tarif Female'!G:G)+SUMIF('Mortality Tarif Female'!A:A,$C$2+$H$2,'Mortality Tarif Female'!D:D))/SUMIF('Mortality Tarif Female'!A:A,E59+1,'Mortality Tarif Female'!D:D)))</f>
        <v>0.58381254110884373</v>
      </c>
      <c r="T58">
        <f t="shared" si="19"/>
        <v>0.91666666666666785</v>
      </c>
      <c r="U58">
        <f t="shared" si="20"/>
        <v>0.56626041096065005</v>
      </c>
      <c r="V58">
        <f t="shared" si="21"/>
        <v>11325.208219213</v>
      </c>
      <c r="W58">
        <f t="shared" si="7"/>
        <v>14.779396726072967</v>
      </c>
      <c r="X58">
        <f t="shared" si="8"/>
        <v>0</v>
      </c>
      <c r="Y58">
        <f>IF(B58&gt;$AF$2,0,IF(X59=0,0,(1-X59)*($E$2+IF(E58&lt;=Assumptions!$B$9,$D$2,0))/$I$2*1/(1+$AG$2)*1/(1+Assumptions!$B$11)))</f>
        <v>0</v>
      </c>
      <c r="Z58">
        <f>IF(B58&gt;$AF$2,0,IF($Y$2=1,(SUMIF('Mortality Tarif Male'!A:A,E59,'Mortality Tarif Male'!E:E)-SUMIF('Mortality Tarif Male'!A:A,$C$2+$H$2,'Mortality Tarif Male'!E:E))/SUMIF('Mortality Tarif Male'!A:A,E59,'Mortality Tarif Male'!D:D),(SUMIF('Mortality Tarif Female'!A:A,E59,'Mortality Tarif Female'!E:E)-SUMIF('Mortality Tarif Female'!A:A,$C$2+$H$2,'Mortality Tarif Female'!E:E))/SUMIF('Mortality Tarif Female'!A:A,E59,'Mortality Tarif Female'!D:D)))</f>
        <v>12.891133952019581</v>
      </c>
      <c r="AA58">
        <f>IF(B58&gt;=$AF$2,0,IF($Y$2=1,(SUMIF('Mortality Tarif Male'!A:A,E59+1,'Mortality Tarif Male'!E:E)-SUMIF('Mortality Tarif Male'!A:A,$C$2+$H$2,'Mortality Tarif Male'!E:E))/SUMIF('Mortality Tarif Male'!A:A,E59+1,'Mortality Tarif Male'!D:D),(SUMIF('Mortality Tarif Female'!A:A,E59+1,'Mortality Tarif Female'!E:E)-SUMIF('Mortality Tarif Female'!A:A,$C$2+$H$2,'Mortality Tarif Female'!E:E))/SUMIF('Mortality Tarif Female'!A:A,E59+1,'Mortality Tarif Female'!D:D)))</f>
        <v>12.324821073294672</v>
      </c>
      <c r="AB58">
        <f t="shared" si="0"/>
        <v>3093.1390843289646</v>
      </c>
      <c r="AC58">
        <f>IF(B58&gt;=$AF$2,0,MIN(1/3*(V58+W58+Y58-AB58),(V58-AB58),(T58*Z58+(1-T58)*AA58)*$AH$2*Assumptions!$B$22))</f>
        <v>334.78992698877289</v>
      </c>
      <c r="AD58">
        <f t="shared" si="22"/>
        <v>7912.0586046213357</v>
      </c>
      <c r="AE58">
        <f t="shared" si="23"/>
        <v>8246.8485316101087</v>
      </c>
      <c r="AF58">
        <f t="shared" si="24"/>
        <v>7912.0586046213357</v>
      </c>
      <c r="AG58" s="26">
        <f t="shared" si="35"/>
        <v>0</v>
      </c>
      <c r="AH58" s="27">
        <f>IF(B58&gt;$AF$2,0,HLOOKUP(YEAR(A58),Assumptions!$A$34:$AL$37,4,TRUE)/100)</f>
        <v>9.2130000000000007E-3</v>
      </c>
      <c r="AI58">
        <f t="shared" si="25"/>
        <v>0</v>
      </c>
      <c r="AJ58">
        <f t="shared" si="26"/>
        <v>1.6392501532327237</v>
      </c>
      <c r="AK58">
        <f t="shared" si="27"/>
        <v>20.490750808068395</v>
      </c>
      <c r="AL58">
        <f>IF(E58&gt;Assumptions!$B$9,0,SUMPRODUCT($P$2:$X$2,Assumptions!$A$43:$I$43)/$I$2*O57*K58)</f>
        <v>4.8654034788883518</v>
      </c>
      <c r="AM58">
        <f t="shared" si="28"/>
        <v>0</v>
      </c>
      <c r="AN58">
        <f t="shared" si="29"/>
        <v>26.995404440189468</v>
      </c>
      <c r="AO58">
        <f>IF(E58&gt;Assumptions!$B$9,0,($V$2+$X$2)/$I$2*O57*K58*Assumptions!$B$46)</f>
        <v>0</v>
      </c>
      <c r="AP58">
        <f>IF(B58&gt;$AF$2,0,AP57*(1+Assumptions!$B$52)^(1/12))</f>
        <v>1.039741504792703</v>
      </c>
      <c r="AQ58" s="29">
        <f>IF(B58&gt;$AF$2,0,O57*Assumptions!$B$48/12*AP57+AR58*Assumptions!$B$50/12)</f>
        <v>13.187035646028296</v>
      </c>
      <c r="AR58" s="31">
        <f t="shared" si="30"/>
        <v>6736.9604492591106</v>
      </c>
      <c r="AS58">
        <f t="shared" si="9"/>
        <v>6851.2408497771958</v>
      </c>
      <c r="AT58">
        <f t="shared" si="31"/>
        <v>17.431610603513601</v>
      </c>
      <c r="AU58" s="19">
        <f t="shared" si="32"/>
        <v>6750.8283740423103</v>
      </c>
      <c r="AV58" s="19">
        <f t="shared" si="33"/>
        <v>6846.249594153971</v>
      </c>
      <c r="AW58">
        <f t="shared" si="34"/>
        <v>-120.4447720266817</v>
      </c>
      <c r="AX58">
        <f>IF(B58&gt;$AF$2,0,HLOOKUP(YEAR(A58),Assumptions!$A$34:$AL$37,2,TRUE)/100)</f>
        <v>1.5213000000000001E-2</v>
      </c>
      <c r="AY58" s="32">
        <f>1/(1+HLOOKUP(YEAR(A58),Assumptions!$A$27:$AL$29,3,TRUE))^(1/12)</f>
        <v>0.99873250460197693</v>
      </c>
      <c r="AZ58" s="30">
        <f t="shared" si="10"/>
        <v>8227.4221354023157</v>
      </c>
      <c r="BA58">
        <f>IF(B58&gt;$AF$2,0,IF($E$2=0,(T58*Z58+(1-T58)*AA58)*$J$2*Assumptions!$B$20,0))</f>
        <v>0</v>
      </c>
    </row>
    <row r="59" spans="1:53" x14ac:dyDescent="0.25">
      <c r="A59" s="17">
        <f t="shared" si="11"/>
        <v>44561</v>
      </c>
      <c r="B59">
        <f t="shared" si="1"/>
        <v>278</v>
      </c>
      <c r="C59">
        <f t="shared" si="2"/>
        <v>23.083333333333332</v>
      </c>
      <c r="D59">
        <f t="shared" si="36"/>
        <v>0</v>
      </c>
      <c r="E59">
        <f t="shared" si="4"/>
        <v>46</v>
      </c>
      <c r="F59">
        <f>IF(C59&gt;=$H$2,0,VLOOKUP($E59,'Mortality Table'!$A$3:$C$128,2+AB$2,FALSE))</f>
        <v>1.0457000000000001E-3</v>
      </c>
      <c r="G59">
        <f>F59*Assumptions!$B$1</f>
        <v>1.13197025E-3</v>
      </c>
      <c r="H59">
        <f t="shared" si="12"/>
        <v>9.4379830295254763E-5</v>
      </c>
      <c r="I59">
        <f t="shared" si="37"/>
        <v>8.1603910297767027E-5</v>
      </c>
      <c r="J59">
        <f>HLOOKUP(C59,Assumptions!$A$6:$J$7,2,TRUE)</f>
        <v>3.5200000000000002E-2</v>
      </c>
      <c r="K59" s="18">
        <f t="shared" si="5"/>
        <v>1</v>
      </c>
      <c r="L59" s="18">
        <f t="shared" si="14"/>
        <v>8.3333333333333329E-2</v>
      </c>
      <c r="M59" s="18">
        <f t="shared" si="38"/>
        <v>2.9817501439168836E-3</v>
      </c>
      <c r="N59">
        <f t="shared" si="39"/>
        <v>2.5818469481291642E-3</v>
      </c>
      <c r="O59" s="20">
        <f t="shared" si="40"/>
        <v>0.86326047515691762</v>
      </c>
      <c r="P59">
        <f>IF(B59&gt;$AF$2,0,O58*($E$2+IF(E59&lt;=Assumptions!$B$9,$D$2,0))/$I$2*K59)</f>
        <v>44.349737077419228</v>
      </c>
      <c r="Q59">
        <f t="shared" si="18"/>
        <v>26.1</v>
      </c>
      <c r="R59">
        <f>IF(B59&gt;$AF$2,0,IF($Y$2=1,(SUMIF('Mortality Tarif Male'!A:A,E60,'Mortality Tarif Male'!G:G)-SUMIF('Mortality Tarif Male'!A:A,$C$2+$H$2,'Mortality Tarif Male'!G:G)+SUMIF('Mortality Tarif Male'!A:A,$C$2+$H$2,'Mortality Tarif Male'!D:D))/SUMIF('Mortality Tarif Male'!A:A,E60,'Mortality Tarif Male'!D:D),(SUMIF('Mortality Tarif Female'!A:A,E60,'Mortality Tarif Female'!G:G)-SUMIF('Mortality Tarif Female'!A:A,$C$2+$H$2,'Mortality Tarif Female'!G:G)+SUMIF('Mortality Tarif Female'!A:A,$C$2+$H$2,'Mortality Tarif Female'!D:D))/SUMIF('Mortality Tarif Female'!A:A,E60,'Mortality Tarif Female'!D:D)))</f>
        <v>0.56466476276535982</v>
      </c>
      <c r="S59">
        <f>IF(B59&gt;=$AF$2,0,IF($Y$2=1,(SUMIF('Mortality Tarif Male'!A:A,E60+1,'Mortality Tarif Male'!G:G)-SUMIF('Mortality Tarif Male'!A:A,$C$2+$H$2,'Mortality Tarif Male'!G:G)+SUMIF('Mortality Tarif Male'!A:A,$C$2+$H$2,'Mortality Tarif Male'!D:D))/SUMIF('Mortality Tarif Male'!A:A,E60+1,'Mortality Tarif Male'!D:D),(SUMIF('Mortality Tarif Female'!A:A,E60+1,'Mortality Tarif Female'!G:G)-SUMIF('Mortality Tarif Female'!A:A,$C$2+$H$2,'Mortality Tarif Female'!G:G)+SUMIF('Mortality Tarif Female'!A:A,$C$2+$H$2,'Mortality Tarif Female'!D:D))/SUMIF('Mortality Tarif Female'!A:A,E60+1,'Mortality Tarif Female'!D:D)))</f>
        <v>0.58381254110884373</v>
      </c>
      <c r="T59">
        <f t="shared" si="19"/>
        <v>0.83333333333333215</v>
      </c>
      <c r="U59">
        <f t="shared" si="20"/>
        <v>0.56785605915594051</v>
      </c>
      <c r="V59">
        <f t="shared" si="21"/>
        <v>11357.12118311881</v>
      </c>
      <c r="W59">
        <f t="shared" si="7"/>
        <v>14.821043143970048</v>
      </c>
      <c r="X59">
        <f t="shared" si="8"/>
        <v>0</v>
      </c>
      <c r="Y59">
        <f>IF(B59&gt;$AF$2,0,IF(X60=0,0,(1-X60)*($E$2+IF(E59&lt;=Assumptions!$B$9,$D$2,0))/$I$2*1/(1+$AG$2)*1/(1+Assumptions!$B$11)))</f>
        <v>0</v>
      </c>
      <c r="Z59">
        <f>IF(B59&gt;$AF$2,0,IF($Y$2=1,(SUMIF('Mortality Tarif Male'!A:A,E60,'Mortality Tarif Male'!E:E)-SUMIF('Mortality Tarif Male'!A:A,$C$2+$H$2,'Mortality Tarif Male'!E:E))/SUMIF('Mortality Tarif Male'!A:A,E60,'Mortality Tarif Male'!D:D),(SUMIF('Mortality Tarif Female'!A:A,E60,'Mortality Tarif Female'!E:E)-SUMIF('Mortality Tarif Female'!A:A,$C$2+$H$2,'Mortality Tarif Female'!E:E))/SUMIF('Mortality Tarif Female'!A:A,E60,'Mortality Tarif Female'!D:D)))</f>
        <v>12.891133952019581</v>
      </c>
      <c r="AA59">
        <f>IF(B59&gt;=$AF$2,0,IF($Y$2=1,(SUMIF('Mortality Tarif Male'!A:A,E60+1,'Mortality Tarif Male'!E:E)-SUMIF('Mortality Tarif Male'!A:A,$C$2+$H$2,'Mortality Tarif Male'!E:E))/SUMIF('Mortality Tarif Male'!A:A,E60+1,'Mortality Tarif Male'!D:D),(SUMIF('Mortality Tarif Female'!A:A,E60+1,'Mortality Tarif Female'!E:E)-SUMIF('Mortality Tarif Female'!A:A,$C$2+$H$2,'Mortality Tarif Female'!E:E))/SUMIF('Mortality Tarif Female'!A:A,E60+1,'Mortality Tarif Female'!D:D)))</f>
        <v>12.324821073294672</v>
      </c>
      <c r="AB59">
        <f t="shared" si="0"/>
        <v>3081.7739039804201</v>
      </c>
      <c r="AC59">
        <f>IF(B59&gt;=$AF$2,0,MIN(1/3*(V59+W59+Y59-AB59),(V59-AB59),(T59*Z59+(1-T59)*AA59)*$AH$2*Assumptions!$B$22))</f>
        <v>333.55980192961187</v>
      </c>
      <c r="AD59">
        <f t="shared" si="22"/>
        <v>7956.6085203527473</v>
      </c>
      <c r="AE59">
        <f t="shared" si="23"/>
        <v>8290.1683222823594</v>
      </c>
      <c r="AF59">
        <f t="shared" si="24"/>
        <v>7956.6085203527473</v>
      </c>
      <c r="AG59" s="26">
        <f t="shared" si="35"/>
        <v>7717.2056961614289</v>
      </c>
      <c r="AH59" s="27">
        <f>IF(B59&gt;$AF$2,0,HLOOKUP(YEAR(A59),Assumptions!$A$34:$AL$37,4,TRUE)/100)</f>
        <v>9.2130000000000007E-3</v>
      </c>
      <c r="AI59">
        <f t="shared" si="25"/>
        <v>0</v>
      </c>
      <c r="AJ59">
        <f t="shared" si="26"/>
        <v>1.6342080680141122</v>
      </c>
      <c r="AK59">
        <f t="shared" si="27"/>
        <v>20.542745425731244</v>
      </c>
      <c r="AL59">
        <f>IF(E59&gt;Assumptions!$B$9,0,SUMPRODUCT($P$2:$X$2,Assumptions!$A$43:$I$43)/$I$2*O58*K59)</f>
        <v>4.8504382346179113</v>
      </c>
      <c r="AM59">
        <f t="shared" si="28"/>
        <v>0</v>
      </c>
      <c r="AN59">
        <f t="shared" si="29"/>
        <v>27.027391728363266</v>
      </c>
      <c r="AO59">
        <f>IF(E59&gt;Assumptions!$B$9,0,($V$2+$X$2)/$I$2*O58*K59*Assumptions!$B$46)</f>
        <v>0</v>
      </c>
      <c r="AP59">
        <f>IF(B59&gt;$AF$2,0,AP58*(1+Assumptions!$B$52)^(1/12))</f>
        <v>1.0406040099999962</v>
      </c>
      <c r="AQ59" s="29">
        <f>IF(B59&gt;$AF$2,0,O58*Assumptions!$B$48/12*AP58+AR59*Assumptions!$B$50/12)</f>
        <v>13.162578961846183</v>
      </c>
      <c r="AR59" s="31">
        <f t="shared" si="30"/>
        <v>6743.3236331250864</v>
      </c>
      <c r="AS59">
        <f t="shared" si="9"/>
        <v>6868.6256519172921</v>
      </c>
      <c r="AT59">
        <f t="shared" si="31"/>
        <v>17.377993609190167</v>
      </c>
      <c r="AU59" s="19">
        <f t="shared" si="32"/>
        <v>6757.1327976314687</v>
      </c>
      <c r="AV59" s="19">
        <f t="shared" si="33"/>
        <v>6863.7684051517681</v>
      </c>
      <c r="AW59">
        <f t="shared" si="34"/>
        <v>0</v>
      </c>
      <c r="AX59">
        <f>IF(B59&gt;$AF$2,0,HLOOKUP(YEAR(A59),Assumptions!$A$34:$AL$37,2,TRUE)/100)</f>
        <v>1.5213000000000001E-2</v>
      </c>
      <c r="AY59" s="32">
        <f>1/(1+HLOOKUP(YEAR(A59),Assumptions!$A$27:$AL$29,3,TRUE))^(1/12)</f>
        <v>0.99873250460197693</v>
      </c>
      <c r="AZ59" s="30">
        <f t="shared" si="10"/>
        <v>8242.023355978874</v>
      </c>
      <c r="BA59">
        <f>IF(B59&gt;$AF$2,0,IF($E$2=0,(T59*Z59+(1-T59)*AA59)*$J$2*Assumptions!$B$20,0))</f>
        <v>0</v>
      </c>
    </row>
    <row r="60" spans="1:53" x14ac:dyDescent="0.25">
      <c r="A60" s="17">
        <f t="shared" si="11"/>
        <v>44592</v>
      </c>
      <c r="B60">
        <f t="shared" si="1"/>
        <v>279</v>
      </c>
      <c r="C60">
        <f t="shared" si="2"/>
        <v>23.166666666666668</v>
      </c>
      <c r="D60">
        <f t="shared" si="36"/>
        <v>0</v>
      </c>
      <c r="E60">
        <f t="shared" si="4"/>
        <v>46</v>
      </c>
      <c r="F60">
        <f>IF(C60&gt;=$H$2,0,VLOOKUP($E60,'Mortality Table'!$A$3:$C$128,2+AB$2,FALSE))</f>
        <v>1.0457000000000001E-3</v>
      </c>
      <c r="G60">
        <f>F60*Assumptions!$B$1</f>
        <v>1.13197025E-3</v>
      </c>
      <c r="H60">
        <f t="shared" si="12"/>
        <v>9.4379830295254763E-5</v>
      </c>
      <c r="I60">
        <f t="shared" si="37"/>
        <v>8.1352909028020693E-5</v>
      </c>
      <c r="J60">
        <f>HLOOKUP(C60,Assumptions!$A$6:$J$7,2,TRUE)</f>
        <v>3.5200000000000002E-2</v>
      </c>
      <c r="K60" s="18">
        <f t="shared" si="5"/>
        <v>1</v>
      </c>
      <c r="L60" s="18">
        <f t="shared" si="14"/>
        <v>8.3333333333333329E-2</v>
      </c>
      <c r="M60" s="18">
        <f t="shared" si="38"/>
        <v>2.9817501439168836E-3</v>
      </c>
      <c r="N60">
        <f t="shared" si="39"/>
        <v>2.5739055779190065E-3</v>
      </c>
      <c r="O60" s="20">
        <f t="shared" si="40"/>
        <v>0.86060521666997059</v>
      </c>
      <c r="P60">
        <f>IF(B60&gt;$AF$2,0,O59*($E$2+IF(E60&lt;=Assumptions!$B$9,$D$2,0))/$I$2*K60)</f>
        <v>44.213324002620119</v>
      </c>
      <c r="Q60">
        <f t="shared" si="18"/>
        <v>26.1</v>
      </c>
      <c r="R60">
        <f>IF(B60&gt;$AF$2,0,IF($Y$2=1,(SUMIF('Mortality Tarif Male'!A:A,E61,'Mortality Tarif Male'!G:G)-SUMIF('Mortality Tarif Male'!A:A,$C$2+$H$2,'Mortality Tarif Male'!G:G)+SUMIF('Mortality Tarif Male'!A:A,$C$2+$H$2,'Mortality Tarif Male'!D:D))/SUMIF('Mortality Tarif Male'!A:A,E61,'Mortality Tarif Male'!D:D),(SUMIF('Mortality Tarif Female'!A:A,E61,'Mortality Tarif Female'!G:G)-SUMIF('Mortality Tarif Female'!A:A,$C$2+$H$2,'Mortality Tarif Female'!G:G)+SUMIF('Mortality Tarif Female'!A:A,$C$2+$H$2,'Mortality Tarif Female'!D:D))/SUMIF('Mortality Tarif Female'!A:A,E61,'Mortality Tarif Female'!D:D)))</f>
        <v>0.56466476276535982</v>
      </c>
      <c r="S60">
        <f>IF(B60&gt;=$AF$2,0,IF($Y$2=1,(SUMIF('Mortality Tarif Male'!A:A,E61+1,'Mortality Tarif Male'!G:G)-SUMIF('Mortality Tarif Male'!A:A,$C$2+$H$2,'Mortality Tarif Male'!G:G)+SUMIF('Mortality Tarif Male'!A:A,$C$2+$H$2,'Mortality Tarif Male'!D:D))/SUMIF('Mortality Tarif Male'!A:A,E61+1,'Mortality Tarif Male'!D:D),(SUMIF('Mortality Tarif Female'!A:A,E61+1,'Mortality Tarif Female'!G:G)-SUMIF('Mortality Tarif Female'!A:A,$C$2+$H$2,'Mortality Tarif Female'!G:G)+SUMIF('Mortality Tarif Female'!A:A,$C$2+$H$2,'Mortality Tarif Female'!D:D))/SUMIF('Mortality Tarif Female'!A:A,E61+1,'Mortality Tarif Female'!D:D)))</f>
        <v>0.58381254110884373</v>
      </c>
      <c r="T60">
        <f t="shared" si="19"/>
        <v>0.75</v>
      </c>
      <c r="U60">
        <f t="shared" si="20"/>
        <v>0.56945170735123085</v>
      </c>
      <c r="V60">
        <f t="shared" si="21"/>
        <v>11389.034147024617</v>
      </c>
      <c r="W60">
        <f t="shared" si="7"/>
        <v>14.862689561867127</v>
      </c>
      <c r="X60">
        <f t="shared" si="8"/>
        <v>0</v>
      </c>
      <c r="Y60">
        <f>IF(B60&gt;$AF$2,0,IF(X61=0,0,(1-X61)*($E$2+IF(E60&lt;=Assumptions!$B$9,$D$2,0))/$I$2*1/(1+$AG$2)*1/(1+Assumptions!$B$11)))</f>
        <v>0</v>
      </c>
      <c r="Z60">
        <f>IF(B60&gt;$AF$2,0,IF($Y$2=1,(SUMIF('Mortality Tarif Male'!A:A,E61,'Mortality Tarif Male'!E:E)-SUMIF('Mortality Tarif Male'!A:A,$C$2+$H$2,'Mortality Tarif Male'!E:E))/SUMIF('Mortality Tarif Male'!A:A,E61,'Mortality Tarif Male'!D:D),(SUMIF('Mortality Tarif Female'!A:A,E61,'Mortality Tarif Female'!E:E)-SUMIF('Mortality Tarif Female'!A:A,$C$2+$H$2,'Mortality Tarif Female'!E:E))/SUMIF('Mortality Tarif Female'!A:A,E61,'Mortality Tarif Female'!D:D)))</f>
        <v>12.891133952019581</v>
      </c>
      <c r="AA60">
        <f>IF(B60&gt;=$AF$2,0,IF($Y$2=1,(SUMIF('Mortality Tarif Male'!A:A,E61+1,'Mortality Tarif Male'!E:E)-SUMIF('Mortality Tarif Male'!A:A,$C$2+$H$2,'Mortality Tarif Male'!E:E))/SUMIF('Mortality Tarif Male'!A:A,E61+1,'Mortality Tarif Male'!D:D),(SUMIF('Mortality Tarif Female'!A:A,E61+1,'Mortality Tarif Female'!E:E)-SUMIF('Mortality Tarif Female'!A:A,$C$2+$H$2,'Mortality Tarif Female'!E:E))/SUMIF('Mortality Tarif Female'!A:A,E61+1,'Mortality Tarif Female'!D:D)))</f>
        <v>12.324821073294672</v>
      </c>
      <c r="AB60">
        <f t="shared" si="0"/>
        <v>3070.4087236318765</v>
      </c>
      <c r="AC60">
        <f>IF(B60&gt;=$AF$2,0,MIN(1/3*(V60+W60+Y60-AB60),(V60-AB60),(T60*Z60+(1-T60)*AA60)*$AH$2*Assumptions!$B$22))</f>
        <v>332.32967687045095</v>
      </c>
      <c r="AD60">
        <f t="shared" si="22"/>
        <v>8001.1584360841571</v>
      </c>
      <c r="AE60">
        <f t="shared" si="23"/>
        <v>8333.4881129546084</v>
      </c>
      <c r="AF60">
        <f t="shared" si="24"/>
        <v>8001.1584360841571</v>
      </c>
      <c r="AG60" s="26">
        <f t="shared" si="35"/>
        <v>0</v>
      </c>
      <c r="AH60" s="27">
        <f>IF(B60&gt;$AF$2,0,HLOOKUP(YEAR(A60),Assumptions!$A$34:$AL$37,4,TRUE)/100)</f>
        <v>8.2709999999999988E-3</v>
      </c>
      <c r="AI60">
        <f t="shared" si="25"/>
        <v>0</v>
      </c>
      <c r="AJ60">
        <f t="shared" si="26"/>
        <v>1.6291814914860452</v>
      </c>
      <c r="AK60">
        <f t="shared" si="27"/>
        <v>20.594226328450727</v>
      </c>
      <c r="AL60">
        <f>IF(E60&gt;Assumptions!$B$9,0,SUMPRODUCT($P$2:$X$2,Assumptions!$A$43:$I$43)/$I$2*O59*K60)</f>
        <v>4.835519021172467</v>
      </c>
      <c r="AM60">
        <f t="shared" si="28"/>
        <v>0</v>
      </c>
      <c r="AN60">
        <f t="shared" si="29"/>
        <v>27.058926841109237</v>
      </c>
      <c r="AO60">
        <f>IF(E60&gt;Assumptions!$B$9,0,($V$2+$X$2)/$I$2*O59*K60*Assumptions!$B$46)</f>
        <v>0</v>
      </c>
      <c r="AP60">
        <f>IF(B60&gt;$AF$2,0,AP59*(1+Assumptions!$B$52)^(1/12))</f>
        <v>1.0414672306882327</v>
      </c>
      <c r="AQ60" s="29">
        <f>IF(B60&gt;$AF$2,0,O59*Assumptions!$B$48/12*AP59+AR60*Assumptions!$B$50/12)</f>
        <v>13.16994246781651</v>
      </c>
      <c r="AR60" s="31">
        <f t="shared" si="30"/>
        <v>6881.1146744287407</v>
      </c>
      <c r="AS60">
        <f t="shared" si="9"/>
        <v>6885.838689496969</v>
      </c>
      <c r="AT60">
        <f t="shared" si="31"/>
        <v>17.32454153262136</v>
      </c>
      <c r="AU60" s="19">
        <f t="shared" si="32"/>
        <v>6894.833514430924</v>
      </c>
      <c r="AV60" s="19">
        <f t="shared" si="33"/>
        <v>6881.1146744287407</v>
      </c>
      <c r="AW60">
        <f t="shared" si="34"/>
        <v>-11.608451662652637</v>
      </c>
      <c r="AX60">
        <f>IF(B60&gt;$AF$2,0,HLOOKUP(YEAR(A60),Assumptions!$A$34:$AL$37,2,TRUE)/100)</f>
        <v>1.4271000000000001E-2</v>
      </c>
      <c r="AY60" s="32">
        <f>1/(1+HLOOKUP(YEAR(A60),Assumptions!$A$27:$AL$29,3,TRUE))^(1/12)</f>
        <v>0.99874250566702261</v>
      </c>
      <c r="AZ60" s="30">
        <f t="shared" si="10"/>
        <v>8256.3851577901696</v>
      </c>
      <c r="BA60">
        <f>IF(B60&gt;$AF$2,0,IF($E$2=0,(T60*Z60+(1-T60)*AA60)*$J$2*Assumptions!$B$20,0))</f>
        <v>0</v>
      </c>
    </row>
    <row r="61" spans="1:53" x14ac:dyDescent="0.25">
      <c r="A61" s="17">
        <f t="shared" si="11"/>
        <v>44620</v>
      </c>
      <c r="B61">
        <f t="shared" si="1"/>
        <v>280</v>
      </c>
      <c r="C61">
        <f t="shared" si="2"/>
        <v>23.25</v>
      </c>
      <c r="D61">
        <f t="shared" si="36"/>
        <v>0</v>
      </c>
      <c r="E61">
        <f t="shared" si="4"/>
        <v>46</v>
      </c>
      <c r="F61">
        <f>IF(C61&gt;=$H$2,0,VLOOKUP($E61,'Mortality Table'!$A$3:$C$128,2+AB$2,FALSE))</f>
        <v>1.0457000000000001E-3</v>
      </c>
      <c r="G61">
        <f>F61*Assumptions!$B$1</f>
        <v>1.13197025E-3</v>
      </c>
      <c r="H61">
        <f t="shared" si="12"/>
        <v>9.4379830295254763E-5</v>
      </c>
      <c r="I61">
        <f t="shared" si="37"/>
        <v>8.1102679800167747E-5</v>
      </c>
      <c r="J61">
        <f>HLOOKUP(C61,Assumptions!$A$6:$J$7,2,TRUE)</f>
        <v>3.5200000000000002E-2</v>
      </c>
      <c r="K61" s="18">
        <f t="shared" si="5"/>
        <v>1</v>
      </c>
      <c r="L61" s="18">
        <f t="shared" si="14"/>
        <v>8.3333333333333329E-2</v>
      </c>
      <c r="M61" s="18">
        <f t="shared" si="38"/>
        <v>2.9817501439168836E-3</v>
      </c>
      <c r="N61">
        <f t="shared" si="39"/>
        <v>2.5659886341609507E-3</v>
      </c>
      <c r="O61" s="20">
        <f t="shared" si="40"/>
        <v>0.85795812535600946</v>
      </c>
      <c r="P61">
        <f>IF(B61&gt;$AF$2,0,O60*($E$2+IF(E61&lt;=Assumptions!$B$9,$D$2,0))/$I$2*K61)</f>
        <v>44.077330513780318</v>
      </c>
      <c r="Q61">
        <f t="shared" si="18"/>
        <v>26.1</v>
      </c>
      <c r="R61">
        <f>IF(B61&gt;$AF$2,0,IF($Y$2=1,(SUMIF('Mortality Tarif Male'!A:A,E62,'Mortality Tarif Male'!G:G)-SUMIF('Mortality Tarif Male'!A:A,$C$2+$H$2,'Mortality Tarif Male'!G:G)+SUMIF('Mortality Tarif Male'!A:A,$C$2+$H$2,'Mortality Tarif Male'!D:D))/SUMIF('Mortality Tarif Male'!A:A,E62,'Mortality Tarif Male'!D:D),(SUMIF('Mortality Tarif Female'!A:A,E62,'Mortality Tarif Female'!G:G)-SUMIF('Mortality Tarif Female'!A:A,$C$2+$H$2,'Mortality Tarif Female'!G:G)+SUMIF('Mortality Tarif Female'!A:A,$C$2+$H$2,'Mortality Tarif Female'!D:D))/SUMIF('Mortality Tarif Female'!A:A,E62,'Mortality Tarif Female'!D:D)))</f>
        <v>0.56466476276535982</v>
      </c>
      <c r="S61">
        <f>IF(B61&gt;=$AF$2,0,IF($Y$2=1,(SUMIF('Mortality Tarif Male'!A:A,E62+1,'Mortality Tarif Male'!G:G)-SUMIF('Mortality Tarif Male'!A:A,$C$2+$H$2,'Mortality Tarif Male'!G:G)+SUMIF('Mortality Tarif Male'!A:A,$C$2+$H$2,'Mortality Tarif Male'!D:D))/SUMIF('Mortality Tarif Male'!A:A,E62+1,'Mortality Tarif Male'!D:D),(SUMIF('Mortality Tarif Female'!A:A,E62+1,'Mortality Tarif Female'!G:G)-SUMIF('Mortality Tarif Female'!A:A,$C$2+$H$2,'Mortality Tarif Female'!G:G)+SUMIF('Mortality Tarif Female'!A:A,$C$2+$H$2,'Mortality Tarif Female'!D:D))/SUMIF('Mortality Tarif Female'!A:A,E62+1,'Mortality Tarif Female'!D:D)))</f>
        <v>0.58381254110884373</v>
      </c>
      <c r="T61">
        <f t="shared" si="19"/>
        <v>0.66666666666666785</v>
      </c>
      <c r="U61">
        <f t="shared" si="20"/>
        <v>0.57104735554652108</v>
      </c>
      <c r="V61">
        <f t="shared" si="21"/>
        <v>11420.947110930421</v>
      </c>
      <c r="W61">
        <f t="shared" si="7"/>
        <v>14.904335979764202</v>
      </c>
      <c r="X61">
        <f t="shared" si="8"/>
        <v>0</v>
      </c>
      <c r="Y61">
        <f>IF(B61&gt;$AF$2,0,IF(X62=0,0,(1-X62)*($E$2+IF(E61&lt;=Assumptions!$B$9,$D$2,0))/$I$2*1/(1+$AG$2)*1/(1+Assumptions!$B$11)))</f>
        <v>0</v>
      </c>
      <c r="Z61">
        <f>IF(B61&gt;$AF$2,0,IF($Y$2=1,(SUMIF('Mortality Tarif Male'!A:A,E62,'Mortality Tarif Male'!E:E)-SUMIF('Mortality Tarif Male'!A:A,$C$2+$H$2,'Mortality Tarif Male'!E:E))/SUMIF('Mortality Tarif Male'!A:A,E62,'Mortality Tarif Male'!D:D),(SUMIF('Mortality Tarif Female'!A:A,E62,'Mortality Tarif Female'!E:E)-SUMIF('Mortality Tarif Female'!A:A,$C$2+$H$2,'Mortality Tarif Female'!E:E))/SUMIF('Mortality Tarif Female'!A:A,E62,'Mortality Tarif Female'!D:D)))</f>
        <v>12.891133952019581</v>
      </c>
      <c r="AA61">
        <f>IF(B61&gt;=$AF$2,0,IF($Y$2=1,(SUMIF('Mortality Tarif Male'!A:A,E62+1,'Mortality Tarif Male'!E:E)-SUMIF('Mortality Tarif Male'!A:A,$C$2+$H$2,'Mortality Tarif Male'!E:E))/SUMIF('Mortality Tarif Male'!A:A,E62+1,'Mortality Tarif Male'!D:D),(SUMIF('Mortality Tarif Female'!A:A,E62+1,'Mortality Tarif Female'!E:E)-SUMIF('Mortality Tarif Female'!A:A,$C$2+$H$2,'Mortality Tarif Female'!E:E))/SUMIF('Mortality Tarif Female'!A:A,E62+1,'Mortality Tarif Female'!D:D)))</f>
        <v>12.324821073294672</v>
      </c>
      <c r="AB61">
        <f t="shared" si="0"/>
        <v>3059.0435432833324</v>
      </c>
      <c r="AC61">
        <f>IF(B61&gt;=$AF$2,0,MIN(1/3*(V61+W61+Y61-AB61),(V61-AB61),(T61*Z61+(1-T61)*AA61)*$AH$2*Assumptions!$B$22))</f>
        <v>331.09955181128998</v>
      </c>
      <c r="AD61">
        <f t="shared" si="22"/>
        <v>8045.7083518155614</v>
      </c>
      <c r="AE61">
        <f t="shared" si="23"/>
        <v>8376.8079036268518</v>
      </c>
      <c r="AF61">
        <f t="shared" si="24"/>
        <v>8045.7083518155614</v>
      </c>
      <c r="AG61" s="26">
        <f t="shared" si="35"/>
        <v>0</v>
      </c>
      <c r="AH61" s="27">
        <f>IF(B61&gt;$AF$2,0,HLOOKUP(YEAR(A61),Assumptions!$A$34:$AL$37,4,TRUE)/100)</f>
        <v>8.2709999999999988E-3</v>
      </c>
      <c r="AI61">
        <f t="shared" si="25"/>
        <v>0</v>
      </c>
      <c r="AJ61">
        <f t="shared" si="26"/>
        <v>1.6241703759461392</v>
      </c>
      <c r="AK61">
        <f t="shared" si="27"/>
        <v>20.645196184532566</v>
      </c>
      <c r="AL61">
        <f>IF(E61&gt;Assumptions!$B$9,0,SUMPRODUCT($P$2:$X$2,Assumptions!$A$43:$I$43)/$I$2*O60*K61)</f>
        <v>4.8206456969681728</v>
      </c>
      <c r="AM61">
        <f t="shared" si="28"/>
        <v>0</v>
      </c>
      <c r="AN61">
        <f t="shared" si="29"/>
        <v>27.09001225744688</v>
      </c>
      <c r="AO61">
        <f>IF(E61&gt;Assumptions!$B$9,0,($V$2+$X$2)/$I$2*O60*K61*Assumptions!$B$46)</f>
        <v>0</v>
      </c>
      <c r="AP61">
        <f>IF(B61&gt;$AF$2,0,AP60*(1+Assumptions!$B$52)^(1/12))</f>
        <v>1.042331167450931</v>
      </c>
      <c r="AQ61" s="29">
        <f>IF(B61&gt;$AF$2,0,O60*Assumptions!$B$48/12*AP60+AR61*Assumptions!$B$50/12)</f>
        <v>13.145409956743613</v>
      </c>
      <c r="AR61" s="31">
        <f t="shared" si="30"/>
        <v>6886.6808460038937</v>
      </c>
      <c r="AS61">
        <f t="shared" si="9"/>
        <v>6902.8808546848677</v>
      </c>
      <c r="AT61">
        <f t="shared" si="31"/>
        <v>17.271253866545141</v>
      </c>
      <c r="AU61" s="19">
        <f t="shared" si="32"/>
        <v>6900.3415126943846</v>
      </c>
      <c r="AV61" s="19">
        <f t="shared" si="33"/>
        <v>6898.2892976665462</v>
      </c>
      <c r="AW61">
        <f t="shared" si="34"/>
        <v>-23.259702000861502</v>
      </c>
      <c r="AX61">
        <f>IF(B61&gt;$AF$2,0,HLOOKUP(YEAR(A61),Assumptions!$A$34:$AL$37,2,TRUE)/100)</f>
        <v>1.4271000000000001E-2</v>
      </c>
      <c r="AY61" s="32">
        <f>1/(1+HLOOKUP(YEAR(A61),Assumptions!$A$27:$AL$29,3,TRUE))^(1/12)</f>
        <v>0.99874250566702261</v>
      </c>
      <c r="AZ61" s="30">
        <f t="shared" si="10"/>
        <v>8270.6224958305465</v>
      </c>
      <c r="BA61">
        <f>IF(B61&gt;$AF$2,0,IF($E$2=0,(T61*Z61+(1-T61)*AA61)*$J$2*Assumptions!$B$20,0))</f>
        <v>0</v>
      </c>
    </row>
    <row r="62" spans="1:53" x14ac:dyDescent="0.25">
      <c r="A62" s="17">
        <f t="shared" si="11"/>
        <v>44651</v>
      </c>
      <c r="B62">
        <f t="shared" si="1"/>
        <v>281</v>
      </c>
      <c r="C62">
        <f t="shared" si="2"/>
        <v>23.333333333333332</v>
      </c>
      <c r="D62">
        <f t="shared" si="36"/>
        <v>0</v>
      </c>
      <c r="E62">
        <f t="shared" si="4"/>
        <v>46</v>
      </c>
      <c r="F62">
        <f>IF(C62&gt;=$H$2,0,VLOOKUP($E62,'Mortality Table'!$A$3:$C$128,2+AB$2,FALSE))</f>
        <v>1.0457000000000001E-3</v>
      </c>
      <c r="G62">
        <f>F62*Assumptions!$B$1</f>
        <v>1.13197025E-3</v>
      </c>
      <c r="H62">
        <f t="shared" si="12"/>
        <v>9.4379830295254763E-5</v>
      </c>
      <c r="I62">
        <f t="shared" si="37"/>
        <v>8.0853220239524256E-5</v>
      </c>
      <c r="J62">
        <f>HLOOKUP(C62,Assumptions!$A$6:$J$7,2,TRUE)</f>
        <v>3.5200000000000002E-2</v>
      </c>
      <c r="K62" s="18">
        <f t="shared" si="5"/>
        <v>1</v>
      </c>
      <c r="L62" s="18">
        <f t="shared" si="14"/>
        <v>8.3333333333333329E-2</v>
      </c>
      <c r="M62" s="18">
        <f t="shared" si="38"/>
        <v>2.9817501439168836E-3</v>
      </c>
      <c r="N62">
        <f t="shared" si="39"/>
        <v>2.5580960417229304E-3</v>
      </c>
      <c r="O62" s="20">
        <f t="shared" si="40"/>
        <v>0.85531917609404695</v>
      </c>
      <c r="P62">
        <f>IF(B62&gt;$AF$2,0,O61*($E$2+IF(E62&lt;=Assumptions!$B$9,$D$2,0))/$I$2*K62)</f>
        <v>43.94175532031695</v>
      </c>
      <c r="Q62">
        <f t="shared" si="18"/>
        <v>26.1</v>
      </c>
      <c r="R62">
        <f>IF(B62&gt;$AF$2,0,IF($Y$2=1,(SUMIF('Mortality Tarif Male'!A:A,E63,'Mortality Tarif Male'!G:G)-SUMIF('Mortality Tarif Male'!A:A,$C$2+$H$2,'Mortality Tarif Male'!G:G)+SUMIF('Mortality Tarif Male'!A:A,$C$2+$H$2,'Mortality Tarif Male'!D:D))/SUMIF('Mortality Tarif Male'!A:A,E63,'Mortality Tarif Male'!D:D),(SUMIF('Mortality Tarif Female'!A:A,E63,'Mortality Tarif Female'!G:G)-SUMIF('Mortality Tarif Female'!A:A,$C$2+$H$2,'Mortality Tarif Female'!G:G)+SUMIF('Mortality Tarif Female'!A:A,$C$2+$H$2,'Mortality Tarif Female'!D:D))/SUMIF('Mortality Tarif Female'!A:A,E63,'Mortality Tarif Female'!D:D)))</f>
        <v>0.56466476276535982</v>
      </c>
      <c r="S62">
        <f>IF(B62&gt;=$AF$2,0,IF($Y$2=1,(SUMIF('Mortality Tarif Male'!A:A,E63+1,'Mortality Tarif Male'!G:G)-SUMIF('Mortality Tarif Male'!A:A,$C$2+$H$2,'Mortality Tarif Male'!G:G)+SUMIF('Mortality Tarif Male'!A:A,$C$2+$H$2,'Mortality Tarif Male'!D:D))/SUMIF('Mortality Tarif Male'!A:A,E63+1,'Mortality Tarif Male'!D:D),(SUMIF('Mortality Tarif Female'!A:A,E63+1,'Mortality Tarif Female'!G:G)-SUMIF('Mortality Tarif Female'!A:A,$C$2+$H$2,'Mortality Tarif Female'!G:G)+SUMIF('Mortality Tarif Female'!A:A,$C$2+$H$2,'Mortality Tarif Female'!D:D))/SUMIF('Mortality Tarif Female'!A:A,E63+1,'Mortality Tarif Female'!D:D)))</f>
        <v>0.58381254110884373</v>
      </c>
      <c r="T62">
        <f t="shared" si="19"/>
        <v>0.58333333333333215</v>
      </c>
      <c r="U62">
        <f t="shared" si="20"/>
        <v>0.57264300374181143</v>
      </c>
      <c r="V62">
        <f t="shared" si="21"/>
        <v>11452.860074836228</v>
      </c>
      <c r="W62">
        <f t="shared" si="7"/>
        <v>14.945982397661279</v>
      </c>
      <c r="X62">
        <f t="shared" si="8"/>
        <v>0</v>
      </c>
      <c r="Y62">
        <f>IF(B62&gt;$AF$2,0,IF(X63=0,0,(1-X63)*($E$2+IF(E62&lt;=Assumptions!$B$9,$D$2,0))/$I$2*1/(1+$AG$2)*1/(1+Assumptions!$B$11)))</f>
        <v>0</v>
      </c>
      <c r="Z62">
        <f>IF(B62&gt;$AF$2,0,IF($Y$2=1,(SUMIF('Mortality Tarif Male'!A:A,E63,'Mortality Tarif Male'!E:E)-SUMIF('Mortality Tarif Male'!A:A,$C$2+$H$2,'Mortality Tarif Male'!E:E))/SUMIF('Mortality Tarif Male'!A:A,E63,'Mortality Tarif Male'!D:D),(SUMIF('Mortality Tarif Female'!A:A,E63,'Mortality Tarif Female'!E:E)-SUMIF('Mortality Tarif Female'!A:A,$C$2+$H$2,'Mortality Tarif Female'!E:E))/SUMIF('Mortality Tarif Female'!A:A,E63,'Mortality Tarif Female'!D:D)))</f>
        <v>12.891133952019581</v>
      </c>
      <c r="AA62">
        <f>IF(B62&gt;=$AF$2,0,IF($Y$2=1,(SUMIF('Mortality Tarif Male'!A:A,E63+1,'Mortality Tarif Male'!E:E)-SUMIF('Mortality Tarif Male'!A:A,$C$2+$H$2,'Mortality Tarif Male'!E:E))/SUMIF('Mortality Tarif Male'!A:A,E63+1,'Mortality Tarif Male'!D:D),(SUMIF('Mortality Tarif Female'!A:A,E63+1,'Mortality Tarif Female'!E:E)-SUMIF('Mortality Tarif Female'!A:A,$C$2+$H$2,'Mortality Tarif Female'!E:E))/SUMIF('Mortality Tarif Female'!A:A,E63+1,'Mortality Tarif Female'!D:D)))</f>
        <v>12.324821073294672</v>
      </c>
      <c r="AB62">
        <f t="shared" si="0"/>
        <v>3047.6783629347879</v>
      </c>
      <c r="AC62">
        <f>IF(B62&gt;=$AF$2,0,MIN(1/3*(V62+W62+Y62-AB62),(V62-AB62),(T62*Z62+(1-T62)*AA62)*$AH$2*Assumptions!$B$22))</f>
        <v>329.86942675212896</v>
      </c>
      <c r="AD62">
        <f t="shared" si="22"/>
        <v>8090.2582675469721</v>
      </c>
      <c r="AE62">
        <f t="shared" si="23"/>
        <v>8420.1276942991008</v>
      </c>
      <c r="AF62">
        <f t="shared" si="24"/>
        <v>8090.2582675469721</v>
      </c>
      <c r="AG62" s="26">
        <f t="shared" si="35"/>
        <v>0</v>
      </c>
      <c r="AH62" s="27">
        <f>IF(B62&gt;$AF$2,0,HLOOKUP(YEAR(A62),Assumptions!$A$34:$AL$37,4,TRUE)/100)</f>
        <v>8.2709999999999988E-3</v>
      </c>
      <c r="AI62">
        <f t="shared" si="25"/>
        <v>0</v>
      </c>
      <c r="AJ62">
        <f t="shared" si="26"/>
        <v>1.6191746738387367</v>
      </c>
      <c r="AK62">
        <f t="shared" si="27"/>
        <v>20.695657650728123</v>
      </c>
      <c r="AL62">
        <f>IF(E62&gt;Assumptions!$B$9,0,SUMPRODUCT($P$2:$X$2,Assumptions!$A$43:$I$43)/$I$2*O61*K62)</f>
        <v>4.8058181208566726</v>
      </c>
      <c r="AM62">
        <f t="shared" si="28"/>
        <v>0</v>
      </c>
      <c r="AN62">
        <f t="shared" si="29"/>
        <v>27.120650445423529</v>
      </c>
      <c r="AO62">
        <f>IF(E62&gt;Assumptions!$B$9,0,($V$2+$X$2)/$I$2*O61*K62*Assumptions!$B$46)</f>
        <v>0</v>
      </c>
      <c r="AP62">
        <f>IF(B62&gt;$AF$2,0,AP61*(1+Assumptions!$B$52)^(1/12))</f>
        <v>1.0431958208821024</v>
      </c>
      <c r="AQ62" s="29">
        <f>IF(B62&gt;$AF$2,0,O61*Assumptions!$B$48/12*AP61+AR62*Assumptions!$B$50/12)</f>
        <v>13.120884032356956</v>
      </c>
      <c r="AR62" s="31">
        <f t="shared" si="30"/>
        <v>6892.0334646684087</v>
      </c>
      <c r="AS62">
        <f t="shared" si="9"/>
        <v>6919.7530357863279</v>
      </c>
      <c r="AT62">
        <f t="shared" si="31"/>
        <v>17.218130105259736</v>
      </c>
      <c r="AU62" s="19">
        <f t="shared" si="32"/>
        <v>6905.6362058511086</v>
      </c>
      <c r="AV62" s="19">
        <f t="shared" si="33"/>
        <v>6915.2931666692702</v>
      </c>
      <c r="AW62">
        <f t="shared" si="34"/>
        <v>-34.953512825338592</v>
      </c>
      <c r="AX62">
        <f>IF(B62&gt;$AF$2,0,HLOOKUP(YEAR(A62),Assumptions!$A$34:$AL$37,2,TRUE)/100)</f>
        <v>1.4271000000000001E-2</v>
      </c>
      <c r="AY62" s="32">
        <f>1/(1+HLOOKUP(YEAR(A62),Assumptions!$A$27:$AL$29,3,TRUE))^(1/12)</f>
        <v>0.99874250566702261</v>
      </c>
      <c r="AZ62" s="30">
        <f t="shared" si="10"/>
        <v>8284.7360723275087</v>
      </c>
      <c r="BA62">
        <f>IF(B62&gt;$AF$2,0,IF($E$2=0,(T62*Z62+(1-T62)*AA62)*$J$2*Assumptions!$B$20,0))</f>
        <v>0</v>
      </c>
    </row>
    <row r="63" spans="1:53" x14ac:dyDescent="0.25">
      <c r="A63" s="17">
        <f t="shared" si="11"/>
        <v>44681</v>
      </c>
      <c r="B63">
        <f t="shared" si="1"/>
        <v>282</v>
      </c>
      <c r="C63">
        <f t="shared" si="2"/>
        <v>23.416666666666668</v>
      </c>
      <c r="D63">
        <f t="shared" si="36"/>
        <v>0</v>
      </c>
      <c r="E63">
        <f t="shared" si="4"/>
        <v>46</v>
      </c>
      <c r="F63">
        <f>IF(C63&gt;=$H$2,0,VLOOKUP($E63,'Mortality Table'!$A$3:$C$128,2+AB$2,FALSE))</f>
        <v>1.0457000000000001E-3</v>
      </c>
      <c r="G63">
        <f>F63*Assumptions!$B$1</f>
        <v>1.13197025E-3</v>
      </c>
      <c r="H63">
        <f t="shared" si="12"/>
        <v>9.4379830295254763E-5</v>
      </c>
      <c r="I63">
        <f t="shared" si="37"/>
        <v>8.060452797871041E-5</v>
      </c>
      <c r="J63">
        <f>HLOOKUP(C63,Assumptions!$A$6:$J$7,2,TRUE)</f>
        <v>3.5200000000000002E-2</v>
      </c>
      <c r="K63" s="18">
        <f t="shared" si="5"/>
        <v>1</v>
      </c>
      <c r="L63" s="18">
        <f t="shared" si="14"/>
        <v>8.3333333333333329E-2</v>
      </c>
      <c r="M63" s="18">
        <f t="shared" si="38"/>
        <v>2.9817501439168836E-3</v>
      </c>
      <c r="N63">
        <f t="shared" si="39"/>
        <v>2.5502277257039721E-3</v>
      </c>
      <c r="O63" s="20">
        <f t="shared" si="40"/>
        <v>0.85268834384036418</v>
      </c>
      <c r="P63">
        <f>IF(B63&gt;$AF$2,0,O62*($E$2+IF(E63&lt;=Assumptions!$B$9,$D$2,0))/$I$2*K63)</f>
        <v>43.806597135616762</v>
      </c>
      <c r="Q63">
        <f t="shared" si="18"/>
        <v>26.1</v>
      </c>
      <c r="R63">
        <f>IF(B63&gt;$AF$2,0,IF($Y$2=1,(SUMIF('Mortality Tarif Male'!A:A,E64,'Mortality Tarif Male'!G:G)-SUMIF('Mortality Tarif Male'!A:A,$C$2+$H$2,'Mortality Tarif Male'!G:G)+SUMIF('Mortality Tarif Male'!A:A,$C$2+$H$2,'Mortality Tarif Male'!D:D))/SUMIF('Mortality Tarif Male'!A:A,E64,'Mortality Tarif Male'!D:D),(SUMIF('Mortality Tarif Female'!A:A,E64,'Mortality Tarif Female'!G:G)-SUMIF('Mortality Tarif Female'!A:A,$C$2+$H$2,'Mortality Tarif Female'!G:G)+SUMIF('Mortality Tarif Female'!A:A,$C$2+$H$2,'Mortality Tarif Female'!D:D))/SUMIF('Mortality Tarif Female'!A:A,E64,'Mortality Tarif Female'!D:D)))</f>
        <v>0.56466476276535982</v>
      </c>
      <c r="S63">
        <f>IF(B63&gt;=$AF$2,0,IF($Y$2=1,(SUMIF('Mortality Tarif Male'!A:A,E64+1,'Mortality Tarif Male'!G:G)-SUMIF('Mortality Tarif Male'!A:A,$C$2+$H$2,'Mortality Tarif Male'!G:G)+SUMIF('Mortality Tarif Male'!A:A,$C$2+$H$2,'Mortality Tarif Male'!D:D))/SUMIF('Mortality Tarif Male'!A:A,E64+1,'Mortality Tarif Male'!D:D),(SUMIF('Mortality Tarif Female'!A:A,E64+1,'Mortality Tarif Female'!G:G)-SUMIF('Mortality Tarif Female'!A:A,$C$2+$H$2,'Mortality Tarif Female'!G:G)+SUMIF('Mortality Tarif Female'!A:A,$C$2+$H$2,'Mortality Tarif Female'!D:D))/SUMIF('Mortality Tarif Female'!A:A,E64+1,'Mortality Tarif Female'!D:D)))</f>
        <v>0.58381254110884373</v>
      </c>
      <c r="T63">
        <f t="shared" si="19"/>
        <v>0.5</v>
      </c>
      <c r="U63">
        <f t="shared" si="20"/>
        <v>0.57423865193710177</v>
      </c>
      <c r="V63">
        <f t="shared" si="21"/>
        <v>11484.773038742036</v>
      </c>
      <c r="W63">
        <f t="shared" si="7"/>
        <v>14.987628815558358</v>
      </c>
      <c r="X63">
        <f t="shared" si="8"/>
        <v>0</v>
      </c>
      <c r="Y63">
        <f>IF(B63&gt;$AF$2,0,IF(X64=0,0,(1-X64)*($E$2+IF(E63&lt;=Assumptions!$B$9,$D$2,0))/$I$2*1/(1+$AG$2)*1/(1+Assumptions!$B$11)))</f>
        <v>0</v>
      </c>
      <c r="Z63">
        <f>IF(B63&gt;$AF$2,0,IF($Y$2=1,(SUMIF('Mortality Tarif Male'!A:A,E64,'Mortality Tarif Male'!E:E)-SUMIF('Mortality Tarif Male'!A:A,$C$2+$H$2,'Mortality Tarif Male'!E:E))/SUMIF('Mortality Tarif Male'!A:A,E64,'Mortality Tarif Male'!D:D),(SUMIF('Mortality Tarif Female'!A:A,E64,'Mortality Tarif Female'!E:E)-SUMIF('Mortality Tarif Female'!A:A,$C$2+$H$2,'Mortality Tarif Female'!E:E))/SUMIF('Mortality Tarif Female'!A:A,E64,'Mortality Tarif Female'!D:D)))</f>
        <v>12.891133952019581</v>
      </c>
      <c r="AA63">
        <f>IF(B63&gt;=$AF$2,0,IF($Y$2=1,(SUMIF('Mortality Tarif Male'!A:A,E64+1,'Mortality Tarif Male'!E:E)-SUMIF('Mortality Tarif Male'!A:A,$C$2+$H$2,'Mortality Tarif Male'!E:E))/SUMIF('Mortality Tarif Male'!A:A,E64+1,'Mortality Tarif Male'!D:D),(SUMIF('Mortality Tarif Female'!A:A,E64+1,'Mortality Tarif Female'!E:E)-SUMIF('Mortality Tarif Female'!A:A,$C$2+$H$2,'Mortality Tarif Female'!E:E))/SUMIF('Mortality Tarif Female'!A:A,E64+1,'Mortality Tarif Female'!D:D)))</f>
        <v>12.324821073294672</v>
      </c>
      <c r="AB63">
        <f t="shared" si="0"/>
        <v>3036.3131825862442</v>
      </c>
      <c r="AC63">
        <f>IF(B63&gt;=$AF$2,0,MIN(1/3*(V63+W63+Y63-AB63),(V63-AB63),(T63*Z63+(1-T63)*AA63)*$AH$2*Assumptions!$B$22))</f>
        <v>328.63930169296799</v>
      </c>
      <c r="AD63">
        <f t="shared" si="22"/>
        <v>8134.8081832783837</v>
      </c>
      <c r="AE63">
        <f t="shared" si="23"/>
        <v>8463.4474849713515</v>
      </c>
      <c r="AF63">
        <f t="shared" si="24"/>
        <v>8134.8081832783837</v>
      </c>
      <c r="AG63" s="26">
        <f t="shared" si="35"/>
        <v>0</v>
      </c>
      <c r="AH63" s="27">
        <f>IF(B63&gt;$AF$2,0,HLOOKUP(YEAR(A63),Assumptions!$A$34:$AL$37,4,TRUE)/100)</f>
        <v>8.2709999999999988E-3</v>
      </c>
      <c r="AI63">
        <f t="shared" si="25"/>
        <v>0</v>
      </c>
      <c r="AJ63">
        <f t="shared" si="26"/>
        <v>1.6141943377544525</v>
      </c>
      <c r="AK63">
        <f t="shared" si="27"/>
        <v>20.745613372280094</v>
      </c>
      <c r="AL63">
        <f>IF(E63&gt;Assumptions!$B$9,0,SUMPRODUCT($P$2:$X$2,Assumptions!$A$43:$I$43)/$I$2*O62*K63)</f>
        <v>4.7910361521237599</v>
      </c>
      <c r="AM63">
        <f t="shared" si="28"/>
        <v>0</v>
      </c>
      <c r="AN63">
        <f t="shared" si="29"/>
        <v>27.150843862158304</v>
      </c>
      <c r="AO63">
        <f>IF(E63&gt;Assumptions!$B$9,0,($V$2+$X$2)/$I$2*O62*K63*Assumptions!$B$46)</f>
        <v>0</v>
      </c>
      <c r="AP63">
        <f>IF(B63&gt;$AF$2,0,AP62*(1+Assumptions!$B$52)^(1/12))</f>
        <v>1.0440611915762508</v>
      </c>
      <c r="AQ63" s="29">
        <f>IF(B63&gt;$AF$2,0,O62*Assumptions!$B$48/12*AP62+AR63*Assumptions!$B$50/12)</f>
        <v>13.096364835931698</v>
      </c>
      <c r="AR63" s="31">
        <f t="shared" si="30"/>
        <v>6897.1736565534848</v>
      </c>
      <c r="AS63">
        <f t="shared" si="9"/>
        <v>6936.4561172586864</v>
      </c>
      <c r="AT63">
        <f t="shared" si="31"/>
        <v>17.165169744618829</v>
      </c>
      <c r="AU63" s="19">
        <f t="shared" si="32"/>
        <v>6910.7187191085504</v>
      </c>
      <c r="AV63" s="19">
        <f t="shared" si="33"/>
        <v>6932.1271693788231</v>
      </c>
      <c r="AW63">
        <f t="shared" si="34"/>
        <v>-46.689647166507946</v>
      </c>
      <c r="AX63">
        <f>IF(B63&gt;$AF$2,0,HLOOKUP(YEAR(A63),Assumptions!$A$34:$AL$37,2,TRUE)/100)</f>
        <v>1.4271000000000001E-2</v>
      </c>
      <c r="AY63" s="32">
        <f>1/(1+HLOOKUP(YEAR(A63),Assumptions!$A$27:$AL$29,3,TRUE))^(1/12)</f>
        <v>0.99874250566702261</v>
      </c>
      <c r="AZ63" s="30">
        <f t="shared" si="10"/>
        <v>8298.7265865077079</v>
      </c>
      <c r="BA63">
        <f>IF(B63&gt;$AF$2,0,IF($E$2=0,(T63*Z63+(1-T63)*AA63)*$J$2*Assumptions!$B$20,0))</f>
        <v>0</v>
      </c>
    </row>
    <row r="64" spans="1:53" x14ac:dyDescent="0.25">
      <c r="A64" s="17">
        <f t="shared" si="11"/>
        <v>44712</v>
      </c>
      <c r="B64">
        <f t="shared" si="1"/>
        <v>283</v>
      </c>
      <c r="C64">
        <f t="shared" si="2"/>
        <v>23.5</v>
      </c>
      <c r="D64">
        <f t="shared" si="36"/>
        <v>0</v>
      </c>
      <c r="E64">
        <f t="shared" si="4"/>
        <v>46</v>
      </c>
      <c r="F64">
        <f>IF(C64&gt;=$H$2,0,VLOOKUP($E64,'Mortality Table'!$A$3:$C$128,2+AB$2,FALSE))</f>
        <v>1.0457000000000001E-3</v>
      </c>
      <c r="G64">
        <f>F64*Assumptions!$B$1</f>
        <v>1.13197025E-3</v>
      </c>
      <c r="H64">
        <f t="shared" si="12"/>
        <v>9.4379830295254763E-5</v>
      </c>
      <c r="I64">
        <f t="shared" si="37"/>
        <v>8.0356600657628183E-5</v>
      </c>
      <c r="J64">
        <f>HLOOKUP(C64,Assumptions!$A$6:$J$7,2,TRUE)</f>
        <v>3.5200000000000002E-2</v>
      </c>
      <c r="K64" s="18">
        <f t="shared" si="5"/>
        <v>1</v>
      </c>
      <c r="L64" s="18">
        <f t="shared" si="14"/>
        <v>8.3333333333333329E-2</v>
      </c>
      <c r="M64" s="18">
        <f t="shared" si="38"/>
        <v>2.9817501439168836E-3</v>
      </c>
      <c r="N64">
        <f t="shared" si="39"/>
        <v>2.5423836114334877E-3</v>
      </c>
      <c r="O64" s="20">
        <f t="shared" si="40"/>
        <v>0.8500656036282731</v>
      </c>
      <c r="P64">
        <f>IF(B64&gt;$AF$2,0,O63*($E$2+IF(E64&lt;=Assumptions!$B$9,$D$2,0))/$I$2*K64)</f>
        <v>43.67185467702398</v>
      </c>
      <c r="Q64">
        <f t="shared" si="18"/>
        <v>26.1</v>
      </c>
      <c r="R64">
        <f>IF(B64&gt;$AF$2,0,IF($Y$2=1,(SUMIF('Mortality Tarif Male'!A:A,E65,'Mortality Tarif Male'!G:G)-SUMIF('Mortality Tarif Male'!A:A,$C$2+$H$2,'Mortality Tarif Male'!G:G)+SUMIF('Mortality Tarif Male'!A:A,$C$2+$H$2,'Mortality Tarif Male'!D:D))/SUMIF('Mortality Tarif Male'!A:A,E65,'Mortality Tarif Male'!D:D),(SUMIF('Mortality Tarif Female'!A:A,E65,'Mortality Tarif Female'!G:G)-SUMIF('Mortality Tarif Female'!A:A,$C$2+$H$2,'Mortality Tarif Female'!G:G)+SUMIF('Mortality Tarif Female'!A:A,$C$2+$H$2,'Mortality Tarif Female'!D:D))/SUMIF('Mortality Tarif Female'!A:A,E65,'Mortality Tarif Female'!D:D)))</f>
        <v>0.56466476276535982</v>
      </c>
      <c r="S64">
        <f>IF(B64&gt;=$AF$2,0,IF($Y$2=1,(SUMIF('Mortality Tarif Male'!A:A,E65+1,'Mortality Tarif Male'!G:G)-SUMIF('Mortality Tarif Male'!A:A,$C$2+$H$2,'Mortality Tarif Male'!G:G)+SUMIF('Mortality Tarif Male'!A:A,$C$2+$H$2,'Mortality Tarif Male'!D:D))/SUMIF('Mortality Tarif Male'!A:A,E65+1,'Mortality Tarif Male'!D:D),(SUMIF('Mortality Tarif Female'!A:A,E65+1,'Mortality Tarif Female'!G:G)-SUMIF('Mortality Tarif Female'!A:A,$C$2+$H$2,'Mortality Tarif Female'!G:G)+SUMIF('Mortality Tarif Female'!A:A,$C$2+$H$2,'Mortality Tarif Female'!D:D))/SUMIF('Mortality Tarif Female'!A:A,E65+1,'Mortality Tarif Female'!D:D)))</f>
        <v>0.58381254110884373</v>
      </c>
      <c r="T64">
        <f t="shared" si="19"/>
        <v>0.41666666666666785</v>
      </c>
      <c r="U64">
        <f t="shared" si="20"/>
        <v>0.57583430013239212</v>
      </c>
      <c r="V64">
        <f t="shared" si="21"/>
        <v>11516.686002647843</v>
      </c>
      <c r="W64">
        <f t="shared" si="7"/>
        <v>15.029275233455435</v>
      </c>
      <c r="X64">
        <f t="shared" si="8"/>
        <v>0</v>
      </c>
      <c r="Y64">
        <f>IF(B64&gt;$AF$2,0,IF(X65=0,0,(1-X65)*($E$2+IF(E64&lt;=Assumptions!$B$9,$D$2,0))/$I$2*1/(1+$AG$2)*1/(1+Assumptions!$B$11)))</f>
        <v>0</v>
      </c>
      <c r="Z64">
        <f>IF(B64&gt;$AF$2,0,IF($Y$2=1,(SUMIF('Mortality Tarif Male'!A:A,E65,'Mortality Tarif Male'!E:E)-SUMIF('Mortality Tarif Male'!A:A,$C$2+$H$2,'Mortality Tarif Male'!E:E))/SUMIF('Mortality Tarif Male'!A:A,E65,'Mortality Tarif Male'!D:D),(SUMIF('Mortality Tarif Female'!A:A,E65,'Mortality Tarif Female'!E:E)-SUMIF('Mortality Tarif Female'!A:A,$C$2+$H$2,'Mortality Tarif Female'!E:E))/SUMIF('Mortality Tarif Female'!A:A,E65,'Mortality Tarif Female'!D:D)))</f>
        <v>12.891133952019581</v>
      </c>
      <c r="AA64">
        <f>IF(B64&gt;=$AF$2,0,IF($Y$2=1,(SUMIF('Mortality Tarif Male'!A:A,E65+1,'Mortality Tarif Male'!E:E)-SUMIF('Mortality Tarif Male'!A:A,$C$2+$H$2,'Mortality Tarif Male'!E:E))/SUMIF('Mortality Tarif Male'!A:A,E65+1,'Mortality Tarif Male'!D:D),(SUMIF('Mortality Tarif Female'!A:A,E65+1,'Mortality Tarif Female'!E:E)-SUMIF('Mortality Tarif Female'!A:A,$C$2+$H$2,'Mortality Tarif Female'!E:E))/SUMIF('Mortality Tarif Female'!A:A,E65+1,'Mortality Tarif Female'!D:D)))</f>
        <v>12.324821073294672</v>
      </c>
      <c r="AB64">
        <f t="shared" si="0"/>
        <v>3024.9480022377006</v>
      </c>
      <c r="AC64">
        <f>IF(B64&gt;=$AF$2,0,MIN(1/3*(V64+W64+Y64-AB64),(V64-AB64),(T64*Z64+(1-T64)*AA64)*$AH$2*Assumptions!$B$22))</f>
        <v>327.40917663380702</v>
      </c>
      <c r="AD64">
        <f t="shared" si="22"/>
        <v>8179.3580990097898</v>
      </c>
      <c r="AE64">
        <f t="shared" si="23"/>
        <v>8506.7672756435968</v>
      </c>
      <c r="AF64">
        <f t="shared" si="24"/>
        <v>8179.3580990097898</v>
      </c>
      <c r="AG64" s="26">
        <f t="shared" si="35"/>
        <v>0</v>
      </c>
      <c r="AH64" s="27">
        <f>IF(B64&gt;$AF$2,0,HLOOKUP(YEAR(A64),Assumptions!$A$34:$AL$37,4,TRUE)/100)</f>
        <v>8.2709999999999988E-3</v>
      </c>
      <c r="AI64">
        <f t="shared" si="25"/>
        <v>0</v>
      </c>
      <c r="AJ64">
        <f t="shared" si="26"/>
        <v>1.6092293204297277</v>
      </c>
      <c r="AK64">
        <f t="shared" si="27"/>
        <v>20.795065982968257</v>
      </c>
      <c r="AL64">
        <f>IF(E64&gt;Assumptions!$B$9,0,SUMPRODUCT($P$2:$X$2,Assumptions!$A$43:$I$43)/$I$2*O63*K64)</f>
        <v>4.7762996504880455</v>
      </c>
      <c r="AM64">
        <f t="shared" si="28"/>
        <v>0</v>
      </c>
      <c r="AN64">
        <f t="shared" si="29"/>
        <v>27.180594953886029</v>
      </c>
      <c r="AO64">
        <f>IF(E64&gt;Assumptions!$B$9,0,($V$2+$X$2)/$I$2*O63*K64*Assumptions!$B$46)</f>
        <v>0</v>
      </c>
      <c r="AP64">
        <f>IF(B64&gt;$AF$2,0,AP63*(1+Assumptions!$B$52)^(1/12))</f>
        <v>1.0449272801283729</v>
      </c>
      <c r="AQ64" s="29">
        <f>IF(B64&gt;$AF$2,0,O63*Assumptions!$B$48/12*AP63+AR64*Assumptions!$B$50/12)</f>
        <v>13.071852507812894</v>
      </c>
      <c r="AR64" s="31">
        <f t="shared" si="30"/>
        <v>6902.1025427237173</v>
      </c>
      <c r="AS64">
        <f t="shared" si="9"/>
        <v>6952.9909797265618</v>
      </c>
      <c r="AT64">
        <f t="shared" si="31"/>
        <v>17.112372282026787</v>
      </c>
      <c r="AU64" s="19">
        <f t="shared" si="32"/>
        <v>6915.5901726109023</v>
      </c>
      <c r="AV64" s="19">
        <f t="shared" si="33"/>
        <v>6948.792189890225</v>
      </c>
      <c r="AW64">
        <f t="shared" si="34"/>
        <v>-58.467869269444051</v>
      </c>
      <c r="AX64">
        <f>IF(B64&gt;$AF$2,0,HLOOKUP(YEAR(A64),Assumptions!$A$34:$AL$37,2,TRUE)/100)</f>
        <v>1.4271000000000001E-2</v>
      </c>
      <c r="AY64" s="32">
        <f>1/(1+HLOOKUP(YEAR(A64),Assumptions!$A$27:$AL$29,3,TRUE))^(1/12)</f>
        <v>0.99874250566702261</v>
      </c>
      <c r="AZ64" s="30">
        <f t="shared" si="10"/>
        <v>8312.5947346089451</v>
      </c>
      <c r="BA64">
        <f>IF(B64&gt;$AF$2,0,IF($E$2=0,(T64*Z64+(1-T64)*AA64)*$J$2*Assumptions!$B$20,0))</f>
        <v>0</v>
      </c>
    </row>
    <row r="65" spans="1:53" x14ac:dyDescent="0.25">
      <c r="A65" s="17">
        <f t="shared" si="11"/>
        <v>44742</v>
      </c>
      <c r="B65">
        <f t="shared" si="1"/>
        <v>284</v>
      </c>
      <c r="C65">
        <f t="shared" si="2"/>
        <v>23.583333333333332</v>
      </c>
      <c r="D65">
        <f t="shared" si="36"/>
        <v>0</v>
      </c>
      <c r="E65">
        <f t="shared" si="4"/>
        <v>46</v>
      </c>
      <c r="F65">
        <f>IF(C65&gt;=$H$2,0,VLOOKUP($E65,'Mortality Table'!$A$3:$C$128,2+AB$2,FALSE))</f>
        <v>1.0457000000000001E-3</v>
      </c>
      <c r="G65">
        <f>F65*Assumptions!$B$1</f>
        <v>1.13197025E-3</v>
      </c>
      <c r="H65">
        <f t="shared" si="12"/>
        <v>9.4379830295254763E-5</v>
      </c>
      <c r="I65">
        <f t="shared" si="37"/>
        <v>8.0109435923438773E-5</v>
      </c>
      <c r="J65">
        <f>HLOOKUP(C65,Assumptions!$A$6:$J$7,2,TRUE)</f>
        <v>3.5200000000000002E-2</v>
      </c>
      <c r="K65" s="18">
        <f t="shared" si="5"/>
        <v>1</v>
      </c>
      <c r="L65" s="18">
        <f t="shared" si="14"/>
        <v>8.3333333333333329E-2</v>
      </c>
      <c r="M65" s="18">
        <f t="shared" si="38"/>
        <v>2.9817501439168836E-3</v>
      </c>
      <c r="N65">
        <f t="shared" si="39"/>
        <v>2.5345636244705648E-3</v>
      </c>
      <c r="O65" s="20">
        <f t="shared" si="40"/>
        <v>0.84745093056787912</v>
      </c>
      <c r="P65">
        <f>IF(B65&gt;$AF$2,0,O64*($E$2+IF(E65&lt;=Assumptions!$B$9,$D$2,0))/$I$2*K65)</f>
        <v>43.537526665828047</v>
      </c>
      <c r="Q65">
        <f t="shared" si="18"/>
        <v>26.1</v>
      </c>
      <c r="R65">
        <f>IF(B65&gt;$AF$2,0,IF($Y$2=1,(SUMIF('Mortality Tarif Male'!A:A,E66,'Mortality Tarif Male'!G:G)-SUMIF('Mortality Tarif Male'!A:A,$C$2+$H$2,'Mortality Tarif Male'!G:G)+SUMIF('Mortality Tarif Male'!A:A,$C$2+$H$2,'Mortality Tarif Male'!D:D))/SUMIF('Mortality Tarif Male'!A:A,E66,'Mortality Tarif Male'!D:D),(SUMIF('Mortality Tarif Female'!A:A,E66,'Mortality Tarif Female'!G:G)-SUMIF('Mortality Tarif Female'!A:A,$C$2+$H$2,'Mortality Tarif Female'!G:G)+SUMIF('Mortality Tarif Female'!A:A,$C$2+$H$2,'Mortality Tarif Female'!D:D))/SUMIF('Mortality Tarif Female'!A:A,E66,'Mortality Tarif Female'!D:D)))</f>
        <v>0.56466476276535982</v>
      </c>
      <c r="S65">
        <f>IF(B65&gt;=$AF$2,0,IF($Y$2=1,(SUMIF('Mortality Tarif Male'!A:A,E66+1,'Mortality Tarif Male'!G:G)-SUMIF('Mortality Tarif Male'!A:A,$C$2+$H$2,'Mortality Tarif Male'!G:G)+SUMIF('Mortality Tarif Male'!A:A,$C$2+$H$2,'Mortality Tarif Male'!D:D))/SUMIF('Mortality Tarif Male'!A:A,E66+1,'Mortality Tarif Male'!D:D),(SUMIF('Mortality Tarif Female'!A:A,E66+1,'Mortality Tarif Female'!G:G)-SUMIF('Mortality Tarif Female'!A:A,$C$2+$H$2,'Mortality Tarif Female'!G:G)+SUMIF('Mortality Tarif Female'!A:A,$C$2+$H$2,'Mortality Tarif Female'!D:D))/SUMIF('Mortality Tarif Female'!A:A,E66+1,'Mortality Tarif Female'!D:D)))</f>
        <v>0.58381254110884373</v>
      </c>
      <c r="T65">
        <f t="shared" si="19"/>
        <v>0.33333333333333215</v>
      </c>
      <c r="U65">
        <f t="shared" si="20"/>
        <v>0.57742994832768246</v>
      </c>
      <c r="V65">
        <f t="shared" si="21"/>
        <v>11548.598966553649</v>
      </c>
      <c r="W65">
        <f t="shared" si="7"/>
        <v>15.070921651352513</v>
      </c>
      <c r="X65">
        <f t="shared" si="8"/>
        <v>0</v>
      </c>
      <c r="Y65">
        <f>IF(B65&gt;$AF$2,0,IF(X66=0,0,(1-X66)*($E$2+IF(E65&lt;=Assumptions!$B$9,$D$2,0))/$I$2*1/(1+$AG$2)*1/(1+Assumptions!$B$11)))</f>
        <v>0</v>
      </c>
      <c r="Z65">
        <f>IF(B65&gt;$AF$2,0,IF($Y$2=1,(SUMIF('Mortality Tarif Male'!A:A,E66,'Mortality Tarif Male'!E:E)-SUMIF('Mortality Tarif Male'!A:A,$C$2+$H$2,'Mortality Tarif Male'!E:E))/SUMIF('Mortality Tarif Male'!A:A,E66,'Mortality Tarif Male'!D:D),(SUMIF('Mortality Tarif Female'!A:A,E66,'Mortality Tarif Female'!E:E)-SUMIF('Mortality Tarif Female'!A:A,$C$2+$H$2,'Mortality Tarif Female'!E:E))/SUMIF('Mortality Tarif Female'!A:A,E66,'Mortality Tarif Female'!D:D)))</f>
        <v>12.891133952019581</v>
      </c>
      <c r="AA65">
        <f>IF(B65&gt;=$AF$2,0,IF($Y$2=1,(SUMIF('Mortality Tarif Male'!A:A,E66+1,'Mortality Tarif Male'!E:E)-SUMIF('Mortality Tarif Male'!A:A,$C$2+$H$2,'Mortality Tarif Male'!E:E))/SUMIF('Mortality Tarif Male'!A:A,E66+1,'Mortality Tarif Male'!D:D),(SUMIF('Mortality Tarif Female'!A:A,E66+1,'Mortality Tarif Female'!E:E)-SUMIF('Mortality Tarif Female'!A:A,$C$2+$H$2,'Mortality Tarif Female'!E:E))/SUMIF('Mortality Tarif Female'!A:A,E66+1,'Mortality Tarif Female'!D:D)))</f>
        <v>12.324821073294672</v>
      </c>
      <c r="AB65">
        <f t="shared" si="0"/>
        <v>3013.582821889157</v>
      </c>
      <c r="AC65">
        <f>IF(B65&gt;=$AF$2,0,MIN(1/3*(V65+W65+Y65-AB65),(V65-AB65),(T65*Z65+(1-T65)*AA65)*$AH$2*Assumptions!$B$22))</f>
        <v>326.17905157464611</v>
      </c>
      <c r="AD65">
        <f t="shared" si="22"/>
        <v>8223.9080147411987</v>
      </c>
      <c r="AE65">
        <f t="shared" si="23"/>
        <v>8550.0870663158457</v>
      </c>
      <c r="AF65">
        <f t="shared" si="24"/>
        <v>8223.9080147411987</v>
      </c>
      <c r="AG65" s="26">
        <f t="shared" si="35"/>
        <v>0</v>
      </c>
      <c r="AH65" s="27">
        <f>IF(B65&gt;$AF$2,0,HLOOKUP(YEAR(A65),Assumptions!$A$34:$AL$37,4,TRUE)/100)</f>
        <v>8.2709999999999988E-3</v>
      </c>
      <c r="AI65">
        <f t="shared" si="25"/>
        <v>0</v>
      </c>
      <c r="AJ65">
        <f t="shared" si="26"/>
        <v>1.6042795747463772</v>
      </c>
      <c r="AK65">
        <f t="shared" si="27"/>
        <v>20.84401810515498</v>
      </c>
      <c r="AL65">
        <f>IF(E65&gt;Assumptions!$B$9,0,SUMPRODUCT($P$2:$X$2,Assumptions!$A$43:$I$43)/$I$2*O64*K65)</f>
        <v>4.7616084760996262</v>
      </c>
      <c r="AM65">
        <f t="shared" si="28"/>
        <v>0</v>
      </c>
      <c r="AN65">
        <f t="shared" si="29"/>
        <v>27.209906156000983</v>
      </c>
      <c r="AO65">
        <f>IF(E65&gt;Assumptions!$B$9,0,($V$2+$X$2)/$I$2*O64*K65*Assumptions!$B$46)</f>
        <v>0</v>
      </c>
      <c r="AP65">
        <f>IF(B65&gt;$AF$2,0,AP64*(1+Assumptions!$B$52)^(1/12))</f>
        <v>1.0457940871339595</v>
      </c>
      <c r="AQ65" s="29">
        <f>IF(B65&gt;$AF$2,0,O64*Assumptions!$B$48/12*AP64+AR65*Assumptions!$B$50/12)</f>
        <v>13.047347187419726</v>
      </c>
      <c r="AR65" s="31">
        <f t="shared" si="30"/>
        <v>6906.8212391974521</v>
      </c>
      <c r="AS65">
        <f t="shared" si="9"/>
        <v>6969.3584999970681</v>
      </c>
      <c r="AT65">
        <f t="shared" si="31"/>
        <v>17.059737216433881</v>
      </c>
      <c r="AU65" s="19">
        <f t="shared" si="32"/>
        <v>6920.2516814594273</v>
      </c>
      <c r="AV65" s="19">
        <f t="shared" si="33"/>
        <v>6965.2891084668963</v>
      </c>
      <c r="AW65">
        <f t="shared" si="34"/>
        <v>-70.287944588830172</v>
      </c>
      <c r="AX65">
        <f>IF(B65&gt;$AF$2,0,HLOOKUP(YEAR(A65),Assumptions!$A$34:$AL$37,2,TRUE)/100)</f>
        <v>1.4271000000000001E-2</v>
      </c>
      <c r="AY65" s="32">
        <f>1/(1+HLOOKUP(YEAR(A65),Assumptions!$A$27:$AL$29,3,TRUE))^(1/12)</f>
        <v>0.99874250566702261</v>
      </c>
      <c r="AZ65" s="30">
        <f t="shared" si="10"/>
        <v>8326.3412098921162</v>
      </c>
      <c r="BA65">
        <f>IF(B65&gt;$AF$2,0,IF($E$2=0,(T65*Z65+(1-T65)*AA65)*$J$2*Assumptions!$B$20,0))</f>
        <v>0</v>
      </c>
    </row>
    <row r="66" spans="1:53" x14ac:dyDescent="0.25">
      <c r="A66" s="17">
        <f t="shared" si="11"/>
        <v>44773</v>
      </c>
      <c r="B66">
        <f t="shared" si="1"/>
        <v>285</v>
      </c>
      <c r="C66">
        <f t="shared" si="2"/>
        <v>23.666666666666668</v>
      </c>
      <c r="D66">
        <f t="shared" si="36"/>
        <v>0</v>
      </c>
      <c r="E66">
        <f t="shared" si="4"/>
        <v>46</v>
      </c>
      <c r="F66">
        <f>IF(C66&gt;=$H$2,0,VLOOKUP($E66,'Mortality Table'!$A$3:$C$128,2+AB$2,FALSE))</f>
        <v>1.0457000000000001E-3</v>
      </c>
      <c r="G66">
        <f>F66*Assumptions!$B$1</f>
        <v>1.13197025E-3</v>
      </c>
      <c r="H66">
        <f t="shared" si="12"/>
        <v>9.4379830295254763E-5</v>
      </c>
      <c r="I66">
        <f t="shared" si="37"/>
        <v>7.9863031430540398E-5</v>
      </c>
      <c r="J66">
        <f>HLOOKUP(C66,Assumptions!$A$6:$J$7,2,TRUE)</f>
        <v>3.5200000000000002E-2</v>
      </c>
      <c r="K66" s="18">
        <f t="shared" si="5"/>
        <v>1</v>
      </c>
      <c r="L66" s="18">
        <f t="shared" si="14"/>
        <v>8.3333333333333329E-2</v>
      </c>
      <c r="M66" s="18">
        <f t="shared" si="38"/>
        <v>2.9817501439168836E-3</v>
      </c>
      <c r="N66">
        <f t="shared" si="39"/>
        <v>2.5267676906032587E-3</v>
      </c>
      <c r="O66" s="20">
        <f t="shared" si="40"/>
        <v>0.8448442998458453</v>
      </c>
      <c r="P66">
        <f>IF(B66&gt;$AF$2,0,O65*($E$2+IF(E66&lt;=Assumptions!$B$9,$D$2,0))/$I$2*K66)</f>
        <v>43.403611827251531</v>
      </c>
      <c r="Q66">
        <f t="shared" si="18"/>
        <v>26.1</v>
      </c>
      <c r="R66">
        <f>IF(B66&gt;$AF$2,0,IF($Y$2=1,(SUMIF('Mortality Tarif Male'!A:A,E67,'Mortality Tarif Male'!G:G)-SUMIF('Mortality Tarif Male'!A:A,$C$2+$H$2,'Mortality Tarif Male'!G:G)+SUMIF('Mortality Tarif Male'!A:A,$C$2+$H$2,'Mortality Tarif Male'!D:D))/SUMIF('Mortality Tarif Male'!A:A,E67,'Mortality Tarif Male'!D:D),(SUMIF('Mortality Tarif Female'!A:A,E67,'Mortality Tarif Female'!G:G)-SUMIF('Mortality Tarif Female'!A:A,$C$2+$H$2,'Mortality Tarif Female'!G:G)+SUMIF('Mortality Tarif Female'!A:A,$C$2+$H$2,'Mortality Tarif Female'!D:D))/SUMIF('Mortality Tarif Female'!A:A,E67,'Mortality Tarif Female'!D:D)))</f>
        <v>0.56466476276535982</v>
      </c>
      <c r="S66">
        <f>IF(B66&gt;=$AF$2,0,IF($Y$2=1,(SUMIF('Mortality Tarif Male'!A:A,E67+1,'Mortality Tarif Male'!G:G)-SUMIF('Mortality Tarif Male'!A:A,$C$2+$H$2,'Mortality Tarif Male'!G:G)+SUMIF('Mortality Tarif Male'!A:A,$C$2+$H$2,'Mortality Tarif Male'!D:D))/SUMIF('Mortality Tarif Male'!A:A,E67+1,'Mortality Tarif Male'!D:D),(SUMIF('Mortality Tarif Female'!A:A,E67+1,'Mortality Tarif Female'!G:G)-SUMIF('Mortality Tarif Female'!A:A,$C$2+$H$2,'Mortality Tarif Female'!G:G)+SUMIF('Mortality Tarif Female'!A:A,$C$2+$H$2,'Mortality Tarif Female'!D:D))/SUMIF('Mortality Tarif Female'!A:A,E67+1,'Mortality Tarif Female'!D:D)))</f>
        <v>0.58381254110884373</v>
      </c>
      <c r="T66">
        <f t="shared" si="19"/>
        <v>0.25</v>
      </c>
      <c r="U66">
        <f t="shared" si="20"/>
        <v>0.5790255965229727</v>
      </c>
      <c r="V66">
        <f t="shared" si="21"/>
        <v>11580.511930459454</v>
      </c>
      <c r="W66">
        <f t="shared" si="7"/>
        <v>15.112568069249589</v>
      </c>
      <c r="X66">
        <f t="shared" si="8"/>
        <v>0</v>
      </c>
      <c r="Y66">
        <f>IF(B66&gt;$AF$2,0,IF(X67=0,0,(1-X67)*($E$2+IF(E66&lt;=Assumptions!$B$9,$D$2,0))/$I$2*1/(1+$AG$2)*1/(1+Assumptions!$B$11)))</f>
        <v>0</v>
      </c>
      <c r="Z66">
        <f>IF(B66&gt;$AF$2,0,IF($Y$2=1,(SUMIF('Mortality Tarif Male'!A:A,E67,'Mortality Tarif Male'!E:E)-SUMIF('Mortality Tarif Male'!A:A,$C$2+$H$2,'Mortality Tarif Male'!E:E))/SUMIF('Mortality Tarif Male'!A:A,E67,'Mortality Tarif Male'!D:D),(SUMIF('Mortality Tarif Female'!A:A,E67,'Mortality Tarif Female'!E:E)-SUMIF('Mortality Tarif Female'!A:A,$C$2+$H$2,'Mortality Tarif Female'!E:E))/SUMIF('Mortality Tarif Female'!A:A,E67,'Mortality Tarif Female'!D:D)))</f>
        <v>12.891133952019581</v>
      </c>
      <c r="AA66">
        <f>IF(B66&gt;=$AF$2,0,IF($Y$2=1,(SUMIF('Mortality Tarif Male'!A:A,E67+1,'Mortality Tarif Male'!E:E)-SUMIF('Mortality Tarif Male'!A:A,$C$2+$H$2,'Mortality Tarif Male'!E:E))/SUMIF('Mortality Tarif Male'!A:A,E67+1,'Mortality Tarif Male'!D:D),(SUMIF('Mortality Tarif Female'!A:A,E67+1,'Mortality Tarif Female'!E:E)-SUMIF('Mortality Tarif Female'!A:A,$C$2+$H$2,'Mortality Tarif Female'!E:E))/SUMIF('Mortality Tarif Female'!A:A,E67+1,'Mortality Tarif Female'!D:D)))</f>
        <v>12.324821073294672</v>
      </c>
      <c r="AB66">
        <f t="shared" si="0"/>
        <v>3002.2176415406125</v>
      </c>
      <c r="AC66">
        <f>IF(B66&gt;=$AF$2,0,MIN(1/3*(V66+W66+Y66-AB66),(V66-AB66),(T66*Z66+(1-T66)*AA66)*$AH$2*Assumptions!$B$22))</f>
        <v>324.94892651548514</v>
      </c>
      <c r="AD66">
        <f t="shared" si="22"/>
        <v>8268.4579304726067</v>
      </c>
      <c r="AE66">
        <f t="shared" si="23"/>
        <v>8593.406856988091</v>
      </c>
      <c r="AF66">
        <f t="shared" si="24"/>
        <v>8268.4579304726067</v>
      </c>
      <c r="AG66" s="26">
        <f t="shared" si="35"/>
        <v>0</v>
      </c>
      <c r="AH66" s="27">
        <f>IF(B66&gt;$AF$2,0,HLOOKUP(YEAR(A66),Assumptions!$A$34:$AL$37,4,TRUE)/100)</f>
        <v>8.2709999999999988E-3</v>
      </c>
      <c r="AI66">
        <f t="shared" si="25"/>
        <v>0</v>
      </c>
      <c r="AJ66">
        <f t="shared" si="26"/>
        <v>1.5993450537311449</v>
      </c>
      <c r="AK66">
        <f t="shared" si="27"/>
        <v>20.892472349830467</v>
      </c>
      <c r="AL66">
        <f>IF(E66&gt;Assumptions!$B$9,0,SUMPRODUCT($P$2:$X$2,Assumptions!$A$43:$I$43)/$I$2*O65*K66)</f>
        <v>4.7469624895387517</v>
      </c>
      <c r="AM66">
        <f t="shared" si="28"/>
        <v>0</v>
      </c>
      <c r="AN66">
        <f t="shared" si="29"/>
        <v>27.238779893100364</v>
      </c>
      <c r="AO66">
        <f>IF(E66&gt;Assumptions!$B$9,0,($V$2+$X$2)/$I$2*O65*K66*Assumptions!$B$46)</f>
        <v>0</v>
      </c>
      <c r="AP66">
        <f>IF(B66&gt;$AF$2,0,AP65*(1+Assumptions!$B$52)^(1/12))</f>
        <v>1.046661613188995</v>
      </c>
      <c r="AQ66" s="29">
        <f>IF(B66&gt;$AF$2,0,O65*Assumptions!$B$48/12*AP65+AR66*Assumptions!$B$50/12)</f>
        <v>13.022849013249768</v>
      </c>
      <c r="AR66" s="31">
        <f t="shared" si="30"/>
        <v>6911.3308569670307</v>
      </c>
      <c r="AS66">
        <f t="shared" si="9"/>
        <v>6985.5595510749563</v>
      </c>
      <c r="AT66">
        <f t="shared" si="31"/>
        <v>17.007264048331532</v>
      </c>
      <c r="AU66" s="19">
        <f t="shared" si="32"/>
        <v>6924.7043557327015</v>
      </c>
      <c r="AV66" s="19">
        <f t="shared" si="33"/>
        <v>6981.618801555861</v>
      </c>
      <c r="AW66">
        <f t="shared" si="34"/>
        <v>-82.149639783936323</v>
      </c>
      <c r="AX66">
        <f>IF(B66&gt;$AF$2,0,HLOOKUP(YEAR(A66),Assumptions!$A$34:$AL$37,2,TRUE)/100)</f>
        <v>1.4271000000000001E-2</v>
      </c>
      <c r="AY66" s="32">
        <f>1/(1+HLOOKUP(YEAR(A66),Assumptions!$A$27:$AL$29,3,TRUE))^(1/12)</f>
        <v>0.99874250566702261</v>
      </c>
      <c r="AZ66" s="30">
        <f t="shared" si="10"/>
        <v>8339.966702653106</v>
      </c>
      <c r="BA66">
        <f>IF(B66&gt;$AF$2,0,IF($E$2=0,(T66*Z66+(1-T66)*AA66)*$J$2*Assumptions!$B$20,0))</f>
        <v>0</v>
      </c>
    </row>
    <row r="67" spans="1:53" x14ac:dyDescent="0.25">
      <c r="A67" s="17">
        <f t="shared" si="11"/>
        <v>44804</v>
      </c>
      <c r="B67">
        <f t="shared" si="1"/>
        <v>286</v>
      </c>
      <c r="C67">
        <f t="shared" si="2"/>
        <v>23.75</v>
      </c>
      <c r="D67">
        <f t="shared" si="36"/>
        <v>0</v>
      </c>
      <c r="E67">
        <f t="shared" si="4"/>
        <v>46</v>
      </c>
      <c r="F67">
        <f>IF(C67&gt;=$H$2,0,VLOOKUP($E67,'Mortality Table'!$A$3:$C$128,2+AB$2,FALSE))</f>
        <v>1.0457000000000001E-3</v>
      </c>
      <c r="G67">
        <f>F67*Assumptions!$B$1</f>
        <v>1.13197025E-3</v>
      </c>
      <c r="H67">
        <f t="shared" si="12"/>
        <v>9.4379830295254763E-5</v>
      </c>
      <c r="I67">
        <f t="shared" si="37"/>
        <v>7.961738484054598E-5</v>
      </c>
      <c r="J67">
        <f>HLOOKUP(C67,Assumptions!$A$6:$J$7,2,TRUE)</f>
        <v>3.5200000000000002E-2</v>
      </c>
      <c r="K67" s="18">
        <f t="shared" si="5"/>
        <v>1</v>
      </c>
      <c r="L67" s="18">
        <f t="shared" si="14"/>
        <v>8.3333333333333329E-2</v>
      </c>
      <c r="M67" s="18">
        <f t="shared" si="38"/>
        <v>2.9817501439168836E-3</v>
      </c>
      <c r="N67">
        <f t="shared" si="39"/>
        <v>2.5189957358478896E-3</v>
      </c>
      <c r="O67" s="20">
        <f t="shared" si="40"/>
        <v>0.84224568672515687</v>
      </c>
      <c r="P67">
        <f>IF(B67&gt;$AF$2,0,O66*($E$2+IF(E67&lt;=Assumptions!$B$9,$D$2,0))/$I$2*K67)</f>
        <v>43.270108890438031</v>
      </c>
      <c r="Q67">
        <f t="shared" si="18"/>
        <v>26.1</v>
      </c>
      <c r="R67">
        <f>IF(B67&gt;$AF$2,0,IF($Y$2=1,(SUMIF('Mortality Tarif Male'!A:A,E68,'Mortality Tarif Male'!G:G)-SUMIF('Mortality Tarif Male'!A:A,$C$2+$H$2,'Mortality Tarif Male'!G:G)+SUMIF('Mortality Tarif Male'!A:A,$C$2+$H$2,'Mortality Tarif Male'!D:D))/SUMIF('Mortality Tarif Male'!A:A,E68,'Mortality Tarif Male'!D:D),(SUMIF('Mortality Tarif Female'!A:A,E68,'Mortality Tarif Female'!G:G)-SUMIF('Mortality Tarif Female'!A:A,$C$2+$H$2,'Mortality Tarif Female'!G:G)+SUMIF('Mortality Tarif Female'!A:A,$C$2+$H$2,'Mortality Tarif Female'!D:D))/SUMIF('Mortality Tarif Female'!A:A,E68,'Mortality Tarif Female'!D:D)))</f>
        <v>0.56466476276535982</v>
      </c>
      <c r="S67">
        <f>IF(B67&gt;=$AF$2,0,IF($Y$2=1,(SUMIF('Mortality Tarif Male'!A:A,E68+1,'Mortality Tarif Male'!G:G)-SUMIF('Mortality Tarif Male'!A:A,$C$2+$H$2,'Mortality Tarif Male'!G:G)+SUMIF('Mortality Tarif Male'!A:A,$C$2+$H$2,'Mortality Tarif Male'!D:D))/SUMIF('Mortality Tarif Male'!A:A,E68+1,'Mortality Tarif Male'!D:D),(SUMIF('Mortality Tarif Female'!A:A,E68+1,'Mortality Tarif Female'!G:G)-SUMIF('Mortality Tarif Female'!A:A,$C$2+$H$2,'Mortality Tarif Female'!G:G)+SUMIF('Mortality Tarif Female'!A:A,$C$2+$H$2,'Mortality Tarif Female'!D:D))/SUMIF('Mortality Tarif Female'!A:A,E68+1,'Mortality Tarif Female'!D:D)))</f>
        <v>0.58381254110884373</v>
      </c>
      <c r="T67">
        <f t="shared" si="19"/>
        <v>0.16666666666666785</v>
      </c>
      <c r="U67">
        <f t="shared" si="20"/>
        <v>0.58062124471826304</v>
      </c>
      <c r="V67">
        <f t="shared" si="21"/>
        <v>11612.42489436526</v>
      </c>
      <c r="W67">
        <f t="shared" si="7"/>
        <v>15.154214487146666</v>
      </c>
      <c r="X67">
        <f t="shared" si="8"/>
        <v>0</v>
      </c>
      <c r="Y67">
        <f>IF(B67&gt;$AF$2,0,IF(X68=0,0,(1-X68)*($E$2+IF(E67&lt;=Assumptions!$B$9,$D$2,0))/$I$2*1/(1+$AG$2)*1/(1+Assumptions!$B$11)))</f>
        <v>0</v>
      </c>
      <c r="Z67">
        <f>IF(B67&gt;$AF$2,0,IF($Y$2=1,(SUMIF('Mortality Tarif Male'!A:A,E68,'Mortality Tarif Male'!E:E)-SUMIF('Mortality Tarif Male'!A:A,$C$2+$H$2,'Mortality Tarif Male'!E:E))/SUMIF('Mortality Tarif Male'!A:A,E68,'Mortality Tarif Male'!D:D),(SUMIF('Mortality Tarif Female'!A:A,E68,'Mortality Tarif Female'!E:E)-SUMIF('Mortality Tarif Female'!A:A,$C$2+$H$2,'Mortality Tarif Female'!E:E))/SUMIF('Mortality Tarif Female'!A:A,E68,'Mortality Tarif Female'!D:D)))</f>
        <v>12.891133952019581</v>
      </c>
      <c r="AA67">
        <f>IF(B67&gt;=$AF$2,0,IF($Y$2=1,(SUMIF('Mortality Tarif Male'!A:A,E68+1,'Mortality Tarif Male'!E:E)-SUMIF('Mortality Tarif Male'!A:A,$C$2+$H$2,'Mortality Tarif Male'!E:E))/SUMIF('Mortality Tarif Male'!A:A,E68+1,'Mortality Tarif Male'!D:D),(SUMIF('Mortality Tarif Female'!A:A,E68+1,'Mortality Tarif Female'!E:E)-SUMIF('Mortality Tarif Female'!A:A,$C$2+$H$2,'Mortality Tarif Female'!E:E))/SUMIF('Mortality Tarif Female'!A:A,E68+1,'Mortality Tarif Female'!D:D)))</f>
        <v>12.324821073294672</v>
      </c>
      <c r="AB67">
        <f t="shared" si="0"/>
        <v>2990.8524611920689</v>
      </c>
      <c r="AC67">
        <f>IF(B67&gt;=$AF$2,0,MIN(1/3*(V67+W67+Y67-AB67),(V67-AB67),(T67*Z67+(1-T67)*AA67)*$AH$2*Assumptions!$B$22))</f>
        <v>323.71880145632417</v>
      </c>
      <c r="AD67">
        <f t="shared" si="22"/>
        <v>8313.0078462040146</v>
      </c>
      <c r="AE67">
        <f t="shared" si="23"/>
        <v>8636.7266476603381</v>
      </c>
      <c r="AF67">
        <f t="shared" si="24"/>
        <v>8313.0078462040146</v>
      </c>
      <c r="AG67" s="26">
        <f t="shared" si="35"/>
        <v>0</v>
      </c>
      <c r="AH67" s="27">
        <f>IF(B67&gt;$AF$2,0,HLOOKUP(YEAR(A67),Assumptions!$A$34:$AL$37,4,TRUE)/100)</f>
        <v>8.2709999999999988E-3</v>
      </c>
      <c r="AI67">
        <f t="shared" si="25"/>
        <v>0</v>
      </c>
      <c r="AJ67">
        <f t="shared" si="26"/>
        <v>1.5944257105552577</v>
      </c>
      <c r="AK67">
        <f t="shared" si="27"/>
        <v>20.940431316657961</v>
      </c>
      <c r="AL67">
        <f>IF(E67&gt;Assumptions!$B$9,0,SUMPRODUCT($P$2:$X$2,Assumptions!$A$43:$I$43)/$I$2*O66*K67)</f>
        <v>4.7323615518145079</v>
      </c>
      <c r="AM67">
        <f t="shared" si="28"/>
        <v>0</v>
      </c>
      <c r="AN67">
        <f t="shared" si="29"/>
        <v>27.267218579027727</v>
      </c>
      <c r="AO67">
        <f>IF(E67&gt;Assumptions!$B$9,0,($V$2+$X$2)/$I$2*O66*K67*Assumptions!$B$46)</f>
        <v>0</v>
      </c>
      <c r="AP67">
        <f>IF(B67&gt;$AF$2,0,AP66*(1+Assumptions!$B$52)^(1/12))</f>
        <v>1.0475298588899582</v>
      </c>
      <c r="AQ67" s="29">
        <f>IF(B67&gt;$AF$2,0,O66*Assumptions!$B$48/12*AP66+AR67*Assumptions!$B$50/12)</f>
        <v>12.998358122883173</v>
      </c>
      <c r="AR67" s="31">
        <f t="shared" si="30"/>
        <v>6915.6325020189533</v>
      </c>
      <c r="AS67">
        <f t="shared" si="9"/>
        <v>7001.595002177718</v>
      </c>
      <c r="AT67">
        <f t="shared" si="31"/>
        <v>16.95495227974758</v>
      </c>
      <c r="AU67" s="19">
        <f t="shared" si="32"/>
        <v>6928.9493005067598</v>
      </c>
      <c r="AV67" s="19">
        <f t="shared" si="33"/>
        <v>6997.7821418028898</v>
      </c>
      <c r="AW67">
        <f t="shared" si="34"/>
        <v>-94.052722713617015</v>
      </c>
      <c r="AX67">
        <f>IF(B67&gt;$AF$2,0,HLOOKUP(YEAR(A67),Assumptions!$A$34:$AL$37,2,TRUE)/100)</f>
        <v>1.4271000000000001E-2</v>
      </c>
      <c r="AY67" s="32">
        <f>1/(1+HLOOKUP(YEAR(A67),Assumptions!$A$27:$AL$29,3,TRUE))^(1/12)</f>
        <v>0.99874250566702261</v>
      </c>
      <c r="AZ67" s="30">
        <f t="shared" si="10"/>
        <v>8353.4719002346646</v>
      </c>
      <c r="BA67">
        <f>IF(B67&gt;$AF$2,0,IF($E$2=0,(T67*Z67+(1-T67)*AA67)*$J$2*Assumptions!$B$20,0))</f>
        <v>0</v>
      </c>
    </row>
    <row r="68" spans="1:53" x14ac:dyDescent="0.25">
      <c r="A68" s="17">
        <f t="shared" si="11"/>
        <v>44834</v>
      </c>
      <c r="B68">
        <f t="shared" si="1"/>
        <v>287</v>
      </c>
      <c r="C68">
        <f t="shared" si="2"/>
        <v>23.833333333333332</v>
      </c>
      <c r="D68">
        <f t="shared" si="36"/>
        <v>0</v>
      </c>
      <c r="E68">
        <f t="shared" si="4"/>
        <v>46</v>
      </c>
      <c r="F68">
        <f>IF(C68&gt;=$H$2,0,VLOOKUP($E68,'Mortality Table'!$A$3:$C$128,2+AB$2,FALSE))</f>
        <v>1.0457000000000001E-3</v>
      </c>
      <c r="G68">
        <f>F68*Assumptions!$B$1</f>
        <v>1.13197025E-3</v>
      </c>
      <c r="H68">
        <f t="shared" si="12"/>
        <v>9.4379830295254763E-5</v>
      </c>
      <c r="I68">
        <f t="shared" si="37"/>
        <v>7.9372493822260968E-5</v>
      </c>
      <c r="J68">
        <f>HLOOKUP(C68,Assumptions!$A$6:$J$7,2,TRUE)</f>
        <v>3.5200000000000002E-2</v>
      </c>
      <c r="K68" s="18">
        <f t="shared" si="5"/>
        <v>1</v>
      </c>
      <c r="L68" s="18">
        <f t="shared" si="14"/>
        <v>8.3333333333333329E-2</v>
      </c>
      <c r="M68" s="18">
        <f t="shared" si="38"/>
        <v>2.9817501439168836E-3</v>
      </c>
      <c r="N68">
        <f t="shared" si="39"/>
        <v>2.5112476864483412E-3</v>
      </c>
      <c r="O68" s="20">
        <f t="shared" si="40"/>
        <v>0.8396550665448862</v>
      </c>
      <c r="P68">
        <f>IF(B68&gt;$AF$2,0,O67*($E$2+IF(E68&lt;=Assumptions!$B$9,$D$2,0))/$I$2*K68)</f>
        <v>43.137016588440112</v>
      </c>
      <c r="Q68">
        <f t="shared" si="18"/>
        <v>26.1</v>
      </c>
      <c r="R68">
        <f>IF(B68&gt;$AF$2,0,IF($Y$2=1,(SUMIF('Mortality Tarif Male'!A:A,E69,'Mortality Tarif Male'!G:G)-SUMIF('Mortality Tarif Male'!A:A,$C$2+$H$2,'Mortality Tarif Male'!G:G)+SUMIF('Mortality Tarif Male'!A:A,$C$2+$H$2,'Mortality Tarif Male'!D:D))/SUMIF('Mortality Tarif Male'!A:A,E69,'Mortality Tarif Male'!D:D),(SUMIF('Mortality Tarif Female'!A:A,E69,'Mortality Tarif Female'!G:G)-SUMIF('Mortality Tarif Female'!A:A,$C$2+$H$2,'Mortality Tarif Female'!G:G)+SUMIF('Mortality Tarif Female'!A:A,$C$2+$H$2,'Mortality Tarif Female'!D:D))/SUMIF('Mortality Tarif Female'!A:A,E69,'Mortality Tarif Female'!D:D)))</f>
        <v>0.56466476276535982</v>
      </c>
      <c r="S68">
        <f>IF(B68&gt;=$AF$2,0,IF($Y$2=1,(SUMIF('Mortality Tarif Male'!A:A,E69+1,'Mortality Tarif Male'!G:G)-SUMIF('Mortality Tarif Male'!A:A,$C$2+$H$2,'Mortality Tarif Male'!G:G)+SUMIF('Mortality Tarif Male'!A:A,$C$2+$H$2,'Mortality Tarif Male'!D:D))/SUMIF('Mortality Tarif Male'!A:A,E69+1,'Mortality Tarif Male'!D:D),(SUMIF('Mortality Tarif Female'!A:A,E69+1,'Mortality Tarif Female'!G:G)-SUMIF('Mortality Tarif Female'!A:A,$C$2+$H$2,'Mortality Tarif Female'!G:G)+SUMIF('Mortality Tarif Female'!A:A,$C$2+$H$2,'Mortality Tarif Female'!D:D))/SUMIF('Mortality Tarif Female'!A:A,E69+1,'Mortality Tarif Female'!D:D)))</f>
        <v>0.58381254110884373</v>
      </c>
      <c r="T68">
        <f t="shared" si="19"/>
        <v>8.3333333333332149E-2</v>
      </c>
      <c r="U68">
        <f t="shared" si="20"/>
        <v>0.5822168929135535</v>
      </c>
      <c r="V68">
        <f t="shared" si="21"/>
        <v>11644.33785827107</v>
      </c>
      <c r="W68">
        <f t="shared" si="7"/>
        <v>15.195860905043746</v>
      </c>
      <c r="X68">
        <f t="shared" si="8"/>
        <v>0</v>
      </c>
      <c r="Y68">
        <f>IF(B68&gt;$AF$2,0,IF(X69=0,0,(1-X69)*($E$2+IF(E68&lt;=Assumptions!$B$9,$D$2,0))/$I$2*1/(1+$AG$2)*1/(1+Assumptions!$B$11)))</f>
        <v>0</v>
      </c>
      <c r="Z68">
        <f>IF(B68&gt;$AF$2,0,IF($Y$2=1,(SUMIF('Mortality Tarif Male'!A:A,E69,'Mortality Tarif Male'!E:E)-SUMIF('Mortality Tarif Male'!A:A,$C$2+$H$2,'Mortality Tarif Male'!E:E))/SUMIF('Mortality Tarif Male'!A:A,E69,'Mortality Tarif Male'!D:D),(SUMIF('Mortality Tarif Female'!A:A,E69,'Mortality Tarif Female'!E:E)-SUMIF('Mortality Tarif Female'!A:A,$C$2+$H$2,'Mortality Tarif Female'!E:E))/SUMIF('Mortality Tarif Female'!A:A,E69,'Mortality Tarif Female'!D:D)))</f>
        <v>12.891133952019581</v>
      </c>
      <c r="AA68">
        <f>IF(B68&gt;=$AF$2,0,IF($Y$2=1,(SUMIF('Mortality Tarif Male'!A:A,E69+1,'Mortality Tarif Male'!E:E)-SUMIF('Mortality Tarif Male'!A:A,$C$2+$H$2,'Mortality Tarif Male'!E:E))/SUMIF('Mortality Tarif Male'!A:A,E69+1,'Mortality Tarif Male'!D:D),(SUMIF('Mortality Tarif Female'!A:A,E69+1,'Mortality Tarif Female'!E:E)-SUMIF('Mortality Tarif Female'!A:A,$C$2+$H$2,'Mortality Tarif Female'!E:E))/SUMIF('Mortality Tarif Female'!A:A,E69+1,'Mortality Tarif Female'!D:D)))</f>
        <v>12.324821073294672</v>
      </c>
      <c r="AB68">
        <f t="shared" si="0"/>
        <v>2979.4872808435248</v>
      </c>
      <c r="AC68">
        <f>IF(B68&gt;=$AF$2,0,MIN(1/3*(V68+W68+Y68-AB68),(V68-AB68),(T68*Z68+(1-T68)*AA68)*$AH$2*Assumptions!$B$22))</f>
        <v>322.4886763971632</v>
      </c>
      <c r="AD68">
        <f t="shared" si="22"/>
        <v>8357.5577619354262</v>
      </c>
      <c r="AE68">
        <f t="shared" si="23"/>
        <v>8680.0464383325889</v>
      </c>
      <c r="AF68">
        <f t="shared" si="24"/>
        <v>8357.5577619354262</v>
      </c>
      <c r="AG68" s="26">
        <f t="shared" si="35"/>
        <v>0</v>
      </c>
      <c r="AH68" s="27">
        <f>IF(B68&gt;$AF$2,0,HLOOKUP(YEAR(A68),Assumptions!$A$34:$AL$37,4,TRUE)/100)</f>
        <v>8.2709999999999988E-3</v>
      </c>
      <c r="AI68">
        <f t="shared" si="25"/>
        <v>0</v>
      </c>
      <c r="AJ68">
        <f t="shared" si="26"/>
        <v>1.5895214985339803</v>
      </c>
      <c r="AK68">
        <f t="shared" si="27"/>
        <v>20.987897594018715</v>
      </c>
      <c r="AL68">
        <f>IF(E68&gt;Assumptions!$B$9,0,SUMPRODUCT($P$2:$X$2,Assumptions!$A$43:$I$43)/$I$2*O67*K68)</f>
        <v>4.7178055243634969</v>
      </c>
      <c r="AM68">
        <f t="shared" si="28"/>
        <v>0</v>
      </c>
      <c r="AN68">
        <f t="shared" si="29"/>
        <v>27.295224616916194</v>
      </c>
      <c r="AO68">
        <f>IF(E68&gt;Assumptions!$B$9,0,($V$2+$X$2)/$I$2*O67*K68*Assumptions!$B$46)</f>
        <v>0</v>
      </c>
      <c r="AP68">
        <f>IF(B68&gt;$AF$2,0,AP67*(1+Assumptions!$B$52)^(1/12))</f>
        <v>1.0483988248338232</v>
      </c>
      <c r="AQ68" s="29">
        <f>IF(B68&gt;$AF$2,0,O67*Assumptions!$B$48/12*AP67+AR68*Assumptions!$B$50/12)</f>
        <v>12.973874652986893</v>
      </c>
      <c r="AR68" s="31">
        <f t="shared" si="30"/>
        <v>6919.7272753539783</v>
      </c>
      <c r="AS68">
        <f t="shared" si="9"/>
        <v>7017.4657187506209</v>
      </c>
      <c r="AT68">
        <f t="shared" si="31"/>
        <v>16.902801414241548</v>
      </c>
      <c r="AU68" s="19">
        <f t="shared" si="32"/>
        <v>6932.9876158751904</v>
      </c>
      <c r="AV68" s="19">
        <f t="shared" si="33"/>
        <v>7013.7799980675954</v>
      </c>
      <c r="AW68">
        <f t="shared" si="34"/>
        <v>-105.99696243132851</v>
      </c>
      <c r="AX68">
        <f>IF(B68&gt;$AF$2,0,HLOOKUP(YEAR(A68),Assumptions!$A$34:$AL$37,2,TRUE)/100)</f>
        <v>1.4271000000000001E-2</v>
      </c>
      <c r="AY68" s="32">
        <f>1/(1+HLOOKUP(YEAR(A68),Assumptions!$A$27:$AL$29,3,TRUE))^(1/12)</f>
        <v>0.99874250566702261</v>
      </c>
      <c r="AZ68" s="30">
        <f t="shared" si="10"/>
        <v>8366.8574870382054</v>
      </c>
      <c r="BA68">
        <f>IF(B68&gt;$AF$2,0,IF($E$2=0,(T68*Z68+(1-T68)*AA68)*$J$2*Assumptions!$B$20,0))</f>
        <v>0</v>
      </c>
    </row>
    <row r="69" spans="1:53" x14ac:dyDescent="0.25">
      <c r="A69" s="17">
        <f t="shared" si="11"/>
        <v>44865</v>
      </c>
      <c r="B69">
        <f t="shared" si="1"/>
        <v>288</v>
      </c>
      <c r="C69">
        <f t="shared" si="2"/>
        <v>23.916666666666668</v>
      </c>
      <c r="D69">
        <f t="shared" si="36"/>
        <v>0</v>
      </c>
      <c r="E69">
        <f t="shared" si="4"/>
        <v>46</v>
      </c>
      <c r="F69">
        <f>IF(C69&gt;=$H$2,0,VLOOKUP($E69,'Mortality Table'!$A$3:$C$128,2+AB$2,FALSE))</f>
        <v>1.0457000000000001E-3</v>
      </c>
      <c r="G69">
        <f>F69*Assumptions!$B$1</f>
        <v>1.13197025E-3</v>
      </c>
      <c r="H69">
        <f t="shared" si="12"/>
        <v>9.4379830295254763E-5</v>
      </c>
      <c r="I69">
        <f t="shared" si="37"/>
        <v>7.9128356051661182E-5</v>
      </c>
      <c r="J69">
        <f>HLOOKUP(C69,Assumptions!$A$6:$J$7,2,TRUE)</f>
        <v>3.5200000000000002E-2</v>
      </c>
      <c r="K69" s="18">
        <f t="shared" si="5"/>
        <v>1</v>
      </c>
      <c r="L69" s="18">
        <f t="shared" si="14"/>
        <v>8.3333333333333329E-2</v>
      </c>
      <c r="M69" s="18">
        <f t="shared" si="38"/>
        <v>2.9817501439168836E-3</v>
      </c>
      <c r="N69">
        <f t="shared" si="39"/>
        <v>2.5035234688753588E-3</v>
      </c>
      <c r="O69" s="20">
        <f t="shared" si="40"/>
        <v>0.83707241471995919</v>
      </c>
      <c r="P69">
        <f>IF(B69&gt;$AF$2,0,O68*($E$2+IF(E69&lt;=Assumptions!$B$9,$D$2,0))/$I$2*K69)</f>
        <v>43.004333658207251</v>
      </c>
      <c r="Q69">
        <f t="shared" si="18"/>
        <v>26.1</v>
      </c>
      <c r="R69">
        <f>IF(B69&gt;$AF$2,0,IF($Y$2=1,(SUMIF('Mortality Tarif Male'!A:A,E70,'Mortality Tarif Male'!G:G)-SUMIF('Mortality Tarif Male'!A:A,$C$2+$H$2,'Mortality Tarif Male'!G:G)+SUMIF('Mortality Tarif Male'!A:A,$C$2+$H$2,'Mortality Tarif Male'!D:D))/SUMIF('Mortality Tarif Male'!A:A,E70,'Mortality Tarif Male'!D:D),(SUMIF('Mortality Tarif Female'!A:A,E70,'Mortality Tarif Female'!G:G)-SUMIF('Mortality Tarif Female'!A:A,$C$2+$H$2,'Mortality Tarif Female'!G:G)+SUMIF('Mortality Tarif Female'!A:A,$C$2+$H$2,'Mortality Tarif Female'!D:D))/SUMIF('Mortality Tarif Female'!A:A,E70,'Mortality Tarif Female'!D:D)))</f>
        <v>0.58381254110884373</v>
      </c>
      <c r="S69">
        <f>IF(B69&gt;=$AF$2,0,IF($Y$2=1,(SUMIF('Mortality Tarif Male'!A:A,E70+1,'Mortality Tarif Male'!G:G)-SUMIF('Mortality Tarif Male'!A:A,$C$2+$H$2,'Mortality Tarif Male'!G:G)+SUMIF('Mortality Tarif Male'!A:A,$C$2+$H$2,'Mortality Tarif Male'!D:D))/SUMIF('Mortality Tarif Male'!A:A,E70+1,'Mortality Tarif Male'!D:D),(SUMIF('Mortality Tarif Female'!A:A,E70+1,'Mortality Tarif Female'!G:G)-SUMIF('Mortality Tarif Female'!A:A,$C$2+$H$2,'Mortality Tarif Female'!G:G)+SUMIF('Mortality Tarif Female'!A:A,$C$2+$H$2,'Mortality Tarif Female'!D:D))/SUMIF('Mortality Tarif Female'!A:A,E70+1,'Mortality Tarif Female'!D:D)))</f>
        <v>0.60362455571643081</v>
      </c>
      <c r="T69">
        <f t="shared" si="19"/>
        <v>1</v>
      </c>
      <c r="U69">
        <f t="shared" si="20"/>
        <v>0.58381254110884373</v>
      </c>
      <c r="V69">
        <f t="shared" si="21"/>
        <v>11676.250822176875</v>
      </c>
      <c r="W69">
        <f t="shared" si="7"/>
        <v>15.237507322940822</v>
      </c>
      <c r="X69">
        <f t="shared" si="8"/>
        <v>0</v>
      </c>
      <c r="Y69">
        <f>IF(B69&gt;$AF$2,0,IF(X70=0,0,(1-X70)*($E$2+IF(E69&lt;=Assumptions!$B$9,$D$2,0))/$I$2*1/(1+$AG$2)*1/(1+Assumptions!$B$11)))</f>
        <v>0</v>
      </c>
      <c r="Z69">
        <f>IF(B69&gt;$AF$2,0,IF($Y$2=1,(SUMIF('Mortality Tarif Male'!A:A,E70,'Mortality Tarif Male'!E:E)-SUMIF('Mortality Tarif Male'!A:A,$C$2+$H$2,'Mortality Tarif Male'!E:E))/SUMIF('Mortality Tarif Male'!A:A,E70,'Mortality Tarif Male'!D:D),(SUMIF('Mortality Tarif Female'!A:A,E70,'Mortality Tarif Female'!E:E)-SUMIF('Mortality Tarif Female'!A:A,$C$2+$H$2,'Mortality Tarif Female'!E:E))/SUMIF('Mortality Tarif Female'!A:A,E70,'Mortality Tarif Female'!D:D)))</f>
        <v>12.324821073294672</v>
      </c>
      <c r="AA69">
        <f>IF(B69&gt;=$AF$2,0,IF($Y$2=1,(SUMIF('Mortality Tarif Male'!A:A,E70+1,'Mortality Tarif Male'!E:E)-SUMIF('Mortality Tarif Male'!A:A,$C$2+$H$2,'Mortality Tarif Male'!E:E))/SUMIF('Mortality Tarif Male'!A:A,E70+1,'Mortality Tarif Male'!D:D),(SUMIF('Mortality Tarif Female'!A:A,E70+1,'Mortality Tarif Female'!E:E)-SUMIF('Mortality Tarif Female'!A:A,$C$2+$H$2,'Mortality Tarif Female'!E:E))/SUMIF('Mortality Tarif Female'!A:A,E70+1,'Mortality Tarif Female'!D:D)))</f>
        <v>11.738821789848721</v>
      </c>
      <c r="AB69">
        <f t="shared" si="0"/>
        <v>2968.1221004949812</v>
      </c>
      <c r="AC69">
        <f>IF(B69&gt;=$AF$2,0,MIN(1/3*(V69+W69+Y69-AB69),(V69-AB69),(T69*Z69+(1-T69)*AA69)*$AH$2*Assumptions!$B$22))</f>
        <v>321.25855133800223</v>
      </c>
      <c r="AD69">
        <f t="shared" si="22"/>
        <v>8402.1076776668324</v>
      </c>
      <c r="AE69">
        <f t="shared" si="23"/>
        <v>8723.3662290048342</v>
      </c>
      <c r="AF69">
        <f t="shared" si="24"/>
        <v>8402.1076776668324</v>
      </c>
      <c r="AG69" s="26">
        <f t="shared" si="35"/>
        <v>0</v>
      </c>
      <c r="AH69" s="27">
        <f>IF(B69&gt;$AF$2,0,HLOOKUP(YEAR(A69),Assumptions!$A$34:$AL$37,4,TRUE)/100)</f>
        <v>8.2709999999999988E-3</v>
      </c>
      <c r="AI69">
        <f t="shared" si="25"/>
        <v>0</v>
      </c>
      <c r="AJ69">
        <f t="shared" si="26"/>
        <v>1.5846323711261718</v>
      </c>
      <c r="AK69">
        <f t="shared" si="27"/>
        <v>21.034873759056754</v>
      </c>
      <c r="AL69">
        <f>IF(E69&gt;Assumptions!$B$9,0,SUMPRODUCT($P$2:$X$2,Assumptions!$A$43:$I$43)/$I$2*O68*K69)</f>
        <v>4.7032942690485173</v>
      </c>
      <c r="AM69">
        <f t="shared" si="28"/>
        <v>0</v>
      </c>
      <c r="AN69">
        <f t="shared" si="29"/>
        <v>27.322800399231443</v>
      </c>
      <c r="AO69">
        <f>IF(E69&gt;Assumptions!$B$9,0,($V$2+$X$2)/$I$2*O68*K69*Assumptions!$B$46)</f>
        <v>0</v>
      </c>
      <c r="AP69">
        <f>IF(B69&gt;$AF$2,0,AP68*(1+Assumptions!$B$52)^(1/12))</f>
        <v>1.0492685116180587</v>
      </c>
      <c r="AQ69" s="29">
        <f>IF(B69&gt;$AF$2,0,O68*Assumptions!$B$48/12*AP68+AR69*Assumptions!$B$50/12)</f>
        <v>12.949398739318841</v>
      </c>
      <c r="AR69" s="31">
        <f t="shared" si="30"/>
        <v>6923.6162730071437</v>
      </c>
      <c r="AS69">
        <f t="shared" si="9"/>
        <v>7033.1725624816836</v>
      </c>
      <c r="AT69">
        <f t="shared" si="31"/>
        <v>16.850810956899934</v>
      </c>
      <c r="AU69" s="19">
        <f t="shared" si="32"/>
        <v>6936.8203969691322</v>
      </c>
      <c r="AV69" s="19">
        <f t="shared" si="33"/>
        <v>7029.6132354384727</v>
      </c>
      <c r="AW69">
        <f t="shared" si="34"/>
        <v>-117.9821291801657</v>
      </c>
      <c r="AX69">
        <f>IF(B69&gt;$AF$2,0,HLOOKUP(YEAR(A69),Assumptions!$A$34:$AL$37,2,TRUE)/100)</f>
        <v>1.4271000000000001E-2</v>
      </c>
      <c r="AY69" s="32">
        <f>1/(1+HLOOKUP(YEAR(A69),Assumptions!$A$27:$AL$29,3,TRUE))^(1/12)</f>
        <v>0.99874250566702261</v>
      </c>
      <c r="AZ69" s="30">
        <f t="shared" si="10"/>
        <v>8380.1241445355881</v>
      </c>
      <c r="BA69">
        <f>IF(B69&gt;$AF$2,0,IF($E$2=0,(T69*Z69+(1-T69)*AA69)*$J$2*Assumptions!$B$20,0))</f>
        <v>0</v>
      </c>
    </row>
    <row r="70" spans="1:53" x14ac:dyDescent="0.25">
      <c r="A70" s="17">
        <f t="shared" si="11"/>
        <v>44895</v>
      </c>
      <c r="B70">
        <f t="shared" si="1"/>
        <v>289</v>
      </c>
      <c r="C70">
        <f t="shared" si="2"/>
        <v>24</v>
      </c>
      <c r="D70">
        <f t="shared" si="36"/>
        <v>1</v>
      </c>
      <c r="E70">
        <f t="shared" si="4"/>
        <v>47</v>
      </c>
      <c r="F70">
        <f>IF(C70&gt;=$H$2,0,VLOOKUP($E70,'Mortality Table'!$A$3:$C$128,2+AB$2,FALSE))</f>
        <v>1.1355999999999998E-3</v>
      </c>
      <c r="G70">
        <f>F70*Assumptions!$B$1</f>
        <v>1.2292869999999999E-3</v>
      </c>
      <c r="H70">
        <f t="shared" si="12"/>
        <v>1.0249834610609465E-4</v>
      </c>
      <c r="I70">
        <f t="shared" si="37"/>
        <v>8.5670623178197086E-5</v>
      </c>
      <c r="J70">
        <f>HLOOKUP(C70,Assumptions!$A$6:$J$7,2,TRUE)</f>
        <v>3.5200000000000002E-2</v>
      </c>
      <c r="K70" s="18">
        <f t="shared" si="5"/>
        <v>1</v>
      </c>
      <c r="L70" s="18">
        <f t="shared" si="14"/>
        <v>8.3333333333333329E-2</v>
      </c>
      <c r="M70" s="18">
        <f t="shared" si="38"/>
        <v>2.9817501439168836E-3</v>
      </c>
      <c r="N70">
        <f t="shared" si="39"/>
        <v>2.4958128781584574E-3</v>
      </c>
      <c r="O70" s="20">
        <f t="shared" si="40"/>
        <v>0.8344909312186225</v>
      </c>
      <c r="P70">
        <f>IF(B70&gt;$AF$2,0,O69*($E$2+IF(E70&lt;=Assumptions!$B$9,$D$2,0))/$I$2*K70)</f>
        <v>42.872058840573906</v>
      </c>
      <c r="Q70">
        <f t="shared" si="18"/>
        <v>26.1</v>
      </c>
      <c r="R70">
        <f>IF(B70&gt;$AF$2,0,IF($Y$2=1,(SUMIF('Mortality Tarif Male'!A:A,E71,'Mortality Tarif Male'!G:G)-SUMIF('Mortality Tarif Male'!A:A,$C$2+$H$2,'Mortality Tarif Male'!G:G)+SUMIF('Mortality Tarif Male'!A:A,$C$2+$H$2,'Mortality Tarif Male'!D:D))/SUMIF('Mortality Tarif Male'!A:A,E71,'Mortality Tarif Male'!D:D),(SUMIF('Mortality Tarif Female'!A:A,E71,'Mortality Tarif Female'!G:G)-SUMIF('Mortality Tarif Female'!A:A,$C$2+$H$2,'Mortality Tarif Female'!G:G)+SUMIF('Mortality Tarif Female'!A:A,$C$2+$H$2,'Mortality Tarif Female'!D:D))/SUMIF('Mortality Tarif Female'!A:A,E71,'Mortality Tarif Female'!D:D)))</f>
        <v>0.58381254110884373</v>
      </c>
      <c r="S70">
        <f>IF(B70&gt;=$AF$2,0,IF($Y$2=1,(SUMIF('Mortality Tarif Male'!A:A,E71+1,'Mortality Tarif Male'!G:G)-SUMIF('Mortality Tarif Male'!A:A,$C$2+$H$2,'Mortality Tarif Male'!G:G)+SUMIF('Mortality Tarif Male'!A:A,$C$2+$H$2,'Mortality Tarif Male'!D:D))/SUMIF('Mortality Tarif Male'!A:A,E71+1,'Mortality Tarif Male'!D:D),(SUMIF('Mortality Tarif Female'!A:A,E71+1,'Mortality Tarif Female'!G:G)-SUMIF('Mortality Tarif Female'!A:A,$C$2+$H$2,'Mortality Tarif Female'!G:G)+SUMIF('Mortality Tarif Female'!A:A,$C$2+$H$2,'Mortality Tarif Female'!D:D))/SUMIF('Mortality Tarif Female'!A:A,E71+1,'Mortality Tarif Female'!D:D)))</f>
        <v>0.60362455571643081</v>
      </c>
      <c r="T70">
        <f t="shared" si="19"/>
        <v>0.91666666666666785</v>
      </c>
      <c r="U70">
        <f t="shared" si="20"/>
        <v>0.58546354232614262</v>
      </c>
      <c r="V70">
        <f t="shared" si="21"/>
        <v>11709.270846522852</v>
      </c>
      <c r="W70">
        <f t="shared" si="7"/>
        <v>15.280598454712322</v>
      </c>
      <c r="X70">
        <f t="shared" si="8"/>
        <v>0</v>
      </c>
      <c r="Y70">
        <f>IF(B70&gt;$AF$2,0,IF(X71=0,0,(1-X71)*($E$2+IF(E70&lt;=Assumptions!$B$9,$D$2,0))/$I$2*1/(1+$AG$2)*1/(1+Assumptions!$B$11)))</f>
        <v>0</v>
      </c>
      <c r="Z70">
        <f>IF(B70&gt;$AF$2,0,IF($Y$2=1,(SUMIF('Mortality Tarif Male'!A:A,E71,'Mortality Tarif Male'!E:E)-SUMIF('Mortality Tarif Male'!A:A,$C$2+$H$2,'Mortality Tarif Male'!E:E))/SUMIF('Mortality Tarif Male'!A:A,E71,'Mortality Tarif Male'!D:D),(SUMIF('Mortality Tarif Female'!A:A,E71,'Mortality Tarif Female'!E:E)-SUMIF('Mortality Tarif Female'!A:A,$C$2+$H$2,'Mortality Tarif Female'!E:E))/SUMIF('Mortality Tarif Female'!A:A,E71,'Mortality Tarif Female'!D:D)))</f>
        <v>12.324821073294672</v>
      </c>
      <c r="AA70">
        <f>IF(B70&gt;=$AF$2,0,IF($Y$2=1,(SUMIF('Mortality Tarif Male'!A:A,E71+1,'Mortality Tarif Male'!E:E)-SUMIF('Mortality Tarif Male'!A:A,$C$2+$H$2,'Mortality Tarif Male'!E:E))/SUMIF('Mortality Tarif Male'!A:A,E71+1,'Mortality Tarif Male'!D:D),(SUMIF('Mortality Tarif Female'!A:A,E71+1,'Mortality Tarif Female'!E:E)-SUMIF('Mortality Tarif Female'!A:A,$C$2+$H$2,'Mortality Tarif Female'!E:E))/SUMIF('Mortality Tarif Female'!A:A,E71+1,'Mortality Tarif Female'!D:D)))</f>
        <v>11.738821789848721</v>
      </c>
      <c r="AB70">
        <f t="shared" si="0"/>
        <v>2956.3618390022953</v>
      </c>
      <c r="AC70">
        <f>IF(B70&gt;=$AF$2,0,MIN(1/3*(V70+W70+Y70-AB70),(V70-AB70),(T70*Z70+(1-T70)*AA70)*$AH$2*Assumptions!$B$22))</f>
        <v>319.98566415796802</v>
      </c>
      <c r="AD70">
        <f t="shared" si="22"/>
        <v>8448.2039418173008</v>
      </c>
      <c r="AE70">
        <f t="shared" si="23"/>
        <v>8768.1896059752689</v>
      </c>
      <c r="AF70">
        <f t="shared" si="24"/>
        <v>8448.2039418173008</v>
      </c>
      <c r="AG70" s="26">
        <f t="shared" si="35"/>
        <v>0</v>
      </c>
      <c r="AH70" s="27">
        <f>IF(B70&gt;$AF$2,0,HLOOKUP(YEAR(A70),Assumptions!$A$34:$AL$37,4,TRUE)/100)</f>
        <v>8.2709999999999988E-3</v>
      </c>
      <c r="AI70">
        <f t="shared" si="25"/>
        <v>0</v>
      </c>
      <c r="AJ70">
        <f t="shared" si="26"/>
        <v>1.7156484668288925</v>
      </c>
      <c r="AK70">
        <f t="shared" si="27"/>
        <v>21.085136195296663</v>
      </c>
      <c r="AL70">
        <f>IF(E70&gt;Assumptions!$B$9,0,SUMPRODUCT($P$2:$X$2,Assumptions!$A$43:$I$43)/$I$2*O69*K70)</f>
        <v>4.6888276481572619</v>
      </c>
      <c r="AM70">
        <f t="shared" si="28"/>
        <v>0</v>
      </c>
      <c r="AN70">
        <f t="shared" si="29"/>
        <v>27.489612310282816</v>
      </c>
      <c r="AO70">
        <f>IF(E70&gt;Assumptions!$B$9,0,($V$2+$X$2)/$I$2*O69*K70*Assumptions!$B$46)</f>
        <v>0</v>
      </c>
      <c r="AP70">
        <f>IF(B70&gt;$AF$2,0,AP69*(1+Assumptions!$B$52)^(1/12))</f>
        <v>1.050138919840629</v>
      </c>
      <c r="AQ70" s="29">
        <f>IF(B70&gt;$AF$2,0,O69*Assumptions!$B$48/12*AP69+AR70*Assumptions!$B$50/12)</f>
        <v>12.924930516732076</v>
      </c>
      <c r="AR70" s="31">
        <f t="shared" si="30"/>
        <v>6927.3005860676922</v>
      </c>
      <c r="AS70">
        <f t="shared" si="9"/>
        <v>7049.9495745319564</v>
      </c>
      <c r="AT70">
        <f t="shared" si="31"/>
        <v>16.798980414331524</v>
      </c>
      <c r="AU70" s="19">
        <f t="shared" si="32"/>
        <v>6940.4487339772022</v>
      </c>
      <c r="AV70" s="19">
        <f t="shared" si="33"/>
        <v>7045.2827152478576</v>
      </c>
      <c r="AW70">
        <f t="shared" si="34"/>
        <v>-130.0079943879183</v>
      </c>
      <c r="AX70">
        <f>IF(B70&gt;$AF$2,0,HLOOKUP(YEAR(A70),Assumptions!$A$34:$AL$37,2,TRUE)/100)</f>
        <v>1.4271000000000001E-2</v>
      </c>
      <c r="AY70" s="32">
        <f>1/(1+HLOOKUP(YEAR(A70),Assumptions!$A$27:$AL$29,3,TRUE))^(1/12)</f>
        <v>0.99874250566702261</v>
      </c>
      <c r="AZ70" s="30">
        <f t="shared" si="10"/>
        <v>8393.1328872783652</v>
      </c>
      <c r="BA70">
        <f>IF(B70&gt;$AF$2,0,IF($E$2=0,(T70*Z70+(1-T70)*AA70)*$J$2*Assumptions!$B$20,0))</f>
        <v>0</v>
      </c>
    </row>
    <row r="71" spans="1:53" x14ac:dyDescent="0.25">
      <c r="A71" s="17">
        <f t="shared" si="11"/>
        <v>44926</v>
      </c>
      <c r="B71">
        <f t="shared" si="1"/>
        <v>290</v>
      </c>
      <c r="C71">
        <f t="shared" si="2"/>
        <v>24.083333333333332</v>
      </c>
      <c r="D71">
        <f t="shared" si="36"/>
        <v>0</v>
      </c>
      <c r="E71">
        <f t="shared" si="4"/>
        <v>47</v>
      </c>
      <c r="F71">
        <f>IF(C71&gt;=$H$2,0,VLOOKUP($E71,'Mortality Table'!$A$3:$C$128,2+AB$2,FALSE))</f>
        <v>1.1355999999999998E-3</v>
      </c>
      <c r="G71">
        <f>F71*Assumptions!$B$1</f>
        <v>1.2292869999999999E-3</v>
      </c>
      <c r="H71">
        <f t="shared" si="12"/>
        <v>1.0249834610609465E-4</v>
      </c>
      <c r="I71">
        <f t="shared" si="37"/>
        <v>8.5406419871058184E-5</v>
      </c>
      <c r="J71">
        <f>HLOOKUP(C71,Assumptions!$A$6:$J$7,2,TRUE)</f>
        <v>3.5200000000000002E-2</v>
      </c>
      <c r="K71" s="18">
        <f t="shared" si="5"/>
        <v>1</v>
      </c>
      <c r="L71" s="18">
        <f t="shared" si="14"/>
        <v>8.3333333333333329E-2</v>
      </c>
      <c r="M71" s="18">
        <f t="shared" si="38"/>
        <v>2.9817501439168836E-3</v>
      </c>
      <c r="N71">
        <f t="shared" si="39"/>
        <v>2.4881159338390763E-3</v>
      </c>
      <c r="O71" s="20">
        <f t="shared" si="40"/>
        <v>0.83191740886491228</v>
      </c>
      <c r="P71">
        <f>IF(B71&gt;$AF$2,0,O70*($E$2+IF(E71&lt;=Assumptions!$B$9,$D$2,0))/$I$2*K71)</f>
        <v>42.739843860580443</v>
      </c>
      <c r="Q71">
        <f t="shared" si="18"/>
        <v>26.1</v>
      </c>
      <c r="R71">
        <f>IF(B71&gt;$AF$2,0,IF($Y$2=1,(SUMIF('Mortality Tarif Male'!A:A,E72,'Mortality Tarif Male'!G:G)-SUMIF('Mortality Tarif Male'!A:A,$C$2+$H$2,'Mortality Tarif Male'!G:G)+SUMIF('Mortality Tarif Male'!A:A,$C$2+$H$2,'Mortality Tarif Male'!D:D))/SUMIF('Mortality Tarif Male'!A:A,E72,'Mortality Tarif Male'!D:D),(SUMIF('Mortality Tarif Female'!A:A,E72,'Mortality Tarif Female'!G:G)-SUMIF('Mortality Tarif Female'!A:A,$C$2+$H$2,'Mortality Tarif Female'!G:G)+SUMIF('Mortality Tarif Female'!A:A,$C$2+$H$2,'Mortality Tarif Female'!D:D))/SUMIF('Mortality Tarif Female'!A:A,E72,'Mortality Tarif Female'!D:D)))</f>
        <v>0.58381254110884373</v>
      </c>
      <c r="S71">
        <f>IF(B71&gt;=$AF$2,0,IF($Y$2=1,(SUMIF('Mortality Tarif Male'!A:A,E72+1,'Mortality Tarif Male'!G:G)-SUMIF('Mortality Tarif Male'!A:A,$C$2+$H$2,'Mortality Tarif Male'!G:G)+SUMIF('Mortality Tarif Male'!A:A,$C$2+$H$2,'Mortality Tarif Male'!D:D))/SUMIF('Mortality Tarif Male'!A:A,E72+1,'Mortality Tarif Male'!D:D),(SUMIF('Mortality Tarif Female'!A:A,E72+1,'Mortality Tarif Female'!G:G)-SUMIF('Mortality Tarif Female'!A:A,$C$2+$H$2,'Mortality Tarif Female'!G:G)+SUMIF('Mortality Tarif Female'!A:A,$C$2+$H$2,'Mortality Tarif Female'!D:D))/SUMIF('Mortality Tarif Female'!A:A,E72+1,'Mortality Tarif Female'!D:D)))</f>
        <v>0.60362455571643081</v>
      </c>
      <c r="T71">
        <f t="shared" si="19"/>
        <v>0.83333333333333215</v>
      </c>
      <c r="U71">
        <f t="shared" si="20"/>
        <v>0.58711454354344161</v>
      </c>
      <c r="V71">
        <f t="shared" si="21"/>
        <v>11742.290870868832</v>
      </c>
      <c r="W71">
        <f t="shared" si="7"/>
        <v>15.323689586483827</v>
      </c>
      <c r="X71">
        <f t="shared" si="8"/>
        <v>0</v>
      </c>
      <c r="Y71">
        <f>IF(B71&gt;$AF$2,0,IF(X72=0,0,(1-X72)*($E$2+IF(E71&lt;=Assumptions!$B$9,$D$2,0))/$I$2*1/(1+$AG$2)*1/(1+Assumptions!$B$11)))</f>
        <v>0</v>
      </c>
      <c r="Z71">
        <f>IF(B71&gt;$AF$2,0,IF($Y$2=1,(SUMIF('Mortality Tarif Male'!A:A,E72,'Mortality Tarif Male'!E:E)-SUMIF('Mortality Tarif Male'!A:A,$C$2+$H$2,'Mortality Tarif Male'!E:E))/SUMIF('Mortality Tarif Male'!A:A,E72,'Mortality Tarif Male'!D:D),(SUMIF('Mortality Tarif Female'!A:A,E72,'Mortality Tarif Female'!E:E)-SUMIF('Mortality Tarif Female'!A:A,$C$2+$H$2,'Mortality Tarif Female'!E:E))/SUMIF('Mortality Tarif Female'!A:A,E72,'Mortality Tarif Female'!D:D)))</f>
        <v>12.324821073294672</v>
      </c>
      <c r="AA71">
        <f>IF(B71&gt;=$AF$2,0,IF($Y$2=1,(SUMIF('Mortality Tarif Male'!A:A,E72+1,'Mortality Tarif Male'!E:E)-SUMIF('Mortality Tarif Male'!A:A,$C$2+$H$2,'Mortality Tarif Male'!E:E))/SUMIF('Mortality Tarif Male'!A:A,E72+1,'Mortality Tarif Male'!D:D),(SUMIF('Mortality Tarif Female'!A:A,E72+1,'Mortality Tarif Female'!E:E)-SUMIF('Mortality Tarif Female'!A:A,$C$2+$H$2,'Mortality Tarif Female'!E:E))/SUMIF('Mortality Tarif Female'!A:A,E72+1,'Mortality Tarif Female'!D:D)))</f>
        <v>11.738821789848721</v>
      </c>
      <c r="AB71">
        <f t="shared" si="0"/>
        <v>2944.6015775096084</v>
      </c>
      <c r="AC71">
        <f>IF(B71&gt;=$AF$2,0,MIN(1/3*(V71+W71+Y71-AB71),(V71-AB71),(T71*Z71+(1-T71)*AA71)*$AH$2*Assumptions!$B$22))</f>
        <v>318.71277697793369</v>
      </c>
      <c r="AD71">
        <f t="shared" si="22"/>
        <v>8494.3002059677729</v>
      </c>
      <c r="AE71">
        <f t="shared" si="23"/>
        <v>8813.0129829457073</v>
      </c>
      <c r="AF71">
        <f t="shared" si="24"/>
        <v>8494.3002059677729</v>
      </c>
      <c r="AG71" s="26">
        <f t="shared" si="35"/>
        <v>8246.5695597116664</v>
      </c>
      <c r="AH71" s="27">
        <f>IF(B71&gt;$AF$2,0,HLOOKUP(YEAR(A71),Assumptions!$A$34:$AL$37,4,TRUE)/100)</f>
        <v>8.2709999999999988E-3</v>
      </c>
      <c r="AI71">
        <f t="shared" si="25"/>
        <v>0</v>
      </c>
      <c r="AJ71">
        <f t="shared" si="26"/>
        <v>1.7103575049797981</v>
      </c>
      <c r="AK71">
        <f t="shared" si="27"/>
        <v>21.134803689280965</v>
      </c>
      <c r="AL71">
        <f>IF(E71&gt;Assumptions!$B$9,0,SUMPRODUCT($P$2:$X$2,Assumptions!$A$43:$I$43)/$I$2*O70*K71)</f>
        <v>4.6743675715838648</v>
      </c>
      <c r="AM71">
        <f t="shared" si="28"/>
        <v>0</v>
      </c>
      <c r="AN71">
        <f t="shared" si="29"/>
        <v>27.519528765844626</v>
      </c>
      <c r="AO71">
        <f>IF(E71&gt;Assumptions!$B$9,0,($V$2+$X$2)/$I$2*O70*K71*Assumptions!$B$46)</f>
        <v>0</v>
      </c>
      <c r="AP71">
        <f>IF(B71&gt;$AF$2,0,AP70*(1+Assumptions!$B$52)^(1/12))</f>
        <v>1.051010050099995</v>
      </c>
      <c r="AQ71" s="29">
        <f>IF(B71&gt;$AF$2,0,O70*Assumptions!$B$48/12*AP70+AR71*Assumptions!$B$50/12)</f>
        <v>12.900676971511531</v>
      </c>
      <c r="AR71" s="31">
        <f t="shared" si="30"/>
        <v>6932.0143858909878</v>
      </c>
      <c r="AS71">
        <f t="shared" si="9"/>
        <v>7066.5562174694005</v>
      </c>
      <c r="AT71">
        <f t="shared" si="31"/>
        <v>16.747173318533985</v>
      </c>
      <c r="AU71" s="19">
        <f t="shared" si="32"/>
        <v>6945.1063794615229</v>
      </c>
      <c r="AV71" s="19">
        <f t="shared" si="33"/>
        <v>7062.022380278906</v>
      </c>
      <c r="AW71">
        <f t="shared" si="34"/>
        <v>0</v>
      </c>
      <c r="AX71">
        <f>IF(B71&gt;$AF$2,0,HLOOKUP(YEAR(A71),Assumptions!$A$34:$AL$37,2,TRUE)/100)</f>
        <v>1.4271000000000001E-2</v>
      </c>
      <c r="AY71" s="32">
        <f>1/(1+HLOOKUP(YEAR(A71),Assumptions!$A$27:$AL$29,3,TRUE))^(1/12)</f>
        <v>0.99874250566702261</v>
      </c>
      <c r="AZ71" s="30">
        <f t="shared" si="10"/>
        <v>8406.0201311476048</v>
      </c>
      <c r="BA71">
        <f>IF(B71&gt;$AF$2,0,IF($E$2=0,(T71*Z71+(1-T71)*AA71)*$J$2*Assumptions!$B$20,0))</f>
        <v>0</v>
      </c>
    </row>
    <row r="72" spans="1:53" x14ac:dyDescent="0.25">
      <c r="A72" s="17">
        <f t="shared" si="11"/>
        <v>44957</v>
      </c>
      <c r="B72">
        <f t="shared" si="1"/>
        <v>291</v>
      </c>
      <c r="C72">
        <f t="shared" si="2"/>
        <v>24.166666666666668</v>
      </c>
      <c r="D72">
        <f t="shared" si="36"/>
        <v>0</v>
      </c>
      <c r="E72">
        <f t="shared" si="4"/>
        <v>47</v>
      </c>
      <c r="F72">
        <f>IF(C72&gt;=$H$2,0,VLOOKUP($E72,'Mortality Table'!$A$3:$C$128,2+AB$2,FALSE))</f>
        <v>1.1355999999999998E-3</v>
      </c>
      <c r="G72">
        <f>F72*Assumptions!$B$1</f>
        <v>1.2292869999999999E-3</v>
      </c>
      <c r="H72">
        <f t="shared" si="12"/>
        <v>1.0249834610609465E-4</v>
      </c>
      <c r="I72">
        <f t="shared" si="37"/>
        <v>8.5143031351823408E-5</v>
      </c>
      <c r="J72">
        <f>HLOOKUP(C72,Assumptions!$A$6:$J$7,2,TRUE)</f>
        <v>3.5200000000000002E-2</v>
      </c>
      <c r="K72" s="18">
        <f t="shared" si="5"/>
        <v>1</v>
      </c>
      <c r="L72" s="18">
        <f t="shared" si="14"/>
        <v>8.3333333333333329E-2</v>
      </c>
      <c r="M72" s="18">
        <f t="shared" si="38"/>
        <v>2.9817501439168836E-3</v>
      </c>
      <c r="N72">
        <f t="shared" si="39"/>
        <v>2.4804427264562149E-3</v>
      </c>
      <c r="O72" s="20">
        <f t="shared" si="40"/>
        <v>0.8293518231071042</v>
      </c>
      <c r="P72">
        <f>IF(B72&gt;$AF$2,0,O71*($E$2+IF(E72&lt;=Assumptions!$B$9,$D$2,0))/$I$2*K72)</f>
        <v>42.60803662403125</v>
      </c>
      <c r="Q72">
        <f t="shared" si="18"/>
        <v>26.1</v>
      </c>
      <c r="R72">
        <f>IF(B72&gt;$AF$2,0,IF($Y$2=1,(SUMIF('Mortality Tarif Male'!A:A,E73,'Mortality Tarif Male'!G:G)-SUMIF('Mortality Tarif Male'!A:A,$C$2+$H$2,'Mortality Tarif Male'!G:G)+SUMIF('Mortality Tarif Male'!A:A,$C$2+$H$2,'Mortality Tarif Male'!D:D))/SUMIF('Mortality Tarif Male'!A:A,E73,'Mortality Tarif Male'!D:D),(SUMIF('Mortality Tarif Female'!A:A,E73,'Mortality Tarif Female'!G:G)-SUMIF('Mortality Tarif Female'!A:A,$C$2+$H$2,'Mortality Tarif Female'!G:G)+SUMIF('Mortality Tarif Female'!A:A,$C$2+$H$2,'Mortality Tarif Female'!D:D))/SUMIF('Mortality Tarif Female'!A:A,E73,'Mortality Tarif Female'!D:D)))</f>
        <v>0.58381254110884373</v>
      </c>
      <c r="S72">
        <f>IF(B72&gt;=$AF$2,0,IF($Y$2=1,(SUMIF('Mortality Tarif Male'!A:A,E73+1,'Mortality Tarif Male'!G:G)-SUMIF('Mortality Tarif Male'!A:A,$C$2+$H$2,'Mortality Tarif Male'!G:G)+SUMIF('Mortality Tarif Male'!A:A,$C$2+$H$2,'Mortality Tarif Male'!D:D))/SUMIF('Mortality Tarif Male'!A:A,E73+1,'Mortality Tarif Male'!D:D),(SUMIF('Mortality Tarif Female'!A:A,E73+1,'Mortality Tarif Female'!G:G)-SUMIF('Mortality Tarif Female'!A:A,$C$2+$H$2,'Mortality Tarif Female'!G:G)+SUMIF('Mortality Tarif Female'!A:A,$C$2+$H$2,'Mortality Tarif Female'!D:D))/SUMIF('Mortality Tarif Female'!A:A,E73+1,'Mortality Tarif Female'!D:D)))</f>
        <v>0.60362455571643081</v>
      </c>
      <c r="T72">
        <f t="shared" si="19"/>
        <v>0.75</v>
      </c>
      <c r="U72">
        <f t="shared" si="20"/>
        <v>0.5887655447607405</v>
      </c>
      <c r="V72">
        <f t="shared" si="21"/>
        <v>11775.31089521481</v>
      </c>
      <c r="W72">
        <f t="shared" si="7"/>
        <v>15.366780718255328</v>
      </c>
      <c r="X72">
        <f t="shared" si="8"/>
        <v>0</v>
      </c>
      <c r="Y72">
        <f>IF(B72&gt;$AF$2,0,IF(X73=0,0,(1-X73)*($E$2+IF(E72&lt;=Assumptions!$B$9,$D$2,0))/$I$2*1/(1+$AG$2)*1/(1+Assumptions!$B$11)))</f>
        <v>0</v>
      </c>
      <c r="Z72">
        <f>IF(B72&gt;$AF$2,0,IF($Y$2=1,(SUMIF('Mortality Tarif Male'!A:A,E73,'Mortality Tarif Male'!E:E)-SUMIF('Mortality Tarif Male'!A:A,$C$2+$H$2,'Mortality Tarif Male'!E:E))/SUMIF('Mortality Tarif Male'!A:A,E73,'Mortality Tarif Male'!D:D),(SUMIF('Mortality Tarif Female'!A:A,E73,'Mortality Tarif Female'!E:E)-SUMIF('Mortality Tarif Female'!A:A,$C$2+$H$2,'Mortality Tarif Female'!E:E))/SUMIF('Mortality Tarif Female'!A:A,E73,'Mortality Tarif Female'!D:D)))</f>
        <v>12.324821073294672</v>
      </c>
      <c r="AA72">
        <f>IF(B72&gt;=$AF$2,0,IF($Y$2=1,(SUMIF('Mortality Tarif Male'!A:A,E73+1,'Mortality Tarif Male'!E:E)-SUMIF('Mortality Tarif Male'!A:A,$C$2+$H$2,'Mortality Tarif Male'!E:E))/SUMIF('Mortality Tarif Male'!A:A,E73+1,'Mortality Tarif Male'!D:D),(SUMIF('Mortality Tarif Female'!A:A,E73+1,'Mortality Tarif Female'!E:E)-SUMIF('Mortality Tarif Female'!A:A,$C$2+$H$2,'Mortality Tarif Female'!E:E))/SUMIF('Mortality Tarif Female'!A:A,E73+1,'Mortality Tarif Female'!D:D)))</f>
        <v>11.738821789848721</v>
      </c>
      <c r="AB72">
        <f t="shared" si="0"/>
        <v>2932.841316016923</v>
      </c>
      <c r="AC72">
        <f>IF(B72&gt;=$AF$2,0,MIN(1/3*(V72+W72+Y72-AB72),(V72-AB72),(T72*Z72+(1-T72)*AA72)*$AH$2*Assumptions!$B$22))</f>
        <v>317.43988979789947</v>
      </c>
      <c r="AD72">
        <f t="shared" si="22"/>
        <v>8540.3964701182431</v>
      </c>
      <c r="AE72">
        <f t="shared" si="23"/>
        <v>8857.8363599161421</v>
      </c>
      <c r="AF72">
        <f t="shared" si="24"/>
        <v>8540.3964701182431</v>
      </c>
      <c r="AG72" s="26">
        <f t="shared" si="35"/>
        <v>0</v>
      </c>
      <c r="AH72" s="27">
        <f>IF(B72&gt;$AF$2,0,HLOOKUP(YEAR(A72),Assumptions!$A$34:$AL$37,4,TRUE)/100)</f>
        <v>8.5909999999999997E-3</v>
      </c>
      <c r="AI72">
        <f t="shared" si="25"/>
        <v>0</v>
      </c>
      <c r="AJ72">
        <f t="shared" si="26"/>
        <v>1.7050828601547505</v>
      </c>
      <c r="AK72">
        <f t="shared" si="27"/>
        <v>21.183964305357129</v>
      </c>
      <c r="AL72">
        <f>IF(E72&gt;Assumptions!$B$9,0,SUMPRODUCT($P$2:$X$2,Assumptions!$A$43:$I$43)/$I$2*O71*K72)</f>
        <v>4.6599520890604511</v>
      </c>
      <c r="AM72">
        <f t="shared" si="28"/>
        <v>0</v>
      </c>
      <c r="AN72">
        <f t="shared" si="29"/>
        <v>27.54899925457233</v>
      </c>
      <c r="AO72">
        <f>IF(E72&gt;Assumptions!$B$9,0,($V$2+$X$2)/$I$2*O71*K72*Assumptions!$B$46)</f>
        <v>0</v>
      </c>
      <c r="AP72">
        <f>IF(B72&gt;$AF$2,0,AP71*(1+Assumptions!$B$52)^(1/12))</f>
        <v>1.0518819029951139</v>
      </c>
      <c r="AQ72" s="29">
        <f>IF(B72&gt;$AF$2,0,O71*Assumptions!$B$48/12*AP71+AR72*Assumptions!$B$50/12)</f>
        <v>12.910764441406741</v>
      </c>
      <c r="AR72" s="31">
        <f t="shared" si="30"/>
        <v>7078.5917913732001</v>
      </c>
      <c r="AS72">
        <f t="shared" si="9"/>
        <v>7082.993382550042</v>
      </c>
      <c r="AT72">
        <f t="shared" si="31"/>
        <v>16.695525992859913</v>
      </c>
      <c r="AU72" s="19">
        <f t="shared" si="32"/>
        <v>7091.5935375629642</v>
      </c>
      <c r="AV72" s="19">
        <f t="shared" si="33"/>
        <v>7078.5917913732001</v>
      </c>
      <c r="AW72">
        <f t="shared" si="34"/>
        <v>-11.75626667461</v>
      </c>
      <c r="AX72">
        <f>IF(B72&gt;$AF$2,0,HLOOKUP(YEAR(A72),Assumptions!$A$34:$AL$37,2,TRUE)/100)</f>
        <v>1.4591E-2</v>
      </c>
      <c r="AY72" s="32">
        <f>1/(1+HLOOKUP(YEAR(A72),Assumptions!$A$27:$AL$29,3,TRUE))^(1/12)</f>
        <v>0.99881993499877397</v>
      </c>
      <c r="AZ72" s="30">
        <f t="shared" si="10"/>
        <v>8418.0997738939623</v>
      </c>
      <c r="BA72">
        <f>IF(B72&gt;$AF$2,0,IF($E$2=0,(T72*Z72+(1-T72)*AA72)*$J$2*Assumptions!$B$20,0))</f>
        <v>0</v>
      </c>
    </row>
    <row r="73" spans="1:53" x14ac:dyDescent="0.25">
      <c r="A73" s="17">
        <f t="shared" si="11"/>
        <v>44985</v>
      </c>
      <c r="B73">
        <f t="shared" si="1"/>
        <v>292</v>
      </c>
      <c r="C73">
        <f t="shared" si="2"/>
        <v>24.25</v>
      </c>
      <c r="D73">
        <f t="shared" si="36"/>
        <v>0</v>
      </c>
      <c r="E73">
        <f t="shared" si="4"/>
        <v>47</v>
      </c>
      <c r="F73">
        <f>IF(C73&gt;=$H$2,0,VLOOKUP($E73,'Mortality Table'!$A$3:$C$128,2+AB$2,FALSE))</f>
        <v>1.1355999999999998E-3</v>
      </c>
      <c r="G73">
        <f>F73*Assumptions!$B$1</f>
        <v>1.2292869999999999E-3</v>
      </c>
      <c r="H73">
        <f t="shared" si="12"/>
        <v>1.0249834610609465E-4</v>
      </c>
      <c r="I73">
        <f t="shared" si="37"/>
        <v>8.4880455107733401E-5</v>
      </c>
      <c r="J73">
        <f>HLOOKUP(C73,Assumptions!$A$6:$J$7,2,TRUE)</f>
        <v>3.5200000000000002E-2</v>
      </c>
      <c r="K73" s="18">
        <f t="shared" si="5"/>
        <v>1</v>
      </c>
      <c r="L73" s="18">
        <f t="shared" si="14"/>
        <v>8.3333333333333329E-2</v>
      </c>
      <c r="M73" s="18">
        <f t="shared" si="38"/>
        <v>2.9817501439168836E-3</v>
      </c>
      <c r="N73">
        <f t="shared" si="39"/>
        <v>2.4727931828065187E-3</v>
      </c>
      <c r="O73" s="20">
        <f t="shared" si="40"/>
        <v>0.82679414946919005</v>
      </c>
      <c r="P73">
        <f>IF(B73&gt;$AF$2,0,O72*($E$2+IF(E73&lt;=Assumptions!$B$9,$D$2,0))/$I$2*K73)</f>
        <v>42.476635873468844</v>
      </c>
      <c r="Q73">
        <f t="shared" si="18"/>
        <v>26.1</v>
      </c>
      <c r="R73">
        <f>IF(B73&gt;$AF$2,0,IF($Y$2=1,(SUMIF('Mortality Tarif Male'!A:A,E74,'Mortality Tarif Male'!G:G)-SUMIF('Mortality Tarif Male'!A:A,$C$2+$H$2,'Mortality Tarif Male'!G:G)+SUMIF('Mortality Tarif Male'!A:A,$C$2+$H$2,'Mortality Tarif Male'!D:D))/SUMIF('Mortality Tarif Male'!A:A,E74,'Mortality Tarif Male'!D:D),(SUMIF('Mortality Tarif Female'!A:A,E74,'Mortality Tarif Female'!G:G)-SUMIF('Mortality Tarif Female'!A:A,$C$2+$H$2,'Mortality Tarif Female'!G:G)+SUMIF('Mortality Tarif Female'!A:A,$C$2+$H$2,'Mortality Tarif Female'!D:D))/SUMIF('Mortality Tarif Female'!A:A,E74,'Mortality Tarif Female'!D:D)))</f>
        <v>0.58381254110884373</v>
      </c>
      <c r="S73">
        <f>IF(B73&gt;=$AF$2,0,IF($Y$2=1,(SUMIF('Mortality Tarif Male'!A:A,E74+1,'Mortality Tarif Male'!G:G)-SUMIF('Mortality Tarif Male'!A:A,$C$2+$H$2,'Mortality Tarif Male'!G:G)+SUMIF('Mortality Tarif Male'!A:A,$C$2+$H$2,'Mortality Tarif Male'!D:D))/SUMIF('Mortality Tarif Male'!A:A,E74+1,'Mortality Tarif Male'!D:D),(SUMIF('Mortality Tarif Female'!A:A,E74+1,'Mortality Tarif Female'!G:G)-SUMIF('Mortality Tarif Female'!A:A,$C$2+$H$2,'Mortality Tarif Female'!G:G)+SUMIF('Mortality Tarif Female'!A:A,$C$2+$H$2,'Mortality Tarif Female'!D:D))/SUMIF('Mortality Tarif Female'!A:A,E74+1,'Mortality Tarif Female'!D:D)))</f>
        <v>0.60362455571643081</v>
      </c>
      <c r="T73">
        <f t="shared" si="19"/>
        <v>0.66666666666666785</v>
      </c>
      <c r="U73">
        <f t="shared" si="20"/>
        <v>0.59041654597803939</v>
      </c>
      <c r="V73">
        <f t="shared" si="21"/>
        <v>11808.330919560787</v>
      </c>
      <c r="W73">
        <f t="shared" si="7"/>
        <v>15.409871850026828</v>
      </c>
      <c r="X73">
        <f t="shared" si="8"/>
        <v>0</v>
      </c>
      <c r="Y73">
        <f>IF(B73&gt;$AF$2,0,IF(X74=0,0,(1-X74)*($E$2+IF(E73&lt;=Assumptions!$B$9,$D$2,0))/$I$2*1/(1+$AG$2)*1/(1+Assumptions!$B$11)))</f>
        <v>0</v>
      </c>
      <c r="Z73">
        <f>IF(B73&gt;$AF$2,0,IF($Y$2=1,(SUMIF('Mortality Tarif Male'!A:A,E74,'Mortality Tarif Male'!E:E)-SUMIF('Mortality Tarif Male'!A:A,$C$2+$H$2,'Mortality Tarif Male'!E:E))/SUMIF('Mortality Tarif Male'!A:A,E74,'Mortality Tarif Male'!D:D),(SUMIF('Mortality Tarif Female'!A:A,E74,'Mortality Tarif Female'!E:E)-SUMIF('Mortality Tarif Female'!A:A,$C$2+$H$2,'Mortality Tarif Female'!E:E))/SUMIF('Mortality Tarif Female'!A:A,E74,'Mortality Tarif Female'!D:D)))</f>
        <v>12.324821073294672</v>
      </c>
      <c r="AA73">
        <f>IF(B73&gt;=$AF$2,0,IF($Y$2=1,(SUMIF('Mortality Tarif Male'!A:A,E74+1,'Mortality Tarif Male'!E:E)-SUMIF('Mortality Tarif Male'!A:A,$C$2+$H$2,'Mortality Tarif Male'!E:E))/SUMIF('Mortality Tarif Male'!A:A,E74+1,'Mortality Tarif Male'!D:D),(SUMIF('Mortality Tarif Female'!A:A,E74+1,'Mortality Tarif Female'!E:E)-SUMIF('Mortality Tarif Female'!A:A,$C$2+$H$2,'Mortality Tarif Female'!E:E))/SUMIF('Mortality Tarif Female'!A:A,E74+1,'Mortality Tarif Female'!D:D)))</f>
        <v>11.738821789848721</v>
      </c>
      <c r="AB73">
        <f t="shared" si="0"/>
        <v>2921.0810545242375</v>
      </c>
      <c r="AC73">
        <f>IF(B73&gt;=$AF$2,0,MIN(1/3*(V73+W73+Y73-AB73),(V73-AB73),(T73*Z73+(1-T73)*AA73)*$AH$2*Assumptions!$B$22))</f>
        <v>316.16700261786531</v>
      </c>
      <c r="AD73">
        <f t="shared" si="22"/>
        <v>8586.4927342687115</v>
      </c>
      <c r="AE73">
        <f t="shared" si="23"/>
        <v>8902.6597368865769</v>
      </c>
      <c r="AF73">
        <f t="shared" si="24"/>
        <v>8586.4927342687115</v>
      </c>
      <c r="AG73" s="26">
        <f t="shared" si="35"/>
        <v>0</v>
      </c>
      <c r="AH73" s="27">
        <f>IF(B73&gt;$AF$2,0,HLOOKUP(YEAR(A73),Assumptions!$A$34:$AL$37,4,TRUE)/100)</f>
        <v>8.5909999999999997E-3</v>
      </c>
      <c r="AI73">
        <f t="shared" si="25"/>
        <v>0</v>
      </c>
      <c r="AJ73">
        <f t="shared" si="26"/>
        <v>1.6998244820329798</v>
      </c>
      <c r="AK73">
        <f t="shared" si="27"/>
        <v>21.232620697517373</v>
      </c>
      <c r="AL73">
        <f>IF(E73&gt;Assumptions!$B$9,0,SUMPRODUCT($P$2:$X$2,Assumptions!$A$43:$I$43)/$I$2*O72*K73)</f>
        <v>4.6455810630615195</v>
      </c>
      <c r="AM73">
        <f t="shared" si="28"/>
        <v>0</v>
      </c>
      <c r="AN73">
        <f t="shared" si="29"/>
        <v>27.578026242611873</v>
      </c>
      <c r="AO73">
        <f>IF(E73&gt;Assumptions!$B$9,0,($V$2+$X$2)/$I$2*O72*K73*Assumptions!$B$46)</f>
        <v>0</v>
      </c>
      <c r="AP73">
        <f>IF(B73&gt;$AF$2,0,AP72*(1+Assumptions!$B$52)^(1/12))</f>
        <v>1.0527544791254393</v>
      </c>
      <c r="AQ73" s="29">
        <f>IF(B73&gt;$AF$2,0,O72*Assumptions!$B$48/12*AP72+AR73*Assumptions!$B$50/12)</f>
        <v>12.886608466545521</v>
      </c>
      <c r="AR73" s="31">
        <f t="shared" si="30"/>
        <v>7083.2355727569584</v>
      </c>
      <c r="AS73">
        <f t="shared" si="9"/>
        <v>7099.2619571530795</v>
      </c>
      <c r="AT73">
        <f t="shared" si="31"/>
        <v>16.644037944587382</v>
      </c>
      <c r="AU73" s="19">
        <f t="shared" si="32"/>
        <v>7096.1815622192944</v>
      </c>
      <c r="AV73" s="19">
        <f t="shared" si="33"/>
        <v>7094.9918394315682</v>
      </c>
      <c r="AW73">
        <f t="shared" si="34"/>
        <v>-23.554074533905805</v>
      </c>
      <c r="AX73">
        <f>IF(B73&gt;$AF$2,0,HLOOKUP(YEAR(A73),Assumptions!$A$34:$AL$37,2,TRUE)/100)</f>
        <v>1.4591E-2</v>
      </c>
      <c r="AY73" s="32">
        <f>1/(1+HLOOKUP(YEAR(A73),Assumptions!$A$27:$AL$29,3,TRUE))^(1/12)</f>
        <v>0.99881993499877397</v>
      </c>
      <c r="AZ73" s="30">
        <f t="shared" si="10"/>
        <v>8430.0574164816317</v>
      </c>
      <c r="BA73">
        <f>IF(B73&gt;$AF$2,0,IF($E$2=0,(T73*Z73+(1-T73)*AA73)*$J$2*Assumptions!$B$20,0))</f>
        <v>0</v>
      </c>
    </row>
    <row r="74" spans="1:53" x14ac:dyDescent="0.25">
      <c r="A74" s="17">
        <f t="shared" si="11"/>
        <v>45016</v>
      </c>
      <c r="B74">
        <f t="shared" si="1"/>
        <v>293</v>
      </c>
      <c r="C74">
        <f t="shared" si="2"/>
        <v>24.333333333333332</v>
      </c>
      <c r="D74">
        <f t="shared" si="36"/>
        <v>0</v>
      </c>
      <c r="E74">
        <f t="shared" si="4"/>
        <v>47</v>
      </c>
      <c r="F74">
        <f>IF(C74&gt;=$H$2,0,VLOOKUP($E74,'Mortality Table'!$A$3:$C$128,2+AB$2,FALSE))</f>
        <v>1.1355999999999998E-3</v>
      </c>
      <c r="G74">
        <f>F74*Assumptions!$B$1</f>
        <v>1.2292869999999999E-3</v>
      </c>
      <c r="H74">
        <f t="shared" si="12"/>
        <v>1.0249834610609465E-4</v>
      </c>
      <c r="I74">
        <f t="shared" si="37"/>
        <v>8.4618688633778021E-5</v>
      </c>
      <c r="J74">
        <f>HLOOKUP(C74,Assumptions!$A$6:$J$7,2,TRUE)</f>
        <v>3.5200000000000002E-2</v>
      </c>
      <c r="K74" s="18">
        <f t="shared" si="5"/>
        <v>1</v>
      </c>
      <c r="L74" s="18">
        <f t="shared" si="14"/>
        <v>8.3333333333333329E-2</v>
      </c>
      <c r="M74" s="18">
        <f t="shared" si="38"/>
        <v>2.9817501439168836E-3</v>
      </c>
      <c r="N74">
        <f t="shared" si="39"/>
        <v>2.4651672299123854E-3</v>
      </c>
      <c r="O74" s="20">
        <f t="shared" si="40"/>
        <v>0.8242443635506439</v>
      </c>
      <c r="P74">
        <f>IF(B74&gt;$AF$2,0,O73*($E$2+IF(E74&lt;=Assumptions!$B$9,$D$2,0))/$I$2*K74)</f>
        <v>42.345640355313677</v>
      </c>
      <c r="Q74">
        <f t="shared" si="18"/>
        <v>26.1</v>
      </c>
      <c r="R74">
        <f>IF(B74&gt;$AF$2,0,IF($Y$2=1,(SUMIF('Mortality Tarif Male'!A:A,E75,'Mortality Tarif Male'!G:G)-SUMIF('Mortality Tarif Male'!A:A,$C$2+$H$2,'Mortality Tarif Male'!G:G)+SUMIF('Mortality Tarif Male'!A:A,$C$2+$H$2,'Mortality Tarif Male'!D:D))/SUMIF('Mortality Tarif Male'!A:A,E75,'Mortality Tarif Male'!D:D),(SUMIF('Mortality Tarif Female'!A:A,E75,'Mortality Tarif Female'!G:G)-SUMIF('Mortality Tarif Female'!A:A,$C$2+$H$2,'Mortality Tarif Female'!G:G)+SUMIF('Mortality Tarif Female'!A:A,$C$2+$H$2,'Mortality Tarif Female'!D:D))/SUMIF('Mortality Tarif Female'!A:A,E75,'Mortality Tarif Female'!D:D)))</f>
        <v>0.58381254110884373</v>
      </c>
      <c r="S74">
        <f>IF(B74&gt;=$AF$2,0,IF($Y$2=1,(SUMIF('Mortality Tarif Male'!A:A,E75+1,'Mortality Tarif Male'!G:G)-SUMIF('Mortality Tarif Male'!A:A,$C$2+$H$2,'Mortality Tarif Male'!G:G)+SUMIF('Mortality Tarif Male'!A:A,$C$2+$H$2,'Mortality Tarif Male'!D:D))/SUMIF('Mortality Tarif Male'!A:A,E75+1,'Mortality Tarif Male'!D:D),(SUMIF('Mortality Tarif Female'!A:A,E75+1,'Mortality Tarif Female'!G:G)-SUMIF('Mortality Tarif Female'!A:A,$C$2+$H$2,'Mortality Tarif Female'!G:G)+SUMIF('Mortality Tarif Female'!A:A,$C$2+$H$2,'Mortality Tarif Female'!D:D))/SUMIF('Mortality Tarif Female'!A:A,E75+1,'Mortality Tarif Female'!D:D)))</f>
        <v>0.60362455571643081</v>
      </c>
      <c r="T74">
        <f t="shared" si="19"/>
        <v>0.58333333333333215</v>
      </c>
      <c r="U74">
        <f t="shared" si="20"/>
        <v>0.59206754719533838</v>
      </c>
      <c r="V74">
        <f t="shared" si="21"/>
        <v>11841.350943906767</v>
      </c>
      <c r="W74">
        <f t="shared" si="7"/>
        <v>15.452962981798333</v>
      </c>
      <c r="X74">
        <f t="shared" si="8"/>
        <v>0</v>
      </c>
      <c r="Y74">
        <f>IF(B74&gt;$AF$2,0,IF(X75=0,0,(1-X75)*($E$2+IF(E74&lt;=Assumptions!$B$9,$D$2,0))/$I$2*1/(1+$AG$2)*1/(1+Assumptions!$B$11)))</f>
        <v>0</v>
      </c>
      <c r="Z74">
        <f>IF(B74&gt;$AF$2,0,IF($Y$2=1,(SUMIF('Mortality Tarif Male'!A:A,E75,'Mortality Tarif Male'!E:E)-SUMIF('Mortality Tarif Male'!A:A,$C$2+$H$2,'Mortality Tarif Male'!E:E))/SUMIF('Mortality Tarif Male'!A:A,E75,'Mortality Tarif Male'!D:D),(SUMIF('Mortality Tarif Female'!A:A,E75,'Mortality Tarif Female'!E:E)-SUMIF('Mortality Tarif Female'!A:A,$C$2+$H$2,'Mortality Tarif Female'!E:E))/SUMIF('Mortality Tarif Female'!A:A,E75,'Mortality Tarif Female'!D:D)))</f>
        <v>12.324821073294672</v>
      </c>
      <c r="AA74">
        <f>IF(B74&gt;=$AF$2,0,IF($Y$2=1,(SUMIF('Mortality Tarif Male'!A:A,E75+1,'Mortality Tarif Male'!E:E)-SUMIF('Mortality Tarif Male'!A:A,$C$2+$H$2,'Mortality Tarif Male'!E:E))/SUMIF('Mortality Tarif Male'!A:A,E75+1,'Mortality Tarif Male'!D:D),(SUMIF('Mortality Tarif Female'!A:A,E75+1,'Mortality Tarif Female'!E:E)-SUMIF('Mortality Tarif Female'!A:A,$C$2+$H$2,'Mortality Tarif Female'!E:E))/SUMIF('Mortality Tarif Female'!A:A,E75+1,'Mortality Tarif Female'!D:D)))</f>
        <v>11.738821789848721</v>
      </c>
      <c r="AB74">
        <f t="shared" si="0"/>
        <v>2909.3207930315511</v>
      </c>
      <c r="AC74">
        <f>IF(B74&gt;=$AF$2,0,MIN(1/3*(V74+W74+Y74-AB74),(V74-AB74),(T74*Z74+(1-T74)*AA74)*$AH$2*Assumptions!$B$22))</f>
        <v>314.89411543783098</v>
      </c>
      <c r="AD74">
        <f t="shared" si="22"/>
        <v>8632.5889984191836</v>
      </c>
      <c r="AE74">
        <f t="shared" si="23"/>
        <v>8947.4831138570153</v>
      </c>
      <c r="AF74">
        <f t="shared" si="24"/>
        <v>8632.5889984191836</v>
      </c>
      <c r="AG74" s="26">
        <f t="shared" si="35"/>
        <v>0</v>
      </c>
      <c r="AH74" s="27">
        <f>IF(B74&gt;$AF$2,0,HLOOKUP(YEAR(A74),Assumptions!$A$34:$AL$37,4,TRUE)/100)</f>
        <v>8.5909999999999997E-3</v>
      </c>
      <c r="AI74">
        <f t="shared" si="25"/>
        <v>0</v>
      </c>
      <c r="AJ74">
        <f t="shared" si="26"/>
        <v>1.6945823204489019</v>
      </c>
      <c r="AK74">
        <f t="shared" si="27"/>
        <v>21.280775508205153</v>
      </c>
      <c r="AL74">
        <f>IF(E74&gt;Assumptions!$B$9,0,SUMPRODUCT($P$2:$X$2,Assumptions!$A$43:$I$43)/$I$2*O73*K74)</f>
        <v>4.6312543564856892</v>
      </c>
      <c r="AM74">
        <f t="shared" si="28"/>
        <v>0</v>
      </c>
      <c r="AN74">
        <f t="shared" si="29"/>
        <v>27.606612185139745</v>
      </c>
      <c r="AO74">
        <f>IF(E74&gt;Assumptions!$B$9,0,($V$2+$X$2)/$I$2*O73*K74*Assumptions!$B$46)</f>
        <v>0</v>
      </c>
      <c r="AP74">
        <f>IF(B74&gt;$AF$2,0,AP73*(1+Assumptions!$B$52)^(1/12))</f>
        <v>1.0536277790909225</v>
      </c>
      <c r="AQ74" s="29">
        <f>IF(B74&gt;$AF$2,0,O73*Assumptions!$B$48/12*AP73+AR74*Assumptions!$B$50/12)</f>
        <v>12.862458789540529</v>
      </c>
      <c r="AR74" s="31">
        <f t="shared" si="30"/>
        <v>7087.6693369452023</v>
      </c>
      <c r="AS74">
        <f t="shared" si="9"/>
        <v>7115.3628247963106</v>
      </c>
      <c r="AT74">
        <f t="shared" si="31"/>
        <v>16.592708682513983</v>
      </c>
      <c r="AU74" s="19">
        <f t="shared" si="32"/>
        <v>7100.5598098284618</v>
      </c>
      <c r="AV74" s="19">
        <f t="shared" si="33"/>
        <v>7111.2234114791081</v>
      </c>
      <c r="AW74">
        <f t="shared" si="34"/>
        <v>-35.393193281665248</v>
      </c>
      <c r="AX74">
        <f>IF(B74&gt;$AF$2,0,HLOOKUP(YEAR(A74),Assumptions!$A$34:$AL$37,2,TRUE)/100)</f>
        <v>1.4591E-2</v>
      </c>
      <c r="AY74" s="32">
        <f>1/(1+HLOOKUP(YEAR(A74),Assumptions!$A$27:$AL$29,3,TRUE))^(1/12)</f>
        <v>0.99881993499877397</v>
      </c>
      <c r="AZ74" s="30">
        <f t="shared" si="10"/>
        <v>8441.8937547524674</v>
      </c>
      <c r="BA74">
        <f>IF(B74&gt;$AF$2,0,IF($E$2=0,(T74*Z74+(1-T74)*AA74)*$J$2*Assumptions!$B$20,0))</f>
        <v>0</v>
      </c>
    </row>
    <row r="75" spans="1:53" x14ac:dyDescent="0.25">
      <c r="A75" s="17">
        <f t="shared" si="11"/>
        <v>45046</v>
      </c>
      <c r="B75">
        <f t="shared" si="1"/>
        <v>294</v>
      </c>
      <c r="C75">
        <f t="shared" si="2"/>
        <v>24.416666666666668</v>
      </c>
      <c r="D75">
        <f t="shared" si="36"/>
        <v>0</v>
      </c>
      <c r="E75">
        <f t="shared" si="4"/>
        <v>47</v>
      </c>
      <c r="F75">
        <f>IF(C75&gt;=$H$2,0,VLOOKUP($E75,'Mortality Table'!$A$3:$C$128,2+AB$2,FALSE))</f>
        <v>1.1355999999999998E-3</v>
      </c>
      <c r="G75">
        <f>F75*Assumptions!$B$1</f>
        <v>1.2292869999999999E-3</v>
      </c>
      <c r="H75">
        <f t="shared" si="12"/>
        <v>1.0249834610609465E-4</v>
      </c>
      <c r="I75">
        <f t="shared" si="37"/>
        <v>8.4357729432672432E-5</v>
      </c>
      <c r="J75">
        <f>HLOOKUP(C75,Assumptions!$A$6:$J$7,2,TRUE)</f>
        <v>3.5200000000000002E-2</v>
      </c>
      <c r="K75" s="18">
        <f t="shared" si="5"/>
        <v>1</v>
      </c>
      <c r="L75" s="18">
        <f t="shared" si="14"/>
        <v>8.3333333333333329E-2</v>
      </c>
      <c r="M75" s="18">
        <f t="shared" si="38"/>
        <v>2.9817501439168836E-3</v>
      </c>
      <c r="N75">
        <f t="shared" si="39"/>
        <v>2.4575647950212734E-3</v>
      </c>
      <c r="O75" s="20">
        <f t="shared" si="40"/>
        <v>0.82170244102618994</v>
      </c>
      <c r="P75">
        <f>IF(B75&gt;$AF$2,0,O74*($E$2+IF(E75&lt;=Assumptions!$B$9,$D$2,0))/$I$2*K75)</f>
        <v>42.215048819852136</v>
      </c>
      <c r="Q75">
        <f t="shared" si="18"/>
        <v>26.1</v>
      </c>
      <c r="R75">
        <f>IF(B75&gt;$AF$2,0,IF($Y$2=1,(SUMIF('Mortality Tarif Male'!A:A,E76,'Mortality Tarif Male'!G:G)-SUMIF('Mortality Tarif Male'!A:A,$C$2+$H$2,'Mortality Tarif Male'!G:G)+SUMIF('Mortality Tarif Male'!A:A,$C$2+$H$2,'Mortality Tarif Male'!D:D))/SUMIF('Mortality Tarif Male'!A:A,E76,'Mortality Tarif Male'!D:D),(SUMIF('Mortality Tarif Female'!A:A,E76,'Mortality Tarif Female'!G:G)-SUMIF('Mortality Tarif Female'!A:A,$C$2+$H$2,'Mortality Tarif Female'!G:G)+SUMIF('Mortality Tarif Female'!A:A,$C$2+$H$2,'Mortality Tarif Female'!D:D))/SUMIF('Mortality Tarif Female'!A:A,E76,'Mortality Tarif Female'!D:D)))</f>
        <v>0.58381254110884373</v>
      </c>
      <c r="S75">
        <f>IF(B75&gt;=$AF$2,0,IF($Y$2=1,(SUMIF('Mortality Tarif Male'!A:A,E76+1,'Mortality Tarif Male'!G:G)-SUMIF('Mortality Tarif Male'!A:A,$C$2+$H$2,'Mortality Tarif Male'!G:G)+SUMIF('Mortality Tarif Male'!A:A,$C$2+$H$2,'Mortality Tarif Male'!D:D))/SUMIF('Mortality Tarif Male'!A:A,E76+1,'Mortality Tarif Male'!D:D),(SUMIF('Mortality Tarif Female'!A:A,E76+1,'Mortality Tarif Female'!G:G)-SUMIF('Mortality Tarif Female'!A:A,$C$2+$H$2,'Mortality Tarif Female'!G:G)+SUMIF('Mortality Tarif Female'!A:A,$C$2+$H$2,'Mortality Tarif Female'!D:D))/SUMIF('Mortality Tarif Female'!A:A,E76+1,'Mortality Tarif Female'!D:D)))</f>
        <v>0.60362455571643081</v>
      </c>
      <c r="T75">
        <f t="shared" si="19"/>
        <v>0.5</v>
      </c>
      <c r="U75">
        <f t="shared" si="20"/>
        <v>0.59371854841263727</v>
      </c>
      <c r="V75">
        <f t="shared" si="21"/>
        <v>11874.370968252746</v>
      </c>
      <c r="W75">
        <f t="shared" si="7"/>
        <v>15.496054113569834</v>
      </c>
      <c r="X75">
        <f t="shared" si="8"/>
        <v>0</v>
      </c>
      <c r="Y75">
        <f>IF(B75&gt;$AF$2,0,IF(X76=0,0,(1-X76)*($E$2+IF(E75&lt;=Assumptions!$B$9,$D$2,0))/$I$2*1/(1+$AG$2)*1/(1+Assumptions!$B$11)))</f>
        <v>0</v>
      </c>
      <c r="Z75">
        <f>IF(B75&gt;$AF$2,0,IF($Y$2=1,(SUMIF('Mortality Tarif Male'!A:A,E76,'Mortality Tarif Male'!E:E)-SUMIF('Mortality Tarif Male'!A:A,$C$2+$H$2,'Mortality Tarif Male'!E:E))/SUMIF('Mortality Tarif Male'!A:A,E76,'Mortality Tarif Male'!D:D),(SUMIF('Mortality Tarif Female'!A:A,E76,'Mortality Tarif Female'!E:E)-SUMIF('Mortality Tarif Female'!A:A,$C$2+$H$2,'Mortality Tarif Female'!E:E))/SUMIF('Mortality Tarif Female'!A:A,E76,'Mortality Tarif Female'!D:D)))</f>
        <v>12.324821073294672</v>
      </c>
      <c r="AA75">
        <f>IF(B75&gt;=$AF$2,0,IF($Y$2=1,(SUMIF('Mortality Tarif Male'!A:A,E76+1,'Mortality Tarif Male'!E:E)-SUMIF('Mortality Tarif Male'!A:A,$C$2+$H$2,'Mortality Tarif Male'!E:E))/SUMIF('Mortality Tarif Male'!A:A,E76+1,'Mortality Tarif Male'!D:D),(SUMIF('Mortality Tarif Female'!A:A,E76+1,'Mortality Tarif Female'!E:E)-SUMIF('Mortality Tarif Female'!A:A,$C$2+$H$2,'Mortality Tarif Female'!E:E))/SUMIF('Mortality Tarif Female'!A:A,E76+1,'Mortality Tarif Female'!D:D)))</f>
        <v>11.738821789848721</v>
      </c>
      <c r="AB75">
        <f t="shared" ref="AB75:AB138" si="41">IF(B75&gt;=$AF$2,0,(T75*Z75+(1-T75)*AA75))*$AI$2</f>
        <v>2897.5605315388652</v>
      </c>
      <c r="AC75">
        <f>IF(B75&gt;=$AF$2,0,MIN(1/3*(V75+W75+Y75-AB75),(V75-AB75),(T75*Z75+(1-T75)*AA75)*$AH$2*Assumptions!$B$22))</f>
        <v>313.62122825779676</v>
      </c>
      <c r="AD75">
        <f t="shared" si="22"/>
        <v>8678.6852625696538</v>
      </c>
      <c r="AE75">
        <f t="shared" si="23"/>
        <v>8992.30649082745</v>
      </c>
      <c r="AF75">
        <f t="shared" si="24"/>
        <v>8678.6852625696538</v>
      </c>
      <c r="AG75" s="26">
        <f t="shared" si="35"/>
        <v>0</v>
      </c>
      <c r="AH75" s="27">
        <f>IF(B75&gt;$AF$2,0,HLOOKUP(YEAR(A75),Assumptions!$A$34:$AL$37,4,TRUE)/100)</f>
        <v>8.5909999999999997E-3</v>
      </c>
      <c r="AI75">
        <f t="shared" si="25"/>
        <v>0</v>
      </c>
      <c r="AJ75">
        <f t="shared" si="26"/>
        <v>1.6893563253916413</v>
      </c>
      <c r="AK75">
        <f t="shared" si="27"/>
        <v>21.328431368361137</v>
      </c>
      <c r="AL75">
        <f>IF(E75&gt;Assumptions!$B$9,0,SUMPRODUCT($P$2:$X$2,Assumptions!$A$43:$I$43)/$I$2*O74*K75)</f>
        <v>4.6169718326543894</v>
      </c>
      <c r="AM75">
        <f t="shared" si="28"/>
        <v>0</v>
      </c>
      <c r="AN75">
        <f t="shared" si="29"/>
        <v>27.634759526407169</v>
      </c>
      <c r="AO75">
        <f>IF(E75&gt;Assumptions!$B$9,0,($V$2+$X$2)/$I$2*O74*K75*Assumptions!$B$46)</f>
        <v>0</v>
      </c>
      <c r="AP75">
        <f>IF(B75&gt;$AF$2,0,AP74*(1+Assumptions!$B$52)^(1/12))</f>
        <v>1.0545018034920124</v>
      </c>
      <c r="AQ75" s="29">
        <f>IF(B75&gt;$AF$2,0,O74*Assumptions!$B$48/12*AP74+AR75*Assumptions!$B$50/12)</f>
        <v>12.838315550713894</v>
      </c>
      <c r="AR75" s="31">
        <f t="shared" si="30"/>
        <v>7091.8941973989431</v>
      </c>
      <c r="AS75">
        <f t="shared" si="9"/>
        <v>7131.2968651515048</v>
      </c>
      <c r="AT75">
        <f t="shared" si="31"/>
        <v>16.541537716952153</v>
      </c>
      <c r="AU75" s="19">
        <f t="shared" si="32"/>
        <v>7104.7293929511297</v>
      </c>
      <c r="AV75" s="19">
        <f t="shared" si="33"/>
        <v>7127.287390680608</v>
      </c>
      <c r="AW75">
        <f t="shared" si="34"/>
        <v>-47.2733938133251</v>
      </c>
      <c r="AX75">
        <f>IF(B75&gt;$AF$2,0,HLOOKUP(YEAR(A75),Assumptions!$A$34:$AL$37,2,TRUE)/100)</f>
        <v>1.4591E-2</v>
      </c>
      <c r="AY75" s="32">
        <f>1/(1+HLOOKUP(YEAR(A75),Assumptions!$A$27:$AL$29,3,TRUE))^(1/12)</f>
        <v>0.99881993499877397</v>
      </c>
      <c r="AZ75" s="30">
        <f t="shared" si="10"/>
        <v>8453.609481536143</v>
      </c>
      <c r="BA75">
        <f>IF(B75&gt;$AF$2,0,IF($E$2=0,(T75*Z75+(1-T75)*AA75)*$J$2*Assumptions!$B$20,0))</f>
        <v>0</v>
      </c>
    </row>
    <row r="76" spans="1:53" x14ac:dyDescent="0.25">
      <c r="A76" s="17">
        <f t="shared" si="11"/>
        <v>45077</v>
      </c>
      <c r="B76">
        <f t="shared" ref="B76:B139" si="42">B75+1</f>
        <v>295</v>
      </c>
      <c r="C76">
        <f t="shared" ref="C76:C139" si="43">(B76+11)/12-1</f>
        <v>24.5</v>
      </c>
      <c r="D76">
        <f t="shared" si="36"/>
        <v>0</v>
      </c>
      <c r="E76">
        <f t="shared" ref="E76:E139" si="44">$C$2+INT($C76)</f>
        <v>47</v>
      </c>
      <c r="F76">
        <f>IF(C76&gt;=$H$2,0,VLOOKUP($E76,'Mortality Table'!$A$3:$C$128,2+AB$2,FALSE))</f>
        <v>1.1355999999999998E-3</v>
      </c>
      <c r="G76">
        <f>F76*Assumptions!$B$1</f>
        <v>1.2292869999999999E-3</v>
      </c>
      <c r="H76">
        <f t="shared" si="12"/>
        <v>1.0249834610609465E-4</v>
      </c>
      <c r="I76">
        <f t="shared" si="37"/>
        <v>8.4097575014833306E-5</v>
      </c>
      <c r="J76">
        <f>HLOOKUP(C76,Assumptions!$A$6:$J$7,2,TRUE)</f>
        <v>3.5200000000000002E-2</v>
      </c>
      <c r="K76" s="18">
        <f t="shared" ref="K76:K139" si="45">IF(B76&gt;$AF$2,0,IF(($I$2*(B76+11))/12-INT(($I$2*(B76+11))/12)=0,1,0))</f>
        <v>1</v>
      </c>
      <c r="L76" s="18">
        <f t="shared" si="14"/>
        <v>8.3333333333333329E-2</v>
      </c>
      <c r="M76" s="18">
        <f t="shared" si="38"/>
        <v>2.9817501439168836E-3</v>
      </c>
      <c r="N76">
        <f t="shared" si="39"/>
        <v>2.4499858056050046E-3</v>
      </c>
      <c r="O76" s="20">
        <f t="shared" si="40"/>
        <v>0.81916835764557017</v>
      </c>
      <c r="P76">
        <f>IF(B76&gt;$AF$2,0,O75*($E$2+IF(E76&lt;=Assumptions!$B$9,$D$2,0))/$I$2*K76)</f>
        <v>42.084860021224692</v>
      </c>
      <c r="Q76">
        <f t="shared" si="18"/>
        <v>26.1</v>
      </c>
      <c r="R76">
        <f>IF(B76&gt;$AF$2,0,IF($Y$2=1,(SUMIF('Mortality Tarif Male'!A:A,E77,'Mortality Tarif Male'!G:G)-SUMIF('Mortality Tarif Male'!A:A,$C$2+$H$2,'Mortality Tarif Male'!G:G)+SUMIF('Mortality Tarif Male'!A:A,$C$2+$H$2,'Mortality Tarif Male'!D:D))/SUMIF('Mortality Tarif Male'!A:A,E77,'Mortality Tarif Male'!D:D),(SUMIF('Mortality Tarif Female'!A:A,E77,'Mortality Tarif Female'!G:G)-SUMIF('Mortality Tarif Female'!A:A,$C$2+$H$2,'Mortality Tarif Female'!G:G)+SUMIF('Mortality Tarif Female'!A:A,$C$2+$H$2,'Mortality Tarif Female'!D:D))/SUMIF('Mortality Tarif Female'!A:A,E77,'Mortality Tarif Female'!D:D)))</f>
        <v>0.58381254110884373</v>
      </c>
      <c r="S76">
        <f>IF(B76&gt;=$AF$2,0,IF($Y$2=1,(SUMIF('Mortality Tarif Male'!A:A,E77+1,'Mortality Tarif Male'!G:G)-SUMIF('Mortality Tarif Male'!A:A,$C$2+$H$2,'Mortality Tarif Male'!G:G)+SUMIF('Mortality Tarif Male'!A:A,$C$2+$H$2,'Mortality Tarif Male'!D:D))/SUMIF('Mortality Tarif Male'!A:A,E77+1,'Mortality Tarif Male'!D:D),(SUMIF('Mortality Tarif Female'!A:A,E77+1,'Mortality Tarif Female'!G:G)-SUMIF('Mortality Tarif Female'!A:A,$C$2+$H$2,'Mortality Tarif Female'!G:G)+SUMIF('Mortality Tarif Female'!A:A,$C$2+$H$2,'Mortality Tarif Female'!D:D))/SUMIF('Mortality Tarif Female'!A:A,E77+1,'Mortality Tarif Female'!D:D)))</f>
        <v>0.60362455571643081</v>
      </c>
      <c r="T76">
        <f t="shared" si="19"/>
        <v>0.41666666666666785</v>
      </c>
      <c r="U76">
        <f t="shared" si="20"/>
        <v>0.59536954962993616</v>
      </c>
      <c r="V76">
        <f t="shared" si="21"/>
        <v>11907.390992598723</v>
      </c>
      <c r="W76">
        <f t="shared" ref="W76:W139" si="46">IF(B76&gt;$AF$2,0,(T76*R76+(1-T76)*S76)*(Q75))</f>
        <v>15.539145245341334</v>
      </c>
      <c r="X76">
        <f t="shared" ref="X76:X139" si="47">($I$2*(B76+11))/12-INT(($I$2*(B76+11))/12)</f>
        <v>0</v>
      </c>
      <c r="Y76">
        <f>IF(B76&gt;$AF$2,0,IF(X77=0,0,(1-X77)*($E$2+IF(E76&lt;=Assumptions!$B$9,$D$2,0))/$I$2*1/(1+$AG$2)*1/(1+Assumptions!$B$11)))</f>
        <v>0</v>
      </c>
      <c r="Z76">
        <f>IF(B76&gt;$AF$2,0,IF($Y$2=1,(SUMIF('Mortality Tarif Male'!A:A,E77,'Mortality Tarif Male'!E:E)-SUMIF('Mortality Tarif Male'!A:A,$C$2+$H$2,'Mortality Tarif Male'!E:E))/SUMIF('Mortality Tarif Male'!A:A,E77,'Mortality Tarif Male'!D:D),(SUMIF('Mortality Tarif Female'!A:A,E77,'Mortality Tarif Female'!E:E)-SUMIF('Mortality Tarif Female'!A:A,$C$2+$H$2,'Mortality Tarif Female'!E:E))/SUMIF('Mortality Tarif Female'!A:A,E77,'Mortality Tarif Female'!D:D)))</f>
        <v>12.324821073294672</v>
      </c>
      <c r="AA76">
        <f>IF(B76&gt;=$AF$2,0,IF($Y$2=1,(SUMIF('Mortality Tarif Male'!A:A,E77+1,'Mortality Tarif Male'!E:E)-SUMIF('Mortality Tarif Male'!A:A,$C$2+$H$2,'Mortality Tarif Male'!E:E))/SUMIF('Mortality Tarif Male'!A:A,E77+1,'Mortality Tarif Male'!D:D),(SUMIF('Mortality Tarif Female'!A:A,E77+1,'Mortality Tarif Female'!E:E)-SUMIF('Mortality Tarif Female'!A:A,$C$2+$H$2,'Mortality Tarif Female'!E:E))/SUMIF('Mortality Tarif Female'!A:A,E77+1,'Mortality Tarif Female'!D:D)))</f>
        <v>11.738821789848721</v>
      </c>
      <c r="AB76">
        <f t="shared" si="41"/>
        <v>2885.8002700461793</v>
      </c>
      <c r="AC76">
        <f>IF(B76&gt;=$AF$2,0,MIN(1/3*(V76+W76+Y76-AB76),(V76-AB76),(T76*Z76+(1-T76)*AA76)*$AH$2*Assumptions!$B$22))</f>
        <v>312.34834107776254</v>
      </c>
      <c r="AD76">
        <f t="shared" si="22"/>
        <v>8724.7815267201222</v>
      </c>
      <c r="AE76">
        <f t="shared" si="23"/>
        <v>9037.1298677978848</v>
      </c>
      <c r="AF76">
        <f t="shared" si="24"/>
        <v>8724.7815267201222</v>
      </c>
      <c r="AG76" s="26">
        <f t="shared" si="35"/>
        <v>0</v>
      </c>
      <c r="AH76" s="27">
        <f>IF(B76&gt;$AF$2,0,HLOOKUP(YEAR(A76),Assumptions!$A$34:$AL$37,4,TRUE)/100)</f>
        <v>8.5909999999999997E-3</v>
      </c>
      <c r="AI76">
        <f t="shared" si="25"/>
        <v>0</v>
      </c>
      <c r="AJ76">
        <f t="shared" si="26"/>
        <v>1.6841464470045531</v>
      </c>
      <c r="AK76">
        <f t="shared" si="27"/>
        <v>21.37559089746906</v>
      </c>
      <c r="AL76">
        <f>IF(E76&gt;Assumptions!$B$9,0,SUMPRODUCT($P$2:$X$2,Assumptions!$A$43:$I$43)/$I$2*O75*K76)</f>
        <v>4.6027333553105612</v>
      </c>
      <c r="AM76">
        <f t="shared" si="28"/>
        <v>0</v>
      </c>
      <c r="AN76">
        <f t="shared" si="29"/>
        <v>27.662470699784176</v>
      </c>
      <c r="AO76">
        <f>IF(E76&gt;Assumptions!$B$9,0,($V$2+$X$2)/$I$2*O75*K76*Assumptions!$B$46)</f>
        <v>0</v>
      </c>
      <c r="AP76">
        <f>IF(B76&gt;$AF$2,0,AP75*(1+Assumptions!$B$52)^(1/12))</f>
        <v>1.0553765529296557</v>
      </c>
      <c r="AQ76" s="29">
        <f>IF(B76&gt;$AF$2,0,O75*Assumptions!$B$48/12*AP75+AR76*Assumptions!$B$50/12)</f>
        <v>12.814178889461189</v>
      </c>
      <c r="AR76" s="31">
        <f t="shared" si="30"/>
        <v>7095.9112625425942</v>
      </c>
      <c r="AS76">
        <f t="shared" ref="AS76:AS139" si="48">AD76*O76</f>
        <v>7147.0649540597324</v>
      </c>
      <c r="AT76">
        <f t="shared" si="31"/>
        <v>16.490524559724488</v>
      </c>
      <c r="AU76" s="19">
        <f t="shared" si="32"/>
        <v>7108.6914191146334</v>
      </c>
      <c r="AV76" s="19">
        <f t="shared" si="33"/>
        <v>7143.1846563559193</v>
      </c>
      <c r="AW76">
        <f t="shared" si="34"/>
        <v>-59.194448211022198</v>
      </c>
      <c r="AX76">
        <f>IF(B76&gt;$AF$2,0,HLOOKUP(YEAR(A76),Assumptions!$A$34:$AL$37,2,TRUE)/100)</f>
        <v>1.4591E-2</v>
      </c>
      <c r="AY76" s="32">
        <f>1/(1+HLOOKUP(YEAR(A76),Assumptions!$A$27:$AL$29,3,TRUE))^(1/12)</f>
        <v>0.99881993499877397</v>
      </c>
      <c r="AZ76" s="30">
        <f t="shared" ref="AZ76:AZ139" si="49">(AZ77+AN77+AO77+AQ77-P77)*AY77</f>
        <v>8465.2052866622598</v>
      </c>
      <c r="BA76">
        <f>IF(B76&gt;$AF$2,0,IF($E$2=0,(T76*Z76+(1-T76)*AA76)*$J$2*Assumptions!$B$20,0))</f>
        <v>0</v>
      </c>
    </row>
    <row r="77" spans="1:53" x14ac:dyDescent="0.25">
      <c r="A77" s="17">
        <f t="shared" ref="A77:A140" si="50">DATE(YEAR(A76),MONTH(A76)+2,1)-1</f>
        <v>45107</v>
      </c>
      <c r="B77">
        <f t="shared" si="42"/>
        <v>296</v>
      </c>
      <c r="C77">
        <f t="shared" si="43"/>
        <v>24.583333333333332</v>
      </c>
      <c r="D77">
        <f t="shared" si="36"/>
        <v>0</v>
      </c>
      <c r="E77">
        <f t="shared" si="44"/>
        <v>47</v>
      </c>
      <c r="F77">
        <f>IF(C77&gt;=$H$2,0,VLOOKUP($E77,'Mortality Table'!$A$3:$C$128,2+AB$2,FALSE))</f>
        <v>1.1355999999999998E-3</v>
      </c>
      <c r="G77">
        <f>F77*Assumptions!$B$1</f>
        <v>1.2292869999999999E-3</v>
      </c>
      <c r="H77">
        <f t="shared" ref="H77:H140" si="51">(1-(1-G77)^(1/12))</f>
        <v>1.0249834610609465E-4</v>
      </c>
      <c r="I77">
        <f t="shared" si="37"/>
        <v>8.3838222898355026E-5</v>
      </c>
      <c r="J77">
        <f>HLOOKUP(C77,Assumptions!$A$6:$J$7,2,TRUE)</f>
        <v>3.5200000000000002E-2</v>
      </c>
      <c r="K77" s="18">
        <f t="shared" si="45"/>
        <v>1</v>
      </c>
      <c r="L77" s="18">
        <f t="shared" ref="L77:L140" si="52">1/12</f>
        <v>8.3333333333333329E-2</v>
      </c>
      <c r="M77" s="18">
        <f t="shared" si="38"/>
        <v>2.9817501439168836E-3</v>
      </c>
      <c r="N77">
        <f t="shared" si="39"/>
        <v>2.4424301893590742E-3</v>
      </c>
      <c r="O77" s="20">
        <f t="shared" si="40"/>
        <v>0.81664208923331272</v>
      </c>
      <c r="P77">
        <f>IF(B77&gt;$AF$2,0,O76*($E$2+IF(E77&lt;=Assumptions!$B$9,$D$2,0))/$I$2*K77)</f>
        <v>41.955072717413948</v>
      </c>
      <c r="Q77">
        <f t="shared" ref="Q77:Q140" si="53">IF(B77&gt;$AF$2,0,Q76+AI76)</f>
        <v>26.1</v>
      </c>
      <c r="R77">
        <f>IF(B77&gt;$AF$2,0,IF($Y$2=1,(SUMIF('Mortality Tarif Male'!A:A,E78,'Mortality Tarif Male'!G:G)-SUMIF('Mortality Tarif Male'!A:A,$C$2+$H$2,'Mortality Tarif Male'!G:G)+SUMIF('Mortality Tarif Male'!A:A,$C$2+$H$2,'Mortality Tarif Male'!D:D))/SUMIF('Mortality Tarif Male'!A:A,E78,'Mortality Tarif Male'!D:D),(SUMIF('Mortality Tarif Female'!A:A,E78,'Mortality Tarif Female'!G:G)-SUMIF('Mortality Tarif Female'!A:A,$C$2+$H$2,'Mortality Tarif Female'!G:G)+SUMIF('Mortality Tarif Female'!A:A,$C$2+$H$2,'Mortality Tarif Female'!D:D))/SUMIF('Mortality Tarif Female'!A:A,E78,'Mortality Tarif Female'!D:D)))</f>
        <v>0.58381254110884373</v>
      </c>
      <c r="S77">
        <f>IF(B77&gt;=$AF$2,0,IF($Y$2=1,(SUMIF('Mortality Tarif Male'!A:A,E78+1,'Mortality Tarif Male'!G:G)-SUMIF('Mortality Tarif Male'!A:A,$C$2+$H$2,'Mortality Tarif Male'!G:G)+SUMIF('Mortality Tarif Male'!A:A,$C$2+$H$2,'Mortality Tarif Male'!D:D))/SUMIF('Mortality Tarif Male'!A:A,E78+1,'Mortality Tarif Male'!D:D),(SUMIF('Mortality Tarif Female'!A:A,E78+1,'Mortality Tarif Female'!G:G)-SUMIF('Mortality Tarif Female'!A:A,$C$2+$H$2,'Mortality Tarif Female'!G:G)+SUMIF('Mortality Tarif Female'!A:A,$C$2+$H$2,'Mortality Tarif Female'!D:D))/SUMIF('Mortality Tarif Female'!A:A,E78+1,'Mortality Tarif Female'!D:D)))</f>
        <v>0.60362455571643081</v>
      </c>
      <c r="T77">
        <f t="shared" ref="T77:T140" si="54">INT(B77/12)+1-B77/12</f>
        <v>0.33333333333333215</v>
      </c>
      <c r="U77">
        <f t="shared" ref="U77:U140" si="55">IF(B77&gt;=$AF$2,0,(T77*R77+(1-T77)*S77))</f>
        <v>0.59702055084723515</v>
      </c>
      <c r="V77">
        <f t="shared" ref="V77:V140" si="56">U77*$J$2</f>
        <v>11940.411016944703</v>
      </c>
      <c r="W77">
        <f t="shared" si="46"/>
        <v>15.582236377112839</v>
      </c>
      <c r="X77">
        <f t="shared" si="47"/>
        <v>0</v>
      </c>
      <c r="Y77">
        <f>IF(B77&gt;$AF$2,0,IF(X78=0,0,(1-X78)*($E$2+IF(E77&lt;=Assumptions!$B$9,$D$2,0))/$I$2*1/(1+$AG$2)*1/(1+Assumptions!$B$11)))</f>
        <v>0</v>
      </c>
      <c r="Z77">
        <f>IF(B77&gt;$AF$2,0,IF($Y$2=1,(SUMIF('Mortality Tarif Male'!A:A,E78,'Mortality Tarif Male'!E:E)-SUMIF('Mortality Tarif Male'!A:A,$C$2+$H$2,'Mortality Tarif Male'!E:E))/SUMIF('Mortality Tarif Male'!A:A,E78,'Mortality Tarif Male'!D:D),(SUMIF('Mortality Tarif Female'!A:A,E78,'Mortality Tarif Female'!E:E)-SUMIF('Mortality Tarif Female'!A:A,$C$2+$H$2,'Mortality Tarif Female'!E:E))/SUMIF('Mortality Tarif Female'!A:A,E78,'Mortality Tarif Female'!D:D)))</f>
        <v>12.324821073294672</v>
      </c>
      <c r="AA77">
        <f>IF(B77&gt;=$AF$2,0,IF($Y$2=1,(SUMIF('Mortality Tarif Male'!A:A,E78+1,'Mortality Tarif Male'!E:E)-SUMIF('Mortality Tarif Male'!A:A,$C$2+$H$2,'Mortality Tarif Male'!E:E))/SUMIF('Mortality Tarif Male'!A:A,E78+1,'Mortality Tarif Male'!D:D),(SUMIF('Mortality Tarif Female'!A:A,E78+1,'Mortality Tarif Female'!E:E)-SUMIF('Mortality Tarif Female'!A:A,$C$2+$H$2,'Mortality Tarif Female'!E:E))/SUMIF('Mortality Tarif Female'!A:A,E78+1,'Mortality Tarif Female'!D:D)))</f>
        <v>11.738821789848721</v>
      </c>
      <c r="AB77">
        <f t="shared" si="41"/>
        <v>2874.040008553493</v>
      </c>
      <c r="AC77">
        <f>IF(B77&gt;=$AF$2,0,MIN(1/3*(V77+W77+Y77-AB77),(V77-AB77),(T77*Z77+(1-T77)*AA77)*$AH$2*Assumptions!$B$22))</f>
        <v>311.07545389772821</v>
      </c>
      <c r="AD77">
        <f t="shared" ref="AD77:AD140" si="57">V77+W77+Y77-AB77-AC77</f>
        <v>8770.8777908705943</v>
      </c>
      <c r="AE77">
        <f t="shared" ref="AE77:AE140" si="58">AD77-Y77+AC77</f>
        <v>9081.9532447683232</v>
      </c>
      <c r="AF77">
        <f t="shared" ref="AF77:AF140" si="59">AE77-AC77</f>
        <v>8770.8777908705943</v>
      </c>
      <c r="AG77" s="26">
        <f t="shared" si="35"/>
        <v>0</v>
      </c>
      <c r="AH77" s="27">
        <f>IF(B77&gt;$AF$2,0,HLOOKUP(YEAR(A77),Assumptions!$A$34:$AL$37,4,TRUE)/100)</f>
        <v>8.5909999999999997E-3</v>
      </c>
      <c r="AI77">
        <f t="shared" ref="AI77:AI140" si="60">IF(B77&gt;$AF$2,0,IF(MONTH(A77)=12,AG77*MAX(0,AH77-$K$2/100)/U77*MIN(12,B77)/12,0))</f>
        <v>0</v>
      </c>
      <c r="AJ77">
        <f t="shared" ref="AJ77:AJ140" si="61">I77*($J$2+Q77)</f>
        <v>1.6789526355847475</v>
      </c>
      <c r="AK77">
        <f t="shared" ref="AK77:AK140" si="62">(AD77+BA77)*N77</f>
        <v>21.422256703601363</v>
      </c>
      <c r="AL77">
        <f>IF(E77&gt;Assumptions!$B$9,0,SUMPRODUCT($P$2:$X$2,Assumptions!$A$43:$I$43)/$I$2*O76*K77)</f>
        <v>4.5885387886173552</v>
      </c>
      <c r="AM77">
        <f t="shared" ref="AM77:AM140" si="63">IF(B77-1=$AF$2,($J$2+Q76)*O76,0)</f>
        <v>0</v>
      </c>
      <c r="AN77">
        <f t="shared" ref="AN77:AN140" si="64">SUM(AJ77:AM77)</f>
        <v>27.689748127803465</v>
      </c>
      <c r="AO77">
        <f>IF(E77&gt;Assumptions!$B$9,0,($V$2+$X$2)/$I$2*O76*K77*Assumptions!$B$46)</f>
        <v>0</v>
      </c>
      <c r="AP77">
        <f>IF(B77&gt;$AF$2,0,AP76*(1+Assumptions!$B$52)^(1/12))</f>
        <v>1.056252028005298</v>
      </c>
      <c r="AQ77" s="29">
        <f>IF(B77&gt;$AF$2,0,O76*Assumptions!$B$48/12*AP76+AR77*Assumptions!$B$50/12)</f>
        <v>12.790048944255661</v>
      </c>
      <c r="AR77" s="31">
        <f t="shared" ref="AR77:AR140" si="65">AS76+AW76+AT77-AL77+BA76*O76</f>
        <v>7099.7216357842517</v>
      </c>
      <c r="AS77">
        <f t="shared" si="48"/>
        <v>7162.6679635466244</v>
      </c>
      <c r="AT77">
        <f t="shared" ref="AT77:AT140" si="66">$AI$2/$I$2*O76*K77</f>
        <v>16.439668724159105</v>
      </c>
      <c r="AU77" s="19">
        <f t="shared" ref="AU77:AU140" si="67">AS76+AW76+P77-AQ77-AO77-AL77</f>
        <v>7112.4469908332512</v>
      </c>
      <c r="AV77" s="19">
        <f t="shared" ref="AV77:AV140" si="68">AF76*O76+AT77-AL77</f>
        <v>7158.9160839952738</v>
      </c>
      <c r="AW77">
        <f t="shared" ref="AW77:AW140" si="69">IF(B77&gt;$AF$2,0,IF(MONTH(A77)=12,0,AW76+AU77*((1+AX77)^(1/12)-1)-AV77*((1+$K$2/100)^(1/12)-1)))</f>
        <v>-71.156129738654073</v>
      </c>
      <c r="AX77">
        <f>IF(B77&gt;$AF$2,0,HLOOKUP(YEAR(A77),Assumptions!$A$34:$AL$37,2,TRUE)/100)</f>
        <v>1.4591E-2</v>
      </c>
      <c r="AY77" s="32">
        <f>1/(1+HLOOKUP(YEAR(A77),Assumptions!$A$27:$AL$29,3,TRUE))^(1/12)</f>
        <v>0.99881993499877397</v>
      </c>
      <c r="AZ77" s="30">
        <f t="shared" si="49"/>
        <v>8476.6818569723982</v>
      </c>
      <c r="BA77">
        <f>IF(B77&gt;$AF$2,0,IF($E$2=0,(T77*Z77+(1-T77)*AA77)*$J$2*Assumptions!$B$20,0))</f>
        <v>0</v>
      </c>
    </row>
    <row r="78" spans="1:53" x14ac:dyDescent="0.25">
      <c r="A78" s="17">
        <f t="shared" si="50"/>
        <v>45138</v>
      </c>
      <c r="B78">
        <f t="shared" si="42"/>
        <v>297</v>
      </c>
      <c r="C78">
        <f t="shared" si="43"/>
        <v>24.666666666666668</v>
      </c>
      <c r="D78">
        <f t="shared" si="36"/>
        <v>0</v>
      </c>
      <c r="E78">
        <f t="shared" si="44"/>
        <v>47</v>
      </c>
      <c r="F78">
        <f>IF(C78&gt;=$H$2,0,VLOOKUP($E78,'Mortality Table'!$A$3:$C$128,2+AB$2,FALSE))</f>
        <v>1.1355999999999998E-3</v>
      </c>
      <c r="G78">
        <f>F78*Assumptions!$B$1</f>
        <v>1.2292869999999999E-3</v>
      </c>
      <c r="H78">
        <f t="shared" si="51"/>
        <v>1.0249834610609465E-4</v>
      </c>
      <c r="I78">
        <f t="shared" si="37"/>
        <v>8.357967060898602E-5</v>
      </c>
      <c r="J78">
        <f>HLOOKUP(C78,Assumptions!$A$6:$J$7,2,TRUE)</f>
        <v>3.5200000000000002E-2</v>
      </c>
      <c r="K78" s="18">
        <f t="shared" si="45"/>
        <v>1</v>
      </c>
      <c r="L78" s="18">
        <f t="shared" si="52"/>
        <v>8.3333333333333329E-2</v>
      </c>
      <c r="M78" s="18">
        <f t="shared" si="38"/>
        <v>2.9817501439168836E-3</v>
      </c>
      <c r="N78">
        <f t="shared" si="39"/>
        <v>2.4348978742019605E-3</v>
      </c>
      <c r="O78" s="20">
        <f t="shared" si="40"/>
        <v>0.81412361168850178</v>
      </c>
      <c r="P78">
        <f>IF(B78&gt;$AF$2,0,O77*($E$2+IF(E78&lt;=Assumptions!$B$9,$D$2,0))/$I$2*K78)</f>
        <v>41.825685670232822</v>
      </c>
      <c r="Q78">
        <f t="shared" si="53"/>
        <v>26.1</v>
      </c>
      <c r="R78">
        <f>IF(B78&gt;$AF$2,0,IF($Y$2=1,(SUMIF('Mortality Tarif Male'!A:A,E79,'Mortality Tarif Male'!G:G)-SUMIF('Mortality Tarif Male'!A:A,$C$2+$H$2,'Mortality Tarif Male'!G:G)+SUMIF('Mortality Tarif Male'!A:A,$C$2+$H$2,'Mortality Tarif Male'!D:D))/SUMIF('Mortality Tarif Male'!A:A,E79,'Mortality Tarif Male'!D:D),(SUMIF('Mortality Tarif Female'!A:A,E79,'Mortality Tarif Female'!G:G)-SUMIF('Mortality Tarif Female'!A:A,$C$2+$H$2,'Mortality Tarif Female'!G:G)+SUMIF('Mortality Tarif Female'!A:A,$C$2+$H$2,'Mortality Tarif Female'!D:D))/SUMIF('Mortality Tarif Female'!A:A,E79,'Mortality Tarif Female'!D:D)))</f>
        <v>0.58381254110884373</v>
      </c>
      <c r="S78">
        <f>IF(B78&gt;=$AF$2,0,IF($Y$2=1,(SUMIF('Mortality Tarif Male'!A:A,E79+1,'Mortality Tarif Male'!G:G)-SUMIF('Mortality Tarif Male'!A:A,$C$2+$H$2,'Mortality Tarif Male'!G:G)+SUMIF('Mortality Tarif Male'!A:A,$C$2+$H$2,'Mortality Tarif Male'!D:D))/SUMIF('Mortality Tarif Male'!A:A,E79+1,'Mortality Tarif Male'!D:D),(SUMIF('Mortality Tarif Female'!A:A,E79+1,'Mortality Tarif Female'!G:G)-SUMIF('Mortality Tarif Female'!A:A,$C$2+$H$2,'Mortality Tarif Female'!G:G)+SUMIF('Mortality Tarif Female'!A:A,$C$2+$H$2,'Mortality Tarif Female'!D:D))/SUMIF('Mortality Tarif Female'!A:A,E79+1,'Mortality Tarif Female'!D:D)))</f>
        <v>0.60362455571643081</v>
      </c>
      <c r="T78">
        <f t="shared" si="54"/>
        <v>0.25</v>
      </c>
      <c r="U78">
        <f t="shared" si="55"/>
        <v>0.59867155206453404</v>
      </c>
      <c r="V78">
        <f t="shared" si="56"/>
        <v>11973.431041290682</v>
      </c>
      <c r="W78">
        <f t="shared" si="46"/>
        <v>15.62532750888434</v>
      </c>
      <c r="X78">
        <f t="shared" si="47"/>
        <v>0</v>
      </c>
      <c r="Y78">
        <f>IF(B78&gt;$AF$2,0,IF(X79=0,0,(1-X79)*($E$2+IF(E78&lt;=Assumptions!$B$9,$D$2,0))/$I$2*1/(1+$AG$2)*1/(1+Assumptions!$B$11)))</f>
        <v>0</v>
      </c>
      <c r="Z78">
        <f>IF(B78&gt;$AF$2,0,IF($Y$2=1,(SUMIF('Mortality Tarif Male'!A:A,E79,'Mortality Tarif Male'!E:E)-SUMIF('Mortality Tarif Male'!A:A,$C$2+$H$2,'Mortality Tarif Male'!E:E))/SUMIF('Mortality Tarif Male'!A:A,E79,'Mortality Tarif Male'!D:D),(SUMIF('Mortality Tarif Female'!A:A,E79,'Mortality Tarif Female'!E:E)-SUMIF('Mortality Tarif Female'!A:A,$C$2+$H$2,'Mortality Tarif Female'!E:E))/SUMIF('Mortality Tarif Female'!A:A,E79,'Mortality Tarif Female'!D:D)))</f>
        <v>12.324821073294672</v>
      </c>
      <c r="AA78">
        <f>IF(B78&gt;=$AF$2,0,IF($Y$2=1,(SUMIF('Mortality Tarif Male'!A:A,E79+1,'Mortality Tarif Male'!E:E)-SUMIF('Mortality Tarif Male'!A:A,$C$2+$H$2,'Mortality Tarif Male'!E:E))/SUMIF('Mortality Tarif Male'!A:A,E79+1,'Mortality Tarif Male'!D:D),(SUMIF('Mortality Tarif Female'!A:A,E79+1,'Mortality Tarif Female'!E:E)-SUMIF('Mortality Tarif Female'!A:A,$C$2+$H$2,'Mortality Tarif Female'!E:E))/SUMIF('Mortality Tarif Female'!A:A,E79+1,'Mortality Tarif Female'!D:D)))</f>
        <v>11.738821789848721</v>
      </c>
      <c r="AB78">
        <f t="shared" si="41"/>
        <v>2862.279747060807</v>
      </c>
      <c r="AC78">
        <f>IF(B78&gt;=$AF$2,0,MIN(1/3*(V78+W78+Y78-AB78),(V78-AB78),(T78*Z78+(1-T78)*AA78)*$AH$2*Assumptions!$B$22))</f>
        <v>309.80256671769399</v>
      </c>
      <c r="AD78">
        <f t="shared" si="57"/>
        <v>8816.9740550210645</v>
      </c>
      <c r="AE78">
        <f t="shared" si="58"/>
        <v>9126.776621738758</v>
      </c>
      <c r="AF78">
        <f t="shared" si="59"/>
        <v>8816.9740550210645</v>
      </c>
      <c r="AG78" s="26">
        <f t="shared" si="35"/>
        <v>0</v>
      </c>
      <c r="AH78" s="27">
        <f>IF(B78&gt;$AF$2,0,HLOOKUP(YEAR(A78),Assumptions!$A$34:$AL$37,4,TRUE)/100)</f>
        <v>8.5909999999999997E-3</v>
      </c>
      <c r="AI78">
        <f t="shared" si="60"/>
        <v>0</v>
      </c>
      <c r="AJ78">
        <f t="shared" si="61"/>
        <v>1.6737748415826148</v>
      </c>
      <c r="AK78">
        <f t="shared" si="62"/>
        <v>21.46843138346463</v>
      </c>
      <c r="AL78">
        <f>IF(E78&gt;Assumptions!$B$9,0,SUMPRODUCT($P$2:$X$2,Assumptions!$A$43:$I$43)/$I$2*O77*K78)</f>
        <v>4.5743879971568315</v>
      </c>
      <c r="AM78">
        <f t="shared" si="63"/>
        <v>0</v>
      </c>
      <c r="AN78">
        <f t="shared" si="64"/>
        <v>27.716594222204073</v>
      </c>
      <c r="AO78">
        <f>IF(E78&gt;Assumptions!$B$9,0,($V$2+$X$2)/$I$2*O77*K78*Assumptions!$B$46)</f>
        <v>0</v>
      </c>
      <c r="AP78">
        <f>IF(B78&gt;$AF$2,0,AP77*(1+Assumptions!$B$52)^(1/12))</f>
        <v>1.0571282293208839</v>
      </c>
      <c r="AQ78" s="29">
        <f>IF(B78&gt;$AF$2,0,O77*Assumptions!$B$48/12*AP77+AR78*Assumptions!$B$50/12)</f>
        <v>12.765925852652479</v>
      </c>
      <c r="AR78" s="31">
        <f t="shared" si="65"/>
        <v>7103.3264155358984</v>
      </c>
      <c r="AS78">
        <f t="shared" si="48"/>
        <v>7178.1067618375637</v>
      </c>
      <c r="AT78">
        <f t="shared" si="66"/>
        <v>16.388969725084987</v>
      </c>
      <c r="AU78" s="19">
        <f t="shared" si="67"/>
        <v>7115.9972056283932</v>
      </c>
      <c r="AV78" s="19">
        <f t="shared" si="68"/>
        <v>7174.4825452745526</v>
      </c>
      <c r="AW78">
        <f t="shared" si="69"/>
        <v>-83.158212836959024</v>
      </c>
      <c r="AX78">
        <f>IF(B78&gt;$AF$2,0,HLOOKUP(YEAR(A78),Assumptions!$A$34:$AL$37,2,TRUE)/100)</f>
        <v>1.4591E-2</v>
      </c>
      <c r="AY78" s="32">
        <f>1/(1+HLOOKUP(YEAR(A78),Assumptions!$A$27:$AL$29,3,TRUE))^(1/12)</f>
        <v>0.99881993499877397</v>
      </c>
      <c r="AZ78" s="30">
        <f t="shared" si="49"/>
        <v>8488.0398763321355</v>
      </c>
      <c r="BA78">
        <f>IF(B78&gt;$AF$2,0,IF($E$2=0,(T78*Z78+(1-T78)*AA78)*$J$2*Assumptions!$B$20,0))</f>
        <v>0</v>
      </c>
    </row>
    <row r="79" spans="1:53" x14ac:dyDescent="0.25">
      <c r="A79" s="17">
        <f t="shared" si="50"/>
        <v>45169</v>
      </c>
      <c r="B79">
        <f t="shared" si="42"/>
        <v>298</v>
      </c>
      <c r="C79">
        <f t="shared" si="43"/>
        <v>24.75</v>
      </c>
      <c r="D79">
        <f t="shared" si="36"/>
        <v>0</v>
      </c>
      <c r="E79">
        <f t="shared" si="44"/>
        <v>47</v>
      </c>
      <c r="F79">
        <f>IF(C79&gt;=$H$2,0,VLOOKUP($E79,'Mortality Table'!$A$3:$C$128,2+AB$2,FALSE))</f>
        <v>1.1355999999999998E-3</v>
      </c>
      <c r="G79">
        <f>F79*Assumptions!$B$1</f>
        <v>1.2292869999999999E-3</v>
      </c>
      <c r="H79">
        <f t="shared" si="51"/>
        <v>1.0249834610609465E-4</v>
      </c>
      <c r="I79">
        <f t="shared" si="37"/>
        <v>8.3321915680105183E-5</v>
      </c>
      <c r="J79">
        <f>HLOOKUP(C79,Assumptions!$A$6:$J$7,2,TRUE)</f>
        <v>3.5200000000000002E-2</v>
      </c>
      <c r="K79" s="18">
        <f t="shared" si="45"/>
        <v>1</v>
      </c>
      <c r="L79" s="18">
        <f t="shared" si="52"/>
        <v>8.3333333333333329E-2</v>
      </c>
      <c r="M79" s="18">
        <f t="shared" si="38"/>
        <v>2.9817501439168836E-3</v>
      </c>
      <c r="N79">
        <f t="shared" si="39"/>
        <v>2.4273887882744366E-3</v>
      </c>
      <c r="O79" s="20">
        <f t="shared" si="40"/>
        <v>0.8116129009845473</v>
      </c>
      <c r="P79">
        <f>IF(B79&gt;$AF$2,0,O78*($E$2+IF(E79&lt;=Assumptions!$B$9,$D$2,0))/$I$2*K79)</f>
        <v>41.69669764531276</v>
      </c>
      <c r="Q79">
        <f t="shared" si="53"/>
        <v>26.1</v>
      </c>
      <c r="R79">
        <f>IF(B79&gt;$AF$2,0,IF($Y$2=1,(SUMIF('Mortality Tarif Male'!A:A,E80,'Mortality Tarif Male'!G:G)-SUMIF('Mortality Tarif Male'!A:A,$C$2+$H$2,'Mortality Tarif Male'!G:G)+SUMIF('Mortality Tarif Male'!A:A,$C$2+$H$2,'Mortality Tarif Male'!D:D))/SUMIF('Mortality Tarif Male'!A:A,E80,'Mortality Tarif Male'!D:D),(SUMIF('Mortality Tarif Female'!A:A,E80,'Mortality Tarif Female'!G:G)-SUMIF('Mortality Tarif Female'!A:A,$C$2+$H$2,'Mortality Tarif Female'!G:G)+SUMIF('Mortality Tarif Female'!A:A,$C$2+$H$2,'Mortality Tarif Female'!D:D))/SUMIF('Mortality Tarif Female'!A:A,E80,'Mortality Tarif Female'!D:D)))</f>
        <v>0.58381254110884373</v>
      </c>
      <c r="S79">
        <f>IF(B79&gt;=$AF$2,0,IF($Y$2=1,(SUMIF('Mortality Tarif Male'!A:A,E80+1,'Mortality Tarif Male'!G:G)-SUMIF('Mortality Tarif Male'!A:A,$C$2+$H$2,'Mortality Tarif Male'!G:G)+SUMIF('Mortality Tarif Male'!A:A,$C$2+$H$2,'Mortality Tarif Male'!D:D))/SUMIF('Mortality Tarif Male'!A:A,E80+1,'Mortality Tarif Male'!D:D),(SUMIF('Mortality Tarif Female'!A:A,E80+1,'Mortality Tarif Female'!G:G)-SUMIF('Mortality Tarif Female'!A:A,$C$2+$H$2,'Mortality Tarif Female'!G:G)+SUMIF('Mortality Tarif Female'!A:A,$C$2+$H$2,'Mortality Tarif Female'!D:D))/SUMIF('Mortality Tarif Female'!A:A,E80+1,'Mortality Tarif Female'!D:D)))</f>
        <v>0.60362455571643081</v>
      </c>
      <c r="T79">
        <f t="shared" si="54"/>
        <v>0.16666666666666785</v>
      </c>
      <c r="U79">
        <f t="shared" si="55"/>
        <v>0.60032255328183293</v>
      </c>
      <c r="V79">
        <f t="shared" si="56"/>
        <v>12006.451065636658</v>
      </c>
      <c r="W79">
        <f t="shared" si="46"/>
        <v>15.66841864065584</v>
      </c>
      <c r="X79">
        <f t="shared" si="47"/>
        <v>0</v>
      </c>
      <c r="Y79">
        <f>IF(B79&gt;$AF$2,0,IF(X80=0,0,(1-X80)*($E$2+IF(E79&lt;=Assumptions!$B$9,$D$2,0))/$I$2*1/(1+$AG$2)*1/(1+Assumptions!$B$11)))</f>
        <v>0</v>
      </c>
      <c r="Z79">
        <f>IF(B79&gt;$AF$2,0,IF($Y$2=1,(SUMIF('Mortality Tarif Male'!A:A,E80,'Mortality Tarif Male'!E:E)-SUMIF('Mortality Tarif Male'!A:A,$C$2+$H$2,'Mortality Tarif Male'!E:E))/SUMIF('Mortality Tarif Male'!A:A,E80,'Mortality Tarif Male'!D:D),(SUMIF('Mortality Tarif Female'!A:A,E80,'Mortality Tarif Female'!E:E)-SUMIF('Mortality Tarif Female'!A:A,$C$2+$H$2,'Mortality Tarif Female'!E:E))/SUMIF('Mortality Tarif Female'!A:A,E80,'Mortality Tarif Female'!D:D)))</f>
        <v>12.324821073294672</v>
      </c>
      <c r="AA79">
        <f>IF(B79&gt;=$AF$2,0,IF($Y$2=1,(SUMIF('Mortality Tarif Male'!A:A,E80+1,'Mortality Tarif Male'!E:E)-SUMIF('Mortality Tarif Male'!A:A,$C$2+$H$2,'Mortality Tarif Male'!E:E))/SUMIF('Mortality Tarif Male'!A:A,E80+1,'Mortality Tarif Male'!D:D),(SUMIF('Mortality Tarif Female'!A:A,E80+1,'Mortality Tarif Female'!E:E)-SUMIF('Mortality Tarif Female'!A:A,$C$2+$H$2,'Mortality Tarif Female'!E:E))/SUMIF('Mortality Tarif Female'!A:A,E80+1,'Mortality Tarif Female'!D:D)))</f>
        <v>11.738821789848721</v>
      </c>
      <c r="AB79">
        <f t="shared" si="41"/>
        <v>2850.5194855681216</v>
      </c>
      <c r="AC79">
        <f>IF(B79&gt;=$AF$2,0,MIN(1/3*(V79+W79+Y79-AB79),(V79-AB79),(T79*Z79+(1-T79)*AA79)*$AH$2*Assumptions!$B$22))</f>
        <v>308.52967953765977</v>
      </c>
      <c r="AD79">
        <f t="shared" si="57"/>
        <v>8863.0703191715329</v>
      </c>
      <c r="AE79">
        <f t="shared" si="58"/>
        <v>9171.5999987091927</v>
      </c>
      <c r="AF79">
        <f t="shared" si="59"/>
        <v>8863.0703191715329</v>
      </c>
      <c r="AG79" s="26">
        <f t="shared" si="35"/>
        <v>0</v>
      </c>
      <c r="AH79" s="27">
        <f>IF(B79&gt;$AF$2,0,HLOOKUP(YEAR(A79),Assumptions!$A$34:$AL$37,4,TRUE)/100)</f>
        <v>8.5909999999999997E-3</v>
      </c>
      <c r="AI79">
        <f t="shared" si="60"/>
        <v>0</v>
      </c>
      <c r="AJ79">
        <f t="shared" si="61"/>
        <v>1.6686130156013543</v>
      </c>
      <c r="AK79">
        <f t="shared" si="62"/>
        <v>21.514117522444909</v>
      </c>
      <c r="AL79">
        <f>IF(E79&gt;Assumptions!$B$9,0,SUMPRODUCT($P$2:$X$2,Assumptions!$A$43:$I$43)/$I$2*O78*K79)</f>
        <v>4.5602808459286743</v>
      </c>
      <c r="AM79">
        <f t="shared" si="63"/>
        <v>0</v>
      </c>
      <c r="AN79">
        <f t="shared" si="64"/>
        <v>27.743011383974938</v>
      </c>
      <c r="AO79">
        <f>IF(E79&gt;Assumptions!$B$9,0,($V$2+$X$2)/$I$2*O78*K79*Assumptions!$B$46)</f>
        <v>0</v>
      </c>
      <c r="AP79">
        <f>IF(B79&gt;$AF$2,0,AP78*(1+Assumptions!$B$52)^(1/12))</f>
        <v>1.0580051574788569</v>
      </c>
      <c r="AQ79" s="29">
        <f>IF(B79&gt;$AF$2,0,O78*Assumptions!$B$48/12*AP78+AR79*Assumptions!$B$50/12)</f>
        <v>12.741809751292928</v>
      </c>
      <c r="AR79" s="31">
        <f t="shared" si="65"/>
        <v>7106.7266952335031</v>
      </c>
      <c r="AS79">
        <f t="shared" si="48"/>
        <v>7193.3822133728454</v>
      </c>
      <c r="AT79">
        <f t="shared" si="66"/>
        <v>16.338427078827355</v>
      </c>
      <c r="AU79" s="19">
        <f t="shared" si="67"/>
        <v>7119.3431560486961</v>
      </c>
      <c r="AV79" s="19">
        <f t="shared" si="68"/>
        <v>7189.8849080704622</v>
      </c>
      <c r="AW79">
        <f t="shared" si="69"/>
        <v>-95.200473118615491</v>
      </c>
      <c r="AX79">
        <f>IF(B79&gt;$AF$2,0,HLOOKUP(YEAR(A79),Assumptions!$A$34:$AL$37,2,TRUE)/100)</f>
        <v>1.4591E-2</v>
      </c>
      <c r="AY79" s="32">
        <f>1/(1+HLOOKUP(YEAR(A79),Assumptions!$A$27:$AL$29,3,TRUE))^(1/12)</f>
        <v>0.99881993499877397</v>
      </c>
      <c r="AZ79" s="30">
        <f t="shared" si="49"/>
        <v>8499.2800256430073</v>
      </c>
      <c r="BA79">
        <f>IF(B79&gt;$AF$2,0,IF($E$2=0,(T79*Z79+(1-T79)*AA79)*$J$2*Assumptions!$B$20,0))</f>
        <v>0</v>
      </c>
    </row>
    <row r="80" spans="1:53" x14ac:dyDescent="0.25">
      <c r="A80" s="17">
        <f t="shared" si="50"/>
        <v>45199</v>
      </c>
      <c r="B80">
        <f t="shared" si="42"/>
        <v>299</v>
      </c>
      <c r="C80">
        <f t="shared" si="43"/>
        <v>24.833333333333332</v>
      </c>
      <c r="D80">
        <f t="shared" si="36"/>
        <v>0</v>
      </c>
      <c r="E80">
        <f t="shared" si="44"/>
        <v>47</v>
      </c>
      <c r="F80">
        <f>IF(C80&gt;=$H$2,0,VLOOKUP($E80,'Mortality Table'!$A$3:$C$128,2+AB$2,FALSE))</f>
        <v>1.1355999999999998E-3</v>
      </c>
      <c r="G80">
        <f>F80*Assumptions!$B$1</f>
        <v>1.2292869999999999E-3</v>
      </c>
      <c r="H80">
        <f t="shared" si="51"/>
        <v>1.0249834610609465E-4</v>
      </c>
      <c r="I80">
        <f t="shared" si="37"/>
        <v>8.306495565269835E-5</v>
      </c>
      <c r="J80">
        <f>HLOOKUP(C80,Assumptions!$A$6:$J$7,2,TRUE)</f>
        <v>3.5200000000000002E-2</v>
      </c>
      <c r="K80" s="18">
        <f t="shared" si="45"/>
        <v>1</v>
      </c>
      <c r="L80" s="18">
        <f t="shared" si="52"/>
        <v>8.3333333333333329E-2</v>
      </c>
      <c r="M80" s="18">
        <f t="shared" si="38"/>
        <v>2.9817501439168836E-3</v>
      </c>
      <c r="N80">
        <f t="shared" si="39"/>
        <v>2.419902859938886E-3</v>
      </c>
      <c r="O80" s="20">
        <f t="shared" si="40"/>
        <v>0.80910993316895574</v>
      </c>
      <c r="P80">
        <f>IF(B80&gt;$AF$2,0,O79*($E$2+IF(E80&lt;=Assumptions!$B$9,$D$2,0))/$I$2*K80)</f>
        <v>41.568107412091891</v>
      </c>
      <c r="Q80">
        <f t="shared" si="53"/>
        <v>26.1</v>
      </c>
      <c r="R80">
        <f>IF(B80&gt;$AF$2,0,IF($Y$2=1,(SUMIF('Mortality Tarif Male'!A:A,E81,'Mortality Tarif Male'!G:G)-SUMIF('Mortality Tarif Male'!A:A,$C$2+$H$2,'Mortality Tarif Male'!G:G)+SUMIF('Mortality Tarif Male'!A:A,$C$2+$H$2,'Mortality Tarif Male'!D:D))/SUMIF('Mortality Tarif Male'!A:A,E81,'Mortality Tarif Male'!D:D),(SUMIF('Mortality Tarif Female'!A:A,E81,'Mortality Tarif Female'!G:G)-SUMIF('Mortality Tarif Female'!A:A,$C$2+$H$2,'Mortality Tarif Female'!G:G)+SUMIF('Mortality Tarif Female'!A:A,$C$2+$H$2,'Mortality Tarif Female'!D:D))/SUMIF('Mortality Tarif Female'!A:A,E81,'Mortality Tarif Female'!D:D)))</f>
        <v>0.58381254110884373</v>
      </c>
      <c r="S80">
        <f>IF(B80&gt;=$AF$2,0,IF($Y$2=1,(SUMIF('Mortality Tarif Male'!A:A,E81+1,'Mortality Tarif Male'!G:G)-SUMIF('Mortality Tarif Male'!A:A,$C$2+$H$2,'Mortality Tarif Male'!G:G)+SUMIF('Mortality Tarif Male'!A:A,$C$2+$H$2,'Mortality Tarif Male'!D:D))/SUMIF('Mortality Tarif Male'!A:A,E81+1,'Mortality Tarif Male'!D:D),(SUMIF('Mortality Tarif Female'!A:A,E81+1,'Mortality Tarif Female'!G:G)-SUMIF('Mortality Tarif Female'!A:A,$C$2+$H$2,'Mortality Tarif Female'!G:G)+SUMIF('Mortality Tarif Female'!A:A,$C$2+$H$2,'Mortality Tarif Female'!D:D))/SUMIF('Mortality Tarif Female'!A:A,E81+1,'Mortality Tarif Female'!D:D)))</f>
        <v>0.60362455571643081</v>
      </c>
      <c r="T80">
        <f t="shared" si="54"/>
        <v>8.3333333333332149E-2</v>
      </c>
      <c r="U80">
        <f t="shared" si="55"/>
        <v>0.60197355449913192</v>
      </c>
      <c r="V80">
        <f t="shared" si="56"/>
        <v>12039.471089982639</v>
      </c>
      <c r="W80">
        <f t="shared" si="46"/>
        <v>15.711509772427345</v>
      </c>
      <c r="X80">
        <f t="shared" si="47"/>
        <v>0</v>
      </c>
      <c r="Y80">
        <f>IF(B80&gt;$AF$2,0,IF(X81=0,0,(1-X81)*($E$2+IF(E80&lt;=Assumptions!$B$9,$D$2,0))/$I$2*1/(1+$AG$2)*1/(1+Assumptions!$B$11)))</f>
        <v>0</v>
      </c>
      <c r="Z80">
        <f>IF(B80&gt;$AF$2,0,IF($Y$2=1,(SUMIF('Mortality Tarif Male'!A:A,E81,'Mortality Tarif Male'!E:E)-SUMIF('Mortality Tarif Male'!A:A,$C$2+$H$2,'Mortality Tarif Male'!E:E))/SUMIF('Mortality Tarif Male'!A:A,E81,'Mortality Tarif Male'!D:D),(SUMIF('Mortality Tarif Female'!A:A,E81,'Mortality Tarif Female'!E:E)-SUMIF('Mortality Tarif Female'!A:A,$C$2+$H$2,'Mortality Tarif Female'!E:E))/SUMIF('Mortality Tarif Female'!A:A,E81,'Mortality Tarif Female'!D:D)))</f>
        <v>12.324821073294672</v>
      </c>
      <c r="AA80">
        <f>IF(B80&gt;=$AF$2,0,IF($Y$2=1,(SUMIF('Mortality Tarif Male'!A:A,E81+1,'Mortality Tarif Male'!E:E)-SUMIF('Mortality Tarif Male'!A:A,$C$2+$H$2,'Mortality Tarif Male'!E:E))/SUMIF('Mortality Tarif Male'!A:A,E81+1,'Mortality Tarif Male'!D:D),(SUMIF('Mortality Tarif Female'!A:A,E81+1,'Mortality Tarif Female'!E:E)-SUMIF('Mortality Tarif Female'!A:A,$C$2+$H$2,'Mortality Tarif Female'!E:E))/SUMIF('Mortality Tarif Female'!A:A,E81+1,'Mortality Tarif Female'!D:D)))</f>
        <v>11.738821789848721</v>
      </c>
      <c r="AB80">
        <f t="shared" si="41"/>
        <v>2838.7592240754348</v>
      </c>
      <c r="AC80">
        <f>IF(B80&gt;=$AF$2,0,MIN(1/3*(V80+W80+Y80-AB80),(V80-AB80),(T80*Z80+(1-T80)*AA80)*$AH$2*Assumptions!$B$22))</f>
        <v>307.25679235762544</v>
      </c>
      <c r="AD80">
        <f t="shared" si="57"/>
        <v>8909.166583322005</v>
      </c>
      <c r="AE80">
        <f t="shared" si="58"/>
        <v>9216.4233756796311</v>
      </c>
      <c r="AF80">
        <f t="shared" si="59"/>
        <v>8909.166583322005</v>
      </c>
      <c r="AG80" s="26">
        <f t="shared" si="35"/>
        <v>0</v>
      </c>
      <c r="AH80" s="27">
        <f>IF(B80&gt;$AF$2,0,HLOOKUP(YEAR(A80),Assumptions!$A$34:$AL$37,4,TRUE)/100)</f>
        <v>8.5909999999999997E-3</v>
      </c>
      <c r="AI80">
        <f t="shared" si="60"/>
        <v>0</v>
      </c>
      <c r="AJ80">
        <f t="shared" si="61"/>
        <v>1.6634671083965022</v>
      </c>
      <c r="AK80">
        <f t="shared" si="62"/>
        <v>21.559317694652872</v>
      </c>
      <c r="AL80">
        <f>IF(E80&gt;Assumptions!$B$9,0,SUMPRODUCT($P$2:$X$2,Assumptions!$A$43:$I$43)/$I$2*O79*K80)</f>
        <v>4.5462172003489023</v>
      </c>
      <c r="AM80">
        <f t="shared" si="63"/>
        <v>0</v>
      </c>
      <c r="AN80">
        <f t="shared" si="64"/>
        <v>27.769002003398278</v>
      </c>
      <c r="AO80">
        <f>IF(E80&gt;Assumptions!$B$9,0,($V$2+$X$2)/$I$2*O79*K80*Assumptions!$B$46)</f>
        <v>0</v>
      </c>
      <c r="AP80">
        <f>IF(B80&gt;$AF$2,0,AP79*(1+Assumptions!$B$52)^(1/12))</f>
        <v>1.0588828130821604</v>
      </c>
      <c r="AQ80" s="29">
        <f>IF(B80&gt;$AF$2,0,O79*Assumptions!$B$48/12*AP79+AR80*Assumptions!$B$50/12)</f>
        <v>12.717700775908598</v>
      </c>
      <c r="AR80" s="31">
        <f t="shared" si="65"/>
        <v>7109.9235633570843</v>
      </c>
      <c r="AS80">
        <f t="shared" si="48"/>
        <v>7208.4951788227609</v>
      </c>
      <c r="AT80">
        <f t="shared" si="66"/>
        <v>16.288040303203058</v>
      </c>
      <c r="AU80" s="19">
        <f t="shared" si="67"/>
        <v>7122.4859296900649</v>
      </c>
      <c r="AV80" s="19">
        <f t="shared" si="68"/>
        <v>7205.1240364756995</v>
      </c>
      <c r="AW80">
        <f t="shared" si="69"/>
        <v>-107.28268736336072</v>
      </c>
      <c r="AX80">
        <f>IF(B80&gt;$AF$2,0,HLOOKUP(YEAR(A80),Assumptions!$A$34:$AL$37,2,TRUE)/100)</f>
        <v>1.4591E-2</v>
      </c>
      <c r="AY80" s="32">
        <f>1/(1+HLOOKUP(YEAR(A80),Assumptions!$A$27:$AL$29,3,TRUE))^(1/12)</f>
        <v>0.99881993499877397</v>
      </c>
      <c r="AZ80" s="30">
        <f t="shared" si="49"/>
        <v>8510.402982854428</v>
      </c>
      <c r="BA80">
        <f>IF(B80&gt;$AF$2,0,IF($E$2=0,(T80*Z80+(1-T80)*AA80)*$J$2*Assumptions!$B$20,0))</f>
        <v>0</v>
      </c>
    </row>
    <row r="81" spans="1:53" x14ac:dyDescent="0.25">
      <c r="A81" s="17">
        <f t="shared" si="50"/>
        <v>45230</v>
      </c>
      <c r="B81">
        <f t="shared" si="42"/>
        <v>300</v>
      </c>
      <c r="C81">
        <f t="shared" si="43"/>
        <v>24.916666666666668</v>
      </c>
      <c r="D81">
        <f t="shared" si="36"/>
        <v>0</v>
      </c>
      <c r="E81">
        <f t="shared" si="44"/>
        <v>47</v>
      </c>
      <c r="F81">
        <f>IF(C81&gt;=$H$2,0,VLOOKUP($E81,'Mortality Table'!$A$3:$C$128,2+AB$2,FALSE))</f>
        <v>1.1355999999999998E-3</v>
      </c>
      <c r="G81">
        <f>F81*Assumptions!$B$1</f>
        <v>1.2292869999999999E-3</v>
      </c>
      <c r="H81">
        <f t="shared" si="51"/>
        <v>1.0249834610609465E-4</v>
      </c>
      <c r="I81">
        <f t="shared" si="37"/>
        <v>8.2808788075334751E-5</v>
      </c>
      <c r="J81">
        <f>HLOOKUP(C81,Assumptions!$A$6:$J$7,2,TRUE)</f>
        <v>3.5200000000000002E-2</v>
      </c>
      <c r="K81" s="18">
        <f t="shared" si="45"/>
        <v>1</v>
      </c>
      <c r="L81" s="18">
        <f t="shared" si="52"/>
        <v>8.3333333333333329E-2</v>
      </c>
      <c r="M81" s="18">
        <f t="shared" si="38"/>
        <v>2.9817501439168836E-3</v>
      </c>
      <c r="N81">
        <f t="shared" si="39"/>
        <v>2.4124400177786176E-3</v>
      </c>
      <c r="O81" s="20">
        <f t="shared" si="40"/>
        <v>0.8066146843631018</v>
      </c>
      <c r="P81">
        <f>IF(B81&gt;$AF$2,0,O80*($E$2+IF(E81&lt;=Assumptions!$B$9,$D$2,0))/$I$2*K81)</f>
        <v>41.439913743803345</v>
      </c>
      <c r="Q81">
        <f t="shared" si="53"/>
        <v>26.1</v>
      </c>
      <c r="R81">
        <f>IF(B81&gt;$AF$2,0,IF($Y$2=1,(SUMIF('Mortality Tarif Male'!A:A,E82,'Mortality Tarif Male'!G:G)-SUMIF('Mortality Tarif Male'!A:A,$C$2+$H$2,'Mortality Tarif Male'!G:G)+SUMIF('Mortality Tarif Male'!A:A,$C$2+$H$2,'Mortality Tarif Male'!D:D))/SUMIF('Mortality Tarif Male'!A:A,E82,'Mortality Tarif Male'!D:D),(SUMIF('Mortality Tarif Female'!A:A,E82,'Mortality Tarif Female'!G:G)-SUMIF('Mortality Tarif Female'!A:A,$C$2+$H$2,'Mortality Tarif Female'!G:G)+SUMIF('Mortality Tarif Female'!A:A,$C$2+$H$2,'Mortality Tarif Female'!D:D))/SUMIF('Mortality Tarif Female'!A:A,E82,'Mortality Tarif Female'!D:D)))</f>
        <v>0.60362455571643081</v>
      </c>
      <c r="S81">
        <f>IF(B81&gt;=$AF$2,0,IF($Y$2=1,(SUMIF('Mortality Tarif Male'!A:A,E82+1,'Mortality Tarif Male'!G:G)-SUMIF('Mortality Tarif Male'!A:A,$C$2+$H$2,'Mortality Tarif Male'!G:G)+SUMIF('Mortality Tarif Male'!A:A,$C$2+$H$2,'Mortality Tarif Male'!D:D))/SUMIF('Mortality Tarif Male'!A:A,E82+1,'Mortality Tarif Male'!D:D),(SUMIF('Mortality Tarif Female'!A:A,E82+1,'Mortality Tarif Female'!G:G)-SUMIF('Mortality Tarif Female'!A:A,$C$2+$H$2,'Mortality Tarif Female'!G:G)+SUMIF('Mortality Tarif Female'!A:A,$C$2+$H$2,'Mortality Tarif Female'!D:D))/SUMIF('Mortality Tarif Female'!A:A,E82+1,'Mortality Tarif Female'!D:D)))</f>
        <v>0.62412136992836209</v>
      </c>
      <c r="T81">
        <f t="shared" si="54"/>
        <v>1</v>
      </c>
      <c r="U81">
        <f t="shared" si="55"/>
        <v>0.60362455571643081</v>
      </c>
      <c r="V81">
        <f t="shared" si="56"/>
        <v>12072.491114328615</v>
      </c>
      <c r="W81">
        <f t="shared" si="46"/>
        <v>15.754600904198846</v>
      </c>
      <c r="X81">
        <f t="shared" si="47"/>
        <v>0</v>
      </c>
      <c r="Y81">
        <f>IF(B81&gt;$AF$2,0,IF(X82=0,0,(1-X82)*($E$2+IF(E81&lt;=Assumptions!$B$9,$D$2,0))/$I$2*1/(1+$AG$2)*1/(1+Assumptions!$B$11)))</f>
        <v>0</v>
      </c>
      <c r="Z81">
        <f>IF(B81&gt;$AF$2,0,IF($Y$2=1,(SUMIF('Mortality Tarif Male'!A:A,E82,'Mortality Tarif Male'!E:E)-SUMIF('Mortality Tarif Male'!A:A,$C$2+$H$2,'Mortality Tarif Male'!E:E))/SUMIF('Mortality Tarif Male'!A:A,E82,'Mortality Tarif Male'!D:D),(SUMIF('Mortality Tarif Female'!A:A,E82,'Mortality Tarif Female'!E:E)-SUMIF('Mortality Tarif Female'!A:A,$C$2+$H$2,'Mortality Tarif Female'!E:E))/SUMIF('Mortality Tarif Female'!A:A,E82,'Mortality Tarif Female'!D:D)))</f>
        <v>11.738821789848721</v>
      </c>
      <c r="AA81">
        <f>IF(B81&gt;=$AF$2,0,IF($Y$2=1,(SUMIF('Mortality Tarif Male'!A:A,E82+1,'Mortality Tarif Male'!E:E)-SUMIF('Mortality Tarif Male'!A:A,$C$2+$H$2,'Mortality Tarif Male'!E:E))/SUMIF('Mortality Tarif Male'!A:A,E82+1,'Mortality Tarif Male'!D:D),(SUMIF('Mortality Tarif Female'!A:A,E82+1,'Mortality Tarif Female'!E:E)-SUMIF('Mortality Tarif Female'!A:A,$C$2+$H$2,'Mortality Tarif Female'!E:E))/SUMIF('Mortality Tarif Female'!A:A,E82+1,'Mortality Tarif Female'!D:D)))</f>
        <v>11.132517500433975</v>
      </c>
      <c r="AB81">
        <f t="shared" si="41"/>
        <v>2826.9989625827488</v>
      </c>
      <c r="AC81">
        <f>IF(B81&gt;=$AF$2,0,MIN(1/3*(V81+W81+Y81-AB81),(V81-AB81),(T81*Z81+(1-T81)*AA81)*$AH$2*Assumptions!$B$22))</f>
        <v>305.98390517759123</v>
      </c>
      <c r="AD81">
        <f t="shared" si="57"/>
        <v>8955.2628474724734</v>
      </c>
      <c r="AE81">
        <f t="shared" si="58"/>
        <v>9261.2467526500641</v>
      </c>
      <c r="AF81">
        <f t="shared" si="59"/>
        <v>8955.2628474724734</v>
      </c>
      <c r="AG81" s="26">
        <f t="shared" si="35"/>
        <v>0</v>
      </c>
      <c r="AH81" s="27">
        <f>IF(B81&gt;$AF$2,0,HLOOKUP(YEAR(A81),Assumptions!$A$34:$AL$37,4,TRUE)/100)</f>
        <v>8.5909999999999997E-3</v>
      </c>
      <c r="AI81">
        <f t="shared" si="60"/>
        <v>0</v>
      </c>
      <c r="AJ81">
        <f t="shared" si="61"/>
        <v>1.6583370708754612</v>
      </c>
      <c r="AK81">
        <f t="shared" si="62"/>
        <v>21.604034462968688</v>
      </c>
      <c r="AL81">
        <f>IF(E81&gt;Assumptions!$B$9,0,SUMPRODUCT($P$2:$X$2,Assumptions!$A$43:$I$43)/$I$2*O80*K81)</f>
        <v>4.5321969262485782</v>
      </c>
      <c r="AM81">
        <f t="shared" si="63"/>
        <v>0</v>
      </c>
      <c r="AN81">
        <f t="shared" si="64"/>
        <v>27.794568460092727</v>
      </c>
      <c r="AO81">
        <f>IF(E81&gt;Assumptions!$B$9,0,($V$2+$X$2)/$I$2*O80*K81*Assumptions!$B$46)</f>
        <v>0</v>
      </c>
      <c r="AP81">
        <f>IF(B81&gt;$AF$2,0,AP80*(1+Assumptions!$B$52)^(1/12))</f>
        <v>1.0597611967342382</v>
      </c>
      <c r="AQ81" s="29">
        <f>IF(B81&gt;$AF$2,0,O80*Assumptions!$B$48/12*AP80+AR81*Assumptions!$B$50/12)</f>
        <v>12.693599061325573</v>
      </c>
      <c r="AR81" s="31">
        <f t="shared" si="65"/>
        <v>7112.9181034506682</v>
      </c>
      <c r="AS81">
        <f t="shared" si="48"/>
        <v>7223.4465151026216</v>
      </c>
      <c r="AT81">
        <f t="shared" si="66"/>
        <v>16.237808917515967</v>
      </c>
      <c r="AU81" s="19">
        <f t="shared" si="67"/>
        <v>7125.4266092156295</v>
      </c>
      <c r="AV81" s="19">
        <f t="shared" si="68"/>
        <v>7220.2007908140286</v>
      </c>
      <c r="AW81">
        <f t="shared" si="69"/>
        <v>-119.4046335131287</v>
      </c>
      <c r="AX81">
        <f>IF(B81&gt;$AF$2,0,HLOOKUP(YEAR(A81),Assumptions!$A$34:$AL$37,2,TRUE)/100)</f>
        <v>1.4591E-2</v>
      </c>
      <c r="AY81" s="32">
        <f>1/(1+HLOOKUP(YEAR(A81),Assumptions!$A$27:$AL$29,3,TRUE))^(1/12)</f>
        <v>0.99881993499877397</v>
      </c>
      <c r="AZ81" s="30">
        <f t="shared" si="49"/>
        <v>8521.4094229755774</v>
      </c>
      <c r="BA81">
        <f>IF(B81&gt;$AF$2,0,IF($E$2=0,(T81*Z81+(1-T81)*AA81)*$J$2*Assumptions!$B$20,0))</f>
        <v>0</v>
      </c>
    </row>
    <row r="82" spans="1:53" x14ac:dyDescent="0.25">
      <c r="A82" s="17">
        <f t="shared" si="50"/>
        <v>45260</v>
      </c>
      <c r="B82">
        <f t="shared" si="42"/>
        <v>301</v>
      </c>
      <c r="C82">
        <f t="shared" si="43"/>
        <v>25</v>
      </c>
      <c r="D82">
        <f t="shared" si="36"/>
        <v>1</v>
      </c>
      <c r="E82">
        <f t="shared" si="44"/>
        <v>48</v>
      </c>
      <c r="F82">
        <f>IF(C82&gt;=$H$2,0,VLOOKUP($E82,'Mortality Table'!$A$3:$C$128,2+AB$2,FALSE))</f>
        <v>1.2356000000000001E-3</v>
      </c>
      <c r="G82">
        <f>F82*Assumptions!$B$1</f>
        <v>1.3375370000000002E-3</v>
      </c>
      <c r="H82">
        <f t="shared" si="51"/>
        <v>1.1152980517503686E-4</v>
      </c>
      <c r="I82">
        <f t="shared" si="37"/>
        <v>8.9827457123374288E-5</v>
      </c>
      <c r="J82">
        <f>HLOOKUP(C82,Assumptions!$A$6:$J$7,2,TRUE)</f>
        <v>3.5200000000000002E-2</v>
      </c>
      <c r="K82" s="18">
        <f t="shared" si="45"/>
        <v>1</v>
      </c>
      <c r="L82" s="18">
        <f t="shared" si="52"/>
        <v>8.3333333333333329E-2</v>
      </c>
      <c r="M82" s="18">
        <f t="shared" si="38"/>
        <v>2.9817501439168836E-3</v>
      </c>
      <c r="N82">
        <f t="shared" si="39"/>
        <v>2.4049893297101842E-3</v>
      </c>
      <c r="O82" s="20">
        <f t="shared" si="40"/>
        <v>0.80411986757626819</v>
      </c>
      <c r="P82">
        <f>IF(B82&gt;$AF$2,0,O81*($E$2+IF(E82&lt;=Assumptions!$B$9,$D$2,0))/$I$2*K82)</f>
        <v>41.312115417463524</v>
      </c>
      <c r="Q82">
        <f t="shared" si="53"/>
        <v>26.1</v>
      </c>
      <c r="R82">
        <f>IF(B82&gt;$AF$2,0,IF($Y$2=1,(SUMIF('Mortality Tarif Male'!A:A,E83,'Mortality Tarif Male'!G:G)-SUMIF('Mortality Tarif Male'!A:A,$C$2+$H$2,'Mortality Tarif Male'!G:G)+SUMIF('Mortality Tarif Male'!A:A,$C$2+$H$2,'Mortality Tarif Male'!D:D))/SUMIF('Mortality Tarif Male'!A:A,E83,'Mortality Tarif Male'!D:D),(SUMIF('Mortality Tarif Female'!A:A,E83,'Mortality Tarif Female'!G:G)-SUMIF('Mortality Tarif Female'!A:A,$C$2+$H$2,'Mortality Tarif Female'!G:G)+SUMIF('Mortality Tarif Female'!A:A,$C$2+$H$2,'Mortality Tarif Female'!D:D))/SUMIF('Mortality Tarif Female'!A:A,E83,'Mortality Tarif Female'!D:D)))</f>
        <v>0.60362455571643081</v>
      </c>
      <c r="S82">
        <f>IF(B82&gt;=$AF$2,0,IF($Y$2=1,(SUMIF('Mortality Tarif Male'!A:A,E83+1,'Mortality Tarif Male'!G:G)-SUMIF('Mortality Tarif Male'!A:A,$C$2+$H$2,'Mortality Tarif Male'!G:G)+SUMIF('Mortality Tarif Male'!A:A,$C$2+$H$2,'Mortality Tarif Male'!D:D))/SUMIF('Mortality Tarif Male'!A:A,E83+1,'Mortality Tarif Male'!D:D),(SUMIF('Mortality Tarif Female'!A:A,E83+1,'Mortality Tarif Female'!G:G)-SUMIF('Mortality Tarif Female'!A:A,$C$2+$H$2,'Mortality Tarif Female'!G:G)+SUMIF('Mortality Tarif Female'!A:A,$C$2+$H$2,'Mortality Tarif Female'!D:D))/SUMIF('Mortality Tarif Female'!A:A,E83+1,'Mortality Tarif Female'!D:D)))</f>
        <v>0.62412136992836209</v>
      </c>
      <c r="T82">
        <f t="shared" si="54"/>
        <v>0.91666666666666785</v>
      </c>
      <c r="U82">
        <f t="shared" si="55"/>
        <v>0.60533262356742512</v>
      </c>
      <c r="V82">
        <f t="shared" si="56"/>
        <v>12106.652471348503</v>
      </c>
      <c r="W82">
        <f t="shared" si="46"/>
        <v>15.799181475109796</v>
      </c>
      <c r="X82">
        <f t="shared" si="47"/>
        <v>0</v>
      </c>
      <c r="Y82">
        <f>IF(B82&gt;$AF$2,0,IF(X83=0,0,(1-X83)*($E$2+IF(E82&lt;=Assumptions!$B$9,$D$2,0))/$I$2*1/(1+$AG$2)*1/(1+Assumptions!$B$11)))</f>
        <v>0</v>
      </c>
      <c r="Z82">
        <f>IF(B82&gt;$AF$2,0,IF($Y$2=1,(SUMIF('Mortality Tarif Male'!A:A,E83,'Mortality Tarif Male'!E:E)-SUMIF('Mortality Tarif Male'!A:A,$C$2+$H$2,'Mortality Tarif Male'!E:E))/SUMIF('Mortality Tarif Male'!A:A,E83,'Mortality Tarif Male'!D:D),(SUMIF('Mortality Tarif Female'!A:A,E83,'Mortality Tarif Female'!E:E)-SUMIF('Mortality Tarif Female'!A:A,$C$2+$H$2,'Mortality Tarif Female'!E:E))/SUMIF('Mortality Tarif Female'!A:A,E83,'Mortality Tarif Female'!D:D)))</f>
        <v>11.738821789848721</v>
      </c>
      <c r="AA82">
        <f>IF(B82&gt;=$AF$2,0,IF($Y$2=1,(SUMIF('Mortality Tarif Male'!A:A,E83+1,'Mortality Tarif Male'!E:E)-SUMIF('Mortality Tarif Male'!A:A,$C$2+$H$2,'Mortality Tarif Male'!E:E))/SUMIF('Mortality Tarif Male'!A:A,E83+1,'Mortality Tarif Male'!D:D),(SUMIF('Mortality Tarif Female'!A:A,E83+1,'Mortality Tarif Female'!E:E)-SUMIF('Mortality Tarif Female'!A:A,$C$2+$H$2,'Mortality Tarif Female'!E:E))/SUMIF('Mortality Tarif Female'!A:A,E83+1,'Mortality Tarif Female'!D:D)))</f>
        <v>11.132517500433975</v>
      </c>
      <c r="AB82">
        <f t="shared" si="41"/>
        <v>2814.831205404404</v>
      </c>
      <c r="AC82">
        <f>IF(B82&gt;=$AF$2,0,MIN(1/3*(V82+W82+Y82-AB82),(V82-AB82),(T82*Z82+(1-T82)*AA82)*$AH$2*Assumptions!$B$22))</f>
        <v>304.66691217265532</v>
      </c>
      <c r="AD82">
        <f t="shared" si="57"/>
        <v>9002.9535352465537</v>
      </c>
      <c r="AE82">
        <f t="shared" si="58"/>
        <v>9307.6204474192091</v>
      </c>
      <c r="AF82">
        <f t="shared" si="59"/>
        <v>9002.9535352465537</v>
      </c>
      <c r="AG82" s="26">
        <f t="shared" si="35"/>
        <v>0</v>
      </c>
      <c r="AH82" s="27">
        <f>IF(B82&gt;$AF$2,0,HLOOKUP(YEAR(A82),Assumptions!$A$34:$AL$37,4,TRUE)/100)</f>
        <v>8.5909999999999997E-3</v>
      </c>
      <c r="AI82">
        <f t="shared" si="60"/>
        <v>0</v>
      </c>
      <c r="AJ82">
        <f t="shared" si="61"/>
        <v>1.7988936390984056</v>
      </c>
      <c r="AK82">
        <f t="shared" si="62"/>
        <v>21.652007188144541</v>
      </c>
      <c r="AL82">
        <f>IF(E82&gt;Assumptions!$B$9,0,SUMPRODUCT($P$2:$X$2,Assumptions!$A$43:$I$43)/$I$2*O81*K82)</f>
        <v>4.5182198898725394</v>
      </c>
      <c r="AM82">
        <f t="shared" si="63"/>
        <v>0</v>
      </c>
      <c r="AN82">
        <f t="shared" si="64"/>
        <v>27.969120717115487</v>
      </c>
      <c r="AO82">
        <f>IF(E82&gt;Assumptions!$B$9,0,($V$2+$X$2)/$I$2*O81*K82*Assumptions!$B$46)</f>
        <v>0</v>
      </c>
      <c r="AP82">
        <f>IF(B82&gt;$AF$2,0,AP81*(1+Assumptions!$B$52)^(1/12))</f>
        <v>1.0606403090390344</v>
      </c>
      <c r="AQ82" s="29">
        <f>IF(B82&gt;$AF$2,0,O81*Assumptions!$B$48/12*AP81+AR82*Assumptions!$B$50/12)</f>
        <v>12.669504741468577</v>
      </c>
      <c r="AR82" s="31">
        <f t="shared" si="65"/>
        <v>7115.7113941421721</v>
      </c>
      <c r="AS82">
        <f t="shared" si="48"/>
        <v>7239.4538045577547</v>
      </c>
      <c r="AT82">
        <f t="shared" si="66"/>
        <v>16.187732442552388</v>
      </c>
      <c r="AU82" s="19">
        <f t="shared" si="67"/>
        <v>7128.1662723756144</v>
      </c>
      <c r="AV82" s="19">
        <f t="shared" si="68"/>
        <v>7235.116027655301</v>
      </c>
      <c r="AW82">
        <f t="shared" si="69"/>
        <v>-131.56609066720711</v>
      </c>
      <c r="AX82">
        <f>IF(B82&gt;$AF$2,0,HLOOKUP(YEAR(A82),Assumptions!$A$34:$AL$37,2,TRUE)/100)</f>
        <v>1.4591E-2</v>
      </c>
      <c r="AY82" s="32">
        <f>1/(1+HLOOKUP(YEAR(A82),Assumptions!$A$27:$AL$29,3,TRUE))^(1/12)</f>
        <v>0.99881993499877397</v>
      </c>
      <c r="AZ82" s="30">
        <f t="shared" si="49"/>
        <v>8532.1506104931595</v>
      </c>
      <c r="BA82">
        <f>IF(B82&gt;$AF$2,0,IF($E$2=0,(T82*Z82+(1-T82)*AA82)*$J$2*Assumptions!$B$20,0))</f>
        <v>0</v>
      </c>
    </row>
    <row r="83" spans="1:53" x14ac:dyDescent="0.25">
      <c r="A83" s="17">
        <f t="shared" si="50"/>
        <v>45291</v>
      </c>
      <c r="B83">
        <f t="shared" si="42"/>
        <v>302</v>
      </c>
      <c r="C83">
        <f t="shared" si="43"/>
        <v>25.083333333333332</v>
      </c>
      <c r="D83">
        <f t="shared" si="36"/>
        <v>0</v>
      </c>
      <c r="E83">
        <f t="shared" si="44"/>
        <v>48</v>
      </c>
      <c r="F83">
        <f>IF(C83&gt;=$H$2,0,VLOOKUP($E83,'Mortality Table'!$A$3:$C$128,2+AB$2,FALSE))</f>
        <v>1.2356000000000001E-3</v>
      </c>
      <c r="G83">
        <f>F83*Assumptions!$B$1</f>
        <v>1.3375370000000002E-3</v>
      </c>
      <c r="H83">
        <f t="shared" si="51"/>
        <v>1.1152980517503686E-4</v>
      </c>
      <c r="I83">
        <f t="shared" si="37"/>
        <v>8.9549625523857964E-5</v>
      </c>
      <c r="J83">
        <f>HLOOKUP(C83,Assumptions!$A$6:$J$7,2,TRUE)</f>
        <v>3.5200000000000002E-2</v>
      </c>
      <c r="K83" s="18">
        <f t="shared" si="45"/>
        <v>1</v>
      </c>
      <c r="L83" s="18">
        <f t="shared" si="52"/>
        <v>8.3333333333333329E-2</v>
      </c>
      <c r="M83" s="18">
        <f t="shared" si="38"/>
        <v>2.9817501439168836E-3</v>
      </c>
      <c r="N83">
        <f t="shared" si="39"/>
        <v>2.3975508242276631E-3</v>
      </c>
      <c r="O83" s="20">
        <f t="shared" si="40"/>
        <v>0.80163276712651665</v>
      </c>
      <c r="P83">
        <f>IF(B83&gt;$AF$2,0,O82*($E$2+IF(E83&lt;=Assumptions!$B$9,$D$2,0))/$I$2*K83)</f>
        <v>41.184339217697861</v>
      </c>
      <c r="Q83">
        <f t="shared" si="53"/>
        <v>26.1</v>
      </c>
      <c r="R83">
        <f>IF(B83&gt;$AF$2,0,IF($Y$2=1,(SUMIF('Mortality Tarif Male'!A:A,E84,'Mortality Tarif Male'!G:G)-SUMIF('Mortality Tarif Male'!A:A,$C$2+$H$2,'Mortality Tarif Male'!G:G)+SUMIF('Mortality Tarif Male'!A:A,$C$2+$H$2,'Mortality Tarif Male'!D:D))/SUMIF('Mortality Tarif Male'!A:A,E84,'Mortality Tarif Male'!D:D),(SUMIF('Mortality Tarif Female'!A:A,E84,'Mortality Tarif Female'!G:G)-SUMIF('Mortality Tarif Female'!A:A,$C$2+$H$2,'Mortality Tarif Female'!G:G)+SUMIF('Mortality Tarif Female'!A:A,$C$2+$H$2,'Mortality Tarif Female'!D:D))/SUMIF('Mortality Tarif Female'!A:A,E84,'Mortality Tarif Female'!D:D)))</f>
        <v>0.60362455571643081</v>
      </c>
      <c r="S83">
        <f>IF(B83&gt;=$AF$2,0,IF($Y$2=1,(SUMIF('Mortality Tarif Male'!A:A,E84+1,'Mortality Tarif Male'!G:G)-SUMIF('Mortality Tarif Male'!A:A,$C$2+$H$2,'Mortality Tarif Male'!G:G)+SUMIF('Mortality Tarif Male'!A:A,$C$2+$H$2,'Mortality Tarif Male'!D:D))/SUMIF('Mortality Tarif Male'!A:A,E84+1,'Mortality Tarif Male'!D:D),(SUMIF('Mortality Tarif Female'!A:A,E84+1,'Mortality Tarif Female'!G:G)-SUMIF('Mortality Tarif Female'!A:A,$C$2+$H$2,'Mortality Tarif Female'!G:G)+SUMIF('Mortality Tarif Female'!A:A,$C$2+$H$2,'Mortality Tarif Female'!D:D))/SUMIF('Mortality Tarif Female'!A:A,E84+1,'Mortality Tarif Female'!D:D)))</f>
        <v>0.62412136992836209</v>
      </c>
      <c r="T83">
        <f t="shared" si="54"/>
        <v>0.83333333333333215</v>
      </c>
      <c r="U83">
        <f t="shared" si="55"/>
        <v>0.60704069141841943</v>
      </c>
      <c r="V83">
        <f t="shared" si="56"/>
        <v>12140.813828368389</v>
      </c>
      <c r="W83">
        <f t="shared" si="46"/>
        <v>15.843762046020748</v>
      </c>
      <c r="X83">
        <f t="shared" si="47"/>
        <v>0</v>
      </c>
      <c r="Y83">
        <f>IF(B83&gt;$AF$2,0,IF(X84=0,0,(1-X84)*($E$2+IF(E83&lt;=Assumptions!$B$9,$D$2,0))/$I$2*1/(1+$AG$2)*1/(1+Assumptions!$B$11)))</f>
        <v>0</v>
      </c>
      <c r="Z83">
        <f>IF(B83&gt;$AF$2,0,IF($Y$2=1,(SUMIF('Mortality Tarif Male'!A:A,E84,'Mortality Tarif Male'!E:E)-SUMIF('Mortality Tarif Male'!A:A,$C$2+$H$2,'Mortality Tarif Male'!E:E))/SUMIF('Mortality Tarif Male'!A:A,E84,'Mortality Tarif Male'!D:D),(SUMIF('Mortality Tarif Female'!A:A,E84,'Mortality Tarif Female'!E:E)-SUMIF('Mortality Tarif Female'!A:A,$C$2+$H$2,'Mortality Tarif Female'!E:E))/SUMIF('Mortality Tarif Female'!A:A,E84,'Mortality Tarif Female'!D:D)))</f>
        <v>11.738821789848721</v>
      </c>
      <c r="AA83">
        <f>IF(B83&gt;=$AF$2,0,IF($Y$2=1,(SUMIF('Mortality Tarif Male'!A:A,E84+1,'Mortality Tarif Male'!E:E)-SUMIF('Mortality Tarif Male'!A:A,$C$2+$H$2,'Mortality Tarif Male'!E:E))/SUMIF('Mortality Tarif Male'!A:A,E84+1,'Mortality Tarif Male'!D:D),(SUMIF('Mortality Tarif Female'!A:A,E84+1,'Mortality Tarif Female'!E:E)-SUMIF('Mortality Tarif Female'!A:A,$C$2+$H$2,'Mortality Tarif Female'!E:E))/SUMIF('Mortality Tarif Female'!A:A,E84+1,'Mortality Tarif Female'!D:D)))</f>
        <v>11.132517500433975</v>
      </c>
      <c r="AB83">
        <f t="shared" si="41"/>
        <v>2802.6634482260588</v>
      </c>
      <c r="AC83">
        <f>IF(B83&gt;=$AF$2,0,MIN(1/3*(V83+W83+Y83-AB83),(V83-AB83),(T83*Z83+(1-T83)*AA83)*$AH$2*Assumptions!$B$22))</f>
        <v>303.34991916771929</v>
      </c>
      <c r="AD83">
        <f t="shared" si="57"/>
        <v>9050.6442230206321</v>
      </c>
      <c r="AE83">
        <f t="shared" si="58"/>
        <v>9353.9941421883523</v>
      </c>
      <c r="AF83">
        <f t="shared" si="59"/>
        <v>9050.6442230206321</v>
      </c>
      <c r="AG83" s="26">
        <f t="shared" si="35"/>
        <v>8794.3245288517319</v>
      </c>
      <c r="AH83" s="27">
        <f>IF(B83&gt;$AF$2,0,HLOOKUP(YEAR(A83),Assumptions!$A$34:$AL$37,4,TRUE)/100)</f>
        <v>8.5909999999999997E-3</v>
      </c>
      <c r="AI83">
        <f t="shared" si="60"/>
        <v>0</v>
      </c>
      <c r="AJ83">
        <f t="shared" si="61"/>
        <v>1.7933297557033319</v>
      </c>
      <c r="AK83">
        <f t="shared" si="62"/>
        <v>21.699379516694453</v>
      </c>
      <c r="AL83">
        <f>IF(E83&gt;Assumptions!$B$9,0,SUMPRODUCT($P$2:$X$2,Assumptions!$A$43:$I$43)/$I$2*O82*K83)</f>
        <v>4.5042452734337628</v>
      </c>
      <c r="AM83">
        <f t="shared" si="63"/>
        <v>0</v>
      </c>
      <c r="AN83">
        <f t="shared" si="64"/>
        <v>27.996954545831549</v>
      </c>
      <c r="AO83">
        <f>IF(E83&gt;Assumptions!$B$9,0,($V$2+$X$2)/$I$2*O82*K83*Assumptions!$B$46)</f>
        <v>0</v>
      </c>
      <c r="AP83">
        <f>IF(B83&gt;$AF$2,0,AP82*(1+Assumptions!$B$52)^(1/12))</f>
        <v>1.0615201506009941</v>
      </c>
      <c r="AQ83" s="29">
        <f>IF(B83&gt;$AF$2,0,O82*Assumptions!$B$48/12*AP82+AR83*Assumptions!$B$50/12)</f>
        <v>12.645613286594719</v>
      </c>
      <c r="AR83" s="31">
        <f t="shared" si="65"/>
        <v>7119.5211332547751</v>
      </c>
      <c r="AS83">
        <f t="shared" si="48"/>
        <v>7255.2929727776518</v>
      </c>
      <c r="AT83">
        <f t="shared" si="66"/>
        <v>16.137664637661956</v>
      </c>
      <c r="AU83" s="19">
        <f t="shared" si="67"/>
        <v>7131.9221945482159</v>
      </c>
      <c r="AV83" s="19">
        <f t="shared" si="68"/>
        <v>7251.0872239219825</v>
      </c>
      <c r="AW83">
        <f t="shared" si="69"/>
        <v>0</v>
      </c>
      <c r="AX83">
        <f>IF(B83&gt;$AF$2,0,HLOOKUP(YEAR(A83),Assumptions!$A$34:$AL$37,2,TRUE)/100)</f>
        <v>1.4591E-2</v>
      </c>
      <c r="AY83" s="32">
        <f>1/(1+HLOOKUP(YEAR(A83),Assumptions!$A$27:$AL$29,3,TRUE))^(1/12)</f>
        <v>0.99881993499877397</v>
      </c>
      <c r="AZ83" s="30">
        <f t="shared" si="49"/>
        <v>8542.7727697119444</v>
      </c>
      <c r="BA83">
        <f>IF(B83&gt;$AF$2,0,IF($E$2=0,(T83*Z83+(1-T83)*AA83)*$J$2*Assumptions!$B$20,0))</f>
        <v>0</v>
      </c>
    </row>
    <row r="84" spans="1:53" x14ac:dyDescent="0.25">
      <c r="A84" s="17">
        <f t="shared" si="50"/>
        <v>45322</v>
      </c>
      <c r="B84">
        <f t="shared" si="42"/>
        <v>303</v>
      </c>
      <c r="C84">
        <f t="shared" si="43"/>
        <v>25.166666666666668</v>
      </c>
      <c r="D84">
        <f t="shared" si="36"/>
        <v>0</v>
      </c>
      <c r="E84">
        <f t="shared" si="44"/>
        <v>48</v>
      </c>
      <c r="F84">
        <f>IF(C84&gt;=$H$2,0,VLOOKUP($E84,'Mortality Table'!$A$3:$C$128,2+AB$2,FALSE))</f>
        <v>1.2356000000000001E-3</v>
      </c>
      <c r="G84">
        <f>F84*Assumptions!$B$1</f>
        <v>1.3375370000000002E-3</v>
      </c>
      <c r="H84">
        <f t="shared" si="51"/>
        <v>1.1152980517503686E-4</v>
      </c>
      <c r="I84">
        <f t="shared" si="37"/>
        <v>8.9272653242863606E-5</v>
      </c>
      <c r="J84">
        <f>HLOOKUP(C84,Assumptions!$A$6:$J$7,2,TRUE)</f>
        <v>3.5200000000000002E-2</v>
      </c>
      <c r="K84" s="18">
        <f t="shared" si="45"/>
        <v>1</v>
      </c>
      <c r="L84" s="18">
        <f t="shared" si="52"/>
        <v>8.3333333333333329E-2</v>
      </c>
      <c r="M84" s="18">
        <f t="shared" si="38"/>
        <v>2.9817501439168836E-3</v>
      </c>
      <c r="N84">
        <f t="shared" si="39"/>
        <v>2.3901353256512983E-3</v>
      </c>
      <c r="O84" s="20">
        <f t="shared" si="40"/>
        <v>0.79915335914762253</v>
      </c>
      <c r="P84">
        <f>IF(B84&gt;$AF$2,0,O83*($E$2+IF(E84&lt;=Assumptions!$B$9,$D$2,0))/$I$2*K84)</f>
        <v>41.056958222996421</v>
      </c>
      <c r="Q84">
        <f t="shared" si="53"/>
        <v>26.1</v>
      </c>
      <c r="R84">
        <f>IF(B84&gt;$AF$2,0,IF($Y$2=1,(SUMIF('Mortality Tarif Male'!A:A,E85,'Mortality Tarif Male'!G:G)-SUMIF('Mortality Tarif Male'!A:A,$C$2+$H$2,'Mortality Tarif Male'!G:G)+SUMIF('Mortality Tarif Male'!A:A,$C$2+$H$2,'Mortality Tarif Male'!D:D))/SUMIF('Mortality Tarif Male'!A:A,E85,'Mortality Tarif Male'!D:D),(SUMIF('Mortality Tarif Female'!A:A,E85,'Mortality Tarif Female'!G:G)-SUMIF('Mortality Tarif Female'!A:A,$C$2+$H$2,'Mortality Tarif Female'!G:G)+SUMIF('Mortality Tarif Female'!A:A,$C$2+$H$2,'Mortality Tarif Female'!D:D))/SUMIF('Mortality Tarif Female'!A:A,E85,'Mortality Tarif Female'!D:D)))</f>
        <v>0.60362455571643081</v>
      </c>
      <c r="S84">
        <f>IF(B84&gt;=$AF$2,0,IF($Y$2=1,(SUMIF('Mortality Tarif Male'!A:A,E85+1,'Mortality Tarif Male'!G:G)-SUMIF('Mortality Tarif Male'!A:A,$C$2+$H$2,'Mortality Tarif Male'!G:G)+SUMIF('Mortality Tarif Male'!A:A,$C$2+$H$2,'Mortality Tarif Male'!D:D))/SUMIF('Mortality Tarif Male'!A:A,E85+1,'Mortality Tarif Male'!D:D),(SUMIF('Mortality Tarif Female'!A:A,E85+1,'Mortality Tarif Female'!G:G)-SUMIF('Mortality Tarif Female'!A:A,$C$2+$H$2,'Mortality Tarif Female'!G:G)+SUMIF('Mortality Tarif Female'!A:A,$C$2+$H$2,'Mortality Tarif Female'!D:D))/SUMIF('Mortality Tarif Female'!A:A,E85+1,'Mortality Tarif Female'!D:D)))</f>
        <v>0.62412136992836209</v>
      </c>
      <c r="T84">
        <f t="shared" si="54"/>
        <v>0.75</v>
      </c>
      <c r="U84">
        <f t="shared" si="55"/>
        <v>0.60874875926941363</v>
      </c>
      <c r="V84">
        <f t="shared" si="56"/>
        <v>12174.975185388272</v>
      </c>
      <c r="W84">
        <f t="shared" si="46"/>
        <v>15.888342616931697</v>
      </c>
      <c r="X84">
        <f t="shared" si="47"/>
        <v>0</v>
      </c>
      <c r="Y84">
        <f>IF(B84&gt;$AF$2,0,IF(X85=0,0,(1-X85)*($E$2+IF(E84&lt;=Assumptions!$B$9,$D$2,0))/$I$2*1/(1+$AG$2)*1/(1+Assumptions!$B$11)))</f>
        <v>0</v>
      </c>
      <c r="Z84">
        <f>IF(B84&gt;$AF$2,0,IF($Y$2=1,(SUMIF('Mortality Tarif Male'!A:A,E85,'Mortality Tarif Male'!E:E)-SUMIF('Mortality Tarif Male'!A:A,$C$2+$H$2,'Mortality Tarif Male'!E:E))/SUMIF('Mortality Tarif Male'!A:A,E85,'Mortality Tarif Male'!D:D),(SUMIF('Mortality Tarif Female'!A:A,E85,'Mortality Tarif Female'!E:E)-SUMIF('Mortality Tarif Female'!A:A,$C$2+$H$2,'Mortality Tarif Female'!E:E))/SUMIF('Mortality Tarif Female'!A:A,E85,'Mortality Tarif Female'!D:D)))</f>
        <v>11.738821789848721</v>
      </c>
      <c r="AA84">
        <f>IF(B84&gt;=$AF$2,0,IF($Y$2=1,(SUMIF('Mortality Tarif Male'!A:A,E85+1,'Mortality Tarif Male'!E:E)-SUMIF('Mortality Tarif Male'!A:A,$C$2+$H$2,'Mortality Tarif Male'!E:E))/SUMIF('Mortality Tarif Male'!A:A,E85+1,'Mortality Tarif Male'!D:D),(SUMIF('Mortality Tarif Female'!A:A,E85+1,'Mortality Tarif Female'!E:E)-SUMIF('Mortality Tarif Female'!A:A,$C$2+$H$2,'Mortality Tarif Female'!E:E))/SUMIF('Mortality Tarif Female'!A:A,E85+1,'Mortality Tarif Female'!D:D)))</f>
        <v>11.132517500433975</v>
      </c>
      <c r="AB84">
        <f t="shared" si="41"/>
        <v>2790.4956910477135</v>
      </c>
      <c r="AC84">
        <f>IF(B84&gt;=$AF$2,0,MIN(1/3*(V84+W84+Y84-AB84),(V84-AB84),(T84*Z84+(1-T84)*AA84)*$AH$2*Assumptions!$B$22))</f>
        <v>302.03292616278333</v>
      </c>
      <c r="AD84">
        <f t="shared" si="57"/>
        <v>9098.334910794707</v>
      </c>
      <c r="AE84">
        <f t="shared" si="58"/>
        <v>9400.36783695749</v>
      </c>
      <c r="AF84">
        <f t="shared" si="59"/>
        <v>9098.334910794707</v>
      </c>
      <c r="AG84" s="26">
        <f t="shared" si="35"/>
        <v>0</v>
      </c>
      <c r="AH84" s="27">
        <f>IF(B84&gt;$AF$2,0,HLOOKUP(YEAR(A84),Assumptions!$A$34:$AL$37,4,TRUE)/100)</f>
        <v>9.0369999999999999E-3</v>
      </c>
      <c r="AI84">
        <f t="shared" si="60"/>
        <v>0</v>
      </c>
      <c r="AJ84">
        <f t="shared" si="61"/>
        <v>1.7877830811069106</v>
      </c>
      <c r="AK84">
        <f t="shared" si="62"/>
        <v>21.746251674896882</v>
      </c>
      <c r="AL84">
        <f>IF(E84&gt;Assumptions!$B$9,0,SUMPRODUCT($P$2:$X$2,Assumptions!$A$43:$I$43)/$I$2*O83*K84)</f>
        <v>4.4903138797484976</v>
      </c>
      <c r="AM84">
        <f t="shared" si="63"/>
        <v>0</v>
      </c>
      <c r="AN84">
        <f t="shared" si="64"/>
        <v>28.02434863575229</v>
      </c>
      <c r="AO84">
        <f>IF(E84&gt;Assumptions!$B$9,0,($V$2+$X$2)/$I$2*O83*K84*Assumptions!$B$46)</f>
        <v>0</v>
      </c>
      <c r="AP84">
        <f>IF(B84&gt;$AF$2,0,AP83*(1+Assumptions!$B$52)^(1/12))</f>
        <v>1.0624007220250642</v>
      </c>
      <c r="AQ84" s="29">
        <f>IF(B84&gt;$AF$2,0,O83*Assumptions!$B$48/12*AP83+AR84*Assumptions!$B$50/12)</f>
        <v>12.656471610483818</v>
      </c>
      <c r="AR84" s="31">
        <f t="shared" si="65"/>
        <v>7266.8904105877618</v>
      </c>
      <c r="AS84">
        <f t="shared" si="48"/>
        <v>7270.9649066116745</v>
      </c>
      <c r="AT84">
        <f t="shared" si="66"/>
        <v>16.087751689858234</v>
      </c>
      <c r="AU84" s="19">
        <f t="shared" si="67"/>
        <v>7279.2031455104161</v>
      </c>
      <c r="AV84" s="19">
        <f t="shared" si="68"/>
        <v>7266.8904105877618</v>
      </c>
      <c r="AW84">
        <f t="shared" si="69"/>
        <v>-11.80332547634176</v>
      </c>
      <c r="AX84">
        <f>IF(B84&gt;$AF$2,0,HLOOKUP(YEAR(A84),Assumptions!$A$34:$AL$37,2,TRUE)/100)</f>
        <v>1.5037E-2</v>
      </c>
      <c r="AY84" s="32">
        <f>1/(1+HLOOKUP(YEAR(A84),Assumptions!$A$27:$AL$29,3,TRUE))^(1/12)</f>
        <v>0.99879367902408245</v>
      </c>
      <c r="AZ84" s="30">
        <f t="shared" si="49"/>
        <v>8553.466680218733</v>
      </c>
      <c r="BA84">
        <f>IF(B84&gt;$AF$2,0,IF($E$2=0,(T84*Z84+(1-T84)*AA84)*$J$2*Assumptions!$B$20,0))</f>
        <v>0</v>
      </c>
    </row>
    <row r="85" spans="1:53" x14ac:dyDescent="0.25">
      <c r="A85" s="17">
        <f t="shared" si="50"/>
        <v>45351</v>
      </c>
      <c r="B85">
        <f t="shared" si="42"/>
        <v>304</v>
      </c>
      <c r="C85">
        <f t="shared" si="43"/>
        <v>25.25</v>
      </c>
      <c r="D85">
        <f t="shared" si="36"/>
        <v>0</v>
      </c>
      <c r="E85">
        <f t="shared" si="44"/>
        <v>48</v>
      </c>
      <c r="F85">
        <f>IF(C85&gt;=$H$2,0,VLOOKUP($E85,'Mortality Table'!$A$3:$C$128,2+AB$2,FALSE))</f>
        <v>1.2356000000000001E-3</v>
      </c>
      <c r="G85">
        <f>F85*Assumptions!$B$1</f>
        <v>1.3375370000000002E-3</v>
      </c>
      <c r="H85">
        <f t="shared" si="51"/>
        <v>1.1152980517503686E-4</v>
      </c>
      <c r="I85">
        <f t="shared" si="37"/>
        <v>8.8996537622564278E-5</v>
      </c>
      <c r="J85">
        <f>HLOOKUP(C85,Assumptions!$A$6:$J$7,2,TRUE)</f>
        <v>3.5200000000000002E-2</v>
      </c>
      <c r="K85" s="18">
        <f t="shared" si="45"/>
        <v>1</v>
      </c>
      <c r="L85" s="18">
        <f t="shared" si="52"/>
        <v>8.3333333333333329E-2</v>
      </c>
      <c r="M85" s="18">
        <f t="shared" si="38"/>
        <v>2.9817501439168836E-3</v>
      </c>
      <c r="N85">
        <f t="shared" si="39"/>
        <v>2.3827427628219382E-3</v>
      </c>
      <c r="O85" s="20">
        <f t="shared" si="40"/>
        <v>0.79668161984717811</v>
      </c>
      <c r="P85">
        <f>IF(B85&gt;$AF$2,0,O84*($E$2+IF(E85&lt;=Assumptions!$B$9,$D$2,0))/$I$2*K85)</f>
        <v>40.929971211010731</v>
      </c>
      <c r="Q85">
        <f t="shared" si="53"/>
        <v>26.1</v>
      </c>
      <c r="R85">
        <f>IF(B85&gt;$AF$2,0,IF($Y$2=1,(SUMIF('Mortality Tarif Male'!A:A,E86,'Mortality Tarif Male'!G:G)-SUMIF('Mortality Tarif Male'!A:A,$C$2+$H$2,'Mortality Tarif Male'!G:G)+SUMIF('Mortality Tarif Male'!A:A,$C$2+$H$2,'Mortality Tarif Male'!D:D))/SUMIF('Mortality Tarif Male'!A:A,E86,'Mortality Tarif Male'!D:D),(SUMIF('Mortality Tarif Female'!A:A,E86,'Mortality Tarif Female'!G:G)-SUMIF('Mortality Tarif Female'!A:A,$C$2+$H$2,'Mortality Tarif Female'!G:G)+SUMIF('Mortality Tarif Female'!A:A,$C$2+$H$2,'Mortality Tarif Female'!D:D))/SUMIF('Mortality Tarif Female'!A:A,E86,'Mortality Tarif Female'!D:D)))</f>
        <v>0.60362455571643081</v>
      </c>
      <c r="S85">
        <f>IF(B85&gt;=$AF$2,0,IF($Y$2=1,(SUMIF('Mortality Tarif Male'!A:A,E86+1,'Mortality Tarif Male'!G:G)-SUMIF('Mortality Tarif Male'!A:A,$C$2+$H$2,'Mortality Tarif Male'!G:G)+SUMIF('Mortality Tarif Male'!A:A,$C$2+$H$2,'Mortality Tarif Male'!D:D))/SUMIF('Mortality Tarif Male'!A:A,E86+1,'Mortality Tarif Male'!D:D),(SUMIF('Mortality Tarif Female'!A:A,E86+1,'Mortality Tarif Female'!G:G)-SUMIF('Mortality Tarif Female'!A:A,$C$2+$H$2,'Mortality Tarif Female'!G:G)+SUMIF('Mortality Tarif Female'!A:A,$C$2+$H$2,'Mortality Tarif Female'!D:D))/SUMIF('Mortality Tarif Female'!A:A,E86+1,'Mortality Tarif Female'!D:D)))</f>
        <v>0.62412136992836209</v>
      </c>
      <c r="T85">
        <f t="shared" si="54"/>
        <v>0.66666666666666785</v>
      </c>
      <c r="U85">
        <f t="shared" si="55"/>
        <v>0.61045682712040783</v>
      </c>
      <c r="V85">
        <f t="shared" si="56"/>
        <v>12209.136542408156</v>
      </c>
      <c r="W85">
        <f t="shared" si="46"/>
        <v>15.932923187842645</v>
      </c>
      <c r="X85">
        <f t="shared" si="47"/>
        <v>0</v>
      </c>
      <c r="Y85">
        <f>IF(B85&gt;$AF$2,0,IF(X86=0,0,(1-X86)*($E$2+IF(E85&lt;=Assumptions!$B$9,$D$2,0))/$I$2*1/(1+$AG$2)*1/(1+Assumptions!$B$11)))</f>
        <v>0</v>
      </c>
      <c r="Z85">
        <f>IF(B85&gt;$AF$2,0,IF($Y$2=1,(SUMIF('Mortality Tarif Male'!A:A,E86,'Mortality Tarif Male'!E:E)-SUMIF('Mortality Tarif Male'!A:A,$C$2+$H$2,'Mortality Tarif Male'!E:E))/SUMIF('Mortality Tarif Male'!A:A,E86,'Mortality Tarif Male'!D:D),(SUMIF('Mortality Tarif Female'!A:A,E86,'Mortality Tarif Female'!E:E)-SUMIF('Mortality Tarif Female'!A:A,$C$2+$H$2,'Mortality Tarif Female'!E:E))/SUMIF('Mortality Tarif Female'!A:A,E86,'Mortality Tarif Female'!D:D)))</f>
        <v>11.738821789848721</v>
      </c>
      <c r="AA85">
        <f>IF(B85&gt;=$AF$2,0,IF($Y$2=1,(SUMIF('Mortality Tarif Male'!A:A,E86+1,'Mortality Tarif Male'!E:E)-SUMIF('Mortality Tarif Male'!A:A,$C$2+$H$2,'Mortality Tarif Male'!E:E))/SUMIF('Mortality Tarif Male'!A:A,E86+1,'Mortality Tarif Male'!D:D),(SUMIF('Mortality Tarif Female'!A:A,E86+1,'Mortality Tarif Female'!E:E)-SUMIF('Mortality Tarif Female'!A:A,$C$2+$H$2,'Mortality Tarif Female'!E:E))/SUMIF('Mortality Tarif Female'!A:A,E86+1,'Mortality Tarif Female'!D:D)))</f>
        <v>11.132517500433975</v>
      </c>
      <c r="AB85">
        <f t="shared" si="41"/>
        <v>2778.3279338693687</v>
      </c>
      <c r="AC85">
        <f>IF(B85&gt;=$AF$2,0,MIN(1/3*(V85+W85+Y85-AB85),(V85-AB85),(T85*Z85+(1-T85)*AA85)*$AH$2*Assumptions!$B$22))</f>
        <v>300.71593315784742</v>
      </c>
      <c r="AD85">
        <f t="shared" si="57"/>
        <v>9146.0255985687818</v>
      </c>
      <c r="AE85">
        <f t="shared" si="58"/>
        <v>9446.7415317266295</v>
      </c>
      <c r="AF85">
        <f t="shared" si="59"/>
        <v>9146.0255985687818</v>
      </c>
      <c r="AG85" s="26">
        <f t="shared" si="35"/>
        <v>0</v>
      </c>
      <c r="AH85" s="27">
        <f>IF(B85&gt;$AF$2,0,HLOOKUP(YEAR(A85),Assumptions!$A$34:$AL$37,4,TRUE)/100)</f>
        <v>9.0369999999999999E-3</v>
      </c>
      <c r="AI85">
        <f t="shared" si="60"/>
        <v>0</v>
      </c>
      <c r="AJ85">
        <f t="shared" si="61"/>
        <v>1.7822535620832343</v>
      </c>
      <c r="AK85">
        <f t="shared" si="62"/>
        <v>21.79262630357395</v>
      </c>
      <c r="AL85">
        <f>IF(E85&gt;Assumptions!$B$9,0,SUMPRODUCT($P$2:$X$2,Assumptions!$A$43:$I$43)/$I$2*O84*K85)</f>
        <v>4.4764255751310413</v>
      </c>
      <c r="AM85">
        <f t="shared" si="63"/>
        <v>0</v>
      </c>
      <c r="AN85">
        <f t="shared" si="64"/>
        <v>28.051305440788227</v>
      </c>
      <c r="AO85">
        <f>IF(E85&gt;Assumptions!$B$9,0,($V$2+$X$2)/$I$2*O84*K85*Assumptions!$B$46)</f>
        <v>0</v>
      </c>
      <c r="AP85">
        <f>IF(B85&gt;$AF$2,0,AP84*(1+Assumptions!$B$52)^(1/12))</f>
        <v>1.0632820239166929</v>
      </c>
      <c r="AQ85" s="29">
        <f>IF(B85&gt;$AF$2,0,O84*Assumptions!$B$48/12*AP84+AR85*Assumptions!$B$50/12)</f>
        <v>12.632698033681386</v>
      </c>
      <c r="AR85" s="31">
        <f t="shared" si="65"/>
        <v>7270.7231486803785</v>
      </c>
      <c r="AS85">
        <f t="shared" si="48"/>
        <v>7286.4704890315343</v>
      </c>
      <c r="AT85">
        <f t="shared" si="66"/>
        <v>16.037993120176406</v>
      </c>
      <c r="AU85" s="19">
        <f t="shared" si="67"/>
        <v>7282.9824287375313</v>
      </c>
      <c r="AV85" s="19">
        <f t="shared" si="68"/>
        <v>7282.5264741567198</v>
      </c>
      <c r="AW85">
        <f t="shared" si="69"/>
        <v>-23.646837079209412</v>
      </c>
      <c r="AX85">
        <f>IF(B85&gt;$AF$2,0,HLOOKUP(YEAR(A85),Assumptions!$A$34:$AL$37,2,TRUE)/100)</f>
        <v>1.5037E-2</v>
      </c>
      <c r="AY85" s="32">
        <f>1/(1+HLOOKUP(YEAR(A85),Assumptions!$A$27:$AL$29,3,TRUE))^(1/12)</f>
        <v>0.99879367902408245</v>
      </c>
      <c r="AZ85" s="30">
        <f t="shared" si="49"/>
        <v>8564.0433363545471</v>
      </c>
      <c r="BA85">
        <f>IF(B85&gt;$AF$2,0,IF($E$2=0,(T85*Z85+(1-T85)*AA85)*$J$2*Assumptions!$B$20,0))</f>
        <v>0</v>
      </c>
    </row>
    <row r="86" spans="1:53" x14ac:dyDescent="0.25">
      <c r="A86" s="17">
        <f t="shared" si="50"/>
        <v>45382</v>
      </c>
      <c r="B86">
        <f t="shared" si="42"/>
        <v>305</v>
      </c>
      <c r="C86">
        <f t="shared" si="43"/>
        <v>25.333333333333332</v>
      </c>
      <c r="D86">
        <f t="shared" si="36"/>
        <v>0</v>
      </c>
      <c r="E86">
        <f t="shared" si="44"/>
        <v>48</v>
      </c>
      <c r="F86">
        <f>IF(C86&gt;=$H$2,0,VLOOKUP($E86,'Mortality Table'!$A$3:$C$128,2+AB$2,FALSE))</f>
        <v>1.2356000000000001E-3</v>
      </c>
      <c r="G86">
        <f>F86*Assumptions!$B$1</f>
        <v>1.3375370000000002E-3</v>
      </c>
      <c r="H86">
        <f t="shared" si="51"/>
        <v>1.1152980517503686E-4</v>
      </c>
      <c r="I86">
        <f t="shared" si="37"/>
        <v>8.872127601335351E-5</v>
      </c>
      <c r="J86">
        <f>HLOOKUP(C86,Assumptions!$A$6:$J$7,2,TRUE)</f>
        <v>3.5200000000000002E-2</v>
      </c>
      <c r="K86" s="18">
        <f t="shared" si="45"/>
        <v>1</v>
      </c>
      <c r="L86" s="18">
        <f t="shared" si="52"/>
        <v>8.3333333333333329E-2</v>
      </c>
      <c r="M86" s="18">
        <f t="shared" si="38"/>
        <v>2.9817501439168836E-3</v>
      </c>
      <c r="N86">
        <f t="shared" si="39"/>
        <v>2.3753730648005244E-3</v>
      </c>
      <c r="O86" s="20">
        <f t="shared" si="40"/>
        <v>0.79421752550636426</v>
      </c>
      <c r="P86">
        <f>IF(B86&gt;$AF$2,0,O85*($E$2+IF(E86&lt;=Assumptions!$B$9,$D$2,0))/$I$2*K86)</f>
        <v>40.803376963172965</v>
      </c>
      <c r="Q86">
        <f t="shared" si="53"/>
        <v>26.1</v>
      </c>
      <c r="R86">
        <f>IF(B86&gt;$AF$2,0,IF($Y$2=1,(SUMIF('Mortality Tarif Male'!A:A,E87,'Mortality Tarif Male'!G:G)-SUMIF('Mortality Tarif Male'!A:A,$C$2+$H$2,'Mortality Tarif Male'!G:G)+SUMIF('Mortality Tarif Male'!A:A,$C$2+$H$2,'Mortality Tarif Male'!D:D))/SUMIF('Mortality Tarif Male'!A:A,E87,'Mortality Tarif Male'!D:D),(SUMIF('Mortality Tarif Female'!A:A,E87,'Mortality Tarif Female'!G:G)-SUMIF('Mortality Tarif Female'!A:A,$C$2+$H$2,'Mortality Tarif Female'!G:G)+SUMIF('Mortality Tarif Female'!A:A,$C$2+$H$2,'Mortality Tarif Female'!D:D))/SUMIF('Mortality Tarif Female'!A:A,E87,'Mortality Tarif Female'!D:D)))</f>
        <v>0.60362455571643081</v>
      </c>
      <c r="S86">
        <f>IF(B86&gt;=$AF$2,0,IF($Y$2=1,(SUMIF('Mortality Tarif Male'!A:A,E87+1,'Mortality Tarif Male'!G:G)-SUMIF('Mortality Tarif Male'!A:A,$C$2+$H$2,'Mortality Tarif Male'!G:G)+SUMIF('Mortality Tarif Male'!A:A,$C$2+$H$2,'Mortality Tarif Male'!D:D))/SUMIF('Mortality Tarif Male'!A:A,E87+1,'Mortality Tarif Male'!D:D),(SUMIF('Mortality Tarif Female'!A:A,E87+1,'Mortality Tarif Female'!G:G)-SUMIF('Mortality Tarif Female'!A:A,$C$2+$H$2,'Mortality Tarif Female'!G:G)+SUMIF('Mortality Tarif Female'!A:A,$C$2+$H$2,'Mortality Tarif Female'!D:D))/SUMIF('Mortality Tarif Female'!A:A,E87+1,'Mortality Tarif Female'!D:D)))</f>
        <v>0.62412136992836209</v>
      </c>
      <c r="T86">
        <f t="shared" si="54"/>
        <v>0.58333333333333215</v>
      </c>
      <c r="U86">
        <f t="shared" si="55"/>
        <v>0.61216489497140225</v>
      </c>
      <c r="V86">
        <f t="shared" si="56"/>
        <v>12243.297899428046</v>
      </c>
      <c r="W86">
        <f t="shared" si="46"/>
        <v>15.977503758753599</v>
      </c>
      <c r="X86">
        <f t="shared" si="47"/>
        <v>0</v>
      </c>
      <c r="Y86">
        <f>IF(B86&gt;$AF$2,0,IF(X87=0,0,(1-X87)*($E$2+IF(E86&lt;=Assumptions!$B$9,$D$2,0))/$I$2*1/(1+$AG$2)*1/(1+Assumptions!$B$11)))</f>
        <v>0</v>
      </c>
      <c r="Z86">
        <f>IF(B86&gt;$AF$2,0,IF($Y$2=1,(SUMIF('Mortality Tarif Male'!A:A,E87,'Mortality Tarif Male'!E:E)-SUMIF('Mortality Tarif Male'!A:A,$C$2+$H$2,'Mortality Tarif Male'!E:E))/SUMIF('Mortality Tarif Male'!A:A,E87,'Mortality Tarif Male'!D:D),(SUMIF('Mortality Tarif Female'!A:A,E87,'Mortality Tarif Female'!E:E)-SUMIF('Mortality Tarif Female'!A:A,$C$2+$H$2,'Mortality Tarif Female'!E:E))/SUMIF('Mortality Tarif Female'!A:A,E87,'Mortality Tarif Female'!D:D)))</f>
        <v>11.738821789848721</v>
      </c>
      <c r="AA86">
        <f>IF(B86&gt;=$AF$2,0,IF($Y$2=1,(SUMIF('Mortality Tarif Male'!A:A,E87+1,'Mortality Tarif Male'!E:E)-SUMIF('Mortality Tarif Male'!A:A,$C$2+$H$2,'Mortality Tarif Male'!E:E))/SUMIF('Mortality Tarif Male'!A:A,E87+1,'Mortality Tarif Male'!D:D),(SUMIF('Mortality Tarif Female'!A:A,E87+1,'Mortality Tarif Female'!E:E)-SUMIF('Mortality Tarif Female'!A:A,$C$2+$H$2,'Mortality Tarif Female'!E:E))/SUMIF('Mortality Tarif Female'!A:A,E87+1,'Mortality Tarif Female'!D:D)))</f>
        <v>11.132517500433975</v>
      </c>
      <c r="AB86">
        <f t="shared" si="41"/>
        <v>2766.160176691023</v>
      </c>
      <c r="AC86">
        <f>IF(B86&gt;=$AF$2,0,MIN(1/3*(V86+W86+Y86-AB86),(V86-AB86),(T86*Z86+(1-T86)*AA86)*$AH$2*Assumptions!$B$22))</f>
        <v>299.39894015291139</v>
      </c>
      <c r="AD86">
        <f t="shared" si="57"/>
        <v>9193.7162863428657</v>
      </c>
      <c r="AE86">
        <f t="shared" si="58"/>
        <v>9493.1152264957764</v>
      </c>
      <c r="AF86">
        <f t="shared" si="59"/>
        <v>9193.7162863428657</v>
      </c>
      <c r="AG86" s="26">
        <f t="shared" si="35"/>
        <v>0</v>
      </c>
      <c r="AH86" s="27">
        <f>IF(B86&gt;$AF$2,0,HLOOKUP(YEAR(A86),Assumptions!$A$34:$AL$37,4,TRUE)/100)</f>
        <v>9.0369999999999999E-3</v>
      </c>
      <c r="AI86">
        <f t="shared" si="60"/>
        <v>0</v>
      </c>
      <c r="AJ86">
        <f t="shared" si="61"/>
        <v>1.7767411455710187</v>
      </c>
      <c r="AK86">
        <f t="shared" si="62"/>
        <v>21.838506031996747</v>
      </c>
      <c r="AL86">
        <f>IF(E86&gt;Assumptions!$B$9,0,SUMPRODUCT($P$2:$X$2,Assumptions!$A$43:$I$43)/$I$2*O85*K86)</f>
        <v>4.4625802263091741</v>
      </c>
      <c r="AM86">
        <f t="shared" si="63"/>
        <v>0</v>
      </c>
      <c r="AN86">
        <f t="shared" si="64"/>
        <v>28.077827403876942</v>
      </c>
      <c r="AO86">
        <f>IF(E86&gt;Assumptions!$B$9,0,($V$2+$X$2)/$I$2*O85*K86*Assumptions!$B$46)</f>
        <v>0</v>
      </c>
      <c r="AP86">
        <f>IF(B86&gt;$AF$2,0,AP85*(1+Assumptions!$B$52)^(1/12))</f>
        <v>1.0641640568818309</v>
      </c>
      <c r="AQ86" s="29">
        <f>IF(B86&gt;$AF$2,0,O85*Assumptions!$B$48/12*AP85+AR86*Assumptions!$B$50/12)</f>
        <v>12.608930539630384</v>
      </c>
      <c r="AR86" s="31">
        <f t="shared" si="65"/>
        <v>7274.349460177149</v>
      </c>
      <c r="AS86">
        <f t="shared" si="48"/>
        <v>7301.8105991467919</v>
      </c>
      <c r="AT86">
        <f t="shared" si="66"/>
        <v>15.988388451133059</v>
      </c>
      <c r="AU86" s="19">
        <f t="shared" si="67"/>
        <v>7286.5555181495583</v>
      </c>
      <c r="AV86" s="19">
        <f t="shared" si="68"/>
        <v>7297.996297256358</v>
      </c>
      <c r="AW86">
        <f t="shared" si="69"/>
        <v>-35.530314163277048</v>
      </c>
      <c r="AX86">
        <f>IF(B86&gt;$AF$2,0,HLOOKUP(YEAR(A86),Assumptions!$A$34:$AL$37,2,TRUE)/100)</f>
        <v>1.5037E-2</v>
      </c>
      <c r="AY86" s="32">
        <f>1/(1+HLOOKUP(YEAR(A86),Assumptions!$A$27:$AL$29,3,TRUE))^(1/12)</f>
        <v>0.99879367902408245</v>
      </c>
      <c r="AZ86" s="30">
        <f t="shared" si="49"/>
        <v>8574.5034180254843</v>
      </c>
      <c r="BA86">
        <f>IF(B86&gt;$AF$2,0,IF($E$2=0,(T86*Z86+(1-T86)*AA86)*$J$2*Assumptions!$B$20,0))</f>
        <v>0</v>
      </c>
    </row>
    <row r="87" spans="1:53" x14ac:dyDescent="0.25">
      <c r="A87" s="17">
        <f t="shared" si="50"/>
        <v>45412</v>
      </c>
      <c r="B87">
        <f t="shared" si="42"/>
        <v>306</v>
      </c>
      <c r="C87">
        <f t="shared" si="43"/>
        <v>25.416666666666668</v>
      </c>
      <c r="D87">
        <f t="shared" si="36"/>
        <v>0</v>
      </c>
      <c r="E87">
        <f t="shared" si="44"/>
        <v>48</v>
      </c>
      <c r="F87">
        <f>IF(C87&gt;=$H$2,0,VLOOKUP($E87,'Mortality Table'!$A$3:$C$128,2+AB$2,FALSE))</f>
        <v>1.2356000000000001E-3</v>
      </c>
      <c r="G87">
        <f>F87*Assumptions!$B$1</f>
        <v>1.3375370000000002E-3</v>
      </c>
      <c r="H87">
        <f t="shared" si="51"/>
        <v>1.1152980517503686E-4</v>
      </c>
      <c r="I87">
        <f t="shared" si="37"/>
        <v>8.8446865773819891E-5</v>
      </c>
      <c r="J87">
        <f>HLOOKUP(C87,Assumptions!$A$6:$J$7,2,TRUE)</f>
        <v>3.5200000000000002E-2</v>
      </c>
      <c r="K87" s="18">
        <f t="shared" si="45"/>
        <v>1</v>
      </c>
      <c r="L87" s="18">
        <f t="shared" si="52"/>
        <v>8.3333333333333329E-2</v>
      </c>
      <c r="M87" s="18">
        <f t="shared" si="38"/>
        <v>2.9817501439168836E-3</v>
      </c>
      <c r="N87">
        <f t="shared" si="39"/>
        <v>2.368026160867408E-3</v>
      </c>
      <c r="O87" s="20">
        <f t="shared" si="40"/>
        <v>0.79176105247972306</v>
      </c>
      <c r="P87">
        <f>IF(B87&gt;$AF$2,0,O86*($E$2+IF(E87&lt;=Assumptions!$B$9,$D$2,0))/$I$2*K87)</f>
        <v>40.677174264684282</v>
      </c>
      <c r="Q87">
        <f t="shared" si="53"/>
        <v>26.1</v>
      </c>
      <c r="R87">
        <f>IF(B87&gt;$AF$2,0,IF($Y$2=1,(SUMIF('Mortality Tarif Male'!A:A,E88,'Mortality Tarif Male'!G:G)-SUMIF('Mortality Tarif Male'!A:A,$C$2+$H$2,'Mortality Tarif Male'!G:G)+SUMIF('Mortality Tarif Male'!A:A,$C$2+$H$2,'Mortality Tarif Male'!D:D))/SUMIF('Mortality Tarif Male'!A:A,E88,'Mortality Tarif Male'!D:D),(SUMIF('Mortality Tarif Female'!A:A,E88,'Mortality Tarif Female'!G:G)-SUMIF('Mortality Tarif Female'!A:A,$C$2+$H$2,'Mortality Tarif Female'!G:G)+SUMIF('Mortality Tarif Female'!A:A,$C$2+$H$2,'Mortality Tarif Female'!D:D))/SUMIF('Mortality Tarif Female'!A:A,E88,'Mortality Tarif Female'!D:D)))</f>
        <v>0.60362455571643081</v>
      </c>
      <c r="S87">
        <f>IF(B87&gt;=$AF$2,0,IF($Y$2=1,(SUMIF('Mortality Tarif Male'!A:A,E88+1,'Mortality Tarif Male'!G:G)-SUMIF('Mortality Tarif Male'!A:A,$C$2+$H$2,'Mortality Tarif Male'!G:G)+SUMIF('Mortality Tarif Male'!A:A,$C$2+$H$2,'Mortality Tarif Male'!D:D))/SUMIF('Mortality Tarif Male'!A:A,E88+1,'Mortality Tarif Male'!D:D),(SUMIF('Mortality Tarif Female'!A:A,E88+1,'Mortality Tarif Female'!G:G)-SUMIF('Mortality Tarif Female'!A:A,$C$2+$H$2,'Mortality Tarif Female'!G:G)+SUMIF('Mortality Tarif Female'!A:A,$C$2+$H$2,'Mortality Tarif Female'!D:D))/SUMIF('Mortality Tarif Female'!A:A,E88+1,'Mortality Tarif Female'!D:D)))</f>
        <v>0.62412136992836209</v>
      </c>
      <c r="T87">
        <f t="shared" si="54"/>
        <v>0.5</v>
      </c>
      <c r="U87">
        <f t="shared" si="55"/>
        <v>0.61387296282239645</v>
      </c>
      <c r="V87">
        <f t="shared" si="56"/>
        <v>12277.45925644793</v>
      </c>
      <c r="W87">
        <f t="shared" si="46"/>
        <v>16.022084329664548</v>
      </c>
      <c r="X87">
        <f t="shared" si="47"/>
        <v>0</v>
      </c>
      <c r="Y87">
        <f>IF(B87&gt;$AF$2,0,IF(X88=0,0,(1-X88)*($E$2+IF(E87&lt;=Assumptions!$B$9,$D$2,0))/$I$2*1/(1+$AG$2)*1/(1+Assumptions!$B$11)))</f>
        <v>0</v>
      </c>
      <c r="Z87">
        <f>IF(B87&gt;$AF$2,0,IF($Y$2=1,(SUMIF('Mortality Tarif Male'!A:A,E88,'Mortality Tarif Male'!E:E)-SUMIF('Mortality Tarif Male'!A:A,$C$2+$H$2,'Mortality Tarif Male'!E:E))/SUMIF('Mortality Tarif Male'!A:A,E88,'Mortality Tarif Male'!D:D),(SUMIF('Mortality Tarif Female'!A:A,E88,'Mortality Tarif Female'!E:E)-SUMIF('Mortality Tarif Female'!A:A,$C$2+$H$2,'Mortality Tarif Female'!E:E))/SUMIF('Mortality Tarif Female'!A:A,E88,'Mortality Tarif Female'!D:D)))</f>
        <v>11.738821789848721</v>
      </c>
      <c r="AA87">
        <f>IF(B87&gt;=$AF$2,0,IF($Y$2=1,(SUMIF('Mortality Tarif Male'!A:A,E88+1,'Mortality Tarif Male'!E:E)-SUMIF('Mortality Tarif Male'!A:A,$C$2+$H$2,'Mortality Tarif Male'!E:E))/SUMIF('Mortality Tarif Male'!A:A,E88+1,'Mortality Tarif Male'!D:D),(SUMIF('Mortality Tarif Female'!A:A,E88+1,'Mortality Tarif Female'!E:E)-SUMIF('Mortality Tarif Female'!A:A,$C$2+$H$2,'Mortality Tarif Female'!E:E))/SUMIF('Mortality Tarif Female'!A:A,E88+1,'Mortality Tarif Female'!D:D)))</f>
        <v>11.132517500433975</v>
      </c>
      <c r="AB87">
        <f t="shared" si="41"/>
        <v>2753.9924195126782</v>
      </c>
      <c r="AC87">
        <f>IF(B87&gt;=$AF$2,0,MIN(1/3*(V87+W87+Y87-AB87),(V87-AB87),(T87*Z87+(1-T87)*AA87)*$AH$2*Assumptions!$B$22))</f>
        <v>298.08194714797543</v>
      </c>
      <c r="AD87">
        <f t="shared" si="57"/>
        <v>9241.4069741169405</v>
      </c>
      <c r="AE87">
        <f t="shared" si="58"/>
        <v>9539.4889212649159</v>
      </c>
      <c r="AF87">
        <f t="shared" si="59"/>
        <v>9241.4069741169405</v>
      </c>
      <c r="AG87" s="26">
        <f t="shared" ref="AG87:AG150" si="70">IF(MONTH(A87)=12,AVERAGE(AF76:AF87),0)</f>
        <v>0</v>
      </c>
      <c r="AH87" s="27">
        <f>IF(B87&gt;$AF$2,0,HLOOKUP(YEAR(A87),Assumptions!$A$34:$AL$37,4,TRUE)/100)</f>
        <v>9.0369999999999999E-3</v>
      </c>
      <c r="AI87">
        <f t="shared" si="60"/>
        <v>0</v>
      </c>
      <c r="AJ87">
        <f t="shared" si="61"/>
        <v>1.7712457786730944</v>
      </c>
      <c r="AK87">
        <f t="shared" si="62"/>
        <v>21.88389347793143</v>
      </c>
      <c r="AL87">
        <f>IF(E87&gt;Assumptions!$B$9,0,SUMPRODUCT($P$2:$X$2,Assumptions!$A$43:$I$43)/$I$2*O86*K87)</f>
        <v>4.4487777004228786</v>
      </c>
      <c r="AM87">
        <f t="shared" si="63"/>
        <v>0</v>
      </c>
      <c r="AN87">
        <f t="shared" si="64"/>
        <v>28.103916957027401</v>
      </c>
      <c r="AO87">
        <f>IF(E87&gt;Assumptions!$B$9,0,($V$2+$X$2)/$I$2*O86*K87*Assumptions!$B$46)</f>
        <v>0</v>
      </c>
      <c r="AP87">
        <f>IF(B87&gt;$AF$2,0,AP86*(1+Assumptions!$B$52)^(1/12))</f>
        <v>1.0650468215269315</v>
      </c>
      <c r="AQ87" s="29">
        <f>IF(B87&gt;$AF$2,0,O86*Assumptions!$B$48/12*AP86+AR87*Assumptions!$B$50/12)</f>
        <v>12.585169267197227</v>
      </c>
      <c r="AR87" s="31">
        <f t="shared" si="65"/>
        <v>7277.7704444898136</v>
      </c>
      <c r="AS87">
        <f t="shared" si="48"/>
        <v>7316.9861122202819</v>
      </c>
      <c r="AT87">
        <f t="shared" si="66"/>
        <v>15.938937206721612</v>
      </c>
      <c r="AU87" s="19">
        <f t="shared" si="67"/>
        <v>7289.9235122805785</v>
      </c>
      <c r="AV87" s="19">
        <f t="shared" si="68"/>
        <v>7313.3007586530903</v>
      </c>
      <c r="AW87">
        <f t="shared" si="69"/>
        <v>-47.453537238910393</v>
      </c>
      <c r="AX87">
        <f>IF(B87&gt;$AF$2,0,HLOOKUP(YEAR(A87),Assumptions!$A$34:$AL$37,2,TRUE)/100)</f>
        <v>1.5037E-2</v>
      </c>
      <c r="AY87" s="32">
        <f>1/(1+HLOOKUP(YEAR(A87),Assumptions!$A$27:$AL$29,3,TRUE))^(1/12)</f>
        <v>0.99879367902408245</v>
      </c>
      <c r="AZ87" s="30">
        <f t="shared" si="49"/>
        <v>8584.8476021731494</v>
      </c>
      <c r="BA87">
        <f>IF(B87&gt;$AF$2,0,IF($E$2=0,(T87*Z87+(1-T87)*AA87)*$J$2*Assumptions!$B$20,0))</f>
        <v>0</v>
      </c>
    </row>
    <row r="88" spans="1:53" x14ac:dyDescent="0.25">
      <c r="A88" s="17">
        <f t="shared" si="50"/>
        <v>45443</v>
      </c>
      <c r="B88">
        <f t="shared" si="42"/>
        <v>307</v>
      </c>
      <c r="C88">
        <f t="shared" si="43"/>
        <v>25.5</v>
      </c>
      <c r="D88">
        <f t="shared" si="36"/>
        <v>0</v>
      </c>
      <c r="E88">
        <f t="shared" si="44"/>
        <v>48</v>
      </c>
      <c r="F88">
        <f>IF(C88&gt;=$H$2,0,VLOOKUP($E88,'Mortality Table'!$A$3:$C$128,2+AB$2,FALSE))</f>
        <v>1.2356000000000001E-3</v>
      </c>
      <c r="G88">
        <f>F88*Assumptions!$B$1</f>
        <v>1.3375370000000002E-3</v>
      </c>
      <c r="H88">
        <f t="shared" si="51"/>
        <v>1.1152980517503686E-4</v>
      </c>
      <c r="I88">
        <f t="shared" si="37"/>
        <v>8.8173304270721829E-5</v>
      </c>
      <c r="J88">
        <f>HLOOKUP(C88,Assumptions!$A$6:$J$7,2,TRUE)</f>
        <v>3.5200000000000002E-2</v>
      </c>
      <c r="K88" s="18">
        <f t="shared" si="45"/>
        <v>1</v>
      </c>
      <c r="L88" s="18">
        <f t="shared" si="52"/>
        <v>8.3333333333333329E-2</v>
      </c>
      <c r="M88" s="18">
        <f t="shared" si="38"/>
        <v>2.9817501439168836E-3</v>
      </c>
      <c r="N88">
        <f t="shared" si="39"/>
        <v>2.3607019805216736E-3</v>
      </c>
      <c r="O88" s="20">
        <f t="shared" si="40"/>
        <v>0.78931217719493074</v>
      </c>
      <c r="P88">
        <f>IF(B88&gt;$AF$2,0,O87*($E$2+IF(E88&lt;=Assumptions!$B$9,$D$2,0))/$I$2*K88)</f>
        <v>40.551361904503146</v>
      </c>
      <c r="Q88">
        <f t="shared" si="53"/>
        <v>26.1</v>
      </c>
      <c r="R88">
        <f>IF(B88&gt;$AF$2,0,IF($Y$2=1,(SUMIF('Mortality Tarif Male'!A:A,E89,'Mortality Tarif Male'!G:G)-SUMIF('Mortality Tarif Male'!A:A,$C$2+$H$2,'Mortality Tarif Male'!G:G)+SUMIF('Mortality Tarif Male'!A:A,$C$2+$H$2,'Mortality Tarif Male'!D:D))/SUMIF('Mortality Tarif Male'!A:A,E89,'Mortality Tarif Male'!D:D),(SUMIF('Mortality Tarif Female'!A:A,E89,'Mortality Tarif Female'!G:G)-SUMIF('Mortality Tarif Female'!A:A,$C$2+$H$2,'Mortality Tarif Female'!G:G)+SUMIF('Mortality Tarif Female'!A:A,$C$2+$H$2,'Mortality Tarif Female'!D:D))/SUMIF('Mortality Tarif Female'!A:A,E89,'Mortality Tarif Female'!D:D)))</f>
        <v>0.60362455571643081</v>
      </c>
      <c r="S88">
        <f>IF(B88&gt;=$AF$2,0,IF($Y$2=1,(SUMIF('Mortality Tarif Male'!A:A,E89+1,'Mortality Tarif Male'!G:G)-SUMIF('Mortality Tarif Male'!A:A,$C$2+$H$2,'Mortality Tarif Male'!G:G)+SUMIF('Mortality Tarif Male'!A:A,$C$2+$H$2,'Mortality Tarif Male'!D:D))/SUMIF('Mortality Tarif Male'!A:A,E89+1,'Mortality Tarif Male'!D:D),(SUMIF('Mortality Tarif Female'!A:A,E89+1,'Mortality Tarif Female'!G:G)-SUMIF('Mortality Tarif Female'!A:A,$C$2+$H$2,'Mortality Tarif Female'!G:G)+SUMIF('Mortality Tarif Female'!A:A,$C$2+$H$2,'Mortality Tarif Female'!D:D))/SUMIF('Mortality Tarif Female'!A:A,E89+1,'Mortality Tarif Female'!D:D)))</f>
        <v>0.62412136992836209</v>
      </c>
      <c r="T88">
        <f t="shared" si="54"/>
        <v>0.41666666666666785</v>
      </c>
      <c r="U88">
        <f t="shared" si="55"/>
        <v>0.61558103067339065</v>
      </c>
      <c r="V88">
        <f t="shared" si="56"/>
        <v>12311.620613467812</v>
      </c>
      <c r="W88">
        <f t="shared" si="46"/>
        <v>16.066664900575496</v>
      </c>
      <c r="X88">
        <f t="shared" si="47"/>
        <v>0</v>
      </c>
      <c r="Y88">
        <f>IF(B88&gt;$AF$2,0,IF(X89=0,0,(1-X89)*($E$2+IF(E88&lt;=Assumptions!$B$9,$D$2,0))/$I$2*1/(1+$AG$2)*1/(1+Assumptions!$B$11)))</f>
        <v>0</v>
      </c>
      <c r="Z88">
        <f>IF(B88&gt;$AF$2,0,IF($Y$2=1,(SUMIF('Mortality Tarif Male'!A:A,E89,'Mortality Tarif Male'!E:E)-SUMIF('Mortality Tarif Male'!A:A,$C$2+$H$2,'Mortality Tarif Male'!E:E))/SUMIF('Mortality Tarif Male'!A:A,E89,'Mortality Tarif Male'!D:D),(SUMIF('Mortality Tarif Female'!A:A,E89,'Mortality Tarif Female'!E:E)-SUMIF('Mortality Tarif Female'!A:A,$C$2+$H$2,'Mortality Tarif Female'!E:E))/SUMIF('Mortality Tarif Female'!A:A,E89,'Mortality Tarif Female'!D:D)))</f>
        <v>11.738821789848721</v>
      </c>
      <c r="AA88">
        <f>IF(B88&gt;=$AF$2,0,IF($Y$2=1,(SUMIF('Mortality Tarif Male'!A:A,E89+1,'Mortality Tarif Male'!E:E)-SUMIF('Mortality Tarif Male'!A:A,$C$2+$H$2,'Mortality Tarif Male'!E:E))/SUMIF('Mortality Tarif Male'!A:A,E89+1,'Mortality Tarif Male'!D:D),(SUMIF('Mortality Tarif Female'!A:A,E89+1,'Mortality Tarif Female'!E:E)-SUMIF('Mortality Tarif Female'!A:A,$C$2+$H$2,'Mortality Tarif Female'!E:E))/SUMIF('Mortality Tarif Female'!A:A,E89+1,'Mortality Tarif Female'!D:D)))</f>
        <v>11.132517500433975</v>
      </c>
      <c r="AB88">
        <f t="shared" si="41"/>
        <v>2741.8246623343334</v>
      </c>
      <c r="AC88">
        <f>IF(B88&gt;=$AF$2,0,MIN(1/3*(V88+W88+Y88-AB88),(V88-AB88),(T88*Z88+(1-T88)*AA88)*$AH$2*Assumptions!$B$22))</f>
        <v>296.76495414303946</v>
      </c>
      <c r="AD88">
        <f t="shared" si="57"/>
        <v>9289.0976618910154</v>
      </c>
      <c r="AE88">
        <f t="shared" si="58"/>
        <v>9585.8626160340555</v>
      </c>
      <c r="AF88">
        <f t="shared" si="59"/>
        <v>9289.0976618910154</v>
      </c>
      <c r="AG88" s="26">
        <f t="shared" si="70"/>
        <v>0</v>
      </c>
      <c r="AH88" s="27">
        <f>IF(B88&gt;$AF$2,0,HLOOKUP(YEAR(A88),Assumptions!$A$34:$AL$37,4,TRUE)/100)</f>
        <v>9.0369999999999999E-3</v>
      </c>
      <c r="AI88">
        <f t="shared" si="60"/>
        <v>0</v>
      </c>
      <c r="AJ88">
        <f t="shared" si="61"/>
        <v>1.7657674086559023</v>
      </c>
      <c r="AK88">
        <f t="shared" si="62"/>
        <v>21.928791247685368</v>
      </c>
      <c r="AL88">
        <f>IF(E88&gt;Assumptions!$B$9,0,SUMPRODUCT($P$2:$X$2,Assumptions!$A$43:$I$43)/$I$2*O87*K88)</f>
        <v>4.4350178650230694</v>
      </c>
      <c r="AM88">
        <f t="shared" si="63"/>
        <v>0</v>
      </c>
      <c r="AN88">
        <f t="shared" si="64"/>
        <v>28.129576521364342</v>
      </c>
      <c r="AO88">
        <f>IF(E88&gt;Assumptions!$B$9,0,($V$2+$X$2)/$I$2*O87*K88*Assumptions!$B$46)</f>
        <v>0</v>
      </c>
      <c r="AP88">
        <f>IF(B88&gt;$AF$2,0,AP87*(1+Assumptions!$B$52)^(1/12))</f>
        <v>1.0659303184589513</v>
      </c>
      <c r="AQ88" s="29">
        <f>IF(B88&gt;$AF$2,0,O87*Assumptions!$B$48/12*AP87+AR88*Assumptions!$B$50/12)</f>
        <v>12.561414354327034</v>
      </c>
      <c r="AR88" s="31">
        <f t="shared" si="65"/>
        <v>7280.9871960287564</v>
      </c>
      <c r="AS88">
        <f t="shared" si="48"/>
        <v>7331.997899683538</v>
      </c>
      <c r="AT88">
        <f t="shared" si="66"/>
        <v>15.889638912407749</v>
      </c>
      <c r="AU88" s="19">
        <f t="shared" si="67"/>
        <v>7293.0875046665251</v>
      </c>
      <c r="AV88" s="19">
        <f t="shared" si="68"/>
        <v>7328.4407332676665</v>
      </c>
      <c r="AW88">
        <f t="shared" si="69"/>
        <v>-59.416287967346626</v>
      </c>
      <c r="AX88">
        <f>IF(B88&gt;$AF$2,0,HLOOKUP(YEAR(A88),Assumptions!$A$34:$AL$37,2,TRUE)/100)</f>
        <v>1.5037E-2</v>
      </c>
      <c r="AY88" s="32">
        <f>1/(1+HLOOKUP(YEAR(A88),Assumptions!$A$27:$AL$29,3,TRUE))^(1/12)</f>
        <v>0.99879367902408245</v>
      </c>
      <c r="AZ88" s="30">
        <f t="shared" si="49"/>
        <v>8595.0765627866258</v>
      </c>
      <c r="BA88">
        <f>IF(B88&gt;$AF$2,0,IF($E$2=0,(T88*Z88+(1-T88)*AA88)*$J$2*Assumptions!$B$20,0))</f>
        <v>0</v>
      </c>
    </row>
    <row r="89" spans="1:53" x14ac:dyDescent="0.25">
      <c r="A89" s="17">
        <f t="shared" si="50"/>
        <v>45473</v>
      </c>
      <c r="B89">
        <f t="shared" si="42"/>
        <v>308</v>
      </c>
      <c r="C89">
        <f t="shared" si="43"/>
        <v>25.583333333333332</v>
      </c>
      <c r="D89">
        <f t="shared" si="36"/>
        <v>0</v>
      </c>
      <c r="E89">
        <f t="shared" si="44"/>
        <v>48</v>
      </c>
      <c r="F89">
        <f>IF(C89&gt;=$H$2,0,VLOOKUP($E89,'Mortality Table'!$A$3:$C$128,2+AB$2,FALSE))</f>
        <v>1.2356000000000001E-3</v>
      </c>
      <c r="G89">
        <f>F89*Assumptions!$B$1</f>
        <v>1.3375370000000002E-3</v>
      </c>
      <c r="H89">
        <f t="shared" si="51"/>
        <v>1.1152980517503686E-4</v>
      </c>
      <c r="I89">
        <f t="shared" si="37"/>
        <v>8.790058887896219E-5</v>
      </c>
      <c r="J89">
        <f>HLOOKUP(C89,Assumptions!$A$6:$J$7,2,TRUE)</f>
        <v>3.5200000000000002E-2</v>
      </c>
      <c r="K89" s="18">
        <f t="shared" si="45"/>
        <v>1</v>
      </c>
      <c r="L89" s="18">
        <f t="shared" si="52"/>
        <v>8.3333333333333329E-2</v>
      </c>
      <c r="M89" s="18">
        <f t="shared" si="38"/>
        <v>2.9817501439168836E-3</v>
      </c>
      <c r="N89">
        <f t="shared" si="39"/>
        <v>2.3534004534804609E-3</v>
      </c>
      <c r="O89" s="20">
        <f t="shared" si="40"/>
        <v>0.78687087615257134</v>
      </c>
      <c r="P89">
        <f>IF(B89&gt;$AF$2,0,O88*($E$2+IF(E89&lt;=Assumptions!$B$9,$D$2,0))/$I$2*K89)</f>
        <v>40.425938675333697</v>
      </c>
      <c r="Q89">
        <f t="shared" si="53"/>
        <v>26.1</v>
      </c>
      <c r="R89">
        <f>IF(B89&gt;$AF$2,0,IF($Y$2=1,(SUMIF('Mortality Tarif Male'!A:A,E90,'Mortality Tarif Male'!G:G)-SUMIF('Mortality Tarif Male'!A:A,$C$2+$H$2,'Mortality Tarif Male'!G:G)+SUMIF('Mortality Tarif Male'!A:A,$C$2+$H$2,'Mortality Tarif Male'!D:D))/SUMIF('Mortality Tarif Male'!A:A,E90,'Mortality Tarif Male'!D:D),(SUMIF('Mortality Tarif Female'!A:A,E90,'Mortality Tarif Female'!G:G)-SUMIF('Mortality Tarif Female'!A:A,$C$2+$H$2,'Mortality Tarif Female'!G:G)+SUMIF('Mortality Tarif Female'!A:A,$C$2+$H$2,'Mortality Tarif Female'!D:D))/SUMIF('Mortality Tarif Female'!A:A,E90,'Mortality Tarif Female'!D:D)))</f>
        <v>0.60362455571643081</v>
      </c>
      <c r="S89">
        <f>IF(B89&gt;=$AF$2,0,IF($Y$2=1,(SUMIF('Mortality Tarif Male'!A:A,E90+1,'Mortality Tarif Male'!G:G)-SUMIF('Mortality Tarif Male'!A:A,$C$2+$H$2,'Mortality Tarif Male'!G:G)+SUMIF('Mortality Tarif Male'!A:A,$C$2+$H$2,'Mortality Tarif Male'!D:D))/SUMIF('Mortality Tarif Male'!A:A,E90+1,'Mortality Tarif Male'!D:D),(SUMIF('Mortality Tarif Female'!A:A,E90+1,'Mortality Tarif Female'!G:G)-SUMIF('Mortality Tarif Female'!A:A,$C$2+$H$2,'Mortality Tarif Female'!G:G)+SUMIF('Mortality Tarif Female'!A:A,$C$2+$H$2,'Mortality Tarif Female'!D:D))/SUMIF('Mortality Tarif Female'!A:A,E90+1,'Mortality Tarif Female'!D:D)))</f>
        <v>0.62412136992836209</v>
      </c>
      <c r="T89">
        <f t="shared" si="54"/>
        <v>0.33333333333333215</v>
      </c>
      <c r="U89">
        <f t="shared" si="55"/>
        <v>0.61728909852438507</v>
      </c>
      <c r="V89">
        <f t="shared" si="56"/>
        <v>12345.781970487702</v>
      </c>
      <c r="W89">
        <f t="shared" si="46"/>
        <v>16.111245471486452</v>
      </c>
      <c r="X89">
        <f t="shared" si="47"/>
        <v>0</v>
      </c>
      <c r="Y89">
        <f>IF(B89&gt;$AF$2,0,IF(X90=0,0,(1-X90)*($E$2+IF(E89&lt;=Assumptions!$B$9,$D$2,0))/$I$2*1/(1+$AG$2)*1/(1+Assumptions!$B$11)))</f>
        <v>0</v>
      </c>
      <c r="Z89">
        <f>IF(B89&gt;$AF$2,0,IF($Y$2=1,(SUMIF('Mortality Tarif Male'!A:A,E90,'Mortality Tarif Male'!E:E)-SUMIF('Mortality Tarif Male'!A:A,$C$2+$H$2,'Mortality Tarif Male'!E:E))/SUMIF('Mortality Tarif Male'!A:A,E90,'Mortality Tarif Male'!D:D),(SUMIF('Mortality Tarif Female'!A:A,E90,'Mortality Tarif Female'!E:E)-SUMIF('Mortality Tarif Female'!A:A,$C$2+$H$2,'Mortality Tarif Female'!E:E))/SUMIF('Mortality Tarif Female'!A:A,E90,'Mortality Tarif Female'!D:D)))</f>
        <v>11.738821789848721</v>
      </c>
      <c r="AA89">
        <f>IF(B89&gt;=$AF$2,0,IF($Y$2=1,(SUMIF('Mortality Tarif Male'!A:A,E90+1,'Mortality Tarif Male'!E:E)-SUMIF('Mortality Tarif Male'!A:A,$C$2+$H$2,'Mortality Tarif Male'!E:E))/SUMIF('Mortality Tarif Male'!A:A,E90+1,'Mortality Tarif Male'!D:D),(SUMIF('Mortality Tarif Female'!A:A,E90+1,'Mortality Tarif Female'!E:E)-SUMIF('Mortality Tarif Female'!A:A,$C$2+$H$2,'Mortality Tarif Female'!E:E))/SUMIF('Mortality Tarif Female'!A:A,E90+1,'Mortality Tarif Female'!D:D)))</f>
        <v>11.132517500433975</v>
      </c>
      <c r="AB89">
        <f t="shared" si="41"/>
        <v>2729.6569051559873</v>
      </c>
      <c r="AC89">
        <f>IF(B89&gt;=$AF$2,0,MIN(1/3*(V89+W89+Y89-AB89),(V89-AB89),(T89*Z89+(1-T89)*AA89)*$AH$2*Assumptions!$B$22))</f>
        <v>295.44796113810344</v>
      </c>
      <c r="AD89">
        <f t="shared" si="57"/>
        <v>9336.7883496650975</v>
      </c>
      <c r="AE89">
        <f t="shared" si="58"/>
        <v>9632.2363108032005</v>
      </c>
      <c r="AF89">
        <f t="shared" si="59"/>
        <v>9336.7883496650975</v>
      </c>
      <c r="AG89" s="26">
        <f t="shared" si="70"/>
        <v>0</v>
      </c>
      <c r="AH89" s="27">
        <f>IF(B89&gt;$AF$2,0,HLOOKUP(YEAR(A89),Assumptions!$A$34:$AL$37,4,TRUE)/100)</f>
        <v>9.0369999999999999E-3</v>
      </c>
      <c r="AI89">
        <f t="shared" si="60"/>
        <v>0</v>
      </c>
      <c r="AJ89">
        <f t="shared" si="61"/>
        <v>1.7603059829489847</v>
      </c>
      <c r="AK89">
        <f t="shared" si="62"/>
        <v>21.973201936152925</v>
      </c>
      <c r="AL89">
        <f>IF(E89&gt;Assumptions!$B$9,0,SUMPRODUCT($P$2:$X$2,Assumptions!$A$43:$I$43)/$I$2*O88*K89)</f>
        <v>4.4213005880703165</v>
      </c>
      <c r="AM89">
        <f t="shared" si="63"/>
        <v>0</v>
      </c>
      <c r="AN89">
        <f t="shared" si="64"/>
        <v>28.154808507172227</v>
      </c>
      <c r="AO89">
        <f>IF(E89&gt;Assumptions!$B$9,0,($V$2+$X$2)/$I$2*O88*K89*Assumptions!$B$46)</f>
        <v>0</v>
      </c>
      <c r="AP89">
        <f>IF(B89&gt;$AF$2,0,AP88*(1+Assumptions!$B$52)^(1/12))</f>
        <v>1.0668145482853502</v>
      </c>
      <c r="AQ89" s="29">
        <f>IF(B89&gt;$AF$2,0,O88*Assumptions!$B$48/12*AP88+AR89*Assumptions!$B$50/12)</f>
        <v>12.53766593804791</v>
      </c>
      <c r="AR89" s="31">
        <f t="shared" si="65"/>
        <v>7284.0008042232457</v>
      </c>
      <c r="AS89">
        <f t="shared" si="48"/>
        <v>7346.8468291520958</v>
      </c>
      <c r="AT89">
        <f t="shared" si="66"/>
        <v>15.84049309512487</v>
      </c>
      <c r="AU89" s="19">
        <f t="shared" si="67"/>
        <v>7296.0485838654067</v>
      </c>
      <c r="AV89" s="19">
        <f t="shared" si="68"/>
        <v>7343.4170921905925</v>
      </c>
      <c r="AW89">
        <f t="shared" si="69"/>
        <v>-71.41834915589331</v>
      </c>
      <c r="AX89">
        <f>IF(B89&gt;$AF$2,0,HLOOKUP(YEAR(A89),Assumptions!$A$34:$AL$37,2,TRUE)/100)</f>
        <v>1.5037E-2</v>
      </c>
      <c r="AY89" s="32">
        <f>1/(1+HLOOKUP(YEAR(A89),Assumptions!$A$27:$AL$29,3,TRUE))^(1/12)</f>
        <v>0.99879367902408245</v>
      </c>
      <c r="AZ89" s="30">
        <f t="shared" si="49"/>
        <v>8605.1909709144202</v>
      </c>
      <c r="BA89">
        <f>IF(B89&gt;$AF$2,0,IF($E$2=0,(T89*Z89+(1-T89)*AA89)*$J$2*Assumptions!$B$20,0))</f>
        <v>0</v>
      </c>
    </row>
    <row r="90" spans="1:53" x14ac:dyDescent="0.25">
      <c r="A90" s="17">
        <f t="shared" si="50"/>
        <v>45504</v>
      </c>
      <c r="B90">
        <f t="shared" si="42"/>
        <v>309</v>
      </c>
      <c r="C90">
        <f t="shared" si="43"/>
        <v>25.666666666666668</v>
      </c>
      <c r="D90">
        <f t="shared" si="36"/>
        <v>0</v>
      </c>
      <c r="E90">
        <f t="shared" si="44"/>
        <v>48</v>
      </c>
      <c r="F90">
        <f>IF(C90&gt;=$H$2,0,VLOOKUP($E90,'Mortality Table'!$A$3:$C$128,2+AB$2,FALSE))</f>
        <v>1.2356000000000001E-3</v>
      </c>
      <c r="G90">
        <f>F90*Assumptions!$B$1</f>
        <v>1.3375370000000002E-3</v>
      </c>
      <c r="H90">
        <f t="shared" si="51"/>
        <v>1.1152980517503686E-4</v>
      </c>
      <c r="I90">
        <f t="shared" si="37"/>
        <v>8.7628716981563051E-5</v>
      </c>
      <c r="J90">
        <f>HLOOKUP(C90,Assumptions!$A$6:$J$7,2,TRUE)</f>
        <v>3.5200000000000002E-2</v>
      </c>
      <c r="K90" s="18">
        <f t="shared" si="45"/>
        <v>1</v>
      </c>
      <c r="L90" s="18">
        <f t="shared" si="52"/>
        <v>8.3333333333333329E-2</v>
      </c>
      <c r="M90" s="18">
        <f t="shared" si="38"/>
        <v>2.9817501439168836E-3</v>
      </c>
      <c r="N90">
        <f t="shared" si="39"/>
        <v>2.3461215096782901E-3</v>
      </c>
      <c r="O90" s="20">
        <f t="shared" si="40"/>
        <v>0.78443712592591153</v>
      </c>
      <c r="P90">
        <f>IF(B90&gt;$AF$2,0,O89*($E$2+IF(E90&lt;=Assumptions!$B$9,$D$2,0))/$I$2*K90)</f>
        <v>40.30090337361419</v>
      </c>
      <c r="Q90">
        <f t="shared" si="53"/>
        <v>26.1</v>
      </c>
      <c r="R90">
        <f>IF(B90&gt;$AF$2,0,IF($Y$2=1,(SUMIF('Mortality Tarif Male'!A:A,E91,'Mortality Tarif Male'!G:G)-SUMIF('Mortality Tarif Male'!A:A,$C$2+$H$2,'Mortality Tarif Male'!G:G)+SUMIF('Mortality Tarif Male'!A:A,$C$2+$H$2,'Mortality Tarif Male'!D:D))/SUMIF('Mortality Tarif Male'!A:A,E91,'Mortality Tarif Male'!D:D),(SUMIF('Mortality Tarif Female'!A:A,E91,'Mortality Tarif Female'!G:G)-SUMIF('Mortality Tarif Female'!A:A,$C$2+$H$2,'Mortality Tarif Female'!G:G)+SUMIF('Mortality Tarif Female'!A:A,$C$2+$H$2,'Mortality Tarif Female'!D:D))/SUMIF('Mortality Tarif Female'!A:A,E91,'Mortality Tarif Female'!D:D)))</f>
        <v>0.60362455571643081</v>
      </c>
      <c r="S90">
        <f>IF(B90&gt;=$AF$2,0,IF($Y$2=1,(SUMIF('Mortality Tarif Male'!A:A,E91+1,'Mortality Tarif Male'!G:G)-SUMIF('Mortality Tarif Male'!A:A,$C$2+$H$2,'Mortality Tarif Male'!G:G)+SUMIF('Mortality Tarif Male'!A:A,$C$2+$H$2,'Mortality Tarif Male'!D:D))/SUMIF('Mortality Tarif Male'!A:A,E91+1,'Mortality Tarif Male'!D:D),(SUMIF('Mortality Tarif Female'!A:A,E91+1,'Mortality Tarif Female'!G:G)-SUMIF('Mortality Tarif Female'!A:A,$C$2+$H$2,'Mortality Tarif Female'!G:G)+SUMIF('Mortality Tarif Female'!A:A,$C$2+$H$2,'Mortality Tarif Female'!D:D))/SUMIF('Mortality Tarif Female'!A:A,E91+1,'Mortality Tarif Female'!D:D)))</f>
        <v>0.62412136992836209</v>
      </c>
      <c r="T90">
        <f t="shared" si="54"/>
        <v>0.25</v>
      </c>
      <c r="U90">
        <f t="shared" si="55"/>
        <v>0.61899716637537927</v>
      </c>
      <c r="V90">
        <f t="shared" si="56"/>
        <v>12379.943327507586</v>
      </c>
      <c r="W90">
        <f t="shared" si="46"/>
        <v>16.1558260423974</v>
      </c>
      <c r="X90">
        <f t="shared" si="47"/>
        <v>0</v>
      </c>
      <c r="Y90">
        <f>IF(B90&gt;$AF$2,0,IF(X91=0,0,(1-X91)*($E$2+IF(E90&lt;=Assumptions!$B$9,$D$2,0))/$I$2*1/(1+$AG$2)*1/(1+Assumptions!$B$11)))</f>
        <v>0</v>
      </c>
      <c r="Z90">
        <f>IF(B90&gt;$AF$2,0,IF($Y$2=1,(SUMIF('Mortality Tarif Male'!A:A,E91,'Mortality Tarif Male'!E:E)-SUMIF('Mortality Tarif Male'!A:A,$C$2+$H$2,'Mortality Tarif Male'!E:E))/SUMIF('Mortality Tarif Male'!A:A,E91,'Mortality Tarif Male'!D:D),(SUMIF('Mortality Tarif Female'!A:A,E91,'Mortality Tarif Female'!E:E)-SUMIF('Mortality Tarif Female'!A:A,$C$2+$H$2,'Mortality Tarif Female'!E:E))/SUMIF('Mortality Tarif Female'!A:A,E91,'Mortality Tarif Female'!D:D)))</f>
        <v>11.738821789848721</v>
      </c>
      <c r="AA90">
        <f>IF(B90&gt;=$AF$2,0,IF($Y$2=1,(SUMIF('Mortality Tarif Male'!A:A,E91+1,'Mortality Tarif Male'!E:E)-SUMIF('Mortality Tarif Male'!A:A,$C$2+$H$2,'Mortality Tarif Male'!E:E))/SUMIF('Mortality Tarif Male'!A:A,E91+1,'Mortality Tarif Male'!D:D),(SUMIF('Mortality Tarif Female'!A:A,E91+1,'Mortality Tarif Female'!E:E)-SUMIF('Mortality Tarif Female'!A:A,$C$2+$H$2,'Mortality Tarif Female'!E:E))/SUMIF('Mortality Tarif Female'!A:A,E91+1,'Mortality Tarif Female'!D:D)))</f>
        <v>11.132517500433975</v>
      </c>
      <c r="AB90">
        <f t="shared" si="41"/>
        <v>2717.4891479776425</v>
      </c>
      <c r="AC90">
        <f>IF(B90&gt;=$AF$2,0,MIN(1/3*(V90+W90+Y90-AB90),(V90-AB90),(T90*Z90+(1-T90)*AA90)*$AH$2*Assumptions!$B$22))</f>
        <v>294.13096813316747</v>
      </c>
      <c r="AD90">
        <f t="shared" si="57"/>
        <v>9384.4790374391723</v>
      </c>
      <c r="AE90">
        <f t="shared" si="58"/>
        <v>9678.61000557234</v>
      </c>
      <c r="AF90">
        <f t="shared" si="59"/>
        <v>9384.4790374391723</v>
      </c>
      <c r="AG90" s="26">
        <f t="shared" si="70"/>
        <v>0</v>
      </c>
      <c r="AH90" s="27">
        <f>IF(B90&gt;$AF$2,0,HLOOKUP(YEAR(A90),Assumptions!$A$34:$AL$37,4,TRUE)/100)</f>
        <v>9.0369999999999999E-3</v>
      </c>
      <c r="AI90">
        <f t="shared" si="60"/>
        <v>0</v>
      </c>
      <c r="AJ90">
        <f t="shared" si="61"/>
        <v>1.7548614491444796</v>
      </c>
      <c r="AK90">
        <f t="shared" si="62"/>
        <v>22.017128126861056</v>
      </c>
      <c r="AL90">
        <f>IF(E90&gt;Assumptions!$B$9,0,SUMPRODUCT($P$2:$X$2,Assumptions!$A$43:$I$43)/$I$2*O89*K90)</f>
        <v>4.4076257379335821</v>
      </c>
      <c r="AM90">
        <f t="shared" si="63"/>
        <v>0</v>
      </c>
      <c r="AN90">
        <f t="shared" si="64"/>
        <v>28.179615313939117</v>
      </c>
      <c r="AO90">
        <f>IF(E90&gt;Assumptions!$B$9,0,($V$2+$X$2)/$I$2*O89*K90*Assumptions!$B$46)</f>
        <v>0</v>
      </c>
      <c r="AP90">
        <f>IF(B90&gt;$AF$2,0,AP89*(1+Assumptions!$B$52)^(1/12))</f>
        <v>1.0676995116140919</v>
      </c>
      <c r="AQ90" s="29">
        <f>IF(B90&gt;$AF$2,0,O89*Assumptions!$B$48/12*AP89+AR90*Assumptions!$B$50/12)</f>
        <v>12.513924154475117</v>
      </c>
      <c r="AR90" s="31">
        <f t="shared" si="65"/>
        <v>7286.812353541538</v>
      </c>
      <c r="AS90">
        <f t="shared" si="48"/>
        <v>7361.5337644407491</v>
      </c>
      <c r="AT90">
        <f t="shared" si="66"/>
        <v>15.791499283269532</v>
      </c>
      <c r="AU90" s="19">
        <f t="shared" si="67"/>
        <v>7298.8078334774082</v>
      </c>
      <c r="AV90" s="19">
        <f t="shared" si="68"/>
        <v>7358.2307026974313</v>
      </c>
      <c r="AW90">
        <f t="shared" si="69"/>
        <v>-83.45950475314622</v>
      </c>
      <c r="AX90">
        <f>IF(B90&gt;$AF$2,0,HLOOKUP(YEAR(A90),Assumptions!$A$34:$AL$37,2,TRUE)/100)</f>
        <v>1.5037E-2</v>
      </c>
      <c r="AY90" s="32">
        <f>1/(1+HLOOKUP(YEAR(A90),Assumptions!$A$27:$AL$29,3,TRUE))^(1/12)</f>
        <v>0.99879367902408245</v>
      </c>
      <c r="AZ90" s="30">
        <f t="shared" si="49"/>
        <v>8615.1914946763536</v>
      </c>
      <c r="BA90">
        <f>IF(B90&gt;$AF$2,0,IF($E$2=0,(T90*Z90+(1-T90)*AA90)*$J$2*Assumptions!$B$20,0))</f>
        <v>0</v>
      </c>
    </row>
    <row r="91" spans="1:53" x14ac:dyDescent="0.25">
      <c r="A91" s="17">
        <f t="shared" si="50"/>
        <v>45535</v>
      </c>
      <c r="B91">
        <f t="shared" si="42"/>
        <v>310</v>
      </c>
      <c r="C91">
        <f t="shared" si="43"/>
        <v>25.75</v>
      </c>
      <c r="D91">
        <f t="shared" si="36"/>
        <v>0</v>
      </c>
      <c r="E91">
        <f t="shared" si="44"/>
        <v>48</v>
      </c>
      <c r="F91">
        <f>IF(C91&gt;=$H$2,0,VLOOKUP($E91,'Mortality Table'!$A$3:$C$128,2+AB$2,FALSE))</f>
        <v>1.2356000000000001E-3</v>
      </c>
      <c r="G91">
        <f>F91*Assumptions!$B$1</f>
        <v>1.3375370000000002E-3</v>
      </c>
      <c r="H91">
        <f t="shared" si="51"/>
        <v>1.1152980517503686E-4</v>
      </c>
      <c r="I91">
        <f t="shared" si="37"/>
        <v>8.7357685969640801E-5</v>
      </c>
      <c r="J91">
        <f>HLOOKUP(C91,Assumptions!$A$6:$J$7,2,TRUE)</f>
        <v>3.5200000000000002E-2</v>
      </c>
      <c r="K91" s="18">
        <f t="shared" si="45"/>
        <v>1</v>
      </c>
      <c r="L91" s="18">
        <f t="shared" si="52"/>
        <v>8.3333333333333329E-2</v>
      </c>
      <c r="M91" s="18">
        <f t="shared" si="38"/>
        <v>2.9817501439168836E-3</v>
      </c>
      <c r="N91">
        <f t="shared" si="39"/>
        <v>2.3388650792663915E-3</v>
      </c>
      <c r="O91" s="20">
        <f t="shared" si="40"/>
        <v>0.78201090316067545</v>
      </c>
      <c r="P91">
        <f>IF(B91&gt;$AF$2,0,O90*($E$2+IF(E91&lt;=Assumptions!$B$9,$D$2,0))/$I$2*K91)</f>
        <v>40.176254799505429</v>
      </c>
      <c r="Q91">
        <f t="shared" si="53"/>
        <v>26.1</v>
      </c>
      <c r="R91">
        <f>IF(B91&gt;$AF$2,0,IF($Y$2=1,(SUMIF('Mortality Tarif Male'!A:A,E92,'Mortality Tarif Male'!G:G)-SUMIF('Mortality Tarif Male'!A:A,$C$2+$H$2,'Mortality Tarif Male'!G:G)+SUMIF('Mortality Tarif Male'!A:A,$C$2+$H$2,'Mortality Tarif Male'!D:D))/SUMIF('Mortality Tarif Male'!A:A,E92,'Mortality Tarif Male'!D:D),(SUMIF('Mortality Tarif Female'!A:A,E92,'Mortality Tarif Female'!G:G)-SUMIF('Mortality Tarif Female'!A:A,$C$2+$H$2,'Mortality Tarif Female'!G:G)+SUMIF('Mortality Tarif Female'!A:A,$C$2+$H$2,'Mortality Tarif Female'!D:D))/SUMIF('Mortality Tarif Female'!A:A,E92,'Mortality Tarif Female'!D:D)))</f>
        <v>0.60362455571643081</v>
      </c>
      <c r="S91">
        <f>IF(B91&gt;=$AF$2,0,IF($Y$2=1,(SUMIF('Mortality Tarif Male'!A:A,E92+1,'Mortality Tarif Male'!G:G)-SUMIF('Mortality Tarif Male'!A:A,$C$2+$H$2,'Mortality Tarif Male'!G:G)+SUMIF('Mortality Tarif Male'!A:A,$C$2+$H$2,'Mortality Tarif Male'!D:D))/SUMIF('Mortality Tarif Male'!A:A,E92+1,'Mortality Tarif Male'!D:D),(SUMIF('Mortality Tarif Female'!A:A,E92+1,'Mortality Tarif Female'!G:G)-SUMIF('Mortality Tarif Female'!A:A,$C$2+$H$2,'Mortality Tarif Female'!G:G)+SUMIF('Mortality Tarif Female'!A:A,$C$2+$H$2,'Mortality Tarif Female'!D:D))/SUMIF('Mortality Tarif Female'!A:A,E92+1,'Mortality Tarif Female'!D:D)))</f>
        <v>0.62412136992836209</v>
      </c>
      <c r="T91">
        <f t="shared" si="54"/>
        <v>0.16666666666666785</v>
      </c>
      <c r="U91">
        <f t="shared" si="55"/>
        <v>0.62070523422637347</v>
      </c>
      <c r="V91">
        <f t="shared" si="56"/>
        <v>12414.104684527469</v>
      </c>
      <c r="W91">
        <f t="shared" si="46"/>
        <v>16.200406613308349</v>
      </c>
      <c r="X91">
        <f t="shared" si="47"/>
        <v>0</v>
      </c>
      <c r="Y91">
        <f>IF(B91&gt;$AF$2,0,IF(X92=0,0,(1-X92)*($E$2+IF(E91&lt;=Assumptions!$B$9,$D$2,0))/$I$2*1/(1+$AG$2)*1/(1+Assumptions!$B$11)))</f>
        <v>0</v>
      </c>
      <c r="Z91">
        <f>IF(B91&gt;$AF$2,0,IF($Y$2=1,(SUMIF('Mortality Tarif Male'!A:A,E92,'Mortality Tarif Male'!E:E)-SUMIF('Mortality Tarif Male'!A:A,$C$2+$H$2,'Mortality Tarif Male'!E:E))/SUMIF('Mortality Tarif Male'!A:A,E92,'Mortality Tarif Male'!D:D),(SUMIF('Mortality Tarif Female'!A:A,E92,'Mortality Tarif Female'!E:E)-SUMIF('Mortality Tarif Female'!A:A,$C$2+$H$2,'Mortality Tarif Female'!E:E))/SUMIF('Mortality Tarif Female'!A:A,E92,'Mortality Tarif Female'!D:D)))</f>
        <v>11.738821789848721</v>
      </c>
      <c r="AA91">
        <f>IF(B91&gt;=$AF$2,0,IF($Y$2=1,(SUMIF('Mortality Tarif Male'!A:A,E92+1,'Mortality Tarif Male'!E:E)-SUMIF('Mortality Tarif Male'!A:A,$C$2+$H$2,'Mortality Tarif Male'!E:E))/SUMIF('Mortality Tarif Male'!A:A,E92+1,'Mortality Tarif Male'!D:D),(SUMIF('Mortality Tarif Female'!A:A,E92+1,'Mortality Tarif Female'!E:E)-SUMIF('Mortality Tarif Female'!A:A,$C$2+$H$2,'Mortality Tarif Female'!E:E))/SUMIF('Mortality Tarif Female'!A:A,E92+1,'Mortality Tarif Female'!D:D)))</f>
        <v>11.132517500433975</v>
      </c>
      <c r="AB91">
        <f t="shared" si="41"/>
        <v>2705.3213907992972</v>
      </c>
      <c r="AC91">
        <f>IF(B91&gt;=$AF$2,0,MIN(1/3*(V91+W91+Y91-AB91),(V91-AB91),(T91*Z91+(1-T91)*AA91)*$AH$2*Assumptions!$B$22))</f>
        <v>292.81397512823156</v>
      </c>
      <c r="AD91">
        <f t="shared" si="57"/>
        <v>9432.1697252132471</v>
      </c>
      <c r="AE91">
        <f t="shared" si="58"/>
        <v>9724.9837003414796</v>
      </c>
      <c r="AF91">
        <f t="shared" si="59"/>
        <v>9432.1697252132471</v>
      </c>
      <c r="AG91" s="26">
        <f t="shared" si="70"/>
        <v>0</v>
      </c>
      <c r="AH91" s="27">
        <f>IF(B91&gt;$AF$2,0,HLOOKUP(YEAR(A91),Assumptions!$A$34:$AL$37,4,TRUE)/100)</f>
        <v>9.0369999999999999E-3</v>
      </c>
      <c r="AI91">
        <f t="shared" si="60"/>
        <v>0</v>
      </c>
      <c r="AJ91">
        <f t="shared" si="61"/>
        <v>1.7494337549966235</v>
      </c>
      <c r="AK91">
        <f t="shared" si="62"/>
        <v>22.06057239201494</v>
      </c>
      <c r="AL91">
        <f>IF(E91&gt;Assumptions!$B$9,0,SUMPRODUCT($P$2:$X$2,Assumptions!$A$43:$I$43)/$I$2*O90*K91)</f>
        <v>4.3939931833889556</v>
      </c>
      <c r="AM91">
        <f t="shared" si="63"/>
        <v>0</v>
      </c>
      <c r="AN91">
        <f t="shared" si="64"/>
        <v>28.203999330400521</v>
      </c>
      <c r="AO91">
        <f>IF(E91&gt;Assumptions!$B$9,0,($V$2+$X$2)/$I$2*O90*K91*Assumptions!$B$46)</f>
        <v>0</v>
      </c>
      <c r="AP91">
        <f>IF(B91&gt;$AF$2,0,AP90*(1+Assumptions!$B$52)^(1/12))</f>
        <v>1.0685852090536445</v>
      </c>
      <c r="AQ91" s="29">
        <f>IF(B91&gt;$AF$2,0,O90*Assumptions!$B$48/12*AP90+AR91*Assumptions!$B$50/12)</f>
        <v>12.490189138815271</v>
      </c>
      <c r="AR91" s="31">
        <f t="shared" si="65"/>
        <v>7289.4229235109106</v>
      </c>
      <c r="AS91">
        <f t="shared" si="48"/>
        <v>7376.0595655787911</v>
      </c>
      <c r="AT91">
        <f t="shared" si="66"/>
        <v>15.742657006696948</v>
      </c>
      <c r="AU91" s="19">
        <f t="shared" si="67"/>
        <v>7301.3663321649037</v>
      </c>
      <c r="AV91" s="19">
        <f t="shared" si="68"/>
        <v>7372.8824282640571</v>
      </c>
      <c r="AW91">
        <f t="shared" si="69"/>
        <v>-95.539539844226113</v>
      </c>
      <c r="AX91">
        <f>IF(B91&gt;$AF$2,0,HLOOKUP(YEAR(A91),Assumptions!$A$34:$AL$37,2,TRUE)/100)</f>
        <v>1.5037E-2</v>
      </c>
      <c r="AY91" s="32">
        <f>1/(1+HLOOKUP(YEAR(A91),Assumptions!$A$27:$AL$29,3,TRUE))^(1/12)</f>
        <v>0.99879367902408245</v>
      </c>
      <c r="AZ91" s="30">
        <f t="shared" si="49"/>
        <v>8625.0787992754013</v>
      </c>
      <c r="BA91">
        <f>IF(B91&gt;$AF$2,0,IF($E$2=0,(T91*Z91+(1-T91)*AA91)*$J$2*Assumptions!$B$20,0))</f>
        <v>0</v>
      </c>
    </row>
    <row r="92" spans="1:53" x14ac:dyDescent="0.25">
      <c r="A92" s="17">
        <f t="shared" si="50"/>
        <v>45565</v>
      </c>
      <c r="B92">
        <f t="shared" si="42"/>
        <v>311</v>
      </c>
      <c r="C92">
        <f t="shared" si="43"/>
        <v>25.833333333333332</v>
      </c>
      <c r="D92">
        <f t="shared" si="36"/>
        <v>0</v>
      </c>
      <c r="E92">
        <f t="shared" si="44"/>
        <v>48</v>
      </c>
      <c r="F92">
        <f>IF(C92&gt;=$H$2,0,VLOOKUP($E92,'Mortality Table'!$A$3:$C$128,2+AB$2,FALSE))</f>
        <v>1.2356000000000001E-3</v>
      </c>
      <c r="G92">
        <f>F92*Assumptions!$B$1</f>
        <v>1.3375370000000002E-3</v>
      </c>
      <c r="H92">
        <f t="shared" si="51"/>
        <v>1.1152980517503686E-4</v>
      </c>
      <c r="I92">
        <f t="shared" si="37"/>
        <v>8.7087493242380846E-5</v>
      </c>
      <c r="J92">
        <f>HLOOKUP(C92,Assumptions!$A$6:$J$7,2,TRUE)</f>
        <v>3.5200000000000002E-2</v>
      </c>
      <c r="K92" s="18">
        <f t="shared" si="45"/>
        <v>1</v>
      </c>
      <c r="L92" s="18">
        <f t="shared" si="52"/>
        <v>8.3333333333333329E-2</v>
      </c>
      <c r="M92" s="18">
        <f t="shared" si="38"/>
        <v>2.9817501439168836E-3</v>
      </c>
      <c r="N92">
        <f t="shared" si="39"/>
        <v>2.331631092612032E-3</v>
      </c>
      <c r="O92" s="20">
        <f t="shared" si="40"/>
        <v>0.77959218457482105</v>
      </c>
      <c r="P92">
        <f>IF(B92&gt;$AF$2,0,O91*($E$2+IF(E92&lt;=Assumptions!$B$9,$D$2,0))/$I$2*K92)</f>
        <v>40.051991756879254</v>
      </c>
      <c r="Q92">
        <f t="shared" si="53"/>
        <v>26.1</v>
      </c>
      <c r="R92">
        <f>IF(B92&gt;$AF$2,0,IF($Y$2=1,(SUMIF('Mortality Tarif Male'!A:A,E93,'Mortality Tarif Male'!G:G)-SUMIF('Mortality Tarif Male'!A:A,$C$2+$H$2,'Mortality Tarif Male'!G:G)+SUMIF('Mortality Tarif Male'!A:A,$C$2+$H$2,'Mortality Tarif Male'!D:D))/SUMIF('Mortality Tarif Male'!A:A,E93,'Mortality Tarif Male'!D:D),(SUMIF('Mortality Tarif Female'!A:A,E93,'Mortality Tarif Female'!G:G)-SUMIF('Mortality Tarif Female'!A:A,$C$2+$H$2,'Mortality Tarif Female'!G:G)+SUMIF('Mortality Tarif Female'!A:A,$C$2+$H$2,'Mortality Tarif Female'!D:D))/SUMIF('Mortality Tarif Female'!A:A,E93,'Mortality Tarif Female'!D:D)))</f>
        <v>0.60362455571643081</v>
      </c>
      <c r="S92">
        <f>IF(B92&gt;=$AF$2,0,IF($Y$2=1,(SUMIF('Mortality Tarif Male'!A:A,E93+1,'Mortality Tarif Male'!G:G)-SUMIF('Mortality Tarif Male'!A:A,$C$2+$H$2,'Mortality Tarif Male'!G:G)+SUMIF('Mortality Tarif Male'!A:A,$C$2+$H$2,'Mortality Tarif Male'!D:D))/SUMIF('Mortality Tarif Male'!A:A,E93+1,'Mortality Tarif Male'!D:D),(SUMIF('Mortality Tarif Female'!A:A,E93+1,'Mortality Tarif Female'!G:G)-SUMIF('Mortality Tarif Female'!A:A,$C$2+$H$2,'Mortality Tarif Female'!G:G)+SUMIF('Mortality Tarif Female'!A:A,$C$2+$H$2,'Mortality Tarif Female'!D:D))/SUMIF('Mortality Tarif Female'!A:A,E93+1,'Mortality Tarif Female'!D:D)))</f>
        <v>0.62412136992836209</v>
      </c>
      <c r="T92">
        <f t="shared" si="54"/>
        <v>8.3333333333332149E-2</v>
      </c>
      <c r="U92">
        <f t="shared" si="55"/>
        <v>0.62241330207736778</v>
      </c>
      <c r="V92">
        <f t="shared" si="56"/>
        <v>12448.266041547357</v>
      </c>
      <c r="W92">
        <f t="shared" si="46"/>
        <v>16.244987184219301</v>
      </c>
      <c r="X92">
        <f t="shared" si="47"/>
        <v>0</v>
      </c>
      <c r="Y92">
        <f>IF(B92&gt;$AF$2,0,IF(X93=0,0,(1-X93)*($E$2+IF(E92&lt;=Assumptions!$B$9,$D$2,0))/$I$2*1/(1+$AG$2)*1/(1+Assumptions!$B$11)))</f>
        <v>0</v>
      </c>
      <c r="Z92">
        <f>IF(B92&gt;$AF$2,0,IF($Y$2=1,(SUMIF('Mortality Tarif Male'!A:A,E93,'Mortality Tarif Male'!E:E)-SUMIF('Mortality Tarif Male'!A:A,$C$2+$H$2,'Mortality Tarif Male'!E:E))/SUMIF('Mortality Tarif Male'!A:A,E93,'Mortality Tarif Male'!D:D),(SUMIF('Mortality Tarif Female'!A:A,E93,'Mortality Tarif Female'!E:E)-SUMIF('Mortality Tarif Female'!A:A,$C$2+$H$2,'Mortality Tarif Female'!E:E))/SUMIF('Mortality Tarif Female'!A:A,E93,'Mortality Tarif Female'!D:D)))</f>
        <v>11.738821789848721</v>
      </c>
      <c r="AA92">
        <f>IF(B92&gt;=$AF$2,0,IF($Y$2=1,(SUMIF('Mortality Tarif Male'!A:A,E93+1,'Mortality Tarif Male'!E:E)-SUMIF('Mortality Tarif Male'!A:A,$C$2+$H$2,'Mortality Tarif Male'!E:E))/SUMIF('Mortality Tarif Male'!A:A,E93+1,'Mortality Tarif Male'!D:D),(SUMIF('Mortality Tarif Female'!A:A,E93+1,'Mortality Tarif Female'!E:E)-SUMIF('Mortality Tarif Female'!A:A,$C$2+$H$2,'Mortality Tarif Female'!E:E))/SUMIF('Mortality Tarif Female'!A:A,E93+1,'Mortality Tarif Female'!D:D)))</f>
        <v>11.132517500433975</v>
      </c>
      <c r="AB92">
        <f t="shared" si="41"/>
        <v>2693.1536336209524</v>
      </c>
      <c r="AC92">
        <f>IF(B92&gt;=$AF$2,0,MIN(1/3*(V92+W92+Y92-AB92),(V92-AB92),(T92*Z92+(1-T92)*AA92)*$AH$2*Assumptions!$B$22))</f>
        <v>291.4969821232956</v>
      </c>
      <c r="AD92">
        <f t="shared" si="57"/>
        <v>9479.8604129873293</v>
      </c>
      <c r="AE92">
        <f t="shared" si="58"/>
        <v>9771.3573951106246</v>
      </c>
      <c r="AF92">
        <f t="shared" si="59"/>
        <v>9479.8604129873293</v>
      </c>
      <c r="AG92" s="26">
        <f t="shared" si="70"/>
        <v>0</v>
      </c>
      <c r="AH92" s="27">
        <f>IF(B92&gt;$AF$2,0,HLOOKUP(YEAR(A92),Assumptions!$A$34:$AL$37,4,TRUE)/100)</f>
        <v>9.0369999999999999E-3</v>
      </c>
      <c r="AI92">
        <f t="shared" si="60"/>
        <v>0</v>
      </c>
      <c r="AJ92">
        <f t="shared" si="61"/>
        <v>1.744022848421243</v>
      </c>
      <c r="AK92">
        <f t="shared" si="62"/>
        <v>22.103537292543194</v>
      </c>
      <c r="AL92">
        <f>IF(E92&gt;Assumptions!$B$9,0,SUMPRODUCT($P$2:$X$2,Assumptions!$A$43:$I$43)/$I$2*O91*K92)</f>
        <v>4.3804027936183969</v>
      </c>
      <c r="AM92">
        <f t="shared" si="63"/>
        <v>0</v>
      </c>
      <c r="AN92">
        <f t="shared" si="64"/>
        <v>28.227962934582834</v>
      </c>
      <c r="AO92">
        <f>IF(E92&gt;Assumptions!$B$9,0,($V$2+$X$2)/$I$2*O91*K92*Assumptions!$B$46)</f>
        <v>0</v>
      </c>
      <c r="AP92">
        <f>IF(B92&gt;$AF$2,0,AP91*(1+Assumptions!$B$52)^(1/12))</f>
        <v>1.069471641212981</v>
      </c>
      <c r="AQ92" s="29">
        <f>IF(B92&gt;$AF$2,0,O91*Assumptions!$B$48/12*AP91+AR92*Assumptions!$B$50/12)</f>
        <v>12.466461025370549</v>
      </c>
      <c r="AR92" s="31">
        <f t="shared" si="65"/>
        <v>7291.8335887376634</v>
      </c>
      <c r="AS92">
        <f t="shared" si="48"/>
        <v>7390.4250888251572</v>
      </c>
      <c r="AT92">
        <f t="shared" si="66"/>
        <v>15.693965796716457</v>
      </c>
      <c r="AU92" s="19">
        <f t="shared" si="67"/>
        <v>7303.7251536724552</v>
      </c>
      <c r="AV92" s="19">
        <f t="shared" si="68"/>
        <v>7387.3731285818894</v>
      </c>
      <c r="AW92">
        <f t="shared" si="69"/>
        <v>-107.65824064603424</v>
      </c>
      <c r="AX92">
        <f>IF(B92&gt;$AF$2,0,HLOOKUP(YEAR(A92),Assumptions!$A$34:$AL$37,2,TRUE)/100)</f>
        <v>1.5037E-2</v>
      </c>
      <c r="AY92" s="32">
        <f>1/(1+HLOOKUP(YEAR(A92),Assumptions!$A$27:$AL$29,3,TRUE))^(1/12)</f>
        <v>0.99879367902408245</v>
      </c>
      <c r="AZ92" s="30">
        <f t="shared" si="49"/>
        <v>8634.853547009503</v>
      </c>
      <c r="BA92">
        <f>IF(B92&gt;$AF$2,0,IF($E$2=0,(T92*Z92+(1-T92)*AA92)*$J$2*Assumptions!$B$20,0))</f>
        <v>0</v>
      </c>
    </row>
    <row r="93" spans="1:53" x14ac:dyDescent="0.25">
      <c r="A93" s="17">
        <f t="shared" si="50"/>
        <v>45596</v>
      </c>
      <c r="B93">
        <f t="shared" si="42"/>
        <v>312</v>
      </c>
      <c r="C93">
        <f t="shared" si="43"/>
        <v>25.916666666666668</v>
      </c>
      <c r="D93">
        <f t="shared" si="36"/>
        <v>0</v>
      </c>
      <c r="E93">
        <f t="shared" si="44"/>
        <v>48</v>
      </c>
      <c r="F93">
        <f>IF(C93&gt;=$H$2,0,VLOOKUP($E93,'Mortality Table'!$A$3:$C$128,2+AB$2,FALSE))</f>
        <v>1.2356000000000001E-3</v>
      </c>
      <c r="G93">
        <f>F93*Assumptions!$B$1</f>
        <v>1.3375370000000002E-3</v>
      </c>
      <c r="H93">
        <f t="shared" si="51"/>
        <v>1.1152980517503686E-4</v>
      </c>
      <c r="I93">
        <f t="shared" si="37"/>
        <v>8.681813620701284E-5</v>
      </c>
      <c r="J93">
        <f>HLOOKUP(C93,Assumptions!$A$6:$J$7,2,TRUE)</f>
        <v>3.5200000000000002E-2</v>
      </c>
      <c r="K93" s="18">
        <f t="shared" si="45"/>
        <v>1</v>
      </c>
      <c r="L93" s="18">
        <f t="shared" si="52"/>
        <v>8.3333333333333329E-2</v>
      </c>
      <c r="M93" s="18">
        <f t="shared" si="38"/>
        <v>2.9817501439168836E-3</v>
      </c>
      <c r="N93">
        <f t="shared" si="39"/>
        <v>2.3244194802978521E-3</v>
      </c>
      <c r="O93" s="20">
        <f t="shared" si="40"/>
        <v>0.77718094695831619</v>
      </c>
      <c r="P93">
        <f>IF(B93&gt;$AF$2,0,O92*($E$2+IF(E93&lt;=Assumptions!$B$9,$D$2,0))/$I$2*K93)</f>
        <v>39.928113053307079</v>
      </c>
      <c r="Q93">
        <f t="shared" si="53"/>
        <v>26.1</v>
      </c>
      <c r="R93">
        <f>IF(B93&gt;$AF$2,0,IF($Y$2=1,(SUMIF('Mortality Tarif Male'!A:A,E94,'Mortality Tarif Male'!G:G)-SUMIF('Mortality Tarif Male'!A:A,$C$2+$H$2,'Mortality Tarif Male'!G:G)+SUMIF('Mortality Tarif Male'!A:A,$C$2+$H$2,'Mortality Tarif Male'!D:D))/SUMIF('Mortality Tarif Male'!A:A,E94,'Mortality Tarif Male'!D:D),(SUMIF('Mortality Tarif Female'!A:A,E94,'Mortality Tarif Female'!G:G)-SUMIF('Mortality Tarif Female'!A:A,$C$2+$H$2,'Mortality Tarif Female'!G:G)+SUMIF('Mortality Tarif Female'!A:A,$C$2+$H$2,'Mortality Tarif Female'!D:D))/SUMIF('Mortality Tarif Female'!A:A,E94,'Mortality Tarif Female'!D:D)))</f>
        <v>0.62412136992836209</v>
      </c>
      <c r="S93">
        <f>IF(B93&gt;=$AF$2,0,IF($Y$2=1,(SUMIF('Mortality Tarif Male'!A:A,E94+1,'Mortality Tarif Male'!G:G)-SUMIF('Mortality Tarif Male'!A:A,$C$2+$H$2,'Mortality Tarif Male'!G:G)+SUMIF('Mortality Tarif Male'!A:A,$C$2+$H$2,'Mortality Tarif Male'!D:D))/SUMIF('Mortality Tarif Male'!A:A,E94+1,'Mortality Tarif Male'!D:D),(SUMIF('Mortality Tarif Female'!A:A,E94+1,'Mortality Tarif Female'!G:G)-SUMIF('Mortality Tarif Female'!A:A,$C$2+$H$2,'Mortality Tarif Female'!G:G)+SUMIF('Mortality Tarif Female'!A:A,$C$2+$H$2,'Mortality Tarif Female'!D:D))/SUMIF('Mortality Tarif Female'!A:A,E94+1,'Mortality Tarif Female'!D:D)))</f>
        <v>0.64532391626812635</v>
      </c>
      <c r="T93">
        <f t="shared" si="54"/>
        <v>1</v>
      </c>
      <c r="U93">
        <f t="shared" si="55"/>
        <v>0.62412136992836209</v>
      </c>
      <c r="V93">
        <f t="shared" si="56"/>
        <v>12482.427398567243</v>
      </c>
      <c r="W93">
        <f t="shared" si="46"/>
        <v>16.28956775513025</v>
      </c>
      <c r="X93">
        <f t="shared" si="47"/>
        <v>0</v>
      </c>
      <c r="Y93">
        <f>IF(B93&gt;$AF$2,0,IF(X94=0,0,(1-X94)*($E$2+IF(E93&lt;=Assumptions!$B$9,$D$2,0))/$I$2*1/(1+$AG$2)*1/(1+Assumptions!$B$11)))</f>
        <v>0</v>
      </c>
      <c r="Z93">
        <f>IF(B93&gt;$AF$2,0,IF($Y$2=1,(SUMIF('Mortality Tarif Male'!A:A,E94,'Mortality Tarif Male'!E:E)-SUMIF('Mortality Tarif Male'!A:A,$C$2+$H$2,'Mortality Tarif Male'!E:E))/SUMIF('Mortality Tarif Male'!A:A,E94,'Mortality Tarif Male'!D:D),(SUMIF('Mortality Tarif Female'!A:A,E94,'Mortality Tarif Female'!E:E)-SUMIF('Mortality Tarif Female'!A:A,$C$2+$H$2,'Mortality Tarif Female'!E:E))/SUMIF('Mortality Tarif Female'!A:A,E94,'Mortality Tarif Female'!D:D)))</f>
        <v>11.132517500433975</v>
      </c>
      <c r="AA93">
        <f>IF(B93&gt;=$AF$2,0,IF($Y$2=1,(SUMIF('Mortality Tarif Male'!A:A,E94+1,'Mortality Tarif Male'!E:E)-SUMIF('Mortality Tarif Male'!A:A,$C$2+$H$2,'Mortality Tarif Male'!E:E))/SUMIF('Mortality Tarif Male'!A:A,E94+1,'Mortality Tarif Male'!D:D),(SUMIF('Mortality Tarif Female'!A:A,E94+1,'Mortality Tarif Female'!E:E)-SUMIF('Mortality Tarif Female'!A:A,$C$2+$H$2,'Mortality Tarif Female'!E:E))/SUMIF('Mortality Tarif Female'!A:A,E94+1,'Mortality Tarif Female'!D:D)))</f>
        <v>10.505276013394928</v>
      </c>
      <c r="AB93">
        <f t="shared" si="41"/>
        <v>2680.9858764426072</v>
      </c>
      <c r="AC93">
        <f>IF(B93&gt;=$AF$2,0,MIN(1/3*(V93+W93+Y93-AB93),(V93-AB93),(T93*Z93+(1-T93)*AA93)*$AH$2*Assumptions!$B$22))</f>
        <v>290.17998911835957</v>
      </c>
      <c r="AD93">
        <f t="shared" si="57"/>
        <v>9527.5511007614059</v>
      </c>
      <c r="AE93">
        <f t="shared" si="58"/>
        <v>9817.7310898797659</v>
      </c>
      <c r="AF93">
        <f t="shared" si="59"/>
        <v>9527.5511007614059</v>
      </c>
      <c r="AG93" s="26">
        <f t="shared" si="70"/>
        <v>0</v>
      </c>
      <c r="AH93" s="27">
        <f>IF(B93&gt;$AF$2,0,HLOOKUP(YEAR(A93),Assumptions!$A$34:$AL$37,4,TRUE)/100)</f>
        <v>9.0369999999999999E-3</v>
      </c>
      <c r="AI93">
        <f t="shared" si="60"/>
        <v>0</v>
      </c>
      <c r="AJ93">
        <f t="shared" si="61"/>
        <v>1.7386286774952597</v>
      </c>
      <c r="AK93">
        <f t="shared" si="62"/>
        <v>22.146025378143058</v>
      </c>
      <c r="AL93">
        <f>IF(E93&gt;Assumptions!$B$9,0,SUMPRODUCT($P$2:$X$2,Assumptions!$A$43:$I$43)/$I$2*O92*K93)</f>
        <v>4.3668544382084766</v>
      </c>
      <c r="AM93">
        <f t="shared" si="63"/>
        <v>0</v>
      </c>
      <c r="AN93">
        <f t="shared" si="64"/>
        <v>28.251508493846796</v>
      </c>
      <c r="AO93">
        <f>IF(E93&gt;Assumptions!$B$9,0,($V$2+$X$2)/$I$2*O92*K93*Assumptions!$B$46)</f>
        <v>0</v>
      </c>
      <c r="AP93">
        <f>IF(B93&gt;$AF$2,0,AP92*(1+Assumptions!$B$52)^(1/12))</f>
        <v>1.0703588087015794</v>
      </c>
      <c r="AQ93" s="29">
        <f>IF(B93&gt;$AF$2,0,O92*Assumptions!$B$48/12*AP92+AR93*Assumptions!$B$50/12)</f>
        <v>12.442739947542838</v>
      </c>
      <c r="AR93" s="31">
        <f t="shared" si="65"/>
        <v>7294.0454189270022</v>
      </c>
      <c r="AS93">
        <f t="shared" si="48"/>
        <v>7404.6311866834976</v>
      </c>
      <c r="AT93">
        <f t="shared" si="66"/>
        <v>15.645425186087039</v>
      </c>
      <c r="AU93" s="19">
        <f t="shared" si="67"/>
        <v>7305.88536684668</v>
      </c>
      <c r="AV93" s="19">
        <f t="shared" si="68"/>
        <v>7401.703659573036</v>
      </c>
      <c r="AW93">
        <f t="shared" si="69"/>
        <v>-119.81539450252677</v>
      </c>
      <c r="AX93">
        <f>IF(B93&gt;$AF$2,0,HLOOKUP(YEAR(A93),Assumptions!$A$34:$AL$37,2,TRUE)/100)</f>
        <v>1.5037E-2</v>
      </c>
      <c r="AY93" s="32">
        <f>1/(1+HLOOKUP(YEAR(A93),Assumptions!$A$27:$AL$29,3,TRUE))^(1/12)</f>
        <v>0.99879367902408245</v>
      </c>
      <c r="AZ93" s="30">
        <f t="shared" si="49"/>
        <v>8644.5163972833161</v>
      </c>
      <c r="BA93">
        <f>IF(B93&gt;$AF$2,0,IF($E$2=0,(T93*Z93+(1-T93)*AA93)*$J$2*Assumptions!$B$20,0))</f>
        <v>0</v>
      </c>
    </row>
    <row r="94" spans="1:53" x14ac:dyDescent="0.25">
      <c r="A94" s="17">
        <f t="shared" si="50"/>
        <v>45626</v>
      </c>
      <c r="B94">
        <f t="shared" si="42"/>
        <v>313</v>
      </c>
      <c r="C94">
        <f t="shared" si="43"/>
        <v>26</v>
      </c>
      <c r="D94">
        <f t="shared" si="36"/>
        <v>1</v>
      </c>
      <c r="E94">
        <f t="shared" si="44"/>
        <v>49</v>
      </c>
      <c r="F94">
        <f>IF(C94&gt;=$H$2,0,VLOOKUP($E94,'Mortality Table'!$A$3:$C$128,2+AB$2,FALSE))</f>
        <v>1.3505000000000001E-3</v>
      </c>
      <c r="G94">
        <f>F94*Assumptions!$B$1</f>
        <v>1.4619162500000003E-3</v>
      </c>
      <c r="H94">
        <f t="shared" si="51"/>
        <v>1.2190805962297713E-4</v>
      </c>
      <c r="I94">
        <f t="shared" si="37"/>
        <v>9.4603368825657734E-5</v>
      </c>
      <c r="J94">
        <f>HLOOKUP(C94,Assumptions!$A$6:$J$7,2,TRUE)</f>
        <v>3.5200000000000002E-2</v>
      </c>
      <c r="K94" s="18">
        <f t="shared" si="45"/>
        <v>1</v>
      </c>
      <c r="L94" s="18">
        <f t="shared" si="52"/>
        <v>8.3333333333333329E-2</v>
      </c>
      <c r="M94" s="18">
        <f t="shared" si="38"/>
        <v>2.9817501439168836E-3</v>
      </c>
      <c r="N94">
        <f t="shared" si="39"/>
        <v>2.3172181480484409E-3</v>
      </c>
      <c r="O94" s="20">
        <f t="shared" si="40"/>
        <v>0.77476912544144216</v>
      </c>
      <c r="P94">
        <f>IF(B94&gt;$AF$2,0,O93*($E$2+IF(E94&lt;=Assumptions!$B$9,$D$2,0))/$I$2*K94)</f>
        <v>39.804617500048423</v>
      </c>
      <c r="Q94">
        <f t="shared" si="53"/>
        <v>26.1</v>
      </c>
      <c r="R94">
        <f>IF(B94&gt;$AF$2,0,IF($Y$2=1,(SUMIF('Mortality Tarif Male'!A:A,E95,'Mortality Tarif Male'!G:G)-SUMIF('Mortality Tarif Male'!A:A,$C$2+$H$2,'Mortality Tarif Male'!G:G)+SUMIF('Mortality Tarif Male'!A:A,$C$2+$H$2,'Mortality Tarif Male'!D:D))/SUMIF('Mortality Tarif Male'!A:A,E95,'Mortality Tarif Male'!D:D),(SUMIF('Mortality Tarif Female'!A:A,E95,'Mortality Tarif Female'!G:G)-SUMIF('Mortality Tarif Female'!A:A,$C$2+$H$2,'Mortality Tarif Female'!G:G)+SUMIF('Mortality Tarif Female'!A:A,$C$2+$H$2,'Mortality Tarif Female'!D:D))/SUMIF('Mortality Tarif Female'!A:A,E95,'Mortality Tarif Female'!D:D)))</f>
        <v>0.62412136992836209</v>
      </c>
      <c r="S94">
        <f>IF(B94&gt;=$AF$2,0,IF($Y$2=1,(SUMIF('Mortality Tarif Male'!A:A,E95+1,'Mortality Tarif Male'!G:G)-SUMIF('Mortality Tarif Male'!A:A,$C$2+$H$2,'Mortality Tarif Male'!G:G)+SUMIF('Mortality Tarif Male'!A:A,$C$2+$H$2,'Mortality Tarif Male'!D:D))/SUMIF('Mortality Tarif Male'!A:A,E95+1,'Mortality Tarif Male'!D:D),(SUMIF('Mortality Tarif Female'!A:A,E95+1,'Mortality Tarif Female'!G:G)-SUMIF('Mortality Tarif Female'!A:A,$C$2+$H$2,'Mortality Tarif Female'!G:G)+SUMIF('Mortality Tarif Female'!A:A,$C$2+$H$2,'Mortality Tarif Female'!D:D))/SUMIF('Mortality Tarif Female'!A:A,E95+1,'Mortality Tarif Female'!D:D)))</f>
        <v>0.64532391626812635</v>
      </c>
      <c r="T94">
        <f t="shared" si="54"/>
        <v>0.91666666666666785</v>
      </c>
      <c r="U94">
        <f t="shared" si="55"/>
        <v>0.62588824879000904</v>
      </c>
      <c r="V94">
        <f t="shared" si="56"/>
        <v>12517.764975800181</v>
      </c>
      <c r="W94">
        <f t="shared" si="46"/>
        <v>16.335683293419237</v>
      </c>
      <c r="X94">
        <f t="shared" si="47"/>
        <v>0</v>
      </c>
      <c r="Y94">
        <f>IF(B94&gt;$AF$2,0,IF(X95=0,0,(1-X95)*($E$2+IF(E94&lt;=Assumptions!$B$9,$D$2,0))/$I$2*1/(1+$AG$2)*1/(1+Assumptions!$B$11)))</f>
        <v>0</v>
      </c>
      <c r="Z94">
        <f>IF(B94&gt;$AF$2,0,IF($Y$2=1,(SUMIF('Mortality Tarif Male'!A:A,E95,'Mortality Tarif Male'!E:E)-SUMIF('Mortality Tarif Male'!A:A,$C$2+$H$2,'Mortality Tarif Male'!E:E))/SUMIF('Mortality Tarif Male'!A:A,E95,'Mortality Tarif Male'!D:D),(SUMIF('Mortality Tarif Female'!A:A,E95,'Mortality Tarif Female'!E:E)-SUMIF('Mortality Tarif Female'!A:A,$C$2+$H$2,'Mortality Tarif Female'!E:E))/SUMIF('Mortality Tarif Female'!A:A,E95,'Mortality Tarif Female'!D:D)))</f>
        <v>11.132517500433975</v>
      </c>
      <c r="AA94">
        <f>IF(B94&gt;=$AF$2,0,IF($Y$2=1,(SUMIF('Mortality Tarif Male'!A:A,E95+1,'Mortality Tarif Male'!E:E)-SUMIF('Mortality Tarif Male'!A:A,$C$2+$H$2,'Mortality Tarif Male'!E:E))/SUMIF('Mortality Tarif Male'!A:A,E95+1,'Mortality Tarif Male'!D:D),(SUMIF('Mortality Tarif Female'!A:A,E95+1,'Mortality Tarif Female'!E:E)-SUMIF('Mortality Tarif Female'!A:A,$C$2+$H$2,'Mortality Tarif Female'!E:E))/SUMIF('Mortality Tarif Female'!A:A,E95+1,'Mortality Tarif Female'!D:D)))</f>
        <v>10.505276013394928</v>
      </c>
      <c r="AB94">
        <f t="shared" si="41"/>
        <v>2668.3979362948598</v>
      </c>
      <c r="AC94">
        <f>IF(B94&gt;=$AF$2,0,MIN(1/3*(V94+W94+Y94-AB94),(V94-AB94),(T94*Z94+(1-T94)*AA94)*$AH$2*Assumptions!$B$22))</f>
        <v>288.8175170638844</v>
      </c>
      <c r="AD94">
        <f t="shared" si="57"/>
        <v>9576.8852057348558</v>
      </c>
      <c r="AE94">
        <f t="shared" si="58"/>
        <v>9865.7027227987401</v>
      </c>
      <c r="AF94">
        <f t="shared" si="59"/>
        <v>9576.8852057348558</v>
      </c>
      <c r="AG94" s="26">
        <f t="shared" si="70"/>
        <v>0</v>
      </c>
      <c r="AH94" s="27">
        <f>IF(B94&gt;$AF$2,0,HLOOKUP(YEAR(A94),Assumptions!$A$34:$AL$37,4,TRUE)/100)</f>
        <v>9.0369999999999999E-3</v>
      </c>
      <c r="AI94">
        <f t="shared" si="60"/>
        <v>0</v>
      </c>
      <c r="AJ94">
        <f t="shared" si="61"/>
        <v>1.8945365244395043</v>
      </c>
      <c r="AK94">
        <f t="shared" si="62"/>
        <v>22.191732200505434</v>
      </c>
      <c r="AL94">
        <f>IF(E94&gt;Assumptions!$B$9,0,SUMPRODUCT($P$2:$X$2,Assumptions!$A$43:$I$43)/$I$2*O93*K94)</f>
        <v>4.353347987149129</v>
      </c>
      <c r="AM94">
        <f t="shared" si="63"/>
        <v>0</v>
      </c>
      <c r="AN94">
        <f t="shared" si="64"/>
        <v>28.439616712094068</v>
      </c>
      <c r="AO94">
        <f>IF(E94&gt;Assumptions!$B$9,0,($V$2+$X$2)/$I$2*O93*K94*Assumptions!$B$46)</f>
        <v>0</v>
      </c>
      <c r="AP94">
        <f>IF(B94&gt;$AF$2,0,AP93*(1+Assumptions!$B$52)^(1/12))</f>
        <v>1.0712467121294236</v>
      </c>
      <c r="AQ94" s="29">
        <f>IF(B94&gt;$AF$2,0,O93*Assumptions!$B$48/12*AP93+AR94*Assumptions!$B$50/12)</f>
        <v>12.419026037837867</v>
      </c>
      <c r="AR94" s="31">
        <f t="shared" si="65"/>
        <v>7296.0594789028337</v>
      </c>
      <c r="AS94">
        <f t="shared" si="48"/>
        <v>7419.8749753002803</v>
      </c>
      <c r="AT94">
        <f t="shared" si="66"/>
        <v>15.597034709012824</v>
      </c>
      <c r="AU94" s="19">
        <f t="shared" si="67"/>
        <v>7307.8480356560312</v>
      </c>
      <c r="AV94" s="19">
        <f t="shared" si="68"/>
        <v>7415.8748734053606</v>
      </c>
      <c r="AW94">
        <f t="shared" si="69"/>
        <v>-132.01078988000762</v>
      </c>
      <c r="AX94">
        <f>IF(B94&gt;$AF$2,0,HLOOKUP(YEAR(A94),Assumptions!$A$34:$AL$37,2,TRUE)/100)</f>
        <v>1.5037E-2</v>
      </c>
      <c r="AY94" s="32">
        <f>1/(1+HLOOKUP(YEAR(A94),Assumptions!$A$27:$AL$29,3,TRUE))^(1/12)</f>
        <v>0.99879367902408245</v>
      </c>
      <c r="AZ94" s="30">
        <f t="shared" si="49"/>
        <v>8653.9030282727635</v>
      </c>
      <c r="BA94">
        <f>IF(B94&gt;$AF$2,0,IF($E$2=0,(T94*Z94+(1-T94)*AA94)*$J$2*Assumptions!$B$20,0))</f>
        <v>0</v>
      </c>
    </row>
    <row r="95" spans="1:53" x14ac:dyDescent="0.25">
      <c r="A95" s="17">
        <f t="shared" si="50"/>
        <v>45657</v>
      </c>
      <c r="B95">
        <f t="shared" si="42"/>
        <v>314</v>
      </c>
      <c r="C95">
        <f t="shared" si="43"/>
        <v>26.083333333333332</v>
      </c>
      <c r="D95">
        <f t="shared" si="36"/>
        <v>0</v>
      </c>
      <c r="E95">
        <f t="shared" si="44"/>
        <v>49</v>
      </c>
      <c r="F95">
        <f>IF(C95&gt;=$H$2,0,VLOOKUP($E95,'Mortality Table'!$A$3:$C$128,2+AB$2,FALSE))</f>
        <v>1.3505000000000001E-3</v>
      </c>
      <c r="G95">
        <f>F95*Assumptions!$B$1</f>
        <v>1.4619162500000003E-3</v>
      </c>
      <c r="H95">
        <f t="shared" si="51"/>
        <v>1.2190805962297713E-4</v>
      </c>
      <c r="I95">
        <f t="shared" si="37"/>
        <v>9.430978669218486E-5</v>
      </c>
      <c r="J95">
        <f>HLOOKUP(C95,Assumptions!$A$6:$J$7,2,TRUE)</f>
        <v>3.5200000000000002E-2</v>
      </c>
      <c r="K95" s="18">
        <f t="shared" si="45"/>
        <v>1</v>
      </c>
      <c r="L95" s="18">
        <f t="shared" si="52"/>
        <v>8.3333333333333329E-2</v>
      </c>
      <c r="M95" s="18">
        <f t="shared" si="38"/>
        <v>2.9817501439168836E-3</v>
      </c>
      <c r="N95">
        <f t="shared" si="39"/>
        <v>2.3100271372412059E-3</v>
      </c>
      <c r="O95" s="20">
        <f t="shared" si="40"/>
        <v>0.77236478851750878</v>
      </c>
      <c r="P95">
        <f>IF(B95&gt;$AF$2,0,O94*($E$2+IF(E95&lt;=Assumptions!$B$9,$D$2,0))/$I$2*K95)</f>
        <v>39.681092041359186</v>
      </c>
      <c r="Q95">
        <f t="shared" si="53"/>
        <v>26.1</v>
      </c>
      <c r="R95">
        <f>IF(B95&gt;$AF$2,0,IF($Y$2=1,(SUMIF('Mortality Tarif Male'!A:A,E96,'Mortality Tarif Male'!G:G)-SUMIF('Mortality Tarif Male'!A:A,$C$2+$H$2,'Mortality Tarif Male'!G:G)+SUMIF('Mortality Tarif Male'!A:A,$C$2+$H$2,'Mortality Tarif Male'!D:D))/SUMIF('Mortality Tarif Male'!A:A,E96,'Mortality Tarif Male'!D:D),(SUMIF('Mortality Tarif Female'!A:A,E96,'Mortality Tarif Female'!G:G)-SUMIF('Mortality Tarif Female'!A:A,$C$2+$H$2,'Mortality Tarif Female'!G:G)+SUMIF('Mortality Tarif Female'!A:A,$C$2+$H$2,'Mortality Tarif Female'!D:D))/SUMIF('Mortality Tarif Female'!A:A,E96,'Mortality Tarif Female'!D:D)))</f>
        <v>0.62412136992836209</v>
      </c>
      <c r="S95">
        <f>IF(B95&gt;=$AF$2,0,IF($Y$2=1,(SUMIF('Mortality Tarif Male'!A:A,E96+1,'Mortality Tarif Male'!G:G)-SUMIF('Mortality Tarif Male'!A:A,$C$2+$H$2,'Mortality Tarif Male'!G:G)+SUMIF('Mortality Tarif Male'!A:A,$C$2+$H$2,'Mortality Tarif Male'!D:D))/SUMIF('Mortality Tarif Male'!A:A,E96+1,'Mortality Tarif Male'!D:D),(SUMIF('Mortality Tarif Female'!A:A,E96+1,'Mortality Tarif Female'!G:G)-SUMIF('Mortality Tarif Female'!A:A,$C$2+$H$2,'Mortality Tarif Female'!G:G)+SUMIF('Mortality Tarif Female'!A:A,$C$2+$H$2,'Mortality Tarif Female'!D:D))/SUMIF('Mortality Tarif Female'!A:A,E96+1,'Mortality Tarif Female'!D:D)))</f>
        <v>0.64532391626812635</v>
      </c>
      <c r="T95">
        <f t="shared" si="54"/>
        <v>0.83333333333333215</v>
      </c>
      <c r="U95">
        <f t="shared" si="55"/>
        <v>0.6276551276516561</v>
      </c>
      <c r="V95">
        <f t="shared" si="56"/>
        <v>12553.102553033123</v>
      </c>
      <c r="W95">
        <f t="shared" si="46"/>
        <v>16.381798831708224</v>
      </c>
      <c r="X95">
        <f t="shared" si="47"/>
        <v>0</v>
      </c>
      <c r="Y95">
        <f>IF(B95&gt;$AF$2,0,IF(X96=0,0,(1-X96)*($E$2+IF(E95&lt;=Assumptions!$B$9,$D$2,0))/$I$2*1/(1+$AG$2)*1/(1+Assumptions!$B$11)))</f>
        <v>0</v>
      </c>
      <c r="Z95">
        <f>IF(B95&gt;$AF$2,0,IF($Y$2=1,(SUMIF('Mortality Tarif Male'!A:A,E96,'Mortality Tarif Male'!E:E)-SUMIF('Mortality Tarif Male'!A:A,$C$2+$H$2,'Mortality Tarif Male'!E:E))/SUMIF('Mortality Tarif Male'!A:A,E96,'Mortality Tarif Male'!D:D),(SUMIF('Mortality Tarif Female'!A:A,E96,'Mortality Tarif Female'!E:E)-SUMIF('Mortality Tarif Female'!A:A,$C$2+$H$2,'Mortality Tarif Female'!E:E))/SUMIF('Mortality Tarif Female'!A:A,E96,'Mortality Tarif Female'!D:D)))</f>
        <v>11.132517500433975</v>
      </c>
      <c r="AA95">
        <f>IF(B95&gt;=$AF$2,0,IF($Y$2=1,(SUMIF('Mortality Tarif Male'!A:A,E96+1,'Mortality Tarif Male'!E:E)-SUMIF('Mortality Tarif Male'!A:A,$C$2+$H$2,'Mortality Tarif Male'!E:E))/SUMIF('Mortality Tarif Male'!A:A,E96+1,'Mortality Tarif Male'!D:D),(SUMIF('Mortality Tarif Female'!A:A,E96+1,'Mortality Tarif Female'!E:E)-SUMIF('Mortality Tarif Female'!A:A,$C$2+$H$2,'Mortality Tarif Female'!E:E))/SUMIF('Mortality Tarif Female'!A:A,E96+1,'Mortality Tarif Female'!D:D)))</f>
        <v>10.505276013394928</v>
      </c>
      <c r="AB95">
        <f t="shared" si="41"/>
        <v>2655.8099961471125</v>
      </c>
      <c r="AC95">
        <f>IF(B95&gt;=$AF$2,0,MIN(1/3*(V95+W95+Y95-AB95),(V95-AB95),(T95*Z95+(1-T95)*AA95)*$AH$2*Assumptions!$B$22))</f>
        <v>287.4550450094091</v>
      </c>
      <c r="AD95">
        <f t="shared" si="57"/>
        <v>9626.2193107083094</v>
      </c>
      <c r="AE95">
        <f t="shared" si="58"/>
        <v>9913.6743557177178</v>
      </c>
      <c r="AF95">
        <f t="shared" si="59"/>
        <v>9626.2193107083094</v>
      </c>
      <c r="AG95" s="26">
        <f t="shared" si="70"/>
        <v>9361.0445478519778</v>
      </c>
      <c r="AH95" s="27">
        <f>IF(B95&gt;$AF$2,0,HLOOKUP(YEAR(A95),Assumptions!$A$34:$AL$37,4,TRUE)/100)</f>
        <v>9.0369999999999999E-3</v>
      </c>
      <c r="AI95">
        <f t="shared" si="60"/>
        <v>0</v>
      </c>
      <c r="AJ95">
        <f t="shared" si="61"/>
        <v>1.8886572192763631</v>
      </c>
      <c r="AK95">
        <f t="shared" si="62"/>
        <v>22.236827836771532</v>
      </c>
      <c r="AL95">
        <f>IF(E95&gt;Assumptions!$B$9,0,SUMPRODUCT($P$2:$X$2,Assumptions!$A$43:$I$43)/$I$2*O94*K95)</f>
        <v>4.3398382653952199</v>
      </c>
      <c r="AM95">
        <f t="shared" si="63"/>
        <v>0</v>
      </c>
      <c r="AN95">
        <f t="shared" si="64"/>
        <v>28.465323321443115</v>
      </c>
      <c r="AO95">
        <f>IF(E95&gt;Assumptions!$B$9,0,($V$2+$X$2)/$I$2*O94*K95*Assumptions!$B$46)</f>
        <v>0</v>
      </c>
      <c r="AP95">
        <f>IF(B95&gt;$AF$2,0,AP94*(1+Assumptions!$B$52)^(1/12))</f>
        <v>1.0721353521070029</v>
      </c>
      <c r="AQ95" s="29">
        <f>IF(B95&gt;$AF$2,0,O94*Assumptions!$B$48/12*AP94+AR95*Assumptions!$B$50/12)</f>
        <v>12.395498147263428</v>
      </c>
      <c r="AR95" s="31">
        <f t="shared" si="65"/>
        <v>7299.0729796686774</v>
      </c>
      <c r="AS95">
        <f t="shared" si="48"/>
        <v>7434.9528421383829</v>
      </c>
      <c r="AT95">
        <f t="shared" si="66"/>
        <v>15.54863251379966</v>
      </c>
      <c r="AU95" s="19">
        <f t="shared" si="67"/>
        <v>7310.8099410489731</v>
      </c>
      <c r="AV95" s="19">
        <f t="shared" si="68"/>
        <v>7431.0837695486853</v>
      </c>
      <c r="AW95">
        <f t="shared" si="69"/>
        <v>0</v>
      </c>
      <c r="AX95">
        <f>IF(B95&gt;$AF$2,0,HLOOKUP(YEAR(A95),Assumptions!$A$34:$AL$37,2,TRUE)/100)</f>
        <v>1.5037E-2</v>
      </c>
      <c r="AY95" s="32">
        <f>1/(1+HLOOKUP(YEAR(A95),Assumptions!$A$27:$AL$29,3,TRUE))^(1/12)</f>
        <v>0.99879367902408245</v>
      </c>
      <c r="AZ95" s="30">
        <f t="shared" si="49"/>
        <v>8663.1752920506224</v>
      </c>
      <c r="BA95">
        <f>IF(B95&gt;$AF$2,0,IF($E$2=0,(T95*Z95+(1-T95)*AA95)*$J$2*Assumptions!$B$20,0))</f>
        <v>0</v>
      </c>
    </row>
    <row r="96" spans="1:53" x14ac:dyDescent="0.25">
      <c r="A96" s="17">
        <f t="shared" si="50"/>
        <v>45688</v>
      </c>
      <c r="B96">
        <f t="shared" si="42"/>
        <v>315</v>
      </c>
      <c r="C96">
        <f t="shared" si="43"/>
        <v>26.166666666666668</v>
      </c>
      <c r="D96">
        <f t="shared" si="36"/>
        <v>0</v>
      </c>
      <c r="E96">
        <f t="shared" si="44"/>
        <v>49</v>
      </c>
      <c r="F96">
        <f>IF(C96&gt;=$H$2,0,VLOOKUP($E96,'Mortality Table'!$A$3:$C$128,2+AB$2,FALSE))</f>
        <v>1.3505000000000001E-3</v>
      </c>
      <c r="G96">
        <f>F96*Assumptions!$B$1</f>
        <v>1.4619162500000003E-3</v>
      </c>
      <c r="H96">
        <f t="shared" si="51"/>
        <v>1.2190805962297713E-4</v>
      </c>
      <c r="I96">
        <f t="shared" si="37"/>
        <v>9.401711563059202E-5</v>
      </c>
      <c r="J96">
        <f>HLOOKUP(C96,Assumptions!$A$6:$J$7,2,TRUE)</f>
        <v>3.5200000000000002E-2</v>
      </c>
      <c r="K96" s="18">
        <f t="shared" si="45"/>
        <v>1</v>
      </c>
      <c r="L96" s="18">
        <f t="shared" si="52"/>
        <v>8.3333333333333329E-2</v>
      </c>
      <c r="M96" s="18">
        <f t="shared" si="38"/>
        <v>2.9817501439168836E-3</v>
      </c>
      <c r="N96">
        <f t="shared" si="39"/>
        <v>2.3028584422597267E-3</v>
      </c>
      <c r="O96" s="20">
        <f t="shared" si="40"/>
        <v>0.76996791295961842</v>
      </c>
      <c r="P96">
        <f>IF(B96&gt;$AF$2,0,O95*($E$2+IF(E96&lt;=Assumptions!$B$9,$D$2,0))/$I$2*K96)</f>
        <v>39.557949918571737</v>
      </c>
      <c r="Q96">
        <f t="shared" si="53"/>
        <v>26.1</v>
      </c>
      <c r="R96">
        <f>IF(B96&gt;$AF$2,0,IF($Y$2=1,(SUMIF('Mortality Tarif Male'!A:A,E97,'Mortality Tarif Male'!G:G)-SUMIF('Mortality Tarif Male'!A:A,$C$2+$H$2,'Mortality Tarif Male'!G:G)+SUMIF('Mortality Tarif Male'!A:A,$C$2+$H$2,'Mortality Tarif Male'!D:D))/SUMIF('Mortality Tarif Male'!A:A,E97,'Mortality Tarif Male'!D:D),(SUMIF('Mortality Tarif Female'!A:A,E97,'Mortality Tarif Female'!G:G)-SUMIF('Mortality Tarif Female'!A:A,$C$2+$H$2,'Mortality Tarif Female'!G:G)+SUMIF('Mortality Tarif Female'!A:A,$C$2+$H$2,'Mortality Tarif Female'!D:D))/SUMIF('Mortality Tarif Female'!A:A,E97,'Mortality Tarif Female'!D:D)))</f>
        <v>0.62412136992836209</v>
      </c>
      <c r="S96">
        <f>IF(B96&gt;=$AF$2,0,IF($Y$2=1,(SUMIF('Mortality Tarif Male'!A:A,E97+1,'Mortality Tarif Male'!G:G)-SUMIF('Mortality Tarif Male'!A:A,$C$2+$H$2,'Mortality Tarif Male'!G:G)+SUMIF('Mortality Tarif Male'!A:A,$C$2+$H$2,'Mortality Tarif Male'!D:D))/SUMIF('Mortality Tarif Male'!A:A,E97+1,'Mortality Tarif Male'!D:D),(SUMIF('Mortality Tarif Female'!A:A,E97+1,'Mortality Tarif Female'!G:G)-SUMIF('Mortality Tarif Female'!A:A,$C$2+$H$2,'Mortality Tarif Female'!G:G)+SUMIF('Mortality Tarif Female'!A:A,$C$2+$H$2,'Mortality Tarif Female'!D:D))/SUMIF('Mortality Tarif Female'!A:A,E97+1,'Mortality Tarif Female'!D:D)))</f>
        <v>0.64532391626812635</v>
      </c>
      <c r="T96">
        <f t="shared" si="54"/>
        <v>0.75</v>
      </c>
      <c r="U96">
        <f t="shared" si="55"/>
        <v>0.62942200651330316</v>
      </c>
      <c r="V96">
        <f t="shared" si="56"/>
        <v>12588.440130266063</v>
      </c>
      <c r="W96">
        <f t="shared" si="46"/>
        <v>16.427914369997215</v>
      </c>
      <c r="X96">
        <f t="shared" si="47"/>
        <v>0</v>
      </c>
      <c r="Y96">
        <f>IF(B96&gt;$AF$2,0,IF(X97=0,0,(1-X97)*($E$2+IF(E96&lt;=Assumptions!$B$9,$D$2,0))/$I$2*1/(1+$AG$2)*1/(1+Assumptions!$B$11)))</f>
        <v>0</v>
      </c>
      <c r="Z96">
        <f>IF(B96&gt;$AF$2,0,IF($Y$2=1,(SUMIF('Mortality Tarif Male'!A:A,E97,'Mortality Tarif Male'!E:E)-SUMIF('Mortality Tarif Male'!A:A,$C$2+$H$2,'Mortality Tarif Male'!E:E))/SUMIF('Mortality Tarif Male'!A:A,E97,'Mortality Tarif Male'!D:D),(SUMIF('Mortality Tarif Female'!A:A,E97,'Mortality Tarif Female'!E:E)-SUMIF('Mortality Tarif Female'!A:A,$C$2+$H$2,'Mortality Tarif Female'!E:E))/SUMIF('Mortality Tarif Female'!A:A,E97,'Mortality Tarif Female'!D:D)))</f>
        <v>11.132517500433975</v>
      </c>
      <c r="AA96">
        <f>IF(B96&gt;=$AF$2,0,IF($Y$2=1,(SUMIF('Mortality Tarif Male'!A:A,E97+1,'Mortality Tarif Male'!E:E)-SUMIF('Mortality Tarif Male'!A:A,$C$2+$H$2,'Mortality Tarif Male'!E:E))/SUMIF('Mortality Tarif Male'!A:A,E97+1,'Mortality Tarif Male'!D:D),(SUMIF('Mortality Tarif Female'!A:A,E97+1,'Mortality Tarif Female'!E:E)-SUMIF('Mortality Tarif Female'!A:A,$C$2+$H$2,'Mortality Tarif Female'!E:E))/SUMIF('Mortality Tarif Female'!A:A,E97+1,'Mortality Tarif Female'!D:D)))</f>
        <v>10.505276013394928</v>
      </c>
      <c r="AB96">
        <f t="shared" si="41"/>
        <v>2643.2220559993648</v>
      </c>
      <c r="AC96">
        <f>IF(B96&gt;=$AF$2,0,MIN(1/3*(V96+W96+Y96-AB96),(V96-AB96),(T96*Z96+(1-T96)*AA96)*$AH$2*Assumptions!$B$22))</f>
        <v>286.09257295493387</v>
      </c>
      <c r="AD96">
        <f t="shared" si="57"/>
        <v>9675.5534156817594</v>
      </c>
      <c r="AE96">
        <f t="shared" si="58"/>
        <v>9961.6459886366938</v>
      </c>
      <c r="AF96">
        <f t="shared" si="59"/>
        <v>9675.5534156817594</v>
      </c>
      <c r="AG96" s="26">
        <f t="shared" si="70"/>
        <v>0</v>
      </c>
      <c r="AH96" s="27">
        <f>IF(B96&gt;$AF$2,0,HLOOKUP(YEAR(A96),Assumptions!$A$34:$AL$37,4,TRUE)/100)</f>
        <v>9.1430000000000001E-3</v>
      </c>
      <c r="AI96">
        <f t="shared" si="60"/>
        <v>0</v>
      </c>
      <c r="AJ96">
        <f t="shared" si="61"/>
        <v>1.8827961593297988</v>
      </c>
      <c r="AK96">
        <f t="shared" si="62"/>
        <v>22.281429866837676</v>
      </c>
      <c r="AL96">
        <f>IF(E96&gt;Assumptions!$B$9,0,SUMPRODUCT($P$2:$X$2,Assumptions!$A$43:$I$43)/$I$2*O95*K96)</f>
        <v>4.3263704682892845</v>
      </c>
      <c r="AM96">
        <f t="shared" si="63"/>
        <v>0</v>
      </c>
      <c r="AN96">
        <f t="shared" si="64"/>
        <v>28.49059649445676</v>
      </c>
      <c r="AO96">
        <f>IF(E96&gt;Assumptions!$B$9,0,($V$2+$X$2)/$I$2*O95*K96*Assumptions!$B$46)</f>
        <v>0</v>
      </c>
      <c r="AP96">
        <f>IF(B96&gt;$AF$2,0,AP95*(1+Assumptions!$B$52)^(1/12))</f>
        <v>1.0730247292453137</v>
      </c>
      <c r="AQ96" s="29">
        <f>IF(B96&gt;$AF$2,0,O95*Assumptions!$B$48/12*AP95+AR96*Assumptions!$B$50/12)</f>
        <v>12.406835228228724</v>
      </c>
      <c r="AR96" s="31">
        <f t="shared" si="65"/>
        <v>7446.126852194956</v>
      </c>
      <c r="AS96">
        <f t="shared" si="48"/>
        <v>7449.8656702017915</v>
      </c>
      <c r="AT96">
        <f t="shared" si="66"/>
        <v>15.500380524862569</v>
      </c>
      <c r="AU96" s="19">
        <f t="shared" si="67"/>
        <v>7457.7775863604365</v>
      </c>
      <c r="AV96" s="19">
        <f t="shared" si="68"/>
        <v>7446.126852194956</v>
      </c>
      <c r="AW96">
        <f t="shared" si="69"/>
        <v>-12.030675261749058</v>
      </c>
      <c r="AX96">
        <f>IF(B96&gt;$AF$2,0,HLOOKUP(YEAR(A96),Assumptions!$A$34:$AL$37,2,TRUE)/100)</f>
        <v>1.5143E-2</v>
      </c>
      <c r="AY96" s="32">
        <f>1/(1+HLOOKUP(YEAR(A96),Assumptions!$A$27:$AL$29,3,TRUE))^(1/12)</f>
        <v>0.99875718171763528</v>
      </c>
      <c r="AZ96" s="30">
        <f t="shared" si="49"/>
        <v>8672.6159606508081</v>
      </c>
      <c r="BA96">
        <f>IF(B96&gt;$AF$2,0,IF($E$2=0,(T96*Z96+(1-T96)*AA96)*$J$2*Assumptions!$B$20,0))</f>
        <v>0</v>
      </c>
    </row>
    <row r="97" spans="1:53" x14ac:dyDescent="0.25">
      <c r="A97" s="17">
        <f t="shared" si="50"/>
        <v>45716</v>
      </c>
      <c r="B97">
        <f t="shared" si="42"/>
        <v>316</v>
      </c>
      <c r="C97">
        <f t="shared" si="43"/>
        <v>26.25</v>
      </c>
      <c r="D97">
        <f t="shared" si="36"/>
        <v>0</v>
      </c>
      <c r="E97">
        <f t="shared" si="44"/>
        <v>49</v>
      </c>
      <c r="F97">
        <f>IF(C97&gt;=$H$2,0,VLOOKUP($E97,'Mortality Table'!$A$3:$C$128,2+AB$2,FALSE))</f>
        <v>1.3505000000000001E-3</v>
      </c>
      <c r="G97">
        <f>F97*Assumptions!$B$1</f>
        <v>1.4619162500000003E-3</v>
      </c>
      <c r="H97">
        <f t="shared" si="51"/>
        <v>1.2190805962297713E-4</v>
      </c>
      <c r="I97">
        <f t="shared" si="37"/>
        <v>9.3725352813554672E-5</v>
      </c>
      <c r="J97">
        <f>HLOOKUP(C97,Assumptions!$A$6:$J$7,2,TRUE)</f>
        <v>3.5200000000000002E-2</v>
      </c>
      <c r="K97" s="18">
        <f t="shared" si="45"/>
        <v>1</v>
      </c>
      <c r="L97" s="18">
        <f t="shared" si="52"/>
        <v>8.3333333333333329E-2</v>
      </c>
      <c r="M97" s="18">
        <f t="shared" si="38"/>
        <v>2.9817501439168836E-3</v>
      </c>
      <c r="N97">
        <f t="shared" si="39"/>
        <v>2.2957119938514189E-3</v>
      </c>
      <c r="O97" s="20">
        <f t="shared" si="40"/>
        <v>0.76757847561295345</v>
      </c>
      <c r="P97">
        <f>IF(B97&gt;$AF$2,0,O96*($E$2+IF(E97&lt;=Assumptions!$B$9,$D$2,0))/$I$2*K97)</f>
        <v>39.435189942081784</v>
      </c>
      <c r="Q97">
        <f t="shared" si="53"/>
        <v>26.1</v>
      </c>
      <c r="R97">
        <f>IF(B97&gt;$AF$2,0,IF($Y$2=1,(SUMIF('Mortality Tarif Male'!A:A,E98,'Mortality Tarif Male'!G:G)-SUMIF('Mortality Tarif Male'!A:A,$C$2+$H$2,'Mortality Tarif Male'!G:G)+SUMIF('Mortality Tarif Male'!A:A,$C$2+$H$2,'Mortality Tarif Male'!D:D))/SUMIF('Mortality Tarif Male'!A:A,E98,'Mortality Tarif Male'!D:D),(SUMIF('Mortality Tarif Female'!A:A,E98,'Mortality Tarif Female'!G:G)-SUMIF('Mortality Tarif Female'!A:A,$C$2+$H$2,'Mortality Tarif Female'!G:G)+SUMIF('Mortality Tarif Female'!A:A,$C$2+$H$2,'Mortality Tarif Female'!D:D))/SUMIF('Mortality Tarif Female'!A:A,E98,'Mortality Tarif Female'!D:D)))</f>
        <v>0.62412136992836209</v>
      </c>
      <c r="S97">
        <f>IF(B97&gt;=$AF$2,0,IF($Y$2=1,(SUMIF('Mortality Tarif Male'!A:A,E98+1,'Mortality Tarif Male'!G:G)-SUMIF('Mortality Tarif Male'!A:A,$C$2+$H$2,'Mortality Tarif Male'!G:G)+SUMIF('Mortality Tarif Male'!A:A,$C$2+$H$2,'Mortality Tarif Male'!D:D))/SUMIF('Mortality Tarif Male'!A:A,E98+1,'Mortality Tarif Male'!D:D),(SUMIF('Mortality Tarif Female'!A:A,E98+1,'Mortality Tarif Female'!G:G)-SUMIF('Mortality Tarif Female'!A:A,$C$2+$H$2,'Mortality Tarif Female'!G:G)+SUMIF('Mortality Tarif Female'!A:A,$C$2+$H$2,'Mortality Tarif Female'!D:D))/SUMIF('Mortality Tarif Female'!A:A,E98+1,'Mortality Tarif Female'!D:D)))</f>
        <v>0.64532391626812635</v>
      </c>
      <c r="T97">
        <f t="shared" si="54"/>
        <v>0.66666666666666785</v>
      </c>
      <c r="U97">
        <f t="shared" si="55"/>
        <v>0.6311888853749501</v>
      </c>
      <c r="V97">
        <f t="shared" si="56"/>
        <v>12623.777707499003</v>
      </c>
      <c r="W97">
        <f t="shared" si="46"/>
        <v>16.474029908286198</v>
      </c>
      <c r="X97">
        <f t="shared" si="47"/>
        <v>0</v>
      </c>
      <c r="Y97">
        <f>IF(B97&gt;$AF$2,0,IF(X98=0,0,(1-X98)*($E$2+IF(E97&lt;=Assumptions!$B$9,$D$2,0))/$I$2*1/(1+$AG$2)*1/(1+Assumptions!$B$11)))</f>
        <v>0</v>
      </c>
      <c r="Z97">
        <f>IF(B97&gt;$AF$2,0,IF($Y$2=1,(SUMIF('Mortality Tarif Male'!A:A,E98,'Mortality Tarif Male'!E:E)-SUMIF('Mortality Tarif Male'!A:A,$C$2+$H$2,'Mortality Tarif Male'!E:E))/SUMIF('Mortality Tarif Male'!A:A,E98,'Mortality Tarif Male'!D:D),(SUMIF('Mortality Tarif Female'!A:A,E98,'Mortality Tarif Female'!E:E)-SUMIF('Mortality Tarif Female'!A:A,$C$2+$H$2,'Mortality Tarif Female'!E:E))/SUMIF('Mortality Tarif Female'!A:A,E98,'Mortality Tarif Female'!D:D)))</f>
        <v>11.132517500433975</v>
      </c>
      <c r="AA97">
        <f>IF(B97&gt;=$AF$2,0,IF($Y$2=1,(SUMIF('Mortality Tarif Male'!A:A,E98+1,'Mortality Tarif Male'!E:E)-SUMIF('Mortality Tarif Male'!A:A,$C$2+$H$2,'Mortality Tarif Male'!E:E))/SUMIF('Mortality Tarif Male'!A:A,E98+1,'Mortality Tarif Male'!D:D),(SUMIF('Mortality Tarif Female'!A:A,E98+1,'Mortality Tarif Female'!E:E)-SUMIF('Mortality Tarif Female'!A:A,$C$2+$H$2,'Mortality Tarif Female'!E:E))/SUMIF('Mortality Tarif Female'!A:A,E98+1,'Mortality Tarif Female'!D:D)))</f>
        <v>10.505276013394928</v>
      </c>
      <c r="AB97">
        <f t="shared" si="41"/>
        <v>2630.6341158516184</v>
      </c>
      <c r="AC97">
        <f>IF(B97&gt;=$AF$2,0,MIN(1/3*(V97+W97+Y97-AB97),(V97-AB97),(T97*Z97+(1-T97)*AA97)*$AH$2*Assumptions!$B$22))</f>
        <v>284.73010090045869</v>
      </c>
      <c r="AD97">
        <f t="shared" si="57"/>
        <v>9724.8875206552111</v>
      </c>
      <c r="AE97">
        <f t="shared" si="58"/>
        <v>10009.61762155567</v>
      </c>
      <c r="AF97">
        <f t="shared" si="59"/>
        <v>9724.8875206552111</v>
      </c>
      <c r="AG97" s="26">
        <f t="shared" si="70"/>
        <v>0</v>
      </c>
      <c r="AH97" s="27">
        <f>IF(B97&gt;$AF$2,0,HLOOKUP(YEAR(A97),Assumptions!$A$34:$AL$37,4,TRUE)/100)</f>
        <v>9.1430000000000001E-3</v>
      </c>
      <c r="AI97">
        <f t="shared" si="60"/>
        <v>0</v>
      </c>
      <c r="AJ97">
        <f t="shared" si="61"/>
        <v>1.876953287979527</v>
      </c>
      <c r="AK97">
        <f t="shared" si="62"/>
        <v>22.325540920024157</v>
      </c>
      <c r="AL97">
        <f>IF(E97&gt;Assumptions!$B$9,0,SUMPRODUCT($P$2:$X$2,Assumptions!$A$43:$I$43)/$I$2*O96*K97)</f>
        <v>4.3129444657267841</v>
      </c>
      <c r="AM97">
        <f t="shared" si="63"/>
        <v>0</v>
      </c>
      <c r="AN97">
        <f t="shared" si="64"/>
        <v>28.515438673730468</v>
      </c>
      <c r="AO97">
        <f>IF(E97&gt;Assumptions!$B$9,0,($V$2+$X$2)/$I$2*O96*K97*Assumptions!$B$46)</f>
        <v>0</v>
      </c>
      <c r="AP97">
        <f>IF(B97&gt;$AF$2,0,AP96*(1+Assumptions!$B$52)^(1/12))</f>
        <v>1.0739148441558586</v>
      </c>
      <c r="AQ97" s="29">
        <f>IF(B97&gt;$AF$2,0,O96*Assumptions!$B$48/12*AP96+AR97*Assumptions!$B$50/12)</f>
        <v>12.38337751951101</v>
      </c>
      <c r="AR97" s="31">
        <f t="shared" si="65"/>
        <v>7448.9743287503825</v>
      </c>
      <c r="AS97">
        <f t="shared" si="48"/>
        <v>7464.6143386119611</v>
      </c>
      <c r="AT97">
        <f t="shared" si="66"/>
        <v>15.452278276067211</v>
      </c>
      <c r="AU97" s="19">
        <f t="shared" si="67"/>
        <v>7460.5738628968866</v>
      </c>
      <c r="AV97" s="19">
        <f t="shared" si="68"/>
        <v>7461.0050040121314</v>
      </c>
      <c r="AW97">
        <f t="shared" si="69"/>
        <v>-24.100559779037312</v>
      </c>
      <c r="AX97">
        <f>IF(B97&gt;$AF$2,0,HLOOKUP(YEAR(A97),Assumptions!$A$34:$AL$37,2,TRUE)/100)</f>
        <v>1.5143E-2</v>
      </c>
      <c r="AY97" s="32">
        <f>1/(1+HLOOKUP(YEAR(A97),Assumptions!$A$27:$AL$29,3,TRUE))^(1/12)</f>
        <v>0.99875718171763528</v>
      </c>
      <c r="AZ97" s="30">
        <f t="shared" si="49"/>
        <v>8681.9442324396587</v>
      </c>
      <c r="BA97">
        <f>IF(B97&gt;$AF$2,0,IF($E$2=0,(T97*Z97+(1-T97)*AA97)*$J$2*Assumptions!$B$20,0))</f>
        <v>0</v>
      </c>
    </row>
    <row r="98" spans="1:53" x14ac:dyDescent="0.25">
      <c r="A98" s="17">
        <f t="shared" si="50"/>
        <v>45747</v>
      </c>
      <c r="B98">
        <f t="shared" si="42"/>
        <v>317</v>
      </c>
      <c r="C98">
        <f t="shared" si="43"/>
        <v>26.333333333333332</v>
      </c>
      <c r="D98">
        <f t="shared" si="36"/>
        <v>0</v>
      </c>
      <c r="E98">
        <f t="shared" si="44"/>
        <v>49</v>
      </c>
      <c r="F98">
        <f>IF(C98&gt;=$H$2,0,VLOOKUP($E98,'Mortality Table'!$A$3:$C$128,2+AB$2,FALSE))</f>
        <v>1.3505000000000001E-3</v>
      </c>
      <c r="G98">
        <f>F98*Assumptions!$B$1</f>
        <v>1.4619162500000003E-3</v>
      </c>
      <c r="H98">
        <f t="shared" si="51"/>
        <v>1.2190805962297713E-4</v>
      </c>
      <c r="I98">
        <f t="shared" si="37"/>
        <v>9.3434495422522329E-5</v>
      </c>
      <c r="J98">
        <f>HLOOKUP(C98,Assumptions!$A$6:$J$7,2,TRUE)</f>
        <v>3.5200000000000002E-2</v>
      </c>
      <c r="K98" s="18">
        <f t="shared" si="45"/>
        <v>1</v>
      </c>
      <c r="L98" s="18">
        <f t="shared" si="52"/>
        <v>8.3333333333333329E-2</v>
      </c>
      <c r="M98" s="18">
        <f t="shared" si="38"/>
        <v>2.9817501439168836E-3</v>
      </c>
      <c r="N98">
        <f t="shared" si="39"/>
        <v>2.2885877229786105E-3</v>
      </c>
      <c r="O98" s="20">
        <f t="shared" si="40"/>
        <v>0.76519645339455233</v>
      </c>
      <c r="P98">
        <f>IF(B98&gt;$AF$2,0,O97*($E$2+IF(E98&lt;=Assumptions!$B$9,$D$2,0))/$I$2*K98)</f>
        <v>39.312810925976756</v>
      </c>
      <c r="Q98">
        <f t="shared" si="53"/>
        <v>26.1</v>
      </c>
      <c r="R98">
        <f>IF(B98&gt;$AF$2,0,IF($Y$2=1,(SUMIF('Mortality Tarif Male'!A:A,E99,'Mortality Tarif Male'!G:G)-SUMIF('Mortality Tarif Male'!A:A,$C$2+$H$2,'Mortality Tarif Male'!G:G)+SUMIF('Mortality Tarif Male'!A:A,$C$2+$H$2,'Mortality Tarif Male'!D:D))/SUMIF('Mortality Tarif Male'!A:A,E99,'Mortality Tarif Male'!D:D),(SUMIF('Mortality Tarif Female'!A:A,E99,'Mortality Tarif Female'!G:G)-SUMIF('Mortality Tarif Female'!A:A,$C$2+$H$2,'Mortality Tarif Female'!G:G)+SUMIF('Mortality Tarif Female'!A:A,$C$2+$H$2,'Mortality Tarif Female'!D:D))/SUMIF('Mortality Tarif Female'!A:A,E99,'Mortality Tarif Female'!D:D)))</f>
        <v>0.62412136992836209</v>
      </c>
      <c r="S98">
        <f>IF(B98&gt;=$AF$2,0,IF($Y$2=1,(SUMIF('Mortality Tarif Male'!A:A,E99+1,'Mortality Tarif Male'!G:G)-SUMIF('Mortality Tarif Male'!A:A,$C$2+$H$2,'Mortality Tarif Male'!G:G)+SUMIF('Mortality Tarif Male'!A:A,$C$2+$H$2,'Mortality Tarif Male'!D:D))/SUMIF('Mortality Tarif Male'!A:A,E99+1,'Mortality Tarif Male'!D:D),(SUMIF('Mortality Tarif Female'!A:A,E99+1,'Mortality Tarif Female'!G:G)-SUMIF('Mortality Tarif Female'!A:A,$C$2+$H$2,'Mortality Tarif Female'!G:G)+SUMIF('Mortality Tarif Female'!A:A,$C$2+$H$2,'Mortality Tarif Female'!D:D))/SUMIF('Mortality Tarif Female'!A:A,E99+1,'Mortality Tarif Female'!D:D)))</f>
        <v>0.64532391626812635</v>
      </c>
      <c r="T98">
        <f t="shared" si="54"/>
        <v>0.58333333333333215</v>
      </c>
      <c r="U98">
        <f t="shared" si="55"/>
        <v>0.63295576423659727</v>
      </c>
      <c r="V98">
        <f t="shared" si="56"/>
        <v>12659.115284731946</v>
      </c>
      <c r="W98">
        <f t="shared" si="46"/>
        <v>16.520145446575189</v>
      </c>
      <c r="X98">
        <f t="shared" si="47"/>
        <v>0</v>
      </c>
      <c r="Y98">
        <f>IF(B98&gt;$AF$2,0,IF(X99=0,0,(1-X99)*($E$2+IF(E98&lt;=Assumptions!$B$9,$D$2,0))/$I$2*1/(1+$AG$2)*1/(1+Assumptions!$B$11)))</f>
        <v>0</v>
      </c>
      <c r="Z98">
        <f>IF(B98&gt;$AF$2,0,IF($Y$2=1,(SUMIF('Mortality Tarif Male'!A:A,E99,'Mortality Tarif Male'!E:E)-SUMIF('Mortality Tarif Male'!A:A,$C$2+$H$2,'Mortality Tarif Male'!E:E))/SUMIF('Mortality Tarif Male'!A:A,E99,'Mortality Tarif Male'!D:D),(SUMIF('Mortality Tarif Female'!A:A,E99,'Mortality Tarif Female'!E:E)-SUMIF('Mortality Tarif Female'!A:A,$C$2+$H$2,'Mortality Tarif Female'!E:E))/SUMIF('Mortality Tarif Female'!A:A,E99,'Mortality Tarif Female'!D:D)))</f>
        <v>11.132517500433975</v>
      </c>
      <c r="AA98">
        <f>IF(B98&gt;=$AF$2,0,IF($Y$2=1,(SUMIF('Mortality Tarif Male'!A:A,E99+1,'Mortality Tarif Male'!E:E)-SUMIF('Mortality Tarif Male'!A:A,$C$2+$H$2,'Mortality Tarif Male'!E:E))/SUMIF('Mortality Tarif Male'!A:A,E99+1,'Mortality Tarif Male'!D:D),(SUMIF('Mortality Tarif Female'!A:A,E99+1,'Mortality Tarif Female'!E:E)-SUMIF('Mortality Tarif Female'!A:A,$C$2+$H$2,'Mortality Tarif Female'!E:E))/SUMIF('Mortality Tarif Female'!A:A,E99+1,'Mortality Tarif Female'!D:D)))</f>
        <v>10.505276013394928</v>
      </c>
      <c r="AB98">
        <f t="shared" si="41"/>
        <v>2618.0461757038702</v>
      </c>
      <c r="AC98">
        <f>IF(B98&gt;=$AF$2,0,MIN(1/3*(V98+W98+Y98-AB98),(V98-AB98),(T98*Z98+(1-T98)*AA98)*$AH$2*Assumptions!$B$22))</f>
        <v>283.36762884598335</v>
      </c>
      <c r="AD98">
        <f t="shared" si="57"/>
        <v>9774.2216256286683</v>
      </c>
      <c r="AE98">
        <f t="shared" si="58"/>
        <v>10057.589254474651</v>
      </c>
      <c r="AF98">
        <f t="shared" si="59"/>
        <v>9774.2216256286683</v>
      </c>
      <c r="AG98" s="26">
        <f t="shared" si="70"/>
        <v>0</v>
      </c>
      <c r="AH98" s="27">
        <f>IF(B98&gt;$AF$2,0,HLOOKUP(YEAR(A98),Assumptions!$A$34:$AL$37,4,TRUE)/100)</f>
        <v>9.1430000000000001E-3</v>
      </c>
      <c r="AI98">
        <f t="shared" si="60"/>
        <v>0</v>
      </c>
      <c r="AJ98">
        <f t="shared" si="61"/>
        <v>1.8711285487809743</v>
      </c>
      <c r="AK98">
        <f t="shared" si="62"/>
        <v>22.369163614085807</v>
      </c>
      <c r="AL98">
        <f>IF(E98&gt;Assumptions!$B$9,0,SUMPRODUCT($P$2:$X$2,Assumptions!$A$43:$I$43)/$I$2*O97*K98)</f>
        <v>4.2995601280069335</v>
      </c>
      <c r="AM98">
        <f t="shared" si="63"/>
        <v>0</v>
      </c>
      <c r="AN98">
        <f t="shared" si="64"/>
        <v>28.539852290873714</v>
      </c>
      <c r="AO98">
        <f>IF(E98&gt;Assumptions!$B$9,0,($V$2+$X$2)/$I$2*O97*K98*Assumptions!$B$46)</f>
        <v>0</v>
      </c>
      <c r="AP98">
        <f>IF(B98&gt;$AF$2,0,AP97*(1+Assumptions!$B$52)^(1/12))</f>
        <v>1.0748056974506479</v>
      </c>
      <c r="AQ98" s="29">
        <f>IF(B98&gt;$AF$2,0,O97*Assumptions!$B$48/12*AP97+AR98*Assumptions!$B$50/12)</f>
        <v>12.359925653254614</v>
      </c>
      <c r="AR98" s="31">
        <f t="shared" si="65"/>
        <v>7451.6185440076424</v>
      </c>
      <c r="AS98">
        <f t="shared" si="48"/>
        <v>7479.1997226233925</v>
      </c>
      <c r="AT98">
        <f t="shared" si="66"/>
        <v>15.4043253027258</v>
      </c>
      <c r="AU98" s="19">
        <f t="shared" si="67"/>
        <v>7463.1671039776393</v>
      </c>
      <c r="AV98" s="19">
        <f t="shared" si="68"/>
        <v>7475.7191037866796</v>
      </c>
      <c r="AW98">
        <f t="shared" si="69"/>
        <v>-36.209437027644867</v>
      </c>
      <c r="AX98">
        <f>IF(B98&gt;$AF$2,0,HLOOKUP(YEAR(A98),Assumptions!$A$34:$AL$37,2,TRUE)/100)</f>
        <v>1.5143E-2</v>
      </c>
      <c r="AY98" s="32">
        <f>1/(1+HLOOKUP(YEAR(A98),Assumptions!$A$27:$AL$29,3,TRUE))^(1/12)</f>
        <v>0.99875718171763528</v>
      </c>
      <c r="AZ98" s="30">
        <f t="shared" si="49"/>
        <v>8691.1607712345904</v>
      </c>
      <c r="BA98">
        <f>IF(B98&gt;$AF$2,0,IF($E$2=0,(T98*Z98+(1-T98)*AA98)*$J$2*Assumptions!$B$20,0))</f>
        <v>0</v>
      </c>
    </row>
    <row r="99" spans="1:53" x14ac:dyDescent="0.25">
      <c r="A99" s="17">
        <f t="shared" si="50"/>
        <v>45777</v>
      </c>
      <c r="B99">
        <f t="shared" si="42"/>
        <v>318</v>
      </c>
      <c r="C99">
        <f t="shared" si="43"/>
        <v>26.416666666666668</v>
      </c>
      <c r="D99">
        <f t="shared" si="36"/>
        <v>0</v>
      </c>
      <c r="E99">
        <f t="shared" si="44"/>
        <v>49</v>
      </c>
      <c r="F99">
        <f>IF(C99&gt;=$H$2,0,VLOOKUP($E99,'Mortality Table'!$A$3:$C$128,2+AB$2,FALSE))</f>
        <v>1.3505000000000001E-3</v>
      </c>
      <c r="G99">
        <f>F99*Assumptions!$B$1</f>
        <v>1.4619162500000003E-3</v>
      </c>
      <c r="H99">
        <f t="shared" si="51"/>
        <v>1.2190805962297713E-4</v>
      </c>
      <c r="I99">
        <f t="shared" si="37"/>
        <v>9.314454064769125E-5</v>
      </c>
      <c r="J99">
        <f>HLOOKUP(C99,Assumptions!$A$6:$J$7,2,TRUE)</f>
        <v>3.5200000000000002E-2</v>
      </c>
      <c r="K99" s="18">
        <f t="shared" si="45"/>
        <v>1</v>
      </c>
      <c r="L99" s="18">
        <f t="shared" si="52"/>
        <v>8.3333333333333329E-2</v>
      </c>
      <c r="M99" s="18">
        <f t="shared" si="38"/>
        <v>2.9817501439168836E-3</v>
      </c>
      <c r="N99">
        <f t="shared" si="39"/>
        <v>2.2814855608178728E-3</v>
      </c>
      <c r="O99" s="20">
        <f t="shared" si="40"/>
        <v>0.76282182329308679</v>
      </c>
      <c r="P99">
        <f>IF(B99&gt;$AF$2,0,O98*($E$2+IF(E99&lt;=Assumptions!$B$9,$D$2,0))/$I$2*K99)</f>
        <v>39.190811688024318</v>
      </c>
      <c r="Q99">
        <f t="shared" si="53"/>
        <v>26.1</v>
      </c>
      <c r="R99">
        <f>IF(B99&gt;$AF$2,0,IF($Y$2=1,(SUMIF('Mortality Tarif Male'!A:A,E100,'Mortality Tarif Male'!G:G)-SUMIF('Mortality Tarif Male'!A:A,$C$2+$H$2,'Mortality Tarif Male'!G:G)+SUMIF('Mortality Tarif Male'!A:A,$C$2+$H$2,'Mortality Tarif Male'!D:D))/SUMIF('Mortality Tarif Male'!A:A,E100,'Mortality Tarif Male'!D:D),(SUMIF('Mortality Tarif Female'!A:A,E100,'Mortality Tarif Female'!G:G)-SUMIF('Mortality Tarif Female'!A:A,$C$2+$H$2,'Mortality Tarif Female'!G:G)+SUMIF('Mortality Tarif Female'!A:A,$C$2+$H$2,'Mortality Tarif Female'!D:D))/SUMIF('Mortality Tarif Female'!A:A,E100,'Mortality Tarif Female'!D:D)))</f>
        <v>0.62412136992836209</v>
      </c>
      <c r="S99">
        <f>IF(B99&gt;=$AF$2,0,IF($Y$2=1,(SUMIF('Mortality Tarif Male'!A:A,E100+1,'Mortality Tarif Male'!G:G)-SUMIF('Mortality Tarif Male'!A:A,$C$2+$H$2,'Mortality Tarif Male'!G:G)+SUMIF('Mortality Tarif Male'!A:A,$C$2+$H$2,'Mortality Tarif Male'!D:D))/SUMIF('Mortality Tarif Male'!A:A,E100+1,'Mortality Tarif Male'!D:D),(SUMIF('Mortality Tarif Female'!A:A,E100+1,'Mortality Tarif Female'!G:G)-SUMIF('Mortality Tarif Female'!A:A,$C$2+$H$2,'Mortality Tarif Female'!G:G)+SUMIF('Mortality Tarif Female'!A:A,$C$2+$H$2,'Mortality Tarif Female'!D:D))/SUMIF('Mortality Tarif Female'!A:A,E100+1,'Mortality Tarif Female'!D:D)))</f>
        <v>0.64532391626812635</v>
      </c>
      <c r="T99">
        <f t="shared" si="54"/>
        <v>0.5</v>
      </c>
      <c r="U99">
        <f t="shared" si="55"/>
        <v>0.63472264309824422</v>
      </c>
      <c r="V99">
        <f t="shared" si="56"/>
        <v>12694.452861964885</v>
      </c>
      <c r="W99">
        <f t="shared" si="46"/>
        <v>16.566260984864176</v>
      </c>
      <c r="X99">
        <f t="shared" si="47"/>
        <v>0</v>
      </c>
      <c r="Y99">
        <f>IF(B99&gt;$AF$2,0,IF(X100=0,0,(1-X100)*($E$2+IF(E99&lt;=Assumptions!$B$9,$D$2,0))/$I$2*1/(1+$AG$2)*1/(1+Assumptions!$B$11)))</f>
        <v>0</v>
      </c>
      <c r="Z99">
        <f>IF(B99&gt;$AF$2,0,IF($Y$2=1,(SUMIF('Mortality Tarif Male'!A:A,E100,'Mortality Tarif Male'!E:E)-SUMIF('Mortality Tarif Male'!A:A,$C$2+$H$2,'Mortality Tarif Male'!E:E))/SUMIF('Mortality Tarif Male'!A:A,E100,'Mortality Tarif Male'!D:D),(SUMIF('Mortality Tarif Female'!A:A,E100,'Mortality Tarif Female'!E:E)-SUMIF('Mortality Tarif Female'!A:A,$C$2+$H$2,'Mortality Tarif Female'!E:E))/SUMIF('Mortality Tarif Female'!A:A,E100,'Mortality Tarif Female'!D:D)))</f>
        <v>11.132517500433975</v>
      </c>
      <c r="AA99">
        <f>IF(B99&gt;=$AF$2,0,IF($Y$2=1,(SUMIF('Mortality Tarif Male'!A:A,E100+1,'Mortality Tarif Male'!E:E)-SUMIF('Mortality Tarif Male'!A:A,$C$2+$H$2,'Mortality Tarif Male'!E:E))/SUMIF('Mortality Tarif Male'!A:A,E100+1,'Mortality Tarif Male'!D:D),(SUMIF('Mortality Tarif Female'!A:A,E100+1,'Mortality Tarif Female'!E:E)-SUMIF('Mortality Tarif Female'!A:A,$C$2+$H$2,'Mortality Tarif Female'!E:E))/SUMIF('Mortality Tarif Female'!A:A,E100+1,'Mortality Tarif Female'!D:D)))</f>
        <v>10.505276013394928</v>
      </c>
      <c r="AB99">
        <f t="shared" si="41"/>
        <v>2605.4582355561233</v>
      </c>
      <c r="AC99">
        <f>IF(B99&gt;=$AF$2,0,MIN(1/3*(V99+W99+Y99-AB99),(V99-AB99),(T99*Z99+(1-T99)*AA99)*$AH$2*Assumptions!$B$22))</f>
        <v>282.00515679150811</v>
      </c>
      <c r="AD99">
        <f t="shared" si="57"/>
        <v>9823.5557306021165</v>
      </c>
      <c r="AE99">
        <f t="shared" si="58"/>
        <v>10105.560887393625</v>
      </c>
      <c r="AF99">
        <f t="shared" si="59"/>
        <v>9823.5557306021165</v>
      </c>
      <c r="AG99" s="26">
        <f t="shared" si="70"/>
        <v>0</v>
      </c>
      <c r="AH99" s="27">
        <f>IF(B99&gt;$AF$2,0,HLOOKUP(YEAR(A99),Assumptions!$A$34:$AL$37,4,TRUE)/100)</f>
        <v>9.1430000000000001E-3</v>
      </c>
      <c r="AI99">
        <f t="shared" si="60"/>
        <v>0</v>
      </c>
      <c r="AJ99">
        <f t="shared" si="61"/>
        <v>1.8653218854647295</v>
      </c>
      <c r="AK99">
        <f t="shared" si="62"/>
        <v>22.412300555258398</v>
      </c>
      <c r="AL99">
        <f>IF(E99&gt;Assumptions!$B$9,0,SUMPRODUCT($P$2:$X$2,Assumptions!$A$43:$I$43)/$I$2*O98*K99)</f>
        <v>4.2862173258314487</v>
      </c>
      <c r="AM99">
        <f t="shared" si="63"/>
        <v>0</v>
      </c>
      <c r="AN99">
        <f t="shared" si="64"/>
        <v>28.563839766554576</v>
      </c>
      <c r="AO99">
        <f>IF(E99&gt;Assumptions!$B$9,0,($V$2+$X$2)/$I$2*O98*K99*Assumptions!$B$46)</f>
        <v>0</v>
      </c>
      <c r="AP99">
        <f>IF(B99&gt;$AF$2,0,AP98*(1+Assumptions!$B$52)^(1/12))</f>
        <v>1.0756972897421997</v>
      </c>
      <c r="AQ99" s="29">
        <f>IF(B99&gt;$AF$2,0,O98*Assumptions!$B$48/12*AP98+AR99*Assumptions!$B$50/12)</f>
        <v>12.336479768109239</v>
      </c>
      <c r="AR99" s="31">
        <f t="shared" si="65"/>
        <v>7454.0605894115088</v>
      </c>
      <c r="AS99">
        <f t="shared" si="48"/>
        <v>7493.6226936391577</v>
      </c>
      <c r="AT99">
        <f t="shared" si="66"/>
        <v>15.356521141592609</v>
      </c>
      <c r="AU99" s="19">
        <f t="shared" si="67"/>
        <v>7465.5584001898314</v>
      </c>
      <c r="AV99" s="19">
        <f t="shared" si="68"/>
        <v>7490.2700264391533</v>
      </c>
      <c r="AW99">
        <f t="shared" si="69"/>
        <v>-48.357091628390421</v>
      </c>
      <c r="AX99">
        <f>IF(B99&gt;$AF$2,0,HLOOKUP(YEAR(A99),Assumptions!$A$34:$AL$37,2,TRUE)/100)</f>
        <v>1.5143E-2</v>
      </c>
      <c r="AY99" s="32">
        <f>1/(1+HLOOKUP(YEAR(A99),Assumptions!$A$27:$AL$29,3,TRUE))^(1/12)</f>
        <v>0.99875718171763528</v>
      </c>
      <c r="AZ99" s="30">
        <f t="shared" si="49"/>
        <v>8700.2662379375051</v>
      </c>
      <c r="BA99">
        <f>IF(B99&gt;$AF$2,0,IF($E$2=0,(T99*Z99+(1-T99)*AA99)*$J$2*Assumptions!$B$20,0))</f>
        <v>0</v>
      </c>
    </row>
    <row r="100" spans="1:53" x14ac:dyDescent="0.25">
      <c r="A100" s="17">
        <f t="shared" si="50"/>
        <v>45808</v>
      </c>
      <c r="B100">
        <f t="shared" si="42"/>
        <v>319</v>
      </c>
      <c r="C100">
        <f t="shared" si="43"/>
        <v>26.5</v>
      </c>
      <c r="D100">
        <f t="shared" ref="D100:D163" si="71">IF(C100-INT(C100)=0,1,0)</f>
        <v>0</v>
      </c>
      <c r="E100">
        <f t="shared" si="44"/>
        <v>49</v>
      </c>
      <c r="F100">
        <f>IF(C100&gt;=$H$2,0,VLOOKUP($E100,'Mortality Table'!$A$3:$C$128,2+AB$2,FALSE))</f>
        <v>1.3505000000000001E-3</v>
      </c>
      <c r="G100">
        <f>F100*Assumptions!$B$1</f>
        <v>1.4619162500000003E-3</v>
      </c>
      <c r="H100">
        <f t="shared" si="51"/>
        <v>1.2190805962297713E-4</v>
      </c>
      <c r="I100">
        <f t="shared" ref="I100:I163" si="72">H100*O99*(1-M100/2)</f>
        <v>9.2855485687977335E-5</v>
      </c>
      <c r="J100">
        <f>HLOOKUP(C100,Assumptions!$A$6:$J$7,2,TRUE)</f>
        <v>3.5200000000000002E-2</v>
      </c>
      <c r="K100" s="18">
        <f t="shared" si="45"/>
        <v>1</v>
      </c>
      <c r="L100" s="18">
        <f t="shared" si="52"/>
        <v>8.3333333333333329E-2</v>
      </c>
      <c r="M100" s="18">
        <f t="shared" ref="M100:M163" si="73">(1-(1-J100)^L100)</f>
        <v>2.9817501439168836E-3</v>
      </c>
      <c r="N100">
        <f t="shared" ref="N100:N163" si="74">M100*O99*(1-H100/2)</f>
        <v>2.2744054387593563E-3</v>
      </c>
      <c r="O100" s="20">
        <f t="shared" ref="O100:O163" si="75">IF(B100&gt;$AF$2,0,O99-I100-N100)</f>
        <v>0.76045456236863951</v>
      </c>
      <c r="P100">
        <f>IF(B100&gt;$AF$2,0,O99*($E$2+IF(E100&lt;=Assumptions!$B$9,$D$2,0))/$I$2*K100)</f>
        <v>39.069191049660922</v>
      </c>
      <c r="Q100">
        <f t="shared" si="53"/>
        <v>26.1</v>
      </c>
      <c r="R100">
        <f>IF(B100&gt;$AF$2,0,IF($Y$2=1,(SUMIF('Mortality Tarif Male'!A:A,E101,'Mortality Tarif Male'!G:G)-SUMIF('Mortality Tarif Male'!A:A,$C$2+$H$2,'Mortality Tarif Male'!G:G)+SUMIF('Mortality Tarif Male'!A:A,$C$2+$H$2,'Mortality Tarif Male'!D:D))/SUMIF('Mortality Tarif Male'!A:A,E101,'Mortality Tarif Male'!D:D),(SUMIF('Mortality Tarif Female'!A:A,E101,'Mortality Tarif Female'!G:G)-SUMIF('Mortality Tarif Female'!A:A,$C$2+$H$2,'Mortality Tarif Female'!G:G)+SUMIF('Mortality Tarif Female'!A:A,$C$2+$H$2,'Mortality Tarif Female'!D:D))/SUMIF('Mortality Tarif Female'!A:A,E101,'Mortality Tarif Female'!D:D)))</f>
        <v>0.62412136992836209</v>
      </c>
      <c r="S100">
        <f>IF(B100&gt;=$AF$2,0,IF($Y$2=1,(SUMIF('Mortality Tarif Male'!A:A,E101+1,'Mortality Tarif Male'!G:G)-SUMIF('Mortality Tarif Male'!A:A,$C$2+$H$2,'Mortality Tarif Male'!G:G)+SUMIF('Mortality Tarif Male'!A:A,$C$2+$H$2,'Mortality Tarif Male'!D:D))/SUMIF('Mortality Tarif Male'!A:A,E101+1,'Mortality Tarif Male'!D:D),(SUMIF('Mortality Tarif Female'!A:A,E101+1,'Mortality Tarif Female'!G:G)-SUMIF('Mortality Tarif Female'!A:A,$C$2+$H$2,'Mortality Tarif Female'!G:G)+SUMIF('Mortality Tarif Female'!A:A,$C$2+$H$2,'Mortality Tarif Female'!D:D))/SUMIF('Mortality Tarif Female'!A:A,E101+1,'Mortality Tarif Female'!D:D)))</f>
        <v>0.64532391626812635</v>
      </c>
      <c r="T100">
        <f t="shared" si="54"/>
        <v>0.41666666666666785</v>
      </c>
      <c r="U100">
        <f t="shared" si="55"/>
        <v>0.63648952195989117</v>
      </c>
      <c r="V100">
        <f t="shared" si="56"/>
        <v>12729.790439197823</v>
      </c>
      <c r="W100">
        <f t="shared" si="46"/>
        <v>16.612376523153159</v>
      </c>
      <c r="X100">
        <f t="shared" si="47"/>
        <v>0</v>
      </c>
      <c r="Y100">
        <f>IF(B100&gt;$AF$2,0,IF(X101=0,0,(1-X101)*($E$2+IF(E100&lt;=Assumptions!$B$9,$D$2,0))/$I$2*1/(1+$AG$2)*1/(1+Assumptions!$B$11)))</f>
        <v>0</v>
      </c>
      <c r="Z100">
        <f>IF(B100&gt;$AF$2,0,IF($Y$2=1,(SUMIF('Mortality Tarif Male'!A:A,E101,'Mortality Tarif Male'!E:E)-SUMIF('Mortality Tarif Male'!A:A,$C$2+$H$2,'Mortality Tarif Male'!E:E))/SUMIF('Mortality Tarif Male'!A:A,E101,'Mortality Tarif Male'!D:D),(SUMIF('Mortality Tarif Female'!A:A,E101,'Mortality Tarif Female'!E:E)-SUMIF('Mortality Tarif Female'!A:A,$C$2+$H$2,'Mortality Tarif Female'!E:E))/SUMIF('Mortality Tarif Female'!A:A,E101,'Mortality Tarif Female'!D:D)))</f>
        <v>11.132517500433975</v>
      </c>
      <c r="AA100">
        <f>IF(B100&gt;=$AF$2,0,IF($Y$2=1,(SUMIF('Mortality Tarif Male'!A:A,E101+1,'Mortality Tarif Male'!E:E)-SUMIF('Mortality Tarif Male'!A:A,$C$2+$H$2,'Mortality Tarif Male'!E:E))/SUMIF('Mortality Tarif Male'!A:A,E101+1,'Mortality Tarif Male'!D:D),(SUMIF('Mortality Tarif Female'!A:A,E101+1,'Mortality Tarif Female'!E:E)-SUMIF('Mortality Tarif Female'!A:A,$C$2+$H$2,'Mortality Tarif Female'!E:E))/SUMIF('Mortality Tarif Female'!A:A,E101+1,'Mortality Tarif Female'!D:D)))</f>
        <v>10.505276013394928</v>
      </c>
      <c r="AB100">
        <f t="shared" si="41"/>
        <v>2592.8702954083765</v>
      </c>
      <c r="AC100">
        <f>IF(B100&gt;=$AF$2,0,MIN(1/3*(V100+W100+Y100-AB100),(V100-AB100),(T100*Z100+(1-T100)*AA100)*$AH$2*Assumptions!$B$22))</f>
        <v>280.64268473703294</v>
      </c>
      <c r="AD100">
        <f t="shared" si="57"/>
        <v>9872.8898355755664</v>
      </c>
      <c r="AE100">
        <f t="shared" si="58"/>
        <v>10153.532520312599</v>
      </c>
      <c r="AF100">
        <f t="shared" si="59"/>
        <v>9872.8898355755664</v>
      </c>
      <c r="AG100" s="26">
        <f t="shared" si="70"/>
        <v>0</v>
      </c>
      <c r="AH100" s="27">
        <f>IF(B100&gt;$AF$2,0,HLOOKUP(YEAR(A100),Assumptions!$A$34:$AL$37,4,TRUE)/100)</f>
        <v>9.1430000000000001E-3</v>
      </c>
      <c r="AI100">
        <f t="shared" si="60"/>
        <v>0</v>
      </c>
      <c r="AJ100">
        <f t="shared" si="61"/>
        <v>1.8595332419360029</v>
      </c>
      <c r="AK100">
        <f t="shared" si="62"/>
        <v>22.454954338305036</v>
      </c>
      <c r="AL100">
        <f>IF(E100&gt;Assumptions!$B$9,0,SUMPRODUCT($P$2:$X$2,Assumptions!$A$43:$I$43)/$I$2*O99*K100)</f>
        <v>4.2729159303032933</v>
      </c>
      <c r="AM100">
        <f t="shared" si="63"/>
        <v>0</v>
      </c>
      <c r="AN100">
        <f t="shared" si="64"/>
        <v>28.587403510544334</v>
      </c>
      <c r="AO100">
        <f>IF(E100&gt;Assumptions!$B$9,0,($V$2+$X$2)/$I$2*O99*K100*Assumptions!$B$46)</f>
        <v>0</v>
      </c>
      <c r="AP100">
        <f>IF(B100&gt;$AF$2,0,AP99*(1+Assumptions!$B$52)^(1/12))</f>
        <v>1.0765896216435398</v>
      </c>
      <c r="AQ100" s="29">
        <f>IF(B100&gt;$AF$2,0,O99*Assumptions!$B$48/12*AP99+AR100*Assumptions!$B$50/12)</f>
        <v>12.313040001802163</v>
      </c>
      <c r="AR100" s="31">
        <f t="shared" si="65"/>
        <v>7456.3015514113231</v>
      </c>
      <c r="AS100">
        <f t="shared" si="48"/>
        <v>7507.8841192264063</v>
      </c>
      <c r="AT100">
        <f t="shared" si="66"/>
        <v>15.308865330859499</v>
      </c>
      <c r="AU100" s="19">
        <f t="shared" si="67"/>
        <v>7467.7488371283225</v>
      </c>
      <c r="AV100" s="19">
        <f t="shared" si="68"/>
        <v>7504.6586430397138</v>
      </c>
      <c r="AW100">
        <f t="shared" si="69"/>
        <v>-60.543309342333707</v>
      </c>
      <c r="AX100">
        <f>IF(B100&gt;$AF$2,0,HLOOKUP(YEAR(A100),Assumptions!$A$34:$AL$37,2,TRUE)/100)</f>
        <v>1.5143E-2</v>
      </c>
      <c r="AY100" s="32">
        <f>1/(1+HLOOKUP(YEAR(A100),Assumptions!$A$27:$AL$29,3,TRUE))^(1/12)</f>
        <v>0.99875718171763528</v>
      </c>
      <c r="AZ100" s="30">
        <f t="shared" si="49"/>
        <v>8709.2612905466431</v>
      </c>
      <c r="BA100">
        <f>IF(B100&gt;$AF$2,0,IF($E$2=0,(T100*Z100+(1-T100)*AA100)*$J$2*Assumptions!$B$20,0))</f>
        <v>0</v>
      </c>
    </row>
    <row r="101" spans="1:53" x14ac:dyDescent="0.25">
      <c r="A101" s="17">
        <f t="shared" si="50"/>
        <v>45838</v>
      </c>
      <c r="B101">
        <f t="shared" si="42"/>
        <v>320</v>
      </c>
      <c r="C101">
        <f t="shared" si="43"/>
        <v>26.583333333333332</v>
      </c>
      <c r="D101">
        <f t="shared" si="71"/>
        <v>0</v>
      </c>
      <c r="E101">
        <f t="shared" si="44"/>
        <v>49</v>
      </c>
      <c r="F101">
        <f>IF(C101&gt;=$H$2,0,VLOOKUP($E101,'Mortality Table'!$A$3:$C$128,2+AB$2,FALSE))</f>
        <v>1.3505000000000001E-3</v>
      </c>
      <c r="G101">
        <f>F101*Assumptions!$B$1</f>
        <v>1.4619162500000003E-3</v>
      </c>
      <c r="H101">
        <f t="shared" si="51"/>
        <v>1.2190805962297713E-4</v>
      </c>
      <c r="I101">
        <f t="shared" si="72"/>
        <v>9.2567327750989119E-5</v>
      </c>
      <c r="J101">
        <f>HLOOKUP(C101,Assumptions!$A$6:$J$7,2,TRUE)</f>
        <v>3.5200000000000002E-2</v>
      </c>
      <c r="K101" s="18">
        <f t="shared" si="45"/>
        <v>1</v>
      </c>
      <c r="L101" s="18">
        <f t="shared" si="52"/>
        <v>8.3333333333333329E-2</v>
      </c>
      <c r="M101" s="18">
        <f t="shared" si="73"/>
        <v>2.9817501439168836E-3</v>
      </c>
      <c r="N101">
        <f t="shared" si="74"/>
        <v>2.2673472884061296E-3</v>
      </c>
      <c r="O101" s="20">
        <f t="shared" si="75"/>
        <v>0.75809464775248236</v>
      </c>
      <c r="P101">
        <f>IF(B101&gt;$AF$2,0,O100*($E$2+IF(E101&lt;=Assumptions!$B$9,$D$2,0))/$I$2*K101)</f>
        <v>38.947947835980479</v>
      </c>
      <c r="Q101">
        <f t="shared" si="53"/>
        <v>26.1</v>
      </c>
      <c r="R101">
        <f>IF(B101&gt;$AF$2,0,IF($Y$2=1,(SUMIF('Mortality Tarif Male'!A:A,E102,'Mortality Tarif Male'!G:G)-SUMIF('Mortality Tarif Male'!A:A,$C$2+$H$2,'Mortality Tarif Male'!G:G)+SUMIF('Mortality Tarif Male'!A:A,$C$2+$H$2,'Mortality Tarif Male'!D:D))/SUMIF('Mortality Tarif Male'!A:A,E102,'Mortality Tarif Male'!D:D),(SUMIF('Mortality Tarif Female'!A:A,E102,'Mortality Tarif Female'!G:G)-SUMIF('Mortality Tarif Female'!A:A,$C$2+$H$2,'Mortality Tarif Female'!G:G)+SUMIF('Mortality Tarif Female'!A:A,$C$2+$H$2,'Mortality Tarif Female'!D:D))/SUMIF('Mortality Tarif Female'!A:A,E102,'Mortality Tarif Female'!D:D)))</f>
        <v>0.62412136992836209</v>
      </c>
      <c r="S101">
        <f>IF(B101&gt;=$AF$2,0,IF($Y$2=1,(SUMIF('Mortality Tarif Male'!A:A,E102+1,'Mortality Tarif Male'!G:G)-SUMIF('Mortality Tarif Male'!A:A,$C$2+$H$2,'Mortality Tarif Male'!G:G)+SUMIF('Mortality Tarif Male'!A:A,$C$2+$H$2,'Mortality Tarif Male'!D:D))/SUMIF('Mortality Tarif Male'!A:A,E102+1,'Mortality Tarif Male'!D:D),(SUMIF('Mortality Tarif Female'!A:A,E102+1,'Mortality Tarif Female'!G:G)-SUMIF('Mortality Tarif Female'!A:A,$C$2+$H$2,'Mortality Tarif Female'!G:G)+SUMIF('Mortality Tarif Female'!A:A,$C$2+$H$2,'Mortality Tarif Female'!D:D))/SUMIF('Mortality Tarif Female'!A:A,E102+1,'Mortality Tarif Female'!D:D)))</f>
        <v>0.64532391626812635</v>
      </c>
      <c r="T101">
        <f t="shared" si="54"/>
        <v>0.33333333333333215</v>
      </c>
      <c r="U101">
        <f t="shared" si="55"/>
        <v>0.63825640082153823</v>
      </c>
      <c r="V101">
        <f t="shared" si="56"/>
        <v>12765.128016430765</v>
      </c>
      <c r="W101">
        <f t="shared" si="46"/>
        <v>16.65849206144215</v>
      </c>
      <c r="X101">
        <f t="shared" si="47"/>
        <v>0</v>
      </c>
      <c r="Y101">
        <f>IF(B101&gt;$AF$2,0,IF(X102=0,0,(1-X102)*($E$2+IF(E101&lt;=Assumptions!$B$9,$D$2,0))/$I$2*1/(1+$AG$2)*1/(1+Assumptions!$B$11)))</f>
        <v>0</v>
      </c>
      <c r="Z101">
        <f>IF(B101&gt;$AF$2,0,IF($Y$2=1,(SUMIF('Mortality Tarif Male'!A:A,E102,'Mortality Tarif Male'!E:E)-SUMIF('Mortality Tarif Male'!A:A,$C$2+$H$2,'Mortality Tarif Male'!E:E))/SUMIF('Mortality Tarif Male'!A:A,E102,'Mortality Tarif Male'!D:D),(SUMIF('Mortality Tarif Female'!A:A,E102,'Mortality Tarif Female'!E:E)-SUMIF('Mortality Tarif Female'!A:A,$C$2+$H$2,'Mortality Tarif Female'!E:E))/SUMIF('Mortality Tarif Female'!A:A,E102,'Mortality Tarif Female'!D:D)))</f>
        <v>11.132517500433975</v>
      </c>
      <c r="AA101">
        <f>IF(B101&gt;=$AF$2,0,IF($Y$2=1,(SUMIF('Mortality Tarif Male'!A:A,E102+1,'Mortality Tarif Male'!E:E)-SUMIF('Mortality Tarif Male'!A:A,$C$2+$H$2,'Mortality Tarif Male'!E:E))/SUMIF('Mortality Tarif Male'!A:A,E102+1,'Mortality Tarif Male'!D:D),(SUMIF('Mortality Tarif Female'!A:A,E102+1,'Mortality Tarif Female'!E:E)-SUMIF('Mortality Tarif Female'!A:A,$C$2+$H$2,'Mortality Tarif Female'!E:E))/SUMIF('Mortality Tarif Female'!A:A,E102+1,'Mortality Tarif Female'!D:D)))</f>
        <v>10.505276013394928</v>
      </c>
      <c r="AB101">
        <f t="shared" si="41"/>
        <v>2580.2823552606287</v>
      </c>
      <c r="AC101">
        <f>IF(B101&gt;=$AF$2,0,MIN(1/3*(V101+W101+Y101-AB101),(V101-AB101),(T101*Z101+(1-T101)*AA101)*$AH$2*Assumptions!$B$22))</f>
        <v>279.28021268255765</v>
      </c>
      <c r="AD101">
        <f t="shared" si="57"/>
        <v>9922.22394054902</v>
      </c>
      <c r="AE101">
        <f t="shared" si="58"/>
        <v>10201.504153231577</v>
      </c>
      <c r="AF101">
        <f t="shared" si="59"/>
        <v>9922.22394054902</v>
      </c>
      <c r="AG101" s="26">
        <f t="shared" si="70"/>
        <v>0</v>
      </c>
      <c r="AH101" s="27">
        <f>IF(B101&gt;$AF$2,0,HLOOKUP(YEAR(A101),Assumptions!$A$34:$AL$37,4,TRUE)/100)</f>
        <v>9.1430000000000001E-3</v>
      </c>
      <c r="AI101">
        <f t="shared" si="60"/>
        <v>0</v>
      </c>
      <c r="AJ101">
        <f t="shared" si="61"/>
        <v>1.853762562274083</v>
      </c>
      <c r="AK101">
        <f t="shared" si="62"/>
        <v>22.497127546562201</v>
      </c>
      <c r="AL101">
        <f>IF(E101&gt;Assumptions!$B$9,0,SUMPRODUCT($P$2:$X$2,Assumptions!$A$43:$I$43)/$I$2*O100*K101)</f>
        <v>4.2596558129254394</v>
      </c>
      <c r="AM101">
        <f t="shared" si="63"/>
        <v>0</v>
      </c>
      <c r="AN101">
        <f t="shared" si="64"/>
        <v>28.61054592176172</v>
      </c>
      <c r="AO101">
        <f>IF(E101&gt;Assumptions!$B$9,0,($V$2+$X$2)/$I$2*O100*K101*Assumptions!$B$46)</f>
        <v>0</v>
      </c>
      <c r="AP101">
        <f>IF(B101&gt;$AF$2,0,AP100*(1+Assumptions!$B$52)^(1/12))</f>
        <v>1.0774826937682025</v>
      </c>
      <c r="AQ101" s="29">
        <f>IF(B101&gt;$AF$2,0,O100*Assumptions!$B$48/12*AP100+AR101*Assumptions!$B$50/12)</f>
        <v>12.289606491142498</v>
      </c>
      <c r="AR101" s="31">
        <f t="shared" si="65"/>
        <v>7458.342511481299</v>
      </c>
      <c r="AS101">
        <f t="shared" si="48"/>
        <v>7521.9848631317573</v>
      </c>
      <c r="AT101">
        <f t="shared" si="66"/>
        <v>15.26135741015146</v>
      </c>
      <c r="AU101" s="19">
        <f t="shared" si="67"/>
        <v>7469.7394954159854</v>
      </c>
      <c r="AV101" s="19">
        <f t="shared" si="68"/>
        <v>7518.8858208236325</v>
      </c>
      <c r="AW101">
        <f t="shared" si="69"/>
        <v>-72.767877065997027</v>
      </c>
      <c r="AX101">
        <f>IF(B101&gt;$AF$2,0,HLOOKUP(YEAR(A101),Assumptions!$A$34:$AL$37,2,TRUE)/100)</f>
        <v>1.5143E-2</v>
      </c>
      <c r="AY101" s="32">
        <f>1/(1+HLOOKUP(YEAR(A101),Assumptions!$A$27:$AL$29,3,TRUE))^(1/12)</f>
        <v>0.99875718171763528</v>
      </c>
      <c r="AZ101" s="30">
        <f t="shared" si="49"/>
        <v>8718.1465841684003</v>
      </c>
      <c r="BA101">
        <f>IF(B101&gt;$AF$2,0,IF($E$2=0,(T101*Z101+(1-T101)*AA101)*$J$2*Assumptions!$B$20,0))</f>
        <v>0</v>
      </c>
    </row>
    <row r="102" spans="1:53" x14ac:dyDescent="0.25">
      <c r="A102" s="17">
        <f t="shared" si="50"/>
        <v>45869</v>
      </c>
      <c r="B102">
        <f t="shared" si="42"/>
        <v>321</v>
      </c>
      <c r="C102">
        <f t="shared" si="43"/>
        <v>26.666666666666668</v>
      </c>
      <c r="D102">
        <f t="shared" si="71"/>
        <v>0</v>
      </c>
      <c r="E102">
        <f t="shared" si="44"/>
        <v>49</v>
      </c>
      <c r="F102">
        <f>IF(C102&gt;=$H$2,0,VLOOKUP($E102,'Mortality Table'!$A$3:$C$128,2+AB$2,FALSE))</f>
        <v>1.3505000000000001E-3</v>
      </c>
      <c r="G102">
        <f>F102*Assumptions!$B$1</f>
        <v>1.4619162500000003E-3</v>
      </c>
      <c r="H102">
        <f t="shared" si="51"/>
        <v>1.2190805962297713E-4</v>
      </c>
      <c r="I102">
        <f t="shared" si="72"/>
        <v>9.2280064053000714E-5</v>
      </c>
      <c r="J102">
        <f>HLOOKUP(C102,Assumptions!$A$6:$J$7,2,TRUE)</f>
        <v>3.5200000000000002E-2</v>
      </c>
      <c r="K102" s="18">
        <f t="shared" si="45"/>
        <v>1</v>
      </c>
      <c r="L102" s="18">
        <f t="shared" si="52"/>
        <v>8.3333333333333329E-2</v>
      </c>
      <c r="M102" s="18">
        <f t="shared" si="73"/>
        <v>2.9817501439168836E-3</v>
      </c>
      <c r="N102">
        <f t="shared" si="74"/>
        <v>2.2603110415735147E-3</v>
      </c>
      <c r="O102" s="20">
        <f t="shared" si="75"/>
        <v>0.75574205664685579</v>
      </c>
      <c r="P102">
        <f>IF(B102&gt;$AF$2,0,O101*($E$2+IF(E102&lt;=Assumptions!$B$9,$D$2,0))/$I$2*K102)</f>
        <v>38.827080875722963</v>
      </c>
      <c r="Q102">
        <f t="shared" si="53"/>
        <v>26.1</v>
      </c>
      <c r="R102">
        <f>IF(B102&gt;$AF$2,0,IF($Y$2=1,(SUMIF('Mortality Tarif Male'!A:A,E103,'Mortality Tarif Male'!G:G)-SUMIF('Mortality Tarif Male'!A:A,$C$2+$H$2,'Mortality Tarif Male'!G:G)+SUMIF('Mortality Tarif Male'!A:A,$C$2+$H$2,'Mortality Tarif Male'!D:D))/SUMIF('Mortality Tarif Male'!A:A,E103,'Mortality Tarif Male'!D:D),(SUMIF('Mortality Tarif Female'!A:A,E103,'Mortality Tarif Female'!G:G)-SUMIF('Mortality Tarif Female'!A:A,$C$2+$H$2,'Mortality Tarif Female'!G:G)+SUMIF('Mortality Tarif Female'!A:A,$C$2+$H$2,'Mortality Tarif Female'!D:D))/SUMIF('Mortality Tarif Female'!A:A,E103,'Mortality Tarif Female'!D:D)))</f>
        <v>0.62412136992836209</v>
      </c>
      <c r="S102">
        <f>IF(B102&gt;=$AF$2,0,IF($Y$2=1,(SUMIF('Mortality Tarif Male'!A:A,E103+1,'Mortality Tarif Male'!G:G)-SUMIF('Mortality Tarif Male'!A:A,$C$2+$H$2,'Mortality Tarif Male'!G:G)+SUMIF('Mortality Tarif Male'!A:A,$C$2+$H$2,'Mortality Tarif Male'!D:D))/SUMIF('Mortality Tarif Male'!A:A,E103+1,'Mortality Tarif Male'!D:D),(SUMIF('Mortality Tarif Female'!A:A,E103+1,'Mortality Tarif Female'!G:G)-SUMIF('Mortality Tarif Female'!A:A,$C$2+$H$2,'Mortality Tarif Female'!G:G)+SUMIF('Mortality Tarif Female'!A:A,$C$2+$H$2,'Mortality Tarif Female'!D:D))/SUMIF('Mortality Tarif Female'!A:A,E103+1,'Mortality Tarif Female'!D:D)))</f>
        <v>0.64532391626812635</v>
      </c>
      <c r="T102">
        <f t="shared" si="54"/>
        <v>0.25</v>
      </c>
      <c r="U102">
        <f t="shared" si="55"/>
        <v>0.64002327968318529</v>
      </c>
      <c r="V102">
        <f t="shared" si="56"/>
        <v>12800.465593663706</v>
      </c>
      <c r="W102">
        <f t="shared" si="46"/>
        <v>16.704607599731137</v>
      </c>
      <c r="X102">
        <f t="shared" si="47"/>
        <v>0</v>
      </c>
      <c r="Y102">
        <f>IF(B102&gt;$AF$2,0,IF(X103=0,0,(1-X103)*($E$2+IF(E102&lt;=Assumptions!$B$9,$D$2,0))/$I$2*1/(1+$AG$2)*1/(1+Assumptions!$B$11)))</f>
        <v>0</v>
      </c>
      <c r="Z102">
        <f>IF(B102&gt;$AF$2,0,IF($Y$2=1,(SUMIF('Mortality Tarif Male'!A:A,E103,'Mortality Tarif Male'!E:E)-SUMIF('Mortality Tarif Male'!A:A,$C$2+$H$2,'Mortality Tarif Male'!E:E))/SUMIF('Mortality Tarif Male'!A:A,E103,'Mortality Tarif Male'!D:D),(SUMIF('Mortality Tarif Female'!A:A,E103,'Mortality Tarif Female'!E:E)-SUMIF('Mortality Tarif Female'!A:A,$C$2+$H$2,'Mortality Tarif Female'!E:E))/SUMIF('Mortality Tarif Female'!A:A,E103,'Mortality Tarif Female'!D:D)))</f>
        <v>11.132517500433975</v>
      </c>
      <c r="AA102">
        <f>IF(B102&gt;=$AF$2,0,IF($Y$2=1,(SUMIF('Mortality Tarif Male'!A:A,E103+1,'Mortality Tarif Male'!E:E)-SUMIF('Mortality Tarif Male'!A:A,$C$2+$H$2,'Mortality Tarif Male'!E:E))/SUMIF('Mortality Tarif Male'!A:A,E103+1,'Mortality Tarif Male'!D:D),(SUMIF('Mortality Tarif Female'!A:A,E103+1,'Mortality Tarif Female'!E:E)-SUMIF('Mortality Tarif Female'!A:A,$C$2+$H$2,'Mortality Tarif Female'!E:E))/SUMIF('Mortality Tarif Female'!A:A,E103+1,'Mortality Tarif Female'!D:D)))</f>
        <v>10.505276013394928</v>
      </c>
      <c r="AB102">
        <f t="shared" si="41"/>
        <v>2567.6944151128819</v>
      </c>
      <c r="AC102">
        <f>IF(B102&gt;=$AF$2,0,MIN(1/3*(V102+W102+Y102-AB102),(V102-AB102),(T102*Z102+(1-T102)*AA102)*$AH$2*Assumptions!$B$22))</f>
        <v>277.91774062808241</v>
      </c>
      <c r="AD102">
        <f t="shared" si="57"/>
        <v>9971.5580455224735</v>
      </c>
      <c r="AE102">
        <f t="shared" si="58"/>
        <v>10249.475786150557</v>
      </c>
      <c r="AF102">
        <f t="shared" si="59"/>
        <v>9971.5580455224735</v>
      </c>
      <c r="AG102" s="26">
        <f t="shared" si="70"/>
        <v>0</v>
      </c>
      <c r="AH102" s="27">
        <f>IF(B102&gt;$AF$2,0,HLOOKUP(YEAR(A102),Assumptions!$A$34:$AL$37,4,TRUE)/100)</f>
        <v>9.1430000000000001E-3</v>
      </c>
      <c r="AI102">
        <f t="shared" si="60"/>
        <v>0</v>
      </c>
      <c r="AJ102">
        <f t="shared" si="61"/>
        <v>1.8480097907317974</v>
      </c>
      <c r="AK102">
        <f t="shared" si="62"/>
        <v>22.538822751985663</v>
      </c>
      <c r="AL102">
        <f>IF(E102&gt;Assumptions!$B$9,0,SUMPRODUCT($P$2:$X$2,Assumptions!$A$43:$I$43)/$I$2*O101*K102)</f>
        <v>4.2464368455996198</v>
      </c>
      <c r="AM102">
        <f t="shared" si="63"/>
        <v>0</v>
      </c>
      <c r="AN102">
        <f t="shared" si="64"/>
        <v>28.633269388317082</v>
      </c>
      <c r="AO102">
        <f>IF(E102&gt;Assumptions!$B$9,0,($V$2+$X$2)/$I$2*O101*K102*Assumptions!$B$46)</f>
        <v>0</v>
      </c>
      <c r="AP102">
        <f>IF(B102&gt;$AF$2,0,AP101*(1+Assumptions!$B$52)^(1/12))</f>
        <v>1.0783765067302316</v>
      </c>
      <c r="AQ102" s="29">
        <f>IF(B102&gt;$AF$2,0,O101*Assumptions!$B$48/12*AP101+AR102*Assumptions!$B$50/12)</f>
        <v>12.266179372025414</v>
      </c>
      <c r="AR102" s="31">
        <f t="shared" si="65"/>
        <v>7460.1845461406829</v>
      </c>
      <c r="AS102">
        <f t="shared" si="48"/>
        <v>7535.9257852966557</v>
      </c>
      <c r="AT102">
        <f t="shared" si="66"/>
        <v>15.21399692052216</v>
      </c>
      <c r="AU102" s="19">
        <f t="shared" si="67"/>
        <v>7471.5314507238591</v>
      </c>
      <c r="AV102" s="19">
        <f t="shared" si="68"/>
        <v>7532.9524232066797</v>
      </c>
      <c r="AW102">
        <f t="shared" si="69"/>
        <v>-85.030582826605666</v>
      </c>
      <c r="AX102">
        <f>IF(B102&gt;$AF$2,0,HLOOKUP(YEAR(A102),Assumptions!$A$34:$AL$37,2,TRUE)/100)</f>
        <v>1.5143E-2</v>
      </c>
      <c r="AY102" s="32">
        <f>1/(1+HLOOKUP(YEAR(A102),Assumptions!$A$27:$AL$29,3,TRUE))^(1/12)</f>
        <v>0.99875718171763528</v>
      </c>
      <c r="AZ102" s="30">
        <f t="shared" si="49"/>
        <v>8726.9227710290943</v>
      </c>
      <c r="BA102">
        <f>IF(B102&gt;$AF$2,0,IF($E$2=0,(T102*Z102+(1-T102)*AA102)*$J$2*Assumptions!$B$20,0))</f>
        <v>0</v>
      </c>
    </row>
    <row r="103" spans="1:53" x14ac:dyDescent="0.25">
      <c r="A103" s="17">
        <f t="shared" si="50"/>
        <v>45900</v>
      </c>
      <c r="B103">
        <f t="shared" si="42"/>
        <v>322</v>
      </c>
      <c r="C103">
        <f t="shared" si="43"/>
        <v>26.75</v>
      </c>
      <c r="D103">
        <f t="shared" si="71"/>
        <v>0</v>
      </c>
      <c r="E103">
        <f t="shared" si="44"/>
        <v>49</v>
      </c>
      <c r="F103">
        <f>IF(C103&gt;=$H$2,0,VLOOKUP($E103,'Mortality Table'!$A$3:$C$128,2+AB$2,FALSE))</f>
        <v>1.3505000000000001E-3</v>
      </c>
      <c r="G103">
        <f>F103*Assumptions!$B$1</f>
        <v>1.4619162500000003E-3</v>
      </c>
      <c r="H103">
        <f t="shared" si="51"/>
        <v>1.2190805962297713E-4</v>
      </c>
      <c r="I103">
        <f t="shared" si="72"/>
        <v>9.1993691818924981E-5</v>
      </c>
      <c r="J103">
        <f>HLOOKUP(C103,Assumptions!$A$6:$J$7,2,TRUE)</f>
        <v>3.5200000000000002E-2</v>
      </c>
      <c r="K103" s="18">
        <f t="shared" si="45"/>
        <v>1</v>
      </c>
      <c r="L103" s="18">
        <f t="shared" si="52"/>
        <v>8.3333333333333329E-2</v>
      </c>
      <c r="M103" s="18">
        <f t="shared" si="73"/>
        <v>2.9817501439168836E-3</v>
      </c>
      <c r="N103">
        <f t="shared" si="74"/>
        <v>2.2532966302884327E-3</v>
      </c>
      <c r="O103" s="20">
        <f t="shared" si="75"/>
        <v>0.7533967663247485</v>
      </c>
      <c r="P103">
        <f>IF(B103&gt;$AF$2,0,O102*($E$2+IF(E103&lt;=Assumptions!$B$9,$D$2,0))/$I$2*K103)</f>
        <v>38.706589001263126</v>
      </c>
      <c r="Q103">
        <f t="shared" si="53"/>
        <v>26.1</v>
      </c>
      <c r="R103">
        <f>IF(B103&gt;$AF$2,0,IF($Y$2=1,(SUMIF('Mortality Tarif Male'!A:A,E104,'Mortality Tarif Male'!G:G)-SUMIF('Mortality Tarif Male'!A:A,$C$2+$H$2,'Mortality Tarif Male'!G:G)+SUMIF('Mortality Tarif Male'!A:A,$C$2+$H$2,'Mortality Tarif Male'!D:D))/SUMIF('Mortality Tarif Male'!A:A,E104,'Mortality Tarif Male'!D:D),(SUMIF('Mortality Tarif Female'!A:A,E104,'Mortality Tarif Female'!G:G)-SUMIF('Mortality Tarif Female'!A:A,$C$2+$H$2,'Mortality Tarif Female'!G:G)+SUMIF('Mortality Tarif Female'!A:A,$C$2+$H$2,'Mortality Tarif Female'!D:D))/SUMIF('Mortality Tarif Female'!A:A,E104,'Mortality Tarif Female'!D:D)))</f>
        <v>0.62412136992836209</v>
      </c>
      <c r="S103">
        <f>IF(B103&gt;=$AF$2,0,IF($Y$2=1,(SUMIF('Mortality Tarif Male'!A:A,E104+1,'Mortality Tarif Male'!G:G)-SUMIF('Mortality Tarif Male'!A:A,$C$2+$H$2,'Mortality Tarif Male'!G:G)+SUMIF('Mortality Tarif Male'!A:A,$C$2+$H$2,'Mortality Tarif Male'!D:D))/SUMIF('Mortality Tarif Male'!A:A,E104+1,'Mortality Tarif Male'!D:D),(SUMIF('Mortality Tarif Female'!A:A,E104+1,'Mortality Tarif Female'!G:G)-SUMIF('Mortality Tarif Female'!A:A,$C$2+$H$2,'Mortality Tarif Female'!G:G)+SUMIF('Mortality Tarif Female'!A:A,$C$2+$H$2,'Mortality Tarif Female'!D:D))/SUMIF('Mortality Tarif Female'!A:A,E104+1,'Mortality Tarif Female'!D:D)))</f>
        <v>0.64532391626812635</v>
      </c>
      <c r="T103">
        <f t="shared" si="54"/>
        <v>0.16666666666666785</v>
      </c>
      <c r="U103">
        <f t="shared" si="55"/>
        <v>0.64179015854483235</v>
      </c>
      <c r="V103">
        <f t="shared" si="56"/>
        <v>12835.803170896646</v>
      </c>
      <c r="W103">
        <f t="shared" si="46"/>
        <v>16.750723138020124</v>
      </c>
      <c r="X103">
        <f t="shared" si="47"/>
        <v>0</v>
      </c>
      <c r="Y103">
        <f>IF(B103&gt;$AF$2,0,IF(X104=0,0,(1-X104)*($E$2+IF(E103&lt;=Assumptions!$B$9,$D$2,0))/$I$2*1/(1+$AG$2)*1/(1+Assumptions!$B$11)))</f>
        <v>0</v>
      </c>
      <c r="Z103">
        <f>IF(B103&gt;$AF$2,0,IF($Y$2=1,(SUMIF('Mortality Tarif Male'!A:A,E104,'Mortality Tarif Male'!E:E)-SUMIF('Mortality Tarif Male'!A:A,$C$2+$H$2,'Mortality Tarif Male'!E:E))/SUMIF('Mortality Tarif Male'!A:A,E104,'Mortality Tarif Male'!D:D),(SUMIF('Mortality Tarif Female'!A:A,E104,'Mortality Tarif Female'!E:E)-SUMIF('Mortality Tarif Female'!A:A,$C$2+$H$2,'Mortality Tarif Female'!E:E))/SUMIF('Mortality Tarif Female'!A:A,E104,'Mortality Tarif Female'!D:D)))</f>
        <v>11.132517500433975</v>
      </c>
      <c r="AA103">
        <f>IF(B103&gt;=$AF$2,0,IF($Y$2=1,(SUMIF('Mortality Tarif Male'!A:A,E104+1,'Mortality Tarif Male'!E:E)-SUMIF('Mortality Tarif Male'!A:A,$C$2+$H$2,'Mortality Tarif Male'!E:E))/SUMIF('Mortality Tarif Male'!A:A,E104+1,'Mortality Tarif Male'!D:D),(SUMIF('Mortality Tarif Female'!A:A,E104+1,'Mortality Tarif Female'!E:E)-SUMIF('Mortality Tarif Female'!A:A,$C$2+$H$2,'Mortality Tarif Female'!E:E))/SUMIF('Mortality Tarif Female'!A:A,E104+1,'Mortality Tarif Female'!D:D)))</f>
        <v>10.505276013394928</v>
      </c>
      <c r="AB103">
        <f t="shared" si="41"/>
        <v>2555.1064749651341</v>
      </c>
      <c r="AC103">
        <f>IF(B103&gt;=$AF$2,0,MIN(1/3*(V103+W103+Y103-AB103),(V103-AB103),(T103*Z103+(1-T103)*AA103)*$AH$2*Assumptions!$B$22))</f>
        <v>276.55526857360718</v>
      </c>
      <c r="AD103">
        <f t="shared" si="57"/>
        <v>10020.892150495925</v>
      </c>
      <c r="AE103">
        <f t="shared" si="58"/>
        <v>10297.447419069533</v>
      </c>
      <c r="AF103">
        <f t="shared" si="59"/>
        <v>10020.892150495925</v>
      </c>
      <c r="AG103" s="26">
        <f t="shared" si="70"/>
        <v>0</v>
      </c>
      <c r="AH103" s="27">
        <f>IF(B103&gt;$AF$2,0,HLOOKUP(YEAR(A103),Assumptions!$A$34:$AL$37,4,TRUE)/100)</f>
        <v>9.1430000000000001E-3</v>
      </c>
      <c r="AI103">
        <f t="shared" si="60"/>
        <v>0</v>
      </c>
      <c r="AJ103">
        <f t="shared" si="61"/>
        <v>1.8422748717349735</v>
      </c>
      <c r="AK103">
        <f t="shared" si="62"/>
        <v>22.580042515196276</v>
      </c>
      <c r="AL103">
        <f>IF(E103&gt;Assumptions!$B$9,0,SUMPRODUCT($P$2:$X$2,Assumptions!$A$43:$I$43)/$I$2*O102*K103)</f>
        <v>4.2332589006250965</v>
      </c>
      <c r="AM103">
        <f t="shared" si="63"/>
        <v>0</v>
      </c>
      <c r="AN103">
        <f t="shared" si="64"/>
        <v>28.655576287556343</v>
      </c>
      <c r="AO103">
        <f>IF(E103&gt;Assumptions!$B$9,0,($V$2+$X$2)/$I$2*O102*K103*Assumptions!$B$46)</f>
        <v>0</v>
      </c>
      <c r="AP103">
        <f>IF(B103&gt;$AF$2,0,AP102*(1+Assumptions!$B$52)^(1/12))</f>
        <v>1.0792710611441798</v>
      </c>
      <c r="AQ103" s="29">
        <f>IF(B103&gt;$AF$2,0,O102*Assumptions!$B$48/12*AP102+AR103*Assumptions!$B$50/12)</f>
        <v>12.242758779436365</v>
      </c>
      <c r="AR103" s="31">
        <f t="shared" si="65"/>
        <v>7461.8287269738739</v>
      </c>
      <c r="AS103">
        <f t="shared" si="48"/>
        <v>7549.7077418726849</v>
      </c>
      <c r="AT103">
        <f t="shared" si="66"/>
        <v>15.166783404449511</v>
      </c>
      <c r="AU103" s="19">
        <f t="shared" si="67"/>
        <v>7473.125773791251</v>
      </c>
      <c r="AV103" s="19">
        <f t="shared" si="68"/>
        <v>7546.8593098004794</v>
      </c>
      <c r="AW103">
        <f t="shared" si="69"/>
        <v>-97.331215777347282</v>
      </c>
      <c r="AX103">
        <f>IF(B103&gt;$AF$2,0,HLOOKUP(YEAR(A103),Assumptions!$A$34:$AL$37,2,TRUE)/100)</f>
        <v>1.5143E-2</v>
      </c>
      <c r="AY103" s="32">
        <f>1/(1+HLOOKUP(YEAR(A103),Assumptions!$A$27:$AL$29,3,TRUE))^(1/12)</f>
        <v>0.99875718171763528</v>
      </c>
      <c r="AZ103" s="30">
        <f t="shared" si="49"/>
        <v>8735.5905004867036</v>
      </c>
      <c r="BA103">
        <f>IF(B103&gt;$AF$2,0,IF($E$2=0,(T103*Z103+(1-T103)*AA103)*$J$2*Assumptions!$B$20,0))</f>
        <v>0</v>
      </c>
    </row>
    <row r="104" spans="1:53" x14ac:dyDescent="0.25">
      <c r="A104" s="17">
        <f t="shared" si="50"/>
        <v>45930</v>
      </c>
      <c r="B104">
        <f t="shared" si="42"/>
        <v>323</v>
      </c>
      <c r="C104">
        <f t="shared" si="43"/>
        <v>26.833333333333332</v>
      </c>
      <c r="D104">
        <f t="shared" si="71"/>
        <v>0</v>
      </c>
      <c r="E104">
        <f t="shared" si="44"/>
        <v>49</v>
      </c>
      <c r="F104">
        <f>IF(C104&gt;=$H$2,0,VLOOKUP($E104,'Mortality Table'!$A$3:$C$128,2+AB$2,FALSE))</f>
        <v>1.3505000000000001E-3</v>
      </c>
      <c r="G104">
        <f>F104*Assumptions!$B$1</f>
        <v>1.4619162500000003E-3</v>
      </c>
      <c r="H104">
        <f t="shared" si="51"/>
        <v>1.2190805962297713E-4</v>
      </c>
      <c r="I104">
        <f t="shared" si="72"/>
        <v>9.1708208282286678E-5</v>
      </c>
      <c r="J104">
        <f>HLOOKUP(C104,Assumptions!$A$6:$J$7,2,TRUE)</f>
        <v>3.5200000000000002E-2</v>
      </c>
      <c r="K104" s="18">
        <f t="shared" si="45"/>
        <v>1</v>
      </c>
      <c r="L104" s="18">
        <f t="shared" si="52"/>
        <v>8.3333333333333329E-2</v>
      </c>
      <c r="M104" s="18">
        <f t="shared" si="73"/>
        <v>2.9817501439168836E-3</v>
      </c>
      <c r="N104">
        <f t="shared" si="74"/>
        <v>2.2463039867887443E-3</v>
      </c>
      <c r="O104" s="20">
        <f t="shared" si="75"/>
        <v>0.75105875412967749</v>
      </c>
      <c r="P104">
        <f>IF(B104&gt;$AF$2,0,O103*($E$2+IF(E104&lt;=Assumptions!$B$9,$D$2,0))/$I$2*K104)</f>
        <v>38.586471048599201</v>
      </c>
      <c r="Q104">
        <f t="shared" si="53"/>
        <v>26.1</v>
      </c>
      <c r="R104">
        <f>IF(B104&gt;$AF$2,0,IF($Y$2=1,(SUMIF('Mortality Tarif Male'!A:A,E105,'Mortality Tarif Male'!G:G)-SUMIF('Mortality Tarif Male'!A:A,$C$2+$H$2,'Mortality Tarif Male'!G:G)+SUMIF('Mortality Tarif Male'!A:A,$C$2+$H$2,'Mortality Tarif Male'!D:D))/SUMIF('Mortality Tarif Male'!A:A,E105,'Mortality Tarif Male'!D:D),(SUMIF('Mortality Tarif Female'!A:A,E105,'Mortality Tarif Female'!G:G)-SUMIF('Mortality Tarif Female'!A:A,$C$2+$H$2,'Mortality Tarif Female'!G:G)+SUMIF('Mortality Tarif Female'!A:A,$C$2+$H$2,'Mortality Tarif Female'!D:D))/SUMIF('Mortality Tarif Female'!A:A,E105,'Mortality Tarif Female'!D:D)))</f>
        <v>0.62412136992836209</v>
      </c>
      <c r="S104">
        <f>IF(B104&gt;=$AF$2,0,IF($Y$2=1,(SUMIF('Mortality Tarif Male'!A:A,E105+1,'Mortality Tarif Male'!G:G)-SUMIF('Mortality Tarif Male'!A:A,$C$2+$H$2,'Mortality Tarif Male'!G:G)+SUMIF('Mortality Tarif Male'!A:A,$C$2+$H$2,'Mortality Tarif Male'!D:D))/SUMIF('Mortality Tarif Male'!A:A,E105+1,'Mortality Tarif Male'!D:D),(SUMIF('Mortality Tarif Female'!A:A,E105+1,'Mortality Tarif Female'!G:G)-SUMIF('Mortality Tarif Female'!A:A,$C$2+$H$2,'Mortality Tarif Female'!G:G)+SUMIF('Mortality Tarif Female'!A:A,$C$2+$H$2,'Mortality Tarif Female'!D:D))/SUMIF('Mortality Tarif Female'!A:A,E105+1,'Mortality Tarif Female'!D:D)))</f>
        <v>0.64532391626812635</v>
      </c>
      <c r="T104">
        <f t="shared" si="54"/>
        <v>8.3333333333332149E-2</v>
      </c>
      <c r="U104">
        <f t="shared" si="55"/>
        <v>0.6435570374064794</v>
      </c>
      <c r="V104">
        <f t="shared" si="56"/>
        <v>12871.140748129588</v>
      </c>
      <c r="W104">
        <f t="shared" si="46"/>
        <v>16.796838676309115</v>
      </c>
      <c r="X104">
        <f t="shared" si="47"/>
        <v>0</v>
      </c>
      <c r="Y104">
        <f>IF(B104&gt;$AF$2,0,IF(X105=0,0,(1-X105)*($E$2+IF(E104&lt;=Assumptions!$B$9,$D$2,0))/$I$2*1/(1+$AG$2)*1/(1+Assumptions!$B$11)))</f>
        <v>0</v>
      </c>
      <c r="Z104">
        <f>IF(B104&gt;$AF$2,0,IF($Y$2=1,(SUMIF('Mortality Tarif Male'!A:A,E105,'Mortality Tarif Male'!E:E)-SUMIF('Mortality Tarif Male'!A:A,$C$2+$H$2,'Mortality Tarif Male'!E:E))/SUMIF('Mortality Tarif Male'!A:A,E105,'Mortality Tarif Male'!D:D),(SUMIF('Mortality Tarif Female'!A:A,E105,'Mortality Tarif Female'!E:E)-SUMIF('Mortality Tarif Female'!A:A,$C$2+$H$2,'Mortality Tarif Female'!E:E))/SUMIF('Mortality Tarif Female'!A:A,E105,'Mortality Tarif Female'!D:D)))</f>
        <v>11.132517500433975</v>
      </c>
      <c r="AA104">
        <f>IF(B104&gt;=$AF$2,0,IF($Y$2=1,(SUMIF('Mortality Tarif Male'!A:A,E105+1,'Mortality Tarif Male'!E:E)-SUMIF('Mortality Tarif Male'!A:A,$C$2+$H$2,'Mortality Tarif Male'!E:E))/SUMIF('Mortality Tarif Male'!A:A,E105+1,'Mortality Tarif Male'!D:D),(SUMIF('Mortality Tarif Female'!A:A,E105+1,'Mortality Tarif Female'!E:E)-SUMIF('Mortality Tarif Female'!A:A,$C$2+$H$2,'Mortality Tarif Female'!E:E))/SUMIF('Mortality Tarif Female'!A:A,E105+1,'Mortality Tarif Female'!D:D)))</f>
        <v>10.505276013394928</v>
      </c>
      <c r="AB104">
        <f t="shared" si="41"/>
        <v>2542.5185348173868</v>
      </c>
      <c r="AC104">
        <f>IF(B104&gt;=$AF$2,0,MIN(1/3*(V104+W104+Y104-AB104),(V104-AB104),(T104*Z104+(1-T104)*AA104)*$AH$2*Assumptions!$B$22))</f>
        <v>275.19279651913195</v>
      </c>
      <c r="AD104">
        <f t="shared" si="57"/>
        <v>10070.226255469379</v>
      </c>
      <c r="AE104">
        <f t="shared" si="58"/>
        <v>10345.419051988511</v>
      </c>
      <c r="AF104">
        <f t="shared" si="59"/>
        <v>10070.226255469379</v>
      </c>
      <c r="AG104" s="26">
        <f t="shared" si="70"/>
        <v>0</v>
      </c>
      <c r="AH104" s="27">
        <f>IF(B104&gt;$AF$2,0,HLOOKUP(YEAR(A104),Assumptions!$A$34:$AL$37,4,TRUE)/100)</f>
        <v>9.1430000000000001E-3</v>
      </c>
      <c r="AI104">
        <f t="shared" si="60"/>
        <v>0</v>
      </c>
      <c r="AJ104">
        <f t="shared" si="61"/>
        <v>1.836557749881901</v>
      </c>
      <c r="AK104">
        <f t="shared" si="62"/>
        <v>22.620789385525555</v>
      </c>
      <c r="AL104">
        <f>IF(E104&gt;Assumptions!$B$9,0,SUMPRODUCT($P$2:$X$2,Assumptions!$A$43:$I$43)/$I$2*O103*K104)</f>
        <v>4.2201218506974252</v>
      </c>
      <c r="AM104">
        <f t="shared" si="63"/>
        <v>0</v>
      </c>
      <c r="AN104">
        <f t="shared" si="64"/>
        <v>28.677468986104881</v>
      </c>
      <c r="AO104">
        <f>IF(E104&gt;Assumptions!$B$9,0,($V$2+$X$2)/$I$2*O103*K104*Assumptions!$B$46)</f>
        <v>0</v>
      </c>
      <c r="AP104">
        <f>IF(B104&gt;$AF$2,0,AP103*(1+Assumptions!$B$52)^(1/12))</f>
        <v>1.0801663576251097</v>
      </c>
      <c r="AQ104" s="29">
        <f>IF(B104&gt;$AF$2,0,O103*Assumptions!$B$48/12*AP103+AR104*Assumptions!$B$50/12)</f>
        <v>12.219344847455281</v>
      </c>
      <c r="AR104" s="31">
        <f t="shared" si="65"/>
        <v>7463.276120650472</v>
      </c>
      <c r="AS104">
        <f t="shared" si="48"/>
        <v>7563.3315852367987</v>
      </c>
      <c r="AT104">
        <f t="shared" si="66"/>
        <v>15.119716405831259</v>
      </c>
      <c r="AU104" s="19">
        <f t="shared" si="67"/>
        <v>7474.5235304457847</v>
      </c>
      <c r="AV104" s="19">
        <f t="shared" si="68"/>
        <v>7560.6073364278191</v>
      </c>
      <c r="AW104">
        <f t="shared" si="69"/>
        <v>-109.66956619265001</v>
      </c>
      <c r="AX104">
        <f>IF(B104&gt;$AF$2,0,HLOOKUP(YEAR(A104),Assumptions!$A$34:$AL$37,2,TRUE)/100)</f>
        <v>1.5143E-2</v>
      </c>
      <c r="AY104" s="32">
        <f>1/(1+HLOOKUP(YEAR(A104),Assumptions!$A$27:$AL$29,3,TRUE))^(1/12)</f>
        <v>0.99875718171763528</v>
      </c>
      <c r="AZ104" s="30">
        <f t="shared" si="49"/>
        <v>8744.1504190425258</v>
      </c>
      <c r="BA104">
        <f>IF(B104&gt;$AF$2,0,IF($E$2=0,(T104*Z104+(1-T104)*AA104)*$J$2*Assumptions!$B$20,0))</f>
        <v>0</v>
      </c>
    </row>
    <row r="105" spans="1:53" x14ac:dyDescent="0.25">
      <c r="A105" s="17">
        <f t="shared" si="50"/>
        <v>45961</v>
      </c>
      <c r="B105">
        <f t="shared" si="42"/>
        <v>324</v>
      </c>
      <c r="C105">
        <f t="shared" si="43"/>
        <v>26.916666666666668</v>
      </c>
      <c r="D105">
        <f t="shared" si="71"/>
        <v>0</v>
      </c>
      <c r="E105">
        <f t="shared" si="44"/>
        <v>49</v>
      </c>
      <c r="F105">
        <f>IF(C105&gt;=$H$2,0,VLOOKUP($E105,'Mortality Table'!$A$3:$C$128,2+AB$2,FALSE))</f>
        <v>1.3505000000000001E-3</v>
      </c>
      <c r="G105">
        <f>F105*Assumptions!$B$1</f>
        <v>1.4619162500000003E-3</v>
      </c>
      <c r="H105">
        <f t="shared" si="51"/>
        <v>1.2190805962297713E-4</v>
      </c>
      <c r="I105">
        <f t="shared" si="72"/>
        <v>9.1423610685195753E-5</v>
      </c>
      <c r="J105">
        <f>HLOOKUP(C105,Assumptions!$A$6:$J$7,2,TRUE)</f>
        <v>3.5200000000000002E-2</v>
      </c>
      <c r="K105" s="18">
        <f t="shared" si="45"/>
        <v>1</v>
      </c>
      <c r="L105" s="18">
        <f t="shared" si="52"/>
        <v>8.3333333333333329E-2</v>
      </c>
      <c r="M105" s="18">
        <f t="shared" si="73"/>
        <v>2.9817501439168836E-3</v>
      </c>
      <c r="N105">
        <f t="shared" si="74"/>
        <v>2.239333043522597E-3</v>
      </c>
      <c r="O105" s="20">
        <f t="shared" si="75"/>
        <v>0.7487279974754697</v>
      </c>
      <c r="P105">
        <f>IF(B105&gt;$AF$2,0,O104*($E$2+IF(E105&lt;=Assumptions!$B$9,$D$2,0))/$I$2*K105)</f>
        <v>38.466725857341643</v>
      </c>
      <c r="Q105">
        <f t="shared" si="53"/>
        <v>26.1</v>
      </c>
      <c r="R105">
        <f>IF(B105&gt;$AF$2,0,IF($Y$2=1,(SUMIF('Mortality Tarif Male'!A:A,E106,'Mortality Tarif Male'!G:G)-SUMIF('Mortality Tarif Male'!A:A,$C$2+$H$2,'Mortality Tarif Male'!G:G)+SUMIF('Mortality Tarif Male'!A:A,$C$2+$H$2,'Mortality Tarif Male'!D:D))/SUMIF('Mortality Tarif Male'!A:A,E106,'Mortality Tarif Male'!D:D),(SUMIF('Mortality Tarif Female'!A:A,E106,'Mortality Tarif Female'!G:G)-SUMIF('Mortality Tarif Female'!A:A,$C$2+$H$2,'Mortality Tarif Female'!G:G)+SUMIF('Mortality Tarif Female'!A:A,$C$2+$H$2,'Mortality Tarif Female'!D:D))/SUMIF('Mortality Tarif Female'!A:A,E106,'Mortality Tarif Female'!D:D)))</f>
        <v>0.64532391626812635</v>
      </c>
      <c r="S105">
        <f>IF(B105&gt;=$AF$2,0,IF($Y$2=1,(SUMIF('Mortality Tarif Male'!A:A,E106+1,'Mortality Tarif Male'!G:G)-SUMIF('Mortality Tarif Male'!A:A,$C$2+$H$2,'Mortality Tarif Male'!G:G)+SUMIF('Mortality Tarif Male'!A:A,$C$2+$H$2,'Mortality Tarif Male'!D:D))/SUMIF('Mortality Tarif Male'!A:A,E106+1,'Mortality Tarif Male'!D:D),(SUMIF('Mortality Tarif Female'!A:A,E106+1,'Mortality Tarif Female'!G:G)-SUMIF('Mortality Tarif Female'!A:A,$C$2+$H$2,'Mortality Tarif Female'!G:G)+SUMIF('Mortality Tarif Female'!A:A,$C$2+$H$2,'Mortality Tarif Female'!D:D))/SUMIF('Mortality Tarif Female'!A:A,E106+1,'Mortality Tarif Female'!D:D)))</f>
        <v>0.66725422693849323</v>
      </c>
      <c r="T105">
        <f t="shared" si="54"/>
        <v>1</v>
      </c>
      <c r="U105">
        <f t="shared" si="55"/>
        <v>0.64532391626812635</v>
      </c>
      <c r="V105">
        <f t="shared" si="56"/>
        <v>12906.478325362526</v>
      </c>
      <c r="W105">
        <f t="shared" si="46"/>
        <v>16.842954214598098</v>
      </c>
      <c r="X105">
        <f t="shared" si="47"/>
        <v>0</v>
      </c>
      <c r="Y105">
        <f>IF(B105&gt;$AF$2,0,IF(X106=0,0,(1-X106)*($E$2+IF(E105&lt;=Assumptions!$B$9,$D$2,0))/$I$2*1/(1+$AG$2)*1/(1+Assumptions!$B$11)))</f>
        <v>0</v>
      </c>
      <c r="Z105">
        <f>IF(B105&gt;$AF$2,0,IF($Y$2=1,(SUMIF('Mortality Tarif Male'!A:A,E106,'Mortality Tarif Male'!E:E)-SUMIF('Mortality Tarif Male'!A:A,$C$2+$H$2,'Mortality Tarif Male'!E:E))/SUMIF('Mortality Tarif Male'!A:A,E106,'Mortality Tarif Male'!D:D),(SUMIF('Mortality Tarif Female'!A:A,E106,'Mortality Tarif Female'!E:E)-SUMIF('Mortality Tarif Female'!A:A,$C$2+$H$2,'Mortality Tarif Female'!E:E))/SUMIF('Mortality Tarif Female'!A:A,E106,'Mortality Tarif Female'!D:D)))</f>
        <v>10.505276013394928</v>
      </c>
      <c r="AA105">
        <f>IF(B105&gt;=$AF$2,0,IF($Y$2=1,(SUMIF('Mortality Tarif Male'!A:A,E106+1,'Mortality Tarif Male'!E:E)-SUMIF('Mortality Tarif Male'!A:A,$C$2+$H$2,'Mortality Tarif Male'!E:E))/SUMIF('Mortality Tarif Male'!A:A,E106+1,'Mortality Tarif Male'!D:D),(SUMIF('Mortality Tarif Female'!A:A,E106+1,'Mortality Tarif Female'!E:E)-SUMIF('Mortality Tarif Female'!A:A,$C$2+$H$2,'Mortality Tarif Female'!E:E))/SUMIF('Mortality Tarif Female'!A:A,E106+1,'Mortality Tarif Female'!D:D)))</f>
        <v>9.8564301561069279</v>
      </c>
      <c r="AB105">
        <f t="shared" si="41"/>
        <v>2529.9305946696395</v>
      </c>
      <c r="AC105">
        <f>IF(B105&gt;=$AF$2,0,MIN(1/3*(V105+W105+Y105-AB105),(V105-AB105),(T105*Z105+(1-T105)*AA105)*$AH$2*Assumptions!$B$22))</f>
        <v>273.83032446465671</v>
      </c>
      <c r="AD105">
        <f t="shared" si="57"/>
        <v>10119.560360442829</v>
      </c>
      <c r="AE105">
        <f t="shared" si="58"/>
        <v>10393.390684907485</v>
      </c>
      <c r="AF105">
        <f t="shared" si="59"/>
        <v>10119.560360442829</v>
      </c>
      <c r="AG105" s="26">
        <f t="shared" si="70"/>
        <v>0</v>
      </c>
      <c r="AH105" s="27">
        <f>IF(B105&gt;$AF$2,0,HLOOKUP(YEAR(A105),Assumptions!$A$34:$AL$37,4,TRUE)/100)</f>
        <v>9.1430000000000001E-3</v>
      </c>
      <c r="AI105">
        <f t="shared" si="60"/>
        <v>0</v>
      </c>
      <c r="AJ105">
        <f t="shared" si="61"/>
        <v>1.8308583699427985</v>
      </c>
      <c r="AK105">
        <f t="shared" si="62"/>
        <v>22.661065901061068</v>
      </c>
      <c r="AL105">
        <f>IF(E105&gt;Assumptions!$B$9,0,SUMPRODUCT($P$2:$X$2,Assumptions!$A$43:$I$43)/$I$2*O104*K105)</f>
        <v>4.2070255689072225</v>
      </c>
      <c r="AM105">
        <f t="shared" si="63"/>
        <v>0</v>
      </c>
      <c r="AN105">
        <f t="shared" si="64"/>
        <v>28.698949839911091</v>
      </c>
      <c r="AO105">
        <f>IF(E105&gt;Assumptions!$B$9,0,($V$2+$X$2)/$I$2*O104*K105*Assumptions!$B$46)</f>
        <v>0</v>
      </c>
      <c r="AP105">
        <f>IF(B105&gt;$AF$2,0,AP104*(1+Assumptions!$B$52)^(1/12))</f>
        <v>1.0810623967885942</v>
      </c>
      <c r="AQ105" s="29">
        <f>IF(B105&gt;$AF$2,0,O104*Assumptions!$B$48/12*AP104+AR105*Assumptions!$B$50/12)</f>
        <v>12.195937709260743</v>
      </c>
      <c r="AR105" s="31">
        <f t="shared" si="65"/>
        <v>7464.5277889452227</v>
      </c>
      <c r="AS105">
        <f t="shared" si="48"/>
        <v>7576.7981640065018</v>
      </c>
      <c r="AT105">
        <f t="shared" si="66"/>
        <v>15.072795469980557</v>
      </c>
      <c r="AU105" s="19">
        <f t="shared" si="67"/>
        <v>7475.7257816233232</v>
      </c>
      <c r="AV105" s="19">
        <f t="shared" si="68"/>
        <v>7574.1973551378724</v>
      </c>
      <c r="AW105">
        <f t="shared" si="69"/>
        <v>-122.0454254634794</v>
      </c>
      <c r="AX105">
        <f>IF(B105&gt;$AF$2,0,HLOOKUP(YEAR(A105),Assumptions!$A$34:$AL$37,2,TRUE)/100)</f>
        <v>1.5143E-2</v>
      </c>
      <c r="AY105" s="32">
        <f>1/(1+HLOOKUP(YEAR(A105),Assumptions!$A$27:$AL$29,3,TRUE))^(1/12)</f>
        <v>0.99875718171763528</v>
      </c>
      <c r="AZ105" s="30">
        <f t="shared" si="49"/>
        <v>8752.603170352837</v>
      </c>
      <c r="BA105">
        <f>IF(B105&gt;$AF$2,0,IF($E$2=0,(T105*Z105+(1-T105)*AA105)*$J$2*Assumptions!$B$20,0))</f>
        <v>0</v>
      </c>
    </row>
    <row r="106" spans="1:53" x14ac:dyDescent="0.25">
      <c r="A106" s="17">
        <f t="shared" si="50"/>
        <v>45991</v>
      </c>
      <c r="B106">
        <f t="shared" si="42"/>
        <v>325</v>
      </c>
      <c r="C106">
        <f t="shared" si="43"/>
        <v>27</v>
      </c>
      <c r="D106">
        <f t="shared" si="71"/>
        <v>1</v>
      </c>
      <c r="E106">
        <f t="shared" si="44"/>
        <v>50</v>
      </c>
      <c r="F106">
        <f>IF(C106&gt;=$H$2,0,VLOOKUP($E106,'Mortality Table'!$A$3:$C$128,2+AB$2,FALSE))</f>
        <v>1.4852000000000001E-3</v>
      </c>
      <c r="G106">
        <f>F106*Assumptions!$B$1</f>
        <v>1.6077290000000002E-3</v>
      </c>
      <c r="H106">
        <f t="shared" si="51"/>
        <v>1.3407624290673326E-4</v>
      </c>
      <c r="I106">
        <f t="shared" si="72"/>
        <v>1.0023697292613983E-4</v>
      </c>
      <c r="J106">
        <f>HLOOKUP(C106,Assumptions!$A$6:$J$7,2,TRUE)</f>
        <v>3.5200000000000002E-2</v>
      </c>
      <c r="K106" s="18">
        <f t="shared" si="45"/>
        <v>1</v>
      </c>
      <c r="L106" s="18">
        <f t="shared" si="52"/>
        <v>8.3333333333333329E-2</v>
      </c>
      <c r="M106" s="18">
        <f t="shared" si="73"/>
        <v>2.9817501439168836E-3</v>
      </c>
      <c r="N106">
        <f t="shared" si="74"/>
        <v>2.2323701502926286E-3</v>
      </c>
      <c r="O106" s="20">
        <f t="shared" si="75"/>
        <v>0.74639539035225089</v>
      </c>
      <c r="P106">
        <f>IF(B106&gt;$AF$2,0,O105*($E$2+IF(E106&lt;=Assumptions!$B$9,$D$2,0))/$I$2*K106)</f>
        <v>38.347352270701968</v>
      </c>
      <c r="Q106">
        <f t="shared" si="53"/>
        <v>26.1</v>
      </c>
      <c r="R106">
        <f>IF(B106&gt;$AF$2,0,IF($Y$2=1,(SUMIF('Mortality Tarif Male'!A:A,E107,'Mortality Tarif Male'!G:G)-SUMIF('Mortality Tarif Male'!A:A,$C$2+$H$2,'Mortality Tarif Male'!G:G)+SUMIF('Mortality Tarif Male'!A:A,$C$2+$H$2,'Mortality Tarif Male'!D:D))/SUMIF('Mortality Tarif Male'!A:A,E107,'Mortality Tarif Male'!D:D),(SUMIF('Mortality Tarif Female'!A:A,E107,'Mortality Tarif Female'!G:G)-SUMIF('Mortality Tarif Female'!A:A,$C$2+$H$2,'Mortality Tarif Female'!G:G)+SUMIF('Mortality Tarif Female'!A:A,$C$2+$H$2,'Mortality Tarif Female'!D:D))/SUMIF('Mortality Tarif Female'!A:A,E107,'Mortality Tarif Female'!D:D)))</f>
        <v>0.64532391626812635</v>
      </c>
      <c r="S106">
        <f>IF(B106&gt;=$AF$2,0,IF($Y$2=1,(SUMIF('Mortality Tarif Male'!A:A,E107+1,'Mortality Tarif Male'!G:G)-SUMIF('Mortality Tarif Male'!A:A,$C$2+$H$2,'Mortality Tarif Male'!G:G)+SUMIF('Mortality Tarif Male'!A:A,$C$2+$H$2,'Mortality Tarif Male'!D:D))/SUMIF('Mortality Tarif Male'!A:A,E107+1,'Mortality Tarif Male'!D:D),(SUMIF('Mortality Tarif Female'!A:A,E107+1,'Mortality Tarif Female'!G:G)-SUMIF('Mortality Tarif Female'!A:A,$C$2+$H$2,'Mortality Tarif Female'!G:G)+SUMIF('Mortality Tarif Female'!A:A,$C$2+$H$2,'Mortality Tarif Female'!D:D))/SUMIF('Mortality Tarif Female'!A:A,E107+1,'Mortality Tarif Female'!D:D)))</f>
        <v>0.66725422693849323</v>
      </c>
      <c r="T106">
        <f t="shared" si="54"/>
        <v>0.91666666666666785</v>
      </c>
      <c r="U106">
        <f t="shared" si="55"/>
        <v>0.64715144215732356</v>
      </c>
      <c r="V106">
        <f t="shared" si="56"/>
        <v>12943.028843146471</v>
      </c>
      <c r="W106">
        <f t="shared" si="46"/>
        <v>16.890652640306147</v>
      </c>
      <c r="X106">
        <f t="shared" si="47"/>
        <v>0</v>
      </c>
      <c r="Y106">
        <f>IF(B106&gt;$AF$2,0,IF(X107=0,0,(1-X107)*($E$2+IF(E106&lt;=Assumptions!$B$9,$D$2,0))/$I$2*1/(1+$AG$2)*1/(1+Assumptions!$B$11)))</f>
        <v>0</v>
      </c>
      <c r="Z106">
        <f>IF(B106&gt;$AF$2,0,IF($Y$2=1,(SUMIF('Mortality Tarif Male'!A:A,E107,'Mortality Tarif Male'!E:E)-SUMIF('Mortality Tarif Male'!A:A,$C$2+$H$2,'Mortality Tarif Male'!E:E))/SUMIF('Mortality Tarif Male'!A:A,E107,'Mortality Tarif Male'!D:D),(SUMIF('Mortality Tarif Female'!A:A,E107,'Mortality Tarif Female'!E:E)-SUMIF('Mortality Tarif Female'!A:A,$C$2+$H$2,'Mortality Tarif Female'!E:E))/SUMIF('Mortality Tarif Female'!A:A,E107,'Mortality Tarif Female'!D:D)))</f>
        <v>10.505276013394928</v>
      </c>
      <c r="AA106">
        <f>IF(B106&gt;=$AF$2,0,IF($Y$2=1,(SUMIF('Mortality Tarif Male'!A:A,E107+1,'Mortality Tarif Male'!E:E)-SUMIF('Mortality Tarif Male'!A:A,$C$2+$H$2,'Mortality Tarif Male'!E:E))/SUMIF('Mortality Tarif Male'!A:A,E107+1,'Mortality Tarif Male'!D:D),(SUMIF('Mortality Tarif Female'!A:A,E107+1,'Mortality Tarif Female'!E:E)-SUMIF('Mortality Tarif Female'!A:A,$C$2+$H$2,'Mortality Tarif Female'!E:E))/SUMIF('Mortality Tarif Female'!A:A,E107+1,'Mortality Tarif Female'!D:D)))</f>
        <v>9.8564301561069279</v>
      </c>
      <c r="AB106">
        <f t="shared" si="41"/>
        <v>2516.9090822451171</v>
      </c>
      <c r="AC106">
        <f>IF(B106&gt;=$AF$2,0,MIN(1/3*(V106+W106+Y106-AB106),(V106-AB106),(T106*Z106+(1-T106)*AA106)*$AH$2*Assumptions!$B$22))</f>
        <v>272.42092415156503</v>
      </c>
      <c r="AD106">
        <f t="shared" si="57"/>
        <v>10170.589489390093</v>
      </c>
      <c r="AE106">
        <f t="shared" si="58"/>
        <v>10443.010413541659</v>
      </c>
      <c r="AF106">
        <f t="shared" si="59"/>
        <v>10170.589489390093</v>
      </c>
      <c r="AG106" s="26">
        <f t="shared" si="70"/>
        <v>0</v>
      </c>
      <c r="AH106" s="27">
        <f>IF(B106&gt;$AF$2,0,HLOOKUP(YEAR(A106),Assumptions!$A$34:$AL$37,4,TRUE)/100)</f>
        <v>9.1430000000000001E-3</v>
      </c>
      <c r="AI106">
        <f t="shared" si="60"/>
        <v>0</v>
      </c>
      <c r="AJ106">
        <f t="shared" si="61"/>
        <v>2.0073556435161688</v>
      </c>
      <c r="AK106">
        <f t="shared" si="62"/>
        <v>22.704520386994393</v>
      </c>
      <c r="AL106">
        <f>IF(E106&gt;Assumptions!$B$9,0,SUMPRODUCT($P$2:$X$2,Assumptions!$A$43:$I$43)/$I$2*O105*K106)</f>
        <v>4.1939699287389445</v>
      </c>
      <c r="AM106">
        <f t="shared" si="63"/>
        <v>0</v>
      </c>
      <c r="AN106">
        <f t="shared" si="64"/>
        <v>28.905845959249504</v>
      </c>
      <c r="AO106">
        <f>IF(E106&gt;Assumptions!$B$9,0,($V$2+$X$2)/$I$2*O105*K106*Assumptions!$B$46)</f>
        <v>0</v>
      </c>
      <c r="AP106">
        <f>IF(B106&gt;$AF$2,0,AP105*(1+Assumptions!$B$52)^(1/12))</f>
        <v>1.0819591792507168</v>
      </c>
      <c r="AQ106" s="29">
        <f>IF(B106&gt;$AF$2,0,O105*Assumptions!$B$48/12*AP105+AR106*Assumptions!$B$50/12)</f>
        <v>12.172537497134154</v>
      </c>
      <c r="AR106" s="31">
        <f t="shared" si="65"/>
        <v>7465.5847887579048</v>
      </c>
      <c r="AS106">
        <f t="shared" si="48"/>
        <v>7591.2811120458182</v>
      </c>
      <c r="AT106">
        <f t="shared" si="66"/>
        <v>15.026020143621597</v>
      </c>
      <c r="AU106" s="19">
        <f t="shared" si="67"/>
        <v>7476.7335833878515</v>
      </c>
      <c r="AV106" s="19">
        <f t="shared" si="68"/>
        <v>7587.6302142213844</v>
      </c>
      <c r="AW106">
        <f t="shared" si="69"/>
        <v>-134.458586092654</v>
      </c>
      <c r="AX106">
        <f>IF(B106&gt;$AF$2,0,HLOOKUP(YEAR(A106),Assumptions!$A$34:$AL$37,2,TRUE)/100)</f>
        <v>1.5143E-2</v>
      </c>
      <c r="AY106" s="32">
        <f>1/(1+HLOOKUP(YEAR(A106),Assumptions!$A$27:$AL$29,3,TRUE))^(1/12)</f>
        <v>0.99875718171763528</v>
      </c>
      <c r="AZ106" s="30">
        <f t="shared" si="49"/>
        <v>8760.7635704755066</v>
      </c>
      <c r="BA106">
        <f>IF(B106&gt;$AF$2,0,IF($E$2=0,(T106*Z106+(1-T106)*AA106)*$J$2*Assumptions!$B$20,0))</f>
        <v>0</v>
      </c>
    </row>
    <row r="107" spans="1:53" x14ac:dyDescent="0.25">
      <c r="A107" s="17">
        <f t="shared" si="50"/>
        <v>46022</v>
      </c>
      <c r="B107">
        <f t="shared" si="42"/>
        <v>326</v>
      </c>
      <c r="C107">
        <f t="shared" si="43"/>
        <v>27.083333333333332</v>
      </c>
      <c r="D107">
        <f t="shared" si="71"/>
        <v>0</v>
      </c>
      <c r="E107">
        <f t="shared" si="44"/>
        <v>50</v>
      </c>
      <c r="F107">
        <f>IF(C107&gt;=$H$2,0,VLOOKUP($E107,'Mortality Table'!$A$3:$C$128,2+AB$2,FALSE))</f>
        <v>1.4852000000000001E-3</v>
      </c>
      <c r="G107">
        <f>F107*Assumptions!$B$1</f>
        <v>1.6077290000000002E-3</v>
      </c>
      <c r="H107">
        <f t="shared" si="51"/>
        <v>1.3407624290673326E-4</v>
      </c>
      <c r="I107">
        <f t="shared" si="72"/>
        <v>9.9924691993884368E-5</v>
      </c>
      <c r="J107">
        <f>HLOOKUP(C107,Assumptions!$A$6:$J$7,2,TRUE)</f>
        <v>3.5200000000000002E-2</v>
      </c>
      <c r="K107" s="18">
        <f t="shared" si="45"/>
        <v>1</v>
      </c>
      <c r="L107" s="18">
        <f t="shared" si="52"/>
        <v>8.3333333333333329E-2</v>
      </c>
      <c r="M107" s="18">
        <f t="shared" si="73"/>
        <v>2.9817501439168836E-3</v>
      </c>
      <c r="N107">
        <f t="shared" si="74"/>
        <v>2.2254153649342726E-3</v>
      </c>
      <c r="O107" s="20">
        <f t="shared" si="75"/>
        <v>0.74407005029532269</v>
      </c>
      <c r="P107">
        <f>IF(B107&gt;$AF$2,0,O106*($E$2+IF(E107&lt;=Assumptions!$B$9,$D$2,0))/$I$2*K107)</f>
        <v>38.227883909207776</v>
      </c>
      <c r="Q107">
        <f t="shared" si="53"/>
        <v>26.1</v>
      </c>
      <c r="R107">
        <f>IF(B107&gt;$AF$2,0,IF($Y$2=1,(SUMIF('Mortality Tarif Male'!A:A,E108,'Mortality Tarif Male'!G:G)-SUMIF('Mortality Tarif Male'!A:A,$C$2+$H$2,'Mortality Tarif Male'!G:G)+SUMIF('Mortality Tarif Male'!A:A,$C$2+$H$2,'Mortality Tarif Male'!D:D))/SUMIF('Mortality Tarif Male'!A:A,E108,'Mortality Tarif Male'!D:D),(SUMIF('Mortality Tarif Female'!A:A,E108,'Mortality Tarif Female'!G:G)-SUMIF('Mortality Tarif Female'!A:A,$C$2+$H$2,'Mortality Tarif Female'!G:G)+SUMIF('Mortality Tarif Female'!A:A,$C$2+$H$2,'Mortality Tarif Female'!D:D))/SUMIF('Mortality Tarif Female'!A:A,E108,'Mortality Tarif Female'!D:D)))</f>
        <v>0.64532391626812635</v>
      </c>
      <c r="S107">
        <f>IF(B107&gt;=$AF$2,0,IF($Y$2=1,(SUMIF('Mortality Tarif Male'!A:A,E108+1,'Mortality Tarif Male'!G:G)-SUMIF('Mortality Tarif Male'!A:A,$C$2+$H$2,'Mortality Tarif Male'!G:G)+SUMIF('Mortality Tarif Male'!A:A,$C$2+$H$2,'Mortality Tarif Male'!D:D))/SUMIF('Mortality Tarif Male'!A:A,E108+1,'Mortality Tarif Male'!D:D),(SUMIF('Mortality Tarif Female'!A:A,E108+1,'Mortality Tarif Female'!G:G)-SUMIF('Mortality Tarif Female'!A:A,$C$2+$H$2,'Mortality Tarif Female'!G:G)+SUMIF('Mortality Tarif Female'!A:A,$C$2+$H$2,'Mortality Tarif Female'!D:D))/SUMIF('Mortality Tarif Female'!A:A,E108+1,'Mortality Tarif Female'!D:D)))</f>
        <v>0.66725422693849323</v>
      </c>
      <c r="T107">
        <f t="shared" si="54"/>
        <v>0.83333333333333215</v>
      </c>
      <c r="U107">
        <f t="shared" si="55"/>
        <v>0.64897896804652089</v>
      </c>
      <c r="V107">
        <f t="shared" si="56"/>
        <v>12979.579360930418</v>
      </c>
      <c r="W107">
        <f t="shared" si="46"/>
        <v>16.938351066014196</v>
      </c>
      <c r="X107">
        <f t="shared" si="47"/>
        <v>0</v>
      </c>
      <c r="Y107">
        <f>IF(B107&gt;$AF$2,0,IF(X108=0,0,(1-X108)*($E$2+IF(E107&lt;=Assumptions!$B$9,$D$2,0))/$I$2*1/(1+$AG$2)*1/(1+Assumptions!$B$11)))</f>
        <v>0</v>
      </c>
      <c r="Z107">
        <f>IF(B107&gt;$AF$2,0,IF($Y$2=1,(SUMIF('Mortality Tarif Male'!A:A,E108,'Mortality Tarif Male'!E:E)-SUMIF('Mortality Tarif Male'!A:A,$C$2+$H$2,'Mortality Tarif Male'!E:E))/SUMIF('Mortality Tarif Male'!A:A,E108,'Mortality Tarif Male'!D:D),(SUMIF('Mortality Tarif Female'!A:A,E108,'Mortality Tarif Female'!E:E)-SUMIF('Mortality Tarif Female'!A:A,$C$2+$H$2,'Mortality Tarif Female'!E:E))/SUMIF('Mortality Tarif Female'!A:A,E108,'Mortality Tarif Female'!D:D)))</f>
        <v>10.505276013394928</v>
      </c>
      <c r="AA107">
        <f>IF(B107&gt;=$AF$2,0,IF($Y$2=1,(SUMIF('Mortality Tarif Male'!A:A,E108+1,'Mortality Tarif Male'!E:E)-SUMIF('Mortality Tarif Male'!A:A,$C$2+$H$2,'Mortality Tarif Male'!E:E))/SUMIF('Mortality Tarif Male'!A:A,E108+1,'Mortality Tarif Male'!D:D),(SUMIF('Mortality Tarif Female'!A:A,E108+1,'Mortality Tarif Female'!E:E)-SUMIF('Mortality Tarif Female'!A:A,$C$2+$H$2,'Mortality Tarif Female'!E:E))/SUMIF('Mortality Tarif Female'!A:A,E108+1,'Mortality Tarif Female'!D:D)))</f>
        <v>9.8564301561069279</v>
      </c>
      <c r="AB107">
        <f t="shared" si="41"/>
        <v>2503.8875698205939</v>
      </c>
      <c r="AC107">
        <f>IF(B107&gt;=$AF$2,0,MIN(1/3*(V107+W107+Y107-AB107),(V107-AB107),(T107*Z107+(1-T107)*AA107)*$AH$2*Assumptions!$B$22))</f>
        <v>271.01152383847329</v>
      </c>
      <c r="AD107">
        <f t="shared" si="57"/>
        <v>10221.618618337365</v>
      </c>
      <c r="AE107">
        <f t="shared" si="58"/>
        <v>10492.630142175838</v>
      </c>
      <c r="AF107">
        <f t="shared" si="59"/>
        <v>10221.618618337365</v>
      </c>
      <c r="AG107" s="26">
        <f t="shared" si="70"/>
        <v>9947.3147490292013</v>
      </c>
      <c r="AH107" s="27">
        <f>IF(B107&gt;$AF$2,0,HLOOKUP(YEAR(A107),Assumptions!$A$34:$AL$37,4,TRUE)/100)</f>
        <v>9.1430000000000001E-3</v>
      </c>
      <c r="AI107">
        <f t="shared" si="60"/>
        <v>0</v>
      </c>
      <c r="AJ107">
        <f t="shared" si="61"/>
        <v>2.0011018743387274</v>
      </c>
      <c r="AK107">
        <f t="shared" si="62"/>
        <v>22.747347127746202</v>
      </c>
      <c r="AL107">
        <f>IF(E107&gt;Assumptions!$B$9,0,SUMPRODUCT($P$2:$X$2,Assumptions!$A$43:$I$43)/$I$2*O106*K107)</f>
        <v>4.1809039232425187</v>
      </c>
      <c r="AM107">
        <f t="shared" si="63"/>
        <v>0</v>
      </c>
      <c r="AN107">
        <f t="shared" si="64"/>
        <v>28.929352925327446</v>
      </c>
      <c r="AO107">
        <f>IF(E107&gt;Assumptions!$B$9,0,($V$2+$X$2)/$I$2*O106*K107*Assumptions!$B$46)</f>
        <v>0</v>
      </c>
      <c r="AP107">
        <f>IF(B107&gt;$AF$2,0,AP106*(1+Assumptions!$B$52)^(1/12))</f>
        <v>1.082856705628072</v>
      </c>
      <c r="AQ107" s="29">
        <f>IF(B107&gt;$AF$2,0,O106*Assumptions!$B$48/12*AP106+AR107*Assumptions!$B$50/12)</f>
        <v>12.14930184251762</v>
      </c>
      <c r="AR107" s="31">
        <f t="shared" si="65"/>
        <v>7467.6208297106223</v>
      </c>
      <c r="AS107">
        <f t="shared" si="48"/>
        <v>7605.60027944589</v>
      </c>
      <c r="AT107">
        <f t="shared" si="66"/>
        <v>14.979207680699387</v>
      </c>
      <c r="AU107" s="19">
        <f t="shared" si="67"/>
        <v>7478.7202040966122</v>
      </c>
      <c r="AV107" s="19">
        <f t="shared" si="68"/>
        <v>7602.0794158032759</v>
      </c>
      <c r="AW107">
        <f t="shared" si="69"/>
        <v>0</v>
      </c>
      <c r="AX107">
        <f>IF(B107&gt;$AF$2,0,HLOOKUP(YEAR(A107),Assumptions!$A$34:$AL$37,2,TRUE)/100)</f>
        <v>1.5143E-2</v>
      </c>
      <c r="AY107" s="32">
        <f>1/(1+HLOOKUP(YEAR(A107),Assumptions!$A$27:$AL$29,3,TRUE))^(1/12)</f>
        <v>0.99875718171763528</v>
      </c>
      <c r="AZ107" s="30">
        <f t="shared" si="49"/>
        <v>8768.8143854398968</v>
      </c>
      <c r="BA107">
        <f>IF(B107&gt;$AF$2,0,IF($E$2=0,(T107*Z107+(1-T107)*AA107)*$J$2*Assumptions!$B$20,0))</f>
        <v>0</v>
      </c>
    </row>
    <row r="108" spans="1:53" x14ac:dyDescent="0.25">
      <c r="A108" s="17">
        <f t="shared" si="50"/>
        <v>46053</v>
      </c>
      <c r="B108">
        <f t="shared" si="42"/>
        <v>327</v>
      </c>
      <c r="C108">
        <f t="shared" si="43"/>
        <v>27.166666666666668</v>
      </c>
      <c r="D108">
        <f t="shared" si="71"/>
        <v>0</v>
      </c>
      <c r="E108">
        <f t="shared" si="44"/>
        <v>50</v>
      </c>
      <c r="F108">
        <f>IF(C108&gt;=$H$2,0,VLOOKUP($E108,'Mortality Table'!$A$3:$C$128,2+AB$2,FALSE))</f>
        <v>1.4852000000000001E-3</v>
      </c>
      <c r="G108">
        <f>F108*Assumptions!$B$1</f>
        <v>1.6077290000000002E-3</v>
      </c>
      <c r="H108">
        <f t="shared" si="51"/>
        <v>1.3407624290673326E-4</v>
      </c>
      <c r="I108">
        <f t="shared" si="72"/>
        <v>9.9613383949953492E-5</v>
      </c>
      <c r="J108">
        <f>HLOOKUP(C108,Assumptions!$A$6:$J$7,2,TRUE)</f>
        <v>3.5200000000000002E-2</v>
      </c>
      <c r="K108" s="18">
        <f t="shared" si="45"/>
        <v>1</v>
      </c>
      <c r="L108" s="18">
        <f t="shared" si="52"/>
        <v>8.3333333333333329E-2</v>
      </c>
      <c r="M108" s="18">
        <f t="shared" si="73"/>
        <v>2.9817501439168836E-3</v>
      </c>
      <c r="N108">
        <f t="shared" si="74"/>
        <v>2.2184822466992538E-3</v>
      </c>
      <c r="O108" s="20">
        <f t="shared" si="75"/>
        <v>0.74175195466467347</v>
      </c>
      <c r="P108">
        <f>IF(B108&gt;$AF$2,0,O107*($E$2+IF(E108&lt;=Assumptions!$B$9,$D$2,0))/$I$2*K108)</f>
        <v>38.108787742625438</v>
      </c>
      <c r="Q108">
        <f t="shared" si="53"/>
        <v>26.1</v>
      </c>
      <c r="R108">
        <f>IF(B108&gt;$AF$2,0,IF($Y$2=1,(SUMIF('Mortality Tarif Male'!A:A,E109,'Mortality Tarif Male'!G:G)-SUMIF('Mortality Tarif Male'!A:A,$C$2+$H$2,'Mortality Tarif Male'!G:G)+SUMIF('Mortality Tarif Male'!A:A,$C$2+$H$2,'Mortality Tarif Male'!D:D))/SUMIF('Mortality Tarif Male'!A:A,E109,'Mortality Tarif Male'!D:D),(SUMIF('Mortality Tarif Female'!A:A,E109,'Mortality Tarif Female'!G:G)-SUMIF('Mortality Tarif Female'!A:A,$C$2+$H$2,'Mortality Tarif Female'!G:G)+SUMIF('Mortality Tarif Female'!A:A,$C$2+$H$2,'Mortality Tarif Female'!D:D))/SUMIF('Mortality Tarif Female'!A:A,E109,'Mortality Tarif Female'!D:D)))</f>
        <v>0.64532391626812635</v>
      </c>
      <c r="S108">
        <f>IF(B108&gt;=$AF$2,0,IF($Y$2=1,(SUMIF('Mortality Tarif Male'!A:A,E109+1,'Mortality Tarif Male'!G:G)-SUMIF('Mortality Tarif Male'!A:A,$C$2+$H$2,'Mortality Tarif Male'!G:G)+SUMIF('Mortality Tarif Male'!A:A,$C$2+$H$2,'Mortality Tarif Male'!D:D))/SUMIF('Mortality Tarif Male'!A:A,E109+1,'Mortality Tarif Male'!D:D),(SUMIF('Mortality Tarif Female'!A:A,E109+1,'Mortality Tarif Female'!G:G)-SUMIF('Mortality Tarif Female'!A:A,$C$2+$H$2,'Mortality Tarif Female'!G:G)+SUMIF('Mortality Tarif Female'!A:A,$C$2+$H$2,'Mortality Tarif Female'!D:D))/SUMIF('Mortality Tarif Female'!A:A,E109+1,'Mortality Tarif Female'!D:D)))</f>
        <v>0.66725422693849323</v>
      </c>
      <c r="T108">
        <f t="shared" si="54"/>
        <v>0.75</v>
      </c>
      <c r="U108">
        <f t="shared" si="55"/>
        <v>0.6508064939357181</v>
      </c>
      <c r="V108">
        <f t="shared" si="56"/>
        <v>13016.129878714362</v>
      </c>
      <c r="W108">
        <f t="shared" si="46"/>
        <v>16.986049491722245</v>
      </c>
      <c r="X108">
        <f t="shared" si="47"/>
        <v>0</v>
      </c>
      <c r="Y108">
        <f>IF(B108&gt;$AF$2,0,IF(X109=0,0,(1-X109)*($E$2+IF(E108&lt;=Assumptions!$B$9,$D$2,0))/$I$2*1/(1+$AG$2)*1/(1+Assumptions!$B$11)))</f>
        <v>0</v>
      </c>
      <c r="Z108">
        <f>IF(B108&gt;$AF$2,0,IF($Y$2=1,(SUMIF('Mortality Tarif Male'!A:A,E109,'Mortality Tarif Male'!E:E)-SUMIF('Mortality Tarif Male'!A:A,$C$2+$H$2,'Mortality Tarif Male'!E:E))/SUMIF('Mortality Tarif Male'!A:A,E109,'Mortality Tarif Male'!D:D),(SUMIF('Mortality Tarif Female'!A:A,E109,'Mortality Tarif Female'!E:E)-SUMIF('Mortality Tarif Female'!A:A,$C$2+$H$2,'Mortality Tarif Female'!E:E))/SUMIF('Mortality Tarif Female'!A:A,E109,'Mortality Tarif Female'!D:D)))</f>
        <v>10.505276013394928</v>
      </c>
      <c r="AA108">
        <f>IF(B108&gt;=$AF$2,0,IF($Y$2=1,(SUMIF('Mortality Tarif Male'!A:A,E109+1,'Mortality Tarif Male'!E:E)-SUMIF('Mortality Tarif Male'!A:A,$C$2+$H$2,'Mortality Tarif Male'!E:E))/SUMIF('Mortality Tarif Male'!A:A,E109+1,'Mortality Tarif Male'!D:D),(SUMIF('Mortality Tarif Female'!A:A,E109+1,'Mortality Tarif Female'!E:E)-SUMIF('Mortality Tarif Female'!A:A,$C$2+$H$2,'Mortality Tarif Female'!E:E))/SUMIF('Mortality Tarif Female'!A:A,E109+1,'Mortality Tarif Female'!D:D)))</f>
        <v>9.8564301561069279</v>
      </c>
      <c r="AB108">
        <f t="shared" si="41"/>
        <v>2490.866057396071</v>
      </c>
      <c r="AC108">
        <f>IF(B108&gt;=$AF$2,0,MIN(1/3*(V108+W108+Y108-AB108),(V108-AB108),(T108*Z108+(1-T108)*AA108)*$AH$2*Assumptions!$B$22))</f>
        <v>269.60212352538161</v>
      </c>
      <c r="AD108">
        <f t="shared" si="57"/>
        <v>10272.647747284633</v>
      </c>
      <c r="AE108">
        <f t="shared" si="58"/>
        <v>10542.249870810014</v>
      </c>
      <c r="AF108">
        <f t="shared" si="59"/>
        <v>10272.647747284633</v>
      </c>
      <c r="AG108" s="26">
        <f t="shared" si="70"/>
        <v>0</v>
      </c>
      <c r="AH108" s="27">
        <f>IF(B108&gt;$AF$2,0,HLOOKUP(YEAR(A108),Assumptions!$A$34:$AL$37,4,TRUE)/100)</f>
        <v>9.5729999999999999E-3</v>
      </c>
      <c r="AI108">
        <f t="shared" si="60"/>
        <v>0</v>
      </c>
      <c r="AJ108">
        <f t="shared" si="61"/>
        <v>1.9948675883201634</v>
      </c>
      <c r="AK108">
        <f t="shared" si="62"/>
        <v>22.789686653946042</v>
      </c>
      <c r="AL108">
        <f>IF(E108&gt;Assumptions!$B$9,0,SUMPRODUCT($P$2:$X$2,Assumptions!$A$43:$I$43)/$I$2*O107*K108)</f>
        <v>4.1678786239272378</v>
      </c>
      <c r="AM108">
        <f t="shared" si="63"/>
        <v>0</v>
      </c>
      <c r="AN108">
        <f t="shared" si="64"/>
        <v>28.95243286619344</v>
      </c>
      <c r="AO108">
        <f>IF(E108&gt;Assumptions!$B$9,0,($V$2+$X$2)/$I$2*O107*K108*Assumptions!$B$46)</f>
        <v>0</v>
      </c>
      <c r="AP108">
        <f>IF(B108&gt;$AF$2,0,AP107*(1+Assumptions!$B$52)^(1/12))</f>
        <v>1.0837549765377659</v>
      </c>
      <c r="AQ108" s="29">
        <f>IF(B108&gt;$AF$2,0,O107*Assumptions!$B$48/12*AP107+AR108*Assumptions!$B$50/12)</f>
        <v>12.161574938637692</v>
      </c>
      <c r="AR108" s="31">
        <f t="shared" si="65"/>
        <v>7616.3649418805326</v>
      </c>
      <c r="AS108">
        <f t="shared" si="48"/>
        <v>7619.756546130031</v>
      </c>
      <c r="AT108">
        <f t="shared" si="66"/>
        <v>14.932541058569608</v>
      </c>
      <c r="AU108" s="19">
        <f t="shared" si="67"/>
        <v>7627.3796136259507</v>
      </c>
      <c r="AV108" s="19">
        <f t="shared" si="68"/>
        <v>7616.3649418805326</v>
      </c>
      <c r="AW108">
        <f t="shared" si="69"/>
        <v>-12.037336703803765</v>
      </c>
      <c r="AX108">
        <f>IF(B108&gt;$AF$2,0,HLOOKUP(YEAR(A108),Assumptions!$A$34:$AL$37,2,TRUE)/100)</f>
        <v>1.5572999999999998E-2</v>
      </c>
      <c r="AY108" s="32">
        <f>1/(1+HLOOKUP(YEAR(A108),Assumptions!$A$27:$AL$29,3,TRUE))^(1/12)</f>
        <v>0.99874849053349435</v>
      </c>
      <c r="AZ108" s="30">
        <f t="shared" si="49"/>
        <v>8776.7971711843838</v>
      </c>
      <c r="BA108">
        <f>IF(B108&gt;$AF$2,0,IF($E$2=0,(T108*Z108+(1-T108)*AA108)*$J$2*Assumptions!$B$20,0))</f>
        <v>0</v>
      </c>
    </row>
    <row r="109" spans="1:53" x14ac:dyDescent="0.25">
      <c r="A109" s="17">
        <f t="shared" si="50"/>
        <v>46081</v>
      </c>
      <c r="B109">
        <f t="shared" si="42"/>
        <v>328</v>
      </c>
      <c r="C109">
        <f t="shared" si="43"/>
        <v>27.25</v>
      </c>
      <c r="D109">
        <f t="shared" si="71"/>
        <v>0</v>
      </c>
      <c r="E109">
        <f t="shared" si="44"/>
        <v>50</v>
      </c>
      <c r="F109">
        <f>IF(C109&gt;=$H$2,0,VLOOKUP($E109,'Mortality Table'!$A$3:$C$128,2+AB$2,FALSE))</f>
        <v>1.4852000000000001E-3</v>
      </c>
      <c r="G109">
        <f>F109*Assumptions!$B$1</f>
        <v>1.6077290000000002E-3</v>
      </c>
      <c r="H109">
        <f t="shared" si="51"/>
        <v>1.3407624290673326E-4</v>
      </c>
      <c r="I109">
        <f t="shared" si="72"/>
        <v>9.9303045763385006E-5</v>
      </c>
      <c r="J109">
        <f>HLOOKUP(C109,Assumptions!$A$6:$J$7,2,TRUE)</f>
        <v>3.5200000000000002E-2</v>
      </c>
      <c r="K109" s="18">
        <f t="shared" si="45"/>
        <v>1</v>
      </c>
      <c r="L109" s="18">
        <f t="shared" si="52"/>
        <v>8.3333333333333329E-2</v>
      </c>
      <c r="M109" s="18">
        <f t="shared" si="73"/>
        <v>2.9817501439168836E-3</v>
      </c>
      <c r="N109">
        <f t="shared" si="74"/>
        <v>2.21157072808524E-3</v>
      </c>
      <c r="O109" s="20">
        <f t="shared" si="75"/>
        <v>0.73944108089082494</v>
      </c>
      <c r="P109">
        <f>IF(B109&gt;$AF$2,0,O108*($E$2+IF(E109&lt;=Assumptions!$B$9,$D$2,0))/$I$2*K109)</f>
        <v>37.990062611409023</v>
      </c>
      <c r="Q109">
        <f t="shared" si="53"/>
        <v>26.1</v>
      </c>
      <c r="R109">
        <f>IF(B109&gt;$AF$2,0,IF($Y$2=1,(SUMIF('Mortality Tarif Male'!A:A,E110,'Mortality Tarif Male'!G:G)-SUMIF('Mortality Tarif Male'!A:A,$C$2+$H$2,'Mortality Tarif Male'!G:G)+SUMIF('Mortality Tarif Male'!A:A,$C$2+$H$2,'Mortality Tarif Male'!D:D))/SUMIF('Mortality Tarif Male'!A:A,E110,'Mortality Tarif Male'!D:D),(SUMIF('Mortality Tarif Female'!A:A,E110,'Mortality Tarif Female'!G:G)-SUMIF('Mortality Tarif Female'!A:A,$C$2+$H$2,'Mortality Tarif Female'!G:G)+SUMIF('Mortality Tarif Female'!A:A,$C$2+$H$2,'Mortality Tarif Female'!D:D))/SUMIF('Mortality Tarif Female'!A:A,E110,'Mortality Tarif Female'!D:D)))</f>
        <v>0.64532391626812635</v>
      </c>
      <c r="S109">
        <f>IF(B109&gt;=$AF$2,0,IF($Y$2=1,(SUMIF('Mortality Tarif Male'!A:A,E110+1,'Mortality Tarif Male'!G:G)-SUMIF('Mortality Tarif Male'!A:A,$C$2+$H$2,'Mortality Tarif Male'!G:G)+SUMIF('Mortality Tarif Male'!A:A,$C$2+$H$2,'Mortality Tarif Male'!D:D))/SUMIF('Mortality Tarif Male'!A:A,E110+1,'Mortality Tarif Male'!D:D),(SUMIF('Mortality Tarif Female'!A:A,E110+1,'Mortality Tarif Female'!G:G)-SUMIF('Mortality Tarif Female'!A:A,$C$2+$H$2,'Mortality Tarif Female'!G:G)+SUMIF('Mortality Tarif Female'!A:A,$C$2+$H$2,'Mortality Tarif Female'!D:D))/SUMIF('Mortality Tarif Female'!A:A,E110+1,'Mortality Tarif Female'!D:D)))</f>
        <v>0.66725422693849323</v>
      </c>
      <c r="T109">
        <f t="shared" si="54"/>
        <v>0.66666666666666785</v>
      </c>
      <c r="U109">
        <f t="shared" si="55"/>
        <v>0.6526340198249152</v>
      </c>
      <c r="V109">
        <f t="shared" si="56"/>
        <v>13052.680396498305</v>
      </c>
      <c r="W109">
        <f t="shared" si="46"/>
        <v>17.033747917430286</v>
      </c>
      <c r="X109">
        <f t="shared" si="47"/>
        <v>0</v>
      </c>
      <c r="Y109">
        <f>IF(B109&gt;$AF$2,0,IF(X110=0,0,(1-X110)*($E$2+IF(E109&lt;=Assumptions!$B$9,$D$2,0))/$I$2*1/(1+$AG$2)*1/(1+Assumptions!$B$11)))</f>
        <v>0</v>
      </c>
      <c r="Z109">
        <f>IF(B109&gt;$AF$2,0,IF($Y$2=1,(SUMIF('Mortality Tarif Male'!A:A,E110,'Mortality Tarif Male'!E:E)-SUMIF('Mortality Tarif Male'!A:A,$C$2+$H$2,'Mortality Tarif Male'!E:E))/SUMIF('Mortality Tarif Male'!A:A,E110,'Mortality Tarif Male'!D:D),(SUMIF('Mortality Tarif Female'!A:A,E110,'Mortality Tarif Female'!E:E)-SUMIF('Mortality Tarif Female'!A:A,$C$2+$H$2,'Mortality Tarif Female'!E:E))/SUMIF('Mortality Tarif Female'!A:A,E110,'Mortality Tarif Female'!D:D)))</f>
        <v>10.505276013394928</v>
      </c>
      <c r="AA109">
        <f>IF(B109&gt;=$AF$2,0,IF($Y$2=1,(SUMIF('Mortality Tarif Male'!A:A,E110+1,'Mortality Tarif Male'!E:E)-SUMIF('Mortality Tarif Male'!A:A,$C$2+$H$2,'Mortality Tarif Male'!E:E))/SUMIF('Mortality Tarif Male'!A:A,E110+1,'Mortality Tarif Male'!D:D),(SUMIF('Mortality Tarif Female'!A:A,E110+1,'Mortality Tarif Female'!E:E)-SUMIF('Mortality Tarif Female'!A:A,$C$2+$H$2,'Mortality Tarif Female'!E:E))/SUMIF('Mortality Tarif Female'!A:A,E110+1,'Mortality Tarif Female'!D:D)))</f>
        <v>9.8564301561069279</v>
      </c>
      <c r="AB109">
        <f t="shared" si="41"/>
        <v>2477.8445449715487</v>
      </c>
      <c r="AC109">
        <f>IF(B109&gt;=$AF$2,0,MIN(1/3*(V109+W109+Y109-AB109),(V109-AB109),(T109*Z109+(1-T109)*AA109)*$AH$2*Assumptions!$B$22))</f>
        <v>268.19272321228999</v>
      </c>
      <c r="AD109">
        <f t="shared" si="57"/>
        <v>10323.676876231895</v>
      </c>
      <c r="AE109">
        <f t="shared" si="58"/>
        <v>10591.869599444186</v>
      </c>
      <c r="AF109">
        <f t="shared" si="59"/>
        <v>10323.676876231895</v>
      </c>
      <c r="AG109" s="26">
        <f t="shared" si="70"/>
        <v>0</v>
      </c>
      <c r="AH109" s="27">
        <f>IF(B109&gt;$AF$2,0,HLOOKUP(YEAR(A109),Assumptions!$A$34:$AL$37,4,TRUE)/100)</f>
        <v>9.5729999999999999E-3</v>
      </c>
      <c r="AI109">
        <f t="shared" si="60"/>
        <v>0</v>
      </c>
      <c r="AJ109">
        <f t="shared" si="61"/>
        <v>1.9886527247621244</v>
      </c>
      <c r="AK109">
        <f t="shared" si="62"/>
        <v>22.831541585684928</v>
      </c>
      <c r="AL109">
        <f>IF(E109&gt;Assumptions!$B$9,0,SUMPRODUCT($P$2:$X$2,Assumptions!$A$43:$I$43)/$I$2*O108*K109)</f>
        <v>4.1548939039759816</v>
      </c>
      <c r="AM109">
        <f t="shared" si="63"/>
        <v>0</v>
      </c>
      <c r="AN109">
        <f t="shared" si="64"/>
        <v>28.975088214423035</v>
      </c>
      <c r="AO109">
        <f>IF(E109&gt;Assumptions!$B$9,0,($V$2+$X$2)/$I$2*O108*K109*Assumptions!$B$46)</f>
        <v>0</v>
      </c>
      <c r="AP109">
        <f>IF(B109&gt;$AF$2,0,AP108*(1+Assumptions!$B$52)^(1/12))</f>
        <v>1.0846539925974163</v>
      </c>
      <c r="AQ109" s="29">
        <f>IF(B109&gt;$AF$2,0,O108*Assumptions!$B$48/12*AP108+AR109*Assumptions!$B$50/12)</f>
        <v>12.138459686998583</v>
      </c>
      <c r="AR109" s="31">
        <f t="shared" si="65"/>
        <v>7618.4503353451273</v>
      </c>
      <c r="AS109">
        <f t="shared" si="48"/>
        <v>7633.7507881285273</v>
      </c>
      <c r="AT109">
        <f t="shared" si="66"/>
        <v>14.886019822875978</v>
      </c>
      <c r="AU109" s="19">
        <f t="shared" si="67"/>
        <v>7629.4159184466616</v>
      </c>
      <c r="AV109" s="19">
        <f t="shared" si="68"/>
        <v>7630.487672048931</v>
      </c>
      <c r="AW109">
        <f t="shared" si="69"/>
        <v>-24.112594397408195</v>
      </c>
      <c r="AX109">
        <f>IF(B109&gt;$AF$2,0,HLOOKUP(YEAR(A109),Assumptions!$A$34:$AL$37,2,TRUE)/100)</f>
        <v>1.5572999999999998E-2</v>
      </c>
      <c r="AY109" s="32">
        <f>1/(1+HLOOKUP(YEAR(A109),Assumptions!$A$27:$AL$29,3,TRUE))^(1/12)</f>
        <v>0.99874849053349435</v>
      </c>
      <c r="AZ109" s="30">
        <f t="shared" si="49"/>
        <v>8784.6716947519053</v>
      </c>
      <c r="BA109">
        <f>IF(B109&gt;$AF$2,0,IF($E$2=0,(T109*Z109+(1-T109)*AA109)*$J$2*Assumptions!$B$20,0))</f>
        <v>0</v>
      </c>
    </row>
    <row r="110" spans="1:53" x14ac:dyDescent="0.25">
      <c r="A110" s="17">
        <f t="shared" si="50"/>
        <v>46112</v>
      </c>
      <c r="B110">
        <f t="shared" si="42"/>
        <v>329</v>
      </c>
      <c r="C110">
        <f t="shared" si="43"/>
        <v>27.333333333333332</v>
      </c>
      <c r="D110">
        <f t="shared" si="71"/>
        <v>0</v>
      </c>
      <c r="E110">
        <f t="shared" si="44"/>
        <v>50</v>
      </c>
      <c r="F110">
        <f>IF(C110&gt;=$H$2,0,VLOOKUP($E110,'Mortality Table'!$A$3:$C$128,2+AB$2,FALSE))</f>
        <v>1.4852000000000001E-3</v>
      </c>
      <c r="G110">
        <f>F110*Assumptions!$B$1</f>
        <v>1.6077290000000002E-3</v>
      </c>
      <c r="H110">
        <f t="shared" si="51"/>
        <v>1.3407624290673326E-4</v>
      </c>
      <c r="I110">
        <f t="shared" si="72"/>
        <v>9.8993674412659513E-5</v>
      </c>
      <c r="J110">
        <f>HLOOKUP(C110,Assumptions!$A$6:$J$7,2,TRUE)</f>
        <v>3.5200000000000002E-2</v>
      </c>
      <c r="K110" s="18">
        <f t="shared" si="45"/>
        <v>1</v>
      </c>
      <c r="L110" s="18">
        <f t="shared" si="52"/>
        <v>8.3333333333333329E-2</v>
      </c>
      <c r="M110" s="18">
        <f t="shared" si="73"/>
        <v>2.9817501439168836E-3</v>
      </c>
      <c r="N110">
        <f t="shared" si="74"/>
        <v>2.2046807418001969E-3</v>
      </c>
      <c r="O110" s="20">
        <f t="shared" si="75"/>
        <v>0.73713740647461201</v>
      </c>
      <c r="P110">
        <f>IF(B110&gt;$AF$2,0,O109*($E$2+IF(E110&lt;=Assumptions!$B$9,$D$2,0))/$I$2*K110)</f>
        <v>37.871707359625077</v>
      </c>
      <c r="Q110">
        <f t="shared" si="53"/>
        <v>26.1</v>
      </c>
      <c r="R110">
        <f>IF(B110&gt;$AF$2,0,IF($Y$2=1,(SUMIF('Mortality Tarif Male'!A:A,E111,'Mortality Tarif Male'!G:G)-SUMIF('Mortality Tarif Male'!A:A,$C$2+$H$2,'Mortality Tarif Male'!G:G)+SUMIF('Mortality Tarif Male'!A:A,$C$2+$H$2,'Mortality Tarif Male'!D:D))/SUMIF('Mortality Tarif Male'!A:A,E111,'Mortality Tarif Male'!D:D),(SUMIF('Mortality Tarif Female'!A:A,E111,'Mortality Tarif Female'!G:G)-SUMIF('Mortality Tarif Female'!A:A,$C$2+$H$2,'Mortality Tarif Female'!G:G)+SUMIF('Mortality Tarif Female'!A:A,$C$2+$H$2,'Mortality Tarif Female'!D:D))/SUMIF('Mortality Tarif Female'!A:A,E111,'Mortality Tarif Female'!D:D)))</f>
        <v>0.64532391626812635</v>
      </c>
      <c r="S110">
        <f>IF(B110&gt;=$AF$2,0,IF($Y$2=1,(SUMIF('Mortality Tarif Male'!A:A,E111+1,'Mortality Tarif Male'!G:G)-SUMIF('Mortality Tarif Male'!A:A,$C$2+$H$2,'Mortality Tarif Male'!G:G)+SUMIF('Mortality Tarif Male'!A:A,$C$2+$H$2,'Mortality Tarif Male'!D:D))/SUMIF('Mortality Tarif Male'!A:A,E111+1,'Mortality Tarif Male'!D:D),(SUMIF('Mortality Tarif Female'!A:A,E111+1,'Mortality Tarif Female'!G:G)-SUMIF('Mortality Tarif Female'!A:A,$C$2+$H$2,'Mortality Tarif Female'!G:G)+SUMIF('Mortality Tarif Female'!A:A,$C$2+$H$2,'Mortality Tarif Female'!D:D))/SUMIF('Mortality Tarif Female'!A:A,E111+1,'Mortality Tarif Female'!D:D)))</f>
        <v>0.66725422693849323</v>
      </c>
      <c r="T110">
        <f t="shared" si="54"/>
        <v>0.58333333333333215</v>
      </c>
      <c r="U110">
        <f t="shared" si="55"/>
        <v>0.65446154571411252</v>
      </c>
      <c r="V110">
        <f t="shared" si="56"/>
        <v>13089.230914282251</v>
      </c>
      <c r="W110">
        <f t="shared" si="46"/>
        <v>17.081446343138339</v>
      </c>
      <c r="X110">
        <f t="shared" si="47"/>
        <v>0</v>
      </c>
      <c r="Y110">
        <f>IF(B110&gt;$AF$2,0,IF(X111=0,0,(1-X111)*($E$2+IF(E110&lt;=Assumptions!$B$9,$D$2,0))/$I$2*1/(1+$AG$2)*1/(1+Assumptions!$B$11)))</f>
        <v>0</v>
      </c>
      <c r="Z110">
        <f>IF(B110&gt;$AF$2,0,IF($Y$2=1,(SUMIF('Mortality Tarif Male'!A:A,E111,'Mortality Tarif Male'!E:E)-SUMIF('Mortality Tarif Male'!A:A,$C$2+$H$2,'Mortality Tarif Male'!E:E))/SUMIF('Mortality Tarif Male'!A:A,E111,'Mortality Tarif Male'!D:D),(SUMIF('Mortality Tarif Female'!A:A,E111,'Mortality Tarif Female'!E:E)-SUMIF('Mortality Tarif Female'!A:A,$C$2+$H$2,'Mortality Tarif Female'!E:E))/SUMIF('Mortality Tarif Female'!A:A,E111,'Mortality Tarif Female'!D:D)))</f>
        <v>10.505276013394928</v>
      </c>
      <c r="AA110">
        <f>IF(B110&gt;=$AF$2,0,IF($Y$2=1,(SUMIF('Mortality Tarif Male'!A:A,E111+1,'Mortality Tarif Male'!E:E)-SUMIF('Mortality Tarif Male'!A:A,$C$2+$H$2,'Mortality Tarif Male'!E:E))/SUMIF('Mortality Tarif Male'!A:A,E111+1,'Mortality Tarif Male'!D:D),(SUMIF('Mortality Tarif Female'!A:A,E111+1,'Mortality Tarif Female'!E:E)-SUMIF('Mortality Tarif Female'!A:A,$C$2+$H$2,'Mortality Tarif Female'!E:E))/SUMIF('Mortality Tarif Female'!A:A,E111+1,'Mortality Tarif Female'!D:D)))</f>
        <v>9.8564301561069279</v>
      </c>
      <c r="AB110">
        <f t="shared" si="41"/>
        <v>2464.8230325470254</v>
      </c>
      <c r="AC110">
        <f>IF(B110&gt;=$AF$2,0,MIN(1/3*(V110+W110+Y110-AB110),(V110-AB110),(T110*Z110+(1-T110)*AA110)*$AH$2*Assumptions!$B$22))</f>
        <v>266.7833228991982</v>
      </c>
      <c r="AD110">
        <f t="shared" si="57"/>
        <v>10374.706005179165</v>
      </c>
      <c r="AE110">
        <f t="shared" si="58"/>
        <v>10641.489328078364</v>
      </c>
      <c r="AF110">
        <f t="shared" si="59"/>
        <v>10374.706005179165</v>
      </c>
      <c r="AG110" s="26">
        <f t="shared" si="70"/>
        <v>0</v>
      </c>
      <c r="AH110" s="27">
        <f>IF(B110&gt;$AF$2,0,HLOOKUP(YEAR(A110),Assumptions!$A$34:$AL$37,4,TRUE)/100)</f>
        <v>9.5729999999999999E-3</v>
      </c>
      <c r="AI110">
        <f t="shared" si="60"/>
        <v>0</v>
      </c>
      <c r="AJ110">
        <f t="shared" si="61"/>
        <v>1.9824572231553605</v>
      </c>
      <c r="AK110">
        <f t="shared" si="62"/>
        <v>22.872914531457358</v>
      </c>
      <c r="AL110">
        <f>IF(E110&gt;Assumptions!$B$9,0,SUMPRODUCT($P$2:$X$2,Assumptions!$A$43:$I$43)/$I$2*O109*K110)</f>
        <v>4.1419496369667197</v>
      </c>
      <c r="AM110">
        <f t="shared" si="63"/>
        <v>0</v>
      </c>
      <c r="AN110">
        <f t="shared" si="64"/>
        <v>28.99732139157944</v>
      </c>
      <c r="AO110">
        <f>IF(E110&gt;Assumptions!$B$9,0,($V$2+$X$2)/$I$2*O109*K110*Assumptions!$B$46)</f>
        <v>0</v>
      </c>
      <c r="AP110">
        <f>IF(B110&gt;$AF$2,0,AP109*(1+Assumptions!$B$52)^(1/12))</f>
        <v>1.0855537544251537</v>
      </c>
      <c r="AQ110" s="29">
        <f>IF(B110&gt;$AF$2,0,O109*Assumptions!$B$48/12*AP109+AR110*Assumptions!$B$50/12)</f>
        <v>12.115350192351837</v>
      </c>
      <c r="AR110" s="31">
        <f t="shared" si="65"/>
        <v>7620.3358876148304</v>
      </c>
      <c r="AS110">
        <f t="shared" si="48"/>
        <v>7647.5838775943521</v>
      </c>
      <c r="AT110">
        <f t="shared" si="66"/>
        <v>14.839643520677726</v>
      </c>
      <c r="AU110" s="19">
        <f t="shared" si="67"/>
        <v>7631.2526012614262</v>
      </c>
      <c r="AV110" s="19">
        <f t="shared" si="68"/>
        <v>7644.4484820122389</v>
      </c>
      <c r="AW110">
        <f t="shared" si="69"/>
        <v>-36.225565452883615</v>
      </c>
      <c r="AX110">
        <f>IF(B110&gt;$AF$2,0,HLOOKUP(YEAR(A110),Assumptions!$A$34:$AL$37,2,TRUE)/100)</f>
        <v>1.5572999999999998E-2</v>
      </c>
      <c r="AY110" s="32">
        <f>1/(1+HLOOKUP(YEAR(A110),Assumptions!$A$27:$AL$29,3,TRUE))^(1/12)</f>
        <v>0.99874849053349435</v>
      </c>
      <c r="AZ110" s="30">
        <f t="shared" si="49"/>
        <v>8792.4386067750547</v>
      </c>
      <c r="BA110">
        <f>IF(B110&gt;$AF$2,0,IF($E$2=0,(T110*Z110+(1-T110)*AA110)*$J$2*Assumptions!$B$20,0))</f>
        <v>0</v>
      </c>
    </row>
    <row r="111" spans="1:53" x14ac:dyDescent="0.25">
      <c r="A111" s="17">
        <f t="shared" si="50"/>
        <v>46142</v>
      </c>
      <c r="B111">
        <f t="shared" si="42"/>
        <v>330</v>
      </c>
      <c r="C111">
        <f t="shared" si="43"/>
        <v>27.416666666666668</v>
      </c>
      <c r="D111">
        <f t="shared" si="71"/>
        <v>0</v>
      </c>
      <c r="E111">
        <f t="shared" si="44"/>
        <v>50</v>
      </c>
      <c r="F111">
        <f>IF(C111&gt;=$H$2,0,VLOOKUP($E111,'Mortality Table'!$A$3:$C$128,2+AB$2,FALSE))</f>
        <v>1.4852000000000001E-3</v>
      </c>
      <c r="G111">
        <f>F111*Assumptions!$B$1</f>
        <v>1.6077290000000002E-3</v>
      </c>
      <c r="H111">
        <f t="shared" si="51"/>
        <v>1.3407624290673326E-4</v>
      </c>
      <c r="I111">
        <f t="shared" si="72"/>
        <v>9.8685266885670852E-5</v>
      </c>
      <c r="J111">
        <f>HLOOKUP(C111,Assumptions!$A$6:$J$7,2,TRUE)</f>
        <v>3.5200000000000002E-2</v>
      </c>
      <c r="K111" s="18">
        <f t="shared" si="45"/>
        <v>1</v>
      </c>
      <c r="L111" s="18">
        <f t="shared" si="52"/>
        <v>8.3333333333333329E-2</v>
      </c>
      <c r="M111" s="18">
        <f t="shared" si="73"/>
        <v>2.9817501439168836E-3</v>
      </c>
      <c r="N111">
        <f t="shared" si="74"/>
        <v>2.1978122207617344E-3</v>
      </c>
      <c r="O111" s="20">
        <f t="shared" si="75"/>
        <v>0.73484090898696452</v>
      </c>
      <c r="P111">
        <f>IF(B111&gt;$AF$2,0,O110*($E$2+IF(E111&lt;=Assumptions!$B$9,$D$2,0))/$I$2*K111)</f>
        <v>37.753720834941369</v>
      </c>
      <c r="Q111">
        <f t="shared" si="53"/>
        <v>26.1</v>
      </c>
      <c r="R111">
        <f>IF(B111&gt;$AF$2,0,IF($Y$2=1,(SUMIF('Mortality Tarif Male'!A:A,E112,'Mortality Tarif Male'!G:G)-SUMIF('Mortality Tarif Male'!A:A,$C$2+$H$2,'Mortality Tarif Male'!G:G)+SUMIF('Mortality Tarif Male'!A:A,$C$2+$H$2,'Mortality Tarif Male'!D:D))/SUMIF('Mortality Tarif Male'!A:A,E112,'Mortality Tarif Male'!D:D),(SUMIF('Mortality Tarif Female'!A:A,E112,'Mortality Tarif Female'!G:G)-SUMIF('Mortality Tarif Female'!A:A,$C$2+$H$2,'Mortality Tarif Female'!G:G)+SUMIF('Mortality Tarif Female'!A:A,$C$2+$H$2,'Mortality Tarif Female'!D:D))/SUMIF('Mortality Tarif Female'!A:A,E112,'Mortality Tarif Female'!D:D)))</f>
        <v>0.64532391626812635</v>
      </c>
      <c r="S111">
        <f>IF(B111&gt;=$AF$2,0,IF($Y$2=1,(SUMIF('Mortality Tarif Male'!A:A,E112+1,'Mortality Tarif Male'!G:G)-SUMIF('Mortality Tarif Male'!A:A,$C$2+$H$2,'Mortality Tarif Male'!G:G)+SUMIF('Mortality Tarif Male'!A:A,$C$2+$H$2,'Mortality Tarif Male'!D:D))/SUMIF('Mortality Tarif Male'!A:A,E112+1,'Mortality Tarif Male'!D:D),(SUMIF('Mortality Tarif Female'!A:A,E112+1,'Mortality Tarif Female'!G:G)-SUMIF('Mortality Tarif Female'!A:A,$C$2+$H$2,'Mortality Tarif Female'!G:G)+SUMIF('Mortality Tarif Female'!A:A,$C$2+$H$2,'Mortality Tarif Female'!D:D))/SUMIF('Mortality Tarif Female'!A:A,E112+1,'Mortality Tarif Female'!D:D)))</f>
        <v>0.66725422693849323</v>
      </c>
      <c r="T111">
        <f t="shared" si="54"/>
        <v>0.5</v>
      </c>
      <c r="U111">
        <f t="shared" si="55"/>
        <v>0.65628907160330985</v>
      </c>
      <c r="V111">
        <f t="shared" si="56"/>
        <v>13125.781432066196</v>
      </c>
      <c r="W111">
        <f t="shared" si="46"/>
        <v>17.129144768846388</v>
      </c>
      <c r="X111">
        <f t="shared" si="47"/>
        <v>0</v>
      </c>
      <c r="Y111">
        <f>IF(B111&gt;$AF$2,0,IF(X112=0,0,(1-X112)*($E$2+IF(E111&lt;=Assumptions!$B$9,$D$2,0))/$I$2*1/(1+$AG$2)*1/(1+Assumptions!$B$11)))</f>
        <v>0</v>
      </c>
      <c r="Z111">
        <f>IF(B111&gt;$AF$2,0,IF($Y$2=1,(SUMIF('Mortality Tarif Male'!A:A,E112,'Mortality Tarif Male'!E:E)-SUMIF('Mortality Tarif Male'!A:A,$C$2+$H$2,'Mortality Tarif Male'!E:E))/SUMIF('Mortality Tarif Male'!A:A,E112,'Mortality Tarif Male'!D:D),(SUMIF('Mortality Tarif Female'!A:A,E112,'Mortality Tarif Female'!E:E)-SUMIF('Mortality Tarif Female'!A:A,$C$2+$H$2,'Mortality Tarif Female'!E:E))/SUMIF('Mortality Tarif Female'!A:A,E112,'Mortality Tarif Female'!D:D)))</f>
        <v>10.505276013394928</v>
      </c>
      <c r="AA111">
        <f>IF(B111&gt;=$AF$2,0,IF($Y$2=1,(SUMIF('Mortality Tarif Male'!A:A,E112+1,'Mortality Tarif Male'!E:E)-SUMIF('Mortality Tarif Male'!A:A,$C$2+$H$2,'Mortality Tarif Male'!E:E))/SUMIF('Mortality Tarif Male'!A:A,E112+1,'Mortality Tarif Male'!D:D),(SUMIF('Mortality Tarif Female'!A:A,E112+1,'Mortality Tarif Female'!E:E)-SUMIF('Mortality Tarif Female'!A:A,$C$2+$H$2,'Mortality Tarif Female'!E:E))/SUMIF('Mortality Tarif Female'!A:A,E112+1,'Mortality Tarif Female'!D:D)))</f>
        <v>9.8564301561069279</v>
      </c>
      <c r="AB111">
        <f t="shared" si="41"/>
        <v>2451.801520122503</v>
      </c>
      <c r="AC111">
        <f>IF(B111&gt;=$AF$2,0,MIN(1/3*(V111+W111+Y111-AB111),(V111-AB111),(T111*Z111+(1-T111)*AA111)*$AH$2*Assumptions!$B$22))</f>
        <v>265.37392258610657</v>
      </c>
      <c r="AD111">
        <f t="shared" si="57"/>
        <v>10425.735134126435</v>
      </c>
      <c r="AE111">
        <f t="shared" si="58"/>
        <v>10691.109056712541</v>
      </c>
      <c r="AF111">
        <f t="shared" si="59"/>
        <v>10425.735134126435</v>
      </c>
      <c r="AG111" s="26">
        <f t="shared" si="70"/>
        <v>0</v>
      </c>
      <c r="AH111" s="27">
        <f>IF(B111&gt;$AF$2,0,HLOOKUP(YEAR(A111),Assumptions!$A$34:$AL$37,4,TRUE)/100)</f>
        <v>9.5729999999999999E-3</v>
      </c>
      <c r="AI111">
        <f t="shared" si="60"/>
        <v>0</v>
      </c>
      <c r="AJ111">
        <f t="shared" si="61"/>
        <v>1.976281023179133</v>
      </c>
      <c r="AK111">
        <f t="shared" si="62"/>
        <v>22.913808088208057</v>
      </c>
      <c r="AL111">
        <f>IF(E111&gt;Assumptions!$B$9,0,SUMPRODUCT($P$2:$X$2,Assumptions!$A$43:$I$43)/$I$2*O110*K111)</f>
        <v>4.1290456968712794</v>
      </c>
      <c r="AM111">
        <f t="shared" si="63"/>
        <v>0</v>
      </c>
      <c r="AN111">
        <f t="shared" si="64"/>
        <v>29.019134808258471</v>
      </c>
      <c r="AO111">
        <f>IF(E111&gt;Assumptions!$B$9,0,($V$2+$X$2)/$I$2*O110*K111*Assumptions!$B$46)</f>
        <v>0</v>
      </c>
      <c r="AP111">
        <f>IF(B111&gt;$AF$2,0,AP110*(1+Assumptions!$B$52)^(1/12))</f>
        <v>1.086454262639621</v>
      </c>
      <c r="AQ111" s="29">
        <f>IF(B111&gt;$AF$2,0,O110*Assumptions!$B$48/12*AP110+AR111*Assumptions!$B$50/12)</f>
        <v>12.092246591869426</v>
      </c>
      <c r="AR111" s="31">
        <f t="shared" si="65"/>
        <v>7622.0226781450428</v>
      </c>
      <c r="AS111">
        <f t="shared" si="48"/>
        <v>7661.2566828188019</v>
      </c>
      <c r="AT111">
        <f t="shared" si="66"/>
        <v>14.793411700445178</v>
      </c>
      <c r="AU111" s="19">
        <f t="shared" si="67"/>
        <v>7632.8907406876697</v>
      </c>
      <c r="AV111" s="19">
        <f t="shared" si="68"/>
        <v>7658.2482435979264</v>
      </c>
      <c r="AW111">
        <f t="shared" si="69"/>
        <v>-48.376043355345757</v>
      </c>
      <c r="AX111">
        <f>IF(B111&gt;$AF$2,0,HLOOKUP(YEAR(A111),Assumptions!$A$34:$AL$37,2,TRUE)/100)</f>
        <v>1.5572999999999998E-2</v>
      </c>
      <c r="AY111" s="32">
        <f>1/(1+HLOOKUP(YEAR(A111),Assumptions!$A$27:$AL$29,3,TRUE))^(1/12)</f>
        <v>0.99874849053349435</v>
      </c>
      <c r="AZ111" s="30">
        <f t="shared" si="49"/>
        <v>8800.0985550016176</v>
      </c>
      <c r="BA111">
        <f>IF(B111&gt;$AF$2,0,IF($E$2=0,(T111*Z111+(1-T111)*AA111)*$J$2*Assumptions!$B$20,0))</f>
        <v>0</v>
      </c>
    </row>
    <row r="112" spans="1:53" x14ac:dyDescent="0.25">
      <c r="A112" s="17">
        <f t="shared" si="50"/>
        <v>46173</v>
      </c>
      <c r="B112">
        <f t="shared" si="42"/>
        <v>331</v>
      </c>
      <c r="C112">
        <f t="shared" si="43"/>
        <v>27.5</v>
      </c>
      <c r="D112">
        <f t="shared" si="71"/>
        <v>0</v>
      </c>
      <c r="E112">
        <f t="shared" si="44"/>
        <v>50</v>
      </c>
      <c r="F112">
        <f>IF(C112&gt;=$H$2,0,VLOOKUP($E112,'Mortality Table'!$A$3:$C$128,2+AB$2,FALSE))</f>
        <v>1.4852000000000001E-3</v>
      </c>
      <c r="G112">
        <f>F112*Assumptions!$B$1</f>
        <v>1.6077290000000002E-3</v>
      </c>
      <c r="H112">
        <f t="shared" si="51"/>
        <v>1.3407624290673326E-4</v>
      </c>
      <c r="I112">
        <f t="shared" si="72"/>
        <v>9.8377820179696942E-5</v>
      </c>
      <c r="J112">
        <f>HLOOKUP(C112,Assumptions!$A$6:$J$7,2,TRUE)</f>
        <v>3.5200000000000002E-2</v>
      </c>
      <c r="K112" s="18">
        <f t="shared" si="45"/>
        <v>1</v>
      </c>
      <c r="L112" s="18">
        <f t="shared" si="52"/>
        <v>8.3333333333333329E-2</v>
      </c>
      <c r="M112" s="18">
        <f t="shared" si="73"/>
        <v>2.9817501439168836E-3</v>
      </c>
      <c r="N112">
        <f t="shared" si="74"/>
        <v>2.1909650980964511E-3</v>
      </c>
      <c r="O112" s="20">
        <f t="shared" si="75"/>
        <v>0.73255156606868832</v>
      </c>
      <c r="P112">
        <f>IF(B112&gt;$AF$2,0,O111*($E$2+IF(E112&lt;=Assumptions!$B$9,$D$2,0))/$I$2*K112)</f>
        <v>37.636101888615691</v>
      </c>
      <c r="Q112">
        <f t="shared" si="53"/>
        <v>26.1</v>
      </c>
      <c r="R112">
        <f>IF(B112&gt;$AF$2,0,IF($Y$2=1,(SUMIF('Mortality Tarif Male'!A:A,E113,'Mortality Tarif Male'!G:G)-SUMIF('Mortality Tarif Male'!A:A,$C$2+$H$2,'Mortality Tarif Male'!G:G)+SUMIF('Mortality Tarif Male'!A:A,$C$2+$H$2,'Mortality Tarif Male'!D:D))/SUMIF('Mortality Tarif Male'!A:A,E113,'Mortality Tarif Male'!D:D),(SUMIF('Mortality Tarif Female'!A:A,E113,'Mortality Tarif Female'!G:G)-SUMIF('Mortality Tarif Female'!A:A,$C$2+$H$2,'Mortality Tarif Female'!G:G)+SUMIF('Mortality Tarif Female'!A:A,$C$2+$H$2,'Mortality Tarif Female'!D:D))/SUMIF('Mortality Tarif Female'!A:A,E113,'Mortality Tarif Female'!D:D)))</f>
        <v>0.64532391626812635</v>
      </c>
      <c r="S112">
        <f>IF(B112&gt;=$AF$2,0,IF($Y$2=1,(SUMIF('Mortality Tarif Male'!A:A,E113+1,'Mortality Tarif Male'!G:G)-SUMIF('Mortality Tarif Male'!A:A,$C$2+$H$2,'Mortality Tarif Male'!G:G)+SUMIF('Mortality Tarif Male'!A:A,$C$2+$H$2,'Mortality Tarif Male'!D:D))/SUMIF('Mortality Tarif Male'!A:A,E113+1,'Mortality Tarif Male'!D:D),(SUMIF('Mortality Tarif Female'!A:A,E113+1,'Mortality Tarif Female'!G:G)-SUMIF('Mortality Tarif Female'!A:A,$C$2+$H$2,'Mortality Tarif Female'!G:G)+SUMIF('Mortality Tarif Female'!A:A,$C$2+$H$2,'Mortality Tarif Female'!D:D))/SUMIF('Mortality Tarif Female'!A:A,E113+1,'Mortality Tarif Female'!D:D)))</f>
        <v>0.66725422693849323</v>
      </c>
      <c r="T112">
        <f t="shared" si="54"/>
        <v>0.41666666666666785</v>
      </c>
      <c r="U112">
        <f t="shared" si="55"/>
        <v>0.65811659749250695</v>
      </c>
      <c r="V112">
        <f t="shared" si="56"/>
        <v>13162.331949850139</v>
      </c>
      <c r="W112">
        <f t="shared" si="46"/>
        <v>17.176843194554433</v>
      </c>
      <c r="X112">
        <f t="shared" si="47"/>
        <v>0</v>
      </c>
      <c r="Y112">
        <f>IF(B112&gt;$AF$2,0,IF(X113=0,0,(1-X113)*($E$2+IF(E112&lt;=Assumptions!$B$9,$D$2,0))/$I$2*1/(1+$AG$2)*1/(1+Assumptions!$B$11)))</f>
        <v>0</v>
      </c>
      <c r="Z112">
        <f>IF(B112&gt;$AF$2,0,IF($Y$2=1,(SUMIF('Mortality Tarif Male'!A:A,E113,'Mortality Tarif Male'!E:E)-SUMIF('Mortality Tarif Male'!A:A,$C$2+$H$2,'Mortality Tarif Male'!E:E))/SUMIF('Mortality Tarif Male'!A:A,E113,'Mortality Tarif Male'!D:D),(SUMIF('Mortality Tarif Female'!A:A,E113,'Mortality Tarif Female'!E:E)-SUMIF('Mortality Tarif Female'!A:A,$C$2+$H$2,'Mortality Tarif Female'!E:E))/SUMIF('Mortality Tarif Female'!A:A,E113,'Mortality Tarif Female'!D:D)))</f>
        <v>10.505276013394928</v>
      </c>
      <c r="AA112">
        <f>IF(B112&gt;=$AF$2,0,IF($Y$2=1,(SUMIF('Mortality Tarif Male'!A:A,E113+1,'Mortality Tarif Male'!E:E)-SUMIF('Mortality Tarif Male'!A:A,$C$2+$H$2,'Mortality Tarif Male'!E:E))/SUMIF('Mortality Tarif Male'!A:A,E113+1,'Mortality Tarif Male'!D:D),(SUMIF('Mortality Tarif Female'!A:A,E113+1,'Mortality Tarif Female'!E:E)-SUMIF('Mortality Tarif Female'!A:A,$C$2+$H$2,'Mortality Tarif Female'!E:E))/SUMIF('Mortality Tarif Female'!A:A,E113+1,'Mortality Tarif Female'!D:D)))</f>
        <v>9.8564301561069279</v>
      </c>
      <c r="AB112">
        <f t="shared" si="41"/>
        <v>2438.7800076979802</v>
      </c>
      <c r="AC112">
        <f>IF(B112&gt;=$AF$2,0,MIN(1/3*(V112+W112+Y112-AB112),(V112-AB112),(T112*Z112+(1-T112)*AA112)*$AH$2*Assumptions!$B$22))</f>
        <v>263.96452227301484</v>
      </c>
      <c r="AD112">
        <f t="shared" si="57"/>
        <v>10476.764263073699</v>
      </c>
      <c r="AE112">
        <f t="shared" si="58"/>
        <v>10740.728785346713</v>
      </c>
      <c r="AF112">
        <f t="shared" si="59"/>
        <v>10476.764263073699</v>
      </c>
      <c r="AG112" s="26">
        <f t="shared" si="70"/>
        <v>0</v>
      </c>
      <c r="AH112" s="27">
        <f>IF(B112&gt;$AF$2,0,HLOOKUP(YEAR(A112),Assumptions!$A$34:$AL$37,4,TRUE)/100)</f>
        <v>9.5729999999999999E-3</v>
      </c>
      <c r="AI112">
        <f t="shared" si="60"/>
        <v>0</v>
      </c>
      <c r="AJ112">
        <f t="shared" si="61"/>
        <v>1.9701240647006288</v>
      </c>
      <c r="AK112">
        <f t="shared" si="62"/>
        <v>22.954224841378661</v>
      </c>
      <c r="AL112">
        <f>IF(E112&gt;Assumptions!$B$9,0,SUMPRODUCT($P$2:$X$2,Assumptions!$A$43:$I$43)/$I$2*O111*K112)</f>
        <v>4.1161819580541215</v>
      </c>
      <c r="AM112">
        <f t="shared" si="63"/>
        <v>0</v>
      </c>
      <c r="AN112">
        <f t="shared" si="64"/>
        <v>29.040530864133409</v>
      </c>
      <c r="AO112">
        <f>IF(E112&gt;Assumptions!$B$9,0,($V$2+$X$2)/$I$2*O111*K112*Assumptions!$B$46)</f>
        <v>0</v>
      </c>
      <c r="AP112">
        <f>IF(B112&gt;$AF$2,0,AP111*(1+Assumptions!$B$52)^(1/12))</f>
        <v>1.0873555178599743</v>
      </c>
      <c r="AQ112" s="29">
        <f>IF(B112&gt;$AF$2,0,O111*Assumptions!$B$48/12*AP111+AR112*Assumptions!$B$50/12)</f>
        <v>12.069149021804416</v>
      </c>
      <c r="AR112" s="31">
        <f t="shared" si="65"/>
        <v>7623.5117814174573</v>
      </c>
      <c r="AS112">
        <f t="shared" si="48"/>
        <v>7674.7700682471059</v>
      </c>
      <c r="AT112">
        <f t="shared" si="66"/>
        <v>14.747323912055379</v>
      </c>
      <c r="AU112" s="19">
        <f t="shared" si="67"/>
        <v>7634.3314103722132</v>
      </c>
      <c r="AV112" s="19">
        <f t="shared" si="68"/>
        <v>7671.8878247728035</v>
      </c>
      <c r="AW112">
        <f t="shared" si="69"/>
        <v>-60.563822698277178</v>
      </c>
      <c r="AX112">
        <f>IF(B112&gt;$AF$2,0,HLOOKUP(YEAR(A112),Assumptions!$A$34:$AL$37,2,TRUE)/100)</f>
        <v>1.5572999999999998E-2</v>
      </c>
      <c r="AY112" s="32">
        <f>1/(1+HLOOKUP(YEAR(A112),Assumptions!$A$27:$AL$29,3,TRUE))^(1/12)</f>
        <v>0.99874849053349435</v>
      </c>
      <c r="AZ112" s="30">
        <f t="shared" si="49"/>
        <v>8807.6521843063911</v>
      </c>
      <c r="BA112">
        <f>IF(B112&gt;$AF$2,0,IF($E$2=0,(T112*Z112+(1-T112)*AA112)*$J$2*Assumptions!$B$20,0))</f>
        <v>0</v>
      </c>
    </row>
    <row r="113" spans="1:53" x14ac:dyDescent="0.25">
      <c r="A113" s="17">
        <f t="shared" si="50"/>
        <v>46203</v>
      </c>
      <c r="B113">
        <f t="shared" si="42"/>
        <v>332</v>
      </c>
      <c r="C113">
        <f t="shared" si="43"/>
        <v>27.583333333333332</v>
      </c>
      <c r="D113">
        <f t="shared" si="71"/>
        <v>0</v>
      </c>
      <c r="E113">
        <f t="shared" si="44"/>
        <v>50</v>
      </c>
      <c r="F113">
        <f>IF(C113&gt;=$H$2,0,VLOOKUP($E113,'Mortality Table'!$A$3:$C$128,2+AB$2,FALSE))</f>
        <v>1.4852000000000001E-3</v>
      </c>
      <c r="G113">
        <f>F113*Assumptions!$B$1</f>
        <v>1.6077290000000002E-3</v>
      </c>
      <c r="H113">
        <f t="shared" si="51"/>
        <v>1.3407624290673326E-4</v>
      </c>
      <c r="I113">
        <f t="shared" si="72"/>
        <v>9.8071331301370456E-5</v>
      </c>
      <c r="J113">
        <f>HLOOKUP(C113,Assumptions!$A$6:$J$7,2,TRUE)</f>
        <v>3.5200000000000002E-2</v>
      </c>
      <c r="K113" s="18">
        <f t="shared" si="45"/>
        <v>1</v>
      </c>
      <c r="L113" s="18">
        <f t="shared" si="52"/>
        <v>8.3333333333333329E-2</v>
      </c>
      <c r="M113" s="18">
        <f t="shared" si="73"/>
        <v>2.9817501439168836E-3</v>
      </c>
      <c r="N113">
        <f t="shared" si="74"/>
        <v>2.1841393071392874E-3</v>
      </c>
      <c r="O113" s="20">
        <f t="shared" si="75"/>
        <v>0.73026935543024774</v>
      </c>
      <c r="P113">
        <f>IF(B113&gt;$AF$2,0,O112*($E$2+IF(E113&lt;=Assumptions!$B$9,$D$2,0))/$I$2*K113)</f>
        <v>37.518849375484649</v>
      </c>
      <c r="Q113">
        <f t="shared" si="53"/>
        <v>26.1</v>
      </c>
      <c r="R113">
        <f>IF(B113&gt;$AF$2,0,IF($Y$2=1,(SUMIF('Mortality Tarif Male'!A:A,E114,'Mortality Tarif Male'!G:G)-SUMIF('Mortality Tarif Male'!A:A,$C$2+$H$2,'Mortality Tarif Male'!G:G)+SUMIF('Mortality Tarif Male'!A:A,$C$2+$H$2,'Mortality Tarif Male'!D:D))/SUMIF('Mortality Tarif Male'!A:A,E114,'Mortality Tarif Male'!D:D),(SUMIF('Mortality Tarif Female'!A:A,E114,'Mortality Tarif Female'!G:G)-SUMIF('Mortality Tarif Female'!A:A,$C$2+$H$2,'Mortality Tarif Female'!G:G)+SUMIF('Mortality Tarif Female'!A:A,$C$2+$H$2,'Mortality Tarif Female'!D:D))/SUMIF('Mortality Tarif Female'!A:A,E114,'Mortality Tarif Female'!D:D)))</f>
        <v>0.64532391626812635</v>
      </c>
      <c r="S113">
        <f>IF(B113&gt;=$AF$2,0,IF($Y$2=1,(SUMIF('Mortality Tarif Male'!A:A,E114+1,'Mortality Tarif Male'!G:G)-SUMIF('Mortality Tarif Male'!A:A,$C$2+$H$2,'Mortality Tarif Male'!G:G)+SUMIF('Mortality Tarif Male'!A:A,$C$2+$H$2,'Mortality Tarif Male'!D:D))/SUMIF('Mortality Tarif Male'!A:A,E114+1,'Mortality Tarif Male'!D:D),(SUMIF('Mortality Tarif Female'!A:A,E114+1,'Mortality Tarif Female'!G:G)-SUMIF('Mortality Tarif Female'!A:A,$C$2+$H$2,'Mortality Tarif Female'!G:G)+SUMIF('Mortality Tarif Female'!A:A,$C$2+$H$2,'Mortality Tarif Female'!D:D))/SUMIF('Mortality Tarif Female'!A:A,E114+1,'Mortality Tarif Female'!D:D)))</f>
        <v>0.66725422693849323</v>
      </c>
      <c r="T113">
        <f t="shared" si="54"/>
        <v>0.33333333333333215</v>
      </c>
      <c r="U113">
        <f t="shared" si="55"/>
        <v>0.65994412338170427</v>
      </c>
      <c r="V113">
        <f t="shared" si="56"/>
        <v>13198.882467634085</v>
      </c>
      <c r="W113">
        <f t="shared" si="46"/>
        <v>17.224541620262482</v>
      </c>
      <c r="X113">
        <f t="shared" si="47"/>
        <v>0</v>
      </c>
      <c r="Y113">
        <f>IF(B113&gt;$AF$2,0,IF(X114=0,0,(1-X114)*($E$2+IF(E113&lt;=Assumptions!$B$9,$D$2,0))/$I$2*1/(1+$AG$2)*1/(1+Assumptions!$B$11)))</f>
        <v>0</v>
      </c>
      <c r="Z113">
        <f>IF(B113&gt;$AF$2,0,IF($Y$2=1,(SUMIF('Mortality Tarif Male'!A:A,E114,'Mortality Tarif Male'!E:E)-SUMIF('Mortality Tarif Male'!A:A,$C$2+$H$2,'Mortality Tarif Male'!E:E))/SUMIF('Mortality Tarif Male'!A:A,E114,'Mortality Tarif Male'!D:D),(SUMIF('Mortality Tarif Female'!A:A,E114,'Mortality Tarif Female'!E:E)-SUMIF('Mortality Tarif Female'!A:A,$C$2+$H$2,'Mortality Tarif Female'!E:E))/SUMIF('Mortality Tarif Female'!A:A,E114,'Mortality Tarif Female'!D:D)))</f>
        <v>10.505276013394928</v>
      </c>
      <c r="AA113">
        <f>IF(B113&gt;=$AF$2,0,IF($Y$2=1,(SUMIF('Mortality Tarif Male'!A:A,E114+1,'Mortality Tarif Male'!E:E)-SUMIF('Mortality Tarif Male'!A:A,$C$2+$H$2,'Mortality Tarif Male'!E:E))/SUMIF('Mortality Tarif Male'!A:A,E114+1,'Mortality Tarif Male'!D:D),(SUMIF('Mortality Tarif Female'!A:A,E114+1,'Mortality Tarif Female'!E:E)-SUMIF('Mortality Tarif Female'!A:A,$C$2+$H$2,'Mortality Tarif Female'!E:E))/SUMIF('Mortality Tarif Female'!A:A,E114+1,'Mortality Tarif Female'!D:D)))</f>
        <v>9.8564301561069279</v>
      </c>
      <c r="AB113">
        <f t="shared" si="41"/>
        <v>2425.7584952734569</v>
      </c>
      <c r="AC113">
        <f>IF(B113&gt;=$AF$2,0,MIN(1/3*(V113+W113+Y113-AB113),(V113-AB113),(T113*Z113+(1-T113)*AA113)*$AH$2*Assumptions!$B$22))</f>
        <v>262.55512195992316</v>
      </c>
      <c r="AD113">
        <f t="shared" si="57"/>
        <v>10527.793392020967</v>
      </c>
      <c r="AE113">
        <f t="shared" si="58"/>
        <v>10790.348513980891</v>
      </c>
      <c r="AF113">
        <f t="shared" si="59"/>
        <v>10527.793392020967</v>
      </c>
      <c r="AG113" s="26">
        <f t="shared" si="70"/>
        <v>0</v>
      </c>
      <c r="AH113" s="27">
        <f>IF(B113&gt;$AF$2,0,HLOOKUP(YEAR(A113),Assumptions!$A$34:$AL$37,4,TRUE)/100)</f>
        <v>9.5729999999999999E-3</v>
      </c>
      <c r="AI113">
        <f t="shared" si="60"/>
        <v>0</v>
      </c>
      <c r="AJ113">
        <f t="shared" si="61"/>
        <v>1.9639862877743748</v>
      </c>
      <c r="AK113">
        <f t="shared" si="62"/>
        <v>22.994167364954244</v>
      </c>
      <c r="AL113">
        <f>IF(E113&gt;Assumptions!$B$9,0,SUMPRODUCT($P$2:$X$2,Assumptions!$A$43:$I$43)/$I$2*O112*K113)</f>
        <v>4.1033582952711143</v>
      </c>
      <c r="AM113">
        <f t="shared" si="63"/>
        <v>0</v>
      </c>
      <c r="AN113">
        <f t="shared" si="64"/>
        <v>29.061511947999733</v>
      </c>
      <c r="AO113">
        <f>IF(E113&gt;Assumptions!$B$9,0,($V$2+$X$2)/$I$2*O112*K113*Assumptions!$B$46)</f>
        <v>0</v>
      </c>
      <c r="AP113">
        <f>IF(B113&gt;$AF$2,0,AP112*(1+Assumptions!$B$52)^(1/12))</f>
        <v>1.0882575207058838</v>
      </c>
      <c r="AQ113" s="29">
        <f>IF(B113&gt;$AF$2,0,O112*Assumptions!$B$48/12*AP112+AR113*Assumptions!$B$50/12)</f>
        <v>12.046057617495233</v>
      </c>
      <c r="AR113" s="31">
        <f t="shared" si="65"/>
        <v>7624.8042669603446</v>
      </c>
      <c r="AS113">
        <f t="shared" si="48"/>
        <v>7688.1248944939734</v>
      </c>
      <c r="AT113">
        <f t="shared" si="66"/>
        <v>14.701379706787693</v>
      </c>
      <c r="AU113" s="19">
        <f t="shared" si="67"/>
        <v>7635.5756790115465</v>
      </c>
      <c r="AV113" s="19">
        <f t="shared" si="68"/>
        <v>7685.368089658622</v>
      </c>
      <c r="AW113">
        <f t="shared" si="69"/>
        <v>-72.788699178867404</v>
      </c>
      <c r="AX113">
        <f>IF(B113&gt;$AF$2,0,HLOOKUP(YEAR(A113),Assumptions!$A$34:$AL$37,2,TRUE)/100)</f>
        <v>1.5572999999999998E-2</v>
      </c>
      <c r="AY113" s="32">
        <f>1/(1+HLOOKUP(YEAR(A113),Assumptions!$A$27:$AL$29,3,TRUE))^(1/12)</f>
        <v>0.99874849053349435</v>
      </c>
      <c r="AZ113" s="30">
        <f t="shared" si="49"/>
        <v>8815.1001367029512</v>
      </c>
      <c r="BA113">
        <f>IF(B113&gt;$AF$2,0,IF($E$2=0,(T113*Z113+(1-T113)*AA113)*$J$2*Assumptions!$B$20,0))</f>
        <v>0</v>
      </c>
    </row>
    <row r="114" spans="1:53" x14ac:dyDescent="0.25">
      <c r="A114" s="17">
        <f t="shared" si="50"/>
        <v>46234</v>
      </c>
      <c r="B114">
        <f t="shared" si="42"/>
        <v>333</v>
      </c>
      <c r="C114">
        <f t="shared" si="43"/>
        <v>27.666666666666668</v>
      </c>
      <c r="D114">
        <f t="shared" si="71"/>
        <v>0</v>
      </c>
      <c r="E114">
        <f t="shared" si="44"/>
        <v>50</v>
      </c>
      <c r="F114">
        <f>IF(C114&gt;=$H$2,0,VLOOKUP($E114,'Mortality Table'!$A$3:$C$128,2+AB$2,FALSE))</f>
        <v>1.4852000000000001E-3</v>
      </c>
      <c r="G114">
        <f>F114*Assumptions!$B$1</f>
        <v>1.6077290000000002E-3</v>
      </c>
      <c r="H114">
        <f t="shared" si="51"/>
        <v>1.3407624290673326E-4</v>
      </c>
      <c r="I114">
        <f t="shared" si="72"/>
        <v>9.7765797266649641E-5</v>
      </c>
      <c r="J114">
        <f>HLOOKUP(C114,Assumptions!$A$6:$J$7,2,TRUE)</f>
        <v>3.5200000000000002E-2</v>
      </c>
      <c r="K114" s="18">
        <f t="shared" si="45"/>
        <v>1</v>
      </c>
      <c r="L114" s="18">
        <f t="shared" si="52"/>
        <v>8.3333333333333329E-2</v>
      </c>
      <c r="M114" s="18">
        <f t="shared" si="73"/>
        <v>2.9817501439168836E-3</v>
      </c>
      <c r="N114">
        <f t="shared" si="74"/>
        <v>2.1773347814328715E-3</v>
      </c>
      <c r="O114" s="20">
        <f t="shared" si="75"/>
        <v>0.72799425485154823</v>
      </c>
      <c r="P114">
        <f>IF(B114&gt;$AF$2,0,O113*($E$2+IF(E114&lt;=Assumptions!$B$9,$D$2,0))/$I$2*K114)</f>
        <v>37.401962153952518</v>
      </c>
      <c r="Q114">
        <f t="shared" si="53"/>
        <v>26.1</v>
      </c>
      <c r="R114">
        <f>IF(B114&gt;$AF$2,0,IF($Y$2=1,(SUMIF('Mortality Tarif Male'!A:A,E115,'Mortality Tarif Male'!G:G)-SUMIF('Mortality Tarif Male'!A:A,$C$2+$H$2,'Mortality Tarif Male'!G:G)+SUMIF('Mortality Tarif Male'!A:A,$C$2+$H$2,'Mortality Tarif Male'!D:D))/SUMIF('Mortality Tarif Male'!A:A,E115,'Mortality Tarif Male'!D:D),(SUMIF('Mortality Tarif Female'!A:A,E115,'Mortality Tarif Female'!G:G)-SUMIF('Mortality Tarif Female'!A:A,$C$2+$H$2,'Mortality Tarif Female'!G:G)+SUMIF('Mortality Tarif Female'!A:A,$C$2+$H$2,'Mortality Tarif Female'!D:D))/SUMIF('Mortality Tarif Female'!A:A,E115,'Mortality Tarif Female'!D:D)))</f>
        <v>0.64532391626812635</v>
      </c>
      <c r="S114">
        <f>IF(B114&gt;=$AF$2,0,IF($Y$2=1,(SUMIF('Mortality Tarif Male'!A:A,E115+1,'Mortality Tarif Male'!G:G)-SUMIF('Mortality Tarif Male'!A:A,$C$2+$H$2,'Mortality Tarif Male'!G:G)+SUMIF('Mortality Tarif Male'!A:A,$C$2+$H$2,'Mortality Tarif Male'!D:D))/SUMIF('Mortality Tarif Male'!A:A,E115+1,'Mortality Tarif Male'!D:D),(SUMIF('Mortality Tarif Female'!A:A,E115+1,'Mortality Tarif Female'!G:G)-SUMIF('Mortality Tarif Female'!A:A,$C$2+$H$2,'Mortality Tarif Female'!G:G)+SUMIF('Mortality Tarif Female'!A:A,$C$2+$H$2,'Mortality Tarif Female'!D:D))/SUMIF('Mortality Tarif Female'!A:A,E115+1,'Mortality Tarif Female'!D:D)))</f>
        <v>0.66725422693849323</v>
      </c>
      <c r="T114">
        <f t="shared" si="54"/>
        <v>0.25</v>
      </c>
      <c r="U114">
        <f t="shared" si="55"/>
        <v>0.6617716492709016</v>
      </c>
      <c r="V114">
        <f t="shared" si="56"/>
        <v>13235.432985418032</v>
      </c>
      <c r="W114">
        <f t="shared" si="46"/>
        <v>17.272240045970534</v>
      </c>
      <c r="X114">
        <f t="shared" si="47"/>
        <v>0</v>
      </c>
      <c r="Y114">
        <f>IF(B114&gt;$AF$2,0,IF(X115=0,0,(1-X115)*($E$2+IF(E114&lt;=Assumptions!$B$9,$D$2,0))/$I$2*1/(1+$AG$2)*1/(1+Assumptions!$B$11)))</f>
        <v>0</v>
      </c>
      <c r="Z114">
        <f>IF(B114&gt;$AF$2,0,IF($Y$2=1,(SUMIF('Mortality Tarif Male'!A:A,E115,'Mortality Tarif Male'!E:E)-SUMIF('Mortality Tarif Male'!A:A,$C$2+$H$2,'Mortality Tarif Male'!E:E))/SUMIF('Mortality Tarif Male'!A:A,E115,'Mortality Tarif Male'!D:D),(SUMIF('Mortality Tarif Female'!A:A,E115,'Mortality Tarif Female'!E:E)-SUMIF('Mortality Tarif Female'!A:A,$C$2+$H$2,'Mortality Tarif Female'!E:E))/SUMIF('Mortality Tarif Female'!A:A,E115,'Mortality Tarif Female'!D:D)))</f>
        <v>10.505276013394928</v>
      </c>
      <c r="AA114">
        <f>IF(B114&gt;=$AF$2,0,IF($Y$2=1,(SUMIF('Mortality Tarif Male'!A:A,E115+1,'Mortality Tarif Male'!E:E)-SUMIF('Mortality Tarif Male'!A:A,$C$2+$H$2,'Mortality Tarif Male'!E:E))/SUMIF('Mortality Tarif Male'!A:A,E115+1,'Mortality Tarif Male'!D:D),(SUMIF('Mortality Tarif Female'!A:A,E115+1,'Mortality Tarif Female'!E:E)-SUMIF('Mortality Tarif Female'!A:A,$C$2+$H$2,'Mortality Tarif Female'!E:E))/SUMIF('Mortality Tarif Female'!A:A,E115+1,'Mortality Tarif Female'!D:D)))</f>
        <v>9.8564301561069279</v>
      </c>
      <c r="AB114">
        <f t="shared" si="41"/>
        <v>2412.7369828489345</v>
      </c>
      <c r="AC114">
        <f>IF(B114&gt;=$AF$2,0,MIN(1/3*(V114+W114+Y114-AB114),(V114-AB114),(T114*Z114+(1-T114)*AA114)*$AH$2*Assumptions!$B$22))</f>
        <v>261.14572164683148</v>
      </c>
      <c r="AD114">
        <f t="shared" si="57"/>
        <v>10578.822520968237</v>
      </c>
      <c r="AE114">
        <f t="shared" si="58"/>
        <v>10839.968242615068</v>
      </c>
      <c r="AF114">
        <f t="shared" si="59"/>
        <v>10578.822520968237</v>
      </c>
      <c r="AG114" s="26">
        <f t="shared" si="70"/>
        <v>0</v>
      </c>
      <c r="AH114" s="27">
        <f>IF(B114&gt;$AF$2,0,HLOOKUP(YEAR(A114),Assumptions!$A$34:$AL$37,4,TRUE)/100)</f>
        <v>9.5729999999999999E-3</v>
      </c>
      <c r="AI114">
        <f t="shared" si="60"/>
        <v>0</v>
      </c>
      <c r="AJ114">
        <f t="shared" si="61"/>
        <v>1.9578676326416522</v>
      </c>
      <c r="AK114">
        <f t="shared" si="62"/>
        <v>23.033638221509513</v>
      </c>
      <c r="AL114">
        <f>IF(E114&gt;Assumptions!$B$9,0,SUMPRODUCT($P$2:$X$2,Assumptions!$A$43:$I$43)/$I$2*O113*K114)</f>
        <v>4.0905745836683147</v>
      </c>
      <c r="AM114">
        <f t="shared" si="63"/>
        <v>0</v>
      </c>
      <c r="AN114">
        <f t="shared" si="64"/>
        <v>29.082080437819478</v>
      </c>
      <c r="AO114">
        <f>IF(E114&gt;Assumptions!$B$9,0,($V$2+$X$2)/$I$2*O113*K114*Assumptions!$B$46)</f>
        <v>0</v>
      </c>
      <c r="AP114">
        <f>IF(B114&gt;$AF$2,0,AP113*(1+Assumptions!$B$52)^(1/12))</f>
        <v>1.0891602717975331</v>
      </c>
      <c r="AQ114" s="29">
        <f>IF(B114&gt;$AF$2,0,O113*Assumptions!$B$48/12*AP113+AR114*Assumptions!$B$50/12)</f>
        <v>12.022972513369885</v>
      </c>
      <c r="AR114" s="31">
        <f t="shared" si="65"/>
        <v>7625.9011993687573</v>
      </c>
      <c r="AS114">
        <f t="shared" si="48"/>
        <v>7701.3220183590483</v>
      </c>
      <c r="AT114">
        <f t="shared" si="66"/>
        <v>14.655578637319445</v>
      </c>
      <c r="AU114" s="19">
        <f t="shared" si="67"/>
        <v>7636.6246103720214</v>
      </c>
      <c r="AV114" s="19">
        <f t="shared" si="68"/>
        <v>7698.6898985476246</v>
      </c>
      <c r="AW114">
        <f t="shared" si="69"/>
        <v>-85.050469593371616</v>
      </c>
      <c r="AX114">
        <f>IF(B114&gt;$AF$2,0,HLOOKUP(YEAR(A114),Assumptions!$A$34:$AL$37,2,TRUE)/100)</f>
        <v>1.5572999999999998E-2</v>
      </c>
      <c r="AY114" s="32">
        <f>1/(1+HLOOKUP(YEAR(A114),Assumptions!$A$27:$AL$29,3,TRUE))^(1/12)</f>
        <v>0.99874849053349435</v>
      </c>
      <c r="AZ114" s="30">
        <f t="shared" si="49"/>
        <v>8822.4430513553798</v>
      </c>
      <c r="BA114">
        <f>IF(B114&gt;$AF$2,0,IF($E$2=0,(T114*Z114+(1-T114)*AA114)*$J$2*Assumptions!$B$20,0))</f>
        <v>0</v>
      </c>
    </row>
    <row r="115" spans="1:53" x14ac:dyDescent="0.25">
      <c r="A115" s="17">
        <f t="shared" si="50"/>
        <v>46265</v>
      </c>
      <c r="B115">
        <f t="shared" si="42"/>
        <v>334</v>
      </c>
      <c r="C115">
        <f t="shared" si="43"/>
        <v>27.75</v>
      </c>
      <c r="D115">
        <f t="shared" si="71"/>
        <v>0</v>
      </c>
      <c r="E115">
        <f t="shared" si="44"/>
        <v>50</v>
      </c>
      <c r="F115">
        <f>IF(C115&gt;=$H$2,0,VLOOKUP($E115,'Mortality Table'!$A$3:$C$128,2+AB$2,FALSE))</f>
        <v>1.4852000000000001E-3</v>
      </c>
      <c r="G115">
        <f>F115*Assumptions!$B$1</f>
        <v>1.6077290000000002E-3</v>
      </c>
      <c r="H115">
        <f t="shared" si="51"/>
        <v>1.3407624290673326E-4</v>
      </c>
      <c r="I115">
        <f t="shared" si="72"/>
        <v>9.7461215100789307E-5</v>
      </c>
      <c r="J115">
        <f>HLOOKUP(C115,Assumptions!$A$6:$J$7,2,TRUE)</f>
        <v>3.5200000000000002E-2</v>
      </c>
      <c r="K115" s="18">
        <f t="shared" si="45"/>
        <v>1</v>
      </c>
      <c r="L115" s="18">
        <f t="shared" si="52"/>
        <v>8.3333333333333329E-2</v>
      </c>
      <c r="M115" s="18">
        <f t="shared" si="73"/>
        <v>2.9817501439168836E-3</v>
      </c>
      <c r="N115">
        <f t="shared" si="74"/>
        <v>2.1705514547268752E-3</v>
      </c>
      <c r="O115" s="20">
        <f t="shared" si="75"/>
        <v>0.72572624218172055</v>
      </c>
      <c r="P115">
        <f>IF(B115&gt;$AF$2,0,O114*($E$2+IF(E115&lt;=Assumptions!$B$9,$D$2,0))/$I$2*K115)</f>
        <v>37.285439085980123</v>
      </c>
      <c r="Q115">
        <f t="shared" si="53"/>
        <v>26.1</v>
      </c>
      <c r="R115">
        <f>IF(B115&gt;$AF$2,0,IF($Y$2=1,(SUMIF('Mortality Tarif Male'!A:A,E116,'Mortality Tarif Male'!G:G)-SUMIF('Mortality Tarif Male'!A:A,$C$2+$H$2,'Mortality Tarif Male'!G:G)+SUMIF('Mortality Tarif Male'!A:A,$C$2+$H$2,'Mortality Tarif Male'!D:D))/SUMIF('Mortality Tarif Male'!A:A,E116,'Mortality Tarif Male'!D:D),(SUMIF('Mortality Tarif Female'!A:A,E116,'Mortality Tarif Female'!G:G)-SUMIF('Mortality Tarif Female'!A:A,$C$2+$H$2,'Mortality Tarif Female'!G:G)+SUMIF('Mortality Tarif Female'!A:A,$C$2+$H$2,'Mortality Tarif Female'!D:D))/SUMIF('Mortality Tarif Female'!A:A,E116,'Mortality Tarif Female'!D:D)))</f>
        <v>0.64532391626812635</v>
      </c>
      <c r="S115">
        <f>IF(B115&gt;=$AF$2,0,IF($Y$2=1,(SUMIF('Mortality Tarif Male'!A:A,E116+1,'Mortality Tarif Male'!G:G)-SUMIF('Mortality Tarif Male'!A:A,$C$2+$H$2,'Mortality Tarif Male'!G:G)+SUMIF('Mortality Tarif Male'!A:A,$C$2+$H$2,'Mortality Tarif Male'!D:D))/SUMIF('Mortality Tarif Male'!A:A,E116+1,'Mortality Tarif Male'!D:D),(SUMIF('Mortality Tarif Female'!A:A,E116+1,'Mortality Tarif Female'!G:G)-SUMIF('Mortality Tarif Female'!A:A,$C$2+$H$2,'Mortality Tarif Female'!G:G)+SUMIF('Mortality Tarif Female'!A:A,$C$2+$H$2,'Mortality Tarif Female'!D:D))/SUMIF('Mortality Tarif Female'!A:A,E116+1,'Mortality Tarif Female'!D:D)))</f>
        <v>0.66725422693849323</v>
      </c>
      <c r="T115">
        <f t="shared" si="54"/>
        <v>0.16666666666666785</v>
      </c>
      <c r="U115">
        <f t="shared" si="55"/>
        <v>0.6635991751600987</v>
      </c>
      <c r="V115">
        <f t="shared" si="56"/>
        <v>13271.983503201975</v>
      </c>
      <c r="W115">
        <f t="shared" si="46"/>
        <v>17.319938471678576</v>
      </c>
      <c r="X115">
        <f t="shared" si="47"/>
        <v>0</v>
      </c>
      <c r="Y115">
        <f>IF(B115&gt;$AF$2,0,IF(X116=0,0,(1-X116)*($E$2+IF(E115&lt;=Assumptions!$B$9,$D$2,0))/$I$2*1/(1+$AG$2)*1/(1+Assumptions!$B$11)))</f>
        <v>0</v>
      </c>
      <c r="Z115">
        <f>IF(B115&gt;$AF$2,0,IF($Y$2=1,(SUMIF('Mortality Tarif Male'!A:A,E116,'Mortality Tarif Male'!E:E)-SUMIF('Mortality Tarif Male'!A:A,$C$2+$H$2,'Mortality Tarif Male'!E:E))/SUMIF('Mortality Tarif Male'!A:A,E116,'Mortality Tarif Male'!D:D),(SUMIF('Mortality Tarif Female'!A:A,E116,'Mortality Tarif Female'!E:E)-SUMIF('Mortality Tarif Female'!A:A,$C$2+$H$2,'Mortality Tarif Female'!E:E))/SUMIF('Mortality Tarif Female'!A:A,E116,'Mortality Tarif Female'!D:D)))</f>
        <v>10.505276013394928</v>
      </c>
      <c r="AA115">
        <f>IF(B115&gt;=$AF$2,0,IF($Y$2=1,(SUMIF('Mortality Tarif Male'!A:A,E116+1,'Mortality Tarif Male'!E:E)-SUMIF('Mortality Tarif Male'!A:A,$C$2+$H$2,'Mortality Tarif Male'!E:E))/SUMIF('Mortality Tarif Male'!A:A,E116+1,'Mortality Tarif Male'!D:D),(SUMIF('Mortality Tarif Female'!A:A,E116+1,'Mortality Tarif Female'!E:E)-SUMIF('Mortality Tarif Female'!A:A,$C$2+$H$2,'Mortality Tarif Female'!E:E))/SUMIF('Mortality Tarif Female'!A:A,E116+1,'Mortality Tarif Female'!D:D)))</f>
        <v>9.8564301561069279</v>
      </c>
      <c r="AB115">
        <f t="shared" si="41"/>
        <v>2399.7154704244117</v>
      </c>
      <c r="AC115">
        <f>IF(B115&gt;=$AF$2,0,MIN(1/3*(V115+W115+Y115-AB115),(V115-AB115),(T115*Z115+(1-T115)*AA115)*$AH$2*Assumptions!$B$22))</f>
        <v>259.73632133373974</v>
      </c>
      <c r="AD115">
        <f t="shared" si="57"/>
        <v>10629.851649915503</v>
      </c>
      <c r="AE115">
        <f t="shared" si="58"/>
        <v>10889.587971249242</v>
      </c>
      <c r="AF115">
        <f t="shared" si="59"/>
        <v>10629.851649915503</v>
      </c>
      <c r="AG115" s="26">
        <f t="shared" si="70"/>
        <v>0</v>
      </c>
      <c r="AH115" s="27">
        <f>IF(B115&gt;$AF$2,0,HLOOKUP(YEAR(A115),Assumptions!$A$34:$AL$37,4,TRUE)/100)</f>
        <v>9.5729999999999999E-3</v>
      </c>
      <c r="AI115">
        <f t="shared" si="60"/>
        <v>0</v>
      </c>
      <c r="AJ115">
        <f t="shared" si="61"/>
        <v>1.9517680397299166</v>
      </c>
      <c r="AK115">
        <f t="shared" si="62"/>
        <v>23.072639962254971</v>
      </c>
      <c r="AL115">
        <f>IF(E115&gt;Assumptions!$B$9,0,SUMPRODUCT($P$2:$X$2,Assumptions!$A$43:$I$43)/$I$2*O114*K115)</f>
        <v>4.0778306987807529</v>
      </c>
      <c r="AM115">
        <f t="shared" si="63"/>
        <v>0</v>
      </c>
      <c r="AN115">
        <f t="shared" si="64"/>
        <v>29.102238700765639</v>
      </c>
      <c r="AO115">
        <f>IF(E115&gt;Assumptions!$B$9,0,($V$2+$X$2)/$I$2*O114*K115*Assumptions!$B$46)</f>
        <v>0</v>
      </c>
      <c r="AP115">
        <f>IF(B115&gt;$AF$2,0,AP114*(1+Assumptions!$B$52)^(1/12))</f>
        <v>1.0900637717556207</v>
      </c>
      <c r="AQ115" s="29">
        <f>IF(B115&gt;$AF$2,0,O114*Assumptions!$B$48/12*AP114+AR115*Assumptions!$B$50/12)</f>
        <v>11.999893842950176</v>
      </c>
      <c r="AR115" s="31">
        <f t="shared" si="65"/>
        <v>7626.8036383246181</v>
      </c>
      <c r="AS115">
        <f t="shared" si="48"/>
        <v>7714.3622928423401</v>
      </c>
      <c r="AT115">
        <f t="shared" si="66"/>
        <v>14.609920257721555</v>
      </c>
      <c r="AU115" s="19">
        <f t="shared" si="67"/>
        <v>7637.4792633099269</v>
      </c>
      <c r="AV115" s="19">
        <f t="shared" si="68"/>
        <v>7711.8541079179895</v>
      </c>
      <c r="AW115">
        <f t="shared" si="69"/>
        <v>-97.348931832487921</v>
      </c>
      <c r="AX115">
        <f>IF(B115&gt;$AF$2,0,HLOOKUP(YEAR(A115),Assumptions!$A$34:$AL$37,2,TRUE)/100)</f>
        <v>1.5572999999999998E-2</v>
      </c>
      <c r="AY115" s="32">
        <f>1/(1+HLOOKUP(YEAR(A115),Assumptions!$A$27:$AL$29,3,TRUE))^(1/12)</f>
        <v>0.99874849053349435</v>
      </c>
      <c r="AZ115" s="30">
        <f t="shared" si="49"/>
        <v>8829.6815645899514</v>
      </c>
      <c r="BA115">
        <f>IF(B115&gt;$AF$2,0,IF($E$2=0,(T115*Z115+(1-T115)*AA115)*$J$2*Assumptions!$B$20,0))</f>
        <v>0</v>
      </c>
    </row>
    <row r="116" spans="1:53" x14ac:dyDescent="0.25">
      <c r="A116" s="17">
        <f t="shared" si="50"/>
        <v>46295</v>
      </c>
      <c r="B116">
        <f t="shared" si="42"/>
        <v>335</v>
      </c>
      <c r="C116">
        <f t="shared" si="43"/>
        <v>27.833333333333332</v>
      </c>
      <c r="D116">
        <f t="shared" si="71"/>
        <v>0</v>
      </c>
      <c r="E116">
        <f t="shared" si="44"/>
        <v>50</v>
      </c>
      <c r="F116">
        <f>IF(C116&gt;=$H$2,0,VLOOKUP($E116,'Mortality Table'!$A$3:$C$128,2+AB$2,FALSE))</f>
        <v>1.4852000000000001E-3</v>
      </c>
      <c r="G116">
        <f>F116*Assumptions!$B$1</f>
        <v>1.6077290000000002E-3</v>
      </c>
      <c r="H116">
        <f t="shared" si="51"/>
        <v>1.3407624290673326E-4</v>
      </c>
      <c r="I116">
        <f t="shared" si="72"/>
        <v>9.7157581838311883E-5</v>
      </c>
      <c r="J116">
        <f>HLOOKUP(C116,Assumptions!$A$6:$J$7,2,TRUE)</f>
        <v>3.5200000000000002E-2</v>
      </c>
      <c r="K116" s="18">
        <f t="shared" si="45"/>
        <v>1</v>
      </c>
      <c r="L116" s="18">
        <f t="shared" si="52"/>
        <v>8.3333333333333329E-2</v>
      </c>
      <c r="M116" s="18">
        <f t="shared" si="73"/>
        <v>2.9817501439168836E-3</v>
      </c>
      <c r="N116">
        <f t="shared" si="74"/>
        <v>2.1637892609773692E-3</v>
      </c>
      <c r="O116" s="20">
        <f t="shared" si="75"/>
        <v>0.72346529533890491</v>
      </c>
      <c r="P116">
        <f>IF(B116&gt;$AF$2,0,O115*($E$2+IF(E116&lt;=Assumptions!$B$9,$D$2,0))/$I$2*K116)</f>
        <v>37.169279037073785</v>
      </c>
      <c r="Q116">
        <f t="shared" si="53"/>
        <v>26.1</v>
      </c>
      <c r="R116">
        <f>IF(B116&gt;$AF$2,0,IF($Y$2=1,(SUMIF('Mortality Tarif Male'!A:A,E117,'Mortality Tarif Male'!G:G)-SUMIF('Mortality Tarif Male'!A:A,$C$2+$H$2,'Mortality Tarif Male'!G:G)+SUMIF('Mortality Tarif Male'!A:A,$C$2+$H$2,'Mortality Tarif Male'!D:D))/SUMIF('Mortality Tarif Male'!A:A,E117,'Mortality Tarif Male'!D:D),(SUMIF('Mortality Tarif Female'!A:A,E117,'Mortality Tarif Female'!G:G)-SUMIF('Mortality Tarif Female'!A:A,$C$2+$H$2,'Mortality Tarif Female'!G:G)+SUMIF('Mortality Tarif Female'!A:A,$C$2+$H$2,'Mortality Tarif Female'!D:D))/SUMIF('Mortality Tarif Female'!A:A,E117,'Mortality Tarif Female'!D:D)))</f>
        <v>0.64532391626812635</v>
      </c>
      <c r="S116">
        <f>IF(B116&gt;=$AF$2,0,IF($Y$2=1,(SUMIF('Mortality Tarif Male'!A:A,E117+1,'Mortality Tarif Male'!G:G)-SUMIF('Mortality Tarif Male'!A:A,$C$2+$H$2,'Mortality Tarif Male'!G:G)+SUMIF('Mortality Tarif Male'!A:A,$C$2+$H$2,'Mortality Tarif Male'!D:D))/SUMIF('Mortality Tarif Male'!A:A,E117+1,'Mortality Tarif Male'!D:D),(SUMIF('Mortality Tarif Female'!A:A,E117+1,'Mortality Tarif Female'!G:G)-SUMIF('Mortality Tarif Female'!A:A,$C$2+$H$2,'Mortality Tarif Female'!G:G)+SUMIF('Mortality Tarif Female'!A:A,$C$2+$H$2,'Mortality Tarif Female'!D:D))/SUMIF('Mortality Tarif Female'!A:A,E117+1,'Mortality Tarif Female'!D:D)))</f>
        <v>0.66725422693849323</v>
      </c>
      <c r="T116">
        <f t="shared" si="54"/>
        <v>8.3333333333332149E-2</v>
      </c>
      <c r="U116">
        <f t="shared" si="55"/>
        <v>0.66542670104929602</v>
      </c>
      <c r="V116">
        <f t="shared" si="56"/>
        <v>13308.534020985921</v>
      </c>
      <c r="W116">
        <f t="shared" si="46"/>
        <v>17.367636897386628</v>
      </c>
      <c r="X116">
        <f t="shared" si="47"/>
        <v>0</v>
      </c>
      <c r="Y116">
        <f>IF(B116&gt;$AF$2,0,IF(X117=0,0,(1-X117)*($E$2+IF(E116&lt;=Assumptions!$B$9,$D$2,0))/$I$2*1/(1+$AG$2)*1/(1+Assumptions!$B$11)))</f>
        <v>0</v>
      </c>
      <c r="Z116">
        <f>IF(B116&gt;$AF$2,0,IF($Y$2=1,(SUMIF('Mortality Tarif Male'!A:A,E117,'Mortality Tarif Male'!E:E)-SUMIF('Mortality Tarif Male'!A:A,$C$2+$H$2,'Mortality Tarif Male'!E:E))/SUMIF('Mortality Tarif Male'!A:A,E117,'Mortality Tarif Male'!D:D),(SUMIF('Mortality Tarif Female'!A:A,E117,'Mortality Tarif Female'!E:E)-SUMIF('Mortality Tarif Female'!A:A,$C$2+$H$2,'Mortality Tarif Female'!E:E))/SUMIF('Mortality Tarif Female'!A:A,E117,'Mortality Tarif Female'!D:D)))</f>
        <v>10.505276013394928</v>
      </c>
      <c r="AA116">
        <f>IF(B116&gt;=$AF$2,0,IF($Y$2=1,(SUMIF('Mortality Tarif Male'!A:A,E117+1,'Mortality Tarif Male'!E:E)-SUMIF('Mortality Tarif Male'!A:A,$C$2+$H$2,'Mortality Tarif Male'!E:E))/SUMIF('Mortality Tarif Male'!A:A,E117+1,'Mortality Tarif Male'!D:D),(SUMIF('Mortality Tarif Female'!A:A,E117+1,'Mortality Tarif Female'!E:E)-SUMIF('Mortality Tarif Female'!A:A,$C$2+$H$2,'Mortality Tarif Female'!E:E))/SUMIF('Mortality Tarif Female'!A:A,E117+1,'Mortality Tarif Female'!D:D)))</f>
        <v>9.8564301561069279</v>
      </c>
      <c r="AB116">
        <f t="shared" si="41"/>
        <v>2386.6939579998884</v>
      </c>
      <c r="AC116">
        <f>IF(B116&gt;=$AF$2,0,MIN(1/3*(V116+W116+Y116-AB116),(V116-AB116),(T116*Z116+(1-T116)*AA116)*$AH$2*Assumptions!$B$22))</f>
        <v>258.32692102064806</v>
      </c>
      <c r="AD116">
        <f t="shared" si="57"/>
        <v>10680.880778862771</v>
      </c>
      <c r="AE116">
        <f t="shared" si="58"/>
        <v>10939.207699883418</v>
      </c>
      <c r="AF116">
        <f t="shared" si="59"/>
        <v>10680.880778862771</v>
      </c>
      <c r="AG116" s="26">
        <f t="shared" si="70"/>
        <v>0</v>
      </c>
      <c r="AH116" s="27">
        <f>IF(B116&gt;$AF$2,0,HLOOKUP(YEAR(A116),Assumptions!$A$34:$AL$37,4,TRUE)/100)</f>
        <v>9.5729999999999999E-3</v>
      </c>
      <c r="AI116">
        <f t="shared" si="60"/>
        <v>0</v>
      </c>
      <c r="AJ116">
        <f t="shared" si="61"/>
        <v>1.9456874496522174</v>
      </c>
      <c r="AK116">
        <f t="shared" si="62"/>
        <v>23.111175127082863</v>
      </c>
      <c r="AL116">
        <f>IF(E116&gt;Assumptions!$B$9,0,SUMPRODUCT($P$2:$X$2,Assumptions!$A$43:$I$43)/$I$2*O115*K116)</f>
        <v>4.0651265165312198</v>
      </c>
      <c r="AM116">
        <f t="shared" si="63"/>
        <v>0</v>
      </c>
      <c r="AN116">
        <f t="shared" si="64"/>
        <v>29.121989093266301</v>
      </c>
      <c r="AO116">
        <f>IF(E116&gt;Assumptions!$B$9,0,($V$2+$X$2)/$I$2*O115*K116*Assumptions!$B$46)</f>
        <v>0</v>
      </c>
      <c r="AP116">
        <f>IF(B116&gt;$AF$2,0,AP115*(1+Assumptions!$B$52)^(1/12))</f>
        <v>1.0909680212013599</v>
      </c>
      <c r="AQ116" s="29">
        <f>IF(B116&gt;$AF$2,0,O115*Assumptions!$B$48/12*AP115+AR116*Assumptions!$B$50/12)</f>
        <v>11.976821738855913</v>
      </c>
      <c r="AR116" s="31">
        <f t="shared" si="65"/>
        <v>7627.5126386167749</v>
      </c>
      <c r="AS116">
        <f t="shared" si="48"/>
        <v>7727.2465671595874</v>
      </c>
      <c r="AT116">
        <f t="shared" si="66"/>
        <v>14.564404123454201</v>
      </c>
      <c r="AU116" s="19">
        <f t="shared" si="67"/>
        <v>7638.1406917915383</v>
      </c>
      <c r="AV116" s="19">
        <f t="shared" si="68"/>
        <v>7724.8615704492631</v>
      </c>
      <c r="AW116">
        <f t="shared" si="69"/>
        <v>-109.68388487675298</v>
      </c>
      <c r="AX116">
        <f>IF(B116&gt;$AF$2,0,HLOOKUP(YEAR(A116),Assumptions!$A$34:$AL$37,2,TRUE)/100)</f>
        <v>1.5572999999999998E-2</v>
      </c>
      <c r="AY116" s="32">
        <f>1/(1+HLOOKUP(YEAR(A116),Assumptions!$A$27:$AL$29,3,TRUE))^(1/12)</f>
        <v>0.99874849053349435</v>
      </c>
      <c r="AZ116" s="30">
        <f t="shared" si="49"/>
        <v>8836.8163099067642</v>
      </c>
      <c r="BA116">
        <f>IF(B116&gt;$AF$2,0,IF($E$2=0,(T116*Z116+(1-T116)*AA116)*$J$2*Assumptions!$B$20,0))</f>
        <v>0</v>
      </c>
    </row>
    <row r="117" spans="1:53" x14ac:dyDescent="0.25">
      <c r="A117" s="17">
        <f t="shared" si="50"/>
        <v>46326</v>
      </c>
      <c r="B117">
        <f t="shared" si="42"/>
        <v>336</v>
      </c>
      <c r="C117">
        <f t="shared" si="43"/>
        <v>27.916666666666668</v>
      </c>
      <c r="D117">
        <f t="shared" si="71"/>
        <v>0</v>
      </c>
      <c r="E117">
        <f t="shared" si="44"/>
        <v>50</v>
      </c>
      <c r="F117">
        <f>IF(C117&gt;=$H$2,0,VLOOKUP($E117,'Mortality Table'!$A$3:$C$128,2+AB$2,FALSE))</f>
        <v>1.4852000000000001E-3</v>
      </c>
      <c r="G117">
        <f>F117*Assumptions!$B$1</f>
        <v>1.6077290000000002E-3</v>
      </c>
      <c r="H117">
        <f t="shared" si="51"/>
        <v>1.3407624290673326E-4</v>
      </c>
      <c r="I117">
        <f t="shared" si="72"/>
        <v>9.6854894522978549E-5</v>
      </c>
      <c r="J117">
        <f>HLOOKUP(C117,Assumptions!$A$6:$J$7,2,TRUE)</f>
        <v>3.5200000000000002E-2</v>
      </c>
      <c r="K117" s="18">
        <f t="shared" si="45"/>
        <v>1</v>
      </c>
      <c r="L117" s="18">
        <f t="shared" si="52"/>
        <v>8.3333333333333329E-2</v>
      </c>
      <c r="M117" s="18">
        <f t="shared" si="73"/>
        <v>2.9817501439168836E-3</v>
      </c>
      <c r="N117">
        <f t="shared" si="74"/>
        <v>2.1570481343461787E-3</v>
      </c>
      <c r="O117" s="20">
        <f t="shared" si="75"/>
        <v>0.72121139231003584</v>
      </c>
      <c r="P117">
        <f>IF(B117&gt;$AF$2,0,O116*($E$2+IF(E117&lt;=Assumptions!$B$9,$D$2,0))/$I$2*K117)</f>
        <v>37.053480876274243</v>
      </c>
      <c r="Q117">
        <f t="shared" si="53"/>
        <v>26.1</v>
      </c>
      <c r="R117">
        <f>IF(B117&gt;$AF$2,0,IF($Y$2=1,(SUMIF('Mortality Tarif Male'!A:A,E118,'Mortality Tarif Male'!G:G)-SUMIF('Mortality Tarif Male'!A:A,$C$2+$H$2,'Mortality Tarif Male'!G:G)+SUMIF('Mortality Tarif Male'!A:A,$C$2+$H$2,'Mortality Tarif Male'!D:D))/SUMIF('Mortality Tarif Male'!A:A,E118,'Mortality Tarif Male'!D:D),(SUMIF('Mortality Tarif Female'!A:A,E118,'Mortality Tarif Female'!G:G)-SUMIF('Mortality Tarif Female'!A:A,$C$2+$H$2,'Mortality Tarif Female'!G:G)+SUMIF('Mortality Tarif Female'!A:A,$C$2+$H$2,'Mortality Tarif Female'!D:D))/SUMIF('Mortality Tarif Female'!A:A,E118,'Mortality Tarif Female'!D:D)))</f>
        <v>0.66725422693849323</v>
      </c>
      <c r="S117">
        <f>IF(B117&gt;=$AF$2,0,IF($Y$2=1,(SUMIF('Mortality Tarif Male'!A:A,E118+1,'Mortality Tarif Male'!G:G)-SUMIF('Mortality Tarif Male'!A:A,$C$2+$H$2,'Mortality Tarif Male'!G:G)+SUMIF('Mortality Tarif Male'!A:A,$C$2+$H$2,'Mortality Tarif Male'!D:D))/SUMIF('Mortality Tarif Male'!A:A,E118+1,'Mortality Tarif Male'!D:D),(SUMIF('Mortality Tarif Female'!A:A,E118+1,'Mortality Tarif Female'!G:G)-SUMIF('Mortality Tarif Female'!A:A,$C$2+$H$2,'Mortality Tarif Female'!G:G)+SUMIF('Mortality Tarif Female'!A:A,$C$2+$H$2,'Mortality Tarif Female'!D:D))/SUMIF('Mortality Tarif Female'!A:A,E118+1,'Mortality Tarif Female'!D:D)))</f>
        <v>0.68993591668818599</v>
      </c>
      <c r="T117">
        <f t="shared" si="54"/>
        <v>1</v>
      </c>
      <c r="U117">
        <f t="shared" si="55"/>
        <v>0.66725422693849323</v>
      </c>
      <c r="V117">
        <f t="shared" si="56"/>
        <v>13345.084538769865</v>
      </c>
      <c r="W117">
        <f t="shared" si="46"/>
        <v>17.415335323094673</v>
      </c>
      <c r="X117">
        <f t="shared" si="47"/>
        <v>0</v>
      </c>
      <c r="Y117">
        <f>IF(B117&gt;$AF$2,0,IF(X118=0,0,(1-X118)*($E$2+IF(E117&lt;=Assumptions!$B$9,$D$2,0))/$I$2*1/(1+$AG$2)*1/(1+Assumptions!$B$11)))</f>
        <v>0</v>
      </c>
      <c r="Z117">
        <f>IF(B117&gt;$AF$2,0,IF($Y$2=1,(SUMIF('Mortality Tarif Male'!A:A,E118,'Mortality Tarif Male'!E:E)-SUMIF('Mortality Tarif Male'!A:A,$C$2+$H$2,'Mortality Tarif Male'!E:E))/SUMIF('Mortality Tarif Male'!A:A,E118,'Mortality Tarif Male'!D:D),(SUMIF('Mortality Tarif Female'!A:A,E118,'Mortality Tarif Female'!E:E)-SUMIF('Mortality Tarif Female'!A:A,$C$2+$H$2,'Mortality Tarif Female'!E:E))/SUMIF('Mortality Tarif Female'!A:A,E118,'Mortality Tarif Female'!D:D)))</f>
        <v>9.8564301561069279</v>
      </c>
      <c r="AA117">
        <f>IF(B117&gt;=$AF$2,0,IF($Y$2=1,(SUMIF('Mortality Tarif Male'!A:A,E118+1,'Mortality Tarif Male'!E:E)-SUMIF('Mortality Tarif Male'!A:A,$C$2+$H$2,'Mortality Tarif Male'!E:E))/SUMIF('Mortality Tarif Male'!A:A,E118+1,'Mortality Tarif Male'!D:D),(SUMIF('Mortality Tarif Female'!A:A,E118+1,'Mortality Tarif Female'!E:E)-SUMIF('Mortality Tarif Female'!A:A,$C$2+$H$2,'Mortality Tarif Female'!E:E))/SUMIF('Mortality Tarif Female'!A:A,E118+1,'Mortality Tarif Female'!D:D)))</f>
        <v>9.1852633458687478</v>
      </c>
      <c r="AB117">
        <f t="shared" si="41"/>
        <v>2373.6724455753661</v>
      </c>
      <c r="AC117">
        <f>IF(B117&gt;=$AF$2,0,MIN(1/3*(V117+W117+Y117-AB117),(V117-AB117),(T117*Z117+(1-T117)*AA117)*$AH$2*Assumptions!$B$22))</f>
        <v>256.91752070755638</v>
      </c>
      <c r="AD117">
        <f t="shared" si="57"/>
        <v>10731.909907810035</v>
      </c>
      <c r="AE117">
        <f t="shared" si="58"/>
        <v>10988.827428517592</v>
      </c>
      <c r="AF117">
        <f t="shared" si="59"/>
        <v>10731.909907810035</v>
      </c>
      <c r="AG117" s="26">
        <f t="shared" si="70"/>
        <v>0</v>
      </c>
      <c r="AH117" s="27">
        <f>IF(B117&gt;$AF$2,0,HLOOKUP(YEAR(A117),Assumptions!$A$34:$AL$37,4,TRUE)/100)</f>
        <v>9.5729999999999999E-3</v>
      </c>
      <c r="AI117">
        <f t="shared" si="60"/>
        <v>0</v>
      </c>
      <c r="AJ117">
        <f t="shared" si="61"/>
        <v>1.9396258032066205</v>
      </c>
      <c r="AK117">
        <f t="shared" si="62"/>
        <v>23.149246244612907</v>
      </c>
      <c r="AL117">
        <f>IF(E117&gt;Assumptions!$B$9,0,SUMPRODUCT($P$2:$X$2,Assumptions!$A$43:$I$43)/$I$2*O116*K117)</f>
        <v>4.0524619132290622</v>
      </c>
      <c r="AM117">
        <f t="shared" si="63"/>
        <v>0</v>
      </c>
      <c r="AN117">
        <f t="shared" si="64"/>
        <v>29.141333961048591</v>
      </c>
      <c r="AO117">
        <f>IF(E117&gt;Assumptions!$B$9,0,($V$2+$X$2)/$I$2*O116*K117*Assumptions!$B$46)</f>
        <v>0</v>
      </c>
      <c r="AP117">
        <f>IF(B117&gt;$AF$2,0,AP116*(1+Assumptions!$B$52)^(1/12))</f>
        <v>1.0918730207564793</v>
      </c>
      <c r="AQ117" s="29">
        <f>IF(B117&gt;$AF$2,0,O116*Assumptions!$B$48/12*AP116+AR117*Assumptions!$B$50/12)</f>
        <v>11.953756332809082</v>
      </c>
      <c r="AR117" s="31">
        <f t="shared" si="65"/>
        <v>7628.0292501609674</v>
      </c>
      <c r="AS117">
        <f t="shared" si="48"/>
        <v>7739.9756867575443</v>
      </c>
      <c r="AT117">
        <f t="shared" si="66"/>
        <v>14.519029791362502</v>
      </c>
      <c r="AU117" s="19">
        <f t="shared" si="67"/>
        <v>7638.6099449130697</v>
      </c>
      <c r="AV117" s="19">
        <f t="shared" si="68"/>
        <v>7737.7131350377203</v>
      </c>
      <c r="AW117">
        <f t="shared" si="69"/>
        <v>-122.05512879195614</v>
      </c>
      <c r="AX117">
        <f>IF(B117&gt;$AF$2,0,HLOOKUP(YEAR(A117),Assumptions!$A$34:$AL$37,2,TRUE)/100)</f>
        <v>1.5572999999999998E-2</v>
      </c>
      <c r="AY117" s="32">
        <f>1/(1+HLOOKUP(YEAR(A117),Assumptions!$A$27:$AL$29,3,TRUE))^(1/12)</f>
        <v>0.99874849053349435</v>
      </c>
      <c r="AZ117" s="30">
        <f t="shared" si="49"/>
        <v>8843.8479179913302</v>
      </c>
      <c r="BA117">
        <f>IF(B117&gt;$AF$2,0,IF($E$2=0,(T117*Z117+(1-T117)*AA117)*$J$2*Assumptions!$B$20,0))</f>
        <v>0</v>
      </c>
    </row>
    <row r="118" spans="1:53" x14ac:dyDescent="0.25">
      <c r="A118" s="17">
        <f t="shared" si="50"/>
        <v>46356</v>
      </c>
      <c r="B118">
        <f t="shared" si="42"/>
        <v>337</v>
      </c>
      <c r="C118">
        <f t="shared" si="43"/>
        <v>28</v>
      </c>
      <c r="D118">
        <f t="shared" si="71"/>
        <v>1</v>
      </c>
      <c r="E118">
        <f t="shared" si="44"/>
        <v>51</v>
      </c>
      <c r="F118">
        <f>IF(C118&gt;=$H$2,0,VLOOKUP($E118,'Mortality Table'!$A$3:$C$128,2+AB$2,FALSE))</f>
        <v>1.6440999999999999E-3</v>
      </c>
      <c r="G118">
        <f>F118*Assumptions!$B$1</f>
        <v>1.77973825E-3</v>
      </c>
      <c r="H118">
        <f t="shared" si="51"/>
        <v>1.4843263826236353E-4</v>
      </c>
      <c r="I118">
        <f t="shared" si="72"/>
        <v>1.0689170957639073E-4</v>
      </c>
      <c r="J118">
        <f>HLOOKUP(C118,Assumptions!$A$6:$J$7,2,TRUE)</f>
        <v>3.5200000000000002E-2</v>
      </c>
      <c r="K118" s="18">
        <f t="shared" si="45"/>
        <v>1</v>
      </c>
      <c r="L118" s="18">
        <f t="shared" si="52"/>
        <v>8.3333333333333329E-2</v>
      </c>
      <c r="M118" s="18">
        <f t="shared" si="73"/>
        <v>2.9817501439168836E-3</v>
      </c>
      <c r="N118">
        <f t="shared" si="74"/>
        <v>2.1503125726858854E-3</v>
      </c>
      <c r="O118" s="20">
        <f t="shared" si="75"/>
        <v>0.71895418802777367</v>
      </c>
      <c r="P118">
        <f>IF(B118&gt;$AF$2,0,O117*($E$2+IF(E118&lt;=Assumptions!$B$9,$D$2,0))/$I$2*K118)</f>
        <v>36.938043476145666</v>
      </c>
      <c r="Q118">
        <f t="shared" si="53"/>
        <v>26.1</v>
      </c>
      <c r="R118">
        <f>IF(B118&gt;$AF$2,0,IF($Y$2=1,(SUMIF('Mortality Tarif Male'!A:A,E119,'Mortality Tarif Male'!G:G)-SUMIF('Mortality Tarif Male'!A:A,$C$2+$H$2,'Mortality Tarif Male'!G:G)+SUMIF('Mortality Tarif Male'!A:A,$C$2+$H$2,'Mortality Tarif Male'!D:D))/SUMIF('Mortality Tarif Male'!A:A,E119,'Mortality Tarif Male'!D:D),(SUMIF('Mortality Tarif Female'!A:A,E119,'Mortality Tarif Female'!G:G)-SUMIF('Mortality Tarif Female'!A:A,$C$2+$H$2,'Mortality Tarif Female'!G:G)+SUMIF('Mortality Tarif Female'!A:A,$C$2+$H$2,'Mortality Tarif Female'!D:D))/SUMIF('Mortality Tarif Female'!A:A,E119,'Mortality Tarif Female'!D:D)))</f>
        <v>0.66725422693849323</v>
      </c>
      <c r="S118">
        <f>IF(B118&gt;=$AF$2,0,IF($Y$2=1,(SUMIF('Mortality Tarif Male'!A:A,E119+1,'Mortality Tarif Male'!G:G)-SUMIF('Mortality Tarif Male'!A:A,$C$2+$H$2,'Mortality Tarif Male'!G:G)+SUMIF('Mortality Tarif Male'!A:A,$C$2+$H$2,'Mortality Tarif Male'!D:D))/SUMIF('Mortality Tarif Male'!A:A,E119+1,'Mortality Tarif Male'!D:D),(SUMIF('Mortality Tarif Female'!A:A,E119+1,'Mortality Tarif Female'!G:G)-SUMIF('Mortality Tarif Female'!A:A,$C$2+$H$2,'Mortality Tarif Female'!G:G)+SUMIF('Mortality Tarif Female'!A:A,$C$2+$H$2,'Mortality Tarif Female'!D:D))/SUMIF('Mortality Tarif Female'!A:A,E119+1,'Mortality Tarif Female'!D:D)))</f>
        <v>0.68993591668818599</v>
      </c>
      <c r="T118">
        <f t="shared" si="54"/>
        <v>0.91666666666666785</v>
      </c>
      <c r="U118">
        <f t="shared" si="55"/>
        <v>0.66914436775096764</v>
      </c>
      <c r="V118">
        <f t="shared" si="56"/>
        <v>13382.887355019353</v>
      </c>
      <c r="W118">
        <f t="shared" si="46"/>
        <v>17.464667998300257</v>
      </c>
      <c r="X118">
        <f t="shared" si="47"/>
        <v>0</v>
      </c>
      <c r="Y118">
        <f>IF(B118&gt;$AF$2,0,IF(X119=0,0,(1-X119)*($E$2+IF(E118&lt;=Assumptions!$B$9,$D$2,0))/$I$2*1/(1+$AG$2)*1/(1+Assumptions!$B$11)))</f>
        <v>0</v>
      </c>
      <c r="Z118">
        <f>IF(B118&gt;$AF$2,0,IF($Y$2=1,(SUMIF('Mortality Tarif Male'!A:A,E119,'Mortality Tarif Male'!E:E)-SUMIF('Mortality Tarif Male'!A:A,$C$2+$H$2,'Mortality Tarif Male'!E:E))/SUMIF('Mortality Tarif Male'!A:A,E119,'Mortality Tarif Male'!D:D),(SUMIF('Mortality Tarif Female'!A:A,E119,'Mortality Tarif Female'!E:E)-SUMIF('Mortality Tarif Female'!A:A,$C$2+$H$2,'Mortality Tarif Female'!E:E))/SUMIF('Mortality Tarif Female'!A:A,E119,'Mortality Tarif Female'!D:D)))</f>
        <v>9.8564301561069279</v>
      </c>
      <c r="AA118">
        <f>IF(B118&gt;=$AF$2,0,IF($Y$2=1,(SUMIF('Mortality Tarif Male'!A:A,E119+1,'Mortality Tarif Male'!E:E)-SUMIF('Mortality Tarif Male'!A:A,$C$2+$H$2,'Mortality Tarif Male'!E:E))/SUMIF('Mortality Tarif Male'!A:A,E119+1,'Mortality Tarif Male'!D:D),(SUMIF('Mortality Tarif Female'!A:A,E119+1,'Mortality Tarif Female'!E:E)-SUMIF('Mortality Tarif Female'!A:A,$C$2+$H$2,'Mortality Tarif Female'!E:E))/SUMIF('Mortality Tarif Female'!A:A,E119+1,'Mortality Tarif Female'!D:D)))</f>
        <v>9.1852633458687478</v>
      </c>
      <c r="AB118">
        <f t="shared" si="41"/>
        <v>2360.2029799692004</v>
      </c>
      <c r="AC118">
        <f>IF(B118&gt;=$AF$2,0,MIN(1/3*(V118+W118+Y118-AB118),(V118-AB118),(T118*Z118+(1-T118)*AA118)*$AH$2*Assumptions!$B$22))</f>
        <v>255.45963559992816</v>
      </c>
      <c r="AD118">
        <f t="shared" si="57"/>
        <v>10784.689407448524</v>
      </c>
      <c r="AE118">
        <f t="shared" si="58"/>
        <v>11040.149043048452</v>
      </c>
      <c r="AF118">
        <f t="shared" si="59"/>
        <v>10784.689407448524</v>
      </c>
      <c r="AG118" s="26">
        <f t="shared" si="70"/>
        <v>0</v>
      </c>
      <c r="AH118" s="27">
        <f>IF(B118&gt;$AF$2,0,HLOOKUP(YEAR(A118),Assumptions!$A$34:$AL$37,4,TRUE)/100)</f>
        <v>9.5729999999999999E-3</v>
      </c>
      <c r="AI118">
        <f t="shared" si="60"/>
        <v>0</v>
      </c>
      <c r="AJ118">
        <f t="shared" si="61"/>
        <v>2.1406240651477582</v>
      </c>
      <c r="AK118">
        <f t="shared" si="62"/>
        <v>23.190453225348854</v>
      </c>
      <c r="AL118">
        <f>IF(E118&gt;Assumptions!$B$9,0,SUMPRODUCT($P$2:$X$2,Assumptions!$A$43:$I$43)/$I$2*O117*K118)</f>
        <v>4.0398367655689729</v>
      </c>
      <c r="AM118">
        <f t="shared" si="63"/>
        <v>0</v>
      </c>
      <c r="AN118">
        <f t="shared" si="64"/>
        <v>29.370914056065587</v>
      </c>
      <c r="AO118">
        <f>IF(E118&gt;Assumptions!$B$9,0,($V$2+$X$2)/$I$2*O117*K118*Assumptions!$B$46)</f>
        <v>0</v>
      </c>
      <c r="AP118">
        <f>IF(B118&gt;$AF$2,0,AP117*(1+Assumptions!$B$52)^(1/12))</f>
        <v>1.0927787710432231</v>
      </c>
      <c r="AQ118" s="29">
        <f>IF(B118&gt;$AF$2,0,O117*Assumptions!$B$48/12*AP117+AR118*Assumptions!$B$50/12)</f>
        <v>11.930697755638022</v>
      </c>
      <c r="AR118" s="31">
        <f t="shared" si="65"/>
        <v>7628.3545180196916</v>
      </c>
      <c r="AS118">
        <f t="shared" si="48"/>
        <v>7753.6976160638851</v>
      </c>
      <c r="AT118">
        <f t="shared" si="66"/>
        <v>14.473796819672184</v>
      </c>
      <c r="AU118" s="19">
        <f t="shared" si="67"/>
        <v>7638.8880669205273</v>
      </c>
      <c r="AV118" s="19">
        <f t="shared" si="68"/>
        <v>7750.4096468116477</v>
      </c>
      <c r="AW118">
        <f t="shared" si="69"/>
        <v>-134.46246472457167</v>
      </c>
      <c r="AX118">
        <f>IF(B118&gt;$AF$2,0,HLOOKUP(YEAR(A118),Assumptions!$A$34:$AL$37,2,TRUE)/100)</f>
        <v>1.5572999999999998E-2</v>
      </c>
      <c r="AY118" s="32">
        <f>1/(1+HLOOKUP(YEAR(A118),Assumptions!$A$27:$AL$29,3,TRUE))^(1/12)</f>
        <v>0.99874849053349435</v>
      </c>
      <c r="AZ118" s="30">
        <f t="shared" si="49"/>
        <v>8850.5663783092423</v>
      </c>
      <c r="BA118">
        <f>IF(B118&gt;$AF$2,0,IF($E$2=0,(T118*Z118+(1-T118)*AA118)*$J$2*Assumptions!$B$20,0))</f>
        <v>0</v>
      </c>
    </row>
    <row r="119" spans="1:53" x14ac:dyDescent="0.25">
      <c r="A119" s="17">
        <f t="shared" si="50"/>
        <v>46387</v>
      </c>
      <c r="B119">
        <f t="shared" si="42"/>
        <v>338</v>
      </c>
      <c r="C119">
        <f t="shared" si="43"/>
        <v>28.083333333333332</v>
      </c>
      <c r="D119">
        <f t="shared" si="71"/>
        <v>0</v>
      </c>
      <c r="E119">
        <f t="shared" si="44"/>
        <v>51</v>
      </c>
      <c r="F119">
        <f>IF(C119&gt;=$H$2,0,VLOOKUP($E119,'Mortality Table'!$A$3:$C$128,2+AB$2,FALSE))</f>
        <v>1.6440999999999999E-3</v>
      </c>
      <c r="G119">
        <f>F119*Assumptions!$B$1</f>
        <v>1.77973825E-3</v>
      </c>
      <c r="H119">
        <f t="shared" si="51"/>
        <v>1.4843263826236353E-4</v>
      </c>
      <c r="I119">
        <f t="shared" si="72"/>
        <v>1.0655716629661621E-4</v>
      </c>
      <c r="J119">
        <f>HLOOKUP(C119,Assumptions!$A$6:$J$7,2,TRUE)</f>
        <v>3.5200000000000002E-2</v>
      </c>
      <c r="K119" s="18">
        <f t="shared" si="45"/>
        <v>1</v>
      </c>
      <c r="L119" s="18">
        <f t="shared" si="52"/>
        <v>8.3333333333333329E-2</v>
      </c>
      <c r="M119" s="18">
        <f t="shared" si="73"/>
        <v>2.9817501439168836E-3</v>
      </c>
      <c r="N119">
        <f t="shared" si="74"/>
        <v>2.1435826529993384E-3</v>
      </c>
      <c r="O119" s="20">
        <f t="shared" si="75"/>
        <v>0.71670404820847777</v>
      </c>
      <c r="P119">
        <f>IF(B119&gt;$AF$2,0,O118*($E$2+IF(E119&lt;=Assumptions!$B$9,$D$2,0))/$I$2*K119)</f>
        <v>36.822436996822468</v>
      </c>
      <c r="Q119">
        <f t="shared" si="53"/>
        <v>26.1</v>
      </c>
      <c r="R119">
        <f>IF(B119&gt;$AF$2,0,IF($Y$2=1,(SUMIF('Mortality Tarif Male'!A:A,E120,'Mortality Tarif Male'!G:G)-SUMIF('Mortality Tarif Male'!A:A,$C$2+$H$2,'Mortality Tarif Male'!G:G)+SUMIF('Mortality Tarif Male'!A:A,$C$2+$H$2,'Mortality Tarif Male'!D:D))/SUMIF('Mortality Tarif Male'!A:A,E120,'Mortality Tarif Male'!D:D),(SUMIF('Mortality Tarif Female'!A:A,E120,'Mortality Tarif Female'!G:G)-SUMIF('Mortality Tarif Female'!A:A,$C$2+$H$2,'Mortality Tarif Female'!G:G)+SUMIF('Mortality Tarif Female'!A:A,$C$2+$H$2,'Mortality Tarif Female'!D:D))/SUMIF('Mortality Tarif Female'!A:A,E120,'Mortality Tarif Female'!D:D)))</f>
        <v>0.66725422693849323</v>
      </c>
      <c r="S119">
        <f>IF(B119&gt;=$AF$2,0,IF($Y$2=1,(SUMIF('Mortality Tarif Male'!A:A,E120+1,'Mortality Tarif Male'!G:G)-SUMIF('Mortality Tarif Male'!A:A,$C$2+$H$2,'Mortality Tarif Male'!G:G)+SUMIF('Mortality Tarif Male'!A:A,$C$2+$H$2,'Mortality Tarif Male'!D:D))/SUMIF('Mortality Tarif Male'!A:A,E120+1,'Mortality Tarif Male'!D:D),(SUMIF('Mortality Tarif Female'!A:A,E120+1,'Mortality Tarif Female'!G:G)-SUMIF('Mortality Tarif Female'!A:A,$C$2+$H$2,'Mortality Tarif Female'!G:G)+SUMIF('Mortality Tarif Female'!A:A,$C$2+$H$2,'Mortality Tarif Female'!D:D))/SUMIF('Mortality Tarif Female'!A:A,E120+1,'Mortality Tarif Female'!D:D)))</f>
        <v>0.68993591668818599</v>
      </c>
      <c r="T119">
        <f t="shared" si="54"/>
        <v>0.83333333333333215</v>
      </c>
      <c r="U119">
        <f t="shared" si="55"/>
        <v>0.67103450856344204</v>
      </c>
      <c r="V119">
        <f t="shared" si="56"/>
        <v>13420.690171268841</v>
      </c>
      <c r="W119">
        <f t="shared" si="46"/>
        <v>17.514000673505837</v>
      </c>
      <c r="X119">
        <f t="shared" si="47"/>
        <v>0</v>
      </c>
      <c r="Y119">
        <f>IF(B119&gt;$AF$2,0,IF(X120=0,0,(1-X120)*($E$2+IF(E119&lt;=Assumptions!$B$9,$D$2,0))/$I$2*1/(1+$AG$2)*1/(1+Assumptions!$B$11)))</f>
        <v>0</v>
      </c>
      <c r="Z119">
        <f>IF(B119&gt;$AF$2,0,IF($Y$2=1,(SUMIF('Mortality Tarif Male'!A:A,E120,'Mortality Tarif Male'!E:E)-SUMIF('Mortality Tarif Male'!A:A,$C$2+$H$2,'Mortality Tarif Male'!E:E))/SUMIF('Mortality Tarif Male'!A:A,E120,'Mortality Tarif Male'!D:D),(SUMIF('Mortality Tarif Female'!A:A,E120,'Mortality Tarif Female'!E:E)-SUMIF('Mortality Tarif Female'!A:A,$C$2+$H$2,'Mortality Tarif Female'!E:E))/SUMIF('Mortality Tarif Female'!A:A,E120,'Mortality Tarif Female'!D:D)))</f>
        <v>9.8564301561069279</v>
      </c>
      <c r="AA119">
        <f>IF(B119&gt;=$AF$2,0,IF($Y$2=1,(SUMIF('Mortality Tarif Male'!A:A,E120+1,'Mortality Tarif Male'!E:E)-SUMIF('Mortality Tarif Male'!A:A,$C$2+$H$2,'Mortality Tarif Male'!E:E))/SUMIF('Mortality Tarif Male'!A:A,E120+1,'Mortality Tarif Male'!D:D),(SUMIF('Mortality Tarif Female'!A:A,E120+1,'Mortality Tarif Female'!E:E)-SUMIF('Mortality Tarif Female'!A:A,$C$2+$H$2,'Mortality Tarif Female'!E:E))/SUMIF('Mortality Tarif Female'!A:A,E120+1,'Mortality Tarif Female'!D:D)))</f>
        <v>9.1852633458687478</v>
      </c>
      <c r="AB119">
        <f t="shared" si="41"/>
        <v>2346.7335143630344</v>
      </c>
      <c r="AC119">
        <f>IF(B119&gt;=$AF$2,0,MIN(1/3*(V119+W119+Y119-AB119),(V119-AB119),(T119*Z119+(1-T119)*AA119)*$AH$2*Assumptions!$B$22))</f>
        <v>254.00175049229992</v>
      </c>
      <c r="AD119">
        <f t="shared" si="57"/>
        <v>10837.468907087014</v>
      </c>
      <c r="AE119">
        <f t="shared" si="58"/>
        <v>11091.470657579313</v>
      </c>
      <c r="AF119">
        <f t="shared" si="59"/>
        <v>10837.468907087014</v>
      </c>
      <c r="AG119" s="26">
        <f t="shared" si="70"/>
        <v>10553.745549167408</v>
      </c>
      <c r="AH119" s="27">
        <f>IF(B119&gt;$AF$2,0,HLOOKUP(YEAR(A119),Assumptions!$A$34:$AL$37,4,TRUE)/100)</f>
        <v>9.5729999999999999E-3</v>
      </c>
      <c r="AI119">
        <f t="shared" si="60"/>
        <v>0</v>
      </c>
      <c r="AJ119">
        <f t="shared" si="61"/>
        <v>2.1339244679726659</v>
      </c>
      <c r="AK119">
        <f t="shared" si="62"/>
        <v>23.23101035165142</v>
      </c>
      <c r="AL119">
        <f>IF(E119&gt;Assumptions!$B$9,0,SUMPRODUCT($P$2:$X$2,Assumptions!$A$43:$I$43)/$I$2*O118*K119)</f>
        <v>4.0271931260700526</v>
      </c>
      <c r="AM119">
        <f t="shared" si="63"/>
        <v>0</v>
      </c>
      <c r="AN119">
        <f t="shared" si="64"/>
        <v>29.392127945694138</v>
      </c>
      <c r="AO119">
        <f>IF(E119&gt;Assumptions!$B$9,0,($V$2+$X$2)/$I$2*O118*K119*Assumptions!$B$46)</f>
        <v>0</v>
      </c>
      <c r="AP119">
        <f>IF(B119&gt;$AF$2,0,AP118*(1+Assumptions!$B$52)^(1/12))</f>
        <v>1.0936852726843518</v>
      </c>
      <c r="AQ119" s="29">
        <f>IF(B119&gt;$AF$2,0,O118*Assumptions!$B$48/12*AP118+AR119*Assumptions!$B$50/12)</f>
        <v>11.907778819022607</v>
      </c>
      <c r="AR119" s="31">
        <f t="shared" si="65"/>
        <v>7629.636455809261</v>
      </c>
      <c r="AS119">
        <f t="shared" si="48"/>
        <v>7767.2578380427703</v>
      </c>
      <c r="AT119">
        <f t="shared" si="66"/>
        <v>14.428497596018333</v>
      </c>
      <c r="AU119" s="19">
        <f t="shared" si="67"/>
        <v>7640.1226163910424</v>
      </c>
      <c r="AV119" s="19">
        <f t="shared" si="68"/>
        <v>7764.0989205338328</v>
      </c>
      <c r="AW119">
        <f t="shared" si="69"/>
        <v>0</v>
      </c>
      <c r="AX119">
        <f>IF(B119&gt;$AF$2,0,HLOOKUP(YEAR(A119),Assumptions!$A$34:$AL$37,2,TRUE)/100)</f>
        <v>1.5572999999999998E-2</v>
      </c>
      <c r="AY119" s="32">
        <f>1/(1+HLOOKUP(YEAR(A119),Assumptions!$A$27:$AL$29,3,TRUE))^(1/12)</f>
        <v>0.99874849053349435</v>
      </c>
      <c r="AZ119" s="30">
        <f t="shared" si="49"/>
        <v>8857.1793559476573</v>
      </c>
      <c r="BA119">
        <f>IF(B119&gt;$AF$2,0,IF($E$2=0,(T119*Z119+(1-T119)*AA119)*$J$2*Assumptions!$B$20,0))</f>
        <v>0</v>
      </c>
    </row>
    <row r="120" spans="1:53" x14ac:dyDescent="0.25">
      <c r="A120" s="17">
        <f t="shared" si="50"/>
        <v>46418</v>
      </c>
      <c r="B120">
        <f t="shared" si="42"/>
        <v>339</v>
      </c>
      <c r="C120">
        <f t="shared" si="43"/>
        <v>28.166666666666668</v>
      </c>
      <c r="D120">
        <f t="shared" si="71"/>
        <v>0</v>
      </c>
      <c r="E120">
        <f t="shared" si="44"/>
        <v>51</v>
      </c>
      <c r="F120">
        <f>IF(C120&gt;=$H$2,0,VLOOKUP($E120,'Mortality Table'!$A$3:$C$128,2+AB$2,FALSE))</f>
        <v>1.6440999999999999E-3</v>
      </c>
      <c r="G120">
        <f>F120*Assumptions!$B$1</f>
        <v>1.77973825E-3</v>
      </c>
      <c r="H120">
        <f t="shared" si="51"/>
        <v>1.4843263826236353E-4</v>
      </c>
      <c r="I120">
        <f t="shared" si="72"/>
        <v>1.0622367005039072E-4</v>
      </c>
      <c r="J120">
        <f>HLOOKUP(C120,Assumptions!$A$6:$J$7,2,TRUE)</f>
        <v>3.5200000000000002E-2</v>
      </c>
      <c r="K120" s="18">
        <f t="shared" si="45"/>
        <v>1</v>
      </c>
      <c r="L120" s="18">
        <f t="shared" si="52"/>
        <v>8.3333333333333329E-2</v>
      </c>
      <c r="M120" s="18">
        <f t="shared" si="73"/>
        <v>2.9817501439168836E-3</v>
      </c>
      <c r="N120">
        <f t="shared" si="74"/>
        <v>2.136873796212932E-3</v>
      </c>
      <c r="O120" s="20">
        <f t="shared" si="75"/>
        <v>0.71446095074221438</v>
      </c>
      <c r="P120">
        <f>IF(B120&gt;$AF$2,0,O119*($E$2+IF(E120&lt;=Assumptions!$B$9,$D$2,0))/$I$2*K120)</f>
        <v>36.707192335744196</v>
      </c>
      <c r="Q120">
        <f t="shared" si="53"/>
        <v>26.1</v>
      </c>
      <c r="R120">
        <f>IF(B120&gt;$AF$2,0,IF($Y$2=1,(SUMIF('Mortality Tarif Male'!A:A,E121,'Mortality Tarif Male'!G:G)-SUMIF('Mortality Tarif Male'!A:A,$C$2+$H$2,'Mortality Tarif Male'!G:G)+SUMIF('Mortality Tarif Male'!A:A,$C$2+$H$2,'Mortality Tarif Male'!D:D))/SUMIF('Mortality Tarif Male'!A:A,E121,'Mortality Tarif Male'!D:D),(SUMIF('Mortality Tarif Female'!A:A,E121,'Mortality Tarif Female'!G:G)-SUMIF('Mortality Tarif Female'!A:A,$C$2+$H$2,'Mortality Tarif Female'!G:G)+SUMIF('Mortality Tarif Female'!A:A,$C$2+$H$2,'Mortality Tarif Female'!D:D))/SUMIF('Mortality Tarif Female'!A:A,E121,'Mortality Tarif Female'!D:D)))</f>
        <v>0.66725422693849323</v>
      </c>
      <c r="S120">
        <f>IF(B120&gt;=$AF$2,0,IF($Y$2=1,(SUMIF('Mortality Tarif Male'!A:A,E121+1,'Mortality Tarif Male'!G:G)-SUMIF('Mortality Tarif Male'!A:A,$C$2+$H$2,'Mortality Tarif Male'!G:G)+SUMIF('Mortality Tarif Male'!A:A,$C$2+$H$2,'Mortality Tarif Male'!D:D))/SUMIF('Mortality Tarif Male'!A:A,E121+1,'Mortality Tarif Male'!D:D),(SUMIF('Mortality Tarif Female'!A:A,E121+1,'Mortality Tarif Female'!G:G)-SUMIF('Mortality Tarif Female'!A:A,$C$2+$H$2,'Mortality Tarif Female'!G:G)+SUMIF('Mortality Tarif Female'!A:A,$C$2+$H$2,'Mortality Tarif Female'!D:D))/SUMIF('Mortality Tarif Female'!A:A,E121+1,'Mortality Tarif Female'!D:D)))</f>
        <v>0.68993591668818599</v>
      </c>
      <c r="T120">
        <f t="shared" si="54"/>
        <v>0.75</v>
      </c>
      <c r="U120">
        <f t="shared" si="55"/>
        <v>0.67292464937591645</v>
      </c>
      <c r="V120">
        <f t="shared" si="56"/>
        <v>13458.49298751833</v>
      </c>
      <c r="W120">
        <f t="shared" si="46"/>
        <v>17.563333348711421</v>
      </c>
      <c r="X120">
        <f t="shared" si="47"/>
        <v>0</v>
      </c>
      <c r="Y120">
        <f>IF(B120&gt;$AF$2,0,IF(X121=0,0,(1-X121)*($E$2+IF(E120&lt;=Assumptions!$B$9,$D$2,0))/$I$2*1/(1+$AG$2)*1/(1+Assumptions!$B$11)))</f>
        <v>0</v>
      </c>
      <c r="Z120">
        <f>IF(B120&gt;$AF$2,0,IF($Y$2=1,(SUMIF('Mortality Tarif Male'!A:A,E121,'Mortality Tarif Male'!E:E)-SUMIF('Mortality Tarif Male'!A:A,$C$2+$H$2,'Mortality Tarif Male'!E:E))/SUMIF('Mortality Tarif Male'!A:A,E121,'Mortality Tarif Male'!D:D),(SUMIF('Mortality Tarif Female'!A:A,E121,'Mortality Tarif Female'!E:E)-SUMIF('Mortality Tarif Female'!A:A,$C$2+$H$2,'Mortality Tarif Female'!E:E))/SUMIF('Mortality Tarif Female'!A:A,E121,'Mortality Tarif Female'!D:D)))</f>
        <v>9.8564301561069279</v>
      </c>
      <c r="AA120">
        <f>IF(B120&gt;=$AF$2,0,IF($Y$2=1,(SUMIF('Mortality Tarif Male'!A:A,E121+1,'Mortality Tarif Male'!E:E)-SUMIF('Mortality Tarif Male'!A:A,$C$2+$H$2,'Mortality Tarif Male'!E:E))/SUMIF('Mortality Tarif Male'!A:A,E121+1,'Mortality Tarif Male'!D:D),(SUMIF('Mortality Tarif Female'!A:A,E121+1,'Mortality Tarif Female'!E:E)-SUMIF('Mortality Tarif Female'!A:A,$C$2+$H$2,'Mortality Tarif Female'!E:E))/SUMIF('Mortality Tarif Female'!A:A,E121+1,'Mortality Tarif Female'!D:D)))</f>
        <v>9.1852633458687478</v>
      </c>
      <c r="AB120">
        <f t="shared" si="41"/>
        <v>2333.2640487568692</v>
      </c>
      <c r="AC120">
        <f>IF(B120&gt;=$AF$2,0,MIN(1/3*(V120+W120+Y120-AB120),(V120-AB120),(T120*Z120+(1-T120)*AA120)*$AH$2*Assumptions!$B$22))</f>
        <v>252.54386538467173</v>
      </c>
      <c r="AD120">
        <f t="shared" si="57"/>
        <v>10890.248406725499</v>
      </c>
      <c r="AE120">
        <f t="shared" si="58"/>
        <v>11142.792272110171</v>
      </c>
      <c r="AF120">
        <f t="shared" si="59"/>
        <v>10890.248406725499</v>
      </c>
      <c r="AG120" s="26">
        <f t="shared" si="70"/>
        <v>0</v>
      </c>
      <c r="AH120" s="27">
        <f>IF(B120&gt;$AF$2,0,HLOOKUP(YEAR(A120),Assumptions!$A$34:$AL$37,4,TRUE)/100)</f>
        <v>9.8630000000000002E-3</v>
      </c>
      <c r="AI120">
        <f t="shared" si="60"/>
        <v>0</v>
      </c>
      <c r="AJ120">
        <f t="shared" si="61"/>
        <v>2.1272458387961293</v>
      </c>
      <c r="AK120">
        <f t="shared" si="62"/>
        <v>23.271086454581351</v>
      </c>
      <c r="AL120">
        <f>IF(E120&gt;Assumptions!$B$9,0,SUMPRODUCT($P$2:$X$2,Assumptions!$A$43:$I$43)/$I$2*O119*K120)</f>
        <v>4.0145890578778598</v>
      </c>
      <c r="AM120">
        <f t="shared" si="63"/>
        <v>0</v>
      </c>
      <c r="AN120">
        <f t="shared" si="64"/>
        <v>29.412921351255338</v>
      </c>
      <c r="AO120">
        <f>IF(E120&gt;Assumptions!$B$9,0,($V$2+$X$2)/$I$2*O119*K120*Assumptions!$B$46)</f>
        <v>0</v>
      </c>
      <c r="AP120">
        <f>IF(B120&gt;$AF$2,0,AP119*(1+Assumptions!$B$52)^(1/12))</f>
        <v>1.0945925263031426</v>
      </c>
      <c r="AQ120" s="29">
        <f>IF(B120&gt;$AF$2,0,O119*Assumptions!$B$48/12*AP119+AR120*Assumptions!$B$50/12)</f>
        <v>11.920367854093746</v>
      </c>
      <c r="AR120" s="31">
        <f t="shared" si="65"/>
        <v>7777.6265891320581</v>
      </c>
      <c r="AS120">
        <f t="shared" si="48"/>
        <v>7780.6572304879855</v>
      </c>
      <c r="AT120">
        <f t="shared" si="66"/>
        <v>14.383340147165471</v>
      </c>
      <c r="AU120" s="19">
        <f t="shared" si="67"/>
        <v>7788.0300734665434</v>
      </c>
      <c r="AV120" s="19">
        <f t="shared" si="68"/>
        <v>7777.6265891320581</v>
      </c>
      <c r="AW120">
        <f t="shared" si="69"/>
        <v>-12.107752678942672</v>
      </c>
      <c r="AX120">
        <f>IF(B120&gt;$AF$2,0,HLOOKUP(YEAR(A120),Assumptions!$A$34:$AL$37,2,TRUE)/100)</f>
        <v>1.5863000000000002E-2</v>
      </c>
      <c r="AY120" s="32">
        <f>1/(1+HLOOKUP(YEAR(A120),Assumptions!$A$27:$AL$29,3,TRUE))^(1/12)</f>
        <v>0.99871316197380999</v>
      </c>
      <c r="AZ120" s="30">
        <f t="shared" si="49"/>
        <v>8863.9657002413296</v>
      </c>
      <c r="BA120">
        <f>IF(B120&gt;$AF$2,0,IF($E$2=0,(T120*Z120+(1-T120)*AA120)*$J$2*Assumptions!$B$20,0))</f>
        <v>0</v>
      </c>
    </row>
    <row r="121" spans="1:53" x14ac:dyDescent="0.25">
      <c r="A121" s="17">
        <f t="shared" si="50"/>
        <v>46446</v>
      </c>
      <c r="B121">
        <f t="shared" si="42"/>
        <v>340</v>
      </c>
      <c r="C121">
        <f t="shared" si="43"/>
        <v>28.25</v>
      </c>
      <c r="D121">
        <f t="shared" si="71"/>
        <v>0</v>
      </c>
      <c r="E121">
        <f t="shared" si="44"/>
        <v>51</v>
      </c>
      <c r="F121">
        <f>IF(C121&gt;=$H$2,0,VLOOKUP($E121,'Mortality Table'!$A$3:$C$128,2+AB$2,FALSE))</f>
        <v>1.6440999999999999E-3</v>
      </c>
      <c r="G121">
        <f>F121*Assumptions!$B$1</f>
        <v>1.77973825E-3</v>
      </c>
      <c r="H121">
        <f t="shared" si="51"/>
        <v>1.4843263826236353E-4</v>
      </c>
      <c r="I121">
        <f t="shared" si="72"/>
        <v>1.058912175607713E-4</v>
      </c>
      <c r="J121">
        <f>HLOOKUP(C121,Assumptions!$A$6:$J$7,2,TRUE)</f>
        <v>3.5200000000000002E-2</v>
      </c>
      <c r="K121" s="18">
        <f t="shared" si="45"/>
        <v>1</v>
      </c>
      <c r="L121" s="18">
        <f t="shared" si="52"/>
        <v>8.3333333333333329E-2</v>
      </c>
      <c r="M121" s="18">
        <f t="shared" si="73"/>
        <v>2.9817501439168836E-3</v>
      </c>
      <c r="N121">
        <f t="shared" si="74"/>
        <v>2.130185936405259E-3</v>
      </c>
      <c r="O121" s="20">
        <f t="shared" si="75"/>
        <v>0.71222487358824838</v>
      </c>
      <c r="P121">
        <f>IF(B121&gt;$AF$2,0,O120*($E$2+IF(E121&lt;=Assumptions!$B$9,$D$2,0))/$I$2*K121)</f>
        <v>36.592308360513741</v>
      </c>
      <c r="Q121">
        <f t="shared" si="53"/>
        <v>26.1</v>
      </c>
      <c r="R121">
        <f>IF(B121&gt;$AF$2,0,IF($Y$2=1,(SUMIF('Mortality Tarif Male'!A:A,E122,'Mortality Tarif Male'!G:G)-SUMIF('Mortality Tarif Male'!A:A,$C$2+$H$2,'Mortality Tarif Male'!G:G)+SUMIF('Mortality Tarif Male'!A:A,$C$2+$H$2,'Mortality Tarif Male'!D:D))/SUMIF('Mortality Tarif Male'!A:A,E122,'Mortality Tarif Male'!D:D),(SUMIF('Mortality Tarif Female'!A:A,E122,'Mortality Tarif Female'!G:G)-SUMIF('Mortality Tarif Female'!A:A,$C$2+$H$2,'Mortality Tarif Female'!G:G)+SUMIF('Mortality Tarif Female'!A:A,$C$2+$H$2,'Mortality Tarif Female'!D:D))/SUMIF('Mortality Tarif Female'!A:A,E122,'Mortality Tarif Female'!D:D)))</f>
        <v>0.66725422693849323</v>
      </c>
      <c r="S121">
        <f>IF(B121&gt;=$AF$2,0,IF($Y$2=1,(SUMIF('Mortality Tarif Male'!A:A,E122+1,'Mortality Tarif Male'!G:G)-SUMIF('Mortality Tarif Male'!A:A,$C$2+$H$2,'Mortality Tarif Male'!G:G)+SUMIF('Mortality Tarif Male'!A:A,$C$2+$H$2,'Mortality Tarif Male'!D:D))/SUMIF('Mortality Tarif Male'!A:A,E122+1,'Mortality Tarif Male'!D:D),(SUMIF('Mortality Tarif Female'!A:A,E122+1,'Mortality Tarif Female'!G:G)-SUMIF('Mortality Tarif Female'!A:A,$C$2+$H$2,'Mortality Tarif Female'!G:G)+SUMIF('Mortality Tarif Female'!A:A,$C$2+$H$2,'Mortality Tarif Female'!D:D))/SUMIF('Mortality Tarif Female'!A:A,E122+1,'Mortality Tarif Female'!D:D)))</f>
        <v>0.68993591668818599</v>
      </c>
      <c r="T121">
        <f t="shared" si="54"/>
        <v>0.66666666666666785</v>
      </c>
      <c r="U121">
        <f t="shared" si="55"/>
        <v>0.67481479018839075</v>
      </c>
      <c r="V121">
        <f t="shared" si="56"/>
        <v>13496.295803767815</v>
      </c>
      <c r="W121">
        <f t="shared" si="46"/>
        <v>17.612666023917001</v>
      </c>
      <c r="X121">
        <f t="shared" si="47"/>
        <v>0</v>
      </c>
      <c r="Y121">
        <f>IF(B121&gt;$AF$2,0,IF(X122=0,0,(1-X122)*($E$2+IF(E121&lt;=Assumptions!$B$9,$D$2,0))/$I$2*1/(1+$AG$2)*1/(1+Assumptions!$B$11)))</f>
        <v>0</v>
      </c>
      <c r="Z121">
        <f>IF(B121&gt;$AF$2,0,IF($Y$2=1,(SUMIF('Mortality Tarif Male'!A:A,E122,'Mortality Tarif Male'!E:E)-SUMIF('Mortality Tarif Male'!A:A,$C$2+$H$2,'Mortality Tarif Male'!E:E))/SUMIF('Mortality Tarif Male'!A:A,E122,'Mortality Tarif Male'!D:D),(SUMIF('Mortality Tarif Female'!A:A,E122,'Mortality Tarif Female'!E:E)-SUMIF('Mortality Tarif Female'!A:A,$C$2+$H$2,'Mortality Tarif Female'!E:E))/SUMIF('Mortality Tarif Female'!A:A,E122,'Mortality Tarif Female'!D:D)))</f>
        <v>9.8564301561069279</v>
      </c>
      <c r="AA121">
        <f>IF(B121&gt;=$AF$2,0,IF($Y$2=1,(SUMIF('Mortality Tarif Male'!A:A,E122+1,'Mortality Tarif Male'!E:E)-SUMIF('Mortality Tarif Male'!A:A,$C$2+$H$2,'Mortality Tarif Male'!E:E))/SUMIF('Mortality Tarif Male'!A:A,E122+1,'Mortality Tarif Male'!D:D),(SUMIF('Mortality Tarif Female'!A:A,E122+1,'Mortality Tarif Female'!E:E)-SUMIF('Mortality Tarif Female'!A:A,$C$2+$H$2,'Mortality Tarif Female'!E:E))/SUMIF('Mortality Tarif Female'!A:A,E122+1,'Mortality Tarif Female'!D:D)))</f>
        <v>9.1852633458687478</v>
      </c>
      <c r="AB121">
        <f t="shared" si="41"/>
        <v>2319.7945831507036</v>
      </c>
      <c r="AC121">
        <f>IF(B121&gt;=$AF$2,0,MIN(1/3*(V121+W121+Y121-AB121),(V121-AB121),(T121*Z121+(1-T121)*AA121)*$AH$2*Assumptions!$B$22))</f>
        <v>251.08598027704355</v>
      </c>
      <c r="AD121">
        <f t="shared" si="57"/>
        <v>10943.027906363985</v>
      </c>
      <c r="AE121">
        <f t="shared" si="58"/>
        <v>11194.113886641027</v>
      </c>
      <c r="AF121">
        <f t="shared" si="59"/>
        <v>10943.027906363985</v>
      </c>
      <c r="AG121" s="26">
        <f t="shared" si="70"/>
        <v>0</v>
      </c>
      <c r="AH121" s="27">
        <f>IF(B121&gt;$AF$2,0,HLOOKUP(YEAR(A121),Assumptions!$A$34:$AL$37,4,TRUE)/100)</f>
        <v>9.8630000000000002E-3</v>
      </c>
      <c r="AI121">
        <f t="shared" si="60"/>
        <v>0</v>
      </c>
      <c r="AJ121">
        <f t="shared" si="61"/>
        <v>2.120588111993762</v>
      </c>
      <c r="AK121">
        <f t="shared" si="62"/>
        <v>23.310684147826844</v>
      </c>
      <c r="AL121">
        <f>IF(E121&gt;Assumptions!$B$9,0,SUMPRODUCT($P$2:$X$2,Assumptions!$A$43:$I$43)/$I$2*O120*K121)</f>
        <v>4.0020244371444837</v>
      </c>
      <c r="AM121">
        <f t="shared" si="63"/>
        <v>0</v>
      </c>
      <c r="AN121">
        <f t="shared" si="64"/>
        <v>29.43329669696509</v>
      </c>
      <c r="AO121">
        <f>IF(E121&gt;Assumptions!$B$9,0,($V$2+$X$2)/$I$2*O120*K121*Assumptions!$B$46)</f>
        <v>0</v>
      </c>
      <c r="AP121">
        <f>IF(B121&gt;$AF$2,0,AP120*(1+Assumptions!$B$52)^(1/12))</f>
        <v>1.0955005325233895</v>
      </c>
      <c r="AQ121" s="29">
        <f>IF(B121&gt;$AF$2,0,O120*Assumptions!$B$48/12*AP120+AR121*Assumptions!$B$50/12)</f>
        <v>11.897550278697082</v>
      </c>
      <c r="AR121" s="31">
        <f t="shared" si="65"/>
        <v>7778.885777401294</v>
      </c>
      <c r="AS121">
        <f t="shared" si="48"/>
        <v>7793.8966672827628</v>
      </c>
      <c r="AT121">
        <f t="shared" si="66"/>
        <v>14.3383240293953</v>
      </c>
      <c r="AU121" s="19">
        <f t="shared" si="67"/>
        <v>7789.2422114537158</v>
      </c>
      <c r="AV121" s="19">
        <f t="shared" si="68"/>
        <v>7790.9935300802363</v>
      </c>
      <c r="AW121">
        <f t="shared" si="69"/>
        <v>-24.2522896793235</v>
      </c>
      <c r="AX121">
        <f>IF(B121&gt;$AF$2,0,HLOOKUP(YEAR(A121),Assumptions!$A$34:$AL$37,2,TRUE)/100)</f>
        <v>1.5863000000000002E-2</v>
      </c>
      <c r="AY121" s="32">
        <f>1/(1+HLOOKUP(YEAR(A121),Assumptions!$A$27:$AL$29,3,TRUE))^(1/12)</f>
        <v>0.99871316197380999</v>
      </c>
      <c r="AZ121" s="30">
        <f t="shared" si="49"/>
        <v>8870.6483469676969</v>
      </c>
      <c r="BA121">
        <f>IF(B121&gt;$AF$2,0,IF($E$2=0,(T121*Z121+(1-T121)*AA121)*$J$2*Assumptions!$B$20,0))</f>
        <v>0</v>
      </c>
    </row>
    <row r="122" spans="1:53" x14ac:dyDescent="0.25">
      <c r="A122" s="17">
        <f t="shared" si="50"/>
        <v>46477</v>
      </c>
      <c r="B122">
        <f t="shared" si="42"/>
        <v>341</v>
      </c>
      <c r="C122">
        <f t="shared" si="43"/>
        <v>28.333333333333332</v>
      </c>
      <c r="D122">
        <f t="shared" si="71"/>
        <v>0</v>
      </c>
      <c r="E122">
        <f t="shared" si="44"/>
        <v>51</v>
      </c>
      <c r="F122">
        <f>IF(C122&gt;=$H$2,0,VLOOKUP($E122,'Mortality Table'!$A$3:$C$128,2+AB$2,FALSE))</f>
        <v>1.6440999999999999E-3</v>
      </c>
      <c r="G122">
        <f>F122*Assumptions!$B$1</f>
        <v>1.77973825E-3</v>
      </c>
      <c r="H122">
        <f t="shared" si="51"/>
        <v>1.4843263826236353E-4</v>
      </c>
      <c r="I122">
        <f t="shared" si="72"/>
        <v>1.0555980556107096E-4</v>
      </c>
      <c r="J122">
        <f>HLOOKUP(C122,Assumptions!$A$6:$J$7,2,TRUE)</f>
        <v>3.5200000000000002E-2</v>
      </c>
      <c r="K122" s="18">
        <f t="shared" si="45"/>
        <v>1</v>
      </c>
      <c r="L122" s="18">
        <f t="shared" si="52"/>
        <v>8.3333333333333329E-2</v>
      </c>
      <c r="M122" s="18">
        <f t="shared" si="73"/>
        <v>2.9817501439168836E-3</v>
      </c>
      <c r="N122">
        <f t="shared" si="74"/>
        <v>2.1235190078612329E-3</v>
      </c>
      <c r="O122" s="20">
        <f t="shared" si="75"/>
        <v>0.70999579477482611</v>
      </c>
      <c r="P122">
        <f>IF(B122&gt;$AF$2,0,O121*($E$2+IF(E122&lt;=Assumptions!$B$9,$D$2,0))/$I$2*K122)</f>
        <v>36.477783942278116</v>
      </c>
      <c r="Q122">
        <f t="shared" si="53"/>
        <v>26.1</v>
      </c>
      <c r="R122">
        <f>IF(B122&gt;$AF$2,0,IF($Y$2=1,(SUMIF('Mortality Tarif Male'!A:A,E123,'Mortality Tarif Male'!G:G)-SUMIF('Mortality Tarif Male'!A:A,$C$2+$H$2,'Mortality Tarif Male'!G:G)+SUMIF('Mortality Tarif Male'!A:A,$C$2+$H$2,'Mortality Tarif Male'!D:D))/SUMIF('Mortality Tarif Male'!A:A,E123,'Mortality Tarif Male'!D:D),(SUMIF('Mortality Tarif Female'!A:A,E123,'Mortality Tarif Female'!G:G)-SUMIF('Mortality Tarif Female'!A:A,$C$2+$H$2,'Mortality Tarif Female'!G:G)+SUMIF('Mortality Tarif Female'!A:A,$C$2+$H$2,'Mortality Tarif Female'!D:D))/SUMIF('Mortality Tarif Female'!A:A,E123,'Mortality Tarif Female'!D:D)))</f>
        <v>0.66725422693849323</v>
      </c>
      <c r="S122">
        <f>IF(B122&gt;=$AF$2,0,IF($Y$2=1,(SUMIF('Mortality Tarif Male'!A:A,E123+1,'Mortality Tarif Male'!G:G)-SUMIF('Mortality Tarif Male'!A:A,$C$2+$H$2,'Mortality Tarif Male'!G:G)+SUMIF('Mortality Tarif Male'!A:A,$C$2+$H$2,'Mortality Tarif Male'!D:D))/SUMIF('Mortality Tarif Male'!A:A,E123+1,'Mortality Tarif Male'!D:D),(SUMIF('Mortality Tarif Female'!A:A,E123+1,'Mortality Tarif Female'!G:G)-SUMIF('Mortality Tarif Female'!A:A,$C$2+$H$2,'Mortality Tarif Female'!G:G)+SUMIF('Mortality Tarif Female'!A:A,$C$2+$H$2,'Mortality Tarif Female'!D:D))/SUMIF('Mortality Tarif Female'!A:A,E123+1,'Mortality Tarif Female'!D:D)))</f>
        <v>0.68993591668818599</v>
      </c>
      <c r="T122">
        <f t="shared" si="54"/>
        <v>0.58333333333333215</v>
      </c>
      <c r="U122">
        <f t="shared" si="55"/>
        <v>0.67670493100086526</v>
      </c>
      <c r="V122">
        <f t="shared" si="56"/>
        <v>13534.098620017305</v>
      </c>
      <c r="W122">
        <f t="shared" si="46"/>
        <v>17.661998699122584</v>
      </c>
      <c r="X122">
        <f t="shared" si="47"/>
        <v>0</v>
      </c>
      <c r="Y122">
        <f>IF(B122&gt;$AF$2,0,IF(X123=0,0,(1-X123)*($E$2+IF(E122&lt;=Assumptions!$B$9,$D$2,0))/$I$2*1/(1+$AG$2)*1/(1+Assumptions!$B$11)))</f>
        <v>0</v>
      </c>
      <c r="Z122">
        <f>IF(B122&gt;$AF$2,0,IF($Y$2=1,(SUMIF('Mortality Tarif Male'!A:A,E123,'Mortality Tarif Male'!E:E)-SUMIF('Mortality Tarif Male'!A:A,$C$2+$H$2,'Mortality Tarif Male'!E:E))/SUMIF('Mortality Tarif Male'!A:A,E123,'Mortality Tarif Male'!D:D),(SUMIF('Mortality Tarif Female'!A:A,E123,'Mortality Tarif Female'!E:E)-SUMIF('Mortality Tarif Female'!A:A,$C$2+$H$2,'Mortality Tarif Female'!E:E))/SUMIF('Mortality Tarif Female'!A:A,E123,'Mortality Tarif Female'!D:D)))</f>
        <v>9.8564301561069279</v>
      </c>
      <c r="AA122">
        <f>IF(B122&gt;=$AF$2,0,IF($Y$2=1,(SUMIF('Mortality Tarif Male'!A:A,E123+1,'Mortality Tarif Male'!E:E)-SUMIF('Mortality Tarif Male'!A:A,$C$2+$H$2,'Mortality Tarif Male'!E:E))/SUMIF('Mortality Tarif Male'!A:A,E123+1,'Mortality Tarif Male'!D:D),(SUMIF('Mortality Tarif Female'!A:A,E123+1,'Mortality Tarif Female'!E:E)-SUMIF('Mortality Tarif Female'!A:A,$C$2+$H$2,'Mortality Tarif Female'!E:E))/SUMIF('Mortality Tarif Female'!A:A,E123+1,'Mortality Tarif Female'!D:D)))</f>
        <v>9.1852633458687478</v>
      </c>
      <c r="AB122">
        <f t="shared" si="41"/>
        <v>2306.3251175445375</v>
      </c>
      <c r="AC122">
        <f>IF(B122&gt;=$AF$2,0,MIN(1/3*(V122+W122+Y122-AB122),(V122-AB122),(T122*Z122+(1-T122)*AA122)*$AH$2*Assumptions!$B$22))</f>
        <v>249.62809516941525</v>
      </c>
      <c r="AD122">
        <f t="shared" si="57"/>
        <v>10995.807406002476</v>
      </c>
      <c r="AE122">
        <f t="shared" si="58"/>
        <v>11245.435501171891</v>
      </c>
      <c r="AF122">
        <f t="shared" si="59"/>
        <v>10995.807406002476</v>
      </c>
      <c r="AG122" s="26">
        <f t="shared" si="70"/>
        <v>0</v>
      </c>
      <c r="AH122" s="27">
        <f>IF(B122&gt;$AF$2,0,HLOOKUP(YEAR(A122),Assumptions!$A$34:$AL$37,4,TRUE)/100)</f>
        <v>9.8630000000000002E-3</v>
      </c>
      <c r="AI122">
        <f t="shared" si="60"/>
        <v>0</v>
      </c>
      <c r="AJ122">
        <f t="shared" si="61"/>
        <v>2.1139512221465631</v>
      </c>
      <c r="AK122">
        <f t="shared" si="62"/>
        <v>23.349806033427573</v>
      </c>
      <c r="AL122">
        <f>IF(E122&gt;Assumptions!$B$9,0,SUMPRODUCT($P$2:$X$2,Assumptions!$A$43:$I$43)/$I$2*O121*K122)</f>
        <v>3.9894991404096292</v>
      </c>
      <c r="AM122">
        <f t="shared" si="63"/>
        <v>0</v>
      </c>
      <c r="AN122">
        <f t="shared" si="64"/>
        <v>29.453256395983765</v>
      </c>
      <c r="AO122">
        <f>IF(E122&gt;Assumptions!$B$9,0,($V$2+$X$2)/$I$2*O121*K122*Assumptions!$B$46)</f>
        <v>0</v>
      </c>
      <c r="AP122">
        <f>IF(B122&gt;$AF$2,0,AP121*(1+Assumptions!$B$52)^(1/12))</f>
        <v>1.0964092919694042</v>
      </c>
      <c r="AQ122" s="29">
        <f>IF(B122&gt;$AF$2,0,O121*Assumptions!$B$48/12*AP121+AR122*Assumptions!$B$50/12)</f>
        <v>11.874738427376613</v>
      </c>
      <c r="AR122" s="31">
        <f t="shared" si="65"/>
        <v>7779.9483272634079</v>
      </c>
      <c r="AS122">
        <f t="shared" si="48"/>
        <v>7806.9770184156469</v>
      </c>
      <c r="AT122">
        <f t="shared" si="66"/>
        <v>14.293448800378254</v>
      </c>
      <c r="AU122" s="19">
        <f t="shared" si="67"/>
        <v>7790.2579239779307</v>
      </c>
      <c r="AV122" s="19">
        <f t="shared" si="68"/>
        <v>7804.2006169427314</v>
      </c>
      <c r="AW122">
        <f t="shared" si="69"/>
        <v>-36.433409865405153</v>
      </c>
      <c r="AX122">
        <f>IF(B122&gt;$AF$2,0,HLOOKUP(YEAR(A122),Assumptions!$A$34:$AL$37,2,TRUE)/100)</f>
        <v>1.5863000000000002E-2</v>
      </c>
      <c r="AY122" s="32">
        <f>1/(1+HLOOKUP(YEAR(A122),Assumptions!$A$27:$AL$29,3,TRUE))^(1/12)</f>
        <v>0.99871316197380999</v>
      </c>
      <c r="AZ122" s="30">
        <f t="shared" si="49"/>
        <v>8877.2279319924546</v>
      </c>
      <c r="BA122">
        <f>IF(B122&gt;$AF$2,0,IF($E$2=0,(T122*Z122+(1-T122)*AA122)*$J$2*Assumptions!$B$20,0))</f>
        <v>0</v>
      </c>
    </row>
    <row r="123" spans="1:53" x14ac:dyDescent="0.25">
      <c r="A123" s="17">
        <f t="shared" si="50"/>
        <v>46507</v>
      </c>
      <c r="B123">
        <f t="shared" si="42"/>
        <v>342</v>
      </c>
      <c r="C123">
        <f t="shared" si="43"/>
        <v>28.416666666666668</v>
      </c>
      <c r="D123">
        <f t="shared" si="71"/>
        <v>0</v>
      </c>
      <c r="E123">
        <f t="shared" si="44"/>
        <v>51</v>
      </c>
      <c r="F123">
        <f>IF(C123&gt;=$H$2,0,VLOOKUP($E123,'Mortality Table'!$A$3:$C$128,2+AB$2,FALSE))</f>
        <v>1.6440999999999999E-3</v>
      </c>
      <c r="G123">
        <f>F123*Assumptions!$B$1</f>
        <v>1.77973825E-3</v>
      </c>
      <c r="H123">
        <f t="shared" si="51"/>
        <v>1.4843263826236353E-4</v>
      </c>
      <c r="I123">
        <f t="shared" si="72"/>
        <v>1.0522943079482657E-4</v>
      </c>
      <c r="J123">
        <f>HLOOKUP(C123,Assumptions!$A$6:$J$7,2,TRUE)</f>
        <v>3.5200000000000002E-2</v>
      </c>
      <c r="K123" s="18">
        <f t="shared" si="45"/>
        <v>1</v>
      </c>
      <c r="L123" s="18">
        <f t="shared" si="52"/>
        <v>8.3333333333333329E-2</v>
      </c>
      <c r="M123" s="18">
        <f t="shared" si="73"/>
        <v>2.9817501439168836E-3</v>
      </c>
      <c r="N123">
        <f t="shared" si="74"/>
        <v>2.1168729450714353E-3</v>
      </c>
      <c r="O123" s="20">
        <f t="shared" si="75"/>
        <v>0.70777369239895982</v>
      </c>
      <c r="P123">
        <f>IF(B123&gt;$AF$2,0,O122*($E$2+IF(E123&lt;=Assumptions!$B$9,$D$2,0))/$I$2*K123)</f>
        <v>36.363617955717338</v>
      </c>
      <c r="Q123">
        <f t="shared" si="53"/>
        <v>26.1</v>
      </c>
      <c r="R123">
        <f>IF(B123&gt;$AF$2,0,IF($Y$2=1,(SUMIF('Mortality Tarif Male'!A:A,E124,'Mortality Tarif Male'!G:G)-SUMIF('Mortality Tarif Male'!A:A,$C$2+$H$2,'Mortality Tarif Male'!G:G)+SUMIF('Mortality Tarif Male'!A:A,$C$2+$H$2,'Mortality Tarif Male'!D:D))/SUMIF('Mortality Tarif Male'!A:A,E124,'Mortality Tarif Male'!D:D),(SUMIF('Mortality Tarif Female'!A:A,E124,'Mortality Tarif Female'!G:G)-SUMIF('Mortality Tarif Female'!A:A,$C$2+$H$2,'Mortality Tarif Female'!G:G)+SUMIF('Mortality Tarif Female'!A:A,$C$2+$H$2,'Mortality Tarif Female'!D:D))/SUMIF('Mortality Tarif Female'!A:A,E124,'Mortality Tarif Female'!D:D)))</f>
        <v>0.66725422693849323</v>
      </c>
      <c r="S123">
        <f>IF(B123&gt;=$AF$2,0,IF($Y$2=1,(SUMIF('Mortality Tarif Male'!A:A,E124+1,'Mortality Tarif Male'!G:G)-SUMIF('Mortality Tarif Male'!A:A,$C$2+$H$2,'Mortality Tarif Male'!G:G)+SUMIF('Mortality Tarif Male'!A:A,$C$2+$H$2,'Mortality Tarif Male'!D:D))/SUMIF('Mortality Tarif Male'!A:A,E124+1,'Mortality Tarif Male'!D:D),(SUMIF('Mortality Tarif Female'!A:A,E124+1,'Mortality Tarif Female'!G:G)-SUMIF('Mortality Tarif Female'!A:A,$C$2+$H$2,'Mortality Tarif Female'!G:G)+SUMIF('Mortality Tarif Female'!A:A,$C$2+$H$2,'Mortality Tarif Female'!D:D))/SUMIF('Mortality Tarif Female'!A:A,E124+1,'Mortality Tarif Female'!D:D)))</f>
        <v>0.68993591668818599</v>
      </c>
      <c r="T123">
        <f t="shared" si="54"/>
        <v>0.5</v>
      </c>
      <c r="U123">
        <f t="shared" si="55"/>
        <v>0.67859507181333956</v>
      </c>
      <c r="V123">
        <f t="shared" si="56"/>
        <v>13571.901436266791</v>
      </c>
      <c r="W123">
        <f t="shared" si="46"/>
        <v>17.711331374328164</v>
      </c>
      <c r="X123">
        <f t="shared" si="47"/>
        <v>0</v>
      </c>
      <c r="Y123">
        <f>IF(B123&gt;$AF$2,0,IF(X124=0,0,(1-X124)*($E$2+IF(E123&lt;=Assumptions!$B$9,$D$2,0))/$I$2*1/(1+$AG$2)*1/(1+Assumptions!$B$11)))</f>
        <v>0</v>
      </c>
      <c r="Z123">
        <f>IF(B123&gt;$AF$2,0,IF($Y$2=1,(SUMIF('Mortality Tarif Male'!A:A,E124,'Mortality Tarif Male'!E:E)-SUMIF('Mortality Tarif Male'!A:A,$C$2+$H$2,'Mortality Tarif Male'!E:E))/SUMIF('Mortality Tarif Male'!A:A,E124,'Mortality Tarif Male'!D:D),(SUMIF('Mortality Tarif Female'!A:A,E124,'Mortality Tarif Female'!E:E)-SUMIF('Mortality Tarif Female'!A:A,$C$2+$H$2,'Mortality Tarif Female'!E:E))/SUMIF('Mortality Tarif Female'!A:A,E124,'Mortality Tarif Female'!D:D)))</f>
        <v>9.8564301561069279</v>
      </c>
      <c r="AA123">
        <f>IF(B123&gt;=$AF$2,0,IF($Y$2=1,(SUMIF('Mortality Tarif Male'!A:A,E124+1,'Mortality Tarif Male'!E:E)-SUMIF('Mortality Tarif Male'!A:A,$C$2+$H$2,'Mortality Tarif Male'!E:E))/SUMIF('Mortality Tarif Male'!A:A,E124+1,'Mortality Tarif Male'!D:D),(SUMIF('Mortality Tarif Female'!A:A,E124+1,'Mortality Tarif Female'!E:E)-SUMIF('Mortality Tarif Female'!A:A,$C$2+$H$2,'Mortality Tarif Female'!E:E))/SUMIF('Mortality Tarif Female'!A:A,E124+1,'Mortality Tarif Female'!D:D)))</f>
        <v>9.1852633458687478</v>
      </c>
      <c r="AB123">
        <f t="shared" si="41"/>
        <v>2292.8556519383719</v>
      </c>
      <c r="AC123">
        <f>IF(B123&gt;=$AF$2,0,MIN(1/3*(V123+W123+Y123-AB123),(V123-AB123),(T123*Z123+(1-T123)*AA123)*$AH$2*Assumptions!$B$22))</f>
        <v>248.17021006178703</v>
      </c>
      <c r="AD123">
        <f t="shared" si="57"/>
        <v>11048.586905640961</v>
      </c>
      <c r="AE123">
        <f t="shared" si="58"/>
        <v>11296.757115702749</v>
      </c>
      <c r="AF123">
        <f t="shared" si="59"/>
        <v>11048.586905640961</v>
      </c>
      <c r="AG123" s="26">
        <f t="shared" si="70"/>
        <v>0</v>
      </c>
      <c r="AH123" s="27">
        <f>IF(B123&gt;$AF$2,0,HLOOKUP(YEAR(A123),Assumptions!$A$34:$AL$37,4,TRUE)/100)</f>
        <v>9.8630000000000002E-3</v>
      </c>
      <c r="AI123">
        <f t="shared" si="60"/>
        <v>0</v>
      </c>
      <c r="AJ123">
        <f t="shared" si="61"/>
        <v>2.1073351040402764</v>
      </c>
      <c r="AK123">
        <f t="shared" si="62"/>
        <v>23.388454701821878</v>
      </c>
      <c r="AL123">
        <f>IF(E123&gt;Assumptions!$B$9,0,SUMPRODUCT($P$2:$X$2,Assumptions!$A$43:$I$43)/$I$2*O122*K123)</f>
        <v>3.977013044599397</v>
      </c>
      <c r="AM123">
        <f t="shared" si="63"/>
        <v>0</v>
      </c>
      <c r="AN123">
        <f t="shared" si="64"/>
        <v>29.472802850461552</v>
      </c>
      <c r="AO123">
        <f>IF(E123&gt;Assumptions!$B$9,0,($V$2+$X$2)/$I$2*O122*K123*Assumptions!$B$46)</f>
        <v>0</v>
      </c>
      <c r="AP123">
        <f>IF(B123&gt;$AF$2,0,AP122*(1+Assumptions!$B$52)^(1/12))</f>
        <v>1.0973188052660161</v>
      </c>
      <c r="AQ123" s="29">
        <f>IF(B123&gt;$AF$2,0,O122*Assumptions!$B$48/12*AP122+AR123*Assumptions!$B$50/12)</f>
        <v>11.851932436298009</v>
      </c>
      <c r="AR123" s="31">
        <f t="shared" si="65"/>
        <v>7780.8153095248108</v>
      </c>
      <c r="AS123">
        <f t="shared" si="48"/>
        <v>7819.8991499963013</v>
      </c>
      <c r="AT123">
        <f t="shared" si="66"/>
        <v>14.248714019169141</v>
      </c>
      <c r="AU123" s="19">
        <f t="shared" si="67"/>
        <v>7791.0782810250612</v>
      </c>
      <c r="AV123" s="19">
        <f t="shared" si="68"/>
        <v>7817.2487193902161</v>
      </c>
      <c r="AW123">
        <f t="shared" si="69"/>
        <v>-48.65091319393521</v>
      </c>
      <c r="AX123">
        <f>IF(B123&gt;$AF$2,0,HLOOKUP(YEAR(A123),Assumptions!$A$34:$AL$37,2,TRUE)/100)</f>
        <v>1.5863000000000002E-2</v>
      </c>
      <c r="AY123" s="32">
        <f>1/(1+HLOOKUP(YEAR(A123),Assumptions!$A$27:$AL$29,3,TRUE))^(1/12)</f>
        <v>0.99871316197380999</v>
      </c>
      <c r="AZ123" s="30">
        <f t="shared" si="49"/>
        <v>8883.7050883369757</v>
      </c>
      <c r="BA123">
        <f>IF(B123&gt;$AF$2,0,IF($E$2=0,(T123*Z123+(1-T123)*AA123)*$J$2*Assumptions!$B$20,0))</f>
        <v>0</v>
      </c>
    </row>
    <row r="124" spans="1:53" x14ac:dyDescent="0.25">
      <c r="A124" s="17">
        <f t="shared" si="50"/>
        <v>46538</v>
      </c>
      <c r="B124">
        <f t="shared" si="42"/>
        <v>343</v>
      </c>
      <c r="C124">
        <f t="shared" si="43"/>
        <v>28.5</v>
      </c>
      <c r="D124">
        <f t="shared" si="71"/>
        <v>0</v>
      </c>
      <c r="E124">
        <f t="shared" si="44"/>
        <v>51</v>
      </c>
      <c r="F124">
        <f>IF(C124&gt;=$H$2,0,VLOOKUP($E124,'Mortality Table'!$A$3:$C$128,2+AB$2,FALSE))</f>
        <v>1.6440999999999999E-3</v>
      </c>
      <c r="G124">
        <f>F124*Assumptions!$B$1</f>
        <v>1.77973825E-3</v>
      </c>
      <c r="H124">
        <f t="shared" si="51"/>
        <v>1.4843263826236353E-4</v>
      </c>
      <c r="I124">
        <f t="shared" si="72"/>
        <v>1.0490009001576688E-4</v>
      </c>
      <c r="J124">
        <f>HLOOKUP(C124,Assumptions!$A$6:$J$7,2,TRUE)</f>
        <v>3.5200000000000002E-2</v>
      </c>
      <c r="K124" s="18">
        <f t="shared" si="45"/>
        <v>1</v>
      </c>
      <c r="L124" s="18">
        <f t="shared" si="52"/>
        <v>8.3333333333333329E-2</v>
      </c>
      <c r="M124" s="18">
        <f t="shared" si="73"/>
        <v>2.9817501439168836E-3</v>
      </c>
      <c r="N124">
        <f t="shared" si="74"/>
        <v>2.1102476827314777E-3</v>
      </c>
      <c r="O124" s="20">
        <f t="shared" si="75"/>
        <v>0.70555854462621259</v>
      </c>
      <c r="P124">
        <f>IF(B124&gt;$AF$2,0,O123*($E$2+IF(E124&lt;=Assumptions!$B$9,$D$2,0))/$I$2*K124)</f>
        <v>36.249809279033386</v>
      </c>
      <c r="Q124">
        <f t="shared" si="53"/>
        <v>26.1</v>
      </c>
      <c r="R124">
        <f>IF(B124&gt;$AF$2,0,IF($Y$2=1,(SUMIF('Mortality Tarif Male'!A:A,E125,'Mortality Tarif Male'!G:G)-SUMIF('Mortality Tarif Male'!A:A,$C$2+$H$2,'Mortality Tarif Male'!G:G)+SUMIF('Mortality Tarif Male'!A:A,$C$2+$H$2,'Mortality Tarif Male'!D:D))/SUMIF('Mortality Tarif Male'!A:A,E125,'Mortality Tarif Male'!D:D),(SUMIF('Mortality Tarif Female'!A:A,E125,'Mortality Tarif Female'!G:G)-SUMIF('Mortality Tarif Female'!A:A,$C$2+$H$2,'Mortality Tarif Female'!G:G)+SUMIF('Mortality Tarif Female'!A:A,$C$2+$H$2,'Mortality Tarif Female'!D:D))/SUMIF('Mortality Tarif Female'!A:A,E125,'Mortality Tarif Female'!D:D)))</f>
        <v>0.66725422693849323</v>
      </c>
      <c r="S124">
        <f>IF(B124&gt;=$AF$2,0,IF($Y$2=1,(SUMIF('Mortality Tarif Male'!A:A,E125+1,'Mortality Tarif Male'!G:G)-SUMIF('Mortality Tarif Male'!A:A,$C$2+$H$2,'Mortality Tarif Male'!G:G)+SUMIF('Mortality Tarif Male'!A:A,$C$2+$H$2,'Mortality Tarif Male'!D:D))/SUMIF('Mortality Tarif Male'!A:A,E125+1,'Mortality Tarif Male'!D:D),(SUMIF('Mortality Tarif Female'!A:A,E125+1,'Mortality Tarif Female'!G:G)-SUMIF('Mortality Tarif Female'!A:A,$C$2+$H$2,'Mortality Tarif Female'!G:G)+SUMIF('Mortality Tarif Female'!A:A,$C$2+$H$2,'Mortality Tarif Female'!D:D))/SUMIF('Mortality Tarif Female'!A:A,E125+1,'Mortality Tarif Female'!D:D)))</f>
        <v>0.68993591668818599</v>
      </c>
      <c r="T124">
        <f t="shared" si="54"/>
        <v>0.41666666666666785</v>
      </c>
      <c r="U124">
        <f t="shared" si="55"/>
        <v>0.68048521262581396</v>
      </c>
      <c r="V124">
        <f t="shared" si="56"/>
        <v>13609.70425251628</v>
      </c>
      <c r="W124">
        <f t="shared" si="46"/>
        <v>17.760664049533744</v>
      </c>
      <c r="X124">
        <f t="shared" si="47"/>
        <v>0</v>
      </c>
      <c r="Y124">
        <f>IF(B124&gt;$AF$2,0,IF(X125=0,0,(1-X125)*($E$2+IF(E124&lt;=Assumptions!$B$9,$D$2,0))/$I$2*1/(1+$AG$2)*1/(1+Assumptions!$B$11)))</f>
        <v>0</v>
      </c>
      <c r="Z124">
        <f>IF(B124&gt;$AF$2,0,IF($Y$2=1,(SUMIF('Mortality Tarif Male'!A:A,E125,'Mortality Tarif Male'!E:E)-SUMIF('Mortality Tarif Male'!A:A,$C$2+$H$2,'Mortality Tarif Male'!E:E))/SUMIF('Mortality Tarif Male'!A:A,E125,'Mortality Tarif Male'!D:D),(SUMIF('Mortality Tarif Female'!A:A,E125,'Mortality Tarif Female'!E:E)-SUMIF('Mortality Tarif Female'!A:A,$C$2+$H$2,'Mortality Tarif Female'!E:E))/SUMIF('Mortality Tarif Female'!A:A,E125,'Mortality Tarif Female'!D:D)))</f>
        <v>9.8564301561069279</v>
      </c>
      <c r="AA124">
        <f>IF(B124&gt;=$AF$2,0,IF($Y$2=1,(SUMIF('Mortality Tarif Male'!A:A,E125+1,'Mortality Tarif Male'!E:E)-SUMIF('Mortality Tarif Male'!A:A,$C$2+$H$2,'Mortality Tarif Male'!E:E))/SUMIF('Mortality Tarif Male'!A:A,E125+1,'Mortality Tarif Male'!D:D),(SUMIF('Mortality Tarif Female'!A:A,E125+1,'Mortality Tarif Female'!E:E)-SUMIF('Mortality Tarif Female'!A:A,$C$2+$H$2,'Mortality Tarif Female'!E:E))/SUMIF('Mortality Tarif Female'!A:A,E125+1,'Mortality Tarif Female'!D:D)))</f>
        <v>9.1852633458687478</v>
      </c>
      <c r="AB124">
        <f t="shared" si="41"/>
        <v>2279.3861863322063</v>
      </c>
      <c r="AC124">
        <f>IF(B124&gt;=$AF$2,0,MIN(1/3*(V124+W124+Y124-AB124),(V124-AB124),(T124*Z124+(1-T124)*AA124)*$AH$2*Assumptions!$B$22))</f>
        <v>246.71232495415885</v>
      </c>
      <c r="AD124">
        <f t="shared" si="57"/>
        <v>11101.366405279448</v>
      </c>
      <c r="AE124">
        <f t="shared" si="58"/>
        <v>11348.078730233607</v>
      </c>
      <c r="AF124">
        <f t="shared" si="59"/>
        <v>11101.366405279448</v>
      </c>
      <c r="AG124" s="26">
        <f t="shared" si="70"/>
        <v>0</v>
      </c>
      <c r="AH124" s="27">
        <f>IF(B124&gt;$AF$2,0,HLOOKUP(YEAR(A124),Assumptions!$A$34:$AL$37,4,TRUE)/100)</f>
        <v>9.8630000000000002E-3</v>
      </c>
      <c r="AI124">
        <f t="shared" si="60"/>
        <v>0</v>
      </c>
      <c r="AJ124">
        <f t="shared" si="61"/>
        <v>2.100739692664749</v>
      </c>
      <c r="AK124">
        <f t="shared" si="62"/>
        <v>23.426632731894031</v>
      </c>
      <c r="AL124">
        <f>IF(E124&gt;Assumptions!$B$9,0,SUMPRODUCT($P$2:$X$2,Assumptions!$A$43:$I$43)/$I$2*O123*K124)</f>
        <v>3.9645660270250769</v>
      </c>
      <c r="AM124">
        <f t="shared" si="63"/>
        <v>0</v>
      </c>
      <c r="AN124">
        <f t="shared" si="64"/>
        <v>29.491938451583856</v>
      </c>
      <c r="AO124">
        <f>IF(E124&gt;Assumptions!$B$9,0,($V$2+$X$2)/$I$2*O123*K124*Assumptions!$B$46)</f>
        <v>0</v>
      </c>
      <c r="AP124">
        <f>IF(B124&gt;$AF$2,0,AP123*(1+Assumptions!$B$52)^(1/12))</f>
        <v>1.0982290730385731</v>
      </c>
      <c r="AQ124" s="29">
        <f>IF(B124&gt;$AF$2,0,O123*Assumptions!$B$48/12*AP123+AR124*Assumptions!$B$50/12)</f>
        <v>11.829132440708108</v>
      </c>
      <c r="AR124" s="31">
        <f t="shared" si="65"/>
        <v>7781.4877900215433</v>
      </c>
      <c r="AS124">
        <f t="shared" si="48"/>
        <v>7832.6639242712972</v>
      </c>
      <c r="AT124">
        <f t="shared" si="66"/>
        <v>14.204119246202808</v>
      </c>
      <c r="AU124" s="19">
        <f t="shared" si="67"/>
        <v>7791.704347613666</v>
      </c>
      <c r="AV124" s="19">
        <f t="shared" si="68"/>
        <v>7830.1387032154789</v>
      </c>
      <c r="AW124">
        <f t="shared" si="69"/>
        <v>-60.904600709532296</v>
      </c>
      <c r="AX124">
        <f>IF(B124&gt;$AF$2,0,HLOOKUP(YEAR(A124),Assumptions!$A$34:$AL$37,2,TRUE)/100)</f>
        <v>1.5863000000000002E-2</v>
      </c>
      <c r="AY124" s="32">
        <f>1/(1+HLOOKUP(YEAR(A124),Assumptions!$A$27:$AL$29,3,TRUE))^(1/12)</f>
        <v>0.99871316197380999</v>
      </c>
      <c r="AZ124" s="30">
        <f t="shared" si="49"/>
        <v>8890.0804461900498</v>
      </c>
      <c r="BA124">
        <f>IF(B124&gt;$AF$2,0,IF($E$2=0,(T124*Z124+(1-T124)*AA124)*$J$2*Assumptions!$B$20,0))</f>
        <v>0</v>
      </c>
    </row>
    <row r="125" spans="1:53" x14ac:dyDescent="0.25">
      <c r="A125" s="17">
        <f t="shared" si="50"/>
        <v>46568</v>
      </c>
      <c r="B125">
        <f t="shared" si="42"/>
        <v>344</v>
      </c>
      <c r="C125">
        <f t="shared" si="43"/>
        <v>28.583333333333332</v>
      </c>
      <c r="D125">
        <f t="shared" si="71"/>
        <v>0</v>
      </c>
      <c r="E125">
        <f t="shared" si="44"/>
        <v>51</v>
      </c>
      <c r="F125">
        <f>IF(C125&gt;=$H$2,0,VLOOKUP($E125,'Mortality Table'!$A$3:$C$128,2+AB$2,FALSE))</f>
        <v>1.6440999999999999E-3</v>
      </c>
      <c r="G125">
        <f>F125*Assumptions!$B$1</f>
        <v>1.77973825E-3</v>
      </c>
      <c r="H125">
        <f t="shared" si="51"/>
        <v>1.4843263826236353E-4</v>
      </c>
      <c r="I125">
        <f t="shared" si="72"/>
        <v>1.0457177998778067E-4</v>
      </c>
      <c r="J125">
        <f>HLOOKUP(C125,Assumptions!$A$6:$J$7,2,TRUE)</f>
        <v>3.5200000000000002E-2</v>
      </c>
      <c r="K125" s="18">
        <f t="shared" si="45"/>
        <v>1</v>
      </c>
      <c r="L125" s="18">
        <f t="shared" si="52"/>
        <v>8.3333333333333329E-2</v>
      </c>
      <c r="M125" s="18">
        <f t="shared" si="73"/>
        <v>2.9817501439168836E-3</v>
      </c>
      <c r="N125">
        <f t="shared" si="74"/>
        <v>2.1036431557413544E-3</v>
      </c>
      <c r="O125" s="20">
        <f t="shared" si="75"/>
        <v>0.70335032969048339</v>
      </c>
      <c r="P125">
        <f>IF(B125&gt;$AF$2,0,O124*($E$2+IF(E125&lt;=Assumptions!$B$9,$D$2,0))/$I$2*K125)</f>
        <v>36.136356793939179</v>
      </c>
      <c r="Q125">
        <f t="shared" si="53"/>
        <v>26.1</v>
      </c>
      <c r="R125">
        <f>IF(B125&gt;$AF$2,0,IF($Y$2=1,(SUMIF('Mortality Tarif Male'!A:A,E126,'Mortality Tarif Male'!G:G)-SUMIF('Mortality Tarif Male'!A:A,$C$2+$H$2,'Mortality Tarif Male'!G:G)+SUMIF('Mortality Tarif Male'!A:A,$C$2+$H$2,'Mortality Tarif Male'!D:D))/SUMIF('Mortality Tarif Male'!A:A,E126,'Mortality Tarif Male'!D:D),(SUMIF('Mortality Tarif Female'!A:A,E126,'Mortality Tarif Female'!G:G)-SUMIF('Mortality Tarif Female'!A:A,$C$2+$H$2,'Mortality Tarif Female'!G:G)+SUMIF('Mortality Tarif Female'!A:A,$C$2+$H$2,'Mortality Tarif Female'!D:D))/SUMIF('Mortality Tarif Female'!A:A,E126,'Mortality Tarif Female'!D:D)))</f>
        <v>0.66725422693849323</v>
      </c>
      <c r="S125">
        <f>IF(B125&gt;=$AF$2,0,IF($Y$2=1,(SUMIF('Mortality Tarif Male'!A:A,E126+1,'Mortality Tarif Male'!G:G)-SUMIF('Mortality Tarif Male'!A:A,$C$2+$H$2,'Mortality Tarif Male'!G:G)+SUMIF('Mortality Tarif Male'!A:A,$C$2+$H$2,'Mortality Tarif Male'!D:D))/SUMIF('Mortality Tarif Male'!A:A,E126+1,'Mortality Tarif Male'!D:D),(SUMIF('Mortality Tarif Female'!A:A,E126+1,'Mortality Tarif Female'!G:G)-SUMIF('Mortality Tarif Female'!A:A,$C$2+$H$2,'Mortality Tarif Female'!G:G)+SUMIF('Mortality Tarif Female'!A:A,$C$2+$H$2,'Mortality Tarif Female'!D:D))/SUMIF('Mortality Tarif Female'!A:A,E126+1,'Mortality Tarif Female'!D:D)))</f>
        <v>0.68993591668818599</v>
      </c>
      <c r="T125">
        <f t="shared" si="54"/>
        <v>0.33333333333333215</v>
      </c>
      <c r="U125">
        <f t="shared" si="55"/>
        <v>0.68237535343828837</v>
      </c>
      <c r="V125">
        <f t="shared" si="56"/>
        <v>13647.507068765768</v>
      </c>
      <c r="W125">
        <f t="shared" si="46"/>
        <v>17.809996724739328</v>
      </c>
      <c r="X125">
        <f t="shared" si="47"/>
        <v>0</v>
      </c>
      <c r="Y125">
        <f>IF(B125&gt;$AF$2,0,IF(X126=0,0,(1-X126)*($E$2+IF(E125&lt;=Assumptions!$B$9,$D$2,0))/$I$2*1/(1+$AG$2)*1/(1+Assumptions!$B$11)))</f>
        <v>0</v>
      </c>
      <c r="Z125">
        <f>IF(B125&gt;$AF$2,0,IF($Y$2=1,(SUMIF('Mortality Tarif Male'!A:A,E126,'Mortality Tarif Male'!E:E)-SUMIF('Mortality Tarif Male'!A:A,$C$2+$H$2,'Mortality Tarif Male'!E:E))/SUMIF('Mortality Tarif Male'!A:A,E126,'Mortality Tarif Male'!D:D),(SUMIF('Mortality Tarif Female'!A:A,E126,'Mortality Tarif Female'!E:E)-SUMIF('Mortality Tarif Female'!A:A,$C$2+$H$2,'Mortality Tarif Female'!E:E))/SUMIF('Mortality Tarif Female'!A:A,E126,'Mortality Tarif Female'!D:D)))</f>
        <v>9.8564301561069279</v>
      </c>
      <c r="AA125">
        <f>IF(B125&gt;=$AF$2,0,IF($Y$2=1,(SUMIF('Mortality Tarif Male'!A:A,E126+1,'Mortality Tarif Male'!E:E)-SUMIF('Mortality Tarif Male'!A:A,$C$2+$H$2,'Mortality Tarif Male'!E:E))/SUMIF('Mortality Tarif Male'!A:A,E126+1,'Mortality Tarif Male'!D:D),(SUMIF('Mortality Tarif Female'!A:A,E126+1,'Mortality Tarif Female'!E:E)-SUMIF('Mortality Tarif Female'!A:A,$C$2+$H$2,'Mortality Tarif Female'!E:E))/SUMIF('Mortality Tarif Female'!A:A,E126+1,'Mortality Tarif Female'!D:D)))</f>
        <v>9.1852633458687478</v>
      </c>
      <c r="AB125">
        <f t="shared" si="41"/>
        <v>2265.9167207260402</v>
      </c>
      <c r="AC125">
        <f>IF(B125&gt;=$AF$2,0,MIN(1/3*(V125+W125+Y125-AB125),(V125-AB125),(T125*Z125+(1-T125)*AA125)*$AH$2*Assumptions!$B$22))</f>
        <v>245.25443984653054</v>
      </c>
      <c r="AD125">
        <f t="shared" si="57"/>
        <v>11154.145904917938</v>
      </c>
      <c r="AE125">
        <f t="shared" si="58"/>
        <v>11399.400344764468</v>
      </c>
      <c r="AF125">
        <f t="shared" si="59"/>
        <v>11154.145904917938</v>
      </c>
      <c r="AG125" s="26">
        <f t="shared" si="70"/>
        <v>0</v>
      </c>
      <c r="AH125" s="27">
        <f>IF(B125&gt;$AF$2,0,HLOOKUP(YEAR(A125),Assumptions!$A$34:$AL$37,4,TRUE)/100)</f>
        <v>9.8630000000000002E-3</v>
      </c>
      <c r="AI125">
        <f t="shared" si="60"/>
        <v>0</v>
      </c>
      <c r="AJ125">
        <f t="shared" si="61"/>
        <v>2.0941649232132944</v>
      </c>
      <c r="AK125">
        <f t="shared" si="62"/>
        <v>23.464342691021074</v>
      </c>
      <c r="AL125">
        <f>IF(E125&gt;Assumptions!$B$9,0,SUMPRODUCT($P$2:$X$2,Assumptions!$A$43:$I$43)/$I$2*O124*K125)</f>
        <v>3.9521579653819443</v>
      </c>
      <c r="AM125">
        <f t="shared" si="63"/>
        <v>0</v>
      </c>
      <c r="AN125">
        <f t="shared" si="64"/>
        <v>29.510665579616312</v>
      </c>
      <c r="AO125">
        <f>IF(E125&gt;Assumptions!$B$9,0,($V$2+$X$2)/$I$2*O124*K125*Assumptions!$B$46)</f>
        <v>0</v>
      </c>
      <c r="AP125">
        <f>IF(B125&gt;$AF$2,0,AP124*(1+Assumptions!$B$52)^(1/12))</f>
        <v>1.0991400959129416</v>
      </c>
      <c r="AQ125" s="29">
        <f>IF(B125&gt;$AF$2,0,O124*Assumptions!$B$48/12*AP124+AR125*Assumptions!$B$50/12)</f>
        <v>11.806338574939213</v>
      </c>
      <c r="AR125" s="31">
        <f t="shared" si="65"/>
        <v>7781.9668296396731</v>
      </c>
      <c r="AS125">
        <f t="shared" si="48"/>
        <v>7845.2721996397868</v>
      </c>
      <c r="AT125">
        <f t="shared" si="66"/>
        <v>14.159664043289832</v>
      </c>
      <c r="AU125" s="19">
        <f t="shared" si="67"/>
        <v>7792.1371838153827</v>
      </c>
      <c r="AV125" s="19">
        <f t="shared" si="68"/>
        <v>7842.8714303492052</v>
      </c>
      <c r="AW125">
        <f t="shared" si="69"/>
        <v>-73.194274540090674</v>
      </c>
      <c r="AX125">
        <f>IF(B125&gt;$AF$2,0,HLOOKUP(YEAR(A125),Assumptions!$A$34:$AL$37,2,TRUE)/100)</f>
        <v>1.5863000000000002E-2</v>
      </c>
      <c r="AY125" s="32">
        <f>1/(1+HLOOKUP(YEAR(A125),Assumptions!$A$27:$AL$29,3,TRUE))^(1/12)</f>
        <v>0.99871316197380999</v>
      </c>
      <c r="AZ125" s="30">
        <f t="shared" si="49"/>
        <v>8896.3546329195688</v>
      </c>
      <c r="BA125">
        <f>IF(B125&gt;$AF$2,0,IF($E$2=0,(T125*Z125+(1-T125)*AA125)*$J$2*Assumptions!$B$20,0))</f>
        <v>0</v>
      </c>
    </row>
    <row r="126" spans="1:53" x14ac:dyDescent="0.25">
      <c r="A126" s="17">
        <f t="shared" si="50"/>
        <v>46599</v>
      </c>
      <c r="B126">
        <f t="shared" si="42"/>
        <v>345</v>
      </c>
      <c r="C126">
        <f t="shared" si="43"/>
        <v>28.666666666666668</v>
      </c>
      <c r="D126">
        <f t="shared" si="71"/>
        <v>0</v>
      </c>
      <c r="E126">
        <f t="shared" si="44"/>
        <v>51</v>
      </c>
      <c r="F126">
        <f>IF(C126&gt;=$H$2,0,VLOOKUP($E126,'Mortality Table'!$A$3:$C$128,2+AB$2,FALSE))</f>
        <v>1.6440999999999999E-3</v>
      </c>
      <c r="G126">
        <f>F126*Assumptions!$B$1</f>
        <v>1.77973825E-3</v>
      </c>
      <c r="H126">
        <f t="shared" si="51"/>
        <v>1.4843263826236353E-4</v>
      </c>
      <c r="I126">
        <f t="shared" si="72"/>
        <v>1.0424449748488484E-4</v>
      </c>
      <c r="J126">
        <f>HLOOKUP(C126,Assumptions!$A$6:$J$7,2,TRUE)</f>
        <v>3.5200000000000002E-2</v>
      </c>
      <c r="K126" s="18">
        <f t="shared" si="45"/>
        <v>1</v>
      </c>
      <c r="L126" s="18">
        <f t="shared" si="52"/>
        <v>8.3333333333333329E-2</v>
      </c>
      <c r="M126" s="18">
        <f t="shared" si="73"/>
        <v>2.9817501439168836E-3</v>
      </c>
      <c r="N126">
        <f t="shared" si="74"/>
        <v>2.0970592992048099E-3</v>
      </c>
      <c r="O126" s="20">
        <f t="shared" si="75"/>
        <v>0.70114902589379369</v>
      </c>
      <c r="P126">
        <f>IF(B126&gt;$AF$2,0,O125*($E$2+IF(E126&lt;=Assumptions!$B$9,$D$2,0))/$I$2*K126)</f>
        <v>36.023259385647584</v>
      </c>
      <c r="Q126">
        <f t="shared" si="53"/>
        <v>26.1</v>
      </c>
      <c r="R126">
        <f>IF(B126&gt;$AF$2,0,IF($Y$2=1,(SUMIF('Mortality Tarif Male'!A:A,E127,'Mortality Tarif Male'!G:G)-SUMIF('Mortality Tarif Male'!A:A,$C$2+$H$2,'Mortality Tarif Male'!G:G)+SUMIF('Mortality Tarif Male'!A:A,$C$2+$H$2,'Mortality Tarif Male'!D:D))/SUMIF('Mortality Tarif Male'!A:A,E127,'Mortality Tarif Male'!D:D),(SUMIF('Mortality Tarif Female'!A:A,E127,'Mortality Tarif Female'!G:G)-SUMIF('Mortality Tarif Female'!A:A,$C$2+$H$2,'Mortality Tarif Female'!G:G)+SUMIF('Mortality Tarif Female'!A:A,$C$2+$H$2,'Mortality Tarif Female'!D:D))/SUMIF('Mortality Tarif Female'!A:A,E127,'Mortality Tarif Female'!D:D)))</f>
        <v>0.66725422693849323</v>
      </c>
      <c r="S126">
        <f>IF(B126&gt;=$AF$2,0,IF($Y$2=1,(SUMIF('Mortality Tarif Male'!A:A,E127+1,'Mortality Tarif Male'!G:G)-SUMIF('Mortality Tarif Male'!A:A,$C$2+$H$2,'Mortality Tarif Male'!G:G)+SUMIF('Mortality Tarif Male'!A:A,$C$2+$H$2,'Mortality Tarif Male'!D:D))/SUMIF('Mortality Tarif Male'!A:A,E127+1,'Mortality Tarif Male'!D:D),(SUMIF('Mortality Tarif Female'!A:A,E127+1,'Mortality Tarif Female'!G:G)-SUMIF('Mortality Tarif Female'!A:A,$C$2+$H$2,'Mortality Tarif Female'!G:G)+SUMIF('Mortality Tarif Female'!A:A,$C$2+$H$2,'Mortality Tarif Female'!D:D))/SUMIF('Mortality Tarif Female'!A:A,E127+1,'Mortality Tarif Female'!D:D)))</f>
        <v>0.68993591668818599</v>
      </c>
      <c r="T126">
        <f t="shared" si="54"/>
        <v>0.25</v>
      </c>
      <c r="U126">
        <f t="shared" si="55"/>
        <v>0.68426549425076277</v>
      </c>
      <c r="V126">
        <f t="shared" si="56"/>
        <v>13685.309885015255</v>
      </c>
      <c r="W126">
        <f t="shared" si="46"/>
        <v>17.859329399944908</v>
      </c>
      <c r="X126">
        <f t="shared" si="47"/>
        <v>0</v>
      </c>
      <c r="Y126">
        <f>IF(B126&gt;$AF$2,0,IF(X127=0,0,(1-X127)*($E$2+IF(E126&lt;=Assumptions!$B$9,$D$2,0))/$I$2*1/(1+$AG$2)*1/(1+Assumptions!$B$11)))</f>
        <v>0</v>
      </c>
      <c r="Z126">
        <f>IF(B126&gt;$AF$2,0,IF($Y$2=1,(SUMIF('Mortality Tarif Male'!A:A,E127,'Mortality Tarif Male'!E:E)-SUMIF('Mortality Tarif Male'!A:A,$C$2+$H$2,'Mortality Tarif Male'!E:E))/SUMIF('Mortality Tarif Male'!A:A,E127,'Mortality Tarif Male'!D:D),(SUMIF('Mortality Tarif Female'!A:A,E127,'Mortality Tarif Female'!E:E)-SUMIF('Mortality Tarif Female'!A:A,$C$2+$H$2,'Mortality Tarif Female'!E:E))/SUMIF('Mortality Tarif Female'!A:A,E127,'Mortality Tarif Female'!D:D)))</f>
        <v>9.8564301561069279</v>
      </c>
      <c r="AA126">
        <f>IF(B126&gt;=$AF$2,0,IF($Y$2=1,(SUMIF('Mortality Tarif Male'!A:A,E127+1,'Mortality Tarif Male'!E:E)-SUMIF('Mortality Tarif Male'!A:A,$C$2+$H$2,'Mortality Tarif Male'!E:E))/SUMIF('Mortality Tarif Male'!A:A,E127+1,'Mortality Tarif Male'!D:D),(SUMIF('Mortality Tarif Female'!A:A,E127+1,'Mortality Tarif Female'!E:E)-SUMIF('Mortality Tarif Female'!A:A,$C$2+$H$2,'Mortality Tarif Female'!E:E))/SUMIF('Mortality Tarif Female'!A:A,E127+1,'Mortality Tarif Female'!D:D)))</f>
        <v>9.1852633458687478</v>
      </c>
      <c r="AB126">
        <f t="shared" si="41"/>
        <v>2252.4472551198746</v>
      </c>
      <c r="AC126">
        <f>IF(B126&gt;=$AF$2,0,MIN(1/3*(V126+W126+Y126-AB126),(V126-AB126),(T126*Z126+(1-T126)*AA126)*$AH$2*Assumptions!$B$22))</f>
        <v>243.79655473890236</v>
      </c>
      <c r="AD126">
        <f t="shared" si="57"/>
        <v>11206.925404556423</v>
      </c>
      <c r="AE126">
        <f t="shared" si="58"/>
        <v>11450.721959295326</v>
      </c>
      <c r="AF126">
        <f t="shared" si="59"/>
        <v>11206.925404556423</v>
      </c>
      <c r="AG126" s="26">
        <f t="shared" si="70"/>
        <v>0</v>
      </c>
      <c r="AH126" s="27">
        <f>IF(B126&gt;$AF$2,0,HLOOKUP(YEAR(A126),Assumptions!$A$34:$AL$37,4,TRUE)/100)</f>
        <v>9.8630000000000002E-3</v>
      </c>
      <c r="AI126">
        <f t="shared" si="60"/>
        <v>0</v>
      </c>
      <c r="AJ126">
        <f t="shared" si="61"/>
        <v>2.0876107310820524</v>
      </c>
      <c r="AK126">
        <f t="shared" si="62"/>
        <v>23.501587135119674</v>
      </c>
      <c r="AL126">
        <f>IF(E126&gt;Assumptions!$B$9,0,SUMPRODUCT($P$2:$X$2,Assumptions!$A$43:$I$43)/$I$2*O125*K126)</f>
        <v>3.9397887377480547</v>
      </c>
      <c r="AM126">
        <f t="shared" si="63"/>
        <v>0</v>
      </c>
      <c r="AN126">
        <f t="shared" si="64"/>
        <v>29.528986603949782</v>
      </c>
      <c r="AO126">
        <f>IF(E126&gt;Assumptions!$B$9,0,($V$2+$X$2)/$I$2*O125*K126*Assumptions!$B$46)</f>
        <v>0</v>
      </c>
      <c r="AP126">
        <f>IF(B126&gt;$AF$2,0,AP125*(1+Assumptions!$B$52)^(1/12))</f>
        <v>1.1000518745155075</v>
      </c>
      <c r="AQ126" s="29">
        <f>IF(B126&gt;$AF$2,0,O125*Assumptions!$B$48/12*AP125+AR126*Assumptions!$B$50/12)</f>
        <v>11.783550972413325</v>
      </c>
      <c r="AR126" s="31">
        <f t="shared" si="65"/>
        <v>7782.2534843355597</v>
      </c>
      <c r="AS126">
        <f t="shared" si="48"/>
        <v>7857.7248306691454</v>
      </c>
      <c r="AT126">
        <f t="shared" si="66"/>
        <v>14.115347973612204</v>
      </c>
      <c r="AU126" s="19">
        <f t="shared" si="67"/>
        <v>7792.3778447751811</v>
      </c>
      <c r="AV126" s="19">
        <f t="shared" si="68"/>
        <v>7855.4477588756508</v>
      </c>
      <c r="AW126">
        <f t="shared" si="69"/>
        <v>-85.519737892203324</v>
      </c>
      <c r="AX126">
        <f>IF(B126&gt;$AF$2,0,HLOOKUP(YEAR(A126),Assumptions!$A$34:$AL$37,2,TRUE)/100)</f>
        <v>1.5863000000000002E-2</v>
      </c>
      <c r="AY126" s="32">
        <f>1/(1+HLOOKUP(YEAR(A126),Assumptions!$A$27:$AL$29,3,TRUE))^(1/12)</f>
        <v>0.99871316197380999</v>
      </c>
      <c r="AZ126" s="30">
        <f t="shared" si="49"/>
        <v>8902.5282730841955</v>
      </c>
      <c r="BA126">
        <f>IF(B126&gt;$AF$2,0,IF($E$2=0,(T126*Z126+(1-T126)*AA126)*$J$2*Assumptions!$B$20,0))</f>
        <v>0</v>
      </c>
    </row>
    <row r="127" spans="1:53" x14ac:dyDescent="0.25">
      <c r="A127" s="17">
        <f t="shared" si="50"/>
        <v>46630</v>
      </c>
      <c r="B127">
        <f t="shared" si="42"/>
        <v>346</v>
      </c>
      <c r="C127">
        <f t="shared" si="43"/>
        <v>28.75</v>
      </c>
      <c r="D127">
        <f t="shared" si="71"/>
        <v>0</v>
      </c>
      <c r="E127">
        <f t="shared" si="44"/>
        <v>51</v>
      </c>
      <c r="F127">
        <f>IF(C127&gt;=$H$2,0,VLOOKUP($E127,'Mortality Table'!$A$3:$C$128,2+AB$2,FALSE))</f>
        <v>1.6440999999999999E-3</v>
      </c>
      <c r="G127">
        <f>F127*Assumptions!$B$1</f>
        <v>1.77973825E-3</v>
      </c>
      <c r="H127">
        <f t="shared" si="51"/>
        <v>1.4843263826236353E-4</v>
      </c>
      <c r="I127">
        <f t="shared" si="72"/>
        <v>1.0391823929119285E-4</v>
      </c>
      <c r="J127">
        <f>HLOOKUP(C127,Assumptions!$A$6:$J$7,2,TRUE)</f>
        <v>3.5200000000000002E-2</v>
      </c>
      <c r="K127" s="18">
        <f t="shared" si="45"/>
        <v>1</v>
      </c>
      <c r="L127" s="18">
        <f t="shared" si="52"/>
        <v>8.3333333333333329E-2</v>
      </c>
      <c r="M127" s="18">
        <f t="shared" si="73"/>
        <v>2.9817501439168836E-3</v>
      </c>
      <c r="N127">
        <f t="shared" si="74"/>
        <v>2.0904960484286928E-3</v>
      </c>
      <c r="O127" s="20">
        <f t="shared" si="75"/>
        <v>0.69895461160607375</v>
      </c>
      <c r="P127">
        <f>IF(B127&gt;$AF$2,0,O126*($E$2+IF(E127&lt;=Assumptions!$B$9,$D$2,0))/$I$2*K127)</f>
        <v>35.910515942860464</v>
      </c>
      <c r="Q127">
        <f t="shared" si="53"/>
        <v>26.1</v>
      </c>
      <c r="R127">
        <f>IF(B127&gt;$AF$2,0,IF($Y$2=1,(SUMIF('Mortality Tarif Male'!A:A,E128,'Mortality Tarif Male'!G:G)-SUMIF('Mortality Tarif Male'!A:A,$C$2+$H$2,'Mortality Tarif Male'!G:G)+SUMIF('Mortality Tarif Male'!A:A,$C$2+$H$2,'Mortality Tarif Male'!D:D))/SUMIF('Mortality Tarif Male'!A:A,E128,'Mortality Tarif Male'!D:D),(SUMIF('Mortality Tarif Female'!A:A,E128,'Mortality Tarif Female'!G:G)-SUMIF('Mortality Tarif Female'!A:A,$C$2+$H$2,'Mortality Tarif Female'!G:G)+SUMIF('Mortality Tarif Female'!A:A,$C$2+$H$2,'Mortality Tarif Female'!D:D))/SUMIF('Mortality Tarif Female'!A:A,E128,'Mortality Tarif Female'!D:D)))</f>
        <v>0.66725422693849323</v>
      </c>
      <c r="S127">
        <f>IF(B127&gt;=$AF$2,0,IF($Y$2=1,(SUMIF('Mortality Tarif Male'!A:A,E128+1,'Mortality Tarif Male'!G:G)-SUMIF('Mortality Tarif Male'!A:A,$C$2+$H$2,'Mortality Tarif Male'!G:G)+SUMIF('Mortality Tarif Male'!A:A,$C$2+$H$2,'Mortality Tarif Male'!D:D))/SUMIF('Mortality Tarif Male'!A:A,E128+1,'Mortality Tarif Male'!D:D),(SUMIF('Mortality Tarif Female'!A:A,E128+1,'Mortality Tarif Female'!G:G)-SUMIF('Mortality Tarif Female'!A:A,$C$2+$H$2,'Mortality Tarif Female'!G:G)+SUMIF('Mortality Tarif Female'!A:A,$C$2+$H$2,'Mortality Tarif Female'!D:D))/SUMIF('Mortality Tarif Female'!A:A,E128+1,'Mortality Tarif Female'!D:D)))</f>
        <v>0.68993591668818599</v>
      </c>
      <c r="T127">
        <f t="shared" si="54"/>
        <v>0.16666666666666785</v>
      </c>
      <c r="U127">
        <f t="shared" si="55"/>
        <v>0.68615563506323718</v>
      </c>
      <c r="V127">
        <f t="shared" si="56"/>
        <v>13723.112701264743</v>
      </c>
      <c r="W127">
        <f t="shared" si="46"/>
        <v>17.908662075150492</v>
      </c>
      <c r="X127">
        <f t="shared" si="47"/>
        <v>0</v>
      </c>
      <c r="Y127">
        <f>IF(B127&gt;$AF$2,0,IF(X128=0,0,(1-X128)*($E$2+IF(E127&lt;=Assumptions!$B$9,$D$2,0))/$I$2*1/(1+$AG$2)*1/(1+Assumptions!$B$11)))</f>
        <v>0</v>
      </c>
      <c r="Z127">
        <f>IF(B127&gt;$AF$2,0,IF($Y$2=1,(SUMIF('Mortality Tarif Male'!A:A,E128,'Mortality Tarif Male'!E:E)-SUMIF('Mortality Tarif Male'!A:A,$C$2+$H$2,'Mortality Tarif Male'!E:E))/SUMIF('Mortality Tarif Male'!A:A,E128,'Mortality Tarif Male'!D:D),(SUMIF('Mortality Tarif Female'!A:A,E128,'Mortality Tarif Female'!E:E)-SUMIF('Mortality Tarif Female'!A:A,$C$2+$H$2,'Mortality Tarif Female'!E:E))/SUMIF('Mortality Tarif Female'!A:A,E128,'Mortality Tarif Female'!D:D)))</f>
        <v>9.8564301561069279</v>
      </c>
      <c r="AA127">
        <f>IF(B127&gt;=$AF$2,0,IF($Y$2=1,(SUMIF('Mortality Tarif Male'!A:A,E128+1,'Mortality Tarif Male'!E:E)-SUMIF('Mortality Tarif Male'!A:A,$C$2+$H$2,'Mortality Tarif Male'!E:E))/SUMIF('Mortality Tarif Male'!A:A,E128+1,'Mortality Tarif Male'!D:D),(SUMIF('Mortality Tarif Female'!A:A,E128+1,'Mortality Tarif Female'!E:E)-SUMIF('Mortality Tarif Female'!A:A,$C$2+$H$2,'Mortality Tarif Female'!E:E))/SUMIF('Mortality Tarif Female'!A:A,E128+1,'Mortality Tarif Female'!D:D)))</f>
        <v>9.1852633458687478</v>
      </c>
      <c r="AB127">
        <f t="shared" si="41"/>
        <v>2238.9777895137095</v>
      </c>
      <c r="AC127">
        <f>IF(B127&gt;=$AF$2,0,MIN(1/3*(V127+W127+Y127-AB127),(V127-AB127),(T127*Z127+(1-T127)*AA127)*$AH$2*Assumptions!$B$22))</f>
        <v>242.33866963127417</v>
      </c>
      <c r="AD127">
        <f t="shared" si="57"/>
        <v>11259.70490419491</v>
      </c>
      <c r="AE127">
        <f t="shared" si="58"/>
        <v>11502.043573826184</v>
      </c>
      <c r="AF127">
        <f t="shared" si="59"/>
        <v>11259.70490419491</v>
      </c>
      <c r="AG127" s="26">
        <f t="shared" si="70"/>
        <v>0</v>
      </c>
      <c r="AH127" s="27">
        <f>IF(B127&gt;$AF$2,0,HLOOKUP(YEAR(A127),Assumptions!$A$34:$AL$37,4,TRUE)/100)</f>
        <v>9.8630000000000002E-3</v>
      </c>
      <c r="AI127">
        <f t="shared" si="60"/>
        <v>0</v>
      </c>
      <c r="AJ127">
        <f t="shared" si="61"/>
        <v>2.0810770518693569</v>
      </c>
      <c r="AK127">
        <f t="shared" si="62"/>
        <v>23.538368608692632</v>
      </c>
      <c r="AL127">
        <f>IF(E127&gt;Assumptions!$B$9,0,SUMPRODUCT($P$2:$X$2,Assumptions!$A$43:$I$43)/$I$2*O126*K127)</f>
        <v>3.927458222583049</v>
      </c>
      <c r="AM127">
        <f t="shared" si="63"/>
        <v>0</v>
      </c>
      <c r="AN127">
        <f t="shared" si="64"/>
        <v>29.546903883145038</v>
      </c>
      <c r="AO127">
        <f>IF(E127&gt;Assumptions!$B$9,0,($V$2+$X$2)/$I$2*O126*K127*Assumptions!$B$46)</f>
        <v>0</v>
      </c>
      <c r="AP127">
        <f>IF(B127&gt;$AF$2,0,AP126*(1+Assumptions!$B$52)^(1/12))</f>
        <v>1.1009644094731761</v>
      </c>
      <c r="AQ127" s="29">
        <f>IF(B127&gt;$AF$2,0,O126*Assumptions!$B$48/12*AP126+AR127*Assumptions!$B$50/12)</f>
        <v>11.760769765646403</v>
      </c>
      <c r="AR127" s="31">
        <f t="shared" si="65"/>
        <v>7782.348805156078</v>
      </c>
      <c r="AS127">
        <f t="shared" si="48"/>
        <v>7870.0226681105578</v>
      </c>
      <c r="AT127">
        <f t="shared" si="66"/>
        <v>14.07117060171905</v>
      </c>
      <c r="AU127" s="19">
        <f t="shared" si="67"/>
        <v>7792.4273807315731</v>
      </c>
      <c r="AV127" s="19">
        <f t="shared" si="68"/>
        <v>7867.868543048281</v>
      </c>
      <c r="AW127">
        <f t="shared" si="69"/>
        <v>-97.880795046603396</v>
      </c>
      <c r="AX127">
        <f>IF(B127&gt;$AF$2,0,HLOOKUP(YEAR(A127),Assumptions!$A$34:$AL$37,2,TRUE)/100)</f>
        <v>1.5863000000000002E-2</v>
      </c>
      <c r="AY127" s="32">
        <f>1/(1+HLOOKUP(YEAR(A127),Assumptions!$A$27:$AL$29,3,TRUE))^(1/12)</f>
        <v>0.99871316197380999</v>
      </c>
      <c r="AZ127" s="30">
        <f t="shared" si="49"/>
        <v>8908.6019884449561</v>
      </c>
      <c r="BA127">
        <f>IF(B127&gt;$AF$2,0,IF($E$2=0,(T127*Z127+(1-T127)*AA127)*$J$2*Assumptions!$B$20,0))</f>
        <v>0</v>
      </c>
    </row>
    <row r="128" spans="1:53" x14ac:dyDescent="0.25">
      <c r="A128" s="17">
        <f t="shared" si="50"/>
        <v>46660</v>
      </c>
      <c r="B128">
        <f t="shared" si="42"/>
        <v>347</v>
      </c>
      <c r="C128">
        <f t="shared" si="43"/>
        <v>28.833333333333332</v>
      </c>
      <c r="D128">
        <f t="shared" si="71"/>
        <v>0</v>
      </c>
      <c r="E128">
        <f t="shared" si="44"/>
        <v>51</v>
      </c>
      <c r="F128">
        <f>IF(C128&gt;=$H$2,0,VLOOKUP($E128,'Mortality Table'!$A$3:$C$128,2+AB$2,FALSE))</f>
        <v>1.6440999999999999E-3</v>
      </c>
      <c r="G128">
        <f>F128*Assumptions!$B$1</f>
        <v>1.77973825E-3</v>
      </c>
      <c r="H128">
        <f t="shared" si="51"/>
        <v>1.4843263826236353E-4</v>
      </c>
      <c r="I128">
        <f t="shared" si="72"/>
        <v>1.0359300220088297E-4</v>
      </c>
      <c r="J128">
        <f>HLOOKUP(C128,Assumptions!$A$6:$J$7,2,TRUE)</f>
        <v>3.5200000000000002E-2</v>
      </c>
      <c r="K128" s="18">
        <f t="shared" si="45"/>
        <v>1</v>
      </c>
      <c r="L128" s="18">
        <f t="shared" si="52"/>
        <v>8.3333333333333329E-2</v>
      </c>
      <c r="M128" s="18">
        <f t="shared" si="73"/>
        <v>2.9817501439168836E-3</v>
      </c>
      <c r="N128">
        <f t="shared" si="74"/>
        <v>2.0839533389223276E-3</v>
      </c>
      <c r="O128" s="20">
        <f t="shared" si="75"/>
        <v>0.69676706526495058</v>
      </c>
      <c r="P128">
        <f>IF(B128&gt;$AF$2,0,O127*($E$2+IF(E128&lt;=Assumptions!$B$9,$D$2,0))/$I$2*K128)</f>
        <v>35.798125357757741</v>
      </c>
      <c r="Q128">
        <f t="shared" si="53"/>
        <v>26.1</v>
      </c>
      <c r="R128">
        <f>IF(B128&gt;$AF$2,0,IF($Y$2=1,(SUMIF('Mortality Tarif Male'!A:A,E129,'Mortality Tarif Male'!G:G)-SUMIF('Mortality Tarif Male'!A:A,$C$2+$H$2,'Mortality Tarif Male'!G:G)+SUMIF('Mortality Tarif Male'!A:A,$C$2+$H$2,'Mortality Tarif Male'!D:D))/SUMIF('Mortality Tarif Male'!A:A,E129,'Mortality Tarif Male'!D:D),(SUMIF('Mortality Tarif Female'!A:A,E129,'Mortality Tarif Female'!G:G)-SUMIF('Mortality Tarif Female'!A:A,$C$2+$H$2,'Mortality Tarif Female'!G:G)+SUMIF('Mortality Tarif Female'!A:A,$C$2+$H$2,'Mortality Tarif Female'!D:D))/SUMIF('Mortality Tarif Female'!A:A,E129,'Mortality Tarif Female'!D:D)))</f>
        <v>0.66725422693849323</v>
      </c>
      <c r="S128">
        <f>IF(B128&gt;=$AF$2,0,IF($Y$2=1,(SUMIF('Mortality Tarif Male'!A:A,E129+1,'Mortality Tarif Male'!G:G)-SUMIF('Mortality Tarif Male'!A:A,$C$2+$H$2,'Mortality Tarif Male'!G:G)+SUMIF('Mortality Tarif Male'!A:A,$C$2+$H$2,'Mortality Tarif Male'!D:D))/SUMIF('Mortality Tarif Male'!A:A,E129+1,'Mortality Tarif Male'!D:D),(SUMIF('Mortality Tarif Female'!A:A,E129+1,'Mortality Tarif Female'!G:G)-SUMIF('Mortality Tarif Female'!A:A,$C$2+$H$2,'Mortality Tarif Female'!G:G)+SUMIF('Mortality Tarif Female'!A:A,$C$2+$H$2,'Mortality Tarif Female'!D:D))/SUMIF('Mortality Tarif Female'!A:A,E129+1,'Mortality Tarif Female'!D:D)))</f>
        <v>0.68993591668818599</v>
      </c>
      <c r="T128">
        <f t="shared" si="54"/>
        <v>8.3333333333332149E-2</v>
      </c>
      <c r="U128">
        <f t="shared" si="55"/>
        <v>0.68804577587571158</v>
      </c>
      <c r="V128">
        <f t="shared" si="56"/>
        <v>13760.915517514231</v>
      </c>
      <c r="W128">
        <f t="shared" si="46"/>
        <v>17.957994750356072</v>
      </c>
      <c r="X128">
        <f t="shared" si="47"/>
        <v>0</v>
      </c>
      <c r="Y128">
        <f>IF(B128&gt;$AF$2,0,IF(X129=0,0,(1-X129)*($E$2+IF(E128&lt;=Assumptions!$B$9,$D$2,0))/$I$2*1/(1+$AG$2)*1/(1+Assumptions!$B$11)))</f>
        <v>0</v>
      </c>
      <c r="Z128">
        <f>IF(B128&gt;$AF$2,0,IF($Y$2=1,(SUMIF('Mortality Tarif Male'!A:A,E129,'Mortality Tarif Male'!E:E)-SUMIF('Mortality Tarif Male'!A:A,$C$2+$H$2,'Mortality Tarif Male'!E:E))/SUMIF('Mortality Tarif Male'!A:A,E129,'Mortality Tarif Male'!D:D),(SUMIF('Mortality Tarif Female'!A:A,E129,'Mortality Tarif Female'!E:E)-SUMIF('Mortality Tarif Female'!A:A,$C$2+$H$2,'Mortality Tarif Female'!E:E))/SUMIF('Mortality Tarif Female'!A:A,E129,'Mortality Tarif Female'!D:D)))</f>
        <v>9.8564301561069279</v>
      </c>
      <c r="AA128">
        <f>IF(B128&gt;=$AF$2,0,IF($Y$2=1,(SUMIF('Mortality Tarif Male'!A:A,E129+1,'Mortality Tarif Male'!E:E)-SUMIF('Mortality Tarif Male'!A:A,$C$2+$H$2,'Mortality Tarif Male'!E:E))/SUMIF('Mortality Tarif Male'!A:A,E129+1,'Mortality Tarif Male'!D:D),(SUMIF('Mortality Tarif Female'!A:A,E129+1,'Mortality Tarif Female'!E:E)-SUMIF('Mortality Tarif Female'!A:A,$C$2+$H$2,'Mortality Tarif Female'!E:E))/SUMIF('Mortality Tarif Female'!A:A,E129+1,'Mortality Tarif Female'!D:D)))</f>
        <v>9.1852633458687478</v>
      </c>
      <c r="AB128">
        <f t="shared" si="41"/>
        <v>2225.5083239075434</v>
      </c>
      <c r="AC128">
        <f>IF(B128&gt;=$AF$2,0,MIN(1/3*(V128+W128+Y128-AB128),(V128-AB128),(T128*Z128+(1-T128)*AA128)*$AH$2*Assumptions!$B$22))</f>
        <v>240.88078452364593</v>
      </c>
      <c r="AD128">
        <f t="shared" si="57"/>
        <v>11312.484403833398</v>
      </c>
      <c r="AE128">
        <f t="shared" si="58"/>
        <v>11553.365188357044</v>
      </c>
      <c r="AF128">
        <f t="shared" si="59"/>
        <v>11312.484403833398</v>
      </c>
      <c r="AG128" s="26">
        <f t="shared" si="70"/>
        <v>0</v>
      </c>
      <c r="AH128" s="27">
        <f>IF(B128&gt;$AF$2,0,HLOOKUP(YEAR(A128),Assumptions!$A$34:$AL$37,4,TRUE)/100)</f>
        <v>9.8630000000000002E-3</v>
      </c>
      <c r="AI128">
        <f t="shared" si="60"/>
        <v>0</v>
      </c>
      <c r="AJ128">
        <f t="shared" si="61"/>
        <v>2.0745638213751025</v>
      </c>
      <c r="AK128">
        <f t="shared" si="62"/>
        <v>23.574689644875367</v>
      </c>
      <c r="AL128">
        <f>IF(E128&gt;Assumptions!$B$9,0,SUMPRODUCT($P$2:$X$2,Assumptions!$A$43:$I$43)/$I$2*O127*K128)</f>
        <v>3.9151662987269575</v>
      </c>
      <c r="AM128">
        <f t="shared" si="63"/>
        <v>0</v>
      </c>
      <c r="AN128">
        <f t="shared" si="64"/>
        <v>29.56441976497743</v>
      </c>
      <c r="AO128">
        <f>IF(E128&gt;Assumptions!$B$9,0,($V$2+$X$2)/$I$2*O127*K128*Assumptions!$B$46)</f>
        <v>0</v>
      </c>
      <c r="AP128">
        <f>IF(B128&gt;$AF$2,0,AP127*(1+Assumptions!$B$52)^(1/12))</f>
        <v>1.1018777014133727</v>
      </c>
      <c r="AQ128" s="29">
        <f>IF(B128&gt;$AF$2,0,O127*Assumptions!$B$48/12*AP127+AR128*Assumptions!$B$50/12)</f>
        <v>11.737995086252571</v>
      </c>
      <c r="AR128" s="31">
        <f t="shared" si="65"/>
        <v>7782.25383825875</v>
      </c>
      <c r="AS128">
        <f t="shared" si="48"/>
        <v>7882.1665589145205</v>
      </c>
      <c r="AT128">
        <f t="shared" si="66"/>
        <v>14.027131493522337</v>
      </c>
      <c r="AU128" s="19">
        <f t="shared" si="67"/>
        <v>7792.2868370367332</v>
      </c>
      <c r="AV128" s="19">
        <f t="shared" si="68"/>
        <v>7880.1346333053534</v>
      </c>
      <c r="AW128">
        <f t="shared" si="69"/>
        <v>-110.27725135362394</v>
      </c>
      <c r="AX128">
        <f>IF(B128&gt;$AF$2,0,HLOOKUP(YEAR(A128),Assumptions!$A$34:$AL$37,2,TRUE)/100)</f>
        <v>1.5863000000000002E-2</v>
      </c>
      <c r="AY128" s="32">
        <f>1/(1+HLOOKUP(YEAR(A128),Assumptions!$A$27:$AL$29,3,TRUE))^(1/12)</f>
        <v>0.99871316197380999</v>
      </c>
      <c r="AZ128" s="30">
        <f t="shared" si="49"/>
        <v>8914.5763979768035</v>
      </c>
      <c r="BA128">
        <f>IF(B128&gt;$AF$2,0,IF($E$2=0,(T128*Z128+(1-T128)*AA128)*$J$2*Assumptions!$B$20,0))</f>
        <v>0</v>
      </c>
    </row>
    <row r="129" spans="1:53" x14ac:dyDescent="0.25">
      <c r="A129" s="17">
        <f t="shared" si="50"/>
        <v>46691</v>
      </c>
      <c r="B129">
        <f t="shared" si="42"/>
        <v>348</v>
      </c>
      <c r="C129">
        <f t="shared" si="43"/>
        <v>28.916666666666668</v>
      </c>
      <c r="D129">
        <f t="shared" si="71"/>
        <v>0</v>
      </c>
      <c r="E129">
        <f t="shared" si="44"/>
        <v>51</v>
      </c>
      <c r="F129">
        <f>IF(C129&gt;=$H$2,0,VLOOKUP($E129,'Mortality Table'!$A$3:$C$128,2+AB$2,FALSE))</f>
        <v>1.6440999999999999E-3</v>
      </c>
      <c r="G129">
        <f>F129*Assumptions!$B$1</f>
        <v>1.77973825E-3</v>
      </c>
      <c r="H129">
        <f t="shared" si="51"/>
        <v>1.4843263826236353E-4</v>
      </c>
      <c r="I129">
        <f t="shared" si="72"/>
        <v>1.0326878301816698E-4</v>
      </c>
      <c r="J129">
        <f>HLOOKUP(C129,Assumptions!$A$6:$J$7,2,TRUE)</f>
        <v>3.5200000000000002E-2</v>
      </c>
      <c r="K129" s="18">
        <f t="shared" si="45"/>
        <v>1</v>
      </c>
      <c r="L129" s="18">
        <f t="shared" si="52"/>
        <v>8.3333333333333329E-2</v>
      </c>
      <c r="M129" s="18">
        <f t="shared" si="73"/>
        <v>2.9817501439168836E-3</v>
      </c>
      <c r="N129">
        <f t="shared" si="74"/>
        <v>2.0774311063968772E-3</v>
      </c>
      <c r="O129" s="20">
        <f t="shared" si="75"/>
        <v>0.69458636537553553</v>
      </c>
      <c r="P129">
        <f>IF(B129&gt;$AF$2,0,O128*($E$2+IF(E129&lt;=Assumptions!$B$9,$D$2,0))/$I$2*K129)</f>
        <v>35.686086525986546</v>
      </c>
      <c r="Q129">
        <f t="shared" si="53"/>
        <v>26.1</v>
      </c>
      <c r="R129">
        <f>IF(B129&gt;$AF$2,0,IF($Y$2=1,(SUMIF('Mortality Tarif Male'!A:A,E130,'Mortality Tarif Male'!G:G)-SUMIF('Mortality Tarif Male'!A:A,$C$2+$H$2,'Mortality Tarif Male'!G:G)+SUMIF('Mortality Tarif Male'!A:A,$C$2+$H$2,'Mortality Tarif Male'!D:D))/SUMIF('Mortality Tarif Male'!A:A,E130,'Mortality Tarif Male'!D:D),(SUMIF('Mortality Tarif Female'!A:A,E130,'Mortality Tarif Female'!G:G)-SUMIF('Mortality Tarif Female'!A:A,$C$2+$H$2,'Mortality Tarif Female'!G:G)+SUMIF('Mortality Tarif Female'!A:A,$C$2+$H$2,'Mortality Tarif Female'!D:D))/SUMIF('Mortality Tarif Female'!A:A,E130,'Mortality Tarif Female'!D:D)))</f>
        <v>0.68993591668818599</v>
      </c>
      <c r="S129">
        <f>IF(B129&gt;=$AF$2,0,IF($Y$2=1,(SUMIF('Mortality Tarif Male'!A:A,E130+1,'Mortality Tarif Male'!G:G)-SUMIF('Mortality Tarif Male'!A:A,$C$2+$H$2,'Mortality Tarif Male'!G:G)+SUMIF('Mortality Tarif Male'!A:A,$C$2+$H$2,'Mortality Tarif Male'!D:D))/SUMIF('Mortality Tarif Male'!A:A,E130+1,'Mortality Tarif Male'!D:D),(SUMIF('Mortality Tarif Female'!A:A,E130+1,'Mortality Tarif Female'!G:G)-SUMIF('Mortality Tarif Female'!A:A,$C$2+$H$2,'Mortality Tarif Female'!G:G)+SUMIF('Mortality Tarif Female'!A:A,$C$2+$H$2,'Mortality Tarif Female'!D:D))/SUMIF('Mortality Tarif Female'!A:A,E130+1,'Mortality Tarif Female'!D:D)))</f>
        <v>0.71339525769249212</v>
      </c>
      <c r="T129">
        <f t="shared" si="54"/>
        <v>1</v>
      </c>
      <c r="U129">
        <f t="shared" si="55"/>
        <v>0.68993591668818599</v>
      </c>
      <c r="V129">
        <f t="shared" si="56"/>
        <v>13798.71833376372</v>
      </c>
      <c r="W129">
        <f t="shared" si="46"/>
        <v>18.007327425561655</v>
      </c>
      <c r="X129">
        <f t="shared" si="47"/>
        <v>0</v>
      </c>
      <c r="Y129">
        <f>IF(B129&gt;$AF$2,0,IF(X130=0,0,(1-X130)*($E$2+IF(E129&lt;=Assumptions!$B$9,$D$2,0))/$I$2*1/(1+$AG$2)*1/(1+Assumptions!$B$11)))</f>
        <v>0</v>
      </c>
      <c r="Z129">
        <f>IF(B129&gt;$AF$2,0,IF($Y$2=1,(SUMIF('Mortality Tarif Male'!A:A,E130,'Mortality Tarif Male'!E:E)-SUMIF('Mortality Tarif Male'!A:A,$C$2+$H$2,'Mortality Tarif Male'!E:E))/SUMIF('Mortality Tarif Male'!A:A,E130,'Mortality Tarif Male'!D:D),(SUMIF('Mortality Tarif Female'!A:A,E130,'Mortality Tarif Female'!E:E)-SUMIF('Mortality Tarif Female'!A:A,$C$2+$H$2,'Mortality Tarif Female'!E:E))/SUMIF('Mortality Tarif Female'!A:A,E130,'Mortality Tarif Female'!D:D)))</f>
        <v>9.1852633458687478</v>
      </c>
      <c r="AA129">
        <f>IF(B129&gt;=$AF$2,0,IF($Y$2=1,(SUMIF('Mortality Tarif Male'!A:A,E130+1,'Mortality Tarif Male'!E:E)-SUMIF('Mortality Tarif Male'!A:A,$C$2+$H$2,'Mortality Tarif Male'!E:E))/SUMIF('Mortality Tarif Male'!A:A,E130+1,'Mortality Tarif Male'!D:D),(SUMIF('Mortality Tarif Female'!A:A,E130+1,'Mortality Tarif Female'!E:E)-SUMIF('Mortality Tarif Female'!A:A,$C$2+$H$2,'Mortality Tarif Female'!E:E))/SUMIF('Mortality Tarif Female'!A:A,E130+1,'Mortality Tarif Female'!D:D)))</f>
        <v>8.4909785042490427</v>
      </c>
      <c r="AB129">
        <f t="shared" si="41"/>
        <v>2212.0388583013778</v>
      </c>
      <c r="AC129">
        <f>IF(B129&gt;=$AF$2,0,MIN(1/3*(V129+W129+Y129-AB129),(V129-AB129),(T129*Z129+(1-T129)*AA129)*$AH$2*Assumptions!$B$22))</f>
        <v>239.42289941601771</v>
      </c>
      <c r="AD129">
        <f t="shared" si="57"/>
        <v>11365.263903471885</v>
      </c>
      <c r="AE129">
        <f t="shared" si="58"/>
        <v>11604.686802887903</v>
      </c>
      <c r="AF129">
        <f t="shared" si="59"/>
        <v>11365.263903471885</v>
      </c>
      <c r="AG129" s="26">
        <f t="shared" si="70"/>
        <v>0</v>
      </c>
      <c r="AH129" s="27">
        <f>IF(B129&gt;$AF$2,0,HLOOKUP(YEAR(A129),Assumptions!$A$34:$AL$37,4,TRUE)/100)</f>
        <v>9.8630000000000002E-3</v>
      </c>
      <c r="AI129">
        <f t="shared" si="60"/>
        <v>0</v>
      </c>
      <c r="AJ129">
        <f t="shared" si="61"/>
        <v>2.0680709756001137</v>
      </c>
      <c r="AK129">
        <f t="shared" si="62"/>
        <v>23.61055276548209</v>
      </c>
      <c r="AL129">
        <f>IF(E129&gt;Assumptions!$B$9,0,SUMPRODUCT($P$2:$X$2,Assumptions!$A$43:$I$43)/$I$2*O128*K129)</f>
        <v>3.9029128453990096</v>
      </c>
      <c r="AM129">
        <f t="shared" si="63"/>
        <v>0</v>
      </c>
      <c r="AN129">
        <f t="shared" si="64"/>
        <v>29.581536586481214</v>
      </c>
      <c r="AO129">
        <f>IF(E129&gt;Assumptions!$B$9,0,($V$2+$X$2)/$I$2*O128*K129*Assumptions!$B$46)</f>
        <v>0</v>
      </c>
      <c r="AP129">
        <f>IF(B129&gt;$AF$2,0,AP128*(1+Assumptions!$B$52)^(1/12))</f>
        <v>1.1027917509640432</v>
      </c>
      <c r="AQ129" s="29">
        <f>IF(B129&gt;$AF$2,0,O128*Assumptions!$B$48/12*AP128+AR129*Assumptions!$B$50/12)</f>
        <v>11.71522706494831</v>
      </c>
      <c r="AR129" s="31">
        <f t="shared" si="65"/>
        <v>7781.9696249317894</v>
      </c>
      <c r="AS129">
        <f t="shared" si="48"/>
        <v>7894.1573462463075</v>
      </c>
      <c r="AT129">
        <f t="shared" si="66"/>
        <v>13.983230216292618</v>
      </c>
      <c r="AU129" s="19">
        <f t="shared" si="67"/>
        <v>7791.9572541765356</v>
      </c>
      <c r="AV129" s="19">
        <f t="shared" si="68"/>
        <v>7892.2468762854132</v>
      </c>
      <c r="AW129">
        <f t="shared" si="69"/>
        <v>-122.70891322867587</v>
      </c>
      <c r="AX129">
        <f>IF(B129&gt;$AF$2,0,HLOOKUP(YEAR(A129),Assumptions!$A$34:$AL$37,2,TRUE)/100)</f>
        <v>1.5863000000000002E-2</v>
      </c>
      <c r="AY129" s="32">
        <f>1/(1+HLOOKUP(YEAR(A129),Assumptions!$A$27:$AL$29,3,TRUE))^(1/12)</f>
        <v>0.99871316197380999</v>
      </c>
      <c r="AZ129" s="30">
        <f t="shared" si="49"/>
        <v>8920.4521178801333</v>
      </c>
      <c r="BA129">
        <f>IF(B129&gt;$AF$2,0,IF($E$2=0,(T129*Z129+(1-T129)*AA129)*$J$2*Assumptions!$B$20,0))</f>
        <v>0</v>
      </c>
    </row>
    <row r="130" spans="1:53" x14ac:dyDescent="0.25">
      <c r="A130" s="17">
        <f t="shared" si="50"/>
        <v>46721</v>
      </c>
      <c r="B130">
        <f t="shared" si="42"/>
        <v>349</v>
      </c>
      <c r="C130">
        <f t="shared" si="43"/>
        <v>29</v>
      </c>
      <c r="D130">
        <f t="shared" si="71"/>
        <v>1</v>
      </c>
      <c r="E130">
        <f t="shared" si="44"/>
        <v>52</v>
      </c>
      <c r="F130">
        <f>IF(C130&gt;=$H$2,0,VLOOKUP($E130,'Mortality Table'!$A$3:$C$128,2+AB$2,FALSE))</f>
        <v>1.8298000000000001E-3</v>
      </c>
      <c r="G130">
        <f>F130*Assumptions!$B$1</f>
        <v>1.9807585000000002E-3</v>
      </c>
      <c r="H130">
        <f t="shared" si="51"/>
        <v>1.6521325048846069E-4</v>
      </c>
      <c r="I130">
        <f t="shared" si="72"/>
        <v>1.1458378599184668E-4</v>
      </c>
      <c r="J130">
        <f>HLOOKUP(C130,Assumptions!$A$6:$J$7,2,TRUE)</f>
        <v>3.5200000000000002E-2</v>
      </c>
      <c r="K130" s="18">
        <f t="shared" si="45"/>
        <v>1</v>
      </c>
      <c r="L130" s="18">
        <f t="shared" si="52"/>
        <v>8.3333333333333329E-2</v>
      </c>
      <c r="M130" s="18">
        <f t="shared" si="73"/>
        <v>2.9817501439168836E-3</v>
      </c>
      <c r="N130">
        <f t="shared" si="74"/>
        <v>2.0709119097443969E-3</v>
      </c>
      <c r="O130" s="20">
        <f t="shared" si="75"/>
        <v>0.6924008696797993</v>
      </c>
      <c r="P130">
        <f>IF(B130&gt;$AF$2,0,O129*($E$2+IF(E130&lt;=Assumptions!$B$9,$D$2,0))/$I$2*K130)</f>
        <v>35.574398346650341</v>
      </c>
      <c r="Q130">
        <f t="shared" si="53"/>
        <v>26.1</v>
      </c>
      <c r="R130">
        <f>IF(B130&gt;$AF$2,0,IF($Y$2=1,(SUMIF('Mortality Tarif Male'!A:A,E131,'Mortality Tarif Male'!G:G)-SUMIF('Mortality Tarif Male'!A:A,$C$2+$H$2,'Mortality Tarif Male'!G:G)+SUMIF('Mortality Tarif Male'!A:A,$C$2+$H$2,'Mortality Tarif Male'!D:D))/SUMIF('Mortality Tarif Male'!A:A,E131,'Mortality Tarif Male'!D:D),(SUMIF('Mortality Tarif Female'!A:A,E131,'Mortality Tarif Female'!G:G)-SUMIF('Mortality Tarif Female'!A:A,$C$2+$H$2,'Mortality Tarif Female'!G:G)+SUMIF('Mortality Tarif Female'!A:A,$C$2+$H$2,'Mortality Tarif Female'!D:D))/SUMIF('Mortality Tarif Female'!A:A,E131,'Mortality Tarif Female'!D:D)))</f>
        <v>0.68993591668818599</v>
      </c>
      <c r="S130">
        <f>IF(B130&gt;=$AF$2,0,IF($Y$2=1,(SUMIF('Mortality Tarif Male'!A:A,E131+1,'Mortality Tarif Male'!G:G)-SUMIF('Mortality Tarif Male'!A:A,$C$2+$H$2,'Mortality Tarif Male'!G:G)+SUMIF('Mortality Tarif Male'!A:A,$C$2+$H$2,'Mortality Tarif Male'!D:D))/SUMIF('Mortality Tarif Male'!A:A,E131+1,'Mortality Tarif Male'!D:D),(SUMIF('Mortality Tarif Female'!A:A,E131+1,'Mortality Tarif Female'!G:G)-SUMIF('Mortality Tarif Female'!A:A,$C$2+$H$2,'Mortality Tarif Female'!G:G)+SUMIF('Mortality Tarif Female'!A:A,$C$2+$H$2,'Mortality Tarif Female'!D:D))/SUMIF('Mortality Tarif Female'!A:A,E131+1,'Mortality Tarif Female'!D:D)))</f>
        <v>0.71339525769249212</v>
      </c>
      <c r="T130">
        <f t="shared" si="54"/>
        <v>0.91666666666666785</v>
      </c>
      <c r="U130">
        <f t="shared" si="55"/>
        <v>0.6918908617718782</v>
      </c>
      <c r="V130">
        <f t="shared" si="56"/>
        <v>13837.817235437564</v>
      </c>
      <c r="W130">
        <f t="shared" si="46"/>
        <v>18.058351492246022</v>
      </c>
      <c r="X130">
        <f t="shared" si="47"/>
        <v>0</v>
      </c>
      <c r="Y130">
        <f>IF(B130&gt;$AF$2,0,IF(X131=0,0,(1-X131)*($E$2+IF(E130&lt;=Assumptions!$B$9,$D$2,0))/$I$2*1/(1+$AG$2)*1/(1+Assumptions!$B$11)))</f>
        <v>0</v>
      </c>
      <c r="Z130">
        <f>IF(B130&gt;$AF$2,0,IF($Y$2=1,(SUMIF('Mortality Tarif Male'!A:A,E131,'Mortality Tarif Male'!E:E)-SUMIF('Mortality Tarif Male'!A:A,$C$2+$H$2,'Mortality Tarif Male'!E:E))/SUMIF('Mortality Tarif Male'!A:A,E131,'Mortality Tarif Male'!D:D),(SUMIF('Mortality Tarif Female'!A:A,E131,'Mortality Tarif Female'!E:E)-SUMIF('Mortality Tarif Female'!A:A,$C$2+$H$2,'Mortality Tarif Female'!E:E))/SUMIF('Mortality Tarif Female'!A:A,E131,'Mortality Tarif Female'!D:D)))</f>
        <v>9.1852633458687478</v>
      </c>
      <c r="AA130">
        <f>IF(B130&gt;=$AF$2,0,IF($Y$2=1,(SUMIF('Mortality Tarif Male'!A:A,E131+1,'Mortality Tarif Male'!E:E)-SUMIF('Mortality Tarif Male'!A:A,$C$2+$H$2,'Mortality Tarif Male'!E:E))/SUMIF('Mortality Tarif Male'!A:A,E131+1,'Mortality Tarif Male'!D:D),(SUMIF('Mortality Tarif Female'!A:A,E131+1,'Mortality Tarif Female'!E:E)-SUMIF('Mortality Tarif Female'!A:A,$C$2+$H$2,'Mortality Tarif Female'!E:E))/SUMIF('Mortality Tarif Female'!A:A,E131+1,'Mortality Tarif Female'!D:D)))</f>
        <v>8.4909785042490427</v>
      </c>
      <c r="AB130">
        <f t="shared" si="41"/>
        <v>2198.1054431616158</v>
      </c>
      <c r="AC130">
        <f>IF(B130&gt;=$AF$2,0,MIN(1/3*(V130+W130+Y130-AB130),(V130-AB130),(T130*Z130+(1-T130)*AA130)*$AH$2*Assumptions!$B$22))</f>
        <v>237.91479812791891</v>
      </c>
      <c r="AD130">
        <f t="shared" si="57"/>
        <v>11419.855345640275</v>
      </c>
      <c r="AE130">
        <f t="shared" si="58"/>
        <v>11657.770143768194</v>
      </c>
      <c r="AF130">
        <f t="shared" si="59"/>
        <v>11419.855345640275</v>
      </c>
      <c r="AG130" s="26">
        <f t="shared" si="70"/>
        <v>0</v>
      </c>
      <c r="AH130" s="27">
        <f>IF(B130&gt;$AF$2,0,HLOOKUP(YEAR(A130),Assumptions!$A$34:$AL$37,4,TRUE)/100)</f>
        <v>9.8630000000000002E-3</v>
      </c>
      <c r="AI130">
        <f t="shared" si="60"/>
        <v>0</v>
      </c>
      <c r="AJ130">
        <f t="shared" si="61"/>
        <v>2.2946663566513208</v>
      </c>
      <c r="AK130">
        <f t="shared" si="62"/>
        <v>23.649514442844662</v>
      </c>
      <c r="AL130">
        <f>IF(E130&gt;Assumptions!$B$9,0,SUMPRODUCT($P$2:$X$2,Assumptions!$A$43:$I$43)/$I$2*O129*K130)</f>
        <v>3.8906977421964468</v>
      </c>
      <c r="AM130">
        <f t="shared" si="63"/>
        <v>0</v>
      </c>
      <c r="AN130">
        <f t="shared" si="64"/>
        <v>29.834878541692429</v>
      </c>
      <c r="AO130">
        <f>IF(E130&gt;Assumptions!$B$9,0,($V$2+$X$2)/$I$2*O129*K130*Assumptions!$B$46)</f>
        <v>0</v>
      </c>
      <c r="AP130">
        <f>IF(B130&gt;$AF$2,0,AP129*(1+Assumptions!$B$52)^(1/12))</f>
        <v>1.1037065587536545</v>
      </c>
      <c r="AQ130" s="29">
        <f>IF(B130&gt;$AF$2,0,O129*Assumptions!$B$48/12*AP129+AR130*Assumptions!$B$50/12)</f>
        <v>11.692465831556666</v>
      </c>
      <c r="AR130" s="31">
        <f t="shared" si="65"/>
        <v>7781.49720161409</v>
      </c>
      <c r="AS130">
        <f t="shared" si="48"/>
        <v>7907.1177729388319</v>
      </c>
      <c r="AT130">
        <f t="shared" si="66"/>
        <v>13.939466338654775</v>
      </c>
      <c r="AU130" s="19">
        <f t="shared" si="67"/>
        <v>7791.4396677905288</v>
      </c>
      <c r="AV130" s="19">
        <f t="shared" si="68"/>
        <v>7904.2061148427656</v>
      </c>
      <c r="AW130">
        <f t="shared" si="69"/>
        <v>-135.17558814774412</v>
      </c>
      <c r="AX130">
        <f>IF(B130&gt;$AF$2,0,HLOOKUP(YEAR(A130),Assumptions!$A$34:$AL$37,2,TRUE)/100)</f>
        <v>1.5863000000000002E-2</v>
      </c>
      <c r="AY130" s="32">
        <f>1/(1+HLOOKUP(YEAR(A130),Assumptions!$A$27:$AL$29,3,TRUE))^(1/12)</f>
        <v>0.99871316197380999</v>
      </c>
      <c r="AZ130" s="30">
        <f t="shared" si="49"/>
        <v>8925.9931397245582</v>
      </c>
      <c r="BA130">
        <f>IF(B130&gt;$AF$2,0,IF($E$2=0,(T130*Z130+(1-T130)*AA130)*$J$2*Assumptions!$B$20,0))</f>
        <v>0</v>
      </c>
    </row>
    <row r="131" spans="1:53" x14ac:dyDescent="0.25">
      <c r="A131" s="17">
        <f t="shared" si="50"/>
        <v>46752</v>
      </c>
      <c r="B131">
        <f t="shared" si="42"/>
        <v>350</v>
      </c>
      <c r="C131">
        <f t="shared" si="43"/>
        <v>29.083333333333332</v>
      </c>
      <c r="D131">
        <f t="shared" si="71"/>
        <v>0</v>
      </c>
      <c r="E131">
        <f t="shared" si="44"/>
        <v>52</v>
      </c>
      <c r="F131">
        <f>IF(C131&gt;=$H$2,0,VLOOKUP($E131,'Mortality Table'!$A$3:$C$128,2+AB$2,FALSE))</f>
        <v>1.8298000000000001E-3</v>
      </c>
      <c r="G131">
        <f>F131*Assumptions!$B$1</f>
        <v>1.9807585000000002E-3</v>
      </c>
      <c r="H131">
        <f t="shared" si="51"/>
        <v>1.6521325048846069E-4</v>
      </c>
      <c r="I131">
        <f t="shared" si="72"/>
        <v>1.1422325145853353E-4</v>
      </c>
      <c r="J131">
        <f>HLOOKUP(C131,Assumptions!$A$6:$J$7,2,TRUE)</f>
        <v>3.5200000000000002E-2</v>
      </c>
      <c r="K131" s="18">
        <f t="shared" si="45"/>
        <v>1</v>
      </c>
      <c r="L131" s="18">
        <f t="shared" si="52"/>
        <v>8.3333333333333329E-2</v>
      </c>
      <c r="M131" s="18">
        <f t="shared" si="73"/>
        <v>2.9817501439168836E-3</v>
      </c>
      <c r="N131">
        <f t="shared" si="74"/>
        <v>2.0643958459536137E-3</v>
      </c>
      <c r="O131" s="20">
        <f t="shared" si="75"/>
        <v>0.69022225058238718</v>
      </c>
      <c r="P131">
        <f>IF(B131&gt;$AF$2,0,O130*($E$2+IF(E131&lt;=Assumptions!$B$9,$D$2,0))/$I$2*K131)</f>
        <v>35.462464542100385</v>
      </c>
      <c r="Q131">
        <f t="shared" si="53"/>
        <v>26.1</v>
      </c>
      <c r="R131">
        <f>IF(B131&gt;$AF$2,0,IF($Y$2=1,(SUMIF('Mortality Tarif Male'!A:A,E132,'Mortality Tarif Male'!G:G)-SUMIF('Mortality Tarif Male'!A:A,$C$2+$H$2,'Mortality Tarif Male'!G:G)+SUMIF('Mortality Tarif Male'!A:A,$C$2+$H$2,'Mortality Tarif Male'!D:D))/SUMIF('Mortality Tarif Male'!A:A,E132,'Mortality Tarif Male'!D:D),(SUMIF('Mortality Tarif Female'!A:A,E132,'Mortality Tarif Female'!G:G)-SUMIF('Mortality Tarif Female'!A:A,$C$2+$H$2,'Mortality Tarif Female'!G:G)+SUMIF('Mortality Tarif Female'!A:A,$C$2+$H$2,'Mortality Tarif Female'!D:D))/SUMIF('Mortality Tarif Female'!A:A,E132,'Mortality Tarif Female'!D:D)))</f>
        <v>0.68993591668818599</v>
      </c>
      <c r="S131">
        <f>IF(B131&gt;=$AF$2,0,IF($Y$2=1,(SUMIF('Mortality Tarif Male'!A:A,E132+1,'Mortality Tarif Male'!G:G)-SUMIF('Mortality Tarif Male'!A:A,$C$2+$H$2,'Mortality Tarif Male'!G:G)+SUMIF('Mortality Tarif Male'!A:A,$C$2+$H$2,'Mortality Tarif Male'!D:D))/SUMIF('Mortality Tarif Male'!A:A,E132+1,'Mortality Tarif Male'!D:D),(SUMIF('Mortality Tarif Female'!A:A,E132+1,'Mortality Tarif Female'!G:G)-SUMIF('Mortality Tarif Female'!A:A,$C$2+$H$2,'Mortality Tarif Female'!G:G)+SUMIF('Mortality Tarif Female'!A:A,$C$2+$H$2,'Mortality Tarif Female'!D:D))/SUMIF('Mortality Tarif Female'!A:A,E132+1,'Mortality Tarif Female'!D:D)))</f>
        <v>0.71339525769249212</v>
      </c>
      <c r="T131">
        <f t="shared" si="54"/>
        <v>0.83333333333333215</v>
      </c>
      <c r="U131">
        <f t="shared" si="55"/>
        <v>0.6938458068555704</v>
      </c>
      <c r="V131">
        <f t="shared" si="56"/>
        <v>13876.916137111408</v>
      </c>
      <c r="W131">
        <f t="shared" si="46"/>
        <v>18.109375558930388</v>
      </c>
      <c r="X131">
        <f t="shared" si="47"/>
        <v>0</v>
      </c>
      <c r="Y131">
        <f>IF(B131&gt;$AF$2,0,IF(X132=0,0,(1-X132)*($E$2+IF(E131&lt;=Assumptions!$B$9,$D$2,0))/$I$2*1/(1+$AG$2)*1/(1+Assumptions!$B$11)))</f>
        <v>0</v>
      </c>
      <c r="Z131">
        <f>IF(B131&gt;$AF$2,0,IF($Y$2=1,(SUMIF('Mortality Tarif Male'!A:A,E132,'Mortality Tarif Male'!E:E)-SUMIF('Mortality Tarif Male'!A:A,$C$2+$H$2,'Mortality Tarif Male'!E:E))/SUMIF('Mortality Tarif Male'!A:A,E132,'Mortality Tarif Male'!D:D),(SUMIF('Mortality Tarif Female'!A:A,E132,'Mortality Tarif Female'!E:E)-SUMIF('Mortality Tarif Female'!A:A,$C$2+$H$2,'Mortality Tarif Female'!E:E))/SUMIF('Mortality Tarif Female'!A:A,E132,'Mortality Tarif Female'!D:D)))</f>
        <v>9.1852633458687478</v>
      </c>
      <c r="AA131">
        <f>IF(B131&gt;=$AF$2,0,IF($Y$2=1,(SUMIF('Mortality Tarif Male'!A:A,E132+1,'Mortality Tarif Male'!E:E)-SUMIF('Mortality Tarif Male'!A:A,$C$2+$H$2,'Mortality Tarif Male'!E:E))/SUMIF('Mortality Tarif Male'!A:A,E132+1,'Mortality Tarif Male'!D:D),(SUMIF('Mortality Tarif Female'!A:A,E132+1,'Mortality Tarif Female'!E:E)-SUMIF('Mortality Tarif Female'!A:A,$C$2+$H$2,'Mortality Tarif Female'!E:E))/SUMIF('Mortality Tarif Female'!A:A,E132+1,'Mortality Tarif Female'!D:D)))</f>
        <v>8.4909785042490427</v>
      </c>
      <c r="AB131">
        <f t="shared" si="41"/>
        <v>2184.1720280218519</v>
      </c>
      <c r="AC131">
        <f>IF(B131&gt;=$AF$2,0,MIN(1/3*(V131+W131+Y131-AB131),(V131-AB131),(T131*Z131+(1-T131)*AA131)*$AH$2*Assumptions!$B$22))</f>
        <v>236.40669683982</v>
      </c>
      <c r="AD131">
        <f t="shared" si="57"/>
        <v>11474.446787808665</v>
      </c>
      <c r="AE131">
        <f t="shared" si="58"/>
        <v>11710.853484648485</v>
      </c>
      <c r="AF131">
        <f t="shared" si="59"/>
        <v>11474.446787808665</v>
      </c>
      <c r="AG131" s="26">
        <f t="shared" si="70"/>
        <v>11180.988640369656</v>
      </c>
      <c r="AH131" s="27">
        <f>IF(B131&gt;$AF$2,0,HLOOKUP(YEAR(A131),Assumptions!$A$34:$AL$37,4,TRUE)/100)</f>
        <v>9.8630000000000002E-3</v>
      </c>
      <c r="AI131">
        <f t="shared" si="60"/>
        <v>0</v>
      </c>
      <c r="AJ131">
        <f t="shared" si="61"/>
        <v>2.2874462560337383</v>
      </c>
      <c r="AK131">
        <f t="shared" si="62"/>
        <v>23.687800283367995</v>
      </c>
      <c r="AL131">
        <f>IF(E131&gt;Assumptions!$B$9,0,SUMPRODUCT($P$2:$X$2,Assumptions!$A$43:$I$43)/$I$2*O130*K131)</f>
        <v>3.878455775476608</v>
      </c>
      <c r="AM131">
        <f t="shared" si="63"/>
        <v>0</v>
      </c>
      <c r="AN131">
        <f t="shared" si="64"/>
        <v>29.85370231487834</v>
      </c>
      <c r="AO131">
        <f>IF(E131&gt;Assumptions!$B$9,0,($V$2+$X$2)/$I$2*O130*K131*Assumptions!$B$46)</f>
        <v>0</v>
      </c>
      <c r="AP131">
        <f>IF(B131&gt;$AF$2,0,AP130*(1+Assumptions!$B$52)^(1/12))</f>
        <v>1.1046221254111945</v>
      </c>
      <c r="AQ131" s="29">
        <f>IF(B131&gt;$AF$2,0,O130*Assumptions!$B$48/12*AP130+AR131*Assumptions!$B$50/12)</f>
        <v>11.669818305499984</v>
      </c>
      <c r="AR131" s="31">
        <f t="shared" si="65"/>
        <v>7781.9593352308848</v>
      </c>
      <c r="AS131">
        <f t="shared" si="48"/>
        <v>7919.9184860691403</v>
      </c>
      <c r="AT131">
        <f t="shared" si="66"/>
        <v>13.895606215273979</v>
      </c>
      <c r="AU131" s="19">
        <f t="shared" si="67"/>
        <v>7791.8563752522114</v>
      </c>
      <c r="AV131" s="19">
        <f t="shared" si="68"/>
        <v>7917.1349233786286</v>
      </c>
      <c r="AW131">
        <f t="shared" si="69"/>
        <v>0</v>
      </c>
      <c r="AX131">
        <f>IF(B131&gt;$AF$2,0,HLOOKUP(YEAR(A131),Assumptions!$A$34:$AL$37,2,TRUE)/100)</f>
        <v>1.5863000000000002E-2</v>
      </c>
      <c r="AY131" s="32">
        <f>1/(1+HLOOKUP(YEAR(A131),Assumptions!$A$27:$AL$29,3,TRUE))^(1/12)</f>
        <v>0.99871316197380999</v>
      </c>
      <c r="AZ131" s="30">
        <f t="shared" si="49"/>
        <v>8931.4331911024074</v>
      </c>
      <c r="BA131">
        <f>IF(B131&gt;$AF$2,0,IF($E$2=0,(T131*Z131+(1-T131)*AA131)*$J$2*Assumptions!$B$20,0))</f>
        <v>0</v>
      </c>
    </row>
    <row r="132" spans="1:53" x14ac:dyDescent="0.25">
      <c r="A132" s="17">
        <f t="shared" si="50"/>
        <v>46783</v>
      </c>
      <c r="B132">
        <f t="shared" si="42"/>
        <v>351</v>
      </c>
      <c r="C132">
        <f t="shared" si="43"/>
        <v>29.166666666666668</v>
      </c>
      <c r="D132">
        <f t="shared" si="71"/>
        <v>0</v>
      </c>
      <c r="E132">
        <f t="shared" si="44"/>
        <v>52</v>
      </c>
      <c r="F132">
        <f>IF(C132&gt;=$H$2,0,VLOOKUP($E132,'Mortality Table'!$A$3:$C$128,2+AB$2,FALSE))</f>
        <v>1.8298000000000001E-3</v>
      </c>
      <c r="G132">
        <f>F132*Assumptions!$B$1</f>
        <v>1.9807585000000002E-3</v>
      </c>
      <c r="H132">
        <f t="shared" si="51"/>
        <v>1.6521325048846069E-4</v>
      </c>
      <c r="I132">
        <f t="shared" si="72"/>
        <v>1.1386385133659095E-4</v>
      </c>
      <c r="J132">
        <f>HLOOKUP(C132,Assumptions!$A$6:$J$7,2,TRUE)</f>
        <v>3.5200000000000002E-2</v>
      </c>
      <c r="K132" s="18">
        <f t="shared" si="45"/>
        <v>1</v>
      </c>
      <c r="L132" s="18">
        <f t="shared" si="52"/>
        <v>8.3333333333333329E-2</v>
      </c>
      <c r="M132" s="18">
        <f t="shared" si="73"/>
        <v>2.9817501439168836E-3</v>
      </c>
      <c r="N132">
        <f t="shared" si="74"/>
        <v>2.0579002847670824E-3</v>
      </c>
      <c r="O132" s="20">
        <f t="shared" si="75"/>
        <v>0.68805048644628353</v>
      </c>
      <c r="P132">
        <f>IF(B132&gt;$AF$2,0,O131*($E$2+IF(E132&lt;=Assumptions!$B$9,$D$2,0))/$I$2*K132)</f>
        <v>35.35088293399459</v>
      </c>
      <c r="Q132">
        <f t="shared" si="53"/>
        <v>26.1</v>
      </c>
      <c r="R132">
        <f>IF(B132&gt;$AF$2,0,IF($Y$2=1,(SUMIF('Mortality Tarif Male'!A:A,E133,'Mortality Tarif Male'!G:G)-SUMIF('Mortality Tarif Male'!A:A,$C$2+$H$2,'Mortality Tarif Male'!G:G)+SUMIF('Mortality Tarif Male'!A:A,$C$2+$H$2,'Mortality Tarif Male'!D:D))/SUMIF('Mortality Tarif Male'!A:A,E133,'Mortality Tarif Male'!D:D),(SUMIF('Mortality Tarif Female'!A:A,E133,'Mortality Tarif Female'!G:G)-SUMIF('Mortality Tarif Female'!A:A,$C$2+$H$2,'Mortality Tarif Female'!G:G)+SUMIF('Mortality Tarif Female'!A:A,$C$2+$H$2,'Mortality Tarif Female'!D:D))/SUMIF('Mortality Tarif Female'!A:A,E133,'Mortality Tarif Female'!D:D)))</f>
        <v>0.68993591668818599</v>
      </c>
      <c r="S132">
        <f>IF(B132&gt;=$AF$2,0,IF($Y$2=1,(SUMIF('Mortality Tarif Male'!A:A,E133+1,'Mortality Tarif Male'!G:G)-SUMIF('Mortality Tarif Male'!A:A,$C$2+$H$2,'Mortality Tarif Male'!G:G)+SUMIF('Mortality Tarif Male'!A:A,$C$2+$H$2,'Mortality Tarif Male'!D:D))/SUMIF('Mortality Tarif Male'!A:A,E133+1,'Mortality Tarif Male'!D:D),(SUMIF('Mortality Tarif Female'!A:A,E133+1,'Mortality Tarif Female'!G:G)-SUMIF('Mortality Tarif Female'!A:A,$C$2+$H$2,'Mortality Tarif Female'!G:G)+SUMIF('Mortality Tarif Female'!A:A,$C$2+$H$2,'Mortality Tarif Female'!D:D))/SUMIF('Mortality Tarif Female'!A:A,E133+1,'Mortality Tarif Female'!D:D)))</f>
        <v>0.71339525769249212</v>
      </c>
      <c r="T132">
        <f t="shared" si="54"/>
        <v>0.75</v>
      </c>
      <c r="U132">
        <f t="shared" si="55"/>
        <v>0.6958007519392625</v>
      </c>
      <c r="V132">
        <f t="shared" si="56"/>
        <v>13916.01503878525</v>
      </c>
      <c r="W132">
        <f t="shared" si="46"/>
        <v>18.160399625614751</v>
      </c>
      <c r="X132">
        <f t="shared" si="47"/>
        <v>0</v>
      </c>
      <c r="Y132">
        <f>IF(B132&gt;$AF$2,0,IF(X133=0,0,(1-X133)*($E$2+IF(E132&lt;=Assumptions!$B$9,$D$2,0))/$I$2*1/(1+$AG$2)*1/(1+Assumptions!$B$11)))</f>
        <v>0</v>
      </c>
      <c r="Z132">
        <f>IF(B132&gt;$AF$2,0,IF($Y$2=1,(SUMIF('Mortality Tarif Male'!A:A,E133,'Mortality Tarif Male'!E:E)-SUMIF('Mortality Tarif Male'!A:A,$C$2+$H$2,'Mortality Tarif Male'!E:E))/SUMIF('Mortality Tarif Male'!A:A,E133,'Mortality Tarif Male'!D:D),(SUMIF('Mortality Tarif Female'!A:A,E133,'Mortality Tarif Female'!E:E)-SUMIF('Mortality Tarif Female'!A:A,$C$2+$H$2,'Mortality Tarif Female'!E:E))/SUMIF('Mortality Tarif Female'!A:A,E133,'Mortality Tarif Female'!D:D)))</f>
        <v>9.1852633458687478</v>
      </c>
      <c r="AA132">
        <f>IF(B132&gt;=$AF$2,0,IF($Y$2=1,(SUMIF('Mortality Tarif Male'!A:A,E133+1,'Mortality Tarif Male'!E:E)-SUMIF('Mortality Tarif Male'!A:A,$C$2+$H$2,'Mortality Tarif Male'!E:E))/SUMIF('Mortality Tarif Male'!A:A,E133+1,'Mortality Tarif Male'!D:D),(SUMIF('Mortality Tarif Female'!A:A,E133+1,'Mortality Tarif Female'!E:E)-SUMIF('Mortality Tarif Female'!A:A,$C$2+$H$2,'Mortality Tarif Female'!E:E))/SUMIF('Mortality Tarif Female'!A:A,E133+1,'Mortality Tarif Female'!D:D)))</f>
        <v>8.4909785042490427</v>
      </c>
      <c r="AB132">
        <f t="shared" si="41"/>
        <v>2170.2386128820899</v>
      </c>
      <c r="AC132">
        <f>IF(B132&gt;=$AF$2,0,MIN(1/3*(V132+W132+Y132-AB132),(V132-AB132),(T132*Z132+(1-T132)*AA132)*$AH$2*Assumptions!$B$22))</f>
        <v>234.8985955517212</v>
      </c>
      <c r="AD132">
        <f t="shared" si="57"/>
        <v>11529.038229977052</v>
      </c>
      <c r="AE132">
        <f t="shared" si="58"/>
        <v>11763.936825528774</v>
      </c>
      <c r="AF132">
        <f t="shared" si="59"/>
        <v>11529.038229977052</v>
      </c>
      <c r="AG132" s="26">
        <f t="shared" si="70"/>
        <v>0</v>
      </c>
      <c r="AH132" s="27">
        <f>IF(B132&gt;$AF$2,0,HLOOKUP(YEAR(A132),Assumptions!$A$34:$AL$37,4,TRUE)/100)</f>
        <v>1.0859000000000001E-2</v>
      </c>
      <c r="AI132">
        <f t="shared" si="60"/>
        <v>0</v>
      </c>
      <c r="AJ132">
        <f t="shared" si="61"/>
        <v>2.2802488732517037</v>
      </c>
      <c r="AK132">
        <f t="shared" si="62"/>
        <v>23.725611056560354</v>
      </c>
      <c r="AL132">
        <f>IF(E132&gt;Assumptions!$B$9,0,SUMPRODUCT($P$2:$X$2,Assumptions!$A$43:$I$43)/$I$2*O131*K132)</f>
        <v>3.8662523277472181</v>
      </c>
      <c r="AM132">
        <f t="shared" si="63"/>
        <v>0</v>
      </c>
      <c r="AN132">
        <f t="shared" si="64"/>
        <v>29.872112257559277</v>
      </c>
      <c r="AO132">
        <f>IF(E132&gt;Assumptions!$B$9,0,($V$2+$X$2)/$I$2*O131*K132*Assumptions!$B$46)</f>
        <v>0</v>
      </c>
      <c r="AP132">
        <f>IF(B132&gt;$AF$2,0,AP131*(1+Assumptions!$B$52)^(1/12))</f>
        <v>1.1055384515661733</v>
      </c>
      <c r="AQ132" s="29">
        <f>IF(B132&gt;$AF$2,0,O131*Assumptions!$B$48/12*AP131+AR132*Assumptions!$B$50/12)</f>
        <v>11.682865210573171</v>
      </c>
      <c r="AR132" s="31">
        <f t="shared" si="65"/>
        <v>7929.9041178378829</v>
      </c>
      <c r="AS132">
        <f t="shared" si="48"/>
        <v>7932.5603623935103</v>
      </c>
      <c r="AT132">
        <f t="shared" si="66"/>
        <v>13.851884096489359</v>
      </c>
      <c r="AU132" s="19">
        <f t="shared" si="67"/>
        <v>7939.7202514648143</v>
      </c>
      <c r="AV132" s="19">
        <f t="shared" si="68"/>
        <v>7929.9041178378829</v>
      </c>
      <c r="AW132">
        <f t="shared" si="69"/>
        <v>-11.696581556542622</v>
      </c>
      <c r="AX132">
        <f>IF(B132&gt;$AF$2,0,HLOOKUP(YEAR(A132),Assumptions!$A$34:$AL$37,2,TRUE)/100)</f>
        <v>1.6858999999999999E-2</v>
      </c>
      <c r="AY132" s="32">
        <f>1/(1+HLOOKUP(YEAR(A132),Assumptions!$A$27:$AL$29,3,TRUE))^(1/12)</f>
        <v>0.9986891543836689</v>
      </c>
      <c r="AZ132" s="30">
        <f t="shared" si="49"/>
        <v>8936.9521937849786</v>
      </c>
      <c r="BA132">
        <f>IF(B132&gt;$AF$2,0,IF($E$2=0,(T132*Z132+(1-T132)*AA132)*$J$2*Assumptions!$B$20,0))</f>
        <v>0</v>
      </c>
    </row>
    <row r="133" spans="1:53" x14ac:dyDescent="0.25">
      <c r="A133" s="17">
        <f t="shared" si="50"/>
        <v>46812</v>
      </c>
      <c r="B133">
        <f t="shared" si="42"/>
        <v>352</v>
      </c>
      <c r="C133">
        <f t="shared" si="43"/>
        <v>29.25</v>
      </c>
      <c r="D133">
        <f t="shared" si="71"/>
        <v>0</v>
      </c>
      <c r="E133">
        <f t="shared" si="44"/>
        <v>52</v>
      </c>
      <c r="F133">
        <f>IF(C133&gt;=$H$2,0,VLOOKUP($E133,'Mortality Table'!$A$3:$C$128,2+AB$2,FALSE))</f>
        <v>1.8298000000000001E-3</v>
      </c>
      <c r="G133">
        <f>F133*Assumptions!$B$1</f>
        <v>1.9807585000000002E-3</v>
      </c>
      <c r="H133">
        <f t="shared" si="51"/>
        <v>1.6521325048846069E-4</v>
      </c>
      <c r="I133">
        <f t="shared" si="72"/>
        <v>1.1350558205662672E-4</v>
      </c>
      <c r="J133">
        <f>HLOOKUP(C133,Assumptions!$A$6:$J$7,2,TRUE)</f>
        <v>3.5200000000000002E-2</v>
      </c>
      <c r="K133" s="18">
        <f t="shared" si="45"/>
        <v>1</v>
      </c>
      <c r="L133" s="18">
        <f t="shared" si="52"/>
        <v>8.3333333333333329E-2</v>
      </c>
      <c r="M133" s="18">
        <f t="shared" si="73"/>
        <v>2.9817501439168836E-3</v>
      </c>
      <c r="N133">
        <f t="shared" si="74"/>
        <v>2.0514251616739576E-3</v>
      </c>
      <c r="O133" s="20">
        <f t="shared" si="75"/>
        <v>0.68588555570255294</v>
      </c>
      <c r="P133">
        <f>IF(B133&gt;$AF$2,0,O132*($E$2+IF(E133&lt;=Assumptions!$B$9,$D$2,0))/$I$2*K133)</f>
        <v>35.239652414157149</v>
      </c>
      <c r="Q133">
        <f t="shared" si="53"/>
        <v>26.1</v>
      </c>
      <c r="R133">
        <f>IF(B133&gt;$AF$2,0,IF($Y$2=1,(SUMIF('Mortality Tarif Male'!A:A,E134,'Mortality Tarif Male'!G:G)-SUMIF('Mortality Tarif Male'!A:A,$C$2+$H$2,'Mortality Tarif Male'!G:G)+SUMIF('Mortality Tarif Male'!A:A,$C$2+$H$2,'Mortality Tarif Male'!D:D))/SUMIF('Mortality Tarif Male'!A:A,E134,'Mortality Tarif Male'!D:D),(SUMIF('Mortality Tarif Female'!A:A,E134,'Mortality Tarif Female'!G:G)-SUMIF('Mortality Tarif Female'!A:A,$C$2+$H$2,'Mortality Tarif Female'!G:G)+SUMIF('Mortality Tarif Female'!A:A,$C$2+$H$2,'Mortality Tarif Female'!D:D))/SUMIF('Mortality Tarif Female'!A:A,E134,'Mortality Tarif Female'!D:D)))</f>
        <v>0.68993591668818599</v>
      </c>
      <c r="S133">
        <f>IF(B133&gt;=$AF$2,0,IF($Y$2=1,(SUMIF('Mortality Tarif Male'!A:A,E134+1,'Mortality Tarif Male'!G:G)-SUMIF('Mortality Tarif Male'!A:A,$C$2+$H$2,'Mortality Tarif Male'!G:G)+SUMIF('Mortality Tarif Male'!A:A,$C$2+$H$2,'Mortality Tarif Male'!D:D))/SUMIF('Mortality Tarif Male'!A:A,E134+1,'Mortality Tarif Male'!D:D),(SUMIF('Mortality Tarif Female'!A:A,E134+1,'Mortality Tarif Female'!G:G)-SUMIF('Mortality Tarif Female'!A:A,$C$2+$H$2,'Mortality Tarif Female'!G:G)+SUMIF('Mortality Tarif Female'!A:A,$C$2+$H$2,'Mortality Tarif Female'!D:D))/SUMIF('Mortality Tarif Female'!A:A,E134+1,'Mortality Tarif Female'!D:D)))</f>
        <v>0.71339525769249212</v>
      </c>
      <c r="T133">
        <f t="shared" si="54"/>
        <v>0.66666666666666785</v>
      </c>
      <c r="U133">
        <f t="shared" si="55"/>
        <v>0.6977556970229547</v>
      </c>
      <c r="V133">
        <f t="shared" si="56"/>
        <v>13955.113940459094</v>
      </c>
      <c r="W133">
        <f t="shared" si="46"/>
        <v>18.211423692299118</v>
      </c>
      <c r="X133">
        <f t="shared" si="47"/>
        <v>0</v>
      </c>
      <c r="Y133">
        <f>IF(B133&gt;$AF$2,0,IF(X134=0,0,(1-X134)*($E$2+IF(E133&lt;=Assumptions!$B$9,$D$2,0))/$I$2*1/(1+$AG$2)*1/(1+Assumptions!$B$11)))</f>
        <v>0</v>
      </c>
      <c r="Z133">
        <f>IF(B133&gt;$AF$2,0,IF($Y$2=1,(SUMIF('Mortality Tarif Male'!A:A,E134,'Mortality Tarif Male'!E:E)-SUMIF('Mortality Tarif Male'!A:A,$C$2+$H$2,'Mortality Tarif Male'!E:E))/SUMIF('Mortality Tarif Male'!A:A,E134,'Mortality Tarif Male'!D:D),(SUMIF('Mortality Tarif Female'!A:A,E134,'Mortality Tarif Female'!E:E)-SUMIF('Mortality Tarif Female'!A:A,$C$2+$H$2,'Mortality Tarif Female'!E:E))/SUMIF('Mortality Tarif Female'!A:A,E134,'Mortality Tarif Female'!D:D)))</f>
        <v>9.1852633458687478</v>
      </c>
      <c r="AA133">
        <f>IF(B133&gt;=$AF$2,0,IF($Y$2=1,(SUMIF('Mortality Tarif Male'!A:A,E134+1,'Mortality Tarif Male'!E:E)-SUMIF('Mortality Tarif Male'!A:A,$C$2+$H$2,'Mortality Tarif Male'!E:E))/SUMIF('Mortality Tarif Male'!A:A,E134+1,'Mortality Tarif Male'!D:D),(SUMIF('Mortality Tarif Female'!A:A,E134+1,'Mortality Tarif Female'!E:E)-SUMIF('Mortality Tarif Female'!A:A,$C$2+$H$2,'Mortality Tarif Female'!E:E))/SUMIF('Mortality Tarif Female'!A:A,E134+1,'Mortality Tarif Female'!D:D)))</f>
        <v>8.4909785042490427</v>
      </c>
      <c r="AB133">
        <f t="shared" si="41"/>
        <v>2156.3051977423279</v>
      </c>
      <c r="AC133">
        <f>IF(B133&gt;=$AF$2,0,MIN(1/3*(V133+W133+Y133-AB133),(V133-AB133),(T133*Z133+(1-T133)*AA133)*$AH$2*Assumptions!$B$22))</f>
        <v>233.3904942636224</v>
      </c>
      <c r="AD133">
        <f t="shared" si="57"/>
        <v>11583.629672145444</v>
      </c>
      <c r="AE133">
        <f t="shared" si="58"/>
        <v>11817.020166409065</v>
      </c>
      <c r="AF133">
        <f t="shared" si="59"/>
        <v>11583.629672145444</v>
      </c>
      <c r="AG133" s="26">
        <f t="shared" si="70"/>
        <v>0</v>
      </c>
      <c r="AH133" s="27">
        <f>IF(B133&gt;$AF$2,0,HLOOKUP(YEAR(A133),Assumptions!$A$34:$AL$37,4,TRUE)/100)</f>
        <v>1.0859000000000001E-2</v>
      </c>
      <c r="AI133">
        <f t="shared" si="60"/>
        <v>0</v>
      </c>
      <c r="AJ133">
        <f t="shared" si="61"/>
        <v>2.2730741368242122</v>
      </c>
      <c r="AK133">
        <f t="shared" si="62"/>
        <v>23.762949372952217</v>
      </c>
      <c r="AL133">
        <f>IF(E133&gt;Assumptions!$B$9,0,SUMPRODUCT($P$2:$X$2,Assumptions!$A$43:$I$43)/$I$2*O132*K133)</f>
        <v>3.8540872778093989</v>
      </c>
      <c r="AM133">
        <f t="shared" si="63"/>
        <v>0</v>
      </c>
      <c r="AN133">
        <f t="shared" si="64"/>
        <v>29.890110787585829</v>
      </c>
      <c r="AO133">
        <f>IF(E133&gt;Assumptions!$B$9,0,($V$2+$X$2)/$I$2*O132*K133*Assumptions!$B$46)</f>
        <v>0</v>
      </c>
      <c r="AP133">
        <f>IF(B133&gt;$AF$2,0,AP132*(1+Assumptions!$B$52)^(1/12))</f>
        <v>1.1064555378486227</v>
      </c>
      <c r="AQ133" s="29">
        <f>IF(B133&gt;$AF$2,0,O132*Assumptions!$B$48/12*AP132+AR133*Assumptions!$B$50/12)</f>
        <v>11.660432314879451</v>
      </c>
      <c r="AR133" s="31">
        <f t="shared" si="65"/>
        <v>7930.8179931072318</v>
      </c>
      <c r="AS133">
        <f t="shared" si="48"/>
        <v>7945.0442747320585</v>
      </c>
      <c r="AT133">
        <f t="shared" si="66"/>
        <v>13.808299548073487</v>
      </c>
      <c r="AU133" s="19">
        <f t="shared" si="67"/>
        <v>7940.5889136584356</v>
      </c>
      <c r="AV133" s="19">
        <f t="shared" si="68"/>
        <v>7942.5145746637745</v>
      </c>
      <c r="AW133">
        <f t="shared" si="69"/>
        <v>-23.428155389167141</v>
      </c>
      <c r="AX133">
        <f>IF(B133&gt;$AF$2,0,HLOOKUP(YEAR(A133),Assumptions!$A$34:$AL$37,2,TRUE)/100)</f>
        <v>1.6858999999999999E-2</v>
      </c>
      <c r="AY133" s="32">
        <f>1/(1+HLOOKUP(YEAR(A133),Assumptions!$A$27:$AL$29,3,TRUE))^(1/12)</f>
        <v>0.9986891543836689</v>
      </c>
      <c r="AZ133" s="30">
        <f t="shared" si="49"/>
        <v>8942.3716443696903</v>
      </c>
      <c r="BA133">
        <f>IF(B133&gt;$AF$2,0,IF($E$2=0,(T133*Z133+(1-T133)*AA133)*$J$2*Assumptions!$B$20,0))</f>
        <v>0</v>
      </c>
    </row>
    <row r="134" spans="1:53" x14ac:dyDescent="0.25">
      <c r="A134" s="17">
        <f t="shared" si="50"/>
        <v>46843</v>
      </c>
      <c r="B134">
        <f t="shared" si="42"/>
        <v>353</v>
      </c>
      <c r="C134">
        <f t="shared" si="43"/>
        <v>29.333333333333332</v>
      </c>
      <c r="D134">
        <f t="shared" si="71"/>
        <v>0</v>
      </c>
      <c r="E134">
        <f t="shared" si="44"/>
        <v>52</v>
      </c>
      <c r="F134">
        <f>IF(C134&gt;=$H$2,0,VLOOKUP($E134,'Mortality Table'!$A$3:$C$128,2+AB$2,FALSE))</f>
        <v>1.8298000000000001E-3</v>
      </c>
      <c r="G134">
        <f>F134*Assumptions!$B$1</f>
        <v>1.9807585000000002E-3</v>
      </c>
      <c r="H134">
        <f t="shared" si="51"/>
        <v>1.6521325048846069E-4</v>
      </c>
      <c r="I134">
        <f t="shared" si="72"/>
        <v>1.131484400604796E-4</v>
      </c>
      <c r="J134">
        <f>HLOOKUP(C134,Assumptions!$A$6:$J$7,2,TRUE)</f>
        <v>3.5200000000000002E-2</v>
      </c>
      <c r="K134" s="18">
        <f t="shared" si="45"/>
        <v>1</v>
      </c>
      <c r="L134" s="18">
        <f t="shared" si="52"/>
        <v>8.3333333333333329E-2</v>
      </c>
      <c r="M134" s="18">
        <f t="shared" si="73"/>
        <v>2.9817501439168836E-3</v>
      </c>
      <c r="N134">
        <f t="shared" si="74"/>
        <v>2.0449704123663755E-3</v>
      </c>
      <c r="O134" s="20">
        <f t="shared" si="75"/>
        <v>0.68372743685012605</v>
      </c>
      <c r="P134">
        <f>IF(B134&gt;$AF$2,0,O133*($E$2+IF(E134&lt;=Assumptions!$B$9,$D$2,0))/$I$2*K134)</f>
        <v>35.128771877899077</v>
      </c>
      <c r="Q134">
        <f t="shared" si="53"/>
        <v>26.1</v>
      </c>
      <c r="R134">
        <f>IF(B134&gt;$AF$2,0,IF($Y$2=1,(SUMIF('Mortality Tarif Male'!A:A,E135,'Mortality Tarif Male'!G:G)-SUMIF('Mortality Tarif Male'!A:A,$C$2+$H$2,'Mortality Tarif Male'!G:G)+SUMIF('Mortality Tarif Male'!A:A,$C$2+$H$2,'Mortality Tarif Male'!D:D))/SUMIF('Mortality Tarif Male'!A:A,E135,'Mortality Tarif Male'!D:D),(SUMIF('Mortality Tarif Female'!A:A,E135,'Mortality Tarif Female'!G:G)-SUMIF('Mortality Tarif Female'!A:A,$C$2+$H$2,'Mortality Tarif Female'!G:G)+SUMIF('Mortality Tarif Female'!A:A,$C$2+$H$2,'Mortality Tarif Female'!D:D))/SUMIF('Mortality Tarif Female'!A:A,E135,'Mortality Tarif Female'!D:D)))</f>
        <v>0.68993591668818599</v>
      </c>
      <c r="S134">
        <f>IF(B134&gt;=$AF$2,0,IF($Y$2=1,(SUMIF('Mortality Tarif Male'!A:A,E135+1,'Mortality Tarif Male'!G:G)-SUMIF('Mortality Tarif Male'!A:A,$C$2+$H$2,'Mortality Tarif Male'!G:G)+SUMIF('Mortality Tarif Male'!A:A,$C$2+$H$2,'Mortality Tarif Male'!D:D))/SUMIF('Mortality Tarif Male'!A:A,E135+1,'Mortality Tarif Male'!D:D),(SUMIF('Mortality Tarif Female'!A:A,E135+1,'Mortality Tarif Female'!G:G)-SUMIF('Mortality Tarif Female'!A:A,$C$2+$H$2,'Mortality Tarif Female'!G:G)+SUMIF('Mortality Tarif Female'!A:A,$C$2+$H$2,'Mortality Tarif Female'!D:D))/SUMIF('Mortality Tarif Female'!A:A,E135+1,'Mortality Tarif Female'!D:D)))</f>
        <v>0.71339525769249212</v>
      </c>
      <c r="T134">
        <f t="shared" si="54"/>
        <v>0.58333333333333215</v>
      </c>
      <c r="U134">
        <f t="shared" si="55"/>
        <v>0.69971064210664691</v>
      </c>
      <c r="V134">
        <f t="shared" si="56"/>
        <v>13994.212842132938</v>
      </c>
      <c r="W134">
        <f t="shared" si="46"/>
        <v>18.262447758983484</v>
      </c>
      <c r="X134">
        <f t="shared" si="47"/>
        <v>0</v>
      </c>
      <c r="Y134">
        <f>IF(B134&gt;$AF$2,0,IF(X135=0,0,(1-X135)*($E$2+IF(E134&lt;=Assumptions!$B$9,$D$2,0))/$I$2*1/(1+$AG$2)*1/(1+Assumptions!$B$11)))</f>
        <v>0</v>
      </c>
      <c r="Z134">
        <f>IF(B134&gt;$AF$2,0,IF($Y$2=1,(SUMIF('Mortality Tarif Male'!A:A,E135,'Mortality Tarif Male'!E:E)-SUMIF('Mortality Tarif Male'!A:A,$C$2+$H$2,'Mortality Tarif Male'!E:E))/SUMIF('Mortality Tarif Male'!A:A,E135,'Mortality Tarif Male'!D:D),(SUMIF('Mortality Tarif Female'!A:A,E135,'Mortality Tarif Female'!E:E)-SUMIF('Mortality Tarif Female'!A:A,$C$2+$H$2,'Mortality Tarif Female'!E:E))/SUMIF('Mortality Tarif Female'!A:A,E135,'Mortality Tarif Female'!D:D)))</f>
        <v>9.1852633458687478</v>
      </c>
      <c r="AA134">
        <f>IF(B134&gt;=$AF$2,0,IF($Y$2=1,(SUMIF('Mortality Tarif Male'!A:A,E135+1,'Mortality Tarif Male'!E:E)-SUMIF('Mortality Tarif Male'!A:A,$C$2+$H$2,'Mortality Tarif Male'!E:E))/SUMIF('Mortality Tarif Male'!A:A,E135+1,'Mortality Tarif Male'!D:D),(SUMIF('Mortality Tarif Female'!A:A,E135+1,'Mortality Tarif Female'!E:E)-SUMIF('Mortality Tarif Female'!A:A,$C$2+$H$2,'Mortality Tarif Female'!E:E))/SUMIF('Mortality Tarif Female'!A:A,E135+1,'Mortality Tarif Female'!D:D)))</f>
        <v>8.4909785042490427</v>
      </c>
      <c r="AB134">
        <f t="shared" si="41"/>
        <v>2142.3717826025645</v>
      </c>
      <c r="AC134">
        <f>IF(B134&gt;=$AF$2,0,MIN(1/3*(V134+W134+Y134-AB134),(V134-AB134),(T134*Z134+(1-T134)*AA134)*$AH$2*Assumptions!$B$22))</f>
        <v>231.88239297552349</v>
      </c>
      <c r="AD134">
        <f t="shared" si="57"/>
        <v>11638.221114313834</v>
      </c>
      <c r="AE134">
        <f t="shared" si="58"/>
        <v>11870.103507289357</v>
      </c>
      <c r="AF134">
        <f t="shared" si="59"/>
        <v>11638.221114313834</v>
      </c>
      <c r="AG134" s="26">
        <f t="shared" si="70"/>
        <v>0</v>
      </c>
      <c r="AH134" s="27">
        <f>IF(B134&gt;$AF$2,0,HLOOKUP(YEAR(A134),Assumptions!$A$34:$AL$37,4,TRUE)/100)</f>
        <v>1.0859000000000001E-2</v>
      </c>
      <c r="AI134">
        <f t="shared" si="60"/>
        <v>0</v>
      </c>
      <c r="AJ134">
        <f t="shared" si="61"/>
        <v>2.2659219754951705</v>
      </c>
      <c r="AK134">
        <f t="shared" si="62"/>
        <v>23.799817831349419</v>
      </c>
      <c r="AL134">
        <f>IF(E134&gt;Assumptions!$B$9,0,SUMPRODUCT($P$2:$X$2,Assumptions!$A$43:$I$43)/$I$2*O133*K134)</f>
        <v>3.841960504845622</v>
      </c>
      <c r="AM134">
        <f t="shared" si="63"/>
        <v>0</v>
      </c>
      <c r="AN134">
        <f t="shared" si="64"/>
        <v>29.907700311690213</v>
      </c>
      <c r="AO134">
        <f>IF(E134&gt;Assumptions!$B$9,0,($V$2+$X$2)/$I$2*O133*K134*Assumptions!$B$46)</f>
        <v>0</v>
      </c>
      <c r="AP134">
        <f>IF(B134&gt;$AF$2,0,AP133*(1+Assumptions!$B$52)^(1/12))</f>
        <v>1.1073733848890974</v>
      </c>
      <c r="AQ134" s="29">
        <f>IF(B134&gt;$AF$2,0,O133*Assumptions!$B$48/12*AP133+AR134*Assumptions!$B$50/12)</f>
        <v>11.638005358319896</v>
      </c>
      <c r="AR134" s="31">
        <f t="shared" si="65"/>
        <v>7931.5390109752107</v>
      </c>
      <c r="AS134">
        <f t="shared" si="48"/>
        <v>7957.3710919848154</v>
      </c>
      <c r="AT134">
        <f t="shared" si="66"/>
        <v>13.764852137165217</v>
      </c>
      <c r="AU134" s="19">
        <f t="shared" si="67"/>
        <v>7941.2649253576255</v>
      </c>
      <c r="AV134" s="19">
        <f t="shared" si="68"/>
        <v>7954.9671663643776</v>
      </c>
      <c r="AW134">
        <f t="shared" si="69"/>
        <v>-35.19453687184631</v>
      </c>
      <c r="AX134">
        <f>IF(B134&gt;$AF$2,0,HLOOKUP(YEAR(A134),Assumptions!$A$34:$AL$37,2,TRUE)/100)</f>
        <v>1.6858999999999999E-2</v>
      </c>
      <c r="AY134" s="32">
        <f>1/(1+HLOOKUP(YEAR(A134),Assumptions!$A$27:$AL$29,3,TRUE))^(1/12)</f>
        <v>0.9986891543836689</v>
      </c>
      <c r="AZ134" s="30">
        <f t="shared" si="49"/>
        <v>8947.6921652381934</v>
      </c>
      <c r="BA134">
        <f>IF(B134&gt;$AF$2,0,IF($E$2=0,(T134*Z134+(1-T134)*AA134)*$J$2*Assumptions!$B$20,0))</f>
        <v>0</v>
      </c>
    </row>
    <row r="135" spans="1:53" x14ac:dyDescent="0.25">
      <c r="A135" s="17">
        <f t="shared" si="50"/>
        <v>46873</v>
      </c>
      <c r="B135">
        <f t="shared" si="42"/>
        <v>354</v>
      </c>
      <c r="C135">
        <f t="shared" si="43"/>
        <v>29.416666666666668</v>
      </c>
      <c r="D135">
        <f t="shared" si="71"/>
        <v>0</v>
      </c>
      <c r="E135">
        <f t="shared" si="44"/>
        <v>52</v>
      </c>
      <c r="F135">
        <f>IF(C135&gt;=$H$2,0,VLOOKUP($E135,'Mortality Table'!$A$3:$C$128,2+AB$2,FALSE))</f>
        <v>1.8298000000000001E-3</v>
      </c>
      <c r="G135">
        <f>F135*Assumptions!$B$1</f>
        <v>1.9807585000000002E-3</v>
      </c>
      <c r="H135">
        <f t="shared" si="51"/>
        <v>1.6521325048846069E-4</v>
      </c>
      <c r="I135">
        <f t="shared" si="72"/>
        <v>1.1279242180118399E-4</v>
      </c>
      <c r="J135">
        <f>HLOOKUP(C135,Assumptions!$A$6:$J$7,2,TRUE)</f>
        <v>3.5200000000000002E-2</v>
      </c>
      <c r="K135" s="18">
        <f t="shared" si="45"/>
        <v>1</v>
      </c>
      <c r="L135" s="18">
        <f t="shared" si="52"/>
        <v>8.3333333333333329E-2</v>
      </c>
      <c r="M135" s="18">
        <f t="shared" si="73"/>
        <v>2.9817501439168836E-3</v>
      </c>
      <c r="N135">
        <f t="shared" si="74"/>
        <v>2.0385359727388163E-3</v>
      </c>
      <c r="O135" s="20">
        <f t="shared" si="75"/>
        <v>0.68157610845558603</v>
      </c>
      <c r="P135">
        <f>IF(B135&gt;$AF$2,0,O134*($E$2+IF(E135&lt;=Assumptions!$B$9,$D$2,0))/$I$2*K135)</f>
        <v>35.018240224007286</v>
      </c>
      <c r="Q135">
        <f t="shared" si="53"/>
        <v>26.1</v>
      </c>
      <c r="R135">
        <f>IF(B135&gt;$AF$2,0,IF($Y$2=1,(SUMIF('Mortality Tarif Male'!A:A,E136,'Mortality Tarif Male'!G:G)-SUMIF('Mortality Tarif Male'!A:A,$C$2+$H$2,'Mortality Tarif Male'!G:G)+SUMIF('Mortality Tarif Male'!A:A,$C$2+$H$2,'Mortality Tarif Male'!D:D))/SUMIF('Mortality Tarif Male'!A:A,E136,'Mortality Tarif Male'!D:D),(SUMIF('Mortality Tarif Female'!A:A,E136,'Mortality Tarif Female'!G:G)-SUMIF('Mortality Tarif Female'!A:A,$C$2+$H$2,'Mortality Tarif Female'!G:G)+SUMIF('Mortality Tarif Female'!A:A,$C$2+$H$2,'Mortality Tarif Female'!D:D))/SUMIF('Mortality Tarif Female'!A:A,E136,'Mortality Tarif Female'!D:D)))</f>
        <v>0.68993591668818599</v>
      </c>
      <c r="S135">
        <f>IF(B135&gt;=$AF$2,0,IF($Y$2=1,(SUMIF('Mortality Tarif Male'!A:A,E136+1,'Mortality Tarif Male'!G:G)-SUMIF('Mortality Tarif Male'!A:A,$C$2+$H$2,'Mortality Tarif Male'!G:G)+SUMIF('Mortality Tarif Male'!A:A,$C$2+$H$2,'Mortality Tarif Male'!D:D))/SUMIF('Mortality Tarif Male'!A:A,E136+1,'Mortality Tarif Male'!D:D),(SUMIF('Mortality Tarif Female'!A:A,E136+1,'Mortality Tarif Female'!G:G)-SUMIF('Mortality Tarif Female'!A:A,$C$2+$H$2,'Mortality Tarif Female'!G:G)+SUMIF('Mortality Tarif Female'!A:A,$C$2+$H$2,'Mortality Tarif Female'!D:D))/SUMIF('Mortality Tarif Female'!A:A,E136+1,'Mortality Tarif Female'!D:D)))</f>
        <v>0.71339525769249212</v>
      </c>
      <c r="T135">
        <f t="shared" si="54"/>
        <v>0.5</v>
      </c>
      <c r="U135">
        <f t="shared" si="55"/>
        <v>0.701665587190339</v>
      </c>
      <c r="V135">
        <f t="shared" si="56"/>
        <v>14033.31174380678</v>
      </c>
      <c r="W135">
        <f t="shared" si="46"/>
        <v>18.31347182566785</v>
      </c>
      <c r="X135">
        <f t="shared" si="47"/>
        <v>0</v>
      </c>
      <c r="Y135">
        <f>IF(B135&gt;$AF$2,0,IF(X136=0,0,(1-X136)*($E$2+IF(E135&lt;=Assumptions!$B$9,$D$2,0))/$I$2*1/(1+$AG$2)*1/(1+Assumptions!$B$11)))</f>
        <v>0</v>
      </c>
      <c r="Z135">
        <f>IF(B135&gt;$AF$2,0,IF($Y$2=1,(SUMIF('Mortality Tarif Male'!A:A,E136,'Mortality Tarif Male'!E:E)-SUMIF('Mortality Tarif Male'!A:A,$C$2+$H$2,'Mortality Tarif Male'!E:E))/SUMIF('Mortality Tarif Male'!A:A,E136,'Mortality Tarif Male'!D:D),(SUMIF('Mortality Tarif Female'!A:A,E136,'Mortality Tarif Female'!E:E)-SUMIF('Mortality Tarif Female'!A:A,$C$2+$H$2,'Mortality Tarif Female'!E:E))/SUMIF('Mortality Tarif Female'!A:A,E136,'Mortality Tarif Female'!D:D)))</f>
        <v>9.1852633458687478</v>
      </c>
      <c r="AA135">
        <f>IF(B135&gt;=$AF$2,0,IF($Y$2=1,(SUMIF('Mortality Tarif Male'!A:A,E136+1,'Mortality Tarif Male'!E:E)-SUMIF('Mortality Tarif Male'!A:A,$C$2+$H$2,'Mortality Tarif Male'!E:E))/SUMIF('Mortality Tarif Male'!A:A,E136+1,'Mortality Tarif Male'!D:D),(SUMIF('Mortality Tarif Female'!A:A,E136+1,'Mortality Tarif Female'!E:E)-SUMIF('Mortality Tarif Female'!A:A,$C$2+$H$2,'Mortality Tarif Female'!E:E))/SUMIF('Mortality Tarif Female'!A:A,E136+1,'Mortality Tarif Female'!D:D)))</f>
        <v>8.4909785042490427</v>
      </c>
      <c r="AB135">
        <f t="shared" si="41"/>
        <v>2128.4383674628025</v>
      </c>
      <c r="AC135">
        <f>IF(B135&gt;=$AF$2,0,MIN(1/3*(V135+W135+Y135-AB135),(V135-AB135),(T135*Z135+(1-T135)*AA135)*$AH$2*Assumptions!$B$22))</f>
        <v>230.37429168742466</v>
      </c>
      <c r="AD135">
        <f t="shared" si="57"/>
        <v>11692.81255648222</v>
      </c>
      <c r="AE135">
        <f t="shared" si="58"/>
        <v>11923.186848169646</v>
      </c>
      <c r="AF135">
        <f t="shared" si="59"/>
        <v>11692.81255648222</v>
      </c>
      <c r="AG135" s="26">
        <f t="shared" si="70"/>
        <v>0</v>
      </c>
      <c r="AH135" s="27">
        <f>IF(B135&gt;$AF$2,0,HLOOKUP(YEAR(A135),Assumptions!$A$34:$AL$37,4,TRUE)/100)</f>
        <v>1.0859000000000001E-2</v>
      </c>
      <c r="AI135">
        <f t="shared" si="60"/>
        <v>0</v>
      </c>
      <c r="AJ135">
        <f t="shared" si="61"/>
        <v>2.2587923182326906</v>
      </c>
      <c r="AK135">
        <f t="shared" si="62"/>
        <v>23.836219018881128</v>
      </c>
      <c r="AL135">
        <f>IF(E135&gt;Assumptions!$B$9,0,SUMPRODUCT($P$2:$X$2,Assumptions!$A$43:$I$43)/$I$2*O134*K135)</f>
        <v>3.8298718884185066</v>
      </c>
      <c r="AM135">
        <f t="shared" si="63"/>
        <v>0</v>
      </c>
      <c r="AN135">
        <f t="shared" si="64"/>
        <v>29.924883225532323</v>
      </c>
      <c r="AO135">
        <f>IF(E135&gt;Assumptions!$B$9,0,($V$2+$X$2)/$I$2*O134*K135*Assumptions!$B$46)</f>
        <v>0</v>
      </c>
      <c r="AP135">
        <f>IF(B135&gt;$AF$2,0,AP134*(1+Assumptions!$B$52)^(1/12))</f>
        <v>1.1082919933186755</v>
      </c>
      <c r="AQ135" s="29">
        <f>IF(B135&gt;$AF$2,0,O134*Assumptions!$B$48/12*AP134+AR135*Assumptions!$B$50/12)</f>
        <v>11.615584473537988</v>
      </c>
      <c r="AR135" s="31">
        <f t="shared" si="65"/>
        <v>7932.0682246568158</v>
      </c>
      <c r="AS135">
        <f t="shared" si="48"/>
        <v>7969.5416791477637</v>
      </c>
      <c r="AT135">
        <f t="shared" si="66"/>
        <v>13.721541432265395</v>
      </c>
      <c r="AU135" s="19">
        <f t="shared" si="67"/>
        <v>7941.7493389750198</v>
      </c>
      <c r="AV135" s="19">
        <f t="shared" si="68"/>
        <v>7967.2627615286619</v>
      </c>
      <c r="AW135">
        <f t="shared" si="69"/>
        <v>-46.995542404935051</v>
      </c>
      <c r="AX135">
        <f>IF(B135&gt;$AF$2,0,HLOOKUP(YEAR(A135),Assumptions!$A$34:$AL$37,2,TRUE)/100)</f>
        <v>1.6858999999999999E-2</v>
      </c>
      <c r="AY135" s="32">
        <f>1/(1+HLOOKUP(YEAR(A135),Assumptions!$A$27:$AL$29,3,TRUE))^(1/12)</f>
        <v>0.9986891543836689</v>
      </c>
      <c r="AZ135" s="30">
        <f t="shared" si="49"/>
        <v>8952.914375959539</v>
      </c>
      <c r="BA135">
        <f>IF(B135&gt;$AF$2,0,IF($E$2=0,(T135*Z135+(1-T135)*AA135)*$J$2*Assumptions!$B$20,0))</f>
        <v>0</v>
      </c>
    </row>
    <row r="136" spans="1:53" x14ac:dyDescent="0.25">
      <c r="A136" s="17">
        <f t="shared" si="50"/>
        <v>46904</v>
      </c>
      <c r="B136">
        <f t="shared" si="42"/>
        <v>355</v>
      </c>
      <c r="C136">
        <f t="shared" si="43"/>
        <v>29.5</v>
      </c>
      <c r="D136">
        <f t="shared" si="71"/>
        <v>0</v>
      </c>
      <c r="E136">
        <f t="shared" si="44"/>
        <v>52</v>
      </c>
      <c r="F136">
        <f>IF(C136&gt;=$H$2,0,VLOOKUP($E136,'Mortality Table'!$A$3:$C$128,2+AB$2,FALSE))</f>
        <v>1.8298000000000001E-3</v>
      </c>
      <c r="G136">
        <f>F136*Assumptions!$B$1</f>
        <v>1.9807585000000002E-3</v>
      </c>
      <c r="H136">
        <f t="shared" si="51"/>
        <v>1.6521325048846069E-4</v>
      </c>
      <c r="I136">
        <f t="shared" si="72"/>
        <v>1.1243752374293479E-4</v>
      </c>
      <c r="J136">
        <f>HLOOKUP(C136,Assumptions!$A$6:$J$7,2,TRUE)</f>
        <v>3.5200000000000002E-2</v>
      </c>
      <c r="K136" s="18">
        <f t="shared" si="45"/>
        <v>1</v>
      </c>
      <c r="L136" s="18">
        <f t="shared" si="52"/>
        <v>8.3333333333333329E-2</v>
      </c>
      <c r="M136" s="18">
        <f t="shared" si="73"/>
        <v>2.9817501439168836E-3</v>
      </c>
      <c r="N136">
        <f t="shared" si="74"/>
        <v>2.0321217788874654E-3</v>
      </c>
      <c r="O136" s="20">
        <f t="shared" si="75"/>
        <v>0.67943154915295567</v>
      </c>
      <c r="P136">
        <f>IF(B136&gt;$AF$2,0,O135*($E$2+IF(E136&lt;=Assumptions!$B$9,$D$2,0))/$I$2*K136)</f>
        <v>34.908056354733596</v>
      </c>
      <c r="Q136">
        <f t="shared" si="53"/>
        <v>26.1</v>
      </c>
      <c r="R136">
        <f>IF(B136&gt;$AF$2,0,IF($Y$2=1,(SUMIF('Mortality Tarif Male'!A:A,E137,'Mortality Tarif Male'!G:G)-SUMIF('Mortality Tarif Male'!A:A,$C$2+$H$2,'Mortality Tarif Male'!G:G)+SUMIF('Mortality Tarif Male'!A:A,$C$2+$H$2,'Mortality Tarif Male'!D:D))/SUMIF('Mortality Tarif Male'!A:A,E137,'Mortality Tarif Male'!D:D),(SUMIF('Mortality Tarif Female'!A:A,E137,'Mortality Tarif Female'!G:G)-SUMIF('Mortality Tarif Female'!A:A,$C$2+$H$2,'Mortality Tarif Female'!G:G)+SUMIF('Mortality Tarif Female'!A:A,$C$2+$H$2,'Mortality Tarif Female'!D:D))/SUMIF('Mortality Tarif Female'!A:A,E137,'Mortality Tarif Female'!D:D)))</f>
        <v>0.68993591668818599</v>
      </c>
      <c r="S136">
        <f>IF(B136&gt;=$AF$2,0,IF($Y$2=1,(SUMIF('Mortality Tarif Male'!A:A,E137+1,'Mortality Tarif Male'!G:G)-SUMIF('Mortality Tarif Male'!A:A,$C$2+$H$2,'Mortality Tarif Male'!G:G)+SUMIF('Mortality Tarif Male'!A:A,$C$2+$H$2,'Mortality Tarif Male'!D:D))/SUMIF('Mortality Tarif Male'!A:A,E137+1,'Mortality Tarif Male'!D:D),(SUMIF('Mortality Tarif Female'!A:A,E137+1,'Mortality Tarif Female'!G:G)-SUMIF('Mortality Tarif Female'!A:A,$C$2+$H$2,'Mortality Tarif Female'!G:G)+SUMIF('Mortality Tarif Female'!A:A,$C$2+$H$2,'Mortality Tarif Female'!D:D))/SUMIF('Mortality Tarif Female'!A:A,E137+1,'Mortality Tarif Female'!D:D)))</f>
        <v>0.71339525769249212</v>
      </c>
      <c r="T136">
        <f t="shared" si="54"/>
        <v>0.41666666666666785</v>
      </c>
      <c r="U136">
        <f t="shared" si="55"/>
        <v>0.70362053227403121</v>
      </c>
      <c r="V136">
        <f t="shared" si="56"/>
        <v>14072.410645480624</v>
      </c>
      <c r="W136">
        <f t="shared" si="46"/>
        <v>18.364495892352217</v>
      </c>
      <c r="X136">
        <f t="shared" si="47"/>
        <v>0</v>
      </c>
      <c r="Y136">
        <f>IF(B136&gt;$AF$2,0,IF(X137=0,0,(1-X137)*($E$2+IF(E136&lt;=Assumptions!$B$9,$D$2,0))/$I$2*1/(1+$AG$2)*1/(1+Assumptions!$B$11)))</f>
        <v>0</v>
      </c>
      <c r="Z136">
        <f>IF(B136&gt;$AF$2,0,IF($Y$2=1,(SUMIF('Mortality Tarif Male'!A:A,E137,'Mortality Tarif Male'!E:E)-SUMIF('Mortality Tarif Male'!A:A,$C$2+$H$2,'Mortality Tarif Male'!E:E))/SUMIF('Mortality Tarif Male'!A:A,E137,'Mortality Tarif Male'!D:D),(SUMIF('Mortality Tarif Female'!A:A,E137,'Mortality Tarif Female'!E:E)-SUMIF('Mortality Tarif Female'!A:A,$C$2+$H$2,'Mortality Tarif Female'!E:E))/SUMIF('Mortality Tarif Female'!A:A,E137,'Mortality Tarif Female'!D:D)))</f>
        <v>9.1852633458687478</v>
      </c>
      <c r="AA136">
        <f>IF(B136&gt;=$AF$2,0,IF($Y$2=1,(SUMIF('Mortality Tarif Male'!A:A,E137+1,'Mortality Tarif Male'!E:E)-SUMIF('Mortality Tarif Male'!A:A,$C$2+$H$2,'Mortality Tarif Male'!E:E))/SUMIF('Mortality Tarif Male'!A:A,E137+1,'Mortality Tarif Male'!D:D),(SUMIF('Mortality Tarif Female'!A:A,E137+1,'Mortality Tarif Female'!E:E)-SUMIF('Mortality Tarif Female'!A:A,$C$2+$H$2,'Mortality Tarif Female'!E:E))/SUMIF('Mortality Tarif Female'!A:A,E137+1,'Mortality Tarif Female'!D:D)))</f>
        <v>8.4909785042490427</v>
      </c>
      <c r="AB136">
        <f t="shared" si="41"/>
        <v>2114.5049523230396</v>
      </c>
      <c r="AC136">
        <f>IF(B136&gt;=$AF$2,0,MIN(1/3*(V136+W136+Y136-AB136),(V136-AB136),(T136*Z136+(1-T136)*AA136)*$AH$2*Assumptions!$B$22))</f>
        <v>228.86619039932583</v>
      </c>
      <c r="AD136">
        <f t="shared" si="57"/>
        <v>11747.403998650612</v>
      </c>
      <c r="AE136">
        <f t="shared" si="58"/>
        <v>11976.270189049937</v>
      </c>
      <c r="AF136">
        <f t="shared" si="59"/>
        <v>11747.403998650612</v>
      </c>
      <c r="AG136" s="26">
        <f t="shared" si="70"/>
        <v>0</v>
      </c>
      <c r="AH136" s="27">
        <f>IF(B136&gt;$AF$2,0,HLOOKUP(YEAR(A136),Assumptions!$A$34:$AL$37,4,TRUE)/100)</f>
        <v>1.0859000000000001E-2</v>
      </c>
      <c r="AI136">
        <f t="shared" si="60"/>
        <v>0</v>
      </c>
      <c r="AJ136">
        <f t="shared" si="61"/>
        <v>2.2516850942283861</v>
      </c>
      <c r="AK136">
        <f t="shared" si="62"/>
        <v>23.872155511047605</v>
      </c>
      <c r="AL136">
        <f>IF(E136&gt;Assumptions!$B$9,0,SUMPRODUCT($P$2:$X$2,Assumptions!$A$43:$I$43)/$I$2*O135*K136)</f>
        <v>3.8178213084696266</v>
      </c>
      <c r="AM136">
        <f t="shared" si="63"/>
        <v>0</v>
      </c>
      <c r="AN136">
        <f t="shared" si="64"/>
        <v>29.941661913745616</v>
      </c>
      <c r="AO136">
        <f>IF(E136&gt;Assumptions!$B$9,0,($V$2+$X$2)/$I$2*O135*K136*Assumptions!$B$46)</f>
        <v>0</v>
      </c>
      <c r="AP136">
        <f>IF(B136&gt;$AF$2,0,AP135*(1+Assumptions!$B$52)^(1/12))</f>
        <v>1.109211363768958</v>
      </c>
      <c r="AQ136" s="29">
        <f>IF(B136&gt;$AF$2,0,O135*Assumptions!$B$48/12*AP135+AR136*Assumptions!$B$50/12)</f>
        <v>11.593169792268633</v>
      </c>
      <c r="AR136" s="31">
        <f t="shared" si="65"/>
        <v>7932.4066824375923</v>
      </c>
      <c r="AS136">
        <f t="shared" si="48"/>
        <v>7981.5568973288118</v>
      </c>
      <c r="AT136">
        <f t="shared" si="66"/>
        <v>13.678367003232557</v>
      </c>
      <c r="AU136" s="19">
        <f t="shared" si="67"/>
        <v>7942.0432019968239</v>
      </c>
      <c r="AV136" s="19">
        <f t="shared" si="68"/>
        <v>7979.4022248425272</v>
      </c>
      <c r="AW136">
        <f t="shared" si="69"/>
        <v>-58.830989410833453</v>
      </c>
      <c r="AX136">
        <f>IF(B136&gt;$AF$2,0,HLOOKUP(YEAR(A136),Assumptions!$A$34:$AL$37,2,TRUE)/100)</f>
        <v>1.6858999999999999E-2</v>
      </c>
      <c r="AY136" s="32">
        <f>1/(1+HLOOKUP(YEAR(A136),Assumptions!$A$27:$AL$29,3,TRUE))^(1/12)</f>
        <v>0.9986891543836689</v>
      </c>
      <c r="AZ136" s="30">
        <f t="shared" si="49"/>
        <v>8958.0388933018876</v>
      </c>
      <c r="BA136">
        <f>IF(B136&gt;$AF$2,0,IF($E$2=0,(T136*Z136+(1-T136)*AA136)*$J$2*Assumptions!$B$20,0))</f>
        <v>0</v>
      </c>
    </row>
    <row r="137" spans="1:53" x14ac:dyDescent="0.25">
      <c r="A137" s="17">
        <f t="shared" si="50"/>
        <v>46934</v>
      </c>
      <c r="B137">
        <f t="shared" si="42"/>
        <v>356</v>
      </c>
      <c r="C137">
        <f t="shared" si="43"/>
        <v>29.583333333333332</v>
      </c>
      <c r="D137">
        <f t="shared" si="71"/>
        <v>0</v>
      </c>
      <c r="E137">
        <f t="shared" si="44"/>
        <v>52</v>
      </c>
      <c r="F137">
        <f>IF(C137&gt;=$H$2,0,VLOOKUP($E137,'Mortality Table'!$A$3:$C$128,2+AB$2,FALSE))</f>
        <v>1.8298000000000001E-3</v>
      </c>
      <c r="G137">
        <f>F137*Assumptions!$B$1</f>
        <v>1.9807585000000002E-3</v>
      </c>
      <c r="H137">
        <f t="shared" si="51"/>
        <v>1.6521325048846069E-4</v>
      </c>
      <c r="I137">
        <f t="shared" si="72"/>
        <v>1.1208374236105211E-4</v>
      </c>
      <c r="J137">
        <f>HLOOKUP(C137,Assumptions!$A$6:$J$7,2,TRUE)</f>
        <v>3.5200000000000002E-2</v>
      </c>
      <c r="K137" s="18">
        <f t="shared" si="45"/>
        <v>1</v>
      </c>
      <c r="L137" s="18">
        <f t="shared" si="52"/>
        <v>8.3333333333333329E-2</v>
      </c>
      <c r="M137" s="18">
        <f t="shared" si="73"/>
        <v>2.9817501439168836E-3</v>
      </c>
      <c r="N137">
        <f t="shared" si="74"/>
        <v>2.0257277671095792E-3</v>
      </c>
      <c r="O137" s="20">
        <f t="shared" si="75"/>
        <v>0.67729373764348499</v>
      </c>
      <c r="P137">
        <f>IF(B137&gt;$AF$2,0,O136*($E$2+IF(E137&lt;=Assumptions!$B$9,$D$2,0))/$I$2*K137)</f>
        <v>34.798219175783878</v>
      </c>
      <c r="Q137">
        <f t="shared" si="53"/>
        <v>26.1</v>
      </c>
      <c r="R137">
        <f>IF(B137&gt;$AF$2,0,IF($Y$2=1,(SUMIF('Mortality Tarif Male'!A:A,E138,'Mortality Tarif Male'!G:G)-SUMIF('Mortality Tarif Male'!A:A,$C$2+$H$2,'Mortality Tarif Male'!G:G)+SUMIF('Mortality Tarif Male'!A:A,$C$2+$H$2,'Mortality Tarif Male'!D:D))/SUMIF('Mortality Tarif Male'!A:A,E138,'Mortality Tarif Male'!D:D),(SUMIF('Mortality Tarif Female'!A:A,E138,'Mortality Tarif Female'!G:G)-SUMIF('Mortality Tarif Female'!A:A,$C$2+$H$2,'Mortality Tarif Female'!G:G)+SUMIF('Mortality Tarif Female'!A:A,$C$2+$H$2,'Mortality Tarif Female'!D:D))/SUMIF('Mortality Tarif Female'!A:A,E138,'Mortality Tarif Female'!D:D)))</f>
        <v>0.68993591668818599</v>
      </c>
      <c r="S137">
        <f>IF(B137&gt;=$AF$2,0,IF($Y$2=1,(SUMIF('Mortality Tarif Male'!A:A,E138+1,'Mortality Tarif Male'!G:G)-SUMIF('Mortality Tarif Male'!A:A,$C$2+$H$2,'Mortality Tarif Male'!G:G)+SUMIF('Mortality Tarif Male'!A:A,$C$2+$H$2,'Mortality Tarif Male'!D:D))/SUMIF('Mortality Tarif Male'!A:A,E138+1,'Mortality Tarif Male'!D:D),(SUMIF('Mortality Tarif Female'!A:A,E138+1,'Mortality Tarif Female'!G:G)-SUMIF('Mortality Tarif Female'!A:A,$C$2+$H$2,'Mortality Tarif Female'!G:G)+SUMIF('Mortality Tarif Female'!A:A,$C$2+$H$2,'Mortality Tarif Female'!D:D))/SUMIF('Mortality Tarif Female'!A:A,E138+1,'Mortality Tarif Female'!D:D)))</f>
        <v>0.71339525769249212</v>
      </c>
      <c r="T137">
        <f t="shared" si="54"/>
        <v>0.33333333333333215</v>
      </c>
      <c r="U137">
        <f t="shared" si="55"/>
        <v>0.70557547735772341</v>
      </c>
      <c r="V137">
        <f t="shared" si="56"/>
        <v>14111.509547154468</v>
      </c>
      <c r="W137">
        <f t="shared" si="46"/>
        <v>18.415519959036583</v>
      </c>
      <c r="X137">
        <f t="shared" si="47"/>
        <v>0</v>
      </c>
      <c r="Y137">
        <f>IF(B137&gt;$AF$2,0,IF(X138=0,0,(1-X138)*($E$2+IF(E137&lt;=Assumptions!$B$9,$D$2,0))/$I$2*1/(1+$AG$2)*1/(1+Assumptions!$B$11)))</f>
        <v>0</v>
      </c>
      <c r="Z137">
        <f>IF(B137&gt;$AF$2,0,IF($Y$2=1,(SUMIF('Mortality Tarif Male'!A:A,E138,'Mortality Tarif Male'!E:E)-SUMIF('Mortality Tarif Male'!A:A,$C$2+$H$2,'Mortality Tarif Male'!E:E))/SUMIF('Mortality Tarif Male'!A:A,E138,'Mortality Tarif Male'!D:D),(SUMIF('Mortality Tarif Female'!A:A,E138,'Mortality Tarif Female'!E:E)-SUMIF('Mortality Tarif Female'!A:A,$C$2+$H$2,'Mortality Tarif Female'!E:E))/SUMIF('Mortality Tarif Female'!A:A,E138,'Mortality Tarif Female'!D:D)))</f>
        <v>9.1852633458687478</v>
      </c>
      <c r="AA137">
        <f>IF(B137&gt;=$AF$2,0,IF($Y$2=1,(SUMIF('Mortality Tarif Male'!A:A,E138+1,'Mortality Tarif Male'!E:E)-SUMIF('Mortality Tarif Male'!A:A,$C$2+$H$2,'Mortality Tarif Male'!E:E))/SUMIF('Mortality Tarif Male'!A:A,E138+1,'Mortality Tarif Male'!D:D),(SUMIF('Mortality Tarif Female'!A:A,E138+1,'Mortality Tarif Female'!E:E)-SUMIF('Mortality Tarif Female'!A:A,$C$2+$H$2,'Mortality Tarif Female'!E:E))/SUMIF('Mortality Tarif Female'!A:A,E138+1,'Mortality Tarif Female'!D:D)))</f>
        <v>8.4909785042490427</v>
      </c>
      <c r="AB137">
        <f t="shared" si="41"/>
        <v>2100.5715371832771</v>
      </c>
      <c r="AC137">
        <f>IF(B137&gt;=$AF$2,0,MIN(1/3*(V137+W137+Y137-AB137),(V137-AB137),(T137*Z137+(1-T137)*AA137)*$AH$2*Assumptions!$B$22))</f>
        <v>227.35808911122697</v>
      </c>
      <c r="AD137">
        <f t="shared" si="57"/>
        <v>11801.995440819001</v>
      </c>
      <c r="AE137">
        <f t="shared" si="58"/>
        <v>12029.353529930228</v>
      </c>
      <c r="AF137">
        <f t="shared" si="59"/>
        <v>11801.995440819001</v>
      </c>
      <c r="AG137" s="26">
        <f t="shared" si="70"/>
        <v>0</v>
      </c>
      <c r="AH137" s="27">
        <f>IF(B137&gt;$AF$2,0,HLOOKUP(YEAR(A137),Assumptions!$A$34:$AL$37,4,TRUE)/100)</f>
        <v>1.0859000000000001E-2</v>
      </c>
      <c r="AI137">
        <f t="shared" si="60"/>
        <v>0</v>
      </c>
      <c r="AJ137">
        <f t="shared" si="61"/>
        <v>2.2446002328966657</v>
      </c>
      <c r="AK137">
        <f t="shared" si="62"/>
        <v>23.907629871767707</v>
      </c>
      <c r="AL137">
        <f>IF(E137&gt;Assumptions!$B$9,0,SUMPRODUCT($P$2:$X$2,Assumptions!$A$43:$I$43)/$I$2*O136*K137)</f>
        <v>3.8058086453183146</v>
      </c>
      <c r="AM137">
        <f t="shared" si="63"/>
        <v>0</v>
      </c>
      <c r="AN137">
        <f t="shared" si="64"/>
        <v>29.958038749982688</v>
      </c>
      <c r="AO137">
        <f>IF(E137&gt;Assumptions!$B$9,0,($V$2+$X$2)/$I$2*O136*K137*Assumptions!$B$46)</f>
        <v>0</v>
      </c>
      <c r="AP137">
        <f>IF(B137&gt;$AF$2,0,AP136*(1+Assumptions!$B$52)^(1/12))</f>
        <v>1.1101314968720704</v>
      </c>
      <c r="AQ137" s="29">
        <f>IF(B137&gt;$AF$2,0,O136*Assumptions!$B$48/12*AP136+AR137*Assumptions!$B$50/12)</f>
        <v>11.570761445342416</v>
      </c>
      <c r="AR137" s="31">
        <f t="shared" si="65"/>
        <v>7932.5554276939383</v>
      </c>
      <c r="AS137">
        <f t="shared" si="48"/>
        <v>7993.4176037636698</v>
      </c>
      <c r="AT137">
        <f t="shared" si="66"/>
        <v>13.635328421278674</v>
      </c>
      <c r="AU137" s="19">
        <f t="shared" si="67"/>
        <v>7942.1475570031016</v>
      </c>
      <c r="AV137" s="19">
        <f t="shared" si="68"/>
        <v>7991.3864171047717</v>
      </c>
      <c r="AW137">
        <f t="shared" si="69"/>
        <v>-70.700696329667352</v>
      </c>
      <c r="AX137">
        <f>IF(B137&gt;$AF$2,0,HLOOKUP(YEAR(A137),Assumptions!$A$34:$AL$37,2,TRUE)/100)</f>
        <v>1.6858999999999999E-2</v>
      </c>
      <c r="AY137" s="32">
        <f>1/(1+HLOOKUP(YEAR(A137),Assumptions!$A$27:$AL$29,3,TRUE))^(1/12)</f>
        <v>0.9986891543836689</v>
      </c>
      <c r="AZ137" s="30">
        <f t="shared" si="49"/>
        <v>8963.0663312441684</v>
      </c>
      <c r="BA137">
        <f>IF(B137&gt;$AF$2,0,IF($E$2=0,(T137*Z137+(1-T137)*AA137)*$J$2*Assumptions!$B$20,0))</f>
        <v>0</v>
      </c>
    </row>
    <row r="138" spans="1:53" x14ac:dyDescent="0.25">
      <c r="A138" s="17">
        <f t="shared" si="50"/>
        <v>46965</v>
      </c>
      <c r="B138">
        <f t="shared" si="42"/>
        <v>357</v>
      </c>
      <c r="C138">
        <f t="shared" si="43"/>
        <v>29.666666666666668</v>
      </c>
      <c r="D138">
        <f t="shared" si="71"/>
        <v>0</v>
      </c>
      <c r="E138">
        <f t="shared" si="44"/>
        <v>52</v>
      </c>
      <c r="F138">
        <f>IF(C138&gt;=$H$2,0,VLOOKUP($E138,'Mortality Table'!$A$3:$C$128,2+AB$2,FALSE))</f>
        <v>1.8298000000000001E-3</v>
      </c>
      <c r="G138">
        <f>F138*Assumptions!$B$1</f>
        <v>1.9807585000000002E-3</v>
      </c>
      <c r="H138">
        <f t="shared" si="51"/>
        <v>1.6521325048846069E-4</v>
      </c>
      <c r="I138">
        <f t="shared" si="72"/>
        <v>1.1173107414194641E-4</v>
      </c>
      <c r="J138">
        <f>HLOOKUP(C138,Assumptions!$A$6:$J$7,2,TRUE)</f>
        <v>3.5200000000000002E-2</v>
      </c>
      <c r="K138" s="18">
        <f t="shared" si="45"/>
        <v>1</v>
      </c>
      <c r="L138" s="18">
        <f t="shared" si="52"/>
        <v>8.3333333333333329E-2</v>
      </c>
      <c r="M138" s="18">
        <f t="shared" si="73"/>
        <v>2.9817501439168836E-3</v>
      </c>
      <c r="N138">
        <f t="shared" si="74"/>
        <v>2.0193538739028531E-3</v>
      </c>
      <c r="O138" s="20">
        <f t="shared" si="75"/>
        <v>0.67516265269544018</v>
      </c>
      <c r="P138">
        <f>IF(B138&gt;$AF$2,0,O137*($E$2+IF(E138&lt;=Assumptions!$B$9,$D$2,0))/$I$2*K138)</f>
        <v>34.688727596307153</v>
      </c>
      <c r="Q138">
        <f t="shared" si="53"/>
        <v>26.1</v>
      </c>
      <c r="R138">
        <f>IF(B138&gt;$AF$2,0,IF($Y$2=1,(SUMIF('Mortality Tarif Male'!A:A,E139,'Mortality Tarif Male'!G:G)-SUMIF('Mortality Tarif Male'!A:A,$C$2+$H$2,'Mortality Tarif Male'!G:G)+SUMIF('Mortality Tarif Male'!A:A,$C$2+$H$2,'Mortality Tarif Male'!D:D))/SUMIF('Mortality Tarif Male'!A:A,E139,'Mortality Tarif Male'!D:D),(SUMIF('Mortality Tarif Female'!A:A,E139,'Mortality Tarif Female'!G:G)-SUMIF('Mortality Tarif Female'!A:A,$C$2+$H$2,'Mortality Tarif Female'!G:G)+SUMIF('Mortality Tarif Female'!A:A,$C$2+$H$2,'Mortality Tarif Female'!D:D))/SUMIF('Mortality Tarif Female'!A:A,E139,'Mortality Tarif Female'!D:D)))</f>
        <v>0.68993591668818599</v>
      </c>
      <c r="S138">
        <f>IF(B138&gt;=$AF$2,0,IF($Y$2=1,(SUMIF('Mortality Tarif Male'!A:A,E139+1,'Mortality Tarif Male'!G:G)-SUMIF('Mortality Tarif Male'!A:A,$C$2+$H$2,'Mortality Tarif Male'!G:G)+SUMIF('Mortality Tarif Male'!A:A,$C$2+$H$2,'Mortality Tarif Male'!D:D))/SUMIF('Mortality Tarif Male'!A:A,E139+1,'Mortality Tarif Male'!D:D),(SUMIF('Mortality Tarif Female'!A:A,E139+1,'Mortality Tarif Female'!G:G)-SUMIF('Mortality Tarif Female'!A:A,$C$2+$H$2,'Mortality Tarif Female'!G:G)+SUMIF('Mortality Tarif Female'!A:A,$C$2+$H$2,'Mortality Tarif Female'!D:D))/SUMIF('Mortality Tarif Female'!A:A,E139+1,'Mortality Tarif Female'!D:D)))</f>
        <v>0.71339525769249212</v>
      </c>
      <c r="T138">
        <f t="shared" si="54"/>
        <v>0.25</v>
      </c>
      <c r="U138">
        <f t="shared" si="55"/>
        <v>0.70753042244141562</v>
      </c>
      <c r="V138">
        <f t="shared" si="56"/>
        <v>14150.608448828312</v>
      </c>
      <c r="W138">
        <f t="shared" si="46"/>
        <v>18.46654402572095</v>
      </c>
      <c r="X138">
        <f t="shared" si="47"/>
        <v>0</v>
      </c>
      <c r="Y138">
        <f>IF(B138&gt;$AF$2,0,IF(X139=0,0,(1-X139)*($E$2+IF(E138&lt;=Assumptions!$B$9,$D$2,0))/$I$2*1/(1+$AG$2)*1/(1+Assumptions!$B$11)))</f>
        <v>0</v>
      </c>
      <c r="Z138">
        <f>IF(B138&gt;$AF$2,0,IF($Y$2=1,(SUMIF('Mortality Tarif Male'!A:A,E139,'Mortality Tarif Male'!E:E)-SUMIF('Mortality Tarif Male'!A:A,$C$2+$H$2,'Mortality Tarif Male'!E:E))/SUMIF('Mortality Tarif Male'!A:A,E139,'Mortality Tarif Male'!D:D),(SUMIF('Mortality Tarif Female'!A:A,E139,'Mortality Tarif Female'!E:E)-SUMIF('Mortality Tarif Female'!A:A,$C$2+$H$2,'Mortality Tarif Female'!E:E))/SUMIF('Mortality Tarif Female'!A:A,E139,'Mortality Tarif Female'!D:D)))</f>
        <v>9.1852633458687478</v>
      </c>
      <c r="AA138">
        <f>IF(B138&gt;=$AF$2,0,IF($Y$2=1,(SUMIF('Mortality Tarif Male'!A:A,E139+1,'Mortality Tarif Male'!E:E)-SUMIF('Mortality Tarif Male'!A:A,$C$2+$H$2,'Mortality Tarif Male'!E:E))/SUMIF('Mortality Tarif Male'!A:A,E139+1,'Mortality Tarif Male'!D:D),(SUMIF('Mortality Tarif Female'!A:A,E139+1,'Mortality Tarif Female'!E:E)-SUMIF('Mortality Tarif Female'!A:A,$C$2+$H$2,'Mortality Tarif Female'!E:E))/SUMIF('Mortality Tarif Female'!A:A,E139+1,'Mortality Tarif Female'!D:D)))</f>
        <v>8.4909785042490427</v>
      </c>
      <c r="AB138">
        <f t="shared" si="41"/>
        <v>2086.6381220435146</v>
      </c>
      <c r="AC138">
        <f>IF(B138&gt;=$AF$2,0,MIN(1/3*(V138+W138+Y138-AB138),(V138-AB138),(T138*Z138+(1-T138)*AA138)*$AH$2*Assumptions!$B$22))</f>
        <v>225.84998782312815</v>
      </c>
      <c r="AD138">
        <f t="shared" si="57"/>
        <v>11856.586882987391</v>
      </c>
      <c r="AE138">
        <f t="shared" si="58"/>
        <v>12082.436870810519</v>
      </c>
      <c r="AF138">
        <f t="shared" si="59"/>
        <v>11856.586882987391</v>
      </c>
      <c r="AG138" s="26">
        <f t="shared" si="70"/>
        <v>0</v>
      </c>
      <c r="AH138" s="27">
        <f>IF(B138&gt;$AF$2,0,HLOOKUP(YEAR(A138),Assumptions!$A$34:$AL$37,4,TRUE)/100)</f>
        <v>1.0859000000000001E-2</v>
      </c>
      <c r="AI138">
        <f t="shared" si="60"/>
        <v>0</v>
      </c>
      <c r="AJ138">
        <f t="shared" si="61"/>
        <v>2.2375376638740327</v>
      </c>
      <c r="AK138">
        <f t="shared" si="62"/>
        <v>23.942644653426342</v>
      </c>
      <c r="AL138">
        <f>IF(E138&gt;Assumptions!$B$9,0,SUMPRODUCT($P$2:$X$2,Assumptions!$A$43:$I$43)/$I$2*O137*K138)</f>
        <v>3.7938337796604751</v>
      </c>
      <c r="AM138">
        <f t="shared" si="63"/>
        <v>0</v>
      </c>
      <c r="AN138">
        <f t="shared" si="64"/>
        <v>29.974016096960849</v>
      </c>
      <c r="AO138">
        <f>IF(E138&gt;Assumptions!$B$9,0,($V$2+$X$2)/$I$2*O137*K138*Assumptions!$B$46)</f>
        <v>0</v>
      </c>
      <c r="AP138">
        <f>IF(B138&gt;$AF$2,0,AP137*(1+Assumptions!$B$52)^(1/12))</f>
        <v>1.111052393260662</v>
      </c>
      <c r="AQ138" s="29">
        <f>IF(B138&gt;$AF$2,0,O137*Assumptions!$B$48/12*AP137+AR138*Assumptions!$B$50/12)</f>
        <v>11.54835956268983</v>
      </c>
      <c r="AR138" s="31">
        <f t="shared" si="65"/>
        <v>7932.5154989133071</v>
      </c>
      <c r="AS138">
        <f t="shared" si="48"/>
        <v>8005.1246518317275</v>
      </c>
      <c r="AT138">
        <f t="shared" si="66"/>
        <v>13.592425258964878</v>
      </c>
      <c r="AU138" s="19">
        <f t="shared" si="67"/>
        <v>7942.0634416879593</v>
      </c>
      <c r="AV138" s="19">
        <f t="shared" si="68"/>
        <v>8003.2161952429742</v>
      </c>
      <c r="AW138">
        <f t="shared" si="69"/>
        <v>-82.604482614986281</v>
      </c>
      <c r="AX138">
        <f>IF(B138&gt;$AF$2,0,HLOOKUP(YEAR(A138),Assumptions!$A$34:$AL$37,2,TRUE)/100)</f>
        <v>1.6858999999999999E-2</v>
      </c>
      <c r="AY138" s="32">
        <f>1/(1+HLOOKUP(YEAR(A138),Assumptions!$A$27:$AL$29,3,TRUE))^(1/12)</f>
        <v>0.9986891543836689</v>
      </c>
      <c r="AZ138" s="30">
        <f t="shared" si="49"/>
        <v>8967.9973009877012</v>
      </c>
      <c r="BA138">
        <f>IF(B138&gt;$AF$2,0,IF($E$2=0,(T138*Z138+(1-T138)*AA138)*$J$2*Assumptions!$B$20,0))</f>
        <v>0</v>
      </c>
    </row>
    <row r="139" spans="1:53" x14ac:dyDescent="0.25">
      <c r="A139" s="17">
        <f t="shared" si="50"/>
        <v>46996</v>
      </c>
      <c r="B139">
        <f t="shared" si="42"/>
        <v>358</v>
      </c>
      <c r="C139">
        <f t="shared" si="43"/>
        <v>29.75</v>
      </c>
      <c r="D139">
        <f t="shared" si="71"/>
        <v>0</v>
      </c>
      <c r="E139">
        <f t="shared" si="44"/>
        <v>52</v>
      </c>
      <c r="F139">
        <f>IF(C139&gt;=$H$2,0,VLOOKUP($E139,'Mortality Table'!$A$3:$C$128,2+AB$2,FALSE))</f>
        <v>1.8298000000000001E-3</v>
      </c>
      <c r="G139">
        <f>F139*Assumptions!$B$1</f>
        <v>1.9807585000000002E-3</v>
      </c>
      <c r="H139">
        <f t="shared" si="51"/>
        <v>1.6521325048846069E-4</v>
      </c>
      <c r="I139">
        <f t="shared" si="72"/>
        <v>1.1137951558308354E-4</v>
      </c>
      <c r="J139">
        <f>HLOOKUP(C139,Assumptions!$A$6:$J$7,2,TRUE)</f>
        <v>3.5200000000000002E-2</v>
      </c>
      <c r="K139" s="18">
        <f t="shared" si="45"/>
        <v>1</v>
      </c>
      <c r="L139" s="18">
        <f t="shared" si="52"/>
        <v>8.3333333333333329E-2</v>
      </c>
      <c r="M139" s="18">
        <f t="shared" si="73"/>
        <v>2.9817501439168836E-3</v>
      </c>
      <c r="N139">
        <f t="shared" si="74"/>
        <v>2.0130000359647919E-3</v>
      </c>
      <c r="O139" s="20">
        <f t="shared" si="75"/>
        <v>0.67303827314389231</v>
      </c>
      <c r="P139">
        <f>IF(B139&gt;$AF$2,0,O138*($E$2+IF(E139&lt;=Assumptions!$B$9,$D$2,0))/$I$2*K139)</f>
        <v>34.57958052888479</v>
      </c>
      <c r="Q139">
        <f t="shared" si="53"/>
        <v>26.1</v>
      </c>
      <c r="R139">
        <f>IF(B139&gt;$AF$2,0,IF($Y$2=1,(SUMIF('Mortality Tarif Male'!A:A,E140,'Mortality Tarif Male'!G:G)-SUMIF('Mortality Tarif Male'!A:A,$C$2+$H$2,'Mortality Tarif Male'!G:G)+SUMIF('Mortality Tarif Male'!A:A,$C$2+$H$2,'Mortality Tarif Male'!D:D))/SUMIF('Mortality Tarif Male'!A:A,E140,'Mortality Tarif Male'!D:D),(SUMIF('Mortality Tarif Female'!A:A,E140,'Mortality Tarif Female'!G:G)-SUMIF('Mortality Tarif Female'!A:A,$C$2+$H$2,'Mortality Tarif Female'!G:G)+SUMIF('Mortality Tarif Female'!A:A,$C$2+$H$2,'Mortality Tarif Female'!D:D))/SUMIF('Mortality Tarif Female'!A:A,E140,'Mortality Tarif Female'!D:D)))</f>
        <v>0.68993591668818599</v>
      </c>
      <c r="S139">
        <f>IF(B139&gt;=$AF$2,0,IF($Y$2=1,(SUMIF('Mortality Tarif Male'!A:A,E140+1,'Mortality Tarif Male'!G:G)-SUMIF('Mortality Tarif Male'!A:A,$C$2+$H$2,'Mortality Tarif Male'!G:G)+SUMIF('Mortality Tarif Male'!A:A,$C$2+$H$2,'Mortality Tarif Male'!D:D))/SUMIF('Mortality Tarif Male'!A:A,E140+1,'Mortality Tarif Male'!D:D),(SUMIF('Mortality Tarif Female'!A:A,E140+1,'Mortality Tarif Female'!G:G)-SUMIF('Mortality Tarif Female'!A:A,$C$2+$H$2,'Mortality Tarif Female'!G:G)+SUMIF('Mortality Tarif Female'!A:A,$C$2+$H$2,'Mortality Tarif Female'!D:D))/SUMIF('Mortality Tarif Female'!A:A,E140+1,'Mortality Tarif Female'!D:D)))</f>
        <v>0.71339525769249212</v>
      </c>
      <c r="T139">
        <f t="shared" si="54"/>
        <v>0.16666666666666785</v>
      </c>
      <c r="U139">
        <f t="shared" si="55"/>
        <v>0.70948536752510771</v>
      </c>
      <c r="V139">
        <f t="shared" si="56"/>
        <v>14189.707350502154</v>
      </c>
      <c r="W139">
        <f t="shared" si="46"/>
        <v>18.517568092405313</v>
      </c>
      <c r="X139">
        <f t="shared" si="47"/>
        <v>0</v>
      </c>
      <c r="Y139">
        <f>IF(B139&gt;$AF$2,0,IF(X140=0,0,(1-X140)*($E$2+IF(E139&lt;=Assumptions!$B$9,$D$2,0))/$I$2*1/(1+$AG$2)*1/(1+Assumptions!$B$11)))</f>
        <v>0</v>
      </c>
      <c r="Z139">
        <f>IF(B139&gt;$AF$2,0,IF($Y$2=1,(SUMIF('Mortality Tarif Male'!A:A,E140,'Mortality Tarif Male'!E:E)-SUMIF('Mortality Tarif Male'!A:A,$C$2+$H$2,'Mortality Tarif Male'!E:E))/SUMIF('Mortality Tarif Male'!A:A,E140,'Mortality Tarif Male'!D:D),(SUMIF('Mortality Tarif Female'!A:A,E140,'Mortality Tarif Female'!E:E)-SUMIF('Mortality Tarif Female'!A:A,$C$2+$H$2,'Mortality Tarif Female'!E:E))/SUMIF('Mortality Tarif Female'!A:A,E140,'Mortality Tarif Female'!D:D)))</f>
        <v>9.1852633458687478</v>
      </c>
      <c r="AA139">
        <f>IF(B139&gt;=$AF$2,0,IF($Y$2=1,(SUMIF('Mortality Tarif Male'!A:A,E140+1,'Mortality Tarif Male'!E:E)-SUMIF('Mortality Tarif Male'!A:A,$C$2+$H$2,'Mortality Tarif Male'!E:E))/SUMIF('Mortality Tarif Male'!A:A,E140+1,'Mortality Tarif Male'!D:D),(SUMIF('Mortality Tarif Female'!A:A,E140+1,'Mortality Tarif Female'!E:E)-SUMIF('Mortality Tarif Female'!A:A,$C$2+$H$2,'Mortality Tarif Female'!E:E))/SUMIF('Mortality Tarif Female'!A:A,E140+1,'Mortality Tarif Female'!D:D)))</f>
        <v>8.4909785042490427</v>
      </c>
      <c r="AB139">
        <f t="shared" ref="AB139:AB202" si="76">IF(B139&gt;=$AF$2,0,(T139*Z139+(1-T139)*AA139))*$AI$2</f>
        <v>2072.7047069037521</v>
      </c>
      <c r="AC139">
        <f>IF(B139&gt;=$AF$2,0,MIN(1/3*(V139+W139+Y139-AB139),(V139-AB139),(T139*Z139+(1-T139)*AA139)*$AH$2*Assumptions!$B$22))</f>
        <v>224.34188653502935</v>
      </c>
      <c r="AD139">
        <f t="shared" si="57"/>
        <v>11911.178325155779</v>
      </c>
      <c r="AE139">
        <f t="shared" si="58"/>
        <v>12135.520211690808</v>
      </c>
      <c r="AF139">
        <f t="shared" si="59"/>
        <v>11911.178325155779</v>
      </c>
      <c r="AG139" s="26">
        <f t="shared" si="70"/>
        <v>0</v>
      </c>
      <c r="AH139" s="27">
        <f>IF(B139&gt;$AF$2,0,HLOOKUP(YEAR(A139),Assumptions!$A$34:$AL$37,4,TRUE)/100)</f>
        <v>1.0859000000000001E-2</v>
      </c>
      <c r="AI139">
        <f t="shared" si="60"/>
        <v>0</v>
      </c>
      <c r="AJ139">
        <f t="shared" si="61"/>
        <v>2.230497317018389</v>
      </c>
      <c r="AK139">
        <f t="shared" si="62"/>
        <v>23.977202396921633</v>
      </c>
      <c r="AL139">
        <f>IF(E139&gt;Assumptions!$B$9,0,SUMPRODUCT($P$2:$X$2,Assumptions!$A$43:$I$43)/$I$2*O138*K139)</f>
        <v>3.7818965925674002</v>
      </c>
      <c r="AM139">
        <f t="shared" si="63"/>
        <v>0</v>
      </c>
      <c r="AN139">
        <f t="shared" si="64"/>
        <v>29.989596306507423</v>
      </c>
      <c r="AO139">
        <f>IF(E139&gt;Assumptions!$B$9,0,($V$2+$X$2)/$I$2*O138*K139*Assumptions!$B$46)</f>
        <v>0</v>
      </c>
      <c r="AP139">
        <f>IF(B139&gt;$AF$2,0,AP138*(1+Assumptions!$B$52)^(1/12))</f>
        <v>1.1119740535679072</v>
      </c>
      <c r="AQ139" s="29">
        <f>IF(B139&gt;$AF$2,0,O138*Assumptions!$B$48/12*AP138+AR139*Assumptions!$B$50/12)</f>
        <v>11.525964273345501</v>
      </c>
      <c r="AR139" s="31">
        <f t="shared" si="65"/>
        <v>7932.2879297143709</v>
      </c>
      <c r="AS139">
        <f t="shared" si="48"/>
        <v>8016.6788910718051</v>
      </c>
      <c r="AT139">
        <f t="shared" si="66"/>
        <v>13.549657090197236</v>
      </c>
      <c r="AU139" s="19">
        <f t="shared" si="67"/>
        <v>7941.791888879713</v>
      </c>
      <c r="AV139" s="19">
        <f t="shared" si="68"/>
        <v>8014.8924123293573</v>
      </c>
      <c r="AW139">
        <f t="shared" si="69"/>
        <v>-94.542168729478959</v>
      </c>
      <c r="AX139">
        <f>IF(B139&gt;$AF$2,0,HLOOKUP(YEAR(A139),Assumptions!$A$34:$AL$37,2,TRUE)/100)</f>
        <v>1.6858999999999999E-2</v>
      </c>
      <c r="AY139" s="32">
        <f>1/(1+HLOOKUP(YEAR(A139),Assumptions!$A$27:$AL$29,3,TRUE))^(1/12)</f>
        <v>0.9986891543836689</v>
      </c>
      <c r="AZ139" s="30">
        <f t="shared" si="49"/>
        <v>8972.8324109677687</v>
      </c>
      <c r="BA139">
        <f>IF(B139&gt;$AF$2,0,IF($E$2=0,(T139*Z139+(1-T139)*AA139)*$J$2*Assumptions!$B$20,0))</f>
        <v>0</v>
      </c>
    </row>
    <row r="140" spans="1:53" x14ac:dyDescent="0.25">
      <c r="A140" s="17">
        <f t="shared" si="50"/>
        <v>47026</v>
      </c>
      <c r="B140">
        <f t="shared" ref="B140:B203" si="77">B139+1</f>
        <v>359</v>
      </c>
      <c r="C140">
        <f t="shared" ref="C140:C203" si="78">(B140+11)/12-1</f>
        <v>29.833333333333332</v>
      </c>
      <c r="D140">
        <f t="shared" si="71"/>
        <v>0</v>
      </c>
      <c r="E140">
        <f t="shared" ref="E140:E203" si="79">$C$2+INT($C140)</f>
        <v>52</v>
      </c>
      <c r="F140">
        <f>IF(C140&gt;=$H$2,0,VLOOKUP($E140,'Mortality Table'!$A$3:$C$128,2+AB$2,FALSE))</f>
        <v>1.8298000000000001E-3</v>
      </c>
      <c r="G140">
        <f>F140*Assumptions!$B$1</f>
        <v>1.9807585000000002E-3</v>
      </c>
      <c r="H140">
        <f t="shared" si="51"/>
        <v>1.6521325048846069E-4</v>
      </c>
      <c r="I140">
        <f t="shared" si="72"/>
        <v>1.1102906319295002E-4</v>
      </c>
      <c r="J140">
        <f>HLOOKUP(C140,Assumptions!$A$6:$J$7,2,TRUE)</f>
        <v>3.5200000000000002E-2</v>
      </c>
      <c r="K140" s="18">
        <f t="shared" ref="K140:K203" si="80">IF(B140&gt;$AF$2,0,IF(($I$2*(B140+11))/12-INT(($I$2*(B140+11))/12)=0,1,0))</f>
        <v>1</v>
      </c>
      <c r="L140" s="18">
        <f t="shared" si="52"/>
        <v>8.3333333333333329E-2</v>
      </c>
      <c r="M140" s="18">
        <f t="shared" si="73"/>
        <v>2.9817501439168836E-3</v>
      </c>
      <c r="N140">
        <f t="shared" si="74"/>
        <v>2.0066661901920789E-3</v>
      </c>
      <c r="O140" s="20">
        <f t="shared" si="75"/>
        <v>0.6709205778905073</v>
      </c>
      <c r="P140">
        <f>IF(B140&gt;$AF$2,0,O139*($E$2+IF(E140&lt;=Assumptions!$B$9,$D$2,0))/$I$2*K140)</f>
        <v>34.470776889519676</v>
      </c>
      <c r="Q140">
        <f t="shared" si="53"/>
        <v>26.1</v>
      </c>
      <c r="R140">
        <f>IF(B140&gt;$AF$2,0,IF($Y$2=1,(SUMIF('Mortality Tarif Male'!A:A,E141,'Mortality Tarif Male'!G:G)-SUMIF('Mortality Tarif Male'!A:A,$C$2+$H$2,'Mortality Tarif Male'!G:G)+SUMIF('Mortality Tarif Male'!A:A,$C$2+$H$2,'Mortality Tarif Male'!D:D))/SUMIF('Mortality Tarif Male'!A:A,E141,'Mortality Tarif Male'!D:D),(SUMIF('Mortality Tarif Female'!A:A,E141,'Mortality Tarif Female'!G:G)-SUMIF('Mortality Tarif Female'!A:A,$C$2+$H$2,'Mortality Tarif Female'!G:G)+SUMIF('Mortality Tarif Female'!A:A,$C$2+$H$2,'Mortality Tarif Female'!D:D))/SUMIF('Mortality Tarif Female'!A:A,E141,'Mortality Tarif Female'!D:D)))</f>
        <v>0.68993591668818599</v>
      </c>
      <c r="S140">
        <f>IF(B140&gt;=$AF$2,0,IF($Y$2=1,(SUMIF('Mortality Tarif Male'!A:A,E141+1,'Mortality Tarif Male'!G:G)-SUMIF('Mortality Tarif Male'!A:A,$C$2+$H$2,'Mortality Tarif Male'!G:G)+SUMIF('Mortality Tarif Male'!A:A,$C$2+$H$2,'Mortality Tarif Male'!D:D))/SUMIF('Mortality Tarif Male'!A:A,E141+1,'Mortality Tarif Male'!D:D),(SUMIF('Mortality Tarif Female'!A:A,E141+1,'Mortality Tarif Female'!G:G)-SUMIF('Mortality Tarif Female'!A:A,$C$2+$H$2,'Mortality Tarif Female'!G:G)+SUMIF('Mortality Tarif Female'!A:A,$C$2+$H$2,'Mortality Tarif Female'!D:D))/SUMIF('Mortality Tarif Female'!A:A,E141+1,'Mortality Tarif Female'!D:D)))</f>
        <v>0.71339525769249212</v>
      </c>
      <c r="T140">
        <f t="shared" si="54"/>
        <v>8.3333333333332149E-2</v>
      </c>
      <c r="U140">
        <f t="shared" si="55"/>
        <v>0.71144031260880003</v>
      </c>
      <c r="V140">
        <f t="shared" si="56"/>
        <v>14228.806252176</v>
      </c>
      <c r="W140">
        <f t="shared" ref="W140:W203" si="81">IF(B140&gt;$AF$2,0,(T140*R140+(1-T140)*S140)*(Q139))</f>
        <v>18.568592159089683</v>
      </c>
      <c r="X140">
        <f t="shared" ref="X140:X203" si="82">($I$2*(B140+11))/12-INT(($I$2*(B140+11))/12)</f>
        <v>0</v>
      </c>
      <c r="Y140">
        <f>IF(B140&gt;$AF$2,0,IF(X141=0,0,(1-X141)*($E$2+IF(E140&lt;=Assumptions!$B$9,$D$2,0))/$I$2*1/(1+$AG$2)*1/(1+Assumptions!$B$11)))</f>
        <v>0</v>
      </c>
      <c r="Z140">
        <f>IF(B140&gt;$AF$2,0,IF($Y$2=1,(SUMIF('Mortality Tarif Male'!A:A,E141,'Mortality Tarif Male'!E:E)-SUMIF('Mortality Tarif Male'!A:A,$C$2+$H$2,'Mortality Tarif Male'!E:E))/SUMIF('Mortality Tarif Male'!A:A,E141,'Mortality Tarif Male'!D:D),(SUMIF('Mortality Tarif Female'!A:A,E141,'Mortality Tarif Female'!E:E)-SUMIF('Mortality Tarif Female'!A:A,$C$2+$H$2,'Mortality Tarif Female'!E:E))/SUMIF('Mortality Tarif Female'!A:A,E141,'Mortality Tarif Female'!D:D)))</f>
        <v>9.1852633458687478</v>
      </c>
      <c r="AA140">
        <f>IF(B140&gt;=$AF$2,0,IF($Y$2=1,(SUMIF('Mortality Tarif Male'!A:A,E141+1,'Mortality Tarif Male'!E:E)-SUMIF('Mortality Tarif Male'!A:A,$C$2+$H$2,'Mortality Tarif Male'!E:E))/SUMIF('Mortality Tarif Male'!A:A,E141+1,'Mortality Tarif Male'!D:D),(SUMIF('Mortality Tarif Female'!A:A,E141+1,'Mortality Tarif Female'!E:E)-SUMIF('Mortality Tarif Female'!A:A,$C$2+$H$2,'Mortality Tarif Female'!E:E))/SUMIF('Mortality Tarif Female'!A:A,E141+1,'Mortality Tarif Female'!D:D)))</f>
        <v>8.4909785042490427</v>
      </c>
      <c r="AB140">
        <f t="shared" si="76"/>
        <v>2058.7712917639897</v>
      </c>
      <c r="AC140">
        <f>IF(B140&gt;=$AF$2,0,MIN(1/3*(V140+W140+Y140-AB140),(V140-AB140),(T140*Z140+(1-T140)*AA140)*$AH$2*Assumptions!$B$22))</f>
        <v>222.83378524693049</v>
      </c>
      <c r="AD140">
        <f t="shared" si="57"/>
        <v>11965.769767324171</v>
      </c>
      <c r="AE140">
        <f t="shared" si="58"/>
        <v>12188.603552571101</v>
      </c>
      <c r="AF140">
        <f t="shared" si="59"/>
        <v>11965.769767324171</v>
      </c>
      <c r="AG140" s="26">
        <f t="shared" si="70"/>
        <v>0</v>
      </c>
      <c r="AH140" s="27">
        <f>IF(B140&gt;$AF$2,0,HLOOKUP(YEAR(A140),Assumptions!$A$34:$AL$37,4,TRUE)/100)</f>
        <v>1.0859000000000001E-2</v>
      </c>
      <c r="AI140">
        <f t="shared" si="60"/>
        <v>0</v>
      </c>
      <c r="AJ140">
        <f t="shared" si="61"/>
        <v>2.2234791224083361</v>
      </c>
      <c r="AK140">
        <f t="shared" si="62"/>
        <v>24.011305631711952</v>
      </c>
      <c r="AL140">
        <f>IF(E140&gt;Assumptions!$B$9,0,SUMPRODUCT($P$2:$X$2,Assumptions!$A$43:$I$43)/$I$2*O139*K140)</f>
        <v>3.7699969654845864</v>
      </c>
      <c r="AM140">
        <f t="shared" si="63"/>
        <v>0</v>
      </c>
      <c r="AN140">
        <f t="shared" si="64"/>
        <v>30.004781719604875</v>
      </c>
      <c r="AO140">
        <f>IF(E140&gt;Assumptions!$B$9,0,($V$2+$X$2)/$I$2*O139*K140*Assumptions!$B$46)</f>
        <v>0</v>
      </c>
      <c r="AP140">
        <f>IF(B140&gt;$AF$2,0,AP139*(1+Assumptions!$B$52)^(1/12))</f>
        <v>1.1128964784275057</v>
      </c>
      <c r="AQ140" s="29">
        <f>IF(B140&gt;$AF$2,0,O139*Assumptions!$B$48/12*AP139+AR140*Assumptions!$B$50/12)</f>
        <v>11.503575705452377</v>
      </c>
      <c r="AR140" s="31">
        <f t="shared" si="65"/>
        <v>7931.8737488670631</v>
      </c>
      <c r="AS140">
        <f t="shared" ref="AS140:AS203" si="83">AD140*O140</f>
        <v>8028.0811671978936</v>
      </c>
      <c r="AT140">
        <f t="shared" si="66"/>
        <v>13.507023490222497</v>
      </c>
      <c r="AU140" s="19">
        <f t="shared" si="67"/>
        <v>7941.3339265609084</v>
      </c>
      <c r="AV140" s="19">
        <f t="shared" si="68"/>
        <v>8026.4159175965424</v>
      </c>
      <c r="AW140">
        <f t="shared" si="69"/>
        <v>-106.51357614070602</v>
      </c>
      <c r="AX140">
        <f>IF(B140&gt;$AF$2,0,HLOOKUP(YEAR(A140),Assumptions!$A$34:$AL$37,2,TRUE)/100)</f>
        <v>1.6858999999999999E-2</v>
      </c>
      <c r="AY140" s="32">
        <f>1/(1+HLOOKUP(YEAR(A140),Assumptions!$A$27:$AL$29,3,TRUE))^(1/12)</f>
        <v>0.9986891543836689</v>
      </c>
      <c r="AZ140" s="30">
        <f t="shared" ref="AZ140:AZ203" si="84">(AZ141+AN141+AO141+AQ141-P141)*AY141</f>
        <v>8977.5722668651433</v>
      </c>
      <c r="BA140">
        <f>IF(B140&gt;$AF$2,0,IF($E$2=0,(T140*Z140+(1-T140)*AA140)*$J$2*Assumptions!$B$20,0))</f>
        <v>0</v>
      </c>
    </row>
    <row r="141" spans="1:53" x14ac:dyDescent="0.25">
      <c r="A141" s="17">
        <f t="shared" ref="A141:A204" si="85">DATE(YEAR(A140),MONTH(A140)+2,1)-1</f>
        <v>47057</v>
      </c>
      <c r="B141">
        <f t="shared" si="77"/>
        <v>360</v>
      </c>
      <c r="C141">
        <f t="shared" si="78"/>
        <v>29.916666666666668</v>
      </c>
      <c r="D141">
        <f t="shared" si="71"/>
        <v>0</v>
      </c>
      <c r="E141">
        <f t="shared" si="79"/>
        <v>52</v>
      </c>
      <c r="F141">
        <f>IF(C141&gt;=$H$2,0,VLOOKUP($E141,'Mortality Table'!$A$3:$C$128,2+AB$2,FALSE))</f>
        <v>1.8298000000000001E-3</v>
      </c>
      <c r="G141">
        <f>F141*Assumptions!$B$1</f>
        <v>1.9807585000000002E-3</v>
      </c>
      <c r="H141">
        <f t="shared" ref="H141:H204" si="86">(1-(1-G141)^(1/12))</f>
        <v>1.6521325048846069E-4</v>
      </c>
      <c r="I141">
        <f t="shared" si="72"/>
        <v>1.1067971349101825E-4</v>
      </c>
      <c r="J141">
        <f>HLOOKUP(C141,Assumptions!$A$6:$J$7,2,TRUE)</f>
        <v>3.5200000000000002E-2</v>
      </c>
      <c r="K141" s="18">
        <f t="shared" si="80"/>
        <v>1</v>
      </c>
      <c r="L141" s="18">
        <f t="shared" ref="L141:L204" si="87">1/12</f>
        <v>8.3333333333333329E-2</v>
      </c>
      <c r="M141" s="18">
        <f t="shared" si="73"/>
        <v>2.9817501439168836E-3</v>
      </c>
      <c r="N141">
        <f t="shared" si="74"/>
        <v>2.0003522736799502E-3</v>
      </c>
      <c r="O141" s="20">
        <f t="shared" si="75"/>
        <v>0.66880954590333641</v>
      </c>
      <c r="P141">
        <f>IF(B141&gt;$AF$2,0,O140*($E$2+IF(E141&lt;=Assumptions!$B$9,$D$2,0))/$I$2*K141)</f>
        <v>34.362315597625475</v>
      </c>
      <c r="Q141">
        <f t="shared" ref="Q141:Q204" si="88">IF(B141&gt;$AF$2,0,Q140+AI140)</f>
        <v>26.1</v>
      </c>
      <c r="R141">
        <f>IF(B141&gt;$AF$2,0,IF($Y$2=1,(SUMIF('Mortality Tarif Male'!A:A,E142,'Mortality Tarif Male'!G:G)-SUMIF('Mortality Tarif Male'!A:A,$C$2+$H$2,'Mortality Tarif Male'!G:G)+SUMIF('Mortality Tarif Male'!A:A,$C$2+$H$2,'Mortality Tarif Male'!D:D))/SUMIF('Mortality Tarif Male'!A:A,E142,'Mortality Tarif Male'!D:D),(SUMIF('Mortality Tarif Female'!A:A,E142,'Mortality Tarif Female'!G:G)-SUMIF('Mortality Tarif Female'!A:A,$C$2+$H$2,'Mortality Tarif Female'!G:G)+SUMIF('Mortality Tarif Female'!A:A,$C$2+$H$2,'Mortality Tarif Female'!D:D))/SUMIF('Mortality Tarif Female'!A:A,E142,'Mortality Tarif Female'!D:D)))</f>
        <v>0.71339525769249212</v>
      </c>
      <c r="S141">
        <f>IF(B141&gt;=$AF$2,0,IF($Y$2=1,(SUMIF('Mortality Tarif Male'!A:A,E142+1,'Mortality Tarif Male'!G:G)-SUMIF('Mortality Tarif Male'!A:A,$C$2+$H$2,'Mortality Tarif Male'!G:G)+SUMIF('Mortality Tarif Male'!A:A,$C$2+$H$2,'Mortality Tarif Male'!D:D))/SUMIF('Mortality Tarif Male'!A:A,E142+1,'Mortality Tarif Male'!D:D),(SUMIF('Mortality Tarif Female'!A:A,E142+1,'Mortality Tarif Female'!G:G)-SUMIF('Mortality Tarif Female'!A:A,$C$2+$H$2,'Mortality Tarif Female'!G:G)+SUMIF('Mortality Tarif Female'!A:A,$C$2+$H$2,'Mortality Tarif Female'!D:D))/SUMIF('Mortality Tarif Female'!A:A,E142+1,'Mortality Tarif Female'!D:D)))</f>
        <v>0.73766332282839753</v>
      </c>
      <c r="T141">
        <f t="shared" ref="T141:T204" si="89">INT(B141/12)+1-B141/12</f>
        <v>1</v>
      </c>
      <c r="U141">
        <f t="shared" ref="U141:U204" si="90">IF(B141&gt;=$AF$2,0,(T141*R141+(1-T141)*S141))</f>
        <v>0.71339525769249212</v>
      </c>
      <c r="V141">
        <f t="shared" ref="V141:V204" si="91">U141*$J$2</f>
        <v>14267.905153849842</v>
      </c>
      <c r="W141">
        <f t="shared" si="81"/>
        <v>18.619616225774045</v>
      </c>
      <c r="X141">
        <f t="shared" si="82"/>
        <v>0</v>
      </c>
      <c r="Y141">
        <f>IF(B141&gt;$AF$2,0,IF(X142=0,0,(1-X142)*($E$2+IF(E141&lt;=Assumptions!$B$9,$D$2,0))/$I$2*1/(1+$AG$2)*1/(1+Assumptions!$B$11)))</f>
        <v>0</v>
      </c>
      <c r="Z141">
        <f>IF(B141&gt;$AF$2,0,IF($Y$2=1,(SUMIF('Mortality Tarif Male'!A:A,E142,'Mortality Tarif Male'!E:E)-SUMIF('Mortality Tarif Male'!A:A,$C$2+$H$2,'Mortality Tarif Male'!E:E))/SUMIF('Mortality Tarif Male'!A:A,E142,'Mortality Tarif Male'!D:D),(SUMIF('Mortality Tarif Female'!A:A,E142,'Mortality Tarif Female'!E:E)-SUMIF('Mortality Tarif Female'!A:A,$C$2+$H$2,'Mortality Tarif Female'!E:E))/SUMIF('Mortality Tarif Female'!A:A,E142,'Mortality Tarif Female'!D:D)))</f>
        <v>8.4909785042490427</v>
      </c>
      <c r="AA141">
        <f>IF(B141&gt;=$AF$2,0,IF($Y$2=1,(SUMIF('Mortality Tarif Male'!A:A,E142+1,'Mortality Tarif Male'!E:E)-SUMIF('Mortality Tarif Male'!A:A,$C$2+$H$2,'Mortality Tarif Male'!E:E))/SUMIF('Mortality Tarif Male'!A:A,E142+1,'Mortality Tarif Male'!D:D),(SUMIF('Mortality Tarif Female'!A:A,E142+1,'Mortality Tarif Female'!E:E)-SUMIF('Mortality Tarif Female'!A:A,$C$2+$H$2,'Mortality Tarif Female'!E:E))/SUMIF('Mortality Tarif Female'!A:A,E142+1,'Mortality Tarif Female'!D:D)))</f>
        <v>7.7726375168561397</v>
      </c>
      <c r="AB141">
        <f t="shared" si="76"/>
        <v>2044.837876624227</v>
      </c>
      <c r="AC141">
        <f>IF(B141&gt;=$AF$2,0,MIN(1/3*(V141+W141+Y141-AB141),(V141-AB141),(T141*Z141+(1-T141)*AA141)*$AH$2*Assumptions!$B$22))</f>
        <v>221.32568395883166</v>
      </c>
      <c r="AD141">
        <f t="shared" ref="AD141:AD204" si="92">V141+W141+Y141-AB141-AC141</f>
        <v>12020.361209492557</v>
      </c>
      <c r="AE141">
        <f t="shared" ref="AE141:AE204" si="93">AD141-Y141+AC141</f>
        <v>12241.68689345139</v>
      </c>
      <c r="AF141">
        <f t="shared" ref="AF141:AF204" si="94">AE141-AC141</f>
        <v>12020.361209492557</v>
      </c>
      <c r="AG141" s="26">
        <f t="shared" si="70"/>
        <v>0</v>
      </c>
      <c r="AH141" s="27">
        <f>IF(B141&gt;$AF$2,0,HLOOKUP(YEAR(A141),Assumptions!$A$34:$AL$37,4,TRUE)/100)</f>
        <v>1.0859000000000001E-2</v>
      </c>
      <c r="AI141">
        <f t="shared" ref="AI141:AI204" si="95">IF(B141&gt;$AF$2,0,IF(MONTH(A141)=12,AG141*MAX(0,AH141-$K$2/100)/U141*MIN(12,B141)/12,0))</f>
        <v>0</v>
      </c>
      <c r="AJ141">
        <f t="shared" ref="AJ141:AJ204" si="96">I141*($J$2+Q141)</f>
        <v>2.2164830103424804</v>
      </c>
      <c r="AK141">
        <f t="shared" ref="AK141:AK204" si="97">(AD141+BA141)*N141</f>
        <v>24.044956875862713</v>
      </c>
      <c r="AL141">
        <f>IF(E141&gt;Assumptions!$B$9,0,SUMPRODUCT($P$2:$X$2,Assumptions!$A$43:$I$43)/$I$2*O140*K141)</f>
        <v>3.7581347802305607</v>
      </c>
      <c r="AM141">
        <f t="shared" ref="AM141:AM204" si="98">IF(B141-1=$AF$2,($J$2+Q140)*O140,0)</f>
        <v>0</v>
      </c>
      <c r="AN141">
        <f t="shared" ref="AN141:AN204" si="99">SUM(AJ141:AM141)</f>
        <v>30.019574666435751</v>
      </c>
      <c r="AO141">
        <f>IF(E141&gt;Assumptions!$B$9,0,($V$2+$X$2)/$I$2*O140*K141*Assumptions!$B$46)</f>
        <v>0</v>
      </c>
      <c r="AP141">
        <f>IF(B141&gt;$AF$2,0,AP140*(1+Assumptions!$B$52)^(1/12))</f>
        <v>1.113819668473683</v>
      </c>
      <c r="AQ141" s="29">
        <f>IF(B141&gt;$AF$2,0,O140*Assumptions!$B$48/12*AP140+AR141*Assumptions!$B$50/12)</f>
        <v>11.481193986265906</v>
      </c>
      <c r="AR141" s="31">
        <f t="shared" ref="AR141:AR204" si="100">AS140+AW140+AT141-AL141+BA140*O140</f>
        <v>7931.2739803125805</v>
      </c>
      <c r="AS141">
        <f t="shared" si="83"/>
        <v>8039.3323221147966</v>
      </c>
      <c r="AT141">
        <f t="shared" ref="AT141:AT204" si="101">$AI$2/$I$2*O140*K141</f>
        <v>13.46452403562389</v>
      </c>
      <c r="AU141" s="19">
        <f t="shared" ref="AU141:AU204" si="102">AS140+AW140+P141-AQ141-AO141-AL141</f>
        <v>7940.6905778883165</v>
      </c>
      <c r="AV141" s="19">
        <f t="shared" ref="AV141:AV204" si="103">AF140*O140+AT141-AL141</f>
        <v>8037.7875564532869</v>
      </c>
      <c r="AW141">
        <f t="shared" ref="AW141:AW204" si="104">IF(B141&gt;$AF$2,0,IF(MONTH(A141)=12,0,AW140+AU141*((1+AX141)^(1/12)-1)-AV141*((1+$K$2/100)^(1/12)-1)))</f>
        <v>-118.51852731685005</v>
      </c>
      <c r="AX141">
        <f>IF(B141&gt;$AF$2,0,HLOOKUP(YEAR(A141),Assumptions!$A$34:$AL$37,2,TRUE)/100)</f>
        <v>1.6858999999999999E-2</v>
      </c>
      <c r="AY141" s="32">
        <f>1/(1+HLOOKUP(YEAR(A141),Assumptions!$A$27:$AL$29,3,TRUE))^(1/12)</f>
        <v>0.9986891543836689</v>
      </c>
      <c r="AZ141" s="30">
        <f t="shared" si="84"/>
        <v>8982.2174716175632</v>
      </c>
      <c r="BA141">
        <f>IF(B141&gt;$AF$2,0,IF($E$2=0,(T141*Z141+(1-T141)*AA141)*$J$2*Assumptions!$B$20,0))</f>
        <v>0</v>
      </c>
    </row>
    <row r="142" spans="1:53" x14ac:dyDescent="0.25">
      <c r="A142" s="17">
        <f t="shared" si="85"/>
        <v>47087</v>
      </c>
      <c r="B142">
        <f t="shared" si="77"/>
        <v>361</v>
      </c>
      <c r="C142">
        <f t="shared" si="78"/>
        <v>30</v>
      </c>
      <c r="D142">
        <f t="shared" si="71"/>
        <v>1</v>
      </c>
      <c r="E142">
        <f t="shared" si="79"/>
        <v>53</v>
      </c>
      <c r="F142">
        <f>IF(C142&gt;=$H$2,0,VLOOKUP($E142,'Mortality Table'!$A$3:$C$128,2+AB$2,FALSE))</f>
        <v>2.0413000000000002E-3</v>
      </c>
      <c r="G142">
        <f>F142*Assumptions!$B$1</f>
        <v>2.2097072500000003E-3</v>
      </c>
      <c r="H142">
        <f t="shared" si="86"/>
        <v>1.843290306129397E-4</v>
      </c>
      <c r="I142">
        <f t="shared" si="72"/>
        <v>1.2309721866854398E-4</v>
      </c>
      <c r="J142">
        <f>HLOOKUP(C142,Assumptions!$A$6:$J$7,2,TRUE)</f>
        <v>3.5200000000000002E-2</v>
      </c>
      <c r="K142" s="18">
        <f t="shared" si="80"/>
        <v>1</v>
      </c>
      <c r="L142" s="18">
        <f t="shared" si="87"/>
        <v>8.3333333333333329E-2</v>
      </c>
      <c r="M142" s="18">
        <f t="shared" si="73"/>
        <v>2.9817501439168836E-3</v>
      </c>
      <c r="N142">
        <f t="shared" si="74"/>
        <v>1.9940391631577603E-3</v>
      </c>
      <c r="O142" s="20">
        <f t="shared" si="75"/>
        <v>0.6666924095215101</v>
      </c>
      <c r="P142">
        <f>IF(B142&gt;$AF$2,0,O141*($E$2+IF(E142&lt;=Assumptions!$B$9,$D$2,0))/$I$2*K142)</f>
        <v>34.254195576015874</v>
      </c>
      <c r="Q142">
        <f t="shared" si="88"/>
        <v>26.1</v>
      </c>
      <c r="R142">
        <f>IF(B142&gt;$AF$2,0,IF($Y$2=1,(SUMIF('Mortality Tarif Male'!A:A,E143,'Mortality Tarif Male'!G:G)-SUMIF('Mortality Tarif Male'!A:A,$C$2+$H$2,'Mortality Tarif Male'!G:G)+SUMIF('Mortality Tarif Male'!A:A,$C$2+$H$2,'Mortality Tarif Male'!D:D))/SUMIF('Mortality Tarif Male'!A:A,E143,'Mortality Tarif Male'!D:D),(SUMIF('Mortality Tarif Female'!A:A,E143,'Mortality Tarif Female'!G:G)-SUMIF('Mortality Tarif Female'!A:A,$C$2+$H$2,'Mortality Tarif Female'!G:G)+SUMIF('Mortality Tarif Female'!A:A,$C$2+$H$2,'Mortality Tarif Female'!D:D))/SUMIF('Mortality Tarif Female'!A:A,E143,'Mortality Tarif Female'!D:D)))</f>
        <v>0.71339525769249212</v>
      </c>
      <c r="S142">
        <f>IF(B142&gt;=$AF$2,0,IF($Y$2=1,(SUMIF('Mortality Tarif Male'!A:A,E143+1,'Mortality Tarif Male'!G:G)-SUMIF('Mortality Tarif Male'!A:A,$C$2+$H$2,'Mortality Tarif Male'!G:G)+SUMIF('Mortality Tarif Male'!A:A,$C$2+$H$2,'Mortality Tarif Male'!D:D))/SUMIF('Mortality Tarif Male'!A:A,E143+1,'Mortality Tarif Male'!D:D),(SUMIF('Mortality Tarif Female'!A:A,E143+1,'Mortality Tarif Female'!G:G)-SUMIF('Mortality Tarif Female'!A:A,$C$2+$H$2,'Mortality Tarif Female'!G:G)+SUMIF('Mortality Tarif Female'!A:A,$C$2+$H$2,'Mortality Tarif Female'!D:D))/SUMIF('Mortality Tarif Female'!A:A,E143+1,'Mortality Tarif Female'!D:D)))</f>
        <v>0.73766332282839753</v>
      </c>
      <c r="T142">
        <f t="shared" si="89"/>
        <v>0.91666666666666785</v>
      </c>
      <c r="U142">
        <f t="shared" si="90"/>
        <v>0.71541759645381764</v>
      </c>
      <c r="V142">
        <f t="shared" si="91"/>
        <v>14308.351929076352</v>
      </c>
      <c r="W142">
        <f t="shared" si="81"/>
        <v>18.672399267444643</v>
      </c>
      <c r="X142">
        <f t="shared" si="82"/>
        <v>0</v>
      </c>
      <c r="Y142">
        <f>IF(B142&gt;$AF$2,0,IF(X143=0,0,(1-X143)*($E$2+IF(E142&lt;=Assumptions!$B$9,$D$2,0))/$I$2*1/(1+$AG$2)*1/(1+Assumptions!$B$11)))</f>
        <v>0</v>
      </c>
      <c r="Z142">
        <f>IF(B142&gt;$AF$2,0,IF($Y$2=1,(SUMIF('Mortality Tarif Male'!A:A,E143,'Mortality Tarif Male'!E:E)-SUMIF('Mortality Tarif Male'!A:A,$C$2+$H$2,'Mortality Tarif Male'!E:E))/SUMIF('Mortality Tarif Male'!A:A,E143,'Mortality Tarif Male'!D:D),(SUMIF('Mortality Tarif Female'!A:A,E143,'Mortality Tarif Female'!E:E)-SUMIF('Mortality Tarif Female'!A:A,$C$2+$H$2,'Mortality Tarif Female'!E:E))/SUMIF('Mortality Tarif Female'!A:A,E143,'Mortality Tarif Female'!D:D)))</f>
        <v>8.4909785042490427</v>
      </c>
      <c r="AA142">
        <f>IF(B142&gt;=$AF$2,0,IF($Y$2=1,(SUMIF('Mortality Tarif Male'!A:A,E143+1,'Mortality Tarif Male'!E:E)-SUMIF('Mortality Tarif Male'!A:A,$C$2+$H$2,'Mortality Tarif Male'!E:E))/SUMIF('Mortality Tarif Male'!A:A,E143+1,'Mortality Tarif Male'!D:D),(SUMIF('Mortality Tarif Female'!A:A,E143+1,'Mortality Tarif Female'!E:E)-SUMIF('Mortality Tarif Female'!A:A,$C$2+$H$2,'Mortality Tarif Female'!E:E))/SUMIF('Mortality Tarif Female'!A:A,E143+1,'Mortality Tarif Female'!D:D)))</f>
        <v>7.7726375168561397</v>
      </c>
      <c r="AB142">
        <f t="shared" si="76"/>
        <v>2030.4216851862834</v>
      </c>
      <c r="AC142">
        <f>IF(B142&gt;=$AF$2,0,MIN(1/3*(V142+W142+Y142-AB142),(V142-AB142),(T142*Z142+(1-T142)*AA142)*$AH$2*Assumptions!$B$22))</f>
        <v>219.76532875094017</v>
      </c>
      <c r="AD142">
        <f t="shared" si="92"/>
        <v>12076.837314406574</v>
      </c>
      <c r="AE142">
        <f t="shared" si="93"/>
        <v>12296.602643157514</v>
      </c>
      <c r="AF142">
        <f t="shared" si="94"/>
        <v>12076.837314406574</v>
      </c>
      <c r="AG142" s="26">
        <f t="shared" si="70"/>
        <v>0</v>
      </c>
      <c r="AH142" s="27">
        <f>IF(B142&gt;$AF$2,0,HLOOKUP(YEAR(A142),Assumptions!$A$34:$AL$37,4,TRUE)/100)</f>
        <v>1.0859000000000001E-2</v>
      </c>
      <c r="AI142">
        <f t="shared" si="95"/>
        <v>0</v>
      </c>
      <c r="AJ142">
        <f t="shared" si="96"/>
        <v>2.4651572107781283</v>
      </c>
      <c r="AK142">
        <f t="shared" si="97"/>
        <v>24.081686572011698</v>
      </c>
      <c r="AL142">
        <f>IF(E142&gt;Assumptions!$B$9,0,SUMPRODUCT($P$2:$X$2,Assumptions!$A$43:$I$43)/$I$2*O141*K142)</f>
        <v>3.7463099189957023</v>
      </c>
      <c r="AM142">
        <f t="shared" si="98"/>
        <v>0</v>
      </c>
      <c r="AN142">
        <f t="shared" si="99"/>
        <v>30.293153701785528</v>
      </c>
      <c r="AO142">
        <f>IF(E142&gt;Assumptions!$B$9,0,($V$2+$X$2)/$I$2*O141*K142*Assumptions!$B$46)</f>
        <v>0</v>
      </c>
      <c r="AP142">
        <f>IF(B142&gt;$AF$2,0,AP141*(1+Assumptions!$B$52)^(1/12))</f>
        <v>1.1147436243411903</v>
      </c>
      <c r="AQ142" s="29">
        <f>IF(B142&gt;$AF$2,0,O141*Assumptions!$B$48/12*AP141+AR142*Assumptions!$B$50/12)</f>
        <v>11.458819242158205</v>
      </c>
      <c r="AR142" s="31">
        <f t="shared" si="100"/>
        <v>7930.4896431832685</v>
      </c>
      <c r="AS142">
        <f t="shared" si="83"/>
        <v>8051.5357685410017</v>
      </c>
      <c r="AT142">
        <f t="shared" si="101"/>
        <v>13.422158304316909</v>
      </c>
      <c r="AU142" s="19">
        <f t="shared" si="102"/>
        <v>7939.8628612128095</v>
      </c>
      <c r="AV142" s="19">
        <f t="shared" si="103"/>
        <v>8049.0081705001185</v>
      </c>
      <c r="AW142">
        <f t="shared" si="104"/>
        <v>-130.55684572248288</v>
      </c>
      <c r="AX142">
        <f>IF(B142&gt;$AF$2,0,HLOOKUP(YEAR(A142),Assumptions!$A$34:$AL$37,2,TRUE)/100)</f>
        <v>1.6858999999999999E-2</v>
      </c>
      <c r="AY142" s="32">
        <f>1/(1+HLOOKUP(YEAR(A142),Assumptions!$A$27:$AL$29,3,TRUE))^(1/12)</f>
        <v>0.9986891543836689</v>
      </c>
      <c r="AZ142" s="30">
        <f t="shared" si="84"/>
        <v>8986.5094491958262</v>
      </c>
      <c r="BA142">
        <f>IF(B142&gt;$AF$2,0,IF($E$2=0,(T142*Z142+(1-T142)*AA142)*$J$2*Assumptions!$B$20,0))</f>
        <v>0</v>
      </c>
    </row>
    <row r="143" spans="1:53" x14ac:dyDescent="0.25">
      <c r="A143" s="17">
        <f t="shared" si="85"/>
        <v>47118</v>
      </c>
      <c r="B143">
        <f t="shared" si="77"/>
        <v>362</v>
      </c>
      <c r="C143">
        <f t="shared" si="78"/>
        <v>30.083333333333332</v>
      </c>
      <c r="D143">
        <f t="shared" si="71"/>
        <v>0</v>
      </c>
      <c r="E143">
        <f t="shared" si="79"/>
        <v>53</v>
      </c>
      <c r="F143">
        <f>IF(C143&gt;=$H$2,0,VLOOKUP($E143,'Mortality Table'!$A$3:$C$128,2+AB$2,FALSE))</f>
        <v>2.0413000000000002E-3</v>
      </c>
      <c r="G143">
        <f>F143*Assumptions!$B$1</f>
        <v>2.2097072500000003E-3</v>
      </c>
      <c r="H143">
        <f t="shared" si="86"/>
        <v>1.843290306129397E-4</v>
      </c>
      <c r="I143">
        <f t="shared" si="72"/>
        <v>1.2270755078515154E-4</v>
      </c>
      <c r="J143">
        <f>HLOOKUP(C143,Assumptions!$A$6:$J$7,2,TRUE)</f>
        <v>3.5200000000000002E-2</v>
      </c>
      <c r="K143" s="18">
        <f t="shared" si="80"/>
        <v>1</v>
      </c>
      <c r="L143" s="18">
        <f t="shared" si="87"/>
        <v>8.3333333333333329E-2</v>
      </c>
      <c r="M143" s="18">
        <f t="shared" si="73"/>
        <v>2.9817501439168836E-3</v>
      </c>
      <c r="N143">
        <f t="shared" si="74"/>
        <v>1.9877269732601036E-3</v>
      </c>
      <c r="O143" s="20">
        <f t="shared" si="75"/>
        <v>0.66458197499746485</v>
      </c>
      <c r="P143">
        <f>IF(B143&gt;$AF$2,0,O142*($E$2+IF(E143&lt;=Assumptions!$B$9,$D$2,0))/$I$2*K143)</f>
        <v>34.145762907660007</v>
      </c>
      <c r="Q143">
        <f t="shared" si="88"/>
        <v>26.1</v>
      </c>
      <c r="R143">
        <f>IF(B143&gt;$AF$2,0,IF($Y$2=1,(SUMIF('Mortality Tarif Male'!A:A,E144,'Mortality Tarif Male'!G:G)-SUMIF('Mortality Tarif Male'!A:A,$C$2+$H$2,'Mortality Tarif Male'!G:G)+SUMIF('Mortality Tarif Male'!A:A,$C$2+$H$2,'Mortality Tarif Male'!D:D))/SUMIF('Mortality Tarif Male'!A:A,E144,'Mortality Tarif Male'!D:D),(SUMIF('Mortality Tarif Female'!A:A,E144,'Mortality Tarif Female'!G:G)-SUMIF('Mortality Tarif Female'!A:A,$C$2+$H$2,'Mortality Tarif Female'!G:G)+SUMIF('Mortality Tarif Female'!A:A,$C$2+$H$2,'Mortality Tarif Female'!D:D))/SUMIF('Mortality Tarif Female'!A:A,E144,'Mortality Tarif Female'!D:D)))</f>
        <v>0.71339525769249212</v>
      </c>
      <c r="S143">
        <f>IF(B143&gt;=$AF$2,0,IF($Y$2=1,(SUMIF('Mortality Tarif Male'!A:A,E144+1,'Mortality Tarif Male'!G:G)-SUMIF('Mortality Tarif Male'!A:A,$C$2+$H$2,'Mortality Tarif Male'!G:G)+SUMIF('Mortality Tarif Male'!A:A,$C$2+$H$2,'Mortality Tarif Male'!D:D))/SUMIF('Mortality Tarif Male'!A:A,E144+1,'Mortality Tarif Male'!D:D),(SUMIF('Mortality Tarif Female'!A:A,E144+1,'Mortality Tarif Female'!G:G)-SUMIF('Mortality Tarif Female'!A:A,$C$2+$H$2,'Mortality Tarif Female'!G:G)+SUMIF('Mortality Tarif Female'!A:A,$C$2+$H$2,'Mortality Tarif Female'!D:D))/SUMIF('Mortality Tarif Female'!A:A,E144+1,'Mortality Tarif Female'!D:D)))</f>
        <v>0.73766332282839753</v>
      </c>
      <c r="T143">
        <f t="shared" si="89"/>
        <v>0.83333333333333215</v>
      </c>
      <c r="U143">
        <f t="shared" si="90"/>
        <v>0.71743993521514304</v>
      </c>
      <c r="V143">
        <f t="shared" si="91"/>
        <v>14348.798704302861</v>
      </c>
      <c r="W143">
        <f t="shared" si="81"/>
        <v>18.725182309115233</v>
      </c>
      <c r="X143">
        <f t="shared" si="82"/>
        <v>0</v>
      </c>
      <c r="Y143">
        <f>IF(B143&gt;$AF$2,0,IF(X144=0,0,(1-X144)*($E$2+IF(E143&lt;=Assumptions!$B$9,$D$2,0))/$I$2*1/(1+$AG$2)*1/(1+Assumptions!$B$11)))</f>
        <v>0</v>
      </c>
      <c r="Z143">
        <f>IF(B143&gt;$AF$2,0,IF($Y$2=1,(SUMIF('Mortality Tarif Male'!A:A,E144,'Mortality Tarif Male'!E:E)-SUMIF('Mortality Tarif Male'!A:A,$C$2+$H$2,'Mortality Tarif Male'!E:E))/SUMIF('Mortality Tarif Male'!A:A,E144,'Mortality Tarif Male'!D:D),(SUMIF('Mortality Tarif Female'!A:A,E144,'Mortality Tarif Female'!E:E)-SUMIF('Mortality Tarif Female'!A:A,$C$2+$H$2,'Mortality Tarif Female'!E:E))/SUMIF('Mortality Tarif Female'!A:A,E144,'Mortality Tarif Female'!D:D)))</f>
        <v>8.4909785042490427</v>
      </c>
      <c r="AA143">
        <f>IF(B143&gt;=$AF$2,0,IF($Y$2=1,(SUMIF('Mortality Tarif Male'!A:A,E144+1,'Mortality Tarif Male'!E:E)-SUMIF('Mortality Tarif Male'!A:A,$C$2+$H$2,'Mortality Tarif Male'!E:E))/SUMIF('Mortality Tarif Male'!A:A,E144+1,'Mortality Tarif Male'!D:D),(SUMIF('Mortality Tarif Female'!A:A,E144+1,'Mortality Tarif Female'!E:E)-SUMIF('Mortality Tarif Female'!A:A,$C$2+$H$2,'Mortality Tarif Female'!E:E))/SUMIF('Mortality Tarif Female'!A:A,E144+1,'Mortality Tarif Female'!D:D)))</f>
        <v>7.7726375168561397</v>
      </c>
      <c r="AB143">
        <f t="shared" si="76"/>
        <v>2016.0054937483389</v>
      </c>
      <c r="AC143">
        <f>IF(B143&gt;=$AF$2,0,MIN(1/3*(V143+W143+Y143-AB143),(V143-AB143),(T143*Z143+(1-T143)*AA143)*$AH$2*Assumptions!$B$22))</f>
        <v>218.20497354304865</v>
      </c>
      <c r="AD143">
        <f t="shared" si="92"/>
        <v>12133.31341932059</v>
      </c>
      <c r="AE143">
        <f t="shared" si="93"/>
        <v>12351.518392863638</v>
      </c>
      <c r="AF143">
        <f t="shared" si="94"/>
        <v>12133.31341932059</v>
      </c>
      <c r="AG143" s="26">
        <f t="shared" si="70"/>
        <v>11829.762327589602</v>
      </c>
      <c r="AH143" s="27">
        <f>IF(B143&gt;$AF$2,0,HLOOKUP(YEAR(A143),Assumptions!$A$34:$AL$37,4,TRUE)/100)</f>
        <v>1.0859000000000001E-2</v>
      </c>
      <c r="AI143">
        <f t="shared" si="95"/>
        <v>0</v>
      </c>
      <c r="AJ143">
        <f t="shared" si="96"/>
        <v>2.457353682778523</v>
      </c>
      <c r="AK143">
        <f t="shared" si="97"/>
        <v>24.117714358602313</v>
      </c>
      <c r="AL143">
        <f>IF(E143&gt;Assumptions!$B$9,0,SUMPRODUCT($P$2:$X$2,Assumptions!$A$43:$I$43)/$I$2*O142*K143)</f>
        <v>3.7344508642383576</v>
      </c>
      <c r="AM143">
        <f t="shared" si="98"/>
        <v>0</v>
      </c>
      <c r="AN143">
        <f t="shared" si="99"/>
        <v>30.309518905619196</v>
      </c>
      <c r="AO143">
        <f>IF(E143&gt;Assumptions!$B$9,0,($V$2+$X$2)/$I$2*O142*K143*Assumptions!$B$46)</f>
        <v>0</v>
      </c>
      <c r="AP143">
        <f>IF(B143&gt;$AF$2,0,AP142*(1+Assumptions!$B$52)^(1/12))</f>
        <v>1.1156683466653057</v>
      </c>
      <c r="AQ143" s="29">
        <f>IF(B143&gt;$AF$2,0,O142*Assumptions!$B$48/12*AP142+AR143*Assumptions!$B$50/12)</f>
        <v>11.43653599441137</v>
      </c>
      <c r="AR143" s="31">
        <f t="shared" si="100"/>
        <v>7930.6241420198421</v>
      </c>
      <c r="AS143">
        <f t="shared" si="83"/>
        <v>8063.5813954753212</v>
      </c>
      <c r="AT143">
        <f t="shared" si="101"/>
        <v>13.379670065560807</v>
      </c>
      <c r="AU143" s="19">
        <f t="shared" si="102"/>
        <v>7939.95369886753</v>
      </c>
      <c r="AV143" s="19">
        <f t="shared" si="103"/>
        <v>8061.1809877423248</v>
      </c>
      <c r="AW143">
        <f t="shared" si="104"/>
        <v>0</v>
      </c>
      <c r="AX143">
        <f>IF(B143&gt;$AF$2,0,HLOOKUP(YEAR(A143),Assumptions!$A$34:$AL$37,2,TRUE)/100)</f>
        <v>1.6858999999999999E-2</v>
      </c>
      <c r="AY143" s="32">
        <f>1/(1+HLOOKUP(YEAR(A143),Assumptions!$A$27:$AL$29,3,TRUE))^(1/12)</f>
        <v>0.9986891543836689</v>
      </c>
      <c r="AZ143" s="30">
        <f t="shared" si="84"/>
        <v>8990.7045456542965</v>
      </c>
      <c r="BA143">
        <f>IF(B143&gt;$AF$2,0,IF($E$2=0,(T143*Z143+(1-T143)*AA143)*$J$2*Assumptions!$B$20,0))</f>
        <v>0</v>
      </c>
    </row>
    <row r="144" spans="1:53" x14ac:dyDescent="0.25">
      <c r="A144" s="17">
        <f t="shared" si="85"/>
        <v>47149</v>
      </c>
      <c r="B144">
        <f t="shared" si="77"/>
        <v>363</v>
      </c>
      <c r="C144">
        <f t="shared" si="78"/>
        <v>30.166666666666668</v>
      </c>
      <c r="D144">
        <f t="shared" si="71"/>
        <v>0</v>
      </c>
      <c r="E144">
        <f t="shared" si="79"/>
        <v>53</v>
      </c>
      <c r="F144">
        <f>IF(C144&gt;=$H$2,0,VLOOKUP($E144,'Mortality Table'!$A$3:$C$128,2+AB$2,FALSE))</f>
        <v>2.0413000000000002E-3</v>
      </c>
      <c r="G144">
        <f>F144*Assumptions!$B$1</f>
        <v>2.2097072500000003E-3</v>
      </c>
      <c r="H144">
        <f t="shared" si="86"/>
        <v>1.843290306129397E-4</v>
      </c>
      <c r="I144">
        <f t="shared" si="72"/>
        <v>1.2231911640695926E-4</v>
      </c>
      <c r="J144">
        <f>HLOOKUP(C144,Assumptions!$A$6:$J$7,2,TRUE)</f>
        <v>3.5200000000000002E-2</v>
      </c>
      <c r="K144" s="18">
        <f t="shared" si="80"/>
        <v>1</v>
      </c>
      <c r="L144" s="18">
        <f t="shared" si="87"/>
        <v>8.3333333333333329E-2</v>
      </c>
      <c r="M144" s="18">
        <f t="shared" si="73"/>
        <v>2.9817501439168836E-3</v>
      </c>
      <c r="N144">
        <f t="shared" si="74"/>
        <v>1.981434764786101E-3</v>
      </c>
      <c r="O144" s="20">
        <f t="shared" si="75"/>
        <v>0.66247822111627186</v>
      </c>
      <c r="P144">
        <f>IF(B144&gt;$AF$2,0,O143*($E$2+IF(E144&lt;=Assumptions!$B$9,$D$2,0))/$I$2*K144)</f>
        <v>34.037673486120156</v>
      </c>
      <c r="Q144">
        <f t="shared" si="88"/>
        <v>26.1</v>
      </c>
      <c r="R144">
        <f>IF(B144&gt;$AF$2,0,IF($Y$2=1,(SUMIF('Mortality Tarif Male'!A:A,E145,'Mortality Tarif Male'!G:G)-SUMIF('Mortality Tarif Male'!A:A,$C$2+$H$2,'Mortality Tarif Male'!G:G)+SUMIF('Mortality Tarif Male'!A:A,$C$2+$H$2,'Mortality Tarif Male'!D:D))/SUMIF('Mortality Tarif Male'!A:A,E145,'Mortality Tarif Male'!D:D),(SUMIF('Mortality Tarif Female'!A:A,E145,'Mortality Tarif Female'!G:G)-SUMIF('Mortality Tarif Female'!A:A,$C$2+$H$2,'Mortality Tarif Female'!G:G)+SUMIF('Mortality Tarif Female'!A:A,$C$2+$H$2,'Mortality Tarif Female'!D:D))/SUMIF('Mortality Tarif Female'!A:A,E145,'Mortality Tarif Female'!D:D)))</f>
        <v>0.71339525769249212</v>
      </c>
      <c r="S144">
        <f>IF(B144&gt;=$AF$2,0,IF($Y$2=1,(SUMIF('Mortality Tarif Male'!A:A,E145+1,'Mortality Tarif Male'!G:G)-SUMIF('Mortality Tarif Male'!A:A,$C$2+$H$2,'Mortality Tarif Male'!G:G)+SUMIF('Mortality Tarif Male'!A:A,$C$2+$H$2,'Mortality Tarif Male'!D:D))/SUMIF('Mortality Tarif Male'!A:A,E145+1,'Mortality Tarif Male'!D:D),(SUMIF('Mortality Tarif Female'!A:A,E145+1,'Mortality Tarif Female'!G:G)-SUMIF('Mortality Tarif Female'!A:A,$C$2+$H$2,'Mortality Tarif Female'!G:G)+SUMIF('Mortality Tarif Female'!A:A,$C$2+$H$2,'Mortality Tarif Female'!D:D))/SUMIF('Mortality Tarif Female'!A:A,E145+1,'Mortality Tarif Female'!D:D)))</f>
        <v>0.73766332282839753</v>
      </c>
      <c r="T144">
        <f t="shared" si="89"/>
        <v>0.75</v>
      </c>
      <c r="U144">
        <f t="shared" si="90"/>
        <v>0.71946227397646845</v>
      </c>
      <c r="V144">
        <f t="shared" si="91"/>
        <v>14389.245479529369</v>
      </c>
      <c r="W144">
        <f t="shared" si="81"/>
        <v>18.777965350785827</v>
      </c>
      <c r="X144">
        <f t="shared" si="82"/>
        <v>0</v>
      </c>
      <c r="Y144">
        <f>IF(B144&gt;$AF$2,0,IF(X145=0,0,(1-X145)*($E$2+IF(E144&lt;=Assumptions!$B$9,$D$2,0))/$I$2*1/(1+$AG$2)*1/(1+Assumptions!$B$11)))</f>
        <v>0</v>
      </c>
      <c r="Z144">
        <f>IF(B144&gt;$AF$2,0,IF($Y$2=1,(SUMIF('Mortality Tarif Male'!A:A,E145,'Mortality Tarif Male'!E:E)-SUMIF('Mortality Tarif Male'!A:A,$C$2+$H$2,'Mortality Tarif Male'!E:E))/SUMIF('Mortality Tarif Male'!A:A,E145,'Mortality Tarif Male'!D:D),(SUMIF('Mortality Tarif Female'!A:A,E145,'Mortality Tarif Female'!E:E)-SUMIF('Mortality Tarif Female'!A:A,$C$2+$H$2,'Mortality Tarif Female'!E:E))/SUMIF('Mortality Tarif Female'!A:A,E145,'Mortality Tarif Female'!D:D)))</f>
        <v>8.4909785042490427</v>
      </c>
      <c r="AA144">
        <f>IF(B144&gt;=$AF$2,0,IF($Y$2=1,(SUMIF('Mortality Tarif Male'!A:A,E145+1,'Mortality Tarif Male'!E:E)-SUMIF('Mortality Tarif Male'!A:A,$C$2+$H$2,'Mortality Tarif Male'!E:E))/SUMIF('Mortality Tarif Male'!A:A,E145+1,'Mortality Tarif Male'!D:D),(SUMIF('Mortality Tarif Female'!A:A,E145+1,'Mortality Tarif Female'!E:E)-SUMIF('Mortality Tarif Female'!A:A,$C$2+$H$2,'Mortality Tarif Female'!E:E))/SUMIF('Mortality Tarif Female'!A:A,E145+1,'Mortality Tarif Female'!D:D)))</f>
        <v>7.7726375168561397</v>
      </c>
      <c r="AB144">
        <f t="shared" si="76"/>
        <v>2001.5893023103949</v>
      </c>
      <c r="AC144">
        <f>IF(B144&gt;=$AF$2,0,MIN(1/3*(V144+W144+Y144-AB144),(V144-AB144),(T144*Z144+(1-T144)*AA144)*$AH$2*Assumptions!$B$22))</f>
        <v>216.64461833515713</v>
      </c>
      <c r="AD144">
        <f t="shared" si="92"/>
        <v>12189.789524234604</v>
      </c>
      <c r="AE144">
        <f t="shared" si="93"/>
        <v>12406.43414256976</v>
      </c>
      <c r="AF144">
        <f t="shared" si="94"/>
        <v>12189.789524234604</v>
      </c>
      <c r="AG144" s="26">
        <f t="shared" si="70"/>
        <v>0</v>
      </c>
      <c r="AH144" s="27">
        <f>IF(B144&gt;$AF$2,0,HLOOKUP(YEAR(A144),Assumptions!$A$34:$AL$37,4,TRUE)/100)</f>
        <v>1.1557999999999999E-2</v>
      </c>
      <c r="AI144">
        <f t="shared" si="95"/>
        <v>0</v>
      </c>
      <c r="AJ144">
        <f t="shared" si="96"/>
        <v>2.4495748570774065</v>
      </c>
      <c r="AK144">
        <f t="shared" si="97"/>
        <v>24.153272738743869</v>
      </c>
      <c r="AL144">
        <f>IF(E144&gt;Assumptions!$B$9,0,SUMPRODUCT($P$2:$X$2,Assumptions!$A$43:$I$43)/$I$2*O143*K144)</f>
        <v>3.7226293496692993</v>
      </c>
      <c r="AM144">
        <f t="shared" si="98"/>
        <v>0</v>
      </c>
      <c r="AN144">
        <f t="shared" si="99"/>
        <v>30.325476945490571</v>
      </c>
      <c r="AO144">
        <f>IF(E144&gt;Assumptions!$B$9,0,($V$2+$X$2)/$I$2*O143*K144*Assumptions!$B$46)</f>
        <v>0</v>
      </c>
      <c r="AP144">
        <f>IF(B144&gt;$AF$2,0,AP143*(1+Assumptions!$B$52)^(1/12))</f>
        <v>1.1165938360818342</v>
      </c>
      <c r="AQ144" s="29">
        <f>IF(B144&gt;$AF$2,0,O143*Assumptions!$B$48/12*AP143+AR144*Assumptions!$B$50/12)</f>
        <v>11.448727316387311</v>
      </c>
      <c r="AR144" s="31">
        <f t="shared" si="100"/>
        <v>8073.1960824502312</v>
      </c>
      <c r="AS144">
        <f t="shared" si="83"/>
        <v>8075.4700797967062</v>
      </c>
      <c r="AT144">
        <f t="shared" si="101"/>
        <v>13.337316324580074</v>
      </c>
      <c r="AU144" s="19">
        <f t="shared" si="102"/>
        <v>8082.447712295384</v>
      </c>
      <c r="AV144" s="19">
        <f t="shared" si="103"/>
        <v>8073.1960824502312</v>
      </c>
      <c r="AW144">
        <f t="shared" si="104"/>
        <v>-11.445474626103675</v>
      </c>
      <c r="AX144">
        <f>IF(B144&gt;$AF$2,0,HLOOKUP(YEAR(A144),Assumptions!$A$34:$AL$37,2,TRUE)/100)</f>
        <v>1.7558000000000001E-2</v>
      </c>
      <c r="AY144" s="32">
        <f>1/(1+HLOOKUP(YEAR(A144),Assumptions!$A$27:$AL$29,3,TRUE))^(1/12)</f>
        <v>0.99860760101943147</v>
      </c>
      <c r="AZ144" s="30">
        <f t="shared" si="84"/>
        <v>8995.504117979679</v>
      </c>
      <c r="BA144">
        <f>IF(B144&gt;$AF$2,0,IF($E$2=0,(T144*Z144+(1-T144)*AA144)*$J$2*Assumptions!$B$20,0))</f>
        <v>0</v>
      </c>
    </row>
    <row r="145" spans="1:53" x14ac:dyDescent="0.25">
      <c r="A145" s="17">
        <f t="shared" si="85"/>
        <v>47177</v>
      </c>
      <c r="B145">
        <f t="shared" si="77"/>
        <v>364</v>
      </c>
      <c r="C145">
        <f t="shared" si="78"/>
        <v>30.25</v>
      </c>
      <c r="D145">
        <f t="shared" si="71"/>
        <v>0</v>
      </c>
      <c r="E145">
        <f t="shared" si="79"/>
        <v>53</v>
      </c>
      <c r="F145">
        <f>IF(C145&gt;=$H$2,0,VLOOKUP($E145,'Mortality Table'!$A$3:$C$128,2+AB$2,FALSE))</f>
        <v>2.0413000000000002E-3</v>
      </c>
      <c r="G145">
        <f>F145*Assumptions!$B$1</f>
        <v>2.2097072500000003E-3</v>
      </c>
      <c r="H145">
        <f t="shared" si="86"/>
        <v>1.843290306129397E-4</v>
      </c>
      <c r="I145">
        <f t="shared" si="72"/>
        <v>1.219319116292699E-4</v>
      </c>
      <c r="J145">
        <f>HLOOKUP(C145,Assumptions!$A$6:$J$7,2,TRUE)</f>
        <v>3.5200000000000002E-2</v>
      </c>
      <c r="K145" s="18">
        <f t="shared" si="80"/>
        <v>1</v>
      </c>
      <c r="L145" s="18">
        <f t="shared" si="87"/>
        <v>8.3333333333333329E-2</v>
      </c>
      <c r="M145" s="18">
        <f t="shared" si="73"/>
        <v>2.9817501439168836E-3</v>
      </c>
      <c r="N145">
        <f t="shared" si="74"/>
        <v>1.9751624744839677E-3</v>
      </c>
      <c r="O145" s="20">
        <f t="shared" si="75"/>
        <v>0.6603811267301587</v>
      </c>
      <c r="P145">
        <f>IF(B145&gt;$AF$2,0,O144*($E$2+IF(E145&lt;=Assumptions!$B$9,$D$2,0))/$I$2*K145)</f>
        <v>33.92992622483839</v>
      </c>
      <c r="Q145">
        <f t="shared" si="88"/>
        <v>26.1</v>
      </c>
      <c r="R145">
        <f>IF(B145&gt;$AF$2,0,IF($Y$2=1,(SUMIF('Mortality Tarif Male'!A:A,E146,'Mortality Tarif Male'!G:G)-SUMIF('Mortality Tarif Male'!A:A,$C$2+$H$2,'Mortality Tarif Male'!G:G)+SUMIF('Mortality Tarif Male'!A:A,$C$2+$H$2,'Mortality Tarif Male'!D:D))/SUMIF('Mortality Tarif Male'!A:A,E146,'Mortality Tarif Male'!D:D),(SUMIF('Mortality Tarif Female'!A:A,E146,'Mortality Tarif Female'!G:G)-SUMIF('Mortality Tarif Female'!A:A,$C$2+$H$2,'Mortality Tarif Female'!G:G)+SUMIF('Mortality Tarif Female'!A:A,$C$2+$H$2,'Mortality Tarif Female'!D:D))/SUMIF('Mortality Tarif Female'!A:A,E146,'Mortality Tarif Female'!D:D)))</f>
        <v>0.71339525769249212</v>
      </c>
      <c r="S145">
        <f>IF(B145&gt;=$AF$2,0,IF($Y$2=1,(SUMIF('Mortality Tarif Male'!A:A,E146+1,'Mortality Tarif Male'!G:G)-SUMIF('Mortality Tarif Male'!A:A,$C$2+$H$2,'Mortality Tarif Male'!G:G)+SUMIF('Mortality Tarif Male'!A:A,$C$2+$H$2,'Mortality Tarif Male'!D:D))/SUMIF('Mortality Tarif Male'!A:A,E146+1,'Mortality Tarif Male'!D:D),(SUMIF('Mortality Tarif Female'!A:A,E146+1,'Mortality Tarif Female'!G:G)-SUMIF('Mortality Tarif Female'!A:A,$C$2+$H$2,'Mortality Tarif Female'!G:G)+SUMIF('Mortality Tarif Female'!A:A,$C$2+$H$2,'Mortality Tarif Female'!D:D))/SUMIF('Mortality Tarif Female'!A:A,E146+1,'Mortality Tarif Female'!D:D)))</f>
        <v>0.73766332282839753</v>
      </c>
      <c r="T145">
        <f t="shared" si="89"/>
        <v>0.66666666666666785</v>
      </c>
      <c r="U145">
        <f t="shared" si="90"/>
        <v>0.72148461273779396</v>
      </c>
      <c r="V145">
        <f t="shared" si="91"/>
        <v>14429.692254755879</v>
      </c>
      <c r="W145">
        <f t="shared" si="81"/>
        <v>18.830748392456425</v>
      </c>
      <c r="X145">
        <f t="shared" si="82"/>
        <v>0</v>
      </c>
      <c r="Y145">
        <f>IF(B145&gt;$AF$2,0,IF(X146=0,0,(1-X146)*($E$2+IF(E145&lt;=Assumptions!$B$9,$D$2,0))/$I$2*1/(1+$AG$2)*1/(1+Assumptions!$B$11)))</f>
        <v>0</v>
      </c>
      <c r="Z145">
        <f>IF(B145&gt;$AF$2,0,IF($Y$2=1,(SUMIF('Mortality Tarif Male'!A:A,E146,'Mortality Tarif Male'!E:E)-SUMIF('Mortality Tarif Male'!A:A,$C$2+$H$2,'Mortality Tarif Male'!E:E))/SUMIF('Mortality Tarif Male'!A:A,E146,'Mortality Tarif Male'!D:D),(SUMIF('Mortality Tarif Female'!A:A,E146,'Mortality Tarif Female'!E:E)-SUMIF('Mortality Tarif Female'!A:A,$C$2+$H$2,'Mortality Tarif Female'!E:E))/SUMIF('Mortality Tarif Female'!A:A,E146,'Mortality Tarif Female'!D:D)))</f>
        <v>8.4909785042490427</v>
      </c>
      <c r="AA145">
        <f>IF(B145&gt;=$AF$2,0,IF($Y$2=1,(SUMIF('Mortality Tarif Male'!A:A,E146+1,'Mortality Tarif Male'!E:E)-SUMIF('Mortality Tarif Male'!A:A,$C$2+$H$2,'Mortality Tarif Male'!E:E))/SUMIF('Mortality Tarif Male'!A:A,E146+1,'Mortality Tarif Male'!D:D),(SUMIF('Mortality Tarif Female'!A:A,E146+1,'Mortality Tarif Female'!E:E)-SUMIF('Mortality Tarif Female'!A:A,$C$2+$H$2,'Mortality Tarif Female'!E:E))/SUMIF('Mortality Tarif Female'!A:A,E146+1,'Mortality Tarif Female'!D:D)))</f>
        <v>7.7726375168561397</v>
      </c>
      <c r="AB145">
        <f t="shared" si="76"/>
        <v>1987.1731108724512</v>
      </c>
      <c r="AC145">
        <f>IF(B145&gt;=$AF$2,0,MIN(1/3*(V145+W145+Y145-AB145),(V145-AB145),(T145*Z145+(1-T145)*AA145)*$AH$2*Assumptions!$B$22))</f>
        <v>215.0842631272657</v>
      </c>
      <c r="AD145">
        <f t="shared" si="92"/>
        <v>12246.265629148618</v>
      </c>
      <c r="AE145">
        <f t="shared" si="93"/>
        <v>12461.349892275884</v>
      </c>
      <c r="AF145">
        <f t="shared" si="94"/>
        <v>12246.265629148618</v>
      </c>
      <c r="AG145" s="26">
        <f t="shared" si="70"/>
        <v>0</v>
      </c>
      <c r="AH145" s="27">
        <f>IF(B145&gt;$AF$2,0,HLOOKUP(YEAR(A145),Assumptions!$A$34:$AL$37,4,TRUE)/100)</f>
        <v>1.1557999999999999E-2</v>
      </c>
      <c r="AI145">
        <f t="shared" si="95"/>
        <v>0</v>
      </c>
      <c r="AJ145">
        <f t="shared" si="96"/>
        <v>2.4418206554789217</v>
      </c>
      <c r="AK145">
        <f t="shared" si="97"/>
        <v>24.188364323257147</v>
      </c>
      <c r="AL145">
        <f>IF(E145&gt;Assumptions!$B$9,0,SUMPRODUCT($P$2:$X$2,Assumptions!$A$43:$I$43)/$I$2*O144*K145)</f>
        <v>3.7108452564539518</v>
      </c>
      <c r="AM145">
        <f t="shared" si="98"/>
        <v>0</v>
      </c>
      <c r="AN145">
        <f t="shared" si="99"/>
        <v>30.341030235190019</v>
      </c>
      <c r="AO145">
        <f>IF(E145&gt;Assumptions!$B$9,0,($V$2+$X$2)/$I$2*O144*K145*Assumptions!$B$46)</f>
        <v>0</v>
      </c>
      <c r="AP145">
        <f>IF(B145&gt;$AF$2,0,AP144*(1+Assumptions!$B$52)^(1/12))</f>
        <v>1.1175200932271081</v>
      </c>
      <c r="AQ145" s="29">
        <f>IF(B145&gt;$AF$2,0,O144*Assumptions!$B$48/12*AP144+AR145*Assumptions!$B$50/12)</f>
        <v>11.426615572461291</v>
      </c>
      <c r="AR145" s="31">
        <f t="shared" si="100"/>
        <v>8073.6088565697664</v>
      </c>
      <c r="AS145">
        <f t="shared" si="83"/>
        <v>8087.2026944139807</v>
      </c>
      <c r="AT145">
        <f t="shared" si="101"/>
        <v>13.295096655618032</v>
      </c>
      <c r="AU145" s="19">
        <f t="shared" si="102"/>
        <v>8082.8170705665252</v>
      </c>
      <c r="AV145" s="19">
        <f t="shared" si="103"/>
        <v>8085.05433119587</v>
      </c>
      <c r="AW145">
        <f t="shared" si="104"/>
        <v>-22.924456951548265</v>
      </c>
      <c r="AX145">
        <f>IF(B145&gt;$AF$2,0,HLOOKUP(YEAR(A145),Assumptions!$A$34:$AL$37,2,TRUE)/100)</f>
        <v>1.7558000000000001E-2</v>
      </c>
      <c r="AY145" s="32">
        <f>1/(1+HLOOKUP(YEAR(A145),Assumptions!$A$27:$AL$29,3,TRUE))^(1/12)</f>
        <v>0.99860760101943147</v>
      </c>
      <c r="AZ145" s="30">
        <f t="shared" si="84"/>
        <v>9000.2091937358855</v>
      </c>
      <c r="BA145">
        <f>IF(B145&gt;$AF$2,0,IF($E$2=0,(T145*Z145+(1-T145)*AA145)*$J$2*Assumptions!$B$20,0))</f>
        <v>0</v>
      </c>
    </row>
    <row r="146" spans="1:53" x14ac:dyDescent="0.25">
      <c r="A146" s="17">
        <f t="shared" si="85"/>
        <v>47208</v>
      </c>
      <c r="B146">
        <f t="shared" si="77"/>
        <v>365</v>
      </c>
      <c r="C146">
        <f t="shared" si="78"/>
        <v>30.333333333333332</v>
      </c>
      <c r="D146">
        <f t="shared" si="71"/>
        <v>0</v>
      </c>
      <c r="E146">
        <f t="shared" si="79"/>
        <v>53</v>
      </c>
      <c r="F146">
        <f>IF(C146&gt;=$H$2,0,VLOOKUP($E146,'Mortality Table'!$A$3:$C$128,2+AB$2,FALSE))</f>
        <v>2.0413000000000002E-3</v>
      </c>
      <c r="G146">
        <f>F146*Assumptions!$B$1</f>
        <v>2.2097072500000003E-3</v>
      </c>
      <c r="H146">
        <f t="shared" si="86"/>
        <v>1.843290306129397E-4</v>
      </c>
      <c r="I146">
        <f t="shared" si="72"/>
        <v>1.2154593255974678E-4</v>
      </c>
      <c r="J146">
        <f>HLOOKUP(C146,Assumptions!$A$6:$J$7,2,TRUE)</f>
        <v>3.5200000000000002E-2</v>
      </c>
      <c r="K146" s="18">
        <f t="shared" si="80"/>
        <v>1</v>
      </c>
      <c r="L146" s="18">
        <f t="shared" si="87"/>
        <v>8.3333333333333329E-2</v>
      </c>
      <c r="M146" s="18">
        <f t="shared" si="73"/>
        <v>2.9817501439168836E-3</v>
      </c>
      <c r="N146">
        <f t="shared" si="74"/>
        <v>1.96891003930214E-3</v>
      </c>
      <c r="O146" s="20">
        <f t="shared" si="75"/>
        <v>0.65829067075829684</v>
      </c>
      <c r="P146">
        <f>IF(B146&gt;$AF$2,0,O145*($E$2+IF(E146&lt;=Assumptions!$B$9,$D$2,0))/$I$2*K146)</f>
        <v>33.82252004069629</v>
      </c>
      <c r="Q146">
        <f t="shared" si="88"/>
        <v>26.1</v>
      </c>
      <c r="R146">
        <f>IF(B146&gt;$AF$2,0,IF($Y$2=1,(SUMIF('Mortality Tarif Male'!A:A,E147,'Mortality Tarif Male'!G:G)-SUMIF('Mortality Tarif Male'!A:A,$C$2+$H$2,'Mortality Tarif Male'!G:G)+SUMIF('Mortality Tarif Male'!A:A,$C$2+$H$2,'Mortality Tarif Male'!D:D))/SUMIF('Mortality Tarif Male'!A:A,E147,'Mortality Tarif Male'!D:D),(SUMIF('Mortality Tarif Female'!A:A,E147,'Mortality Tarif Female'!G:G)-SUMIF('Mortality Tarif Female'!A:A,$C$2+$H$2,'Mortality Tarif Female'!G:G)+SUMIF('Mortality Tarif Female'!A:A,$C$2+$H$2,'Mortality Tarif Female'!D:D))/SUMIF('Mortality Tarif Female'!A:A,E147,'Mortality Tarif Female'!D:D)))</f>
        <v>0.71339525769249212</v>
      </c>
      <c r="S146">
        <f>IF(B146&gt;=$AF$2,0,IF($Y$2=1,(SUMIF('Mortality Tarif Male'!A:A,E147+1,'Mortality Tarif Male'!G:G)-SUMIF('Mortality Tarif Male'!A:A,$C$2+$H$2,'Mortality Tarif Male'!G:G)+SUMIF('Mortality Tarif Male'!A:A,$C$2+$H$2,'Mortality Tarif Male'!D:D))/SUMIF('Mortality Tarif Male'!A:A,E147+1,'Mortality Tarif Male'!D:D),(SUMIF('Mortality Tarif Female'!A:A,E147+1,'Mortality Tarif Female'!G:G)-SUMIF('Mortality Tarif Female'!A:A,$C$2+$H$2,'Mortality Tarif Female'!G:G)+SUMIF('Mortality Tarif Female'!A:A,$C$2+$H$2,'Mortality Tarif Female'!D:D))/SUMIF('Mortality Tarif Female'!A:A,E147+1,'Mortality Tarif Female'!D:D)))</f>
        <v>0.73766332282839753</v>
      </c>
      <c r="T146">
        <f t="shared" si="89"/>
        <v>0.58333333333333215</v>
      </c>
      <c r="U146">
        <f t="shared" si="90"/>
        <v>0.72350695149911948</v>
      </c>
      <c r="V146">
        <f t="shared" si="91"/>
        <v>14470.139029982389</v>
      </c>
      <c r="W146">
        <f t="shared" si="81"/>
        <v>18.883531434127018</v>
      </c>
      <c r="X146">
        <f t="shared" si="82"/>
        <v>0</v>
      </c>
      <c r="Y146">
        <f>IF(B146&gt;$AF$2,0,IF(X147=0,0,(1-X147)*($E$2+IF(E146&lt;=Assumptions!$B$9,$D$2,0))/$I$2*1/(1+$AG$2)*1/(1+Assumptions!$B$11)))</f>
        <v>0</v>
      </c>
      <c r="Z146">
        <f>IF(B146&gt;$AF$2,0,IF($Y$2=1,(SUMIF('Mortality Tarif Male'!A:A,E147,'Mortality Tarif Male'!E:E)-SUMIF('Mortality Tarif Male'!A:A,$C$2+$H$2,'Mortality Tarif Male'!E:E))/SUMIF('Mortality Tarif Male'!A:A,E147,'Mortality Tarif Male'!D:D),(SUMIF('Mortality Tarif Female'!A:A,E147,'Mortality Tarif Female'!E:E)-SUMIF('Mortality Tarif Female'!A:A,$C$2+$H$2,'Mortality Tarif Female'!E:E))/SUMIF('Mortality Tarif Female'!A:A,E147,'Mortality Tarif Female'!D:D)))</f>
        <v>8.4909785042490427</v>
      </c>
      <c r="AA146">
        <f>IF(B146&gt;=$AF$2,0,IF($Y$2=1,(SUMIF('Mortality Tarif Male'!A:A,E147+1,'Mortality Tarif Male'!E:E)-SUMIF('Mortality Tarif Male'!A:A,$C$2+$H$2,'Mortality Tarif Male'!E:E))/SUMIF('Mortality Tarif Male'!A:A,E147+1,'Mortality Tarif Male'!D:D),(SUMIF('Mortality Tarif Female'!A:A,E147+1,'Mortality Tarif Female'!E:E)-SUMIF('Mortality Tarif Female'!A:A,$C$2+$H$2,'Mortality Tarif Female'!E:E))/SUMIF('Mortality Tarif Female'!A:A,E147+1,'Mortality Tarif Female'!D:D)))</f>
        <v>7.7726375168561397</v>
      </c>
      <c r="AB146">
        <f t="shared" si="76"/>
        <v>1972.7569194345067</v>
      </c>
      <c r="AC146">
        <f>IF(B146&gt;=$AF$2,0,MIN(1/3*(V146+W146+Y146-AB146),(V146-AB146),(T146*Z146+(1-T146)*AA146)*$AH$2*Assumptions!$B$22))</f>
        <v>213.52390791937415</v>
      </c>
      <c r="AD146">
        <f t="shared" si="92"/>
        <v>12302.741734062634</v>
      </c>
      <c r="AE146">
        <f t="shared" si="93"/>
        <v>12516.265641982009</v>
      </c>
      <c r="AF146">
        <f t="shared" si="94"/>
        <v>12302.741734062634</v>
      </c>
      <c r="AG146" s="26">
        <f t="shared" si="70"/>
        <v>0</v>
      </c>
      <c r="AH146" s="27">
        <f>IF(B146&gt;$AF$2,0,HLOOKUP(YEAR(A146),Assumptions!$A$34:$AL$37,4,TRUE)/100)</f>
        <v>1.1557999999999999E-2</v>
      </c>
      <c r="AI146">
        <f t="shared" si="95"/>
        <v>0</v>
      </c>
      <c r="AJ146">
        <f t="shared" si="96"/>
        <v>2.4340910000347447</v>
      </c>
      <c r="AK146">
        <f t="shared" si="97"/>
        <v>24.22299171113734</v>
      </c>
      <c r="AL146">
        <f>IF(E146&gt;Assumptions!$B$9,0,SUMPRODUCT($P$2:$X$2,Assumptions!$A$43:$I$43)/$I$2*O145*K146)</f>
        <v>3.6990984661339144</v>
      </c>
      <c r="AM146">
        <f t="shared" si="98"/>
        <v>0</v>
      </c>
      <c r="AN146">
        <f t="shared" si="99"/>
        <v>30.356181177305999</v>
      </c>
      <c r="AO146">
        <f>IF(E146&gt;Assumptions!$B$9,0,($V$2+$X$2)/$I$2*O145*K146*Assumptions!$B$46)</f>
        <v>0</v>
      </c>
      <c r="AP146">
        <f>IF(B146&gt;$AF$2,0,AP145*(1+Assumptions!$B$52)^(1/12))</f>
        <v>1.1184471187379876</v>
      </c>
      <c r="AQ146" s="29">
        <f>IF(B146&gt;$AF$2,0,O145*Assumptions!$B$48/12*AP145+AR146*Assumptions!$B$50/12)</f>
        <v>11.404509981473556</v>
      </c>
      <c r="AR146" s="31">
        <f t="shared" si="100"/>
        <v>8073.8321496305634</v>
      </c>
      <c r="AS146">
        <f t="shared" si="83"/>
        <v>8098.7801082821834</v>
      </c>
      <c r="AT146">
        <f t="shared" si="101"/>
        <v>13.253010634265738</v>
      </c>
      <c r="AU146" s="19">
        <f t="shared" si="102"/>
        <v>8082.9971490555199</v>
      </c>
      <c r="AV146" s="19">
        <f t="shared" si="103"/>
        <v>8096.756606582112</v>
      </c>
      <c r="AW146">
        <f t="shared" si="104"/>
        <v>-34.436773936454216</v>
      </c>
      <c r="AX146">
        <f>IF(B146&gt;$AF$2,0,HLOOKUP(YEAR(A146),Assumptions!$A$34:$AL$37,2,TRUE)/100)</f>
        <v>1.7558000000000001E-2</v>
      </c>
      <c r="AY146" s="32">
        <f>1/(1+HLOOKUP(YEAR(A146),Assumptions!$A$27:$AL$29,3,TRUE))^(1/12)</f>
        <v>0.99860760101943147</v>
      </c>
      <c r="AZ146" s="30">
        <f t="shared" si="84"/>
        <v>9004.8203784343095</v>
      </c>
      <c r="BA146">
        <f>IF(B146&gt;$AF$2,0,IF($E$2=0,(T146*Z146+(1-T146)*AA146)*$J$2*Assumptions!$B$20,0))</f>
        <v>0</v>
      </c>
    </row>
    <row r="147" spans="1:53" x14ac:dyDescent="0.25">
      <c r="A147" s="17">
        <f t="shared" si="85"/>
        <v>47238</v>
      </c>
      <c r="B147">
        <f t="shared" si="77"/>
        <v>366</v>
      </c>
      <c r="C147">
        <f t="shared" si="78"/>
        <v>30.416666666666668</v>
      </c>
      <c r="D147">
        <f t="shared" si="71"/>
        <v>0</v>
      </c>
      <c r="E147">
        <f t="shared" si="79"/>
        <v>53</v>
      </c>
      <c r="F147">
        <f>IF(C147&gt;=$H$2,0,VLOOKUP($E147,'Mortality Table'!$A$3:$C$128,2+AB$2,FALSE))</f>
        <v>2.0413000000000002E-3</v>
      </c>
      <c r="G147">
        <f>F147*Assumptions!$B$1</f>
        <v>2.2097072500000003E-3</v>
      </c>
      <c r="H147">
        <f t="shared" si="86"/>
        <v>1.843290306129397E-4</v>
      </c>
      <c r="I147">
        <f t="shared" si="72"/>
        <v>1.2116117531837447E-4</v>
      </c>
      <c r="J147">
        <f>HLOOKUP(C147,Assumptions!$A$6:$J$7,2,TRUE)</f>
        <v>3.5200000000000002E-2</v>
      </c>
      <c r="K147" s="18">
        <f t="shared" si="80"/>
        <v>1</v>
      </c>
      <c r="L147" s="18">
        <f t="shared" si="87"/>
        <v>8.3333333333333329E-2</v>
      </c>
      <c r="M147" s="18">
        <f t="shared" si="73"/>
        <v>2.9817501439168836E-3</v>
      </c>
      <c r="N147">
        <f t="shared" si="74"/>
        <v>1.9626773963886492E-3</v>
      </c>
      <c r="O147" s="20">
        <f t="shared" si="75"/>
        <v>0.65620683218658982</v>
      </c>
      <c r="P147">
        <f>IF(B147&gt;$AF$2,0,O146*($E$2+IF(E147&lt;=Assumptions!$B$9,$D$2,0))/$I$2*K147)</f>
        <v>33.715453854004096</v>
      </c>
      <c r="Q147">
        <f t="shared" si="88"/>
        <v>26.1</v>
      </c>
      <c r="R147">
        <f>IF(B147&gt;$AF$2,0,IF($Y$2=1,(SUMIF('Mortality Tarif Male'!A:A,E148,'Mortality Tarif Male'!G:G)-SUMIF('Mortality Tarif Male'!A:A,$C$2+$H$2,'Mortality Tarif Male'!G:G)+SUMIF('Mortality Tarif Male'!A:A,$C$2+$H$2,'Mortality Tarif Male'!D:D))/SUMIF('Mortality Tarif Male'!A:A,E148,'Mortality Tarif Male'!D:D),(SUMIF('Mortality Tarif Female'!A:A,E148,'Mortality Tarif Female'!G:G)-SUMIF('Mortality Tarif Female'!A:A,$C$2+$H$2,'Mortality Tarif Female'!G:G)+SUMIF('Mortality Tarif Female'!A:A,$C$2+$H$2,'Mortality Tarif Female'!D:D))/SUMIF('Mortality Tarif Female'!A:A,E148,'Mortality Tarif Female'!D:D)))</f>
        <v>0.71339525769249212</v>
      </c>
      <c r="S147">
        <f>IF(B147&gt;=$AF$2,0,IF($Y$2=1,(SUMIF('Mortality Tarif Male'!A:A,E148+1,'Mortality Tarif Male'!G:G)-SUMIF('Mortality Tarif Male'!A:A,$C$2+$H$2,'Mortality Tarif Male'!G:G)+SUMIF('Mortality Tarif Male'!A:A,$C$2+$H$2,'Mortality Tarif Male'!D:D))/SUMIF('Mortality Tarif Male'!A:A,E148+1,'Mortality Tarif Male'!D:D),(SUMIF('Mortality Tarif Female'!A:A,E148+1,'Mortality Tarif Female'!G:G)-SUMIF('Mortality Tarif Female'!A:A,$C$2+$H$2,'Mortality Tarif Female'!G:G)+SUMIF('Mortality Tarif Female'!A:A,$C$2+$H$2,'Mortality Tarif Female'!D:D))/SUMIF('Mortality Tarif Female'!A:A,E148+1,'Mortality Tarif Female'!D:D)))</f>
        <v>0.73766332282839753</v>
      </c>
      <c r="T147">
        <f t="shared" si="89"/>
        <v>0.5</v>
      </c>
      <c r="U147">
        <f t="shared" si="90"/>
        <v>0.72552929026044488</v>
      </c>
      <c r="V147">
        <f t="shared" si="91"/>
        <v>14510.585805208897</v>
      </c>
      <c r="W147">
        <f t="shared" si="81"/>
        <v>18.936314475797612</v>
      </c>
      <c r="X147">
        <f t="shared" si="82"/>
        <v>0</v>
      </c>
      <c r="Y147">
        <f>IF(B147&gt;$AF$2,0,IF(X148=0,0,(1-X148)*($E$2+IF(E147&lt;=Assumptions!$B$9,$D$2,0))/$I$2*1/(1+$AG$2)*1/(1+Assumptions!$B$11)))</f>
        <v>0</v>
      </c>
      <c r="Z147">
        <f>IF(B147&gt;$AF$2,0,IF($Y$2=1,(SUMIF('Mortality Tarif Male'!A:A,E148,'Mortality Tarif Male'!E:E)-SUMIF('Mortality Tarif Male'!A:A,$C$2+$H$2,'Mortality Tarif Male'!E:E))/SUMIF('Mortality Tarif Male'!A:A,E148,'Mortality Tarif Male'!D:D),(SUMIF('Mortality Tarif Female'!A:A,E148,'Mortality Tarif Female'!E:E)-SUMIF('Mortality Tarif Female'!A:A,$C$2+$H$2,'Mortality Tarif Female'!E:E))/SUMIF('Mortality Tarif Female'!A:A,E148,'Mortality Tarif Female'!D:D)))</f>
        <v>8.4909785042490427</v>
      </c>
      <c r="AA147">
        <f>IF(B147&gt;=$AF$2,0,IF($Y$2=1,(SUMIF('Mortality Tarif Male'!A:A,E148+1,'Mortality Tarif Male'!E:E)-SUMIF('Mortality Tarif Male'!A:A,$C$2+$H$2,'Mortality Tarif Male'!E:E))/SUMIF('Mortality Tarif Male'!A:A,E148+1,'Mortality Tarif Male'!D:D),(SUMIF('Mortality Tarif Female'!A:A,E148+1,'Mortality Tarif Female'!E:E)-SUMIF('Mortality Tarif Female'!A:A,$C$2+$H$2,'Mortality Tarif Female'!E:E))/SUMIF('Mortality Tarif Female'!A:A,E148+1,'Mortality Tarif Female'!D:D)))</f>
        <v>7.7726375168561397</v>
      </c>
      <c r="AB147">
        <f t="shared" si="76"/>
        <v>1958.3407279965631</v>
      </c>
      <c r="AC147">
        <f>IF(B147&gt;=$AF$2,0,MIN(1/3*(V147+W147+Y147-AB147),(V147-AB147),(T147*Z147+(1-T147)*AA147)*$AH$2*Assumptions!$B$22))</f>
        <v>211.96355271148266</v>
      </c>
      <c r="AD147">
        <f t="shared" si="92"/>
        <v>12359.217838976649</v>
      </c>
      <c r="AE147">
        <f t="shared" si="93"/>
        <v>12571.181391688131</v>
      </c>
      <c r="AF147">
        <f t="shared" si="94"/>
        <v>12359.217838976649</v>
      </c>
      <c r="AG147" s="26">
        <f t="shared" si="70"/>
        <v>0</v>
      </c>
      <c r="AH147" s="27">
        <f>IF(B147&gt;$AF$2,0,HLOOKUP(YEAR(A147),Assumptions!$A$34:$AL$37,4,TRUE)/100)</f>
        <v>1.1557999999999999E-2</v>
      </c>
      <c r="AI147">
        <f t="shared" si="95"/>
        <v>0</v>
      </c>
      <c r="AJ147">
        <f t="shared" si="96"/>
        <v>2.4263858130432987</v>
      </c>
      <c r="AK147">
        <f t="shared" si="97"/>
        <v>24.257157489602836</v>
      </c>
      <c r="AL147">
        <f>IF(E147&gt;Assumptions!$B$9,0,SUMPRODUCT($P$2:$X$2,Assumptions!$A$43:$I$43)/$I$2*O146*K147)</f>
        <v>3.6873888606257692</v>
      </c>
      <c r="AM147">
        <f t="shared" si="98"/>
        <v>0</v>
      </c>
      <c r="AN147">
        <f t="shared" si="99"/>
        <v>30.370932163271906</v>
      </c>
      <c r="AO147">
        <f>IF(E147&gt;Assumptions!$B$9,0,($V$2+$X$2)/$I$2*O146*K147*Assumptions!$B$46)</f>
        <v>0</v>
      </c>
      <c r="AP147">
        <f>IF(B147&gt;$AF$2,0,AP146*(1+Assumptions!$B$52)^(1/12))</f>
        <v>1.1193749132518613</v>
      </c>
      <c r="AQ147" s="29">
        <f>IF(B147&gt;$AF$2,0,O146*Assumptions!$B$48/12*AP146+AR147*Assumptions!$B$50/12)</f>
        <v>11.382410673688247</v>
      </c>
      <c r="AR147" s="31">
        <f t="shared" si="100"/>
        <v>8073.8670033225608</v>
      </c>
      <c r="AS147">
        <f t="shared" si="83"/>
        <v>8110.2031864188566</v>
      </c>
      <c r="AT147">
        <f t="shared" si="101"/>
        <v>13.211057837457737</v>
      </c>
      <c r="AU147" s="19">
        <f t="shared" si="102"/>
        <v>8082.9889886654191</v>
      </c>
      <c r="AV147" s="19">
        <f t="shared" si="103"/>
        <v>8108.3037772590151</v>
      </c>
      <c r="AW147">
        <f t="shared" si="104"/>
        <v>-45.982253523854233</v>
      </c>
      <c r="AX147">
        <f>IF(B147&gt;$AF$2,0,HLOOKUP(YEAR(A147),Assumptions!$A$34:$AL$37,2,TRUE)/100)</f>
        <v>1.7558000000000001E-2</v>
      </c>
      <c r="AY147" s="32">
        <f>1/(1+HLOOKUP(YEAR(A147),Assumptions!$A$27:$AL$29,3,TRUE))^(1/12)</f>
        <v>0.99860760101943147</v>
      </c>
      <c r="AZ147" s="30">
        <f t="shared" si="84"/>
        <v>9009.3382748292479</v>
      </c>
      <c r="BA147">
        <f>IF(B147&gt;$AF$2,0,IF($E$2=0,(T147*Z147+(1-T147)*AA147)*$J$2*Assumptions!$B$20,0))</f>
        <v>0</v>
      </c>
    </row>
    <row r="148" spans="1:53" x14ac:dyDescent="0.25">
      <c r="A148" s="17">
        <f t="shared" si="85"/>
        <v>47269</v>
      </c>
      <c r="B148">
        <f t="shared" si="77"/>
        <v>367</v>
      </c>
      <c r="C148">
        <f t="shared" si="78"/>
        <v>30.5</v>
      </c>
      <c r="D148">
        <f t="shared" si="71"/>
        <v>0</v>
      </c>
      <c r="E148">
        <f t="shared" si="79"/>
        <v>53</v>
      </c>
      <c r="F148">
        <f>IF(C148&gt;=$H$2,0,VLOOKUP($E148,'Mortality Table'!$A$3:$C$128,2+AB$2,FALSE))</f>
        <v>2.0413000000000002E-3</v>
      </c>
      <c r="G148">
        <f>F148*Assumptions!$B$1</f>
        <v>2.2097072500000003E-3</v>
      </c>
      <c r="H148">
        <f t="shared" si="86"/>
        <v>1.843290306129397E-4</v>
      </c>
      <c r="I148">
        <f t="shared" si="72"/>
        <v>1.2077763603741983E-4</v>
      </c>
      <c r="J148">
        <f>HLOOKUP(C148,Assumptions!$A$6:$J$7,2,TRUE)</f>
        <v>3.5200000000000002E-2</v>
      </c>
      <c r="K148" s="18">
        <f t="shared" si="80"/>
        <v>1</v>
      </c>
      <c r="L148" s="18">
        <f t="shared" si="87"/>
        <v>8.3333333333333329E-2</v>
      </c>
      <c r="M148" s="18">
        <f t="shared" si="73"/>
        <v>2.9817501439168836E-3</v>
      </c>
      <c r="N148">
        <f t="shared" si="74"/>
        <v>1.9564644830904841E-3</v>
      </c>
      <c r="O148" s="20">
        <f t="shared" si="75"/>
        <v>0.65412959006746185</v>
      </c>
      <c r="P148">
        <f>IF(B148&gt;$AF$2,0,O147*($E$2+IF(E148&lt;=Assumptions!$B$9,$D$2,0))/$I$2*K148)</f>
        <v>33.608726588489837</v>
      </c>
      <c r="Q148">
        <f t="shared" si="88"/>
        <v>26.1</v>
      </c>
      <c r="R148">
        <f>IF(B148&gt;$AF$2,0,IF($Y$2=1,(SUMIF('Mortality Tarif Male'!A:A,E149,'Mortality Tarif Male'!G:G)-SUMIF('Mortality Tarif Male'!A:A,$C$2+$H$2,'Mortality Tarif Male'!G:G)+SUMIF('Mortality Tarif Male'!A:A,$C$2+$H$2,'Mortality Tarif Male'!D:D))/SUMIF('Mortality Tarif Male'!A:A,E149,'Mortality Tarif Male'!D:D),(SUMIF('Mortality Tarif Female'!A:A,E149,'Mortality Tarif Female'!G:G)-SUMIF('Mortality Tarif Female'!A:A,$C$2+$H$2,'Mortality Tarif Female'!G:G)+SUMIF('Mortality Tarif Female'!A:A,$C$2+$H$2,'Mortality Tarif Female'!D:D))/SUMIF('Mortality Tarif Female'!A:A,E149,'Mortality Tarif Female'!D:D)))</f>
        <v>0.71339525769249212</v>
      </c>
      <c r="S148">
        <f>IF(B148&gt;=$AF$2,0,IF($Y$2=1,(SUMIF('Mortality Tarif Male'!A:A,E149+1,'Mortality Tarif Male'!G:G)-SUMIF('Mortality Tarif Male'!A:A,$C$2+$H$2,'Mortality Tarif Male'!G:G)+SUMIF('Mortality Tarif Male'!A:A,$C$2+$H$2,'Mortality Tarif Male'!D:D))/SUMIF('Mortality Tarif Male'!A:A,E149+1,'Mortality Tarif Male'!D:D),(SUMIF('Mortality Tarif Female'!A:A,E149+1,'Mortality Tarif Female'!G:G)-SUMIF('Mortality Tarif Female'!A:A,$C$2+$H$2,'Mortality Tarif Female'!G:G)+SUMIF('Mortality Tarif Female'!A:A,$C$2+$H$2,'Mortality Tarif Female'!D:D))/SUMIF('Mortality Tarif Female'!A:A,E149+1,'Mortality Tarif Female'!D:D)))</f>
        <v>0.73766332282839753</v>
      </c>
      <c r="T148">
        <f t="shared" si="89"/>
        <v>0.41666666666666785</v>
      </c>
      <c r="U148">
        <f t="shared" si="90"/>
        <v>0.72755162902177029</v>
      </c>
      <c r="V148">
        <f t="shared" si="91"/>
        <v>14551.032580435405</v>
      </c>
      <c r="W148">
        <f t="shared" si="81"/>
        <v>18.989097517468206</v>
      </c>
      <c r="X148">
        <f t="shared" si="82"/>
        <v>0</v>
      </c>
      <c r="Y148">
        <f>IF(B148&gt;$AF$2,0,IF(X149=0,0,(1-X149)*($E$2+IF(E148&lt;=Assumptions!$B$9,$D$2,0))/$I$2*1/(1+$AG$2)*1/(1+Assumptions!$B$11)))</f>
        <v>0</v>
      </c>
      <c r="Z148">
        <f>IF(B148&gt;$AF$2,0,IF($Y$2=1,(SUMIF('Mortality Tarif Male'!A:A,E149,'Mortality Tarif Male'!E:E)-SUMIF('Mortality Tarif Male'!A:A,$C$2+$H$2,'Mortality Tarif Male'!E:E))/SUMIF('Mortality Tarif Male'!A:A,E149,'Mortality Tarif Male'!D:D),(SUMIF('Mortality Tarif Female'!A:A,E149,'Mortality Tarif Female'!E:E)-SUMIF('Mortality Tarif Female'!A:A,$C$2+$H$2,'Mortality Tarif Female'!E:E))/SUMIF('Mortality Tarif Female'!A:A,E149,'Mortality Tarif Female'!D:D)))</f>
        <v>8.4909785042490427</v>
      </c>
      <c r="AA148">
        <f>IF(B148&gt;=$AF$2,0,IF($Y$2=1,(SUMIF('Mortality Tarif Male'!A:A,E149+1,'Mortality Tarif Male'!E:E)-SUMIF('Mortality Tarif Male'!A:A,$C$2+$H$2,'Mortality Tarif Male'!E:E))/SUMIF('Mortality Tarif Male'!A:A,E149+1,'Mortality Tarif Male'!D:D),(SUMIF('Mortality Tarif Female'!A:A,E149+1,'Mortality Tarif Female'!E:E)-SUMIF('Mortality Tarif Female'!A:A,$C$2+$H$2,'Mortality Tarif Female'!E:E))/SUMIF('Mortality Tarif Female'!A:A,E149+1,'Mortality Tarif Female'!D:D)))</f>
        <v>7.7726375168561397</v>
      </c>
      <c r="AB148">
        <f t="shared" si="76"/>
        <v>1943.9245365586196</v>
      </c>
      <c r="AC148">
        <f>IF(B148&gt;=$AF$2,0,MIN(1/3*(V148+W148+Y148-AB148),(V148-AB148),(T148*Z148+(1-T148)*AA148)*$AH$2*Assumptions!$B$22))</f>
        <v>210.40319750359123</v>
      </c>
      <c r="AD148">
        <f t="shared" si="92"/>
        <v>12415.693943890663</v>
      </c>
      <c r="AE148">
        <f t="shared" si="93"/>
        <v>12626.097141394253</v>
      </c>
      <c r="AF148">
        <f t="shared" si="94"/>
        <v>12415.693943890663</v>
      </c>
      <c r="AG148" s="26">
        <f t="shared" si="70"/>
        <v>0</v>
      </c>
      <c r="AH148" s="27">
        <f>IF(B148&gt;$AF$2,0,HLOOKUP(YEAR(A148),Assumptions!$A$34:$AL$37,4,TRUE)/100)</f>
        <v>1.1557999999999999E-2</v>
      </c>
      <c r="AI148">
        <f t="shared" si="95"/>
        <v>0</v>
      </c>
      <c r="AJ148">
        <f t="shared" si="96"/>
        <v>2.418705017048973</v>
      </c>
      <c r="AK148">
        <f t="shared" si="97"/>
        <v>24.290864234143701</v>
      </c>
      <c r="AL148">
        <f>IF(E148&gt;Assumptions!$B$9,0,SUMPRODUCT($P$2:$X$2,Assumptions!$A$43:$I$43)/$I$2*O147*K148)</f>
        <v>3.6757163222198952</v>
      </c>
      <c r="AM148">
        <f t="shared" si="98"/>
        <v>0</v>
      </c>
      <c r="AN148">
        <f t="shared" si="99"/>
        <v>30.38528557341257</v>
      </c>
      <c r="AO148">
        <f>IF(E148&gt;Assumptions!$B$9,0,($V$2+$X$2)/$I$2*O147*K148*Assumptions!$B$46)</f>
        <v>0</v>
      </c>
      <c r="AP148">
        <f>IF(B148&gt;$AF$2,0,AP147*(1+Assumptions!$B$52)^(1/12))</f>
        <v>1.1203034774066467</v>
      </c>
      <c r="AQ148" s="29">
        <f>IF(B148&gt;$AF$2,0,O147*Assumptions!$B$48/12*AP147+AR148*Assumptions!$B$50/12)</f>
        <v>11.360317778464724</v>
      </c>
      <c r="AR148" s="31">
        <f t="shared" si="100"/>
        <v>8073.7144544162502</v>
      </c>
      <c r="AS148">
        <f t="shared" si="83"/>
        <v>8121.472789920268</v>
      </c>
      <c r="AT148">
        <f t="shared" si="101"/>
        <v>13.169237843467794</v>
      </c>
      <c r="AU148" s="19">
        <f t="shared" si="102"/>
        <v>8082.7936253828075</v>
      </c>
      <c r="AV148" s="19">
        <f t="shared" si="103"/>
        <v>8119.6967079401047</v>
      </c>
      <c r="AW148">
        <f t="shared" si="104"/>
        <v>-57.560724635528274</v>
      </c>
      <c r="AX148">
        <f>IF(B148&gt;$AF$2,0,HLOOKUP(YEAR(A148),Assumptions!$A$34:$AL$37,2,TRUE)/100)</f>
        <v>1.7558000000000001E-2</v>
      </c>
      <c r="AY148" s="32">
        <f>1/(1+HLOOKUP(YEAR(A148),Assumptions!$A$27:$AL$29,3,TRUE))^(1/12)</f>
        <v>0.99860760101943147</v>
      </c>
      <c r="AZ148" s="30">
        <f t="shared" si="84"/>
        <v>9013.7634829294875</v>
      </c>
      <c r="BA148">
        <f>IF(B148&gt;$AF$2,0,IF($E$2=0,(T148*Z148+(1-T148)*AA148)*$J$2*Assumptions!$B$20,0))</f>
        <v>0</v>
      </c>
    </row>
    <row r="149" spans="1:53" x14ac:dyDescent="0.25">
      <c r="A149" s="17">
        <f t="shared" si="85"/>
        <v>47299</v>
      </c>
      <c r="B149">
        <f t="shared" si="77"/>
        <v>368</v>
      </c>
      <c r="C149">
        <f t="shared" si="78"/>
        <v>30.583333333333332</v>
      </c>
      <c r="D149">
        <f t="shared" si="71"/>
        <v>0</v>
      </c>
      <c r="E149">
        <f t="shared" si="79"/>
        <v>53</v>
      </c>
      <c r="F149">
        <f>IF(C149&gt;=$H$2,0,VLOOKUP($E149,'Mortality Table'!$A$3:$C$128,2+AB$2,FALSE))</f>
        <v>2.0413000000000002E-3</v>
      </c>
      <c r="G149">
        <f>F149*Assumptions!$B$1</f>
        <v>2.2097072500000003E-3</v>
      </c>
      <c r="H149">
        <f t="shared" si="86"/>
        <v>1.843290306129397E-4</v>
      </c>
      <c r="I149">
        <f t="shared" si="72"/>
        <v>1.2039531086139317E-4</v>
      </c>
      <c r="J149">
        <f>HLOOKUP(C149,Assumptions!$A$6:$J$7,2,TRUE)</f>
        <v>3.5200000000000002E-2</v>
      </c>
      <c r="K149" s="18">
        <f t="shared" si="80"/>
        <v>1</v>
      </c>
      <c r="L149" s="18">
        <f t="shared" si="87"/>
        <v>8.3333333333333329E-2</v>
      </c>
      <c r="M149" s="18">
        <f t="shared" si="73"/>
        <v>2.9817501439168836E-3</v>
      </c>
      <c r="N149">
        <f t="shared" si="74"/>
        <v>1.9502712369529648E-3</v>
      </c>
      <c r="O149" s="20">
        <f t="shared" si="75"/>
        <v>0.65205892351964745</v>
      </c>
      <c r="P149">
        <f>IF(B149&gt;$AF$2,0,O148*($E$2+IF(E149&lt;=Assumptions!$B$9,$D$2,0))/$I$2*K149)</f>
        <v>33.502337171288495</v>
      </c>
      <c r="Q149">
        <f t="shared" si="88"/>
        <v>26.1</v>
      </c>
      <c r="R149">
        <f>IF(B149&gt;$AF$2,0,IF($Y$2=1,(SUMIF('Mortality Tarif Male'!A:A,E150,'Mortality Tarif Male'!G:G)-SUMIF('Mortality Tarif Male'!A:A,$C$2+$H$2,'Mortality Tarif Male'!G:G)+SUMIF('Mortality Tarif Male'!A:A,$C$2+$H$2,'Mortality Tarif Male'!D:D))/SUMIF('Mortality Tarif Male'!A:A,E150,'Mortality Tarif Male'!D:D),(SUMIF('Mortality Tarif Female'!A:A,E150,'Mortality Tarif Female'!G:G)-SUMIF('Mortality Tarif Female'!A:A,$C$2+$H$2,'Mortality Tarif Female'!G:G)+SUMIF('Mortality Tarif Female'!A:A,$C$2+$H$2,'Mortality Tarif Female'!D:D))/SUMIF('Mortality Tarif Female'!A:A,E150,'Mortality Tarif Female'!D:D)))</f>
        <v>0.71339525769249212</v>
      </c>
      <c r="S149">
        <f>IF(B149&gt;=$AF$2,0,IF($Y$2=1,(SUMIF('Mortality Tarif Male'!A:A,E150+1,'Mortality Tarif Male'!G:G)-SUMIF('Mortality Tarif Male'!A:A,$C$2+$H$2,'Mortality Tarif Male'!G:G)+SUMIF('Mortality Tarif Male'!A:A,$C$2+$H$2,'Mortality Tarif Male'!D:D))/SUMIF('Mortality Tarif Male'!A:A,E150+1,'Mortality Tarif Male'!D:D),(SUMIF('Mortality Tarif Female'!A:A,E150+1,'Mortality Tarif Female'!G:G)-SUMIF('Mortality Tarif Female'!A:A,$C$2+$H$2,'Mortality Tarif Female'!G:G)+SUMIF('Mortality Tarif Female'!A:A,$C$2+$H$2,'Mortality Tarif Female'!D:D))/SUMIF('Mortality Tarif Female'!A:A,E150+1,'Mortality Tarif Female'!D:D)))</f>
        <v>0.73766332282839753</v>
      </c>
      <c r="T149">
        <f t="shared" si="89"/>
        <v>0.33333333333333215</v>
      </c>
      <c r="U149">
        <f t="shared" si="90"/>
        <v>0.7295739677830958</v>
      </c>
      <c r="V149">
        <f t="shared" si="91"/>
        <v>14591.479355661915</v>
      </c>
      <c r="W149">
        <f t="shared" si="81"/>
        <v>19.0418805591388</v>
      </c>
      <c r="X149">
        <f t="shared" si="82"/>
        <v>0</v>
      </c>
      <c r="Y149">
        <f>IF(B149&gt;$AF$2,0,IF(X150=0,0,(1-X150)*($E$2+IF(E149&lt;=Assumptions!$B$9,$D$2,0))/$I$2*1/(1+$AG$2)*1/(1+Assumptions!$B$11)))</f>
        <v>0</v>
      </c>
      <c r="Z149">
        <f>IF(B149&gt;$AF$2,0,IF($Y$2=1,(SUMIF('Mortality Tarif Male'!A:A,E150,'Mortality Tarif Male'!E:E)-SUMIF('Mortality Tarif Male'!A:A,$C$2+$H$2,'Mortality Tarif Male'!E:E))/SUMIF('Mortality Tarif Male'!A:A,E150,'Mortality Tarif Male'!D:D),(SUMIF('Mortality Tarif Female'!A:A,E150,'Mortality Tarif Female'!E:E)-SUMIF('Mortality Tarif Female'!A:A,$C$2+$H$2,'Mortality Tarif Female'!E:E))/SUMIF('Mortality Tarif Female'!A:A,E150,'Mortality Tarif Female'!D:D)))</f>
        <v>8.4909785042490427</v>
      </c>
      <c r="AA149">
        <f>IF(B149&gt;=$AF$2,0,IF($Y$2=1,(SUMIF('Mortality Tarif Male'!A:A,E150+1,'Mortality Tarif Male'!E:E)-SUMIF('Mortality Tarif Male'!A:A,$C$2+$H$2,'Mortality Tarif Male'!E:E))/SUMIF('Mortality Tarif Male'!A:A,E150+1,'Mortality Tarif Male'!D:D),(SUMIF('Mortality Tarif Female'!A:A,E150+1,'Mortality Tarif Female'!E:E)-SUMIF('Mortality Tarif Female'!A:A,$C$2+$H$2,'Mortality Tarif Female'!E:E))/SUMIF('Mortality Tarif Female'!A:A,E150+1,'Mortality Tarif Female'!D:D)))</f>
        <v>7.7726375168561397</v>
      </c>
      <c r="AB149">
        <f t="shared" si="76"/>
        <v>1929.5083451206751</v>
      </c>
      <c r="AC149">
        <f>IF(B149&gt;=$AF$2,0,MIN(1/3*(V149+W149+Y149-AB149),(V149-AB149),(T149*Z149+(1-T149)*AA149)*$AH$2*Assumptions!$B$22))</f>
        <v>208.84284229569968</v>
      </c>
      <c r="AD149">
        <f t="shared" si="92"/>
        <v>12472.170048804677</v>
      </c>
      <c r="AE149">
        <f t="shared" si="93"/>
        <v>12681.012891100378</v>
      </c>
      <c r="AF149">
        <f t="shared" si="94"/>
        <v>12472.170048804677</v>
      </c>
      <c r="AG149" s="26">
        <f t="shared" si="70"/>
        <v>0</v>
      </c>
      <c r="AH149" s="27">
        <f>IF(B149&gt;$AF$2,0,HLOOKUP(YEAR(A149),Assumptions!$A$34:$AL$37,4,TRUE)/100)</f>
        <v>1.1557999999999999E-2</v>
      </c>
      <c r="AI149">
        <f t="shared" si="95"/>
        <v>0</v>
      </c>
      <c r="AJ149">
        <f t="shared" si="96"/>
        <v>2.4110485348413455</v>
      </c>
      <c r="AK149">
        <f t="shared" si="97"/>
        <v>24.324114508570016</v>
      </c>
      <c r="AL149">
        <f>IF(E149&gt;Assumptions!$B$9,0,SUMPRODUCT($P$2:$X$2,Assumptions!$A$43:$I$43)/$I$2*O148*K149)</f>
        <v>3.6640807335792847</v>
      </c>
      <c r="AM149">
        <f t="shared" si="98"/>
        <v>0</v>
      </c>
      <c r="AN149">
        <f t="shared" si="99"/>
        <v>30.399243776990645</v>
      </c>
      <c r="AO149">
        <f>IF(E149&gt;Assumptions!$B$9,0,($V$2+$X$2)/$I$2*O148*K149*Assumptions!$B$46)</f>
        <v>0</v>
      </c>
      <c r="AP149">
        <f>IF(B149&gt;$AF$2,0,AP148*(1+Assumptions!$B$52)^(1/12))</f>
        <v>1.1212328118407902</v>
      </c>
      <c r="AQ149" s="29">
        <f>IF(B149&gt;$AF$2,0,O148*Assumptions!$B$48/12*AP148+AR149*Assumptions!$B$50/12)</f>
        <v>11.338231424261838</v>
      </c>
      <c r="AR149" s="31">
        <f t="shared" si="100"/>
        <v>8073.3755347830656</v>
      </c>
      <c r="AS149">
        <f t="shared" si="83"/>
        <v>8132.5897759775662</v>
      </c>
      <c r="AT149">
        <f t="shared" si="101"/>
        <v>13.127550231904667</v>
      </c>
      <c r="AU149" s="19">
        <f t="shared" si="102"/>
        <v>8082.4120902981876</v>
      </c>
      <c r="AV149" s="19">
        <f t="shared" si="103"/>
        <v>8130.9362594185941</v>
      </c>
      <c r="AW149">
        <f t="shared" si="104"/>
        <v>-69.172017167855515</v>
      </c>
      <c r="AX149">
        <f>IF(B149&gt;$AF$2,0,HLOOKUP(YEAR(A149),Assumptions!$A$34:$AL$37,2,TRUE)/100)</f>
        <v>1.7558000000000001E-2</v>
      </c>
      <c r="AY149" s="32">
        <f>1/(1+HLOOKUP(YEAR(A149),Assumptions!$A$27:$AL$29,3,TRUE))^(1/12)</f>
        <v>0.99860760101943147</v>
      </c>
      <c r="AZ149" s="30">
        <f t="shared" si="84"/>
        <v>9018.0966000098433</v>
      </c>
      <c r="BA149">
        <f>IF(B149&gt;$AF$2,0,IF($E$2=0,(T149*Z149+(1-T149)*AA149)*$J$2*Assumptions!$B$20,0))</f>
        <v>0</v>
      </c>
    </row>
    <row r="150" spans="1:53" x14ac:dyDescent="0.25">
      <c r="A150" s="17">
        <f t="shared" si="85"/>
        <v>47330</v>
      </c>
      <c r="B150">
        <f t="shared" si="77"/>
        <v>369</v>
      </c>
      <c r="C150">
        <f t="shared" si="78"/>
        <v>30.666666666666668</v>
      </c>
      <c r="D150">
        <f t="shared" si="71"/>
        <v>0</v>
      </c>
      <c r="E150">
        <f t="shared" si="79"/>
        <v>53</v>
      </c>
      <c r="F150">
        <f>IF(C150&gt;=$H$2,0,VLOOKUP($E150,'Mortality Table'!$A$3:$C$128,2+AB$2,FALSE))</f>
        <v>2.0413000000000002E-3</v>
      </c>
      <c r="G150">
        <f>F150*Assumptions!$B$1</f>
        <v>2.2097072500000003E-3</v>
      </c>
      <c r="H150">
        <f t="shared" si="86"/>
        <v>1.843290306129397E-4</v>
      </c>
      <c r="I150">
        <f t="shared" si="72"/>
        <v>1.2001419594700947E-4</v>
      </c>
      <c r="J150">
        <f>HLOOKUP(C150,Assumptions!$A$6:$J$7,2,TRUE)</f>
        <v>3.5200000000000002E-2</v>
      </c>
      <c r="K150" s="18">
        <f t="shared" si="80"/>
        <v>1</v>
      </c>
      <c r="L150" s="18">
        <f t="shared" si="87"/>
        <v>8.3333333333333329E-2</v>
      </c>
      <c r="M150" s="18">
        <f t="shared" si="73"/>
        <v>2.9817501439168836E-3</v>
      </c>
      <c r="N150">
        <f t="shared" si="74"/>
        <v>1.9440975957191128E-3</v>
      </c>
      <c r="O150" s="20">
        <f t="shared" si="75"/>
        <v>0.64999481172798135</v>
      </c>
      <c r="P150">
        <f>IF(B150&gt;$AF$2,0,O149*($E$2+IF(E150&lt;=Assumptions!$B$9,$D$2,0))/$I$2*K150)</f>
        <v>33.396284532931269</v>
      </c>
      <c r="Q150">
        <f t="shared" si="88"/>
        <v>26.1</v>
      </c>
      <c r="R150">
        <f>IF(B150&gt;$AF$2,0,IF($Y$2=1,(SUMIF('Mortality Tarif Male'!A:A,E151,'Mortality Tarif Male'!G:G)-SUMIF('Mortality Tarif Male'!A:A,$C$2+$H$2,'Mortality Tarif Male'!G:G)+SUMIF('Mortality Tarif Male'!A:A,$C$2+$H$2,'Mortality Tarif Male'!D:D))/SUMIF('Mortality Tarif Male'!A:A,E151,'Mortality Tarif Male'!D:D),(SUMIF('Mortality Tarif Female'!A:A,E151,'Mortality Tarif Female'!G:G)-SUMIF('Mortality Tarif Female'!A:A,$C$2+$H$2,'Mortality Tarif Female'!G:G)+SUMIF('Mortality Tarif Female'!A:A,$C$2+$H$2,'Mortality Tarif Female'!D:D))/SUMIF('Mortality Tarif Female'!A:A,E151,'Mortality Tarif Female'!D:D)))</f>
        <v>0.71339525769249212</v>
      </c>
      <c r="S150">
        <f>IF(B150&gt;=$AF$2,0,IF($Y$2=1,(SUMIF('Mortality Tarif Male'!A:A,E151+1,'Mortality Tarif Male'!G:G)-SUMIF('Mortality Tarif Male'!A:A,$C$2+$H$2,'Mortality Tarif Male'!G:G)+SUMIF('Mortality Tarif Male'!A:A,$C$2+$H$2,'Mortality Tarif Male'!D:D))/SUMIF('Mortality Tarif Male'!A:A,E151+1,'Mortality Tarif Male'!D:D),(SUMIF('Mortality Tarif Female'!A:A,E151+1,'Mortality Tarif Female'!G:G)-SUMIF('Mortality Tarif Female'!A:A,$C$2+$H$2,'Mortality Tarif Female'!G:G)+SUMIF('Mortality Tarif Female'!A:A,$C$2+$H$2,'Mortality Tarif Female'!D:D))/SUMIF('Mortality Tarif Female'!A:A,E151+1,'Mortality Tarif Female'!D:D)))</f>
        <v>0.73766332282839753</v>
      </c>
      <c r="T150">
        <f t="shared" si="89"/>
        <v>0.25</v>
      </c>
      <c r="U150">
        <f t="shared" si="90"/>
        <v>0.7315963065444212</v>
      </c>
      <c r="V150">
        <f t="shared" si="91"/>
        <v>14631.926130888423</v>
      </c>
      <c r="W150">
        <f t="shared" si="81"/>
        <v>19.094663600809394</v>
      </c>
      <c r="X150">
        <f t="shared" si="82"/>
        <v>0</v>
      </c>
      <c r="Y150">
        <f>IF(B150&gt;$AF$2,0,IF(X151=0,0,(1-X151)*($E$2+IF(E150&lt;=Assumptions!$B$9,$D$2,0))/$I$2*1/(1+$AG$2)*1/(1+Assumptions!$B$11)))</f>
        <v>0</v>
      </c>
      <c r="Z150">
        <f>IF(B150&gt;$AF$2,0,IF($Y$2=1,(SUMIF('Mortality Tarif Male'!A:A,E151,'Mortality Tarif Male'!E:E)-SUMIF('Mortality Tarif Male'!A:A,$C$2+$H$2,'Mortality Tarif Male'!E:E))/SUMIF('Mortality Tarif Male'!A:A,E151,'Mortality Tarif Male'!D:D),(SUMIF('Mortality Tarif Female'!A:A,E151,'Mortality Tarif Female'!E:E)-SUMIF('Mortality Tarif Female'!A:A,$C$2+$H$2,'Mortality Tarif Female'!E:E))/SUMIF('Mortality Tarif Female'!A:A,E151,'Mortality Tarif Female'!D:D)))</f>
        <v>8.4909785042490427</v>
      </c>
      <c r="AA150">
        <f>IF(B150&gt;=$AF$2,0,IF($Y$2=1,(SUMIF('Mortality Tarif Male'!A:A,E151+1,'Mortality Tarif Male'!E:E)-SUMIF('Mortality Tarif Male'!A:A,$C$2+$H$2,'Mortality Tarif Male'!E:E))/SUMIF('Mortality Tarif Male'!A:A,E151+1,'Mortality Tarif Male'!D:D),(SUMIF('Mortality Tarif Female'!A:A,E151+1,'Mortality Tarif Female'!E:E)-SUMIF('Mortality Tarif Female'!A:A,$C$2+$H$2,'Mortality Tarif Female'!E:E))/SUMIF('Mortality Tarif Female'!A:A,E151+1,'Mortality Tarif Female'!D:D)))</f>
        <v>7.7726375168561397</v>
      </c>
      <c r="AB150">
        <f t="shared" si="76"/>
        <v>1915.0921536827314</v>
      </c>
      <c r="AC150">
        <f>IF(B150&gt;=$AF$2,0,MIN(1/3*(V150+W150+Y150-AB150),(V150-AB150),(T150*Z150+(1-T150)*AA150)*$AH$2*Assumptions!$B$22))</f>
        <v>207.28248708780819</v>
      </c>
      <c r="AD150">
        <f t="shared" si="92"/>
        <v>12528.646153718693</v>
      </c>
      <c r="AE150">
        <f t="shared" si="93"/>
        <v>12735.928640806502</v>
      </c>
      <c r="AF150">
        <f t="shared" si="94"/>
        <v>12528.646153718693</v>
      </c>
      <c r="AG150" s="26">
        <f t="shared" si="70"/>
        <v>0</v>
      </c>
      <c r="AH150" s="27">
        <f>IF(B150&gt;$AF$2,0,HLOOKUP(YEAR(A150),Assumptions!$A$34:$AL$37,4,TRUE)/100)</f>
        <v>1.1557999999999999E-2</v>
      </c>
      <c r="AI150">
        <f t="shared" si="95"/>
        <v>0</v>
      </c>
      <c r="AJ150">
        <f t="shared" si="96"/>
        <v>2.4034162894544062</v>
      </c>
      <c r="AK150">
        <f t="shared" si="97"/>
        <v>24.356910865060023</v>
      </c>
      <c r="AL150">
        <f>IF(E150&gt;Assumptions!$B$9,0,SUMPRODUCT($P$2:$X$2,Assumptions!$A$43:$I$43)/$I$2*O149*K150)</f>
        <v>3.6524819777383639</v>
      </c>
      <c r="AM150">
        <f t="shared" si="98"/>
        <v>0</v>
      </c>
      <c r="AN150">
        <f t="shared" si="99"/>
        <v>30.412809132252793</v>
      </c>
      <c r="AO150">
        <f>IF(E150&gt;Assumptions!$B$9,0,($V$2+$X$2)/$I$2*O149*K150*Assumptions!$B$46)</f>
        <v>0</v>
      </c>
      <c r="AP150">
        <f>IF(B150&gt;$AF$2,0,AP149*(1+Assumptions!$B$52)^(1/12))</f>
        <v>1.1221629171932677</v>
      </c>
      <c r="AQ150" s="29">
        <f>IF(B150&gt;$AF$2,0,O149*Assumptions!$B$48/12*AP149+AR150*Assumptions!$B$50/12)</f>
        <v>11.316151738642175</v>
      </c>
      <c r="AR150" s="31">
        <f t="shared" si="100"/>
        <v>8072.8512714156805</v>
      </c>
      <c r="AS150">
        <f t="shared" si="83"/>
        <v>8143.5549978928793</v>
      </c>
      <c r="AT150">
        <f t="shared" si="101"/>
        <v>13.085994583707871</v>
      </c>
      <c r="AU150" s="19">
        <f t="shared" si="102"/>
        <v>8081.8454096262612</v>
      </c>
      <c r="AV150" s="19">
        <f t="shared" si="103"/>
        <v>8142.0232885835358</v>
      </c>
      <c r="AW150">
        <f t="shared" si="104"/>
        <v>-80.815961987683195</v>
      </c>
      <c r="AX150">
        <f>IF(B150&gt;$AF$2,0,HLOOKUP(YEAR(A150),Assumptions!$A$34:$AL$37,2,TRUE)/100)</f>
        <v>1.7558000000000001E-2</v>
      </c>
      <c r="AY150" s="32">
        <f>1/(1+HLOOKUP(YEAR(A150),Assumptions!$A$27:$AL$29,3,TRUE))^(1/12)</f>
        <v>0.99860760101943147</v>
      </c>
      <c r="AZ150" s="30">
        <f t="shared" si="84"/>
        <v>9022.3382206226579</v>
      </c>
      <c r="BA150">
        <f>IF(B150&gt;$AF$2,0,IF($E$2=0,(T150*Z150+(1-T150)*AA150)*$J$2*Assumptions!$B$20,0))</f>
        <v>0</v>
      </c>
    </row>
    <row r="151" spans="1:53" x14ac:dyDescent="0.25">
      <c r="A151" s="17">
        <f t="shared" si="85"/>
        <v>47361</v>
      </c>
      <c r="B151">
        <f t="shared" si="77"/>
        <v>370</v>
      </c>
      <c r="C151">
        <f t="shared" si="78"/>
        <v>30.75</v>
      </c>
      <c r="D151">
        <f t="shared" si="71"/>
        <v>0</v>
      </c>
      <c r="E151">
        <f t="shared" si="79"/>
        <v>53</v>
      </c>
      <c r="F151">
        <f>IF(C151&gt;=$H$2,0,VLOOKUP($E151,'Mortality Table'!$A$3:$C$128,2+AB$2,FALSE))</f>
        <v>2.0413000000000002E-3</v>
      </c>
      <c r="G151">
        <f>F151*Assumptions!$B$1</f>
        <v>2.2097072500000003E-3</v>
      </c>
      <c r="H151">
        <f t="shared" si="86"/>
        <v>1.843290306129397E-4</v>
      </c>
      <c r="I151">
        <f t="shared" si="72"/>
        <v>1.1963428746314975E-4</v>
      </c>
      <c r="J151">
        <f>HLOOKUP(C151,Assumptions!$A$6:$J$7,2,TRUE)</f>
        <v>3.5200000000000002E-2</v>
      </c>
      <c r="K151" s="18">
        <f t="shared" si="80"/>
        <v>1</v>
      </c>
      <c r="L151" s="18">
        <f t="shared" si="87"/>
        <v>8.3333333333333329E-2</v>
      </c>
      <c r="M151" s="18">
        <f t="shared" si="73"/>
        <v>2.9817501439168836E-3</v>
      </c>
      <c r="N151">
        <f t="shared" si="74"/>
        <v>1.9379434973290266E-3</v>
      </c>
      <c r="O151" s="20">
        <f t="shared" si="75"/>
        <v>0.64793723394318914</v>
      </c>
      <c r="P151">
        <f>IF(B151&gt;$AF$2,0,O150*($E$2+IF(E151&lt;=Assumptions!$B$9,$D$2,0))/$I$2*K151)</f>
        <v>33.290567607334772</v>
      </c>
      <c r="Q151">
        <f t="shared" si="88"/>
        <v>26.1</v>
      </c>
      <c r="R151">
        <f>IF(B151&gt;$AF$2,0,IF($Y$2=1,(SUMIF('Mortality Tarif Male'!A:A,E152,'Mortality Tarif Male'!G:G)-SUMIF('Mortality Tarif Male'!A:A,$C$2+$H$2,'Mortality Tarif Male'!G:G)+SUMIF('Mortality Tarif Male'!A:A,$C$2+$H$2,'Mortality Tarif Male'!D:D))/SUMIF('Mortality Tarif Male'!A:A,E152,'Mortality Tarif Male'!D:D),(SUMIF('Mortality Tarif Female'!A:A,E152,'Mortality Tarif Female'!G:G)-SUMIF('Mortality Tarif Female'!A:A,$C$2+$H$2,'Mortality Tarif Female'!G:G)+SUMIF('Mortality Tarif Female'!A:A,$C$2+$H$2,'Mortality Tarif Female'!D:D))/SUMIF('Mortality Tarif Female'!A:A,E152,'Mortality Tarif Female'!D:D)))</f>
        <v>0.71339525769249212</v>
      </c>
      <c r="S151">
        <f>IF(B151&gt;=$AF$2,0,IF($Y$2=1,(SUMIF('Mortality Tarif Male'!A:A,E152+1,'Mortality Tarif Male'!G:G)-SUMIF('Mortality Tarif Male'!A:A,$C$2+$H$2,'Mortality Tarif Male'!G:G)+SUMIF('Mortality Tarif Male'!A:A,$C$2+$H$2,'Mortality Tarif Male'!D:D))/SUMIF('Mortality Tarif Male'!A:A,E152+1,'Mortality Tarif Male'!D:D),(SUMIF('Mortality Tarif Female'!A:A,E152+1,'Mortality Tarif Female'!G:G)-SUMIF('Mortality Tarif Female'!A:A,$C$2+$H$2,'Mortality Tarif Female'!G:G)+SUMIF('Mortality Tarif Female'!A:A,$C$2+$H$2,'Mortality Tarif Female'!D:D))/SUMIF('Mortality Tarif Female'!A:A,E152+1,'Mortality Tarif Female'!D:D)))</f>
        <v>0.73766332282839753</v>
      </c>
      <c r="T151">
        <f t="shared" si="89"/>
        <v>0.16666666666666785</v>
      </c>
      <c r="U151">
        <f t="shared" si="90"/>
        <v>0.73361864530574661</v>
      </c>
      <c r="V151">
        <f t="shared" si="91"/>
        <v>14672.372906114932</v>
      </c>
      <c r="W151">
        <f t="shared" si="81"/>
        <v>19.147446642479988</v>
      </c>
      <c r="X151">
        <f t="shared" si="82"/>
        <v>0</v>
      </c>
      <c r="Y151">
        <f>IF(B151&gt;$AF$2,0,IF(X152=0,0,(1-X152)*($E$2+IF(E151&lt;=Assumptions!$B$9,$D$2,0))/$I$2*1/(1+$AG$2)*1/(1+Assumptions!$B$11)))</f>
        <v>0</v>
      </c>
      <c r="Z151">
        <f>IF(B151&gt;$AF$2,0,IF($Y$2=1,(SUMIF('Mortality Tarif Male'!A:A,E152,'Mortality Tarif Male'!E:E)-SUMIF('Mortality Tarif Male'!A:A,$C$2+$H$2,'Mortality Tarif Male'!E:E))/SUMIF('Mortality Tarif Male'!A:A,E152,'Mortality Tarif Male'!D:D),(SUMIF('Mortality Tarif Female'!A:A,E152,'Mortality Tarif Female'!E:E)-SUMIF('Mortality Tarif Female'!A:A,$C$2+$H$2,'Mortality Tarif Female'!E:E))/SUMIF('Mortality Tarif Female'!A:A,E152,'Mortality Tarif Female'!D:D)))</f>
        <v>8.4909785042490427</v>
      </c>
      <c r="AA151">
        <f>IF(B151&gt;=$AF$2,0,IF($Y$2=1,(SUMIF('Mortality Tarif Male'!A:A,E152+1,'Mortality Tarif Male'!E:E)-SUMIF('Mortality Tarif Male'!A:A,$C$2+$H$2,'Mortality Tarif Male'!E:E))/SUMIF('Mortality Tarif Male'!A:A,E152+1,'Mortality Tarif Male'!D:D),(SUMIF('Mortality Tarif Female'!A:A,E152+1,'Mortality Tarif Female'!E:E)-SUMIF('Mortality Tarif Female'!A:A,$C$2+$H$2,'Mortality Tarif Female'!E:E))/SUMIF('Mortality Tarif Female'!A:A,E152+1,'Mortality Tarif Female'!D:D)))</f>
        <v>7.7726375168561397</v>
      </c>
      <c r="AB151">
        <f t="shared" si="76"/>
        <v>1900.6759622447878</v>
      </c>
      <c r="AC151">
        <f>IF(B151&gt;=$AF$2,0,MIN(1/3*(V151+W151+Y151-AB151),(V151-AB151),(T151*Z151+(1-T151)*AA151)*$AH$2*Assumptions!$B$22))</f>
        <v>205.72213187991676</v>
      </c>
      <c r="AD151">
        <f t="shared" si="92"/>
        <v>12585.122258632708</v>
      </c>
      <c r="AE151">
        <f t="shared" si="93"/>
        <v>12790.844390512624</v>
      </c>
      <c r="AF151">
        <f t="shared" si="94"/>
        <v>12585.122258632708</v>
      </c>
      <c r="AG151" s="26">
        <f t="shared" ref="AG151:AG214" si="105">IF(MONTH(A151)=12,AVERAGE(AF140:AF151),0)</f>
        <v>0</v>
      </c>
      <c r="AH151" s="27">
        <f>IF(B151&gt;$AF$2,0,HLOOKUP(YEAR(A151),Assumptions!$A$34:$AL$37,4,TRUE)/100)</f>
        <v>1.1557999999999999E-2</v>
      </c>
      <c r="AI151">
        <f t="shared" si="95"/>
        <v>0</v>
      </c>
      <c r="AJ151">
        <f t="shared" si="96"/>
        <v>2.3958082041657831</v>
      </c>
      <c r="AK151">
        <f t="shared" si="97"/>
        <v>24.389255844208048</v>
      </c>
      <c r="AL151">
        <f>IF(E151&gt;Assumptions!$B$9,0,SUMPRODUCT($P$2:$X$2,Assumptions!$A$43:$I$43)/$I$2*O150*K151)</f>
        <v>3.6409199381018182</v>
      </c>
      <c r="AM151">
        <f t="shared" si="98"/>
        <v>0</v>
      </c>
      <c r="AN151">
        <f t="shared" si="99"/>
        <v>30.425983986475647</v>
      </c>
      <c r="AO151">
        <f>IF(E151&gt;Assumptions!$B$9,0,($V$2+$X$2)/$I$2*O150*K151*Assumptions!$B$46)</f>
        <v>0</v>
      </c>
      <c r="AP151">
        <f>IF(B151&gt;$AF$2,0,AP150*(1+Assumptions!$B$52)^(1/12))</f>
        <v>1.1230937941035855</v>
      </c>
      <c r="AQ151" s="29">
        <f>IF(B151&gt;$AF$2,0,O150*Assumptions!$B$48/12*AP150+AR151*Assumptions!$B$50/12)</f>
        <v>11.294078848276264</v>
      </c>
      <c r="AR151" s="31">
        <f t="shared" si="100"/>
        <v>8072.1426864482382</v>
      </c>
      <c r="AS151">
        <f t="shared" si="83"/>
        <v>8154.3693050953379</v>
      </c>
      <c r="AT151">
        <f t="shared" si="101"/>
        <v>13.04457048114347</v>
      </c>
      <c r="AU151" s="19">
        <f t="shared" si="102"/>
        <v>8081.0946047261532</v>
      </c>
      <c r="AV151" s="19">
        <f t="shared" si="103"/>
        <v>8152.9586484359215</v>
      </c>
      <c r="AW151">
        <f t="shared" si="104"/>
        <v>-92.492390928212401</v>
      </c>
      <c r="AX151">
        <f>IF(B151&gt;$AF$2,0,HLOOKUP(YEAR(A151),Assumptions!$A$34:$AL$37,2,TRUE)/100)</f>
        <v>1.7558000000000001E-2</v>
      </c>
      <c r="AY151" s="32">
        <f>1/(1+HLOOKUP(YEAR(A151),Assumptions!$A$27:$AL$29,3,TRUE))^(1/12)</f>
        <v>0.99860760101943147</v>
      </c>
      <c r="AZ151" s="30">
        <f t="shared" si="84"/>
        <v>9026.4889366092521</v>
      </c>
      <c r="BA151">
        <f>IF(B151&gt;$AF$2,0,IF($E$2=0,(T151*Z151+(1-T151)*AA151)*$J$2*Assumptions!$B$20,0))</f>
        <v>0</v>
      </c>
    </row>
    <row r="152" spans="1:53" x14ac:dyDescent="0.25">
      <c r="A152" s="17">
        <f t="shared" si="85"/>
        <v>47391</v>
      </c>
      <c r="B152">
        <f t="shared" si="77"/>
        <v>371</v>
      </c>
      <c r="C152">
        <f t="shared" si="78"/>
        <v>30.833333333333332</v>
      </c>
      <c r="D152">
        <f t="shared" si="71"/>
        <v>0</v>
      </c>
      <c r="E152">
        <f t="shared" si="79"/>
        <v>53</v>
      </c>
      <c r="F152">
        <f>IF(C152&gt;=$H$2,0,VLOOKUP($E152,'Mortality Table'!$A$3:$C$128,2+AB$2,FALSE))</f>
        <v>2.0413000000000002E-3</v>
      </c>
      <c r="G152">
        <f>F152*Assumptions!$B$1</f>
        <v>2.2097072500000003E-3</v>
      </c>
      <c r="H152">
        <f t="shared" si="86"/>
        <v>1.843290306129397E-4</v>
      </c>
      <c r="I152">
        <f t="shared" si="72"/>
        <v>1.1925558159082252E-4</v>
      </c>
      <c r="J152">
        <f>HLOOKUP(C152,Assumptions!$A$6:$J$7,2,TRUE)</f>
        <v>3.5200000000000002E-2</v>
      </c>
      <c r="K152" s="18">
        <f t="shared" si="80"/>
        <v>1</v>
      </c>
      <c r="L152" s="18">
        <f t="shared" si="87"/>
        <v>8.3333333333333329E-2</v>
      </c>
      <c r="M152" s="18">
        <f t="shared" si="73"/>
        <v>2.9817501439168836E-3</v>
      </c>
      <c r="N152">
        <f t="shared" si="74"/>
        <v>1.9318088799192567E-3</v>
      </c>
      <c r="O152" s="20">
        <f t="shared" si="75"/>
        <v>0.64588616948167898</v>
      </c>
      <c r="P152">
        <f>IF(B152&gt;$AF$2,0,O151*($E$2+IF(E152&lt;=Assumptions!$B$9,$D$2,0))/$I$2*K152)</f>
        <v>33.185185331790329</v>
      </c>
      <c r="Q152">
        <f t="shared" si="88"/>
        <v>26.1</v>
      </c>
      <c r="R152">
        <f>IF(B152&gt;$AF$2,0,IF($Y$2=1,(SUMIF('Mortality Tarif Male'!A:A,E153,'Mortality Tarif Male'!G:G)-SUMIF('Mortality Tarif Male'!A:A,$C$2+$H$2,'Mortality Tarif Male'!G:G)+SUMIF('Mortality Tarif Male'!A:A,$C$2+$H$2,'Mortality Tarif Male'!D:D))/SUMIF('Mortality Tarif Male'!A:A,E153,'Mortality Tarif Male'!D:D),(SUMIF('Mortality Tarif Female'!A:A,E153,'Mortality Tarif Female'!G:G)-SUMIF('Mortality Tarif Female'!A:A,$C$2+$H$2,'Mortality Tarif Female'!G:G)+SUMIF('Mortality Tarif Female'!A:A,$C$2+$H$2,'Mortality Tarif Female'!D:D))/SUMIF('Mortality Tarif Female'!A:A,E153,'Mortality Tarif Female'!D:D)))</f>
        <v>0.71339525769249212</v>
      </c>
      <c r="S152">
        <f>IF(B152&gt;=$AF$2,0,IF($Y$2=1,(SUMIF('Mortality Tarif Male'!A:A,E153+1,'Mortality Tarif Male'!G:G)-SUMIF('Mortality Tarif Male'!A:A,$C$2+$H$2,'Mortality Tarif Male'!G:G)+SUMIF('Mortality Tarif Male'!A:A,$C$2+$H$2,'Mortality Tarif Male'!D:D))/SUMIF('Mortality Tarif Male'!A:A,E153+1,'Mortality Tarif Male'!D:D),(SUMIF('Mortality Tarif Female'!A:A,E153+1,'Mortality Tarif Female'!G:G)-SUMIF('Mortality Tarif Female'!A:A,$C$2+$H$2,'Mortality Tarif Female'!G:G)+SUMIF('Mortality Tarif Female'!A:A,$C$2+$H$2,'Mortality Tarif Female'!D:D))/SUMIF('Mortality Tarif Female'!A:A,E153+1,'Mortality Tarif Female'!D:D)))</f>
        <v>0.73766332282839753</v>
      </c>
      <c r="T152">
        <f t="shared" si="89"/>
        <v>8.3333333333332149E-2</v>
      </c>
      <c r="U152">
        <f t="shared" si="90"/>
        <v>0.73564098406707212</v>
      </c>
      <c r="V152">
        <f t="shared" si="91"/>
        <v>14712.819681341443</v>
      </c>
      <c r="W152">
        <f t="shared" si="81"/>
        <v>19.200229684150582</v>
      </c>
      <c r="X152">
        <f t="shared" si="82"/>
        <v>0</v>
      </c>
      <c r="Y152">
        <f>IF(B152&gt;$AF$2,0,IF(X153=0,0,(1-X153)*($E$2+IF(E152&lt;=Assumptions!$B$9,$D$2,0))/$I$2*1/(1+$AG$2)*1/(1+Assumptions!$B$11)))</f>
        <v>0</v>
      </c>
      <c r="Z152">
        <f>IF(B152&gt;$AF$2,0,IF($Y$2=1,(SUMIF('Mortality Tarif Male'!A:A,E153,'Mortality Tarif Male'!E:E)-SUMIF('Mortality Tarif Male'!A:A,$C$2+$H$2,'Mortality Tarif Male'!E:E))/SUMIF('Mortality Tarif Male'!A:A,E153,'Mortality Tarif Male'!D:D),(SUMIF('Mortality Tarif Female'!A:A,E153,'Mortality Tarif Female'!E:E)-SUMIF('Mortality Tarif Female'!A:A,$C$2+$H$2,'Mortality Tarif Female'!E:E))/SUMIF('Mortality Tarif Female'!A:A,E153,'Mortality Tarif Female'!D:D)))</f>
        <v>8.4909785042490427</v>
      </c>
      <c r="AA152">
        <f>IF(B152&gt;=$AF$2,0,IF($Y$2=1,(SUMIF('Mortality Tarif Male'!A:A,E153+1,'Mortality Tarif Male'!E:E)-SUMIF('Mortality Tarif Male'!A:A,$C$2+$H$2,'Mortality Tarif Male'!E:E))/SUMIF('Mortality Tarif Male'!A:A,E153+1,'Mortality Tarif Male'!D:D),(SUMIF('Mortality Tarif Female'!A:A,E153+1,'Mortality Tarif Female'!E:E)-SUMIF('Mortality Tarif Female'!A:A,$C$2+$H$2,'Mortality Tarif Female'!E:E))/SUMIF('Mortality Tarif Female'!A:A,E153+1,'Mortality Tarif Female'!D:D)))</f>
        <v>7.7726375168561397</v>
      </c>
      <c r="AB152">
        <f t="shared" si="76"/>
        <v>1886.2597708068431</v>
      </c>
      <c r="AC152">
        <f>IF(B152&gt;=$AF$2,0,MIN(1/3*(V152+W152+Y152-AB152),(V152-AB152),(T152*Z152+(1-T152)*AA152)*$AH$2*Assumptions!$B$22))</f>
        <v>204.16177667202516</v>
      </c>
      <c r="AD152">
        <f t="shared" si="92"/>
        <v>12641.598363546727</v>
      </c>
      <c r="AE152">
        <f t="shared" si="93"/>
        <v>12845.760140218752</v>
      </c>
      <c r="AF152">
        <f t="shared" si="94"/>
        <v>12641.598363546727</v>
      </c>
      <c r="AG152" s="26">
        <f t="shared" si="105"/>
        <v>0</v>
      </c>
      <c r="AH152" s="27">
        <f>IF(B152&gt;$AF$2,0,HLOOKUP(YEAR(A152),Assumptions!$A$34:$AL$37,4,TRUE)/100)</f>
        <v>1.1557999999999999E-2</v>
      </c>
      <c r="AI152">
        <f t="shared" si="95"/>
        <v>0</v>
      </c>
      <c r="AJ152">
        <f t="shared" si="96"/>
        <v>2.3882242024959708</v>
      </c>
      <c r="AK152">
        <f t="shared" si="97"/>
        <v>24.421151975072313</v>
      </c>
      <c r="AL152">
        <f>IF(E152&gt;Assumptions!$B$9,0,SUMPRODUCT($P$2:$X$2,Assumptions!$A$43:$I$43)/$I$2*O151*K152)</f>
        <v>3.6293944984434159</v>
      </c>
      <c r="AM152">
        <f t="shared" si="98"/>
        <v>0</v>
      </c>
      <c r="AN152">
        <f t="shared" si="99"/>
        <v>30.4387706760117</v>
      </c>
      <c r="AO152">
        <f>IF(E152&gt;Assumptions!$B$9,0,($V$2+$X$2)/$I$2*O151*K152*Assumptions!$B$46)</f>
        <v>0</v>
      </c>
      <c r="AP152">
        <f>IF(B152&gt;$AF$2,0,AP151*(1+Assumptions!$B$52)^(1/12))</f>
        <v>1.12402544321178</v>
      </c>
      <c r="AQ152" s="29">
        <f>IF(B152&gt;$AF$2,0,O151*Assumptions!$B$48/12*AP151+AR152*Assumptions!$B$50/12)</f>
        <v>11.272012878946803</v>
      </c>
      <c r="AR152" s="31">
        <f t="shared" si="100"/>
        <v>8071.2507971764817</v>
      </c>
      <c r="AS152">
        <f t="shared" si="83"/>
        <v>8165.0335431570575</v>
      </c>
      <c r="AT152">
        <f t="shared" si="101"/>
        <v>13.003277507799877</v>
      </c>
      <c r="AU152" s="19">
        <f t="shared" si="102"/>
        <v>8080.1606921215252</v>
      </c>
      <c r="AV152" s="19">
        <f t="shared" si="103"/>
        <v>8163.7431881046941</v>
      </c>
      <c r="AW152">
        <f t="shared" si="104"/>
        <v>-104.20113678490058</v>
      </c>
      <c r="AX152">
        <f>IF(B152&gt;$AF$2,0,HLOOKUP(YEAR(A152),Assumptions!$A$34:$AL$37,2,TRUE)/100)</f>
        <v>1.7558000000000001E-2</v>
      </c>
      <c r="AY152" s="32">
        <f>1/(1+HLOOKUP(YEAR(A152),Assumptions!$A$27:$AL$29,3,TRUE))^(1/12)</f>
        <v>0.99860760101943147</v>
      </c>
      <c r="AZ152" s="30">
        <f t="shared" si="84"/>
        <v>9030.549337111328</v>
      </c>
      <c r="BA152">
        <f>IF(B152&gt;$AF$2,0,IF($E$2=0,(T152*Z152+(1-T152)*AA152)*$J$2*Assumptions!$B$20,0))</f>
        <v>0</v>
      </c>
    </row>
    <row r="153" spans="1:53" x14ac:dyDescent="0.25">
      <c r="A153" s="17">
        <f t="shared" si="85"/>
        <v>47422</v>
      </c>
      <c r="B153">
        <f t="shared" si="77"/>
        <v>372</v>
      </c>
      <c r="C153">
        <f t="shared" si="78"/>
        <v>30.916666666666668</v>
      </c>
      <c r="D153">
        <f t="shared" si="71"/>
        <v>0</v>
      </c>
      <c r="E153">
        <f t="shared" si="79"/>
        <v>53</v>
      </c>
      <c r="F153">
        <f>IF(C153&gt;=$H$2,0,VLOOKUP($E153,'Mortality Table'!$A$3:$C$128,2+AB$2,FALSE))</f>
        <v>2.0413000000000002E-3</v>
      </c>
      <c r="G153">
        <f>F153*Assumptions!$B$1</f>
        <v>2.2097072500000003E-3</v>
      </c>
      <c r="H153">
        <f t="shared" si="86"/>
        <v>1.843290306129397E-4</v>
      </c>
      <c r="I153">
        <f t="shared" si="72"/>
        <v>1.1887807452312542E-4</v>
      </c>
      <c r="J153">
        <f>HLOOKUP(C153,Assumptions!$A$6:$J$7,2,TRUE)</f>
        <v>3.5200000000000002E-2</v>
      </c>
      <c r="K153" s="18">
        <f t="shared" si="80"/>
        <v>1</v>
      </c>
      <c r="L153" s="18">
        <f t="shared" si="87"/>
        <v>8.3333333333333329E-2</v>
      </c>
      <c r="M153" s="18">
        <f t="shared" si="73"/>
        <v>2.9817501439168836E-3</v>
      </c>
      <c r="N153">
        <f t="shared" si="74"/>
        <v>1.9256936818221836E-3</v>
      </c>
      <c r="O153" s="20">
        <f t="shared" si="75"/>
        <v>0.64384159772533367</v>
      </c>
      <c r="P153">
        <f>IF(B153&gt;$AF$2,0,O152*($E$2+IF(E153&lt;=Assumptions!$B$9,$D$2,0))/$I$2*K153)</f>
        <v>33.080136646953321</v>
      </c>
      <c r="Q153">
        <f t="shared" si="88"/>
        <v>26.1</v>
      </c>
      <c r="R153">
        <f>IF(B153&gt;$AF$2,0,IF($Y$2=1,(SUMIF('Mortality Tarif Male'!A:A,E154,'Mortality Tarif Male'!G:G)-SUMIF('Mortality Tarif Male'!A:A,$C$2+$H$2,'Mortality Tarif Male'!G:G)+SUMIF('Mortality Tarif Male'!A:A,$C$2+$H$2,'Mortality Tarif Male'!D:D))/SUMIF('Mortality Tarif Male'!A:A,E154,'Mortality Tarif Male'!D:D),(SUMIF('Mortality Tarif Female'!A:A,E154,'Mortality Tarif Female'!G:G)-SUMIF('Mortality Tarif Female'!A:A,$C$2+$H$2,'Mortality Tarif Female'!G:G)+SUMIF('Mortality Tarif Female'!A:A,$C$2+$H$2,'Mortality Tarif Female'!D:D))/SUMIF('Mortality Tarif Female'!A:A,E154,'Mortality Tarif Female'!D:D)))</f>
        <v>0.73766332282839753</v>
      </c>
      <c r="S153">
        <f>IF(B153&gt;=$AF$2,0,IF($Y$2=1,(SUMIF('Mortality Tarif Male'!A:A,E154+1,'Mortality Tarif Male'!G:G)-SUMIF('Mortality Tarif Male'!A:A,$C$2+$H$2,'Mortality Tarif Male'!G:G)+SUMIF('Mortality Tarif Male'!A:A,$C$2+$H$2,'Mortality Tarif Male'!D:D))/SUMIF('Mortality Tarif Male'!A:A,E154+1,'Mortality Tarif Male'!D:D),(SUMIF('Mortality Tarif Female'!A:A,E154+1,'Mortality Tarif Female'!G:G)-SUMIF('Mortality Tarif Female'!A:A,$C$2+$H$2,'Mortality Tarif Female'!G:G)+SUMIF('Mortality Tarif Female'!A:A,$C$2+$H$2,'Mortality Tarif Female'!D:D))/SUMIF('Mortality Tarif Female'!A:A,E154+1,'Mortality Tarif Female'!D:D)))</f>
        <v>0.7627763526276059</v>
      </c>
      <c r="T153">
        <f t="shared" si="89"/>
        <v>1</v>
      </c>
      <c r="U153">
        <f t="shared" si="90"/>
        <v>0.73766332282839753</v>
      </c>
      <c r="V153">
        <f t="shared" si="91"/>
        <v>14753.26645656795</v>
      </c>
      <c r="W153">
        <f t="shared" si="81"/>
        <v>19.253012725821176</v>
      </c>
      <c r="X153">
        <f t="shared" si="82"/>
        <v>0</v>
      </c>
      <c r="Y153">
        <f>IF(B153&gt;$AF$2,0,IF(X154=0,0,(1-X154)*($E$2+IF(E153&lt;=Assumptions!$B$9,$D$2,0))/$I$2*1/(1+$AG$2)*1/(1+Assumptions!$B$11)))</f>
        <v>0</v>
      </c>
      <c r="Z153">
        <f>IF(B153&gt;$AF$2,0,IF($Y$2=1,(SUMIF('Mortality Tarif Male'!A:A,E154,'Mortality Tarif Male'!E:E)-SUMIF('Mortality Tarif Male'!A:A,$C$2+$H$2,'Mortality Tarif Male'!E:E))/SUMIF('Mortality Tarif Male'!A:A,E154,'Mortality Tarif Male'!D:D),(SUMIF('Mortality Tarif Female'!A:A,E154,'Mortality Tarif Female'!E:E)-SUMIF('Mortality Tarif Female'!A:A,$C$2+$H$2,'Mortality Tarif Female'!E:E))/SUMIF('Mortality Tarif Female'!A:A,E154,'Mortality Tarif Female'!D:D)))</f>
        <v>7.7726375168561397</v>
      </c>
      <c r="AA153">
        <f>IF(B153&gt;=$AF$2,0,IF($Y$2=1,(SUMIF('Mortality Tarif Male'!A:A,E154+1,'Mortality Tarif Male'!E:E)-SUMIF('Mortality Tarif Male'!A:A,$C$2+$H$2,'Mortality Tarif Male'!E:E))/SUMIF('Mortality Tarif Male'!A:A,E154+1,'Mortality Tarif Male'!D:D),(SUMIF('Mortality Tarif Female'!A:A,E154+1,'Mortality Tarif Female'!E:E)-SUMIF('Mortality Tarif Female'!A:A,$C$2+$H$2,'Mortality Tarif Female'!E:E))/SUMIF('Mortality Tarif Female'!A:A,E154+1,'Mortality Tarif Female'!D:D)))</f>
        <v>7.0291511000354383</v>
      </c>
      <c r="AB153">
        <f t="shared" si="76"/>
        <v>1871.8435793688996</v>
      </c>
      <c r="AC153">
        <f>IF(B153&gt;=$AF$2,0,MIN(1/3*(V153+W153+Y153-AB153),(V153-AB153),(T153*Z153+(1-T153)*AA153)*$AH$2*Assumptions!$B$22))</f>
        <v>202.60142146413372</v>
      </c>
      <c r="AD153">
        <f t="shared" si="92"/>
        <v>12698.074468460736</v>
      </c>
      <c r="AE153">
        <f t="shared" si="93"/>
        <v>12900.675889924871</v>
      </c>
      <c r="AF153">
        <f t="shared" si="94"/>
        <v>12698.074468460736</v>
      </c>
      <c r="AG153" s="26">
        <f t="shared" si="105"/>
        <v>0</v>
      </c>
      <c r="AH153" s="27">
        <f>IF(B153&gt;$AF$2,0,HLOOKUP(YEAR(A153),Assumptions!$A$34:$AL$37,4,TRUE)/100)</f>
        <v>1.1557999999999999E-2</v>
      </c>
      <c r="AI153">
        <f t="shared" si="95"/>
        <v>0</v>
      </c>
      <c r="AJ153">
        <f t="shared" si="96"/>
        <v>2.3806642082075617</v>
      </c>
      <c r="AK153">
        <f t="shared" si="97"/>
        <v>24.452601775222423</v>
      </c>
      <c r="AL153">
        <f>IF(E153&gt;Assumptions!$B$9,0,SUMPRODUCT($P$2:$X$2,Assumptions!$A$43:$I$43)/$I$2*O152*K153)</f>
        <v>3.617905542904845</v>
      </c>
      <c r="AM153">
        <f t="shared" si="98"/>
        <v>0</v>
      </c>
      <c r="AN153">
        <f t="shared" si="99"/>
        <v>30.451171526334832</v>
      </c>
      <c r="AO153">
        <f>IF(E153&gt;Assumptions!$B$9,0,($V$2+$X$2)/$I$2*O152*K153*Assumptions!$B$46)</f>
        <v>0</v>
      </c>
      <c r="AP153">
        <f>IF(B153&gt;$AF$2,0,AP152*(1+Assumptions!$B$52)^(1/12))</f>
        <v>1.1249578651584191</v>
      </c>
      <c r="AQ153" s="29">
        <f>IF(B153&gt;$AF$2,0,O152*Assumptions!$B$48/12*AP152+AR153*Assumptions!$B$50/12)</f>
        <v>11.249953955552845</v>
      </c>
      <c r="AR153" s="31">
        <f t="shared" si="100"/>
        <v>8070.1766160778352</v>
      </c>
      <c r="AS153">
        <f t="shared" si="83"/>
        <v>8175.5485538090279</v>
      </c>
      <c r="AT153">
        <f t="shared" si="101"/>
        <v>12.96211524858367</v>
      </c>
      <c r="AU153" s="19">
        <f t="shared" si="102"/>
        <v>8079.0446835206521</v>
      </c>
      <c r="AV153" s="19">
        <f t="shared" si="103"/>
        <v>8174.3777528627361</v>
      </c>
      <c r="AW153">
        <f t="shared" si="104"/>
        <v>-115.94203331138083</v>
      </c>
      <c r="AX153">
        <f>IF(B153&gt;$AF$2,0,HLOOKUP(YEAR(A153),Assumptions!$A$34:$AL$37,2,TRUE)/100)</f>
        <v>1.7558000000000001E-2</v>
      </c>
      <c r="AY153" s="32">
        <f>1/(1+HLOOKUP(YEAR(A153),Assumptions!$A$27:$AL$29,3,TRUE))^(1/12)</f>
        <v>0.99860760101943147</v>
      </c>
      <c r="AZ153" s="30">
        <f t="shared" si="84"/>
        <v>9034.5200085823362</v>
      </c>
      <c r="BA153">
        <f>IF(B153&gt;$AF$2,0,IF($E$2=0,(T153*Z153+(1-T153)*AA153)*$J$2*Assumptions!$B$20,0))</f>
        <v>0</v>
      </c>
    </row>
    <row r="154" spans="1:53" x14ac:dyDescent="0.25">
      <c r="A154" s="17">
        <f t="shared" si="85"/>
        <v>47452</v>
      </c>
      <c r="B154">
        <f t="shared" si="77"/>
        <v>373</v>
      </c>
      <c r="C154">
        <f t="shared" si="78"/>
        <v>31</v>
      </c>
      <c r="D154">
        <f t="shared" si="71"/>
        <v>1</v>
      </c>
      <c r="E154">
        <f t="shared" si="79"/>
        <v>54</v>
      </c>
      <c r="F154">
        <f>IF(C154&gt;=$H$2,0,VLOOKUP($E154,'Mortality Table'!$A$3:$C$128,2+AB$2,FALSE))</f>
        <v>2.2740999999999998E-3</v>
      </c>
      <c r="G154">
        <f>F154*Assumptions!$B$1</f>
        <v>2.4617132499999998E-3</v>
      </c>
      <c r="H154">
        <f t="shared" si="86"/>
        <v>2.0537459507896649E-4</v>
      </c>
      <c r="I154">
        <f t="shared" si="72"/>
        <v>1.3203157094413381E-4</v>
      </c>
      <c r="J154">
        <f>HLOOKUP(C154,Assumptions!$A$6:$J$7,2,TRUE)</f>
        <v>3.5200000000000002E-2</v>
      </c>
      <c r="K154" s="18">
        <f t="shared" si="80"/>
        <v>1</v>
      </c>
      <c r="L154" s="18">
        <f t="shared" si="87"/>
        <v>8.3333333333333329E-2</v>
      </c>
      <c r="M154" s="18">
        <f t="shared" si="73"/>
        <v>2.9817501439168836E-3</v>
      </c>
      <c r="N154">
        <f t="shared" si="74"/>
        <v>1.9195776401934885E-3</v>
      </c>
      <c r="O154" s="20">
        <f t="shared" si="75"/>
        <v>0.64178998851419611</v>
      </c>
      <c r="P154">
        <f>IF(B154&gt;$AF$2,0,O153*($E$2+IF(E154&lt;=Assumptions!$B$9,$D$2,0))/$I$2*K154)</f>
        <v>32.975420496832506</v>
      </c>
      <c r="Q154">
        <f t="shared" si="88"/>
        <v>26.1</v>
      </c>
      <c r="R154">
        <f>IF(B154&gt;$AF$2,0,IF($Y$2=1,(SUMIF('Mortality Tarif Male'!A:A,E155,'Mortality Tarif Male'!G:G)-SUMIF('Mortality Tarif Male'!A:A,$C$2+$H$2,'Mortality Tarif Male'!G:G)+SUMIF('Mortality Tarif Male'!A:A,$C$2+$H$2,'Mortality Tarif Male'!D:D))/SUMIF('Mortality Tarif Male'!A:A,E155,'Mortality Tarif Male'!D:D),(SUMIF('Mortality Tarif Female'!A:A,E155,'Mortality Tarif Female'!G:G)-SUMIF('Mortality Tarif Female'!A:A,$C$2+$H$2,'Mortality Tarif Female'!G:G)+SUMIF('Mortality Tarif Female'!A:A,$C$2+$H$2,'Mortality Tarif Female'!D:D))/SUMIF('Mortality Tarif Female'!A:A,E155,'Mortality Tarif Female'!D:D)))</f>
        <v>0.73766332282839753</v>
      </c>
      <c r="S154">
        <f>IF(B154&gt;=$AF$2,0,IF($Y$2=1,(SUMIF('Mortality Tarif Male'!A:A,E155+1,'Mortality Tarif Male'!G:G)-SUMIF('Mortality Tarif Male'!A:A,$C$2+$H$2,'Mortality Tarif Male'!G:G)+SUMIF('Mortality Tarif Male'!A:A,$C$2+$H$2,'Mortality Tarif Male'!D:D))/SUMIF('Mortality Tarif Male'!A:A,E155+1,'Mortality Tarif Male'!D:D),(SUMIF('Mortality Tarif Female'!A:A,E155+1,'Mortality Tarif Female'!G:G)-SUMIF('Mortality Tarif Female'!A:A,$C$2+$H$2,'Mortality Tarif Female'!G:G)+SUMIF('Mortality Tarif Female'!A:A,$C$2+$H$2,'Mortality Tarif Female'!D:D))/SUMIF('Mortality Tarif Female'!A:A,E155+1,'Mortality Tarif Female'!D:D)))</f>
        <v>0.7627763526276059</v>
      </c>
      <c r="T154">
        <f t="shared" si="89"/>
        <v>0.91666666666666785</v>
      </c>
      <c r="U154">
        <f t="shared" si="90"/>
        <v>0.73975607531166476</v>
      </c>
      <c r="V154">
        <f t="shared" si="91"/>
        <v>14795.121506233296</v>
      </c>
      <c r="W154">
        <f t="shared" si="81"/>
        <v>19.30763356563445</v>
      </c>
      <c r="X154">
        <f t="shared" si="82"/>
        <v>0</v>
      </c>
      <c r="Y154">
        <f>IF(B154&gt;$AF$2,0,IF(X155=0,0,(1-X155)*($E$2+IF(E154&lt;=Assumptions!$B$9,$D$2,0))/$I$2*1/(1+$AG$2)*1/(1+Assumptions!$B$11)))</f>
        <v>0</v>
      </c>
      <c r="Z154">
        <f>IF(B154&gt;$AF$2,0,IF($Y$2=1,(SUMIF('Mortality Tarif Male'!A:A,E155,'Mortality Tarif Male'!E:E)-SUMIF('Mortality Tarif Male'!A:A,$C$2+$H$2,'Mortality Tarif Male'!E:E))/SUMIF('Mortality Tarif Male'!A:A,E155,'Mortality Tarif Male'!D:D),(SUMIF('Mortality Tarif Female'!A:A,E155,'Mortality Tarif Female'!E:E)-SUMIF('Mortality Tarif Female'!A:A,$C$2+$H$2,'Mortality Tarif Female'!E:E))/SUMIF('Mortality Tarif Female'!A:A,E155,'Mortality Tarif Female'!D:D)))</f>
        <v>7.7726375168561397</v>
      </c>
      <c r="AA154">
        <f>IF(B154&gt;=$AF$2,0,IF($Y$2=1,(SUMIF('Mortality Tarif Male'!A:A,E155+1,'Mortality Tarif Male'!E:E)-SUMIF('Mortality Tarif Male'!A:A,$C$2+$H$2,'Mortality Tarif Male'!E:E))/SUMIF('Mortality Tarif Male'!A:A,E155+1,'Mortality Tarif Male'!D:D),(SUMIF('Mortality Tarif Female'!A:A,E155+1,'Mortality Tarif Female'!E:E)-SUMIF('Mortality Tarif Female'!A:A,$C$2+$H$2,'Mortality Tarif Female'!E:E))/SUMIF('Mortality Tarif Female'!A:A,E155+1,'Mortality Tarif Female'!D:D)))</f>
        <v>7.0291511000354383</v>
      </c>
      <c r="AB154">
        <f t="shared" si="76"/>
        <v>1856.9227510930439</v>
      </c>
      <c r="AC154">
        <f>IF(B154&gt;=$AF$2,0,MIN(1/3*(V154+W154+Y154-AB154),(V154-AB154),(T154*Z154+(1-T154)*AA154)*$AH$2*Assumptions!$B$22))</f>
        <v>200.98644623253352</v>
      </c>
      <c r="AD154">
        <f t="shared" si="92"/>
        <v>12756.519942473355</v>
      </c>
      <c r="AE154">
        <f t="shared" si="93"/>
        <v>12957.506388705888</v>
      </c>
      <c r="AF154">
        <f t="shared" si="94"/>
        <v>12756.519942473355</v>
      </c>
      <c r="AG154" s="26">
        <f t="shared" si="105"/>
        <v>0</v>
      </c>
      <c r="AH154" s="27">
        <f>IF(B154&gt;$AF$2,0,HLOOKUP(YEAR(A154),Assumptions!$A$34:$AL$37,4,TRUE)/100)</f>
        <v>1.1557999999999999E-2</v>
      </c>
      <c r="AI154">
        <f t="shared" si="95"/>
        <v>0</v>
      </c>
      <c r="AJ154">
        <f t="shared" si="96"/>
        <v>2.6440774428843179</v>
      </c>
      <c r="AK154">
        <f t="shared" si="97"/>
        <v>24.487130448254177</v>
      </c>
      <c r="AL154">
        <f>IF(E154&gt;Assumptions!$B$9,0,SUMPRODUCT($P$2:$X$2,Assumptions!$A$43:$I$43)/$I$2*O153*K154)</f>
        <v>3.6064529559945471</v>
      </c>
      <c r="AM154">
        <f t="shared" si="98"/>
        <v>0</v>
      </c>
      <c r="AN154">
        <f t="shared" si="99"/>
        <v>30.737660847133043</v>
      </c>
      <c r="AO154">
        <f>IF(E154&gt;Assumptions!$B$9,0,($V$2+$X$2)/$I$2*O153*K154*Assumptions!$B$46)</f>
        <v>0</v>
      </c>
      <c r="AP154">
        <f>IF(B154&gt;$AF$2,0,AP153*(1+Assumptions!$B$52)^(1/12))</f>
        <v>1.1258910605846015</v>
      </c>
      <c r="AQ154" s="29">
        <f>IF(B154&gt;$AF$2,0,O153*Assumptions!$B$48/12*AP153+AR154*Assumptions!$B$50/12)</f>
        <v>11.227902202113968</v>
      </c>
      <c r="AR154" s="31">
        <f t="shared" si="100"/>
        <v>8068.9211508313674</v>
      </c>
      <c r="AS154">
        <f t="shared" si="83"/>
        <v>8187.0067873610878</v>
      </c>
      <c r="AT154">
        <f t="shared" si="101"/>
        <v>12.921083289715414</v>
      </c>
      <c r="AU154" s="19">
        <f t="shared" si="102"/>
        <v>8077.7475858363705</v>
      </c>
      <c r="AV154" s="19">
        <f t="shared" si="103"/>
        <v>8184.8631841427487</v>
      </c>
      <c r="AW154">
        <f t="shared" si="104"/>
        <v>-127.71491521539778</v>
      </c>
      <c r="AX154">
        <f>IF(B154&gt;$AF$2,0,HLOOKUP(YEAR(A154),Assumptions!$A$34:$AL$37,2,TRUE)/100)</f>
        <v>1.7558000000000001E-2</v>
      </c>
      <c r="AY154" s="32">
        <f>1/(1+HLOOKUP(YEAR(A154),Assumptions!$A$27:$AL$29,3,TRUE))^(1/12)</f>
        <v>0.99860760101943147</v>
      </c>
      <c r="AZ154" s="30">
        <f t="shared" si="84"/>
        <v>9038.1270628037437</v>
      </c>
      <c r="BA154">
        <f>IF(B154&gt;$AF$2,0,IF($E$2=0,(T154*Z154+(1-T154)*AA154)*$J$2*Assumptions!$B$20,0))</f>
        <v>0</v>
      </c>
    </row>
    <row r="155" spans="1:53" x14ac:dyDescent="0.25">
      <c r="A155" s="17">
        <f t="shared" si="85"/>
        <v>47483</v>
      </c>
      <c r="B155">
        <f t="shared" si="77"/>
        <v>374</v>
      </c>
      <c r="C155">
        <f t="shared" si="78"/>
        <v>31.083333333333336</v>
      </c>
      <c r="D155">
        <f t="shared" si="71"/>
        <v>0</v>
      </c>
      <c r="E155">
        <f t="shared" si="79"/>
        <v>54</v>
      </c>
      <c r="F155">
        <f>IF(C155&gt;=$H$2,0,VLOOKUP($E155,'Mortality Table'!$A$3:$C$128,2+AB$2,FALSE))</f>
        <v>2.2740999999999998E-3</v>
      </c>
      <c r="G155">
        <f>F155*Assumptions!$B$1</f>
        <v>2.4617132499999998E-3</v>
      </c>
      <c r="H155">
        <f t="shared" si="86"/>
        <v>2.0537459507896649E-4</v>
      </c>
      <c r="I155">
        <f t="shared" si="72"/>
        <v>1.3161085071097871E-4</v>
      </c>
      <c r="J155">
        <f>HLOOKUP(C155,Assumptions!$A$6:$J$7,2,TRUE)</f>
        <v>3.5200000000000002E-2</v>
      </c>
      <c r="K155" s="18">
        <f t="shared" si="80"/>
        <v>1</v>
      </c>
      <c r="L155" s="18">
        <f t="shared" si="87"/>
        <v>8.3333333333333329E-2</v>
      </c>
      <c r="M155" s="18">
        <f t="shared" si="73"/>
        <v>2.9817501439168836E-3</v>
      </c>
      <c r="N155">
        <f t="shared" si="74"/>
        <v>1.9134608823107606E-3</v>
      </c>
      <c r="O155" s="20">
        <f t="shared" si="75"/>
        <v>0.63974491678117429</v>
      </c>
      <c r="P155">
        <f>IF(B155&gt;$AF$2,0,O154*($E$2+IF(E155&lt;=Assumptions!$B$9,$D$2,0))/$I$2*K155)</f>
        <v>32.870343911735404</v>
      </c>
      <c r="Q155">
        <f t="shared" si="88"/>
        <v>26.1</v>
      </c>
      <c r="R155">
        <f>IF(B155&gt;$AF$2,0,IF($Y$2=1,(SUMIF('Mortality Tarif Male'!A:A,E156,'Mortality Tarif Male'!G:G)-SUMIF('Mortality Tarif Male'!A:A,$C$2+$H$2,'Mortality Tarif Male'!G:G)+SUMIF('Mortality Tarif Male'!A:A,$C$2+$H$2,'Mortality Tarif Male'!D:D))/SUMIF('Mortality Tarif Male'!A:A,E156,'Mortality Tarif Male'!D:D),(SUMIF('Mortality Tarif Female'!A:A,E156,'Mortality Tarif Female'!G:G)-SUMIF('Mortality Tarif Female'!A:A,$C$2+$H$2,'Mortality Tarif Female'!G:G)+SUMIF('Mortality Tarif Female'!A:A,$C$2+$H$2,'Mortality Tarif Female'!D:D))/SUMIF('Mortality Tarif Female'!A:A,E156,'Mortality Tarif Female'!D:D)))</f>
        <v>0.73766332282839753</v>
      </c>
      <c r="S155">
        <f>IF(B155&gt;=$AF$2,0,IF($Y$2=1,(SUMIF('Mortality Tarif Male'!A:A,E156+1,'Mortality Tarif Male'!G:G)-SUMIF('Mortality Tarif Male'!A:A,$C$2+$H$2,'Mortality Tarif Male'!G:G)+SUMIF('Mortality Tarif Male'!A:A,$C$2+$H$2,'Mortality Tarif Male'!D:D))/SUMIF('Mortality Tarif Male'!A:A,E156+1,'Mortality Tarif Male'!D:D),(SUMIF('Mortality Tarif Female'!A:A,E156+1,'Mortality Tarif Female'!G:G)-SUMIF('Mortality Tarif Female'!A:A,$C$2+$H$2,'Mortality Tarif Female'!G:G)+SUMIF('Mortality Tarif Female'!A:A,$C$2+$H$2,'Mortality Tarif Female'!D:D))/SUMIF('Mortality Tarif Female'!A:A,E156+1,'Mortality Tarif Female'!D:D)))</f>
        <v>0.7627763526276059</v>
      </c>
      <c r="T155">
        <f t="shared" si="89"/>
        <v>0.83333333333333215</v>
      </c>
      <c r="U155">
        <f t="shared" si="90"/>
        <v>0.74184882779493222</v>
      </c>
      <c r="V155">
        <f t="shared" si="91"/>
        <v>14836.976555898644</v>
      </c>
      <c r="W155">
        <f t="shared" si="81"/>
        <v>19.362254405447732</v>
      </c>
      <c r="X155">
        <f t="shared" si="82"/>
        <v>0</v>
      </c>
      <c r="Y155">
        <f>IF(B155&gt;$AF$2,0,IF(X156=0,0,(1-X156)*($E$2+IF(E155&lt;=Assumptions!$B$9,$D$2,0))/$I$2*1/(1+$AG$2)*1/(1+Assumptions!$B$11)))</f>
        <v>0</v>
      </c>
      <c r="Z155">
        <f>IF(B155&gt;$AF$2,0,IF($Y$2=1,(SUMIF('Mortality Tarif Male'!A:A,E156,'Mortality Tarif Male'!E:E)-SUMIF('Mortality Tarif Male'!A:A,$C$2+$H$2,'Mortality Tarif Male'!E:E))/SUMIF('Mortality Tarif Male'!A:A,E156,'Mortality Tarif Male'!D:D),(SUMIF('Mortality Tarif Female'!A:A,E156,'Mortality Tarif Female'!E:E)-SUMIF('Mortality Tarif Female'!A:A,$C$2+$H$2,'Mortality Tarif Female'!E:E))/SUMIF('Mortality Tarif Female'!A:A,E156,'Mortality Tarif Female'!D:D)))</f>
        <v>7.7726375168561397</v>
      </c>
      <c r="AA155">
        <f>IF(B155&gt;=$AF$2,0,IF($Y$2=1,(SUMIF('Mortality Tarif Male'!A:A,E156+1,'Mortality Tarif Male'!E:E)-SUMIF('Mortality Tarif Male'!A:A,$C$2+$H$2,'Mortality Tarif Male'!E:E))/SUMIF('Mortality Tarif Male'!A:A,E156+1,'Mortality Tarif Male'!D:D),(SUMIF('Mortality Tarif Female'!A:A,E156+1,'Mortality Tarif Female'!E:E)-SUMIF('Mortality Tarif Female'!A:A,$C$2+$H$2,'Mortality Tarif Female'!E:E))/SUMIF('Mortality Tarif Female'!A:A,E156+1,'Mortality Tarif Female'!D:D)))</f>
        <v>7.0291511000354383</v>
      </c>
      <c r="AB155">
        <f t="shared" si="76"/>
        <v>1842.0019228171875</v>
      </c>
      <c r="AC155">
        <f>IF(B155&gt;=$AF$2,0,MIN(1/3*(V155+W155+Y155-AB155),(V155-AB155),(T155*Z155+(1-T155)*AA155)*$AH$2*Assumptions!$B$22))</f>
        <v>199.3714710009333</v>
      </c>
      <c r="AD155">
        <f t="shared" si="92"/>
        <v>12814.965416485969</v>
      </c>
      <c r="AE155">
        <f t="shared" si="93"/>
        <v>13014.336887486903</v>
      </c>
      <c r="AF155">
        <f t="shared" si="94"/>
        <v>12814.965416485969</v>
      </c>
      <c r="AG155" s="26">
        <f t="shared" si="105"/>
        <v>12500.900443536337</v>
      </c>
      <c r="AH155" s="27">
        <f>IF(B155&gt;$AF$2,0,HLOOKUP(YEAR(A155),Assumptions!$A$34:$AL$37,4,TRUE)/100)</f>
        <v>1.1557999999999999E-2</v>
      </c>
      <c r="AI155">
        <f t="shared" si="95"/>
        <v>0</v>
      </c>
      <c r="AJ155">
        <f t="shared" si="96"/>
        <v>2.6356520574231306</v>
      </c>
      <c r="AK155">
        <f t="shared" si="97"/>
        <v>24.520935032611128</v>
      </c>
      <c r="AL155">
        <f>IF(E155&gt;Assumptions!$B$9,0,SUMPRODUCT($P$2:$X$2,Assumptions!$A$43:$I$43)/$I$2*O154*K155)</f>
        <v>3.5949609490627288</v>
      </c>
      <c r="AM155">
        <f t="shared" si="98"/>
        <v>0</v>
      </c>
      <c r="AN155">
        <f t="shared" si="99"/>
        <v>30.751548039096985</v>
      </c>
      <c r="AO155">
        <f>IF(E155&gt;Assumptions!$B$9,0,($V$2+$X$2)/$I$2*O154*K155*Assumptions!$B$46)</f>
        <v>0</v>
      </c>
      <c r="AP155">
        <f>IF(B155&gt;$AF$2,0,AP154*(1+Assumptions!$B$52)^(1/12))</f>
        <v>1.126825030131958</v>
      </c>
      <c r="AQ155" s="29">
        <f>IF(B155&gt;$AF$2,0,O154*Assumptions!$B$48/12*AP154+AR155*Assumptions!$B$50/12)</f>
        <v>11.205926662679367</v>
      </c>
      <c r="AR155" s="31">
        <f t="shared" si="100"/>
        <v>8068.5768212946932</v>
      </c>
      <c r="AS155">
        <f t="shared" si="83"/>
        <v>8198.3089839234435</v>
      </c>
      <c r="AT155">
        <f t="shared" si="101"/>
        <v>12.879910098065929</v>
      </c>
      <c r="AU155" s="19">
        <f t="shared" si="102"/>
        <v>8077.3613284456833</v>
      </c>
      <c r="AV155" s="19">
        <f t="shared" si="103"/>
        <v>8196.2917365100911</v>
      </c>
      <c r="AW155">
        <f t="shared" si="104"/>
        <v>0</v>
      </c>
      <c r="AX155">
        <f>IF(B155&gt;$AF$2,0,HLOOKUP(YEAR(A155),Assumptions!$A$34:$AL$37,2,TRUE)/100)</f>
        <v>1.7558000000000001E-2</v>
      </c>
      <c r="AY155" s="32">
        <f>1/(1+HLOOKUP(YEAR(A155),Assumptions!$A$27:$AL$29,3,TRUE))^(1/12)</f>
        <v>0.99860760101943147</v>
      </c>
      <c r="AZ155" s="30">
        <f t="shared" si="84"/>
        <v>9041.6421582491621</v>
      </c>
      <c r="BA155">
        <f>IF(B155&gt;$AF$2,0,IF($E$2=0,(T155*Z155+(1-T155)*AA155)*$J$2*Assumptions!$B$20,0))</f>
        <v>0</v>
      </c>
    </row>
    <row r="156" spans="1:53" x14ac:dyDescent="0.25">
      <c r="A156" s="17">
        <f t="shared" si="85"/>
        <v>47514</v>
      </c>
      <c r="B156">
        <f t="shared" si="77"/>
        <v>375</v>
      </c>
      <c r="C156">
        <f t="shared" si="78"/>
        <v>31.166666666666664</v>
      </c>
      <c r="D156">
        <f t="shared" si="71"/>
        <v>0</v>
      </c>
      <c r="E156">
        <f t="shared" si="79"/>
        <v>54</v>
      </c>
      <c r="F156">
        <f>IF(C156&gt;=$H$2,0,VLOOKUP($E156,'Mortality Table'!$A$3:$C$128,2+AB$2,FALSE))</f>
        <v>2.2740999999999998E-3</v>
      </c>
      <c r="G156">
        <f>F156*Assumptions!$B$1</f>
        <v>2.4617132499999998E-3</v>
      </c>
      <c r="H156">
        <f t="shared" si="86"/>
        <v>2.0537459507896649E-4</v>
      </c>
      <c r="I156">
        <f t="shared" si="72"/>
        <v>1.3119147110804798E-4</v>
      </c>
      <c r="J156">
        <f>HLOOKUP(C156,Assumptions!$A$6:$J$7,2,TRUE)</f>
        <v>3.5200000000000002E-2</v>
      </c>
      <c r="K156" s="18">
        <f t="shared" si="80"/>
        <v>1</v>
      </c>
      <c r="L156" s="18">
        <f t="shared" si="87"/>
        <v>8.3333333333333329E-2</v>
      </c>
      <c r="M156" s="18">
        <f t="shared" si="73"/>
        <v>2.9817501439168836E-3</v>
      </c>
      <c r="N156">
        <f t="shared" si="74"/>
        <v>1.9073636155526484E-3</v>
      </c>
      <c r="O156" s="20">
        <f t="shared" si="75"/>
        <v>0.63770636169451356</v>
      </c>
      <c r="P156">
        <f>IF(B156&gt;$AF$2,0,O155*($E$2+IF(E156&lt;=Assumptions!$B$9,$D$2,0))/$I$2*K156)</f>
        <v>32.765602154475808</v>
      </c>
      <c r="Q156">
        <f t="shared" si="88"/>
        <v>26.1</v>
      </c>
      <c r="R156">
        <f>IF(B156&gt;$AF$2,0,IF($Y$2=1,(SUMIF('Mortality Tarif Male'!A:A,E157,'Mortality Tarif Male'!G:G)-SUMIF('Mortality Tarif Male'!A:A,$C$2+$H$2,'Mortality Tarif Male'!G:G)+SUMIF('Mortality Tarif Male'!A:A,$C$2+$H$2,'Mortality Tarif Male'!D:D))/SUMIF('Mortality Tarif Male'!A:A,E157,'Mortality Tarif Male'!D:D),(SUMIF('Mortality Tarif Female'!A:A,E157,'Mortality Tarif Female'!G:G)-SUMIF('Mortality Tarif Female'!A:A,$C$2+$H$2,'Mortality Tarif Female'!G:G)+SUMIF('Mortality Tarif Female'!A:A,$C$2+$H$2,'Mortality Tarif Female'!D:D))/SUMIF('Mortality Tarif Female'!A:A,E157,'Mortality Tarif Female'!D:D)))</f>
        <v>0.73766332282839753</v>
      </c>
      <c r="S156">
        <f>IF(B156&gt;=$AF$2,0,IF($Y$2=1,(SUMIF('Mortality Tarif Male'!A:A,E157+1,'Mortality Tarif Male'!G:G)-SUMIF('Mortality Tarif Male'!A:A,$C$2+$H$2,'Mortality Tarif Male'!G:G)+SUMIF('Mortality Tarif Male'!A:A,$C$2+$H$2,'Mortality Tarif Male'!D:D))/SUMIF('Mortality Tarif Male'!A:A,E157+1,'Mortality Tarif Male'!D:D),(SUMIF('Mortality Tarif Female'!A:A,E157+1,'Mortality Tarif Female'!G:G)-SUMIF('Mortality Tarif Female'!A:A,$C$2+$H$2,'Mortality Tarif Female'!G:G)+SUMIF('Mortality Tarif Female'!A:A,$C$2+$H$2,'Mortality Tarif Female'!D:D))/SUMIF('Mortality Tarif Female'!A:A,E157+1,'Mortality Tarif Female'!D:D)))</f>
        <v>0.7627763526276059</v>
      </c>
      <c r="T156">
        <f t="shared" si="89"/>
        <v>0.75</v>
      </c>
      <c r="U156">
        <f t="shared" si="90"/>
        <v>0.74394158027819968</v>
      </c>
      <c r="V156">
        <f t="shared" si="91"/>
        <v>14878.831605563993</v>
      </c>
      <c r="W156">
        <f t="shared" si="81"/>
        <v>19.416875245261014</v>
      </c>
      <c r="X156">
        <f t="shared" si="82"/>
        <v>0</v>
      </c>
      <c r="Y156">
        <f>IF(B156&gt;$AF$2,0,IF(X157=0,0,(1-X157)*($E$2+IF(E156&lt;=Assumptions!$B$9,$D$2,0))/$I$2*1/(1+$AG$2)*1/(1+Assumptions!$B$11)))</f>
        <v>0</v>
      </c>
      <c r="Z156">
        <f>IF(B156&gt;$AF$2,0,IF($Y$2=1,(SUMIF('Mortality Tarif Male'!A:A,E157,'Mortality Tarif Male'!E:E)-SUMIF('Mortality Tarif Male'!A:A,$C$2+$H$2,'Mortality Tarif Male'!E:E))/SUMIF('Mortality Tarif Male'!A:A,E157,'Mortality Tarif Male'!D:D),(SUMIF('Mortality Tarif Female'!A:A,E157,'Mortality Tarif Female'!E:E)-SUMIF('Mortality Tarif Female'!A:A,$C$2+$H$2,'Mortality Tarif Female'!E:E))/SUMIF('Mortality Tarif Female'!A:A,E157,'Mortality Tarif Female'!D:D)))</f>
        <v>7.7726375168561397</v>
      </c>
      <c r="AA156">
        <f>IF(B156&gt;=$AF$2,0,IF($Y$2=1,(SUMIF('Mortality Tarif Male'!A:A,E157+1,'Mortality Tarif Male'!E:E)-SUMIF('Mortality Tarif Male'!A:A,$C$2+$H$2,'Mortality Tarif Male'!E:E))/SUMIF('Mortality Tarif Male'!A:A,E157+1,'Mortality Tarif Male'!D:D),(SUMIF('Mortality Tarif Female'!A:A,E157+1,'Mortality Tarif Female'!E:E)-SUMIF('Mortality Tarif Female'!A:A,$C$2+$H$2,'Mortality Tarif Female'!E:E))/SUMIF('Mortality Tarif Female'!A:A,E157+1,'Mortality Tarif Female'!D:D)))</f>
        <v>7.0291511000354383</v>
      </c>
      <c r="AB156">
        <f t="shared" si="76"/>
        <v>1827.081094541332</v>
      </c>
      <c r="AC156">
        <f>IF(B156&gt;=$AF$2,0,MIN(1/3*(V156+W156+Y156-AB156),(V156-AB156),(T156*Z156+(1-T156)*AA156)*$AH$2*Assumptions!$B$22))</f>
        <v>197.75649576933313</v>
      </c>
      <c r="AD156">
        <f t="shared" si="92"/>
        <v>12873.410890498588</v>
      </c>
      <c r="AE156">
        <f t="shared" si="93"/>
        <v>13071.167386267922</v>
      </c>
      <c r="AF156">
        <f t="shared" si="94"/>
        <v>12873.410890498588</v>
      </c>
      <c r="AG156" s="26">
        <f t="shared" si="105"/>
        <v>0</v>
      </c>
      <c r="AH156" s="27">
        <f>IF(B156&gt;$AF$2,0,HLOOKUP(YEAR(A156),Assumptions!$A$34:$AL$37,4,TRUE)/100)</f>
        <v>1.2319999999999999E-2</v>
      </c>
      <c r="AI156">
        <f t="shared" si="95"/>
        <v>0</v>
      </c>
      <c r="AJ156">
        <f t="shared" si="96"/>
        <v>2.6272535195568794</v>
      </c>
      <c r="AK156">
        <f t="shared" si="97"/>
        <v>24.554275540596226</v>
      </c>
      <c r="AL156">
        <f>IF(E156&gt;Assumptions!$B$9,0,SUMPRODUCT($P$2:$X$2,Assumptions!$A$43:$I$43)/$I$2*O155*K156)</f>
        <v>3.5835055615530762</v>
      </c>
      <c r="AM156">
        <f t="shared" si="98"/>
        <v>0</v>
      </c>
      <c r="AN156">
        <f t="shared" si="99"/>
        <v>30.765034621706182</v>
      </c>
      <c r="AO156">
        <f>IF(E156&gt;Assumptions!$B$9,0,($V$2+$X$2)/$I$2*O155*K156*Assumptions!$B$46)</f>
        <v>0</v>
      </c>
      <c r="AP156">
        <f>IF(B156&gt;$AF$2,0,AP155*(1+Assumptions!$B$52)^(1/12))</f>
        <v>1.1277597744426517</v>
      </c>
      <c r="AQ156" s="29">
        <f>IF(B156&gt;$AF$2,0,O155*Assumptions!$B$48/12*AP155+AR156*Assumptions!$B$50/12)</f>
        <v>11.217674645651256</v>
      </c>
      <c r="AR156" s="31">
        <f t="shared" si="100"/>
        <v>8207.5643464671903</v>
      </c>
      <c r="AS156">
        <f t="shared" si="83"/>
        <v>8209.4560215783822</v>
      </c>
      <c r="AT156">
        <f t="shared" si="101"/>
        <v>12.838868105300667</v>
      </c>
      <c r="AU156" s="19">
        <f t="shared" si="102"/>
        <v>8216.2734058707138</v>
      </c>
      <c r="AV156" s="19">
        <f t="shared" si="103"/>
        <v>8207.5643464671903</v>
      </c>
      <c r="AW156">
        <f t="shared" si="104"/>
        <v>-11.123682394088647</v>
      </c>
      <c r="AX156">
        <f>IF(B156&gt;$AF$2,0,HLOOKUP(YEAR(A156),Assumptions!$A$34:$AL$37,2,TRUE)/100)</f>
        <v>1.8319999999999999E-2</v>
      </c>
      <c r="AY156" s="32">
        <f>1/(1+HLOOKUP(YEAR(A156),Assumptions!$A$27:$AL$29,3,TRUE))^(1/12)</f>
        <v>0.9985504179392577</v>
      </c>
      <c r="AZ156" s="30">
        <f t="shared" si="84"/>
        <v>9045.550680084787</v>
      </c>
      <c r="BA156">
        <f>IF(B156&gt;$AF$2,0,IF($E$2=0,(T156*Z156+(1-T156)*AA156)*$J$2*Assumptions!$B$20,0))</f>
        <v>0</v>
      </c>
    </row>
    <row r="157" spans="1:53" x14ac:dyDescent="0.25">
      <c r="A157" s="17">
        <f t="shared" si="85"/>
        <v>47542</v>
      </c>
      <c r="B157">
        <f t="shared" si="77"/>
        <v>376</v>
      </c>
      <c r="C157">
        <f t="shared" si="78"/>
        <v>31.25</v>
      </c>
      <c r="D157">
        <f t="shared" si="71"/>
        <v>0</v>
      </c>
      <c r="E157">
        <f t="shared" si="79"/>
        <v>54</v>
      </c>
      <c r="F157">
        <f>IF(C157&gt;=$H$2,0,VLOOKUP($E157,'Mortality Table'!$A$3:$C$128,2+AB$2,FALSE))</f>
        <v>2.2740999999999998E-3</v>
      </c>
      <c r="G157">
        <f>F157*Assumptions!$B$1</f>
        <v>2.4617132499999998E-3</v>
      </c>
      <c r="H157">
        <f t="shared" si="86"/>
        <v>2.0537459507896649E-4</v>
      </c>
      <c r="I157">
        <f t="shared" si="72"/>
        <v>1.3077342786340697E-4</v>
      </c>
      <c r="J157">
        <f>HLOOKUP(C157,Assumptions!$A$6:$J$7,2,TRUE)</f>
        <v>3.5200000000000002E-2</v>
      </c>
      <c r="K157" s="18">
        <f t="shared" si="80"/>
        <v>1</v>
      </c>
      <c r="L157" s="18">
        <f t="shared" si="87"/>
        <v>8.3333333333333329E-2</v>
      </c>
      <c r="M157" s="18">
        <f t="shared" si="73"/>
        <v>2.9817501439168836E-3</v>
      </c>
      <c r="N157">
        <f t="shared" si="74"/>
        <v>1.9012857778104434E-3</v>
      </c>
      <c r="O157" s="20">
        <f t="shared" si="75"/>
        <v>0.63567430248883972</v>
      </c>
      <c r="P157">
        <f>IF(B157&gt;$AF$2,0,O156*($E$2+IF(E157&lt;=Assumptions!$B$9,$D$2,0))/$I$2*K157)</f>
        <v>32.661194158120665</v>
      </c>
      <c r="Q157">
        <f t="shared" si="88"/>
        <v>26.1</v>
      </c>
      <c r="R157">
        <f>IF(B157&gt;$AF$2,0,IF($Y$2=1,(SUMIF('Mortality Tarif Male'!A:A,E158,'Mortality Tarif Male'!G:G)-SUMIF('Mortality Tarif Male'!A:A,$C$2+$H$2,'Mortality Tarif Male'!G:G)+SUMIF('Mortality Tarif Male'!A:A,$C$2+$H$2,'Mortality Tarif Male'!D:D))/SUMIF('Mortality Tarif Male'!A:A,E158,'Mortality Tarif Male'!D:D),(SUMIF('Mortality Tarif Female'!A:A,E158,'Mortality Tarif Female'!G:G)-SUMIF('Mortality Tarif Female'!A:A,$C$2+$H$2,'Mortality Tarif Female'!G:G)+SUMIF('Mortality Tarif Female'!A:A,$C$2+$H$2,'Mortality Tarif Female'!D:D))/SUMIF('Mortality Tarif Female'!A:A,E158,'Mortality Tarif Female'!D:D)))</f>
        <v>0.73766332282839753</v>
      </c>
      <c r="S157">
        <f>IF(B157&gt;=$AF$2,0,IF($Y$2=1,(SUMIF('Mortality Tarif Male'!A:A,E158+1,'Mortality Tarif Male'!G:G)-SUMIF('Mortality Tarif Male'!A:A,$C$2+$H$2,'Mortality Tarif Male'!G:G)+SUMIF('Mortality Tarif Male'!A:A,$C$2+$H$2,'Mortality Tarif Male'!D:D))/SUMIF('Mortality Tarif Male'!A:A,E158+1,'Mortality Tarif Male'!D:D),(SUMIF('Mortality Tarif Female'!A:A,E158+1,'Mortality Tarif Female'!G:G)-SUMIF('Mortality Tarif Female'!A:A,$C$2+$H$2,'Mortality Tarif Female'!G:G)+SUMIF('Mortality Tarif Female'!A:A,$C$2+$H$2,'Mortality Tarif Female'!D:D))/SUMIF('Mortality Tarif Female'!A:A,E158+1,'Mortality Tarif Female'!D:D)))</f>
        <v>0.7627763526276059</v>
      </c>
      <c r="T157">
        <f t="shared" si="89"/>
        <v>0.66666666666666785</v>
      </c>
      <c r="U157">
        <f t="shared" si="90"/>
        <v>0.74603433276146691</v>
      </c>
      <c r="V157">
        <f t="shared" si="91"/>
        <v>14920.686655229338</v>
      </c>
      <c r="W157">
        <f t="shared" si="81"/>
        <v>19.471496085074289</v>
      </c>
      <c r="X157">
        <f t="shared" si="82"/>
        <v>0</v>
      </c>
      <c r="Y157">
        <f>IF(B157&gt;$AF$2,0,IF(X158=0,0,(1-X158)*($E$2+IF(E157&lt;=Assumptions!$B$9,$D$2,0))/$I$2*1/(1+$AG$2)*1/(1+Assumptions!$B$11)))</f>
        <v>0</v>
      </c>
      <c r="Z157">
        <f>IF(B157&gt;$AF$2,0,IF($Y$2=1,(SUMIF('Mortality Tarif Male'!A:A,E158,'Mortality Tarif Male'!E:E)-SUMIF('Mortality Tarif Male'!A:A,$C$2+$H$2,'Mortality Tarif Male'!E:E))/SUMIF('Mortality Tarif Male'!A:A,E158,'Mortality Tarif Male'!D:D),(SUMIF('Mortality Tarif Female'!A:A,E158,'Mortality Tarif Female'!E:E)-SUMIF('Mortality Tarif Female'!A:A,$C$2+$H$2,'Mortality Tarif Female'!E:E))/SUMIF('Mortality Tarif Female'!A:A,E158,'Mortality Tarif Female'!D:D)))</f>
        <v>7.7726375168561397</v>
      </c>
      <c r="AA157">
        <f>IF(B157&gt;=$AF$2,0,IF($Y$2=1,(SUMIF('Mortality Tarif Male'!A:A,E158+1,'Mortality Tarif Male'!E:E)-SUMIF('Mortality Tarif Male'!A:A,$C$2+$H$2,'Mortality Tarif Male'!E:E))/SUMIF('Mortality Tarif Male'!A:A,E158+1,'Mortality Tarif Male'!D:D),(SUMIF('Mortality Tarif Female'!A:A,E158+1,'Mortality Tarif Female'!E:E)-SUMIF('Mortality Tarif Female'!A:A,$C$2+$H$2,'Mortality Tarif Female'!E:E))/SUMIF('Mortality Tarif Female'!A:A,E158+1,'Mortality Tarif Female'!D:D)))</f>
        <v>7.0291511000354383</v>
      </c>
      <c r="AB157">
        <f t="shared" si="76"/>
        <v>1812.1602662654761</v>
      </c>
      <c r="AC157">
        <f>IF(B157&gt;=$AF$2,0,MIN(1/3*(V157+W157+Y157-AB157),(V157-AB157),(T157*Z157+(1-T157)*AA157)*$AH$2*Assumptions!$B$22))</f>
        <v>196.1415205377329</v>
      </c>
      <c r="AD157">
        <f t="shared" si="92"/>
        <v>12931.856364511203</v>
      </c>
      <c r="AE157">
        <f t="shared" si="93"/>
        <v>13127.997885048935</v>
      </c>
      <c r="AF157">
        <f t="shared" si="94"/>
        <v>12931.856364511203</v>
      </c>
      <c r="AG157" s="26">
        <f t="shared" si="105"/>
        <v>0</v>
      </c>
      <c r="AH157" s="27">
        <f>IF(B157&gt;$AF$2,0,HLOOKUP(YEAR(A157),Assumptions!$A$34:$AL$37,4,TRUE)/100)</f>
        <v>1.2319999999999999E-2</v>
      </c>
      <c r="AI157">
        <f t="shared" si="95"/>
        <v>0</v>
      </c>
      <c r="AJ157">
        <f t="shared" si="96"/>
        <v>2.6188817437353742</v>
      </c>
      <c r="AK157">
        <f t="shared" si="97"/>
        <v>24.587154586532616</v>
      </c>
      <c r="AL157">
        <f>IF(E157&gt;Assumptions!$B$9,0,SUMPRODUCT($P$2:$X$2,Assumptions!$A$43:$I$43)/$I$2*O156*K157)</f>
        <v>3.5720866767773494</v>
      </c>
      <c r="AM157">
        <f t="shared" si="98"/>
        <v>0</v>
      </c>
      <c r="AN157">
        <f t="shared" si="99"/>
        <v>30.778123007045341</v>
      </c>
      <c r="AO157">
        <f>IF(E157&gt;Assumptions!$B$9,0,($V$2+$X$2)/$I$2*O156*K157*Assumptions!$B$46)</f>
        <v>0</v>
      </c>
      <c r="AP157">
        <f>IF(B157&gt;$AF$2,0,AP156*(1+Assumptions!$B$52)^(1/12))</f>
        <v>1.1286952941593784</v>
      </c>
      <c r="AQ157" s="29">
        <f>IF(B157&gt;$AF$2,0,O156*Assumptions!$B$48/12*AP156+AR157*Assumptions!$B$50/12)</f>
        <v>11.195884029208553</v>
      </c>
      <c r="AR157" s="31">
        <f t="shared" si="100"/>
        <v>8207.5582094008696</v>
      </c>
      <c r="AS157">
        <f t="shared" si="83"/>
        <v>8220.4487743965219</v>
      </c>
      <c r="AT157">
        <f t="shared" si="101"/>
        <v>12.797956893352767</v>
      </c>
      <c r="AU157" s="19">
        <f t="shared" si="102"/>
        <v>8216.2255626364295</v>
      </c>
      <c r="AV157" s="19">
        <f t="shared" si="103"/>
        <v>8218.6818917949586</v>
      </c>
      <c r="AW157">
        <f t="shared" si="104"/>
        <v>-22.27935456927468</v>
      </c>
      <c r="AX157">
        <f>IF(B157&gt;$AF$2,0,HLOOKUP(YEAR(A157),Assumptions!$A$34:$AL$37,2,TRUE)/100)</f>
        <v>1.8319999999999999E-2</v>
      </c>
      <c r="AY157" s="32">
        <f>1/(1+HLOOKUP(YEAR(A157),Assumptions!$A$27:$AL$29,3,TRUE))^(1/12)</f>
        <v>0.9985504179392577</v>
      </c>
      <c r="AZ157" s="30">
        <f t="shared" si="84"/>
        <v>9049.3691701031548</v>
      </c>
      <c r="BA157">
        <f>IF(B157&gt;$AF$2,0,IF($E$2=0,(T157*Z157+(1-T157)*AA157)*$J$2*Assumptions!$B$20,0))</f>
        <v>0</v>
      </c>
    </row>
    <row r="158" spans="1:53" x14ac:dyDescent="0.25">
      <c r="A158" s="17">
        <f t="shared" si="85"/>
        <v>47573</v>
      </c>
      <c r="B158">
        <f t="shared" si="77"/>
        <v>377</v>
      </c>
      <c r="C158">
        <f t="shared" si="78"/>
        <v>31.333333333333336</v>
      </c>
      <c r="D158">
        <f t="shared" si="71"/>
        <v>0</v>
      </c>
      <c r="E158">
        <f t="shared" si="79"/>
        <v>54</v>
      </c>
      <c r="F158">
        <f>IF(C158&gt;=$H$2,0,VLOOKUP($E158,'Mortality Table'!$A$3:$C$128,2+AB$2,FALSE))</f>
        <v>2.2740999999999998E-3</v>
      </c>
      <c r="G158">
        <f>F158*Assumptions!$B$1</f>
        <v>2.4617132499999998E-3</v>
      </c>
      <c r="H158">
        <f t="shared" si="86"/>
        <v>2.0537459507896649E-4</v>
      </c>
      <c r="I158">
        <f t="shared" si="72"/>
        <v>1.3035671671873336E-4</v>
      </c>
      <c r="J158">
        <f>HLOOKUP(C158,Assumptions!$A$6:$J$7,2,TRUE)</f>
        <v>3.5200000000000002E-2</v>
      </c>
      <c r="K158" s="18">
        <f t="shared" si="80"/>
        <v>1</v>
      </c>
      <c r="L158" s="18">
        <f t="shared" si="87"/>
        <v>8.3333333333333329E-2</v>
      </c>
      <c r="M158" s="18">
        <f t="shared" si="73"/>
        <v>2.9817501439168836E-3</v>
      </c>
      <c r="N158">
        <f t="shared" si="74"/>
        <v>1.895227307173346E-3</v>
      </c>
      <c r="O158" s="20">
        <f t="shared" si="75"/>
        <v>0.63364871846494764</v>
      </c>
      <c r="P158">
        <f>IF(B158&gt;$AF$2,0,O157*($E$2+IF(E158&lt;=Assumptions!$B$9,$D$2,0))/$I$2*K158)</f>
        <v>32.557118859136736</v>
      </c>
      <c r="Q158">
        <f t="shared" si="88"/>
        <v>26.1</v>
      </c>
      <c r="R158">
        <f>IF(B158&gt;$AF$2,0,IF($Y$2=1,(SUMIF('Mortality Tarif Male'!A:A,E159,'Mortality Tarif Male'!G:G)-SUMIF('Mortality Tarif Male'!A:A,$C$2+$H$2,'Mortality Tarif Male'!G:G)+SUMIF('Mortality Tarif Male'!A:A,$C$2+$H$2,'Mortality Tarif Male'!D:D))/SUMIF('Mortality Tarif Male'!A:A,E159,'Mortality Tarif Male'!D:D),(SUMIF('Mortality Tarif Female'!A:A,E159,'Mortality Tarif Female'!G:G)-SUMIF('Mortality Tarif Female'!A:A,$C$2+$H$2,'Mortality Tarif Female'!G:G)+SUMIF('Mortality Tarif Female'!A:A,$C$2+$H$2,'Mortality Tarif Female'!D:D))/SUMIF('Mortality Tarif Female'!A:A,E159,'Mortality Tarif Female'!D:D)))</f>
        <v>0.73766332282839753</v>
      </c>
      <c r="S158">
        <f>IF(B158&gt;=$AF$2,0,IF($Y$2=1,(SUMIF('Mortality Tarif Male'!A:A,E159+1,'Mortality Tarif Male'!G:G)-SUMIF('Mortality Tarif Male'!A:A,$C$2+$H$2,'Mortality Tarif Male'!G:G)+SUMIF('Mortality Tarif Male'!A:A,$C$2+$H$2,'Mortality Tarif Male'!D:D))/SUMIF('Mortality Tarif Male'!A:A,E159+1,'Mortality Tarif Male'!D:D),(SUMIF('Mortality Tarif Female'!A:A,E159+1,'Mortality Tarif Female'!G:G)-SUMIF('Mortality Tarif Female'!A:A,$C$2+$H$2,'Mortality Tarif Female'!G:G)+SUMIF('Mortality Tarif Female'!A:A,$C$2+$H$2,'Mortality Tarif Female'!D:D))/SUMIF('Mortality Tarif Female'!A:A,E159+1,'Mortality Tarif Female'!D:D)))</f>
        <v>0.7627763526276059</v>
      </c>
      <c r="T158">
        <f t="shared" si="89"/>
        <v>0.58333333333333215</v>
      </c>
      <c r="U158">
        <f t="shared" si="90"/>
        <v>0.74812708524473437</v>
      </c>
      <c r="V158">
        <f t="shared" si="91"/>
        <v>14962.541704894687</v>
      </c>
      <c r="W158">
        <f t="shared" si="81"/>
        <v>19.526116924887567</v>
      </c>
      <c r="X158">
        <f t="shared" si="82"/>
        <v>0</v>
      </c>
      <c r="Y158">
        <f>IF(B158&gt;$AF$2,0,IF(X159=0,0,(1-X159)*($E$2+IF(E158&lt;=Assumptions!$B$9,$D$2,0))/$I$2*1/(1+$AG$2)*1/(1+Assumptions!$B$11)))</f>
        <v>0</v>
      </c>
      <c r="Z158">
        <f>IF(B158&gt;$AF$2,0,IF($Y$2=1,(SUMIF('Mortality Tarif Male'!A:A,E159,'Mortality Tarif Male'!E:E)-SUMIF('Mortality Tarif Male'!A:A,$C$2+$H$2,'Mortality Tarif Male'!E:E))/SUMIF('Mortality Tarif Male'!A:A,E159,'Mortality Tarif Male'!D:D),(SUMIF('Mortality Tarif Female'!A:A,E159,'Mortality Tarif Female'!E:E)-SUMIF('Mortality Tarif Female'!A:A,$C$2+$H$2,'Mortality Tarif Female'!E:E))/SUMIF('Mortality Tarif Female'!A:A,E159,'Mortality Tarif Female'!D:D)))</f>
        <v>7.7726375168561397</v>
      </c>
      <c r="AA158">
        <f>IF(B158&gt;=$AF$2,0,IF($Y$2=1,(SUMIF('Mortality Tarif Male'!A:A,E159+1,'Mortality Tarif Male'!E:E)-SUMIF('Mortality Tarif Male'!A:A,$C$2+$H$2,'Mortality Tarif Male'!E:E))/SUMIF('Mortality Tarif Male'!A:A,E159+1,'Mortality Tarif Male'!D:D),(SUMIF('Mortality Tarif Female'!A:A,E159+1,'Mortality Tarif Female'!E:E)-SUMIF('Mortality Tarif Female'!A:A,$C$2+$H$2,'Mortality Tarif Female'!E:E))/SUMIF('Mortality Tarif Female'!A:A,E159+1,'Mortality Tarif Female'!D:D)))</f>
        <v>7.0291511000354383</v>
      </c>
      <c r="AB158">
        <f t="shared" si="76"/>
        <v>1797.2394379896202</v>
      </c>
      <c r="AC158">
        <f>IF(B158&gt;=$AF$2,0,MIN(1/3*(V158+W158+Y158-AB158),(V158-AB158),(T158*Z158+(1-T158)*AA158)*$AH$2*Assumptions!$B$22))</f>
        <v>194.52654530613273</v>
      </c>
      <c r="AD158">
        <f t="shared" si="92"/>
        <v>12990.301838523823</v>
      </c>
      <c r="AE158">
        <f t="shared" si="93"/>
        <v>13184.828383829956</v>
      </c>
      <c r="AF158">
        <f t="shared" si="94"/>
        <v>12990.301838523823</v>
      </c>
      <c r="AG158" s="26">
        <f t="shared" si="105"/>
        <v>0</v>
      </c>
      <c r="AH158" s="27">
        <f>IF(B158&gt;$AF$2,0,HLOOKUP(YEAR(A158),Assumptions!$A$34:$AL$37,4,TRUE)/100)</f>
        <v>1.2319999999999999E-2</v>
      </c>
      <c r="AI158">
        <f t="shared" si="95"/>
        <v>0</v>
      </c>
      <c r="AJ158">
        <f t="shared" si="96"/>
        <v>2.6105366446810261</v>
      </c>
      <c r="AK158">
        <f t="shared" si="97"/>
        <v>24.619574772794472</v>
      </c>
      <c r="AL158">
        <f>IF(E158&gt;Assumptions!$B$9,0,SUMPRODUCT($P$2:$X$2,Assumptions!$A$43:$I$43)/$I$2*O157*K158)</f>
        <v>3.5607041784191358</v>
      </c>
      <c r="AM158">
        <f t="shared" si="98"/>
        <v>0</v>
      </c>
      <c r="AN158">
        <f t="shared" si="99"/>
        <v>30.790815595894635</v>
      </c>
      <c r="AO158">
        <f>IF(E158&gt;Assumptions!$B$9,0,($V$2+$X$2)/$I$2*O157*K158*Assumptions!$B$46)</f>
        <v>0</v>
      </c>
      <c r="AP158">
        <f>IF(B158&gt;$AF$2,0,AP157*(1+Assumptions!$B$52)^(1/12))</f>
        <v>1.1296315899253668</v>
      </c>
      <c r="AQ158" s="29">
        <f>IF(B158&gt;$AF$2,0,O157*Assumptions!$B$48/12*AP157+AR158*Assumptions!$B$50/12)</f>
        <v>11.174099833133209</v>
      </c>
      <c r="AR158" s="31">
        <f t="shared" si="100"/>
        <v>8207.365891694315</v>
      </c>
      <c r="AS158">
        <f t="shared" si="83"/>
        <v>8231.2881124534742</v>
      </c>
      <c r="AT158">
        <f t="shared" si="101"/>
        <v>12.757176045487535</v>
      </c>
      <c r="AU158" s="19">
        <f t="shared" si="102"/>
        <v>8215.9917346748316</v>
      </c>
      <c r="AV158" s="19">
        <f t="shared" si="103"/>
        <v>8229.6452462635898</v>
      </c>
      <c r="AW158">
        <f t="shared" si="104"/>
        <v>-33.466855439317449</v>
      </c>
      <c r="AX158">
        <f>IF(B158&gt;$AF$2,0,HLOOKUP(YEAR(A158),Assumptions!$A$34:$AL$37,2,TRUE)/100)</f>
        <v>1.8319999999999999E-2</v>
      </c>
      <c r="AY158" s="32">
        <f>1/(1+HLOOKUP(YEAR(A158),Assumptions!$A$27:$AL$29,3,TRUE))^(1/12)</f>
        <v>0.9985504179392577</v>
      </c>
      <c r="AZ158" s="30">
        <f t="shared" si="84"/>
        <v>9053.0982196797886</v>
      </c>
      <c r="BA158">
        <f>IF(B158&gt;$AF$2,0,IF($E$2=0,(T158*Z158+(1-T158)*AA158)*$J$2*Assumptions!$B$20,0))</f>
        <v>0</v>
      </c>
    </row>
    <row r="159" spans="1:53" x14ac:dyDescent="0.25">
      <c r="A159" s="17">
        <f t="shared" si="85"/>
        <v>47603</v>
      </c>
      <c r="B159">
        <f t="shared" si="77"/>
        <v>378</v>
      </c>
      <c r="C159">
        <f t="shared" si="78"/>
        <v>31.416666666666664</v>
      </c>
      <c r="D159">
        <f t="shared" si="71"/>
        <v>0</v>
      </c>
      <c r="E159">
        <f t="shared" si="79"/>
        <v>54</v>
      </c>
      <c r="F159">
        <f>IF(C159&gt;=$H$2,0,VLOOKUP($E159,'Mortality Table'!$A$3:$C$128,2+AB$2,FALSE))</f>
        <v>2.2740999999999998E-3</v>
      </c>
      <c r="G159">
        <f>F159*Assumptions!$B$1</f>
        <v>2.4617132499999998E-3</v>
      </c>
      <c r="H159">
        <f t="shared" si="86"/>
        <v>2.0537459507896649E-4</v>
      </c>
      <c r="I159">
        <f t="shared" si="72"/>
        <v>1.2994133342927416E-4</v>
      </c>
      <c r="J159">
        <f>HLOOKUP(C159,Assumptions!$A$6:$J$7,2,TRUE)</f>
        <v>3.5200000000000002E-2</v>
      </c>
      <c r="K159" s="18">
        <f t="shared" si="80"/>
        <v>1</v>
      </c>
      <c r="L159" s="18">
        <f t="shared" si="87"/>
        <v>8.3333333333333329E-2</v>
      </c>
      <c r="M159" s="18">
        <f t="shared" si="73"/>
        <v>2.9817501439168836E-3</v>
      </c>
      <c r="N159">
        <f t="shared" si="74"/>
        <v>1.889188141927836E-3</v>
      </c>
      <c r="O159" s="20">
        <f t="shared" si="75"/>
        <v>0.63162958898959054</v>
      </c>
      <c r="P159">
        <f>IF(B159&gt;$AF$2,0,O158*($E$2+IF(E159&lt;=Assumptions!$B$9,$D$2,0))/$I$2*K159)</f>
        <v>32.453375197379728</v>
      </c>
      <c r="Q159">
        <f t="shared" si="88"/>
        <v>26.1</v>
      </c>
      <c r="R159">
        <f>IF(B159&gt;$AF$2,0,IF($Y$2=1,(SUMIF('Mortality Tarif Male'!A:A,E160,'Mortality Tarif Male'!G:G)-SUMIF('Mortality Tarif Male'!A:A,$C$2+$H$2,'Mortality Tarif Male'!G:G)+SUMIF('Mortality Tarif Male'!A:A,$C$2+$H$2,'Mortality Tarif Male'!D:D))/SUMIF('Mortality Tarif Male'!A:A,E160,'Mortality Tarif Male'!D:D),(SUMIF('Mortality Tarif Female'!A:A,E160,'Mortality Tarif Female'!G:G)-SUMIF('Mortality Tarif Female'!A:A,$C$2+$H$2,'Mortality Tarif Female'!G:G)+SUMIF('Mortality Tarif Female'!A:A,$C$2+$H$2,'Mortality Tarif Female'!D:D))/SUMIF('Mortality Tarif Female'!A:A,E160,'Mortality Tarif Female'!D:D)))</f>
        <v>0.73766332282839753</v>
      </c>
      <c r="S159">
        <f>IF(B159&gt;=$AF$2,0,IF($Y$2=1,(SUMIF('Mortality Tarif Male'!A:A,E160+1,'Mortality Tarif Male'!G:G)-SUMIF('Mortality Tarif Male'!A:A,$C$2+$H$2,'Mortality Tarif Male'!G:G)+SUMIF('Mortality Tarif Male'!A:A,$C$2+$H$2,'Mortality Tarif Male'!D:D))/SUMIF('Mortality Tarif Male'!A:A,E160+1,'Mortality Tarif Male'!D:D),(SUMIF('Mortality Tarif Female'!A:A,E160+1,'Mortality Tarif Female'!G:G)-SUMIF('Mortality Tarif Female'!A:A,$C$2+$H$2,'Mortality Tarif Female'!G:G)+SUMIF('Mortality Tarif Female'!A:A,$C$2+$H$2,'Mortality Tarif Female'!D:D))/SUMIF('Mortality Tarif Female'!A:A,E160+1,'Mortality Tarif Female'!D:D)))</f>
        <v>0.7627763526276059</v>
      </c>
      <c r="T159">
        <f t="shared" si="89"/>
        <v>0.5</v>
      </c>
      <c r="U159">
        <f t="shared" si="90"/>
        <v>0.75021983772800171</v>
      </c>
      <c r="V159">
        <f t="shared" si="91"/>
        <v>15004.396754560034</v>
      </c>
      <c r="W159">
        <f t="shared" si="81"/>
        <v>19.580737764700846</v>
      </c>
      <c r="X159">
        <f t="shared" si="82"/>
        <v>0</v>
      </c>
      <c r="Y159">
        <f>IF(B159&gt;$AF$2,0,IF(X160=0,0,(1-X160)*($E$2+IF(E159&lt;=Assumptions!$B$9,$D$2,0))/$I$2*1/(1+$AG$2)*1/(1+Assumptions!$B$11)))</f>
        <v>0</v>
      </c>
      <c r="Z159">
        <f>IF(B159&gt;$AF$2,0,IF($Y$2=1,(SUMIF('Mortality Tarif Male'!A:A,E160,'Mortality Tarif Male'!E:E)-SUMIF('Mortality Tarif Male'!A:A,$C$2+$H$2,'Mortality Tarif Male'!E:E))/SUMIF('Mortality Tarif Male'!A:A,E160,'Mortality Tarif Male'!D:D),(SUMIF('Mortality Tarif Female'!A:A,E160,'Mortality Tarif Female'!E:E)-SUMIF('Mortality Tarif Female'!A:A,$C$2+$H$2,'Mortality Tarif Female'!E:E))/SUMIF('Mortality Tarif Female'!A:A,E160,'Mortality Tarif Female'!D:D)))</f>
        <v>7.7726375168561397</v>
      </c>
      <c r="AA159">
        <f>IF(B159&gt;=$AF$2,0,IF($Y$2=1,(SUMIF('Mortality Tarif Male'!A:A,E160+1,'Mortality Tarif Male'!E:E)-SUMIF('Mortality Tarif Male'!A:A,$C$2+$H$2,'Mortality Tarif Male'!E:E))/SUMIF('Mortality Tarif Male'!A:A,E160+1,'Mortality Tarif Male'!D:D),(SUMIF('Mortality Tarif Female'!A:A,E160+1,'Mortality Tarif Female'!E:E)-SUMIF('Mortality Tarif Female'!A:A,$C$2+$H$2,'Mortality Tarif Female'!E:E))/SUMIF('Mortality Tarif Female'!A:A,E160+1,'Mortality Tarif Female'!D:D)))</f>
        <v>7.0291511000354383</v>
      </c>
      <c r="AB159">
        <f t="shared" si="76"/>
        <v>1782.3186097137645</v>
      </c>
      <c r="AC159">
        <f>IF(B159&gt;=$AF$2,0,MIN(1/3*(V159+W159+Y159-AB159),(V159-AB159),(T159*Z159+(1-T159)*AA159)*$AH$2*Assumptions!$B$22))</f>
        <v>192.91157007453253</v>
      </c>
      <c r="AD159">
        <f t="shared" si="92"/>
        <v>13048.747312536438</v>
      </c>
      <c r="AE159">
        <f t="shared" si="93"/>
        <v>13241.658882610971</v>
      </c>
      <c r="AF159">
        <f t="shared" si="94"/>
        <v>13048.747312536438</v>
      </c>
      <c r="AG159" s="26">
        <f t="shared" si="105"/>
        <v>0</v>
      </c>
      <c r="AH159" s="27">
        <f>IF(B159&gt;$AF$2,0,HLOOKUP(YEAR(A159),Assumptions!$A$34:$AL$37,4,TRUE)/100)</f>
        <v>1.2319999999999999E-2</v>
      </c>
      <c r="AI159">
        <f t="shared" si="95"/>
        <v>0</v>
      </c>
      <c r="AJ159">
        <f t="shared" si="96"/>
        <v>2.6022181373879869</v>
      </c>
      <c r="AK159">
        <f t="shared" si="97"/>
        <v>24.651538689856554</v>
      </c>
      <c r="AL159">
        <f>IF(E159&gt;Assumptions!$B$9,0,SUMPRODUCT($P$2:$X$2,Assumptions!$A$43:$I$43)/$I$2*O158*K159)</f>
        <v>3.5493579505326651</v>
      </c>
      <c r="AM159">
        <f t="shared" si="98"/>
        <v>0</v>
      </c>
      <c r="AN159">
        <f t="shared" si="99"/>
        <v>30.803114777777207</v>
      </c>
      <c r="AO159">
        <f>IF(E159&gt;Assumptions!$B$9,0,($V$2+$X$2)/$I$2*O158*K159*Assumptions!$B$46)</f>
        <v>0</v>
      </c>
      <c r="AP159">
        <f>IF(B159&gt;$AF$2,0,AP158*(1+Assumptions!$B$52)^(1/12))</f>
        <v>1.1305686623843794</v>
      </c>
      <c r="AQ159" s="29">
        <f>IF(B159&gt;$AF$2,0,O158*Assumptions!$B$48/12*AP158+AR159*Assumptions!$B$50/12)</f>
        <v>11.152322185232872</v>
      </c>
      <c r="AR159" s="31">
        <f t="shared" si="100"/>
        <v>8206.9884242099215</v>
      </c>
      <c r="AS159">
        <f t="shared" si="83"/>
        <v>8241.9749018464136</v>
      </c>
      <c r="AT159">
        <f t="shared" si="101"/>
        <v>12.71652514629821</v>
      </c>
      <c r="AU159" s="19">
        <f t="shared" si="102"/>
        <v>8215.5729520757704</v>
      </c>
      <c r="AV159" s="19">
        <f t="shared" si="103"/>
        <v>8240.4552796492389</v>
      </c>
      <c r="AW159">
        <f t="shared" si="104"/>
        <v>-44.686024855463828</v>
      </c>
      <c r="AX159">
        <f>IF(B159&gt;$AF$2,0,HLOOKUP(YEAR(A159),Assumptions!$A$34:$AL$37,2,TRUE)/100)</f>
        <v>1.8319999999999999E-2</v>
      </c>
      <c r="AY159" s="32">
        <f>1/(1+HLOOKUP(YEAR(A159),Assumptions!$A$27:$AL$29,3,TRUE))^(1/12)</f>
        <v>0.9985504179392577</v>
      </c>
      <c r="AZ159" s="30">
        <f t="shared" si="84"/>
        <v>9056.7384174712352</v>
      </c>
      <c r="BA159">
        <f>IF(B159&gt;$AF$2,0,IF($E$2=0,(T159*Z159+(1-T159)*AA159)*$J$2*Assumptions!$B$20,0))</f>
        <v>0</v>
      </c>
    </row>
    <row r="160" spans="1:53" x14ac:dyDescent="0.25">
      <c r="A160" s="17">
        <f t="shared" si="85"/>
        <v>47634</v>
      </c>
      <c r="B160">
        <f t="shared" si="77"/>
        <v>379</v>
      </c>
      <c r="C160">
        <f t="shared" si="78"/>
        <v>31.5</v>
      </c>
      <c r="D160">
        <f t="shared" si="71"/>
        <v>0</v>
      </c>
      <c r="E160">
        <f t="shared" si="79"/>
        <v>54</v>
      </c>
      <c r="F160">
        <f>IF(C160&gt;=$H$2,0,VLOOKUP($E160,'Mortality Table'!$A$3:$C$128,2+AB$2,FALSE))</f>
        <v>2.2740999999999998E-3</v>
      </c>
      <c r="G160">
        <f>F160*Assumptions!$B$1</f>
        <v>2.4617132499999998E-3</v>
      </c>
      <c r="H160">
        <f t="shared" si="86"/>
        <v>2.0537459507896649E-4</v>
      </c>
      <c r="I160">
        <f t="shared" si="72"/>
        <v>1.2952727376380234E-4</v>
      </c>
      <c r="J160">
        <f>HLOOKUP(C160,Assumptions!$A$6:$J$7,2,TRUE)</f>
        <v>3.5200000000000002E-2</v>
      </c>
      <c r="K160" s="18">
        <f t="shared" si="80"/>
        <v>1</v>
      </c>
      <c r="L160" s="18">
        <f t="shared" si="87"/>
        <v>8.3333333333333329E-2</v>
      </c>
      <c r="M160" s="18">
        <f t="shared" si="73"/>
        <v>2.9817501439168836E-3</v>
      </c>
      <c r="N160">
        <f t="shared" si="74"/>
        <v>1.8831682205570448E-3</v>
      </c>
      <c r="O160" s="20">
        <f t="shared" si="75"/>
        <v>0.62961689349526972</v>
      </c>
      <c r="P160">
        <f>IF(B160&gt;$AF$2,0,O159*($E$2+IF(E160&lt;=Assumptions!$B$9,$D$2,0))/$I$2*K160)</f>
        <v>32.349962116083525</v>
      </c>
      <c r="Q160">
        <f t="shared" si="88"/>
        <v>26.1</v>
      </c>
      <c r="R160">
        <f>IF(B160&gt;$AF$2,0,IF($Y$2=1,(SUMIF('Mortality Tarif Male'!A:A,E161,'Mortality Tarif Male'!G:G)-SUMIF('Mortality Tarif Male'!A:A,$C$2+$H$2,'Mortality Tarif Male'!G:G)+SUMIF('Mortality Tarif Male'!A:A,$C$2+$H$2,'Mortality Tarif Male'!D:D))/SUMIF('Mortality Tarif Male'!A:A,E161,'Mortality Tarif Male'!D:D),(SUMIF('Mortality Tarif Female'!A:A,E161,'Mortality Tarif Female'!G:G)-SUMIF('Mortality Tarif Female'!A:A,$C$2+$H$2,'Mortality Tarif Female'!G:G)+SUMIF('Mortality Tarif Female'!A:A,$C$2+$H$2,'Mortality Tarif Female'!D:D))/SUMIF('Mortality Tarif Female'!A:A,E161,'Mortality Tarif Female'!D:D)))</f>
        <v>0.73766332282839753</v>
      </c>
      <c r="S160">
        <f>IF(B160&gt;=$AF$2,0,IF($Y$2=1,(SUMIF('Mortality Tarif Male'!A:A,E161+1,'Mortality Tarif Male'!G:G)-SUMIF('Mortality Tarif Male'!A:A,$C$2+$H$2,'Mortality Tarif Male'!G:G)+SUMIF('Mortality Tarif Male'!A:A,$C$2+$H$2,'Mortality Tarif Male'!D:D))/SUMIF('Mortality Tarif Male'!A:A,E161+1,'Mortality Tarif Male'!D:D),(SUMIF('Mortality Tarif Female'!A:A,E161+1,'Mortality Tarif Female'!G:G)-SUMIF('Mortality Tarif Female'!A:A,$C$2+$H$2,'Mortality Tarif Female'!G:G)+SUMIF('Mortality Tarif Female'!A:A,$C$2+$H$2,'Mortality Tarif Female'!D:D))/SUMIF('Mortality Tarif Female'!A:A,E161+1,'Mortality Tarif Female'!D:D)))</f>
        <v>0.7627763526276059</v>
      </c>
      <c r="T160">
        <f t="shared" si="89"/>
        <v>0.41666666666666785</v>
      </c>
      <c r="U160">
        <f t="shared" si="90"/>
        <v>0.75231259021126906</v>
      </c>
      <c r="V160">
        <f t="shared" si="91"/>
        <v>15046.251804225381</v>
      </c>
      <c r="W160">
        <f t="shared" si="81"/>
        <v>19.635358604514124</v>
      </c>
      <c r="X160">
        <f t="shared" si="82"/>
        <v>0</v>
      </c>
      <c r="Y160">
        <f>IF(B160&gt;$AF$2,0,IF(X161=0,0,(1-X161)*($E$2+IF(E160&lt;=Assumptions!$B$9,$D$2,0))/$I$2*1/(1+$AG$2)*1/(1+Assumptions!$B$11)))</f>
        <v>0</v>
      </c>
      <c r="Z160">
        <f>IF(B160&gt;$AF$2,0,IF($Y$2=1,(SUMIF('Mortality Tarif Male'!A:A,E161,'Mortality Tarif Male'!E:E)-SUMIF('Mortality Tarif Male'!A:A,$C$2+$H$2,'Mortality Tarif Male'!E:E))/SUMIF('Mortality Tarif Male'!A:A,E161,'Mortality Tarif Male'!D:D),(SUMIF('Mortality Tarif Female'!A:A,E161,'Mortality Tarif Female'!E:E)-SUMIF('Mortality Tarif Female'!A:A,$C$2+$H$2,'Mortality Tarif Female'!E:E))/SUMIF('Mortality Tarif Female'!A:A,E161,'Mortality Tarif Female'!D:D)))</f>
        <v>7.7726375168561397</v>
      </c>
      <c r="AA160">
        <f>IF(B160&gt;=$AF$2,0,IF($Y$2=1,(SUMIF('Mortality Tarif Male'!A:A,E161+1,'Mortality Tarif Male'!E:E)-SUMIF('Mortality Tarif Male'!A:A,$C$2+$H$2,'Mortality Tarif Male'!E:E))/SUMIF('Mortality Tarif Male'!A:A,E161+1,'Mortality Tarif Male'!D:D),(SUMIF('Mortality Tarif Female'!A:A,E161+1,'Mortality Tarif Female'!E:E)-SUMIF('Mortality Tarif Female'!A:A,$C$2+$H$2,'Mortality Tarif Female'!E:E))/SUMIF('Mortality Tarif Female'!A:A,E161+1,'Mortality Tarif Female'!D:D)))</f>
        <v>7.0291511000354383</v>
      </c>
      <c r="AB160">
        <f t="shared" si="76"/>
        <v>1767.3977814379091</v>
      </c>
      <c r="AC160">
        <f>IF(B160&gt;=$AF$2,0,MIN(1/3*(V160+W160+Y160-AB160),(V160-AB160),(T160*Z160+(1-T160)*AA160)*$AH$2*Assumptions!$B$22))</f>
        <v>191.29659484293239</v>
      </c>
      <c r="AD160">
        <f t="shared" si="92"/>
        <v>13107.192786549054</v>
      </c>
      <c r="AE160">
        <f t="shared" si="93"/>
        <v>13298.489381391986</v>
      </c>
      <c r="AF160">
        <f t="shared" si="94"/>
        <v>13107.192786549054</v>
      </c>
      <c r="AG160" s="26">
        <f t="shared" si="105"/>
        <v>0</v>
      </c>
      <c r="AH160" s="27">
        <f>IF(B160&gt;$AF$2,0,HLOOKUP(YEAR(A160),Assumptions!$A$34:$AL$37,4,TRUE)/100)</f>
        <v>1.2319999999999999E-2</v>
      </c>
      <c r="AI160">
        <f t="shared" si="95"/>
        <v>0</v>
      </c>
      <c r="AJ160">
        <f t="shared" si="96"/>
        <v>2.5939261371212821</v>
      </c>
      <c r="AK160">
        <f t="shared" si="97"/>
        <v>24.683048916343715</v>
      </c>
      <c r="AL160">
        <f>IF(E160&gt;Assumptions!$B$9,0,SUMPRODUCT($P$2:$X$2,Assumptions!$A$43:$I$43)/$I$2*O159*K160)</f>
        <v>3.5380478775416315</v>
      </c>
      <c r="AM160">
        <f t="shared" si="98"/>
        <v>0</v>
      </c>
      <c r="AN160">
        <f t="shared" si="99"/>
        <v>30.815022931006631</v>
      </c>
      <c r="AO160">
        <f>IF(E160&gt;Assumptions!$B$9,0,($V$2+$X$2)/$I$2*O159*K160*Assumptions!$B$46)</f>
        <v>0</v>
      </c>
      <c r="AP160">
        <f>IF(B160&gt;$AF$2,0,AP159*(1+Assumptions!$B$52)^(1/12))</f>
        <v>1.1315065121807126</v>
      </c>
      <c r="AQ160" s="29">
        <f>IF(B160&gt;$AF$2,0,O159*Assumptions!$B$48/12*AP159+AR160*Assumptions!$B$50/12)</f>
        <v>11.130551212413671</v>
      </c>
      <c r="AR160" s="31">
        <f t="shared" si="100"/>
        <v>8206.4268328951093</v>
      </c>
      <c r="AS160">
        <f t="shared" si="83"/>
        <v>8252.5100047106243</v>
      </c>
      <c r="AT160">
        <f t="shared" si="101"/>
        <v>12.676003781701731</v>
      </c>
      <c r="AU160" s="19">
        <f t="shared" si="102"/>
        <v>8214.9702400170754</v>
      </c>
      <c r="AV160" s="19">
        <f t="shared" si="103"/>
        <v>8251.1128577505733</v>
      </c>
      <c r="AW160">
        <f t="shared" si="104"/>
        <v>-55.936703602466025</v>
      </c>
      <c r="AX160">
        <f>IF(B160&gt;$AF$2,0,HLOOKUP(YEAR(A160),Assumptions!$A$34:$AL$37,2,TRUE)/100)</f>
        <v>1.8319999999999999E-2</v>
      </c>
      <c r="AY160" s="32">
        <f>1/(1+HLOOKUP(YEAR(A160),Assumptions!$A$27:$AL$29,3,TRUE))^(1/12)</f>
        <v>0.9985504179392577</v>
      </c>
      <c r="AZ160" s="30">
        <f t="shared" si="84"/>
        <v>9060.2903494265993</v>
      </c>
      <c r="BA160">
        <f>IF(B160&gt;$AF$2,0,IF($E$2=0,(T160*Z160+(1-T160)*AA160)*$J$2*Assumptions!$B$20,0))</f>
        <v>0</v>
      </c>
    </row>
    <row r="161" spans="1:53" x14ac:dyDescent="0.25">
      <c r="A161" s="17">
        <f t="shared" si="85"/>
        <v>47664</v>
      </c>
      <c r="B161">
        <f t="shared" si="77"/>
        <v>380</v>
      </c>
      <c r="C161">
        <f t="shared" si="78"/>
        <v>31.583333333333336</v>
      </c>
      <c r="D161">
        <f t="shared" si="71"/>
        <v>0</v>
      </c>
      <c r="E161">
        <f t="shared" si="79"/>
        <v>54</v>
      </c>
      <c r="F161">
        <f>IF(C161&gt;=$H$2,0,VLOOKUP($E161,'Mortality Table'!$A$3:$C$128,2+AB$2,FALSE))</f>
        <v>2.2740999999999998E-3</v>
      </c>
      <c r="G161">
        <f>F161*Assumptions!$B$1</f>
        <v>2.4617132499999998E-3</v>
      </c>
      <c r="H161">
        <f t="shared" si="86"/>
        <v>2.0537459507896649E-4</v>
      </c>
      <c r="I161">
        <f t="shared" si="72"/>
        <v>1.2911453350457366E-4</v>
      </c>
      <c r="J161">
        <f>HLOOKUP(C161,Assumptions!$A$6:$J$7,2,TRUE)</f>
        <v>3.5200000000000002E-2</v>
      </c>
      <c r="K161" s="18">
        <f t="shared" si="80"/>
        <v>1</v>
      </c>
      <c r="L161" s="18">
        <f t="shared" si="87"/>
        <v>8.3333333333333329E-2</v>
      </c>
      <c r="M161" s="18">
        <f t="shared" si="73"/>
        <v>2.9817501439168836E-3</v>
      </c>
      <c r="N161">
        <f t="shared" si="74"/>
        <v>1.8771674817401275E-3</v>
      </c>
      <c r="O161" s="20">
        <f t="shared" si="75"/>
        <v>0.62761061148002495</v>
      </c>
      <c r="P161">
        <f>IF(B161&gt;$AF$2,0,O160*($E$2+IF(E161&lt;=Assumptions!$B$9,$D$2,0))/$I$2*K161)</f>
        <v>32.246878561849392</v>
      </c>
      <c r="Q161">
        <f t="shared" si="88"/>
        <v>26.1</v>
      </c>
      <c r="R161">
        <f>IF(B161&gt;$AF$2,0,IF($Y$2=1,(SUMIF('Mortality Tarif Male'!A:A,E162,'Mortality Tarif Male'!G:G)-SUMIF('Mortality Tarif Male'!A:A,$C$2+$H$2,'Mortality Tarif Male'!G:G)+SUMIF('Mortality Tarif Male'!A:A,$C$2+$H$2,'Mortality Tarif Male'!D:D))/SUMIF('Mortality Tarif Male'!A:A,E162,'Mortality Tarif Male'!D:D),(SUMIF('Mortality Tarif Female'!A:A,E162,'Mortality Tarif Female'!G:G)-SUMIF('Mortality Tarif Female'!A:A,$C$2+$H$2,'Mortality Tarif Female'!G:G)+SUMIF('Mortality Tarif Female'!A:A,$C$2+$H$2,'Mortality Tarif Female'!D:D))/SUMIF('Mortality Tarif Female'!A:A,E162,'Mortality Tarif Female'!D:D)))</f>
        <v>0.73766332282839753</v>
      </c>
      <c r="S161">
        <f>IF(B161&gt;=$AF$2,0,IF($Y$2=1,(SUMIF('Mortality Tarif Male'!A:A,E162+1,'Mortality Tarif Male'!G:G)-SUMIF('Mortality Tarif Male'!A:A,$C$2+$H$2,'Mortality Tarif Male'!G:G)+SUMIF('Mortality Tarif Male'!A:A,$C$2+$H$2,'Mortality Tarif Male'!D:D))/SUMIF('Mortality Tarif Male'!A:A,E162+1,'Mortality Tarif Male'!D:D),(SUMIF('Mortality Tarif Female'!A:A,E162+1,'Mortality Tarif Female'!G:G)-SUMIF('Mortality Tarif Female'!A:A,$C$2+$H$2,'Mortality Tarif Female'!G:G)+SUMIF('Mortality Tarif Female'!A:A,$C$2+$H$2,'Mortality Tarif Female'!D:D))/SUMIF('Mortality Tarif Female'!A:A,E162+1,'Mortality Tarif Female'!D:D)))</f>
        <v>0.7627763526276059</v>
      </c>
      <c r="T161">
        <f t="shared" si="89"/>
        <v>0.33333333333333215</v>
      </c>
      <c r="U161">
        <f t="shared" si="90"/>
        <v>0.75440534269453641</v>
      </c>
      <c r="V161">
        <f t="shared" si="91"/>
        <v>15088.106853890728</v>
      </c>
      <c r="W161">
        <f t="shared" si="81"/>
        <v>19.689979444327403</v>
      </c>
      <c r="X161">
        <f t="shared" si="82"/>
        <v>0</v>
      </c>
      <c r="Y161">
        <f>IF(B161&gt;$AF$2,0,IF(X162=0,0,(1-X162)*($E$2+IF(E161&lt;=Assumptions!$B$9,$D$2,0))/$I$2*1/(1+$AG$2)*1/(1+Assumptions!$B$11)))</f>
        <v>0</v>
      </c>
      <c r="Z161">
        <f>IF(B161&gt;$AF$2,0,IF($Y$2=1,(SUMIF('Mortality Tarif Male'!A:A,E162,'Mortality Tarif Male'!E:E)-SUMIF('Mortality Tarif Male'!A:A,$C$2+$H$2,'Mortality Tarif Male'!E:E))/SUMIF('Mortality Tarif Male'!A:A,E162,'Mortality Tarif Male'!D:D),(SUMIF('Mortality Tarif Female'!A:A,E162,'Mortality Tarif Female'!E:E)-SUMIF('Mortality Tarif Female'!A:A,$C$2+$H$2,'Mortality Tarif Female'!E:E))/SUMIF('Mortality Tarif Female'!A:A,E162,'Mortality Tarif Female'!D:D)))</f>
        <v>7.7726375168561397</v>
      </c>
      <c r="AA161">
        <f>IF(B161&gt;=$AF$2,0,IF($Y$2=1,(SUMIF('Mortality Tarif Male'!A:A,E162+1,'Mortality Tarif Male'!E:E)-SUMIF('Mortality Tarif Male'!A:A,$C$2+$H$2,'Mortality Tarif Male'!E:E))/SUMIF('Mortality Tarif Male'!A:A,E162+1,'Mortality Tarif Male'!D:D),(SUMIF('Mortality Tarif Female'!A:A,E162+1,'Mortality Tarif Female'!E:E)-SUMIF('Mortality Tarif Female'!A:A,$C$2+$H$2,'Mortality Tarif Female'!E:E))/SUMIF('Mortality Tarif Female'!A:A,E162+1,'Mortality Tarif Female'!D:D)))</f>
        <v>7.0291511000354383</v>
      </c>
      <c r="AB161">
        <f t="shared" si="76"/>
        <v>1752.4769531620525</v>
      </c>
      <c r="AC161">
        <f>IF(B161&gt;=$AF$2,0,MIN(1/3*(V161+W161+Y161-AB161),(V161-AB161),(T161*Z161+(1-T161)*AA161)*$AH$2*Assumptions!$B$22))</f>
        <v>189.68161961133211</v>
      </c>
      <c r="AD161">
        <f t="shared" si="92"/>
        <v>13165.638260561669</v>
      </c>
      <c r="AE161">
        <f t="shared" si="93"/>
        <v>13355.319880173001</v>
      </c>
      <c r="AF161">
        <f t="shared" si="94"/>
        <v>13165.638260561669</v>
      </c>
      <c r="AG161" s="26">
        <f t="shared" si="105"/>
        <v>0</v>
      </c>
      <c r="AH161" s="27">
        <f>IF(B161&gt;$AF$2,0,HLOOKUP(YEAR(A161),Assumptions!$A$34:$AL$37,4,TRUE)/100)</f>
        <v>1.2319999999999999E-2</v>
      </c>
      <c r="AI161">
        <f t="shared" si="95"/>
        <v>0</v>
      </c>
      <c r="AJ161">
        <f t="shared" si="96"/>
        <v>2.5856605594159423</v>
      </c>
      <c r="AK161">
        <f t="shared" si="97"/>
        <v>24.714108019080022</v>
      </c>
      <c r="AL161">
        <f>IF(E161&gt;Assumptions!$B$9,0,SUMPRODUCT($P$2:$X$2,Assumptions!$A$43:$I$43)/$I$2*O160*K161)</f>
        <v>3.5267738442380132</v>
      </c>
      <c r="AM161">
        <f t="shared" si="98"/>
        <v>0</v>
      </c>
      <c r="AN161">
        <f t="shared" si="99"/>
        <v>30.826542422733979</v>
      </c>
      <c r="AO161">
        <f>IF(E161&gt;Assumptions!$B$9,0,($V$2+$X$2)/$I$2*O160*K161*Assumptions!$B$46)</f>
        <v>0</v>
      </c>
      <c r="AP161">
        <f>IF(B161&gt;$AF$2,0,AP160*(1+Assumptions!$B$52)^(1/12))</f>
        <v>1.1324451399591975</v>
      </c>
      <c r="AQ161" s="29">
        <f>IF(B161&gt;$AF$2,0,O160*Assumptions!$B$48/12*AP160+AR161*Assumptions!$B$50/12)</f>
        <v>11.10878704068449</v>
      </c>
      <c r="AR161" s="31">
        <f t="shared" si="100"/>
        <v>8205.6821388028548</v>
      </c>
      <c r="AS161">
        <f t="shared" si="83"/>
        <v>8262.8942792359212</v>
      </c>
      <c r="AT161">
        <f t="shared" si="101"/>
        <v>12.635611538934514</v>
      </c>
      <c r="AU161" s="19">
        <f t="shared" si="102"/>
        <v>8214.1846187850842</v>
      </c>
      <c r="AV161" s="19">
        <f t="shared" si="103"/>
        <v>8261.6188424053216</v>
      </c>
      <c r="AW161">
        <f t="shared" si="104"/>
        <v>-67.218733394615839</v>
      </c>
      <c r="AX161">
        <f>IF(B161&gt;$AF$2,0,HLOOKUP(YEAR(A161),Assumptions!$A$34:$AL$37,2,TRUE)/100)</f>
        <v>1.8319999999999999E-2</v>
      </c>
      <c r="AY161" s="32">
        <f>1/(1+HLOOKUP(YEAR(A161),Assumptions!$A$27:$AL$29,3,TRUE))^(1/12)</f>
        <v>0.9985504179392577</v>
      </c>
      <c r="AZ161" s="30">
        <f t="shared" si="84"/>
        <v>9063.7545987990434</v>
      </c>
      <c r="BA161">
        <f>IF(B161&gt;$AF$2,0,IF($E$2=0,(T161*Z161+(1-T161)*AA161)*$J$2*Assumptions!$B$20,0))</f>
        <v>0</v>
      </c>
    </row>
    <row r="162" spans="1:53" x14ac:dyDescent="0.25">
      <c r="A162" s="17">
        <f t="shared" si="85"/>
        <v>47695</v>
      </c>
      <c r="B162">
        <f t="shared" si="77"/>
        <v>381</v>
      </c>
      <c r="C162">
        <f t="shared" si="78"/>
        <v>31.666666666666664</v>
      </c>
      <c r="D162">
        <f t="shared" si="71"/>
        <v>0</v>
      </c>
      <c r="E162">
        <f t="shared" si="79"/>
        <v>54</v>
      </c>
      <c r="F162">
        <f>IF(C162&gt;=$H$2,0,VLOOKUP($E162,'Mortality Table'!$A$3:$C$128,2+AB$2,FALSE))</f>
        <v>2.2740999999999998E-3</v>
      </c>
      <c r="G162">
        <f>F162*Assumptions!$B$1</f>
        <v>2.4617132499999998E-3</v>
      </c>
      <c r="H162">
        <f t="shared" si="86"/>
        <v>2.0537459507896649E-4</v>
      </c>
      <c r="I162">
        <f t="shared" si="72"/>
        <v>1.2870310844728382E-4</v>
      </c>
      <c r="J162">
        <f>HLOOKUP(C162,Assumptions!$A$6:$J$7,2,TRUE)</f>
        <v>3.5200000000000002E-2</v>
      </c>
      <c r="K162" s="18">
        <f t="shared" si="80"/>
        <v>1</v>
      </c>
      <c r="L162" s="18">
        <f t="shared" si="87"/>
        <v>8.3333333333333329E-2</v>
      </c>
      <c r="M162" s="18">
        <f t="shared" si="73"/>
        <v>2.9817501439168836E-3</v>
      </c>
      <c r="N162">
        <f t="shared" si="74"/>
        <v>1.8711858643516389E-3</v>
      </c>
      <c r="O162" s="20">
        <f t="shared" si="75"/>
        <v>0.62561072250722605</v>
      </c>
      <c r="P162">
        <f>IF(B162&gt;$AF$2,0,O161*($E$2+IF(E162&lt;=Assumptions!$B$9,$D$2,0))/$I$2*K162)</f>
        <v>32.144123484635273</v>
      </c>
      <c r="Q162">
        <f t="shared" si="88"/>
        <v>26.1</v>
      </c>
      <c r="R162">
        <f>IF(B162&gt;$AF$2,0,IF($Y$2=1,(SUMIF('Mortality Tarif Male'!A:A,E163,'Mortality Tarif Male'!G:G)-SUMIF('Mortality Tarif Male'!A:A,$C$2+$H$2,'Mortality Tarif Male'!G:G)+SUMIF('Mortality Tarif Male'!A:A,$C$2+$H$2,'Mortality Tarif Male'!D:D))/SUMIF('Mortality Tarif Male'!A:A,E163,'Mortality Tarif Male'!D:D),(SUMIF('Mortality Tarif Female'!A:A,E163,'Mortality Tarif Female'!G:G)-SUMIF('Mortality Tarif Female'!A:A,$C$2+$H$2,'Mortality Tarif Female'!G:G)+SUMIF('Mortality Tarif Female'!A:A,$C$2+$H$2,'Mortality Tarif Female'!D:D))/SUMIF('Mortality Tarif Female'!A:A,E163,'Mortality Tarif Female'!D:D)))</f>
        <v>0.73766332282839753</v>
      </c>
      <c r="S162">
        <f>IF(B162&gt;=$AF$2,0,IF($Y$2=1,(SUMIF('Mortality Tarif Male'!A:A,E163+1,'Mortality Tarif Male'!G:G)-SUMIF('Mortality Tarif Male'!A:A,$C$2+$H$2,'Mortality Tarif Male'!G:G)+SUMIF('Mortality Tarif Male'!A:A,$C$2+$H$2,'Mortality Tarif Male'!D:D))/SUMIF('Mortality Tarif Male'!A:A,E163+1,'Mortality Tarif Male'!D:D),(SUMIF('Mortality Tarif Female'!A:A,E163+1,'Mortality Tarif Female'!G:G)-SUMIF('Mortality Tarif Female'!A:A,$C$2+$H$2,'Mortality Tarif Female'!G:G)+SUMIF('Mortality Tarif Female'!A:A,$C$2+$H$2,'Mortality Tarif Female'!D:D))/SUMIF('Mortality Tarif Female'!A:A,E163+1,'Mortality Tarif Female'!D:D)))</f>
        <v>0.7627763526276059</v>
      </c>
      <c r="T162">
        <f t="shared" si="89"/>
        <v>0.25</v>
      </c>
      <c r="U162">
        <f t="shared" si="90"/>
        <v>0.75649809517780375</v>
      </c>
      <c r="V162">
        <f t="shared" si="91"/>
        <v>15129.961903556075</v>
      </c>
      <c r="W162">
        <f t="shared" si="81"/>
        <v>19.744600284140677</v>
      </c>
      <c r="X162">
        <f t="shared" si="82"/>
        <v>0</v>
      </c>
      <c r="Y162">
        <f>IF(B162&gt;$AF$2,0,IF(X163=0,0,(1-X163)*($E$2+IF(E162&lt;=Assumptions!$B$9,$D$2,0))/$I$2*1/(1+$AG$2)*1/(1+Assumptions!$B$11)))</f>
        <v>0</v>
      </c>
      <c r="Z162">
        <f>IF(B162&gt;$AF$2,0,IF($Y$2=1,(SUMIF('Mortality Tarif Male'!A:A,E163,'Mortality Tarif Male'!E:E)-SUMIF('Mortality Tarif Male'!A:A,$C$2+$H$2,'Mortality Tarif Male'!E:E))/SUMIF('Mortality Tarif Male'!A:A,E163,'Mortality Tarif Male'!D:D),(SUMIF('Mortality Tarif Female'!A:A,E163,'Mortality Tarif Female'!E:E)-SUMIF('Mortality Tarif Female'!A:A,$C$2+$H$2,'Mortality Tarif Female'!E:E))/SUMIF('Mortality Tarif Female'!A:A,E163,'Mortality Tarif Female'!D:D)))</f>
        <v>7.7726375168561397</v>
      </c>
      <c r="AA162">
        <f>IF(B162&gt;=$AF$2,0,IF($Y$2=1,(SUMIF('Mortality Tarif Male'!A:A,E163+1,'Mortality Tarif Male'!E:E)-SUMIF('Mortality Tarif Male'!A:A,$C$2+$H$2,'Mortality Tarif Male'!E:E))/SUMIF('Mortality Tarif Male'!A:A,E163+1,'Mortality Tarif Male'!D:D),(SUMIF('Mortality Tarif Female'!A:A,E163+1,'Mortality Tarif Female'!E:E)-SUMIF('Mortality Tarif Female'!A:A,$C$2+$H$2,'Mortality Tarif Female'!E:E))/SUMIF('Mortality Tarif Female'!A:A,E163+1,'Mortality Tarif Female'!D:D)))</f>
        <v>7.0291511000354383</v>
      </c>
      <c r="AB162">
        <f t="shared" si="76"/>
        <v>1737.556124886197</v>
      </c>
      <c r="AC162">
        <f>IF(B162&gt;=$AF$2,0,MIN(1/3*(V162+W162+Y162-AB162),(V162-AB162),(T162*Z162+(1-T162)*AA162)*$AH$2*Assumptions!$B$22))</f>
        <v>188.06664437973197</v>
      </c>
      <c r="AD162">
        <f t="shared" si="92"/>
        <v>13224.083734574286</v>
      </c>
      <c r="AE162">
        <f t="shared" si="93"/>
        <v>13412.150378954018</v>
      </c>
      <c r="AF162">
        <f t="shared" si="94"/>
        <v>13224.083734574286</v>
      </c>
      <c r="AG162" s="26">
        <f t="shared" si="105"/>
        <v>0</v>
      </c>
      <c r="AH162" s="27">
        <f>IF(B162&gt;$AF$2,0,HLOOKUP(YEAR(A162),Assumptions!$A$34:$AL$37,4,TRUE)/100)</f>
        <v>1.2319999999999999E-2</v>
      </c>
      <c r="AI162">
        <f t="shared" si="95"/>
        <v>0</v>
      </c>
      <c r="AJ162">
        <f t="shared" si="96"/>
        <v>2.5774213200761502</v>
      </c>
      <c r="AK162">
        <f t="shared" si="97"/>
        <v>24.744718553137833</v>
      </c>
      <c r="AL162">
        <f>IF(E162&gt;Assumptions!$B$9,0,SUMPRODUCT($P$2:$X$2,Assumptions!$A$43:$I$43)/$I$2*O161*K162)</f>
        <v>3.5155357357809001</v>
      </c>
      <c r="AM162">
        <f t="shared" si="98"/>
        <v>0</v>
      </c>
      <c r="AN162">
        <f t="shared" si="99"/>
        <v>30.837675608994886</v>
      </c>
      <c r="AO162">
        <f>IF(E162&gt;Assumptions!$B$9,0,($V$2+$X$2)/$I$2*O161*K162*Assumptions!$B$46)</f>
        <v>0</v>
      </c>
      <c r="AP162">
        <f>IF(B162&gt;$AF$2,0,AP161*(1+Assumptions!$B$52)^(1/12))</f>
        <v>1.1333845463651997</v>
      </c>
      <c r="AQ162" s="29">
        <f>IF(B162&gt;$AF$2,0,O161*Assumptions!$B$48/12*AP161+AR162*Assumptions!$B$50/12)</f>
        <v>11.087029795161234</v>
      </c>
      <c r="AR162" s="31">
        <f t="shared" si="100"/>
        <v>8204.7553581120719</v>
      </c>
      <c r="AS162">
        <f t="shared" si="83"/>
        <v>8273.1285796830743</v>
      </c>
      <c r="AT162">
        <f t="shared" si="101"/>
        <v>12.595348006548253</v>
      </c>
      <c r="AU162" s="19">
        <f t="shared" si="102"/>
        <v>8213.2171037949975</v>
      </c>
      <c r="AV162" s="19">
        <f t="shared" si="103"/>
        <v>8271.9740915066886</v>
      </c>
      <c r="AW162">
        <f t="shared" si="104"/>
        <v>-78.531956871795202</v>
      </c>
      <c r="AX162">
        <f>IF(B162&gt;$AF$2,0,HLOOKUP(YEAR(A162),Assumptions!$A$34:$AL$37,2,TRUE)/100)</f>
        <v>1.8319999999999999E-2</v>
      </c>
      <c r="AY162" s="32">
        <f>1/(1+HLOOKUP(YEAR(A162),Assumptions!$A$27:$AL$29,3,TRUE))^(1/12)</f>
        <v>0.9985504179392577</v>
      </c>
      <c r="AZ162" s="30">
        <f t="shared" si="84"/>
        <v>9067.1317461572344</v>
      </c>
      <c r="BA162">
        <f>IF(B162&gt;$AF$2,0,IF($E$2=0,(T162*Z162+(1-T162)*AA162)*$J$2*Assumptions!$B$20,0))</f>
        <v>0</v>
      </c>
    </row>
    <row r="163" spans="1:53" x14ac:dyDescent="0.25">
      <c r="A163" s="17">
        <f t="shared" si="85"/>
        <v>47726</v>
      </c>
      <c r="B163">
        <f t="shared" si="77"/>
        <v>382</v>
      </c>
      <c r="C163">
        <f t="shared" si="78"/>
        <v>31.75</v>
      </c>
      <c r="D163">
        <f t="shared" si="71"/>
        <v>0</v>
      </c>
      <c r="E163">
        <f t="shared" si="79"/>
        <v>54</v>
      </c>
      <c r="F163">
        <f>IF(C163&gt;=$H$2,0,VLOOKUP($E163,'Mortality Table'!$A$3:$C$128,2+AB$2,FALSE))</f>
        <v>2.2740999999999998E-3</v>
      </c>
      <c r="G163">
        <f>F163*Assumptions!$B$1</f>
        <v>2.4617132499999998E-3</v>
      </c>
      <c r="H163">
        <f t="shared" si="86"/>
        <v>2.0537459507896649E-4</v>
      </c>
      <c r="I163">
        <f t="shared" si="72"/>
        <v>1.2829299440102559E-4</v>
      </c>
      <c r="J163">
        <f>HLOOKUP(C163,Assumptions!$A$6:$J$7,2,TRUE)</f>
        <v>3.5200000000000002E-2</v>
      </c>
      <c r="K163" s="18">
        <f t="shared" si="80"/>
        <v>1</v>
      </c>
      <c r="L163" s="18">
        <f t="shared" si="87"/>
        <v>8.3333333333333329E-2</v>
      </c>
      <c r="M163" s="18">
        <f t="shared" si="73"/>
        <v>2.9817501439168836E-3</v>
      </c>
      <c r="N163">
        <f t="shared" si="74"/>
        <v>1.8652233074609112E-3</v>
      </c>
      <c r="O163" s="20">
        <f t="shared" si="75"/>
        <v>0.62361720620536421</v>
      </c>
      <c r="P163">
        <f>IF(B163&gt;$AF$2,0,O162*($E$2+IF(E163&lt;=Assumptions!$B$9,$D$2,0))/$I$2*K163)</f>
        <v>32.041695837745088</v>
      </c>
      <c r="Q163">
        <f t="shared" si="88"/>
        <v>26.1</v>
      </c>
      <c r="R163">
        <f>IF(B163&gt;$AF$2,0,IF($Y$2=1,(SUMIF('Mortality Tarif Male'!A:A,E164,'Mortality Tarif Male'!G:G)-SUMIF('Mortality Tarif Male'!A:A,$C$2+$H$2,'Mortality Tarif Male'!G:G)+SUMIF('Mortality Tarif Male'!A:A,$C$2+$H$2,'Mortality Tarif Male'!D:D))/SUMIF('Mortality Tarif Male'!A:A,E164,'Mortality Tarif Male'!D:D),(SUMIF('Mortality Tarif Female'!A:A,E164,'Mortality Tarif Female'!G:G)-SUMIF('Mortality Tarif Female'!A:A,$C$2+$H$2,'Mortality Tarif Female'!G:G)+SUMIF('Mortality Tarif Female'!A:A,$C$2+$H$2,'Mortality Tarif Female'!D:D))/SUMIF('Mortality Tarif Female'!A:A,E164,'Mortality Tarif Female'!D:D)))</f>
        <v>0.73766332282839753</v>
      </c>
      <c r="S163">
        <f>IF(B163&gt;=$AF$2,0,IF($Y$2=1,(SUMIF('Mortality Tarif Male'!A:A,E164+1,'Mortality Tarif Male'!G:G)-SUMIF('Mortality Tarif Male'!A:A,$C$2+$H$2,'Mortality Tarif Male'!G:G)+SUMIF('Mortality Tarif Male'!A:A,$C$2+$H$2,'Mortality Tarif Male'!D:D))/SUMIF('Mortality Tarif Male'!A:A,E164+1,'Mortality Tarif Male'!D:D),(SUMIF('Mortality Tarif Female'!A:A,E164+1,'Mortality Tarif Female'!G:G)-SUMIF('Mortality Tarif Female'!A:A,$C$2+$H$2,'Mortality Tarif Female'!G:G)+SUMIF('Mortality Tarif Female'!A:A,$C$2+$H$2,'Mortality Tarif Female'!D:D))/SUMIF('Mortality Tarif Female'!A:A,E164+1,'Mortality Tarif Female'!D:D)))</f>
        <v>0.7627763526276059</v>
      </c>
      <c r="T163">
        <f t="shared" si="89"/>
        <v>0.16666666666666785</v>
      </c>
      <c r="U163">
        <f t="shared" si="90"/>
        <v>0.75859084766107121</v>
      </c>
      <c r="V163">
        <f t="shared" si="91"/>
        <v>15171.816953221423</v>
      </c>
      <c r="W163">
        <f t="shared" si="81"/>
        <v>19.799221123953959</v>
      </c>
      <c r="X163">
        <f t="shared" si="82"/>
        <v>0</v>
      </c>
      <c r="Y163">
        <f>IF(B163&gt;$AF$2,0,IF(X164=0,0,(1-X164)*($E$2+IF(E163&lt;=Assumptions!$B$9,$D$2,0))/$I$2*1/(1+$AG$2)*1/(1+Assumptions!$B$11)))</f>
        <v>0</v>
      </c>
      <c r="Z163">
        <f>IF(B163&gt;$AF$2,0,IF($Y$2=1,(SUMIF('Mortality Tarif Male'!A:A,E164,'Mortality Tarif Male'!E:E)-SUMIF('Mortality Tarif Male'!A:A,$C$2+$H$2,'Mortality Tarif Male'!E:E))/SUMIF('Mortality Tarif Male'!A:A,E164,'Mortality Tarif Male'!D:D),(SUMIF('Mortality Tarif Female'!A:A,E164,'Mortality Tarif Female'!E:E)-SUMIF('Mortality Tarif Female'!A:A,$C$2+$H$2,'Mortality Tarif Female'!E:E))/SUMIF('Mortality Tarif Female'!A:A,E164,'Mortality Tarif Female'!D:D)))</f>
        <v>7.7726375168561397</v>
      </c>
      <c r="AA163">
        <f>IF(B163&gt;=$AF$2,0,IF($Y$2=1,(SUMIF('Mortality Tarif Male'!A:A,E164+1,'Mortality Tarif Male'!E:E)-SUMIF('Mortality Tarif Male'!A:A,$C$2+$H$2,'Mortality Tarif Male'!E:E))/SUMIF('Mortality Tarif Male'!A:A,E164+1,'Mortality Tarif Male'!D:D),(SUMIF('Mortality Tarif Female'!A:A,E164+1,'Mortality Tarif Female'!E:E)-SUMIF('Mortality Tarif Female'!A:A,$C$2+$H$2,'Mortality Tarif Female'!E:E))/SUMIF('Mortality Tarif Female'!A:A,E164+1,'Mortality Tarif Female'!D:D)))</f>
        <v>7.0291511000354383</v>
      </c>
      <c r="AB163">
        <f t="shared" si="76"/>
        <v>1722.6352966103414</v>
      </c>
      <c r="AC163">
        <f>IF(B163&gt;=$AF$2,0,MIN(1/3*(V163+W163+Y163-AB163),(V163-AB163),(T163*Z163+(1-T163)*AA163)*$AH$2*Assumptions!$B$22))</f>
        <v>186.45166914813177</v>
      </c>
      <c r="AD163">
        <f t="shared" si="92"/>
        <v>13282.529208586906</v>
      </c>
      <c r="AE163">
        <f t="shared" si="93"/>
        <v>13468.980877735037</v>
      </c>
      <c r="AF163">
        <f t="shared" si="94"/>
        <v>13282.529208586906</v>
      </c>
      <c r="AG163" s="26">
        <f t="shared" si="105"/>
        <v>0</v>
      </c>
      <c r="AH163" s="27">
        <f>IF(B163&gt;$AF$2,0,HLOOKUP(YEAR(A163),Assumptions!$A$34:$AL$37,4,TRUE)/100)</f>
        <v>1.2319999999999999E-2</v>
      </c>
      <c r="AI163">
        <f t="shared" si="95"/>
        <v>0</v>
      </c>
      <c r="AJ163">
        <f t="shared" si="96"/>
        <v>2.5692083351743782</v>
      </c>
      <c r="AK163">
        <f t="shared" si="97"/>
        <v>24.774883061886626</v>
      </c>
      <c r="AL163">
        <f>IF(E163&gt;Assumptions!$B$9,0,SUMPRODUCT($P$2:$X$2,Assumptions!$A$43:$I$43)/$I$2*O162*K163)</f>
        <v>3.5043334376953261</v>
      </c>
      <c r="AM163">
        <f t="shared" si="98"/>
        <v>0</v>
      </c>
      <c r="AN163">
        <f t="shared" si="99"/>
        <v>30.848424834756329</v>
      </c>
      <c r="AO163">
        <f>IF(E163&gt;Assumptions!$B$9,0,($V$2+$X$2)/$I$2*O162*K163*Assumptions!$B$46)</f>
        <v>0</v>
      </c>
      <c r="AP163">
        <f>IF(B163&gt;$AF$2,0,AP162*(1+Assumptions!$B$52)^(1/12))</f>
        <v>1.1343247320446206</v>
      </c>
      <c r="AQ163" s="29">
        <f>IF(B163&gt;$AF$2,0,O162*Assumptions!$B$48/12*AP162+AR163*Assumptions!$B$50/12)</f>
        <v>11.065279600071076</v>
      </c>
      <c r="AR163" s="31">
        <f t="shared" si="100"/>
        <v>8203.6475021479891</v>
      </c>
      <c r="AS163">
        <f t="shared" si="83"/>
        <v>8283.2137564001132</v>
      </c>
      <c r="AT163">
        <f t="shared" si="101"/>
        <v>12.555212774405732</v>
      </c>
      <c r="AU163" s="19">
        <f t="shared" si="102"/>
        <v>8212.0687056112583</v>
      </c>
      <c r="AV163" s="19">
        <f t="shared" si="103"/>
        <v>8282.1794590197842</v>
      </c>
      <c r="AW163">
        <f t="shared" si="104"/>
        <v>-89.876217595543039</v>
      </c>
      <c r="AX163">
        <f>IF(B163&gt;$AF$2,0,HLOOKUP(YEAR(A163),Assumptions!$A$34:$AL$37,2,TRUE)/100)</f>
        <v>1.8319999999999999E-2</v>
      </c>
      <c r="AY163" s="32">
        <f>1/(1+HLOOKUP(YEAR(A163),Assumptions!$A$27:$AL$29,3,TRUE))^(1/12)</f>
        <v>0.9985504179392577</v>
      </c>
      <c r="AZ163" s="30">
        <f t="shared" si="84"/>
        <v>9070.4223693967524</v>
      </c>
      <c r="BA163">
        <f>IF(B163&gt;$AF$2,0,IF($E$2=0,(T163*Z163+(1-T163)*AA163)*$J$2*Assumptions!$B$20,0))</f>
        <v>0</v>
      </c>
    </row>
    <row r="164" spans="1:53" x14ac:dyDescent="0.25">
      <c r="A164" s="17">
        <f t="shared" si="85"/>
        <v>47756</v>
      </c>
      <c r="B164">
        <f t="shared" si="77"/>
        <v>383</v>
      </c>
      <c r="C164">
        <f t="shared" si="78"/>
        <v>31.833333333333336</v>
      </c>
      <c r="D164">
        <f t="shared" ref="D164:D227" si="106">IF(C164-INT(C164)=0,1,0)</f>
        <v>0</v>
      </c>
      <c r="E164">
        <f t="shared" si="79"/>
        <v>54</v>
      </c>
      <c r="F164">
        <f>IF(C164&gt;=$H$2,0,VLOOKUP($E164,'Mortality Table'!$A$3:$C$128,2+AB$2,FALSE))</f>
        <v>2.2740999999999998E-3</v>
      </c>
      <c r="G164">
        <f>F164*Assumptions!$B$1</f>
        <v>2.4617132499999998E-3</v>
      </c>
      <c r="H164">
        <f t="shared" si="86"/>
        <v>2.0537459507896649E-4</v>
      </c>
      <c r="I164">
        <f t="shared" ref="I164:I227" si="107">H164*O163*(1-M164/2)</f>
        <v>1.2788418718824617E-4</v>
      </c>
      <c r="J164">
        <f>HLOOKUP(C164,Assumptions!$A$6:$J$7,2,TRUE)</f>
        <v>3.5200000000000002E-2</v>
      </c>
      <c r="K164" s="18">
        <f t="shared" si="80"/>
        <v>1</v>
      </c>
      <c r="L164" s="18">
        <f t="shared" si="87"/>
        <v>8.3333333333333329E-2</v>
      </c>
      <c r="M164" s="18">
        <f t="shared" ref="M164:M227" si="108">(1-(1-J164)^L164)</f>
        <v>2.9817501439168836E-3</v>
      </c>
      <c r="N164">
        <f t="shared" ref="N164:N227" si="109">M164*O163*(1-H164/2)</f>
        <v>1.8592797503314328E-3</v>
      </c>
      <c r="O164" s="20">
        <f t="shared" ref="O164:O227" si="110">IF(B164&gt;$AF$2,0,O163-I164-N164)</f>
        <v>0.62163004226784457</v>
      </c>
      <c r="P164">
        <f>IF(B164&gt;$AF$2,0,O163*($E$2+IF(E164&lt;=Assumptions!$B$9,$D$2,0))/$I$2*K164)</f>
        <v>31.939594577818067</v>
      </c>
      <c r="Q164">
        <f t="shared" si="88"/>
        <v>26.1</v>
      </c>
      <c r="R164">
        <f>IF(B164&gt;$AF$2,0,IF($Y$2=1,(SUMIF('Mortality Tarif Male'!A:A,E165,'Mortality Tarif Male'!G:G)-SUMIF('Mortality Tarif Male'!A:A,$C$2+$H$2,'Mortality Tarif Male'!G:G)+SUMIF('Mortality Tarif Male'!A:A,$C$2+$H$2,'Mortality Tarif Male'!D:D))/SUMIF('Mortality Tarif Male'!A:A,E165,'Mortality Tarif Male'!D:D),(SUMIF('Mortality Tarif Female'!A:A,E165,'Mortality Tarif Female'!G:G)-SUMIF('Mortality Tarif Female'!A:A,$C$2+$H$2,'Mortality Tarif Female'!G:G)+SUMIF('Mortality Tarif Female'!A:A,$C$2+$H$2,'Mortality Tarif Female'!D:D))/SUMIF('Mortality Tarif Female'!A:A,E165,'Mortality Tarif Female'!D:D)))</f>
        <v>0.73766332282839753</v>
      </c>
      <c r="S164">
        <f>IF(B164&gt;=$AF$2,0,IF($Y$2=1,(SUMIF('Mortality Tarif Male'!A:A,E165+1,'Mortality Tarif Male'!G:G)-SUMIF('Mortality Tarif Male'!A:A,$C$2+$H$2,'Mortality Tarif Male'!G:G)+SUMIF('Mortality Tarif Male'!A:A,$C$2+$H$2,'Mortality Tarif Male'!D:D))/SUMIF('Mortality Tarif Male'!A:A,E165+1,'Mortality Tarif Male'!D:D),(SUMIF('Mortality Tarif Female'!A:A,E165+1,'Mortality Tarif Female'!G:G)-SUMIF('Mortality Tarif Female'!A:A,$C$2+$H$2,'Mortality Tarif Female'!G:G)+SUMIF('Mortality Tarif Female'!A:A,$C$2+$H$2,'Mortality Tarif Female'!D:D))/SUMIF('Mortality Tarif Female'!A:A,E165+1,'Mortality Tarif Female'!D:D)))</f>
        <v>0.7627763526276059</v>
      </c>
      <c r="T164">
        <f t="shared" si="89"/>
        <v>8.3333333333332149E-2</v>
      </c>
      <c r="U164">
        <f t="shared" si="90"/>
        <v>0.76068360014433856</v>
      </c>
      <c r="V164">
        <f t="shared" si="91"/>
        <v>15213.672002886771</v>
      </c>
      <c r="W164">
        <f t="shared" si="81"/>
        <v>19.853841963767238</v>
      </c>
      <c r="X164">
        <f t="shared" si="82"/>
        <v>0</v>
      </c>
      <c r="Y164">
        <f>IF(B164&gt;$AF$2,0,IF(X165=0,0,(1-X165)*($E$2+IF(E164&lt;=Assumptions!$B$9,$D$2,0))/$I$2*1/(1+$AG$2)*1/(1+Assumptions!$B$11)))</f>
        <v>0</v>
      </c>
      <c r="Z164">
        <f>IF(B164&gt;$AF$2,0,IF($Y$2=1,(SUMIF('Mortality Tarif Male'!A:A,E165,'Mortality Tarif Male'!E:E)-SUMIF('Mortality Tarif Male'!A:A,$C$2+$H$2,'Mortality Tarif Male'!E:E))/SUMIF('Mortality Tarif Male'!A:A,E165,'Mortality Tarif Male'!D:D),(SUMIF('Mortality Tarif Female'!A:A,E165,'Mortality Tarif Female'!E:E)-SUMIF('Mortality Tarif Female'!A:A,$C$2+$H$2,'Mortality Tarif Female'!E:E))/SUMIF('Mortality Tarif Female'!A:A,E165,'Mortality Tarif Female'!D:D)))</f>
        <v>7.7726375168561397</v>
      </c>
      <c r="AA164">
        <f>IF(B164&gt;=$AF$2,0,IF($Y$2=1,(SUMIF('Mortality Tarif Male'!A:A,E165+1,'Mortality Tarif Male'!E:E)-SUMIF('Mortality Tarif Male'!A:A,$C$2+$H$2,'Mortality Tarif Male'!E:E))/SUMIF('Mortality Tarif Male'!A:A,E165+1,'Mortality Tarif Male'!D:D),(SUMIF('Mortality Tarif Female'!A:A,E165+1,'Mortality Tarif Female'!E:E)-SUMIF('Mortality Tarif Female'!A:A,$C$2+$H$2,'Mortality Tarif Female'!E:E))/SUMIF('Mortality Tarif Female'!A:A,E165+1,'Mortality Tarif Female'!D:D)))</f>
        <v>7.0291511000354383</v>
      </c>
      <c r="AB164">
        <f t="shared" si="76"/>
        <v>1707.7144683344852</v>
      </c>
      <c r="AC164">
        <f>IF(B164&gt;=$AF$2,0,MIN(1/3*(V164+W164+Y164-AB164),(V164-AB164),(T164*Z164+(1-T164)*AA164)*$AH$2*Assumptions!$B$22))</f>
        <v>184.83669391653152</v>
      </c>
      <c r="AD164">
        <f t="shared" si="92"/>
        <v>13340.974682599523</v>
      </c>
      <c r="AE164">
        <f t="shared" si="93"/>
        <v>13525.811376516054</v>
      </c>
      <c r="AF164">
        <f t="shared" si="94"/>
        <v>13340.974682599523</v>
      </c>
      <c r="AG164" s="26">
        <f t="shared" si="105"/>
        <v>0</v>
      </c>
      <c r="AH164" s="27">
        <f>IF(B164&gt;$AF$2,0,HLOOKUP(YEAR(A164),Assumptions!$A$34:$AL$37,4,TRUE)/100)</f>
        <v>1.2319999999999999E-2</v>
      </c>
      <c r="AI164">
        <f t="shared" si="95"/>
        <v>0</v>
      </c>
      <c r="AJ164">
        <f t="shared" si="96"/>
        <v>2.5610215210505363</v>
      </c>
      <c r="AK164">
        <f t="shared" si="97"/>
        <v>24.804604077041606</v>
      </c>
      <c r="AL164">
        <f>IF(E164&gt;Assumptions!$B$9,0,SUMPRODUCT($P$2:$X$2,Assumptions!$A$43:$I$43)/$I$2*O163*K164)</f>
        <v>3.493166835871099</v>
      </c>
      <c r="AM164">
        <f t="shared" si="98"/>
        <v>0</v>
      </c>
      <c r="AN164">
        <f t="shared" si="99"/>
        <v>30.858792433963245</v>
      </c>
      <c r="AO164">
        <f>IF(E164&gt;Assumptions!$B$9,0,($V$2+$X$2)/$I$2*O163*K164*Assumptions!$B$46)</f>
        <v>0</v>
      </c>
      <c r="AP164">
        <f>IF(B164&gt;$AF$2,0,AP163*(1+Assumptions!$B$52)^(1/12))</f>
        <v>1.1352656976438971</v>
      </c>
      <c r="AQ164" s="29">
        <f>IF(B164&gt;$AF$2,0,O163*Assumptions!$B$48/12*AP163+AR164*Assumptions!$B$50/12)</f>
        <v>11.043536578756672</v>
      </c>
      <c r="AR164" s="31">
        <f t="shared" si="100"/>
        <v>8202.3595774023743</v>
      </c>
      <c r="AS164">
        <f t="shared" si="83"/>
        <v>8293.1506558385863</v>
      </c>
      <c r="AT164">
        <f t="shared" si="101"/>
        <v>12.515205433676636</v>
      </c>
      <c r="AU164" s="19">
        <f t="shared" si="102"/>
        <v>8210.7404299677601</v>
      </c>
      <c r="AV164" s="19">
        <f t="shared" si="103"/>
        <v>8292.2357949979178</v>
      </c>
      <c r="AW164">
        <f t="shared" si="104"/>
        <v>-101.25136004513833</v>
      </c>
      <c r="AX164">
        <f>IF(B164&gt;$AF$2,0,HLOOKUP(YEAR(A164),Assumptions!$A$34:$AL$37,2,TRUE)/100)</f>
        <v>1.8319999999999999E-2</v>
      </c>
      <c r="AY164" s="32">
        <f>1/(1+HLOOKUP(YEAR(A164),Assumptions!$A$27:$AL$29,3,TRUE))^(1/12)</f>
        <v>0.9985504179392577</v>
      </c>
      <c r="AZ164" s="30">
        <f t="shared" si="84"/>
        <v>9073.6270437514522</v>
      </c>
      <c r="BA164">
        <f>IF(B164&gt;$AF$2,0,IF($E$2=0,(T164*Z164+(1-T164)*AA164)*$J$2*Assumptions!$B$20,0))</f>
        <v>0</v>
      </c>
    </row>
    <row r="165" spans="1:53" x14ac:dyDescent="0.25">
      <c r="A165" s="17">
        <f t="shared" si="85"/>
        <v>47787</v>
      </c>
      <c r="B165">
        <f t="shared" si="77"/>
        <v>384</v>
      </c>
      <c r="C165">
        <f t="shared" si="78"/>
        <v>31.916666666666664</v>
      </c>
      <c r="D165">
        <f t="shared" si="106"/>
        <v>0</v>
      </c>
      <c r="E165">
        <f t="shared" si="79"/>
        <v>54</v>
      </c>
      <c r="F165">
        <f>IF(C165&gt;=$H$2,0,VLOOKUP($E165,'Mortality Table'!$A$3:$C$128,2+AB$2,FALSE))</f>
        <v>2.2740999999999998E-3</v>
      </c>
      <c r="G165">
        <f>F165*Assumptions!$B$1</f>
        <v>2.4617132499999998E-3</v>
      </c>
      <c r="H165">
        <f t="shared" si="86"/>
        <v>2.0537459507896649E-4</v>
      </c>
      <c r="I165">
        <f t="shared" si="107"/>
        <v>1.2747668264470442E-4</v>
      </c>
      <c r="J165">
        <f>HLOOKUP(C165,Assumptions!$A$6:$J$7,2,TRUE)</f>
        <v>3.5200000000000002E-2</v>
      </c>
      <c r="K165" s="18">
        <f t="shared" si="80"/>
        <v>1</v>
      </c>
      <c r="L165" s="18">
        <f t="shared" si="87"/>
        <v>8.3333333333333329E-2</v>
      </c>
      <c r="M165" s="18">
        <f t="shared" si="108"/>
        <v>2.9817501439168836E-3</v>
      </c>
      <c r="N165">
        <f t="shared" si="109"/>
        <v>1.8533551324202292E-3</v>
      </c>
      <c r="O165" s="20">
        <f t="shared" si="110"/>
        <v>0.61964921045277965</v>
      </c>
      <c r="P165">
        <f>IF(B165&gt;$AF$2,0,O164*($E$2+IF(E165&lt;=Assumptions!$B$9,$D$2,0))/$I$2*K165)</f>
        <v>31.837818664818101</v>
      </c>
      <c r="Q165">
        <f t="shared" si="88"/>
        <v>26.1</v>
      </c>
      <c r="R165">
        <f>IF(B165&gt;$AF$2,0,IF($Y$2=1,(SUMIF('Mortality Tarif Male'!A:A,E166,'Mortality Tarif Male'!G:G)-SUMIF('Mortality Tarif Male'!A:A,$C$2+$H$2,'Mortality Tarif Male'!G:G)+SUMIF('Mortality Tarif Male'!A:A,$C$2+$H$2,'Mortality Tarif Male'!D:D))/SUMIF('Mortality Tarif Male'!A:A,E166,'Mortality Tarif Male'!D:D),(SUMIF('Mortality Tarif Female'!A:A,E166,'Mortality Tarif Female'!G:G)-SUMIF('Mortality Tarif Female'!A:A,$C$2+$H$2,'Mortality Tarif Female'!G:G)+SUMIF('Mortality Tarif Female'!A:A,$C$2+$H$2,'Mortality Tarif Female'!D:D))/SUMIF('Mortality Tarif Female'!A:A,E166,'Mortality Tarif Female'!D:D)))</f>
        <v>0.7627763526276059</v>
      </c>
      <c r="S165">
        <f>IF(B165&gt;=$AF$2,0,IF($Y$2=1,(SUMIF('Mortality Tarif Male'!A:A,E166+1,'Mortality Tarif Male'!G:G)-SUMIF('Mortality Tarif Male'!A:A,$C$2+$H$2,'Mortality Tarif Male'!G:G)+SUMIF('Mortality Tarif Male'!A:A,$C$2+$H$2,'Mortality Tarif Male'!D:D))/SUMIF('Mortality Tarif Male'!A:A,E166+1,'Mortality Tarif Male'!D:D),(SUMIF('Mortality Tarif Female'!A:A,E166+1,'Mortality Tarif Female'!G:G)-SUMIF('Mortality Tarif Female'!A:A,$C$2+$H$2,'Mortality Tarif Female'!G:G)+SUMIF('Mortality Tarif Female'!A:A,$C$2+$H$2,'Mortality Tarif Female'!D:D))/SUMIF('Mortality Tarif Female'!A:A,E166+1,'Mortality Tarif Female'!D:D)))</f>
        <v>0.78877560855592654</v>
      </c>
      <c r="T165">
        <f t="shared" si="89"/>
        <v>1</v>
      </c>
      <c r="U165">
        <f t="shared" si="90"/>
        <v>0.7627763526276059</v>
      </c>
      <c r="V165">
        <f t="shared" si="91"/>
        <v>15255.527052552117</v>
      </c>
      <c r="W165">
        <f t="shared" si="81"/>
        <v>19.908462803580516</v>
      </c>
      <c r="X165">
        <f t="shared" si="82"/>
        <v>0</v>
      </c>
      <c r="Y165">
        <f>IF(B165&gt;$AF$2,0,IF(X166=0,0,(1-X166)*($E$2+IF(E165&lt;=Assumptions!$B$9,$D$2,0))/$I$2*1/(1+$AG$2)*1/(1+Assumptions!$B$11)))</f>
        <v>0</v>
      </c>
      <c r="Z165">
        <f>IF(B165&gt;$AF$2,0,IF($Y$2=1,(SUMIF('Mortality Tarif Male'!A:A,E166,'Mortality Tarif Male'!E:E)-SUMIF('Mortality Tarif Male'!A:A,$C$2+$H$2,'Mortality Tarif Male'!E:E))/SUMIF('Mortality Tarif Male'!A:A,E166,'Mortality Tarif Male'!D:D),(SUMIF('Mortality Tarif Female'!A:A,E166,'Mortality Tarif Female'!E:E)-SUMIF('Mortality Tarif Female'!A:A,$C$2+$H$2,'Mortality Tarif Female'!E:E))/SUMIF('Mortality Tarif Female'!A:A,E166,'Mortality Tarif Female'!D:D)))</f>
        <v>7.0291511000354383</v>
      </c>
      <c r="AA165">
        <f>IF(B165&gt;=$AF$2,0,IF($Y$2=1,(SUMIF('Mortality Tarif Male'!A:A,E166+1,'Mortality Tarif Male'!E:E)-SUMIF('Mortality Tarif Male'!A:A,$C$2+$H$2,'Mortality Tarif Male'!E:E))/SUMIF('Mortality Tarif Male'!A:A,E166+1,'Mortality Tarif Male'!D:D),(SUMIF('Mortality Tarif Female'!A:A,E166+1,'Mortality Tarif Female'!E:E)-SUMIF('Mortality Tarif Female'!A:A,$C$2+$H$2,'Mortality Tarif Female'!E:E))/SUMIF('Mortality Tarif Female'!A:A,E166+1,'Mortality Tarif Female'!D:D)))</f>
        <v>6.2592831798688557</v>
      </c>
      <c r="AB165">
        <f t="shared" si="76"/>
        <v>1692.7936400586295</v>
      </c>
      <c r="AC165">
        <f>IF(B165&gt;=$AF$2,0,MIN(1/3*(V165+W165+Y165-AB165),(V165-AB165),(T165*Z165+(1-T165)*AA165)*$AH$2*Assumptions!$B$22))</f>
        <v>183.22171868493135</v>
      </c>
      <c r="AD165">
        <f t="shared" si="92"/>
        <v>13399.420156612136</v>
      </c>
      <c r="AE165">
        <f t="shared" si="93"/>
        <v>13582.641875297068</v>
      </c>
      <c r="AF165">
        <f t="shared" si="94"/>
        <v>13399.420156612136</v>
      </c>
      <c r="AG165" s="26">
        <f t="shared" si="105"/>
        <v>0</v>
      </c>
      <c r="AH165" s="27">
        <f>IF(B165&gt;$AF$2,0,HLOOKUP(YEAR(A165),Assumptions!$A$34:$AL$37,4,TRUE)/100)</f>
        <v>1.2319999999999999E-2</v>
      </c>
      <c r="AI165">
        <f t="shared" si="95"/>
        <v>0</v>
      </c>
      <c r="AJ165">
        <f t="shared" si="96"/>
        <v>2.552860794311115</v>
      </c>
      <c r="AK165">
        <f t="shared" si="97"/>
        <v>24.833884118712174</v>
      </c>
      <c r="AL165">
        <f>IF(E165&gt;Assumptions!$B$9,0,SUMPRODUCT($P$2:$X$2,Assumptions!$A$43:$I$43)/$I$2*O164*K165)</f>
        <v>3.4820358165616403</v>
      </c>
      <c r="AM165">
        <f t="shared" si="98"/>
        <v>0</v>
      </c>
      <c r="AN165">
        <f t="shared" si="99"/>
        <v>30.86878072958493</v>
      </c>
      <c r="AO165">
        <f>IF(E165&gt;Assumptions!$B$9,0,($V$2+$X$2)/$I$2*O164*K165*Assumptions!$B$46)</f>
        <v>0</v>
      </c>
      <c r="AP165">
        <f>IF(B165&gt;$AF$2,0,AP164*(1+Assumptions!$B$52)^(1/12))</f>
        <v>1.1362074438100025</v>
      </c>
      <c r="AQ165" s="29">
        <f>IF(B165&gt;$AF$2,0,O164*Assumptions!$B$48/12*AP164+AR165*Assumptions!$B$50/12)</f>
        <v>11.021800853680366</v>
      </c>
      <c r="AR165" s="31">
        <f t="shared" si="100"/>
        <v>8200.89258555372</v>
      </c>
      <c r="AS165">
        <f t="shared" si="83"/>
        <v>8302.9401205697704</v>
      </c>
      <c r="AT165">
        <f t="shared" si="101"/>
        <v>12.475325576833395</v>
      </c>
      <c r="AU165" s="19">
        <f t="shared" si="102"/>
        <v>8209.2332777880238</v>
      </c>
      <c r="AV165" s="19">
        <f t="shared" si="103"/>
        <v>8302.1439455988584</v>
      </c>
      <c r="AW165">
        <f t="shared" si="104"/>
        <v>-112.65722961369929</v>
      </c>
      <c r="AX165">
        <f>IF(B165&gt;$AF$2,0,HLOOKUP(YEAR(A165),Assumptions!$A$34:$AL$37,2,TRUE)/100)</f>
        <v>1.8319999999999999E-2</v>
      </c>
      <c r="AY165" s="32">
        <f>1/(1+HLOOKUP(YEAR(A165),Assumptions!$A$27:$AL$29,3,TRUE))^(1/12)</f>
        <v>0.9985504179392577</v>
      </c>
      <c r="AZ165" s="30">
        <f t="shared" si="84"/>
        <v>9076.746341804781</v>
      </c>
      <c r="BA165">
        <f>IF(B165&gt;$AF$2,0,IF($E$2=0,(T165*Z165+(1-T165)*AA165)*$J$2*Assumptions!$B$20,0))</f>
        <v>0</v>
      </c>
    </row>
    <row r="166" spans="1:53" x14ac:dyDescent="0.25">
      <c r="A166" s="17">
        <f t="shared" si="85"/>
        <v>47817</v>
      </c>
      <c r="B166">
        <f t="shared" si="77"/>
        <v>385</v>
      </c>
      <c r="C166">
        <f t="shared" si="78"/>
        <v>32</v>
      </c>
      <c r="D166">
        <f t="shared" si="106"/>
        <v>1</v>
      </c>
      <c r="E166">
        <f t="shared" si="79"/>
        <v>55</v>
      </c>
      <c r="F166">
        <f>IF(C166&gt;=$H$2,0,VLOOKUP($E166,'Mortality Table'!$A$3:$C$128,2+AB$2,FALSE))</f>
        <v>2.5233E-3</v>
      </c>
      <c r="G166">
        <f>F166*Assumptions!$B$1</f>
        <v>2.7314722500000003E-3</v>
      </c>
      <c r="H166">
        <f t="shared" si="86"/>
        <v>2.2790815227291539E-4</v>
      </c>
      <c r="I166">
        <f t="shared" si="107"/>
        <v>1.4101256060243203E-4</v>
      </c>
      <c r="J166">
        <f>HLOOKUP(C166,Assumptions!$A$6:$J$7,2,TRUE)</f>
        <v>3.5200000000000002E-2</v>
      </c>
      <c r="K166" s="18">
        <f t="shared" si="80"/>
        <v>1</v>
      </c>
      <c r="L166" s="18">
        <f t="shared" si="87"/>
        <v>8.3333333333333329E-2</v>
      </c>
      <c r="M166" s="18">
        <f t="shared" si="108"/>
        <v>2.9817501439168836E-3</v>
      </c>
      <c r="N166">
        <f t="shared" si="109"/>
        <v>1.8474285764363272E-3</v>
      </c>
      <c r="O166" s="20">
        <f t="shared" si="110"/>
        <v>0.61766076931574099</v>
      </c>
      <c r="P166">
        <f>IF(B166&gt;$AF$2,0,O165*($E$2+IF(E166&lt;=Assumptions!$B$9,$D$2,0))/$I$2*K166)</f>
        <v>31.736367062023191</v>
      </c>
      <c r="Q166">
        <f t="shared" si="88"/>
        <v>26.1</v>
      </c>
      <c r="R166">
        <f>IF(B166&gt;$AF$2,0,IF($Y$2=1,(SUMIF('Mortality Tarif Male'!A:A,E167,'Mortality Tarif Male'!G:G)-SUMIF('Mortality Tarif Male'!A:A,$C$2+$H$2,'Mortality Tarif Male'!G:G)+SUMIF('Mortality Tarif Male'!A:A,$C$2+$H$2,'Mortality Tarif Male'!D:D))/SUMIF('Mortality Tarif Male'!A:A,E167,'Mortality Tarif Male'!D:D),(SUMIF('Mortality Tarif Female'!A:A,E167,'Mortality Tarif Female'!G:G)-SUMIF('Mortality Tarif Female'!A:A,$C$2+$H$2,'Mortality Tarif Female'!G:G)+SUMIF('Mortality Tarif Female'!A:A,$C$2+$H$2,'Mortality Tarif Female'!D:D))/SUMIF('Mortality Tarif Female'!A:A,E167,'Mortality Tarif Female'!D:D)))</f>
        <v>0.7627763526276059</v>
      </c>
      <c r="S166">
        <f>IF(B166&gt;=$AF$2,0,IF($Y$2=1,(SUMIF('Mortality Tarif Male'!A:A,E167+1,'Mortality Tarif Male'!G:G)-SUMIF('Mortality Tarif Male'!A:A,$C$2+$H$2,'Mortality Tarif Male'!G:G)+SUMIF('Mortality Tarif Male'!A:A,$C$2+$H$2,'Mortality Tarif Male'!D:D))/SUMIF('Mortality Tarif Male'!A:A,E167+1,'Mortality Tarif Male'!D:D),(SUMIF('Mortality Tarif Female'!A:A,E167+1,'Mortality Tarif Female'!G:G)-SUMIF('Mortality Tarif Female'!A:A,$C$2+$H$2,'Mortality Tarif Female'!G:G)+SUMIF('Mortality Tarif Female'!A:A,$C$2+$H$2,'Mortality Tarif Female'!D:D))/SUMIF('Mortality Tarif Female'!A:A,E167+1,'Mortality Tarif Female'!D:D)))</f>
        <v>0.78877560855592654</v>
      </c>
      <c r="T166">
        <f t="shared" si="89"/>
        <v>0.9166666666666643</v>
      </c>
      <c r="U166">
        <f t="shared" si="90"/>
        <v>0.76494295728829931</v>
      </c>
      <c r="V166">
        <f t="shared" si="91"/>
        <v>15298.859145765986</v>
      </c>
      <c r="W166">
        <f t="shared" si="81"/>
        <v>19.965011185224611</v>
      </c>
      <c r="X166">
        <f t="shared" si="82"/>
        <v>0</v>
      </c>
      <c r="Y166">
        <f>IF(B166&gt;$AF$2,0,IF(X167=0,0,(1-X167)*($E$2+IF(E166&lt;=Assumptions!$B$9,$D$2,0))/$I$2*1/(1+$AG$2)*1/(1+Assumptions!$B$11)))</f>
        <v>0</v>
      </c>
      <c r="Z166">
        <f>IF(B166&gt;$AF$2,0,IF($Y$2=1,(SUMIF('Mortality Tarif Male'!A:A,E167,'Mortality Tarif Male'!E:E)-SUMIF('Mortality Tarif Male'!A:A,$C$2+$H$2,'Mortality Tarif Male'!E:E))/SUMIF('Mortality Tarif Male'!A:A,E167,'Mortality Tarif Male'!D:D),(SUMIF('Mortality Tarif Female'!A:A,E167,'Mortality Tarif Female'!E:E)-SUMIF('Mortality Tarif Female'!A:A,$C$2+$H$2,'Mortality Tarif Female'!E:E))/SUMIF('Mortality Tarif Female'!A:A,E167,'Mortality Tarif Female'!D:D)))</f>
        <v>7.0291511000354383</v>
      </c>
      <c r="AA166">
        <f>IF(B166&gt;=$AF$2,0,IF($Y$2=1,(SUMIF('Mortality Tarif Male'!A:A,E167+1,'Mortality Tarif Male'!E:E)-SUMIF('Mortality Tarif Male'!A:A,$C$2+$H$2,'Mortality Tarif Male'!E:E))/SUMIF('Mortality Tarif Male'!A:A,E167+1,'Mortality Tarif Male'!D:D),(SUMIF('Mortality Tarif Female'!A:A,E167+1,'Mortality Tarif Female'!E:E)-SUMIF('Mortality Tarif Female'!A:A,$C$2+$H$2,'Mortality Tarif Female'!E:E))/SUMIF('Mortality Tarif Female'!A:A,E167+1,'Mortality Tarif Female'!D:D)))</f>
        <v>6.2592831798688557</v>
      </c>
      <c r="AB166">
        <f t="shared" si="76"/>
        <v>1677.343368510943</v>
      </c>
      <c r="AC166">
        <f>IF(B166&gt;=$AF$2,0,MIN(1/3*(V166+W166+Y166-AB166),(V166-AB166),(T166*Z166+(1-T166)*AA166)*$AH$2*Assumptions!$B$22))</f>
        <v>181.54943847302204</v>
      </c>
      <c r="AD166">
        <f t="shared" si="92"/>
        <v>13459.931349967244</v>
      </c>
      <c r="AE166">
        <f t="shared" si="93"/>
        <v>13641.480788440267</v>
      </c>
      <c r="AF166">
        <f t="shared" si="94"/>
        <v>13459.931349967244</v>
      </c>
      <c r="AG166" s="26">
        <f t="shared" si="105"/>
        <v>0</v>
      </c>
      <c r="AH166" s="27">
        <f>IF(B166&gt;$AF$2,0,HLOOKUP(YEAR(A166),Assumptions!$A$34:$AL$37,4,TRUE)/100)</f>
        <v>1.2319999999999999E-2</v>
      </c>
      <c r="AI166">
        <f t="shared" si="95"/>
        <v>0</v>
      </c>
      <c r="AJ166">
        <f t="shared" si="96"/>
        <v>2.8239316398803638</v>
      </c>
      <c r="AK166">
        <f t="shared" si="97"/>
        <v>24.866261812800676</v>
      </c>
      <c r="AL166">
        <f>IF(E166&gt;Assumptions!$B$9,0,SUMPRODUCT($P$2:$X$2,Assumptions!$A$43:$I$43)/$I$2*O165*K166)</f>
        <v>3.4709402663828266</v>
      </c>
      <c r="AM166">
        <f t="shared" si="98"/>
        <v>0</v>
      </c>
      <c r="AN166">
        <f t="shared" si="99"/>
        <v>31.161133719063866</v>
      </c>
      <c r="AO166">
        <f>IF(E166&gt;Assumptions!$B$9,0,($V$2+$X$2)/$I$2*O165*K166*Assumptions!$B$46)</f>
        <v>0</v>
      </c>
      <c r="AP166">
        <f>IF(B166&gt;$AF$2,0,AP165*(1+Assumptions!$B$52)^(1/12))</f>
        <v>1.1371499711904467</v>
      </c>
      <c r="AQ166" s="29">
        <f>IF(B166&gt;$AF$2,0,O165*Assumptions!$B$48/12*AP165+AR166*Assumptions!$B$50/12)</f>
        <v>11.00007254642839</v>
      </c>
      <c r="AR166" s="31">
        <f t="shared" si="100"/>
        <v>8199.2475234873345</v>
      </c>
      <c r="AS166">
        <f t="shared" si="83"/>
        <v>8313.6715525578275</v>
      </c>
      <c r="AT166">
        <f t="shared" si="101"/>
        <v>12.43557279764703</v>
      </c>
      <c r="AU166" s="19">
        <f t="shared" si="102"/>
        <v>8207.548245205282</v>
      </c>
      <c r="AV166" s="19">
        <f t="shared" si="103"/>
        <v>8311.9047531010347</v>
      </c>
      <c r="AW166">
        <f t="shared" si="104"/>
        <v>-124.09367260429863</v>
      </c>
      <c r="AX166">
        <f>IF(B166&gt;$AF$2,0,HLOOKUP(YEAR(A166),Assumptions!$A$34:$AL$37,2,TRUE)/100)</f>
        <v>1.8319999999999999E-2</v>
      </c>
      <c r="AY166" s="32">
        <f>1/(1+HLOOKUP(YEAR(A166),Assumptions!$A$27:$AL$29,3,TRUE))^(1/12)</f>
        <v>0.9985504179392577</v>
      </c>
      <c r="AZ166" s="30">
        <f t="shared" si="84"/>
        <v>9079.4980918156471</v>
      </c>
      <c r="BA166">
        <f>IF(B166&gt;$AF$2,0,IF($E$2=0,(T166*Z166+(1-T166)*AA166)*$J$2*Assumptions!$B$20,0))</f>
        <v>0</v>
      </c>
    </row>
    <row r="167" spans="1:53" x14ac:dyDescent="0.25">
      <c r="A167" s="17">
        <f t="shared" si="85"/>
        <v>47848</v>
      </c>
      <c r="B167">
        <f t="shared" si="77"/>
        <v>386</v>
      </c>
      <c r="C167">
        <f t="shared" si="78"/>
        <v>32.083333333333336</v>
      </c>
      <c r="D167">
        <f t="shared" si="106"/>
        <v>0</v>
      </c>
      <c r="E167">
        <f t="shared" si="79"/>
        <v>55</v>
      </c>
      <c r="F167">
        <f>IF(C167&gt;=$H$2,0,VLOOKUP($E167,'Mortality Table'!$A$3:$C$128,2+AB$2,FALSE))</f>
        <v>2.5233E-3</v>
      </c>
      <c r="G167">
        <f>F167*Assumptions!$B$1</f>
        <v>2.7314722500000003E-3</v>
      </c>
      <c r="H167">
        <f t="shared" si="86"/>
        <v>2.2790815227291539E-4</v>
      </c>
      <c r="I167">
        <f t="shared" si="107"/>
        <v>1.4056005429465162E-4</v>
      </c>
      <c r="J167">
        <f>HLOOKUP(C167,Assumptions!$A$6:$J$7,2,TRUE)</f>
        <v>3.5200000000000002E-2</v>
      </c>
      <c r="K167" s="18">
        <f t="shared" si="80"/>
        <v>1</v>
      </c>
      <c r="L167" s="18">
        <f t="shared" si="87"/>
        <v>8.3333333333333329E-2</v>
      </c>
      <c r="M167" s="18">
        <f t="shared" si="108"/>
        <v>2.9817501439168836E-3</v>
      </c>
      <c r="N167">
        <f t="shared" si="109"/>
        <v>1.8415002174274574E-3</v>
      </c>
      <c r="O167" s="20">
        <f t="shared" si="110"/>
        <v>0.61567870904401889</v>
      </c>
      <c r="P167">
        <f>IF(B167&gt;$AF$2,0,O166*($E$2+IF(E167&lt;=Assumptions!$B$9,$D$2,0))/$I$2*K167)</f>
        <v>31.634525735121198</v>
      </c>
      <c r="Q167">
        <f t="shared" si="88"/>
        <v>26.1</v>
      </c>
      <c r="R167">
        <f>IF(B167&gt;$AF$2,0,IF($Y$2=1,(SUMIF('Mortality Tarif Male'!A:A,E168,'Mortality Tarif Male'!G:G)-SUMIF('Mortality Tarif Male'!A:A,$C$2+$H$2,'Mortality Tarif Male'!G:G)+SUMIF('Mortality Tarif Male'!A:A,$C$2+$H$2,'Mortality Tarif Male'!D:D))/SUMIF('Mortality Tarif Male'!A:A,E168,'Mortality Tarif Male'!D:D),(SUMIF('Mortality Tarif Female'!A:A,E168,'Mortality Tarif Female'!G:G)-SUMIF('Mortality Tarif Female'!A:A,$C$2+$H$2,'Mortality Tarif Female'!G:G)+SUMIF('Mortality Tarif Female'!A:A,$C$2+$H$2,'Mortality Tarif Female'!D:D))/SUMIF('Mortality Tarif Female'!A:A,E168,'Mortality Tarif Female'!D:D)))</f>
        <v>0.7627763526276059</v>
      </c>
      <c r="S167">
        <f>IF(B167&gt;=$AF$2,0,IF($Y$2=1,(SUMIF('Mortality Tarif Male'!A:A,E168+1,'Mortality Tarif Male'!G:G)-SUMIF('Mortality Tarif Male'!A:A,$C$2+$H$2,'Mortality Tarif Male'!G:G)+SUMIF('Mortality Tarif Male'!A:A,$C$2+$H$2,'Mortality Tarif Male'!D:D))/SUMIF('Mortality Tarif Male'!A:A,E168+1,'Mortality Tarif Male'!D:D),(SUMIF('Mortality Tarif Female'!A:A,E168+1,'Mortality Tarif Female'!G:G)-SUMIF('Mortality Tarif Female'!A:A,$C$2+$H$2,'Mortality Tarif Female'!G:G)+SUMIF('Mortality Tarif Female'!A:A,$C$2+$H$2,'Mortality Tarif Female'!D:D))/SUMIF('Mortality Tarif Female'!A:A,E168+1,'Mortality Tarif Female'!D:D)))</f>
        <v>0.78877560855592654</v>
      </c>
      <c r="T167">
        <f t="shared" si="89"/>
        <v>0.8333333333333357</v>
      </c>
      <c r="U167">
        <f t="shared" si="90"/>
        <v>0.7671095619489926</v>
      </c>
      <c r="V167">
        <f t="shared" si="91"/>
        <v>15342.191238979853</v>
      </c>
      <c r="W167">
        <f t="shared" si="81"/>
        <v>20.021559566868707</v>
      </c>
      <c r="X167">
        <f t="shared" si="82"/>
        <v>0</v>
      </c>
      <c r="Y167">
        <f>IF(B167&gt;$AF$2,0,IF(X168=0,0,(1-X168)*($E$2+IF(E167&lt;=Assumptions!$B$9,$D$2,0))/$I$2*1/(1+$AG$2)*1/(1+Assumptions!$B$11)))</f>
        <v>0</v>
      </c>
      <c r="Z167">
        <f>IF(B167&gt;$AF$2,0,IF($Y$2=1,(SUMIF('Mortality Tarif Male'!A:A,E168,'Mortality Tarif Male'!E:E)-SUMIF('Mortality Tarif Male'!A:A,$C$2+$H$2,'Mortality Tarif Male'!E:E))/SUMIF('Mortality Tarif Male'!A:A,E168,'Mortality Tarif Male'!D:D),(SUMIF('Mortality Tarif Female'!A:A,E168,'Mortality Tarif Female'!E:E)-SUMIF('Mortality Tarif Female'!A:A,$C$2+$H$2,'Mortality Tarif Female'!E:E))/SUMIF('Mortality Tarif Female'!A:A,E168,'Mortality Tarif Female'!D:D)))</f>
        <v>7.0291511000354383</v>
      </c>
      <c r="AA167">
        <f>IF(B167&gt;=$AF$2,0,IF($Y$2=1,(SUMIF('Mortality Tarif Male'!A:A,E168+1,'Mortality Tarif Male'!E:E)-SUMIF('Mortality Tarif Male'!A:A,$C$2+$H$2,'Mortality Tarif Male'!E:E))/SUMIF('Mortality Tarif Male'!A:A,E168+1,'Mortality Tarif Male'!D:D),(SUMIF('Mortality Tarif Female'!A:A,E168+1,'Mortality Tarif Female'!E:E)-SUMIF('Mortality Tarif Female'!A:A,$C$2+$H$2,'Mortality Tarif Female'!E:E))/SUMIF('Mortality Tarif Female'!A:A,E168+1,'Mortality Tarif Female'!D:D)))</f>
        <v>6.2592831798688557</v>
      </c>
      <c r="AB167">
        <f t="shared" si="76"/>
        <v>1661.8930969632581</v>
      </c>
      <c r="AC167">
        <f>IF(B167&gt;=$AF$2,0,MIN(1/3*(V167+W167+Y167-AB167),(V167-AB167),(T167*Z167+(1-T167)*AA167)*$AH$2*Assumptions!$B$22))</f>
        <v>179.87715826111287</v>
      </c>
      <c r="AD167">
        <f t="shared" si="92"/>
        <v>13520.44254332235</v>
      </c>
      <c r="AE167">
        <f t="shared" si="93"/>
        <v>13700.319701583463</v>
      </c>
      <c r="AF167">
        <f t="shared" si="94"/>
        <v>13520.44254332235</v>
      </c>
      <c r="AG167" s="26">
        <f t="shared" si="105"/>
        <v>13195.377427403602</v>
      </c>
      <c r="AH167" s="27">
        <f>IF(B167&gt;$AF$2,0,HLOOKUP(YEAR(A167),Assumptions!$A$34:$AL$37,4,TRUE)/100)</f>
        <v>1.2319999999999999E-2</v>
      </c>
      <c r="AI167">
        <f t="shared" si="95"/>
        <v>0</v>
      </c>
      <c r="AJ167">
        <f t="shared" si="96"/>
        <v>2.8148697033101224</v>
      </c>
      <c r="AK167">
        <f t="shared" si="97"/>
        <v>24.897897883243552</v>
      </c>
      <c r="AL167">
        <f>IF(E167&gt;Assumptions!$B$9,0,SUMPRODUCT($P$2:$X$2,Assumptions!$A$43:$I$43)/$I$2*O166*K167)</f>
        <v>3.45980209289135</v>
      </c>
      <c r="AM167">
        <f t="shared" si="98"/>
        <v>0</v>
      </c>
      <c r="AN167">
        <f t="shared" si="99"/>
        <v>31.172569679445026</v>
      </c>
      <c r="AO167">
        <f>IF(E167&gt;Assumptions!$B$9,0,($V$2+$X$2)/$I$2*O166*K167*Assumptions!$B$46)</f>
        <v>0</v>
      </c>
      <c r="AP167">
        <f>IF(B167&gt;$AF$2,0,AP166*(1+Assumptions!$B$52)^(1/12))</f>
        <v>1.1380932804332768</v>
      </c>
      <c r="AQ167" s="29">
        <f>IF(B167&gt;$AF$2,0,O166*Assumptions!$B$48/12*AP166+AR167*Assumptions!$B$50/12)</f>
        <v>10.978412015511143</v>
      </c>
      <c r="AR167" s="31">
        <f t="shared" si="100"/>
        <v>8198.5137451696683</v>
      </c>
      <c r="AS167">
        <f t="shared" si="83"/>
        <v>8324.2486107765362</v>
      </c>
      <c r="AT167">
        <f t="shared" si="101"/>
        <v>12.395667309031282</v>
      </c>
      <c r="AU167" s="19">
        <f t="shared" si="102"/>
        <v>8206.7741915802471</v>
      </c>
      <c r="AV167" s="19">
        <f t="shared" si="103"/>
        <v>8322.6074177739665</v>
      </c>
      <c r="AW167">
        <f t="shared" si="104"/>
        <v>0</v>
      </c>
      <c r="AX167">
        <f>IF(B167&gt;$AF$2,0,HLOOKUP(YEAR(A167),Assumptions!$A$34:$AL$37,2,TRUE)/100)</f>
        <v>1.8319999999999999E-2</v>
      </c>
      <c r="AY167" s="32">
        <f>1/(1+HLOOKUP(YEAR(A167),Assumptions!$A$27:$AL$29,3,TRUE))^(1/12)</f>
        <v>0.9985504179392577</v>
      </c>
      <c r="AZ167" s="30">
        <f t="shared" si="84"/>
        <v>9082.162219748212</v>
      </c>
      <c r="BA167">
        <f>IF(B167&gt;$AF$2,0,IF($E$2=0,(T167*Z167+(1-T167)*AA167)*$J$2*Assumptions!$B$20,0))</f>
        <v>0</v>
      </c>
    </row>
    <row r="168" spans="1:53" x14ac:dyDescent="0.25">
      <c r="A168" s="17">
        <f t="shared" si="85"/>
        <v>47879</v>
      </c>
      <c r="B168">
        <f t="shared" si="77"/>
        <v>387</v>
      </c>
      <c r="C168">
        <f t="shared" si="78"/>
        <v>32.166666666666664</v>
      </c>
      <c r="D168">
        <f t="shared" si="106"/>
        <v>0</v>
      </c>
      <c r="E168">
        <f t="shared" si="79"/>
        <v>55</v>
      </c>
      <c r="F168">
        <f>IF(C168&gt;=$H$2,0,VLOOKUP($E168,'Mortality Table'!$A$3:$C$128,2+AB$2,FALSE))</f>
        <v>2.5233E-3</v>
      </c>
      <c r="G168">
        <f>F168*Assumptions!$B$1</f>
        <v>2.7314722500000003E-3</v>
      </c>
      <c r="H168">
        <f t="shared" si="86"/>
        <v>2.2790815227291539E-4</v>
      </c>
      <c r="I168">
        <f t="shared" si="107"/>
        <v>1.4010900006998853E-4</v>
      </c>
      <c r="J168">
        <f>HLOOKUP(C168,Assumptions!$A$6:$J$7,2,TRUE)</f>
        <v>3.5200000000000002E-2</v>
      </c>
      <c r="K168" s="18">
        <f t="shared" si="80"/>
        <v>1</v>
      </c>
      <c r="L168" s="18">
        <f t="shared" si="87"/>
        <v>8.3333333333333329E-2</v>
      </c>
      <c r="M168" s="18">
        <f t="shared" si="108"/>
        <v>2.9817501439168836E-3</v>
      </c>
      <c r="N168">
        <f t="shared" si="109"/>
        <v>1.8355908823965569E-3</v>
      </c>
      <c r="O168" s="20">
        <f t="shared" si="110"/>
        <v>0.61370300916155229</v>
      </c>
      <c r="P168">
        <f>IF(B168&gt;$AF$2,0,O167*($E$2+IF(E168&lt;=Assumptions!$B$9,$D$2,0))/$I$2*K168)</f>
        <v>31.533011214871163</v>
      </c>
      <c r="Q168">
        <f t="shared" si="88"/>
        <v>26.1</v>
      </c>
      <c r="R168">
        <f>IF(B168&gt;$AF$2,0,IF($Y$2=1,(SUMIF('Mortality Tarif Male'!A:A,E169,'Mortality Tarif Male'!G:G)-SUMIF('Mortality Tarif Male'!A:A,$C$2+$H$2,'Mortality Tarif Male'!G:G)+SUMIF('Mortality Tarif Male'!A:A,$C$2+$H$2,'Mortality Tarif Male'!D:D))/SUMIF('Mortality Tarif Male'!A:A,E169,'Mortality Tarif Male'!D:D),(SUMIF('Mortality Tarif Female'!A:A,E169,'Mortality Tarif Female'!G:G)-SUMIF('Mortality Tarif Female'!A:A,$C$2+$H$2,'Mortality Tarif Female'!G:G)+SUMIF('Mortality Tarif Female'!A:A,$C$2+$H$2,'Mortality Tarif Female'!D:D))/SUMIF('Mortality Tarif Female'!A:A,E169,'Mortality Tarif Female'!D:D)))</f>
        <v>0.7627763526276059</v>
      </c>
      <c r="S168">
        <f>IF(B168&gt;=$AF$2,0,IF($Y$2=1,(SUMIF('Mortality Tarif Male'!A:A,E169+1,'Mortality Tarif Male'!G:G)-SUMIF('Mortality Tarif Male'!A:A,$C$2+$H$2,'Mortality Tarif Male'!G:G)+SUMIF('Mortality Tarif Male'!A:A,$C$2+$H$2,'Mortality Tarif Male'!D:D))/SUMIF('Mortality Tarif Male'!A:A,E169+1,'Mortality Tarif Male'!D:D),(SUMIF('Mortality Tarif Female'!A:A,E169+1,'Mortality Tarif Female'!G:G)-SUMIF('Mortality Tarif Female'!A:A,$C$2+$H$2,'Mortality Tarif Female'!G:G)+SUMIF('Mortality Tarif Female'!A:A,$C$2+$H$2,'Mortality Tarif Female'!D:D))/SUMIF('Mortality Tarif Female'!A:A,E169+1,'Mortality Tarif Female'!D:D)))</f>
        <v>0.78877560855592654</v>
      </c>
      <c r="T168">
        <f t="shared" si="89"/>
        <v>0.75</v>
      </c>
      <c r="U168">
        <f t="shared" si="90"/>
        <v>0.76927616660968612</v>
      </c>
      <c r="V168">
        <f t="shared" si="91"/>
        <v>15385.523332193723</v>
      </c>
      <c r="W168">
        <f t="shared" si="81"/>
        <v>20.078107948512809</v>
      </c>
      <c r="X168">
        <f t="shared" si="82"/>
        <v>0</v>
      </c>
      <c r="Y168">
        <f>IF(B168&gt;$AF$2,0,IF(X169=0,0,(1-X169)*($E$2+IF(E168&lt;=Assumptions!$B$9,$D$2,0))/$I$2*1/(1+$AG$2)*1/(1+Assumptions!$B$11)))</f>
        <v>0</v>
      </c>
      <c r="Z168">
        <f>IF(B168&gt;$AF$2,0,IF($Y$2=1,(SUMIF('Mortality Tarif Male'!A:A,E169,'Mortality Tarif Male'!E:E)-SUMIF('Mortality Tarif Male'!A:A,$C$2+$H$2,'Mortality Tarif Male'!E:E))/SUMIF('Mortality Tarif Male'!A:A,E169,'Mortality Tarif Male'!D:D),(SUMIF('Mortality Tarif Female'!A:A,E169,'Mortality Tarif Female'!E:E)-SUMIF('Mortality Tarif Female'!A:A,$C$2+$H$2,'Mortality Tarif Female'!E:E))/SUMIF('Mortality Tarif Female'!A:A,E169,'Mortality Tarif Female'!D:D)))</f>
        <v>7.0291511000354383</v>
      </c>
      <c r="AA168">
        <f>IF(B168&gt;=$AF$2,0,IF($Y$2=1,(SUMIF('Mortality Tarif Male'!A:A,E169+1,'Mortality Tarif Male'!E:E)-SUMIF('Mortality Tarif Male'!A:A,$C$2+$H$2,'Mortality Tarif Male'!E:E))/SUMIF('Mortality Tarif Male'!A:A,E169+1,'Mortality Tarif Male'!D:D),(SUMIF('Mortality Tarif Female'!A:A,E169+1,'Mortality Tarif Female'!E:E)-SUMIF('Mortality Tarif Female'!A:A,$C$2+$H$2,'Mortality Tarif Female'!E:E))/SUMIF('Mortality Tarif Female'!A:A,E169+1,'Mortality Tarif Female'!D:D)))</f>
        <v>6.2592831798688557</v>
      </c>
      <c r="AB168">
        <f t="shared" si="76"/>
        <v>1646.4428254155716</v>
      </c>
      <c r="AC168">
        <f>IF(B168&gt;=$AF$2,0,MIN(1/3*(V168+W168+Y168-AB168),(V168-AB168),(T168*Z168+(1-T168)*AA168)*$AH$2*Assumptions!$B$22))</f>
        <v>178.2048780492035</v>
      </c>
      <c r="AD168">
        <f t="shared" si="92"/>
        <v>13580.95373667746</v>
      </c>
      <c r="AE168">
        <f t="shared" si="93"/>
        <v>13759.158614726664</v>
      </c>
      <c r="AF168">
        <f t="shared" si="94"/>
        <v>13580.95373667746</v>
      </c>
      <c r="AG168" s="26">
        <f t="shared" si="105"/>
        <v>0</v>
      </c>
      <c r="AH168" s="27">
        <f>IF(B168&gt;$AF$2,0,HLOOKUP(YEAR(A168),Assumptions!$A$34:$AL$37,4,TRUE)/100)</f>
        <v>1.3443E-2</v>
      </c>
      <c r="AI168">
        <f t="shared" si="95"/>
        <v>0</v>
      </c>
      <c r="AJ168">
        <f t="shared" si="96"/>
        <v>2.805836846301597</v>
      </c>
      <c r="AK168">
        <f t="shared" si="97"/>
        <v>24.929074853294594</v>
      </c>
      <c r="AL168">
        <f>IF(E168&gt;Assumptions!$B$9,0,SUMPRODUCT($P$2:$X$2,Assumptions!$A$43:$I$43)/$I$2*O167*K168)</f>
        <v>3.4486996615617098</v>
      </c>
      <c r="AM168">
        <f t="shared" si="98"/>
        <v>0</v>
      </c>
      <c r="AN168">
        <f t="shared" si="99"/>
        <v>31.183611361157901</v>
      </c>
      <c r="AO168">
        <f>IF(E168&gt;Assumptions!$B$9,0,($V$2+$X$2)/$I$2*O167*K168*Assumptions!$B$46)</f>
        <v>0</v>
      </c>
      <c r="AP168">
        <f>IF(B168&gt;$AF$2,0,AP167*(1+Assumptions!$B$52)^(1/12))</f>
        <v>1.1390373721870775</v>
      </c>
      <c r="AQ168" s="29">
        <f>IF(B168&gt;$AF$2,0,O167*Assumptions!$B$48/12*AP167+AR168*Assumptions!$B$50/12)</f>
        <v>10.989518486366602</v>
      </c>
      <c r="AR168" s="31">
        <f t="shared" si="100"/>
        <v>8333.1558009912551</v>
      </c>
      <c r="AS168">
        <f t="shared" si="83"/>
        <v>8334.672175482785</v>
      </c>
      <c r="AT168">
        <f t="shared" si="101"/>
        <v>12.355889876279752</v>
      </c>
      <c r="AU168" s="19">
        <f t="shared" si="102"/>
        <v>8341.3434038434789</v>
      </c>
      <c r="AV168" s="19">
        <f t="shared" si="103"/>
        <v>8333.1558009912551</v>
      </c>
      <c r="AW168">
        <f t="shared" si="104"/>
        <v>-10.527547271334514</v>
      </c>
      <c r="AX168">
        <f>IF(B168&gt;$AF$2,0,HLOOKUP(YEAR(A168),Assumptions!$A$34:$AL$37,2,TRUE)/100)</f>
        <v>1.9442999999999998E-2</v>
      </c>
      <c r="AY168" s="32">
        <f>1/(1+HLOOKUP(YEAR(A168),Assumptions!$A$27:$AL$29,3,TRUE))^(1/12)</f>
        <v>0.9984881294796899</v>
      </c>
      <c r="AZ168" s="30">
        <f t="shared" si="84"/>
        <v>9085.2739454443108</v>
      </c>
      <c r="BA168">
        <f>IF(B168&gt;$AF$2,0,IF($E$2=0,(T168*Z168+(1-T168)*AA168)*$J$2*Assumptions!$B$20,0))</f>
        <v>0</v>
      </c>
    </row>
    <row r="169" spans="1:53" x14ac:dyDescent="0.25">
      <c r="A169" s="17">
        <f t="shared" si="85"/>
        <v>47907</v>
      </c>
      <c r="B169">
        <f t="shared" si="77"/>
        <v>388</v>
      </c>
      <c r="C169">
        <f t="shared" si="78"/>
        <v>32.25</v>
      </c>
      <c r="D169">
        <f t="shared" si="106"/>
        <v>0</v>
      </c>
      <c r="E169">
        <f t="shared" si="79"/>
        <v>55</v>
      </c>
      <c r="F169">
        <f>IF(C169&gt;=$H$2,0,VLOOKUP($E169,'Mortality Table'!$A$3:$C$128,2+AB$2,FALSE))</f>
        <v>2.5233E-3</v>
      </c>
      <c r="G169">
        <f>F169*Assumptions!$B$1</f>
        <v>2.7314722500000003E-3</v>
      </c>
      <c r="H169">
        <f t="shared" si="86"/>
        <v>2.2790815227291539E-4</v>
      </c>
      <c r="I169">
        <f t="shared" si="107"/>
        <v>1.3965939326873888E-4</v>
      </c>
      <c r="J169">
        <f>HLOOKUP(C169,Assumptions!$A$6:$J$7,2,TRUE)</f>
        <v>3.5200000000000002E-2</v>
      </c>
      <c r="K169" s="18">
        <f t="shared" si="80"/>
        <v>1</v>
      </c>
      <c r="L169" s="18">
        <f t="shared" si="87"/>
        <v>8.3333333333333329E-2</v>
      </c>
      <c r="M169" s="18">
        <f t="shared" si="108"/>
        <v>2.9817501439168836E-3</v>
      </c>
      <c r="N169">
        <f t="shared" si="109"/>
        <v>1.8297005102960845E-3</v>
      </c>
      <c r="O169" s="20">
        <f t="shared" si="110"/>
        <v>0.61173364925798746</v>
      </c>
      <c r="P169">
        <f>IF(B169&gt;$AF$2,0,O168*($E$2+IF(E169&lt;=Assumptions!$B$9,$D$2,0))/$I$2*K169)</f>
        <v>31.431822452557498</v>
      </c>
      <c r="Q169">
        <f t="shared" si="88"/>
        <v>26.1</v>
      </c>
      <c r="R169">
        <f>IF(B169&gt;$AF$2,0,IF($Y$2=1,(SUMIF('Mortality Tarif Male'!A:A,E170,'Mortality Tarif Male'!G:G)-SUMIF('Mortality Tarif Male'!A:A,$C$2+$H$2,'Mortality Tarif Male'!G:G)+SUMIF('Mortality Tarif Male'!A:A,$C$2+$H$2,'Mortality Tarif Male'!D:D))/SUMIF('Mortality Tarif Male'!A:A,E170,'Mortality Tarif Male'!D:D),(SUMIF('Mortality Tarif Female'!A:A,E170,'Mortality Tarif Female'!G:G)-SUMIF('Mortality Tarif Female'!A:A,$C$2+$H$2,'Mortality Tarif Female'!G:G)+SUMIF('Mortality Tarif Female'!A:A,$C$2+$H$2,'Mortality Tarif Female'!D:D))/SUMIF('Mortality Tarif Female'!A:A,E170,'Mortality Tarif Female'!D:D)))</f>
        <v>0.7627763526276059</v>
      </c>
      <c r="S169">
        <f>IF(B169&gt;=$AF$2,0,IF($Y$2=1,(SUMIF('Mortality Tarif Male'!A:A,E170+1,'Mortality Tarif Male'!G:G)-SUMIF('Mortality Tarif Male'!A:A,$C$2+$H$2,'Mortality Tarif Male'!G:G)+SUMIF('Mortality Tarif Male'!A:A,$C$2+$H$2,'Mortality Tarif Male'!D:D))/SUMIF('Mortality Tarif Male'!A:A,E170+1,'Mortality Tarif Male'!D:D),(SUMIF('Mortality Tarif Female'!A:A,E170+1,'Mortality Tarif Female'!G:G)-SUMIF('Mortality Tarif Female'!A:A,$C$2+$H$2,'Mortality Tarif Female'!G:G)+SUMIF('Mortality Tarif Female'!A:A,$C$2+$H$2,'Mortality Tarif Female'!D:D))/SUMIF('Mortality Tarif Female'!A:A,E170+1,'Mortality Tarif Female'!D:D)))</f>
        <v>0.78877560855592654</v>
      </c>
      <c r="T169">
        <f t="shared" si="89"/>
        <v>0.6666666666666643</v>
      </c>
      <c r="U169">
        <f t="shared" si="90"/>
        <v>0.77144277127037952</v>
      </c>
      <c r="V169">
        <f t="shared" si="91"/>
        <v>15428.85542540759</v>
      </c>
      <c r="W169">
        <f t="shared" si="81"/>
        <v>20.134656330156908</v>
      </c>
      <c r="X169">
        <f t="shared" si="82"/>
        <v>0</v>
      </c>
      <c r="Y169">
        <f>IF(B169&gt;$AF$2,0,IF(X170=0,0,(1-X170)*($E$2+IF(E169&lt;=Assumptions!$B$9,$D$2,0))/$I$2*1/(1+$AG$2)*1/(1+Assumptions!$B$11)))</f>
        <v>0</v>
      </c>
      <c r="Z169">
        <f>IF(B169&gt;$AF$2,0,IF($Y$2=1,(SUMIF('Mortality Tarif Male'!A:A,E170,'Mortality Tarif Male'!E:E)-SUMIF('Mortality Tarif Male'!A:A,$C$2+$H$2,'Mortality Tarif Male'!E:E))/SUMIF('Mortality Tarif Male'!A:A,E170,'Mortality Tarif Male'!D:D),(SUMIF('Mortality Tarif Female'!A:A,E170,'Mortality Tarif Female'!E:E)-SUMIF('Mortality Tarif Female'!A:A,$C$2+$H$2,'Mortality Tarif Female'!E:E))/SUMIF('Mortality Tarif Female'!A:A,E170,'Mortality Tarif Female'!D:D)))</f>
        <v>7.0291511000354383</v>
      </c>
      <c r="AA169">
        <f>IF(B169&gt;=$AF$2,0,IF($Y$2=1,(SUMIF('Mortality Tarif Male'!A:A,E170+1,'Mortality Tarif Male'!E:E)-SUMIF('Mortality Tarif Male'!A:A,$C$2+$H$2,'Mortality Tarif Male'!E:E))/SUMIF('Mortality Tarif Male'!A:A,E170+1,'Mortality Tarif Male'!D:D),(SUMIF('Mortality Tarif Female'!A:A,E170+1,'Mortality Tarif Female'!E:E)-SUMIF('Mortality Tarif Female'!A:A,$C$2+$H$2,'Mortality Tarif Female'!E:E))/SUMIF('Mortality Tarif Female'!A:A,E170+1,'Mortality Tarif Female'!D:D)))</f>
        <v>6.2592831798688557</v>
      </c>
      <c r="AB169">
        <f t="shared" si="76"/>
        <v>1630.9925538678851</v>
      </c>
      <c r="AC169">
        <f>IF(B169&gt;=$AF$2,0,MIN(1/3*(V169+W169+Y169-AB169),(V169-AB169),(T169*Z169+(1-T169)*AA169)*$AH$2*Assumptions!$B$22))</f>
        <v>176.53259783729419</v>
      </c>
      <c r="AD169">
        <f t="shared" si="92"/>
        <v>13641.464930032567</v>
      </c>
      <c r="AE169">
        <f t="shared" si="93"/>
        <v>13817.997527869862</v>
      </c>
      <c r="AF169">
        <f t="shared" si="94"/>
        <v>13641.464930032567</v>
      </c>
      <c r="AG169" s="26">
        <f t="shared" si="105"/>
        <v>0</v>
      </c>
      <c r="AH169" s="27">
        <f>IF(B169&gt;$AF$2,0,HLOOKUP(YEAR(A169),Assumptions!$A$34:$AL$37,4,TRUE)/100)</f>
        <v>1.3443E-2</v>
      </c>
      <c r="AI169">
        <f t="shared" si="95"/>
        <v>0</v>
      </c>
      <c r="AJ169">
        <f t="shared" si="96"/>
        <v>2.7968329755390915</v>
      </c>
      <c r="AK169">
        <f t="shared" si="97"/>
        <v>24.95979534366673</v>
      </c>
      <c r="AL169">
        <f>IF(E169&gt;Assumptions!$B$9,0,SUMPRODUCT($P$2:$X$2,Assumptions!$A$43:$I$43)/$I$2*O168*K169)</f>
        <v>3.4376328576980684</v>
      </c>
      <c r="AM169">
        <f t="shared" si="98"/>
        <v>0</v>
      </c>
      <c r="AN169">
        <f t="shared" si="99"/>
        <v>31.194261176903893</v>
      </c>
      <c r="AO169">
        <f>IF(E169&gt;Assumptions!$B$9,0,($V$2+$X$2)/$I$2*O168*K169*Assumptions!$B$46)</f>
        <v>0</v>
      </c>
      <c r="AP169">
        <f>IF(B169&gt;$AF$2,0,AP168*(1+Assumptions!$B$52)^(1/12))</f>
        <v>1.1399822471009713</v>
      </c>
      <c r="AQ169" s="29">
        <f>IF(B169&gt;$AF$2,0,O168*Assumptions!$B$48/12*AP168+AR169*Assumptions!$B$50/12)</f>
        <v>10.968105477008656</v>
      </c>
      <c r="AR169" s="31">
        <f t="shared" si="100"/>
        <v>8333.0232354422151</v>
      </c>
      <c r="AS169">
        <f t="shared" si="83"/>
        <v>8344.9431228736794</v>
      </c>
      <c r="AT169">
        <f t="shared" si="101"/>
        <v>12.316240088463895</v>
      </c>
      <c r="AU169" s="19">
        <f t="shared" si="102"/>
        <v>8341.1707123293018</v>
      </c>
      <c r="AV169" s="19">
        <f t="shared" si="103"/>
        <v>8343.5507827135498</v>
      </c>
      <c r="AW169">
        <f t="shared" si="104"/>
        <v>-21.08521482291367</v>
      </c>
      <c r="AX169">
        <f>IF(B169&gt;$AF$2,0,HLOOKUP(YEAR(A169),Assumptions!$A$34:$AL$37,2,TRUE)/100)</f>
        <v>1.9442999999999998E-2</v>
      </c>
      <c r="AY169" s="32">
        <f>1/(1+HLOOKUP(YEAR(A169),Assumptions!$A$27:$AL$29,3,TRUE))^(1/12)</f>
        <v>0.9984881294796899</v>
      </c>
      <c r="AZ169" s="30">
        <f t="shared" si="84"/>
        <v>9088.2999572214594</v>
      </c>
      <c r="BA169">
        <f>IF(B169&gt;$AF$2,0,IF($E$2=0,(T169*Z169+(1-T169)*AA169)*$J$2*Assumptions!$B$20,0))</f>
        <v>0</v>
      </c>
    </row>
    <row r="170" spans="1:53" x14ac:dyDescent="0.25">
      <c r="A170" s="17">
        <f t="shared" si="85"/>
        <v>47938</v>
      </c>
      <c r="B170">
        <f t="shared" si="77"/>
        <v>389</v>
      </c>
      <c r="C170">
        <f t="shared" si="78"/>
        <v>32.333333333333336</v>
      </c>
      <c r="D170">
        <f t="shared" si="106"/>
        <v>0</v>
      </c>
      <c r="E170">
        <f t="shared" si="79"/>
        <v>55</v>
      </c>
      <c r="F170">
        <f>IF(C170&gt;=$H$2,0,VLOOKUP($E170,'Mortality Table'!$A$3:$C$128,2+AB$2,FALSE))</f>
        <v>2.5233E-3</v>
      </c>
      <c r="G170">
        <f>F170*Assumptions!$B$1</f>
        <v>2.7314722500000003E-3</v>
      </c>
      <c r="H170">
        <f t="shared" si="86"/>
        <v>2.2790815227291539E-4</v>
      </c>
      <c r="I170">
        <f t="shared" si="107"/>
        <v>1.392112292461518E-4</v>
      </c>
      <c r="J170">
        <f>HLOOKUP(C170,Assumptions!$A$6:$J$7,2,TRUE)</f>
        <v>3.5200000000000002E-2</v>
      </c>
      <c r="K170" s="18">
        <f t="shared" si="80"/>
        <v>1</v>
      </c>
      <c r="L170" s="18">
        <f t="shared" si="87"/>
        <v>8.3333333333333329E-2</v>
      </c>
      <c r="M170" s="18">
        <f t="shared" si="108"/>
        <v>2.9817501439168836E-3</v>
      </c>
      <c r="N170">
        <f t="shared" si="109"/>
        <v>1.8238290402744007E-3</v>
      </c>
      <c r="O170" s="20">
        <f t="shared" si="110"/>
        <v>0.6097706089884668</v>
      </c>
      <c r="P170">
        <f>IF(B170&gt;$AF$2,0,O169*($E$2+IF(E170&lt;=Assumptions!$B$9,$D$2,0))/$I$2*K170)</f>
        <v>31.330958402829921</v>
      </c>
      <c r="Q170">
        <f t="shared" si="88"/>
        <v>26.1</v>
      </c>
      <c r="R170">
        <f>IF(B170&gt;$AF$2,0,IF($Y$2=1,(SUMIF('Mortality Tarif Male'!A:A,E171,'Mortality Tarif Male'!G:G)-SUMIF('Mortality Tarif Male'!A:A,$C$2+$H$2,'Mortality Tarif Male'!G:G)+SUMIF('Mortality Tarif Male'!A:A,$C$2+$H$2,'Mortality Tarif Male'!D:D))/SUMIF('Mortality Tarif Male'!A:A,E171,'Mortality Tarif Male'!D:D),(SUMIF('Mortality Tarif Female'!A:A,E171,'Mortality Tarif Female'!G:G)-SUMIF('Mortality Tarif Female'!A:A,$C$2+$H$2,'Mortality Tarif Female'!G:G)+SUMIF('Mortality Tarif Female'!A:A,$C$2+$H$2,'Mortality Tarif Female'!D:D))/SUMIF('Mortality Tarif Female'!A:A,E171,'Mortality Tarif Female'!D:D)))</f>
        <v>0.7627763526276059</v>
      </c>
      <c r="S170">
        <f>IF(B170&gt;=$AF$2,0,IF($Y$2=1,(SUMIF('Mortality Tarif Male'!A:A,E171+1,'Mortality Tarif Male'!G:G)-SUMIF('Mortality Tarif Male'!A:A,$C$2+$H$2,'Mortality Tarif Male'!G:G)+SUMIF('Mortality Tarif Male'!A:A,$C$2+$H$2,'Mortality Tarif Male'!D:D))/SUMIF('Mortality Tarif Male'!A:A,E171+1,'Mortality Tarif Male'!D:D),(SUMIF('Mortality Tarif Female'!A:A,E171+1,'Mortality Tarif Female'!G:G)-SUMIF('Mortality Tarif Female'!A:A,$C$2+$H$2,'Mortality Tarif Female'!G:G)+SUMIF('Mortality Tarif Female'!A:A,$C$2+$H$2,'Mortality Tarif Female'!D:D))/SUMIF('Mortality Tarif Female'!A:A,E171+1,'Mortality Tarif Female'!D:D)))</f>
        <v>0.78877560855592654</v>
      </c>
      <c r="T170">
        <f t="shared" si="89"/>
        <v>0.5833333333333357</v>
      </c>
      <c r="U170">
        <f t="shared" si="90"/>
        <v>0.77360937593107271</v>
      </c>
      <c r="V170">
        <f t="shared" si="91"/>
        <v>15472.187518621455</v>
      </c>
      <c r="W170">
        <f t="shared" si="81"/>
        <v>20.191204711800999</v>
      </c>
      <c r="X170">
        <f t="shared" si="82"/>
        <v>0</v>
      </c>
      <c r="Y170">
        <f>IF(B170&gt;$AF$2,0,IF(X171=0,0,(1-X171)*($E$2+IF(E170&lt;=Assumptions!$B$9,$D$2,0))/$I$2*1/(1+$AG$2)*1/(1+Assumptions!$B$11)))</f>
        <v>0</v>
      </c>
      <c r="Z170">
        <f>IF(B170&gt;$AF$2,0,IF($Y$2=1,(SUMIF('Mortality Tarif Male'!A:A,E171,'Mortality Tarif Male'!E:E)-SUMIF('Mortality Tarif Male'!A:A,$C$2+$H$2,'Mortality Tarif Male'!E:E))/SUMIF('Mortality Tarif Male'!A:A,E171,'Mortality Tarif Male'!D:D),(SUMIF('Mortality Tarif Female'!A:A,E171,'Mortality Tarif Female'!E:E)-SUMIF('Mortality Tarif Female'!A:A,$C$2+$H$2,'Mortality Tarif Female'!E:E))/SUMIF('Mortality Tarif Female'!A:A,E171,'Mortality Tarif Female'!D:D)))</f>
        <v>7.0291511000354383</v>
      </c>
      <c r="AA170">
        <f>IF(B170&gt;=$AF$2,0,IF($Y$2=1,(SUMIF('Mortality Tarif Male'!A:A,E171+1,'Mortality Tarif Male'!E:E)-SUMIF('Mortality Tarif Male'!A:A,$C$2+$H$2,'Mortality Tarif Male'!E:E))/SUMIF('Mortality Tarif Male'!A:A,E171+1,'Mortality Tarif Male'!D:D),(SUMIF('Mortality Tarif Female'!A:A,E171+1,'Mortality Tarif Female'!E:E)-SUMIF('Mortality Tarif Female'!A:A,$C$2+$H$2,'Mortality Tarif Female'!E:E))/SUMIF('Mortality Tarif Female'!A:A,E171+1,'Mortality Tarif Female'!D:D)))</f>
        <v>6.2592831798688557</v>
      </c>
      <c r="AB170">
        <f t="shared" si="76"/>
        <v>1615.5422823202002</v>
      </c>
      <c r="AC170">
        <f>IF(B170&gt;=$AF$2,0,MIN(1/3*(V170+W170+Y170-AB170),(V170-AB170),(T170*Z170+(1-T170)*AA170)*$AH$2*Assumptions!$B$22))</f>
        <v>174.86031762538502</v>
      </c>
      <c r="AD170">
        <f t="shared" si="92"/>
        <v>13701.976123387669</v>
      </c>
      <c r="AE170">
        <f t="shared" si="93"/>
        <v>13876.836441013054</v>
      </c>
      <c r="AF170">
        <f t="shared" si="94"/>
        <v>13701.976123387669</v>
      </c>
      <c r="AG170" s="26">
        <f t="shared" si="105"/>
        <v>0</v>
      </c>
      <c r="AH170" s="27">
        <f>IF(B170&gt;$AF$2,0,HLOOKUP(YEAR(A170),Assumptions!$A$34:$AL$37,4,TRUE)/100)</f>
        <v>1.3443E-2</v>
      </c>
      <c r="AI170">
        <f t="shared" si="95"/>
        <v>0</v>
      </c>
      <c r="AJ170">
        <f t="shared" si="96"/>
        <v>2.7878579980063605</v>
      </c>
      <c r="AK170">
        <f t="shared" si="97"/>
        <v>24.990061962980885</v>
      </c>
      <c r="AL170">
        <f>IF(E170&gt;Assumptions!$B$9,0,SUMPRODUCT($P$2:$X$2,Assumptions!$A$43:$I$43)/$I$2*O169*K170)</f>
        <v>3.426601566972646</v>
      </c>
      <c r="AM170">
        <f t="shared" si="98"/>
        <v>0</v>
      </c>
      <c r="AN170">
        <f t="shared" si="99"/>
        <v>31.204521527959891</v>
      </c>
      <c r="AO170">
        <f>IF(E170&gt;Assumptions!$B$9,0,($V$2+$X$2)/$I$2*O169*K170*Assumptions!$B$46)</f>
        <v>0</v>
      </c>
      <c r="AP170">
        <f>IF(B170&gt;$AF$2,0,AP169*(1+Assumptions!$B$52)^(1/12))</f>
        <v>1.1409279058246196</v>
      </c>
      <c r="AQ170" s="29">
        <f>IF(B170&gt;$AF$2,0,O169*Assumptions!$B$48/12*AP169+AR170*Assumptions!$B$50/12)</f>
        <v>10.946699259901644</v>
      </c>
      <c r="AR170" s="31">
        <f t="shared" si="100"/>
        <v>8332.7080240197665</v>
      </c>
      <c r="AS170">
        <f t="shared" si="83"/>
        <v>8355.0623251035304</v>
      </c>
      <c r="AT170">
        <f t="shared" si="101"/>
        <v>12.27671753597383</v>
      </c>
      <c r="AU170" s="19">
        <f t="shared" si="102"/>
        <v>8340.8155656267227</v>
      </c>
      <c r="AV170" s="19">
        <f t="shared" si="103"/>
        <v>8353.7932388426798</v>
      </c>
      <c r="AW170">
        <f t="shared" si="104"/>
        <v>-31.672857790086262</v>
      </c>
      <c r="AX170">
        <f>IF(B170&gt;$AF$2,0,HLOOKUP(YEAR(A170),Assumptions!$A$34:$AL$37,2,TRUE)/100)</f>
        <v>1.9442999999999998E-2</v>
      </c>
      <c r="AY170" s="32">
        <f>1/(1+HLOOKUP(YEAR(A170),Assumptions!$A$27:$AL$29,3,TRUE))^(1/12)</f>
        <v>0.9984881294796899</v>
      </c>
      <c r="AZ170" s="30">
        <f t="shared" si="84"/>
        <v>9091.2408326801196</v>
      </c>
      <c r="BA170">
        <f>IF(B170&gt;$AF$2,0,IF($E$2=0,(T170*Z170+(1-T170)*AA170)*$J$2*Assumptions!$B$20,0))</f>
        <v>0</v>
      </c>
    </row>
    <row r="171" spans="1:53" x14ac:dyDescent="0.25">
      <c r="A171" s="17">
        <f t="shared" si="85"/>
        <v>47968</v>
      </c>
      <c r="B171">
        <f t="shared" si="77"/>
        <v>390</v>
      </c>
      <c r="C171">
        <f t="shared" si="78"/>
        <v>32.416666666666664</v>
      </c>
      <c r="D171">
        <f t="shared" si="106"/>
        <v>0</v>
      </c>
      <c r="E171">
        <f t="shared" si="79"/>
        <v>55</v>
      </c>
      <c r="F171">
        <f>IF(C171&gt;=$H$2,0,VLOOKUP($E171,'Mortality Table'!$A$3:$C$128,2+AB$2,FALSE))</f>
        <v>2.5233E-3</v>
      </c>
      <c r="G171">
        <f>F171*Assumptions!$B$1</f>
        <v>2.7314722500000003E-3</v>
      </c>
      <c r="H171">
        <f t="shared" si="86"/>
        <v>2.2790815227291539E-4</v>
      </c>
      <c r="I171">
        <f t="shared" si="107"/>
        <v>1.3876450337238117E-4</v>
      </c>
      <c r="J171">
        <f>HLOOKUP(C171,Assumptions!$A$6:$J$7,2,TRUE)</f>
        <v>3.5200000000000002E-2</v>
      </c>
      <c r="K171" s="18">
        <f t="shared" si="80"/>
        <v>1</v>
      </c>
      <c r="L171" s="18">
        <f t="shared" si="87"/>
        <v>8.3333333333333329E-2</v>
      </c>
      <c r="M171" s="18">
        <f t="shared" si="108"/>
        <v>2.9817501439168836E-3</v>
      </c>
      <c r="N171">
        <f t="shared" si="109"/>
        <v>1.817976411675136E-3</v>
      </c>
      <c r="O171" s="20">
        <f t="shared" si="110"/>
        <v>0.60781386807341931</v>
      </c>
      <c r="P171">
        <f>IF(B171&gt;$AF$2,0,O170*($E$2+IF(E171&lt;=Assumptions!$B$9,$D$2,0))/$I$2*K171)</f>
        <v>31.230418023692636</v>
      </c>
      <c r="Q171">
        <f t="shared" si="88"/>
        <v>26.1</v>
      </c>
      <c r="R171">
        <f>IF(B171&gt;$AF$2,0,IF($Y$2=1,(SUMIF('Mortality Tarif Male'!A:A,E172,'Mortality Tarif Male'!G:G)-SUMIF('Mortality Tarif Male'!A:A,$C$2+$H$2,'Mortality Tarif Male'!G:G)+SUMIF('Mortality Tarif Male'!A:A,$C$2+$H$2,'Mortality Tarif Male'!D:D))/SUMIF('Mortality Tarif Male'!A:A,E172,'Mortality Tarif Male'!D:D),(SUMIF('Mortality Tarif Female'!A:A,E172,'Mortality Tarif Female'!G:G)-SUMIF('Mortality Tarif Female'!A:A,$C$2+$H$2,'Mortality Tarif Female'!G:G)+SUMIF('Mortality Tarif Female'!A:A,$C$2+$H$2,'Mortality Tarif Female'!D:D))/SUMIF('Mortality Tarif Female'!A:A,E172,'Mortality Tarif Female'!D:D)))</f>
        <v>0.7627763526276059</v>
      </c>
      <c r="S171">
        <f>IF(B171&gt;=$AF$2,0,IF($Y$2=1,(SUMIF('Mortality Tarif Male'!A:A,E172+1,'Mortality Tarif Male'!G:G)-SUMIF('Mortality Tarif Male'!A:A,$C$2+$H$2,'Mortality Tarif Male'!G:G)+SUMIF('Mortality Tarif Male'!A:A,$C$2+$H$2,'Mortality Tarif Male'!D:D))/SUMIF('Mortality Tarif Male'!A:A,E172+1,'Mortality Tarif Male'!D:D),(SUMIF('Mortality Tarif Female'!A:A,E172+1,'Mortality Tarif Female'!G:G)-SUMIF('Mortality Tarif Female'!A:A,$C$2+$H$2,'Mortality Tarif Female'!G:G)+SUMIF('Mortality Tarif Female'!A:A,$C$2+$H$2,'Mortality Tarif Female'!D:D))/SUMIF('Mortality Tarif Female'!A:A,E172+1,'Mortality Tarif Female'!D:D)))</f>
        <v>0.78877560855592654</v>
      </c>
      <c r="T171">
        <f t="shared" si="89"/>
        <v>0.5</v>
      </c>
      <c r="U171">
        <f t="shared" si="90"/>
        <v>0.77577598059176622</v>
      </c>
      <c r="V171">
        <f t="shared" si="91"/>
        <v>15515.519611835325</v>
      </c>
      <c r="W171">
        <f t="shared" si="81"/>
        <v>20.247753093445098</v>
      </c>
      <c r="X171">
        <f t="shared" si="82"/>
        <v>0</v>
      </c>
      <c r="Y171">
        <f>IF(B171&gt;$AF$2,0,IF(X172=0,0,(1-X172)*($E$2+IF(E171&lt;=Assumptions!$B$9,$D$2,0))/$I$2*1/(1+$AG$2)*1/(1+Assumptions!$B$11)))</f>
        <v>0</v>
      </c>
      <c r="Z171">
        <f>IF(B171&gt;$AF$2,0,IF($Y$2=1,(SUMIF('Mortality Tarif Male'!A:A,E172,'Mortality Tarif Male'!E:E)-SUMIF('Mortality Tarif Male'!A:A,$C$2+$H$2,'Mortality Tarif Male'!E:E))/SUMIF('Mortality Tarif Male'!A:A,E172,'Mortality Tarif Male'!D:D),(SUMIF('Mortality Tarif Female'!A:A,E172,'Mortality Tarif Female'!E:E)-SUMIF('Mortality Tarif Female'!A:A,$C$2+$H$2,'Mortality Tarif Female'!E:E))/SUMIF('Mortality Tarif Female'!A:A,E172,'Mortality Tarif Female'!D:D)))</f>
        <v>7.0291511000354383</v>
      </c>
      <c r="AA171">
        <f>IF(B171&gt;=$AF$2,0,IF($Y$2=1,(SUMIF('Mortality Tarif Male'!A:A,E172+1,'Mortality Tarif Male'!E:E)-SUMIF('Mortality Tarif Male'!A:A,$C$2+$H$2,'Mortality Tarif Male'!E:E))/SUMIF('Mortality Tarif Male'!A:A,E172+1,'Mortality Tarif Male'!D:D),(SUMIF('Mortality Tarif Female'!A:A,E172+1,'Mortality Tarif Female'!E:E)-SUMIF('Mortality Tarif Female'!A:A,$C$2+$H$2,'Mortality Tarif Female'!E:E))/SUMIF('Mortality Tarif Female'!A:A,E172+1,'Mortality Tarif Female'!D:D)))</f>
        <v>6.2592831798688557</v>
      </c>
      <c r="AB171">
        <f t="shared" si="76"/>
        <v>1600.0920107725137</v>
      </c>
      <c r="AC171">
        <f>IF(B171&gt;=$AF$2,0,MIN(1/3*(V171+W171+Y171-AB171),(V171-AB171),(T171*Z171+(1-T171)*AA171)*$AH$2*Assumptions!$B$22))</f>
        <v>173.18803741347568</v>
      </c>
      <c r="AD171">
        <f t="shared" si="92"/>
        <v>13762.48731674278</v>
      </c>
      <c r="AE171">
        <f t="shared" si="93"/>
        <v>13935.675354156256</v>
      </c>
      <c r="AF171">
        <f t="shared" si="94"/>
        <v>13762.48731674278</v>
      </c>
      <c r="AG171" s="26">
        <f t="shared" si="105"/>
        <v>0</v>
      </c>
      <c r="AH171" s="27">
        <f>IF(B171&gt;$AF$2,0,HLOOKUP(YEAR(A171),Assumptions!$A$34:$AL$37,4,TRUE)/100)</f>
        <v>1.3443E-2</v>
      </c>
      <c r="AI171">
        <f t="shared" si="95"/>
        <v>0</v>
      </c>
      <c r="AJ171">
        <f t="shared" si="96"/>
        <v>2.7789118209856425</v>
      </c>
      <c r="AK171">
        <f t="shared" si="97"/>
        <v>25.019877307816611</v>
      </c>
      <c r="AL171">
        <f>IF(E171&gt;Assumptions!$B$9,0,SUMPRODUCT($P$2:$X$2,Assumptions!$A$43:$I$43)/$I$2*O170*K171)</f>
        <v>3.415605675424537</v>
      </c>
      <c r="AM171">
        <f t="shared" si="98"/>
        <v>0</v>
      </c>
      <c r="AN171">
        <f t="shared" si="99"/>
        <v>31.214394804226789</v>
      </c>
      <c r="AO171">
        <f>IF(E171&gt;Assumptions!$B$9,0,($V$2+$X$2)/$I$2*O170*K171*Assumptions!$B$46)</f>
        <v>0</v>
      </c>
      <c r="AP171">
        <f>IF(B171&gt;$AF$2,0,AP170*(1+Assumptions!$B$52)^(1/12))</f>
        <v>1.1418743490082222</v>
      </c>
      <c r="AQ171" s="29">
        <f>IF(B171&gt;$AF$2,0,O170*Assumptions!$B$48/12*AP170+AR171*Assumptions!$B$50/12)</f>
        <v>10.925299959429548</v>
      </c>
      <c r="AR171" s="31">
        <f t="shared" si="100"/>
        <v>8332.2111834485349</v>
      </c>
      <c r="AS171">
        <f t="shared" si="83"/>
        <v>8365.0306503008014</v>
      </c>
      <c r="AT171">
        <f t="shared" si="101"/>
        <v>12.237321810514098</v>
      </c>
      <c r="AU171" s="19">
        <f t="shared" si="102"/>
        <v>8340.2789797022833</v>
      </c>
      <c r="AV171" s="19">
        <f t="shared" si="103"/>
        <v>8363.8840412386216</v>
      </c>
      <c r="AW171">
        <f t="shared" si="104"/>
        <v>-42.290332179592497</v>
      </c>
      <c r="AX171">
        <f>IF(B171&gt;$AF$2,0,HLOOKUP(YEAR(A171),Assumptions!$A$34:$AL$37,2,TRUE)/100)</f>
        <v>1.9442999999999998E-2</v>
      </c>
      <c r="AY171" s="32">
        <f>1/(1+HLOOKUP(YEAR(A171),Assumptions!$A$27:$AL$29,3,TRUE))^(1/12)</f>
        <v>0.9984881294796899</v>
      </c>
      <c r="AZ171" s="30">
        <f t="shared" si="84"/>
        <v>9094.0971467390482</v>
      </c>
      <c r="BA171">
        <f>IF(B171&gt;$AF$2,0,IF($E$2=0,(T171*Z171+(1-T171)*AA171)*$J$2*Assumptions!$B$20,0))</f>
        <v>0</v>
      </c>
    </row>
    <row r="172" spans="1:53" x14ac:dyDescent="0.25">
      <c r="A172" s="17">
        <f t="shared" si="85"/>
        <v>47999</v>
      </c>
      <c r="B172">
        <f t="shared" si="77"/>
        <v>391</v>
      </c>
      <c r="C172">
        <f t="shared" si="78"/>
        <v>32.5</v>
      </c>
      <c r="D172">
        <f t="shared" si="106"/>
        <v>0</v>
      </c>
      <c r="E172">
        <f t="shared" si="79"/>
        <v>55</v>
      </c>
      <c r="F172">
        <f>IF(C172&gt;=$H$2,0,VLOOKUP($E172,'Mortality Table'!$A$3:$C$128,2+AB$2,FALSE))</f>
        <v>2.5233E-3</v>
      </c>
      <c r="G172">
        <f>F172*Assumptions!$B$1</f>
        <v>2.7314722500000003E-3</v>
      </c>
      <c r="H172">
        <f t="shared" si="86"/>
        <v>2.2790815227291539E-4</v>
      </c>
      <c r="I172">
        <f t="shared" si="107"/>
        <v>1.3831921103243808E-4</v>
      </c>
      <c r="J172">
        <f>HLOOKUP(C172,Assumptions!$A$6:$J$7,2,TRUE)</f>
        <v>3.5200000000000002E-2</v>
      </c>
      <c r="K172" s="18">
        <f t="shared" si="80"/>
        <v>1</v>
      </c>
      <c r="L172" s="18">
        <f t="shared" si="87"/>
        <v>8.3333333333333329E-2</v>
      </c>
      <c r="M172" s="18">
        <f t="shared" si="108"/>
        <v>2.9817501439168836E-3</v>
      </c>
      <c r="N172">
        <f t="shared" si="109"/>
        <v>1.8121425640365673E-3</v>
      </c>
      <c r="O172" s="20">
        <f t="shared" si="110"/>
        <v>0.60586340629835023</v>
      </c>
      <c r="P172">
        <f>IF(B172&gt;$AF$2,0,O171*($E$2+IF(E172&lt;=Assumptions!$B$9,$D$2,0))/$I$2*K172)</f>
        <v>31.130200276493621</v>
      </c>
      <c r="Q172">
        <f t="shared" si="88"/>
        <v>26.1</v>
      </c>
      <c r="R172">
        <f>IF(B172&gt;$AF$2,0,IF($Y$2=1,(SUMIF('Mortality Tarif Male'!A:A,E173,'Mortality Tarif Male'!G:G)-SUMIF('Mortality Tarif Male'!A:A,$C$2+$H$2,'Mortality Tarif Male'!G:G)+SUMIF('Mortality Tarif Male'!A:A,$C$2+$H$2,'Mortality Tarif Male'!D:D))/SUMIF('Mortality Tarif Male'!A:A,E173,'Mortality Tarif Male'!D:D),(SUMIF('Mortality Tarif Female'!A:A,E173,'Mortality Tarif Female'!G:G)-SUMIF('Mortality Tarif Female'!A:A,$C$2+$H$2,'Mortality Tarif Female'!G:G)+SUMIF('Mortality Tarif Female'!A:A,$C$2+$H$2,'Mortality Tarif Female'!D:D))/SUMIF('Mortality Tarif Female'!A:A,E173,'Mortality Tarif Female'!D:D)))</f>
        <v>0.7627763526276059</v>
      </c>
      <c r="S172">
        <f>IF(B172&gt;=$AF$2,0,IF($Y$2=1,(SUMIF('Mortality Tarif Male'!A:A,E173+1,'Mortality Tarif Male'!G:G)-SUMIF('Mortality Tarif Male'!A:A,$C$2+$H$2,'Mortality Tarif Male'!G:G)+SUMIF('Mortality Tarif Male'!A:A,$C$2+$H$2,'Mortality Tarif Male'!D:D))/SUMIF('Mortality Tarif Male'!A:A,E173+1,'Mortality Tarif Male'!D:D),(SUMIF('Mortality Tarif Female'!A:A,E173+1,'Mortality Tarif Female'!G:G)-SUMIF('Mortality Tarif Female'!A:A,$C$2+$H$2,'Mortality Tarif Female'!G:G)+SUMIF('Mortality Tarif Female'!A:A,$C$2+$H$2,'Mortality Tarif Female'!D:D))/SUMIF('Mortality Tarif Female'!A:A,E173+1,'Mortality Tarif Female'!D:D)))</f>
        <v>0.78877560855592654</v>
      </c>
      <c r="T172">
        <f t="shared" si="89"/>
        <v>0.4166666666666643</v>
      </c>
      <c r="U172">
        <f t="shared" si="90"/>
        <v>0.77794258525245974</v>
      </c>
      <c r="V172">
        <f t="shared" si="91"/>
        <v>15558.851705049196</v>
      </c>
      <c r="W172">
        <f t="shared" si="81"/>
        <v>20.304301475089201</v>
      </c>
      <c r="X172">
        <f t="shared" si="82"/>
        <v>0</v>
      </c>
      <c r="Y172">
        <f>IF(B172&gt;$AF$2,0,IF(X173=0,0,(1-X173)*($E$2+IF(E172&lt;=Assumptions!$B$9,$D$2,0))/$I$2*1/(1+$AG$2)*1/(1+Assumptions!$B$11)))</f>
        <v>0</v>
      </c>
      <c r="Z172">
        <f>IF(B172&gt;$AF$2,0,IF($Y$2=1,(SUMIF('Mortality Tarif Male'!A:A,E173,'Mortality Tarif Male'!E:E)-SUMIF('Mortality Tarif Male'!A:A,$C$2+$H$2,'Mortality Tarif Male'!E:E))/SUMIF('Mortality Tarif Male'!A:A,E173,'Mortality Tarif Male'!D:D),(SUMIF('Mortality Tarif Female'!A:A,E173,'Mortality Tarif Female'!E:E)-SUMIF('Mortality Tarif Female'!A:A,$C$2+$H$2,'Mortality Tarif Female'!E:E))/SUMIF('Mortality Tarif Female'!A:A,E173,'Mortality Tarif Female'!D:D)))</f>
        <v>7.0291511000354383</v>
      </c>
      <c r="AA172">
        <f>IF(B172&gt;=$AF$2,0,IF($Y$2=1,(SUMIF('Mortality Tarif Male'!A:A,E173+1,'Mortality Tarif Male'!E:E)-SUMIF('Mortality Tarif Male'!A:A,$C$2+$H$2,'Mortality Tarif Male'!E:E))/SUMIF('Mortality Tarif Male'!A:A,E173+1,'Mortality Tarif Male'!D:D),(SUMIF('Mortality Tarif Female'!A:A,E173+1,'Mortality Tarif Female'!E:E)-SUMIF('Mortality Tarif Female'!A:A,$C$2+$H$2,'Mortality Tarif Female'!E:E))/SUMIF('Mortality Tarif Female'!A:A,E173+1,'Mortality Tarif Female'!D:D)))</f>
        <v>6.2592831798688557</v>
      </c>
      <c r="AB172">
        <f t="shared" si="76"/>
        <v>1584.6417392248275</v>
      </c>
      <c r="AC172">
        <f>IF(B172&gt;=$AF$2,0,MIN(1/3*(V172+W172+Y172-AB172),(V172-AB172),(T172*Z172+(1-T172)*AA172)*$AH$2*Assumptions!$B$22))</f>
        <v>171.5157572015664</v>
      </c>
      <c r="AD172">
        <f t="shared" si="92"/>
        <v>13822.99851009789</v>
      </c>
      <c r="AE172">
        <f t="shared" si="93"/>
        <v>13994.514267299457</v>
      </c>
      <c r="AF172">
        <f t="shared" si="94"/>
        <v>13822.99851009789</v>
      </c>
      <c r="AG172" s="26">
        <f t="shared" si="105"/>
        <v>0</v>
      </c>
      <c r="AH172" s="27">
        <f>IF(B172&gt;$AF$2,0,HLOOKUP(YEAR(A172),Assumptions!$A$34:$AL$37,4,TRUE)/100)</f>
        <v>1.3443E-2</v>
      </c>
      <c r="AI172">
        <f t="shared" si="95"/>
        <v>0</v>
      </c>
      <c r="AJ172">
        <f t="shared" si="96"/>
        <v>2.7699943520567079</v>
      </c>
      <c r="AK172">
        <f t="shared" si="97"/>
        <v>25.049243962762439</v>
      </c>
      <c r="AL172">
        <f>IF(E172&gt;Assumptions!$B$9,0,SUMPRODUCT($P$2:$X$2,Assumptions!$A$43:$I$43)/$I$2*O171*K172)</f>
        <v>3.4046450694585348</v>
      </c>
      <c r="AM172">
        <f t="shared" si="98"/>
        <v>0</v>
      </c>
      <c r="AN172">
        <f t="shared" si="99"/>
        <v>31.223883384277681</v>
      </c>
      <c r="AO172">
        <f>IF(E172&gt;Assumptions!$B$9,0,($V$2+$X$2)/$I$2*O171*K172*Assumptions!$B$46)</f>
        <v>0</v>
      </c>
      <c r="AP172">
        <f>IF(B172&gt;$AF$2,0,AP171*(1+Assumptions!$B$52)^(1/12))</f>
        <v>1.1428215773025188</v>
      </c>
      <c r="AQ172" s="29">
        <f>IF(B172&gt;$AF$2,0,O171*Assumptions!$B$48/12*AP171+AR172*Assumptions!$B$50/12)</f>
        <v>10.903907699082097</v>
      </c>
      <c r="AR172" s="31">
        <f t="shared" si="100"/>
        <v>8331.5337255568502</v>
      </c>
      <c r="AS172">
        <f t="shared" si="83"/>
        <v>8374.848962584927</v>
      </c>
      <c r="AT172">
        <f t="shared" si="101"/>
        <v>12.198052505099463</v>
      </c>
      <c r="AU172" s="19">
        <f t="shared" si="102"/>
        <v>8339.5619656291601</v>
      </c>
      <c r="AV172" s="19">
        <f t="shared" si="103"/>
        <v>8373.8240577364431</v>
      </c>
      <c r="AW172">
        <f t="shared" si="104"/>
        <v>-52.937494865867578</v>
      </c>
      <c r="AX172">
        <f>IF(B172&gt;$AF$2,0,HLOOKUP(YEAR(A172),Assumptions!$A$34:$AL$37,2,TRUE)/100)</f>
        <v>1.9442999999999998E-2</v>
      </c>
      <c r="AY172" s="32">
        <f>1/(1+HLOOKUP(YEAR(A172),Assumptions!$A$27:$AL$29,3,TRUE))^(1/12)</f>
        <v>0.9984881294796899</v>
      </c>
      <c r="AZ172" s="30">
        <f t="shared" si="84"/>
        <v>9096.8694716468071</v>
      </c>
      <c r="BA172">
        <f>IF(B172&gt;$AF$2,0,IF($E$2=0,(T172*Z172+(1-T172)*AA172)*$J$2*Assumptions!$B$20,0))</f>
        <v>0</v>
      </c>
    </row>
    <row r="173" spans="1:53" x14ac:dyDescent="0.25">
      <c r="A173" s="17">
        <f t="shared" si="85"/>
        <v>48029</v>
      </c>
      <c r="B173">
        <f t="shared" si="77"/>
        <v>392</v>
      </c>
      <c r="C173">
        <f t="shared" si="78"/>
        <v>32.583333333333336</v>
      </c>
      <c r="D173">
        <f t="shared" si="106"/>
        <v>0</v>
      </c>
      <c r="E173">
        <f t="shared" si="79"/>
        <v>55</v>
      </c>
      <c r="F173">
        <f>IF(C173&gt;=$H$2,0,VLOOKUP($E173,'Mortality Table'!$A$3:$C$128,2+AB$2,FALSE))</f>
        <v>2.5233E-3</v>
      </c>
      <c r="G173">
        <f>F173*Assumptions!$B$1</f>
        <v>2.7314722500000003E-3</v>
      </c>
      <c r="H173">
        <f t="shared" si="86"/>
        <v>2.2790815227291539E-4</v>
      </c>
      <c r="I173">
        <f t="shared" si="107"/>
        <v>1.3787534762614296E-4</v>
      </c>
      <c r="J173">
        <f>HLOOKUP(C173,Assumptions!$A$6:$J$7,2,TRUE)</f>
        <v>3.5200000000000002E-2</v>
      </c>
      <c r="K173" s="18">
        <f t="shared" si="80"/>
        <v>1</v>
      </c>
      <c r="L173" s="18">
        <f t="shared" si="87"/>
        <v>8.3333333333333329E-2</v>
      </c>
      <c r="M173" s="18">
        <f t="shared" si="108"/>
        <v>2.9817501439168836E-3</v>
      </c>
      <c r="N173">
        <f t="shared" si="109"/>
        <v>1.8063274370909905E-3</v>
      </c>
      <c r="O173" s="20">
        <f t="shared" si="110"/>
        <v>0.60391920351363315</v>
      </c>
      <c r="P173">
        <f>IF(B173&gt;$AF$2,0,O172*($E$2+IF(E173&lt;=Assumptions!$B$9,$D$2,0))/$I$2*K173)</f>
        <v>31.030304125913833</v>
      </c>
      <c r="Q173">
        <f t="shared" si="88"/>
        <v>26.1</v>
      </c>
      <c r="R173">
        <f>IF(B173&gt;$AF$2,0,IF($Y$2=1,(SUMIF('Mortality Tarif Male'!A:A,E174,'Mortality Tarif Male'!G:G)-SUMIF('Mortality Tarif Male'!A:A,$C$2+$H$2,'Mortality Tarif Male'!G:G)+SUMIF('Mortality Tarif Male'!A:A,$C$2+$H$2,'Mortality Tarif Male'!D:D))/SUMIF('Mortality Tarif Male'!A:A,E174,'Mortality Tarif Male'!D:D),(SUMIF('Mortality Tarif Female'!A:A,E174,'Mortality Tarif Female'!G:G)-SUMIF('Mortality Tarif Female'!A:A,$C$2+$H$2,'Mortality Tarif Female'!G:G)+SUMIF('Mortality Tarif Female'!A:A,$C$2+$H$2,'Mortality Tarif Female'!D:D))/SUMIF('Mortality Tarif Female'!A:A,E174,'Mortality Tarif Female'!D:D)))</f>
        <v>0.7627763526276059</v>
      </c>
      <c r="S173">
        <f>IF(B173&gt;=$AF$2,0,IF($Y$2=1,(SUMIF('Mortality Tarif Male'!A:A,E174+1,'Mortality Tarif Male'!G:G)-SUMIF('Mortality Tarif Male'!A:A,$C$2+$H$2,'Mortality Tarif Male'!G:G)+SUMIF('Mortality Tarif Male'!A:A,$C$2+$H$2,'Mortality Tarif Male'!D:D))/SUMIF('Mortality Tarif Male'!A:A,E174+1,'Mortality Tarif Male'!D:D),(SUMIF('Mortality Tarif Female'!A:A,E174+1,'Mortality Tarif Female'!G:G)-SUMIF('Mortality Tarif Female'!A:A,$C$2+$H$2,'Mortality Tarif Female'!G:G)+SUMIF('Mortality Tarif Female'!A:A,$C$2+$H$2,'Mortality Tarif Female'!D:D))/SUMIF('Mortality Tarif Female'!A:A,E174+1,'Mortality Tarif Female'!D:D)))</f>
        <v>0.78877560855592654</v>
      </c>
      <c r="T173">
        <f t="shared" si="89"/>
        <v>0.3333333333333357</v>
      </c>
      <c r="U173">
        <f t="shared" si="90"/>
        <v>0.78010918991315292</v>
      </c>
      <c r="V173">
        <f t="shared" si="91"/>
        <v>15602.183798263059</v>
      </c>
      <c r="W173">
        <f t="shared" si="81"/>
        <v>20.360849856733292</v>
      </c>
      <c r="X173">
        <f t="shared" si="82"/>
        <v>0</v>
      </c>
      <c r="Y173">
        <f>IF(B173&gt;$AF$2,0,IF(X174=0,0,(1-X174)*($E$2+IF(E173&lt;=Assumptions!$B$9,$D$2,0))/$I$2*1/(1+$AG$2)*1/(1+Assumptions!$B$11)))</f>
        <v>0</v>
      </c>
      <c r="Z173">
        <f>IF(B173&gt;$AF$2,0,IF($Y$2=1,(SUMIF('Mortality Tarif Male'!A:A,E174,'Mortality Tarif Male'!E:E)-SUMIF('Mortality Tarif Male'!A:A,$C$2+$H$2,'Mortality Tarif Male'!E:E))/SUMIF('Mortality Tarif Male'!A:A,E174,'Mortality Tarif Male'!D:D),(SUMIF('Mortality Tarif Female'!A:A,E174,'Mortality Tarif Female'!E:E)-SUMIF('Mortality Tarif Female'!A:A,$C$2+$H$2,'Mortality Tarif Female'!E:E))/SUMIF('Mortality Tarif Female'!A:A,E174,'Mortality Tarif Female'!D:D)))</f>
        <v>7.0291511000354383</v>
      </c>
      <c r="AA173">
        <f>IF(B173&gt;=$AF$2,0,IF($Y$2=1,(SUMIF('Mortality Tarif Male'!A:A,E174+1,'Mortality Tarif Male'!E:E)-SUMIF('Mortality Tarif Male'!A:A,$C$2+$H$2,'Mortality Tarif Male'!E:E))/SUMIF('Mortality Tarif Male'!A:A,E174+1,'Mortality Tarif Male'!D:D),(SUMIF('Mortality Tarif Female'!A:A,E174+1,'Mortality Tarif Female'!E:E)-SUMIF('Mortality Tarif Female'!A:A,$C$2+$H$2,'Mortality Tarif Female'!E:E))/SUMIF('Mortality Tarif Female'!A:A,E174+1,'Mortality Tarif Female'!D:D)))</f>
        <v>6.2592831798688557</v>
      </c>
      <c r="AB173">
        <f t="shared" si="76"/>
        <v>1569.1914676771421</v>
      </c>
      <c r="AC173">
        <f>IF(B173&gt;=$AF$2,0,MIN(1/3*(V173+W173+Y173-AB173),(V173-AB173),(T173*Z173+(1-T173)*AA173)*$AH$2*Assumptions!$B$22))</f>
        <v>169.84347698965718</v>
      </c>
      <c r="AD173">
        <f t="shared" si="92"/>
        <v>13883.509703452992</v>
      </c>
      <c r="AE173">
        <f t="shared" si="93"/>
        <v>14053.353180442649</v>
      </c>
      <c r="AF173">
        <f t="shared" si="94"/>
        <v>13883.509703452992</v>
      </c>
      <c r="AG173" s="26">
        <f t="shared" si="105"/>
        <v>0</v>
      </c>
      <c r="AH173" s="27">
        <f>IF(B173&gt;$AF$2,0,HLOOKUP(YEAR(A173),Assumptions!$A$34:$AL$37,4,TRUE)/100)</f>
        <v>1.3443E-2</v>
      </c>
      <c r="AI173">
        <f t="shared" si="95"/>
        <v>0</v>
      </c>
      <c r="AJ173">
        <f t="shared" si="96"/>
        <v>2.7611054990959012</v>
      </c>
      <c r="AK173">
        <f t="shared" si="97"/>
        <v>25.078164500466141</v>
      </c>
      <c r="AL173">
        <f>IF(E173&gt;Assumptions!$B$9,0,SUMPRODUCT($P$2:$X$2,Assumptions!$A$43:$I$43)/$I$2*O172*K173)</f>
        <v>3.3937196358439565</v>
      </c>
      <c r="AM173">
        <f t="shared" si="98"/>
        <v>0</v>
      </c>
      <c r="AN173">
        <f t="shared" si="99"/>
        <v>31.232989635406</v>
      </c>
      <c r="AO173">
        <f>IF(E173&gt;Assumptions!$B$9,0,($V$2+$X$2)/$I$2*O172*K173*Assumptions!$B$46)</f>
        <v>0</v>
      </c>
      <c r="AP173">
        <f>IF(B173&gt;$AF$2,0,AP172*(1+Assumptions!$B$52)^(1/12))</f>
        <v>1.1437695913587884</v>
      </c>
      <c r="AQ173" s="29">
        <f>IF(B173&gt;$AF$2,0,O172*Assumptions!$B$48/12*AP172+AR173*Assumptions!$B$50/12)</f>
        <v>10.882522601459019</v>
      </c>
      <c r="AR173" s="31">
        <f t="shared" si="100"/>
        <v>8330.6766572972665</v>
      </c>
      <c r="AS173">
        <f t="shared" si="83"/>
        <v>8384.5181220831273</v>
      </c>
      <c r="AT173">
        <f t="shared" si="101"/>
        <v>12.158909214050684</v>
      </c>
      <c r="AU173" s="19">
        <f t="shared" si="102"/>
        <v>8338.6655296076697</v>
      </c>
      <c r="AV173" s="19">
        <f t="shared" si="103"/>
        <v>8383.6141521631343</v>
      </c>
      <c r="AW173">
        <f t="shared" si="104"/>
        <v>-63.614203587360677</v>
      </c>
      <c r="AX173">
        <f>IF(B173&gt;$AF$2,0,HLOOKUP(YEAR(A173),Assumptions!$A$34:$AL$37,2,TRUE)/100)</f>
        <v>1.9442999999999998E-2</v>
      </c>
      <c r="AY173" s="32">
        <f>1/(1+HLOOKUP(YEAR(A173),Assumptions!$A$27:$AL$29,3,TRUE))^(1/12)</f>
        <v>0.9984881294796899</v>
      </c>
      <c r="AZ173" s="30">
        <f t="shared" si="84"/>
        <v>9099.5583769932273</v>
      </c>
      <c r="BA173">
        <f>IF(B173&gt;$AF$2,0,IF($E$2=0,(T173*Z173+(1-T173)*AA173)*$J$2*Assumptions!$B$20,0))</f>
        <v>0</v>
      </c>
    </row>
    <row r="174" spans="1:53" x14ac:dyDescent="0.25">
      <c r="A174" s="17">
        <f t="shared" si="85"/>
        <v>48060</v>
      </c>
      <c r="B174">
        <f t="shared" si="77"/>
        <v>393</v>
      </c>
      <c r="C174">
        <f t="shared" si="78"/>
        <v>32.666666666666664</v>
      </c>
      <c r="D174">
        <f t="shared" si="106"/>
        <v>0</v>
      </c>
      <c r="E174">
        <f t="shared" si="79"/>
        <v>55</v>
      </c>
      <c r="F174">
        <f>IF(C174&gt;=$H$2,0,VLOOKUP($E174,'Mortality Table'!$A$3:$C$128,2+AB$2,FALSE))</f>
        <v>2.5233E-3</v>
      </c>
      <c r="G174">
        <f>F174*Assumptions!$B$1</f>
        <v>2.7314722500000003E-3</v>
      </c>
      <c r="H174">
        <f t="shared" si="86"/>
        <v>2.2790815227291539E-4</v>
      </c>
      <c r="I174">
        <f t="shared" si="107"/>
        <v>1.3743290856807816E-4</v>
      </c>
      <c r="J174">
        <f>HLOOKUP(C174,Assumptions!$A$6:$J$7,2,TRUE)</f>
        <v>3.5200000000000002E-2</v>
      </c>
      <c r="K174" s="18">
        <f t="shared" si="80"/>
        <v>1</v>
      </c>
      <c r="L174" s="18">
        <f t="shared" si="87"/>
        <v>8.3333333333333329E-2</v>
      </c>
      <c r="M174" s="18">
        <f t="shared" si="108"/>
        <v>2.9817501439168836E-3</v>
      </c>
      <c r="N174">
        <f t="shared" si="109"/>
        <v>1.8005309707641007E-3</v>
      </c>
      <c r="O174" s="20">
        <f t="shared" si="110"/>
        <v>0.60198123963430106</v>
      </c>
      <c r="P174">
        <f>IF(B174&gt;$AF$2,0,O173*($E$2+IF(E174&lt;=Assumptions!$B$9,$D$2,0))/$I$2*K174)</f>
        <v>30.930728539956576</v>
      </c>
      <c r="Q174">
        <f t="shared" si="88"/>
        <v>26.1</v>
      </c>
      <c r="R174">
        <f>IF(B174&gt;$AF$2,0,IF($Y$2=1,(SUMIF('Mortality Tarif Male'!A:A,E175,'Mortality Tarif Male'!G:G)-SUMIF('Mortality Tarif Male'!A:A,$C$2+$H$2,'Mortality Tarif Male'!G:G)+SUMIF('Mortality Tarif Male'!A:A,$C$2+$H$2,'Mortality Tarif Male'!D:D))/SUMIF('Mortality Tarif Male'!A:A,E175,'Mortality Tarif Male'!D:D),(SUMIF('Mortality Tarif Female'!A:A,E175,'Mortality Tarif Female'!G:G)-SUMIF('Mortality Tarif Female'!A:A,$C$2+$H$2,'Mortality Tarif Female'!G:G)+SUMIF('Mortality Tarif Female'!A:A,$C$2+$H$2,'Mortality Tarif Female'!D:D))/SUMIF('Mortality Tarif Female'!A:A,E175,'Mortality Tarif Female'!D:D)))</f>
        <v>0.7627763526276059</v>
      </c>
      <c r="S174">
        <f>IF(B174&gt;=$AF$2,0,IF($Y$2=1,(SUMIF('Mortality Tarif Male'!A:A,E175+1,'Mortality Tarif Male'!G:G)-SUMIF('Mortality Tarif Male'!A:A,$C$2+$H$2,'Mortality Tarif Male'!G:G)+SUMIF('Mortality Tarif Male'!A:A,$C$2+$H$2,'Mortality Tarif Male'!D:D))/SUMIF('Mortality Tarif Male'!A:A,E175+1,'Mortality Tarif Male'!D:D),(SUMIF('Mortality Tarif Female'!A:A,E175+1,'Mortality Tarif Female'!G:G)-SUMIF('Mortality Tarif Female'!A:A,$C$2+$H$2,'Mortality Tarif Female'!G:G)+SUMIF('Mortality Tarif Female'!A:A,$C$2+$H$2,'Mortality Tarif Female'!D:D))/SUMIF('Mortality Tarif Female'!A:A,E175+1,'Mortality Tarif Female'!D:D)))</f>
        <v>0.78877560855592654</v>
      </c>
      <c r="T174">
        <f t="shared" si="89"/>
        <v>0.25</v>
      </c>
      <c r="U174">
        <f t="shared" si="90"/>
        <v>0.78227579457384633</v>
      </c>
      <c r="V174">
        <f t="shared" si="91"/>
        <v>15645.515891476927</v>
      </c>
      <c r="W174">
        <f t="shared" si="81"/>
        <v>20.417398238377391</v>
      </c>
      <c r="X174">
        <f t="shared" si="82"/>
        <v>0</v>
      </c>
      <c r="Y174">
        <f>IF(B174&gt;$AF$2,0,IF(X175=0,0,(1-X175)*($E$2+IF(E174&lt;=Assumptions!$B$9,$D$2,0))/$I$2*1/(1+$AG$2)*1/(1+Assumptions!$B$11)))</f>
        <v>0</v>
      </c>
      <c r="Z174">
        <f>IF(B174&gt;$AF$2,0,IF($Y$2=1,(SUMIF('Mortality Tarif Male'!A:A,E175,'Mortality Tarif Male'!E:E)-SUMIF('Mortality Tarif Male'!A:A,$C$2+$H$2,'Mortality Tarif Male'!E:E))/SUMIF('Mortality Tarif Male'!A:A,E175,'Mortality Tarif Male'!D:D),(SUMIF('Mortality Tarif Female'!A:A,E175,'Mortality Tarif Female'!E:E)-SUMIF('Mortality Tarif Female'!A:A,$C$2+$H$2,'Mortality Tarif Female'!E:E))/SUMIF('Mortality Tarif Female'!A:A,E175,'Mortality Tarif Female'!D:D)))</f>
        <v>7.0291511000354383</v>
      </c>
      <c r="AA174">
        <f>IF(B174&gt;=$AF$2,0,IF($Y$2=1,(SUMIF('Mortality Tarif Male'!A:A,E175+1,'Mortality Tarif Male'!E:E)-SUMIF('Mortality Tarif Male'!A:A,$C$2+$H$2,'Mortality Tarif Male'!E:E))/SUMIF('Mortality Tarif Male'!A:A,E175+1,'Mortality Tarif Male'!D:D),(SUMIF('Mortality Tarif Female'!A:A,E175+1,'Mortality Tarif Female'!E:E)-SUMIF('Mortality Tarif Female'!A:A,$C$2+$H$2,'Mortality Tarif Female'!E:E))/SUMIF('Mortality Tarif Female'!A:A,E175+1,'Mortality Tarif Female'!D:D)))</f>
        <v>6.2592831798688557</v>
      </c>
      <c r="AB174">
        <f t="shared" si="76"/>
        <v>1553.7411961294558</v>
      </c>
      <c r="AC174">
        <f>IF(B174&gt;=$AF$2,0,MIN(1/3*(V174+W174+Y174-AB174),(V174-AB174),(T174*Z174+(1-T174)*AA174)*$AH$2*Assumptions!$B$22))</f>
        <v>168.17119677774789</v>
      </c>
      <c r="AD174">
        <f t="shared" si="92"/>
        <v>13944.020896808101</v>
      </c>
      <c r="AE174">
        <f t="shared" si="93"/>
        <v>14112.192093585849</v>
      </c>
      <c r="AF174">
        <f t="shared" si="94"/>
        <v>13944.020896808101</v>
      </c>
      <c r="AG174" s="26">
        <f t="shared" si="105"/>
        <v>0</v>
      </c>
      <c r="AH174" s="27">
        <f>IF(B174&gt;$AF$2,0,HLOOKUP(YEAR(A174),Assumptions!$A$34:$AL$37,4,TRUE)/100)</f>
        <v>1.3443E-2</v>
      </c>
      <c r="AI174">
        <f t="shared" si="95"/>
        <v>0</v>
      </c>
      <c r="AJ174">
        <f t="shared" si="96"/>
        <v>2.7522451702751898</v>
      </c>
      <c r="AK174">
        <f t="shared" si="97"/>
        <v>25.106641481684797</v>
      </c>
      <c r="AL174">
        <f>IF(E174&gt;Assumptions!$B$9,0,SUMPRODUCT($P$2:$X$2,Assumptions!$A$43:$I$43)/$I$2*O173*K174)</f>
        <v>3.3828292617134754</v>
      </c>
      <c r="AM174">
        <f t="shared" si="98"/>
        <v>0</v>
      </c>
      <c r="AN174">
        <f t="shared" si="99"/>
        <v>31.24171591367346</v>
      </c>
      <c r="AO174">
        <f>IF(E174&gt;Assumptions!$B$9,0,($V$2+$X$2)/$I$2*O173*K174*Assumptions!$B$46)</f>
        <v>0</v>
      </c>
      <c r="AP174">
        <f>IF(B174&gt;$AF$2,0,AP173*(1+Assumptions!$B$52)^(1/12))</f>
        <v>1.1447183918288506</v>
      </c>
      <c r="AQ174" s="29">
        <f>IF(B174&gt;$AF$2,0,O173*Assumptions!$B$48/12*AP173+AR174*Assumptions!$B$50/12)</f>
        <v>10.861144788274313</v>
      </c>
      <c r="AR174" s="31">
        <f t="shared" si="100"/>
        <v>8329.6409807670443</v>
      </c>
      <c r="AS174">
        <f t="shared" si="83"/>
        <v>8394.0389849471394</v>
      </c>
      <c r="AT174">
        <f t="shared" si="101"/>
        <v>12.119891532990346</v>
      </c>
      <c r="AU174" s="19">
        <f t="shared" si="102"/>
        <v>8337.5906729857379</v>
      </c>
      <c r="AV174" s="19">
        <f t="shared" si="103"/>
        <v>8393.2551843544043</v>
      </c>
      <c r="AW174">
        <f t="shared" si="104"/>
        <v>-74.320316942869255</v>
      </c>
      <c r="AX174">
        <f>IF(B174&gt;$AF$2,0,HLOOKUP(YEAR(A174),Assumptions!$A$34:$AL$37,2,TRUE)/100)</f>
        <v>1.9442999999999998E-2</v>
      </c>
      <c r="AY174" s="32">
        <f>1/(1+HLOOKUP(YEAR(A174),Assumptions!$A$27:$AL$29,3,TRUE))^(1/12)</f>
        <v>0.9984881294796899</v>
      </c>
      <c r="AZ174" s="30">
        <f t="shared" si="84"/>
        <v>9102.1644297208131</v>
      </c>
      <c r="BA174">
        <f>IF(B174&gt;$AF$2,0,IF($E$2=0,(T174*Z174+(1-T174)*AA174)*$J$2*Assumptions!$B$20,0))</f>
        <v>0</v>
      </c>
    </row>
    <row r="175" spans="1:53" x14ac:dyDescent="0.25">
      <c r="A175" s="17">
        <f t="shared" si="85"/>
        <v>48091</v>
      </c>
      <c r="B175">
        <f t="shared" si="77"/>
        <v>394</v>
      </c>
      <c r="C175">
        <f t="shared" si="78"/>
        <v>32.75</v>
      </c>
      <c r="D175">
        <f t="shared" si="106"/>
        <v>0</v>
      </c>
      <c r="E175">
        <f t="shared" si="79"/>
        <v>55</v>
      </c>
      <c r="F175">
        <f>IF(C175&gt;=$H$2,0,VLOOKUP($E175,'Mortality Table'!$A$3:$C$128,2+AB$2,FALSE))</f>
        <v>2.5233E-3</v>
      </c>
      <c r="G175">
        <f>F175*Assumptions!$B$1</f>
        <v>2.7314722500000003E-3</v>
      </c>
      <c r="H175">
        <f t="shared" si="86"/>
        <v>2.2790815227291539E-4</v>
      </c>
      <c r="I175">
        <f t="shared" si="107"/>
        <v>1.3699188928754043E-4</v>
      </c>
      <c r="J175">
        <f>HLOOKUP(C175,Assumptions!$A$6:$J$7,2,TRUE)</f>
        <v>3.5200000000000002E-2</v>
      </c>
      <c r="K175" s="18">
        <f t="shared" si="80"/>
        <v>1</v>
      </c>
      <c r="L175" s="18">
        <f t="shared" si="87"/>
        <v>8.3333333333333329E-2</v>
      </c>
      <c r="M175" s="18">
        <f t="shared" si="108"/>
        <v>2.9817501439168836E-3</v>
      </c>
      <c r="N175">
        <f t="shared" si="109"/>
        <v>1.7947531051743691E-3</v>
      </c>
      <c r="O175" s="20">
        <f t="shared" si="110"/>
        <v>0.60004949463983914</v>
      </c>
      <c r="P175">
        <f>IF(B175&gt;$AF$2,0,O174*($E$2+IF(E175&lt;=Assumptions!$B$9,$D$2,0))/$I$2*K175)</f>
        <v>30.831472489936782</v>
      </c>
      <c r="Q175">
        <f t="shared" si="88"/>
        <v>26.1</v>
      </c>
      <c r="R175">
        <f>IF(B175&gt;$AF$2,0,IF($Y$2=1,(SUMIF('Mortality Tarif Male'!A:A,E176,'Mortality Tarif Male'!G:G)-SUMIF('Mortality Tarif Male'!A:A,$C$2+$H$2,'Mortality Tarif Male'!G:G)+SUMIF('Mortality Tarif Male'!A:A,$C$2+$H$2,'Mortality Tarif Male'!D:D))/SUMIF('Mortality Tarif Male'!A:A,E176,'Mortality Tarif Male'!D:D),(SUMIF('Mortality Tarif Female'!A:A,E176,'Mortality Tarif Female'!G:G)-SUMIF('Mortality Tarif Female'!A:A,$C$2+$H$2,'Mortality Tarif Female'!G:G)+SUMIF('Mortality Tarif Female'!A:A,$C$2+$H$2,'Mortality Tarif Female'!D:D))/SUMIF('Mortality Tarif Female'!A:A,E176,'Mortality Tarif Female'!D:D)))</f>
        <v>0.7627763526276059</v>
      </c>
      <c r="S175">
        <f>IF(B175&gt;=$AF$2,0,IF($Y$2=1,(SUMIF('Mortality Tarif Male'!A:A,E176+1,'Mortality Tarif Male'!G:G)-SUMIF('Mortality Tarif Male'!A:A,$C$2+$H$2,'Mortality Tarif Male'!G:G)+SUMIF('Mortality Tarif Male'!A:A,$C$2+$H$2,'Mortality Tarif Male'!D:D))/SUMIF('Mortality Tarif Male'!A:A,E176+1,'Mortality Tarif Male'!D:D),(SUMIF('Mortality Tarif Female'!A:A,E176+1,'Mortality Tarif Female'!G:G)-SUMIF('Mortality Tarif Female'!A:A,$C$2+$H$2,'Mortality Tarif Female'!G:G)+SUMIF('Mortality Tarif Female'!A:A,$C$2+$H$2,'Mortality Tarif Female'!D:D))/SUMIF('Mortality Tarif Female'!A:A,E176+1,'Mortality Tarif Female'!D:D)))</f>
        <v>0.78877560855592654</v>
      </c>
      <c r="T175">
        <f t="shared" si="89"/>
        <v>0.1666666666666643</v>
      </c>
      <c r="U175">
        <f t="shared" si="90"/>
        <v>0.78444239923453984</v>
      </c>
      <c r="V175">
        <f t="shared" si="91"/>
        <v>15688.847984690798</v>
      </c>
      <c r="W175">
        <f t="shared" si="81"/>
        <v>20.47394662002149</v>
      </c>
      <c r="X175">
        <f t="shared" si="82"/>
        <v>0</v>
      </c>
      <c r="Y175">
        <f>IF(B175&gt;$AF$2,0,IF(X176=0,0,(1-X176)*($E$2+IF(E175&lt;=Assumptions!$B$9,$D$2,0))/$I$2*1/(1+$AG$2)*1/(1+Assumptions!$B$11)))</f>
        <v>0</v>
      </c>
      <c r="Z175">
        <f>IF(B175&gt;$AF$2,0,IF($Y$2=1,(SUMIF('Mortality Tarif Male'!A:A,E176,'Mortality Tarif Male'!E:E)-SUMIF('Mortality Tarif Male'!A:A,$C$2+$H$2,'Mortality Tarif Male'!E:E))/SUMIF('Mortality Tarif Male'!A:A,E176,'Mortality Tarif Male'!D:D),(SUMIF('Mortality Tarif Female'!A:A,E176,'Mortality Tarif Female'!E:E)-SUMIF('Mortality Tarif Female'!A:A,$C$2+$H$2,'Mortality Tarif Female'!E:E))/SUMIF('Mortality Tarif Female'!A:A,E176,'Mortality Tarif Female'!D:D)))</f>
        <v>7.0291511000354383</v>
      </c>
      <c r="AA175">
        <f>IF(B175&gt;=$AF$2,0,IF($Y$2=1,(SUMIF('Mortality Tarif Male'!A:A,E176+1,'Mortality Tarif Male'!E:E)-SUMIF('Mortality Tarif Male'!A:A,$C$2+$H$2,'Mortality Tarif Male'!E:E))/SUMIF('Mortality Tarif Male'!A:A,E176+1,'Mortality Tarif Male'!D:D),(SUMIF('Mortality Tarif Female'!A:A,E176+1,'Mortality Tarif Female'!E:E)-SUMIF('Mortality Tarif Female'!A:A,$C$2+$H$2,'Mortality Tarif Female'!E:E))/SUMIF('Mortality Tarif Female'!A:A,E176+1,'Mortality Tarif Female'!D:D)))</f>
        <v>6.2592831798688557</v>
      </c>
      <c r="AB175">
        <f t="shared" si="76"/>
        <v>1538.2909245817696</v>
      </c>
      <c r="AC175">
        <f>IF(B175&gt;=$AF$2,0,MIN(1/3*(V175+W175+Y175-AB175),(V175-AB175),(T175*Z175+(1-T175)*AA175)*$AH$2*Assumptions!$B$22))</f>
        <v>166.49891656583856</v>
      </c>
      <c r="AD175">
        <f t="shared" si="92"/>
        <v>14004.532090163209</v>
      </c>
      <c r="AE175">
        <f t="shared" si="93"/>
        <v>14171.031006729048</v>
      </c>
      <c r="AF175">
        <f t="shared" si="94"/>
        <v>14004.532090163209</v>
      </c>
      <c r="AG175" s="26">
        <f t="shared" si="105"/>
        <v>0</v>
      </c>
      <c r="AH175" s="27">
        <f>IF(B175&gt;$AF$2,0,HLOOKUP(YEAR(A175),Assumptions!$A$34:$AL$37,4,TRUE)/100)</f>
        <v>1.3443E-2</v>
      </c>
      <c r="AI175">
        <f t="shared" si="95"/>
        <v>0</v>
      </c>
      <c r="AJ175">
        <f t="shared" si="96"/>
        <v>2.7434132740612132</v>
      </c>
      <c r="AK175">
        <f t="shared" si="97"/>
        <v>25.134677455334518</v>
      </c>
      <c r="AL175">
        <f>IF(E175&gt;Assumptions!$B$9,0,SUMPRODUCT($P$2:$X$2,Assumptions!$A$43:$I$43)/$I$2*O174*K175)</f>
        <v>3.3719738345619517</v>
      </c>
      <c r="AM175">
        <f t="shared" si="98"/>
        <v>0</v>
      </c>
      <c r="AN175">
        <f t="shared" si="99"/>
        <v>31.250064563957682</v>
      </c>
      <c r="AO175">
        <f>IF(E175&gt;Assumptions!$B$9,0,($V$2+$X$2)/$I$2*O174*K175*Assumptions!$B$46)</f>
        <v>0</v>
      </c>
      <c r="AP175">
        <f>IF(B175&gt;$AF$2,0,AP174*(1+Assumptions!$B$52)^(1/12))</f>
        <v>1.1456679793650657</v>
      </c>
      <c r="AQ175" s="29">
        <f>IF(B175&gt;$AF$2,0,O174*Assumptions!$B$48/12*AP174+AR175*Assumptions!$B$50/12)</f>
        <v>10.83977438036049</v>
      </c>
      <c r="AR175" s="31">
        <f t="shared" si="100"/>
        <v>8328.4276932285466</v>
      </c>
      <c r="AS175">
        <f t="shared" si="83"/>
        <v>8403.4124033698445</v>
      </c>
      <c r="AT175">
        <f t="shared" si="101"/>
        <v>12.080999058838664</v>
      </c>
      <c r="AU175" s="19">
        <f t="shared" si="102"/>
        <v>8336.3383922792855</v>
      </c>
      <c r="AV175" s="19">
        <f t="shared" si="103"/>
        <v>8402.7480101714154</v>
      </c>
      <c r="AW175">
        <f t="shared" si="104"/>
        <v>-85.055694387888693</v>
      </c>
      <c r="AX175">
        <f>IF(B175&gt;$AF$2,0,HLOOKUP(YEAR(A175),Assumptions!$A$34:$AL$37,2,TRUE)/100)</f>
        <v>1.9442999999999998E-2</v>
      </c>
      <c r="AY175" s="32">
        <f>1/(1+HLOOKUP(YEAR(A175),Assumptions!$A$27:$AL$29,3,TRUE))^(1/12)</f>
        <v>0.9984881294796899</v>
      </c>
      <c r="AZ175" s="30">
        <f t="shared" si="84"/>
        <v>9104.6881941361116</v>
      </c>
      <c r="BA175">
        <f>IF(B175&gt;$AF$2,0,IF($E$2=0,(T175*Z175+(1-T175)*AA175)*$J$2*Assumptions!$B$20,0))</f>
        <v>0</v>
      </c>
    </row>
    <row r="176" spans="1:53" x14ac:dyDescent="0.25">
      <c r="A176" s="17">
        <f t="shared" si="85"/>
        <v>48121</v>
      </c>
      <c r="B176">
        <f t="shared" si="77"/>
        <v>395</v>
      </c>
      <c r="C176">
        <f t="shared" si="78"/>
        <v>32.833333333333336</v>
      </c>
      <c r="D176">
        <f t="shared" si="106"/>
        <v>0</v>
      </c>
      <c r="E176">
        <f t="shared" si="79"/>
        <v>55</v>
      </c>
      <c r="F176">
        <f>IF(C176&gt;=$H$2,0,VLOOKUP($E176,'Mortality Table'!$A$3:$C$128,2+AB$2,FALSE))</f>
        <v>2.5233E-3</v>
      </c>
      <c r="G176">
        <f>F176*Assumptions!$B$1</f>
        <v>2.7314722500000003E-3</v>
      </c>
      <c r="H176">
        <f t="shared" si="86"/>
        <v>2.2790815227291539E-4</v>
      </c>
      <c r="I176">
        <f t="shared" si="107"/>
        <v>1.3655228522849394E-4</v>
      </c>
      <c r="J176">
        <f>HLOOKUP(C176,Assumptions!$A$6:$J$7,2,TRUE)</f>
        <v>3.5200000000000002E-2</v>
      </c>
      <c r="K176" s="18">
        <f t="shared" si="80"/>
        <v>1</v>
      </c>
      <c r="L176" s="18">
        <f t="shared" si="87"/>
        <v>8.3333333333333329E-2</v>
      </c>
      <c r="M176" s="18">
        <f t="shared" si="108"/>
        <v>2.9817501439168836E-3</v>
      </c>
      <c r="N176">
        <f t="shared" si="109"/>
        <v>1.7889937806324252E-3</v>
      </c>
      <c r="O176" s="20">
        <f t="shared" si="110"/>
        <v>0.59812394857397821</v>
      </c>
      <c r="P176">
        <f>IF(B176&gt;$AF$2,0,O175*($E$2+IF(E176&lt;=Assumptions!$B$9,$D$2,0))/$I$2*K176)</f>
        <v>30.732534950470423</v>
      </c>
      <c r="Q176">
        <f t="shared" si="88"/>
        <v>26.1</v>
      </c>
      <c r="R176">
        <f>IF(B176&gt;$AF$2,0,IF($Y$2=1,(SUMIF('Mortality Tarif Male'!A:A,E177,'Mortality Tarif Male'!G:G)-SUMIF('Mortality Tarif Male'!A:A,$C$2+$H$2,'Mortality Tarif Male'!G:G)+SUMIF('Mortality Tarif Male'!A:A,$C$2+$H$2,'Mortality Tarif Male'!D:D))/SUMIF('Mortality Tarif Male'!A:A,E177,'Mortality Tarif Male'!D:D),(SUMIF('Mortality Tarif Female'!A:A,E177,'Mortality Tarif Female'!G:G)-SUMIF('Mortality Tarif Female'!A:A,$C$2+$H$2,'Mortality Tarif Female'!G:G)+SUMIF('Mortality Tarif Female'!A:A,$C$2+$H$2,'Mortality Tarif Female'!D:D))/SUMIF('Mortality Tarif Female'!A:A,E177,'Mortality Tarif Female'!D:D)))</f>
        <v>0.7627763526276059</v>
      </c>
      <c r="S176">
        <f>IF(B176&gt;=$AF$2,0,IF($Y$2=1,(SUMIF('Mortality Tarif Male'!A:A,E177+1,'Mortality Tarif Male'!G:G)-SUMIF('Mortality Tarif Male'!A:A,$C$2+$H$2,'Mortality Tarif Male'!G:G)+SUMIF('Mortality Tarif Male'!A:A,$C$2+$H$2,'Mortality Tarif Male'!D:D))/SUMIF('Mortality Tarif Male'!A:A,E177+1,'Mortality Tarif Male'!D:D),(SUMIF('Mortality Tarif Female'!A:A,E177+1,'Mortality Tarif Female'!G:G)-SUMIF('Mortality Tarif Female'!A:A,$C$2+$H$2,'Mortality Tarif Female'!G:G)+SUMIF('Mortality Tarif Female'!A:A,$C$2+$H$2,'Mortality Tarif Female'!D:D))/SUMIF('Mortality Tarif Female'!A:A,E177+1,'Mortality Tarif Female'!D:D)))</f>
        <v>0.78877560855592654</v>
      </c>
      <c r="T176">
        <f t="shared" si="89"/>
        <v>8.3333333333335702E-2</v>
      </c>
      <c r="U176">
        <f t="shared" si="90"/>
        <v>0.78660900389523314</v>
      </c>
      <c r="V176">
        <f t="shared" si="91"/>
        <v>15732.180077904663</v>
      </c>
      <c r="W176">
        <f t="shared" si="81"/>
        <v>20.530495001665585</v>
      </c>
      <c r="X176">
        <f t="shared" si="82"/>
        <v>0</v>
      </c>
      <c r="Y176">
        <f>IF(B176&gt;$AF$2,0,IF(X177=0,0,(1-X177)*($E$2+IF(E176&lt;=Assumptions!$B$9,$D$2,0))/$I$2*1/(1+$AG$2)*1/(1+Assumptions!$B$11)))</f>
        <v>0</v>
      </c>
      <c r="Z176">
        <f>IF(B176&gt;$AF$2,0,IF($Y$2=1,(SUMIF('Mortality Tarif Male'!A:A,E177,'Mortality Tarif Male'!E:E)-SUMIF('Mortality Tarif Male'!A:A,$C$2+$H$2,'Mortality Tarif Male'!E:E))/SUMIF('Mortality Tarif Male'!A:A,E177,'Mortality Tarif Male'!D:D),(SUMIF('Mortality Tarif Female'!A:A,E177,'Mortality Tarif Female'!E:E)-SUMIF('Mortality Tarif Female'!A:A,$C$2+$H$2,'Mortality Tarif Female'!E:E))/SUMIF('Mortality Tarif Female'!A:A,E177,'Mortality Tarif Female'!D:D)))</f>
        <v>7.0291511000354383</v>
      </c>
      <c r="AA176">
        <f>IF(B176&gt;=$AF$2,0,IF($Y$2=1,(SUMIF('Mortality Tarif Male'!A:A,E177+1,'Mortality Tarif Male'!E:E)-SUMIF('Mortality Tarif Male'!A:A,$C$2+$H$2,'Mortality Tarif Male'!E:E))/SUMIF('Mortality Tarif Male'!A:A,E177+1,'Mortality Tarif Male'!D:D),(SUMIF('Mortality Tarif Female'!A:A,E177+1,'Mortality Tarif Female'!E:E)-SUMIF('Mortality Tarif Female'!A:A,$C$2+$H$2,'Mortality Tarif Female'!E:E))/SUMIF('Mortality Tarif Female'!A:A,E177+1,'Mortality Tarif Female'!D:D)))</f>
        <v>6.2592831798688557</v>
      </c>
      <c r="AB176">
        <f t="shared" si="76"/>
        <v>1522.8406530340844</v>
      </c>
      <c r="AC176">
        <f>IF(B176&gt;=$AF$2,0,MIN(1/3*(V176+W176+Y176-AB176),(V176-AB176),(T176*Z176+(1-T176)*AA176)*$AH$2*Assumptions!$B$22))</f>
        <v>164.82663635392939</v>
      </c>
      <c r="AD176">
        <f t="shared" si="92"/>
        <v>14065.043283518313</v>
      </c>
      <c r="AE176">
        <f t="shared" si="93"/>
        <v>14229.869919872242</v>
      </c>
      <c r="AF176">
        <f t="shared" si="94"/>
        <v>14065.043283518313</v>
      </c>
      <c r="AG176" s="26">
        <f t="shared" si="105"/>
        <v>0</v>
      </c>
      <c r="AH176" s="27">
        <f>IF(B176&gt;$AF$2,0,HLOOKUP(YEAR(A176),Assumptions!$A$34:$AL$37,4,TRUE)/100)</f>
        <v>1.3443E-2</v>
      </c>
      <c r="AI176">
        <f t="shared" si="95"/>
        <v>0</v>
      </c>
      <c r="AJ176">
        <f t="shared" si="96"/>
        <v>2.7346097192143421</v>
      </c>
      <c r="AK176">
        <f t="shared" si="97"/>
        <v>25.162274958540127</v>
      </c>
      <c r="AL176">
        <f>IF(E176&gt;Assumptions!$B$9,0,SUMPRODUCT($P$2:$X$2,Assumptions!$A$43:$I$43)/$I$2*O175*K176)</f>
        <v>3.361153242245273</v>
      </c>
      <c r="AM176">
        <f t="shared" si="98"/>
        <v>0</v>
      </c>
      <c r="AN176">
        <f t="shared" si="99"/>
        <v>31.258037919999744</v>
      </c>
      <c r="AO176">
        <f>IF(E176&gt;Assumptions!$B$9,0,($V$2+$X$2)/$I$2*O175*K176*Assumptions!$B$46)</f>
        <v>0</v>
      </c>
      <c r="AP176">
        <f>IF(B176&gt;$AF$2,0,AP175*(1+Assumptions!$B$52)^(1/12))</f>
        <v>1.146618354620335</v>
      </c>
      <c r="AQ176" s="29">
        <f>IF(B176&gt;$AF$2,0,O175*Assumptions!$B$48/12*AP175+AR176*Assumptions!$B$50/12)</f>
        <v>10.818411497672797</v>
      </c>
      <c r="AR176" s="31">
        <f t="shared" si="100"/>
        <v>8327.0377871295186</v>
      </c>
      <c r="AS176">
        <f t="shared" si="83"/>
        <v>8412.6392256018844</v>
      </c>
      <c r="AT176">
        <f t="shared" si="101"/>
        <v>12.042231389809331</v>
      </c>
      <c r="AU176" s="19">
        <f t="shared" si="102"/>
        <v>8334.9096791925076</v>
      </c>
      <c r="AV176" s="19">
        <f t="shared" si="103"/>
        <v>8412.0934815174078</v>
      </c>
      <c r="AW176">
        <f t="shared" si="104"/>
        <v>-95.820196230977047</v>
      </c>
      <c r="AX176">
        <f>IF(B176&gt;$AF$2,0,HLOOKUP(YEAR(A176),Assumptions!$A$34:$AL$37,2,TRUE)/100)</f>
        <v>1.9442999999999998E-2</v>
      </c>
      <c r="AY176" s="32">
        <f>1/(1+HLOOKUP(YEAR(A176),Assumptions!$A$27:$AL$29,3,TRUE))^(1/12)</f>
        <v>0.9984881294796899</v>
      </c>
      <c r="AZ176" s="30">
        <f t="shared" si="84"/>
        <v>9107.1302319210445</v>
      </c>
      <c r="BA176">
        <f>IF(B176&gt;$AF$2,0,IF($E$2=0,(T176*Z176+(1-T176)*AA176)*$J$2*Assumptions!$B$20,0))</f>
        <v>0</v>
      </c>
    </row>
    <row r="177" spans="1:53" x14ac:dyDescent="0.25">
      <c r="A177" s="17">
        <f t="shared" si="85"/>
        <v>48152</v>
      </c>
      <c r="B177">
        <f t="shared" si="77"/>
        <v>396</v>
      </c>
      <c r="C177">
        <f t="shared" si="78"/>
        <v>32.916666666666664</v>
      </c>
      <c r="D177">
        <f t="shared" si="106"/>
        <v>0</v>
      </c>
      <c r="E177">
        <f t="shared" si="79"/>
        <v>55</v>
      </c>
      <c r="F177">
        <f>IF(C177&gt;=$H$2,0,VLOOKUP($E177,'Mortality Table'!$A$3:$C$128,2+AB$2,FALSE))</f>
        <v>2.5233E-3</v>
      </c>
      <c r="G177">
        <f>F177*Assumptions!$B$1</f>
        <v>2.7314722500000003E-3</v>
      </c>
      <c r="H177">
        <f t="shared" si="86"/>
        <v>2.2790815227291539E-4</v>
      </c>
      <c r="I177">
        <f t="shared" si="107"/>
        <v>1.3611409184952297E-4</v>
      </c>
      <c r="J177">
        <f>HLOOKUP(C177,Assumptions!$A$6:$J$7,2,TRUE)</f>
        <v>3.5200000000000002E-2</v>
      </c>
      <c r="K177" s="18">
        <f t="shared" si="80"/>
        <v>1</v>
      </c>
      <c r="L177" s="18">
        <f t="shared" si="87"/>
        <v>8.3333333333333329E-2</v>
      </c>
      <c r="M177" s="18">
        <f t="shared" si="108"/>
        <v>2.9817501439168836E-3</v>
      </c>
      <c r="N177">
        <f t="shared" si="109"/>
        <v>1.7832529376404416E-3</v>
      </c>
      <c r="O177" s="20">
        <f t="shared" si="110"/>
        <v>0.59620458154448819</v>
      </c>
      <c r="P177">
        <f>IF(B177&gt;$AF$2,0,O176*($E$2+IF(E177&lt;=Assumptions!$B$9,$D$2,0))/$I$2*K177)</f>
        <v>30.633914899463914</v>
      </c>
      <c r="Q177">
        <f t="shared" si="88"/>
        <v>26.1</v>
      </c>
      <c r="R177">
        <f>IF(B177&gt;$AF$2,0,IF($Y$2=1,(SUMIF('Mortality Tarif Male'!A:A,E178,'Mortality Tarif Male'!G:G)-SUMIF('Mortality Tarif Male'!A:A,$C$2+$H$2,'Mortality Tarif Male'!G:G)+SUMIF('Mortality Tarif Male'!A:A,$C$2+$H$2,'Mortality Tarif Male'!D:D))/SUMIF('Mortality Tarif Male'!A:A,E178,'Mortality Tarif Male'!D:D),(SUMIF('Mortality Tarif Female'!A:A,E178,'Mortality Tarif Female'!G:G)-SUMIF('Mortality Tarif Female'!A:A,$C$2+$H$2,'Mortality Tarif Female'!G:G)+SUMIF('Mortality Tarif Female'!A:A,$C$2+$H$2,'Mortality Tarif Female'!D:D))/SUMIF('Mortality Tarif Female'!A:A,E178,'Mortality Tarif Female'!D:D)))</f>
        <v>0.78877560855592654</v>
      </c>
      <c r="S177">
        <f>IF(B177&gt;=$AF$2,0,IF($Y$2=1,(SUMIF('Mortality Tarif Male'!A:A,E178+1,'Mortality Tarif Male'!G:G)-SUMIF('Mortality Tarif Male'!A:A,$C$2+$H$2,'Mortality Tarif Male'!G:G)+SUMIF('Mortality Tarif Male'!A:A,$C$2+$H$2,'Mortality Tarif Male'!D:D))/SUMIF('Mortality Tarif Male'!A:A,E178+1,'Mortality Tarif Male'!D:D),(SUMIF('Mortality Tarif Female'!A:A,E178+1,'Mortality Tarif Female'!G:G)-SUMIF('Mortality Tarif Female'!A:A,$C$2+$H$2,'Mortality Tarif Female'!G:G)+SUMIF('Mortality Tarif Female'!A:A,$C$2+$H$2,'Mortality Tarif Female'!D:D))/SUMIF('Mortality Tarif Female'!A:A,E178+1,'Mortality Tarif Female'!D:D)))</f>
        <v>0.8157071733624115</v>
      </c>
      <c r="T177">
        <f t="shared" si="89"/>
        <v>1</v>
      </c>
      <c r="U177">
        <f t="shared" si="90"/>
        <v>0.78877560855592654</v>
      </c>
      <c r="V177">
        <f t="shared" si="91"/>
        <v>15775.512171118531</v>
      </c>
      <c r="W177">
        <f t="shared" si="81"/>
        <v>20.587043383309684</v>
      </c>
      <c r="X177">
        <f t="shared" si="82"/>
        <v>0</v>
      </c>
      <c r="Y177">
        <f>IF(B177&gt;$AF$2,0,IF(X178=0,0,(1-X178)*($E$2+IF(E177&lt;=Assumptions!$B$9,$D$2,0))/$I$2*1/(1+$AG$2)*1/(1+Assumptions!$B$11)))</f>
        <v>0</v>
      </c>
      <c r="Z177">
        <f>IF(B177&gt;$AF$2,0,IF($Y$2=1,(SUMIF('Mortality Tarif Male'!A:A,E178,'Mortality Tarif Male'!E:E)-SUMIF('Mortality Tarif Male'!A:A,$C$2+$H$2,'Mortality Tarif Male'!E:E))/SUMIF('Mortality Tarif Male'!A:A,E178,'Mortality Tarif Male'!D:D),(SUMIF('Mortality Tarif Female'!A:A,E178,'Mortality Tarif Female'!E:E)-SUMIF('Mortality Tarif Female'!A:A,$C$2+$H$2,'Mortality Tarif Female'!E:E))/SUMIF('Mortality Tarif Female'!A:A,E178,'Mortality Tarif Female'!D:D)))</f>
        <v>6.2592831798688557</v>
      </c>
      <c r="AA177">
        <f>IF(B177&gt;=$AF$2,0,IF($Y$2=1,(SUMIF('Mortality Tarif Male'!A:A,E178+1,'Mortality Tarif Male'!E:E)-SUMIF('Mortality Tarif Male'!A:A,$C$2+$H$2,'Mortality Tarif Male'!E:E))/SUMIF('Mortality Tarif Male'!A:A,E178+1,'Mortality Tarif Male'!D:D),(SUMIF('Mortality Tarif Female'!A:A,E178+1,'Mortality Tarif Female'!E:E)-SUMIF('Mortality Tarif Female'!A:A,$C$2+$H$2,'Mortality Tarif Female'!E:E))/SUMIF('Mortality Tarif Female'!A:A,E178+1,'Mortality Tarif Female'!D:D)))</f>
        <v>5.4616568003844552</v>
      </c>
      <c r="AB177">
        <f t="shared" si="76"/>
        <v>1507.3903814863982</v>
      </c>
      <c r="AC177">
        <f>IF(B177&gt;=$AF$2,0,MIN(1/3*(V177+W177+Y177-AB177),(V177-AB177),(T177*Z177+(1-T177)*AA177)*$AH$2*Assumptions!$B$22))</f>
        <v>163.15435614202008</v>
      </c>
      <c r="AD177">
        <f t="shared" si="92"/>
        <v>14125.554476873422</v>
      </c>
      <c r="AE177">
        <f t="shared" si="93"/>
        <v>14288.708833015442</v>
      </c>
      <c r="AF177">
        <f t="shared" si="94"/>
        <v>14125.554476873422</v>
      </c>
      <c r="AG177" s="26">
        <f t="shared" si="105"/>
        <v>0</v>
      </c>
      <c r="AH177" s="27">
        <f>IF(B177&gt;$AF$2,0,HLOOKUP(YEAR(A177),Assumptions!$A$34:$AL$37,4,TRUE)/100)</f>
        <v>1.3443E-2</v>
      </c>
      <c r="AI177">
        <f t="shared" si="95"/>
        <v>0</v>
      </c>
      <c r="AJ177">
        <f t="shared" si="96"/>
        <v>2.725834414787732</v>
      </c>
      <c r="AK177">
        <f t="shared" si="97"/>
        <v>25.189436516684619</v>
      </c>
      <c r="AL177">
        <f>IF(E177&gt;Assumptions!$B$9,0,SUMPRODUCT($P$2:$X$2,Assumptions!$A$43:$I$43)/$I$2*O176*K177)</f>
        <v>3.3503673729791958</v>
      </c>
      <c r="AM177">
        <f t="shared" si="98"/>
        <v>0</v>
      </c>
      <c r="AN177">
        <f t="shared" si="99"/>
        <v>31.265638304451546</v>
      </c>
      <c r="AO177">
        <f>IF(E177&gt;Assumptions!$B$9,0,($V$2+$X$2)/$I$2*O176*K177*Assumptions!$B$46)</f>
        <v>0</v>
      </c>
      <c r="AP177">
        <f>IF(B177&gt;$AF$2,0,AP176*(1+Assumptions!$B$52)^(1/12))</f>
        <v>1.1475695182481014</v>
      </c>
      <c r="AQ177" s="29">
        <f>IF(B177&gt;$AF$2,0,O176*Assumptions!$B$48/12*AP176+AR177*Assumptions!$B$50/12)</f>
        <v>10.797056259293413</v>
      </c>
      <c r="AR177" s="31">
        <f t="shared" si="100"/>
        <v>8325.4722501233337</v>
      </c>
      <c r="AS177">
        <f t="shared" si="83"/>
        <v>8421.7202959681908</v>
      </c>
      <c r="AT177">
        <f t="shared" si="101"/>
        <v>12.003588125405363</v>
      </c>
      <c r="AU177" s="19">
        <f t="shared" si="102"/>
        <v>8333.3055206380996</v>
      </c>
      <c r="AV177" s="19">
        <f t="shared" si="103"/>
        <v>8421.2924463543113</v>
      </c>
      <c r="AW177">
        <f t="shared" si="104"/>
        <v>-106.61368363013504</v>
      </c>
      <c r="AX177">
        <f>IF(B177&gt;$AF$2,0,HLOOKUP(YEAR(A177),Assumptions!$A$34:$AL$37,2,TRUE)/100)</f>
        <v>1.9442999999999998E-2</v>
      </c>
      <c r="AY177" s="32">
        <f>1/(1+HLOOKUP(YEAR(A177),Assumptions!$A$27:$AL$29,3,TRUE))^(1/12)</f>
        <v>0.9984881294796899</v>
      </c>
      <c r="AZ177" s="30">
        <f t="shared" si="84"/>
        <v>9109.4911021441803</v>
      </c>
      <c r="BA177">
        <f>IF(B177&gt;$AF$2,0,IF($E$2=0,(T177*Z177+(1-T177)*AA177)*$J$2*Assumptions!$B$20,0))</f>
        <v>0</v>
      </c>
    </row>
    <row r="178" spans="1:53" x14ac:dyDescent="0.25">
      <c r="A178" s="17">
        <f t="shared" si="85"/>
        <v>48182</v>
      </c>
      <c r="B178">
        <f t="shared" si="77"/>
        <v>397</v>
      </c>
      <c r="C178">
        <f t="shared" si="78"/>
        <v>33</v>
      </c>
      <c r="D178">
        <f t="shared" si="106"/>
        <v>1</v>
      </c>
      <c r="E178">
        <f t="shared" si="79"/>
        <v>56</v>
      </c>
      <c r="F178">
        <f>IF(C178&gt;=$H$2,0,VLOOKUP($E178,'Mortality Table'!$A$3:$C$128,2+AB$2,FALSE))</f>
        <v>2.7833999999999997E-3</v>
      </c>
      <c r="G178">
        <f>F178*Assumptions!$B$1</f>
        <v>3.0130304999999996E-3</v>
      </c>
      <c r="H178">
        <f t="shared" si="86"/>
        <v>2.5143328658805419E-4</v>
      </c>
      <c r="I178">
        <f t="shared" si="107"/>
        <v>1.4968218677898079E-4</v>
      </c>
      <c r="J178">
        <f>HLOOKUP(C178,Assumptions!$A$6:$J$7,2,TRUE)</f>
        <v>3.5200000000000002E-2</v>
      </c>
      <c r="K178" s="18">
        <f t="shared" si="80"/>
        <v>1</v>
      </c>
      <c r="L178" s="18">
        <f t="shared" si="87"/>
        <v>8.3333333333333329E-2</v>
      </c>
      <c r="M178" s="18">
        <f t="shared" si="108"/>
        <v>2.9817501439168836E-3</v>
      </c>
      <c r="N178">
        <f t="shared" si="109"/>
        <v>1.7775096061865777E-3</v>
      </c>
      <c r="O178" s="20">
        <f t="shared" si="110"/>
        <v>0.59427738975152256</v>
      </c>
      <c r="P178">
        <f>IF(B178&gt;$AF$2,0,O177*($E$2+IF(E178&lt;=Assumptions!$B$9,$D$2,0))/$I$2*K178)</f>
        <v>30.535611318103534</v>
      </c>
      <c r="Q178">
        <f t="shared" si="88"/>
        <v>26.1</v>
      </c>
      <c r="R178">
        <f>IF(B178&gt;$AF$2,0,IF($Y$2=1,(SUMIF('Mortality Tarif Male'!A:A,E179,'Mortality Tarif Male'!G:G)-SUMIF('Mortality Tarif Male'!A:A,$C$2+$H$2,'Mortality Tarif Male'!G:G)+SUMIF('Mortality Tarif Male'!A:A,$C$2+$H$2,'Mortality Tarif Male'!D:D))/SUMIF('Mortality Tarif Male'!A:A,E179,'Mortality Tarif Male'!D:D),(SUMIF('Mortality Tarif Female'!A:A,E179,'Mortality Tarif Female'!G:G)-SUMIF('Mortality Tarif Female'!A:A,$C$2+$H$2,'Mortality Tarif Female'!G:G)+SUMIF('Mortality Tarif Female'!A:A,$C$2+$H$2,'Mortality Tarif Female'!D:D))/SUMIF('Mortality Tarif Female'!A:A,E179,'Mortality Tarif Female'!D:D)))</f>
        <v>0.78877560855592654</v>
      </c>
      <c r="S178">
        <f>IF(B178&gt;=$AF$2,0,IF($Y$2=1,(SUMIF('Mortality Tarif Male'!A:A,E179+1,'Mortality Tarif Male'!G:G)-SUMIF('Mortality Tarif Male'!A:A,$C$2+$H$2,'Mortality Tarif Male'!G:G)+SUMIF('Mortality Tarif Male'!A:A,$C$2+$H$2,'Mortality Tarif Male'!D:D))/SUMIF('Mortality Tarif Male'!A:A,E179+1,'Mortality Tarif Male'!D:D),(SUMIF('Mortality Tarif Female'!A:A,E179+1,'Mortality Tarif Female'!G:G)-SUMIF('Mortality Tarif Female'!A:A,$C$2+$H$2,'Mortality Tarif Female'!G:G)+SUMIF('Mortality Tarif Female'!A:A,$C$2+$H$2,'Mortality Tarif Female'!D:D))/SUMIF('Mortality Tarif Female'!A:A,E179+1,'Mortality Tarif Female'!D:D)))</f>
        <v>0.8157071733624115</v>
      </c>
      <c r="T178">
        <f t="shared" si="89"/>
        <v>0.9166666666666643</v>
      </c>
      <c r="U178">
        <f t="shared" si="90"/>
        <v>0.79101990562313373</v>
      </c>
      <c r="V178">
        <f t="shared" si="91"/>
        <v>15820.398112462675</v>
      </c>
      <c r="W178">
        <f t="shared" si="81"/>
        <v>20.645619536763792</v>
      </c>
      <c r="X178">
        <f t="shared" si="82"/>
        <v>0</v>
      </c>
      <c r="Y178">
        <f>IF(B178&gt;$AF$2,0,IF(X179=0,0,(1-X179)*($E$2+IF(E178&lt;=Assumptions!$B$9,$D$2,0))/$I$2*1/(1+$AG$2)*1/(1+Assumptions!$B$11)))</f>
        <v>0</v>
      </c>
      <c r="Z178">
        <f>IF(B178&gt;$AF$2,0,IF($Y$2=1,(SUMIF('Mortality Tarif Male'!A:A,E179,'Mortality Tarif Male'!E:E)-SUMIF('Mortality Tarif Male'!A:A,$C$2+$H$2,'Mortality Tarif Male'!E:E))/SUMIF('Mortality Tarif Male'!A:A,E179,'Mortality Tarif Male'!D:D),(SUMIF('Mortality Tarif Female'!A:A,E179,'Mortality Tarif Female'!E:E)-SUMIF('Mortality Tarif Female'!A:A,$C$2+$H$2,'Mortality Tarif Female'!E:E))/SUMIF('Mortality Tarif Female'!A:A,E179,'Mortality Tarif Female'!D:D)))</f>
        <v>6.2592831798688557</v>
      </c>
      <c r="AA178">
        <f>IF(B178&gt;=$AF$2,0,IF($Y$2=1,(SUMIF('Mortality Tarif Male'!A:A,E179+1,'Mortality Tarif Male'!E:E)-SUMIF('Mortality Tarif Male'!A:A,$C$2+$H$2,'Mortality Tarif Male'!E:E))/SUMIF('Mortality Tarif Male'!A:A,E179+1,'Mortality Tarif Male'!D:D),(SUMIF('Mortality Tarif Female'!A:A,E179+1,'Mortality Tarif Female'!E:E)-SUMIF('Mortality Tarif Female'!A:A,$C$2+$H$2,'Mortality Tarif Female'!E:E))/SUMIF('Mortality Tarif Female'!A:A,E179+1,'Mortality Tarif Female'!D:D)))</f>
        <v>5.4616568003844552</v>
      </c>
      <c r="AB178">
        <f t="shared" si="76"/>
        <v>1491.3830329090401</v>
      </c>
      <c r="AC178">
        <f>IF(B178&gt;=$AF$2,0,MIN(1/3*(V178+W178+Y178-AB178),(V178-AB178),(T178*Z178+(1-T178)*AA178)*$AH$2*Assumptions!$B$22))</f>
        <v>161.42177997412361</v>
      </c>
      <c r="AD178">
        <f t="shared" si="92"/>
        <v>14188.238919116277</v>
      </c>
      <c r="AE178">
        <f t="shared" si="93"/>
        <v>14349.6606990904</v>
      </c>
      <c r="AF178">
        <f t="shared" si="94"/>
        <v>14188.238919116277</v>
      </c>
      <c r="AG178" s="26">
        <f t="shared" si="105"/>
        <v>0</v>
      </c>
      <c r="AH178" s="27">
        <f>IF(B178&gt;$AF$2,0,HLOOKUP(YEAR(A178),Assumptions!$A$34:$AL$37,4,TRUE)/100)</f>
        <v>1.3443E-2</v>
      </c>
      <c r="AI178">
        <f t="shared" si="95"/>
        <v>0</v>
      </c>
      <c r="AJ178">
        <f t="shared" si="96"/>
        <v>2.997550440654547</v>
      </c>
      <c r="AK178">
        <f t="shared" si="97"/>
        <v>25.219730973599447</v>
      </c>
      <c r="AL178">
        <f>IF(E178&gt;Assumptions!$B$9,0,SUMPRODUCT($P$2:$X$2,Assumptions!$A$43:$I$43)/$I$2*O177*K178)</f>
        <v>3.3396161153381883</v>
      </c>
      <c r="AM178">
        <f t="shared" si="98"/>
        <v>0</v>
      </c>
      <c r="AN178">
        <f t="shared" si="99"/>
        <v>31.556897529592181</v>
      </c>
      <c r="AO178">
        <f>IF(E178&gt;Assumptions!$B$9,0,($V$2+$X$2)/$I$2*O177*K178*Assumptions!$B$46)</f>
        <v>0</v>
      </c>
      <c r="AP178">
        <f>IF(B178&gt;$AF$2,0,AP177*(1+Assumptions!$B$52)^(1/12))</f>
        <v>1.1485214709023501</v>
      </c>
      <c r="AQ178" s="29">
        <f>IF(B178&gt;$AF$2,0,O177*Assumptions!$B$48/12*AP177+AR178*Assumptions!$B$50/12)</f>
        <v>10.775708783435654</v>
      </c>
      <c r="AR178" s="31">
        <f t="shared" si="100"/>
        <v>8323.7320650891324</v>
      </c>
      <c r="AS178">
        <f t="shared" si="83"/>
        <v>8431.7495900233844</v>
      </c>
      <c r="AT178">
        <f t="shared" si="101"/>
        <v>11.965068866414963</v>
      </c>
      <c r="AU178" s="19">
        <f t="shared" si="102"/>
        <v>8331.5268987573854</v>
      </c>
      <c r="AV178" s="19">
        <f t="shared" si="103"/>
        <v>8430.3457487192682</v>
      </c>
      <c r="AW178">
        <f t="shared" si="104"/>
        <v>-117.43601858920121</v>
      </c>
      <c r="AX178">
        <f>IF(B178&gt;$AF$2,0,HLOOKUP(YEAR(A178),Assumptions!$A$34:$AL$37,2,TRUE)/100)</f>
        <v>1.9442999999999998E-2</v>
      </c>
      <c r="AY178" s="32">
        <f>1/(1+HLOOKUP(YEAR(A178),Assumptions!$A$27:$AL$29,3,TRUE))^(1/12)</f>
        <v>0.9984881294796899</v>
      </c>
      <c r="AZ178" s="30">
        <f t="shared" si="84"/>
        <v>9111.4873317713009</v>
      </c>
      <c r="BA178">
        <f>IF(B178&gt;$AF$2,0,IF($E$2=0,(T178*Z178+(1-T178)*AA178)*$J$2*Assumptions!$B$20,0))</f>
        <v>0</v>
      </c>
    </row>
    <row r="179" spans="1:53" x14ac:dyDescent="0.25">
      <c r="A179" s="17">
        <f t="shared" si="85"/>
        <v>48213</v>
      </c>
      <c r="B179">
        <f t="shared" si="77"/>
        <v>398</v>
      </c>
      <c r="C179">
        <f t="shared" si="78"/>
        <v>33.083333333333336</v>
      </c>
      <c r="D179">
        <f t="shared" si="106"/>
        <v>0</v>
      </c>
      <c r="E179">
        <f t="shared" si="79"/>
        <v>56</v>
      </c>
      <c r="F179">
        <f>IF(C179&gt;=$H$2,0,VLOOKUP($E179,'Mortality Table'!$A$3:$C$128,2+AB$2,FALSE))</f>
        <v>2.7833999999999997E-3</v>
      </c>
      <c r="G179">
        <f>F179*Assumptions!$B$1</f>
        <v>3.0130304999999996E-3</v>
      </c>
      <c r="H179">
        <f t="shared" si="86"/>
        <v>2.5143328658805419E-4</v>
      </c>
      <c r="I179">
        <f t="shared" si="107"/>
        <v>1.4919834903126284E-4</v>
      </c>
      <c r="J179">
        <f>HLOOKUP(C179,Assumptions!$A$6:$J$7,2,TRUE)</f>
        <v>3.5200000000000002E-2</v>
      </c>
      <c r="K179" s="18">
        <f t="shared" si="80"/>
        <v>1</v>
      </c>
      <c r="L179" s="18">
        <f t="shared" si="87"/>
        <v>8.3333333333333329E-2</v>
      </c>
      <c r="M179" s="18">
        <f t="shared" si="108"/>
        <v>2.9817501439168836E-3</v>
      </c>
      <c r="N179">
        <f t="shared" si="109"/>
        <v>1.7717639241992197E-3</v>
      </c>
      <c r="O179" s="20">
        <f t="shared" si="110"/>
        <v>0.59235642747829209</v>
      </c>
      <c r="P179">
        <f>IF(B179&gt;$AF$2,0,O178*($E$2+IF(E179&lt;=Assumptions!$B$9,$D$2,0))/$I$2*K179)</f>
        <v>30.436906978440476</v>
      </c>
      <c r="Q179">
        <f t="shared" si="88"/>
        <v>26.1</v>
      </c>
      <c r="R179">
        <f>IF(B179&gt;$AF$2,0,IF($Y$2=1,(SUMIF('Mortality Tarif Male'!A:A,E180,'Mortality Tarif Male'!G:G)-SUMIF('Mortality Tarif Male'!A:A,$C$2+$H$2,'Mortality Tarif Male'!G:G)+SUMIF('Mortality Tarif Male'!A:A,$C$2+$H$2,'Mortality Tarif Male'!D:D))/SUMIF('Mortality Tarif Male'!A:A,E180,'Mortality Tarif Male'!D:D),(SUMIF('Mortality Tarif Female'!A:A,E180,'Mortality Tarif Female'!G:G)-SUMIF('Mortality Tarif Female'!A:A,$C$2+$H$2,'Mortality Tarif Female'!G:G)+SUMIF('Mortality Tarif Female'!A:A,$C$2+$H$2,'Mortality Tarif Female'!D:D))/SUMIF('Mortality Tarif Female'!A:A,E180,'Mortality Tarif Female'!D:D)))</f>
        <v>0.78877560855592654</v>
      </c>
      <c r="S179">
        <f>IF(B179&gt;=$AF$2,0,IF($Y$2=1,(SUMIF('Mortality Tarif Male'!A:A,E180+1,'Mortality Tarif Male'!G:G)-SUMIF('Mortality Tarif Male'!A:A,$C$2+$H$2,'Mortality Tarif Male'!G:G)+SUMIF('Mortality Tarif Male'!A:A,$C$2+$H$2,'Mortality Tarif Male'!D:D))/SUMIF('Mortality Tarif Male'!A:A,E180+1,'Mortality Tarif Male'!D:D),(SUMIF('Mortality Tarif Female'!A:A,E180+1,'Mortality Tarif Female'!G:G)-SUMIF('Mortality Tarif Female'!A:A,$C$2+$H$2,'Mortality Tarif Female'!G:G)+SUMIF('Mortality Tarif Female'!A:A,$C$2+$H$2,'Mortality Tarif Female'!D:D))/SUMIF('Mortality Tarif Female'!A:A,E180+1,'Mortality Tarif Female'!D:D)))</f>
        <v>0.8157071733624115</v>
      </c>
      <c r="T179">
        <f t="shared" si="89"/>
        <v>0.8333333333333357</v>
      </c>
      <c r="U179">
        <f t="shared" si="90"/>
        <v>0.7932642026903407</v>
      </c>
      <c r="V179">
        <f t="shared" si="91"/>
        <v>15865.284053806814</v>
      </c>
      <c r="W179">
        <f t="shared" si="81"/>
        <v>20.704195690217894</v>
      </c>
      <c r="X179">
        <f t="shared" si="82"/>
        <v>0</v>
      </c>
      <c r="Y179">
        <f>IF(B179&gt;$AF$2,0,IF(X180=0,0,(1-X180)*($E$2+IF(E179&lt;=Assumptions!$B$9,$D$2,0))/$I$2*1/(1+$AG$2)*1/(1+Assumptions!$B$11)))</f>
        <v>0</v>
      </c>
      <c r="Z179">
        <f>IF(B179&gt;$AF$2,0,IF($Y$2=1,(SUMIF('Mortality Tarif Male'!A:A,E180,'Mortality Tarif Male'!E:E)-SUMIF('Mortality Tarif Male'!A:A,$C$2+$H$2,'Mortality Tarif Male'!E:E))/SUMIF('Mortality Tarif Male'!A:A,E180,'Mortality Tarif Male'!D:D),(SUMIF('Mortality Tarif Female'!A:A,E180,'Mortality Tarif Female'!E:E)-SUMIF('Mortality Tarif Female'!A:A,$C$2+$H$2,'Mortality Tarif Female'!E:E))/SUMIF('Mortality Tarif Female'!A:A,E180,'Mortality Tarif Female'!D:D)))</f>
        <v>6.2592831798688557</v>
      </c>
      <c r="AA179">
        <f>IF(B179&gt;=$AF$2,0,IF($Y$2=1,(SUMIF('Mortality Tarif Male'!A:A,E180+1,'Mortality Tarif Male'!E:E)-SUMIF('Mortality Tarif Male'!A:A,$C$2+$H$2,'Mortality Tarif Male'!E:E))/SUMIF('Mortality Tarif Male'!A:A,E180+1,'Mortality Tarif Male'!D:D),(SUMIF('Mortality Tarif Female'!A:A,E180+1,'Mortality Tarif Female'!E:E)-SUMIF('Mortality Tarif Female'!A:A,$C$2+$H$2,'Mortality Tarif Female'!E:E))/SUMIF('Mortality Tarif Female'!A:A,E180+1,'Mortality Tarif Female'!D:D)))</f>
        <v>5.4616568003844552</v>
      </c>
      <c r="AB179">
        <f t="shared" si="76"/>
        <v>1475.3756843316837</v>
      </c>
      <c r="AC179">
        <f>IF(B179&gt;=$AF$2,0,MIN(1/3*(V179+W179+Y179-AB179),(V179-AB179),(T179*Z179+(1-T179)*AA179)*$AH$2*Assumptions!$B$22))</f>
        <v>159.68920380622728</v>
      </c>
      <c r="AD179">
        <f t="shared" si="92"/>
        <v>14250.92336135912</v>
      </c>
      <c r="AE179">
        <f t="shared" si="93"/>
        <v>14410.612565165347</v>
      </c>
      <c r="AF179">
        <f t="shared" si="94"/>
        <v>14250.92336135912</v>
      </c>
      <c r="AG179" s="26">
        <f t="shared" si="105"/>
        <v>13914.308612352484</v>
      </c>
      <c r="AH179" s="27">
        <f>IF(B179&gt;$AF$2,0,HLOOKUP(YEAR(A179),Assumptions!$A$34:$AL$37,4,TRUE)/100)</f>
        <v>1.3443E-2</v>
      </c>
      <c r="AI179">
        <f t="shared" si="95"/>
        <v>0</v>
      </c>
      <c r="AJ179">
        <f t="shared" si="96"/>
        <v>2.9878610575349724</v>
      </c>
      <c r="AK179">
        <f t="shared" si="97"/>
        <v>25.24927189818397</v>
      </c>
      <c r="AL179">
        <f>IF(E179&gt;Assumptions!$B$9,0,SUMPRODUCT($P$2:$X$2,Assumptions!$A$43:$I$43)/$I$2*O178*K179)</f>
        <v>3.3288210275975634</v>
      </c>
      <c r="AM179">
        <f t="shared" si="98"/>
        <v>0</v>
      </c>
      <c r="AN179">
        <f t="shared" si="99"/>
        <v>31.565953983316504</v>
      </c>
      <c r="AO179">
        <f>IF(E179&gt;Assumptions!$B$9,0,($V$2+$X$2)/$I$2*O178*K179*Assumptions!$B$46)</f>
        <v>0</v>
      </c>
      <c r="AP179">
        <f>IF(B179&gt;$AF$2,0,AP178*(1+Assumptions!$B$52)^(1/12))</f>
        <v>1.1494742132376086</v>
      </c>
      <c r="AQ179" s="29">
        <f>IF(B179&gt;$AF$2,0,O178*Assumptions!$B$48/12*AP178+AR179*Assumptions!$B$50/12)</f>
        <v>10.754427579554267</v>
      </c>
      <c r="AR179" s="31">
        <f t="shared" si="100"/>
        <v>8322.9111429809436</v>
      </c>
      <c r="AS179">
        <f t="shared" si="83"/>
        <v>8441.6260506016224</v>
      </c>
      <c r="AT179">
        <f t="shared" si="101"/>
        <v>11.926392574357818</v>
      </c>
      <c r="AU179" s="19">
        <f t="shared" si="102"/>
        <v>8330.6672298054727</v>
      </c>
      <c r="AV179" s="19">
        <f t="shared" si="103"/>
        <v>8440.3471615701455</v>
      </c>
      <c r="AW179">
        <f t="shared" si="104"/>
        <v>0</v>
      </c>
      <c r="AX179">
        <f>IF(B179&gt;$AF$2,0,HLOOKUP(YEAR(A179),Assumptions!$A$34:$AL$37,2,TRUE)/100)</f>
        <v>1.9442999999999998E-2</v>
      </c>
      <c r="AY179" s="32">
        <f>1/(1+HLOOKUP(YEAR(A179),Assumptions!$A$27:$AL$29,3,TRUE))^(1/12)</f>
        <v>0.9984881294796899</v>
      </c>
      <c r="AZ179" s="30">
        <f t="shared" si="84"/>
        <v>9113.4001044194374</v>
      </c>
      <c r="BA179">
        <f>IF(B179&gt;$AF$2,0,IF($E$2=0,(T179*Z179+(1-T179)*AA179)*$J$2*Assumptions!$B$20,0))</f>
        <v>0</v>
      </c>
    </row>
    <row r="180" spans="1:53" x14ac:dyDescent="0.25">
      <c r="A180" s="17">
        <f t="shared" si="85"/>
        <v>48244</v>
      </c>
      <c r="B180">
        <f t="shared" si="77"/>
        <v>399</v>
      </c>
      <c r="C180">
        <f t="shared" si="78"/>
        <v>33.166666666666664</v>
      </c>
      <c r="D180">
        <f t="shared" si="106"/>
        <v>0</v>
      </c>
      <c r="E180">
        <f t="shared" si="79"/>
        <v>56</v>
      </c>
      <c r="F180">
        <f>IF(C180&gt;=$H$2,0,VLOOKUP($E180,'Mortality Table'!$A$3:$C$128,2+AB$2,FALSE))</f>
        <v>2.7833999999999997E-3</v>
      </c>
      <c r="G180">
        <f>F180*Assumptions!$B$1</f>
        <v>3.0130304999999996E-3</v>
      </c>
      <c r="H180">
        <f t="shared" si="86"/>
        <v>2.5143328658805419E-4</v>
      </c>
      <c r="I180">
        <f t="shared" si="107"/>
        <v>1.4871607525699531E-4</v>
      </c>
      <c r="J180">
        <f>HLOOKUP(C180,Assumptions!$A$6:$J$7,2,TRUE)</f>
        <v>3.5200000000000002E-2</v>
      </c>
      <c r="K180" s="18">
        <f t="shared" si="80"/>
        <v>1</v>
      </c>
      <c r="L180" s="18">
        <f t="shared" si="87"/>
        <v>8.3333333333333329E-2</v>
      </c>
      <c r="M180" s="18">
        <f t="shared" si="108"/>
        <v>2.9817501439168836E-3</v>
      </c>
      <c r="N180">
        <f t="shared" si="109"/>
        <v>1.7660368147480586E-3</v>
      </c>
      <c r="O180" s="20">
        <f t="shared" si="110"/>
        <v>0.590441674588287</v>
      </c>
      <c r="P180">
        <f>IF(B180&gt;$AF$2,0,O179*($E$2+IF(E180&lt;=Assumptions!$B$9,$D$2,0))/$I$2*K180)</f>
        <v>30.338521694013192</v>
      </c>
      <c r="Q180">
        <f t="shared" si="88"/>
        <v>26.1</v>
      </c>
      <c r="R180">
        <f>IF(B180&gt;$AF$2,0,IF($Y$2=1,(SUMIF('Mortality Tarif Male'!A:A,E181,'Mortality Tarif Male'!G:G)-SUMIF('Mortality Tarif Male'!A:A,$C$2+$H$2,'Mortality Tarif Male'!G:G)+SUMIF('Mortality Tarif Male'!A:A,$C$2+$H$2,'Mortality Tarif Male'!D:D))/SUMIF('Mortality Tarif Male'!A:A,E181,'Mortality Tarif Male'!D:D),(SUMIF('Mortality Tarif Female'!A:A,E181,'Mortality Tarif Female'!G:G)-SUMIF('Mortality Tarif Female'!A:A,$C$2+$H$2,'Mortality Tarif Female'!G:G)+SUMIF('Mortality Tarif Female'!A:A,$C$2+$H$2,'Mortality Tarif Female'!D:D))/SUMIF('Mortality Tarif Female'!A:A,E181,'Mortality Tarif Female'!D:D)))</f>
        <v>0.78877560855592654</v>
      </c>
      <c r="S180">
        <f>IF(B180&gt;=$AF$2,0,IF($Y$2=1,(SUMIF('Mortality Tarif Male'!A:A,E181+1,'Mortality Tarif Male'!G:G)-SUMIF('Mortality Tarif Male'!A:A,$C$2+$H$2,'Mortality Tarif Male'!G:G)+SUMIF('Mortality Tarif Male'!A:A,$C$2+$H$2,'Mortality Tarif Male'!D:D))/SUMIF('Mortality Tarif Male'!A:A,E181+1,'Mortality Tarif Male'!D:D),(SUMIF('Mortality Tarif Female'!A:A,E181+1,'Mortality Tarif Female'!G:G)-SUMIF('Mortality Tarif Female'!A:A,$C$2+$H$2,'Mortality Tarif Female'!G:G)+SUMIF('Mortality Tarif Female'!A:A,$C$2+$H$2,'Mortality Tarif Female'!D:D))/SUMIF('Mortality Tarif Female'!A:A,E181+1,'Mortality Tarif Female'!D:D)))</f>
        <v>0.8157071733624115</v>
      </c>
      <c r="T180">
        <f t="shared" si="89"/>
        <v>0.75</v>
      </c>
      <c r="U180">
        <f t="shared" si="90"/>
        <v>0.79550849975754767</v>
      </c>
      <c r="V180">
        <f t="shared" si="91"/>
        <v>15910.169995150953</v>
      </c>
      <c r="W180">
        <f t="shared" si="81"/>
        <v>20.762771843671995</v>
      </c>
      <c r="X180">
        <f t="shared" si="82"/>
        <v>0</v>
      </c>
      <c r="Y180">
        <f>IF(B180&gt;$AF$2,0,IF(X181=0,0,(1-X181)*($E$2+IF(E180&lt;=Assumptions!$B$9,$D$2,0))/$I$2*1/(1+$AG$2)*1/(1+Assumptions!$B$11)))</f>
        <v>0</v>
      </c>
      <c r="Z180">
        <f>IF(B180&gt;$AF$2,0,IF($Y$2=1,(SUMIF('Mortality Tarif Male'!A:A,E181,'Mortality Tarif Male'!E:E)-SUMIF('Mortality Tarif Male'!A:A,$C$2+$H$2,'Mortality Tarif Male'!E:E))/SUMIF('Mortality Tarif Male'!A:A,E181,'Mortality Tarif Male'!D:D),(SUMIF('Mortality Tarif Female'!A:A,E181,'Mortality Tarif Female'!E:E)-SUMIF('Mortality Tarif Female'!A:A,$C$2+$H$2,'Mortality Tarif Female'!E:E))/SUMIF('Mortality Tarif Female'!A:A,E181,'Mortality Tarif Female'!D:D)))</f>
        <v>6.2592831798688557</v>
      </c>
      <c r="AA180">
        <f>IF(B180&gt;=$AF$2,0,IF($Y$2=1,(SUMIF('Mortality Tarif Male'!A:A,E181+1,'Mortality Tarif Male'!E:E)-SUMIF('Mortality Tarif Male'!A:A,$C$2+$H$2,'Mortality Tarif Male'!E:E))/SUMIF('Mortality Tarif Male'!A:A,E181+1,'Mortality Tarif Male'!D:D),(SUMIF('Mortality Tarif Female'!A:A,E181+1,'Mortality Tarif Female'!E:E)-SUMIF('Mortality Tarif Female'!A:A,$C$2+$H$2,'Mortality Tarif Female'!E:E))/SUMIF('Mortality Tarif Female'!A:A,E181+1,'Mortality Tarif Female'!D:D)))</f>
        <v>5.4616568003844552</v>
      </c>
      <c r="AB180">
        <f t="shared" si="76"/>
        <v>1459.3683357543262</v>
      </c>
      <c r="AC180">
        <f>IF(B180&gt;=$AF$2,0,MIN(1/3*(V180+W180+Y180-AB180),(V180-AB180),(T180*Z180+(1-T180)*AA180)*$AH$2*Assumptions!$B$22))</f>
        <v>157.95662763833084</v>
      </c>
      <c r="AD180">
        <f t="shared" si="92"/>
        <v>14313.607803601968</v>
      </c>
      <c r="AE180">
        <f t="shared" si="93"/>
        <v>14471.564431240298</v>
      </c>
      <c r="AF180">
        <f t="shared" si="94"/>
        <v>14313.607803601968</v>
      </c>
      <c r="AG180" s="26">
        <f t="shared" si="105"/>
        <v>0</v>
      </c>
      <c r="AH180" s="27">
        <f>IF(B180&gt;$AF$2,0,HLOOKUP(YEAR(A180),Assumptions!$A$34:$AL$37,4,TRUE)/100)</f>
        <v>1.4269E-2</v>
      </c>
      <c r="AI180">
        <f t="shared" si="95"/>
        <v>0</v>
      </c>
      <c r="AJ180">
        <f t="shared" si="96"/>
        <v>2.9782029947041138</v>
      </c>
      <c r="AK180">
        <f t="shared" si="97"/>
        <v>25.278358333026176</v>
      </c>
      <c r="AL180">
        <f>IF(E180&gt;Assumptions!$B$9,0,SUMPRODUCT($P$2:$X$2,Assumptions!$A$43:$I$43)/$I$2*O179*K180)</f>
        <v>3.3180608342625537</v>
      </c>
      <c r="AM180">
        <f t="shared" si="98"/>
        <v>0</v>
      </c>
      <c r="AN180">
        <f t="shared" si="99"/>
        <v>31.574622161992842</v>
      </c>
      <c r="AO180">
        <f>IF(E180&gt;Assumptions!$B$9,0,($V$2+$X$2)/$I$2*O179*K180*Assumptions!$B$46)</f>
        <v>0</v>
      </c>
      <c r="AP180">
        <f>IF(B180&gt;$AF$2,0,AP179*(1+Assumptions!$B$52)^(1/12))</f>
        <v>1.1504277459089471</v>
      </c>
      <c r="AQ180" s="29">
        <f>IF(B180&gt;$AF$2,0,O179*Assumptions!$B$48/12*AP179+AR180*Assumptions!$B$50/12)</f>
        <v>10.764155947804142</v>
      </c>
      <c r="AR180" s="31">
        <f t="shared" si="100"/>
        <v>8450.1958310682112</v>
      </c>
      <c r="AS180">
        <f t="shared" si="83"/>
        <v>8451.3505609587191</v>
      </c>
      <c r="AT180">
        <f t="shared" si="101"/>
        <v>11.887841300851255</v>
      </c>
      <c r="AU180" s="19">
        <f t="shared" si="102"/>
        <v>8457.8823555135696</v>
      </c>
      <c r="AV180" s="19">
        <f t="shared" si="103"/>
        <v>8450.1958310682112</v>
      </c>
      <c r="AW180">
        <f t="shared" si="104"/>
        <v>-10.104611609884945</v>
      </c>
      <c r="AX180">
        <f>IF(B180&gt;$AF$2,0,HLOOKUP(YEAR(A180),Assumptions!$A$34:$AL$37,2,TRUE)/100)</f>
        <v>2.0268999999999999E-2</v>
      </c>
      <c r="AY180" s="32">
        <f>1/(1+HLOOKUP(YEAR(A180),Assumptions!$A$27:$AL$29,3,TRUE))^(1/12)</f>
        <v>0.9983964236411178</v>
      </c>
      <c r="AZ180" s="30">
        <f t="shared" si="84"/>
        <v>9116.0373533176116</v>
      </c>
      <c r="BA180">
        <f>IF(B180&gt;$AF$2,0,IF($E$2=0,(T180*Z180+(1-T180)*AA180)*$J$2*Assumptions!$B$20,0))</f>
        <v>0</v>
      </c>
    </row>
    <row r="181" spans="1:53" x14ac:dyDescent="0.25">
      <c r="A181" s="17">
        <f t="shared" si="85"/>
        <v>48273</v>
      </c>
      <c r="B181">
        <f t="shared" si="77"/>
        <v>400</v>
      </c>
      <c r="C181">
        <f t="shared" si="78"/>
        <v>33.25</v>
      </c>
      <c r="D181">
        <f t="shared" si="106"/>
        <v>0</v>
      </c>
      <c r="E181">
        <f t="shared" si="79"/>
        <v>56</v>
      </c>
      <c r="F181">
        <f>IF(C181&gt;=$H$2,0,VLOOKUP($E181,'Mortality Table'!$A$3:$C$128,2+AB$2,FALSE))</f>
        <v>2.7833999999999997E-3</v>
      </c>
      <c r="G181">
        <f>F181*Assumptions!$B$1</f>
        <v>3.0130304999999996E-3</v>
      </c>
      <c r="H181">
        <f t="shared" si="86"/>
        <v>2.5143328658805419E-4</v>
      </c>
      <c r="I181">
        <f t="shared" si="107"/>
        <v>1.4823536040073763E-4</v>
      </c>
      <c r="J181">
        <f>HLOOKUP(C181,Assumptions!$A$6:$J$7,2,TRUE)</f>
        <v>3.5200000000000002E-2</v>
      </c>
      <c r="K181" s="18">
        <f t="shared" si="80"/>
        <v>1</v>
      </c>
      <c r="L181" s="18">
        <f t="shared" si="87"/>
        <v>8.3333333333333329E-2</v>
      </c>
      <c r="M181" s="18">
        <f t="shared" si="108"/>
        <v>2.9817501439168836E-3</v>
      </c>
      <c r="N181">
        <f t="shared" si="109"/>
        <v>1.760328217798601E-3</v>
      </c>
      <c r="O181" s="20">
        <f t="shared" si="110"/>
        <v>0.58853311101008765</v>
      </c>
      <c r="P181">
        <f>IF(B181&gt;$AF$2,0,O180*($E$2+IF(E181&lt;=Assumptions!$B$9,$D$2,0))/$I$2*K181)</f>
        <v>30.240454433496762</v>
      </c>
      <c r="Q181">
        <f t="shared" si="88"/>
        <v>26.1</v>
      </c>
      <c r="R181">
        <f>IF(B181&gt;$AF$2,0,IF($Y$2=1,(SUMIF('Mortality Tarif Male'!A:A,E182,'Mortality Tarif Male'!G:G)-SUMIF('Mortality Tarif Male'!A:A,$C$2+$H$2,'Mortality Tarif Male'!G:G)+SUMIF('Mortality Tarif Male'!A:A,$C$2+$H$2,'Mortality Tarif Male'!D:D))/SUMIF('Mortality Tarif Male'!A:A,E182,'Mortality Tarif Male'!D:D),(SUMIF('Mortality Tarif Female'!A:A,E182,'Mortality Tarif Female'!G:G)-SUMIF('Mortality Tarif Female'!A:A,$C$2+$H$2,'Mortality Tarif Female'!G:G)+SUMIF('Mortality Tarif Female'!A:A,$C$2+$H$2,'Mortality Tarif Female'!D:D))/SUMIF('Mortality Tarif Female'!A:A,E182,'Mortality Tarif Female'!D:D)))</f>
        <v>0.78877560855592654</v>
      </c>
      <c r="S181">
        <f>IF(B181&gt;=$AF$2,0,IF($Y$2=1,(SUMIF('Mortality Tarif Male'!A:A,E182+1,'Mortality Tarif Male'!G:G)-SUMIF('Mortality Tarif Male'!A:A,$C$2+$H$2,'Mortality Tarif Male'!G:G)+SUMIF('Mortality Tarif Male'!A:A,$C$2+$H$2,'Mortality Tarif Male'!D:D))/SUMIF('Mortality Tarif Male'!A:A,E182+1,'Mortality Tarif Male'!D:D),(SUMIF('Mortality Tarif Female'!A:A,E182+1,'Mortality Tarif Female'!G:G)-SUMIF('Mortality Tarif Female'!A:A,$C$2+$H$2,'Mortality Tarif Female'!G:G)+SUMIF('Mortality Tarif Female'!A:A,$C$2+$H$2,'Mortality Tarif Female'!D:D))/SUMIF('Mortality Tarif Female'!A:A,E182+1,'Mortality Tarif Female'!D:D)))</f>
        <v>0.8157071733624115</v>
      </c>
      <c r="T181">
        <f t="shared" si="89"/>
        <v>0.6666666666666643</v>
      </c>
      <c r="U181">
        <f t="shared" si="90"/>
        <v>0.79775279682475486</v>
      </c>
      <c r="V181">
        <f t="shared" si="91"/>
        <v>15955.055936495097</v>
      </c>
      <c r="W181">
        <f t="shared" si="81"/>
        <v>20.821347997126104</v>
      </c>
      <c r="X181">
        <f t="shared" si="82"/>
        <v>0</v>
      </c>
      <c r="Y181">
        <f>IF(B181&gt;$AF$2,0,IF(X182=0,0,(1-X182)*($E$2+IF(E181&lt;=Assumptions!$B$9,$D$2,0))/$I$2*1/(1+$AG$2)*1/(1+Assumptions!$B$11)))</f>
        <v>0</v>
      </c>
      <c r="Z181">
        <f>IF(B181&gt;$AF$2,0,IF($Y$2=1,(SUMIF('Mortality Tarif Male'!A:A,E182,'Mortality Tarif Male'!E:E)-SUMIF('Mortality Tarif Male'!A:A,$C$2+$H$2,'Mortality Tarif Male'!E:E))/SUMIF('Mortality Tarif Male'!A:A,E182,'Mortality Tarif Male'!D:D),(SUMIF('Mortality Tarif Female'!A:A,E182,'Mortality Tarif Female'!E:E)-SUMIF('Mortality Tarif Female'!A:A,$C$2+$H$2,'Mortality Tarif Female'!E:E))/SUMIF('Mortality Tarif Female'!A:A,E182,'Mortality Tarif Female'!D:D)))</f>
        <v>6.2592831798688557</v>
      </c>
      <c r="AA181">
        <f>IF(B181&gt;=$AF$2,0,IF($Y$2=1,(SUMIF('Mortality Tarif Male'!A:A,E182+1,'Mortality Tarif Male'!E:E)-SUMIF('Mortality Tarif Male'!A:A,$C$2+$H$2,'Mortality Tarif Male'!E:E))/SUMIF('Mortality Tarif Male'!A:A,E182+1,'Mortality Tarif Male'!D:D),(SUMIF('Mortality Tarif Female'!A:A,E182+1,'Mortality Tarif Female'!E:E)-SUMIF('Mortality Tarif Female'!A:A,$C$2+$H$2,'Mortality Tarif Female'!E:E))/SUMIF('Mortality Tarif Female'!A:A,E182+1,'Mortality Tarif Female'!D:D)))</f>
        <v>5.4616568003844552</v>
      </c>
      <c r="AB181">
        <f t="shared" si="76"/>
        <v>1443.3609871769681</v>
      </c>
      <c r="AC181">
        <f>IF(B181&gt;=$AF$2,0,MIN(1/3*(V181+W181+Y181-AB181),(V181-AB181),(T181*Z181+(1-T181)*AA181)*$AH$2*Assumptions!$B$22))</f>
        <v>156.22405147043435</v>
      </c>
      <c r="AD181">
        <f t="shared" si="92"/>
        <v>14376.292245844821</v>
      </c>
      <c r="AE181">
        <f t="shared" si="93"/>
        <v>14532.516297315255</v>
      </c>
      <c r="AF181">
        <f t="shared" si="94"/>
        <v>14376.292245844821</v>
      </c>
      <c r="AG181" s="26">
        <f t="shared" si="105"/>
        <v>0</v>
      </c>
      <c r="AH181" s="27">
        <f>IF(B181&gt;$AF$2,0,HLOOKUP(YEAR(A181),Assumptions!$A$34:$AL$37,4,TRUE)/100)</f>
        <v>1.4269E-2</v>
      </c>
      <c r="AI181">
        <f t="shared" si="95"/>
        <v>0</v>
      </c>
      <c r="AJ181">
        <f t="shared" si="96"/>
        <v>2.9685761509212116</v>
      </c>
      <c r="AK181">
        <f t="shared" si="97"/>
        <v>25.306992907679859</v>
      </c>
      <c r="AL181">
        <f>IF(E181&gt;Assumptions!$B$9,0,SUMPRODUCT($P$2:$X$2,Assumptions!$A$43:$I$43)/$I$2*O180*K181)</f>
        <v>3.3073354225393059</v>
      </c>
      <c r="AM181">
        <f t="shared" si="98"/>
        <v>0</v>
      </c>
      <c r="AN181">
        <f t="shared" si="99"/>
        <v>31.582904481140378</v>
      </c>
      <c r="AO181">
        <f>IF(E181&gt;Assumptions!$B$9,0,($V$2+$X$2)/$I$2*O180*K181*Assumptions!$B$46)</f>
        <v>0</v>
      </c>
      <c r="AP181">
        <f>IF(B181&gt;$AF$2,0,AP180*(1+Assumptions!$B$52)^(1/12))</f>
        <v>1.1513820695719799</v>
      </c>
      <c r="AQ181" s="29">
        <f>IF(B181&gt;$AF$2,0,O180*Assumptions!$B$48/12*AP180+AR181*Assumptions!$B$50/12)</f>
        <v>10.743075891827361</v>
      </c>
      <c r="AR181" s="31">
        <f t="shared" si="100"/>
        <v>8449.7880285680767</v>
      </c>
      <c r="AS181">
        <f t="shared" si="83"/>
        <v>8460.9240002372517</v>
      </c>
      <c r="AT181">
        <f t="shared" si="101"/>
        <v>11.849414641781093</v>
      </c>
      <c r="AU181" s="19">
        <f t="shared" si="102"/>
        <v>8457.4359924679648</v>
      </c>
      <c r="AV181" s="19">
        <f t="shared" si="103"/>
        <v>8459.8926401779609</v>
      </c>
      <c r="AW181">
        <f t="shared" si="104"/>
        <v>-20.237808806272412</v>
      </c>
      <c r="AX181">
        <f>IF(B181&gt;$AF$2,0,HLOOKUP(YEAR(A181),Assumptions!$A$34:$AL$37,2,TRUE)/100)</f>
        <v>2.0268999999999999E-2</v>
      </c>
      <c r="AY181" s="32">
        <f>1/(1+HLOOKUP(YEAR(A181),Assumptions!$A$27:$AL$29,3,TRUE))^(1/12)</f>
        <v>0.9983964236411178</v>
      </c>
      <c r="AZ181" s="30">
        <f t="shared" si="84"/>
        <v>9118.5935685145469</v>
      </c>
      <c r="BA181">
        <f>IF(B181&gt;$AF$2,0,IF($E$2=0,(T181*Z181+(1-T181)*AA181)*$J$2*Assumptions!$B$20,0))</f>
        <v>0</v>
      </c>
    </row>
    <row r="182" spans="1:53" x14ac:dyDescent="0.25">
      <c r="A182" s="17">
        <f t="shared" si="85"/>
        <v>48304</v>
      </c>
      <c r="B182">
        <f t="shared" si="77"/>
        <v>401</v>
      </c>
      <c r="C182">
        <f t="shared" si="78"/>
        <v>33.333333333333336</v>
      </c>
      <c r="D182">
        <f t="shared" si="106"/>
        <v>0</v>
      </c>
      <c r="E182">
        <f t="shared" si="79"/>
        <v>56</v>
      </c>
      <c r="F182">
        <f>IF(C182&gt;=$H$2,0,VLOOKUP($E182,'Mortality Table'!$A$3:$C$128,2+AB$2,FALSE))</f>
        <v>2.7833999999999997E-3</v>
      </c>
      <c r="G182">
        <f>F182*Assumptions!$B$1</f>
        <v>3.0130304999999996E-3</v>
      </c>
      <c r="H182">
        <f t="shared" si="86"/>
        <v>2.5143328658805419E-4</v>
      </c>
      <c r="I182">
        <f t="shared" si="107"/>
        <v>1.4775619942339064E-4</v>
      </c>
      <c r="J182">
        <f>HLOOKUP(C182,Assumptions!$A$6:$J$7,2,TRUE)</f>
        <v>3.5200000000000002E-2</v>
      </c>
      <c r="K182" s="18">
        <f t="shared" si="80"/>
        <v>1</v>
      </c>
      <c r="L182" s="18">
        <f t="shared" si="87"/>
        <v>8.3333333333333329E-2</v>
      </c>
      <c r="M182" s="18">
        <f t="shared" si="108"/>
        <v>2.9817501439168836E-3</v>
      </c>
      <c r="N182">
        <f t="shared" si="109"/>
        <v>1.7546380735104124E-3</v>
      </c>
      <c r="O182" s="20">
        <f t="shared" si="110"/>
        <v>0.58663071673715383</v>
      </c>
      <c r="P182">
        <f>IF(B182&gt;$AF$2,0,O181*($E$2+IF(E182&lt;=Assumptions!$B$9,$D$2,0))/$I$2*K182)</f>
        <v>30.142704168899986</v>
      </c>
      <c r="Q182">
        <f t="shared" si="88"/>
        <v>26.1</v>
      </c>
      <c r="R182">
        <f>IF(B182&gt;$AF$2,0,IF($Y$2=1,(SUMIF('Mortality Tarif Male'!A:A,E183,'Mortality Tarif Male'!G:G)-SUMIF('Mortality Tarif Male'!A:A,$C$2+$H$2,'Mortality Tarif Male'!G:G)+SUMIF('Mortality Tarif Male'!A:A,$C$2+$H$2,'Mortality Tarif Male'!D:D))/SUMIF('Mortality Tarif Male'!A:A,E183,'Mortality Tarif Male'!D:D),(SUMIF('Mortality Tarif Female'!A:A,E183,'Mortality Tarif Female'!G:G)-SUMIF('Mortality Tarif Female'!A:A,$C$2+$H$2,'Mortality Tarif Female'!G:G)+SUMIF('Mortality Tarif Female'!A:A,$C$2+$H$2,'Mortality Tarif Female'!D:D))/SUMIF('Mortality Tarif Female'!A:A,E183,'Mortality Tarif Female'!D:D)))</f>
        <v>0.78877560855592654</v>
      </c>
      <c r="S182">
        <f>IF(B182&gt;=$AF$2,0,IF($Y$2=1,(SUMIF('Mortality Tarif Male'!A:A,E183+1,'Mortality Tarif Male'!G:G)-SUMIF('Mortality Tarif Male'!A:A,$C$2+$H$2,'Mortality Tarif Male'!G:G)+SUMIF('Mortality Tarif Male'!A:A,$C$2+$H$2,'Mortality Tarif Male'!D:D))/SUMIF('Mortality Tarif Male'!A:A,E183+1,'Mortality Tarif Male'!D:D),(SUMIF('Mortality Tarif Female'!A:A,E183+1,'Mortality Tarif Female'!G:G)-SUMIF('Mortality Tarif Female'!A:A,$C$2+$H$2,'Mortality Tarif Female'!G:G)+SUMIF('Mortality Tarif Female'!A:A,$C$2+$H$2,'Mortality Tarif Female'!D:D))/SUMIF('Mortality Tarif Female'!A:A,E183+1,'Mortality Tarif Female'!D:D)))</f>
        <v>0.8157071733624115</v>
      </c>
      <c r="T182">
        <f t="shared" si="89"/>
        <v>0.5833333333333357</v>
      </c>
      <c r="U182">
        <f t="shared" si="90"/>
        <v>0.79999709389196183</v>
      </c>
      <c r="V182">
        <f t="shared" si="91"/>
        <v>15999.941877839237</v>
      </c>
      <c r="W182">
        <f t="shared" si="81"/>
        <v>20.879924150580205</v>
      </c>
      <c r="X182">
        <f t="shared" si="82"/>
        <v>0</v>
      </c>
      <c r="Y182">
        <f>IF(B182&gt;$AF$2,0,IF(X183=0,0,(1-X183)*($E$2+IF(E182&lt;=Assumptions!$B$9,$D$2,0))/$I$2*1/(1+$AG$2)*1/(1+Assumptions!$B$11)))</f>
        <v>0</v>
      </c>
      <c r="Z182">
        <f>IF(B182&gt;$AF$2,0,IF($Y$2=1,(SUMIF('Mortality Tarif Male'!A:A,E183,'Mortality Tarif Male'!E:E)-SUMIF('Mortality Tarif Male'!A:A,$C$2+$H$2,'Mortality Tarif Male'!E:E))/SUMIF('Mortality Tarif Male'!A:A,E183,'Mortality Tarif Male'!D:D),(SUMIF('Mortality Tarif Female'!A:A,E183,'Mortality Tarif Female'!E:E)-SUMIF('Mortality Tarif Female'!A:A,$C$2+$H$2,'Mortality Tarif Female'!E:E))/SUMIF('Mortality Tarif Female'!A:A,E183,'Mortality Tarif Female'!D:D)))</f>
        <v>6.2592831798688557</v>
      </c>
      <c r="AA182">
        <f>IF(B182&gt;=$AF$2,0,IF($Y$2=1,(SUMIF('Mortality Tarif Male'!A:A,E183+1,'Mortality Tarif Male'!E:E)-SUMIF('Mortality Tarif Male'!A:A,$C$2+$H$2,'Mortality Tarif Male'!E:E))/SUMIF('Mortality Tarif Male'!A:A,E183+1,'Mortality Tarif Male'!D:D),(SUMIF('Mortality Tarif Female'!A:A,E183+1,'Mortality Tarif Female'!E:E)-SUMIF('Mortality Tarif Female'!A:A,$C$2+$H$2,'Mortality Tarif Female'!E:E))/SUMIF('Mortality Tarif Female'!A:A,E183+1,'Mortality Tarif Female'!D:D)))</f>
        <v>5.4616568003844552</v>
      </c>
      <c r="AB182">
        <f t="shared" si="76"/>
        <v>1427.3536385996119</v>
      </c>
      <c r="AC182">
        <f>IF(B182&gt;=$AF$2,0,MIN(1/3*(V182+W182+Y182-AB182),(V182-AB182),(T182*Z182+(1-T182)*AA182)*$AH$2*Assumptions!$B$22))</f>
        <v>154.49147530253805</v>
      </c>
      <c r="AD182">
        <f t="shared" si="92"/>
        <v>14438.976688087667</v>
      </c>
      <c r="AE182">
        <f t="shared" si="93"/>
        <v>14593.468163390206</v>
      </c>
      <c r="AF182">
        <f t="shared" si="94"/>
        <v>14438.976688087667</v>
      </c>
      <c r="AG182" s="26">
        <f t="shared" si="105"/>
        <v>0</v>
      </c>
      <c r="AH182" s="27">
        <f>IF(B182&gt;$AF$2,0,HLOOKUP(YEAR(A182),Assumptions!$A$34:$AL$37,4,TRUE)/100)</f>
        <v>1.4269E-2</v>
      </c>
      <c r="AI182">
        <f t="shared" si="95"/>
        <v>0</v>
      </c>
      <c r="AJ182">
        <f t="shared" si="96"/>
        <v>2.9589804252727632</v>
      </c>
      <c r="AK182">
        <f t="shared" si="97"/>
        <v>25.335178239447899</v>
      </c>
      <c r="AL182">
        <f>IF(E182&gt;Assumptions!$B$9,0,SUMPRODUCT($P$2:$X$2,Assumptions!$A$43:$I$43)/$I$2*O181*K182)</f>
        <v>3.2966446799985651</v>
      </c>
      <c r="AM182">
        <f t="shared" si="98"/>
        <v>0</v>
      </c>
      <c r="AN182">
        <f t="shared" si="99"/>
        <v>31.590803344719227</v>
      </c>
      <c r="AO182">
        <f>IF(E182&gt;Assumptions!$B$9,0,($V$2+$X$2)/$I$2*O181*K182*Assumptions!$B$46)</f>
        <v>0</v>
      </c>
      <c r="AP182">
        <f>IF(B182&gt;$AF$2,0,AP181*(1+Assumptions!$B$52)^(1/12))</f>
        <v>1.1523371848828645</v>
      </c>
      <c r="AQ182" s="29">
        <f>IF(B182&gt;$AF$2,0,O181*Assumptions!$B$48/12*AP181+AR182*Assumptions!$B$50/12)</f>
        <v>10.722002913086024</v>
      </c>
      <c r="AR182" s="31">
        <f t="shared" si="100"/>
        <v>8449.2006589453213</v>
      </c>
      <c r="AS182">
        <f t="shared" si="83"/>
        <v>8470.3472434839241</v>
      </c>
      <c r="AT182">
        <f t="shared" si="101"/>
        <v>11.811112194339429</v>
      </c>
      <c r="AU182" s="19">
        <f t="shared" si="102"/>
        <v>8456.8102480067955</v>
      </c>
      <c r="AV182" s="19">
        <f t="shared" si="103"/>
        <v>8469.4384677515936</v>
      </c>
      <c r="AW182">
        <f t="shared" si="104"/>
        <v>-30.399458347777042</v>
      </c>
      <c r="AX182">
        <f>IF(B182&gt;$AF$2,0,HLOOKUP(YEAR(A182),Assumptions!$A$34:$AL$37,2,TRUE)/100)</f>
        <v>2.0268999999999999E-2</v>
      </c>
      <c r="AY182" s="32">
        <f>1/(1+HLOOKUP(YEAR(A182),Assumptions!$A$27:$AL$29,3,TRUE))^(1/12)</f>
        <v>0.9983964236411178</v>
      </c>
      <c r="AZ182" s="30">
        <f t="shared" si="84"/>
        <v>9121.0693132320612</v>
      </c>
      <c r="BA182">
        <f>IF(B182&gt;$AF$2,0,IF($E$2=0,(T182*Z182+(1-T182)*AA182)*$J$2*Assumptions!$B$20,0))</f>
        <v>0</v>
      </c>
    </row>
    <row r="183" spans="1:53" x14ac:dyDescent="0.25">
      <c r="A183" s="17">
        <f t="shared" si="85"/>
        <v>48334</v>
      </c>
      <c r="B183">
        <f t="shared" si="77"/>
        <v>402</v>
      </c>
      <c r="C183">
        <f t="shared" si="78"/>
        <v>33.416666666666664</v>
      </c>
      <c r="D183">
        <f t="shared" si="106"/>
        <v>0</v>
      </c>
      <c r="E183">
        <f t="shared" si="79"/>
        <v>56</v>
      </c>
      <c r="F183">
        <f>IF(C183&gt;=$H$2,0,VLOOKUP($E183,'Mortality Table'!$A$3:$C$128,2+AB$2,FALSE))</f>
        <v>2.7833999999999997E-3</v>
      </c>
      <c r="G183">
        <f>F183*Assumptions!$B$1</f>
        <v>3.0130304999999996E-3</v>
      </c>
      <c r="H183">
        <f t="shared" si="86"/>
        <v>2.5143328658805419E-4</v>
      </c>
      <c r="I183">
        <f t="shared" si="107"/>
        <v>1.4727858730214383E-4</v>
      </c>
      <c r="J183">
        <f>HLOOKUP(C183,Assumptions!$A$6:$J$7,2,TRUE)</f>
        <v>3.5200000000000002E-2</v>
      </c>
      <c r="K183" s="18">
        <f t="shared" si="80"/>
        <v>1</v>
      </c>
      <c r="L183" s="18">
        <f t="shared" si="87"/>
        <v>8.3333333333333329E-2</v>
      </c>
      <c r="M183" s="18">
        <f t="shared" si="108"/>
        <v>2.9817501439168836E-3</v>
      </c>
      <c r="N183">
        <f t="shared" si="109"/>
        <v>1.7489663222364886E-3</v>
      </c>
      <c r="O183" s="20">
        <f t="shared" si="110"/>
        <v>0.58473447182761518</v>
      </c>
      <c r="P183">
        <f>IF(B183&gt;$AF$2,0,O182*($E$2+IF(E183&lt;=Assumptions!$B$9,$D$2,0))/$I$2*K183)</f>
        <v>30.045269875554556</v>
      </c>
      <c r="Q183">
        <f t="shared" si="88"/>
        <v>26.1</v>
      </c>
      <c r="R183">
        <f>IF(B183&gt;$AF$2,0,IF($Y$2=1,(SUMIF('Mortality Tarif Male'!A:A,E184,'Mortality Tarif Male'!G:G)-SUMIF('Mortality Tarif Male'!A:A,$C$2+$H$2,'Mortality Tarif Male'!G:G)+SUMIF('Mortality Tarif Male'!A:A,$C$2+$H$2,'Mortality Tarif Male'!D:D))/SUMIF('Mortality Tarif Male'!A:A,E184,'Mortality Tarif Male'!D:D),(SUMIF('Mortality Tarif Female'!A:A,E184,'Mortality Tarif Female'!G:G)-SUMIF('Mortality Tarif Female'!A:A,$C$2+$H$2,'Mortality Tarif Female'!G:G)+SUMIF('Mortality Tarif Female'!A:A,$C$2+$H$2,'Mortality Tarif Female'!D:D))/SUMIF('Mortality Tarif Female'!A:A,E184,'Mortality Tarif Female'!D:D)))</f>
        <v>0.78877560855592654</v>
      </c>
      <c r="S183">
        <f>IF(B183&gt;=$AF$2,0,IF($Y$2=1,(SUMIF('Mortality Tarif Male'!A:A,E184+1,'Mortality Tarif Male'!G:G)-SUMIF('Mortality Tarif Male'!A:A,$C$2+$H$2,'Mortality Tarif Male'!G:G)+SUMIF('Mortality Tarif Male'!A:A,$C$2+$H$2,'Mortality Tarif Male'!D:D))/SUMIF('Mortality Tarif Male'!A:A,E184+1,'Mortality Tarif Male'!D:D),(SUMIF('Mortality Tarif Female'!A:A,E184+1,'Mortality Tarif Female'!G:G)-SUMIF('Mortality Tarif Female'!A:A,$C$2+$H$2,'Mortality Tarif Female'!G:G)+SUMIF('Mortality Tarif Female'!A:A,$C$2+$H$2,'Mortality Tarif Female'!D:D))/SUMIF('Mortality Tarif Female'!A:A,E184+1,'Mortality Tarif Female'!D:D)))</f>
        <v>0.8157071733624115</v>
      </c>
      <c r="T183">
        <f t="shared" si="89"/>
        <v>0.5</v>
      </c>
      <c r="U183">
        <f t="shared" si="90"/>
        <v>0.80224139095916902</v>
      </c>
      <c r="V183">
        <f t="shared" si="91"/>
        <v>16044.82781918338</v>
      </c>
      <c r="W183">
        <f t="shared" si="81"/>
        <v>20.938500304034314</v>
      </c>
      <c r="X183">
        <f t="shared" si="82"/>
        <v>0</v>
      </c>
      <c r="Y183">
        <f>IF(B183&gt;$AF$2,0,IF(X184=0,0,(1-X184)*($E$2+IF(E183&lt;=Assumptions!$B$9,$D$2,0))/$I$2*1/(1+$AG$2)*1/(1+Assumptions!$B$11)))</f>
        <v>0</v>
      </c>
      <c r="Z183">
        <f>IF(B183&gt;$AF$2,0,IF($Y$2=1,(SUMIF('Mortality Tarif Male'!A:A,E184,'Mortality Tarif Male'!E:E)-SUMIF('Mortality Tarif Male'!A:A,$C$2+$H$2,'Mortality Tarif Male'!E:E))/SUMIF('Mortality Tarif Male'!A:A,E184,'Mortality Tarif Male'!D:D),(SUMIF('Mortality Tarif Female'!A:A,E184,'Mortality Tarif Female'!E:E)-SUMIF('Mortality Tarif Female'!A:A,$C$2+$H$2,'Mortality Tarif Female'!E:E))/SUMIF('Mortality Tarif Female'!A:A,E184,'Mortality Tarif Female'!D:D)))</f>
        <v>6.2592831798688557</v>
      </c>
      <c r="AA183">
        <f>IF(B183&gt;=$AF$2,0,IF($Y$2=1,(SUMIF('Mortality Tarif Male'!A:A,E184+1,'Mortality Tarif Male'!E:E)-SUMIF('Mortality Tarif Male'!A:A,$C$2+$H$2,'Mortality Tarif Male'!E:E))/SUMIF('Mortality Tarif Male'!A:A,E184+1,'Mortality Tarif Male'!D:D),(SUMIF('Mortality Tarif Female'!A:A,E184+1,'Mortality Tarif Female'!E:E)-SUMIF('Mortality Tarif Female'!A:A,$C$2+$H$2,'Mortality Tarif Female'!E:E))/SUMIF('Mortality Tarif Female'!A:A,E184+1,'Mortality Tarif Female'!D:D)))</f>
        <v>5.4616568003844552</v>
      </c>
      <c r="AB183">
        <f t="shared" si="76"/>
        <v>1411.3462900222542</v>
      </c>
      <c r="AC183">
        <f>IF(B183&gt;=$AF$2,0,MIN(1/3*(V183+W183+Y183-AB183),(V183-AB183),(T183*Z183+(1-T183)*AA183)*$AH$2*Assumptions!$B$22))</f>
        <v>152.75889913464158</v>
      </c>
      <c r="AD183">
        <f t="shared" si="92"/>
        <v>14501.661130330518</v>
      </c>
      <c r="AE183">
        <f t="shared" si="93"/>
        <v>14654.42002946516</v>
      </c>
      <c r="AF183">
        <f t="shared" si="94"/>
        <v>14501.661130330518</v>
      </c>
      <c r="AG183" s="26">
        <f t="shared" si="105"/>
        <v>0</v>
      </c>
      <c r="AH183" s="27">
        <f>IF(B183&gt;$AF$2,0,HLOOKUP(YEAR(A183),Assumptions!$A$34:$AL$37,4,TRUE)/100)</f>
        <v>1.4269E-2</v>
      </c>
      <c r="AI183">
        <f t="shared" si="95"/>
        <v>0</v>
      </c>
      <c r="AJ183">
        <f t="shared" si="96"/>
        <v>2.9494157171714623</v>
      </c>
      <c r="AK183">
        <f t="shared" si="97"/>
        <v>25.362916933434008</v>
      </c>
      <c r="AL183">
        <f>IF(E183&gt;Assumptions!$B$9,0,SUMPRODUCT($P$2:$X$2,Assumptions!$A$43:$I$43)/$I$2*O182*K183)</f>
        <v>3.2859884945744975</v>
      </c>
      <c r="AM183">
        <f t="shared" si="98"/>
        <v>0</v>
      </c>
      <c r="AN183">
        <f t="shared" si="99"/>
        <v>31.598321145179966</v>
      </c>
      <c r="AO183">
        <f>IF(E183&gt;Assumptions!$B$9,0,($V$2+$X$2)/$I$2*O182*K183*Assumptions!$B$46)</f>
        <v>0</v>
      </c>
      <c r="AP183">
        <f>IF(B183&gt;$AF$2,0,AP182*(1+Assumptions!$B$52)^(1/12))</f>
        <v>1.1532930924983031</v>
      </c>
      <c r="AQ183" s="29">
        <f>IF(B183&gt;$AF$2,0,O182*Assumptions!$B$48/12*AP182+AR183*Assumptions!$B$50/12)</f>
        <v>10.70093713376402</v>
      </c>
      <c r="AR183" s="31">
        <f t="shared" si="100"/>
        <v>8448.4347301985927</v>
      </c>
      <c r="AS183">
        <f t="shared" si="83"/>
        <v>8479.6211616668716</v>
      </c>
      <c r="AT183">
        <f t="shared" si="101"/>
        <v>11.772933557020409</v>
      </c>
      <c r="AU183" s="19">
        <f t="shared" si="102"/>
        <v>8456.0061293833623</v>
      </c>
      <c r="AV183" s="19">
        <f t="shared" si="103"/>
        <v>8478.8341885463706</v>
      </c>
      <c r="AW183">
        <f t="shared" si="104"/>
        <v>-40.589427818621843</v>
      </c>
      <c r="AX183">
        <f>IF(B183&gt;$AF$2,0,HLOOKUP(YEAR(A183),Assumptions!$A$34:$AL$37,2,TRUE)/100)</f>
        <v>2.0268999999999999E-2</v>
      </c>
      <c r="AY183" s="32">
        <f>1/(1+HLOOKUP(YEAR(A183),Assumptions!$A$27:$AL$29,3,TRUE))^(1/12)</f>
        <v>0.9983964236411178</v>
      </c>
      <c r="AZ183" s="30">
        <f t="shared" si="84"/>
        <v>9123.4651480572866</v>
      </c>
      <c r="BA183">
        <f>IF(B183&gt;$AF$2,0,IF($E$2=0,(T183*Z183+(1-T183)*AA183)*$J$2*Assumptions!$B$20,0))</f>
        <v>0</v>
      </c>
    </row>
    <row r="184" spans="1:53" x14ac:dyDescent="0.25">
      <c r="A184" s="17">
        <f t="shared" si="85"/>
        <v>48365</v>
      </c>
      <c r="B184">
        <f t="shared" si="77"/>
        <v>403</v>
      </c>
      <c r="C184">
        <f t="shared" si="78"/>
        <v>33.5</v>
      </c>
      <c r="D184">
        <f t="shared" si="106"/>
        <v>0</v>
      </c>
      <c r="E184">
        <f t="shared" si="79"/>
        <v>56</v>
      </c>
      <c r="F184">
        <f>IF(C184&gt;=$H$2,0,VLOOKUP($E184,'Mortality Table'!$A$3:$C$128,2+AB$2,FALSE))</f>
        <v>2.7833999999999997E-3</v>
      </c>
      <c r="G184">
        <f>F184*Assumptions!$B$1</f>
        <v>3.0130304999999996E-3</v>
      </c>
      <c r="H184">
        <f t="shared" si="86"/>
        <v>2.5143328658805419E-4</v>
      </c>
      <c r="I184">
        <f t="shared" si="107"/>
        <v>1.4680251903042245E-4</v>
      </c>
      <c r="J184">
        <f>HLOOKUP(C184,Assumptions!$A$6:$J$7,2,TRUE)</f>
        <v>3.5200000000000002E-2</v>
      </c>
      <c r="K184" s="18">
        <f t="shared" si="80"/>
        <v>1</v>
      </c>
      <c r="L184" s="18">
        <f t="shared" si="87"/>
        <v>8.3333333333333329E-2</v>
      </c>
      <c r="M184" s="18">
        <f t="shared" si="108"/>
        <v>2.9817501439168836E-3</v>
      </c>
      <c r="N184">
        <f t="shared" si="109"/>
        <v>1.7433129045226299E-3</v>
      </c>
      <c r="O184" s="20">
        <f t="shared" si="110"/>
        <v>0.58284435640406207</v>
      </c>
      <c r="P184">
        <f>IF(B184&gt;$AF$2,0,O183*($E$2+IF(E184&lt;=Assumptions!$B$9,$D$2,0))/$I$2*K184)</f>
        <v>29.948150532104354</v>
      </c>
      <c r="Q184">
        <f t="shared" si="88"/>
        <v>26.1</v>
      </c>
      <c r="R184">
        <f>IF(B184&gt;$AF$2,0,IF($Y$2=1,(SUMIF('Mortality Tarif Male'!A:A,E185,'Mortality Tarif Male'!G:G)-SUMIF('Mortality Tarif Male'!A:A,$C$2+$H$2,'Mortality Tarif Male'!G:G)+SUMIF('Mortality Tarif Male'!A:A,$C$2+$H$2,'Mortality Tarif Male'!D:D))/SUMIF('Mortality Tarif Male'!A:A,E185,'Mortality Tarif Male'!D:D),(SUMIF('Mortality Tarif Female'!A:A,E185,'Mortality Tarif Female'!G:G)-SUMIF('Mortality Tarif Female'!A:A,$C$2+$H$2,'Mortality Tarif Female'!G:G)+SUMIF('Mortality Tarif Female'!A:A,$C$2+$H$2,'Mortality Tarif Female'!D:D))/SUMIF('Mortality Tarif Female'!A:A,E185,'Mortality Tarif Female'!D:D)))</f>
        <v>0.78877560855592654</v>
      </c>
      <c r="S184">
        <f>IF(B184&gt;=$AF$2,0,IF($Y$2=1,(SUMIF('Mortality Tarif Male'!A:A,E185+1,'Mortality Tarif Male'!G:G)-SUMIF('Mortality Tarif Male'!A:A,$C$2+$H$2,'Mortality Tarif Male'!G:G)+SUMIF('Mortality Tarif Male'!A:A,$C$2+$H$2,'Mortality Tarif Male'!D:D))/SUMIF('Mortality Tarif Male'!A:A,E185+1,'Mortality Tarif Male'!D:D),(SUMIF('Mortality Tarif Female'!A:A,E185+1,'Mortality Tarif Female'!G:G)-SUMIF('Mortality Tarif Female'!A:A,$C$2+$H$2,'Mortality Tarif Female'!G:G)+SUMIF('Mortality Tarif Female'!A:A,$C$2+$H$2,'Mortality Tarif Female'!D:D))/SUMIF('Mortality Tarif Female'!A:A,E185+1,'Mortality Tarif Female'!D:D)))</f>
        <v>0.8157071733624115</v>
      </c>
      <c r="T184">
        <f t="shared" si="89"/>
        <v>0.4166666666666643</v>
      </c>
      <c r="U184">
        <f t="shared" si="90"/>
        <v>0.80448568802637621</v>
      </c>
      <c r="V184">
        <f t="shared" si="91"/>
        <v>16089.713760527524</v>
      </c>
      <c r="W184">
        <f t="shared" si="81"/>
        <v>20.997076457488419</v>
      </c>
      <c r="X184">
        <f t="shared" si="82"/>
        <v>0</v>
      </c>
      <c r="Y184">
        <f>IF(B184&gt;$AF$2,0,IF(X185=0,0,(1-X185)*($E$2+IF(E184&lt;=Assumptions!$B$9,$D$2,0))/$I$2*1/(1+$AG$2)*1/(1+Assumptions!$B$11)))</f>
        <v>0</v>
      </c>
      <c r="Z184">
        <f>IF(B184&gt;$AF$2,0,IF($Y$2=1,(SUMIF('Mortality Tarif Male'!A:A,E185,'Mortality Tarif Male'!E:E)-SUMIF('Mortality Tarif Male'!A:A,$C$2+$H$2,'Mortality Tarif Male'!E:E))/SUMIF('Mortality Tarif Male'!A:A,E185,'Mortality Tarif Male'!D:D),(SUMIF('Mortality Tarif Female'!A:A,E185,'Mortality Tarif Female'!E:E)-SUMIF('Mortality Tarif Female'!A:A,$C$2+$H$2,'Mortality Tarif Female'!E:E))/SUMIF('Mortality Tarif Female'!A:A,E185,'Mortality Tarif Female'!D:D)))</f>
        <v>6.2592831798688557</v>
      </c>
      <c r="AA184">
        <f>IF(B184&gt;=$AF$2,0,IF($Y$2=1,(SUMIF('Mortality Tarif Male'!A:A,E185+1,'Mortality Tarif Male'!E:E)-SUMIF('Mortality Tarif Male'!A:A,$C$2+$H$2,'Mortality Tarif Male'!E:E))/SUMIF('Mortality Tarif Male'!A:A,E185+1,'Mortality Tarif Male'!D:D),(SUMIF('Mortality Tarif Female'!A:A,E185+1,'Mortality Tarif Female'!E:E)-SUMIF('Mortality Tarif Female'!A:A,$C$2+$H$2,'Mortality Tarif Female'!E:E))/SUMIF('Mortality Tarif Female'!A:A,E185+1,'Mortality Tarif Female'!D:D)))</f>
        <v>5.4616568003844552</v>
      </c>
      <c r="AB184">
        <f t="shared" si="76"/>
        <v>1395.3389414448961</v>
      </c>
      <c r="AC184">
        <f>IF(B184&gt;=$AF$2,0,MIN(1/3*(V184+W184+Y184-AB184),(V184-AB184),(T184*Z184+(1-T184)*AA184)*$AH$2*Assumptions!$B$22))</f>
        <v>151.02632296674511</v>
      </c>
      <c r="AD184">
        <f t="shared" si="92"/>
        <v>14564.345572573371</v>
      </c>
      <c r="AE184">
        <f t="shared" si="93"/>
        <v>14715.371895540116</v>
      </c>
      <c r="AF184">
        <f t="shared" si="94"/>
        <v>14564.345572573371</v>
      </c>
      <c r="AG184" s="26">
        <f t="shared" si="105"/>
        <v>0</v>
      </c>
      <c r="AH184" s="27">
        <f>IF(B184&gt;$AF$2,0,HLOOKUP(YEAR(A184),Assumptions!$A$34:$AL$37,4,TRUE)/100)</f>
        <v>1.4269E-2</v>
      </c>
      <c r="AI184">
        <f t="shared" si="95"/>
        <v>0</v>
      </c>
      <c r="AJ184">
        <f t="shared" si="96"/>
        <v>2.939881926355143</v>
      </c>
      <c r="AK184">
        <f t="shared" si="97"/>
        <v>25.390211582594187</v>
      </c>
      <c r="AL184">
        <f>IF(E184&gt;Assumptions!$B$9,0,SUMPRODUCT($P$2:$X$2,Assumptions!$A$43:$I$43)/$I$2*O183*K184)</f>
        <v>3.275366754563513</v>
      </c>
      <c r="AM184">
        <f t="shared" si="98"/>
        <v>0</v>
      </c>
      <c r="AN184">
        <f t="shared" si="99"/>
        <v>31.605460263512843</v>
      </c>
      <c r="AO184">
        <f>IF(E184&gt;Assumptions!$B$9,0,($V$2+$X$2)/$I$2*O183*K184*Assumptions!$B$46)</f>
        <v>0</v>
      </c>
      <c r="AP184">
        <f>IF(B184&gt;$AF$2,0,AP183*(1+Assumptions!$B$52)^(1/12))</f>
        <v>1.1542497930755427</v>
      </c>
      <c r="AQ184" s="29">
        <f>IF(B184&gt;$AF$2,0,O183*Assumptions!$B$48/12*AP183+AR184*Assumptions!$B$50/12)</f>
        <v>10.679878675152363</v>
      </c>
      <c r="AR184" s="31">
        <f t="shared" si="100"/>
        <v>8447.4912454233017</v>
      </c>
      <c r="AS184">
        <f t="shared" si="83"/>
        <v>8488.7466216928769</v>
      </c>
      <c r="AT184">
        <f t="shared" si="101"/>
        <v>11.734878329616011</v>
      </c>
      <c r="AU184" s="19">
        <f t="shared" si="102"/>
        <v>8455.0246389506374</v>
      </c>
      <c r="AV184" s="19">
        <f t="shared" si="103"/>
        <v>8488.0806732419242</v>
      </c>
      <c r="AW184">
        <f t="shared" si="104"/>
        <v>-50.807585625132901</v>
      </c>
      <c r="AX184">
        <f>IF(B184&gt;$AF$2,0,HLOOKUP(YEAR(A184),Assumptions!$A$34:$AL$37,2,TRUE)/100)</f>
        <v>2.0268999999999999E-2</v>
      </c>
      <c r="AY184" s="32">
        <f>1/(1+HLOOKUP(YEAR(A184),Assumptions!$A$27:$AL$29,3,TRUE))^(1/12)</f>
        <v>0.9983964236411178</v>
      </c>
      <c r="AZ184" s="30">
        <f t="shared" si="84"/>
        <v>9125.7816309541104</v>
      </c>
      <c r="BA184">
        <f>IF(B184&gt;$AF$2,0,IF($E$2=0,(T184*Z184+(1-T184)*AA184)*$J$2*Assumptions!$B$20,0))</f>
        <v>0</v>
      </c>
    </row>
    <row r="185" spans="1:53" x14ac:dyDescent="0.25">
      <c r="A185" s="17">
        <f t="shared" si="85"/>
        <v>48395</v>
      </c>
      <c r="B185">
        <f t="shared" si="77"/>
        <v>404</v>
      </c>
      <c r="C185">
        <f t="shared" si="78"/>
        <v>33.583333333333336</v>
      </c>
      <c r="D185">
        <f t="shared" si="106"/>
        <v>0</v>
      </c>
      <c r="E185">
        <f t="shared" si="79"/>
        <v>56</v>
      </c>
      <c r="F185">
        <f>IF(C185&gt;=$H$2,0,VLOOKUP($E185,'Mortality Table'!$A$3:$C$128,2+AB$2,FALSE))</f>
        <v>2.7833999999999997E-3</v>
      </c>
      <c r="G185">
        <f>F185*Assumptions!$B$1</f>
        <v>3.0130304999999996E-3</v>
      </c>
      <c r="H185">
        <f t="shared" si="86"/>
        <v>2.5143328658805419E-4</v>
      </c>
      <c r="I185">
        <f t="shared" si="107"/>
        <v>1.4632798961783524E-4</v>
      </c>
      <c r="J185">
        <f>HLOOKUP(C185,Assumptions!$A$6:$J$7,2,TRUE)</f>
        <v>3.5200000000000002E-2</v>
      </c>
      <c r="K185" s="18">
        <f t="shared" si="80"/>
        <v>1</v>
      </c>
      <c r="L185" s="18">
        <f t="shared" si="87"/>
        <v>8.3333333333333329E-2</v>
      </c>
      <c r="M185" s="18">
        <f t="shared" si="108"/>
        <v>2.9817501439168836E-3</v>
      </c>
      <c r="N185">
        <f t="shared" si="109"/>
        <v>1.7376777611068184E-3</v>
      </c>
      <c r="O185" s="20">
        <f t="shared" si="110"/>
        <v>0.5809603506533374</v>
      </c>
      <c r="P185">
        <f>IF(B185&gt;$AF$2,0,O184*($E$2+IF(E185&lt;=Assumptions!$B$9,$D$2,0))/$I$2*K185)</f>
        <v>29.85134512049471</v>
      </c>
      <c r="Q185">
        <f t="shared" si="88"/>
        <v>26.1</v>
      </c>
      <c r="R185">
        <f>IF(B185&gt;$AF$2,0,IF($Y$2=1,(SUMIF('Mortality Tarif Male'!A:A,E186,'Mortality Tarif Male'!G:G)-SUMIF('Mortality Tarif Male'!A:A,$C$2+$H$2,'Mortality Tarif Male'!G:G)+SUMIF('Mortality Tarif Male'!A:A,$C$2+$H$2,'Mortality Tarif Male'!D:D))/SUMIF('Mortality Tarif Male'!A:A,E186,'Mortality Tarif Male'!D:D),(SUMIF('Mortality Tarif Female'!A:A,E186,'Mortality Tarif Female'!G:G)-SUMIF('Mortality Tarif Female'!A:A,$C$2+$H$2,'Mortality Tarif Female'!G:G)+SUMIF('Mortality Tarif Female'!A:A,$C$2+$H$2,'Mortality Tarif Female'!D:D))/SUMIF('Mortality Tarif Female'!A:A,E186,'Mortality Tarif Female'!D:D)))</f>
        <v>0.78877560855592654</v>
      </c>
      <c r="S185">
        <f>IF(B185&gt;=$AF$2,0,IF($Y$2=1,(SUMIF('Mortality Tarif Male'!A:A,E186+1,'Mortality Tarif Male'!G:G)-SUMIF('Mortality Tarif Male'!A:A,$C$2+$H$2,'Mortality Tarif Male'!G:G)+SUMIF('Mortality Tarif Male'!A:A,$C$2+$H$2,'Mortality Tarif Male'!D:D))/SUMIF('Mortality Tarif Male'!A:A,E186+1,'Mortality Tarif Male'!D:D),(SUMIF('Mortality Tarif Female'!A:A,E186+1,'Mortality Tarif Female'!G:G)-SUMIF('Mortality Tarif Female'!A:A,$C$2+$H$2,'Mortality Tarif Female'!G:G)+SUMIF('Mortality Tarif Female'!A:A,$C$2+$H$2,'Mortality Tarif Female'!D:D))/SUMIF('Mortality Tarif Female'!A:A,E186+1,'Mortality Tarif Female'!D:D)))</f>
        <v>0.8157071733624115</v>
      </c>
      <c r="T185">
        <f t="shared" si="89"/>
        <v>0.3333333333333357</v>
      </c>
      <c r="U185">
        <f t="shared" si="90"/>
        <v>0.80672998509358318</v>
      </c>
      <c r="V185">
        <f t="shared" si="91"/>
        <v>16134.599701871664</v>
      </c>
      <c r="W185">
        <f t="shared" si="81"/>
        <v>21.055652610942523</v>
      </c>
      <c r="X185">
        <f t="shared" si="82"/>
        <v>0</v>
      </c>
      <c r="Y185">
        <f>IF(B185&gt;$AF$2,0,IF(X186=0,0,(1-X186)*($E$2+IF(E185&lt;=Assumptions!$B$9,$D$2,0))/$I$2*1/(1+$AG$2)*1/(1+Assumptions!$B$11)))</f>
        <v>0</v>
      </c>
      <c r="Z185">
        <f>IF(B185&gt;$AF$2,0,IF($Y$2=1,(SUMIF('Mortality Tarif Male'!A:A,E186,'Mortality Tarif Male'!E:E)-SUMIF('Mortality Tarif Male'!A:A,$C$2+$H$2,'Mortality Tarif Male'!E:E))/SUMIF('Mortality Tarif Male'!A:A,E186,'Mortality Tarif Male'!D:D),(SUMIF('Mortality Tarif Female'!A:A,E186,'Mortality Tarif Female'!E:E)-SUMIF('Mortality Tarif Female'!A:A,$C$2+$H$2,'Mortality Tarif Female'!E:E))/SUMIF('Mortality Tarif Female'!A:A,E186,'Mortality Tarif Female'!D:D)))</f>
        <v>6.2592831798688557</v>
      </c>
      <c r="AA185">
        <f>IF(B185&gt;=$AF$2,0,IF($Y$2=1,(SUMIF('Mortality Tarif Male'!A:A,E186+1,'Mortality Tarif Male'!E:E)-SUMIF('Mortality Tarif Male'!A:A,$C$2+$H$2,'Mortality Tarif Male'!E:E))/SUMIF('Mortality Tarif Male'!A:A,E186+1,'Mortality Tarif Male'!D:D),(SUMIF('Mortality Tarif Female'!A:A,E186+1,'Mortality Tarif Female'!E:E)-SUMIF('Mortality Tarif Female'!A:A,$C$2+$H$2,'Mortality Tarif Female'!E:E))/SUMIF('Mortality Tarif Female'!A:A,E186+1,'Mortality Tarif Female'!D:D)))</f>
        <v>5.4616568003844552</v>
      </c>
      <c r="AB185">
        <f t="shared" si="76"/>
        <v>1379.3315928675399</v>
      </c>
      <c r="AC185">
        <f>IF(B185&gt;=$AF$2,0,MIN(1/3*(V185+W185+Y185-AB185),(V185-AB185),(T185*Z185+(1-T185)*AA185)*$AH$2*Assumptions!$B$22))</f>
        <v>149.29374679884882</v>
      </c>
      <c r="AD185">
        <f t="shared" si="92"/>
        <v>14627.030014816219</v>
      </c>
      <c r="AE185">
        <f t="shared" si="93"/>
        <v>14776.323761615067</v>
      </c>
      <c r="AF185">
        <f t="shared" si="94"/>
        <v>14627.030014816219</v>
      </c>
      <c r="AG185" s="26">
        <f t="shared" si="105"/>
        <v>0</v>
      </c>
      <c r="AH185" s="27">
        <f>IF(B185&gt;$AF$2,0,HLOOKUP(YEAR(A185),Assumptions!$A$34:$AL$37,4,TRUE)/100)</f>
        <v>1.4269E-2</v>
      </c>
      <c r="AI185">
        <f t="shared" si="95"/>
        <v>0</v>
      </c>
      <c r="AJ185">
        <f t="shared" si="96"/>
        <v>2.93037895288573</v>
      </c>
      <c r="AK185">
        <f t="shared" si="97"/>
        <v>25.41706476778808</v>
      </c>
      <c r="AL185">
        <f>IF(E185&gt;Assumptions!$B$9,0,SUMPRODUCT($P$2:$X$2,Assumptions!$A$43:$I$43)/$I$2*O184*K185)</f>
        <v>3.2647793486230974</v>
      </c>
      <c r="AM185">
        <f t="shared" si="98"/>
        <v>0</v>
      </c>
      <c r="AN185">
        <f t="shared" si="99"/>
        <v>31.612223069296906</v>
      </c>
      <c r="AO185">
        <f>IF(E185&gt;Assumptions!$B$9,0,($V$2+$X$2)/$I$2*O184*K185*Assumptions!$B$46)</f>
        <v>0</v>
      </c>
      <c r="AP185">
        <f>IF(B185&gt;$AF$2,0,AP184*(1+Assumptions!$B$52)^(1/12))</f>
        <v>1.1552072872723751</v>
      </c>
      <c r="AQ185" s="29">
        <f>IF(B185&gt;$AF$2,0,O184*Assumptions!$B$48/12*AP184+AR185*Assumptions!$B$50/12)</f>
        <v>10.6588276576535</v>
      </c>
      <c r="AR185" s="31">
        <f t="shared" si="100"/>
        <v>8446.3712028323334</v>
      </c>
      <c r="AS185">
        <f t="shared" si="83"/>
        <v>8497.7244864245222</v>
      </c>
      <c r="AT185">
        <f t="shared" si="101"/>
        <v>11.696946113211869</v>
      </c>
      <c r="AU185" s="19">
        <f t="shared" si="102"/>
        <v>8453.8667741819627</v>
      </c>
      <c r="AV185" s="19">
        <f t="shared" si="103"/>
        <v>8497.178788457466</v>
      </c>
      <c r="AW185">
        <f t="shared" si="104"/>
        <v>-61.05380099224881</v>
      </c>
      <c r="AX185">
        <f>IF(B185&gt;$AF$2,0,HLOOKUP(YEAR(A185),Assumptions!$A$34:$AL$37,2,TRUE)/100)</f>
        <v>2.0268999999999999E-2</v>
      </c>
      <c r="AY185" s="32">
        <f>1/(1+HLOOKUP(YEAR(A185),Assumptions!$A$27:$AL$29,3,TRUE))^(1/12)</f>
        <v>0.9983964236411178</v>
      </c>
      <c r="AZ185" s="30">
        <f t="shared" si="84"/>
        <v>9128.0193172745512</v>
      </c>
      <c r="BA185">
        <f>IF(B185&gt;$AF$2,0,IF($E$2=0,(T185*Z185+(1-T185)*AA185)*$J$2*Assumptions!$B$20,0))</f>
        <v>0</v>
      </c>
    </row>
    <row r="186" spans="1:53" x14ac:dyDescent="0.25">
      <c r="A186" s="17">
        <f t="shared" si="85"/>
        <v>48426</v>
      </c>
      <c r="B186">
        <f t="shared" si="77"/>
        <v>405</v>
      </c>
      <c r="C186">
        <f t="shared" si="78"/>
        <v>33.666666666666664</v>
      </c>
      <c r="D186">
        <f t="shared" si="106"/>
        <v>0</v>
      </c>
      <c r="E186">
        <f t="shared" si="79"/>
        <v>56</v>
      </c>
      <c r="F186">
        <f>IF(C186&gt;=$H$2,0,VLOOKUP($E186,'Mortality Table'!$A$3:$C$128,2+AB$2,FALSE))</f>
        <v>2.7833999999999997E-3</v>
      </c>
      <c r="G186">
        <f>F186*Assumptions!$B$1</f>
        <v>3.0130304999999996E-3</v>
      </c>
      <c r="H186">
        <f t="shared" si="86"/>
        <v>2.5143328658805419E-4</v>
      </c>
      <c r="I186">
        <f t="shared" si="107"/>
        <v>1.4585499409012207E-4</v>
      </c>
      <c r="J186">
        <f>HLOOKUP(C186,Assumptions!$A$6:$J$7,2,TRUE)</f>
        <v>3.5200000000000002E-2</v>
      </c>
      <c r="K186" s="18">
        <f t="shared" si="80"/>
        <v>1</v>
      </c>
      <c r="L186" s="18">
        <f t="shared" si="87"/>
        <v>8.3333333333333329E-2</v>
      </c>
      <c r="M186" s="18">
        <f t="shared" si="108"/>
        <v>2.9817501439168836E-3</v>
      </c>
      <c r="N186">
        <f t="shared" si="109"/>
        <v>1.7320608329185973E-3</v>
      </c>
      <c r="O186" s="20">
        <f t="shared" si="110"/>
        <v>0.57908243482632871</v>
      </c>
      <c r="P186">
        <f>IF(B186&gt;$AF$2,0,O185*($E$2+IF(E186&lt;=Assumptions!$B$9,$D$2,0))/$I$2*K186)</f>
        <v>29.75485262596176</v>
      </c>
      <c r="Q186">
        <f t="shared" si="88"/>
        <v>26.1</v>
      </c>
      <c r="R186">
        <f>IF(B186&gt;$AF$2,0,IF($Y$2=1,(SUMIF('Mortality Tarif Male'!A:A,E187,'Mortality Tarif Male'!G:G)-SUMIF('Mortality Tarif Male'!A:A,$C$2+$H$2,'Mortality Tarif Male'!G:G)+SUMIF('Mortality Tarif Male'!A:A,$C$2+$H$2,'Mortality Tarif Male'!D:D))/SUMIF('Mortality Tarif Male'!A:A,E187,'Mortality Tarif Male'!D:D),(SUMIF('Mortality Tarif Female'!A:A,E187,'Mortality Tarif Female'!G:G)-SUMIF('Mortality Tarif Female'!A:A,$C$2+$H$2,'Mortality Tarif Female'!G:G)+SUMIF('Mortality Tarif Female'!A:A,$C$2+$H$2,'Mortality Tarif Female'!D:D))/SUMIF('Mortality Tarif Female'!A:A,E187,'Mortality Tarif Female'!D:D)))</f>
        <v>0.78877560855592654</v>
      </c>
      <c r="S186">
        <f>IF(B186&gt;=$AF$2,0,IF($Y$2=1,(SUMIF('Mortality Tarif Male'!A:A,E187+1,'Mortality Tarif Male'!G:G)-SUMIF('Mortality Tarif Male'!A:A,$C$2+$H$2,'Mortality Tarif Male'!G:G)+SUMIF('Mortality Tarif Male'!A:A,$C$2+$H$2,'Mortality Tarif Male'!D:D))/SUMIF('Mortality Tarif Male'!A:A,E187+1,'Mortality Tarif Male'!D:D),(SUMIF('Mortality Tarif Female'!A:A,E187+1,'Mortality Tarif Female'!G:G)-SUMIF('Mortality Tarif Female'!A:A,$C$2+$H$2,'Mortality Tarif Female'!G:G)+SUMIF('Mortality Tarif Female'!A:A,$C$2+$H$2,'Mortality Tarif Female'!D:D))/SUMIF('Mortality Tarif Female'!A:A,E187+1,'Mortality Tarif Female'!D:D)))</f>
        <v>0.8157071733624115</v>
      </c>
      <c r="T186">
        <f t="shared" si="89"/>
        <v>0.25</v>
      </c>
      <c r="U186">
        <f t="shared" si="90"/>
        <v>0.80897428216079037</v>
      </c>
      <c r="V186">
        <f t="shared" si="91"/>
        <v>16179.485643215807</v>
      </c>
      <c r="W186">
        <f t="shared" si="81"/>
        <v>21.114228764396628</v>
      </c>
      <c r="X186">
        <f t="shared" si="82"/>
        <v>0</v>
      </c>
      <c r="Y186">
        <f>IF(B186&gt;$AF$2,0,IF(X187=0,0,(1-X187)*($E$2+IF(E186&lt;=Assumptions!$B$9,$D$2,0))/$I$2*1/(1+$AG$2)*1/(1+Assumptions!$B$11)))</f>
        <v>0</v>
      </c>
      <c r="Z186">
        <f>IF(B186&gt;$AF$2,0,IF($Y$2=1,(SUMIF('Mortality Tarif Male'!A:A,E187,'Mortality Tarif Male'!E:E)-SUMIF('Mortality Tarif Male'!A:A,$C$2+$H$2,'Mortality Tarif Male'!E:E))/SUMIF('Mortality Tarif Male'!A:A,E187,'Mortality Tarif Male'!D:D),(SUMIF('Mortality Tarif Female'!A:A,E187,'Mortality Tarif Female'!E:E)-SUMIF('Mortality Tarif Female'!A:A,$C$2+$H$2,'Mortality Tarif Female'!E:E))/SUMIF('Mortality Tarif Female'!A:A,E187,'Mortality Tarif Female'!D:D)))</f>
        <v>6.2592831798688557</v>
      </c>
      <c r="AA186">
        <f>IF(B186&gt;=$AF$2,0,IF($Y$2=1,(SUMIF('Mortality Tarif Male'!A:A,E187+1,'Mortality Tarif Male'!E:E)-SUMIF('Mortality Tarif Male'!A:A,$C$2+$H$2,'Mortality Tarif Male'!E:E))/SUMIF('Mortality Tarif Male'!A:A,E187+1,'Mortality Tarif Male'!D:D),(SUMIF('Mortality Tarif Female'!A:A,E187+1,'Mortality Tarif Female'!E:E)-SUMIF('Mortality Tarif Female'!A:A,$C$2+$H$2,'Mortality Tarif Female'!E:E))/SUMIF('Mortality Tarif Female'!A:A,E187+1,'Mortality Tarif Female'!D:D)))</f>
        <v>5.4616568003844552</v>
      </c>
      <c r="AB186">
        <f t="shared" si="76"/>
        <v>1363.3242442901822</v>
      </c>
      <c r="AC186">
        <f>IF(B186&gt;=$AF$2,0,MIN(1/3*(V186+W186+Y186-AB186),(V186-AB186),(T186*Z186+(1-T186)*AA186)*$AH$2*Assumptions!$B$22))</f>
        <v>147.56117063095235</v>
      </c>
      <c r="AD186">
        <f t="shared" si="92"/>
        <v>14689.714457059068</v>
      </c>
      <c r="AE186">
        <f t="shared" si="93"/>
        <v>14837.27562769002</v>
      </c>
      <c r="AF186">
        <f t="shared" si="94"/>
        <v>14689.714457059068</v>
      </c>
      <c r="AG186" s="26">
        <f t="shared" si="105"/>
        <v>0</v>
      </c>
      <c r="AH186" s="27">
        <f>IF(B186&gt;$AF$2,0,HLOOKUP(YEAR(A186),Assumptions!$A$34:$AL$37,4,TRUE)/100)</f>
        <v>1.4269E-2</v>
      </c>
      <c r="AI186">
        <f t="shared" si="95"/>
        <v>0</v>
      </c>
      <c r="AJ186">
        <f t="shared" si="96"/>
        <v>2.9209066971481934</v>
      </c>
      <c r="AK186">
        <f t="shared" si="97"/>
        <v>25.443479057830089</v>
      </c>
      <c r="AL186">
        <f>IF(E186&gt;Assumptions!$B$9,0,SUMPRODUCT($P$2:$X$2,Assumptions!$A$43:$I$43)/$I$2*O185*K186)</f>
        <v>3.2542261657706431</v>
      </c>
      <c r="AM186">
        <f t="shared" si="98"/>
        <v>0</v>
      </c>
      <c r="AN186">
        <f t="shared" si="99"/>
        <v>31.618611920748926</v>
      </c>
      <c r="AO186">
        <f>IF(E186&gt;Assumptions!$B$9,0,($V$2+$X$2)/$I$2*O185*K186*Assumptions!$B$46)</f>
        <v>0</v>
      </c>
      <c r="AP186">
        <f>IF(B186&gt;$AF$2,0,AP185*(1+Assumptions!$B$52)^(1/12))</f>
        <v>1.1561655757471381</v>
      </c>
      <c r="AQ186" s="29">
        <f>IF(B186&gt;$AF$2,0,O185*Assumptions!$B$48/12*AP185+AR186*Assumptions!$B$50/12)</f>
        <v>10.637784200785593</v>
      </c>
      <c r="AR186" s="31">
        <f t="shared" si="100"/>
        <v>8445.0755957766851</v>
      </c>
      <c r="AS186">
        <f t="shared" si="83"/>
        <v>8506.5556146972867</v>
      </c>
      <c r="AT186">
        <f t="shared" si="101"/>
        <v>11.65913651018308</v>
      </c>
      <c r="AU186" s="19">
        <f t="shared" si="102"/>
        <v>8452.5335276916776</v>
      </c>
      <c r="AV186" s="19">
        <f t="shared" si="103"/>
        <v>8506.1293967689344</v>
      </c>
      <c r="AW186">
        <f t="shared" si="104"/>
        <v>-71.327943960044848</v>
      </c>
      <c r="AX186">
        <f>IF(B186&gt;$AF$2,0,HLOOKUP(YEAR(A186),Assumptions!$A$34:$AL$37,2,TRUE)/100)</f>
        <v>2.0268999999999999E-2</v>
      </c>
      <c r="AY186" s="32">
        <f>1/(1+HLOOKUP(YEAR(A186),Assumptions!$A$27:$AL$29,3,TRUE))^(1/12)</f>
        <v>0.9983964236411178</v>
      </c>
      <c r="AZ186" s="30">
        <f t="shared" si="84"/>
        <v>9130.1787597701132</v>
      </c>
      <c r="BA186">
        <f>IF(B186&gt;$AF$2,0,IF($E$2=0,(T186*Z186+(1-T186)*AA186)*$J$2*Assumptions!$B$20,0))</f>
        <v>0</v>
      </c>
    </row>
    <row r="187" spans="1:53" x14ac:dyDescent="0.25">
      <c r="A187" s="17">
        <f t="shared" si="85"/>
        <v>48457</v>
      </c>
      <c r="B187">
        <f t="shared" si="77"/>
        <v>406</v>
      </c>
      <c r="C187">
        <f t="shared" si="78"/>
        <v>33.75</v>
      </c>
      <c r="D187">
        <f t="shared" si="106"/>
        <v>0</v>
      </c>
      <c r="E187">
        <f t="shared" si="79"/>
        <v>56</v>
      </c>
      <c r="F187">
        <f>IF(C187&gt;=$H$2,0,VLOOKUP($E187,'Mortality Table'!$A$3:$C$128,2+AB$2,FALSE))</f>
        <v>2.7833999999999997E-3</v>
      </c>
      <c r="G187">
        <f>F187*Assumptions!$B$1</f>
        <v>3.0130304999999996E-3</v>
      </c>
      <c r="H187">
        <f t="shared" si="86"/>
        <v>2.5143328658805419E-4</v>
      </c>
      <c r="I187">
        <f t="shared" si="107"/>
        <v>1.4538352748910176E-4</v>
      </c>
      <c r="J187">
        <f>HLOOKUP(C187,Assumptions!$A$6:$J$7,2,TRUE)</f>
        <v>3.5200000000000002E-2</v>
      </c>
      <c r="K187" s="18">
        <f t="shared" si="80"/>
        <v>1</v>
      </c>
      <c r="L187" s="18">
        <f t="shared" si="87"/>
        <v>8.3333333333333329E-2</v>
      </c>
      <c r="M187" s="18">
        <f t="shared" si="108"/>
        <v>2.9817501439168836E-3</v>
      </c>
      <c r="N187">
        <f t="shared" si="109"/>
        <v>1.7264620610784505E-3</v>
      </c>
      <c r="O187" s="20">
        <f t="shared" si="110"/>
        <v>0.57721058923776125</v>
      </c>
      <c r="P187">
        <f>IF(B187&gt;$AF$2,0,O186*($E$2+IF(E187&lt;=Assumptions!$B$9,$D$2,0))/$I$2*K187)</f>
        <v>29.658672037021798</v>
      </c>
      <c r="Q187">
        <f t="shared" si="88"/>
        <v>26.1</v>
      </c>
      <c r="R187">
        <f>IF(B187&gt;$AF$2,0,IF($Y$2=1,(SUMIF('Mortality Tarif Male'!A:A,E188,'Mortality Tarif Male'!G:G)-SUMIF('Mortality Tarif Male'!A:A,$C$2+$H$2,'Mortality Tarif Male'!G:G)+SUMIF('Mortality Tarif Male'!A:A,$C$2+$H$2,'Mortality Tarif Male'!D:D))/SUMIF('Mortality Tarif Male'!A:A,E188,'Mortality Tarif Male'!D:D),(SUMIF('Mortality Tarif Female'!A:A,E188,'Mortality Tarif Female'!G:G)-SUMIF('Mortality Tarif Female'!A:A,$C$2+$H$2,'Mortality Tarif Female'!G:G)+SUMIF('Mortality Tarif Female'!A:A,$C$2+$H$2,'Mortality Tarif Female'!D:D))/SUMIF('Mortality Tarif Female'!A:A,E188,'Mortality Tarif Female'!D:D)))</f>
        <v>0.78877560855592654</v>
      </c>
      <c r="S187">
        <f>IF(B187&gt;=$AF$2,0,IF($Y$2=1,(SUMIF('Mortality Tarif Male'!A:A,E188+1,'Mortality Tarif Male'!G:G)-SUMIF('Mortality Tarif Male'!A:A,$C$2+$H$2,'Mortality Tarif Male'!G:G)+SUMIF('Mortality Tarif Male'!A:A,$C$2+$H$2,'Mortality Tarif Male'!D:D))/SUMIF('Mortality Tarif Male'!A:A,E188+1,'Mortality Tarif Male'!D:D),(SUMIF('Mortality Tarif Female'!A:A,E188+1,'Mortality Tarif Female'!G:G)-SUMIF('Mortality Tarif Female'!A:A,$C$2+$H$2,'Mortality Tarif Female'!G:G)+SUMIF('Mortality Tarif Female'!A:A,$C$2+$H$2,'Mortality Tarif Female'!D:D))/SUMIF('Mortality Tarif Female'!A:A,E188+1,'Mortality Tarif Female'!D:D)))</f>
        <v>0.8157071733624115</v>
      </c>
      <c r="T187">
        <f t="shared" si="89"/>
        <v>0.1666666666666643</v>
      </c>
      <c r="U187">
        <f t="shared" si="90"/>
        <v>0.81121857922799734</v>
      </c>
      <c r="V187">
        <f t="shared" si="91"/>
        <v>16224.371584559947</v>
      </c>
      <c r="W187">
        <f t="shared" si="81"/>
        <v>21.172804917850733</v>
      </c>
      <c r="X187">
        <f t="shared" si="82"/>
        <v>0</v>
      </c>
      <c r="Y187">
        <f>IF(B187&gt;$AF$2,0,IF(X188=0,0,(1-X188)*($E$2+IF(E187&lt;=Assumptions!$B$9,$D$2,0))/$I$2*1/(1+$AG$2)*1/(1+Assumptions!$B$11)))</f>
        <v>0</v>
      </c>
      <c r="Z187">
        <f>IF(B187&gt;$AF$2,0,IF($Y$2=1,(SUMIF('Mortality Tarif Male'!A:A,E188,'Mortality Tarif Male'!E:E)-SUMIF('Mortality Tarif Male'!A:A,$C$2+$H$2,'Mortality Tarif Male'!E:E))/SUMIF('Mortality Tarif Male'!A:A,E188,'Mortality Tarif Male'!D:D),(SUMIF('Mortality Tarif Female'!A:A,E188,'Mortality Tarif Female'!E:E)-SUMIF('Mortality Tarif Female'!A:A,$C$2+$H$2,'Mortality Tarif Female'!E:E))/SUMIF('Mortality Tarif Female'!A:A,E188,'Mortality Tarif Female'!D:D)))</f>
        <v>6.2592831798688557</v>
      </c>
      <c r="AA187">
        <f>IF(B187&gt;=$AF$2,0,IF($Y$2=1,(SUMIF('Mortality Tarif Male'!A:A,E188+1,'Mortality Tarif Male'!E:E)-SUMIF('Mortality Tarif Male'!A:A,$C$2+$H$2,'Mortality Tarif Male'!E:E))/SUMIF('Mortality Tarif Male'!A:A,E188+1,'Mortality Tarif Male'!D:D),(SUMIF('Mortality Tarif Female'!A:A,E188+1,'Mortality Tarif Female'!E:E)-SUMIF('Mortality Tarif Female'!A:A,$C$2+$H$2,'Mortality Tarif Female'!E:E))/SUMIF('Mortality Tarif Female'!A:A,E188+1,'Mortality Tarif Female'!D:D)))</f>
        <v>5.4616568003844552</v>
      </c>
      <c r="AB187">
        <f t="shared" si="76"/>
        <v>1347.3168957128244</v>
      </c>
      <c r="AC187">
        <f>IF(B187&gt;=$AF$2,0,MIN(1/3*(V187+W187+Y187-AB187),(V187-AB187),(T187*Z187+(1-T187)*AA187)*$AH$2*Assumptions!$B$22))</f>
        <v>145.82859446305588</v>
      </c>
      <c r="AD187">
        <f t="shared" si="92"/>
        <v>14752.398899301919</v>
      </c>
      <c r="AE187">
        <f t="shared" si="93"/>
        <v>14898.227493764974</v>
      </c>
      <c r="AF187">
        <f t="shared" si="94"/>
        <v>14752.398899301919</v>
      </c>
      <c r="AG187" s="26">
        <f t="shared" si="105"/>
        <v>0</v>
      </c>
      <c r="AH187" s="27">
        <f>IF(B187&gt;$AF$2,0,HLOOKUP(YEAR(A187),Assumptions!$A$34:$AL$37,4,TRUE)/100)</f>
        <v>1.4269E-2</v>
      </c>
      <c r="AI187">
        <f t="shared" si="95"/>
        <v>0</v>
      </c>
      <c r="AJ187">
        <f t="shared" si="96"/>
        <v>2.9114650598495007</v>
      </c>
      <c r="AK187">
        <f t="shared" si="97"/>
        <v>25.469457009540257</v>
      </c>
      <c r="AL187">
        <f>IF(E187&gt;Assumptions!$B$9,0,SUMPRODUCT($P$2:$X$2,Assumptions!$A$43:$I$43)/$I$2*O186*K187)</f>
        <v>3.2437070953822871</v>
      </c>
      <c r="AM187">
        <f t="shared" si="98"/>
        <v>0</v>
      </c>
      <c r="AN187">
        <f t="shared" si="99"/>
        <v>31.624629164772045</v>
      </c>
      <c r="AO187">
        <f>IF(E187&gt;Assumptions!$B$9,0,($V$2+$X$2)/$I$2*O186*K187*Assumptions!$B$46)</f>
        <v>0</v>
      </c>
      <c r="AP187">
        <f>IF(B187&gt;$AF$2,0,AP186*(1+Assumptions!$B$52)^(1/12))</f>
        <v>1.1571246591587152</v>
      </c>
      <c r="AQ187" s="29">
        <f>IF(B187&gt;$AF$2,0,O186*Assumptions!$B$48/12*AP186+AR187*Assumptions!$B$50/12)</f>
        <v>10.616748423186785</v>
      </c>
      <c r="AR187" s="31">
        <f t="shared" si="100"/>
        <v>8443.60541276605</v>
      </c>
      <c r="AS187">
        <f t="shared" si="83"/>
        <v>8515.2408613365606</v>
      </c>
      <c r="AT187">
        <f t="shared" si="101"/>
        <v>11.621449124190034</v>
      </c>
      <c r="AU187" s="19">
        <f t="shared" si="102"/>
        <v>8451.0258872556951</v>
      </c>
      <c r="AV187" s="19">
        <f t="shared" si="103"/>
        <v>8514.9333567260946</v>
      </c>
      <c r="AW187">
        <f t="shared" si="104"/>
        <v>-81.629885380271773</v>
      </c>
      <c r="AX187">
        <f>IF(B187&gt;$AF$2,0,HLOOKUP(YEAR(A187),Assumptions!$A$34:$AL$37,2,TRUE)/100)</f>
        <v>2.0268999999999999E-2</v>
      </c>
      <c r="AY187" s="32">
        <f>1/(1+HLOOKUP(YEAR(A187),Assumptions!$A$27:$AL$29,3,TRUE))^(1/12)</f>
        <v>0.9983964236411178</v>
      </c>
      <c r="AZ187" s="30">
        <f t="shared" si="84"/>
        <v>9132.2605086030781</v>
      </c>
      <c r="BA187">
        <f>IF(B187&gt;$AF$2,0,IF($E$2=0,(T187*Z187+(1-T187)*AA187)*$J$2*Assumptions!$B$20,0))</f>
        <v>0</v>
      </c>
    </row>
    <row r="188" spans="1:53" x14ac:dyDescent="0.25">
      <c r="A188" s="17">
        <f t="shared" si="85"/>
        <v>48487</v>
      </c>
      <c r="B188">
        <f t="shared" si="77"/>
        <v>407</v>
      </c>
      <c r="C188">
        <f t="shared" si="78"/>
        <v>33.833333333333336</v>
      </c>
      <c r="D188">
        <f t="shared" si="106"/>
        <v>0</v>
      </c>
      <c r="E188">
        <f t="shared" si="79"/>
        <v>56</v>
      </c>
      <c r="F188">
        <f>IF(C188&gt;=$H$2,0,VLOOKUP($E188,'Mortality Table'!$A$3:$C$128,2+AB$2,FALSE))</f>
        <v>2.7833999999999997E-3</v>
      </c>
      <c r="G188">
        <f>F188*Assumptions!$B$1</f>
        <v>3.0130304999999996E-3</v>
      </c>
      <c r="H188">
        <f t="shared" si="86"/>
        <v>2.5143328658805419E-4</v>
      </c>
      <c r="I188">
        <f t="shared" si="107"/>
        <v>1.449135848726201E-4</v>
      </c>
      <c r="J188">
        <f>HLOOKUP(C188,Assumptions!$A$6:$J$7,2,TRUE)</f>
        <v>3.5200000000000002E-2</v>
      </c>
      <c r="K188" s="18">
        <f t="shared" si="80"/>
        <v>1</v>
      </c>
      <c r="L188" s="18">
        <f t="shared" si="87"/>
        <v>8.3333333333333329E-2</v>
      </c>
      <c r="M188" s="18">
        <f t="shared" si="108"/>
        <v>2.9817501439168836E-3</v>
      </c>
      <c r="N188">
        <f t="shared" si="109"/>
        <v>1.7208813868971864E-3</v>
      </c>
      <c r="O188" s="20">
        <f t="shared" si="110"/>
        <v>0.57534479426599139</v>
      </c>
      <c r="P188">
        <f>IF(B188&gt;$AF$2,0,O187*($E$2+IF(E188&lt;=Assumptions!$B$9,$D$2,0))/$I$2*K188)</f>
        <v>29.562802345460668</v>
      </c>
      <c r="Q188">
        <f t="shared" si="88"/>
        <v>26.1</v>
      </c>
      <c r="R188">
        <f>IF(B188&gt;$AF$2,0,IF($Y$2=1,(SUMIF('Mortality Tarif Male'!A:A,E189,'Mortality Tarif Male'!G:G)-SUMIF('Mortality Tarif Male'!A:A,$C$2+$H$2,'Mortality Tarif Male'!G:G)+SUMIF('Mortality Tarif Male'!A:A,$C$2+$H$2,'Mortality Tarif Male'!D:D))/SUMIF('Mortality Tarif Male'!A:A,E189,'Mortality Tarif Male'!D:D),(SUMIF('Mortality Tarif Female'!A:A,E189,'Mortality Tarif Female'!G:G)-SUMIF('Mortality Tarif Female'!A:A,$C$2+$H$2,'Mortality Tarif Female'!G:G)+SUMIF('Mortality Tarif Female'!A:A,$C$2+$H$2,'Mortality Tarif Female'!D:D))/SUMIF('Mortality Tarif Female'!A:A,E189,'Mortality Tarif Female'!D:D)))</f>
        <v>0.78877560855592654</v>
      </c>
      <c r="S188">
        <f>IF(B188&gt;=$AF$2,0,IF($Y$2=1,(SUMIF('Mortality Tarif Male'!A:A,E189+1,'Mortality Tarif Male'!G:G)-SUMIF('Mortality Tarif Male'!A:A,$C$2+$H$2,'Mortality Tarif Male'!G:G)+SUMIF('Mortality Tarif Male'!A:A,$C$2+$H$2,'Mortality Tarif Male'!D:D))/SUMIF('Mortality Tarif Male'!A:A,E189+1,'Mortality Tarif Male'!D:D),(SUMIF('Mortality Tarif Female'!A:A,E189+1,'Mortality Tarif Female'!G:G)-SUMIF('Mortality Tarif Female'!A:A,$C$2+$H$2,'Mortality Tarif Female'!G:G)+SUMIF('Mortality Tarif Female'!A:A,$C$2+$H$2,'Mortality Tarif Female'!D:D))/SUMIF('Mortality Tarif Female'!A:A,E189+1,'Mortality Tarif Female'!D:D)))</f>
        <v>0.8157071733624115</v>
      </c>
      <c r="T188">
        <f t="shared" si="89"/>
        <v>8.3333333333335702E-2</v>
      </c>
      <c r="U188">
        <f t="shared" si="90"/>
        <v>0.81346287629520431</v>
      </c>
      <c r="V188">
        <f t="shared" si="91"/>
        <v>16269.257525904086</v>
      </c>
      <c r="W188">
        <f t="shared" si="81"/>
        <v>21.231381071304835</v>
      </c>
      <c r="X188">
        <f t="shared" si="82"/>
        <v>0</v>
      </c>
      <c r="Y188">
        <f>IF(B188&gt;$AF$2,0,IF(X189=0,0,(1-X189)*($E$2+IF(E188&lt;=Assumptions!$B$9,$D$2,0))/$I$2*1/(1+$AG$2)*1/(1+Assumptions!$B$11)))</f>
        <v>0</v>
      </c>
      <c r="Z188">
        <f>IF(B188&gt;$AF$2,0,IF($Y$2=1,(SUMIF('Mortality Tarif Male'!A:A,E189,'Mortality Tarif Male'!E:E)-SUMIF('Mortality Tarif Male'!A:A,$C$2+$H$2,'Mortality Tarif Male'!E:E))/SUMIF('Mortality Tarif Male'!A:A,E189,'Mortality Tarif Male'!D:D),(SUMIF('Mortality Tarif Female'!A:A,E189,'Mortality Tarif Female'!E:E)-SUMIF('Mortality Tarif Female'!A:A,$C$2+$H$2,'Mortality Tarif Female'!E:E))/SUMIF('Mortality Tarif Female'!A:A,E189,'Mortality Tarif Female'!D:D)))</f>
        <v>6.2592831798688557</v>
      </c>
      <c r="AA188">
        <f>IF(B188&gt;=$AF$2,0,IF($Y$2=1,(SUMIF('Mortality Tarif Male'!A:A,E189+1,'Mortality Tarif Male'!E:E)-SUMIF('Mortality Tarif Male'!A:A,$C$2+$H$2,'Mortality Tarif Male'!E:E))/SUMIF('Mortality Tarif Male'!A:A,E189+1,'Mortality Tarif Male'!D:D),(SUMIF('Mortality Tarif Female'!A:A,E189+1,'Mortality Tarif Female'!E:E)-SUMIF('Mortality Tarif Female'!A:A,$C$2+$H$2,'Mortality Tarif Female'!E:E))/SUMIF('Mortality Tarif Female'!A:A,E189+1,'Mortality Tarif Female'!D:D)))</f>
        <v>5.4616568003844552</v>
      </c>
      <c r="AB188">
        <f t="shared" si="76"/>
        <v>1331.3095471354679</v>
      </c>
      <c r="AC188">
        <f>IF(B188&gt;=$AF$2,0,MIN(1/3*(V188+W188+Y188-AB188),(V188-AB188),(T188*Z188+(1-T188)*AA188)*$AH$2*Assumptions!$B$22))</f>
        <v>144.09601829515955</v>
      </c>
      <c r="AD188">
        <f t="shared" si="92"/>
        <v>14815.083341544761</v>
      </c>
      <c r="AE188">
        <f t="shared" si="93"/>
        <v>14959.179359839922</v>
      </c>
      <c r="AF188">
        <f t="shared" si="94"/>
        <v>14815.083341544761</v>
      </c>
      <c r="AG188" s="26">
        <f t="shared" si="105"/>
        <v>0</v>
      </c>
      <c r="AH188" s="27">
        <f>IF(B188&gt;$AF$2,0,HLOOKUP(YEAR(A188),Assumptions!$A$34:$AL$37,4,TRUE)/100)</f>
        <v>1.4269E-2</v>
      </c>
      <c r="AI188">
        <f t="shared" si="95"/>
        <v>0</v>
      </c>
      <c r="AJ188">
        <f t="shared" si="96"/>
        <v>2.9020539420175773</v>
      </c>
      <c r="AK188">
        <f t="shared" si="97"/>
        <v>25.495001167794953</v>
      </c>
      <c r="AL188">
        <f>IF(E188&gt;Assumptions!$B$9,0,SUMPRODUCT($P$2:$X$2,Assumptions!$A$43:$I$43)/$I$2*O187*K188)</f>
        <v>3.2332220271917498</v>
      </c>
      <c r="AM188">
        <f t="shared" si="98"/>
        <v>0</v>
      </c>
      <c r="AN188">
        <f t="shared" si="99"/>
        <v>31.630277137004281</v>
      </c>
      <c r="AO188">
        <f>IF(E188&gt;Assumptions!$B$9,0,($V$2+$X$2)/$I$2*O187*K188*Assumptions!$B$46)</f>
        <v>0</v>
      </c>
      <c r="AP188">
        <f>IF(B188&gt;$AF$2,0,AP187*(1+Assumptions!$B$52)^(1/12))</f>
        <v>1.1580845381665372</v>
      </c>
      <c r="AQ188" s="29">
        <f>IF(B188&gt;$AF$2,0,O187*Assumptions!$B$48/12*AP187+AR188*Assumptions!$B$50/12)</f>
        <v>10.595720442619463</v>
      </c>
      <c r="AR188" s="31">
        <f t="shared" si="100"/>
        <v>8441.9616374892721</v>
      </c>
      <c r="AS188">
        <f t="shared" si="83"/>
        <v>8523.7810771745862</v>
      </c>
      <c r="AT188">
        <f t="shared" si="101"/>
        <v>11.583883560174264</v>
      </c>
      <c r="AU188" s="19">
        <f t="shared" si="102"/>
        <v>8449.3448358319401</v>
      </c>
      <c r="AV188" s="19">
        <f t="shared" si="103"/>
        <v>8523.591522869543</v>
      </c>
      <c r="AW188">
        <f t="shared" si="104"/>
        <v>-91.959496912909259</v>
      </c>
      <c r="AX188">
        <f>IF(B188&gt;$AF$2,0,HLOOKUP(YEAR(A188),Assumptions!$A$34:$AL$37,2,TRUE)/100)</f>
        <v>2.0268999999999999E-2</v>
      </c>
      <c r="AY188" s="32">
        <f>1/(1+HLOOKUP(YEAR(A188),Assumptions!$A$27:$AL$29,3,TRUE))^(1/12)</f>
        <v>0.9983964236411178</v>
      </c>
      <c r="AZ188" s="30">
        <f t="shared" si="84"/>
        <v>9134.2651113577558</v>
      </c>
      <c r="BA188">
        <f>IF(B188&gt;$AF$2,0,IF($E$2=0,(T188*Z188+(1-T188)*AA188)*$J$2*Assumptions!$B$20,0))</f>
        <v>0</v>
      </c>
    </row>
    <row r="189" spans="1:53" x14ac:dyDescent="0.25">
      <c r="A189" s="17">
        <f t="shared" si="85"/>
        <v>48518</v>
      </c>
      <c r="B189">
        <f t="shared" si="77"/>
        <v>408</v>
      </c>
      <c r="C189">
        <f t="shared" si="78"/>
        <v>33.916666666666664</v>
      </c>
      <c r="D189">
        <f t="shared" si="106"/>
        <v>0</v>
      </c>
      <c r="E189">
        <f t="shared" si="79"/>
        <v>56</v>
      </c>
      <c r="F189">
        <f>IF(C189&gt;=$H$2,0,VLOOKUP($E189,'Mortality Table'!$A$3:$C$128,2+AB$2,FALSE))</f>
        <v>2.7833999999999997E-3</v>
      </c>
      <c r="G189">
        <f>F189*Assumptions!$B$1</f>
        <v>3.0130304999999996E-3</v>
      </c>
      <c r="H189">
        <f t="shared" si="86"/>
        <v>2.5143328658805419E-4</v>
      </c>
      <c r="I189">
        <f t="shared" si="107"/>
        <v>1.4444516131449805E-4</v>
      </c>
      <c r="J189">
        <f>HLOOKUP(C189,Assumptions!$A$6:$J$7,2,TRUE)</f>
        <v>3.5200000000000002E-2</v>
      </c>
      <c r="K189" s="18">
        <f t="shared" si="80"/>
        <v>1</v>
      </c>
      <c r="L189" s="18">
        <f t="shared" si="87"/>
        <v>8.3333333333333329E-2</v>
      </c>
      <c r="M189" s="18">
        <f t="shared" si="108"/>
        <v>2.9817501439168836E-3</v>
      </c>
      <c r="N189">
        <f t="shared" si="109"/>
        <v>1.7153187518753217E-3</v>
      </c>
      <c r="O189" s="20">
        <f t="shared" si="110"/>
        <v>0.57348503035280152</v>
      </c>
      <c r="P189">
        <f>IF(B189&gt;$AF$2,0,O188*($E$2+IF(E189&lt;=Assumptions!$B$9,$D$2,0))/$I$2*K189)</f>
        <v>29.467242546323188</v>
      </c>
      <c r="Q189">
        <f t="shared" si="88"/>
        <v>26.1</v>
      </c>
      <c r="R189">
        <f>IF(B189&gt;$AF$2,0,IF($Y$2=1,(SUMIF('Mortality Tarif Male'!A:A,E190,'Mortality Tarif Male'!G:G)-SUMIF('Mortality Tarif Male'!A:A,$C$2+$H$2,'Mortality Tarif Male'!G:G)+SUMIF('Mortality Tarif Male'!A:A,$C$2+$H$2,'Mortality Tarif Male'!D:D))/SUMIF('Mortality Tarif Male'!A:A,E190,'Mortality Tarif Male'!D:D),(SUMIF('Mortality Tarif Female'!A:A,E190,'Mortality Tarif Female'!G:G)-SUMIF('Mortality Tarif Female'!A:A,$C$2+$H$2,'Mortality Tarif Female'!G:G)+SUMIF('Mortality Tarif Female'!A:A,$C$2+$H$2,'Mortality Tarif Female'!D:D))/SUMIF('Mortality Tarif Female'!A:A,E190,'Mortality Tarif Female'!D:D)))</f>
        <v>0.8157071733624115</v>
      </c>
      <c r="S189">
        <f>IF(B189&gt;=$AF$2,0,IF($Y$2=1,(SUMIF('Mortality Tarif Male'!A:A,E190+1,'Mortality Tarif Male'!G:G)-SUMIF('Mortality Tarif Male'!A:A,$C$2+$H$2,'Mortality Tarif Male'!G:G)+SUMIF('Mortality Tarif Male'!A:A,$C$2+$H$2,'Mortality Tarif Male'!D:D))/SUMIF('Mortality Tarif Male'!A:A,E190+1,'Mortality Tarif Male'!D:D),(SUMIF('Mortality Tarif Female'!A:A,E190+1,'Mortality Tarif Female'!G:G)-SUMIF('Mortality Tarif Female'!A:A,$C$2+$H$2,'Mortality Tarif Female'!G:G)+SUMIF('Mortality Tarif Female'!A:A,$C$2+$H$2,'Mortality Tarif Female'!D:D))/SUMIF('Mortality Tarif Female'!A:A,E190+1,'Mortality Tarif Female'!D:D)))</f>
        <v>0.84362178121276754</v>
      </c>
      <c r="T189">
        <f t="shared" si="89"/>
        <v>1</v>
      </c>
      <c r="U189">
        <f t="shared" si="90"/>
        <v>0.8157071733624115</v>
      </c>
      <c r="V189">
        <f t="shared" si="91"/>
        <v>16314.14346724823</v>
      </c>
      <c r="W189">
        <f t="shared" si="81"/>
        <v>21.28995722475894</v>
      </c>
      <c r="X189">
        <f t="shared" si="82"/>
        <v>0</v>
      </c>
      <c r="Y189">
        <f>IF(B189&gt;$AF$2,0,IF(X190=0,0,(1-X190)*($E$2+IF(E189&lt;=Assumptions!$B$9,$D$2,0))/$I$2*1/(1+$AG$2)*1/(1+Assumptions!$B$11)))</f>
        <v>0</v>
      </c>
      <c r="Z189">
        <f>IF(B189&gt;$AF$2,0,IF($Y$2=1,(SUMIF('Mortality Tarif Male'!A:A,E190,'Mortality Tarif Male'!E:E)-SUMIF('Mortality Tarif Male'!A:A,$C$2+$H$2,'Mortality Tarif Male'!E:E))/SUMIF('Mortality Tarif Male'!A:A,E190,'Mortality Tarif Male'!D:D),(SUMIF('Mortality Tarif Female'!A:A,E190,'Mortality Tarif Female'!E:E)-SUMIF('Mortality Tarif Female'!A:A,$C$2+$H$2,'Mortality Tarif Female'!E:E))/SUMIF('Mortality Tarif Female'!A:A,E190,'Mortality Tarif Female'!D:D)))</f>
        <v>5.4616568003844552</v>
      </c>
      <c r="AA189">
        <f>IF(B189&gt;=$AF$2,0,IF($Y$2=1,(SUMIF('Mortality Tarif Male'!A:A,E190+1,'Mortality Tarif Male'!E:E)-SUMIF('Mortality Tarif Male'!A:A,$C$2+$H$2,'Mortality Tarif Male'!E:E))/SUMIF('Mortality Tarif Male'!A:A,E190+1,'Mortality Tarif Male'!D:D),(SUMIF('Mortality Tarif Female'!A:A,E190+1,'Mortality Tarif Female'!E:E)-SUMIF('Mortality Tarif Female'!A:A,$C$2+$H$2,'Mortality Tarif Female'!E:E))/SUMIF('Mortality Tarif Female'!A:A,E190+1,'Mortality Tarif Female'!D:D)))</f>
        <v>4.6347593267466118</v>
      </c>
      <c r="AB189">
        <f t="shared" si="76"/>
        <v>1315.3021985581101</v>
      </c>
      <c r="AC189">
        <f>IF(B189&gt;=$AF$2,0,MIN(1/3*(V189+W189+Y189-AB189),(V189-AB189),(T189*Z189+(1-T189)*AA189)*$AH$2*Assumptions!$B$22))</f>
        <v>142.36344212726311</v>
      </c>
      <c r="AD189">
        <f t="shared" si="92"/>
        <v>14877.767783787614</v>
      </c>
      <c r="AE189">
        <f t="shared" si="93"/>
        <v>15020.131225914878</v>
      </c>
      <c r="AF189">
        <f t="shared" si="94"/>
        <v>14877.767783787614</v>
      </c>
      <c r="AG189" s="26">
        <f t="shared" si="105"/>
        <v>0</v>
      </c>
      <c r="AH189" s="27">
        <f>IF(B189&gt;$AF$2,0,HLOOKUP(YEAR(A189),Assumptions!$A$34:$AL$37,4,TRUE)/100)</f>
        <v>1.4269E-2</v>
      </c>
      <c r="AI189">
        <f t="shared" si="95"/>
        <v>0</v>
      </c>
      <c r="AJ189">
        <f t="shared" si="96"/>
        <v>2.8926732450002692</v>
      </c>
      <c r="AK189">
        <f t="shared" si="97"/>
        <v>25.520114065577442</v>
      </c>
      <c r="AL189">
        <f>IF(E189&gt;Assumptions!$B$9,0,SUMPRODUCT($P$2:$X$2,Assumptions!$A$43:$I$43)/$I$2*O188*K189)</f>
        <v>3.2227708512891797</v>
      </c>
      <c r="AM189">
        <f t="shared" si="98"/>
        <v>0</v>
      </c>
      <c r="AN189">
        <f t="shared" si="99"/>
        <v>31.635558161866893</v>
      </c>
      <c r="AO189">
        <f>IF(E189&gt;Assumptions!$B$9,0,($V$2+$X$2)/$I$2*O188*K189*Assumptions!$B$46)</f>
        <v>0</v>
      </c>
      <c r="AP189">
        <f>IF(B189&gt;$AF$2,0,AP188*(1+Assumptions!$B$52)^(1/12))</f>
        <v>1.1590452134305813</v>
      </c>
      <c r="AQ189" s="29">
        <f>IF(B189&gt;$AF$2,0,O188*Assumptions!$B$48/12*AP188+AR189*Assumptions!$B$50/12)</f>
        <v>10.574700375974489</v>
      </c>
      <c r="AR189" s="31">
        <f t="shared" si="100"/>
        <v>8440.1452488347422</v>
      </c>
      <c r="AS189">
        <f t="shared" si="83"/>
        <v>8532.1771090673719</v>
      </c>
      <c r="AT189">
        <f t="shared" si="101"/>
        <v>11.5464394243543</v>
      </c>
      <c r="AU189" s="19">
        <f t="shared" si="102"/>
        <v>8447.4913515807366</v>
      </c>
      <c r="AV189" s="19">
        <f t="shared" si="103"/>
        <v>8532.1047457476507</v>
      </c>
      <c r="AW189">
        <f t="shared" si="104"/>
        <v>-102.31665102273388</v>
      </c>
      <c r="AX189">
        <f>IF(B189&gt;$AF$2,0,HLOOKUP(YEAR(A189),Assumptions!$A$34:$AL$37,2,TRUE)/100)</f>
        <v>2.0268999999999999E-2</v>
      </c>
      <c r="AY189" s="32">
        <f>1/(1+HLOOKUP(YEAR(A189),Assumptions!$A$27:$AL$29,3,TRUE))^(1/12)</f>
        <v>0.9983964236411178</v>
      </c>
      <c r="AZ189" s="30">
        <f t="shared" si="84"/>
        <v>9136.193113051695</v>
      </c>
      <c r="BA189">
        <f>IF(B189&gt;$AF$2,0,IF($E$2=0,(T189*Z189+(1-T189)*AA189)*$J$2*Assumptions!$B$20,0))</f>
        <v>0</v>
      </c>
    </row>
    <row r="190" spans="1:53" x14ac:dyDescent="0.25">
      <c r="A190" s="17">
        <f t="shared" si="85"/>
        <v>48548</v>
      </c>
      <c r="B190">
        <f t="shared" si="77"/>
        <v>409</v>
      </c>
      <c r="C190">
        <f t="shared" si="78"/>
        <v>34</v>
      </c>
      <c r="D190">
        <f t="shared" si="106"/>
        <v>1</v>
      </c>
      <c r="E190">
        <f t="shared" si="79"/>
        <v>57</v>
      </c>
      <c r="F190">
        <f>IF(C190&gt;=$H$2,0,VLOOKUP($E190,'Mortality Table'!$A$3:$C$128,2+AB$2,FALSE))</f>
        <v>3.0477E-3</v>
      </c>
      <c r="G190">
        <f>F190*Assumptions!$B$1</f>
        <v>3.2991352500000002E-3</v>
      </c>
      <c r="H190">
        <f t="shared" si="86"/>
        <v>2.7534453539856951E-4</v>
      </c>
      <c r="I190">
        <f t="shared" si="107"/>
        <v>1.5767055116727252E-4</v>
      </c>
      <c r="J190">
        <f>HLOOKUP(C190,Assumptions!$A$6:$J$7,2,TRUE)</f>
        <v>3.5200000000000002E-2</v>
      </c>
      <c r="K190" s="18">
        <f t="shared" si="80"/>
        <v>1</v>
      </c>
      <c r="L190" s="18">
        <f t="shared" si="87"/>
        <v>8.3333333333333329E-2</v>
      </c>
      <c r="M190" s="18">
        <f t="shared" si="108"/>
        <v>2.9817501439168836E-3</v>
      </c>
      <c r="N190">
        <f t="shared" si="109"/>
        <v>1.70975365371539E-3</v>
      </c>
      <c r="O190" s="20">
        <f t="shared" si="110"/>
        <v>0.5716176061479189</v>
      </c>
      <c r="P190">
        <f>IF(B190&gt;$AF$2,0,O189*($E$2+IF(E190&lt;=Assumptions!$B$9,$D$2,0))/$I$2*K190)</f>
        <v>29.371991637902649</v>
      </c>
      <c r="Q190">
        <f t="shared" si="88"/>
        <v>26.1</v>
      </c>
      <c r="R190">
        <f>IF(B190&gt;$AF$2,0,IF($Y$2=1,(SUMIF('Mortality Tarif Male'!A:A,E191,'Mortality Tarif Male'!G:G)-SUMIF('Mortality Tarif Male'!A:A,$C$2+$H$2,'Mortality Tarif Male'!G:G)+SUMIF('Mortality Tarif Male'!A:A,$C$2+$H$2,'Mortality Tarif Male'!D:D))/SUMIF('Mortality Tarif Male'!A:A,E191,'Mortality Tarif Male'!D:D),(SUMIF('Mortality Tarif Female'!A:A,E191,'Mortality Tarif Female'!G:G)-SUMIF('Mortality Tarif Female'!A:A,$C$2+$H$2,'Mortality Tarif Female'!G:G)+SUMIF('Mortality Tarif Female'!A:A,$C$2+$H$2,'Mortality Tarif Female'!D:D))/SUMIF('Mortality Tarif Female'!A:A,E191,'Mortality Tarif Female'!D:D)))</f>
        <v>0.8157071733624115</v>
      </c>
      <c r="S190">
        <f>IF(B190&gt;=$AF$2,0,IF($Y$2=1,(SUMIF('Mortality Tarif Male'!A:A,E191+1,'Mortality Tarif Male'!G:G)-SUMIF('Mortality Tarif Male'!A:A,$C$2+$H$2,'Mortality Tarif Male'!G:G)+SUMIF('Mortality Tarif Male'!A:A,$C$2+$H$2,'Mortality Tarif Male'!D:D))/SUMIF('Mortality Tarif Male'!A:A,E191+1,'Mortality Tarif Male'!D:D),(SUMIF('Mortality Tarif Female'!A:A,E191+1,'Mortality Tarif Female'!G:G)-SUMIF('Mortality Tarif Female'!A:A,$C$2+$H$2,'Mortality Tarif Female'!G:G)+SUMIF('Mortality Tarif Female'!A:A,$C$2+$H$2,'Mortality Tarif Female'!D:D))/SUMIF('Mortality Tarif Female'!A:A,E191+1,'Mortality Tarif Female'!D:D)))</f>
        <v>0.84362178121276754</v>
      </c>
      <c r="T190">
        <f t="shared" si="89"/>
        <v>0.9166666666666643</v>
      </c>
      <c r="U190">
        <f t="shared" si="90"/>
        <v>0.81803339068327452</v>
      </c>
      <c r="V190">
        <f t="shared" si="91"/>
        <v>16360.66781366549</v>
      </c>
      <c r="W190">
        <f t="shared" si="81"/>
        <v>21.350671496833467</v>
      </c>
      <c r="X190">
        <f t="shared" si="82"/>
        <v>0</v>
      </c>
      <c r="Y190">
        <f>IF(B190&gt;$AF$2,0,IF(X191=0,0,(1-X191)*($E$2+IF(E190&lt;=Assumptions!$B$9,$D$2,0))/$I$2*1/(1+$AG$2)*1/(1+Assumptions!$B$11)))</f>
        <v>0</v>
      </c>
      <c r="Z190">
        <f>IF(B190&gt;$AF$2,0,IF($Y$2=1,(SUMIF('Mortality Tarif Male'!A:A,E191,'Mortality Tarif Male'!E:E)-SUMIF('Mortality Tarif Male'!A:A,$C$2+$H$2,'Mortality Tarif Male'!E:E))/SUMIF('Mortality Tarif Male'!A:A,E191,'Mortality Tarif Male'!D:D),(SUMIF('Mortality Tarif Female'!A:A,E191,'Mortality Tarif Female'!E:E)-SUMIF('Mortality Tarif Female'!A:A,$C$2+$H$2,'Mortality Tarif Female'!E:E))/SUMIF('Mortality Tarif Female'!A:A,E191,'Mortality Tarif Female'!D:D)))</f>
        <v>5.4616568003844552</v>
      </c>
      <c r="AA190">
        <f>IF(B190&gt;=$AF$2,0,IF($Y$2=1,(SUMIF('Mortality Tarif Male'!A:A,E191+1,'Mortality Tarif Male'!E:E)-SUMIF('Mortality Tarif Male'!A:A,$C$2+$H$2,'Mortality Tarif Male'!E:E))/SUMIF('Mortality Tarif Male'!A:A,E191+1,'Mortality Tarif Male'!D:D),(SUMIF('Mortality Tarif Female'!A:A,E191+1,'Mortality Tarif Female'!E:E)-SUMIF('Mortality Tarif Female'!A:A,$C$2+$H$2,'Mortality Tarif Female'!E:E))/SUMIF('Mortality Tarif Female'!A:A,E191+1,'Mortality Tarif Female'!D:D)))</f>
        <v>4.6347593267466118</v>
      </c>
      <c r="AB190">
        <f t="shared" si="76"/>
        <v>1298.7074162907361</v>
      </c>
      <c r="AC190">
        <f>IF(B190&gt;=$AF$2,0,MIN(1/3*(V190+W190+Y190-AB190),(V190-AB190),(T190*Z190+(1-T190)*AA190)*$AH$2*Assumptions!$B$22))</f>
        <v>140.56728431081171</v>
      </c>
      <c r="AD190">
        <f t="shared" si="92"/>
        <v>14942.743784560776</v>
      </c>
      <c r="AE190">
        <f t="shared" si="93"/>
        <v>15083.311068871588</v>
      </c>
      <c r="AF190">
        <f t="shared" si="94"/>
        <v>14942.743784560776</v>
      </c>
      <c r="AG190" s="26">
        <f t="shared" si="105"/>
        <v>0</v>
      </c>
      <c r="AH190" s="27">
        <f>IF(B190&gt;$AF$2,0,HLOOKUP(YEAR(A190),Assumptions!$A$34:$AL$37,4,TRUE)/100)</f>
        <v>1.4269E-2</v>
      </c>
      <c r="AI190">
        <f t="shared" si="95"/>
        <v>0</v>
      </c>
      <c r="AJ190">
        <f t="shared" si="96"/>
        <v>3.1575262247309159</v>
      </c>
      <c r="AK190">
        <f t="shared" si="97"/>
        <v>25.548410782185723</v>
      </c>
      <c r="AL190">
        <f>IF(E190&gt;Assumptions!$B$9,0,SUMPRODUCT($P$2:$X$2,Assumptions!$A$43:$I$43)/$I$2*O189*K190)</f>
        <v>3.2123534581200031</v>
      </c>
      <c r="AM190">
        <f t="shared" si="98"/>
        <v>0</v>
      </c>
      <c r="AN190">
        <f t="shared" si="99"/>
        <v>31.918290465036641</v>
      </c>
      <c r="AO190">
        <f>IF(E190&gt;Assumptions!$B$9,0,($V$2+$X$2)/$I$2*O189*K190*Assumptions!$B$46)</f>
        <v>0</v>
      </c>
      <c r="AP190">
        <f>IF(B190&gt;$AF$2,0,AP189*(1+Assumptions!$B$52)^(1/12))</f>
        <v>1.1600066856113724</v>
      </c>
      <c r="AQ190" s="29">
        <f>IF(B190&gt;$AF$2,0,O189*Assumptions!$B$48/12*AP189+AR190*Assumptions!$B$50/12)</f>
        <v>10.5536883392754</v>
      </c>
      <c r="AR190" s="31">
        <f t="shared" si="100"/>
        <v>8438.157220910738</v>
      </c>
      <c r="AS190">
        <f t="shared" si="83"/>
        <v>8541.5354314123251</v>
      </c>
      <c r="AT190">
        <f t="shared" si="101"/>
        <v>11.509116324221548</v>
      </c>
      <c r="AU190" s="19">
        <f t="shared" si="102"/>
        <v>8445.4664078851438</v>
      </c>
      <c r="AV190" s="19">
        <f t="shared" si="103"/>
        <v>8540.4738719334728</v>
      </c>
      <c r="AW190">
        <f t="shared" si="104"/>
        <v>-112.70122097590153</v>
      </c>
      <c r="AX190">
        <f>IF(B190&gt;$AF$2,0,HLOOKUP(YEAR(A190),Assumptions!$A$34:$AL$37,2,TRUE)/100)</f>
        <v>2.0268999999999999E-2</v>
      </c>
      <c r="AY190" s="32">
        <f>1/(1+HLOOKUP(YEAR(A190),Assumptions!$A$27:$AL$29,3,TRUE))^(1/12)</f>
        <v>0.9983964236411178</v>
      </c>
      <c r="AZ190" s="30">
        <f t="shared" si="84"/>
        <v>9137.7672402344142</v>
      </c>
      <c r="BA190">
        <f>IF(B190&gt;$AF$2,0,IF($E$2=0,(T190*Z190+(1-T190)*AA190)*$J$2*Assumptions!$B$20,0))</f>
        <v>0</v>
      </c>
    </row>
    <row r="191" spans="1:53" x14ac:dyDescent="0.25">
      <c r="A191" s="17">
        <f t="shared" si="85"/>
        <v>48579</v>
      </c>
      <c r="B191">
        <f t="shared" si="77"/>
        <v>410</v>
      </c>
      <c r="C191">
        <f t="shared" si="78"/>
        <v>34.083333333333336</v>
      </c>
      <c r="D191">
        <f t="shared" si="106"/>
        <v>0</v>
      </c>
      <c r="E191">
        <f t="shared" si="79"/>
        <v>57</v>
      </c>
      <c r="F191">
        <f>IF(C191&gt;=$H$2,0,VLOOKUP($E191,'Mortality Table'!$A$3:$C$128,2+AB$2,FALSE))</f>
        <v>3.0477E-3</v>
      </c>
      <c r="G191">
        <f>F191*Assumptions!$B$1</f>
        <v>3.2991352500000002E-3</v>
      </c>
      <c r="H191">
        <f t="shared" si="86"/>
        <v>2.7534453539856951E-4</v>
      </c>
      <c r="I191">
        <f t="shared" si="107"/>
        <v>1.5715713270286064E-4</v>
      </c>
      <c r="J191">
        <f>HLOOKUP(C191,Assumptions!$A$6:$J$7,2,TRUE)</f>
        <v>3.5200000000000002E-2</v>
      </c>
      <c r="K191" s="18">
        <f t="shared" si="80"/>
        <v>1</v>
      </c>
      <c r="L191" s="18">
        <f t="shared" si="87"/>
        <v>8.3333333333333329E-2</v>
      </c>
      <c r="M191" s="18">
        <f t="shared" si="108"/>
        <v>2.9817501439168836E-3</v>
      </c>
      <c r="N191">
        <f t="shared" si="109"/>
        <v>1.7041862279094011E-3</v>
      </c>
      <c r="O191" s="20">
        <f t="shared" si="110"/>
        <v>0.56975626278730673</v>
      </c>
      <c r="P191">
        <f>IF(B191&gt;$AF$2,0,O190*($E$2+IF(E191&lt;=Assumptions!$B$9,$D$2,0))/$I$2*K191)</f>
        <v>29.27634839487591</v>
      </c>
      <c r="Q191">
        <f t="shared" si="88"/>
        <v>26.1</v>
      </c>
      <c r="R191">
        <f>IF(B191&gt;$AF$2,0,IF($Y$2=1,(SUMIF('Mortality Tarif Male'!A:A,E192,'Mortality Tarif Male'!G:G)-SUMIF('Mortality Tarif Male'!A:A,$C$2+$H$2,'Mortality Tarif Male'!G:G)+SUMIF('Mortality Tarif Male'!A:A,$C$2+$H$2,'Mortality Tarif Male'!D:D))/SUMIF('Mortality Tarif Male'!A:A,E192,'Mortality Tarif Male'!D:D),(SUMIF('Mortality Tarif Female'!A:A,E192,'Mortality Tarif Female'!G:G)-SUMIF('Mortality Tarif Female'!A:A,$C$2+$H$2,'Mortality Tarif Female'!G:G)+SUMIF('Mortality Tarif Female'!A:A,$C$2+$H$2,'Mortality Tarif Female'!D:D))/SUMIF('Mortality Tarif Female'!A:A,E192,'Mortality Tarif Female'!D:D)))</f>
        <v>0.8157071733624115</v>
      </c>
      <c r="S191">
        <f>IF(B191&gt;=$AF$2,0,IF($Y$2=1,(SUMIF('Mortality Tarif Male'!A:A,E192+1,'Mortality Tarif Male'!G:G)-SUMIF('Mortality Tarif Male'!A:A,$C$2+$H$2,'Mortality Tarif Male'!G:G)+SUMIF('Mortality Tarif Male'!A:A,$C$2+$H$2,'Mortality Tarif Male'!D:D))/SUMIF('Mortality Tarif Male'!A:A,E192+1,'Mortality Tarif Male'!D:D),(SUMIF('Mortality Tarif Female'!A:A,E192+1,'Mortality Tarif Female'!G:G)-SUMIF('Mortality Tarif Female'!A:A,$C$2+$H$2,'Mortality Tarif Female'!G:G)+SUMIF('Mortality Tarif Female'!A:A,$C$2+$H$2,'Mortality Tarif Female'!D:D))/SUMIF('Mortality Tarif Female'!A:A,E192+1,'Mortality Tarif Female'!D:D)))</f>
        <v>0.84362178121276754</v>
      </c>
      <c r="T191">
        <f t="shared" si="89"/>
        <v>0.8333333333333357</v>
      </c>
      <c r="U191">
        <f t="shared" si="90"/>
        <v>0.82035960800413743</v>
      </c>
      <c r="V191">
        <f t="shared" si="91"/>
        <v>16407.192160082748</v>
      </c>
      <c r="W191">
        <f t="shared" si="81"/>
        <v>21.411385768907987</v>
      </c>
      <c r="X191">
        <f t="shared" si="82"/>
        <v>0</v>
      </c>
      <c r="Y191">
        <f>IF(B191&gt;$AF$2,0,IF(X192=0,0,(1-X192)*($E$2+IF(E191&lt;=Assumptions!$B$9,$D$2,0))/$I$2*1/(1+$AG$2)*1/(1+Assumptions!$B$11)))</f>
        <v>0</v>
      </c>
      <c r="Z191">
        <f>IF(B191&gt;$AF$2,0,IF($Y$2=1,(SUMIF('Mortality Tarif Male'!A:A,E192,'Mortality Tarif Male'!E:E)-SUMIF('Mortality Tarif Male'!A:A,$C$2+$H$2,'Mortality Tarif Male'!E:E))/SUMIF('Mortality Tarif Male'!A:A,E192,'Mortality Tarif Male'!D:D),(SUMIF('Mortality Tarif Female'!A:A,E192,'Mortality Tarif Female'!E:E)-SUMIF('Mortality Tarif Female'!A:A,$C$2+$H$2,'Mortality Tarif Female'!E:E))/SUMIF('Mortality Tarif Female'!A:A,E192,'Mortality Tarif Female'!D:D)))</f>
        <v>5.4616568003844552</v>
      </c>
      <c r="AA191">
        <f>IF(B191&gt;=$AF$2,0,IF($Y$2=1,(SUMIF('Mortality Tarif Male'!A:A,E192+1,'Mortality Tarif Male'!E:E)-SUMIF('Mortality Tarif Male'!A:A,$C$2+$H$2,'Mortality Tarif Male'!E:E))/SUMIF('Mortality Tarif Male'!A:A,E192+1,'Mortality Tarif Male'!D:D),(SUMIF('Mortality Tarif Female'!A:A,E192+1,'Mortality Tarif Female'!E:E)-SUMIF('Mortality Tarif Female'!A:A,$C$2+$H$2,'Mortality Tarif Female'!E:E))/SUMIF('Mortality Tarif Female'!A:A,E192+1,'Mortality Tarif Female'!D:D)))</f>
        <v>4.6347593267466118</v>
      </c>
      <c r="AB191">
        <f t="shared" si="76"/>
        <v>1282.1126340233634</v>
      </c>
      <c r="AC191">
        <f>IF(B191&gt;=$AF$2,0,MIN(1/3*(V191+W191+Y191-AB191),(V191-AB191),(T191*Z191+(1-T191)*AA191)*$AH$2*Assumptions!$B$22))</f>
        <v>138.77112649436052</v>
      </c>
      <c r="AD191">
        <f t="shared" si="92"/>
        <v>15007.719785333931</v>
      </c>
      <c r="AE191">
        <f t="shared" si="93"/>
        <v>15146.490911828292</v>
      </c>
      <c r="AF191">
        <f t="shared" si="94"/>
        <v>15007.719785333931</v>
      </c>
      <c r="AG191" s="26">
        <f t="shared" si="105"/>
        <v>14658.945125570221</v>
      </c>
      <c r="AH191" s="27">
        <f>IF(B191&gt;$AF$2,0,HLOOKUP(YEAR(A191),Assumptions!$A$34:$AL$37,4,TRUE)/100)</f>
        <v>1.4269E-2</v>
      </c>
      <c r="AI191">
        <f t="shared" si="95"/>
        <v>0</v>
      </c>
      <c r="AJ191">
        <f t="shared" si="96"/>
        <v>3.1472444552207572</v>
      </c>
      <c r="AK191">
        <f t="shared" si="97"/>
        <v>25.575949370489518</v>
      </c>
      <c r="AL191">
        <f>IF(E191&gt;Assumptions!$B$9,0,SUMPRODUCT($P$2:$X$2,Assumptions!$A$43:$I$43)/$I$2*O190*K191)</f>
        <v>3.2018931561333215</v>
      </c>
      <c r="AM191">
        <f t="shared" si="98"/>
        <v>0</v>
      </c>
      <c r="AN191">
        <f t="shared" si="99"/>
        <v>31.925086981843599</v>
      </c>
      <c r="AO191">
        <f>IF(E191&gt;Assumptions!$B$9,0,($V$2+$X$2)/$I$2*O190*K191*Assumptions!$B$46)</f>
        <v>0</v>
      </c>
      <c r="AP191">
        <f>IF(B191&gt;$AF$2,0,AP190*(1+Assumptions!$B$52)^(1/12))</f>
        <v>1.1609689553699833</v>
      </c>
      <c r="AQ191" s="29">
        <f>IF(B191&gt;$AF$2,0,O190*Assumptions!$B$48/12*AP190+AR191*Assumptions!$B$50/12)</f>
        <v>10.532748441298239</v>
      </c>
      <c r="AR191" s="31">
        <f t="shared" si="100"/>
        <v>8437.1039567720527</v>
      </c>
      <c r="AS191">
        <f t="shared" si="83"/>
        <v>8550.7423378509811</v>
      </c>
      <c r="AT191">
        <f t="shared" si="101"/>
        <v>11.471639491761877</v>
      </c>
      <c r="AU191" s="19">
        <f t="shared" si="102"/>
        <v>8444.3759172338705</v>
      </c>
      <c r="AV191" s="19">
        <f t="shared" si="103"/>
        <v>8549.8051777479541</v>
      </c>
      <c r="AW191">
        <f t="shared" si="104"/>
        <v>0</v>
      </c>
      <c r="AX191">
        <f>IF(B191&gt;$AF$2,0,HLOOKUP(YEAR(A191),Assumptions!$A$34:$AL$37,2,TRUE)/100)</f>
        <v>2.0268999999999999E-2</v>
      </c>
      <c r="AY191" s="32">
        <f>1/(1+HLOOKUP(YEAR(A191),Assumptions!$A$27:$AL$29,3,TRUE))^(1/12)</f>
        <v>0.9983964236411178</v>
      </c>
      <c r="AZ191" s="30">
        <f t="shared" si="84"/>
        <v>9139.2623958427175</v>
      </c>
      <c r="BA191">
        <f>IF(B191&gt;$AF$2,0,IF($E$2=0,(T191*Z191+(1-T191)*AA191)*$J$2*Assumptions!$B$20,0))</f>
        <v>0</v>
      </c>
    </row>
    <row r="192" spans="1:53" x14ac:dyDescent="0.25">
      <c r="A192" s="17">
        <f t="shared" si="85"/>
        <v>48610</v>
      </c>
      <c r="B192">
        <f t="shared" si="77"/>
        <v>411</v>
      </c>
      <c r="C192">
        <f t="shared" si="78"/>
        <v>34.166666666666664</v>
      </c>
      <c r="D192">
        <f t="shared" si="106"/>
        <v>0</v>
      </c>
      <c r="E192">
        <f t="shared" si="79"/>
        <v>57</v>
      </c>
      <c r="F192">
        <f>IF(C192&gt;=$H$2,0,VLOOKUP($E192,'Mortality Table'!$A$3:$C$128,2+AB$2,FALSE))</f>
        <v>3.0477E-3</v>
      </c>
      <c r="G192">
        <f>F192*Assumptions!$B$1</f>
        <v>3.2991352500000002E-3</v>
      </c>
      <c r="H192">
        <f t="shared" si="86"/>
        <v>2.7534453539856951E-4</v>
      </c>
      <c r="I192">
        <f t="shared" si="107"/>
        <v>1.5664538606947648E-4</v>
      </c>
      <c r="J192">
        <f>HLOOKUP(C192,Assumptions!$A$6:$J$7,2,TRUE)</f>
        <v>3.5200000000000002E-2</v>
      </c>
      <c r="K192" s="18">
        <f t="shared" si="80"/>
        <v>1</v>
      </c>
      <c r="L192" s="18">
        <f t="shared" si="87"/>
        <v>8.3333333333333329E-2</v>
      </c>
      <c r="M192" s="18">
        <f t="shared" si="108"/>
        <v>2.9817501439168836E-3</v>
      </c>
      <c r="N192">
        <f t="shared" si="109"/>
        <v>1.6986369311654777E-3</v>
      </c>
      <c r="O192" s="20">
        <f t="shared" si="110"/>
        <v>0.56790098047007176</v>
      </c>
      <c r="P192">
        <f>IF(B192&gt;$AF$2,0,O191*($E$2+IF(E192&lt;=Assumptions!$B$9,$D$2,0))/$I$2*K192)</f>
        <v>29.181016592423223</v>
      </c>
      <c r="Q192">
        <f t="shared" si="88"/>
        <v>26.1</v>
      </c>
      <c r="R192">
        <f>IF(B192&gt;$AF$2,0,IF($Y$2=1,(SUMIF('Mortality Tarif Male'!A:A,E193,'Mortality Tarif Male'!G:G)-SUMIF('Mortality Tarif Male'!A:A,$C$2+$H$2,'Mortality Tarif Male'!G:G)+SUMIF('Mortality Tarif Male'!A:A,$C$2+$H$2,'Mortality Tarif Male'!D:D))/SUMIF('Mortality Tarif Male'!A:A,E193,'Mortality Tarif Male'!D:D),(SUMIF('Mortality Tarif Female'!A:A,E193,'Mortality Tarif Female'!G:G)-SUMIF('Mortality Tarif Female'!A:A,$C$2+$H$2,'Mortality Tarif Female'!G:G)+SUMIF('Mortality Tarif Female'!A:A,$C$2+$H$2,'Mortality Tarif Female'!D:D))/SUMIF('Mortality Tarif Female'!A:A,E193,'Mortality Tarif Female'!D:D)))</f>
        <v>0.8157071733624115</v>
      </c>
      <c r="S192">
        <f>IF(B192&gt;=$AF$2,0,IF($Y$2=1,(SUMIF('Mortality Tarif Male'!A:A,E193+1,'Mortality Tarif Male'!G:G)-SUMIF('Mortality Tarif Male'!A:A,$C$2+$H$2,'Mortality Tarif Male'!G:G)+SUMIF('Mortality Tarif Male'!A:A,$C$2+$H$2,'Mortality Tarif Male'!D:D))/SUMIF('Mortality Tarif Male'!A:A,E193+1,'Mortality Tarif Male'!D:D),(SUMIF('Mortality Tarif Female'!A:A,E193+1,'Mortality Tarif Female'!G:G)-SUMIF('Mortality Tarif Female'!A:A,$C$2+$H$2,'Mortality Tarif Female'!G:G)+SUMIF('Mortality Tarif Female'!A:A,$C$2+$H$2,'Mortality Tarif Female'!D:D))/SUMIF('Mortality Tarif Female'!A:A,E193+1,'Mortality Tarif Female'!D:D)))</f>
        <v>0.84362178121276754</v>
      </c>
      <c r="T192">
        <f t="shared" si="89"/>
        <v>0.75</v>
      </c>
      <c r="U192">
        <f t="shared" si="90"/>
        <v>0.82268582532500056</v>
      </c>
      <c r="V192">
        <f t="shared" si="91"/>
        <v>16453.716506500012</v>
      </c>
      <c r="W192">
        <f t="shared" si="81"/>
        <v>21.472100040982514</v>
      </c>
      <c r="X192">
        <f t="shared" si="82"/>
        <v>0</v>
      </c>
      <c r="Y192">
        <f>IF(B192&gt;$AF$2,0,IF(X193=0,0,(1-X193)*($E$2+IF(E192&lt;=Assumptions!$B$9,$D$2,0))/$I$2*1/(1+$AG$2)*1/(1+Assumptions!$B$11)))</f>
        <v>0</v>
      </c>
      <c r="Z192">
        <f>IF(B192&gt;$AF$2,0,IF($Y$2=1,(SUMIF('Mortality Tarif Male'!A:A,E193,'Mortality Tarif Male'!E:E)-SUMIF('Mortality Tarif Male'!A:A,$C$2+$H$2,'Mortality Tarif Male'!E:E))/SUMIF('Mortality Tarif Male'!A:A,E193,'Mortality Tarif Male'!D:D),(SUMIF('Mortality Tarif Female'!A:A,E193,'Mortality Tarif Female'!E:E)-SUMIF('Mortality Tarif Female'!A:A,$C$2+$H$2,'Mortality Tarif Female'!E:E))/SUMIF('Mortality Tarif Female'!A:A,E193,'Mortality Tarif Female'!D:D)))</f>
        <v>5.4616568003844552</v>
      </c>
      <c r="AA192">
        <f>IF(B192&gt;=$AF$2,0,IF($Y$2=1,(SUMIF('Mortality Tarif Male'!A:A,E193+1,'Mortality Tarif Male'!E:E)-SUMIF('Mortality Tarif Male'!A:A,$C$2+$H$2,'Mortality Tarif Male'!E:E))/SUMIF('Mortality Tarif Male'!A:A,E193+1,'Mortality Tarif Male'!D:D),(SUMIF('Mortality Tarif Female'!A:A,E193+1,'Mortality Tarif Female'!E:E)-SUMIF('Mortality Tarif Female'!A:A,$C$2+$H$2,'Mortality Tarif Female'!E:E))/SUMIF('Mortality Tarif Female'!A:A,E193+1,'Mortality Tarif Female'!D:D)))</f>
        <v>4.6347593267466118</v>
      </c>
      <c r="AB192">
        <f t="shared" si="76"/>
        <v>1265.5178517559893</v>
      </c>
      <c r="AC192">
        <f>IF(B192&gt;=$AF$2,0,MIN(1/3*(V192+W192+Y192-AB192),(V192-AB192),(T192*Z192+(1-T192)*AA192)*$AH$2*Assumptions!$B$22))</f>
        <v>136.97496867790912</v>
      </c>
      <c r="AD192">
        <f t="shared" si="92"/>
        <v>15072.695786107095</v>
      </c>
      <c r="AE192">
        <f t="shared" si="93"/>
        <v>15209.670754785004</v>
      </c>
      <c r="AF192">
        <f t="shared" si="94"/>
        <v>15072.695786107095</v>
      </c>
      <c r="AG192" s="26">
        <f t="shared" si="105"/>
        <v>0</v>
      </c>
      <c r="AH192" s="27">
        <f>IF(B192&gt;$AF$2,0,HLOOKUP(YEAR(A192),Assumptions!$A$34:$AL$37,4,TRUE)/100)</f>
        <v>1.5394000000000001E-2</v>
      </c>
      <c r="AI192">
        <f t="shared" si="95"/>
        <v>0</v>
      </c>
      <c r="AJ192">
        <f t="shared" si="96"/>
        <v>3.1369961659659427</v>
      </c>
      <c r="AK192">
        <f t="shared" si="97"/>
        <v>25.603037714503785</v>
      </c>
      <c r="AL192">
        <f>IF(E192&gt;Assumptions!$B$9,0,SUMPRODUCT($P$2:$X$2,Assumptions!$A$43:$I$43)/$I$2*O191*K192)</f>
        <v>3.1914669157525868</v>
      </c>
      <c r="AM192">
        <f t="shared" si="98"/>
        <v>0</v>
      </c>
      <c r="AN192">
        <f t="shared" si="99"/>
        <v>31.931500796222316</v>
      </c>
      <c r="AO192">
        <f>IF(E192&gt;Assumptions!$B$9,0,($V$2+$X$2)/$I$2*O191*K192*Assumptions!$B$46)</f>
        <v>0</v>
      </c>
      <c r="AP192">
        <f>IF(B192&gt;$AF$2,0,AP191*(1+Assumptions!$B$52)^(1/12))</f>
        <v>1.1619320233680355</v>
      </c>
      <c r="AQ192" s="29">
        <f>IF(B192&gt;$AF$2,0,O191*Assumptions!$B$48/12*AP191+AR192*Assumptions!$B$50/12)</f>
        <v>10.541567958983658</v>
      </c>
      <c r="AR192" s="31">
        <f t="shared" si="100"/>
        <v>8558.9851556293543</v>
      </c>
      <c r="AS192">
        <f t="shared" si="83"/>
        <v>8559.7987152573387</v>
      </c>
      <c r="AT192">
        <f t="shared" si="101"/>
        <v>11.434284694125008</v>
      </c>
      <c r="AU192" s="19">
        <f t="shared" si="102"/>
        <v>8566.1903195686682</v>
      </c>
      <c r="AV192" s="19">
        <f t="shared" si="103"/>
        <v>8558.9851556293543</v>
      </c>
      <c r="AW192">
        <f t="shared" si="104"/>
        <v>-9.4476261657873479</v>
      </c>
      <c r="AX192">
        <f>IF(B192&gt;$AF$2,0,HLOOKUP(YEAR(A192),Assumptions!$A$34:$AL$37,2,TRUE)/100)</f>
        <v>2.1394000000000003E-2</v>
      </c>
      <c r="AY192" s="32">
        <f>1/(1+HLOOKUP(YEAR(A192),Assumptions!$A$27:$AL$29,3,TRUE))^(1/12)</f>
        <v>0.99832904108543385</v>
      </c>
      <c r="AZ192" s="30">
        <f t="shared" si="84"/>
        <v>9141.2672361316327</v>
      </c>
      <c r="BA192">
        <f>IF(B192&gt;$AF$2,0,IF($E$2=0,(T192*Z192+(1-T192)*AA192)*$J$2*Assumptions!$B$20,0))</f>
        <v>0</v>
      </c>
    </row>
    <row r="193" spans="1:53" x14ac:dyDescent="0.25">
      <c r="A193" s="17">
        <f t="shared" si="85"/>
        <v>48638</v>
      </c>
      <c r="B193">
        <f t="shared" si="77"/>
        <v>412</v>
      </c>
      <c r="C193">
        <f t="shared" si="78"/>
        <v>34.25</v>
      </c>
      <c r="D193">
        <f t="shared" si="106"/>
        <v>0</v>
      </c>
      <c r="E193">
        <f t="shared" si="79"/>
        <v>57</v>
      </c>
      <c r="F193">
        <f>IF(C193&gt;=$H$2,0,VLOOKUP($E193,'Mortality Table'!$A$3:$C$128,2+AB$2,FALSE))</f>
        <v>3.0477E-3</v>
      </c>
      <c r="G193">
        <f>F193*Assumptions!$B$1</f>
        <v>3.2991352500000002E-3</v>
      </c>
      <c r="H193">
        <f t="shared" si="86"/>
        <v>2.7534453539856951E-4</v>
      </c>
      <c r="I193">
        <f t="shared" si="107"/>
        <v>1.5613530582318062E-4</v>
      </c>
      <c r="J193">
        <f>HLOOKUP(C193,Assumptions!$A$6:$J$7,2,TRUE)</f>
        <v>3.5200000000000002E-2</v>
      </c>
      <c r="K193" s="18">
        <f t="shared" si="80"/>
        <v>1</v>
      </c>
      <c r="L193" s="18">
        <f t="shared" si="87"/>
        <v>8.3333333333333329E-2</v>
      </c>
      <c r="M193" s="18">
        <f t="shared" si="108"/>
        <v>2.9817501439168836E-3</v>
      </c>
      <c r="N193">
        <f t="shared" si="109"/>
        <v>1.6931057044504323E-3</v>
      </c>
      <c r="O193" s="20">
        <f t="shared" si="110"/>
        <v>0.56605173945979814</v>
      </c>
      <c r="P193">
        <f>IF(B193&gt;$AF$2,0,O192*($E$2+IF(E193&lt;=Assumptions!$B$9,$D$2,0))/$I$2*K193)</f>
        <v>29.085995216408836</v>
      </c>
      <c r="Q193">
        <f t="shared" si="88"/>
        <v>26.1</v>
      </c>
      <c r="R193">
        <f>IF(B193&gt;$AF$2,0,IF($Y$2=1,(SUMIF('Mortality Tarif Male'!A:A,E194,'Mortality Tarif Male'!G:G)-SUMIF('Mortality Tarif Male'!A:A,$C$2+$H$2,'Mortality Tarif Male'!G:G)+SUMIF('Mortality Tarif Male'!A:A,$C$2+$H$2,'Mortality Tarif Male'!D:D))/SUMIF('Mortality Tarif Male'!A:A,E194,'Mortality Tarif Male'!D:D),(SUMIF('Mortality Tarif Female'!A:A,E194,'Mortality Tarif Female'!G:G)-SUMIF('Mortality Tarif Female'!A:A,$C$2+$H$2,'Mortality Tarif Female'!G:G)+SUMIF('Mortality Tarif Female'!A:A,$C$2+$H$2,'Mortality Tarif Female'!D:D))/SUMIF('Mortality Tarif Female'!A:A,E194,'Mortality Tarif Female'!D:D)))</f>
        <v>0.8157071733624115</v>
      </c>
      <c r="S193">
        <f>IF(B193&gt;=$AF$2,0,IF($Y$2=1,(SUMIF('Mortality Tarif Male'!A:A,E194+1,'Mortality Tarif Male'!G:G)-SUMIF('Mortality Tarif Male'!A:A,$C$2+$H$2,'Mortality Tarif Male'!G:G)+SUMIF('Mortality Tarif Male'!A:A,$C$2+$H$2,'Mortality Tarif Male'!D:D))/SUMIF('Mortality Tarif Male'!A:A,E194+1,'Mortality Tarif Male'!D:D),(SUMIF('Mortality Tarif Female'!A:A,E194+1,'Mortality Tarif Female'!G:G)-SUMIF('Mortality Tarif Female'!A:A,$C$2+$H$2,'Mortality Tarif Female'!G:G)+SUMIF('Mortality Tarif Female'!A:A,$C$2+$H$2,'Mortality Tarif Female'!D:D))/SUMIF('Mortality Tarif Female'!A:A,E194+1,'Mortality Tarif Female'!D:D)))</f>
        <v>0.84362178121276754</v>
      </c>
      <c r="T193">
        <f t="shared" si="89"/>
        <v>0.6666666666666643</v>
      </c>
      <c r="U193">
        <f t="shared" si="90"/>
        <v>0.82501204264586359</v>
      </c>
      <c r="V193">
        <f t="shared" si="91"/>
        <v>16500.240852917272</v>
      </c>
      <c r="W193">
        <f t="shared" si="81"/>
        <v>21.532814313057042</v>
      </c>
      <c r="X193">
        <f t="shared" si="82"/>
        <v>0</v>
      </c>
      <c r="Y193">
        <f>IF(B193&gt;$AF$2,0,IF(X194=0,0,(1-X194)*($E$2+IF(E193&lt;=Assumptions!$B$9,$D$2,0))/$I$2*1/(1+$AG$2)*1/(1+Assumptions!$B$11)))</f>
        <v>0</v>
      </c>
      <c r="Z193">
        <f>IF(B193&gt;$AF$2,0,IF($Y$2=1,(SUMIF('Mortality Tarif Male'!A:A,E194,'Mortality Tarif Male'!E:E)-SUMIF('Mortality Tarif Male'!A:A,$C$2+$H$2,'Mortality Tarif Male'!E:E))/SUMIF('Mortality Tarif Male'!A:A,E194,'Mortality Tarif Male'!D:D),(SUMIF('Mortality Tarif Female'!A:A,E194,'Mortality Tarif Female'!E:E)-SUMIF('Mortality Tarif Female'!A:A,$C$2+$H$2,'Mortality Tarif Female'!E:E))/SUMIF('Mortality Tarif Female'!A:A,E194,'Mortality Tarif Female'!D:D)))</f>
        <v>5.4616568003844552</v>
      </c>
      <c r="AA193">
        <f>IF(B193&gt;=$AF$2,0,IF($Y$2=1,(SUMIF('Mortality Tarif Male'!A:A,E194+1,'Mortality Tarif Male'!E:E)-SUMIF('Mortality Tarif Male'!A:A,$C$2+$H$2,'Mortality Tarif Male'!E:E))/SUMIF('Mortality Tarif Male'!A:A,E194+1,'Mortality Tarif Male'!D:D),(SUMIF('Mortality Tarif Female'!A:A,E194+1,'Mortality Tarif Female'!E:E)-SUMIF('Mortality Tarif Female'!A:A,$C$2+$H$2,'Mortality Tarif Female'!E:E))/SUMIF('Mortality Tarif Female'!A:A,E194+1,'Mortality Tarif Female'!D:D)))</f>
        <v>4.6347593267466118</v>
      </c>
      <c r="AB193">
        <f t="shared" si="76"/>
        <v>1248.9230694886153</v>
      </c>
      <c r="AC193">
        <f>IF(B193&gt;=$AF$2,0,MIN(1/3*(V193+W193+Y193-AB193),(V193-AB193),(T193*Z193+(1-T193)*AA193)*$AH$2*Assumptions!$B$22))</f>
        <v>135.17881086145775</v>
      </c>
      <c r="AD193">
        <f t="shared" si="92"/>
        <v>15137.671786880255</v>
      </c>
      <c r="AE193">
        <f t="shared" si="93"/>
        <v>15272.850597741713</v>
      </c>
      <c r="AF193">
        <f t="shared" si="94"/>
        <v>15137.671786880255</v>
      </c>
      <c r="AG193" s="26">
        <f t="shared" si="105"/>
        <v>0</v>
      </c>
      <c r="AH193" s="27">
        <f>IF(B193&gt;$AF$2,0,HLOOKUP(YEAR(A193),Assumptions!$A$34:$AL$37,4,TRUE)/100)</f>
        <v>1.5394000000000001E-2</v>
      </c>
      <c r="AI193">
        <f t="shared" si="95"/>
        <v>0</v>
      </c>
      <c r="AJ193">
        <f t="shared" si="96"/>
        <v>3.1267812479455972</v>
      </c>
      <c r="AK193">
        <f t="shared" si="97"/>
        <v>25.629678454465328</v>
      </c>
      <c r="AL193">
        <f>IF(E193&gt;Assumptions!$B$9,0,SUMPRODUCT($P$2:$X$2,Assumptions!$A$43:$I$43)/$I$2*O192*K193)</f>
        <v>3.181074626063888</v>
      </c>
      <c r="AM193">
        <f t="shared" si="98"/>
        <v>0</v>
      </c>
      <c r="AN193">
        <f t="shared" si="99"/>
        <v>31.937534328474815</v>
      </c>
      <c r="AO193">
        <f>IF(E193&gt;Assumptions!$B$9,0,($V$2+$X$2)/$I$2*O192*K193*Assumptions!$B$46)</f>
        <v>0</v>
      </c>
      <c r="AP193">
        <f>IF(B193&gt;$AF$2,0,AP192*(1+Assumptions!$B$52)^(1/12))</f>
        <v>1.1628958902676987</v>
      </c>
      <c r="AQ193" s="29">
        <f>IF(B193&gt;$AF$2,0,O192*Assumptions!$B$48/12*AP192+AR193*Assumptions!$B$50/12)</f>
        <v>10.520881946968188</v>
      </c>
      <c r="AR193" s="31">
        <f t="shared" si="100"/>
        <v>8558.5670659994194</v>
      </c>
      <c r="AS193">
        <f t="shared" si="83"/>
        <v>8568.7054463350796</v>
      </c>
      <c r="AT193">
        <f t="shared" si="101"/>
        <v>11.397051533932157</v>
      </c>
      <c r="AU193" s="19">
        <f t="shared" si="102"/>
        <v>8565.735127734928</v>
      </c>
      <c r="AV193" s="19">
        <f t="shared" si="103"/>
        <v>8568.0146921652067</v>
      </c>
      <c r="AW193">
        <f t="shared" si="104"/>
        <v>-18.921978897184935</v>
      </c>
      <c r="AX193">
        <f>IF(B193&gt;$AF$2,0,HLOOKUP(YEAR(A193),Assumptions!$A$34:$AL$37,2,TRUE)/100)</f>
        <v>2.1394000000000003E-2</v>
      </c>
      <c r="AY193" s="32">
        <f>1/(1+HLOOKUP(YEAR(A193),Assumptions!$A$27:$AL$29,3,TRUE))^(1/12)</f>
        <v>0.99832904108543385</v>
      </c>
      <c r="AZ193" s="30">
        <f t="shared" si="84"/>
        <v>9143.1950631371419</v>
      </c>
      <c r="BA193">
        <f>IF(B193&gt;$AF$2,0,IF($E$2=0,(T193*Z193+(1-T193)*AA193)*$J$2*Assumptions!$B$20,0))</f>
        <v>0</v>
      </c>
    </row>
    <row r="194" spans="1:53" x14ac:dyDescent="0.25">
      <c r="A194" s="17">
        <f t="shared" si="85"/>
        <v>48669</v>
      </c>
      <c r="B194">
        <f t="shared" si="77"/>
        <v>413</v>
      </c>
      <c r="C194">
        <f t="shared" si="78"/>
        <v>34.333333333333336</v>
      </c>
      <c r="D194">
        <f t="shared" si="106"/>
        <v>0</v>
      </c>
      <c r="E194">
        <f t="shared" si="79"/>
        <v>57</v>
      </c>
      <c r="F194">
        <f>IF(C194&gt;=$H$2,0,VLOOKUP($E194,'Mortality Table'!$A$3:$C$128,2+AB$2,FALSE))</f>
        <v>3.0477E-3</v>
      </c>
      <c r="G194">
        <f>F194*Assumptions!$B$1</f>
        <v>3.2991352500000002E-3</v>
      </c>
      <c r="H194">
        <f t="shared" si="86"/>
        <v>2.7534453539856951E-4</v>
      </c>
      <c r="I194">
        <f t="shared" si="107"/>
        <v>1.5562688653776075E-4</v>
      </c>
      <c r="J194">
        <f>HLOOKUP(C194,Assumptions!$A$6:$J$7,2,TRUE)</f>
        <v>3.5200000000000002E-2</v>
      </c>
      <c r="K194" s="18">
        <f t="shared" si="80"/>
        <v>1</v>
      </c>
      <c r="L194" s="18">
        <f t="shared" si="87"/>
        <v>8.3333333333333329E-2</v>
      </c>
      <c r="M194" s="18">
        <f t="shared" si="108"/>
        <v>2.9817501439168836E-3</v>
      </c>
      <c r="N194">
        <f t="shared" si="109"/>
        <v>1.6875924889233058E-3</v>
      </c>
      <c r="O194" s="20">
        <f t="shared" si="110"/>
        <v>0.56420852008433708</v>
      </c>
      <c r="P194">
        <f>IF(B194&gt;$AF$2,0,O193*($E$2+IF(E194&lt;=Assumptions!$B$9,$D$2,0))/$I$2*K194)</f>
        <v>28.991283255999324</v>
      </c>
      <c r="Q194">
        <f t="shared" si="88"/>
        <v>26.1</v>
      </c>
      <c r="R194">
        <f>IF(B194&gt;$AF$2,0,IF($Y$2=1,(SUMIF('Mortality Tarif Male'!A:A,E195,'Mortality Tarif Male'!G:G)-SUMIF('Mortality Tarif Male'!A:A,$C$2+$H$2,'Mortality Tarif Male'!G:G)+SUMIF('Mortality Tarif Male'!A:A,$C$2+$H$2,'Mortality Tarif Male'!D:D))/SUMIF('Mortality Tarif Male'!A:A,E195,'Mortality Tarif Male'!D:D),(SUMIF('Mortality Tarif Female'!A:A,E195,'Mortality Tarif Female'!G:G)-SUMIF('Mortality Tarif Female'!A:A,$C$2+$H$2,'Mortality Tarif Female'!G:G)+SUMIF('Mortality Tarif Female'!A:A,$C$2+$H$2,'Mortality Tarif Female'!D:D))/SUMIF('Mortality Tarif Female'!A:A,E195,'Mortality Tarif Female'!D:D)))</f>
        <v>0.8157071733624115</v>
      </c>
      <c r="S194">
        <f>IF(B194&gt;=$AF$2,0,IF($Y$2=1,(SUMIF('Mortality Tarif Male'!A:A,E195+1,'Mortality Tarif Male'!G:G)-SUMIF('Mortality Tarif Male'!A:A,$C$2+$H$2,'Mortality Tarif Male'!G:G)+SUMIF('Mortality Tarif Male'!A:A,$C$2+$H$2,'Mortality Tarif Male'!D:D))/SUMIF('Mortality Tarif Male'!A:A,E195+1,'Mortality Tarif Male'!D:D),(SUMIF('Mortality Tarif Female'!A:A,E195+1,'Mortality Tarif Female'!G:G)-SUMIF('Mortality Tarif Female'!A:A,$C$2+$H$2,'Mortality Tarif Female'!G:G)+SUMIF('Mortality Tarif Female'!A:A,$C$2+$H$2,'Mortality Tarif Female'!D:D))/SUMIF('Mortality Tarif Female'!A:A,E195+1,'Mortality Tarif Female'!D:D)))</f>
        <v>0.84362178121276754</v>
      </c>
      <c r="T194">
        <f t="shared" si="89"/>
        <v>0.5833333333333357</v>
      </c>
      <c r="U194">
        <f t="shared" si="90"/>
        <v>0.8273382599667265</v>
      </c>
      <c r="V194">
        <f t="shared" si="91"/>
        <v>16546.765199334532</v>
      </c>
      <c r="W194">
        <f t="shared" si="81"/>
        <v>21.593528585131562</v>
      </c>
      <c r="X194">
        <f t="shared" si="82"/>
        <v>0</v>
      </c>
      <c r="Y194">
        <f>IF(B194&gt;$AF$2,0,IF(X195=0,0,(1-X195)*($E$2+IF(E194&lt;=Assumptions!$B$9,$D$2,0))/$I$2*1/(1+$AG$2)*1/(1+Assumptions!$B$11)))</f>
        <v>0</v>
      </c>
      <c r="Z194">
        <f>IF(B194&gt;$AF$2,0,IF($Y$2=1,(SUMIF('Mortality Tarif Male'!A:A,E195,'Mortality Tarif Male'!E:E)-SUMIF('Mortality Tarif Male'!A:A,$C$2+$H$2,'Mortality Tarif Male'!E:E))/SUMIF('Mortality Tarif Male'!A:A,E195,'Mortality Tarif Male'!D:D),(SUMIF('Mortality Tarif Female'!A:A,E195,'Mortality Tarif Female'!E:E)-SUMIF('Mortality Tarif Female'!A:A,$C$2+$H$2,'Mortality Tarif Female'!E:E))/SUMIF('Mortality Tarif Female'!A:A,E195,'Mortality Tarif Female'!D:D)))</f>
        <v>5.4616568003844552</v>
      </c>
      <c r="AA194">
        <f>IF(B194&gt;=$AF$2,0,IF($Y$2=1,(SUMIF('Mortality Tarif Male'!A:A,E195+1,'Mortality Tarif Male'!E:E)-SUMIF('Mortality Tarif Male'!A:A,$C$2+$H$2,'Mortality Tarif Male'!E:E))/SUMIF('Mortality Tarif Male'!A:A,E195+1,'Mortality Tarif Male'!D:D),(SUMIF('Mortality Tarif Female'!A:A,E195+1,'Mortality Tarif Female'!E:E)-SUMIF('Mortality Tarif Female'!A:A,$C$2+$H$2,'Mortality Tarif Female'!E:E))/SUMIF('Mortality Tarif Female'!A:A,E195+1,'Mortality Tarif Female'!D:D)))</f>
        <v>4.6347593267466118</v>
      </c>
      <c r="AB194">
        <f t="shared" si="76"/>
        <v>1232.3282872212426</v>
      </c>
      <c r="AC194">
        <f>IF(B194&gt;=$AF$2,0,MIN(1/3*(V194+W194+Y194-AB194),(V194-AB194),(T194*Z194+(1-T194)*AA194)*$AH$2*Assumptions!$B$22))</f>
        <v>133.38265304500649</v>
      </c>
      <c r="AD194">
        <f t="shared" si="92"/>
        <v>15202.647787653414</v>
      </c>
      <c r="AE194">
        <f t="shared" si="93"/>
        <v>15336.03044069842</v>
      </c>
      <c r="AF194">
        <f t="shared" si="94"/>
        <v>15202.647787653414</v>
      </c>
      <c r="AG194" s="26">
        <f t="shared" si="105"/>
        <v>0</v>
      </c>
      <c r="AH194" s="27">
        <f>IF(B194&gt;$AF$2,0,HLOOKUP(YEAR(A194),Assumptions!$A$34:$AL$37,4,TRUE)/100)</f>
        <v>1.5394000000000001E-2</v>
      </c>
      <c r="AI194">
        <f t="shared" si="95"/>
        <v>0</v>
      </c>
      <c r="AJ194">
        <f t="shared" si="96"/>
        <v>3.1165995924938503</v>
      </c>
      <c r="AK194">
        <f t="shared" si="97"/>
        <v>25.655874218190412</v>
      </c>
      <c r="AL194">
        <f>IF(E194&gt;Assumptions!$B$9,0,SUMPRODUCT($P$2:$X$2,Assumptions!$A$43:$I$43)/$I$2*O193*K194)</f>
        <v>3.1707161765144805</v>
      </c>
      <c r="AM194">
        <f t="shared" si="98"/>
        <v>0</v>
      </c>
      <c r="AN194">
        <f t="shared" si="99"/>
        <v>31.943189987198743</v>
      </c>
      <c r="AO194">
        <f>IF(E194&gt;Assumptions!$B$9,0,($V$2+$X$2)/$I$2*O193*K194*Assumptions!$B$46)</f>
        <v>0</v>
      </c>
      <c r="AP194">
        <f>IF(B194&gt;$AF$2,0,AP193*(1+Assumptions!$B$52)^(1/12))</f>
        <v>1.1638605567316922</v>
      </c>
      <c r="AQ194" s="29">
        <f>IF(B194&gt;$AF$2,0,O193*Assumptions!$B$48/12*AP193+AR194*Assumptions!$B$50/12)</f>
        <v>10.500203342517015</v>
      </c>
      <c r="AR194" s="31">
        <f t="shared" si="100"/>
        <v>8557.9726908764787</v>
      </c>
      <c r="AS194">
        <f t="shared" si="83"/>
        <v>8577.4634096353529</v>
      </c>
      <c r="AT194">
        <f t="shared" si="101"/>
        <v>11.359939615098517</v>
      </c>
      <c r="AU194" s="19">
        <f t="shared" si="102"/>
        <v>8565.1038311748616</v>
      </c>
      <c r="AV194" s="19">
        <f t="shared" si="103"/>
        <v>8576.8946697736628</v>
      </c>
      <c r="AW194">
        <f t="shared" si="104"/>
        <v>-28.422939753856337</v>
      </c>
      <c r="AX194">
        <f>IF(B194&gt;$AF$2,0,HLOOKUP(YEAR(A194),Assumptions!$A$34:$AL$37,2,TRUE)/100)</f>
        <v>2.1394000000000003E-2</v>
      </c>
      <c r="AY194" s="32">
        <f>1/(1+HLOOKUP(YEAR(A194),Assumptions!$A$27:$AL$29,3,TRUE))^(1/12)</f>
        <v>0.99832904108543385</v>
      </c>
      <c r="AZ194" s="30">
        <f t="shared" si="84"/>
        <v>9145.046427839392</v>
      </c>
      <c r="BA194">
        <f>IF(B194&gt;$AF$2,0,IF($E$2=0,(T194*Z194+(1-T194)*AA194)*$J$2*Assumptions!$B$20,0))</f>
        <v>0</v>
      </c>
    </row>
    <row r="195" spans="1:53" x14ac:dyDescent="0.25">
      <c r="A195" s="17">
        <f t="shared" si="85"/>
        <v>48699</v>
      </c>
      <c r="B195">
        <f t="shared" si="77"/>
        <v>414</v>
      </c>
      <c r="C195">
        <f t="shared" si="78"/>
        <v>34.416666666666664</v>
      </c>
      <c r="D195">
        <f t="shared" si="106"/>
        <v>0</v>
      </c>
      <c r="E195">
        <f t="shared" si="79"/>
        <v>57</v>
      </c>
      <c r="F195">
        <f>IF(C195&gt;=$H$2,0,VLOOKUP($E195,'Mortality Table'!$A$3:$C$128,2+AB$2,FALSE))</f>
        <v>3.0477E-3</v>
      </c>
      <c r="G195">
        <f>F195*Assumptions!$B$1</f>
        <v>3.2991352500000002E-3</v>
      </c>
      <c r="H195">
        <f t="shared" si="86"/>
        <v>2.7534453539856951E-4</v>
      </c>
      <c r="I195">
        <f t="shared" si="107"/>
        <v>1.5512012280467368E-4</v>
      </c>
      <c r="J195">
        <f>HLOOKUP(C195,Assumptions!$A$6:$J$7,2,TRUE)</f>
        <v>3.5200000000000002E-2</v>
      </c>
      <c r="K195" s="18">
        <f t="shared" si="80"/>
        <v>1</v>
      </c>
      <c r="L195" s="18">
        <f t="shared" si="87"/>
        <v>8.3333333333333329E-2</v>
      </c>
      <c r="M195" s="18">
        <f t="shared" si="108"/>
        <v>2.9817501439168836E-3</v>
      </c>
      <c r="N195">
        <f t="shared" si="109"/>
        <v>1.6820972259347412E-3</v>
      </c>
      <c r="O195" s="20">
        <f t="shared" si="110"/>
        <v>0.56237130273559766</v>
      </c>
      <c r="P195">
        <f>IF(B195&gt;$AF$2,0,O194*($E$2+IF(E195&lt;=Assumptions!$B$9,$D$2,0))/$I$2*K195)</f>
        <v>28.896879703652797</v>
      </c>
      <c r="Q195">
        <f t="shared" si="88"/>
        <v>26.1</v>
      </c>
      <c r="R195">
        <f>IF(B195&gt;$AF$2,0,IF($Y$2=1,(SUMIF('Mortality Tarif Male'!A:A,E196,'Mortality Tarif Male'!G:G)-SUMIF('Mortality Tarif Male'!A:A,$C$2+$H$2,'Mortality Tarif Male'!G:G)+SUMIF('Mortality Tarif Male'!A:A,$C$2+$H$2,'Mortality Tarif Male'!D:D))/SUMIF('Mortality Tarif Male'!A:A,E196,'Mortality Tarif Male'!D:D),(SUMIF('Mortality Tarif Female'!A:A,E196,'Mortality Tarif Female'!G:G)-SUMIF('Mortality Tarif Female'!A:A,$C$2+$H$2,'Mortality Tarif Female'!G:G)+SUMIF('Mortality Tarif Female'!A:A,$C$2+$H$2,'Mortality Tarif Female'!D:D))/SUMIF('Mortality Tarif Female'!A:A,E196,'Mortality Tarif Female'!D:D)))</f>
        <v>0.8157071733624115</v>
      </c>
      <c r="S195">
        <f>IF(B195&gt;=$AF$2,0,IF($Y$2=1,(SUMIF('Mortality Tarif Male'!A:A,E196+1,'Mortality Tarif Male'!G:G)-SUMIF('Mortality Tarif Male'!A:A,$C$2+$H$2,'Mortality Tarif Male'!G:G)+SUMIF('Mortality Tarif Male'!A:A,$C$2+$H$2,'Mortality Tarif Male'!D:D))/SUMIF('Mortality Tarif Male'!A:A,E196+1,'Mortality Tarif Male'!D:D),(SUMIF('Mortality Tarif Female'!A:A,E196+1,'Mortality Tarif Female'!G:G)-SUMIF('Mortality Tarif Female'!A:A,$C$2+$H$2,'Mortality Tarif Female'!G:G)+SUMIF('Mortality Tarif Female'!A:A,$C$2+$H$2,'Mortality Tarif Female'!D:D))/SUMIF('Mortality Tarif Female'!A:A,E196+1,'Mortality Tarif Female'!D:D)))</f>
        <v>0.84362178121276754</v>
      </c>
      <c r="T195">
        <f t="shared" si="89"/>
        <v>0.5</v>
      </c>
      <c r="U195">
        <f t="shared" si="90"/>
        <v>0.82966447728758952</v>
      </c>
      <c r="V195">
        <f t="shared" si="91"/>
        <v>16593.289545751792</v>
      </c>
      <c r="W195">
        <f t="shared" si="81"/>
        <v>21.654242857206089</v>
      </c>
      <c r="X195">
        <f t="shared" si="82"/>
        <v>0</v>
      </c>
      <c r="Y195">
        <f>IF(B195&gt;$AF$2,0,IF(X196=0,0,(1-X196)*($E$2+IF(E195&lt;=Assumptions!$B$9,$D$2,0))/$I$2*1/(1+$AG$2)*1/(1+Assumptions!$B$11)))</f>
        <v>0</v>
      </c>
      <c r="Z195">
        <f>IF(B195&gt;$AF$2,0,IF($Y$2=1,(SUMIF('Mortality Tarif Male'!A:A,E196,'Mortality Tarif Male'!E:E)-SUMIF('Mortality Tarif Male'!A:A,$C$2+$H$2,'Mortality Tarif Male'!E:E))/SUMIF('Mortality Tarif Male'!A:A,E196,'Mortality Tarif Male'!D:D),(SUMIF('Mortality Tarif Female'!A:A,E196,'Mortality Tarif Female'!E:E)-SUMIF('Mortality Tarif Female'!A:A,$C$2+$H$2,'Mortality Tarif Female'!E:E))/SUMIF('Mortality Tarif Female'!A:A,E196,'Mortality Tarif Female'!D:D)))</f>
        <v>5.4616568003844552</v>
      </c>
      <c r="AA195">
        <f>IF(B195&gt;=$AF$2,0,IF($Y$2=1,(SUMIF('Mortality Tarif Male'!A:A,E196+1,'Mortality Tarif Male'!E:E)-SUMIF('Mortality Tarif Male'!A:A,$C$2+$H$2,'Mortality Tarif Male'!E:E))/SUMIF('Mortality Tarif Male'!A:A,E196+1,'Mortality Tarif Male'!D:D),(SUMIF('Mortality Tarif Female'!A:A,E196+1,'Mortality Tarif Female'!E:E)-SUMIF('Mortality Tarif Female'!A:A,$C$2+$H$2,'Mortality Tarif Female'!E:E))/SUMIF('Mortality Tarif Female'!A:A,E196+1,'Mortality Tarif Female'!D:D)))</f>
        <v>4.6347593267466118</v>
      </c>
      <c r="AB195">
        <f t="shared" si="76"/>
        <v>1215.7335049538688</v>
      </c>
      <c r="AC195">
        <f>IF(B195&gt;=$AF$2,0,MIN(1/3*(V195+W195+Y195-AB195),(V195-AB195),(T195*Z195+(1-T195)*AA195)*$AH$2*Assumptions!$B$22))</f>
        <v>131.58649522855515</v>
      </c>
      <c r="AD195">
        <f t="shared" si="92"/>
        <v>15267.623788426574</v>
      </c>
      <c r="AE195">
        <f t="shared" si="93"/>
        <v>15399.210283655129</v>
      </c>
      <c r="AF195">
        <f t="shared" si="94"/>
        <v>15267.623788426574</v>
      </c>
      <c r="AG195" s="26">
        <f t="shared" si="105"/>
        <v>0</v>
      </c>
      <c r="AH195" s="27">
        <f>IF(B195&gt;$AF$2,0,HLOOKUP(YEAR(A195),Assumptions!$A$34:$AL$37,4,TRUE)/100)</f>
        <v>1.5394000000000001E-2</v>
      </c>
      <c r="AI195">
        <f t="shared" si="95"/>
        <v>0</v>
      </c>
      <c r="AJ195">
        <f t="shared" si="96"/>
        <v>3.1064510912986751</v>
      </c>
      <c r="AK195">
        <f t="shared" si="97"/>
        <v>25.681627621127603</v>
      </c>
      <c r="AL195">
        <f>IF(E195&gt;Assumptions!$B$9,0,SUMPRODUCT($P$2:$X$2,Assumptions!$A$43:$I$43)/$I$2*O194*K195)</f>
        <v>3.1603914569116105</v>
      </c>
      <c r="AM195">
        <f t="shared" si="98"/>
        <v>0</v>
      </c>
      <c r="AN195">
        <f t="shared" si="99"/>
        <v>31.948470169337888</v>
      </c>
      <c r="AO195">
        <f>IF(E195&gt;Assumptions!$B$9,0,($V$2+$X$2)/$I$2*O194*K195*Assumptions!$B$46)</f>
        <v>0</v>
      </c>
      <c r="AP195">
        <f>IF(B195&gt;$AF$2,0,AP194*(1+Assumptions!$B$52)^(1/12))</f>
        <v>1.1648260234232852</v>
      </c>
      <c r="AQ195" s="29">
        <f>IF(B195&gt;$AF$2,0,O194*Assumptions!$B$48/12*AP194+AR195*Assumptions!$B$50/12)</f>
        <v>10.479532265005094</v>
      </c>
      <c r="AR195" s="31">
        <f t="shared" si="100"/>
        <v>8557.2030269674142</v>
      </c>
      <c r="AS195">
        <f t="shared" si="83"/>
        <v>8586.0734795744538</v>
      </c>
      <c r="AT195">
        <f t="shared" si="101"/>
        <v>11.322948542829046</v>
      </c>
      <c r="AU195" s="19">
        <f t="shared" si="102"/>
        <v>8564.297425863233</v>
      </c>
      <c r="AV195" s="19">
        <f t="shared" si="103"/>
        <v>8585.6259667212707</v>
      </c>
      <c r="AW195">
        <f t="shared" si="104"/>
        <v>-37.950391058399433</v>
      </c>
      <c r="AX195">
        <f>IF(B195&gt;$AF$2,0,HLOOKUP(YEAR(A195),Assumptions!$A$34:$AL$37,2,TRUE)/100)</f>
        <v>2.1394000000000003E-2</v>
      </c>
      <c r="AY195" s="32">
        <f>1/(1+HLOOKUP(YEAR(A195),Assumptions!$A$27:$AL$29,3,TRUE))^(1/12)</f>
        <v>0.99832904108543385</v>
      </c>
      <c r="AZ195" s="30">
        <f t="shared" si="84"/>
        <v>9146.8218786168763</v>
      </c>
      <c r="BA195">
        <f>IF(B195&gt;$AF$2,0,IF($E$2=0,(T195*Z195+(1-T195)*AA195)*$J$2*Assumptions!$B$20,0))</f>
        <v>0</v>
      </c>
    </row>
    <row r="196" spans="1:53" x14ac:dyDescent="0.25">
      <c r="A196" s="17">
        <f t="shared" si="85"/>
        <v>48730</v>
      </c>
      <c r="B196">
        <f t="shared" si="77"/>
        <v>415</v>
      </c>
      <c r="C196">
        <f t="shared" si="78"/>
        <v>34.5</v>
      </c>
      <c r="D196">
        <f t="shared" si="106"/>
        <v>0</v>
      </c>
      <c r="E196">
        <f t="shared" si="79"/>
        <v>57</v>
      </c>
      <c r="F196">
        <f>IF(C196&gt;=$H$2,0,VLOOKUP($E196,'Mortality Table'!$A$3:$C$128,2+AB$2,FALSE))</f>
        <v>3.0477E-3</v>
      </c>
      <c r="G196">
        <f>F196*Assumptions!$B$1</f>
        <v>3.2991352500000002E-3</v>
      </c>
      <c r="H196">
        <f t="shared" si="86"/>
        <v>2.7534453539856951E-4</v>
      </c>
      <c r="I196">
        <f t="shared" si="107"/>
        <v>1.5461500923298792E-4</v>
      </c>
      <c r="J196">
        <f>HLOOKUP(C196,Assumptions!$A$6:$J$7,2,TRUE)</f>
        <v>3.5200000000000002E-2</v>
      </c>
      <c r="K196" s="18">
        <f t="shared" si="80"/>
        <v>1</v>
      </c>
      <c r="L196" s="18">
        <f t="shared" si="87"/>
        <v>8.3333333333333329E-2</v>
      </c>
      <c r="M196" s="18">
        <f t="shared" si="108"/>
        <v>2.9817501439168836E-3</v>
      </c>
      <c r="N196">
        <f t="shared" si="109"/>
        <v>1.6766198570263599E-3</v>
      </c>
      <c r="O196" s="20">
        <f t="shared" si="110"/>
        <v>0.5605400678693383</v>
      </c>
      <c r="P196">
        <f>IF(B196&gt;$AF$2,0,O195*($E$2+IF(E196&lt;=Assumptions!$B$9,$D$2,0))/$I$2*K196)</f>
        <v>28.802783555108189</v>
      </c>
      <c r="Q196">
        <f t="shared" si="88"/>
        <v>26.1</v>
      </c>
      <c r="R196">
        <f>IF(B196&gt;$AF$2,0,IF($Y$2=1,(SUMIF('Mortality Tarif Male'!A:A,E197,'Mortality Tarif Male'!G:G)-SUMIF('Mortality Tarif Male'!A:A,$C$2+$H$2,'Mortality Tarif Male'!G:G)+SUMIF('Mortality Tarif Male'!A:A,$C$2+$H$2,'Mortality Tarif Male'!D:D))/SUMIF('Mortality Tarif Male'!A:A,E197,'Mortality Tarif Male'!D:D),(SUMIF('Mortality Tarif Female'!A:A,E197,'Mortality Tarif Female'!G:G)-SUMIF('Mortality Tarif Female'!A:A,$C$2+$H$2,'Mortality Tarif Female'!G:G)+SUMIF('Mortality Tarif Female'!A:A,$C$2+$H$2,'Mortality Tarif Female'!D:D))/SUMIF('Mortality Tarif Female'!A:A,E197,'Mortality Tarif Female'!D:D)))</f>
        <v>0.8157071733624115</v>
      </c>
      <c r="S196">
        <f>IF(B196&gt;=$AF$2,0,IF($Y$2=1,(SUMIF('Mortality Tarif Male'!A:A,E197+1,'Mortality Tarif Male'!G:G)-SUMIF('Mortality Tarif Male'!A:A,$C$2+$H$2,'Mortality Tarif Male'!G:G)+SUMIF('Mortality Tarif Male'!A:A,$C$2+$H$2,'Mortality Tarif Male'!D:D))/SUMIF('Mortality Tarif Male'!A:A,E197+1,'Mortality Tarif Male'!D:D),(SUMIF('Mortality Tarif Female'!A:A,E197+1,'Mortality Tarif Female'!G:G)-SUMIF('Mortality Tarif Female'!A:A,$C$2+$H$2,'Mortality Tarif Female'!G:G)+SUMIF('Mortality Tarif Female'!A:A,$C$2+$H$2,'Mortality Tarif Female'!D:D))/SUMIF('Mortality Tarif Female'!A:A,E197+1,'Mortality Tarif Female'!D:D)))</f>
        <v>0.84362178121276754</v>
      </c>
      <c r="T196">
        <f t="shared" si="89"/>
        <v>0.4166666666666643</v>
      </c>
      <c r="U196">
        <f t="shared" si="90"/>
        <v>0.83199069460845254</v>
      </c>
      <c r="V196">
        <f t="shared" si="91"/>
        <v>16639.813892169052</v>
      </c>
      <c r="W196">
        <f t="shared" si="81"/>
        <v>21.714957129280613</v>
      </c>
      <c r="X196">
        <f t="shared" si="82"/>
        <v>0</v>
      </c>
      <c r="Y196">
        <f>IF(B196&gt;$AF$2,0,IF(X197=0,0,(1-X197)*($E$2+IF(E196&lt;=Assumptions!$B$9,$D$2,0))/$I$2*1/(1+$AG$2)*1/(1+Assumptions!$B$11)))</f>
        <v>0</v>
      </c>
      <c r="Z196">
        <f>IF(B196&gt;$AF$2,0,IF($Y$2=1,(SUMIF('Mortality Tarif Male'!A:A,E197,'Mortality Tarif Male'!E:E)-SUMIF('Mortality Tarif Male'!A:A,$C$2+$H$2,'Mortality Tarif Male'!E:E))/SUMIF('Mortality Tarif Male'!A:A,E197,'Mortality Tarif Male'!D:D),(SUMIF('Mortality Tarif Female'!A:A,E197,'Mortality Tarif Female'!E:E)-SUMIF('Mortality Tarif Female'!A:A,$C$2+$H$2,'Mortality Tarif Female'!E:E))/SUMIF('Mortality Tarif Female'!A:A,E197,'Mortality Tarif Female'!D:D)))</f>
        <v>5.4616568003844552</v>
      </c>
      <c r="AA196">
        <f>IF(B196&gt;=$AF$2,0,IF($Y$2=1,(SUMIF('Mortality Tarif Male'!A:A,E197+1,'Mortality Tarif Male'!E:E)-SUMIF('Mortality Tarif Male'!A:A,$C$2+$H$2,'Mortality Tarif Male'!E:E))/SUMIF('Mortality Tarif Male'!A:A,E197+1,'Mortality Tarif Male'!D:D),(SUMIF('Mortality Tarif Female'!A:A,E197+1,'Mortality Tarif Female'!E:E)-SUMIF('Mortality Tarif Female'!A:A,$C$2+$H$2,'Mortality Tarif Female'!E:E))/SUMIF('Mortality Tarif Female'!A:A,E197+1,'Mortality Tarif Female'!D:D)))</f>
        <v>4.6347593267466118</v>
      </c>
      <c r="AB196">
        <f t="shared" si="76"/>
        <v>1199.1387226864945</v>
      </c>
      <c r="AC196">
        <f>IF(B196&gt;=$AF$2,0,MIN(1/3*(V196+W196+Y196-AB196),(V196-AB196),(T196*Z196+(1-T196)*AA196)*$AH$2*Assumptions!$B$22))</f>
        <v>129.79033741210372</v>
      </c>
      <c r="AD196">
        <f t="shared" si="92"/>
        <v>15332.599789199734</v>
      </c>
      <c r="AE196">
        <f t="shared" si="93"/>
        <v>15462.390126611837</v>
      </c>
      <c r="AF196">
        <f t="shared" si="94"/>
        <v>15332.599789199734</v>
      </c>
      <c r="AG196" s="26">
        <f t="shared" si="105"/>
        <v>0</v>
      </c>
      <c r="AH196" s="27">
        <f>IF(B196&gt;$AF$2,0,HLOOKUP(YEAR(A196),Assumptions!$A$34:$AL$37,4,TRUE)/100)</f>
        <v>1.5394000000000001E-2</v>
      </c>
      <c r="AI196">
        <f t="shared" si="95"/>
        <v>0</v>
      </c>
      <c r="AJ196">
        <f t="shared" si="96"/>
        <v>3.0963356364007391</v>
      </c>
      <c r="AK196">
        <f t="shared" si="97"/>
        <v>25.706941266410453</v>
      </c>
      <c r="AL196">
        <f>IF(E196&gt;Assumptions!$B$9,0,SUMPRODUCT($P$2:$X$2,Assumptions!$A$43:$I$43)/$I$2*O195*K196)</f>
        <v>3.1501003574213406</v>
      </c>
      <c r="AM196">
        <f t="shared" si="98"/>
        <v>0</v>
      </c>
      <c r="AN196">
        <f t="shared" si="99"/>
        <v>31.953377260232532</v>
      </c>
      <c r="AO196">
        <f>IF(E196&gt;Assumptions!$B$9,0,($V$2+$X$2)/$I$2*O195*K196*Assumptions!$B$46)</f>
        <v>0</v>
      </c>
      <c r="AP196">
        <f>IF(B196&gt;$AF$2,0,AP195*(1+Assumptions!$B$52)^(1/12))</f>
        <v>1.1657922910062972</v>
      </c>
      <c r="AQ196" s="29">
        <f>IF(B196&gt;$AF$2,0,O195*Assumptions!$B$48/12*AP195+AR196*Assumptions!$B$50/12)</f>
        <v>10.458868832919148</v>
      </c>
      <c r="AR196" s="31">
        <f t="shared" si="100"/>
        <v>8556.259066082248</v>
      </c>
      <c r="AS196">
        <f t="shared" si="83"/>
        <v>8594.5365264514203</v>
      </c>
      <c r="AT196">
        <f t="shared" si="101"/>
        <v>11.286077923614256</v>
      </c>
      <c r="AU196" s="19">
        <f t="shared" si="102"/>
        <v>8563.3169028808225</v>
      </c>
      <c r="AV196" s="19">
        <f t="shared" si="103"/>
        <v>8594.2094571406469</v>
      </c>
      <c r="AW196">
        <f t="shared" si="104"/>
        <v>-47.504215893119088</v>
      </c>
      <c r="AX196">
        <f>IF(B196&gt;$AF$2,0,HLOOKUP(YEAR(A196),Assumptions!$A$34:$AL$37,2,TRUE)/100)</f>
        <v>2.1394000000000003E-2</v>
      </c>
      <c r="AY196" s="32">
        <f>1/(1+HLOOKUP(YEAR(A196),Assumptions!$A$27:$AL$29,3,TRUE))^(1/12)</f>
        <v>0.99832904108543385</v>
      </c>
      <c r="AZ196" s="30">
        <f t="shared" si="84"/>
        <v>9148.5219612578512</v>
      </c>
      <c r="BA196">
        <f>IF(B196&gt;$AF$2,0,IF($E$2=0,(T196*Z196+(1-T196)*AA196)*$J$2*Assumptions!$B$20,0))</f>
        <v>0</v>
      </c>
    </row>
    <row r="197" spans="1:53" x14ac:dyDescent="0.25">
      <c r="A197" s="17">
        <f t="shared" si="85"/>
        <v>48760</v>
      </c>
      <c r="B197">
        <f t="shared" si="77"/>
        <v>416</v>
      </c>
      <c r="C197">
        <f t="shared" si="78"/>
        <v>34.583333333333336</v>
      </c>
      <c r="D197">
        <f t="shared" si="106"/>
        <v>0</v>
      </c>
      <c r="E197">
        <f t="shared" si="79"/>
        <v>57</v>
      </c>
      <c r="F197">
        <f>IF(C197&gt;=$H$2,0,VLOOKUP($E197,'Mortality Table'!$A$3:$C$128,2+AB$2,FALSE))</f>
        <v>3.0477E-3</v>
      </c>
      <c r="G197">
        <f>F197*Assumptions!$B$1</f>
        <v>3.2991352500000002E-3</v>
      </c>
      <c r="H197">
        <f t="shared" si="86"/>
        <v>2.7534453539856951E-4</v>
      </c>
      <c r="I197">
        <f t="shared" si="107"/>
        <v>1.5411154044932634E-4</v>
      </c>
      <c r="J197">
        <f>HLOOKUP(C197,Assumptions!$A$6:$J$7,2,TRUE)</f>
        <v>3.5200000000000002E-2</v>
      </c>
      <c r="K197" s="18">
        <f t="shared" si="80"/>
        <v>1</v>
      </c>
      <c r="L197" s="18">
        <f t="shared" si="87"/>
        <v>8.3333333333333329E-2</v>
      </c>
      <c r="M197" s="18">
        <f t="shared" si="108"/>
        <v>2.9817501439168836E-3</v>
      </c>
      <c r="N197">
        <f t="shared" si="109"/>
        <v>1.6711603239301397E-3</v>
      </c>
      <c r="O197" s="20">
        <f t="shared" si="110"/>
        <v>0.55871479600495888</v>
      </c>
      <c r="P197">
        <f>IF(B197&gt;$AF$2,0,O196*($E$2+IF(E197&lt;=Assumptions!$B$9,$D$2,0))/$I$2*K197)</f>
        <v>28.708993809374604</v>
      </c>
      <c r="Q197">
        <f t="shared" si="88"/>
        <v>26.1</v>
      </c>
      <c r="R197">
        <f>IF(B197&gt;$AF$2,0,IF($Y$2=1,(SUMIF('Mortality Tarif Male'!A:A,E198,'Mortality Tarif Male'!G:G)-SUMIF('Mortality Tarif Male'!A:A,$C$2+$H$2,'Mortality Tarif Male'!G:G)+SUMIF('Mortality Tarif Male'!A:A,$C$2+$H$2,'Mortality Tarif Male'!D:D))/SUMIF('Mortality Tarif Male'!A:A,E198,'Mortality Tarif Male'!D:D),(SUMIF('Mortality Tarif Female'!A:A,E198,'Mortality Tarif Female'!G:G)-SUMIF('Mortality Tarif Female'!A:A,$C$2+$H$2,'Mortality Tarif Female'!G:G)+SUMIF('Mortality Tarif Female'!A:A,$C$2+$H$2,'Mortality Tarif Female'!D:D))/SUMIF('Mortality Tarif Female'!A:A,E198,'Mortality Tarif Female'!D:D)))</f>
        <v>0.8157071733624115</v>
      </c>
      <c r="S197">
        <f>IF(B197&gt;=$AF$2,0,IF($Y$2=1,(SUMIF('Mortality Tarif Male'!A:A,E198+1,'Mortality Tarif Male'!G:G)-SUMIF('Mortality Tarif Male'!A:A,$C$2+$H$2,'Mortality Tarif Male'!G:G)+SUMIF('Mortality Tarif Male'!A:A,$C$2+$H$2,'Mortality Tarif Male'!D:D))/SUMIF('Mortality Tarif Male'!A:A,E198+1,'Mortality Tarif Male'!D:D),(SUMIF('Mortality Tarif Female'!A:A,E198+1,'Mortality Tarif Female'!G:G)-SUMIF('Mortality Tarif Female'!A:A,$C$2+$H$2,'Mortality Tarif Female'!G:G)+SUMIF('Mortality Tarif Female'!A:A,$C$2+$H$2,'Mortality Tarif Female'!D:D))/SUMIF('Mortality Tarif Female'!A:A,E198+1,'Mortality Tarif Female'!D:D)))</f>
        <v>0.84362178121276754</v>
      </c>
      <c r="T197">
        <f t="shared" si="89"/>
        <v>0.3333333333333357</v>
      </c>
      <c r="U197">
        <f t="shared" si="90"/>
        <v>0.83431691192931545</v>
      </c>
      <c r="V197">
        <f t="shared" si="91"/>
        <v>16686.338238586308</v>
      </c>
      <c r="W197">
        <f t="shared" si="81"/>
        <v>21.775671401355133</v>
      </c>
      <c r="X197">
        <f t="shared" si="82"/>
        <v>0</v>
      </c>
      <c r="Y197">
        <f>IF(B197&gt;$AF$2,0,IF(X198=0,0,(1-X198)*($E$2+IF(E197&lt;=Assumptions!$B$9,$D$2,0))/$I$2*1/(1+$AG$2)*1/(1+Assumptions!$B$11)))</f>
        <v>0</v>
      </c>
      <c r="Z197">
        <f>IF(B197&gt;$AF$2,0,IF($Y$2=1,(SUMIF('Mortality Tarif Male'!A:A,E198,'Mortality Tarif Male'!E:E)-SUMIF('Mortality Tarif Male'!A:A,$C$2+$H$2,'Mortality Tarif Male'!E:E))/SUMIF('Mortality Tarif Male'!A:A,E198,'Mortality Tarif Male'!D:D),(SUMIF('Mortality Tarif Female'!A:A,E198,'Mortality Tarif Female'!E:E)-SUMIF('Mortality Tarif Female'!A:A,$C$2+$H$2,'Mortality Tarif Female'!E:E))/SUMIF('Mortality Tarif Female'!A:A,E198,'Mortality Tarif Female'!D:D)))</f>
        <v>5.4616568003844552</v>
      </c>
      <c r="AA197">
        <f>IF(B197&gt;=$AF$2,0,IF($Y$2=1,(SUMIF('Mortality Tarif Male'!A:A,E198+1,'Mortality Tarif Male'!E:E)-SUMIF('Mortality Tarif Male'!A:A,$C$2+$H$2,'Mortality Tarif Male'!E:E))/SUMIF('Mortality Tarif Male'!A:A,E198+1,'Mortality Tarif Male'!D:D),(SUMIF('Mortality Tarif Female'!A:A,E198+1,'Mortality Tarif Female'!E:E)-SUMIF('Mortality Tarif Female'!A:A,$C$2+$H$2,'Mortality Tarif Female'!E:E))/SUMIF('Mortality Tarif Female'!A:A,E198+1,'Mortality Tarif Female'!D:D)))</f>
        <v>4.6347593267466118</v>
      </c>
      <c r="AB197">
        <f t="shared" si="76"/>
        <v>1182.543940419122</v>
      </c>
      <c r="AC197">
        <f>IF(B197&gt;=$AF$2,0,MIN(1/3*(V197+W197+Y197-AB197),(V197-AB197),(T197*Z197+(1-T197)*AA197)*$AH$2*Assumptions!$B$22))</f>
        <v>127.99417959565251</v>
      </c>
      <c r="AD197">
        <f t="shared" si="92"/>
        <v>15397.575789972889</v>
      </c>
      <c r="AE197">
        <f t="shared" si="93"/>
        <v>15525.569969568542</v>
      </c>
      <c r="AF197">
        <f t="shared" si="94"/>
        <v>15397.575789972889</v>
      </c>
      <c r="AG197" s="26">
        <f t="shared" si="105"/>
        <v>0</v>
      </c>
      <c r="AH197" s="27">
        <f>IF(B197&gt;$AF$2,0,HLOOKUP(YEAR(A197),Assumptions!$A$34:$AL$37,4,TRUE)/100)</f>
        <v>1.5394000000000001E-2</v>
      </c>
      <c r="AI197">
        <f t="shared" si="95"/>
        <v>0</v>
      </c>
      <c r="AJ197">
        <f t="shared" si="96"/>
        <v>3.0862531201922541</v>
      </c>
      <c r="AK197">
        <f t="shared" si="97"/>
        <v>25.731817744909971</v>
      </c>
      <c r="AL197">
        <f>IF(E197&gt;Assumptions!$B$9,0,SUMPRODUCT($P$2:$X$2,Assumptions!$A$43:$I$43)/$I$2*O196*K197)</f>
        <v>3.1398427685673833</v>
      </c>
      <c r="AM197">
        <f t="shared" si="98"/>
        <v>0</v>
      </c>
      <c r="AN197">
        <f t="shared" si="99"/>
        <v>31.957913633669609</v>
      </c>
      <c r="AO197">
        <f>IF(E197&gt;Assumptions!$B$9,0,($V$2+$X$2)/$I$2*O196*K197*Assumptions!$B$46)</f>
        <v>0</v>
      </c>
      <c r="AP197">
        <f>IF(B197&gt;$AF$2,0,AP196*(1+Assumptions!$B$52)^(1/12))</f>
        <v>1.1667593601450978</v>
      </c>
      <c r="AQ197" s="29">
        <f>IF(B197&gt;$AF$2,0,O196*Assumptions!$B$48/12*AP196+AR197*Assumptions!$B$50/12)</f>
        <v>10.438213163861967</v>
      </c>
      <c r="AR197" s="31">
        <f t="shared" si="100"/>
        <v>8555.1417951549593</v>
      </c>
      <c r="AS197">
        <f t="shared" si="83"/>
        <v>8602.8534164655957</v>
      </c>
      <c r="AT197">
        <f t="shared" si="101"/>
        <v>11.249327365226039</v>
      </c>
      <c r="AU197" s="19">
        <f t="shared" si="102"/>
        <v>8562.1632484352467</v>
      </c>
      <c r="AV197" s="19">
        <f t="shared" si="103"/>
        <v>8602.6460110480784</v>
      </c>
      <c r="AW197">
        <f t="shared" si="104"/>
        <v>-57.084298096813569</v>
      </c>
      <c r="AX197">
        <f>IF(B197&gt;$AF$2,0,HLOOKUP(YEAR(A197),Assumptions!$A$34:$AL$37,2,TRUE)/100)</f>
        <v>2.1394000000000003E-2</v>
      </c>
      <c r="AY197" s="32">
        <f>1/(1+HLOOKUP(YEAR(A197),Assumptions!$A$27:$AL$29,3,TRUE))^(1/12)</f>
        <v>0.99832904108543385</v>
      </c>
      <c r="AZ197" s="30">
        <f t="shared" si="84"/>
        <v>9150.1472189717097</v>
      </c>
      <c r="BA197">
        <f>IF(B197&gt;$AF$2,0,IF($E$2=0,(T197*Z197+(1-T197)*AA197)*$J$2*Assumptions!$B$20,0))</f>
        <v>0</v>
      </c>
    </row>
    <row r="198" spans="1:53" x14ac:dyDescent="0.25">
      <c r="A198" s="17">
        <f t="shared" si="85"/>
        <v>48791</v>
      </c>
      <c r="B198">
        <f t="shared" si="77"/>
        <v>417</v>
      </c>
      <c r="C198">
        <f t="shared" si="78"/>
        <v>34.666666666666664</v>
      </c>
      <c r="D198">
        <f t="shared" si="106"/>
        <v>0</v>
      </c>
      <c r="E198">
        <f t="shared" si="79"/>
        <v>57</v>
      </c>
      <c r="F198">
        <f>IF(C198&gt;=$H$2,0,VLOOKUP($E198,'Mortality Table'!$A$3:$C$128,2+AB$2,FALSE))</f>
        <v>3.0477E-3</v>
      </c>
      <c r="G198">
        <f>F198*Assumptions!$B$1</f>
        <v>3.2991352500000002E-3</v>
      </c>
      <c r="H198">
        <f t="shared" si="86"/>
        <v>2.7534453539856951E-4</v>
      </c>
      <c r="I198">
        <f t="shared" si="107"/>
        <v>1.5360971109780908E-4</v>
      </c>
      <c r="J198">
        <f>HLOOKUP(C198,Assumptions!$A$6:$J$7,2,TRUE)</f>
        <v>3.5200000000000002E-2</v>
      </c>
      <c r="K198" s="18">
        <f t="shared" si="80"/>
        <v>1</v>
      </c>
      <c r="L198" s="18">
        <f t="shared" si="87"/>
        <v>8.3333333333333329E-2</v>
      </c>
      <c r="M198" s="18">
        <f t="shared" si="108"/>
        <v>2.9817501439168836E-3</v>
      </c>
      <c r="N198">
        <f t="shared" si="109"/>
        <v>1.6657185685677953E-3</v>
      </c>
      <c r="O198" s="20">
        <f t="shared" si="110"/>
        <v>0.5568954677252933</v>
      </c>
      <c r="P198">
        <f>IF(B198&gt;$AF$2,0,O197*($E$2+IF(E198&lt;=Assumptions!$B$9,$D$2,0))/$I$2*K198)</f>
        <v>28.615509468720642</v>
      </c>
      <c r="Q198">
        <f t="shared" si="88"/>
        <v>26.1</v>
      </c>
      <c r="R198">
        <f>IF(B198&gt;$AF$2,0,IF($Y$2=1,(SUMIF('Mortality Tarif Male'!A:A,E199,'Mortality Tarif Male'!G:G)-SUMIF('Mortality Tarif Male'!A:A,$C$2+$H$2,'Mortality Tarif Male'!G:G)+SUMIF('Mortality Tarif Male'!A:A,$C$2+$H$2,'Mortality Tarif Male'!D:D))/SUMIF('Mortality Tarif Male'!A:A,E199,'Mortality Tarif Male'!D:D),(SUMIF('Mortality Tarif Female'!A:A,E199,'Mortality Tarif Female'!G:G)-SUMIF('Mortality Tarif Female'!A:A,$C$2+$H$2,'Mortality Tarif Female'!G:G)+SUMIF('Mortality Tarif Female'!A:A,$C$2+$H$2,'Mortality Tarif Female'!D:D))/SUMIF('Mortality Tarif Female'!A:A,E199,'Mortality Tarif Female'!D:D)))</f>
        <v>0.8157071733624115</v>
      </c>
      <c r="S198">
        <f>IF(B198&gt;=$AF$2,0,IF($Y$2=1,(SUMIF('Mortality Tarif Male'!A:A,E199+1,'Mortality Tarif Male'!G:G)-SUMIF('Mortality Tarif Male'!A:A,$C$2+$H$2,'Mortality Tarif Male'!G:G)+SUMIF('Mortality Tarif Male'!A:A,$C$2+$H$2,'Mortality Tarif Male'!D:D))/SUMIF('Mortality Tarif Male'!A:A,E199+1,'Mortality Tarif Male'!D:D),(SUMIF('Mortality Tarif Female'!A:A,E199+1,'Mortality Tarif Female'!G:G)-SUMIF('Mortality Tarif Female'!A:A,$C$2+$H$2,'Mortality Tarif Female'!G:G)+SUMIF('Mortality Tarif Female'!A:A,$C$2+$H$2,'Mortality Tarif Female'!D:D))/SUMIF('Mortality Tarif Female'!A:A,E199+1,'Mortality Tarif Female'!D:D)))</f>
        <v>0.84362178121276754</v>
      </c>
      <c r="T198">
        <f t="shared" si="89"/>
        <v>0.25</v>
      </c>
      <c r="U198">
        <f t="shared" si="90"/>
        <v>0.83664312925017859</v>
      </c>
      <c r="V198">
        <f t="shared" si="91"/>
        <v>16732.862585003571</v>
      </c>
      <c r="W198">
        <f t="shared" si="81"/>
        <v>21.836385673429664</v>
      </c>
      <c r="X198">
        <f t="shared" si="82"/>
        <v>0</v>
      </c>
      <c r="Y198">
        <f>IF(B198&gt;$AF$2,0,IF(X199=0,0,(1-X199)*($E$2+IF(E198&lt;=Assumptions!$B$9,$D$2,0))/$I$2*1/(1+$AG$2)*1/(1+Assumptions!$B$11)))</f>
        <v>0</v>
      </c>
      <c r="Z198">
        <f>IF(B198&gt;$AF$2,0,IF($Y$2=1,(SUMIF('Mortality Tarif Male'!A:A,E199,'Mortality Tarif Male'!E:E)-SUMIF('Mortality Tarif Male'!A:A,$C$2+$H$2,'Mortality Tarif Male'!E:E))/SUMIF('Mortality Tarif Male'!A:A,E199,'Mortality Tarif Male'!D:D),(SUMIF('Mortality Tarif Female'!A:A,E199,'Mortality Tarif Female'!E:E)-SUMIF('Mortality Tarif Female'!A:A,$C$2+$H$2,'Mortality Tarif Female'!E:E))/SUMIF('Mortality Tarif Female'!A:A,E199,'Mortality Tarif Female'!D:D)))</f>
        <v>5.4616568003844552</v>
      </c>
      <c r="AA198">
        <f>IF(B198&gt;=$AF$2,0,IF($Y$2=1,(SUMIF('Mortality Tarif Male'!A:A,E199+1,'Mortality Tarif Male'!E:E)-SUMIF('Mortality Tarif Male'!A:A,$C$2+$H$2,'Mortality Tarif Male'!E:E))/SUMIF('Mortality Tarif Male'!A:A,E199+1,'Mortality Tarif Male'!D:D),(SUMIF('Mortality Tarif Female'!A:A,E199+1,'Mortality Tarif Female'!E:E)-SUMIF('Mortality Tarif Female'!A:A,$C$2+$H$2,'Mortality Tarif Female'!E:E))/SUMIF('Mortality Tarif Female'!A:A,E199+1,'Mortality Tarif Female'!D:D)))</f>
        <v>4.6347593267466118</v>
      </c>
      <c r="AB198">
        <f t="shared" si="76"/>
        <v>1165.9491581517482</v>
      </c>
      <c r="AC198">
        <f>IF(B198&gt;=$AF$2,0,MIN(1/3*(V198+W198+Y198-AB198),(V198-AB198),(T198*Z198+(1-T198)*AA198)*$AH$2*Assumptions!$B$22))</f>
        <v>126.19802177920116</v>
      </c>
      <c r="AD198">
        <f t="shared" si="92"/>
        <v>15462.551790746051</v>
      </c>
      <c r="AE198">
        <f t="shared" si="93"/>
        <v>15588.749812525251</v>
      </c>
      <c r="AF198">
        <f t="shared" si="94"/>
        <v>15462.551790746051</v>
      </c>
      <c r="AG198" s="26">
        <f t="shared" si="105"/>
        <v>0</v>
      </c>
      <c r="AH198" s="27">
        <f>IF(B198&gt;$AF$2,0,HLOOKUP(YEAR(A198),Assumptions!$A$34:$AL$37,4,TRUE)/100)</f>
        <v>1.5394000000000001E-2</v>
      </c>
      <c r="AI198">
        <f t="shared" si="95"/>
        <v>0</v>
      </c>
      <c r="AJ198">
        <f t="shared" si="96"/>
        <v>3.0762034354158341</v>
      </c>
      <c r="AK198">
        <f t="shared" si="97"/>
        <v>25.756259635286913</v>
      </c>
      <c r="AL198">
        <f>IF(E198&gt;Assumptions!$B$9,0,SUMPRODUCT($P$2:$X$2,Assumptions!$A$43:$I$43)/$I$2*O197*K198)</f>
        <v>3.1296185812299369</v>
      </c>
      <c r="AM198">
        <f t="shared" si="98"/>
        <v>0</v>
      </c>
      <c r="AN198">
        <f t="shared" si="99"/>
        <v>31.962081651932685</v>
      </c>
      <c r="AO198">
        <f>IF(E198&gt;Assumptions!$B$9,0,($V$2+$X$2)/$I$2*O197*K198*Assumptions!$B$46)</f>
        <v>0</v>
      </c>
      <c r="AP198">
        <f>IF(B198&gt;$AF$2,0,AP197*(1+Assumptions!$B$52)^(1/12))</f>
        <v>1.1677272315046083</v>
      </c>
      <c r="AQ198" s="29">
        <f>IF(B198&gt;$AF$2,0,O197*Assumptions!$B$48/12*AP197+AR198*Assumptions!$B$50/12)</f>
        <v>10.417565374556725</v>
      </c>
      <c r="AR198" s="31">
        <f t="shared" si="100"/>
        <v>8553.8521962642662</v>
      </c>
      <c r="AS198">
        <f t="shared" si="83"/>
        <v>8611.0250117340929</v>
      </c>
      <c r="AT198">
        <f t="shared" si="101"/>
        <v>11.212696476713486</v>
      </c>
      <c r="AU198" s="19">
        <f t="shared" si="102"/>
        <v>8560.8374438817154</v>
      </c>
      <c r="AV198" s="19">
        <f t="shared" si="103"/>
        <v>8610.9364943610799</v>
      </c>
      <c r="AW198">
        <f t="shared" si="104"/>
        <v>-66.690522261574714</v>
      </c>
      <c r="AX198">
        <f>IF(B198&gt;$AF$2,0,HLOOKUP(YEAR(A198),Assumptions!$A$34:$AL$37,2,TRUE)/100)</f>
        <v>2.1394000000000003E-2</v>
      </c>
      <c r="AY198" s="32">
        <f>1/(1+HLOOKUP(YEAR(A198),Assumptions!$A$27:$AL$29,3,TRUE))^(1/12)</f>
        <v>0.99832904108543385</v>
      </c>
      <c r="AZ198" s="30">
        <f t="shared" si="84"/>
        <v>9151.698192400303</v>
      </c>
      <c r="BA198">
        <f>IF(B198&gt;$AF$2,0,IF($E$2=0,(T198*Z198+(1-T198)*AA198)*$J$2*Assumptions!$B$20,0))</f>
        <v>0</v>
      </c>
    </row>
    <row r="199" spans="1:53" x14ac:dyDescent="0.25">
      <c r="A199" s="17">
        <f t="shared" si="85"/>
        <v>48822</v>
      </c>
      <c r="B199">
        <f t="shared" si="77"/>
        <v>418</v>
      </c>
      <c r="C199">
        <f t="shared" si="78"/>
        <v>34.75</v>
      </c>
      <c r="D199">
        <f t="shared" si="106"/>
        <v>0</v>
      </c>
      <c r="E199">
        <f t="shared" si="79"/>
        <v>57</v>
      </c>
      <c r="F199">
        <f>IF(C199&gt;=$H$2,0,VLOOKUP($E199,'Mortality Table'!$A$3:$C$128,2+AB$2,FALSE))</f>
        <v>3.0477E-3</v>
      </c>
      <c r="G199">
        <f>F199*Assumptions!$B$1</f>
        <v>3.2991352500000002E-3</v>
      </c>
      <c r="H199">
        <f t="shared" si="86"/>
        <v>2.7534453539856951E-4</v>
      </c>
      <c r="I199">
        <f t="shared" si="107"/>
        <v>1.531095158399963E-4</v>
      </c>
      <c r="J199">
        <f>HLOOKUP(C199,Assumptions!$A$6:$J$7,2,TRUE)</f>
        <v>3.5200000000000002E-2</v>
      </c>
      <c r="K199" s="18">
        <f t="shared" si="80"/>
        <v>1</v>
      </c>
      <c r="L199" s="18">
        <f t="shared" si="87"/>
        <v>8.3333333333333329E-2</v>
      </c>
      <c r="M199" s="18">
        <f t="shared" si="108"/>
        <v>2.9817501439168836E-3</v>
      </c>
      <c r="N199">
        <f t="shared" si="109"/>
        <v>1.6602945330501597E-3</v>
      </c>
      <c r="O199" s="20">
        <f t="shared" si="110"/>
        <v>0.55508206367640311</v>
      </c>
      <c r="P199">
        <f>IF(B199&gt;$AF$2,0,O198*($E$2+IF(E199&lt;=Assumptions!$B$9,$D$2,0))/$I$2*K199)</f>
        <v>28.522329538663769</v>
      </c>
      <c r="Q199">
        <f t="shared" si="88"/>
        <v>26.1</v>
      </c>
      <c r="R199">
        <f>IF(B199&gt;$AF$2,0,IF($Y$2=1,(SUMIF('Mortality Tarif Male'!A:A,E200,'Mortality Tarif Male'!G:G)-SUMIF('Mortality Tarif Male'!A:A,$C$2+$H$2,'Mortality Tarif Male'!G:G)+SUMIF('Mortality Tarif Male'!A:A,$C$2+$H$2,'Mortality Tarif Male'!D:D))/SUMIF('Mortality Tarif Male'!A:A,E200,'Mortality Tarif Male'!D:D),(SUMIF('Mortality Tarif Female'!A:A,E200,'Mortality Tarif Female'!G:G)-SUMIF('Mortality Tarif Female'!A:A,$C$2+$H$2,'Mortality Tarif Female'!G:G)+SUMIF('Mortality Tarif Female'!A:A,$C$2+$H$2,'Mortality Tarif Female'!D:D))/SUMIF('Mortality Tarif Female'!A:A,E200,'Mortality Tarif Female'!D:D)))</f>
        <v>0.8157071733624115</v>
      </c>
      <c r="S199">
        <f>IF(B199&gt;=$AF$2,0,IF($Y$2=1,(SUMIF('Mortality Tarif Male'!A:A,E200+1,'Mortality Tarif Male'!G:G)-SUMIF('Mortality Tarif Male'!A:A,$C$2+$H$2,'Mortality Tarif Male'!G:G)+SUMIF('Mortality Tarif Male'!A:A,$C$2+$H$2,'Mortality Tarif Male'!D:D))/SUMIF('Mortality Tarif Male'!A:A,E200+1,'Mortality Tarif Male'!D:D),(SUMIF('Mortality Tarif Female'!A:A,E200+1,'Mortality Tarif Female'!G:G)-SUMIF('Mortality Tarif Female'!A:A,$C$2+$H$2,'Mortality Tarif Female'!G:G)+SUMIF('Mortality Tarif Female'!A:A,$C$2+$H$2,'Mortality Tarif Female'!D:D))/SUMIF('Mortality Tarif Female'!A:A,E200+1,'Mortality Tarif Female'!D:D)))</f>
        <v>0.84362178121276754</v>
      </c>
      <c r="T199">
        <f t="shared" si="89"/>
        <v>0.1666666666666643</v>
      </c>
      <c r="U199">
        <f t="shared" si="90"/>
        <v>0.8389693465710415</v>
      </c>
      <c r="V199">
        <f t="shared" si="91"/>
        <v>16779.386931420831</v>
      </c>
      <c r="W199">
        <f t="shared" si="81"/>
        <v>21.897099945504184</v>
      </c>
      <c r="X199">
        <f t="shared" si="82"/>
        <v>0</v>
      </c>
      <c r="Y199">
        <f>IF(B199&gt;$AF$2,0,IF(X200=0,0,(1-X200)*($E$2+IF(E199&lt;=Assumptions!$B$9,$D$2,0))/$I$2*1/(1+$AG$2)*1/(1+Assumptions!$B$11)))</f>
        <v>0</v>
      </c>
      <c r="Z199">
        <f>IF(B199&gt;$AF$2,0,IF($Y$2=1,(SUMIF('Mortality Tarif Male'!A:A,E200,'Mortality Tarif Male'!E:E)-SUMIF('Mortality Tarif Male'!A:A,$C$2+$H$2,'Mortality Tarif Male'!E:E))/SUMIF('Mortality Tarif Male'!A:A,E200,'Mortality Tarif Male'!D:D),(SUMIF('Mortality Tarif Female'!A:A,E200,'Mortality Tarif Female'!E:E)-SUMIF('Mortality Tarif Female'!A:A,$C$2+$H$2,'Mortality Tarif Female'!E:E))/SUMIF('Mortality Tarif Female'!A:A,E200,'Mortality Tarif Female'!D:D)))</f>
        <v>5.4616568003844552</v>
      </c>
      <c r="AA199">
        <f>IF(B199&gt;=$AF$2,0,IF($Y$2=1,(SUMIF('Mortality Tarif Male'!A:A,E200+1,'Mortality Tarif Male'!E:E)-SUMIF('Mortality Tarif Male'!A:A,$C$2+$H$2,'Mortality Tarif Male'!E:E))/SUMIF('Mortality Tarif Male'!A:A,E200+1,'Mortality Tarif Male'!D:D),(SUMIF('Mortality Tarif Female'!A:A,E200+1,'Mortality Tarif Female'!E:E)-SUMIF('Mortality Tarif Female'!A:A,$C$2+$H$2,'Mortality Tarif Female'!E:E))/SUMIF('Mortality Tarif Female'!A:A,E200+1,'Mortality Tarif Female'!D:D)))</f>
        <v>4.6347593267466118</v>
      </c>
      <c r="AB199">
        <f t="shared" si="76"/>
        <v>1149.3543758843739</v>
      </c>
      <c r="AC199">
        <f>IF(B199&gt;=$AF$2,0,MIN(1/3*(V199+W199+Y199-AB199),(V199-AB199),(T199*Z199+(1-T199)*AA199)*$AH$2*Assumptions!$B$22))</f>
        <v>124.40186396274974</v>
      </c>
      <c r="AD199">
        <f t="shared" si="92"/>
        <v>15527.527791519213</v>
      </c>
      <c r="AE199">
        <f t="shared" si="93"/>
        <v>15651.929655481963</v>
      </c>
      <c r="AF199">
        <f t="shared" si="94"/>
        <v>15527.527791519213</v>
      </c>
      <c r="AG199" s="26">
        <f t="shared" si="105"/>
        <v>0</v>
      </c>
      <c r="AH199" s="27">
        <f>IF(B199&gt;$AF$2,0,HLOOKUP(YEAR(A199),Assumptions!$A$34:$AL$37,4,TRUE)/100)</f>
        <v>1.5394000000000001E-2</v>
      </c>
      <c r="AI199">
        <f t="shared" si="95"/>
        <v>0</v>
      </c>
      <c r="AJ199">
        <f t="shared" si="96"/>
        <v>3.0661864751633496</v>
      </c>
      <c r="AK199">
        <f t="shared" si="97"/>
        <v>25.780269504043769</v>
      </c>
      <c r="AL199">
        <f>IF(E199&gt;Assumptions!$B$9,0,SUMPRODUCT($P$2:$X$2,Assumptions!$A$43:$I$43)/$I$2*O198*K199)</f>
        <v>3.1194276866445212</v>
      </c>
      <c r="AM199">
        <f t="shared" si="98"/>
        <v>0</v>
      </c>
      <c r="AN199">
        <f t="shared" si="99"/>
        <v>31.965883665851639</v>
      </c>
      <c r="AO199">
        <f>IF(E199&gt;Assumptions!$B$9,0,($V$2+$X$2)/$I$2*O198*K199*Assumptions!$B$46)</f>
        <v>0</v>
      </c>
      <c r="AP199">
        <f>IF(B199&gt;$AF$2,0,AP198*(1+Assumptions!$B$52)^(1/12))</f>
        <v>1.1686959057503012</v>
      </c>
      <c r="AQ199" s="29">
        <f>IF(B199&gt;$AF$2,0,O198*Assumptions!$B$48/12*AP198+AR199*Assumptions!$B$50/12)</f>
        <v>10.396925580851246</v>
      </c>
      <c r="AR199" s="31">
        <f t="shared" si="100"/>
        <v>8552.3912466542715</v>
      </c>
      <c r="AS199">
        <f t="shared" si="83"/>
        <v>8619.0521703091872</v>
      </c>
      <c r="AT199">
        <f t="shared" si="101"/>
        <v>11.176184868398732</v>
      </c>
      <c r="AU199" s="19">
        <f t="shared" si="102"/>
        <v>8559.3404657436859</v>
      </c>
      <c r="AV199" s="19">
        <f t="shared" si="103"/>
        <v>8619.0817689158466</v>
      </c>
      <c r="AW199">
        <f t="shared" si="104"/>
        <v>-76.322773729601806</v>
      </c>
      <c r="AX199">
        <f>IF(B199&gt;$AF$2,0,HLOOKUP(YEAR(A199),Assumptions!$A$34:$AL$37,2,TRUE)/100)</f>
        <v>2.1394000000000003E-2</v>
      </c>
      <c r="AY199" s="32">
        <f>1/(1+HLOOKUP(YEAR(A199),Assumptions!$A$27:$AL$29,3,TRUE))^(1/12)</f>
        <v>0.99832904108543385</v>
      </c>
      <c r="AZ199" s="30">
        <f t="shared" si="84"/>
        <v>9153.1754196292313</v>
      </c>
      <c r="BA199">
        <f>IF(B199&gt;$AF$2,0,IF($E$2=0,(T199*Z199+(1-T199)*AA199)*$J$2*Assumptions!$B$20,0))</f>
        <v>0</v>
      </c>
    </row>
    <row r="200" spans="1:53" x14ac:dyDescent="0.25">
      <c r="A200" s="17">
        <f t="shared" si="85"/>
        <v>48852</v>
      </c>
      <c r="B200">
        <f t="shared" si="77"/>
        <v>419</v>
      </c>
      <c r="C200">
        <f t="shared" si="78"/>
        <v>34.833333333333336</v>
      </c>
      <c r="D200">
        <f t="shared" si="106"/>
        <v>0</v>
      </c>
      <c r="E200">
        <f t="shared" si="79"/>
        <v>57</v>
      </c>
      <c r="F200">
        <f>IF(C200&gt;=$H$2,0,VLOOKUP($E200,'Mortality Table'!$A$3:$C$128,2+AB$2,FALSE))</f>
        <v>3.0477E-3</v>
      </c>
      <c r="G200">
        <f>F200*Assumptions!$B$1</f>
        <v>3.2991352500000002E-3</v>
      </c>
      <c r="H200">
        <f t="shared" si="86"/>
        <v>2.7534453539856951E-4</v>
      </c>
      <c r="I200">
        <f t="shared" si="107"/>
        <v>1.5261094935483174E-4</v>
      </c>
      <c r="J200">
        <f>HLOOKUP(C200,Assumptions!$A$6:$J$7,2,TRUE)</f>
        <v>3.5200000000000002E-2</v>
      </c>
      <c r="K200" s="18">
        <f t="shared" si="80"/>
        <v>1</v>
      </c>
      <c r="L200" s="18">
        <f t="shared" si="87"/>
        <v>8.3333333333333329E-2</v>
      </c>
      <c r="M200" s="18">
        <f t="shared" si="108"/>
        <v>2.9817501439168836E-3</v>
      </c>
      <c r="N200">
        <f t="shared" si="109"/>
        <v>1.654888159676569E-3</v>
      </c>
      <c r="O200" s="20">
        <f t="shared" si="110"/>
        <v>0.55327456456737178</v>
      </c>
      <c r="P200">
        <f>IF(B200&gt;$AF$2,0,O199*($E$2+IF(E200&lt;=Assumptions!$B$9,$D$2,0))/$I$2*K200)</f>
        <v>28.429453027959777</v>
      </c>
      <c r="Q200">
        <f t="shared" si="88"/>
        <v>26.1</v>
      </c>
      <c r="R200">
        <f>IF(B200&gt;$AF$2,0,IF($Y$2=1,(SUMIF('Mortality Tarif Male'!A:A,E201,'Mortality Tarif Male'!G:G)-SUMIF('Mortality Tarif Male'!A:A,$C$2+$H$2,'Mortality Tarif Male'!G:G)+SUMIF('Mortality Tarif Male'!A:A,$C$2+$H$2,'Mortality Tarif Male'!D:D))/SUMIF('Mortality Tarif Male'!A:A,E201,'Mortality Tarif Male'!D:D),(SUMIF('Mortality Tarif Female'!A:A,E201,'Mortality Tarif Female'!G:G)-SUMIF('Mortality Tarif Female'!A:A,$C$2+$H$2,'Mortality Tarif Female'!G:G)+SUMIF('Mortality Tarif Female'!A:A,$C$2+$H$2,'Mortality Tarif Female'!D:D))/SUMIF('Mortality Tarif Female'!A:A,E201,'Mortality Tarif Female'!D:D)))</f>
        <v>0.8157071733624115</v>
      </c>
      <c r="S200">
        <f>IF(B200&gt;=$AF$2,0,IF($Y$2=1,(SUMIF('Mortality Tarif Male'!A:A,E201+1,'Mortality Tarif Male'!G:G)-SUMIF('Mortality Tarif Male'!A:A,$C$2+$H$2,'Mortality Tarif Male'!G:G)+SUMIF('Mortality Tarif Male'!A:A,$C$2+$H$2,'Mortality Tarif Male'!D:D))/SUMIF('Mortality Tarif Male'!A:A,E201+1,'Mortality Tarif Male'!D:D),(SUMIF('Mortality Tarif Female'!A:A,E201+1,'Mortality Tarif Female'!G:G)-SUMIF('Mortality Tarif Female'!A:A,$C$2+$H$2,'Mortality Tarif Female'!G:G)+SUMIF('Mortality Tarif Female'!A:A,$C$2+$H$2,'Mortality Tarif Female'!D:D))/SUMIF('Mortality Tarif Female'!A:A,E201+1,'Mortality Tarif Female'!D:D)))</f>
        <v>0.84362178121276754</v>
      </c>
      <c r="T200">
        <f t="shared" si="89"/>
        <v>8.3333333333335702E-2</v>
      </c>
      <c r="U200">
        <f t="shared" si="90"/>
        <v>0.84129556389190452</v>
      </c>
      <c r="V200">
        <f t="shared" si="91"/>
        <v>16825.911277838091</v>
      </c>
      <c r="W200">
        <f t="shared" si="81"/>
        <v>21.957814217578708</v>
      </c>
      <c r="X200">
        <f t="shared" si="82"/>
        <v>0</v>
      </c>
      <c r="Y200">
        <f>IF(B200&gt;$AF$2,0,IF(X201=0,0,(1-X201)*($E$2+IF(E200&lt;=Assumptions!$B$9,$D$2,0))/$I$2*1/(1+$AG$2)*1/(1+Assumptions!$B$11)))</f>
        <v>0</v>
      </c>
      <c r="Z200">
        <f>IF(B200&gt;$AF$2,0,IF($Y$2=1,(SUMIF('Mortality Tarif Male'!A:A,E201,'Mortality Tarif Male'!E:E)-SUMIF('Mortality Tarif Male'!A:A,$C$2+$H$2,'Mortality Tarif Male'!E:E))/SUMIF('Mortality Tarif Male'!A:A,E201,'Mortality Tarif Male'!D:D),(SUMIF('Mortality Tarif Female'!A:A,E201,'Mortality Tarif Female'!E:E)-SUMIF('Mortality Tarif Female'!A:A,$C$2+$H$2,'Mortality Tarif Female'!E:E))/SUMIF('Mortality Tarif Female'!A:A,E201,'Mortality Tarif Female'!D:D)))</f>
        <v>5.4616568003844552</v>
      </c>
      <c r="AA200">
        <f>IF(B200&gt;=$AF$2,0,IF($Y$2=1,(SUMIF('Mortality Tarif Male'!A:A,E201+1,'Mortality Tarif Male'!E:E)-SUMIF('Mortality Tarif Male'!A:A,$C$2+$H$2,'Mortality Tarif Male'!E:E))/SUMIF('Mortality Tarif Male'!A:A,E201+1,'Mortality Tarif Male'!D:D),(SUMIF('Mortality Tarif Female'!A:A,E201+1,'Mortality Tarif Female'!E:E)-SUMIF('Mortality Tarif Female'!A:A,$C$2+$H$2,'Mortality Tarif Female'!E:E))/SUMIF('Mortality Tarif Female'!A:A,E201+1,'Mortality Tarif Female'!D:D)))</f>
        <v>4.6347593267466118</v>
      </c>
      <c r="AB200">
        <f t="shared" si="76"/>
        <v>1132.7595936170014</v>
      </c>
      <c r="AC200">
        <f>IF(B200&gt;=$AF$2,0,MIN(1/3*(V200+W200+Y200-AB200),(V200-AB200),(T200*Z200+(1-T200)*AA200)*$AH$2*Assumptions!$B$22))</f>
        <v>122.60570614629853</v>
      </c>
      <c r="AD200">
        <f t="shared" si="92"/>
        <v>15592.503792292369</v>
      </c>
      <c r="AE200">
        <f t="shared" si="93"/>
        <v>15715.109498438667</v>
      </c>
      <c r="AF200">
        <f t="shared" si="94"/>
        <v>15592.503792292369</v>
      </c>
      <c r="AG200" s="26">
        <f t="shared" si="105"/>
        <v>0</v>
      </c>
      <c r="AH200" s="27">
        <f>IF(B200&gt;$AF$2,0,HLOOKUP(YEAR(A200),Assumptions!$A$34:$AL$37,4,TRUE)/100)</f>
        <v>1.5394000000000001E-2</v>
      </c>
      <c r="AI200">
        <f t="shared" si="95"/>
        <v>0</v>
      </c>
      <c r="AJ200">
        <f t="shared" si="96"/>
        <v>3.0562021328747959</v>
      </c>
      <c r="AK200">
        <f t="shared" si="97"/>
        <v>25.803849905576644</v>
      </c>
      <c r="AL200">
        <f>IF(E200&gt;Assumptions!$B$9,0,SUMPRODUCT($P$2:$X$2,Assumptions!$A$43:$I$43)/$I$2*O199*K200)</f>
        <v>3.1092699764008245</v>
      </c>
      <c r="AM200">
        <f t="shared" si="98"/>
        <v>0</v>
      </c>
      <c r="AN200">
        <f t="shared" si="99"/>
        <v>31.969322014852263</v>
      </c>
      <c r="AO200">
        <f>IF(E200&gt;Assumptions!$B$9,0,($V$2+$X$2)/$I$2*O199*K200*Assumptions!$B$46)</f>
        <v>0</v>
      </c>
      <c r="AP200">
        <f>IF(B200&gt;$AF$2,0,AP199*(1+Assumptions!$B$52)^(1/12))</f>
        <v>1.1696653835482014</v>
      </c>
      <c r="AQ200" s="29">
        <f>IF(B200&gt;$AF$2,0,O199*Assumptions!$B$48/12*AP199+AR200*Assumptions!$B$50/12)</f>
        <v>10.376293897722272</v>
      </c>
      <c r="AR200" s="31">
        <f t="shared" si="100"/>
        <v>8550.7599187550568</v>
      </c>
      <c r="AS200">
        <f t="shared" si="83"/>
        <v>8626.9357461956533</v>
      </c>
      <c r="AT200">
        <f t="shared" si="101"/>
        <v>11.139792151872806</v>
      </c>
      <c r="AU200" s="19">
        <f t="shared" si="102"/>
        <v>8557.6732857334227</v>
      </c>
      <c r="AV200" s="19">
        <f t="shared" si="103"/>
        <v>8627.0826924846588</v>
      </c>
      <c r="AW200">
        <f t="shared" si="104"/>
        <v>-85.980938590028984</v>
      </c>
      <c r="AX200">
        <f>IF(B200&gt;$AF$2,0,HLOOKUP(YEAR(A200),Assumptions!$A$34:$AL$37,2,TRUE)/100)</f>
        <v>2.1394000000000003E-2</v>
      </c>
      <c r="AY200" s="32">
        <f>1/(1+HLOOKUP(YEAR(A200),Assumptions!$A$27:$AL$29,3,TRUE))^(1/12)</f>
        <v>0.99832904108543385</v>
      </c>
      <c r="AZ200" s="30">
        <f t="shared" si="84"/>
        <v>9154.5794361990665</v>
      </c>
      <c r="BA200">
        <f>IF(B200&gt;$AF$2,0,IF($E$2=0,(T200*Z200+(1-T200)*AA200)*$J$2*Assumptions!$B$20,0))</f>
        <v>0</v>
      </c>
    </row>
    <row r="201" spans="1:53" x14ac:dyDescent="0.25">
      <c r="A201" s="17">
        <f t="shared" si="85"/>
        <v>48883</v>
      </c>
      <c r="B201">
        <f t="shared" si="77"/>
        <v>420</v>
      </c>
      <c r="C201">
        <f t="shared" si="78"/>
        <v>34.916666666666664</v>
      </c>
      <c r="D201">
        <f t="shared" si="106"/>
        <v>0</v>
      </c>
      <c r="E201">
        <f t="shared" si="79"/>
        <v>57</v>
      </c>
      <c r="F201">
        <f>IF(C201&gt;=$H$2,0,VLOOKUP($E201,'Mortality Table'!$A$3:$C$128,2+AB$2,FALSE))</f>
        <v>3.0477E-3</v>
      </c>
      <c r="G201">
        <f>F201*Assumptions!$B$1</f>
        <v>3.2991352500000002E-3</v>
      </c>
      <c r="H201">
        <f t="shared" si="86"/>
        <v>2.7534453539856951E-4</v>
      </c>
      <c r="I201">
        <f t="shared" si="107"/>
        <v>1.5211400633858597E-4</v>
      </c>
      <c r="J201">
        <f>HLOOKUP(C201,Assumptions!$A$6:$J$7,2,TRUE)</f>
        <v>3.5200000000000002E-2</v>
      </c>
      <c r="K201" s="18">
        <f t="shared" si="80"/>
        <v>1</v>
      </c>
      <c r="L201" s="18">
        <f t="shared" si="87"/>
        <v>8.3333333333333329E-2</v>
      </c>
      <c r="M201" s="18">
        <f t="shared" si="108"/>
        <v>2.9817501439168836E-3</v>
      </c>
      <c r="N201">
        <f t="shared" si="109"/>
        <v>1.649499390934249E-3</v>
      </c>
      <c r="O201" s="20">
        <f t="shared" si="110"/>
        <v>0.55147295117009887</v>
      </c>
      <c r="P201">
        <f>IF(B201&gt;$AF$2,0,O200*($E$2+IF(E201&lt;=Assumptions!$B$9,$D$2,0))/$I$2*K201)</f>
        <v>28.336878948592219</v>
      </c>
      <c r="Q201">
        <f t="shared" si="88"/>
        <v>26.1</v>
      </c>
      <c r="R201">
        <f>IF(B201&gt;$AF$2,0,IF($Y$2=1,(SUMIF('Mortality Tarif Male'!A:A,E202,'Mortality Tarif Male'!G:G)-SUMIF('Mortality Tarif Male'!A:A,$C$2+$H$2,'Mortality Tarif Male'!G:G)+SUMIF('Mortality Tarif Male'!A:A,$C$2+$H$2,'Mortality Tarif Male'!D:D))/SUMIF('Mortality Tarif Male'!A:A,E202,'Mortality Tarif Male'!D:D),(SUMIF('Mortality Tarif Female'!A:A,E202,'Mortality Tarif Female'!G:G)-SUMIF('Mortality Tarif Female'!A:A,$C$2+$H$2,'Mortality Tarif Female'!G:G)+SUMIF('Mortality Tarif Female'!A:A,$C$2+$H$2,'Mortality Tarif Female'!D:D))/SUMIF('Mortality Tarif Female'!A:A,E202,'Mortality Tarif Female'!D:D)))</f>
        <v>0.84362178121276754</v>
      </c>
      <c r="S201">
        <f>IF(B201&gt;=$AF$2,0,IF($Y$2=1,(SUMIF('Mortality Tarif Male'!A:A,E202+1,'Mortality Tarif Male'!G:G)-SUMIF('Mortality Tarif Male'!A:A,$C$2+$H$2,'Mortality Tarif Male'!G:G)+SUMIF('Mortality Tarif Male'!A:A,$C$2+$H$2,'Mortality Tarif Male'!D:D))/SUMIF('Mortality Tarif Male'!A:A,E202+1,'Mortality Tarif Male'!D:D),(SUMIF('Mortality Tarif Female'!A:A,E202+1,'Mortality Tarif Female'!G:G)-SUMIF('Mortality Tarif Female'!A:A,$C$2+$H$2,'Mortality Tarif Female'!G:G)+SUMIF('Mortality Tarif Female'!A:A,$C$2+$H$2,'Mortality Tarif Female'!D:D))/SUMIF('Mortality Tarif Female'!A:A,E202+1,'Mortality Tarif Female'!D:D)))</f>
        <v>0.8725744517148003</v>
      </c>
      <c r="T201">
        <f t="shared" si="89"/>
        <v>1</v>
      </c>
      <c r="U201">
        <f t="shared" si="90"/>
        <v>0.84362178121276754</v>
      </c>
      <c r="V201">
        <f t="shared" si="91"/>
        <v>16872.435624255351</v>
      </c>
      <c r="W201">
        <f t="shared" si="81"/>
        <v>22.018528489653235</v>
      </c>
      <c r="X201">
        <f t="shared" si="82"/>
        <v>0</v>
      </c>
      <c r="Y201">
        <f>IF(B201&gt;$AF$2,0,IF(X202=0,0,(1-X202)*($E$2+IF(E201&lt;=Assumptions!$B$9,$D$2,0))/$I$2*1/(1+$AG$2)*1/(1+Assumptions!$B$11)))</f>
        <v>0</v>
      </c>
      <c r="Z201">
        <f>IF(B201&gt;$AF$2,0,IF($Y$2=1,(SUMIF('Mortality Tarif Male'!A:A,E202,'Mortality Tarif Male'!E:E)-SUMIF('Mortality Tarif Male'!A:A,$C$2+$H$2,'Mortality Tarif Male'!E:E))/SUMIF('Mortality Tarif Male'!A:A,E202,'Mortality Tarif Male'!D:D),(SUMIF('Mortality Tarif Female'!A:A,E202,'Mortality Tarif Female'!E:E)-SUMIF('Mortality Tarif Female'!A:A,$C$2+$H$2,'Mortality Tarif Female'!E:E))/SUMIF('Mortality Tarif Female'!A:A,E202,'Mortality Tarif Female'!D:D)))</f>
        <v>4.6347593267466118</v>
      </c>
      <c r="AA201">
        <f>IF(B201&gt;=$AF$2,0,IF($Y$2=1,(SUMIF('Mortality Tarif Male'!A:A,E202+1,'Mortality Tarif Male'!E:E)-SUMIF('Mortality Tarif Male'!A:A,$C$2+$H$2,'Mortality Tarif Male'!E:E))/SUMIF('Mortality Tarif Male'!A:A,E202+1,'Mortality Tarif Male'!D:D),(SUMIF('Mortality Tarif Female'!A:A,E202+1,'Mortality Tarif Female'!E:E)-SUMIF('Mortality Tarif Female'!A:A,$C$2+$H$2,'Mortality Tarif Female'!E:E))/SUMIF('Mortality Tarif Female'!A:A,E202+1,'Mortality Tarif Female'!D:D)))</f>
        <v>3.7769530556303295</v>
      </c>
      <c r="AB201">
        <f t="shared" si="76"/>
        <v>1116.1648113496274</v>
      </c>
      <c r="AC201">
        <f>IF(B201&gt;=$AF$2,0,MIN(1/3*(V201+W201+Y201-AB201),(V201-AB201),(T201*Z201+(1-T201)*AA201)*$AH$2*Assumptions!$B$22))</f>
        <v>120.80954832984715</v>
      </c>
      <c r="AD201">
        <f t="shared" si="92"/>
        <v>15657.479793065531</v>
      </c>
      <c r="AE201">
        <f t="shared" si="93"/>
        <v>15778.289341395379</v>
      </c>
      <c r="AF201">
        <f t="shared" si="94"/>
        <v>15657.479793065531</v>
      </c>
      <c r="AG201" s="26">
        <f t="shared" si="105"/>
        <v>0</v>
      </c>
      <c r="AH201" s="27">
        <f>IF(B201&gt;$AF$2,0,HLOOKUP(YEAR(A201),Assumptions!$A$34:$AL$37,4,TRUE)/100)</f>
        <v>1.5394000000000001E-2</v>
      </c>
      <c r="AI201">
        <f t="shared" si="95"/>
        <v>0</v>
      </c>
      <c r="AJ201">
        <f t="shared" si="96"/>
        <v>3.0462503023371563</v>
      </c>
      <c r="AK201">
        <f t="shared" si="97"/>
        <v>25.827003382226906</v>
      </c>
      <c r="AL201">
        <f>IF(E201&gt;Assumptions!$B$9,0,SUMPRODUCT($P$2:$X$2,Assumptions!$A$43:$I$43)/$I$2*O200*K201)</f>
        <v>3.0991453424415503</v>
      </c>
      <c r="AM201">
        <f t="shared" si="98"/>
        <v>0</v>
      </c>
      <c r="AN201">
        <f t="shared" si="99"/>
        <v>31.972399027005611</v>
      </c>
      <c r="AO201">
        <f>IF(E201&gt;Assumptions!$B$9,0,($V$2+$X$2)/$I$2*O200*K201*Assumptions!$B$46)</f>
        <v>0</v>
      </c>
      <c r="AP201">
        <f>IF(B201&gt;$AF$2,0,AP200*(1+Assumptions!$B$52)^(1/12))</f>
        <v>1.170635665564886</v>
      </c>
      <c r="AQ201" s="29">
        <f>IF(B201&gt;$AF$2,0,O200*Assumptions!$B$48/12*AP200+AR201*Assumptions!$B$50/12)</f>
        <v>10.355670439279718</v>
      </c>
      <c r="AR201" s="31">
        <f t="shared" si="100"/>
        <v>8548.9591802031737</v>
      </c>
      <c r="AS201">
        <f t="shared" si="83"/>
        <v>8634.6765893680367</v>
      </c>
      <c r="AT201">
        <f t="shared" si="101"/>
        <v>11.10351793999151</v>
      </c>
      <c r="AU201" s="19">
        <f t="shared" si="102"/>
        <v>8555.8368707724949</v>
      </c>
      <c r="AV201" s="19">
        <f t="shared" si="103"/>
        <v>8634.9401187932035</v>
      </c>
      <c r="AW201">
        <f t="shared" si="104"/>
        <v>-95.664903675766354</v>
      </c>
      <c r="AX201">
        <f>IF(B201&gt;$AF$2,0,HLOOKUP(YEAR(A201),Assumptions!$A$34:$AL$37,2,TRUE)/100)</f>
        <v>2.1394000000000003E-2</v>
      </c>
      <c r="AY201" s="32">
        <f>1/(1+HLOOKUP(YEAR(A201),Assumptions!$A$27:$AL$29,3,TRUE))^(1/12)</f>
        <v>0.99832904108543385</v>
      </c>
      <c r="AZ201" s="30">
        <f t="shared" si="84"/>
        <v>9155.9107751165484</v>
      </c>
      <c r="BA201">
        <f>IF(B201&gt;$AF$2,0,IF($E$2=0,(T201*Z201+(1-T201)*AA201)*$J$2*Assumptions!$B$20,0))</f>
        <v>0</v>
      </c>
    </row>
    <row r="202" spans="1:53" x14ac:dyDescent="0.25">
      <c r="A202" s="17">
        <f t="shared" si="85"/>
        <v>48913</v>
      </c>
      <c r="B202">
        <f t="shared" si="77"/>
        <v>421</v>
      </c>
      <c r="C202">
        <f t="shared" si="78"/>
        <v>35</v>
      </c>
      <c r="D202">
        <f t="shared" si="106"/>
        <v>1</v>
      </c>
      <c r="E202">
        <f t="shared" si="79"/>
        <v>58</v>
      </c>
      <c r="F202">
        <f>IF(C202&gt;=$H$2,0,VLOOKUP($E202,'Mortality Table'!$A$3:$C$128,2+AB$2,FALSE))</f>
        <v>3.3078000000000001E-3</v>
      </c>
      <c r="G202">
        <f>F202*Assumptions!$B$1</f>
        <v>3.5806935E-3</v>
      </c>
      <c r="H202">
        <f t="shared" si="86"/>
        <v>2.9888195316329913E-4</v>
      </c>
      <c r="I202">
        <f t="shared" si="107"/>
        <v>1.6457957881242256E-4</v>
      </c>
      <c r="J202">
        <f>HLOOKUP(C202,Assumptions!$A$6:$J$7,2,TRUE)</f>
        <v>3.5200000000000002E-2</v>
      </c>
      <c r="K202" s="18">
        <f t="shared" si="80"/>
        <v>1</v>
      </c>
      <c r="L202" s="18">
        <f t="shared" si="87"/>
        <v>8.3333333333333329E-2</v>
      </c>
      <c r="M202" s="18">
        <f t="shared" si="108"/>
        <v>2.9817501439168836E-3</v>
      </c>
      <c r="N202">
        <f t="shared" si="109"/>
        <v>1.6441088175676855E-3</v>
      </c>
      <c r="O202" s="20">
        <f t="shared" si="110"/>
        <v>0.54966426277371871</v>
      </c>
      <c r="P202">
        <f>IF(B202&gt;$AF$2,0,O201*($E$2+IF(E202&lt;=Assumptions!$B$9,$D$2,0))/$I$2*K202)</f>
        <v>28.244606315761896</v>
      </c>
      <c r="Q202">
        <f t="shared" si="88"/>
        <v>26.1</v>
      </c>
      <c r="R202">
        <f>IF(B202&gt;$AF$2,0,IF($Y$2=1,(SUMIF('Mortality Tarif Male'!A:A,E203,'Mortality Tarif Male'!G:G)-SUMIF('Mortality Tarif Male'!A:A,$C$2+$H$2,'Mortality Tarif Male'!G:G)+SUMIF('Mortality Tarif Male'!A:A,$C$2+$H$2,'Mortality Tarif Male'!D:D))/SUMIF('Mortality Tarif Male'!A:A,E203,'Mortality Tarif Male'!D:D),(SUMIF('Mortality Tarif Female'!A:A,E203,'Mortality Tarif Female'!G:G)-SUMIF('Mortality Tarif Female'!A:A,$C$2+$H$2,'Mortality Tarif Female'!G:G)+SUMIF('Mortality Tarif Female'!A:A,$C$2+$H$2,'Mortality Tarif Female'!D:D))/SUMIF('Mortality Tarif Female'!A:A,E203,'Mortality Tarif Female'!D:D)))</f>
        <v>0.84362178121276754</v>
      </c>
      <c r="S202">
        <f>IF(B202&gt;=$AF$2,0,IF($Y$2=1,(SUMIF('Mortality Tarif Male'!A:A,E203+1,'Mortality Tarif Male'!G:G)-SUMIF('Mortality Tarif Male'!A:A,$C$2+$H$2,'Mortality Tarif Male'!G:G)+SUMIF('Mortality Tarif Male'!A:A,$C$2+$H$2,'Mortality Tarif Male'!D:D))/SUMIF('Mortality Tarif Male'!A:A,E203+1,'Mortality Tarif Male'!D:D),(SUMIF('Mortality Tarif Female'!A:A,E203+1,'Mortality Tarif Female'!G:G)-SUMIF('Mortality Tarif Female'!A:A,$C$2+$H$2,'Mortality Tarif Female'!G:G)+SUMIF('Mortality Tarif Female'!A:A,$C$2+$H$2,'Mortality Tarif Female'!D:D))/SUMIF('Mortality Tarif Female'!A:A,E203+1,'Mortality Tarif Female'!D:D)))</f>
        <v>0.8725744517148003</v>
      </c>
      <c r="T202">
        <f t="shared" si="89"/>
        <v>0.9166666666666643</v>
      </c>
      <c r="U202">
        <f t="shared" si="90"/>
        <v>0.84603450375460376</v>
      </c>
      <c r="V202">
        <f t="shared" si="91"/>
        <v>16920.690075092076</v>
      </c>
      <c r="W202">
        <f t="shared" si="81"/>
        <v>22.081500547995159</v>
      </c>
      <c r="X202">
        <f t="shared" si="82"/>
        <v>0</v>
      </c>
      <c r="Y202">
        <f>IF(B202&gt;$AF$2,0,IF(X203=0,0,(1-X203)*($E$2+IF(E202&lt;=Assumptions!$B$9,$D$2,0))/$I$2*1/(1+$AG$2)*1/(1+Assumptions!$B$11)))</f>
        <v>0</v>
      </c>
      <c r="Z202">
        <f>IF(B202&gt;$AF$2,0,IF($Y$2=1,(SUMIF('Mortality Tarif Male'!A:A,E203,'Mortality Tarif Male'!E:E)-SUMIF('Mortality Tarif Male'!A:A,$C$2+$H$2,'Mortality Tarif Male'!E:E))/SUMIF('Mortality Tarif Male'!A:A,E203,'Mortality Tarif Male'!D:D),(SUMIF('Mortality Tarif Female'!A:A,E203,'Mortality Tarif Female'!E:E)-SUMIF('Mortality Tarif Female'!A:A,$C$2+$H$2,'Mortality Tarif Female'!E:E))/SUMIF('Mortality Tarif Female'!A:A,E203,'Mortality Tarif Female'!D:D)))</f>
        <v>4.6347593267466118</v>
      </c>
      <c r="AA202">
        <f>IF(B202&gt;=$AF$2,0,IF($Y$2=1,(SUMIF('Mortality Tarif Male'!A:A,E203+1,'Mortality Tarif Male'!E:E)-SUMIF('Mortality Tarif Male'!A:A,$C$2+$H$2,'Mortality Tarif Male'!E:E))/SUMIF('Mortality Tarif Male'!A:A,E203+1,'Mortality Tarif Male'!D:D),(SUMIF('Mortality Tarif Female'!A:A,E203+1,'Mortality Tarif Female'!E:E)-SUMIF('Mortality Tarif Female'!A:A,$C$2+$H$2,'Mortality Tarif Female'!E:E))/SUMIF('Mortality Tarif Female'!A:A,E203+1,'Mortality Tarif Female'!D:D)))</f>
        <v>3.7769530556303295</v>
      </c>
      <c r="AB202">
        <f t="shared" si="76"/>
        <v>1098.9497287661277</v>
      </c>
      <c r="AC202">
        <f>IF(B202&gt;=$AF$2,0,MIN(1/3*(V202+W202+Y202-AB202),(V202-AB202),(T202*Z202+(1-T202)*AA202)*$AH$2*Assumptions!$B$22))</f>
        <v>118.94625150286792</v>
      </c>
      <c r="AD202">
        <f t="shared" si="92"/>
        <v>15724.875595371077</v>
      </c>
      <c r="AE202">
        <f t="shared" si="93"/>
        <v>15843.821846873945</v>
      </c>
      <c r="AF202">
        <f t="shared" si="94"/>
        <v>15724.875595371077</v>
      </c>
      <c r="AG202" s="26">
        <f t="shared" si="105"/>
        <v>0</v>
      </c>
      <c r="AH202" s="27">
        <f>IF(B202&gt;$AF$2,0,HLOOKUP(YEAR(A202),Assumptions!$A$34:$AL$37,4,TRUE)/100)</f>
        <v>1.5394000000000001E-2</v>
      </c>
      <c r="AI202">
        <f t="shared" si="95"/>
        <v>0</v>
      </c>
      <c r="AJ202">
        <f t="shared" si="96"/>
        <v>3.2958871032554553</v>
      </c>
      <c r="AK202">
        <f t="shared" si="97"/>
        <v>25.853406621504494</v>
      </c>
      <c r="AL202">
        <f>IF(E202&gt;Assumptions!$B$9,0,SUMPRODUCT($P$2:$X$2,Assumptions!$A$43:$I$43)/$I$2*O201*K202)</f>
        <v>3.0890536770612615</v>
      </c>
      <c r="AM202">
        <f t="shared" si="98"/>
        <v>0</v>
      </c>
      <c r="AN202">
        <f t="shared" si="99"/>
        <v>32.238347401821208</v>
      </c>
      <c r="AO202">
        <f>IF(E202&gt;Assumptions!$B$9,0,($V$2+$X$2)/$I$2*O201*K202*Assumptions!$B$46)</f>
        <v>0</v>
      </c>
      <c r="AP202">
        <f>IF(B202&gt;$AF$2,0,AP201*(1+Assumptions!$B$52)^(1/12))</f>
        <v>1.1716067524674849</v>
      </c>
      <c r="AQ202" s="29">
        <f>IF(B202&gt;$AF$2,0,O201*Assumptions!$B$48/12*AP201+AR202*Assumptions!$B$50/12)</f>
        <v>10.335055318770882</v>
      </c>
      <c r="AR202" s="31">
        <f t="shared" si="100"/>
        <v>8546.9899938620802</v>
      </c>
      <c r="AS202">
        <f t="shared" si="83"/>
        <v>8643.4021513380849</v>
      </c>
      <c r="AT202">
        <f t="shared" si="101"/>
        <v>11.067361846871288</v>
      </c>
      <c r="AU202" s="19">
        <f t="shared" si="102"/>
        <v>8553.8321830122004</v>
      </c>
      <c r="AV202" s="19">
        <f t="shared" si="103"/>
        <v>8642.6548975378464</v>
      </c>
      <c r="AW202">
        <f t="shared" si="104"/>
        <v>-105.37455656035449</v>
      </c>
      <c r="AX202">
        <f>IF(B202&gt;$AF$2,0,HLOOKUP(YEAR(A202),Assumptions!$A$34:$AL$37,2,TRUE)/100)</f>
        <v>2.1394000000000003E-2</v>
      </c>
      <c r="AY202" s="32">
        <f>1/(1+HLOOKUP(YEAR(A202),Assumptions!$A$27:$AL$29,3,TRUE))^(1/12)</f>
        <v>0.99832904108543385</v>
      </c>
      <c r="AZ202" s="30">
        <f t="shared" si="84"/>
        <v>9156.9067364829843</v>
      </c>
      <c r="BA202">
        <f>IF(B202&gt;$AF$2,0,IF($E$2=0,(T202*Z202+(1-T202)*AA202)*$J$2*Assumptions!$B$20,0))</f>
        <v>0</v>
      </c>
    </row>
    <row r="203" spans="1:53" x14ac:dyDescent="0.25">
      <c r="A203" s="17">
        <f t="shared" si="85"/>
        <v>48944</v>
      </c>
      <c r="B203">
        <f t="shared" si="77"/>
        <v>422</v>
      </c>
      <c r="C203">
        <f t="shared" si="78"/>
        <v>35.083333333333336</v>
      </c>
      <c r="D203">
        <f t="shared" si="106"/>
        <v>0</v>
      </c>
      <c r="E203">
        <f t="shared" si="79"/>
        <v>58</v>
      </c>
      <c r="F203">
        <f>IF(C203&gt;=$H$2,0,VLOOKUP($E203,'Mortality Table'!$A$3:$C$128,2+AB$2,FALSE))</f>
        <v>3.3078000000000001E-3</v>
      </c>
      <c r="G203">
        <f>F203*Assumptions!$B$1</f>
        <v>3.5806935E-3</v>
      </c>
      <c r="H203">
        <f t="shared" si="86"/>
        <v>2.9888195316329913E-4</v>
      </c>
      <c r="I203">
        <f t="shared" si="107"/>
        <v>1.6403980043553648E-4</v>
      </c>
      <c r="J203">
        <f>HLOOKUP(C203,Assumptions!$A$6:$J$7,2,TRUE)</f>
        <v>3.5200000000000002E-2</v>
      </c>
      <c r="K203" s="18">
        <f t="shared" si="80"/>
        <v>1</v>
      </c>
      <c r="L203" s="18">
        <f t="shared" si="87"/>
        <v>8.3333333333333329E-2</v>
      </c>
      <c r="M203" s="18">
        <f t="shared" si="108"/>
        <v>2.9817501439168836E-3</v>
      </c>
      <c r="N203">
        <f t="shared" si="109"/>
        <v>1.638716566625166E-3</v>
      </c>
      <c r="O203" s="20">
        <f t="shared" si="110"/>
        <v>0.54786150640665798</v>
      </c>
      <c r="P203">
        <f>IF(B203&gt;$AF$2,0,O202*($E$2+IF(E203&lt;=Assumptions!$B$9,$D$2,0))/$I$2*K203)</f>
        <v>28.151971325060625</v>
      </c>
      <c r="Q203">
        <f t="shared" si="88"/>
        <v>26.1</v>
      </c>
      <c r="R203">
        <f>IF(B203&gt;$AF$2,0,IF($Y$2=1,(SUMIF('Mortality Tarif Male'!A:A,E204,'Mortality Tarif Male'!G:G)-SUMIF('Mortality Tarif Male'!A:A,$C$2+$H$2,'Mortality Tarif Male'!G:G)+SUMIF('Mortality Tarif Male'!A:A,$C$2+$H$2,'Mortality Tarif Male'!D:D))/SUMIF('Mortality Tarif Male'!A:A,E204,'Mortality Tarif Male'!D:D),(SUMIF('Mortality Tarif Female'!A:A,E204,'Mortality Tarif Female'!G:G)-SUMIF('Mortality Tarif Female'!A:A,$C$2+$H$2,'Mortality Tarif Female'!G:G)+SUMIF('Mortality Tarif Female'!A:A,$C$2+$H$2,'Mortality Tarif Female'!D:D))/SUMIF('Mortality Tarif Female'!A:A,E204,'Mortality Tarif Female'!D:D)))</f>
        <v>0.84362178121276754</v>
      </c>
      <c r="S203">
        <f>IF(B203&gt;=$AF$2,0,IF($Y$2=1,(SUMIF('Mortality Tarif Male'!A:A,E204+1,'Mortality Tarif Male'!G:G)-SUMIF('Mortality Tarif Male'!A:A,$C$2+$H$2,'Mortality Tarif Male'!G:G)+SUMIF('Mortality Tarif Male'!A:A,$C$2+$H$2,'Mortality Tarif Male'!D:D))/SUMIF('Mortality Tarif Male'!A:A,E204+1,'Mortality Tarif Male'!D:D),(SUMIF('Mortality Tarif Female'!A:A,E204+1,'Mortality Tarif Female'!G:G)-SUMIF('Mortality Tarif Female'!A:A,$C$2+$H$2,'Mortality Tarif Female'!G:G)+SUMIF('Mortality Tarif Female'!A:A,$C$2+$H$2,'Mortality Tarif Female'!D:D))/SUMIF('Mortality Tarif Female'!A:A,E204+1,'Mortality Tarif Female'!D:D)))</f>
        <v>0.8725744517148003</v>
      </c>
      <c r="T203">
        <f t="shared" si="89"/>
        <v>0.8333333333333357</v>
      </c>
      <c r="U203">
        <f t="shared" si="90"/>
        <v>0.84844722629643954</v>
      </c>
      <c r="V203">
        <f t="shared" si="91"/>
        <v>16968.94452592879</v>
      </c>
      <c r="W203">
        <f t="shared" si="81"/>
        <v>22.144472606337072</v>
      </c>
      <c r="X203">
        <f t="shared" si="82"/>
        <v>0</v>
      </c>
      <c r="Y203">
        <f>IF(B203&gt;$AF$2,0,IF(X204=0,0,(1-X204)*($E$2+IF(E203&lt;=Assumptions!$B$9,$D$2,0))/$I$2*1/(1+$AG$2)*1/(1+Assumptions!$B$11)))</f>
        <v>0</v>
      </c>
      <c r="Z203">
        <f>IF(B203&gt;$AF$2,0,IF($Y$2=1,(SUMIF('Mortality Tarif Male'!A:A,E204,'Mortality Tarif Male'!E:E)-SUMIF('Mortality Tarif Male'!A:A,$C$2+$H$2,'Mortality Tarif Male'!E:E))/SUMIF('Mortality Tarif Male'!A:A,E204,'Mortality Tarif Male'!D:D),(SUMIF('Mortality Tarif Female'!A:A,E204,'Mortality Tarif Female'!E:E)-SUMIF('Mortality Tarif Female'!A:A,$C$2+$H$2,'Mortality Tarif Female'!E:E))/SUMIF('Mortality Tarif Female'!A:A,E204,'Mortality Tarif Female'!D:D)))</f>
        <v>4.6347593267466118</v>
      </c>
      <c r="AA203">
        <f>IF(B203&gt;=$AF$2,0,IF($Y$2=1,(SUMIF('Mortality Tarif Male'!A:A,E204+1,'Mortality Tarif Male'!E:E)-SUMIF('Mortality Tarif Male'!A:A,$C$2+$H$2,'Mortality Tarif Male'!E:E))/SUMIF('Mortality Tarif Male'!A:A,E204+1,'Mortality Tarif Male'!D:D),(SUMIF('Mortality Tarif Female'!A:A,E204+1,'Mortality Tarif Female'!E:E)-SUMIF('Mortality Tarif Female'!A:A,$C$2+$H$2,'Mortality Tarif Female'!E:E))/SUMIF('Mortality Tarif Female'!A:A,E204+1,'Mortality Tarif Female'!D:D)))</f>
        <v>3.7769530556303295</v>
      </c>
      <c r="AB203">
        <f t="shared" ref="AB203:AB264" si="111">IF(B203&gt;=$AF$2,0,(T203*Z203+(1-T203)*AA203))*$AI$2</f>
        <v>1081.7346461826294</v>
      </c>
      <c r="AC203">
        <f>IF(B203&gt;=$AF$2,0,MIN(1/3*(V203+W203+Y203-AB203),(V203-AB203),(T203*Z203+(1-T203)*AA203)*$AH$2*Assumptions!$B$22))</f>
        <v>117.08295467588887</v>
      </c>
      <c r="AD203">
        <f t="shared" si="92"/>
        <v>15792.27139767661</v>
      </c>
      <c r="AE203">
        <f t="shared" si="93"/>
        <v>15909.354352352499</v>
      </c>
      <c r="AF203">
        <f t="shared" si="94"/>
        <v>15792.27139767661</v>
      </c>
      <c r="AG203" s="26">
        <f t="shared" si="105"/>
        <v>15430.668740742565</v>
      </c>
      <c r="AH203" s="27">
        <f>IF(B203&gt;$AF$2,0,HLOOKUP(YEAR(A203),Assumptions!$A$34:$AL$37,4,TRUE)/100)</f>
        <v>1.5394000000000001E-2</v>
      </c>
      <c r="AI203">
        <f t="shared" si="95"/>
        <v>0</v>
      </c>
      <c r="AJ203">
        <f t="shared" si="96"/>
        <v>3.285077447502097</v>
      </c>
      <c r="AK203">
        <f t="shared" si="97"/>
        <v>25.879056764013427</v>
      </c>
      <c r="AL203">
        <f>IF(E203&gt;Assumptions!$B$9,0,SUMPRODUCT($P$2:$X$2,Assumptions!$A$43:$I$43)/$I$2*O202*K203)</f>
        <v>3.0789223813564743</v>
      </c>
      <c r="AM203">
        <f t="shared" si="98"/>
        <v>0</v>
      </c>
      <c r="AN203">
        <f t="shared" si="99"/>
        <v>32.243056592872001</v>
      </c>
      <c r="AO203">
        <f>IF(E203&gt;Assumptions!$B$9,0,($V$2+$X$2)/$I$2*O202*K203*Assumptions!$B$46)</f>
        <v>0</v>
      </c>
      <c r="AP203">
        <f>IF(B203&gt;$AF$2,0,AP202*(1+Assumptions!$B$52)^(1/12))</f>
        <v>1.1725786449236819</v>
      </c>
      <c r="AQ203" s="29">
        <f>IF(B203&gt;$AF$2,0,O202*Assumptions!$B$48/12*AP202+AR203*Assumptions!$B$50/12)</f>
        <v>10.314526642294332</v>
      </c>
      <c r="AR203" s="31">
        <f t="shared" si="100"/>
        <v>8545.9797361638757</v>
      </c>
      <c r="AS203">
        <f t="shared" si="83"/>
        <v>8651.9775975138855</v>
      </c>
      <c r="AT203">
        <f t="shared" si="101"/>
        <v>11.031063767503108</v>
      </c>
      <c r="AU203" s="19">
        <f t="shared" si="102"/>
        <v>8552.7861170791384</v>
      </c>
      <c r="AV203" s="19">
        <f t="shared" si="103"/>
        <v>8651.3542927242306</v>
      </c>
      <c r="AW203">
        <f t="shared" si="104"/>
        <v>0</v>
      </c>
      <c r="AX203">
        <f>IF(B203&gt;$AF$2,0,HLOOKUP(YEAR(A203),Assumptions!$A$34:$AL$37,2,TRUE)/100)</f>
        <v>2.1394000000000003E-2</v>
      </c>
      <c r="AY203" s="32">
        <f>1/(1+HLOOKUP(YEAR(A203),Assumptions!$A$27:$AL$29,3,TRUE))^(1/12)</f>
        <v>0.99832904108543385</v>
      </c>
      <c r="AZ203" s="30">
        <f t="shared" si="84"/>
        <v>9157.8275493401488</v>
      </c>
      <c r="BA203">
        <f>IF(B203&gt;$AF$2,0,IF($E$2=0,(T203*Z203+(1-T203)*AA203)*$J$2*Assumptions!$B$20,0))</f>
        <v>0</v>
      </c>
    </row>
    <row r="204" spans="1:53" x14ac:dyDescent="0.25">
      <c r="A204" s="17">
        <f t="shared" si="85"/>
        <v>48975</v>
      </c>
      <c r="B204">
        <f t="shared" ref="B204:B267" si="112">B203+1</f>
        <v>423</v>
      </c>
      <c r="C204">
        <f t="shared" ref="C204:C264" si="113">(B204+11)/12-1</f>
        <v>35.166666666666664</v>
      </c>
      <c r="D204">
        <f t="shared" si="106"/>
        <v>0</v>
      </c>
      <c r="E204">
        <f t="shared" ref="E204:E267" si="114">$C$2+INT($C204)</f>
        <v>58</v>
      </c>
      <c r="F204">
        <f>IF(C204&gt;=$H$2,0,VLOOKUP($E204,'Mortality Table'!$A$3:$C$128,2+AB$2,FALSE))</f>
        <v>3.3078000000000001E-3</v>
      </c>
      <c r="G204">
        <f>F204*Assumptions!$B$1</f>
        <v>3.5806935E-3</v>
      </c>
      <c r="H204">
        <f t="shared" si="86"/>
        <v>2.9888195316329913E-4</v>
      </c>
      <c r="I204">
        <f t="shared" si="107"/>
        <v>1.6350179239187315E-4</v>
      </c>
      <c r="J204">
        <f>HLOOKUP(C204,Assumptions!$A$6:$J$7,2,TRUE)</f>
        <v>3.5200000000000002E-2</v>
      </c>
      <c r="K204" s="18">
        <f t="shared" ref="K204:K264" si="115">IF(B204&gt;$AF$2,0,IF(($I$2*(B204+11))/12-INT(($I$2*(B204+11))/12)=0,1,0))</f>
        <v>1</v>
      </c>
      <c r="L204" s="18">
        <f t="shared" si="87"/>
        <v>8.3333333333333329E-2</v>
      </c>
      <c r="M204" s="18">
        <f t="shared" si="108"/>
        <v>2.9817501439168836E-3</v>
      </c>
      <c r="N204">
        <f t="shared" si="109"/>
        <v>1.6333420008686371E-3</v>
      </c>
      <c r="O204" s="20">
        <f t="shared" si="110"/>
        <v>0.54606466261339748</v>
      </c>
      <c r="P204">
        <f>IF(B204&gt;$AF$2,0,O203*($E$2+IF(E204&lt;=Assumptions!$B$9,$D$2,0))/$I$2*K204)</f>
        <v>28.059640153127663</v>
      </c>
      <c r="Q204">
        <f t="shared" si="88"/>
        <v>26.1</v>
      </c>
      <c r="R204">
        <f>IF(B204&gt;$AF$2,0,IF($Y$2=1,(SUMIF('Mortality Tarif Male'!A:A,E205,'Mortality Tarif Male'!G:G)-SUMIF('Mortality Tarif Male'!A:A,$C$2+$H$2,'Mortality Tarif Male'!G:G)+SUMIF('Mortality Tarif Male'!A:A,$C$2+$H$2,'Mortality Tarif Male'!D:D))/SUMIF('Mortality Tarif Male'!A:A,E205,'Mortality Tarif Male'!D:D),(SUMIF('Mortality Tarif Female'!A:A,E205,'Mortality Tarif Female'!G:G)-SUMIF('Mortality Tarif Female'!A:A,$C$2+$H$2,'Mortality Tarif Female'!G:G)+SUMIF('Mortality Tarif Female'!A:A,$C$2+$H$2,'Mortality Tarif Female'!D:D))/SUMIF('Mortality Tarif Female'!A:A,E205,'Mortality Tarif Female'!D:D)))</f>
        <v>0.84362178121276754</v>
      </c>
      <c r="S204">
        <f>IF(B204&gt;=$AF$2,0,IF($Y$2=1,(SUMIF('Mortality Tarif Male'!A:A,E205+1,'Mortality Tarif Male'!G:G)-SUMIF('Mortality Tarif Male'!A:A,$C$2+$H$2,'Mortality Tarif Male'!G:G)+SUMIF('Mortality Tarif Male'!A:A,$C$2+$H$2,'Mortality Tarif Male'!D:D))/SUMIF('Mortality Tarif Male'!A:A,E205+1,'Mortality Tarif Male'!D:D),(SUMIF('Mortality Tarif Female'!A:A,E205+1,'Mortality Tarif Female'!G:G)-SUMIF('Mortality Tarif Female'!A:A,$C$2+$H$2,'Mortality Tarif Female'!G:G)+SUMIF('Mortality Tarif Female'!A:A,$C$2+$H$2,'Mortality Tarif Female'!D:D))/SUMIF('Mortality Tarif Female'!A:A,E205+1,'Mortality Tarif Female'!D:D)))</f>
        <v>0.8725744517148003</v>
      </c>
      <c r="T204">
        <f t="shared" si="89"/>
        <v>0.75</v>
      </c>
      <c r="U204">
        <f t="shared" si="90"/>
        <v>0.85085994883827576</v>
      </c>
      <c r="V204">
        <f t="shared" si="91"/>
        <v>17017.198976765514</v>
      </c>
      <c r="W204">
        <f t="shared" ref="W204:W264" si="116">IF(B204&gt;$AF$2,0,(T204*R204+(1-T204)*S204)*(Q203))</f>
        <v>22.207444664678999</v>
      </c>
      <c r="X204">
        <f t="shared" ref="X204:X264" si="117">($I$2*(B204+11))/12-INT(($I$2*(B204+11))/12)</f>
        <v>0</v>
      </c>
      <c r="Y204">
        <f>IF(B204&gt;$AF$2,0,IF(X205=0,0,(1-X205)*($E$2+IF(E204&lt;=Assumptions!$B$9,$D$2,0))/$I$2*1/(1+$AG$2)*1/(1+Assumptions!$B$11)))</f>
        <v>0</v>
      </c>
      <c r="Z204">
        <f>IF(B204&gt;$AF$2,0,IF($Y$2=1,(SUMIF('Mortality Tarif Male'!A:A,E205,'Mortality Tarif Male'!E:E)-SUMIF('Mortality Tarif Male'!A:A,$C$2+$H$2,'Mortality Tarif Male'!E:E))/SUMIF('Mortality Tarif Male'!A:A,E205,'Mortality Tarif Male'!D:D),(SUMIF('Mortality Tarif Female'!A:A,E205,'Mortality Tarif Female'!E:E)-SUMIF('Mortality Tarif Female'!A:A,$C$2+$H$2,'Mortality Tarif Female'!E:E))/SUMIF('Mortality Tarif Female'!A:A,E205,'Mortality Tarif Female'!D:D)))</f>
        <v>4.6347593267466118</v>
      </c>
      <c r="AA204">
        <f>IF(B204&gt;=$AF$2,0,IF($Y$2=1,(SUMIF('Mortality Tarif Male'!A:A,E205+1,'Mortality Tarif Male'!E:E)-SUMIF('Mortality Tarif Male'!A:A,$C$2+$H$2,'Mortality Tarif Male'!E:E))/SUMIF('Mortality Tarif Male'!A:A,E205+1,'Mortality Tarif Male'!D:D),(SUMIF('Mortality Tarif Female'!A:A,E205+1,'Mortality Tarif Female'!E:E)-SUMIF('Mortality Tarif Female'!A:A,$C$2+$H$2,'Mortality Tarif Female'!E:E))/SUMIF('Mortality Tarif Female'!A:A,E205+1,'Mortality Tarif Female'!D:D)))</f>
        <v>3.7769530556303295</v>
      </c>
      <c r="AB204">
        <f t="shared" si="111"/>
        <v>1064.5195635991297</v>
      </c>
      <c r="AC204">
        <f>IF(B204&gt;=$AF$2,0,MIN(1/3*(V204+W204+Y204-AB204),(V204-AB204),(T204*Z204+(1-T204)*AA204)*$AH$2*Assumptions!$B$22))</f>
        <v>115.21965784890966</v>
      </c>
      <c r="AD204">
        <f t="shared" si="92"/>
        <v>15859.667199982156</v>
      </c>
      <c r="AE204">
        <f t="shared" si="93"/>
        <v>15974.886857831065</v>
      </c>
      <c r="AF204">
        <f t="shared" si="94"/>
        <v>15859.667199982156</v>
      </c>
      <c r="AG204" s="26">
        <f t="shared" si="105"/>
        <v>0</v>
      </c>
      <c r="AH204" s="27">
        <f>IF(B204&gt;$AF$2,0,HLOOKUP(YEAR(A204),Assumptions!$A$34:$AL$37,4,TRUE)/100)</f>
        <v>1.6104E-2</v>
      </c>
      <c r="AI204">
        <f t="shared" si="95"/>
        <v>0</v>
      </c>
      <c r="AJ204">
        <f t="shared" si="96"/>
        <v>3.2743032446188907</v>
      </c>
      <c r="AK204">
        <f t="shared" si="97"/>
        <v>25.90426055752955</v>
      </c>
      <c r="AL204">
        <f>IF(E204&gt;Assumptions!$B$9,0,SUMPRODUCT($P$2:$X$2,Assumptions!$A$43:$I$43)/$I$2*O203*K204)</f>
        <v>3.0688243136766382</v>
      </c>
      <c r="AM204">
        <f t="shared" si="98"/>
        <v>0</v>
      </c>
      <c r="AN204">
        <f t="shared" si="99"/>
        <v>32.247388115825082</v>
      </c>
      <c r="AO204">
        <f>IF(E204&gt;Assumptions!$B$9,0,($V$2+$X$2)/$I$2*O203*K204*Assumptions!$B$46)</f>
        <v>0</v>
      </c>
      <c r="AP204">
        <f>IF(B204&gt;$AF$2,0,AP203*(1+Assumptions!$B$52)^(1/12))</f>
        <v>1.1735513436017144</v>
      </c>
      <c r="AQ204" s="29">
        <f>IF(B204&gt;$AF$2,0,O203*Assumptions!$B$48/12*AP203+AR204*Assumptions!$B$50/12)</f>
        <v>10.321823482258267</v>
      </c>
      <c r="AR204" s="31">
        <f t="shared" si="100"/>
        <v>8659.9036579366384</v>
      </c>
      <c r="AS204">
        <f t="shared" ref="AS204:AS264" si="118">AD204*O204</f>
        <v>8660.4038187190217</v>
      </c>
      <c r="AT204">
        <f t="shared" si="101"/>
        <v>10.994884736430633</v>
      </c>
      <c r="AU204" s="19">
        <f t="shared" si="102"/>
        <v>8666.6465898710776</v>
      </c>
      <c r="AV204" s="19">
        <f t="shared" si="103"/>
        <v>8659.9036579366384</v>
      </c>
      <c r="AW204">
        <f t="shared" si="104"/>
        <v>-9.0572264315275888</v>
      </c>
      <c r="AX204">
        <f>IF(B204&gt;$AF$2,0,HLOOKUP(YEAR(A204),Assumptions!$A$34:$AL$37,2,TRUE)/100)</f>
        <v>2.2103999999999999E-2</v>
      </c>
      <c r="AY204" s="32">
        <f>1/(1+HLOOKUP(YEAR(A204),Assumptions!$A$27:$AL$29,3,TRUE))^(1/12)</f>
        <v>0.99823744346557397</v>
      </c>
      <c r="AZ204" s="30">
        <f t="shared" ref="AZ204:AZ264" si="119">(AZ205+AN205+AO205+AQ205-P205)*AY205</f>
        <v>9159.4876666740456</v>
      </c>
      <c r="BA204">
        <f>IF(B204&gt;$AF$2,0,IF($E$2=0,(T204*Z204+(1-T204)*AA204)*$J$2*Assumptions!$B$20,0))</f>
        <v>0</v>
      </c>
    </row>
    <row r="205" spans="1:53" x14ac:dyDescent="0.25">
      <c r="A205" s="17">
        <f t="shared" ref="A205:A268" si="120">DATE(YEAR(A204),MONTH(A204)+2,1)-1</f>
        <v>49003</v>
      </c>
      <c r="B205">
        <f t="shared" si="112"/>
        <v>424</v>
      </c>
      <c r="C205">
        <f t="shared" si="113"/>
        <v>35.25</v>
      </c>
      <c r="D205">
        <f t="shared" si="106"/>
        <v>0</v>
      </c>
      <c r="E205">
        <f t="shared" si="114"/>
        <v>58</v>
      </c>
      <c r="F205">
        <f>IF(C205&gt;=$H$2,0,VLOOKUP($E205,'Mortality Table'!$A$3:$C$128,2+AB$2,FALSE))</f>
        <v>3.3078000000000001E-3</v>
      </c>
      <c r="G205">
        <f>F205*Assumptions!$B$1</f>
        <v>3.5806935E-3</v>
      </c>
      <c r="H205">
        <f t="shared" ref="H205:H264" si="121">(1-(1-G205)^(1/12))</f>
        <v>2.9888195316329913E-4</v>
      </c>
      <c r="I205">
        <f t="shared" si="107"/>
        <v>1.629655488751983E-4</v>
      </c>
      <c r="J205">
        <f>HLOOKUP(C205,Assumptions!$A$6:$J$7,2,TRUE)</f>
        <v>3.5200000000000002E-2</v>
      </c>
      <c r="K205" s="18">
        <f t="shared" si="115"/>
        <v>1</v>
      </c>
      <c r="L205" s="18">
        <f t="shared" ref="L205:L268" si="122">1/12</f>
        <v>8.3333333333333329E-2</v>
      </c>
      <c r="M205" s="18">
        <f t="shared" si="108"/>
        <v>2.9817501439168836E-3</v>
      </c>
      <c r="N205">
        <f t="shared" si="109"/>
        <v>1.6279850622952705E-3</v>
      </c>
      <c r="O205" s="20">
        <f t="shared" si="110"/>
        <v>0.54427371200222707</v>
      </c>
      <c r="P205">
        <f>IF(B205&gt;$AF$2,0,O204*($E$2+IF(E205&lt;=Assumptions!$B$9,$D$2,0))/$I$2*K205)</f>
        <v>27.967611803516167</v>
      </c>
      <c r="Q205">
        <f t="shared" ref="Q205:Q264" si="123">IF(B205&gt;$AF$2,0,Q204+AI204)</f>
        <v>26.1</v>
      </c>
      <c r="R205">
        <f>IF(B205&gt;$AF$2,0,IF($Y$2=1,(SUMIF('Mortality Tarif Male'!A:A,E206,'Mortality Tarif Male'!G:G)-SUMIF('Mortality Tarif Male'!A:A,$C$2+$H$2,'Mortality Tarif Male'!G:G)+SUMIF('Mortality Tarif Male'!A:A,$C$2+$H$2,'Mortality Tarif Male'!D:D))/SUMIF('Mortality Tarif Male'!A:A,E206,'Mortality Tarif Male'!D:D),(SUMIF('Mortality Tarif Female'!A:A,E206,'Mortality Tarif Female'!G:G)-SUMIF('Mortality Tarif Female'!A:A,$C$2+$H$2,'Mortality Tarif Female'!G:G)+SUMIF('Mortality Tarif Female'!A:A,$C$2+$H$2,'Mortality Tarif Female'!D:D))/SUMIF('Mortality Tarif Female'!A:A,E206,'Mortality Tarif Female'!D:D)))</f>
        <v>0.84362178121276754</v>
      </c>
      <c r="S205">
        <f>IF(B205&gt;=$AF$2,0,IF($Y$2=1,(SUMIF('Mortality Tarif Male'!A:A,E206+1,'Mortality Tarif Male'!G:G)-SUMIF('Mortality Tarif Male'!A:A,$C$2+$H$2,'Mortality Tarif Male'!G:G)+SUMIF('Mortality Tarif Male'!A:A,$C$2+$H$2,'Mortality Tarif Male'!D:D))/SUMIF('Mortality Tarif Male'!A:A,E206+1,'Mortality Tarif Male'!D:D),(SUMIF('Mortality Tarif Female'!A:A,E206+1,'Mortality Tarif Female'!G:G)-SUMIF('Mortality Tarif Female'!A:A,$C$2+$H$2,'Mortality Tarif Female'!G:G)+SUMIF('Mortality Tarif Female'!A:A,$C$2+$H$2,'Mortality Tarif Female'!D:D))/SUMIF('Mortality Tarif Female'!A:A,E206+1,'Mortality Tarif Female'!D:D)))</f>
        <v>0.8725744517148003</v>
      </c>
      <c r="T205">
        <f t="shared" ref="T205:T264" si="124">INT(B205/12)+1-B205/12</f>
        <v>0.6666666666666643</v>
      </c>
      <c r="U205">
        <f t="shared" ref="U205:U264" si="125">IF(B205&gt;=$AF$2,0,(T205*R205+(1-T205)*S205))</f>
        <v>0.85327267138011198</v>
      </c>
      <c r="V205">
        <f t="shared" ref="V205:V268" si="126">U205*$J$2</f>
        <v>17065.453427602239</v>
      </c>
      <c r="W205">
        <f t="shared" si="116"/>
        <v>22.270416723020922</v>
      </c>
      <c r="X205">
        <f t="shared" si="117"/>
        <v>0</v>
      </c>
      <c r="Y205">
        <f>IF(B205&gt;$AF$2,0,IF(X206=0,0,(1-X206)*($E$2+IF(E205&lt;=Assumptions!$B$9,$D$2,0))/$I$2*1/(1+$AG$2)*1/(1+Assumptions!$B$11)))</f>
        <v>0</v>
      </c>
      <c r="Z205">
        <f>IF(B205&gt;$AF$2,0,IF($Y$2=1,(SUMIF('Mortality Tarif Male'!A:A,E206,'Mortality Tarif Male'!E:E)-SUMIF('Mortality Tarif Male'!A:A,$C$2+$H$2,'Mortality Tarif Male'!E:E))/SUMIF('Mortality Tarif Male'!A:A,E206,'Mortality Tarif Male'!D:D),(SUMIF('Mortality Tarif Female'!A:A,E206,'Mortality Tarif Female'!E:E)-SUMIF('Mortality Tarif Female'!A:A,$C$2+$H$2,'Mortality Tarif Female'!E:E))/SUMIF('Mortality Tarif Female'!A:A,E206,'Mortality Tarif Female'!D:D)))</f>
        <v>4.6347593267466118</v>
      </c>
      <c r="AA205">
        <f>IF(B205&gt;=$AF$2,0,IF($Y$2=1,(SUMIF('Mortality Tarif Male'!A:A,E206+1,'Mortality Tarif Male'!E:E)-SUMIF('Mortality Tarif Male'!A:A,$C$2+$H$2,'Mortality Tarif Male'!E:E))/SUMIF('Mortality Tarif Male'!A:A,E206+1,'Mortality Tarif Male'!D:D),(SUMIF('Mortality Tarif Female'!A:A,E206+1,'Mortality Tarif Female'!E:E)-SUMIF('Mortality Tarif Female'!A:A,$C$2+$H$2,'Mortality Tarif Female'!E:E))/SUMIF('Mortality Tarif Female'!A:A,E206+1,'Mortality Tarif Female'!D:D)))</f>
        <v>3.7769530556303295</v>
      </c>
      <c r="AB205">
        <f t="shared" si="111"/>
        <v>1047.30448101563</v>
      </c>
      <c r="AC205">
        <f>IF(B205&gt;=$AF$2,0,MIN(1/3*(V205+W205+Y205-AB205),(V205-AB205),(T205*Z205+(1-T205)*AA205)*$AH$2*Assumptions!$B$22))</f>
        <v>113.35636102193044</v>
      </c>
      <c r="AD205">
        <f t="shared" ref="AD205:AD264" si="127">V205+W205+Y205-AB205-AC205</f>
        <v>15927.063002287701</v>
      </c>
      <c r="AE205">
        <f t="shared" ref="AE205:AE264" si="128">AD205-Y205+AC205</f>
        <v>16040.419363309631</v>
      </c>
      <c r="AF205">
        <f t="shared" ref="AF205:AF264" si="129">AE205-AC205</f>
        <v>15927.063002287701</v>
      </c>
      <c r="AG205" s="26">
        <f t="shared" si="105"/>
        <v>0</v>
      </c>
      <c r="AH205" s="27">
        <f>IF(B205&gt;$AF$2,0,HLOOKUP(YEAR(A205),Assumptions!$A$34:$AL$37,4,TRUE)/100)</f>
        <v>1.6104E-2</v>
      </c>
      <c r="AI205">
        <f t="shared" ref="AI205:AI264" si="130">IF(B205&gt;$AF$2,0,IF(MONTH(A205)=12,AG205*MAX(0,AH205-$K$2/100)/U205*MIN(12,B205)/12,0))</f>
        <v>0</v>
      </c>
      <c r="AJ205">
        <f t="shared" ref="AJ205:AJ264" si="131">I205*($J$2+Q205)</f>
        <v>3.2635643783296082</v>
      </c>
      <c r="AK205">
        <f t="shared" ref="AK205:AK268" si="132">(AD205+BA205)*N205</f>
        <v>25.929020653960041</v>
      </c>
      <c r="AL205">
        <f>IF(E205&gt;Assumptions!$B$9,0,SUMPRODUCT($P$2:$X$2,Assumptions!$A$43:$I$43)/$I$2*O204*K205)</f>
        <v>3.0587593650424409</v>
      </c>
      <c r="AM205">
        <f t="shared" ref="AM205:AM264" si="133">IF(B205-1=$AF$2,($J$2+Q204)*O204,0)</f>
        <v>0</v>
      </c>
      <c r="AN205">
        <f t="shared" ref="AN205:AN264" si="134">SUM(AJ205:AM205)</f>
        <v>32.25134439733209</v>
      </c>
      <c r="AO205">
        <f>IF(E205&gt;Assumptions!$B$9,0,($V$2+$X$2)/$I$2*O204*K205*Assumptions!$B$46)</f>
        <v>0</v>
      </c>
      <c r="AP205">
        <f>IF(B205&gt;$AF$2,0,AP204*(1+Assumptions!$B$52)^(1/12))</f>
        <v>1.1745248491703741</v>
      </c>
      <c r="AQ205" s="29">
        <f>IF(B205&gt;$AF$2,0,O204*Assumptions!$B$48/12*AP204+AR205*Assumptions!$B$50/12)</f>
        <v>10.301479566989487</v>
      </c>
      <c r="AR205" s="31">
        <f t="shared" ref="AR205:AR268" si="135">AS204+AW204+AT205-AL205+BA204*O204</f>
        <v>8659.2466572856592</v>
      </c>
      <c r="AS205">
        <f t="shared" si="118"/>
        <v>8668.681701548463</v>
      </c>
      <c r="AT205">
        <f t="shared" ref="AT205:AT264" si="136">$AI$2/$I$2*O204*K205</f>
        <v>10.958824363206299</v>
      </c>
      <c r="AU205" s="19">
        <f t="shared" ref="AU205:AU264" si="137">AS204+AW204+P205-AQ205-AO205-AL205</f>
        <v>8665.9539651589803</v>
      </c>
      <c r="AV205" s="19">
        <f t="shared" ref="AV205:AV264" si="138">AF204*O204+AT205-AL205</f>
        <v>8668.3038837171862</v>
      </c>
      <c r="AW205">
        <f t="shared" ref="AW205:AW268" si="139">IF(B205&gt;$AF$2,0,IF(MONTH(A205)=12,0,AW204+AU205*((1+AX205)^(1/12)-1)-AV205*((1+$K$2/100)^(1/12)-1)))</f>
        <v>-18.139832129568148</v>
      </c>
      <c r="AX205">
        <f>IF(B205&gt;$AF$2,0,HLOOKUP(YEAR(A205),Assumptions!$A$34:$AL$37,2,TRUE)/100)</f>
        <v>2.2103999999999999E-2</v>
      </c>
      <c r="AY205" s="32">
        <f>1/(1+HLOOKUP(YEAR(A205),Assumptions!$A$27:$AL$29,3,TRUE))^(1/12)</f>
        <v>0.99823744346557397</v>
      </c>
      <c r="AZ205" s="30">
        <f t="shared" si="119"/>
        <v>9161.0750745091846</v>
      </c>
      <c r="BA205">
        <f>IF(B205&gt;$AF$2,0,IF($E$2=0,(T205*Z205+(1-T205)*AA205)*$J$2*Assumptions!$B$20,0))</f>
        <v>0</v>
      </c>
    </row>
    <row r="206" spans="1:53" x14ac:dyDescent="0.25">
      <c r="A206" s="17">
        <f t="shared" si="120"/>
        <v>49034</v>
      </c>
      <c r="B206">
        <f t="shared" si="112"/>
        <v>425</v>
      </c>
      <c r="C206">
        <f t="shared" si="113"/>
        <v>35.333333333333336</v>
      </c>
      <c r="D206">
        <f t="shared" si="106"/>
        <v>0</v>
      </c>
      <c r="E206">
        <f t="shared" si="114"/>
        <v>58</v>
      </c>
      <c r="F206">
        <f>IF(C206&gt;=$H$2,0,VLOOKUP($E206,'Mortality Table'!$A$3:$C$128,2+AB$2,FALSE))</f>
        <v>3.3078000000000001E-3</v>
      </c>
      <c r="G206">
        <f>F206*Assumptions!$B$1</f>
        <v>3.5806935E-3</v>
      </c>
      <c r="H206">
        <f t="shared" si="121"/>
        <v>2.9888195316329913E-4</v>
      </c>
      <c r="I206">
        <f t="shared" si="107"/>
        <v>1.6243106409832053E-4</v>
      </c>
      <c r="J206">
        <f>HLOOKUP(C206,Assumptions!$A$6:$J$7,2,TRUE)</f>
        <v>3.5200000000000002E-2</v>
      </c>
      <c r="K206" s="18">
        <f t="shared" si="115"/>
        <v>1</v>
      </c>
      <c r="L206" s="18">
        <f t="shared" si="122"/>
        <v>8.3333333333333329E-2</v>
      </c>
      <c r="M206" s="18">
        <f t="shared" si="108"/>
        <v>2.9817501439168836E-3</v>
      </c>
      <c r="N206">
        <f t="shared" si="109"/>
        <v>1.622645693092473E-3</v>
      </c>
      <c r="O206" s="20">
        <f t="shared" si="110"/>
        <v>0.54248863524503632</v>
      </c>
      <c r="P206">
        <f>IF(B206&gt;$AF$2,0,O205*($E$2+IF(E206&lt;=Assumptions!$B$9,$D$2,0))/$I$2*K206)</f>
        <v>27.875885283047392</v>
      </c>
      <c r="Q206">
        <f t="shared" si="123"/>
        <v>26.1</v>
      </c>
      <c r="R206">
        <f>IF(B206&gt;$AF$2,0,IF($Y$2=1,(SUMIF('Mortality Tarif Male'!A:A,E207,'Mortality Tarif Male'!G:G)-SUMIF('Mortality Tarif Male'!A:A,$C$2+$H$2,'Mortality Tarif Male'!G:G)+SUMIF('Mortality Tarif Male'!A:A,$C$2+$H$2,'Mortality Tarif Male'!D:D))/SUMIF('Mortality Tarif Male'!A:A,E207,'Mortality Tarif Male'!D:D),(SUMIF('Mortality Tarif Female'!A:A,E207,'Mortality Tarif Female'!G:G)-SUMIF('Mortality Tarif Female'!A:A,$C$2+$H$2,'Mortality Tarif Female'!G:G)+SUMIF('Mortality Tarif Female'!A:A,$C$2+$H$2,'Mortality Tarif Female'!D:D))/SUMIF('Mortality Tarif Female'!A:A,E207,'Mortality Tarif Female'!D:D)))</f>
        <v>0.84362178121276754</v>
      </c>
      <c r="S206">
        <f>IF(B206&gt;=$AF$2,0,IF($Y$2=1,(SUMIF('Mortality Tarif Male'!A:A,E207+1,'Mortality Tarif Male'!G:G)-SUMIF('Mortality Tarif Male'!A:A,$C$2+$H$2,'Mortality Tarif Male'!G:G)+SUMIF('Mortality Tarif Male'!A:A,$C$2+$H$2,'Mortality Tarif Male'!D:D))/SUMIF('Mortality Tarif Male'!A:A,E207+1,'Mortality Tarif Male'!D:D),(SUMIF('Mortality Tarif Female'!A:A,E207+1,'Mortality Tarif Female'!G:G)-SUMIF('Mortality Tarif Female'!A:A,$C$2+$H$2,'Mortality Tarif Female'!G:G)+SUMIF('Mortality Tarif Female'!A:A,$C$2+$H$2,'Mortality Tarif Female'!D:D))/SUMIF('Mortality Tarif Female'!A:A,E207+1,'Mortality Tarif Female'!D:D)))</f>
        <v>0.8725744517148003</v>
      </c>
      <c r="T206">
        <f t="shared" si="124"/>
        <v>0.5833333333333357</v>
      </c>
      <c r="U206">
        <f t="shared" si="125"/>
        <v>0.85568539392194776</v>
      </c>
      <c r="V206">
        <f t="shared" si="126"/>
        <v>17113.707878438956</v>
      </c>
      <c r="W206">
        <f t="shared" si="116"/>
        <v>22.333388781362839</v>
      </c>
      <c r="X206">
        <f t="shared" si="117"/>
        <v>0</v>
      </c>
      <c r="Y206">
        <f>IF(B206&gt;$AF$2,0,IF(X207=0,0,(1-X207)*($E$2+IF(E206&lt;=Assumptions!$B$9,$D$2,0))/$I$2*1/(1+$AG$2)*1/(1+Assumptions!$B$11)))</f>
        <v>0</v>
      </c>
      <c r="Z206">
        <f>IF(B206&gt;$AF$2,0,IF($Y$2=1,(SUMIF('Mortality Tarif Male'!A:A,E207,'Mortality Tarif Male'!E:E)-SUMIF('Mortality Tarif Male'!A:A,$C$2+$H$2,'Mortality Tarif Male'!E:E))/SUMIF('Mortality Tarif Male'!A:A,E207,'Mortality Tarif Male'!D:D),(SUMIF('Mortality Tarif Female'!A:A,E207,'Mortality Tarif Female'!E:E)-SUMIF('Mortality Tarif Female'!A:A,$C$2+$H$2,'Mortality Tarif Female'!E:E))/SUMIF('Mortality Tarif Female'!A:A,E207,'Mortality Tarif Female'!D:D)))</f>
        <v>4.6347593267466118</v>
      </c>
      <c r="AA206">
        <f>IF(B206&gt;=$AF$2,0,IF($Y$2=1,(SUMIF('Mortality Tarif Male'!A:A,E207+1,'Mortality Tarif Male'!E:E)-SUMIF('Mortality Tarif Male'!A:A,$C$2+$H$2,'Mortality Tarif Male'!E:E))/SUMIF('Mortality Tarif Male'!A:A,E207+1,'Mortality Tarif Male'!D:D),(SUMIF('Mortality Tarif Female'!A:A,E207+1,'Mortality Tarif Female'!E:E)-SUMIF('Mortality Tarif Female'!A:A,$C$2+$H$2,'Mortality Tarif Female'!E:E))/SUMIF('Mortality Tarif Female'!A:A,E207+1,'Mortality Tarif Female'!D:D)))</f>
        <v>3.7769530556303295</v>
      </c>
      <c r="AB206">
        <f t="shared" si="111"/>
        <v>1030.0893984321319</v>
      </c>
      <c r="AC206">
        <f>IF(B206&gt;=$AF$2,0,MIN(1/3*(V206+W206+Y206-AB206),(V206-AB206),(T206*Z206+(1-T206)*AA206)*$AH$2*Assumptions!$B$22))</f>
        <v>111.4930641949514</v>
      </c>
      <c r="AD206">
        <f t="shared" si="127"/>
        <v>15994.458804593236</v>
      </c>
      <c r="AE206">
        <f t="shared" si="128"/>
        <v>16105.951868788188</v>
      </c>
      <c r="AF206">
        <f t="shared" si="129"/>
        <v>15994.458804593236</v>
      </c>
      <c r="AG206" s="26">
        <f t="shared" si="105"/>
        <v>0</v>
      </c>
      <c r="AH206" s="27">
        <f>IF(B206&gt;$AF$2,0,HLOOKUP(YEAR(A206),Assumptions!$A$34:$AL$37,4,TRUE)/100)</f>
        <v>1.6104E-2</v>
      </c>
      <c r="AI206">
        <f t="shared" si="130"/>
        <v>0</v>
      </c>
      <c r="AJ206">
        <f t="shared" si="131"/>
        <v>3.2528607327393764</v>
      </c>
      <c r="AK206">
        <f t="shared" si="132"/>
        <v>25.953339692618197</v>
      </c>
      <c r="AL206">
        <f>IF(E206&gt;Assumptions!$B$9,0,SUMPRODUCT($P$2:$X$2,Assumptions!$A$43:$I$43)/$I$2*O205*K206)</f>
        <v>3.0487274268319946</v>
      </c>
      <c r="AM206">
        <f t="shared" si="133"/>
        <v>0</v>
      </c>
      <c r="AN206">
        <f t="shared" si="134"/>
        <v>32.254927852189567</v>
      </c>
      <c r="AO206">
        <f>IF(E206&gt;Assumptions!$B$9,0,($V$2+$X$2)/$I$2*O205*K206*Assumptions!$B$46)</f>
        <v>0</v>
      </c>
      <c r="AP206">
        <f>IF(B206&gt;$AF$2,0,AP205*(1+Assumptions!$B$52)^(1/12))</f>
        <v>1.1754991622990076</v>
      </c>
      <c r="AQ206" s="29">
        <f>IF(B206&gt;$AF$2,0,O205*Assumptions!$B$48/12*AP205+AR206*Assumptions!$B$50/12)</f>
        <v>10.281143203165009</v>
      </c>
      <c r="AR206" s="31">
        <f t="shared" si="135"/>
        <v>8658.416024250726</v>
      </c>
      <c r="AS206">
        <f t="shared" si="118"/>
        <v>8676.8121283867404</v>
      </c>
      <c r="AT206">
        <f t="shared" si="136"/>
        <v>10.922882258663106</v>
      </c>
      <c r="AU206" s="19">
        <f t="shared" si="137"/>
        <v>8665.0878840719452</v>
      </c>
      <c r="AV206" s="19">
        <f t="shared" si="138"/>
        <v>8676.5558563802933</v>
      </c>
      <c r="AW206">
        <f t="shared" si="139"/>
        <v>-27.247707789145139</v>
      </c>
      <c r="AX206">
        <f>IF(B206&gt;$AF$2,0,HLOOKUP(YEAR(A206),Assumptions!$A$34:$AL$37,2,TRUE)/100)</f>
        <v>2.2103999999999999E-2</v>
      </c>
      <c r="AY206" s="32">
        <f>1/(1+HLOOKUP(YEAR(A206),Assumptions!$A$27:$AL$29,3,TRUE))^(1/12)</f>
        <v>0.99823744346557397</v>
      </c>
      <c r="AZ206" s="30">
        <f t="shared" si="119"/>
        <v>9162.5903115690307</v>
      </c>
      <c r="BA206">
        <f>IF(B206&gt;$AF$2,0,IF($E$2=0,(T206*Z206+(1-T206)*AA206)*$J$2*Assumptions!$B$20,0))</f>
        <v>0</v>
      </c>
    </row>
    <row r="207" spans="1:53" x14ac:dyDescent="0.25">
      <c r="A207" s="17">
        <f t="shared" si="120"/>
        <v>49064</v>
      </c>
      <c r="B207">
        <f t="shared" si="112"/>
        <v>426</v>
      </c>
      <c r="C207">
        <f t="shared" si="113"/>
        <v>35.416666666666664</v>
      </c>
      <c r="D207">
        <f t="shared" si="106"/>
        <v>0</v>
      </c>
      <c r="E207">
        <f t="shared" si="114"/>
        <v>58</v>
      </c>
      <c r="F207">
        <f>IF(C207&gt;=$H$2,0,VLOOKUP($E207,'Mortality Table'!$A$3:$C$128,2+AB$2,FALSE))</f>
        <v>3.3078000000000001E-3</v>
      </c>
      <c r="G207">
        <f>F207*Assumptions!$B$1</f>
        <v>3.5806935E-3</v>
      </c>
      <c r="H207">
        <f t="shared" si="121"/>
        <v>2.9888195316329913E-4</v>
      </c>
      <c r="I207">
        <f t="shared" si="107"/>
        <v>1.6189833229302898E-4</v>
      </c>
      <c r="J207">
        <f>HLOOKUP(C207,Assumptions!$A$6:$J$7,2,TRUE)</f>
        <v>3.5200000000000002E-2</v>
      </c>
      <c r="K207" s="18">
        <f t="shared" si="115"/>
        <v>1</v>
      </c>
      <c r="L207" s="18">
        <f t="shared" si="122"/>
        <v>8.3333333333333329E-2</v>
      </c>
      <c r="M207" s="18">
        <f t="shared" si="108"/>
        <v>2.9817501439168836E-3</v>
      </c>
      <c r="N207">
        <f t="shared" si="109"/>
        <v>1.6173238356372607E-3</v>
      </c>
      <c r="O207" s="20">
        <f t="shared" si="110"/>
        <v>0.54070941307710596</v>
      </c>
      <c r="P207">
        <f>IF(B207&gt;$AF$2,0,O206*($E$2+IF(E207&lt;=Assumptions!$B$9,$D$2,0))/$I$2*K207)</f>
        <v>27.784459601799938</v>
      </c>
      <c r="Q207">
        <f t="shared" si="123"/>
        <v>26.1</v>
      </c>
      <c r="R207">
        <f>IF(B207&gt;$AF$2,0,IF($Y$2=1,(SUMIF('Mortality Tarif Male'!A:A,E208,'Mortality Tarif Male'!G:G)-SUMIF('Mortality Tarif Male'!A:A,$C$2+$H$2,'Mortality Tarif Male'!G:G)+SUMIF('Mortality Tarif Male'!A:A,$C$2+$H$2,'Mortality Tarif Male'!D:D))/SUMIF('Mortality Tarif Male'!A:A,E208,'Mortality Tarif Male'!D:D),(SUMIF('Mortality Tarif Female'!A:A,E208,'Mortality Tarif Female'!G:G)-SUMIF('Mortality Tarif Female'!A:A,$C$2+$H$2,'Mortality Tarif Female'!G:G)+SUMIF('Mortality Tarif Female'!A:A,$C$2+$H$2,'Mortality Tarif Female'!D:D))/SUMIF('Mortality Tarif Female'!A:A,E208,'Mortality Tarif Female'!D:D)))</f>
        <v>0.84362178121276754</v>
      </c>
      <c r="S207">
        <f>IF(B207&gt;=$AF$2,0,IF($Y$2=1,(SUMIF('Mortality Tarif Male'!A:A,E208+1,'Mortality Tarif Male'!G:G)-SUMIF('Mortality Tarif Male'!A:A,$C$2+$H$2,'Mortality Tarif Male'!G:G)+SUMIF('Mortality Tarif Male'!A:A,$C$2+$H$2,'Mortality Tarif Male'!D:D))/SUMIF('Mortality Tarif Male'!A:A,E208+1,'Mortality Tarif Male'!D:D),(SUMIF('Mortality Tarif Female'!A:A,E208+1,'Mortality Tarif Female'!G:G)-SUMIF('Mortality Tarif Female'!A:A,$C$2+$H$2,'Mortality Tarif Female'!G:G)+SUMIF('Mortality Tarif Female'!A:A,$C$2+$H$2,'Mortality Tarif Female'!D:D))/SUMIF('Mortality Tarif Female'!A:A,E208+1,'Mortality Tarif Female'!D:D)))</f>
        <v>0.8725744517148003</v>
      </c>
      <c r="T207">
        <f t="shared" si="124"/>
        <v>0.5</v>
      </c>
      <c r="U207">
        <f t="shared" si="125"/>
        <v>0.85809811646378398</v>
      </c>
      <c r="V207">
        <f t="shared" si="126"/>
        <v>17161.962329275681</v>
      </c>
      <c r="W207">
        <f t="shared" si="116"/>
        <v>22.396360839704762</v>
      </c>
      <c r="X207">
        <f t="shared" si="117"/>
        <v>0</v>
      </c>
      <c r="Y207">
        <f>IF(B207&gt;$AF$2,0,IF(X208=0,0,(1-X208)*($E$2+IF(E207&lt;=Assumptions!$B$9,$D$2,0))/$I$2*1/(1+$AG$2)*1/(1+Assumptions!$B$11)))</f>
        <v>0</v>
      </c>
      <c r="Z207">
        <f>IF(B207&gt;$AF$2,0,IF($Y$2=1,(SUMIF('Mortality Tarif Male'!A:A,E208,'Mortality Tarif Male'!E:E)-SUMIF('Mortality Tarif Male'!A:A,$C$2+$H$2,'Mortality Tarif Male'!E:E))/SUMIF('Mortality Tarif Male'!A:A,E208,'Mortality Tarif Male'!D:D),(SUMIF('Mortality Tarif Female'!A:A,E208,'Mortality Tarif Female'!E:E)-SUMIF('Mortality Tarif Female'!A:A,$C$2+$H$2,'Mortality Tarif Female'!E:E))/SUMIF('Mortality Tarif Female'!A:A,E208,'Mortality Tarif Female'!D:D)))</f>
        <v>4.6347593267466118</v>
      </c>
      <c r="AA207">
        <f>IF(B207&gt;=$AF$2,0,IF($Y$2=1,(SUMIF('Mortality Tarif Male'!A:A,E208+1,'Mortality Tarif Male'!E:E)-SUMIF('Mortality Tarif Male'!A:A,$C$2+$H$2,'Mortality Tarif Male'!E:E))/SUMIF('Mortality Tarif Male'!A:A,E208+1,'Mortality Tarif Male'!D:D),(SUMIF('Mortality Tarif Female'!A:A,E208+1,'Mortality Tarif Female'!E:E)-SUMIF('Mortality Tarif Female'!A:A,$C$2+$H$2,'Mortality Tarif Female'!E:E))/SUMIF('Mortality Tarif Female'!A:A,E208+1,'Mortality Tarif Female'!D:D)))</f>
        <v>3.7769530556303295</v>
      </c>
      <c r="AB207">
        <f t="shared" si="111"/>
        <v>1012.874315848632</v>
      </c>
      <c r="AC207">
        <f>IF(B207&gt;=$AF$2,0,MIN(1/3*(V207+W207+Y207-AB207),(V207-AB207),(T207*Z207+(1-T207)*AA207)*$AH$2*Assumptions!$B$22))</f>
        <v>109.62976736797216</v>
      </c>
      <c r="AD207">
        <f t="shared" si="127"/>
        <v>16061.854606898782</v>
      </c>
      <c r="AE207">
        <f t="shared" si="128"/>
        <v>16171.484374266754</v>
      </c>
      <c r="AF207">
        <f t="shared" si="129"/>
        <v>16061.854606898782</v>
      </c>
      <c r="AG207" s="26">
        <f t="shared" si="105"/>
        <v>0</v>
      </c>
      <c r="AH207" s="27">
        <f>IF(B207&gt;$AF$2,0,HLOOKUP(YEAR(A207),Assumptions!$A$34:$AL$37,4,TRUE)/100)</f>
        <v>1.6104E-2</v>
      </c>
      <c r="AI207">
        <f t="shared" si="130"/>
        <v>0</v>
      </c>
      <c r="AJ207">
        <f t="shared" si="131"/>
        <v>3.2421921923334271</v>
      </c>
      <c r="AK207">
        <f t="shared" si="132"/>
        <v>25.977220300277544</v>
      </c>
      <c r="AL207">
        <f>IF(E207&gt;Assumptions!$B$9,0,SUMPRODUCT($P$2:$X$2,Assumptions!$A$43:$I$43)/$I$2*O206*K207)</f>
        <v>3.0387283907796609</v>
      </c>
      <c r="AM207">
        <f t="shared" si="133"/>
        <v>0</v>
      </c>
      <c r="AN207">
        <f t="shared" si="134"/>
        <v>32.258140883390631</v>
      </c>
      <c r="AO207">
        <f>IF(E207&gt;Assumptions!$B$9,0,($V$2+$X$2)/$I$2*O206*K207*Assumptions!$B$46)</f>
        <v>0</v>
      </c>
      <c r="AP207">
        <f>IF(B207&gt;$AF$2,0,AP206*(1+Assumptions!$B$52)^(1/12))</f>
        <v>1.1764742836575166</v>
      </c>
      <c r="AQ207" s="29">
        <f>IF(B207&gt;$AF$2,0,O206*Assumptions!$B$48/12*AP206+AR207*Assumptions!$B$50/12)</f>
        <v>10.26081450892492</v>
      </c>
      <c r="AR207" s="31">
        <f t="shared" si="135"/>
        <v>8657.412750241725</v>
      </c>
      <c r="AS207">
        <f t="shared" si="118"/>
        <v>8684.7959774260507</v>
      </c>
      <c r="AT207">
        <f t="shared" si="136"/>
        <v>10.887058034910424</v>
      </c>
      <c r="AU207" s="19">
        <f t="shared" si="137"/>
        <v>8664.0493372996898</v>
      </c>
      <c r="AV207" s="19">
        <f t="shared" si="138"/>
        <v>8684.6604580308704</v>
      </c>
      <c r="AW207">
        <f t="shared" si="139"/>
        <v>-36.380744831096031</v>
      </c>
      <c r="AX207">
        <f>IF(B207&gt;$AF$2,0,HLOOKUP(YEAR(A207),Assumptions!$A$34:$AL$37,2,TRUE)/100)</f>
        <v>2.2103999999999999E-2</v>
      </c>
      <c r="AY207" s="32">
        <f>1/(1+HLOOKUP(YEAR(A207),Assumptions!$A$27:$AL$29,3,TRUE))^(1/12)</f>
        <v>0.99823744346557397</v>
      </c>
      <c r="AZ207" s="30">
        <f t="shared" si="119"/>
        <v>9164.0339140172055</v>
      </c>
      <c r="BA207">
        <f>IF(B207&gt;$AF$2,0,IF($E$2=0,(T207*Z207+(1-T207)*AA207)*$J$2*Assumptions!$B$20,0))</f>
        <v>0</v>
      </c>
    </row>
    <row r="208" spans="1:53" x14ac:dyDescent="0.25">
      <c r="A208" s="17">
        <f t="shared" si="120"/>
        <v>49095</v>
      </c>
      <c r="B208">
        <f t="shared" si="112"/>
        <v>427</v>
      </c>
      <c r="C208">
        <f t="shared" si="113"/>
        <v>35.5</v>
      </c>
      <c r="D208">
        <f t="shared" si="106"/>
        <v>0</v>
      </c>
      <c r="E208">
        <f t="shared" si="114"/>
        <v>58</v>
      </c>
      <c r="F208">
        <f>IF(C208&gt;=$H$2,0,VLOOKUP($E208,'Mortality Table'!$A$3:$C$128,2+AB$2,FALSE))</f>
        <v>3.3078000000000001E-3</v>
      </c>
      <c r="G208">
        <f>F208*Assumptions!$B$1</f>
        <v>3.5806935E-3</v>
      </c>
      <c r="H208">
        <f t="shared" si="121"/>
        <v>2.9888195316329913E-4</v>
      </c>
      <c r="I208">
        <f t="shared" si="107"/>
        <v>1.6136734771003103E-4</v>
      </c>
      <c r="J208">
        <f>HLOOKUP(C208,Assumptions!$A$6:$J$7,2,TRUE)</f>
        <v>3.5200000000000002E-2</v>
      </c>
      <c r="K208" s="18">
        <f t="shared" si="115"/>
        <v>1</v>
      </c>
      <c r="L208" s="18">
        <f t="shared" si="122"/>
        <v>8.3333333333333329E-2</v>
      </c>
      <c r="M208" s="18">
        <f t="shared" si="108"/>
        <v>2.9817501439168836E-3</v>
      </c>
      <c r="N208">
        <f t="shared" si="109"/>
        <v>1.6120194324956388E-3</v>
      </c>
      <c r="O208" s="20">
        <f t="shared" si="110"/>
        <v>0.53893602629690029</v>
      </c>
      <c r="P208">
        <f>IF(B208&gt;$AF$2,0,O207*($E$2+IF(E208&lt;=Assumptions!$B$9,$D$2,0))/$I$2*K208)</f>
        <v>27.693333773099109</v>
      </c>
      <c r="Q208">
        <f t="shared" si="123"/>
        <v>26.1</v>
      </c>
      <c r="R208">
        <f>IF(B208&gt;$AF$2,0,IF($Y$2=1,(SUMIF('Mortality Tarif Male'!A:A,E209,'Mortality Tarif Male'!G:G)-SUMIF('Mortality Tarif Male'!A:A,$C$2+$H$2,'Mortality Tarif Male'!G:G)+SUMIF('Mortality Tarif Male'!A:A,$C$2+$H$2,'Mortality Tarif Male'!D:D))/SUMIF('Mortality Tarif Male'!A:A,E209,'Mortality Tarif Male'!D:D),(SUMIF('Mortality Tarif Female'!A:A,E209,'Mortality Tarif Female'!G:G)-SUMIF('Mortality Tarif Female'!A:A,$C$2+$H$2,'Mortality Tarif Female'!G:G)+SUMIF('Mortality Tarif Female'!A:A,$C$2+$H$2,'Mortality Tarif Female'!D:D))/SUMIF('Mortality Tarif Female'!A:A,E209,'Mortality Tarif Female'!D:D)))</f>
        <v>0.84362178121276754</v>
      </c>
      <c r="S208">
        <f>IF(B208&gt;=$AF$2,0,IF($Y$2=1,(SUMIF('Mortality Tarif Male'!A:A,E209+1,'Mortality Tarif Male'!G:G)-SUMIF('Mortality Tarif Male'!A:A,$C$2+$H$2,'Mortality Tarif Male'!G:G)+SUMIF('Mortality Tarif Male'!A:A,$C$2+$H$2,'Mortality Tarif Male'!D:D))/SUMIF('Mortality Tarif Male'!A:A,E209+1,'Mortality Tarif Male'!D:D),(SUMIF('Mortality Tarif Female'!A:A,E209+1,'Mortality Tarif Female'!G:G)-SUMIF('Mortality Tarif Female'!A:A,$C$2+$H$2,'Mortality Tarif Female'!G:G)+SUMIF('Mortality Tarif Female'!A:A,$C$2+$H$2,'Mortality Tarif Female'!D:D))/SUMIF('Mortality Tarif Female'!A:A,E209+1,'Mortality Tarif Female'!D:D)))</f>
        <v>0.8725744517148003</v>
      </c>
      <c r="T208">
        <f t="shared" si="124"/>
        <v>0.4166666666666643</v>
      </c>
      <c r="U208">
        <f t="shared" si="125"/>
        <v>0.86051083900561998</v>
      </c>
      <c r="V208">
        <f t="shared" si="126"/>
        <v>17210.216780112398</v>
      </c>
      <c r="W208">
        <f t="shared" si="116"/>
        <v>22.459332898046682</v>
      </c>
      <c r="X208">
        <f t="shared" si="117"/>
        <v>0</v>
      </c>
      <c r="Y208">
        <f>IF(B208&gt;$AF$2,0,IF(X209=0,0,(1-X209)*($E$2+IF(E208&lt;=Assumptions!$B$9,$D$2,0))/$I$2*1/(1+$AG$2)*1/(1+Assumptions!$B$11)))</f>
        <v>0</v>
      </c>
      <c r="Z208">
        <f>IF(B208&gt;$AF$2,0,IF($Y$2=1,(SUMIF('Mortality Tarif Male'!A:A,E209,'Mortality Tarif Male'!E:E)-SUMIF('Mortality Tarif Male'!A:A,$C$2+$H$2,'Mortality Tarif Male'!E:E))/SUMIF('Mortality Tarif Male'!A:A,E209,'Mortality Tarif Male'!D:D),(SUMIF('Mortality Tarif Female'!A:A,E209,'Mortality Tarif Female'!E:E)-SUMIF('Mortality Tarif Female'!A:A,$C$2+$H$2,'Mortality Tarif Female'!E:E))/SUMIF('Mortality Tarif Female'!A:A,E209,'Mortality Tarif Female'!D:D)))</f>
        <v>4.6347593267466118</v>
      </c>
      <c r="AA208">
        <f>IF(B208&gt;=$AF$2,0,IF($Y$2=1,(SUMIF('Mortality Tarif Male'!A:A,E209+1,'Mortality Tarif Male'!E:E)-SUMIF('Mortality Tarif Male'!A:A,$C$2+$H$2,'Mortality Tarif Male'!E:E))/SUMIF('Mortality Tarif Male'!A:A,E209+1,'Mortality Tarif Male'!D:D),(SUMIF('Mortality Tarif Female'!A:A,E209+1,'Mortality Tarif Female'!E:E)-SUMIF('Mortality Tarif Female'!A:A,$C$2+$H$2,'Mortality Tarif Female'!E:E))/SUMIF('Mortality Tarif Female'!A:A,E209+1,'Mortality Tarif Female'!D:D)))</f>
        <v>3.7769530556303295</v>
      </c>
      <c r="AB208">
        <f t="shared" si="111"/>
        <v>995.65923326513257</v>
      </c>
      <c r="AC208">
        <f>IF(B208&gt;=$AF$2,0,MIN(1/3*(V208+W208+Y208-AB208),(V208-AB208),(T208*Z208+(1-T208)*AA208)*$AH$2*Assumptions!$B$22))</f>
        <v>107.76647054099296</v>
      </c>
      <c r="AD208">
        <f t="shared" si="127"/>
        <v>16129.25040920432</v>
      </c>
      <c r="AE208">
        <f t="shared" si="128"/>
        <v>16237.016879745313</v>
      </c>
      <c r="AF208">
        <f t="shared" si="129"/>
        <v>16129.25040920432</v>
      </c>
      <c r="AG208" s="26">
        <f t="shared" si="105"/>
        <v>0</v>
      </c>
      <c r="AH208" s="27">
        <f>IF(B208&gt;$AF$2,0,HLOOKUP(YEAR(A208),Assumptions!$A$34:$AL$37,4,TRUE)/100)</f>
        <v>1.6104E-2</v>
      </c>
      <c r="AI208">
        <f t="shared" si="130"/>
        <v>0</v>
      </c>
      <c r="AJ208">
        <f t="shared" si="131"/>
        <v>3.2315586419758522</v>
      </c>
      <c r="AK208">
        <f t="shared" si="132"/>
        <v>26.000665091225599</v>
      </c>
      <c r="AL208">
        <f>IF(E208&gt;Assumptions!$B$9,0,SUMPRODUCT($P$2:$X$2,Assumptions!$A$43:$I$43)/$I$2*O207*K208)</f>
        <v>3.0287621489748857</v>
      </c>
      <c r="AM208">
        <f t="shared" si="133"/>
        <v>0</v>
      </c>
      <c r="AN208">
        <f t="shared" si="134"/>
        <v>32.260985882176335</v>
      </c>
      <c r="AO208">
        <f>IF(E208&gt;Assumptions!$B$9,0,($V$2+$X$2)/$I$2*O207*K208*Assumptions!$B$46)</f>
        <v>0</v>
      </c>
      <c r="AP208">
        <f>IF(B208&gt;$AF$2,0,AP207*(1+Assumptions!$B$52)^(1/12))</f>
        <v>1.1774502139163585</v>
      </c>
      <c r="AQ208" s="29">
        <f>IF(B208&gt;$AF$2,0,O207*Assumptions!$B$48/12*AP207+AR208*Assumptions!$B$50/12)</f>
        <v>10.240493601518896</v>
      </c>
      <c r="AR208" s="31">
        <f t="shared" si="135"/>
        <v>8656.2378217513087</v>
      </c>
      <c r="AS208">
        <f t="shared" si="118"/>
        <v>8692.6341226842287</v>
      </c>
      <c r="AT208">
        <f t="shared" si="136"/>
        <v>10.8513513053298</v>
      </c>
      <c r="AU208" s="19">
        <f t="shared" si="137"/>
        <v>8662.839310617559</v>
      </c>
      <c r="AV208" s="19">
        <f t="shared" si="138"/>
        <v>8692.618566582405</v>
      </c>
      <c r="AW208">
        <f t="shared" si="139"/>
        <v>-45.538835399000995</v>
      </c>
      <c r="AX208">
        <f>IF(B208&gt;$AF$2,0,HLOOKUP(YEAR(A208),Assumptions!$A$34:$AL$37,2,TRUE)/100)</f>
        <v>2.2103999999999999E-2</v>
      </c>
      <c r="AY208" s="32">
        <f>1/(1+HLOOKUP(YEAR(A208),Assumptions!$A$27:$AL$29,3,TRUE))^(1/12)</f>
        <v>0.99823744346557397</v>
      </c>
      <c r="AZ208" s="30">
        <f t="shared" si="119"/>
        <v>9165.4064154688494</v>
      </c>
      <c r="BA208">
        <f>IF(B208&gt;$AF$2,0,IF($E$2=0,(T208*Z208+(1-T208)*AA208)*$J$2*Assumptions!$B$20,0))</f>
        <v>0</v>
      </c>
    </row>
    <row r="209" spans="1:53" x14ac:dyDescent="0.25">
      <c r="A209" s="17">
        <f t="shared" si="120"/>
        <v>49125</v>
      </c>
      <c r="B209">
        <f t="shared" si="112"/>
        <v>428</v>
      </c>
      <c r="C209">
        <f t="shared" si="113"/>
        <v>35.583333333333336</v>
      </c>
      <c r="D209">
        <f t="shared" si="106"/>
        <v>0</v>
      </c>
      <c r="E209">
        <f t="shared" si="114"/>
        <v>58</v>
      </c>
      <c r="F209">
        <f>IF(C209&gt;=$H$2,0,VLOOKUP($E209,'Mortality Table'!$A$3:$C$128,2+AB$2,FALSE))</f>
        <v>3.3078000000000001E-3</v>
      </c>
      <c r="G209">
        <f>F209*Assumptions!$B$1</f>
        <v>3.5806935E-3</v>
      </c>
      <c r="H209">
        <f t="shared" si="121"/>
        <v>2.9888195316329913E-4</v>
      </c>
      <c r="I209">
        <f t="shared" si="107"/>
        <v>1.6083810461889027E-4</v>
      </c>
      <c r="J209">
        <f>HLOOKUP(C209,Assumptions!$A$6:$J$7,2,TRUE)</f>
        <v>3.5200000000000002E-2</v>
      </c>
      <c r="K209" s="18">
        <f t="shared" si="115"/>
        <v>1</v>
      </c>
      <c r="L209" s="18">
        <f t="shared" si="122"/>
        <v>8.3333333333333329E-2</v>
      </c>
      <c r="M209" s="18">
        <f t="shared" si="108"/>
        <v>2.9817501439168836E-3</v>
      </c>
      <c r="N209">
        <f t="shared" si="109"/>
        <v>1.6067324264219815E-3</v>
      </c>
      <c r="O209" s="20">
        <f t="shared" si="110"/>
        <v>0.53716845576585948</v>
      </c>
      <c r="P209">
        <f>IF(B209&gt;$AF$2,0,O208*($E$2+IF(E209&lt;=Assumptions!$B$9,$D$2,0))/$I$2*K209)</f>
        <v>27.602506813506238</v>
      </c>
      <c r="Q209">
        <f t="shared" si="123"/>
        <v>26.1</v>
      </c>
      <c r="R209">
        <f>IF(B209&gt;$AF$2,0,IF($Y$2=1,(SUMIF('Mortality Tarif Male'!A:A,E210,'Mortality Tarif Male'!G:G)-SUMIF('Mortality Tarif Male'!A:A,$C$2+$H$2,'Mortality Tarif Male'!G:G)+SUMIF('Mortality Tarif Male'!A:A,$C$2+$H$2,'Mortality Tarif Male'!D:D))/SUMIF('Mortality Tarif Male'!A:A,E210,'Mortality Tarif Male'!D:D),(SUMIF('Mortality Tarif Female'!A:A,E210,'Mortality Tarif Female'!G:G)-SUMIF('Mortality Tarif Female'!A:A,$C$2+$H$2,'Mortality Tarif Female'!G:G)+SUMIF('Mortality Tarif Female'!A:A,$C$2+$H$2,'Mortality Tarif Female'!D:D))/SUMIF('Mortality Tarif Female'!A:A,E210,'Mortality Tarif Female'!D:D)))</f>
        <v>0.84362178121276754</v>
      </c>
      <c r="S209">
        <f>IF(B209&gt;=$AF$2,0,IF($Y$2=1,(SUMIF('Mortality Tarif Male'!A:A,E210+1,'Mortality Tarif Male'!G:G)-SUMIF('Mortality Tarif Male'!A:A,$C$2+$H$2,'Mortality Tarif Male'!G:G)+SUMIF('Mortality Tarif Male'!A:A,$C$2+$H$2,'Mortality Tarif Male'!D:D))/SUMIF('Mortality Tarif Male'!A:A,E210+1,'Mortality Tarif Male'!D:D),(SUMIF('Mortality Tarif Female'!A:A,E210+1,'Mortality Tarif Female'!G:G)-SUMIF('Mortality Tarif Female'!A:A,$C$2+$H$2,'Mortality Tarif Female'!G:G)+SUMIF('Mortality Tarif Female'!A:A,$C$2+$H$2,'Mortality Tarif Female'!D:D))/SUMIF('Mortality Tarif Female'!A:A,E210+1,'Mortality Tarif Female'!D:D)))</f>
        <v>0.8725744517148003</v>
      </c>
      <c r="T209">
        <f t="shared" si="124"/>
        <v>0.3333333333333357</v>
      </c>
      <c r="U209">
        <f t="shared" si="125"/>
        <v>0.86292356154745598</v>
      </c>
      <c r="V209">
        <f t="shared" si="126"/>
        <v>17258.471230949119</v>
      </c>
      <c r="W209">
        <f t="shared" si="116"/>
        <v>22.522304956388602</v>
      </c>
      <c r="X209">
        <f t="shared" si="117"/>
        <v>0</v>
      </c>
      <c r="Y209">
        <f>IF(B209&gt;$AF$2,0,IF(X210=0,0,(1-X210)*($E$2+IF(E209&lt;=Assumptions!$B$9,$D$2,0))/$I$2*1/(1+$AG$2)*1/(1+Assumptions!$B$11)))</f>
        <v>0</v>
      </c>
      <c r="Z209">
        <f>IF(B209&gt;$AF$2,0,IF($Y$2=1,(SUMIF('Mortality Tarif Male'!A:A,E210,'Mortality Tarif Male'!E:E)-SUMIF('Mortality Tarif Male'!A:A,$C$2+$H$2,'Mortality Tarif Male'!E:E))/SUMIF('Mortality Tarif Male'!A:A,E210,'Mortality Tarif Male'!D:D),(SUMIF('Mortality Tarif Female'!A:A,E210,'Mortality Tarif Female'!E:E)-SUMIF('Mortality Tarif Female'!A:A,$C$2+$H$2,'Mortality Tarif Female'!E:E))/SUMIF('Mortality Tarif Female'!A:A,E210,'Mortality Tarif Female'!D:D)))</f>
        <v>4.6347593267466118</v>
      </c>
      <c r="AA209">
        <f>IF(B209&gt;=$AF$2,0,IF($Y$2=1,(SUMIF('Mortality Tarif Male'!A:A,E210+1,'Mortality Tarif Male'!E:E)-SUMIF('Mortality Tarif Male'!A:A,$C$2+$H$2,'Mortality Tarif Male'!E:E))/SUMIF('Mortality Tarif Male'!A:A,E210+1,'Mortality Tarif Male'!D:D),(SUMIF('Mortality Tarif Female'!A:A,E210+1,'Mortality Tarif Female'!E:E)-SUMIF('Mortality Tarif Female'!A:A,$C$2+$H$2,'Mortality Tarif Female'!E:E))/SUMIF('Mortality Tarif Female'!A:A,E210+1,'Mortality Tarif Female'!D:D)))</f>
        <v>3.7769530556303295</v>
      </c>
      <c r="AB209">
        <f t="shared" si="111"/>
        <v>978.44415068163414</v>
      </c>
      <c r="AC209">
        <f>IF(B209&gt;=$AF$2,0,MIN(1/3*(V209+W209+Y209-AB209),(V209-AB209),(T209*Z209+(1-T209)*AA209)*$AH$2*Assumptions!$B$22))</f>
        <v>105.9031737140139</v>
      </c>
      <c r="AD209">
        <f t="shared" si="127"/>
        <v>16196.64621150986</v>
      </c>
      <c r="AE209">
        <f t="shared" si="128"/>
        <v>16302.549385223874</v>
      </c>
      <c r="AF209">
        <f t="shared" si="129"/>
        <v>16196.64621150986</v>
      </c>
      <c r="AG209" s="26">
        <f t="shared" si="105"/>
        <v>0</v>
      </c>
      <c r="AH209" s="27">
        <f>IF(B209&gt;$AF$2,0,HLOOKUP(YEAR(A209),Assumptions!$A$34:$AL$37,4,TRUE)/100)</f>
        <v>1.6104E-2</v>
      </c>
      <c r="AI209">
        <f t="shared" si="130"/>
        <v>0</v>
      </c>
      <c r="AJ209">
        <f t="shared" si="131"/>
        <v>3.2209599669083584</v>
      </c>
      <c r="AK209">
        <f t="shared" si="132"/>
        <v>26.023676667317634</v>
      </c>
      <c r="AL209">
        <f>IF(E209&gt;Assumptions!$B$9,0,SUMPRODUCT($P$2:$X$2,Assumptions!$A$43:$I$43)/$I$2*O208*K209)</f>
        <v>3.0188285938610346</v>
      </c>
      <c r="AM209">
        <f t="shared" si="133"/>
        <v>0</v>
      </c>
      <c r="AN209">
        <f t="shared" si="134"/>
        <v>32.263465228087028</v>
      </c>
      <c r="AO209">
        <f>IF(E209&gt;Assumptions!$B$9,0,($V$2+$X$2)/$I$2*O208*K209*Assumptions!$B$46)</f>
        <v>0</v>
      </c>
      <c r="AP209">
        <f>IF(B209&gt;$AF$2,0,AP208*(1+Assumptions!$B$52)^(1/12))</f>
        <v>1.1784269537465473</v>
      </c>
      <c r="AQ209" s="29">
        <f>IF(B209&gt;$AF$2,0,O208*Assumptions!$B$48/12*AP208+AR209*Assumptions!$B$50/12)</f>
        <v>10.220180597310543</v>
      </c>
      <c r="AR209" s="31">
        <f t="shared" si="135"/>
        <v>8654.8922203759394</v>
      </c>
      <c r="AS209">
        <f t="shared" si="118"/>
        <v>8700.327434022709</v>
      </c>
      <c r="AT209">
        <f t="shared" si="136"/>
        <v>10.815761684570793</v>
      </c>
      <c r="AU209" s="19">
        <f t="shared" si="137"/>
        <v>8661.4587849075633</v>
      </c>
      <c r="AV209" s="19">
        <f t="shared" si="138"/>
        <v>8700.4310557749395</v>
      </c>
      <c r="AW209">
        <f t="shared" si="139"/>
        <v>-54.721872356124848</v>
      </c>
      <c r="AX209">
        <f>IF(B209&gt;$AF$2,0,HLOOKUP(YEAR(A209),Assumptions!$A$34:$AL$37,2,TRUE)/100)</f>
        <v>2.2103999999999999E-2</v>
      </c>
      <c r="AY209" s="32">
        <f>1/(1+HLOOKUP(YEAR(A209),Assumptions!$A$27:$AL$29,3,TRUE))^(1/12)</f>
        <v>0.99823744346557397</v>
      </c>
      <c r="AZ209" s="30">
        <f t="shared" si="119"/>
        <v>9166.7083470019479</v>
      </c>
      <c r="BA209">
        <f>IF(B209&gt;$AF$2,0,IF($E$2=0,(T209*Z209+(1-T209)*AA209)*$J$2*Assumptions!$B$20,0))</f>
        <v>0</v>
      </c>
    </row>
    <row r="210" spans="1:53" x14ac:dyDescent="0.25">
      <c r="A210" s="17">
        <f t="shared" si="120"/>
        <v>49156</v>
      </c>
      <c r="B210">
        <f t="shared" si="112"/>
        <v>429</v>
      </c>
      <c r="C210">
        <f t="shared" si="113"/>
        <v>35.666666666666664</v>
      </c>
      <c r="D210">
        <f t="shared" si="106"/>
        <v>0</v>
      </c>
      <c r="E210">
        <f t="shared" si="114"/>
        <v>58</v>
      </c>
      <c r="F210">
        <f>IF(C210&gt;=$H$2,0,VLOOKUP($E210,'Mortality Table'!$A$3:$C$128,2+AB$2,FALSE))</f>
        <v>3.3078000000000001E-3</v>
      </c>
      <c r="G210">
        <f>F210*Assumptions!$B$1</f>
        <v>3.5806935E-3</v>
      </c>
      <c r="H210">
        <f t="shared" si="121"/>
        <v>2.9888195316329913E-4</v>
      </c>
      <c r="I210">
        <f t="shared" si="107"/>
        <v>1.6031059730796466E-4</v>
      </c>
      <c r="J210">
        <f>HLOOKUP(C210,Assumptions!$A$6:$J$7,2,TRUE)</f>
        <v>3.5200000000000002E-2</v>
      </c>
      <c r="K210" s="18">
        <f t="shared" si="115"/>
        <v>1</v>
      </c>
      <c r="L210" s="18">
        <f t="shared" si="122"/>
        <v>8.3333333333333329E-2</v>
      </c>
      <c r="M210" s="18">
        <f t="shared" si="108"/>
        <v>2.9817501439168836E-3</v>
      </c>
      <c r="N210">
        <f t="shared" si="109"/>
        <v>1.6014627603584131E-3</v>
      </c>
      <c r="O210" s="20">
        <f t="shared" si="110"/>
        <v>0.53540668240819311</v>
      </c>
      <c r="P210">
        <f>IF(B210&gt;$AF$2,0,O209*($E$2+IF(E210&lt;=Assumptions!$B$9,$D$2,0))/$I$2*K210)</f>
        <v>27.511977742808099</v>
      </c>
      <c r="Q210">
        <f t="shared" si="123"/>
        <v>26.1</v>
      </c>
      <c r="R210">
        <f>IF(B210&gt;$AF$2,0,IF($Y$2=1,(SUMIF('Mortality Tarif Male'!A:A,E211,'Mortality Tarif Male'!G:G)-SUMIF('Mortality Tarif Male'!A:A,$C$2+$H$2,'Mortality Tarif Male'!G:G)+SUMIF('Mortality Tarif Male'!A:A,$C$2+$H$2,'Mortality Tarif Male'!D:D))/SUMIF('Mortality Tarif Male'!A:A,E211,'Mortality Tarif Male'!D:D),(SUMIF('Mortality Tarif Female'!A:A,E211,'Mortality Tarif Female'!G:G)-SUMIF('Mortality Tarif Female'!A:A,$C$2+$H$2,'Mortality Tarif Female'!G:G)+SUMIF('Mortality Tarif Female'!A:A,$C$2+$H$2,'Mortality Tarif Female'!D:D))/SUMIF('Mortality Tarif Female'!A:A,E211,'Mortality Tarif Female'!D:D)))</f>
        <v>0.84362178121276754</v>
      </c>
      <c r="S210">
        <f>IF(B210&gt;=$AF$2,0,IF($Y$2=1,(SUMIF('Mortality Tarif Male'!A:A,E211+1,'Mortality Tarif Male'!G:G)-SUMIF('Mortality Tarif Male'!A:A,$C$2+$H$2,'Mortality Tarif Male'!G:G)+SUMIF('Mortality Tarif Male'!A:A,$C$2+$H$2,'Mortality Tarif Male'!D:D))/SUMIF('Mortality Tarif Male'!A:A,E211+1,'Mortality Tarif Male'!D:D),(SUMIF('Mortality Tarif Female'!A:A,E211+1,'Mortality Tarif Female'!G:G)-SUMIF('Mortality Tarif Female'!A:A,$C$2+$H$2,'Mortality Tarif Female'!G:G)+SUMIF('Mortality Tarif Female'!A:A,$C$2+$H$2,'Mortality Tarif Female'!D:D))/SUMIF('Mortality Tarif Female'!A:A,E211+1,'Mortality Tarif Female'!D:D)))</f>
        <v>0.8725744517148003</v>
      </c>
      <c r="T210">
        <f t="shared" si="124"/>
        <v>0.25</v>
      </c>
      <c r="U210">
        <f t="shared" si="125"/>
        <v>0.86533628408929208</v>
      </c>
      <c r="V210">
        <f t="shared" si="126"/>
        <v>17306.725681785843</v>
      </c>
      <c r="W210">
        <f t="shared" si="116"/>
        <v>22.585277014730526</v>
      </c>
      <c r="X210">
        <f t="shared" si="117"/>
        <v>0</v>
      </c>
      <c r="Y210">
        <f>IF(B210&gt;$AF$2,0,IF(X211=0,0,(1-X211)*($E$2+IF(E210&lt;=Assumptions!$B$9,$D$2,0))/$I$2*1/(1+$AG$2)*1/(1+Assumptions!$B$11)))</f>
        <v>0</v>
      </c>
      <c r="Z210">
        <f>IF(B210&gt;$AF$2,0,IF($Y$2=1,(SUMIF('Mortality Tarif Male'!A:A,E211,'Mortality Tarif Male'!E:E)-SUMIF('Mortality Tarif Male'!A:A,$C$2+$H$2,'Mortality Tarif Male'!E:E))/SUMIF('Mortality Tarif Male'!A:A,E211,'Mortality Tarif Male'!D:D),(SUMIF('Mortality Tarif Female'!A:A,E211,'Mortality Tarif Female'!E:E)-SUMIF('Mortality Tarif Female'!A:A,$C$2+$H$2,'Mortality Tarif Female'!E:E))/SUMIF('Mortality Tarif Female'!A:A,E211,'Mortality Tarif Female'!D:D)))</f>
        <v>4.6347593267466118</v>
      </c>
      <c r="AA210">
        <f>IF(B210&gt;=$AF$2,0,IF($Y$2=1,(SUMIF('Mortality Tarif Male'!A:A,E211+1,'Mortality Tarif Male'!E:E)-SUMIF('Mortality Tarif Male'!A:A,$C$2+$H$2,'Mortality Tarif Male'!E:E))/SUMIF('Mortality Tarif Male'!A:A,E211+1,'Mortality Tarif Male'!D:D),(SUMIF('Mortality Tarif Female'!A:A,E211+1,'Mortality Tarif Female'!E:E)-SUMIF('Mortality Tarif Female'!A:A,$C$2+$H$2,'Mortality Tarif Female'!E:E))/SUMIF('Mortality Tarif Female'!A:A,E211+1,'Mortality Tarif Female'!D:D)))</f>
        <v>3.7769530556303295</v>
      </c>
      <c r="AB210">
        <f t="shared" si="111"/>
        <v>961.22906809813446</v>
      </c>
      <c r="AC210">
        <f>IF(B210&gt;=$AF$2,0,MIN(1/3*(V210+W210+Y210-AB210),(V210-AB210),(T210*Z210+(1-T210)*AA210)*$AH$2*Assumptions!$B$22))</f>
        <v>104.03987688703468</v>
      </c>
      <c r="AD210">
        <f t="shared" si="127"/>
        <v>16264.042013815406</v>
      </c>
      <c r="AE210">
        <f t="shared" si="128"/>
        <v>16368.08189070244</v>
      </c>
      <c r="AF210">
        <f t="shared" si="129"/>
        <v>16264.042013815406</v>
      </c>
      <c r="AG210" s="26">
        <f t="shared" si="105"/>
        <v>0</v>
      </c>
      <c r="AH210" s="27">
        <f>IF(B210&gt;$AF$2,0,HLOOKUP(YEAR(A210),Assumptions!$A$34:$AL$37,4,TRUE)/100)</f>
        <v>1.6104E-2</v>
      </c>
      <c r="AI210">
        <f t="shared" si="130"/>
        <v>0</v>
      </c>
      <c r="AJ210">
        <f t="shared" si="131"/>
        <v>3.2103960527490307</v>
      </c>
      <c r="AK210">
        <f t="shared" si="132"/>
        <v>26.046257618030022</v>
      </c>
      <c r="AL210">
        <f>IF(E210&gt;Assumptions!$B$9,0,SUMPRODUCT($P$2:$X$2,Assumptions!$A$43:$I$43)/$I$2*O209*K210)</f>
        <v>3.0089276182342308</v>
      </c>
      <c r="AM210">
        <f t="shared" si="133"/>
        <v>0</v>
      </c>
      <c r="AN210">
        <f t="shared" si="134"/>
        <v>32.265581289013284</v>
      </c>
      <c r="AO210">
        <f>IF(E210&gt;Assumptions!$B$9,0,($V$2+$X$2)/$I$2*O209*K210*Assumptions!$B$46)</f>
        <v>0</v>
      </c>
      <c r="AP210">
        <f>IF(B210&gt;$AF$2,0,AP209*(1+Assumptions!$B$52)^(1/12))</f>
        <v>1.1794045038196528</v>
      </c>
      <c r="AQ210" s="29">
        <f>IF(B210&gt;$AF$2,0,O209*Assumptions!$B$48/12*AP209+AR210*Assumptions!$B$50/12)</f>
        <v>10.199875611781748</v>
      </c>
      <c r="AR210" s="31">
        <f t="shared" si="135"/>
        <v>8653.3769228368965</v>
      </c>
      <c r="AS210">
        <f t="shared" si="118"/>
        <v>8707.8767771643743</v>
      </c>
      <c r="AT210">
        <f t="shared" si="136"/>
        <v>10.780288788546811</v>
      </c>
      <c r="AU210" s="19">
        <f t="shared" si="137"/>
        <v>8659.9087361793772</v>
      </c>
      <c r="AV210" s="19">
        <f t="shared" si="138"/>
        <v>8708.0987951930219</v>
      </c>
      <c r="AW210">
        <f t="shared" si="139"/>
        <v>-63.929749282372228</v>
      </c>
      <c r="AX210">
        <f>IF(B210&gt;$AF$2,0,HLOOKUP(YEAR(A210),Assumptions!$A$34:$AL$37,2,TRUE)/100)</f>
        <v>2.2103999999999999E-2</v>
      </c>
      <c r="AY210" s="32">
        <f>1/(1+HLOOKUP(YEAR(A210),Assumptions!$A$27:$AL$29,3,TRUE))^(1/12)</f>
        <v>0.99823744346557397</v>
      </c>
      <c r="AZ210" s="30">
        <f t="shared" si="119"/>
        <v>9167.9402371686119</v>
      </c>
      <c r="BA210">
        <f>IF(B210&gt;$AF$2,0,IF($E$2=0,(T210*Z210+(1-T210)*AA210)*$J$2*Assumptions!$B$20,0))</f>
        <v>0</v>
      </c>
    </row>
    <row r="211" spans="1:53" x14ac:dyDescent="0.25">
      <c r="A211" s="17">
        <f t="shared" si="120"/>
        <v>49187</v>
      </c>
      <c r="B211">
        <f t="shared" si="112"/>
        <v>430</v>
      </c>
      <c r="C211">
        <f t="shared" si="113"/>
        <v>35.75</v>
      </c>
      <c r="D211">
        <f t="shared" si="106"/>
        <v>0</v>
      </c>
      <c r="E211">
        <f t="shared" si="114"/>
        <v>58</v>
      </c>
      <c r="F211">
        <f>IF(C211&gt;=$H$2,0,VLOOKUP($E211,'Mortality Table'!$A$3:$C$128,2+AB$2,FALSE))</f>
        <v>3.3078000000000001E-3</v>
      </c>
      <c r="G211">
        <f>F211*Assumptions!$B$1</f>
        <v>3.5806935E-3</v>
      </c>
      <c r="H211">
        <f t="shared" si="121"/>
        <v>2.9888195316329913E-4</v>
      </c>
      <c r="I211">
        <f t="shared" si="107"/>
        <v>1.5978482008434481E-4</v>
      </c>
      <c r="J211">
        <f>HLOOKUP(C211,Assumptions!$A$6:$J$7,2,TRUE)</f>
        <v>3.5200000000000002E-2</v>
      </c>
      <c r="K211" s="18">
        <f t="shared" si="115"/>
        <v>1</v>
      </c>
      <c r="L211" s="18">
        <f t="shared" si="122"/>
        <v>8.3333333333333329E-2</v>
      </c>
      <c r="M211" s="18">
        <f t="shared" si="108"/>
        <v>2.9817501439168836E-3</v>
      </c>
      <c r="N211">
        <f t="shared" si="109"/>
        <v>1.5962103774341929E-3</v>
      </c>
      <c r="O211" s="20">
        <f t="shared" si="110"/>
        <v>0.53365068721067455</v>
      </c>
      <c r="P211">
        <f>IF(B211&gt;$AF$2,0,O210*($E$2+IF(E211&lt;=Assumptions!$B$9,$D$2,0))/$I$2*K211)</f>
        <v>27.421745584006288</v>
      </c>
      <c r="Q211">
        <f t="shared" si="123"/>
        <v>26.1</v>
      </c>
      <c r="R211">
        <f>IF(B211&gt;$AF$2,0,IF($Y$2=1,(SUMIF('Mortality Tarif Male'!A:A,E212,'Mortality Tarif Male'!G:G)-SUMIF('Mortality Tarif Male'!A:A,$C$2+$H$2,'Mortality Tarif Male'!G:G)+SUMIF('Mortality Tarif Male'!A:A,$C$2+$H$2,'Mortality Tarif Male'!D:D))/SUMIF('Mortality Tarif Male'!A:A,E212,'Mortality Tarif Male'!D:D),(SUMIF('Mortality Tarif Female'!A:A,E212,'Mortality Tarif Female'!G:G)-SUMIF('Mortality Tarif Female'!A:A,$C$2+$H$2,'Mortality Tarif Female'!G:G)+SUMIF('Mortality Tarif Female'!A:A,$C$2+$H$2,'Mortality Tarif Female'!D:D))/SUMIF('Mortality Tarif Female'!A:A,E212,'Mortality Tarif Female'!D:D)))</f>
        <v>0.84362178121276754</v>
      </c>
      <c r="S211">
        <f>IF(B211&gt;=$AF$2,0,IF($Y$2=1,(SUMIF('Mortality Tarif Male'!A:A,E212+1,'Mortality Tarif Male'!G:G)-SUMIF('Mortality Tarif Male'!A:A,$C$2+$H$2,'Mortality Tarif Male'!G:G)+SUMIF('Mortality Tarif Male'!A:A,$C$2+$H$2,'Mortality Tarif Male'!D:D))/SUMIF('Mortality Tarif Male'!A:A,E212+1,'Mortality Tarif Male'!D:D),(SUMIF('Mortality Tarif Female'!A:A,E212+1,'Mortality Tarif Female'!G:G)-SUMIF('Mortality Tarif Female'!A:A,$C$2+$H$2,'Mortality Tarif Female'!G:G)+SUMIF('Mortality Tarif Female'!A:A,$C$2+$H$2,'Mortality Tarif Female'!D:D))/SUMIF('Mortality Tarif Female'!A:A,E212+1,'Mortality Tarif Female'!D:D)))</f>
        <v>0.8725744517148003</v>
      </c>
      <c r="T211">
        <f t="shared" si="124"/>
        <v>0.1666666666666643</v>
      </c>
      <c r="U211">
        <f t="shared" si="125"/>
        <v>0.86774900663112831</v>
      </c>
      <c r="V211">
        <f t="shared" si="126"/>
        <v>17354.980132622568</v>
      </c>
      <c r="W211">
        <f t="shared" si="116"/>
        <v>22.648249073072449</v>
      </c>
      <c r="X211">
        <f t="shared" si="117"/>
        <v>0</v>
      </c>
      <c r="Y211">
        <f>IF(B211&gt;$AF$2,0,IF(X212=0,0,(1-X212)*($E$2+IF(E211&lt;=Assumptions!$B$9,$D$2,0))/$I$2*1/(1+$AG$2)*1/(1+Assumptions!$B$11)))</f>
        <v>0</v>
      </c>
      <c r="Z211">
        <f>IF(B211&gt;$AF$2,0,IF($Y$2=1,(SUMIF('Mortality Tarif Male'!A:A,E212,'Mortality Tarif Male'!E:E)-SUMIF('Mortality Tarif Male'!A:A,$C$2+$H$2,'Mortality Tarif Male'!E:E))/SUMIF('Mortality Tarif Male'!A:A,E212,'Mortality Tarif Male'!D:D),(SUMIF('Mortality Tarif Female'!A:A,E212,'Mortality Tarif Female'!E:E)-SUMIF('Mortality Tarif Female'!A:A,$C$2+$H$2,'Mortality Tarif Female'!E:E))/SUMIF('Mortality Tarif Female'!A:A,E212,'Mortality Tarif Female'!D:D)))</f>
        <v>4.6347593267466118</v>
      </c>
      <c r="AA211">
        <f>IF(B211&gt;=$AF$2,0,IF($Y$2=1,(SUMIF('Mortality Tarif Male'!A:A,E212+1,'Mortality Tarif Male'!E:E)-SUMIF('Mortality Tarif Male'!A:A,$C$2+$H$2,'Mortality Tarif Male'!E:E))/SUMIF('Mortality Tarif Male'!A:A,E212+1,'Mortality Tarif Male'!D:D),(SUMIF('Mortality Tarif Female'!A:A,E212+1,'Mortality Tarif Female'!E:E)-SUMIF('Mortality Tarif Female'!A:A,$C$2+$H$2,'Mortality Tarif Female'!E:E))/SUMIF('Mortality Tarif Female'!A:A,E212+1,'Mortality Tarif Female'!D:D)))</f>
        <v>3.7769530556303295</v>
      </c>
      <c r="AB211">
        <f t="shared" si="111"/>
        <v>944.01398551463478</v>
      </c>
      <c r="AC211">
        <f>IF(B211&gt;=$AF$2,0,MIN(1/3*(V211+W211+Y211-AB211),(V211-AB211),(T211*Z211+(1-T211)*AA211)*$AH$2*Assumptions!$B$22))</f>
        <v>102.17658006005546</v>
      </c>
      <c r="AD211">
        <f t="shared" si="127"/>
        <v>16331.437816120953</v>
      </c>
      <c r="AE211">
        <f t="shared" si="128"/>
        <v>16433.614396181008</v>
      </c>
      <c r="AF211">
        <f t="shared" si="129"/>
        <v>16331.437816120953</v>
      </c>
      <c r="AG211" s="26">
        <f t="shared" si="105"/>
        <v>0</v>
      </c>
      <c r="AH211" s="27">
        <f>IF(B211&gt;$AF$2,0,HLOOKUP(YEAR(A211),Assumptions!$A$34:$AL$37,4,TRUE)/100)</f>
        <v>1.6104E-2</v>
      </c>
      <c r="AI211">
        <f t="shared" si="130"/>
        <v>0</v>
      </c>
      <c r="AJ211">
        <f t="shared" si="131"/>
        <v>3.1998667854910972</v>
      </c>
      <c r="AK211">
        <f t="shared" si="132"/>
        <v>26.068410520513478</v>
      </c>
      <c r="AL211">
        <f>IF(E211&gt;Assumptions!$B$9,0,SUMPRODUCT($P$2:$X$2,Assumptions!$A$43:$I$43)/$I$2*O210*K211)</f>
        <v>2.999059115242197</v>
      </c>
      <c r="AM211">
        <f t="shared" si="133"/>
        <v>0</v>
      </c>
      <c r="AN211">
        <f t="shared" si="134"/>
        <v>32.267336421246767</v>
      </c>
      <c r="AO211">
        <f>IF(E211&gt;Assumptions!$B$9,0,($V$2+$X$2)/$I$2*O210*K211*Assumptions!$B$46)</f>
        <v>0</v>
      </c>
      <c r="AP211">
        <f>IF(B211&gt;$AF$2,0,AP210*(1+Assumptions!$B$52)^(1/12))</f>
        <v>1.1803828648078027</v>
      </c>
      <c r="AQ211" s="29">
        <f>IF(B211&gt;$AF$2,0,O210*Assumptions!$B$48/12*AP210+AR211*Assumptions!$B$50/12)</f>
        <v>10.179578759537002</v>
      </c>
      <c r="AR211" s="31">
        <f t="shared" si="135"/>
        <v>8651.6929010011918</v>
      </c>
      <c r="AS211">
        <f t="shared" si="118"/>
        <v>8715.2830137113451</v>
      </c>
      <c r="AT211">
        <f t="shared" si="136"/>
        <v>10.744932234430966</v>
      </c>
      <c r="AU211" s="19">
        <f t="shared" si="137"/>
        <v>8658.1901355912305</v>
      </c>
      <c r="AV211" s="19">
        <f t="shared" si="138"/>
        <v>8715.6226502835634</v>
      </c>
      <c r="AW211">
        <f t="shared" si="139"/>
        <v>-73.162360471255937</v>
      </c>
      <c r="AX211">
        <f>IF(B211&gt;$AF$2,0,HLOOKUP(YEAR(A211),Assumptions!$A$34:$AL$37,2,TRUE)/100)</f>
        <v>2.2103999999999999E-2</v>
      </c>
      <c r="AY211" s="32">
        <f>1/(1+HLOOKUP(YEAR(A211),Assumptions!$A$27:$AL$29,3,TRUE))^(1/12)</f>
        <v>0.99823744346557397</v>
      </c>
      <c r="AZ211" s="30">
        <f t="shared" si="119"/>
        <v>9169.1026120063034</v>
      </c>
      <c r="BA211">
        <f>IF(B211&gt;$AF$2,0,IF($E$2=0,(T211*Z211+(1-T211)*AA211)*$J$2*Assumptions!$B$20,0))</f>
        <v>0</v>
      </c>
    </row>
    <row r="212" spans="1:53" x14ac:dyDescent="0.25">
      <c r="A212" s="17">
        <f t="shared" si="120"/>
        <v>49217</v>
      </c>
      <c r="B212">
        <f t="shared" si="112"/>
        <v>431</v>
      </c>
      <c r="C212">
        <f t="shared" si="113"/>
        <v>35.833333333333336</v>
      </c>
      <c r="D212">
        <f t="shared" si="106"/>
        <v>0</v>
      </c>
      <c r="E212">
        <f t="shared" si="114"/>
        <v>58</v>
      </c>
      <c r="F212">
        <f>IF(C212&gt;=$H$2,0,VLOOKUP($E212,'Mortality Table'!$A$3:$C$128,2+AB$2,FALSE))</f>
        <v>3.3078000000000001E-3</v>
      </c>
      <c r="G212">
        <f>F212*Assumptions!$B$1</f>
        <v>3.5806935E-3</v>
      </c>
      <c r="H212">
        <f t="shared" si="121"/>
        <v>2.9888195316329913E-4</v>
      </c>
      <c r="I212">
        <f t="shared" si="107"/>
        <v>1.5926076727379253E-4</v>
      </c>
      <c r="J212">
        <f>HLOOKUP(C212,Assumptions!$A$6:$J$7,2,TRUE)</f>
        <v>3.5200000000000002E-2</v>
      </c>
      <c r="K212" s="18">
        <f t="shared" si="115"/>
        <v>1</v>
      </c>
      <c r="L212" s="18">
        <f t="shared" si="122"/>
        <v>8.3333333333333329E-2</v>
      </c>
      <c r="M212" s="18">
        <f t="shared" si="108"/>
        <v>2.9817501439168836E-3</v>
      </c>
      <c r="N212">
        <f t="shared" si="109"/>
        <v>1.590975220965102E-3</v>
      </c>
      <c r="O212" s="20">
        <f t="shared" si="110"/>
        <v>0.53190045122243568</v>
      </c>
      <c r="P212">
        <f>IF(B212&gt;$AF$2,0,O211*($E$2+IF(E212&lt;=Assumptions!$B$9,$D$2,0))/$I$2*K212)</f>
        <v>27.331809363306707</v>
      </c>
      <c r="Q212">
        <f t="shared" si="123"/>
        <v>26.1</v>
      </c>
      <c r="R212">
        <f>IF(B212&gt;$AF$2,0,IF($Y$2=1,(SUMIF('Mortality Tarif Male'!A:A,E213,'Mortality Tarif Male'!G:G)-SUMIF('Mortality Tarif Male'!A:A,$C$2+$H$2,'Mortality Tarif Male'!G:G)+SUMIF('Mortality Tarif Male'!A:A,$C$2+$H$2,'Mortality Tarif Male'!D:D))/SUMIF('Mortality Tarif Male'!A:A,E213,'Mortality Tarif Male'!D:D),(SUMIF('Mortality Tarif Female'!A:A,E213,'Mortality Tarif Female'!G:G)-SUMIF('Mortality Tarif Female'!A:A,$C$2+$H$2,'Mortality Tarif Female'!G:G)+SUMIF('Mortality Tarif Female'!A:A,$C$2+$H$2,'Mortality Tarif Female'!D:D))/SUMIF('Mortality Tarif Female'!A:A,E213,'Mortality Tarif Female'!D:D)))</f>
        <v>0.84362178121276754</v>
      </c>
      <c r="S212">
        <f>IF(B212&gt;=$AF$2,0,IF($Y$2=1,(SUMIF('Mortality Tarif Male'!A:A,E213+1,'Mortality Tarif Male'!G:G)-SUMIF('Mortality Tarif Male'!A:A,$C$2+$H$2,'Mortality Tarif Male'!G:G)+SUMIF('Mortality Tarif Male'!A:A,$C$2+$H$2,'Mortality Tarif Male'!D:D))/SUMIF('Mortality Tarif Male'!A:A,E213+1,'Mortality Tarif Male'!D:D),(SUMIF('Mortality Tarif Female'!A:A,E213+1,'Mortality Tarif Female'!G:G)-SUMIF('Mortality Tarif Female'!A:A,$C$2+$H$2,'Mortality Tarif Female'!G:G)+SUMIF('Mortality Tarif Female'!A:A,$C$2+$H$2,'Mortality Tarif Female'!D:D))/SUMIF('Mortality Tarif Female'!A:A,E213+1,'Mortality Tarif Female'!D:D)))</f>
        <v>0.8725744517148003</v>
      </c>
      <c r="T212">
        <f t="shared" si="124"/>
        <v>8.3333333333335702E-2</v>
      </c>
      <c r="U212">
        <f t="shared" si="125"/>
        <v>0.87016172917296408</v>
      </c>
      <c r="V212">
        <f t="shared" si="126"/>
        <v>17403.234583459282</v>
      </c>
      <c r="W212">
        <f t="shared" si="116"/>
        <v>22.711221131414362</v>
      </c>
      <c r="X212">
        <f t="shared" si="117"/>
        <v>0</v>
      </c>
      <c r="Y212">
        <f>IF(B212&gt;$AF$2,0,IF(X213=0,0,(1-X213)*($E$2+IF(E212&lt;=Assumptions!$B$9,$D$2,0))/$I$2*1/(1+$AG$2)*1/(1+Assumptions!$B$11)))</f>
        <v>0</v>
      </c>
      <c r="Z212">
        <f>IF(B212&gt;$AF$2,0,IF($Y$2=1,(SUMIF('Mortality Tarif Male'!A:A,E213,'Mortality Tarif Male'!E:E)-SUMIF('Mortality Tarif Male'!A:A,$C$2+$H$2,'Mortality Tarif Male'!E:E))/SUMIF('Mortality Tarif Male'!A:A,E213,'Mortality Tarif Male'!D:D),(SUMIF('Mortality Tarif Female'!A:A,E213,'Mortality Tarif Female'!E:E)-SUMIF('Mortality Tarif Female'!A:A,$C$2+$H$2,'Mortality Tarif Female'!E:E))/SUMIF('Mortality Tarif Female'!A:A,E213,'Mortality Tarif Female'!D:D)))</f>
        <v>4.6347593267466118</v>
      </c>
      <c r="AA212">
        <f>IF(B212&gt;=$AF$2,0,IF($Y$2=1,(SUMIF('Mortality Tarif Male'!A:A,E213+1,'Mortality Tarif Male'!E:E)-SUMIF('Mortality Tarif Male'!A:A,$C$2+$H$2,'Mortality Tarif Male'!E:E))/SUMIF('Mortality Tarif Male'!A:A,E213+1,'Mortality Tarif Male'!D:D),(SUMIF('Mortality Tarif Female'!A:A,E213+1,'Mortality Tarif Female'!E:E)-SUMIF('Mortality Tarif Female'!A:A,$C$2+$H$2,'Mortality Tarif Female'!E:E))/SUMIF('Mortality Tarif Female'!A:A,E213+1,'Mortality Tarif Female'!D:D)))</f>
        <v>3.7769530556303295</v>
      </c>
      <c r="AB212">
        <f t="shared" si="111"/>
        <v>926.79890293113669</v>
      </c>
      <c r="AC212">
        <f>IF(B212&gt;=$AF$2,0,MIN(1/3*(V212+W212+Y212-AB212),(V212-AB212),(T212*Z212+(1-T212)*AA212)*$AH$2*Assumptions!$B$22))</f>
        <v>100.31328323307642</v>
      </c>
      <c r="AD212">
        <f t="shared" si="127"/>
        <v>16398.833618426484</v>
      </c>
      <c r="AE212">
        <f t="shared" si="128"/>
        <v>16499.146901659562</v>
      </c>
      <c r="AF212">
        <f t="shared" si="129"/>
        <v>16398.833618426484</v>
      </c>
      <c r="AG212" s="26">
        <f t="shared" si="105"/>
        <v>0</v>
      </c>
      <c r="AH212" s="27">
        <f>IF(B212&gt;$AF$2,0,HLOOKUP(YEAR(A212),Assumptions!$A$34:$AL$37,4,TRUE)/100)</f>
        <v>1.6104E-2</v>
      </c>
      <c r="AI212">
        <f t="shared" si="130"/>
        <v>0</v>
      </c>
      <c r="AJ212">
        <f t="shared" si="131"/>
        <v>3.1893720515016963</v>
      </c>
      <c r="AK212">
        <f t="shared" si="132"/>
        <v>26.09013793964602</v>
      </c>
      <c r="AL212">
        <f>IF(E212&gt;Assumptions!$B$9,0,SUMPRODUCT($P$2:$X$2,Assumptions!$A$43:$I$43)/$I$2*O211*K212)</f>
        <v>2.9892229783831046</v>
      </c>
      <c r="AM212">
        <f t="shared" si="133"/>
        <v>0</v>
      </c>
      <c r="AN212">
        <f t="shared" si="134"/>
        <v>32.268732969530824</v>
      </c>
      <c r="AO212">
        <f>IF(E212&gt;Assumptions!$B$9,0,($V$2+$X$2)/$I$2*O211*K212*Assumptions!$B$46)</f>
        <v>0</v>
      </c>
      <c r="AP212">
        <f>IF(B212&gt;$AF$2,0,AP211*(1+Assumptions!$B$52)^(1/12))</f>
        <v>1.181362037383682</v>
      </c>
      <c r="AQ212" s="29">
        <f>IF(B212&gt;$AF$2,0,O211*Assumptions!$B$48/12*AP211+AR212*Assumptions!$B$50/12)</f>
        <v>10.159290154307701</v>
      </c>
      <c r="AR212" s="31">
        <f t="shared" si="135"/>
        <v>8649.8411219023565</v>
      </c>
      <c r="AS212">
        <f t="shared" si="118"/>
        <v>8722.5470011626949</v>
      </c>
      <c r="AT212">
        <f t="shared" si="136"/>
        <v>10.709691640651938</v>
      </c>
      <c r="AU212" s="19">
        <f t="shared" si="137"/>
        <v>8656.3039494707027</v>
      </c>
      <c r="AV212" s="19">
        <f t="shared" si="138"/>
        <v>8723.0034823736132</v>
      </c>
      <c r="AW212">
        <f t="shared" si="139"/>
        <v>-82.419600926878388</v>
      </c>
      <c r="AX212">
        <f>IF(B212&gt;$AF$2,0,HLOOKUP(YEAR(A212),Assumptions!$A$34:$AL$37,2,TRUE)/100)</f>
        <v>2.2103999999999999E-2</v>
      </c>
      <c r="AY212" s="32">
        <f>1/(1+HLOOKUP(YEAR(A212),Assumptions!$A$27:$AL$29,3,TRUE))^(1/12)</f>
        <v>0.99823744346557397</v>
      </c>
      <c r="AZ212" s="30">
        <f t="shared" si="119"/>
        <v>9170.19599504902</v>
      </c>
      <c r="BA212">
        <f>IF(B212&gt;$AF$2,0,IF($E$2=0,(T212*Z212+(1-T212)*AA212)*$J$2*Assumptions!$B$20,0))</f>
        <v>0</v>
      </c>
    </row>
    <row r="213" spans="1:53" x14ac:dyDescent="0.25">
      <c r="A213" s="17">
        <f t="shared" si="120"/>
        <v>49248</v>
      </c>
      <c r="B213">
        <f t="shared" si="112"/>
        <v>432</v>
      </c>
      <c r="C213">
        <f t="shared" si="113"/>
        <v>35.916666666666664</v>
      </c>
      <c r="D213">
        <f t="shared" si="106"/>
        <v>0</v>
      </c>
      <c r="E213">
        <f t="shared" si="114"/>
        <v>58</v>
      </c>
      <c r="F213">
        <f>IF(C213&gt;=$H$2,0,VLOOKUP($E213,'Mortality Table'!$A$3:$C$128,2+AB$2,FALSE))</f>
        <v>3.3078000000000001E-3</v>
      </c>
      <c r="G213">
        <f>F213*Assumptions!$B$1</f>
        <v>3.5806935E-3</v>
      </c>
      <c r="H213">
        <f t="shared" si="121"/>
        <v>2.9888195316329913E-4</v>
      </c>
      <c r="I213">
        <f t="shared" si="107"/>
        <v>1.5873843322067983E-4</v>
      </c>
      <c r="J213">
        <f>HLOOKUP(C213,Assumptions!$A$6:$J$7,2,TRUE)</f>
        <v>3.5200000000000002E-2</v>
      </c>
      <c r="K213" s="18">
        <f t="shared" si="115"/>
        <v>1</v>
      </c>
      <c r="L213" s="18">
        <f t="shared" si="122"/>
        <v>8.3333333333333329E-2</v>
      </c>
      <c r="M213" s="18">
        <f t="shared" si="108"/>
        <v>2.9817501439168836E-3</v>
      </c>
      <c r="N213">
        <f t="shared" si="109"/>
        <v>1.5857572344528312E-3</v>
      </c>
      <c r="O213" s="20">
        <f t="shared" si="110"/>
        <v>0.53015595555476214</v>
      </c>
      <c r="P213">
        <f>IF(B213&gt;$AF$2,0,O212*($E$2+IF(E213&lt;=Assumptions!$B$9,$D$2,0))/$I$2*K213)</f>
        <v>27.242168110109077</v>
      </c>
      <c r="Q213">
        <f t="shared" si="123"/>
        <v>26.1</v>
      </c>
      <c r="R213">
        <f>IF(B213&gt;$AF$2,0,IF($Y$2=1,(SUMIF('Mortality Tarif Male'!A:A,E214,'Mortality Tarif Male'!G:G)-SUMIF('Mortality Tarif Male'!A:A,$C$2+$H$2,'Mortality Tarif Male'!G:G)+SUMIF('Mortality Tarif Male'!A:A,$C$2+$H$2,'Mortality Tarif Male'!D:D))/SUMIF('Mortality Tarif Male'!A:A,E214,'Mortality Tarif Male'!D:D),(SUMIF('Mortality Tarif Female'!A:A,E214,'Mortality Tarif Female'!G:G)-SUMIF('Mortality Tarif Female'!A:A,$C$2+$H$2,'Mortality Tarif Female'!G:G)+SUMIF('Mortality Tarif Female'!A:A,$C$2+$H$2,'Mortality Tarif Female'!D:D))/SUMIF('Mortality Tarif Female'!A:A,E214,'Mortality Tarif Female'!D:D)))</f>
        <v>0.8725744517148003</v>
      </c>
      <c r="S213">
        <f>IF(B213&gt;=$AF$2,0,IF($Y$2=1,(SUMIF('Mortality Tarif Male'!A:A,E214+1,'Mortality Tarif Male'!G:G)-SUMIF('Mortality Tarif Male'!A:A,$C$2+$H$2,'Mortality Tarif Male'!G:G)+SUMIF('Mortality Tarif Male'!A:A,$C$2+$H$2,'Mortality Tarif Male'!D:D))/SUMIF('Mortality Tarif Male'!A:A,E214+1,'Mortality Tarif Male'!D:D),(SUMIF('Mortality Tarif Female'!A:A,E214+1,'Mortality Tarif Female'!G:G)-SUMIF('Mortality Tarif Female'!A:A,$C$2+$H$2,'Mortality Tarif Female'!G:G)+SUMIF('Mortality Tarif Female'!A:A,$C$2+$H$2,'Mortality Tarif Female'!D:D))/SUMIF('Mortality Tarif Female'!A:A,E214+1,'Mortality Tarif Female'!D:D)))</f>
        <v>0.90262428665390537</v>
      </c>
      <c r="T213">
        <f t="shared" si="124"/>
        <v>1</v>
      </c>
      <c r="U213">
        <f t="shared" si="125"/>
        <v>0.8725744517148003</v>
      </c>
      <c r="V213">
        <f t="shared" si="126"/>
        <v>17451.489034296006</v>
      </c>
      <c r="W213">
        <f t="shared" si="116"/>
        <v>22.774193189756289</v>
      </c>
      <c r="X213">
        <f t="shared" si="117"/>
        <v>0</v>
      </c>
      <c r="Y213">
        <f>IF(B213&gt;$AF$2,0,IF(X214=0,0,(1-X214)*($E$2+IF(E213&lt;=Assumptions!$B$9,$D$2,0))/$I$2*1/(1+$AG$2)*1/(1+Assumptions!$B$11)))</f>
        <v>0</v>
      </c>
      <c r="Z213">
        <f>IF(B213&gt;$AF$2,0,IF($Y$2=1,(SUMIF('Mortality Tarif Male'!A:A,E214,'Mortality Tarif Male'!E:E)-SUMIF('Mortality Tarif Male'!A:A,$C$2+$H$2,'Mortality Tarif Male'!E:E))/SUMIF('Mortality Tarif Male'!A:A,E214,'Mortality Tarif Male'!D:D),(SUMIF('Mortality Tarif Female'!A:A,E214,'Mortality Tarif Female'!E:E)-SUMIF('Mortality Tarif Female'!A:A,$C$2+$H$2,'Mortality Tarif Female'!E:E))/SUMIF('Mortality Tarif Female'!A:A,E214,'Mortality Tarif Female'!D:D)))</f>
        <v>3.7769530556303295</v>
      </c>
      <c r="AA213">
        <f>IF(B213&gt;=$AF$2,0,IF($Y$2=1,(SUMIF('Mortality Tarif Male'!A:A,E214+1,'Mortality Tarif Male'!E:E)-SUMIF('Mortality Tarif Male'!A:A,$C$2+$H$2,'Mortality Tarif Male'!E:E))/SUMIF('Mortality Tarif Male'!A:A,E214+1,'Mortality Tarif Male'!D:D),(SUMIF('Mortality Tarif Female'!A:A,E214+1,'Mortality Tarif Female'!E:E)-SUMIF('Mortality Tarif Female'!A:A,$C$2+$H$2,'Mortality Tarif Female'!E:E))/SUMIF('Mortality Tarif Female'!A:A,E214+1,'Mortality Tarif Female'!D:D)))</f>
        <v>2.8864816076194426</v>
      </c>
      <c r="AB213">
        <f t="shared" si="111"/>
        <v>909.58382034763702</v>
      </c>
      <c r="AC213">
        <f>IF(B213&gt;=$AF$2,0,MIN(1/3*(V213+W213+Y213-AB213),(V213-AB213),(T213*Z213+(1-T213)*AA213)*$AH$2*Assumptions!$B$22))</f>
        <v>98.449986406097196</v>
      </c>
      <c r="AD213">
        <f t="shared" si="127"/>
        <v>16466.22942073203</v>
      </c>
      <c r="AE213">
        <f t="shared" si="128"/>
        <v>16564.679407138126</v>
      </c>
      <c r="AF213">
        <f t="shared" si="129"/>
        <v>16466.22942073203</v>
      </c>
      <c r="AG213" s="26">
        <f t="shared" si="105"/>
        <v>0</v>
      </c>
      <c r="AH213" s="27">
        <f>IF(B213&gt;$AF$2,0,HLOOKUP(YEAR(A213),Assumptions!$A$34:$AL$37,4,TRUE)/100)</f>
        <v>1.6104E-2</v>
      </c>
      <c r="AI213">
        <f t="shared" si="130"/>
        <v>0</v>
      </c>
      <c r="AJ213">
        <f t="shared" si="131"/>
        <v>3.1789117375206559</v>
      </c>
      <c r="AK213">
        <f t="shared" si="132"/>
        <v>26.111442428085869</v>
      </c>
      <c r="AL213">
        <f>IF(E213&gt;Assumptions!$B$9,0,SUMPRODUCT($P$2:$X$2,Assumptions!$A$43:$I$43)/$I$2*O212*K213)</f>
        <v>2.9794191015044245</v>
      </c>
      <c r="AM213">
        <f t="shared" si="133"/>
        <v>0</v>
      </c>
      <c r="AN213">
        <f t="shared" si="134"/>
        <v>32.269773267110949</v>
      </c>
      <c r="AO213">
        <f>IF(E213&gt;Assumptions!$B$9,0,($V$2+$X$2)/$I$2*O212*K213*Assumptions!$B$46)</f>
        <v>0</v>
      </c>
      <c r="AP213">
        <f>IF(B213&gt;$AF$2,0,AP212*(1+Assumptions!$B$52)^(1/12))</f>
        <v>1.1823420222205334</v>
      </c>
      <c r="AQ213" s="29">
        <f>IF(B213&gt;$AF$2,0,O212*Assumptions!$B$48/12*AP212+AR213*Assumptions!$B$50/12)</f>
        <v>10.139009908956448</v>
      </c>
      <c r="AR213" s="31">
        <f t="shared" si="135"/>
        <v>8647.8225477612032</v>
      </c>
      <c r="AS213">
        <f t="shared" si="118"/>
        <v>8729.6695929321268</v>
      </c>
      <c r="AT213">
        <f t="shared" si="136"/>
        <v>10.674566626889874</v>
      </c>
      <c r="AU213" s="19">
        <f t="shared" si="137"/>
        <v>8654.2511393354653</v>
      </c>
      <c r="AV213" s="19">
        <f t="shared" si="138"/>
        <v>8730.2421486880812</v>
      </c>
      <c r="AW213">
        <f t="shared" si="139"/>
        <v>-91.701366360926144</v>
      </c>
      <c r="AX213">
        <f>IF(B213&gt;$AF$2,0,HLOOKUP(YEAR(A213),Assumptions!$A$34:$AL$37,2,TRUE)/100)</f>
        <v>2.2103999999999999E-2</v>
      </c>
      <c r="AY213" s="32">
        <f>1/(1+HLOOKUP(YEAR(A213),Assumptions!$A$27:$AL$29,3,TRUE))^(1/12)</f>
        <v>0.99823744346557397</v>
      </c>
      <c r="AZ213" s="30">
        <f t="shared" si="119"/>
        <v>9171.2209073384456</v>
      </c>
      <c r="BA213">
        <f>IF(B213&gt;$AF$2,0,IF($E$2=0,(T213*Z213+(1-T213)*AA213)*$J$2*Assumptions!$B$20,0))</f>
        <v>0</v>
      </c>
    </row>
    <row r="214" spans="1:53" x14ac:dyDescent="0.25">
      <c r="A214" s="17">
        <f t="shared" si="120"/>
        <v>49278</v>
      </c>
      <c r="B214">
        <f t="shared" si="112"/>
        <v>433</v>
      </c>
      <c r="C214">
        <f t="shared" si="113"/>
        <v>36</v>
      </c>
      <c r="D214">
        <f t="shared" si="106"/>
        <v>1</v>
      </c>
      <c r="E214">
        <f t="shared" si="114"/>
        <v>59</v>
      </c>
      <c r="F214">
        <f>IF(C214&gt;=$H$2,0,VLOOKUP($E214,'Mortality Table'!$A$3:$C$128,2+AB$2,FALSE))</f>
        <v>3.5561E-3</v>
      </c>
      <c r="G214">
        <f>F214*Assumptions!$B$1</f>
        <v>3.8494782500000002E-3</v>
      </c>
      <c r="H214">
        <f t="shared" si="121"/>
        <v>3.2135723377768599E-4</v>
      </c>
      <c r="I214">
        <f t="shared" si="107"/>
        <v>1.7011545177980647E-4</v>
      </c>
      <c r="J214">
        <f>HLOOKUP(C214,Assumptions!$A$6:$J$7,2,TRUE)</f>
        <v>3.5200000000000002E-2</v>
      </c>
      <c r="K214" s="18">
        <f t="shared" si="115"/>
        <v>1</v>
      </c>
      <c r="L214" s="18">
        <f t="shared" si="122"/>
        <v>8.3333333333333329E-2</v>
      </c>
      <c r="M214" s="18">
        <f t="shared" si="108"/>
        <v>2.9817501439168836E-3</v>
      </c>
      <c r="N214">
        <f t="shared" si="109"/>
        <v>1.5805385972057673E-3</v>
      </c>
      <c r="O214" s="20">
        <f t="shared" si="110"/>
        <v>0.52840530150577658</v>
      </c>
      <c r="P214">
        <f>IF(B214&gt;$AF$2,0,O213*($E$2+IF(E214&lt;=Assumptions!$B$9,$D$2,0))/$I$2*K214)</f>
        <v>27.152820856996396</v>
      </c>
      <c r="Q214">
        <f t="shared" si="123"/>
        <v>26.1</v>
      </c>
      <c r="R214">
        <f>IF(B214&gt;$AF$2,0,IF($Y$2=1,(SUMIF('Mortality Tarif Male'!A:A,E215,'Mortality Tarif Male'!G:G)-SUMIF('Mortality Tarif Male'!A:A,$C$2+$H$2,'Mortality Tarif Male'!G:G)+SUMIF('Mortality Tarif Male'!A:A,$C$2+$H$2,'Mortality Tarif Male'!D:D))/SUMIF('Mortality Tarif Male'!A:A,E215,'Mortality Tarif Male'!D:D),(SUMIF('Mortality Tarif Female'!A:A,E215,'Mortality Tarif Female'!G:G)-SUMIF('Mortality Tarif Female'!A:A,$C$2+$H$2,'Mortality Tarif Female'!G:G)+SUMIF('Mortality Tarif Female'!A:A,$C$2+$H$2,'Mortality Tarif Female'!D:D))/SUMIF('Mortality Tarif Female'!A:A,E215,'Mortality Tarif Female'!D:D)))</f>
        <v>0.8725744517148003</v>
      </c>
      <c r="S214">
        <f>IF(B214&gt;=$AF$2,0,IF($Y$2=1,(SUMIF('Mortality Tarif Male'!A:A,E215+1,'Mortality Tarif Male'!G:G)-SUMIF('Mortality Tarif Male'!A:A,$C$2+$H$2,'Mortality Tarif Male'!G:G)+SUMIF('Mortality Tarif Male'!A:A,$C$2+$H$2,'Mortality Tarif Male'!D:D))/SUMIF('Mortality Tarif Male'!A:A,E215+1,'Mortality Tarif Male'!D:D),(SUMIF('Mortality Tarif Female'!A:A,E215+1,'Mortality Tarif Female'!G:G)-SUMIF('Mortality Tarif Female'!A:A,$C$2+$H$2,'Mortality Tarif Female'!G:G)+SUMIF('Mortality Tarif Female'!A:A,$C$2+$H$2,'Mortality Tarif Female'!D:D))/SUMIF('Mortality Tarif Female'!A:A,E215+1,'Mortality Tarif Female'!D:D)))</f>
        <v>0.90262428665390537</v>
      </c>
      <c r="T214">
        <f t="shared" si="124"/>
        <v>0.9166666666666643</v>
      </c>
      <c r="U214">
        <f t="shared" si="125"/>
        <v>0.87507860462639242</v>
      </c>
      <c r="V214">
        <f t="shared" si="126"/>
        <v>17501.572092527847</v>
      </c>
      <c r="W214">
        <f t="shared" si="116"/>
        <v>22.839551580748843</v>
      </c>
      <c r="X214">
        <f t="shared" si="117"/>
        <v>0</v>
      </c>
      <c r="Y214">
        <f>IF(B214&gt;$AF$2,0,IF(X215=0,0,(1-X215)*($E$2+IF(E214&lt;=Assumptions!$B$9,$D$2,0))/$I$2*1/(1+$AG$2)*1/(1+Assumptions!$B$11)))</f>
        <v>0</v>
      </c>
      <c r="Z214">
        <f>IF(B214&gt;$AF$2,0,IF($Y$2=1,(SUMIF('Mortality Tarif Male'!A:A,E215,'Mortality Tarif Male'!E:E)-SUMIF('Mortality Tarif Male'!A:A,$C$2+$H$2,'Mortality Tarif Male'!E:E))/SUMIF('Mortality Tarif Male'!A:A,E215,'Mortality Tarif Male'!D:D),(SUMIF('Mortality Tarif Female'!A:A,E215,'Mortality Tarif Female'!E:E)-SUMIF('Mortality Tarif Female'!A:A,$C$2+$H$2,'Mortality Tarif Female'!E:E))/SUMIF('Mortality Tarif Female'!A:A,E215,'Mortality Tarif Female'!D:D)))</f>
        <v>3.7769530556303295</v>
      </c>
      <c r="AA214">
        <f>IF(B214&gt;=$AF$2,0,IF($Y$2=1,(SUMIF('Mortality Tarif Male'!A:A,E215+1,'Mortality Tarif Male'!E:E)-SUMIF('Mortality Tarif Male'!A:A,$C$2+$H$2,'Mortality Tarif Male'!E:E))/SUMIF('Mortality Tarif Male'!A:A,E215+1,'Mortality Tarif Male'!D:D),(SUMIF('Mortality Tarif Female'!A:A,E215+1,'Mortality Tarif Female'!E:E)-SUMIF('Mortality Tarif Female'!A:A,$C$2+$H$2,'Mortality Tarif Female'!E:E))/SUMIF('Mortality Tarif Female'!A:A,E215+1,'Mortality Tarif Female'!D:D)))</f>
        <v>2.8864816076194426</v>
      </c>
      <c r="AB214">
        <f t="shared" si="111"/>
        <v>891.71318914345227</v>
      </c>
      <c r="AC214">
        <f>IF(B214&gt;=$AF$2,0,MIN(1/3*(V214+W214+Y214-AB214),(V214-AB214),(T214*Z214+(1-T214)*AA214)*$AH$2*Assumptions!$B$22))</f>
        <v>96.515735422556233</v>
      </c>
      <c r="AD214">
        <f t="shared" si="127"/>
        <v>16536.18271954259</v>
      </c>
      <c r="AE214">
        <f t="shared" si="128"/>
        <v>16632.698454965146</v>
      </c>
      <c r="AF214">
        <f t="shared" si="129"/>
        <v>16536.18271954259</v>
      </c>
      <c r="AG214" s="26">
        <f t="shared" si="105"/>
        <v>0</v>
      </c>
      <c r="AH214" s="27">
        <f>IF(B214&gt;$AF$2,0,HLOOKUP(YEAR(A214),Assumptions!$A$34:$AL$37,4,TRUE)/100)</f>
        <v>1.6104E-2</v>
      </c>
      <c r="AI214">
        <f t="shared" si="130"/>
        <v>0</v>
      </c>
      <c r="AJ214">
        <f t="shared" si="131"/>
        <v>3.406749048887582</v>
      </c>
      <c r="AK214">
        <f t="shared" si="132"/>
        <v>26.136075038684098</v>
      </c>
      <c r="AL214">
        <f>IF(E214&gt;Assumptions!$B$9,0,SUMPRODUCT($P$2:$X$2,Assumptions!$A$43:$I$43)/$I$2*O213*K214)</f>
        <v>2.9696473788017776</v>
      </c>
      <c r="AM214">
        <f t="shared" si="133"/>
        <v>0</v>
      </c>
      <c r="AN214">
        <f t="shared" si="134"/>
        <v>32.512471466373455</v>
      </c>
      <c r="AO214">
        <f>IF(E214&gt;Assumptions!$B$9,0,($V$2+$X$2)/$I$2*O213*K214*Assumptions!$B$46)</f>
        <v>0</v>
      </c>
      <c r="AP214">
        <f>IF(B214&gt;$AF$2,0,AP213*(1+Assumptions!$B$52)^(1/12))</f>
        <v>1.1833228199921584</v>
      </c>
      <c r="AQ214" s="29">
        <f>IF(B214&gt;$AF$2,0,O213*Assumptions!$B$48/12*AP213+AR214*Assumptions!$B$50/12)</f>
        <v>10.118738135481305</v>
      </c>
      <c r="AR214" s="31">
        <f t="shared" si="135"/>
        <v>8645.6381360064697</v>
      </c>
      <c r="AS214">
        <f t="shared" si="118"/>
        <v>8737.8066156745153</v>
      </c>
      <c r="AT214">
        <f t="shared" si="136"/>
        <v>10.639556814072261</v>
      </c>
      <c r="AU214" s="19">
        <f t="shared" si="137"/>
        <v>8652.0326619139123</v>
      </c>
      <c r="AV214" s="19">
        <f t="shared" si="138"/>
        <v>8737.3395023673966</v>
      </c>
      <c r="AW214">
        <f t="shared" si="139"/>
        <v>-101.00755318967751</v>
      </c>
      <c r="AX214">
        <f>IF(B214&gt;$AF$2,0,HLOOKUP(YEAR(A214),Assumptions!$A$34:$AL$37,2,TRUE)/100)</f>
        <v>2.2103999999999999E-2</v>
      </c>
      <c r="AY214" s="32">
        <f>1/(1+HLOOKUP(YEAR(A214),Assumptions!$A$27:$AL$29,3,TRUE))^(1/12)</f>
        <v>0.99823744346557397</v>
      </c>
      <c r="AZ214" s="30">
        <f t="shared" si="119"/>
        <v>9171.9358556044426</v>
      </c>
      <c r="BA214">
        <f>IF(B214&gt;$AF$2,0,IF($E$2=0,(T214*Z214+(1-T214)*AA214)*$J$2*Assumptions!$B$20,0))</f>
        <v>0</v>
      </c>
    </row>
    <row r="215" spans="1:53" x14ac:dyDescent="0.25">
      <c r="A215" s="17">
        <f t="shared" si="120"/>
        <v>49309</v>
      </c>
      <c r="B215">
        <f t="shared" si="112"/>
        <v>434</v>
      </c>
      <c r="C215">
        <f t="shared" si="113"/>
        <v>36.083333333333336</v>
      </c>
      <c r="D215">
        <f t="shared" si="106"/>
        <v>0</v>
      </c>
      <c r="E215">
        <f t="shared" si="114"/>
        <v>59</v>
      </c>
      <c r="F215">
        <f>IF(C215&gt;=$H$2,0,VLOOKUP($E215,'Mortality Table'!$A$3:$C$128,2+AB$2,FALSE))</f>
        <v>3.5561E-3</v>
      </c>
      <c r="G215">
        <f>F215*Assumptions!$B$1</f>
        <v>3.8494782500000002E-3</v>
      </c>
      <c r="H215">
        <f t="shared" si="121"/>
        <v>3.2135723377768599E-4</v>
      </c>
      <c r="I215">
        <f t="shared" si="107"/>
        <v>1.6955370518178571E-4</v>
      </c>
      <c r="J215">
        <f>HLOOKUP(C215,Assumptions!$A$6:$J$7,2,TRUE)</f>
        <v>3.5200000000000002E-2</v>
      </c>
      <c r="K215" s="18">
        <f t="shared" si="115"/>
        <v>1</v>
      </c>
      <c r="L215" s="18">
        <f t="shared" si="122"/>
        <v>8.3333333333333329E-2</v>
      </c>
      <c r="M215" s="18">
        <f t="shared" si="108"/>
        <v>2.9817501439168836E-3</v>
      </c>
      <c r="N215">
        <f t="shared" si="109"/>
        <v>1.575319422987719E-3</v>
      </c>
      <c r="O215" s="20">
        <f t="shared" si="110"/>
        <v>0.52666042837760707</v>
      </c>
      <c r="P215">
        <f>IF(B215&gt;$AF$2,0,O214*($E$2+IF(E215&lt;=Assumptions!$B$9,$D$2,0))/$I$2*K215)</f>
        <v>27.063158192120852</v>
      </c>
      <c r="Q215">
        <f t="shared" si="123"/>
        <v>26.1</v>
      </c>
      <c r="R215">
        <f>IF(B215&gt;$AF$2,0,IF($Y$2=1,(SUMIF('Mortality Tarif Male'!A:A,E216,'Mortality Tarif Male'!G:G)-SUMIF('Mortality Tarif Male'!A:A,$C$2+$H$2,'Mortality Tarif Male'!G:G)+SUMIF('Mortality Tarif Male'!A:A,$C$2+$H$2,'Mortality Tarif Male'!D:D))/SUMIF('Mortality Tarif Male'!A:A,E216,'Mortality Tarif Male'!D:D),(SUMIF('Mortality Tarif Female'!A:A,E216,'Mortality Tarif Female'!G:G)-SUMIF('Mortality Tarif Female'!A:A,$C$2+$H$2,'Mortality Tarif Female'!G:G)+SUMIF('Mortality Tarif Female'!A:A,$C$2+$H$2,'Mortality Tarif Female'!D:D))/SUMIF('Mortality Tarif Female'!A:A,E216,'Mortality Tarif Female'!D:D)))</f>
        <v>0.8725744517148003</v>
      </c>
      <c r="S215">
        <f>IF(B215&gt;=$AF$2,0,IF($Y$2=1,(SUMIF('Mortality Tarif Male'!A:A,E216+1,'Mortality Tarif Male'!G:G)-SUMIF('Mortality Tarif Male'!A:A,$C$2+$H$2,'Mortality Tarif Male'!G:G)+SUMIF('Mortality Tarif Male'!A:A,$C$2+$H$2,'Mortality Tarif Male'!D:D))/SUMIF('Mortality Tarif Male'!A:A,E216+1,'Mortality Tarif Male'!D:D),(SUMIF('Mortality Tarif Female'!A:A,E216+1,'Mortality Tarif Female'!G:G)-SUMIF('Mortality Tarif Female'!A:A,$C$2+$H$2,'Mortality Tarif Female'!G:G)+SUMIF('Mortality Tarif Female'!A:A,$C$2+$H$2,'Mortality Tarif Female'!D:D))/SUMIF('Mortality Tarif Female'!A:A,E216+1,'Mortality Tarif Female'!D:D)))</f>
        <v>0.90262428665390537</v>
      </c>
      <c r="T215">
        <f t="shared" si="124"/>
        <v>0.8333333333333357</v>
      </c>
      <c r="U215">
        <f t="shared" si="125"/>
        <v>0.87758275753798443</v>
      </c>
      <c r="V215">
        <f t="shared" si="126"/>
        <v>17551.655150759689</v>
      </c>
      <c r="W215">
        <f t="shared" si="116"/>
        <v>22.904909971741393</v>
      </c>
      <c r="X215">
        <f t="shared" si="117"/>
        <v>0</v>
      </c>
      <c r="Y215">
        <f>IF(B215&gt;$AF$2,0,IF(X216=0,0,(1-X216)*($E$2+IF(E215&lt;=Assumptions!$B$9,$D$2,0))/$I$2*1/(1+$AG$2)*1/(1+Assumptions!$B$11)))</f>
        <v>0</v>
      </c>
      <c r="Z215">
        <f>IF(B215&gt;$AF$2,0,IF($Y$2=1,(SUMIF('Mortality Tarif Male'!A:A,E216,'Mortality Tarif Male'!E:E)-SUMIF('Mortality Tarif Male'!A:A,$C$2+$H$2,'Mortality Tarif Male'!E:E))/SUMIF('Mortality Tarif Male'!A:A,E216,'Mortality Tarif Male'!D:D),(SUMIF('Mortality Tarif Female'!A:A,E216,'Mortality Tarif Female'!E:E)-SUMIF('Mortality Tarif Female'!A:A,$C$2+$H$2,'Mortality Tarif Female'!E:E))/SUMIF('Mortality Tarif Female'!A:A,E216,'Mortality Tarif Female'!D:D)))</f>
        <v>3.7769530556303295</v>
      </c>
      <c r="AA215">
        <f>IF(B215&gt;=$AF$2,0,IF($Y$2=1,(SUMIF('Mortality Tarif Male'!A:A,E216+1,'Mortality Tarif Male'!E:E)-SUMIF('Mortality Tarif Male'!A:A,$C$2+$H$2,'Mortality Tarif Male'!E:E))/SUMIF('Mortality Tarif Male'!A:A,E216+1,'Mortality Tarif Male'!D:D),(SUMIF('Mortality Tarif Female'!A:A,E216+1,'Mortality Tarif Female'!E:E)-SUMIF('Mortality Tarif Female'!A:A,$C$2+$H$2,'Mortality Tarif Female'!E:E))/SUMIF('Mortality Tarif Female'!A:A,E216+1,'Mortality Tarif Female'!D:D)))</f>
        <v>2.8864816076194426</v>
      </c>
      <c r="AB215">
        <f t="shared" si="111"/>
        <v>873.84255793926911</v>
      </c>
      <c r="AC215">
        <f>IF(B215&gt;=$AF$2,0,MIN(1/3*(V215+W215+Y215-AB215),(V215-AB215),(T215*Z215+(1-T215)*AA215)*$AH$2*Assumptions!$B$22))</f>
        <v>94.581484439015441</v>
      </c>
      <c r="AD215">
        <f t="shared" si="127"/>
        <v>16606.136018353147</v>
      </c>
      <c r="AE215">
        <f t="shared" si="128"/>
        <v>16700.717502792162</v>
      </c>
      <c r="AF215">
        <f t="shared" si="129"/>
        <v>16606.136018353147</v>
      </c>
      <c r="AG215" s="26">
        <f t="shared" ref="AG215:AG264" si="140">IF(MONTH(A215)=12,AVERAGE(AF204:AF215),0)</f>
        <v>16230.983486788888</v>
      </c>
      <c r="AH215" s="27">
        <f>IF(B215&gt;$AF$2,0,HLOOKUP(YEAR(A215),Assumptions!$A$34:$AL$37,4,TRUE)/100)</f>
        <v>1.6104E-2</v>
      </c>
      <c r="AI215">
        <f t="shared" si="130"/>
        <v>0</v>
      </c>
      <c r="AJ215">
        <f t="shared" si="131"/>
        <v>3.3954994553409583</v>
      </c>
      <c r="AK215">
        <f t="shared" si="132"/>
        <v>26.159968610487656</v>
      </c>
      <c r="AL215">
        <f>IF(E215&gt;Assumptions!$B$9,0,SUMPRODUCT($P$2:$X$2,Assumptions!$A$43:$I$43)/$I$2*O214*K215)</f>
        <v>2.9598411601725472</v>
      </c>
      <c r="AM215">
        <f t="shared" si="133"/>
        <v>0</v>
      </c>
      <c r="AN215">
        <f t="shared" si="134"/>
        <v>32.515309226001158</v>
      </c>
      <c r="AO215">
        <f>IF(E215&gt;Assumptions!$B$9,0,($V$2+$X$2)/$I$2*O214*K215*Assumptions!$B$46)</f>
        <v>0</v>
      </c>
      <c r="AP215">
        <f>IF(B215&gt;$AF$2,0,AP214*(1+Assumptions!$B$52)^(1/12))</f>
        <v>1.1843044313729174</v>
      </c>
      <c r="AQ215" s="29">
        <f>IF(B215&gt;$AF$2,0,O214*Assumptions!$B$48/12*AP214+AR215*Assumptions!$B$50/12)</f>
        <v>10.098573949371714</v>
      </c>
      <c r="AR215" s="31">
        <f t="shared" si="135"/>
        <v>8644.4436447350254</v>
      </c>
      <c r="AS215">
        <f t="shared" si="118"/>
        <v>8745.7947091226779</v>
      </c>
      <c r="AT215">
        <f t="shared" si="136"/>
        <v>10.60442341036188</v>
      </c>
      <c r="AU215" s="19">
        <f t="shared" si="137"/>
        <v>8650.8038055674133</v>
      </c>
      <c r="AV215" s="19">
        <f t="shared" si="138"/>
        <v>8745.4511979247036</v>
      </c>
      <c r="AW215">
        <f t="shared" si="139"/>
        <v>0</v>
      </c>
      <c r="AX215">
        <f>IF(B215&gt;$AF$2,0,HLOOKUP(YEAR(A215),Assumptions!$A$34:$AL$37,2,TRUE)/100)</f>
        <v>2.2103999999999999E-2</v>
      </c>
      <c r="AY215" s="32">
        <f>1/(1+HLOOKUP(YEAR(A215),Assumptions!$A$27:$AL$29,3,TRUE))^(1/12)</f>
        <v>0.99823744346557397</v>
      </c>
      <c r="AZ215" s="30">
        <f t="shared" si="119"/>
        <v>9172.5797299937694</v>
      </c>
      <c r="BA215">
        <f>IF(B215&gt;$AF$2,0,IF($E$2=0,(T215*Z215+(1-T215)*AA215)*$J$2*Assumptions!$B$20,0))</f>
        <v>0</v>
      </c>
    </row>
    <row r="216" spans="1:53" x14ac:dyDescent="0.25">
      <c r="A216" s="17">
        <f t="shared" si="120"/>
        <v>49340</v>
      </c>
      <c r="B216">
        <f t="shared" si="112"/>
        <v>435</v>
      </c>
      <c r="C216">
        <f t="shared" si="113"/>
        <v>36.166666666666664</v>
      </c>
      <c r="D216">
        <f t="shared" si="106"/>
        <v>0</v>
      </c>
      <c r="E216">
        <f t="shared" si="114"/>
        <v>59</v>
      </c>
      <c r="F216">
        <f>IF(C216&gt;=$H$2,0,VLOOKUP($E216,'Mortality Table'!$A$3:$C$128,2+AB$2,FALSE))</f>
        <v>3.5561E-3</v>
      </c>
      <c r="G216">
        <f>F216*Assumptions!$B$1</f>
        <v>3.8494782500000002E-3</v>
      </c>
      <c r="H216">
        <f t="shared" si="121"/>
        <v>3.2135723377768599E-4</v>
      </c>
      <c r="I216">
        <f t="shared" si="107"/>
        <v>1.6899381355482777E-4</v>
      </c>
      <c r="J216">
        <f>HLOOKUP(C216,Assumptions!$A$6:$J$7,2,TRUE)</f>
        <v>3.5200000000000002E-2</v>
      </c>
      <c r="K216" s="18">
        <f t="shared" si="115"/>
        <v>1</v>
      </c>
      <c r="L216" s="18">
        <f t="shared" si="122"/>
        <v>8.3333333333333329E-2</v>
      </c>
      <c r="M216" s="18">
        <f t="shared" si="108"/>
        <v>2.9817501439168836E-3</v>
      </c>
      <c r="N216">
        <f t="shared" si="109"/>
        <v>1.5701174832614862E-3</v>
      </c>
      <c r="O216" s="20">
        <f t="shared" si="110"/>
        <v>0.52492131708079071</v>
      </c>
      <c r="P216">
        <f>IF(B216&gt;$AF$2,0,O215*($E$2+IF(E216&lt;=Assumptions!$B$9,$D$2,0))/$I$2*K216)</f>
        <v>26.97379160673977</v>
      </c>
      <c r="Q216">
        <f t="shared" si="123"/>
        <v>26.1</v>
      </c>
      <c r="R216">
        <f>IF(B216&gt;$AF$2,0,IF($Y$2=1,(SUMIF('Mortality Tarif Male'!A:A,E217,'Mortality Tarif Male'!G:G)-SUMIF('Mortality Tarif Male'!A:A,$C$2+$H$2,'Mortality Tarif Male'!G:G)+SUMIF('Mortality Tarif Male'!A:A,$C$2+$H$2,'Mortality Tarif Male'!D:D))/SUMIF('Mortality Tarif Male'!A:A,E217,'Mortality Tarif Male'!D:D),(SUMIF('Mortality Tarif Female'!A:A,E217,'Mortality Tarif Female'!G:G)-SUMIF('Mortality Tarif Female'!A:A,$C$2+$H$2,'Mortality Tarif Female'!G:G)+SUMIF('Mortality Tarif Female'!A:A,$C$2+$H$2,'Mortality Tarif Female'!D:D))/SUMIF('Mortality Tarif Female'!A:A,E217,'Mortality Tarif Female'!D:D)))</f>
        <v>0.8725744517148003</v>
      </c>
      <c r="S216">
        <f>IF(B216&gt;=$AF$2,0,IF($Y$2=1,(SUMIF('Mortality Tarif Male'!A:A,E217+1,'Mortality Tarif Male'!G:G)-SUMIF('Mortality Tarif Male'!A:A,$C$2+$H$2,'Mortality Tarif Male'!G:G)+SUMIF('Mortality Tarif Male'!A:A,$C$2+$H$2,'Mortality Tarif Male'!D:D))/SUMIF('Mortality Tarif Male'!A:A,E217+1,'Mortality Tarif Male'!D:D),(SUMIF('Mortality Tarif Female'!A:A,E217+1,'Mortality Tarif Female'!G:G)-SUMIF('Mortality Tarif Female'!A:A,$C$2+$H$2,'Mortality Tarif Female'!G:G)+SUMIF('Mortality Tarif Female'!A:A,$C$2+$H$2,'Mortality Tarif Female'!D:D))/SUMIF('Mortality Tarif Female'!A:A,E217+1,'Mortality Tarif Female'!D:D)))</f>
        <v>0.90262428665390537</v>
      </c>
      <c r="T216">
        <f t="shared" si="124"/>
        <v>0.75</v>
      </c>
      <c r="U216">
        <f t="shared" si="125"/>
        <v>0.88008691044957654</v>
      </c>
      <c r="V216">
        <f t="shared" si="126"/>
        <v>17601.73820899153</v>
      </c>
      <c r="W216">
        <f t="shared" si="116"/>
        <v>22.97026836273395</v>
      </c>
      <c r="X216">
        <f t="shared" si="117"/>
        <v>0</v>
      </c>
      <c r="Y216">
        <f>IF(B216&gt;$AF$2,0,IF(X217=0,0,(1-X217)*($E$2+IF(E216&lt;=Assumptions!$B$9,$D$2,0))/$I$2*1/(1+$AG$2)*1/(1+Assumptions!$B$11)))</f>
        <v>0</v>
      </c>
      <c r="Z216">
        <f>IF(B216&gt;$AF$2,0,IF($Y$2=1,(SUMIF('Mortality Tarif Male'!A:A,E217,'Mortality Tarif Male'!E:E)-SUMIF('Mortality Tarif Male'!A:A,$C$2+$H$2,'Mortality Tarif Male'!E:E))/SUMIF('Mortality Tarif Male'!A:A,E217,'Mortality Tarif Male'!D:D),(SUMIF('Mortality Tarif Female'!A:A,E217,'Mortality Tarif Female'!E:E)-SUMIF('Mortality Tarif Female'!A:A,$C$2+$H$2,'Mortality Tarif Female'!E:E))/SUMIF('Mortality Tarif Female'!A:A,E217,'Mortality Tarif Female'!D:D)))</f>
        <v>3.7769530556303295</v>
      </c>
      <c r="AA216">
        <f>IF(B216&gt;=$AF$2,0,IF($Y$2=1,(SUMIF('Mortality Tarif Male'!A:A,E217+1,'Mortality Tarif Male'!E:E)-SUMIF('Mortality Tarif Male'!A:A,$C$2+$H$2,'Mortality Tarif Male'!E:E))/SUMIF('Mortality Tarif Male'!A:A,E217+1,'Mortality Tarif Male'!D:D),(SUMIF('Mortality Tarif Female'!A:A,E217+1,'Mortality Tarif Female'!E:E)-SUMIF('Mortality Tarif Female'!A:A,$C$2+$H$2,'Mortality Tarif Female'!E:E))/SUMIF('Mortality Tarif Female'!A:A,E217+1,'Mortality Tarif Female'!D:D)))</f>
        <v>2.8864816076194426</v>
      </c>
      <c r="AB216">
        <f t="shared" si="111"/>
        <v>855.97192673508437</v>
      </c>
      <c r="AC216">
        <f>IF(B216&gt;=$AF$2,0,MIN(1/3*(V216+W216+Y216-AB216),(V216-AB216),(T216*Z216+(1-T216)*AA216)*$AH$2*Assumptions!$B$22))</f>
        <v>92.647233455474492</v>
      </c>
      <c r="AD216">
        <f t="shared" si="127"/>
        <v>16676.089317163704</v>
      </c>
      <c r="AE216">
        <f t="shared" si="128"/>
        <v>16768.736550619178</v>
      </c>
      <c r="AF216">
        <f t="shared" si="129"/>
        <v>16676.089317163704</v>
      </c>
      <c r="AG216" s="26">
        <f t="shared" si="140"/>
        <v>0</v>
      </c>
      <c r="AH216" s="27">
        <f>IF(B216&gt;$AF$2,0,HLOOKUP(YEAR(A216),Assumptions!$A$34:$AL$37,4,TRUE)/100)</f>
        <v>1.6237999999999999E-2</v>
      </c>
      <c r="AI216">
        <f t="shared" si="130"/>
        <v>0</v>
      </c>
      <c r="AJ216">
        <f t="shared" si="131"/>
        <v>3.3842870096303361</v>
      </c>
      <c r="AK216">
        <f t="shared" si="132"/>
        <v>26.183419389308831</v>
      </c>
      <c r="AL216">
        <f>IF(E216&gt;Assumptions!$B$9,0,SUMPRODUCT($P$2:$X$2,Assumptions!$A$43:$I$43)/$I$2*O215*K216)</f>
        <v>2.9500673231400305</v>
      </c>
      <c r="AM216">
        <f t="shared" si="133"/>
        <v>0</v>
      </c>
      <c r="AN216">
        <f t="shared" si="134"/>
        <v>32.517773722079198</v>
      </c>
      <c r="AO216">
        <f>IF(E216&gt;Assumptions!$B$9,0,($V$2+$X$2)/$I$2*O215*K216*Assumptions!$B$46)</f>
        <v>0</v>
      </c>
      <c r="AP216">
        <f>IF(B216&gt;$AF$2,0,AP215*(1+Assumptions!$B$52)^(1/12))</f>
        <v>1.1852868570377304</v>
      </c>
      <c r="AQ216" s="29">
        <f>IF(B216&gt;$AF$2,0,O215*Assumptions!$B$48/12*AP215+AR216*Assumptions!$B$50/12)</f>
        <v>10.105082144933611</v>
      </c>
      <c r="AR216" s="31">
        <f t="shared" si="135"/>
        <v>8753.4140478219306</v>
      </c>
      <c r="AS216">
        <f t="shared" si="118"/>
        <v>8753.6347681224743</v>
      </c>
      <c r="AT216">
        <f t="shared" si="136"/>
        <v>10.569406022391428</v>
      </c>
      <c r="AU216" s="19">
        <f t="shared" si="137"/>
        <v>8759.7133512613455</v>
      </c>
      <c r="AV216" s="19">
        <f t="shared" si="138"/>
        <v>8753.4140478219306</v>
      </c>
      <c r="AW216">
        <f t="shared" si="139"/>
        <v>-9.0600987493984704</v>
      </c>
      <c r="AX216">
        <f>IF(B216&gt;$AF$2,0,HLOOKUP(YEAR(A216),Assumptions!$A$34:$AL$37,2,TRUE)/100)</f>
        <v>2.2238000000000001E-2</v>
      </c>
      <c r="AY216" s="32">
        <f>1/(1+HLOOKUP(YEAR(A216),Assumptions!$A$27:$AL$29,3,TRUE))^(1/12)</f>
        <v>0.99817964001618509</v>
      </c>
      <c r="AZ216" s="30">
        <f t="shared" si="119"/>
        <v>9173.6585135270689</v>
      </c>
      <c r="BA216">
        <f>IF(B216&gt;$AF$2,0,IF($E$2=0,(T216*Z216+(1-T216)*AA216)*$J$2*Assumptions!$B$20,0))</f>
        <v>0</v>
      </c>
    </row>
    <row r="217" spans="1:53" x14ac:dyDescent="0.25">
      <c r="A217" s="17">
        <f t="shared" si="120"/>
        <v>49368</v>
      </c>
      <c r="B217">
        <f t="shared" si="112"/>
        <v>436</v>
      </c>
      <c r="C217">
        <f t="shared" si="113"/>
        <v>36.25</v>
      </c>
      <c r="D217">
        <f t="shared" si="106"/>
        <v>0</v>
      </c>
      <c r="E217">
        <f t="shared" si="114"/>
        <v>59</v>
      </c>
      <c r="F217">
        <f>IF(C217&gt;=$H$2,0,VLOOKUP($E217,'Mortality Table'!$A$3:$C$128,2+AB$2,FALSE))</f>
        <v>3.5561E-3</v>
      </c>
      <c r="G217">
        <f>F217*Assumptions!$B$1</f>
        <v>3.8494782500000002E-3</v>
      </c>
      <c r="H217">
        <f t="shared" si="121"/>
        <v>3.2135723377768599E-4</v>
      </c>
      <c r="I217">
        <f t="shared" si="107"/>
        <v>1.6843577077354146E-4</v>
      </c>
      <c r="J217">
        <f>HLOOKUP(C217,Assumptions!$A$6:$J$7,2,TRUE)</f>
        <v>3.5200000000000002E-2</v>
      </c>
      <c r="K217" s="18">
        <f t="shared" si="115"/>
        <v>1</v>
      </c>
      <c r="L217" s="18">
        <f t="shared" si="122"/>
        <v>8.3333333333333329E-2</v>
      </c>
      <c r="M217" s="18">
        <f t="shared" si="108"/>
        <v>2.9817501439168836E-3</v>
      </c>
      <c r="N217">
        <f t="shared" si="109"/>
        <v>1.5649327211162067E-3</v>
      </c>
      <c r="O217" s="20">
        <f t="shared" si="110"/>
        <v>0.52318794858890094</v>
      </c>
      <c r="P217">
        <f>IF(B217&gt;$AF$2,0,O216*($E$2+IF(E217&lt;=Assumptions!$B$9,$D$2,0))/$I$2*K217)</f>
        <v>26.884720123154494</v>
      </c>
      <c r="Q217">
        <f t="shared" si="123"/>
        <v>26.1</v>
      </c>
      <c r="R217">
        <f>IF(B217&gt;$AF$2,0,IF($Y$2=1,(SUMIF('Mortality Tarif Male'!A:A,E218,'Mortality Tarif Male'!G:G)-SUMIF('Mortality Tarif Male'!A:A,$C$2+$H$2,'Mortality Tarif Male'!G:G)+SUMIF('Mortality Tarif Male'!A:A,$C$2+$H$2,'Mortality Tarif Male'!D:D))/SUMIF('Mortality Tarif Male'!A:A,E218,'Mortality Tarif Male'!D:D),(SUMIF('Mortality Tarif Female'!A:A,E218,'Mortality Tarif Female'!G:G)-SUMIF('Mortality Tarif Female'!A:A,$C$2+$H$2,'Mortality Tarif Female'!G:G)+SUMIF('Mortality Tarif Female'!A:A,$C$2+$H$2,'Mortality Tarif Female'!D:D))/SUMIF('Mortality Tarif Female'!A:A,E218,'Mortality Tarif Female'!D:D)))</f>
        <v>0.8725744517148003</v>
      </c>
      <c r="S217">
        <f>IF(B217&gt;=$AF$2,0,IF($Y$2=1,(SUMIF('Mortality Tarif Male'!A:A,E218+1,'Mortality Tarif Male'!G:G)-SUMIF('Mortality Tarif Male'!A:A,$C$2+$H$2,'Mortality Tarif Male'!G:G)+SUMIF('Mortality Tarif Male'!A:A,$C$2+$H$2,'Mortality Tarif Male'!D:D))/SUMIF('Mortality Tarif Male'!A:A,E218+1,'Mortality Tarif Male'!D:D),(SUMIF('Mortality Tarif Female'!A:A,E218+1,'Mortality Tarif Female'!G:G)-SUMIF('Mortality Tarif Female'!A:A,$C$2+$H$2,'Mortality Tarif Female'!G:G)+SUMIF('Mortality Tarif Female'!A:A,$C$2+$H$2,'Mortality Tarif Female'!D:D))/SUMIF('Mortality Tarif Female'!A:A,E218+1,'Mortality Tarif Female'!D:D)))</f>
        <v>0.90262428665390537</v>
      </c>
      <c r="T217">
        <f t="shared" si="124"/>
        <v>0.6666666666666643</v>
      </c>
      <c r="U217">
        <f t="shared" si="125"/>
        <v>0.88259106336116877</v>
      </c>
      <c r="V217">
        <f t="shared" si="126"/>
        <v>17651.821267223375</v>
      </c>
      <c r="W217">
        <f t="shared" si="116"/>
        <v>23.035626753726508</v>
      </c>
      <c r="X217">
        <f t="shared" si="117"/>
        <v>0</v>
      </c>
      <c r="Y217">
        <f>IF(B217&gt;$AF$2,0,IF(X218=0,0,(1-X218)*($E$2+IF(E217&lt;=Assumptions!$B$9,$D$2,0))/$I$2*1/(1+$AG$2)*1/(1+Assumptions!$B$11)))</f>
        <v>0</v>
      </c>
      <c r="Z217">
        <f>IF(B217&gt;$AF$2,0,IF($Y$2=1,(SUMIF('Mortality Tarif Male'!A:A,E218,'Mortality Tarif Male'!E:E)-SUMIF('Mortality Tarif Male'!A:A,$C$2+$H$2,'Mortality Tarif Male'!E:E))/SUMIF('Mortality Tarif Male'!A:A,E218,'Mortality Tarif Male'!D:D),(SUMIF('Mortality Tarif Female'!A:A,E218,'Mortality Tarif Female'!E:E)-SUMIF('Mortality Tarif Female'!A:A,$C$2+$H$2,'Mortality Tarif Female'!E:E))/SUMIF('Mortality Tarif Female'!A:A,E218,'Mortality Tarif Female'!D:D)))</f>
        <v>3.7769530556303295</v>
      </c>
      <c r="AA217">
        <f>IF(B217&gt;=$AF$2,0,IF($Y$2=1,(SUMIF('Mortality Tarif Male'!A:A,E218+1,'Mortality Tarif Male'!E:E)-SUMIF('Mortality Tarif Male'!A:A,$C$2+$H$2,'Mortality Tarif Male'!E:E))/SUMIF('Mortality Tarif Male'!A:A,E218+1,'Mortality Tarif Male'!D:D),(SUMIF('Mortality Tarif Female'!A:A,E218+1,'Mortality Tarif Female'!E:E)-SUMIF('Mortality Tarif Female'!A:A,$C$2+$H$2,'Mortality Tarif Female'!E:E))/SUMIF('Mortality Tarif Female'!A:A,E218+1,'Mortality Tarif Female'!D:D)))</f>
        <v>2.8864816076194426</v>
      </c>
      <c r="AB217">
        <f t="shared" si="111"/>
        <v>838.10129553089973</v>
      </c>
      <c r="AC217">
        <f>IF(B217&gt;=$AF$2,0,MIN(1/3*(V217+W217+Y217-AB217),(V217-AB217),(T217*Z217+(1-T217)*AA217)*$AH$2*Assumptions!$B$22))</f>
        <v>90.712982471933543</v>
      </c>
      <c r="AD217">
        <f t="shared" si="127"/>
        <v>16746.042615974267</v>
      </c>
      <c r="AE217">
        <f t="shared" si="128"/>
        <v>16836.755598446201</v>
      </c>
      <c r="AF217">
        <f t="shared" si="129"/>
        <v>16746.042615974267</v>
      </c>
      <c r="AG217" s="26">
        <f t="shared" si="140"/>
        <v>0</v>
      </c>
      <c r="AH217" s="27">
        <f>IF(B217&gt;$AF$2,0,HLOOKUP(YEAR(A217),Assumptions!$A$34:$AL$37,4,TRUE)/100)</f>
        <v>1.6237999999999999E-2</v>
      </c>
      <c r="AI217">
        <f t="shared" si="130"/>
        <v>0</v>
      </c>
      <c r="AJ217">
        <f t="shared" si="131"/>
        <v>3.3731115890880186</v>
      </c>
      <c r="AK217">
        <f t="shared" si="132"/>
        <v>26.206430038944571</v>
      </c>
      <c r="AL217">
        <f>IF(E217&gt;Assumptions!$B$9,0,SUMPRODUCT($P$2:$X$2,Assumptions!$A$43:$I$43)/$I$2*O216*K217)</f>
        <v>2.9403257607753654</v>
      </c>
      <c r="AM217">
        <f t="shared" si="133"/>
        <v>0</v>
      </c>
      <c r="AN217">
        <f t="shared" si="134"/>
        <v>32.519867388807953</v>
      </c>
      <c r="AO217">
        <f>IF(E217&gt;Assumptions!$B$9,0,($V$2+$X$2)/$I$2*O216*K217*Assumptions!$B$46)</f>
        <v>0</v>
      </c>
      <c r="AP217">
        <f>IF(B217&gt;$AF$2,0,AP216*(1+Assumptions!$B$52)^(1/12))</f>
        <v>1.1862700976620768</v>
      </c>
      <c r="AQ217" s="29">
        <f>IF(B217&gt;$AF$2,0,O216*Assumptions!$B$48/12*AP216+AR217*Assumptions!$B$50/12)</f>
        <v>10.085003980180506</v>
      </c>
      <c r="AR217" s="31">
        <f t="shared" si="135"/>
        <v>8752.1688478793603</v>
      </c>
      <c r="AS217">
        <f t="shared" si="118"/>
        <v>8761.3276832338888</v>
      </c>
      <c r="AT217">
        <f t="shared" si="136"/>
        <v>10.534504267059621</v>
      </c>
      <c r="AU217" s="19">
        <f t="shared" si="137"/>
        <v>8758.4340597552746</v>
      </c>
      <c r="AV217" s="19">
        <f t="shared" si="138"/>
        <v>8761.2289466287584</v>
      </c>
      <c r="AW217">
        <f t="shared" si="139"/>
        <v>-18.144980196408564</v>
      </c>
      <c r="AX217">
        <f>IF(B217&gt;$AF$2,0,HLOOKUP(YEAR(A217),Assumptions!$A$34:$AL$37,2,TRUE)/100)</f>
        <v>2.2238000000000001E-2</v>
      </c>
      <c r="AY217" s="32">
        <f>1/(1+HLOOKUP(YEAR(A217),Assumptions!$A$27:$AL$29,3,TRUE))^(1/12)</f>
        <v>0.99817964001618509</v>
      </c>
      <c r="AZ217" s="30">
        <f t="shared" si="119"/>
        <v>9174.6681774304761</v>
      </c>
      <c r="BA217">
        <f>IF(B217&gt;$AF$2,0,IF($E$2=0,(T217*Z217+(1-T217)*AA217)*$J$2*Assumptions!$B$20,0))</f>
        <v>0</v>
      </c>
    </row>
    <row r="218" spans="1:53" x14ac:dyDescent="0.25">
      <c r="A218" s="17">
        <f t="shared" si="120"/>
        <v>49399</v>
      </c>
      <c r="B218">
        <f t="shared" si="112"/>
        <v>437</v>
      </c>
      <c r="C218">
        <f t="shared" si="113"/>
        <v>36.333333333333336</v>
      </c>
      <c r="D218">
        <f t="shared" si="106"/>
        <v>0</v>
      </c>
      <c r="E218">
        <f t="shared" si="114"/>
        <v>59</v>
      </c>
      <c r="F218">
        <f>IF(C218&gt;=$H$2,0,VLOOKUP($E218,'Mortality Table'!$A$3:$C$128,2+AB$2,FALSE))</f>
        <v>3.5561E-3</v>
      </c>
      <c r="G218">
        <f>F218*Assumptions!$B$1</f>
        <v>3.8494782500000002E-3</v>
      </c>
      <c r="H218">
        <f t="shared" si="121"/>
        <v>3.2135723377768599E-4</v>
      </c>
      <c r="I218">
        <f t="shared" si="107"/>
        <v>1.6787957073276263E-4</v>
      </c>
      <c r="J218">
        <f>HLOOKUP(C218,Assumptions!$A$6:$J$7,2,TRUE)</f>
        <v>3.5200000000000002E-2</v>
      </c>
      <c r="K218" s="18">
        <f t="shared" si="115"/>
        <v>1</v>
      </c>
      <c r="L218" s="18">
        <f t="shared" si="122"/>
        <v>8.3333333333333329E-2</v>
      </c>
      <c r="M218" s="18">
        <f t="shared" si="108"/>
        <v>2.9817501439168836E-3</v>
      </c>
      <c r="N218">
        <f t="shared" si="109"/>
        <v>1.5597650798289456E-3</v>
      </c>
      <c r="O218" s="20">
        <f t="shared" si="110"/>
        <v>0.52146030393833931</v>
      </c>
      <c r="P218">
        <f>IF(B218&gt;$AF$2,0,O217*($E$2+IF(E218&lt;=Assumptions!$B$9,$D$2,0))/$I$2*K218)</f>
        <v>26.795942766894871</v>
      </c>
      <c r="Q218">
        <f t="shared" si="123"/>
        <v>26.1</v>
      </c>
      <c r="R218">
        <f>IF(B218&gt;$AF$2,0,IF($Y$2=1,(SUMIF('Mortality Tarif Male'!A:A,E219,'Mortality Tarif Male'!G:G)-SUMIF('Mortality Tarif Male'!A:A,$C$2+$H$2,'Mortality Tarif Male'!G:G)+SUMIF('Mortality Tarif Male'!A:A,$C$2+$H$2,'Mortality Tarif Male'!D:D))/SUMIF('Mortality Tarif Male'!A:A,E219,'Mortality Tarif Male'!D:D),(SUMIF('Mortality Tarif Female'!A:A,E219,'Mortality Tarif Female'!G:G)-SUMIF('Mortality Tarif Female'!A:A,$C$2+$H$2,'Mortality Tarif Female'!G:G)+SUMIF('Mortality Tarif Female'!A:A,$C$2+$H$2,'Mortality Tarif Female'!D:D))/SUMIF('Mortality Tarif Female'!A:A,E219,'Mortality Tarif Female'!D:D)))</f>
        <v>0.8725744517148003</v>
      </c>
      <c r="S218">
        <f>IF(B218&gt;=$AF$2,0,IF($Y$2=1,(SUMIF('Mortality Tarif Male'!A:A,E219+1,'Mortality Tarif Male'!G:G)-SUMIF('Mortality Tarif Male'!A:A,$C$2+$H$2,'Mortality Tarif Male'!G:G)+SUMIF('Mortality Tarif Male'!A:A,$C$2+$H$2,'Mortality Tarif Male'!D:D))/SUMIF('Mortality Tarif Male'!A:A,E219+1,'Mortality Tarif Male'!D:D),(SUMIF('Mortality Tarif Female'!A:A,E219+1,'Mortality Tarif Female'!G:G)-SUMIF('Mortality Tarif Female'!A:A,$C$2+$H$2,'Mortality Tarif Female'!G:G)+SUMIF('Mortality Tarif Female'!A:A,$C$2+$H$2,'Mortality Tarif Female'!D:D))/SUMIF('Mortality Tarif Female'!A:A,E219+1,'Mortality Tarif Female'!D:D)))</f>
        <v>0.90262428665390537</v>
      </c>
      <c r="T218">
        <f t="shared" si="124"/>
        <v>0.5833333333333357</v>
      </c>
      <c r="U218">
        <f t="shared" si="125"/>
        <v>0.88509521627276067</v>
      </c>
      <c r="V218">
        <f t="shared" si="126"/>
        <v>17701.904325455213</v>
      </c>
      <c r="W218">
        <f t="shared" si="116"/>
        <v>23.100985144719054</v>
      </c>
      <c r="X218">
        <f t="shared" si="117"/>
        <v>0</v>
      </c>
      <c r="Y218">
        <f>IF(B218&gt;$AF$2,0,IF(X219=0,0,(1-X219)*($E$2+IF(E218&lt;=Assumptions!$B$9,$D$2,0))/$I$2*1/(1+$AG$2)*1/(1+Assumptions!$B$11)))</f>
        <v>0</v>
      </c>
      <c r="Z218">
        <f>IF(B218&gt;$AF$2,0,IF($Y$2=1,(SUMIF('Mortality Tarif Male'!A:A,E219,'Mortality Tarif Male'!E:E)-SUMIF('Mortality Tarif Male'!A:A,$C$2+$H$2,'Mortality Tarif Male'!E:E))/SUMIF('Mortality Tarif Male'!A:A,E219,'Mortality Tarif Male'!D:D),(SUMIF('Mortality Tarif Female'!A:A,E219,'Mortality Tarif Female'!E:E)-SUMIF('Mortality Tarif Female'!A:A,$C$2+$H$2,'Mortality Tarif Female'!E:E))/SUMIF('Mortality Tarif Female'!A:A,E219,'Mortality Tarif Female'!D:D)))</f>
        <v>3.7769530556303295</v>
      </c>
      <c r="AA218">
        <f>IF(B218&gt;=$AF$2,0,IF($Y$2=1,(SUMIF('Mortality Tarif Male'!A:A,E219+1,'Mortality Tarif Male'!E:E)-SUMIF('Mortality Tarif Male'!A:A,$C$2+$H$2,'Mortality Tarif Male'!E:E))/SUMIF('Mortality Tarif Male'!A:A,E219+1,'Mortality Tarif Male'!D:D),(SUMIF('Mortality Tarif Female'!A:A,E219+1,'Mortality Tarif Female'!E:E)-SUMIF('Mortality Tarif Female'!A:A,$C$2+$H$2,'Mortality Tarif Female'!E:E))/SUMIF('Mortality Tarif Female'!A:A,E219+1,'Mortality Tarif Female'!D:D)))</f>
        <v>2.8864816076194426</v>
      </c>
      <c r="AB218">
        <f t="shared" si="111"/>
        <v>820.23066432671646</v>
      </c>
      <c r="AC218">
        <f>IF(B218&gt;=$AF$2,0,MIN(1/3*(V218+W218+Y218-AB218),(V218-AB218),(T218*Z218+(1-T218)*AA218)*$AH$2*Assumptions!$B$22))</f>
        <v>88.778731488392737</v>
      </c>
      <c r="AD218">
        <f t="shared" si="127"/>
        <v>16815.995914784824</v>
      </c>
      <c r="AE218">
        <f t="shared" si="128"/>
        <v>16904.774646273218</v>
      </c>
      <c r="AF218">
        <f t="shared" si="129"/>
        <v>16815.995914784824</v>
      </c>
      <c r="AG218" s="26">
        <f t="shared" si="140"/>
        <v>0</v>
      </c>
      <c r="AH218" s="27">
        <f>IF(B218&gt;$AF$2,0,HLOOKUP(YEAR(A218),Assumptions!$A$34:$AL$37,4,TRUE)/100)</f>
        <v>1.6237999999999999E-2</v>
      </c>
      <c r="AI218">
        <f t="shared" si="130"/>
        <v>0</v>
      </c>
      <c r="AJ218">
        <f t="shared" si="131"/>
        <v>3.3619730714513776</v>
      </c>
      <c r="AK218">
        <f t="shared" si="132"/>
        <v>26.229003210427575</v>
      </c>
      <c r="AL218">
        <f>IF(E218&gt;Assumptions!$B$9,0,SUMPRODUCT($P$2:$X$2,Assumptions!$A$43:$I$43)/$I$2*O217*K218)</f>
        <v>2.9306163665027847</v>
      </c>
      <c r="AM218">
        <f t="shared" si="133"/>
        <v>0</v>
      </c>
      <c r="AN218">
        <f t="shared" si="134"/>
        <v>32.521592648381734</v>
      </c>
      <c r="AO218">
        <f>IF(E218&gt;Assumptions!$B$9,0,($V$2+$X$2)/$I$2*O217*K218*Assumptions!$B$46)</f>
        <v>0</v>
      </c>
      <c r="AP218">
        <f>IF(B218&gt;$AF$2,0,AP217*(1+Assumptions!$B$52)^(1/12))</f>
        <v>1.1872541539219967</v>
      </c>
      <c r="AQ218" s="29">
        <f>IF(B218&gt;$AF$2,0,O217*Assumptions!$B$48/12*AP217+AR218*Assumptions!$B$50/12)</f>
        <v>10.064933242181585</v>
      </c>
      <c r="AR218" s="31">
        <f t="shared" si="135"/>
        <v>8750.7518044335084</v>
      </c>
      <c r="AS218">
        <f t="shared" si="118"/>
        <v>8768.8743407495658</v>
      </c>
      <c r="AT218">
        <f t="shared" si="136"/>
        <v>10.49971776253024</v>
      </c>
      <c r="AU218" s="19">
        <f t="shared" si="137"/>
        <v>8756.9830961956923</v>
      </c>
      <c r="AV218" s="19">
        <f t="shared" si="138"/>
        <v>8768.8967846299165</v>
      </c>
      <c r="AW218">
        <f t="shared" si="139"/>
        <v>-27.254537084029835</v>
      </c>
      <c r="AX218">
        <f>IF(B218&gt;$AF$2,0,HLOOKUP(YEAR(A218),Assumptions!$A$34:$AL$37,2,TRUE)/100)</f>
        <v>2.2238000000000001E-2</v>
      </c>
      <c r="AY218" s="32">
        <f>1/(1+HLOOKUP(YEAR(A218),Assumptions!$A$27:$AL$29,3,TRUE))^(1/12)</f>
        <v>0.99817964001618509</v>
      </c>
      <c r="AZ218" s="30">
        <f t="shared" si="119"/>
        <v>9175.6092507596532</v>
      </c>
      <c r="BA218">
        <f>IF(B218&gt;$AF$2,0,IF($E$2=0,(T218*Z218+(1-T218)*AA218)*$J$2*Assumptions!$B$20,0))</f>
        <v>0</v>
      </c>
    </row>
    <row r="219" spans="1:53" x14ac:dyDescent="0.25">
      <c r="A219" s="17">
        <f t="shared" si="120"/>
        <v>49429</v>
      </c>
      <c r="B219">
        <f t="shared" si="112"/>
        <v>438</v>
      </c>
      <c r="C219">
        <f t="shared" si="113"/>
        <v>36.416666666666664</v>
      </c>
      <c r="D219">
        <f t="shared" si="106"/>
        <v>0</v>
      </c>
      <c r="E219">
        <f t="shared" si="114"/>
        <v>59</v>
      </c>
      <c r="F219">
        <f>IF(C219&gt;=$H$2,0,VLOOKUP($E219,'Mortality Table'!$A$3:$C$128,2+AB$2,FALSE))</f>
        <v>3.5561E-3</v>
      </c>
      <c r="G219">
        <f>F219*Assumptions!$B$1</f>
        <v>3.8494782500000002E-3</v>
      </c>
      <c r="H219">
        <f t="shared" si="121"/>
        <v>3.2135723377768599E-4</v>
      </c>
      <c r="I219">
        <f t="shared" si="107"/>
        <v>1.6732520734748718E-4</v>
      </c>
      <c r="J219">
        <f>HLOOKUP(C219,Assumptions!$A$6:$J$7,2,TRUE)</f>
        <v>3.5200000000000002E-2</v>
      </c>
      <c r="K219" s="18">
        <f t="shared" si="115"/>
        <v>1</v>
      </c>
      <c r="L219" s="18">
        <f t="shared" si="122"/>
        <v>8.3333333333333329E-2</v>
      </c>
      <c r="M219" s="18">
        <f t="shared" si="108"/>
        <v>2.9817501439168836E-3</v>
      </c>
      <c r="N219">
        <f t="shared" si="109"/>
        <v>1.5546145028640763E-3</v>
      </c>
      <c r="O219" s="20">
        <f t="shared" si="110"/>
        <v>0.51973836422812769</v>
      </c>
      <c r="P219">
        <f>IF(B219&gt;$AF$2,0,O218*($E$2+IF(E219&lt;=Assumptions!$B$9,$D$2,0))/$I$2*K219)</f>
        <v>26.70745856670861</v>
      </c>
      <c r="Q219">
        <f t="shared" si="123"/>
        <v>26.1</v>
      </c>
      <c r="R219">
        <f>IF(B219&gt;$AF$2,0,IF($Y$2=1,(SUMIF('Mortality Tarif Male'!A:A,E220,'Mortality Tarif Male'!G:G)-SUMIF('Mortality Tarif Male'!A:A,$C$2+$H$2,'Mortality Tarif Male'!G:G)+SUMIF('Mortality Tarif Male'!A:A,$C$2+$H$2,'Mortality Tarif Male'!D:D))/SUMIF('Mortality Tarif Male'!A:A,E220,'Mortality Tarif Male'!D:D),(SUMIF('Mortality Tarif Female'!A:A,E220,'Mortality Tarif Female'!G:G)-SUMIF('Mortality Tarif Female'!A:A,$C$2+$H$2,'Mortality Tarif Female'!G:G)+SUMIF('Mortality Tarif Female'!A:A,$C$2+$H$2,'Mortality Tarif Female'!D:D))/SUMIF('Mortality Tarif Female'!A:A,E220,'Mortality Tarif Female'!D:D)))</f>
        <v>0.8725744517148003</v>
      </c>
      <c r="S219">
        <f>IF(B219&gt;=$AF$2,0,IF($Y$2=1,(SUMIF('Mortality Tarif Male'!A:A,E220+1,'Mortality Tarif Male'!G:G)-SUMIF('Mortality Tarif Male'!A:A,$C$2+$H$2,'Mortality Tarif Male'!G:G)+SUMIF('Mortality Tarif Male'!A:A,$C$2+$H$2,'Mortality Tarif Male'!D:D))/SUMIF('Mortality Tarif Male'!A:A,E220+1,'Mortality Tarif Male'!D:D),(SUMIF('Mortality Tarif Female'!A:A,E220+1,'Mortality Tarif Female'!G:G)-SUMIF('Mortality Tarif Female'!A:A,$C$2+$H$2,'Mortality Tarif Female'!G:G)+SUMIF('Mortality Tarif Female'!A:A,$C$2+$H$2,'Mortality Tarif Female'!D:D))/SUMIF('Mortality Tarif Female'!A:A,E220+1,'Mortality Tarif Female'!D:D)))</f>
        <v>0.90262428665390537</v>
      </c>
      <c r="T219">
        <f t="shared" si="124"/>
        <v>0.5</v>
      </c>
      <c r="U219">
        <f t="shared" si="125"/>
        <v>0.88759936918435289</v>
      </c>
      <c r="V219">
        <f t="shared" si="126"/>
        <v>17751.987383687057</v>
      </c>
      <c r="W219">
        <f t="shared" si="116"/>
        <v>23.166343535711611</v>
      </c>
      <c r="X219">
        <f t="shared" si="117"/>
        <v>0</v>
      </c>
      <c r="Y219">
        <f>IF(B219&gt;$AF$2,0,IF(X220=0,0,(1-X220)*($E$2+IF(E219&lt;=Assumptions!$B$9,$D$2,0))/$I$2*1/(1+$AG$2)*1/(1+Assumptions!$B$11)))</f>
        <v>0</v>
      </c>
      <c r="Z219">
        <f>IF(B219&gt;$AF$2,0,IF($Y$2=1,(SUMIF('Mortality Tarif Male'!A:A,E220,'Mortality Tarif Male'!E:E)-SUMIF('Mortality Tarif Male'!A:A,$C$2+$H$2,'Mortality Tarif Male'!E:E))/SUMIF('Mortality Tarif Male'!A:A,E220,'Mortality Tarif Male'!D:D),(SUMIF('Mortality Tarif Female'!A:A,E220,'Mortality Tarif Female'!E:E)-SUMIF('Mortality Tarif Female'!A:A,$C$2+$H$2,'Mortality Tarif Female'!E:E))/SUMIF('Mortality Tarif Female'!A:A,E220,'Mortality Tarif Female'!D:D)))</f>
        <v>3.7769530556303295</v>
      </c>
      <c r="AA219">
        <f>IF(B219&gt;=$AF$2,0,IF($Y$2=1,(SUMIF('Mortality Tarif Male'!A:A,E220+1,'Mortality Tarif Male'!E:E)-SUMIF('Mortality Tarif Male'!A:A,$C$2+$H$2,'Mortality Tarif Male'!E:E))/SUMIF('Mortality Tarif Male'!A:A,E220+1,'Mortality Tarif Male'!D:D),(SUMIF('Mortality Tarif Female'!A:A,E220+1,'Mortality Tarif Female'!E:E)-SUMIF('Mortality Tarif Female'!A:A,$C$2+$H$2,'Mortality Tarif Female'!E:E))/SUMIF('Mortality Tarif Female'!A:A,E220+1,'Mortality Tarif Female'!D:D)))</f>
        <v>2.8864816076194426</v>
      </c>
      <c r="AB219">
        <f t="shared" si="111"/>
        <v>802.36003312253183</v>
      </c>
      <c r="AC219">
        <f>IF(B219&gt;=$AF$2,0,MIN(1/3*(V219+W219+Y219-AB219),(V219-AB219),(T219*Z219+(1-T219)*AA219)*$AH$2*Assumptions!$B$22))</f>
        <v>86.844480504851759</v>
      </c>
      <c r="AD219">
        <f t="shared" si="127"/>
        <v>16885.949213595384</v>
      </c>
      <c r="AE219">
        <f t="shared" si="128"/>
        <v>16972.793694100237</v>
      </c>
      <c r="AF219">
        <f t="shared" si="129"/>
        <v>16885.949213595384</v>
      </c>
      <c r="AG219" s="26">
        <f t="shared" si="140"/>
        <v>0</v>
      </c>
      <c r="AH219" s="27">
        <f>IF(B219&gt;$AF$2,0,HLOOKUP(YEAR(A219),Assumptions!$A$34:$AL$37,4,TRUE)/100)</f>
        <v>1.6237999999999999E-2</v>
      </c>
      <c r="AI219">
        <f t="shared" si="130"/>
        <v>0</v>
      </c>
      <c r="AJ219">
        <f t="shared" si="131"/>
        <v>3.3508713348615129</v>
      </c>
      <c r="AK219">
        <f t="shared" si="132"/>
        <v>26.25114154208163</v>
      </c>
      <c r="AL219">
        <f>IF(E219&gt;Assumptions!$B$9,0,SUMPRODUCT($P$2:$X$2,Assumptions!$A$43:$I$43)/$I$2*O218*K219)</f>
        <v>2.92093903409845</v>
      </c>
      <c r="AM219">
        <f t="shared" si="133"/>
        <v>0</v>
      </c>
      <c r="AN219">
        <f t="shared" si="134"/>
        <v>32.522951911041595</v>
      </c>
      <c r="AO219">
        <f>IF(E219&gt;Assumptions!$B$9,0,($V$2+$X$2)/$I$2*O218*K219*Assumptions!$B$46)</f>
        <v>0</v>
      </c>
      <c r="AP219">
        <f>IF(B219&gt;$AF$2,0,AP218*(1+Assumptions!$B$52)^(1/12))</f>
        <v>1.1882390264940907</v>
      </c>
      <c r="AQ219" s="29">
        <f>IF(B219&gt;$AF$2,0,O218*Assumptions!$B$48/12*AP218+AR219*Assumptions!$B$50/12)</f>
        <v>10.044870049796119</v>
      </c>
      <c r="AR219" s="31">
        <f t="shared" si="135"/>
        <v>8749.1639107596657</v>
      </c>
      <c r="AS219">
        <f t="shared" si="118"/>
        <v>8776.275622713305</v>
      </c>
      <c r="AT219">
        <f t="shared" si="136"/>
        <v>10.465046128227945</v>
      </c>
      <c r="AU219" s="19">
        <f t="shared" si="137"/>
        <v>8755.3614531483508</v>
      </c>
      <c r="AV219" s="19">
        <f t="shared" si="138"/>
        <v>8776.4184478436946</v>
      </c>
      <c r="AW219">
        <f t="shared" si="139"/>
        <v>-36.388662878026551</v>
      </c>
      <c r="AX219">
        <f>IF(B219&gt;$AF$2,0,HLOOKUP(YEAR(A219),Assumptions!$A$34:$AL$37,2,TRUE)/100)</f>
        <v>2.2238000000000001E-2</v>
      </c>
      <c r="AY219" s="32">
        <f>1/(1+HLOOKUP(YEAR(A219),Assumptions!$A$27:$AL$29,3,TRUE))^(1/12)</f>
        <v>0.99817964001618509</v>
      </c>
      <c r="AZ219" s="30">
        <f t="shared" si="119"/>
        <v>9176.4822600347306</v>
      </c>
      <c r="BA219">
        <f>IF(B219&gt;$AF$2,0,IF($E$2=0,(T219*Z219+(1-T219)*AA219)*$J$2*Assumptions!$B$20,0))</f>
        <v>0</v>
      </c>
    </row>
    <row r="220" spans="1:53" x14ac:dyDescent="0.25">
      <c r="A220" s="17">
        <f t="shared" si="120"/>
        <v>49460</v>
      </c>
      <c r="B220">
        <f t="shared" si="112"/>
        <v>439</v>
      </c>
      <c r="C220">
        <f t="shared" si="113"/>
        <v>36.5</v>
      </c>
      <c r="D220">
        <f t="shared" si="106"/>
        <v>0</v>
      </c>
      <c r="E220">
        <f t="shared" si="114"/>
        <v>59</v>
      </c>
      <c r="F220">
        <f>IF(C220&gt;=$H$2,0,VLOOKUP($E220,'Mortality Table'!$A$3:$C$128,2+AB$2,FALSE))</f>
        <v>3.5561E-3</v>
      </c>
      <c r="G220">
        <f>F220*Assumptions!$B$1</f>
        <v>3.8494782500000002E-3</v>
      </c>
      <c r="H220">
        <f t="shared" si="121"/>
        <v>3.2135723377768599E-4</v>
      </c>
      <c r="I220">
        <f t="shared" si="107"/>
        <v>1.6677267455280471E-4</v>
      </c>
      <c r="J220">
        <f>HLOOKUP(C220,Assumptions!$A$6:$J$7,2,TRUE)</f>
        <v>3.5200000000000002E-2</v>
      </c>
      <c r="K220" s="18">
        <f t="shared" si="115"/>
        <v>1</v>
      </c>
      <c r="L220" s="18">
        <f t="shared" si="122"/>
        <v>8.3333333333333329E-2</v>
      </c>
      <c r="M220" s="18">
        <f t="shared" si="108"/>
        <v>2.9817501439168836E-3</v>
      </c>
      <c r="N220">
        <f t="shared" si="109"/>
        <v>1.5494809338726595E-3</v>
      </c>
      <c r="O220" s="20">
        <f t="shared" si="110"/>
        <v>0.51802211061970227</v>
      </c>
      <c r="P220">
        <f>IF(B220&gt;$AF$2,0,O219*($E$2+IF(E220&lt;=Assumptions!$B$9,$D$2,0))/$I$2*K220)</f>
        <v>26.619266554550602</v>
      </c>
      <c r="Q220">
        <f t="shared" si="123"/>
        <v>26.1</v>
      </c>
      <c r="R220">
        <f>IF(B220&gt;$AF$2,0,IF($Y$2=1,(SUMIF('Mortality Tarif Male'!A:A,E221,'Mortality Tarif Male'!G:G)-SUMIF('Mortality Tarif Male'!A:A,$C$2+$H$2,'Mortality Tarif Male'!G:G)+SUMIF('Mortality Tarif Male'!A:A,$C$2+$H$2,'Mortality Tarif Male'!D:D))/SUMIF('Mortality Tarif Male'!A:A,E221,'Mortality Tarif Male'!D:D),(SUMIF('Mortality Tarif Female'!A:A,E221,'Mortality Tarif Female'!G:G)-SUMIF('Mortality Tarif Female'!A:A,$C$2+$H$2,'Mortality Tarif Female'!G:G)+SUMIF('Mortality Tarif Female'!A:A,$C$2+$H$2,'Mortality Tarif Female'!D:D))/SUMIF('Mortality Tarif Female'!A:A,E221,'Mortality Tarif Female'!D:D)))</f>
        <v>0.8725744517148003</v>
      </c>
      <c r="S220">
        <f>IF(B220&gt;=$AF$2,0,IF($Y$2=1,(SUMIF('Mortality Tarif Male'!A:A,E221+1,'Mortality Tarif Male'!G:G)-SUMIF('Mortality Tarif Male'!A:A,$C$2+$H$2,'Mortality Tarif Male'!G:G)+SUMIF('Mortality Tarif Male'!A:A,$C$2+$H$2,'Mortality Tarif Male'!D:D))/SUMIF('Mortality Tarif Male'!A:A,E221+1,'Mortality Tarif Male'!D:D),(SUMIF('Mortality Tarif Female'!A:A,E221+1,'Mortality Tarif Female'!G:G)-SUMIF('Mortality Tarif Female'!A:A,$C$2+$H$2,'Mortality Tarif Female'!G:G)+SUMIF('Mortality Tarif Female'!A:A,$C$2+$H$2,'Mortality Tarif Female'!D:D))/SUMIF('Mortality Tarif Female'!A:A,E221+1,'Mortality Tarif Female'!D:D)))</f>
        <v>0.90262428665390537</v>
      </c>
      <c r="T220">
        <f t="shared" si="124"/>
        <v>0.4166666666666643</v>
      </c>
      <c r="U220">
        <f t="shared" si="125"/>
        <v>0.89010352209594501</v>
      </c>
      <c r="V220">
        <f t="shared" si="126"/>
        <v>17802.070441918899</v>
      </c>
      <c r="W220">
        <f t="shared" si="116"/>
        <v>23.231701926704165</v>
      </c>
      <c r="X220">
        <f t="shared" si="117"/>
        <v>0</v>
      </c>
      <c r="Y220">
        <f>IF(B220&gt;$AF$2,0,IF(X221=0,0,(1-X221)*($E$2+IF(E220&lt;=Assumptions!$B$9,$D$2,0))/$I$2*1/(1+$AG$2)*1/(1+Assumptions!$B$11)))</f>
        <v>0</v>
      </c>
      <c r="Z220">
        <f>IF(B220&gt;$AF$2,0,IF($Y$2=1,(SUMIF('Mortality Tarif Male'!A:A,E221,'Mortality Tarif Male'!E:E)-SUMIF('Mortality Tarif Male'!A:A,$C$2+$H$2,'Mortality Tarif Male'!E:E))/SUMIF('Mortality Tarif Male'!A:A,E221,'Mortality Tarif Male'!D:D),(SUMIF('Mortality Tarif Female'!A:A,E221,'Mortality Tarif Female'!E:E)-SUMIF('Mortality Tarif Female'!A:A,$C$2+$H$2,'Mortality Tarif Female'!E:E))/SUMIF('Mortality Tarif Female'!A:A,E221,'Mortality Tarif Female'!D:D)))</f>
        <v>3.7769530556303295</v>
      </c>
      <c r="AA220">
        <f>IF(B220&gt;=$AF$2,0,IF($Y$2=1,(SUMIF('Mortality Tarif Male'!A:A,E221+1,'Mortality Tarif Male'!E:E)-SUMIF('Mortality Tarif Male'!A:A,$C$2+$H$2,'Mortality Tarif Male'!E:E))/SUMIF('Mortality Tarif Male'!A:A,E221+1,'Mortality Tarif Male'!D:D),(SUMIF('Mortality Tarif Female'!A:A,E221+1,'Mortality Tarif Female'!E:E)-SUMIF('Mortality Tarif Female'!A:A,$C$2+$H$2,'Mortality Tarif Female'!E:E))/SUMIF('Mortality Tarif Female'!A:A,E221+1,'Mortality Tarif Female'!D:D)))</f>
        <v>2.8864816076194426</v>
      </c>
      <c r="AB220">
        <f t="shared" si="111"/>
        <v>784.48940191834708</v>
      </c>
      <c r="AC220">
        <f>IF(B220&gt;=$AF$2,0,MIN(1/3*(V220+W220+Y220-AB220),(V220-AB220),(T220*Z220+(1-T220)*AA220)*$AH$2*Assumptions!$B$22))</f>
        <v>84.910229521310811</v>
      </c>
      <c r="AD220">
        <f t="shared" si="127"/>
        <v>16955.902512405941</v>
      </c>
      <c r="AE220">
        <f t="shared" si="128"/>
        <v>17040.812741927253</v>
      </c>
      <c r="AF220">
        <f t="shared" si="129"/>
        <v>16955.902512405941</v>
      </c>
      <c r="AG220" s="26">
        <f t="shared" si="140"/>
        <v>0</v>
      </c>
      <c r="AH220" s="27">
        <f>IF(B220&gt;$AF$2,0,HLOOKUP(YEAR(A220),Assumptions!$A$34:$AL$37,4,TRUE)/100)</f>
        <v>1.6237999999999999E-2</v>
      </c>
      <c r="AI220">
        <f t="shared" si="130"/>
        <v>0</v>
      </c>
      <c r="AJ220">
        <f t="shared" si="131"/>
        <v>3.3398062578619223</v>
      </c>
      <c r="AK220">
        <f t="shared" si="132"/>
        <v>26.272847659576531</v>
      </c>
      <c r="AL220">
        <f>IF(E220&gt;Assumptions!$B$9,0,SUMPRODUCT($P$2:$X$2,Assumptions!$A$43:$I$43)/$I$2*O219*K220)</f>
        <v>2.9112936576892881</v>
      </c>
      <c r="AM220">
        <f t="shared" si="133"/>
        <v>0</v>
      </c>
      <c r="AN220">
        <f t="shared" si="134"/>
        <v>32.523947575127742</v>
      </c>
      <c r="AO220">
        <f>IF(E220&gt;Assumptions!$B$9,0,($V$2+$X$2)/$I$2*O219*K220*Assumptions!$B$46)</f>
        <v>0</v>
      </c>
      <c r="AP220">
        <f>IF(B220&gt;$AF$2,0,AP219*(1+Assumptions!$B$52)^(1/12))</f>
        <v>1.1892247160555212</v>
      </c>
      <c r="AQ220" s="29">
        <f>IF(B220&gt;$AF$2,0,O219*Assumptions!$B$48/12*AP219+AR220*Assumptions!$B$50/12)</f>
        <v>10.024814520982085</v>
      </c>
      <c r="AR220" s="31">
        <f t="shared" si="135"/>
        <v>8747.4061551624218</v>
      </c>
      <c r="AS220">
        <f t="shared" si="118"/>
        <v>8783.5324069384387</v>
      </c>
      <c r="AT220">
        <f t="shared" si="136"/>
        <v>10.430488984834106</v>
      </c>
      <c r="AU220" s="19">
        <f t="shared" si="137"/>
        <v>8753.570118211157</v>
      </c>
      <c r="AV220" s="19">
        <f t="shared" si="138"/>
        <v>8783.7948180404492</v>
      </c>
      <c r="AW220">
        <f t="shared" si="139"/>
        <v>-45.547251763846035</v>
      </c>
      <c r="AX220">
        <f>IF(B220&gt;$AF$2,0,HLOOKUP(YEAR(A220),Assumptions!$A$34:$AL$37,2,TRUE)/100)</f>
        <v>2.2238000000000001E-2</v>
      </c>
      <c r="AY220" s="32">
        <f>1/(1+HLOOKUP(YEAR(A220),Assumptions!$A$27:$AL$29,3,TRUE))^(1/12)</f>
        <v>0.99817964001618509</v>
      </c>
      <c r="AZ220" s="30">
        <f t="shared" si="119"/>
        <v>9177.2877292517041</v>
      </c>
      <c r="BA220">
        <f>IF(B220&gt;$AF$2,0,IF($E$2=0,(T220*Z220+(1-T220)*AA220)*$J$2*Assumptions!$B$20,0))</f>
        <v>0</v>
      </c>
    </row>
    <row r="221" spans="1:53" x14ac:dyDescent="0.25">
      <c r="A221" s="17">
        <f t="shared" si="120"/>
        <v>49490</v>
      </c>
      <c r="B221">
        <f t="shared" si="112"/>
        <v>440</v>
      </c>
      <c r="C221">
        <f t="shared" si="113"/>
        <v>36.583333333333336</v>
      </c>
      <c r="D221">
        <f t="shared" si="106"/>
        <v>0</v>
      </c>
      <c r="E221">
        <f t="shared" si="114"/>
        <v>59</v>
      </c>
      <c r="F221">
        <f>IF(C221&gt;=$H$2,0,VLOOKUP($E221,'Mortality Table'!$A$3:$C$128,2+AB$2,FALSE))</f>
        <v>3.5561E-3</v>
      </c>
      <c r="G221">
        <f>F221*Assumptions!$B$1</f>
        <v>3.8494782500000002E-3</v>
      </c>
      <c r="H221">
        <f t="shared" si="121"/>
        <v>3.2135723377768599E-4</v>
      </c>
      <c r="I221">
        <f t="shared" si="107"/>
        <v>1.6622196630383199E-4</v>
      </c>
      <c r="J221">
        <f>HLOOKUP(C221,Assumptions!$A$6:$J$7,2,TRUE)</f>
        <v>3.5200000000000002E-2</v>
      </c>
      <c r="K221" s="18">
        <f t="shared" si="115"/>
        <v>1</v>
      </c>
      <c r="L221" s="18">
        <f t="shared" si="122"/>
        <v>8.3333333333333329E-2</v>
      </c>
      <c r="M221" s="18">
        <f t="shared" si="108"/>
        <v>2.9817501439168836E-3</v>
      </c>
      <c r="N221">
        <f t="shared" si="109"/>
        <v>1.5443643166918311E-3</v>
      </c>
      <c r="O221" s="20">
        <f t="shared" si="110"/>
        <v>0.51631152433670668</v>
      </c>
      <c r="P221">
        <f>IF(B221&gt;$AF$2,0,O220*($E$2+IF(E221&lt;=Assumptions!$B$9,$D$2,0))/$I$2*K221)</f>
        <v>26.531365765572414</v>
      </c>
      <c r="Q221">
        <f t="shared" si="123"/>
        <v>26.1</v>
      </c>
      <c r="R221">
        <f>IF(B221&gt;$AF$2,0,IF($Y$2=1,(SUMIF('Mortality Tarif Male'!A:A,E222,'Mortality Tarif Male'!G:G)-SUMIF('Mortality Tarif Male'!A:A,$C$2+$H$2,'Mortality Tarif Male'!G:G)+SUMIF('Mortality Tarif Male'!A:A,$C$2+$H$2,'Mortality Tarif Male'!D:D))/SUMIF('Mortality Tarif Male'!A:A,E222,'Mortality Tarif Male'!D:D),(SUMIF('Mortality Tarif Female'!A:A,E222,'Mortality Tarif Female'!G:G)-SUMIF('Mortality Tarif Female'!A:A,$C$2+$H$2,'Mortality Tarif Female'!G:G)+SUMIF('Mortality Tarif Female'!A:A,$C$2+$H$2,'Mortality Tarif Female'!D:D))/SUMIF('Mortality Tarif Female'!A:A,E222,'Mortality Tarif Female'!D:D)))</f>
        <v>0.8725744517148003</v>
      </c>
      <c r="S221">
        <f>IF(B221&gt;=$AF$2,0,IF($Y$2=1,(SUMIF('Mortality Tarif Male'!A:A,E222+1,'Mortality Tarif Male'!G:G)-SUMIF('Mortality Tarif Male'!A:A,$C$2+$H$2,'Mortality Tarif Male'!G:G)+SUMIF('Mortality Tarif Male'!A:A,$C$2+$H$2,'Mortality Tarif Male'!D:D))/SUMIF('Mortality Tarif Male'!A:A,E222+1,'Mortality Tarif Male'!D:D),(SUMIF('Mortality Tarif Female'!A:A,E222+1,'Mortality Tarif Female'!G:G)-SUMIF('Mortality Tarif Female'!A:A,$C$2+$H$2,'Mortality Tarif Female'!G:G)+SUMIF('Mortality Tarif Female'!A:A,$C$2+$H$2,'Mortality Tarif Female'!D:D))/SUMIF('Mortality Tarif Female'!A:A,E222+1,'Mortality Tarif Female'!D:D)))</f>
        <v>0.90262428665390537</v>
      </c>
      <c r="T221">
        <f t="shared" si="124"/>
        <v>0.3333333333333357</v>
      </c>
      <c r="U221">
        <f t="shared" si="125"/>
        <v>0.8926076750075369</v>
      </c>
      <c r="V221">
        <f t="shared" si="126"/>
        <v>17852.153500150736</v>
      </c>
      <c r="W221">
        <f t="shared" si="116"/>
        <v>23.297060317696715</v>
      </c>
      <c r="X221">
        <f t="shared" si="117"/>
        <v>0</v>
      </c>
      <c r="Y221">
        <f>IF(B221&gt;$AF$2,0,IF(X222=0,0,(1-X222)*($E$2+IF(E221&lt;=Assumptions!$B$9,$D$2,0))/$I$2*1/(1+$AG$2)*1/(1+Assumptions!$B$11)))</f>
        <v>0</v>
      </c>
      <c r="Z221">
        <f>IF(B221&gt;$AF$2,0,IF($Y$2=1,(SUMIF('Mortality Tarif Male'!A:A,E222,'Mortality Tarif Male'!E:E)-SUMIF('Mortality Tarif Male'!A:A,$C$2+$H$2,'Mortality Tarif Male'!E:E))/SUMIF('Mortality Tarif Male'!A:A,E222,'Mortality Tarif Male'!D:D),(SUMIF('Mortality Tarif Female'!A:A,E222,'Mortality Tarif Female'!E:E)-SUMIF('Mortality Tarif Female'!A:A,$C$2+$H$2,'Mortality Tarif Female'!E:E))/SUMIF('Mortality Tarif Female'!A:A,E222,'Mortality Tarif Female'!D:D)))</f>
        <v>3.7769530556303295</v>
      </c>
      <c r="AA221">
        <f>IF(B221&gt;=$AF$2,0,IF($Y$2=1,(SUMIF('Mortality Tarif Male'!A:A,E222+1,'Mortality Tarif Male'!E:E)-SUMIF('Mortality Tarif Male'!A:A,$C$2+$H$2,'Mortality Tarif Male'!E:E))/SUMIF('Mortality Tarif Male'!A:A,E222+1,'Mortality Tarif Male'!D:D),(SUMIF('Mortality Tarif Female'!A:A,E222+1,'Mortality Tarif Female'!E:E)-SUMIF('Mortality Tarif Female'!A:A,$C$2+$H$2,'Mortality Tarif Female'!E:E))/SUMIF('Mortality Tarif Female'!A:A,E222+1,'Mortality Tarif Female'!D:D)))</f>
        <v>2.8864816076194426</v>
      </c>
      <c r="AB221">
        <f t="shared" si="111"/>
        <v>766.61877071416382</v>
      </c>
      <c r="AC221">
        <f>IF(B221&gt;=$AF$2,0,MIN(1/3*(V221+W221+Y221-AB221),(V221-AB221),(T221*Z221+(1-T221)*AA221)*$AH$2*Assumptions!$B$22))</f>
        <v>82.975978537770004</v>
      </c>
      <c r="AD221">
        <f t="shared" si="127"/>
        <v>17025.855811216501</v>
      </c>
      <c r="AE221">
        <f t="shared" si="128"/>
        <v>17108.831789754269</v>
      </c>
      <c r="AF221">
        <f t="shared" si="129"/>
        <v>17025.855811216501</v>
      </c>
      <c r="AG221" s="26">
        <f t="shared" si="140"/>
        <v>0</v>
      </c>
      <c r="AH221" s="27">
        <f>IF(B221&gt;$AF$2,0,HLOOKUP(YEAR(A221),Assumptions!$A$34:$AL$37,4,TRUE)/100)</f>
        <v>1.6237999999999999E-2</v>
      </c>
      <c r="AI221">
        <f t="shared" si="130"/>
        <v>0</v>
      </c>
      <c r="AJ221">
        <f t="shared" si="131"/>
        <v>3.3287777193971695</v>
      </c>
      <c r="AK221">
        <f t="shared" si="132"/>
        <v>26.294124175983011</v>
      </c>
      <c r="AL221">
        <f>IF(E221&gt;Assumptions!$B$9,0,SUMPRODUCT($P$2:$X$2,Assumptions!$A$43:$I$43)/$I$2*O220*K221)</f>
        <v>2.9016801317518373</v>
      </c>
      <c r="AM221">
        <f t="shared" si="133"/>
        <v>0</v>
      </c>
      <c r="AN221">
        <f t="shared" si="134"/>
        <v>32.52458202713202</v>
      </c>
      <c r="AO221">
        <f>IF(E221&gt;Assumptions!$B$9,0,($V$2+$X$2)/$I$2*O220*K221*Assumptions!$B$46)</f>
        <v>0</v>
      </c>
      <c r="AP221">
        <f>IF(B221&gt;$AF$2,0,AP220*(1+Assumptions!$B$52)^(1/12))</f>
        <v>1.1902112232840116</v>
      </c>
      <c r="AQ221" s="29">
        <f>IF(B221&gt;$AF$2,0,O220*Assumptions!$B$48/12*AP220+AR221*Assumptions!$B$50/12)</f>
        <v>10.004766772800629</v>
      </c>
      <c r="AR221" s="31">
        <f t="shared" si="135"/>
        <v>8745.4795209971235</v>
      </c>
      <c r="AS221">
        <f t="shared" si="118"/>
        <v>8790.6455670261676</v>
      </c>
      <c r="AT221">
        <f t="shared" si="136"/>
        <v>10.39604595428267</v>
      </c>
      <c r="AU221" s="19">
        <f t="shared" si="137"/>
        <v>8751.6100740356105</v>
      </c>
      <c r="AV221" s="19">
        <f t="shared" si="138"/>
        <v>8791.0267727609698</v>
      </c>
      <c r="AW221">
        <f t="shared" si="139"/>
        <v>-54.730198643550409</v>
      </c>
      <c r="AX221">
        <f>IF(B221&gt;$AF$2,0,HLOOKUP(YEAR(A221),Assumptions!$A$34:$AL$37,2,TRUE)/100)</f>
        <v>2.2238000000000001E-2</v>
      </c>
      <c r="AY221" s="32">
        <f>1/(1+HLOOKUP(YEAR(A221),Assumptions!$A$27:$AL$29,3,TRUE))^(1/12)</f>
        <v>0.99817964001618509</v>
      </c>
      <c r="AZ221" s="30">
        <f t="shared" si="119"/>
        <v>9178.0261798937645</v>
      </c>
      <c r="BA221">
        <f>IF(B221&gt;$AF$2,0,IF($E$2=0,(T221*Z221+(1-T221)*AA221)*$J$2*Assumptions!$B$20,0))</f>
        <v>0</v>
      </c>
    </row>
    <row r="222" spans="1:53" x14ac:dyDescent="0.25">
      <c r="A222" s="17">
        <f t="shared" si="120"/>
        <v>49521</v>
      </c>
      <c r="B222">
        <f t="shared" si="112"/>
        <v>441</v>
      </c>
      <c r="C222">
        <f t="shared" si="113"/>
        <v>36.666666666666664</v>
      </c>
      <c r="D222">
        <f t="shared" si="106"/>
        <v>0</v>
      </c>
      <c r="E222">
        <f t="shared" si="114"/>
        <v>59</v>
      </c>
      <c r="F222">
        <f>IF(C222&gt;=$H$2,0,VLOOKUP($E222,'Mortality Table'!$A$3:$C$128,2+AB$2,FALSE))</f>
        <v>3.5561E-3</v>
      </c>
      <c r="G222">
        <f>F222*Assumptions!$B$1</f>
        <v>3.8494782500000002E-3</v>
      </c>
      <c r="H222">
        <f t="shared" si="121"/>
        <v>3.2135723377768599E-4</v>
      </c>
      <c r="I222">
        <f t="shared" si="107"/>
        <v>1.6567307657564697E-4</v>
      </c>
      <c r="J222">
        <f>HLOOKUP(C222,Assumptions!$A$6:$J$7,2,TRUE)</f>
        <v>3.5200000000000002E-2</v>
      </c>
      <c r="K222" s="18">
        <f t="shared" si="115"/>
        <v>1</v>
      </c>
      <c r="L222" s="18">
        <f t="shared" si="122"/>
        <v>8.3333333333333329E-2</v>
      </c>
      <c r="M222" s="18">
        <f t="shared" si="108"/>
        <v>2.9817501439168836E-3</v>
      </c>
      <c r="N222">
        <f t="shared" si="109"/>
        <v>1.5392645953441831E-3</v>
      </c>
      <c r="O222" s="20">
        <f t="shared" si="110"/>
        <v>0.51460658666478687</v>
      </c>
      <c r="P222">
        <f>IF(B222&gt;$AF$2,0,O221*($E$2+IF(E222&lt;=Assumptions!$B$9,$D$2,0))/$I$2*K222)</f>
        <v>26.44375523811166</v>
      </c>
      <c r="Q222">
        <f t="shared" si="123"/>
        <v>26.1</v>
      </c>
      <c r="R222">
        <f>IF(B222&gt;$AF$2,0,IF($Y$2=1,(SUMIF('Mortality Tarif Male'!A:A,E223,'Mortality Tarif Male'!G:G)-SUMIF('Mortality Tarif Male'!A:A,$C$2+$H$2,'Mortality Tarif Male'!G:G)+SUMIF('Mortality Tarif Male'!A:A,$C$2+$H$2,'Mortality Tarif Male'!D:D))/SUMIF('Mortality Tarif Male'!A:A,E223,'Mortality Tarif Male'!D:D),(SUMIF('Mortality Tarif Female'!A:A,E223,'Mortality Tarif Female'!G:G)-SUMIF('Mortality Tarif Female'!A:A,$C$2+$H$2,'Mortality Tarif Female'!G:G)+SUMIF('Mortality Tarif Female'!A:A,$C$2+$H$2,'Mortality Tarif Female'!D:D))/SUMIF('Mortality Tarif Female'!A:A,E223,'Mortality Tarif Female'!D:D)))</f>
        <v>0.8725744517148003</v>
      </c>
      <c r="S222">
        <f>IF(B222&gt;=$AF$2,0,IF($Y$2=1,(SUMIF('Mortality Tarif Male'!A:A,E223+1,'Mortality Tarif Male'!G:G)-SUMIF('Mortality Tarif Male'!A:A,$C$2+$H$2,'Mortality Tarif Male'!G:G)+SUMIF('Mortality Tarif Male'!A:A,$C$2+$H$2,'Mortality Tarif Male'!D:D))/SUMIF('Mortality Tarif Male'!A:A,E223+1,'Mortality Tarif Male'!D:D),(SUMIF('Mortality Tarif Female'!A:A,E223+1,'Mortality Tarif Female'!G:G)-SUMIF('Mortality Tarif Female'!A:A,$C$2+$H$2,'Mortality Tarif Female'!G:G)+SUMIF('Mortality Tarif Female'!A:A,$C$2+$H$2,'Mortality Tarif Female'!D:D))/SUMIF('Mortality Tarif Female'!A:A,E223+1,'Mortality Tarif Female'!D:D)))</f>
        <v>0.90262428665390537</v>
      </c>
      <c r="T222">
        <f t="shared" si="124"/>
        <v>0.25</v>
      </c>
      <c r="U222">
        <f t="shared" si="125"/>
        <v>0.89511182791912913</v>
      </c>
      <c r="V222">
        <f t="shared" si="126"/>
        <v>17902.236558382581</v>
      </c>
      <c r="W222">
        <f t="shared" si="116"/>
        <v>23.362418708689273</v>
      </c>
      <c r="X222">
        <f t="shared" si="117"/>
        <v>0</v>
      </c>
      <c r="Y222">
        <f>IF(B222&gt;$AF$2,0,IF(X223=0,0,(1-X223)*($E$2+IF(E222&lt;=Assumptions!$B$9,$D$2,0))/$I$2*1/(1+$AG$2)*1/(1+Assumptions!$B$11)))</f>
        <v>0</v>
      </c>
      <c r="Z222">
        <f>IF(B222&gt;$AF$2,0,IF($Y$2=1,(SUMIF('Mortality Tarif Male'!A:A,E223,'Mortality Tarif Male'!E:E)-SUMIF('Mortality Tarif Male'!A:A,$C$2+$H$2,'Mortality Tarif Male'!E:E))/SUMIF('Mortality Tarif Male'!A:A,E223,'Mortality Tarif Male'!D:D),(SUMIF('Mortality Tarif Female'!A:A,E223,'Mortality Tarif Female'!E:E)-SUMIF('Mortality Tarif Female'!A:A,$C$2+$H$2,'Mortality Tarif Female'!E:E))/SUMIF('Mortality Tarif Female'!A:A,E223,'Mortality Tarif Female'!D:D)))</f>
        <v>3.7769530556303295</v>
      </c>
      <c r="AA222">
        <f>IF(B222&gt;=$AF$2,0,IF($Y$2=1,(SUMIF('Mortality Tarif Male'!A:A,E223+1,'Mortality Tarif Male'!E:E)-SUMIF('Mortality Tarif Male'!A:A,$C$2+$H$2,'Mortality Tarif Male'!E:E))/SUMIF('Mortality Tarif Male'!A:A,E223+1,'Mortality Tarif Male'!D:D),(SUMIF('Mortality Tarif Female'!A:A,E223+1,'Mortality Tarif Female'!E:E)-SUMIF('Mortality Tarif Female'!A:A,$C$2+$H$2,'Mortality Tarif Female'!E:E))/SUMIF('Mortality Tarif Female'!A:A,E223+1,'Mortality Tarif Female'!D:D)))</f>
        <v>2.8864816076194426</v>
      </c>
      <c r="AB222">
        <f t="shared" si="111"/>
        <v>748.74813950997918</v>
      </c>
      <c r="AC222">
        <f>IF(B222&gt;=$AF$2,0,MIN(1/3*(V222+W222+Y222-AB222),(V222-AB222),(T222*Z222+(1-T222)*AA222)*$AH$2*Assumptions!$B$22))</f>
        <v>81.041727554229055</v>
      </c>
      <c r="AD222">
        <f t="shared" si="127"/>
        <v>17095.809110027065</v>
      </c>
      <c r="AE222">
        <f t="shared" si="128"/>
        <v>17176.850837581293</v>
      </c>
      <c r="AF222">
        <f t="shared" si="129"/>
        <v>17095.809110027065</v>
      </c>
      <c r="AG222" s="26">
        <f t="shared" si="140"/>
        <v>0</v>
      </c>
      <c r="AH222" s="27">
        <f>IF(B222&gt;$AF$2,0,HLOOKUP(YEAR(A222),Assumptions!$A$34:$AL$37,4,TRUE)/100)</f>
        <v>1.6237999999999999E-2</v>
      </c>
      <c r="AI222">
        <f t="shared" si="130"/>
        <v>0</v>
      </c>
      <c r="AJ222">
        <f t="shared" si="131"/>
        <v>3.3177855988115637</v>
      </c>
      <c r="AK222">
        <f t="shared" si="132"/>
        <v>26.314973691827209</v>
      </c>
      <c r="AL222">
        <f>IF(E222&gt;Assumptions!$B$9,0,SUMPRODUCT($P$2:$X$2,Assumptions!$A$43:$I$43)/$I$2*O221*K222)</f>
        <v>2.8920983511110889</v>
      </c>
      <c r="AM222">
        <f t="shared" si="133"/>
        <v>0</v>
      </c>
      <c r="AN222">
        <f t="shared" si="134"/>
        <v>32.524857641749861</v>
      </c>
      <c r="AO222">
        <f>IF(E222&gt;Assumptions!$B$9,0,($V$2+$X$2)/$I$2*O221*K222*Assumptions!$B$46)</f>
        <v>0</v>
      </c>
      <c r="AP222">
        <f>IF(B222&gt;$AF$2,0,AP221*(1+Assumptions!$B$52)^(1/12))</f>
        <v>1.1911985488578483</v>
      </c>
      <c r="AQ222" s="29">
        <f>IF(B222&gt;$AF$2,0,O221*Assumptions!$B$48/12*AP221+AR222*Assumptions!$B$50/12)</f>
        <v>9.9847269214204797</v>
      </c>
      <c r="AR222" s="31">
        <f t="shared" si="135"/>
        <v>8743.3849866912624</v>
      </c>
      <c r="AS222">
        <f t="shared" si="118"/>
        <v>8797.6159723837955</v>
      </c>
      <c r="AT222">
        <f t="shared" si="136"/>
        <v>10.361716659756006</v>
      </c>
      <c r="AU222" s="19">
        <f t="shared" si="137"/>
        <v>8749.4822983481972</v>
      </c>
      <c r="AV222" s="19">
        <f t="shared" si="138"/>
        <v>8798.1151853348128</v>
      </c>
      <c r="AW222">
        <f t="shared" si="139"/>
        <v>-63.937399132761691</v>
      </c>
      <c r="AX222">
        <f>IF(B222&gt;$AF$2,0,HLOOKUP(YEAR(A222),Assumptions!$A$34:$AL$37,2,TRUE)/100)</f>
        <v>2.2238000000000001E-2</v>
      </c>
      <c r="AY222" s="32">
        <f>1/(1+HLOOKUP(YEAR(A222),Assumptions!$A$27:$AL$29,3,TRUE))^(1/12)</f>
        <v>0.99817964001618509</v>
      </c>
      <c r="AZ222" s="30">
        <f t="shared" si="119"/>
        <v>9178.6981309425992</v>
      </c>
      <c r="BA222">
        <f>IF(B222&gt;$AF$2,0,IF($E$2=0,(T222*Z222+(1-T222)*AA222)*$J$2*Assumptions!$B$20,0))</f>
        <v>0</v>
      </c>
    </row>
    <row r="223" spans="1:53" x14ac:dyDescent="0.25">
      <c r="A223" s="17">
        <f t="shared" si="120"/>
        <v>49552</v>
      </c>
      <c r="B223">
        <f t="shared" si="112"/>
        <v>442</v>
      </c>
      <c r="C223">
        <f t="shared" si="113"/>
        <v>36.75</v>
      </c>
      <c r="D223">
        <f t="shared" si="106"/>
        <v>0</v>
      </c>
      <c r="E223">
        <f t="shared" si="114"/>
        <v>59</v>
      </c>
      <c r="F223">
        <f>IF(C223&gt;=$H$2,0,VLOOKUP($E223,'Mortality Table'!$A$3:$C$128,2+AB$2,FALSE))</f>
        <v>3.5561E-3</v>
      </c>
      <c r="G223">
        <f>F223*Assumptions!$B$1</f>
        <v>3.8494782500000002E-3</v>
      </c>
      <c r="H223">
        <f t="shared" si="121"/>
        <v>3.2135723377768599E-4</v>
      </c>
      <c r="I223">
        <f t="shared" si="107"/>
        <v>1.6512599936322264E-4</v>
      </c>
      <c r="J223">
        <f>HLOOKUP(C223,Assumptions!$A$6:$J$7,2,TRUE)</f>
        <v>3.5200000000000002E-2</v>
      </c>
      <c r="K223" s="18">
        <f t="shared" si="115"/>
        <v>1</v>
      </c>
      <c r="L223" s="18">
        <f t="shared" si="122"/>
        <v>8.3333333333333329E-2</v>
      </c>
      <c r="M223" s="18">
        <f t="shared" si="108"/>
        <v>2.9817501439168836E-3</v>
      </c>
      <c r="N223">
        <f t="shared" si="109"/>
        <v>1.5341817140371542E-3</v>
      </c>
      <c r="O223" s="20">
        <f t="shared" si="110"/>
        <v>0.51290727895138644</v>
      </c>
      <c r="P223">
        <f>IF(B223&gt;$AF$2,0,O222*($E$2+IF(E223&lt;=Assumptions!$B$9,$D$2,0))/$I$2*K223)</f>
        <v>26.356434013681497</v>
      </c>
      <c r="Q223">
        <f t="shared" si="123"/>
        <v>26.1</v>
      </c>
      <c r="R223">
        <f>IF(B223&gt;$AF$2,0,IF($Y$2=1,(SUMIF('Mortality Tarif Male'!A:A,E224,'Mortality Tarif Male'!G:G)-SUMIF('Mortality Tarif Male'!A:A,$C$2+$H$2,'Mortality Tarif Male'!G:G)+SUMIF('Mortality Tarif Male'!A:A,$C$2+$H$2,'Mortality Tarif Male'!D:D))/SUMIF('Mortality Tarif Male'!A:A,E224,'Mortality Tarif Male'!D:D),(SUMIF('Mortality Tarif Female'!A:A,E224,'Mortality Tarif Female'!G:G)-SUMIF('Mortality Tarif Female'!A:A,$C$2+$H$2,'Mortality Tarif Female'!G:G)+SUMIF('Mortality Tarif Female'!A:A,$C$2+$H$2,'Mortality Tarif Female'!D:D))/SUMIF('Mortality Tarif Female'!A:A,E224,'Mortality Tarif Female'!D:D)))</f>
        <v>0.8725744517148003</v>
      </c>
      <c r="S223">
        <f>IF(B223&gt;=$AF$2,0,IF($Y$2=1,(SUMIF('Mortality Tarif Male'!A:A,E224+1,'Mortality Tarif Male'!G:G)-SUMIF('Mortality Tarif Male'!A:A,$C$2+$H$2,'Mortality Tarif Male'!G:G)+SUMIF('Mortality Tarif Male'!A:A,$C$2+$H$2,'Mortality Tarif Male'!D:D))/SUMIF('Mortality Tarif Male'!A:A,E224+1,'Mortality Tarif Male'!D:D),(SUMIF('Mortality Tarif Female'!A:A,E224+1,'Mortality Tarif Female'!G:G)-SUMIF('Mortality Tarif Female'!A:A,$C$2+$H$2,'Mortality Tarif Female'!G:G)+SUMIF('Mortality Tarif Female'!A:A,$C$2+$H$2,'Mortality Tarif Female'!D:D))/SUMIF('Mortality Tarif Female'!A:A,E224+1,'Mortality Tarif Female'!D:D)))</f>
        <v>0.90262428665390537</v>
      </c>
      <c r="T223">
        <f t="shared" si="124"/>
        <v>0.1666666666666643</v>
      </c>
      <c r="U223">
        <f t="shared" si="125"/>
        <v>0.89761598083072125</v>
      </c>
      <c r="V223">
        <f t="shared" si="126"/>
        <v>17952.319616614426</v>
      </c>
      <c r="W223">
        <f t="shared" si="116"/>
        <v>23.427777099681826</v>
      </c>
      <c r="X223">
        <f t="shared" si="117"/>
        <v>0</v>
      </c>
      <c r="Y223">
        <f>IF(B223&gt;$AF$2,0,IF(X224=0,0,(1-X224)*($E$2+IF(E223&lt;=Assumptions!$B$9,$D$2,0))/$I$2*1/(1+$AG$2)*1/(1+Assumptions!$B$11)))</f>
        <v>0</v>
      </c>
      <c r="Z223">
        <f>IF(B223&gt;$AF$2,0,IF($Y$2=1,(SUMIF('Mortality Tarif Male'!A:A,E224,'Mortality Tarif Male'!E:E)-SUMIF('Mortality Tarif Male'!A:A,$C$2+$H$2,'Mortality Tarif Male'!E:E))/SUMIF('Mortality Tarif Male'!A:A,E224,'Mortality Tarif Male'!D:D),(SUMIF('Mortality Tarif Female'!A:A,E224,'Mortality Tarif Female'!E:E)-SUMIF('Mortality Tarif Female'!A:A,$C$2+$H$2,'Mortality Tarif Female'!E:E))/SUMIF('Mortality Tarif Female'!A:A,E224,'Mortality Tarif Female'!D:D)))</f>
        <v>3.7769530556303295</v>
      </c>
      <c r="AA223">
        <f>IF(B223&gt;=$AF$2,0,IF($Y$2=1,(SUMIF('Mortality Tarif Male'!A:A,E224+1,'Mortality Tarif Male'!E:E)-SUMIF('Mortality Tarif Male'!A:A,$C$2+$H$2,'Mortality Tarif Male'!E:E))/SUMIF('Mortality Tarif Male'!A:A,E224+1,'Mortality Tarif Male'!D:D),(SUMIF('Mortality Tarif Female'!A:A,E224+1,'Mortality Tarif Female'!E:E)-SUMIF('Mortality Tarif Female'!A:A,$C$2+$H$2,'Mortality Tarif Female'!E:E))/SUMIF('Mortality Tarif Female'!A:A,E224+1,'Mortality Tarif Female'!D:D)))</f>
        <v>2.8864816076194426</v>
      </c>
      <c r="AB223">
        <f t="shared" si="111"/>
        <v>730.87750830579444</v>
      </c>
      <c r="AC223">
        <f>IF(B223&gt;=$AF$2,0,MIN(1/3*(V223+W223+Y223-AB223),(V223-AB223),(T223*Z223+(1-T223)*AA223)*$AH$2*Assumptions!$B$22))</f>
        <v>79.107476570688092</v>
      </c>
      <c r="AD223">
        <f t="shared" si="127"/>
        <v>17165.762408837625</v>
      </c>
      <c r="AE223">
        <f t="shared" si="128"/>
        <v>17244.869885408312</v>
      </c>
      <c r="AF223">
        <f t="shared" si="129"/>
        <v>17165.762408837625</v>
      </c>
      <c r="AG223" s="26">
        <f t="shared" si="140"/>
        <v>0</v>
      </c>
      <c r="AH223" s="27">
        <f>IF(B223&gt;$AF$2,0,HLOOKUP(YEAR(A223),Assumptions!$A$34:$AL$37,4,TRUE)/100)</f>
        <v>1.6237999999999999E-2</v>
      </c>
      <c r="AI223">
        <f t="shared" si="130"/>
        <v>0</v>
      </c>
      <c r="AJ223">
        <f t="shared" si="131"/>
        <v>3.3068297758478327</v>
      </c>
      <c r="AK223">
        <f t="shared" si="132"/>
        <v>26.335398795145057</v>
      </c>
      <c r="AL223">
        <f>IF(E223&gt;Assumptions!$B$9,0,SUMPRODUCT($P$2:$X$2,Assumptions!$A$43:$I$43)/$I$2*O222*K223)</f>
        <v>2.8825482109393366</v>
      </c>
      <c r="AM223">
        <f t="shared" si="133"/>
        <v>0</v>
      </c>
      <c r="AN223">
        <f t="shared" si="134"/>
        <v>32.524776781932225</v>
      </c>
      <c r="AO223">
        <f>IF(E223&gt;Assumptions!$B$9,0,($V$2+$X$2)/$I$2*O222*K223*Assumptions!$B$46)</f>
        <v>0</v>
      </c>
      <c r="AP223">
        <f>IF(B223&gt;$AF$2,0,AP222*(1+Assumptions!$B$52)^(1/12))</f>
        <v>1.1921866934558796</v>
      </c>
      <c r="AQ223" s="29">
        <f>IF(B223&gt;$AF$2,0,O222*Assumptions!$B$48/12*AP222+AR223*Assumptions!$B$50/12)</f>
        <v>9.9646950821223559</v>
      </c>
      <c r="AR223" s="31">
        <f t="shared" si="135"/>
        <v>8741.1235257657772</v>
      </c>
      <c r="AS223">
        <f t="shared" si="118"/>
        <v>8804.4444882429034</v>
      </c>
      <c r="AT223">
        <f t="shared" si="136"/>
        <v>10.327500725680792</v>
      </c>
      <c r="AU223" s="19">
        <f t="shared" si="137"/>
        <v>8747.1877639716549</v>
      </c>
      <c r="AV223" s="19">
        <f t="shared" si="138"/>
        <v>8805.0609248985384</v>
      </c>
      <c r="AW223">
        <f t="shared" si="139"/>
        <v>-73.168749557620288</v>
      </c>
      <c r="AX223">
        <f>IF(B223&gt;$AF$2,0,HLOOKUP(YEAR(A223),Assumptions!$A$34:$AL$37,2,TRUE)/100)</f>
        <v>2.2238000000000001E-2</v>
      </c>
      <c r="AY223" s="32">
        <f>1/(1+HLOOKUP(YEAR(A223),Assumptions!$A$27:$AL$29,3,TRUE))^(1/12)</f>
        <v>0.99817964001618509</v>
      </c>
      <c r="AZ223" s="30">
        <f t="shared" si="119"/>
        <v>9179.3040988896319</v>
      </c>
      <c r="BA223">
        <f>IF(B223&gt;$AF$2,0,IF($E$2=0,(T223*Z223+(1-T223)*AA223)*$J$2*Assumptions!$B$20,0))</f>
        <v>0</v>
      </c>
    </row>
    <row r="224" spans="1:53" x14ac:dyDescent="0.25">
      <c r="A224" s="17">
        <f t="shared" si="120"/>
        <v>49582</v>
      </c>
      <c r="B224">
        <f t="shared" si="112"/>
        <v>443</v>
      </c>
      <c r="C224">
        <f t="shared" si="113"/>
        <v>36.833333333333336</v>
      </c>
      <c r="D224">
        <f t="shared" si="106"/>
        <v>0</v>
      </c>
      <c r="E224">
        <f t="shared" si="114"/>
        <v>59</v>
      </c>
      <c r="F224">
        <f>IF(C224&gt;=$H$2,0,VLOOKUP($E224,'Mortality Table'!$A$3:$C$128,2+AB$2,FALSE))</f>
        <v>3.5561E-3</v>
      </c>
      <c r="G224">
        <f>F224*Assumptions!$B$1</f>
        <v>3.8494782500000002E-3</v>
      </c>
      <c r="H224">
        <f t="shared" si="121"/>
        <v>3.2135723377768599E-4</v>
      </c>
      <c r="I224">
        <f t="shared" si="107"/>
        <v>1.6458072868136162E-4</v>
      </c>
      <c r="J224">
        <f>HLOOKUP(C224,Assumptions!$A$6:$J$7,2,TRUE)</f>
        <v>3.5200000000000002E-2</v>
      </c>
      <c r="K224" s="18">
        <f t="shared" si="115"/>
        <v>1</v>
      </c>
      <c r="L224" s="18">
        <f t="shared" si="122"/>
        <v>8.3333333333333329E-2</v>
      </c>
      <c r="M224" s="18">
        <f t="shared" si="108"/>
        <v>2.9817501439168836E-3</v>
      </c>
      <c r="N224">
        <f t="shared" si="109"/>
        <v>1.5291156171624177E-3</v>
      </c>
      <c r="O224" s="20">
        <f t="shared" si="110"/>
        <v>0.51121358260554273</v>
      </c>
      <c r="P224">
        <f>IF(B224&gt;$AF$2,0,O223*($E$2+IF(E224&lt;=Assumptions!$B$9,$D$2,0))/$I$2*K224)</f>
        <v>26.26940113696017</v>
      </c>
      <c r="Q224">
        <f t="shared" si="123"/>
        <v>26.1</v>
      </c>
      <c r="R224">
        <f>IF(B224&gt;$AF$2,0,IF($Y$2=1,(SUMIF('Mortality Tarif Male'!A:A,E225,'Mortality Tarif Male'!G:G)-SUMIF('Mortality Tarif Male'!A:A,$C$2+$H$2,'Mortality Tarif Male'!G:G)+SUMIF('Mortality Tarif Male'!A:A,$C$2+$H$2,'Mortality Tarif Male'!D:D))/SUMIF('Mortality Tarif Male'!A:A,E225,'Mortality Tarif Male'!D:D),(SUMIF('Mortality Tarif Female'!A:A,E225,'Mortality Tarif Female'!G:G)-SUMIF('Mortality Tarif Female'!A:A,$C$2+$H$2,'Mortality Tarif Female'!G:G)+SUMIF('Mortality Tarif Female'!A:A,$C$2+$H$2,'Mortality Tarif Female'!D:D))/SUMIF('Mortality Tarif Female'!A:A,E225,'Mortality Tarif Female'!D:D)))</f>
        <v>0.8725744517148003</v>
      </c>
      <c r="S224">
        <f>IF(B224&gt;=$AF$2,0,IF($Y$2=1,(SUMIF('Mortality Tarif Male'!A:A,E225+1,'Mortality Tarif Male'!G:G)-SUMIF('Mortality Tarif Male'!A:A,$C$2+$H$2,'Mortality Tarif Male'!G:G)+SUMIF('Mortality Tarif Male'!A:A,$C$2+$H$2,'Mortality Tarif Male'!D:D))/SUMIF('Mortality Tarif Male'!A:A,E225+1,'Mortality Tarif Male'!D:D),(SUMIF('Mortality Tarif Female'!A:A,E225+1,'Mortality Tarif Female'!G:G)-SUMIF('Mortality Tarif Female'!A:A,$C$2+$H$2,'Mortality Tarif Female'!G:G)+SUMIF('Mortality Tarif Female'!A:A,$C$2+$H$2,'Mortality Tarif Female'!D:D))/SUMIF('Mortality Tarif Female'!A:A,E225+1,'Mortality Tarif Female'!D:D)))</f>
        <v>0.90262428665390537</v>
      </c>
      <c r="T224">
        <f t="shared" si="124"/>
        <v>8.3333333333335702E-2</v>
      </c>
      <c r="U224">
        <f t="shared" si="125"/>
        <v>0.90012013374231326</v>
      </c>
      <c r="V224">
        <f t="shared" si="126"/>
        <v>18002.402674846264</v>
      </c>
      <c r="W224">
        <f t="shared" si="116"/>
        <v>23.493135490674376</v>
      </c>
      <c r="X224">
        <f t="shared" si="117"/>
        <v>0</v>
      </c>
      <c r="Y224">
        <f>IF(B224&gt;$AF$2,0,IF(X225=0,0,(1-X225)*($E$2+IF(E224&lt;=Assumptions!$B$9,$D$2,0))/$I$2*1/(1+$AG$2)*1/(1+Assumptions!$B$11)))</f>
        <v>0</v>
      </c>
      <c r="Z224">
        <f>IF(B224&gt;$AF$2,0,IF($Y$2=1,(SUMIF('Mortality Tarif Male'!A:A,E225,'Mortality Tarif Male'!E:E)-SUMIF('Mortality Tarif Male'!A:A,$C$2+$H$2,'Mortality Tarif Male'!E:E))/SUMIF('Mortality Tarif Male'!A:A,E225,'Mortality Tarif Male'!D:D),(SUMIF('Mortality Tarif Female'!A:A,E225,'Mortality Tarif Female'!E:E)-SUMIF('Mortality Tarif Female'!A:A,$C$2+$H$2,'Mortality Tarif Female'!E:E))/SUMIF('Mortality Tarif Female'!A:A,E225,'Mortality Tarif Female'!D:D)))</f>
        <v>3.7769530556303295</v>
      </c>
      <c r="AA224">
        <f>IF(B224&gt;=$AF$2,0,IF($Y$2=1,(SUMIF('Mortality Tarif Male'!A:A,E225+1,'Mortality Tarif Male'!E:E)-SUMIF('Mortality Tarif Male'!A:A,$C$2+$H$2,'Mortality Tarif Male'!E:E))/SUMIF('Mortality Tarif Male'!A:A,E225+1,'Mortality Tarif Male'!D:D),(SUMIF('Mortality Tarif Female'!A:A,E225+1,'Mortality Tarif Female'!E:E)-SUMIF('Mortality Tarif Female'!A:A,$C$2+$H$2,'Mortality Tarif Female'!E:E))/SUMIF('Mortality Tarif Female'!A:A,E225+1,'Mortality Tarif Female'!D:D)))</f>
        <v>2.8864816076194426</v>
      </c>
      <c r="AB224">
        <f t="shared" si="111"/>
        <v>713.00687710161128</v>
      </c>
      <c r="AC224">
        <f>IF(B224&gt;=$AF$2,0,MIN(1/3*(V224+W224+Y224-AB224),(V224-AB224),(T224*Z224+(1-T224)*AA224)*$AH$2*Assumptions!$B$22))</f>
        <v>77.1732255871473</v>
      </c>
      <c r="AD224">
        <f t="shared" si="127"/>
        <v>17235.715707648178</v>
      </c>
      <c r="AE224">
        <f t="shared" si="128"/>
        <v>17312.888933235325</v>
      </c>
      <c r="AF224">
        <f t="shared" si="129"/>
        <v>17235.715707648178</v>
      </c>
      <c r="AG224" s="26">
        <f t="shared" si="140"/>
        <v>0</v>
      </c>
      <c r="AH224" s="27">
        <f>IF(B224&gt;$AF$2,0,HLOOKUP(YEAR(A224),Assumptions!$A$34:$AL$37,4,TRUE)/100)</f>
        <v>1.6237999999999999E-2</v>
      </c>
      <c r="AI224">
        <f t="shared" si="130"/>
        <v>0</v>
      </c>
      <c r="AJ224">
        <f t="shared" si="131"/>
        <v>3.2959101306458156</v>
      </c>
      <c r="AK224">
        <f t="shared" si="132"/>
        <v>26.35540206153642</v>
      </c>
      <c r="AL224">
        <f>IF(E224&gt;Assumptions!$B$9,0,SUMPRODUCT($P$2:$X$2,Assumptions!$A$43:$I$43)/$I$2*O223*K224)</f>
        <v>2.8730296067550327</v>
      </c>
      <c r="AM224">
        <f t="shared" si="133"/>
        <v>0</v>
      </c>
      <c r="AN224">
        <f t="shared" si="134"/>
        <v>32.524341798937272</v>
      </c>
      <c r="AO224">
        <f>IF(E224&gt;Assumptions!$B$9,0,($V$2+$X$2)/$I$2*O223*K224*Assumptions!$B$46)</f>
        <v>0</v>
      </c>
      <c r="AP224">
        <f>IF(B224&gt;$AF$2,0,AP223*(1+Assumptions!$B$52)^(1/12))</f>
        <v>1.1931756577575177</v>
      </c>
      <c r="AQ224" s="29">
        <f>IF(B224&gt;$AF$2,0,O223*Assumptions!$B$48/12*AP223+AR224*Assumptions!$B$50/12)</f>
        <v>9.9446713693033679</v>
      </c>
      <c r="AR224" s="31">
        <f t="shared" si="135"/>
        <v>8738.6961068562523</v>
      </c>
      <c r="AS224">
        <f t="shared" si="118"/>
        <v>8811.1319756774519</v>
      </c>
      <c r="AT224">
        <f t="shared" si="136"/>
        <v>10.293397777723911</v>
      </c>
      <c r="AU224" s="19">
        <f t="shared" si="137"/>
        <v>8744.7274388461847</v>
      </c>
      <c r="AV224" s="19">
        <f t="shared" si="138"/>
        <v>8811.864856413873</v>
      </c>
      <c r="AW224">
        <f t="shared" si="139"/>
        <v>-82.424146951756683</v>
      </c>
      <c r="AX224">
        <f>IF(B224&gt;$AF$2,0,HLOOKUP(YEAR(A224),Assumptions!$A$34:$AL$37,2,TRUE)/100)</f>
        <v>2.2238000000000001E-2</v>
      </c>
      <c r="AY224" s="32">
        <f>1/(1+HLOOKUP(YEAR(A224),Assumptions!$A$27:$AL$29,3,TRUE))^(1/12)</f>
        <v>0.99817964001618509</v>
      </c>
      <c r="AZ224" s="30">
        <f t="shared" si="119"/>
        <v>9179.8445977472256</v>
      </c>
      <c r="BA224">
        <f>IF(B224&gt;$AF$2,0,IF($E$2=0,(T224*Z224+(1-T224)*AA224)*$J$2*Assumptions!$B$20,0))</f>
        <v>0</v>
      </c>
    </row>
    <row r="225" spans="1:53" x14ac:dyDescent="0.25">
      <c r="A225" s="17">
        <f t="shared" si="120"/>
        <v>49613</v>
      </c>
      <c r="B225">
        <f t="shared" si="112"/>
        <v>444</v>
      </c>
      <c r="C225">
        <f t="shared" si="113"/>
        <v>36.916666666666664</v>
      </c>
      <c r="D225">
        <f t="shared" si="106"/>
        <v>0</v>
      </c>
      <c r="E225">
        <f t="shared" si="114"/>
        <v>59</v>
      </c>
      <c r="F225">
        <f>IF(C225&gt;=$H$2,0,VLOOKUP($E225,'Mortality Table'!$A$3:$C$128,2+AB$2,FALSE))</f>
        <v>3.5561E-3</v>
      </c>
      <c r="G225">
        <f>F225*Assumptions!$B$1</f>
        <v>3.8494782500000002E-3</v>
      </c>
      <c r="H225">
        <f t="shared" si="121"/>
        <v>3.2135723377768599E-4</v>
      </c>
      <c r="I225">
        <f t="shared" si="107"/>
        <v>1.6403725856463058E-4</v>
      </c>
      <c r="J225">
        <f>HLOOKUP(C225,Assumptions!$A$6:$J$7,2,TRUE)</f>
        <v>3.5200000000000002E-2</v>
      </c>
      <c r="K225" s="18">
        <f t="shared" si="115"/>
        <v>1</v>
      </c>
      <c r="L225" s="18">
        <f t="shared" si="122"/>
        <v>8.3333333333333329E-2</v>
      </c>
      <c r="M225" s="18">
        <f t="shared" si="108"/>
        <v>2.9817501439168836E-3</v>
      </c>
      <c r="N225">
        <f t="shared" si="109"/>
        <v>1.5240662492952755E-3</v>
      </c>
      <c r="O225" s="20">
        <f t="shared" si="110"/>
        <v>0.50952547909768287</v>
      </c>
      <c r="P225">
        <f>IF(B225&gt;$AF$2,0,O224*($E$2+IF(E225&lt;=Assumptions!$B$9,$D$2,0))/$I$2*K225)</f>
        <v>26.18265565578054</v>
      </c>
      <c r="Q225">
        <f t="shared" si="123"/>
        <v>26.1</v>
      </c>
      <c r="R225">
        <f>IF(B225&gt;$AF$2,0,IF($Y$2=1,(SUMIF('Mortality Tarif Male'!A:A,E226,'Mortality Tarif Male'!G:G)-SUMIF('Mortality Tarif Male'!A:A,$C$2+$H$2,'Mortality Tarif Male'!G:G)+SUMIF('Mortality Tarif Male'!A:A,$C$2+$H$2,'Mortality Tarif Male'!D:D))/SUMIF('Mortality Tarif Male'!A:A,E226,'Mortality Tarif Male'!D:D),(SUMIF('Mortality Tarif Female'!A:A,E226,'Mortality Tarif Female'!G:G)-SUMIF('Mortality Tarif Female'!A:A,$C$2+$H$2,'Mortality Tarif Female'!G:G)+SUMIF('Mortality Tarif Female'!A:A,$C$2+$H$2,'Mortality Tarif Female'!D:D))/SUMIF('Mortality Tarif Female'!A:A,E226,'Mortality Tarif Female'!D:D)))</f>
        <v>0.90262428665390537</v>
      </c>
      <c r="S225">
        <f>IF(B225&gt;=$AF$2,0,IF($Y$2=1,(SUMIF('Mortality Tarif Male'!A:A,E226+1,'Mortality Tarif Male'!G:G)-SUMIF('Mortality Tarif Male'!A:A,$C$2+$H$2,'Mortality Tarif Male'!G:G)+SUMIF('Mortality Tarif Male'!A:A,$C$2+$H$2,'Mortality Tarif Male'!D:D))/SUMIF('Mortality Tarif Male'!A:A,E226+1,'Mortality Tarif Male'!D:D),(SUMIF('Mortality Tarif Female'!A:A,E226+1,'Mortality Tarif Female'!G:G)-SUMIF('Mortality Tarif Female'!A:A,$C$2+$H$2,'Mortality Tarif Female'!G:G)+SUMIF('Mortality Tarif Female'!A:A,$C$2+$H$2,'Mortality Tarif Female'!D:D))/SUMIF('Mortality Tarif Female'!A:A,E226+1,'Mortality Tarif Female'!D:D)))</f>
        <v>0.93383403573864054</v>
      </c>
      <c r="T225">
        <f t="shared" si="124"/>
        <v>1</v>
      </c>
      <c r="U225">
        <f t="shared" si="125"/>
        <v>0.90262428665390537</v>
      </c>
      <c r="V225">
        <f t="shared" si="126"/>
        <v>18052.485733078109</v>
      </c>
      <c r="W225">
        <f t="shared" si="116"/>
        <v>23.55849388166693</v>
      </c>
      <c r="X225">
        <f t="shared" si="117"/>
        <v>0</v>
      </c>
      <c r="Y225">
        <f>IF(B225&gt;$AF$2,0,IF(X226=0,0,(1-X226)*($E$2+IF(E225&lt;=Assumptions!$B$9,$D$2,0))/$I$2*1/(1+$AG$2)*1/(1+Assumptions!$B$11)))</f>
        <v>0</v>
      </c>
      <c r="Z225">
        <f>IF(B225&gt;$AF$2,0,IF($Y$2=1,(SUMIF('Mortality Tarif Male'!A:A,E226,'Mortality Tarif Male'!E:E)-SUMIF('Mortality Tarif Male'!A:A,$C$2+$H$2,'Mortality Tarif Male'!E:E))/SUMIF('Mortality Tarif Male'!A:A,E226,'Mortality Tarif Male'!D:D),(SUMIF('Mortality Tarif Female'!A:A,E226,'Mortality Tarif Female'!E:E)-SUMIF('Mortality Tarif Female'!A:A,$C$2+$H$2,'Mortality Tarif Female'!E:E))/SUMIF('Mortality Tarif Female'!A:A,E226,'Mortality Tarif Female'!D:D)))</f>
        <v>2.8864816076194426</v>
      </c>
      <c r="AA225">
        <f>IF(B225&gt;=$AF$2,0,IF($Y$2=1,(SUMIF('Mortality Tarif Male'!A:A,E226+1,'Mortality Tarif Male'!E:E)-SUMIF('Mortality Tarif Male'!A:A,$C$2+$H$2,'Mortality Tarif Male'!E:E))/SUMIF('Mortality Tarif Male'!A:A,E226+1,'Mortality Tarif Male'!D:D),(SUMIF('Mortality Tarif Female'!A:A,E226+1,'Mortality Tarif Female'!E:E)-SUMIF('Mortality Tarif Female'!A:A,$C$2+$H$2,'Mortality Tarif Female'!E:E))/SUMIF('Mortality Tarif Female'!A:A,E226+1,'Mortality Tarif Female'!D:D)))</f>
        <v>1.9614826630320195</v>
      </c>
      <c r="AB225">
        <f t="shared" si="111"/>
        <v>695.13624589742653</v>
      </c>
      <c r="AC225">
        <f>IF(B225&gt;=$AF$2,0,MIN(1/3*(V225+W225+Y225-AB225),(V225-AB225),(T225*Z225+(1-T225)*AA225)*$AH$2*Assumptions!$B$22))</f>
        <v>75.238974603606337</v>
      </c>
      <c r="AD225">
        <f t="shared" si="127"/>
        <v>17305.669006458746</v>
      </c>
      <c r="AE225">
        <f t="shared" si="128"/>
        <v>17380.907981062352</v>
      </c>
      <c r="AF225">
        <f t="shared" si="129"/>
        <v>17305.669006458746</v>
      </c>
      <c r="AG225" s="26">
        <f t="shared" si="140"/>
        <v>0</v>
      </c>
      <c r="AH225" s="27">
        <f>IF(B225&gt;$AF$2,0,HLOOKUP(YEAR(A225),Assumptions!$A$34:$AL$37,4,TRUE)/100)</f>
        <v>1.6237999999999999E-2</v>
      </c>
      <c r="AI225">
        <f t="shared" si="130"/>
        <v>0</v>
      </c>
      <c r="AJ225">
        <f t="shared" si="131"/>
        <v>3.2850265437411483</v>
      </c>
      <c r="AK225">
        <f t="shared" si="132"/>
        <v>26.374986054219079</v>
      </c>
      <c r="AL225">
        <f>IF(E225&gt;Assumptions!$B$9,0,SUMPRODUCT($P$2:$X$2,Assumptions!$A$43:$I$43)/$I$2*O224*K225)</f>
        <v>2.8635424344216429</v>
      </c>
      <c r="AM225">
        <f t="shared" si="133"/>
        <v>0</v>
      </c>
      <c r="AN225">
        <f t="shared" si="134"/>
        <v>32.523555032381871</v>
      </c>
      <c r="AO225">
        <f>IF(E225&gt;Assumptions!$B$9,0,($V$2+$X$2)/$I$2*O224*K225*Assumptions!$B$46)</f>
        <v>0</v>
      </c>
      <c r="AP225">
        <f>IF(B225&gt;$AF$2,0,AP224*(1+Assumptions!$B$52)^(1/12))</f>
        <v>1.1941654424427375</v>
      </c>
      <c r="AQ225" s="29">
        <f>IF(B225&gt;$AF$2,0,O224*Assumptions!$B$48/12*AP224+AR225*Assumptions!$B$50/12)</f>
        <v>9.9246558964813829</v>
      </c>
      <c r="AR225" s="31">
        <f t="shared" si="135"/>
        <v>8736.1036937340632</v>
      </c>
      <c r="AS225">
        <f t="shared" si="118"/>
        <v>8817.6792916218146</v>
      </c>
      <c r="AT225">
        <f t="shared" si="136"/>
        <v>10.259407442788346</v>
      </c>
      <c r="AU225" s="19">
        <f t="shared" si="137"/>
        <v>8742.1022860505745</v>
      </c>
      <c r="AV225" s="19">
        <f t="shared" si="138"/>
        <v>8818.5278406858197</v>
      </c>
      <c r="AW225">
        <f t="shared" si="139"/>
        <v>-91.703489053276385</v>
      </c>
      <c r="AX225">
        <f>IF(B225&gt;$AF$2,0,HLOOKUP(YEAR(A225),Assumptions!$A$34:$AL$37,2,TRUE)/100)</f>
        <v>2.2238000000000001E-2</v>
      </c>
      <c r="AY225" s="32">
        <f>1/(1+HLOOKUP(YEAR(A225),Assumptions!$A$27:$AL$29,3,TRUE))^(1/12)</f>
        <v>0.99817964001618509</v>
      </c>
      <c r="AZ225" s="30">
        <f t="shared" si="119"/>
        <v>9180.3201390598333</v>
      </c>
      <c r="BA225">
        <f>IF(B225&gt;$AF$2,0,IF($E$2=0,(T225*Z225+(1-T225)*AA225)*$J$2*Assumptions!$B$20,0))</f>
        <v>0</v>
      </c>
    </row>
    <row r="226" spans="1:53" x14ac:dyDescent="0.25">
      <c r="A226" s="17">
        <f t="shared" si="120"/>
        <v>49643</v>
      </c>
      <c r="B226">
        <f t="shared" si="112"/>
        <v>445</v>
      </c>
      <c r="C226">
        <f t="shared" si="113"/>
        <v>37</v>
      </c>
      <c r="D226">
        <f t="shared" si="106"/>
        <v>1</v>
      </c>
      <c r="E226">
        <f t="shared" si="114"/>
        <v>60</v>
      </c>
      <c r="F226">
        <f>IF(C226&gt;=$H$2,0,VLOOKUP($E226,'Mortality Table'!$A$3:$C$128,2+AB$2,FALSE))</f>
        <v>3.7886999999999999E-3</v>
      </c>
      <c r="G226">
        <f>F226*Assumptions!$B$1</f>
        <v>4.1012677500000001E-3</v>
      </c>
      <c r="H226">
        <f t="shared" si="121"/>
        <v>3.4241644664634308E-4</v>
      </c>
      <c r="I226">
        <f t="shared" si="107"/>
        <v>1.742097911976812E-4</v>
      </c>
      <c r="J226">
        <f>HLOOKUP(C226,Assumptions!$A$6:$J$7,2,TRUE)</f>
        <v>3.5200000000000002E-2</v>
      </c>
      <c r="K226" s="18">
        <f t="shared" si="115"/>
        <v>1</v>
      </c>
      <c r="L226" s="18">
        <f t="shared" si="122"/>
        <v>8.3333333333333329E-2</v>
      </c>
      <c r="M226" s="18">
        <f t="shared" si="108"/>
        <v>2.9817501439168836E-3</v>
      </c>
      <c r="N226">
        <f t="shared" si="109"/>
        <v>1.5190175577981118E-3</v>
      </c>
      <c r="O226" s="20">
        <f t="shared" si="110"/>
        <v>0.50783225174868707</v>
      </c>
      <c r="P226">
        <f>IF(B226&gt;$AF$2,0,O225*($E$2+IF(E226&lt;=Assumptions!$B$9,$D$2,0))/$I$2*K226)</f>
        <v>26.096196621119656</v>
      </c>
      <c r="Q226">
        <f t="shared" si="123"/>
        <v>26.1</v>
      </c>
      <c r="R226">
        <f>IF(B226&gt;$AF$2,0,IF($Y$2=1,(SUMIF('Mortality Tarif Male'!A:A,E227,'Mortality Tarif Male'!G:G)-SUMIF('Mortality Tarif Male'!A:A,$C$2+$H$2,'Mortality Tarif Male'!G:G)+SUMIF('Mortality Tarif Male'!A:A,$C$2+$H$2,'Mortality Tarif Male'!D:D))/SUMIF('Mortality Tarif Male'!A:A,E227,'Mortality Tarif Male'!D:D),(SUMIF('Mortality Tarif Female'!A:A,E227,'Mortality Tarif Female'!G:G)-SUMIF('Mortality Tarif Female'!A:A,$C$2+$H$2,'Mortality Tarif Female'!G:G)+SUMIF('Mortality Tarif Female'!A:A,$C$2+$H$2,'Mortality Tarif Female'!D:D))/SUMIF('Mortality Tarif Female'!A:A,E227,'Mortality Tarif Female'!D:D)))</f>
        <v>0.90262428665390537</v>
      </c>
      <c r="S226">
        <f>IF(B226&gt;=$AF$2,0,IF($Y$2=1,(SUMIF('Mortality Tarif Male'!A:A,E227+1,'Mortality Tarif Male'!G:G)-SUMIF('Mortality Tarif Male'!A:A,$C$2+$H$2,'Mortality Tarif Male'!G:G)+SUMIF('Mortality Tarif Male'!A:A,$C$2+$H$2,'Mortality Tarif Male'!D:D))/SUMIF('Mortality Tarif Male'!A:A,E227+1,'Mortality Tarif Male'!D:D),(SUMIF('Mortality Tarif Female'!A:A,E227+1,'Mortality Tarif Female'!G:G)-SUMIF('Mortality Tarif Female'!A:A,$C$2+$H$2,'Mortality Tarif Female'!G:G)+SUMIF('Mortality Tarif Female'!A:A,$C$2+$H$2,'Mortality Tarif Female'!D:D))/SUMIF('Mortality Tarif Female'!A:A,E227+1,'Mortality Tarif Female'!D:D)))</f>
        <v>0.93383403573864054</v>
      </c>
      <c r="T226">
        <f t="shared" si="124"/>
        <v>0.9166666666666643</v>
      </c>
      <c r="U226">
        <f t="shared" si="125"/>
        <v>0.90522509907763338</v>
      </c>
      <c r="V226">
        <f t="shared" si="126"/>
        <v>18104.501981552668</v>
      </c>
      <c r="W226">
        <f t="shared" si="116"/>
        <v>23.626375085926231</v>
      </c>
      <c r="X226">
        <f t="shared" si="117"/>
        <v>0</v>
      </c>
      <c r="Y226">
        <f>IF(B226&gt;$AF$2,0,IF(X227=0,0,(1-X227)*($E$2+IF(E226&lt;=Assumptions!$B$9,$D$2,0))/$I$2*1/(1+$AG$2)*1/(1+Assumptions!$B$11)))</f>
        <v>0</v>
      </c>
      <c r="Z226">
        <f>IF(B226&gt;$AF$2,0,IF($Y$2=1,(SUMIF('Mortality Tarif Male'!A:A,E227,'Mortality Tarif Male'!E:E)-SUMIF('Mortality Tarif Male'!A:A,$C$2+$H$2,'Mortality Tarif Male'!E:E))/SUMIF('Mortality Tarif Male'!A:A,E227,'Mortality Tarif Male'!D:D),(SUMIF('Mortality Tarif Female'!A:A,E227,'Mortality Tarif Female'!E:E)-SUMIF('Mortality Tarif Female'!A:A,$C$2+$H$2,'Mortality Tarif Female'!E:E))/SUMIF('Mortality Tarif Female'!A:A,E227,'Mortality Tarif Female'!D:D)))</f>
        <v>2.8864816076194426</v>
      </c>
      <c r="AA226">
        <f>IF(B226&gt;=$AF$2,0,IF($Y$2=1,(SUMIF('Mortality Tarif Male'!A:A,E227+1,'Mortality Tarif Male'!E:E)-SUMIF('Mortality Tarif Male'!A:A,$C$2+$H$2,'Mortality Tarif Male'!E:E))/SUMIF('Mortality Tarif Male'!A:A,E227+1,'Mortality Tarif Male'!D:D),(SUMIF('Mortality Tarif Female'!A:A,E227+1,'Mortality Tarif Female'!E:E)-SUMIF('Mortality Tarif Female'!A:A,$C$2+$H$2,'Mortality Tarif Female'!E:E))/SUMIF('Mortality Tarif Female'!A:A,E227+1,'Mortality Tarif Female'!D:D)))</f>
        <v>1.9614826630320195</v>
      </c>
      <c r="AB226">
        <f t="shared" si="111"/>
        <v>676.57269168139089</v>
      </c>
      <c r="AC226">
        <f>IF(B226&gt;=$AF$2,0,MIN(1/3*(V226+W226+Y226-AB226),(V226-AB226),(T226*Z226+(1-T226)*AA226)*$AH$2*Assumptions!$B$22))</f>
        <v>73.229724197723925</v>
      </c>
      <c r="AD226">
        <f t="shared" si="127"/>
        <v>17378.325940759478</v>
      </c>
      <c r="AE226">
        <f t="shared" si="128"/>
        <v>17451.555664957203</v>
      </c>
      <c r="AF226">
        <f t="shared" si="129"/>
        <v>17378.325940759478</v>
      </c>
      <c r="AG226" s="26">
        <f t="shared" si="140"/>
        <v>0</v>
      </c>
      <c r="AH226" s="27">
        <f>IF(B226&gt;$AF$2,0,HLOOKUP(YEAR(A226),Assumptions!$A$34:$AL$37,4,TRUE)/100)</f>
        <v>1.6237999999999999E-2</v>
      </c>
      <c r="AI226">
        <f t="shared" si="130"/>
        <v>0</v>
      </c>
      <c r="AJ226">
        <f t="shared" si="131"/>
        <v>3.488742699503883</v>
      </c>
      <c r="AK226">
        <f t="shared" si="132"/>
        <v>26.397982229152035</v>
      </c>
      <c r="AL226">
        <f>IF(E226&gt;Assumptions!$B$9,0,SUMPRODUCT($P$2:$X$2,Assumptions!$A$43:$I$43)/$I$2*O225*K226)</f>
        <v>2.8540865901465065</v>
      </c>
      <c r="AM226">
        <f t="shared" si="133"/>
        <v>0</v>
      </c>
      <c r="AN226">
        <f t="shared" si="134"/>
        <v>32.740811518802424</v>
      </c>
      <c r="AO226">
        <f>IF(E226&gt;Assumptions!$B$9,0,($V$2+$X$2)/$I$2*O225*K226*Assumptions!$B$46)</f>
        <v>0</v>
      </c>
      <c r="AP226">
        <f>IF(B226&gt;$AF$2,0,AP225*(1+Assumptions!$B$52)^(1/12))</f>
        <v>1.1951560481920789</v>
      </c>
      <c r="AQ226" s="29">
        <f>IF(B226&gt;$AF$2,0,O225*Assumptions!$B$48/12*AP225+AR226*Assumptions!$B$50/12)</f>
        <v>9.904648776299366</v>
      </c>
      <c r="AR226" s="31">
        <f t="shared" si="135"/>
        <v>8733.3472453274007</v>
      </c>
      <c r="AS226">
        <f t="shared" si="118"/>
        <v>8825.2743941185054</v>
      </c>
      <c r="AT226">
        <f t="shared" si="136"/>
        <v>10.225529349009101</v>
      </c>
      <c r="AU226" s="19">
        <f t="shared" si="137"/>
        <v>8739.3132638232128</v>
      </c>
      <c r="AV226" s="19">
        <f t="shared" si="138"/>
        <v>8825.0507343806767</v>
      </c>
      <c r="AW226">
        <f t="shared" si="139"/>
        <v>-101.00667430175803</v>
      </c>
      <c r="AX226">
        <f>IF(B226&gt;$AF$2,0,HLOOKUP(YEAR(A226),Assumptions!$A$34:$AL$37,2,TRUE)/100)</f>
        <v>2.2238000000000001E-2</v>
      </c>
      <c r="AY226" s="32">
        <f>1/(1+HLOOKUP(YEAR(A226),Assumptions!$A$27:$AL$29,3,TRUE))^(1/12)</f>
        <v>0.99817964001618509</v>
      </c>
      <c r="AZ226" s="30">
        <f t="shared" si="119"/>
        <v>9180.5128392065963</v>
      </c>
      <c r="BA226">
        <f>IF(B226&gt;$AF$2,0,IF($E$2=0,(T226*Z226+(1-T226)*AA226)*$J$2*Assumptions!$B$20,0))</f>
        <v>0</v>
      </c>
    </row>
    <row r="227" spans="1:53" x14ac:dyDescent="0.25">
      <c r="A227" s="17">
        <f t="shared" si="120"/>
        <v>49674</v>
      </c>
      <c r="B227">
        <f t="shared" si="112"/>
        <v>446</v>
      </c>
      <c r="C227">
        <f t="shared" si="113"/>
        <v>37.083333333333336</v>
      </c>
      <c r="D227">
        <f t="shared" si="106"/>
        <v>0</v>
      </c>
      <c r="E227">
        <f t="shared" si="114"/>
        <v>60</v>
      </c>
      <c r="F227">
        <f>IF(C227&gt;=$H$2,0,VLOOKUP($E227,'Mortality Table'!$A$3:$C$128,2+AB$2,FALSE))</f>
        <v>3.7886999999999999E-3</v>
      </c>
      <c r="G227">
        <f>F227*Assumptions!$B$1</f>
        <v>4.1012677500000001E-3</v>
      </c>
      <c r="H227">
        <f t="shared" si="121"/>
        <v>3.4241644664634308E-4</v>
      </c>
      <c r="I227">
        <f t="shared" si="107"/>
        <v>1.7363086669828001E-4</v>
      </c>
      <c r="J227">
        <f>HLOOKUP(C227,Assumptions!$A$6:$J$7,2,TRUE)</f>
        <v>3.5200000000000002E-2</v>
      </c>
      <c r="K227" s="18">
        <f t="shared" si="115"/>
        <v>1</v>
      </c>
      <c r="L227" s="18">
        <f t="shared" si="122"/>
        <v>8.3333333333333329E-2</v>
      </c>
      <c r="M227" s="18">
        <f t="shared" si="108"/>
        <v>2.9817501439168836E-3</v>
      </c>
      <c r="N227">
        <f t="shared" si="109"/>
        <v>1.5139696412993663E-3</v>
      </c>
      <c r="O227" s="20">
        <f t="shared" si="110"/>
        <v>0.50614465124068941</v>
      </c>
      <c r="P227">
        <f>IF(B227&gt;$AF$2,0,O226*($E$2+IF(E227&lt;=Assumptions!$B$9,$D$2,0))/$I$2*K227)</f>
        <v>26.009475160395255</v>
      </c>
      <c r="Q227">
        <f t="shared" si="123"/>
        <v>26.1</v>
      </c>
      <c r="R227">
        <f>IF(B227&gt;$AF$2,0,IF($Y$2=1,(SUMIF('Mortality Tarif Male'!A:A,E228,'Mortality Tarif Male'!G:G)-SUMIF('Mortality Tarif Male'!A:A,$C$2+$H$2,'Mortality Tarif Male'!G:G)+SUMIF('Mortality Tarif Male'!A:A,$C$2+$H$2,'Mortality Tarif Male'!D:D))/SUMIF('Mortality Tarif Male'!A:A,E228,'Mortality Tarif Male'!D:D),(SUMIF('Mortality Tarif Female'!A:A,E228,'Mortality Tarif Female'!G:G)-SUMIF('Mortality Tarif Female'!A:A,$C$2+$H$2,'Mortality Tarif Female'!G:G)+SUMIF('Mortality Tarif Female'!A:A,$C$2+$H$2,'Mortality Tarif Female'!D:D))/SUMIF('Mortality Tarif Female'!A:A,E228,'Mortality Tarif Female'!D:D)))</f>
        <v>0.90262428665390537</v>
      </c>
      <c r="S227">
        <f>IF(B227&gt;=$AF$2,0,IF($Y$2=1,(SUMIF('Mortality Tarif Male'!A:A,E228+1,'Mortality Tarif Male'!G:G)-SUMIF('Mortality Tarif Male'!A:A,$C$2+$H$2,'Mortality Tarif Male'!G:G)+SUMIF('Mortality Tarif Male'!A:A,$C$2+$H$2,'Mortality Tarif Male'!D:D))/SUMIF('Mortality Tarif Male'!A:A,E228+1,'Mortality Tarif Male'!D:D),(SUMIF('Mortality Tarif Female'!A:A,E228+1,'Mortality Tarif Female'!G:G)-SUMIF('Mortality Tarif Female'!A:A,$C$2+$H$2,'Mortality Tarif Female'!G:G)+SUMIF('Mortality Tarif Female'!A:A,$C$2+$H$2,'Mortality Tarif Female'!D:D))/SUMIF('Mortality Tarif Female'!A:A,E228+1,'Mortality Tarif Female'!D:D)))</f>
        <v>0.93383403573864054</v>
      </c>
      <c r="T227">
        <f t="shared" si="124"/>
        <v>0.8333333333333357</v>
      </c>
      <c r="U227">
        <f t="shared" si="125"/>
        <v>0.90782591150136116</v>
      </c>
      <c r="V227">
        <f t="shared" si="126"/>
        <v>18156.518230027224</v>
      </c>
      <c r="W227">
        <f t="shared" si="116"/>
        <v>23.694256290185528</v>
      </c>
      <c r="X227">
        <f t="shared" si="117"/>
        <v>0</v>
      </c>
      <c r="Y227">
        <f>IF(B227&gt;$AF$2,0,IF(X228=0,0,(1-X228)*($E$2+IF(E227&lt;=Assumptions!$B$9,$D$2,0))/$I$2*1/(1+$AG$2)*1/(1+Assumptions!$B$11)))</f>
        <v>0</v>
      </c>
      <c r="Z227">
        <f>IF(B227&gt;$AF$2,0,IF($Y$2=1,(SUMIF('Mortality Tarif Male'!A:A,E228,'Mortality Tarif Male'!E:E)-SUMIF('Mortality Tarif Male'!A:A,$C$2+$H$2,'Mortality Tarif Male'!E:E))/SUMIF('Mortality Tarif Male'!A:A,E228,'Mortality Tarif Male'!D:D),(SUMIF('Mortality Tarif Female'!A:A,E228,'Mortality Tarif Female'!E:E)-SUMIF('Mortality Tarif Female'!A:A,$C$2+$H$2,'Mortality Tarif Female'!E:E))/SUMIF('Mortality Tarif Female'!A:A,E228,'Mortality Tarif Female'!D:D)))</f>
        <v>2.8864816076194426</v>
      </c>
      <c r="AA227">
        <f>IF(B227&gt;=$AF$2,0,IF($Y$2=1,(SUMIF('Mortality Tarif Male'!A:A,E228+1,'Mortality Tarif Male'!E:E)-SUMIF('Mortality Tarif Male'!A:A,$C$2+$H$2,'Mortality Tarif Male'!E:E))/SUMIF('Mortality Tarif Male'!A:A,E228+1,'Mortality Tarif Male'!D:D),(SUMIF('Mortality Tarif Female'!A:A,E228+1,'Mortality Tarif Female'!E:E)-SUMIF('Mortality Tarif Female'!A:A,$C$2+$H$2,'Mortality Tarif Female'!E:E))/SUMIF('Mortality Tarif Female'!A:A,E228+1,'Mortality Tarif Female'!D:D)))</f>
        <v>1.9614826630320195</v>
      </c>
      <c r="AB227">
        <f t="shared" si="111"/>
        <v>658.00913746535673</v>
      </c>
      <c r="AC227">
        <f>IF(B227&gt;=$AF$2,0,MIN(1/3*(V227+W227+Y227-AB227),(V227-AB227),(T227*Z227+(1-T227)*AA227)*$AH$2*Assumptions!$B$22))</f>
        <v>71.220473791841684</v>
      </c>
      <c r="AD227">
        <f t="shared" si="127"/>
        <v>17450.982875060214</v>
      </c>
      <c r="AE227">
        <f t="shared" si="128"/>
        <v>17522.203348852054</v>
      </c>
      <c r="AF227">
        <f t="shared" si="129"/>
        <v>17450.982875060214</v>
      </c>
      <c r="AG227" s="26">
        <f t="shared" si="140"/>
        <v>17061.508369494328</v>
      </c>
      <c r="AH227" s="27">
        <f>IF(B227&gt;$AF$2,0,HLOOKUP(YEAR(A227),Assumptions!$A$34:$AL$37,4,TRUE)/100)</f>
        <v>1.6237999999999999E-2</v>
      </c>
      <c r="AI227">
        <f t="shared" si="130"/>
        <v>0</v>
      </c>
      <c r="AJ227">
        <f t="shared" si="131"/>
        <v>3.4771490995864252</v>
      </c>
      <c r="AK227">
        <f t="shared" si="132"/>
        <v>26.420258283676294</v>
      </c>
      <c r="AL227">
        <f>IF(E227&gt;Assumptions!$B$9,0,SUMPRODUCT($P$2:$X$2,Assumptions!$A$43:$I$43)/$I$2*O226*K227)</f>
        <v>2.8446020448802005</v>
      </c>
      <c r="AM227">
        <f t="shared" si="133"/>
        <v>0</v>
      </c>
      <c r="AN227">
        <f t="shared" si="134"/>
        <v>32.742009428142914</v>
      </c>
      <c r="AO227">
        <f>IF(E227&gt;Assumptions!$B$9,0,($V$2+$X$2)/$I$2*O226*K227*Assumptions!$B$46)</f>
        <v>0</v>
      </c>
      <c r="AP227">
        <f>IF(B227&gt;$AF$2,0,AP226*(1+Assumptions!$B$52)^(1/12))</f>
        <v>1.1961474756866455</v>
      </c>
      <c r="AQ227" s="29">
        <f>IF(B227&gt;$AF$2,0,O226*Assumptions!$B$48/12*AP226+AR227*Assumptions!$B$50/12)</f>
        <v>9.8847731831569163</v>
      </c>
      <c r="AR227" s="31">
        <f t="shared" si="135"/>
        <v>8731.6146661981111</v>
      </c>
      <c r="AS227">
        <f t="shared" si="118"/>
        <v>8832.7216411045956</v>
      </c>
      <c r="AT227">
        <f t="shared" si="136"/>
        <v>10.191548426244722</v>
      </c>
      <c r="AU227" s="19">
        <f t="shared" si="137"/>
        <v>8737.5478197491047</v>
      </c>
      <c r="AV227" s="19">
        <f t="shared" si="138"/>
        <v>8832.6213404998689</v>
      </c>
      <c r="AW227">
        <f t="shared" si="139"/>
        <v>0</v>
      </c>
      <c r="AX227">
        <f>IF(B227&gt;$AF$2,0,HLOOKUP(YEAR(A227),Assumptions!$A$34:$AL$37,2,TRUE)/100)</f>
        <v>2.2238000000000001E-2</v>
      </c>
      <c r="AY227" s="32">
        <f>1/(1+HLOOKUP(YEAR(A227),Assumptions!$A$27:$AL$29,3,TRUE))^(1/12)</f>
        <v>0.99817964001618509</v>
      </c>
      <c r="AZ227" s="30">
        <f t="shared" si="119"/>
        <v>9180.637846999789</v>
      </c>
      <c r="BA227">
        <f>IF(B227&gt;$AF$2,0,IF($E$2=0,(T227*Z227+(1-T227)*AA227)*$J$2*Assumptions!$B$20,0))</f>
        <v>0</v>
      </c>
    </row>
    <row r="228" spans="1:53" x14ac:dyDescent="0.25">
      <c r="A228" s="17">
        <f t="shared" si="120"/>
        <v>49705</v>
      </c>
      <c r="B228">
        <f t="shared" si="112"/>
        <v>447</v>
      </c>
      <c r="C228">
        <f t="shared" si="113"/>
        <v>37.166666666666664</v>
      </c>
      <c r="D228">
        <f t="shared" ref="D228:D264" si="141">IF(C228-INT(C228)=0,1,0)</f>
        <v>0</v>
      </c>
      <c r="E228">
        <f t="shared" si="114"/>
        <v>60</v>
      </c>
      <c r="F228">
        <f>IF(C228&gt;=$H$2,0,VLOOKUP($E228,'Mortality Table'!$A$3:$C$128,2+AB$2,FALSE))</f>
        <v>3.7886999999999999E-3</v>
      </c>
      <c r="G228">
        <f>F228*Assumptions!$B$1</f>
        <v>4.1012677500000001E-3</v>
      </c>
      <c r="H228">
        <f t="shared" si="121"/>
        <v>3.4241644664634308E-4</v>
      </c>
      <c r="I228">
        <f t="shared" ref="I228:I264" si="142">H228*O227*(1-M228/2)</f>
        <v>1.7305386604927616E-4</v>
      </c>
      <c r="J228">
        <f>HLOOKUP(C228,Assumptions!$A$6:$J$7,2,TRUE)</f>
        <v>3.5200000000000002E-2</v>
      </c>
      <c r="K228" s="18">
        <f t="shared" si="115"/>
        <v>1</v>
      </c>
      <c r="L228" s="18">
        <f t="shared" si="122"/>
        <v>8.3333333333333329E-2</v>
      </c>
      <c r="M228" s="18">
        <f t="shared" ref="M228:M264" si="143">(1-(1-J228)^L228)</f>
        <v>2.9817501439168836E-3</v>
      </c>
      <c r="N228">
        <f t="shared" ref="N228:N264" si="144">M228*O227*(1-H228/2)</f>
        <v>1.5089384997620731E-3</v>
      </c>
      <c r="O228" s="20">
        <f t="shared" ref="O228:O264" si="145">IF(B228&gt;$AF$2,0,O227-I228-N228)</f>
        <v>0.50446265887487807</v>
      </c>
      <c r="P228">
        <f>IF(B228&gt;$AF$2,0,O227*($E$2+IF(E228&lt;=Assumptions!$B$9,$D$2,0))/$I$2*K228)</f>
        <v>25.923041887710639</v>
      </c>
      <c r="Q228">
        <f t="shared" si="123"/>
        <v>26.1</v>
      </c>
      <c r="R228">
        <f>IF(B228&gt;$AF$2,0,IF($Y$2=1,(SUMIF('Mortality Tarif Male'!A:A,E229,'Mortality Tarif Male'!G:G)-SUMIF('Mortality Tarif Male'!A:A,$C$2+$H$2,'Mortality Tarif Male'!G:G)+SUMIF('Mortality Tarif Male'!A:A,$C$2+$H$2,'Mortality Tarif Male'!D:D))/SUMIF('Mortality Tarif Male'!A:A,E229,'Mortality Tarif Male'!D:D),(SUMIF('Mortality Tarif Female'!A:A,E229,'Mortality Tarif Female'!G:G)-SUMIF('Mortality Tarif Female'!A:A,$C$2+$H$2,'Mortality Tarif Female'!G:G)+SUMIF('Mortality Tarif Female'!A:A,$C$2+$H$2,'Mortality Tarif Female'!D:D))/SUMIF('Mortality Tarif Female'!A:A,E229,'Mortality Tarif Female'!D:D)))</f>
        <v>0.90262428665390537</v>
      </c>
      <c r="S228">
        <f>IF(B228&gt;=$AF$2,0,IF($Y$2=1,(SUMIF('Mortality Tarif Male'!A:A,E229+1,'Mortality Tarif Male'!G:G)-SUMIF('Mortality Tarif Male'!A:A,$C$2+$H$2,'Mortality Tarif Male'!G:G)+SUMIF('Mortality Tarif Male'!A:A,$C$2+$H$2,'Mortality Tarif Male'!D:D))/SUMIF('Mortality Tarif Male'!A:A,E229+1,'Mortality Tarif Male'!D:D),(SUMIF('Mortality Tarif Female'!A:A,E229+1,'Mortality Tarif Female'!G:G)-SUMIF('Mortality Tarif Female'!A:A,$C$2+$H$2,'Mortality Tarif Female'!G:G)+SUMIF('Mortality Tarif Female'!A:A,$C$2+$H$2,'Mortality Tarif Female'!D:D))/SUMIF('Mortality Tarif Female'!A:A,E229+1,'Mortality Tarif Female'!D:D)))</f>
        <v>0.93383403573864054</v>
      </c>
      <c r="T228">
        <f t="shared" si="124"/>
        <v>0.75</v>
      </c>
      <c r="U228">
        <f t="shared" si="125"/>
        <v>0.91042672392508917</v>
      </c>
      <c r="V228">
        <f t="shared" si="126"/>
        <v>18208.534478501784</v>
      </c>
      <c r="W228">
        <f t="shared" si="116"/>
        <v>23.762137494444829</v>
      </c>
      <c r="X228">
        <f t="shared" si="117"/>
        <v>0</v>
      </c>
      <c r="Y228">
        <f>IF(B228&gt;$AF$2,0,IF(X229=0,0,(1-X229)*($E$2+IF(E228&lt;=Assumptions!$B$9,$D$2,0))/$I$2*1/(1+$AG$2)*1/(1+Assumptions!$B$11)))</f>
        <v>0</v>
      </c>
      <c r="Z228">
        <f>IF(B228&gt;$AF$2,0,IF($Y$2=1,(SUMIF('Mortality Tarif Male'!A:A,E229,'Mortality Tarif Male'!E:E)-SUMIF('Mortality Tarif Male'!A:A,$C$2+$H$2,'Mortality Tarif Male'!E:E))/SUMIF('Mortality Tarif Male'!A:A,E229,'Mortality Tarif Male'!D:D),(SUMIF('Mortality Tarif Female'!A:A,E229,'Mortality Tarif Female'!E:E)-SUMIF('Mortality Tarif Female'!A:A,$C$2+$H$2,'Mortality Tarif Female'!E:E))/SUMIF('Mortality Tarif Female'!A:A,E229,'Mortality Tarif Female'!D:D)))</f>
        <v>2.8864816076194426</v>
      </c>
      <c r="AA228">
        <f>IF(B228&gt;=$AF$2,0,IF($Y$2=1,(SUMIF('Mortality Tarif Male'!A:A,E229+1,'Mortality Tarif Male'!E:E)-SUMIF('Mortality Tarif Male'!A:A,$C$2+$H$2,'Mortality Tarif Male'!E:E))/SUMIF('Mortality Tarif Male'!A:A,E229+1,'Mortality Tarif Male'!D:D),(SUMIF('Mortality Tarif Female'!A:A,E229+1,'Mortality Tarif Female'!E:E)-SUMIF('Mortality Tarif Female'!A:A,$C$2+$H$2,'Mortality Tarif Female'!E:E))/SUMIF('Mortality Tarif Female'!A:A,E229+1,'Mortality Tarif Female'!D:D)))</f>
        <v>1.9614826630320195</v>
      </c>
      <c r="AB228">
        <f t="shared" si="111"/>
        <v>639.44558324932098</v>
      </c>
      <c r="AC228">
        <f>IF(B228&gt;=$AF$2,0,MIN(1/3*(V228+W228+Y228-AB228),(V228-AB228),(T228*Z228+(1-T228)*AA228)*$AH$2*Assumptions!$B$22))</f>
        <v>69.211223385959272</v>
      </c>
      <c r="AD228">
        <f t="shared" si="127"/>
        <v>17523.63980936095</v>
      </c>
      <c r="AE228">
        <f t="shared" si="128"/>
        <v>17592.851032746908</v>
      </c>
      <c r="AF228">
        <f t="shared" si="129"/>
        <v>17523.63980936095</v>
      </c>
      <c r="AG228" s="26">
        <f t="shared" si="140"/>
        <v>0</v>
      </c>
      <c r="AH228" s="27">
        <f>IF(B228&gt;$AF$2,0,HLOOKUP(YEAR(A228),Assumptions!$A$34:$AL$37,4,TRUE)/100)</f>
        <v>1.6730999999999999E-2</v>
      </c>
      <c r="AI228">
        <f t="shared" si="130"/>
        <v>0</v>
      </c>
      <c r="AJ228">
        <f t="shared" si="131"/>
        <v>3.4655940268894088</v>
      </c>
      <c r="AK228">
        <f t="shared" si="132"/>
        <v>26.442094764308052</v>
      </c>
      <c r="AL228">
        <f>IF(E228&gt;Assumptions!$B$9,0,SUMPRODUCT($P$2:$X$2,Assumptions!$A$43:$I$43)/$I$2*O227*K228)</f>
        <v>2.8351490181386718</v>
      </c>
      <c r="AM228">
        <f t="shared" si="133"/>
        <v>0</v>
      </c>
      <c r="AN228">
        <f t="shared" si="134"/>
        <v>32.74283780933613</v>
      </c>
      <c r="AO228">
        <f>IF(E228&gt;Assumptions!$B$9,0,($V$2+$X$2)/$I$2*O227*K228*Assumptions!$B$46)</f>
        <v>0</v>
      </c>
      <c r="AP228">
        <f>IF(B228&gt;$AF$2,0,AP227*(1+Assumptions!$B$52)^(1/12))</f>
        <v>1.1971397256081064</v>
      </c>
      <c r="AQ228" s="29">
        <f>IF(B228&gt;$AF$2,0,O227*Assumptions!$B$48/12*AP227+AR228*Assumptions!$B$50/12)</f>
        <v>9.8915686654709418</v>
      </c>
      <c r="AR228" s="31">
        <f t="shared" si="135"/>
        <v>8840.0441725134897</v>
      </c>
      <c r="AS228">
        <f t="shared" si="118"/>
        <v>8840.021931395886</v>
      </c>
      <c r="AT228">
        <f t="shared" si="136"/>
        <v>10.157680427033981</v>
      </c>
      <c r="AU228" s="19">
        <f t="shared" si="137"/>
        <v>8845.9179653086958</v>
      </c>
      <c r="AV228" s="19">
        <f t="shared" si="138"/>
        <v>8840.0441725134897</v>
      </c>
      <c r="AW228">
        <f t="shared" si="139"/>
        <v>-8.7945716548715538</v>
      </c>
      <c r="AX228">
        <f>IF(B228&gt;$AF$2,0,HLOOKUP(YEAR(A228),Assumptions!$A$34:$AL$37,2,TRUE)/100)</f>
        <v>2.2730999999999998E-2</v>
      </c>
      <c r="AY228" s="32">
        <f>1/(1+HLOOKUP(YEAR(A228),Assumptions!$A$27:$AL$29,3,TRUE))^(1/12)</f>
        <v>0.99816881688355608</v>
      </c>
      <c r="AZ228" s="30">
        <f t="shared" si="119"/>
        <v>9180.7687527173293</v>
      </c>
      <c r="BA228">
        <f>IF(B228&gt;$AF$2,0,IF($E$2=0,(T228*Z228+(1-T228)*AA228)*$J$2*Assumptions!$B$20,0))</f>
        <v>0</v>
      </c>
    </row>
    <row r="229" spans="1:53" x14ac:dyDescent="0.25">
      <c r="A229" s="17">
        <f t="shared" si="120"/>
        <v>49734</v>
      </c>
      <c r="B229">
        <f t="shared" si="112"/>
        <v>448</v>
      </c>
      <c r="C229">
        <f t="shared" si="113"/>
        <v>37.25</v>
      </c>
      <c r="D229">
        <f t="shared" si="141"/>
        <v>0</v>
      </c>
      <c r="E229">
        <f t="shared" si="114"/>
        <v>60</v>
      </c>
      <c r="F229">
        <f>IF(C229&gt;=$H$2,0,VLOOKUP($E229,'Mortality Table'!$A$3:$C$128,2+AB$2,FALSE))</f>
        <v>3.7886999999999999E-3</v>
      </c>
      <c r="G229">
        <f>F229*Assumptions!$B$1</f>
        <v>4.1012677500000001E-3</v>
      </c>
      <c r="H229">
        <f t="shared" si="121"/>
        <v>3.4241644664634308E-4</v>
      </c>
      <c r="I229">
        <f t="shared" si="142"/>
        <v>1.7247878285743461E-4</v>
      </c>
      <c r="J229">
        <f>HLOOKUP(C229,Assumptions!$A$6:$J$7,2,TRUE)</f>
        <v>3.5200000000000002E-2</v>
      </c>
      <c r="K229" s="18">
        <f t="shared" si="115"/>
        <v>1</v>
      </c>
      <c r="L229" s="18">
        <f t="shared" si="122"/>
        <v>8.3333333333333329E-2</v>
      </c>
      <c r="M229" s="18">
        <f t="shared" si="143"/>
        <v>2.9817501439168836E-3</v>
      </c>
      <c r="N229">
        <f t="shared" si="144"/>
        <v>1.5039240774405941E-3</v>
      </c>
      <c r="O229" s="20">
        <f t="shared" si="145"/>
        <v>0.50278625601458005</v>
      </c>
      <c r="P229">
        <f>IF(B229&gt;$AF$2,0,O228*($E$2+IF(E229&lt;=Assumptions!$B$9,$D$2,0))/$I$2*K229)</f>
        <v>25.836895845375</v>
      </c>
      <c r="Q229">
        <f t="shared" si="123"/>
        <v>26.1</v>
      </c>
      <c r="R229">
        <f>IF(B229&gt;$AF$2,0,IF($Y$2=1,(SUMIF('Mortality Tarif Male'!A:A,E230,'Mortality Tarif Male'!G:G)-SUMIF('Mortality Tarif Male'!A:A,$C$2+$H$2,'Mortality Tarif Male'!G:G)+SUMIF('Mortality Tarif Male'!A:A,$C$2+$H$2,'Mortality Tarif Male'!D:D))/SUMIF('Mortality Tarif Male'!A:A,E230,'Mortality Tarif Male'!D:D),(SUMIF('Mortality Tarif Female'!A:A,E230,'Mortality Tarif Female'!G:G)-SUMIF('Mortality Tarif Female'!A:A,$C$2+$H$2,'Mortality Tarif Female'!G:G)+SUMIF('Mortality Tarif Female'!A:A,$C$2+$H$2,'Mortality Tarif Female'!D:D))/SUMIF('Mortality Tarif Female'!A:A,E230,'Mortality Tarif Female'!D:D)))</f>
        <v>0.90262428665390537</v>
      </c>
      <c r="S229">
        <f>IF(B229&gt;=$AF$2,0,IF($Y$2=1,(SUMIF('Mortality Tarif Male'!A:A,E230+1,'Mortality Tarif Male'!G:G)-SUMIF('Mortality Tarif Male'!A:A,$C$2+$H$2,'Mortality Tarif Male'!G:G)+SUMIF('Mortality Tarif Male'!A:A,$C$2+$H$2,'Mortality Tarif Male'!D:D))/SUMIF('Mortality Tarif Male'!A:A,E230+1,'Mortality Tarif Male'!D:D),(SUMIF('Mortality Tarif Female'!A:A,E230+1,'Mortality Tarif Female'!G:G)-SUMIF('Mortality Tarif Female'!A:A,$C$2+$H$2,'Mortality Tarif Female'!G:G)+SUMIF('Mortality Tarif Female'!A:A,$C$2+$H$2,'Mortality Tarif Female'!D:D))/SUMIF('Mortality Tarif Female'!A:A,E230+1,'Mortality Tarif Female'!D:D)))</f>
        <v>0.93383403573864054</v>
      </c>
      <c r="T229">
        <f t="shared" si="124"/>
        <v>0.6666666666666643</v>
      </c>
      <c r="U229">
        <f t="shared" si="125"/>
        <v>0.91302753634881717</v>
      </c>
      <c r="V229">
        <f t="shared" si="126"/>
        <v>18260.550726976344</v>
      </c>
      <c r="W229">
        <f t="shared" si="116"/>
        <v>23.83001869870413</v>
      </c>
      <c r="X229">
        <f t="shared" si="117"/>
        <v>0</v>
      </c>
      <c r="Y229">
        <f>IF(B229&gt;$AF$2,0,IF(X230=0,0,(1-X230)*($E$2+IF(E229&lt;=Assumptions!$B$9,$D$2,0))/$I$2*1/(1+$AG$2)*1/(1+Assumptions!$B$11)))</f>
        <v>0</v>
      </c>
      <c r="Z229">
        <f>IF(B229&gt;$AF$2,0,IF($Y$2=1,(SUMIF('Mortality Tarif Male'!A:A,E230,'Mortality Tarif Male'!E:E)-SUMIF('Mortality Tarif Male'!A:A,$C$2+$H$2,'Mortality Tarif Male'!E:E))/SUMIF('Mortality Tarif Male'!A:A,E230,'Mortality Tarif Male'!D:D),(SUMIF('Mortality Tarif Female'!A:A,E230,'Mortality Tarif Female'!E:E)-SUMIF('Mortality Tarif Female'!A:A,$C$2+$H$2,'Mortality Tarif Female'!E:E))/SUMIF('Mortality Tarif Female'!A:A,E230,'Mortality Tarif Female'!D:D)))</f>
        <v>2.8864816076194426</v>
      </c>
      <c r="AA229">
        <f>IF(B229&gt;=$AF$2,0,IF($Y$2=1,(SUMIF('Mortality Tarif Male'!A:A,E230+1,'Mortality Tarif Male'!E:E)-SUMIF('Mortality Tarif Male'!A:A,$C$2+$H$2,'Mortality Tarif Male'!E:E))/SUMIF('Mortality Tarif Male'!A:A,E230+1,'Mortality Tarif Male'!D:D),(SUMIF('Mortality Tarif Female'!A:A,E230+1,'Mortality Tarif Female'!E:E)-SUMIF('Mortality Tarif Female'!A:A,$C$2+$H$2,'Mortality Tarif Female'!E:E))/SUMIF('Mortality Tarif Female'!A:A,E230+1,'Mortality Tarif Female'!D:D)))</f>
        <v>1.9614826630320195</v>
      </c>
      <c r="AB229">
        <f t="shared" si="111"/>
        <v>620.88202903328533</v>
      </c>
      <c r="AC229">
        <f>IF(B229&gt;=$AF$2,0,MIN(1/3*(V229+W229+Y229-AB229),(V229-AB229),(T229*Z229+(1-T229)*AA229)*$AH$2*Assumptions!$B$22))</f>
        <v>67.20197298007686</v>
      </c>
      <c r="AD229">
        <f t="shared" si="127"/>
        <v>17596.296743661685</v>
      </c>
      <c r="AE229">
        <f t="shared" si="128"/>
        <v>17663.498716641763</v>
      </c>
      <c r="AF229">
        <f t="shared" si="129"/>
        <v>17596.296743661685</v>
      </c>
      <c r="AG229" s="26">
        <f t="shared" si="140"/>
        <v>0</v>
      </c>
      <c r="AH229" s="27">
        <f>IF(B229&gt;$AF$2,0,HLOOKUP(YEAR(A229),Assumptions!$A$34:$AL$37,4,TRUE)/100)</f>
        <v>1.6730999999999999E-2</v>
      </c>
      <c r="AI229">
        <f t="shared" si="130"/>
        <v>0</v>
      </c>
      <c r="AJ229">
        <f t="shared" si="131"/>
        <v>3.4540773533812712</v>
      </c>
      <c r="AK229">
        <f t="shared" si="132"/>
        <v>26.46349434658233</v>
      </c>
      <c r="AL229">
        <f>IF(E229&gt;Assumptions!$B$9,0,SUMPRODUCT($P$2:$X$2,Assumptions!$A$43:$I$43)/$I$2*O228*K229)</f>
        <v>2.8257274051812744</v>
      </c>
      <c r="AM229">
        <f t="shared" si="133"/>
        <v>0</v>
      </c>
      <c r="AN229">
        <f t="shared" si="134"/>
        <v>32.743299105144878</v>
      </c>
      <c r="AO229">
        <f>IF(E229&gt;Assumptions!$B$9,0,($V$2+$X$2)/$I$2*O228*K229*Assumptions!$B$46)</f>
        <v>0</v>
      </c>
      <c r="AP229">
        <f>IF(B229&gt;$AF$2,0,AP228*(1+Assumptions!$B$52)^(1/12))</f>
        <v>1.1981327986386963</v>
      </c>
      <c r="AQ229" s="29">
        <f>IF(B229&gt;$AF$2,0,O228*Assumptions!$B$48/12*AP228+AR229*Assumptions!$B$50/12)</f>
        <v>9.8718418019736376</v>
      </c>
      <c r="AR229" s="31">
        <f t="shared" si="135"/>
        <v>8838.5255573119484</v>
      </c>
      <c r="AS229">
        <f t="shared" si="118"/>
        <v>8847.1761594672062</v>
      </c>
      <c r="AT229">
        <f t="shared" si="136"/>
        <v>10.12392497611547</v>
      </c>
      <c r="AU229" s="19">
        <f t="shared" si="137"/>
        <v>8844.366686379235</v>
      </c>
      <c r="AV229" s="19">
        <f t="shared" si="138"/>
        <v>8847.3201289668195</v>
      </c>
      <c r="AW229">
        <f t="shared" si="139"/>
        <v>-17.612940176778185</v>
      </c>
      <c r="AX229">
        <f>IF(B229&gt;$AF$2,0,HLOOKUP(YEAR(A229),Assumptions!$A$34:$AL$37,2,TRUE)/100)</f>
        <v>2.2730999999999998E-2</v>
      </c>
      <c r="AY229" s="32">
        <f>1/(1+HLOOKUP(YEAR(A229),Assumptions!$A$27:$AL$29,3,TRUE))^(1/12)</f>
        <v>0.99816881688355608</v>
      </c>
      <c r="AZ229" s="30">
        <f t="shared" si="119"/>
        <v>9180.8330181123256</v>
      </c>
      <c r="BA229">
        <f>IF(B229&gt;$AF$2,0,IF($E$2=0,(T229*Z229+(1-T229)*AA229)*$J$2*Assumptions!$B$20,0))</f>
        <v>0</v>
      </c>
    </row>
    <row r="230" spans="1:53" x14ac:dyDescent="0.25">
      <c r="A230" s="17">
        <f t="shared" si="120"/>
        <v>49765</v>
      </c>
      <c r="B230">
        <f t="shared" si="112"/>
        <v>449</v>
      </c>
      <c r="C230">
        <f t="shared" si="113"/>
        <v>37.333333333333336</v>
      </c>
      <c r="D230">
        <f t="shared" si="141"/>
        <v>0</v>
      </c>
      <c r="E230">
        <f t="shared" si="114"/>
        <v>60</v>
      </c>
      <c r="F230">
        <f>IF(C230&gt;=$H$2,0,VLOOKUP($E230,'Mortality Table'!$A$3:$C$128,2+AB$2,FALSE))</f>
        <v>3.7886999999999999E-3</v>
      </c>
      <c r="G230">
        <f>F230*Assumptions!$B$1</f>
        <v>4.1012677500000001E-3</v>
      </c>
      <c r="H230">
        <f t="shared" si="121"/>
        <v>3.4241644664634308E-4</v>
      </c>
      <c r="I230">
        <f t="shared" si="142"/>
        <v>1.7190561075076607E-4</v>
      </c>
      <c r="J230">
        <f>HLOOKUP(C230,Assumptions!$A$6:$J$7,2,TRUE)</f>
        <v>3.5200000000000002E-2</v>
      </c>
      <c r="K230" s="18">
        <f t="shared" si="115"/>
        <v>1</v>
      </c>
      <c r="L230" s="18">
        <f t="shared" si="122"/>
        <v>8.3333333333333329E-2</v>
      </c>
      <c r="M230" s="18">
        <f t="shared" si="143"/>
        <v>2.9817501439168836E-3</v>
      </c>
      <c r="N230">
        <f t="shared" si="144"/>
        <v>1.4989263187745402E-3</v>
      </c>
      <c r="O230" s="20">
        <f t="shared" si="145"/>
        <v>0.50111542408505472</v>
      </c>
      <c r="P230">
        <f>IF(B230&gt;$AF$2,0,O229*($E$2+IF(E230&lt;=Assumptions!$B$9,$D$2,0))/$I$2*K230)</f>
        <v>25.751036078880073</v>
      </c>
      <c r="Q230">
        <f t="shared" si="123"/>
        <v>26.1</v>
      </c>
      <c r="R230">
        <f>IF(B230&gt;$AF$2,0,IF($Y$2=1,(SUMIF('Mortality Tarif Male'!A:A,E231,'Mortality Tarif Male'!G:G)-SUMIF('Mortality Tarif Male'!A:A,$C$2+$H$2,'Mortality Tarif Male'!G:G)+SUMIF('Mortality Tarif Male'!A:A,$C$2+$H$2,'Mortality Tarif Male'!D:D))/SUMIF('Mortality Tarif Male'!A:A,E231,'Mortality Tarif Male'!D:D),(SUMIF('Mortality Tarif Female'!A:A,E231,'Mortality Tarif Female'!G:G)-SUMIF('Mortality Tarif Female'!A:A,$C$2+$H$2,'Mortality Tarif Female'!G:G)+SUMIF('Mortality Tarif Female'!A:A,$C$2+$H$2,'Mortality Tarif Female'!D:D))/SUMIF('Mortality Tarif Female'!A:A,E231,'Mortality Tarif Female'!D:D)))</f>
        <v>0.90262428665390537</v>
      </c>
      <c r="S230">
        <f>IF(B230&gt;=$AF$2,0,IF($Y$2=1,(SUMIF('Mortality Tarif Male'!A:A,E231+1,'Mortality Tarif Male'!G:G)-SUMIF('Mortality Tarif Male'!A:A,$C$2+$H$2,'Mortality Tarif Male'!G:G)+SUMIF('Mortality Tarif Male'!A:A,$C$2+$H$2,'Mortality Tarif Male'!D:D))/SUMIF('Mortality Tarif Male'!A:A,E231+1,'Mortality Tarif Male'!D:D),(SUMIF('Mortality Tarif Female'!A:A,E231+1,'Mortality Tarif Female'!G:G)-SUMIF('Mortality Tarif Female'!A:A,$C$2+$H$2,'Mortality Tarif Female'!G:G)+SUMIF('Mortality Tarif Female'!A:A,$C$2+$H$2,'Mortality Tarif Female'!D:D))/SUMIF('Mortality Tarif Female'!A:A,E231+1,'Mortality Tarif Female'!D:D)))</f>
        <v>0.93383403573864054</v>
      </c>
      <c r="T230">
        <f t="shared" si="124"/>
        <v>0.5833333333333357</v>
      </c>
      <c r="U230">
        <f t="shared" si="125"/>
        <v>0.91562834877254495</v>
      </c>
      <c r="V230">
        <f t="shared" si="126"/>
        <v>18312.5669754509</v>
      </c>
      <c r="W230">
        <f t="shared" si="116"/>
        <v>23.897899902963424</v>
      </c>
      <c r="X230">
        <f t="shared" si="117"/>
        <v>0</v>
      </c>
      <c r="Y230">
        <f>IF(B230&gt;$AF$2,0,IF(X231=0,0,(1-X231)*($E$2+IF(E230&lt;=Assumptions!$B$9,$D$2,0))/$I$2*1/(1+$AG$2)*1/(1+Assumptions!$B$11)))</f>
        <v>0</v>
      </c>
      <c r="Z230">
        <f>IF(B230&gt;$AF$2,0,IF($Y$2=1,(SUMIF('Mortality Tarif Male'!A:A,E231,'Mortality Tarif Male'!E:E)-SUMIF('Mortality Tarif Male'!A:A,$C$2+$H$2,'Mortality Tarif Male'!E:E))/SUMIF('Mortality Tarif Male'!A:A,E231,'Mortality Tarif Male'!D:D),(SUMIF('Mortality Tarif Female'!A:A,E231,'Mortality Tarif Female'!E:E)-SUMIF('Mortality Tarif Female'!A:A,$C$2+$H$2,'Mortality Tarif Female'!E:E))/SUMIF('Mortality Tarif Female'!A:A,E231,'Mortality Tarif Female'!D:D)))</f>
        <v>2.8864816076194426</v>
      </c>
      <c r="AA230">
        <f>IF(B230&gt;=$AF$2,0,IF($Y$2=1,(SUMIF('Mortality Tarif Male'!A:A,E231+1,'Mortality Tarif Male'!E:E)-SUMIF('Mortality Tarif Male'!A:A,$C$2+$H$2,'Mortality Tarif Male'!E:E))/SUMIF('Mortality Tarif Male'!A:A,E231+1,'Mortality Tarif Male'!D:D),(SUMIF('Mortality Tarif Female'!A:A,E231+1,'Mortality Tarif Female'!E:E)-SUMIF('Mortality Tarif Female'!A:A,$C$2+$H$2,'Mortality Tarif Female'!E:E))/SUMIF('Mortality Tarif Female'!A:A,E231+1,'Mortality Tarif Female'!D:D)))</f>
        <v>1.9614826630320195</v>
      </c>
      <c r="AB230">
        <f t="shared" si="111"/>
        <v>602.31847481725117</v>
      </c>
      <c r="AC230">
        <f>IF(B230&gt;=$AF$2,0,MIN(1/3*(V230+W230+Y230-AB230),(V230-AB230),(T230*Z230+(1-T230)*AA230)*$AH$2*Assumptions!$B$22))</f>
        <v>65.192722574194619</v>
      </c>
      <c r="AD230">
        <f t="shared" si="127"/>
        <v>17668.953677962421</v>
      </c>
      <c r="AE230">
        <f t="shared" si="128"/>
        <v>17734.146400536614</v>
      </c>
      <c r="AF230">
        <f t="shared" si="129"/>
        <v>17668.953677962421</v>
      </c>
      <c r="AG230" s="26">
        <f t="shared" si="140"/>
        <v>0</v>
      </c>
      <c r="AH230" s="27">
        <f>IF(B230&gt;$AF$2,0,HLOOKUP(YEAR(A230),Assumptions!$A$34:$AL$37,4,TRUE)/100)</f>
        <v>1.6730999999999999E-2</v>
      </c>
      <c r="AI230">
        <f t="shared" si="130"/>
        <v>0</v>
      </c>
      <c r="AJ230">
        <f t="shared" si="131"/>
        <v>3.4425989514559161</v>
      </c>
      <c r="AK230">
        <f t="shared" si="132"/>
        <v>26.484459693106086</v>
      </c>
      <c r="AL230">
        <f>IF(E230&gt;Assumptions!$B$9,0,SUMPRODUCT($P$2:$X$2,Assumptions!$A$43:$I$43)/$I$2*O229*K230)</f>
        <v>2.8163371016154293</v>
      </c>
      <c r="AM230">
        <f t="shared" si="133"/>
        <v>0</v>
      </c>
      <c r="AN230">
        <f t="shared" si="134"/>
        <v>32.743395746177434</v>
      </c>
      <c r="AO230">
        <f>IF(E230&gt;Assumptions!$B$9,0,($V$2+$X$2)/$I$2*O229*K230*Assumptions!$B$46)</f>
        <v>0</v>
      </c>
      <c r="AP230">
        <f>IF(B230&gt;$AF$2,0,AP229*(1+Assumptions!$B$52)^(1/12))</f>
        <v>1.1991266954612152</v>
      </c>
      <c r="AQ230" s="29">
        <f>IF(B230&gt;$AF$2,0,O229*Assumptions!$B$48/12*AP229+AR230*Assumptions!$B$50/12)</f>
        <v>9.8521222380118516</v>
      </c>
      <c r="AR230" s="31">
        <f t="shared" si="135"/>
        <v>8836.8371638882873</v>
      </c>
      <c r="AS230">
        <f t="shared" si="118"/>
        <v>8854.185215471327</v>
      </c>
      <c r="AT230">
        <f t="shared" si="136"/>
        <v>10.090281699474826</v>
      </c>
      <c r="AU230" s="19">
        <f t="shared" si="137"/>
        <v>8842.6457960296812</v>
      </c>
      <c r="AV230" s="19">
        <f t="shared" si="138"/>
        <v>8854.4501040650648</v>
      </c>
      <c r="AW230">
        <f t="shared" si="139"/>
        <v>-26.455004455004108</v>
      </c>
      <c r="AX230">
        <f>IF(B230&gt;$AF$2,0,HLOOKUP(YEAR(A230),Assumptions!$A$34:$AL$37,2,TRUE)/100)</f>
        <v>2.2730999999999998E-2</v>
      </c>
      <c r="AY230" s="32">
        <f>1/(1+HLOOKUP(YEAR(A230),Assumptions!$A$27:$AL$29,3,TRUE))^(1/12)</f>
        <v>0.99816881688355608</v>
      </c>
      <c r="AZ230" s="30">
        <f t="shared" si="119"/>
        <v>9180.8311645613539</v>
      </c>
      <c r="BA230">
        <f>IF(B230&gt;$AF$2,0,IF($E$2=0,(T230*Z230+(1-T230)*AA230)*$J$2*Assumptions!$B$20,0))</f>
        <v>0</v>
      </c>
    </row>
    <row r="231" spans="1:53" x14ac:dyDescent="0.25">
      <c r="A231" s="17">
        <f t="shared" si="120"/>
        <v>49795</v>
      </c>
      <c r="B231">
        <f t="shared" si="112"/>
        <v>450</v>
      </c>
      <c r="C231">
        <f t="shared" si="113"/>
        <v>37.416666666666664</v>
      </c>
      <c r="D231">
        <f t="shared" si="141"/>
        <v>0</v>
      </c>
      <c r="E231">
        <f t="shared" si="114"/>
        <v>60</v>
      </c>
      <c r="F231">
        <f>IF(C231&gt;=$H$2,0,VLOOKUP($E231,'Mortality Table'!$A$3:$C$128,2+AB$2,FALSE))</f>
        <v>3.7886999999999999E-3</v>
      </c>
      <c r="G231">
        <f>F231*Assumptions!$B$1</f>
        <v>4.1012677500000001E-3</v>
      </c>
      <c r="H231">
        <f t="shared" si="121"/>
        <v>3.4241644664634308E-4</v>
      </c>
      <c r="I231">
        <f t="shared" si="142"/>
        <v>1.7133434337845627E-4</v>
      </c>
      <c r="J231">
        <f>HLOOKUP(C231,Assumptions!$A$6:$J$7,2,TRUE)</f>
        <v>3.5200000000000002E-2</v>
      </c>
      <c r="K231" s="18">
        <f t="shared" si="115"/>
        <v>1</v>
      </c>
      <c r="L231" s="18">
        <f t="shared" si="122"/>
        <v>8.3333333333333329E-2</v>
      </c>
      <c r="M231" s="18">
        <f t="shared" si="143"/>
        <v>2.9817501439168836E-3</v>
      </c>
      <c r="N231">
        <f t="shared" si="144"/>
        <v>1.4939451683881587E-3</v>
      </c>
      <c r="O231" s="20">
        <f t="shared" si="145"/>
        <v>0.49945014457328812</v>
      </c>
      <c r="P231">
        <f>IF(B231&gt;$AF$2,0,O230*($E$2+IF(E231&lt;=Assumptions!$B$9,$D$2,0))/$I$2*K231)</f>
        <v>25.66546163688955</v>
      </c>
      <c r="Q231">
        <f t="shared" si="123"/>
        <v>26.1</v>
      </c>
      <c r="R231">
        <f>IF(B231&gt;$AF$2,0,IF($Y$2=1,(SUMIF('Mortality Tarif Male'!A:A,E232,'Mortality Tarif Male'!G:G)-SUMIF('Mortality Tarif Male'!A:A,$C$2+$H$2,'Mortality Tarif Male'!G:G)+SUMIF('Mortality Tarif Male'!A:A,$C$2+$H$2,'Mortality Tarif Male'!D:D))/SUMIF('Mortality Tarif Male'!A:A,E232,'Mortality Tarif Male'!D:D),(SUMIF('Mortality Tarif Female'!A:A,E232,'Mortality Tarif Female'!G:G)-SUMIF('Mortality Tarif Female'!A:A,$C$2+$H$2,'Mortality Tarif Female'!G:G)+SUMIF('Mortality Tarif Female'!A:A,$C$2+$H$2,'Mortality Tarif Female'!D:D))/SUMIF('Mortality Tarif Female'!A:A,E232,'Mortality Tarif Female'!D:D)))</f>
        <v>0.90262428665390537</v>
      </c>
      <c r="S231">
        <f>IF(B231&gt;=$AF$2,0,IF($Y$2=1,(SUMIF('Mortality Tarif Male'!A:A,E232+1,'Mortality Tarif Male'!G:G)-SUMIF('Mortality Tarif Male'!A:A,$C$2+$H$2,'Mortality Tarif Male'!G:G)+SUMIF('Mortality Tarif Male'!A:A,$C$2+$H$2,'Mortality Tarif Male'!D:D))/SUMIF('Mortality Tarif Male'!A:A,E232+1,'Mortality Tarif Male'!D:D),(SUMIF('Mortality Tarif Female'!A:A,E232+1,'Mortality Tarif Female'!G:G)-SUMIF('Mortality Tarif Female'!A:A,$C$2+$H$2,'Mortality Tarif Female'!G:G)+SUMIF('Mortality Tarif Female'!A:A,$C$2+$H$2,'Mortality Tarif Female'!D:D))/SUMIF('Mortality Tarif Female'!A:A,E232+1,'Mortality Tarif Female'!D:D)))</f>
        <v>0.93383403573864054</v>
      </c>
      <c r="T231">
        <f t="shared" si="124"/>
        <v>0.5</v>
      </c>
      <c r="U231">
        <f t="shared" si="125"/>
        <v>0.91822916119627296</v>
      </c>
      <c r="V231">
        <f t="shared" si="126"/>
        <v>18364.58322392546</v>
      </c>
      <c r="W231">
        <f t="shared" si="116"/>
        <v>23.965781107222725</v>
      </c>
      <c r="X231">
        <f t="shared" si="117"/>
        <v>0</v>
      </c>
      <c r="Y231">
        <f>IF(B231&gt;$AF$2,0,IF(X232=0,0,(1-X232)*($E$2+IF(E231&lt;=Assumptions!$B$9,$D$2,0))/$I$2*1/(1+$AG$2)*1/(1+Assumptions!$B$11)))</f>
        <v>0</v>
      </c>
      <c r="Z231">
        <f>IF(B231&gt;$AF$2,0,IF($Y$2=1,(SUMIF('Mortality Tarif Male'!A:A,E232,'Mortality Tarif Male'!E:E)-SUMIF('Mortality Tarif Male'!A:A,$C$2+$H$2,'Mortality Tarif Male'!E:E))/SUMIF('Mortality Tarif Male'!A:A,E232,'Mortality Tarif Male'!D:D),(SUMIF('Mortality Tarif Female'!A:A,E232,'Mortality Tarif Female'!E:E)-SUMIF('Mortality Tarif Female'!A:A,$C$2+$H$2,'Mortality Tarif Female'!E:E))/SUMIF('Mortality Tarif Female'!A:A,E232,'Mortality Tarif Female'!D:D)))</f>
        <v>2.8864816076194426</v>
      </c>
      <c r="AA231">
        <f>IF(B231&gt;=$AF$2,0,IF($Y$2=1,(SUMIF('Mortality Tarif Male'!A:A,E232+1,'Mortality Tarif Male'!E:E)-SUMIF('Mortality Tarif Male'!A:A,$C$2+$H$2,'Mortality Tarif Male'!E:E))/SUMIF('Mortality Tarif Male'!A:A,E232+1,'Mortality Tarif Male'!D:D),(SUMIF('Mortality Tarif Female'!A:A,E232+1,'Mortality Tarif Female'!E:E)-SUMIF('Mortality Tarif Female'!A:A,$C$2+$H$2,'Mortality Tarif Female'!E:E))/SUMIF('Mortality Tarif Female'!A:A,E232+1,'Mortality Tarif Female'!D:D)))</f>
        <v>1.9614826630320195</v>
      </c>
      <c r="AB231">
        <f t="shared" si="111"/>
        <v>583.75492060121553</v>
      </c>
      <c r="AC231">
        <f>IF(B231&gt;=$AF$2,0,MIN(1/3*(V231+W231+Y231-AB231),(V231-AB231),(T231*Z231+(1-T231)*AA231)*$AH$2*Assumptions!$B$22))</f>
        <v>63.183472168312214</v>
      </c>
      <c r="AD231">
        <f t="shared" si="127"/>
        <v>17741.610612263154</v>
      </c>
      <c r="AE231">
        <f t="shared" si="128"/>
        <v>17804.794084431465</v>
      </c>
      <c r="AF231">
        <f t="shared" si="129"/>
        <v>17741.610612263154</v>
      </c>
      <c r="AG231" s="26">
        <f t="shared" si="140"/>
        <v>0</v>
      </c>
      <c r="AH231" s="27">
        <f>IF(B231&gt;$AF$2,0,HLOOKUP(YEAR(A231),Assumptions!$A$34:$AL$37,4,TRUE)/100)</f>
        <v>1.6730999999999999E-2</v>
      </c>
      <c r="AI231">
        <f t="shared" si="130"/>
        <v>0</v>
      </c>
      <c r="AJ231">
        <f t="shared" si="131"/>
        <v>3.431158693931303</v>
      </c>
      <c r="AK231">
        <f t="shared" si="132"/>
        <v>26.50499345361462</v>
      </c>
      <c r="AL231">
        <f>IF(E231&gt;Assumptions!$B$9,0,SUMPRODUCT($P$2:$X$2,Assumptions!$A$43:$I$43)/$I$2*O230*K231)</f>
        <v>2.8069780033954701</v>
      </c>
      <c r="AM231">
        <f t="shared" si="133"/>
        <v>0</v>
      </c>
      <c r="AN231">
        <f t="shared" si="134"/>
        <v>32.74313015094139</v>
      </c>
      <c r="AO231">
        <f>IF(E231&gt;Assumptions!$B$9,0,($V$2+$X$2)/$I$2*O230*K231*Assumptions!$B$46)</f>
        <v>0</v>
      </c>
      <c r="AP231">
        <f>IF(B231&gt;$AF$2,0,AP230*(1+Assumptions!$B$52)^(1/12))</f>
        <v>1.2001214167590302</v>
      </c>
      <c r="AQ231" s="29">
        <f>IF(B231&gt;$AF$2,0,O230*Assumptions!$B$48/12*AP230+AR231*Assumptions!$B$50/12)</f>
        <v>9.8324100924285212</v>
      </c>
      <c r="AR231" s="31">
        <f t="shared" si="135"/>
        <v>8834.9799832372701</v>
      </c>
      <c r="AS231">
        <f t="shared" si="118"/>
        <v>8861.0499852578141</v>
      </c>
      <c r="AT231">
        <f t="shared" si="136"/>
        <v>10.056750224340592</v>
      </c>
      <c r="AU231" s="19">
        <f t="shared" si="137"/>
        <v>8840.7562845573884</v>
      </c>
      <c r="AV231" s="19">
        <f t="shared" si="138"/>
        <v>8861.4349876922734</v>
      </c>
      <c r="AW231">
        <f t="shared" si="139"/>
        <v>-35.320664076994063</v>
      </c>
      <c r="AX231">
        <f>IF(B231&gt;$AF$2,0,HLOOKUP(YEAR(A231),Assumptions!$A$34:$AL$37,2,TRUE)/100)</f>
        <v>2.2730999999999998E-2</v>
      </c>
      <c r="AY231" s="32">
        <f>1/(1+HLOOKUP(YEAR(A231),Assumptions!$A$27:$AL$29,3,TRUE))^(1/12)</f>
        <v>0.99816881688355608</v>
      </c>
      <c r="AZ231" s="30">
        <f t="shared" si="119"/>
        <v>9180.7637109087918</v>
      </c>
      <c r="BA231">
        <f>IF(B231&gt;$AF$2,0,IF($E$2=0,(T231*Z231+(1-T231)*AA231)*$J$2*Assumptions!$B$20,0))</f>
        <v>0</v>
      </c>
    </row>
    <row r="232" spans="1:53" x14ac:dyDescent="0.25">
      <c r="A232" s="17">
        <f t="shared" si="120"/>
        <v>49826</v>
      </c>
      <c r="B232">
        <f t="shared" si="112"/>
        <v>451</v>
      </c>
      <c r="C232">
        <f t="shared" si="113"/>
        <v>37.5</v>
      </c>
      <c r="D232">
        <f t="shared" si="141"/>
        <v>0</v>
      </c>
      <c r="E232">
        <f t="shared" si="114"/>
        <v>60</v>
      </c>
      <c r="F232">
        <f>IF(C232&gt;=$H$2,0,VLOOKUP($E232,'Mortality Table'!$A$3:$C$128,2+AB$2,FALSE))</f>
        <v>3.7886999999999999E-3</v>
      </c>
      <c r="G232">
        <f>F232*Assumptions!$B$1</f>
        <v>4.1012677500000001E-3</v>
      </c>
      <c r="H232">
        <f t="shared" si="121"/>
        <v>3.4241644664634308E-4</v>
      </c>
      <c r="I232">
        <f t="shared" si="142"/>
        <v>1.7076497441079566E-4</v>
      </c>
      <c r="J232">
        <f>HLOOKUP(C232,Assumptions!$A$6:$J$7,2,TRUE)</f>
        <v>3.5200000000000002E-2</v>
      </c>
      <c r="K232" s="18">
        <f t="shared" si="115"/>
        <v>1</v>
      </c>
      <c r="L232" s="18">
        <f t="shared" si="122"/>
        <v>8.3333333333333329E-2</v>
      </c>
      <c r="M232" s="18">
        <f t="shared" si="143"/>
        <v>2.9817501439168836E-3</v>
      </c>
      <c r="N232">
        <f t="shared" si="144"/>
        <v>1.4889805710897183E-3</v>
      </c>
      <c r="O232" s="20">
        <f t="shared" si="145"/>
        <v>0.4977903990277876</v>
      </c>
      <c r="P232">
        <f>IF(B232&gt;$AF$2,0,O231*($E$2+IF(E232&lt;=Assumptions!$B$9,$D$2,0))/$I$2*K232)</f>
        <v>25.580171571228572</v>
      </c>
      <c r="Q232">
        <f t="shared" si="123"/>
        <v>26.1</v>
      </c>
      <c r="R232">
        <f>IF(B232&gt;$AF$2,0,IF($Y$2=1,(SUMIF('Mortality Tarif Male'!A:A,E233,'Mortality Tarif Male'!G:G)-SUMIF('Mortality Tarif Male'!A:A,$C$2+$H$2,'Mortality Tarif Male'!G:G)+SUMIF('Mortality Tarif Male'!A:A,$C$2+$H$2,'Mortality Tarif Male'!D:D))/SUMIF('Mortality Tarif Male'!A:A,E233,'Mortality Tarif Male'!D:D),(SUMIF('Mortality Tarif Female'!A:A,E233,'Mortality Tarif Female'!G:G)-SUMIF('Mortality Tarif Female'!A:A,$C$2+$H$2,'Mortality Tarif Female'!G:G)+SUMIF('Mortality Tarif Female'!A:A,$C$2+$H$2,'Mortality Tarif Female'!D:D))/SUMIF('Mortality Tarif Female'!A:A,E233,'Mortality Tarif Female'!D:D)))</f>
        <v>0.90262428665390537</v>
      </c>
      <c r="S232">
        <f>IF(B232&gt;=$AF$2,0,IF($Y$2=1,(SUMIF('Mortality Tarif Male'!A:A,E233+1,'Mortality Tarif Male'!G:G)-SUMIF('Mortality Tarif Male'!A:A,$C$2+$H$2,'Mortality Tarif Male'!G:G)+SUMIF('Mortality Tarif Male'!A:A,$C$2+$H$2,'Mortality Tarif Male'!D:D))/SUMIF('Mortality Tarif Male'!A:A,E233+1,'Mortality Tarif Male'!D:D),(SUMIF('Mortality Tarif Female'!A:A,E233+1,'Mortality Tarif Female'!G:G)-SUMIF('Mortality Tarif Female'!A:A,$C$2+$H$2,'Mortality Tarif Female'!G:G)+SUMIF('Mortality Tarif Female'!A:A,$C$2+$H$2,'Mortality Tarif Female'!D:D))/SUMIF('Mortality Tarif Female'!A:A,E233+1,'Mortality Tarif Female'!D:D)))</f>
        <v>0.93383403573864054</v>
      </c>
      <c r="T232">
        <f t="shared" si="124"/>
        <v>0.4166666666666643</v>
      </c>
      <c r="U232">
        <f t="shared" si="125"/>
        <v>0.92082997362000096</v>
      </c>
      <c r="V232">
        <f t="shared" si="126"/>
        <v>18416.599472400019</v>
      </c>
      <c r="W232">
        <f t="shared" si="116"/>
        <v>24.033662311482026</v>
      </c>
      <c r="X232">
        <f t="shared" si="117"/>
        <v>0</v>
      </c>
      <c r="Y232">
        <f>IF(B232&gt;$AF$2,0,IF(X233=0,0,(1-X233)*($E$2+IF(E232&lt;=Assumptions!$B$9,$D$2,0))/$I$2*1/(1+$AG$2)*1/(1+Assumptions!$B$11)))</f>
        <v>0</v>
      </c>
      <c r="Z232">
        <f>IF(B232&gt;$AF$2,0,IF($Y$2=1,(SUMIF('Mortality Tarif Male'!A:A,E233,'Mortality Tarif Male'!E:E)-SUMIF('Mortality Tarif Male'!A:A,$C$2+$H$2,'Mortality Tarif Male'!E:E))/SUMIF('Mortality Tarif Male'!A:A,E233,'Mortality Tarif Male'!D:D),(SUMIF('Mortality Tarif Female'!A:A,E233,'Mortality Tarif Female'!E:E)-SUMIF('Mortality Tarif Female'!A:A,$C$2+$H$2,'Mortality Tarif Female'!E:E))/SUMIF('Mortality Tarif Female'!A:A,E233,'Mortality Tarif Female'!D:D)))</f>
        <v>2.8864816076194426</v>
      </c>
      <c r="AA232">
        <f>IF(B232&gt;=$AF$2,0,IF($Y$2=1,(SUMIF('Mortality Tarif Male'!A:A,E233+1,'Mortality Tarif Male'!E:E)-SUMIF('Mortality Tarif Male'!A:A,$C$2+$H$2,'Mortality Tarif Male'!E:E))/SUMIF('Mortality Tarif Male'!A:A,E233+1,'Mortality Tarif Male'!D:D),(SUMIF('Mortality Tarif Female'!A:A,E233+1,'Mortality Tarif Female'!E:E)-SUMIF('Mortality Tarif Female'!A:A,$C$2+$H$2,'Mortality Tarif Female'!E:E))/SUMIF('Mortality Tarif Female'!A:A,E233+1,'Mortality Tarif Female'!D:D)))</f>
        <v>1.9614826630320195</v>
      </c>
      <c r="AB232">
        <f t="shared" si="111"/>
        <v>565.19136638517978</v>
      </c>
      <c r="AC232">
        <f>IF(B232&gt;=$AF$2,0,MIN(1/3*(V232+W232+Y232-AB232),(V232-AB232),(T232*Z232+(1-T232)*AA232)*$AH$2*Assumptions!$B$22))</f>
        <v>61.174221762429809</v>
      </c>
      <c r="AD232">
        <f t="shared" si="127"/>
        <v>17814.267546563889</v>
      </c>
      <c r="AE232">
        <f t="shared" si="128"/>
        <v>17875.44176832632</v>
      </c>
      <c r="AF232">
        <f t="shared" si="129"/>
        <v>17814.267546563889</v>
      </c>
      <c r="AG232" s="26">
        <f t="shared" si="140"/>
        <v>0</v>
      </c>
      <c r="AH232" s="27">
        <f>IF(B232&gt;$AF$2,0,HLOOKUP(YEAR(A232),Assumptions!$A$34:$AL$37,4,TRUE)/100)</f>
        <v>1.6730999999999999E-2</v>
      </c>
      <c r="AI232">
        <f t="shared" si="130"/>
        <v>0</v>
      </c>
      <c r="AJ232">
        <f t="shared" si="131"/>
        <v>3.4197564540480347</v>
      </c>
      <c r="AK232">
        <f t="shared" si="132"/>
        <v>26.525098265027733</v>
      </c>
      <c r="AL232">
        <f>IF(E232&gt;Assumptions!$B$9,0,SUMPRODUCT($P$2:$X$2,Assumptions!$A$43:$I$43)/$I$2*O231*K232)</f>
        <v>2.79765000682149</v>
      </c>
      <c r="AM232">
        <f t="shared" si="133"/>
        <v>0</v>
      </c>
      <c r="AN232">
        <f t="shared" si="134"/>
        <v>32.742504725897255</v>
      </c>
      <c r="AO232">
        <f>IF(E232&gt;Assumptions!$B$9,0,($V$2+$X$2)/$I$2*O231*K232*Assumptions!$B$46)</f>
        <v>0</v>
      </c>
      <c r="AP232">
        <f>IF(B232&gt;$AF$2,0,AP231*(1+Assumptions!$B$52)^(1/12))</f>
        <v>1.201116963216075</v>
      </c>
      <c r="AQ232" s="29">
        <f>IF(B232&gt;$AF$2,0,O231*Assumptions!$B$48/12*AP231+AR232*Assumptions!$B$50/12)</f>
        <v>9.8127054831593163</v>
      </c>
      <c r="AR232" s="31">
        <f t="shared" si="135"/>
        <v>8832.9550013531771</v>
      </c>
      <c r="AS232">
        <f t="shared" si="118"/>
        <v>8867.7713503918058</v>
      </c>
      <c r="AT232">
        <f t="shared" si="136"/>
        <v>10.023330179180086</v>
      </c>
      <c r="AU232" s="19">
        <f t="shared" si="137"/>
        <v>8838.6991372620669</v>
      </c>
      <c r="AV232" s="19">
        <f t="shared" si="138"/>
        <v>8868.275665430172</v>
      </c>
      <c r="AW232">
        <f t="shared" si="139"/>
        <v>-44.209819325371384</v>
      </c>
      <c r="AX232">
        <f>IF(B232&gt;$AF$2,0,HLOOKUP(YEAR(A232),Assumptions!$A$34:$AL$37,2,TRUE)/100)</f>
        <v>2.2730999999999998E-2</v>
      </c>
      <c r="AY232" s="32">
        <f>1/(1+HLOOKUP(YEAR(A232),Assumptions!$A$27:$AL$29,3,TRUE))^(1/12)</f>
        <v>0.99816881688355608</v>
      </c>
      <c r="AZ232" s="30">
        <f t="shared" si="119"/>
        <v>9180.6311734782921</v>
      </c>
      <c r="BA232">
        <f>IF(B232&gt;$AF$2,0,IF($E$2=0,(T232*Z232+(1-T232)*AA232)*$J$2*Assumptions!$B$20,0))</f>
        <v>0</v>
      </c>
    </row>
    <row r="233" spans="1:53" x14ac:dyDescent="0.25">
      <c r="A233" s="17">
        <f t="shared" si="120"/>
        <v>49856</v>
      </c>
      <c r="B233">
        <f t="shared" si="112"/>
        <v>452</v>
      </c>
      <c r="C233">
        <f t="shared" si="113"/>
        <v>37.583333333333336</v>
      </c>
      <c r="D233">
        <f t="shared" si="141"/>
        <v>0</v>
      </c>
      <c r="E233">
        <f t="shared" si="114"/>
        <v>60</v>
      </c>
      <c r="F233">
        <f>IF(C233&gt;=$H$2,0,VLOOKUP($E233,'Mortality Table'!$A$3:$C$128,2+AB$2,FALSE))</f>
        <v>3.7886999999999999E-3</v>
      </c>
      <c r="G233">
        <f>F233*Assumptions!$B$1</f>
        <v>4.1012677500000001E-3</v>
      </c>
      <c r="H233">
        <f t="shared" si="121"/>
        <v>3.4241644664634308E-4</v>
      </c>
      <c r="I233">
        <f t="shared" si="142"/>
        <v>1.7019749753910914E-4</v>
      </c>
      <c r="J233">
        <f>HLOOKUP(C233,Assumptions!$A$6:$J$7,2,TRUE)</f>
        <v>3.5200000000000002E-2</v>
      </c>
      <c r="K233" s="18">
        <f t="shared" si="115"/>
        <v>1</v>
      </c>
      <c r="L233" s="18">
        <f t="shared" si="122"/>
        <v>8.3333333333333329E-2</v>
      </c>
      <c r="M233" s="18">
        <f t="shared" si="143"/>
        <v>2.9817501439168836E-3</v>
      </c>
      <c r="N233">
        <f t="shared" si="144"/>
        <v>1.4840324718708973E-3</v>
      </c>
      <c r="O233" s="20">
        <f t="shared" si="145"/>
        <v>0.4961361690583776</v>
      </c>
      <c r="P233">
        <f>IF(B233&gt;$AF$2,0,O232*($E$2+IF(E233&lt;=Assumptions!$B$9,$D$2,0))/$I$2*K233)</f>
        <v>25.495164936873184</v>
      </c>
      <c r="Q233">
        <f t="shared" si="123"/>
        <v>26.1</v>
      </c>
      <c r="R233">
        <f>IF(B233&gt;$AF$2,0,IF($Y$2=1,(SUMIF('Mortality Tarif Male'!A:A,E234,'Mortality Tarif Male'!G:G)-SUMIF('Mortality Tarif Male'!A:A,$C$2+$H$2,'Mortality Tarif Male'!G:G)+SUMIF('Mortality Tarif Male'!A:A,$C$2+$H$2,'Mortality Tarif Male'!D:D))/SUMIF('Mortality Tarif Male'!A:A,E234,'Mortality Tarif Male'!D:D),(SUMIF('Mortality Tarif Female'!A:A,E234,'Mortality Tarif Female'!G:G)-SUMIF('Mortality Tarif Female'!A:A,$C$2+$H$2,'Mortality Tarif Female'!G:G)+SUMIF('Mortality Tarif Female'!A:A,$C$2+$H$2,'Mortality Tarif Female'!D:D))/SUMIF('Mortality Tarif Female'!A:A,E234,'Mortality Tarif Female'!D:D)))</f>
        <v>0.90262428665390537</v>
      </c>
      <c r="S233">
        <f>IF(B233&gt;=$AF$2,0,IF($Y$2=1,(SUMIF('Mortality Tarif Male'!A:A,E234+1,'Mortality Tarif Male'!G:G)-SUMIF('Mortality Tarif Male'!A:A,$C$2+$H$2,'Mortality Tarif Male'!G:G)+SUMIF('Mortality Tarif Male'!A:A,$C$2+$H$2,'Mortality Tarif Male'!D:D))/SUMIF('Mortality Tarif Male'!A:A,E234+1,'Mortality Tarif Male'!D:D),(SUMIF('Mortality Tarif Female'!A:A,E234+1,'Mortality Tarif Female'!G:G)-SUMIF('Mortality Tarif Female'!A:A,$C$2+$H$2,'Mortality Tarif Female'!G:G)+SUMIF('Mortality Tarif Female'!A:A,$C$2+$H$2,'Mortality Tarif Female'!D:D))/SUMIF('Mortality Tarif Female'!A:A,E234+1,'Mortality Tarif Female'!D:D)))</f>
        <v>0.93383403573864054</v>
      </c>
      <c r="T233">
        <f t="shared" si="124"/>
        <v>0.3333333333333357</v>
      </c>
      <c r="U233">
        <f t="shared" si="125"/>
        <v>0.92343078604372875</v>
      </c>
      <c r="V233">
        <f t="shared" si="126"/>
        <v>18468.615720874575</v>
      </c>
      <c r="W233">
        <f t="shared" si="116"/>
        <v>24.101543515741323</v>
      </c>
      <c r="X233">
        <f t="shared" si="117"/>
        <v>0</v>
      </c>
      <c r="Y233">
        <f>IF(B233&gt;$AF$2,0,IF(X234=0,0,(1-X234)*($E$2+IF(E233&lt;=Assumptions!$B$9,$D$2,0))/$I$2*1/(1+$AG$2)*1/(1+Assumptions!$B$11)))</f>
        <v>0</v>
      </c>
      <c r="Z233">
        <f>IF(B233&gt;$AF$2,0,IF($Y$2=1,(SUMIF('Mortality Tarif Male'!A:A,E234,'Mortality Tarif Male'!E:E)-SUMIF('Mortality Tarif Male'!A:A,$C$2+$H$2,'Mortality Tarif Male'!E:E))/SUMIF('Mortality Tarif Male'!A:A,E234,'Mortality Tarif Male'!D:D),(SUMIF('Mortality Tarif Female'!A:A,E234,'Mortality Tarif Female'!E:E)-SUMIF('Mortality Tarif Female'!A:A,$C$2+$H$2,'Mortality Tarif Female'!E:E))/SUMIF('Mortality Tarif Female'!A:A,E234,'Mortality Tarif Female'!D:D)))</f>
        <v>2.8864816076194426</v>
      </c>
      <c r="AA233">
        <f>IF(B233&gt;=$AF$2,0,IF($Y$2=1,(SUMIF('Mortality Tarif Male'!A:A,E234+1,'Mortality Tarif Male'!E:E)-SUMIF('Mortality Tarif Male'!A:A,$C$2+$H$2,'Mortality Tarif Male'!E:E))/SUMIF('Mortality Tarif Male'!A:A,E234+1,'Mortality Tarif Male'!D:D),(SUMIF('Mortality Tarif Female'!A:A,E234+1,'Mortality Tarif Female'!E:E)-SUMIF('Mortality Tarif Female'!A:A,$C$2+$H$2,'Mortality Tarif Female'!E:E))/SUMIF('Mortality Tarif Female'!A:A,E234+1,'Mortality Tarif Female'!D:D)))</f>
        <v>1.9614826630320195</v>
      </c>
      <c r="AB233">
        <f t="shared" si="111"/>
        <v>546.62781216914573</v>
      </c>
      <c r="AC233">
        <f>IF(B233&gt;=$AF$2,0,MIN(1/3*(V233+W233+Y233-AB233),(V233-AB233),(T233*Z233+(1-T233)*AA233)*$AH$2*Assumptions!$B$22))</f>
        <v>59.164971356547568</v>
      </c>
      <c r="AD233">
        <f t="shared" si="127"/>
        <v>17886.924480864622</v>
      </c>
      <c r="AE233">
        <f t="shared" si="128"/>
        <v>17946.089452221171</v>
      </c>
      <c r="AF233">
        <f t="shared" si="129"/>
        <v>17886.924480864622</v>
      </c>
      <c r="AG233" s="26">
        <f t="shared" si="140"/>
        <v>0</v>
      </c>
      <c r="AH233" s="27">
        <f>IF(B233&gt;$AF$2,0,HLOOKUP(YEAR(A233),Assumptions!$A$34:$AL$37,4,TRUE)/100)</f>
        <v>1.6730999999999999E-2</v>
      </c>
      <c r="AI233">
        <f t="shared" si="130"/>
        <v>0</v>
      </c>
      <c r="AJ233">
        <f t="shared" si="131"/>
        <v>3.4083921054679531</v>
      </c>
      <c r="AK233">
        <f t="shared" si="132"/>
        <v>26.544776751505591</v>
      </c>
      <c r="AL233">
        <f>IF(E233&gt;Assumptions!$B$9,0,SUMPRODUCT($P$2:$X$2,Assumptions!$A$43:$I$43)/$I$2*O232*K233)</f>
        <v>2.7883530085381909</v>
      </c>
      <c r="AM233">
        <f t="shared" si="133"/>
        <v>0</v>
      </c>
      <c r="AN233">
        <f t="shared" si="134"/>
        <v>32.741521865511736</v>
      </c>
      <c r="AO233">
        <f>IF(E233&gt;Assumptions!$B$9,0,($V$2+$X$2)/$I$2*O232*K233*Assumptions!$B$46)</f>
        <v>0</v>
      </c>
      <c r="AP233">
        <f>IF(B233&gt;$AF$2,0,AP232*(1+Assumptions!$B$52)^(1/12))</f>
        <v>1.2021133355168505</v>
      </c>
      <c r="AQ233" s="29">
        <f>IF(B233&gt;$AF$2,0,O232*Assumptions!$B$48/12*AP232+AR233*Assumptions!$B$50/12)</f>
        <v>9.793008527237145</v>
      </c>
      <c r="AR233" s="31">
        <f t="shared" si="135"/>
        <v>8830.7631992515908</v>
      </c>
      <c r="AS233">
        <f t="shared" si="118"/>
        <v>8874.3501881726825</v>
      </c>
      <c r="AT233">
        <f t="shared" si="136"/>
        <v>9.9900211936952807</v>
      </c>
      <c r="AU233" s="19">
        <f t="shared" si="137"/>
        <v>8836.4753344675337</v>
      </c>
      <c r="AV233" s="19">
        <f t="shared" si="138"/>
        <v>8874.9730185769622</v>
      </c>
      <c r="AW233">
        <f t="shared" si="139"/>
        <v>-53.122371174969174</v>
      </c>
      <c r="AX233">
        <f>IF(B233&gt;$AF$2,0,HLOOKUP(YEAR(A233),Assumptions!$A$34:$AL$37,2,TRUE)/100)</f>
        <v>2.2730999999999998E-2</v>
      </c>
      <c r="AY233" s="32">
        <f>1/(1+HLOOKUP(YEAR(A233),Assumptions!$A$27:$AL$29,3,TRUE))^(1/12)</f>
        <v>0.99816881688355608</v>
      </c>
      <c r="AZ233" s="30">
        <f t="shared" si="119"/>
        <v>9180.4340660841954</v>
      </c>
      <c r="BA233">
        <f>IF(B233&gt;$AF$2,0,IF($E$2=0,(T233*Z233+(1-T233)*AA233)*$J$2*Assumptions!$B$20,0))</f>
        <v>0</v>
      </c>
    </row>
    <row r="234" spans="1:53" x14ac:dyDescent="0.25">
      <c r="A234" s="17">
        <f t="shared" si="120"/>
        <v>49887</v>
      </c>
      <c r="B234">
        <f t="shared" si="112"/>
        <v>453</v>
      </c>
      <c r="C234">
        <f t="shared" si="113"/>
        <v>37.666666666666664</v>
      </c>
      <c r="D234">
        <f t="shared" si="141"/>
        <v>0</v>
      </c>
      <c r="E234">
        <f t="shared" si="114"/>
        <v>60</v>
      </c>
      <c r="F234">
        <f>IF(C234&gt;=$H$2,0,VLOOKUP($E234,'Mortality Table'!$A$3:$C$128,2+AB$2,FALSE))</f>
        <v>3.7886999999999999E-3</v>
      </c>
      <c r="G234">
        <f>F234*Assumptions!$B$1</f>
        <v>4.1012677500000001E-3</v>
      </c>
      <c r="H234">
        <f t="shared" si="121"/>
        <v>3.4241644664634308E-4</v>
      </c>
      <c r="I234">
        <f t="shared" si="142"/>
        <v>1.6963190647568635E-4</v>
      </c>
      <c r="J234">
        <f>HLOOKUP(C234,Assumptions!$A$6:$J$7,2,TRUE)</f>
        <v>3.5200000000000002E-2</v>
      </c>
      <c r="K234" s="18">
        <f t="shared" si="115"/>
        <v>1</v>
      </c>
      <c r="L234" s="18">
        <f t="shared" si="122"/>
        <v>8.3333333333333329E-2</v>
      </c>
      <c r="M234" s="18">
        <f t="shared" si="143"/>
        <v>2.9817501439168836E-3</v>
      </c>
      <c r="N234">
        <f t="shared" si="144"/>
        <v>1.4791008159061761E-3</v>
      </c>
      <c r="O234" s="20">
        <f t="shared" si="145"/>
        <v>0.49448743633599573</v>
      </c>
      <c r="P234">
        <f>IF(B234&gt;$AF$2,0,O233*($E$2+IF(E234&lt;=Assumptions!$B$9,$D$2,0))/$I$2*K234)</f>
        <v>25.410440791939902</v>
      </c>
      <c r="Q234">
        <f t="shared" si="123"/>
        <v>26.1</v>
      </c>
      <c r="R234">
        <f>IF(B234&gt;$AF$2,0,IF($Y$2=1,(SUMIF('Mortality Tarif Male'!A:A,E235,'Mortality Tarif Male'!G:G)-SUMIF('Mortality Tarif Male'!A:A,$C$2+$H$2,'Mortality Tarif Male'!G:G)+SUMIF('Mortality Tarif Male'!A:A,$C$2+$H$2,'Mortality Tarif Male'!D:D))/SUMIF('Mortality Tarif Male'!A:A,E235,'Mortality Tarif Male'!D:D),(SUMIF('Mortality Tarif Female'!A:A,E235,'Mortality Tarif Female'!G:G)-SUMIF('Mortality Tarif Female'!A:A,$C$2+$H$2,'Mortality Tarif Female'!G:G)+SUMIF('Mortality Tarif Female'!A:A,$C$2+$H$2,'Mortality Tarif Female'!D:D))/SUMIF('Mortality Tarif Female'!A:A,E235,'Mortality Tarif Female'!D:D)))</f>
        <v>0.90262428665390537</v>
      </c>
      <c r="S234">
        <f>IF(B234&gt;=$AF$2,0,IF($Y$2=1,(SUMIF('Mortality Tarif Male'!A:A,E235+1,'Mortality Tarif Male'!G:G)-SUMIF('Mortality Tarif Male'!A:A,$C$2+$H$2,'Mortality Tarif Male'!G:G)+SUMIF('Mortality Tarif Male'!A:A,$C$2+$H$2,'Mortality Tarif Male'!D:D))/SUMIF('Mortality Tarif Male'!A:A,E235+1,'Mortality Tarif Male'!D:D),(SUMIF('Mortality Tarif Female'!A:A,E235+1,'Mortality Tarif Female'!G:G)-SUMIF('Mortality Tarif Female'!A:A,$C$2+$H$2,'Mortality Tarif Female'!G:G)+SUMIF('Mortality Tarif Female'!A:A,$C$2+$H$2,'Mortality Tarif Female'!D:D))/SUMIF('Mortality Tarif Female'!A:A,E235+1,'Mortality Tarif Female'!D:D)))</f>
        <v>0.93383403573864054</v>
      </c>
      <c r="T234">
        <f t="shared" si="124"/>
        <v>0.25</v>
      </c>
      <c r="U234">
        <f t="shared" si="125"/>
        <v>0.92603159846745675</v>
      </c>
      <c r="V234">
        <f t="shared" si="126"/>
        <v>18520.631969349135</v>
      </c>
      <c r="W234">
        <f t="shared" si="116"/>
        <v>24.169424720000624</v>
      </c>
      <c r="X234">
        <f t="shared" si="117"/>
        <v>0</v>
      </c>
      <c r="Y234">
        <f>IF(B234&gt;$AF$2,0,IF(X235=0,0,(1-X235)*($E$2+IF(E234&lt;=Assumptions!$B$9,$D$2,0))/$I$2*1/(1+$AG$2)*1/(1+Assumptions!$B$11)))</f>
        <v>0</v>
      </c>
      <c r="Z234">
        <f>IF(B234&gt;$AF$2,0,IF($Y$2=1,(SUMIF('Mortality Tarif Male'!A:A,E235,'Mortality Tarif Male'!E:E)-SUMIF('Mortality Tarif Male'!A:A,$C$2+$H$2,'Mortality Tarif Male'!E:E))/SUMIF('Mortality Tarif Male'!A:A,E235,'Mortality Tarif Male'!D:D),(SUMIF('Mortality Tarif Female'!A:A,E235,'Mortality Tarif Female'!E:E)-SUMIF('Mortality Tarif Female'!A:A,$C$2+$H$2,'Mortality Tarif Female'!E:E))/SUMIF('Mortality Tarif Female'!A:A,E235,'Mortality Tarif Female'!D:D)))</f>
        <v>2.8864816076194426</v>
      </c>
      <c r="AA234">
        <f>IF(B234&gt;=$AF$2,0,IF($Y$2=1,(SUMIF('Mortality Tarif Male'!A:A,E235+1,'Mortality Tarif Male'!E:E)-SUMIF('Mortality Tarif Male'!A:A,$C$2+$H$2,'Mortality Tarif Male'!E:E))/SUMIF('Mortality Tarif Male'!A:A,E235+1,'Mortality Tarif Male'!D:D),(SUMIF('Mortality Tarif Female'!A:A,E235+1,'Mortality Tarif Female'!E:E)-SUMIF('Mortality Tarif Female'!A:A,$C$2+$H$2,'Mortality Tarif Female'!E:E))/SUMIF('Mortality Tarif Female'!A:A,E235+1,'Mortality Tarif Female'!D:D)))</f>
        <v>1.9614826630320195</v>
      </c>
      <c r="AB234">
        <f t="shared" si="111"/>
        <v>528.06425795310986</v>
      </c>
      <c r="AC234">
        <f>IF(B234&gt;=$AF$2,0,MIN(1/3*(V234+W234+Y234-AB234),(V234-AB234),(T234*Z234+(1-T234)*AA234)*$AH$2*Assumptions!$B$22))</f>
        <v>57.155720950665149</v>
      </c>
      <c r="AD234">
        <f t="shared" si="127"/>
        <v>17959.581415165361</v>
      </c>
      <c r="AE234">
        <f t="shared" si="128"/>
        <v>18016.737136116026</v>
      </c>
      <c r="AF234">
        <f t="shared" si="129"/>
        <v>17959.581415165361</v>
      </c>
      <c r="AG234" s="26">
        <f t="shared" si="140"/>
        <v>0</v>
      </c>
      <c r="AH234" s="27">
        <f>IF(B234&gt;$AF$2,0,HLOOKUP(YEAR(A234),Assumptions!$A$34:$AL$37,4,TRUE)/100)</f>
        <v>1.6730999999999999E-2</v>
      </c>
      <c r="AI234">
        <f t="shared" si="130"/>
        <v>0</v>
      </c>
      <c r="AJ234">
        <f t="shared" si="131"/>
        <v>3.3970655222727419</v>
      </c>
      <c r="AK234">
        <f t="shared" si="132"/>
        <v>26.564031524504482</v>
      </c>
      <c r="AL234">
        <f>IF(E234&gt;Assumptions!$B$9,0,SUMPRODUCT($P$2:$X$2,Assumptions!$A$43:$I$43)/$I$2*O233*K234)</f>
        <v>2.7790869055337395</v>
      </c>
      <c r="AM234">
        <f t="shared" si="133"/>
        <v>0</v>
      </c>
      <c r="AN234">
        <f t="shared" si="134"/>
        <v>32.740183952310964</v>
      </c>
      <c r="AO234">
        <f>IF(E234&gt;Assumptions!$B$9,0,($V$2+$X$2)/$I$2*O233*K234*Assumptions!$B$46)</f>
        <v>0</v>
      </c>
      <c r="AP234">
        <f>IF(B234&gt;$AF$2,0,AP233*(1+Assumptions!$B$52)^(1/12))</f>
        <v>1.2031105343464255</v>
      </c>
      <c r="AQ234" s="29">
        <f>IF(B234&gt;$AF$2,0,O233*Assumptions!$B$48/12*AP233+AR234*Assumptions!$B$50/12)</f>
        <v>9.7733193407966308</v>
      </c>
      <c r="AR234" s="31">
        <f t="shared" si="135"/>
        <v>8828.4055529909983</v>
      </c>
      <c r="AS234">
        <f t="shared" si="118"/>
        <v>8880.7873716527138</v>
      </c>
      <c r="AT234">
        <f t="shared" si="136"/>
        <v>9.9568228988187073</v>
      </c>
      <c r="AU234" s="19">
        <f t="shared" si="137"/>
        <v>8834.0858515433229</v>
      </c>
      <c r="AV234" s="19">
        <f t="shared" si="138"/>
        <v>8881.5279241659682</v>
      </c>
      <c r="AW234">
        <f t="shared" si="139"/>
        <v>-62.058221289874602</v>
      </c>
      <c r="AX234">
        <f>IF(B234&gt;$AF$2,0,HLOOKUP(YEAR(A234),Assumptions!$A$34:$AL$37,2,TRUE)/100)</f>
        <v>2.2730999999999998E-2</v>
      </c>
      <c r="AY234" s="32">
        <f>1/(1+HLOOKUP(YEAR(A234),Assumptions!$A$27:$AL$29,3,TRUE))^(1/12)</f>
        <v>0.99816881688355608</v>
      </c>
      <c r="AZ234" s="30">
        <f t="shared" si="119"/>
        <v>9180.1729000429132</v>
      </c>
      <c r="BA234">
        <f>IF(B234&gt;$AF$2,0,IF($E$2=0,(T234*Z234+(1-T234)*AA234)*$J$2*Assumptions!$B$20,0))</f>
        <v>0</v>
      </c>
    </row>
    <row r="235" spans="1:53" x14ac:dyDescent="0.25">
      <c r="A235" s="17">
        <f t="shared" si="120"/>
        <v>49918</v>
      </c>
      <c r="B235">
        <f t="shared" si="112"/>
        <v>454</v>
      </c>
      <c r="C235">
        <f t="shared" si="113"/>
        <v>37.75</v>
      </c>
      <c r="D235">
        <f t="shared" si="141"/>
        <v>0</v>
      </c>
      <c r="E235">
        <f t="shared" si="114"/>
        <v>60</v>
      </c>
      <c r="F235">
        <f>IF(C235&gt;=$H$2,0,VLOOKUP($E235,'Mortality Table'!$A$3:$C$128,2+AB$2,FALSE))</f>
        <v>3.7886999999999999E-3</v>
      </c>
      <c r="G235">
        <f>F235*Assumptions!$B$1</f>
        <v>4.1012677500000001E-3</v>
      </c>
      <c r="H235">
        <f t="shared" si="121"/>
        <v>3.4241644664634308E-4</v>
      </c>
      <c r="I235">
        <f t="shared" si="142"/>
        <v>1.6906819495371184E-4</v>
      </c>
      <c r="J235">
        <f>HLOOKUP(C235,Assumptions!$A$6:$J$7,2,TRUE)</f>
        <v>3.5200000000000002E-2</v>
      </c>
      <c r="K235" s="18">
        <f t="shared" si="115"/>
        <v>1</v>
      </c>
      <c r="L235" s="18">
        <f t="shared" si="122"/>
        <v>8.3333333333333329E-2</v>
      </c>
      <c r="M235" s="18">
        <f t="shared" si="143"/>
        <v>2.9817501439168836E-3</v>
      </c>
      <c r="N235">
        <f t="shared" si="144"/>
        <v>1.4741855485522267E-3</v>
      </c>
      <c r="O235" s="20">
        <f t="shared" si="145"/>
        <v>0.4928441825924898</v>
      </c>
      <c r="P235">
        <f>IF(B235&gt;$AF$2,0,O234*($E$2+IF(E235&lt;=Assumptions!$B$9,$D$2,0))/$I$2*K235)</f>
        <v>25.325998197675244</v>
      </c>
      <c r="Q235">
        <f t="shared" si="123"/>
        <v>26.1</v>
      </c>
      <c r="R235">
        <f>IF(B235&gt;$AF$2,0,IF($Y$2=1,(SUMIF('Mortality Tarif Male'!A:A,E236,'Mortality Tarif Male'!G:G)-SUMIF('Mortality Tarif Male'!A:A,$C$2+$H$2,'Mortality Tarif Male'!G:G)+SUMIF('Mortality Tarif Male'!A:A,$C$2+$H$2,'Mortality Tarif Male'!D:D))/SUMIF('Mortality Tarif Male'!A:A,E236,'Mortality Tarif Male'!D:D),(SUMIF('Mortality Tarif Female'!A:A,E236,'Mortality Tarif Female'!G:G)-SUMIF('Mortality Tarif Female'!A:A,$C$2+$H$2,'Mortality Tarif Female'!G:G)+SUMIF('Mortality Tarif Female'!A:A,$C$2+$H$2,'Mortality Tarif Female'!D:D))/SUMIF('Mortality Tarif Female'!A:A,E236,'Mortality Tarif Female'!D:D)))</f>
        <v>0.90262428665390537</v>
      </c>
      <c r="S235">
        <f>IF(B235&gt;=$AF$2,0,IF($Y$2=1,(SUMIF('Mortality Tarif Male'!A:A,E236+1,'Mortality Tarif Male'!G:G)-SUMIF('Mortality Tarif Male'!A:A,$C$2+$H$2,'Mortality Tarif Male'!G:G)+SUMIF('Mortality Tarif Male'!A:A,$C$2+$H$2,'Mortality Tarif Male'!D:D))/SUMIF('Mortality Tarif Male'!A:A,E236+1,'Mortality Tarif Male'!D:D),(SUMIF('Mortality Tarif Female'!A:A,E236+1,'Mortality Tarif Female'!G:G)-SUMIF('Mortality Tarif Female'!A:A,$C$2+$H$2,'Mortality Tarif Female'!G:G)+SUMIF('Mortality Tarif Female'!A:A,$C$2+$H$2,'Mortality Tarif Female'!D:D))/SUMIF('Mortality Tarif Female'!A:A,E236+1,'Mortality Tarif Female'!D:D)))</f>
        <v>0.93383403573864054</v>
      </c>
      <c r="T235">
        <f t="shared" si="124"/>
        <v>0.1666666666666643</v>
      </c>
      <c r="U235">
        <f t="shared" si="125"/>
        <v>0.92863241089118476</v>
      </c>
      <c r="V235">
        <f t="shared" si="126"/>
        <v>18572.648217823695</v>
      </c>
      <c r="W235">
        <f t="shared" si="116"/>
        <v>24.237305924259925</v>
      </c>
      <c r="X235">
        <f t="shared" si="117"/>
        <v>0</v>
      </c>
      <c r="Y235">
        <f>IF(B235&gt;$AF$2,0,IF(X236=0,0,(1-X236)*($E$2+IF(E235&lt;=Assumptions!$B$9,$D$2,0))/$I$2*1/(1+$AG$2)*1/(1+Assumptions!$B$11)))</f>
        <v>0</v>
      </c>
      <c r="Z235">
        <f>IF(B235&gt;$AF$2,0,IF($Y$2=1,(SUMIF('Mortality Tarif Male'!A:A,E236,'Mortality Tarif Male'!E:E)-SUMIF('Mortality Tarif Male'!A:A,$C$2+$H$2,'Mortality Tarif Male'!E:E))/SUMIF('Mortality Tarif Male'!A:A,E236,'Mortality Tarif Male'!D:D),(SUMIF('Mortality Tarif Female'!A:A,E236,'Mortality Tarif Female'!E:E)-SUMIF('Mortality Tarif Female'!A:A,$C$2+$H$2,'Mortality Tarif Female'!E:E))/SUMIF('Mortality Tarif Female'!A:A,E236,'Mortality Tarif Female'!D:D)))</f>
        <v>2.8864816076194426</v>
      </c>
      <c r="AA235">
        <f>IF(B235&gt;=$AF$2,0,IF($Y$2=1,(SUMIF('Mortality Tarif Male'!A:A,E236+1,'Mortality Tarif Male'!E:E)-SUMIF('Mortality Tarif Male'!A:A,$C$2+$H$2,'Mortality Tarif Male'!E:E))/SUMIF('Mortality Tarif Male'!A:A,E236+1,'Mortality Tarif Male'!D:D),(SUMIF('Mortality Tarif Female'!A:A,E236+1,'Mortality Tarif Female'!E:E)-SUMIF('Mortality Tarif Female'!A:A,$C$2+$H$2,'Mortality Tarif Female'!E:E))/SUMIF('Mortality Tarif Female'!A:A,E236+1,'Mortality Tarif Female'!D:D)))</f>
        <v>1.9614826630320195</v>
      </c>
      <c r="AB235">
        <f t="shared" si="111"/>
        <v>509.50070373707422</v>
      </c>
      <c r="AC235">
        <f>IF(B235&gt;=$AF$2,0,MIN(1/3*(V235+W235+Y235-AB235),(V235-AB235),(T235*Z235+(1-T235)*AA235)*$AH$2*Assumptions!$B$22))</f>
        <v>55.146470544782737</v>
      </c>
      <c r="AD235">
        <f t="shared" si="127"/>
        <v>18032.238349466097</v>
      </c>
      <c r="AE235">
        <f t="shared" si="128"/>
        <v>18087.384820010881</v>
      </c>
      <c r="AF235">
        <f t="shared" si="129"/>
        <v>18032.238349466097</v>
      </c>
      <c r="AG235" s="26">
        <f t="shared" si="140"/>
        <v>0</v>
      </c>
      <c r="AH235" s="27">
        <f>IF(B235&gt;$AF$2,0,HLOOKUP(YEAR(A235),Assumptions!$A$34:$AL$37,4,TRUE)/100)</f>
        <v>1.6730999999999999E-2</v>
      </c>
      <c r="AI235">
        <f t="shared" si="130"/>
        <v>0</v>
      </c>
      <c r="AJ235">
        <f t="shared" si="131"/>
        <v>3.3857765789625285</v>
      </c>
      <c r="AK235">
        <f t="shared" si="132"/>
        <v>26.582865182832176</v>
      </c>
      <c r="AL235">
        <f>IF(E235&gt;Assumptions!$B$9,0,SUMPRODUCT($P$2:$X$2,Assumptions!$A$43:$I$43)/$I$2*O234*K235)</f>
        <v>2.7698515951386264</v>
      </c>
      <c r="AM235">
        <f t="shared" si="133"/>
        <v>0</v>
      </c>
      <c r="AN235">
        <f t="shared" si="134"/>
        <v>32.738493356933333</v>
      </c>
      <c r="AO235">
        <f>IF(E235&gt;Assumptions!$B$9,0,($V$2+$X$2)/$I$2*O234*K235*Assumptions!$B$46)</f>
        <v>0</v>
      </c>
      <c r="AP235">
        <f>IF(B235&gt;$AF$2,0,AP234*(1+Assumptions!$B$52)^(1/12))</f>
        <v>1.2041085603904371</v>
      </c>
      <c r="AQ235" s="29">
        <f>IF(B235&gt;$AF$2,0,O234*Assumptions!$B$48/12*AP234+AR235*Assumptions!$B$50/12)</f>
        <v>9.7536380390785897</v>
      </c>
      <c r="AR235" s="31">
        <f t="shared" si="135"/>
        <v>8825.8830336944102</v>
      </c>
      <c r="AS235">
        <f t="shared" si="118"/>
        <v>8887.0837696555664</v>
      </c>
      <c r="AT235">
        <f t="shared" si="136"/>
        <v>9.923734926709356</v>
      </c>
      <c r="AU235" s="19">
        <f t="shared" si="137"/>
        <v>8831.5316589262966</v>
      </c>
      <c r="AV235" s="19">
        <f t="shared" si="138"/>
        <v>8887.9412549842855</v>
      </c>
      <c r="AW235">
        <f t="shared" si="139"/>
        <v>-71.017272020486118</v>
      </c>
      <c r="AX235">
        <f>IF(B235&gt;$AF$2,0,HLOOKUP(YEAR(A235),Assumptions!$A$34:$AL$37,2,TRUE)/100)</f>
        <v>2.2730999999999998E-2</v>
      </c>
      <c r="AY235" s="32">
        <f>1/(1+HLOOKUP(YEAR(A235),Assumptions!$A$27:$AL$29,3,TRUE))^(1/12)</f>
        <v>0.99816881688355608</v>
      </c>
      <c r="AZ235" s="30">
        <f t="shared" si="119"/>
        <v>9179.8481841842586</v>
      </c>
      <c r="BA235">
        <f>IF(B235&gt;$AF$2,0,IF($E$2=0,(T235*Z235+(1-T235)*AA235)*$J$2*Assumptions!$B$20,0))</f>
        <v>0</v>
      </c>
    </row>
    <row r="236" spans="1:53" x14ac:dyDescent="0.25">
      <c r="A236" s="17">
        <f t="shared" si="120"/>
        <v>49948</v>
      </c>
      <c r="B236">
        <f t="shared" si="112"/>
        <v>455</v>
      </c>
      <c r="C236">
        <f t="shared" si="113"/>
        <v>37.833333333333336</v>
      </c>
      <c r="D236">
        <f t="shared" si="141"/>
        <v>0</v>
      </c>
      <c r="E236">
        <f t="shared" si="114"/>
        <v>60</v>
      </c>
      <c r="F236">
        <f>IF(C236&gt;=$H$2,0,VLOOKUP($E236,'Mortality Table'!$A$3:$C$128,2+AB$2,FALSE))</f>
        <v>3.7886999999999999E-3</v>
      </c>
      <c r="G236">
        <f>F236*Assumptions!$B$1</f>
        <v>4.1012677500000001E-3</v>
      </c>
      <c r="H236">
        <f t="shared" si="121"/>
        <v>3.4241644664634308E-4</v>
      </c>
      <c r="I236">
        <f t="shared" si="142"/>
        <v>1.6850635672719584E-4</v>
      </c>
      <c r="J236">
        <f>HLOOKUP(C236,Assumptions!$A$6:$J$7,2,TRUE)</f>
        <v>3.5200000000000002E-2</v>
      </c>
      <c r="K236" s="18">
        <f t="shared" si="115"/>
        <v>1</v>
      </c>
      <c r="L236" s="18">
        <f t="shared" si="122"/>
        <v>8.3333333333333329E-2</v>
      </c>
      <c r="M236" s="18">
        <f t="shared" si="143"/>
        <v>2.9817501439168836E-3</v>
      </c>
      <c r="N236">
        <f t="shared" si="144"/>
        <v>1.4692866153473093E-3</v>
      </c>
      <c r="O236" s="20">
        <f t="shared" si="145"/>
        <v>0.4912063896204153</v>
      </c>
      <c r="P236">
        <f>IF(B236&gt;$AF$2,0,O235*($E$2+IF(E236&lt;=Assumptions!$B$9,$D$2,0))/$I$2*K236)</f>
        <v>25.241836218445346</v>
      </c>
      <c r="Q236">
        <f t="shared" si="123"/>
        <v>26.1</v>
      </c>
      <c r="R236">
        <f>IF(B236&gt;$AF$2,0,IF($Y$2=1,(SUMIF('Mortality Tarif Male'!A:A,E237,'Mortality Tarif Male'!G:G)-SUMIF('Mortality Tarif Male'!A:A,$C$2+$H$2,'Mortality Tarif Male'!G:G)+SUMIF('Mortality Tarif Male'!A:A,$C$2+$H$2,'Mortality Tarif Male'!D:D))/SUMIF('Mortality Tarif Male'!A:A,E237,'Mortality Tarif Male'!D:D),(SUMIF('Mortality Tarif Female'!A:A,E237,'Mortality Tarif Female'!G:G)-SUMIF('Mortality Tarif Female'!A:A,$C$2+$H$2,'Mortality Tarif Female'!G:G)+SUMIF('Mortality Tarif Female'!A:A,$C$2+$H$2,'Mortality Tarif Female'!D:D))/SUMIF('Mortality Tarif Female'!A:A,E237,'Mortality Tarif Female'!D:D)))</f>
        <v>0.90262428665390537</v>
      </c>
      <c r="S236">
        <f>IF(B236&gt;=$AF$2,0,IF($Y$2=1,(SUMIF('Mortality Tarif Male'!A:A,E237+1,'Mortality Tarif Male'!G:G)-SUMIF('Mortality Tarif Male'!A:A,$C$2+$H$2,'Mortality Tarif Male'!G:G)+SUMIF('Mortality Tarif Male'!A:A,$C$2+$H$2,'Mortality Tarif Male'!D:D))/SUMIF('Mortality Tarif Male'!A:A,E237+1,'Mortality Tarif Male'!D:D),(SUMIF('Mortality Tarif Female'!A:A,E237+1,'Mortality Tarif Female'!G:G)-SUMIF('Mortality Tarif Female'!A:A,$C$2+$H$2,'Mortality Tarif Female'!G:G)+SUMIF('Mortality Tarif Female'!A:A,$C$2+$H$2,'Mortality Tarif Female'!D:D))/SUMIF('Mortality Tarif Female'!A:A,E237+1,'Mortality Tarif Female'!D:D)))</f>
        <v>0.93383403573864054</v>
      </c>
      <c r="T236">
        <f t="shared" si="124"/>
        <v>8.3333333333335702E-2</v>
      </c>
      <c r="U236">
        <f t="shared" si="125"/>
        <v>0.93123322331491254</v>
      </c>
      <c r="V236">
        <f t="shared" si="126"/>
        <v>18624.664466298251</v>
      </c>
      <c r="W236">
        <f t="shared" si="116"/>
        <v>24.305187128519218</v>
      </c>
      <c r="X236">
        <f t="shared" si="117"/>
        <v>0</v>
      </c>
      <c r="Y236">
        <f>IF(B236&gt;$AF$2,0,IF(X237=0,0,(1-X237)*($E$2+IF(E236&lt;=Assumptions!$B$9,$D$2,0))/$I$2*1/(1+$AG$2)*1/(1+Assumptions!$B$11)))</f>
        <v>0</v>
      </c>
      <c r="Z236">
        <f>IF(B236&gt;$AF$2,0,IF($Y$2=1,(SUMIF('Mortality Tarif Male'!A:A,E237,'Mortality Tarif Male'!E:E)-SUMIF('Mortality Tarif Male'!A:A,$C$2+$H$2,'Mortality Tarif Male'!E:E))/SUMIF('Mortality Tarif Male'!A:A,E237,'Mortality Tarif Male'!D:D),(SUMIF('Mortality Tarif Female'!A:A,E237,'Mortality Tarif Female'!E:E)-SUMIF('Mortality Tarif Female'!A:A,$C$2+$H$2,'Mortality Tarif Female'!E:E))/SUMIF('Mortality Tarif Female'!A:A,E237,'Mortality Tarif Female'!D:D)))</f>
        <v>2.8864816076194426</v>
      </c>
      <c r="AA236">
        <f>IF(B236&gt;=$AF$2,0,IF($Y$2=1,(SUMIF('Mortality Tarif Male'!A:A,E237+1,'Mortality Tarif Male'!E:E)-SUMIF('Mortality Tarif Male'!A:A,$C$2+$H$2,'Mortality Tarif Male'!E:E))/SUMIF('Mortality Tarif Male'!A:A,E237+1,'Mortality Tarif Male'!D:D),(SUMIF('Mortality Tarif Female'!A:A,E237+1,'Mortality Tarif Female'!E:E)-SUMIF('Mortality Tarif Female'!A:A,$C$2+$H$2,'Mortality Tarif Female'!E:E))/SUMIF('Mortality Tarif Female'!A:A,E237+1,'Mortality Tarif Female'!D:D)))</f>
        <v>1.9614826630320195</v>
      </c>
      <c r="AB236">
        <f t="shared" si="111"/>
        <v>490.93714952104</v>
      </c>
      <c r="AC236">
        <f>IF(B236&gt;=$AF$2,0,MIN(1/3*(V236+W236+Y236-AB236),(V236-AB236),(T236*Z236+(1-T236)*AA236)*$AH$2*Assumptions!$B$22))</f>
        <v>53.137220138900489</v>
      </c>
      <c r="AD236">
        <f t="shared" si="127"/>
        <v>18104.895283766829</v>
      </c>
      <c r="AE236">
        <f t="shared" si="128"/>
        <v>18158.032503905732</v>
      </c>
      <c r="AF236">
        <f t="shared" si="129"/>
        <v>18104.895283766829</v>
      </c>
      <c r="AG236" s="26">
        <f t="shared" si="140"/>
        <v>0</v>
      </c>
      <c r="AH236" s="27">
        <f>IF(B236&gt;$AF$2,0,HLOOKUP(YEAR(A236),Assumptions!$A$34:$AL$37,4,TRUE)/100)</f>
        <v>1.6730999999999999E-2</v>
      </c>
      <c r="AI236">
        <f t="shared" si="130"/>
        <v>0</v>
      </c>
      <c r="AJ236">
        <f t="shared" si="131"/>
        <v>3.3745251504544962</v>
      </c>
      <c r="AK236">
        <f t="shared" si="132"/>
        <v>26.601280312703228</v>
      </c>
      <c r="AL236">
        <f>IF(E236&gt;Assumptions!$B$9,0,SUMPRODUCT($P$2:$X$2,Assumptions!$A$43:$I$43)/$I$2*O235*K236)</f>
        <v>2.7606469750245277</v>
      </c>
      <c r="AM236">
        <f t="shared" si="133"/>
        <v>0</v>
      </c>
      <c r="AN236">
        <f t="shared" si="134"/>
        <v>32.736452438182248</v>
      </c>
      <c r="AO236">
        <f>IF(E236&gt;Assumptions!$B$9,0,($V$2+$X$2)/$I$2*O235*K236*Assumptions!$B$46)</f>
        <v>0</v>
      </c>
      <c r="AP236">
        <f>IF(B236&gt;$AF$2,0,AP235*(1+Assumptions!$B$52)^(1/12))</f>
        <v>1.2051074143350915</v>
      </c>
      <c r="AQ236" s="29">
        <f>IF(B236&gt;$AF$2,0,O235*Assumptions!$B$48/12*AP235+AR236*Assumptions!$B$50/12)</f>
        <v>9.7339647364344586</v>
      </c>
      <c r="AR236" s="31">
        <f t="shared" si="135"/>
        <v>8823.1966075708042</v>
      </c>
      <c r="AS236">
        <f t="shared" si="118"/>
        <v>8893.2402467947886</v>
      </c>
      <c r="AT236">
        <f t="shared" si="136"/>
        <v>9.8907569107486122</v>
      </c>
      <c r="AU236" s="19">
        <f t="shared" si="137"/>
        <v>8828.8137221420657</v>
      </c>
      <c r="AV236" s="19">
        <f t="shared" si="138"/>
        <v>8894.2138795912906</v>
      </c>
      <c r="AW236">
        <f t="shared" si="139"/>
        <v>-79.999426400583758</v>
      </c>
      <c r="AX236">
        <f>IF(B236&gt;$AF$2,0,HLOOKUP(YEAR(A236),Assumptions!$A$34:$AL$37,2,TRUE)/100)</f>
        <v>2.2730999999999998E-2</v>
      </c>
      <c r="AY236" s="32">
        <f>1/(1+HLOOKUP(YEAR(A236),Assumptions!$A$27:$AL$29,3,TRUE))^(1/12)</f>
        <v>0.99816881688355608</v>
      </c>
      <c r="AZ236" s="30">
        <f t="shared" si="119"/>
        <v>9179.4604248627275</v>
      </c>
      <c r="BA236">
        <f>IF(B236&gt;$AF$2,0,IF($E$2=0,(T236*Z236+(1-T236)*AA236)*$J$2*Assumptions!$B$20,0))</f>
        <v>0</v>
      </c>
    </row>
    <row r="237" spans="1:53" x14ac:dyDescent="0.25">
      <c r="A237" s="17">
        <f t="shared" si="120"/>
        <v>49979</v>
      </c>
      <c r="B237">
        <f t="shared" si="112"/>
        <v>456</v>
      </c>
      <c r="C237">
        <f t="shared" si="113"/>
        <v>37.916666666666664</v>
      </c>
      <c r="D237">
        <f t="shared" si="141"/>
        <v>0</v>
      </c>
      <c r="E237">
        <f t="shared" si="114"/>
        <v>60</v>
      </c>
      <c r="F237">
        <f>IF(C237&gt;=$H$2,0,VLOOKUP($E237,'Mortality Table'!$A$3:$C$128,2+AB$2,FALSE))</f>
        <v>3.7886999999999999E-3</v>
      </c>
      <c r="G237">
        <f>F237*Assumptions!$B$1</f>
        <v>4.1012677500000001E-3</v>
      </c>
      <c r="H237">
        <f t="shared" si="121"/>
        <v>3.4241644664634308E-4</v>
      </c>
      <c r="I237">
        <f t="shared" si="142"/>
        <v>1.6794638557090469E-4</v>
      </c>
      <c r="J237">
        <f>HLOOKUP(C237,Assumptions!$A$6:$J$7,2,TRUE)</f>
        <v>3.5200000000000002E-2</v>
      </c>
      <c r="K237" s="18">
        <f t="shared" si="115"/>
        <v>1</v>
      </c>
      <c r="L237" s="18">
        <f t="shared" si="122"/>
        <v>8.3333333333333329E-2</v>
      </c>
      <c r="M237" s="18">
        <f t="shared" si="143"/>
        <v>2.9817501439168836E-3</v>
      </c>
      <c r="N237">
        <f t="shared" si="144"/>
        <v>1.464403962010669E-3</v>
      </c>
      <c r="O237" s="20">
        <f t="shared" si="145"/>
        <v>0.48957403927283372</v>
      </c>
      <c r="P237">
        <f>IF(B237&gt;$AF$2,0,O236*($E$2+IF(E237&lt;=Assumptions!$B$9,$D$2,0))/$I$2*K237)</f>
        <v>25.157953921725596</v>
      </c>
      <c r="Q237">
        <f t="shared" si="123"/>
        <v>26.1</v>
      </c>
      <c r="R237">
        <f>IF(B237&gt;$AF$2,0,IF($Y$2=1,(SUMIF('Mortality Tarif Male'!A:A,E238,'Mortality Tarif Male'!G:G)-SUMIF('Mortality Tarif Male'!A:A,$C$2+$H$2,'Mortality Tarif Male'!G:G)+SUMIF('Mortality Tarif Male'!A:A,$C$2+$H$2,'Mortality Tarif Male'!D:D))/SUMIF('Mortality Tarif Male'!A:A,E238,'Mortality Tarif Male'!D:D),(SUMIF('Mortality Tarif Female'!A:A,E238,'Mortality Tarif Female'!G:G)-SUMIF('Mortality Tarif Female'!A:A,$C$2+$H$2,'Mortality Tarif Female'!G:G)+SUMIF('Mortality Tarif Female'!A:A,$C$2+$H$2,'Mortality Tarif Female'!D:D))/SUMIF('Mortality Tarif Female'!A:A,E238,'Mortality Tarif Female'!D:D)))</f>
        <v>0.93383403573864054</v>
      </c>
      <c r="S237">
        <f>IF(B237&gt;=$AF$2,0,IF($Y$2=1,(SUMIF('Mortality Tarif Male'!A:A,E238+1,'Mortality Tarif Male'!G:G)-SUMIF('Mortality Tarif Male'!A:A,$C$2+$H$2,'Mortality Tarif Male'!G:G)+SUMIF('Mortality Tarif Male'!A:A,$C$2+$H$2,'Mortality Tarif Male'!D:D))/SUMIF('Mortality Tarif Male'!A:A,E238+1,'Mortality Tarif Male'!D:D),(SUMIF('Mortality Tarif Female'!A:A,E238+1,'Mortality Tarif Female'!G:G)-SUMIF('Mortality Tarif Female'!A:A,$C$2+$H$2,'Mortality Tarif Female'!G:G)+SUMIF('Mortality Tarif Female'!A:A,$C$2+$H$2,'Mortality Tarif Female'!D:D))/SUMIF('Mortality Tarif Female'!A:A,E238+1,'Mortality Tarif Female'!D:D)))</f>
        <v>0.96626970111295607</v>
      </c>
      <c r="T237">
        <f t="shared" si="124"/>
        <v>1</v>
      </c>
      <c r="U237">
        <f t="shared" si="125"/>
        <v>0.93383403573864054</v>
      </c>
      <c r="V237">
        <f t="shared" si="126"/>
        <v>18676.68071477281</v>
      </c>
      <c r="W237">
        <f t="shared" si="116"/>
        <v>24.373068332778519</v>
      </c>
      <c r="X237">
        <f t="shared" si="117"/>
        <v>0</v>
      </c>
      <c r="Y237">
        <f>IF(B237&gt;$AF$2,0,IF(X238=0,0,(1-X238)*($E$2+IF(E237&lt;=Assumptions!$B$9,$D$2,0))/$I$2*1/(1+$AG$2)*1/(1+Assumptions!$B$11)))</f>
        <v>0</v>
      </c>
      <c r="Z237">
        <f>IF(B237&gt;$AF$2,0,IF($Y$2=1,(SUMIF('Mortality Tarif Male'!A:A,E238,'Mortality Tarif Male'!E:E)-SUMIF('Mortality Tarif Male'!A:A,$C$2+$H$2,'Mortality Tarif Male'!E:E))/SUMIF('Mortality Tarif Male'!A:A,E238,'Mortality Tarif Male'!D:D),(SUMIF('Mortality Tarif Female'!A:A,E238,'Mortality Tarif Female'!E:E)-SUMIF('Mortality Tarif Female'!A:A,$C$2+$H$2,'Mortality Tarif Female'!E:E))/SUMIF('Mortality Tarif Female'!A:A,E238,'Mortality Tarif Female'!D:D)))</f>
        <v>1.9614826630320195</v>
      </c>
      <c r="AA237">
        <f>IF(B237&gt;=$AF$2,0,IF($Y$2=1,(SUMIF('Mortality Tarif Male'!A:A,E238+1,'Mortality Tarif Male'!E:E)-SUMIF('Mortality Tarif Male'!A:A,$C$2+$H$2,'Mortality Tarif Male'!E:E))/SUMIF('Mortality Tarif Male'!A:A,E238+1,'Mortality Tarif Male'!D:D),(SUMIF('Mortality Tarif Female'!A:A,E238+1,'Mortality Tarif Female'!E:E)-SUMIF('Mortality Tarif Female'!A:A,$C$2+$H$2,'Mortality Tarif Female'!E:E))/SUMIF('Mortality Tarif Female'!A:A,E238+1,'Mortality Tarif Female'!D:D)))</f>
        <v>1.0000000000000007</v>
      </c>
      <c r="AB237">
        <f t="shared" si="111"/>
        <v>472.37359530500436</v>
      </c>
      <c r="AC237">
        <f>IF(B237&gt;=$AF$2,0,MIN(1/3*(V237+W237+Y237-AB237),(V237-AB237),(T237*Z237+(1-T237)*AA237)*$AH$2*Assumptions!$B$22))</f>
        <v>51.127969733018084</v>
      </c>
      <c r="AD237">
        <f t="shared" si="127"/>
        <v>18177.552218067565</v>
      </c>
      <c r="AE237">
        <f t="shared" si="128"/>
        <v>18228.680187800583</v>
      </c>
      <c r="AF237">
        <f t="shared" si="129"/>
        <v>18177.552218067565</v>
      </c>
      <c r="AG237" s="26">
        <f t="shared" si="140"/>
        <v>0</v>
      </c>
      <c r="AH237" s="27">
        <f>IF(B237&gt;$AF$2,0,HLOOKUP(YEAR(A237),Assumptions!$A$34:$AL$37,4,TRUE)/100)</f>
        <v>1.6730999999999999E-2</v>
      </c>
      <c r="AI237">
        <f t="shared" si="130"/>
        <v>0</v>
      </c>
      <c r="AJ237">
        <f t="shared" si="131"/>
        <v>3.3633111120814942</v>
      </c>
      <c r="AK237">
        <f t="shared" si="132"/>
        <v>26.619279487793968</v>
      </c>
      <c r="AL237">
        <f>IF(E237&gt;Assumptions!$B$9,0,SUMPRODUCT($P$2:$X$2,Assumptions!$A$43:$I$43)/$I$2*O236*K237)</f>
        <v>2.7514729432031713</v>
      </c>
      <c r="AM237">
        <f t="shared" si="133"/>
        <v>0</v>
      </c>
      <c r="AN237">
        <f t="shared" si="134"/>
        <v>32.734063543078634</v>
      </c>
      <c r="AO237">
        <f>IF(E237&gt;Assumptions!$B$9,0,($V$2+$X$2)/$I$2*O236*K237*Assumptions!$B$46)</f>
        <v>0</v>
      </c>
      <c r="AP237">
        <f>IF(B237&gt;$AF$2,0,AP236*(1+Assumptions!$B$52)^(1/12))</f>
        <v>1.2061070968671637</v>
      </c>
      <c r="AQ237" s="29">
        <f>IF(B237&gt;$AF$2,0,O236*Assumptions!$B$48/12*AP236+AR237*Assumptions!$B$50/12)</f>
        <v>9.7142995463307376</v>
      </c>
      <c r="AR237" s="31">
        <f t="shared" si="135"/>
        <v>8820.3472359365387</v>
      </c>
      <c r="AS237">
        <f t="shared" si="118"/>
        <v>8899.2576634921952</v>
      </c>
      <c r="AT237">
        <f t="shared" si="136"/>
        <v>9.8578884855361846</v>
      </c>
      <c r="AU237" s="19">
        <f t="shared" si="137"/>
        <v>8825.9330018263972</v>
      </c>
      <c r="AV237" s="19">
        <f t="shared" si="138"/>
        <v>8900.3466623371223</v>
      </c>
      <c r="AW237">
        <f t="shared" si="139"/>
        <v>-89.004588144412224</v>
      </c>
      <c r="AX237">
        <f>IF(B237&gt;$AF$2,0,HLOOKUP(YEAR(A237),Assumptions!$A$34:$AL$37,2,TRUE)/100)</f>
        <v>2.2730999999999998E-2</v>
      </c>
      <c r="AY237" s="32">
        <f>1/(1+HLOOKUP(YEAR(A237),Assumptions!$A$27:$AL$29,3,TRUE))^(1/12)</f>
        <v>0.99816881688355608</v>
      </c>
      <c r="AZ237" s="30">
        <f t="shared" si="119"/>
        <v>9179.010125968729</v>
      </c>
      <c r="BA237">
        <f>IF(B237&gt;$AF$2,0,IF($E$2=0,(T237*Z237+(1-T237)*AA237)*$J$2*Assumptions!$B$20,0))</f>
        <v>0</v>
      </c>
    </row>
    <row r="238" spans="1:53" x14ac:dyDescent="0.25">
      <c r="A238" s="17">
        <f t="shared" si="120"/>
        <v>50009</v>
      </c>
      <c r="B238">
        <f t="shared" si="112"/>
        <v>457</v>
      </c>
      <c r="C238">
        <f t="shared" si="113"/>
        <v>38</v>
      </c>
      <c r="D238">
        <f t="shared" si="141"/>
        <v>1</v>
      </c>
      <c r="E238">
        <f t="shared" si="114"/>
        <v>61</v>
      </c>
      <c r="F238">
        <f>IF(C238&gt;=$H$2,0,VLOOKUP($E238,'Mortality Table'!$A$3:$C$128,2+AB$2,FALSE))</f>
        <v>4.0088999999999993E-3</v>
      </c>
      <c r="G238">
        <f>F238*Assumptions!$B$1</f>
        <v>4.3396342499999992E-3</v>
      </c>
      <c r="H238">
        <f t="shared" si="121"/>
        <v>3.6235748213309105E-4</v>
      </c>
      <c r="I238">
        <f t="shared" si="142"/>
        <v>1.7713633373403034E-4</v>
      </c>
      <c r="J238">
        <f>HLOOKUP(C238,Assumptions!$A$6:$J$7,2,TRUE)</f>
        <v>3.5200000000000002E-2</v>
      </c>
      <c r="K238" s="18">
        <f t="shared" si="115"/>
        <v>1</v>
      </c>
      <c r="L238" s="18">
        <f t="shared" si="122"/>
        <v>8.3333333333333329E-2</v>
      </c>
      <c r="M238" s="18">
        <f t="shared" si="143"/>
        <v>2.9817501439168836E-3</v>
      </c>
      <c r="N238">
        <f t="shared" si="144"/>
        <v>1.4595229796051411E-3</v>
      </c>
      <c r="O238" s="20">
        <f t="shared" si="145"/>
        <v>0.48793737995949454</v>
      </c>
      <c r="P238">
        <f>IF(B238&gt;$AF$2,0,O237*($E$2+IF(E238&lt;=Assumptions!$B$9,$D$2,0))/$I$2*K238)</f>
        <v>15.682688391373105</v>
      </c>
      <c r="Q238">
        <f t="shared" si="123"/>
        <v>26.1</v>
      </c>
      <c r="R238">
        <f>IF(B238&gt;$AF$2,0,IF($Y$2=1,(SUMIF('Mortality Tarif Male'!A:A,E239,'Mortality Tarif Male'!G:G)-SUMIF('Mortality Tarif Male'!A:A,$C$2+$H$2,'Mortality Tarif Male'!G:G)+SUMIF('Mortality Tarif Male'!A:A,$C$2+$H$2,'Mortality Tarif Male'!D:D))/SUMIF('Mortality Tarif Male'!A:A,E239,'Mortality Tarif Male'!D:D),(SUMIF('Mortality Tarif Female'!A:A,E239,'Mortality Tarif Female'!G:G)-SUMIF('Mortality Tarif Female'!A:A,$C$2+$H$2,'Mortality Tarif Female'!G:G)+SUMIF('Mortality Tarif Female'!A:A,$C$2+$H$2,'Mortality Tarif Female'!D:D))/SUMIF('Mortality Tarif Female'!A:A,E239,'Mortality Tarif Female'!D:D)))</f>
        <v>0.93383403573864054</v>
      </c>
      <c r="S238">
        <f>IF(B238&gt;=$AF$2,0,IF($Y$2=1,(SUMIF('Mortality Tarif Male'!A:A,E239+1,'Mortality Tarif Male'!G:G)-SUMIF('Mortality Tarif Male'!A:A,$C$2+$H$2,'Mortality Tarif Male'!G:G)+SUMIF('Mortality Tarif Male'!A:A,$C$2+$H$2,'Mortality Tarif Male'!D:D))/SUMIF('Mortality Tarif Male'!A:A,E239+1,'Mortality Tarif Male'!D:D),(SUMIF('Mortality Tarif Female'!A:A,E239+1,'Mortality Tarif Female'!G:G)-SUMIF('Mortality Tarif Female'!A:A,$C$2+$H$2,'Mortality Tarif Female'!G:G)+SUMIF('Mortality Tarif Female'!A:A,$C$2+$H$2,'Mortality Tarif Female'!D:D))/SUMIF('Mortality Tarif Female'!A:A,E239+1,'Mortality Tarif Female'!D:D)))</f>
        <v>0.96626970111295607</v>
      </c>
      <c r="T238">
        <f t="shared" si="124"/>
        <v>0.9166666666666643</v>
      </c>
      <c r="U238">
        <f t="shared" si="125"/>
        <v>0.93653700785316696</v>
      </c>
      <c r="V238">
        <f t="shared" si="126"/>
        <v>18730.740157063337</v>
      </c>
      <c r="W238">
        <f t="shared" si="116"/>
        <v>24.443615904967658</v>
      </c>
      <c r="X238">
        <f t="shared" si="117"/>
        <v>0</v>
      </c>
      <c r="Y238">
        <f>IF(B238&gt;$AF$2,0,IF(X239=0,0,(1-X239)*($E$2+IF(E238&lt;=Assumptions!$B$9,$D$2,0))/$I$2*1/(1+$AG$2)*1/(1+Assumptions!$B$11)))</f>
        <v>0</v>
      </c>
      <c r="Z238">
        <f>IF(B238&gt;$AF$2,0,IF($Y$2=1,(SUMIF('Mortality Tarif Male'!A:A,E239,'Mortality Tarif Male'!E:E)-SUMIF('Mortality Tarif Male'!A:A,$C$2+$H$2,'Mortality Tarif Male'!E:E))/SUMIF('Mortality Tarif Male'!A:A,E239,'Mortality Tarif Male'!D:D),(SUMIF('Mortality Tarif Female'!A:A,E239,'Mortality Tarif Female'!E:E)-SUMIF('Mortality Tarif Female'!A:A,$C$2+$H$2,'Mortality Tarif Female'!E:E))/SUMIF('Mortality Tarif Female'!A:A,E239,'Mortality Tarif Female'!D:D)))</f>
        <v>1.9614826630320195</v>
      </c>
      <c r="AA238">
        <f>IF(B238&gt;=$AF$2,0,IF($Y$2=1,(SUMIF('Mortality Tarif Male'!A:A,E239+1,'Mortality Tarif Male'!E:E)-SUMIF('Mortality Tarif Male'!A:A,$C$2+$H$2,'Mortality Tarif Male'!E:E))/SUMIF('Mortality Tarif Male'!A:A,E239+1,'Mortality Tarif Male'!D:D),(SUMIF('Mortality Tarif Female'!A:A,E239+1,'Mortality Tarif Female'!E:E)-SUMIF('Mortality Tarif Female'!A:A,$C$2+$H$2,'Mortality Tarif Female'!E:E))/SUMIF('Mortality Tarif Female'!A:A,E239+1,'Mortality Tarif Female'!D:D)))</f>
        <v>1.0000000000000007</v>
      </c>
      <c r="AB238">
        <f t="shared" si="111"/>
        <v>453.07785918831695</v>
      </c>
      <c r="AC238">
        <f>IF(B238&gt;=$AF$2,0,MIN(1/3*(V238+W238+Y238-AB238),(V238-AB238),(T238*Z238+(1-T238)*AA238)*$AH$2*Assumptions!$B$22))</f>
        <v>49.039470667964927</v>
      </c>
      <c r="AD238">
        <f t="shared" si="127"/>
        <v>18253.066443112024</v>
      </c>
      <c r="AE238">
        <f t="shared" si="128"/>
        <v>18302.105913779989</v>
      </c>
      <c r="AF238">
        <f t="shared" si="129"/>
        <v>18253.066443112024</v>
      </c>
      <c r="AG238" s="26">
        <f t="shared" si="140"/>
        <v>0</v>
      </c>
      <c r="AH238" s="27">
        <f>IF(B238&gt;$AF$2,0,HLOOKUP(YEAR(A238),Assumptions!$A$34:$AL$37,4,TRUE)/100)</f>
        <v>1.6730999999999999E-2</v>
      </c>
      <c r="AI238">
        <f t="shared" si="130"/>
        <v>0</v>
      </c>
      <c r="AJ238">
        <f t="shared" si="131"/>
        <v>3.5473499329910649</v>
      </c>
      <c r="AK238">
        <f t="shared" si="132"/>
        <v>26.640769921981477</v>
      </c>
      <c r="AL238">
        <f>IF(E238&gt;Assumptions!$B$9,0,SUMPRODUCT($P$2:$X$2,Assumptions!$A$43:$I$43)/$I$2*O237*K238)</f>
        <v>0</v>
      </c>
      <c r="AM238">
        <f t="shared" si="133"/>
        <v>0</v>
      </c>
      <c r="AN238">
        <f t="shared" si="134"/>
        <v>30.188119854972541</v>
      </c>
      <c r="AO238">
        <f>IF(E238&gt;Assumptions!$B$9,0,($V$2+$X$2)/$I$2*O237*K238*Assumptions!$B$46)</f>
        <v>0</v>
      </c>
      <c r="AP238">
        <f>IF(B238&gt;$AF$2,0,AP237*(1+Assumptions!$B$52)^(1/12))</f>
        <v>1.2071076086739985</v>
      </c>
      <c r="AQ238" s="29">
        <f>IF(B238&gt;$AF$2,0,O237*Assumptions!$B$48/12*AP237+AR238*Assumptions!$B$50/12)</f>
        <v>9.6953053109578988</v>
      </c>
      <c r="AR238" s="31">
        <f t="shared" si="135"/>
        <v>8820.0782046346685</v>
      </c>
      <c r="AS238">
        <f t="shared" si="118"/>
        <v>8906.3534164786506</v>
      </c>
      <c r="AT238">
        <f t="shared" si="136"/>
        <v>9.8251292868860602</v>
      </c>
      <c r="AU238" s="19">
        <f t="shared" si="137"/>
        <v>8816.2404584281976</v>
      </c>
      <c r="AV238" s="19">
        <f t="shared" si="138"/>
        <v>8909.0827927790815</v>
      </c>
      <c r="AW238">
        <f t="shared" si="139"/>
        <v>-98.053001984534475</v>
      </c>
      <c r="AX238">
        <f>IF(B238&gt;$AF$2,0,HLOOKUP(YEAR(A238),Assumptions!$A$34:$AL$37,2,TRUE)/100)</f>
        <v>2.2730999999999998E-2</v>
      </c>
      <c r="AY238" s="32">
        <f>1/(1+HLOOKUP(YEAR(A238),Assumptions!$A$27:$AL$29,3,TRUE))^(1/12)</f>
        <v>0.99816881688355608</v>
      </c>
      <c r="AZ238" s="30">
        <f t="shared" si="119"/>
        <v>9171.6486733753991</v>
      </c>
      <c r="BA238">
        <f>IF(B238&gt;$AF$2,0,IF($E$2=0,(T238*Z238+(1-T238)*AA238)*$J$2*Assumptions!$B$20,0))</f>
        <v>0</v>
      </c>
    </row>
    <row r="239" spans="1:53" x14ac:dyDescent="0.25">
      <c r="A239" s="17">
        <f t="shared" si="120"/>
        <v>50040</v>
      </c>
      <c r="B239">
        <f t="shared" si="112"/>
        <v>458</v>
      </c>
      <c r="C239">
        <f t="shared" si="113"/>
        <v>38.083333333333336</v>
      </c>
      <c r="D239">
        <f t="shared" si="141"/>
        <v>0</v>
      </c>
      <c r="E239">
        <f t="shared" si="114"/>
        <v>61</v>
      </c>
      <c r="F239">
        <f>IF(C239&gt;=$H$2,0,VLOOKUP($E239,'Mortality Table'!$A$3:$C$128,2+AB$2,FALSE))</f>
        <v>4.0088999999999993E-3</v>
      </c>
      <c r="G239">
        <f>F239*Assumptions!$B$1</f>
        <v>4.3396342499999992E-3</v>
      </c>
      <c r="H239">
        <f t="shared" si="121"/>
        <v>3.6235748213309105E-4</v>
      </c>
      <c r="I239">
        <f t="shared" si="142"/>
        <v>1.7654416215816989E-4</v>
      </c>
      <c r="J239">
        <f>HLOOKUP(C239,Assumptions!$A$6:$J$7,2,TRUE)</f>
        <v>3.5200000000000002E-2</v>
      </c>
      <c r="K239" s="18">
        <f t="shared" si="115"/>
        <v>1</v>
      </c>
      <c r="L239" s="18">
        <f t="shared" si="122"/>
        <v>8.3333333333333329E-2</v>
      </c>
      <c r="M239" s="18">
        <f t="shared" si="143"/>
        <v>2.9817501439168836E-3</v>
      </c>
      <c r="N239">
        <f t="shared" si="144"/>
        <v>1.4546437546340801E-3</v>
      </c>
      <c r="O239" s="20">
        <f t="shared" si="145"/>
        <v>0.48630619204270231</v>
      </c>
      <c r="P239">
        <f>IF(B239&gt;$AF$2,0,O238*($E$2+IF(E239&lt;=Assumptions!$B$9,$D$2,0))/$I$2*K239)</f>
        <v>15.630260738035808</v>
      </c>
      <c r="Q239">
        <f t="shared" si="123"/>
        <v>26.1</v>
      </c>
      <c r="R239">
        <f>IF(B239&gt;$AF$2,0,IF($Y$2=1,(SUMIF('Mortality Tarif Male'!A:A,E240,'Mortality Tarif Male'!G:G)-SUMIF('Mortality Tarif Male'!A:A,$C$2+$H$2,'Mortality Tarif Male'!G:G)+SUMIF('Mortality Tarif Male'!A:A,$C$2+$H$2,'Mortality Tarif Male'!D:D))/SUMIF('Mortality Tarif Male'!A:A,E240,'Mortality Tarif Male'!D:D),(SUMIF('Mortality Tarif Female'!A:A,E240,'Mortality Tarif Female'!G:G)-SUMIF('Mortality Tarif Female'!A:A,$C$2+$H$2,'Mortality Tarif Female'!G:G)+SUMIF('Mortality Tarif Female'!A:A,$C$2+$H$2,'Mortality Tarif Female'!D:D))/SUMIF('Mortality Tarif Female'!A:A,E240,'Mortality Tarif Female'!D:D)))</f>
        <v>0.93383403573864054</v>
      </c>
      <c r="S239">
        <f>IF(B239&gt;=$AF$2,0,IF($Y$2=1,(SUMIF('Mortality Tarif Male'!A:A,E240+1,'Mortality Tarif Male'!G:G)-SUMIF('Mortality Tarif Male'!A:A,$C$2+$H$2,'Mortality Tarif Male'!G:G)+SUMIF('Mortality Tarif Male'!A:A,$C$2+$H$2,'Mortality Tarif Male'!D:D))/SUMIF('Mortality Tarif Male'!A:A,E240+1,'Mortality Tarif Male'!D:D),(SUMIF('Mortality Tarif Female'!A:A,E240+1,'Mortality Tarif Female'!G:G)-SUMIF('Mortality Tarif Female'!A:A,$C$2+$H$2,'Mortality Tarif Female'!G:G)+SUMIF('Mortality Tarif Female'!A:A,$C$2+$H$2,'Mortality Tarif Female'!D:D))/SUMIF('Mortality Tarif Female'!A:A,E240+1,'Mortality Tarif Female'!D:D)))</f>
        <v>0.96626970111295607</v>
      </c>
      <c r="T239">
        <f t="shared" si="124"/>
        <v>0.8333333333333357</v>
      </c>
      <c r="U239">
        <f t="shared" si="125"/>
        <v>0.93923997996769304</v>
      </c>
      <c r="V239">
        <f t="shared" si="126"/>
        <v>18784.799599353861</v>
      </c>
      <c r="W239">
        <f t="shared" si="116"/>
        <v>24.514163477156789</v>
      </c>
      <c r="X239">
        <f t="shared" si="117"/>
        <v>0</v>
      </c>
      <c r="Y239">
        <f>IF(B239&gt;$AF$2,0,IF(X240=0,0,(1-X240)*($E$2+IF(E239&lt;=Assumptions!$B$9,$D$2,0))/$I$2*1/(1+$AG$2)*1/(1+Assumptions!$B$11)))</f>
        <v>0</v>
      </c>
      <c r="Z239">
        <f>IF(B239&gt;$AF$2,0,IF($Y$2=1,(SUMIF('Mortality Tarif Male'!A:A,E240,'Mortality Tarif Male'!E:E)-SUMIF('Mortality Tarif Male'!A:A,$C$2+$H$2,'Mortality Tarif Male'!E:E))/SUMIF('Mortality Tarif Male'!A:A,E240,'Mortality Tarif Male'!D:D),(SUMIF('Mortality Tarif Female'!A:A,E240,'Mortality Tarif Female'!E:E)-SUMIF('Mortality Tarif Female'!A:A,$C$2+$H$2,'Mortality Tarif Female'!E:E))/SUMIF('Mortality Tarif Female'!A:A,E240,'Mortality Tarif Female'!D:D)))</f>
        <v>1.9614826630320195</v>
      </c>
      <c r="AA239">
        <f>IF(B239&gt;=$AF$2,0,IF($Y$2=1,(SUMIF('Mortality Tarif Male'!A:A,E240+1,'Mortality Tarif Male'!E:E)-SUMIF('Mortality Tarif Male'!A:A,$C$2+$H$2,'Mortality Tarif Male'!E:E))/SUMIF('Mortality Tarif Male'!A:A,E240+1,'Mortality Tarif Male'!D:D),(SUMIF('Mortality Tarif Female'!A:A,E240+1,'Mortality Tarif Female'!E:E)-SUMIF('Mortality Tarif Female'!A:A,$C$2+$H$2,'Mortality Tarif Female'!E:E))/SUMIF('Mortality Tarif Female'!A:A,E240+1,'Mortality Tarif Female'!D:D)))</f>
        <v>1.0000000000000007</v>
      </c>
      <c r="AB239">
        <f t="shared" si="111"/>
        <v>433.78212307163125</v>
      </c>
      <c r="AC239">
        <f>IF(B239&gt;=$AF$2,0,MIN(1/3*(V239+W239+Y239-AB239),(V239-AB239),(T239*Z239+(1-T239)*AA239)*$AH$2*Assumptions!$B$22))</f>
        <v>46.950971602911963</v>
      </c>
      <c r="AD239">
        <f t="shared" si="127"/>
        <v>18328.580668156472</v>
      </c>
      <c r="AE239">
        <f t="shared" si="128"/>
        <v>18375.531639759385</v>
      </c>
      <c r="AF239">
        <f t="shared" si="129"/>
        <v>18328.580668156472</v>
      </c>
      <c r="AG239" s="26">
        <f t="shared" si="140"/>
        <v>17923.967270700923</v>
      </c>
      <c r="AH239" s="27">
        <f>IF(B239&gt;$AF$2,0,HLOOKUP(YEAR(A239),Assumptions!$A$34:$AL$37,4,TRUE)/100)</f>
        <v>1.6730999999999999E-2</v>
      </c>
      <c r="AI239">
        <f t="shared" si="130"/>
        <v>0</v>
      </c>
      <c r="AJ239">
        <f t="shared" si="131"/>
        <v>3.5354910457957258</v>
      </c>
      <c r="AK239">
        <f t="shared" si="132"/>
        <v>26.661555400240747</v>
      </c>
      <c r="AL239">
        <f>IF(E239&gt;Assumptions!$B$9,0,SUMPRODUCT($P$2:$X$2,Assumptions!$A$43:$I$43)/$I$2*O238*K239)</f>
        <v>0</v>
      </c>
      <c r="AM239">
        <f t="shared" si="133"/>
        <v>0</v>
      </c>
      <c r="AN239">
        <f t="shared" si="134"/>
        <v>30.197046446036474</v>
      </c>
      <c r="AO239">
        <f>IF(E239&gt;Assumptions!$B$9,0,($V$2+$X$2)/$I$2*O238*K239*Assumptions!$B$46)</f>
        <v>0</v>
      </c>
      <c r="AP239">
        <f>IF(B239&gt;$AF$2,0,AP238*(1+Assumptions!$B$52)^(1/12))</f>
        <v>1.2081089504435107</v>
      </c>
      <c r="AQ239" s="29">
        <f>IF(B239&gt;$AF$2,0,O238*Assumptions!$B$48/12*AP238+AR239*Assumptions!$B$50/12)</f>
        <v>9.6757930102211134</v>
      </c>
      <c r="AR239" s="31">
        <f t="shared" si="135"/>
        <v>8818.0926981068824</v>
      </c>
      <c r="AS239">
        <f t="shared" si="118"/>
        <v>8913.302270278662</v>
      </c>
      <c r="AT239">
        <f t="shared" si="136"/>
        <v>9.7922836127648853</v>
      </c>
      <c r="AU239" s="19">
        <f t="shared" si="137"/>
        <v>8814.2548822219323</v>
      </c>
      <c r="AV239" s="19">
        <f t="shared" si="138"/>
        <v>8916.1457000914161</v>
      </c>
      <c r="AW239">
        <f t="shared" si="139"/>
        <v>0</v>
      </c>
      <c r="AX239">
        <f>IF(B239&gt;$AF$2,0,HLOOKUP(YEAR(A239),Assumptions!$A$34:$AL$37,2,TRUE)/100)</f>
        <v>2.2730999999999998E-2</v>
      </c>
      <c r="AY239" s="32">
        <f>1/(1+HLOOKUP(YEAR(A239),Assumptions!$A$27:$AL$29,3,TRUE))^(1/12)</f>
        <v>0.99816881688355608</v>
      </c>
      <c r="AZ239" s="30">
        <f t="shared" si="119"/>
        <v>9164.2318739407619</v>
      </c>
      <c r="BA239">
        <f>IF(B239&gt;$AF$2,0,IF($E$2=0,(T239*Z239+(1-T239)*AA239)*$J$2*Assumptions!$B$20,0))</f>
        <v>0</v>
      </c>
    </row>
    <row r="240" spans="1:53" x14ac:dyDescent="0.25">
      <c r="A240" s="17">
        <f t="shared" si="120"/>
        <v>50071</v>
      </c>
      <c r="B240">
        <f t="shared" si="112"/>
        <v>459</v>
      </c>
      <c r="C240">
        <f t="shared" si="113"/>
        <v>38.166666666666664</v>
      </c>
      <c r="D240">
        <f t="shared" si="141"/>
        <v>0</v>
      </c>
      <c r="E240">
        <f t="shared" si="114"/>
        <v>61</v>
      </c>
      <c r="F240">
        <f>IF(C240&gt;=$H$2,0,VLOOKUP($E240,'Mortality Table'!$A$3:$C$128,2+AB$2,FALSE))</f>
        <v>4.0088999999999993E-3</v>
      </c>
      <c r="G240">
        <f>F240*Assumptions!$B$1</f>
        <v>4.3396342499999992E-3</v>
      </c>
      <c r="H240">
        <f t="shared" si="121"/>
        <v>3.6235748213309105E-4</v>
      </c>
      <c r="I240">
        <f t="shared" si="142"/>
        <v>1.7595397022797485E-4</v>
      </c>
      <c r="J240">
        <f>HLOOKUP(C240,Assumptions!$A$6:$J$7,2,TRUE)</f>
        <v>3.5200000000000002E-2</v>
      </c>
      <c r="K240" s="18">
        <f t="shared" si="115"/>
        <v>1</v>
      </c>
      <c r="L240" s="18">
        <f t="shared" si="122"/>
        <v>8.3333333333333329E-2</v>
      </c>
      <c r="M240" s="18">
        <f t="shared" si="143"/>
        <v>2.9817501439168836E-3</v>
      </c>
      <c r="N240">
        <f t="shared" si="144"/>
        <v>1.449780841044649E-3</v>
      </c>
      <c r="O240" s="20">
        <f t="shared" si="145"/>
        <v>0.48468045723142972</v>
      </c>
      <c r="P240">
        <f>IF(B240&gt;$AF$2,0,O239*($E$2+IF(E240&lt;=Assumptions!$B$9,$D$2,0))/$I$2*K240)</f>
        <v>15.578008351767897</v>
      </c>
      <c r="Q240">
        <f t="shared" si="123"/>
        <v>26.1</v>
      </c>
      <c r="R240">
        <f>IF(B240&gt;$AF$2,0,IF($Y$2=1,(SUMIF('Mortality Tarif Male'!A:A,E241,'Mortality Tarif Male'!G:G)-SUMIF('Mortality Tarif Male'!A:A,$C$2+$H$2,'Mortality Tarif Male'!G:G)+SUMIF('Mortality Tarif Male'!A:A,$C$2+$H$2,'Mortality Tarif Male'!D:D))/SUMIF('Mortality Tarif Male'!A:A,E241,'Mortality Tarif Male'!D:D),(SUMIF('Mortality Tarif Female'!A:A,E241,'Mortality Tarif Female'!G:G)-SUMIF('Mortality Tarif Female'!A:A,$C$2+$H$2,'Mortality Tarif Female'!G:G)+SUMIF('Mortality Tarif Female'!A:A,$C$2+$H$2,'Mortality Tarif Female'!D:D))/SUMIF('Mortality Tarif Female'!A:A,E241,'Mortality Tarif Female'!D:D)))</f>
        <v>0.93383403573864054</v>
      </c>
      <c r="S240">
        <f>IF(B240&gt;=$AF$2,0,IF($Y$2=1,(SUMIF('Mortality Tarif Male'!A:A,E241+1,'Mortality Tarif Male'!G:G)-SUMIF('Mortality Tarif Male'!A:A,$C$2+$H$2,'Mortality Tarif Male'!G:G)+SUMIF('Mortality Tarif Male'!A:A,$C$2+$H$2,'Mortality Tarif Male'!D:D))/SUMIF('Mortality Tarif Male'!A:A,E241+1,'Mortality Tarif Male'!D:D),(SUMIF('Mortality Tarif Female'!A:A,E241+1,'Mortality Tarif Female'!G:G)-SUMIF('Mortality Tarif Female'!A:A,$C$2+$H$2,'Mortality Tarif Female'!G:G)+SUMIF('Mortality Tarif Female'!A:A,$C$2+$H$2,'Mortality Tarif Female'!D:D))/SUMIF('Mortality Tarif Female'!A:A,E241+1,'Mortality Tarif Female'!D:D)))</f>
        <v>0.96626970111295607</v>
      </c>
      <c r="T240">
        <f t="shared" si="124"/>
        <v>0.75</v>
      </c>
      <c r="U240">
        <f t="shared" si="125"/>
        <v>0.94194295208221945</v>
      </c>
      <c r="V240">
        <f t="shared" si="126"/>
        <v>18838.859041644388</v>
      </c>
      <c r="W240">
        <f t="shared" si="116"/>
        <v>24.58471104934593</v>
      </c>
      <c r="X240">
        <f t="shared" si="117"/>
        <v>0</v>
      </c>
      <c r="Y240">
        <f>IF(B240&gt;$AF$2,0,IF(X241=0,0,(1-X241)*($E$2+IF(E240&lt;=Assumptions!$B$9,$D$2,0))/$I$2*1/(1+$AG$2)*1/(1+Assumptions!$B$11)))</f>
        <v>0</v>
      </c>
      <c r="Z240">
        <f>IF(B240&gt;$AF$2,0,IF($Y$2=1,(SUMIF('Mortality Tarif Male'!A:A,E241,'Mortality Tarif Male'!E:E)-SUMIF('Mortality Tarif Male'!A:A,$C$2+$H$2,'Mortality Tarif Male'!E:E))/SUMIF('Mortality Tarif Male'!A:A,E241,'Mortality Tarif Male'!D:D),(SUMIF('Mortality Tarif Female'!A:A,E241,'Mortality Tarif Female'!E:E)-SUMIF('Mortality Tarif Female'!A:A,$C$2+$H$2,'Mortality Tarif Female'!E:E))/SUMIF('Mortality Tarif Female'!A:A,E241,'Mortality Tarif Female'!D:D)))</f>
        <v>1.9614826630320195</v>
      </c>
      <c r="AA240">
        <f>IF(B240&gt;=$AF$2,0,IF($Y$2=1,(SUMIF('Mortality Tarif Male'!A:A,E241+1,'Mortality Tarif Male'!E:E)-SUMIF('Mortality Tarif Male'!A:A,$C$2+$H$2,'Mortality Tarif Male'!E:E))/SUMIF('Mortality Tarif Male'!A:A,E241+1,'Mortality Tarif Male'!D:D),(SUMIF('Mortality Tarif Female'!A:A,E241+1,'Mortality Tarif Female'!E:E)-SUMIF('Mortality Tarif Female'!A:A,$C$2+$H$2,'Mortality Tarif Female'!E:E))/SUMIF('Mortality Tarif Female'!A:A,E241+1,'Mortality Tarif Female'!D:D)))</f>
        <v>1.0000000000000007</v>
      </c>
      <c r="AB240">
        <f t="shared" si="111"/>
        <v>414.48638695494378</v>
      </c>
      <c r="AC240">
        <f>IF(B240&gt;=$AF$2,0,MIN(1/3*(V240+W240+Y240-AB240),(V240-AB240),(T240*Z240+(1-T240)*AA240)*$AH$2*Assumptions!$B$22))</f>
        <v>44.862472537858807</v>
      </c>
      <c r="AD240">
        <f t="shared" si="127"/>
        <v>18404.094893200931</v>
      </c>
      <c r="AE240">
        <f t="shared" si="128"/>
        <v>18448.957365738788</v>
      </c>
      <c r="AF240">
        <f t="shared" si="129"/>
        <v>18404.094893200931</v>
      </c>
      <c r="AG240" s="26">
        <f t="shared" si="140"/>
        <v>0</v>
      </c>
      <c r="AH240" s="27">
        <f>IF(B240&gt;$AF$2,0,HLOOKUP(YEAR(A240),Assumptions!$A$34:$AL$37,4,TRUE)/100)</f>
        <v>1.7745E-2</v>
      </c>
      <c r="AI240">
        <f t="shared" si="130"/>
        <v>0</v>
      </c>
      <c r="AJ240">
        <f t="shared" si="131"/>
        <v>3.523671803182447</v>
      </c>
      <c r="AK240">
        <f t="shared" si="132"/>
        <v>26.681904172930373</v>
      </c>
      <c r="AL240">
        <f>IF(E240&gt;Assumptions!$B$9,0,SUMPRODUCT($P$2:$X$2,Assumptions!$A$43:$I$43)/$I$2*O239*K240)</f>
        <v>0</v>
      </c>
      <c r="AM240">
        <f t="shared" si="133"/>
        <v>0</v>
      </c>
      <c r="AN240">
        <f t="shared" si="134"/>
        <v>30.205575976112819</v>
      </c>
      <c r="AO240">
        <f>IF(E240&gt;Assumptions!$B$9,0,($V$2+$X$2)/$I$2*O239*K240*Assumptions!$B$46)</f>
        <v>0</v>
      </c>
      <c r="AP240">
        <f>IF(B240&gt;$AF$2,0,AP239*(1+Assumptions!$B$52)^(1/12))</f>
        <v>1.2091111228641864</v>
      </c>
      <c r="AQ240" s="29">
        <f>IF(B240&gt;$AF$2,0,O239*Assumptions!$B$48/12*AP239+AR240*Assumptions!$B$50/12)</f>
        <v>9.6821759682263977</v>
      </c>
      <c r="AR240" s="31">
        <f t="shared" si="135"/>
        <v>8923.0618180212859</v>
      </c>
      <c r="AS240">
        <f t="shared" si="118"/>
        <v>8920.1051277672468</v>
      </c>
      <c r="AT240">
        <f t="shared" si="136"/>
        <v>9.7595477426245996</v>
      </c>
      <c r="AU240" s="19">
        <f t="shared" si="137"/>
        <v>8919.1981026622034</v>
      </c>
      <c r="AV240" s="19">
        <f t="shared" si="138"/>
        <v>8923.0618180212859</v>
      </c>
      <c r="AW240">
        <f t="shared" si="139"/>
        <v>-8.157553958413633</v>
      </c>
      <c r="AX240">
        <f>IF(B240&gt;$AF$2,0,HLOOKUP(YEAR(A240),Assumptions!$A$34:$AL$37,2,TRUE)/100)</f>
        <v>2.3744999999999999E-2</v>
      </c>
      <c r="AY240" s="32">
        <f>1/(1+HLOOKUP(YEAR(A240),Assumptions!$A$27:$AL$29,3,TRUE))^(1/12)</f>
        <v>0.99812871135708459</v>
      </c>
      <c r="AZ240" s="30">
        <f t="shared" si="119"/>
        <v>9157.1032041231665</v>
      </c>
      <c r="BA240">
        <f>IF(B240&gt;$AF$2,0,IF($E$2=0,(T240*Z240+(1-T240)*AA240)*$J$2*Assumptions!$B$20,0))</f>
        <v>0</v>
      </c>
    </row>
    <row r="241" spans="1:53" x14ac:dyDescent="0.25">
      <c r="A241" s="17">
        <f t="shared" si="120"/>
        <v>50099</v>
      </c>
      <c r="B241">
        <f t="shared" si="112"/>
        <v>460</v>
      </c>
      <c r="C241">
        <f t="shared" si="113"/>
        <v>38.25</v>
      </c>
      <c r="D241">
        <f t="shared" si="141"/>
        <v>0</v>
      </c>
      <c r="E241">
        <f t="shared" si="114"/>
        <v>61</v>
      </c>
      <c r="F241">
        <f>IF(C241&gt;=$H$2,0,VLOOKUP($E241,'Mortality Table'!$A$3:$C$128,2+AB$2,FALSE))</f>
        <v>4.0088999999999993E-3</v>
      </c>
      <c r="G241">
        <f>F241*Assumptions!$B$1</f>
        <v>4.3396342499999992E-3</v>
      </c>
      <c r="H241">
        <f t="shared" si="121"/>
        <v>3.6235748213309105E-4</v>
      </c>
      <c r="I241">
        <f t="shared" si="142"/>
        <v>1.7536575132543592E-4</v>
      </c>
      <c r="J241">
        <f>HLOOKUP(C241,Assumptions!$A$6:$J$7,2,TRUE)</f>
        <v>3.5200000000000002E-2</v>
      </c>
      <c r="K241" s="18">
        <f t="shared" si="115"/>
        <v>1</v>
      </c>
      <c r="L241" s="18">
        <f t="shared" si="122"/>
        <v>8.3333333333333329E-2</v>
      </c>
      <c r="M241" s="18">
        <f t="shared" si="143"/>
        <v>2.9817501439168836E-3</v>
      </c>
      <c r="N241">
        <f t="shared" si="144"/>
        <v>1.4449341843074562E-3</v>
      </c>
      <c r="O241" s="20">
        <f t="shared" si="145"/>
        <v>0.48306015729579682</v>
      </c>
      <c r="P241">
        <f>IF(B241&gt;$AF$2,0,O240*($E$2+IF(E241&lt;=Assumptions!$B$9,$D$2,0))/$I$2*K241)</f>
        <v>15.525930646646797</v>
      </c>
      <c r="Q241">
        <f t="shared" si="123"/>
        <v>26.1</v>
      </c>
      <c r="R241">
        <f>IF(B241&gt;$AF$2,0,IF($Y$2=1,(SUMIF('Mortality Tarif Male'!A:A,E242,'Mortality Tarif Male'!G:G)-SUMIF('Mortality Tarif Male'!A:A,$C$2+$H$2,'Mortality Tarif Male'!G:G)+SUMIF('Mortality Tarif Male'!A:A,$C$2+$H$2,'Mortality Tarif Male'!D:D))/SUMIF('Mortality Tarif Male'!A:A,E242,'Mortality Tarif Male'!D:D),(SUMIF('Mortality Tarif Female'!A:A,E242,'Mortality Tarif Female'!G:G)-SUMIF('Mortality Tarif Female'!A:A,$C$2+$H$2,'Mortality Tarif Female'!G:G)+SUMIF('Mortality Tarif Female'!A:A,$C$2+$H$2,'Mortality Tarif Female'!D:D))/SUMIF('Mortality Tarif Female'!A:A,E242,'Mortality Tarif Female'!D:D)))</f>
        <v>0.93383403573864054</v>
      </c>
      <c r="S241">
        <f>IF(B241&gt;=$AF$2,0,IF($Y$2=1,(SUMIF('Mortality Tarif Male'!A:A,E242+1,'Mortality Tarif Male'!G:G)-SUMIF('Mortality Tarif Male'!A:A,$C$2+$H$2,'Mortality Tarif Male'!G:G)+SUMIF('Mortality Tarif Male'!A:A,$C$2+$H$2,'Mortality Tarif Male'!D:D))/SUMIF('Mortality Tarif Male'!A:A,E242+1,'Mortality Tarif Male'!D:D),(SUMIF('Mortality Tarif Female'!A:A,E242+1,'Mortality Tarif Female'!G:G)-SUMIF('Mortality Tarif Female'!A:A,$C$2+$H$2,'Mortality Tarif Female'!G:G)+SUMIF('Mortality Tarif Female'!A:A,$C$2+$H$2,'Mortality Tarif Female'!D:D))/SUMIF('Mortality Tarif Female'!A:A,E242+1,'Mortality Tarif Female'!D:D)))</f>
        <v>0.96626970111295607</v>
      </c>
      <c r="T241">
        <f t="shared" si="124"/>
        <v>0.6666666666666643</v>
      </c>
      <c r="U241">
        <f t="shared" si="125"/>
        <v>0.94464592419674576</v>
      </c>
      <c r="V241">
        <f t="shared" si="126"/>
        <v>18892.918483934915</v>
      </c>
      <c r="W241">
        <f t="shared" si="116"/>
        <v>24.655258621535065</v>
      </c>
      <c r="X241">
        <f t="shared" si="117"/>
        <v>0</v>
      </c>
      <c r="Y241">
        <f>IF(B241&gt;$AF$2,0,IF(X242=0,0,(1-X242)*($E$2+IF(E241&lt;=Assumptions!$B$9,$D$2,0))/$I$2*1/(1+$AG$2)*1/(1+Assumptions!$B$11)))</f>
        <v>0</v>
      </c>
      <c r="Z241">
        <f>IF(B241&gt;$AF$2,0,IF($Y$2=1,(SUMIF('Mortality Tarif Male'!A:A,E242,'Mortality Tarif Male'!E:E)-SUMIF('Mortality Tarif Male'!A:A,$C$2+$H$2,'Mortality Tarif Male'!E:E))/SUMIF('Mortality Tarif Male'!A:A,E242,'Mortality Tarif Male'!D:D),(SUMIF('Mortality Tarif Female'!A:A,E242,'Mortality Tarif Female'!E:E)-SUMIF('Mortality Tarif Female'!A:A,$C$2+$H$2,'Mortality Tarif Female'!E:E))/SUMIF('Mortality Tarif Female'!A:A,E242,'Mortality Tarif Female'!D:D)))</f>
        <v>1.9614826630320195</v>
      </c>
      <c r="AA241">
        <f>IF(B241&gt;=$AF$2,0,IF($Y$2=1,(SUMIF('Mortality Tarif Male'!A:A,E242+1,'Mortality Tarif Male'!E:E)-SUMIF('Mortality Tarif Male'!A:A,$C$2+$H$2,'Mortality Tarif Male'!E:E))/SUMIF('Mortality Tarif Male'!A:A,E242+1,'Mortality Tarif Male'!D:D),(SUMIF('Mortality Tarif Female'!A:A,E242+1,'Mortality Tarif Female'!E:E)-SUMIF('Mortality Tarif Female'!A:A,$C$2+$H$2,'Mortality Tarif Female'!E:E))/SUMIF('Mortality Tarif Female'!A:A,E242+1,'Mortality Tarif Female'!D:D)))</f>
        <v>1.0000000000000007</v>
      </c>
      <c r="AB241">
        <f t="shared" si="111"/>
        <v>395.19065083825637</v>
      </c>
      <c r="AC241">
        <f>IF(B241&gt;=$AF$2,0,MIN(1/3*(V241+W241+Y241-AB241),(V241-AB241),(T241*Z241+(1-T241)*AA241)*$AH$2*Assumptions!$B$22))</f>
        <v>42.773973472805658</v>
      </c>
      <c r="AD241">
        <f t="shared" si="127"/>
        <v>18479.609118245389</v>
      </c>
      <c r="AE241">
        <f t="shared" si="128"/>
        <v>18522.383091718195</v>
      </c>
      <c r="AF241">
        <f t="shared" si="129"/>
        <v>18479.609118245389</v>
      </c>
      <c r="AG241" s="26">
        <f t="shared" si="140"/>
        <v>0</v>
      </c>
      <c r="AH241" s="27">
        <f>IF(B241&gt;$AF$2,0,HLOOKUP(YEAR(A241),Assumptions!$A$34:$AL$37,4,TRUE)/100)</f>
        <v>1.7745E-2</v>
      </c>
      <c r="AI241">
        <f t="shared" si="130"/>
        <v>0</v>
      </c>
      <c r="AJ241">
        <f t="shared" si="131"/>
        <v>3.5118920726183118</v>
      </c>
      <c r="AK241">
        <f t="shared" si="132"/>
        <v>26.70181892759253</v>
      </c>
      <c r="AL241">
        <f>IF(E241&gt;Assumptions!$B$9,0,SUMPRODUCT($P$2:$X$2,Assumptions!$A$43:$I$43)/$I$2*O240*K241)</f>
        <v>0</v>
      </c>
      <c r="AM241">
        <f t="shared" si="133"/>
        <v>0</v>
      </c>
      <c r="AN241">
        <f t="shared" si="134"/>
        <v>30.213711000210843</v>
      </c>
      <c r="AO241">
        <f>IF(E241&gt;Assumptions!$B$9,0,($V$2+$X$2)/$I$2*O240*K241*Assumptions!$B$46)</f>
        <v>0</v>
      </c>
      <c r="AP241">
        <f>IF(B241&gt;$AF$2,0,AP240*(1+Assumptions!$B$52)^(1/12))</f>
        <v>1.2101141266250821</v>
      </c>
      <c r="AQ241" s="29">
        <f>IF(B241&gt;$AF$2,0,O240*Assumptions!$B$48/12*AP240+AR241*Assumptions!$B$50/12)</f>
        <v>9.6629038893971497</v>
      </c>
      <c r="AR241" s="31">
        <f t="shared" si="135"/>
        <v>8921.6744951182209</v>
      </c>
      <c r="AS241">
        <f t="shared" si="118"/>
        <v>8926.7628874244583</v>
      </c>
      <c r="AT241">
        <f t="shared" si="136"/>
        <v>9.7269213093875155</v>
      </c>
      <c r="AU241" s="19">
        <f t="shared" si="137"/>
        <v>8917.8106005660829</v>
      </c>
      <c r="AV241" s="19">
        <f t="shared" si="138"/>
        <v>8929.8320490766346</v>
      </c>
      <c r="AW241">
        <f t="shared" si="139"/>
        <v>-16.337260650014198</v>
      </c>
      <c r="AX241">
        <f>IF(B241&gt;$AF$2,0,HLOOKUP(YEAR(A241),Assumptions!$A$34:$AL$37,2,TRUE)/100)</f>
        <v>2.3744999999999999E-2</v>
      </c>
      <c r="AY241" s="32">
        <f>1/(1+HLOOKUP(YEAR(A241),Assumptions!$A$27:$AL$29,3,TRUE))^(1/12)</f>
        <v>0.99812871135708459</v>
      </c>
      <c r="AZ241" s="30">
        <f t="shared" si="119"/>
        <v>9149.9202288468987</v>
      </c>
      <c r="BA241">
        <f>IF(B241&gt;$AF$2,0,IF($E$2=0,(T241*Z241+(1-T241)*AA241)*$J$2*Assumptions!$B$20,0))</f>
        <v>0</v>
      </c>
    </row>
    <row r="242" spans="1:53" x14ac:dyDescent="0.25">
      <c r="A242" s="17">
        <f t="shared" si="120"/>
        <v>50130</v>
      </c>
      <c r="B242">
        <f t="shared" si="112"/>
        <v>461</v>
      </c>
      <c r="C242">
        <f t="shared" si="113"/>
        <v>38.333333333333336</v>
      </c>
      <c r="D242">
        <f t="shared" si="141"/>
        <v>0</v>
      </c>
      <c r="E242">
        <f t="shared" si="114"/>
        <v>61</v>
      </c>
      <c r="F242">
        <f>IF(C242&gt;=$H$2,0,VLOOKUP($E242,'Mortality Table'!$A$3:$C$128,2+AB$2,FALSE))</f>
        <v>4.0088999999999993E-3</v>
      </c>
      <c r="G242">
        <f>F242*Assumptions!$B$1</f>
        <v>4.3396342499999992E-3</v>
      </c>
      <c r="H242">
        <f t="shared" si="121"/>
        <v>3.6235748213309105E-4</v>
      </c>
      <c r="I242">
        <f t="shared" si="142"/>
        <v>1.7477949885466807E-4</v>
      </c>
      <c r="J242">
        <f>HLOOKUP(C242,Assumptions!$A$6:$J$7,2,TRUE)</f>
        <v>3.5200000000000002E-2</v>
      </c>
      <c r="K242" s="18">
        <f t="shared" si="115"/>
        <v>1</v>
      </c>
      <c r="L242" s="18">
        <f t="shared" si="122"/>
        <v>8.3333333333333329E-2</v>
      </c>
      <c r="M242" s="18">
        <f t="shared" si="143"/>
        <v>2.9817501439168836E-3</v>
      </c>
      <c r="N242">
        <f t="shared" si="144"/>
        <v>1.4401037300754028E-3</v>
      </c>
      <c r="O242" s="20">
        <f t="shared" si="145"/>
        <v>0.48144527406686671</v>
      </c>
      <c r="P242">
        <f>IF(B242&gt;$AF$2,0,O241*($E$2+IF(E242&lt;=Assumptions!$B$9,$D$2,0))/$I$2*K242)</f>
        <v>15.474027038708691</v>
      </c>
      <c r="Q242">
        <f t="shared" si="123"/>
        <v>26.1</v>
      </c>
      <c r="R242">
        <f>IF(B242&gt;$AF$2,0,IF($Y$2=1,(SUMIF('Mortality Tarif Male'!A:A,E243,'Mortality Tarif Male'!G:G)-SUMIF('Mortality Tarif Male'!A:A,$C$2+$H$2,'Mortality Tarif Male'!G:G)+SUMIF('Mortality Tarif Male'!A:A,$C$2+$H$2,'Mortality Tarif Male'!D:D))/SUMIF('Mortality Tarif Male'!A:A,E243,'Mortality Tarif Male'!D:D),(SUMIF('Mortality Tarif Female'!A:A,E243,'Mortality Tarif Female'!G:G)-SUMIF('Mortality Tarif Female'!A:A,$C$2+$H$2,'Mortality Tarif Female'!G:G)+SUMIF('Mortality Tarif Female'!A:A,$C$2+$H$2,'Mortality Tarif Female'!D:D))/SUMIF('Mortality Tarif Female'!A:A,E243,'Mortality Tarif Female'!D:D)))</f>
        <v>0.93383403573864054</v>
      </c>
      <c r="S242">
        <f>IF(B242&gt;=$AF$2,0,IF($Y$2=1,(SUMIF('Mortality Tarif Male'!A:A,E243+1,'Mortality Tarif Male'!G:G)-SUMIF('Mortality Tarif Male'!A:A,$C$2+$H$2,'Mortality Tarif Male'!G:G)+SUMIF('Mortality Tarif Male'!A:A,$C$2+$H$2,'Mortality Tarif Male'!D:D))/SUMIF('Mortality Tarif Male'!A:A,E243+1,'Mortality Tarif Male'!D:D),(SUMIF('Mortality Tarif Female'!A:A,E243+1,'Mortality Tarif Female'!G:G)-SUMIF('Mortality Tarif Female'!A:A,$C$2+$H$2,'Mortality Tarif Female'!G:G)+SUMIF('Mortality Tarif Female'!A:A,$C$2+$H$2,'Mortality Tarif Female'!D:D))/SUMIF('Mortality Tarif Female'!A:A,E243+1,'Mortality Tarif Female'!D:D)))</f>
        <v>0.96626970111295607</v>
      </c>
      <c r="T242">
        <f t="shared" si="124"/>
        <v>0.5833333333333357</v>
      </c>
      <c r="U242">
        <f t="shared" si="125"/>
        <v>0.94734889631127195</v>
      </c>
      <c r="V242">
        <f t="shared" si="126"/>
        <v>18946.977926225438</v>
      </c>
      <c r="W242">
        <f t="shared" si="116"/>
        <v>24.7258061937242</v>
      </c>
      <c r="X242">
        <f t="shared" si="117"/>
        <v>0</v>
      </c>
      <c r="Y242">
        <f>IF(B242&gt;$AF$2,0,IF(X243=0,0,(1-X243)*($E$2+IF(E242&lt;=Assumptions!$B$9,$D$2,0))/$I$2*1/(1+$AG$2)*1/(1+Assumptions!$B$11)))</f>
        <v>0</v>
      </c>
      <c r="Z242">
        <f>IF(B242&gt;$AF$2,0,IF($Y$2=1,(SUMIF('Mortality Tarif Male'!A:A,E243,'Mortality Tarif Male'!E:E)-SUMIF('Mortality Tarif Male'!A:A,$C$2+$H$2,'Mortality Tarif Male'!E:E))/SUMIF('Mortality Tarif Male'!A:A,E243,'Mortality Tarif Male'!D:D),(SUMIF('Mortality Tarif Female'!A:A,E243,'Mortality Tarif Female'!E:E)-SUMIF('Mortality Tarif Female'!A:A,$C$2+$H$2,'Mortality Tarif Female'!E:E))/SUMIF('Mortality Tarif Female'!A:A,E243,'Mortality Tarif Female'!D:D)))</f>
        <v>1.9614826630320195</v>
      </c>
      <c r="AA242">
        <f>IF(B242&gt;=$AF$2,0,IF($Y$2=1,(SUMIF('Mortality Tarif Male'!A:A,E243+1,'Mortality Tarif Male'!E:E)-SUMIF('Mortality Tarif Male'!A:A,$C$2+$H$2,'Mortality Tarif Male'!E:E))/SUMIF('Mortality Tarif Male'!A:A,E243+1,'Mortality Tarif Male'!D:D),(SUMIF('Mortality Tarif Female'!A:A,E243+1,'Mortality Tarif Female'!E:E)-SUMIF('Mortality Tarif Female'!A:A,$C$2+$H$2,'Mortality Tarif Female'!E:E))/SUMIF('Mortality Tarif Female'!A:A,E243+1,'Mortality Tarif Female'!D:D)))</f>
        <v>1.0000000000000007</v>
      </c>
      <c r="AB242">
        <f t="shared" si="111"/>
        <v>375.89491472157061</v>
      </c>
      <c r="AC242">
        <f>IF(B242&gt;=$AF$2,0,MIN(1/3*(V242+W242+Y242-AB242),(V242-AB242),(T242*Z242+(1-T242)*AA242)*$AH$2*Assumptions!$B$22))</f>
        <v>40.685474407752679</v>
      </c>
      <c r="AD242">
        <f t="shared" si="127"/>
        <v>18555.123343289837</v>
      </c>
      <c r="AE242">
        <f t="shared" si="128"/>
        <v>18595.808817697591</v>
      </c>
      <c r="AF242">
        <f t="shared" si="129"/>
        <v>18555.123343289837</v>
      </c>
      <c r="AG242" s="26">
        <f t="shared" si="140"/>
        <v>0</v>
      </c>
      <c r="AH242" s="27">
        <f>IF(B242&gt;$AF$2,0,HLOOKUP(YEAR(A242),Assumptions!$A$34:$AL$37,4,TRUE)/100)</f>
        <v>1.7745E-2</v>
      </c>
      <c r="AI242">
        <f t="shared" si="130"/>
        <v>0</v>
      </c>
      <c r="AJ242">
        <f t="shared" si="131"/>
        <v>3.5001517220134679</v>
      </c>
      <c r="AK242">
        <f t="shared" si="132"/>
        <v>26.721302338680871</v>
      </c>
      <c r="AL242">
        <f>IF(E242&gt;Assumptions!$B$9,0,SUMPRODUCT($P$2:$X$2,Assumptions!$A$43:$I$43)/$I$2*O241*K242)</f>
        <v>0</v>
      </c>
      <c r="AM242">
        <f t="shared" si="133"/>
        <v>0</v>
      </c>
      <c r="AN242">
        <f t="shared" si="134"/>
        <v>30.221454060694338</v>
      </c>
      <c r="AO242">
        <f>IF(E242&gt;Assumptions!$B$9,0,($V$2+$X$2)/$I$2*O241*K242*Assumptions!$B$46)</f>
        <v>0</v>
      </c>
      <c r="AP242">
        <f>IF(B242&gt;$AF$2,0,AP241*(1+Assumptions!$B$52)^(1/12))</f>
        <v>1.2111179624158264</v>
      </c>
      <c r="AQ242" s="29">
        <f>IF(B242&gt;$AF$2,0,O241*Assumptions!$B$48/12*AP241+AR242*Assumptions!$B$50/12)</f>
        <v>9.6436390680176896</v>
      </c>
      <c r="AR242" s="31">
        <f t="shared" si="135"/>
        <v>8920.1200307216477</v>
      </c>
      <c r="AS242">
        <f t="shared" si="118"/>
        <v>8933.2764433546927</v>
      </c>
      <c r="AT242">
        <f t="shared" si="136"/>
        <v>9.6944039472030923</v>
      </c>
      <c r="AU242" s="19">
        <f t="shared" si="137"/>
        <v>8916.256014745135</v>
      </c>
      <c r="AV242" s="19">
        <f t="shared" si="138"/>
        <v>8936.457291371662</v>
      </c>
      <c r="AW242">
        <f t="shared" si="139"/>
        <v>-24.539030899188152</v>
      </c>
      <c r="AX242">
        <f>IF(B242&gt;$AF$2,0,HLOOKUP(YEAR(A242),Assumptions!$A$34:$AL$37,2,TRUE)/100)</f>
        <v>2.3744999999999999E-2</v>
      </c>
      <c r="AY242" s="32">
        <f>1/(1+HLOOKUP(YEAR(A242),Assumptions!$A$27:$AL$29,3,TRUE))^(1/12)</f>
        <v>0.99812871135708459</v>
      </c>
      <c r="AZ242" s="30">
        <f t="shared" si="119"/>
        <v>9142.6834051035985</v>
      </c>
      <c r="BA242">
        <f>IF(B242&gt;$AF$2,0,IF($E$2=0,(T242*Z242+(1-T242)*AA242)*$J$2*Assumptions!$B$20,0))</f>
        <v>0</v>
      </c>
    </row>
    <row r="243" spans="1:53" x14ac:dyDescent="0.25">
      <c r="A243" s="17">
        <f t="shared" si="120"/>
        <v>50160</v>
      </c>
      <c r="B243">
        <f t="shared" si="112"/>
        <v>462</v>
      </c>
      <c r="C243">
        <f t="shared" si="113"/>
        <v>38.416666666666664</v>
      </c>
      <c r="D243">
        <f t="shared" si="141"/>
        <v>0</v>
      </c>
      <c r="E243">
        <f t="shared" si="114"/>
        <v>61</v>
      </c>
      <c r="F243">
        <f>IF(C243&gt;=$H$2,0,VLOOKUP($E243,'Mortality Table'!$A$3:$C$128,2+AB$2,FALSE))</f>
        <v>4.0088999999999993E-3</v>
      </c>
      <c r="G243">
        <f>F243*Assumptions!$B$1</f>
        <v>4.3396342499999992E-3</v>
      </c>
      <c r="H243">
        <f t="shared" si="121"/>
        <v>3.6235748213309105E-4</v>
      </c>
      <c r="I243">
        <f t="shared" si="142"/>
        <v>1.7419520624183647E-4</v>
      </c>
      <c r="J243">
        <f>HLOOKUP(C243,Assumptions!$A$6:$J$7,2,TRUE)</f>
        <v>3.5200000000000002E-2</v>
      </c>
      <c r="K243" s="18">
        <f t="shared" si="115"/>
        <v>1</v>
      </c>
      <c r="L243" s="18">
        <f t="shared" si="122"/>
        <v>8.3333333333333329E-2</v>
      </c>
      <c r="M243" s="18">
        <f t="shared" si="143"/>
        <v>2.9817501439168836E-3</v>
      </c>
      <c r="N243">
        <f t="shared" si="144"/>
        <v>1.4352894241830738E-3</v>
      </c>
      <c r="O243" s="20">
        <f t="shared" si="145"/>
        <v>0.47983578943644178</v>
      </c>
      <c r="P243">
        <f>IF(B243&gt;$AF$2,0,O242*($E$2+IF(E243&lt;=Assumptions!$B$9,$D$2,0))/$I$2*K243)</f>
        <v>15.422296945941964</v>
      </c>
      <c r="Q243">
        <f t="shared" si="123"/>
        <v>26.1</v>
      </c>
      <c r="R243">
        <f>IF(B243&gt;$AF$2,0,IF($Y$2=1,(SUMIF('Mortality Tarif Male'!A:A,E244,'Mortality Tarif Male'!G:G)-SUMIF('Mortality Tarif Male'!A:A,$C$2+$H$2,'Mortality Tarif Male'!G:G)+SUMIF('Mortality Tarif Male'!A:A,$C$2+$H$2,'Mortality Tarif Male'!D:D))/SUMIF('Mortality Tarif Male'!A:A,E244,'Mortality Tarif Male'!D:D),(SUMIF('Mortality Tarif Female'!A:A,E244,'Mortality Tarif Female'!G:G)-SUMIF('Mortality Tarif Female'!A:A,$C$2+$H$2,'Mortality Tarif Female'!G:G)+SUMIF('Mortality Tarif Female'!A:A,$C$2+$H$2,'Mortality Tarif Female'!D:D))/SUMIF('Mortality Tarif Female'!A:A,E244,'Mortality Tarif Female'!D:D)))</f>
        <v>0.93383403573864054</v>
      </c>
      <c r="S243">
        <f>IF(B243&gt;=$AF$2,0,IF($Y$2=1,(SUMIF('Mortality Tarif Male'!A:A,E244+1,'Mortality Tarif Male'!G:G)-SUMIF('Mortality Tarif Male'!A:A,$C$2+$H$2,'Mortality Tarif Male'!G:G)+SUMIF('Mortality Tarif Male'!A:A,$C$2+$H$2,'Mortality Tarif Male'!D:D))/SUMIF('Mortality Tarif Male'!A:A,E244+1,'Mortality Tarif Male'!D:D),(SUMIF('Mortality Tarif Female'!A:A,E244+1,'Mortality Tarif Female'!G:G)-SUMIF('Mortality Tarif Female'!A:A,$C$2+$H$2,'Mortality Tarif Female'!G:G)+SUMIF('Mortality Tarif Female'!A:A,$C$2+$H$2,'Mortality Tarif Female'!D:D))/SUMIF('Mortality Tarif Female'!A:A,E244+1,'Mortality Tarif Female'!D:D)))</f>
        <v>0.96626970111295607</v>
      </c>
      <c r="T243">
        <f t="shared" si="124"/>
        <v>0.5</v>
      </c>
      <c r="U243">
        <f t="shared" si="125"/>
        <v>0.95005186842579836</v>
      </c>
      <c r="V243">
        <f t="shared" si="126"/>
        <v>19001.037368515968</v>
      </c>
      <c r="W243">
        <f t="shared" si="116"/>
        <v>24.796353765913338</v>
      </c>
      <c r="X243">
        <f t="shared" si="117"/>
        <v>0</v>
      </c>
      <c r="Y243">
        <f>IF(B243&gt;$AF$2,0,IF(X244=0,0,(1-X244)*($E$2+IF(E243&lt;=Assumptions!$B$9,$D$2,0))/$I$2*1/(1+$AG$2)*1/(1+Assumptions!$B$11)))</f>
        <v>0</v>
      </c>
      <c r="Z243">
        <f>IF(B243&gt;$AF$2,0,IF($Y$2=1,(SUMIF('Mortality Tarif Male'!A:A,E244,'Mortality Tarif Male'!E:E)-SUMIF('Mortality Tarif Male'!A:A,$C$2+$H$2,'Mortality Tarif Male'!E:E))/SUMIF('Mortality Tarif Male'!A:A,E244,'Mortality Tarif Male'!D:D),(SUMIF('Mortality Tarif Female'!A:A,E244,'Mortality Tarif Female'!E:E)-SUMIF('Mortality Tarif Female'!A:A,$C$2+$H$2,'Mortality Tarif Female'!E:E))/SUMIF('Mortality Tarif Female'!A:A,E244,'Mortality Tarif Female'!D:D)))</f>
        <v>1.9614826630320195</v>
      </c>
      <c r="AA243">
        <f>IF(B243&gt;=$AF$2,0,IF($Y$2=1,(SUMIF('Mortality Tarif Male'!A:A,E244+1,'Mortality Tarif Male'!E:E)-SUMIF('Mortality Tarif Male'!A:A,$C$2+$H$2,'Mortality Tarif Male'!E:E))/SUMIF('Mortality Tarif Male'!A:A,E244+1,'Mortality Tarif Male'!D:D),(SUMIF('Mortality Tarif Female'!A:A,E244+1,'Mortality Tarif Female'!E:E)-SUMIF('Mortality Tarif Female'!A:A,$C$2+$H$2,'Mortality Tarif Female'!E:E))/SUMIF('Mortality Tarif Female'!A:A,E244+1,'Mortality Tarif Female'!D:D)))</f>
        <v>1.0000000000000007</v>
      </c>
      <c r="AB243">
        <f t="shared" si="111"/>
        <v>356.59917860488321</v>
      </c>
      <c r="AC243">
        <f>IF(B243&gt;=$AF$2,0,MIN(1/3*(V243+W243+Y243-AB243),(V243-AB243),(T243*Z243+(1-T243)*AA243)*$AH$2*Assumptions!$B$22))</f>
        <v>38.596975342699523</v>
      </c>
      <c r="AD243">
        <f t="shared" si="127"/>
        <v>18630.637568334299</v>
      </c>
      <c r="AE243">
        <f t="shared" si="128"/>
        <v>18669.234543676997</v>
      </c>
      <c r="AF243">
        <f t="shared" si="129"/>
        <v>18630.637568334299</v>
      </c>
      <c r="AG243" s="26">
        <f t="shared" si="140"/>
        <v>0</v>
      </c>
      <c r="AH243" s="27">
        <f>IF(B243&gt;$AF$2,0,HLOOKUP(YEAR(A243),Assumptions!$A$34:$AL$37,4,TRUE)/100)</f>
        <v>1.7745E-2</v>
      </c>
      <c r="AI243">
        <f t="shared" si="130"/>
        <v>0</v>
      </c>
      <c r="AJ243">
        <f t="shared" si="131"/>
        <v>3.4884506197196412</v>
      </c>
      <c r="AK243">
        <f t="shared" si="132"/>
        <v>26.740357067618078</v>
      </c>
      <c r="AL243">
        <f>IF(E243&gt;Assumptions!$B$9,0,SUMPRODUCT($P$2:$X$2,Assumptions!$A$43:$I$43)/$I$2*O242*K243)</f>
        <v>0</v>
      </c>
      <c r="AM243">
        <f t="shared" si="133"/>
        <v>0</v>
      </c>
      <c r="AN243">
        <f t="shared" si="134"/>
        <v>30.228807687337721</v>
      </c>
      <c r="AO243">
        <f>IF(E243&gt;Assumptions!$B$9,0,($V$2+$X$2)/$I$2*O242*K243*Assumptions!$B$46)</f>
        <v>0</v>
      </c>
      <c r="AP243">
        <f>IF(B243&gt;$AF$2,0,AP242*(1+Assumptions!$B$52)^(1/12))</f>
        <v>1.2121226309266195</v>
      </c>
      <c r="AQ243" s="29">
        <f>IF(B243&gt;$AF$2,0,O242*Assumptions!$B$48/12*AP242+AR243*Assumptions!$B$50/12)</f>
        <v>9.6243816217260658</v>
      </c>
      <c r="AR243" s="31">
        <f t="shared" si="135"/>
        <v>8918.3994077469488</v>
      </c>
      <c r="AS243">
        <f t="shared" si="118"/>
        <v>8939.6466853059192</v>
      </c>
      <c r="AT243">
        <f t="shared" si="136"/>
        <v>9.6619952914438354</v>
      </c>
      <c r="AU243" s="19">
        <f t="shared" si="137"/>
        <v>8914.5353277797203</v>
      </c>
      <c r="AV243" s="19">
        <f t="shared" si="138"/>
        <v>8942.938438646137</v>
      </c>
      <c r="AW243">
        <f t="shared" si="139"/>
        <v>-32.762776172721722</v>
      </c>
      <c r="AX243">
        <f>IF(B243&gt;$AF$2,0,HLOOKUP(YEAR(A243),Assumptions!$A$34:$AL$37,2,TRUE)/100)</f>
        <v>2.3744999999999999E-2</v>
      </c>
      <c r="AY243" s="32">
        <f>1/(1+HLOOKUP(YEAR(A243),Assumptions!$A$27:$AL$29,3,TRUE))^(1/12)</f>
        <v>0.99812871135708459</v>
      </c>
      <c r="AZ243" s="30">
        <f t="shared" si="119"/>
        <v>9135.3931875122507</v>
      </c>
      <c r="BA243">
        <f>IF(B243&gt;$AF$2,0,IF($E$2=0,(T243*Z243+(1-T243)*AA243)*$J$2*Assumptions!$B$20,0))</f>
        <v>0</v>
      </c>
    </row>
    <row r="244" spans="1:53" x14ac:dyDescent="0.25">
      <c r="A244" s="17">
        <f t="shared" si="120"/>
        <v>50191</v>
      </c>
      <c r="B244">
        <f t="shared" si="112"/>
        <v>463</v>
      </c>
      <c r="C244">
        <f t="shared" si="113"/>
        <v>38.5</v>
      </c>
      <c r="D244">
        <f t="shared" si="141"/>
        <v>0</v>
      </c>
      <c r="E244">
        <f t="shared" si="114"/>
        <v>61</v>
      </c>
      <c r="F244">
        <f>IF(C244&gt;=$H$2,0,VLOOKUP($E244,'Mortality Table'!$A$3:$C$128,2+AB$2,FALSE))</f>
        <v>4.0088999999999993E-3</v>
      </c>
      <c r="G244">
        <f>F244*Assumptions!$B$1</f>
        <v>4.3396342499999992E-3</v>
      </c>
      <c r="H244">
        <f t="shared" si="121"/>
        <v>3.6235748213309105E-4</v>
      </c>
      <c r="I244">
        <f t="shared" si="142"/>
        <v>1.7361286693508279E-4</v>
      </c>
      <c r="J244">
        <f>HLOOKUP(C244,Assumptions!$A$6:$J$7,2,TRUE)</f>
        <v>3.5200000000000002E-2</v>
      </c>
      <c r="K244" s="18">
        <f t="shared" si="115"/>
        <v>1</v>
      </c>
      <c r="L244" s="18">
        <f t="shared" si="122"/>
        <v>8.3333333333333329E-2</v>
      </c>
      <c r="M244" s="18">
        <f t="shared" si="143"/>
        <v>2.9817501439168836E-3</v>
      </c>
      <c r="N244">
        <f t="shared" si="144"/>
        <v>1.4304912126461315E-3</v>
      </c>
      <c r="O244" s="20">
        <f t="shared" si="145"/>
        <v>0.47823168535686056</v>
      </c>
      <c r="P244">
        <f>IF(B244&gt;$AF$2,0,O243*($E$2+IF(E244&lt;=Assumptions!$B$9,$D$2,0))/$I$2*K244)</f>
        <v>15.370739788280686</v>
      </c>
      <c r="Q244">
        <f t="shared" si="123"/>
        <v>26.1</v>
      </c>
      <c r="R244">
        <f>IF(B244&gt;$AF$2,0,IF($Y$2=1,(SUMIF('Mortality Tarif Male'!A:A,E245,'Mortality Tarif Male'!G:G)-SUMIF('Mortality Tarif Male'!A:A,$C$2+$H$2,'Mortality Tarif Male'!G:G)+SUMIF('Mortality Tarif Male'!A:A,$C$2+$H$2,'Mortality Tarif Male'!D:D))/SUMIF('Mortality Tarif Male'!A:A,E245,'Mortality Tarif Male'!D:D),(SUMIF('Mortality Tarif Female'!A:A,E245,'Mortality Tarif Female'!G:G)-SUMIF('Mortality Tarif Female'!A:A,$C$2+$H$2,'Mortality Tarif Female'!G:G)+SUMIF('Mortality Tarif Female'!A:A,$C$2+$H$2,'Mortality Tarif Female'!D:D))/SUMIF('Mortality Tarif Female'!A:A,E245,'Mortality Tarif Female'!D:D)))</f>
        <v>0.93383403573864054</v>
      </c>
      <c r="S244">
        <f>IF(B244&gt;=$AF$2,0,IF($Y$2=1,(SUMIF('Mortality Tarif Male'!A:A,E245+1,'Mortality Tarif Male'!G:G)-SUMIF('Mortality Tarif Male'!A:A,$C$2+$H$2,'Mortality Tarif Male'!G:G)+SUMIF('Mortality Tarif Male'!A:A,$C$2+$H$2,'Mortality Tarif Male'!D:D))/SUMIF('Mortality Tarif Male'!A:A,E245+1,'Mortality Tarif Male'!D:D),(SUMIF('Mortality Tarif Female'!A:A,E245+1,'Mortality Tarif Female'!G:G)-SUMIF('Mortality Tarif Female'!A:A,$C$2+$H$2,'Mortality Tarif Female'!G:G)+SUMIF('Mortality Tarif Female'!A:A,$C$2+$H$2,'Mortality Tarif Female'!D:D))/SUMIF('Mortality Tarif Female'!A:A,E245+1,'Mortality Tarif Female'!D:D)))</f>
        <v>0.96626970111295607</v>
      </c>
      <c r="T244">
        <f t="shared" si="124"/>
        <v>0.4166666666666643</v>
      </c>
      <c r="U244">
        <f t="shared" si="125"/>
        <v>0.95275484054032467</v>
      </c>
      <c r="V244">
        <f t="shared" si="126"/>
        <v>19055.096810806492</v>
      </c>
      <c r="W244">
        <f t="shared" si="116"/>
        <v>24.866901338102476</v>
      </c>
      <c r="X244">
        <f t="shared" si="117"/>
        <v>0</v>
      </c>
      <c r="Y244">
        <f>IF(B244&gt;$AF$2,0,IF(X245=0,0,(1-X245)*($E$2+IF(E244&lt;=Assumptions!$B$9,$D$2,0))/$I$2*1/(1+$AG$2)*1/(1+Assumptions!$B$11)))</f>
        <v>0</v>
      </c>
      <c r="Z244">
        <f>IF(B244&gt;$AF$2,0,IF($Y$2=1,(SUMIF('Mortality Tarif Male'!A:A,E245,'Mortality Tarif Male'!E:E)-SUMIF('Mortality Tarif Male'!A:A,$C$2+$H$2,'Mortality Tarif Male'!E:E))/SUMIF('Mortality Tarif Male'!A:A,E245,'Mortality Tarif Male'!D:D),(SUMIF('Mortality Tarif Female'!A:A,E245,'Mortality Tarif Female'!E:E)-SUMIF('Mortality Tarif Female'!A:A,$C$2+$H$2,'Mortality Tarif Female'!E:E))/SUMIF('Mortality Tarif Female'!A:A,E245,'Mortality Tarif Female'!D:D)))</f>
        <v>1.9614826630320195</v>
      </c>
      <c r="AA244">
        <f>IF(B244&gt;=$AF$2,0,IF($Y$2=1,(SUMIF('Mortality Tarif Male'!A:A,E245+1,'Mortality Tarif Male'!E:E)-SUMIF('Mortality Tarif Male'!A:A,$C$2+$H$2,'Mortality Tarif Male'!E:E))/SUMIF('Mortality Tarif Male'!A:A,E245+1,'Mortality Tarif Male'!D:D),(SUMIF('Mortality Tarif Female'!A:A,E245+1,'Mortality Tarif Female'!E:E)-SUMIF('Mortality Tarif Female'!A:A,$C$2+$H$2,'Mortality Tarif Female'!E:E))/SUMIF('Mortality Tarif Female'!A:A,E245+1,'Mortality Tarif Female'!D:D)))</f>
        <v>1.0000000000000007</v>
      </c>
      <c r="AB244">
        <f t="shared" si="111"/>
        <v>337.3034424881958</v>
      </c>
      <c r="AC244">
        <f>IF(B244&gt;=$AF$2,0,MIN(1/3*(V244+W244+Y244-AB244),(V244-AB244),(T244*Z244+(1-T244)*AA244)*$AH$2*Assumptions!$B$22))</f>
        <v>36.508476277646373</v>
      </c>
      <c r="AD244">
        <f t="shared" si="127"/>
        <v>18706.151793378755</v>
      </c>
      <c r="AE244">
        <f t="shared" si="128"/>
        <v>18742.6602696564</v>
      </c>
      <c r="AF244">
        <f t="shared" si="129"/>
        <v>18706.151793378755</v>
      </c>
      <c r="AG244" s="26">
        <f t="shared" si="140"/>
        <v>0</v>
      </c>
      <c r="AH244" s="27">
        <f>IF(B244&gt;$AF$2,0,HLOOKUP(YEAR(A244),Assumptions!$A$34:$AL$37,4,TRUE)/100)</f>
        <v>1.7745E-2</v>
      </c>
      <c r="AI244">
        <f t="shared" si="130"/>
        <v>0</v>
      </c>
      <c r="AJ244">
        <f t="shared" si="131"/>
        <v>3.4767886345286612</v>
      </c>
      <c r="AK244">
        <f t="shared" si="132"/>
        <v>26.758985762852983</v>
      </c>
      <c r="AL244">
        <f>IF(E244&gt;Assumptions!$B$9,0,SUMPRODUCT($P$2:$X$2,Assumptions!$A$43:$I$43)/$I$2*O243*K244)</f>
        <v>0</v>
      </c>
      <c r="AM244">
        <f t="shared" si="133"/>
        <v>0</v>
      </c>
      <c r="AN244">
        <f t="shared" si="134"/>
        <v>30.235774397381643</v>
      </c>
      <c r="AO244">
        <f>IF(E244&gt;Assumptions!$B$9,0,($V$2+$X$2)/$I$2*O243*K244*Assumptions!$B$46)</f>
        <v>0</v>
      </c>
      <c r="AP244">
        <f>IF(B244&gt;$AF$2,0,AP243*(1+Assumptions!$B$52)^(1/12))</f>
        <v>1.2131281328482346</v>
      </c>
      <c r="AQ244" s="29">
        <f>IF(B244&gt;$AF$2,0,O243*Assumptions!$B$48/12*AP243+AR244*Assumptions!$B$50/12)</f>
        <v>9.6051316672542697</v>
      </c>
      <c r="AR244" s="31">
        <f t="shared" si="135"/>
        <v>8916.5136041118985</v>
      </c>
      <c r="AS244">
        <f t="shared" si="118"/>
        <v>8945.8744986887814</v>
      </c>
      <c r="AT244">
        <f t="shared" si="136"/>
        <v>9.6296949787012132</v>
      </c>
      <c r="AU244" s="19">
        <f t="shared" si="137"/>
        <v>8912.6495172542236</v>
      </c>
      <c r="AV244" s="19">
        <f t="shared" si="138"/>
        <v>8949.2763802846202</v>
      </c>
      <c r="AW244">
        <f t="shared" si="139"/>
        <v>-41.008408577077347</v>
      </c>
      <c r="AX244">
        <f>IF(B244&gt;$AF$2,0,HLOOKUP(YEAR(A244),Assumptions!$A$34:$AL$37,2,TRUE)/100)</f>
        <v>2.3744999999999999E-2</v>
      </c>
      <c r="AY244" s="32">
        <f>1/(1+HLOOKUP(YEAR(A244),Assumptions!$A$27:$AL$29,3,TRUE))^(1/12)</f>
        <v>0.99812871135708459</v>
      </c>
      <c r="AZ244" s="30">
        <f t="shared" si="119"/>
        <v>9128.0500283301171</v>
      </c>
      <c r="BA244">
        <f>IF(B244&gt;$AF$2,0,IF($E$2=0,(T244*Z244+(1-T244)*AA244)*$J$2*Assumptions!$B$20,0))</f>
        <v>0</v>
      </c>
    </row>
    <row r="245" spans="1:53" x14ac:dyDescent="0.25">
      <c r="A245" s="17">
        <f t="shared" si="120"/>
        <v>50221</v>
      </c>
      <c r="B245">
        <f t="shared" si="112"/>
        <v>464</v>
      </c>
      <c r="C245">
        <f t="shared" si="113"/>
        <v>38.583333333333336</v>
      </c>
      <c r="D245">
        <f t="shared" si="141"/>
        <v>0</v>
      </c>
      <c r="E245">
        <f t="shared" si="114"/>
        <v>61</v>
      </c>
      <c r="F245">
        <f>IF(C245&gt;=$H$2,0,VLOOKUP($E245,'Mortality Table'!$A$3:$C$128,2+AB$2,FALSE))</f>
        <v>4.0088999999999993E-3</v>
      </c>
      <c r="G245">
        <f>F245*Assumptions!$B$1</f>
        <v>4.3396342499999992E-3</v>
      </c>
      <c r="H245">
        <f t="shared" si="121"/>
        <v>3.6235748213309105E-4</v>
      </c>
      <c r="I245">
        <f t="shared" si="142"/>
        <v>1.7303247440445172E-4</v>
      </c>
      <c r="J245">
        <f>HLOOKUP(C245,Assumptions!$A$6:$J$7,2,TRUE)</f>
        <v>3.5200000000000002E-2</v>
      </c>
      <c r="K245" s="18">
        <f t="shared" si="115"/>
        <v>1</v>
      </c>
      <c r="L245" s="18">
        <f t="shared" si="122"/>
        <v>8.3333333333333329E-2</v>
      </c>
      <c r="M245" s="18">
        <f t="shared" si="143"/>
        <v>2.9817501439168836E-3</v>
      </c>
      <c r="N245">
        <f t="shared" si="144"/>
        <v>1.4257090416607079E-3</v>
      </c>
      <c r="O245" s="20">
        <f t="shared" si="145"/>
        <v>0.47663294384079535</v>
      </c>
      <c r="P245">
        <f>IF(B245&gt;$AF$2,0,O244*($E$2+IF(E245&lt;=Assumptions!$B$9,$D$2,0))/$I$2*K245)</f>
        <v>15.319354987598098</v>
      </c>
      <c r="Q245">
        <f t="shared" si="123"/>
        <v>26.1</v>
      </c>
      <c r="R245">
        <f>IF(B245&gt;$AF$2,0,IF($Y$2=1,(SUMIF('Mortality Tarif Male'!A:A,E246,'Mortality Tarif Male'!G:G)-SUMIF('Mortality Tarif Male'!A:A,$C$2+$H$2,'Mortality Tarif Male'!G:G)+SUMIF('Mortality Tarif Male'!A:A,$C$2+$H$2,'Mortality Tarif Male'!D:D))/SUMIF('Mortality Tarif Male'!A:A,E246,'Mortality Tarif Male'!D:D),(SUMIF('Mortality Tarif Female'!A:A,E246,'Mortality Tarif Female'!G:G)-SUMIF('Mortality Tarif Female'!A:A,$C$2+$H$2,'Mortality Tarif Female'!G:G)+SUMIF('Mortality Tarif Female'!A:A,$C$2+$H$2,'Mortality Tarif Female'!D:D))/SUMIF('Mortality Tarif Female'!A:A,E246,'Mortality Tarif Female'!D:D)))</f>
        <v>0.93383403573864054</v>
      </c>
      <c r="S245">
        <f>IF(B245&gt;=$AF$2,0,IF($Y$2=1,(SUMIF('Mortality Tarif Male'!A:A,E246+1,'Mortality Tarif Male'!G:G)-SUMIF('Mortality Tarif Male'!A:A,$C$2+$H$2,'Mortality Tarif Male'!G:G)+SUMIF('Mortality Tarif Male'!A:A,$C$2+$H$2,'Mortality Tarif Male'!D:D))/SUMIF('Mortality Tarif Male'!A:A,E246+1,'Mortality Tarif Male'!D:D),(SUMIF('Mortality Tarif Female'!A:A,E246+1,'Mortality Tarif Female'!G:G)-SUMIF('Mortality Tarif Female'!A:A,$C$2+$H$2,'Mortality Tarif Female'!G:G)+SUMIF('Mortality Tarif Female'!A:A,$C$2+$H$2,'Mortality Tarif Female'!D:D))/SUMIF('Mortality Tarif Female'!A:A,E246+1,'Mortality Tarif Female'!D:D)))</f>
        <v>0.96626970111295607</v>
      </c>
      <c r="T245">
        <f t="shared" si="124"/>
        <v>0.3333333333333357</v>
      </c>
      <c r="U245">
        <f t="shared" si="125"/>
        <v>0.95545781265485086</v>
      </c>
      <c r="V245">
        <f t="shared" si="126"/>
        <v>19109.156253097019</v>
      </c>
      <c r="W245">
        <f t="shared" si="116"/>
        <v>24.937448910291607</v>
      </c>
      <c r="X245">
        <f t="shared" si="117"/>
        <v>0</v>
      </c>
      <c r="Y245">
        <f>IF(B245&gt;$AF$2,0,IF(X246=0,0,(1-X246)*($E$2+IF(E245&lt;=Assumptions!$B$9,$D$2,0))/$I$2*1/(1+$AG$2)*1/(1+Assumptions!$B$11)))</f>
        <v>0</v>
      </c>
      <c r="Z245">
        <f>IF(B245&gt;$AF$2,0,IF($Y$2=1,(SUMIF('Mortality Tarif Male'!A:A,E246,'Mortality Tarif Male'!E:E)-SUMIF('Mortality Tarif Male'!A:A,$C$2+$H$2,'Mortality Tarif Male'!E:E))/SUMIF('Mortality Tarif Male'!A:A,E246,'Mortality Tarif Male'!D:D),(SUMIF('Mortality Tarif Female'!A:A,E246,'Mortality Tarif Female'!E:E)-SUMIF('Mortality Tarif Female'!A:A,$C$2+$H$2,'Mortality Tarif Female'!E:E))/SUMIF('Mortality Tarif Female'!A:A,E246,'Mortality Tarif Female'!D:D)))</f>
        <v>1.9614826630320195</v>
      </c>
      <c r="AA245">
        <f>IF(B245&gt;=$AF$2,0,IF($Y$2=1,(SUMIF('Mortality Tarif Male'!A:A,E246+1,'Mortality Tarif Male'!E:E)-SUMIF('Mortality Tarif Male'!A:A,$C$2+$H$2,'Mortality Tarif Male'!E:E))/SUMIF('Mortality Tarif Male'!A:A,E246+1,'Mortality Tarif Male'!D:D),(SUMIF('Mortality Tarif Female'!A:A,E246+1,'Mortality Tarif Female'!E:E)-SUMIF('Mortality Tarif Female'!A:A,$C$2+$H$2,'Mortality Tarif Female'!E:E))/SUMIF('Mortality Tarif Female'!A:A,E246+1,'Mortality Tarif Female'!D:D)))</f>
        <v>1.0000000000000007</v>
      </c>
      <c r="AB245">
        <f t="shared" si="111"/>
        <v>318.0077063715101</v>
      </c>
      <c r="AC245">
        <f>IF(B245&gt;=$AF$2,0,MIN(1/3*(V245+W245+Y245-AB245),(V245-AB245),(T245*Z245+(1-T245)*AA245)*$AH$2*Assumptions!$B$22))</f>
        <v>34.419977212593402</v>
      </c>
      <c r="AD245">
        <f t="shared" si="127"/>
        <v>18781.666018423206</v>
      </c>
      <c r="AE245">
        <f t="shared" si="128"/>
        <v>18816.0859956358</v>
      </c>
      <c r="AF245">
        <f t="shared" si="129"/>
        <v>18781.666018423206</v>
      </c>
      <c r="AG245" s="26">
        <f t="shared" si="140"/>
        <v>0</v>
      </c>
      <c r="AH245" s="27">
        <f>IF(B245&gt;$AF$2,0,HLOOKUP(YEAR(A245),Assumptions!$A$34:$AL$37,4,TRUE)/100)</f>
        <v>1.7745E-2</v>
      </c>
      <c r="AI245">
        <f t="shared" si="130"/>
        <v>0</v>
      </c>
      <c r="AJ245">
        <f t="shared" si="131"/>
        <v>3.4651656356709903</v>
      </c>
      <c r="AK245">
        <f t="shared" si="132"/>
        <v>26.777191059917634</v>
      </c>
      <c r="AL245">
        <f>IF(E245&gt;Assumptions!$B$9,0,SUMPRODUCT($P$2:$X$2,Assumptions!$A$43:$I$43)/$I$2*O244*K245)</f>
        <v>0</v>
      </c>
      <c r="AM245">
        <f t="shared" si="133"/>
        <v>0</v>
      </c>
      <c r="AN245">
        <f t="shared" si="134"/>
        <v>30.242356695588626</v>
      </c>
      <c r="AO245">
        <f>IF(E245&gt;Assumptions!$B$9,0,($V$2+$X$2)/$I$2*O244*K245*Assumptions!$B$46)</f>
        <v>0</v>
      </c>
      <c r="AP245">
        <f>IF(B245&gt;$AF$2,0,AP244*(1+Assumptions!$B$52)^(1/12))</f>
        <v>1.2141344688720179</v>
      </c>
      <c r="AQ245" s="29">
        <f>IF(B245&gt;$AF$2,0,O244*Assumptions!$B$48/12*AP244+AR245*Assumptions!$B$50/12)</f>
        <v>9.5858893204327487</v>
      </c>
      <c r="AR245" s="31">
        <f t="shared" si="135"/>
        <v>8914.4635927584859</v>
      </c>
      <c r="AS245">
        <f t="shared" si="118"/>
        <v>8951.9607645956821</v>
      </c>
      <c r="AT245">
        <f t="shared" si="136"/>
        <v>9.5975026467815798</v>
      </c>
      <c r="AU245" s="19">
        <f t="shared" si="137"/>
        <v>8910.5995557788683</v>
      </c>
      <c r="AV245" s="19">
        <f t="shared" si="138"/>
        <v>8955.4720013355636</v>
      </c>
      <c r="AW245">
        <f t="shared" si="139"/>
        <v>-49.275840855682269</v>
      </c>
      <c r="AX245">
        <f>IF(B245&gt;$AF$2,0,HLOOKUP(YEAR(A245),Assumptions!$A$34:$AL$37,2,TRUE)/100)</f>
        <v>2.3744999999999999E-2</v>
      </c>
      <c r="AY245" s="32">
        <f>1/(1+HLOOKUP(YEAR(A245),Assumptions!$A$27:$AL$29,3,TRUE))^(1/12)</f>
        <v>0.99812871135708459</v>
      </c>
      <c r="AZ245" s="30">
        <f t="shared" si="119"/>
        <v>9120.6543774636284</v>
      </c>
      <c r="BA245">
        <f>IF(B245&gt;$AF$2,0,IF($E$2=0,(T245*Z245+(1-T245)*AA245)*$J$2*Assumptions!$B$20,0))</f>
        <v>0</v>
      </c>
    </row>
    <row r="246" spans="1:53" x14ac:dyDescent="0.25">
      <c r="A246" s="17">
        <f t="shared" si="120"/>
        <v>50252</v>
      </c>
      <c r="B246">
        <f t="shared" si="112"/>
        <v>465</v>
      </c>
      <c r="C246">
        <f t="shared" si="113"/>
        <v>38.666666666666664</v>
      </c>
      <c r="D246">
        <f t="shared" si="141"/>
        <v>0</v>
      </c>
      <c r="E246">
        <f t="shared" si="114"/>
        <v>61</v>
      </c>
      <c r="F246">
        <f>IF(C246&gt;=$H$2,0,VLOOKUP($E246,'Mortality Table'!$A$3:$C$128,2+AB$2,FALSE))</f>
        <v>4.0088999999999993E-3</v>
      </c>
      <c r="G246">
        <f>F246*Assumptions!$B$1</f>
        <v>4.3396342499999992E-3</v>
      </c>
      <c r="H246">
        <f t="shared" si="121"/>
        <v>3.6235748213309105E-4</v>
      </c>
      <c r="I246">
        <f t="shared" si="142"/>
        <v>1.7245402214181787E-4</v>
      </c>
      <c r="J246">
        <f>HLOOKUP(C246,Assumptions!$A$6:$J$7,2,TRUE)</f>
        <v>3.5200000000000002E-2</v>
      </c>
      <c r="K246" s="18">
        <f t="shared" si="115"/>
        <v>1</v>
      </c>
      <c r="L246" s="18">
        <f t="shared" si="122"/>
        <v>8.3333333333333329E-2</v>
      </c>
      <c r="M246" s="18">
        <f t="shared" si="143"/>
        <v>2.9817501439168836E-3</v>
      </c>
      <c r="N246">
        <f t="shared" si="144"/>
        <v>1.4209428576028036E-3</v>
      </c>
      <c r="O246" s="20">
        <f t="shared" si="145"/>
        <v>0.47503954696105072</v>
      </c>
      <c r="P246">
        <f>IF(B246&gt;$AF$2,0,O245*($E$2+IF(E246&lt;=Assumptions!$B$9,$D$2,0))/$I$2*K246)</f>
        <v>15.268141967700144</v>
      </c>
      <c r="Q246">
        <f t="shared" si="123"/>
        <v>26.1</v>
      </c>
      <c r="R246">
        <f>IF(B246&gt;$AF$2,0,IF($Y$2=1,(SUMIF('Mortality Tarif Male'!A:A,E247,'Mortality Tarif Male'!G:G)-SUMIF('Mortality Tarif Male'!A:A,$C$2+$H$2,'Mortality Tarif Male'!G:G)+SUMIF('Mortality Tarif Male'!A:A,$C$2+$H$2,'Mortality Tarif Male'!D:D))/SUMIF('Mortality Tarif Male'!A:A,E247,'Mortality Tarif Male'!D:D),(SUMIF('Mortality Tarif Female'!A:A,E247,'Mortality Tarif Female'!G:G)-SUMIF('Mortality Tarif Female'!A:A,$C$2+$H$2,'Mortality Tarif Female'!G:G)+SUMIF('Mortality Tarif Female'!A:A,$C$2+$H$2,'Mortality Tarif Female'!D:D))/SUMIF('Mortality Tarif Female'!A:A,E247,'Mortality Tarif Female'!D:D)))</f>
        <v>0.93383403573864054</v>
      </c>
      <c r="S246">
        <f>IF(B246&gt;=$AF$2,0,IF($Y$2=1,(SUMIF('Mortality Tarif Male'!A:A,E247+1,'Mortality Tarif Male'!G:G)-SUMIF('Mortality Tarif Male'!A:A,$C$2+$H$2,'Mortality Tarif Male'!G:G)+SUMIF('Mortality Tarif Male'!A:A,$C$2+$H$2,'Mortality Tarif Male'!D:D))/SUMIF('Mortality Tarif Male'!A:A,E247+1,'Mortality Tarif Male'!D:D),(SUMIF('Mortality Tarif Female'!A:A,E247+1,'Mortality Tarif Female'!G:G)-SUMIF('Mortality Tarif Female'!A:A,$C$2+$H$2,'Mortality Tarif Female'!G:G)+SUMIF('Mortality Tarif Female'!A:A,$C$2+$H$2,'Mortality Tarif Female'!D:D))/SUMIF('Mortality Tarif Female'!A:A,E247+1,'Mortality Tarif Female'!D:D)))</f>
        <v>0.96626970111295607</v>
      </c>
      <c r="T246">
        <f t="shared" si="124"/>
        <v>0.25</v>
      </c>
      <c r="U246">
        <f t="shared" si="125"/>
        <v>0.95816078476937716</v>
      </c>
      <c r="V246">
        <f t="shared" si="126"/>
        <v>19163.215695387542</v>
      </c>
      <c r="W246">
        <f t="shared" si="116"/>
        <v>25.007996482480745</v>
      </c>
      <c r="X246">
        <f t="shared" si="117"/>
        <v>0</v>
      </c>
      <c r="Y246">
        <f>IF(B246&gt;$AF$2,0,IF(X247=0,0,(1-X247)*($E$2+IF(E246&lt;=Assumptions!$B$9,$D$2,0))/$I$2*1/(1+$AG$2)*1/(1+Assumptions!$B$11)))</f>
        <v>0</v>
      </c>
      <c r="Z246">
        <f>IF(B246&gt;$AF$2,0,IF($Y$2=1,(SUMIF('Mortality Tarif Male'!A:A,E247,'Mortality Tarif Male'!E:E)-SUMIF('Mortality Tarif Male'!A:A,$C$2+$H$2,'Mortality Tarif Male'!E:E))/SUMIF('Mortality Tarif Male'!A:A,E247,'Mortality Tarif Male'!D:D),(SUMIF('Mortality Tarif Female'!A:A,E247,'Mortality Tarif Female'!E:E)-SUMIF('Mortality Tarif Female'!A:A,$C$2+$H$2,'Mortality Tarif Female'!E:E))/SUMIF('Mortality Tarif Female'!A:A,E247,'Mortality Tarif Female'!D:D)))</f>
        <v>1.9614826630320195</v>
      </c>
      <c r="AA246">
        <f>IF(B246&gt;=$AF$2,0,IF($Y$2=1,(SUMIF('Mortality Tarif Male'!A:A,E247+1,'Mortality Tarif Male'!E:E)-SUMIF('Mortality Tarif Male'!A:A,$C$2+$H$2,'Mortality Tarif Male'!E:E))/SUMIF('Mortality Tarif Male'!A:A,E247+1,'Mortality Tarif Male'!D:D),(SUMIF('Mortality Tarif Female'!A:A,E247+1,'Mortality Tarif Female'!E:E)-SUMIF('Mortality Tarif Female'!A:A,$C$2+$H$2,'Mortality Tarif Female'!E:E))/SUMIF('Mortality Tarif Female'!A:A,E247+1,'Mortality Tarif Female'!D:D)))</f>
        <v>1.0000000000000007</v>
      </c>
      <c r="AB246">
        <f t="shared" si="111"/>
        <v>298.71197025482263</v>
      </c>
      <c r="AC246">
        <f>IF(B246&gt;=$AF$2,0,MIN(1/3*(V246+W246+Y246-AB246),(V246-AB246),(T246*Z246+(1-T246)*AA246)*$AH$2*Assumptions!$B$22))</f>
        <v>32.331478147540246</v>
      </c>
      <c r="AD246">
        <f t="shared" si="127"/>
        <v>18857.180243467657</v>
      </c>
      <c r="AE246">
        <f t="shared" si="128"/>
        <v>18889.511721615199</v>
      </c>
      <c r="AF246">
        <f t="shared" si="129"/>
        <v>18857.180243467657</v>
      </c>
      <c r="AG246" s="26">
        <f t="shared" si="140"/>
        <v>0</v>
      </c>
      <c r="AH246" s="27">
        <f>IF(B246&gt;$AF$2,0,HLOOKUP(YEAR(A246),Assumptions!$A$34:$AL$37,4,TRUE)/100)</f>
        <v>1.7745E-2</v>
      </c>
      <c r="AI246">
        <f t="shared" si="130"/>
        <v>0</v>
      </c>
      <c r="AJ246">
        <f t="shared" si="131"/>
        <v>3.4535814928142585</v>
      </c>
      <c r="AK246">
        <f t="shared" si="132"/>
        <v>26.794975581484064</v>
      </c>
      <c r="AL246">
        <f>IF(E246&gt;Assumptions!$B$9,0,SUMPRODUCT($P$2:$X$2,Assumptions!$A$43:$I$43)/$I$2*O245*K246)</f>
        <v>0</v>
      </c>
      <c r="AM246">
        <f t="shared" si="133"/>
        <v>0</v>
      </c>
      <c r="AN246">
        <f t="shared" si="134"/>
        <v>30.248557074298322</v>
      </c>
      <c r="AO246">
        <f>IF(E246&gt;Assumptions!$B$9,0,($V$2+$X$2)/$I$2*O245*K246*Assumptions!$B$46)</f>
        <v>0</v>
      </c>
      <c r="AP246">
        <f>IF(B246&gt;$AF$2,0,AP245*(1+Assumptions!$B$52)^(1/12))</f>
        <v>1.2151416396898886</v>
      </c>
      <c r="AQ246" s="29">
        <f>IF(B246&gt;$AF$2,0,O245*Assumptions!$B$48/12*AP245+AR246*Assumptions!$B$50/12)</f>
        <v>9.5666546961949201</v>
      </c>
      <c r="AR246" s="31">
        <f t="shared" si="135"/>
        <v>8912.2503416747022</v>
      </c>
      <c r="AS246">
        <f t="shared" si="118"/>
        <v>8957.9063598197517</v>
      </c>
      <c r="AT246">
        <f t="shared" si="136"/>
        <v>9.5654179347021078</v>
      </c>
      <c r="AU246" s="19">
        <f t="shared" si="137"/>
        <v>8908.3864110115064</v>
      </c>
      <c r="AV246" s="19">
        <f t="shared" si="138"/>
        <v>8961.5261825303842</v>
      </c>
      <c r="AW246">
        <f t="shared" si="139"/>
        <v>-57.564986386229172</v>
      </c>
      <c r="AX246">
        <f>IF(B246&gt;$AF$2,0,HLOOKUP(YEAR(A246),Assumptions!$A$34:$AL$37,2,TRUE)/100)</f>
        <v>2.3744999999999999E-2</v>
      </c>
      <c r="AY246" s="32">
        <f>1/(1+HLOOKUP(YEAR(A246),Assumptions!$A$27:$AL$29,3,TRUE))^(1/12)</f>
        <v>0.99812871135708459</v>
      </c>
      <c r="AZ246" s="30">
        <f t="shared" si="119"/>
        <v>9113.20668247924</v>
      </c>
      <c r="BA246">
        <f>IF(B246&gt;$AF$2,0,IF($E$2=0,(T246*Z246+(1-T246)*AA246)*$J$2*Assumptions!$B$20,0))</f>
        <v>0</v>
      </c>
    </row>
    <row r="247" spans="1:53" x14ac:dyDescent="0.25">
      <c r="A247" s="17">
        <f t="shared" si="120"/>
        <v>50283</v>
      </c>
      <c r="B247">
        <f t="shared" si="112"/>
        <v>466</v>
      </c>
      <c r="C247">
        <f t="shared" si="113"/>
        <v>38.75</v>
      </c>
      <c r="D247">
        <f t="shared" si="141"/>
        <v>0</v>
      </c>
      <c r="E247">
        <f t="shared" si="114"/>
        <v>61</v>
      </c>
      <c r="F247">
        <f>IF(C247&gt;=$H$2,0,VLOOKUP($E247,'Mortality Table'!$A$3:$C$128,2+AB$2,FALSE))</f>
        <v>4.0088999999999993E-3</v>
      </c>
      <c r="G247">
        <f>F247*Assumptions!$B$1</f>
        <v>4.3396342499999992E-3</v>
      </c>
      <c r="H247">
        <f t="shared" si="121"/>
        <v>3.6235748213309105E-4</v>
      </c>
      <c r="I247">
        <f t="shared" si="142"/>
        <v>1.7187750366081254E-4</v>
      </c>
      <c r="J247">
        <f>HLOOKUP(C247,Assumptions!$A$6:$J$7,2,TRUE)</f>
        <v>3.5200000000000002E-2</v>
      </c>
      <c r="K247" s="18">
        <f t="shared" si="115"/>
        <v>1</v>
      </c>
      <c r="L247" s="18">
        <f t="shared" si="122"/>
        <v>8.3333333333333329E-2</v>
      </c>
      <c r="M247" s="18">
        <f t="shared" si="143"/>
        <v>2.9817501439168836E-3</v>
      </c>
      <c r="N247">
        <f t="shared" si="144"/>
        <v>1.4161926070276861E-3</v>
      </c>
      <c r="O247" s="20">
        <f t="shared" si="145"/>
        <v>0.47345147685036221</v>
      </c>
      <c r="P247">
        <f>IF(B247&gt;$AF$2,0,O246*($E$2+IF(E247&lt;=Assumptions!$B$9,$D$2,0))/$I$2*K247)</f>
        <v>15.21710015431899</v>
      </c>
      <c r="Q247">
        <f t="shared" si="123"/>
        <v>26.1</v>
      </c>
      <c r="R247">
        <f>IF(B247&gt;$AF$2,0,IF($Y$2=1,(SUMIF('Mortality Tarif Male'!A:A,E248,'Mortality Tarif Male'!G:G)-SUMIF('Mortality Tarif Male'!A:A,$C$2+$H$2,'Mortality Tarif Male'!G:G)+SUMIF('Mortality Tarif Male'!A:A,$C$2+$H$2,'Mortality Tarif Male'!D:D))/SUMIF('Mortality Tarif Male'!A:A,E248,'Mortality Tarif Male'!D:D),(SUMIF('Mortality Tarif Female'!A:A,E248,'Mortality Tarif Female'!G:G)-SUMIF('Mortality Tarif Female'!A:A,$C$2+$H$2,'Mortality Tarif Female'!G:G)+SUMIF('Mortality Tarif Female'!A:A,$C$2+$H$2,'Mortality Tarif Female'!D:D))/SUMIF('Mortality Tarif Female'!A:A,E248,'Mortality Tarif Female'!D:D)))</f>
        <v>0.93383403573864054</v>
      </c>
      <c r="S247">
        <f>IF(B247&gt;=$AF$2,0,IF($Y$2=1,(SUMIF('Mortality Tarif Male'!A:A,E248+1,'Mortality Tarif Male'!G:G)-SUMIF('Mortality Tarif Male'!A:A,$C$2+$H$2,'Mortality Tarif Male'!G:G)+SUMIF('Mortality Tarif Male'!A:A,$C$2+$H$2,'Mortality Tarif Male'!D:D))/SUMIF('Mortality Tarif Male'!A:A,E248+1,'Mortality Tarif Male'!D:D),(SUMIF('Mortality Tarif Female'!A:A,E248+1,'Mortality Tarif Female'!G:G)-SUMIF('Mortality Tarif Female'!A:A,$C$2+$H$2,'Mortality Tarif Female'!G:G)+SUMIF('Mortality Tarif Female'!A:A,$C$2+$H$2,'Mortality Tarif Female'!D:D))/SUMIF('Mortality Tarif Female'!A:A,E248+1,'Mortality Tarif Female'!D:D)))</f>
        <v>0.96626970111295607</v>
      </c>
      <c r="T247">
        <f t="shared" si="124"/>
        <v>0.1666666666666643</v>
      </c>
      <c r="U247">
        <f t="shared" si="125"/>
        <v>0.96086375688390357</v>
      </c>
      <c r="V247">
        <f t="shared" si="126"/>
        <v>19217.275137678072</v>
      </c>
      <c r="W247">
        <f t="shared" si="116"/>
        <v>25.078544054669884</v>
      </c>
      <c r="X247">
        <f t="shared" si="117"/>
        <v>0</v>
      </c>
      <c r="Y247">
        <f>IF(B247&gt;$AF$2,0,IF(X248=0,0,(1-X248)*($E$2+IF(E247&lt;=Assumptions!$B$9,$D$2,0))/$I$2*1/(1+$AG$2)*1/(1+Assumptions!$B$11)))</f>
        <v>0</v>
      </c>
      <c r="Z247">
        <f>IF(B247&gt;$AF$2,0,IF($Y$2=1,(SUMIF('Mortality Tarif Male'!A:A,E248,'Mortality Tarif Male'!E:E)-SUMIF('Mortality Tarif Male'!A:A,$C$2+$H$2,'Mortality Tarif Male'!E:E))/SUMIF('Mortality Tarif Male'!A:A,E248,'Mortality Tarif Male'!D:D),(SUMIF('Mortality Tarif Female'!A:A,E248,'Mortality Tarif Female'!E:E)-SUMIF('Mortality Tarif Female'!A:A,$C$2+$H$2,'Mortality Tarif Female'!E:E))/SUMIF('Mortality Tarif Female'!A:A,E248,'Mortality Tarif Female'!D:D)))</f>
        <v>1.9614826630320195</v>
      </c>
      <c r="AA247">
        <f>IF(B247&gt;=$AF$2,0,IF($Y$2=1,(SUMIF('Mortality Tarif Male'!A:A,E248+1,'Mortality Tarif Male'!E:E)-SUMIF('Mortality Tarif Male'!A:A,$C$2+$H$2,'Mortality Tarif Male'!E:E))/SUMIF('Mortality Tarif Male'!A:A,E248+1,'Mortality Tarif Male'!D:D),(SUMIF('Mortality Tarif Female'!A:A,E248+1,'Mortality Tarif Female'!E:E)-SUMIF('Mortality Tarif Female'!A:A,$C$2+$H$2,'Mortality Tarif Female'!E:E))/SUMIF('Mortality Tarif Female'!A:A,E248+1,'Mortality Tarif Female'!D:D)))</f>
        <v>1.0000000000000007</v>
      </c>
      <c r="AB247">
        <f t="shared" si="111"/>
        <v>279.41623413813522</v>
      </c>
      <c r="AC247">
        <f>IF(B247&gt;=$AF$2,0,MIN(1/3*(V247+W247+Y247-AB247),(V247-AB247),(T247*Z247+(1-T247)*AA247)*$AH$2*Assumptions!$B$22))</f>
        <v>30.242979082487096</v>
      </c>
      <c r="AD247">
        <f t="shared" si="127"/>
        <v>18932.694468512123</v>
      </c>
      <c r="AE247">
        <f t="shared" si="128"/>
        <v>18962.93744759461</v>
      </c>
      <c r="AF247">
        <f t="shared" si="129"/>
        <v>18932.694468512123</v>
      </c>
      <c r="AG247" s="26">
        <f t="shared" si="140"/>
        <v>0</v>
      </c>
      <c r="AH247" s="27">
        <f>IF(B247&gt;$AF$2,0,HLOOKUP(YEAR(A247),Assumptions!$A$34:$AL$37,4,TRUE)/100)</f>
        <v>1.7745E-2</v>
      </c>
      <c r="AI247">
        <f t="shared" si="130"/>
        <v>0</v>
      </c>
      <c r="AJ247">
        <f t="shared" si="131"/>
        <v>3.4420360760617976</v>
      </c>
      <c r="AK247">
        <f t="shared" si="132"/>
        <v>26.812341937420836</v>
      </c>
      <c r="AL247">
        <f>IF(E247&gt;Assumptions!$B$9,0,SUMPRODUCT($P$2:$X$2,Assumptions!$A$43:$I$43)/$I$2*O246*K247)</f>
        <v>0</v>
      </c>
      <c r="AM247">
        <f t="shared" si="133"/>
        <v>0</v>
      </c>
      <c r="AN247">
        <f t="shared" si="134"/>
        <v>30.254378013482633</v>
      </c>
      <c r="AO247">
        <f>IF(E247&gt;Assumptions!$B$9,0,($V$2+$X$2)/$I$2*O246*K247*Assumptions!$B$46)</f>
        <v>0</v>
      </c>
      <c r="AP247">
        <f>IF(B247&gt;$AF$2,0,AP246*(1+Assumptions!$B$52)^(1/12))</f>
        <v>1.2161496459943404</v>
      </c>
      <c r="AQ247" s="29">
        <f>IF(B247&gt;$AF$2,0,O246*Assumptions!$B$48/12*AP246+AR247*Assumptions!$B$50/12)</f>
        <v>9.547427908581648</v>
      </c>
      <c r="AR247" s="31">
        <f t="shared" si="135"/>
        <v>8909.874813916209</v>
      </c>
      <c r="AS247">
        <f t="shared" si="118"/>
        <v>8963.7121568737475</v>
      </c>
      <c r="AT247">
        <f t="shared" si="136"/>
        <v>9.5334404826867498</v>
      </c>
      <c r="AU247" s="19">
        <f t="shared" si="137"/>
        <v>8906.0110456792609</v>
      </c>
      <c r="AV247" s="19">
        <f t="shared" si="138"/>
        <v>8967.439800302438</v>
      </c>
      <c r="AW247">
        <f t="shared" si="139"/>
        <v>-65.875759177988996</v>
      </c>
      <c r="AX247">
        <f>IF(B247&gt;$AF$2,0,HLOOKUP(YEAR(A247),Assumptions!$A$34:$AL$37,2,TRUE)/100)</f>
        <v>2.3744999999999999E-2</v>
      </c>
      <c r="AY247" s="32">
        <f>1/(1+HLOOKUP(YEAR(A247),Assumptions!$A$27:$AL$29,3,TRUE))^(1/12)</f>
        <v>0.99812871135708459</v>
      </c>
      <c r="AZ247" s="30">
        <f t="shared" si="119"/>
        <v>9105.7073886142134</v>
      </c>
      <c r="BA247">
        <f>IF(B247&gt;$AF$2,0,IF($E$2=0,(T247*Z247+(1-T247)*AA247)*$J$2*Assumptions!$B$20,0))</f>
        <v>0</v>
      </c>
    </row>
    <row r="248" spans="1:53" x14ac:dyDescent="0.25">
      <c r="A248" s="17">
        <f t="shared" si="120"/>
        <v>50313</v>
      </c>
      <c r="B248">
        <f t="shared" si="112"/>
        <v>467</v>
      </c>
      <c r="C248">
        <f t="shared" si="113"/>
        <v>38.833333333333336</v>
      </c>
      <c r="D248">
        <f t="shared" si="141"/>
        <v>0</v>
      </c>
      <c r="E248">
        <f t="shared" si="114"/>
        <v>61</v>
      </c>
      <c r="F248">
        <f>IF(C248&gt;=$H$2,0,VLOOKUP($E248,'Mortality Table'!$A$3:$C$128,2+AB$2,FALSE))</f>
        <v>4.0088999999999993E-3</v>
      </c>
      <c r="G248">
        <f>F248*Assumptions!$B$1</f>
        <v>4.3396342499999992E-3</v>
      </c>
      <c r="H248">
        <f t="shared" si="121"/>
        <v>3.6235748213309105E-4</v>
      </c>
      <c r="I248">
        <f t="shared" si="142"/>
        <v>1.7130291249675125E-4</v>
      </c>
      <c r="J248">
        <f>HLOOKUP(C248,Assumptions!$A$6:$J$7,2,TRUE)</f>
        <v>3.5200000000000002E-2</v>
      </c>
      <c r="K248" s="18">
        <f t="shared" si="115"/>
        <v>1</v>
      </c>
      <c r="L248" s="18">
        <f t="shared" si="122"/>
        <v>8.3333333333333329E-2</v>
      </c>
      <c r="M248" s="18">
        <f t="shared" si="143"/>
        <v>2.9817501439168836E-3</v>
      </c>
      <c r="N248">
        <f t="shared" si="144"/>
        <v>1.4114582366692892E-3</v>
      </c>
      <c r="O248" s="20">
        <f t="shared" si="145"/>
        <v>0.47186871570119621</v>
      </c>
      <c r="P248">
        <f>IF(B248&gt;$AF$2,0,O247*($E$2+IF(E248&lt;=Assumptions!$B$9,$D$2,0))/$I$2*K248)</f>
        <v>15.1662289751066</v>
      </c>
      <c r="Q248">
        <f t="shared" si="123"/>
        <v>26.1</v>
      </c>
      <c r="R248">
        <f>IF(B248&gt;$AF$2,0,IF($Y$2=1,(SUMIF('Mortality Tarif Male'!A:A,E249,'Mortality Tarif Male'!G:G)-SUMIF('Mortality Tarif Male'!A:A,$C$2+$H$2,'Mortality Tarif Male'!G:G)+SUMIF('Mortality Tarif Male'!A:A,$C$2+$H$2,'Mortality Tarif Male'!D:D))/SUMIF('Mortality Tarif Male'!A:A,E249,'Mortality Tarif Male'!D:D),(SUMIF('Mortality Tarif Female'!A:A,E249,'Mortality Tarif Female'!G:G)-SUMIF('Mortality Tarif Female'!A:A,$C$2+$H$2,'Mortality Tarif Female'!G:G)+SUMIF('Mortality Tarif Female'!A:A,$C$2+$H$2,'Mortality Tarif Female'!D:D))/SUMIF('Mortality Tarif Female'!A:A,E249,'Mortality Tarif Female'!D:D)))</f>
        <v>0.93383403573864054</v>
      </c>
      <c r="S248">
        <f>IF(B248&gt;=$AF$2,0,IF($Y$2=1,(SUMIF('Mortality Tarif Male'!A:A,E249+1,'Mortality Tarif Male'!G:G)-SUMIF('Mortality Tarif Male'!A:A,$C$2+$H$2,'Mortality Tarif Male'!G:G)+SUMIF('Mortality Tarif Male'!A:A,$C$2+$H$2,'Mortality Tarif Male'!D:D))/SUMIF('Mortality Tarif Male'!A:A,E249+1,'Mortality Tarif Male'!D:D),(SUMIF('Mortality Tarif Female'!A:A,E249+1,'Mortality Tarif Female'!G:G)-SUMIF('Mortality Tarif Female'!A:A,$C$2+$H$2,'Mortality Tarif Female'!G:G)+SUMIF('Mortality Tarif Female'!A:A,$C$2+$H$2,'Mortality Tarif Female'!D:D))/SUMIF('Mortality Tarif Female'!A:A,E249+1,'Mortality Tarif Female'!D:D)))</f>
        <v>0.96626970111295607</v>
      </c>
      <c r="T248">
        <f t="shared" si="124"/>
        <v>8.3333333333335702E-2</v>
      </c>
      <c r="U248">
        <f t="shared" si="125"/>
        <v>0.96356672899842966</v>
      </c>
      <c r="V248">
        <f t="shared" si="126"/>
        <v>19271.334579968592</v>
      </c>
      <c r="W248">
        <f t="shared" si="116"/>
        <v>25.149091626859015</v>
      </c>
      <c r="X248">
        <f t="shared" si="117"/>
        <v>0</v>
      </c>
      <c r="Y248">
        <f>IF(B248&gt;$AF$2,0,IF(X249=0,0,(1-X249)*($E$2+IF(E248&lt;=Assumptions!$B$9,$D$2,0))/$I$2*1/(1+$AG$2)*1/(1+Assumptions!$B$11)))</f>
        <v>0</v>
      </c>
      <c r="Z248">
        <f>IF(B248&gt;$AF$2,0,IF($Y$2=1,(SUMIF('Mortality Tarif Male'!A:A,E249,'Mortality Tarif Male'!E:E)-SUMIF('Mortality Tarif Male'!A:A,$C$2+$H$2,'Mortality Tarif Male'!E:E))/SUMIF('Mortality Tarif Male'!A:A,E249,'Mortality Tarif Male'!D:D),(SUMIF('Mortality Tarif Female'!A:A,E249,'Mortality Tarif Female'!E:E)-SUMIF('Mortality Tarif Female'!A:A,$C$2+$H$2,'Mortality Tarif Female'!E:E))/SUMIF('Mortality Tarif Female'!A:A,E249,'Mortality Tarif Female'!D:D)))</f>
        <v>1.9614826630320195</v>
      </c>
      <c r="AA248">
        <f>IF(B248&gt;=$AF$2,0,IF($Y$2=1,(SUMIF('Mortality Tarif Male'!A:A,E249+1,'Mortality Tarif Male'!E:E)-SUMIF('Mortality Tarif Male'!A:A,$C$2+$H$2,'Mortality Tarif Male'!E:E))/SUMIF('Mortality Tarif Male'!A:A,E249+1,'Mortality Tarif Male'!D:D),(SUMIF('Mortality Tarif Female'!A:A,E249+1,'Mortality Tarif Female'!E:E)-SUMIF('Mortality Tarif Female'!A:A,$C$2+$H$2,'Mortality Tarif Female'!E:E))/SUMIF('Mortality Tarif Female'!A:A,E249+1,'Mortality Tarif Female'!D:D)))</f>
        <v>1.0000000000000007</v>
      </c>
      <c r="AB248">
        <f t="shared" si="111"/>
        <v>260.12049802144952</v>
      </c>
      <c r="AC248">
        <f>IF(B248&gt;=$AF$2,0,MIN(1/3*(V248+W248+Y248-AB248),(V248-AB248),(T248*Z248+(1-T248)*AA248)*$AH$2*Assumptions!$B$22))</f>
        <v>28.154480017434125</v>
      </c>
      <c r="AD248">
        <f t="shared" si="127"/>
        <v>19008.208693556568</v>
      </c>
      <c r="AE248">
        <f t="shared" si="128"/>
        <v>19036.363173574002</v>
      </c>
      <c r="AF248">
        <f t="shared" si="129"/>
        <v>19008.208693556568</v>
      </c>
      <c r="AG248" s="26">
        <f t="shared" si="140"/>
        <v>0</v>
      </c>
      <c r="AH248" s="27">
        <f>IF(B248&gt;$AF$2,0,HLOOKUP(YEAR(A248),Assumptions!$A$34:$AL$37,4,TRUE)/100)</f>
        <v>1.7745E-2</v>
      </c>
      <c r="AI248">
        <f t="shared" si="130"/>
        <v>0</v>
      </c>
      <c r="AJ248">
        <f t="shared" si="131"/>
        <v>3.43052925595119</v>
      </c>
      <c r="AK248">
        <f t="shared" si="132"/>
        <v>26.829292724849207</v>
      </c>
      <c r="AL248">
        <f>IF(E248&gt;Assumptions!$B$9,0,SUMPRODUCT($P$2:$X$2,Assumptions!$A$43:$I$43)/$I$2*O247*K248)</f>
        <v>0</v>
      </c>
      <c r="AM248">
        <f t="shared" si="133"/>
        <v>0</v>
      </c>
      <c r="AN248">
        <f t="shared" si="134"/>
        <v>30.259821980800396</v>
      </c>
      <c r="AO248">
        <f>IF(E248&gt;Assumptions!$B$9,0,($V$2+$X$2)/$I$2*O247*K248*Assumptions!$B$46)</f>
        <v>0</v>
      </c>
      <c r="AP248">
        <f>IF(B248&gt;$AF$2,0,AP247*(1+Assumptions!$B$52)^(1/12))</f>
        <v>1.2171584884784412</v>
      </c>
      <c r="AQ248" s="29">
        <f>IF(B248&gt;$AF$2,0,O247*Assumptions!$B$48/12*AP247+AR248*Assumptions!$B$50/12)</f>
        <v>9.5282090707457066</v>
      </c>
      <c r="AR248" s="31">
        <f t="shared" si="135"/>
        <v>8907.3379676279219</v>
      </c>
      <c r="AS248">
        <f t="shared" si="118"/>
        <v>8969.379024008851</v>
      </c>
      <c r="AT248">
        <f t="shared" si="136"/>
        <v>9.501569932162198</v>
      </c>
      <c r="AU248" s="19">
        <f t="shared" si="137"/>
        <v>8903.4744176001186</v>
      </c>
      <c r="AV248" s="19">
        <f t="shared" si="138"/>
        <v>8973.2137268059105</v>
      </c>
      <c r="AW248">
        <f t="shared" si="139"/>
        <v>-74.208073869135688</v>
      </c>
      <c r="AX248">
        <f>IF(B248&gt;$AF$2,0,HLOOKUP(YEAR(A248),Assumptions!$A$34:$AL$37,2,TRUE)/100)</f>
        <v>2.3744999999999999E-2</v>
      </c>
      <c r="AY248" s="32">
        <f>1/(1+HLOOKUP(YEAR(A248),Assumptions!$A$27:$AL$29,3,TRUE))^(1/12)</f>
        <v>0.99812871135708459</v>
      </c>
      <c r="AZ248" s="30">
        <f t="shared" si="119"/>
        <v>9098.1569387873806</v>
      </c>
      <c r="BA248">
        <f>IF(B248&gt;$AF$2,0,IF($E$2=0,(T248*Z248+(1-T248)*AA248)*$J$2*Assumptions!$B$20,0))</f>
        <v>0</v>
      </c>
    </row>
    <row r="249" spans="1:53" x14ac:dyDescent="0.25">
      <c r="A249" s="17">
        <f t="shared" si="120"/>
        <v>50344</v>
      </c>
      <c r="B249">
        <f t="shared" si="112"/>
        <v>468</v>
      </c>
      <c r="C249">
        <f t="shared" si="113"/>
        <v>38.916666666666664</v>
      </c>
      <c r="D249">
        <f t="shared" si="141"/>
        <v>0</v>
      </c>
      <c r="E249">
        <f t="shared" si="114"/>
        <v>61</v>
      </c>
      <c r="F249">
        <f>IF(C249&gt;=$H$2,0,VLOOKUP($E249,'Mortality Table'!$A$3:$C$128,2+AB$2,FALSE))</f>
        <v>4.0088999999999993E-3</v>
      </c>
      <c r="G249">
        <f>F249*Assumptions!$B$1</f>
        <v>4.3396342499999992E-3</v>
      </c>
      <c r="H249">
        <f t="shared" si="121"/>
        <v>3.6235748213309105E-4</v>
      </c>
      <c r="I249">
        <f t="shared" si="142"/>
        <v>1.7073024220656114E-4</v>
      </c>
      <c r="J249">
        <f>HLOOKUP(C249,Assumptions!$A$6:$J$7,2,TRUE)</f>
        <v>3.5200000000000002E-2</v>
      </c>
      <c r="K249" s="18">
        <f t="shared" si="115"/>
        <v>1</v>
      </c>
      <c r="L249" s="18">
        <f t="shared" si="122"/>
        <v>8.3333333333333329E-2</v>
      </c>
      <c r="M249" s="18">
        <f t="shared" si="143"/>
        <v>2.9817501439168836E-3</v>
      </c>
      <c r="N249">
        <f t="shared" si="144"/>
        <v>1.4067396934396171E-3</v>
      </c>
      <c r="O249" s="20">
        <f t="shared" si="145"/>
        <v>0.47029124576555004</v>
      </c>
      <c r="P249">
        <f>IF(B249&gt;$AF$2,0,O248*($E$2+IF(E249&lt;=Assumptions!$B$9,$D$2,0))/$I$2*K249)</f>
        <v>15.115527859628317</v>
      </c>
      <c r="Q249">
        <f t="shared" si="123"/>
        <v>26.1</v>
      </c>
      <c r="R249">
        <f>IF(B249&gt;$AF$2,0,IF($Y$2=1,(SUMIF('Mortality Tarif Male'!A:A,E250,'Mortality Tarif Male'!G:G)-SUMIF('Mortality Tarif Male'!A:A,$C$2+$H$2,'Mortality Tarif Male'!G:G)+SUMIF('Mortality Tarif Male'!A:A,$C$2+$H$2,'Mortality Tarif Male'!D:D))/SUMIF('Mortality Tarif Male'!A:A,E250,'Mortality Tarif Male'!D:D),(SUMIF('Mortality Tarif Female'!A:A,E250,'Mortality Tarif Female'!G:G)-SUMIF('Mortality Tarif Female'!A:A,$C$2+$H$2,'Mortality Tarif Female'!G:G)+SUMIF('Mortality Tarif Female'!A:A,$C$2+$H$2,'Mortality Tarif Female'!D:D))/SUMIF('Mortality Tarif Female'!A:A,E250,'Mortality Tarif Female'!D:D)))</f>
        <v>0.96626970111295607</v>
      </c>
      <c r="S249">
        <f>IF(B249&gt;=$AF$2,0,IF($Y$2=1,(SUMIF('Mortality Tarif Male'!A:A,E250+1,'Mortality Tarif Male'!G:G)-SUMIF('Mortality Tarif Male'!A:A,$C$2+$H$2,'Mortality Tarif Male'!G:G)+SUMIF('Mortality Tarif Male'!A:A,$C$2+$H$2,'Mortality Tarif Male'!D:D))/SUMIF('Mortality Tarif Male'!A:A,E250+1,'Mortality Tarif Male'!D:D),(SUMIF('Mortality Tarif Female'!A:A,E250+1,'Mortality Tarif Female'!G:G)-SUMIF('Mortality Tarif Female'!A:A,$C$2+$H$2,'Mortality Tarif Female'!G:G)+SUMIF('Mortality Tarif Female'!A:A,$C$2+$H$2,'Mortality Tarif Female'!D:D))/SUMIF('Mortality Tarif Female'!A:A,E250+1,'Mortality Tarif Female'!D:D)))</f>
        <v>1</v>
      </c>
      <c r="T249">
        <f t="shared" si="124"/>
        <v>1</v>
      </c>
      <c r="U249">
        <f t="shared" si="125"/>
        <v>0.96626970111295607</v>
      </c>
      <c r="V249">
        <f t="shared" si="126"/>
        <v>19325.394022259123</v>
      </c>
      <c r="W249">
        <f t="shared" si="116"/>
        <v>25.219639199048157</v>
      </c>
      <c r="X249">
        <f t="shared" si="117"/>
        <v>0</v>
      </c>
      <c r="Y249">
        <f>IF(B249&gt;$AF$2,0,IF(X250=0,0,(1-X250)*($E$2+IF(E249&lt;=Assumptions!$B$9,$D$2,0))/$I$2*1/(1+$AG$2)*1/(1+Assumptions!$B$11)))</f>
        <v>0</v>
      </c>
      <c r="Z249">
        <f>IF(B249&gt;$AF$2,0,IF($Y$2=1,(SUMIF('Mortality Tarif Male'!A:A,E250,'Mortality Tarif Male'!E:E)-SUMIF('Mortality Tarif Male'!A:A,$C$2+$H$2,'Mortality Tarif Male'!E:E))/SUMIF('Mortality Tarif Male'!A:A,E250,'Mortality Tarif Male'!D:D),(SUMIF('Mortality Tarif Female'!A:A,E250,'Mortality Tarif Female'!E:E)-SUMIF('Mortality Tarif Female'!A:A,$C$2+$H$2,'Mortality Tarif Female'!E:E))/SUMIF('Mortality Tarif Female'!A:A,E250,'Mortality Tarif Female'!D:D)))</f>
        <v>1.0000000000000007</v>
      </c>
      <c r="AA249">
        <f>IF(B249&gt;=$AF$2,0,IF($Y$2=1,(SUMIF('Mortality Tarif Male'!A:A,E250+1,'Mortality Tarif Male'!E:E)-SUMIF('Mortality Tarif Male'!A:A,$C$2+$H$2,'Mortality Tarif Male'!E:E))/SUMIF('Mortality Tarif Male'!A:A,E250+1,'Mortality Tarif Male'!D:D),(SUMIF('Mortality Tarif Female'!A:A,E250+1,'Mortality Tarif Female'!E:E)-SUMIF('Mortality Tarif Female'!A:A,$C$2+$H$2,'Mortality Tarif Female'!E:E))/SUMIF('Mortality Tarif Female'!A:A,E250+1,'Mortality Tarif Female'!D:D)))</f>
        <v>0</v>
      </c>
      <c r="AB249">
        <f t="shared" si="111"/>
        <v>240.82476190476206</v>
      </c>
      <c r="AC249">
        <f>IF(B249&gt;=$AF$2,0,MIN(1/3*(V249+W249+Y249-AB249),(V249-AB249),(T249*Z249+(1-T249)*AA249)*$AH$2*Assumptions!$B$22))</f>
        <v>26.065980952380968</v>
      </c>
      <c r="AD249">
        <f t="shared" si="127"/>
        <v>19083.722918601026</v>
      </c>
      <c r="AE249">
        <f t="shared" si="128"/>
        <v>19109.788899553409</v>
      </c>
      <c r="AF249">
        <f t="shared" si="129"/>
        <v>19083.722918601026</v>
      </c>
      <c r="AG249" s="26">
        <f t="shared" si="140"/>
        <v>0</v>
      </c>
      <c r="AH249" s="27">
        <f>IF(B249&gt;$AF$2,0,HLOOKUP(YEAR(A249),Assumptions!$A$34:$AL$37,4,TRUE)/100)</f>
        <v>1.7745E-2</v>
      </c>
      <c r="AI249">
        <f t="shared" si="130"/>
        <v>0</v>
      </c>
      <c r="AJ249">
        <f t="shared" si="131"/>
        <v>3.4190609034528139</v>
      </c>
      <c r="AK249">
        <f t="shared" si="132"/>
        <v>26.845830528199404</v>
      </c>
      <c r="AL249">
        <f>IF(E249&gt;Assumptions!$B$9,0,SUMPRODUCT($P$2:$X$2,Assumptions!$A$43:$I$43)/$I$2*O248*K249)</f>
        <v>0</v>
      </c>
      <c r="AM249">
        <f t="shared" si="133"/>
        <v>0</v>
      </c>
      <c r="AN249">
        <f t="shared" si="134"/>
        <v>30.264891431652217</v>
      </c>
      <c r="AO249">
        <f>IF(E249&gt;Assumptions!$B$9,0,($V$2+$X$2)/$I$2*O248*K249*Assumptions!$B$46)</f>
        <v>0</v>
      </c>
      <c r="AP249">
        <f>IF(B249&gt;$AF$2,0,AP248*(1+Assumptions!$B$52)^(1/12))</f>
        <v>1.218168167835834</v>
      </c>
      <c r="AQ249" s="29">
        <f>IF(B249&gt;$AF$2,0,O248*Assumptions!$B$48/12*AP248+AR249*Assumptions!$B$50/12)</f>
        <v>9.5089982949562142</v>
      </c>
      <c r="AR249" s="31">
        <f t="shared" si="135"/>
        <v>8904.6407560654679</v>
      </c>
      <c r="AS249">
        <f t="shared" si="118"/>
        <v>8974.9078252334548</v>
      </c>
      <c r="AT249">
        <f t="shared" si="136"/>
        <v>9.4698059257538638</v>
      </c>
      <c r="AU249" s="19">
        <f t="shared" si="137"/>
        <v>8900.7774797043876</v>
      </c>
      <c r="AV249" s="19">
        <f t="shared" si="138"/>
        <v>8978.8488299346045</v>
      </c>
      <c r="AW249">
        <f t="shared" si="139"/>
        <v>-82.561845724082843</v>
      </c>
      <c r="AX249">
        <f>IF(B249&gt;$AF$2,0,HLOOKUP(YEAR(A249),Assumptions!$A$34:$AL$37,2,TRUE)/100)</f>
        <v>2.3744999999999999E-2</v>
      </c>
      <c r="AY249" s="32">
        <f>1/(1+HLOOKUP(YEAR(A249),Assumptions!$A$27:$AL$29,3,TRUE))^(1/12)</f>
        <v>0.99812871135708459</v>
      </c>
      <c r="AZ249" s="30">
        <f t="shared" si="119"/>
        <v>9090.5557736098617</v>
      </c>
      <c r="BA249">
        <f>IF(B249&gt;$AF$2,0,IF($E$2=0,(T249*Z249+(1-T249)*AA249)*$J$2*Assumptions!$B$20,0))</f>
        <v>0</v>
      </c>
    </row>
    <row r="250" spans="1:53" x14ac:dyDescent="0.25">
      <c r="A250" s="17">
        <f t="shared" si="120"/>
        <v>50374</v>
      </c>
      <c r="B250">
        <f t="shared" si="112"/>
        <v>469</v>
      </c>
      <c r="C250">
        <f t="shared" si="113"/>
        <v>39</v>
      </c>
      <c r="D250">
        <f t="shared" si="141"/>
        <v>1</v>
      </c>
      <c r="E250">
        <f t="shared" si="114"/>
        <v>62</v>
      </c>
      <c r="F250">
        <f>IF(C250&gt;=$H$2,0,VLOOKUP($E250,'Mortality Table'!$A$3:$C$128,2+AB$2,FALSE))</f>
        <v>4.2285000000000005E-3</v>
      </c>
      <c r="G250">
        <f>F250*Assumptions!$B$1</f>
        <v>4.5773512500000002E-3</v>
      </c>
      <c r="H250">
        <f t="shared" si="121"/>
        <v>3.8224854113932949E-4</v>
      </c>
      <c r="I250">
        <f t="shared" si="142"/>
        <v>1.7950013076193809E-4</v>
      </c>
      <c r="J250">
        <f>HLOOKUP(C250,Assumptions!$A$6:$J$7,2,TRUE)</f>
        <v>3.5200000000000002E-2</v>
      </c>
      <c r="K250" s="18">
        <f t="shared" si="115"/>
        <v>1</v>
      </c>
      <c r="L250" s="18">
        <f t="shared" si="122"/>
        <v>8.3333333333333329E-2</v>
      </c>
      <c r="M250" s="18">
        <f t="shared" si="143"/>
        <v>2.9817501439168836E-3</v>
      </c>
      <c r="N250">
        <f t="shared" si="144"/>
        <v>1.402022977901738E-3</v>
      </c>
      <c r="O250" s="20">
        <f t="shared" si="145"/>
        <v>0.46870972265688632</v>
      </c>
      <c r="P250">
        <f>IF(B250&gt;$AF$2,0,O249*($E$2+IF(E250&lt;=Assumptions!$B$9,$D$2,0))/$I$2*K250)</f>
        <v>15.064996239356452</v>
      </c>
      <c r="Q250">
        <f t="shared" si="123"/>
        <v>26.1</v>
      </c>
      <c r="R250">
        <f>IF(B250&gt;$AF$2,0,IF($Y$2=1,(SUMIF('Mortality Tarif Male'!A:A,E251,'Mortality Tarif Male'!G:G)-SUMIF('Mortality Tarif Male'!A:A,$C$2+$H$2,'Mortality Tarif Male'!G:G)+SUMIF('Mortality Tarif Male'!A:A,$C$2+$H$2,'Mortality Tarif Male'!D:D))/SUMIF('Mortality Tarif Male'!A:A,E251,'Mortality Tarif Male'!D:D),(SUMIF('Mortality Tarif Female'!A:A,E251,'Mortality Tarif Female'!G:G)-SUMIF('Mortality Tarif Female'!A:A,$C$2+$H$2,'Mortality Tarif Female'!G:G)+SUMIF('Mortality Tarif Female'!A:A,$C$2+$H$2,'Mortality Tarif Female'!D:D))/SUMIF('Mortality Tarif Female'!A:A,E251,'Mortality Tarif Female'!D:D)))</f>
        <v>0.96626970111295607</v>
      </c>
      <c r="S250">
        <f>IF(B250&gt;=$AF$2,0,IF($Y$2=1,(SUMIF('Mortality Tarif Male'!A:A,E251+1,'Mortality Tarif Male'!G:G)-SUMIF('Mortality Tarif Male'!A:A,$C$2+$H$2,'Mortality Tarif Male'!G:G)+SUMIF('Mortality Tarif Male'!A:A,$C$2+$H$2,'Mortality Tarif Male'!D:D))/SUMIF('Mortality Tarif Male'!A:A,E251+1,'Mortality Tarif Male'!D:D),(SUMIF('Mortality Tarif Female'!A:A,E251+1,'Mortality Tarif Female'!G:G)-SUMIF('Mortality Tarif Female'!A:A,$C$2+$H$2,'Mortality Tarif Female'!G:G)+SUMIF('Mortality Tarif Female'!A:A,$C$2+$H$2,'Mortality Tarif Female'!D:D))/SUMIF('Mortality Tarif Female'!A:A,E251+1,'Mortality Tarif Female'!D:D)))</f>
        <v>1</v>
      </c>
      <c r="T250">
        <f t="shared" si="124"/>
        <v>0.9166666666666643</v>
      </c>
      <c r="U250">
        <f t="shared" si="125"/>
        <v>0.96908055935354309</v>
      </c>
      <c r="V250">
        <f t="shared" si="126"/>
        <v>19381.611187070863</v>
      </c>
      <c r="W250">
        <f t="shared" si="116"/>
        <v>25.293002599127476</v>
      </c>
      <c r="X250">
        <f t="shared" si="117"/>
        <v>0</v>
      </c>
      <c r="Y250">
        <f>IF(B250&gt;$AF$2,0,IF(X251=0,0,(1-X251)*($E$2+IF(E250&lt;=Assumptions!$B$9,$D$2,0))/$I$2*1/(1+$AG$2)*1/(1+Assumptions!$B$11)))</f>
        <v>0</v>
      </c>
      <c r="Z250">
        <f>IF(B250&gt;$AF$2,0,IF($Y$2=1,(SUMIF('Mortality Tarif Male'!A:A,E251,'Mortality Tarif Male'!E:E)-SUMIF('Mortality Tarif Male'!A:A,$C$2+$H$2,'Mortality Tarif Male'!E:E))/SUMIF('Mortality Tarif Male'!A:A,E251,'Mortality Tarif Male'!D:D),(SUMIF('Mortality Tarif Female'!A:A,E251,'Mortality Tarif Female'!E:E)-SUMIF('Mortality Tarif Female'!A:A,$C$2+$H$2,'Mortality Tarif Female'!E:E))/SUMIF('Mortality Tarif Female'!A:A,E251,'Mortality Tarif Female'!D:D)))</f>
        <v>1.0000000000000007</v>
      </c>
      <c r="AA250">
        <f>IF(B250&gt;=$AF$2,0,IF($Y$2=1,(SUMIF('Mortality Tarif Male'!A:A,E251+1,'Mortality Tarif Male'!E:E)-SUMIF('Mortality Tarif Male'!A:A,$C$2+$H$2,'Mortality Tarif Male'!E:E))/SUMIF('Mortality Tarif Male'!A:A,E251+1,'Mortality Tarif Male'!D:D),(SUMIF('Mortality Tarif Female'!A:A,E251+1,'Mortality Tarif Female'!E:E)-SUMIF('Mortality Tarif Female'!A:A,$C$2+$H$2,'Mortality Tarif Female'!E:E))/SUMIF('Mortality Tarif Female'!A:A,E251+1,'Mortality Tarif Female'!D:D)))</f>
        <v>0</v>
      </c>
      <c r="AB250">
        <f t="shared" si="111"/>
        <v>220.75603174603131</v>
      </c>
      <c r="AC250">
        <f>IF(B250&gt;=$AF$2,0,MIN(1/3*(V250+W250+Y250-AB250),(V250-AB250),(T250*Z250+(1-T250)*AA250)*$AH$2*Assumptions!$B$22))</f>
        <v>23.893815873015829</v>
      </c>
      <c r="AD250">
        <f t="shared" si="127"/>
        <v>19162.254342050943</v>
      </c>
      <c r="AE250">
        <f t="shared" si="128"/>
        <v>19186.148157923959</v>
      </c>
      <c r="AF250">
        <f t="shared" si="129"/>
        <v>19162.254342050943</v>
      </c>
      <c r="AG250" s="26">
        <f t="shared" si="140"/>
        <v>0</v>
      </c>
      <c r="AH250" s="27">
        <f>IF(B250&gt;$AF$2,0,HLOOKUP(YEAR(A250),Assumptions!$A$34:$AL$37,4,TRUE)/100)</f>
        <v>1.7745E-2</v>
      </c>
      <c r="AI250">
        <f t="shared" si="130"/>
        <v>0</v>
      </c>
      <c r="AJ250">
        <f t="shared" si="131"/>
        <v>3.594687568651648</v>
      </c>
      <c r="AK250">
        <f t="shared" si="132"/>
        <v>26.865920895952772</v>
      </c>
      <c r="AL250">
        <f>IF(E250&gt;Assumptions!$B$9,0,SUMPRODUCT($P$2:$X$2,Assumptions!$A$43:$I$43)/$I$2*O249*K250)</f>
        <v>0</v>
      </c>
      <c r="AM250">
        <f t="shared" si="133"/>
        <v>0</v>
      </c>
      <c r="AN250">
        <f t="shared" si="134"/>
        <v>30.46060846460442</v>
      </c>
      <c r="AO250">
        <f>IF(E250&gt;Assumptions!$B$9,0,($V$2+$X$2)/$I$2*O249*K250*Assumptions!$B$46)</f>
        <v>0</v>
      </c>
      <c r="AP250">
        <f>IF(B250&gt;$AF$2,0,AP249*(1+Assumptions!$B$52)^(1/12))</f>
        <v>1.2191786847607371</v>
      </c>
      <c r="AQ250" s="29">
        <f>IF(B250&gt;$AF$2,0,O249*Assumptions!$B$48/12*AP249+AR250*Assumptions!$B$50/12)</f>
        <v>9.4897956926030762</v>
      </c>
      <c r="AR250" s="31">
        <f t="shared" si="135"/>
        <v>8901.7841276166528</v>
      </c>
      <c r="AS250">
        <f t="shared" si="118"/>
        <v>8981.5349181434121</v>
      </c>
      <c r="AT250">
        <f t="shared" si="136"/>
        <v>9.4381481072818705</v>
      </c>
      <c r="AU250" s="19">
        <f t="shared" si="137"/>
        <v>8897.9211800561243</v>
      </c>
      <c r="AV250" s="19">
        <f t="shared" si="138"/>
        <v>8984.3459733407362</v>
      </c>
      <c r="AW250">
        <f t="shared" si="139"/>
        <v>-90.936990630832426</v>
      </c>
      <c r="AX250">
        <f>IF(B250&gt;$AF$2,0,HLOOKUP(YEAR(A250),Assumptions!$A$34:$AL$37,2,TRUE)/100)</f>
        <v>2.3744999999999999E-2</v>
      </c>
      <c r="AY250" s="32">
        <f>1/(1+HLOOKUP(YEAR(A250),Assumptions!$A$27:$AL$29,3,TRUE))^(1/12)</f>
        <v>0.99812871135708459</v>
      </c>
      <c r="AZ250" s="30">
        <f t="shared" si="119"/>
        <v>9082.7133117403373</v>
      </c>
      <c r="BA250">
        <f>IF(B250&gt;$AF$2,0,IF($E$2=0,(T250*Z250+(1-T250)*AA250)*$J$2*Assumptions!$B$20,0))</f>
        <v>0</v>
      </c>
    </row>
    <row r="251" spans="1:53" x14ac:dyDescent="0.25">
      <c r="A251" s="17">
        <f t="shared" si="120"/>
        <v>50405</v>
      </c>
      <c r="B251">
        <f t="shared" si="112"/>
        <v>470</v>
      </c>
      <c r="C251">
        <f t="shared" si="113"/>
        <v>39.083333333333336</v>
      </c>
      <c r="D251">
        <f t="shared" si="141"/>
        <v>0</v>
      </c>
      <c r="E251">
        <f t="shared" si="114"/>
        <v>62</v>
      </c>
      <c r="F251">
        <f>IF(C251&gt;=$H$2,0,VLOOKUP($E251,'Mortality Table'!$A$3:$C$128,2+AB$2,FALSE))</f>
        <v>4.2285000000000005E-3</v>
      </c>
      <c r="G251">
        <f>F251*Assumptions!$B$1</f>
        <v>4.5773512500000002E-3</v>
      </c>
      <c r="H251">
        <f t="shared" si="121"/>
        <v>3.8224854113932949E-4</v>
      </c>
      <c r="I251">
        <f t="shared" si="142"/>
        <v>1.7889649714688738E-4</v>
      </c>
      <c r="J251">
        <f>HLOOKUP(C251,Assumptions!$A$6:$J$7,2,TRUE)</f>
        <v>3.5200000000000002E-2</v>
      </c>
      <c r="K251" s="18">
        <f t="shared" si="115"/>
        <v>1</v>
      </c>
      <c r="L251" s="18">
        <f t="shared" si="122"/>
        <v>8.3333333333333329E-2</v>
      </c>
      <c r="M251" s="18">
        <f t="shared" si="143"/>
        <v>2.9817501439168836E-3</v>
      </c>
      <c r="N251">
        <f t="shared" si="144"/>
        <v>1.3973081724308861E-3</v>
      </c>
      <c r="O251" s="20">
        <f t="shared" si="145"/>
        <v>0.46713351798730857</v>
      </c>
      <c r="P251">
        <f>IF(B251&gt;$AF$2,0,O250*($E$2+IF(E251&lt;=Assumptions!$B$9,$D$2,0))/$I$2*K251)</f>
        <v>15.014334782442257</v>
      </c>
      <c r="Q251">
        <f t="shared" si="123"/>
        <v>26.1</v>
      </c>
      <c r="R251">
        <f>IF(B251&gt;$AF$2,0,IF($Y$2=1,(SUMIF('Mortality Tarif Male'!A:A,E252,'Mortality Tarif Male'!G:G)-SUMIF('Mortality Tarif Male'!A:A,$C$2+$H$2,'Mortality Tarif Male'!G:G)+SUMIF('Mortality Tarif Male'!A:A,$C$2+$H$2,'Mortality Tarif Male'!D:D))/SUMIF('Mortality Tarif Male'!A:A,E252,'Mortality Tarif Male'!D:D),(SUMIF('Mortality Tarif Female'!A:A,E252,'Mortality Tarif Female'!G:G)-SUMIF('Mortality Tarif Female'!A:A,$C$2+$H$2,'Mortality Tarif Female'!G:G)+SUMIF('Mortality Tarif Female'!A:A,$C$2+$H$2,'Mortality Tarif Female'!D:D))/SUMIF('Mortality Tarif Female'!A:A,E252,'Mortality Tarif Female'!D:D)))</f>
        <v>0.96626970111295607</v>
      </c>
      <c r="S251">
        <f>IF(B251&gt;=$AF$2,0,IF($Y$2=1,(SUMIF('Mortality Tarif Male'!A:A,E252+1,'Mortality Tarif Male'!G:G)-SUMIF('Mortality Tarif Male'!A:A,$C$2+$H$2,'Mortality Tarif Male'!G:G)+SUMIF('Mortality Tarif Male'!A:A,$C$2+$H$2,'Mortality Tarif Male'!D:D))/SUMIF('Mortality Tarif Male'!A:A,E252+1,'Mortality Tarif Male'!D:D),(SUMIF('Mortality Tarif Female'!A:A,E252+1,'Mortality Tarif Female'!G:G)-SUMIF('Mortality Tarif Female'!A:A,$C$2+$H$2,'Mortality Tarif Female'!G:G)+SUMIF('Mortality Tarif Female'!A:A,$C$2+$H$2,'Mortality Tarif Female'!D:D))/SUMIF('Mortality Tarif Female'!A:A,E252+1,'Mortality Tarif Female'!D:D)))</f>
        <v>1</v>
      </c>
      <c r="T251">
        <f t="shared" si="124"/>
        <v>0.8333333333333357</v>
      </c>
      <c r="U251">
        <f t="shared" si="125"/>
        <v>0.97189141759413</v>
      </c>
      <c r="V251">
        <f t="shared" si="126"/>
        <v>19437.828351882599</v>
      </c>
      <c r="W251">
        <f t="shared" si="116"/>
        <v>25.366365999206796</v>
      </c>
      <c r="X251">
        <f t="shared" si="117"/>
        <v>0</v>
      </c>
      <c r="Y251">
        <f>IF(B251&gt;$AF$2,0,IF(X252=0,0,(1-X252)*($E$2+IF(E251&lt;=Assumptions!$B$9,$D$2,0))/$I$2*1/(1+$AG$2)*1/(1+Assumptions!$B$11)))</f>
        <v>0</v>
      </c>
      <c r="Z251">
        <f>IF(B251&gt;$AF$2,0,IF($Y$2=1,(SUMIF('Mortality Tarif Male'!A:A,E252,'Mortality Tarif Male'!E:E)-SUMIF('Mortality Tarif Male'!A:A,$C$2+$H$2,'Mortality Tarif Male'!E:E))/SUMIF('Mortality Tarif Male'!A:A,E252,'Mortality Tarif Male'!D:D),(SUMIF('Mortality Tarif Female'!A:A,E252,'Mortality Tarif Female'!E:E)-SUMIF('Mortality Tarif Female'!A:A,$C$2+$H$2,'Mortality Tarif Female'!E:E))/SUMIF('Mortality Tarif Female'!A:A,E252,'Mortality Tarif Female'!D:D)))</f>
        <v>1.0000000000000007</v>
      </c>
      <c r="AA251">
        <f>IF(B251&gt;=$AF$2,0,IF($Y$2=1,(SUMIF('Mortality Tarif Male'!A:A,E252+1,'Mortality Tarif Male'!E:E)-SUMIF('Mortality Tarif Male'!A:A,$C$2+$H$2,'Mortality Tarif Male'!E:E))/SUMIF('Mortality Tarif Male'!A:A,E252+1,'Mortality Tarif Male'!D:D),(SUMIF('Mortality Tarif Female'!A:A,E252+1,'Mortality Tarif Female'!E:E)-SUMIF('Mortality Tarif Female'!A:A,$C$2+$H$2,'Mortality Tarif Female'!E:E))/SUMIF('Mortality Tarif Female'!A:A,E252+1,'Mortality Tarif Female'!D:D)))</f>
        <v>0</v>
      </c>
      <c r="AB251">
        <f t="shared" si="111"/>
        <v>200.68730158730227</v>
      </c>
      <c r="AC251">
        <f>IF(B251&gt;=$AF$2,0,MIN(1/3*(V251+W251+Y251-AB251),(V251-AB251),(T251*Z251+(1-T251)*AA251)*$AH$2*Assumptions!$B$22))</f>
        <v>21.72165079365087</v>
      </c>
      <c r="AD251">
        <f t="shared" si="127"/>
        <v>19240.785765500852</v>
      </c>
      <c r="AE251">
        <f t="shared" si="128"/>
        <v>19262.507416294502</v>
      </c>
      <c r="AF251">
        <f t="shared" si="129"/>
        <v>19240.785765500852</v>
      </c>
      <c r="AG251" s="26">
        <f t="shared" si="140"/>
        <v>18820.177430546799</v>
      </c>
      <c r="AH251" s="27">
        <f>IF(B251&gt;$AF$2,0,HLOOKUP(YEAR(A251),Assumptions!$A$34:$AL$37,4,TRUE)/100)</f>
        <v>1.7745E-2</v>
      </c>
      <c r="AI251">
        <f t="shared" si="130"/>
        <v>0</v>
      </c>
      <c r="AJ251">
        <f t="shared" si="131"/>
        <v>3.5825991415132812</v>
      </c>
      <c r="AK251">
        <f t="shared" si="132"/>
        <v>26.885307194126202</v>
      </c>
      <c r="AL251">
        <f>IF(E251&gt;Assumptions!$B$9,0,SUMPRODUCT($P$2:$X$2,Assumptions!$A$43:$I$43)/$I$2*O250*K251)</f>
        <v>0</v>
      </c>
      <c r="AM251">
        <f t="shared" si="133"/>
        <v>0</v>
      </c>
      <c r="AN251">
        <f t="shared" si="134"/>
        <v>30.467906335639483</v>
      </c>
      <c r="AO251">
        <f>IF(E251&gt;Assumptions!$B$9,0,($V$2+$X$2)/$I$2*O250*K251*Assumptions!$B$46)</f>
        <v>0</v>
      </c>
      <c r="AP251">
        <f>IF(B251&gt;$AF$2,0,AP250*(1+Assumptions!$B$52)^(1/12))</f>
        <v>1.2201900399479446</v>
      </c>
      <c r="AQ251" s="29">
        <f>IF(B251&gt;$AF$2,0,O250*Assumptions!$B$48/12*AP250+AR251*Assumptions!$B$50/12)</f>
        <v>9.470754250970133</v>
      </c>
      <c r="AR251" s="31">
        <f t="shared" si="135"/>
        <v>8900.004336459353</v>
      </c>
      <c r="AS251">
        <f t="shared" si="118"/>
        <v>8988.0159434785437</v>
      </c>
      <c r="AT251">
        <f t="shared" si="136"/>
        <v>9.4064089467743024</v>
      </c>
      <c r="AU251" s="19">
        <f t="shared" si="137"/>
        <v>8896.1415080440511</v>
      </c>
      <c r="AV251" s="19">
        <f t="shared" si="138"/>
        <v>8990.941327090186</v>
      </c>
      <c r="AW251">
        <f t="shared" si="139"/>
        <v>0</v>
      </c>
      <c r="AX251">
        <f>IF(B251&gt;$AF$2,0,HLOOKUP(YEAR(A251),Assumptions!$A$34:$AL$37,2,TRUE)/100)</f>
        <v>2.3744999999999999E-2</v>
      </c>
      <c r="AY251" s="32">
        <f>1/(1+HLOOKUP(YEAR(A251),Assumptions!$A$27:$AL$29,3,TRUE))^(1/12)</f>
        <v>0.99812871135708459</v>
      </c>
      <c r="AZ251" s="30">
        <f t="shared" si="119"/>
        <v>9074.8172289610666</v>
      </c>
      <c r="BA251">
        <f>IF(B251&gt;$AF$2,0,IF($E$2=0,(T251*Z251+(1-T251)*AA251)*$J$2*Assumptions!$B$20,0))</f>
        <v>0</v>
      </c>
    </row>
    <row r="252" spans="1:53" x14ac:dyDescent="0.25">
      <c r="A252" s="17">
        <f t="shared" si="120"/>
        <v>50436</v>
      </c>
      <c r="B252">
        <f t="shared" si="112"/>
        <v>471</v>
      </c>
      <c r="C252">
        <f t="shared" si="113"/>
        <v>39.166666666666664</v>
      </c>
      <c r="D252">
        <f t="shared" si="141"/>
        <v>0</v>
      </c>
      <c r="E252">
        <f t="shared" si="114"/>
        <v>62</v>
      </c>
      <c r="F252">
        <f>IF(C252&gt;=$H$2,0,VLOOKUP($E252,'Mortality Table'!$A$3:$C$128,2+AB$2,FALSE))</f>
        <v>4.2285000000000005E-3</v>
      </c>
      <c r="G252">
        <f>F252*Assumptions!$B$1</f>
        <v>4.5773512500000002E-3</v>
      </c>
      <c r="H252">
        <f t="shared" si="121"/>
        <v>3.8224854113932949E-4</v>
      </c>
      <c r="I252">
        <f t="shared" si="142"/>
        <v>1.782948934665207E-4</v>
      </c>
      <c r="J252">
        <f>HLOOKUP(C252,Assumptions!$A$6:$J$7,2,TRUE)</f>
        <v>3.5200000000000002E-2</v>
      </c>
      <c r="K252" s="18">
        <f t="shared" si="115"/>
        <v>1</v>
      </c>
      <c r="L252" s="18">
        <f t="shared" si="122"/>
        <v>8.3333333333333329E-2</v>
      </c>
      <c r="M252" s="18">
        <f t="shared" si="143"/>
        <v>2.9817501439168836E-3</v>
      </c>
      <c r="N252">
        <f t="shared" si="144"/>
        <v>1.3926092221856468E-3</v>
      </c>
      <c r="O252" s="20">
        <f t="shared" si="145"/>
        <v>0.46556261387165637</v>
      </c>
      <c r="P252">
        <f>IF(B252&gt;$AF$2,0,O251*($E$2+IF(E252&lt;=Assumptions!$B$9,$D$2,0))/$I$2*K252)</f>
        <v>14.963843692860117</v>
      </c>
      <c r="Q252">
        <f t="shared" si="123"/>
        <v>26.1</v>
      </c>
      <c r="R252">
        <f>IF(B252&gt;$AF$2,0,IF($Y$2=1,(SUMIF('Mortality Tarif Male'!A:A,E253,'Mortality Tarif Male'!G:G)-SUMIF('Mortality Tarif Male'!A:A,$C$2+$H$2,'Mortality Tarif Male'!G:G)+SUMIF('Mortality Tarif Male'!A:A,$C$2+$H$2,'Mortality Tarif Male'!D:D))/SUMIF('Mortality Tarif Male'!A:A,E253,'Mortality Tarif Male'!D:D),(SUMIF('Mortality Tarif Female'!A:A,E253,'Mortality Tarif Female'!G:G)-SUMIF('Mortality Tarif Female'!A:A,$C$2+$H$2,'Mortality Tarif Female'!G:G)+SUMIF('Mortality Tarif Female'!A:A,$C$2+$H$2,'Mortality Tarif Female'!D:D))/SUMIF('Mortality Tarif Female'!A:A,E253,'Mortality Tarif Female'!D:D)))</f>
        <v>0.96626970111295607</v>
      </c>
      <c r="S252">
        <f>IF(B252&gt;=$AF$2,0,IF($Y$2=1,(SUMIF('Mortality Tarif Male'!A:A,E253+1,'Mortality Tarif Male'!G:G)-SUMIF('Mortality Tarif Male'!A:A,$C$2+$H$2,'Mortality Tarif Male'!G:G)+SUMIF('Mortality Tarif Male'!A:A,$C$2+$H$2,'Mortality Tarif Male'!D:D))/SUMIF('Mortality Tarif Male'!A:A,E253+1,'Mortality Tarif Male'!D:D),(SUMIF('Mortality Tarif Female'!A:A,E253+1,'Mortality Tarif Female'!G:G)-SUMIF('Mortality Tarif Female'!A:A,$C$2+$H$2,'Mortality Tarif Female'!G:G)+SUMIF('Mortality Tarif Female'!A:A,$C$2+$H$2,'Mortality Tarif Female'!D:D))/SUMIF('Mortality Tarif Female'!A:A,E253+1,'Mortality Tarif Female'!D:D)))</f>
        <v>1</v>
      </c>
      <c r="T252">
        <f t="shared" si="124"/>
        <v>0.75</v>
      </c>
      <c r="U252">
        <f t="shared" si="125"/>
        <v>0.97470227583471702</v>
      </c>
      <c r="V252">
        <f t="shared" si="126"/>
        <v>19494.045516694339</v>
      </c>
      <c r="W252">
        <f t="shared" si="116"/>
        <v>25.439729399286115</v>
      </c>
      <c r="X252">
        <f t="shared" si="117"/>
        <v>0</v>
      </c>
      <c r="Y252">
        <f>IF(B252&gt;$AF$2,0,IF(X253=0,0,(1-X253)*($E$2+IF(E252&lt;=Assumptions!$B$9,$D$2,0))/$I$2*1/(1+$AG$2)*1/(1+Assumptions!$B$11)))</f>
        <v>0</v>
      </c>
      <c r="Z252">
        <f>IF(B252&gt;$AF$2,0,IF($Y$2=1,(SUMIF('Mortality Tarif Male'!A:A,E253,'Mortality Tarif Male'!E:E)-SUMIF('Mortality Tarif Male'!A:A,$C$2+$H$2,'Mortality Tarif Male'!E:E))/SUMIF('Mortality Tarif Male'!A:A,E253,'Mortality Tarif Male'!D:D),(SUMIF('Mortality Tarif Female'!A:A,E253,'Mortality Tarif Female'!E:E)-SUMIF('Mortality Tarif Female'!A:A,$C$2+$H$2,'Mortality Tarif Female'!E:E))/SUMIF('Mortality Tarif Female'!A:A,E253,'Mortality Tarif Female'!D:D)))</f>
        <v>1.0000000000000007</v>
      </c>
      <c r="AA252">
        <f>IF(B252&gt;=$AF$2,0,IF($Y$2=1,(SUMIF('Mortality Tarif Male'!A:A,E253+1,'Mortality Tarif Male'!E:E)-SUMIF('Mortality Tarif Male'!A:A,$C$2+$H$2,'Mortality Tarif Male'!E:E))/SUMIF('Mortality Tarif Male'!A:A,E253+1,'Mortality Tarif Male'!D:D),(SUMIF('Mortality Tarif Female'!A:A,E253+1,'Mortality Tarif Female'!E:E)-SUMIF('Mortality Tarif Female'!A:A,$C$2+$H$2,'Mortality Tarif Female'!E:E))/SUMIF('Mortality Tarif Female'!A:A,E253+1,'Mortality Tarif Female'!D:D)))</f>
        <v>0</v>
      </c>
      <c r="AB252">
        <f t="shared" si="111"/>
        <v>180.61857142857153</v>
      </c>
      <c r="AC252">
        <f>IF(B252&gt;=$AF$2,0,MIN(1/3*(V252+W252+Y252-AB252),(V252-AB252),(T252*Z252+(1-T252)*AA252)*$AH$2*Assumptions!$B$22))</f>
        <v>19.549485714285726</v>
      </c>
      <c r="AD252">
        <f t="shared" si="127"/>
        <v>19319.317188950772</v>
      </c>
      <c r="AE252">
        <f t="shared" si="128"/>
        <v>19338.866674665056</v>
      </c>
      <c r="AF252">
        <f t="shared" si="129"/>
        <v>19319.317188950772</v>
      </c>
      <c r="AG252" s="26">
        <f t="shared" si="140"/>
        <v>0</v>
      </c>
      <c r="AH252" s="27">
        <f>IF(B252&gt;$AF$2,0,HLOOKUP(YEAR(A252),Assumptions!$A$34:$AL$37,4,TRUE)/100)</f>
        <v>1.8832000000000002E-2</v>
      </c>
      <c r="AI252">
        <f t="shared" si="130"/>
        <v>0</v>
      </c>
      <c r="AJ252">
        <f t="shared" si="131"/>
        <v>3.57055136604989</v>
      </c>
      <c r="AK252">
        <f t="shared" si="132"/>
        <v>26.90425928366253</v>
      </c>
      <c r="AL252">
        <f>IF(E252&gt;Assumptions!$B$9,0,SUMPRODUCT($P$2:$X$2,Assumptions!$A$43:$I$43)/$I$2*O251*K252)</f>
        <v>0</v>
      </c>
      <c r="AM252">
        <f t="shared" si="133"/>
        <v>0</v>
      </c>
      <c r="AN252">
        <f t="shared" si="134"/>
        <v>30.47481064971242</v>
      </c>
      <c r="AO252">
        <f>IF(E252&gt;Assumptions!$B$9,0,($V$2+$X$2)/$I$2*O251*K252*Assumptions!$B$46)</f>
        <v>0</v>
      </c>
      <c r="AP252">
        <f>IF(B252&gt;$AF$2,0,AP251*(1+Assumptions!$B$52)^(1/12))</f>
        <v>1.221202234092827</v>
      </c>
      <c r="AQ252" s="29">
        <f>IF(B252&gt;$AF$2,0,O251*Assumptions!$B$48/12*AP251+AR252*Assumptions!$B$50/12)</f>
        <v>9.4757251685987001</v>
      </c>
      <c r="AR252" s="31">
        <f t="shared" si="135"/>
        <v>8997.3907199991299</v>
      </c>
      <c r="AS252">
        <f t="shared" si="118"/>
        <v>8994.3518087035427</v>
      </c>
      <c r="AT252">
        <f t="shared" si="136"/>
        <v>9.3747765205856162</v>
      </c>
      <c r="AU252" s="19">
        <f t="shared" si="137"/>
        <v>8993.5040620028049</v>
      </c>
      <c r="AV252" s="19">
        <f t="shared" si="138"/>
        <v>8997.3907199991299</v>
      </c>
      <c r="AW252">
        <f t="shared" si="139"/>
        <v>-7.4285520116433297</v>
      </c>
      <c r="AX252">
        <f>IF(B252&gt;$AF$2,0,HLOOKUP(YEAR(A252),Assumptions!$A$34:$AL$37,2,TRUE)/100)</f>
        <v>2.4832E-2</v>
      </c>
      <c r="AY252" s="32">
        <f>1/(1+HLOOKUP(YEAR(A252),Assumptions!$A$27:$AL$29,3,TRUE))^(1/12)</f>
        <v>0.99804628830341602</v>
      </c>
      <c r="AZ252" s="30">
        <f t="shared" si="119"/>
        <v>9067.5948196873887</v>
      </c>
      <c r="BA252">
        <f>IF(B252&gt;$AF$2,0,IF($E$2=0,(T252*Z252+(1-T252)*AA252)*$J$2*Assumptions!$B$20,0))</f>
        <v>0</v>
      </c>
    </row>
    <row r="253" spans="1:53" x14ac:dyDescent="0.25">
      <c r="A253" s="17">
        <f t="shared" si="120"/>
        <v>50464</v>
      </c>
      <c r="B253">
        <f t="shared" si="112"/>
        <v>472</v>
      </c>
      <c r="C253">
        <f t="shared" si="113"/>
        <v>39.25</v>
      </c>
      <c r="D253">
        <f t="shared" si="141"/>
        <v>0</v>
      </c>
      <c r="E253">
        <f t="shared" si="114"/>
        <v>62</v>
      </c>
      <c r="F253">
        <f>IF(C253&gt;=$H$2,0,VLOOKUP($E253,'Mortality Table'!$A$3:$C$128,2+AB$2,FALSE))</f>
        <v>4.2285000000000005E-3</v>
      </c>
      <c r="G253">
        <f>F253*Assumptions!$B$1</f>
        <v>4.5773512500000002E-3</v>
      </c>
      <c r="H253">
        <f t="shared" si="121"/>
        <v>3.8224854113932949E-4</v>
      </c>
      <c r="I253">
        <f t="shared" si="142"/>
        <v>1.7769531289445407E-4</v>
      </c>
      <c r="J253">
        <f>HLOOKUP(C253,Assumptions!$A$6:$J$7,2,TRUE)</f>
        <v>3.5200000000000002E-2</v>
      </c>
      <c r="K253" s="18">
        <f t="shared" si="115"/>
        <v>1</v>
      </c>
      <c r="L253" s="18">
        <f t="shared" si="122"/>
        <v>8.3333333333333329E-2</v>
      </c>
      <c r="M253" s="18">
        <f t="shared" si="143"/>
        <v>2.9817501439168836E-3</v>
      </c>
      <c r="N253">
        <f t="shared" si="144"/>
        <v>1.3879260738471324E-3</v>
      </c>
      <c r="O253" s="20">
        <f t="shared" si="145"/>
        <v>0.46399699248491477</v>
      </c>
      <c r="P253">
        <f>IF(B253&gt;$AF$2,0,O252*($E$2+IF(E253&lt;=Assumptions!$B$9,$D$2,0))/$I$2*K253)</f>
        <v>14.913522397688725</v>
      </c>
      <c r="Q253">
        <f t="shared" si="123"/>
        <v>26.1</v>
      </c>
      <c r="R253">
        <f>IF(B253&gt;$AF$2,0,IF($Y$2=1,(SUMIF('Mortality Tarif Male'!A:A,E254,'Mortality Tarif Male'!G:G)-SUMIF('Mortality Tarif Male'!A:A,$C$2+$H$2,'Mortality Tarif Male'!G:G)+SUMIF('Mortality Tarif Male'!A:A,$C$2+$H$2,'Mortality Tarif Male'!D:D))/SUMIF('Mortality Tarif Male'!A:A,E254,'Mortality Tarif Male'!D:D),(SUMIF('Mortality Tarif Female'!A:A,E254,'Mortality Tarif Female'!G:G)-SUMIF('Mortality Tarif Female'!A:A,$C$2+$H$2,'Mortality Tarif Female'!G:G)+SUMIF('Mortality Tarif Female'!A:A,$C$2+$H$2,'Mortality Tarif Female'!D:D))/SUMIF('Mortality Tarif Female'!A:A,E254,'Mortality Tarif Female'!D:D)))</f>
        <v>0.96626970111295607</v>
      </c>
      <c r="S253">
        <f>IF(B253&gt;=$AF$2,0,IF($Y$2=1,(SUMIF('Mortality Tarif Male'!A:A,E254+1,'Mortality Tarif Male'!G:G)-SUMIF('Mortality Tarif Male'!A:A,$C$2+$H$2,'Mortality Tarif Male'!G:G)+SUMIF('Mortality Tarif Male'!A:A,$C$2+$H$2,'Mortality Tarif Male'!D:D))/SUMIF('Mortality Tarif Male'!A:A,E254+1,'Mortality Tarif Male'!D:D),(SUMIF('Mortality Tarif Female'!A:A,E254+1,'Mortality Tarif Female'!G:G)-SUMIF('Mortality Tarif Female'!A:A,$C$2+$H$2,'Mortality Tarif Female'!G:G)+SUMIF('Mortality Tarif Female'!A:A,$C$2+$H$2,'Mortality Tarif Female'!D:D))/SUMIF('Mortality Tarif Female'!A:A,E254+1,'Mortality Tarif Female'!D:D)))</f>
        <v>1</v>
      </c>
      <c r="T253">
        <f t="shared" si="124"/>
        <v>0.6666666666666643</v>
      </c>
      <c r="U253">
        <f t="shared" si="125"/>
        <v>0.97751313407530416</v>
      </c>
      <c r="V253">
        <f t="shared" si="126"/>
        <v>19550.262681506083</v>
      </c>
      <c r="W253">
        <f t="shared" si="116"/>
        <v>25.513092799365438</v>
      </c>
      <c r="X253">
        <f t="shared" si="117"/>
        <v>0</v>
      </c>
      <c r="Y253">
        <f>IF(B253&gt;$AF$2,0,IF(X254=0,0,(1-X254)*($E$2+IF(E253&lt;=Assumptions!$B$9,$D$2,0))/$I$2*1/(1+$AG$2)*1/(1+Assumptions!$B$11)))</f>
        <v>0</v>
      </c>
      <c r="Z253">
        <f>IF(B253&gt;$AF$2,0,IF($Y$2=1,(SUMIF('Mortality Tarif Male'!A:A,E254,'Mortality Tarif Male'!E:E)-SUMIF('Mortality Tarif Male'!A:A,$C$2+$H$2,'Mortality Tarif Male'!E:E))/SUMIF('Mortality Tarif Male'!A:A,E254,'Mortality Tarif Male'!D:D),(SUMIF('Mortality Tarif Female'!A:A,E254,'Mortality Tarif Female'!E:E)-SUMIF('Mortality Tarif Female'!A:A,$C$2+$H$2,'Mortality Tarif Female'!E:E))/SUMIF('Mortality Tarif Female'!A:A,E254,'Mortality Tarif Female'!D:D)))</f>
        <v>1.0000000000000007</v>
      </c>
      <c r="AA253">
        <f>IF(B253&gt;=$AF$2,0,IF($Y$2=1,(SUMIF('Mortality Tarif Male'!A:A,E254+1,'Mortality Tarif Male'!E:E)-SUMIF('Mortality Tarif Male'!A:A,$C$2+$H$2,'Mortality Tarif Male'!E:E))/SUMIF('Mortality Tarif Male'!A:A,E254+1,'Mortality Tarif Male'!D:D),(SUMIF('Mortality Tarif Female'!A:A,E254+1,'Mortality Tarif Female'!E:E)-SUMIF('Mortality Tarif Female'!A:A,$C$2+$H$2,'Mortality Tarif Female'!E:E))/SUMIF('Mortality Tarif Female'!A:A,E254+1,'Mortality Tarif Female'!D:D)))</f>
        <v>0</v>
      </c>
      <c r="AB253">
        <f t="shared" si="111"/>
        <v>160.54984126984078</v>
      </c>
      <c r="AC253">
        <f>IF(B253&gt;=$AF$2,0,MIN(1/3*(V253+W253+Y253-AB253),(V253-AB253),(T253*Z253+(1-T253)*AA253)*$AH$2*Assumptions!$B$22))</f>
        <v>17.377320634920583</v>
      </c>
      <c r="AD253">
        <f t="shared" si="127"/>
        <v>19397.848612400689</v>
      </c>
      <c r="AE253">
        <f t="shared" si="128"/>
        <v>19415.22593303561</v>
      </c>
      <c r="AF253">
        <f t="shared" si="129"/>
        <v>19397.848612400689</v>
      </c>
      <c r="AG253" s="26">
        <f t="shared" si="140"/>
        <v>0</v>
      </c>
      <c r="AH253" s="27">
        <f>IF(B253&gt;$AF$2,0,HLOOKUP(YEAR(A253),Assumptions!$A$34:$AL$37,4,TRUE)/100)</f>
        <v>1.8832000000000002E-2</v>
      </c>
      <c r="AI253">
        <f t="shared" si="130"/>
        <v>0</v>
      </c>
      <c r="AJ253">
        <f t="shared" si="131"/>
        <v>3.5585441055556264</v>
      </c>
      <c r="AK253">
        <f t="shared" si="132"/>
        <v>26.922779865690334</v>
      </c>
      <c r="AL253">
        <f>IF(E253&gt;Assumptions!$B$9,0,SUMPRODUCT($P$2:$X$2,Assumptions!$A$43:$I$43)/$I$2*O252*K253)</f>
        <v>0</v>
      </c>
      <c r="AM253">
        <f t="shared" si="133"/>
        <v>0</v>
      </c>
      <c r="AN253">
        <f t="shared" si="134"/>
        <v>30.48132397124596</v>
      </c>
      <c r="AO253">
        <f>IF(E253&gt;Assumptions!$B$9,0,($V$2+$X$2)/$I$2*O252*K253*Assumptions!$B$46)</f>
        <v>0</v>
      </c>
      <c r="AP253">
        <f>IF(B253&gt;$AF$2,0,AP252*(1+Assumptions!$B$52)^(1/12))</f>
        <v>1.2222152678913316</v>
      </c>
      <c r="AQ253" s="29">
        <f>IF(B253&gt;$AF$2,0,O252*Assumptions!$B$48/12*AP252+AR253*Assumptions!$B$50/12)</f>
        <v>9.4569364394404563</v>
      </c>
      <c r="AR253" s="31">
        <f t="shared" si="135"/>
        <v>8996.266507161683</v>
      </c>
      <c r="AS253">
        <f t="shared" si="118"/>
        <v>9000.5434168315969</v>
      </c>
      <c r="AT253">
        <f t="shared" si="136"/>
        <v>9.3432504697833529</v>
      </c>
      <c r="AU253" s="19">
        <f t="shared" si="137"/>
        <v>8992.3798426501471</v>
      </c>
      <c r="AV253" s="19">
        <f t="shared" si="138"/>
        <v>9003.6950591733257</v>
      </c>
      <c r="AW253">
        <f t="shared" si="139"/>
        <v>-14.877503462368001</v>
      </c>
      <c r="AX253">
        <f>IF(B253&gt;$AF$2,0,HLOOKUP(YEAR(A253),Assumptions!$A$34:$AL$37,2,TRUE)/100)</f>
        <v>2.4832E-2</v>
      </c>
      <c r="AY253" s="32">
        <f>1/(1+HLOOKUP(YEAR(A253),Assumptions!$A$27:$AL$29,3,TRUE))^(1/12)</f>
        <v>0.99804628830341602</v>
      </c>
      <c r="AZ253" s="30">
        <f t="shared" si="119"/>
        <v>9060.3202263988624</v>
      </c>
      <c r="BA253">
        <f>IF(B253&gt;$AF$2,0,IF($E$2=0,(T253*Z253+(1-T253)*AA253)*$J$2*Assumptions!$B$20,0))</f>
        <v>0</v>
      </c>
    </row>
    <row r="254" spans="1:53" x14ac:dyDescent="0.25">
      <c r="A254" s="17">
        <f t="shared" si="120"/>
        <v>50495</v>
      </c>
      <c r="B254">
        <f t="shared" si="112"/>
        <v>473</v>
      </c>
      <c r="C254">
        <f t="shared" si="113"/>
        <v>39.333333333333336</v>
      </c>
      <c r="D254">
        <f t="shared" si="141"/>
        <v>0</v>
      </c>
      <c r="E254">
        <f t="shared" si="114"/>
        <v>62</v>
      </c>
      <c r="F254">
        <f>IF(C254&gt;=$H$2,0,VLOOKUP($E254,'Mortality Table'!$A$3:$C$128,2+AB$2,FALSE))</f>
        <v>4.2285000000000005E-3</v>
      </c>
      <c r="G254">
        <f>F254*Assumptions!$B$1</f>
        <v>4.5773512500000002E-3</v>
      </c>
      <c r="H254">
        <f t="shared" si="121"/>
        <v>3.8224854113932949E-4</v>
      </c>
      <c r="I254">
        <f t="shared" si="142"/>
        <v>1.7709774862725974E-4</v>
      </c>
      <c r="J254">
        <f>HLOOKUP(C254,Assumptions!$A$6:$J$7,2,TRUE)</f>
        <v>3.5200000000000002E-2</v>
      </c>
      <c r="K254" s="18">
        <f t="shared" si="115"/>
        <v>1</v>
      </c>
      <c r="L254" s="18">
        <f t="shared" si="122"/>
        <v>8.3333333333333329E-2</v>
      </c>
      <c r="M254" s="18">
        <f t="shared" si="143"/>
        <v>2.9817501439168836E-3</v>
      </c>
      <c r="N254">
        <f t="shared" si="144"/>
        <v>1.3832586742757605E-3</v>
      </c>
      <c r="O254" s="20">
        <f t="shared" si="145"/>
        <v>0.46243663606201174</v>
      </c>
      <c r="P254">
        <f>IF(B254&gt;$AF$2,0,O253*($E$2+IF(E254&lt;=Assumptions!$B$9,$D$2,0))/$I$2*K254)</f>
        <v>14.863370325933436</v>
      </c>
      <c r="Q254">
        <f t="shared" si="123"/>
        <v>26.1</v>
      </c>
      <c r="R254">
        <f>IF(B254&gt;$AF$2,0,IF($Y$2=1,(SUMIF('Mortality Tarif Male'!A:A,E255,'Mortality Tarif Male'!G:G)-SUMIF('Mortality Tarif Male'!A:A,$C$2+$H$2,'Mortality Tarif Male'!G:G)+SUMIF('Mortality Tarif Male'!A:A,$C$2+$H$2,'Mortality Tarif Male'!D:D))/SUMIF('Mortality Tarif Male'!A:A,E255,'Mortality Tarif Male'!D:D),(SUMIF('Mortality Tarif Female'!A:A,E255,'Mortality Tarif Female'!G:G)-SUMIF('Mortality Tarif Female'!A:A,$C$2+$H$2,'Mortality Tarif Female'!G:G)+SUMIF('Mortality Tarif Female'!A:A,$C$2+$H$2,'Mortality Tarif Female'!D:D))/SUMIF('Mortality Tarif Female'!A:A,E255,'Mortality Tarif Female'!D:D)))</f>
        <v>0.96626970111295607</v>
      </c>
      <c r="S254">
        <f>IF(B254&gt;=$AF$2,0,IF($Y$2=1,(SUMIF('Mortality Tarif Male'!A:A,E255+1,'Mortality Tarif Male'!G:G)-SUMIF('Mortality Tarif Male'!A:A,$C$2+$H$2,'Mortality Tarif Male'!G:G)+SUMIF('Mortality Tarif Male'!A:A,$C$2+$H$2,'Mortality Tarif Male'!D:D))/SUMIF('Mortality Tarif Male'!A:A,E255+1,'Mortality Tarif Male'!D:D),(SUMIF('Mortality Tarif Female'!A:A,E255+1,'Mortality Tarif Female'!G:G)-SUMIF('Mortality Tarif Female'!A:A,$C$2+$H$2,'Mortality Tarif Female'!G:G)+SUMIF('Mortality Tarif Female'!A:A,$C$2+$H$2,'Mortality Tarif Female'!D:D))/SUMIF('Mortality Tarif Female'!A:A,E255+1,'Mortality Tarif Female'!D:D)))</f>
        <v>1</v>
      </c>
      <c r="T254">
        <f t="shared" si="124"/>
        <v>0.5833333333333357</v>
      </c>
      <c r="U254">
        <f t="shared" si="125"/>
        <v>0.98032399231589096</v>
      </c>
      <c r="V254">
        <f t="shared" si="126"/>
        <v>19606.479846317819</v>
      </c>
      <c r="W254">
        <f t="shared" si="116"/>
        <v>25.586456199444754</v>
      </c>
      <c r="X254">
        <f t="shared" si="117"/>
        <v>0</v>
      </c>
      <c r="Y254">
        <f>IF(B254&gt;$AF$2,0,IF(X255=0,0,(1-X255)*($E$2+IF(E254&lt;=Assumptions!$B$9,$D$2,0))/$I$2*1/(1+$AG$2)*1/(1+Assumptions!$B$11)))</f>
        <v>0</v>
      </c>
      <c r="Z254">
        <f>IF(B254&gt;$AF$2,0,IF($Y$2=1,(SUMIF('Mortality Tarif Male'!A:A,E255,'Mortality Tarif Male'!E:E)-SUMIF('Mortality Tarif Male'!A:A,$C$2+$H$2,'Mortality Tarif Male'!E:E))/SUMIF('Mortality Tarif Male'!A:A,E255,'Mortality Tarif Male'!D:D),(SUMIF('Mortality Tarif Female'!A:A,E255,'Mortality Tarif Female'!E:E)-SUMIF('Mortality Tarif Female'!A:A,$C$2+$H$2,'Mortality Tarif Female'!E:E))/SUMIF('Mortality Tarif Female'!A:A,E255,'Mortality Tarif Female'!D:D)))</f>
        <v>1.0000000000000007</v>
      </c>
      <c r="AA254">
        <f>IF(B254&gt;=$AF$2,0,IF($Y$2=1,(SUMIF('Mortality Tarif Male'!A:A,E255+1,'Mortality Tarif Male'!E:E)-SUMIF('Mortality Tarif Male'!A:A,$C$2+$H$2,'Mortality Tarif Male'!E:E))/SUMIF('Mortality Tarif Male'!A:A,E255+1,'Mortality Tarif Male'!D:D),(SUMIF('Mortality Tarif Female'!A:A,E255+1,'Mortality Tarif Female'!E:E)-SUMIF('Mortality Tarif Female'!A:A,$C$2+$H$2,'Mortality Tarif Female'!E:E))/SUMIF('Mortality Tarif Female'!A:A,E255+1,'Mortality Tarif Female'!D:D)))</f>
        <v>0</v>
      </c>
      <c r="AB254">
        <f t="shared" si="111"/>
        <v>140.48111111111177</v>
      </c>
      <c r="AC254">
        <f>IF(B254&gt;=$AF$2,0,MIN(1/3*(V254+W254+Y254-AB254),(V254-AB254),(T254*Z254+(1-T254)*AA254)*$AH$2*Assumptions!$B$22))</f>
        <v>15.205155555555628</v>
      </c>
      <c r="AD254">
        <f t="shared" si="127"/>
        <v>19476.380035850598</v>
      </c>
      <c r="AE254">
        <f t="shared" si="128"/>
        <v>19491.585191406153</v>
      </c>
      <c r="AF254">
        <f t="shared" si="129"/>
        <v>19476.380035850598</v>
      </c>
      <c r="AG254" s="26">
        <f t="shared" si="140"/>
        <v>0</v>
      </c>
      <c r="AH254" s="27">
        <f>IF(B254&gt;$AF$2,0,HLOOKUP(YEAR(A254),Assumptions!$A$34:$AL$37,4,TRUE)/100)</f>
        <v>1.8832000000000002E-2</v>
      </c>
      <c r="AI254">
        <f t="shared" si="130"/>
        <v>0</v>
      </c>
      <c r="AJ254">
        <f t="shared" si="131"/>
        <v>3.5465772237843662</v>
      </c>
      <c r="AK254">
        <f t="shared" si="132"/>
        <v>26.940871628081588</v>
      </c>
      <c r="AL254">
        <f>IF(E254&gt;Assumptions!$B$9,0,SUMPRODUCT($P$2:$X$2,Assumptions!$A$43:$I$43)/$I$2*O253*K254)</f>
        <v>0</v>
      </c>
      <c r="AM254">
        <f t="shared" si="133"/>
        <v>0</v>
      </c>
      <c r="AN254">
        <f t="shared" si="134"/>
        <v>30.487448851865956</v>
      </c>
      <c r="AO254">
        <f>IF(E254&gt;Assumptions!$B$9,0,($V$2+$X$2)/$I$2*O253*K254*Assumptions!$B$46)</f>
        <v>0</v>
      </c>
      <c r="AP254">
        <f>IF(B254&gt;$AF$2,0,AP253*(1+Assumptions!$B$52)^(1/12))</f>
        <v>1.2232291420399832</v>
      </c>
      <c r="AQ254" s="29">
        <f>IF(B254&gt;$AF$2,0,O253*Assumptions!$B$48/12*AP253+AR254*Assumptions!$B$50/12)</f>
        <v>9.4381549051761748</v>
      </c>
      <c r="AR254" s="31">
        <f t="shared" si="135"/>
        <v>8994.97774380587</v>
      </c>
      <c r="AS254">
        <f t="shared" si="118"/>
        <v>9006.5916664440738</v>
      </c>
      <c r="AT254">
        <f t="shared" si="136"/>
        <v>9.311830436642099</v>
      </c>
      <c r="AU254" s="19">
        <f t="shared" si="137"/>
        <v>8991.0911287899853</v>
      </c>
      <c r="AV254" s="19">
        <f t="shared" si="138"/>
        <v>9009.8552472682386</v>
      </c>
      <c r="AW254">
        <f t="shared" si="139"/>
        <v>-22.346777089226553</v>
      </c>
      <c r="AX254">
        <f>IF(B254&gt;$AF$2,0,HLOOKUP(YEAR(A254),Assumptions!$A$34:$AL$37,2,TRUE)/100)</f>
        <v>2.4832E-2</v>
      </c>
      <c r="AY254" s="32">
        <f>1/(1+HLOOKUP(YEAR(A254),Assumptions!$A$27:$AL$29,3,TRUE))^(1/12)</f>
        <v>0.99804628830341602</v>
      </c>
      <c r="AZ254" s="30">
        <f t="shared" si="119"/>
        <v>9052.993897412829</v>
      </c>
      <c r="BA254">
        <f>IF(B254&gt;$AF$2,0,IF($E$2=0,(T254*Z254+(1-T254)*AA254)*$J$2*Assumptions!$B$20,0))</f>
        <v>0</v>
      </c>
    </row>
    <row r="255" spans="1:53" x14ac:dyDescent="0.25">
      <c r="A255" s="17">
        <f t="shared" si="120"/>
        <v>50525</v>
      </c>
      <c r="B255">
        <f t="shared" si="112"/>
        <v>474</v>
      </c>
      <c r="C255">
        <f t="shared" si="113"/>
        <v>39.416666666666664</v>
      </c>
      <c r="D255">
        <f t="shared" si="141"/>
        <v>0</v>
      </c>
      <c r="E255">
        <f t="shared" si="114"/>
        <v>62</v>
      </c>
      <c r="F255">
        <f>IF(C255&gt;=$H$2,0,VLOOKUP($E255,'Mortality Table'!$A$3:$C$128,2+AB$2,FALSE))</f>
        <v>4.2285000000000005E-3</v>
      </c>
      <c r="G255">
        <f>F255*Assumptions!$B$1</f>
        <v>4.5773512500000002E-3</v>
      </c>
      <c r="H255">
        <f t="shared" si="121"/>
        <v>3.8224854113932949E-4</v>
      </c>
      <c r="I255">
        <f t="shared" si="142"/>
        <v>1.7650219388438886E-4</v>
      </c>
      <c r="J255">
        <f>HLOOKUP(C255,Assumptions!$A$6:$J$7,2,TRUE)</f>
        <v>3.5200000000000002E-2</v>
      </c>
      <c r="K255" s="18">
        <f t="shared" si="115"/>
        <v>1</v>
      </c>
      <c r="L255" s="18">
        <f t="shared" si="122"/>
        <v>8.3333333333333329E-2</v>
      </c>
      <c r="M255" s="18">
        <f t="shared" si="143"/>
        <v>2.9817501439168836E-3</v>
      </c>
      <c r="N255">
        <f t="shared" si="144"/>
        <v>1.3786069705106489E-3</v>
      </c>
      <c r="O255" s="20">
        <f t="shared" si="145"/>
        <v>0.46088152689761669</v>
      </c>
      <c r="P255">
        <f>IF(B255&gt;$AF$2,0,O254*($E$2+IF(E255&lt;=Assumptions!$B$9,$D$2,0))/$I$2*K255)</f>
        <v>14.813386908519774</v>
      </c>
      <c r="Q255">
        <f t="shared" si="123"/>
        <v>26.1</v>
      </c>
      <c r="R255">
        <f>IF(B255&gt;$AF$2,0,IF($Y$2=1,(SUMIF('Mortality Tarif Male'!A:A,E256,'Mortality Tarif Male'!G:G)-SUMIF('Mortality Tarif Male'!A:A,$C$2+$H$2,'Mortality Tarif Male'!G:G)+SUMIF('Mortality Tarif Male'!A:A,$C$2+$H$2,'Mortality Tarif Male'!D:D))/SUMIF('Mortality Tarif Male'!A:A,E256,'Mortality Tarif Male'!D:D),(SUMIF('Mortality Tarif Female'!A:A,E256,'Mortality Tarif Female'!G:G)-SUMIF('Mortality Tarif Female'!A:A,$C$2+$H$2,'Mortality Tarif Female'!G:G)+SUMIF('Mortality Tarif Female'!A:A,$C$2+$H$2,'Mortality Tarif Female'!D:D))/SUMIF('Mortality Tarif Female'!A:A,E256,'Mortality Tarif Female'!D:D)))</f>
        <v>0.96626970111295607</v>
      </c>
      <c r="S255">
        <f>IF(B255&gt;=$AF$2,0,IF($Y$2=1,(SUMIF('Mortality Tarif Male'!A:A,E256+1,'Mortality Tarif Male'!G:G)-SUMIF('Mortality Tarif Male'!A:A,$C$2+$H$2,'Mortality Tarif Male'!G:G)+SUMIF('Mortality Tarif Male'!A:A,$C$2+$H$2,'Mortality Tarif Male'!D:D))/SUMIF('Mortality Tarif Male'!A:A,E256+1,'Mortality Tarif Male'!D:D),(SUMIF('Mortality Tarif Female'!A:A,E256+1,'Mortality Tarif Female'!G:G)-SUMIF('Mortality Tarif Female'!A:A,$C$2+$H$2,'Mortality Tarif Female'!G:G)+SUMIF('Mortality Tarif Female'!A:A,$C$2+$H$2,'Mortality Tarif Female'!D:D))/SUMIF('Mortality Tarif Female'!A:A,E256+1,'Mortality Tarif Female'!D:D)))</f>
        <v>1</v>
      </c>
      <c r="T255">
        <f t="shared" si="124"/>
        <v>0.5</v>
      </c>
      <c r="U255">
        <f t="shared" si="125"/>
        <v>0.98313485055647809</v>
      </c>
      <c r="V255">
        <f t="shared" si="126"/>
        <v>19662.697011129563</v>
      </c>
      <c r="W255">
        <f t="shared" si="116"/>
        <v>25.659819599524081</v>
      </c>
      <c r="X255">
        <f t="shared" si="117"/>
        <v>0</v>
      </c>
      <c r="Y255">
        <f>IF(B255&gt;$AF$2,0,IF(X256=0,0,(1-X256)*($E$2+IF(E255&lt;=Assumptions!$B$9,$D$2,0))/$I$2*1/(1+$AG$2)*1/(1+Assumptions!$B$11)))</f>
        <v>0</v>
      </c>
      <c r="Z255">
        <f>IF(B255&gt;$AF$2,0,IF($Y$2=1,(SUMIF('Mortality Tarif Male'!A:A,E256,'Mortality Tarif Male'!E:E)-SUMIF('Mortality Tarif Male'!A:A,$C$2+$H$2,'Mortality Tarif Male'!E:E))/SUMIF('Mortality Tarif Male'!A:A,E256,'Mortality Tarif Male'!D:D),(SUMIF('Mortality Tarif Female'!A:A,E256,'Mortality Tarif Female'!E:E)-SUMIF('Mortality Tarif Female'!A:A,$C$2+$H$2,'Mortality Tarif Female'!E:E))/SUMIF('Mortality Tarif Female'!A:A,E256,'Mortality Tarif Female'!D:D)))</f>
        <v>1.0000000000000007</v>
      </c>
      <c r="AA255">
        <f>IF(B255&gt;=$AF$2,0,IF($Y$2=1,(SUMIF('Mortality Tarif Male'!A:A,E256+1,'Mortality Tarif Male'!E:E)-SUMIF('Mortality Tarif Male'!A:A,$C$2+$H$2,'Mortality Tarif Male'!E:E))/SUMIF('Mortality Tarif Male'!A:A,E256+1,'Mortality Tarif Male'!D:D),(SUMIF('Mortality Tarif Female'!A:A,E256+1,'Mortality Tarif Female'!E:E)-SUMIF('Mortality Tarif Female'!A:A,$C$2+$H$2,'Mortality Tarif Female'!E:E))/SUMIF('Mortality Tarif Female'!A:A,E256+1,'Mortality Tarif Female'!D:D)))</f>
        <v>0</v>
      </c>
      <c r="AB255">
        <f t="shared" si="111"/>
        <v>120.41238095238103</v>
      </c>
      <c r="AC255">
        <f>IF(B255&gt;=$AF$2,0,MIN(1/3*(V255+W255+Y255-AB255),(V255-AB255),(T255*Z255+(1-T255)*AA255)*$AH$2*Assumptions!$B$22))</f>
        <v>13.032990476190484</v>
      </c>
      <c r="AD255">
        <f t="shared" si="127"/>
        <v>19554.911459300518</v>
      </c>
      <c r="AE255">
        <f t="shared" si="128"/>
        <v>19567.944449776707</v>
      </c>
      <c r="AF255">
        <f t="shared" si="129"/>
        <v>19554.911459300518</v>
      </c>
      <c r="AG255" s="26">
        <f t="shared" si="140"/>
        <v>0</v>
      </c>
      <c r="AH255" s="27">
        <f>IF(B255&gt;$AF$2,0,HLOOKUP(YEAR(A255),Assumptions!$A$34:$AL$37,4,TRUE)/100)</f>
        <v>1.8832000000000002E-2</v>
      </c>
      <c r="AI255">
        <f t="shared" si="130"/>
        <v>0</v>
      </c>
      <c r="AJ255">
        <f t="shared" si="131"/>
        <v>3.5346505849481593</v>
      </c>
      <c r="AK255">
        <f t="shared" si="132"/>
        <v>26.958537245510261</v>
      </c>
      <c r="AL255">
        <f>IF(E255&gt;Assumptions!$B$9,0,SUMPRODUCT($P$2:$X$2,Assumptions!$A$43:$I$43)/$I$2*O254*K255)</f>
        <v>0</v>
      </c>
      <c r="AM255">
        <f t="shared" si="133"/>
        <v>0</v>
      </c>
      <c r="AN255">
        <f t="shared" si="134"/>
        <v>30.493187830458421</v>
      </c>
      <c r="AO255">
        <f>IF(E255&gt;Assumptions!$B$9,0,($V$2+$X$2)/$I$2*O254*K255*Assumptions!$B$46)</f>
        <v>0</v>
      </c>
      <c r="AP255">
        <f>IF(B255&gt;$AF$2,0,AP254*(1+Assumptions!$B$52)^(1/12))</f>
        <v>1.2242438572358842</v>
      </c>
      <c r="AQ255" s="29">
        <f>IF(B255&gt;$AF$2,0,O254*Assumptions!$B$48/12*AP254+AR255*Assumptions!$B$50/12)</f>
        <v>9.419380682449777</v>
      </c>
      <c r="AR255" s="31">
        <f t="shared" si="135"/>
        <v>8993.5254054194884</v>
      </c>
      <c r="AS255">
        <f t="shared" si="118"/>
        <v>9012.4974517101236</v>
      </c>
      <c r="AT255">
        <f t="shared" si="136"/>
        <v>9.2805160646394178</v>
      </c>
      <c r="AU255" s="19">
        <f t="shared" si="137"/>
        <v>8989.638895580918</v>
      </c>
      <c r="AV255" s="19">
        <f t="shared" si="138"/>
        <v>9015.8721825087141</v>
      </c>
      <c r="AW255">
        <f t="shared" si="139"/>
        <v>-29.83629621266471</v>
      </c>
      <c r="AX255">
        <f>IF(B255&gt;$AF$2,0,HLOOKUP(YEAR(A255),Assumptions!$A$34:$AL$37,2,TRUE)/100)</f>
        <v>2.4832E-2</v>
      </c>
      <c r="AY255" s="32">
        <f>1/(1+HLOOKUP(YEAR(A255),Assumptions!$A$27:$AL$29,3,TRUE))^(1/12)</f>
        <v>0.99804628830341602</v>
      </c>
      <c r="AZ255" s="30">
        <f t="shared" si="119"/>
        <v>9045.6162786996229</v>
      </c>
      <c r="BA255">
        <f>IF(B255&gt;$AF$2,0,IF($E$2=0,(T255*Z255+(1-T255)*AA255)*$J$2*Assumptions!$B$20,0))</f>
        <v>0</v>
      </c>
    </row>
    <row r="256" spans="1:53" x14ac:dyDescent="0.25">
      <c r="A256" s="17">
        <f t="shared" si="120"/>
        <v>50556</v>
      </c>
      <c r="B256">
        <f t="shared" si="112"/>
        <v>475</v>
      </c>
      <c r="C256">
        <f t="shared" si="113"/>
        <v>39.5</v>
      </c>
      <c r="D256">
        <f t="shared" si="141"/>
        <v>0</v>
      </c>
      <c r="E256">
        <f t="shared" si="114"/>
        <v>62</v>
      </c>
      <c r="F256">
        <f>IF(C256&gt;=$H$2,0,VLOOKUP($E256,'Mortality Table'!$A$3:$C$128,2+AB$2,FALSE))</f>
        <v>4.2285000000000005E-3</v>
      </c>
      <c r="G256">
        <f>F256*Assumptions!$B$1</f>
        <v>4.5773512500000002E-3</v>
      </c>
      <c r="H256">
        <f t="shared" si="121"/>
        <v>3.8224854113932949E-4</v>
      </c>
      <c r="I256">
        <f t="shared" si="142"/>
        <v>1.7590864190809467E-4</v>
      </c>
      <c r="J256">
        <f>HLOOKUP(C256,Assumptions!$A$6:$J$7,2,TRUE)</f>
        <v>3.5200000000000002E-2</v>
      </c>
      <c r="K256" s="18">
        <f t="shared" si="115"/>
        <v>1</v>
      </c>
      <c r="L256" s="18">
        <f t="shared" si="122"/>
        <v>8.3333333333333329E-2</v>
      </c>
      <c r="M256" s="18">
        <f t="shared" si="143"/>
        <v>2.9817501439168836E-3</v>
      </c>
      <c r="N256">
        <f t="shared" si="144"/>
        <v>1.3739709097690157E-3</v>
      </c>
      <c r="O256" s="20">
        <f t="shared" si="145"/>
        <v>0.45933164734593956</v>
      </c>
      <c r="P256">
        <f>IF(B256&gt;$AF$2,0,O255*($E$2+IF(E256&lt;=Assumptions!$B$9,$D$2,0))/$I$2*K256)</f>
        <v>14.763571578286987</v>
      </c>
      <c r="Q256">
        <f t="shared" si="123"/>
        <v>26.1</v>
      </c>
      <c r="R256">
        <f>IF(B256&gt;$AF$2,0,IF($Y$2=1,(SUMIF('Mortality Tarif Male'!A:A,E257,'Mortality Tarif Male'!G:G)-SUMIF('Mortality Tarif Male'!A:A,$C$2+$H$2,'Mortality Tarif Male'!G:G)+SUMIF('Mortality Tarif Male'!A:A,$C$2+$H$2,'Mortality Tarif Male'!D:D))/SUMIF('Mortality Tarif Male'!A:A,E257,'Mortality Tarif Male'!D:D),(SUMIF('Mortality Tarif Female'!A:A,E257,'Mortality Tarif Female'!G:G)-SUMIF('Mortality Tarif Female'!A:A,$C$2+$H$2,'Mortality Tarif Female'!G:G)+SUMIF('Mortality Tarif Female'!A:A,$C$2+$H$2,'Mortality Tarif Female'!D:D))/SUMIF('Mortality Tarif Female'!A:A,E257,'Mortality Tarif Female'!D:D)))</f>
        <v>0.96626970111295607</v>
      </c>
      <c r="S256">
        <f>IF(B256&gt;=$AF$2,0,IF($Y$2=1,(SUMIF('Mortality Tarif Male'!A:A,E257+1,'Mortality Tarif Male'!G:G)-SUMIF('Mortality Tarif Male'!A:A,$C$2+$H$2,'Mortality Tarif Male'!G:G)+SUMIF('Mortality Tarif Male'!A:A,$C$2+$H$2,'Mortality Tarif Male'!D:D))/SUMIF('Mortality Tarif Male'!A:A,E257+1,'Mortality Tarif Male'!D:D),(SUMIF('Mortality Tarif Female'!A:A,E257+1,'Mortality Tarif Female'!G:G)-SUMIF('Mortality Tarif Female'!A:A,$C$2+$H$2,'Mortality Tarif Female'!G:G)+SUMIF('Mortality Tarif Female'!A:A,$C$2+$H$2,'Mortality Tarif Female'!D:D))/SUMIF('Mortality Tarif Female'!A:A,E257+1,'Mortality Tarif Female'!D:D)))</f>
        <v>1</v>
      </c>
      <c r="T256">
        <f t="shared" si="124"/>
        <v>0.4166666666666643</v>
      </c>
      <c r="U256">
        <f t="shared" si="125"/>
        <v>0.98594570879706511</v>
      </c>
      <c r="V256">
        <f t="shared" si="126"/>
        <v>19718.914175941303</v>
      </c>
      <c r="W256">
        <f t="shared" si="116"/>
        <v>25.7331829996034</v>
      </c>
      <c r="X256">
        <f t="shared" si="117"/>
        <v>0</v>
      </c>
      <c r="Y256">
        <f>IF(B256&gt;$AF$2,0,IF(X257=0,0,(1-X257)*($E$2+IF(E256&lt;=Assumptions!$B$9,$D$2,0))/$I$2*1/(1+$AG$2)*1/(1+Assumptions!$B$11)))</f>
        <v>0</v>
      </c>
      <c r="Z256">
        <f>IF(B256&gt;$AF$2,0,IF($Y$2=1,(SUMIF('Mortality Tarif Male'!A:A,E257,'Mortality Tarif Male'!E:E)-SUMIF('Mortality Tarif Male'!A:A,$C$2+$H$2,'Mortality Tarif Male'!E:E))/SUMIF('Mortality Tarif Male'!A:A,E257,'Mortality Tarif Male'!D:D),(SUMIF('Mortality Tarif Female'!A:A,E257,'Mortality Tarif Female'!E:E)-SUMIF('Mortality Tarif Female'!A:A,$C$2+$H$2,'Mortality Tarif Female'!E:E))/SUMIF('Mortality Tarif Female'!A:A,E257,'Mortality Tarif Female'!D:D)))</f>
        <v>1.0000000000000007</v>
      </c>
      <c r="AA256">
        <f>IF(B256&gt;=$AF$2,0,IF($Y$2=1,(SUMIF('Mortality Tarif Male'!A:A,E257+1,'Mortality Tarif Male'!E:E)-SUMIF('Mortality Tarif Male'!A:A,$C$2+$H$2,'Mortality Tarif Male'!E:E))/SUMIF('Mortality Tarif Male'!A:A,E257+1,'Mortality Tarif Male'!D:D),(SUMIF('Mortality Tarif Female'!A:A,E257+1,'Mortality Tarif Female'!E:E)-SUMIF('Mortality Tarif Female'!A:A,$C$2+$H$2,'Mortality Tarif Female'!E:E))/SUMIF('Mortality Tarif Female'!A:A,E257+1,'Mortality Tarif Female'!D:D)))</f>
        <v>0</v>
      </c>
      <c r="AB256">
        <f t="shared" si="111"/>
        <v>100.34365079365028</v>
      </c>
      <c r="AC256">
        <f>IF(B256&gt;=$AF$2,0,MIN(1/3*(V256+W256+Y256-AB256),(V256-AB256),(T256*Z256+(1-T256)*AA256)*$AH$2*Assumptions!$B$22))</f>
        <v>10.860825396825343</v>
      </c>
      <c r="AD256">
        <f t="shared" si="127"/>
        <v>19633.442882750431</v>
      </c>
      <c r="AE256">
        <f t="shared" si="128"/>
        <v>19644.303708147258</v>
      </c>
      <c r="AF256">
        <f t="shared" si="129"/>
        <v>19633.442882750431</v>
      </c>
      <c r="AG256" s="26">
        <f t="shared" si="140"/>
        <v>0</v>
      </c>
      <c r="AH256" s="27">
        <f>IF(B256&gt;$AF$2,0,HLOOKUP(YEAR(A256),Assumptions!$A$34:$AL$37,4,TRUE)/100)</f>
        <v>1.8832000000000002E-2</v>
      </c>
      <c r="AI256">
        <f t="shared" si="130"/>
        <v>0</v>
      </c>
      <c r="AJ256">
        <f t="shared" si="131"/>
        <v>3.5227640537156946</v>
      </c>
      <c r="AK256">
        <f t="shared" si="132"/>
        <v>26.975779379510616</v>
      </c>
      <c r="AL256">
        <f>IF(E256&gt;Assumptions!$B$9,0,SUMPRODUCT($P$2:$X$2,Assumptions!$A$43:$I$43)/$I$2*O255*K256)</f>
        <v>0</v>
      </c>
      <c r="AM256">
        <f t="shared" si="133"/>
        <v>0</v>
      </c>
      <c r="AN256">
        <f t="shared" si="134"/>
        <v>30.49854343322631</v>
      </c>
      <c r="AO256">
        <f>IF(E256&gt;Assumptions!$B$9,0,($V$2+$X$2)/$I$2*O255*K256*Assumptions!$B$46)</f>
        <v>0</v>
      </c>
      <c r="AP256">
        <f>IF(B256&gt;$AF$2,0,AP255*(1+Assumptions!$B$52)^(1/12))</f>
        <v>1.2252594141767155</v>
      </c>
      <c r="AQ256" s="29">
        <f>IF(B256&gt;$AF$2,0,O255*Assumptions!$B$48/12*AP255+AR256*Assumptions!$B$50/12)</f>
        <v>9.4006138870002474</v>
      </c>
      <c r="AR256" s="31">
        <f t="shared" si="135"/>
        <v>8991.9104624959109</v>
      </c>
      <c r="AS256">
        <f t="shared" si="118"/>
        <v>9018.2616624061684</v>
      </c>
      <c r="AT256">
        <f t="shared" si="136"/>
        <v>9.2493069984518055</v>
      </c>
      <c r="AU256" s="19">
        <f t="shared" si="137"/>
        <v>8988.0241131887451</v>
      </c>
      <c r="AV256" s="19">
        <f t="shared" si="138"/>
        <v>9021.7467587085757</v>
      </c>
      <c r="AW256">
        <f t="shared" si="139"/>
        <v>-37.345984734073795</v>
      </c>
      <c r="AX256">
        <f>IF(B256&gt;$AF$2,0,HLOOKUP(YEAR(A256),Assumptions!$A$34:$AL$37,2,TRUE)/100)</f>
        <v>2.4832E-2</v>
      </c>
      <c r="AY256" s="32">
        <f>1/(1+HLOOKUP(YEAR(A256),Assumptions!$A$27:$AL$29,3,TRUE))^(1/12)</f>
        <v>0.99804628830341602</v>
      </c>
      <c r="AZ256" s="30">
        <f t="shared" si="119"/>
        <v>9038.1878138934735</v>
      </c>
      <c r="BA256">
        <f>IF(B256&gt;$AF$2,0,IF($E$2=0,(T256*Z256+(1-T256)*AA256)*$J$2*Assumptions!$B$20,0))</f>
        <v>0</v>
      </c>
    </row>
    <row r="257" spans="1:53" x14ac:dyDescent="0.25">
      <c r="A257" s="17">
        <f t="shared" si="120"/>
        <v>50586</v>
      </c>
      <c r="B257">
        <f t="shared" si="112"/>
        <v>476</v>
      </c>
      <c r="C257">
        <f t="shared" si="113"/>
        <v>39.583333333333336</v>
      </c>
      <c r="D257">
        <f t="shared" si="141"/>
        <v>0</v>
      </c>
      <c r="E257">
        <f t="shared" si="114"/>
        <v>62</v>
      </c>
      <c r="F257">
        <f>IF(C257&gt;=$H$2,0,VLOOKUP($E257,'Mortality Table'!$A$3:$C$128,2+AB$2,FALSE))</f>
        <v>4.2285000000000005E-3</v>
      </c>
      <c r="G257">
        <f>F257*Assumptions!$B$1</f>
        <v>4.5773512500000002E-3</v>
      </c>
      <c r="H257">
        <f t="shared" si="121"/>
        <v>3.8224854113932949E-4</v>
      </c>
      <c r="I257">
        <f t="shared" si="142"/>
        <v>1.7531708596335571E-4</v>
      </c>
      <c r="J257">
        <f>HLOOKUP(C257,Assumptions!$A$6:$J$7,2,TRUE)</f>
        <v>3.5200000000000002E-2</v>
      </c>
      <c r="K257" s="18">
        <f t="shared" si="115"/>
        <v>1</v>
      </c>
      <c r="L257" s="18">
        <f t="shared" si="122"/>
        <v>8.3333333333333329E-2</v>
      </c>
      <c r="M257" s="18">
        <f t="shared" si="143"/>
        <v>2.9817501439168836E-3</v>
      </c>
      <c r="N257">
        <f t="shared" si="144"/>
        <v>1.3693504394455798E-3</v>
      </c>
      <c r="O257" s="20">
        <f t="shared" si="145"/>
        <v>0.45778697982053063</v>
      </c>
      <c r="P257">
        <f>IF(B257&gt;$AF$2,0,O256*($E$2+IF(E257&lt;=Assumptions!$B$9,$D$2,0))/$I$2*K257)</f>
        <v>14.713923769981596</v>
      </c>
      <c r="Q257">
        <f t="shared" si="123"/>
        <v>26.1</v>
      </c>
      <c r="R257">
        <f>IF(B257&gt;$AF$2,0,IF($Y$2=1,(SUMIF('Mortality Tarif Male'!A:A,E258,'Mortality Tarif Male'!G:G)-SUMIF('Mortality Tarif Male'!A:A,$C$2+$H$2,'Mortality Tarif Male'!G:G)+SUMIF('Mortality Tarif Male'!A:A,$C$2+$H$2,'Mortality Tarif Male'!D:D))/SUMIF('Mortality Tarif Male'!A:A,E258,'Mortality Tarif Male'!D:D),(SUMIF('Mortality Tarif Female'!A:A,E258,'Mortality Tarif Female'!G:G)-SUMIF('Mortality Tarif Female'!A:A,$C$2+$H$2,'Mortality Tarif Female'!G:G)+SUMIF('Mortality Tarif Female'!A:A,$C$2+$H$2,'Mortality Tarif Female'!D:D))/SUMIF('Mortality Tarif Female'!A:A,E258,'Mortality Tarif Female'!D:D)))</f>
        <v>0.96626970111295607</v>
      </c>
      <c r="S257">
        <f>IF(B257&gt;=$AF$2,0,IF($Y$2=1,(SUMIF('Mortality Tarif Male'!A:A,E258+1,'Mortality Tarif Male'!G:G)-SUMIF('Mortality Tarif Male'!A:A,$C$2+$H$2,'Mortality Tarif Male'!G:G)+SUMIF('Mortality Tarif Male'!A:A,$C$2+$H$2,'Mortality Tarif Male'!D:D))/SUMIF('Mortality Tarif Male'!A:A,E258+1,'Mortality Tarif Male'!D:D),(SUMIF('Mortality Tarif Female'!A:A,E258+1,'Mortality Tarif Female'!G:G)-SUMIF('Mortality Tarif Female'!A:A,$C$2+$H$2,'Mortality Tarif Female'!G:G)+SUMIF('Mortality Tarif Female'!A:A,$C$2+$H$2,'Mortality Tarif Female'!D:D))/SUMIF('Mortality Tarif Female'!A:A,E258+1,'Mortality Tarif Female'!D:D)))</f>
        <v>1</v>
      </c>
      <c r="T257">
        <f t="shared" si="124"/>
        <v>0.3333333333333357</v>
      </c>
      <c r="U257">
        <f t="shared" si="125"/>
        <v>0.98875656703765191</v>
      </c>
      <c r="V257">
        <f t="shared" si="126"/>
        <v>19775.13134075304</v>
      </c>
      <c r="W257">
        <f t="shared" si="116"/>
        <v>25.806546399682716</v>
      </c>
      <c r="X257">
        <f t="shared" si="117"/>
        <v>0</v>
      </c>
      <c r="Y257">
        <f>IF(B257&gt;$AF$2,0,IF(X258=0,0,(1-X258)*($E$2+IF(E257&lt;=Assumptions!$B$9,$D$2,0))/$I$2*1/(1+$AG$2)*1/(1+Assumptions!$B$11)))</f>
        <v>0</v>
      </c>
      <c r="Z257">
        <f>IF(B257&gt;$AF$2,0,IF($Y$2=1,(SUMIF('Mortality Tarif Male'!A:A,E258,'Mortality Tarif Male'!E:E)-SUMIF('Mortality Tarif Male'!A:A,$C$2+$H$2,'Mortality Tarif Male'!E:E))/SUMIF('Mortality Tarif Male'!A:A,E258,'Mortality Tarif Male'!D:D),(SUMIF('Mortality Tarif Female'!A:A,E258,'Mortality Tarif Female'!E:E)-SUMIF('Mortality Tarif Female'!A:A,$C$2+$H$2,'Mortality Tarif Female'!E:E))/SUMIF('Mortality Tarif Female'!A:A,E258,'Mortality Tarif Female'!D:D)))</f>
        <v>1.0000000000000007</v>
      </c>
      <c r="AA257">
        <f>IF(B257&gt;=$AF$2,0,IF($Y$2=1,(SUMIF('Mortality Tarif Male'!A:A,E258+1,'Mortality Tarif Male'!E:E)-SUMIF('Mortality Tarif Male'!A:A,$C$2+$H$2,'Mortality Tarif Male'!E:E))/SUMIF('Mortality Tarif Male'!A:A,E258+1,'Mortality Tarif Male'!D:D),(SUMIF('Mortality Tarif Female'!A:A,E258+1,'Mortality Tarif Female'!E:E)-SUMIF('Mortality Tarif Female'!A:A,$C$2+$H$2,'Mortality Tarif Female'!E:E))/SUMIF('Mortality Tarif Female'!A:A,E258+1,'Mortality Tarif Female'!D:D)))</f>
        <v>0</v>
      </c>
      <c r="AB257">
        <f t="shared" si="111"/>
        <v>80.274920634921259</v>
      </c>
      <c r="AC257">
        <f>IF(B257&gt;=$AF$2,0,MIN(1/3*(V257+W257+Y257-AB257),(V257-AB257),(T257*Z257+(1-T257)*AA257)*$AH$2*Assumptions!$B$22))</f>
        <v>8.6886603174603838</v>
      </c>
      <c r="AD257">
        <f t="shared" si="127"/>
        <v>19711.97430620034</v>
      </c>
      <c r="AE257">
        <f t="shared" si="128"/>
        <v>19720.662966517801</v>
      </c>
      <c r="AF257">
        <f t="shared" si="129"/>
        <v>19711.97430620034</v>
      </c>
      <c r="AG257" s="26">
        <f t="shared" si="140"/>
        <v>0</v>
      </c>
      <c r="AH257" s="27">
        <f>IF(B257&gt;$AF$2,0,HLOOKUP(YEAR(A257),Assumptions!$A$34:$AL$37,4,TRUE)/100)</f>
        <v>1.8832000000000002E-2</v>
      </c>
      <c r="AI257">
        <f t="shared" si="130"/>
        <v>0</v>
      </c>
      <c r="AJ257">
        <f t="shared" si="131"/>
        <v>3.5109174952107574</v>
      </c>
      <c r="AK257">
        <f t="shared" si="132"/>
        <v>26.992600678535414</v>
      </c>
      <c r="AL257">
        <f>IF(E257&gt;Assumptions!$B$9,0,SUMPRODUCT($P$2:$X$2,Assumptions!$A$43:$I$43)/$I$2*O256*K257)</f>
        <v>0</v>
      </c>
      <c r="AM257">
        <f t="shared" si="133"/>
        <v>0</v>
      </c>
      <c r="AN257">
        <f t="shared" si="134"/>
        <v>30.503518173746173</v>
      </c>
      <c r="AO257">
        <f>IF(E257&gt;Assumptions!$B$9,0,($V$2+$X$2)/$I$2*O256*K257*Assumptions!$B$46)</f>
        <v>0</v>
      </c>
      <c r="AP257">
        <f>IF(B257&gt;$AF$2,0,AP256*(1+Assumptions!$B$52)^(1/12))</f>
        <v>1.2262758135607366</v>
      </c>
      <c r="AQ257" s="29">
        <f>IF(B257&gt;$AF$2,0,O256*Assumptions!$B$48/12*AP256+AR257*Assumptions!$B$50/12)</f>
        <v>9.381854633666169</v>
      </c>
      <c r="AR257" s="31">
        <f t="shared" si="135"/>
        <v>8990.1338805560445</v>
      </c>
      <c r="AS257">
        <f t="shared" si="118"/>
        <v>9023.8851839353538</v>
      </c>
      <c r="AT257">
        <f t="shared" si="136"/>
        <v>9.2182028839506636</v>
      </c>
      <c r="AU257" s="19">
        <f t="shared" si="137"/>
        <v>8986.2477468084089</v>
      </c>
      <c r="AV257" s="19">
        <f t="shared" si="138"/>
        <v>9027.4798652901191</v>
      </c>
      <c r="AW257">
        <f t="shared" si="139"/>
        <v>-44.875767133354202</v>
      </c>
      <c r="AX257">
        <f>IF(B257&gt;$AF$2,0,HLOOKUP(YEAR(A257),Assumptions!$A$34:$AL$37,2,TRUE)/100)</f>
        <v>2.4832E-2</v>
      </c>
      <c r="AY257" s="32">
        <f>1/(1+HLOOKUP(YEAR(A257),Assumptions!$A$27:$AL$29,3,TRUE))^(1/12)</f>
        <v>0.99804628830341602</v>
      </c>
      <c r="AZ257" s="30">
        <f t="shared" si="119"/>
        <v>9030.7089443033783</v>
      </c>
      <c r="BA257">
        <f>IF(B257&gt;$AF$2,0,IF($E$2=0,(T257*Z257+(1-T257)*AA257)*$J$2*Assumptions!$B$20,0))</f>
        <v>0</v>
      </c>
    </row>
    <row r="258" spans="1:53" x14ac:dyDescent="0.25">
      <c r="A258" s="17">
        <f t="shared" si="120"/>
        <v>50617</v>
      </c>
      <c r="B258">
        <f t="shared" si="112"/>
        <v>477</v>
      </c>
      <c r="C258">
        <f t="shared" si="113"/>
        <v>39.666666666666664</v>
      </c>
      <c r="D258">
        <f t="shared" si="141"/>
        <v>0</v>
      </c>
      <c r="E258">
        <f t="shared" si="114"/>
        <v>62</v>
      </c>
      <c r="F258">
        <f>IF(C258&gt;=$H$2,0,VLOOKUP($E258,'Mortality Table'!$A$3:$C$128,2+AB$2,FALSE))</f>
        <v>4.2285000000000005E-3</v>
      </c>
      <c r="G258">
        <f>F258*Assumptions!$B$1</f>
        <v>4.5773512500000002E-3</v>
      </c>
      <c r="H258">
        <f t="shared" si="121"/>
        <v>3.8224854113932949E-4</v>
      </c>
      <c r="I258">
        <f t="shared" si="142"/>
        <v>1.747275193377995E-4</v>
      </c>
      <c r="J258">
        <f>HLOOKUP(C258,Assumptions!$A$6:$J$7,2,TRUE)</f>
        <v>3.5200000000000002E-2</v>
      </c>
      <c r="K258" s="18">
        <f t="shared" si="115"/>
        <v>1</v>
      </c>
      <c r="L258" s="18">
        <f t="shared" si="122"/>
        <v>8.3333333333333329E-2</v>
      </c>
      <c r="M258" s="18">
        <f t="shared" si="143"/>
        <v>2.9817501439168836E-3</v>
      </c>
      <c r="N258">
        <f t="shared" si="144"/>
        <v>1.3647455071119647E-3</v>
      </c>
      <c r="O258" s="20">
        <f t="shared" si="145"/>
        <v>0.45624750679408088</v>
      </c>
      <c r="P258">
        <f>IF(B258&gt;$AF$2,0,O257*($E$2+IF(E258&lt;=Assumptions!$B$9,$D$2,0))/$I$2*K258)</f>
        <v>14.664442920250996</v>
      </c>
      <c r="Q258">
        <f t="shared" si="123"/>
        <v>26.1</v>
      </c>
      <c r="R258">
        <f>IF(B258&gt;$AF$2,0,IF($Y$2=1,(SUMIF('Mortality Tarif Male'!A:A,E259,'Mortality Tarif Male'!G:G)-SUMIF('Mortality Tarif Male'!A:A,$C$2+$H$2,'Mortality Tarif Male'!G:G)+SUMIF('Mortality Tarif Male'!A:A,$C$2+$H$2,'Mortality Tarif Male'!D:D))/SUMIF('Mortality Tarif Male'!A:A,E259,'Mortality Tarif Male'!D:D),(SUMIF('Mortality Tarif Female'!A:A,E259,'Mortality Tarif Female'!G:G)-SUMIF('Mortality Tarif Female'!A:A,$C$2+$H$2,'Mortality Tarif Female'!G:G)+SUMIF('Mortality Tarif Female'!A:A,$C$2+$H$2,'Mortality Tarif Female'!D:D))/SUMIF('Mortality Tarif Female'!A:A,E259,'Mortality Tarif Female'!D:D)))</f>
        <v>0.96626970111295607</v>
      </c>
      <c r="S258">
        <f>IF(B258&gt;=$AF$2,0,IF($Y$2=1,(SUMIF('Mortality Tarif Male'!A:A,E259+1,'Mortality Tarif Male'!G:G)-SUMIF('Mortality Tarif Male'!A:A,$C$2+$H$2,'Mortality Tarif Male'!G:G)+SUMIF('Mortality Tarif Male'!A:A,$C$2+$H$2,'Mortality Tarif Male'!D:D))/SUMIF('Mortality Tarif Male'!A:A,E259+1,'Mortality Tarif Male'!D:D),(SUMIF('Mortality Tarif Female'!A:A,E259+1,'Mortality Tarif Female'!G:G)-SUMIF('Mortality Tarif Female'!A:A,$C$2+$H$2,'Mortality Tarif Female'!G:G)+SUMIF('Mortality Tarif Female'!A:A,$C$2+$H$2,'Mortality Tarif Female'!D:D))/SUMIF('Mortality Tarif Female'!A:A,E259+1,'Mortality Tarif Female'!D:D)))</f>
        <v>1</v>
      </c>
      <c r="T258">
        <f t="shared" si="124"/>
        <v>0.25</v>
      </c>
      <c r="U258">
        <f t="shared" si="125"/>
        <v>0.99156742527823905</v>
      </c>
      <c r="V258">
        <f t="shared" si="126"/>
        <v>19831.34850556478</v>
      </c>
      <c r="W258">
        <f t="shared" si="116"/>
        <v>25.879909799762039</v>
      </c>
      <c r="X258">
        <f t="shared" si="117"/>
        <v>0</v>
      </c>
      <c r="Y258">
        <f>IF(B258&gt;$AF$2,0,IF(X259=0,0,(1-X259)*($E$2+IF(E258&lt;=Assumptions!$B$9,$D$2,0))/$I$2*1/(1+$AG$2)*1/(1+Assumptions!$B$11)))</f>
        <v>0</v>
      </c>
      <c r="Z258">
        <f>IF(B258&gt;$AF$2,0,IF($Y$2=1,(SUMIF('Mortality Tarif Male'!A:A,E259,'Mortality Tarif Male'!E:E)-SUMIF('Mortality Tarif Male'!A:A,$C$2+$H$2,'Mortality Tarif Male'!E:E))/SUMIF('Mortality Tarif Male'!A:A,E259,'Mortality Tarif Male'!D:D),(SUMIF('Mortality Tarif Female'!A:A,E259,'Mortality Tarif Female'!E:E)-SUMIF('Mortality Tarif Female'!A:A,$C$2+$H$2,'Mortality Tarif Female'!E:E))/SUMIF('Mortality Tarif Female'!A:A,E259,'Mortality Tarif Female'!D:D)))</f>
        <v>1.0000000000000007</v>
      </c>
      <c r="AA258">
        <f>IF(B258&gt;=$AF$2,0,IF($Y$2=1,(SUMIF('Mortality Tarif Male'!A:A,E259+1,'Mortality Tarif Male'!E:E)-SUMIF('Mortality Tarif Male'!A:A,$C$2+$H$2,'Mortality Tarif Male'!E:E))/SUMIF('Mortality Tarif Male'!A:A,E259+1,'Mortality Tarif Male'!D:D),(SUMIF('Mortality Tarif Female'!A:A,E259+1,'Mortality Tarif Female'!E:E)-SUMIF('Mortality Tarif Female'!A:A,$C$2+$H$2,'Mortality Tarif Female'!E:E))/SUMIF('Mortality Tarif Female'!A:A,E259+1,'Mortality Tarif Female'!D:D)))</f>
        <v>0</v>
      </c>
      <c r="AB258">
        <f t="shared" si="111"/>
        <v>60.206190476190514</v>
      </c>
      <c r="AC258">
        <f>IF(B258&gt;=$AF$2,0,MIN(1/3*(V258+W258+Y258-AB258),(V258-AB258),(T258*Z258+(1-T258)*AA258)*$AH$2*Assumptions!$B$22))</f>
        <v>6.5164952380952421</v>
      </c>
      <c r="AD258">
        <f t="shared" si="127"/>
        <v>19790.505729650256</v>
      </c>
      <c r="AE258">
        <f t="shared" si="128"/>
        <v>19797.022224888351</v>
      </c>
      <c r="AF258">
        <f t="shared" si="129"/>
        <v>19790.505729650256</v>
      </c>
      <c r="AG258" s="26">
        <f t="shared" si="140"/>
        <v>0</v>
      </c>
      <c r="AH258" s="27">
        <f>IF(B258&gt;$AF$2,0,HLOOKUP(YEAR(A258),Assumptions!$A$34:$AL$37,4,TRUE)/100)</f>
        <v>1.8832000000000002E-2</v>
      </c>
      <c r="AI258">
        <f t="shared" si="130"/>
        <v>0</v>
      </c>
      <c r="AJ258">
        <f t="shared" si="131"/>
        <v>3.4991107750107062</v>
      </c>
      <c r="AK258">
        <f t="shared" si="132"/>
        <v>27.009003778013781</v>
      </c>
      <c r="AL258">
        <f>IF(E258&gt;Assumptions!$B$9,0,SUMPRODUCT($P$2:$X$2,Assumptions!$A$43:$I$43)/$I$2*O257*K258)</f>
        <v>0</v>
      </c>
      <c r="AM258">
        <f t="shared" si="133"/>
        <v>0</v>
      </c>
      <c r="AN258">
        <f t="shared" si="134"/>
        <v>30.508114553024487</v>
      </c>
      <c r="AO258">
        <f>IF(E258&gt;Assumptions!$B$9,0,($V$2+$X$2)/$I$2*O257*K258*Assumptions!$B$46)</f>
        <v>0</v>
      </c>
      <c r="AP258">
        <f>IF(B258&gt;$AF$2,0,AP257*(1+Assumptions!$B$52)^(1/12))</f>
        <v>1.2272930560867861</v>
      </c>
      <c r="AQ258" s="29">
        <f>IF(B258&gt;$AF$2,0,O257*Assumptions!$B$48/12*AP257+AR258*Assumptions!$B$50/12)</f>
        <v>9.3631030363902532</v>
      </c>
      <c r="AR258" s="31">
        <f t="shared" si="135"/>
        <v>8988.196620170198</v>
      </c>
      <c r="AS258">
        <f t="shared" si="118"/>
        <v>9029.3688973469016</v>
      </c>
      <c r="AT258">
        <f t="shared" si="136"/>
        <v>9.1872033681982774</v>
      </c>
      <c r="AU258" s="19">
        <f t="shared" si="137"/>
        <v>8984.3107566858616</v>
      </c>
      <c r="AV258" s="19">
        <f t="shared" si="138"/>
        <v>9033.0723873035513</v>
      </c>
      <c r="AW258">
        <f t="shared" si="139"/>
        <v>-52.425568466489956</v>
      </c>
      <c r="AX258">
        <f>IF(B258&gt;$AF$2,0,HLOOKUP(YEAR(A258),Assumptions!$A$34:$AL$37,2,TRUE)/100)</f>
        <v>2.4832E-2</v>
      </c>
      <c r="AY258" s="32">
        <f>1/(1+HLOOKUP(YEAR(A258),Assumptions!$A$27:$AL$29,3,TRUE))^(1/12)</f>
        <v>0.99804628830341602</v>
      </c>
      <c r="AZ258" s="30">
        <f t="shared" si="119"/>
        <v>9023.1801089239088</v>
      </c>
      <c r="BA258">
        <f>IF(B258&gt;$AF$2,0,IF($E$2=0,(T258*Z258+(1-T258)*AA258)*$J$2*Assumptions!$B$20,0))</f>
        <v>0</v>
      </c>
    </row>
    <row r="259" spans="1:53" x14ac:dyDescent="0.25">
      <c r="A259" s="17">
        <f t="shared" si="120"/>
        <v>50648</v>
      </c>
      <c r="B259">
        <f t="shared" si="112"/>
        <v>478</v>
      </c>
      <c r="C259">
        <f t="shared" si="113"/>
        <v>39.75</v>
      </c>
      <c r="D259">
        <f t="shared" si="141"/>
        <v>0</v>
      </c>
      <c r="E259">
        <f t="shared" si="114"/>
        <v>62</v>
      </c>
      <c r="F259">
        <f>IF(C259&gt;=$H$2,0,VLOOKUP($E259,'Mortality Table'!$A$3:$C$128,2+AB$2,FALSE))</f>
        <v>4.2285000000000005E-3</v>
      </c>
      <c r="G259">
        <f>F259*Assumptions!$B$1</f>
        <v>4.5773512500000002E-3</v>
      </c>
      <c r="H259">
        <f t="shared" si="121"/>
        <v>3.8224854113932949E-4</v>
      </c>
      <c r="I259">
        <f t="shared" si="142"/>
        <v>1.7413993534162628E-4</v>
      </c>
      <c r="J259">
        <f>HLOOKUP(C259,Assumptions!$A$6:$J$7,2,TRUE)</f>
        <v>3.5200000000000002E-2</v>
      </c>
      <c r="K259" s="18">
        <f t="shared" si="115"/>
        <v>1</v>
      </c>
      <c r="L259" s="18">
        <f t="shared" si="122"/>
        <v>8.3333333333333329E-2</v>
      </c>
      <c r="M259" s="18">
        <f t="shared" si="143"/>
        <v>2.9817501439168836E-3</v>
      </c>
      <c r="N259">
        <f t="shared" si="144"/>
        <v>1.3601560605161025E-3</v>
      </c>
      <c r="O259" s="20">
        <f t="shared" si="145"/>
        <v>0.45471321079822319</v>
      </c>
      <c r="P259">
        <f>IF(B259&gt;$AF$2,0,O258*($E$2+IF(E259&lt;=Assumptions!$B$9,$D$2,0))/$I$2*K259)</f>
        <v>14.615128467637057</v>
      </c>
      <c r="Q259">
        <f t="shared" si="123"/>
        <v>26.1</v>
      </c>
      <c r="R259">
        <f>IF(B259&gt;$AF$2,0,IF($Y$2=1,(SUMIF('Mortality Tarif Male'!A:A,E260,'Mortality Tarif Male'!G:G)-SUMIF('Mortality Tarif Male'!A:A,$C$2+$H$2,'Mortality Tarif Male'!G:G)+SUMIF('Mortality Tarif Male'!A:A,$C$2+$H$2,'Mortality Tarif Male'!D:D))/SUMIF('Mortality Tarif Male'!A:A,E260,'Mortality Tarif Male'!D:D),(SUMIF('Mortality Tarif Female'!A:A,E260,'Mortality Tarif Female'!G:G)-SUMIF('Mortality Tarif Female'!A:A,$C$2+$H$2,'Mortality Tarif Female'!G:G)+SUMIF('Mortality Tarif Female'!A:A,$C$2+$H$2,'Mortality Tarif Female'!D:D))/SUMIF('Mortality Tarif Female'!A:A,E260,'Mortality Tarif Female'!D:D)))</f>
        <v>0.96626970111295607</v>
      </c>
      <c r="S259">
        <f>IF(B259&gt;=$AF$2,0,IF($Y$2=1,(SUMIF('Mortality Tarif Male'!A:A,E260+1,'Mortality Tarif Male'!G:G)-SUMIF('Mortality Tarif Male'!A:A,$C$2+$H$2,'Mortality Tarif Male'!G:G)+SUMIF('Mortality Tarif Male'!A:A,$C$2+$H$2,'Mortality Tarif Male'!D:D))/SUMIF('Mortality Tarif Male'!A:A,E260+1,'Mortality Tarif Male'!D:D),(SUMIF('Mortality Tarif Female'!A:A,E260+1,'Mortality Tarif Female'!G:G)-SUMIF('Mortality Tarif Female'!A:A,$C$2+$H$2,'Mortality Tarif Female'!G:G)+SUMIF('Mortality Tarif Female'!A:A,$C$2+$H$2,'Mortality Tarif Female'!D:D))/SUMIF('Mortality Tarif Female'!A:A,E260+1,'Mortality Tarif Female'!D:D)))</f>
        <v>1</v>
      </c>
      <c r="T259">
        <f t="shared" si="124"/>
        <v>0.1666666666666643</v>
      </c>
      <c r="U259">
        <f t="shared" si="125"/>
        <v>0.99437828351882607</v>
      </c>
      <c r="V259">
        <f t="shared" si="126"/>
        <v>19887.56567037652</v>
      </c>
      <c r="W259">
        <f t="shared" si="116"/>
        <v>25.953273199841362</v>
      </c>
      <c r="X259">
        <f t="shared" si="117"/>
        <v>0</v>
      </c>
      <c r="Y259">
        <f>IF(B259&gt;$AF$2,0,IF(X260=0,0,(1-X260)*($E$2+IF(E259&lt;=Assumptions!$B$9,$D$2,0))/$I$2*1/(1+$AG$2)*1/(1+Assumptions!$B$11)))</f>
        <v>0</v>
      </c>
      <c r="Z259">
        <f>IF(B259&gt;$AF$2,0,IF($Y$2=1,(SUMIF('Mortality Tarif Male'!A:A,E260,'Mortality Tarif Male'!E:E)-SUMIF('Mortality Tarif Male'!A:A,$C$2+$H$2,'Mortality Tarif Male'!E:E))/SUMIF('Mortality Tarif Male'!A:A,E260,'Mortality Tarif Male'!D:D),(SUMIF('Mortality Tarif Female'!A:A,E260,'Mortality Tarif Female'!E:E)-SUMIF('Mortality Tarif Female'!A:A,$C$2+$H$2,'Mortality Tarif Female'!E:E))/SUMIF('Mortality Tarif Female'!A:A,E260,'Mortality Tarif Female'!D:D)))</f>
        <v>1.0000000000000007</v>
      </c>
      <c r="AA259">
        <f>IF(B259&gt;=$AF$2,0,IF($Y$2=1,(SUMIF('Mortality Tarif Male'!A:A,E260+1,'Mortality Tarif Male'!E:E)-SUMIF('Mortality Tarif Male'!A:A,$C$2+$H$2,'Mortality Tarif Male'!E:E))/SUMIF('Mortality Tarif Male'!A:A,E260+1,'Mortality Tarif Male'!D:D),(SUMIF('Mortality Tarif Female'!A:A,E260+1,'Mortality Tarif Female'!E:E)-SUMIF('Mortality Tarif Female'!A:A,$C$2+$H$2,'Mortality Tarif Female'!E:E))/SUMIF('Mortality Tarif Female'!A:A,E260+1,'Mortality Tarif Female'!D:D)))</f>
        <v>0</v>
      </c>
      <c r="AB259">
        <f t="shared" si="111"/>
        <v>40.137460317459769</v>
      </c>
      <c r="AC259">
        <f>IF(B259&gt;=$AF$2,0,MIN(1/3*(V259+W259+Y259-AB259),(V259-AB259),(T259*Z259+(1-T259)*AA259)*$AH$2*Assumptions!$B$22))</f>
        <v>4.3443301587300995</v>
      </c>
      <c r="AD259">
        <f t="shared" si="127"/>
        <v>19869.037153100173</v>
      </c>
      <c r="AE259">
        <f t="shared" si="128"/>
        <v>19873.381483258901</v>
      </c>
      <c r="AF259">
        <f t="shared" si="129"/>
        <v>19869.037153100173</v>
      </c>
      <c r="AG259" s="26">
        <f t="shared" si="140"/>
        <v>0</v>
      </c>
      <c r="AH259" s="27">
        <f>IF(B259&gt;$AF$2,0,HLOOKUP(YEAR(A259),Assumptions!$A$34:$AL$37,4,TRUE)/100)</f>
        <v>1.8832000000000002E-2</v>
      </c>
      <c r="AI259">
        <f t="shared" si="130"/>
        <v>0</v>
      </c>
      <c r="AJ259">
        <f t="shared" si="131"/>
        <v>3.4873437591449417</v>
      </c>
      <c r="AK259">
        <f t="shared" si="132"/>
        <v>27.024991300408807</v>
      </c>
      <c r="AL259">
        <f>IF(E259&gt;Assumptions!$B$9,0,SUMPRODUCT($P$2:$X$2,Assumptions!$A$43:$I$43)/$I$2*O258*K259)</f>
        <v>0</v>
      </c>
      <c r="AM259">
        <f t="shared" si="133"/>
        <v>0</v>
      </c>
      <c r="AN259">
        <f t="shared" si="134"/>
        <v>30.512335059553749</v>
      </c>
      <c r="AO259">
        <f>IF(E259&gt;Assumptions!$B$9,0,($V$2+$X$2)/$I$2*O258*K259*Assumptions!$B$46)</f>
        <v>0</v>
      </c>
      <c r="AP259">
        <f>IF(B259&gt;$AF$2,0,AP258*(1+Assumptions!$B$52)^(1/12))</f>
        <v>1.2283111424542825</v>
      </c>
      <c r="AQ259" s="29">
        <f>IF(B259&gt;$AF$2,0,O258*Assumptions!$B$48/12*AP258+AR259*Assumptions!$B$50/12)</f>
        <v>9.3443592082238283</v>
      </c>
      <c r="AR259" s="31">
        <f t="shared" si="135"/>
        <v>8986.0996369798559</v>
      </c>
      <c r="AS259">
        <f t="shared" si="118"/>
        <v>9034.7136793553673</v>
      </c>
      <c r="AT259">
        <f t="shared" si="136"/>
        <v>9.1563080994438142</v>
      </c>
      <c r="AU259" s="19">
        <f t="shared" si="137"/>
        <v>8982.2140981398243</v>
      </c>
      <c r="AV259" s="19">
        <f t="shared" si="138"/>
        <v>9038.5252054463454</v>
      </c>
      <c r="AW259">
        <f t="shared" si="139"/>
        <v>-59.995314363134291</v>
      </c>
      <c r="AX259">
        <f>IF(B259&gt;$AF$2,0,HLOOKUP(YEAR(A259),Assumptions!$A$34:$AL$37,2,TRUE)/100)</f>
        <v>2.4832E-2</v>
      </c>
      <c r="AY259" s="32">
        <f>1/(1+HLOOKUP(YEAR(A259),Assumptions!$A$27:$AL$29,3,TRUE))^(1/12)</f>
        <v>0.99804628830341602</v>
      </c>
      <c r="AZ259" s="30">
        <f t="shared" si="119"/>
        <v>9015.6017444459794</v>
      </c>
      <c r="BA259">
        <f>IF(B259&gt;$AF$2,0,IF($E$2=0,(T259*Z259+(1-T259)*AA259)*$J$2*Assumptions!$B$20,0))</f>
        <v>0</v>
      </c>
    </row>
    <row r="260" spans="1:53" x14ac:dyDescent="0.25">
      <c r="A260" s="17">
        <f t="shared" si="120"/>
        <v>50678</v>
      </c>
      <c r="B260">
        <f t="shared" si="112"/>
        <v>479</v>
      </c>
      <c r="C260">
        <f t="shared" si="113"/>
        <v>39.833333333333336</v>
      </c>
      <c r="D260">
        <f t="shared" si="141"/>
        <v>0</v>
      </c>
      <c r="E260">
        <f t="shared" si="114"/>
        <v>62</v>
      </c>
      <c r="F260">
        <f>IF(C260&gt;=$H$2,0,VLOOKUP($E260,'Mortality Table'!$A$3:$C$128,2+AB$2,FALSE))</f>
        <v>4.2285000000000005E-3</v>
      </c>
      <c r="G260">
        <f>F260*Assumptions!$B$1</f>
        <v>4.5773512500000002E-3</v>
      </c>
      <c r="H260">
        <f t="shared" si="121"/>
        <v>3.8224854113932949E-4</v>
      </c>
      <c r="I260">
        <f t="shared" si="142"/>
        <v>1.7355432730753313E-4</v>
      </c>
      <c r="J260">
        <f>HLOOKUP(C260,Assumptions!$A$6:$J$7,2,TRUE)</f>
        <v>3.5200000000000002E-2</v>
      </c>
      <c r="K260" s="18">
        <f t="shared" si="115"/>
        <v>1</v>
      </c>
      <c r="L260" s="18">
        <f t="shared" si="122"/>
        <v>8.3333333333333329E-2</v>
      </c>
      <c r="M260" s="18">
        <f t="shared" si="143"/>
        <v>2.9817501439168836E-3</v>
      </c>
      <c r="N260">
        <f t="shared" si="144"/>
        <v>1.3555820475816421E-3</v>
      </c>
      <c r="O260" s="20">
        <f t="shared" si="145"/>
        <v>0.45318407442333403</v>
      </c>
      <c r="P260">
        <f>IF(B260&gt;$AF$2,0,O259*($E$2+IF(E260&lt;=Assumptions!$B$9,$D$2,0))/$I$2*K260)</f>
        <v>14.565979852569749</v>
      </c>
      <c r="Q260">
        <f t="shared" si="123"/>
        <v>26.1</v>
      </c>
      <c r="R260">
        <f>IF(B260&gt;$AF$2,0,IF($Y$2=1,(SUMIF('Mortality Tarif Male'!A:A,E261,'Mortality Tarif Male'!G:G)-SUMIF('Mortality Tarif Male'!A:A,$C$2+$H$2,'Mortality Tarif Male'!G:G)+SUMIF('Mortality Tarif Male'!A:A,$C$2+$H$2,'Mortality Tarif Male'!D:D))/SUMIF('Mortality Tarif Male'!A:A,E261,'Mortality Tarif Male'!D:D),(SUMIF('Mortality Tarif Female'!A:A,E261,'Mortality Tarif Female'!G:G)-SUMIF('Mortality Tarif Female'!A:A,$C$2+$H$2,'Mortality Tarif Female'!G:G)+SUMIF('Mortality Tarif Female'!A:A,$C$2+$H$2,'Mortality Tarif Female'!D:D))/SUMIF('Mortality Tarif Female'!A:A,E261,'Mortality Tarif Female'!D:D)))</f>
        <v>0.96626970111295607</v>
      </c>
      <c r="S260">
        <f>IF(B260&gt;=$AF$2,0,IF($Y$2=1,(SUMIF('Mortality Tarif Male'!A:A,E261+1,'Mortality Tarif Male'!G:G)-SUMIF('Mortality Tarif Male'!A:A,$C$2+$H$2,'Mortality Tarif Male'!G:G)+SUMIF('Mortality Tarif Male'!A:A,$C$2+$H$2,'Mortality Tarif Male'!D:D))/SUMIF('Mortality Tarif Male'!A:A,E261+1,'Mortality Tarif Male'!D:D),(SUMIF('Mortality Tarif Female'!A:A,E261+1,'Mortality Tarif Female'!G:G)-SUMIF('Mortality Tarif Female'!A:A,$C$2+$H$2,'Mortality Tarif Female'!G:G)+SUMIF('Mortality Tarif Female'!A:A,$C$2+$H$2,'Mortality Tarif Female'!D:D))/SUMIF('Mortality Tarif Female'!A:A,E261+1,'Mortality Tarif Female'!D:D)))</f>
        <v>1</v>
      </c>
      <c r="T260">
        <f t="shared" si="124"/>
        <v>8.3333333333335702E-2</v>
      </c>
      <c r="U260">
        <f t="shared" si="125"/>
        <v>0.99718914175941298</v>
      </c>
      <c r="V260">
        <f t="shared" si="126"/>
        <v>19943.78283518826</v>
      </c>
      <c r="W260">
        <f t="shared" si="116"/>
        <v>26.026636599920682</v>
      </c>
      <c r="X260">
        <f t="shared" si="117"/>
        <v>0</v>
      </c>
      <c r="Y260">
        <f>IF(B260&gt;$AF$2,0,IF(X261=0,0,(1-X261)*($E$2+IF(E260&lt;=Assumptions!$B$9,$D$2,0))/$I$2*1/(1+$AG$2)*1/(1+Assumptions!$B$11)))</f>
        <v>0</v>
      </c>
      <c r="Z260">
        <f>IF(B260&gt;$AF$2,0,IF($Y$2=1,(SUMIF('Mortality Tarif Male'!A:A,E261,'Mortality Tarif Male'!E:E)-SUMIF('Mortality Tarif Male'!A:A,$C$2+$H$2,'Mortality Tarif Male'!E:E))/SUMIF('Mortality Tarif Male'!A:A,E261,'Mortality Tarif Male'!D:D),(SUMIF('Mortality Tarif Female'!A:A,E261,'Mortality Tarif Female'!E:E)-SUMIF('Mortality Tarif Female'!A:A,$C$2+$H$2,'Mortality Tarif Female'!E:E))/SUMIF('Mortality Tarif Female'!A:A,E261,'Mortality Tarif Female'!D:D)))</f>
        <v>1.0000000000000007</v>
      </c>
      <c r="AA260">
        <f>IF(B260&gt;=$AF$2,0,IF($Y$2=1,(SUMIF('Mortality Tarif Male'!A:A,E261+1,'Mortality Tarif Male'!E:E)-SUMIF('Mortality Tarif Male'!A:A,$C$2+$H$2,'Mortality Tarif Male'!E:E))/SUMIF('Mortality Tarif Male'!A:A,E261+1,'Mortality Tarif Male'!D:D),(SUMIF('Mortality Tarif Female'!A:A,E261+1,'Mortality Tarif Female'!E:E)-SUMIF('Mortality Tarif Female'!A:A,$C$2+$H$2,'Mortality Tarif Female'!E:E))/SUMIF('Mortality Tarif Female'!A:A,E261+1,'Mortality Tarif Female'!D:D)))</f>
        <v>0</v>
      </c>
      <c r="AB260">
        <f t="shared" si="111"/>
        <v>20.068730158730741</v>
      </c>
      <c r="AC260">
        <f>IF(B260&gt;=$AF$2,0,MIN(1/3*(V260+W260+Y260-AB260),(V260-AB260),(T260*Z260+(1-T260)*AA260)*$AH$2*Assumptions!$B$22))</f>
        <v>2.1721650793651426</v>
      </c>
      <c r="AD260">
        <f t="shared" si="127"/>
        <v>19947.568576550082</v>
      </c>
      <c r="AE260">
        <f t="shared" si="128"/>
        <v>19949.740741629448</v>
      </c>
      <c r="AF260">
        <f t="shared" si="129"/>
        <v>19947.568576550082</v>
      </c>
      <c r="AG260" s="26">
        <f t="shared" si="140"/>
        <v>0</v>
      </c>
      <c r="AH260" s="27">
        <f>IF(B260&gt;$AF$2,0,HLOOKUP(YEAR(A260),Assumptions!$A$34:$AL$37,4,TRUE)/100)</f>
        <v>1.8832000000000002E-2</v>
      </c>
      <c r="AI260">
        <f t="shared" si="130"/>
        <v>0</v>
      </c>
      <c r="AJ260">
        <f t="shared" si="131"/>
        <v>3.4756163140933887</v>
      </c>
      <c r="AK260">
        <f t="shared" si="132"/>
        <v>27.040565855274981</v>
      </c>
      <c r="AL260">
        <f>IF(E260&gt;Assumptions!$B$9,0,SUMPRODUCT($P$2:$X$2,Assumptions!$A$43:$I$43)/$I$2*O259*K260)</f>
        <v>0</v>
      </c>
      <c r="AM260">
        <f t="shared" si="133"/>
        <v>0</v>
      </c>
      <c r="AN260">
        <f t="shared" si="134"/>
        <v>30.516182169368371</v>
      </c>
      <c r="AO260">
        <f>IF(E260&gt;Assumptions!$B$9,0,($V$2+$X$2)/$I$2*O259*K260*Assumptions!$B$46)</f>
        <v>0</v>
      </c>
      <c r="AP260">
        <f>IF(B260&gt;$AF$2,0,AP259*(1+Assumptions!$B$52)^(1/12))</f>
        <v>1.2293300733632244</v>
      </c>
      <c r="AQ260" s="29">
        <f>IF(B260&gt;$AF$2,0,O259*Assumptions!$B$48/12*AP259+AR260*Assumptions!$B$50/12)</f>
        <v>9.3256232613313301</v>
      </c>
      <c r="AR260" s="31">
        <f t="shared" si="135"/>
        <v>8983.8438817193528</v>
      </c>
      <c r="AS260">
        <f t="shared" si="118"/>
        <v>9039.9204023598322</v>
      </c>
      <c r="AT260">
        <f t="shared" si="136"/>
        <v>9.1255167271193258</v>
      </c>
      <c r="AU260" s="19">
        <f t="shared" si="137"/>
        <v>8979.9587215834727</v>
      </c>
      <c r="AV260" s="19">
        <f t="shared" si="138"/>
        <v>9043.8391960824865</v>
      </c>
      <c r="AW260">
        <f t="shared" si="139"/>
        <v>-67.584931024206128</v>
      </c>
      <c r="AX260">
        <f>IF(B260&gt;$AF$2,0,HLOOKUP(YEAR(A260),Assumptions!$A$34:$AL$37,2,TRUE)/100)</f>
        <v>2.4832E-2</v>
      </c>
      <c r="AY260" s="32">
        <f>1/(1+HLOOKUP(YEAR(A260),Assumptions!$A$27:$AL$29,3,TRUE))^(1/12)</f>
        <v>0.99804628830341602</v>
      </c>
      <c r="AZ260" s="30">
        <f t="shared" si="119"/>
        <v>9007.9742852675772</v>
      </c>
      <c r="BA260">
        <f>IF(B260&gt;$AF$2,0,IF($E$2=0,(T260*Z260+(1-T260)*AA260)*$J$2*Assumptions!$B$20,0))</f>
        <v>0</v>
      </c>
    </row>
    <row r="261" spans="1:53" x14ac:dyDescent="0.25">
      <c r="A261" s="17">
        <f t="shared" si="120"/>
        <v>50709</v>
      </c>
      <c r="B261">
        <f t="shared" si="112"/>
        <v>480</v>
      </c>
      <c r="C261">
        <f t="shared" si="113"/>
        <v>39.916666666666664</v>
      </c>
      <c r="D261">
        <f t="shared" si="141"/>
        <v>0</v>
      </c>
      <c r="E261">
        <f t="shared" si="114"/>
        <v>62</v>
      </c>
      <c r="F261">
        <f>IF(C261&gt;=$H$2,0,VLOOKUP($E261,'Mortality Table'!$A$3:$C$128,2+AB$2,FALSE))</f>
        <v>4.2285000000000005E-3</v>
      </c>
      <c r="G261">
        <f>F261*Assumptions!$B$1</f>
        <v>4.5773512500000002E-3</v>
      </c>
      <c r="H261">
        <f t="shared" si="121"/>
        <v>3.8224854113932949E-4</v>
      </c>
      <c r="I261">
        <f t="shared" si="142"/>
        <v>1.7297068859063839E-4</v>
      </c>
      <c r="J261">
        <f>HLOOKUP(C261,Assumptions!$A$6:$J$7,2,TRUE)</f>
        <v>3.5200000000000002E-2</v>
      </c>
      <c r="K261" s="18">
        <f t="shared" si="115"/>
        <v>1</v>
      </c>
      <c r="L261" s="18">
        <f t="shared" si="122"/>
        <v>8.3333333333333329E-2</v>
      </c>
      <c r="M261" s="18">
        <f t="shared" si="143"/>
        <v>2.9817501439168836E-3</v>
      </c>
      <c r="N261">
        <f t="shared" si="144"/>
        <v>1.3510234164073576E-3</v>
      </c>
      <c r="O261" s="20">
        <f t="shared" si="145"/>
        <v>0.45166008031833604</v>
      </c>
      <c r="P261">
        <f>IF(B261&gt;$AF$2,0,O260*($E$2+IF(E261&lt;=Assumptions!$B$9,$D$2,0))/$I$2*K261)</f>
        <v>14.5169965173608</v>
      </c>
      <c r="Q261">
        <f t="shared" si="123"/>
        <v>26.1</v>
      </c>
      <c r="R261">
        <f>IF(B261&gt;$AF$2,0,IF($Y$2=1,(SUMIF('Mortality Tarif Male'!A:A,E262,'Mortality Tarif Male'!G:G)-SUMIF('Mortality Tarif Male'!A:A,$C$2+$H$2,'Mortality Tarif Male'!G:G)+SUMIF('Mortality Tarif Male'!A:A,$C$2+$H$2,'Mortality Tarif Male'!D:D))/SUMIF('Mortality Tarif Male'!A:A,E262,'Mortality Tarif Male'!D:D),(SUMIF('Mortality Tarif Female'!A:A,E262,'Mortality Tarif Female'!G:G)-SUMIF('Mortality Tarif Female'!A:A,$C$2+$H$2,'Mortality Tarif Female'!G:G)+SUMIF('Mortality Tarif Female'!A:A,$C$2+$H$2,'Mortality Tarif Female'!D:D))/SUMIF('Mortality Tarif Female'!A:A,E262,'Mortality Tarif Female'!D:D)))</f>
        <v>1</v>
      </c>
      <c r="S261">
        <f>IF(B261&gt;=$AF$2,0,IF($Y$2=1,(SUMIF('Mortality Tarif Male'!A:A,E262+1,'Mortality Tarif Male'!G:G)-SUMIF('Mortality Tarif Male'!A:A,$C$2+$H$2,'Mortality Tarif Male'!G:G)+SUMIF('Mortality Tarif Male'!A:A,$C$2+$H$2,'Mortality Tarif Male'!D:D))/SUMIF('Mortality Tarif Male'!A:A,E262+1,'Mortality Tarif Male'!D:D),(SUMIF('Mortality Tarif Female'!A:A,E262+1,'Mortality Tarif Female'!G:G)-SUMIF('Mortality Tarif Female'!A:A,$C$2+$H$2,'Mortality Tarif Female'!G:G)+SUMIF('Mortality Tarif Female'!A:A,$C$2+$H$2,'Mortality Tarif Female'!D:D))/SUMIF('Mortality Tarif Female'!A:A,E262+1,'Mortality Tarif Female'!D:D)))</f>
        <v>0</v>
      </c>
      <c r="T261">
        <f t="shared" si="124"/>
        <v>1</v>
      </c>
      <c r="U261">
        <f t="shared" si="125"/>
        <v>0</v>
      </c>
      <c r="V261">
        <f t="shared" si="126"/>
        <v>0</v>
      </c>
      <c r="W261">
        <f t="shared" si="116"/>
        <v>26.1</v>
      </c>
      <c r="X261">
        <f t="shared" si="117"/>
        <v>0</v>
      </c>
      <c r="Y261">
        <f>IF(B261&gt;$AF$2,0,IF(X262=0,0,(1-X262)*($E$2+IF(E261&lt;=Assumptions!$B$9,$D$2,0))/$I$2*1/(1+$AG$2)*1/(1+Assumptions!$B$11)))</f>
        <v>0</v>
      </c>
      <c r="Z261">
        <f>IF(B261&gt;$AF$2,0,IF($Y$2=1,(SUMIF('Mortality Tarif Male'!A:A,E262,'Mortality Tarif Male'!E:E)-SUMIF('Mortality Tarif Male'!A:A,$C$2+$H$2,'Mortality Tarif Male'!E:E))/SUMIF('Mortality Tarif Male'!A:A,E262,'Mortality Tarif Male'!D:D),(SUMIF('Mortality Tarif Female'!A:A,E262,'Mortality Tarif Female'!E:E)-SUMIF('Mortality Tarif Female'!A:A,$C$2+$H$2,'Mortality Tarif Female'!E:E))/SUMIF('Mortality Tarif Female'!A:A,E262,'Mortality Tarif Female'!D:D)))</f>
        <v>0</v>
      </c>
      <c r="AA261">
        <f>IF(B261&gt;=$AF$2,0,IF($Y$2=1,(SUMIF('Mortality Tarif Male'!A:A,E262+1,'Mortality Tarif Male'!E:E)-SUMIF('Mortality Tarif Male'!A:A,$C$2+$H$2,'Mortality Tarif Male'!E:E))/SUMIF('Mortality Tarif Male'!A:A,E262+1,'Mortality Tarif Male'!D:D),(SUMIF('Mortality Tarif Female'!A:A,E262+1,'Mortality Tarif Female'!E:E)-SUMIF('Mortality Tarif Female'!A:A,$C$2+$H$2,'Mortality Tarif Female'!E:E))/SUMIF('Mortality Tarif Female'!A:A,E262+1,'Mortality Tarif Female'!D:D)))</f>
        <v>0</v>
      </c>
      <c r="AB261">
        <f t="shared" si="111"/>
        <v>0</v>
      </c>
      <c r="AC261">
        <f>IF(B261&gt;=$AF$2,0,MIN(1/3*(V261+W261+Y261-AB261),(V261-AB261),(T261*Z261+(1-T261)*AA261)*$AH$2*Assumptions!$B$22))</f>
        <v>0</v>
      </c>
      <c r="AD261">
        <f t="shared" si="127"/>
        <v>26.1</v>
      </c>
      <c r="AE261">
        <f t="shared" si="128"/>
        <v>26.1</v>
      </c>
      <c r="AF261">
        <f t="shared" si="129"/>
        <v>26.1</v>
      </c>
      <c r="AG261" s="26">
        <f t="shared" si="140"/>
        <v>0</v>
      </c>
      <c r="AH261" s="27">
        <f>IF(B261&gt;$AF$2,0,HLOOKUP(YEAR(A261),Assumptions!$A$34:$AL$37,4,TRUE)/100)</f>
        <v>1.8832000000000002E-2</v>
      </c>
      <c r="AI261">
        <f t="shared" si="130"/>
        <v>0</v>
      </c>
      <c r="AJ261">
        <f t="shared" si="131"/>
        <v>3.4639283067849833</v>
      </c>
      <c r="AK261">
        <f t="shared" si="132"/>
        <v>3.5261711168232034E-2</v>
      </c>
      <c r="AL261">
        <f>IF(E261&gt;Assumptions!$B$9,0,SUMPRODUCT($P$2:$X$2,Assumptions!$A$43:$I$43)/$I$2*O260*K261)</f>
        <v>0</v>
      </c>
      <c r="AM261">
        <f t="shared" si="133"/>
        <v>0</v>
      </c>
      <c r="AN261">
        <f t="shared" si="134"/>
        <v>3.4991900179532154</v>
      </c>
      <c r="AO261">
        <f>IF(E261&gt;Assumptions!$B$9,0,($V$2+$X$2)/$I$2*O260*K261*Assumptions!$B$46)</f>
        <v>0</v>
      </c>
      <c r="AP261">
        <f>IF(B261&gt;$AF$2,0,AP260*(1+Assumptions!$B$52)^(1/12))</f>
        <v>1.2303498495141911</v>
      </c>
      <c r="AQ261" s="29">
        <f>IF(B261&gt;$AF$2,0,O260*Assumptions!$B$48/12*AP260+AR261*Assumptions!$B$50/12)</f>
        <v>9.3068953069947504</v>
      </c>
      <c r="AR261" s="31">
        <f t="shared" si="135"/>
        <v>8981.4303002374618</v>
      </c>
      <c r="AS261">
        <f t="shared" si="118"/>
        <v>11.788328096308572</v>
      </c>
      <c r="AT261">
        <f t="shared" si="136"/>
        <v>9.0948289018357755</v>
      </c>
      <c r="AU261" s="19">
        <f t="shared" si="137"/>
        <v>8977.5455725459924</v>
      </c>
      <c r="AV261" s="19">
        <f t="shared" si="138"/>
        <v>9049.0152312616683</v>
      </c>
      <c r="AW261">
        <f t="shared" si="139"/>
        <v>-75.194345219497535</v>
      </c>
      <c r="AX261">
        <f>IF(B261&gt;$AF$2,0,HLOOKUP(YEAR(A261),Assumptions!$A$34:$AL$37,2,TRUE)/100)</f>
        <v>2.4832E-2</v>
      </c>
      <c r="AY261" s="32">
        <f>1/(1+HLOOKUP(YEAR(A261),Assumptions!$A$27:$AL$29,3,TRUE))^(1/12)</f>
        <v>0.99804628830341602</v>
      </c>
      <c r="AZ261" s="30">
        <f t="shared" si="119"/>
        <v>9027.3186318325843</v>
      </c>
      <c r="BA261">
        <f>IF(B261&gt;$AF$2,0,IF($E$2=0,(T261*Z261+(1-T261)*AA261)*$J$2*Assumptions!$B$20,0))</f>
        <v>0</v>
      </c>
    </row>
    <row r="262" spans="1:53" x14ac:dyDescent="0.25">
      <c r="A262" s="17">
        <f t="shared" si="120"/>
        <v>50739</v>
      </c>
      <c r="B262">
        <f t="shared" si="112"/>
        <v>481</v>
      </c>
      <c r="C262">
        <f t="shared" si="113"/>
        <v>40</v>
      </c>
      <c r="D262">
        <f t="shared" si="141"/>
        <v>1</v>
      </c>
      <c r="E262">
        <f t="shared" si="114"/>
        <v>63</v>
      </c>
      <c r="F262">
        <f>IF(C262&gt;=$H$2,0,VLOOKUP($E262,'Mortality Table'!$A$3:$C$128,2+AB$2,FALSE))</f>
        <v>0</v>
      </c>
      <c r="G262">
        <f>F262*Assumptions!$B$1</f>
        <v>0</v>
      </c>
      <c r="H262">
        <f t="shared" si="121"/>
        <v>0</v>
      </c>
      <c r="I262">
        <f t="shared" si="142"/>
        <v>0</v>
      </c>
      <c r="J262">
        <f>HLOOKUP(C262,Assumptions!$A$6:$J$7,2,TRUE)</f>
        <v>3.5200000000000002E-2</v>
      </c>
      <c r="K262" s="18">
        <f t="shared" si="115"/>
        <v>0</v>
      </c>
      <c r="L262" s="18">
        <f t="shared" si="122"/>
        <v>8.3333333333333329E-2</v>
      </c>
      <c r="M262" s="18">
        <f t="shared" si="143"/>
        <v>2.9817501439168836E-3</v>
      </c>
      <c r="N262">
        <f t="shared" si="144"/>
        <v>1.3467375094907098E-3</v>
      </c>
      <c r="O262" s="20">
        <f t="shared" si="145"/>
        <v>0</v>
      </c>
      <c r="P262">
        <f>IF(B262&gt;$AF$2,0,O261*($E$2+IF(E262&lt;=Assumptions!$B$9,$D$2,0))/$I$2*K262)</f>
        <v>0</v>
      </c>
      <c r="Q262">
        <f t="shared" si="123"/>
        <v>0</v>
      </c>
      <c r="R262">
        <f>IF(B262&gt;$AF$2,0,IF($Y$2=1,(SUMIF('Mortality Tarif Male'!A:A,E263,'Mortality Tarif Male'!G:G)-SUMIF('Mortality Tarif Male'!A:A,$C$2+$H$2,'Mortality Tarif Male'!G:G)+SUMIF('Mortality Tarif Male'!A:A,$C$2+$H$2,'Mortality Tarif Male'!D:D))/SUMIF('Mortality Tarif Male'!A:A,E263,'Mortality Tarif Male'!D:D),(SUMIF('Mortality Tarif Female'!A:A,E263,'Mortality Tarif Female'!G:G)-SUMIF('Mortality Tarif Female'!A:A,$C$2+$H$2,'Mortality Tarif Female'!G:G)+SUMIF('Mortality Tarif Female'!A:A,$C$2+$H$2,'Mortality Tarif Female'!D:D))/SUMIF('Mortality Tarif Female'!A:A,E263,'Mortality Tarif Female'!D:D)))</f>
        <v>0</v>
      </c>
      <c r="S262">
        <f>IF(B262&gt;=$AF$2,0,IF($Y$2=1,(SUMIF('Mortality Tarif Male'!A:A,E263+1,'Mortality Tarif Male'!G:G)-SUMIF('Mortality Tarif Male'!A:A,$C$2+$H$2,'Mortality Tarif Male'!G:G)+SUMIF('Mortality Tarif Male'!A:A,$C$2+$H$2,'Mortality Tarif Male'!D:D))/SUMIF('Mortality Tarif Male'!A:A,E263+1,'Mortality Tarif Male'!D:D),(SUMIF('Mortality Tarif Female'!A:A,E263+1,'Mortality Tarif Female'!G:G)-SUMIF('Mortality Tarif Female'!A:A,$C$2+$H$2,'Mortality Tarif Female'!G:G)+SUMIF('Mortality Tarif Female'!A:A,$C$2+$H$2,'Mortality Tarif Female'!D:D))/SUMIF('Mortality Tarif Female'!A:A,E263+1,'Mortality Tarif Female'!D:D)))</f>
        <v>0</v>
      </c>
      <c r="T262">
        <f t="shared" si="124"/>
        <v>0.9166666666666643</v>
      </c>
      <c r="U262">
        <f t="shared" si="125"/>
        <v>0</v>
      </c>
      <c r="V262">
        <f t="shared" si="126"/>
        <v>0</v>
      </c>
      <c r="W262">
        <f t="shared" si="116"/>
        <v>0</v>
      </c>
      <c r="X262">
        <f t="shared" si="117"/>
        <v>0</v>
      </c>
      <c r="Y262">
        <f>IF(B262&gt;$AF$2,0,IF(X263=0,0,(1-X263)*($E$2+IF(E262&lt;=Assumptions!$B$9,$D$2,0))/$I$2*1/(1+$AG$2)*1/(1+Assumptions!$B$11)))</f>
        <v>0</v>
      </c>
      <c r="Z262">
        <f>IF(B262&gt;$AF$2,0,IF($Y$2=1,(SUMIF('Mortality Tarif Male'!A:A,E263,'Mortality Tarif Male'!E:E)-SUMIF('Mortality Tarif Male'!A:A,$C$2+$H$2,'Mortality Tarif Male'!E:E))/SUMIF('Mortality Tarif Male'!A:A,E263,'Mortality Tarif Male'!D:D),(SUMIF('Mortality Tarif Female'!A:A,E263,'Mortality Tarif Female'!E:E)-SUMIF('Mortality Tarif Female'!A:A,$C$2+$H$2,'Mortality Tarif Female'!E:E))/SUMIF('Mortality Tarif Female'!A:A,E263,'Mortality Tarif Female'!D:D)))</f>
        <v>0</v>
      </c>
      <c r="AA262">
        <f>IF(B262&gt;=$AF$2,0,IF($Y$2=1,(SUMIF('Mortality Tarif Male'!A:A,E263+1,'Mortality Tarif Male'!E:E)-SUMIF('Mortality Tarif Male'!A:A,$C$2+$H$2,'Mortality Tarif Male'!E:E))/SUMIF('Mortality Tarif Male'!A:A,E263+1,'Mortality Tarif Male'!D:D),(SUMIF('Mortality Tarif Female'!A:A,E263+1,'Mortality Tarif Female'!E:E)-SUMIF('Mortality Tarif Female'!A:A,$C$2+$H$2,'Mortality Tarif Female'!E:E))/SUMIF('Mortality Tarif Female'!A:A,E263+1,'Mortality Tarif Female'!D:D)))</f>
        <v>0</v>
      </c>
      <c r="AB262">
        <f t="shared" si="111"/>
        <v>0</v>
      </c>
      <c r="AC262">
        <f>IF(B262&gt;=$AF$2,0,MIN(1/3*(V262+W262+Y262-AB262),(V262-AB262),(T262*Z262+(1-T262)*AA262)*$AH$2*Assumptions!$B$22))</f>
        <v>0</v>
      </c>
      <c r="AD262">
        <f t="shared" si="127"/>
        <v>0</v>
      </c>
      <c r="AE262">
        <f t="shared" si="128"/>
        <v>0</v>
      </c>
      <c r="AF262">
        <f t="shared" si="129"/>
        <v>0</v>
      </c>
      <c r="AG262" s="26">
        <f t="shared" si="140"/>
        <v>0</v>
      </c>
      <c r="AH262" s="27">
        <f>IF(B262&gt;$AF$2,0,HLOOKUP(YEAR(A262),Assumptions!$A$34:$AL$37,4,TRUE)/100)</f>
        <v>0</v>
      </c>
      <c r="AI262">
        <f t="shared" si="130"/>
        <v>0</v>
      </c>
      <c r="AJ262">
        <f t="shared" si="131"/>
        <v>0</v>
      </c>
      <c r="AK262">
        <f t="shared" si="132"/>
        <v>0</v>
      </c>
      <c r="AL262">
        <f>IF(E262&gt;Assumptions!$B$9,0,SUMPRODUCT($P$2:$X$2,Assumptions!$A$43:$I$43)/$I$2*O261*K262)</f>
        <v>0</v>
      </c>
      <c r="AM262">
        <f t="shared" si="133"/>
        <v>9044.9899344630285</v>
      </c>
      <c r="AN262">
        <f t="shared" si="134"/>
        <v>9044.9899344630285</v>
      </c>
      <c r="AO262">
        <f>IF(E262&gt;Assumptions!$B$9,0,($V$2+$X$2)/$I$2*O261*K262*Assumptions!$B$46)</f>
        <v>0</v>
      </c>
      <c r="AP262">
        <f>IF(B262&gt;$AF$2,0,AP261*(1+Assumptions!$B$52)^(1/12))</f>
        <v>0</v>
      </c>
      <c r="AQ262" s="29">
        <f>IF(B262&gt;$AF$2,0,O261*Assumptions!$B$48/12*AP261+AR262*Assumptions!$B$50/12)</f>
        <v>0</v>
      </c>
      <c r="AR262" s="31">
        <f t="shared" si="135"/>
        <v>-63.40601712318896</v>
      </c>
      <c r="AS262">
        <f t="shared" si="118"/>
        <v>0</v>
      </c>
      <c r="AT262">
        <f t="shared" si="136"/>
        <v>0</v>
      </c>
      <c r="AU262" s="19">
        <f t="shared" si="137"/>
        <v>-63.40601712318896</v>
      </c>
      <c r="AV262" s="19">
        <f t="shared" si="138"/>
        <v>11.788328096308572</v>
      </c>
      <c r="AW262">
        <f t="shared" si="139"/>
        <v>0</v>
      </c>
      <c r="AX262">
        <f>IF(B262&gt;$AF$2,0,HLOOKUP(YEAR(A262),Assumptions!$A$34:$AL$37,2,TRUE)/100)</f>
        <v>0</v>
      </c>
      <c r="AY262" s="32">
        <f>1/(1+HLOOKUP(YEAR(A262),Assumptions!$A$27:$AL$29,3,TRUE))^(1/12)</f>
        <v>0.99804628830341602</v>
      </c>
      <c r="AZ262" s="30">
        <f t="shared" si="119"/>
        <v>0</v>
      </c>
      <c r="BA262">
        <f>IF(B262&gt;$AF$2,0,IF($E$2=0,(T262*Z262+(1-T262)*AA262)*$J$2*Assumptions!$B$20,0))</f>
        <v>0</v>
      </c>
    </row>
    <row r="263" spans="1:53" x14ac:dyDescent="0.25">
      <c r="A263" s="17">
        <f t="shared" si="120"/>
        <v>50770</v>
      </c>
      <c r="B263">
        <f t="shared" si="112"/>
        <v>482</v>
      </c>
      <c r="C263">
        <f t="shared" si="113"/>
        <v>40.083333333333336</v>
      </c>
      <c r="D263">
        <f t="shared" si="141"/>
        <v>0</v>
      </c>
      <c r="E263">
        <f t="shared" si="114"/>
        <v>63</v>
      </c>
      <c r="F263">
        <f>IF(C263&gt;=$H$2,0,VLOOKUP($E263,'Mortality Table'!$A$3:$C$128,2+AB$2,FALSE))</f>
        <v>0</v>
      </c>
      <c r="G263">
        <f>F263*Assumptions!$B$1</f>
        <v>0</v>
      </c>
      <c r="H263">
        <f t="shared" si="121"/>
        <v>0</v>
      </c>
      <c r="I263">
        <f t="shared" si="142"/>
        <v>0</v>
      </c>
      <c r="J263">
        <f>HLOOKUP(C263,Assumptions!$A$6:$J$7,2,TRUE)</f>
        <v>3.5200000000000002E-2</v>
      </c>
      <c r="K263" s="18">
        <f t="shared" si="115"/>
        <v>0</v>
      </c>
      <c r="L263" s="18">
        <f t="shared" si="122"/>
        <v>8.3333333333333329E-2</v>
      </c>
      <c r="M263" s="18">
        <f t="shared" si="143"/>
        <v>2.9817501439168836E-3</v>
      </c>
      <c r="N263">
        <f t="shared" si="144"/>
        <v>0</v>
      </c>
      <c r="O263" s="20">
        <f t="shared" si="145"/>
        <v>0</v>
      </c>
      <c r="P263">
        <f>IF(B263&gt;$AF$2,0,O262*($E$2+IF(E263&lt;=Assumptions!$B$9,$D$2,0))/$I$2*K263)</f>
        <v>0</v>
      </c>
      <c r="Q263">
        <f t="shared" si="123"/>
        <v>0</v>
      </c>
      <c r="R263">
        <f>IF(B263&gt;$AF$2,0,IF($Y$2=1,(SUMIF('Mortality Tarif Male'!A:A,E264,'Mortality Tarif Male'!G:G)-SUMIF('Mortality Tarif Male'!A:A,$C$2+$H$2,'Mortality Tarif Male'!G:G)+SUMIF('Mortality Tarif Male'!A:A,$C$2+$H$2,'Mortality Tarif Male'!D:D))/SUMIF('Mortality Tarif Male'!A:A,E264,'Mortality Tarif Male'!D:D),(SUMIF('Mortality Tarif Female'!A:A,E264,'Mortality Tarif Female'!G:G)-SUMIF('Mortality Tarif Female'!A:A,$C$2+$H$2,'Mortality Tarif Female'!G:G)+SUMIF('Mortality Tarif Female'!A:A,$C$2+$H$2,'Mortality Tarif Female'!D:D))/SUMIF('Mortality Tarif Female'!A:A,E264,'Mortality Tarif Female'!D:D)))</f>
        <v>0</v>
      </c>
      <c r="S263">
        <f>IF(B263&gt;=$AF$2,0,IF($Y$2=1,(SUMIF('Mortality Tarif Male'!A:A,E264+1,'Mortality Tarif Male'!G:G)-SUMIF('Mortality Tarif Male'!A:A,$C$2+$H$2,'Mortality Tarif Male'!G:G)+SUMIF('Mortality Tarif Male'!A:A,$C$2+$H$2,'Mortality Tarif Male'!D:D))/SUMIF('Mortality Tarif Male'!A:A,E264+1,'Mortality Tarif Male'!D:D),(SUMIF('Mortality Tarif Female'!A:A,E264+1,'Mortality Tarif Female'!G:G)-SUMIF('Mortality Tarif Female'!A:A,$C$2+$H$2,'Mortality Tarif Female'!G:G)+SUMIF('Mortality Tarif Female'!A:A,$C$2+$H$2,'Mortality Tarif Female'!D:D))/SUMIF('Mortality Tarif Female'!A:A,E264+1,'Mortality Tarif Female'!D:D)))</f>
        <v>0</v>
      </c>
      <c r="T263">
        <f t="shared" si="124"/>
        <v>0.8333333333333357</v>
      </c>
      <c r="U263">
        <f t="shared" si="125"/>
        <v>0</v>
      </c>
      <c r="V263">
        <f t="shared" si="126"/>
        <v>0</v>
      </c>
      <c r="W263">
        <f t="shared" si="116"/>
        <v>0</v>
      </c>
      <c r="X263">
        <f t="shared" si="117"/>
        <v>0</v>
      </c>
      <c r="Y263">
        <f>IF(B263&gt;$AF$2,0,IF(X264=0,0,(1-X264)*($E$2+IF(E263&lt;=Assumptions!$B$9,$D$2,0))/$I$2*1/(1+$AG$2)*1/(1+Assumptions!$B$11)))</f>
        <v>0</v>
      </c>
      <c r="Z263">
        <f>IF(B263&gt;$AF$2,0,IF($Y$2=1,(SUMIF('Mortality Tarif Male'!A:A,E264,'Mortality Tarif Male'!E:E)-SUMIF('Mortality Tarif Male'!A:A,$C$2+$H$2,'Mortality Tarif Male'!E:E))/SUMIF('Mortality Tarif Male'!A:A,E264,'Mortality Tarif Male'!D:D),(SUMIF('Mortality Tarif Female'!A:A,E264,'Mortality Tarif Female'!E:E)-SUMIF('Mortality Tarif Female'!A:A,$C$2+$H$2,'Mortality Tarif Female'!E:E))/SUMIF('Mortality Tarif Female'!A:A,E264,'Mortality Tarif Female'!D:D)))</f>
        <v>0</v>
      </c>
      <c r="AA263">
        <f>IF(B263&gt;=$AF$2,0,IF($Y$2=1,(SUMIF('Mortality Tarif Male'!A:A,E264+1,'Mortality Tarif Male'!E:E)-SUMIF('Mortality Tarif Male'!A:A,$C$2+$H$2,'Mortality Tarif Male'!E:E))/SUMIF('Mortality Tarif Male'!A:A,E264+1,'Mortality Tarif Male'!D:D),(SUMIF('Mortality Tarif Female'!A:A,E264+1,'Mortality Tarif Female'!E:E)-SUMIF('Mortality Tarif Female'!A:A,$C$2+$H$2,'Mortality Tarif Female'!E:E))/SUMIF('Mortality Tarif Female'!A:A,E264+1,'Mortality Tarif Female'!D:D)))</f>
        <v>0</v>
      </c>
      <c r="AB263">
        <f t="shared" si="111"/>
        <v>0</v>
      </c>
      <c r="AC263">
        <f>IF(B263&gt;=$AF$2,0,MIN(1/3*(V263+W263+Y263-AB263),(V263-AB263),(T263*Z263+(1-T263)*AA263)*$AH$2*Assumptions!$B$22))</f>
        <v>0</v>
      </c>
      <c r="AD263">
        <f t="shared" si="127"/>
        <v>0</v>
      </c>
      <c r="AE263">
        <f t="shared" si="128"/>
        <v>0</v>
      </c>
      <c r="AF263">
        <f t="shared" si="129"/>
        <v>0</v>
      </c>
      <c r="AG263" s="26">
        <f t="shared" si="140"/>
        <v>14727.25716206282</v>
      </c>
      <c r="AH263" s="27">
        <f>IF(B263&gt;$AF$2,0,HLOOKUP(YEAR(A263),Assumptions!$A$34:$AL$37,4,TRUE)/100)</f>
        <v>0</v>
      </c>
      <c r="AI263">
        <f t="shared" si="130"/>
        <v>0</v>
      </c>
      <c r="AJ263">
        <f t="shared" si="131"/>
        <v>0</v>
      </c>
      <c r="AK263">
        <f t="shared" si="132"/>
        <v>0</v>
      </c>
      <c r="AL263">
        <f>IF(E263&gt;Assumptions!$B$9,0,SUMPRODUCT($P$2:$X$2,Assumptions!$A$43:$I$43)/$I$2*O262*K263)</f>
        <v>0</v>
      </c>
      <c r="AM263">
        <f t="shared" si="133"/>
        <v>0</v>
      </c>
      <c r="AN263">
        <f t="shared" si="134"/>
        <v>0</v>
      </c>
      <c r="AO263">
        <f>IF(E263&gt;Assumptions!$B$9,0,($V$2+$X$2)/$I$2*O262*K263*Assumptions!$B$46)</f>
        <v>0</v>
      </c>
      <c r="AP263">
        <f>IF(B263&gt;$AF$2,0,AP262*(1+Assumptions!$B$52)^(1/12))</f>
        <v>0</v>
      </c>
      <c r="AQ263" s="29">
        <f>IF(B263&gt;$AF$2,0,O262*Assumptions!$B$48/12*AP262+AR263*Assumptions!$B$50/12)</f>
        <v>0</v>
      </c>
      <c r="AR263" s="31">
        <f t="shared" si="135"/>
        <v>0</v>
      </c>
      <c r="AS263">
        <f t="shared" si="118"/>
        <v>0</v>
      </c>
      <c r="AT263">
        <f t="shared" si="136"/>
        <v>0</v>
      </c>
      <c r="AU263" s="19">
        <f t="shared" si="137"/>
        <v>0</v>
      </c>
      <c r="AV263" s="19">
        <f t="shared" si="138"/>
        <v>0</v>
      </c>
      <c r="AW263">
        <f t="shared" si="139"/>
        <v>0</v>
      </c>
      <c r="AX263">
        <f>IF(B263&gt;$AF$2,0,HLOOKUP(YEAR(A263),Assumptions!$A$34:$AL$37,2,TRUE)/100)</f>
        <v>0</v>
      </c>
      <c r="AY263" s="32">
        <f>1/(1+HLOOKUP(YEAR(A263),Assumptions!$A$27:$AL$29,3,TRUE))^(1/12)</f>
        <v>0.99804628830341602</v>
      </c>
      <c r="AZ263" s="30">
        <f t="shared" si="119"/>
        <v>0</v>
      </c>
      <c r="BA263">
        <f>IF(B263&gt;$AF$2,0,IF($E$2=0,(T263*Z263+(1-T263)*AA263)*$J$2*Assumptions!$B$20,0))</f>
        <v>0</v>
      </c>
    </row>
    <row r="264" spans="1:53" x14ac:dyDescent="0.25">
      <c r="A264" s="17">
        <f t="shared" si="120"/>
        <v>50801</v>
      </c>
      <c r="B264">
        <f t="shared" si="112"/>
        <v>483</v>
      </c>
      <c r="C264">
        <f t="shared" si="113"/>
        <v>40.166666666666664</v>
      </c>
      <c r="D264">
        <f t="shared" si="141"/>
        <v>0</v>
      </c>
      <c r="E264">
        <f t="shared" si="114"/>
        <v>63</v>
      </c>
      <c r="F264">
        <f>IF(C264&gt;=$H$2,0,VLOOKUP($E264,'Mortality Table'!$A$3:$C$128,2+AB$2,FALSE))</f>
        <v>0</v>
      </c>
      <c r="G264">
        <f>F264*Assumptions!$B$1</f>
        <v>0</v>
      </c>
      <c r="H264">
        <f t="shared" si="121"/>
        <v>0</v>
      </c>
      <c r="I264">
        <f t="shared" si="142"/>
        <v>0</v>
      </c>
      <c r="J264">
        <f>HLOOKUP(C264,Assumptions!$A$6:$J$7,2,TRUE)</f>
        <v>3.5200000000000002E-2</v>
      </c>
      <c r="K264" s="18">
        <f t="shared" si="115"/>
        <v>0</v>
      </c>
      <c r="L264" s="18">
        <f t="shared" si="122"/>
        <v>8.3333333333333329E-2</v>
      </c>
      <c r="M264" s="18">
        <f t="shared" si="143"/>
        <v>2.9817501439168836E-3</v>
      </c>
      <c r="N264">
        <f t="shared" si="144"/>
        <v>0</v>
      </c>
      <c r="O264" s="20">
        <f t="shared" si="145"/>
        <v>0</v>
      </c>
      <c r="P264">
        <f>IF(B264&gt;$AF$2,0,O263*($E$2+IF(E264&lt;=Assumptions!$B$9,$D$2,0))/$I$2*K264)</f>
        <v>0</v>
      </c>
      <c r="Q264">
        <f t="shared" si="123"/>
        <v>0</v>
      </c>
      <c r="R264">
        <f>IF(B264&gt;$AF$2,0,IF($Y$2=1,(SUMIF('Mortality Tarif Male'!A:A,E265,'Mortality Tarif Male'!G:G)-SUMIF('Mortality Tarif Male'!A:A,$C$2+$H$2,'Mortality Tarif Male'!G:G)+SUMIF('Mortality Tarif Male'!A:A,$C$2+$H$2,'Mortality Tarif Male'!D:D))/SUMIF('Mortality Tarif Male'!A:A,E265,'Mortality Tarif Male'!D:D),(SUMIF('Mortality Tarif Female'!A:A,E265,'Mortality Tarif Female'!G:G)-SUMIF('Mortality Tarif Female'!A:A,$C$2+$H$2,'Mortality Tarif Female'!G:G)+SUMIF('Mortality Tarif Female'!A:A,$C$2+$H$2,'Mortality Tarif Female'!D:D))/SUMIF('Mortality Tarif Female'!A:A,E265,'Mortality Tarif Female'!D:D)))</f>
        <v>0</v>
      </c>
      <c r="S264">
        <f>IF(B264&gt;=$AF$2,0,IF($Y$2=1,(SUMIF('Mortality Tarif Male'!A:A,E265+1,'Mortality Tarif Male'!G:G)-SUMIF('Mortality Tarif Male'!A:A,$C$2+$H$2,'Mortality Tarif Male'!G:G)+SUMIF('Mortality Tarif Male'!A:A,$C$2+$H$2,'Mortality Tarif Male'!D:D))/SUMIF('Mortality Tarif Male'!A:A,E265+1,'Mortality Tarif Male'!D:D),(SUMIF('Mortality Tarif Female'!A:A,E265+1,'Mortality Tarif Female'!G:G)-SUMIF('Mortality Tarif Female'!A:A,$C$2+$H$2,'Mortality Tarif Female'!G:G)+SUMIF('Mortality Tarif Female'!A:A,$C$2+$H$2,'Mortality Tarif Female'!D:D))/SUMIF('Mortality Tarif Female'!A:A,E265+1,'Mortality Tarif Female'!D:D)))</f>
        <v>0</v>
      </c>
      <c r="T264">
        <f t="shared" si="124"/>
        <v>0.75</v>
      </c>
      <c r="U264">
        <f t="shared" si="125"/>
        <v>0</v>
      </c>
      <c r="V264">
        <f t="shared" si="126"/>
        <v>0</v>
      </c>
      <c r="W264">
        <f t="shared" si="116"/>
        <v>0</v>
      </c>
      <c r="X264">
        <f t="shared" si="117"/>
        <v>0</v>
      </c>
      <c r="Y264">
        <f>IF(B264&gt;$AF$2,0,IF(V265=0,0,(1-V265)*($E$2+IF(E264&lt;=Assumptions!$B$9,$D$2,0))/$I$2*1/(1+$AG$2)*1/(1+Assumptions!$B$11)))</f>
        <v>0</v>
      </c>
      <c r="Z264">
        <f>IF(B264&gt;$AF$2,0,IF($Y$2=1,(SUMIF('Mortality Tarif Male'!A:A,E265,'Mortality Tarif Male'!E:E)-SUMIF('Mortality Tarif Male'!A:A,$C$2+$H$2,'Mortality Tarif Male'!E:E))/SUMIF('Mortality Tarif Male'!A:A,E265,'Mortality Tarif Male'!D:D),(SUMIF('Mortality Tarif Female'!A:A,E265,'Mortality Tarif Female'!E:E)-SUMIF('Mortality Tarif Female'!A:A,$C$2+$H$2,'Mortality Tarif Female'!E:E))/SUMIF('Mortality Tarif Female'!A:A,E265,'Mortality Tarif Female'!D:D)))</f>
        <v>0</v>
      </c>
      <c r="AA264">
        <f>IF(B264&gt;=$AF$2,0,IF($Y$2=1,(SUMIF('Mortality Tarif Male'!A:A,E265+1,'Mortality Tarif Male'!E:E)-SUMIF('Mortality Tarif Male'!A:A,$C$2+$H$2,'Mortality Tarif Male'!E:E))/SUMIF('Mortality Tarif Male'!A:A,E265+1,'Mortality Tarif Male'!D:D),(SUMIF('Mortality Tarif Female'!A:A,E265+1,'Mortality Tarif Female'!E:E)-SUMIF('Mortality Tarif Female'!A:A,$C$2+$H$2,'Mortality Tarif Female'!E:E))/SUMIF('Mortality Tarif Female'!A:A,E265+1,'Mortality Tarif Female'!D:D)))</f>
        <v>0</v>
      </c>
      <c r="AB264">
        <f t="shared" si="111"/>
        <v>0</v>
      </c>
      <c r="AC264">
        <f>IF(B264&gt;=$AF$2,0,MIN(1/3*(V264+W264+Y264-AB264),(V264-AB264),(T264*Z264+(1-T264)*AA264)*$AH$2*Assumptions!$B$22))</f>
        <v>0</v>
      </c>
      <c r="AD264">
        <f t="shared" si="127"/>
        <v>0</v>
      </c>
      <c r="AE264">
        <f t="shared" si="128"/>
        <v>0</v>
      </c>
      <c r="AF264">
        <f t="shared" si="129"/>
        <v>0</v>
      </c>
      <c r="AG264" s="26">
        <f t="shared" si="140"/>
        <v>0</v>
      </c>
      <c r="AH264" s="27">
        <f>IF(B264&gt;$AF$2,0,HLOOKUP(YEAR(A264),Assumptions!$A$34:$AL$37,4,TRUE)/100)</f>
        <v>0</v>
      </c>
      <c r="AI264">
        <f t="shared" si="130"/>
        <v>0</v>
      </c>
      <c r="AJ264">
        <f t="shared" si="131"/>
        <v>0</v>
      </c>
      <c r="AK264">
        <f t="shared" si="132"/>
        <v>0</v>
      </c>
      <c r="AL264">
        <f>IF(E264&gt;Assumptions!$B$9,0,SUMPRODUCT($P$2:$X$2,Assumptions!$A$43:$I$43)/$I$2*O263*K264)</f>
        <v>0</v>
      </c>
      <c r="AM264">
        <f t="shared" si="133"/>
        <v>0</v>
      </c>
      <c r="AN264">
        <f t="shared" si="134"/>
        <v>0</v>
      </c>
      <c r="AO264">
        <f>IF(E264&gt;Assumptions!$B$9,0,($V$2+$X$2)/$I$2*O263*K264*Assumptions!$B$46)</f>
        <v>0</v>
      </c>
      <c r="AP264">
        <f>IF(B264&gt;$AF$2,0,AP263*(1+Assumptions!$B$52)^(1/12))</f>
        <v>0</v>
      </c>
      <c r="AQ264" s="29">
        <f>IF(B264&gt;$AF$2,0,O263*Assumptions!$B$48/12*AP263+AR264*Assumptions!$B$50/12)</f>
        <v>0</v>
      </c>
      <c r="AR264" s="31">
        <f t="shared" si="135"/>
        <v>0</v>
      </c>
      <c r="AS264">
        <f t="shared" si="118"/>
        <v>0</v>
      </c>
      <c r="AT264">
        <f t="shared" si="136"/>
        <v>0</v>
      </c>
      <c r="AU264" s="19">
        <f t="shared" si="137"/>
        <v>0</v>
      </c>
      <c r="AV264" s="19">
        <f t="shared" si="138"/>
        <v>0</v>
      </c>
      <c r="AW264">
        <f t="shared" si="139"/>
        <v>0</v>
      </c>
      <c r="AX264">
        <f>IF(B264&gt;$AF$2,0,HLOOKUP(YEAR(A264),Assumptions!$A$34:$AL$37,2,TRUE)/100)</f>
        <v>0</v>
      </c>
      <c r="AY264" s="32">
        <f>1/(1+HLOOKUP(YEAR(A264),Assumptions!$A$27:$AL$29,3,TRUE))^(1/12)</f>
        <v>0.99795794845611863</v>
      </c>
      <c r="AZ264" s="30">
        <f t="shared" si="119"/>
        <v>0</v>
      </c>
      <c r="BA264">
        <f>IF(B264&gt;$AF$2,0,IF($E$2=0,(T264*Z264+(1-T264)*AA264)*$J$2*Assumptions!$B$20,0))</f>
        <v>0</v>
      </c>
    </row>
    <row r="265" spans="1:53" x14ac:dyDescent="0.25">
      <c r="A265" s="17">
        <f t="shared" si="120"/>
        <v>50829</v>
      </c>
      <c r="B265">
        <f t="shared" si="112"/>
        <v>484</v>
      </c>
      <c r="C265">
        <f t="shared" ref="C265:C287" si="146">(B265+11)/12-1</f>
        <v>40.25</v>
      </c>
      <c r="D265">
        <f t="shared" ref="D265:D287" si="147">IF(C265-INT(C265)=0,1,0)</f>
        <v>0</v>
      </c>
      <c r="E265">
        <f t="shared" si="114"/>
        <v>63</v>
      </c>
      <c r="F265">
        <f>IF(C265&gt;=$H$2,0,VLOOKUP($E265,'Mortality Table'!$A$3:$C$128,2+AB$2,FALSE))</f>
        <v>0</v>
      </c>
      <c r="G265">
        <f>F265*Assumptions!$B$1</f>
        <v>0</v>
      </c>
      <c r="H265">
        <f t="shared" ref="H265:H287" si="148">(1-(1-G265)^(1/12))</f>
        <v>0</v>
      </c>
      <c r="I265">
        <f t="shared" ref="I265:I287" si="149">H265*O264*(1-M265/2)</f>
        <v>0</v>
      </c>
      <c r="J265">
        <f>HLOOKUP(C265,Assumptions!$A$6:$J$7,2,TRUE)</f>
        <v>3.5200000000000002E-2</v>
      </c>
      <c r="K265" s="18">
        <f t="shared" ref="K265:K287" si="150">IF(B265&gt;$AF$2,0,IF(($I$2*(B265+11))/12-INT(($I$2*(B265+11))/12)=0,1,0))</f>
        <v>0</v>
      </c>
      <c r="L265" s="18">
        <f t="shared" si="122"/>
        <v>8.3333333333333329E-2</v>
      </c>
      <c r="M265" s="18">
        <f t="shared" ref="M265:M287" si="151">(1-(1-J265)^L265)</f>
        <v>2.9817501439168836E-3</v>
      </c>
      <c r="N265">
        <f t="shared" ref="N265:N287" si="152">M265*O264*(1-H265/2)</f>
        <v>0</v>
      </c>
      <c r="O265" s="20">
        <f t="shared" ref="O265:O287" si="153">IF(B265&gt;$AF$2,0,O264-I265-N265)</f>
        <v>0</v>
      </c>
      <c r="P265">
        <f>IF(B265&gt;$AF$2,0,O264*($E$2+IF(E265&lt;=Assumptions!$B$9,$D$2,0))/$I$2*K265)</f>
        <v>0</v>
      </c>
      <c r="Q265">
        <f t="shared" ref="Q265:Q287" si="154">IF(B265&gt;$AF$2,0,Q264+AI264)</f>
        <v>0</v>
      </c>
      <c r="R265">
        <f>IF(B265&gt;$AF$2,0,IF($Y$2=1,(SUMIF('Mortality Tarif Male'!A:A,E266,'Mortality Tarif Male'!G:G)-SUMIF('Mortality Tarif Male'!A:A,$C$2+$H$2,'Mortality Tarif Male'!G:G)+SUMIF('Mortality Tarif Male'!A:A,$C$2+$H$2,'Mortality Tarif Male'!D:D))/SUMIF('Mortality Tarif Male'!A:A,E266,'Mortality Tarif Male'!D:D),(SUMIF('Mortality Tarif Female'!A:A,E266,'Mortality Tarif Female'!G:G)-SUMIF('Mortality Tarif Female'!A:A,$C$2+$H$2,'Mortality Tarif Female'!G:G)+SUMIF('Mortality Tarif Female'!A:A,$C$2+$H$2,'Mortality Tarif Female'!D:D))/SUMIF('Mortality Tarif Female'!A:A,E266,'Mortality Tarif Female'!D:D)))</f>
        <v>0</v>
      </c>
      <c r="S265">
        <f>IF(B265&gt;=$AF$2,0,IF($Y$2=1,(SUMIF('Mortality Tarif Male'!A:A,E266+1,'Mortality Tarif Male'!G:G)-SUMIF('Mortality Tarif Male'!A:A,$C$2+$H$2,'Mortality Tarif Male'!G:G)+SUMIF('Mortality Tarif Male'!A:A,$C$2+$H$2,'Mortality Tarif Male'!D:D))/SUMIF('Mortality Tarif Male'!A:A,E266+1,'Mortality Tarif Male'!D:D),(SUMIF('Mortality Tarif Female'!A:A,E266+1,'Mortality Tarif Female'!G:G)-SUMIF('Mortality Tarif Female'!A:A,$C$2+$H$2,'Mortality Tarif Female'!G:G)+SUMIF('Mortality Tarif Female'!A:A,$C$2+$H$2,'Mortality Tarif Female'!D:D))/SUMIF('Mortality Tarif Female'!A:A,E266+1,'Mortality Tarif Female'!D:D)))</f>
        <v>0</v>
      </c>
      <c r="T265">
        <f t="shared" ref="T265:T287" si="155">INT(B265/12)+1-B265/12</f>
        <v>0.6666666666666643</v>
      </c>
      <c r="U265">
        <f t="shared" ref="U265:U287" si="156">IF(B265&gt;=$AF$2,0,(T265*R265+(1-T265)*S265))</f>
        <v>0</v>
      </c>
      <c r="V265">
        <f t="shared" si="126"/>
        <v>0</v>
      </c>
      <c r="W265">
        <f t="shared" ref="W265:W287" si="157">IF(B265&gt;$AF$2,0,(T265*R265+(1-T265)*S265)*(Q264))</f>
        <v>0</v>
      </c>
      <c r="X265">
        <f t="shared" ref="X265:X287" si="158">($I$2*(B265+11))/12-INT(($I$2*(B265+11))/12)</f>
        <v>0</v>
      </c>
      <c r="Y265">
        <f>IF(B265&gt;$AF$2,0,IF(V266=0,0,(1-V266)*($E$2+IF(E265&lt;=Assumptions!$B$9,$D$2,0))/$I$2*1/(1+$AG$2)*1/(1+Assumptions!$B$11)))</f>
        <v>0</v>
      </c>
      <c r="Z265">
        <f>IF(B265&gt;$AF$2,0,IF($Y$2=1,(SUMIF('Mortality Tarif Male'!A:A,E266,'Mortality Tarif Male'!E:E)-SUMIF('Mortality Tarif Male'!A:A,$C$2+$H$2,'Mortality Tarif Male'!E:E))/SUMIF('Mortality Tarif Male'!A:A,E266,'Mortality Tarif Male'!D:D),(SUMIF('Mortality Tarif Female'!A:A,E266,'Mortality Tarif Female'!E:E)-SUMIF('Mortality Tarif Female'!A:A,$C$2+$H$2,'Mortality Tarif Female'!E:E))/SUMIF('Mortality Tarif Female'!A:A,E266,'Mortality Tarif Female'!D:D)))</f>
        <v>0</v>
      </c>
      <c r="AA265">
        <f>IF(B265&gt;=$AF$2,0,IF($Y$2=1,(SUMIF('Mortality Tarif Male'!A:A,E266+1,'Mortality Tarif Male'!E:E)-SUMIF('Mortality Tarif Male'!A:A,$C$2+$H$2,'Mortality Tarif Male'!E:E))/SUMIF('Mortality Tarif Male'!A:A,E266+1,'Mortality Tarif Male'!D:D),(SUMIF('Mortality Tarif Female'!A:A,E266+1,'Mortality Tarif Female'!E:E)-SUMIF('Mortality Tarif Female'!A:A,$C$2+$H$2,'Mortality Tarif Female'!E:E))/SUMIF('Mortality Tarif Female'!A:A,E266+1,'Mortality Tarif Female'!D:D)))</f>
        <v>0</v>
      </c>
      <c r="AB265">
        <f t="shared" ref="AB265:AB287" si="159">IF(B265&gt;=$AF$2,0,(T265*Z265+(1-T265)*AA265))*$AI$2</f>
        <v>0</v>
      </c>
      <c r="AC265">
        <f>IF(B265&gt;=$AF$2,0,MIN(1/3*(V265+W265+Y265-AB265),(V265-AB265),(T265*Z265+(1-T265)*AA265)*$AH$2*Assumptions!$B$22))</f>
        <v>0</v>
      </c>
      <c r="AD265">
        <f t="shared" ref="AD265:AD287" si="160">V265+W265+Y265-AB265-AC265</f>
        <v>0</v>
      </c>
      <c r="AE265">
        <f t="shared" ref="AE265:AE287" si="161">AD265-Y265+AC265</f>
        <v>0</v>
      </c>
      <c r="AF265">
        <f t="shared" ref="AF265:AF287" si="162">AE265-AC265</f>
        <v>0</v>
      </c>
      <c r="AG265" s="26">
        <f t="shared" ref="AG265:AG287" si="163">IF(MONTH(A265)=12,AVERAGE(AF254:AF265),0)</f>
        <v>0</v>
      </c>
      <c r="AH265" s="27">
        <f>IF(B265&gt;$AF$2,0,HLOOKUP(YEAR(A265),Assumptions!$A$34:$AL$37,4,TRUE)/100)</f>
        <v>0</v>
      </c>
      <c r="AI265">
        <f t="shared" ref="AI265:AI287" si="164">IF(B265&gt;$AF$2,0,IF(MONTH(A265)=12,AG265*MAX(0,AH265-$K$2/100)/U265*MIN(12,B265)/12,0))</f>
        <v>0</v>
      </c>
      <c r="AJ265">
        <f t="shared" ref="AJ265:AJ287" si="165">I265*($J$2+Q265)</f>
        <v>0</v>
      </c>
      <c r="AK265">
        <f t="shared" si="132"/>
        <v>0</v>
      </c>
      <c r="AL265">
        <f>IF(E265&gt;Assumptions!$B$9,0,SUMPRODUCT($P$2:$X$2,Assumptions!$A$43:$I$43)/$I$2*O264*K265)</f>
        <v>0</v>
      </c>
      <c r="AM265">
        <f t="shared" ref="AM265:AM287" si="166">IF(B265-1=$AF$2,($J$2+Q264)*O264,0)</f>
        <v>0</v>
      </c>
      <c r="AN265">
        <f t="shared" ref="AN265:AN287" si="167">SUM(AJ265:AM265)</f>
        <v>0</v>
      </c>
      <c r="AO265">
        <f>IF(E265&gt;Assumptions!$B$9,0,($V$2+$X$2)/$I$2*O264*K265*Assumptions!$B$46)</f>
        <v>0</v>
      </c>
      <c r="AP265">
        <f>IF(B265&gt;$AF$2,0,AP264*(1+Assumptions!$B$52)^(1/12))</f>
        <v>0</v>
      </c>
      <c r="AQ265" s="29">
        <f>IF(B265&gt;$AF$2,0,O264*Assumptions!$B$48/12*AP264+AR265*Assumptions!$B$50/12)</f>
        <v>0</v>
      </c>
      <c r="AR265" s="31">
        <f t="shared" si="135"/>
        <v>0</v>
      </c>
      <c r="AS265">
        <f t="shared" ref="AS265:AS287" si="168">AD265*O265</f>
        <v>0</v>
      </c>
      <c r="AT265">
        <f t="shared" ref="AT265:AT287" si="169">$AI$2/$I$2*O264*K265</f>
        <v>0</v>
      </c>
      <c r="AU265" s="19">
        <f t="shared" ref="AU265:AU287" si="170">AS264+AW264+P265-AQ265-AO265-AL265</f>
        <v>0</v>
      </c>
      <c r="AV265" s="19">
        <f t="shared" ref="AV265:AV287" si="171">AF264*O264+AT265-AL265</f>
        <v>0</v>
      </c>
      <c r="AW265">
        <f t="shared" si="139"/>
        <v>0</v>
      </c>
      <c r="AX265">
        <f>IF(B265&gt;$AF$2,0,HLOOKUP(YEAR(A265),Assumptions!$A$34:$AL$37,2,TRUE)/100)</f>
        <v>0</v>
      </c>
      <c r="AY265" s="32">
        <f>1/(1+HLOOKUP(YEAR(A265),Assumptions!$A$27:$AL$29,3,TRUE))^(1/12)</f>
        <v>0.99795794845611863</v>
      </c>
      <c r="AZ265" s="30">
        <f t="shared" ref="AZ265:AZ287" si="172">(AZ266+AN266+AO266+AQ266-P266)*AY266</f>
        <v>0</v>
      </c>
      <c r="BA265">
        <f>IF(B265&gt;$AF$2,0,IF($E$2=0,(T265*Z265+(1-T265)*AA265)*$J$2*Assumptions!$B$20,0))</f>
        <v>0</v>
      </c>
    </row>
    <row r="266" spans="1:53" x14ac:dyDescent="0.25">
      <c r="A266" s="17">
        <f t="shared" si="120"/>
        <v>50860</v>
      </c>
      <c r="B266">
        <f t="shared" si="112"/>
        <v>485</v>
      </c>
      <c r="C266">
        <f t="shared" si="146"/>
        <v>40.333333333333336</v>
      </c>
      <c r="D266">
        <f t="shared" si="147"/>
        <v>0</v>
      </c>
      <c r="E266">
        <f t="shared" si="114"/>
        <v>63</v>
      </c>
      <c r="F266">
        <f>IF(C266&gt;=$H$2,0,VLOOKUP($E266,'Mortality Table'!$A$3:$C$128,2+AB$2,FALSE))</f>
        <v>0</v>
      </c>
      <c r="G266">
        <f>F266*Assumptions!$B$1</f>
        <v>0</v>
      </c>
      <c r="H266">
        <f t="shared" si="148"/>
        <v>0</v>
      </c>
      <c r="I266">
        <f t="shared" si="149"/>
        <v>0</v>
      </c>
      <c r="J266">
        <f>HLOOKUP(C266,Assumptions!$A$6:$J$7,2,TRUE)</f>
        <v>3.5200000000000002E-2</v>
      </c>
      <c r="K266" s="18">
        <f t="shared" si="150"/>
        <v>0</v>
      </c>
      <c r="L266" s="18">
        <f t="shared" si="122"/>
        <v>8.3333333333333329E-2</v>
      </c>
      <c r="M266" s="18">
        <f t="shared" si="151"/>
        <v>2.9817501439168836E-3</v>
      </c>
      <c r="N266">
        <f t="shared" si="152"/>
        <v>0</v>
      </c>
      <c r="O266" s="20">
        <f t="shared" si="153"/>
        <v>0</v>
      </c>
      <c r="P266">
        <f>IF(B266&gt;$AF$2,0,O265*($E$2+IF(E266&lt;=Assumptions!$B$9,$D$2,0))/$I$2*K266)</f>
        <v>0</v>
      </c>
      <c r="Q266">
        <f t="shared" si="154"/>
        <v>0</v>
      </c>
      <c r="R266">
        <f>IF(B266&gt;$AF$2,0,IF($Y$2=1,(SUMIF('Mortality Tarif Male'!A:A,E267,'Mortality Tarif Male'!G:G)-SUMIF('Mortality Tarif Male'!A:A,$C$2+$H$2,'Mortality Tarif Male'!G:G)+SUMIF('Mortality Tarif Male'!A:A,$C$2+$H$2,'Mortality Tarif Male'!D:D))/SUMIF('Mortality Tarif Male'!A:A,E267,'Mortality Tarif Male'!D:D),(SUMIF('Mortality Tarif Female'!A:A,E267,'Mortality Tarif Female'!G:G)-SUMIF('Mortality Tarif Female'!A:A,$C$2+$H$2,'Mortality Tarif Female'!G:G)+SUMIF('Mortality Tarif Female'!A:A,$C$2+$H$2,'Mortality Tarif Female'!D:D))/SUMIF('Mortality Tarif Female'!A:A,E267,'Mortality Tarif Female'!D:D)))</f>
        <v>0</v>
      </c>
      <c r="S266">
        <f>IF(B266&gt;=$AF$2,0,IF($Y$2=1,(SUMIF('Mortality Tarif Male'!A:A,E267+1,'Mortality Tarif Male'!G:G)-SUMIF('Mortality Tarif Male'!A:A,$C$2+$H$2,'Mortality Tarif Male'!G:G)+SUMIF('Mortality Tarif Male'!A:A,$C$2+$H$2,'Mortality Tarif Male'!D:D))/SUMIF('Mortality Tarif Male'!A:A,E267+1,'Mortality Tarif Male'!D:D),(SUMIF('Mortality Tarif Female'!A:A,E267+1,'Mortality Tarif Female'!G:G)-SUMIF('Mortality Tarif Female'!A:A,$C$2+$H$2,'Mortality Tarif Female'!G:G)+SUMIF('Mortality Tarif Female'!A:A,$C$2+$H$2,'Mortality Tarif Female'!D:D))/SUMIF('Mortality Tarif Female'!A:A,E267+1,'Mortality Tarif Female'!D:D)))</f>
        <v>0</v>
      </c>
      <c r="T266">
        <f t="shared" si="155"/>
        <v>0.5833333333333357</v>
      </c>
      <c r="U266">
        <f t="shared" si="156"/>
        <v>0</v>
      </c>
      <c r="V266">
        <f t="shared" si="126"/>
        <v>0</v>
      </c>
      <c r="W266">
        <f t="shared" si="157"/>
        <v>0</v>
      </c>
      <c r="X266">
        <f t="shared" si="158"/>
        <v>0</v>
      </c>
      <c r="Y266">
        <f>IF(B266&gt;$AF$2,0,IF(V267=0,0,(1-V267)*($E$2+IF(E266&lt;=Assumptions!$B$9,$D$2,0))/$I$2*1/(1+$AG$2)*1/(1+Assumptions!$B$11)))</f>
        <v>0</v>
      </c>
      <c r="Z266">
        <f>IF(B266&gt;$AF$2,0,IF($Y$2=1,(SUMIF('Mortality Tarif Male'!A:A,E267,'Mortality Tarif Male'!E:E)-SUMIF('Mortality Tarif Male'!A:A,$C$2+$H$2,'Mortality Tarif Male'!E:E))/SUMIF('Mortality Tarif Male'!A:A,E267,'Mortality Tarif Male'!D:D),(SUMIF('Mortality Tarif Female'!A:A,E267,'Mortality Tarif Female'!E:E)-SUMIF('Mortality Tarif Female'!A:A,$C$2+$H$2,'Mortality Tarif Female'!E:E))/SUMIF('Mortality Tarif Female'!A:A,E267,'Mortality Tarif Female'!D:D)))</f>
        <v>0</v>
      </c>
      <c r="AA266">
        <f>IF(B266&gt;=$AF$2,0,IF($Y$2=1,(SUMIF('Mortality Tarif Male'!A:A,E267+1,'Mortality Tarif Male'!E:E)-SUMIF('Mortality Tarif Male'!A:A,$C$2+$H$2,'Mortality Tarif Male'!E:E))/SUMIF('Mortality Tarif Male'!A:A,E267+1,'Mortality Tarif Male'!D:D),(SUMIF('Mortality Tarif Female'!A:A,E267+1,'Mortality Tarif Female'!E:E)-SUMIF('Mortality Tarif Female'!A:A,$C$2+$H$2,'Mortality Tarif Female'!E:E))/SUMIF('Mortality Tarif Female'!A:A,E267+1,'Mortality Tarif Female'!D:D)))</f>
        <v>0</v>
      </c>
      <c r="AB266">
        <f t="shared" si="159"/>
        <v>0</v>
      </c>
      <c r="AC266">
        <f>IF(B266&gt;=$AF$2,0,MIN(1/3*(V266+W266+Y266-AB266),(V266-AB266),(T266*Z266+(1-T266)*AA266)*$AH$2*Assumptions!$B$22))</f>
        <v>0</v>
      </c>
      <c r="AD266">
        <f t="shared" si="160"/>
        <v>0</v>
      </c>
      <c r="AE266">
        <f t="shared" si="161"/>
        <v>0</v>
      </c>
      <c r="AF266">
        <f t="shared" si="162"/>
        <v>0</v>
      </c>
      <c r="AG266" s="26">
        <f t="shared" si="163"/>
        <v>0</v>
      </c>
      <c r="AH266" s="27">
        <f>IF(B266&gt;$AF$2,0,HLOOKUP(YEAR(A266),Assumptions!$A$34:$AL$37,4,TRUE)/100)</f>
        <v>0</v>
      </c>
      <c r="AI266">
        <f t="shared" si="164"/>
        <v>0</v>
      </c>
      <c r="AJ266">
        <f t="shared" si="165"/>
        <v>0</v>
      </c>
      <c r="AK266">
        <f t="shared" si="132"/>
        <v>0</v>
      </c>
      <c r="AL266">
        <f>IF(E266&gt;Assumptions!$B$9,0,SUMPRODUCT($P$2:$X$2,Assumptions!$A$43:$I$43)/$I$2*O265*K266)</f>
        <v>0</v>
      </c>
      <c r="AM266">
        <f t="shared" si="166"/>
        <v>0</v>
      </c>
      <c r="AN266">
        <f t="shared" si="167"/>
        <v>0</v>
      </c>
      <c r="AO266">
        <f>IF(E266&gt;Assumptions!$B$9,0,($V$2+$X$2)/$I$2*O265*K266*Assumptions!$B$46)</f>
        <v>0</v>
      </c>
      <c r="AP266">
        <f>IF(B266&gt;$AF$2,0,AP265*(1+Assumptions!$B$52)^(1/12))</f>
        <v>0</v>
      </c>
      <c r="AQ266" s="29">
        <f>IF(B266&gt;$AF$2,0,O265*Assumptions!$B$48/12*AP265+AR266*Assumptions!$B$50/12)</f>
        <v>0</v>
      </c>
      <c r="AR266" s="31">
        <f t="shared" si="135"/>
        <v>0</v>
      </c>
      <c r="AS266">
        <f t="shared" si="168"/>
        <v>0</v>
      </c>
      <c r="AT266">
        <f t="shared" si="169"/>
        <v>0</v>
      </c>
      <c r="AU266" s="19">
        <f t="shared" si="170"/>
        <v>0</v>
      </c>
      <c r="AV266" s="19">
        <f t="shared" si="171"/>
        <v>0</v>
      </c>
      <c r="AW266">
        <f t="shared" si="139"/>
        <v>0</v>
      </c>
      <c r="AX266">
        <f>IF(B266&gt;$AF$2,0,HLOOKUP(YEAR(A266),Assumptions!$A$34:$AL$37,2,TRUE)/100)</f>
        <v>0</v>
      </c>
      <c r="AY266" s="32">
        <f>1/(1+HLOOKUP(YEAR(A266),Assumptions!$A$27:$AL$29,3,TRUE))^(1/12)</f>
        <v>0.99795794845611863</v>
      </c>
      <c r="AZ266" s="30">
        <f t="shared" si="172"/>
        <v>0</v>
      </c>
      <c r="BA266">
        <f>IF(B266&gt;$AF$2,0,IF($E$2=0,(T266*Z266+(1-T266)*AA266)*$J$2*Assumptions!$B$20,0))</f>
        <v>0</v>
      </c>
    </row>
    <row r="267" spans="1:53" x14ac:dyDescent="0.25">
      <c r="A267" s="17">
        <f t="shared" si="120"/>
        <v>50890</v>
      </c>
      <c r="B267">
        <f t="shared" si="112"/>
        <v>486</v>
      </c>
      <c r="C267">
        <f t="shared" si="146"/>
        <v>40.416666666666664</v>
      </c>
      <c r="D267">
        <f t="shared" si="147"/>
        <v>0</v>
      </c>
      <c r="E267">
        <f t="shared" si="114"/>
        <v>63</v>
      </c>
      <c r="F267">
        <f>IF(C267&gt;=$H$2,0,VLOOKUP($E267,'Mortality Table'!$A$3:$C$128,2+AB$2,FALSE))</f>
        <v>0</v>
      </c>
      <c r="G267">
        <f>F267*Assumptions!$B$1</f>
        <v>0</v>
      </c>
      <c r="H267">
        <f t="shared" si="148"/>
        <v>0</v>
      </c>
      <c r="I267">
        <f t="shared" si="149"/>
        <v>0</v>
      </c>
      <c r="J267">
        <f>HLOOKUP(C267,Assumptions!$A$6:$J$7,2,TRUE)</f>
        <v>3.5200000000000002E-2</v>
      </c>
      <c r="K267" s="18">
        <f t="shared" si="150"/>
        <v>0</v>
      </c>
      <c r="L267" s="18">
        <f t="shared" si="122"/>
        <v>8.3333333333333329E-2</v>
      </c>
      <c r="M267" s="18">
        <f t="shared" si="151"/>
        <v>2.9817501439168836E-3</v>
      </c>
      <c r="N267">
        <f t="shared" si="152"/>
        <v>0</v>
      </c>
      <c r="O267" s="20">
        <f t="shared" si="153"/>
        <v>0</v>
      </c>
      <c r="P267">
        <f>IF(B267&gt;$AF$2,0,O266*($E$2+IF(E267&lt;=Assumptions!$B$9,$D$2,0))/$I$2*K267)</f>
        <v>0</v>
      </c>
      <c r="Q267">
        <f t="shared" si="154"/>
        <v>0</v>
      </c>
      <c r="R267">
        <f>IF(B267&gt;$AF$2,0,IF($Y$2=1,(SUMIF('Mortality Tarif Male'!A:A,E268,'Mortality Tarif Male'!G:G)-SUMIF('Mortality Tarif Male'!A:A,$C$2+$H$2,'Mortality Tarif Male'!G:G)+SUMIF('Mortality Tarif Male'!A:A,$C$2+$H$2,'Mortality Tarif Male'!D:D))/SUMIF('Mortality Tarif Male'!A:A,E268,'Mortality Tarif Male'!D:D),(SUMIF('Mortality Tarif Female'!A:A,E268,'Mortality Tarif Female'!G:G)-SUMIF('Mortality Tarif Female'!A:A,$C$2+$H$2,'Mortality Tarif Female'!G:G)+SUMIF('Mortality Tarif Female'!A:A,$C$2+$H$2,'Mortality Tarif Female'!D:D))/SUMIF('Mortality Tarif Female'!A:A,E268,'Mortality Tarif Female'!D:D)))</f>
        <v>0</v>
      </c>
      <c r="S267">
        <f>IF(B267&gt;=$AF$2,0,IF($Y$2=1,(SUMIF('Mortality Tarif Male'!A:A,E268+1,'Mortality Tarif Male'!G:G)-SUMIF('Mortality Tarif Male'!A:A,$C$2+$H$2,'Mortality Tarif Male'!G:G)+SUMIF('Mortality Tarif Male'!A:A,$C$2+$H$2,'Mortality Tarif Male'!D:D))/SUMIF('Mortality Tarif Male'!A:A,E268+1,'Mortality Tarif Male'!D:D),(SUMIF('Mortality Tarif Female'!A:A,E268+1,'Mortality Tarif Female'!G:G)-SUMIF('Mortality Tarif Female'!A:A,$C$2+$H$2,'Mortality Tarif Female'!G:G)+SUMIF('Mortality Tarif Female'!A:A,$C$2+$H$2,'Mortality Tarif Female'!D:D))/SUMIF('Mortality Tarif Female'!A:A,E268+1,'Mortality Tarif Female'!D:D)))</f>
        <v>0</v>
      </c>
      <c r="T267">
        <f t="shared" si="155"/>
        <v>0.5</v>
      </c>
      <c r="U267">
        <f t="shared" si="156"/>
        <v>0</v>
      </c>
      <c r="V267">
        <f t="shared" si="126"/>
        <v>0</v>
      </c>
      <c r="W267">
        <f t="shared" si="157"/>
        <v>0</v>
      </c>
      <c r="X267">
        <f t="shared" si="158"/>
        <v>0</v>
      </c>
      <c r="Y267">
        <f>IF(B267&gt;$AF$2,0,IF(V268=0,0,(1-V268)*($E$2+IF(E267&lt;=Assumptions!$B$9,$D$2,0))/$I$2*1/(1+$AG$2)*1/(1+Assumptions!$B$11)))</f>
        <v>0</v>
      </c>
      <c r="Z267">
        <f>IF(B267&gt;$AF$2,0,IF($Y$2=1,(SUMIF('Mortality Tarif Male'!A:A,E268,'Mortality Tarif Male'!E:E)-SUMIF('Mortality Tarif Male'!A:A,$C$2+$H$2,'Mortality Tarif Male'!E:E))/SUMIF('Mortality Tarif Male'!A:A,E268,'Mortality Tarif Male'!D:D),(SUMIF('Mortality Tarif Female'!A:A,E268,'Mortality Tarif Female'!E:E)-SUMIF('Mortality Tarif Female'!A:A,$C$2+$H$2,'Mortality Tarif Female'!E:E))/SUMIF('Mortality Tarif Female'!A:A,E268,'Mortality Tarif Female'!D:D)))</f>
        <v>0</v>
      </c>
      <c r="AA267">
        <f>IF(B267&gt;=$AF$2,0,IF($Y$2=1,(SUMIF('Mortality Tarif Male'!A:A,E268+1,'Mortality Tarif Male'!E:E)-SUMIF('Mortality Tarif Male'!A:A,$C$2+$H$2,'Mortality Tarif Male'!E:E))/SUMIF('Mortality Tarif Male'!A:A,E268+1,'Mortality Tarif Male'!D:D),(SUMIF('Mortality Tarif Female'!A:A,E268+1,'Mortality Tarif Female'!E:E)-SUMIF('Mortality Tarif Female'!A:A,$C$2+$H$2,'Mortality Tarif Female'!E:E))/SUMIF('Mortality Tarif Female'!A:A,E268+1,'Mortality Tarif Female'!D:D)))</f>
        <v>0</v>
      </c>
      <c r="AB267">
        <f t="shared" si="159"/>
        <v>0</v>
      </c>
      <c r="AC267">
        <f>IF(B267&gt;=$AF$2,0,MIN(1/3*(V267+W267+Y267-AB267),(V267-AB267),(T267*Z267+(1-T267)*AA267)*$AH$2*Assumptions!$B$22))</f>
        <v>0</v>
      </c>
      <c r="AD267">
        <f t="shared" si="160"/>
        <v>0</v>
      </c>
      <c r="AE267">
        <f t="shared" si="161"/>
        <v>0</v>
      </c>
      <c r="AF267">
        <f t="shared" si="162"/>
        <v>0</v>
      </c>
      <c r="AG267" s="26">
        <f t="shared" si="163"/>
        <v>0</v>
      </c>
      <c r="AH267" s="27">
        <f>IF(B267&gt;$AF$2,0,HLOOKUP(YEAR(A267),Assumptions!$A$34:$AL$37,4,TRUE)/100)</f>
        <v>0</v>
      </c>
      <c r="AI267">
        <f t="shared" si="164"/>
        <v>0</v>
      </c>
      <c r="AJ267">
        <f t="shared" si="165"/>
        <v>0</v>
      </c>
      <c r="AK267">
        <f t="shared" si="132"/>
        <v>0</v>
      </c>
      <c r="AL267">
        <f>IF(E267&gt;Assumptions!$B$9,0,SUMPRODUCT($P$2:$X$2,Assumptions!$A$43:$I$43)/$I$2*O266*K267)</f>
        <v>0</v>
      </c>
      <c r="AM267">
        <f t="shared" si="166"/>
        <v>0</v>
      </c>
      <c r="AN267">
        <f t="shared" si="167"/>
        <v>0</v>
      </c>
      <c r="AO267">
        <f>IF(E267&gt;Assumptions!$B$9,0,($V$2+$X$2)/$I$2*O266*K267*Assumptions!$B$46)</f>
        <v>0</v>
      </c>
      <c r="AP267">
        <f>IF(B267&gt;$AF$2,0,AP266*(1+Assumptions!$B$52)^(1/12))</f>
        <v>0</v>
      </c>
      <c r="AQ267" s="29">
        <f>IF(B267&gt;$AF$2,0,O266*Assumptions!$B$48/12*AP266+AR267*Assumptions!$B$50/12)</f>
        <v>0</v>
      </c>
      <c r="AR267" s="31">
        <f t="shared" si="135"/>
        <v>0</v>
      </c>
      <c r="AS267">
        <f t="shared" si="168"/>
        <v>0</v>
      </c>
      <c r="AT267">
        <f t="shared" si="169"/>
        <v>0</v>
      </c>
      <c r="AU267" s="19">
        <f t="shared" si="170"/>
        <v>0</v>
      </c>
      <c r="AV267" s="19">
        <f t="shared" si="171"/>
        <v>0</v>
      </c>
      <c r="AW267">
        <f t="shared" si="139"/>
        <v>0</v>
      </c>
      <c r="AX267">
        <f>IF(B267&gt;$AF$2,0,HLOOKUP(YEAR(A267),Assumptions!$A$34:$AL$37,2,TRUE)/100)</f>
        <v>0</v>
      </c>
      <c r="AY267" s="32">
        <f>1/(1+HLOOKUP(YEAR(A267),Assumptions!$A$27:$AL$29,3,TRUE))^(1/12)</f>
        <v>0.99795794845611863</v>
      </c>
      <c r="AZ267" s="30">
        <f t="shared" si="172"/>
        <v>0</v>
      </c>
      <c r="BA267">
        <f>IF(B267&gt;$AF$2,0,IF($E$2=0,(T267*Z267+(1-T267)*AA267)*$J$2*Assumptions!$B$20,0))</f>
        <v>0</v>
      </c>
    </row>
    <row r="268" spans="1:53" x14ac:dyDescent="0.25">
      <c r="A268" s="17">
        <f t="shared" si="120"/>
        <v>50921</v>
      </c>
      <c r="B268">
        <f t="shared" ref="B268:B287" si="173">B267+1</f>
        <v>487</v>
      </c>
      <c r="C268">
        <f t="shared" si="146"/>
        <v>40.5</v>
      </c>
      <c r="D268">
        <f t="shared" si="147"/>
        <v>0</v>
      </c>
      <c r="E268">
        <f t="shared" ref="E268:E287" si="174">$C$2+INT($C268)</f>
        <v>63</v>
      </c>
      <c r="F268">
        <f>IF(C268&gt;=$H$2,0,VLOOKUP($E268,'Mortality Table'!$A$3:$C$128,2+AB$2,FALSE))</f>
        <v>0</v>
      </c>
      <c r="G268">
        <f>F268*Assumptions!$B$1</f>
        <v>0</v>
      </c>
      <c r="H268">
        <f t="shared" si="148"/>
        <v>0</v>
      </c>
      <c r="I268">
        <f t="shared" si="149"/>
        <v>0</v>
      </c>
      <c r="J268">
        <f>HLOOKUP(C268,Assumptions!$A$6:$J$7,2,TRUE)</f>
        <v>3.5200000000000002E-2</v>
      </c>
      <c r="K268" s="18">
        <f t="shared" si="150"/>
        <v>0</v>
      </c>
      <c r="L268" s="18">
        <f t="shared" si="122"/>
        <v>8.3333333333333329E-2</v>
      </c>
      <c r="M268" s="18">
        <f t="shared" si="151"/>
        <v>2.9817501439168836E-3</v>
      </c>
      <c r="N268">
        <f t="shared" si="152"/>
        <v>0</v>
      </c>
      <c r="O268" s="20">
        <f t="shared" si="153"/>
        <v>0</v>
      </c>
      <c r="P268">
        <f>IF(B268&gt;$AF$2,0,O267*($E$2+IF(E268&lt;=Assumptions!$B$9,$D$2,0))/$I$2*K268)</f>
        <v>0</v>
      </c>
      <c r="Q268">
        <f t="shared" si="154"/>
        <v>0</v>
      </c>
      <c r="R268">
        <f>IF(B268&gt;$AF$2,0,IF($Y$2=1,(SUMIF('Mortality Tarif Male'!A:A,E269,'Mortality Tarif Male'!G:G)-SUMIF('Mortality Tarif Male'!A:A,$C$2+$H$2,'Mortality Tarif Male'!G:G)+SUMIF('Mortality Tarif Male'!A:A,$C$2+$H$2,'Mortality Tarif Male'!D:D))/SUMIF('Mortality Tarif Male'!A:A,E269,'Mortality Tarif Male'!D:D),(SUMIF('Mortality Tarif Female'!A:A,E269,'Mortality Tarif Female'!G:G)-SUMIF('Mortality Tarif Female'!A:A,$C$2+$H$2,'Mortality Tarif Female'!G:G)+SUMIF('Mortality Tarif Female'!A:A,$C$2+$H$2,'Mortality Tarif Female'!D:D))/SUMIF('Mortality Tarif Female'!A:A,E269,'Mortality Tarif Female'!D:D)))</f>
        <v>0</v>
      </c>
      <c r="S268">
        <f>IF(B268&gt;=$AF$2,0,IF($Y$2=1,(SUMIF('Mortality Tarif Male'!A:A,E269+1,'Mortality Tarif Male'!G:G)-SUMIF('Mortality Tarif Male'!A:A,$C$2+$H$2,'Mortality Tarif Male'!G:G)+SUMIF('Mortality Tarif Male'!A:A,$C$2+$H$2,'Mortality Tarif Male'!D:D))/SUMIF('Mortality Tarif Male'!A:A,E269+1,'Mortality Tarif Male'!D:D),(SUMIF('Mortality Tarif Female'!A:A,E269+1,'Mortality Tarif Female'!G:G)-SUMIF('Mortality Tarif Female'!A:A,$C$2+$H$2,'Mortality Tarif Female'!G:G)+SUMIF('Mortality Tarif Female'!A:A,$C$2+$H$2,'Mortality Tarif Female'!D:D))/SUMIF('Mortality Tarif Female'!A:A,E269+1,'Mortality Tarif Female'!D:D)))</f>
        <v>0</v>
      </c>
      <c r="T268">
        <f t="shared" si="155"/>
        <v>0.4166666666666643</v>
      </c>
      <c r="U268">
        <f t="shared" si="156"/>
        <v>0</v>
      </c>
      <c r="V268">
        <f t="shared" si="126"/>
        <v>0</v>
      </c>
      <c r="W268">
        <f t="shared" si="157"/>
        <v>0</v>
      </c>
      <c r="X268">
        <f t="shared" si="158"/>
        <v>0</v>
      </c>
      <c r="Y268">
        <f>IF(B268&gt;$AF$2,0,IF(V269=0,0,(1-V269)*($E$2+IF(E268&lt;=Assumptions!$B$9,$D$2,0))/$I$2*1/(1+$AG$2)*1/(1+Assumptions!$B$11)))</f>
        <v>0</v>
      </c>
      <c r="Z268">
        <f>IF(B268&gt;$AF$2,0,IF($Y$2=1,(SUMIF('Mortality Tarif Male'!A:A,E269,'Mortality Tarif Male'!E:E)-SUMIF('Mortality Tarif Male'!A:A,$C$2+$H$2,'Mortality Tarif Male'!E:E))/SUMIF('Mortality Tarif Male'!A:A,E269,'Mortality Tarif Male'!D:D),(SUMIF('Mortality Tarif Female'!A:A,E269,'Mortality Tarif Female'!E:E)-SUMIF('Mortality Tarif Female'!A:A,$C$2+$H$2,'Mortality Tarif Female'!E:E))/SUMIF('Mortality Tarif Female'!A:A,E269,'Mortality Tarif Female'!D:D)))</f>
        <v>0</v>
      </c>
      <c r="AA268">
        <f>IF(B268&gt;=$AF$2,0,IF($Y$2=1,(SUMIF('Mortality Tarif Male'!A:A,E269+1,'Mortality Tarif Male'!E:E)-SUMIF('Mortality Tarif Male'!A:A,$C$2+$H$2,'Mortality Tarif Male'!E:E))/SUMIF('Mortality Tarif Male'!A:A,E269+1,'Mortality Tarif Male'!D:D),(SUMIF('Mortality Tarif Female'!A:A,E269+1,'Mortality Tarif Female'!E:E)-SUMIF('Mortality Tarif Female'!A:A,$C$2+$H$2,'Mortality Tarif Female'!E:E))/SUMIF('Mortality Tarif Female'!A:A,E269+1,'Mortality Tarif Female'!D:D)))</f>
        <v>0</v>
      </c>
      <c r="AB268">
        <f t="shared" si="159"/>
        <v>0</v>
      </c>
      <c r="AC268">
        <f>IF(B268&gt;=$AF$2,0,MIN(1/3*(V268+W268+Y268-AB268),(V268-AB268),(T268*Z268+(1-T268)*AA268)*$AH$2*Assumptions!$B$22))</f>
        <v>0</v>
      </c>
      <c r="AD268">
        <f t="shared" si="160"/>
        <v>0</v>
      </c>
      <c r="AE268">
        <f t="shared" si="161"/>
        <v>0</v>
      </c>
      <c r="AF268">
        <f t="shared" si="162"/>
        <v>0</v>
      </c>
      <c r="AG268" s="26">
        <f t="shared" si="163"/>
        <v>0</v>
      </c>
      <c r="AH268" s="27">
        <f>IF(B268&gt;$AF$2,0,HLOOKUP(YEAR(A268),Assumptions!$A$34:$AL$37,4,TRUE)/100)</f>
        <v>0</v>
      </c>
      <c r="AI268">
        <f t="shared" si="164"/>
        <v>0</v>
      </c>
      <c r="AJ268">
        <f t="shared" si="165"/>
        <v>0</v>
      </c>
      <c r="AK268">
        <f t="shared" si="132"/>
        <v>0</v>
      </c>
      <c r="AL268">
        <f>IF(E268&gt;Assumptions!$B$9,0,SUMPRODUCT($P$2:$X$2,Assumptions!$A$43:$I$43)/$I$2*O267*K268)</f>
        <v>0</v>
      </c>
      <c r="AM268">
        <f t="shared" si="166"/>
        <v>0</v>
      </c>
      <c r="AN268">
        <f t="shared" si="167"/>
        <v>0</v>
      </c>
      <c r="AO268">
        <f>IF(E268&gt;Assumptions!$B$9,0,($V$2+$X$2)/$I$2*O267*K268*Assumptions!$B$46)</f>
        <v>0</v>
      </c>
      <c r="AP268">
        <f>IF(B268&gt;$AF$2,0,AP267*(1+Assumptions!$B$52)^(1/12))</f>
        <v>0</v>
      </c>
      <c r="AQ268" s="29">
        <f>IF(B268&gt;$AF$2,0,O267*Assumptions!$B$48/12*AP267+AR268*Assumptions!$B$50/12)</f>
        <v>0</v>
      </c>
      <c r="AR268" s="31">
        <f t="shared" si="135"/>
        <v>0</v>
      </c>
      <c r="AS268">
        <f t="shared" si="168"/>
        <v>0</v>
      </c>
      <c r="AT268">
        <f t="shared" si="169"/>
        <v>0</v>
      </c>
      <c r="AU268" s="19">
        <f t="shared" si="170"/>
        <v>0</v>
      </c>
      <c r="AV268" s="19">
        <f t="shared" si="171"/>
        <v>0</v>
      </c>
      <c r="AW268">
        <f t="shared" si="139"/>
        <v>0</v>
      </c>
      <c r="AX268">
        <f>IF(B268&gt;$AF$2,0,HLOOKUP(YEAR(A268),Assumptions!$A$34:$AL$37,2,TRUE)/100)</f>
        <v>0</v>
      </c>
      <c r="AY268" s="32">
        <f>1/(1+HLOOKUP(YEAR(A268),Assumptions!$A$27:$AL$29,3,TRUE))^(1/12)</f>
        <v>0.99795794845611863</v>
      </c>
      <c r="AZ268" s="30">
        <f t="shared" si="172"/>
        <v>0</v>
      </c>
      <c r="BA268">
        <f>IF(B268&gt;$AF$2,0,IF($E$2=0,(T268*Z268+(1-T268)*AA268)*$J$2*Assumptions!$B$20,0))</f>
        <v>0</v>
      </c>
    </row>
    <row r="269" spans="1:53" x14ac:dyDescent="0.25">
      <c r="A269" s="17">
        <f t="shared" ref="A269:A287" si="175">DATE(YEAR(A268),MONTH(A268)+2,1)-1</f>
        <v>50951</v>
      </c>
      <c r="B269">
        <f t="shared" si="173"/>
        <v>488</v>
      </c>
      <c r="C269">
        <f t="shared" si="146"/>
        <v>40.583333333333336</v>
      </c>
      <c r="D269">
        <f t="shared" si="147"/>
        <v>0</v>
      </c>
      <c r="E269">
        <f t="shared" si="174"/>
        <v>63</v>
      </c>
      <c r="F269">
        <f>IF(C269&gt;=$H$2,0,VLOOKUP($E269,'Mortality Table'!$A$3:$C$128,2+AB$2,FALSE))</f>
        <v>0</v>
      </c>
      <c r="G269">
        <f>F269*Assumptions!$B$1</f>
        <v>0</v>
      </c>
      <c r="H269">
        <f t="shared" si="148"/>
        <v>0</v>
      </c>
      <c r="I269">
        <f t="shared" si="149"/>
        <v>0</v>
      </c>
      <c r="J269">
        <f>HLOOKUP(C269,Assumptions!$A$6:$J$7,2,TRUE)</f>
        <v>3.5200000000000002E-2</v>
      </c>
      <c r="K269" s="18">
        <f t="shared" si="150"/>
        <v>0</v>
      </c>
      <c r="L269" s="18">
        <f t="shared" ref="L269:L287" si="176">1/12</f>
        <v>8.3333333333333329E-2</v>
      </c>
      <c r="M269" s="18">
        <f t="shared" si="151"/>
        <v>2.9817501439168836E-3</v>
      </c>
      <c r="N269">
        <f t="shared" si="152"/>
        <v>0</v>
      </c>
      <c r="O269" s="20">
        <f t="shared" si="153"/>
        <v>0</v>
      </c>
      <c r="P269">
        <f>IF(B269&gt;$AF$2,0,O268*($E$2+IF(E269&lt;=Assumptions!$B$9,$D$2,0))/$I$2*K269)</f>
        <v>0</v>
      </c>
      <c r="Q269">
        <f t="shared" si="154"/>
        <v>0</v>
      </c>
      <c r="R269">
        <f>IF(B269&gt;$AF$2,0,IF($Y$2=1,(SUMIF('Mortality Tarif Male'!A:A,E270,'Mortality Tarif Male'!G:G)-SUMIF('Mortality Tarif Male'!A:A,$C$2+$H$2,'Mortality Tarif Male'!G:G)+SUMIF('Mortality Tarif Male'!A:A,$C$2+$H$2,'Mortality Tarif Male'!D:D))/SUMIF('Mortality Tarif Male'!A:A,E270,'Mortality Tarif Male'!D:D),(SUMIF('Mortality Tarif Female'!A:A,E270,'Mortality Tarif Female'!G:G)-SUMIF('Mortality Tarif Female'!A:A,$C$2+$H$2,'Mortality Tarif Female'!G:G)+SUMIF('Mortality Tarif Female'!A:A,$C$2+$H$2,'Mortality Tarif Female'!D:D))/SUMIF('Mortality Tarif Female'!A:A,E270,'Mortality Tarif Female'!D:D)))</f>
        <v>0</v>
      </c>
      <c r="S269">
        <f>IF(B269&gt;=$AF$2,0,IF($Y$2=1,(SUMIF('Mortality Tarif Male'!A:A,E270+1,'Mortality Tarif Male'!G:G)-SUMIF('Mortality Tarif Male'!A:A,$C$2+$H$2,'Mortality Tarif Male'!G:G)+SUMIF('Mortality Tarif Male'!A:A,$C$2+$H$2,'Mortality Tarif Male'!D:D))/SUMIF('Mortality Tarif Male'!A:A,E270+1,'Mortality Tarif Male'!D:D),(SUMIF('Mortality Tarif Female'!A:A,E270+1,'Mortality Tarif Female'!G:G)-SUMIF('Mortality Tarif Female'!A:A,$C$2+$H$2,'Mortality Tarif Female'!G:G)+SUMIF('Mortality Tarif Female'!A:A,$C$2+$H$2,'Mortality Tarif Female'!D:D))/SUMIF('Mortality Tarif Female'!A:A,E270+1,'Mortality Tarif Female'!D:D)))</f>
        <v>0</v>
      </c>
      <c r="T269">
        <f t="shared" si="155"/>
        <v>0.3333333333333357</v>
      </c>
      <c r="U269">
        <f t="shared" si="156"/>
        <v>0</v>
      </c>
      <c r="V269">
        <f t="shared" ref="V269:V287" si="177">U269*$J$2</f>
        <v>0</v>
      </c>
      <c r="W269">
        <f t="shared" si="157"/>
        <v>0</v>
      </c>
      <c r="X269">
        <f t="shared" si="158"/>
        <v>0</v>
      </c>
      <c r="Y269">
        <f>IF(B269&gt;$AF$2,0,IF(V270=0,0,(1-V270)*($E$2+IF(E269&lt;=Assumptions!$B$9,$D$2,0))/$I$2*1/(1+$AG$2)*1/(1+Assumptions!$B$11)))</f>
        <v>0</v>
      </c>
      <c r="Z269">
        <f>IF(B269&gt;$AF$2,0,IF($Y$2=1,(SUMIF('Mortality Tarif Male'!A:A,E270,'Mortality Tarif Male'!E:E)-SUMIF('Mortality Tarif Male'!A:A,$C$2+$H$2,'Mortality Tarif Male'!E:E))/SUMIF('Mortality Tarif Male'!A:A,E270,'Mortality Tarif Male'!D:D),(SUMIF('Mortality Tarif Female'!A:A,E270,'Mortality Tarif Female'!E:E)-SUMIF('Mortality Tarif Female'!A:A,$C$2+$H$2,'Mortality Tarif Female'!E:E))/SUMIF('Mortality Tarif Female'!A:A,E270,'Mortality Tarif Female'!D:D)))</f>
        <v>0</v>
      </c>
      <c r="AA269">
        <f>IF(B269&gt;=$AF$2,0,IF($Y$2=1,(SUMIF('Mortality Tarif Male'!A:A,E270+1,'Mortality Tarif Male'!E:E)-SUMIF('Mortality Tarif Male'!A:A,$C$2+$H$2,'Mortality Tarif Male'!E:E))/SUMIF('Mortality Tarif Male'!A:A,E270+1,'Mortality Tarif Male'!D:D),(SUMIF('Mortality Tarif Female'!A:A,E270+1,'Mortality Tarif Female'!E:E)-SUMIF('Mortality Tarif Female'!A:A,$C$2+$H$2,'Mortality Tarif Female'!E:E))/SUMIF('Mortality Tarif Female'!A:A,E270+1,'Mortality Tarif Female'!D:D)))</f>
        <v>0</v>
      </c>
      <c r="AB269">
        <f t="shared" si="159"/>
        <v>0</v>
      </c>
      <c r="AC269">
        <f>IF(B269&gt;=$AF$2,0,MIN(1/3*(V269+W269+Y269-AB269),(V269-AB269),(T269*Z269+(1-T269)*AA269)*$AH$2*Assumptions!$B$22))</f>
        <v>0</v>
      </c>
      <c r="AD269">
        <f t="shared" si="160"/>
        <v>0</v>
      </c>
      <c r="AE269">
        <f t="shared" si="161"/>
        <v>0</v>
      </c>
      <c r="AF269">
        <f t="shared" si="162"/>
        <v>0</v>
      </c>
      <c r="AG269" s="26">
        <f t="shared" si="163"/>
        <v>0</v>
      </c>
      <c r="AH269" s="27">
        <f>IF(B269&gt;$AF$2,0,HLOOKUP(YEAR(A269),Assumptions!$A$34:$AL$37,4,TRUE)/100)</f>
        <v>0</v>
      </c>
      <c r="AI269">
        <f t="shared" si="164"/>
        <v>0</v>
      </c>
      <c r="AJ269">
        <f t="shared" si="165"/>
        <v>0</v>
      </c>
      <c r="AK269">
        <f t="shared" ref="AK269:AK287" si="178">(AD269+BA269)*N269</f>
        <v>0</v>
      </c>
      <c r="AL269">
        <f>IF(E269&gt;Assumptions!$B$9,0,SUMPRODUCT($P$2:$X$2,Assumptions!$A$43:$I$43)/$I$2*O268*K269)</f>
        <v>0</v>
      </c>
      <c r="AM269">
        <f t="shared" si="166"/>
        <v>0</v>
      </c>
      <c r="AN269">
        <f t="shared" si="167"/>
        <v>0</v>
      </c>
      <c r="AO269">
        <f>IF(E269&gt;Assumptions!$B$9,0,($V$2+$X$2)/$I$2*O268*K269*Assumptions!$B$46)</f>
        <v>0</v>
      </c>
      <c r="AP269">
        <f>IF(B269&gt;$AF$2,0,AP268*(1+Assumptions!$B$52)^(1/12))</f>
        <v>0</v>
      </c>
      <c r="AQ269" s="29">
        <f>IF(B269&gt;$AF$2,0,O268*Assumptions!$B$48/12*AP268+AR269*Assumptions!$B$50/12)</f>
        <v>0</v>
      </c>
      <c r="AR269" s="31">
        <f t="shared" ref="AR269:AR287" si="179">AS268+AW268+AT269-AL269+BA268*O268</f>
        <v>0</v>
      </c>
      <c r="AS269">
        <f t="shared" si="168"/>
        <v>0</v>
      </c>
      <c r="AT269">
        <f t="shared" si="169"/>
        <v>0</v>
      </c>
      <c r="AU269" s="19">
        <f t="shared" si="170"/>
        <v>0</v>
      </c>
      <c r="AV269" s="19">
        <f t="shared" si="171"/>
        <v>0</v>
      </c>
      <c r="AW269">
        <f t="shared" ref="AW269:AW287" si="180">IF(B269&gt;$AF$2,0,IF(MONTH(A269)=12,0,AW268+AU269*((1+AX269)^(1/12)-1)-AV269*((1+$K$2/100)^(1/12)-1)))</f>
        <v>0</v>
      </c>
      <c r="AX269">
        <f>IF(B269&gt;$AF$2,0,HLOOKUP(YEAR(A269),Assumptions!$A$34:$AL$37,2,TRUE)/100)</f>
        <v>0</v>
      </c>
      <c r="AY269" s="32">
        <f>1/(1+HLOOKUP(YEAR(A269),Assumptions!$A$27:$AL$29,3,TRUE))^(1/12)</f>
        <v>0.99795794845611863</v>
      </c>
      <c r="AZ269" s="30">
        <f t="shared" si="172"/>
        <v>0</v>
      </c>
      <c r="BA269">
        <f>IF(B269&gt;$AF$2,0,IF($E$2=0,(T269*Z269+(1-T269)*AA269)*$J$2*Assumptions!$B$20,0))</f>
        <v>0</v>
      </c>
    </row>
    <row r="270" spans="1:53" x14ac:dyDescent="0.25">
      <c r="A270" s="17">
        <f t="shared" si="175"/>
        <v>50982</v>
      </c>
      <c r="B270">
        <f t="shared" si="173"/>
        <v>489</v>
      </c>
      <c r="C270">
        <f t="shared" si="146"/>
        <v>40.666666666666664</v>
      </c>
      <c r="D270">
        <f t="shared" si="147"/>
        <v>0</v>
      </c>
      <c r="E270">
        <f t="shared" si="174"/>
        <v>63</v>
      </c>
      <c r="F270">
        <f>IF(C270&gt;=$H$2,0,VLOOKUP($E270,'Mortality Table'!$A$3:$C$128,2+AB$2,FALSE))</f>
        <v>0</v>
      </c>
      <c r="G270">
        <f>F270*Assumptions!$B$1</f>
        <v>0</v>
      </c>
      <c r="H270">
        <f t="shared" si="148"/>
        <v>0</v>
      </c>
      <c r="I270">
        <f t="shared" si="149"/>
        <v>0</v>
      </c>
      <c r="J270">
        <f>HLOOKUP(C270,Assumptions!$A$6:$J$7,2,TRUE)</f>
        <v>3.5200000000000002E-2</v>
      </c>
      <c r="K270" s="18">
        <f t="shared" si="150"/>
        <v>0</v>
      </c>
      <c r="L270" s="18">
        <f t="shared" si="176"/>
        <v>8.3333333333333329E-2</v>
      </c>
      <c r="M270" s="18">
        <f t="shared" si="151"/>
        <v>2.9817501439168836E-3</v>
      </c>
      <c r="N270">
        <f t="shared" si="152"/>
        <v>0</v>
      </c>
      <c r="O270" s="20">
        <f t="shared" si="153"/>
        <v>0</v>
      </c>
      <c r="P270">
        <f>IF(B270&gt;$AF$2,0,O269*($E$2+IF(E270&lt;=Assumptions!$B$9,$D$2,0))/$I$2*K270)</f>
        <v>0</v>
      </c>
      <c r="Q270">
        <f t="shared" si="154"/>
        <v>0</v>
      </c>
      <c r="R270">
        <f>IF(B270&gt;$AF$2,0,IF($Y$2=1,(SUMIF('Mortality Tarif Male'!A:A,E271,'Mortality Tarif Male'!G:G)-SUMIF('Mortality Tarif Male'!A:A,$C$2+$H$2,'Mortality Tarif Male'!G:G)+SUMIF('Mortality Tarif Male'!A:A,$C$2+$H$2,'Mortality Tarif Male'!D:D))/SUMIF('Mortality Tarif Male'!A:A,E271,'Mortality Tarif Male'!D:D),(SUMIF('Mortality Tarif Female'!A:A,E271,'Mortality Tarif Female'!G:G)-SUMIF('Mortality Tarif Female'!A:A,$C$2+$H$2,'Mortality Tarif Female'!G:G)+SUMIF('Mortality Tarif Female'!A:A,$C$2+$H$2,'Mortality Tarif Female'!D:D))/SUMIF('Mortality Tarif Female'!A:A,E271,'Mortality Tarif Female'!D:D)))</f>
        <v>0</v>
      </c>
      <c r="S270">
        <f>IF(B270&gt;=$AF$2,0,IF($Y$2=1,(SUMIF('Mortality Tarif Male'!A:A,E271+1,'Mortality Tarif Male'!G:G)-SUMIF('Mortality Tarif Male'!A:A,$C$2+$H$2,'Mortality Tarif Male'!G:G)+SUMIF('Mortality Tarif Male'!A:A,$C$2+$H$2,'Mortality Tarif Male'!D:D))/SUMIF('Mortality Tarif Male'!A:A,E271+1,'Mortality Tarif Male'!D:D),(SUMIF('Mortality Tarif Female'!A:A,E271+1,'Mortality Tarif Female'!G:G)-SUMIF('Mortality Tarif Female'!A:A,$C$2+$H$2,'Mortality Tarif Female'!G:G)+SUMIF('Mortality Tarif Female'!A:A,$C$2+$H$2,'Mortality Tarif Female'!D:D))/SUMIF('Mortality Tarif Female'!A:A,E271+1,'Mortality Tarif Female'!D:D)))</f>
        <v>0</v>
      </c>
      <c r="T270">
        <f t="shared" si="155"/>
        <v>0.25</v>
      </c>
      <c r="U270">
        <f t="shared" si="156"/>
        <v>0</v>
      </c>
      <c r="V270">
        <f t="shared" si="177"/>
        <v>0</v>
      </c>
      <c r="W270">
        <f t="shared" si="157"/>
        <v>0</v>
      </c>
      <c r="X270">
        <f t="shared" si="158"/>
        <v>0</v>
      </c>
      <c r="Y270">
        <f>IF(B270&gt;$AF$2,0,IF(V271=0,0,(1-V271)*($E$2+IF(E270&lt;=Assumptions!$B$9,$D$2,0))/$I$2*1/(1+$AG$2)*1/(1+Assumptions!$B$11)))</f>
        <v>0</v>
      </c>
      <c r="Z270">
        <f>IF(B270&gt;$AF$2,0,IF($Y$2=1,(SUMIF('Mortality Tarif Male'!A:A,E271,'Mortality Tarif Male'!E:E)-SUMIF('Mortality Tarif Male'!A:A,$C$2+$H$2,'Mortality Tarif Male'!E:E))/SUMIF('Mortality Tarif Male'!A:A,E271,'Mortality Tarif Male'!D:D),(SUMIF('Mortality Tarif Female'!A:A,E271,'Mortality Tarif Female'!E:E)-SUMIF('Mortality Tarif Female'!A:A,$C$2+$H$2,'Mortality Tarif Female'!E:E))/SUMIF('Mortality Tarif Female'!A:A,E271,'Mortality Tarif Female'!D:D)))</f>
        <v>0</v>
      </c>
      <c r="AA270">
        <f>IF(B270&gt;=$AF$2,0,IF($Y$2=1,(SUMIF('Mortality Tarif Male'!A:A,E271+1,'Mortality Tarif Male'!E:E)-SUMIF('Mortality Tarif Male'!A:A,$C$2+$H$2,'Mortality Tarif Male'!E:E))/SUMIF('Mortality Tarif Male'!A:A,E271+1,'Mortality Tarif Male'!D:D),(SUMIF('Mortality Tarif Female'!A:A,E271+1,'Mortality Tarif Female'!E:E)-SUMIF('Mortality Tarif Female'!A:A,$C$2+$H$2,'Mortality Tarif Female'!E:E))/SUMIF('Mortality Tarif Female'!A:A,E271+1,'Mortality Tarif Female'!D:D)))</f>
        <v>0</v>
      </c>
      <c r="AB270">
        <f t="shared" si="159"/>
        <v>0</v>
      </c>
      <c r="AC270">
        <f>IF(B270&gt;=$AF$2,0,MIN(1/3*(V270+W270+Y270-AB270),(V270-AB270),(T270*Z270+(1-T270)*AA270)*$AH$2*Assumptions!$B$22))</f>
        <v>0</v>
      </c>
      <c r="AD270">
        <f t="shared" si="160"/>
        <v>0</v>
      </c>
      <c r="AE270">
        <f t="shared" si="161"/>
        <v>0</v>
      </c>
      <c r="AF270">
        <f t="shared" si="162"/>
        <v>0</v>
      </c>
      <c r="AG270" s="26">
        <f t="shared" si="163"/>
        <v>0</v>
      </c>
      <c r="AH270" s="27">
        <f>IF(B270&gt;$AF$2,0,HLOOKUP(YEAR(A270),Assumptions!$A$34:$AL$37,4,TRUE)/100)</f>
        <v>0</v>
      </c>
      <c r="AI270">
        <f t="shared" si="164"/>
        <v>0</v>
      </c>
      <c r="AJ270">
        <f t="shared" si="165"/>
        <v>0</v>
      </c>
      <c r="AK270">
        <f t="shared" si="178"/>
        <v>0</v>
      </c>
      <c r="AL270">
        <f>IF(E270&gt;Assumptions!$B$9,0,SUMPRODUCT($P$2:$X$2,Assumptions!$A$43:$I$43)/$I$2*O269*K270)</f>
        <v>0</v>
      </c>
      <c r="AM270">
        <f t="shared" si="166"/>
        <v>0</v>
      </c>
      <c r="AN270">
        <f t="shared" si="167"/>
        <v>0</v>
      </c>
      <c r="AO270">
        <f>IF(E270&gt;Assumptions!$B$9,0,($V$2+$X$2)/$I$2*O269*K270*Assumptions!$B$46)</f>
        <v>0</v>
      </c>
      <c r="AP270">
        <f>IF(B270&gt;$AF$2,0,AP269*(1+Assumptions!$B$52)^(1/12))</f>
        <v>0</v>
      </c>
      <c r="AQ270" s="29">
        <f>IF(B270&gt;$AF$2,0,O269*Assumptions!$B$48/12*AP269+AR270*Assumptions!$B$50/12)</f>
        <v>0</v>
      </c>
      <c r="AR270" s="31">
        <f t="shared" si="179"/>
        <v>0</v>
      </c>
      <c r="AS270">
        <f t="shared" si="168"/>
        <v>0</v>
      </c>
      <c r="AT270">
        <f t="shared" si="169"/>
        <v>0</v>
      </c>
      <c r="AU270" s="19">
        <f t="shared" si="170"/>
        <v>0</v>
      </c>
      <c r="AV270" s="19">
        <f t="shared" si="171"/>
        <v>0</v>
      </c>
      <c r="AW270">
        <f t="shared" si="180"/>
        <v>0</v>
      </c>
      <c r="AX270">
        <f>IF(B270&gt;$AF$2,0,HLOOKUP(YEAR(A270),Assumptions!$A$34:$AL$37,2,TRUE)/100)</f>
        <v>0</v>
      </c>
      <c r="AY270" s="32">
        <f>1/(1+HLOOKUP(YEAR(A270),Assumptions!$A$27:$AL$29,3,TRUE))^(1/12)</f>
        <v>0.99795794845611863</v>
      </c>
      <c r="AZ270" s="30">
        <f t="shared" si="172"/>
        <v>0</v>
      </c>
      <c r="BA270">
        <f>IF(B270&gt;$AF$2,0,IF($E$2=0,(T270*Z270+(1-T270)*AA270)*$J$2*Assumptions!$B$20,0))</f>
        <v>0</v>
      </c>
    </row>
    <row r="271" spans="1:53" x14ac:dyDescent="0.25">
      <c r="A271" s="17">
        <f t="shared" si="175"/>
        <v>51013</v>
      </c>
      <c r="B271">
        <f t="shared" si="173"/>
        <v>490</v>
      </c>
      <c r="C271">
        <f t="shared" si="146"/>
        <v>40.75</v>
      </c>
      <c r="D271">
        <f t="shared" si="147"/>
        <v>0</v>
      </c>
      <c r="E271">
        <f t="shared" si="174"/>
        <v>63</v>
      </c>
      <c r="F271">
        <f>IF(C271&gt;=$H$2,0,VLOOKUP($E271,'Mortality Table'!$A$3:$C$128,2+AB$2,FALSE))</f>
        <v>0</v>
      </c>
      <c r="G271">
        <f>F271*Assumptions!$B$1</f>
        <v>0</v>
      </c>
      <c r="H271">
        <f t="shared" si="148"/>
        <v>0</v>
      </c>
      <c r="I271">
        <f t="shared" si="149"/>
        <v>0</v>
      </c>
      <c r="J271">
        <f>HLOOKUP(C271,Assumptions!$A$6:$J$7,2,TRUE)</f>
        <v>3.5200000000000002E-2</v>
      </c>
      <c r="K271" s="18">
        <f t="shared" si="150"/>
        <v>0</v>
      </c>
      <c r="L271" s="18">
        <f t="shared" si="176"/>
        <v>8.3333333333333329E-2</v>
      </c>
      <c r="M271" s="18">
        <f t="shared" si="151"/>
        <v>2.9817501439168836E-3</v>
      </c>
      <c r="N271">
        <f t="shared" si="152"/>
        <v>0</v>
      </c>
      <c r="O271" s="20">
        <f t="shared" si="153"/>
        <v>0</v>
      </c>
      <c r="P271">
        <f>IF(B271&gt;$AF$2,0,O270*($E$2+IF(E271&lt;=Assumptions!$B$9,$D$2,0))/$I$2*K271)</f>
        <v>0</v>
      </c>
      <c r="Q271">
        <f t="shared" si="154"/>
        <v>0</v>
      </c>
      <c r="R271">
        <f>IF(B271&gt;$AF$2,0,IF($Y$2=1,(SUMIF('Mortality Tarif Male'!A:A,E272,'Mortality Tarif Male'!G:G)-SUMIF('Mortality Tarif Male'!A:A,$C$2+$H$2,'Mortality Tarif Male'!G:G)+SUMIF('Mortality Tarif Male'!A:A,$C$2+$H$2,'Mortality Tarif Male'!D:D))/SUMIF('Mortality Tarif Male'!A:A,E272,'Mortality Tarif Male'!D:D),(SUMIF('Mortality Tarif Female'!A:A,E272,'Mortality Tarif Female'!G:G)-SUMIF('Mortality Tarif Female'!A:A,$C$2+$H$2,'Mortality Tarif Female'!G:G)+SUMIF('Mortality Tarif Female'!A:A,$C$2+$H$2,'Mortality Tarif Female'!D:D))/SUMIF('Mortality Tarif Female'!A:A,E272,'Mortality Tarif Female'!D:D)))</f>
        <v>0</v>
      </c>
      <c r="S271">
        <f>IF(B271&gt;=$AF$2,0,IF($Y$2=1,(SUMIF('Mortality Tarif Male'!A:A,E272+1,'Mortality Tarif Male'!G:G)-SUMIF('Mortality Tarif Male'!A:A,$C$2+$H$2,'Mortality Tarif Male'!G:G)+SUMIF('Mortality Tarif Male'!A:A,$C$2+$H$2,'Mortality Tarif Male'!D:D))/SUMIF('Mortality Tarif Male'!A:A,E272+1,'Mortality Tarif Male'!D:D),(SUMIF('Mortality Tarif Female'!A:A,E272+1,'Mortality Tarif Female'!G:G)-SUMIF('Mortality Tarif Female'!A:A,$C$2+$H$2,'Mortality Tarif Female'!G:G)+SUMIF('Mortality Tarif Female'!A:A,$C$2+$H$2,'Mortality Tarif Female'!D:D))/SUMIF('Mortality Tarif Female'!A:A,E272+1,'Mortality Tarif Female'!D:D)))</f>
        <v>0</v>
      </c>
      <c r="T271">
        <f t="shared" si="155"/>
        <v>0.1666666666666643</v>
      </c>
      <c r="U271">
        <f t="shared" si="156"/>
        <v>0</v>
      </c>
      <c r="V271">
        <f t="shared" si="177"/>
        <v>0</v>
      </c>
      <c r="W271">
        <f t="shared" si="157"/>
        <v>0</v>
      </c>
      <c r="X271">
        <f t="shared" si="158"/>
        <v>0</v>
      </c>
      <c r="Y271">
        <f>IF(B271&gt;$AF$2,0,IF(V272=0,0,(1-V272)*($E$2+IF(E271&lt;=Assumptions!$B$9,$D$2,0))/$I$2*1/(1+$AG$2)*1/(1+Assumptions!$B$11)))</f>
        <v>0</v>
      </c>
      <c r="Z271">
        <f>IF(B271&gt;$AF$2,0,IF($Y$2=1,(SUMIF('Mortality Tarif Male'!A:A,E272,'Mortality Tarif Male'!E:E)-SUMIF('Mortality Tarif Male'!A:A,$C$2+$H$2,'Mortality Tarif Male'!E:E))/SUMIF('Mortality Tarif Male'!A:A,E272,'Mortality Tarif Male'!D:D),(SUMIF('Mortality Tarif Female'!A:A,E272,'Mortality Tarif Female'!E:E)-SUMIF('Mortality Tarif Female'!A:A,$C$2+$H$2,'Mortality Tarif Female'!E:E))/SUMIF('Mortality Tarif Female'!A:A,E272,'Mortality Tarif Female'!D:D)))</f>
        <v>0</v>
      </c>
      <c r="AA271">
        <f>IF(B271&gt;=$AF$2,0,IF($Y$2=1,(SUMIF('Mortality Tarif Male'!A:A,E272+1,'Mortality Tarif Male'!E:E)-SUMIF('Mortality Tarif Male'!A:A,$C$2+$H$2,'Mortality Tarif Male'!E:E))/SUMIF('Mortality Tarif Male'!A:A,E272+1,'Mortality Tarif Male'!D:D),(SUMIF('Mortality Tarif Female'!A:A,E272+1,'Mortality Tarif Female'!E:E)-SUMIF('Mortality Tarif Female'!A:A,$C$2+$H$2,'Mortality Tarif Female'!E:E))/SUMIF('Mortality Tarif Female'!A:A,E272+1,'Mortality Tarif Female'!D:D)))</f>
        <v>0</v>
      </c>
      <c r="AB271">
        <f t="shared" si="159"/>
        <v>0</v>
      </c>
      <c r="AC271">
        <f>IF(B271&gt;=$AF$2,0,MIN(1/3*(V271+W271+Y271-AB271),(V271-AB271),(T271*Z271+(1-T271)*AA271)*$AH$2*Assumptions!$B$22))</f>
        <v>0</v>
      </c>
      <c r="AD271">
        <f t="shared" si="160"/>
        <v>0</v>
      </c>
      <c r="AE271">
        <f t="shared" si="161"/>
        <v>0</v>
      </c>
      <c r="AF271">
        <f t="shared" si="162"/>
        <v>0</v>
      </c>
      <c r="AG271" s="26">
        <f t="shared" si="163"/>
        <v>0</v>
      </c>
      <c r="AH271" s="27">
        <f>IF(B271&gt;$AF$2,0,HLOOKUP(YEAR(A271),Assumptions!$A$34:$AL$37,4,TRUE)/100)</f>
        <v>0</v>
      </c>
      <c r="AI271">
        <f t="shared" si="164"/>
        <v>0</v>
      </c>
      <c r="AJ271">
        <f t="shared" si="165"/>
        <v>0</v>
      </c>
      <c r="AK271">
        <f t="shared" si="178"/>
        <v>0</v>
      </c>
      <c r="AL271">
        <f>IF(E271&gt;Assumptions!$B$9,0,SUMPRODUCT($P$2:$X$2,Assumptions!$A$43:$I$43)/$I$2*O270*K271)</f>
        <v>0</v>
      </c>
      <c r="AM271">
        <f t="shared" si="166"/>
        <v>0</v>
      </c>
      <c r="AN271">
        <f t="shared" si="167"/>
        <v>0</v>
      </c>
      <c r="AO271">
        <f>IF(E271&gt;Assumptions!$B$9,0,($V$2+$X$2)/$I$2*O270*K271*Assumptions!$B$46)</f>
        <v>0</v>
      </c>
      <c r="AP271">
        <f>IF(B271&gt;$AF$2,0,AP270*(1+Assumptions!$B$52)^(1/12))</f>
        <v>0</v>
      </c>
      <c r="AQ271" s="29">
        <f>IF(B271&gt;$AF$2,0,O270*Assumptions!$B$48/12*AP270+AR271*Assumptions!$B$50/12)</f>
        <v>0</v>
      </c>
      <c r="AR271" s="31">
        <f t="shared" si="179"/>
        <v>0</v>
      </c>
      <c r="AS271">
        <f t="shared" si="168"/>
        <v>0</v>
      </c>
      <c r="AT271">
        <f t="shared" si="169"/>
        <v>0</v>
      </c>
      <c r="AU271" s="19">
        <f t="shared" si="170"/>
        <v>0</v>
      </c>
      <c r="AV271" s="19">
        <f t="shared" si="171"/>
        <v>0</v>
      </c>
      <c r="AW271">
        <f t="shared" si="180"/>
        <v>0</v>
      </c>
      <c r="AX271">
        <f>IF(B271&gt;$AF$2,0,HLOOKUP(YEAR(A271),Assumptions!$A$34:$AL$37,2,TRUE)/100)</f>
        <v>0</v>
      </c>
      <c r="AY271" s="32">
        <f>1/(1+HLOOKUP(YEAR(A271),Assumptions!$A$27:$AL$29,3,TRUE))^(1/12)</f>
        <v>0.99795794845611863</v>
      </c>
      <c r="AZ271" s="30">
        <f t="shared" si="172"/>
        <v>0</v>
      </c>
      <c r="BA271">
        <f>IF(B271&gt;$AF$2,0,IF($E$2=0,(T271*Z271+(1-T271)*AA271)*$J$2*Assumptions!$B$20,0))</f>
        <v>0</v>
      </c>
    </row>
    <row r="272" spans="1:53" x14ac:dyDescent="0.25">
      <c r="A272" s="17">
        <f t="shared" si="175"/>
        <v>51043</v>
      </c>
      <c r="B272">
        <f t="shared" si="173"/>
        <v>491</v>
      </c>
      <c r="C272">
        <f t="shared" si="146"/>
        <v>40.833333333333336</v>
      </c>
      <c r="D272">
        <f t="shared" si="147"/>
        <v>0</v>
      </c>
      <c r="E272">
        <f t="shared" si="174"/>
        <v>63</v>
      </c>
      <c r="F272">
        <f>IF(C272&gt;=$H$2,0,VLOOKUP($E272,'Mortality Table'!$A$3:$C$128,2+AB$2,FALSE))</f>
        <v>0</v>
      </c>
      <c r="G272">
        <f>F272*Assumptions!$B$1</f>
        <v>0</v>
      </c>
      <c r="H272">
        <f t="shared" si="148"/>
        <v>0</v>
      </c>
      <c r="I272">
        <f t="shared" si="149"/>
        <v>0</v>
      </c>
      <c r="J272">
        <f>HLOOKUP(C272,Assumptions!$A$6:$J$7,2,TRUE)</f>
        <v>3.5200000000000002E-2</v>
      </c>
      <c r="K272" s="18">
        <f t="shared" si="150"/>
        <v>0</v>
      </c>
      <c r="L272" s="18">
        <f t="shared" si="176"/>
        <v>8.3333333333333329E-2</v>
      </c>
      <c r="M272" s="18">
        <f t="shared" si="151"/>
        <v>2.9817501439168836E-3</v>
      </c>
      <c r="N272">
        <f t="shared" si="152"/>
        <v>0</v>
      </c>
      <c r="O272" s="20">
        <f t="shared" si="153"/>
        <v>0</v>
      </c>
      <c r="P272">
        <f>IF(B272&gt;$AF$2,0,O271*($E$2+IF(E272&lt;=Assumptions!$B$9,$D$2,0))/$I$2*K272)</f>
        <v>0</v>
      </c>
      <c r="Q272">
        <f t="shared" si="154"/>
        <v>0</v>
      </c>
      <c r="R272">
        <f>IF(B272&gt;$AF$2,0,IF($Y$2=1,(SUMIF('Mortality Tarif Male'!A:A,E273,'Mortality Tarif Male'!G:G)-SUMIF('Mortality Tarif Male'!A:A,$C$2+$H$2,'Mortality Tarif Male'!G:G)+SUMIF('Mortality Tarif Male'!A:A,$C$2+$H$2,'Mortality Tarif Male'!D:D))/SUMIF('Mortality Tarif Male'!A:A,E273,'Mortality Tarif Male'!D:D),(SUMIF('Mortality Tarif Female'!A:A,E273,'Mortality Tarif Female'!G:G)-SUMIF('Mortality Tarif Female'!A:A,$C$2+$H$2,'Mortality Tarif Female'!G:G)+SUMIF('Mortality Tarif Female'!A:A,$C$2+$H$2,'Mortality Tarif Female'!D:D))/SUMIF('Mortality Tarif Female'!A:A,E273,'Mortality Tarif Female'!D:D)))</f>
        <v>0</v>
      </c>
      <c r="S272">
        <f>IF(B272&gt;=$AF$2,0,IF($Y$2=1,(SUMIF('Mortality Tarif Male'!A:A,E273+1,'Mortality Tarif Male'!G:G)-SUMIF('Mortality Tarif Male'!A:A,$C$2+$H$2,'Mortality Tarif Male'!G:G)+SUMIF('Mortality Tarif Male'!A:A,$C$2+$H$2,'Mortality Tarif Male'!D:D))/SUMIF('Mortality Tarif Male'!A:A,E273+1,'Mortality Tarif Male'!D:D),(SUMIF('Mortality Tarif Female'!A:A,E273+1,'Mortality Tarif Female'!G:G)-SUMIF('Mortality Tarif Female'!A:A,$C$2+$H$2,'Mortality Tarif Female'!G:G)+SUMIF('Mortality Tarif Female'!A:A,$C$2+$H$2,'Mortality Tarif Female'!D:D))/SUMIF('Mortality Tarif Female'!A:A,E273+1,'Mortality Tarif Female'!D:D)))</f>
        <v>0</v>
      </c>
      <c r="T272">
        <f t="shared" si="155"/>
        <v>8.3333333333335702E-2</v>
      </c>
      <c r="U272">
        <f t="shared" si="156"/>
        <v>0</v>
      </c>
      <c r="V272">
        <f t="shared" si="177"/>
        <v>0</v>
      </c>
      <c r="W272">
        <f t="shared" si="157"/>
        <v>0</v>
      </c>
      <c r="X272">
        <f t="shared" si="158"/>
        <v>0</v>
      </c>
      <c r="Y272">
        <f>IF(B272&gt;$AF$2,0,IF(V273=0,0,(1-V273)*($E$2+IF(E272&lt;=Assumptions!$B$9,$D$2,0))/$I$2*1/(1+$AG$2)*1/(1+Assumptions!$B$11)))</f>
        <v>0</v>
      </c>
      <c r="Z272">
        <f>IF(B272&gt;$AF$2,0,IF($Y$2=1,(SUMIF('Mortality Tarif Male'!A:A,E273,'Mortality Tarif Male'!E:E)-SUMIF('Mortality Tarif Male'!A:A,$C$2+$H$2,'Mortality Tarif Male'!E:E))/SUMIF('Mortality Tarif Male'!A:A,E273,'Mortality Tarif Male'!D:D),(SUMIF('Mortality Tarif Female'!A:A,E273,'Mortality Tarif Female'!E:E)-SUMIF('Mortality Tarif Female'!A:A,$C$2+$H$2,'Mortality Tarif Female'!E:E))/SUMIF('Mortality Tarif Female'!A:A,E273,'Mortality Tarif Female'!D:D)))</f>
        <v>0</v>
      </c>
      <c r="AA272">
        <f>IF(B272&gt;=$AF$2,0,IF($Y$2=1,(SUMIF('Mortality Tarif Male'!A:A,E273+1,'Mortality Tarif Male'!E:E)-SUMIF('Mortality Tarif Male'!A:A,$C$2+$H$2,'Mortality Tarif Male'!E:E))/SUMIF('Mortality Tarif Male'!A:A,E273+1,'Mortality Tarif Male'!D:D),(SUMIF('Mortality Tarif Female'!A:A,E273+1,'Mortality Tarif Female'!E:E)-SUMIF('Mortality Tarif Female'!A:A,$C$2+$H$2,'Mortality Tarif Female'!E:E))/SUMIF('Mortality Tarif Female'!A:A,E273+1,'Mortality Tarif Female'!D:D)))</f>
        <v>0</v>
      </c>
      <c r="AB272">
        <f t="shared" si="159"/>
        <v>0</v>
      </c>
      <c r="AC272">
        <f>IF(B272&gt;=$AF$2,0,MIN(1/3*(V272+W272+Y272-AB272),(V272-AB272),(T272*Z272+(1-T272)*AA272)*$AH$2*Assumptions!$B$22))</f>
        <v>0</v>
      </c>
      <c r="AD272">
        <f t="shared" si="160"/>
        <v>0</v>
      </c>
      <c r="AE272">
        <f t="shared" si="161"/>
        <v>0</v>
      </c>
      <c r="AF272">
        <f t="shared" si="162"/>
        <v>0</v>
      </c>
      <c r="AG272" s="26">
        <f t="shared" si="163"/>
        <v>0</v>
      </c>
      <c r="AH272" s="27">
        <f>IF(B272&gt;$AF$2,0,HLOOKUP(YEAR(A272),Assumptions!$A$34:$AL$37,4,TRUE)/100)</f>
        <v>0</v>
      </c>
      <c r="AI272">
        <f t="shared" si="164"/>
        <v>0</v>
      </c>
      <c r="AJ272">
        <f t="shared" si="165"/>
        <v>0</v>
      </c>
      <c r="AK272">
        <f t="shared" si="178"/>
        <v>0</v>
      </c>
      <c r="AL272">
        <f>IF(E272&gt;Assumptions!$B$9,0,SUMPRODUCT($P$2:$X$2,Assumptions!$A$43:$I$43)/$I$2*O271*K272)</f>
        <v>0</v>
      </c>
      <c r="AM272">
        <f t="shared" si="166"/>
        <v>0</v>
      </c>
      <c r="AN272">
        <f t="shared" si="167"/>
        <v>0</v>
      </c>
      <c r="AO272">
        <f>IF(E272&gt;Assumptions!$B$9,0,($V$2+$X$2)/$I$2*O271*K272*Assumptions!$B$46)</f>
        <v>0</v>
      </c>
      <c r="AP272">
        <f>IF(B272&gt;$AF$2,0,AP271*(1+Assumptions!$B$52)^(1/12))</f>
        <v>0</v>
      </c>
      <c r="AQ272" s="29">
        <f>IF(B272&gt;$AF$2,0,O271*Assumptions!$B$48/12*AP271+AR272*Assumptions!$B$50/12)</f>
        <v>0</v>
      </c>
      <c r="AR272" s="31">
        <f t="shared" si="179"/>
        <v>0</v>
      </c>
      <c r="AS272">
        <f t="shared" si="168"/>
        <v>0</v>
      </c>
      <c r="AT272">
        <f t="shared" si="169"/>
        <v>0</v>
      </c>
      <c r="AU272" s="19">
        <f t="shared" si="170"/>
        <v>0</v>
      </c>
      <c r="AV272" s="19">
        <f t="shared" si="171"/>
        <v>0</v>
      </c>
      <c r="AW272">
        <f t="shared" si="180"/>
        <v>0</v>
      </c>
      <c r="AX272">
        <f>IF(B272&gt;$AF$2,0,HLOOKUP(YEAR(A272),Assumptions!$A$34:$AL$37,2,TRUE)/100)</f>
        <v>0</v>
      </c>
      <c r="AY272" s="32">
        <f>1/(1+HLOOKUP(YEAR(A272),Assumptions!$A$27:$AL$29,3,TRUE))^(1/12)</f>
        <v>0.99795794845611863</v>
      </c>
      <c r="AZ272" s="30">
        <f t="shared" si="172"/>
        <v>0</v>
      </c>
      <c r="BA272">
        <f>IF(B272&gt;$AF$2,0,IF($E$2=0,(T272*Z272+(1-T272)*AA272)*$J$2*Assumptions!$B$20,0))</f>
        <v>0</v>
      </c>
    </row>
    <row r="273" spans="1:53" x14ac:dyDescent="0.25">
      <c r="A273" s="17">
        <f t="shared" si="175"/>
        <v>51074</v>
      </c>
      <c r="B273">
        <f t="shared" si="173"/>
        <v>492</v>
      </c>
      <c r="C273">
        <f t="shared" si="146"/>
        <v>40.916666666666664</v>
      </c>
      <c r="D273">
        <f t="shared" si="147"/>
        <v>0</v>
      </c>
      <c r="E273">
        <f t="shared" si="174"/>
        <v>63</v>
      </c>
      <c r="F273">
        <f>IF(C273&gt;=$H$2,0,VLOOKUP($E273,'Mortality Table'!$A$3:$C$128,2+AB$2,FALSE))</f>
        <v>0</v>
      </c>
      <c r="G273">
        <f>F273*Assumptions!$B$1</f>
        <v>0</v>
      </c>
      <c r="H273">
        <f t="shared" si="148"/>
        <v>0</v>
      </c>
      <c r="I273">
        <f t="shared" si="149"/>
        <v>0</v>
      </c>
      <c r="J273">
        <f>HLOOKUP(C273,Assumptions!$A$6:$J$7,2,TRUE)</f>
        <v>3.5200000000000002E-2</v>
      </c>
      <c r="K273" s="18">
        <f t="shared" si="150"/>
        <v>0</v>
      </c>
      <c r="L273" s="18">
        <f t="shared" si="176"/>
        <v>8.3333333333333329E-2</v>
      </c>
      <c r="M273" s="18">
        <f t="shared" si="151"/>
        <v>2.9817501439168836E-3</v>
      </c>
      <c r="N273">
        <f t="shared" si="152"/>
        <v>0</v>
      </c>
      <c r="O273" s="20">
        <f t="shared" si="153"/>
        <v>0</v>
      </c>
      <c r="P273">
        <f>IF(B273&gt;$AF$2,0,O272*($E$2+IF(E273&lt;=Assumptions!$B$9,$D$2,0))/$I$2*K273)</f>
        <v>0</v>
      </c>
      <c r="Q273">
        <f t="shared" si="154"/>
        <v>0</v>
      </c>
      <c r="R273">
        <f>IF(B273&gt;$AF$2,0,IF($Y$2=1,(SUMIF('Mortality Tarif Male'!A:A,E274,'Mortality Tarif Male'!G:G)-SUMIF('Mortality Tarif Male'!A:A,$C$2+$H$2,'Mortality Tarif Male'!G:G)+SUMIF('Mortality Tarif Male'!A:A,$C$2+$H$2,'Mortality Tarif Male'!D:D))/SUMIF('Mortality Tarif Male'!A:A,E274,'Mortality Tarif Male'!D:D),(SUMIF('Mortality Tarif Female'!A:A,E274,'Mortality Tarif Female'!G:G)-SUMIF('Mortality Tarif Female'!A:A,$C$2+$H$2,'Mortality Tarif Female'!G:G)+SUMIF('Mortality Tarif Female'!A:A,$C$2+$H$2,'Mortality Tarif Female'!D:D))/SUMIF('Mortality Tarif Female'!A:A,E274,'Mortality Tarif Female'!D:D)))</f>
        <v>0</v>
      </c>
      <c r="S273">
        <f>IF(B273&gt;=$AF$2,0,IF($Y$2=1,(SUMIF('Mortality Tarif Male'!A:A,E274+1,'Mortality Tarif Male'!G:G)-SUMIF('Mortality Tarif Male'!A:A,$C$2+$H$2,'Mortality Tarif Male'!G:G)+SUMIF('Mortality Tarif Male'!A:A,$C$2+$H$2,'Mortality Tarif Male'!D:D))/SUMIF('Mortality Tarif Male'!A:A,E274+1,'Mortality Tarif Male'!D:D),(SUMIF('Mortality Tarif Female'!A:A,E274+1,'Mortality Tarif Female'!G:G)-SUMIF('Mortality Tarif Female'!A:A,$C$2+$H$2,'Mortality Tarif Female'!G:G)+SUMIF('Mortality Tarif Female'!A:A,$C$2+$H$2,'Mortality Tarif Female'!D:D))/SUMIF('Mortality Tarif Female'!A:A,E274+1,'Mortality Tarif Female'!D:D)))</f>
        <v>0</v>
      </c>
      <c r="T273">
        <f t="shared" si="155"/>
        <v>1</v>
      </c>
      <c r="U273">
        <f t="shared" si="156"/>
        <v>0</v>
      </c>
      <c r="V273">
        <f t="shared" si="177"/>
        <v>0</v>
      </c>
      <c r="W273">
        <f t="shared" si="157"/>
        <v>0</v>
      </c>
      <c r="X273">
        <f t="shared" si="158"/>
        <v>0</v>
      </c>
      <c r="Y273">
        <f>IF(B273&gt;$AF$2,0,IF(V274=0,0,(1-V274)*($E$2+IF(E273&lt;=Assumptions!$B$9,$D$2,0))/$I$2*1/(1+$AG$2)*1/(1+Assumptions!$B$11)))</f>
        <v>0</v>
      </c>
      <c r="Z273">
        <f>IF(B273&gt;$AF$2,0,IF($Y$2=1,(SUMIF('Mortality Tarif Male'!A:A,E274,'Mortality Tarif Male'!E:E)-SUMIF('Mortality Tarif Male'!A:A,$C$2+$H$2,'Mortality Tarif Male'!E:E))/SUMIF('Mortality Tarif Male'!A:A,E274,'Mortality Tarif Male'!D:D),(SUMIF('Mortality Tarif Female'!A:A,E274,'Mortality Tarif Female'!E:E)-SUMIF('Mortality Tarif Female'!A:A,$C$2+$H$2,'Mortality Tarif Female'!E:E))/SUMIF('Mortality Tarif Female'!A:A,E274,'Mortality Tarif Female'!D:D)))</f>
        <v>0</v>
      </c>
      <c r="AA273">
        <f>IF(B273&gt;=$AF$2,0,IF($Y$2=1,(SUMIF('Mortality Tarif Male'!A:A,E274+1,'Mortality Tarif Male'!E:E)-SUMIF('Mortality Tarif Male'!A:A,$C$2+$H$2,'Mortality Tarif Male'!E:E))/SUMIF('Mortality Tarif Male'!A:A,E274+1,'Mortality Tarif Male'!D:D),(SUMIF('Mortality Tarif Female'!A:A,E274+1,'Mortality Tarif Female'!E:E)-SUMIF('Mortality Tarif Female'!A:A,$C$2+$H$2,'Mortality Tarif Female'!E:E))/SUMIF('Mortality Tarif Female'!A:A,E274+1,'Mortality Tarif Female'!D:D)))</f>
        <v>0</v>
      </c>
      <c r="AB273">
        <f t="shared" si="159"/>
        <v>0</v>
      </c>
      <c r="AC273">
        <f>IF(B273&gt;=$AF$2,0,MIN(1/3*(V273+W273+Y273-AB273),(V273-AB273),(T273*Z273+(1-T273)*AA273)*$AH$2*Assumptions!$B$22))</f>
        <v>0</v>
      </c>
      <c r="AD273">
        <f t="shared" si="160"/>
        <v>0</v>
      </c>
      <c r="AE273">
        <f t="shared" si="161"/>
        <v>0</v>
      </c>
      <c r="AF273">
        <f t="shared" si="162"/>
        <v>0</v>
      </c>
      <c r="AG273" s="26">
        <f t="shared" si="163"/>
        <v>0</v>
      </c>
      <c r="AH273" s="27">
        <f>IF(B273&gt;$AF$2,0,HLOOKUP(YEAR(A273),Assumptions!$A$34:$AL$37,4,TRUE)/100)</f>
        <v>0</v>
      </c>
      <c r="AI273">
        <f t="shared" si="164"/>
        <v>0</v>
      </c>
      <c r="AJ273">
        <f t="shared" si="165"/>
        <v>0</v>
      </c>
      <c r="AK273">
        <f t="shared" si="178"/>
        <v>0</v>
      </c>
      <c r="AL273">
        <f>IF(E273&gt;Assumptions!$B$9,0,SUMPRODUCT($P$2:$X$2,Assumptions!$A$43:$I$43)/$I$2*O272*K273)</f>
        <v>0</v>
      </c>
      <c r="AM273">
        <f t="shared" si="166"/>
        <v>0</v>
      </c>
      <c r="AN273">
        <f t="shared" si="167"/>
        <v>0</v>
      </c>
      <c r="AO273">
        <f>IF(E273&gt;Assumptions!$B$9,0,($V$2+$X$2)/$I$2*O272*K273*Assumptions!$B$46)</f>
        <v>0</v>
      </c>
      <c r="AP273">
        <f>IF(B273&gt;$AF$2,0,AP272*(1+Assumptions!$B$52)^(1/12))</f>
        <v>0</v>
      </c>
      <c r="AQ273" s="29">
        <f>IF(B273&gt;$AF$2,0,O272*Assumptions!$B$48/12*AP272+AR273*Assumptions!$B$50/12)</f>
        <v>0</v>
      </c>
      <c r="AR273" s="31">
        <f t="shared" si="179"/>
        <v>0</v>
      </c>
      <c r="AS273">
        <f t="shared" si="168"/>
        <v>0</v>
      </c>
      <c r="AT273">
        <f t="shared" si="169"/>
        <v>0</v>
      </c>
      <c r="AU273" s="19">
        <f t="shared" si="170"/>
        <v>0</v>
      </c>
      <c r="AV273" s="19">
        <f t="shared" si="171"/>
        <v>0</v>
      </c>
      <c r="AW273">
        <f t="shared" si="180"/>
        <v>0</v>
      </c>
      <c r="AX273">
        <f>IF(B273&gt;$AF$2,0,HLOOKUP(YEAR(A273),Assumptions!$A$34:$AL$37,2,TRUE)/100)</f>
        <v>0</v>
      </c>
      <c r="AY273" s="32">
        <f>1/(1+HLOOKUP(YEAR(A273),Assumptions!$A$27:$AL$29,3,TRUE))^(1/12)</f>
        <v>0.99795794845611863</v>
      </c>
      <c r="AZ273" s="30">
        <f t="shared" si="172"/>
        <v>0</v>
      </c>
      <c r="BA273">
        <f>IF(B273&gt;$AF$2,0,IF($E$2=0,(T273*Z273+(1-T273)*AA273)*$J$2*Assumptions!$B$20,0))</f>
        <v>0</v>
      </c>
    </row>
    <row r="274" spans="1:53" x14ac:dyDescent="0.25">
      <c r="A274" s="17">
        <f t="shared" si="175"/>
        <v>51104</v>
      </c>
      <c r="B274">
        <f t="shared" si="173"/>
        <v>493</v>
      </c>
      <c r="C274">
        <f t="shared" si="146"/>
        <v>41</v>
      </c>
      <c r="D274">
        <f t="shared" si="147"/>
        <v>1</v>
      </c>
      <c r="E274">
        <f t="shared" si="174"/>
        <v>64</v>
      </c>
      <c r="F274">
        <f>IF(C274&gt;=$H$2,0,VLOOKUP($E274,'Mortality Table'!$A$3:$C$128,2+AB$2,FALSE))</f>
        <v>0</v>
      </c>
      <c r="G274">
        <f>F274*Assumptions!$B$1</f>
        <v>0</v>
      </c>
      <c r="H274">
        <f t="shared" si="148"/>
        <v>0</v>
      </c>
      <c r="I274">
        <f t="shared" si="149"/>
        <v>0</v>
      </c>
      <c r="J274">
        <f>HLOOKUP(C274,Assumptions!$A$6:$J$7,2,TRUE)</f>
        <v>3.5200000000000002E-2</v>
      </c>
      <c r="K274" s="18">
        <f t="shared" si="150"/>
        <v>0</v>
      </c>
      <c r="L274" s="18">
        <f t="shared" si="176"/>
        <v>8.3333333333333329E-2</v>
      </c>
      <c r="M274" s="18">
        <f t="shared" si="151"/>
        <v>2.9817501439168836E-3</v>
      </c>
      <c r="N274">
        <f t="shared" si="152"/>
        <v>0</v>
      </c>
      <c r="O274" s="20">
        <f t="shared" si="153"/>
        <v>0</v>
      </c>
      <c r="P274">
        <f>IF(B274&gt;$AF$2,0,O273*($E$2+IF(E274&lt;=Assumptions!$B$9,$D$2,0))/$I$2*K274)</f>
        <v>0</v>
      </c>
      <c r="Q274">
        <f t="shared" si="154"/>
        <v>0</v>
      </c>
      <c r="R274">
        <f>IF(B274&gt;$AF$2,0,IF($Y$2=1,(SUMIF('Mortality Tarif Male'!A:A,E275,'Mortality Tarif Male'!G:G)-SUMIF('Mortality Tarif Male'!A:A,$C$2+$H$2,'Mortality Tarif Male'!G:G)+SUMIF('Mortality Tarif Male'!A:A,$C$2+$H$2,'Mortality Tarif Male'!D:D))/SUMIF('Mortality Tarif Male'!A:A,E275,'Mortality Tarif Male'!D:D),(SUMIF('Mortality Tarif Female'!A:A,E275,'Mortality Tarif Female'!G:G)-SUMIF('Mortality Tarif Female'!A:A,$C$2+$H$2,'Mortality Tarif Female'!G:G)+SUMIF('Mortality Tarif Female'!A:A,$C$2+$H$2,'Mortality Tarif Female'!D:D))/SUMIF('Mortality Tarif Female'!A:A,E275,'Mortality Tarif Female'!D:D)))</f>
        <v>0</v>
      </c>
      <c r="S274">
        <f>IF(B274&gt;=$AF$2,0,IF($Y$2=1,(SUMIF('Mortality Tarif Male'!A:A,E275+1,'Mortality Tarif Male'!G:G)-SUMIF('Mortality Tarif Male'!A:A,$C$2+$H$2,'Mortality Tarif Male'!G:G)+SUMIF('Mortality Tarif Male'!A:A,$C$2+$H$2,'Mortality Tarif Male'!D:D))/SUMIF('Mortality Tarif Male'!A:A,E275+1,'Mortality Tarif Male'!D:D),(SUMIF('Mortality Tarif Female'!A:A,E275+1,'Mortality Tarif Female'!G:G)-SUMIF('Mortality Tarif Female'!A:A,$C$2+$H$2,'Mortality Tarif Female'!G:G)+SUMIF('Mortality Tarif Female'!A:A,$C$2+$H$2,'Mortality Tarif Female'!D:D))/SUMIF('Mortality Tarif Female'!A:A,E275+1,'Mortality Tarif Female'!D:D)))</f>
        <v>0</v>
      </c>
      <c r="T274">
        <f t="shared" si="155"/>
        <v>0.9166666666666643</v>
      </c>
      <c r="U274">
        <f t="shared" si="156"/>
        <v>0</v>
      </c>
      <c r="V274">
        <f t="shared" si="177"/>
        <v>0</v>
      </c>
      <c r="W274">
        <f t="shared" si="157"/>
        <v>0</v>
      </c>
      <c r="X274">
        <f t="shared" si="158"/>
        <v>0</v>
      </c>
      <c r="Y274">
        <f>IF(B274&gt;$AF$2,0,IF(V275=0,0,(1-V275)*($E$2+IF(E274&lt;=Assumptions!$B$9,$D$2,0))/$I$2*1/(1+$AG$2)*1/(1+Assumptions!$B$11)))</f>
        <v>0</v>
      </c>
      <c r="Z274">
        <f>IF(B274&gt;$AF$2,0,IF($Y$2=1,(SUMIF('Mortality Tarif Male'!A:A,E275,'Mortality Tarif Male'!E:E)-SUMIF('Mortality Tarif Male'!A:A,$C$2+$H$2,'Mortality Tarif Male'!E:E))/SUMIF('Mortality Tarif Male'!A:A,E275,'Mortality Tarif Male'!D:D),(SUMIF('Mortality Tarif Female'!A:A,E275,'Mortality Tarif Female'!E:E)-SUMIF('Mortality Tarif Female'!A:A,$C$2+$H$2,'Mortality Tarif Female'!E:E))/SUMIF('Mortality Tarif Female'!A:A,E275,'Mortality Tarif Female'!D:D)))</f>
        <v>0</v>
      </c>
      <c r="AA274">
        <f>IF(B274&gt;=$AF$2,0,IF($Y$2=1,(SUMIF('Mortality Tarif Male'!A:A,E275+1,'Mortality Tarif Male'!E:E)-SUMIF('Mortality Tarif Male'!A:A,$C$2+$H$2,'Mortality Tarif Male'!E:E))/SUMIF('Mortality Tarif Male'!A:A,E275+1,'Mortality Tarif Male'!D:D),(SUMIF('Mortality Tarif Female'!A:A,E275+1,'Mortality Tarif Female'!E:E)-SUMIF('Mortality Tarif Female'!A:A,$C$2+$H$2,'Mortality Tarif Female'!E:E))/SUMIF('Mortality Tarif Female'!A:A,E275+1,'Mortality Tarif Female'!D:D)))</f>
        <v>0</v>
      </c>
      <c r="AB274">
        <f t="shared" si="159"/>
        <v>0</v>
      </c>
      <c r="AC274">
        <f>IF(B274&gt;=$AF$2,0,MIN(1/3*(V274+W274+Y274-AB274),(V274-AB274),(T274*Z274+(1-T274)*AA274)*$AH$2*Assumptions!$B$22))</f>
        <v>0</v>
      </c>
      <c r="AD274">
        <f t="shared" si="160"/>
        <v>0</v>
      </c>
      <c r="AE274">
        <f t="shared" si="161"/>
        <v>0</v>
      </c>
      <c r="AF274">
        <f t="shared" si="162"/>
        <v>0</v>
      </c>
      <c r="AG274" s="26">
        <f t="shared" si="163"/>
        <v>0</v>
      </c>
      <c r="AH274" s="27">
        <f>IF(B274&gt;$AF$2,0,HLOOKUP(YEAR(A274),Assumptions!$A$34:$AL$37,4,TRUE)/100)</f>
        <v>0</v>
      </c>
      <c r="AI274">
        <f t="shared" si="164"/>
        <v>0</v>
      </c>
      <c r="AJ274">
        <f t="shared" si="165"/>
        <v>0</v>
      </c>
      <c r="AK274">
        <f t="shared" si="178"/>
        <v>0</v>
      </c>
      <c r="AL274">
        <f>IF(E274&gt;Assumptions!$B$9,0,SUMPRODUCT($P$2:$X$2,Assumptions!$A$43:$I$43)/$I$2*O273*K274)</f>
        <v>0</v>
      </c>
      <c r="AM274">
        <f t="shared" si="166"/>
        <v>0</v>
      </c>
      <c r="AN274">
        <f t="shared" si="167"/>
        <v>0</v>
      </c>
      <c r="AO274">
        <f>IF(E274&gt;Assumptions!$B$9,0,($V$2+$X$2)/$I$2*O273*K274*Assumptions!$B$46)</f>
        <v>0</v>
      </c>
      <c r="AP274">
        <f>IF(B274&gt;$AF$2,0,AP273*(1+Assumptions!$B$52)^(1/12))</f>
        <v>0</v>
      </c>
      <c r="AQ274" s="29">
        <f>IF(B274&gt;$AF$2,0,O273*Assumptions!$B$48/12*AP273+AR274*Assumptions!$B$50/12)</f>
        <v>0</v>
      </c>
      <c r="AR274" s="31">
        <f t="shared" si="179"/>
        <v>0</v>
      </c>
      <c r="AS274">
        <f t="shared" si="168"/>
        <v>0</v>
      </c>
      <c r="AT274">
        <f t="shared" si="169"/>
        <v>0</v>
      </c>
      <c r="AU274" s="19">
        <f t="shared" si="170"/>
        <v>0</v>
      </c>
      <c r="AV274" s="19">
        <f t="shared" si="171"/>
        <v>0</v>
      </c>
      <c r="AW274">
        <f t="shared" si="180"/>
        <v>0</v>
      </c>
      <c r="AX274">
        <f>IF(B274&gt;$AF$2,0,HLOOKUP(YEAR(A274),Assumptions!$A$34:$AL$37,2,TRUE)/100)</f>
        <v>0</v>
      </c>
      <c r="AY274" s="32">
        <f>1/(1+HLOOKUP(YEAR(A274),Assumptions!$A$27:$AL$29,3,TRUE))^(1/12)</f>
        <v>0.99795794845611863</v>
      </c>
      <c r="AZ274" s="30">
        <f t="shared" si="172"/>
        <v>0</v>
      </c>
      <c r="BA274">
        <f>IF(B274&gt;$AF$2,0,IF($E$2=0,(T274*Z274+(1-T274)*AA274)*$J$2*Assumptions!$B$20,0))</f>
        <v>0</v>
      </c>
    </row>
    <row r="275" spans="1:53" x14ac:dyDescent="0.25">
      <c r="A275" s="17">
        <f t="shared" si="175"/>
        <v>51135</v>
      </c>
      <c r="B275">
        <f t="shared" si="173"/>
        <v>494</v>
      </c>
      <c r="C275">
        <f t="shared" si="146"/>
        <v>41.083333333333336</v>
      </c>
      <c r="D275">
        <f t="shared" si="147"/>
        <v>0</v>
      </c>
      <c r="E275">
        <f t="shared" si="174"/>
        <v>64</v>
      </c>
      <c r="F275">
        <f>IF(C275&gt;=$H$2,0,VLOOKUP($E275,'Mortality Table'!$A$3:$C$128,2+AB$2,FALSE))</f>
        <v>0</v>
      </c>
      <c r="G275">
        <f>F275*Assumptions!$B$1</f>
        <v>0</v>
      </c>
      <c r="H275">
        <f t="shared" si="148"/>
        <v>0</v>
      </c>
      <c r="I275">
        <f t="shared" si="149"/>
        <v>0</v>
      </c>
      <c r="J275">
        <f>HLOOKUP(C275,Assumptions!$A$6:$J$7,2,TRUE)</f>
        <v>3.5200000000000002E-2</v>
      </c>
      <c r="K275" s="18">
        <f t="shared" si="150"/>
        <v>0</v>
      </c>
      <c r="L275" s="18">
        <f t="shared" si="176"/>
        <v>8.3333333333333329E-2</v>
      </c>
      <c r="M275" s="18">
        <f t="shared" si="151"/>
        <v>2.9817501439168836E-3</v>
      </c>
      <c r="N275">
        <f t="shared" si="152"/>
        <v>0</v>
      </c>
      <c r="O275" s="20">
        <f t="shared" si="153"/>
        <v>0</v>
      </c>
      <c r="P275">
        <f>IF(B275&gt;$AF$2,0,O274*($E$2+IF(E275&lt;=Assumptions!$B$9,$D$2,0))/$I$2*K275)</f>
        <v>0</v>
      </c>
      <c r="Q275">
        <f t="shared" si="154"/>
        <v>0</v>
      </c>
      <c r="R275">
        <f>IF(B275&gt;$AF$2,0,IF($Y$2=1,(SUMIF('Mortality Tarif Male'!A:A,E276,'Mortality Tarif Male'!G:G)-SUMIF('Mortality Tarif Male'!A:A,$C$2+$H$2,'Mortality Tarif Male'!G:G)+SUMIF('Mortality Tarif Male'!A:A,$C$2+$H$2,'Mortality Tarif Male'!D:D))/SUMIF('Mortality Tarif Male'!A:A,E276,'Mortality Tarif Male'!D:D),(SUMIF('Mortality Tarif Female'!A:A,E276,'Mortality Tarif Female'!G:G)-SUMIF('Mortality Tarif Female'!A:A,$C$2+$H$2,'Mortality Tarif Female'!G:G)+SUMIF('Mortality Tarif Female'!A:A,$C$2+$H$2,'Mortality Tarif Female'!D:D))/SUMIF('Mortality Tarif Female'!A:A,E276,'Mortality Tarif Female'!D:D)))</f>
        <v>0</v>
      </c>
      <c r="S275">
        <f>IF(B275&gt;=$AF$2,0,IF($Y$2=1,(SUMIF('Mortality Tarif Male'!A:A,E276+1,'Mortality Tarif Male'!G:G)-SUMIF('Mortality Tarif Male'!A:A,$C$2+$H$2,'Mortality Tarif Male'!G:G)+SUMIF('Mortality Tarif Male'!A:A,$C$2+$H$2,'Mortality Tarif Male'!D:D))/SUMIF('Mortality Tarif Male'!A:A,E276+1,'Mortality Tarif Male'!D:D),(SUMIF('Mortality Tarif Female'!A:A,E276+1,'Mortality Tarif Female'!G:G)-SUMIF('Mortality Tarif Female'!A:A,$C$2+$H$2,'Mortality Tarif Female'!G:G)+SUMIF('Mortality Tarif Female'!A:A,$C$2+$H$2,'Mortality Tarif Female'!D:D))/SUMIF('Mortality Tarif Female'!A:A,E276+1,'Mortality Tarif Female'!D:D)))</f>
        <v>0</v>
      </c>
      <c r="T275">
        <f t="shared" si="155"/>
        <v>0.8333333333333357</v>
      </c>
      <c r="U275">
        <f t="shared" si="156"/>
        <v>0</v>
      </c>
      <c r="V275">
        <f t="shared" si="177"/>
        <v>0</v>
      </c>
      <c r="W275">
        <f t="shared" si="157"/>
        <v>0</v>
      </c>
      <c r="X275">
        <f t="shared" si="158"/>
        <v>0</v>
      </c>
      <c r="Y275">
        <f>IF(B275&gt;$AF$2,0,IF(V276=0,0,(1-V276)*($E$2+IF(E275&lt;=Assumptions!$B$9,$D$2,0))/$I$2*1/(1+$AG$2)*1/(1+Assumptions!$B$11)))</f>
        <v>0</v>
      </c>
      <c r="Z275">
        <f>IF(B275&gt;$AF$2,0,IF($Y$2=1,(SUMIF('Mortality Tarif Male'!A:A,E276,'Mortality Tarif Male'!E:E)-SUMIF('Mortality Tarif Male'!A:A,$C$2+$H$2,'Mortality Tarif Male'!E:E))/SUMIF('Mortality Tarif Male'!A:A,E276,'Mortality Tarif Male'!D:D),(SUMIF('Mortality Tarif Female'!A:A,E276,'Mortality Tarif Female'!E:E)-SUMIF('Mortality Tarif Female'!A:A,$C$2+$H$2,'Mortality Tarif Female'!E:E))/SUMIF('Mortality Tarif Female'!A:A,E276,'Mortality Tarif Female'!D:D)))</f>
        <v>0</v>
      </c>
      <c r="AA275">
        <f>IF(B275&gt;=$AF$2,0,IF($Y$2=1,(SUMIF('Mortality Tarif Male'!A:A,E276+1,'Mortality Tarif Male'!E:E)-SUMIF('Mortality Tarif Male'!A:A,$C$2+$H$2,'Mortality Tarif Male'!E:E))/SUMIF('Mortality Tarif Male'!A:A,E276+1,'Mortality Tarif Male'!D:D),(SUMIF('Mortality Tarif Female'!A:A,E276+1,'Mortality Tarif Female'!E:E)-SUMIF('Mortality Tarif Female'!A:A,$C$2+$H$2,'Mortality Tarif Female'!E:E))/SUMIF('Mortality Tarif Female'!A:A,E276+1,'Mortality Tarif Female'!D:D)))</f>
        <v>0</v>
      </c>
      <c r="AB275">
        <f t="shared" si="159"/>
        <v>0</v>
      </c>
      <c r="AC275">
        <f>IF(B275&gt;=$AF$2,0,MIN(1/3*(V275+W275+Y275-AB275),(V275-AB275),(T275*Z275+(1-T275)*AA275)*$AH$2*Assumptions!$B$22))</f>
        <v>0</v>
      </c>
      <c r="AD275">
        <f t="shared" si="160"/>
        <v>0</v>
      </c>
      <c r="AE275">
        <f t="shared" si="161"/>
        <v>0</v>
      </c>
      <c r="AF275">
        <f t="shared" si="162"/>
        <v>0</v>
      </c>
      <c r="AG275" s="26">
        <f t="shared" si="163"/>
        <v>0</v>
      </c>
      <c r="AH275" s="27">
        <f>IF(B275&gt;$AF$2,0,HLOOKUP(YEAR(A275),Assumptions!$A$34:$AL$37,4,TRUE)/100)</f>
        <v>0</v>
      </c>
      <c r="AI275">
        <f t="shared" si="164"/>
        <v>0</v>
      </c>
      <c r="AJ275">
        <f t="shared" si="165"/>
        <v>0</v>
      </c>
      <c r="AK275">
        <f t="shared" si="178"/>
        <v>0</v>
      </c>
      <c r="AL275">
        <f>IF(E275&gt;Assumptions!$B$9,0,SUMPRODUCT($P$2:$X$2,Assumptions!$A$43:$I$43)/$I$2*O274*K275)</f>
        <v>0</v>
      </c>
      <c r="AM275">
        <f t="shared" si="166"/>
        <v>0</v>
      </c>
      <c r="AN275">
        <f t="shared" si="167"/>
        <v>0</v>
      </c>
      <c r="AO275">
        <f>IF(E275&gt;Assumptions!$B$9,0,($V$2+$X$2)/$I$2*O274*K275*Assumptions!$B$46)</f>
        <v>0</v>
      </c>
      <c r="AP275">
        <f>IF(B275&gt;$AF$2,0,AP274*(1+Assumptions!$B$52)^(1/12))</f>
        <v>0</v>
      </c>
      <c r="AQ275" s="29">
        <f>IF(B275&gt;$AF$2,0,O274*Assumptions!$B$48/12*AP274+AR275*Assumptions!$B$50/12)</f>
        <v>0</v>
      </c>
      <c r="AR275" s="31">
        <f t="shared" si="179"/>
        <v>0</v>
      </c>
      <c r="AS275">
        <f t="shared" si="168"/>
        <v>0</v>
      </c>
      <c r="AT275">
        <f t="shared" si="169"/>
        <v>0</v>
      </c>
      <c r="AU275" s="19">
        <f t="shared" si="170"/>
        <v>0</v>
      </c>
      <c r="AV275" s="19">
        <f t="shared" si="171"/>
        <v>0</v>
      </c>
      <c r="AW275">
        <f t="shared" si="180"/>
        <v>0</v>
      </c>
      <c r="AX275">
        <f>IF(B275&gt;$AF$2,0,HLOOKUP(YEAR(A275),Assumptions!$A$34:$AL$37,2,TRUE)/100)</f>
        <v>0</v>
      </c>
      <c r="AY275" s="32">
        <f>1/(1+HLOOKUP(YEAR(A275),Assumptions!$A$27:$AL$29,3,TRUE))^(1/12)</f>
        <v>0.99795794845611863</v>
      </c>
      <c r="AZ275" s="30">
        <f t="shared" si="172"/>
        <v>0</v>
      </c>
      <c r="BA275">
        <f>IF(B275&gt;$AF$2,0,IF($E$2=0,(T275*Z275+(1-T275)*AA275)*$J$2*Assumptions!$B$20,0))</f>
        <v>0</v>
      </c>
    </row>
    <row r="276" spans="1:53" x14ac:dyDescent="0.25">
      <c r="A276" s="17">
        <f t="shared" si="175"/>
        <v>51166</v>
      </c>
      <c r="B276">
        <f t="shared" si="173"/>
        <v>495</v>
      </c>
      <c r="C276">
        <f t="shared" si="146"/>
        <v>41.166666666666664</v>
      </c>
      <c r="D276">
        <f t="shared" si="147"/>
        <v>0</v>
      </c>
      <c r="E276">
        <f t="shared" si="174"/>
        <v>64</v>
      </c>
      <c r="F276">
        <f>IF(C276&gt;=$H$2,0,VLOOKUP($E276,'Mortality Table'!$A$3:$C$128,2+AB$2,FALSE))</f>
        <v>0</v>
      </c>
      <c r="G276">
        <f>F276*Assumptions!$B$1</f>
        <v>0</v>
      </c>
      <c r="H276">
        <f t="shared" si="148"/>
        <v>0</v>
      </c>
      <c r="I276">
        <f t="shared" si="149"/>
        <v>0</v>
      </c>
      <c r="J276">
        <f>HLOOKUP(C276,Assumptions!$A$6:$J$7,2,TRUE)</f>
        <v>3.5200000000000002E-2</v>
      </c>
      <c r="K276" s="18">
        <f t="shared" si="150"/>
        <v>0</v>
      </c>
      <c r="L276" s="18">
        <f t="shared" si="176"/>
        <v>8.3333333333333329E-2</v>
      </c>
      <c r="M276" s="18">
        <f t="shared" si="151"/>
        <v>2.9817501439168836E-3</v>
      </c>
      <c r="N276">
        <f t="shared" si="152"/>
        <v>0</v>
      </c>
      <c r="O276" s="20">
        <f t="shared" si="153"/>
        <v>0</v>
      </c>
      <c r="P276">
        <f>IF(B276&gt;$AF$2,0,O275*($E$2+IF(E276&lt;=Assumptions!$B$9,$D$2,0))/$I$2*K276)</f>
        <v>0</v>
      </c>
      <c r="Q276">
        <f t="shared" si="154"/>
        <v>0</v>
      </c>
      <c r="R276">
        <f>IF(B276&gt;$AF$2,0,IF($Y$2=1,(SUMIF('Mortality Tarif Male'!A:A,E277,'Mortality Tarif Male'!G:G)-SUMIF('Mortality Tarif Male'!A:A,$C$2+$H$2,'Mortality Tarif Male'!G:G)+SUMIF('Mortality Tarif Male'!A:A,$C$2+$H$2,'Mortality Tarif Male'!D:D))/SUMIF('Mortality Tarif Male'!A:A,E277,'Mortality Tarif Male'!D:D),(SUMIF('Mortality Tarif Female'!A:A,E277,'Mortality Tarif Female'!G:G)-SUMIF('Mortality Tarif Female'!A:A,$C$2+$H$2,'Mortality Tarif Female'!G:G)+SUMIF('Mortality Tarif Female'!A:A,$C$2+$H$2,'Mortality Tarif Female'!D:D))/SUMIF('Mortality Tarif Female'!A:A,E277,'Mortality Tarif Female'!D:D)))</f>
        <v>0</v>
      </c>
      <c r="S276">
        <f>IF(B276&gt;=$AF$2,0,IF($Y$2=1,(SUMIF('Mortality Tarif Male'!A:A,E277+1,'Mortality Tarif Male'!G:G)-SUMIF('Mortality Tarif Male'!A:A,$C$2+$H$2,'Mortality Tarif Male'!G:G)+SUMIF('Mortality Tarif Male'!A:A,$C$2+$H$2,'Mortality Tarif Male'!D:D))/SUMIF('Mortality Tarif Male'!A:A,E277+1,'Mortality Tarif Male'!D:D),(SUMIF('Mortality Tarif Female'!A:A,E277+1,'Mortality Tarif Female'!G:G)-SUMIF('Mortality Tarif Female'!A:A,$C$2+$H$2,'Mortality Tarif Female'!G:G)+SUMIF('Mortality Tarif Female'!A:A,$C$2+$H$2,'Mortality Tarif Female'!D:D))/SUMIF('Mortality Tarif Female'!A:A,E277+1,'Mortality Tarif Female'!D:D)))</f>
        <v>0</v>
      </c>
      <c r="T276">
        <f t="shared" si="155"/>
        <v>0.75</v>
      </c>
      <c r="U276">
        <f t="shared" si="156"/>
        <v>0</v>
      </c>
      <c r="V276">
        <f t="shared" si="177"/>
        <v>0</v>
      </c>
      <c r="W276">
        <f t="shared" si="157"/>
        <v>0</v>
      </c>
      <c r="X276">
        <f t="shared" si="158"/>
        <v>0</v>
      </c>
      <c r="Y276">
        <f>IF(B276&gt;$AF$2,0,IF(V277=0,0,(1-V277)*($E$2+IF(E276&lt;=Assumptions!$B$9,$D$2,0))/$I$2*1/(1+$AG$2)*1/(1+Assumptions!$B$11)))</f>
        <v>0</v>
      </c>
      <c r="Z276">
        <f>IF(B276&gt;$AF$2,0,IF($Y$2=1,(SUMIF('Mortality Tarif Male'!A:A,E277,'Mortality Tarif Male'!E:E)-SUMIF('Mortality Tarif Male'!A:A,$C$2+$H$2,'Mortality Tarif Male'!E:E))/SUMIF('Mortality Tarif Male'!A:A,E277,'Mortality Tarif Male'!D:D),(SUMIF('Mortality Tarif Female'!A:A,E277,'Mortality Tarif Female'!E:E)-SUMIF('Mortality Tarif Female'!A:A,$C$2+$H$2,'Mortality Tarif Female'!E:E))/SUMIF('Mortality Tarif Female'!A:A,E277,'Mortality Tarif Female'!D:D)))</f>
        <v>0</v>
      </c>
      <c r="AA276">
        <f>IF(B276&gt;=$AF$2,0,IF($Y$2=1,(SUMIF('Mortality Tarif Male'!A:A,E277+1,'Mortality Tarif Male'!E:E)-SUMIF('Mortality Tarif Male'!A:A,$C$2+$H$2,'Mortality Tarif Male'!E:E))/SUMIF('Mortality Tarif Male'!A:A,E277+1,'Mortality Tarif Male'!D:D),(SUMIF('Mortality Tarif Female'!A:A,E277+1,'Mortality Tarif Female'!E:E)-SUMIF('Mortality Tarif Female'!A:A,$C$2+$H$2,'Mortality Tarif Female'!E:E))/SUMIF('Mortality Tarif Female'!A:A,E277+1,'Mortality Tarif Female'!D:D)))</f>
        <v>0</v>
      </c>
      <c r="AB276">
        <f t="shared" si="159"/>
        <v>0</v>
      </c>
      <c r="AC276">
        <f>IF(B276&gt;=$AF$2,0,MIN(1/3*(V276+W276+Y276-AB276),(V276-AB276),(T276*Z276+(1-T276)*AA276)*$AH$2*Assumptions!$B$22))</f>
        <v>0</v>
      </c>
      <c r="AD276">
        <f t="shared" si="160"/>
        <v>0</v>
      </c>
      <c r="AE276">
        <f t="shared" si="161"/>
        <v>0</v>
      </c>
      <c r="AF276">
        <f t="shared" si="162"/>
        <v>0</v>
      </c>
      <c r="AG276" s="26">
        <f t="shared" si="163"/>
        <v>0</v>
      </c>
      <c r="AH276" s="27">
        <f>IF(B276&gt;$AF$2,0,HLOOKUP(YEAR(A276),Assumptions!$A$34:$AL$37,4,TRUE)/100)</f>
        <v>0</v>
      </c>
      <c r="AI276">
        <f t="shared" si="164"/>
        <v>0</v>
      </c>
      <c r="AJ276">
        <f t="shared" si="165"/>
        <v>0</v>
      </c>
      <c r="AK276">
        <f t="shared" si="178"/>
        <v>0</v>
      </c>
      <c r="AL276">
        <f>IF(E276&gt;Assumptions!$B$9,0,SUMPRODUCT($P$2:$X$2,Assumptions!$A$43:$I$43)/$I$2*O275*K276)</f>
        <v>0</v>
      </c>
      <c r="AM276">
        <f t="shared" si="166"/>
        <v>0</v>
      </c>
      <c r="AN276">
        <f t="shared" si="167"/>
        <v>0</v>
      </c>
      <c r="AO276">
        <f>IF(E276&gt;Assumptions!$B$9,0,($V$2+$X$2)/$I$2*O275*K276*Assumptions!$B$46)</f>
        <v>0</v>
      </c>
      <c r="AP276">
        <f>IF(B276&gt;$AF$2,0,AP275*(1+Assumptions!$B$52)^(1/12))</f>
        <v>0</v>
      </c>
      <c r="AQ276" s="29">
        <f>IF(B276&gt;$AF$2,0,O275*Assumptions!$B$48/12*AP275+AR276*Assumptions!$B$50/12)</f>
        <v>0</v>
      </c>
      <c r="AR276" s="31">
        <f t="shared" si="179"/>
        <v>0</v>
      </c>
      <c r="AS276">
        <f t="shared" si="168"/>
        <v>0</v>
      </c>
      <c r="AT276">
        <f t="shared" si="169"/>
        <v>0</v>
      </c>
      <c r="AU276" s="19">
        <f t="shared" si="170"/>
        <v>0</v>
      </c>
      <c r="AV276" s="19">
        <f t="shared" si="171"/>
        <v>0</v>
      </c>
      <c r="AW276">
        <f t="shared" si="180"/>
        <v>0</v>
      </c>
      <c r="AX276">
        <f>IF(B276&gt;$AF$2,0,HLOOKUP(YEAR(A276),Assumptions!$A$34:$AL$37,2,TRUE)/100)</f>
        <v>0</v>
      </c>
      <c r="AY276" s="32">
        <f>1/(1+HLOOKUP(YEAR(A276),Assumptions!$A$27:$AL$29,3,TRUE))^(1/12)</f>
        <v>0.99792144053252774</v>
      </c>
      <c r="AZ276" s="30">
        <f t="shared" si="172"/>
        <v>0</v>
      </c>
      <c r="BA276">
        <f>IF(B276&gt;$AF$2,0,IF($E$2=0,(T276*Z276+(1-T276)*AA276)*$J$2*Assumptions!$B$20,0))</f>
        <v>0</v>
      </c>
    </row>
    <row r="277" spans="1:53" x14ac:dyDescent="0.25">
      <c r="A277" s="17">
        <f t="shared" si="175"/>
        <v>51195</v>
      </c>
      <c r="B277">
        <f t="shared" si="173"/>
        <v>496</v>
      </c>
      <c r="C277">
        <f t="shared" si="146"/>
        <v>41.25</v>
      </c>
      <c r="D277">
        <f t="shared" si="147"/>
        <v>0</v>
      </c>
      <c r="E277">
        <f t="shared" si="174"/>
        <v>64</v>
      </c>
      <c r="F277">
        <f>IF(C277&gt;=$H$2,0,VLOOKUP($E277,'Mortality Table'!$A$3:$C$128,2+AB$2,FALSE))</f>
        <v>0</v>
      </c>
      <c r="G277">
        <f>F277*Assumptions!$B$1</f>
        <v>0</v>
      </c>
      <c r="H277">
        <f t="shared" si="148"/>
        <v>0</v>
      </c>
      <c r="I277">
        <f t="shared" si="149"/>
        <v>0</v>
      </c>
      <c r="J277">
        <f>HLOOKUP(C277,Assumptions!$A$6:$J$7,2,TRUE)</f>
        <v>3.5200000000000002E-2</v>
      </c>
      <c r="K277" s="18">
        <f t="shared" si="150"/>
        <v>0</v>
      </c>
      <c r="L277" s="18">
        <f t="shared" si="176"/>
        <v>8.3333333333333329E-2</v>
      </c>
      <c r="M277" s="18">
        <f t="shared" si="151"/>
        <v>2.9817501439168836E-3</v>
      </c>
      <c r="N277">
        <f t="shared" si="152"/>
        <v>0</v>
      </c>
      <c r="O277" s="20">
        <f t="shared" si="153"/>
        <v>0</v>
      </c>
      <c r="P277">
        <f>IF(B277&gt;$AF$2,0,O276*($E$2+IF(E277&lt;=Assumptions!$B$9,$D$2,0))/$I$2*K277)</f>
        <v>0</v>
      </c>
      <c r="Q277">
        <f t="shared" si="154"/>
        <v>0</v>
      </c>
      <c r="R277">
        <f>IF(B277&gt;$AF$2,0,IF($Y$2=1,(SUMIF('Mortality Tarif Male'!A:A,E278,'Mortality Tarif Male'!G:G)-SUMIF('Mortality Tarif Male'!A:A,$C$2+$H$2,'Mortality Tarif Male'!G:G)+SUMIF('Mortality Tarif Male'!A:A,$C$2+$H$2,'Mortality Tarif Male'!D:D))/SUMIF('Mortality Tarif Male'!A:A,E278,'Mortality Tarif Male'!D:D),(SUMIF('Mortality Tarif Female'!A:A,E278,'Mortality Tarif Female'!G:G)-SUMIF('Mortality Tarif Female'!A:A,$C$2+$H$2,'Mortality Tarif Female'!G:G)+SUMIF('Mortality Tarif Female'!A:A,$C$2+$H$2,'Mortality Tarif Female'!D:D))/SUMIF('Mortality Tarif Female'!A:A,E278,'Mortality Tarif Female'!D:D)))</f>
        <v>0</v>
      </c>
      <c r="S277">
        <f>IF(B277&gt;=$AF$2,0,IF($Y$2=1,(SUMIF('Mortality Tarif Male'!A:A,E278+1,'Mortality Tarif Male'!G:G)-SUMIF('Mortality Tarif Male'!A:A,$C$2+$H$2,'Mortality Tarif Male'!G:G)+SUMIF('Mortality Tarif Male'!A:A,$C$2+$H$2,'Mortality Tarif Male'!D:D))/SUMIF('Mortality Tarif Male'!A:A,E278+1,'Mortality Tarif Male'!D:D),(SUMIF('Mortality Tarif Female'!A:A,E278+1,'Mortality Tarif Female'!G:G)-SUMIF('Mortality Tarif Female'!A:A,$C$2+$H$2,'Mortality Tarif Female'!G:G)+SUMIF('Mortality Tarif Female'!A:A,$C$2+$H$2,'Mortality Tarif Female'!D:D))/SUMIF('Mortality Tarif Female'!A:A,E278+1,'Mortality Tarif Female'!D:D)))</f>
        <v>0</v>
      </c>
      <c r="T277">
        <f t="shared" si="155"/>
        <v>0.6666666666666643</v>
      </c>
      <c r="U277">
        <f t="shared" si="156"/>
        <v>0</v>
      </c>
      <c r="V277">
        <f t="shared" si="177"/>
        <v>0</v>
      </c>
      <c r="W277">
        <f t="shared" si="157"/>
        <v>0</v>
      </c>
      <c r="X277">
        <f t="shared" si="158"/>
        <v>0</v>
      </c>
      <c r="Y277">
        <f>IF(B277&gt;$AF$2,0,IF(V278=0,0,(1-V278)*($E$2+IF(E277&lt;=Assumptions!$B$9,$D$2,0))/$I$2*1/(1+$AG$2)*1/(1+Assumptions!$B$11)))</f>
        <v>0</v>
      </c>
      <c r="Z277">
        <f>IF(B277&gt;$AF$2,0,IF($Y$2=1,(SUMIF('Mortality Tarif Male'!A:A,E278,'Mortality Tarif Male'!E:E)-SUMIF('Mortality Tarif Male'!A:A,$C$2+$H$2,'Mortality Tarif Male'!E:E))/SUMIF('Mortality Tarif Male'!A:A,E278,'Mortality Tarif Male'!D:D),(SUMIF('Mortality Tarif Female'!A:A,E278,'Mortality Tarif Female'!E:E)-SUMIF('Mortality Tarif Female'!A:A,$C$2+$H$2,'Mortality Tarif Female'!E:E))/SUMIF('Mortality Tarif Female'!A:A,E278,'Mortality Tarif Female'!D:D)))</f>
        <v>0</v>
      </c>
      <c r="AA277">
        <f>IF(B277&gt;=$AF$2,0,IF($Y$2=1,(SUMIF('Mortality Tarif Male'!A:A,E278+1,'Mortality Tarif Male'!E:E)-SUMIF('Mortality Tarif Male'!A:A,$C$2+$H$2,'Mortality Tarif Male'!E:E))/SUMIF('Mortality Tarif Male'!A:A,E278+1,'Mortality Tarif Male'!D:D),(SUMIF('Mortality Tarif Female'!A:A,E278+1,'Mortality Tarif Female'!E:E)-SUMIF('Mortality Tarif Female'!A:A,$C$2+$H$2,'Mortality Tarif Female'!E:E))/SUMIF('Mortality Tarif Female'!A:A,E278+1,'Mortality Tarif Female'!D:D)))</f>
        <v>0</v>
      </c>
      <c r="AB277">
        <f t="shared" si="159"/>
        <v>0</v>
      </c>
      <c r="AC277">
        <f>IF(B277&gt;=$AF$2,0,MIN(1/3*(V277+W277+Y277-AB277),(V277-AB277),(T277*Z277+(1-T277)*AA277)*$AH$2*Assumptions!$B$22))</f>
        <v>0</v>
      </c>
      <c r="AD277">
        <f t="shared" si="160"/>
        <v>0</v>
      </c>
      <c r="AE277">
        <f t="shared" si="161"/>
        <v>0</v>
      </c>
      <c r="AF277">
        <f t="shared" si="162"/>
        <v>0</v>
      </c>
      <c r="AG277" s="26">
        <f t="shared" si="163"/>
        <v>0</v>
      </c>
      <c r="AH277" s="27">
        <f>IF(B277&gt;$AF$2,0,HLOOKUP(YEAR(A277),Assumptions!$A$34:$AL$37,4,TRUE)/100)</f>
        <v>0</v>
      </c>
      <c r="AI277">
        <f t="shared" si="164"/>
        <v>0</v>
      </c>
      <c r="AJ277">
        <f t="shared" si="165"/>
        <v>0</v>
      </c>
      <c r="AK277">
        <f t="shared" si="178"/>
        <v>0</v>
      </c>
      <c r="AL277">
        <f>IF(E277&gt;Assumptions!$B$9,0,SUMPRODUCT($P$2:$X$2,Assumptions!$A$43:$I$43)/$I$2*O276*K277)</f>
        <v>0</v>
      </c>
      <c r="AM277">
        <f t="shared" si="166"/>
        <v>0</v>
      </c>
      <c r="AN277">
        <f t="shared" si="167"/>
        <v>0</v>
      </c>
      <c r="AO277">
        <f>IF(E277&gt;Assumptions!$B$9,0,($V$2+$X$2)/$I$2*O276*K277*Assumptions!$B$46)</f>
        <v>0</v>
      </c>
      <c r="AP277">
        <f>IF(B277&gt;$AF$2,0,AP276*(1+Assumptions!$B$52)^(1/12))</f>
        <v>0</v>
      </c>
      <c r="AQ277" s="29">
        <f>IF(B277&gt;$AF$2,0,O276*Assumptions!$B$48/12*AP276+AR277*Assumptions!$B$50/12)</f>
        <v>0</v>
      </c>
      <c r="AR277" s="31">
        <f t="shared" si="179"/>
        <v>0</v>
      </c>
      <c r="AS277">
        <f t="shared" si="168"/>
        <v>0</v>
      </c>
      <c r="AT277">
        <f t="shared" si="169"/>
        <v>0</v>
      </c>
      <c r="AU277" s="19">
        <f t="shared" si="170"/>
        <v>0</v>
      </c>
      <c r="AV277" s="19">
        <f t="shared" si="171"/>
        <v>0</v>
      </c>
      <c r="AW277">
        <f t="shared" si="180"/>
        <v>0</v>
      </c>
      <c r="AX277">
        <f>IF(B277&gt;$AF$2,0,HLOOKUP(YEAR(A277),Assumptions!$A$34:$AL$37,2,TRUE)/100)</f>
        <v>0</v>
      </c>
      <c r="AY277" s="32">
        <f>1/(1+HLOOKUP(YEAR(A277),Assumptions!$A$27:$AL$29,3,TRUE))^(1/12)</f>
        <v>0.99792144053252774</v>
      </c>
      <c r="AZ277" s="30">
        <f t="shared" si="172"/>
        <v>0</v>
      </c>
      <c r="BA277">
        <f>IF(B277&gt;$AF$2,0,IF($E$2=0,(T277*Z277+(1-T277)*AA277)*$J$2*Assumptions!$B$20,0))</f>
        <v>0</v>
      </c>
    </row>
    <row r="278" spans="1:53" x14ac:dyDescent="0.25">
      <c r="A278" s="17">
        <f t="shared" si="175"/>
        <v>51226</v>
      </c>
      <c r="B278">
        <f t="shared" si="173"/>
        <v>497</v>
      </c>
      <c r="C278">
        <f t="shared" si="146"/>
        <v>41.333333333333336</v>
      </c>
      <c r="D278">
        <f t="shared" si="147"/>
        <v>0</v>
      </c>
      <c r="E278">
        <f t="shared" si="174"/>
        <v>64</v>
      </c>
      <c r="F278">
        <f>IF(C278&gt;=$H$2,0,VLOOKUP($E278,'Mortality Table'!$A$3:$C$128,2+AB$2,FALSE))</f>
        <v>0</v>
      </c>
      <c r="G278">
        <f>F278*Assumptions!$B$1</f>
        <v>0</v>
      </c>
      <c r="H278">
        <f t="shared" si="148"/>
        <v>0</v>
      </c>
      <c r="I278">
        <f t="shared" si="149"/>
        <v>0</v>
      </c>
      <c r="J278">
        <f>HLOOKUP(C278,Assumptions!$A$6:$J$7,2,TRUE)</f>
        <v>3.5200000000000002E-2</v>
      </c>
      <c r="K278" s="18">
        <f t="shared" si="150"/>
        <v>0</v>
      </c>
      <c r="L278" s="18">
        <f t="shared" si="176"/>
        <v>8.3333333333333329E-2</v>
      </c>
      <c r="M278" s="18">
        <f t="shared" si="151"/>
        <v>2.9817501439168836E-3</v>
      </c>
      <c r="N278">
        <f t="shared" si="152"/>
        <v>0</v>
      </c>
      <c r="O278" s="20">
        <f t="shared" si="153"/>
        <v>0</v>
      </c>
      <c r="P278">
        <f>IF(B278&gt;$AF$2,0,O277*($E$2+IF(E278&lt;=Assumptions!$B$9,$D$2,0))/$I$2*K278)</f>
        <v>0</v>
      </c>
      <c r="Q278">
        <f t="shared" si="154"/>
        <v>0</v>
      </c>
      <c r="R278">
        <f>IF(B278&gt;$AF$2,0,IF($Y$2=1,(SUMIF('Mortality Tarif Male'!A:A,E279,'Mortality Tarif Male'!G:G)-SUMIF('Mortality Tarif Male'!A:A,$C$2+$H$2,'Mortality Tarif Male'!G:G)+SUMIF('Mortality Tarif Male'!A:A,$C$2+$H$2,'Mortality Tarif Male'!D:D))/SUMIF('Mortality Tarif Male'!A:A,E279,'Mortality Tarif Male'!D:D),(SUMIF('Mortality Tarif Female'!A:A,E279,'Mortality Tarif Female'!G:G)-SUMIF('Mortality Tarif Female'!A:A,$C$2+$H$2,'Mortality Tarif Female'!G:G)+SUMIF('Mortality Tarif Female'!A:A,$C$2+$H$2,'Mortality Tarif Female'!D:D))/SUMIF('Mortality Tarif Female'!A:A,E279,'Mortality Tarif Female'!D:D)))</f>
        <v>0</v>
      </c>
      <c r="S278">
        <f>IF(B278&gt;=$AF$2,0,IF($Y$2=1,(SUMIF('Mortality Tarif Male'!A:A,E279+1,'Mortality Tarif Male'!G:G)-SUMIF('Mortality Tarif Male'!A:A,$C$2+$H$2,'Mortality Tarif Male'!G:G)+SUMIF('Mortality Tarif Male'!A:A,$C$2+$H$2,'Mortality Tarif Male'!D:D))/SUMIF('Mortality Tarif Male'!A:A,E279+1,'Mortality Tarif Male'!D:D),(SUMIF('Mortality Tarif Female'!A:A,E279+1,'Mortality Tarif Female'!G:G)-SUMIF('Mortality Tarif Female'!A:A,$C$2+$H$2,'Mortality Tarif Female'!G:G)+SUMIF('Mortality Tarif Female'!A:A,$C$2+$H$2,'Mortality Tarif Female'!D:D))/SUMIF('Mortality Tarif Female'!A:A,E279+1,'Mortality Tarif Female'!D:D)))</f>
        <v>0</v>
      </c>
      <c r="T278">
        <f t="shared" si="155"/>
        <v>0.5833333333333357</v>
      </c>
      <c r="U278">
        <f t="shared" si="156"/>
        <v>0</v>
      </c>
      <c r="V278">
        <f t="shared" si="177"/>
        <v>0</v>
      </c>
      <c r="W278">
        <f t="shared" si="157"/>
        <v>0</v>
      </c>
      <c r="X278">
        <f t="shared" si="158"/>
        <v>0</v>
      </c>
      <c r="Y278">
        <f>IF(B278&gt;$AF$2,0,IF(V279=0,0,(1-V279)*($E$2+IF(E278&lt;=Assumptions!$B$9,$D$2,0))/$I$2*1/(1+$AG$2)*1/(1+Assumptions!$B$11)))</f>
        <v>0</v>
      </c>
      <c r="Z278">
        <f>IF(B278&gt;$AF$2,0,IF($Y$2=1,(SUMIF('Mortality Tarif Male'!A:A,E279,'Mortality Tarif Male'!E:E)-SUMIF('Mortality Tarif Male'!A:A,$C$2+$H$2,'Mortality Tarif Male'!E:E))/SUMIF('Mortality Tarif Male'!A:A,E279,'Mortality Tarif Male'!D:D),(SUMIF('Mortality Tarif Female'!A:A,E279,'Mortality Tarif Female'!E:E)-SUMIF('Mortality Tarif Female'!A:A,$C$2+$H$2,'Mortality Tarif Female'!E:E))/SUMIF('Mortality Tarif Female'!A:A,E279,'Mortality Tarif Female'!D:D)))</f>
        <v>0</v>
      </c>
      <c r="AA278">
        <f>IF(B278&gt;=$AF$2,0,IF($Y$2=1,(SUMIF('Mortality Tarif Male'!A:A,E279+1,'Mortality Tarif Male'!E:E)-SUMIF('Mortality Tarif Male'!A:A,$C$2+$H$2,'Mortality Tarif Male'!E:E))/SUMIF('Mortality Tarif Male'!A:A,E279+1,'Mortality Tarif Male'!D:D),(SUMIF('Mortality Tarif Female'!A:A,E279+1,'Mortality Tarif Female'!E:E)-SUMIF('Mortality Tarif Female'!A:A,$C$2+$H$2,'Mortality Tarif Female'!E:E))/SUMIF('Mortality Tarif Female'!A:A,E279+1,'Mortality Tarif Female'!D:D)))</f>
        <v>0</v>
      </c>
      <c r="AB278">
        <f t="shared" si="159"/>
        <v>0</v>
      </c>
      <c r="AC278">
        <f>IF(B278&gt;=$AF$2,0,MIN(1/3*(V278+W278+Y278-AB278),(V278-AB278),(T278*Z278+(1-T278)*AA278)*$AH$2*Assumptions!$B$22))</f>
        <v>0</v>
      </c>
      <c r="AD278">
        <f t="shared" si="160"/>
        <v>0</v>
      </c>
      <c r="AE278">
        <f t="shared" si="161"/>
        <v>0</v>
      </c>
      <c r="AF278">
        <f t="shared" si="162"/>
        <v>0</v>
      </c>
      <c r="AG278" s="26">
        <f t="shared" si="163"/>
        <v>0</v>
      </c>
      <c r="AH278" s="27">
        <f>IF(B278&gt;$AF$2,0,HLOOKUP(YEAR(A278),Assumptions!$A$34:$AL$37,4,TRUE)/100)</f>
        <v>0</v>
      </c>
      <c r="AI278">
        <f t="shared" si="164"/>
        <v>0</v>
      </c>
      <c r="AJ278">
        <f t="shared" si="165"/>
        <v>0</v>
      </c>
      <c r="AK278">
        <f t="shared" si="178"/>
        <v>0</v>
      </c>
      <c r="AL278">
        <f>IF(E278&gt;Assumptions!$B$9,0,SUMPRODUCT($P$2:$X$2,Assumptions!$A$43:$I$43)/$I$2*O277*K278)</f>
        <v>0</v>
      </c>
      <c r="AM278">
        <f t="shared" si="166"/>
        <v>0</v>
      </c>
      <c r="AN278">
        <f t="shared" si="167"/>
        <v>0</v>
      </c>
      <c r="AO278">
        <f>IF(E278&gt;Assumptions!$B$9,0,($V$2+$X$2)/$I$2*O277*K278*Assumptions!$B$46)</f>
        <v>0</v>
      </c>
      <c r="AP278">
        <f>IF(B278&gt;$AF$2,0,AP277*(1+Assumptions!$B$52)^(1/12))</f>
        <v>0</v>
      </c>
      <c r="AQ278" s="29">
        <f>IF(B278&gt;$AF$2,0,O277*Assumptions!$B$48/12*AP277+AR278*Assumptions!$B$50/12)</f>
        <v>0</v>
      </c>
      <c r="AR278" s="31">
        <f t="shared" si="179"/>
        <v>0</v>
      </c>
      <c r="AS278">
        <f t="shared" si="168"/>
        <v>0</v>
      </c>
      <c r="AT278">
        <f t="shared" si="169"/>
        <v>0</v>
      </c>
      <c r="AU278" s="19">
        <f t="shared" si="170"/>
        <v>0</v>
      </c>
      <c r="AV278" s="19">
        <f t="shared" si="171"/>
        <v>0</v>
      </c>
      <c r="AW278">
        <f t="shared" si="180"/>
        <v>0</v>
      </c>
      <c r="AX278">
        <f>IF(B278&gt;$AF$2,0,HLOOKUP(YEAR(A278),Assumptions!$A$34:$AL$37,2,TRUE)/100)</f>
        <v>0</v>
      </c>
      <c r="AY278" s="32">
        <f>1/(1+HLOOKUP(YEAR(A278),Assumptions!$A$27:$AL$29,3,TRUE))^(1/12)</f>
        <v>0.99792144053252774</v>
      </c>
      <c r="AZ278" s="30">
        <f t="shared" si="172"/>
        <v>0</v>
      </c>
      <c r="BA278">
        <f>IF(B278&gt;$AF$2,0,IF($E$2=0,(T278*Z278+(1-T278)*AA278)*$J$2*Assumptions!$B$20,0))</f>
        <v>0</v>
      </c>
    </row>
    <row r="279" spans="1:53" x14ac:dyDescent="0.25">
      <c r="A279" s="17">
        <f t="shared" si="175"/>
        <v>51256</v>
      </c>
      <c r="B279">
        <f t="shared" si="173"/>
        <v>498</v>
      </c>
      <c r="C279">
        <f t="shared" si="146"/>
        <v>41.416666666666664</v>
      </c>
      <c r="D279">
        <f t="shared" si="147"/>
        <v>0</v>
      </c>
      <c r="E279">
        <f t="shared" si="174"/>
        <v>64</v>
      </c>
      <c r="F279">
        <f>IF(C279&gt;=$H$2,0,VLOOKUP($E279,'Mortality Table'!$A$3:$C$128,2+AB$2,FALSE))</f>
        <v>0</v>
      </c>
      <c r="G279">
        <f>F279*Assumptions!$B$1</f>
        <v>0</v>
      </c>
      <c r="H279">
        <f t="shared" si="148"/>
        <v>0</v>
      </c>
      <c r="I279">
        <f t="shared" si="149"/>
        <v>0</v>
      </c>
      <c r="J279">
        <f>HLOOKUP(C279,Assumptions!$A$6:$J$7,2,TRUE)</f>
        <v>3.5200000000000002E-2</v>
      </c>
      <c r="K279" s="18">
        <f t="shared" si="150"/>
        <v>0</v>
      </c>
      <c r="L279" s="18">
        <f t="shared" si="176"/>
        <v>8.3333333333333329E-2</v>
      </c>
      <c r="M279" s="18">
        <f t="shared" si="151"/>
        <v>2.9817501439168836E-3</v>
      </c>
      <c r="N279">
        <f t="shared" si="152"/>
        <v>0</v>
      </c>
      <c r="O279" s="20">
        <f t="shared" si="153"/>
        <v>0</v>
      </c>
      <c r="P279">
        <f>IF(B279&gt;$AF$2,0,O278*($E$2+IF(E279&lt;=Assumptions!$B$9,$D$2,0))/$I$2*K279)</f>
        <v>0</v>
      </c>
      <c r="Q279">
        <f t="shared" si="154"/>
        <v>0</v>
      </c>
      <c r="R279">
        <f>IF(B279&gt;$AF$2,0,IF($Y$2=1,(SUMIF('Mortality Tarif Male'!A:A,E280,'Mortality Tarif Male'!G:G)-SUMIF('Mortality Tarif Male'!A:A,$C$2+$H$2,'Mortality Tarif Male'!G:G)+SUMIF('Mortality Tarif Male'!A:A,$C$2+$H$2,'Mortality Tarif Male'!D:D))/SUMIF('Mortality Tarif Male'!A:A,E280,'Mortality Tarif Male'!D:D),(SUMIF('Mortality Tarif Female'!A:A,E280,'Mortality Tarif Female'!G:G)-SUMIF('Mortality Tarif Female'!A:A,$C$2+$H$2,'Mortality Tarif Female'!G:G)+SUMIF('Mortality Tarif Female'!A:A,$C$2+$H$2,'Mortality Tarif Female'!D:D))/SUMIF('Mortality Tarif Female'!A:A,E280,'Mortality Tarif Female'!D:D)))</f>
        <v>0</v>
      </c>
      <c r="S279">
        <f>IF(B279&gt;=$AF$2,0,IF($Y$2=1,(SUMIF('Mortality Tarif Male'!A:A,E280+1,'Mortality Tarif Male'!G:G)-SUMIF('Mortality Tarif Male'!A:A,$C$2+$H$2,'Mortality Tarif Male'!G:G)+SUMIF('Mortality Tarif Male'!A:A,$C$2+$H$2,'Mortality Tarif Male'!D:D))/SUMIF('Mortality Tarif Male'!A:A,E280+1,'Mortality Tarif Male'!D:D),(SUMIF('Mortality Tarif Female'!A:A,E280+1,'Mortality Tarif Female'!G:G)-SUMIF('Mortality Tarif Female'!A:A,$C$2+$H$2,'Mortality Tarif Female'!G:G)+SUMIF('Mortality Tarif Female'!A:A,$C$2+$H$2,'Mortality Tarif Female'!D:D))/SUMIF('Mortality Tarif Female'!A:A,E280+1,'Mortality Tarif Female'!D:D)))</f>
        <v>0</v>
      </c>
      <c r="T279">
        <f t="shared" si="155"/>
        <v>0.5</v>
      </c>
      <c r="U279">
        <f t="shared" si="156"/>
        <v>0</v>
      </c>
      <c r="V279">
        <f t="shared" si="177"/>
        <v>0</v>
      </c>
      <c r="W279">
        <f t="shared" si="157"/>
        <v>0</v>
      </c>
      <c r="X279">
        <f t="shared" si="158"/>
        <v>0</v>
      </c>
      <c r="Y279">
        <f>IF(B279&gt;$AF$2,0,IF(V280=0,0,(1-V280)*($E$2+IF(E279&lt;=Assumptions!$B$9,$D$2,0))/$I$2*1/(1+$AG$2)*1/(1+Assumptions!$B$11)))</f>
        <v>0</v>
      </c>
      <c r="Z279">
        <f>IF(B279&gt;$AF$2,0,IF($Y$2=1,(SUMIF('Mortality Tarif Male'!A:A,E280,'Mortality Tarif Male'!E:E)-SUMIF('Mortality Tarif Male'!A:A,$C$2+$H$2,'Mortality Tarif Male'!E:E))/SUMIF('Mortality Tarif Male'!A:A,E280,'Mortality Tarif Male'!D:D),(SUMIF('Mortality Tarif Female'!A:A,E280,'Mortality Tarif Female'!E:E)-SUMIF('Mortality Tarif Female'!A:A,$C$2+$H$2,'Mortality Tarif Female'!E:E))/SUMIF('Mortality Tarif Female'!A:A,E280,'Mortality Tarif Female'!D:D)))</f>
        <v>0</v>
      </c>
      <c r="AA279">
        <f>IF(B279&gt;=$AF$2,0,IF($Y$2=1,(SUMIF('Mortality Tarif Male'!A:A,E280+1,'Mortality Tarif Male'!E:E)-SUMIF('Mortality Tarif Male'!A:A,$C$2+$H$2,'Mortality Tarif Male'!E:E))/SUMIF('Mortality Tarif Male'!A:A,E280+1,'Mortality Tarif Male'!D:D),(SUMIF('Mortality Tarif Female'!A:A,E280+1,'Mortality Tarif Female'!E:E)-SUMIF('Mortality Tarif Female'!A:A,$C$2+$H$2,'Mortality Tarif Female'!E:E))/SUMIF('Mortality Tarif Female'!A:A,E280+1,'Mortality Tarif Female'!D:D)))</f>
        <v>0</v>
      </c>
      <c r="AB279">
        <f t="shared" si="159"/>
        <v>0</v>
      </c>
      <c r="AC279">
        <f>IF(B279&gt;=$AF$2,0,MIN(1/3*(V279+W279+Y279-AB279),(V279-AB279),(T279*Z279+(1-T279)*AA279)*$AH$2*Assumptions!$B$22))</f>
        <v>0</v>
      </c>
      <c r="AD279">
        <f t="shared" si="160"/>
        <v>0</v>
      </c>
      <c r="AE279">
        <f t="shared" si="161"/>
        <v>0</v>
      </c>
      <c r="AF279">
        <f t="shared" si="162"/>
        <v>0</v>
      </c>
      <c r="AG279" s="26">
        <f t="shared" si="163"/>
        <v>0</v>
      </c>
      <c r="AH279" s="27">
        <f>IF(B279&gt;$AF$2,0,HLOOKUP(YEAR(A279),Assumptions!$A$34:$AL$37,4,TRUE)/100)</f>
        <v>0</v>
      </c>
      <c r="AI279">
        <f t="shared" si="164"/>
        <v>0</v>
      </c>
      <c r="AJ279">
        <f t="shared" si="165"/>
        <v>0</v>
      </c>
      <c r="AK279">
        <f t="shared" si="178"/>
        <v>0</v>
      </c>
      <c r="AL279">
        <f>IF(E279&gt;Assumptions!$B$9,0,SUMPRODUCT($P$2:$X$2,Assumptions!$A$43:$I$43)/$I$2*O278*K279)</f>
        <v>0</v>
      </c>
      <c r="AM279">
        <f t="shared" si="166"/>
        <v>0</v>
      </c>
      <c r="AN279">
        <f t="shared" si="167"/>
        <v>0</v>
      </c>
      <c r="AO279">
        <f>IF(E279&gt;Assumptions!$B$9,0,($V$2+$X$2)/$I$2*O278*K279*Assumptions!$B$46)</f>
        <v>0</v>
      </c>
      <c r="AP279">
        <f>IF(B279&gt;$AF$2,0,AP278*(1+Assumptions!$B$52)^(1/12))</f>
        <v>0</v>
      </c>
      <c r="AQ279" s="29">
        <f>IF(B279&gt;$AF$2,0,O278*Assumptions!$B$48/12*AP278+AR279*Assumptions!$B$50/12)</f>
        <v>0</v>
      </c>
      <c r="AR279" s="31">
        <f t="shared" si="179"/>
        <v>0</v>
      </c>
      <c r="AS279">
        <f t="shared" si="168"/>
        <v>0</v>
      </c>
      <c r="AT279">
        <f t="shared" si="169"/>
        <v>0</v>
      </c>
      <c r="AU279" s="19">
        <f t="shared" si="170"/>
        <v>0</v>
      </c>
      <c r="AV279" s="19">
        <f t="shared" si="171"/>
        <v>0</v>
      </c>
      <c r="AW279">
        <f t="shared" si="180"/>
        <v>0</v>
      </c>
      <c r="AX279">
        <f>IF(B279&gt;$AF$2,0,HLOOKUP(YEAR(A279),Assumptions!$A$34:$AL$37,2,TRUE)/100)</f>
        <v>0</v>
      </c>
      <c r="AY279" s="32">
        <f>1/(1+HLOOKUP(YEAR(A279),Assumptions!$A$27:$AL$29,3,TRUE))^(1/12)</f>
        <v>0.99792144053252774</v>
      </c>
      <c r="AZ279" s="30">
        <f t="shared" si="172"/>
        <v>0</v>
      </c>
      <c r="BA279">
        <f>IF(B279&gt;$AF$2,0,IF($E$2=0,(T279*Z279+(1-T279)*AA279)*$J$2*Assumptions!$B$20,0))</f>
        <v>0</v>
      </c>
    </row>
    <row r="280" spans="1:53" x14ac:dyDescent="0.25">
      <c r="A280" s="17">
        <f t="shared" si="175"/>
        <v>51287</v>
      </c>
      <c r="B280">
        <f t="shared" si="173"/>
        <v>499</v>
      </c>
      <c r="C280">
        <f t="shared" si="146"/>
        <v>41.5</v>
      </c>
      <c r="D280">
        <f t="shared" si="147"/>
        <v>0</v>
      </c>
      <c r="E280">
        <f t="shared" si="174"/>
        <v>64</v>
      </c>
      <c r="F280">
        <f>IF(C280&gt;=$H$2,0,VLOOKUP($E280,'Mortality Table'!$A$3:$C$128,2+AB$2,FALSE))</f>
        <v>0</v>
      </c>
      <c r="G280">
        <f>F280*Assumptions!$B$1</f>
        <v>0</v>
      </c>
      <c r="H280">
        <f t="shared" si="148"/>
        <v>0</v>
      </c>
      <c r="I280">
        <f t="shared" si="149"/>
        <v>0</v>
      </c>
      <c r="J280">
        <f>HLOOKUP(C280,Assumptions!$A$6:$J$7,2,TRUE)</f>
        <v>3.5200000000000002E-2</v>
      </c>
      <c r="K280" s="18">
        <f t="shared" si="150"/>
        <v>0</v>
      </c>
      <c r="L280" s="18">
        <f t="shared" si="176"/>
        <v>8.3333333333333329E-2</v>
      </c>
      <c r="M280" s="18">
        <f t="shared" si="151"/>
        <v>2.9817501439168836E-3</v>
      </c>
      <c r="N280">
        <f t="shared" si="152"/>
        <v>0</v>
      </c>
      <c r="O280" s="20">
        <f t="shared" si="153"/>
        <v>0</v>
      </c>
      <c r="P280">
        <f>IF(B280&gt;$AF$2,0,O279*($E$2+IF(E280&lt;=Assumptions!$B$9,$D$2,0))/$I$2*K280)</f>
        <v>0</v>
      </c>
      <c r="Q280">
        <f t="shared" si="154"/>
        <v>0</v>
      </c>
      <c r="R280">
        <f>IF(B280&gt;$AF$2,0,IF($Y$2=1,(SUMIF('Mortality Tarif Male'!A:A,E281,'Mortality Tarif Male'!G:G)-SUMIF('Mortality Tarif Male'!A:A,$C$2+$H$2,'Mortality Tarif Male'!G:G)+SUMIF('Mortality Tarif Male'!A:A,$C$2+$H$2,'Mortality Tarif Male'!D:D))/SUMIF('Mortality Tarif Male'!A:A,E281,'Mortality Tarif Male'!D:D),(SUMIF('Mortality Tarif Female'!A:A,E281,'Mortality Tarif Female'!G:G)-SUMIF('Mortality Tarif Female'!A:A,$C$2+$H$2,'Mortality Tarif Female'!G:G)+SUMIF('Mortality Tarif Female'!A:A,$C$2+$H$2,'Mortality Tarif Female'!D:D))/SUMIF('Mortality Tarif Female'!A:A,E281,'Mortality Tarif Female'!D:D)))</f>
        <v>0</v>
      </c>
      <c r="S280">
        <f>IF(B280&gt;=$AF$2,0,IF($Y$2=1,(SUMIF('Mortality Tarif Male'!A:A,E281+1,'Mortality Tarif Male'!G:G)-SUMIF('Mortality Tarif Male'!A:A,$C$2+$H$2,'Mortality Tarif Male'!G:G)+SUMIF('Mortality Tarif Male'!A:A,$C$2+$H$2,'Mortality Tarif Male'!D:D))/SUMIF('Mortality Tarif Male'!A:A,E281+1,'Mortality Tarif Male'!D:D),(SUMIF('Mortality Tarif Female'!A:A,E281+1,'Mortality Tarif Female'!G:G)-SUMIF('Mortality Tarif Female'!A:A,$C$2+$H$2,'Mortality Tarif Female'!G:G)+SUMIF('Mortality Tarif Female'!A:A,$C$2+$H$2,'Mortality Tarif Female'!D:D))/SUMIF('Mortality Tarif Female'!A:A,E281+1,'Mortality Tarif Female'!D:D)))</f>
        <v>0</v>
      </c>
      <c r="T280">
        <f t="shared" si="155"/>
        <v>0.4166666666666643</v>
      </c>
      <c r="U280">
        <f t="shared" si="156"/>
        <v>0</v>
      </c>
      <c r="V280">
        <f t="shared" si="177"/>
        <v>0</v>
      </c>
      <c r="W280">
        <f t="shared" si="157"/>
        <v>0</v>
      </c>
      <c r="X280">
        <f t="shared" si="158"/>
        <v>0</v>
      </c>
      <c r="Y280">
        <f>IF(B280&gt;$AF$2,0,IF(V281=0,0,(1-V281)*($E$2+IF(E280&lt;=Assumptions!$B$9,$D$2,0))/$I$2*1/(1+$AG$2)*1/(1+Assumptions!$B$11)))</f>
        <v>0</v>
      </c>
      <c r="Z280">
        <f>IF(B280&gt;$AF$2,0,IF($Y$2=1,(SUMIF('Mortality Tarif Male'!A:A,E281,'Mortality Tarif Male'!E:E)-SUMIF('Mortality Tarif Male'!A:A,$C$2+$H$2,'Mortality Tarif Male'!E:E))/SUMIF('Mortality Tarif Male'!A:A,E281,'Mortality Tarif Male'!D:D),(SUMIF('Mortality Tarif Female'!A:A,E281,'Mortality Tarif Female'!E:E)-SUMIF('Mortality Tarif Female'!A:A,$C$2+$H$2,'Mortality Tarif Female'!E:E))/SUMIF('Mortality Tarif Female'!A:A,E281,'Mortality Tarif Female'!D:D)))</f>
        <v>0</v>
      </c>
      <c r="AA280">
        <f>IF(B280&gt;=$AF$2,0,IF($Y$2=1,(SUMIF('Mortality Tarif Male'!A:A,E281+1,'Mortality Tarif Male'!E:E)-SUMIF('Mortality Tarif Male'!A:A,$C$2+$H$2,'Mortality Tarif Male'!E:E))/SUMIF('Mortality Tarif Male'!A:A,E281+1,'Mortality Tarif Male'!D:D),(SUMIF('Mortality Tarif Female'!A:A,E281+1,'Mortality Tarif Female'!E:E)-SUMIF('Mortality Tarif Female'!A:A,$C$2+$H$2,'Mortality Tarif Female'!E:E))/SUMIF('Mortality Tarif Female'!A:A,E281+1,'Mortality Tarif Female'!D:D)))</f>
        <v>0</v>
      </c>
      <c r="AB280">
        <f t="shared" si="159"/>
        <v>0</v>
      </c>
      <c r="AC280">
        <f>IF(B280&gt;=$AF$2,0,MIN(1/3*(V280+W280+Y280-AB280),(V280-AB280),(T280*Z280+(1-T280)*AA280)*$AH$2*Assumptions!$B$22))</f>
        <v>0</v>
      </c>
      <c r="AD280">
        <f t="shared" si="160"/>
        <v>0</v>
      </c>
      <c r="AE280">
        <f t="shared" si="161"/>
        <v>0</v>
      </c>
      <c r="AF280">
        <f t="shared" si="162"/>
        <v>0</v>
      </c>
      <c r="AG280" s="26">
        <f t="shared" si="163"/>
        <v>0</v>
      </c>
      <c r="AH280" s="27">
        <f>IF(B280&gt;$AF$2,0,HLOOKUP(YEAR(A280),Assumptions!$A$34:$AL$37,4,TRUE)/100)</f>
        <v>0</v>
      </c>
      <c r="AI280">
        <f t="shared" si="164"/>
        <v>0</v>
      </c>
      <c r="AJ280">
        <f t="shared" si="165"/>
        <v>0</v>
      </c>
      <c r="AK280">
        <f t="shared" si="178"/>
        <v>0</v>
      </c>
      <c r="AL280">
        <f>IF(E280&gt;Assumptions!$B$9,0,SUMPRODUCT($P$2:$X$2,Assumptions!$A$43:$I$43)/$I$2*O279*K280)</f>
        <v>0</v>
      </c>
      <c r="AM280">
        <f t="shared" si="166"/>
        <v>0</v>
      </c>
      <c r="AN280">
        <f t="shared" si="167"/>
        <v>0</v>
      </c>
      <c r="AO280">
        <f>IF(E280&gt;Assumptions!$B$9,0,($V$2+$X$2)/$I$2*O279*K280*Assumptions!$B$46)</f>
        <v>0</v>
      </c>
      <c r="AP280">
        <f>IF(B280&gt;$AF$2,0,AP279*(1+Assumptions!$B$52)^(1/12))</f>
        <v>0</v>
      </c>
      <c r="AQ280" s="29">
        <f>IF(B280&gt;$AF$2,0,O279*Assumptions!$B$48/12*AP279+AR280*Assumptions!$B$50/12)</f>
        <v>0</v>
      </c>
      <c r="AR280" s="31">
        <f t="shared" si="179"/>
        <v>0</v>
      </c>
      <c r="AS280">
        <f t="shared" si="168"/>
        <v>0</v>
      </c>
      <c r="AT280">
        <f t="shared" si="169"/>
        <v>0</v>
      </c>
      <c r="AU280" s="19">
        <f t="shared" si="170"/>
        <v>0</v>
      </c>
      <c r="AV280" s="19">
        <f t="shared" si="171"/>
        <v>0</v>
      </c>
      <c r="AW280">
        <f t="shared" si="180"/>
        <v>0</v>
      </c>
      <c r="AX280">
        <f>IF(B280&gt;$AF$2,0,HLOOKUP(YEAR(A280),Assumptions!$A$34:$AL$37,2,TRUE)/100)</f>
        <v>0</v>
      </c>
      <c r="AY280" s="32">
        <f>1/(1+HLOOKUP(YEAR(A280),Assumptions!$A$27:$AL$29,3,TRUE))^(1/12)</f>
        <v>0.99792144053252774</v>
      </c>
      <c r="AZ280" s="30">
        <f t="shared" si="172"/>
        <v>0</v>
      </c>
      <c r="BA280">
        <f>IF(B280&gt;$AF$2,0,IF($E$2=0,(T280*Z280+(1-T280)*AA280)*$J$2*Assumptions!$B$20,0))</f>
        <v>0</v>
      </c>
    </row>
    <row r="281" spans="1:53" x14ac:dyDescent="0.25">
      <c r="A281" s="17">
        <f t="shared" si="175"/>
        <v>51317</v>
      </c>
      <c r="B281">
        <f t="shared" si="173"/>
        <v>500</v>
      </c>
      <c r="C281">
        <f t="shared" si="146"/>
        <v>41.583333333333336</v>
      </c>
      <c r="D281">
        <f t="shared" si="147"/>
        <v>0</v>
      </c>
      <c r="E281">
        <f t="shared" si="174"/>
        <v>64</v>
      </c>
      <c r="F281">
        <f>IF(C281&gt;=$H$2,0,VLOOKUP($E281,'Mortality Table'!$A$3:$C$128,2+AB$2,FALSE))</f>
        <v>0</v>
      </c>
      <c r="G281">
        <f>F281*Assumptions!$B$1</f>
        <v>0</v>
      </c>
      <c r="H281">
        <f t="shared" si="148"/>
        <v>0</v>
      </c>
      <c r="I281">
        <f t="shared" si="149"/>
        <v>0</v>
      </c>
      <c r="J281">
        <f>HLOOKUP(C281,Assumptions!$A$6:$J$7,2,TRUE)</f>
        <v>3.5200000000000002E-2</v>
      </c>
      <c r="K281" s="18">
        <f t="shared" si="150"/>
        <v>0</v>
      </c>
      <c r="L281" s="18">
        <f t="shared" si="176"/>
        <v>8.3333333333333329E-2</v>
      </c>
      <c r="M281" s="18">
        <f t="shared" si="151"/>
        <v>2.9817501439168836E-3</v>
      </c>
      <c r="N281">
        <f t="shared" si="152"/>
        <v>0</v>
      </c>
      <c r="O281" s="20">
        <f t="shared" si="153"/>
        <v>0</v>
      </c>
      <c r="P281">
        <f>IF(B281&gt;$AF$2,0,O280*($E$2+IF(E281&lt;=Assumptions!$B$9,$D$2,0))/$I$2*K281)</f>
        <v>0</v>
      </c>
      <c r="Q281">
        <f t="shared" si="154"/>
        <v>0</v>
      </c>
      <c r="R281">
        <f>IF(B281&gt;$AF$2,0,IF($Y$2=1,(SUMIF('Mortality Tarif Male'!A:A,E282,'Mortality Tarif Male'!G:G)-SUMIF('Mortality Tarif Male'!A:A,$C$2+$H$2,'Mortality Tarif Male'!G:G)+SUMIF('Mortality Tarif Male'!A:A,$C$2+$H$2,'Mortality Tarif Male'!D:D))/SUMIF('Mortality Tarif Male'!A:A,E282,'Mortality Tarif Male'!D:D),(SUMIF('Mortality Tarif Female'!A:A,E282,'Mortality Tarif Female'!G:G)-SUMIF('Mortality Tarif Female'!A:A,$C$2+$H$2,'Mortality Tarif Female'!G:G)+SUMIF('Mortality Tarif Female'!A:A,$C$2+$H$2,'Mortality Tarif Female'!D:D))/SUMIF('Mortality Tarif Female'!A:A,E282,'Mortality Tarif Female'!D:D)))</f>
        <v>0</v>
      </c>
      <c r="S281">
        <f>IF(B281&gt;=$AF$2,0,IF($Y$2=1,(SUMIF('Mortality Tarif Male'!A:A,E282+1,'Mortality Tarif Male'!G:G)-SUMIF('Mortality Tarif Male'!A:A,$C$2+$H$2,'Mortality Tarif Male'!G:G)+SUMIF('Mortality Tarif Male'!A:A,$C$2+$H$2,'Mortality Tarif Male'!D:D))/SUMIF('Mortality Tarif Male'!A:A,E282+1,'Mortality Tarif Male'!D:D),(SUMIF('Mortality Tarif Female'!A:A,E282+1,'Mortality Tarif Female'!G:G)-SUMIF('Mortality Tarif Female'!A:A,$C$2+$H$2,'Mortality Tarif Female'!G:G)+SUMIF('Mortality Tarif Female'!A:A,$C$2+$H$2,'Mortality Tarif Female'!D:D))/SUMIF('Mortality Tarif Female'!A:A,E282+1,'Mortality Tarif Female'!D:D)))</f>
        <v>0</v>
      </c>
      <c r="T281">
        <f t="shared" si="155"/>
        <v>0.3333333333333357</v>
      </c>
      <c r="U281">
        <f t="shared" si="156"/>
        <v>0</v>
      </c>
      <c r="V281">
        <f t="shared" si="177"/>
        <v>0</v>
      </c>
      <c r="W281">
        <f t="shared" si="157"/>
        <v>0</v>
      </c>
      <c r="X281">
        <f t="shared" si="158"/>
        <v>0</v>
      </c>
      <c r="Y281">
        <f>IF(B281&gt;$AF$2,0,IF(V282=0,0,(1-V282)*($E$2+IF(E281&lt;=Assumptions!$B$9,$D$2,0))/$I$2*1/(1+$AG$2)*1/(1+Assumptions!$B$11)))</f>
        <v>0</v>
      </c>
      <c r="Z281">
        <f>IF(B281&gt;$AF$2,0,IF($Y$2=1,(SUMIF('Mortality Tarif Male'!A:A,E282,'Mortality Tarif Male'!E:E)-SUMIF('Mortality Tarif Male'!A:A,$C$2+$H$2,'Mortality Tarif Male'!E:E))/SUMIF('Mortality Tarif Male'!A:A,E282,'Mortality Tarif Male'!D:D),(SUMIF('Mortality Tarif Female'!A:A,E282,'Mortality Tarif Female'!E:E)-SUMIF('Mortality Tarif Female'!A:A,$C$2+$H$2,'Mortality Tarif Female'!E:E))/SUMIF('Mortality Tarif Female'!A:A,E282,'Mortality Tarif Female'!D:D)))</f>
        <v>0</v>
      </c>
      <c r="AA281">
        <f>IF(B281&gt;=$AF$2,0,IF($Y$2=1,(SUMIF('Mortality Tarif Male'!A:A,E282+1,'Mortality Tarif Male'!E:E)-SUMIF('Mortality Tarif Male'!A:A,$C$2+$H$2,'Mortality Tarif Male'!E:E))/SUMIF('Mortality Tarif Male'!A:A,E282+1,'Mortality Tarif Male'!D:D),(SUMIF('Mortality Tarif Female'!A:A,E282+1,'Mortality Tarif Female'!E:E)-SUMIF('Mortality Tarif Female'!A:A,$C$2+$H$2,'Mortality Tarif Female'!E:E))/SUMIF('Mortality Tarif Female'!A:A,E282+1,'Mortality Tarif Female'!D:D)))</f>
        <v>0</v>
      </c>
      <c r="AB281">
        <f t="shared" si="159"/>
        <v>0</v>
      </c>
      <c r="AC281">
        <f>IF(B281&gt;=$AF$2,0,MIN(1/3*(V281+W281+Y281-AB281),(V281-AB281),(T281*Z281+(1-T281)*AA281)*$AH$2*Assumptions!$B$22))</f>
        <v>0</v>
      </c>
      <c r="AD281">
        <f t="shared" si="160"/>
        <v>0</v>
      </c>
      <c r="AE281">
        <f t="shared" si="161"/>
        <v>0</v>
      </c>
      <c r="AF281">
        <f t="shared" si="162"/>
        <v>0</v>
      </c>
      <c r="AG281" s="26">
        <f t="shared" si="163"/>
        <v>0</v>
      </c>
      <c r="AH281" s="27">
        <f>IF(B281&gt;$AF$2,0,HLOOKUP(YEAR(A281),Assumptions!$A$34:$AL$37,4,TRUE)/100)</f>
        <v>0</v>
      </c>
      <c r="AI281">
        <f t="shared" si="164"/>
        <v>0</v>
      </c>
      <c r="AJ281">
        <f t="shared" si="165"/>
        <v>0</v>
      </c>
      <c r="AK281">
        <f t="shared" si="178"/>
        <v>0</v>
      </c>
      <c r="AL281">
        <f>IF(E281&gt;Assumptions!$B$9,0,SUMPRODUCT($P$2:$X$2,Assumptions!$A$43:$I$43)/$I$2*O280*K281)</f>
        <v>0</v>
      </c>
      <c r="AM281">
        <f t="shared" si="166"/>
        <v>0</v>
      </c>
      <c r="AN281">
        <f t="shared" si="167"/>
        <v>0</v>
      </c>
      <c r="AO281">
        <f>IF(E281&gt;Assumptions!$B$9,0,($V$2+$X$2)/$I$2*O280*K281*Assumptions!$B$46)</f>
        <v>0</v>
      </c>
      <c r="AP281">
        <f>IF(B281&gt;$AF$2,0,AP280*(1+Assumptions!$B$52)^(1/12))</f>
        <v>0</v>
      </c>
      <c r="AQ281" s="29">
        <f>IF(B281&gt;$AF$2,0,O280*Assumptions!$B$48/12*AP280+AR281*Assumptions!$B$50/12)</f>
        <v>0</v>
      </c>
      <c r="AR281" s="31">
        <f t="shared" si="179"/>
        <v>0</v>
      </c>
      <c r="AS281">
        <f t="shared" si="168"/>
        <v>0</v>
      </c>
      <c r="AT281">
        <f t="shared" si="169"/>
        <v>0</v>
      </c>
      <c r="AU281" s="19">
        <f t="shared" si="170"/>
        <v>0</v>
      </c>
      <c r="AV281" s="19">
        <f t="shared" si="171"/>
        <v>0</v>
      </c>
      <c r="AW281">
        <f t="shared" si="180"/>
        <v>0</v>
      </c>
      <c r="AX281">
        <f>IF(B281&gt;$AF$2,0,HLOOKUP(YEAR(A281),Assumptions!$A$34:$AL$37,2,TRUE)/100)</f>
        <v>0</v>
      </c>
      <c r="AY281" s="32">
        <f>1/(1+HLOOKUP(YEAR(A281),Assumptions!$A$27:$AL$29,3,TRUE))^(1/12)</f>
        <v>0.99792144053252774</v>
      </c>
      <c r="AZ281" s="30">
        <f t="shared" si="172"/>
        <v>0</v>
      </c>
      <c r="BA281">
        <f>IF(B281&gt;$AF$2,0,IF($E$2=0,(T281*Z281+(1-T281)*AA281)*$J$2*Assumptions!$B$20,0))</f>
        <v>0</v>
      </c>
    </row>
    <row r="282" spans="1:53" x14ac:dyDescent="0.25">
      <c r="A282" s="17">
        <f t="shared" si="175"/>
        <v>51348</v>
      </c>
      <c r="B282">
        <f t="shared" si="173"/>
        <v>501</v>
      </c>
      <c r="C282">
        <f t="shared" si="146"/>
        <v>41.666666666666664</v>
      </c>
      <c r="D282">
        <f t="shared" si="147"/>
        <v>0</v>
      </c>
      <c r="E282">
        <f t="shared" si="174"/>
        <v>64</v>
      </c>
      <c r="F282">
        <f>IF(C282&gt;=$H$2,0,VLOOKUP($E282,'Mortality Table'!$A$3:$C$128,2+AB$2,FALSE))</f>
        <v>0</v>
      </c>
      <c r="G282">
        <f>F282*Assumptions!$B$1</f>
        <v>0</v>
      </c>
      <c r="H282">
        <f t="shared" si="148"/>
        <v>0</v>
      </c>
      <c r="I282">
        <f t="shared" si="149"/>
        <v>0</v>
      </c>
      <c r="J282">
        <f>HLOOKUP(C282,Assumptions!$A$6:$J$7,2,TRUE)</f>
        <v>3.5200000000000002E-2</v>
      </c>
      <c r="K282" s="18">
        <f t="shared" si="150"/>
        <v>0</v>
      </c>
      <c r="L282" s="18">
        <f t="shared" si="176"/>
        <v>8.3333333333333329E-2</v>
      </c>
      <c r="M282" s="18">
        <f t="shared" si="151"/>
        <v>2.9817501439168836E-3</v>
      </c>
      <c r="N282">
        <f t="shared" si="152"/>
        <v>0</v>
      </c>
      <c r="O282" s="20">
        <f t="shared" si="153"/>
        <v>0</v>
      </c>
      <c r="P282">
        <f>IF(B282&gt;$AF$2,0,O281*($E$2+IF(E282&lt;=Assumptions!$B$9,$D$2,0))/$I$2*K282)</f>
        <v>0</v>
      </c>
      <c r="Q282">
        <f t="shared" si="154"/>
        <v>0</v>
      </c>
      <c r="R282">
        <f>IF(B282&gt;$AF$2,0,IF($Y$2=1,(SUMIF('Mortality Tarif Male'!A:A,E283,'Mortality Tarif Male'!G:G)-SUMIF('Mortality Tarif Male'!A:A,$C$2+$H$2,'Mortality Tarif Male'!G:G)+SUMIF('Mortality Tarif Male'!A:A,$C$2+$H$2,'Mortality Tarif Male'!D:D))/SUMIF('Mortality Tarif Male'!A:A,E283,'Mortality Tarif Male'!D:D),(SUMIF('Mortality Tarif Female'!A:A,E283,'Mortality Tarif Female'!G:G)-SUMIF('Mortality Tarif Female'!A:A,$C$2+$H$2,'Mortality Tarif Female'!G:G)+SUMIF('Mortality Tarif Female'!A:A,$C$2+$H$2,'Mortality Tarif Female'!D:D))/SUMIF('Mortality Tarif Female'!A:A,E283,'Mortality Tarif Female'!D:D)))</f>
        <v>0</v>
      </c>
      <c r="S282">
        <f>IF(B282&gt;=$AF$2,0,IF($Y$2=1,(SUMIF('Mortality Tarif Male'!A:A,E283+1,'Mortality Tarif Male'!G:G)-SUMIF('Mortality Tarif Male'!A:A,$C$2+$H$2,'Mortality Tarif Male'!G:G)+SUMIF('Mortality Tarif Male'!A:A,$C$2+$H$2,'Mortality Tarif Male'!D:D))/SUMIF('Mortality Tarif Male'!A:A,E283+1,'Mortality Tarif Male'!D:D),(SUMIF('Mortality Tarif Female'!A:A,E283+1,'Mortality Tarif Female'!G:G)-SUMIF('Mortality Tarif Female'!A:A,$C$2+$H$2,'Mortality Tarif Female'!G:G)+SUMIF('Mortality Tarif Female'!A:A,$C$2+$H$2,'Mortality Tarif Female'!D:D))/SUMIF('Mortality Tarif Female'!A:A,E283+1,'Mortality Tarif Female'!D:D)))</f>
        <v>0</v>
      </c>
      <c r="T282">
        <f t="shared" si="155"/>
        <v>0.25</v>
      </c>
      <c r="U282">
        <f t="shared" si="156"/>
        <v>0</v>
      </c>
      <c r="V282">
        <f t="shared" si="177"/>
        <v>0</v>
      </c>
      <c r="W282">
        <f t="shared" si="157"/>
        <v>0</v>
      </c>
      <c r="X282">
        <f t="shared" si="158"/>
        <v>0</v>
      </c>
      <c r="Y282">
        <f>IF(B282&gt;$AF$2,0,IF(V283=0,0,(1-V283)*($E$2+IF(E282&lt;=Assumptions!$B$9,$D$2,0))/$I$2*1/(1+$AG$2)*1/(1+Assumptions!$B$11)))</f>
        <v>0</v>
      </c>
      <c r="Z282">
        <f>IF(B282&gt;$AF$2,0,IF($Y$2=1,(SUMIF('Mortality Tarif Male'!A:A,E283,'Mortality Tarif Male'!E:E)-SUMIF('Mortality Tarif Male'!A:A,$C$2+$H$2,'Mortality Tarif Male'!E:E))/SUMIF('Mortality Tarif Male'!A:A,E283,'Mortality Tarif Male'!D:D),(SUMIF('Mortality Tarif Female'!A:A,E283,'Mortality Tarif Female'!E:E)-SUMIF('Mortality Tarif Female'!A:A,$C$2+$H$2,'Mortality Tarif Female'!E:E))/SUMIF('Mortality Tarif Female'!A:A,E283,'Mortality Tarif Female'!D:D)))</f>
        <v>0</v>
      </c>
      <c r="AA282">
        <f>IF(B282&gt;=$AF$2,0,IF($Y$2=1,(SUMIF('Mortality Tarif Male'!A:A,E283+1,'Mortality Tarif Male'!E:E)-SUMIF('Mortality Tarif Male'!A:A,$C$2+$H$2,'Mortality Tarif Male'!E:E))/SUMIF('Mortality Tarif Male'!A:A,E283+1,'Mortality Tarif Male'!D:D),(SUMIF('Mortality Tarif Female'!A:A,E283+1,'Mortality Tarif Female'!E:E)-SUMIF('Mortality Tarif Female'!A:A,$C$2+$H$2,'Mortality Tarif Female'!E:E))/SUMIF('Mortality Tarif Female'!A:A,E283+1,'Mortality Tarif Female'!D:D)))</f>
        <v>0</v>
      </c>
      <c r="AB282">
        <f t="shared" si="159"/>
        <v>0</v>
      </c>
      <c r="AC282">
        <f>IF(B282&gt;=$AF$2,0,MIN(1/3*(V282+W282+Y282-AB282),(V282-AB282),(T282*Z282+(1-T282)*AA282)*$AH$2*Assumptions!$B$22))</f>
        <v>0</v>
      </c>
      <c r="AD282">
        <f t="shared" si="160"/>
        <v>0</v>
      </c>
      <c r="AE282">
        <f t="shared" si="161"/>
        <v>0</v>
      </c>
      <c r="AF282">
        <f t="shared" si="162"/>
        <v>0</v>
      </c>
      <c r="AG282" s="26">
        <f t="shared" si="163"/>
        <v>0</v>
      </c>
      <c r="AH282" s="27">
        <f>IF(B282&gt;$AF$2,0,HLOOKUP(YEAR(A282),Assumptions!$A$34:$AL$37,4,TRUE)/100)</f>
        <v>0</v>
      </c>
      <c r="AI282">
        <f t="shared" si="164"/>
        <v>0</v>
      </c>
      <c r="AJ282">
        <f t="shared" si="165"/>
        <v>0</v>
      </c>
      <c r="AK282">
        <f t="shared" si="178"/>
        <v>0</v>
      </c>
      <c r="AL282">
        <f>IF(E282&gt;Assumptions!$B$9,0,SUMPRODUCT($P$2:$X$2,Assumptions!$A$43:$I$43)/$I$2*O281*K282)</f>
        <v>0</v>
      </c>
      <c r="AM282">
        <f t="shared" si="166"/>
        <v>0</v>
      </c>
      <c r="AN282">
        <f t="shared" si="167"/>
        <v>0</v>
      </c>
      <c r="AO282">
        <f>IF(E282&gt;Assumptions!$B$9,0,($V$2+$X$2)/$I$2*O281*K282*Assumptions!$B$46)</f>
        <v>0</v>
      </c>
      <c r="AP282">
        <f>IF(B282&gt;$AF$2,0,AP281*(1+Assumptions!$B$52)^(1/12))</f>
        <v>0</v>
      </c>
      <c r="AQ282" s="29">
        <f>IF(B282&gt;$AF$2,0,O281*Assumptions!$B$48/12*AP281+AR282*Assumptions!$B$50/12)</f>
        <v>0</v>
      </c>
      <c r="AR282" s="31">
        <f t="shared" si="179"/>
        <v>0</v>
      </c>
      <c r="AS282">
        <f t="shared" si="168"/>
        <v>0</v>
      </c>
      <c r="AT282">
        <f t="shared" si="169"/>
        <v>0</v>
      </c>
      <c r="AU282" s="19">
        <f t="shared" si="170"/>
        <v>0</v>
      </c>
      <c r="AV282" s="19">
        <f t="shared" si="171"/>
        <v>0</v>
      </c>
      <c r="AW282">
        <f t="shared" si="180"/>
        <v>0</v>
      </c>
      <c r="AX282">
        <f>IF(B282&gt;$AF$2,0,HLOOKUP(YEAR(A282),Assumptions!$A$34:$AL$37,2,TRUE)/100)</f>
        <v>0</v>
      </c>
      <c r="AY282" s="32">
        <f>1/(1+HLOOKUP(YEAR(A282),Assumptions!$A$27:$AL$29,3,TRUE))^(1/12)</f>
        <v>0.99792144053252774</v>
      </c>
      <c r="AZ282" s="30">
        <f t="shared" si="172"/>
        <v>0</v>
      </c>
      <c r="BA282">
        <f>IF(B282&gt;$AF$2,0,IF($E$2=0,(T282*Z282+(1-T282)*AA282)*$J$2*Assumptions!$B$20,0))</f>
        <v>0</v>
      </c>
    </row>
    <row r="283" spans="1:53" x14ac:dyDescent="0.25">
      <c r="A283" s="17">
        <f t="shared" si="175"/>
        <v>51379</v>
      </c>
      <c r="B283">
        <f t="shared" si="173"/>
        <v>502</v>
      </c>
      <c r="C283">
        <f t="shared" si="146"/>
        <v>41.75</v>
      </c>
      <c r="D283">
        <f t="shared" si="147"/>
        <v>0</v>
      </c>
      <c r="E283">
        <f t="shared" si="174"/>
        <v>64</v>
      </c>
      <c r="F283">
        <f>IF(C283&gt;=$H$2,0,VLOOKUP($E283,'Mortality Table'!$A$3:$C$128,2+AB$2,FALSE))</f>
        <v>0</v>
      </c>
      <c r="G283">
        <f>F283*Assumptions!$B$1</f>
        <v>0</v>
      </c>
      <c r="H283">
        <f t="shared" si="148"/>
        <v>0</v>
      </c>
      <c r="I283">
        <f t="shared" si="149"/>
        <v>0</v>
      </c>
      <c r="J283">
        <f>HLOOKUP(C283,Assumptions!$A$6:$J$7,2,TRUE)</f>
        <v>3.5200000000000002E-2</v>
      </c>
      <c r="K283" s="18">
        <f t="shared" si="150"/>
        <v>0</v>
      </c>
      <c r="L283" s="18">
        <f t="shared" si="176"/>
        <v>8.3333333333333329E-2</v>
      </c>
      <c r="M283" s="18">
        <f t="shared" si="151"/>
        <v>2.9817501439168836E-3</v>
      </c>
      <c r="N283">
        <f t="shared" si="152"/>
        <v>0</v>
      </c>
      <c r="O283" s="20">
        <f t="shared" si="153"/>
        <v>0</v>
      </c>
      <c r="P283">
        <f>IF(B283&gt;$AF$2,0,O282*($E$2+IF(E283&lt;=Assumptions!$B$9,$D$2,0))/$I$2*K283)</f>
        <v>0</v>
      </c>
      <c r="Q283">
        <f t="shared" si="154"/>
        <v>0</v>
      </c>
      <c r="R283">
        <f>IF(B283&gt;$AF$2,0,IF($Y$2=1,(SUMIF('Mortality Tarif Male'!A:A,E284,'Mortality Tarif Male'!G:G)-SUMIF('Mortality Tarif Male'!A:A,$C$2+$H$2,'Mortality Tarif Male'!G:G)+SUMIF('Mortality Tarif Male'!A:A,$C$2+$H$2,'Mortality Tarif Male'!D:D))/SUMIF('Mortality Tarif Male'!A:A,E284,'Mortality Tarif Male'!D:D),(SUMIF('Mortality Tarif Female'!A:A,E284,'Mortality Tarif Female'!G:G)-SUMIF('Mortality Tarif Female'!A:A,$C$2+$H$2,'Mortality Tarif Female'!G:G)+SUMIF('Mortality Tarif Female'!A:A,$C$2+$H$2,'Mortality Tarif Female'!D:D))/SUMIF('Mortality Tarif Female'!A:A,E284,'Mortality Tarif Female'!D:D)))</f>
        <v>0</v>
      </c>
      <c r="S283">
        <f>IF(B283&gt;=$AF$2,0,IF($Y$2=1,(SUMIF('Mortality Tarif Male'!A:A,E284+1,'Mortality Tarif Male'!G:G)-SUMIF('Mortality Tarif Male'!A:A,$C$2+$H$2,'Mortality Tarif Male'!G:G)+SUMIF('Mortality Tarif Male'!A:A,$C$2+$H$2,'Mortality Tarif Male'!D:D))/SUMIF('Mortality Tarif Male'!A:A,E284+1,'Mortality Tarif Male'!D:D),(SUMIF('Mortality Tarif Female'!A:A,E284+1,'Mortality Tarif Female'!G:G)-SUMIF('Mortality Tarif Female'!A:A,$C$2+$H$2,'Mortality Tarif Female'!G:G)+SUMIF('Mortality Tarif Female'!A:A,$C$2+$H$2,'Mortality Tarif Female'!D:D))/SUMIF('Mortality Tarif Female'!A:A,E284+1,'Mortality Tarif Female'!D:D)))</f>
        <v>0</v>
      </c>
      <c r="T283">
        <f t="shared" si="155"/>
        <v>0.1666666666666643</v>
      </c>
      <c r="U283">
        <f t="shared" si="156"/>
        <v>0</v>
      </c>
      <c r="V283">
        <f t="shared" si="177"/>
        <v>0</v>
      </c>
      <c r="W283">
        <f t="shared" si="157"/>
        <v>0</v>
      </c>
      <c r="X283">
        <f t="shared" si="158"/>
        <v>0</v>
      </c>
      <c r="Y283">
        <f>IF(B283&gt;$AF$2,0,IF(V284=0,0,(1-V284)*($E$2+IF(E283&lt;=Assumptions!$B$9,$D$2,0))/$I$2*1/(1+$AG$2)*1/(1+Assumptions!$B$11)))</f>
        <v>0</v>
      </c>
      <c r="Z283">
        <f>IF(B283&gt;$AF$2,0,IF($Y$2=1,(SUMIF('Mortality Tarif Male'!A:A,E284,'Mortality Tarif Male'!E:E)-SUMIF('Mortality Tarif Male'!A:A,$C$2+$H$2,'Mortality Tarif Male'!E:E))/SUMIF('Mortality Tarif Male'!A:A,E284,'Mortality Tarif Male'!D:D),(SUMIF('Mortality Tarif Female'!A:A,E284,'Mortality Tarif Female'!E:E)-SUMIF('Mortality Tarif Female'!A:A,$C$2+$H$2,'Mortality Tarif Female'!E:E))/SUMIF('Mortality Tarif Female'!A:A,E284,'Mortality Tarif Female'!D:D)))</f>
        <v>0</v>
      </c>
      <c r="AA283">
        <f>IF(B283&gt;=$AF$2,0,IF($Y$2=1,(SUMIF('Mortality Tarif Male'!A:A,E284+1,'Mortality Tarif Male'!E:E)-SUMIF('Mortality Tarif Male'!A:A,$C$2+$H$2,'Mortality Tarif Male'!E:E))/SUMIF('Mortality Tarif Male'!A:A,E284+1,'Mortality Tarif Male'!D:D),(SUMIF('Mortality Tarif Female'!A:A,E284+1,'Mortality Tarif Female'!E:E)-SUMIF('Mortality Tarif Female'!A:A,$C$2+$H$2,'Mortality Tarif Female'!E:E))/SUMIF('Mortality Tarif Female'!A:A,E284+1,'Mortality Tarif Female'!D:D)))</f>
        <v>0</v>
      </c>
      <c r="AB283">
        <f t="shared" si="159"/>
        <v>0</v>
      </c>
      <c r="AC283">
        <f>IF(B283&gt;=$AF$2,0,MIN(1/3*(V283+W283+Y283-AB283),(V283-AB283),(T283*Z283+(1-T283)*AA283)*$AH$2*Assumptions!$B$22))</f>
        <v>0</v>
      </c>
      <c r="AD283">
        <f t="shared" si="160"/>
        <v>0</v>
      </c>
      <c r="AE283">
        <f t="shared" si="161"/>
        <v>0</v>
      </c>
      <c r="AF283">
        <f t="shared" si="162"/>
        <v>0</v>
      </c>
      <c r="AG283" s="26">
        <f t="shared" si="163"/>
        <v>0</v>
      </c>
      <c r="AH283" s="27">
        <f>IF(B283&gt;$AF$2,0,HLOOKUP(YEAR(A283),Assumptions!$A$34:$AL$37,4,TRUE)/100)</f>
        <v>0</v>
      </c>
      <c r="AI283">
        <f t="shared" si="164"/>
        <v>0</v>
      </c>
      <c r="AJ283">
        <f t="shared" si="165"/>
        <v>0</v>
      </c>
      <c r="AK283">
        <f t="shared" si="178"/>
        <v>0</v>
      </c>
      <c r="AL283">
        <f>IF(E283&gt;Assumptions!$B$9,0,SUMPRODUCT($P$2:$X$2,Assumptions!$A$43:$I$43)/$I$2*O282*K283)</f>
        <v>0</v>
      </c>
      <c r="AM283">
        <f t="shared" si="166"/>
        <v>0</v>
      </c>
      <c r="AN283">
        <f t="shared" si="167"/>
        <v>0</v>
      </c>
      <c r="AO283">
        <f>IF(E283&gt;Assumptions!$B$9,0,($V$2+$X$2)/$I$2*O282*K283*Assumptions!$B$46)</f>
        <v>0</v>
      </c>
      <c r="AP283">
        <f>IF(B283&gt;$AF$2,0,AP282*(1+Assumptions!$B$52)^(1/12))</f>
        <v>0</v>
      </c>
      <c r="AQ283" s="29">
        <f>IF(B283&gt;$AF$2,0,O282*Assumptions!$B$48/12*AP282+AR283*Assumptions!$B$50/12)</f>
        <v>0</v>
      </c>
      <c r="AR283" s="31">
        <f t="shared" si="179"/>
        <v>0</v>
      </c>
      <c r="AS283">
        <f t="shared" si="168"/>
        <v>0</v>
      </c>
      <c r="AT283">
        <f t="shared" si="169"/>
        <v>0</v>
      </c>
      <c r="AU283" s="19">
        <f t="shared" si="170"/>
        <v>0</v>
      </c>
      <c r="AV283" s="19">
        <f t="shared" si="171"/>
        <v>0</v>
      </c>
      <c r="AW283">
        <f t="shared" si="180"/>
        <v>0</v>
      </c>
      <c r="AX283">
        <f>IF(B283&gt;$AF$2,0,HLOOKUP(YEAR(A283),Assumptions!$A$34:$AL$37,2,TRUE)/100)</f>
        <v>0</v>
      </c>
      <c r="AY283" s="32">
        <f>1/(1+HLOOKUP(YEAR(A283),Assumptions!$A$27:$AL$29,3,TRUE))^(1/12)</f>
        <v>0.99792144053252774</v>
      </c>
      <c r="AZ283" s="30">
        <f t="shared" si="172"/>
        <v>0</v>
      </c>
      <c r="BA283">
        <f>IF(B283&gt;$AF$2,0,IF($E$2=0,(T283*Z283+(1-T283)*AA283)*$J$2*Assumptions!$B$20,0))</f>
        <v>0</v>
      </c>
    </row>
    <row r="284" spans="1:53" x14ac:dyDescent="0.25">
      <c r="A284" s="17">
        <f t="shared" si="175"/>
        <v>51409</v>
      </c>
      <c r="B284">
        <f t="shared" si="173"/>
        <v>503</v>
      </c>
      <c r="C284">
        <f t="shared" si="146"/>
        <v>41.833333333333336</v>
      </c>
      <c r="D284">
        <f t="shared" si="147"/>
        <v>0</v>
      </c>
      <c r="E284">
        <f t="shared" si="174"/>
        <v>64</v>
      </c>
      <c r="F284">
        <f>IF(C284&gt;=$H$2,0,VLOOKUP($E284,'Mortality Table'!$A$3:$C$128,2+AB$2,FALSE))</f>
        <v>0</v>
      </c>
      <c r="G284">
        <f>F284*Assumptions!$B$1</f>
        <v>0</v>
      </c>
      <c r="H284">
        <f t="shared" si="148"/>
        <v>0</v>
      </c>
      <c r="I284">
        <f t="shared" si="149"/>
        <v>0</v>
      </c>
      <c r="J284">
        <f>HLOOKUP(C284,Assumptions!$A$6:$J$7,2,TRUE)</f>
        <v>3.5200000000000002E-2</v>
      </c>
      <c r="K284" s="18">
        <f t="shared" si="150"/>
        <v>0</v>
      </c>
      <c r="L284" s="18">
        <f t="shared" si="176"/>
        <v>8.3333333333333329E-2</v>
      </c>
      <c r="M284" s="18">
        <f t="shared" si="151"/>
        <v>2.9817501439168836E-3</v>
      </c>
      <c r="N284">
        <f t="shared" si="152"/>
        <v>0</v>
      </c>
      <c r="O284" s="20">
        <f t="shared" si="153"/>
        <v>0</v>
      </c>
      <c r="P284">
        <f>IF(B284&gt;$AF$2,0,O283*($E$2+IF(E284&lt;=Assumptions!$B$9,$D$2,0))/$I$2*K284)</f>
        <v>0</v>
      </c>
      <c r="Q284">
        <f t="shared" si="154"/>
        <v>0</v>
      </c>
      <c r="R284">
        <f>IF(B284&gt;$AF$2,0,IF($Y$2=1,(SUMIF('Mortality Tarif Male'!A:A,E285,'Mortality Tarif Male'!G:G)-SUMIF('Mortality Tarif Male'!A:A,$C$2+$H$2,'Mortality Tarif Male'!G:G)+SUMIF('Mortality Tarif Male'!A:A,$C$2+$H$2,'Mortality Tarif Male'!D:D))/SUMIF('Mortality Tarif Male'!A:A,E285,'Mortality Tarif Male'!D:D),(SUMIF('Mortality Tarif Female'!A:A,E285,'Mortality Tarif Female'!G:G)-SUMIF('Mortality Tarif Female'!A:A,$C$2+$H$2,'Mortality Tarif Female'!G:G)+SUMIF('Mortality Tarif Female'!A:A,$C$2+$H$2,'Mortality Tarif Female'!D:D))/SUMIF('Mortality Tarif Female'!A:A,E285,'Mortality Tarif Female'!D:D)))</f>
        <v>0</v>
      </c>
      <c r="S284">
        <f>IF(B284&gt;=$AF$2,0,IF($Y$2=1,(SUMIF('Mortality Tarif Male'!A:A,E285+1,'Mortality Tarif Male'!G:G)-SUMIF('Mortality Tarif Male'!A:A,$C$2+$H$2,'Mortality Tarif Male'!G:G)+SUMIF('Mortality Tarif Male'!A:A,$C$2+$H$2,'Mortality Tarif Male'!D:D))/SUMIF('Mortality Tarif Male'!A:A,E285+1,'Mortality Tarif Male'!D:D),(SUMIF('Mortality Tarif Female'!A:A,E285+1,'Mortality Tarif Female'!G:G)-SUMIF('Mortality Tarif Female'!A:A,$C$2+$H$2,'Mortality Tarif Female'!G:G)+SUMIF('Mortality Tarif Female'!A:A,$C$2+$H$2,'Mortality Tarif Female'!D:D))/SUMIF('Mortality Tarif Female'!A:A,E285+1,'Mortality Tarif Female'!D:D)))</f>
        <v>0</v>
      </c>
      <c r="T284">
        <f t="shared" si="155"/>
        <v>8.3333333333335702E-2</v>
      </c>
      <c r="U284">
        <f t="shared" si="156"/>
        <v>0</v>
      </c>
      <c r="V284">
        <f t="shared" si="177"/>
        <v>0</v>
      </c>
      <c r="W284">
        <f t="shared" si="157"/>
        <v>0</v>
      </c>
      <c r="X284">
        <f t="shared" si="158"/>
        <v>0</v>
      </c>
      <c r="Y284">
        <f>IF(B284&gt;$AF$2,0,IF(V285=0,0,(1-V285)*($E$2+IF(E284&lt;=Assumptions!$B$9,$D$2,0))/$I$2*1/(1+$AG$2)*1/(1+Assumptions!$B$11)))</f>
        <v>0</v>
      </c>
      <c r="Z284">
        <f>IF(B284&gt;$AF$2,0,IF($Y$2=1,(SUMIF('Mortality Tarif Male'!A:A,E285,'Mortality Tarif Male'!E:E)-SUMIF('Mortality Tarif Male'!A:A,$C$2+$H$2,'Mortality Tarif Male'!E:E))/SUMIF('Mortality Tarif Male'!A:A,E285,'Mortality Tarif Male'!D:D),(SUMIF('Mortality Tarif Female'!A:A,E285,'Mortality Tarif Female'!E:E)-SUMIF('Mortality Tarif Female'!A:A,$C$2+$H$2,'Mortality Tarif Female'!E:E))/SUMIF('Mortality Tarif Female'!A:A,E285,'Mortality Tarif Female'!D:D)))</f>
        <v>0</v>
      </c>
      <c r="AA284">
        <f>IF(B284&gt;=$AF$2,0,IF($Y$2=1,(SUMIF('Mortality Tarif Male'!A:A,E285+1,'Mortality Tarif Male'!E:E)-SUMIF('Mortality Tarif Male'!A:A,$C$2+$H$2,'Mortality Tarif Male'!E:E))/SUMIF('Mortality Tarif Male'!A:A,E285+1,'Mortality Tarif Male'!D:D),(SUMIF('Mortality Tarif Female'!A:A,E285+1,'Mortality Tarif Female'!E:E)-SUMIF('Mortality Tarif Female'!A:A,$C$2+$H$2,'Mortality Tarif Female'!E:E))/SUMIF('Mortality Tarif Female'!A:A,E285+1,'Mortality Tarif Female'!D:D)))</f>
        <v>0</v>
      </c>
      <c r="AB284">
        <f t="shared" si="159"/>
        <v>0</v>
      </c>
      <c r="AC284">
        <f>IF(B284&gt;=$AF$2,0,MIN(1/3*(V284+W284+Y284-AB284),(V284-AB284),(T284*Z284+(1-T284)*AA284)*$AH$2*Assumptions!$B$22))</f>
        <v>0</v>
      </c>
      <c r="AD284">
        <f t="shared" si="160"/>
        <v>0</v>
      </c>
      <c r="AE284">
        <f t="shared" si="161"/>
        <v>0</v>
      </c>
      <c r="AF284">
        <f t="shared" si="162"/>
        <v>0</v>
      </c>
      <c r="AG284" s="26">
        <f t="shared" si="163"/>
        <v>0</v>
      </c>
      <c r="AH284" s="27">
        <f>IF(B284&gt;$AF$2,0,HLOOKUP(YEAR(A284),Assumptions!$A$34:$AL$37,4,TRUE)/100)</f>
        <v>0</v>
      </c>
      <c r="AI284">
        <f t="shared" si="164"/>
        <v>0</v>
      </c>
      <c r="AJ284">
        <f t="shared" si="165"/>
        <v>0</v>
      </c>
      <c r="AK284">
        <f t="shared" si="178"/>
        <v>0</v>
      </c>
      <c r="AL284">
        <f>IF(E284&gt;Assumptions!$B$9,0,SUMPRODUCT($P$2:$X$2,Assumptions!$A$43:$I$43)/$I$2*O283*K284)</f>
        <v>0</v>
      </c>
      <c r="AM284">
        <f t="shared" si="166"/>
        <v>0</v>
      </c>
      <c r="AN284">
        <f t="shared" si="167"/>
        <v>0</v>
      </c>
      <c r="AO284">
        <f>IF(E284&gt;Assumptions!$B$9,0,($V$2+$X$2)/$I$2*O283*K284*Assumptions!$B$46)</f>
        <v>0</v>
      </c>
      <c r="AP284">
        <f>IF(B284&gt;$AF$2,0,AP283*(1+Assumptions!$B$52)^(1/12))</f>
        <v>0</v>
      </c>
      <c r="AQ284" s="29">
        <f>IF(B284&gt;$AF$2,0,O283*Assumptions!$B$48/12*AP283+AR284*Assumptions!$B$50/12)</f>
        <v>0</v>
      </c>
      <c r="AR284" s="31">
        <f t="shared" si="179"/>
        <v>0</v>
      </c>
      <c r="AS284">
        <f t="shared" si="168"/>
        <v>0</v>
      </c>
      <c r="AT284">
        <f t="shared" si="169"/>
        <v>0</v>
      </c>
      <c r="AU284" s="19">
        <f t="shared" si="170"/>
        <v>0</v>
      </c>
      <c r="AV284" s="19">
        <f t="shared" si="171"/>
        <v>0</v>
      </c>
      <c r="AW284">
        <f t="shared" si="180"/>
        <v>0</v>
      </c>
      <c r="AX284">
        <f>IF(B284&gt;$AF$2,0,HLOOKUP(YEAR(A284),Assumptions!$A$34:$AL$37,2,TRUE)/100)</f>
        <v>0</v>
      </c>
      <c r="AY284" s="32">
        <f>1/(1+HLOOKUP(YEAR(A284),Assumptions!$A$27:$AL$29,3,TRUE))^(1/12)</f>
        <v>0.99792144053252774</v>
      </c>
      <c r="AZ284" s="30">
        <f t="shared" si="172"/>
        <v>0</v>
      </c>
      <c r="BA284">
        <f>IF(B284&gt;$AF$2,0,IF($E$2=0,(T284*Z284+(1-T284)*AA284)*$J$2*Assumptions!$B$20,0))</f>
        <v>0</v>
      </c>
    </row>
    <row r="285" spans="1:53" x14ac:dyDescent="0.25">
      <c r="A285" s="17">
        <f t="shared" si="175"/>
        <v>51440</v>
      </c>
      <c r="B285">
        <f t="shared" si="173"/>
        <v>504</v>
      </c>
      <c r="C285">
        <f t="shared" si="146"/>
        <v>41.916666666666664</v>
      </c>
      <c r="D285">
        <f t="shared" si="147"/>
        <v>0</v>
      </c>
      <c r="E285">
        <f t="shared" si="174"/>
        <v>64</v>
      </c>
      <c r="F285">
        <f>IF(C285&gt;=$H$2,0,VLOOKUP($E285,'Mortality Table'!$A$3:$C$128,2+AB$2,FALSE))</f>
        <v>0</v>
      </c>
      <c r="G285">
        <f>F285*Assumptions!$B$1</f>
        <v>0</v>
      </c>
      <c r="H285">
        <f t="shared" si="148"/>
        <v>0</v>
      </c>
      <c r="I285">
        <f t="shared" si="149"/>
        <v>0</v>
      </c>
      <c r="J285">
        <f>HLOOKUP(C285,Assumptions!$A$6:$J$7,2,TRUE)</f>
        <v>3.5200000000000002E-2</v>
      </c>
      <c r="K285" s="18">
        <f t="shared" si="150"/>
        <v>0</v>
      </c>
      <c r="L285" s="18">
        <f t="shared" si="176"/>
        <v>8.3333333333333329E-2</v>
      </c>
      <c r="M285" s="18">
        <f t="shared" si="151"/>
        <v>2.9817501439168836E-3</v>
      </c>
      <c r="N285">
        <f t="shared" si="152"/>
        <v>0</v>
      </c>
      <c r="O285" s="20">
        <f t="shared" si="153"/>
        <v>0</v>
      </c>
      <c r="P285">
        <f>IF(B285&gt;$AF$2,0,O284*($E$2+IF(E285&lt;=Assumptions!$B$9,$D$2,0))/$I$2*K285)</f>
        <v>0</v>
      </c>
      <c r="Q285">
        <f t="shared" si="154"/>
        <v>0</v>
      </c>
      <c r="R285">
        <f>IF(B285&gt;$AF$2,0,IF($Y$2=1,(SUMIF('Mortality Tarif Male'!A:A,E286,'Mortality Tarif Male'!G:G)-SUMIF('Mortality Tarif Male'!A:A,$C$2+$H$2,'Mortality Tarif Male'!G:G)+SUMIF('Mortality Tarif Male'!A:A,$C$2+$H$2,'Mortality Tarif Male'!D:D))/SUMIF('Mortality Tarif Male'!A:A,E286,'Mortality Tarif Male'!D:D),(SUMIF('Mortality Tarif Female'!A:A,E286,'Mortality Tarif Female'!G:G)-SUMIF('Mortality Tarif Female'!A:A,$C$2+$H$2,'Mortality Tarif Female'!G:G)+SUMIF('Mortality Tarif Female'!A:A,$C$2+$H$2,'Mortality Tarif Female'!D:D))/SUMIF('Mortality Tarif Female'!A:A,E286,'Mortality Tarif Female'!D:D)))</f>
        <v>0</v>
      </c>
      <c r="S285">
        <f>IF(B285&gt;=$AF$2,0,IF($Y$2=1,(SUMIF('Mortality Tarif Male'!A:A,E286+1,'Mortality Tarif Male'!G:G)-SUMIF('Mortality Tarif Male'!A:A,$C$2+$H$2,'Mortality Tarif Male'!G:G)+SUMIF('Mortality Tarif Male'!A:A,$C$2+$H$2,'Mortality Tarif Male'!D:D))/SUMIF('Mortality Tarif Male'!A:A,E286+1,'Mortality Tarif Male'!D:D),(SUMIF('Mortality Tarif Female'!A:A,E286+1,'Mortality Tarif Female'!G:G)-SUMIF('Mortality Tarif Female'!A:A,$C$2+$H$2,'Mortality Tarif Female'!G:G)+SUMIF('Mortality Tarif Female'!A:A,$C$2+$H$2,'Mortality Tarif Female'!D:D))/SUMIF('Mortality Tarif Female'!A:A,E286+1,'Mortality Tarif Female'!D:D)))</f>
        <v>0</v>
      </c>
      <c r="T285">
        <f t="shared" si="155"/>
        <v>1</v>
      </c>
      <c r="U285">
        <f t="shared" si="156"/>
        <v>0</v>
      </c>
      <c r="V285">
        <f t="shared" si="177"/>
        <v>0</v>
      </c>
      <c r="W285">
        <f t="shared" si="157"/>
        <v>0</v>
      </c>
      <c r="X285">
        <f t="shared" si="158"/>
        <v>0</v>
      </c>
      <c r="Y285">
        <f>IF(B285&gt;$AF$2,0,IF(V286=0,0,(1-V286)*($E$2+IF(E285&lt;=Assumptions!$B$9,$D$2,0))/$I$2*1/(1+$AG$2)*1/(1+Assumptions!$B$11)))</f>
        <v>0</v>
      </c>
      <c r="Z285">
        <f>IF(B285&gt;$AF$2,0,IF($Y$2=1,(SUMIF('Mortality Tarif Male'!A:A,E286,'Mortality Tarif Male'!E:E)-SUMIF('Mortality Tarif Male'!A:A,$C$2+$H$2,'Mortality Tarif Male'!E:E))/SUMIF('Mortality Tarif Male'!A:A,E286,'Mortality Tarif Male'!D:D),(SUMIF('Mortality Tarif Female'!A:A,E286,'Mortality Tarif Female'!E:E)-SUMIF('Mortality Tarif Female'!A:A,$C$2+$H$2,'Mortality Tarif Female'!E:E))/SUMIF('Mortality Tarif Female'!A:A,E286,'Mortality Tarif Female'!D:D)))</f>
        <v>0</v>
      </c>
      <c r="AA285">
        <f>IF(B285&gt;=$AF$2,0,IF($Y$2=1,(SUMIF('Mortality Tarif Male'!A:A,E286+1,'Mortality Tarif Male'!E:E)-SUMIF('Mortality Tarif Male'!A:A,$C$2+$H$2,'Mortality Tarif Male'!E:E))/SUMIF('Mortality Tarif Male'!A:A,E286+1,'Mortality Tarif Male'!D:D),(SUMIF('Mortality Tarif Female'!A:A,E286+1,'Mortality Tarif Female'!E:E)-SUMIF('Mortality Tarif Female'!A:A,$C$2+$H$2,'Mortality Tarif Female'!E:E))/SUMIF('Mortality Tarif Female'!A:A,E286+1,'Mortality Tarif Female'!D:D)))</f>
        <v>0</v>
      </c>
      <c r="AB285">
        <f t="shared" si="159"/>
        <v>0</v>
      </c>
      <c r="AC285">
        <f>IF(B285&gt;=$AF$2,0,MIN(1/3*(V285+W285+Y285-AB285),(V285-AB285),(T285*Z285+(1-T285)*AA285)*$AH$2*Assumptions!$B$22))</f>
        <v>0</v>
      </c>
      <c r="AD285">
        <f t="shared" si="160"/>
        <v>0</v>
      </c>
      <c r="AE285">
        <f t="shared" si="161"/>
        <v>0</v>
      </c>
      <c r="AF285">
        <f t="shared" si="162"/>
        <v>0</v>
      </c>
      <c r="AG285" s="26">
        <f t="shared" si="163"/>
        <v>0</v>
      </c>
      <c r="AH285" s="27">
        <f>IF(B285&gt;$AF$2,0,HLOOKUP(YEAR(A285),Assumptions!$A$34:$AL$37,4,TRUE)/100)</f>
        <v>0</v>
      </c>
      <c r="AI285">
        <f t="shared" si="164"/>
        <v>0</v>
      </c>
      <c r="AJ285">
        <f t="shared" si="165"/>
        <v>0</v>
      </c>
      <c r="AK285">
        <f t="shared" si="178"/>
        <v>0</v>
      </c>
      <c r="AL285">
        <f>IF(E285&gt;Assumptions!$B$9,0,SUMPRODUCT($P$2:$X$2,Assumptions!$A$43:$I$43)/$I$2*O284*K285)</f>
        <v>0</v>
      </c>
      <c r="AM285">
        <f t="shared" si="166"/>
        <v>0</v>
      </c>
      <c r="AN285">
        <f t="shared" si="167"/>
        <v>0</v>
      </c>
      <c r="AO285">
        <f>IF(E285&gt;Assumptions!$B$9,0,($V$2+$X$2)/$I$2*O284*K285*Assumptions!$B$46)</f>
        <v>0</v>
      </c>
      <c r="AP285">
        <f>IF(B285&gt;$AF$2,0,AP284*(1+Assumptions!$B$52)^(1/12))</f>
        <v>0</v>
      </c>
      <c r="AQ285" s="29">
        <f>IF(B285&gt;$AF$2,0,O284*Assumptions!$B$48/12*AP284+AR285*Assumptions!$B$50/12)</f>
        <v>0</v>
      </c>
      <c r="AR285" s="31">
        <f t="shared" si="179"/>
        <v>0</v>
      </c>
      <c r="AS285">
        <f t="shared" si="168"/>
        <v>0</v>
      </c>
      <c r="AT285">
        <f t="shared" si="169"/>
        <v>0</v>
      </c>
      <c r="AU285" s="19">
        <f t="shared" si="170"/>
        <v>0</v>
      </c>
      <c r="AV285" s="19">
        <f t="shared" si="171"/>
        <v>0</v>
      </c>
      <c r="AW285">
        <f t="shared" si="180"/>
        <v>0</v>
      </c>
      <c r="AX285">
        <f>IF(B285&gt;$AF$2,0,HLOOKUP(YEAR(A285),Assumptions!$A$34:$AL$37,2,TRUE)/100)</f>
        <v>0</v>
      </c>
      <c r="AY285" s="32">
        <f>1/(1+HLOOKUP(YEAR(A285),Assumptions!$A$27:$AL$29,3,TRUE))^(1/12)</f>
        <v>0.99792144053252774</v>
      </c>
      <c r="AZ285" s="30">
        <f t="shared" si="172"/>
        <v>0</v>
      </c>
      <c r="BA285">
        <f>IF(B285&gt;$AF$2,0,IF($E$2=0,(T285*Z285+(1-T285)*AA285)*$J$2*Assumptions!$B$20,0))</f>
        <v>0</v>
      </c>
    </row>
    <row r="286" spans="1:53" x14ac:dyDescent="0.25">
      <c r="A286" s="17">
        <f t="shared" si="175"/>
        <v>51470</v>
      </c>
      <c r="B286">
        <f t="shared" si="173"/>
        <v>505</v>
      </c>
      <c r="C286">
        <f t="shared" si="146"/>
        <v>42</v>
      </c>
      <c r="D286">
        <f t="shared" si="147"/>
        <v>1</v>
      </c>
      <c r="E286">
        <f t="shared" si="174"/>
        <v>65</v>
      </c>
      <c r="F286">
        <f>IF(C286&gt;=$H$2,0,VLOOKUP($E286,'Mortality Table'!$A$3:$C$128,2+AB$2,FALSE))</f>
        <v>0</v>
      </c>
      <c r="G286">
        <f>F286*Assumptions!$B$1</f>
        <v>0</v>
      </c>
      <c r="H286">
        <f t="shared" si="148"/>
        <v>0</v>
      </c>
      <c r="I286">
        <f t="shared" si="149"/>
        <v>0</v>
      </c>
      <c r="J286">
        <f>HLOOKUP(C286,Assumptions!$A$6:$J$7,2,TRUE)</f>
        <v>3.5200000000000002E-2</v>
      </c>
      <c r="K286" s="18">
        <f t="shared" si="150"/>
        <v>0</v>
      </c>
      <c r="L286" s="18">
        <f t="shared" si="176"/>
        <v>8.3333333333333329E-2</v>
      </c>
      <c r="M286" s="18">
        <f t="shared" si="151"/>
        <v>2.9817501439168836E-3</v>
      </c>
      <c r="N286">
        <f t="shared" si="152"/>
        <v>0</v>
      </c>
      <c r="O286" s="20">
        <f t="shared" si="153"/>
        <v>0</v>
      </c>
      <c r="P286">
        <f>IF(B286&gt;$AF$2,0,O285*($E$2+IF(E286&lt;=Assumptions!$B$9,$D$2,0))/$I$2*K286)</f>
        <v>0</v>
      </c>
      <c r="Q286">
        <f t="shared" si="154"/>
        <v>0</v>
      </c>
      <c r="R286">
        <f>IF(B286&gt;$AF$2,0,IF($Y$2=1,(SUMIF('Mortality Tarif Male'!A:A,E287,'Mortality Tarif Male'!G:G)-SUMIF('Mortality Tarif Male'!A:A,$C$2+$H$2,'Mortality Tarif Male'!G:G)+SUMIF('Mortality Tarif Male'!A:A,$C$2+$H$2,'Mortality Tarif Male'!D:D))/SUMIF('Mortality Tarif Male'!A:A,E287,'Mortality Tarif Male'!D:D),(SUMIF('Mortality Tarif Female'!A:A,E287,'Mortality Tarif Female'!G:G)-SUMIF('Mortality Tarif Female'!A:A,$C$2+$H$2,'Mortality Tarif Female'!G:G)+SUMIF('Mortality Tarif Female'!A:A,$C$2+$H$2,'Mortality Tarif Female'!D:D))/SUMIF('Mortality Tarif Female'!A:A,E287,'Mortality Tarif Female'!D:D)))</f>
        <v>0</v>
      </c>
      <c r="S286">
        <f>IF(B286&gt;=$AF$2,0,IF($Y$2=1,(SUMIF('Mortality Tarif Male'!A:A,E287+1,'Mortality Tarif Male'!G:G)-SUMIF('Mortality Tarif Male'!A:A,$C$2+$H$2,'Mortality Tarif Male'!G:G)+SUMIF('Mortality Tarif Male'!A:A,$C$2+$H$2,'Mortality Tarif Male'!D:D))/SUMIF('Mortality Tarif Male'!A:A,E287+1,'Mortality Tarif Male'!D:D),(SUMIF('Mortality Tarif Female'!A:A,E287+1,'Mortality Tarif Female'!G:G)-SUMIF('Mortality Tarif Female'!A:A,$C$2+$H$2,'Mortality Tarif Female'!G:G)+SUMIF('Mortality Tarif Female'!A:A,$C$2+$H$2,'Mortality Tarif Female'!D:D))/SUMIF('Mortality Tarif Female'!A:A,E287+1,'Mortality Tarif Female'!D:D)))</f>
        <v>0</v>
      </c>
      <c r="T286">
        <f t="shared" si="155"/>
        <v>0.9166666666666643</v>
      </c>
      <c r="U286">
        <f t="shared" si="156"/>
        <v>0</v>
      </c>
      <c r="V286">
        <f t="shared" si="177"/>
        <v>0</v>
      </c>
      <c r="W286">
        <f t="shared" si="157"/>
        <v>0</v>
      </c>
      <c r="X286">
        <f t="shared" si="158"/>
        <v>0</v>
      </c>
      <c r="Y286">
        <f>IF(B286&gt;$AF$2,0,IF(V287=0,0,(1-V287)*($E$2+IF(E286&lt;=Assumptions!$B$9,$D$2,0))/$I$2*1/(1+$AG$2)*1/(1+Assumptions!$B$11)))</f>
        <v>0</v>
      </c>
      <c r="Z286">
        <f>IF(B286&gt;$AF$2,0,IF($Y$2=1,(SUMIF('Mortality Tarif Male'!A:A,E287,'Mortality Tarif Male'!E:E)-SUMIF('Mortality Tarif Male'!A:A,$C$2+$H$2,'Mortality Tarif Male'!E:E))/SUMIF('Mortality Tarif Male'!A:A,E287,'Mortality Tarif Male'!D:D),(SUMIF('Mortality Tarif Female'!A:A,E287,'Mortality Tarif Female'!E:E)-SUMIF('Mortality Tarif Female'!A:A,$C$2+$H$2,'Mortality Tarif Female'!E:E))/SUMIF('Mortality Tarif Female'!A:A,E287,'Mortality Tarif Female'!D:D)))</f>
        <v>0</v>
      </c>
      <c r="AA286">
        <f>IF(B286&gt;=$AF$2,0,IF($Y$2=1,(SUMIF('Mortality Tarif Male'!A:A,E287+1,'Mortality Tarif Male'!E:E)-SUMIF('Mortality Tarif Male'!A:A,$C$2+$H$2,'Mortality Tarif Male'!E:E))/SUMIF('Mortality Tarif Male'!A:A,E287+1,'Mortality Tarif Male'!D:D),(SUMIF('Mortality Tarif Female'!A:A,E287+1,'Mortality Tarif Female'!E:E)-SUMIF('Mortality Tarif Female'!A:A,$C$2+$H$2,'Mortality Tarif Female'!E:E))/SUMIF('Mortality Tarif Female'!A:A,E287+1,'Mortality Tarif Female'!D:D)))</f>
        <v>0</v>
      </c>
      <c r="AB286">
        <f t="shared" si="159"/>
        <v>0</v>
      </c>
      <c r="AC286">
        <f>IF(B286&gt;=$AF$2,0,MIN(1/3*(V286+W286+Y286-AB286),(V286-AB286),(T286*Z286+(1-T286)*AA286)*$AH$2*Assumptions!$B$22))</f>
        <v>0</v>
      </c>
      <c r="AD286">
        <f t="shared" si="160"/>
        <v>0</v>
      </c>
      <c r="AE286">
        <f t="shared" si="161"/>
        <v>0</v>
      </c>
      <c r="AF286">
        <f t="shared" si="162"/>
        <v>0</v>
      </c>
      <c r="AG286" s="26">
        <f t="shared" si="163"/>
        <v>0</v>
      </c>
      <c r="AH286" s="27">
        <f>IF(B286&gt;$AF$2,0,HLOOKUP(YEAR(A286),Assumptions!$A$34:$AL$37,4,TRUE)/100)</f>
        <v>0</v>
      </c>
      <c r="AI286">
        <f t="shared" si="164"/>
        <v>0</v>
      </c>
      <c r="AJ286">
        <f t="shared" si="165"/>
        <v>0</v>
      </c>
      <c r="AK286">
        <f t="shared" si="178"/>
        <v>0</v>
      </c>
      <c r="AL286">
        <f>IF(E286&gt;Assumptions!$B$9,0,SUMPRODUCT($P$2:$X$2,Assumptions!$A$43:$I$43)/$I$2*O285*K286)</f>
        <v>0</v>
      </c>
      <c r="AM286">
        <f t="shared" si="166"/>
        <v>0</v>
      </c>
      <c r="AN286">
        <f t="shared" si="167"/>
        <v>0</v>
      </c>
      <c r="AO286">
        <f>IF(E286&gt;Assumptions!$B$9,0,($V$2+$X$2)/$I$2*O285*K286*Assumptions!$B$46)</f>
        <v>0</v>
      </c>
      <c r="AP286">
        <f>IF(B286&gt;$AF$2,0,AP285*(1+Assumptions!$B$52)^(1/12))</f>
        <v>0</v>
      </c>
      <c r="AQ286" s="29">
        <f>IF(B286&gt;$AF$2,0,O285*Assumptions!$B$48/12*AP285+AR286*Assumptions!$B$50/12)</f>
        <v>0</v>
      </c>
      <c r="AR286" s="31">
        <f t="shared" si="179"/>
        <v>0</v>
      </c>
      <c r="AS286">
        <f t="shared" si="168"/>
        <v>0</v>
      </c>
      <c r="AT286">
        <f t="shared" si="169"/>
        <v>0</v>
      </c>
      <c r="AU286" s="19">
        <f t="shared" si="170"/>
        <v>0</v>
      </c>
      <c r="AV286" s="19">
        <f t="shared" si="171"/>
        <v>0</v>
      </c>
      <c r="AW286">
        <f t="shared" si="180"/>
        <v>0</v>
      </c>
      <c r="AX286">
        <f>IF(B286&gt;$AF$2,0,HLOOKUP(YEAR(A286),Assumptions!$A$34:$AL$37,2,TRUE)/100)</f>
        <v>0</v>
      </c>
      <c r="AY286" s="32">
        <f>1/(1+HLOOKUP(YEAR(A286),Assumptions!$A$27:$AL$29,3,TRUE))^(1/12)</f>
        <v>0.99792144053252774</v>
      </c>
      <c r="AZ286" s="30">
        <f t="shared" si="172"/>
        <v>0</v>
      </c>
      <c r="BA286">
        <f>IF(B286&gt;$AF$2,0,IF($E$2=0,(T286*Z286+(1-T286)*AA286)*$J$2*Assumptions!$B$20,0))</f>
        <v>0</v>
      </c>
    </row>
    <row r="287" spans="1:53" x14ac:dyDescent="0.25">
      <c r="A287" s="17">
        <f t="shared" si="175"/>
        <v>51501</v>
      </c>
      <c r="B287">
        <f t="shared" si="173"/>
        <v>506</v>
      </c>
      <c r="C287">
        <f t="shared" si="146"/>
        <v>42.083333333333336</v>
      </c>
      <c r="D287">
        <f t="shared" si="147"/>
        <v>0</v>
      </c>
      <c r="E287">
        <f t="shared" si="174"/>
        <v>65</v>
      </c>
      <c r="F287">
        <f>IF(C287&gt;=$H$2,0,VLOOKUP($E287,'Mortality Table'!$A$3:$C$128,2+AB$2,FALSE))</f>
        <v>0</v>
      </c>
      <c r="G287">
        <f>F287*Assumptions!$B$1</f>
        <v>0</v>
      </c>
      <c r="H287">
        <f t="shared" si="148"/>
        <v>0</v>
      </c>
      <c r="I287">
        <f t="shared" si="149"/>
        <v>0</v>
      </c>
      <c r="J287">
        <f>HLOOKUP(C287,Assumptions!$A$6:$J$7,2,TRUE)</f>
        <v>3.5200000000000002E-2</v>
      </c>
      <c r="K287" s="18">
        <f t="shared" si="150"/>
        <v>0</v>
      </c>
      <c r="L287" s="18">
        <f t="shared" si="176"/>
        <v>8.3333333333333329E-2</v>
      </c>
      <c r="M287" s="18">
        <f t="shared" si="151"/>
        <v>2.9817501439168836E-3</v>
      </c>
      <c r="N287">
        <f t="shared" si="152"/>
        <v>0</v>
      </c>
      <c r="O287" s="20">
        <f t="shared" si="153"/>
        <v>0</v>
      </c>
      <c r="P287">
        <f>IF(B287&gt;$AF$2,0,O286*($E$2+IF(E287&lt;=Assumptions!$B$9,$D$2,0))/$I$2*K287)</f>
        <v>0</v>
      </c>
      <c r="Q287">
        <f t="shared" si="154"/>
        <v>0</v>
      </c>
      <c r="R287">
        <f>IF(B287&gt;$AF$2,0,IF($Y$2=1,(SUMIF('Mortality Tarif Male'!A:A,E288,'Mortality Tarif Male'!G:G)-SUMIF('Mortality Tarif Male'!A:A,$C$2+$H$2,'Mortality Tarif Male'!G:G)+SUMIF('Mortality Tarif Male'!A:A,$C$2+$H$2,'Mortality Tarif Male'!D:D))/SUMIF('Mortality Tarif Male'!A:A,E288,'Mortality Tarif Male'!D:D),(SUMIF('Mortality Tarif Female'!A:A,E288,'Mortality Tarif Female'!G:G)-SUMIF('Mortality Tarif Female'!A:A,$C$2+$H$2,'Mortality Tarif Female'!G:G)+SUMIF('Mortality Tarif Female'!A:A,$C$2+$H$2,'Mortality Tarif Female'!D:D))/SUMIF('Mortality Tarif Female'!A:A,E288,'Mortality Tarif Female'!D:D)))</f>
        <v>0</v>
      </c>
      <c r="S287">
        <f>IF(B287&gt;=$AF$2,0,IF($Y$2=1,(SUMIF('Mortality Tarif Male'!A:A,E288+1,'Mortality Tarif Male'!G:G)-SUMIF('Mortality Tarif Male'!A:A,$C$2+$H$2,'Mortality Tarif Male'!G:G)+SUMIF('Mortality Tarif Male'!A:A,$C$2+$H$2,'Mortality Tarif Male'!D:D))/SUMIF('Mortality Tarif Male'!A:A,E288+1,'Mortality Tarif Male'!D:D),(SUMIF('Mortality Tarif Female'!A:A,E288+1,'Mortality Tarif Female'!G:G)-SUMIF('Mortality Tarif Female'!A:A,$C$2+$H$2,'Mortality Tarif Female'!G:G)+SUMIF('Mortality Tarif Female'!A:A,$C$2+$H$2,'Mortality Tarif Female'!D:D))/SUMIF('Mortality Tarif Female'!A:A,E288+1,'Mortality Tarif Female'!D:D)))</f>
        <v>0</v>
      </c>
      <c r="T287">
        <f t="shared" si="155"/>
        <v>0.8333333333333357</v>
      </c>
      <c r="U287">
        <f t="shared" si="156"/>
        <v>0</v>
      </c>
      <c r="V287">
        <f t="shared" si="177"/>
        <v>0</v>
      </c>
      <c r="W287">
        <f t="shared" si="157"/>
        <v>0</v>
      </c>
      <c r="X287">
        <f t="shared" si="158"/>
        <v>0</v>
      </c>
      <c r="Y287">
        <f>IF(B287&gt;$AF$2,0,IF(V288=0,0,(1-V288)*($E$2+IF(E287&lt;=Assumptions!$B$9,$D$2,0))/$I$2*1/(1+$AG$2)*1/(1+Assumptions!$B$11)))</f>
        <v>0</v>
      </c>
      <c r="Z287">
        <f>IF(B287&gt;$AF$2,0,IF($Y$2=1,(SUMIF('Mortality Tarif Male'!A:A,E288,'Mortality Tarif Male'!E:E)-SUMIF('Mortality Tarif Male'!A:A,$C$2+$H$2,'Mortality Tarif Male'!E:E))/SUMIF('Mortality Tarif Male'!A:A,E288,'Mortality Tarif Male'!D:D),(SUMIF('Mortality Tarif Female'!A:A,E288,'Mortality Tarif Female'!E:E)-SUMIF('Mortality Tarif Female'!A:A,$C$2+$H$2,'Mortality Tarif Female'!E:E))/SUMIF('Mortality Tarif Female'!A:A,E288,'Mortality Tarif Female'!D:D)))</f>
        <v>0</v>
      </c>
      <c r="AA287">
        <f>IF(B287&gt;=$AF$2,0,IF($Y$2=1,(SUMIF('Mortality Tarif Male'!A:A,E288+1,'Mortality Tarif Male'!E:E)-SUMIF('Mortality Tarif Male'!A:A,$C$2+$H$2,'Mortality Tarif Male'!E:E))/SUMIF('Mortality Tarif Male'!A:A,E288+1,'Mortality Tarif Male'!D:D),(SUMIF('Mortality Tarif Female'!A:A,E288+1,'Mortality Tarif Female'!E:E)-SUMIF('Mortality Tarif Female'!A:A,$C$2+$H$2,'Mortality Tarif Female'!E:E))/SUMIF('Mortality Tarif Female'!A:A,E288+1,'Mortality Tarif Female'!D:D)))</f>
        <v>0</v>
      </c>
      <c r="AB287">
        <f t="shared" si="159"/>
        <v>0</v>
      </c>
      <c r="AC287">
        <f>IF(B287&gt;=$AF$2,0,MIN(1/3*(V287+W287+Y287-AB287),(V287-AB287),(T287*Z287+(1-T287)*AA287)*$AH$2*Assumptions!$B$22))</f>
        <v>0</v>
      </c>
      <c r="AD287">
        <f t="shared" si="160"/>
        <v>0</v>
      </c>
      <c r="AE287">
        <f t="shared" si="161"/>
        <v>0</v>
      </c>
      <c r="AF287">
        <f t="shared" si="162"/>
        <v>0</v>
      </c>
      <c r="AG287" s="26">
        <f t="shared" si="163"/>
        <v>0</v>
      </c>
      <c r="AH287" s="27">
        <f>IF(B287&gt;$AF$2,0,HLOOKUP(YEAR(A287),Assumptions!$A$34:$AL$37,4,TRUE)/100)</f>
        <v>0</v>
      </c>
      <c r="AI287">
        <f t="shared" si="164"/>
        <v>0</v>
      </c>
      <c r="AJ287">
        <f t="shared" si="165"/>
        <v>0</v>
      </c>
      <c r="AK287">
        <f t="shared" si="178"/>
        <v>0</v>
      </c>
      <c r="AL287">
        <f>IF(E287&gt;Assumptions!$B$9,0,SUMPRODUCT($P$2:$X$2,Assumptions!$A$43:$I$43)/$I$2*O286*K287)</f>
        <v>0</v>
      </c>
      <c r="AM287">
        <f t="shared" si="166"/>
        <v>0</v>
      </c>
      <c r="AN287">
        <f t="shared" si="167"/>
        <v>0</v>
      </c>
      <c r="AO287">
        <f>IF(E287&gt;Assumptions!$B$9,0,($V$2+$X$2)/$I$2*O286*K287*Assumptions!$B$46)</f>
        <v>0</v>
      </c>
      <c r="AP287">
        <f>IF(B287&gt;$AF$2,0,AP286*(1+Assumptions!$B$52)^(1/12))</f>
        <v>0</v>
      </c>
      <c r="AQ287" s="29">
        <f>IF(B287&gt;$AF$2,0,O286*Assumptions!$B$48/12*AP286+AR287*Assumptions!$B$50/12)</f>
        <v>0</v>
      </c>
      <c r="AR287" s="31">
        <f t="shared" si="179"/>
        <v>0</v>
      </c>
      <c r="AS287">
        <f t="shared" si="168"/>
        <v>0</v>
      </c>
      <c r="AT287">
        <f t="shared" si="169"/>
        <v>0</v>
      </c>
      <c r="AU287" s="19">
        <f t="shared" si="170"/>
        <v>0</v>
      </c>
      <c r="AV287" s="19">
        <f t="shared" si="171"/>
        <v>0</v>
      </c>
      <c r="AW287">
        <f t="shared" si="180"/>
        <v>0</v>
      </c>
      <c r="AX287">
        <f>IF(B287&gt;$AF$2,0,HLOOKUP(YEAR(A287),Assumptions!$A$34:$AL$37,2,TRUE)/100)</f>
        <v>0</v>
      </c>
      <c r="AY287" s="32">
        <f>1/(1+HLOOKUP(YEAR(A287),Assumptions!$A$27:$AL$29,3,TRUE))^(1/12)</f>
        <v>0.99792144053252774</v>
      </c>
      <c r="AZ287" s="30">
        <f t="shared" si="172"/>
        <v>0</v>
      </c>
      <c r="BA287">
        <f>IF(B287&gt;$AF$2,0,IF($E$2=0,(T287*Z287+(1-T287)*AA287)*$J$2*Assumptions!$B$20,0))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C128"/>
  <sheetViews>
    <sheetView tabSelected="1" workbookViewId="0">
      <selection activeCell="E40" sqref="E40"/>
    </sheetView>
  </sheetViews>
  <sheetFormatPr baseColWidth="10" defaultRowHeight="12.75" x14ac:dyDescent="0.2"/>
  <cols>
    <col min="1" max="16384" width="11.42578125" style="4"/>
  </cols>
  <sheetData>
    <row r="1" spans="1:3" x14ac:dyDescent="0.2">
      <c r="A1" s="1"/>
      <c r="B1" s="2" t="s">
        <v>40</v>
      </c>
      <c r="C1" s="3" t="s">
        <v>41</v>
      </c>
    </row>
    <row r="2" spans="1:3" x14ac:dyDescent="0.2">
      <c r="A2" s="5" t="s">
        <v>42</v>
      </c>
      <c r="B2" s="6" t="s">
        <v>43</v>
      </c>
      <c r="C2" s="7" t="s">
        <v>44</v>
      </c>
    </row>
    <row r="3" spans="1:3" x14ac:dyDescent="0.2">
      <c r="A3" s="8">
        <v>0</v>
      </c>
      <c r="B3" s="9">
        <v>5.3379999999999999E-3</v>
      </c>
      <c r="C3" s="9">
        <v>4.1719999999999995E-3</v>
      </c>
    </row>
    <row r="4" spans="1:3" x14ac:dyDescent="0.2">
      <c r="A4" s="8">
        <f>A3+1</f>
        <v>1</v>
      </c>
      <c r="B4" s="10">
        <v>4.0300000000000004E-4</v>
      </c>
      <c r="C4" s="10">
        <v>3.501E-4</v>
      </c>
    </row>
    <row r="5" spans="1:3" x14ac:dyDescent="0.2">
      <c r="A5" s="8">
        <f t="shared" ref="A5:A68" si="0">A4+1</f>
        <v>2</v>
      </c>
      <c r="B5" s="10">
        <v>3.703E-4</v>
      </c>
      <c r="C5" s="10">
        <v>3.1359999999999998E-4</v>
      </c>
    </row>
    <row r="6" spans="1:3" x14ac:dyDescent="0.2">
      <c r="A6" s="8">
        <f t="shared" si="0"/>
        <v>3</v>
      </c>
      <c r="B6" s="10">
        <v>3.436E-4</v>
      </c>
      <c r="C6" s="10">
        <v>2.8599999999999996E-4</v>
      </c>
    </row>
    <row r="7" spans="1:3" x14ac:dyDescent="0.2">
      <c r="A7" s="8">
        <f t="shared" si="0"/>
        <v>4</v>
      </c>
      <c r="B7" s="10">
        <v>3.234E-4</v>
      </c>
      <c r="C7" s="10">
        <v>2.6679999999999998E-4</v>
      </c>
    </row>
    <row r="8" spans="1:3" x14ac:dyDescent="0.2">
      <c r="A8" s="8">
        <f t="shared" si="0"/>
        <v>5</v>
      </c>
      <c r="B8" s="10">
        <v>3.1069999999999996E-4</v>
      </c>
      <c r="C8" s="10">
        <v>2.5519999999999997E-4</v>
      </c>
    </row>
    <row r="9" spans="1:3" x14ac:dyDescent="0.2">
      <c r="A9" s="8">
        <f t="shared" si="0"/>
        <v>6</v>
      </c>
      <c r="B9" s="10">
        <v>3.0680000000000003E-4</v>
      </c>
      <c r="C9" s="10">
        <v>2.5019999999999996E-4</v>
      </c>
    </row>
    <row r="10" spans="1:3" x14ac:dyDescent="0.2">
      <c r="A10" s="8">
        <f t="shared" si="0"/>
        <v>7</v>
      </c>
      <c r="B10" s="10">
        <v>3.1319999999999997E-4</v>
      </c>
      <c r="C10" s="10">
        <v>2.5130000000000004E-4</v>
      </c>
    </row>
    <row r="11" spans="1:3" x14ac:dyDescent="0.2">
      <c r="A11" s="8">
        <f t="shared" si="0"/>
        <v>8</v>
      </c>
      <c r="B11" s="10">
        <v>3.3150000000000003E-4</v>
      </c>
      <c r="C11" s="10">
        <v>2.5769999999999998E-4</v>
      </c>
    </row>
    <row r="12" spans="1:3" x14ac:dyDescent="0.2">
      <c r="A12" s="8">
        <f t="shared" si="0"/>
        <v>9</v>
      </c>
      <c r="B12" s="10">
        <v>3.6289999999999998E-4</v>
      </c>
      <c r="C12" s="10">
        <v>2.6900000000000003E-4</v>
      </c>
    </row>
    <row r="13" spans="1:3" x14ac:dyDescent="0.2">
      <c r="A13" s="8">
        <f t="shared" si="0"/>
        <v>10</v>
      </c>
      <c r="B13" s="10">
        <v>4.0789999999999999E-4</v>
      </c>
      <c r="C13" s="10">
        <v>2.8439999999999997E-4</v>
      </c>
    </row>
    <row r="14" spans="1:3" x14ac:dyDescent="0.2">
      <c r="A14" s="8">
        <f t="shared" si="0"/>
        <v>11</v>
      </c>
      <c r="B14" s="10">
        <v>4.6550000000000004E-4</v>
      </c>
      <c r="C14" s="10">
        <v>3.035E-4</v>
      </c>
    </row>
    <row r="15" spans="1:3" x14ac:dyDescent="0.2">
      <c r="A15" s="8">
        <f t="shared" si="0"/>
        <v>12</v>
      </c>
      <c r="B15" s="10">
        <v>5.3350000000000001E-4</v>
      </c>
      <c r="C15" s="10">
        <v>3.258E-4</v>
      </c>
    </row>
    <row r="16" spans="1:3" x14ac:dyDescent="0.2">
      <c r="A16" s="8">
        <f t="shared" si="0"/>
        <v>13</v>
      </c>
      <c r="B16" s="10">
        <v>6.0860000000000005E-4</v>
      </c>
      <c r="C16" s="10">
        <v>3.503E-4</v>
      </c>
    </row>
    <row r="17" spans="1:3" x14ac:dyDescent="0.2">
      <c r="A17" s="8">
        <f t="shared" si="0"/>
        <v>14</v>
      </c>
      <c r="B17" s="10">
        <v>6.8589999999999992E-4</v>
      </c>
      <c r="C17" s="10">
        <v>3.7490000000000001E-4</v>
      </c>
    </row>
    <row r="18" spans="1:3" x14ac:dyDescent="0.2">
      <c r="A18" s="8">
        <f t="shared" si="0"/>
        <v>15</v>
      </c>
      <c r="B18" s="10">
        <v>7.5970000000000009E-4</v>
      </c>
      <c r="C18" s="10">
        <v>3.9730000000000001E-4</v>
      </c>
    </row>
    <row r="19" spans="1:3" x14ac:dyDescent="0.2">
      <c r="A19" s="8">
        <f t="shared" si="0"/>
        <v>16</v>
      </c>
      <c r="B19" s="10">
        <v>8.2399999999999997E-4</v>
      </c>
      <c r="C19" s="10">
        <v>4.1520000000000001E-4</v>
      </c>
    </row>
    <row r="20" spans="1:3" x14ac:dyDescent="0.2">
      <c r="A20" s="8">
        <f t="shared" si="0"/>
        <v>17</v>
      </c>
      <c r="B20" s="10">
        <v>8.7280000000000007E-4</v>
      </c>
      <c r="C20" s="10">
        <v>4.2659999999999996E-4</v>
      </c>
    </row>
    <row r="21" spans="1:3" x14ac:dyDescent="0.2">
      <c r="A21" s="8">
        <f t="shared" si="0"/>
        <v>18</v>
      </c>
      <c r="B21" s="10">
        <v>9.012E-4</v>
      </c>
      <c r="C21" s="10">
        <v>4.2959999999999998E-4</v>
      </c>
    </row>
    <row r="22" spans="1:3" x14ac:dyDescent="0.2">
      <c r="A22" s="8">
        <f t="shared" si="0"/>
        <v>19</v>
      </c>
      <c r="B22" s="10">
        <v>9.0590000000000006E-4</v>
      </c>
      <c r="C22" s="10">
        <v>4.2329999999999999E-4</v>
      </c>
    </row>
    <row r="23" spans="1:3" x14ac:dyDescent="0.2">
      <c r="A23" s="8">
        <f t="shared" si="0"/>
        <v>20</v>
      </c>
      <c r="B23" s="10">
        <v>8.8639999999999997E-4</v>
      </c>
      <c r="C23" s="10">
        <v>4.0749999999999998E-4</v>
      </c>
    </row>
    <row r="24" spans="1:3" x14ac:dyDescent="0.2">
      <c r="A24" s="8">
        <f t="shared" si="0"/>
        <v>21</v>
      </c>
      <c r="B24" s="10">
        <v>8.4550000000000001E-4</v>
      </c>
      <c r="C24" s="10">
        <v>3.8309999999999999E-4</v>
      </c>
    </row>
    <row r="25" spans="1:3" x14ac:dyDescent="0.2">
      <c r="A25" s="8">
        <f t="shared" si="0"/>
        <v>22</v>
      </c>
      <c r="B25" s="10">
        <v>7.8890000000000004E-4</v>
      </c>
      <c r="C25" s="10">
        <v>3.5199999999999999E-4</v>
      </c>
    </row>
    <row r="26" spans="1:3" x14ac:dyDescent="0.2">
      <c r="A26" s="8">
        <f t="shared" si="0"/>
        <v>23</v>
      </c>
      <c r="B26" s="10">
        <v>7.2409999999999998E-4</v>
      </c>
      <c r="C26" s="10">
        <v>3.1700000000000001E-4</v>
      </c>
    </row>
    <row r="27" spans="1:3" x14ac:dyDescent="0.2">
      <c r="A27" s="8">
        <f t="shared" si="0"/>
        <v>24</v>
      </c>
      <c r="B27" s="10">
        <v>6.5859999999999996E-4</v>
      </c>
      <c r="C27" s="10">
        <v>2.8140000000000001E-4</v>
      </c>
    </row>
    <row r="28" spans="1:3" x14ac:dyDescent="0.2">
      <c r="A28" s="8">
        <f t="shared" si="0"/>
        <v>25</v>
      </c>
      <c r="B28" s="10">
        <v>5.9850000000000007E-4</v>
      </c>
      <c r="C28" s="10">
        <v>2.4870000000000003E-4</v>
      </c>
    </row>
    <row r="29" spans="1:3" x14ac:dyDescent="0.2">
      <c r="A29" s="8">
        <f t="shared" si="0"/>
        <v>26</v>
      </c>
      <c r="B29" s="10">
        <v>5.4779999999999998E-4</v>
      </c>
      <c r="C29" s="10">
        <v>2.2120000000000001E-4</v>
      </c>
    </row>
    <row r="30" spans="1:3" x14ac:dyDescent="0.2">
      <c r="A30" s="8">
        <f t="shared" si="0"/>
        <v>27</v>
      </c>
      <c r="B30" s="10">
        <v>5.084E-4</v>
      </c>
      <c r="C30" s="10">
        <v>2.0039999999999999E-4</v>
      </c>
    </row>
    <row r="31" spans="1:3" x14ac:dyDescent="0.2">
      <c r="A31" s="8">
        <f t="shared" si="0"/>
        <v>28</v>
      </c>
      <c r="B31" s="10">
        <v>4.8089999999999998E-4</v>
      </c>
      <c r="C31" s="10">
        <v>1.8759999999999998E-4</v>
      </c>
    </row>
    <row r="32" spans="1:3" x14ac:dyDescent="0.2">
      <c r="A32" s="8">
        <f t="shared" si="0"/>
        <v>29</v>
      </c>
      <c r="B32" s="10">
        <v>4.6460000000000002E-4</v>
      </c>
      <c r="C32" s="10">
        <v>1.8340000000000001E-4</v>
      </c>
    </row>
    <row r="33" spans="1:3" x14ac:dyDescent="0.2">
      <c r="A33" s="8">
        <f t="shared" si="0"/>
        <v>30</v>
      </c>
      <c r="B33" s="10">
        <v>4.5829999999999997E-4</v>
      </c>
      <c r="C33" s="10">
        <v>1.8759999999999998E-4</v>
      </c>
    </row>
    <row r="34" spans="1:3" x14ac:dyDescent="0.2">
      <c r="A34" s="8">
        <f t="shared" si="0"/>
        <v>31</v>
      </c>
      <c r="B34" s="10">
        <v>4.6139999999999999E-4</v>
      </c>
      <c r="C34" s="10">
        <v>1.9909999999999999E-4</v>
      </c>
    </row>
    <row r="35" spans="1:3" x14ac:dyDescent="0.2">
      <c r="A35" s="8">
        <f t="shared" si="0"/>
        <v>32</v>
      </c>
      <c r="B35" s="10">
        <v>4.7410000000000003E-4</v>
      </c>
      <c r="C35" s="10">
        <v>2.162E-4</v>
      </c>
    </row>
    <row r="36" spans="1:3" x14ac:dyDescent="0.2">
      <c r="A36" s="8">
        <f t="shared" si="0"/>
        <v>33</v>
      </c>
      <c r="B36" s="10">
        <v>4.973E-4</v>
      </c>
      <c r="C36" s="10">
        <v>2.3670000000000001E-4</v>
      </c>
    </row>
    <row r="37" spans="1:3" x14ac:dyDescent="0.2">
      <c r="A37" s="8">
        <f t="shared" si="0"/>
        <v>34</v>
      </c>
      <c r="B37" s="10">
        <v>5.3140000000000001E-4</v>
      </c>
      <c r="C37" s="10">
        <v>2.5950000000000002E-4</v>
      </c>
    </row>
    <row r="38" spans="1:3" x14ac:dyDescent="0.2">
      <c r="A38" s="8">
        <f t="shared" si="0"/>
        <v>35</v>
      </c>
      <c r="B38" s="10">
        <v>5.7509999999999994E-4</v>
      </c>
      <c r="C38" s="10">
        <v>2.856E-4</v>
      </c>
    </row>
    <row r="39" spans="1:3" x14ac:dyDescent="0.2">
      <c r="A39" s="8">
        <f t="shared" si="0"/>
        <v>36</v>
      </c>
      <c r="B39" s="10">
        <v>6.2549999999999997E-4</v>
      </c>
      <c r="C39" s="10">
        <v>3.1780000000000003E-4</v>
      </c>
    </row>
    <row r="40" spans="1:3" x14ac:dyDescent="0.2">
      <c r="A40" s="8">
        <f t="shared" si="0"/>
        <v>37</v>
      </c>
      <c r="B40" s="10">
        <v>6.7969999999999999E-4</v>
      </c>
      <c r="C40" s="10">
        <v>3.6020000000000003E-4</v>
      </c>
    </row>
    <row r="41" spans="1:3" x14ac:dyDescent="0.2">
      <c r="A41" s="8">
        <f t="shared" si="0"/>
        <v>38</v>
      </c>
      <c r="B41" s="10">
        <v>7.3609999999999995E-4</v>
      </c>
      <c r="C41" s="10">
        <v>4.1549999999999996E-4</v>
      </c>
    </row>
    <row r="42" spans="1:3" x14ac:dyDescent="0.2">
      <c r="A42" s="8">
        <f t="shared" si="0"/>
        <v>39</v>
      </c>
      <c r="B42" s="10">
        <v>7.9579999999999994E-4</v>
      </c>
      <c r="C42" s="10">
        <v>4.8289999999999997E-4</v>
      </c>
    </row>
    <row r="43" spans="1:3" x14ac:dyDescent="0.2">
      <c r="A43" s="8">
        <f t="shared" si="0"/>
        <v>40</v>
      </c>
      <c r="B43" s="10">
        <v>8.6180000000000002E-4</v>
      </c>
      <c r="C43" s="10">
        <v>5.5900000000000004E-4</v>
      </c>
    </row>
    <row r="44" spans="1:3" x14ac:dyDescent="0.2">
      <c r="A44" s="8">
        <f t="shared" si="0"/>
        <v>41</v>
      </c>
      <c r="B44" s="10">
        <v>9.3829999999999998E-4</v>
      </c>
      <c r="C44" s="10">
        <v>6.3929999999999998E-4</v>
      </c>
    </row>
    <row r="45" spans="1:3" x14ac:dyDescent="0.2">
      <c r="A45" s="8">
        <f t="shared" si="0"/>
        <v>42</v>
      </c>
      <c r="B45" s="10">
        <v>1.0290999999999998E-3</v>
      </c>
      <c r="C45" s="10">
        <v>7.203E-4</v>
      </c>
    </row>
    <row r="46" spans="1:3" x14ac:dyDescent="0.2">
      <c r="A46" s="8">
        <f t="shared" si="0"/>
        <v>43</v>
      </c>
      <c r="B46" s="10">
        <v>1.1359999999999999E-3</v>
      </c>
      <c r="C46" s="10">
        <v>8.0059999999999994E-4</v>
      </c>
    </row>
    <row r="47" spans="1:3" x14ac:dyDescent="0.2">
      <c r="A47" s="8">
        <f t="shared" si="0"/>
        <v>44</v>
      </c>
      <c r="B47" s="10">
        <v>1.2584999999999999E-3</v>
      </c>
      <c r="C47" s="10">
        <v>8.8049999999999999E-4</v>
      </c>
    </row>
    <row r="48" spans="1:3" x14ac:dyDescent="0.2">
      <c r="A48" s="8">
        <f t="shared" si="0"/>
        <v>45</v>
      </c>
      <c r="B48" s="10">
        <v>1.3949000000000001E-3</v>
      </c>
      <c r="C48" s="10">
        <v>9.6170000000000001E-4</v>
      </c>
    </row>
    <row r="49" spans="1:3" x14ac:dyDescent="0.2">
      <c r="A49" s="8">
        <f t="shared" si="0"/>
        <v>46</v>
      </c>
      <c r="B49" s="10">
        <v>1.5444E-3</v>
      </c>
      <c r="C49" s="10">
        <v>1.0457000000000001E-3</v>
      </c>
    </row>
    <row r="50" spans="1:3" x14ac:dyDescent="0.2">
      <c r="A50" s="8">
        <f t="shared" si="0"/>
        <v>47</v>
      </c>
      <c r="B50" s="10">
        <v>1.7098999999999999E-3</v>
      </c>
      <c r="C50" s="10">
        <v>1.1355999999999998E-3</v>
      </c>
    </row>
    <row r="51" spans="1:3" x14ac:dyDescent="0.2">
      <c r="A51" s="8">
        <f t="shared" si="0"/>
        <v>48</v>
      </c>
      <c r="B51" s="10">
        <v>1.8961E-3</v>
      </c>
      <c r="C51" s="10">
        <v>1.2356000000000001E-3</v>
      </c>
    </row>
    <row r="52" spans="1:3" x14ac:dyDescent="0.2">
      <c r="A52" s="8">
        <f t="shared" si="0"/>
        <v>49</v>
      </c>
      <c r="B52" s="10">
        <v>2.1078999999999998E-3</v>
      </c>
      <c r="C52" s="10">
        <v>1.3505000000000001E-3</v>
      </c>
    </row>
    <row r="53" spans="1:3" x14ac:dyDescent="0.2">
      <c r="A53" s="8">
        <f t="shared" si="0"/>
        <v>50</v>
      </c>
      <c r="B53" s="10">
        <v>2.3466999999999997E-3</v>
      </c>
      <c r="C53" s="10">
        <v>1.4852000000000001E-3</v>
      </c>
    </row>
    <row r="54" spans="1:3" x14ac:dyDescent="0.2">
      <c r="A54" s="8">
        <f t="shared" si="0"/>
        <v>51</v>
      </c>
      <c r="B54" s="10">
        <v>2.6094E-3</v>
      </c>
      <c r="C54" s="10">
        <v>1.6440999999999999E-3</v>
      </c>
    </row>
    <row r="55" spans="1:3" x14ac:dyDescent="0.2">
      <c r="A55" s="8">
        <f t="shared" si="0"/>
        <v>52</v>
      </c>
      <c r="B55" s="10">
        <v>2.8907E-3</v>
      </c>
      <c r="C55" s="10">
        <v>1.8298000000000001E-3</v>
      </c>
    </row>
    <row r="56" spans="1:3" x14ac:dyDescent="0.2">
      <c r="A56" s="8">
        <f t="shared" si="0"/>
        <v>53</v>
      </c>
      <c r="B56" s="10">
        <v>3.1871999999999998E-3</v>
      </c>
      <c r="C56" s="10">
        <v>2.0413000000000002E-3</v>
      </c>
    </row>
    <row r="57" spans="1:3" x14ac:dyDescent="0.2">
      <c r="A57" s="8">
        <f t="shared" si="0"/>
        <v>54</v>
      </c>
      <c r="B57" s="10">
        <v>3.5024000000000001E-3</v>
      </c>
      <c r="C57" s="10">
        <v>2.2740999999999998E-3</v>
      </c>
    </row>
    <row r="58" spans="1:3" x14ac:dyDescent="0.2">
      <c r="A58" s="8">
        <f t="shared" si="0"/>
        <v>55</v>
      </c>
      <c r="B58" s="10">
        <v>3.8455E-3</v>
      </c>
      <c r="C58" s="10">
        <v>2.5233E-3</v>
      </c>
    </row>
    <row r="59" spans="1:3" x14ac:dyDescent="0.2">
      <c r="A59" s="8">
        <f t="shared" si="0"/>
        <v>56</v>
      </c>
      <c r="B59" s="10">
        <v>4.2255000000000001E-3</v>
      </c>
      <c r="C59" s="10">
        <v>2.7833999999999997E-3</v>
      </c>
    </row>
    <row r="60" spans="1:3" x14ac:dyDescent="0.2">
      <c r="A60" s="8">
        <f t="shared" si="0"/>
        <v>57</v>
      </c>
      <c r="B60" s="10">
        <v>4.6439000000000003E-3</v>
      </c>
      <c r="C60" s="10">
        <v>3.0477E-3</v>
      </c>
    </row>
    <row r="61" spans="1:3" x14ac:dyDescent="0.2">
      <c r="A61" s="8">
        <f t="shared" si="0"/>
        <v>58</v>
      </c>
      <c r="B61" s="10">
        <v>5.0921999999999999E-3</v>
      </c>
      <c r="C61" s="10">
        <v>3.3078000000000001E-3</v>
      </c>
    </row>
    <row r="62" spans="1:3" x14ac:dyDescent="0.2">
      <c r="A62" s="8">
        <f t="shared" si="0"/>
        <v>59</v>
      </c>
      <c r="B62" s="10">
        <v>5.5557999999999996E-3</v>
      </c>
      <c r="C62" s="10">
        <v>3.5561E-3</v>
      </c>
    </row>
    <row r="63" spans="1:3" x14ac:dyDescent="0.2">
      <c r="A63" s="8">
        <f t="shared" si="0"/>
        <v>60</v>
      </c>
      <c r="B63" s="10">
        <v>6.0185999999999998E-3</v>
      </c>
      <c r="C63" s="10">
        <v>3.7886999999999999E-3</v>
      </c>
    </row>
    <row r="64" spans="1:3" x14ac:dyDescent="0.2">
      <c r="A64" s="8">
        <f t="shared" si="0"/>
        <v>61</v>
      </c>
      <c r="B64" s="10">
        <v>6.4713000000000001E-3</v>
      </c>
      <c r="C64" s="10">
        <v>4.0088999999999993E-3</v>
      </c>
    </row>
    <row r="65" spans="1:3" x14ac:dyDescent="0.2">
      <c r="A65" s="8">
        <f t="shared" si="0"/>
        <v>62</v>
      </c>
      <c r="B65" s="10">
        <v>6.9176000000000003E-3</v>
      </c>
      <c r="C65" s="10">
        <v>4.2285000000000005E-3</v>
      </c>
    </row>
    <row r="66" spans="1:3" x14ac:dyDescent="0.2">
      <c r="A66" s="8">
        <f t="shared" si="0"/>
        <v>63</v>
      </c>
      <c r="B66" s="10">
        <v>7.3750999999999999E-3</v>
      </c>
      <c r="C66" s="10">
        <v>4.4637000000000001E-3</v>
      </c>
    </row>
    <row r="67" spans="1:3" x14ac:dyDescent="0.2">
      <c r="A67" s="8">
        <f t="shared" si="0"/>
        <v>64</v>
      </c>
      <c r="B67" s="10">
        <v>7.7819000000000004E-3</v>
      </c>
      <c r="C67" s="10">
        <v>4.7300000000000007E-3</v>
      </c>
    </row>
    <row r="68" spans="1:3" x14ac:dyDescent="0.2">
      <c r="A68" s="8">
        <f t="shared" si="0"/>
        <v>65</v>
      </c>
      <c r="B68" s="10">
        <v>8.4460000000000004E-3</v>
      </c>
      <c r="C68" s="10">
        <v>5.0397999999999997E-3</v>
      </c>
    </row>
    <row r="69" spans="1:3" x14ac:dyDescent="0.2">
      <c r="A69" s="8">
        <f t="shared" ref="A69:A128" si="1">A68+1</f>
        <v>66</v>
      </c>
      <c r="B69" s="10">
        <v>8.1419999999999999E-3</v>
      </c>
      <c r="C69" s="10">
        <v>5.4032000000000004E-3</v>
      </c>
    </row>
    <row r="70" spans="1:3" x14ac:dyDescent="0.2">
      <c r="A70" s="8">
        <f t="shared" si="1"/>
        <v>67</v>
      </c>
      <c r="B70" s="10">
        <v>1.00047E-2</v>
      </c>
      <c r="C70" s="10">
        <v>5.8288000000000003E-3</v>
      </c>
    </row>
    <row r="71" spans="1:3" x14ac:dyDescent="0.2">
      <c r="A71" s="8">
        <f t="shared" si="1"/>
        <v>68</v>
      </c>
      <c r="B71" s="10">
        <v>1.10735E-2</v>
      </c>
      <c r="C71" s="10">
        <v>6.3263999999999994E-3</v>
      </c>
    </row>
    <row r="72" spans="1:3" x14ac:dyDescent="0.2">
      <c r="A72" s="8">
        <f t="shared" si="1"/>
        <v>69</v>
      </c>
      <c r="B72" s="10">
        <v>1.2380200000000001E-2</v>
      </c>
      <c r="C72" s="10">
        <v>6.9088999999999999E-3</v>
      </c>
    </row>
    <row r="73" spans="1:3" x14ac:dyDescent="0.2">
      <c r="A73" s="8">
        <f t="shared" si="1"/>
        <v>70</v>
      </c>
      <c r="B73" s="10">
        <v>1.39483E-2</v>
      </c>
      <c r="C73" s="10">
        <v>7.5944999999999997E-3</v>
      </c>
    </row>
    <row r="74" spans="1:3" x14ac:dyDescent="0.2">
      <c r="A74" s="8">
        <f t="shared" si="1"/>
        <v>71</v>
      </c>
      <c r="B74" s="10">
        <v>1.57944E-2</v>
      </c>
      <c r="C74" s="10">
        <v>8.4105000000000013E-3</v>
      </c>
    </row>
    <row r="75" spans="1:3" x14ac:dyDescent="0.2">
      <c r="A75" s="8">
        <f t="shared" si="1"/>
        <v>72</v>
      </c>
      <c r="B75" s="10">
        <v>1.7928799999999998E-2</v>
      </c>
      <c r="C75" s="10">
        <v>9.3939000000000002E-3</v>
      </c>
    </row>
    <row r="76" spans="1:3" x14ac:dyDescent="0.2">
      <c r="A76" s="8">
        <f t="shared" si="1"/>
        <v>73</v>
      </c>
      <c r="B76" s="10">
        <v>2.0356800000000001E-2</v>
      </c>
      <c r="C76" s="10">
        <v>1.0590400000000002E-2</v>
      </c>
    </row>
    <row r="77" spans="1:3" x14ac:dyDescent="0.2">
      <c r="A77" s="8">
        <f t="shared" si="1"/>
        <v>74</v>
      </c>
      <c r="B77" s="10">
        <v>2.3079699999999998E-2</v>
      </c>
      <c r="C77" s="10">
        <v>1.20521E-2</v>
      </c>
    </row>
    <row r="78" spans="1:3" x14ac:dyDescent="0.2">
      <c r="A78" s="8">
        <f t="shared" si="1"/>
        <v>75</v>
      </c>
      <c r="B78" s="10">
        <v>2.6097000000000002E-2</v>
      </c>
      <c r="C78" s="10">
        <v>1.38361E-2</v>
      </c>
    </row>
    <row r="79" spans="1:3" x14ac:dyDescent="0.2">
      <c r="A79" s="8">
        <f t="shared" si="1"/>
        <v>76</v>
      </c>
      <c r="B79" s="10">
        <v>2.94081E-2</v>
      </c>
      <c r="C79" s="10">
        <v>1.6002300000000001E-2</v>
      </c>
    </row>
    <row r="80" spans="1:3" x14ac:dyDescent="0.2">
      <c r="A80" s="8">
        <f t="shared" si="1"/>
        <v>77</v>
      </c>
      <c r="B80" s="10">
        <v>3.3012399999999997E-2</v>
      </c>
      <c r="C80" s="10">
        <v>1.86114E-2</v>
      </c>
    </row>
    <row r="81" spans="1:3" x14ac:dyDescent="0.2">
      <c r="A81" s="8">
        <f t="shared" si="1"/>
        <v>78</v>
      </c>
      <c r="B81" s="10">
        <v>3.6910600000000002E-2</v>
      </c>
      <c r="C81" s="10">
        <v>2.1722100000000001E-2</v>
      </c>
    </row>
    <row r="82" spans="1:3" x14ac:dyDescent="0.2">
      <c r="A82" s="8">
        <f t="shared" si="1"/>
        <v>79</v>
      </c>
      <c r="B82" s="10">
        <v>4.11066E-2</v>
      </c>
      <c r="C82" s="10">
        <v>2.5388899999999999E-2</v>
      </c>
    </row>
    <row r="83" spans="1:3" x14ac:dyDescent="0.2">
      <c r="A83" s="8">
        <f t="shared" si="1"/>
        <v>80</v>
      </c>
      <c r="B83" s="10">
        <v>4.5610399999999995E-2</v>
      </c>
      <c r="C83" s="10">
        <v>2.9660200000000001E-2</v>
      </c>
    </row>
    <row r="84" spans="1:3" x14ac:dyDescent="0.2">
      <c r="A84" s="8">
        <f t="shared" si="1"/>
        <v>81</v>
      </c>
      <c r="B84" s="10">
        <v>5.0439999999999999E-2</v>
      </c>
      <c r="C84" s="10">
        <v>3.4579399999999996E-2</v>
      </c>
    </row>
    <row r="85" spans="1:3" x14ac:dyDescent="0.2">
      <c r="A85" s="8">
        <f t="shared" si="1"/>
        <v>82</v>
      </c>
      <c r="B85" s="10">
        <v>5.5623800000000001E-2</v>
      </c>
      <c r="C85" s="10">
        <v>4.0185600000000002E-2</v>
      </c>
    </row>
    <row r="86" spans="1:3" x14ac:dyDescent="0.2">
      <c r="A86" s="8">
        <f t="shared" si="1"/>
        <v>83</v>
      </c>
      <c r="B86" s="10">
        <v>6.1201999999999999E-2</v>
      </c>
      <c r="C86" s="10">
        <v>4.6515300000000002E-2</v>
      </c>
    </row>
    <row r="87" spans="1:3" x14ac:dyDescent="0.2">
      <c r="A87" s="8">
        <f t="shared" si="1"/>
        <v>84</v>
      </c>
      <c r="B87" s="10">
        <v>6.7227500000000009E-2</v>
      </c>
      <c r="C87" s="10">
        <v>5.3603200000000004E-2</v>
      </c>
    </row>
    <row r="88" spans="1:3" x14ac:dyDescent="0.2">
      <c r="A88" s="8">
        <f t="shared" si="1"/>
        <v>85</v>
      </c>
      <c r="B88" s="10">
        <v>7.376640000000001E-2</v>
      </c>
      <c r="C88" s="10">
        <v>6.14846E-2</v>
      </c>
    </row>
    <row r="89" spans="1:3" x14ac:dyDescent="0.2">
      <c r="A89" s="8">
        <f t="shared" si="1"/>
        <v>86</v>
      </c>
      <c r="B89" s="10">
        <v>8.0897499999999997E-2</v>
      </c>
      <c r="C89" s="10">
        <v>7.0197200000000001E-2</v>
      </c>
    </row>
    <row r="90" spans="1:3" x14ac:dyDescent="0.2">
      <c r="A90" s="8">
        <f t="shared" si="1"/>
        <v>87</v>
      </c>
      <c r="B90" s="10">
        <v>8.8712100000000002E-2</v>
      </c>
      <c r="C90" s="10">
        <v>7.9782700000000012E-2</v>
      </c>
    </row>
    <row r="91" spans="1:3" x14ac:dyDescent="0.2">
      <c r="A91" s="8">
        <f t="shared" si="1"/>
        <v>88</v>
      </c>
      <c r="B91" s="10">
        <v>9.7312599999999999E-2</v>
      </c>
      <c r="C91" s="10">
        <v>9.0285799999999999E-2</v>
      </c>
    </row>
    <row r="92" spans="1:3" x14ac:dyDescent="0.2">
      <c r="A92" s="8">
        <f t="shared" si="1"/>
        <v>89</v>
      </c>
      <c r="B92" s="10">
        <v>0.10681109999999999</v>
      </c>
      <c r="C92" s="10">
        <v>0.10175379999999999</v>
      </c>
    </row>
    <row r="93" spans="1:3" x14ac:dyDescent="0.2">
      <c r="A93" s="8">
        <f t="shared" si="1"/>
        <v>90</v>
      </c>
      <c r="B93" s="10">
        <v>0.11732769999999999</v>
      </c>
      <c r="C93" s="10">
        <v>0.1142358</v>
      </c>
    </row>
    <row r="94" spans="1:3" x14ac:dyDescent="0.2">
      <c r="A94" s="8">
        <f t="shared" si="1"/>
        <v>91</v>
      </c>
      <c r="B94" s="10">
        <v>0.12898869999999998</v>
      </c>
      <c r="C94" s="10">
        <v>0.12778249999999999</v>
      </c>
    </row>
    <row r="95" spans="1:3" x14ac:dyDescent="0.2">
      <c r="A95" s="8">
        <f t="shared" si="1"/>
        <v>92</v>
      </c>
      <c r="B95" s="10">
        <v>0.1419241</v>
      </c>
      <c r="C95" s="10">
        <v>0.14244589999999999</v>
      </c>
    </row>
    <row r="96" spans="1:3" x14ac:dyDescent="0.2">
      <c r="A96" s="8">
        <f t="shared" si="1"/>
        <v>93</v>
      </c>
      <c r="B96" s="10">
        <v>0.15626580000000001</v>
      </c>
      <c r="C96" s="10">
        <v>0.1582789</v>
      </c>
    </row>
    <row r="97" spans="1:3" x14ac:dyDescent="0.2">
      <c r="A97" s="8">
        <f t="shared" si="1"/>
        <v>94</v>
      </c>
      <c r="B97" s="10">
        <v>0.17214490000000002</v>
      </c>
      <c r="C97" s="10">
        <v>0.1753344</v>
      </c>
    </row>
    <row r="98" spans="1:3" x14ac:dyDescent="0.2">
      <c r="A98" s="8">
        <f t="shared" si="1"/>
        <v>95</v>
      </c>
      <c r="B98" s="10">
        <v>0.1896901</v>
      </c>
      <c r="C98" s="10">
        <v>0.19366460000000002</v>
      </c>
    </row>
    <row r="99" spans="1:3" x14ac:dyDescent="0.2">
      <c r="A99" s="8">
        <f t="shared" si="1"/>
        <v>96</v>
      </c>
      <c r="B99" s="10">
        <v>0.20902560000000001</v>
      </c>
      <c r="C99" s="10">
        <v>0.21332039999999999</v>
      </c>
    </row>
    <row r="100" spans="1:3" x14ac:dyDescent="0.2">
      <c r="A100" s="8">
        <f t="shared" si="1"/>
        <v>97</v>
      </c>
      <c r="B100" s="10">
        <v>0.2302699</v>
      </c>
      <c r="C100" s="10">
        <v>0.23435110000000001</v>
      </c>
    </row>
    <row r="101" spans="1:3" x14ac:dyDescent="0.2">
      <c r="A101" s="8">
        <f t="shared" si="1"/>
        <v>98</v>
      </c>
      <c r="B101" s="10">
        <v>0.2535346</v>
      </c>
      <c r="C101" s="10">
        <v>0.25680360000000002</v>
      </c>
    </row>
    <row r="102" spans="1:3" x14ac:dyDescent="0.2">
      <c r="A102" s="8">
        <f t="shared" si="1"/>
        <v>99</v>
      </c>
      <c r="B102" s="10">
        <v>0.27892309999999998</v>
      </c>
      <c r="C102" s="10">
        <v>0.28072219999999998</v>
      </c>
    </row>
    <row r="103" spans="1:3" x14ac:dyDescent="0.2">
      <c r="A103" s="8">
        <f t="shared" si="1"/>
        <v>100</v>
      </c>
      <c r="B103" s="10">
        <v>0.30653039999999998</v>
      </c>
      <c r="C103" s="10">
        <v>0.30614809999999998</v>
      </c>
    </row>
    <row r="104" spans="1:3" x14ac:dyDescent="0.2">
      <c r="A104" s="8">
        <f t="shared" si="1"/>
        <v>101</v>
      </c>
      <c r="B104" s="10">
        <v>0.33644279999999999</v>
      </c>
      <c r="C104" s="10">
        <v>0.3331191</v>
      </c>
    </row>
    <row r="105" spans="1:3" x14ac:dyDescent="0.2">
      <c r="A105" s="8">
        <f t="shared" si="1"/>
        <v>102</v>
      </c>
      <c r="B105" s="10">
        <v>0.36873729999999999</v>
      </c>
      <c r="C105" s="10">
        <v>0.36166919999999997</v>
      </c>
    </row>
    <row r="106" spans="1:3" x14ac:dyDescent="0.2">
      <c r="A106" s="8">
        <f t="shared" si="1"/>
        <v>103</v>
      </c>
      <c r="B106" s="10">
        <v>0.40348219999999996</v>
      </c>
      <c r="C106" s="10">
        <v>0.39182899999999998</v>
      </c>
    </row>
    <row r="107" spans="1:3" x14ac:dyDescent="0.2">
      <c r="A107" s="8">
        <f t="shared" si="1"/>
        <v>104</v>
      </c>
      <c r="B107" s="10">
        <v>0.44073660000000003</v>
      </c>
      <c r="C107" s="10">
        <v>0.42362540000000004</v>
      </c>
    </row>
    <row r="108" spans="1:3" x14ac:dyDescent="0.2">
      <c r="A108" s="8">
        <f t="shared" si="1"/>
        <v>105</v>
      </c>
      <c r="B108" s="10">
        <v>0.48055059999999999</v>
      </c>
      <c r="C108" s="10">
        <v>0.45708159999999998</v>
      </c>
    </row>
    <row r="109" spans="1:3" x14ac:dyDescent="0.2">
      <c r="A109" s="8">
        <f t="shared" si="1"/>
        <v>106</v>
      </c>
      <c r="B109" s="10">
        <v>0.52296640000000005</v>
      </c>
      <c r="C109" s="10">
        <v>0.49221759999999998</v>
      </c>
    </row>
    <row r="110" spans="1:3" x14ac:dyDescent="0.2">
      <c r="A110" s="8">
        <f t="shared" si="1"/>
        <v>107</v>
      </c>
      <c r="B110" s="10">
        <v>0.56801809999999997</v>
      </c>
      <c r="C110" s="10">
        <v>0.52905010000000008</v>
      </c>
    </row>
    <row r="111" spans="1:3" x14ac:dyDescent="0.2">
      <c r="A111" s="8">
        <f t="shared" si="1"/>
        <v>108</v>
      </c>
      <c r="B111" s="10">
        <v>0.61573270000000002</v>
      </c>
      <c r="C111" s="10">
        <v>0.56759280000000001</v>
      </c>
    </row>
    <row r="112" spans="1:3" x14ac:dyDescent="0.2">
      <c r="A112" s="8">
        <f t="shared" si="1"/>
        <v>109</v>
      </c>
      <c r="B112" s="10">
        <v>0.66613099999999992</v>
      </c>
      <c r="C112" s="10">
        <v>0.60785699999999998</v>
      </c>
    </row>
    <row r="113" spans="1:3" x14ac:dyDescent="0.2">
      <c r="A113" s="8">
        <f t="shared" si="1"/>
        <v>110</v>
      </c>
      <c r="B113" s="10">
        <v>0.71922819999999998</v>
      </c>
      <c r="C113" s="10">
        <v>0.64985150000000003</v>
      </c>
    </row>
    <row r="114" spans="1:3" x14ac:dyDescent="0.2">
      <c r="A114" s="8">
        <f t="shared" si="1"/>
        <v>111</v>
      </c>
      <c r="B114" s="10">
        <v>0.77503480000000002</v>
      </c>
      <c r="C114" s="10">
        <v>0.6935830999999999</v>
      </c>
    </row>
    <row r="115" spans="1:3" x14ac:dyDescent="0.2">
      <c r="A115" s="8">
        <f t="shared" si="1"/>
        <v>112</v>
      </c>
      <c r="B115" s="10">
        <v>0.83355760000000001</v>
      </c>
      <c r="C115" s="10">
        <v>0.73905670000000001</v>
      </c>
    </row>
    <row r="116" spans="1:3" x14ac:dyDescent="0.2">
      <c r="A116" s="8">
        <f t="shared" si="1"/>
        <v>113</v>
      </c>
      <c r="B116" s="10">
        <v>0.89480039999999994</v>
      </c>
      <c r="C116" s="10">
        <v>0.78627579999999997</v>
      </c>
    </row>
    <row r="117" spans="1:3" x14ac:dyDescent="0.2">
      <c r="A117" s="8">
        <f t="shared" si="1"/>
        <v>114</v>
      </c>
      <c r="B117" s="10">
        <v>0.95876490000000003</v>
      </c>
      <c r="C117" s="10">
        <v>0.8352427</v>
      </c>
    </row>
    <row r="118" spans="1:3" x14ac:dyDescent="0.2">
      <c r="A118" s="8">
        <f t="shared" si="1"/>
        <v>115</v>
      </c>
      <c r="B118" s="10">
        <v>0.99571389999999993</v>
      </c>
      <c r="C118" s="10">
        <v>0.88595840000000003</v>
      </c>
    </row>
    <row r="119" spans="1:3" x14ac:dyDescent="0.2">
      <c r="A119" s="8">
        <f t="shared" si="1"/>
        <v>116</v>
      </c>
      <c r="B119" s="10">
        <v>1</v>
      </c>
      <c r="C119" s="10">
        <v>0.93842370000000008</v>
      </c>
    </row>
    <row r="120" spans="1:3" x14ac:dyDescent="0.2">
      <c r="A120" s="8">
        <f t="shared" si="1"/>
        <v>117</v>
      </c>
      <c r="B120" s="11"/>
      <c r="C120" s="11"/>
    </row>
    <row r="121" spans="1:3" x14ac:dyDescent="0.2">
      <c r="A121" s="8">
        <f t="shared" si="1"/>
        <v>118</v>
      </c>
      <c r="B121" s="11"/>
      <c r="C121" s="11"/>
    </row>
    <row r="122" spans="1:3" x14ac:dyDescent="0.2">
      <c r="A122" s="8">
        <f t="shared" si="1"/>
        <v>119</v>
      </c>
      <c r="B122" s="11"/>
      <c r="C122" s="11"/>
    </row>
    <row r="123" spans="1:3" x14ac:dyDescent="0.2">
      <c r="A123" s="8">
        <f t="shared" si="1"/>
        <v>120</v>
      </c>
      <c r="B123" s="11"/>
      <c r="C123" s="11"/>
    </row>
    <row r="124" spans="1:3" x14ac:dyDescent="0.2">
      <c r="A124" s="8">
        <f t="shared" si="1"/>
        <v>121</v>
      </c>
      <c r="B124" s="11"/>
      <c r="C124" s="11"/>
    </row>
    <row r="125" spans="1:3" x14ac:dyDescent="0.2">
      <c r="A125" s="8">
        <f t="shared" si="1"/>
        <v>122</v>
      </c>
      <c r="B125" s="12"/>
      <c r="C125" s="11"/>
    </row>
    <row r="126" spans="1:3" x14ac:dyDescent="0.2">
      <c r="A126" s="8">
        <f t="shared" si="1"/>
        <v>123</v>
      </c>
      <c r="B126" s="11"/>
      <c r="C126" s="11"/>
    </row>
    <row r="127" spans="1:3" x14ac:dyDescent="0.2">
      <c r="A127" s="8">
        <f t="shared" si="1"/>
        <v>124</v>
      </c>
      <c r="B127" s="11"/>
      <c r="C127" s="11"/>
    </row>
    <row r="128" spans="1:3" x14ac:dyDescent="0.2">
      <c r="A128" s="13">
        <f t="shared" si="1"/>
        <v>125</v>
      </c>
      <c r="B128" s="14"/>
      <c r="C128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L52"/>
  <sheetViews>
    <sheetView workbookViewId="0">
      <selection activeCell="B46" sqref="B46"/>
    </sheetView>
  </sheetViews>
  <sheetFormatPr baseColWidth="10" defaultRowHeight="15" x14ac:dyDescent="0.25"/>
  <cols>
    <col min="1" max="1" width="26.5703125" bestFit="1" customWidth="1"/>
  </cols>
  <sheetData>
    <row r="1" spans="1:10" x14ac:dyDescent="0.25">
      <c r="A1" s="15" t="s">
        <v>45</v>
      </c>
      <c r="B1" s="16">
        <v>1.0825</v>
      </c>
    </row>
    <row r="4" spans="1:10" x14ac:dyDescent="0.25">
      <c r="A4" s="15" t="s">
        <v>46</v>
      </c>
    </row>
    <row r="6" spans="1:10" x14ac:dyDescent="0.25">
      <c r="A6">
        <v>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</row>
    <row r="7" spans="1:10" x14ac:dyDescent="0.25">
      <c r="A7" s="16">
        <v>0</v>
      </c>
      <c r="B7" s="16">
        <v>0</v>
      </c>
      <c r="C7" s="16">
        <v>0</v>
      </c>
      <c r="D7" s="16">
        <v>5.7200000000000001E-2</v>
      </c>
      <c r="E7" s="16">
        <v>0.10290000000000001</v>
      </c>
      <c r="F7" s="16">
        <v>0.17530000000000001</v>
      </c>
      <c r="G7" s="16">
        <v>1.66E-2</v>
      </c>
      <c r="H7" s="16">
        <v>4.7800000000000002E-2</v>
      </c>
      <c r="I7" s="16">
        <v>4.3799999999999999E-2</v>
      </c>
      <c r="J7" s="16">
        <v>3.5200000000000002E-2</v>
      </c>
    </row>
    <row r="9" spans="1:10" x14ac:dyDescent="0.25">
      <c r="A9" t="s">
        <v>68</v>
      </c>
      <c r="B9">
        <v>60</v>
      </c>
    </row>
    <row r="11" spans="1:10" x14ac:dyDescent="0.25">
      <c r="A11" t="s">
        <v>81</v>
      </c>
      <c r="B11" s="24">
        <v>0.11</v>
      </c>
    </row>
    <row r="13" spans="1:10" x14ac:dyDescent="0.25">
      <c r="A13" t="s">
        <v>83</v>
      </c>
      <c r="B13" t="s">
        <v>84</v>
      </c>
    </row>
    <row r="14" spans="1:10" x14ac:dyDescent="0.25">
      <c r="A14">
        <v>1</v>
      </c>
      <c r="B14" s="24">
        <v>0</v>
      </c>
    </row>
    <row r="15" spans="1:10" x14ac:dyDescent="0.25">
      <c r="A15">
        <v>2</v>
      </c>
      <c r="B15" s="24">
        <v>0.02</v>
      </c>
    </row>
    <row r="16" spans="1:10" x14ac:dyDescent="0.25">
      <c r="A16">
        <v>4</v>
      </c>
      <c r="B16" s="24">
        <v>0.03</v>
      </c>
    </row>
    <row r="17" spans="1:38" x14ac:dyDescent="0.25">
      <c r="A17">
        <v>6</v>
      </c>
      <c r="B17" s="24">
        <v>0.04</v>
      </c>
    </row>
    <row r="18" spans="1:38" x14ac:dyDescent="0.25">
      <c r="A18">
        <v>12</v>
      </c>
      <c r="B18" s="24">
        <v>0.05</v>
      </c>
    </row>
    <row r="20" spans="1:38" x14ac:dyDescent="0.25">
      <c r="A20" t="s">
        <v>88</v>
      </c>
      <c r="B20" s="25">
        <v>4.2500000000000003E-3</v>
      </c>
    </row>
    <row r="22" spans="1:38" x14ac:dyDescent="0.25">
      <c r="A22" t="s">
        <v>92</v>
      </c>
      <c r="B22" s="24">
        <v>0.08</v>
      </c>
    </row>
    <row r="25" spans="1:38" x14ac:dyDescent="0.25">
      <c r="A25" s="15" t="s">
        <v>100</v>
      </c>
    </row>
    <row r="27" spans="1:38" x14ac:dyDescent="0.25">
      <c r="A27">
        <v>2017</v>
      </c>
      <c r="B27">
        <v>2018</v>
      </c>
      <c r="C27">
        <v>2019</v>
      </c>
      <c r="D27">
        <v>2020</v>
      </c>
      <c r="E27">
        <v>2021</v>
      </c>
      <c r="F27">
        <v>2022</v>
      </c>
      <c r="G27">
        <v>2023</v>
      </c>
      <c r="H27">
        <v>2024</v>
      </c>
      <c r="I27">
        <v>2025</v>
      </c>
      <c r="J27">
        <v>2026</v>
      </c>
      <c r="K27">
        <v>2027</v>
      </c>
      <c r="L27">
        <v>2028</v>
      </c>
      <c r="M27">
        <v>2029</v>
      </c>
      <c r="N27">
        <v>2030</v>
      </c>
      <c r="O27">
        <v>2031</v>
      </c>
      <c r="P27">
        <v>2032</v>
      </c>
      <c r="Q27">
        <v>2033</v>
      </c>
      <c r="R27">
        <v>2034</v>
      </c>
      <c r="S27">
        <v>2035</v>
      </c>
      <c r="T27">
        <v>2036</v>
      </c>
      <c r="U27">
        <v>2037</v>
      </c>
      <c r="V27">
        <v>2038</v>
      </c>
      <c r="W27">
        <v>2039</v>
      </c>
      <c r="X27">
        <v>2040</v>
      </c>
      <c r="Y27">
        <v>2041</v>
      </c>
      <c r="Z27">
        <v>2042</v>
      </c>
      <c r="AA27">
        <v>2043</v>
      </c>
      <c r="AB27">
        <v>2044</v>
      </c>
      <c r="AC27">
        <v>2045</v>
      </c>
      <c r="AD27">
        <v>2046</v>
      </c>
      <c r="AE27">
        <v>2047</v>
      </c>
      <c r="AF27">
        <v>2048</v>
      </c>
      <c r="AG27">
        <v>2049</v>
      </c>
      <c r="AH27">
        <v>2050</v>
      </c>
      <c r="AI27">
        <v>2051</v>
      </c>
      <c r="AJ27">
        <v>2052</v>
      </c>
      <c r="AK27">
        <v>2053</v>
      </c>
      <c r="AL27">
        <v>2053</v>
      </c>
    </row>
    <row r="28" spans="1:38" x14ac:dyDescent="0.25">
      <c r="A28">
        <v>1.8849</v>
      </c>
      <c r="B28">
        <v>1.8407</v>
      </c>
      <c r="C28">
        <v>1.6941999999999999</v>
      </c>
      <c r="D28">
        <v>1.6261000000000001</v>
      </c>
      <c r="E28">
        <v>1.5336000000000001</v>
      </c>
      <c r="F28">
        <v>1.5214000000000001</v>
      </c>
      <c r="G28">
        <v>1.427</v>
      </c>
      <c r="H28">
        <v>1.4590000000000001</v>
      </c>
      <c r="I28">
        <v>1.5035000000000001</v>
      </c>
      <c r="J28">
        <v>1.5141</v>
      </c>
      <c r="K28">
        <v>1.5571999999999999</v>
      </c>
      <c r="L28">
        <v>1.5865</v>
      </c>
      <c r="M28">
        <v>1.6860999999999999</v>
      </c>
      <c r="N28">
        <v>1.756</v>
      </c>
      <c r="O28">
        <v>1.8322000000000001</v>
      </c>
      <c r="P28">
        <v>1.9444999999999999</v>
      </c>
      <c r="Q28">
        <v>2.0270999999999999</v>
      </c>
      <c r="R28">
        <v>2.1395</v>
      </c>
      <c r="S28">
        <v>2.2105000000000001</v>
      </c>
      <c r="T28">
        <v>2.2238000000000002</v>
      </c>
      <c r="U28">
        <v>2.2730999999999999</v>
      </c>
      <c r="V28">
        <v>2.3744999999999998</v>
      </c>
      <c r="W28">
        <v>2.4832999999999998</v>
      </c>
      <c r="X28">
        <v>2.5283000000000002</v>
      </c>
      <c r="Y28">
        <v>2.5834999999999999</v>
      </c>
      <c r="Z28">
        <v>2.6392000000000002</v>
      </c>
      <c r="AA28">
        <v>2.7126000000000001</v>
      </c>
      <c r="AB28">
        <v>2.7715000000000001</v>
      </c>
      <c r="AC28">
        <v>2.7995999999999999</v>
      </c>
      <c r="AD28">
        <v>2.8041</v>
      </c>
      <c r="AE28">
        <v>2.8216000000000001</v>
      </c>
      <c r="AF28">
        <v>2.8553999999999999</v>
      </c>
      <c r="AG28">
        <v>2.8780000000000001</v>
      </c>
      <c r="AH28">
        <v>2.8927999999999998</v>
      </c>
      <c r="AI28">
        <v>2.9115000000000002</v>
      </c>
      <c r="AJ28">
        <v>2.9298000000000002</v>
      </c>
      <c r="AK28">
        <v>2.9546000000000001</v>
      </c>
      <c r="AL28">
        <v>1.1336971652673369</v>
      </c>
    </row>
    <row r="29" spans="1:38" x14ac:dyDescent="0.25">
      <c r="A29">
        <f>ROUND(A28,4)/100</f>
        <v>1.8849000000000001E-2</v>
      </c>
      <c r="B29">
        <f t="shared" ref="B29:AL29" si="0">ROUND(B28,4)/100</f>
        <v>1.8407E-2</v>
      </c>
      <c r="C29">
        <f t="shared" si="0"/>
        <v>1.6941999999999999E-2</v>
      </c>
      <c r="D29">
        <f t="shared" si="0"/>
        <v>1.6261000000000001E-2</v>
      </c>
      <c r="E29">
        <f t="shared" si="0"/>
        <v>1.5336000000000001E-2</v>
      </c>
      <c r="F29">
        <f t="shared" si="0"/>
        <v>1.5214E-2</v>
      </c>
      <c r="G29">
        <f t="shared" si="0"/>
        <v>1.427E-2</v>
      </c>
      <c r="H29">
        <f t="shared" si="0"/>
        <v>1.4590000000000001E-2</v>
      </c>
      <c r="I29">
        <f t="shared" si="0"/>
        <v>1.5035E-2</v>
      </c>
      <c r="J29">
        <f t="shared" si="0"/>
        <v>1.5141E-2</v>
      </c>
      <c r="K29">
        <f t="shared" si="0"/>
        <v>1.5571999999999999E-2</v>
      </c>
      <c r="L29">
        <f t="shared" si="0"/>
        <v>1.5865000000000001E-2</v>
      </c>
      <c r="M29">
        <f t="shared" si="0"/>
        <v>1.6861000000000001E-2</v>
      </c>
      <c r="N29">
        <f t="shared" si="0"/>
        <v>1.7559999999999999E-2</v>
      </c>
      <c r="O29">
        <f t="shared" si="0"/>
        <v>1.8322000000000001E-2</v>
      </c>
      <c r="P29">
        <f t="shared" si="0"/>
        <v>1.9445E-2</v>
      </c>
      <c r="Q29">
        <f t="shared" si="0"/>
        <v>2.0270999999999997E-2</v>
      </c>
      <c r="R29">
        <f t="shared" si="0"/>
        <v>2.1395000000000001E-2</v>
      </c>
      <c r="S29">
        <f t="shared" si="0"/>
        <v>2.2105E-2</v>
      </c>
      <c r="T29">
        <f t="shared" si="0"/>
        <v>2.2238000000000001E-2</v>
      </c>
      <c r="U29">
        <f t="shared" si="0"/>
        <v>2.2730999999999998E-2</v>
      </c>
      <c r="V29">
        <f t="shared" si="0"/>
        <v>2.3744999999999999E-2</v>
      </c>
      <c r="W29">
        <f t="shared" si="0"/>
        <v>2.4832999999999997E-2</v>
      </c>
      <c r="X29">
        <f t="shared" si="0"/>
        <v>2.5283000000000003E-2</v>
      </c>
      <c r="Y29">
        <f t="shared" si="0"/>
        <v>2.5835E-2</v>
      </c>
      <c r="Z29">
        <f t="shared" si="0"/>
        <v>2.6392000000000002E-2</v>
      </c>
      <c r="AA29">
        <f t="shared" si="0"/>
        <v>2.7126000000000001E-2</v>
      </c>
      <c r="AB29">
        <f t="shared" si="0"/>
        <v>2.7715E-2</v>
      </c>
      <c r="AC29">
        <f t="shared" si="0"/>
        <v>2.7996E-2</v>
      </c>
      <c r="AD29">
        <f t="shared" si="0"/>
        <v>2.8041E-2</v>
      </c>
      <c r="AE29">
        <f t="shared" si="0"/>
        <v>2.8216000000000001E-2</v>
      </c>
      <c r="AF29">
        <f t="shared" si="0"/>
        <v>2.8554E-2</v>
      </c>
      <c r="AG29">
        <f t="shared" si="0"/>
        <v>2.878E-2</v>
      </c>
      <c r="AH29">
        <f t="shared" si="0"/>
        <v>2.8927999999999999E-2</v>
      </c>
      <c r="AI29">
        <f t="shared" si="0"/>
        <v>2.9115000000000002E-2</v>
      </c>
      <c r="AJ29">
        <f t="shared" si="0"/>
        <v>2.9298000000000001E-2</v>
      </c>
      <c r="AK29">
        <f t="shared" si="0"/>
        <v>2.9546000000000003E-2</v>
      </c>
      <c r="AL29">
        <f t="shared" si="0"/>
        <v>1.1337E-2</v>
      </c>
    </row>
    <row r="32" spans="1:38" x14ac:dyDescent="0.25">
      <c r="A32" s="15" t="s">
        <v>101</v>
      </c>
    </row>
    <row r="34" spans="1:38" x14ac:dyDescent="0.25">
      <c r="A34">
        <v>2016</v>
      </c>
      <c r="B34">
        <v>2017</v>
      </c>
      <c r="C34">
        <v>2018</v>
      </c>
      <c r="D34">
        <v>2019</v>
      </c>
      <c r="E34">
        <v>2020</v>
      </c>
      <c r="F34">
        <v>2021</v>
      </c>
      <c r="G34">
        <v>2022</v>
      </c>
      <c r="H34">
        <v>2023</v>
      </c>
      <c r="I34">
        <v>2024</v>
      </c>
      <c r="J34">
        <v>2025</v>
      </c>
      <c r="K34">
        <v>2026</v>
      </c>
      <c r="L34">
        <v>2027</v>
      </c>
      <c r="M34">
        <v>2028</v>
      </c>
      <c r="N34">
        <v>2029</v>
      </c>
      <c r="O34">
        <v>2030</v>
      </c>
      <c r="P34">
        <v>2031</v>
      </c>
      <c r="Q34">
        <v>2032</v>
      </c>
      <c r="R34">
        <v>2033</v>
      </c>
      <c r="S34">
        <v>2034</v>
      </c>
      <c r="T34">
        <v>2035</v>
      </c>
      <c r="U34">
        <v>2036</v>
      </c>
      <c r="V34">
        <v>2037</v>
      </c>
      <c r="W34">
        <v>2038</v>
      </c>
      <c r="X34">
        <v>2039</v>
      </c>
      <c r="Y34">
        <v>2040</v>
      </c>
      <c r="Z34">
        <v>2041</v>
      </c>
      <c r="AA34">
        <v>2042</v>
      </c>
      <c r="AB34">
        <v>2043</v>
      </c>
      <c r="AC34">
        <v>2044</v>
      </c>
      <c r="AD34">
        <v>2045</v>
      </c>
      <c r="AE34">
        <v>2046</v>
      </c>
      <c r="AF34">
        <v>2047</v>
      </c>
      <c r="AG34">
        <v>2048</v>
      </c>
      <c r="AH34">
        <v>2049</v>
      </c>
      <c r="AI34">
        <v>2050</v>
      </c>
      <c r="AJ34">
        <v>2051</v>
      </c>
      <c r="AK34">
        <v>2052</v>
      </c>
      <c r="AL34">
        <v>2053</v>
      </c>
    </row>
    <row r="35" spans="1:38" x14ac:dyDescent="0.25">
      <c r="A35">
        <v>1.8864000000000001</v>
      </c>
      <c r="B35">
        <v>1.8418000000000001</v>
      </c>
      <c r="C35">
        <v>1.6946000000000001</v>
      </c>
      <c r="D35">
        <v>1.6261000000000001</v>
      </c>
      <c r="E35">
        <v>1.5335000000000001</v>
      </c>
      <c r="F35">
        <v>1.5213000000000001</v>
      </c>
      <c r="G35">
        <v>1.4271</v>
      </c>
      <c r="H35">
        <v>1.4591000000000001</v>
      </c>
      <c r="I35">
        <v>1.5037</v>
      </c>
      <c r="J35">
        <v>1.5143</v>
      </c>
      <c r="K35">
        <v>1.5572999999999999</v>
      </c>
      <c r="L35">
        <v>1.5863</v>
      </c>
      <c r="M35">
        <v>1.6859</v>
      </c>
      <c r="N35">
        <v>1.7558</v>
      </c>
      <c r="O35">
        <v>1.8320000000000001</v>
      </c>
      <c r="P35">
        <v>1.9442999999999999</v>
      </c>
      <c r="Q35">
        <v>2.0268999999999999</v>
      </c>
      <c r="R35">
        <v>2.1394000000000002</v>
      </c>
      <c r="S35">
        <v>2.2103999999999999</v>
      </c>
      <c r="T35">
        <v>2.2238000000000002</v>
      </c>
      <c r="U35">
        <v>2.2730999999999999</v>
      </c>
      <c r="V35">
        <v>2.3744999999999998</v>
      </c>
      <c r="W35">
        <v>2.4832000000000001</v>
      </c>
      <c r="X35">
        <v>2.5283000000000002</v>
      </c>
      <c r="Y35">
        <v>2.5834999999999999</v>
      </c>
      <c r="Z35">
        <v>2.6391</v>
      </c>
      <c r="AA35">
        <v>2.7126000000000001</v>
      </c>
      <c r="AB35">
        <v>2.7713999999999999</v>
      </c>
      <c r="AC35">
        <v>2.7995000000000001</v>
      </c>
      <c r="AD35">
        <v>2.8041</v>
      </c>
      <c r="AE35">
        <v>2.8216000000000001</v>
      </c>
      <c r="AF35">
        <v>2.8553999999999999</v>
      </c>
      <c r="AG35">
        <v>2.8778999999999999</v>
      </c>
      <c r="AH35">
        <v>2.8927999999999998</v>
      </c>
      <c r="AI35">
        <v>2.9114</v>
      </c>
      <c r="AJ35">
        <v>2.9298000000000002</v>
      </c>
      <c r="AK35">
        <v>2.9546000000000001</v>
      </c>
      <c r="AL35">
        <v>2.9546000000000001</v>
      </c>
    </row>
    <row r="36" spans="1:38" x14ac:dyDescent="0.25">
      <c r="A36">
        <v>4</v>
      </c>
      <c r="B36">
        <v>4</v>
      </c>
      <c r="C36">
        <v>4</v>
      </c>
      <c r="D36">
        <v>4</v>
      </c>
      <c r="E36">
        <v>4</v>
      </c>
      <c r="F36">
        <v>4</v>
      </c>
      <c r="G36">
        <v>4</v>
      </c>
      <c r="H36">
        <v>4</v>
      </c>
      <c r="I36">
        <v>4</v>
      </c>
      <c r="J36">
        <v>4</v>
      </c>
      <c r="K36">
        <v>4</v>
      </c>
      <c r="L36">
        <v>4</v>
      </c>
      <c r="M36">
        <v>4</v>
      </c>
      <c r="N36">
        <v>4</v>
      </c>
      <c r="O36">
        <v>4</v>
      </c>
      <c r="P36">
        <v>4</v>
      </c>
      <c r="Q36">
        <v>4</v>
      </c>
      <c r="R36">
        <v>4</v>
      </c>
      <c r="S36">
        <v>4</v>
      </c>
      <c r="T36">
        <v>4</v>
      </c>
      <c r="U36">
        <v>4</v>
      </c>
      <c r="V36">
        <v>4</v>
      </c>
      <c r="W36">
        <v>4</v>
      </c>
      <c r="X36">
        <v>4</v>
      </c>
      <c r="Y36">
        <v>4</v>
      </c>
      <c r="Z36">
        <v>4</v>
      </c>
      <c r="AA36">
        <v>4</v>
      </c>
      <c r="AB36">
        <v>4</v>
      </c>
      <c r="AC36">
        <v>4</v>
      </c>
      <c r="AD36">
        <v>4</v>
      </c>
      <c r="AE36">
        <v>4</v>
      </c>
      <c r="AF36">
        <v>4</v>
      </c>
      <c r="AG36">
        <v>4</v>
      </c>
      <c r="AH36">
        <v>4</v>
      </c>
      <c r="AI36">
        <v>4</v>
      </c>
      <c r="AJ36">
        <v>4</v>
      </c>
      <c r="AK36">
        <v>4</v>
      </c>
      <c r="AL36">
        <v>4</v>
      </c>
    </row>
    <row r="37" spans="1:38" x14ac:dyDescent="0.25">
      <c r="A37">
        <v>1.2864</v>
      </c>
      <c r="B37">
        <v>1.2418</v>
      </c>
      <c r="C37">
        <v>1.0946</v>
      </c>
      <c r="D37">
        <v>1.0261</v>
      </c>
      <c r="E37">
        <v>0.9335</v>
      </c>
      <c r="F37">
        <v>0.92130000000000001</v>
      </c>
      <c r="G37">
        <v>0.82709999999999995</v>
      </c>
      <c r="H37">
        <v>0.85909999999999997</v>
      </c>
      <c r="I37">
        <v>0.90369999999999995</v>
      </c>
      <c r="J37">
        <v>0.9143</v>
      </c>
      <c r="K37">
        <v>0.95730000000000004</v>
      </c>
      <c r="L37">
        <v>0.98629999999999995</v>
      </c>
      <c r="M37">
        <v>1.0859000000000001</v>
      </c>
      <c r="N37">
        <v>1.1557999999999999</v>
      </c>
      <c r="O37">
        <v>1.232</v>
      </c>
      <c r="P37">
        <v>1.3443000000000001</v>
      </c>
      <c r="Q37">
        <v>1.4269000000000001</v>
      </c>
      <c r="R37">
        <v>1.5394000000000001</v>
      </c>
      <c r="S37">
        <v>1.6104000000000001</v>
      </c>
      <c r="T37">
        <v>1.6237999999999999</v>
      </c>
      <c r="U37">
        <v>1.6731</v>
      </c>
      <c r="V37">
        <v>1.7745</v>
      </c>
      <c r="W37">
        <v>1.8832</v>
      </c>
      <c r="X37">
        <v>1.9282999999999999</v>
      </c>
      <c r="Y37">
        <v>1.9835</v>
      </c>
      <c r="Z37">
        <v>2.0390999999999999</v>
      </c>
      <c r="AA37">
        <v>2.1126</v>
      </c>
      <c r="AB37">
        <v>2.1714000000000002</v>
      </c>
      <c r="AC37">
        <v>2.1995</v>
      </c>
      <c r="AD37">
        <v>2.2040999999999999</v>
      </c>
      <c r="AE37">
        <v>2.2216</v>
      </c>
      <c r="AF37">
        <v>2.2553999999999998</v>
      </c>
      <c r="AG37">
        <v>2.2778999999999998</v>
      </c>
      <c r="AH37">
        <v>2.2928000000000002</v>
      </c>
      <c r="AI37">
        <v>2.3113999999999999</v>
      </c>
      <c r="AJ37">
        <v>2.3298000000000001</v>
      </c>
      <c r="AK37">
        <v>2.3546</v>
      </c>
      <c r="AL37">
        <v>2.3546</v>
      </c>
    </row>
    <row r="40" spans="1:38" x14ac:dyDescent="0.25">
      <c r="A40" s="15" t="s">
        <v>107</v>
      </c>
    </row>
    <row r="42" spans="1:38" x14ac:dyDescent="0.25">
      <c r="A42" t="s">
        <v>23</v>
      </c>
      <c r="B42" t="s">
        <v>24</v>
      </c>
      <c r="C42" t="s">
        <v>25</v>
      </c>
      <c r="D42" t="s">
        <v>26</v>
      </c>
      <c r="E42" t="s">
        <v>27</v>
      </c>
      <c r="F42" t="s">
        <v>28</v>
      </c>
      <c r="G42" t="s">
        <v>29</v>
      </c>
      <c r="H42" t="s">
        <v>30</v>
      </c>
      <c r="I42" t="s">
        <v>31</v>
      </c>
    </row>
    <row r="43" spans="1:38" x14ac:dyDescent="0.25">
      <c r="A43" s="16">
        <v>0.33510000000000001</v>
      </c>
      <c r="B43" s="24">
        <v>0</v>
      </c>
      <c r="C43" s="28">
        <v>0.27060000000000001</v>
      </c>
      <c r="D43" s="16">
        <v>0.33510000000000001</v>
      </c>
      <c r="E43" s="16">
        <v>1.3115000000000001</v>
      </c>
      <c r="F43" s="16">
        <v>0.27929999999999999</v>
      </c>
      <c r="G43" s="16">
        <v>0.314</v>
      </c>
      <c r="H43" s="24">
        <v>0</v>
      </c>
      <c r="I43" s="16">
        <v>0.27060000000000001</v>
      </c>
    </row>
    <row r="46" spans="1:38" x14ac:dyDescent="0.25">
      <c r="A46" t="s">
        <v>111</v>
      </c>
      <c r="B46" s="24">
        <v>0.67</v>
      </c>
    </row>
    <row r="48" spans="1:38" x14ac:dyDescent="0.25">
      <c r="A48" t="s">
        <v>112</v>
      </c>
      <c r="B48">
        <v>153.715</v>
      </c>
    </row>
    <row r="50" spans="1:2" x14ac:dyDescent="0.25">
      <c r="A50" t="s">
        <v>113</v>
      </c>
      <c r="B50" s="16">
        <v>2.8999999999999998E-3</v>
      </c>
    </row>
    <row r="52" spans="1:2" x14ac:dyDescent="0.25">
      <c r="A52" t="s">
        <v>114</v>
      </c>
      <c r="B52" s="24">
        <v>0.01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137"/>
  <sheetViews>
    <sheetView workbookViewId="0">
      <pane xSplit="1" ySplit="8" topLeftCell="B40" activePane="bottomRight" state="frozen"/>
      <selection pane="topRight" activeCell="B1" sqref="B1"/>
      <selection pane="bottomLeft" activeCell="A9" sqref="A9"/>
      <selection pane="bottomRight" activeCell="H60" sqref="H60:H74"/>
    </sheetView>
  </sheetViews>
  <sheetFormatPr baseColWidth="10" defaultRowHeight="12.75" x14ac:dyDescent="0.2"/>
  <cols>
    <col min="1" max="16384" width="11.42578125" style="22"/>
  </cols>
  <sheetData>
    <row r="1" spans="1:7" x14ac:dyDescent="0.2">
      <c r="A1" s="22" t="s">
        <v>71</v>
      </c>
      <c r="B1" s="23">
        <f>1/(1+'Proj Cash Flows'!K2/100)</f>
        <v>0.96618357487922713</v>
      </c>
    </row>
    <row r="8" spans="1:7" x14ac:dyDescent="0.2">
      <c r="A8" s="22" t="s">
        <v>42</v>
      </c>
      <c r="B8" s="22" t="s">
        <v>69</v>
      </c>
      <c r="C8" s="22" t="s">
        <v>70</v>
      </c>
      <c r="D8" s="22" t="s">
        <v>72</v>
      </c>
      <c r="E8" s="22" t="s">
        <v>73</v>
      </c>
      <c r="F8" s="22" t="s">
        <v>74</v>
      </c>
      <c r="G8" s="22" t="s">
        <v>75</v>
      </c>
    </row>
    <row r="9" spans="1:7" x14ac:dyDescent="0.2">
      <c r="A9" s="22">
        <v>0</v>
      </c>
      <c r="B9" s="22">
        <v>100000</v>
      </c>
      <c r="C9" s="22">
        <f>B9^2/$B$9</f>
        <v>100000</v>
      </c>
      <c r="D9" s="22">
        <f>B9*$B$1^A9</f>
        <v>100000</v>
      </c>
      <c r="E9" s="22">
        <f>SUM(D9:$D$137)</f>
        <v>2698614.4272724255</v>
      </c>
      <c r="F9" s="22">
        <f>(B9-B10)*$B$1^(A9+0.5)</f>
        <v>0</v>
      </c>
      <c r="G9" s="22">
        <f>SUM(F9:$F$137)</f>
        <v>8894.185398408632</v>
      </c>
    </row>
    <row r="10" spans="1:7" x14ac:dyDescent="0.2">
      <c r="A10" s="22">
        <v>1</v>
      </c>
      <c r="B10" s="22">
        <v>100000</v>
      </c>
      <c r="C10" s="22">
        <f t="shared" ref="C10:C73" si="0">B10^2/$B$9</f>
        <v>100000</v>
      </c>
      <c r="D10" s="22">
        <f t="shared" ref="D10:D73" si="1">B10*$B$1^A10</f>
        <v>96618.357487922709</v>
      </c>
      <c r="E10" s="22">
        <f>SUM(D10:$D$137)</f>
        <v>2598614.4272724264</v>
      </c>
      <c r="F10" s="22">
        <f t="shared" ref="F10:F73" si="2">(B10-B11)*$B$1^(A10+0.5)</f>
        <v>0</v>
      </c>
      <c r="G10" s="22">
        <f>SUM(F10:$F$137)</f>
        <v>8894.185398408632</v>
      </c>
    </row>
    <row r="11" spans="1:7" x14ac:dyDescent="0.2">
      <c r="A11" s="22">
        <v>2</v>
      </c>
      <c r="B11" s="22">
        <v>100000</v>
      </c>
      <c r="C11" s="22">
        <f t="shared" si="0"/>
        <v>100000</v>
      </c>
      <c r="D11" s="22">
        <f t="shared" si="1"/>
        <v>93351.070036640303</v>
      </c>
      <c r="E11" s="22">
        <f>SUM(D11:$D$137)</f>
        <v>2501996.069784503</v>
      </c>
      <c r="F11" s="22">
        <f t="shared" si="2"/>
        <v>0</v>
      </c>
      <c r="G11" s="22">
        <f>SUM(F11:$F$137)</f>
        <v>8894.185398408632</v>
      </c>
    </row>
    <row r="12" spans="1:7" x14ac:dyDescent="0.2">
      <c r="A12" s="22">
        <v>3</v>
      </c>
      <c r="B12" s="22">
        <v>100000</v>
      </c>
      <c r="C12" s="22">
        <f t="shared" si="0"/>
        <v>100000</v>
      </c>
      <c r="D12" s="22">
        <f t="shared" si="1"/>
        <v>90194.270566802239</v>
      </c>
      <c r="E12" s="22">
        <f>SUM(D12:$D$137)</f>
        <v>2408644.9997478626</v>
      </c>
      <c r="F12" s="22">
        <f t="shared" si="2"/>
        <v>0</v>
      </c>
      <c r="G12" s="22">
        <f>SUM(F12:$F$137)</f>
        <v>8894.185398408632</v>
      </c>
    </row>
    <row r="13" spans="1:7" x14ac:dyDescent="0.2">
      <c r="A13" s="22">
        <v>4</v>
      </c>
      <c r="B13" s="22">
        <v>100000</v>
      </c>
      <c r="C13" s="22">
        <f t="shared" si="0"/>
        <v>100000</v>
      </c>
      <c r="D13" s="22">
        <f t="shared" si="1"/>
        <v>87144.222769857239</v>
      </c>
      <c r="E13" s="22">
        <f>SUM(D13:$D$137)</f>
        <v>2318450.7291810601</v>
      </c>
      <c r="F13" s="22">
        <f t="shared" si="2"/>
        <v>0</v>
      </c>
      <c r="G13" s="22">
        <f>SUM(F13:$F$137)</f>
        <v>8894.185398408632</v>
      </c>
    </row>
    <row r="14" spans="1:7" x14ac:dyDescent="0.2">
      <c r="A14" s="22">
        <v>5</v>
      </c>
      <c r="B14" s="22">
        <v>100000</v>
      </c>
      <c r="C14" s="22">
        <f t="shared" si="0"/>
        <v>100000</v>
      </c>
      <c r="D14" s="22">
        <f t="shared" si="1"/>
        <v>84197.316685852405</v>
      </c>
      <c r="E14" s="22">
        <f>SUM(D14:$D$137)</f>
        <v>2231306.5064112027</v>
      </c>
      <c r="F14" s="22">
        <f t="shared" si="2"/>
        <v>0</v>
      </c>
      <c r="G14" s="22">
        <f>SUM(F14:$F$137)</f>
        <v>8894.185398408632</v>
      </c>
    </row>
    <row r="15" spans="1:7" x14ac:dyDescent="0.2">
      <c r="A15" s="22">
        <v>6</v>
      </c>
      <c r="B15" s="22">
        <v>100000</v>
      </c>
      <c r="C15" s="22">
        <f t="shared" si="0"/>
        <v>100000</v>
      </c>
      <c r="D15" s="22">
        <f t="shared" si="1"/>
        <v>81350.064430775281</v>
      </c>
      <c r="E15" s="22">
        <f>SUM(D15:$D$137)</f>
        <v>2147109.1897253501</v>
      </c>
      <c r="F15" s="22">
        <f t="shared" si="2"/>
        <v>0</v>
      </c>
      <c r="G15" s="22">
        <f>SUM(F15:$F$137)</f>
        <v>8894.185398408632</v>
      </c>
    </row>
    <row r="16" spans="1:7" x14ac:dyDescent="0.2">
      <c r="A16" s="22">
        <v>7</v>
      </c>
      <c r="B16" s="22">
        <v>100000</v>
      </c>
      <c r="C16" s="22">
        <f t="shared" si="0"/>
        <v>100000</v>
      </c>
      <c r="D16" s="22">
        <f t="shared" si="1"/>
        <v>78599.096068381928</v>
      </c>
      <c r="E16" s="22">
        <f>SUM(D16:$D$137)</f>
        <v>2065759.1252945755</v>
      </c>
      <c r="F16" s="22">
        <f t="shared" si="2"/>
        <v>0</v>
      </c>
      <c r="G16" s="22">
        <f>SUM(F16:$F$137)</f>
        <v>8894.185398408632</v>
      </c>
    </row>
    <row r="17" spans="1:7" x14ac:dyDescent="0.2">
      <c r="A17" s="22">
        <v>8</v>
      </c>
      <c r="B17" s="22">
        <v>100000</v>
      </c>
      <c r="C17" s="22">
        <f t="shared" si="0"/>
        <v>100000</v>
      </c>
      <c r="D17" s="22">
        <f t="shared" si="1"/>
        <v>75941.155621625046</v>
      </c>
      <c r="E17" s="22">
        <f>SUM(D17:$D$137)</f>
        <v>1987160.0292261937</v>
      </c>
      <c r="F17" s="22">
        <f t="shared" si="2"/>
        <v>0</v>
      </c>
      <c r="G17" s="22">
        <f>SUM(F17:$F$137)</f>
        <v>8894.185398408632</v>
      </c>
    </row>
    <row r="18" spans="1:7" x14ac:dyDescent="0.2">
      <c r="A18" s="22">
        <v>9</v>
      </c>
      <c r="B18" s="22">
        <v>100000</v>
      </c>
      <c r="C18" s="22">
        <f t="shared" si="0"/>
        <v>100000</v>
      </c>
      <c r="D18" s="22">
        <f t="shared" si="1"/>
        <v>73373.097218961397</v>
      </c>
      <c r="E18" s="22">
        <f>SUM(D18:$D$137)</f>
        <v>1911218.8736045684</v>
      </c>
      <c r="F18" s="22">
        <f t="shared" si="2"/>
        <v>0</v>
      </c>
      <c r="G18" s="22">
        <f>SUM(F18:$F$137)</f>
        <v>8894.185398408632</v>
      </c>
    </row>
    <row r="19" spans="1:7" x14ac:dyDescent="0.2">
      <c r="A19" s="22">
        <v>10</v>
      </c>
      <c r="B19" s="22">
        <v>100000</v>
      </c>
      <c r="C19" s="22">
        <f t="shared" si="0"/>
        <v>100000</v>
      </c>
      <c r="D19" s="22">
        <f t="shared" si="1"/>
        <v>70891.881370977208</v>
      </c>
      <c r="E19" s="22">
        <f>SUM(D19:$D$137)</f>
        <v>1837845.7763856072</v>
      </c>
      <c r="F19" s="22">
        <f t="shared" si="2"/>
        <v>0</v>
      </c>
      <c r="G19" s="22">
        <f>SUM(F19:$F$137)</f>
        <v>8894.185398408632</v>
      </c>
    </row>
    <row r="20" spans="1:7" x14ac:dyDescent="0.2">
      <c r="A20" s="22">
        <v>11</v>
      </c>
      <c r="B20" s="22">
        <v>100000</v>
      </c>
      <c r="C20" s="22">
        <f t="shared" si="0"/>
        <v>100000</v>
      </c>
      <c r="D20" s="22">
        <f t="shared" si="1"/>
        <v>68494.571372924838</v>
      </c>
      <c r="E20" s="22">
        <f>SUM(D20:$D$137)</f>
        <v>1766953.8950146299</v>
      </c>
      <c r="F20" s="22">
        <f t="shared" si="2"/>
        <v>0</v>
      </c>
      <c r="G20" s="22">
        <f>SUM(F20:$F$137)</f>
        <v>8894.185398408632</v>
      </c>
    </row>
    <row r="21" spans="1:7" x14ac:dyDescent="0.2">
      <c r="A21" s="22">
        <v>12</v>
      </c>
      <c r="B21" s="22">
        <v>100000</v>
      </c>
      <c r="C21" s="22">
        <f t="shared" si="0"/>
        <v>100000</v>
      </c>
      <c r="D21" s="22">
        <f t="shared" si="1"/>
        <v>66178.329828912902</v>
      </c>
      <c r="E21" s="22">
        <f>SUM(D21:$D$137)</f>
        <v>1698459.3236417051</v>
      </c>
      <c r="F21" s="22">
        <f t="shared" si="2"/>
        <v>0</v>
      </c>
      <c r="G21" s="22">
        <f>SUM(F21:$F$137)</f>
        <v>8894.185398408632</v>
      </c>
    </row>
    <row r="22" spans="1:7" x14ac:dyDescent="0.2">
      <c r="A22" s="22">
        <v>13</v>
      </c>
      <c r="B22" s="22">
        <v>100000</v>
      </c>
      <c r="C22" s="22">
        <f t="shared" si="0"/>
        <v>100000</v>
      </c>
      <c r="D22" s="22">
        <f t="shared" si="1"/>
        <v>63940.41529363564</v>
      </c>
      <c r="E22" s="22">
        <f>SUM(D22:$D$137)</f>
        <v>1632280.9938127922</v>
      </c>
      <c r="F22" s="22">
        <f t="shared" si="2"/>
        <v>0</v>
      </c>
      <c r="G22" s="22">
        <f>SUM(F22:$F$137)</f>
        <v>8894.185398408632</v>
      </c>
    </row>
    <row r="23" spans="1:7" x14ac:dyDescent="0.2">
      <c r="A23" s="22">
        <v>14</v>
      </c>
      <c r="B23" s="22">
        <v>100000</v>
      </c>
      <c r="C23" s="22">
        <f t="shared" si="0"/>
        <v>100000</v>
      </c>
      <c r="D23" s="22">
        <f t="shared" si="1"/>
        <v>61778.179027667298</v>
      </c>
      <c r="E23" s="22">
        <f>SUM(D23:$D$137)</f>
        <v>1568340.5785191564</v>
      </c>
      <c r="F23" s="22">
        <f t="shared" si="2"/>
        <v>0</v>
      </c>
      <c r="G23" s="22">
        <f>SUM(F23:$F$137)</f>
        <v>8894.185398408632</v>
      </c>
    </row>
    <row r="24" spans="1:7" x14ac:dyDescent="0.2">
      <c r="A24" s="22">
        <v>15</v>
      </c>
      <c r="B24" s="22">
        <v>100000</v>
      </c>
      <c r="C24" s="22">
        <f t="shared" si="0"/>
        <v>100000</v>
      </c>
      <c r="D24" s="22">
        <f t="shared" si="1"/>
        <v>59689.061862480485</v>
      </c>
      <c r="E24" s="22">
        <f>SUM(D24:$D$137)</f>
        <v>1506562.3994914894</v>
      </c>
      <c r="F24" s="22">
        <f t="shared" si="2"/>
        <v>92.612405455893324</v>
      </c>
      <c r="G24" s="22">
        <f>SUM(F24:$F$137)</f>
        <v>8894.185398408632</v>
      </c>
    </row>
    <row r="25" spans="1:7" x14ac:dyDescent="0.2">
      <c r="A25" s="22">
        <v>16</v>
      </c>
      <c r="B25" s="22">
        <v>99842.15</v>
      </c>
      <c r="C25" s="22">
        <f t="shared" si="0"/>
        <v>99684.549166224999</v>
      </c>
      <c r="D25" s="22">
        <f t="shared" si="1"/>
        <v>57579.558143314556</v>
      </c>
      <c r="E25" s="22">
        <f>SUM(D25:$D$137)</f>
        <v>1446873.3376290088</v>
      </c>
      <c r="F25" s="22">
        <f t="shared" si="2"/>
        <v>90.279873070376809</v>
      </c>
      <c r="G25" s="22">
        <f>SUM(F25:$F$137)</f>
        <v>8801.5729929527388</v>
      </c>
    </row>
    <row r="26" spans="1:7" x14ac:dyDescent="0.2">
      <c r="A26" s="22">
        <v>17</v>
      </c>
      <c r="B26" s="22">
        <v>99682.89</v>
      </c>
      <c r="C26" s="22">
        <f t="shared" si="0"/>
        <v>99366.785587520993</v>
      </c>
      <c r="D26" s="22">
        <f t="shared" si="1"/>
        <v>55543.68305296122</v>
      </c>
      <c r="E26" s="22">
        <f>SUM(D26:$D$137)</f>
        <v>1389293.7794856944</v>
      </c>
      <c r="F26" s="22">
        <f t="shared" si="2"/>
        <v>87.385763918869685</v>
      </c>
      <c r="G26" s="22">
        <f>SUM(F26:$F$137)</f>
        <v>8711.2931198823608</v>
      </c>
    </row>
    <row r="27" spans="1:7" x14ac:dyDescent="0.2">
      <c r="A27" s="22">
        <v>18</v>
      </c>
      <c r="B27" s="22">
        <v>99523.34</v>
      </c>
      <c r="C27" s="22">
        <f t="shared" si="0"/>
        <v>99048.952047555998</v>
      </c>
      <c r="D27" s="22">
        <f t="shared" si="1"/>
        <v>53579.498734253561</v>
      </c>
      <c r="E27" s="22">
        <f>SUM(D27:$D$137)</f>
        <v>1333750.0964327331</v>
      </c>
      <c r="F27" s="22">
        <f t="shared" si="2"/>
        <v>84.002053871200616</v>
      </c>
      <c r="G27" s="22">
        <f>SUM(F27:$F$137)</f>
        <v>8623.9073559634908</v>
      </c>
    </row>
    <row r="28" spans="1:7" x14ac:dyDescent="0.2">
      <c r="A28" s="22">
        <v>19</v>
      </c>
      <c r="B28" s="22">
        <v>99364.6</v>
      </c>
      <c r="C28" s="22">
        <f t="shared" si="0"/>
        <v>98733.237331600016</v>
      </c>
      <c r="D28" s="22">
        <f t="shared" si="1"/>
        <v>51685.062113006141</v>
      </c>
      <c r="E28" s="22">
        <f>SUM(D28:$D$137)</f>
        <v>1280170.5976984797</v>
      </c>
      <c r="F28" s="22">
        <f t="shared" si="2"/>
        <v>80.195075773035583</v>
      </c>
      <c r="G28" s="22">
        <f>SUM(F28:$F$137)</f>
        <v>8539.9053020922893</v>
      </c>
    </row>
    <row r="29" spans="1:7" x14ac:dyDescent="0.2">
      <c r="A29" s="22">
        <v>20</v>
      </c>
      <c r="B29" s="22">
        <v>99207.75</v>
      </c>
      <c r="C29" s="22">
        <f t="shared" si="0"/>
        <v>98421.776600625002</v>
      </c>
      <c r="D29" s="22">
        <f t="shared" si="1"/>
        <v>49858.430621226056</v>
      </c>
      <c r="E29" s="22">
        <f>SUM(D29:$D$137)</f>
        <v>1228485.5355854735</v>
      </c>
      <c r="F29" s="22">
        <f t="shared" si="2"/>
        <v>75.976479290455046</v>
      </c>
      <c r="G29" s="22">
        <f>SUM(F29:$F$137)</f>
        <v>8459.7102263192555</v>
      </c>
    </row>
    <row r="30" spans="1:7" x14ac:dyDescent="0.2">
      <c r="A30" s="22">
        <v>21</v>
      </c>
      <c r="B30" s="22">
        <v>99053.95</v>
      </c>
      <c r="C30" s="22">
        <f t="shared" si="0"/>
        <v>98116.850106024984</v>
      </c>
      <c r="D30" s="22">
        <f t="shared" si="1"/>
        <v>48097.715930628474</v>
      </c>
      <c r="E30" s="22">
        <f>SUM(D30:$D$137)</f>
        <v>1178627.1049642474</v>
      </c>
      <c r="F30" s="22">
        <f t="shared" si="2"/>
        <v>71.359651587891435</v>
      </c>
      <c r="G30" s="22">
        <f>SUM(F30:$F$137)</f>
        <v>8383.7337470288003</v>
      </c>
    </row>
    <row r="31" spans="1:7" x14ac:dyDescent="0.2">
      <c r="A31" s="22">
        <v>22</v>
      </c>
      <c r="B31" s="22">
        <v>98904.44</v>
      </c>
      <c r="C31" s="22">
        <f t="shared" si="0"/>
        <v>97820.882517136008</v>
      </c>
      <c r="D31" s="22">
        <f t="shared" si="1"/>
        <v>46401.080410575836</v>
      </c>
      <c r="E31" s="22">
        <f>SUM(D31:$D$137)</f>
        <v>1130529.3890336191</v>
      </c>
      <c r="F31" s="22">
        <f t="shared" si="2"/>
        <v>66.788341687352954</v>
      </c>
      <c r="G31" s="22">
        <f>SUM(F31:$F$137)</f>
        <v>8312.3740954409077</v>
      </c>
    </row>
    <row r="32" spans="1:7" x14ac:dyDescent="0.2">
      <c r="A32" s="22">
        <v>23</v>
      </c>
      <c r="B32" s="22">
        <v>98759.61</v>
      </c>
      <c r="C32" s="22">
        <f t="shared" si="0"/>
        <v>97534.605673521</v>
      </c>
      <c r="D32" s="22">
        <f t="shared" si="1"/>
        <v>44766.312391037143</v>
      </c>
      <c r="E32" s="22">
        <f>SUM(D32:$D$137)</f>
        <v>1084128.3086230431</v>
      </c>
      <c r="F32" s="22">
        <f t="shared" si="2"/>
        <v>62.649554648002272</v>
      </c>
      <c r="G32" s="22">
        <f>SUM(F32:$F$137)</f>
        <v>8245.5857537535558</v>
      </c>
    </row>
    <row r="33" spans="1:7" x14ac:dyDescent="0.2">
      <c r="A33" s="22">
        <v>24</v>
      </c>
      <c r="B33" s="22">
        <v>98619</v>
      </c>
      <c r="C33" s="22">
        <f t="shared" si="0"/>
        <v>97257.071609999999</v>
      </c>
      <c r="D33" s="22">
        <f t="shared" si="1"/>
        <v>43190.8945875356</v>
      </c>
      <c r="E33" s="22">
        <f>SUM(D33:$D$137)</f>
        <v>1039361.9962320061</v>
      </c>
      <c r="F33" s="22">
        <f t="shared" si="2"/>
        <v>58.925249028603169</v>
      </c>
      <c r="G33" s="22">
        <f>SUM(F33:$F$137)</f>
        <v>8182.9361991055584</v>
      </c>
    </row>
    <row r="34" spans="1:7" x14ac:dyDescent="0.2">
      <c r="A34" s="22">
        <v>25</v>
      </c>
      <c r="B34" s="22">
        <v>98482.12</v>
      </c>
      <c r="C34" s="22">
        <f t="shared" si="0"/>
        <v>96987.27959694399</v>
      </c>
      <c r="D34" s="22">
        <f t="shared" si="1"/>
        <v>41672.412574925736</v>
      </c>
      <c r="E34" s="22">
        <f>SUM(D34:$D$137)</f>
        <v>996171.10164447047</v>
      </c>
      <c r="F34" s="22">
        <f t="shared" si="2"/>
        <v>55.601629200533864</v>
      </c>
      <c r="G34" s="22">
        <f>SUM(F34:$F$137)</f>
        <v>8124.0109500769549</v>
      </c>
    </row>
    <row r="35" spans="1:7" x14ac:dyDescent="0.2">
      <c r="A35" s="22">
        <v>26</v>
      </c>
      <c r="B35" s="22">
        <v>98348.44</v>
      </c>
      <c r="C35" s="22">
        <f t="shared" si="0"/>
        <v>96724.156504336017</v>
      </c>
      <c r="D35" s="22">
        <f t="shared" si="1"/>
        <v>40208.547135652298</v>
      </c>
      <c r="E35" s="22">
        <f>SUM(D35:$D$137)</f>
        <v>954498.68906954478</v>
      </c>
      <c r="F35" s="22">
        <f t="shared" si="2"/>
        <v>52.664474588754061</v>
      </c>
      <c r="G35" s="22">
        <f>SUM(F35:$F$137)</f>
        <v>8068.4093208764216</v>
      </c>
    </row>
    <row r="36" spans="1:7" x14ac:dyDescent="0.2">
      <c r="A36" s="22">
        <v>27</v>
      </c>
      <c r="B36" s="22">
        <v>98217.39</v>
      </c>
      <c r="C36" s="22">
        <f t="shared" si="0"/>
        <v>96466.556984120994</v>
      </c>
      <c r="D36" s="22">
        <f t="shared" si="1"/>
        <v>38797.071457869541</v>
      </c>
      <c r="E36" s="22">
        <f>SUM(D36:$D$137)</f>
        <v>914290.1419338925</v>
      </c>
      <c r="F36" s="22">
        <f t="shared" si="2"/>
        <v>50.099233107448569</v>
      </c>
      <c r="G36" s="22">
        <f>SUM(F36:$F$137)</f>
        <v>8015.7448462876673</v>
      </c>
    </row>
    <row r="37" spans="1:7" x14ac:dyDescent="0.2">
      <c r="A37" s="22">
        <v>28</v>
      </c>
      <c r="B37" s="22">
        <v>98088.36</v>
      </c>
      <c r="C37" s="22">
        <f t="shared" si="0"/>
        <v>96213.263674895992</v>
      </c>
      <c r="D37" s="22">
        <f t="shared" si="1"/>
        <v>37435.848336467738</v>
      </c>
      <c r="E37" s="22">
        <f>SUM(D37:$D$137)</f>
        <v>875493.07047602313</v>
      </c>
      <c r="F37" s="22">
        <f t="shared" si="2"/>
        <v>47.902360837256381</v>
      </c>
      <c r="G37" s="22">
        <f>SUM(F37:$F$137)</f>
        <v>7965.6456131802188</v>
      </c>
    </row>
    <row r="38" spans="1:7" x14ac:dyDescent="0.2">
      <c r="A38" s="22">
        <v>29</v>
      </c>
      <c r="B38" s="22">
        <v>97960.67</v>
      </c>
      <c r="C38" s="22">
        <f t="shared" si="0"/>
        <v>95962.928668488996</v>
      </c>
      <c r="D38" s="22">
        <f t="shared" si="1"/>
        <v>36122.816322456405</v>
      </c>
      <c r="E38" s="22">
        <f>SUM(D38:$D$137)</f>
        <v>838057.22213955526</v>
      </c>
      <c r="F38" s="22">
        <f t="shared" si="2"/>
        <v>46.046875458601498</v>
      </c>
      <c r="G38" s="22">
        <f>SUM(F38:$F$137)</f>
        <v>7917.7432523429625</v>
      </c>
    </row>
    <row r="39" spans="1:7" x14ac:dyDescent="0.2">
      <c r="A39" s="22">
        <v>30</v>
      </c>
      <c r="B39" s="22">
        <v>97833.63</v>
      </c>
      <c r="C39" s="22">
        <f t="shared" si="0"/>
        <v>95714.191589769005</v>
      </c>
      <c r="D39" s="22">
        <f t="shared" si="1"/>
        <v>34856.010199853714</v>
      </c>
      <c r="E39" s="22">
        <f>SUM(D39:$D$137)</f>
        <v>801934.4058170988</v>
      </c>
      <c r="F39" s="22">
        <f t="shared" si="2"/>
        <v>44.521252974090991</v>
      </c>
      <c r="G39" s="22">
        <f>SUM(F39:$F$137)</f>
        <v>7871.6963768843616</v>
      </c>
    </row>
    <row r="40" spans="1:7" x14ac:dyDescent="0.2">
      <c r="A40" s="22">
        <v>31</v>
      </c>
      <c r="B40" s="22">
        <v>97706.5</v>
      </c>
      <c r="C40" s="22">
        <f t="shared" si="0"/>
        <v>95465.601422499996</v>
      </c>
      <c r="D40" s="22">
        <f t="shared" si="1"/>
        <v>33633.542536728353</v>
      </c>
      <c r="E40" s="22">
        <f>SUM(D40:$D$137)</f>
        <v>767078.39561724511</v>
      </c>
      <c r="F40" s="22">
        <f t="shared" si="2"/>
        <v>43.320227332230651</v>
      </c>
      <c r="G40" s="22">
        <f>SUM(F40:$F$137)</f>
        <v>7827.1751239102705</v>
      </c>
    </row>
    <row r="41" spans="1:7" x14ac:dyDescent="0.2">
      <c r="A41" s="22">
        <v>32</v>
      </c>
      <c r="B41" s="22">
        <v>97578.47</v>
      </c>
      <c r="C41" s="22">
        <f t="shared" si="0"/>
        <v>95215.578075408994</v>
      </c>
      <c r="D41" s="22">
        <f t="shared" si="1"/>
        <v>32453.594903595826</v>
      </c>
      <c r="E41" s="22">
        <f>SUM(D41:$D$137)</f>
        <v>733444.8530805168</v>
      </c>
      <c r="F41" s="22">
        <f t="shared" si="2"/>
        <v>42.424129164351193</v>
      </c>
      <c r="G41" s="22">
        <f>SUM(F41:$F$137)</f>
        <v>7783.8548965780401</v>
      </c>
    </row>
    <row r="42" spans="1:7" x14ac:dyDescent="0.2">
      <c r="A42" s="22">
        <v>33</v>
      </c>
      <c r="B42" s="22">
        <v>97448.7</v>
      </c>
      <c r="C42" s="22">
        <f t="shared" si="0"/>
        <v>94962.491316899992</v>
      </c>
      <c r="D42" s="22">
        <f t="shared" si="1"/>
        <v>31314.42969769075</v>
      </c>
      <c r="E42" s="22">
        <f>SUM(D42:$D$137)</f>
        <v>700991.25817692082</v>
      </c>
      <c r="F42" s="22">
        <f t="shared" si="2"/>
        <v>41.817056934012605</v>
      </c>
      <c r="G42" s="22">
        <f>SUM(F42:$F$137)</f>
        <v>7741.430767413689</v>
      </c>
    </row>
    <row r="43" spans="1:7" x14ac:dyDescent="0.2">
      <c r="A43" s="22">
        <v>34</v>
      </c>
      <c r="B43" s="22">
        <v>97316.31</v>
      </c>
      <c r="C43" s="22">
        <f t="shared" si="0"/>
        <v>94704.641920160997</v>
      </c>
      <c r="D43" s="22">
        <f t="shared" si="1"/>
        <v>30214.383706119137</v>
      </c>
      <c r="E43" s="22">
        <f>SUM(D43:$D$137)</f>
        <v>669676.82847923005</v>
      </c>
      <c r="F43" s="22">
        <f t="shared" si="2"/>
        <v>41.489399021109989</v>
      </c>
      <c r="G43" s="22">
        <f>SUM(F43:$F$137)</f>
        <v>7699.6137104796762</v>
      </c>
    </row>
    <row r="44" spans="1:7" x14ac:dyDescent="0.2">
      <c r="A44" s="22">
        <v>35</v>
      </c>
      <c r="B44" s="22">
        <v>97180.36</v>
      </c>
      <c r="C44" s="22">
        <f t="shared" si="0"/>
        <v>94440.223697296009</v>
      </c>
      <c r="D44" s="22">
        <f t="shared" si="1"/>
        <v>29151.859407608437</v>
      </c>
      <c r="E44" s="22">
        <f>SUM(D44:$D$137)</f>
        <v>639462.44477311091</v>
      </c>
      <c r="F44" s="22">
        <f t="shared" si="2"/>
        <v>41.416199736017617</v>
      </c>
      <c r="G44" s="22">
        <f>SUM(F44:$F$137)</f>
        <v>7658.1243114585659</v>
      </c>
    </row>
    <row r="45" spans="1:7" x14ac:dyDescent="0.2">
      <c r="A45" s="22">
        <v>36</v>
      </c>
      <c r="B45" s="22">
        <v>97039.9</v>
      </c>
      <c r="C45" s="22">
        <f t="shared" si="0"/>
        <v>94167.42192009998</v>
      </c>
      <c r="D45" s="22">
        <f t="shared" si="1"/>
        <v>28125.337833449212</v>
      </c>
      <c r="E45" s="22">
        <f>SUM(D45:$D$137)</f>
        <v>610310.5853655024</v>
      </c>
      <c r="F45" s="22">
        <f t="shared" si="2"/>
        <v>41.593942618204061</v>
      </c>
      <c r="G45" s="22">
        <f>SUM(F45:$F$137)</f>
        <v>7616.7081117225489</v>
      </c>
    </row>
    <row r="46" spans="1:7" x14ac:dyDescent="0.2">
      <c r="A46" s="22">
        <v>37</v>
      </c>
      <c r="B46" s="22">
        <v>96893.9</v>
      </c>
      <c r="C46" s="22">
        <f t="shared" si="0"/>
        <v>93884.278572099996</v>
      </c>
      <c r="D46" s="22">
        <f t="shared" si="1"/>
        <v>27133.354837515784</v>
      </c>
      <c r="E46" s="22">
        <f>SUM(D46:$D$137)</f>
        <v>582185.24753205327</v>
      </c>
      <c r="F46" s="22">
        <f t="shared" si="2"/>
        <v>42.017836944402141</v>
      </c>
      <c r="G46" s="22">
        <f>SUM(F46:$F$137)</f>
        <v>7575.1141691043449</v>
      </c>
    </row>
    <row r="47" spans="1:7" x14ac:dyDescent="0.2">
      <c r="A47" s="22">
        <v>38</v>
      </c>
      <c r="B47" s="22">
        <v>96741.25</v>
      </c>
      <c r="C47" s="22">
        <f t="shared" si="0"/>
        <v>93588.694515625</v>
      </c>
      <c r="D47" s="22">
        <f t="shared" si="1"/>
        <v>26174.500494894372</v>
      </c>
      <c r="E47" s="22">
        <f>SUM(D47:$D$137)</f>
        <v>555051.89269453764</v>
      </c>
      <c r="F47" s="22">
        <f t="shared" si="2"/>
        <v>42.684634766954829</v>
      </c>
      <c r="G47" s="22">
        <f>SUM(F47:$F$137)</f>
        <v>7533.096332159942</v>
      </c>
    </row>
    <row r="48" spans="1:7" x14ac:dyDescent="0.2">
      <c r="A48" s="22">
        <v>39</v>
      </c>
      <c r="B48" s="22">
        <v>96580.75</v>
      </c>
      <c r="C48" s="22">
        <f t="shared" si="0"/>
        <v>93278.412705625</v>
      </c>
      <c r="D48" s="22">
        <f t="shared" si="1"/>
        <v>25247.415751849832</v>
      </c>
      <c r="E48" s="22">
        <f>SUM(D48:$D$137)</f>
        <v>528877.39219964307</v>
      </c>
      <c r="F48" s="22">
        <f t="shared" si="2"/>
        <v>43.59232644491783</v>
      </c>
      <c r="G48" s="22">
        <f>SUM(F48:$F$137)</f>
        <v>7490.4116973929877</v>
      </c>
    </row>
    <row r="49" spans="1:7" x14ac:dyDescent="0.2">
      <c r="A49" s="22">
        <v>40</v>
      </c>
      <c r="B49" s="22">
        <v>96411.1</v>
      </c>
      <c r="C49" s="22">
        <f t="shared" si="0"/>
        <v>92951.002032100005</v>
      </c>
      <c r="D49" s="22">
        <f t="shared" si="1"/>
        <v>24350.789488355163</v>
      </c>
      <c r="E49" s="22">
        <f>SUM(D49:$D$137)</f>
        <v>503629.97644779301</v>
      </c>
      <c r="F49" s="22">
        <f t="shared" si="2"/>
        <v>44.744835531910788</v>
      </c>
      <c r="G49" s="22">
        <f>SUM(F49:$F$137)</f>
        <v>7446.8193709480693</v>
      </c>
    </row>
    <row r="50" spans="1:7" x14ac:dyDescent="0.2">
      <c r="A50" s="22">
        <v>41</v>
      </c>
      <c r="B50" s="22">
        <v>96230.87</v>
      </c>
      <c r="C50" s="22">
        <f t="shared" si="0"/>
        <v>92603.803409568995</v>
      </c>
      <c r="D50" s="22">
        <f t="shared" si="1"/>
        <v>23483.351065132807</v>
      </c>
      <c r="E50" s="22">
        <f>SUM(D50:$D$137)</f>
        <v>479279.18695943797</v>
      </c>
      <c r="F50" s="22">
        <f t="shared" si="2"/>
        <v>46.126953041405883</v>
      </c>
      <c r="G50" s="22">
        <f>SUM(F50:$F$137)</f>
        <v>7402.0745354161581</v>
      </c>
    </row>
    <row r="51" spans="1:7" x14ac:dyDescent="0.2">
      <c r="A51" s="22">
        <v>42</v>
      </c>
      <c r="B51" s="22">
        <v>96038.57</v>
      </c>
      <c r="C51" s="22">
        <f t="shared" si="0"/>
        <v>92234.069276449009</v>
      </c>
      <c r="D51" s="22">
        <f t="shared" si="1"/>
        <v>22643.887761001322</v>
      </c>
      <c r="E51" s="22">
        <f>SUM(D51:$D$137)</f>
        <v>455795.8358943052</v>
      </c>
      <c r="F51" s="22">
        <f t="shared" si="2"/>
        <v>47.730603997270052</v>
      </c>
      <c r="G51" s="22">
        <f>SUM(F51:$F$137)</f>
        <v>7355.9475823747525</v>
      </c>
    </row>
    <row r="52" spans="1:7" x14ac:dyDescent="0.2">
      <c r="A52" s="22">
        <v>43</v>
      </c>
      <c r="B52" s="22">
        <v>95832.62</v>
      </c>
      <c r="C52" s="22">
        <f t="shared" si="0"/>
        <v>91838.910560643999</v>
      </c>
      <c r="D52" s="22">
        <f t="shared" si="1"/>
        <v>21831.235801942821</v>
      </c>
      <c r="E52" s="22">
        <f>SUM(D52:$D$137)</f>
        <v>433151.94813330384</v>
      </c>
      <c r="F52" s="22">
        <f t="shared" si="2"/>
        <v>49.562669466253297</v>
      </c>
      <c r="G52" s="22">
        <f>SUM(F52:$F$137)</f>
        <v>7308.2169783774825</v>
      </c>
    </row>
    <row r="53" spans="1:7" x14ac:dyDescent="0.2">
      <c r="A53" s="22">
        <v>44</v>
      </c>
      <c r="B53" s="22">
        <v>95611.28</v>
      </c>
      <c r="C53" s="22">
        <f t="shared" si="0"/>
        <v>91415.168632383997</v>
      </c>
      <c r="D53" s="22">
        <f t="shared" si="1"/>
        <v>21044.26400489673</v>
      </c>
      <c r="E53" s="22">
        <f>SUM(D53:$D$137)</f>
        <v>411320.71233136096</v>
      </c>
      <c r="F53" s="22">
        <f t="shared" si="2"/>
        <v>51.651105795982922</v>
      </c>
      <c r="G53" s="22">
        <f>SUM(F53:$F$137)</f>
        <v>7258.6543089112292</v>
      </c>
    </row>
    <row r="54" spans="1:7" x14ac:dyDescent="0.2">
      <c r="A54" s="22">
        <v>45</v>
      </c>
      <c r="B54" s="22">
        <v>95372.54</v>
      </c>
      <c r="C54" s="22">
        <f t="shared" si="0"/>
        <v>90959.213860516</v>
      </c>
      <c r="D54" s="22">
        <f t="shared" si="1"/>
        <v>20281.851959779207</v>
      </c>
      <c r="E54" s="22">
        <f>SUM(D54:$D$137)</f>
        <v>390276.44832646422</v>
      </c>
      <c r="F54" s="22">
        <f t="shared" si="2"/>
        <v>54.041205788663888</v>
      </c>
      <c r="G54" s="22">
        <f>SUM(F54:$F$137)</f>
        <v>7207.0032031152468</v>
      </c>
    </row>
    <row r="55" spans="1:7" x14ac:dyDescent="0.2">
      <c r="A55" s="22">
        <v>46</v>
      </c>
      <c r="B55" s="22">
        <v>95114.01</v>
      </c>
      <c r="C55" s="22">
        <f t="shared" si="0"/>
        <v>90466.748982801</v>
      </c>
      <c r="D55" s="22">
        <f t="shared" si="1"/>
        <v>19542.872624374402</v>
      </c>
      <c r="E55" s="22">
        <f>SUM(D55:$D$137)</f>
        <v>369994.59636668506</v>
      </c>
      <c r="F55" s="22">
        <f t="shared" si="2"/>
        <v>56.753873726695304</v>
      </c>
      <c r="G55" s="22">
        <f>SUM(F55:$F$137)</f>
        <v>7152.9619973265826</v>
      </c>
    </row>
    <row r="56" spans="1:7" x14ac:dyDescent="0.2">
      <c r="A56" s="22">
        <v>47</v>
      </c>
      <c r="B56" s="22">
        <v>94833</v>
      </c>
      <c r="C56" s="22">
        <f t="shared" si="0"/>
        <v>89932.978889999999</v>
      </c>
      <c r="D56" s="22">
        <f t="shared" si="1"/>
        <v>18826.21652121656</v>
      </c>
      <c r="E56" s="22">
        <f>SUM(D56:$D$137)</f>
        <v>350451.72374231071</v>
      </c>
      <c r="F56" s="22">
        <f t="shared" si="2"/>
        <v>59.818387988389489</v>
      </c>
      <c r="G56" s="22">
        <f>SUM(F56:$F$137)</f>
        <v>7096.2081235998876</v>
      </c>
    </row>
    <row r="57" spans="1:7" x14ac:dyDescent="0.2">
      <c r="A57" s="22">
        <v>48</v>
      </c>
      <c r="B57" s="22">
        <v>94526.45</v>
      </c>
      <c r="C57" s="22">
        <f t="shared" si="0"/>
        <v>89352.497496024997</v>
      </c>
      <c r="D57" s="22">
        <f t="shared" si="1"/>
        <v>18130.78291232578</v>
      </c>
      <c r="E57" s="22">
        <f>SUM(D57:$D$137)</f>
        <v>331625.50722109416</v>
      </c>
      <c r="F57" s="22">
        <f t="shared" si="2"/>
        <v>63.234791847576851</v>
      </c>
      <c r="G57" s="22">
        <f>SUM(F57:$F$137)</f>
        <v>7036.3897356114976</v>
      </c>
    </row>
    <row r="58" spans="1:7" x14ac:dyDescent="0.2">
      <c r="A58" s="22">
        <v>49</v>
      </c>
      <c r="B58" s="22">
        <v>94191.05</v>
      </c>
      <c r="C58" s="22">
        <f t="shared" si="0"/>
        <v>88719.539001025012</v>
      </c>
      <c r="D58" s="22">
        <f t="shared" si="1"/>
        <v>17455.508240209765</v>
      </c>
      <c r="E58" s="22">
        <f>SUM(D58:$D$137)</f>
        <v>313494.72430876835</v>
      </c>
      <c r="F58" s="22">
        <f t="shared" si="2"/>
        <v>67.012969516208997</v>
      </c>
      <c r="G58" s="22">
        <f>SUM(F58:$F$137)</f>
        <v>6973.1549437639214</v>
      </c>
    </row>
    <row r="59" spans="1:7" x14ac:dyDescent="0.2">
      <c r="A59" s="22">
        <v>50</v>
      </c>
      <c r="B59" s="22">
        <v>93823.17</v>
      </c>
      <c r="C59" s="22">
        <f t="shared" si="0"/>
        <v>88027.872288489001</v>
      </c>
      <c r="D59" s="22">
        <f t="shared" si="1"/>
        <v>16799.355197438224</v>
      </c>
      <c r="E59" s="22">
        <f>SUM(D59:$D$137)</f>
        <v>296039.21606855857</v>
      </c>
      <c r="F59" s="22">
        <f t="shared" si="2"/>
        <v>71.149705550439293</v>
      </c>
      <c r="G59" s="22">
        <f>SUM(F59:$F$137)</f>
        <v>6906.1419742477128</v>
      </c>
    </row>
    <row r="60" spans="1:7" x14ac:dyDescent="0.2">
      <c r="A60" s="22">
        <v>51</v>
      </c>
      <c r="B60" s="22">
        <v>93418.91</v>
      </c>
      <c r="C60" s="22">
        <f t="shared" si="0"/>
        <v>87270.927455880999</v>
      </c>
      <c r="D60" s="22">
        <f t="shared" si="1"/>
        <v>16161.324715218776</v>
      </c>
      <c r="E60" s="22">
        <f>SUM(D60:$D$137)</f>
        <v>279239.86087112047</v>
      </c>
      <c r="F60" s="22">
        <f t="shared" si="2"/>
        <v>75.625526666241299</v>
      </c>
      <c r="G60" s="22">
        <f>SUM(F60:$F$137)</f>
        <v>6834.9922686972732</v>
      </c>
    </row>
    <row r="61" spans="1:7" x14ac:dyDescent="0.2">
      <c r="A61" s="22">
        <v>52</v>
      </c>
      <c r="B61" s="22">
        <v>92974.18</v>
      </c>
      <c r="C61" s="22">
        <f t="shared" si="0"/>
        <v>86441.981466723999</v>
      </c>
      <c r="D61" s="22">
        <f t="shared" si="1"/>
        <v>15540.470650887981</v>
      </c>
      <c r="E61" s="22">
        <f>SUM(D61:$D$137)</f>
        <v>263078.53615590167</v>
      </c>
      <c r="F61" s="22">
        <f t="shared" si="2"/>
        <v>80.433610176600766</v>
      </c>
      <c r="G61" s="22">
        <f>SUM(F61:$F$137)</f>
        <v>6759.3667420310321</v>
      </c>
    </row>
    <row r="62" spans="1:7" x14ac:dyDescent="0.2">
      <c r="A62" s="22">
        <v>53</v>
      </c>
      <c r="B62" s="22">
        <v>92484.62</v>
      </c>
      <c r="C62" s="22">
        <f t="shared" si="0"/>
        <v>85534.049365443992</v>
      </c>
      <c r="D62" s="22">
        <f t="shared" si="1"/>
        <v>14935.885563280404</v>
      </c>
      <c r="E62" s="22">
        <f>SUM(D62:$D$137)</f>
        <v>247538.06550501383</v>
      </c>
      <c r="F62" s="22">
        <f t="shared" si="2"/>
        <v>85.545953172127525</v>
      </c>
      <c r="G62" s="22">
        <f>SUM(F62:$F$137)</f>
        <v>6678.9331318544309</v>
      </c>
    </row>
    <row r="63" spans="1:7" x14ac:dyDescent="0.2">
      <c r="A63" s="22">
        <v>54</v>
      </c>
      <c r="B63" s="22">
        <v>91945.72</v>
      </c>
      <c r="C63" s="22">
        <f t="shared" si="0"/>
        <v>84540.154263183998</v>
      </c>
      <c r="D63" s="22">
        <f t="shared" si="1"/>
        <v>14346.720223005075</v>
      </c>
      <c r="E63" s="22">
        <f>SUM(D63:$D$137)</f>
        <v>232602.1799417334</v>
      </c>
      <c r="F63" s="22">
        <f t="shared" si="2"/>
        <v>90.92147181182149</v>
      </c>
      <c r="G63" s="22">
        <f>SUM(F63:$F$137)</f>
        <v>6593.3871786823038</v>
      </c>
    </row>
    <row r="64" spans="1:7" x14ac:dyDescent="0.2">
      <c r="A64" s="22">
        <v>55</v>
      </c>
      <c r="B64" s="22">
        <v>91352.91</v>
      </c>
      <c r="C64" s="22">
        <f t="shared" si="0"/>
        <v>83453.541654681001</v>
      </c>
      <c r="D64" s="22">
        <f t="shared" si="1"/>
        <v>13772.1945017857</v>
      </c>
      <c r="E64" s="22">
        <f>SUM(D64:$D$137)</f>
        <v>218255.45971872829</v>
      </c>
      <c r="F64" s="22">
        <f t="shared" si="2"/>
        <v>96.512818016937118</v>
      </c>
      <c r="G64" s="22">
        <f>SUM(F64:$F$137)</f>
        <v>6502.4657068704819</v>
      </c>
    </row>
    <row r="65" spans="1:7" x14ac:dyDescent="0.2">
      <c r="A65" s="22">
        <v>56</v>
      </c>
      <c r="B65" s="22">
        <v>90701.62</v>
      </c>
      <c r="C65" s="22">
        <f t="shared" si="0"/>
        <v>82267.838706243987</v>
      </c>
      <c r="D65" s="22">
        <f t="shared" si="1"/>
        <v>13211.601193117747</v>
      </c>
      <c r="E65" s="22">
        <f>SUM(D65:$D$137)</f>
        <v>204483.26521694261</v>
      </c>
      <c r="F65" s="22">
        <f t="shared" si="2"/>
        <v>102.27491481460169</v>
      </c>
      <c r="G65" s="22">
        <f>SUM(F65:$F$137)</f>
        <v>6405.9528888535451</v>
      </c>
    </row>
    <row r="66" spans="1:7" x14ac:dyDescent="0.2">
      <c r="A66" s="22">
        <v>57</v>
      </c>
      <c r="B66" s="22">
        <v>89987.29</v>
      </c>
      <c r="C66" s="22">
        <f t="shared" si="0"/>
        <v>80977.123615440985</v>
      </c>
      <c r="D66" s="22">
        <f t="shared" si="1"/>
        <v>12664.301313939566</v>
      </c>
      <c r="E66" s="22">
        <f>SUM(D66:$D$137)</f>
        <v>191271.66402382488</v>
      </c>
      <c r="F66" s="22">
        <f t="shared" si="2"/>
        <v>108.15667496915995</v>
      </c>
      <c r="G66" s="22">
        <f>SUM(F66:$F$137)</f>
        <v>6303.6779740389429</v>
      </c>
    </row>
    <row r="67" spans="1:7" x14ac:dyDescent="0.2">
      <c r="A67" s="22">
        <v>58</v>
      </c>
      <c r="B67" s="22">
        <v>89205.440000000002</v>
      </c>
      <c r="C67" s="22">
        <f t="shared" si="0"/>
        <v>79576.105255935996</v>
      </c>
      <c r="D67" s="22">
        <f t="shared" si="1"/>
        <v>12129.727705325409</v>
      </c>
      <c r="E67" s="22">
        <f>SUM(D67:$D$137)</f>
        <v>178607.36270988532</v>
      </c>
      <c r="F67" s="22">
        <f t="shared" si="2"/>
        <v>114.10641998483287</v>
      </c>
      <c r="G67" s="22">
        <f>SUM(F67:$F$137)</f>
        <v>6195.5212990697837</v>
      </c>
    </row>
    <row r="68" spans="1:7" x14ac:dyDescent="0.2">
      <c r="A68" s="22">
        <v>59</v>
      </c>
      <c r="B68" s="22">
        <v>88351.71</v>
      </c>
      <c r="C68" s="22">
        <f t="shared" si="0"/>
        <v>78060.246599241014</v>
      </c>
      <c r="D68" s="22">
        <f t="shared" si="1"/>
        <v>11607.383184826935</v>
      </c>
      <c r="E68" s="22">
        <f>SUM(D68:$D$137)</f>
        <v>166477.63500455991</v>
      </c>
      <c r="F68" s="22">
        <f t="shared" si="2"/>
        <v>120.07374904056837</v>
      </c>
      <c r="G68" s="22">
        <f>SUM(F68:$F$137)</f>
        <v>6081.4148790849504</v>
      </c>
    </row>
    <row r="69" spans="1:7" x14ac:dyDescent="0.2">
      <c r="A69" s="22">
        <v>60</v>
      </c>
      <c r="B69" s="22">
        <v>87421.89</v>
      </c>
      <c r="C69" s="22">
        <f t="shared" si="0"/>
        <v>76425.868511720997</v>
      </c>
      <c r="D69" s="22">
        <f t="shared" si="1"/>
        <v>11096.836924233159</v>
      </c>
      <c r="E69" s="22">
        <f>SUM(D69:$D$137)</f>
        <v>154870.25181973295</v>
      </c>
      <c r="F69" s="22">
        <f t="shared" si="2"/>
        <v>126.00608262090513</v>
      </c>
      <c r="G69" s="22">
        <f>SUM(F69:$F$137)</f>
        <v>5961.3411300443813</v>
      </c>
    </row>
    <row r="70" spans="1:7" x14ac:dyDescent="0.2">
      <c r="A70" s="22">
        <v>61</v>
      </c>
      <c r="B70" s="22">
        <v>86411.98</v>
      </c>
      <c r="C70" s="22">
        <f t="shared" si="0"/>
        <v>74670.302875203997</v>
      </c>
      <c r="D70" s="22">
        <f t="shared" si="1"/>
        <v>10597.72434724712</v>
      </c>
      <c r="E70" s="22">
        <f>SUM(D70:$D$137)</f>
        <v>143773.41489549977</v>
      </c>
      <c r="F70" s="22">
        <f t="shared" si="2"/>
        <v>131.84953798194343</v>
      </c>
      <c r="G70" s="22">
        <f>SUM(F70:$F$137)</f>
        <v>5835.3350474234767</v>
      </c>
    </row>
    <row r="71" spans="1:7" x14ac:dyDescent="0.2">
      <c r="A71" s="22">
        <v>62</v>
      </c>
      <c r="B71" s="22">
        <v>85318.25</v>
      </c>
      <c r="C71" s="22">
        <f t="shared" si="0"/>
        <v>72792.037830625006</v>
      </c>
      <c r="D71" s="22">
        <f t="shared" si="1"/>
        <v>10109.746170086666</v>
      </c>
      <c r="E71" s="22">
        <f>SUM(D71:$D$137)</f>
        <v>133175.69054825266</v>
      </c>
      <c r="F71" s="22">
        <f t="shared" si="2"/>
        <v>137.54970029190653</v>
      </c>
      <c r="G71" s="22">
        <f>SUM(F71:$F$137)</f>
        <v>5703.4855094415334</v>
      </c>
    </row>
    <row r="72" spans="1:7" x14ac:dyDescent="0.2">
      <c r="A72" s="22">
        <v>63</v>
      </c>
      <c r="B72" s="22">
        <v>84137.3</v>
      </c>
      <c r="C72" s="22">
        <f t="shared" si="0"/>
        <v>70790.852512900005</v>
      </c>
      <c r="D72" s="22">
        <f t="shared" si="1"/>
        <v>9632.6667165388535</v>
      </c>
      <c r="E72" s="22">
        <f>SUM(D72:$D$137)</f>
        <v>123065.94437816595</v>
      </c>
      <c r="F72" s="22">
        <f t="shared" si="2"/>
        <v>143.05117289307785</v>
      </c>
      <c r="G72" s="22">
        <f>SUM(F72:$F$137)</f>
        <v>5565.9358091496269</v>
      </c>
    </row>
    <row r="73" spans="1:7" x14ac:dyDescent="0.2">
      <c r="A73" s="22">
        <v>64</v>
      </c>
      <c r="B73" s="22">
        <v>82866.13</v>
      </c>
      <c r="C73" s="22">
        <f t="shared" si="0"/>
        <v>68667.955011769009</v>
      </c>
      <c r="D73" s="22">
        <f t="shared" si="1"/>
        <v>9166.312732061604</v>
      </c>
      <c r="E73" s="22">
        <f>SUM(D73:$D$137)</f>
        <v>113433.2776616271</v>
      </c>
      <c r="F73" s="22">
        <f t="shared" si="2"/>
        <v>148.3027050238465</v>
      </c>
      <c r="G73" s="22">
        <f>SUM(F73:$F$137)</f>
        <v>5422.8846362565482</v>
      </c>
    </row>
    <row r="74" spans="1:7" x14ac:dyDescent="0.2">
      <c r="A74" s="22">
        <v>65</v>
      </c>
      <c r="B74" s="22">
        <v>81502.17</v>
      </c>
      <c r="C74" s="22">
        <f t="shared" ref="C74:C137" si="3">B74^2/$B$9</f>
        <v>66426.037147088995</v>
      </c>
      <c r="D74" s="22">
        <f t="shared" ref="D74:D137" si="4">B74*$B$1^A74</f>
        <v>8710.5671977123984</v>
      </c>
      <c r="E74" s="22">
        <f>SUM(D74:$D$137)</f>
        <v>104266.96492956548</v>
      </c>
      <c r="F74" s="22">
        <f t="shared" ref="F74:F137" si="5">(B74-B75)*$B$1^(A74+0.5)</f>
        <v>154.72051961521316</v>
      </c>
      <c r="G74" s="22">
        <f>SUM(F74:$F$137)</f>
        <v>5274.581931232703</v>
      </c>
    </row>
    <row r="75" spans="1:7" x14ac:dyDescent="0.2">
      <c r="A75" s="22">
        <v>66</v>
      </c>
      <c r="B75" s="22">
        <v>80029.38</v>
      </c>
      <c r="C75" s="22">
        <f t="shared" si="3"/>
        <v>64047.016631844002</v>
      </c>
      <c r="D75" s="22">
        <f t="shared" si="4"/>
        <v>8263.9249805157015</v>
      </c>
      <c r="E75" s="22">
        <f>SUM(D75:$D$137)</f>
        <v>95556.397731853081</v>
      </c>
      <c r="F75" s="22">
        <f t="shared" si="5"/>
        <v>162.71389595996322</v>
      </c>
      <c r="G75" s="22">
        <f>SUM(F75:$F$137)</f>
        <v>5119.8614116174895</v>
      </c>
    </row>
    <row r="76" spans="1:7" x14ac:dyDescent="0.2">
      <c r="A76" s="22">
        <v>67</v>
      </c>
      <c r="B76" s="22">
        <v>78426.289999999994</v>
      </c>
      <c r="C76" s="22">
        <f t="shared" si="3"/>
        <v>61506.829631640991</v>
      </c>
      <c r="D76" s="22">
        <f t="shared" si="4"/>
        <v>7824.5295461155993</v>
      </c>
      <c r="E76" s="22">
        <f>SUM(D76:$D$137)</f>
        <v>87292.472751337395</v>
      </c>
      <c r="F76" s="22">
        <f t="shared" si="5"/>
        <v>171.83143983385378</v>
      </c>
      <c r="G76" s="22">
        <f>SUM(F76:$F$137)</f>
        <v>4957.147515657527</v>
      </c>
    </row>
    <row r="77" spans="1:7" x14ac:dyDescent="0.2">
      <c r="A77" s="22">
        <v>68</v>
      </c>
      <c r="B77" s="22">
        <v>76674.12</v>
      </c>
      <c r="C77" s="22">
        <f t="shared" si="3"/>
        <v>58789.206777743995</v>
      </c>
      <c r="D77" s="22">
        <f t="shared" si="4"/>
        <v>7391.030837827333</v>
      </c>
      <c r="E77" s="22">
        <f>SUM(D77:$D$137)</f>
        <v>79467.943205221804</v>
      </c>
      <c r="F77" s="22">
        <f t="shared" si="5"/>
        <v>181.63765507560038</v>
      </c>
      <c r="G77" s="22">
        <f>SUM(F77:$F$137)</f>
        <v>4785.3160758236727</v>
      </c>
    </row>
    <row r="78" spans="1:7" x14ac:dyDescent="0.2">
      <c r="A78" s="22">
        <v>69</v>
      </c>
      <c r="B78" s="22">
        <v>74757.13</v>
      </c>
      <c r="C78" s="22">
        <f t="shared" si="3"/>
        <v>55886.284858369007</v>
      </c>
      <c r="D78" s="22">
        <f t="shared" si="4"/>
        <v>6962.5525224297216</v>
      </c>
      <c r="E78" s="22">
        <f>SUM(D78:$D$137)</f>
        <v>72076.91236739447</v>
      </c>
      <c r="F78" s="22">
        <f t="shared" si="5"/>
        <v>191.70652036654056</v>
      </c>
      <c r="G78" s="22">
        <f>SUM(F78:$F$137)</f>
        <v>4603.6784207480714</v>
      </c>
    </row>
    <row r="79" spans="1:7" x14ac:dyDescent="0.2">
      <c r="A79" s="22">
        <v>70</v>
      </c>
      <c r="B79" s="22">
        <v>72663.06</v>
      </c>
      <c r="C79" s="22">
        <f t="shared" si="3"/>
        <v>52799.202885635998</v>
      </c>
      <c r="D79" s="22">
        <f t="shared" si="4"/>
        <v>6538.6666572689201</v>
      </c>
      <c r="E79" s="22">
        <f>SUM(D79:$D$137)</f>
        <v>65114.35984496474</v>
      </c>
      <c r="F79" s="22">
        <f t="shared" si="5"/>
        <v>201.62879606793095</v>
      </c>
      <c r="G79" s="22">
        <f>SUM(F79:$F$137)</f>
        <v>4411.9719003815308</v>
      </c>
    </row>
    <row r="80" spans="1:7" x14ac:dyDescent="0.2">
      <c r="A80" s="22">
        <v>71</v>
      </c>
      <c r="B80" s="22">
        <v>70383.520000000004</v>
      </c>
      <c r="C80" s="22">
        <f t="shared" si="3"/>
        <v>49538.398875904008</v>
      </c>
      <c r="D80" s="22">
        <f t="shared" si="4"/>
        <v>6119.3620318009407</v>
      </c>
      <c r="E80" s="22">
        <f>SUM(D80:$D$137)</f>
        <v>58575.693187695812</v>
      </c>
      <c r="F80" s="22">
        <f t="shared" si="5"/>
        <v>211.01116157018149</v>
      </c>
      <c r="G80" s="22">
        <f>SUM(F80:$F$137)</f>
        <v>4210.3431043135997</v>
      </c>
    </row>
    <row r="81" spans="1:7" x14ac:dyDescent="0.2">
      <c r="A81" s="22">
        <v>72</v>
      </c>
      <c r="B81" s="22">
        <v>67914.41</v>
      </c>
      <c r="C81" s="22">
        <f t="shared" si="3"/>
        <v>46123.670856481011</v>
      </c>
      <c r="D81" s="22">
        <f t="shared" si="4"/>
        <v>5705.0144276494793</v>
      </c>
      <c r="E81" s="22">
        <f>SUM(D81:$D$137)</f>
        <v>52456.331155894877</v>
      </c>
      <c r="F81" s="22">
        <f t="shared" si="5"/>
        <v>219.48628729079317</v>
      </c>
      <c r="G81" s="22">
        <f>SUM(F81:$F$137)</f>
        <v>3999.3319427434153</v>
      </c>
    </row>
    <row r="82" spans="1:7" x14ac:dyDescent="0.2">
      <c r="A82" s="22">
        <v>73</v>
      </c>
      <c r="B82" s="22">
        <v>65256.24</v>
      </c>
      <c r="C82" s="22">
        <f t="shared" si="3"/>
        <v>42583.768589375999</v>
      </c>
      <c r="D82" s="22">
        <f t="shared" si="4"/>
        <v>5296.347984128407</v>
      </c>
      <c r="E82" s="22">
        <f>SUM(D82:$D$137)</f>
        <v>46751.316728245401</v>
      </c>
      <c r="F82" s="22">
        <f t="shared" si="5"/>
        <v>226.71690960630028</v>
      </c>
      <c r="G82" s="22">
        <f>SUM(F82:$F$137)</f>
        <v>3779.8456554526224</v>
      </c>
    </row>
    <row r="83" spans="1:7" x14ac:dyDescent="0.2">
      <c r="A83" s="22">
        <v>74</v>
      </c>
      <c r="B83" s="22">
        <v>62414.400000000001</v>
      </c>
      <c r="C83" s="22">
        <f t="shared" si="3"/>
        <v>38955.573273599999</v>
      </c>
      <c r="D83" s="22">
        <f t="shared" si="4"/>
        <v>4894.3938648045996</v>
      </c>
      <c r="E83" s="22">
        <f>SUM(D83:$D$137)</f>
        <v>41454.968744116988</v>
      </c>
      <c r="F83" s="22">
        <f t="shared" si="5"/>
        <v>232.4051037199539</v>
      </c>
      <c r="G83" s="22">
        <f>SUM(F83:$F$137)</f>
        <v>3553.1287458463221</v>
      </c>
    </row>
    <row r="84" spans="1:7" x14ac:dyDescent="0.2">
      <c r="A84" s="22">
        <v>75</v>
      </c>
      <c r="B84" s="22">
        <v>59399.3</v>
      </c>
      <c r="C84" s="22">
        <f t="shared" si="3"/>
        <v>35282.768404900002</v>
      </c>
      <c r="D84" s="22">
        <f t="shared" si="4"/>
        <v>4500.4412070781864</v>
      </c>
      <c r="E84" s="22">
        <f>SUM(D84:$D$137)</f>
        <v>36560.574879312378</v>
      </c>
      <c r="F84" s="22">
        <f t="shared" si="5"/>
        <v>236.29721690422446</v>
      </c>
      <c r="G84" s="22">
        <f>SUM(F84:$F$137)</f>
        <v>3320.7236421263678</v>
      </c>
    </row>
    <row r="85" spans="1:7" x14ac:dyDescent="0.2">
      <c r="A85" s="22">
        <v>76</v>
      </c>
      <c r="B85" s="22">
        <v>56226.41</v>
      </c>
      <c r="C85" s="22">
        <f t="shared" si="3"/>
        <v>31614.091814881005</v>
      </c>
      <c r="D85" s="22">
        <f t="shared" si="4"/>
        <v>4115.9848813598073</v>
      </c>
      <c r="E85" s="22">
        <f>SUM(D85:$D$137)</f>
        <v>32060.133672234217</v>
      </c>
      <c r="F85" s="22">
        <f t="shared" si="5"/>
        <v>238.19387784036724</v>
      </c>
      <c r="G85" s="22">
        <f>SUM(F85:$F$137)</f>
        <v>3084.4264252221437</v>
      </c>
    </row>
    <row r="86" spans="1:7" x14ac:dyDescent="0.2">
      <c r="A86" s="22">
        <v>77</v>
      </c>
      <c r="B86" s="22">
        <v>52916.11</v>
      </c>
      <c r="C86" s="22">
        <f t="shared" si="3"/>
        <v>28001.146975321</v>
      </c>
      <c r="D86" s="22">
        <f t="shared" si="4"/>
        <v>3742.6651782017066</v>
      </c>
      <c r="E86" s="22">
        <f>SUM(D86:$D$137)</f>
        <v>27944.148790874409</v>
      </c>
      <c r="F86" s="22">
        <f t="shared" si="5"/>
        <v>237.95677271339636</v>
      </c>
      <c r="G86" s="22">
        <f>SUM(F86:$F$137)</f>
        <v>2846.2325473817764</v>
      </c>
    </row>
    <row r="87" spans="1:7" x14ac:dyDescent="0.2">
      <c r="A87" s="22">
        <v>78</v>
      </c>
      <c r="B87" s="22">
        <v>49493.36</v>
      </c>
      <c r="C87" s="22">
        <f t="shared" si="3"/>
        <v>24495.926840896002</v>
      </c>
      <c r="D87" s="22">
        <f t="shared" si="4"/>
        <v>3382.2028744564627</v>
      </c>
      <c r="E87" s="22">
        <f>SUM(D87:$D$137)</f>
        <v>24201.483612672706</v>
      </c>
      <c r="F87" s="22">
        <f t="shared" si="5"/>
        <v>235.51065268763102</v>
      </c>
      <c r="G87" s="22">
        <f>SUM(F87:$F$137)</f>
        <v>2608.2757746683806</v>
      </c>
    </row>
    <row r="88" spans="1:7" x14ac:dyDescent="0.2">
      <c r="A88" s="22">
        <v>79</v>
      </c>
      <c r="B88" s="22">
        <v>45987.23</v>
      </c>
      <c r="C88" s="22">
        <f t="shared" si="3"/>
        <v>21148.253230729002</v>
      </c>
      <c r="D88" s="22">
        <f t="shared" si="4"/>
        <v>3036.3345220252704</v>
      </c>
      <c r="E88" s="22">
        <f>SUM(D88:$D$137)</f>
        <v>20819.280738216243</v>
      </c>
      <c r="F88" s="22">
        <f t="shared" si="5"/>
        <v>230.8492662831091</v>
      </c>
      <c r="G88" s="22">
        <f>SUM(F88:$F$137)</f>
        <v>2372.7651219807494</v>
      </c>
    </row>
    <row r="89" spans="1:7" x14ac:dyDescent="0.2">
      <c r="A89" s="22">
        <v>80</v>
      </c>
      <c r="B89" s="22">
        <v>42430.21</v>
      </c>
      <c r="C89" s="22">
        <f t="shared" si="3"/>
        <v>18003.227206440999</v>
      </c>
      <c r="D89" s="22">
        <f t="shared" si="4"/>
        <v>2706.7440937015558</v>
      </c>
      <c r="E89" s="22">
        <f>SUM(D89:$D$137)</f>
        <v>17782.946216190969</v>
      </c>
      <c r="F89" s="22">
        <f t="shared" si="5"/>
        <v>224.0353887502381</v>
      </c>
      <c r="G89" s="22">
        <f>SUM(F89:$F$137)</f>
        <v>2141.9158556976408</v>
      </c>
    </row>
    <row r="90" spans="1:7" x14ac:dyDescent="0.2">
      <c r="A90" s="22">
        <v>81</v>
      </c>
      <c r="B90" s="22">
        <v>38857.360000000001</v>
      </c>
      <c r="C90" s="22">
        <f t="shared" si="3"/>
        <v>15098.944261696</v>
      </c>
      <c r="D90" s="22">
        <f t="shared" si="4"/>
        <v>2394.996911634084</v>
      </c>
      <c r="E90" s="22">
        <f>SUM(D90:$D$137)</f>
        <v>15076.202122489412</v>
      </c>
      <c r="F90" s="22">
        <f t="shared" si="5"/>
        <v>215.19854946213624</v>
      </c>
      <c r="G90" s="22">
        <f>SUM(F90:$F$137)</f>
        <v>1917.8804669474032</v>
      </c>
    </row>
    <row r="91" spans="1:7" x14ac:dyDescent="0.2">
      <c r="A91" s="22">
        <v>82</v>
      </c>
      <c r="B91" s="22">
        <v>35305.32</v>
      </c>
      <c r="C91" s="22">
        <f t="shared" si="3"/>
        <v>12464.656203023998</v>
      </c>
      <c r="D91" s="22">
        <f t="shared" si="4"/>
        <v>2102.4780439447027</v>
      </c>
      <c r="E91" s="22">
        <f>SUM(D91:$D$137)</f>
        <v>12681.205210855329</v>
      </c>
      <c r="F91" s="22">
        <f t="shared" si="5"/>
        <v>204.53208425527171</v>
      </c>
      <c r="G91" s="22">
        <f>SUM(F91:$F$137)</f>
        <v>1702.6819174852669</v>
      </c>
    </row>
    <row r="92" spans="1:7" x14ac:dyDescent="0.2">
      <c r="A92" s="22">
        <v>83</v>
      </c>
      <c r="B92" s="22">
        <v>31811.18</v>
      </c>
      <c r="C92" s="22">
        <f t="shared" si="3"/>
        <v>10119.511729924001</v>
      </c>
      <c r="D92" s="22">
        <f t="shared" si="4"/>
        <v>1830.3356819433409</v>
      </c>
      <c r="E92" s="22">
        <f>SUM(D92:$D$137)</f>
        <v>10578.727166910629</v>
      </c>
      <c r="F92" s="22">
        <f t="shared" si="5"/>
        <v>192.28284923787382</v>
      </c>
      <c r="G92" s="22">
        <f>SUM(F92:$F$137)</f>
        <v>1498.1498332299952</v>
      </c>
    </row>
    <row r="93" spans="1:7" x14ac:dyDescent="0.2">
      <c r="A93" s="22">
        <v>84</v>
      </c>
      <c r="B93" s="22">
        <v>28411.33</v>
      </c>
      <c r="C93" s="22">
        <f t="shared" si="3"/>
        <v>8072.0367236890006</v>
      </c>
      <c r="D93" s="22">
        <f t="shared" si="4"/>
        <v>1579.4365428978965</v>
      </c>
      <c r="E93" s="22">
        <f>SUM(D93:$D$137)</f>
        <v>8748.3914849672874</v>
      </c>
      <c r="F93" s="22">
        <f t="shared" si="5"/>
        <v>178.74296296477416</v>
      </c>
      <c r="G93" s="22">
        <f>SUM(F93:$F$137)</f>
        <v>1305.8669839921213</v>
      </c>
    </row>
    <row r="94" spans="1:7" x14ac:dyDescent="0.2">
      <c r="A94" s="22">
        <v>85</v>
      </c>
      <c r="B94" s="22">
        <v>25140.27</v>
      </c>
      <c r="C94" s="22">
        <f t="shared" si="3"/>
        <v>6320.3317567290005</v>
      </c>
      <c r="D94" s="22">
        <f t="shared" si="4"/>
        <v>1350.33089792232</v>
      </c>
      <c r="E94" s="22">
        <f>SUM(D94:$D$137)</f>
        <v>7168.954942069382</v>
      </c>
      <c r="F94" s="22">
        <f t="shared" si="5"/>
        <v>164.23850196917323</v>
      </c>
      <c r="G94" s="22">
        <f>SUM(F94:$F$137)</f>
        <v>1127.1240210273472</v>
      </c>
    </row>
    <row r="95" spans="1:7" x14ac:dyDescent="0.2">
      <c r="A95" s="22">
        <v>86</v>
      </c>
      <c r="B95" s="22">
        <v>22029.45</v>
      </c>
      <c r="C95" s="22">
        <f t="shared" si="3"/>
        <v>4852.9666730250001</v>
      </c>
      <c r="D95" s="22">
        <f t="shared" si="4"/>
        <v>1143.229894182565</v>
      </c>
      <c r="E95" s="22">
        <f>SUM(D95:$D$137)</f>
        <v>5818.6240441470627</v>
      </c>
      <c r="F95" s="22">
        <f t="shared" si="5"/>
        <v>149.11343927034784</v>
      </c>
      <c r="G95" s="22">
        <f>SUM(F95:$F$137)</f>
        <v>962.88551905817383</v>
      </c>
    </row>
    <row r="96" spans="1:7" x14ac:dyDescent="0.2">
      <c r="A96" s="22">
        <v>87</v>
      </c>
      <c r="B96" s="22">
        <v>19106.259999999998</v>
      </c>
      <c r="C96" s="22">
        <f t="shared" si="3"/>
        <v>3650.4917118759995</v>
      </c>
      <c r="D96" s="22">
        <f t="shared" si="4"/>
        <v>957.99943157008113</v>
      </c>
      <c r="E96" s="22">
        <f>SUM(D96:$D$137)</f>
        <v>4675.394149964498</v>
      </c>
      <c r="F96" s="22">
        <f t="shared" si="5"/>
        <v>133.7160668710882</v>
      </c>
      <c r="G96" s="22">
        <f>SUM(F96:$F$137)</f>
        <v>813.77207978782587</v>
      </c>
    </row>
    <row r="97" spans="1:7" x14ac:dyDescent="0.2">
      <c r="A97" s="22">
        <v>88</v>
      </c>
      <c r="B97" s="22">
        <v>16393.169999999998</v>
      </c>
      <c r="C97" s="22">
        <f t="shared" si="3"/>
        <v>2687.3602264889996</v>
      </c>
      <c r="D97" s="22">
        <f t="shared" si="4"/>
        <v>794.16759240123315</v>
      </c>
      <c r="E97" s="22">
        <f>SUM(D97:$D$137)</f>
        <v>3717.3947183944206</v>
      </c>
      <c r="F97" s="22">
        <f t="shared" si="5"/>
        <v>118.38621363011518</v>
      </c>
      <c r="G97" s="22">
        <f>SUM(F97:$F$137)</f>
        <v>680.0560129167377</v>
      </c>
    </row>
    <row r="98" spans="1:7" x14ac:dyDescent="0.2">
      <c r="A98" s="22">
        <v>89</v>
      </c>
      <c r="B98" s="22">
        <v>13907.05</v>
      </c>
      <c r="C98" s="22">
        <f t="shared" si="3"/>
        <v>1934.0603970249999</v>
      </c>
      <c r="D98" s="22">
        <f t="shared" si="4"/>
        <v>650.9443840168143</v>
      </c>
      <c r="E98" s="22">
        <f>SUM(D98:$D$137)</f>
        <v>2923.2271259931872</v>
      </c>
      <c r="F98" s="22">
        <f t="shared" si="5"/>
        <v>103.43783743173361</v>
      </c>
      <c r="G98" s="22">
        <f>SUM(F98:$F$137)</f>
        <v>561.66979928662249</v>
      </c>
    </row>
    <row r="99" spans="1:7" x14ac:dyDescent="0.2">
      <c r="A99" s="22">
        <v>90</v>
      </c>
      <c r="B99" s="22">
        <v>11658.82</v>
      </c>
      <c r="C99" s="22">
        <f t="shared" si="3"/>
        <v>1359.280837924</v>
      </c>
      <c r="D99" s="22">
        <f t="shared" si="4"/>
        <v>527.25792472114176</v>
      </c>
      <c r="E99" s="22">
        <f>SUM(D99:$D$137)</f>
        <v>2272.282741976373</v>
      </c>
      <c r="F99" s="22">
        <f t="shared" si="5"/>
        <v>89.149930728906369</v>
      </c>
      <c r="G99" s="22">
        <f>SUM(F99:$F$137)</f>
        <v>458.23196185488894</v>
      </c>
    </row>
    <row r="100" spans="1:7" x14ac:dyDescent="0.2">
      <c r="A100" s="22">
        <v>91</v>
      </c>
      <c r="B100" s="22">
        <v>9653.32</v>
      </c>
      <c r="C100" s="22">
        <f t="shared" si="3"/>
        <v>931.86587022399988</v>
      </c>
      <c r="D100" s="22">
        <f t="shared" si="4"/>
        <v>421.79834540551843</v>
      </c>
      <c r="E100" s="22">
        <f>SUM(D100:$D$137)</f>
        <v>1745.0248172552313</v>
      </c>
      <c r="F100" s="22">
        <f t="shared" si="5"/>
        <v>75.756884420736085</v>
      </c>
      <c r="G100" s="22">
        <f>SUM(F100:$F$137)</f>
        <v>369.08203112598255</v>
      </c>
    </row>
    <row r="101" spans="1:7" x14ac:dyDescent="0.2">
      <c r="A101" s="22">
        <v>92</v>
      </c>
      <c r="B101" s="22">
        <v>7889.46</v>
      </c>
      <c r="C101" s="22">
        <f t="shared" si="3"/>
        <v>622.43579091599997</v>
      </c>
      <c r="D101" s="22">
        <f t="shared" si="4"/>
        <v>333.06967836742166</v>
      </c>
      <c r="E101" s="22">
        <f>SUM(D101:$D$137)</f>
        <v>1323.2264718497124</v>
      </c>
      <c r="F101" s="22">
        <f t="shared" si="5"/>
        <v>63.439921461627989</v>
      </c>
      <c r="G101" s="22">
        <f>SUM(F101:$F$137)</f>
        <v>293.32514670524642</v>
      </c>
    </row>
    <row r="102" spans="1:7" x14ac:dyDescent="0.2">
      <c r="A102" s="22">
        <v>93</v>
      </c>
      <c r="B102" s="22">
        <v>6360.68</v>
      </c>
      <c r="C102" s="22">
        <f t="shared" si="3"/>
        <v>404.58250062400003</v>
      </c>
      <c r="D102" s="22">
        <f t="shared" si="4"/>
        <v>259.44841173813995</v>
      </c>
      <c r="E102" s="22">
        <f>SUM(D102:$D$137)</f>
        <v>990.15679348229082</v>
      </c>
      <c r="F102" s="22">
        <f t="shared" si="5"/>
        <v>52.325625505015104</v>
      </c>
      <c r="G102" s="22">
        <f>SUM(F102:$F$137)</f>
        <v>229.88522524361858</v>
      </c>
    </row>
    <row r="103" spans="1:7" x14ac:dyDescent="0.2">
      <c r="A103" s="22">
        <v>94</v>
      </c>
      <c r="B103" s="22">
        <v>5055.6000000000004</v>
      </c>
      <c r="C103" s="22">
        <f t="shared" si="3"/>
        <v>255.59091360000002</v>
      </c>
      <c r="D103" s="22">
        <f t="shared" si="4"/>
        <v>199.24151007330707</v>
      </c>
      <c r="E103" s="22">
        <f>SUM(D103:$D$137)</f>
        <v>730.70838174415087</v>
      </c>
      <c r="F103" s="22">
        <f t="shared" si="5"/>
        <v>42.485102258980291</v>
      </c>
      <c r="G103" s="22">
        <f>SUM(F103:$F$137)</f>
        <v>177.55959973860345</v>
      </c>
    </row>
    <row r="104" spans="1:7" x14ac:dyDescent="0.2">
      <c r="A104" s="22">
        <v>95</v>
      </c>
      <c r="B104" s="22">
        <v>3958.87</v>
      </c>
      <c r="C104" s="22">
        <f t="shared" si="3"/>
        <v>156.726516769</v>
      </c>
      <c r="D104" s="22">
        <f t="shared" si="4"/>
        <v>150.74329723693077</v>
      </c>
      <c r="E104" s="22">
        <f>SUM(D104:$D$137)</f>
        <v>531.46687167084383</v>
      </c>
      <c r="F104" s="22">
        <f t="shared" si="5"/>
        <v>33.937088405920591</v>
      </c>
      <c r="G104" s="22">
        <f>SUM(F104:$F$137)</f>
        <v>135.07449747962312</v>
      </c>
    </row>
    <row r="105" spans="1:7" x14ac:dyDescent="0.2">
      <c r="A105" s="22">
        <v>96</v>
      </c>
      <c r="B105" s="22">
        <v>3052.14</v>
      </c>
      <c r="C105" s="22">
        <f t="shared" si="3"/>
        <v>93.155585795999983</v>
      </c>
      <c r="D105" s="22">
        <f t="shared" si="4"/>
        <v>112.28735980832229</v>
      </c>
      <c r="E105" s="22">
        <f>SUM(D105:$D$137)</f>
        <v>380.72357443391286</v>
      </c>
      <c r="F105" s="22">
        <f t="shared" si="5"/>
        <v>26.653797127095224</v>
      </c>
      <c r="G105" s="22">
        <f>SUM(F105:$F$137)</f>
        <v>101.13740907370246</v>
      </c>
    </row>
    <row r="106" spans="1:7" x14ac:dyDescent="0.2">
      <c r="A106" s="22">
        <v>97</v>
      </c>
      <c r="B106" s="22">
        <v>2315.08</v>
      </c>
      <c r="C106" s="22">
        <f t="shared" si="3"/>
        <v>53.595954063999997</v>
      </c>
      <c r="D106" s="22">
        <f t="shared" si="4"/>
        <v>82.290949464190248</v>
      </c>
      <c r="E106" s="22">
        <f>SUM(D106:$D$137)</f>
        <v>268.43621462559054</v>
      </c>
      <c r="F106" s="22">
        <f t="shared" si="5"/>
        <v>20.569195602547619</v>
      </c>
      <c r="G106" s="22">
        <f>SUM(F106:$F$137)</f>
        <v>74.48361194660724</v>
      </c>
    </row>
    <row r="107" spans="1:7" x14ac:dyDescent="0.2">
      <c r="A107" s="22">
        <v>98</v>
      </c>
      <c r="B107" s="22">
        <v>1726.37</v>
      </c>
      <c r="C107" s="22">
        <f t="shared" si="3"/>
        <v>29.803533768999994</v>
      </c>
      <c r="D107" s="22">
        <f t="shared" si="4"/>
        <v>59.289747492368292</v>
      </c>
      <c r="E107" s="22">
        <f>SUM(D107:$D$137)</f>
        <v>186.14526516140032</v>
      </c>
      <c r="F107" s="22">
        <f t="shared" si="5"/>
        <v>15.586364424980381</v>
      </c>
      <c r="G107" s="22">
        <f>SUM(F107:$F$137)</f>
        <v>53.914416344059646</v>
      </c>
    </row>
    <row r="108" spans="1:7" x14ac:dyDescent="0.2">
      <c r="A108" s="22">
        <v>99</v>
      </c>
      <c r="B108" s="22">
        <v>1264.6600000000001</v>
      </c>
      <c r="C108" s="22">
        <f t="shared" si="3"/>
        <v>15.993649156000002</v>
      </c>
      <c r="D108" s="22">
        <f t="shared" si="4"/>
        <v>41.964219784781726</v>
      </c>
      <c r="E108" s="22">
        <f>SUM(D108:$D$137)</f>
        <v>126.85551766903204</v>
      </c>
      <c r="F108" s="22">
        <f t="shared" si="5"/>
        <v>11.588910963601876</v>
      </c>
      <c r="G108" s="22">
        <f>SUM(F108:$F$137)</f>
        <v>38.328051919079257</v>
      </c>
    </row>
    <row r="109" spans="1:7" x14ac:dyDescent="0.2">
      <c r="A109" s="22">
        <v>100</v>
      </c>
      <c r="B109" s="22">
        <v>909.35</v>
      </c>
      <c r="C109" s="22">
        <f t="shared" si="3"/>
        <v>8.2691742250000004</v>
      </c>
      <c r="D109" s="22">
        <f t="shared" si="4"/>
        <v>29.153861874155371</v>
      </c>
      <c r="E109" s="22">
        <f>SUM(D109:$D$137)</f>
        <v>84.891297884250307</v>
      </c>
      <c r="F109" s="22">
        <f t="shared" si="5"/>
        <v>8.4481041760835378</v>
      </c>
      <c r="G109" s="22">
        <f>SUM(F109:$F$137)</f>
        <v>26.739140955477385</v>
      </c>
    </row>
    <row r="110" spans="1:7" x14ac:dyDescent="0.2">
      <c r="A110" s="22">
        <v>101</v>
      </c>
      <c r="B110" s="22">
        <v>641.27</v>
      </c>
      <c r="C110" s="22">
        <f t="shared" si="3"/>
        <v>4.1122721289999999</v>
      </c>
      <c r="D110" s="22">
        <f t="shared" si="4"/>
        <v>19.86394911695923</v>
      </c>
      <c r="E110" s="22">
        <f>SUM(D110:$D$137)</f>
        <v>55.737436010094939</v>
      </c>
      <c r="F110" s="22">
        <f t="shared" si="5"/>
        <v>6.0335162895087677</v>
      </c>
      <c r="G110" s="22">
        <f>SUM(F110:$F$137)</f>
        <v>18.291036779393846</v>
      </c>
    </row>
    <row r="111" spans="1:7" x14ac:dyDescent="0.2">
      <c r="A111" s="22">
        <v>102</v>
      </c>
      <c r="B111" s="22">
        <v>443.11</v>
      </c>
      <c r="C111" s="22">
        <f t="shared" si="3"/>
        <v>1.9634647210000002</v>
      </c>
      <c r="D111" s="22">
        <f t="shared" si="4"/>
        <v>13.261598407592007</v>
      </c>
      <c r="E111" s="22">
        <f>SUM(D111:$D$137)</f>
        <v>35.873486893135698</v>
      </c>
      <c r="F111" s="22">
        <f t="shared" si="5"/>
        <v>4.2176683967226625</v>
      </c>
      <c r="G111" s="22">
        <f>SUM(F111:$F$137)</f>
        <v>12.25752048988508</v>
      </c>
    </row>
    <row r="112" spans="1:7" x14ac:dyDescent="0.2">
      <c r="A112" s="22">
        <v>103</v>
      </c>
      <c r="B112" s="22">
        <v>299.74</v>
      </c>
      <c r="C112" s="22">
        <f t="shared" si="3"/>
        <v>0.8984406760000001</v>
      </c>
      <c r="D112" s="22">
        <f t="shared" si="4"/>
        <v>8.667396699223394</v>
      </c>
      <c r="E112" s="22">
        <f>SUM(D112:$D$137)</f>
        <v>22.611888485543702</v>
      </c>
      <c r="F112" s="22">
        <f t="shared" si="5"/>
        <v>2.883539120578956</v>
      </c>
      <c r="G112" s="22">
        <f>SUM(F112:$F$137)</f>
        <v>8.039852093162418</v>
      </c>
    </row>
    <row r="113" spans="1:7" x14ac:dyDescent="0.2">
      <c r="A113" s="22">
        <v>104</v>
      </c>
      <c r="B113" s="22">
        <v>198.29</v>
      </c>
      <c r="C113" s="22">
        <f t="shared" si="3"/>
        <v>0.39318924099999997</v>
      </c>
      <c r="D113" s="22">
        <f t="shared" si="4"/>
        <v>5.539932003836519</v>
      </c>
      <c r="E113" s="22">
        <f>SUM(D113:$D$137)</f>
        <v>13.944491786320313</v>
      </c>
      <c r="F113" s="22">
        <f t="shared" si="5"/>
        <v>1.9261903740440711</v>
      </c>
      <c r="G113" s="22">
        <f>SUM(F113:$F$137)</f>
        <v>5.1563129725834642</v>
      </c>
    </row>
    <row r="114" spans="1:7" x14ac:dyDescent="0.2">
      <c r="A114" s="22">
        <v>105</v>
      </c>
      <c r="B114" s="22">
        <v>128.15</v>
      </c>
      <c r="C114" s="22">
        <f t="shared" si="3"/>
        <v>0.164224225</v>
      </c>
      <c r="D114" s="22">
        <f t="shared" si="4"/>
        <v>3.4592494635493374</v>
      </c>
      <c r="E114" s="22">
        <f>SUM(D114:$D$137)</f>
        <v>8.4045597824837941</v>
      </c>
      <c r="F114" s="22">
        <f t="shared" si="5"/>
        <v>1.25582637903635</v>
      </c>
      <c r="G114" s="22">
        <f>SUM(F114:$F$137)</f>
        <v>3.2301225985393929</v>
      </c>
    </row>
    <row r="115" spans="1:7" x14ac:dyDescent="0.2">
      <c r="A115" s="22">
        <v>106</v>
      </c>
      <c r="B115" s="22">
        <v>80.819999999999993</v>
      </c>
      <c r="C115" s="22">
        <f t="shared" si="3"/>
        <v>6.5318723999999995E-2</v>
      </c>
      <c r="D115" s="22">
        <f t="shared" si="4"/>
        <v>2.10786002698421</v>
      </c>
      <c r="E115" s="22">
        <f>SUM(D115:$D$137)</f>
        <v>4.9453103189344567</v>
      </c>
      <c r="F115" s="22">
        <f t="shared" si="5"/>
        <v>0.79830960627339376</v>
      </c>
      <c r="G115" s="22">
        <f>SUM(F115:$F$137)</f>
        <v>1.9742962195030427</v>
      </c>
    </row>
    <row r="116" spans="1:7" x14ac:dyDescent="0.2">
      <c r="A116" s="22">
        <v>107</v>
      </c>
      <c r="B116" s="22">
        <v>49.68</v>
      </c>
      <c r="C116" s="22">
        <f t="shared" si="3"/>
        <v>2.4681023999999999E-2</v>
      </c>
      <c r="D116" s="22">
        <f t="shared" si="4"/>
        <v>1.2518842031086623</v>
      </c>
      <c r="E116" s="22">
        <f>SUM(D116:$D$137)</f>
        <v>2.8374502919502467</v>
      </c>
      <c r="F116" s="22">
        <f t="shared" si="5"/>
        <v>0.49414601488537702</v>
      </c>
      <c r="G116" s="22">
        <f>SUM(F116:$F$137)</f>
        <v>1.1759866132296488</v>
      </c>
    </row>
    <row r="117" spans="1:7" x14ac:dyDescent="0.2">
      <c r="A117" s="22">
        <v>108</v>
      </c>
      <c r="B117" s="22">
        <v>29.73</v>
      </c>
      <c r="C117" s="22">
        <f t="shared" si="3"/>
        <v>8.838729E-3</v>
      </c>
      <c r="D117" s="22">
        <f t="shared" si="4"/>
        <v>0.72383092095538082</v>
      </c>
      <c r="E117" s="22">
        <f>SUM(D117:$D$137)</f>
        <v>1.5855660888415841</v>
      </c>
      <c r="F117" s="22">
        <f t="shared" si="5"/>
        <v>0.29747000181735672</v>
      </c>
      <c r="G117" s="22">
        <f>SUM(F117:$F$137)</f>
        <v>0.68184059834427202</v>
      </c>
    </row>
    <row r="118" spans="1:7" x14ac:dyDescent="0.2">
      <c r="A118" s="22">
        <v>109</v>
      </c>
      <c r="B118" s="22">
        <v>17.3</v>
      </c>
      <c r="C118" s="22">
        <f t="shared" si="3"/>
        <v>2.9929000000000002E-3</v>
      </c>
      <c r="D118" s="22">
        <f t="shared" si="4"/>
        <v>0.4069564870477807</v>
      </c>
      <c r="E118" s="22">
        <f>SUM(D118:$D$137)</f>
        <v>0.8617351678862033</v>
      </c>
      <c r="F118" s="22">
        <f t="shared" si="5"/>
        <v>0.17411118601829734</v>
      </c>
      <c r="G118" s="22">
        <f>SUM(F118:$F$137)</f>
        <v>0.38437059652691508</v>
      </c>
    </row>
    <row r="119" spans="1:7" x14ac:dyDescent="0.2">
      <c r="A119" s="22">
        <v>110</v>
      </c>
      <c r="B119" s="22">
        <v>9.77</v>
      </c>
      <c r="C119" s="22">
        <f t="shared" si="3"/>
        <v>9.5452899999999986E-4</v>
      </c>
      <c r="D119" s="22">
        <f t="shared" si="4"/>
        <v>0.22205271444287047</v>
      </c>
      <c r="E119" s="22">
        <f>SUM(D119:$D$137)</f>
        <v>0.4547786808384226</v>
      </c>
      <c r="F119" s="22">
        <f t="shared" si="5"/>
        <v>9.8744659648154501E-2</v>
      </c>
      <c r="G119" s="22">
        <f>SUM(F119:$F$137)</f>
        <v>0.21025941050861777</v>
      </c>
    </row>
    <row r="120" spans="1:7" x14ac:dyDescent="0.2">
      <c r="A120" s="22">
        <v>111</v>
      </c>
      <c r="B120" s="22">
        <v>5.35</v>
      </c>
      <c r="C120" s="22">
        <f t="shared" si="3"/>
        <v>2.8622499999999998E-4</v>
      </c>
      <c r="D120" s="22">
        <f t="shared" si="4"/>
        <v>0.11748298026289263</v>
      </c>
      <c r="E120" s="22">
        <f>SUM(D120:$D$137)</f>
        <v>0.23272596639555207</v>
      </c>
      <c r="F120" s="22">
        <f t="shared" si="5"/>
        <v>5.4394067876221225E-2</v>
      </c>
      <c r="G120" s="22">
        <f>SUM(F120:$F$137)</f>
        <v>0.11151475086046322</v>
      </c>
    </row>
    <row r="121" spans="1:7" x14ac:dyDescent="0.2">
      <c r="A121" s="22">
        <v>112</v>
      </c>
      <c r="B121" s="22">
        <v>2.83</v>
      </c>
      <c r="C121" s="22">
        <f t="shared" si="3"/>
        <v>8.0089000000000012E-5</v>
      </c>
      <c r="D121" s="22">
        <f t="shared" si="4"/>
        <v>6.0043674051918593E-2</v>
      </c>
      <c r="E121" s="22">
        <f>SUM(D121:$D$137)</f>
        <v>0.1152429861326595</v>
      </c>
      <c r="F121" s="22">
        <f t="shared" si="5"/>
        <v>2.8779930093238749E-2</v>
      </c>
      <c r="G121" s="22">
        <f>SUM(F121:$F$137)</f>
        <v>5.7120682984242027E-2</v>
      </c>
    </row>
    <row r="122" spans="1:7" x14ac:dyDescent="0.2">
      <c r="A122" s="22">
        <v>113</v>
      </c>
      <c r="B122" s="22">
        <v>1.45</v>
      </c>
      <c r="C122" s="22">
        <f t="shared" si="3"/>
        <v>2.1024999999999999E-5</v>
      </c>
      <c r="D122" s="22">
        <f t="shared" si="4"/>
        <v>2.9724083704710389E-2</v>
      </c>
      <c r="E122" s="22">
        <f>SUM(D122:$D$137)</f>
        <v>5.5199312080740887E-2</v>
      </c>
      <c r="F122" s="22">
        <f t="shared" si="5"/>
        <v>1.4709339052064896E-2</v>
      </c>
      <c r="G122" s="22">
        <f>SUM(F122:$F$137)</f>
        <v>2.8340752891003268E-2</v>
      </c>
    </row>
    <row r="123" spans="1:7" x14ac:dyDescent="0.2">
      <c r="A123" s="22">
        <v>114</v>
      </c>
      <c r="B123" s="22">
        <v>0.72</v>
      </c>
      <c r="C123" s="22">
        <f t="shared" si="3"/>
        <v>5.1839999999999998E-6</v>
      </c>
      <c r="D123" s="22">
        <f t="shared" si="4"/>
        <v>1.4260429963279347E-2</v>
      </c>
      <c r="E123" s="22">
        <f>SUM(D123:$D$137)</f>
        <v>2.5475228376030497E-2</v>
      </c>
      <c r="F123" s="22">
        <f t="shared" si="5"/>
        <v>7.3979866849112029E-3</v>
      </c>
      <c r="G123" s="22">
        <f>SUM(F123:$F$137)</f>
        <v>1.3631413838938372E-2</v>
      </c>
    </row>
    <row r="124" spans="1:7" x14ac:dyDescent="0.2">
      <c r="A124" s="22">
        <v>115</v>
      </c>
      <c r="B124" s="22">
        <v>0.34</v>
      </c>
      <c r="C124" s="22">
        <f t="shared" si="3"/>
        <v>1.1560000000000002E-6</v>
      </c>
      <c r="D124" s="22">
        <f t="shared" si="4"/>
        <v>6.5063690116948193E-3</v>
      </c>
      <c r="E124" s="22">
        <f>SUM(D124:$D$137)</f>
        <v>1.1214798412751154E-2</v>
      </c>
      <c r="F124" s="22">
        <f t="shared" si="5"/>
        <v>3.5739066110682168E-3</v>
      </c>
      <c r="G124" s="22">
        <f>SUM(F124:$F$137)</f>
        <v>6.2334271540271701E-3</v>
      </c>
    </row>
    <row r="125" spans="1:7" x14ac:dyDescent="0.2">
      <c r="A125" s="22">
        <v>116</v>
      </c>
      <c r="B125" s="22">
        <v>0.15</v>
      </c>
      <c r="C125" s="22">
        <f t="shared" si="3"/>
        <v>2.2499999999999999E-7</v>
      </c>
      <c r="D125" s="22">
        <f t="shared" si="4"/>
        <v>2.7733883255306128E-3</v>
      </c>
      <c r="E125" s="22">
        <f>SUM(D125:$D$137)</f>
        <v>4.7084294010563349E-3</v>
      </c>
      <c r="F125" s="22">
        <f t="shared" si="5"/>
        <v>1.4539157329542703E-3</v>
      </c>
      <c r="G125" s="22">
        <f>SUM(F125:$F$137)</f>
        <v>2.6595205429589524E-3</v>
      </c>
    </row>
    <row r="126" spans="1:7" x14ac:dyDescent="0.2">
      <c r="A126" s="22">
        <v>117</v>
      </c>
      <c r="B126" s="22">
        <v>7.0000000000000007E-2</v>
      </c>
      <c r="C126" s="22">
        <f t="shared" si="3"/>
        <v>4.9000000000000009E-8</v>
      </c>
      <c r="D126" s="22">
        <f t="shared" si="4"/>
        <v>1.2504810485484247E-3</v>
      </c>
      <c r="E126" s="22">
        <f>SUM(D126:$D$137)</f>
        <v>1.9350410755257217E-3</v>
      </c>
      <c r="F126" s="22">
        <f t="shared" si="5"/>
        <v>7.0237475021945434E-4</v>
      </c>
      <c r="G126" s="22">
        <f>SUM(F126:$F$137)</f>
        <v>1.2056048100046826E-3</v>
      </c>
    </row>
    <row r="127" spans="1:7" x14ac:dyDescent="0.2">
      <c r="A127" s="22">
        <v>118</v>
      </c>
      <c r="B127" s="22">
        <v>0.03</v>
      </c>
      <c r="C127" s="22">
        <f t="shared" si="3"/>
        <v>8.9999999999999995E-9</v>
      </c>
      <c r="D127" s="22">
        <f t="shared" si="4"/>
        <v>5.1779753563081776E-4</v>
      </c>
      <c r="E127" s="22">
        <f>SUM(D127:$D$137)</f>
        <v>6.8456002697729699E-4</v>
      </c>
      <c r="F127" s="22">
        <f t="shared" si="5"/>
        <v>3.3931147353596816E-4</v>
      </c>
      <c r="G127" s="22">
        <f>SUM(F127:$F$137)</f>
        <v>5.0323005978522811E-4</v>
      </c>
    </row>
    <row r="128" spans="1:7" x14ac:dyDescent="0.2">
      <c r="A128" s="22">
        <v>119</v>
      </c>
      <c r="B128" s="22">
        <v>0.01</v>
      </c>
      <c r="C128" s="22">
        <f t="shared" si="3"/>
        <v>1.0000000000000001E-9</v>
      </c>
      <c r="D128" s="22">
        <f t="shared" si="4"/>
        <v>1.667624913464792E-4</v>
      </c>
      <c r="E128" s="22">
        <f>SUM(D128:$D$137)</f>
        <v>1.667624913464792E-4</v>
      </c>
      <c r="F128" s="22">
        <f t="shared" si="5"/>
        <v>1.6391858624925998E-4</v>
      </c>
      <c r="G128" s="22">
        <f>SUM(F128:$F$137)</f>
        <v>1.6391858624925998E-4</v>
      </c>
    </row>
    <row r="129" spans="1:7" x14ac:dyDescent="0.2">
      <c r="A129" s="22">
        <v>120</v>
      </c>
      <c r="B129" s="22">
        <v>0</v>
      </c>
      <c r="C129" s="22">
        <f t="shared" si="3"/>
        <v>0</v>
      </c>
      <c r="D129" s="22">
        <f t="shared" si="4"/>
        <v>0</v>
      </c>
      <c r="E129" s="22">
        <f>SUM(D129:$D$137)</f>
        <v>0</v>
      </c>
      <c r="F129" s="22">
        <f t="shared" si="5"/>
        <v>0</v>
      </c>
      <c r="G129" s="22">
        <f>SUM(F129:$F$137)</f>
        <v>0</v>
      </c>
    </row>
    <row r="130" spans="1:7" x14ac:dyDescent="0.2">
      <c r="A130" s="22">
        <v>121</v>
      </c>
      <c r="B130" s="22">
        <v>0</v>
      </c>
      <c r="C130" s="22">
        <f t="shared" si="3"/>
        <v>0</v>
      </c>
      <c r="D130" s="22">
        <f t="shared" si="4"/>
        <v>0</v>
      </c>
      <c r="E130" s="22">
        <f>SUM(D130:$D$137)</f>
        <v>0</v>
      </c>
      <c r="F130" s="22">
        <f t="shared" si="5"/>
        <v>0</v>
      </c>
      <c r="G130" s="22">
        <f>SUM(F130:$F$137)</f>
        <v>0</v>
      </c>
    </row>
    <row r="131" spans="1:7" x14ac:dyDescent="0.2">
      <c r="A131" s="22">
        <v>122</v>
      </c>
      <c r="B131" s="22">
        <v>0</v>
      </c>
      <c r="C131" s="22">
        <f t="shared" si="3"/>
        <v>0</v>
      </c>
      <c r="D131" s="22">
        <f t="shared" si="4"/>
        <v>0</v>
      </c>
      <c r="E131" s="22">
        <f>SUM(D131:$D$137)</f>
        <v>0</v>
      </c>
      <c r="F131" s="22">
        <f t="shared" si="5"/>
        <v>0</v>
      </c>
      <c r="G131" s="22">
        <f>SUM(F131:$F$137)</f>
        <v>0</v>
      </c>
    </row>
    <row r="132" spans="1:7" x14ac:dyDescent="0.2">
      <c r="A132" s="22">
        <v>123</v>
      </c>
      <c r="B132" s="22">
        <v>0</v>
      </c>
      <c r="C132" s="22">
        <f t="shared" si="3"/>
        <v>0</v>
      </c>
      <c r="D132" s="22">
        <f t="shared" si="4"/>
        <v>0</v>
      </c>
      <c r="E132" s="22">
        <f>SUM(D132:$D$137)</f>
        <v>0</v>
      </c>
      <c r="F132" s="22">
        <f t="shared" si="5"/>
        <v>0</v>
      </c>
      <c r="G132" s="22">
        <f>SUM(F132:$F$137)</f>
        <v>0</v>
      </c>
    </row>
    <row r="133" spans="1:7" x14ac:dyDescent="0.2">
      <c r="A133" s="22">
        <v>124</v>
      </c>
      <c r="B133" s="22">
        <v>0</v>
      </c>
      <c r="C133" s="22">
        <f t="shared" si="3"/>
        <v>0</v>
      </c>
      <c r="D133" s="22">
        <f t="shared" si="4"/>
        <v>0</v>
      </c>
      <c r="E133" s="22">
        <f>SUM(D133:$D$137)</f>
        <v>0</v>
      </c>
      <c r="F133" s="22">
        <f t="shared" si="5"/>
        <v>0</v>
      </c>
      <c r="G133" s="22">
        <f>SUM(F133:$F$137)</f>
        <v>0</v>
      </c>
    </row>
    <row r="134" spans="1:7" x14ac:dyDescent="0.2">
      <c r="A134" s="22">
        <v>125</v>
      </c>
      <c r="B134" s="22">
        <v>0</v>
      </c>
      <c r="C134" s="22">
        <f t="shared" si="3"/>
        <v>0</v>
      </c>
      <c r="D134" s="22">
        <f t="shared" si="4"/>
        <v>0</v>
      </c>
      <c r="E134" s="22">
        <f>SUM(D134:$D$137)</f>
        <v>0</v>
      </c>
      <c r="F134" s="22">
        <f t="shared" si="5"/>
        <v>0</v>
      </c>
      <c r="G134" s="22">
        <f>SUM(F134:$F$137)</f>
        <v>0</v>
      </c>
    </row>
    <row r="135" spans="1:7" x14ac:dyDescent="0.2">
      <c r="A135" s="22">
        <v>126</v>
      </c>
      <c r="B135" s="22">
        <v>0</v>
      </c>
      <c r="C135" s="22">
        <f t="shared" si="3"/>
        <v>0</v>
      </c>
      <c r="D135" s="22">
        <f t="shared" si="4"/>
        <v>0</v>
      </c>
      <c r="E135" s="22">
        <f>SUM(D135:$D$137)</f>
        <v>0</v>
      </c>
      <c r="F135" s="22">
        <f t="shared" si="5"/>
        <v>0</v>
      </c>
      <c r="G135" s="22">
        <f>SUM(F135:$F$137)</f>
        <v>0</v>
      </c>
    </row>
    <row r="136" spans="1:7" x14ac:dyDescent="0.2">
      <c r="A136" s="22">
        <v>127</v>
      </c>
      <c r="B136" s="22">
        <v>0</v>
      </c>
      <c r="C136" s="22">
        <f t="shared" si="3"/>
        <v>0</v>
      </c>
      <c r="D136" s="22">
        <f t="shared" si="4"/>
        <v>0</v>
      </c>
      <c r="E136" s="22">
        <f>SUM(D136:$D$137)</f>
        <v>0</v>
      </c>
      <c r="F136" s="22">
        <f t="shared" si="5"/>
        <v>0</v>
      </c>
      <c r="G136" s="22">
        <f>SUM(F136:$F$137)</f>
        <v>0</v>
      </c>
    </row>
    <row r="137" spans="1:7" x14ac:dyDescent="0.2">
      <c r="A137" s="22">
        <v>128</v>
      </c>
      <c r="B137" s="22">
        <v>0</v>
      </c>
      <c r="C137" s="22">
        <f t="shared" si="3"/>
        <v>0</v>
      </c>
      <c r="D137" s="22">
        <f t="shared" si="4"/>
        <v>0</v>
      </c>
      <c r="E137" s="22">
        <f>SUM(D137:$D$137)</f>
        <v>0</v>
      </c>
      <c r="F137" s="22">
        <f t="shared" si="5"/>
        <v>0</v>
      </c>
      <c r="G137" s="22">
        <f>SUM(F137:$F$137)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137"/>
  <sheetViews>
    <sheetView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F9" sqref="F9:F137"/>
    </sheetView>
  </sheetViews>
  <sheetFormatPr baseColWidth="10" defaultRowHeight="12.75" x14ac:dyDescent="0.2"/>
  <cols>
    <col min="1" max="16384" width="11.42578125" style="22"/>
  </cols>
  <sheetData>
    <row r="1" spans="1:7" x14ac:dyDescent="0.2">
      <c r="A1" s="22" t="s">
        <v>71</v>
      </c>
      <c r="B1" s="23">
        <f>1/(1+'Proj Cash Flows'!K2/100)</f>
        <v>0.96618357487922713</v>
      </c>
    </row>
    <row r="8" spans="1:7" x14ac:dyDescent="0.2">
      <c r="A8" s="22" t="s">
        <v>42</v>
      </c>
      <c r="B8" s="22" t="s">
        <v>69</v>
      </c>
      <c r="C8" s="22" t="s">
        <v>70</v>
      </c>
      <c r="D8" s="22" t="s">
        <v>72</v>
      </c>
      <c r="E8" s="22" t="s">
        <v>73</v>
      </c>
      <c r="F8" s="22" t="s">
        <v>74</v>
      </c>
      <c r="G8" s="22" t="s">
        <v>75</v>
      </c>
    </row>
    <row r="9" spans="1:7" x14ac:dyDescent="0.2">
      <c r="A9" s="22">
        <v>0</v>
      </c>
      <c r="B9" s="22">
        <v>100000</v>
      </c>
      <c r="C9" s="22">
        <f>B9^2/$B$9</f>
        <v>100000</v>
      </c>
      <c r="D9" s="22">
        <f>B9*$B$1^A9</f>
        <v>100000</v>
      </c>
      <c r="E9" s="22">
        <f>SUM(D9:$D$137)</f>
        <v>2766926.5631749695</v>
      </c>
      <c r="F9" s="22">
        <f>(B9-B10)*$B$1^(A9+0.5)</f>
        <v>0</v>
      </c>
      <c r="G9" s="22">
        <f>SUM(F9:$F$137)</f>
        <v>6544.0345775375245</v>
      </c>
    </row>
    <row r="10" spans="1:7" x14ac:dyDescent="0.2">
      <c r="A10" s="22">
        <v>1</v>
      </c>
      <c r="B10" s="22">
        <v>100000</v>
      </c>
      <c r="C10" s="22">
        <f t="shared" ref="C10:C73" si="0">B10^2/$B$9</f>
        <v>100000</v>
      </c>
      <c r="D10" s="22">
        <f t="shared" ref="D10:D73" si="1">B10*$B$1^A10</f>
        <v>96618.357487922709</v>
      </c>
      <c r="E10" s="22">
        <f>SUM(D10:$D$137)</f>
        <v>2666926.5631749704</v>
      </c>
      <c r="F10" s="22">
        <f t="shared" ref="F10:F73" si="2">(B10-B11)*$B$1^(A10+0.5)</f>
        <v>0</v>
      </c>
      <c r="G10" s="22">
        <f>SUM(F10:$F$137)</f>
        <v>6544.0345775375245</v>
      </c>
    </row>
    <row r="11" spans="1:7" x14ac:dyDescent="0.2">
      <c r="A11" s="22">
        <v>2</v>
      </c>
      <c r="B11" s="22">
        <v>100000</v>
      </c>
      <c r="C11" s="22">
        <f t="shared" si="0"/>
        <v>100000</v>
      </c>
      <c r="D11" s="22">
        <f t="shared" si="1"/>
        <v>93351.070036640303</v>
      </c>
      <c r="E11" s="22">
        <f>SUM(D11:$D$137)</f>
        <v>2570308.205687047</v>
      </c>
      <c r="F11" s="22">
        <f t="shared" si="2"/>
        <v>0</v>
      </c>
      <c r="G11" s="22">
        <f>SUM(F11:$F$137)</f>
        <v>6544.0345775375245</v>
      </c>
    </row>
    <row r="12" spans="1:7" x14ac:dyDescent="0.2">
      <c r="A12" s="22">
        <v>3</v>
      </c>
      <c r="B12" s="22">
        <v>100000</v>
      </c>
      <c r="C12" s="22">
        <f t="shared" si="0"/>
        <v>100000</v>
      </c>
      <c r="D12" s="22">
        <f t="shared" si="1"/>
        <v>90194.270566802239</v>
      </c>
      <c r="E12" s="22">
        <f>SUM(D12:$D$137)</f>
        <v>2476957.1356504066</v>
      </c>
      <c r="F12" s="22">
        <f t="shared" si="2"/>
        <v>0</v>
      </c>
      <c r="G12" s="22">
        <f>SUM(F12:$F$137)</f>
        <v>6544.0345775375245</v>
      </c>
    </row>
    <row r="13" spans="1:7" x14ac:dyDescent="0.2">
      <c r="A13" s="22">
        <v>4</v>
      </c>
      <c r="B13" s="22">
        <v>100000</v>
      </c>
      <c r="C13" s="22">
        <f t="shared" si="0"/>
        <v>100000</v>
      </c>
      <c r="D13" s="22">
        <f t="shared" si="1"/>
        <v>87144.222769857239</v>
      </c>
      <c r="E13" s="22">
        <f>SUM(D13:$D$137)</f>
        <v>2386762.8650836041</v>
      </c>
      <c r="F13" s="22">
        <f t="shared" si="2"/>
        <v>0</v>
      </c>
      <c r="G13" s="22">
        <f>SUM(F13:$F$137)</f>
        <v>6544.0345775375245</v>
      </c>
    </row>
    <row r="14" spans="1:7" x14ac:dyDescent="0.2">
      <c r="A14" s="22">
        <v>5</v>
      </c>
      <c r="B14" s="22">
        <v>100000</v>
      </c>
      <c r="C14" s="22">
        <f t="shared" si="0"/>
        <v>100000</v>
      </c>
      <c r="D14" s="22">
        <f t="shared" si="1"/>
        <v>84197.316685852405</v>
      </c>
      <c r="E14" s="22">
        <f>SUM(D14:$D$137)</f>
        <v>2299618.6423137467</v>
      </c>
      <c r="F14" s="22">
        <f t="shared" si="2"/>
        <v>0</v>
      </c>
      <c r="G14" s="22">
        <f>SUM(F14:$F$137)</f>
        <v>6544.0345775375245</v>
      </c>
    </row>
    <row r="15" spans="1:7" x14ac:dyDescent="0.2">
      <c r="A15" s="22">
        <v>6</v>
      </c>
      <c r="B15" s="22">
        <v>100000</v>
      </c>
      <c r="C15" s="22">
        <f t="shared" si="0"/>
        <v>100000</v>
      </c>
      <c r="D15" s="22">
        <f t="shared" si="1"/>
        <v>81350.064430775281</v>
      </c>
      <c r="E15" s="22">
        <f>SUM(D15:$D$137)</f>
        <v>2215421.3256278946</v>
      </c>
      <c r="F15" s="22">
        <f t="shared" si="2"/>
        <v>0</v>
      </c>
      <c r="G15" s="22">
        <f>SUM(F15:$F$137)</f>
        <v>6544.0345775375245</v>
      </c>
    </row>
    <row r="16" spans="1:7" x14ac:dyDescent="0.2">
      <c r="A16" s="22">
        <v>7</v>
      </c>
      <c r="B16" s="22">
        <v>100000</v>
      </c>
      <c r="C16" s="22">
        <f t="shared" si="0"/>
        <v>100000</v>
      </c>
      <c r="D16" s="22">
        <f t="shared" si="1"/>
        <v>78599.096068381928</v>
      </c>
      <c r="E16" s="22">
        <f>SUM(D16:$D$137)</f>
        <v>2134071.261197119</v>
      </c>
      <c r="F16" s="22">
        <f t="shared" si="2"/>
        <v>0</v>
      </c>
      <c r="G16" s="22">
        <f>SUM(F16:$F$137)</f>
        <v>6544.0345775375245</v>
      </c>
    </row>
    <row r="17" spans="1:7" x14ac:dyDescent="0.2">
      <c r="A17" s="22">
        <v>8</v>
      </c>
      <c r="B17" s="22">
        <v>100000</v>
      </c>
      <c r="C17" s="22">
        <f t="shared" si="0"/>
        <v>100000</v>
      </c>
      <c r="D17" s="22">
        <f t="shared" si="1"/>
        <v>75941.155621625046</v>
      </c>
      <c r="E17" s="22">
        <f>SUM(D17:$D$137)</f>
        <v>2055472.1651287398</v>
      </c>
      <c r="F17" s="22">
        <f t="shared" si="2"/>
        <v>0</v>
      </c>
      <c r="G17" s="22">
        <f>SUM(F17:$F$137)</f>
        <v>6544.0345775375245</v>
      </c>
    </row>
    <row r="18" spans="1:7" x14ac:dyDescent="0.2">
      <c r="A18" s="22">
        <v>9</v>
      </c>
      <c r="B18" s="22">
        <v>100000</v>
      </c>
      <c r="C18" s="22">
        <f t="shared" si="0"/>
        <v>100000</v>
      </c>
      <c r="D18" s="22">
        <f t="shared" si="1"/>
        <v>73373.097218961397</v>
      </c>
      <c r="E18" s="22">
        <f>SUM(D18:$D$137)</f>
        <v>1979531.0095071148</v>
      </c>
      <c r="F18" s="22">
        <f t="shared" si="2"/>
        <v>0</v>
      </c>
      <c r="G18" s="22">
        <f>SUM(F18:$F$137)</f>
        <v>6544.0345775375245</v>
      </c>
    </row>
    <row r="19" spans="1:7" x14ac:dyDescent="0.2">
      <c r="A19" s="22">
        <v>10</v>
      </c>
      <c r="B19" s="22">
        <v>100000</v>
      </c>
      <c r="C19" s="22">
        <f t="shared" si="0"/>
        <v>100000</v>
      </c>
      <c r="D19" s="22">
        <f t="shared" si="1"/>
        <v>70891.881370977208</v>
      </c>
      <c r="E19" s="22">
        <f>SUM(D19:$D$137)</f>
        <v>1906157.9122881533</v>
      </c>
      <c r="F19" s="22">
        <f t="shared" si="2"/>
        <v>0</v>
      </c>
      <c r="G19" s="22">
        <f>SUM(F19:$F$137)</f>
        <v>6544.0345775375245</v>
      </c>
    </row>
    <row r="20" spans="1:7" x14ac:dyDescent="0.2">
      <c r="A20" s="22">
        <v>11</v>
      </c>
      <c r="B20" s="22">
        <v>100000</v>
      </c>
      <c r="C20" s="22">
        <f t="shared" si="0"/>
        <v>100000</v>
      </c>
      <c r="D20" s="22">
        <f t="shared" si="1"/>
        <v>68494.571372924838</v>
      </c>
      <c r="E20" s="22">
        <f>SUM(D20:$D$137)</f>
        <v>1835266.0309171763</v>
      </c>
      <c r="F20" s="22">
        <f t="shared" si="2"/>
        <v>0</v>
      </c>
      <c r="G20" s="22">
        <f>SUM(F20:$F$137)</f>
        <v>6544.0345775375245</v>
      </c>
    </row>
    <row r="21" spans="1:7" x14ac:dyDescent="0.2">
      <c r="A21" s="22">
        <v>12</v>
      </c>
      <c r="B21" s="22">
        <v>100000</v>
      </c>
      <c r="C21" s="22">
        <f t="shared" si="0"/>
        <v>100000</v>
      </c>
      <c r="D21" s="22">
        <f t="shared" si="1"/>
        <v>66178.329828912902</v>
      </c>
      <c r="E21" s="22">
        <f>SUM(D21:$D$137)</f>
        <v>1766771.459544251</v>
      </c>
      <c r="F21" s="22">
        <f t="shared" si="2"/>
        <v>0</v>
      </c>
      <c r="G21" s="22">
        <f>SUM(F21:$F$137)</f>
        <v>6544.0345775375245</v>
      </c>
    </row>
    <row r="22" spans="1:7" x14ac:dyDescent="0.2">
      <c r="A22" s="22">
        <v>13</v>
      </c>
      <c r="B22" s="22">
        <v>100000</v>
      </c>
      <c r="C22" s="22">
        <f t="shared" si="0"/>
        <v>100000</v>
      </c>
      <c r="D22" s="22">
        <f t="shared" si="1"/>
        <v>63940.41529363564</v>
      </c>
      <c r="E22" s="22">
        <f>SUM(D22:$D$137)</f>
        <v>1700593.1297153381</v>
      </c>
      <c r="F22" s="22">
        <f t="shared" si="2"/>
        <v>0</v>
      </c>
      <c r="G22" s="22">
        <f>SUM(F22:$F$137)</f>
        <v>6544.0345775375245</v>
      </c>
    </row>
    <row r="23" spans="1:7" x14ac:dyDescent="0.2">
      <c r="A23" s="22">
        <v>14</v>
      </c>
      <c r="B23" s="22">
        <v>100000</v>
      </c>
      <c r="C23" s="22">
        <f t="shared" si="0"/>
        <v>100000</v>
      </c>
      <c r="D23" s="22">
        <f t="shared" si="1"/>
        <v>61778.179027667298</v>
      </c>
      <c r="E23" s="22">
        <f>SUM(D23:$D$137)</f>
        <v>1636652.7144217023</v>
      </c>
      <c r="F23" s="22">
        <f t="shared" si="2"/>
        <v>0</v>
      </c>
      <c r="G23" s="22">
        <f>SUM(F23:$F$137)</f>
        <v>6544.0345775375245</v>
      </c>
    </row>
    <row r="24" spans="1:7" x14ac:dyDescent="0.2">
      <c r="A24" s="22">
        <v>15</v>
      </c>
      <c r="B24" s="22">
        <v>100000</v>
      </c>
      <c r="C24" s="22">
        <f t="shared" si="0"/>
        <v>100000</v>
      </c>
      <c r="D24" s="22">
        <f t="shared" si="1"/>
        <v>59689.061862480485</v>
      </c>
      <c r="E24" s="22">
        <f>SUM(D24:$D$137)</f>
        <v>1574874.535394035</v>
      </c>
      <c r="F24" s="22">
        <f t="shared" si="2"/>
        <v>17.360792381624702</v>
      </c>
      <c r="G24" s="22">
        <f>SUM(F24:$F$137)</f>
        <v>6544.0345775375245</v>
      </c>
    </row>
    <row r="25" spans="1:7" x14ac:dyDescent="0.2">
      <c r="A25" s="22">
        <v>16</v>
      </c>
      <c r="B25" s="22">
        <v>99970.41</v>
      </c>
      <c r="C25" s="22">
        <f t="shared" si="0"/>
        <v>99940.828755680996</v>
      </c>
      <c r="D25" s="22">
        <f t="shared" si="1"/>
        <v>57653.526443551098</v>
      </c>
      <c r="E25" s="22">
        <f>SUM(D25:$D$137)</f>
        <v>1515185.4735315547</v>
      </c>
      <c r="F25" s="22">
        <f t="shared" si="2"/>
        <v>18.797441862452022</v>
      </c>
      <c r="G25" s="22">
        <f>SUM(F25:$F$137)</f>
        <v>6526.673785155901</v>
      </c>
    </row>
    <row r="26" spans="1:7" x14ac:dyDescent="0.2">
      <c r="A26" s="22">
        <v>17</v>
      </c>
      <c r="B26" s="22">
        <v>99937.25</v>
      </c>
      <c r="C26" s="22">
        <f t="shared" si="0"/>
        <v>99874.539375624998</v>
      </c>
      <c r="D26" s="22">
        <f t="shared" si="1"/>
        <v>55685.413406298205</v>
      </c>
      <c r="E26" s="22">
        <f>SUM(D26:$D$137)</f>
        <v>1457531.9470880039</v>
      </c>
      <c r="F26" s="22">
        <f t="shared" si="2"/>
        <v>18.758774141154699</v>
      </c>
      <c r="G26" s="22">
        <f>SUM(F26:$F$137)</f>
        <v>6507.8763432934484</v>
      </c>
    </row>
    <row r="27" spans="1:7" x14ac:dyDescent="0.2">
      <c r="A27" s="22">
        <v>18</v>
      </c>
      <c r="B27" s="22">
        <v>99903</v>
      </c>
      <c r="C27" s="22">
        <f t="shared" si="0"/>
        <v>99806.094089999999</v>
      </c>
      <c r="D27" s="22">
        <f t="shared" si="1"/>
        <v>53783.892924495238</v>
      </c>
      <c r="E27" s="22">
        <f>SUM(D27:$D$137)</f>
        <v>1401846.5336817054</v>
      </c>
      <c r="F27" s="22">
        <f t="shared" si="2"/>
        <v>17.933914613173158</v>
      </c>
      <c r="G27" s="22">
        <f>SUM(F27:$F$137)</f>
        <v>6489.1175691522949</v>
      </c>
    </row>
    <row r="28" spans="1:7" x14ac:dyDescent="0.2">
      <c r="A28" s="22">
        <v>19</v>
      </c>
      <c r="B28" s="22">
        <v>99869.11</v>
      </c>
      <c r="C28" s="22">
        <f t="shared" si="0"/>
        <v>99738.391321921008</v>
      </c>
      <c r="D28" s="22">
        <f t="shared" si="1"/>
        <v>51947.485860363173</v>
      </c>
      <c r="E28" s="22">
        <f>SUM(D28:$D$137)</f>
        <v>1348062.6407572103</v>
      </c>
      <c r="F28" s="22">
        <f t="shared" si="2"/>
        <v>16.867297097563061</v>
      </c>
      <c r="G28" s="22">
        <f>SUM(F28:$F$137)</f>
        <v>6471.1836545391216</v>
      </c>
    </row>
    <row r="29" spans="1:7" x14ac:dyDescent="0.2">
      <c r="A29" s="22">
        <v>20</v>
      </c>
      <c r="B29" s="22">
        <v>99836.12</v>
      </c>
      <c r="C29" s="22">
        <f t="shared" si="0"/>
        <v>99672.508566543998</v>
      </c>
      <c r="D29" s="22">
        <f t="shared" si="1"/>
        <v>50174.227946026382</v>
      </c>
      <c r="E29" s="22">
        <f>SUM(D29:$D$137)</f>
        <v>1296115.1548968472</v>
      </c>
      <c r="F29" s="22">
        <f t="shared" si="2"/>
        <v>16.089427376394664</v>
      </c>
      <c r="G29" s="22">
        <f>SUM(F29:$F$137)</f>
        <v>6454.3163574415576</v>
      </c>
    </row>
    <row r="30" spans="1:7" x14ac:dyDescent="0.2">
      <c r="A30" s="22">
        <v>21</v>
      </c>
      <c r="B30" s="22">
        <v>99803.55</v>
      </c>
      <c r="C30" s="22">
        <f t="shared" si="0"/>
        <v>99607.485926025009</v>
      </c>
      <c r="D30" s="22">
        <f t="shared" si="1"/>
        <v>48461.699879391737</v>
      </c>
      <c r="E30" s="22">
        <f>SUM(D30:$D$137)</f>
        <v>1245940.926950821</v>
      </c>
      <c r="F30" s="22">
        <f t="shared" si="2"/>
        <v>16.022630618728499</v>
      </c>
      <c r="G30" s="22">
        <f>SUM(F30:$F$137)</f>
        <v>6438.2269300651624</v>
      </c>
    </row>
    <row r="31" spans="1:7" x14ac:dyDescent="0.2">
      <c r="A31" s="22">
        <v>22</v>
      </c>
      <c r="B31" s="22">
        <v>99769.98</v>
      </c>
      <c r="C31" s="22">
        <f t="shared" si="0"/>
        <v>99540.489092003991</v>
      </c>
      <c r="D31" s="22">
        <f t="shared" si="1"/>
        <v>46807.149047520441</v>
      </c>
      <c r="E31" s="22">
        <f>SUM(D31:$D$137)</f>
        <v>1197479.2270714289</v>
      </c>
      <c r="F31" s="22">
        <f t="shared" si="2"/>
        <v>16.624454310772901</v>
      </c>
      <c r="G31" s="22">
        <f>SUM(F31:$F$137)</f>
        <v>6422.2042994464337</v>
      </c>
    </row>
    <row r="32" spans="1:7" x14ac:dyDescent="0.2">
      <c r="A32" s="22">
        <v>23</v>
      </c>
      <c r="B32" s="22">
        <v>99733.93</v>
      </c>
      <c r="C32" s="22">
        <f t="shared" si="0"/>
        <v>99468.567932448976</v>
      </c>
      <c r="D32" s="22">
        <f t="shared" si="1"/>
        <v>45207.957649547527</v>
      </c>
      <c r="E32" s="22">
        <f>SUM(D32:$D$137)</f>
        <v>1150672.0780239087</v>
      </c>
      <c r="F32" s="22">
        <f t="shared" si="2"/>
        <v>17.376663333134758</v>
      </c>
      <c r="G32" s="22">
        <f>SUM(F32:$F$137)</f>
        <v>6405.5798451356623</v>
      </c>
    </row>
    <row r="33" spans="1:7" x14ac:dyDescent="0.2">
      <c r="A33" s="22">
        <v>24</v>
      </c>
      <c r="B33" s="22">
        <v>99694.93</v>
      </c>
      <c r="C33" s="22">
        <f t="shared" si="0"/>
        <v>99390.790677048994</v>
      </c>
      <c r="D33" s="22">
        <f t="shared" si="1"/>
        <v>43662.10580660664</v>
      </c>
      <c r="E33" s="22">
        <f>SUM(D33:$D$137)</f>
        <v>1105464.1203743611</v>
      </c>
      <c r="F33" s="22">
        <f t="shared" si="2"/>
        <v>18.080511829348691</v>
      </c>
      <c r="G33" s="22">
        <f>SUM(F33:$F$137)</f>
        <v>6388.2031818025262</v>
      </c>
    </row>
    <row r="34" spans="1:7" x14ac:dyDescent="0.2">
      <c r="A34" s="22">
        <v>25</v>
      </c>
      <c r="B34" s="22">
        <v>99652.93</v>
      </c>
      <c r="C34" s="22">
        <f t="shared" si="0"/>
        <v>99307.064575848985</v>
      </c>
      <c r="D34" s="22">
        <f t="shared" si="1"/>
        <v>42167.837301432926</v>
      </c>
      <c r="E34" s="22">
        <f>SUM(D34:$D$137)</f>
        <v>1061802.0145677547</v>
      </c>
      <c r="F34" s="22">
        <f t="shared" si="2"/>
        <v>18.708567335726492</v>
      </c>
      <c r="G34" s="22">
        <f>SUM(F34:$F$137)</f>
        <v>6370.1226699731778</v>
      </c>
    </row>
    <row r="35" spans="1:7" x14ac:dyDescent="0.2">
      <c r="A35" s="22">
        <v>26</v>
      </c>
      <c r="B35" s="22">
        <v>99607.95</v>
      </c>
      <c r="C35" s="22">
        <f t="shared" si="0"/>
        <v>99217.437032024987</v>
      </c>
      <c r="D35" s="22">
        <f t="shared" si="1"/>
        <v>40723.482270391854</v>
      </c>
      <c r="E35" s="22">
        <f>SUM(D35:$D$137)</f>
        <v>1019634.1772663209</v>
      </c>
      <c r="F35" s="22">
        <f t="shared" si="2"/>
        <v>19.289544298055237</v>
      </c>
      <c r="G35" s="22">
        <f>SUM(F35:$F$137)</f>
        <v>6351.4141026374509</v>
      </c>
    </row>
    <row r="36" spans="1:7" x14ac:dyDescent="0.2">
      <c r="A36" s="22">
        <v>27</v>
      </c>
      <c r="B36" s="22">
        <v>99559.95</v>
      </c>
      <c r="C36" s="22">
        <f t="shared" si="0"/>
        <v>99121.836440024985</v>
      </c>
      <c r="D36" s="22">
        <f t="shared" si="1"/>
        <v>39327.399093907079</v>
      </c>
      <c r="E36" s="22">
        <f>SUM(D36:$D$137)</f>
        <v>978910.69499592925</v>
      </c>
      <c r="F36" s="22">
        <f t="shared" si="2"/>
        <v>19.825364973000312</v>
      </c>
      <c r="G36" s="22">
        <f>SUM(F36:$F$137)</f>
        <v>6332.1245583393957</v>
      </c>
    </row>
    <row r="37" spans="1:7" x14ac:dyDescent="0.2">
      <c r="A37" s="22">
        <v>28</v>
      </c>
      <c r="B37" s="22">
        <v>99508.89</v>
      </c>
      <c r="C37" s="22">
        <f t="shared" si="0"/>
        <v>99020.191890321003</v>
      </c>
      <c r="D37" s="22">
        <f t="shared" si="1"/>
        <v>37977.999776632532</v>
      </c>
      <c r="E37" s="22">
        <f>SUM(D37:$D$137)</f>
        <v>939583.29590202216</v>
      </c>
      <c r="F37" s="22">
        <f t="shared" si="2"/>
        <v>20.336651115889481</v>
      </c>
      <c r="G37" s="22">
        <f>SUM(F37:$F$137)</f>
        <v>6312.2991933663961</v>
      </c>
    </row>
    <row r="38" spans="1:7" x14ac:dyDescent="0.2">
      <c r="A38" s="22">
        <v>29</v>
      </c>
      <c r="B38" s="22">
        <v>99454.68</v>
      </c>
      <c r="C38" s="22">
        <f t="shared" si="0"/>
        <v>98912.33373902399</v>
      </c>
      <c r="D38" s="22">
        <f t="shared" si="1"/>
        <v>36673.729753468186</v>
      </c>
      <c r="E38" s="22">
        <f>SUM(D38:$D$137)</f>
        <v>901605.29612538964</v>
      </c>
      <c r="F38" s="22">
        <f t="shared" si="2"/>
        <v>20.834181370909633</v>
      </c>
      <c r="G38" s="22">
        <f>SUM(F38:$F$137)</f>
        <v>6291.9625422505069</v>
      </c>
    </row>
    <row r="39" spans="1:7" x14ac:dyDescent="0.2">
      <c r="A39" s="22">
        <v>30</v>
      </c>
      <c r="B39" s="22">
        <v>99397.2</v>
      </c>
      <c r="C39" s="22">
        <f t="shared" si="0"/>
        <v>98798.033678399996</v>
      </c>
      <c r="D39" s="22">
        <f t="shared" si="1"/>
        <v>35413.076434319155</v>
      </c>
      <c r="E39" s="22">
        <f>SUM(D39:$D$137)</f>
        <v>864931.56637192145</v>
      </c>
      <c r="F39" s="22">
        <f t="shared" si="2"/>
        <v>21.323834607034335</v>
      </c>
      <c r="G39" s="22">
        <f>SUM(F39:$F$137)</f>
        <v>6271.1283608795966</v>
      </c>
    </row>
    <row r="40" spans="1:7" x14ac:dyDescent="0.2">
      <c r="A40" s="22">
        <v>31</v>
      </c>
      <c r="B40" s="22">
        <v>99336.31</v>
      </c>
      <c r="C40" s="22">
        <f t="shared" si="0"/>
        <v>98677.024844161002</v>
      </c>
      <c r="D40" s="22">
        <f t="shared" si="1"/>
        <v>34194.572600867235</v>
      </c>
      <c r="E40" s="22">
        <f>SUM(D40:$D$137)</f>
        <v>829518.48993760219</v>
      </c>
      <c r="F40" s="22">
        <f t="shared" si="2"/>
        <v>21.820834653246713</v>
      </c>
      <c r="G40" s="22">
        <f>SUM(F40:$F$137)</f>
        <v>6249.8045262725627</v>
      </c>
    </row>
    <row r="41" spans="1:7" x14ac:dyDescent="0.2">
      <c r="A41" s="22">
        <v>32</v>
      </c>
      <c r="B41" s="22">
        <v>99271.82</v>
      </c>
      <c r="C41" s="22">
        <f t="shared" si="0"/>
        <v>98548.942461124025</v>
      </c>
      <c r="D41" s="22">
        <f t="shared" si="1"/>
        <v>33016.785686665127</v>
      </c>
      <c r="E41" s="22">
        <f>SUM(D41:$D$137)</f>
        <v>795323.91733673506</v>
      </c>
      <c r="F41" s="22">
        <f t="shared" si="2"/>
        <v>22.318681498422883</v>
      </c>
      <c r="G41" s="22">
        <f>SUM(F41:$F$137)</f>
        <v>6227.9836916193162</v>
      </c>
    </row>
    <row r="42" spans="1:7" x14ac:dyDescent="0.2">
      <c r="A42" s="22">
        <v>33</v>
      </c>
      <c r="B42" s="22">
        <v>99203.55</v>
      </c>
      <c r="C42" s="22">
        <f t="shared" si="0"/>
        <v>98413.443326025008</v>
      </c>
      <c r="D42" s="22">
        <f t="shared" si="1"/>
        <v>31878.337958703905</v>
      </c>
      <c r="E42" s="22">
        <f>SUM(D42:$D$137)</f>
        <v>762307.13165006984</v>
      </c>
      <c r="F42" s="22">
        <f t="shared" si="2"/>
        <v>22.833711351009327</v>
      </c>
      <c r="G42" s="22">
        <f>SUM(F42:$F$137)</f>
        <v>6205.6650101208925</v>
      </c>
    </row>
    <row r="43" spans="1:7" x14ac:dyDescent="0.2">
      <c r="A43" s="22">
        <v>34</v>
      </c>
      <c r="B43" s="22">
        <v>99131.26</v>
      </c>
      <c r="C43" s="22">
        <f t="shared" si="0"/>
        <v>98270.067091875986</v>
      </c>
      <c r="D43" s="22">
        <f t="shared" si="1"/>
        <v>30777.882216362905</v>
      </c>
      <c r="E43" s="22">
        <f>SUM(D43:$D$137)</f>
        <v>730428.79369136598</v>
      </c>
      <c r="F43" s="22">
        <f t="shared" si="2"/>
        <v>23.373836491553785</v>
      </c>
      <c r="G43" s="22">
        <f>SUM(F43:$F$137)</f>
        <v>6182.8312987698828</v>
      </c>
    </row>
    <row r="44" spans="1:7" x14ac:dyDescent="0.2">
      <c r="A44" s="22">
        <v>35</v>
      </c>
      <c r="B44" s="22">
        <v>99054.67</v>
      </c>
      <c r="C44" s="22">
        <f t="shared" si="0"/>
        <v>98118.276488088988</v>
      </c>
      <c r="D44" s="22">
        <f t="shared" si="1"/>
        <v>29714.109039182909</v>
      </c>
      <c r="E44" s="22">
        <f>SUM(D44:$D$137)</f>
        <v>699650.91147500323</v>
      </c>
      <c r="F44" s="22">
        <f t="shared" si="2"/>
        <v>23.930932440375773</v>
      </c>
      <c r="G44" s="22">
        <f>SUM(F44:$F$137)</f>
        <v>6159.4574622783293</v>
      </c>
    </row>
    <row r="45" spans="1:7" x14ac:dyDescent="0.2">
      <c r="A45" s="22">
        <v>36</v>
      </c>
      <c r="B45" s="22">
        <v>98973.51</v>
      </c>
      <c r="C45" s="22">
        <f t="shared" si="0"/>
        <v>97957.556817200981</v>
      </c>
      <c r="D45" s="22">
        <f t="shared" si="1"/>
        <v>28685.761272551434</v>
      </c>
      <c r="E45" s="22">
        <f>SUM(D45:$D$137)</f>
        <v>669936.80243582022</v>
      </c>
      <c r="F45" s="22">
        <f t="shared" si="2"/>
        <v>24.511937142945282</v>
      </c>
      <c r="G45" s="22">
        <f>SUM(F45:$F$137)</f>
        <v>6135.5265298379545</v>
      </c>
    </row>
    <row r="46" spans="1:7" x14ac:dyDescent="0.2">
      <c r="A46" s="22">
        <v>37</v>
      </c>
      <c r="B46" s="22">
        <v>98887.47</v>
      </c>
      <c r="C46" s="22">
        <f t="shared" si="0"/>
        <v>97787.317230009008</v>
      </c>
      <c r="D46" s="22">
        <f t="shared" si="1"/>
        <v>27691.617454702486</v>
      </c>
      <c r="E46" s="22">
        <f>SUM(D46:$D$137)</f>
        <v>641251.04116326873</v>
      </c>
      <c r="F46" s="22">
        <f t="shared" si="2"/>
        <v>25.084084380895572</v>
      </c>
      <c r="G46" s="22">
        <f>SUM(F46:$F$137)</f>
        <v>6111.014592695009</v>
      </c>
    </row>
    <row r="47" spans="1:7" x14ac:dyDescent="0.2">
      <c r="A47" s="22">
        <v>38</v>
      </c>
      <c r="B47" s="22">
        <v>98796.34</v>
      </c>
      <c r="C47" s="22">
        <f t="shared" si="0"/>
        <v>97607.167973955991</v>
      </c>
      <c r="D47" s="22">
        <f t="shared" si="1"/>
        <v>26730.529636775962</v>
      </c>
      <c r="E47" s="22">
        <f>SUM(D47:$D$137)</f>
        <v>613559.42370856623</v>
      </c>
      <c r="F47" s="22">
        <f t="shared" si="2"/>
        <v>25.634716169387858</v>
      </c>
      <c r="G47" s="22">
        <f>SUM(F47:$F$137)</f>
        <v>6085.9305083141135</v>
      </c>
    </row>
    <row r="48" spans="1:7" x14ac:dyDescent="0.2">
      <c r="A48" s="22">
        <v>39</v>
      </c>
      <c r="B48" s="22">
        <v>98699.95</v>
      </c>
      <c r="C48" s="22">
        <f t="shared" si="0"/>
        <v>97416.801300024992</v>
      </c>
      <c r="D48" s="22">
        <f t="shared" si="1"/>
        <v>25801.401131558727</v>
      </c>
      <c r="E48" s="22">
        <f>SUM(D48:$D$137)</f>
        <v>586828.89407179027</v>
      </c>
      <c r="F48" s="22">
        <f t="shared" si="2"/>
        <v>26.132269964327548</v>
      </c>
      <c r="G48" s="22">
        <f>SUM(F48:$F$137)</f>
        <v>6060.295792144726</v>
      </c>
    </row>
    <row r="49" spans="1:7" x14ac:dyDescent="0.2">
      <c r="A49" s="22">
        <v>40</v>
      </c>
      <c r="B49" s="22">
        <v>98598.25</v>
      </c>
      <c r="C49" s="22">
        <f t="shared" si="0"/>
        <v>97216.149030625005</v>
      </c>
      <c r="D49" s="22">
        <f t="shared" si="1"/>
        <v>24903.203362166954</v>
      </c>
      <c r="E49" s="22">
        <f>SUM(D49:$D$137)</f>
        <v>561027.49294023158</v>
      </c>
      <c r="F49" s="22">
        <f t="shared" si="2"/>
        <v>26.55941022695087</v>
      </c>
      <c r="G49" s="22">
        <f>SUM(F49:$F$137)</f>
        <v>6034.1635221803981</v>
      </c>
    </row>
    <row r="50" spans="1:7" x14ac:dyDescent="0.2">
      <c r="A50" s="22">
        <v>41</v>
      </c>
      <c r="B50" s="22">
        <v>98491.27</v>
      </c>
      <c r="C50" s="22">
        <f t="shared" si="0"/>
        <v>97005.302662129005</v>
      </c>
      <c r="D50" s="22">
        <f t="shared" si="1"/>
        <v>24034.959574414977</v>
      </c>
      <c r="E50" s="22">
        <f>SUM(D50:$D$137)</f>
        <v>536124.28957806458</v>
      </c>
      <c r="F50" s="22">
        <f t="shared" si="2"/>
        <v>26.906189925401616</v>
      </c>
      <c r="G50" s="22">
        <f>SUM(F50:$F$137)</f>
        <v>6007.6041119534475</v>
      </c>
    </row>
    <row r="51" spans="1:7" x14ac:dyDescent="0.2">
      <c r="A51" s="22">
        <v>42</v>
      </c>
      <c r="B51" s="22">
        <v>98379.1</v>
      </c>
      <c r="C51" s="22">
        <f t="shared" si="0"/>
        <v>96784.473168100012</v>
      </c>
      <c r="D51" s="22">
        <f t="shared" si="1"/>
        <v>23195.735821850794</v>
      </c>
      <c r="E51" s="22">
        <f>SUM(D51:$D$137)</f>
        <v>512089.33000364981</v>
      </c>
      <c r="F51" s="22">
        <f t="shared" si="2"/>
        <v>27.15742741636392</v>
      </c>
      <c r="G51" s="22">
        <f>SUM(F51:$F$137)</f>
        <v>5980.6979220280455</v>
      </c>
    </row>
    <row r="52" spans="1:7" x14ac:dyDescent="0.2">
      <c r="A52" s="22">
        <v>43</v>
      </c>
      <c r="B52" s="22">
        <v>98261.92</v>
      </c>
      <c r="C52" s="22">
        <f t="shared" si="0"/>
        <v>96554.049220863992</v>
      </c>
      <c r="D52" s="22">
        <f t="shared" si="1"/>
        <v>22384.644663493928</v>
      </c>
      <c r="E52" s="22">
        <f>SUM(D52:$D$137)</f>
        <v>488893.5941817991</v>
      </c>
      <c r="F52" s="22">
        <f t="shared" si="2"/>
        <v>27.318359423886317</v>
      </c>
      <c r="G52" s="22">
        <f>SUM(F52:$F$137)</f>
        <v>5953.5404946116814</v>
      </c>
    </row>
    <row r="53" spans="1:7" x14ac:dyDescent="0.2">
      <c r="A53" s="22">
        <v>44</v>
      </c>
      <c r="B53" s="22">
        <v>98139.92</v>
      </c>
      <c r="C53" s="22">
        <f t="shared" si="0"/>
        <v>96314.43897606399</v>
      </c>
      <c r="D53" s="22">
        <f t="shared" si="1"/>
        <v>21600.823521026439</v>
      </c>
      <c r="E53" s="22">
        <f>SUM(D53:$D$137)</f>
        <v>466508.94951830513</v>
      </c>
      <c r="F53" s="22">
        <f t="shared" si="2"/>
        <v>27.467640076474101</v>
      </c>
      <c r="G53" s="22">
        <f>SUM(F53:$F$137)</f>
        <v>5926.2221351877952</v>
      </c>
    </row>
    <row r="54" spans="1:7" x14ac:dyDescent="0.2">
      <c r="A54" s="22">
        <v>45</v>
      </c>
      <c r="B54" s="22">
        <v>98012.96</v>
      </c>
      <c r="C54" s="22">
        <f t="shared" si="0"/>
        <v>96065.403279616017</v>
      </c>
      <c r="D54" s="22">
        <f t="shared" si="1"/>
        <v>20843.361672655057</v>
      </c>
      <c r="E54" s="22">
        <f>SUM(D54:$D$137)</f>
        <v>444908.12599727866</v>
      </c>
      <c r="F54" s="22">
        <f t="shared" si="2"/>
        <v>27.692642799221719</v>
      </c>
      <c r="G54" s="22">
        <f>SUM(F54:$F$137)</f>
        <v>5898.7544951113214</v>
      </c>
    </row>
    <row r="55" spans="1:7" x14ac:dyDescent="0.2">
      <c r="A55" s="22">
        <v>46</v>
      </c>
      <c r="B55" s="22">
        <v>97880.48</v>
      </c>
      <c r="C55" s="22">
        <f t="shared" si="0"/>
        <v>95805.883650303993</v>
      </c>
      <c r="D55" s="22">
        <f t="shared" si="1"/>
        <v>20111.293310550423</v>
      </c>
      <c r="E55" s="22">
        <f>SUM(D55:$D$137)</f>
        <v>424064.76432462368</v>
      </c>
      <c r="F55" s="22">
        <f t="shared" si="2"/>
        <v>28.064902647810626</v>
      </c>
      <c r="G55" s="22">
        <f>SUM(F55:$F$137)</f>
        <v>5871.0618523120993</v>
      </c>
    </row>
    <row r="56" spans="1:7" x14ac:dyDescent="0.2">
      <c r="A56" s="22">
        <v>47</v>
      </c>
      <c r="B56" s="22">
        <v>97741.52</v>
      </c>
      <c r="C56" s="22">
        <f t="shared" si="0"/>
        <v>95534.047319104007</v>
      </c>
      <c r="D56" s="22">
        <f t="shared" si="1"/>
        <v>19403.614971927695</v>
      </c>
      <c r="E56" s="22">
        <f>SUM(D56:$D$137)</f>
        <v>403953.47101407329</v>
      </c>
      <c r="F56" s="22">
        <f t="shared" si="2"/>
        <v>28.647651412739318</v>
      </c>
      <c r="G56" s="22">
        <f>SUM(F56:$F$137)</f>
        <v>5842.9969496642889</v>
      </c>
    </row>
    <row r="57" spans="1:7" x14ac:dyDescent="0.2">
      <c r="A57" s="22">
        <v>48</v>
      </c>
      <c r="B57" s="22">
        <v>97594.71</v>
      </c>
      <c r="C57" s="22">
        <f t="shared" si="0"/>
        <v>95247.274199841006</v>
      </c>
      <c r="D57" s="22">
        <f t="shared" si="1"/>
        <v>18719.294974066943</v>
      </c>
      <c r="E57" s="22">
        <f>SUM(D57:$D$137)</f>
        <v>384549.85604214552</v>
      </c>
      <c r="F57" s="22">
        <f t="shared" si="2"/>
        <v>29.481289210513982</v>
      </c>
      <c r="G57" s="22">
        <f>SUM(F57:$F$137)</f>
        <v>5814.34929825155</v>
      </c>
    </row>
    <row r="58" spans="1:7" x14ac:dyDescent="0.2">
      <c r="A58" s="22">
        <v>49</v>
      </c>
      <c r="B58" s="22">
        <v>97438.34</v>
      </c>
      <c r="C58" s="22">
        <f t="shared" si="0"/>
        <v>94942.301019555991</v>
      </c>
      <c r="D58" s="22">
        <f t="shared" si="1"/>
        <v>18057.296810921642</v>
      </c>
      <c r="E58" s="22">
        <f>SUM(D58:$D$137)</f>
        <v>365830.56106807862</v>
      </c>
      <c r="F58" s="22">
        <f t="shared" si="2"/>
        <v>30.615607770437631</v>
      </c>
      <c r="G58" s="22">
        <f>SUM(F58:$F$137)</f>
        <v>5784.8680090410353</v>
      </c>
    </row>
    <row r="59" spans="1:7" x14ac:dyDescent="0.2">
      <c r="A59" s="22">
        <v>50</v>
      </c>
      <c r="B59" s="22">
        <v>97270.27</v>
      </c>
      <c r="C59" s="22">
        <f t="shared" si="0"/>
        <v>94615.054258728997</v>
      </c>
      <c r="D59" s="22">
        <f t="shared" si="1"/>
        <v>17416.570084774576</v>
      </c>
      <c r="E59" s="22">
        <f>SUM(D59:$D$137)</f>
        <v>347773.26425715687</v>
      </c>
      <c r="F59" s="22">
        <f t="shared" si="2"/>
        <v>32.079495450153431</v>
      </c>
      <c r="G59" s="22">
        <f>SUM(F59:$F$137)</f>
        <v>5754.2524012705981</v>
      </c>
    </row>
    <row r="60" spans="1:7" x14ac:dyDescent="0.2">
      <c r="A60" s="22">
        <v>51</v>
      </c>
      <c r="B60" s="22">
        <v>97088</v>
      </c>
      <c r="C60" s="22">
        <f t="shared" si="0"/>
        <v>94260.797439999995</v>
      </c>
      <c r="D60" s="22">
        <f t="shared" si="1"/>
        <v>16796.071522897884</v>
      </c>
      <c r="E60" s="22">
        <f>SUM(D60:$D$137)</f>
        <v>330356.69417238235</v>
      </c>
      <c r="F60" s="22">
        <f t="shared" si="2"/>
        <v>33.895703528841445</v>
      </c>
      <c r="G60" s="22">
        <f>SUM(F60:$F$137)</f>
        <v>5722.1729058204446</v>
      </c>
    </row>
    <row r="61" spans="1:7" x14ac:dyDescent="0.2">
      <c r="A61" s="22">
        <v>52</v>
      </c>
      <c r="B61" s="22">
        <v>96888.67</v>
      </c>
      <c r="C61" s="22">
        <f t="shared" si="0"/>
        <v>93874.143743688997</v>
      </c>
      <c r="D61" s="22">
        <f t="shared" si="1"/>
        <v>16194.770769030401</v>
      </c>
      <c r="E61" s="22">
        <f>SUM(D61:$D$137)</f>
        <v>313560.62264948443</v>
      </c>
      <c r="F61" s="22">
        <f t="shared" si="2"/>
        <v>36.053499912479666</v>
      </c>
      <c r="G61" s="22">
        <f>SUM(F61:$F$137)</f>
        <v>5688.2772022916033</v>
      </c>
    </row>
    <row r="62" spans="1:7" x14ac:dyDescent="0.2">
      <c r="A62" s="22">
        <v>53</v>
      </c>
      <c r="B62" s="22">
        <v>96669.23</v>
      </c>
      <c r="C62" s="22">
        <f t="shared" si="0"/>
        <v>93449.400287929006</v>
      </c>
      <c r="D62" s="22">
        <f t="shared" si="1"/>
        <v>15611.682858949229</v>
      </c>
      <c r="E62" s="22">
        <f>SUM(D62:$D$137)</f>
        <v>297365.85188045399</v>
      </c>
      <c r="F62" s="22">
        <f t="shared" si="2"/>
        <v>38.44885009801547</v>
      </c>
      <c r="G62" s="22">
        <f>SUM(F62:$F$137)</f>
        <v>5652.2237023791231</v>
      </c>
    </row>
    <row r="63" spans="1:7" x14ac:dyDescent="0.2">
      <c r="A63" s="22">
        <v>54</v>
      </c>
      <c r="B63" s="22">
        <v>96427.02</v>
      </c>
      <c r="C63" s="22">
        <f t="shared" si="0"/>
        <v>92981.701860804009</v>
      </c>
      <c r="D63" s="22">
        <f t="shared" si="1"/>
        <v>15045.958396737933</v>
      </c>
      <c r="E63" s="22">
        <f>SUM(D63:$D$137)</f>
        <v>281754.16902150476</v>
      </c>
      <c r="F63" s="22">
        <f t="shared" si="2"/>
        <v>40.967652933749072</v>
      </c>
      <c r="G63" s="22">
        <f>SUM(F63:$F$137)</f>
        <v>5613.774852281108</v>
      </c>
    </row>
    <row r="64" spans="1:7" x14ac:dyDescent="0.2">
      <c r="A64" s="22">
        <v>55</v>
      </c>
      <c r="B64" s="22">
        <v>96159.91</v>
      </c>
      <c r="C64" s="22">
        <f t="shared" si="0"/>
        <v>92467.282912081006</v>
      </c>
      <c r="D64" s="22">
        <f t="shared" si="1"/>
        <v>14496.88886532687</v>
      </c>
      <c r="E64" s="22">
        <f>SUM(D64:$D$137)</f>
        <v>266708.21062476671</v>
      </c>
      <c r="F64" s="22">
        <f t="shared" si="2"/>
        <v>43.509233210939222</v>
      </c>
      <c r="G64" s="22">
        <f>SUM(F64:$F$137)</f>
        <v>5572.8071993473586</v>
      </c>
    </row>
    <row r="65" spans="1:7" x14ac:dyDescent="0.2">
      <c r="A65" s="22">
        <v>56</v>
      </c>
      <c r="B65" s="22">
        <v>95866.3</v>
      </c>
      <c r="C65" s="22">
        <f t="shared" si="0"/>
        <v>91903.474756900003</v>
      </c>
      <c r="D65" s="22">
        <f t="shared" si="1"/>
        <v>13963.888665492237</v>
      </c>
      <c r="E65" s="22">
        <f>SUM(D65:$D$137)</f>
        <v>252211.32175943977</v>
      </c>
      <c r="F65" s="22">
        <f t="shared" si="2"/>
        <v>45.986700669581388</v>
      </c>
      <c r="G65" s="22">
        <f>SUM(F65:$F$137)</f>
        <v>5529.2979661364197</v>
      </c>
    </row>
    <row r="66" spans="1:7" x14ac:dyDescent="0.2">
      <c r="A66" s="22">
        <v>57</v>
      </c>
      <c r="B66" s="22">
        <v>95545.11</v>
      </c>
      <c r="C66" s="22">
        <f t="shared" si="0"/>
        <v>91288.680449120991</v>
      </c>
      <c r="D66" s="22">
        <f t="shared" si="1"/>
        <v>13446.477409348592</v>
      </c>
      <c r="E66" s="22">
        <f>SUM(D66:$D$137)</f>
        <v>238247.43309394753</v>
      </c>
      <c r="F66" s="22">
        <f t="shared" si="2"/>
        <v>48.321555456260704</v>
      </c>
      <c r="G66" s="22">
        <f>SUM(F66:$F$137)</f>
        <v>5483.3112654668384</v>
      </c>
    </row>
    <row r="67" spans="1:7" x14ac:dyDescent="0.2">
      <c r="A67" s="22">
        <v>58</v>
      </c>
      <c r="B67" s="22">
        <v>95195.8</v>
      </c>
      <c r="C67" s="22">
        <f t="shared" si="0"/>
        <v>90622.40337640002</v>
      </c>
      <c r="D67" s="22">
        <f t="shared" si="1"/>
        <v>12944.268115157736</v>
      </c>
      <c r="E67" s="22">
        <f>SUM(D67:$D$137)</f>
        <v>224800.95568459894</v>
      </c>
      <c r="F67" s="22">
        <f t="shared" si="2"/>
        <v>50.453928619206728</v>
      </c>
      <c r="G67" s="22">
        <f>SUM(F67:$F$137)</f>
        <v>5434.9897100105782</v>
      </c>
    </row>
    <row r="68" spans="1:7" x14ac:dyDescent="0.2">
      <c r="A68" s="22">
        <v>59</v>
      </c>
      <c r="B68" s="22">
        <v>94818.31</v>
      </c>
      <c r="C68" s="22">
        <f t="shared" si="0"/>
        <v>89905.119112560991</v>
      </c>
      <c r="D68" s="22">
        <f t="shared" si="1"/>
        <v>12456.945735489528</v>
      </c>
      <c r="E68" s="22">
        <f>SUM(D68:$D$137)</f>
        <v>211856.68756944122</v>
      </c>
      <c r="F68" s="22">
        <f t="shared" si="2"/>
        <v>52.326130983671668</v>
      </c>
      <c r="G68" s="22">
        <f>SUM(F68:$F$137)</f>
        <v>5384.5357813913706</v>
      </c>
    </row>
    <row r="69" spans="1:7" x14ac:dyDescent="0.2">
      <c r="A69" s="22">
        <v>60</v>
      </c>
      <c r="B69" s="22">
        <v>94413.11</v>
      </c>
      <c r="C69" s="22">
        <f t="shared" si="0"/>
        <v>89138.35339872101</v>
      </c>
      <c r="D69" s="22">
        <f t="shared" si="1"/>
        <v>11984.262582056816</v>
      </c>
      <c r="E69" s="22">
        <f>SUM(D69:$D$137)</f>
        <v>199399.74183395173</v>
      </c>
      <c r="F69" s="22">
        <f t="shared" si="2"/>
        <v>53.895483210312598</v>
      </c>
      <c r="G69" s="22">
        <f>SUM(F69:$F$137)</f>
        <v>5332.209650407699</v>
      </c>
    </row>
    <row r="70" spans="1:7" x14ac:dyDescent="0.2">
      <c r="A70" s="22">
        <v>61</v>
      </c>
      <c r="B70" s="22">
        <v>93981.15</v>
      </c>
      <c r="C70" s="22">
        <f t="shared" si="0"/>
        <v>88324.56555322498</v>
      </c>
      <c r="D70" s="22">
        <f t="shared" si="1"/>
        <v>11526.021294006729</v>
      </c>
      <c r="E70" s="22">
        <f>SUM(D70:$D$137)</f>
        <v>187415.47925189493</v>
      </c>
      <c r="F70" s="22">
        <f t="shared" si="2"/>
        <v>55.122854578024736</v>
      </c>
      <c r="G70" s="22">
        <f>SUM(F70:$F$137)</f>
        <v>5278.3141671973863</v>
      </c>
    </row>
    <row r="71" spans="1:7" x14ac:dyDescent="0.2">
      <c r="A71" s="22">
        <v>62</v>
      </c>
      <c r="B71" s="22">
        <v>93523.89</v>
      </c>
      <c r="C71" s="22">
        <f t="shared" si="0"/>
        <v>87467.180007320989</v>
      </c>
      <c r="D71" s="22">
        <f t="shared" si="1"/>
        <v>11082.069647925346</v>
      </c>
      <c r="E71" s="22">
        <f>SUM(D71:$D$137)</f>
        <v>175889.4579578882</v>
      </c>
      <c r="F71" s="22">
        <f t="shared" si="2"/>
        <v>55.967976615663368</v>
      </c>
      <c r="G71" s="22">
        <f>SUM(F71:$F$137)</f>
        <v>5223.1913126193613</v>
      </c>
    </row>
    <row r="72" spans="1:7" x14ac:dyDescent="0.2">
      <c r="A72" s="22">
        <v>63</v>
      </c>
      <c r="B72" s="22">
        <v>93043.37</v>
      </c>
      <c r="C72" s="22">
        <f t="shared" si="0"/>
        <v>86570.687009568996</v>
      </c>
      <c r="D72" s="22">
        <f t="shared" si="1"/>
        <v>10652.300149798122</v>
      </c>
      <c r="E72" s="22">
        <f>SUM(D72:$D$137)</f>
        <v>164807.38830996284</v>
      </c>
      <c r="F72" s="22">
        <f t="shared" si="2"/>
        <v>57.676461158742626</v>
      </c>
      <c r="G72" s="22">
        <f>SUM(F72:$F$137)</f>
        <v>5167.223336003698</v>
      </c>
    </row>
    <row r="73" spans="1:7" x14ac:dyDescent="0.2">
      <c r="A73" s="22">
        <v>64</v>
      </c>
      <c r="B73" s="22">
        <v>92530.85</v>
      </c>
      <c r="C73" s="22">
        <f t="shared" si="0"/>
        <v>85619.58201722501</v>
      </c>
      <c r="D73" s="22">
        <f t="shared" si="1"/>
        <v>10235.384571036229</v>
      </c>
      <c r="E73" s="22">
        <f>SUM(D73:$D$137)</f>
        <v>154155.08816016474</v>
      </c>
      <c r="F73" s="22">
        <f t="shared" si="2"/>
        <v>61.270167239500225</v>
      </c>
      <c r="G73" s="22">
        <f>SUM(F73:$F$137)</f>
        <v>5109.5468748449557</v>
      </c>
    </row>
    <row r="74" spans="1:7" x14ac:dyDescent="0.2">
      <c r="A74" s="22">
        <v>65</v>
      </c>
      <c r="B74" s="22">
        <v>91967.34</v>
      </c>
      <c r="C74" s="22">
        <f t="shared" ref="C74:C137" si="3">B74^2/$B$9</f>
        <v>84579.916266755987</v>
      </c>
      <c r="D74" s="22">
        <f t="shared" ref="D74:D137" si="4">B74*$B$1^A74</f>
        <v>9829.0351663626043</v>
      </c>
      <c r="E74" s="22">
        <f>SUM(D74:$D$137)</f>
        <v>143919.7035891285</v>
      </c>
      <c r="F74" s="22">
        <f t="shared" ref="F74:F137" si="5">(B74-B75)*$B$1^(A74+0.5)</f>
        <v>66.543511797244562</v>
      </c>
      <c r="G74" s="22">
        <f>SUM(F74:$F$137)</f>
        <v>5048.2767076054552</v>
      </c>
    </row>
    <row r="75" spans="1:7" x14ac:dyDescent="0.2">
      <c r="A75" s="22">
        <v>66</v>
      </c>
      <c r="B75" s="22">
        <v>91333.91</v>
      </c>
      <c r="C75" s="22">
        <f t="shared" si="3"/>
        <v>83418.831158881003</v>
      </c>
      <c r="D75" s="22">
        <f t="shared" si="4"/>
        <v>9431.2436309911791</v>
      </c>
      <c r="E75" s="22">
        <f>SUM(D75:$D$137)</f>
        <v>134090.66842276594</v>
      </c>
      <c r="F75" s="22">
        <f t="shared" si="5"/>
        <v>73.289207540967666</v>
      </c>
      <c r="G75" s="22">
        <f>SUM(F75:$F$137)</f>
        <v>4981.7331958082113</v>
      </c>
    </row>
    <row r="76" spans="1:7" x14ac:dyDescent="0.2">
      <c r="A76" s="22">
        <v>67</v>
      </c>
      <c r="B76" s="22">
        <v>90611.85</v>
      </c>
      <c r="C76" s="22">
        <f t="shared" si="3"/>
        <v>82105.073604225006</v>
      </c>
      <c r="D76" s="22">
        <f t="shared" si="4"/>
        <v>9040.2733261154499</v>
      </c>
      <c r="E76" s="22">
        <f>SUM(D76:$D$137)</f>
        <v>124659.42479177479</v>
      </c>
      <c r="F76" s="22">
        <f t="shared" si="5"/>
        <v>81.301140052312121</v>
      </c>
      <c r="G76" s="22">
        <f>SUM(F76:$F$137)</f>
        <v>4908.4439882672432</v>
      </c>
    </row>
    <row r="77" spans="1:7" x14ac:dyDescent="0.2">
      <c r="A77" s="22">
        <v>68</v>
      </c>
      <c r="B77" s="22">
        <v>89782.82</v>
      </c>
      <c r="C77" s="22">
        <f t="shared" si="3"/>
        <v>80609.547671524007</v>
      </c>
      <c r="D77" s="22">
        <f t="shared" si="4"/>
        <v>8654.6489392653057</v>
      </c>
      <c r="E77" s="22">
        <f>SUM(D77:$D$137)</f>
        <v>115619.15146565934</v>
      </c>
      <c r="F77" s="22">
        <f t="shared" si="5"/>
        <v>90.37207427164951</v>
      </c>
      <c r="G77" s="22">
        <f>SUM(F77:$F$137)</f>
        <v>4827.1428482149313</v>
      </c>
    </row>
    <row r="78" spans="1:7" x14ac:dyDescent="0.2">
      <c r="A78" s="22">
        <v>69</v>
      </c>
      <c r="B78" s="22">
        <v>88829.04</v>
      </c>
      <c r="C78" s="22">
        <f t="shared" si="3"/>
        <v>78905.983473215994</v>
      </c>
      <c r="D78" s="22">
        <f t="shared" si="4"/>
        <v>8273.1487487148115</v>
      </c>
      <c r="E78" s="22">
        <f>SUM(D78:$D$137)</f>
        <v>106964.50252639405</v>
      </c>
      <c r="F78" s="22">
        <f t="shared" si="5"/>
        <v>100.28460876203764</v>
      </c>
      <c r="G78" s="22">
        <f>SUM(F78:$F$137)</f>
        <v>4736.7707739432817</v>
      </c>
    </row>
    <row r="79" spans="1:7" x14ac:dyDescent="0.2">
      <c r="A79" s="22">
        <v>70</v>
      </c>
      <c r="B79" s="22">
        <v>87733.6</v>
      </c>
      <c r="C79" s="22">
        <f t="shared" si="3"/>
        <v>76971.845689600013</v>
      </c>
      <c r="D79" s="22">
        <f t="shared" si="4"/>
        <v>7894.8060409535274</v>
      </c>
      <c r="E79" s="22">
        <f>SUM(D79:$D$137)</f>
        <v>98691.353777679222</v>
      </c>
      <c r="F79" s="22">
        <f t="shared" si="5"/>
        <v>110.82003487789228</v>
      </c>
      <c r="G79" s="22">
        <f>SUM(F79:$F$137)</f>
        <v>4636.4861651812444</v>
      </c>
    </row>
    <row r="80" spans="1:7" x14ac:dyDescent="0.2">
      <c r="A80" s="22">
        <v>71</v>
      </c>
      <c r="B80" s="22">
        <v>86480.71</v>
      </c>
      <c r="C80" s="22">
        <f t="shared" si="3"/>
        <v>74789.132021041005</v>
      </c>
      <c r="D80" s="22">
        <f t="shared" si="4"/>
        <v>7518.9017721362607</v>
      </c>
      <c r="E80" s="22">
        <f>SUM(D80:$D$137)</f>
        <v>90796.547736725668</v>
      </c>
      <c r="F80" s="22">
        <f t="shared" si="5"/>
        <v>121.75117808885015</v>
      </c>
      <c r="G80" s="22">
        <f>SUM(F80:$F$137)</f>
        <v>4525.6661303033525</v>
      </c>
    </row>
    <row r="81" spans="1:7" x14ac:dyDescent="0.2">
      <c r="A81" s="22">
        <v>72</v>
      </c>
      <c r="B81" s="22">
        <v>85056.06</v>
      </c>
      <c r="C81" s="22">
        <f t="shared" si="3"/>
        <v>72345.333427235993</v>
      </c>
      <c r="D81" s="22">
        <f t="shared" si="4"/>
        <v>7144.964514291145</v>
      </c>
      <c r="E81" s="22">
        <f>SUM(D81:$D$137)</f>
        <v>83277.645964589421</v>
      </c>
      <c r="F81" s="22">
        <f t="shared" si="5"/>
        <v>132.84924491206425</v>
      </c>
      <c r="G81" s="22">
        <f>SUM(F81:$F$137)</f>
        <v>4403.9149522145017</v>
      </c>
    </row>
    <row r="82" spans="1:7" x14ac:dyDescent="0.2">
      <c r="A82" s="22">
        <v>73</v>
      </c>
      <c r="B82" s="22">
        <v>83447.14</v>
      </c>
      <c r="C82" s="22">
        <f t="shared" si="3"/>
        <v>69634.251741796004</v>
      </c>
      <c r="D82" s="22">
        <f t="shared" si="4"/>
        <v>6772.7636731794682</v>
      </c>
      <c r="E82" s="22">
        <f>SUM(D82:$D$137)</f>
        <v>76132.681450298274</v>
      </c>
      <c r="F82" s="22">
        <f t="shared" si="5"/>
        <v>143.87840699573869</v>
      </c>
      <c r="G82" s="22">
        <f>SUM(F82:$F$137)</f>
        <v>4271.0657073024377</v>
      </c>
    </row>
    <row r="83" spans="1:7" x14ac:dyDescent="0.2">
      <c r="A83" s="22">
        <v>74</v>
      </c>
      <c r="B83" s="22">
        <v>81643.66</v>
      </c>
      <c r="C83" s="22">
        <f t="shared" si="3"/>
        <v>66656.872181956001</v>
      </c>
      <c r="D83" s="22">
        <f t="shared" si="4"/>
        <v>6402.3082590586901</v>
      </c>
      <c r="E83" s="22">
        <f>SUM(D83:$D$137)</f>
        <v>69359.917777118782</v>
      </c>
      <c r="F83" s="22">
        <f t="shared" si="5"/>
        <v>154.60631784664162</v>
      </c>
      <c r="G83" s="22">
        <f>SUM(F83:$F$137)</f>
        <v>4127.1873003066985</v>
      </c>
    </row>
    <row r="84" spans="1:7" x14ac:dyDescent="0.2">
      <c r="A84" s="22">
        <v>75</v>
      </c>
      <c r="B84" s="22">
        <v>79637.88</v>
      </c>
      <c r="C84" s="22">
        <f t="shared" si="3"/>
        <v>63421.919308944009</v>
      </c>
      <c r="D84" s="22">
        <f t="shared" si="4"/>
        <v>6033.8353616346949</v>
      </c>
      <c r="E84" s="22">
        <f>SUM(D84:$D$137)</f>
        <v>62957.609518060097</v>
      </c>
      <c r="F84" s="22">
        <f t="shared" si="5"/>
        <v>164.79788788208086</v>
      </c>
      <c r="G84" s="22">
        <f>SUM(F84:$F$137)</f>
        <v>3972.5809824600565</v>
      </c>
    </row>
    <row r="85" spans="1:7" x14ac:dyDescent="0.2">
      <c r="A85" s="22">
        <v>76</v>
      </c>
      <c r="B85" s="22">
        <v>77425.05</v>
      </c>
      <c r="C85" s="22">
        <f t="shared" si="3"/>
        <v>59946.383675025005</v>
      </c>
      <c r="D85" s="22">
        <f t="shared" si="4"/>
        <v>5667.8051335400414</v>
      </c>
      <c r="E85" s="22">
        <f>SUM(D85:$D$137)</f>
        <v>56923.774156425403</v>
      </c>
      <c r="F85" s="22">
        <f t="shared" si="5"/>
        <v>174.22770813256088</v>
      </c>
      <c r="G85" s="22">
        <f>SUM(F85:$F$137)</f>
        <v>3807.783094577976</v>
      </c>
    </row>
    <row r="86" spans="1:7" x14ac:dyDescent="0.2">
      <c r="A86" s="22">
        <v>77</v>
      </c>
      <c r="B86" s="22">
        <v>75003.72</v>
      </c>
      <c r="C86" s="22">
        <f t="shared" si="3"/>
        <v>56255.580138384001</v>
      </c>
      <c r="D86" s="22">
        <f t="shared" si="4"/>
        <v>5304.8837316195559</v>
      </c>
      <c r="E86" s="22">
        <f>SUM(D86:$D$137)</f>
        <v>51255.969022885358</v>
      </c>
      <c r="F86" s="22">
        <f t="shared" si="5"/>
        <v>182.67905463519938</v>
      </c>
      <c r="G86" s="22">
        <f>SUM(F86:$F$137)</f>
        <v>3633.555386445415</v>
      </c>
    </row>
    <row r="87" spans="1:7" x14ac:dyDescent="0.2">
      <c r="A87" s="22">
        <v>78</v>
      </c>
      <c r="B87" s="22">
        <v>72376.08</v>
      </c>
      <c r="C87" s="22">
        <f t="shared" si="3"/>
        <v>52382.969561664002</v>
      </c>
      <c r="D87" s="22">
        <f t="shared" si="4"/>
        <v>4945.9278137085639</v>
      </c>
      <c r="E87" s="22">
        <f>SUM(D87:$D$137)</f>
        <v>45951.085291265801</v>
      </c>
      <c r="F87" s="22">
        <f t="shared" si="5"/>
        <v>189.94848707539782</v>
      </c>
      <c r="G87" s="22">
        <f>SUM(F87:$F$137)</f>
        <v>3450.8763318102156</v>
      </c>
    </row>
    <row r="88" spans="1:7" x14ac:dyDescent="0.2">
      <c r="A88" s="22">
        <v>79</v>
      </c>
      <c r="B88" s="22">
        <v>69548.25</v>
      </c>
      <c r="C88" s="22">
        <f t="shared" si="3"/>
        <v>48369.590780625003</v>
      </c>
      <c r="D88" s="22">
        <f t="shared" si="4"/>
        <v>4591.9650394564751</v>
      </c>
      <c r="E88" s="22">
        <f>SUM(D88:$D$137)</f>
        <v>41005.157477557237</v>
      </c>
      <c r="F88" s="22">
        <f t="shared" si="5"/>
        <v>195.85603715108567</v>
      </c>
      <c r="G88" s="22">
        <f>SUM(F88:$F$137)</f>
        <v>3260.9278447348179</v>
      </c>
    </row>
    <row r="89" spans="1:7" x14ac:dyDescent="0.2">
      <c r="A89" s="22">
        <v>80</v>
      </c>
      <c r="B89" s="22">
        <v>66530.42</v>
      </c>
      <c r="C89" s="22">
        <f t="shared" si="3"/>
        <v>44262.967853763999</v>
      </c>
      <c r="D89" s="22">
        <f t="shared" si="4"/>
        <v>4244.1652159271398</v>
      </c>
      <c r="E89" s="22">
        <f>SUM(D89:$D$137)</f>
        <v>36413.192438100763</v>
      </c>
      <c r="F89" s="22">
        <f t="shared" si="5"/>
        <v>200.24512985556279</v>
      </c>
      <c r="G89" s="22">
        <f>SUM(F89:$F$137)</f>
        <v>3065.0718075837322</v>
      </c>
    </row>
    <row r="90" spans="1:7" x14ac:dyDescent="0.2">
      <c r="A90" s="22">
        <v>81</v>
      </c>
      <c r="B90" s="22">
        <v>63336.97</v>
      </c>
      <c r="C90" s="22">
        <f t="shared" si="3"/>
        <v>40115.717687809003</v>
      </c>
      <c r="D90" s="22">
        <f t="shared" si="4"/>
        <v>3903.8124963265805</v>
      </c>
      <c r="E90" s="22">
        <f>SUM(D90:$D$137)</f>
        <v>32169.02722217362</v>
      </c>
      <c r="F90" s="22">
        <f t="shared" si="5"/>
        <v>202.99016788363051</v>
      </c>
      <c r="G90" s="22">
        <f>SUM(F90:$F$137)</f>
        <v>2864.8266777281692</v>
      </c>
    </row>
    <row r="91" spans="1:7" x14ac:dyDescent="0.2">
      <c r="A91" s="22">
        <v>82</v>
      </c>
      <c r="B91" s="22">
        <v>59986.44</v>
      </c>
      <c r="C91" s="22">
        <f t="shared" si="3"/>
        <v>35983.729838736006</v>
      </c>
      <c r="D91" s="22">
        <f t="shared" si="4"/>
        <v>3572.2710638058588</v>
      </c>
      <c r="E91" s="22">
        <f>SUM(D91:$D$137)</f>
        <v>28265.21472584704</v>
      </c>
      <c r="F91" s="22">
        <f t="shared" si="5"/>
        <v>203.99882362817445</v>
      </c>
      <c r="G91" s="22">
        <f>SUM(F91:$F$137)</f>
        <v>2661.8365098445383</v>
      </c>
    </row>
    <row r="92" spans="1:7" x14ac:dyDescent="0.2">
      <c r="A92" s="22">
        <v>83</v>
      </c>
      <c r="B92" s="22">
        <v>56501.41</v>
      </c>
      <c r="C92" s="22">
        <f t="shared" si="3"/>
        <v>31924.093319881005</v>
      </c>
      <c r="D92" s="22">
        <f t="shared" si="4"/>
        <v>3250.9497228053256</v>
      </c>
      <c r="E92" s="22">
        <f>SUM(D92:$D$137)</f>
        <v>24692.943662041176</v>
      </c>
      <c r="F92" s="22">
        <f t="shared" si="5"/>
        <v>203.22083269085118</v>
      </c>
      <c r="G92" s="22">
        <f>SUM(F92:$F$137)</f>
        <v>2457.8376862163645</v>
      </c>
    </row>
    <row r="93" spans="1:7" x14ac:dyDescent="0.2">
      <c r="A93" s="22">
        <v>84</v>
      </c>
      <c r="B93" s="22">
        <v>52908.160000000003</v>
      </c>
      <c r="C93" s="22">
        <f t="shared" si="3"/>
        <v>27992.733945856005</v>
      </c>
      <c r="D93" s="22">
        <f t="shared" si="4"/>
        <v>2941.2590442435735</v>
      </c>
      <c r="E93" s="22">
        <f>SUM(D93:$D$137)</f>
        <v>21441.993939235854</v>
      </c>
      <c r="F93" s="22">
        <f t="shared" si="5"/>
        <v>200.64472171756725</v>
      </c>
      <c r="G93" s="22">
        <f>SUM(F93:$F$137)</f>
        <v>2254.6168535255133</v>
      </c>
    </row>
    <row r="94" spans="1:7" x14ac:dyDescent="0.2">
      <c r="A94" s="22">
        <v>85</v>
      </c>
      <c r="B94" s="22">
        <v>49236.29</v>
      </c>
      <c r="C94" s="22">
        <f t="shared" si="3"/>
        <v>24242.122529640998</v>
      </c>
      <c r="D94" s="22">
        <f t="shared" si="4"/>
        <v>2644.5731762651612</v>
      </c>
      <c r="E94" s="22">
        <f>SUM(D94:$D$137)</f>
        <v>18500.734894992274</v>
      </c>
      <c r="F94" s="22">
        <f t="shared" si="5"/>
        <v>196.30514000705944</v>
      </c>
      <c r="G94" s="22">
        <f>SUM(F94:$F$137)</f>
        <v>2053.9721318079455</v>
      </c>
    </row>
    <row r="95" spans="1:7" x14ac:dyDescent="0.2">
      <c r="A95" s="22">
        <v>86</v>
      </c>
      <c r="B95" s="22">
        <v>45518.1</v>
      </c>
      <c r="C95" s="22">
        <f t="shared" si="3"/>
        <v>20718.974276099998</v>
      </c>
      <c r="D95" s="22">
        <f t="shared" si="4"/>
        <v>2362.1857398342404</v>
      </c>
      <c r="E95" s="22">
        <f>SUM(D95:$D$137)</f>
        <v>15856.161718727119</v>
      </c>
      <c r="F95" s="22">
        <f t="shared" si="5"/>
        <v>190.27892816815108</v>
      </c>
      <c r="G95" s="22">
        <f>SUM(F95:$F$137)</f>
        <v>1857.6669918008865</v>
      </c>
    </row>
    <row r="96" spans="1:7" x14ac:dyDescent="0.2">
      <c r="A96" s="22">
        <v>87</v>
      </c>
      <c r="B96" s="22">
        <v>41787.910000000003</v>
      </c>
      <c r="C96" s="22">
        <f t="shared" si="3"/>
        <v>17462.294221681004</v>
      </c>
      <c r="D96" s="22">
        <f t="shared" si="4"/>
        <v>2095.2710800806499</v>
      </c>
      <c r="E96" s="22">
        <f>SUM(D96:$D$137)</f>
        <v>13493.975978892879</v>
      </c>
      <c r="F96" s="22">
        <f t="shared" si="5"/>
        <v>182.68616518817811</v>
      </c>
      <c r="G96" s="22">
        <f>SUM(F96:$F$137)</f>
        <v>1667.3880636327358</v>
      </c>
    </row>
    <row r="97" spans="1:7" x14ac:dyDescent="0.2">
      <c r="A97" s="22">
        <v>88</v>
      </c>
      <c r="B97" s="22">
        <v>38081.22</v>
      </c>
      <c r="C97" s="22">
        <f t="shared" si="3"/>
        <v>14501.793166884001</v>
      </c>
      <c r="D97" s="22">
        <f t="shared" si="4"/>
        <v>1844.8457987748368</v>
      </c>
      <c r="E97" s="22">
        <f>SUM(D97:$D$137)</f>
        <v>11398.70489881223</v>
      </c>
      <c r="F97" s="22">
        <f t="shared" si="5"/>
        <v>173.68790676528084</v>
      </c>
      <c r="G97" s="22">
        <f>SUM(F97:$F$137)</f>
        <v>1484.7018984445576</v>
      </c>
    </row>
    <row r="98" spans="1:7" x14ac:dyDescent="0.2">
      <c r="A98" s="22">
        <v>89</v>
      </c>
      <c r="B98" s="22">
        <v>34433.760000000002</v>
      </c>
      <c r="C98" s="22">
        <f t="shared" si="3"/>
        <v>11856.838277376</v>
      </c>
      <c r="D98" s="22">
        <f t="shared" si="4"/>
        <v>1611.7338107350461</v>
      </c>
      <c r="E98" s="22">
        <f>SUM(D98:$D$137)</f>
        <v>9553.8591000373926</v>
      </c>
      <c r="F98" s="22">
        <f t="shared" si="5"/>
        <v>163.47809536426902</v>
      </c>
      <c r="G98" s="22">
        <f>SUM(F98:$F$137)</f>
        <v>1311.0139916792768</v>
      </c>
    </row>
    <row r="99" spans="1:7" x14ac:dyDescent="0.2">
      <c r="A99" s="22">
        <v>90</v>
      </c>
      <c r="B99" s="22">
        <v>30880.55</v>
      </c>
      <c r="C99" s="22">
        <f t="shared" si="3"/>
        <v>9536.0836830250009</v>
      </c>
      <c r="D99" s="22">
        <f t="shared" si="4"/>
        <v>1396.5405338831422</v>
      </c>
      <c r="E99" s="22">
        <f>SUM(D99:$D$137)</f>
        <v>7942.1252893023493</v>
      </c>
      <c r="F99" s="22">
        <f t="shared" si="5"/>
        <v>152.28035063579782</v>
      </c>
      <c r="G99" s="22">
        <f>SUM(F99:$F$137)</f>
        <v>1147.5358963150079</v>
      </c>
    </row>
    <row r="100" spans="1:7" x14ac:dyDescent="0.2">
      <c r="A100" s="22">
        <v>91</v>
      </c>
      <c r="B100" s="22">
        <v>27454.880000000001</v>
      </c>
      <c r="C100" s="22">
        <f t="shared" si="3"/>
        <v>7537.7043581440012</v>
      </c>
      <c r="D100" s="22">
        <f t="shared" si="4"/>
        <v>1199.6311069463211</v>
      </c>
      <c r="E100" s="22">
        <f>SUM(D100:$D$137)</f>
        <v>6545.5847554192069</v>
      </c>
      <c r="F100" s="22">
        <f t="shared" si="5"/>
        <v>140.34260693642685</v>
      </c>
      <c r="G100" s="22">
        <f>SUM(F100:$F$137)</f>
        <v>995.25554567920983</v>
      </c>
    </row>
    <row r="101" spans="1:7" x14ac:dyDescent="0.2">
      <c r="A101" s="22">
        <v>92</v>
      </c>
      <c r="B101" s="22">
        <v>24187.26</v>
      </c>
      <c r="C101" s="22">
        <f t="shared" si="3"/>
        <v>5850.2354630759992</v>
      </c>
      <c r="D101" s="22">
        <f t="shared" si="4"/>
        <v>1021.1146147884904</v>
      </c>
      <c r="E101" s="22">
        <f>SUM(D101:$D$137)</f>
        <v>5345.9536484728851</v>
      </c>
      <c r="F101" s="22">
        <f t="shared" si="5"/>
        <v>127.91727017671336</v>
      </c>
      <c r="G101" s="22">
        <f>SUM(F101:$F$137)</f>
        <v>854.9129387427829</v>
      </c>
    </row>
    <row r="102" spans="1:7" x14ac:dyDescent="0.2">
      <c r="A102" s="22">
        <v>93</v>
      </c>
      <c r="B102" s="22">
        <v>21104.7</v>
      </c>
      <c r="C102" s="22">
        <f t="shared" si="3"/>
        <v>4454.0836208999999</v>
      </c>
      <c r="D102" s="22">
        <f t="shared" si="4"/>
        <v>860.84835193877427</v>
      </c>
      <c r="E102" s="22">
        <f>SUM(D102:$D$137)</f>
        <v>4324.8390336843941</v>
      </c>
      <c r="F102" s="22">
        <f t="shared" si="5"/>
        <v>115.26728920019329</v>
      </c>
      <c r="G102" s="22">
        <f>SUM(F102:$F$137)</f>
        <v>726.99566856606964</v>
      </c>
    </row>
    <row r="103" spans="1:7" x14ac:dyDescent="0.2">
      <c r="A103" s="22">
        <v>94</v>
      </c>
      <c r="B103" s="22">
        <v>18229.759999999998</v>
      </c>
      <c r="C103" s="22">
        <f t="shared" si="3"/>
        <v>3323.2414965759995</v>
      </c>
      <c r="D103" s="22">
        <f t="shared" si="4"/>
        <v>718.43597410277118</v>
      </c>
      <c r="E103" s="22">
        <f>SUM(D103:$D$137)</f>
        <v>3463.9906817456213</v>
      </c>
      <c r="F103" s="22">
        <f t="shared" si="5"/>
        <v>102.64711849206341</v>
      </c>
      <c r="G103" s="22">
        <f>SUM(F103:$F$137)</f>
        <v>611.72837936587632</v>
      </c>
    </row>
    <row r="104" spans="1:7" x14ac:dyDescent="0.2">
      <c r="A104" s="22">
        <v>95</v>
      </c>
      <c r="B104" s="22">
        <v>15579.98</v>
      </c>
      <c r="C104" s="22">
        <f t="shared" si="3"/>
        <v>2427.3577680039998</v>
      </c>
      <c r="D104" s="22">
        <f t="shared" si="4"/>
        <v>593.24442481956635</v>
      </c>
      <c r="E104" s="22">
        <f>SUM(D104:$D$137)</f>
        <v>2745.5547076428502</v>
      </c>
      <c r="F104" s="22">
        <f t="shared" si="5"/>
        <v>90.294296028051676</v>
      </c>
      <c r="G104" s="22">
        <f>SUM(F104:$F$137)</f>
        <v>509.08126087381328</v>
      </c>
    </row>
    <row r="105" spans="1:7" x14ac:dyDescent="0.2">
      <c r="A105" s="22">
        <v>96</v>
      </c>
      <c r="B105" s="22">
        <v>13167.5</v>
      </c>
      <c r="C105" s="22">
        <f t="shared" si="3"/>
        <v>1733.8305625</v>
      </c>
      <c r="D105" s="22">
        <f t="shared" si="4"/>
        <v>484.4285682426376</v>
      </c>
      <c r="E105" s="22">
        <f>SUM(D105:$D$137)</f>
        <v>2152.3102828232836</v>
      </c>
      <c r="F105" s="22">
        <f t="shared" si="5"/>
        <v>78.424131299511032</v>
      </c>
      <c r="G105" s="22">
        <f>SUM(F105:$F$137)</f>
        <v>418.78696484576153</v>
      </c>
    </row>
    <row r="106" spans="1:7" x14ac:dyDescent="0.2">
      <c r="A106" s="22">
        <v>97</v>
      </c>
      <c r="B106" s="22">
        <v>10998.83</v>
      </c>
      <c r="C106" s="22">
        <f t="shared" si="3"/>
        <v>1209.7426136890001</v>
      </c>
      <c r="D106" s="22">
        <f t="shared" si="4"/>
        <v>390.96021031464124</v>
      </c>
      <c r="E106" s="22">
        <f>SUM(D106:$D$137)</f>
        <v>1667.8817145806456</v>
      </c>
      <c r="F106" s="22">
        <f t="shared" si="5"/>
        <v>67.221029871429806</v>
      </c>
      <c r="G106" s="22">
        <f>SUM(F106:$F$137)</f>
        <v>340.3628335462505</v>
      </c>
    </row>
    <row r="107" spans="1:7" x14ac:dyDescent="0.2">
      <c r="A107" s="22">
        <v>98</v>
      </c>
      <c r="B107" s="22">
        <v>9074.9</v>
      </c>
      <c r="C107" s="22">
        <f t="shared" si="3"/>
        <v>823.53810009999995</v>
      </c>
      <c r="D107" s="22">
        <f t="shared" si="4"/>
        <v>311.66466604406531</v>
      </c>
      <c r="E107" s="22">
        <f>SUM(D107:$D$137)</f>
        <v>1276.9215042660044</v>
      </c>
      <c r="F107" s="22">
        <f t="shared" si="5"/>
        <v>56.832791068054583</v>
      </c>
      <c r="G107" s="22">
        <f>SUM(F107:$F$137)</f>
        <v>273.14180367482066</v>
      </c>
    </row>
    <row r="108" spans="1:7" x14ac:dyDescent="0.2">
      <c r="A108" s="22">
        <v>99</v>
      </c>
      <c r="B108" s="22">
        <v>7391.36</v>
      </c>
      <c r="C108" s="22">
        <f t="shared" si="3"/>
        <v>546.32202649599992</v>
      </c>
      <c r="D108" s="22">
        <f t="shared" si="4"/>
        <v>245.26169527655199</v>
      </c>
      <c r="E108" s="22">
        <f>SUM(D108:$D$137)</f>
        <v>965.25683822193878</v>
      </c>
      <c r="F108" s="22">
        <f t="shared" si="5"/>
        <v>47.36968579484931</v>
      </c>
      <c r="G108" s="22">
        <f>SUM(F108:$F$137)</f>
        <v>216.30901260676603</v>
      </c>
    </row>
    <row r="109" spans="1:7" x14ac:dyDescent="0.2">
      <c r="A109" s="22">
        <v>100</v>
      </c>
      <c r="B109" s="22">
        <v>5939.03</v>
      </c>
      <c r="C109" s="22">
        <f t="shared" si="3"/>
        <v>352.72077340899995</v>
      </c>
      <c r="D109" s="22">
        <f t="shared" si="4"/>
        <v>190.40596061633582</v>
      </c>
      <c r="E109" s="22">
        <f>SUM(D109:$D$137)</f>
        <v>719.99514294538676</v>
      </c>
      <c r="F109" s="22">
        <f t="shared" si="5"/>
        <v>38.900103681578315</v>
      </c>
      <c r="G109" s="22">
        <f>SUM(F109:$F$137)</f>
        <v>168.93932681191671</v>
      </c>
    </row>
    <row r="110" spans="1:7" x14ac:dyDescent="0.2">
      <c r="A110" s="22">
        <v>101</v>
      </c>
      <c r="B110" s="22">
        <v>4704.63</v>
      </c>
      <c r="C110" s="22">
        <f t="shared" si="3"/>
        <v>221.33543436900001</v>
      </c>
      <c r="D110" s="22">
        <f t="shared" si="4"/>
        <v>145.73039583033653</v>
      </c>
      <c r="E110" s="22">
        <f>SUM(D110:$D$137)</f>
        <v>529.58918232905091</v>
      </c>
      <c r="F110" s="22">
        <f t="shared" si="5"/>
        <v>31.455214692816991</v>
      </c>
      <c r="G110" s="22">
        <f>SUM(F110:$F$137)</f>
        <v>130.03922313033837</v>
      </c>
    </row>
    <row r="111" spans="1:7" x14ac:dyDescent="0.2">
      <c r="A111" s="22">
        <v>102</v>
      </c>
      <c r="B111" s="22">
        <v>3671.54</v>
      </c>
      <c r="C111" s="22">
        <f t="shared" si="3"/>
        <v>134.802059716</v>
      </c>
      <c r="D111" s="22">
        <f t="shared" si="4"/>
        <v>109.88352557471138</v>
      </c>
      <c r="E111" s="22">
        <f>SUM(D111:$D$137)</f>
        <v>383.85878649871444</v>
      </c>
      <c r="F111" s="22">
        <f t="shared" si="5"/>
        <v>25.028597999914023</v>
      </c>
      <c r="G111" s="22">
        <f>SUM(F111:$F$137)</f>
        <v>98.584008437521348</v>
      </c>
    </row>
    <row r="112" spans="1:7" x14ac:dyDescent="0.2">
      <c r="A112" s="22">
        <v>103</v>
      </c>
      <c r="B112" s="22">
        <v>2820.75</v>
      </c>
      <c r="C112" s="22">
        <f t="shared" si="3"/>
        <v>79.566305624999998</v>
      </c>
      <c r="D112" s="22">
        <f t="shared" si="4"/>
        <v>81.56588790062851</v>
      </c>
      <c r="E112" s="22">
        <f>SUM(D112:$D$137)</f>
        <v>273.97526092400312</v>
      </c>
      <c r="F112" s="22">
        <f t="shared" si="5"/>
        <v>19.583337788937349</v>
      </c>
      <c r="G112" s="22">
        <f>SUM(F112:$F$137)</f>
        <v>73.55541043760735</v>
      </c>
    </row>
    <row r="113" spans="1:7" x14ac:dyDescent="0.2">
      <c r="A113" s="22">
        <v>104</v>
      </c>
      <c r="B113" s="22">
        <v>2131.7600000000002</v>
      </c>
      <c r="C113" s="22">
        <f t="shared" si="3"/>
        <v>45.444006976000004</v>
      </c>
      <c r="D113" s="22">
        <f t="shared" si="4"/>
        <v>59.558250282407272</v>
      </c>
      <c r="E113" s="22">
        <f>SUM(D113:$D$137)</f>
        <v>192.40937302337454</v>
      </c>
      <c r="F113" s="22">
        <f t="shared" si="5"/>
        <v>15.056635249175129</v>
      </c>
      <c r="G113" s="22">
        <f>SUM(F113:$F$137)</f>
        <v>53.972072648670007</v>
      </c>
    </row>
    <row r="114" spans="1:7" x14ac:dyDescent="0.2">
      <c r="A114" s="22">
        <v>105</v>
      </c>
      <c r="B114" s="22">
        <v>1583.49</v>
      </c>
      <c r="C114" s="22">
        <f t="shared" si="3"/>
        <v>25.074405800999997</v>
      </c>
      <c r="D114" s="22">
        <f t="shared" si="4"/>
        <v>42.744338143080299</v>
      </c>
      <c r="E114" s="22">
        <f>SUM(D114:$D$137)</f>
        <v>132.85112274096727</v>
      </c>
      <c r="F114" s="22">
        <f t="shared" si="5"/>
        <v>11.366648267808619</v>
      </c>
      <c r="G114" s="22">
        <f>SUM(F114:$F$137)</f>
        <v>38.915437399494884</v>
      </c>
    </row>
    <row r="115" spans="1:7" x14ac:dyDescent="0.2">
      <c r="A115" s="22">
        <v>106</v>
      </c>
      <c r="B115" s="22">
        <v>1155.0999999999999</v>
      </c>
      <c r="C115" s="22">
        <f t="shared" si="3"/>
        <v>13.342560099999998</v>
      </c>
      <c r="D115" s="22">
        <f t="shared" si="4"/>
        <v>30.126071729391995</v>
      </c>
      <c r="E115" s="22">
        <f>SUM(D115:$D$137)</f>
        <v>90.106784597887028</v>
      </c>
      <c r="F115" s="22">
        <f t="shared" si="5"/>
        <v>8.4183978326286759</v>
      </c>
      <c r="G115" s="22">
        <f>SUM(F115:$F$137)</f>
        <v>27.548789131686259</v>
      </c>
    </row>
    <row r="116" spans="1:7" x14ac:dyDescent="0.2">
      <c r="A116" s="22">
        <v>107</v>
      </c>
      <c r="B116" s="22">
        <v>826.72</v>
      </c>
      <c r="C116" s="22">
        <f t="shared" si="3"/>
        <v>6.8346595839999997</v>
      </c>
      <c r="D116" s="22">
        <f t="shared" si="4"/>
        <v>20.832482053019191</v>
      </c>
      <c r="E116" s="22">
        <f>SUM(D116:$D$137)</f>
        <v>59.98071286849504</v>
      </c>
      <c r="F116" s="22">
        <f t="shared" si="5"/>
        <v>6.1120536658203326</v>
      </c>
      <c r="G116" s="22">
        <f>SUM(F116:$F$137)</f>
        <v>19.130391299057582</v>
      </c>
    </row>
    <row r="117" spans="1:7" x14ac:dyDescent="0.2">
      <c r="A117" s="22">
        <v>108</v>
      </c>
      <c r="B117" s="22">
        <v>579.96</v>
      </c>
      <c r="C117" s="22">
        <f t="shared" si="3"/>
        <v>3.3635360160000007</v>
      </c>
      <c r="D117" s="22">
        <f t="shared" si="4"/>
        <v>14.120180992845029</v>
      </c>
      <c r="E117" s="22">
        <f>SUM(D117:$D$137)</f>
        <v>39.148230815475841</v>
      </c>
      <c r="F117" s="22">
        <f t="shared" si="5"/>
        <v>4.3445457867999151</v>
      </c>
      <c r="G117" s="22">
        <f>SUM(F117:$F$137)</f>
        <v>13.018337633237252</v>
      </c>
    </row>
    <row r="118" spans="1:7" x14ac:dyDescent="0.2">
      <c r="A118" s="22">
        <v>109</v>
      </c>
      <c r="B118" s="22">
        <v>398.42</v>
      </c>
      <c r="C118" s="22">
        <f t="shared" si="3"/>
        <v>1.587384964</v>
      </c>
      <c r="D118" s="22">
        <f t="shared" si="4"/>
        <v>9.3722314202067505</v>
      </c>
      <c r="E118" s="22">
        <f>SUM(D118:$D$137)</f>
        <v>25.028049822630809</v>
      </c>
      <c r="F118" s="22">
        <f t="shared" si="5"/>
        <v>3.0220892447000605</v>
      </c>
      <c r="G118" s="22">
        <f>SUM(F118:$F$137)</f>
        <v>8.6737918464373358</v>
      </c>
    </row>
    <row r="119" spans="1:7" x14ac:dyDescent="0.2">
      <c r="A119" s="22">
        <v>110</v>
      </c>
      <c r="B119" s="22">
        <v>267.72000000000003</v>
      </c>
      <c r="C119" s="22">
        <f t="shared" si="3"/>
        <v>0.71673998400000016</v>
      </c>
      <c r="D119" s="22">
        <f t="shared" si="4"/>
        <v>6.0847443920824249</v>
      </c>
      <c r="E119" s="22">
        <f>SUM(D119:$D$137)</f>
        <v>15.655818402424055</v>
      </c>
      <c r="F119" s="22">
        <f t="shared" si="5"/>
        <v>2.0544250907792514</v>
      </c>
      <c r="G119" s="22">
        <f>SUM(F119:$F$137)</f>
        <v>5.6517026017372771</v>
      </c>
    </row>
    <row r="120" spans="1:7" x14ac:dyDescent="0.2">
      <c r="A120" s="22">
        <v>111</v>
      </c>
      <c r="B120" s="22">
        <v>175.76</v>
      </c>
      <c r="C120" s="22">
        <f t="shared" si="3"/>
        <v>0.30891577599999998</v>
      </c>
      <c r="D120" s="22">
        <f t="shared" si="4"/>
        <v>3.8595903945805623</v>
      </c>
      <c r="E120" s="22">
        <f>SUM(D120:$D$137)</f>
        <v>9.571074010341631</v>
      </c>
      <c r="F120" s="22">
        <f t="shared" si="5"/>
        <v>1.3633052885167196</v>
      </c>
      <c r="G120" s="22">
        <f>SUM(F120:$F$137)</f>
        <v>3.5972775109580257</v>
      </c>
    </row>
    <row r="121" spans="1:7" x14ac:dyDescent="0.2">
      <c r="A121" s="22">
        <v>112</v>
      </c>
      <c r="B121" s="22">
        <v>112.6</v>
      </c>
      <c r="C121" s="22">
        <f t="shared" si="3"/>
        <v>0.12678759999999997</v>
      </c>
      <c r="D121" s="22">
        <f t="shared" si="4"/>
        <v>2.3890168545038986</v>
      </c>
      <c r="E121" s="22">
        <f>SUM(D121:$D$137)</f>
        <v>5.7114836157610682</v>
      </c>
      <c r="F121" s="22">
        <f t="shared" si="5"/>
        <v>0.88216742242318757</v>
      </c>
      <c r="G121" s="22">
        <f>SUM(F121:$F$137)</f>
        <v>2.2339722224413063</v>
      </c>
    </row>
    <row r="122" spans="1:7" x14ac:dyDescent="0.2">
      <c r="A122" s="22">
        <v>113</v>
      </c>
      <c r="B122" s="22">
        <v>70.3</v>
      </c>
      <c r="C122" s="22">
        <f t="shared" si="3"/>
        <v>4.942089999999999E-2</v>
      </c>
      <c r="D122" s="22">
        <f t="shared" si="4"/>
        <v>1.4411055754766484</v>
      </c>
      <c r="E122" s="22">
        <f>SUM(D122:$D$137)</f>
        <v>3.322466761257171</v>
      </c>
      <c r="F122" s="22">
        <f t="shared" si="5"/>
        <v>0.55593241704995955</v>
      </c>
      <c r="G122" s="22">
        <f>SUM(F122:$F$137)</f>
        <v>1.3518048000181184</v>
      </c>
    </row>
    <row r="123" spans="1:7" x14ac:dyDescent="0.2">
      <c r="A123" s="22">
        <v>114</v>
      </c>
      <c r="B123" s="22">
        <v>42.71</v>
      </c>
      <c r="C123" s="22">
        <f t="shared" si="3"/>
        <v>1.8241441000000001E-2</v>
      </c>
      <c r="D123" s="22">
        <f t="shared" si="4"/>
        <v>0.84592078296064022</v>
      </c>
      <c r="E123" s="22">
        <f>SUM(D123:$D$137)</f>
        <v>1.8813611857805219</v>
      </c>
      <c r="F123" s="22">
        <f t="shared" si="5"/>
        <v>0.34069675522617388</v>
      </c>
      <c r="G123" s="22">
        <f>SUM(F123:$F$137)</f>
        <v>0.79587238296815876</v>
      </c>
    </row>
    <row r="124" spans="1:7" x14ac:dyDescent="0.2">
      <c r="A124" s="22">
        <v>115</v>
      </c>
      <c r="B124" s="22">
        <v>25.21</v>
      </c>
      <c r="C124" s="22">
        <f t="shared" si="3"/>
        <v>6.3554410000000007E-3</v>
      </c>
      <c r="D124" s="22">
        <f t="shared" si="4"/>
        <v>0.48242812583772465</v>
      </c>
      <c r="E124" s="22">
        <f>SUM(D124:$D$137)</f>
        <v>1.0354404028198816</v>
      </c>
      <c r="F124" s="22">
        <f t="shared" si="5"/>
        <v>0.2025840747431826</v>
      </c>
      <c r="G124" s="22">
        <f>SUM(F124:$F$137)</f>
        <v>0.45517562774198495</v>
      </c>
    </row>
    <row r="125" spans="1:7" x14ac:dyDescent="0.2">
      <c r="A125" s="22">
        <v>116</v>
      </c>
      <c r="B125" s="22">
        <v>14.44</v>
      </c>
      <c r="C125" s="22">
        <f t="shared" si="3"/>
        <v>2.085136E-3</v>
      </c>
      <c r="D125" s="22">
        <f t="shared" si="4"/>
        <v>0.26698484947108031</v>
      </c>
      <c r="E125" s="22">
        <f>SUM(D125:$D$137)</f>
        <v>0.55301227698215716</v>
      </c>
      <c r="F125" s="22">
        <f t="shared" si="5"/>
        <v>0.11685847703619948</v>
      </c>
      <c r="G125" s="22">
        <f>SUM(F125:$F$137)</f>
        <v>0.25259155299880232</v>
      </c>
    </row>
    <row r="126" spans="1:7" x14ac:dyDescent="0.2">
      <c r="A126" s="22">
        <v>117</v>
      </c>
      <c r="B126" s="22">
        <v>8.01</v>
      </c>
      <c r="C126" s="22">
        <f t="shared" si="3"/>
        <v>6.41601E-4</v>
      </c>
      <c r="D126" s="22">
        <f t="shared" si="4"/>
        <v>0.14309075998389831</v>
      </c>
      <c r="E126" s="22">
        <f>SUM(D126:$D$137)</f>
        <v>0.28602742751107668</v>
      </c>
      <c r="F126" s="22">
        <f t="shared" si="5"/>
        <v>6.5320851770409236E-2</v>
      </c>
      <c r="G126" s="22">
        <f>SUM(F126:$F$137)</f>
        <v>0.13573307596260289</v>
      </c>
    </row>
    <row r="127" spans="1:7" x14ac:dyDescent="0.2">
      <c r="A127" s="22">
        <v>118</v>
      </c>
      <c r="B127" s="22">
        <v>4.29</v>
      </c>
      <c r="C127" s="22">
        <f t="shared" si="3"/>
        <v>1.84041E-4</v>
      </c>
      <c r="D127" s="22">
        <f t="shared" si="4"/>
        <v>7.4045047595206942E-2</v>
      </c>
      <c r="E127" s="22">
        <f>SUM(D127:$D$137)</f>
        <v>0.14293666752717843</v>
      </c>
      <c r="F127" s="22">
        <f t="shared" si="5"/>
        <v>3.5118737510972706E-2</v>
      </c>
      <c r="G127" s="22">
        <f>SUM(F127:$F$137)</f>
        <v>7.0412224192193604E-2</v>
      </c>
    </row>
    <row r="128" spans="1:7" x14ac:dyDescent="0.2">
      <c r="A128" s="22">
        <v>119</v>
      </c>
      <c r="B128" s="22">
        <v>2.2200000000000002</v>
      </c>
      <c r="C128" s="22">
        <f t="shared" si="3"/>
        <v>4.9284000000000005E-5</v>
      </c>
      <c r="D128" s="22">
        <f t="shared" si="4"/>
        <v>3.7021273078918379E-2</v>
      </c>
      <c r="E128" s="22">
        <f>SUM(D128:$D$137)</f>
        <v>6.8891619931971487E-2</v>
      </c>
      <c r="F128" s="22">
        <f t="shared" si="5"/>
        <v>1.8358881659917121E-2</v>
      </c>
      <c r="G128" s="22">
        <f>SUM(F128:$F$137)</f>
        <v>3.5293486681220905E-2</v>
      </c>
    </row>
    <row r="129" spans="1:7" x14ac:dyDescent="0.2">
      <c r="A129" s="22">
        <v>120</v>
      </c>
      <c r="B129" s="22">
        <v>1.1000000000000001</v>
      </c>
      <c r="C129" s="22">
        <f t="shared" si="3"/>
        <v>1.2100000000000001E-5</v>
      </c>
      <c r="D129" s="22">
        <f t="shared" si="4"/>
        <v>1.7723549804939814E-2</v>
      </c>
      <c r="E129" s="22">
        <f>SUM(D129:$D$137)</f>
        <v>3.1870346853053115E-2</v>
      </c>
      <c r="F129" s="22">
        <f t="shared" si="5"/>
        <v>9.0274004021331667E-3</v>
      </c>
      <c r="G129" s="22">
        <f>SUM(F129:$F$137)</f>
        <v>1.6934605021303794E-2</v>
      </c>
    </row>
    <row r="130" spans="1:7" x14ac:dyDescent="0.2">
      <c r="A130" s="22">
        <v>121</v>
      </c>
      <c r="B130" s="22">
        <v>0.53</v>
      </c>
      <c r="C130" s="22">
        <f t="shared" si="3"/>
        <v>2.8090000000000005E-6</v>
      </c>
      <c r="D130" s="22">
        <f t="shared" si="4"/>
        <v>8.2507522148599927E-3</v>
      </c>
      <c r="E130" s="22">
        <f>SUM(D130:$D$137)</f>
        <v>1.4146797048113299E-2</v>
      </c>
      <c r="F130" s="22">
        <f t="shared" si="5"/>
        <v>4.4375728733259054E-3</v>
      </c>
      <c r="G130" s="22">
        <f>SUM(F130:$F$137)</f>
        <v>7.9072046191706272E-3</v>
      </c>
    </row>
    <row r="131" spans="1:7" x14ac:dyDescent="0.2">
      <c r="A131" s="22">
        <v>122</v>
      </c>
      <c r="B131" s="22">
        <v>0.24</v>
      </c>
      <c r="C131" s="22">
        <f t="shared" si="3"/>
        <v>5.7599999999999997E-7</v>
      </c>
      <c r="D131" s="22">
        <f t="shared" si="4"/>
        <v>3.6098451035756055E-3</v>
      </c>
      <c r="E131" s="22">
        <f>SUM(D131:$D$137)</f>
        <v>5.8960448332533054E-3</v>
      </c>
      <c r="F131" s="22">
        <f t="shared" si="5"/>
        <v>2.0698324246730855E-3</v>
      </c>
      <c r="G131" s="22">
        <f>SUM(F131:$F$137)</f>
        <v>3.469631745844721E-3</v>
      </c>
    </row>
    <row r="132" spans="1:7" x14ac:dyDescent="0.2">
      <c r="A132" s="22">
        <v>123</v>
      </c>
      <c r="B132" s="22">
        <v>0.1</v>
      </c>
      <c r="C132" s="22">
        <f t="shared" si="3"/>
        <v>1.0000000000000002E-7</v>
      </c>
      <c r="D132" s="22">
        <f t="shared" si="4"/>
        <v>1.453238769555397E-3</v>
      </c>
      <c r="E132" s="22">
        <f>SUM(D132:$D$137)</f>
        <v>2.2861997296776998E-3</v>
      </c>
      <c r="F132" s="22">
        <f t="shared" si="5"/>
        <v>8.570734677735345E-4</v>
      </c>
      <c r="G132" s="22">
        <f>SUM(F132:$F$137)</f>
        <v>1.3997993211716357E-3</v>
      </c>
    </row>
    <row r="133" spans="1:7" x14ac:dyDescent="0.2">
      <c r="A133" s="22">
        <v>124</v>
      </c>
      <c r="B133" s="22">
        <v>0.04</v>
      </c>
      <c r="C133" s="22">
        <f t="shared" si="3"/>
        <v>1.6000000000000001E-8</v>
      </c>
      <c r="D133" s="22">
        <f t="shared" si="4"/>
        <v>5.6163817180884909E-4</v>
      </c>
      <c r="E133" s="22">
        <f>SUM(D133:$D$137)</f>
        <v>8.3296096012230273E-4</v>
      </c>
      <c r="F133" s="22">
        <f t="shared" si="5"/>
        <v>2.7603010234252315E-4</v>
      </c>
      <c r="G133" s="22">
        <f>SUM(F133:$F$137)</f>
        <v>5.427258533981013E-4</v>
      </c>
    </row>
    <row r="134" spans="1:7" x14ac:dyDescent="0.2">
      <c r="A134" s="22">
        <v>125</v>
      </c>
      <c r="B134" s="22">
        <v>0.02</v>
      </c>
      <c r="C134" s="22">
        <f t="shared" si="3"/>
        <v>4.0000000000000002E-9</v>
      </c>
      <c r="D134" s="22">
        <f t="shared" si="4"/>
        <v>2.7132278831345363E-4</v>
      </c>
      <c r="E134" s="22">
        <f>SUM(D134:$D$137)</f>
        <v>2.7132278831345363E-4</v>
      </c>
      <c r="F134" s="22">
        <f t="shared" si="5"/>
        <v>2.6669575105557809E-4</v>
      </c>
      <c r="G134" s="22">
        <f>SUM(F134:$F$137)</f>
        <v>2.6669575105557809E-4</v>
      </c>
    </row>
    <row r="135" spans="1:7" x14ac:dyDescent="0.2">
      <c r="A135" s="22">
        <v>126</v>
      </c>
      <c r="B135" s="22">
        <v>0</v>
      </c>
      <c r="C135" s="22">
        <f t="shared" si="3"/>
        <v>0</v>
      </c>
      <c r="D135" s="22">
        <f t="shared" si="4"/>
        <v>0</v>
      </c>
      <c r="E135" s="22">
        <f>SUM(D135:$D$137)</f>
        <v>0</v>
      </c>
      <c r="F135" s="22">
        <f t="shared" si="5"/>
        <v>0</v>
      </c>
      <c r="G135" s="22">
        <f>SUM(F135:$F$137)</f>
        <v>0</v>
      </c>
    </row>
    <row r="136" spans="1:7" x14ac:dyDescent="0.2">
      <c r="A136" s="22">
        <v>127</v>
      </c>
      <c r="B136" s="22">
        <v>0</v>
      </c>
      <c r="C136" s="22">
        <f t="shared" si="3"/>
        <v>0</v>
      </c>
      <c r="D136" s="22">
        <f t="shared" si="4"/>
        <v>0</v>
      </c>
      <c r="E136" s="22">
        <f>SUM(D136:$D$137)</f>
        <v>0</v>
      </c>
      <c r="F136" s="22">
        <f t="shared" si="5"/>
        <v>0</v>
      </c>
      <c r="G136" s="22">
        <f>SUM(F136:$F$137)</f>
        <v>0</v>
      </c>
    </row>
    <row r="137" spans="1:7" x14ac:dyDescent="0.2">
      <c r="A137" s="22">
        <v>128</v>
      </c>
      <c r="B137" s="22">
        <v>0</v>
      </c>
      <c r="C137" s="22">
        <f t="shared" si="3"/>
        <v>0</v>
      </c>
      <c r="D137" s="22">
        <f t="shared" si="4"/>
        <v>0</v>
      </c>
      <c r="E137" s="22">
        <f>SUM(D137:$D$137)</f>
        <v>0</v>
      </c>
      <c r="F137" s="22">
        <f t="shared" si="5"/>
        <v>0</v>
      </c>
      <c r="G137" s="22">
        <f>SUM(F137:$F$137)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Resumo</vt:lpstr>
      <vt:lpstr>Portfolio</vt:lpstr>
      <vt:lpstr>Proj Cash Flows</vt:lpstr>
      <vt:lpstr>Mortality Table</vt:lpstr>
      <vt:lpstr>Assumptions</vt:lpstr>
      <vt:lpstr>Mortality Tarif Male</vt:lpstr>
      <vt:lpstr>Mortality Tarif Female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Crispim</dc:creator>
  <cp:lastModifiedBy>Ricardo Crispim</cp:lastModifiedBy>
  <dcterms:created xsi:type="dcterms:W3CDTF">2018-05-03T14:43:24Z</dcterms:created>
  <dcterms:modified xsi:type="dcterms:W3CDTF">2018-05-09T08:40:49Z</dcterms:modified>
</cp:coreProperties>
</file>