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28425" windowHeight="13320" activeTab="3"/>
  </bookViews>
  <sheets>
    <sheet name="Resumo" sheetId="5" r:id="rId1"/>
    <sheet name="Portfolio" sheetId="1" r:id="rId2"/>
    <sheet name="Proj Cash Flows" sheetId="2" r:id="rId3"/>
    <sheet name="Mortality Table" sheetId="3" r:id="rId4"/>
    <sheet name="Assumptions" sheetId="4" r:id="rId5"/>
  </sheets>
  <definedNames>
    <definedName name="_xlnm._FilterDatabase" localSheetId="1" hidden="1">Portfolio!$A$5:$O$1668</definedName>
  </definedNames>
  <calcPr calcId="145621"/>
</workbook>
</file>

<file path=xl/calcChain.xml><?xml version="1.0" encoding="utf-8"?>
<calcChain xmlns="http://schemas.openxmlformats.org/spreadsheetml/2006/main">
  <c r="R2" i="1" l="1"/>
  <c r="L68" i="1" l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D515" i="2" l="1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A456" i="2"/>
  <c r="AA457" i="2" s="1"/>
  <c r="AA458" i="2" s="1"/>
  <c r="AA459" i="2" s="1"/>
  <c r="AA460" i="2" s="1"/>
  <c r="AA461" i="2" s="1"/>
  <c r="AA462" i="2" s="1"/>
  <c r="AA463" i="2" s="1"/>
  <c r="AA464" i="2" s="1"/>
  <c r="AA465" i="2" s="1"/>
  <c r="AA466" i="2" s="1"/>
  <c r="AA467" i="2" s="1"/>
  <c r="AA468" i="2" s="1"/>
  <c r="AA469" i="2" s="1"/>
  <c r="AA470" i="2" s="1"/>
  <c r="AA471" i="2" s="1"/>
  <c r="AA472" i="2" s="1"/>
  <c r="AA473" i="2" s="1"/>
  <c r="AA474" i="2" s="1"/>
  <c r="AA475" i="2" s="1"/>
  <c r="AA476" i="2" s="1"/>
  <c r="AA477" i="2" s="1"/>
  <c r="AA478" i="2" s="1"/>
  <c r="AA479" i="2" s="1"/>
  <c r="AA480" i="2" s="1"/>
  <c r="AA481" i="2" s="1"/>
  <c r="AA482" i="2" s="1"/>
  <c r="AA483" i="2" s="1"/>
  <c r="AA484" i="2" s="1"/>
  <c r="AA485" i="2" s="1"/>
  <c r="AA486" i="2" s="1"/>
  <c r="AA487" i="2" s="1"/>
  <c r="AA488" i="2" s="1"/>
  <c r="AA489" i="2" s="1"/>
  <c r="AA490" i="2" s="1"/>
  <c r="AA491" i="2" s="1"/>
  <c r="AA492" i="2" s="1"/>
  <c r="AA493" i="2" s="1"/>
  <c r="AA494" i="2" s="1"/>
  <c r="AA495" i="2" s="1"/>
  <c r="AA496" i="2" s="1"/>
  <c r="AA497" i="2" s="1"/>
  <c r="AA498" i="2" s="1"/>
  <c r="AA499" i="2" s="1"/>
  <c r="AA500" i="2" s="1"/>
  <c r="AA501" i="2" s="1"/>
  <c r="AA502" i="2" s="1"/>
  <c r="AA503" i="2" s="1"/>
  <c r="AA504" i="2" s="1"/>
  <c r="AA505" i="2" s="1"/>
  <c r="AA506" i="2" s="1"/>
  <c r="AA507" i="2" s="1"/>
  <c r="AA508" i="2" s="1"/>
  <c r="AA509" i="2" s="1"/>
  <c r="AA510" i="2" s="1"/>
  <c r="AA511" i="2" s="1"/>
  <c r="AA512" i="2" s="1"/>
  <c r="AA513" i="2" s="1"/>
  <c r="AA514" i="2" s="1"/>
  <c r="AA515" i="2" s="1"/>
  <c r="A514" i="2"/>
  <c r="A515" i="2" s="1"/>
  <c r="A508" i="2"/>
  <c r="A509" i="2" s="1"/>
  <c r="A510" i="2" s="1"/>
  <c r="A511" i="2" s="1"/>
  <c r="A512" i="2" s="1"/>
  <c r="A513" i="2" s="1"/>
  <c r="A497" i="2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456" i="2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L7" i="1"/>
  <c r="M7" i="1" s="1"/>
  <c r="N7" i="1" s="1"/>
  <c r="O7" i="1" s="1"/>
  <c r="L8" i="1"/>
  <c r="M8" i="1" s="1"/>
  <c r="N8" i="1" s="1"/>
  <c r="O8" i="1" s="1"/>
  <c r="L9" i="1"/>
  <c r="M9" i="1" s="1"/>
  <c r="N9" i="1" s="1"/>
  <c r="O9" i="1" s="1"/>
  <c r="L10" i="1"/>
  <c r="M10" i="1" s="1"/>
  <c r="N10" i="1" s="1"/>
  <c r="O10" i="1" s="1"/>
  <c r="L11" i="1"/>
  <c r="M11" i="1" s="1"/>
  <c r="N11" i="1" s="1"/>
  <c r="O11" i="1" s="1"/>
  <c r="L12" i="1"/>
  <c r="M12" i="1" s="1"/>
  <c r="N12" i="1" s="1"/>
  <c r="O12" i="1" s="1"/>
  <c r="L13" i="1"/>
  <c r="M13" i="1" s="1"/>
  <c r="N13" i="1" s="1"/>
  <c r="O13" i="1" s="1"/>
  <c r="L14" i="1"/>
  <c r="M14" i="1" s="1"/>
  <c r="N14" i="1" s="1"/>
  <c r="O14" i="1" s="1"/>
  <c r="L15" i="1"/>
  <c r="M15" i="1" s="1"/>
  <c r="N15" i="1" s="1"/>
  <c r="O15" i="1" s="1"/>
  <c r="L16" i="1"/>
  <c r="M16" i="1" s="1"/>
  <c r="N16" i="1"/>
  <c r="O16" i="1" s="1"/>
  <c r="L17" i="1"/>
  <c r="M17" i="1" s="1"/>
  <c r="N17" i="1" s="1"/>
  <c r="O17" i="1" s="1"/>
  <c r="L18" i="1"/>
  <c r="M18" i="1" s="1"/>
  <c r="N18" i="1" s="1"/>
  <c r="O18" i="1" s="1"/>
  <c r="L19" i="1"/>
  <c r="M19" i="1" s="1"/>
  <c r="N19" i="1" s="1"/>
  <c r="O19" i="1" s="1"/>
  <c r="L20" i="1"/>
  <c r="M20" i="1" s="1"/>
  <c r="N20" i="1" s="1"/>
  <c r="O20" i="1" s="1"/>
  <c r="L21" i="1"/>
  <c r="M21" i="1" s="1"/>
  <c r="N21" i="1" s="1"/>
  <c r="O21" i="1" s="1"/>
  <c r="L22" i="1"/>
  <c r="M22" i="1" s="1"/>
  <c r="N22" i="1" s="1"/>
  <c r="O22" i="1" s="1"/>
  <c r="L23" i="1"/>
  <c r="M23" i="1" s="1"/>
  <c r="N23" i="1" s="1"/>
  <c r="O23" i="1" s="1"/>
  <c r="L24" i="1"/>
  <c r="M24" i="1" s="1"/>
  <c r="N24" i="1" s="1"/>
  <c r="O24" i="1" s="1"/>
  <c r="L25" i="1"/>
  <c r="M25" i="1" s="1"/>
  <c r="N25" i="1" s="1"/>
  <c r="O25" i="1" s="1"/>
  <c r="L26" i="1"/>
  <c r="M26" i="1" s="1"/>
  <c r="N26" i="1" s="1"/>
  <c r="O26" i="1" s="1"/>
  <c r="L27" i="1"/>
  <c r="M27" i="1" s="1"/>
  <c r="N27" i="1" s="1"/>
  <c r="O27" i="1" s="1"/>
  <c r="L28" i="1"/>
  <c r="M28" i="1" s="1"/>
  <c r="N28" i="1" s="1"/>
  <c r="O28" i="1" s="1"/>
  <c r="L29" i="1"/>
  <c r="M29" i="1" s="1"/>
  <c r="N29" i="1" s="1"/>
  <c r="O29" i="1" s="1"/>
  <c r="L30" i="1"/>
  <c r="M30" i="1" s="1"/>
  <c r="N30" i="1" s="1"/>
  <c r="O30" i="1" s="1"/>
  <c r="L31" i="1"/>
  <c r="M31" i="1" s="1"/>
  <c r="N31" i="1" s="1"/>
  <c r="O31" i="1" s="1"/>
  <c r="L32" i="1"/>
  <c r="M32" i="1" s="1"/>
  <c r="N32" i="1" s="1"/>
  <c r="O32" i="1" s="1"/>
  <c r="L33" i="1"/>
  <c r="M33" i="1" s="1"/>
  <c r="N33" i="1" s="1"/>
  <c r="O33" i="1" s="1"/>
  <c r="L34" i="1"/>
  <c r="M34" i="1" s="1"/>
  <c r="N34" i="1" s="1"/>
  <c r="O34" i="1" s="1"/>
  <c r="L35" i="1"/>
  <c r="M35" i="1" s="1"/>
  <c r="N35" i="1" s="1"/>
  <c r="O35" i="1" s="1"/>
  <c r="L36" i="1"/>
  <c r="M36" i="1" s="1"/>
  <c r="N36" i="1" s="1"/>
  <c r="O36" i="1" s="1"/>
  <c r="L37" i="1"/>
  <c r="M37" i="1" s="1"/>
  <c r="N37" i="1" s="1"/>
  <c r="O37" i="1" s="1"/>
  <c r="L38" i="1"/>
  <c r="M38" i="1" s="1"/>
  <c r="N38" i="1" s="1"/>
  <c r="O38" i="1" s="1"/>
  <c r="L39" i="1"/>
  <c r="M39" i="1" s="1"/>
  <c r="N39" i="1" s="1"/>
  <c r="O39" i="1" s="1"/>
  <c r="L40" i="1"/>
  <c r="M40" i="1" s="1"/>
  <c r="N40" i="1" s="1"/>
  <c r="O40" i="1" s="1"/>
  <c r="L41" i="1"/>
  <c r="M41" i="1" s="1"/>
  <c r="N41" i="1" s="1"/>
  <c r="O41" i="1" s="1"/>
  <c r="L42" i="1"/>
  <c r="M42" i="1" s="1"/>
  <c r="N42" i="1" s="1"/>
  <c r="O42" i="1" s="1"/>
  <c r="L43" i="1"/>
  <c r="M43" i="1" s="1"/>
  <c r="N43" i="1" s="1"/>
  <c r="O43" i="1" s="1"/>
  <c r="L44" i="1"/>
  <c r="M44" i="1" s="1"/>
  <c r="N44" i="1" s="1"/>
  <c r="O44" i="1" s="1"/>
  <c r="L45" i="1"/>
  <c r="M45" i="1" s="1"/>
  <c r="N45" i="1" s="1"/>
  <c r="O45" i="1" s="1"/>
  <c r="L46" i="1"/>
  <c r="M46" i="1" s="1"/>
  <c r="N46" i="1" s="1"/>
  <c r="O46" i="1" s="1"/>
  <c r="L47" i="1"/>
  <c r="M47" i="1" s="1"/>
  <c r="N47" i="1" s="1"/>
  <c r="O47" i="1" s="1"/>
  <c r="L48" i="1"/>
  <c r="M48" i="1" s="1"/>
  <c r="N48" i="1" s="1"/>
  <c r="O48" i="1" s="1"/>
  <c r="L49" i="1"/>
  <c r="M49" i="1" s="1"/>
  <c r="N49" i="1" s="1"/>
  <c r="O49" i="1" s="1"/>
  <c r="L50" i="1"/>
  <c r="M50" i="1" s="1"/>
  <c r="N50" i="1" s="1"/>
  <c r="O50" i="1" s="1"/>
  <c r="L51" i="1"/>
  <c r="M51" i="1" s="1"/>
  <c r="N51" i="1" s="1"/>
  <c r="O51" i="1" s="1"/>
  <c r="L52" i="1"/>
  <c r="M52" i="1" s="1"/>
  <c r="N52" i="1" s="1"/>
  <c r="O52" i="1" s="1"/>
  <c r="L53" i="1"/>
  <c r="M53" i="1" s="1"/>
  <c r="N53" i="1" s="1"/>
  <c r="O53" i="1" s="1"/>
  <c r="L54" i="1"/>
  <c r="M54" i="1" s="1"/>
  <c r="N54" i="1" s="1"/>
  <c r="O54" i="1" s="1"/>
  <c r="L55" i="1"/>
  <c r="M55" i="1" s="1"/>
  <c r="N55" i="1" s="1"/>
  <c r="O55" i="1" s="1"/>
  <c r="L56" i="1"/>
  <c r="M56" i="1" s="1"/>
  <c r="N56" i="1" s="1"/>
  <c r="O56" i="1" s="1"/>
  <c r="L57" i="1"/>
  <c r="M57" i="1" s="1"/>
  <c r="N57" i="1" s="1"/>
  <c r="O57" i="1" s="1"/>
  <c r="L58" i="1"/>
  <c r="M58" i="1" s="1"/>
  <c r="N58" i="1" s="1"/>
  <c r="O58" i="1" s="1"/>
  <c r="L59" i="1"/>
  <c r="M59" i="1" s="1"/>
  <c r="N59" i="1" s="1"/>
  <c r="O59" i="1" s="1"/>
  <c r="L60" i="1"/>
  <c r="M60" i="1" s="1"/>
  <c r="N60" i="1" s="1"/>
  <c r="O60" i="1" s="1"/>
  <c r="L61" i="1"/>
  <c r="M61" i="1" s="1"/>
  <c r="N61" i="1" s="1"/>
  <c r="O61" i="1" s="1"/>
  <c r="L62" i="1"/>
  <c r="M62" i="1" s="1"/>
  <c r="N62" i="1" s="1"/>
  <c r="O62" i="1" s="1"/>
  <c r="L63" i="1"/>
  <c r="M63" i="1" s="1"/>
  <c r="N63" i="1" s="1"/>
  <c r="O63" i="1" s="1"/>
  <c r="L64" i="1"/>
  <c r="M64" i="1" s="1"/>
  <c r="N64" i="1" s="1"/>
  <c r="O64" i="1" s="1"/>
  <c r="L65" i="1"/>
  <c r="M65" i="1" s="1"/>
  <c r="N65" i="1" s="1"/>
  <c r="O65" i="1" s="1"/>
  <c r="L66" i="1"/>
  <c r="M66" i="1" s="1"/>
  <c r="N66" i="1" s="1"/>
  <c r="O66" i="1" s="1"/>
  <c r="L67" i="1"/>
  <c r="M67" i="1" s="1"/>
  <c r="N67" i="1" s="1"/>
  <c r="O67" i="1" s="1"/>
  <c r="M68" i="1"/>
  <c r="N68" i="1" s="1"/>
  <c r="O68" i="1" s="1"/>
  <c r="L69" i="1"/>
  <c r="M69" i="1" s="1"/>
  <c r="N69" i="1" s="1"/>
  <c r="O69" i="1" s="1"/>
  <c r="L70" i="1"/>
  <c r="M70" i="1" s="1"/>
  <c r="N70" i="1" s="1"/>
  <c r="O70" i="1" s="1"/>
  <c r="L71" i="1"/>
  <c r="M71" i="1" s="1"/>
  <c r="N71" i="1" s="1"/>
  <c r="O71" i="1" s="1"/>
  <c r="L72" i="1"/>
  <c r="M72" i="1" s="1"/>
  <c r="N72" i="1" s="1"/>
  <c r="O72" i="1" s="1"/>
  <c r="L73" i="1"/>
  <c r="M73" i="1" s="1"/>
  <c r="N73" i="1" s="1"/>
  <c r="O73" i="1" s="1"/>
  <c r="L74" i="1"/>
  <c r="M74" i="1" s="1"/>
  <c r="N74" i="1" s="1"/>
  <c r="O74" i="1" s="1"/>
  <c r="L75" i="1"/>
  <c r="M75" i="1" s="1"/>
  <c r="N75" i="1" s="1"/>
  <c r="O75" i="1" s="1"/>
  <c r="L76" i="1"/>
  <c r="M76" i="1" s="1"/>
  <c r="N76" i="1" s="1"/>
  <c r="O76" i="1" s="1"/>
  <c r="L77" i="1"/>
  <c r="M77" i="1" s="1"/>
  <c r="N77" i="1" s="1"/>
  <c r="O77" i="1" s="1"/>
  <c r="L78" i="1"/>
  <c r="M78" i="1" s="1"/>
  <c r="N78" i="1" s="1"/>
  <c r="O78" i="1" s="1"/>
  <c r="L79" i="1"/>
  <c r="M79" i="1" s="1"/>
  <c r="N79" i="1" s="1"/>
  <c r="O79" i="1" s="1"/>
  <c r="L80" i="1"/>
  <c r="M80" i="1" s="1"/>
  <c r="N80" i="1" s="1"/>
  <c r="O80" i="1" s="1"/>
  <c r="L81" i="1"/>
  <c r="M81" i="1" s="1"/>
  <c r="N81" i="1" s="1"/>
  <c r="O81" i="1" s="1"/>
  <c r="L82" i="1"/>
  <c r="M82" i="1" s="1"/>
  <c r="N82" i="1" s="1"/>
  <c r="O82" i="1" s="1"/>
  <c r="L83" i="1"/>
  <c r="M83" i="1" s="1"/>
  <c r="N83" i="1" s="1"/>
  <c r="O83" i="1" s="1"/>
  <c r="L84" i="1"/>
  <c r="M84" i="1" s="1"/>
  <c r="N84" i="1" s="1"/>
  <c r="O84" i="1" s="1"/>
  <c r="L85" i="1"/>
  <c r="M85" i="1" s="1"/>
  <c r="N85" i="1" s="1"/>
  <c r="O85" i="1" s="1"/>
  <c r="L86" i="1"/>
  <c r="M86" i="1" s="1"/>
  <c r="N86" i="1" s="1"/>
  <c r="O86" i="1" s="1"/>
  <c r="L87" i="1"/>
  <c r="M87" i="1" s="1"/>
  <c r="N87" i="1" s="1"/>
  <c r="O87" i="1" s="1"/>
  <c r="L88" i="1"/>
  <c r="M88" i="1" s="1"/>
  <c r="N88" i="1" s="1"/>
  <c r="O88" i="1" s="1"/>
  <c r="L89" i="1"/>
  <c r="M89" i="1" s="1"/>
  <c r="N89" i="1" s="1"/>
  <c r="O89" i="1" s="1"/>
  <c r="L90" i="1"/>
  <c r="M90" i="1" s="1"/>
  <c r="N90" i="1" s="1"/>
  <c r="O90" i="1" s="1"/>
  <c r="L91" i="1"/>
  <c r="M91" i="1" s="1"/>
  <c r="N91" i="1" s="1"/>
  <c r="O91" i="1" s="1"/>
  <c r="L92" i="1"/>
  <c r="M92" i="1" s="1"/>
  <c r="N92" i="1" s="1"/>
  <c r="O92" i="1" s="1"/>
  <c r="L93" i="1"/>
  <c r="M93" i="1" s="1"/>
  <c r="N93" i="1" s="1"/>
  <c r="O93" i="1" s="1"/>
  <c r="L94" i="1"/>
  <c r="M94" i="1" s="1"/>
  <c r="N94" i="1" s="1"/>
  <c r="O94" i="1" s="1"/>
  <c r="L95" i="1"/>
  <c r="M95" i="1" s="1"/>
  <c r="N95" i="1" s="1"/>
  <c r="O95" i="1" s="1"/>
  <c r="L96" i="1"/>
  <c r="M96" i="1" s="1"/>
  <c r="N96" i="1" s="1"/>
  <c r="O96" i="1" s="1"/>
  <c r="L97" i="1"/>
  <c r="M97" i="1" s="1"/>
  <c r="N97" i="1" s="1"/>
  <c r="O97" i="1" s="1"/>
  <c r="L98" i="1"/>
  <c r="M98" i="1" s="1"/>
  <c r="N98" i="1" s="1"/>
  <c r="O98" i="1" s="1"/>
  <c r="L99" i="1"/>
  <c r="M99" i="1" s="1"/>
  <c r="N99" i="1" s="1"/>
  <c r="O99" i="1" s="1"/>
  <c r="L100" i="1"/>
  <c r="M100" i="1" s="1"/>
  <c r="N100" i="1" s="1"/>
  <c r="O100" i="1" s="1"/>
  <c r="L101" i="1"/>
  <c r="M101" i="1" s="1"/>
  <c r="N101" i="1" s="1"/>
  <c r="O101" i="1" s="1"/>
  <c r="L102" i="1"/>
  <c r="M102" i="1" s="1"/>
  <c r="N102" i="1" s="1"/>
  <c r="O102" i="1" s="1"/>
  <c r="L103" i="1"/>
  <c r="M103" i="1" s="1"/>
  <c r="N103" i="1" s="1"/>
  <c r="O103" i="1" s="1"/>
  <c r="L104" i="1"/>
  <c r="M104" i="1" s="1"/>
  <c r="N104" i="1" s="1"/>
  <c r="O104" i="1" s="1"/>
  <c r="L105" i="1"/>
  <c r="M105" i="1" s="1"/>
  <c r="N105" i="1" s="1"/>
  <c r="O105" i="1" s="1"/>
  <c r="L106" i="1"/>
  <c r="M106" i="1" s="1"/>
  <c r="N106" i="1" s="1"/>
  <c r="O106" i="1" s="1"/>
  <c r="L107" i="1"/>
  <c r="M107" i="1" s="1"/>
  <c r="N107" i="1" s="1"/>
  <c r="O107" i="1" s="1"/>
  <c r="L108" i="1"/>
  <c r="M108" i="1" s="1"/>
  <c r="N108" i="1" s="1"/>
  <c r="O108" i="1" s="1"/>
  <c r="L109" i="1"/>
  <c r="M109" i="1" s="1"/>
  <c r="N109" i="1" s="1"/>
  <c r="O109" i="1" s="1"/>
  <c r="L110" i="1"/>
  <c r="M110" i="1" s="1"/>
  <c r="N110" i="1" s="1"/>
  <c r="O110" i="1" s="1"/>
  <c r="L111" i="1"/>
  <c r="M111" i="1" s="1"/>
  <c r="N111" i="1" s="1"/>
  <c r="O111" i="1" s="1"/>
  <c r="L112" i="1"/>
  <c r="M112" i="1" s="1"/>
  <c r="N112" i="1" s="1"/>
  <c r="O112" i="1" s="1"/>
  <c r="L113" i="1"/>
  <c r="M113" i="1" s="1"/>
  <c r="N113" i="1" s="1"/>
  <c r="O113" i="1" s="1"/>
  <c r="L114" i="1"/>
  <c r="M114" i="1" s="1"/>
  <c r="N114" i="1" s="1"/>
  <c r="O114" i="1" s="1"/>
  <c r="L115" i="1"/>
  <c r="M115" i="1" s="1"/>
  <c r="N115" i="1" s="1"/>
  <c r="O115" i="1" s="1"/>
  <c r="L116" i="1"/>
  <c r="M116" i="1" s="1"/>
  <c r="N116" i="1" s="1"/>
  <c r="O116" i="1" s="1"/>
  <c r="L117" i="1"/>
  <c r="M117" i="1" s="1"/>
  <c r="N117" i="1" s="1"/>
  <c r="O117" i="1" s="1"/>
  <c r="L118" i="1"/>
  <c r="M118" i="1" s="1"/>
  <c r="N118" i="1" s="1"/>
  <c r="O118" i="1" s="1"/>
  <c r="L119" i="1"/>
  <c r="M119" i="1" s="1"/>
  <c r="N119" i="1" s="1"/>
  <c r="O119" i="1" s="1"/>
  <c r="L120" i="1"/>
  <c r="M120" i="1" s="1"/>
  <c r="N120" i="1" s="1"/>
  <c r="O120" i="1" s="1"/>
  <c r="L121" i="1"/>
  <c r="M121" i="1" s="1"/>
  <c r="N121" i="1" s="1"/>
  <c r="O121" i="1" s="1"/>
  <c r="L122" i="1"/>
  <c r="M122" i="1" s="1"/>
  <c r="N122" i="1" s="1"/>
  <c r="O122" i="1" s="1"/>
  <c r="L123" i="1"/>
  <c r="M123" i="1" s="1"/>
  <c r="N123" i="1" s="1"/>
  <c r="O123" i="1" s="1"/>
  <c r="L124" i="1"/>
  <c r="M124" i="1" s="1"/>
  <c r="N124" i="1" s="1"/>
  <c r="O124" i="1" s="1"/>
  <c r="L125" i="1"/>
  <c r="M125" i="1" s="1"/>
  <c r="N125" i="1" s="1"/>
  <c r="O125" i="1" s="1"/>
  <c r="L126" i="1"/>
  <c r="M126" i="1" s="1"/>
  <c r="N126" i="1" s="1"/>
  <c r="O126" i="1" s="1"/>
  <c r="L127" i="1"/>
  <c r="M127" i="1" s="1"/>
  <c r="N127" i="1" s="1"/>
  <c r="O127" i="1" s="1"/>
  <c r="L128" i="1"/>
  <c r="M128" i="1" s="1"/>
  <c r="N128" i="1" s="1"/>
  <c r="O128" i="1" s="1"/>
  <c r="L129" i="1"/>
  <c r="M129" i="1" s="1"/>
  <c r="N129" i="1" s="1"/>
  <c r="O129" i="1" s="1"/>
  <c r="L130" i="1"/>
  <c r="M130" i="1" s="1"/>
  <c r="N130" i="1" s="1"/>
  <c r="O130" i="1" s="1"/>
  <c r="L131" i="1"/>
  <c r="M131" i="1" s="1"/>
  <c r="N131" i="1" s="1"/>
  <c r="O131" i="1" s="1"/>
  <c r="L132" i="1"/>
  <c r="M132" i="1" s="1"/>
  <c r="N132" i="1" s="1"/>
  <c r="O132" i="1" s="1"/>
  <c r="L133" i="1"/>
  <c r="M133" i="1" s="1"/>
  <c r="N133" i="1" s="1"/>
  <c r="O133" i="1" s="1"/>
  <c r="L134" i="1"/>
  <c r="M134" i="1" s="1"/>
  <c r="N134" i="1" s="1"/>
  <c r="O134" i="1" s="1"/>
  <c r="L135" i="1"/>
  <c r="M135" i="1" s="1"/>
  <c r="N135" i="1" s="1"/>
  <c r="O135" i="1" s="1"/>
  <c r="L136" i="1"/>
  <c r="M136" i="1" s="1"/>
  <c r="N136" i="1" s="1"/>
  <c r="O136" i="1" s="1"/>
  <c r="L137" i="1"/>
  <c r="M137" i="1" s="1"/>
  <c r="N137" i="1" s="1"/>
  <c r="O137" i="1" s="1"/>
  <c r="L138" i="1"/>
  <c r="M138" i="1" s="1"/>
  <c r="N138" i="1" s="1"/>
  <c r="O138" i="1" s="1"/>
  <c r="L139" i="1"/>
  <c r="M139" i="1" s="1"/>
  <c r="N139" i="1" s="1"/>
  <c r="O139" i="1" s="1"/>
  <c r="L140" i="1"/>
  <c r="M140" i="1" s="1"/>
  <c r="N140" i="1" s="1"/>
  <c r="O140" i="1" s="1"/>
  <c r="L141" i="1"/>
  <c r="M141" i="1" s="1"/>
  <c r="N141" i="1" s="1"/>
  <c r="O141" i="1" s="1"/>
  <c r="L142" i="1"/>
  <c r="M142" i="1" s="1"/>
  <c r="N142" i="1" s="1"/>
  <c r="O142" i="1" s="1"/>
  <c r="L143" i="1"/>
  <c r="M143" i="1" s="1"/>
  <c r="N143" i="1" s="1"/>
  <c r="O143" i="1" s="1"/>
  <c r="L144" i="1"/>
  <c r="M144" i="1" s="1"/>
  <c r="N144" i="1" s="1"/>
  <c r="O144" i="1" s="1"/>
  <c r="L145" i="1"/>
  <c r="M145" i="1" s="1"/>
  <c r="N145" i="1" s="1"/>
  <c r="O145" i="1" s="1"/>
  <c r="L146" i="1"/>
  <c r="M146" i="1" s="1"/>
  <c r="N146" i="1" s="1"/>
  <c r="O146" i="1" s="1"/>
  <c r="L147" i="1"/>
  <c r="M147" i="1" s="1"/>
  <c r="N147" i="1" s="1"/>
  <c r="O147" i="1" s="1"/>
  <c r="L148" i="1"/>
  <c r="M148" i="1" s="1"/>
  <c r="N148" i="1" s="1"/>
  <c r="O148" i="1" s="1"/>
  <c r="L149" i="1"/>
  <c r="M149" i="1" s="1"/>
  <c r="N149" i="1" s="1"/>
  <c r="O149" i="1" s="1"/>
  <c r="L150" i="1"/>
  <c r="M150" i="1" s="1"/>
  <c r="N150" i="1" s="1"/>
  <c r="O150" i="1" s="1"/>
  <c r="L151" i="1"/>
  <c r="M151" i="1" s="1"/>
  <c r="N151" i="1" s="1"/>
  <c r="O151" i="1" s="1"/>
  <c r="L152" i="1"/>
  <c r="M152" i="1" s="1"/>
  <c r="N152" i="1" s="1"/>
  <c r="O152" i="1" s="1"/>
  <c r="L153" i="1"/>
  <c r="M153" i="1" s="1"/>
  <c r="N153" i="1" s="1"/>
  <c r="O153" i="1" s="1"/>
  <c r="L154" i="1"/>
  <c r="M154" i="1" s="1"/>
  <c r="N154" i="1" s="1"/>
  <c r="O154" i="1" s="1"/>
  <c r="L155" i="1"/>
  <c r="M155" i="1" s="1"/>
  <c r="N155" i="1" s="1"/>
  <c r="O155" i="1" s="1"/>
  <c r="L156" i="1"/>
  <c r="M156" i="1" s="1"/>
  <c r="N156" i="1" s="1"/>
  <c r="O156" i="1" s="1"/>
  <c r="L157" i="1"/>
  <c r="M157" i="1" s="1"/>
  <c r="N157" i="1" s="1"/>
  <c r="O157" i="1" s="1"/>
  <c r="L158" i="1"/>
  <c r="M158" i="1" s="1"/>
  <c r="N158" i="1" s="1"/>
  <c r="O158" i="1" s="1"/>
  <c r="L159" i="1"/>
  <c r="M159" i="1" s="1"/>
  <c r="N159" i="1" s="1"/>
  <c r="O159" i="1" s="1"/>
  <c r="L160" i="1"/>
  <c r="M160" i="1" s="1"/>
  <c r="N160" i="1" s="1"/>
  <c r="O160" i="1" s="1"/>
  <c r="L161" i="1"/>
  <c r="M161" i="1" s="1"/>
  <c r="N161" i="1" s="1"/>
  <c r="O161" i="1" s="1"/>
  <c r="L162" i="1"/>
  <c r="M162" i="1" s="1"/>
  <c r="N162" i="1" s="1"/>
  <c r="O162" i="1" s="1"/>
  <c r="L163" i="1"/>
  <c r="M163" i="1" s="1"/>
  <c r="N163" i="1" s="1"/>
  <c r="O163" i="1" s="1"/>
  <c r="L164" i="1"/>
  <c r="M164" i="1" s="1"/>
  <c r="N164" i="1" s="1"/>
  <c r="O164" i="1" s="1"/>
  <c r="L165" i="1"/>
  <c r="M165" i="1" s="1"/>
  <c r="N165" i="1" s="1"/>
  <c r="O165" i="1" s="1"/>
  <c r="L166" i="1"/>
  <c r="M166" i="1" s="1"/>
  <c r="N166" i="1" s="1"/>
  <c r="O166" i="1" s="1"/>
  <c r="L167" i="1"/>
  <c r="M167" i="1" s="1"/>
  <c r="N167" i="1" s="1"/>
  <c r="O167" i="1" s="1"/>
  <c r="L168" i="1"/>
  <c r="M168" i="1" s="1"/>
  <c r="N168" i="1" s="1"/>
  <c r="O168" i="1" s="1"/>
  <c r="L169" i="1"/>
  <c r="M169" i="1" s="1"/>
  <c r="N169" i="1" s="1"/>
  <c r="O169" i="1" s="1"/>
  <c r="L170" i="1"/>
  <c r="M170" i="1" s="1"/>
  <c r="N170" i="1" s="1"/>
  <c r="O170" i="1" s="1"/>
  <c r="L171" i="1"/>
  <c r="M171" i="1" s="1"/>
  <c r="N171" i="1" s="1"/>
  <c r="O171" i="1" s="1"/>
  <c r="L172" i="1"/>
  <c r="M172" i="1" s="1"/>
  <c r="N172" i="1" s="1"/>
  <c r="O172" i="1" s="1"/>
  <c r="L173" i="1"/>
  <c r="M173" i="1" s="1"/>
  <c r="N173" i="1" s="1"/>
  <c r="O173" i="1" s="1"/>
  <c r="L174" i="1"/>
  <c r="M174" i="1" s="1"/>
  <c r="N174" i="1" s="1"/>
  <c r="O174" i="1" s="1"/>
  <c r="L175" i="1"/>
  <c r="M175" i="1" s="1"/>
  <c r="N175" i="1" s="1"/>
  <c r="O175" i="1" s="1"/>
  <c r="L176" i="1"/>
  <c r="M176" i="1" s="1"/>
  <c r="N176" i="1" s="1"/>
  <c r="O176" i="1" s="1"/>
  <c r="L177" i="1"/>
  <c r="M177" i="1" s="1"/>
  <c r="N177" i="1" s="1"/>
  <c r="O177" i="1" s="1"/>
  <c r="L178" i="1"/>
  <c r="M178" i="1" s="1"/>
  <c r="N178" i="1" s="1"/>
  <c r="O178" i="1" s="1"/>
  <c r="L179" i="1"/>
  <c r="M179" i="1" s="1"/>
  <c r="N179" i="1" s="1"/>
  <c r="O179" i="1" s="1"/>
  <c r="L180" i="1"/>
  <c r="M180" i="1" s="1"/>
  <c r="N180" i="1" s="1"/>
  <c r="O180" i="1" s="1"/>
  <c r="L181" i="1"/>
  <c r="M181" i="1" s="1"/>
  <c r="N181" i="1" s="1"/>
  <c r="O181" i="1" s="1"/>
  <c r="L182" i="1"/>
  <c r="M182" i="1" s="1"/>
  <c r="N182" i="1" s="1"/>
  <c r="O182" i="1" s="1"/>
  <c r="L183" i="1"/>
  <c r="M183" i="1" s="1"/>
  <c r="N183" i="1" s="1"/>
  <c r="O183" i="1" s="1"/>
  <c r="L184" i="1"/>
  <c r="M184" i="1" s="1"/>
  <c r="N184" i="1" s="1"/>
  <c r="O184" i="1" s="1"/>
  <c r="L185" i="1"/>
  <c r="M185" i="1" s="1"/>
  <c r="N185" i="1" s="1"/>
  <c r="O185" i="1" s="1"/>
  <c r="L186" i="1"/>
  <c r="M186" i="1" s="1"/>
  <c r="N186" i="1" s="1"/>
  <c r="O186" i="1" s="1"/>
  <c r="L187" i="1"/>
  <c r="M187" i="1" s="1"/>
  <c r="N187" i="1" s="1"/>
  <c r="O187" i="1" s="1"/>
  <c r="L188" i="1"/>
  <c r="M188" i="1" s="1"/>
  <c r="N188" i="1" s="1"/>
  <c r="O188" i="1" s="1"/>
  <c r="L189" i="1"/>
  <c r="M189" i="1" s="1"/>
  <c r="N189" i="1" s="1"/>
  <c r="O189" i="1" s="1"/>
  <c r="L190" i="1"/>
  <c r="M190" i="1" s="1"/>
  <c r="N190" i="1" s="1"/>
  <c r="O190" i="1" s="1"/>
  <c r="L191" i="1"/>
  <c r="M191" i="1" s="1"/>
  <c r="N191" i="1" s="1"/>
  <c r="O191" i="1" s="1"/>
  <c r="L192" i="1"/>
  <c r="M192" i="1" s="1"/>
  <c r="N192" i="1" s="1"/>
  <c r="O192" i="1" s="1"/>
  <c r="L193" i="1"/>
  <c r="M193" i="1" s="1"/>
  <c r="N193" i="1" s="1"/>
  <c r="O193" i="1" s="1"/>
  <c r="L194" i="1"/>
  <c r="M194" i="1" s="1"/>
  <c r="N194" i="1" s="1"/>
  <c r="O194" i="1" s="1"/>
  <c r="L195" i="1"/>
  <c r="M195" i="1" s="1"/>
  <c r="N195" i="1" s="1"/>
  <c r="O195" i="1" s="1"/>
  <c r="L196" i="1"/>
  <c r="M196" i="1" s="1"/>
  <c r="N196" i="1" s="1"/>
  <c r="O196" i="1" s="1"/>
  <c r="L197" i="1"/>
  <c r="M197" i="1" s="1"/>
  <c r="N197" i="1" s="1"/>
  <c r="O197" i="1" s="1"/>
  <c r="L198" i="1"/>
  <c r="M198" i="1" s="1"/>
  <c r="N198" i="1" s="1"/>
  <c r="O198" i="1" s="1"/>
  <c r="L199" i="1"/>
  <c r="M199" i="1" s="1"/>
  <c r="N199" i="1" s="1"/>
  <c r="O199" i="1" s="1"/>
  <c r="L200" i="1"/>
  <c r="M200" i="1" s="1"/>
  <c r="N200" i="1" s="1"/>
  <c r="O200" i="1" s="1"/>
  <c r="L201" i="1"/>
  <c r="M201" i="1" s="1"/>
  <c r="N201" i="1" s="1"/>
  <c r="O201" i="1" s="1"/>
  <c r="L202" i="1"/>
  <c r="M202" i="1" s="1"/>
  <c r="N202" i="1" s="1"/>
  <c r="O202" i="1" s="1"/>
  <c r="L203" i="1"/>
  <c r="M203" i="1" s="1"/>
  <c r="N203" i="1" s="1"/>
  <c r="O203" i="1" s="1"/>
  <c r="L204" i="1"/>
  <c r="M204" i="1" s="1"/>
  <c r="N204" i="1" s="1"/>
  <c r="O204" i="1" s="1"/>
  <c r="L205" i="1"/>
  <c r="M205" i="1" s="1"/>
  <c r="N205" i="1" s="1"/>
  <c r="O205" i="1" s="1"/>
  <c r="L206" i="1"/>
  <c r="M206" i="1" s="1"/>
  <c r="N206" i="1" s="1"/>
  <c r="O206" i="1" s="1"/>
  <c r="L207" i="1"/>
  <c r="M207" i="1" s="1"/>
  <c r="N207" i="1" s="1"/>
  <c r="O207" i="1" s="1"/>
  <c r="L208" i="1"/>
  <c r="M208" i="1" s="1"/>
  <c r="N208" i="1" s="1"/>
  <c r="O208" i="1" s="1"/>
  <c r="L209" i="1"/>
  <c r="M209" i="1" s="1"/>
  <c r="N209" i="1" s="1"/>
  <c r="O209" i="1" s="1"/>
  <c r="L210" i="1"/>
  <c r="M210" i="1" s="1"/>
  <c r="N210" i="1" s="1"/>
  <c r="O210" i="1" s="1"/>
  <c r="L211" i="1"/>
  <c r="M211" i="1" s="1"/>
  <c r="N211" i="1" s="1"/>
  <c r="O211" i="1" s="1"/>
  <c r="L212" i="1"/>
  <c r="M212" i="1" s="1"/>
  <c r="N212" i="1" s="1"/>
  <c r="O212" i="1" s="1"/>
  <c r="L213" i="1"/>
  <c r="M213" i="1" s="1"/>
  <c r="N213" i="1" s="1"/>
  <c r="O213" i="1" s="1"/>
  <c r="L214" i="1"/>
  <c r="M214" i="1" s="1"/>
  <c r="N214" i="1" s="1"/>
  <c r="O214" i="1" s="1"/>
  <c r="L215" i="1"/>
  <c r="M215" i="1" s="1"/>
  <c r="N215" i="1" s="1"/>
  <c r="O215" i="1" s="1"/>
  <c r="L216" i="1"/>
  <c r="M216" i="1" s="1"/>
  <c r="N216" i="1" s="1"/>
  <c r="O216" i="1" s="1"/>
  <c r="L217" i="1"/>
  <c r="M217" i="1" s="1"/>
  <c r="N217" i="1" s="1"/>
  <c r="O217" i="1" s="1"/>
  <c r="L218" i="1"/>
  <c r="M218" i="1" s="1"/>
  <c r="N218" i="1" s="1"/>
  <c r="O218" i="1" s="1"/>
  <c r="L219" i="1"/>
  <c r="M219" i="1" s="1"/>
  <c r="N219" i="1" s="1"/>
  <c r="O219" i="1" s="1"/>
  <c r="L220" i="1"/>
  <c r="M220" i="1" s="1"/>
  <c r="N220" i="1" s="1"/>
  <c r="O220" i="1" s="1"/>
  <c r="L221" i="1"/>
  <c r="M221" i="1" s="1"/>
  <c r="N221" i="1" s="1"/>
  <c r="O221" i="1" s="1"/>
  <c r="L222" i="1"/>
  <c r="M222" i="1" s="1"/>
  <c r="N222" i="1" s="1"/>
  <c r="O222" i="1" s="1"/>
  <c r="L223" i="1"/>
  <c r="M223" i="1" s="1"/>
  <c r="N223" i="1" s="1"/>
  <c r="O223" i="1" s="1"/>
  <c r="L224" i="1"/>
  <c r="M224" i="1" s="1"/>
  <c r="N224" i="1" s="1"/>
  <c r="O224" i="1" s="1"/>
  <c r="L225" i="1"/>
  <c r="M225" i="1" s="1"/>
  <c r="N225" i="1" s="1"/>
  <c r="O225" i="1" s="1"/>
  <c r="L226" i="1"/>
  <c r="M226" i="1" s="1"/>
  <c r="N226" i="1" s="1"/>
  <c r="O226" i="1" s="1"/>
  <c r="L227" i="1"/>
  <c r="M227" i="1" s="1"/>
  <c r="N227" i="1" s="1"/>
  <c r="O227" i="1" s="1"/>
  <c r="L228" i="1"/>
  <c r="M228" i="1" s="1"/>
  <c r="N228" i="1" s="1"/>
  <c r="O228" i="1" s="1"/>
  <c r="L229" i="1"/>
  <c r="M229" i="1" s="1"/>
  <c r="N229" i="1" s="1"/>
  <c r="O229" i="1" s="1"/>
  <c r="L230" i="1"/>
  <c r="M230" i="1" s="1"/>
  <c r="N230" i="1" s="1"/>
  <c r="O230" i="1" s="1"/>
  <c r="L231" i="1"/>
  <c r="M231" i="1" s="1"/>
  <c r="N231" i="1" s="1"/>
  <c r="O231" i="1" s="1"/>
  <c r="L232" i="1"/>
  <c r="M232" i="1" s="1"/>
  <c r="N232" i="1" s="1"/>
  <c r="O232" i="1" s="1"/>
  <c r="L233" i="1"/>
  <c r="M233" i="1" s="1"/>
  <c r="N233" i="1" s="1"/>
  <c r="O233" i="1" s="1"/>
  <c r="L234" i="1"/>
  <c r="M234" i="1" s="1"/>
  <c r="N234" i="1" s="1"/>
  <c r="O234" i="1" s="1"/>
  <c r="L235" i="1"/>
  <c r="M235" i="1" s="1"/>
  <c r="N235" i="1" s="1"/>
  <c r="O235" i="1" s="1"/>
  <c r="L236" i="1"/>
  <c r="M236" i="1" s="1"/>
  <c r="N236" i="1" s="1"/>
  <c r="O236" i="1" s="1"/>
  <c r="L237" i="1"/>
  <c r="M237" i="1" s="1"/>
  <c r="N237" i="1" s="1"/>
  <c r="O237" i="1" s="1"/>
  <c r="L238" i="1"/>
  <c r="M238" i="1" s="1"/>
  <c r="N238" i="1" s="1"/>
  <c r="O238" i="1" s="1"/>
  <c r="L239" i="1"/>
  <c r="M239" i="1" s="1"/>
  <c r="N239" i="1" s="1"/>
  <c r="O239" i="1" s="1"/>
  <c r="L240" i="1"/>
  <c r="M240" i="1" s="1"/>
  <c r="N240" i="1" s="1"/>
  <c r="O240" i="1" s="1"/>
  <c r="L241" i="1"/>
  <c r="M241" i="1" s="1"/>
  <c r="N241" i="1" s="1"/>
  <c r="O241" i="1" s="1"/>
  <c r="L242" i="1"/>
  <c r="M242" i="1" s="1"/>
  <c r="N242" i="1" s="1"/>
  <c r="O242" i="1" s="1"/>
  <c r="L243" i="1"/>
  <c r="M243" i="1" s="1"/>
  <c r="N243" i="1" s="1"/>
  <c r="O243" i="1" s="1"/>
  <c r="L244" i="1"/>
  <c r="M244" i="1" s="1"/>
  <c r="N244" i="1" s="1"/>
  <c r="O244" i="1" s="1"/>
  <c r="L245" i="1"/>
  <c r="M245" i="1" s="1"/>
  <c r="N245" i="1" s="1"/>
  <c r="O245" i="1" s="1"/>
  <c r="L246" i="1"/>
  <c r="M246" i="1" s="1"/>
  <c r="N246" i="1" s="1"/>
  <c r="O246" i="1" s="1"/>
  <c r="L247" i="1"/>
  <c r="M247" i="1" s="1"/>
  <c r="N247" i="1" s="1"/>
  <c r="O247" i="1" s="1"/>
  <c r="L248" i="1"/>
  <c r="M248" i="1" s="1"/>
  <c r="N248" i="1" s="1"/>
  <c r="O248" i="1" s="1"/>
  <c r="L249" i="1"/>
  <c r="M249" i="1" s="1"/>
  <c r="N249" i="1" s="1"/>
  <c r="O249" i="1" s="1"/>
  <c r="L250" i="1"/>
  <c r="M250" i="1" s="1"/>
  <c r="N250" i="1" s="1"/>
  <c r="O250" i="1" s="1"/>
  <c r="L251" i="1"/>
  <c r="M251" i="1" s="1"/>
  <c r="N251" i="1" s="1"/>
  <c r="O251" i="1" s="1"/>
  <c r="L252" i="1"/>
  <c r="M252" i="1" s="1"/>
  <c r="N252" i="1" s="1"/>
  <c r="O252" i="1" s="1"/>
  <c r="L253" i="1"/>
  <c r="M253" i="1" s="1"/>
  <c r="N253" i="1" s="1"/>
  <c r="O253" i="1" s="1"/>
  <c r="L254" i="1"/>
  <c r="M254" i="1" s="1"/>
  <c r="N254" i="1" s="1"/>
  <c r="O254" i="1" s="1"/>
  <c r="L255" i="1"/>
  <c r="M255" i="1" s="1"/>
  <c r="N255" i="1" s="1"/>
  <c r="O255" i="1" s="1"/>
  <c r="L256" i="1"/>
  <c r="M256" i="1" s="1"/>
  <c r="N256" i="1" s="1"/>
  <c r="O256" i="1" s="1"/>
  <c r="L257" i="1"/>
  <c r="M257" i="1" s="1"/>
  <c r="N257" i="1" s="1"/>
  <c r="O257" i="1" s="1"/>
  <c r="L258" i="1"/>
  <c r="M258" i="1" s="1"/>
  <c r="N258" i="1" s="1"/>
  <c r="O258" i="1" s="1"/>
  <c r="L259" i="1"/>
  <c r="M259" i="1" s="1"/>
  <c r="N259" i="1" s="1"/>
  <c r="O259" i="1" s="1"/>
  <c r="L260" i="1"/>
  <c r="M260" i="1" s="1"/>
  <c r="N260" i="1" s="1"/>
  <c r="O260" i="1" s="1"/>
  <c r="L261" i="1"/>
  <c r="M261" i="1" s="1"/>
  <c r="N261" i="1" s="1"/>
  <c r="O261" i="1" s="1"/>
  <c r="L262" i="1"/>
  <c r="M262" i="1" s="1"/>
  <c r="N262" i="1" s="1"/>
  <c r="O262" i="1" s="1"/>
  <c r="L263" i="1"/>
  <c r="M263" i="1" s="1"/>
  <c r="N263" i="1" s="1"/>
  <c r="O263" i="1" s="1"/>
  <c r="L264" i="1"/>
  <c r="M264" i="1" s="1"/>
  <c r="N264" i="1" s="1"/>
  <c r="O264" i="1" s="1"/>
  <c r="L265" i="1"/>
  <c r="M265" i="1" s="1"/>
  <c r="N265" i="1" s="1"/>
  <c r="O265" i="1" s="1"/>
  <c r="L266" i="1"/>
  <c r="M266" i="1" s="1"/>
  <c r="N266" i="1" s="1"/>
  <c r="O266" i="1" s="1"/>
  <c r="L267" i="1"/>
  <c r="M267" i="1" s="1"/>
  <c r="N267" i="1" s="1"/>
  <c r="O267" i="1" s="1"/>
  <c r="L268" i="1"/>
  <c r="M268" i="1" s="1"/>
  <c r="N268" i="1" s="1"/>
  <c r="O268" i="1" s="1"/>
  <c r="L269" i="1"/>
  <c r="M269" i="1" s="1"/>
  <c r="N269" i="1" s="1"/>
  <c r="O269" i="1" s="1"/>
  <c r="L270" i="1"/>
  <c r="M270" i="1" s="1"/>
  <c r="N270" i="1" s="1"/>
  <c r="O270" i="1" s="1"/>
  <c r="L271" i="1"/>
  <c r="M271" i="1" s="1"/>
  <c r="N271" i="1" s="1"/>
  <c r="O271" i="1" s="1"/>
  <c r="L272" i="1"/>
  <c r="M272" i="1" s="1"/>
  <c r="N272" i="1" s="1"/>
  <c r="O272" i="1" s="1"/>
  <c r="L273" i="1"/>
  <c r="M273" i="1" s="1"/>
  <c r="N273" i="1" s="1"/>
  <c r="O273" i="1" s="1"/>
  <c r="L274" i="1"/>
  <c r="M274" i="1" s="1"/>
  <c r="N274" i="1" s="1"/>
  <c r="O274" i="1" s="1"/>
  <c r="L275" i="1"/>
  <c r="M275" i="1" s="1"/>
  <c r="N275" i="1" s="1"/>
  <c r="O275" i="1" s="1"/>
  <c r="L276" i="1"/>
  <c r="M276" i="1" s="1"/>
  <c r="N276" i="1" s="1"/>
  <c r="O276" i="1" s="1"/>
  <c r="L277" i="1"/>
  <c r="M277" i="1" s="1"/>
  <c r="N277" i="1" s="1"/>
  <c r="O277" i="1" s="1"/>
  <c r="L278" i="1"/>
  <c r="M278" i="1" s="1"/>
  <c r="N278" i="1" s="1"/>
  <c r="O278" i="1" s="1"/>
  <c r="L279" i="1"/>
  <c r="M279" i="1" s="1"/>
  <c r="N279" i="1" s="1"/>
  <c r="O279" i="1" s="1"/>
  <c r="L280" i="1"/>
  <c r="M280" i="1" s="1"/>
  <c r="N280" i="1" s="1"/>
  <c r="O280" i="1" s="1"/>
  <c r="L281" i="1"/>
  <c r="M281" i="1" s="1"/>
  <c r="N281" i="1" s="1"/>
  <c r="O281" i="1" s="1"/>
  <c r="L282" i="1"/>
  <c r="M282" i="1" s="1"/>
  <c r="N282" i="1" s="1"/>
  <c r="O282" i="1" s="1"/>
  <c r="L283" i="1"/>
  <c r="M283" i="1" s="1"/>
  <c r="N283" i="1" s="1"/>
  <c r="O283" i="1" s="1"/>
  <c r="L284" i="1"/>
  <c r="M284" i="1" s="1"/>
  <c r="N284" i="1" s="1"/>
  <c r="O284" i="1" s="1"/>
  <c r="L285" i="1"/>
  <c r="M285" i="1" s="1"/>
  <c r="N285" i="1" s="1"/>
  <c r="O285" i="1" s="1"/>
  <c r="L286" i="1"/>
  <c r="M286" i="1" s="1"/>
  <c r="N286" i="1" s="1"/>
  <c r="O286" i="1" s="1"/>
  <c r="L287" i="1"/>
  <c r="M287" i="1" s="1"/>
  <c r="N287" i="1" s="1"/>
  <c r="O287" i="1" s="1"/>
  <c r="L288" i="1"/>
  <c r="M288" i="1" s="1"/>
  <c r="N288" i="1" s="1"/>
  <c r="O288" i="1" s="1"/>
  <c r="L289" i="1"/>
  <c r="M289" i="1" s="1"/>
  <c r="N289" i="1" s="1"/>
  <c r="O289" i="1" s="1"/>
  <c r="L290" i="1"/>
  <c r="M290" i="1" s="1"/>
  <c r="N290" i="1" s="1"/>
  <c r="O290" i="1" s="1"/>
  <c r="L291" i="1"/>
  <c r="M291" i="1" s="1"/>
  <c r="N291" i="1" s="1"/>
  <c r="O291" i="1" s="1"/>
  <c r="L292" i="1"/>
  <c r="M292" i="1" s="1"/>
  <c r="N292" i="1" s="1"/>
  <c r="O292" i="1" s="1"/>
  <c r="L293" i="1"/>
  <c r="M293" i="1" s="1"/>
  <c r="N293" i="1" s="1"/>
  <c r="O293" i="1" s="1"/>
  <c r="L294" i="1"/>
  <c r="M294" i="1" s="1"/>
  <c r="N294" i="1" s="1"/>
  <c r="O294" i="1" s="1"/>
  <c r="L295" i="1"/>
  <c r="M295" i="1" s="1"/>
  <c r="N295" i="1" s="1"/>
  <c r="O295" i="1" s="1"/>
  <c r="L296" i="1"/>
  <c r="M296" i="1" s="1"/>
  <c r="N296" i="1" s="1"/>
  <c r="O296" i="1" s="1"/>
  <c r="L297" i="1"/>
  <c r="M297" i="1" s="1"/>
  <c r="N297" i="1" s="1"/>
  <c r="O297" i="1" s="1"/>
  <c r="L298" i="1"/>
  <c r="M298" i="1" s="1"/>
  <c r="N298" i="1" s="1"/>
  <c r="O298" i="1" s="1"/>
  <c r="L299" i="1"/>
  <c r="M299" i="1" s="1"/>
  <c r="N299" i="1" s="1"/>
  <c r="O299" i="1" s="1"/>
  <c r="L300" i="1"/>
  <c r="M300" i="1" s="1"/>
  <c r="N300" i="1" s="1"/>
  <c r="O300" i="1" s="1"/>
  <c r="L301" i="1"/>
  <c r="M301" i="1" s="1"/>
  <c r="N301" i="1" s="1"/>
  <c r="O301" i="1" s="1"/>
  <c r="L302" i="1"/>
  <c r="M302" i="1" s="1"/>
  <c r="N302" i="1" s="1"/>
  <c r="O302" i="1" s="1"/>
  <c r="L303" i="1"/>
  <c r="M303" i="1" s="1"/>
  <c r="N303" i="1" s="1"/>
  <c r="O303" i="1" s="1"/>
  <c r="L304" i="1"/>
  <c r="M304" i="1" s="1"/>
  <c r="N304" i="1" s="1"/>
  <c r="O304" i="1" s="1"/>
  <c r="L305" i="1"/>
  <c r="M305" i="1" s="1"/>
  <c r="N305" i="1" s="1"/>
  <c r="O305" i="1" s="1"/>
  <c r="L306" i="1"/>
  <c r="M306" i="1" s="1"/>
  <c r="N306" i="1" s="1"/>
  <c r="O306" i="1" s="1"/>
  <c r="L307" i="1"/>
  <c r="M307" i="1" s="1"/>
  <c r="N307" i="1" s="1"/>
  <c r="O307" i="1" s="1"/>
  <c r="L308" i="1"/>
  <c r="M308" i="1" s="1"/>
  <c r="N308" i="1" s="1"/>
  <c r="O308" i="1" s="1"/>
  <c r="L309" i="1"/>
  <c r="M309" i="1" s="1"/>
  <c r="N309" i="1" s="1"/>
  <c r="O309" i="1" s="1"/>
  <c r="L310" i="1"/>
  <c r="M310" i="1" s="1"/>
  <c r="N310" i="1" s="1"/>
  <c r="O310" i="1" s="1"/>
  <c r="L311" i="1"/>
  <c r="M311" i="1" s="1"/>
  <c r="N311" i="1" s="1"/>
  <c r="O311" i="1" s="1"/>
  <c r="L312" i="1"/>
  <c r="M312" i="1" s="1"/>
  <c r="N312" i="1" s="1"/>
  <c r="O312" i="1" s="1"/>
  <c r="L313" i="1"/>
  <c r="M313" i="1" s="1"/>
  <c r="N313" i="1" s="1"/>
  <c r="O313" i="1" s="1"/>
  <c r="L314" i="1"/>
  <c r="M314" i="1" s="1"/>
  <c r="N314" i="1" s="1"/>
  <c r="O314" i="1" s="1"/>
  <c r="L315" i="1"/>
  <c r="M315" i="1" s="1"/>
  <c r="N315" i="1" s="1"/>
  <c r="O315" i="1" s="1"/>
  <c r="L316" i="1"/>
  <c r="M316" i="1" s="1"/>
  <c r="N316" i="1" s="1"/>
  <c r="O316" i="1" s="1"/>
  <c r="L317" i="1"/>
  <c r="M317" i="1" s="1"/>
  <c r="N317" i="1" s="1"/>
  <c r="O317" i="1" s="1"/>
  <c r="L318" i="1"/>
  <c r="M318" i="1" s="1"/>
  <c r="N318" i="1" s="1"/>
  <c r="O318" i="1" s="1"/>
  <c r="L319" i="1"/>
  <c r="M319" i="1" s="1"/>
  <c r="N319" i="1" s="1"/>
  <c r="O319" i="1" s="1"/>
  <c r="L320" i="1"/>
  <c r="M320" i="1" s="1"/>
  <c r="N320" i="1" s="1"/>
  <c r="O320" i="1" s="1"/>
  <c r="L321" i="1"/>
  <c r="M321" i="1" s="1"/>
  <c r="N321" i="1" s="1"/>
  <c r="O321" i="1" s="1"/>
  <c r="L322" i="1"/>
  <c r="M322" i="1" s="1"/>
  <c r="N322" i="1" s="1"/>
  <c r="O322" i="1" s="1"/>
  <c r="L323" i="1"/>
  <c r="M323" i="1" s="1"/>
  <c r="N323" i="1" s="1"/>
  <c r="O323" i="1" s="1"/>
  <c r="L324" i="1"/>
  <c r="M324" i="1" s="1"/>
  <c r="N324" i="1" s="1"/>
  <c r="O324" i="1" s="1"/>
  <c r="L325" i="1"/>
  <c r="M325" i="1" s="1"/>
  <c r="N325" i="1" s="1"/>
  <c r="O325" i="1" s="1"/>
  <c r="L326" i="1"/>
  <c r="M326" i="1" s="1"/>
  <c r="N326" i="1" s="1"/>
  <c r="O326" i="1" s="1"/>
  <c r="L327" i="1"/>
  <c r="M327" i="1" s="1"/>
  <c r="N327" i="1" s="1"/>
  <c r="O327" i="1" s="1"/>
  <c r="L328" i="1"/>
  <c r="M328" i="1" s="1"/>
  <c r="N328" i="1" s="1"/>
  <c r="O328" i="1" s="1"/>
  <c r="L329" i="1"/>
  <c r="M329" i="1" s="1"/>
  <c r="N329" i="1" s="1"/>
  <c r="O329" i="1" s="1"/>
  <c r="L330" i="1"/>
  <c r="M330" i="1" s="1"/>
  <c r="N330" i="1" s="1"/>
  <c r="O330" i="1" s="1"/>
  <c r="L331" i="1"/>
  <c r="M331" i="1" s="1"/>
  <c r="N331" i="1" s="1"/>
  <c r="O331" i="1" s="1"/>
  <c r="L332" i="1"/>
  <c r="M332" i="1" s="1"/>
  <c r="N332" i="1" s="1"/>
  <c r="O332" i="1" s="1"/>
  <c r="L333" i="1"/>
  <c r="M333" i="1" s="1"/>
  <c r="N333" i="1" s="1"/>
  <c r="O333" i="1" s="1"/>
  <c r="L334" i="1"/>
  <c r="M334" i="1" s="1"/>
  <c r="N334" i="1" s="1"/>
  <c r="O334" i="1" s="1"/>
  <c r="L335" i="1"/>
  <c r="M335" i="1" s="1"/>
  <c r="N335" i="1" s="1"/>
  <c r="O335" i="1" s="1"/>
  <c r="L336" i="1"/>
  <c r="M336" i="1" s="1"/>
  <c r="N336" i="1" s="1"/>
  <c r="O336" i="1" s="1"/>
  <c r="L337" i="1"/>
  <c r="M337" i="1" s="1"/>
  <c r="N337" i="1" s="1"/>
  <c r="O337" i="1" s="1"/>
  <c r="L338" i="1"/>
  <c r="M338" i="1" s="1"/>
  <c r="N338" i="1" s="1"/>
  <c r="O338" i="1" s="1"/>
  <c r="L339" i="1"/>
  <c r="M339" i="1" s="1"/>
  <c r="N339" i="1" s="1"/>
  <c r="O339" i="1" s="1"/>
  <c r="L340" i="1"/>
  <c r="M340" i="1" s="1"/>
  <c r="N340" i="1" s="1"/>
  <c r="O340" i="1" s="1"/>
  <c r="L341" i="1"/>
  <c r="M341" i="1" s="1"/>
  <c r="N341" i="1" s="1"/>
  <c r="O341" i="1" s="1"/>
  <c r="L342" i="1"/>
  <c r="M342" i="1" s="1"/>
  <c r="N342" i="1" s="1"/>
  <c r="O342" i="1" s="1"/>
  <c r="L343" i="1"/>
  <c r="M343" i="1" s="1"/>
  <c r="N343" i="1" s="1"/>
  <c r="O343" i="1" s="1"/>
  <c r="L344" i="1"/>
  <c r="M344" i="1" s="1"/>
  <c r="N344" i="1" s="1"/>
  <c r="O344" i="1" s="1"/>
  <c r="L345" i="1"/>
  <c r="M345" i="1" s="1"/>
  <c r="N345" i="1" s="1"/>
  <c r="O345" i="1" s="1"/>
  <c r="L346" i="1"/>
  <c r="M346" i="1" s="1"/>
  <c r="N346" i="1" s="1"/>
  <c r="O346" i="1" s="1"/>
  <c r="L347" i="1"/>
  <c r="M347" i="1" s="1"/>
  <c r="N347" i="1" s="1"/>
  <c r="O347" i="1" s="1"/>
  <c r="L348" i="1"/>
  <c r="M348" i="1" s="1"/>
  <c r="N348" i="1" s="1"/>
  <c r="O348" i="1" s="1"/>
  <c r="L349" i="1"/>
  <c r="M349" i="1" s="1"/>
  <c r="N349" i="1" s="1"/>
  <c r="O349" i="1" s="1"/>
  <c r="L350" i="1"/>
  <c r="M350" i="1" s="1"/>
  <c r="N350" i="1" s="1"/>
  <c r="O350" i="1" s="1"/>
  <c r="L351" i="1"/>
  <c r="M351" i="1" s="1"/>
  <c r="N351" i="1" s="1"/>
  <c r="O351" i="1" s="1"/>
  <c r="L352" i="1"/>
  <c r="M352" i="1" s="1"/>
  <c r="N352" i="1" s="1"/>
  <c r="O352" i="1" s="1"/>
  <c r="L353" i="1"/>
  <c r="M353" i="1" s="1"/>
  <c r="N353" i="1" s="1"/>
  <c r="O353" i="1" s="1"/>
  <c r="L354" i="1"/>
  <c r="M354" i="1" s="1"/>
  <c r="N354" i="1" s="1"/>
  <c r="O354" i="1" s="1"/>
  <c r="L355" i="1"/>
  <c r="M355" i="1" s="1"/>
  <c r="N355" i="1" s="1"/>
  <c r="O355" i="1" s="1"/>
  <c r="L356" i="1"/>
  <c r="M356" i="1" s="1"/>
  <c r="N356" i="1" s="1"/>
  <c r="O356" i="1" s="1"/>
  <c r="L357" i="1"/>
  <c r="M357" i="1" s="1"/>
  <c r="N357" i="1" s="1"/>
  <c r="O357" i="1" s="1"/>
  <c r="L358" i="1"/>
  <c r="M358" i="1" s="1"/>
  <c r="N358" i="1" s="1"/>
  <c r="O358" i="1" s="1"/>
  <c r="L359" i="1"/>
  <c r="M359" i="1" s="1"/>
  <c r="N359" i="1" s="1"/>
  <c r="O359" i="1" s="1"/>
  <c r="L360" i="1"/>
  <c r="M360" i="1" s="1"/>
  <c r="N360" i="1" s="1"/>
  <c r="O360" i="1" s="1"/>
  <c r="L361" i="1"/>
  <c r="M361" i="1" s="1"/>
  <c r="N361" i="1" s="1"/>
  <c r="O361" i="1" s="1"/>
  <c r="L362" i="1"/>
  <c r="M362" i="1" s="1"/>
  <c r="N362" i="1" s="1"/>
  <c r="O362" i="1" s="1"/>
  <c r="L363" i="1"/>
  <c r="M363" i="1" s="1"/>
  <c r="N363" i="1" s="1"/>
  <c r="O363" i="1" s="1"/>
  <c r="L364" i="1"/>
  <c r="M364" i="1" s="1"/>
  <c r="N364" i="1" s="1"/>
  <c r="O364" i="1" s="1"/>
  <c r="L365" i="1"/>
  <c r="M365" i="1" s="1"/>
  <c r="N365" i="1" s="1"/>
  <c r="O365" i="1" s="1"/>
  <c r="L366" i="1"/>
  <c r="M366" i="1" s="1"/>
  <c r="N366" i="1" s="1"/>
  <c r="O366" i="1" s="1"/>
  <c r="L367" i="1"/>
  <c r="M367" i="1" s="1"/>
  <c r="N367" i="1" s="1"/>
  <c r="O367" i="1" s="1"/>
  <c r="L368" i="1"/>
  <c r="M368" i="1" s="1"/>
  <c r="N368" i="1" s="1"/>
  <c r="O368" i="1" s="1"/>
  <c r="L369" i="1"/>
  <c r="M369" i="1" s="1"/>
  <c r="N369" i="1" s="1"/>
  <c r="O369" i="1" s="1"/>
  <c r="L370" i="1"/>
  <c r="M370" i="1" s="1"/>
  <c r="N370" i="1" s="1"/>
  <c r="O370" i="1" s="1"/>
  <c r="L371" i="1"/>
  <c r="M371" i="1" s="1"/>
  <c r="N371" i="1" s="1"/>
  <c r="O371" i="1" s="1"/>
  <c r="L372" i="1"/>
  <c r="M372" i="1" s="1"/>
  <c r="N372" i="1" s="1"/>
  <c r="O372" i="1" s="1"/>
  <c r="L373" i="1"/>
  <c r="M373" i="1" s="1"/>
  <c r="N373" i="1" s="1"/>
  <c r="O373" i="1" s="1"/>
  <c r="L374" i="1"/>
  <c r="M374" i="1" s="1"/>
  <c r="N374" i="1" s="1"/>
  <c r="O374" i="1" s="1"/>
  <c r="L375" i="1"/>
  <c r="M375" i="1" s="1"/>
  <c r="N375" i="1" s="1"/>
  <c r="O375" i="1" s="1"/>
  <c r="L376" i="1"/>
  <c r="M376" i="1" s="1"/>
  <c r="N376" i="1" s="1"/>
  <c r="O376" i="1" s="1"/>
  <c r="L377" i="1"/>
  <c r="M377" i="1" s="1"/>
  <c r="N377" i="1" s="1"/>
  <c r="O377" i="1" s="1"/>
  <c r="L378" i="1"/>
  <c r="M378" i="1" s="1"/>
  <c r="N378" i="1" s="1"/>
  <c r="O378" i="1" s="1"/>
  <c r="L379" i="1"/>
  <c r="M379" i="1" s="1"/>
  <c r="N379" i="1" s="1"/>
  <c r="O379" i="1" s="1"/>
  <c r="L380" i="1"/>
  <c r="M380" i="1" s="1"/>
  <c r="N380" i="1" s="1"/>
  <c r="O380" i="1" s="1"/>
  <c r="L381" i="1"/>
  <c r="M381" i="1" s="1"/>
  <c r="N381" i="1" s="1"/>
  <c r="O381" i="1" s="1"/>
  <c r="L382" i="1"/>
  <c r="M382" i="1" s="1"/>
  <c r="N382" i="1" s="1"/>
  <c r="O382" i="1" s="1"/>
  <c r="L383" i="1"/>
  <c r="M383" i="1" s="1"/>
  <c r="N383" i="1" s="1"/>
  <c r="O383" i="1" s="1"/>
  <c r="L384" i="1"/>
  <c r="M384" i="1" s="1"/>
  <c r="N384" i="1" s="1"/>
  <c r="O384" i="1" s="1"/>
  <c r="L385" i="1"/>
  <c r="M385" i="1" s="1"/>
  <c r="N385" i="1" s="1"/>
  <c r="O385" i="1" s="1"/>
  <c r="L386" i="1"/>
  <c r="M386" i="1" s="1"/>
  <c r="N386" i="1" s="1"/>
  <c r="O386" i="1" s="1"/>
  <c r="L387" i="1"/>
  <c r="M387" i="1" s="1"/>
  <c r="N387" i="1" s="1"/>
  <c r="O387" i="1" s="1"/>
  <c r="L388" i="1"/>
  <c r="M388" i="1" s="1"/>
  <c r="N388" i="1" s="1"/>
  <c r="O388" i="1" s="1"/>
  <c r="L389" i="1"/>
  <c r="M389" i="1" s="1"/>
  <c r="N389" i="1" s="1"/>
  <c r="O389" i="1" s="1"/>
  <c r="L390" i="1"/>
  <c r="M390" i="1" s="1"/>
  <c r="N390" i="1" s="1"/>
  <c r="O390" i="1" s="1"/>
  <c r="L391" i="1"/>
  <c r="M391" i="1" s="1"/>
  <c r="N391" i="1" s="1"/>
  <c r="O391" i="1" s="1"/>
  <c r="L392" i="1"/>
  <c r="M392" i="1" s="1"/>
  <c r="N392" i="1" s="1"/>
  <c r="O392" i="1" s="1"/>
  <c r="L393" i="1"/>
  <c r="M393" i="1" s="1"/>
  <c r="N393" i="1" s="1"/>
  <c r="O393" i="1" s="1"/>
  <c r="L394" i="1"/>
  <c r="M394" i="1" s="1"/>
  <c r="N394" i="1" s="1"/>
  <c r="O394" i="1" s="1"/>
  <c r="L395" i="1"/>
  <c r="M395" i="1" s="1"/>
  <c r="N395" i="1" s="1"/>
  <c r="O395" i="1" s="1"/>
  <c r="L396" i="1"/>
  <c r="M396" i="1" s="1"/>
  <c r="N396" i="1" s="1"/>
  <c r="O396" i="1" s="1"/>
  <c r="L397" i="1"/>
  <c r="M397" i="1" s="1"/>
  <c r="N397" i="1" s="1"/>
  <c r="O397" i="1" s="1"/>
  <c r="L398" i="1"/>
  <c r="M398" i="1" s="1"/>
  <c r="N398" i="1" s="1"/>
  <c r="O398" i="1" s="1"/>
  <c r="L399" i="1"/>
  <c r="M399" i="1" s="1"/>
  <c r="N399" i="1" s="1"/>
  <c r="O399" i="1" s="1"/>
  <c r="L400" i="1"/>
  <c r="M400" i="1" s="1"/>
  <c r="N400" i="1" s="1"/>
  <c r="O400" i="1" s="1"/>
  <c r="L401" i="1"/>
  <c r="M401" i="1" s="1"/>
  <c r="N401" i="1" s="1"/>
  <c r="O401" i="1" s="1"/>
  <c r="L402" i="1"/>
  <c r="M402" i="1" s="1"/>
  <c r="N402" i="1" s="1"/>
  <c r="O402" i="1" s="1"/>
  <c r="L403" i="1"/>
  <c r="M403" i="1" s="1"/>
  <c r="N403" i="1" s="1"/>
  <c r="O403" i="1" s="1"/>
  <c r="L404" i="1"/>
  <c r="M404" i="1" s="1"/>
  <c r="N404" i="1" s="1"/>
  <c r="O404" i="1" s="1"/>
  <c r="L405" i="1"/>
  <c r="M405" i="1" s="1"/>
  <c r="N405" i="1" s="1"/>
  <c r="O405" i="1" s="1"/>
  <c r="L406" i="1"/>
  <c r="M406" i="1" s="1"/>
  <c r="N406" i="1" s="1"/>
  <c r="O406" i="1" s="1"/>
  <c r="L407" i="1"/>
  <c r="M407" i="1" s="1"/>
  <c r="N407" i="1" s="1"/>
  <c r="O407" i="1" s="1"/>
  <c r="L408" i="1"/>
  <c r="M408" i="1" s="1"/>
  <c r="N408" i="1" s="1"/>
  <c r="O408" i="1" s="1"/>
  <c r="L409" i="1"/>
  <c r="M409" i="1" s="1"/>
  <c r="N409" i="1" s="1"/>
  <c r="O409" i="1" s="1"/>
  <c r="L410" i="1"/>
  <c r="M410" i="1" s="1"/>
  <c r="N410" i="1" s="1"/>
  <c r="O410" i="1" s="1"/>
  <c r="L411" i="1"/>
  <c r="M411" i="1" s="1"/>
  <c r="N411" i="1" s="1"/>
  <c r="O411" i="1" s="1"/>
  <c r="L412" i="1"/>
  <c r="M412" i="1" s="1"/>
  <c r="N412" i="1" s="1"/>
  <c r="O412" i="1" s="1"/>
  <c r="L413" i="1"/>
  <c r="M413" i="1" s="1"/>
  <c r="N413" i="1" s="1"/>
  <c r="O413" i="1" s="1"/>
  <c r="L414" i="1"/>
  <c r="M414" i="1" s="1"/>
  <c r="N414" i="1" s="1"/>
  <c r="O414" i="1" s="1"/>
  <c r="L415" i="1"/>
  <c r="M415" i="1" s="1"/>
  <c r="N415" i="1" s="1"/>
  <c r="O415" i="1" s="1"/>
  <c r="L416" i="1"/>
  <c r="M416" i="1" s="1"/>
  <c r="N416" i="1" s="1"/>
  <c r="O416" i="1" s="1"/>
  <c r="L417" i="1"/>
  <c r="M417" i="1" s="1"/>
  <c r="N417" i="1" s="1"/>
  <c r="O417" i="1" s="1"/>
  <c r="L418" i="1"/>
  <c r="M418" i="1" s="1"/>
  <c r="N418" i="1" s="1"/>
  <c r="O418" i="1" s="1"/>
  <c r="L419" i="1"/>
  <c r="M419" i="1" s="1"/>
  <c r="N419" i="1" s="1"/>
  <c r="O419" i="1" s="1"/>
  <c r="L420" i="1"/>
  <c r="M420" i="1" s="1"/>
  <c r="N420" i="1" s="1"/>
  <c r="O420" i="1" s="1"/>
  <c r="L421" i="1"/>
  <c r="M421" i="1" s="1"/>
  <c r="N421" i="1" s="1"/>
  <c r="O421" i="1" s="1"/>
  <c r="L422" i="1"/>
  <c r="M422" i="1" s="1"/>
  <c r="N422" i="1" s="1"/>
  <c r="O422" i="1" s="1"/>
  <c r="L423" i="1"/>
  <c r="M423" i="1" s="1"/>
  <c r="N423" i="1" s="1"/>
  <c r="O423" i="1" s="1"/>
  <c r="L424" i="1"/>
  <c r="M424" i="1" s="1"/>
  <c r="N424" i="1" s="1"/>
  <c r="O424" i="1" s="1"/>
  <c r="L425" i="1"/>
  <c r="M425" i="1" s="1"/>
  <c r="N425" i="1" s="1"/>
  <c r="O425" i="1" s="1"/>
  <c r="L426" i="1"/>
  <c r="M426" i="1" s="1"/>
  <c r="N426" i="1" s="1"/>
  <c r="O426" i="1" s="1"/>
  <c r="L427" i="1"/>
  <c r="M427" i="1" s="1"/>
  <c r="N427" i="1" s="1"/>
  <c r="O427" i="1" s="1"/>
  <c r="L428" i="1"/>
  <c r="M428" i="1" s="1"/>
  <c r="N428" i="1" s="1"/>
  <c r="O428" i="1" s="1"/>
  <c r="L429" i="1"/>
  <c r="M429" i="1" s="1"/>
  <c r="N429" i="1" s="1"/>
  <c r="O429" i="1" s="1"/>
  <c r="L430" i="1"/>
  <c r="M430" i="1" s="1"/>
  <c r="N430" i="1" s="1"/>
  <c r="O430" i="1" s="1"/>
  <c r="L431" i="1"/>
  <c r="M431" i="1" s="1"/>
  <c r="N431" i="1" s="1"/>
  <c r="O431" i="1" s="1"/>
  <c r="L432" i="1"/>
  <c r="M432" i="1" s="1"/>
  <c r="N432" i="1" s="1"/>
  <c r="O432" i="1" s="1"/>
  <c r="L433" i="1"/>
  <c r="M433" i="1" s="1"/>
  <c r="N433" i="1" s="1"/>
  <c r="O433" i="1" s="1"/>
  <c r="L434" i="1"/>
  <c r="M434" i="1" s="1"/>
  <c r="N434" i="1" s="1"/>
  <c r="O434" i="1" s="1"/>
  <c r="L435" i="1"/>
  <c r="M435" i="1" s="1"/>
  <c r="N435" i="1" s="1"/>
  <c r="O435" i="1" s="1"/>
  <c r="L436" i="1"/>
  <c r="M436" i="1" s="1"/>
  <c r="N436" i="1" s="1"/>
  <c r="O436" i="1" s="1"/>
  <c r="L437" i="1"/>
  <c r="M437" i="1" s="1"/>
  <c r="N437" i="1" s="1"/>
  <c r="O437" i="1" s="1"/>
  <c r="L438" i="1"/>
  <c r="M438" i="1" s="1"/>
  <c r="N438" i="1" s="1"/>
  <c r="O438" i="1" s="1"/>
  <c r="L439" i="1"/>
  <c r="M439" i="1" s="1"/>
  <c r="N439" i="1" s="1"/>
  <c r="O439" i="1" s="1"/>
  <c r="L440" i="1"/>
  <c r="M440" i="1" s="1"/>
  <c r="N440" i="1" s="1"/>
  <c r="O440" i="1" s="1"/>
  <c r="L441" i="1"/>
  <c r="M441" i="1" s="1"/>
  <c r="N441" i="1" s="1"/>
  <c r="O441" i="1" s="1"/>
  <c r="L442" i="1"/>
  <c r="M442" i="1" s="1"/>
  <c r="N442" i="1" s="1"/>
  <c r="O442" i="1" s="1"/>
  <c r="L443" i="1"/>
  <c r="M443" i="1" s="1"/>
  <c r="N443" i="1" s="1"/>
  <c r="O443" i="1" s="1"/>
  <c r="L444" i="1"/>
  <c r="M444" i="1" s="1"/>
  <c r="N444" i="1" s="1"/>
  <c r="O444" i="1" s="1"/>
  <c r="L445" i="1"/>
  <c r="M445" i="1" s="1"/>
  <c r="N445" i="1" s="1"/>
  <c r="O445" i="1" s="1"/>
  <c r="L446" i="1"/>
  <c r="M446" i="1" s="1"/>
  <c r="N446" i="1" s="1"/>
  <c r="O446" i="1" s="1"/>
  <c r="L447" i="1"/>
  <c r="M447" i="1" s="1"/>
  <c r="N447" i="1" s="1"/>
  <c r="O447" i="1" s="1"/>
  <c r="L448" i="1"/>
  <c r="M448" i="1" s="1"/>
  <c r="N448" i="1" s="1"/>
  <c r="O448" i="1" s="1"/>
  <c r="L449" i="1"/>
  <c r="M449" i="1" s="1"/>
  <c r="N449" i="1" s="1"/>
  <c r="O449" i="1" s="1"/>
  <c r="L450" i="1"/>
  <c r="M450" i="1" s="1"/>
  <c r="N450" i="1" s="1"/>
  <c r="O450" i="1" s="1"/>
  <c r="L451" i="1"/>
  <c r="M451" i="1" s="1"/>
  <c r="N451" i="1" s="1"/>
  <c r="O451" i="1" s="1"/>
  <c r="L452" i="1"/>
  <c r="M452" i="1" s="1"/>
  <c r="N452" i="1" s="1"/>
  <c r="O452" i="1" s="1"/>
  <c r="L453" i="1"/>
  <c r="M453" i="1" s="1"/>
  <c r="N453" i="1" s="1"/>
  <c r="O453" i="1" s="1"/>
  <c r="L454" i="1"/>
  <c r="M454" i="1" s="1"/>
  <c r="N454" i="1" s="1"/>
  <c r="O454" i="1" s="1"/>
  <c r="L455" i="1"/>
  <c r="M455" i="1" s="1"/>
  <c r="N455" i="1" s="1"/>
  <c r="O455" i="1" s="1"/>
  <c r="L456" i="1"/>
  <c r="M456" i="1" s="1"/>
  <c r="N456" i="1" s="1"/>
  <c r="O456" i="1" s="1"/>
  <c r="L457" i="1"/>
  <c r="M457" i="1" s="1"/>
  <c r="N457" i="1" s="1"/>
  <c r="O457" i="1" s="1"/>
  <c r="L458" i="1"/>
  <c r="M458" i="1" s="1"/>
  <c r="N458" i="1" s="1"/>
  <c r="O458" i="1" s="1"/>
  <c r="L459" i="1"/>
  <c r="M459" i="1" s="1"/>
  <c r="N459" i="1" s="1"/>
  <c r="O459" i="1" s="1"/>
  <c r="L460" i="1"/>
  <c r="M460" i="1" s="1"/>
  <c r="N460" i="1" s="1"/>
  <c r="O460" i="1" s="1"/>
  <c r="L461" i="1"/>
  <c r="M461" i="1" s="1"/>
  <c r="N461" i="1" s="1"/>
  <c r="O461" i="1" s="1"/>
  <c r="L462" i="1"/>
  <c r="M462" i="1" s="1"/>
  <c r="N462" i="1" s="1"/>
  <c r="O462" i="1" s="1"/>
  <c r="L463" i="1"/>
  <c r="M463" i="1" s="1"/>
  <c r="N463" i="1" s="1"/>
  <c r="O463" i="1" s="1"/>
  <c r="L464" i="1"/>
  <c r="M464" i="1" s="1"/>
  <c r="N464" i="1" s="1"/>
  <c r="O464" i="1" s="1"/>
  <c r="L465" i="1"/>
  <c r="M465" i="1" s="1"/>
  <c r="N465" i="1" s="1"/>
  <c r="O465" i="1" s="1"/>
  <c r="L466" i="1"/>
  <c r="M466" i="1" s="1"/>
  <c r="N466" i="1" s="1"/>
  <c r="O466" i="1" s="1"/>
  <c r="L467" i="1"/>
  <c r="M467" i="1" s="1"/>
  <c r="N467" i="1" s="1"/>
  <c r="O467" i="1" s="1"/>
  <c r="L468" i="1"/>
  <c r="M468" i="1" s="1"/>
  <c r="N468" i="1" s="1"/>
  <c r="O468" i="1" s="1"/>
  <c r="L469" i="1"/>
  <c r="M469" i="1" s="1"/>
  <c r="N469" i="1" s="1"/>
  <c r="O469" i="1" s="1"/>
  <c r="L470" i="1"/>
  <c r="M470" i="1" s="1"/>
  <c r="N470" i="1" s="1"/>
  <c r="O470" i="1" s="1"/>
  <c r="L471" i="1"/>
  <c r="M471" i="1" s="1"/>
  <c r="N471" i="1" s="1"/>
  <c r="O471" i="1" s="1"/>
  <c r="L472" i="1"/>
  <c r="M472" i="1" s="1"/>
  <c r="N472" i="1" s="1"/>
  <c r="O472" i="1" s="1"/>
  <c r="L473" i="1"/>
  <c r="M473" i="1" s="1"/>
  <c r="N473" i="1" s="1"/>
  <c r="O473" i="1" s="1"/>
  <c r="L474" i="1"/>
  <c r="M474" i="1" s="1"/>
  <c r="N474" i="1" s="1"/>
  <c r="O474" i="1" s="1"/>
  <c r="L475" i="1"/>
  <c r="M475" i="1" s="1"/>
  <c r="N475" i="1" s="1"/>
  <c r="O475" i="1" s="1"/>
  <c r="L476" i="1"/>
  <c r="M476" i="1" s="1"/>
  <c r="N476" i="1" s="1"/>
  <c r="O476" i="1" s="1"/>
  <c r="L477" i="1"/>
  <c r="M477" i="1" s="1"/>
  <c r="N477" i="1" s="1"/>
  <c r="O477" i="1" s="1"/>
  <c r="L478" i="1"/>
  <c r="M478" i="1" s="1"/>
  <c r="N478" i="1" s="1"/>
  <c r="O478" i="1" s="1"/>
  <c r="L479" i="1"/>
  <c r="M479" i="1" s="1"/>
  <c r="N479" i="1" s="1"/>
  <c r="O479" i="1" s="1"/>
  <c r="L480" i="1"/>
  <c r="M480" i="1" s="1"/>
  <c r="N480" i="1" s="1"/>
  <c r="O480" i="1" s="1"/>
  <c r="L481" i="1"/>
  <c r="M481" i="1" s="1"/>
  <c r="N481" i="1" s="1"/>
  <c r="O481" i="1" s="1"/>
  <c r="L482" i="1"/>
  <c r="M482" i="1" s="1"/>
  <c r="N482" i="1" s="1"/>
  <c r="O482" i="1" s="1"/>
  <c r="L483" i="1"/>
  <c r="M483" i="1" s="1"/>
  <c r="N483" i="1" s="1"/>
  <c r="O483" i="1" s="1"/>
  <c r="L484" i="1"/>
  <c r="M484" i="1" s="1"/>
  <c r="N484" i="1" s="1"/>
  <c r="O484" i="1" s="1"/>
  <c r="L485" i="1"/>
  <c r="M485" i="1" s="1"/>
  <c r="N485" i="1" s="1"/>
  <c r="O485" i="1" s="1"/>
  <c r="L486" i="1"/>
  <c r="M486" i="1" s="1"/>
  <c r="N486" i="1" s="1"/>
  <c r="O486" i="1" s="1"/>
  <c r="L487" i="1"/>
  <c r="M487" i="1" s="1"/>
  <c r="N487" i="1" s="1"/>
  <c r="O487" i="1" s="1"/>
  <c r="L488" i="1"/>
  <c r="M488" i="1" s="1"/>
  <c r="N488" i="1" s="1"/>
  <c r="O488" i="1" s="1"/>
  <c r="L489" i="1"/>
  <c r="M489" i="1" s="1"/>
  <c r="N489" i="1" s="1"/>
  <c r="O489" i="1" s="1"/>
  <c r="L490" i="1"/>
  <c r="M490" i="1" s="1"/>
  <c r="N490" i="1" s="1"/>
  <c r="O490" i="1" s="1"/>
  <c r="L491" i="1"/>
  <c r="M491" i="1" s="1"/>
  <c r="N491" i="1" s="1"/>
  <c r="O491" i="1" s="1"/>
  <c r="L492" i="1"/>
  <c r="M492" i="1" s="1"/>
  <c r="N492" i="1" s="1"/>
  <c r="O492" i="1" s="1"/>
  <c r="L493" i="1"/>
  <c r="M493" i="1" s="1"/>
  <c r="N493" i="1" s="1"/>
  <c r="O493" i="1" s="1"/>
  <c r="L494" i="1"/>
  <c r="M494" i="1" s="1"/>
  <c r="N494" i="1" s="1"/>
  <c r="O494" i="1" s="1"/>
  <c r="L495" i="1"/>
  <c r="M495" i="1" s="1"/>
  <c r="N495" i="1" s="1"/>
  <c r="O495" i="1" s="1"/>
  <c r="L496" i="1"/>
  <c r="M496" i="1" s="1"/>
  <c r="N496" i="1" s="1"/>
  <c r="O496" i="1" s="1"/>
  <c r="L497" i="1"/>
  <c r="M497" i="1" s="1"/>
  <c r="N497" i="1" s="1"/>
  <c r="O497" i="1" s="1"/>
  <c r="L498" i="1"/>
  <c r="M498" i="1" s="1"/>
  <c r="N498" i="1" s="1"/>
  <c r="O498" i="1" s="1"/>
  <c r="L499" i="1"/>
  <c r="M499" i="1" s="1"/>
  <c r="N499" i="1" s="1"/>
  <c r="O499" i="1" s="1"/>
  <c r="L500" i="1"/>
  <c r="M500" i="1" s="1"/>
  <c r="N500" i="1" s="1"/>
  <c r="O500" i="1" s="1"/>
  <c r="L501" i="1"/>
  <c r="M501" i="1" s="1"/>
  <c r="N501" i="1" s="1"/>
  <c r="O501" i="1" s="1"/>
  <c r="L502" i="1"/>
  <c r="M502" i="1" s="1"/>
  <c r="N502" i="1" s="1"/>
  <c r="O502" i="1" s="1"/>
  <c r="L503" i="1"/>
  <c r="M503" i="1" s="1"/>
  <c r="N503" i="1" s="1"/>
  <c r="O503" i="1" s="1"/>
  <c r="L504" i="1"/>
  <c r="M504" i="1" s="1"/>
  <c r="N504" i="1" s="1"/>
  <c r="O504" i="1" s="1"/>
  <c r="L505" i="1"/>
  <c r="M505" i="1" s="1"/>
  <c r="N505" i="1" s="1"/>
  <c r="O505" i="1" s="1"/>
  <c r="L506" i="1"/>
  <c r="M506" i="1" s="1"/>
  <c r="N506" i="1" s="1"/>
  <c r="O506" i="1" s="1"/>
  <c r="L507" i="1"/>
  <c r="M507" i="1" s="1"/>
  <c r="N507" i="1" s="1"/>
  <c r="O507" i="1" s="1"/>
  <c r="L508" i="1"/>
  <c r="M508" i="1" s="1"/>
  <c r="N508" i="1" s="1"/>
  <c r="O508" i="1" s="1"/>
  <c r="L509" i="1"/>
  <c r="M509" i="1" s="1"/>
  <c r="N509" i="1" s="1"/>
  <c r="O509" i="1" s="1"/>
  <c r="L510" i="1"/>
  <c r="M510" i="1" s="1"/>
  <c r="N510" i="1" s="1"/>
  <c r="O510" i="1" s="1"/>
  <c r="L511" i="1"/>
  <c r="M511" i="1" s="1"/>
  <c r="N511" i="1" s="1"/>
  <c r="O511" i="1" s="1"/>
  <c r="L512" i="1"/>
  <c r="M512" i="1" s="1"/>
  <c r="N512" i="1" s="1"/>
  <c r="O512" i="1" s="1"/>
  <c r="L513" i="1"/>
  <c r="M513" i="1" s="1"/>
  <c r="N513" i="1" s="1"/>
  <c r="O513" i="1" s="1"/>
  <c r="L514" i="1"/>
  <c r="M514" i="1" s="1"/>
  <c r="N514" i="1" s="1"/>
  <c r="O514" i="1" s="1"/>
  <c r="L515" i="1"/>
  <c r="M515" i="1" s="1"/>
  <c r="N515" i="1" s="1"/>
  <c r="O515" i="1" s="1"/>
  <c r="L516" i="1"/>
  <c r="M516" i="1" s="1"/>
  <c r="N516" i="1" s="1"/>
  <c r="O516" i="1" s="1"/>
  <c r="L517" i="1"/>
  <c r="M517" i="1" s="1"/>
  <c r="N517" i="1" s="1"/>
  <c r="O517" i="1" s="1"/>
  <c r="L518" i="1"/>
  <c r="M518" i="1" s="1"/>
  <c r="N518" i="1" s="1"/>
  <c r="O518" i="1" s="1"/>
  <c r="L519" i="1"/>
  <c r="M519" i="1" s="1"/>
  <c r="N519" i="1" s="1"/>
  <c r="O519" i="1" s="1"/>
  <c r="L520" i="1"/>
  <c r="M520" i="1" s="1"/>
  <c r="N520" i="1" s="1"/>
  <c r="O520" i="1" s="1"/>
  <c r="L521" i="1"/>
  <c r="M521" i="1" s="1"/>
  <c r="N521" i="1" s="1"/>
  <c r="O521" i="1" s="1"/>
  <c r="L522" i="1"/>
  <c r="M522" i="1" s="1"/>
  <c r="N522" i="1" s="1"/>
  <c r="O522" i="1" s="1"/>
  <c r="L523" i="1"/>
  <c r="M523" i="1" s="1"/>
  <c r="N523" i="1" s="1"/>
  <c r="O523" i="1" s="1"/>
  <c r="L524" i="1"/>
  <c r="M524" i="1" s="1"/>
  <c r="N524" i="1" s="1"/>
  <c r="O524" i="1" s="1"/>
  <c r="L525" i="1"/>
  <c r="M525" i="1" s="1"/>
  <c r="N525" i="1" s="1"/>
  <c r="O525" i="1" s="1"/>
  <c r="L526" i="1"/>
  <c r="M526" i="1" s="1"/>
  <c r="N526" i="1" s="1"/>
  <c r="O526" i="1" s="1"/>
  <c r="L527" i="1"/>
  <c r="M527" i="1" s="1"/>
  <c r="N527" i="1" s="1"/>
  <c r="O527" i="1" s="1"/>
  <c r="L528" i="1"/>
  <c r="M528" i="1" s="1"/>
  <c r="N528" i="1" s="1"/>
  <c r="O528" i="1" s="1"/>
  <c r="L529" i="1"/>
  <c r="M529" i="1" s="1"/>
  <c r="N529" i="1" s="1"/>
  <c r="O529" i="1" s="1"/>
  <c r="L530" i="1"/>
  <c r="M530" i="1" s="1"/>
  <c r="N530" i="1" s="1"/>
  <c r="O530" i="1" s="1"/>
  <c r="L531" i="1"/>
  <c r="M531" i="1" s="1"/>
  <c r="N531" i="1" s="1"/>
  <c r="O531" i="1" s="1"/>
  <c r="L532" i="1"/>
  <c r="M532" i="1" s="1"/>
  <c r="N532" i="1" s="1"/>
  <c r="O532" i="1" s="1"/>
  <c r="L533" i="1"/>
  <c r="M533" i="1" s="1"/>
  <c r="N533" i="1" s="1"/>
  <c r="O533" i="1" s="1"/>
  <c r="L534" i="1"/>
  <c r="M534" i="1" s="1"/>
  <c r="N534" i="1" s="1"/>
  <c r="O534" i="1" s="1"/>
  <c r="L535" i="1"/>
  <c r="M535" i="1" s="1"/>
  <c r="N535" i="1" s="1"/>
  <c r="O535" i="1" s="1"/>
  <c r="L536" i="1"/>
  <c r="M536" i="1" s="1"/>
  <c r="N536" i="1" s="1"/>
  <c r="O536" i="1" s="1"/>
  <c r="L537" i="1"/>
  <c r="M537" i="1" s="1"/>
  <c r="N537" i="1" s="1"/>
  <c r="O537" i="1" s="1"/>
  <c r="L538" i="1"/>
  <c r="M538" i="1" s="1"/>
  <c r="N538" i="1" s="1"/>
  <c r="O538" i="1" s="1"/>
  <c r="L539" i="1"/>
  <c r="M539" i="1" s="1"/>
  <c r="N539" i="1" s="1"/>
  <c r="O539" i="1" s="1"/>
  <c r="L540" i="1"/>
  <c r="M540" i="1" s="1"/>
  <c r="N540" i="1" s="1"/>
  <c r="O540" i="1" s="1"/>
  <c r="L541" i="1"/>
  <c r="M541" i="1" s="1"/>
  <c r="N541" i="1" s="1"/>
  <c r="O541" i="1" s="1"/>
  <c r="L542" i="1"/>
  <c r="M542" i="1" s="1"/>
  <c r="N542" i="1" s="1"/>
  <c r="O542" i="1" s="1"/>
  <c r="L543" i="1"/>
  <c r="M543" i="1" s="1"/>
  <c r="N543" i="1" s="1"/>
  <c r="O543" i="1" s="1"/>
  <c r="L544" i="1"/>
  <c r="M544" i="1" s="1"/>
  <c r="N544" i="1" s="1"/>
  <c r="O544" i="1" s="1"/>
  <c r="L545" i="1"/>
  <c r="M545" i="1" s="1"/>
  <c r="N545" i="1" s="1"/>
  <c r="O545" i="1" s="1"/>
  <c r="L546" i="1"/>
  <c r="M546" i="1" s="1"/>
  <c r="N546" i="1" s="1"/>
  <c r="O546" i="1" s="1"/>
  <c r="L547" i="1"/>
  <c r="M547" i="1" s="1"/>
  <c r="N547" i="1" s="1"/>
  <c r="O547" i="1" s="1"/>
  <c r="L548" i="1"/>
  <c r="M548" i="1" s="1"/>
  <c r="N548" i="1" s="1"/>
  <c r="O548" i="1" s="1"/>
  <c r="L549" i="1"/>
  <c r="M549" i="1" s="1"/>
  <c r="N549" i="1" s="1"/>
  <c r="O549" i="1" s="1"/>
  <c r="L550" i="1"/>
  <c r="M550" i="1" s="1"/>
  <c r="N550" i="1" s="1"/>
  <c r="O550" i="1" s="1"/>
  <c r="L551" i="1"/>
  <c r="M551" i="1" s="1"/>
  <c r="N551" i="1" s="1"/>
  <c r="O551" i="1" s="1"/>
  <c r="L552" i="1"/>
  <c r="M552" i="1" s="1"/>
  <c r="N552" i="1" s="1"/>
  <c r="O552" i="1" s="1"/>
  <c r="L553" i="1"/>
  <c r="M553" i="1" s="1"/>
  <c r="N553" i="1" s="1"/>
  <c r="O553" i="1" s="1"/>
  <c r="L554" i="1"/>
  <c r="M554" i="1" s="1"/>
  <c r="N554" i="1" s="1"/>
  <c r="O554" i="1" s="1"/>
  <c r="L555" i="1"/>
  <c r="M555" i="1" s="1"/>
  <c r="N555" i="1" s="1"/>
  <c r="O555" i="1" s="1"/>
  <c r="L556" i="1"/>
  <c r="M556" i="1" s="1"/>
  <c r="N556" i="1" s="1"/>
  <c r="O556" i="1" s="1"/>
  <c r="L557" i="1"/>
  <c r="M557" i="1" s="1"/>
  <c r="N557" i="1" s="1"/>
  <c r="O557" i="1" s="1"/>
  <c r="L558" i="1"/>
  <c r="M558" i="1" s="1"/>
  <c r="N558" i="1" s="1"/>
  <c r="O558" i="1" s="1"/>
  <c r="L559" i="1"/>
  <c r="M559" i="1" s="1"/>
  <c r="N559" i="1" s="1"/>
  <c r="O559" i="1" s="1"/>
  <c r="L560" i="1"/>
  <c r="M560" i="1" s="1"/>
  <c r="N560" i="1" s="1"/>
  <c r="O560" i="1" s="1"/>
  <c r="L561" i="1"/>
  <c r="M561" i="1" s="1"/>
  <c r="N561" i="1" s="1"/>
  <c r="O561" i="1" s="1"/>
  <c r="L562" i="1"/>
  <c r="M562" i="1" s="1"/>
  <c r="N562" i="1" s="1"/>
  <c r="O562" i="1" s="1"/>
  <c r="L563" i="1"/>
  <c r="M563" i="1" s="1"/>
  <c r="N563" i="1" s="1"/>
  <c r="O563" i="1" s="1"/>
  <c r="L564" i="1"/>
  <c r="M564" i="1" s="1"/>
  <c r="N564" i="1" s="1"/>
  <c r="O564" i="1" s="1"/>
  <c r="L565" i="1"/>
  <c r="M565" i="1" s="1"/>
  <c r="N565" i="1" s="1"/>
  <c r="O565" i="1" s="1"/>
  <c r="L566" i="1"/>
  <c r="M566" i="1" s="1"/>
  <c r="N566" i="1" s="1"/>
  <c r="O566" i="1" s="1"/>
  <c r="L567" i="1"/>
  <c r="M567" i="1" s="1"/>
  <c r="N567" i="1" s="1"/>
  <c r="O567" i="1" s="1"/>
  <c r="L568" i="1"/>
  <c r="M568" i="1" s="1"/>
  <c r="N568" i="1" s="1"/>
  <c r="O568" i="1" s="1"/>
  <c r="L569" i="1"/>
  <c r="M569" i="1" s="1"/>
  <c r="N569" i="1" s="1"/>
  <c r="O569" i="1" s="1"/>
  <c r="L570" i="1"/>
  <c r="M570" i="1" s="1"/>
  <c r="N570" i="1" s="1"/>
  <c r="O570" i="1" s="1"/>
  <c r="L571" i="1"/>
  <c r="M571" i="1" s="1"/>
  <c r="N571" i="1" s="1"/>
  <c r="O571" i="1" s="1"/>
  <c r="L572" i="1"/>
  <c r="M572" i="1" s="1"/>
  <c r="N572" i="1" s="1"/>
  <c r="O572" i="1" s="1"/>
  <c r="L573" i="1"/>
  <c r="M573" i="1" s="1"/>
  <c r="N573" i="1" s="1"/>
  <c r="O573" i="1" s="1"/>
  <c r="L574" i="1"/>
  <c r="M574" i="1" s="1"/>
  <c r="N574" i="1" s="1"/>
  <c r="O574" i="1" s="1"/>
  <c r="L575" i="1"/>
  <c r="M575" i="1" s="1"/>
  <c r="N575" i="1" s="1"/>
  <c r="O575" i="1" s="1"/>
  <c r="L576" i="1"/>
  <c r="M576" i="1" s="1"/>
  <c r="N576" i="1" s="1"/>
  <c r="O576" i="1" s="1"/>
  <c r="L577" i="1"/>
  <c r="M577" i="1" s="1"/>
  <c r="N577" i="1" s="1"/>
  <c r="O577" i="1" s="1"/>
  <c r="L578" i="1"/>
  <c r="M578" i="1" s="1"/>
  <c r="N578" i="1" s="1"/>
  <c r="O578" i="1" s="1"/>
  <c r="L579" i="1"/>
  <c r="M579" i="1" s="1"/>
  <c r="N579" i="1" s="1"/>
  <c r="O579" i="1" s="1"/>
  <c r="L580" i="1"/>
  <c r="M580" i="1" s="1"/>
  <c r="N580" i="1" s="1"/>
  <c r="O580" i="1" s="1"/>
  <c r="L581" i="1"/>
  <c r="M581" i="1" s="1"/>
  <c r="N581" i="1" s="1"/>
  <c r="O581" i="1" s="1"/>
  <c r="L582" i="1"/>
  <c r="M582" i="1" s="1"/>
  <c r="N582" i="1" s="1"/>
  <c r="O582" i="1" s="1"/>
  <c r="L583" i="1"/>
  <c r="M583" i="1" s="1"/>
  <c r="N583" i="1" s="1"/>
  <c r="O583" i="1" s="1"/>
  <c r="L584" i="1"/>
  <c r="M584" i="1" s="1"/>
  <c r="N584" i="1" s="1"/>
  <c r="O584" i="1" s="1"/>
  <c r="L585" i="1"/>
  <c r="M585" i="1" s="1"/>
  <c r="N585" i="1" s="1"/>
  <c r="O585" i="1" s="1"/>
  <c r="L586" i="1"/>
  <c r="M586" i="1" s="1"/>
  <c r="N586" i="1" s="1"/>
  <c r="O586" i="1" s="1"/>
  <c r="L587" i="1"/>
  <c r="M587" i="1" s="1"/>
  <c r="N587" i="1" s="1"/>
  <c r="O587" i="1" s="1"/>
  <c r="L588" i="1"/>
  <c r="M588" i="1" s="1"/>
  <c r="N588" i="1" s="1"/>
  <c r="O588" i="1" s="1"/>
  <c r="L589" i="1"/>
  <c r="M589" i="1" s="1"/>
  <c r="N589" i="1" s="1"/>
  <c r="O589" i="1" s="1"/>
  <c r="L590" i="1"/>
  <c r="M590" i="1" s="1"/>
  <c r="N590" i="1" s="1"/>
  <c r="O590" i="1" s="1"/>
  <c r="L591" i="1"/>
  <c r="M591" i="1" s="1"/>
  <c r="N591" i="1" s="1"/>
  <c r="O591" i="1" s="1"/>
  <c r="L592" i="1"/>
  <c r="M592" i="1" s="1"/>
  <c r="N592" i="1" s="1"/>
  <c r="O592" i="1" s="1"/>
  <c r="L593" i="1"/>
  <c r="M593" i="1" s="1"/>
  <c r="N593" i="1" s="1"/>
  <c r="O593" i="1" s="1"/>
  <c r="L594" i="1"/>
  <c r="M594" i="1" s="1"/>
  <c r="N594" i="1" s="1"/>
  <c r="O594" i="1" s="1"/>
  <c r="L595" i="1"/>
  <c r="M595" i="1" s="1"/>
  <c r="N595" i="1" s="1"/>
  <c r="O595" i="1" s="1"/>
  <c r="L596" i="1"/>
  <c r="M596" i="1" s="1"/>
  <c r="N596" i="1" s="1"/>
  <c r="O596" i="1" s="1"/>
  <c r="L597" i="1"/>
  <c r="M597" i="1" s="1"/>
  <c r="N597" i="1" s="1"/>
  <c r="O597" i="1" s="1"/>
  <c r="L598" i="1"/>
  <c r="M598" i="1" s="1"/>
  <c r="N598" i="1" s="1"/>
  <c r="O598" i="1" s="1"/>
  <c r="L599" i="1"/>
  <c r="M599" i="1" s="1"/>
  <c r="N599" i="1" s="1"/>
  <c r="O599" i="1" s="1"/>
  <c r="L600" i="1"/>
  <c r="M600" i="1" s="1"/>
  <c r="N600" i="1" s="1"/>
  <c r="O600" i="1" s="1"/>
  <c r="L601" i="1"/>
  <c r="M601" i="1" s="1"/>
  <c r="N601" i="1" s="1"/>
  <c r="O601" i="1" s="1"/>
  <c r="L602" i="1"/>
  <c r="M602" i="1" s="1"/>
  <c r="N602" i="1" s="1"/>
  <c r="O602" i="1" s="1"/>
  <c r="L603" i="1"/>
  <c r="M603" i="1" s="1"/>
  <c r="N603" i="1" s="1"/>
  <c r="O603" i="1" s="1"/>
  <c r="L604" i="1"/>
  <c r="M604" i="1" s="1"/>
  <c r="N604" i="1" s="1"/>
  <c r="O604" i="1" s="1"/>
  <c r="L605" i="1"/>
  <c r="M605" i="1" s="1"/>
  <c r="N605" i="1" s="1"/>
  <c r="O605" i="1" s="1"/>
  <c r="L606" i="1"/>
  <c r="M606" i="1" s="1"/>
  <c r="N606" i="1" s="1"/>
  <c r="O606" i="1" s="1"/>
  <c r="L607" i="1"/>
  <c r="M607" i="1" s="1"/>
  <c r="N607" i="1" s="1"/>
  <c r="O607" i="1" s="1"/>
  <c r="L608" i="1"/>
  <c r="M608" i="1" s="1"/>
  <c r="N608" i="1" s="1"/>
  <c r="O608" i="1" s="1"/>
  <c r="L609" i="1"/>
  <c r="M609" i="1" s="1"/>
  <c r="N609" i="1" s="1"/>
  <c r="O609" i="1" s="1"/>
  <c r="L610" i="1"/>
  <c r="M610" i="1" s="1"/>
  <c r="N610" i="1" s="1"/>
  <c r="O610" i="1" s="1"/>
  <c r="L611" i="1"/>
  <c r="M611" i="1" s="1"/>
  <c r="N611" i="1" s="1"/>
  <c r="O611" i="1" s="1"/>
  <c r="L612" i="1"/>
  <c r="M612" i="1" s="1"/>
  <c r="N612" i="1" s="1"/>
  <c r="O612" i="1" s="1"/>
  <c r="L613" i="1"/>
  <c r="M613" i="1" s="1"/>
  <c r="N613" i="1" s="1"/>
  <c r="O613" i="1" s="1"/>
  <c r="L614" i="1"/>
  <c r="M614" i="1" s="1"/>
  <c r="N614" i="1" s="1"/>
  <c r="O614" i="1" s="1"/>
  <c r="L615" i="1"/>
  <c r="M615" i="1" s="1"/>
  <c r="N615" i="1" s="1"/>
  <c r="O615" i="1" s="1"/>
  <c r="L616" i="1"/>
  <c r="M616" i="1" s="1"/>
  <c r="N616" i="1" s="1"/>
  <c r="O616" i="1" s="1"/>
  <c r="L617" i="1"/>
  <c r="M617" i="1" s="1"/>
  <c r="N617" i="1" s="1"/>
  <c r="O617" i="1" s="1"/>
  <c r="L618" i="1"/>
  <c r="M618" i="1" s="1"/>
  <c r="N618" i="1" s="1"/>
  <c r="O618" i="1" s="1"/>
  <c r="L619" i="1"/>
  <c r="M619" i="1" s="1"/>
  <c r="N619" i="1" s="1"/>
  <c r="O619" i="1" s="1"/>
  <c r="L620" i="1"/>
  <c r="M620" i="1" s="1"/>
  <c r="N620" i="1" s="1"/>
  <c r="O620" i="1" s="1"/>
  <c r="L621" i="1"/>
  <c r="M621" i="1" s="1"/>
  <c r="N621" i="1" s="1"/>
  <c r="O621" i="1" s="1"/>
  <c r="L622" i="1"/>
  <c r="M622" i="1" s="1"/>
  <c r="N622" i="1" s="1"/>
  <c r="O622" i="1" s="1"/>
  <c r="L623" i="1"/>
  <c r="M623" i="1" s="1"/>
  <c r="N623" i="1" s="1"/>
  <c r="O623" i="1" s="1"/>
  <c r="L624" i="1"/>
  <c r="M624" i="1" s="1"/>
  <c r="N624" i="1" s="1"/>
  <c r="O624" i="1" s="1"/>
  <c r="L625" i="1"/>
  <c r="M625" i="1" s="1"/>
  <c r="N625" i="1" s="1"/>
  <c r="O625" i="1" s="1"/>
  <c r="L626" i="1"/>
  <c r="M626" i="1" s="1"/>
  <c r="N626" i="1" s="1"/>
  <c r="O626" i="1" s="1"/>
  <c r="L627" i="1"/>
  <c r="M627" i="1" s="1"/>
  <c r="N627" i="1" s="1"/>
  <c r="O627" i="1" s="1"/>
  <c r="L628" i="1"/>
  <c r="M628" i="1" s="1"/>
  <c r="N628" i="1" s="1"/>
  <c r="O628" i="1" s="1"/>
  <c r="L629" i="1"/>
  <c r="M629" i="1" s="1"/>
  <c r="N629" i="1" s="1"/>
  <c r="O629" i="1" s="1"/>
  <c r="L630" i="1"/>
  <c r="M630" i="1" s="1"/>
  <c r="N630" i="1" s="1"/>
  <c r="O630" i="1" s="1"/>
  <c r="L631" i="1"/>
  <c r="M631" i="1" s="1"/>
  <c r="N631" i="1" s="1"/>
  <c r="O631" i="1" s="1"/>
  <c r="L632" i="1"/>
  <c r="M632" i="1" s="1"/>
  <c r="N632" i="1" s="1"/>
  <c r="O632" i="1" s="1"/>
  <c r="L633" i="1"/>
  <c r="M633" i="1" s="1"/>
  <c r="N633" i="1" s="1"/>
  <c r="O633" i="1" s="1"/>
  <c r="L634" i="1"/>
  <c r="M634" i="1" s="1"/>
  <c r="N634" i="1" s="1"/>
  <c r="O634" i="1" s="1"/>
  <c r="L635" i="1"/>
  <c r="M635" i="1" s="1"/>
  <c r="N635" i="1" s="1"/>
  <c r="O635" i="1" s="1"/>
  <c r="L636" i="1"/>
  <c r="M636" i="1" s="1"/>
  <c r="N636" i="1" s="1"/>
  <c r="O636" i="1" s="1"/>
  <c r="L637" i="1"/>
  <c r="M637" i="1" s="1"/>
  <c r="N637" i="1" s="1"/>
  <c r="O637" i="1" s="1"/>
  <c r="L638" i="1"/>
  <c r="M638" i="1" s="1"/>
  <c r="N638" i="1" s="1"/>
  <c r="O638" i="1" s="1"/>
  <c r="L639" i="1"/>
  <c r="M639" i="1" s="1"/>
  <c r="N639" i="1" s="1"/>
  <c r="O639" i="1" s="1"/>
  <c r="L640" i="1"/>
  <c r="M640" i="1" s="1"/>
  <c r="N640" i="1" s="1"/>
  <c r="O640" i="1" s="1"/>
  <c r="L641" i="1"/>
  <c r="M641" i="1" s="1"/>
  <c r="N641" i="1" s="1"/>
  <c r="O641" i="1" s="1"/>
  <c r="L642" i="1"/>
  <c r="M642" i="1" s="1"/>
  <c r="N642" i="1" s="1"/>
  <c r="O642" i="1" s="1"/>
  <c r="L643" i="1"/>
  <c r="M643" i="1" s="1"/>
  <c r="N643" i="1" s="1"/>
  <c r="O643" i="1" s="1"/>
  <c r="L644" i="1"/>
  <c r="M644" i="1" s="1"/>
  <c r="N644" i="1" s="1"/>
  <c r="O644" i="1" s="1"/>
  <c r="L645" i="1"/>
  <c r="M645" i="1" s="1"/>
  <c r="N645" i="1" s="1"/>
  <c r="O645" i="1" s="1"/>
  <c r="L646" i="1"/>
  <c r="M646" i="1" s="1"/>
  <c r="N646" i="1" s="1"/>
  <c r="O646" i="1" s="1"/>
  <c r="L647" i="1"/>
  <c r="M647" i="1" s="1"/>
  <c r="N647" i="1" s="1"/>
  <c r="O647" i="1" s="1"/>
  <c r="L648" i="1"/>
  <c r="M648" i="1" s="1"/>
  <c r="N648" i="1" s="1"/>
  <c r="O648" i="1" s="1"/>
  <c r="L649" i="1"/>
  <c r="M649" i="1" s="1"/>
  <c r="N649" i="1" s="1"/>
  <c r="O649" i="1" s="1"/>
  <c r="L650" i="1"/>
  <c r="M650" i="1" s="1"/>
  <c r="N650" i="1" s="1"/>
  <c r="O650" i="1" s="1"/>
  <c r="L651" i="1"/>
  <c r="M651" i="1" s="1"/>
  <c r="N651" i="1" s="1"/>
  <c r="O651" i="1" s="1"/>
  <c r="L652" i="1"/>
  <c r="M652" i="1" s="1"/>
  <c r="N652" i="1" s="1"/>
  <c r="O652" i="1" s="1"/>
  <c r="L653" i="1"/>
  <c r="M653" i="1" s="1"/>
  <c r="N653" i="1" s="1"/>
  <c r="O653" i="1" s="1"/>
  <c r="L654" i="1"/>
  <c r="M654" i="1" s="1"/>
  <c r="N654" i="1" s="1"/>
  <c r="O654" i="1" s="1"/>
  <c r="L655" i="1"/>
  <c r="M655" i="1" s="1"/>
  <c r="N655" i="1" s="1"/>
  <c r="O655" i="1" s="1"/>
  <c r="L656" i="1"/>
  <c r="M656" i="1" s="1"/>
  <c r="N656" i="1" s="1"/>
  <c r="O656" i="1" s="1"/>
  <c r="L657" i="1"/>
  <c r="M657" i="1" s="1"/>
  <c r="N657" i="1" s="1"/>
  <c r="O657" i="1" s="1"/>
  <c r="L658" i="1"/>
  <c r="M658" i="1" s="1"/>
  <c r="N658" i="1" s="1"/>
  <c r="O658" i="1" s="1"/>
  <c r="L659" i="1"/>
  <c r="M659" i="1" s="1"/>
  <c r="N659" i="1" s="1"/>
  <c r="O659" i="1" s="1"/>
  <c r="L660" i="1"/>
  <c r="M660" i="1" s="1"/>
  <c r="N660" i="1" s="1"/>
  <c r="O660" i="1" s="1"/>
  <c r="L661" i="1"/>
  <c r="M661" i="1" s="1"/>
  <c r="N661" i="1" s="1"/>
  <c r="O661" i="1" s="1"/>
  <c r="L662" i="1"/>
  <c r="M662" i="1" s="1"/>
  <c r="N662" i="1" s="1"/>
  <c r="O662" i="1" s="1"/>
  <c r="L663" i="1"/>
  <c r="M663" i="1" s="1"/>
  <c r="N663" i="1" s="1"/>
  <c r="O663" i="1" s="1"/>
  <c r="L664" i="1"/>
  <c r="M664" i="1" s="1"/>
  <c r="N664" i="1" s="1"/>
  <c r="O664" i="1" s="1"/>
  <c r="L665" i="1"/>
  <c r="M665" i="1" s="1"/>
  <c r="N665" i="1" s="1"/>
  <c r="O665" i="1" s="1"/>
  <c r="L666" i="1"/>
  <c r="M666" i="1" s="1"/>
  <c r="N666" i="1" s="1"/>
  <c r="O666" i="1" s="1"/>
  <c r="L667" i="1"/>
  <c r="M667" i="1" s="1"/>
  <c r="N667" i="1" s="1"/>
  <c r="O667" i="1" s="1"/>
  <c r="L668" i="1"/>
  <c r="M668" i="1" s="1"/>
  <c r="N668" i="1" s="1"/>
  <c r="O668" i="1" s="1"/>
  <c r="L669" i="1"/>
  <c r="M669" i="1" s="1"/>
  <c r="N669" i="1" s="1"/>
  <c r="O669" i="1" s="1"/>
  <c r="L670" i="1"/>
  <c r="M670" i="1" s="1"/>
  <c r="N670" i="1" s="1"/>
  <c r="O670" i="1" s="1"/>
  <c r="L671" i="1"/>
  <c r="M671" i="1" s="1"/>
  <c r="N671" i="1" s="1"/>
  <c r="O671" i="1" s="1"/>
  <c r="L672" i="1"/>
  <c r="M672" i="1" s="1"/>
  <c r="N672" i="1" s="1"/>
  <c r="O672" i="1" s="1"/>
  <c r="L673" i="1"/>
  <c r="M673" i="1" s="1"/>
  <c r="N673" i="1" s="1"/>
  <c r="O673" i="1" s="1"/>
  <c r="L674" i="1"/>
  <c r="M674" i="1" s="1"/>
  <c r="N674" i="1" s="1"/>
  <c r="O674" i="1" s="1"/>
  <c r="L675" i="1"/>
  <c r="M675" i="1" s="1"/>
  <c r="N675" i="1" s="1"/>
  <c r="O675" i="1" s="1"/>
  <c r="L676" i="1"/>
  <c r="M676" i="1" s="1"/>
  <c r="N676" i="1" s="1"/>
  <c r="O676" i="1" s="1"/>
  <c r="L677" i="1"/>
  <c r="M677" i="1" s="1"/>
  <c r="N677" i="1" s="1"/>
  <c r="O677" i="1" s="1"/>
  <c r="L678" i="1"/>
  <c r="M678" i="1" s="1"/>
  <c r="N678" i="1" s="1"/>
  <c r="O678" i="1" s="1"/>
  <c r="L679" i="1"/>
  <c r="M679" i="1" s="1"/>
  <c r="N679" i="1" s="1"/>
  <c r="O679" i="1" s="1"/>
  <c r="L680" i="1"/>
  <c r="M680" i="1" s="1"/>
  <c r="N680" i="1" s="1"/>
  <c r="O680" i="1" s="1"/>
  <c r="L681" i="1"/>
  <c r="M681" i="1" s="1"/>
  <c r="N681" i="1" s="1"/>
  <c r="O681" i="1" s="1"/>
  <c r="L682" i="1"/>
  <c r="M682" i="1" s="1"/>
  <c r="N682" i="1" s="1"/>
  <c r="O682" i="1" s="1"/>
  <c r="L683" i="1"/>
  <c r="M683" i="1" s="1"/>
  <c r="N683" i="1" s="1"/>
  <c r="O683" i="1" s="1"/>
  <c r="L684" i="1"/>
  <c r="M684" i="1" s="1"/>
  <c r="N684" i="1" s="1"/>
  <c r="O684" i="1" s="1"/>
  <c r="L685" i="1"/>
  <c r="M685" i="1" s="1"/>
  <c r="N685" i="1" s="1"/>
  <c r="O685" i="1" s="1"/>
  <c r="L686" i="1"/>
  <c r="M686" i="1" s="1"/>
  <c r="N686" i="1" s="1"/>
  <c r="O686" i="1" s="1"/>
  <c r="L687" i="1"/>
  <c r="M687" i="1" s="1"/>
  <c r="N687" i="1" s="1"/>
  <c r="O687" i="1" s="1"/>
  <c r="L688" i="1"/>
  <c r="M688" i="1" s="1"/>
  <c r="N688" i="1" s="1"/>
  <c r="O688" i="1" s="1"/>
  <c r="L689" i="1"/>
  <c r="M689" i="1" s="1"/>
  <c r="N689" i="1" s="1"/>
  <c r="O689" i="1" s="1"/>
  <c r="L690" i="1"/>
  <c r="M690" i="1" s="1"/>
  <c r="N690" i="1" s="1"/>
  <c r="O690" i="1" s="1"/>
  <c r="L691" i="1"/>
  <c r="M691" i="1" s="1"/>
  <c r="N691" i="1" s="1"/>
  <c r="O691" i="1" s="1"/>
  <c r="L692" i="1"/>
  <c r="M692" i="1" s="1"/>
  <c r="N692" i="1" s="1"/>
  <c r="O692" i="1" s="1"/>
  <c r="L693" i="1"/>
  <c r="M693" i="1" s="1"/>
  <c r="N693" i="1" s="1"/>
  <c r="O693" i="1" s="1"/>
  <c r="L694" i="1"/>
  <c r="M694" i="1" s="1"/>
  <c r="N694" i="1" s="1"/>
  <c r="O694" i="1" s="1"/>
  <c r="L695" i="1"/>
  <c r="M695" i="1" s="1"/>
  <c r="N695" i="1" s="1"/>
  <c r="O695" i="1" s="1"/>
  <c r="L696" i="1"/>
  <c r="M696" i="1" s="1"/>
  <c r="N696" i="1" s="1"/>
  <c r="O696" i="1" s="1"/>
  <c r="L697" i="1"/>
  <c r="M697" i="1" s="1"/>
  <c r="N697" i="1" s="1"/>
  <c r="O697" i="1" s="1"/>
  <c r="L698" i="1"/>
  <c r="M698" i="1" s="1"/>
  <c r="N698" i="1" s="1"/>
  <c r="O698" i="1" s="1"/>
  <c r="L699" i="1"/>
  <c r="M699" i="1" s="1"/>
  <c r="N699" i="1" s="1"/>
  <c r="O699" i="1" s="1"/>
  <c r="L700" i="1"/>
  <c r="M700" i="1" s="1"/>
  <c r="N700" i="1" s="1"/>
  <c r="O700" i="1" s="1"/>
  <c r="L701" i="1"/>
  <c r="M701" i="1" s="1"/>
  <c r="N701" i="1" s="1"/>
  <c r="O701" i="1" s="1"/>
  <c r="L702" i="1"/>
  <c r="M702" i="1" s="1"/>
  <c r="N702" i="1" s="1"/>
  <c r="O702" i="1" s="1"/>
  <c r="L703" i="1"/>
  <c r="M703" i="1" s="1"/>
  <c r="N703" i="1" s="1"/>
  <c r="O703" i="1" s="1"/>
  <c r="L704" i="1"/>
  <c r="M704" i="1" s="1"/>
  <c r="N704" i="1" s="1"/>
  <c r="O704" i="1" s="1"/>
  <c r="L705" i="1"/>
  <c r="M705" i="1" s="1"/>
  <c r="N705" i="1" s="1"/>
  <c r="O705" i="1" s="1"/>
  <c r="L706" i="1"/>
  <c r="M706" i="1" s="1"/>
  <c r="N706" i="1" s="1"/>
  <c r="O706" i="1" s="1"/>
  <c r="L707" i="1"/>
  <c r="M707" i="1" s="1"/>
  <c r="N707" i="1" s="1"/>
  <c r="O707" i="1" s="1"/>
  <c r="L708" i="1"/>
  <c r="M708" i="1" s="1"/>
  <c r="N708" i="1" s="1"/>
  <c r="O708" i="1" s="1"/>
  <c r="L709" i="1"/>
  <c r="M709" i="1" s="1"/>
  <c r="N709" i="1" s="1"/>
  <c r="O709" i="1" s="1"/>
  <c r="L710" i="1"/>
  <c r="M710" i="1" s="1"/>
  <c r="N710" i="1" s="1"/>
  <c r="O710" i="1" s="1"/>
  <c r="L711" i="1"/>
  <c r="M711" i="1" s="1"/>
  <c r="N711" i="1" s="1"/>
  <c r="O711" i="1" s="1"/>
  <c r="L712" i="1"/>
  <c r="M712" i="1" s="1"/>
  <c r="N712" i="1" s="1"/>
  <c r="O712" i="1" s="1"/>
  <c r="L713" i="1"/>
  <c r="M713" i="1" s="1"/>
  <c r="N713" i="1" s="1"/>
  <c r="O713" i="1" s="1"/>
  <c r="L714" i="1"/>
  <c r="M714" i="1" s="1"/>
  <c r="N714" i="1" s="1"/>
  <c r="O714" i="1" s="1"/>
  <c r="L715" i="1"/>
  <c r="M715" i="1" s="1"/>
  <c r="N715" i="1" s="1"/>
  <c r="O715" i="1" s="1"/>
  <c r="L716" i="1"/>
  <c r="M716" i="1" s="1"/>
  <c r="N716" i="1" s="1"/>
  <c r="O716" i="1" s="1"/>
  <c r="L717" i="1"/>
  <c r="M717" i="1" s="1"/>
  <c r="N717" i="1" s="1"/>
  <c r="O717" i="1" s="1"/>
  <c r="L718" i="1"/>
  <c r="M718" i="1" s="1"/>
  <c r="N718" i="1" s="1"/>
  <c r="O718" i="1" s="1"/>
  <c r="L719" i="1"/>
  <c r="M719" i="1" s="1"/>
  <c r="N719" i="1" s="1"/>
  <c r="O719" i="1" s="1"/>
  <c r="L720" i="1"/>
  <c r="M720" i="1" s="1"/>
  <c r="N720" i="1" s="1"/>
  <c r="O720" i="1" s="1"/>
  <c r="L721" i="1"/>
  <c r="M721" i="1" s="1"/>
  <c r="N721" i="1" s="1"/>
  <c r="O721" i="1" s="1"/>
  <c r="L722" i="1"/>
  <c r="M722" i="1" s="1"/>
  <c r="N722" i="1" s="1"/>
  <c r="O722" i="1" s="1"/>
  <c r="L723" i="1"/>
  <c r="M723" i="1" s="1"/>
  <c r="N723" i="1" s="1"/>
  <c r="O723" i="1" s="1"/>
  <c r="L724" i="1"/>
  <c r="M724" i="1" s="1"/>
  <c r="N724" i="1" s="1"/>
  <c r="O724" i="1" s="1"/>
  <c r="L725" i="1"/>
  <c r="M725" i="1" s="1"/>
  <c r="N725" i="1" s="1"/>
  <c r="O725" i="1" s="1"/>
  <c r="L726" i="1"/>
  <c r="M726" i="1" s="1"/>
  <c r="N726" i="1" s="1"/>
  <c r="O726" i="1" s="1"/>
  <c r="L727" i="1"/>
  <c r="M727" i="1" s="1"/>
  <c r="N727" i="1" s="1"/>
  <c r="O727" i="1" s="1"/>
  <c r="L728" i="1"/>
  <c r="M728" i="1" s="1"/>
  <c r="N728" i="1" s="1"/>
  <c r="O728" i="1" s="1"/>
  <c r="L729" i="1"/>
  <c r="M729" i="1" s="1"/>
  <c r="N729" i="1" s="1"/>
  <c r="O729" i="1" s="1"/>
  <c r="L730" i="1"/>
  <c r="M730" i="1" s="1"/>
  <c r="N730" i="1" s="1"/>
  <c r="O730" i="1" s="1"/>
  <c r="L731" i="1"/>
  <c r="M731" i="1" s="1"/>
  <c r="N731" i="1" s="1"/>
  <c r="O731" i="1" s="1"/>
  <c r="L732" i="1"/>
  <c r="M732" i="1" s="1"/>
  <c r="N732" i="1" s="1"/>
  <c r="O732" i="1" s="1"/>
  <c r="L733" i="1"/>
  <c r="M733" i="1" s="1"/>
  <c r="N733" i="1" s="1"/>
  <c r="O733" i="1" s="1"/>
  <c r="L734" i="1"/>
  <c r="M734" i="1" s="1"/>
  <c r="N734" i="1" s="1"/>
  <c r="O734" i="1" s="1"/>
  <c r="L735" i="1"/>
  <c r="M735" i="1" s="1"/>
  <c r="N735" i="1" s="1"/>
  <c r="O735" i="1" s="1"/>
  <c r="L736" i="1"/>
  <c r="M736" i="1" s="1"/>
  <c r="N736" i="1" s="1"/>
  <c r="O736" i="1" s="1"/>
  <c r="L737" i="1"/>
  <c r="M737" i="1" s="1"/>
  <c r="N737" i="1" s="1"/>
  <c r="O737" i="1" s="1"/>
  <c r="L738" i="1"/>
  <c r="M738" i="1" s="1"/>
  <c r="N738" i="1" s="1"/>
  <c r="O738" i="1" s="1"/>
  <c r="L739" i="1"/>
  <c r="M739" i="1" s="1"/>
  <c r="N739" i="1" s="1"/>
  <c r="O739" i="1" s="1"/>
  <c r="L740" i="1"/>
  <c r="M740" i="1" s="1"/>
  <c r="N740" i="1" s="1"/>
  <c r="O740" i="1" s="1"/>
  <c r="L741" i="1"/>
  <c r="M741" i="1" s="1"/>
  <c r="N741" i="1" s="1"/>
  <c r="O741" i="1" s="1"/>
  <c r="L742" i="1"/>
  <c r="M742" i="1" s="1"/>
  <c r="N742" i="1" s="1"/>
  <c r="O742" i="1" s="1"/>
  <c r="L743" i="1"/>
  <c r="M743" i="1" s="1"/>
  <c r="N743" i="1" s="1"/>
  <c r="O743" i="1" s="1"/>
  <c r="L744" i="1"/>
  <c r="M744" i="1" s="1"/>
  <c r="N744" i="1" s="1"/>
  <c r="O744" i="1" s="1"/>
  <c r="L745" i="1"/>
  <c r="M745" i="1" s="1"/>
  <c r="N745" i="1" s="1"/>
  <c r="O745" i="1" s="1"/>
  <c r="L746" i="1"/>
  <c r="M746" i="1" s="1"/>
  <c r="N746" i="1" s="1"/>
  <c r="O746" i="1" s="1"/>
  <c r="L747" i="1"/>
  <c r="M747" i="1" s="1"/>
  <c r="N747" i="1" s="1"/>
  <c r="O747" i="1" s="1"/>
  <c r="L748" i="1"/>
  <c r="M748" i="1" s="1"/>
  <c r="N748" i="1" s="1"/>
  <c r="O748" i="1" s="1"/>
  <c r="L749" i="1"/>
  <c r="M749" i="1" s="1"/>
  <c r="N749" i="1" s="1"/>
  <c r="O749" i="1" s="1"/>
  <c r="L750" i="1"/>
  <c r="M750" i="1" s="1"/>
  <c r="N750" i="1" s="1"/>
  <c r="O750" i="1" s="1"/>
  <c r="L751" i="1"/>
  <c r="M751" i="1" s="1"/>
  <c r="N751" i="1" s="1"/>
  <c r="O751" i="1" s="1"/>
  <c r="L752" i="1"/>
  <c r="M752" i="1" s="1"/>
  <c r="N752" i="1" s="1"/>
  <c r="O752" i="1" s="1"/>
  <c r="L753" i="1"/>
  <c r="M753" i="1" s="1"/>
  <c r="N753" i="1" s="1"/>
  <c r="O753" i="1" s="1"/>
  <c r="L754" i="1"/>
  <c r="M754" i="1" s="1"/>
  <c r="N754" i="1" s="1"/>
  <c r="O754" i="1" s="1"/>
  <c r="L755" i="1"/>
  <c r="M755" i="1" s="1"/>
  <c r="N755" i="1" s="1"/>
  <c r="O755" i="1" s="1"/>
  <c r="L756" i="1"/>
  <c r="M756" i="1" s="1"/>
  <c r="N756" i="1" s="1"/>
  <c r="O756" i="1" s="1"/>
  <c r="L757" i="1"/>
  <c r="M757" i="1" s="1"/>
  <c r="N757" i="1" s="1"/>
  <c r="O757" i="1" s="1"/>
  <c r="L758" i="1"/>
  <c r="M758" i="1" s="1"/>
  <c r="N758" i="1" s="1"/>
  <c r="O758" i="1" s="1"/>
  <c r="L759" i="1"/>
  <c r="M759" i="1" s="1"/>
  <c r="N759" i="1" s="1"/>
  <c r="O759" i="1" s="1"/>
  <c r="L760" i="1"/>
  <c r="M760" i="1" s="1"/>
  <c r="N760" i="1" s="1"/>
  <c r="O760" i="1" s="1"/>
  <c r="L761" i="1"/>
  <c r="M761" i="1" s="1"/>
  <c r="N761" i="1" s="1"/>
  <c r="O761" i="1" s="1"/>
  <c r="L762" i="1"/>
  <c r="M762" i="1" s="1"/>
  <c r="N762" i="1" s="1"/>
  <c r="O762" i="1" s="1"/>
  <c r="L763" i="1"/>
  <c r="M763" i="1" s="1"/>
  <c r="N763" i="1" s="1"/>
  <c r="O763" i="1" s="1"/>
  <c r="L764" i="1"/>
  <c r="M764" i="1" s="1"/>
  <c r="N764" i="1" s="1"/>
  <c r="O764" i="1" s="1"/>
  <c r="L765" i="1"/>
  <c r="M765" i="1" s="1"/>
  <c r="N765" i="1" s="1"/>
  <c r="O765" i="1" s="1"/>
  <c r="L766" i="1"/>
  <c r="M766" i="1" s="1"/>
  <c r="N766" i="1" s="1"/>
  <c r="O766" i="1" s="1"/>
  <c r="L767" i="1"/>
  <c r="M767" i="1" s="1"/>
  <c r="N767" i="1" s="1"/>
  <c r="O767" i="1" s="1"/>
  <c r="L768" i="1"/>
  <c r="M768" i="1" s="1"/>
  <c r="N768" i="1" s="1"/>
  <c r="O768" i="1" s="1"/>
  <c r="L769" i="1"/>
  <c r="M769" i="1" s="1"/>
  <c r="N769" i="1" s="1"/>
  <c r="O769" i="1" s="1"/>
  <c r="L770" i="1"/>
  <c r="M770" i="1" s="1"/>
  <c r="N770" i="1" s="1"/>
  <c r="O770" i="1" s="1"/>
  <c r="L771" i="1"/>
  <c r="M771" i="1" s="1"/>
  <c r="N771" i="1" s="1"/>
  <c r="O771" i="1" s="1"/>
  <c r="L772" i="1"/>
  <c r="M772" i="1" s="1"/>
  <c r="N772" i="1" s="1"/>
  <c r="O772" i="1" s="1"/>
  <c r="L773" i="1"/>
  <c r="M773" i="1" s="1"/>
  <c r="N773" i="1" s="1"/>
  <c r="O773" i="1" s="1"/>
  <c r="L774" i="1"/>
  <c r="M774" i="1" s="1"/>
  <c r="N774" i="1" s="1"/>
  <c r="O774" i="1" s="1"/>
  <c r="L775" i="1"/>
  <c r="M775" i="1" s="1"/>
  <c r="N775" i="1" s="1"/>
  <c r="O775" i="1" s="1"/>
  <c r="L776" i="1"/>
  <c r="M776" i="1" s="1"/>
  <c r="N776" i="1" s="1"/>
  <c r="O776" i="1" s="1"/>
  <c r="L777" i="1"/>
  <c r="M777" i="1" s="1"/>
  <c r="N777" i="1" s="1"/>
  <c r="O777" i="1" s="1"/>
  <c r="L778" i="1"/>
  <c r="M778" i="1" s="1"/>
  <c r="N778" i="1" s="1"/>
  <c r="O778" i="1" s="1"/>
  <c r="L779" i="1"/>
  <c r="M779" i="1" s="1"/>
  <c r="N779" i="1" s="1"/>
  <c r="O779" i="1" s="1"/>
  <c r="L780" i="1"/>
  <c r="M780" i="1" s="1"/>
  <c r="N780" i="1" s="1"/>
  <c r="O780" i="1" s="1"/>
  <c r="L781" i="1"/>
  <c r="M781" i="1" s="1"/>
  <c r="N781" i="1" s="1"/>
  <c r="O781" i="1" s="1"/>
  <c r="L782" i="1"/>
  <c r="M782" i="1" s="1"/>
  <c r="N782" i="1" s="1"/>
  <c r="O782" i="1" s="1"/>
  <c r="L783" i="1"/>
  <c r="M783" i="1" s="1"/>
  <c r="N783" i="1" s="1"/>
  <c r="O783" i="1" s="1"/>
  <c r="L784" i="1"/>
  <c r="M784" i="1" s="1"/>
  <c r="N784" i="1" s="1"/>
  <c r="O784" i="1" s="1"/>
  <c r="L785" i="1"/>
  <c r="M785" i="1" s="1"/>
  <c r="N785" i="1" s="1"/>
  <c r="O785" i="1" s="1"/>
  <c r="L786" i="1"/>
  <c r="M786" i="1" s="1"/>
  <c r="N786" i="1" s="1"/>
  <c r="O786" i="1" s="1"/>
  <c r="L787" i="1"/>
  <c r="M787" i="1" s="1"/>
  <c r="N787" i="1" s="1"/>
  <c r="O787" i="1" s="1"/>
  <c r="L788" i="1"/>
  <c r="M788" i="1" s="1"/>
  <c r="N788" i="1" s="1"/>
  <c r="O788" i="1" s="1"/>
  <c r="L789" i="1"/>
  <c r="M789" i="1" s="1"/>
  <c r="N789" i="1" s="1"/>
  <c r="O789" i="1" s="1"/>
  <c r="L790" i="1"/>
  <c r="M790" i="1" s="1"/>
  <c r="N790" i="1" s="1"/>
  <c r="O790" i="1" s="1"/>
  <c r="L791" i="1"/>
  <c r="M791" i="1" s="1"/>
  <c r="N791" i="1" s="1"/>
  <c r="O791" i="1" s="1"/>
  <c r="L792" i="1"/>
  <c r="M792" i="1" s="1"/>
  <c r="N792" i="1" s="1"/>
  <c r="O792" i="1" s="1"/>
  <c r="L793" i="1"/>
  <c r="M793" i="1" s="1"/>
  <c r="N793" i="1" s="1"/>
  <c r="O793" i="1" s="1"/>
  <c r="L794" i="1"/>
  <c r="M794" i="1" s="1"/>
  <c r="N794" i="1" s="1"/>
  <c r="O794" i="1" s="1"/>
  <c r="L795" i="1"/>
  <c r="M795" i="1" s="1"/>
  <c r="N795" i="1" s="1"/>
  <c r="O795" i="1" s="1"/>
  <c r="L796" i="1"/>
  <c r="M796" i="1" s="1"/>
  <c r="N796" i="1" s="1"/>
  <c r="O796" i="1" s="1"/>
  <c r="L797" i="1"/>
  <c r="M797" i="1" s="1"/>
  <c r="N797" i="1" s="1"/>
  <c r="O797" i="1" s="1"/>
  <c r="L798" i="1"/>
  <c r="M798" i="1" s="1"/>
  <c r="N798" i="1" s="1"/>
  <c r="O798" i="1" s="1"/>
  <c r="L799" i="1"/>
  <c r="M799" i="1" s="1"/>
  <c r="N799" i="1" s="1"/>
  <c r="O799" i="1" s="1"/>
  <c r="L800" i="1"/>
  <c r="M800" i="1" s="1"/>
  <c r="N800" i="1" s="1"/>
  <c r="O800" i="1" s="1"/>
  <c r="L801" i="1"/>
  <c r="M801" i="1" s="1"/>
  <c r="N801" i="1" s="1"/>
  <c r="O801" i="1" s="1"/>
  <c r="L802" i="1"/>
  <c r="M802" i="1" s="1"/>
  <c r="N802" i="1" s="1"/>
  <c r="O802" i="1" s="1"/>
  <c r="L803" i="1"/>
  <c r="M803" i="1" s="1"/>
  <c r="N803" i="1" s="1"/>
  <c r="O803" i="1" s="1"/>
  <c r="L804" i="1"/>
  <c r="M804" i="1" s="1"/>
  <c r="N804" i="1" s="1"/>
  <c r="O804" i="1" s="1"/>
  <c r="L805" i="1"/>
  <c r="M805" i="1" s="1"/>
  <c r="N805" i="1" s="1"/>
  <c r="O805" i="1" s="1"/>
  <c r="L806" i="1"/>
  <c r="M806" i="1" s="1"/>
  <c r="N806" i="1" s="1"/>
  <c r="O806" i="1" s="1"/>
  <c r="L807" i="1"/>
  <c r="M807" i="1" s="1"/>
  <c r="N807" i="1" s="1"/>
  <c r="O807" i="1" s="1"/>
  <c r="L808" i="1"/>
  <c r="M808" i="1" s="1"/>
  <c r="N808" i="1" s="1"/>
  <c r="O808" i="1" s="1"/>
  <c r="L809" i="1"/>
  <c r="M809" i="1" s="1"/>
  <c r="N809" i="1" s="1"/>
  <c r="O809" i="1" s="1"/>
  <c r="L810" i="1"/>
  <c r="M810" i="1" s="1"/>
  <c r="N810" i="1" s="1"/>
  <c r="O810" i="1" s="1"/>
  <c r="L811" i="1"/>
  <c r="M811" i="1" s="1"/>
  <c r="N811" i="1" s="1"/>
  <c r="O811" i="1" s="1"/>
  <c r="L812" i="1"/>
  <c r="M812" i="1" s="1"/>
  <c r="N812" i="1" s="1"/>
  <c r="O812" i="1" s="1"/>
  <c r="L813" i="1"/>
  <c r="M813" i="1" s="1"/>
  <c r="N813" i="1" s="1"/>
  <c r="O813" i="1" s="1"/>
  <c r="L814" i="1"/>
  <c r="M814" i="1" s="1"/>
  <c r="N814" i="1" s="1"/>
  <c r="O814" i="1" s="1"/>
  <c r="L815" i="1"/>
  <c r="M815" i="1" s="1"/>
  <c r="N815" i="1" s="1"/>
  <c r="O815" i="1" s="1"/>
  <c r="L816" i="1"/>
  <c r="M816" i="1" s="1"/>
  <c r="N816" i="1" s="1"/>
  <c r="O816" i="1" s="1"/>
  <c r="L817" i="1"/>
  <c r="M817" i="1" s="1"/>
  <c r="N817" i="1" s="1"/>
  <c r="O817" i="1" s="1"/>
  <c r="L818" i="1"/>
  <c r="M818" i="1" s="1"/>
  <c r="N818" i="1" s="1"/>
  <c r="O818" i="1" s="1"/>
  <c r="L819" i="1"/>
  <c r="M819" i="1" s="1"/>
  <c r="N819" i="1" s="1"/>
  <c r="O819" i="1" s="1"/>
  <c r="L820" i="1"/>
  <c r="M820" i="1" s="1"/>
  <c r="N820" i="1" s="1"/>
  <c r="O820" i="1" s="1"/>
  <c r="L821" i="1"/>
  <c r="M821" i="1" s="1"/>
  <c r="N821" i="1" s="1"/>
  <c r="O821" i="1" s="1"/>
  <c r="L822" i="1"/>
  <c r="M822" i="1" s="1"/>
  <c r="N822" i="1" s="1"/>
  <c r="O822" i="1" s="1"/>
  <c r="L823" i="1"/>
  <c r="M823" i="1" s="1"/>
  <c r="N823" i="1" s="1"/>
  <c r="O823" i="1" s="1"/>
  <c r="L824" i="1"/>
  <c r="M824" i="1" s="1"/>
  <c r="N824" i="1" s="1"/>
  <c r="O824" i="1" s="1"/>
  <c r="L825" i="1"/>
  <c r="M825" i="1" s="1"/>
  <c r="N825" i="1" s="1"/>
  <c r="O825" i="1" s="1"/>
  <c r="L826" i="1"/>
  <c r="M826" i="1" s="1"/>
  <c r="N826" i="1" s="1"/>
  <c r="O826" i="1" s="1"/>
  <c r="L827" i="1"/>
  <c r="M827" i="1" s="1"/>
  <c r="N827" i="1" s="1"/>
  <c r="O827" i="1" s="1"/>
  <c r="L828" i="1"/>
  <c r="M828" i="1" s="1"/>
  <c r="N828" i="1" s="1"/>
  <c r="O828" i="1" s="1"/>
  <c r="L829" i="1"/>
  <c r="M829" i="1" s="1"/>
  <c r="N829" i="1" s="1"/>
  <c r="O829" i="1" s="1"/>
  <c r="L830" i="1"/>
  <c r="M830" i="1" s="1"/>
  <c r="N830" i="1" s="1"/>
  <c r="O830" i="1" s="1"/>
  <c r="L831" i="1"/>
  <c r="M831" i="1" s="1"/>
  <c r="N831" i="1" s="1"/>
  <c r="O831" i="1" s="1"/>
  <c r="L832" i="1"/>
  <c r="M832" i="1" s="1"/>
  <c r="N832" i="1" s="1"/>
  <c r="O832" i="1" s="1"/>
  <c r="L833" i="1"/>
  <c r="M833" i="1" s="1"/>
  <c r="N833" i="1" s="1"/>
  <c r="O833" i="1" s="1"/>
  <c r="L834" i="1"/>
  <c r="M834" i="1" s="1"/>
  <c r="N834" i="1" s="1"/>
  <c r="O834" i="1" s="1"/>
  <c r="L835" i="1"/>
  <c r="M835" i="1" s="1"/>
  <c r="N835" i="1" s="1"/>
  <c r="O835" i="1" s="1"/>
  <c r="L836" i="1"/>
  <c r="M836" i="1" s="1"/>
  <c r="N836" i="1" s="1"/>
  <c r="O836" i="1" s="1"/>
  <c r="L837" i="1"/>
  <c r="M837" i="1" s="1"/>
  <c r="N837" i="1" s="1"/>
  <c r="O837" i="1" s="1"/>
  <c r="L838" i="1"/>
  <c r="M838" i="1" s="1"/>
  <c r="N838" i="1" s="1"/>
  <c r="O838" i="1" s="1"/>
  <c r="L839" i="1"/>
  <c r="M839" i="1" s="1"/>
  <c r="N839" i="1" s="1"/>
  <c r="O839" i="1" s="1"/>
  <c r="L840" i="1"/>
  <c r="M840" i="1" s="1"/>
  <c r="N840" i="1" s="1"/>
  <c r="O840" i="1" s="1"/>
  <c r="L841" i="1"/>
  <c r="M841" i="1" s="1"/>
  <c r="N841" i="1" s="1"/>
  <c r="O841" i="1" s="1"/>
  <c r="L842" i="1"/>
  <c r="M842" i="1" s="1"/>
  <c r="N842" i="1" s="1"/>
  <c r="O842" i="1" s="1"/>
  <c r="L843" i="1"/>
  <c r="M843" i="1" s="1"/>
  <c r="N843" i="1" s="1"/>
  <c r="O843" i="1" s="1"/>
  <c r="L844" i="1"/>
  <c r="M844" i="1" s="1"/>
  <c r="N844" i="1" s="1"/>
  <c r="O844" i="1" s="1"/>
  <c r="L845" i="1"/>
  <c r="M845" i="1" s="1"/>
  <c r="N845" i="1" s="1"/>
  <c r="O845" i="1" s="1"/>
  <c r="L846" i="1"/>
  <c r="M846" i="1" s="1"/>
  <c r="N846" i="1" s="1"/>
  <c r="O846" i="1" s="1"/>
  <c r="L847" i="1"/>
  <c r="M847" i="1" s="1"/>
  <c r="N847" i="1" s="1"/>
  <c r="O847" i="1" s="1"/>
  <c r="L848" i="1"/>
  <c r="M848" i="1" s="1"/>
  <c r="N848" i="1" s="1"/>
  <c r="O848" i="1" s="1"/>
  <c r="L849" i="1"/>
  <c r="M849" i="1" s="1"/>
  <c r="N849" i="1" s="1"/>
  <c r="O849" i="1" s="1"/>
  <c r="L850" i="1"/>
  <c r="M850" i="1" s="1"/>
  <c r="N850" i="1" s="1"/>
  <c r="O850" i="1" s="1"/>
  <c r="L851" i="1"/>
  <c r="M851" i="1" s="1"/>
  <c r="N851" i="1" s="1"/>
  <c r="O851" i="1" s="1"/>
  <c r="L852" i="1"/>
  <c r="M852" i="1" s="1"/>
  <c r="N852" i="1" s="1"/>
  <c r="O852" i="1" s="1"/>
  <c r="L853" i="1"/>
  <c r="M853" i="1" s="1"/>
  <c r="N853" i="1" s="1"/>
  <c r="O853" i="1" s="1"/>
  <c r="L854" i="1"/>
  <c r="M854" i="1" s="1"/>
  <c r="N854" i="1" s="1"/>
  <c r="O854" i="1" s="1"/>
  <c r="L855" i="1"/>
  <c r="M855" i="1" s="1"/>
  <c r="N855" i="1" s="1"/>
  <c r="O855" i="1" s="1"/>
  <c r="L856" i="1"/>
  <c r="M856" i="1" s="1"/>
  <c r="N856" i="1" s="1"/>
  <c r="O856" i="1" s="1"/>
  <c r="L857" i="1"/>
  <c r="M857" i="1" s="1"/>
  <c r="N857" i="1" s="1"/>
  <c r="O857" i="1" s="1"/>
  <c r="L858" i="1"/>
  <c r="M858" i="1" s="1"/>
  <c r="N858" i="1" s="1"/>
  <c r="O858" i="1" s="1"/>
  <c r="L859" i="1"/>
  <c r="M859" i="1" s="1"/>
  <c r="N859" i="1" s="1"/>
  <c r="O859" i="1" s="1"/>
  <c r="L860" i="1"/>
  <c r="M860" i="1" s="1"/>
  <c r="N860" i="1" s="1"/>
  <c r="O860" i="1" s="1"/>
  <c r="L861" i="1"/>
  <c r="M861" i="1" s="1"/>
  <c r="N861" i="1" s="1"/>
  <c r="O861" i="1" s="1"/>
  <c r="L862" i="1"/>
  <c r="M862" i="1" s="1"/>
  <c r="N862" i="1" s="1"/>
  <c r="O862" i="1" s="1"/>
  <c r="L863" i="1"/>
  <c r="M863" i="1" s="1"/>
  <c r="N863" i="1" s="1"/>
  <c r="O863" i="1" s="1"/>
  <c r="L864" i="1"/>
  <c r="M864" i="1" s="1"/>
  <c r="N864" i="1" s="1"/>
  <c r="O864" i="1" s="1"/>
  <c r="L865" i="1"/>
  <c r="M865" i="1" s="1"/>
  <c r="N865" i="1" s="1"/>
  <c r="O865" i="1" s="1"/>
  <c r="L866" i="1"/>
  <c r="M866" i="1" s="1"/>
  <c r="N866" i="1" s="1"/>
  <c r="O866" i="1" s="1"/>
  <c r="L867" i="1"/>
  <c r="M867" i="1" s="1"/>
  <c r="N867" i="1" s="1"/>
  <c r="O867" i="1" s="1"/>
  <c r="L868" i="1"/>
  <c r="M868" i="1" s="1"/>
  <c r="N868" i="1" s="1"/>
  <c r="O868" i="1" s="1"/>
  <c r="L869" i="1"/>
  <c r="M869" i="1" s="1"/>
  <c r="N869" i="1" s="1"/>
  <c r="O869" i="1" s="1"/>
  <c r="L870" i="1"/>
  <c r="M870" i="1" s="1"/>
  <c r="N870" i="1" s="1"/>
  <c r="O870" i="1" s="1"/>
  <c r="L871" i="1"/>
  <c r="M871" i="1" s="1"/>
  <c r="N871" i="1" s="1"/>
  <c r="O871" i="1" s="1"/>
  <c r="L872" i="1"/>
  <c r="M872" i="1" s="1"/>
  <c r="N872" i="1" s="1"/>
  <c r="O872" i="1" s="1"/>
  <c r="L873" i="1"/>
  <c r="M873" i="1" s="1"/>
  <c r="N873" i="1" s="1"/>
  <c r="O873" i="1" s="1"/>
  <c r="L874" i="1"/>
  <c r="M874" i="1" s="1"/>
  <c r="N874" i="1" s="1"/>
  <c r="O874" i="1" s="1"/>
  <c r="L875" i="1"/>
  <c r="M875" i="1" s="1"/>
  <c r="N875" i="1" s="1"/>
  <c r="O875" i="1" s="1"/>
  <c r="L876" i="1"/>
  <c r="M876" i="1" s="1"/>
  <c r="N876" i="1" s="1"/>
  <c r="O876" i="1" s="1"/>
  <c r="L877" i="1"/>
  <c r="M877" i="1" s="1"/>
  <c r="N877" i="1" s="1"/>
  <c r="O877" i="1" s="1"/>
  <c r="L878" i="1"/>
  <c r="M878" i="1" s="1"/>
  <c r="N878" i="1" s="1"/>
  <c r="O878" i="1" s="1"/>
  <c r="L879" i="1"/>
  <c r="M879" i="1" s="1"/>
  <c r="N879" i="1" s="1"/>
  <c r="O879" i="1" s="1"/>
  <c r="L880" i="1"/>
  <c r="M880" i="1" s="1"/>
  <c r="N880" i="1" s="1"/>
  <c r="O880" i="1" s="1"/>
  <c r="L881" i="1"/>
  <c r="M881" i="1" s="1"/>
  <c r="N881" i="1" s="1"/>
  <c r="O881" i="1" s="1"/>
  <c r="L882" i="1"/>
  <c r="M882" i="1" s="1"/>
  <c r="N882" i="1" s="1"/>
  <c r="O882" i="1" s="1"/>
  <c r="L883" i="1"/>
  <c r="M883" i="1" s="1"/>
  <c r="N883" i="1" s="1"/>
  <c r="O883" i="1" s="1"/>
  <c r="L884" i="1"/>
  <c r="M884" i="1" s="1"/>
  <c r="N884" i="1" s="1"/>
  <c r="O884" i="1" s="1"/>
  <c r="L885" i="1"/>
  <c r="M885" i="1" s="1"/>
  <c r="N885" i="1" s="1"/>
  <c r="O885" i="1" s="1"/>
  <c r="L886" i="1"/>
  <c r="M886" i="1" s="1"/>
  <c r="N886" i="1" s="1"/>
  <c r="O886" i="1" s="1"/>
  <c r="L887" i="1"/>
  <c r="M887" i="1" s="1"/>
  <c r="N887" i="1" s="1"/>
  <c r="O887" i="1" s="1"/>
  <c r="L888" i="1"/>
  <c r="M888" i="1" s="1"/>
  <c r="N888" i="1" s="1"/>
  <c r="O888" i="1" s="1"/>
  <c r="L889" i="1"/>
  <c r="M889" i="1" s="1"/>
  <c r="N889" i="1" s="1"/>
  <c r="O889" i="1" s="1"/>
  <c r="L890" i="1"/>
  <c r="M890" i="1" s="1"/>
  <c r="N890" i="1" s="1"/>
  <c r="O890" i="1" s="1"/>
  <c r="L891" i="1"/>
  <c r="M891" i="1" s="1"/>
  <c r="N891" i="1" s="1"/>
  <c r="O891" i="1" s="1"/>
  <c r="L892" i="1"/>
  <c r="M892" i="1" s="1"/>
  <c r="N892" i="1" s="1"/>
  <c r="O892" i="1" s="1"/>
  <c r="L893" i="1"/>
  <c r="M893" i="1" s="1"/>
  <c r="N893" i="1" s="1"/>
  <c r="O893" i="1" s="1"/>
  <c r="L894" i="1"/>
  <c r="M894" i="1" s="1"/>
  <c r="N894" i="1" s="1"/>
  <c r="O894" i="1" s="1"/>
  <c r="L895" i="1"/>
  <c r="M895" i="1" s="1"/>
  <c r="N895" i="1" s="1"/>
  <c r="O895" i="1" s="1"/>
  <c r="L896" i="1"/>
  <c r="M896" i="1" s="1"/>
  <c r="N896" i="1" s="1"/>
  <c r="O896" i="1" s="1"/>
  <c r="L897" i="1"/>
  <c r="M897" i="1" s="1"/>
  <c r="N897" i="1" s="1"/>
  <c r="O897" i="1" s="1"/>
  <c r="L898" i="1"/>
  <c r="M898" i="1" s="1"/>
  <c r="N898" i="1" s="1"/>
  <c r="O898" i="1" s="1"/>
  <c r="L899" i="1"/>
  <c r="M899" i="1" s="1"/>
  <c r="N899" i="1" s="1"/>
  <c r="O899" i="1" s="1"/>
  <c r="L900" i="1"/>
  <c r="M900" i="1" s="1"/>
  <c r="N900" i="1" s="1"/>
  <c r="O900" i="1" s="1"/>
  <c r="L901" i="1"/>
  <c r="M901" i="1" s="1"/>
  <c r="N901" i="1" s="1"/>
  <c r="O901" i="1" s="1"/>
  <c r="L902" i="1"/>
  <c r="M902" i="1" s="1"/>
  <c r="N902" i="1" s="1"/>
  <c r="O902" i="1" s="1"/>
  <c r="L903" i="1"/>
  <c r="M903" i="1" s="1"/>
  <c r="N903" i="1" s="1"/>
  <c r="O903" i="1" s="1"/>
  <c r="L904" i="1"/>
  <c r="M904" i="1" s="1"/>
  <c r="N904" i="1" s="1"/>
  <c r="O904" i="1" s="1"/>
  <c r="L905" i="1"/>
  <c r="M905" i="1" s="1"/>
  <c r="N905" i="1" s="1"/>
  <c r="O905" i="1" s="1"/>
  <c r="L906" i="1"/>
  <c r="M906" i="1" s="1"/>
  <c r="N906" i="1" s="1"/>
  <c r="O906" i="1" s="1"/>
  <c r="L907" i="1"/>
  <c r="M907" i="1" s="1"/>
  <c r="N907" i="1" s="1"/>
  <c r="O907" i="1" s="1"/>
  <c r="L908" i="1"/>
  <c r="M908" i="1" s="1"/>
  <c r="N908" i="1" s="1"/>
  <c r="O908" i="1" s="1"/>
  <c r="L909" i="1"/>
  <c r="M909" i="1" s="1"/>
  <c r="N909" i="1" s="1"/>
  <c r="O909" i="1" s="1"/>
  <c r="L910" i="1"/>
  <c r="M910" i="1" s="1"/>
  <c r="N910" i="1" s="1"/>
  <c r="O910" i="1" s="1"/>
  <c r="L911" i="1"/>
  <c r="M911" i="1" s="1"/>
  <c r="N911" i="1" s="1"/>
  <c r="O911" i="1" s="1"/>
  <c r="L912" i="1"/>
  <c r="M912" i="1" s="1"/>
  <c r="N912" i="1" s="1"/>
  <c r="O912" i="1" s="1"/>
  <c r="L913" i="1"/>
  <c r="M913" i="1" s="1"/>
  <c r="N913" i="1" s="1"/>
  <c r="O913" i="1" s="1"/>
  <c r="L914" i="1"/>
  <c r="M914" i="1" s="1"/>
  <c r="N914" i="1" s="1"/>
  <c r="O914" i="1" s="1"/>
  <c r="L915" i="1"/>
  <c r="M915" i="1" s="1"/>
  <c r="N915" i="1" s="1"/>
  <c r="O915" i="1" s="1"/>
  <c r="L916" i="1"/>
  <c r="M916" i="1" s="1"/>
  <c r="N916" i="1" s="1"/>
  <c r="O916" i="1" s="1"/>
  <c r="L917" i="1"/>
  <c r="M917" i="1" s="1"/>
  <c r="N917" i="1" s="1"/>
  <c r="O917" i="1" s="1"/>
  <c r="L918" i="1"/>
  <c r="M918" i="1" s="1"/>
  <c r="N918" i="1" s="1"/>
  <c r="O918" i="1" s="1"/>
  <c r="L919" i="1"/>
  <c r="M919" i="1" s="1"/>
  <c r="N919" i="1" s="1"/>
  <c r="O919" i="1" s="1"/>
  <c r="L920" i="1"/>
  <c r="M920" i="1" s="1"/>
  <c r="N920" i="1" s="1"/>
  <c r="O920" i="1" s="1"/>
  <c r="L921" i="1"/>
  <c r="M921" i="1" s="1"/>
  <c r="N921" i="1" s="1"/>
  <c r="O921" i="1" s="1"/>
  <c r="L922" i="1"/>
  <c r="M922" i="1" s="1"/>
  <c r="N922" i="1" s="1"/>
  <c r="O922" i="1" s="1"/>
  <c r="L923" i="1"/>
  <c r="M923" i="1" s="1"/>
  <c r="N923" i="1" s="1"/>
  <c r="O923" i="1" s="1"/>
  <c r="L924" i="1"/>
  <c r="M924" i="1" s="1"/>
  <c r="N924" i="1" s="1"/>
  <c r="O924" i="1" s="1"/>
  <c r="L925" i="1"/>
  <c r="M925" i="1" s="1"/>
  <c r="N925" i="1" s="1"/>
  <c r="O925" i="1" s="1"/>
  <c r="L926" i="1"/>
  <c r="M926" i="1" s="1"/>
  <c r="N926" i="1" s="1"/>
  <c r="O926" i="1" s="1"/>
  <c r="L927" i="1"/>
  <c r="M927" i="1" s="1"/>
  <c r="N927" i="1" s="1"/>
  <c r="O927" i="1" s="1"/>
  <c r="L928" i="1"/>
  <c r="M928" i="1" s="1"/>
  <c r="N928" i="1" s="1"/>
  <c r="O928" i="1" s="1"/>
  <c r="L929" i="1"/>
  <c r="M929" i="1" s="1"/>
  <c r="N929" i="1" s="1"/>
  <c r="O929" i="1" s="1"/>
  <c r="L930" i="1"/>
  <c r="M930" i="1" s="1"/>
  <c r="N930" i="1" s="1"/>
  <c r="O930" i="1" s="1"/>
  <c r="L931" i="1"/>
  <c r="M931" i="1" s="1"/>
  <c r="N931" i="1" s="1"/>
  <c r="O931" i="1" s="1"/>
  <c r="L932" i="1"/>
  <c r="M932" i="1" s="1"/>
  <c r="N932" i="1" s="1"/>
  <c r="O932" i="1" s="1"/>
  <c r="L933" i="1"/>
  <c r="M933" i="1" s="1"/>
  <c r="N933" i="1" s="1"/>
  <c r="O933" i="1" s="1"/>
  <c r="L934" i="1"/>
  <c r="M934" i="1" s="1"/>
  <c r="N934" i="1" s="1"/>
  <c r="O934" i="1" s="1"/>
  <c r="L935" i="1"/>
  <c r="M935" i="1" s="1"/>
  <c r="N935" i="1" s="1"/>
  <c r="O935" i="1" s="1"/>
  <c r="L936" i="1"/>
  <c r="M936" i="1" s="1"/>
  <c r="N936" i="1" s="1"/>
  <c r="O936" i="1" s="1"/>
  <c r="L937" i="1"/>
  <c r="M937" i="1" s="1"/>
  <c r="N937" i="1" s="1"/>
  <c r="O937" i="1" s="1"/>
  <c r="L938" i="1"/>
  <c r="M938" i="1" s="1"/>
  <c r="N938" i="1" s="1"/>
  <c r="O938" i="1" s="1"/>
  <c r="L939" i="1"/>
  <c r="M939" i="1" s="1"/>
  <c r="N939" i="1" s="1"/>
  <c r="O939" i="1" s="1"/>
  <c r="L940" i="1"/>
  <c r="M940" i="1" s="1"/>
  <c r="N940" i="1" s="1"/>
  <c r="O940" i="1" s="1"/>
  <c r="L941" i="1"/>
  <c r="M941" i="1" s="1"/>
  <c r="N941" i="1" s="1"/>
  <c r="O941" i="1" s="1"/>
  <c r="L942" i="1"/>
  <c r="M942" i="1" s="1"/>
  <c r="N942" i="1" s="1"/>
  <c r="O942" i="1" s="1"/>
  <c r="L943" i="1"/>
  <c r="M943" i="1" s="1"/>
  <c r="N943" i="1" s="1"/>
  <c r="O943" i="1" s="1"/>
  <c r="L944" i="1"/>
  <c r="M944" i="1" s="1"/>
  <c r="N944" i="1" s="1"/>
  <c r="O944" i="1" s="1"/>
  <c r="L945" i="1"/>
  <c r="M945" i="1" s="1"/>
  <c r="N945" i="1" s="1"/>
  <c r="O945" i="1" s="1"/>
  <c r="L946" i="1"/>
  <c r="M946" i="1" s="1"/>
  <c r="N946" i="1" s="1"/>
  <c r="O946" i="1" s="1"/>
  <c r="L947" i="1"/>
  <c r="M947" i="1" s="1"/>
  <c r="N947" i="1" s="1"/>
  <c r="O947" i="1" s="1"/>
  <c r="L948" i="1"/>
  <c r="M948" i="1" s="1"/>
  <c r="N948" i="1" s="1"/>
  <c r="O948" i="1" s="1"/>
  <c r="L949" i="1"/>
  <c r="M949" i="1" s="1"/>
  <c r="N949" i="1" s="1"/>
  <c r="O949" i="1" s="1"/>
  <c r="L950" i="1"/>
  <c r="M950" i="1" s="1"/>
  <c r="N950" i="1" s="1"/>
  <c r="O950" i="1" s="1"/>
  <c r="L951" i="1"/>
  <c r="M951" i="1" s="1"/>
  <c r="N951" i="1" s="1"/>
  <c r="O951" i="1" s="1"/>
  <c r="L952" i="1"/>
  <c r="M952" i="1" s="1"/>
  <c r="N952" i="1" s="1"/>
  <c r="O952" i="1" s="1"/>
  <c r="L953" i="1"/>
  <c r="M953" i="1" s="1"/>
  <c r="N953" i="1" s="1"/>
  <c r="O953" i="1" s="1"/>
  <c r="L954" i="1"/>
  <c r="M954" i="1" s="1"/>
  <c r="N954" i="1" s="1"/>
  <c r="O954" i="1" s="1"/>
  <c r="L955" i="1"/>
  <c r="M955" i="1" s="1"/>
  <c r="N955" i="1" s="1"/>
  <c r="O955" i="1" s="1"/>
  <c r="L956" i="1"/>
  <c r="M956" i="1" s="1"/>
  <c r="N956" i="1" s="1"/>
  <c r="O956" i="1" s="1"/>
  <c r="L957" i="1"/>
  <c r="M957" i="1" s="1"/>
  <c r="N957" i="1" s="1"/>
  <c r="O957" i="1" s="1"/>
  <c r="L958" i="1"/>
  <c r="M958" i="1" s="1"/>
  <c r="N958" i="1" s="1"/>
  <c r="O958" i="1" s="1"/>
  <c r="L959" i="1"/>
  <c r="M959" i="1" s="1"/>
  <c r="N959" i="1" s="1"/>
  <c r="O959" i="1" s="1"/>
  <c r="L960" i="1"/>
  <c r="M960" i="1" s="1"/>
  <c r="N960" i="1" s="1"/>
  <c r="O960" i="1" s="1"/>
  <c r="L961" i="1"/>
  <c r="M961" i="1" s="1"/>
  <c r="N961" i="1" s="1"/>
  <c r="O961" i="1" s="1"/>
  <c r="L962" i="1"/>
  <c r="M962" i="1" s="1"/>
  <c r="N962" i="1" s="1"/>
  <c r="O962" i="1" s="1"/>
  <c r="L963" i="1"/>
  <c r="M963" i="1" s="1"/>
  <c r="N963" i="1" s="1"/>
  <c r="O963" i="1" s="1"/>
  <c r="L964" i="1"/>
  <c r="M964" i="1" s="1"/>
  <c r="N964" i="1" s="1"/>
  <c r="O964" i="1" s="1"/>
  <c r="L965" i="1"/>
  <c r="M965" i="1" s="1"/>
  <c r="N965" i="1" s="1"/>
  <c r="O965" i="1" s="1"/>
  <c r="L966" i="1"/>
  <c r="M966" i="1" s="1"/>
  <c r="N966" i="1" s="1"/>
  <c r="O966" i="1" s="1"/>
  <c r="L967" i="1"/>
  <c r="M967" i="1" s="1"/>
  <c r="N967" i="1" s="1"/>
  <c r="O967" i="1" s="1"/>
  <c r="L968" i="1"/>
  <c r="M968" i="1" s="1"/>
  <c r="N968" i="1" s="1"/>
  <c r="O968" i="1" s="1"/>
  <c r="L969" i="1"/>
  <c r="M969" i="1" s="1"/>
  <c r="N969" i="1" s="1"/>
  <c r="O969" i="1" s="1"/>
  <c r="L970" i="1"/>
  <c r="M970" i="1" s="1"/>
  <c r="N970" i="1" s="1"/>
  <c r="O970" i="1" s="1"/>
  <c r="L971" i="1"/>
  <c r="M971" i="1" s="1"/>
  <c r="N971" i="1" s="1"/>
  <c r="O971" i="1" s="1"/>
  <c r="L972" i="1"/>
  <c r="M972" i="1" s="1"/>
  <c r="N972" i="1" s="1"/>
  <c r="O972" i="1" s="1"/>
  <c r="L973" i="1"/>
  <c r="M973" i="1" s="1"/>
  <c r="N973" i="1" s="1"/>
  <c r="O973" i="1" s="1"/>
  <c r="L974" i="1"/>
  <c r="M974" i="1" s="1"/>
  <c r="N974" i="1" s="1"/>
  <c r="O974" i="1" s="1"/>
  <c r="L975" i="1"/>
  <c r="M975" i="1" s="1"/>
  <c r="N975" i="1" s="1"/>
  <c r="O975" i="1" s="1"/>
  <c r="L976" i="1"/>
  <c r="M976" i="1" s="1"/>
  <c r="N976" i="1" s="1"/>
  <c r="O976" i="1" s="1"/>
  <c r="L977" i="1"/>
  <c r="M977" i="1" s="1"/>
  <c r="N977" i="1" s="1"/>
  <c r="O977" i="1" s="1"/>
  <c r="L978" i="1"/>
  <c r="M978" i="1" s="1"/>
  <c r="N978" i="1" s="1"/>
  <c r="O978" i="1" s="1"/>
  <c r="L979" i="1"/>
  <c r="M979" i="1" s="1"/>
  <c r="N979" i="1" s="1"/>
  <c r="O979" i="1" s="1"/>
  <c r="L980" i="1"/>
  <c r="M980" i="1" s="1"/>
  <c r="N980" i="1" s="1"/>
  <c r="O980" i="1" s="1"/>
  <c r="L981" i="1"/>
  <c r="M981" i="1" s="1"/>
  <c r="N981" i="1" s="1"/>
  <c r="O981" i="1" s="1"/>
  <c r="L982" i="1"/>
  <c r="M982" i="1" s="1"/>
  <c r="N982" i="1" s="1"/>
  <c r="O982" i="1" s="1"/>
  <c r="L983" i="1"/>
  <c r="M983" i="1" s="1"/>
  <c r="N983" i="1" s="1"/>
  <c r="O983" i="1" s="1"/>
  <c r="L984" i="1"/>
  <c r="M984" i="1" s="1"/>
  <c r="N984" i="1" s="1"/>
  <c r="O984" i="1" s="1"/>
  <c r="L985" i="1"/>
  <c r="M985" i="1" s="1"/>
  <c r="N985" i="1" s="1"/>
  <c r="O985" i="1" s="1"/>
  <c r="L986" i="1"/>
  <c r="M986" i="1" s="1"/>
  <c r="N986" i="1" s="1"/>
  <c r="O986" i="1" s="1"/>
  <c r="L987" i="1"/>
  <c r="M987" i="1" s="1"/>
  <c r="N987" i="1" s="1"/>
  <c r="O987" i="1" s="1"/>
  <c r="L988" i="1"/>
  <c r="M988" i="1" s="1"/>
  <c r="N988" i="1" s="1"/>
  <c r="O988" i="1" s="1"/>
  <c r="L989" i="1"/>
  <c r="M989" i="1" s="1"/>
  <c r="N989" i="1" s="1"/>
  <c r="O989" i="1" s="1"/>
  <c r="L990" i="1"/>
  <c r="M990" i="1" s="1"/>
  <c r="N990" i="1" s="1"/>
  <c r="O990" i="1" s="1"/>
  <c r="L991" i="1"/>
  <c r="M991" i="1" s="1"/>
  <c r="N991" i="1" s="1"/>
  <c r="O991" i="1" s="1"/>
  <c r="L992" i="1"/>
  <c r="M992" i="1" s="1"/>
  <c r="N992" i="1" s="1"/>
  <c r="O992" i="1" s="1"/>
  <c r="L993" i="1"/>
  <c r="M993" i="1" s="1"/>
  <c r="N993" i="1" s="1"/>
  <c r="O993" i="1" s="1"/>
  <c r="L994" i="1"/>
  <c r="M994" i="1" s="1"/>
  <c r="N994" i="1" s="1"/>
  <c r="O994" i="1" s="1"/>
  <c r="L995" i="1"/>
  <c r="M995" i="1" s="1"/>
  <c r="N995" i="1" s="1"/>
  <c r="O995" i="1" s="1"/>
  <c r="L996" i="1"/>
  <c r="M996" i="1" s="1"/>
  <c r="N996" i="1" s="1"/>
  <c r="O996" i="1" s="1"/>
  <c r="L997" i="1"/>
  <c r="M997" i="1" s="1"/>
  <c r="N997" i="1" s="1"/>
  <c r="O997" i="1" s="1"/>
  <c r="L998" i="1"/>
  <c r="M998" i="1" s="1"/>
  <c r="N998" i="1" s="1"/>
  <c r="O998" i="1" s="1"/>
  <c r="L999" i="1"/>
  <c r="M999" i="1" s="1"/>
  <c r="N999" i="1" s="1"/>
  <c r="O999" i="1" s="1"/>
  <c r="L1000" i="1"/>
  <c r="M1000" i="1" s="1"/>
  <c r="N1000" i="1" s="1"/>
  <c r="O1000" i="1" s="1"/>
  <c r="L1001" i="1"/>
  <c r="M1001" i="1" s="1"/>
  <c r="N1001" i="1" s="1"/>
  <c r="O1001" i="1" s="1"/>
  <c r="L1002" i="1"/>
  <c r="M1002" i="1" s="1"/>
  <c r="N1002" i="1" s="1"/>
  <c r="O1002" i="1" s="1"/>
  <c r="L1003" i="1"/>
  <c r="M1003" i="1" s="1"/>
  <c r="N1003" i="1" s="1"/>
  <c r="O1003" i="1" s="1"/>
  <c r="L1004" i="1"/>
  <c r="M1004" i="1" s="1"/>
  <c r="N1004" i="1" s="1"/>
  <c r="O1004" i="1" s="1"/>
  <c r="L1005" i="1"/>
  <c r="M1005" i="1" s="1"/>
  <c r="N1005" i="1" s="1"/>
  <c r="O1005" i="1" s="1"/>
  <c r="L1006" i="1"/>
  <c r="M1006" i="1" s="1"/>
  <c r="N1006" i="1" s="1"/>
  <c r="O1006" i="1" s="1"/>
  <c r="L1007" i="1"/>
  <c r="M1007" i="1" s="1"/>
  <c r="N1007" i="1" s="1"/>
  <c r="O1007" i="1" s="1"/>
  <c r="L1008" i="1"/>
  <c r="M1008" i="1" s="1"/>
  <c r="N1008" i="1" s="1"/>
  <c r="O1008" i="1" s="1"/>
  <c r="L1009" i="1"/>
  <c r="M1009" i="1" s="1"/>
  <c r="N1009" i="1" s="1"/>
  <c r="O1009" i="1" s="1"/>
  <c r="L1010" i="1"/>
  <c r="M1010" i="1" s="1"/>
  <c r="N1010" i="1" s="1"/>
  <c r="O1010" i="1" s="1"/>
  <c r="L1011" i="1"/>
  <c r="M1011" i="1" s="1"/>
  <c r="N1011" i="1" s="1"/>
  <c r="O1011" i="1" s="1"/>
  <c r="L1012" i="1"/>
  <c r="M1012" i="1" s="1"/>
  <c r="N1012" i="1" s="1"/>
  <c r="O1012" i="1" s="1"/>
  <c r="L1013" i="1"/>
  <c r="M1013" i="1" s="1"/>
  <c r="N1013" i="1" s="1"/>
  <c r="O1013" i="1" s="1"/>
  <c r="L1014" i="1"/>
  <c r="M1014" i="1" s="1"/>
  <c r="N1014" i="1" s="1"/>
  <c r="O1014" i="1" s="1"/>
  <c r="L1015" i="1"/>
  <c r="M1015" i="1" s="1"/>
  <c r="N1015" i="1" s="1"/>
  <c r="O1015" i="1" s="1"/>
  <c r="L1016" i="1"/>
  <c r="M1016" i="1" s="1"/>
  <c r="N1016" i="1" s="1"/>
  <c r="O1016" i="1" s="1"/>
  <c r="L1017" i="1"/>
  <c r="M1017" i="1" s="1"/>
  <c r="N1017" i="1" s="1"/>
  <c r="O1017" i="1" s="1"/>
  <c r="L1018" i="1"/>
  <c r="M1018" i="1" s="1"/>
  <c r="N1018" i="1" s="1"/>
  <c r="O1018" i="1" s="1"/>
  <c r="L1019" i="1"/>
  <c r="M1019" i="1" s="1"/>
  <c r="N1019" i="1" s="1"/>
  <c r="O1019" i="1" s="1"/>
  <c r="L1020" i="1"/>
  <c r="M1020" i="1" s="1"/>
  <c r="N1020" i="1" s="1"/>
  <c r="O1020" i="1" s="1"/>
  <c r="L1021" i="1"/>
  <c r="M1021" i="1" s="1"/>
  <c r="N1021" i="1" s="1"/>
  <c r="O1021" i="1" s="1"/>
  <c r="L1022" i="1"/>
  <c r="M1022" i="1" s="1"/>
  <c r="N1022" i="1" s="1"/>
  <c r="O1022" i="1" s="1"/>
  <c r="L1023" i="1"/>
  <c r="M1023" i="1" s="1"/>
  <c r="N1023" i="1" s="1"/>
  <c r="O1023" i="1" s="1"/>
  <c r="L1024" i="1"/>
  <c r="M1024" i="1" s="1"/>
  <c r="N1024" i="1" s="1"/>
  <c r="O1024" i="1" s="1"/>
  <c r="L1025" i="1"/>
  <c r="M1025" i="1" s="1"/>
  <c r="N1025" i="1" s="1"/>
  <c r="O1025" i="1" s="1"/>
  <c r="L1026" i="1"/>
  <c r="M1026" i="1" s="1"/>
  <c r="N1026" i="1" s="1"/>
  <c r="O1026" i="1" s="1"/>
  <c r="L1027" i="1"/>
  <c r="M1027" i="1" s="1"/>
  <c r="N1027" i="1" s="1"/>
  <c r="O1027" i="1" s="1"/>
  <c r="L1028" i="1"/>
  <c r="M1028" i="1" s="1"/>
  <c r="N1028" i="1" s="1"/>
  <c r="O1028" i="1" s="1"/>
  <c r="L1029" i="1"/>
  <c r="M1029" i="1" s="1"/>
  <c r="N1029" i="1" s="1"/>
  <c r="O1029" i="1" s="1"/>
  <c r="L1030" i="1"/>
  <c r="M1030" i="1" s="1"/>
  <c r="N1030" i="1" s="1"/>
  <c r="O1030" i="1" s="1"/>
  <c r="L1031" i="1"/>
  <c r="M1031" i="1" s="1"/>
  <c r="N1031" i="1" s="1"/>
  <c r="O1031" i="1" s="1"/>
  <c r="L1032" i="1"/>
  <c r="M1032" i="1" s="1"/>
  <c r="N1032" i="1" s="1"/>
  <c r="O1032" i="1" s="1"/>
  <c r="L1033" i="1"/>
  <c r="M1033" i="1" s="1"/>
  <c r="N1033" i="1" s="1"/>
  <c r="O1033" i="1" s="1"/>
  <c r="L1034" i="1"/>
  <c r="M1034" i="1" s="1"/>
  <c r="N1034" i="1" s="1"/>
  <c r="O1034" i="1" s="1"/>
  <c r="L1035" i="1"/>
  <c r="M1035" i="1" s="1"/>
  <c r="N1035" i="1" s="1"/>
  <c r="O1035" i="1" s="1"/>
  <c r="L1036" i="1"/>
  <c r="M1036" i="1" s="1"/>
  <c r="N1036" i="1" s="1"/>
  <c r="O1036" i="1" s="1"/>
  <c r="L1037" i="1"/>
  <c r="M1037" i="1" s="1"/>
  <c r="N1037" i="1" s="1"/>
  <c r="O1037" i="1" s="1"/>
  <c r="L1038" i="1"/>
  <c r="M1038" i="1" s="1"/>
  <c r="N1038" i="1" s="1"/>
  <c r="O1038" i="1" s="1"/>
  <c r="L1039" i="1"/>
  <c r="M1039" i="1" s="1"/>
  <c r="N1039" i="1" s="1"/>
  <c r="O1039" i="1" s="1"/>
  <c r="L1040" i="1"/>
  <c r="M1040" i="1" s="1"/>
  <c r="N1040" i="1" s="1"/>
  <c r="O1040" i="1" s="1"/>
  <c r="L1041" i="1"/>
  <c r="M1041" i="1" s="1"/>
  <c r="N1041" i="1" s="1"/>
  <c r="O1041" i="1" s="1"/>
  <c r="L1042" i="1"/>
  <c r="M1042" i="1" s="1"/>
  <c r="N1042" i="1" s="1"/>
  <c r="O1042" i="1" s="1"/>
  <c r="L1043" i="1"/>
  <c r="M1043" i="1" s="1"/>
  <c r="N1043" i="1" s="1"/>
  <c r="O1043" i="1" s="1"/>
  <c r="L1044" i="1"/>
  <c r="M1044" i="1" s="1"/>
  <c r="N1044" i="1" s="1"/>
  <c r="O1044" i="1" s="1"/>
  <c r="L1045" i="1"/>
  <c r="M1045" i="1" s="1"/>
  <c r="N1045" i="1" s="1"/>
  <c r="O1045" i="1" s="1"/>
  <c r="L1046" i="1"/>
  <c r="M1046" i="1" s="1"/>
  <c r="N1046" i="1" s="1"/>
  <c r="O1046" i="1" s="1"/>
  <c r="L1047" i="1"/>
  <c r="M1047" i="1" s="1"/>
  <c r="N1047" i="1" s="1"/>
  <c r="O1047" i="1" s="1"/>
  <c r="L1048" i="1"/>
  <c r="M1048" i="1" s="1"/>
  <c r="N1048" i="1" s="1"/>
  <c r="O1048" i="1" s="1"/>
  <c r="L1049" i="1"/>
  <c r="M1049" i="1" s="1"/>
  <c r="N1049" i="1" s="1"/>
  <c r="O1049" i="1" s="1"/>
  <c r="L1050" i="1"/>
  <c r="M1050" i="1" s="1"/>
  <c r="N1050" i="1" s="1"/>
  <c r="O1050" i="1" s="1"/>
  <c r="L1051" i="1"/>
  <c r="M1051" i="1" s="1"/>
  <c r="N1051" i="1" s="1"/>
  <c r="O1051" i="1" s="1"/>
  <c r="L1052" i="1"/>
  <c r="M1052" i="1" s="1"/>
  <c r="N1052" i="1" s="1"/>
  <c r="O1052" i="1" s="1"/>
  <c r="L1053" i="1"/>
  <c r="M1053" i="1" s="1"/>
  <c r="N1053" i="1" s="1"/>
  <c r="O1053" i="1" s="1"/>
  <c r="L1054" i="1"/>
  <c r="M1054" i="1" s="1"/>
  <c r="N1054" i="1" s="1"/>
  <c r="O1054" i="1" s="1"/>
  <c r="L1055" i="1"/>
  <c r="M1055" i="1" s="1"/>
  <c r="N1055" i="1" s="1"/>
  <c r="O1055" i="1" s="1"/>
  <c r="L1056" i="1"/>
  <c r="M1056" i="1" s="1"/>
  <c r="N1056" i="1" s="1"/>
  <c r="O1056" i="1" s="1"/>
  <c r="L1057" i="1"/>
  <c r="M1057" i="1" s="1"/>
  <c r="N1057" i="1" s="1"/>
  <c r="O1057" i="1" s="1"/>
  <c r="L1058" i="1"/>
  <c r="M1058" i="1" s="1"/>
  <c r="N1058" i="1" s="1"/>
  <c r="O1058" i="1" s="1"/>
  <c r="L1059" i="1"/>
  <c r="M1059" i="1" s="1"/>
  <c r="N1059" i="1" s="1"/>
  <c r="O1059" i="1" s="1"/>
  <c r="L1060" i="1"/>
  <c r="M1060" i="1" s="1"/>
  <c r="N1060" i="1" s="1"/>
  <c r="O1060" i="1" s="1"/>
  <c r="L1061" i="1"/>
  <c r="M1061" i="1" s="1"/>
  <c r="N1061" i="1" s="1"/>
  <c r="O1061" i="1" s="1"/>
  <c r="L1062" i="1"/>
  <c r="M1062" i="1" s="1"/>
  <c r="N1062" i="1" s="1"/>
  <c r="O1062" i="1" s="1"/>
  <c r="L1063" i="1"/>
  <c r="M1063" i="1" s="1"/>
  <c r="N1063" i="1" s="1"/>
  <c r="O1063" i="1" s="1"/>
  <c r="L1064" i="1"/>
  <c r="M1064" i="1" s="1"/>
  <c r="N1064" i="1" s="1"/>
  <c r="O1064" i="1" s="1"/>
  <c r="L1065" i="1"/>
  <c r="M1065" i="1" s="1"/>
  <c r="N1065" i="1" s="1"/>
  <c r="O1065" i="1" s="1"/>
  <c r="L1066" i="1"/>
  <c r="M1066" i="1" s="1"/>
  <c r="N1066" i="1" s="1"/>
  <c r="O1066" i="1" s="1"/>
  <c r="L1067" i="1"/>
  <c r="M1067" i="1" s="1"/>
  <c r="N1067" i="1" s="1"/>
  <c r="O1067" i="1" s="1"/>
  <c r="L1068" i="1"/>
  <c r="M1068" i="1" s="1"/>
  <c r="N1068" i="1" s="1"/>
  <c r="O1068" i="1" s="1"/>
  <c r="L1069" i="1"/>
  <c r="M1069" i="1" s="1"/>
  <c r="N1069" i="1" s="1"/>
  <c r="O1069" i="1" s="1"/>
  <c r="L1070" i="1"/>
  <c r="M1070" i="1" s="1"/>
  <c r="N1070" i="1" s="1"/>
  <c r="O1070" i="1" s="1"/>
  <c r="L1071" i="1"/>
  <c r="M1071" i="1" s="1"/>
  <c r="N1071" i="1" s="1"/>
  <c r="O1071" i="1" s="1"/>
  <c r="L1072" i="1"/>
  <c r="M1072" i="1" s="1"/>
  <c r="N1072" i="1" s="1"/>
  <c r="O1072" i="1" s="1"/>
  <c r="L1073" i="1"/>
  <c r="M1073" i="1" s="1"/>
  <c r="N1073" i="1" s="1"/>
  <c r="O1073" i="1" s="1"/>
  <c r="L1074" i="1"/>
  <c r="M1074" i="1" s="1"/>
  <c r="N1074" i="1" s="1"/>
  <c r="O1074" i="1" s="1"/>
  <c r="L1075" i="1"/>
  <c r="M1075" i="1" s="1"/>
  <c r="N1075" i="1" s="1"/>
  <c r="O1075" i="1" s="1"/>
  <c r="L1076" i="1"/>
  <c r="M1076" i="1" s="1"/>
  <c r="N1076" i="1" s="1"/>
  <c r="O1076" i="1" s="1"/>
  <c r="L1077" i="1"/>
  <c r="M1077" i="1" s="1"/>
  <c r="N1077" i="1" s="1"/>
  <c r="O1077" i="1" s="1"/>
  <c r="L1078" i="1"/>
  <c r="M1078" i="1" s="1"/>
  <c r="N1078" i="1" s="1"/>
  <c r="O1078" i="1" s="1"/>
  <c r="L1079" i="1"/>
  <c r="M1079" i="1" s="1"/>
  <c r="N1079" i="1" s="1"/>
  <c r="O1079" i="1" s="1"/>
  <c r="L1080" i="1"/>
  <c r="M1080" i="1" s="1"/>
  <c r="N1080" i="1" s="1"/>
  <c r="O1080" i="1" s="1"/>
  <c r="L1081" i="1"/>
  <c r="M1081" i="1" s="1"/>
  <c r="N1081" i="1" s="1"/>
  <c r="O1081" i="1" s="1"/>
  <c r="L1082" i="1"/>
  <c r="M1082" i="1" s="1"/>
  <c r="N1082" i="1" s="1"/>
  <c r="O1082" i="1" s="1"/>
  <c r="L1083" i="1"/>
  <c r="M1083" i="1" s="1"/>
  <c r="N1083" i="1" s="1"/>
  <c r="O1083" i="1" s="1"/>
  <c r="L1084" i="1"/>
  <c r="M1084" i="1" s="1"/>
  <c r="N1084" i="1" s="1"/>
  <c r="O1084" i="1" s="1"/>
  <c r="L1085" i="1"/>
  <c r="M1085" i="1" s="1"/>
  <c r="N1085" i="1" s="1"/>
  <c r="O1085" i="1" s="1"/>
  <c r="L1086" i="1"/>
  <c r="M1086" i="1" s="1"/>
  <c r="N1086" i="1" s="1"/>
  <c r="O1086" i="1" s="1"/>
  <c r="L1087" i="1"/>
  <c r="M1087" i="1" s="1"/>
  <c r="N1087" i="1" s="1"/>
  <c r="O1087" i="1" s="1"/>
  <c r="L1088" i="1"/>
  <c r="M1088" i="1" s="1"/>
  <c r="N1088" i="1" s="1"/>
  <c r="O1088" i="1" s="1"/>
  <c r="L1089" i="1"/>
  <c r="M1089" i="1" s="1"/>
  <c r="N1089" i="1" s="1"/>
  <c r="O1089" i="1" s="1"/>
  <c r="L1090" i="1"/>
  <c r="M1090" i="1" s="1"/>
  <c r="N1090" i="1" s="1"/>
  <c r="O1090" i="1" s="1"/>
  <c r="L1091" i="1"/>
  <c r="M1091" i="1" s="1"/>
  <c r="N1091" i="1" s="1"/>
  <c r="O1091" i="1" s="1"/>
  <c r="L1092" i="1"/>
  <c r="M1092" i="1" s="1"/>
  <c r="N1092" i="1" s="1"/>
  <c r="O1092" i="1" s="1"/>
  <c r="L1093" i="1"/>
  <c r="M1093" i="1" s="1"/>
  <c r="N1093" i="1" s="1"/>
  <c r="O1093" i="1" s="1"/>
  <c r="L1094" i="1"/>
  <c r="M1094" i="1" s="1"/>
  <c r="N1094" i="1" s="1"/>
  <c r="O1094" i="1" s="1"/>
  <c r="L1095" i="1"/>
  <c r="M1095" i="1" s="1"/>
  <c r="N1095" i="1" s="1"/>
  <c r="O1095" i="1" s="1"/>
  <c r="L1096" i="1"/>
  <c r="M1096" i="1" s="1"/>
  <c r="N1096" i="1" s="1"/>
  <c r="O1096" i="1" s="1"/>
  <c r="L1097" i="1"/>
  <c r="M1097" i="1" s="1"/>
  <c r="N1097" i="1" s="1"/>
  <c r="O1097" i="1" s="1"/>
  <c r="L1098" i="1"/>
  <c r="M1098" i="1" s="1"/>
  <c r="N1098" i="1" s="1"/>
  <c r="O1098" i="1" s="1"/>
  <c r="L1099" i="1"/>
  <c r="M1099" i="1" s="1"/>
  <c r="N1099" i="1" s="1"/>
  <c r="O1099" i="1" s="1"/>
  <c r="L1100" i="1"/>
  <c r="M1100" i="1" s="1"/>
  <c r="N1100" i="1" s="1"/>
  <c r="O1100" i="1" s="1"/>
  <c r="L1101" i="1"/>
  <c r="M1101" i="1" s="1"/>
  <c r="N1101" i="1" s="1"/>
  <c r="O1101" i="1" s="1"/>
  <c r="L1102" i="1"/>
  <c r="M1102" i="1" s="1"/>
  <c r="N1102" i="1" s="1"/>
  <c r="O1102" i="1" s="1"/>
  <c r="L1103" i="1"/>
  <c r="M1103" i="1" s="1"/>
  <c r="N1103" i="1" s="1"/>
  <c r="O1103" i="1" s="1"/>
  <c r="L1104" i="1"/>
  <c r="M1104" i="1" s="1"/>
  <c r="N1104" i="1" s="1"/>
  <c r="O1104" i="1" s="1"/>
  <c r="L1105" i="1"/>
  <c r="M1105" i="1" s="1"/>
  <c r="N1105" i="1" s="1"/>
  <c r="O1105" i="1" s="1"/>
  <c r="L1106" i="1"/>
  <c r="M1106" i="1" s="1"/>
  <c r="N1106" i="1" s="1"/>
  <c r="O1106" i="1" s="1"/>
  <c r="L1107" i="1"/>
  <c r="M1107" i="1" s="1"/>
  <c r="N1107" i="1" s="1"/>
  <c r="O1107" i="1" s="1"/>
  <c r="L1108" i="1"/>
  <c r="M1108" i="1" s="1"/>
  <c r="N1108" i="1" s="1"/>
  <c r="O1108" i="1" s="1"/>
  <c r="L1109" i="1"/>
  <c r="M1109" i="1" s="1"/>
  <c r="N1109" i="1" s="1"/>
  <c r="O1109" i="1" s="1"/>
  <c r="L1110" i="1"/>
  <c r="M1110" i="1" s="1"/>
  <c r="N1110" i="1" s="1"/>
  <c r="O1110" i="1" s="1"/>
  <c r="L1111" i="1"/>
  <c r="M1111" i="1" s="1"/>
  <c r="N1111" i="1" s="1"/>
  <c r="O1111" i="1" s="1"/>
  <c r="L1112" i="1"/>
  <c r="M1112" i="1" s="1"/>
  <c r="N1112" i="1" s="1"/>
  <c r="O1112" i="1" s="1"/>
  <c r="L1113" i="1"/>
  <c r="M1113" i="1" s="1"/>
  <c r="N1113" i="1" s="1"/>
  <c r="O1113" i="1" s="1"/>
  <c r="L1114" i="1"/>
  <c r="M1114" i="1" s="1"/>
  <c r="N1114" i="1" s="1"/>
  <c r="O1114" i="1" s="1"/>
  <c r="L1115" i="1"/>
  <c r="M1115" i="1" s="1"/>
  <c r="N1115" i="1" s="1"/>
  <c r="O1115" i="1" s="1"/>
  <c r="L1116" i="1"/>
  <c r="M1116" i="1" s="1"/>
  <c r="N1116" i="1" s="1"/>
  <c r="O1116" i="1" s="1"/>
  <c r="L1117" i="1"/>
  <c r="M1117" i="1" s="1"/>
  <c r="N1117" i="1" s="1"/>
  <c r="O1117" i="1" s="1"/>
  <c r="L1118" i="1"/>
  <c r="M1118" i="1" s="1"/>
  <c r="N1118" i="1" s="1"/>
  <c r="O1118" i="1" s="1"/>
  <c r="L1119" i="1"/>
  <c r="M1119" i="1" s="1"/>
  <c r="N1119" i="1" s="1"/>
  <c r="O1119" i="1" s="1"/>
  <c r="L1120" i="1"/>
  <c r="M1120" i="1" s="1"/>
  <c r="N1120" i="1" s="1"/>
  <c r="O1120" i="1" s="1"/>
  <c r="L1121" i="1"/>
  <c r="M1121" i="1" s="1"/>
  <c r="N1121" i="1" s="1"/>
  <c r="O1121" i="1" s="1"/>
  <c r="L1122" i="1"/>
  <c r="M1122" i="1" s="1"/>
  <c r="N1122" i="1" s="1"/>
  <c r="O1122" i="1" s="1"/>
  <c r="L1123" i="1"/>
  <c r="M1123" i="1" s="1"/>
  <c r="N1123" i="1" s="1"/>
  <c r="O1123" i="1" s="1"/>
  <c r="L1124" i="1"/>
  <c r="M1124" i="1" s="1"/>
  <c r="N1124" i="1" s="1"/>
  <c r="O1124" i="1" s="1"/>
  <c r="L1125" i="1"/>
  <c r="M1125" i="1" s="1"/>
  <c r="N1125" i="1" s="1"/>
  <c r="O1125" i="1" s="1"/>
  <c r="L1126" i="1"/>
  <c r="M1126" i="1" s="1"/>
  <c r="N1126" i="1" s="1"/>
  <c r="O1126" i="1" s="1"/>
  <c r="L1127" i="1"/>
  <c r="M1127" i="1" s="1"/>
  <c r="N1127" i="1" s="1"/>
  <c r="O1127" i="1" s="1"/>
  <c r="L1128" i="1"/>
  <c r="M1128" i="1" s="1"/>
  <c r="N1128" i="1" s="1"/>
  <c r="O1128" i="1" s="1"/>
  <c r="L1129" i="1"/>
  <c r="M1129" i="1" s="1"/>
  <c r="N1129" i="1" s="1"/>
  <c r="O1129" i="1" s="1"/>
  <c r="L1130" i="1"/>
  <c r="M1130" i="1" s="1"/>
  <c r="N1130" i="1" s="1"/>
  <c r="O1130" i="1" s="1"/>
  <c r="L1131" i="1"/>
  <c r="M1131" i="1" s="1"/>
  <c r="N1131" i="1" s="1"/>
  <c r="O1131" i="1" s="1"/>
  <c r="L1132" i="1"/>
  <c r="M1132" i="1" s="1"/>
  <c r="N1132" i="1" s="1"/>
  <c r="O1132" i="1" s="1"/>
  <c r="L1133" i="1"/>
  <c r="M1133" i="1" s="1"/>
  <c r="N1133" i="1" s="1"/>
  <c r="O1133" i="1" s="1"/>
  <c r="L1134" i="1"/>
  <c r="M1134" i="1" s="1"/>
  <c r="N1134" i="1" s="1"/>
  <c r="O1134" i="1" s="1"/>
  <c r="L1135" i="1"/>
  <c r="M1135" i="1" s="1"/>
  <c r="N1135" i="1" s="1"/>
  <c r="O1135" i="1" s="1"/>
  <c r="L1136" i="1"/>
  <c r="M1136" i="1" s="1"/>
  <c r="N1136" i="1" s="1"/>
  <c r="O1136" i="1" s="1"/>
  <c r="L1137" i="1"/>
  <c r="M1137" i="1" s="1"/>
  <c r="N1137" i="1" s="1"/>
  <c r="O1137" i="1" s="1"/>
  <c r="L1138" i="1"/>
  <c r="M1138" i="1" s="1"/>
  <c r="N1138" i="1" s="1"/>
  <c r="O1138" i="1" s="1"/>
  <c r="L1139" i="1"/>
  <c r="M1139" i="1" s="1"/>
  <c r="N1139" i="1" s="1"/>
  <c r="O1139" i="1" s="1"/>
  <c r="L1140" i="1"/>
  <c r="M1140" i="1" s="1"/>
  <c r="N1140" i="1" s="1"/>
  <c r="O1140" i="1" s="1"/>
  <c r="L1141" i="1"/>
  <c r="M1141" i="1" s="1"/>
  <c r="N1141" i="1" s="1"/>
  <c r="O1141" i="1" s="1"/>
  <c r="L1142" i="1"/>
  <c r="M1142" i="1" s="1"/>
  <c r="N1142" i="1" s="1"/>
  <c r="O1142" i="1" s="1"/>
  <c r="L1143" i="1"/>
  <c r="M1143" i="1" s="1"/>
  <c r="N1143" i="1" s="1"/>
  <c r="O1143" i="1" s="1"/>
  <c r="L1144" i="1"/>
  <c r="M1144" i="1" s="1"/>
  <c r="N1144" i="1" s="1"/>
  <c r="O1144" i="1" s="1"/>
  <c r="L1145" i="1"/>
  <c r="M1145" i="1" s="1"/>
  <c r="N1145" i="1" s="1"/>
  <c r="O1145" i="1" s="1"/>
  <c r="L1146" i="1"/>
  <c r="M1146" i="1" s="1"/>
  <c r="N1146" i="1" s="1"/>
  <c r="O1146" i="1" s="1"/>
  <c r="L1147" i="1"/>
  <c r="M1147" i="1" s="1"/>
  <c r="N1147" i="1" s="1"/>
  <c r="O1147" i="1" s="1"/>
  <c r="L1148" i="1"/>
  <c r="M1148" i="1" s="1"/>
  <c r="N1148" i="1" s="1"/>
  <c r="O1148" i="1" s="1"/>
  <c r="L1149" i="1"/>
  <c r="M1149" i="1" s="1"/>
  <c r="N1149" i="1" s="1"/>
  <c r="O1149" i="1" s="1"/>
  <c r="L1150" i="1"/>
  <c r="M1150" i="1" s="1"/>
  <c r="N1150" i="1" s="1"/>
  <c r="O1150" i="1" s="1"/>
  <c r="L1151" i="1"/>
  <c r="M1151" i="1" s="1"/>
  <c r="N1151" i="1" s="1"/>
  <c r="O1151" i="1" s="1"/>
  <c r="L1152" i="1"/>
  <c r="M1152" i="1" s="1"/>
  <c r="N1152" i="1" s="1"/>
  <c r="O1152" i="1" s="1"/>
  <c r="L1153" i="1"/>
  <c r="M1153" i="1" s="1"/>
  <c r="N1153" i="1" s="1"/>
  <c r="O1153" i="1" s="1"/>
  <c r="L1154" i="1"/>
  <c r="M1154" i="1" s="1"/>
  <c r="N1154" i="1" s="1"/>
  <c r="O1154" i="1" s="1"/>
  <c r="L1155" i="1"/>
  <c r="M1155" i="1" s="1"/>
  <c r="N1155" i="1" s="1"/>
  <c r="O1155" i="1" s="1"/>
  <c r="L1156" i="1"/>
  <c r="M1156" i="1" s="1"/>
  <c r="N1156" i="1" s="1"/>
  <c r="O1156" i="1" s="1"/>
  <c r="L1157" i="1"/>
  <c r="M1157" i="1" s="1"/>
  <c r="N1157" i="1" s="1"/>
  <c r="O1157" i="1" s="1"/>
  <c r="L1158" i="1"/>
  <c r="M1158" i="1" s="1"/>
  <c r="N1158" i="1" s="1"/>
  <c r="O1158" i="1" s="1"/>
  <c r="L1159" i="1"/>
  <c r="M1159" i="1" s="1"/>
  <c r="N1159" i="1" s="1"/>
  <c r="O1159" i="1" s="1"/>
  <c r="L1160" i="1"/>
  <c r="M1160" i="1" s="1"/>
  <c r="N1160" i="1" s="1"/>
  <c r="O1160" i="1" s="1"/>
  <c r="L1161" i="1"/>
  <c r="M1161" i="1" s="1"/>
  <c r="N1161" i="1" s="1"/>
  <c r="O1161" i="1" s="1"/>
  <c r="L1162" i="1"/>
  <c r="M1162" i="1" s="1"/>
  <c r="N1162" i="1" s="1"/>
  <c r="O1162" i="1" s="1"/>
  <c r="L1163" i="1"/>
  <c r="M1163" i="1" s="1"/>
  <c r="N1163" i="1" s="1"/>
  <c r="O1163" i="1" s="1"/>
  <c r="L1164" i="1"/>
  <c r="M1164" i="1" s="1"/>
  <c r="N1164" i="1" s="1"/>
  <c r="O1164" i="1" s="1"/>
  <c r="L1165" i="1"/>
  <c r="M1165" i="1" s="1"/>
  <c r="N1165" i="1" s="1"/>
  <c r="O1165" i="1" s="1"/>
  <c r="L1166" i="1"/>
  <c r="M1166" i="1" s="1"/>
  <c r="N1166" i="1" s="1"/>
  <c r="O1166" i="1" s="1"/>
  <c r="L1167" i="1"/>
  <c r="M1167" i="1" s="1"/>
  <c r="N1167" i="1" s="1"/>
  <c r="O1167" i="1" s="1"/>
  <c r="L1168" i="1"/>
  <c r="M1168" i="1" s="1"/>
  <c r="N1168" i="1" s="1"/>
  <c r="O1168" i="1" s="1"/>
  <c r="L1169" i="1"/>
  <c r="M1169" i="1" s="1"/>
  <c r="N1169" i="1" s="1"/>
  <c r="O1169" i="1" s="1"/>
  <c r="L1170" i="1"/>
  <c r="M1170" i="1" s="1"/>
  <c r="N1170" i="1" s="1"/>
  <c r="O1170" i="1" s="1"/>
  <c r="L1171" i="1"/>
  <c r="M1171" i="1" s="1"/>
  <c r="N1171" i="1" s="1"/>
  <c r="O1171" i="1" s="1"/>
  <c r="L1172" i="1"/>
  <c r="M1172" i="1" s="1"/>
  <c r="N1172" i="1" s="1"/>
  <c r="O1172" i="1" s="1"/>
  <c r="L1173" i="1"/>
  <c r="M1173" i="1" s="1"/>
  <c r="N1173" i="1" s="1"/>
  <c r="O1173" i="1" s="1"/>
  <c r="L1174" i="1"/>
  <c r="M1174" i="1" s="1"/>
  <c r="N1174" i="1" s="1"/>
  <c r="O1174" i="1" s="1"/>
  <c r="L1175" i="1"/>
  <c r="M1175" i="1" s="1"/>
  <c r="N1175" i="1" s="1"/>
  <c r="O1175" i="1" s="1"/>
  <c r="L1176" i="1"/>
  <c r="M1176" i="1" s="1"/>
  <c r="N1176" i="1" s="1"/>
  <c r="O1176" i="1" s="1"/>
  <c r="L1177" i="1"/>
  <c r="M1177" i="1" s="1"/>
  <c r="N1177" i="1" s="1"/>
  <c r="O1177" i="1" s="1"/>
  <c r="L1178" i="1"/>
  <c r="M1178" i="1" s="1"/>
  <c r="N1178" i="1" s="1"/>
  <c r="O1178" i="1" s="1"/>
  <c r="L1179" i="1"/>
  <c r="M1179" i="1" s="1"/>
  <c r="N1179" i="1" s="1"/>
  <c r="O1179" i="1" s="1"/>
  <c r="L1180" i="1"/>
  <c r="M1180" i="1" s="1"/>
  <c r="N1180" i="1" s="1"/>
  <c r="O1180" i="1" s="1"/>
  <c r="L1181" i="1"/>
  <c r="M1181" i="1"/>
  <c r="N1181" i="1" s="1"/>
  <c r="O1181" i="1" s="1"/>
  <c r="L1182" i="1"/>
  <c r="M1182" i="1" s="1"/>
  <c r="N1182" i="1" s="1"/>
  <c r="O1182" i="1" s="1"/>
  <c r="L1183" i="1"/>
  <c r="M1183" i="1" s="1"/>
  <c r="N1183" i="1" s="1"/>
  <c r="O1183" i="1" s="1"/>
  <c r="L1184" i="1"/>
  <c r="M1184" i="1" s="1"/>
  <c r="N1184" i="1" s="1"/>
  <c r="O1184" i="1" s="1"/>
  <c r="L1185" i="1"/>
  <c r="M1185" i="1" s="1"/>
  <c r="N1185" i="1" s="1"/>
  <c r="O1185" i="1" s="1"/>
  <c r="L1186" i="1"/>
  <c r="M1186" i="1" s="1"/>
  <c r="N1186" i="1" s="1"/>
  <c r="O1186" i="1" s="1"/>
  <c r="L1187" i="1"/>
  <c r="M1187" i="1" s="1"/>
  <c r="N1187" i="1" s="1"/>
  <c r="O1187" i="1" s="1"/>
  <c r="L1188" i="1"/>
  <c r="M1188" i="1"/>
  <c r="N1188" i="1" s="1"/>
  <c r="O1188" i="1" s="1"/>
  <c r="L1189" i="1"/>
  <c r="M1189" i="1" s="1"/>
  <c r="N1189" i="1" s="1"/>
  <c r="O1189" i="1" s="1"/>
  <c r="L1190" i="1"/>
  <c r="M1190" i="1" s="1"/>
  <c r="N1190" i="1" s="1"/>
  <c r="O1190" i="1" s="1"/>
  <c r="L1191" i="1"/>
  <c r="M1191" i="1" s="1"/>
  <c r="N1191" i="1" s="1"/>
  <c r="O1191" i="1" s="1"/>
  <c r="L1192" i="1"/>
  <c r="M1192" i="1" s="1"/>
  <c r="N1192" i="1" s="1"/>
  <c r="O1192" i="1" s="1"/>
  <c r="L1193" i="1"/>
  <c r="M1193" i="1" s="1"/>
  <c r="N1193" i="1" s="1"/>
  <c r="O1193" i="1" s="1"/>
  <c r="L1194" i="1"/>
  <c r="M1194" i="1" s="1"/>
  <c r="N1194" i="1" s="1"/>
  <c r="O1194" i="1" s="1"/>
  <c r="L1195" i="1"/>
  <c r="M1195" i="1" s="1"/>
  <c r="N1195" i="1"/>
  <c r="O1195" i="1" s="1"/>
  <c r="L1196" i="1"/>
  <c r="M1196" i="1" s="1"/>
  <c r="N1196" i="1" s="1"/>
  <c r="O1196" i="1" s="1"/>
  <c r="L1197" i="1"/>
  <c r="M1197" i="1" s="1"/>
  <c r="N1197" i="1" s="1"/>
  <c r="O1197" i="1" s="1"/>
  <c r="L1198" i="1"/>
  <c r="M1198" i="1" s="1"/>
  <c r="N1198" i="1" s="1"/>
  <c r="O1198" i="1" s="1"/>
  <c r="L1199" i="1"/>
  <c r="M1199" i="1" s="1"/>
  <c r="N1199" i="1" s="1"/>
  <c r="O1199" i="1" s="1"/>
  <c r="L1200" i="1"/>
  <c r="M1200" i="1" s="1"/>
  <c r="N1200" i="1" s="1"/>
  <c r="O1200" i="1" s="1"/>
  <c r="L1201" i="1"/>
  <c r="M1201" i="1" s="1"/>
  <c r="N1201" i="1" s="1"/>
  <c r="O1201" i="1" s="1"/>
  <c r="L1202" i="1"/>
  <c r="M1202" i="1" s="1"/>
  <c r="N1202" i="1" s="1"/>
  <c r="O1202" i="1" s="1"/>
  <c r="L1203" i="1"/>
  <c r="M1203" i="1" s="1"/>
  <c r="N1203" i="1" s="1"/>
  <c r="O1203" i="1" s="1"/>
  <c r="L1204" i="1"/>
  <c r="M1204" i="1" s="1"/>
  <c r="N1204" i="1" s="1"/>
  <c r="O1204" i="1" s="1"/>
  <c r="L1205" i="1"/>
  <c r="M1205" i="1" s="1"/>
  <c r="N1205" i="1" s="1"/>
  <c r="O1205" i="1" s="1"/>
  <c r="L1206" i="1"/>
  <c r="M1206" i="1" s="1"/>
  <c r="N1206" i="1" s="1"/>
  <c r="O1206" i="1" s="1"/>
  <c r="L1207" i="1"/>
  <c r="M1207" i="1" s="1"/>
  <c r="N1207" i="1" s="1"/>
  <c r="O1207" i="1" s="1"/>
  <c r="L1208" i="1"/>
  <c r="M1208" i="1" s="1"/>
  <c r="N1208" i="1" s="1"/>
  <c r="O1208" i="1" s="1"/>
  <c r="L1209" i="1"/>
  <c r="M1209" i="1" s="1"/>
  <c r="N1209" i="1" s="1"/>
  <c r="O1209" i="1" s="1"/>
  <c r="L1210" i="1"/>
  <c r="M1210" i="1" s="1"/>
  <c r="N1210" i="1" s="1"/>
  <c r="O1210" i="1" s="1"/>
  <c r="L1211" i="1"/>
  <c r="M1211" i="1" s="1"/>
  <c r="N1211" i="1" s="1"/>
  <c r="O1211" i="1" s="1"/>
  <c r="L1212" i="1"/>
  <c r="M1212" i="1" s="1"/>
  <c r="N1212" i="1" s="1"/>
  <c r="O1212" i="1" s="1"/>
  <c r="L1213" i="1"/>
  <c r="M1213" i="1" s="1"/>
  <c r="N1213" i="1" s="1"/>
  <c r="O1213" i="1" s="1"/>
  <c r="L1214" i="1"/>
  <c r="M1214" i="1" s="1"/>
  <c r="N1214" i="1" s="1"/>
  <c r="O1214" i="1" s="1"/>
  <c r="L1215" i="1"/>
  <c r="M1215" i="1" s="1"/>
  <c r="N1215" i="1" s="1"/>
  <c r="O1215" i="1" s="1"/>
  <c r="L1216" i="1"/>
  <c r="M1216" i="1" s="1"/>
  <c r="N1216" i="1" s="1"/>
  <c r="O1216" i="1" s="1"/>
  <c r="L1217" i="1"/>
  <c r="M1217" i="1" s="1"/>
  <c r="N1217" i="1" s="1"/>
  <c r="O1217" i="1" s="1"/>
  <c r="L1218" i="1"/>
  <c r="M1218" i="1" s="1"/>
  <c r="N1218" i="1" s="1"/>
  <c r="O1218" i="1" s="1"/>
  <c r="L1219" i="1"/>
  <c r="M1219" i="1" s="1"/>
  <c r="N1219" i="1" s="1"/>
  <c r="O1219" i="1" s="1"/>
  <c r="L1220" i="1"/>
  <c r="M1220" i="1" s="1"/>
  <c r="N1220" i="1" s="1"/>
  <c r="O1220" i="1" s="1"/>
  <c r="L1221" i="1"/>
  <c r="M1221" i="1" s="1"/>
  <c r="N1221" i="1" s="1"/>
  <c r="O1221" i="1" s="1"/>
  <c r="L1222" i="1"/>
  <c r="M1222" i="1" s="1"/>
  <c r="N1222" i="1" s="1"/>
  <c r="O1222" i="1" s="1"/>
  <c r="L1223" i="1"/>
  <c r="M1223" i="1" s="1"/>
  <c r="N1223" i="1" s="1"/>
  <c r="O1223" i="1" s="1"/>
  <c r="L1224" i="1"/>
  <c r="M1224" i="1" s="1"/>
  <c r="N1224" i="1" s="1"/>
  <c r="O1224" i="1" s="1"/>
  <c r="L1225" i="1"/>
  <c r="M1225" i="1" s="1"/>
  <c r="N1225" i="1" s="1"/>
  <c r="O1225" i="1" s="1"/>
  <c r="L1226" i="1"/>
  <c r="M1226" i="1" s="1"/>
  <c r="N1226" i="1" s="1"/>
  <c r="O1226" i="1" s="1"/>
  <c r="L1227" i="1"/>
  <c r="M1227" i="1" s="1"/>
  <c r="N1227" i="1" s="1"/>
  <c r="O1227" i="1" s="1"/>
  <c r="L1228" i="1"/>
  <c r="M1228" i="1" s="1"/>
  <c r="N1228" i="1" s="1"/>
  <c r="O1228" i="1" s="1"/>
  <c r="L1229" i="1"/>
  <c r="M1229" i="1" s="1"/>
  <c r="N1229" i="1" s="1"/>
  <c r="O1229" i="1" s="1"/>
  <c r="L1230" i="1"/>
  <c r="M1230" i="1" s="1"/>
  <c r="N1230" i="1" s="1"/>
  <c r="O1230" i="1" s="1"/>
  <c r="L1231" i="1"/>
  <c r="M1231" i="1" s="1"/>
  <c r="N1231" i="1" s="1"/>
  <c r="O1231" i="1" s="1"/>
  <c r="L1232" i="1"/>
  <c r="M1232" i="1" s="1"/>
  <c r="N1232" i="1" s="1"/>
  <c r="O1232" i="1" s="1"/>
  <c r="L1233" i="1"/>
  <c r="M1233" i="1" s="1"/>
  <c r="N1233" i="1" s="1"/>
  <c r="O1233" i="1" s="1"/>
  <c r="L1234" i="1"/>
  <c r="M1234" i="1" s="1"/>
  <c r="N1234" i="1" s="1"/>
  <c r="O1234" i="1" s="1"/>
  <c r="L1235" i="1"/>
  <c r="M1235" i="1" s="1"/>
  <c r="N1235" i="1" s="1"/>
  <c r="O1235" i="1" s="1"/>
  <c r="L1236" i="1"/>
  <c r="M1236" i="1" s="1"/>
  <c r="N1236" i="1" s="1"/>
  <c r="O1236" i="1" s="1"/>
  <c r="L1237" i="1"/>
  <c r="M1237" i="1" s="1"/>
  <c r="N1237" i="1" s="1"/>
  <c r="O1237" i="1" s="1"/>
  <c r="L1238" i="1"/>
  <c r="M1238" i="1" s="1"/>
  <c r="N1238" i="1" s="1"/>
  <c r="O1238" i="1" s="1"/>
  <c r="L1239" i="1"/>
  <c r="M1239" i="1" s="1"/>
  <c r="N1239" i="1" s="1"/>
  <c r="O1239" i="1" s="1"/>
  <c r="L1240" i="1"/>
  <c r="M1240" i="1" s="1"/>
  <c r="N1240" i="1" s="1"/>
  <c r="O1240" i="1" s="1"/>
  <c r="L1241" i="1"/>
  <c r="M1241" i="1" s="1"/>
  <c r="N1241" i="1" s="1"/>
  <c r="O1241" i="1" s="1"/>
  <c r="L1242" i="1"/>
  <c r="M1242" i="1" s="1"/>
  <c r="N1242" i="1" s="1"/>
  <c r="O1242" i="1" s="1"/>
  <c r="L1243" i="1"/>
  <c r="M1243" i="1" s="1"/>
  <c r="N1243" i="1" s="1"/>
  <c r="O1243" i="1" s="1"/>
  <c r="L1244" i="1"/>
  <c r="M1244" i="1" s="1"/>
  <c r="N1244" i="1" s="1"/>
  <c r="O1244" i="1" s="1"/>
  <c r="L1245" i="1"/>
  <c r="M1245" i="1" s="1"/>
  <c r="N1245" i="1" s="1"/>
  <c r="O1245" i="1" s="1"/>
  <c r="L1246" i="1"/>
  <c r="M1246" i="1" s="1"/>
  <c r="N1246" i="1" s="1"/>
  <c r="O1246" i="1" s="1"/>
  <c r="L1247" i="1"/>
  <c r="M1247" i="1" s="1"/>
  <c r="N1247" i="1" s="1"/>
  <c r="O1247" i="1" s="1"/>
  <c r="L1248" i="1"/>
  <c r="M1248" i="1" s="1"/>
  <c r="N1248" i="1" s="1"/>
  <c r="O1248" i="1" s="1"/>
  <c r="L1249" i="1"/>
  <c r="M1249" i="1" s="1"/>
  <c r="N1249" i="1" s="1"/>
  <c r="O1249" i="1" s="1"/>
  <c r="L1250" i="1"/>
  <c r="M1250" i="1" s="1"/>
  <c r="N1250" i="1" s="1"/>
  <c r="O1250" i="1" s="1"/>
  <c r="L1251" i="1"/>
  <c r="M1251" i="1" s="1"/>
  <c r="N1251" i="1" s="1"/>
  <c r="O1251" i="1" s="1"/>
  <c r="L1252" i="1"/>
  <c r="M1252" i="1" s="1"/>
  <c r="N1252" i="1" s="1"/>
  <c r="O1252" i="1" s="1"/>
  <c r="L1253" i="1"/>
  <c r="M1253" i="1" s="1"/>
  <c r="N1253" i="1" s="1"/>
  <c r="O1253" i="1" s="1"/>
  <c r="L1254" i="1"/>
  <c r="M1254" i="1" s="1"/>
  <c r="N1254" i="1" s="1"/>
  <c r="O1254" i="1" s="1"/>
  <c r="L1255" i="1"/>
  <c r="M1255" i="1" s="1"/>
  <c r="N1255" i="1" s="1"/>
  <c r="O1255" i="1" s="1"/>
  <c r="L1256" i="1"/>
  <c r="M1256" i="1" s="1"/>
  <c r="N1256" i="1" s="1"/>
  <c r="O1256" i="1" s="1"/>
  <c r="L1257" i="1"/>
  <c r="M1257" i="1" s="1"/>
  <c r="N1257" i="1" s="1"/>
  <c r="O1257" i="1" s="1"/>
  <c r="L1258" i="1"/>
  <c r="M1258" i="1" s="1"/>
  <c r="N1258" i="1" s="1"/>
  <c r="O1258" i="1" s="1"/>
  <c r="L1259" i="1"/>
  <c r="M1259" i="1" s="1"/>
  <c r="N1259" i="1" s="1"/>
  <c r="O1259" i="1" s="1"/>
  <c r="L1260" i="1"/>
  <c r="M1260" i="1" s="1"/>
  <c r="N1260" i="1" s="1"/>
  <c r="O1260" i="1" s="1"/>
  <c r="L1261" i="1"/>
  <c r="M1261" i="1" s="1"/>
  <c r="N1261" i="1" s="1"/>
  <c r="O1261" i="1" s="1"/>
  <c r="L1262" i="1"/>
  <c r="M1262" i="1" s="1"/>
  <c r="N1262" i="1" s="1"/>
  <c r="O1262" i="1" s="1"/>
  <c r="L1263" i="1"/>
  <c r="M1263" i="1" s="1"/>
  <c r="N1263" i="1" s="1"/>
  <c r="O1263" i="1" s="1"/>
  <c r="L1264" i="1"/>
  <c r="M1264" i="1" s="1"/>
  <c r="N1264" i="1" s="1"/>
  <c r="O1264" i="1" s="1"/>
  <c r="L1265" i="1"/>
  <c r="M1265" i="1" s="1"/>
  <c r="N1265" i="1" s="1"/>
  <c r="O1265" i="1" s="1"/>
  <c r="L1266" i="1"/>
  <c r="M1266" i="1" s="1"/>
  <c r="N1266" i="1" s="1"/>
  <c r="O1266" i="1" s="1"/>
  <c r="L1267" i="1"/>
  <c r="M1267" i="1" s="1"/>
  <c r="N1267" i="1" s="1"/>
  <c r="O1267" i="1" s="1"/>
  <c r="L1268" i="1"/>
  <c r="M1268" i="1" s="1"/>
  <c r="N1268" i="1" s="1"/>
  <c r="O1268" i="1" s="1"/>
  <c r="L1269" i="1"/>
  <c r="M1269" i="1" s="1"/>
  <c r="N1269" i="1" s="1"/>
  <c r="O1269" i="1" s="1"/>
  <c r="L1270" i="1"/>
  <c r="M1270" i="1" s="1"/>
  <c r="N1270" i="1" s="1"/>
  <c r="O1270" i="1" s="1"/>
  <c r="L1271" i="1"/>
  <c r="M1271" i="1" s="1"/>
  <c r="N1271" i="1" s="1"/>
  <c r="O1271" i="1" s="1"/>
  <c r="L1272" i="1"/>
  <c r="M1272" i="1" s="1"/>
  <c r="N1272" i="1" s="1"/>
  <c r="O1272" i="1" s="1"/>
  <c r="L1273" i="1"/>
  <c r="M1273" i="1" s="1"/>
  <c r="N1273" i="1" s="1"/>
  <c r="O1273" i="1" s="1"/>
  <c r="L1274" i="1"/>
  <c r="M1274" i="1" s="1"/>
  <c r="N1274" i="1" s="1"/>
  <c r="O1274" i="1" s="1"/>
  <c r="L1275" i="1"/>
  <c r="M1275" i="1" s="1"/>
  <c r="N1275" i="1" s="1"/>
  <c r="O1275" i="1" s="1"/>
  <c r="L1276" i="1"/>
  <c r="M1276" i="1" s="1"/>
  <c r="N1276" i="1" s="1"/>
  <c r="O1276" i="1" s="1"/>
  <c r="L1277" i="1"/>
  <c r="M1277" i="1" s="1"/>
  <c r="N1277" i="1" s="1"/>
  <c r="O1277" i="1" s="1"/>
  <c r="L1278" i="1"/>
  <c r="M1278" i="1" s="1"/>
  <c r="N1278" i="1" s="1"/>
  <c r="O1278" i="1" s="1"/>
  <c r="L1279" i="1"/>
  <c r="M1279" i="1" s="1"/>
  <c r="N1279" i="1" s="1"/>
  <c r="O1279" i="1" s="1"/>
  <c r="L1280" i="1"/>
  <c r="M1280" i="1" s="1"/>
  <c r="N1280" i="1" s="1"/>
  <c r="O1280" i="1" s="1"/>
  <c r="L1281" i="1"/>
  <c r="M1281" i="1" s="1"/>
  <c r="N1281" i="1" s="1"/>
  <c r="O1281" i="1" s="1"/>
  <c r="L1282" i="1"/>
  <c r="M1282" i="1" s="1"/>
  <c r="N1282" i="1" s="1"/>
  <c r="O1282" i="1" s="1"/>
  <c r="L1283" i="1"/>
  <c r="M1283" i="1" s="1"/>
  <c r="N1283" i="1" s="1"/>
  <c r="O1283" i="1" s="1"/>
  <c r="L1284" i="1"/>
  <c r="M1284" i="1" s="1"/>
  <c r="N1284" i="1" s="1"/>
  <c r="O1284" i="1" s="1"/>
  <c r="L1285" i="1"/>
  <c r="M1285" i="1" s="1"/>
  <c r="N1285" i="1" s="1"/>
  <c r="O1285" i="1" s="1"/>
  <c r="L1286" i="1"/>
  <c r="M1286" i="1" s="1"/>
  <c r="N1286" i="1" s="1"/>
  <c r="O1286" i="1" s="1"/>
  <c r="L1287" i="1"/>
  <c r="M1287" i="1" s="1"/>
  <c r="N1287" i="1" s="1"/>
  <c r="O1287" i="1" s="1"/>
  <c r="L1288" i="1"/>
  <c r="M1288" i="1" s="1"/>
  <c r="N1288" i="1" s="1"/>
  <c r="O1288" i="1" s="1"/>
  <c r="L1289" i="1"/>
  <c r="M1289" i="1" s="1"/>
  <c r="N1289" i="1" s="1"/>
  <c r="O1289" i="1" s="1"/>
  <c r="L1290" i="1"/>
  <c r="M1290" i="1" s="1"/>
  <c r="N1290" i="1" s="1"/>
  <c r="O1290" i="1" s="1"/>
  <c r="L1291" i="1"/>
  <c r="M1291" i="1" s="1"/>
  <c r="N1291" i="1" s="1"/>
  <c r="O1291" i="1" s="1"/>
  <c r="L1292" i="1"/>
  <c r="M1292" i="1" s="1"/>
  <c r="N1292" i="1" s="1"/>
  <c r="O1292" i="1" s="1"/>
  <c r="L1293" i="1"/>
  <c r="M1293" i="1" s="1"/>
  <c r="N1293" i="1" s="1"/>
  <c r="O1293" i="1" s="1"/>
  <c r="L1294" i="1"/>
  <c r="M1294" i="1" s="1"/>
  <c r="N1294" i="1" s="1"/>
  <c r="O1294" i="1" s="1"/>
  <c r="L1295" i="1"/>
  <c r="M1295" i="1" s="1"/>
  <c r="N1295" i="1" s="1"/>
  <c r="O1295" i="1" s="1"/>
  <c r="L1296" i="1"/>
  <c r="M1296" i="1" s="1"/>
  <c r="N1296" i="1" s="1"/>
  <c r="O1296" i="1" s="1"/>
  <c r="L1297" i="1"/>
  <c r="M1297" i="1" s="1"/>
  <c r="N1297" i="1" s="1"/>
  <c r="O1297" i="1" s="1"/>
  <c r="L1298" i="1"/>
  <c r="M1298" i="1" s="1"/>
  <c r="N1298" i="1" s="1"/>
  <c r="O1298" i="1" s="1"/>
  <c r="L1299" i="1"/>
  <c r="M1299" i="1" s="1"/>
  <c r="N1299" i="1" s="1"/>
  <c r="O1299" i="1" s="1"/>
  <c r="L1300" i="1"/>
  <c r="M1300" i="1" s="1"/>
  <c r="N1300" i="1" s="1"/>
  <c r="O1300" i="1" s="1"/>
  <c r="L1301" i="1"/>
  <c r="M1301" i="1" s="1"/>
  <c r="N1301" i="1" s="1"/>
  <c r="O1301" i="1" s="1"/>
  <c r="L1302" i="1"/>
  <c r="M1302" i="1" s="1"/>
  <c r="N1302" i="1" s="1"/>
  <c r="O1302" i="1" s="1"/>
  <c r="L1303" i="1"/>
  <c r="M1303" i="1" s="1"/>
  <c r="N1303" i="1" s="1"/>
  <c r="O1303" i="1" s="1"/>
  <c r="L1304" i="1"/>
  <c r="M1304" i="1" s="1"/>
  <c r="N1304" i="1" s="1"/>
  <c r="O1304" i="1" s="1"/>
  <c r="L1305" i="1"/>
  <c r="M1305" i="1" s="1"/>
  <c r="N1305" i="1" s="1"/>
  <c r="O1305" i="1" s="1"/>
  <c r="L1306" i="1"/>
  <c r="M1306" i="1" s="1"/>
  <c r="N1306" i="1" s="1"/>
  <c r="O1306" i="1" s="1"/>
  <c r="L1307" i="1"/>
  <c r="M1307" i="1" s="1"/>
  <c r="N1307" i="1" s="1"/>
  <c r="O1307" i="1" s="1"/>
  <c r="L1308" i="1"/>
  <c r="M1308" i="1" s="1"/>
  <c r="N1308" i="1" s="1"/>
  <c r="O1308" i="1" s="1"/>
  <c r="L1309" i="1"/>
  <c r="M1309" i="1" s="1"/>
  <c r="N1309" i="1" s="1"/>
  <c r="O1309" i="1" s="1"/>
  <c r="L1310" i="1"/>
  <c r="M1310" i="1"/>
  <c r="N1310" i="1" s="1"/>
  <c r="O1310" i="1" s="1"/>
  <c r="L1311" i="1"/>
  <c r="M1311" i="1" s="1"/>
  <c r="N1311" i="1" s="1"/>
  <c r="O1311" i="1" s="1"/>
  <c r="L1312" i="1"/>
  <c r="M1312" i="1" s="1"/>
  <c r="N1312" i="1" s="1"/>
  <c r="O1312" i="1" s="1"/>
  <c r="L1313" i="1"/>
  <c r="M1313" i="1" s="1"/>
  <c r="N1313" i="1" s="1"/>
  <c r="O1313" i="1" s="1"/>
  <c r="L1314" i="1"/>
  <c r="M1314" i="1" s="1"/>
  <c r="N1314" i="1" s="1"/>
  <c r="O1314" i="1" s="1"/>
  <c r="L1315" i="1"/>
  <c r="M1315" i="1" s="1"/>
  <c r="N1315" i="1" s="1"/>
  <c r="O1315" i="1" s="1"/>
  <c r="L1316" i="1"/>
  <c r="M1316" i="1" s="1"/>
  <c r="N1316" i="1" s="1"/>
  <c r="O1316" i="1" s="1"/>
  <c r="L1317" i="1"/>
  <c r="M1317" i="1" s="1"/>
  <c r="N1317" i="1" s="1"/>
  <c r="O1317" i="1" s="1"/>
  <c r="L1318" i="1"/>
  <c r="M1318" i="1" s="1"/>
  <c r="N1318" i="1" s="1"/>
  <c r="O1318" i="1" s="1"/>
  <c r="L1319" i="1"/>
  <c r="M1319" i="1" s="1"/>
  <c r="N1319" i="1" s="1"/>
  <c r="O1319" i="1" s="1"/>
  <c r="L1320" i="1"/>
  <c r="M1320" i="1" s="1"/>
  <c r="N1320" i="1" s="1"/>
  <c r="O1320" i="1" s="1"/>
  <c r="L1321" i="1"/>
  <c r="M1321" i="1" s="1"/>
  <c r="N1321" i="1" s="1"/>
  <c r="O1321" i="1" s="1"/>
  <c r="L1322" i="1"/>
  <c r="M1322" i="1" s="1"/>
  <c r="N1322" i="1" s="1"/>
  <c r="O1322" i="1" s="1"/>
  <c r="L1323" i="1"/>
  <c r="M1323" i="1" s="1"/>
  <c r="N1323" i="1" s="1"/>
  <c r="O1323" i="1" s="1"/>
  <c r="L1324" i="1"/>
  <c r="M1324" i="1" s="1"/>
  <c r="N1324" i="1" s="1"/>
  <c r="O1324" i="1" s="1"/>
  <c r="L1325" i="1"/>
  <c r="M1325" i="1" s="1"/>
  <c r="N1325" i="1" s="1"/>
  <c r="O1325" i="1" s="1"/>
  <c r="L1326" i="1"/>
  <c r="M1326" i="1" s="1"/>
  <c r="N1326" i="1" s="1"/>
  <c r="O1326" i="1" s="1"/>
  <c r="L1327" i="1"/>
  <c r="M1327" i="1" s="1"/>
  <c r="N1327" i="1" s="1"/>
  <c r="O1327" i="1" s="1"/>
  <c r="L1328" i="1"/>
  <c r="M1328" i="1" s="1"/>
  <c r="N1328" i="1" s="1"/>
  <c r="O1328" i="1" s="1"/>
  <c r="L1329" i="1"/>
  <c r="M1329" i="1" s="1"/>
  <c r="N1329" i="1" s="1"/>
  <c r="O1329" i="1" s="1"/>
  <c r="L1330" i="1"/>
  <c r="M1330" i="1" s="1"/>
  <c r="N1330" i="1" s="1"/>
  <c r="O1330" i="1" s="1"/>
  <c r="L1331" i="1"/>
  <c r="M1331" i="1" s="1"/>
  <c r="N1331" i="1" s="1"/>
  <c r="O1331" i="1" s="1"/>
  <c r="L1332" i="1"/>
  <c r="M1332" i="1" s="1"/>
  <c r="N1332" i="1" s="1"/>
  <c r="O1332" i="1" s="1"/>
  <c r="L1333" i="1"/>
  <c r="M1333" i="1" s="1"/>
  <c r="N1333" i="1" s="1"/>
  <c r="O1333" i="1" s="1"/>
  <c r="L1334" i="1"/>
  <c r="M1334" i="1" s="1"/>
  <c r="N1334" i="1" s="1"/>
  <c r="O1334" i="1" s="1"/>
  <c r="L1335" i="1"/>
  <c r="M1335" i="1" s="1"/>
  <c r="N1335" i="1" s="1"/>
  <c r="O1335" i="1" s="1"/>
  <c r="L1336" i="1"/>
  <c r="M1336" i="1" s="1"/>
  <c r="N1336" i="1" s="1"/>
  <c r="O1336" i="1" s="1"/>
  <c r="L1337" i="1"/>
  <c r="M1337" i="1" s="1"/>
  <c r="N1337" i="1" s="1"/>
  <c r="O1337" i="1" s="1"/>
  <c r="L1338" i="1"/>
  <c r="M1338" i="1" s="1"/>
  <c r="N1338" i="1" s="1"/>
  <c r="O1338" i="1" s="1"/>
  <c r="L1339" i="1"/>
  <c r="M1339" i="1" s="1"/>
  <c r="N1339" i="1" s="1"/>
  <c r="O1339" i="1" s="1"/>
  <c r="L1340" i="1"/>
  <c r="M1340" i="1" s="1"/>
  <c r="N1340" i="1" s="1"/>
  <c r="O1340" i="1" s="1"/>
  <c r="L1341" i="1"/>
  <c r="M1341" i="1" s="1"/>
  <c r="N1341" i="1" s="1"/>
  <c r="O1341" i="1" s="1"/>
  <c r="L1342" i="1"/>
  <c r="M1342" i="1" s="1"/>
  <c r="N1342" i="1" s="1"/>
  <c r="O1342" i="1" s="1"/>
  <c r="L1343" i="1"/>
  <c r="M1343" i="1" s="1"/>
  <c r="N1343" i="1" s="1"/>
  <c r="O1343" i="1" s="1"/>
  <c r="L1344" i="1"/>
  <c r="M1344" i="1" s="1"/>
  <c r="N1344" i="1" s="1"/>
  <c r="O1344" i="1" s="1"/>
  <c r="L1345" i="1"/>
  <c r="M1345" i="1" s="1"/>
  <c r="N1345" i="1" s="1"/>
  <c r="O1345" i="1" s="1"/>
  <c r="L1346" i="1"/>
  <c r="M1346" i="1" s="1"/>
  <c r="N1346" i="1" s="1"/>
  <c r="O1346" i="1" s="1"/>
  <c r="L1347" i="1"/>
  <c r="M1347" i="1" s="1"/>
  <c r="N1347" i="1" s="1"/>
  <c r="O1347" i="1" s="1"/>
  <c r="L1348" i="1"/>
  <c r="M1348" i="1" s="1"/>
  <c r="N1348" i="1" s="1"/>
  <c r="O1348" i="1" s="1"/>
  <c r="L1349" i="1"/>
  <c r="M1349" i="1" s="1"/>
  <c r="N1349" i="1" s="1"/>
  <c r="O1349" i="1" s="1"/>
  <c r="L1350" i="1"/>
  <c r="M1350" i="1" s="1"/>
  <c r="N1350" i="1" s="1"/>
  <c r="O1350" i="1" s="1"/>
  <c r="L1351" i="1"/>
  <c r="M1351" i="1" s="1"/>
  <c r="N1351" i="1" s="1"/>
  <c r="O1351" i="1" s="1"/>
  <c r="L1352" i="1"/>
  <c r="M1352" i="1" s="1"/>
  <c r="N1352" i="1" s="1"/>
  <c r="O1352" i="1" s="1"/>
  <c r="L1353" i="1"/>
  <c r="M1353" i="1" s="1"/>
  <c r="N1353" i="1" s="1"/>
  <c r="O1353" i="1" s="1"/>
  <c r="L1354" i="1"/>
  <c r="M1354" i="1" s="1"/>
  <c r="N1354" i="1" s="1"/>
  <c r="O1354" i="1" s="1"/>
  <c r="L1355" i="1"/>
  <c r="M1355" i="1" s="1"/>
  <c r="N1355" i="1" s="1"/>
  <c r="O1355" i="1" s="1"/>
  <c r="L1356" i="1"/>
  <c r="M1356" i="1" s="1"/>
  <c r="N1356" i="1" s="1"/>
  <c r="O1356" i="1" s="1"/>
  <c r="L1357" i="1"/>
  <c r="M1357" i="1" s="1"/>
  <c r="N1357" i="1" s="1"/>
  <c r="O1357" i="1" s="1"/>
  <c r="L1358" i="1"/>
  <c r="M1358" i="1" s="1"/>
  <c r="N1358" i="1" s="1"/>
  <c r="O1358" i="1" s="1"/>
  <c r="L1359" i="1"/>
  <c r="M1359" i="1" s="1"/>
  <c r="N1359" i="1" s="1"/>
  <c r="O1359" i="1" s="1"/>
  <c r="L1360" i="1"/>
  <c r="M1360" i="1" s="1"/>
  <c r="N1360" i="1" s="1"/>
  <c r="O1360" i="1" s="1"/>
  <c r="L1361" i="1"/>
  <c r="M1361" i="1" s="1"/>
  <c r="N1361" i="1" s="1"/>
  <c r="O1361" i="1" s="1"/>
  <c r="L1362" i="1"/>
  <c r="M1362" i="1" s="1"/>
  <c r="N1362" i="1" s="1"/>
  <c r="O1362" i="1" s="1"/>
  <c r="L1363" i="1"/>
  <c r="M1363" i="1" s="1"/>
  <c r="N1363" i="1" s="1"/>
  <c r="O1363" i="1" s="1"/>
  <c r="L1364" i="1"/>
  <c r="M1364" i="1" s="1"/>
  <c r="N1364" i="1" s="1"/>
  <c r="O1364" i="1" s="1"/>
  <c r="L1365" i="1"/>
  <c r="M1365" i="1" s="1"/>
  <c r="N1365" i="1" s="1"/>
  <c r="O1365" i="1" s="1"/>
  <c r="L1366" i="1"/>
  <c r="M1366" i="1" s="1"/>
  <c r="N1366" i="1" s="1"/>
  <c r="O1366" i="1" s="1"/>
  <c r="L1367" i="1"/>
  <c r="M1367" i="1" s="1"/>
  <c r="N1367" i="1" s="1"/>
  <c r="O1367" i="1" s="1"/>
  <c r="L1368" i="1"/>
  <c r="M1368" i="1" s="1"/>
  <c r="N1368" i="1" s="1"/>
  <c r="O1368" i="1" s="1"/>
  <c r="L1369" i="1"/>
  <c r="M1369" i="1" s="1"/>
  <c r="N1369" i="1" s="1"/>
  <c r="O1369" i="1" s="1"/>
  <c r="L1370" i="1"/>
  <c r="M1370" i="1" s="1"/>
  <c r="N1370" i="1" s="1"/>
  <c r="O1370" i="1" s="1"/>
  <c r="L1371" i="1"/>
  <c r="M1371" i="1" s="1"/>
  <c r="N1371" i="1" s="1"/>
  <c r="O1371" i="1" s="1"/>
  <c r="L1372" i="1"/>
  <c r="M1372" i="1" s="1"/>
  <c r="N1372" i="1" s="1"/>
  <c r="O1372" i="1" s="1"/>
  <c r="L1373" i="1"/>
  <c r="M1373" i="1" s="1"/>
  <c r="N1373" i="1" s="1"/>
  <c r="O1373" i="1" s="1"/>
  <c r="L1374" i="1"/>
  <c r="M1374" i="1" s="1"/>
  <c r="N1374" i="1" s="1"/>
  <c r="O1374" i="1" s="1"/>
  <c r="L1375" i="1"/>
  <c r="M1375" i="1" s="1"/>
  <c r="N1375" i="1" s="1"/>
  <c r="O1375" i="1" s="1"/>
  <c r="L1376" i="1"/>
  <c r="M1376" i="1" s="1"/>
  <c r="N1376" i="1" s="1"/>
  <c r="O1376" i="1" s="1"/>
  <c r="L1377" i="1"/>
  <c r="M1377" i="1" s="1"/>
  <c r="N1377" i="1" s="1"/>
  <c r="O1377" i="1" s="1"/>
  <c r="L1378" i="1"/>
  <c r="M1378" i="1" s="1"/>
  <c r="N1378" i="1" s="1"/>
  <c r="O1378" i="1" s="1"/>
  <c r="L1379" i="1"/>
  <c r="M1379" i="1" s="1"/>
  <c r="N1379" i="1" s="1"/>
  <c r="O1379" i="1" s="1"/>
  <c r="L1380" i="1"/>
  <c r="M1380" i="1" s="1"/>
  <c r="N1380" i="1" s="1"/>
  <c r="O1380" i="1" s="1"/>
  <c r="L1381" i="1"/>
  <c r="M1381" i="1" s="1"/>
  <c r="N1381" i="1" s="1"/>
  <c r="O1381" i="1" s="1"/>
  <c r="L1382" i="1"/>
  <c r="M1382" i="1" s="1"/>
  <c r="N1382" i="1" s="1"/>
  <c r="O1382" i="1" s="1"/>
  <c r="L1383" i="1"/>
  <c r="M1383" i="1" s="1"/>
  <c r="N1383" i="1" s="1"/>
  <c r="O1383" i="1" s="1"/>
  <c r="L1384" i="1"/>
  <c r="M1384" i="1" s="1"/>
  <c r="N1384" i="1" s="1"/>
  <c r="O1384" i="1" s="1"/>
  <c r="L1385" i="1"/>
  <c r="M1385" i="1" s="1"/>
  <c r="N1385" i="1" s="1"/>
  <c r="O1385" i="1" s="1"/>
  <c r="L1386" i="1"/>
  <c r="M1386" i="1" s="1"/>
  <c r="N1386" i="1" s="1"/>
  <c r="O1386" i="1" s="1"/>
  <c r="L1387" i="1"/>
  <c r="M1387" i="1" s="1"/>
  <c r="N1387" i="1" s="1"/>
  <c r="O1387" i="1" s="1"/>
  <c r="L1388" i="1"/>
  <c r="M1388" i="1" s="1"/>
  <c r="N1388" i="1" s="1"/>
  <c r="O1388" i="1" s="1"/>
  <c r="L1389" i="1"/>
  <c r="M1389" i="1" s="1"/>
  <c r="N1389" i="1" s="1"/>
  <c r="O1389" i="1" s="1"/>
  <c r="L1390" i="1"/>
  <c r="M1390" i="1" s="1"/>
  <c r="N1390" i="1" s="1"/>
  <c r="O1390" i="1" s="1"/>
  <c r="L1391" i="1"/>
  <c r="M1391" i="1" s="1"/>
  <c r="N1391" i="1" s="1"/>
  <c r="O1391" i="1" s="1"/>
  <c r="L1392" i="1"/>
  <c r="M1392" i="1" s="1"/>
  <c r="N1392" i="1" s="1"/>
  <c r="O1392" i="1" s="1"/>
  <c r="L1393" i="1"/>
  <c r="M1393" i="1" s="1"/>
  <c r="N1393" i="1" s="1"/>
  <c r="O1393" i="1" s="1"/>
  <c r="L1394" i="1"/>
  <c r="M1394" i="1" s="1"/>
  <c r="N1394" i="1" s="1"/>
  <c r="O1394" i="1" s="1"/>
  <c r="L1395" i="1"/>
  <c r="M1395" i="1" s="1"/>
  <c r="N1395" i="1" s="1"/>
  <c r="O1395" i="1" s="1"/>
  <c r="L1396" i="1"/>
  <c r="M1396" i="1" s="1"/>
  <c r="N1396" i="1" s="1"/>
  <c r="O1396" i="1" s="1"/>
  <c r="L1397" i="1"/>
  <c r="M1397" i="1" s="1"/>
  <c r="N1397" i="1" s="1"/>
  <c r="O1397" i="1" s="1"/>
  <c r="L1398" i="1"/>
  <c r="M1398" i="1" s="1"/>
  <c r="N1398" i="1" s="1"/>
  <c r="O1398" i="1" s="1"/>
  <c r="L1399" i="1"/>
  <c r="M1399" i="1" s="1"/>
  <c r="N1399" i="1" s="1"/>
  <c r="O1399" i="1" s="1"/>
  <c r="L1400" i="1"/>
  <c r="M1400" i="1" s="1"/>
  <c r="N1400" i="1" s="1"/>
  <c r="O1400" i="1" s="1"/>
  <c r="L1401" i="1"/>
  <c r="M1401" i="1" s="1"/>
  <c r="N1401" i="1" s="1"/>
  <c r="O1401" i="1" s="1"/>
  <c r="L1402" i="1"/>
  <c r="M1402" i="1" s="1"/>
  <c r="N1402" i="1" s="1"/>
  <c r="O1402" i="1" s="1"/>
  <c r="L1403" i="1"/>
  <c r="M1403" i="1" s="1"/>
  <c r="N1403" i="1" s="1"/>
  <c r="O1403" i="1" s="1"/>
  <c r="L1404" i="1"/>
  <c r="M1404" i="1" s="1"/>
  <c r="N1404" i="1" s="1"/>
  <c r="O1404" i="1" s="1"/>
  <c r="L1405" i="1"/>
  <c r="M1405" i="1" s="1"/>
  <c r="N1405" i="1" s="1"/>
  <c r="O1405" i="1" s="1"/>
  <c r="L1406" i="1"/>
  <c r="M1406" i="1" s="1"/>
  <c r="N1406" i="1" s="1"/>
  <c r="O1406" i="1" s="1"/>
  <c r="L1407" i="1"/>
  <c r="M1407" i="1" s="1"/>
  <c r="N1407" i="1" s="1"/>
  <c r="O1407" i="1" s="1"/>
  <c r="L1408" i="1"/>
  <c r="M1408" i="1" s="1"/>
  <c r="N1408" i="1" s="1"/>
  <c r="O1408" i="1" s="1"/>
  <c r="L1409" i="1"/>
  <c r="M1409" i="1" s="1"/>
  <c r="N1409" i="1" s="1"/>
  <c r="O1409" i="1" s="1"/>
  <c r="L1410" i="1"/>
  <c r="M1410" i="1" s="1"/>
  <c r="N1410" i="1" s="1"/>
  <c r="O1410" i="1" s="1"/>
  <c r="L1411" i="1"/>
  <c r="M1411" i="1" s="1"/>
  <c r="N1411" i="1" s="1"/>
  <c r="O1411" i="1" s="1"/>
  <c r="L1412" i="1"/>
  <c r="M1412" i="1" s="1"/>
  <c r="N1412" i="1" s="1"/>
  <c r="O1412" i="1" s="1"/>
  <c r="L1413" i="1"/>
  <c r="M1413" i="1" s="1"/>
  <c r="N1413" i="1" s="1"/>
  <c r="O1413" i="1" s="1"/>
  <c r="L1414" i="1"/>
  <c r="M1414" i="1" s="1"/>
  <c r="N1414" i="1" s="1"/>
  <c r="O1414" i="1" s="1"/>
  <c r="L1415" i="1"/>
  <c r="M1415" i="1" s="1"/>
  <c r="N1415" i="1" s="1"/>
  <c r="O1415" i="1" s="1"/>
  <c r="L1416" i="1"/>
  <c r="M1416" i="1" s="1"/>
  <c r="N1416" i="1" s="1"/>
  <c r="O1416" i="1" s="1"/>
  <c r="L1417" i="1"/>
  <c r="M1417" i="1" s="1"/>
  <c r="N1417" i="1" s="1"/>
  <c r="O1417" i="1" s="1"/>
  <c r="L1418" i="1"/>
  <c r="M1418" i="1" s="1"/>
  <c r="N1418" i="1" s="1"/>
  <c r="O1418" i="1" s="1"/>
  <c r="L1419" i="1"/>
  <c r="M1419" i="1" s="1"/>
  <c r="N1419" i="1" s="1"/>
  <c r="O1419" i="1" s="1"/>
  <c r="L1420" i="1"/>
  <c r="M1420" i="1" s="1"/>
  <c r="N1420" i="1" s="1"/>
  <c r="O1420" i="1" s="1"/>
  <c r="L1421" i="1"/>
  <c r="M1421" i="1" s="1"/>
  <c r="N1421" i="1" s="1"/>
  <c r="O1421" i="1" s="1"/>
  <c r="L1422" i="1"/>
  <c r="M1422" i="1" s="1"/>
  <c r="N1422" i="1" s="1"/>
  <c r="O1422" i="1" s="1"/>
  <c r="L1423" i="1"/>
  <c r="M1423" i="1" s="1"/>
  <c r="N1423" i="1" s="1"/>
  <c r="O1423" i="1" s="1"/>
  <c r="L1424" i="1"/>
  <c r="M1424" i="1" s="1"/>
  <c r="N1424" i="1" s="1"/>
  <c r="O1424" i="1" s="1"/>
  <c r="L1425" i="1"/>
  <c r="M1425" i="1" s="1"/>
  <c r="N1425" i="1" s="1"/>
  <c r="O1425" i="1" s="1"/>
  <c r="L1426" i="1"/>
  <c r="M1426" i="1" s="1"/>
  <c r="N1426" i="1" s="1"/>
  <c r="O1426" i="1" s="1"/>
  <c r="L1427" i="1"/>
  <c r="M1427" i="1" s="1"/>
  <c r="N1427" i="1" s="1"/>
  <c r="O1427" i="1" s="1"/>
  <c r="L1428" i="1"/>
  <c r="M1428" i="1" s="1"/>
  <c r="N1428" i="1" s="1"/>
  <c r="O1428" i="1" s="1"/>
  <c r="L1429" i="1"/>
  <c r="M1429" i="1" s="1"/>
  <c r="N1429" i="1" s="1"/>
  <c r="O1429" i="1" s="1"/>
  <c r="L1430" i="1"/>
  <c r="M1430" i="1" s="1"/>
  <c r="N1430" i="1" s="1"/>
  <c r="O1430" i="1" s="1"/>
  <c r="L1431" i="1"/>
  <c r="M1431" i="1" s="1"/>
  <c r="N1431" i="1" s="1"/>
  <c r="O1431" i="1" s="1"/>
  <c r="L1432" i="1"/>
  <c r="M1432" i="1" s="1"/>
  <c r="N1432" i="1" s="1"/>
  <c r="O1432" i="1" s="1"/>
  <c r="L1433" i="1"/>
  <c r="M1433" i="1" s="1"/>
  <c r="N1433" i="1" s="1"/>
  <c r="O1433" i="1" s="1"/>
  <c r="L1434" i="1"/>
  <c r="M1434" i="1" s="1"/>
  <c r="N1434" i="1" s="1"/>
  <c r="O1434" i="1" s="1"/>
  <c r="L1435" i="1"/>
  <c r="M1435" i="1" s="1"/>
  <c r="N1435" i="1" s="1"/>
  <c r="O1435" i="1" s="1"/>
  <c r="L1436" i="1"/>
  <c r="M1436" i="1" s="1"/>
  <c r="N1436" i="1" s="1"/>
  <c r="O1436" i="1" s="1"/>
  <c r="L1437" i="1"/>
  <c r="M1437" i="1" s="1"/>
  <c r="N1437" i="1" s="1"/>
  <c r="O1437" i="1" s="1"/>
  <c r="L1438" i="1"/>
  <c r="M1438" i="1" s="1"/>
  <c r="N1438" i="1" s="1"/>
  <c r="O1438" i="1" s="1"/>
  <c r="L1439" i="1"/>
  <c r="M1439" i="1" s="1"/>
  <c r="N1439" i="1" s="1"/>
  <c r="O1439" i="1" s="1"/>
  <c r="L1440" i="1"/>
  <c r="M1440" i="1" s="1"/>
  <c r="N1440" i="1" s="1"/>
  <c r="O1440" i="1" s="1"/>
  <c r="L1441" i="1"/>
  <c r="M1441" i="1" s="1"/>
  <c r="N1441" i="1" s="1"/>
  <c r="O1441" i="1" s="1"/>
  <c r="L1442" i="1"/>
  <c r="M1442" i="1" s="1"/>
  <c r="N1442" i="1" s="1"/>
  <c r="O1442" i="1" s="1"/>
  <c r="L1443" i="1"/>
  <c r="M1443" i="1" s="1"/>
  <c r="N1443" i="1" s="1"/>
  <c r="O1443" i="1" s="1"/>
  <c r="L1444" i="1"/>
  <c r="M1444" i="1" s="1"/>
  <c r="N1444" i="1" s="1"/>
  <c r="O1444" i="1" s="1"/>
  <c r="L1445" i="1"/>
  <c r="M1445" i="1" s="1"/>
  <c r="N1445" i="1" s="1"/>
  <c r="O1445" i="1" s="1"/>
  <c r="L1446" i="1"/>
  <c r="M1446" i="1" s="1"/>
  <c r="N1446" i="1" s="1"/>
  <c r="O1446" i="1" s="1"/>
  <c r="L1447" i="1"/>
  <c r="M1447" i="1" s="1"/>
  <c r="N1447" i="1" s="1"/>
  <c r="O1447" i="1" s="1"/>
  <c r="L1448" i="1"/>
  <c r="M1448" i="1" s="1"/>
  <c r="N1448" i="1" s="1"/>
  <c r="O1448" i="1" s="1"/>
  <c r="L1449" i="1"/>
  <c r="M1449" i="1" s="1"/>
  <c r="N1449" i="1" s="1"/>
  <c r="O1449" i="1" s="1"/>
  <c r="L1450" i="1"/>
  <c r="M1450" i="1" s="1"/>
  <c r="N1450" i="1" s="1"/>
  <c r="O1450" i="1" s="1"/>
  <c r="L1451" i="1"/>
  <c r="M1451" i="1" s="1"/>
  <c r="N1451" i="1" s="1"/>
  <c r="O1451" i="1" s="1"/>
  <c r="L1452" i="1"/>
  <c r="M1452" i="1" s="1"/>
  <c r="N1452" i="1" s="1"/>
  <c r="O1452" i="1" s="1"/>
  <c r="L1453" i="1"/>
  <c r="M1453" i="1" s="1"/>
  <c r="N1453" i="1" s="1"/>
  <c r="O1453" i="1" s="1"/>
  <c r="L1454" i="1"/>
  <c r="M1454" i="1" s="1"/>
  <c r="N1454" i="1" s="1"/>
  <c r="O1454" i="1" s="1"/>
  <c r="L1455" i="1"/>
  <c r="M1455" i="1" s="1"/>
  <c r="N1455" i="1" s="1"/>
  <c r="O1455" i="1" s="1"/>
  <c r="L1456" i="1"/>
  <c r="M1456" i="1" s="1"/>
  <c r="N1456" i="1" s="1"/>
  <c r="O1456" i="1" s="1"/>
  <c r="L1457" i="1"/>
  <c r="M1457" i="1" s="1"/>
  <c r="N1457" i="1" s="1"/>
  <c r="O1457" i="1" s="1"/>
  <c r="L1458" i="1"/>
  <c r="M1458" i="1" s="1"/>
  <c r="N1458" i="1" s="1"/>
  <c r="O1458" i="1" s="1"/>
  <c r="L1459" i="1"/>
  <c r="M1459" i="1" s="1"/>
  <c r="N1459" i="1" s="1"/>
  <c r="O1459" i="1" s="1"/>
  <c r="L1460" i="1"/>
  <c r="M1460" i="1" s="1"/>
  <c r="N1460" i="1" s="1"/>
  <c r="O1460" i="1" s="1"/>
  <c r="L1461" i="1"/>
  <c r="M1461" i="1" s="1"/>
  <c r="N1461" i="1" s="1"/>
  <c r="O1461" i="1" s="1"/>
  <c r="L1462" i="1"/>
  <c r="M1462" i="1" s="1"/>
  <c r="N1462" i="1" s="1"/>
  <c r="O1462" i="1" s="1"/>
  <c r="L1463" i="1"/>
  <c r="M1463" i="1" s="1"/>
  <c r="N1463" i="1" s="1"/>
  <c r="O1463" i="1" s="1"/>
  <c r="L1464" i="1"/>
  <c r="M1464" i="1" s="1"/>
  <c r="N1464" i="1" s="1"/>
  <c r="O1464" i="1" s="1"/>
  <c r="L1465" i="1"/>
  <c r="M1465" i="1" s="1"/>
  <c r="N1465" i="1" s="1"/>
  <c r="O1465" i="1" s="1"/>
  <c r="L1466" i="1"/>
  <c r="M1466" i="1" s="1"/>
  <c r="N1466" i="1" s="1"/>
  <c r="O1466" i="1" s="1"/>
  <c r="L1467" i="1"/>
  <c r="M1467" i="1" s="1"/>
  <c r="N1467" i="1" s="1"/>
  <c r="O1467" i="1" s="1"/>
  <c r="L1468" i="1"/>
  <c r="M1468" i="1" s="1"/>
  <c r="N1468" i="1" s="1"/>
  <c r="O1468" i="1" s="1"/>
  <c r="L1469" i="1"/>
  <c r="M1469" i="1" s="1"/>
  <c r="N1469" i="1" s="1"/>
  <c r="O1469" i="1" s="1"/>
  <c r="L1470" i="1"/>
  <c r="M1470" i="1" s="1"/>
  <c r="N1470" i="1" s="1"/>
  <c r="O1470" i="1" s="1"/>
  <c r="L1471" i="1"/>
  <c r="M1471" i="1" s="1"/>
  <c r="N1471" i="1" s="1"/>
  <c r="O1471" i="1" s="1"/>
  <c r="L1472" i="1"/>
  <c r="M1472" i="1" s="1"/>
  <c r="N1472" i="1" s="1"/>
  <c r="O1472" i="1" s="1"/>
  <c r="L1473" i="1"/>
  <c r="M1473" i="1" s="1"/>
  <c r="N1473" i="1" s="1"/>
  <c r="O1473" i="1" s="1"/>
  <c r="L1474" i="1"/>
  <c r="M1474" i="1" s="1"/>
  <c r="N1474" i="1" s="1"/>
  <c r="O1474" i="1" s="1"/>
  <c r="L1475" i="1"/>
  <c r="M1475" i="1" s="1"/>
  <c r="N1475" i="1" s="1"/>
  <c r="O1475" i="1" s="1"/>
  <c r="L1476" i="1"/>
  <c r="M1476" i="1" s="1"/>
  <c r="N1476" i="1" s="1"/>
  <c r="O1476" i="1" s="1"/>
  <c r="L1477" i="1"/>
  <c r="M1477" i="1" s="1"/>
  <c r="N1477" i="1" s="1"/>
  <c r="O1477" i="1" s="1"/>
  <c r="L1478" i="1"/>
  <c r="M1478" i="1" s="1"/>
  <c r="N1478" i="1" s="1"/>
  <c r="O1478" i="1" s="1"/>
  <c r="L1479" i="1"/>
  <c r="M1479" i="1" s="1"/>
  <c r="N1479" i="1" s="1"/>
  <c r="O1479" i="1" s="1"/>
  <c r="L1480" i="1"/>
  <c r="M1480" i="1" s="1"/>
  <c r="N1480" i="1" s="1"/>
  <c r="O1480" i="1" s="1"/>
  <c r="L1481" i="1"/>
  <c r="M1481" i="1" s="1"/>
  <c r="N1481" i="1" s="1"/>
  <c r="O1481" i="1" s="1"/>
  <c r="L1482" i="1"/>
  <c r="M1482" i="1" s="1"/>
  <c r="N1482" i="1" s="1"/>
  <c r="O1482" i="1" s="1"/>
  <c r="L1483" i="1"/>
  <c r="M1483" i="1" s="1"/>
  <c r="N1483" i="1" s="1"/>
  <c r="O1483" i="1" s="1"/>
  <c r="L1484" i="1"/>
  <c r="M1484" i="1" s="1"/>
  <c r="N1484" i="1" s="1"/>
  <c r="O1484" i="1" s="1"/>
  <c r="L1485" i="1"/>
  <c r="M1485" i="1" s="1"/>
  <c r="N1485" i="1" s="1"/>
  <c r="O1485" i="1" s="1"/>
  <c r="L1486" i="1"/>
  <c r="M1486" i="1" s="1"/>
  <c r="N1486" i="1" s="1"/>
  <c r="O1486" i="1" s="1"/>
  <c r="L1487" i="1"/>
  <c r="M1487" i="1" s="1"/>
  <c r="N1487" i="1" s="1"/>
  <c r="O1487" i="1" s="1"/>
  <c r="L1488" i="1"/>
  <c r="M1488" i="1" s="1"/>
  <c r="N1488" i="1" s="1"/>
  <c r="O1488" i="1" s="1"/>
  <c r="L1489" i="1"/>
  <c r="M1489" i="1" s="1"/>
  <c r="N1489" i="1" s="1"/>
  <c r="O1489" i="1" s="1"/>
  <c r="L1490" i="1"/>
  <c r="M1490" i="1" s="1"/>
  <c r="N1490" i="1" s="1"/>
  <c r="O1490" i="1" s="1"/>
  <c r="L1491" i="1"/>
  <c r="M1491" i="1" s="1"/>
  <c r="N1491" i="1" s="1"/>
  <c r="O1491" i="1" s="1"/>
  <c r="L1492" i="1"/>
  <c r="M1492" i="1" s="1"/>
  <c r="N1492" i="1" s="1"/>
  <c r="O1492" i="1" s="1"/>
  <c r="L1493" i="1"/>
  <c r="M1493" i="1" s="1"/>
  <c r="N1493" i="1" s="1"/>
  <c r="O1493" i="1" s="1"/>
  <c r="L1494" i="1"/>
  <c r="M1494" i="1" s="1"/>
  <c r="N1494" i="1" s="1"/>
  <c r="O1494" i="1" s="1"/>
  <c r="L1495" i="1"/>
  <c r="M1495" i="1" s="1"/>
  <c r="N1495" i="1" s="1"/>
  <c r="O1495" i="1" s="1"/>
  <c r="L1496" i="1"/>
  <c r="M1496" i="1" s="1"/>
  <c r="N1496" i="1" s="1"/>
  <c r="O1496" i="1" s="1"/>
  <c r="L1497" i="1"/>
  <c r="M1497" i="1" s="1"/>
  <c r="N1497" i="1" s="1"/>
  <c r="O1497" i="1" s="1"/>
  <c r="L1498" i="1"/>
  <c r="M1498" i="1" s="1"/>
  <c r="N1498" i="1" s="1"/>
  <c r="O1498" i="1" s="1"/>
  <c r="L1499" i="1"/>
  <c r="M1499" i="1" s="1"/>
  <c r="N1499" i="1" s="1"/>
  <c r="O1499" i="1" s="1"/>
  <c r="L1500" i="1"/>
  <c r="M1500" i="1" s="1"/>
  <c r="N1500" i="1" s="1"/>
  <c r="O1500" i="1" s="1"/>
  <c r="L1501" i="1"/>
  <c r="M1501" i="1" s="1"/>
  <c r="N1501" i="1" s="1"/>
  <c r="O1501" i="1" s="1"/>
  <c r="L1502" i="1"/>
  <c r="M1502" i="1" s="1"/>
  <c r="N1502" i="1" s="1"/>
  <c r="O1502" i="1" s="1"/>
  <c r="L1503" i="1"/>
  <c r="M1503" i="1" s="1"/>
  <c r="N1503" i="1" s="1"/>
  <c r="O1503" i="1" s="1"/>
  <c r="L1504" i="1"/>
  <c r="M1504" i="1" s="1"/>
  <c r="N1504" i="1" s="1"/>
  <c r="O1504" i="1" s="1"/>
  <c r="L1505" i="1"/>
  <c r="M1505" i="1" s="1"/>
  <c r="N1505" i="1" s="1"/>
  <c r="O1505" i="1" s="1"/>
  <c r="L1506" i="1"/>
  <c r="M1506" i="1" s="1"/>
  <c r="N1506" i="1" s="1"/>
  <c r="O1506" i="1" s="1"/>
  <c r="L1507" i="1"/>
  <c r="M1507" i="1" s="1"/>
  <c r="N1507" i="1" s="1"/>
  <c r="O1507" i="1" s="1"/>
  <c r="L1508" i="1"/>
  <c r="M1508" i="1" s="1"/>
  <c r="N1508" i="1" s="1"/>
  <c r="O1508" i="1" s="1"/>
  <c r="L1509" i="1"/>
  <c r="M1509" i="1" s="1"/>
  <c r="N1509" i="1" s="1"/>
  <c r="O1509" i="1" s="1"/>
  <c r="L1510" i="1"/>
  <c r="M1510" i="1" s="1"/>
  <c r="N1510" i="1" s="1"/>
  <c r="O1510" i="1" s="1"/>
  <c r="L1511" i="1"/>
  <c r="M1511" i="1" s="1"/>
  <c r="N1511" i="1" s="1"/>
  <c r="O1511" i="1" s="1"/>
  <c r="L1512" i="1"/>
  <c r="M1512" i="1" s="1"/>
  <c r="N1512" i="1" s="1"/>
  <c r="O1512" i="1" s="1"/>
  <c r="L1513" i="1"/>
  <c r="M1513" i="1" s="1"/>
  <c r="N1513" i="1" s="1"/>
  <c r="O1513" i="1" s="1"/>
  <c r="L1514" i="1"/>
  <c r="M1514" i="1" s="1"/>
  <c r="N1514" i="1" s="1"/>
  <c r="O1514" i="1" s="1"/>
  <c r="L1515" i="1"/>
  <c r="M1515" i="1" s="1"/>
  <c r="N1515" i="1" s="1"/>
  <c r="O1515" i="1" s="1"/>
  <c r="L1516" i="1"/>
  <c r="M1516" i="1" s="1"/>
  <c r="N1516" i="1" s="1"/>
  <c r="O1516" i="1" s="1"/>
  <c r="L1517" i="1"/>
  <c r="M1517" i="1" s="1"/>
  <c r="N1517" i="1" s="1"/>
  <c r="O1517" i="1" s="1"/>
  <c r="L1518" i="1"/>
  <c r="M1518" i="1" s="1"/>
  <c r="N1518" i="1" s="1"/>
  <c r="O1518" i="1" s="1"/>
  <c r="L1519" i="1"/>
  <c r="M1519" i="1" s="1"/>
  <c r="N1519" i="1" s="1"/>
  <c r="O1519" i="1" s="1"/>
  <c r="L1520" i="1"/>
  <c r="M1520" i="1" s="1"/>
  <c r="N1520" i="1" s="1"/>
  <c r="O1520" i="1" s="1"/>
  <c r="L1521" i="1"/>
  <c r="M1521" i="1" s="1"/>
  <c r="N1521" i="1" s="1"/>
  <c r="O1521" i="1" s="1"/>
  <c r="L1522" i="1"/>
  <c r="M1522" i="1" s="1"/>
  <c r="N1522" i="1" s="1"/>
  <c r="O1522" i="1" s="1"/>
  <c r="L1523" i="1"/>
  <c r="M1523" i="1" s="1"/>
  <c r="N1523" i="1" s="1"/>
  <c r="O1523" i="1" s="1"/>
  <c r="L1524" i="1"/>
  <c r="M1524" i="1" s="1"/>
  <c r="N1524" i="1" s="1"/>
  <c r="O1524" i="1" s="1"/>
  <c r="L1525" i="1"/>
  <c r="M1525" i="1" s="1"/>
  <c r="N1525" i="1" s="1"/>
  <c r="O1525" i="1" s="1"/>
  <c r="L1526" i="1"/>
  <c r="M1526" i="1" s="1"/>
  <c r="N1526" i="1" s="1"/>
  <c r="O1526" i="1" s="1"/>
  <c r="L1527" i="1"/>
  <c r="M1527" i="1" s="1"/>
  <c r="N1527" i="1" s="1"/>
  <c r="O1527" i="1" s="1"/>
  <c r="L1528" i="1"/>
  <c r="M1528" i="1" s="1"/>
  <c r="N1528" i="1" s="1"/>
  <c r="O1528" i="1" s="1"/>
  <c r="L1529" i="1"/>
  <c r="M1529" i="1" s="1"/>
  <c r="N1529" i="1" s="1"/>
  <c r="O1529" i="1" s="1"/>
  <c r="L1530" i="1"/>
  <c r="M1530" i="1" s="1"/>
  <c r="N1530" i="1" s="1"/>
  <c r="O1530" i="1" s="1"/>
  <c r="L1531" i="1"/>
  <c r="M1531" i="1" s="1"/>
  <c r="N1531" i="1" s="1"/>
  <c r="O1531" i="1" s="1"/>
  <c r="L1532" i="1"/>
  <c r="M1532" i="1" s="1"/>
  <c r="N1532" i="1" s="1"/>
  <c r="O1532" i="1" s="1"/>
  <c r="L1533" i="1"/>
  <c r="M1533" i="1" s="1"/>
  <c r="N1533" i="1" s="1"/>
  <c r="O1533" i="1" s="1"/>
  <c r="L1534" i="1"/>
  <c r="M1534" i="1" s="1"/>
  <c r="N1534" i="1" s="1"/>
  <c r="O1534" i="1" s="1"/>
  <c r="L1535" i="1"/>
  <c r="M1535" i="1" s="1"/>
  <c r="N1535" i="1" s="1"/>
  <c r="O1535" i="1" s="1"/>
  <c r="L1536" i="1"/>
  <c r="M1536" i="1" s="1"/>
  <c r="N1536" i="1" s="1"/>
  <c r="O1536" i="1" s="1"/>
  <c r="L1537" i="1"/>
  <c r="M1537" i="1" s="1"/>
  <c r="N1537" i="1" s="1"/>
  <c r="O1537" i="1" s="1"/>
  <c r="L1538" i="1"/>
  <c r="M1538" i="1" s="1"/>
  <c r="N1538" i="1" s="1"/>
  <c r="O1538" i="1" s="1"/>
  <c r="L1539" i="1"/>
  <c r="M1539" i="1" s="1"/>
  <c r="N1539" i="1" s="1"/>
  <c r="O1539" i="1" s="1"/>
  <c r="L1540" i="1"/>
  <c r="M1540" i="1" s="1"/>
  <c r="N1540" i="1" s="1"/>
  <c r="O1540" i="1" s="1"/>
  <c r="L1541" i="1"/>
  <c r="M1541" i="1" s="1"/>
  <c r="N1541" i="1" s="1"/>
  <c r="O1541" i="1" s="1"/>
  <c r="L1542" i="1"/>
  <c r="M1542" i="1" s="1"/>
  <c r="N1542" i="1" s="1"/>
  <c r="O1542" i="1" s="1"/>
  <c r="L1543" i="1"/>
  <c r="M1543" i="1" s="1"/>
  <c r="N1543" i="1" s="1"/>
  <c r="O1543" i="1" s="1"/>
  <c r="L1544" i="1"/>
  <c r="M1544" i="1" s="1"/>
  <c r="N1544" i="1" s="1"/>
  <c r="O1544" i="1" s="1"/>
  <c r="L1545" i="1"/>
  <c r="M1545" i="1" s="1"/>
  <c r="N1545" i="1" s="1"/>
  <c r="O1545" i="1" s="1"/>
  <c r="L1546" i="1"/>
  <c r="M1546" i="1" s="1"/>
  <c r="N1546" i="1" s="1"/>
  <c r="O1546" i="1" s="1"/>
  <c r="L1547" i="1"/>
  <c r="M1547" i="1" s="1"/>
  <c r="N1547" i="1" s="1"/>
  <c r="O1547" i="1" s="1"/>
  <c r="L1548" i="1"/>
  <c r="M1548" i="1" s="1"/>
  <c r="N1548" i="1" s="1"/>
  <c r="O1548" i="1" s="1"/>
  <c r="L1549" i="1"/>
  <c r="M1549" i="1" s="1"/>
  <c r="N1549" i="1" s="1"/>
  <c r="O1549" i="1" s="1"/>
  <c r="L1550" i="1"/>
  <c r="M1550" i="1" s="1"/>
  <c r="N1550" i="1" s="1"/>
  <c r="O1550" i="1" s="1"/>
  <c r="L1551" i="1"/>
  <c r="M1551" i="1" s="1"/>
  <c r="N1551" i="1" s="1"/>
  <c r="O1551" i="1" s="1"/>
  <c r="L1552" i="1"/>
  <c r="M1552" i="1" s="1"/>
  <c r="N1552" i="1" s="1"/>
  <c r="O1552" i="1" s="1"/>
  <c r="L1553" i="1"/>
  <c r="M1553" i="1" s="1"/>
  <c r="N1553" i="1" s="1"/>
  <c r="O1553" i="1" s="1"/>
  <c r="L1554" i="1"/>
  <c r="M1554" i="1" s="1"/>
  <c r="N1554" i="1" s="1"/>
  <c r="O1554" i="1" s="1"/>
  <c r="L1555" i="1"/>
  <c r="M1555" i="1" s="1"/>
  <c r="N1555" i="1" s="1"/>
  <c r="O1555" i="1" s="1"/>
  <c r="L1556" i="1"/>
  <c r="M1556" i="1" s="1"/>
  <c r="N1556" i="1" s="1"/>
  <c r="O1556" i="1" s="1"/>
  <c r="L1557" i="1"/>
  <c r="M1557" i="1" s="1"/>
  <c r="N1557" i="1" s="1"/>
  <c r="O1557" i="1" s="1"/>
  <c r="L1558" i="1"/>
  <c r="M1558" i="1" s="1"/>
  <c r="N1558" i="1" s="1"/>
  <c r="O1558" i="1" s="1"/>
  <c r="L1559" i="1"/>
  <c r="M1559" i="1" s="1"/>
  <c r="N1559" i="1" s="1"/>
  <c r="O1559" i="1" s="1"/>
  <c r="L1560" i="1"/>
  <c r="M1560" i="1" s="1"/>
  <c r="N1560" i="1" s="1"/>
  <c r="O1560" i="1" s="1"/>
  <c r="L1561" i="1"/>
  <c r="M1561" i="1" s="1"/>
  <c r="N1561" i="1" s="1"/>
  <c r="O1561" i="1" s="1"/>
  <c r="L1562" i="1"/>
  <c r="M1562" i="1" s="1"/>
  <c r="N1562" i="1" s="1"/>
  <c r="O1562" i="1" s="1"/>
  <c r="L1563" i="1"/>
  <c r="M1563" i="1" s="1"/>
  <c r="N1563" i="1" s="1"/>
  <c r="O1563" i="1" s="1"/>
  <c r="L1564" i="1"/>
  <c r="M1564" i="1" s="1"/>
  <c r="N1564" i="1" s="1"/>
  <c r="O1564" i="1" s="1"/>
  <c r="L1565" i="1"/>
  <c r="M1565" i="1" s="1"/>
  <c r="N1565" i="1" s="1"/>
  <c r="O1565" i="1" s="1"/>
  <c r="L1566" i="1"/>
  <c r="M1566" i="1" s="1"/>
  <c r="N1566" i="1" s="1"/>
  <c r="O1566" i="1" s="1"/>
  <c r="L1567" i="1"/>
  <c r="M1567" i="1" s="1"/>
  <c r="N1567" i="1" s="1"/>
  <c r="O1567" i="1" s="1"/>
  <c r="L1568" i="1"/>
  <c r="M1568" i="1" s="1"/>
  <c r="N1568" i="1" s="1"/>
  <c r="O1568" i="1" s="1"/>
  <c r="L1569" i="1"/>
  <c r="M1569" i="1" s="1"/>
  <c r="N1569" i="1" s="1"/>
  <c r="O1569" i="1" s="1"/>
  <c r="L1570" i="1"/>
  <c r="M1570" i="1" s="1"/>
  <c r="N1570" i="1" s="1"/>
  <c r="O1570" i="1" s="1"/>
  <c r="L1571" i="1"/>
  <c r="M1571" i="1" s="1"/>
  <c r="N1571" i="1" s="1"/>
  <c r="O1571" i="1" s="1"/>
  <c r="L1572" i="1"/>
  <c r="M1572" i="1" s="1"/>
  <c r="N1572" i="1" s="1"/>
  <c r="O1572" i="1" s="1"/>
  <c r="L1573" i="1"/>
  <c r="M1573" i="1" s="1"/>
  <c r="N1573" i="1" s="1"/>
  <c r="O1573" i="1" s="1"/>
  <c r="L1574" i="1"/>
  <c r="M1574" i="1" s="1"/>
  <c r="N1574" i="1" s="1"/>
  <c r="O1574" i="1" s="1"/>
  <c r="L1575" i="1"/>
  <c r="M1575" i="1" s="1"/>
  <c r="N1575" i="1" s="1"/>
  <c r="O1575" i="1" s="1"/>
  <c r="L1576" i="1"/>
  <c r="M1576" i="1" s="1"/>
  <c r="N1576" i="1" s="1"/>
  <c r="O1576" i="1" s="1"/>
  <c r="L1577" i="1"/>
  <c r="M1577" i="1" s="1"/>
  <c r="N1577" i="1" s="1"/>
  <c r="O1577" i="1" s="1"/>
  <c r="L1578" i="1"/>
  <c r="M1578" i="1" s="1"/>
  <c r="N1578" i="1" s="1"/>
  <c r="O1578" i="1" s="1"/>
  <c r="L1579" i="1"/>
  <c r="M1579" i="1" s="1"/>
  <c r="N1579" i="1" s="1"/>
  <c r="O1579" i="1" s="1"/>
  <c r="L1580" i="1"/>
  <c r="M1580" i="1" s="1"/>
  <c r="N1580" i="1" s="1"/>
  <c r="O1580" i="1" s="1"/>
  <c r="L1581" i="1"/>
  <c r="M1581" i="1" s="1"/>
  <c r="N1581" i="1" s="1"/>
  <c r="O1581" i="1" s="1"/>
  <c r="L1582" i="1"/>
  <c r="M1582" i="1" s="1"/>
  <c r="N1582" i="1" s="1"/>
  <c r="O1582" i="1" s="1"/>
  <c r="L1583" i="1"/>
  <c r="M1583" i="1" s="1"/>
  <c r="N1583" i="1" s="1"/>
  <c r="O1583" i="1" s="1"/>
  <c r="L1584" i="1"/>
  <c r="M1584" i="1" s="1"/>
  <c r="N1584" i="1" s="1"/>
  <c r="O1584" i="1" s="1"/>
  <c r="L1585" i="1"/>
  <c r="M1585" i="1" s="1"/>
  <c r="N1585" i="1" s="1"/>
  <c r="O1585" i="1" s="1"/>
  <c r="L1586" i="1"/>
  <c r="M1586" i="1" s="1"/>
  <c r="N1586" i="1" s="1"/>
  <c r="O1586" i="1" s="1"/>
  <c r="L1587" i="1"/>
  <c r="M1587" i="1" s="1"/>
  <c r="N1587" i="1" s="1"/>
  <c r="O1587" i="1" s="1"/>
  <c r="L1588" i="1"/>
  <c r="M1588" i="1" s="1"/>
  <c r="N1588" i="1" s="1"/>
  <c r="O1588" i="1" s="1"/>
  <c r="L1589" i="1"/>
  <c r="M1589" i="1" s="1"/>
  <c r="N1589" i="1" s="1"/>
  <c r="O1589" i="1" s="1"/>
  <c r="L1590" i="1"/>
  <c r="M1590" i="1" s="1"/>
  <c r="N1590" i="1" s="1"/>
  <c r="O1590" i="1" s="1"/>
  <c r="L1591" i="1"/>
  <c r="M1591" i="1" s="1"/>
  <c r="N1591" i="1" s="1"/>
  <c r="O1591" i="1" s="1"/>
  <c r="L1592" i="1"/>
  <c r="M1592" i="1" s="1"/>
  <c r="N1592" i="1" s="1"/>
  <c r="O1592" i="1" s="1"/>
  <c r="L1593" i="1"/>
  <c r="M1593" i="1" s="1"/>
  <c r="N1593" i="1" s="1"/>
  <c r="O1593" i="1" s="1"/>
  <c r="L1594" i="1"/>
  <c r="M1594" i="1" s="1"/>
  <c r="N1594" i="1" s="1"/>
  <c r="O1594" i="1" s="1"/>
  <c r="L1595" i="1"/>
  <c r="M1595" i="1" s="1"/>
  <c r="N1595" i="1" s="1"/>
  <c r="O1595" i="1" s="1"/>
  <c r="L1596" i="1"/>
  <c r="M1596" i="1" s="1"/>
  <c r="N1596" i="1" s="1"/>
  <c r="O1596" i="1" s="1"/>
  <c r="L1597" i="1"/>
  <c r="M1597" i="1" s="1"/>
  <c r="N1597" i="1" s="1"/>
  <c r="O1597" i="1" s="1"/>
  <c r="L1598" i="1"/>
  <c r="M1598" i="1" s="1"/>
  <c r="N1598" i="1" s="1"/>
  <c r="O1598" i="1" s="1"/>
  <c r="L1599" i="1"/>
  <c r="M1599" i="1" s="1"/>
  <c r="N1599" i="1" s="1"/>
  <c r="O1599" i="1" s="1"/>
  <c r="L1600" i="1"/>
  <c r="M1600" i="1" s="1"/>
  <c r="N1600" i="1" s="1"/>
  <c r="O1600" i="1" s="1"/>
  <c r="L1601" i="1"/>
  <c r="M1601" i="1" s="1"/>
  <c r="N1601" i="1" s="1"/>
  <c r="O1601" i="1" s="1"/>
  <c r="L1602" i="1"/>
  <c r="M1602" i="1" s="1"/>
  <c r="N1602" i="1" s="1"/>
  <c r="O1602" i="1" s="1"/>
  <c r="L1603" i="1"/>
  <c r="M1603" i="1" s="1"/>
  <c r="N1603" i="1" s="1"/>
  <c r="O1603" i="1" s="1"/>
  <c r="L1604" i="1"/>
  <c r="M1604" i="1" s="1"/>
  <c r="N1604" i="1" s="1"/>
  <c r="O1604" i="1" s="1"/>
  <c r="L1605" i="1"/>
  <c r="M1605" i="1" s="1"/>
  <c r="N1605" i="1" s="1"/>
  <c r="O1605" i="1" s="1"/>
  <c r="L1606" i="1"/>
  <c r="M1606" i="1" s="1"/>
  <c r="N1606" i="1" s="1"/>
  <c r="O1606" i="1" s="1"/>
  <c r="L1607" i="1"/>
  <c r="M1607" i="1" s="1"/>
  <c r="N1607" i="1" s="1"/>
  <c r="O1607" i="1" s="1"/>
  <c r="L1608" i="1"/>
  <c r="M1608" i="1" s="1"/>
  <c r="N1608" i="1" s="1"/>
  <c r="O1608" i="1" s="1"/>
  <c r="L1609" i="1"/>
  <c r="M1609" i="1" s="1"/>
  <c r="N1609" i="1" s="1"/>
  <c r="O1609" i="1" s="1"/>
  <c r="L1610" i="1"/>
  <c r="M1610" i="1" s="1"/>
  <c r="N1610" i="1" s="1"/>
  <c r="O1610" i="1" s="1"/>
  <c r="L1611" i="1"/>
  <c r="M1611" i="1" s="1"/>
  <c r="N1611" i="1" s="1"/>
  <c r="O1611" i="1" s="1"/>
  <c r="L1612" i="1"/>
  <c r="M1612" i="1" s="1"/>
  <c r="N1612" i="1" s="1"/>
  <c r="O1612" i="1" s="1"/>
  <c r="L1613" i="1"/>
  <c r="M1613" i="1" s="1"/>
  <c r="N1613" i="1" s="1"/>
  <c r="O1613" i="1" s="1"/>
  <c r="L1614" i="1"/>
  <c r="M1614" i="1" s="1"/>
  <c r="N1614" i="1" s="1"/>
  <c r="O1614" i="1" s="1"/>
  <c r="L1615" i="1"/>
  <c r="M1615" i="1" s="1"/>
  <c r="N1615" i="1" s="1"/>
  <c r="O1615" i="1" s="1"/>
  <c r="L1616" i="1"/>
  <c r="M1616" i="1" s="1"/>
  <c r="N1616" i="1" s="1"/>
  <c r="O1616" i="1" s="1"/>
  <c r="L1617" i="1"/>
  <c r="M1617" i="1" s="1"/>
  <c r="N1617" i="1" s="1"/>
  <c r="O1617" i="1" s="1"/>
  <c r="L1618" i="1"/>
  <c r="M1618" i="1" s="1"/>
  <c r="N1618" i="1" s="1"/>
  <c r="O1618" i="1" s="1"/>
  <c r="L1619" i="1"/>
  <c r="M1619" i="1" s="1"/>
  <c r="N1619" i="1" s="1"/>
  <c r="O1619" i="1" s="1"/>
  <c r="L1620" i="1"/>
  <c r="M1620" i="1" s="1"/>
  <c r="N1620" i="1" s="1"/>
  <c r="O1620" i="1" s="1"/>
  <c r="L1621" i="1"/>
  <c r="M1621" i="1" s="1"/>
  <c r="N1621" i="1" s="1"/>
  <c r="O1621" i="1" s="1"/>
  <c r="L1622" i="1"/>
  <c r="M1622" i="1" s="1"/>
  <c r="N1622" i="1" s="1"/>
  <c r="O1622" i="1" s="1"/>
  <c r="L1623" i="1"/>
  <c r="M1623" i="1" s="1"/>
  <c r="N1623" i="1" s="1"/>
  <c r="O1623" i="1" s="1"/>
  <c r="L1624" i="1"/>
  <c r="M1624" i="1" s="1"/>
  <c r="N1624" i="1" s="1"/>
  <c r="O1624" i="1" s="1"/>
  <c r="L1625" i="1"/>
  <c r="M1625" i="1" s="1"/>
  <c r="N1625" i="1" s="1"/>
  <c r="O1625" i="1" s="1"/>
  <c r="L1626" i="1"/>
  <c r="M1626" i="1" s="1"/>
  <c r="N1626" i="1" s="1"/>
  <c r="O1626" i="1" s="1"/>
  <c r="L1627" i="1"/>
  <c r="M1627" i="1" s="1"/>
  <c r="N1627" i="1" s="1"/>
  <c r="O1627" i="1" s="1"/>
  <c r="L1628" i="1"/>
  <c r="M1628" i="1" s="1"/>
  <c r="N1628" i="1" s="1"/>
  <c r="O1628" i="1" s="1"/>
  <c r="L1629" i="1"/>
  <c r="M1629" i="1" s="1"/>
  <c r="N1629" i="1" s="1"/>
  <c r="O1629" i="1" s="1"/>
  <c r="L1630" i="1"/>
  <c r="M1630" i="1" s="1"/>
  <c r="N1630" i="1" s="1"/>
  <c r="O1630" i="1" s="1"/>
  <c r="L1631" i="1"/>
  <c r="M1631" i="1" s="1"/>
  <c r="N1631" i="1" s="1"/>
  <c r="O1631" i="1" s="1"/>
  <c r="L1632" i="1"/>
  <c r="M1632" i="1" s="1"/>
  <c r="N1632" i="1" s="1"/>
  <c r="O1632" i="1" s="1"/>
  <c r="L1633" i="1"/>
  <c r="M1633" i="1" s="1"/>
  <c r="N1633" i="1" s="1"/>
  <c r="O1633" i="1" s="1"/>
  <c r="L1634" i="1"/>
  <c r="M1634" i="1" s="1"/>
  <c r="N1634" i="1" s="1"/>
  <c r="O1634" i="1" s="1"/>
  <c r="L1635" i="1"/>
  <c r="M1635" i="1" s="1"/>
  <c r="N1635" i="1" s="1"/>
  <c r="O1635" i="1" s="1"/>
  <c r="L1636" i="1"/>
  <c r="M1636" i="1" s="1"/>
  <c r="N1636" i="1" s="1"/>
  <c r="O1636" i="1" s="1"/>
  <c r="L1637" i="1"/>
  <c r="M1637" i="1" s="1"/>
  <c r="N1637" i="1" s="1"/>
  <c r="O1637" i="1" s="1"/>
  <c r="L1638" i="1"/>
  <c r="M1638" i="1" s="1"/>
  <c r="N1638" i="1" s="1"/>
  <c r="O1638" i="1" s="1"/>
  <c r="L1639" i="1"/>
  <c r="M1639" i="1" s="1"/>
  <c r="N1639" i="1" s="1"/>
  <c r="O1639" i="1" s="1"/>
  <c r="L1640" i="1"/>
  <c r="M1640" i="1" s="1"/>
  <c r="N1640" i="1" s="1"/>
  <c r="O1640" i="1" s="1"/>
  <c r="L1641" i="1"/>
  <c r="M1641" i="1" s="1"/>
  <c r="N1641" i="1" s="1"/>
  <c r="O1641" i="1" s="1"/>
  <c r="L1642" i="1"/>
  <c r="M1642" i="1" s="1"/>
  <c r="N1642" i="1" s="1"/>
  <c r="O1642" i="1" s="1"/>
  <c r="L1643" i="1"/>
  <c r="M1643" i="1" s="1"/>
  <c r="N1643" i="1" s="1"/>
  <c r="O1643" i="1" s="1"/>
  <c r="L1644" i="1"/>
  <c r="M1644" i="1" s="1"/>
  <c r="N1644" i="1" s="1"/>
  <c r="O1644" i="1" s="1"/>
  <c r="L1645" i="1"/>
  <c r="M1645" i="1" s="1"/>
  <c r="N1645" i="1" s="1"/>
  <c r="O1645" i="1" s="1"/>
  <c r="L1646" i="1"/>
  <c r="M1646" i="1" s="1"/>
  <c r="N1646" i="1" s="1"/>
  <c r="O1646" i="1" s="1"/>
  <c r="L1647" i="1"/>
  <c r="M1647" i="1" s="1"/>
  <c r="N1647" i="1" s="1"/>
  <c r="O1647" i="1" s="1"/>
  <c r="L1648" i="1"/>
  <c r="M1648" i="1" s="1"/>
  <c r="N1648" i="1" s="1"/>
  <c r="O1648" i="1" s="1"/>
  <c r="L1649" i="1"/>
  <c r="M1649" i="1" s="1"/>
  <c r="N1649" i="1" s="1"/>
  <c r="O1649" i="1" s="1"/>
  <c r="L1650" i="1"/>
  <c r="M1650" i="1" s="1"/>
  <c r="N1650" i="1" s="1"/>
  <c r="O1650" i="1" s="1"/>
  <c r="L1651" i="1"/>
  <c r="M1651" i="1" s="1"/>
  <c r="N1651" i="1" s="1"/>
  <c r="O1651" i="1" s="1"/>
  <c r="L1652" i="1"/>
  <c r="M1652" i="1" s="1"/>
  <c r="N1652" i="1" s="1"/>
  <c r="O1652" i="1" s="1"/>
  <c r="L1653" i="1"/>
  <c r="M1653" i="1" s="1"/>
  <c r="N1653" i="1" s="1"/>
  <c r="O1653" i="1" s="1"/>
  <c r="L1654" i="1"/>
  <c r="M1654" i="1" s="1"/>
  <c r="N1654" i="1" s="1"/>
  <c r="O1654" i="1" s="1"/>
  <c r="L1655" i="1"/>
  <c r="M1655" i="1" s="1"/>
  <c r="N1655" i="1" s="1"/>
  <c r="O1655" i="1" s="1"/>
  <c r="L1656" i="1"/>
  <c r="M1656" i="1" s="1"/>
  <c r="N1656" i="1" s="1"/>
  <c r="O1656" i="1" s="1"/>
  <c r="L1657" i="1"/>
  <c r="M1657" i="1" s="1"/>
  <c r="N1657" i="1" s="1"/>
  <c r="O1657" i="1" s="1"/>
  <c r="L1658" i="1"/>
  <c r="M1658" i="1" s="1"/>
  <c r="N1658" i="1" s="1"/>
  <c r="O1658" i="1" s="1"/>
  <c r="L1659" i="1"/>
  <c r="M1659" i="1" s="1"/>
  <c r="N1659" i="1" s="1"/>
  <c r="O1659" i="1" s="1"/>
  <c r="L1660" i="1"/>
  <c r="M1660" i="1" s="1"/>
  <c r="N1660" i="1" s="1"/>
  <c r="O1660" i="1" s="1"/>
  <c r="L1661" i="1"/>
  <c r="M1661" i="1" s="1"/>
  <c r="N1661" i="1" s="1"/>
  <c r="O1661" i="1" s="1"/>
  <c r="L1662" i="1"/>
  <c r="M1662" i="1" s="1"/>
  <c r="N1662" i="1" s="1"/>
  <c r="O1662" i="1" s="1"/>
  <c r="L1663" i="1"/>
  <c r="M1663" i="1" s="1"/>
  <c r="N1663" i="1" s="1"/>
  <c r="O1663" i="1" s="1"/>
  <c r="L1664" i="1"/>
  <c r="M1664" i="1" s="1"/>
  <c r="N1664" i="1" s="1"/>
  <c r="O1664" i="1" s="1"/>
  <c r="L1665" i="1"/>
  <c r="M1665" i="1" s="1"/>
  <c r="N1665" i="1" s="1"/>
  <c r="O1665" i="1" s="1"/>
  <c r="L1666" i="1"/>
  <c r="M1666" i="1" s="1"/>
  <c r="N1666" i="1" s="1"/>
  <c r="O1666" i="1" s="1"/>
  <c r="L1667" i="1"/>
  <c r="M1667" i="1" s="1"/>
  <c r="N1667" i="1" s="1"/>
  <c r="O1667" i="1" s="1"/>
  <c r="L1668" i="1"/>
  <c r="M1668" i="1" s="1"/>
  <c r="N1668" i="1" s="1"/>
  <c r="O1668" i="1" s="1"/>
  <c r="L6" i="1"/>
  <c r="M6" i="1" s="1"/>
  <c r="N6" i="1" s="1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12" i="2"/>
  <c r="AA420" i="2"/>
  <c r="AA421" i="2"/>
  <c r="AA422" i="2" s="1"/>
  <c r="A420" i="2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43" i="4"/>
  <c r="O6" i="1" l="1"/>
  <c r="R1" i="1"/>
  <c r="AA423" i="2"/>
  <c r="AA424" i="2" l="1"/>
  <c r="AA425" i="2" l="1"/>
  <c r="AA426" i="2" l="1"/>
  <c r="AA427" i="2" l="1"/>
  <c r="AA428" i="2" l="1"/>
  <c r="AA429" i="2" l="1"/>
  <c r="AA430" i="2" l="1"/>
  <c r="AA431" i="2" l="1"/>
  <c r="AA432" i="2" l="1"/>
  <c r="AA433" i="2" l="1"/>
  <c r="AA434" i="2" l="1"/>
  <c r="AA435" i="2" l="1"/>
  <c r="AA436" i="2" l="1"/>
  <c r="AA437" i="2" l="1"/>
  <c r="AA438" i="2" l="1"/>
  <c r="AA439" i="2" l="1"/>
  <c r="AA440" i="2" l="1"/>
  <c r="AA441" i="2" l="1"/>
  <c r="AA442" i="2" l="1"/>
  <c r="AA443" i="2" l="1"/>
  <c r="AA444" i="2" l="1"/>
  <c r="AA445" i="2" l="1"/>
  <c r="AA446" i="2" l="1"/>
  <c r="AA447" i="2" l="1"/>
  <c r="AA448" i="2" l="1"/>
  <c r="AA449" i="2" l="1"/>
  <c r="AA450" i="2" l="1"/>
  <c r="AA451" i="2" l="1"/>
  <c r="AA452" i="2" l="1"/>
  <c r="AA453" i="2" l="1"/>
  <c r="AA454" i="2" l="1"/>
  <c r="AA455" i="2" l="1"/>
  <c r="AA13" i="2" l="1"/>
  <c r="AA12" i="2"/>
  <c r="AA14" i="2" l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A15" i="2" l="1"/>
  <c r="B11" i="2"/>
  <c r="A12" i="2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N11" i="2" l="1"/>
  <c r="O515" i="2"/>
  <c r="AA16" i="2"/>
  <c r="B12" i="2"/>
  <c r="C11" i="2"/>
  <c r="X12" i="2" l="1"/>
  <c r="Y11" i="2" s="1"/>
  <c r="N12" i="2"/>
  <c r="AA17" i="2"/>
  <c r="D11" i="2"/>
  <c r="M11" i="2"/>
  <c r="E11" i="2"/>
  <c r="F11" i="2"/>
  <c r="V12" i="2"/>
  <c r="C12" i="2"/>
  <c r="B13" i="2"/>
  <c r="G11" i="2" l="1"/>
  <c r="I11" i="2" s="1"/>
  <c r="H11" i="2"/>
  <c r="J11" i="2" s="1"/>
  <c r="N13" i="2"/>
  <c r="O12" i="2" s="1"/>
  <c r="X13" i="2"/>
  <c r="Y12" i="2" s="1"/>
  <c r="AA18" i="2"/>
  <c r="V13" i="2"/>
  <c r="B14" i="2"/>
  <c r="C13" i="2"/>
  <c r="E12" i="2"/>
  <c r="D12" i="2"/>
  <c r="F12" i="2"/>
  <c r="M12" i="2"/>
  <c r="S12" i="2"/>
  <c r="U12" i="2" s="1"/>
  <c r="R12" i="2"/>
  <c r="K11" i="2" l="1"/>
  <c r="G12" i="2"/>
  <c r="I12" i="2" s="1"/>
  <c r="H12" i="2"/>
  <c r="J12" i="2" s="1"/>
  <c r="N14" i="2"/>
  <c r="O13" i="2" s="1"/>
  <c r="X14" i="2"/>
  <c r="Y13" i="2" s="1"/>
  <c r="Z12" i="2"/>
  <c r="AB12" i="2" s="1"/>
  <c r="W12" i="2"/>
  <c r="AA19" i="2"/>
  <c r="M13" i="2"/>
  <c r="E13" i="2"/>
  <c r="F13" i="2"/>
  <c r="D13" i="2"/>
  <c r="V14" i="2"/>
  <c r="B15" i="2"/>
  <c r="C14" i="2"/>
  <c r="K12" i="2" l="1"/>
  <c r="L12" i="2" s="1"/>
  <c r="P12" i="2" s="1"/>
  <c r="Q12" i="2" s="1"/>
  <c r="G13" i="2"/>
  <c r="I13" i="2" s="1"/>
  <c r="H13" i="2"/>
  <c r="J13" i="2" s="1"/>
  <c r="N15" i="2"/>
  <c r="O14" i="2" s="1"/>
  <c r="X15" i="2"/>
  <c r="Y14" i="2" s="1"/>
  <c r="AA20" i="2"/>
  <c r="D14" i="2"/>
  <c r="M14" i="2"/>
  <c r="F14" i="2"/>
  <c r="E14" i="2"/>
  <c r="V15" i="2"/>
  <c r="C15" i="2"/>
  <c r="B16" i="2"/>
  <c r="T12" i="2" l="1"/>
  <c r="AE12" i="2" s="1"/>
  <c r="K13" i="2"/>
  <c r="L13" i="2" s="1"/>
  <c r="G14" i="2"/>
  <c r="I14" i="2" s="1"/>
  <c r="H14" i="2"/>
  <c r="J14" i="2" s="1"/>
  <c r="N16" i="2"/>
  <c r="O15" i="2" s="1"/>
  <c r="X16" i="2"/>
  <c r="Y15" i="2" s="1"/>
  <c r="AA21" i="2"/>
  <c r="R13" i="2"/>
  <c r="S13" i="2"/>
  <c r="U13" i="2" s="1"/>
  <c r="V16" i="2"/>
  <c r="B17" i="2"/>
  <c r="C16" i="2"/>
  <c r="M15" i="2"/>
  <c r="F15" i="2"/>
  <c r="E15" i="2"/>
  <c r="D15" i="2"/>
  <c r="K14" i="2" l="1"/>
  <c r="G15" i="2"/>
  <c r="I15" i="2" s="1"/>
  <c r="H15" i="2"/>
  <c r="J15" i="2" s="1"/>
  <c r="N17" i="2"/>
  <c r="O16" i="2" s="1"/>
  <c r="X17" i="2"/>
  <c r="Y16" i="2" s="1"/>
  <c r="Z13" i="2"/>
  <c r="AB13" i="2" s="1"/>
  <c r="W13" i="2"/>
  <c r="AA22" i="2"/>
  <c r="T13" i="2"/>
  <c r="AE13" i="2" s="1"/>
  <c r="P13" i="2"/>
  <c r="Q13" i="2" s="1"/>
  <c r="M16" i="2"/>
  <c r="F16" i="2"/>
  <c r="D16" i="2"/>
  <c r="E16" i="2"/>
  <c r="V17" i="2"/>
  <c r="B18" i="2"/>
  <c r="C17" i="2"/>
  <c r="K15" i="2" l="1"/>
  <c r="G16" i="2"/>
  <c r="I16" i="2" s="1"/>
  <c r="H16" i="2"/>
  <c r="J16" i="2" s="1"/>
  <c r="N18" i="2"/>
  <c r="O17" i="2" s="1"/>
  <c r="X18" i="2"/>
  <c r="Y17" i="2" s="1"/>
  <c r="R14" i="2"/>
  <c r="S14" i="2"/>
  <c r="U14" i="2" s="1"/>
  <c r="AA23" i="2"/>
  <c r="L14" i="2"/>
  <c r="M17" i="2"/>
  <c r="D17" i="2"/>
  <c r="E17" i="2"/>
  <c r="F17" i="2"/>
  <c r="V18" i="2"/>
  <c r="C18" i="2"/>
  <c r="B19" i="2"/>
  <c r="G17" i="2" l="1"/>
  <c r="I17" i="2" s="1"/>
  <c r="H17" i="2"/>
  <c r="J17" i="2" s="1"/>
  <c r="K16" i="2"/>
  <c r="X19" i="2"/>
  <c r="Y18" i="2" s="1"/>
  <c r="Z14" i="2"/>
  <c r="AB14" i="2" s="1"/>
  <c r="W14" i="2"/>
  <c r="N19" i="2"/>
  <c r="O18" i="2" s="1"/>
  <c r="P14" i="2"/>
  <c r="Q14" i="2" s="1"/>
  <c r="T14" i="2"/>
  <c r="AE14" i="2" s="1"/>
  <c r="AA24" i="2"/>
  <c r="V19" i="2"/>
  <c r="B20" i="2"/>
  <c r="C19" i="2"/>
  <c r="D18" i="2"/>
  <c r="F18" i="2"/>
  <c r="E18" i="2"/>
  <c r="M18" i="2"/>
  <c r="K17" i="2" l="1"/>
  <c r="G18" i="2"/>
  <c r="I18" i="2" s="1"/>
  <c r="H18" i="2"/>
  <c r="J18" i="2" s="1"/>
  <c r="X20" i="2"/>
  <c r="Y19" i="2" s="1"/>
  <c r="N20" i="2"/>
  <c r="O19" i="2" s="1"/>
  <c r="S15" i="2"/>
  <c r="U15" i="2" s="1"/>
  <c r="R15" i="2"/>
  <c r="L15" i="2"/>
  <c r="T15" i="2" s="1"/>
  <c r="AA25" i="2"/>
  <c r="D19" i="2"/>
  <c r="M19" i="2"/>
  <c r="F19" i="2"/>
  <c r="E19" i="2"/>
  <c r="V20" i="2"/>
  <c r="C20" i="2"/>
  <c r="B21" i="2"/>
  <c r="K18" i="2" l="1"/>
  <c r="G19" i="2"/>
  <c r="I19" i="2" s="1"/>
  <c r="H19" i="2"/>
  <c r="J19" i="2" s="1"/>
  <c r="X21" i="2"/>
  <c r="Y20" i="2" s="1"/>
  <c r="W15" i="2"/>
  <c r="AE15" i="2"/>
  <c r="N21" i="2"/>
  <c r="O20" i="2" s="1"/>
  <c r="AA26" i="2"/>
  <c r="P15" i="2"/>
  <c r="Q15" i="2" s="1"/>
  <c r="Z15" i="2"/>
  <c r="AB15" i="2" s="1"/>
  <c r="V21" i="2"/>
  <c r="B22" i="2"/>
  <c r="C21" i="2"/>
  <c r="D20" i="2"/>
  <c r="E20" i="2"/>
  <c r="M20" i="2"/>
  <c r="F20" i="2"/>
  <c r="K19" i="2" l="1"/>
  <c r="G20" i="2"/>
  <c r="I20" i="2" s="1"/>
  <c r="H20" i="2"/>
  <c r="J20" i="2" s="1"/>
  <c r="N22" i="2"/>
  <c r="O21" i="2" s="1"/>
  <c r="X22" i="2"/>
  <c r="Y21" i="2" s="1"/>
  <c r="S16" i="2"/>
  <c r="U16" i="2" s="1"/>
  <c r="L16" i="2"/>
  <c r="T16" i="2" s="1"/>
  <c r="R16" i="2"/>
  <c r="AA27" i="2"/>
  <c r="M21" i="2"/>
  <c r="E21" i="2"/>
  <c r="D21" i="2"/>
  <c r="F21" i="2"/>
  <c r="V22" i="2"/>
  <c r="C22" i="2"/>
  <c r="B23" i="2"/>
  <c r="K20" i="2" l="1"/>
  <c r="G21" i="2"/>
  <c r="I21" i="2" s="1"/>
  <c r="H21" i="2"/>
  <c r="J21" i="2" s="1"/>
  <c r="N23" i="2"/>
  <c r="O22" i="2" s="1"/>
  <c r="X23" i="2"/>
  <c r="Y22" i="2" s="1"/>
  <c r="W16" i="2"/>
  <c r="Z16" i="2"/>
  <c r="AB16" i="2" s="1"/>
  <c r="AE16" i="2"/>
  <c r="AA28" i="2"/>
  <c r="P16" i="2"/>
  <c r="Q16" i="2" s="1"/>
  <c r="V23" i="2"/>
  <c r="B24" i="2"/>
  <c r="C23" i="2"/>
  <c r="D22" i="2"/>
  <c r="M22" i="2"/>
  <c r="F22" i="2"/>
  <c r="E22" i="2"/>
  <c r="K21" i="2" l="1"/>
  <c r="G22" i="2"/>
  <c r="I22" i="2" s="1"/>
  <c r="H22" i="2"/>
  <c r="J22" i="2" s="1"/>
  <c r="N24" i="2"/>
  <c r="O23" i="2" s="1"/>
  <c r="X24" i="2"/>
  <c r="Y23" i="2" s="1"/>
  <c r="R17" i="2"/>
  <c r="L17" i="2"/>
  <c r="S17" i="2"/>
  <c r="U17" i="2" s="1"/>
  <c r="AA29" i="2"/>
  <c r="V24" i="2"/>
  <c r="B25" i="2"/>
  <c r="C24" i="2"/>
  <c r="E23" i="2"/>
  <c r="M23" i="2"/>
  <c r="F23" i="2"/>
  <c r="D23" i="2"/>
  <c r="K22" i="2" l="1"/>
  <c r="G23" i="2"/>
  <c r="I23" i="2" s="1"/>
  <c r="H23" i="2"/>
  <c r="J23" i="2" s="1"/>
  <c r="N25" i="2"/>
  <c r="O24" i="2" s="1"/>
  <c r="X25" i="2"/>
  <c r="Y24" i="2" s="1"/>
  <c r="W17" i="2"/>
  <c r="AA30" i="2"/>
  <c r="T17" i="2"/>
  <c r="AE17" i="2" s="1"/>
  <c r="P17" i="2"/>
  <c r="Q17" i="2" s="1"/>
  <c r="Z17" i="2"/>
  <c r="AB17" i="2" s="1"/>
  <c r="M24" i="2"/>
  <c r="F24" i="2"/>
  <c r="D24" i="2"/>
  <c r="E24" i="2"/>
  <c r="V25" i="2"/>
  <c r="B26" i="2"/>
  <c r="C25" i="2"/>
  <c r="K23" i="2" l="1"/>
  <c r="G24" i="2"/>
  <c r="I24" i="2" s="1"/>
  <c r="H24" i="2"/>
  <c r="J24" i="2" s="1"/>
  <c r="N26" i="2"/>
  <c r="O25" i="2" s="1"/>
  <c r="X26" i="2"/>
  <c r="Y25" i="2" s="1"/>
  <c r="S18" i="2"/>
  <c r="U18" i="2" s="1"/>
  <c r="R18" i="2"/>
  <c r="L18" i="2"/>
  <c r="AA31" i="2"/>
  <c r="M25" i="2"/>
  <c r="E25" i="2"/>
  <c r="D25" i="2"/>
  <c r="F25" i="2"/>
  <c r="V26" i="2"/>
  <c r="C26" i="2"/>
  <c r="B27" i="2"/>
  <c r="K24" i="2" l="1"/>
  <c r="G25" i="2"/>
  <c r="I25" i="2" s="1"/>
  <c r="H25" i="2"/>
  <c r="J25" i="2" s="1"/>
  <c r="X27" i="2"/>
  <c r="Y26" i="2" s="1"/>
  <c r="W18" i="2"/>
  <c r="N27" i="2"/>
  <c r="O26" i="2" s="1"/>
  <c r="AA32" i="2"/>
  <c r="Z18" i="2"/>
  <c r="AB18" i="2" s="1"/>
  <c r="T18" i="2"/>
  <c r="AE18" i="2" s="1"/>
  <c r="P18" i="2"/>
  <c r="Q18" i="2" s="1"/>
  <c r="V27" i="2"/>
  <c r="C27" i="2"/>
  <c r="B28" i="2"/>
  <c r="M26" i="2"/>
  <c r="E26" i="2"/>
  <c r="F26" i="2"/>
  <c r="D26" i="2"/>
  <c r="K25" i="2" l="1"/>
  <c r="G26" i="2"/>
  <c r="I26" i="2" s="1"/>
  <c r="H26" i="2"/>
  <c r="J26" i="2" s="1"/>
  <c r="X28" i="2"/>
  <c r="Y27" i="2" s="1"/>
  <c r="N28" i="2"/>
  <c r="O27" i="2" s="1"/>
  <c r="R19" i="2"/>
  <c r="L19" i="2"/>
  <c r="T19" i="2" s="1"/>
  <c r="S19" i="2"/>
  <c r="U19" i="2" s="1"/>
  <c r="AA33" i="2"/>
  <c r="M27" i="2"/>
  <c r="D27" i="2"/>
  <c r="F27" i="2"/>
  <c r="E27" i="2"/>
  <c r="V28" i="2"/>
  <c r="B29" i="2"/>
  <c r="C28" i="2"/>
  <c r="K26" i="2" l="1"/>
  <c r="G27" i="2"/>
  <c r="I27" i="2" s="1"/>
  <c r="H27" i="2"/>
  <c r="J27" i="2" s="1"/>
  <c r="N29" i="2"/>
  <c r="O28" i="2" s="1"/>
  <c r="X29" i="2"/>
  <c r="Y28" i="2" s="1"/>
  <c r="W19" i="2"/>
  <c r="AE19" i="2"/>
  <c r="P19" i="2"/>
  <c r="Q19" i="2" s="1"/>
  <c r="AA34" i="2"/>
  <c r="Z19" i="2"/>
  <c r="AB19" i="2" s="1"/>
  <c r="D28" i="2"/>
  <c r="F28" i="2"/>
  <c r="E28" i="2"/>
  <c r="M28" i="2"/>
  <c r="V29" i="2"/>
  <c r="C29" i="2"/>
  <c r="B30" i="2"/>
  <c r="K27" i="2" l="1"/>
  <c r="G28" i="2"/>
  <c r="I28" i="2" s="1"/>
  <c r="H28" i="2"/>
  <c r="J28" i="2" s="1"/>
  <c r="N30" i="2"/>
  <c r="O29" i="2" s="1"/>
  <c r="X30" i="2"/>
  <c r="Y29" i="2" s="1"/>
  <c r="L20" i="2"/>
  <c r="T20" i="2" s="1"/>
  <c r="S20" i="2"/>
  <c r="U20" i="2" s="1"/>
  <c r="R20" i="2"/>
  <c r="AA35" i="2"/>
  <c r="V30" i="2"/>
  <c r="C30" i="2"/>
  <c r="B31" i="2"/>
  <c r="M29" i="2"/>
  <c r="E29" i="2"/>
  <c r="D29" i="2"/>
  <c r="F29" i="2"/>
  <c r="K28" i="2" l="1"/>
  <c r="G29" i="2"/>
  <c r="I29" i="2" s="1"/>
  <c r="H29" i="2"/>
  <c r="J29" i="2" s="1"/>
  <c r="X31" i="2"/>
  <c r="Y30" i="2" s="1"/>
  <c r="W20" i="2"/>
  <c r="AE20" i="2"/>
  <c r="P20" i="2"/>
  <c r="Q20" i="2" s="1"/>
  <c r="N31" i="2"/>
  <c r="O30" i="2" s="1"/>
  <c r="Z20" i="2"/>
  <c r="AB20" i="2" s="1"/>
  <c r="AA36" i="2"/>
  <c r="V31" i="2"/>
  <c r="B32" i="2"/>
  <c r="C31" i="2"/>
  <c r="E30" i="2"/>
  <c r="D30" i="2"/>
  <c r="M30" i="2"/>
  <c r="F30" i="2"/>
  <c r="K29" i="2" l="1"/>
  <c r="G30" i="2"/>
  <c r="I30" i="2" s="1"/>
  <c r="H30" i="2"/>
  <c r="J30" i="2" s="1"/>
  <c r="N32" i="2"/>
  <c r="O31" i="2" s="1"/>
  <c r="X32" i="2"/>
  <c r="Y31" i="2" s="1"/>
  <c r="S21" i="2"/>
  <c r="U21" i="2" s="1"/>
  <c r="L21" i="2"/>
  <c r="T21" i="2" s="1"/>
  <c r="R21" i="2"/>
  <c r="AA37" i="2"/>
  <c r="D31" i="2"/>
  <c r="M31" i="2"/>
  <c r="F31" i="2"/>
  <c r="E31" i="2"/>
  <c r="V32" i="2"/>
  <c r="C32" i="2"/>
  <c r="B33" i="2"/>
  <c r="K30" i="2" l="1"/>
  <c r="G31" i="2"/>
  <c r="I31" i="2" s="1"/>
  <c r="H31" i="2"/>
  <c r="J31" i="2" s="1"/>
  <c r="N33" i="2"/>
  <c r="O32" i="2" s="1"/>
  <c r="X33" i="2"/>
  <c r="Y32" i="2" s="1"/>
  <c r="W21" i="2"/>
  <c r="P21" i="2"/>
  <c r="Q21" i="2" s="1"/>
  <c r="R22" i="2" s="1"/>
  <c r="Z21" i="2"/>
  <c r="AB21" i="2" s="1"/>
  <c r="AE21" i="2"/>
  <c r="AA38" i="2"/>
  <c r="V33" i="2"/>
  <c r="B34" i="2"/>
  <c r="C33" i="2"/>
  <c r="M32" i="2"/>
  <c r="D32" i="2"/>
  <c r="F32" i="2"/>
  <c r="E32" i="2"/>
  <c r="K31" i="2" l="1"/>
  <c r="G32" i="2"/>
  <c r="I32" i="2" s="1"/>
  <c r="H32" i="2"/>
  <c r="J32" i="2" s="1"/>
  <c r="N34" i="2"/>
  <c r="O33" i="2" s="1"/>
  <c r="X34" i="2"/>
  <c r="Y33" i="2" s="1"/>
  <c r="W22" i="2"/>
  <c r="L22" i="2"/>
  <c r="T22" i="2" s="1"/>
  <c r="S22" i="2"/>
  <c r="U22" i="2" s="1"/>
  <c r="AA39" i="2"/>
  <c r="E33" i="2"/>
  <c r="M33" i="2"/>
  <c r="D33" i="2"/>
  <c r="F33" i="2"/>
  <c r="V34" i="2"/>
  <c r="B35" i="2"/>
  <c r="C34" i="2"/>
  <c r="K32" i="2" l="1"/>
  <c r="G33" i="2"/>
  <c r="I33" i="2" s="1"/>
  <c r="H33" i="2"/>
  <c r="J33" i="2" s="1"/>
  <c r="X35" i="2"/>
  <c r="Y34" i="2" s="1"/>
  <c r="Z22" i="2"/>
  <c r="AB22" i="2" s="1"/>
  <c r="P22" i="2"/>
  <c r="Q22" i="2" s="1"/>
  <c r="S23" i="2" s="1"/>
  <c r="U23" i="2" s="1"/>
  <c r="AE22" i="2"/>
  <c r="N35" i="2"/>
  <c r="O34" i="2" s="1"/>
  <c r="AA40" i="2"/>
  <c r="V35" i="2"/>
  <c r="B36" i="2"/>
  <c r="C35" i="2"/>
  <c r="D34" i="2"/>
  <c r="M34" i="2"/>
  <c r="E34" i="2"/>
  <c r="F34" i="2"/>
  <c r="K33" i="2" l="1"/>
  <c r="G34" i="2"/>
  <c r="I34" i="2" s="1"/>
  <c r="H34" i="2"/>
  <c r="J34" i="2" s="1"/>
  <c r="X36" i="2"/>
  <c r="Y35" i="2" s="1"/>
  <c r="L23" i="2"/>
  <c r="P23" i="2" s="1"/>
  <c r="Q23" i="2" s="1"/>
  <c r="R23" i="2"/>
  <c r="N36" i="2"/>
  <c r="O35" i="2" s="1"/>
  <c r="AA41" i="2"/>
  <c r="F35" i="2"/>
  <c r="D35" i="2"/>
  <c r="M35" i="2"/>
  <c r="E35" i="2"/>
  <c r="V36" i="2"/>
  <c r="B37" i="2"/>
  <c r="C36" i="2"/>
  <c r="K34" i="2" l="1"/>
  <c r="G35" i="2"/>
  <c r="I35" i="2" s="1"/>
  <c r="H35" i="2"/>
  <c r="J35" i="2" s="1"/>
  <c r="X37" i="2"/>
  <c r="Y36" i="2" s="1"/>
  <c r="Z23" i="2"/>
  <c r="AB23" i="2" s="1"/>
  <c r="W23" i="2"/>
  <c r="T23" i="2"/>
  <c r="AE23" i="2" s="1"/>
  <c r="N37" i="2"/>
  <c r="O36" i="2" s="1"/>
  <c r="S24" i="2"/>
  <c r="U24" i="2" s="1"/>
  <c r="R24" i="2"/>
  <c r="L24" i="2"/>
  <c r="AA42" i="2"/>
  <c r="F36" i="2"/>
  <c r="E36" i="2"/>
  <c r="D36" i="2"/>
  <c r="M36" i="2"/>
  <c r="V37" i="2"/>
  <c r="C37" i="2"/>
  <c r="B38" i="2"/>
  <c r="K35" i="2" l="1"/>
  <c r="G36" i="2"/>
  <c r="I36" i="2" s="1"/>
  <c r="H36" i="2"/>
  <c r="J36" i="2" s="1"/>
  <c r="N38" i="2"/>
  <c r="O37" i="2" s="1"/>
  <c r="X38" i="2"/>
  <c r="Y37" i="2" s="1"/>
  <c r="W24" i="2"/>
  <c r="Z24" i="2"/>
  <c r="AB24" i="2" s="1"/>
  <c r="T24" i="2"/>
  <c r="AE24" i="2" s="1"/>
  <c r="P24" i="2"/>
  <c r="Q24" i="2" s="1"/>
  <c r="AA43" i="2"/>
  <c r="V38" i="2"/>
  <c r="B39" i="2"/>
  <c r="C38" i="2"/>
  <c r="D37" i="2"/>
  <c r="M37" i="2"/>
  <c r="E37" i="2"/>
  <c r="F37" i="2"/>
  <c r="K36" i="2" l="1"/>
  <c r="G37" i="2"/>
  <c r="I37" i="2" s="1"/>
  <c r="H37" i="2"/>
  <c r="J37" i="2" s="1"/>
  <c r="X39" i="2"/>
  <c r="Y38" i="2" s="1"/>
  <c r="N39" i="2"/>
  <c r="O38" i="2" s="1"/>
  <c r="S25" i="2"/>
  <c r="U25" i="2" s="1"/>
  <c r="R25" i="2"/>
  <c r="L25" i="2"/>
  <c r="T25" i="2" s="1"/>
  <c r="AA44" i="2"/>
  <c r="M38" i="2"/>
  <c r="D38" i="2"/>
  <c r="F38" i="2"/>
  <c r="E38" i="2"/>
  <c r="V39" i="2"/>
  <c r="B40" i="2"/>
  <c r="C39" i="2"/>
  <c r="K37" i="2" l="1"/>
  <c r="G38" i="2"/>
  <c r="I38" i="2" s="1"/>
  <c r="H38" i="2"/>
  <c r="J38" i="2" s="1"/>
  <c r="N40" i="2"/>
  <c r="O39" i="2" s="1"/>
  <c r="X40" i="2"/>
  <c r="Y39" i="2" s="1"/>
  <c r="W25" i="2"/>
  <c r="AE25" i="2"/>
  <c r="P25" i="2"/>
  <c r="Q25" i="2" s="1"/>
  <c r="R26" i="2" s="1"/>
  <c r="Z25" i="2"/>
  <c r="AB25" i="2" s="1"/>
  <c r="AA45" i="2"/>
  <c r="M39" i="2"/>
  <c r="F39" i="2"/>
  <c r="E39" i="2"/>
  <c r="D39" i="2"/>
  <c r="V40" i="2"/>
  <c r="C40" i="2"/>
  <c r="B41" i="2"/>
  <c r="K38" i="2" l="1"/>
  <c r="G39" i="2"/>
  <c r="I39" i="2" s="1"/>
  <c r="H39" i="2"/>
  <c r="J39" i="2" s="1"/>
  <c r="N41" i="2"/>
  <c r="O40" i="2" s="1"/>
  <c r="X41" i="2"/>
  <c r="Y40" i="2" s="1"/>
  <c r="W26" i="2"/>
  <c r="L26" i="2"/>
  <c r="T26" i="2" s="1"/>
  <c r="S26" i="2"/>
  <c r="U26" i="2" s="1"/>
  <c r="AA46" i="2"/>
  <c r="V41" i="2"/>
  <c r="C41" i="2"/>
  <c r="B42" i="2"/>
  <c r="M40" i="2"/>
  <c r="F40" i="2"/>
  <c r="D40" i="2"/>
  <c r="E40" i="2"/>
  <c r="K39" i="2" l="1"/>
  <c r="G40" i="2"/>
  <c r="I40" i="2" s="1"/>
  <c r="H40" i="2"/>
  <c r="J40" i="2" s="1"/>
  <c r="N42" i="2"/>
  <c r="O41" i="2" s="1"/>
  <c r="X42" i="2"/>
  <c r="Y41" i="2" s="1"/>
  <c r="AE26" i="2"/>
  <c r="Z26" i="2"/>
  <c r="AB26" i="2" s="1"/>
  <c r="P26" i="2"/>
  <c r="Q26" i="2" s="1"/>
  <c r="AA47" i="2"/>
  <c r="E41" i="2"/>
  <c r="M41" i="2"/>
  <c r="F41" i="2"/>
  <c r="D41" i="2"/>
  <c r="V42" i="2"/>
  <c r="B43" i="2"/>
  <c r="C42" i="2"/>
  <c r="K40" i="2" l="1"/>
  <c r="G41" i="2"/>
  <c r="I41" i="2" s="1"/>
  <c r="H41" i="2"/>
  <c r="J41" i="2" s="1"/>
  <c r="X43" i="2"/>
  <c r="Y42" i="2" s="1"/>
  <c r="S27" i="2"/>
  <c r="U27" i="2" s="1"/>
  <c r="L27" i="2"/>
  <c r="T27" i="2" s="1"/>
  <c r="R27" i="2"/>
  <c r="N43" i="2"/>
  <c r="O42" i="2" s="1"/>
  <c r="AA48" i="2"/>
  <c r="V43" i="2"/>
  <c r="B44" i="2"/>
  <c r="C43" i="2"/>
  <c r="M42" i="2"/>
  <c r="D42" i="2"/>
  <c r="E42" i="2"/>
  <c r="F42" i="2"/>
  <c r="K41" i="2" l="1"/>
  <c r="G42" i="2"/>
  <c r="I42" i="2" s="1"/>
  <c r="H42" i="2"/>
  <c r="J42" i="2" s="1"/>
  <c r="N44" i="2"/>
  <c r="O43" i="2" s="1"/>
  <c r="X44" i="2"/>
  <c r="Y43" i="2" s="1"/>
  <c r="W27" i="2"/>
  <c r="AE27" i="2"/>
  <c r="P27" i="2"/>
  <c r="Q27" i="2" s="1"/>
  <c r="R28" i="2" s="1"/>
  <c r="Z27" i="2"/>
  <c r="AB27" i="2" s="1"/>
  <c r="AA49" i="2"/>
  <c r="F43" i="2"/>
  <c r="M43" i="2"/>
  <c r="E43" i="2"/>
  <c r="D43" i="2"/>
  <c r="V44" i="2"/>
  <c r="B45" i="2"/>
  <c r="C44" i="2"/>
  <c r="K42" i="2" l="1"/>
  <c r="G43" i="2"/>
  <c r="I43" i="2" s="1"/>
  <c r="H43" i="2"/>
  <c r="J43" i="2" s="1"/>
  <c r="X45" i="2"/>
  <c r="Y44" i="2" s="1"/>
  <c r="W28" i="2"/>
  <c r="L28" i="2"/>
  <c r="T28" i="2" s="1"/>
  <c r="S28" i="2"/>
  <c r="U28" i="2" s="1"/>
  <c r="N45" i="2"/>
  <c r="O44" i="2" s="1"/>
  <c r="AA50" i="2"/>
  <c r="M44" i="2"/>
  <c r="D44" i="2"/>
  <c r="F44" i="2"/>
  <c r="E44" i="2"/>
  <c r="V45" i="2"/>
  <c r="C45" i="2"/>
  <c r="B46" i="2"/>
  <c r="K43" i="2" l="1"/>
  <c r="G44" i="2"/>
  <c r="I44" i="2" s="1"/>
  <c r="H44" i="2"/>
  <c r="J44" i="2" s="1"/>
  <c r="N46" i="2"/>
  <c r="O45" i="2" s="1"/>
  <c r="X46" i="2"/>
  <c r="Y45" i="2" s="1"/>
  <c r="P28" i="2"/>
  <c r="Q28" i="2" s="1"/>
  <c r="S29" i="2" s="1"/>
  <c r="U29" i="2" s="1"/>
  <c r="AE28" i="2"/>
  <c r="Z28" i="2"/>
  <c r="AB28" i="2" s="1"/>
  <c r="AA51" i="2"/>
  <c r="V46" i="2"/>
  <c r="B47" i="2"/>
  <c r="C46" i="2"/>
  <c r="M45" i="2"/>
  <c r="F45" i="2"/>
  <c r="D45" i="2"/>
  <c r="E45" i="2"/>
  <c r="K44" i="2" l="1"/>
  <c r="G45" i="2"/>
  <c r="I45" i="2" s="1"/>
  <c r="H45" i="2"/>
  <c r="J45" i="2" s="1"/>
  <c r="X47" i="2"/>
  <c r="Y46" i="2" s="1"/>
  <c r="L29" i="2"/>
  <c r="T29" i="2" s="1"/>
  <c r="AE29" i="2" s="1"/>
  <c r="R29" i="2"/>
  <c r="N47" i="2"/>
  <c r="O46" i="2" s="1"/>
  <c r="AA52" i="2"/>
  <c r="V47" i="2"/>
  <c r="B48" i="2"/>
  <c r="C47" i="2"/>
  <c r="E46" i="2"/>
  <c r="D46" i="2"/>
  <c r="M46" i="2"/>
  <c r="F46" i="2"/>
  <c r="K45" i="2" l="1"/>
  <c r="G46" i="2"/>
  <c r="I46" i="2" s="1"/>
  <c r="H46" i="2"/>
  <c r="J46" i="2" s="1"/>
  <c r="N48" i="2"/>
  <c r="O47" i="2" s="1"/>
  <c r="X48" i="2"/>
  <c r="Y47" i="2" s="1"/>
  <c r="W29" i="2"/>
  <c r="P29" i="2"/>
  <c r="Q29" i="2" s="1"/>
  <c r="L30" i="2" s="1"/>
  <c r="T30" i="2" s="1"/>
  <c r="Z29" i="2"/>
  <c r="AB29" i="2" s="1"/>
  <c r="AA53" i="2"/>
  <c r="M47" i="2"/>
  <c r="F47" i="2"/>
  <c r="E47" i="2"/>
  <c r="D47" i="2"/>
  <c r="V48" i="2"/>
  <c r="B49" i="2"/>
  <c r="C48" i="2"/>
  <c r="K46" i="2" l="1"/>
  <c r="G47" i="2"/>
  <c r="I47" i="2" s="1"/>
  <c r="H47" i="2"/>
  <c r="J47" i="2" s="1"/>
  <c r="N49" i="2"/>
  <c r="O48" i="2" s="1"/>
  <c r="X49" i="2"/>
  <c r="Y48" i="2" s="1"/>
  <c r="S30" i="2"/>
  <c r="U30" i="2" s="1"/>
  <c r="R30" i="2"/>
  <c r="P30" i="2"/>
  <c r="Q30" i="2" s="1"/>
  <c r="L31" i="2" s="1"/>
  <c r="AA54" i="2"/>
  <c r="M48" i="2"/>
  <c r="D48" i="2"/>
  <c r="E48" i="2"/>
  <c r="F48" i="2"/>
  <c r="V49" i="2"/>
  <c r="B50" i="2"/>
  <c r="C49" i="2"/>
  <c r="K47" i="2" l="1"/>
  <c r="G48" i="2"/>
  <c r="I48" i="2" s="1"/>
  <c r="H48" i="2"/>
  <c r="J48" i="2" s="1"/>
  <c r="N50" i="2"/>
  <c r="O49" i="2" s="1"/>
  <c r="X50" i="2"/>
  <c r="Y49" i="2" s="1"/>
  <c r="W30" i="2"/>
  <c r="Z30" i="2"/>
  <c r="AB30" i="2" s="1"/>
  <c r="AE30" i="2"/>
  <c r="S31" i="2"/>
  <c r="U31" i="2" s="1"/>
  <c r="R31" i="2"/>
  <c r="T31" i="2"/>
  <c r="P31" i="2"/>
  <c r="Q31" i="2" s="1"/>
  <c r="AA55" i="2"/>
  <c r="D49" i="2"/>
  <c r="F49" i="2"/>
  <c r="E49" i="2"/>
  <c r="M49" i="2"/>
  <c r="V50" i="2"/>
  <c r="B51" i="2"/>
  <c r="C50" i="2"/>
  <c r="K48" i="2" l="1"/>
  <c r="G49" i="2"/>
  <c r="I49" i="2" s="1"/>
  <c r="H49" i="2"/>
  <c r="J49" i="2" s="1"/>
  <c r="X51" i="2"/>
  <c r="Y50" i="2" s="1"/>
  <c r="W31" i="2"/>
  <c r="AE31" i="2"/>
  <c r="Z31" i="2"/>
  <c r="AB31" i="2" s="1"/>
  <c r="L32" i="2"/>
  <c r="T32" i="2" s="1"/>
  <c r="R32" i="2"/>
  <c r="S32" i="2"/>
  <c r="U32" i="2" s="1"/>
  <c r="N51" i="2"/>
  <c r="O50" i="2" s="1"/>
  <c r="AA56" i="2"/>
  <c r="M50" i="2"/>
  <c r="D50" i="2"/>
  <c r="F50" i="2"/>
  <c r="E50" i="2"/>
  <c r="V51" i="2"/>
  <c r="B52" i="2"/>
  <c r="C51" i="2"/>
  <c r="K49" i="2" l="1"/>
  <c r="G50" i="2"/>
  <c r="I50" i="2" s="1"/>
  <c r="H50" i="2"/>
  <c r="J50" i="2" s="1"/>
  <c r="N52" i="2"/>
  <c r="O51" i="2" s="1"/>
  <c r="X52" i="2"/>
  <c r="Y51" i="2" s="1"/>
  <c r="W32" i="2"/>
  <c r="P32" i="2"/>
  <c r="Q32" i="2" s="1"/>
  <c r="L33" i="2" s="1"/>
  <c r="T33" i="2" s="1"/>
  <c r="AE32" i="2"/>
  <c r="Z32" i="2"/>
  <c r="AB32" i="2" s="1"/>
  <c r="AA57" i="2"/>
  <c r="F51" i="2"/>
  <c r="M51" i="2"/>
  <c r="E51" i="2"/>
  <c r="D51" i="2"/>
  <c r="V52" i="2"/>
  <c r="B53" i="2"/>
  <c r="C52" i="2"/>
  <c r="K50" i="2" l="1"/>
  <c r="G51" i="2"/>
  <c r="I51" i="2" s="1"/>
  <c r="H51" i="2"/>
  <c r="J51" i="2" s="1"/>
  <c r="X53" i="2"/>
  <c r="Y52" i="2" s="1"/>
  <c r="P33" i="2"/>
  <c r="Q33" i="2" s="1"/>
  <c r="R34" i="2" s="1"/>
  <c r="R33" i="2"/>
  <c r="S33" i="2"/>
  <c r="U33" i="2" s="1"/>
  <c r="N53" i="2"/>
  <c r="O52" i="2" s="1"/>
  <c r="AA58" i="2"/>
  <c r="M52" i="2"/>
  <c r="F52" i="2"/>
  <c r="D52" i="2"/>
  <c r="E52" i="2"/>
  <c r="V53" i="2"/>
  <c r="C53" i="2"/>
  <c r="B54" i="2"/>
  <c r="K51" i="2" l="1"/>
  <c r="G52" i="2"/>
  <c r="I52" i="2" s="1"/>
  <c r="H52" i="2"/>
  <c r="J52" i="2" s="1"/>
  <c r="N54" i="2"/>
  <c r="O53" i="2" s="1"/>
  <c r="X54" i="2"/>
  <c r="Y53" i="2" s="1"/>
  <c r="W34" i="2"/>
  <c r="W33" i="2"/>
  <c r="S34" i="2"/>
  <c r="U34" i="2" s="1"/>
  <c r="L34" i="2"/>
  <c r="T34" i="2" s="1"/>
  <c r="Z33" i="2"/>
  <c r="AB33" i="2" s="1"/>
  <c r="AE33" i="2"/>
  <c r="AA59" i="2"/>
  <c r="V54" i="2"/>
  <c r="C54" i="2"/>
  <c r="B55" i="2"/>
  <c r="F53" i="2"/>
  <c r="M53" i="2"/>
  <c r="E53" i="2"/>
  <c r="D53" i="2"/>
  <c r="K52" i="2" l="1"/>
  <c r="G53" i="2"/>
  <c r="I53" i="2" s="1"/>
  <c r="H53" i="2"/>
  <c r="J53" i="2" s="1"/>
  <c r="X55" i="2"/>
  <c r="Y54" i="2" s="1"/>
  <c r="P34" i="2"/>
  <c r="Q34" i="2" s="1"/>
  <c r="R35" i="2" s="1"/>
  <c r="AE34" i="2"/>
  <c r="Z34" i="2"/>
  <c r="AB34" i="2" s="1"/>
  <c r="N55" i="2"/>
  <c r="O54" i="2" s="1"/>
  <c r="AA60" i="2"/>
  <c r="V55" i="2"/>
  <c r="B56" i="2"/>
  <c r="C55" i="2"/>
  <c r="F54" i="2"/>
  <c r="D54" i="2"/>
  <c r="M54" i="2"/>
  <c r="E54" i="2"/>
  <c r="K53" i="2" l="1"/>
  <c r="G54" i="2"/>
  <c r="I54" i="2" s="1"/>
  <c r="H54" i="2"/>
  <c r="J54" i="2" s="1"/>
  <c r="N56" i="2"/>
  <c r="O55" i="2" s="1"/>
  <c r="X56" i="2"/>
  <c r="Y55" i="2" s="1"/>
  <c r="W35" i="2"/>
  <c r="S35" i="2"/>
  <c r="U35" i="2" s="1"/>
  <c r="L35" i="2"/>
  <c r="T35" i="2" s="1"/>
  <c r="AA61" i="2"/>
  <c r="M55" i="2"/>
  <c r="F55" i="2"/>
  <c r="D55" i="2"/>
  <c r="E55" i="2"/>
  <c r="V56" i="2"/>
  <c r="B57" i="2"/>
  <c r="C56" i="2"/>
  <c r="K54" i="2" l="1"/>
  <c r="G55" i="2"/>
  <c r="I55" i="2" s="1"/>
  <c r="H55" i="2"/>
  <c r="J55" i="2" s="1"/>
  <c r="N57" i="2"/>
  <c r="O56" i="2" s="1"/>
  <c r="X57" i="2"/>
  <c r="Y56" i="2" s="1"/>
  <c r="Z35" i="2"/>
  <c r="AB35" i="2" s="1"/>
  <c r="AE35" i="2"/>
  <c r="P35" i="2"/>
  <c r="Q35" i="2" s="1"/>
  <c r="S36" i="2" s="1"/>
  <c r="U36" i="2" s="1"/>
  <c r="AA62" i="2"/>
  <c r="V57" i="2"/>
  <c r="C57" i="2"/>
  <c r="B58" i="2"/>
  <c r="M56" i="2"/>
  <c r="F56" i="2"/>
  <c r="E56" i="2"/>
  <c r="D56" i="2"/>
  <c r="K55" i="2" l="1"/>
  <c r="G56" i="2"/>
  <c r="I56" i="2" s="1"/>
  <c r="H56" i="2"/>
  <c r="J56" i="2" s="1"/>
  <c r="N58" i="2"/>
  <c r="O57" i="2" s="1"/>
  <c r="X58" i="2"/>
  <c r="Y57" i="2" s="1"/>
  <c r="R36" i="2"/>
  <c r="L36" i="2"/>
  <c r="T36" i="2" s="1"/>
  <c r="AE36" i="2" s="1"/>
  <c r="AA63" i="2"/>
  <c r="M57" i="2"/>
  <c r="F57" i="2"/>
  <c r="E57" i="2"/>
  <c r="D57" i="2"/>
  <c r="V58" i="2"/>
  <c r="C58" i="2"/>
  <c r="B59" i="2"/>
  <c r="K56" i="2" l="1"/>
  <c r="G57" i="2"/>
  <c r="I57" i="2" s="1"/>
  <c r="H57" i="2"/>
  <c r="J57" i="2" s="1"/>
  <c r="X59" i="2"/>
  <c r="Y58" i="2" s="1"/>
  <c r="W36" i="2"/>
  <c r="P36" i="2"/>
  <c r="Q36" i="2" s="1"/>
  <c r="L37" i="2" s="1"/>
  <c r="T37" i="2" s="1"/>
  <c r="Z36" i="2"/>
  <c r="AB36" i="2" s="1"/>
  <c r="N59" i="2"/>
  <c r="O58" i="2" s="1"/>
  <c r="AA64" i="2"/>
  <c r="V59" i="2"/>
  <c r="C59" i="2"/>
  <c r="B60" i="2"/>
  <c r="M58" i="2"/>
  <c r="E58" i="2"/>
  <c r="D58" i="2"/>
  <c r="F58" i="2"/>
  <c r="K57" i="2" l="1"/>
  <c r="G58" i="2"/>
  <c r="I58" i="2" s="1"/>
  <c r="H58" i="2"/>
  <c r="J58" i="2" s="1"/>
  <c r="N60" i="2"/>
  <c r="O59" i="2" s="1"/>
  <c r="X60" i="2"/>
  <c r="Y59" i="2" s="1"/>
  <c r="R37" i="2"/>
  <c r="S37" i="2"/>
  <c r="U37" i="2" s="1"/>
  <c r="P37" i="2"/>
  <c r="Q37" i="2" s="1"/>
  <c r="AA65" i="2"/>
  <c r="D59" i="2"/>
  <c r="M59" i="2"/>
  <c r="F59" i="2"/>
  <c r="E59" i="2"/>
  <c r="V60" i="2"/>
  <c r="C60" i="2"/>
  <c r="B61" i="2"/>
  <c r="K58" i="2" l="1"/>
  <c r="G59" i="2"/>
  <c r="I59" i="2" s="1"/>
  <c r="H59" i="2"/>
  <c r="J59" i="2" s="1"/>
  <c r="X61" i="2"/>
  <c r="Y60" i="2" s="1"/>
  <c r="W37" i="2"/>
  <c r="Z37" i="2"/>
  <c r="AB37" i="2" s="1"/>
  <c r="AE37" i="2"/>
  <c r="N61" i="2"/>
  <c r="O60" i="2" s="1"/>
  <c r="R38" i="2"/>
  <c r="S38" i="2"/>
  <c r="U38" i="2" s="1"/>
  <c r="L38" i="2"/>
  <c r="T38" i="2" s="1"/>
  <c r="AA66" i="2"/>
  <c r="V61" i="2"/>
  <c r="B62" i="2"/>
  <c r="C61" i="2"/>
  <c r="D60" i="2"/>
  <c r="F60" i="2"/>
  <c r="M60" i="2"/>
  <c r="E60" i="2"/>
  <c r="K59" i="2" l="1"/>
  <c r="G60" i="2"/>
  <c r="I60" i="2" s="1"/>
  <c r="H60" i="2"/>
  <c r="J60" i="2" s="1"/>
  <c r="N62" i="2"/>
  <c r="O61" i="2" s="1"/>
  <c r="X62" i="2"/>
  <c r="Y61" i="2" s="1"/>
  <c r="W38" i="2"/>
  <c r="AE38" i="2"/>
  <c r="P38" i="2"/>
  <c r="Q38" i="2" s="1"/>
  <c r="Z38" i="2"/>
  <c r="AB38" i="2" s="1"/>
  <c r="AA67" i="2"/>
  <c r="M61" i="2"/>
  <c r="F61" i="2"/>
  <c r="E61" i="2"/>
  <c r="D61" i="2"/>
  <c r="V62" i="2"/>
  <c r="B63" i="2"/>
  <c r="C62" i="2"/>
  <c r="K60" i="2" l="1"/>
  <c r="G61" i="2"/>
  <c r="I61" i="2" s="1"/>
  <c r="H61" i="2"/>
  <c r="J61" i="2" s="1"/>
  <c r="N63" i="2"/>
  <c r="O62" i="2" s="1"/>
  <c r="X63" i="2"/>
  <c r="Y62" i="2" s="1"/>
  <c r="S39" i="2"/>
  <c r="U39" i="2" s="1"/>
  <c r="R39" i="2"/>
  <c r="L39" i="2"/>
  <c r="T39" i="2" s="1"/>
  <c r="AA68" i="2"/>
  <c r="V63" i="2"/>
  <c r="B64" i="2"/>
  <c r="C63" i="2"/>
  <c r="F62" i="2"/>
  <c r="E62" i="2"/>
  <c r="D62" i="2"/>
  <c r="M62" i="2"/>
  <c r="K61" i="2" l="1"/>
  <c r="G62" i="2"/>
  <c r="I62" i="2" s="1"/>
  <c r="H62" i="2"/>
  <c r="J62" i="2" s="1"/>
  <c r="N64" i="2"/>
  <c r="O63" i="2" s="1"/>
  <c r="X64" i="2"/>
  <c r="Y63" i="2" s="1"/>
  <c r="W39" i="2"/>
  <c r="AE39" i="2"/>
  <c r="Z39" i="2"/>
  <c r="AB39" i="2" s="1"/>
  <c r="P39" i="2"/>
  <c r="Q39" i="2" s="1"/>
  <c r="AA69" i="2"/>
  <c r="V64" i="2"/>
  <c r="B65" i="2"/>
  <c r="C64" i="2"/>
  <c r="D63" i="2"/>
  <c r="E63" i="2"/>
  <c r="M63" i="2"/>
  <c r="F63" i="2"/>
  <c r="K62" i="2" l="1"/>
  <c r="G63" i="2"/>
  <c r="I63" i="2" s="1"/>
  <c r="H63" i="2"/>
  <c r="J63" i="2" s="1"/>
  <c r="N65" i="2"/>
  <c r="O64" i="2" s="1"/>
  <c r="X65" i="2"/>
  <c r="Y64" i="2" s="1"/>
  <c r="R40" i="2"/>
  <c r="S40" i="2"/>
  <c r="U40" i="2" s="1"/>
  <c r="L40" i="2"/>
  <c r="T40" i="2" s="1"/>
  <c r="AA70" i="2"/>
  <c r="V65" i="2"/>
  <c r="B66" i="2"/>
  <c r="C65" i="2"/>
  <c r="E64" i="2"/>
  <c r="M64" i="2"/>
  <c r="D64" i="2"/>
  <c r="F64" i="2"/>
  <c r="K63" i="2" l="1"/>
  <c r="G64" i="2"/>
  <c r="I64" i="2" s="1"/>
  <c r="H64" i="2"/>
  <c r="J64" i="2" s="1"/>
  <c r="N66" i="2"/>
  <c r="O65" i="2" s="1"/>
  <c r="X66" i="2"/>
  <c r="Y65" i="2" s="1"/>
  <c r="W40" i="2"/>
  <c r="AE40" i="2"/>
  <c r="P40" i="2"/>
  <c r="Q40" i="2" s="1"/>
  <c r="Z40" i="2"/>
  <c r="AB40" i="2" s="1"/>
  <c r="AA71" i="2"/>
  <c r="V66" i="2"/>
  <c r="C66" i="2"/>
  <c r="B67" i="2"/>
  <c r="M65" i="2"/>
  <c r="E65" i="2"/>
  <c r="D65" i="2"/>
  <c r="F65" i="2"/>
  <c r="K64" i="2" l="1"/>
  <c r="G65" i="2"/>
  <c r="I65" i="2" s="1"/>
  <c r="H65" i="2"/>
  <c r="J65" i="2" s="1"/>
  <c r="X67" i="2"/>
  <c r="Y66" i="2" s="1"/>
  <c r="N67" i="2"/>
  <c r="O66" i="2" s="1"/>
  <c r="L41" i="2"/>
  <c r="T41" i="2" s="1"/>
  <c r="S41" i="2"/>
  <c r="U41" i="2" s="1"/>
  <c r="R41" i="2"/>
  <c r="AA72" i="2"/>
  <c r="V67" i="2"/>
  <c r="B68" i="2"/>
  <c r="C67" i="2"/>
  <c r="F66" i="2"/>
  <c r="M66" i="2"/>
  <c r="E66" i="2"/>
  <c r="D66" i="2"/>
  <c r="K65" i="2" l="1"/>
  <c r="G66" i="2"/>
  <c r="I66" i="2" s="1"/>
  <c r="H66" i="2"/>
  <c r="J66" i="2" s="1"/>
  <c r="N68" i="2"/>
  <c r="O67" i="2" s="1"/>
  <c r="X68" i="2"/>
  <c r="Y67" i="2" s="1"/>
  <c r="W41" i="2"/>
  <c r="AE41" i="2"/>
  <c r="Z41" i="2"/>
  <c r="AB41" i="2" s="1"/>
  <c r="P41" i="2"/>
  <c r="Q41" i="2" s="1"/>
  <c r="AA73" i="2"/>
  <c r="F67" i="2"/>
  <c r="E67" i="2"/>
  <c r="D67" i="2"/>
  <c r="M67" i="2"/>
  <c r="V68" i="2"/>
  <c r="C68" i="2"/>
  <c r="B69" i="2"/>
  <c r="K66" i="2" l="1"/>
  <c r="G67" i="2"/>
  <c r="I67" i="2" s="1"/>
  <c r="H67" i="2"/>
  <c r="J67" i="2" s="1"/>
  <c r="X69" i="2"/>
  <c r="Y68" i="2" s="1"/>
  <c r="N69" i="2"/>
  <c r="O68" i="2" s="1"/>
  <c r="S42" i="2"/>
  <c r="U42" i="2" s="1"/>
  <c r="R42" i="2"/>
  <c r="L42" i="2"/>
  <c r="T42" i="2" s="1"/>
  <c r="AA74" i="2"/>
  <c r="M68" i="2"/>
  <c r="F68" i="2"/>
  <c r="E68" i="2"/>
  <c r="D68" i="2"/>
  <c r="V69" i="2"/>
  <c r="B70" i="2"/>
  <c r="C69" i="2"/>
  <c r="K67" i="2" l="1"/>
  <c r="G68" i="2"/>
  <c r="I68" i="2" s="1"/>
  <c r="H68" i="2"/>
  <c r="J68" i="2" s="1"/>
  <c r="N70" i="2"/>
  <c r="O69" i="2" s="1"/>
  <c r="X70" i="2"/>
  <c r="Y69" i="2" s="1"/>
  <c r="W42" i="2"/>
  <c r="AE42" i="2"/>
  <c r="Z42" i="2"/>
  <c r="AB42" i="2" s="1"/>
  <c r="P42" i="2"/>
  <c r="Q42" i="2" s="1"/>
  <c r="AA75" i="2"/>
  <c r="M69" i="2"/>
  <c r="F69" i="2"/>
  <c r="D69" i="2"/>
  <c r="E69" i="2"/>
  <c r="V70" i="2"/>
  <c r="C70" i="2"/>
  <c r="B71" i="2"/>
  <c r="K68" i="2" l="1"/>
  <c r="G69" i="2"/>
  <c r="I69" i="2" s="1"/>
  <c r="H69" i="2"/>
  <c r="J69" i="2" s="1"/>
  <c r="N71" i="2"/>
  <c r="O70" i="2" s="1"/>
  <c r="X71" i="2"/>
  <c r="Y70" i="2" s="1"/>
  <c r="L43" i="2"/>
  <c r="T43" i="2" s="1"/>
  <c r="S43" i="2"/>
  <c r="U43" i="2" s="1"/>
  <c r="R43" i="2"/>
  <c r="AA76" i="2"/>
  <c r="V71" i="2"/>
  <c r="B72" i="2"/>
  <c r="C71" i="2"/>
  <c r="D70" i="2"/>
  <c r="E70" i="2"/>
  <c r="F70" i="2"/>
  <c r="M70" i="2"/>
  <c r="K69" i="2" l="1"/>
  <c r="G70" i="2"/>
  <c r="I70" i="2" s="1"/>
  <c r="H70" i="2"/>
  <c r="J70" i="2" s="1"/>
  <c r="N72" i="2"/>
  <c r="O71" i="2" s="1"/>
  <c r="X72" i="2"/>
  <c r="Y71" i="2" s="1"/>
  <c r="W43" i="2"/>
  <c r="P43" i="2"/>
  <c r="Q43" i="2" s="1"/>
  <c r="AE43" i="2"/>
  <c r="Z43" i="2"/>
  <c r="AB43" i="2" s="1"/>
  <c r="AA77" i="2"/>
  <c r="E71" i="2"/>
  <c r="D71" i="2"/>
  <c r="M71" i="2"/>
  <c r="F71" i="2"/>
  <c r="V72" i="2"/>
  <c r="B73" i="2"/>
  <c r="C72" i="2"/>
  <c r="K70" i="2" l="1"/>
  <c r="G71" i="2"/>
  <c r="I71" i="2" s="1"/>
  <c r="H71" i="2"/>
  <c r="J71" i="2" s="1"/>
  <c r="N73" i="2"/>
  <c r="O72" i="2" s="1"/>
  <c r="X73" i="2"/>
  <c r="Y72" i="2" s="1"/>
  <c r="S44" i="2"/>
  <c r="U44" i="2" s="1"/>
  <c r="L44" i="2"/>
  <c r="R44" i="2"/>
  <c r="AA78" i="2"/>
  <c r="V73" i="2"/>
  <c r="C73" i="2"/>
  <c r="B74" i="2"/>
  <c r="M72" i="2"/>
  <c r="F72" i="2"/>
  <c r="E72" i="2"/>
  <c r="D72" i="2"/>
  <c r="K71" i="2" l="1"/>
  <c r="G72" i="2"/>
  <c r="I72" i="2" s="1"/>
  <c r="H72" i="2"/>
  <c r="J72" i="2" s="1"/>
  <c r="N74" i="2"/>
  <c r="O73" i="2" s="1"/>
  <c r="X74" i="2"/>
  <c r="Y73" i="2" s="1"/>
  <c r="W44" i="2"/>
  <c r="T44" i="2"/>
  <c r="AE44" i="2" s="1"/>
  <c r="Z44" i="2"/>
  <c r="AB44" i="2" s="1"/>
  <c r="P44" i="2"/>
  <c r="Q44" i="2" s="1"/>
  <c r="AA79" i="2"/>
  <c r="D73" i="2"/>
  <c r="F73" i="2"/>
  <c r="M73" i="2"/>
  <c r="E73" i="2"/>
  <c r="V74" i="2"/>
  <c r="B75" i="2"/>
  <c r="C74" i="2"/>
  <c r="K72" i="2" l="1"/>
  <c r="G73" i="2"/>
  <c r="I73" i="2" s="1"/>
  <c r="H73" i="2"/>
  <c r="J73" i="2" s="1"/>
  <c r="N75" i="2"/>
  <c r="O74" i="2" s="1"/>
  <c r="X75" i="2"/>
  <c r="Y74" i="2" s="1"/>
  <c r="S45" i="2"/>
  <c r="U45" i="2" s="1"/>
  <c r="L45" i="2"/>
  <c r="T45" i="2" s="1"/>
  <c r="R45" i="2"/>
  <c r="AA80" i="2"/>
  <c r="E74" i="2"/>
  <c r="M74" i="2"/>
  <c r="F74" i="2"/>
  <c r="D74" i="2"/>
  <c r="V75" i="2"/>
  <c r="B76" i="2"/>
  <c r="C75" i="2"/>
  <c r="K73" i="2" l="1"/>
  <c r="G74" i="2"/>
  <c r="I74" i="2" s="1"/>
  <c r="H74" i="2"/>
  <c r="J74" i="2" s="1"/>
  <c r="X76" i="2"/>
  <c r="Y75" i="2" s="1"/>
  <c r="W45" i="2"/>
  <c r="AE45" i="2"/>
  <c r="P45" i="2"/>
  <c r="Q45" i="2" s="1"/>
  <c r="N76" i="2"/>
  <c r="O75" i="2" s="1"/>
  <c r="Z45" i="2"/>
  <c r="AB45" i="2" s="1"/>
  <c r="AA81" i="2"/>
  <c r="V76" i="2"/>
  <c r="B77" i="2"/>
  <c r="C76" i="2"/>
  <c r="E75" i="2"/>
  <c r="M75" i="2"/>
  <c r="F75" i="2"/>
  <c r="D75" i="2"/>
  <c r="K74" i="2" l="1"/>
  <c r="G75" i="2"/>
  <c r="I75" i="2" s="1"/>
  <c r="H75" i="2"/>
  <c r="J75" i="2" s="1"/>
  <c r="N77" i="2"/>
  <c r="O76" i="2" s="1"/>
  <c r="X77" i="2"/>
  <c r="Y76" i="2" s="1"/>
  <c r="L46" i="2"/>
  <c r="T46" i="2" s="1"/>
  <c r="S46" i="2"/>
  <c r="U46" i="2" s="1"/>
  <c r="R46" i="2"/>
  <c r="AA82" i="2"/>
  <c r="D76" i="2"/>
  <c r="F76" i="2"/>
  <c r="E76" i="2"/>
  <c r="M76" i="2"/>
  <c r="V77" i="2"/>
  <c r="B78" i="2"/>
  <c r="C77" i="2"/>
  <c r="K75" i="2" l="1"/>
  <c r="G76" i="2"/>
  <c r="I76" i="2" s="1"/>
  <c r="H76" i="2"/>
  <c r="J76" i="2" s="1"/>
  <c r="N78" i="2"/>
  <c r="O77" i="2" s="1"/>
  <c r="X78" i="2"/>
  <c r="Y77" i="2" s="1"/>
  <c r="W46" i="2"/>
  <c r="P46" i="2"/>
  <c r="Q46" i="2" s="1"/>
  <c r="AE46" i="2"/>
  <c r="Z46" i="2"/>
  <c r="AB46" i="2" s="1"/>
  <c r="AA83" i="2"/>
  <c r="F77" i="2"/>
  <c r="D77" i="2"/>
  <c r="M77" i="2"/>
  <c r="E77" i="2"/>
  <c r="V78" i="2"/>
  <c r="B79" i="2"/>
  <c r="C78" i="2"/>
  <c r="K76" i="2" l="1"/>
  <c r="G77" i="2"/>
  <c r="I77" i="2" s="1"/>
  <c r="H77" i="2"/>
  <c r="J77" i="2" s="1"/>
  <c r="X79" i="2"/>
  <c r="Y78" i="2" s="1"/>
  <c r="N79" i="2"/>
  <c r="O78" i="2" s="1"/>
  <c r="R47" i="2"/>
  <c r="S47" i="2"/>
  <c r="U47" i="2" s="1"/>
  <c r="L47" i="2"/>
  <c r="T47" i="2" s="1"/>
  <c r="AA84" i="2"/>
  <c r="D78" i="2"/>
  <c r="M78" i="2"/>
  <c r="E78" i="2"/>
  <c r="F78" i="2"/>
  <c r="V79" i="2"/>
  <c r="C79" i="2"/>
  <c r="B80" i="2"/>
  <c r="K77" i="2" l="1"/>
  <c r="G78" i="2"/>
  <c r="I78" i="2" s="1"/>
  <c r="H78" i="2"/>
  <c r="J78" i="2" s="1"/>
  <c r="N80" i="2"/>
  <c r="O79" i="2" s="1"/>
  <c r="X80" i="2"/>
  <c r="Y79" i="2" s="1"/>
  <c r="W47" i="2"/>
  <c r="AE47" i="2"/>
  <c r="P47" i="2"/>
  <c r="Q47" i="2" s="1"/>
  <c r="Z47" i="2"/>
  <c r="AB47" i="2" s="1"/>
  <c r="AA85" i="2"/>
  <c r="D79" i="2"/>
  <c r="F79" i="2"/>
  <c r="E79" i="2"/>
  <c r="M79" i="2"/>
  <c r="V80" i="2"/>
  <c r="C80" i="2"/>
  <c r="B81" i="2"/>
  <c r="K78" i="2" l="1"/>
  <c r="G79" i="2"/>
  <c r="I79" i="2" s="1"/>
  <c r="H79" i="2"/>
  <c r="J79" i="2" s="1"/>
  <c r="N81" i="2"/>
  <c r="O80" i="2" s="1"/>
  <c r="X81" i="2"/>
  <c r="Y80" i="2" s="1"/>
  <c r="L48" i="2"/>
  <c r="T48" i="2" s="1"/>
  <c r="R48" i="2"/>
  <c r="S48" i="2"/>
  <c r="U48" i="2" s="1"/>
  <c r="AA86" i="2"/>
  <c r="V81" i="2"/>
  <c r="B82" i="2"/>
  <c r="C81" i="2"/>
  <c r="F80" i="2"/>
  <c r="D80" i="2"/>
  <c r="M80" i="2"/>
  <c r="E80" i="2"/>
  <c r="K79" i="2" l="1"/>
  <c r="G80" i="2"/>
  <c r="I80" i="2" s="1"/>
  <c r="H80" i="2"/>
  <c r="J80" i="2" s="1"/>
  <c r="N82" i="2"/>
  <c r="O81" i="2" s="1"/>
  <c r="X82" i="2"/>
  <c r="Y81" i="2" s="1"/>
  <c r="W48" i="2"/>
  <c r="AE48" i="2"/>
  <c r="P48" i="2"/>
  <c r="Q48" i="2" s="1"/>
  <c r="Z48" i="2"/>
  <c r="AB48" i="2" s="1"/>
  <c r="AA87" i="2"/>
  <c r="D81" i="2"/>
  <c r="E81" i="2"/>
  <c r="F81" i="2"/>
  <c r="M81" i="2"/>
  <c r="V82" i="2"/>
  <c r="C82" i="2"/>
  <c r="B83" i="2"/>
  <c r="K80" i="2" l="1"/>
  <c r="G81" i="2"/>
  <c r="I81" i="2" s="1"/>
  <c r="H81" i="2"/>
  <c r="J81" i="2" s="1"/>
  <c r="N83" i="2"/>
  <c r="O82" i="2" s="1"/>
  <c r="X83" i="2"/>
  <c r="Y82" i="2" s="1"/>
  <c r="S49" i="2"/>
  <c r="U49" i="2" s="1"/>
  <c r="R49" i="2"/>
  <c r="L49" i="2"/>
  <c r="T49" i="2" s="1"/>
  <c r="AA88" i="2"/>
  <c r="V83" i="2"/>
  <c r="B84" i="2"/>
  <c r="C83" i="2"/>
  <c r="M82" i="2"/>
  <c r="E82" i="2"/>
  <c r="D82" i="2"/>
  <c r="F82" i="2"/>
  <c r="K81" i="2" l="1"/>
  <c r="G82" i="2"/>
  <c r="I82" i="2" s="1"/>
  <c r="H82" i="2"/>
  <c r="J82" i="2" s="1"/>
  <c r="N84" i="2"/>
  <c r="O83" i="2" s="1"/>
  <c r="X84" i="2"/>
  <c r="Y83" i="2" s="1"/>
  <c r="W49" i="2"/>
  <c r="AE49" i="2"/>
  <c r="P49" i="2"/>
  <c r="Q49" i="2" s="1"/>
  <c r="Z49" i="2"/>
  <c r="AB49" i="2" s="1"/>
  <c r="AA89" i="2"/>
  <c r="M83" i="2"/>
  <c r="D83" i="2"/>
  <c r="F83" i="2"/>
  <c r="E83" i="2"/>
  <c r="V84" i="2"/>
  <c r="C84" i="2"/>
  <c r="B85" i="2"/>
  <c r="K82" i="2" l="1"/>
  <c r="G83" i="2"/>
  <c r="I83" i="2" s="1"/>
  <c r="H83" i="2"/>
  <c r="J83" i="2" s="1"/>
  <c r="N85" i="2"/>
  <c r="O84" i="2" s="1"/>
  <c r="X85" i="2"/>
  <c r="Y84" i="2" s="1"/>
  <c r="S50" i="2"/>
  <c r="U50" i="2" s="1"/>
  <c r="L50" i="2"/>
  <c r="T50" i="2" s="1"/>
  <c r="R50" i="2"/>
  <c r="AA90" i="2"/>
  <c r="V85" i="2"/>
  <c r="C85" i="2"/>
  <c r="B86" i="2"/>
  <c r="M84" i="2"/>
  <c r="F84" i="2"/>
  <c r="D84" i="2"/>
  <c r="E84" i="2"/>
  <c r="K83" i="2" l="1"/>
  <c r="G84" i="2"/>
  <c r="I84" i="2" s="1"/>
  <c r="H84" i="2"/>
  <c r="J84" i="2" s="1"/>
  <c r="N86" i="2"/>
  <c r="O85" i="2" s="1"/>
  <c r="X86" i="2"/>
  <c r="Y85" i="2" s="1"/>
  <c r="W50" i="2"/>
  <c r="AE50" i="2"/>
  <c r="Z50" i="2"/>
  <c r="AB50" i="2" s="1"/>
  <c r="P50" i="2"/>
  <c r="Q50" i="2" s="1"/>
  <c r="AA91" i="2"/>
  <c r="V86" i="2"/>
  <c r="B87" i="2"/>
  <c r="C86" i="2"/>
  <c r="E85" i="2"/>
  <c r="D85" i="2"/>
  <c r="F85" i="2"/>
  <c r="M85" i="2"/>
  <c r="K84" i="2" l="1"/>
  <c r="G85" i="2"/>
  <c r="I85" i="2" s="1"/>
  <c r="H85" i="2"/>
  <c r="J85" i="2" s="1"/>
  <c r="X87" i="2"/>
  <c r="Y86" i="2" s="1"/>
  <c r="N87" i="2"/>
  <c r="O86" i="2" s="1"/>
  <c r="R51" i="2"/>
  <c r="L51" i="2"/>
  <c r="T51" i="2" s="1"/>
  <c r="S51" i="2"/>
  <c r="U51" i="2" s="1"/>
  <c r="AA92" i="2"/>
  <c r="F86" i="2"/>
  <c r="E86" i="2"/>
  <c r="D86" i="2"/>
  <c r="M86" i="2"/>
  <c r="V87" i="2"/>
  <c r="B88" i="2"/>
  <c r="C87" i="2"/>
  <c r="K85" i="2" l="1"/>
  <c r="G86" i="2"/>
  <c r="I86" i="2" s="1"/>
  <c r="H86" i="2"/>
  <c r="J86" i="2" s="1"/>
  <c r="N88" i="2"/>
  <c r="O87" i="2" s="1"/>
  <c r="X88" i="2"/>
  <c r="Y87" i="2" s="1"/>
  <c r="W51" i="2"/>
  <c r="P51" i="2"/>
  <c r="Q51" i="2" s="1"/>
  <c r="AE51" i="2"/>
  <c r="Z51" i="2"/>
  <c r="AB51" i="2" s="1"/>
  <c r="AA93" i="2"/>
  <c r="E87" i="2"/>
  <c r="F87" i="2"/>
  <c r="M87" i="2"/>
  <c r="D87" i="2"/>
  <c r="V88" i="2"/>
  <c r="B89" i="2"/>
  <c r="C88" i="2"/>
  <c r="K86" i="2" l="1"/>
  <c r="G87" i="2"/>
  <c r="I87" i="2" s="1"/>
  <c r="H87" i="2"/>
  <c r="J87" i="2" s="1"/>
  <c r="N89" i="2"/>
  <c r="O88" i="2" s="1"/>
  <c r="X89" i="2"/>
  <c r="Y88" i="2" s="1"/>
  <c r="R52" i="2"/>
  <c r="S52" i="2"/>
  <c r="U52" i="2" s="1"/>
  <c r="L52" i="2"/>
  <c r="T52" i="2" s="1"/>
  <c r="AA94" i="2"/>
  <c r="V89" i="2"/>
  <c r="C89" i="2"/>
  <c r="B90" i="2"/>
  <c r="F88" i="2"/>
  <c r="M88" i="2"/>
  <c r="D88" i="2"/>
  <c r="E88" i="2"/>
  <c r="K87" i="2" l="1"/>
  <c r="G88" i="2"/>
  <c r="I88" i="2" s="1"/>
  <c r="H88" i="2"/>
  <c r="J88" i="2" s="1"/>
  <c r="N90" i="2"/>
  <c r="O89" i="2" s="1"/>
  <c r="X90" i="2"/>
  <c r="Y89" i="2" s="1"/>
  <c r="W52" i="2"/>
  <c r="AE52" i="2"/>
  <c r="Z52" i="2"/>
  <c r="AB52" i="2" s="1"/>
  <c r="P52" i="2"/>
  <c r="Q52" i="2" s="1"/>
  <c r="AA95" i="2"/>
  <c r="V90" i="2"/>
  <c r="C90" i="2"/>
  <c r="B91" i="2"/>
  <c r="D89" i="2"/>
  <c r="M89" i="2"/>
  <c r="F89" i="2"/>
  <c r="E89" i="2"/>
  <c r="K88" i="2" l="1"/>
  <c r="G89" i="2"/>
  <c r="I89" i="2" s="1"/>
  <c r="H89" i="2"/>
  <c r="J89" i="2" s="1"/>
  <c r="N91" i="2"/>
  <c r="O90" i="2" s="1"/>
  <c r="X91" i="2"/>
  <c r="Y90" i="2" s="1"/>
  <c r="R53" i="2"/>
  <c r="S53" i="2"/>
  <c r="U53" i="2" s="1"/>
  <c r="L53" i="2"/>
  <c r="T53" i="2" s="1"/>
  <c r="AA96" i="2"/>
  <c r="V91" i="2"/>
  <c r="B92" i="2"/>
  <c r="C91" i="2"/>
  <c r="M90" i="2"/>
  <c r="D90" i="2"/>
  <c r="E90" i="2"/>
  <c r="F90" i="2"/>
  <c r="K89" i="2" l="1"/>
  <c r="G90" i="2"/>
  <c r="I90" i="2" s="1"/>
  <c r="H90" i="2"/>
  <c r="J90" i="2" s="1"/>
  <c r="X92" i="2"/>
  <c r="Y91" i="2" s="1"/>
  <c r="W53" i="2"/>
  <c r="AE53" i="2"/>
  <c r="N92" i="2"/>
  <c r="O91" i="2" s="1"/>
  <c r="P53" i="2"/>
  <c r="Q53" i="2" s="1"/>
  <c r="Z53" i="2"/>
  <c r="AB53" i="2" s="1"/>
  <c r="AA97" i="2"/>
  <c r="D91" i="2"/>
  <c r="M91" i="2"/>
  <c r="F91" i="2"/>
  <c r="E91" i="2"/>
  <c r="V92" i="2"/>
  <c r="C92" i="2"/>
  <c r="B93" i="2"/>
  <c r="K90" i="2" l="1"/>
  <c r="G91" i="2"/>
  <c r="I91" i="2" s="1"/>
  <c r="H91" i="2"/>
  <c r="J91" i="2" s="1"/>
  <c r="N93" i="2"/>
  <c r="O92" i="2" s="1"/>
  <c r="X93" i="2"/>
  <c r="Y92" i="2" s="1"/>
  <c r="S54" i="2"/>
  <c r="U54" i="2" s="1"/>
  <c r="R54" i="2"/>
  <c r="L54" i="2"/>
  <c r="T54" i="2" s="1"/>
  <c r="AA98" i="2"/>
  <c r="E92" i="2"/>
  <c r="F92" i="2"/>
  <c r="M92" i="2"/>
  <c r="D92" i="2"/>
  <c r="V93" i="2"/>
  <c r="B94" i="2"/>
  <c r="C93" i="2"/>
  <c r="K91" i="2" l="1"/>
  <c r="G92" i="2"/>
  <c r="I92" i="2" s="1"/>
  <c r="H92" i="2"/>
  <c r="J92" i="2" s="1"/>
  <c r="N94" i="2"/>
  <c r="O93" i="2" s="1"/>
  <c r="X94" i="2"/>
  <c r="Y93" i="2" s="1"/>
  <c r="W54" i="2"/>
  <c r="AE54" i="2"/>
  <c r="Z54" i="2"/>
  <c r="AB54" i="2" s="1"/>
  <c r="P54" i="2"/>
  <c r="Q54" i="2" s="1"/>
  <c r="AA99" i="2"/>
  <c r="V94" i="2"/>
  <c r="C94" i="2"/>
  <c r="B95" i="2"/>
  <c r="D93" i="2"/>
  <c r="F93" i="2"/>
  <c r="M93" i="2"/>
  <c r="E93" i="2"/>
  <c r="K92" i="2" l="1"/>
  <c r="G93" i="2"/>
  <c r="I93" i="2" s="1"/>
  <c r="H93" i="2"/>
  <c r="J93" i="2" s="1"/>
  <c r="X95" i="2"/>
  <c r="Y94" i="2" s="1"/>
  <c r="N95" i="2"/>
  <c r="O94" i="2" s="1"/>
  <c r="S55" i="2"/>
  <c r="U55" i="2" s="1"/>
  <c r="R55" i="2"/>
  <c r="L55" i="2"/>
  <c r="T55" i="2" s="1"/>
  <c r="AA100" i="2"/>
  <c r="V95" i="2"/>
  <c r="B96" i="2"/>
  <c r="C95" i="2"/>
  <c r="E94" i="2"/>
  <c r="F94" i="2"/>
  <c r="D94" i="2"/>
  <c r="M94" i="2"/>
  <c r="K93" i="2" l="1"/>
  <c r="G94" i="2"/>
  <c r="I94" i="2" s="1"/>
  <c r="H94" i="2"/>
  <c r="J94" i="2" s="1"/>
  <c r="N96" i="2"/>
  <c r="O95" i="2" s="1"/>
  <c r="X96" i="2"/>
  <c r="Y95" i="2" s="1"/>
  <c r="W55" i="2"/>
  <c r="AE55" i="2"/>
  <c r="Z55" i="2"/>
  <c r="AB55" i="2" s="1"/>
  <c r="P55" i="2"/>
  <c r="Q55" i="2" s="1"/>
  <c r="AA101" i="2"/>
  <c r="V96" i="2"/>
  <c r="C96" i="2"/>
  <c r="B97" i="2"/>
  <c r="D95" i="2"/>
  <c r="F95" i="2"/>
  <c r="E95" i="2"/>
  <c r="M95" i="2"/>
  <c r="K94" i="2" l="1"/>
  <c r="G95" i="2"/>
  <c r="I95" i="2" s="1"/>
  <c r="H95" i="2"/>
  <c r="J95" i="2" s="1"/>
  <c r="N97" i="2"/>
  <c r="O96" i="2" s="1"/>
  <c r="X97" i="2"/>
  <c r="Y96" i="2" s="1"/>
  <c r="R56" i="2"/>
  <c r="L56" i="2"/>
  <c r="T56" i="2" s="1"/>
  <c r="S56" i="2"/>
  <c r="U56" i="2" s="1"/>
  <c r="AA102" i="2"/>
  <c r="V97" i="2"/>
  <c r="C97" i="2"/>
  <c r="B98" i="2"/>
  <c r="M96" i="2"/>
  <c r="F96" i="2"/>
  <c r="D96" i="2"/>
  <c r="E96" i="2"/>
  <c r="K95" i="2" l="1"/>
  <c r="G96" i="2"/>
  <c r="I96" i="2" s="1"/>
  <c r="H96" i="2"/>
  <c r="J96" i="2" s="1"/>
  <c r="N98" i="2"/>
  <c r="O97" i="2" s="1"/>
  <c r="X98" i="2"/>
  <c r="Y97" i="2" s="1"/>
  <c r="W56" i="2"/>
  <c r="AE56" i="2"/>
  <c r="Z56" i="2"/>
  <c r="AB56" i="2" s="1"/>
  <c r="P56" i="2"/>
  <c r="Q56" i="2" s="1"/>
  <c r="AA103" i="2"/>
  <c r="M97" i="2"/>
  <c r="D97" i="2"/>
  <c r="F97" i="2"/>
  <c r="E97" i="2"/>
  <c r="V98" i="2"/>
  <c r="B99" i="2"/>
  <c r="C98" i="2"/>
  <c r="K96" i="2" l="1"/>
  <c r="G97" i="2"/>
  <c r="I97" i="2" s="1"/>
  <c r="H97" i="2"/>
  <c r="J97" i="2" s="1"/>
  <c r="N99" i="2"/>
  <c r="O98" i="2" s="1"/>
  <c r="X99" i="2"/>
  <c r="Y98" i="2" s="1"/>
  <c r="S57" i="2"/>
  <c r="U57" i="2" s="1"/>
  <c r="L57" i="2"/>
  <c r="T57" i="2" s="1"/>
  <c r="R57" i="2"/>
  <c r="AA104" i="2"/>
  <c r="E98" i="2"/>
  <c r="F98" i="2"/>
  <c r="M98" i="2"/>
  <c r="D98" i="2"/>
  <c r="V99" i="2"/>
  <c r="C99" i="2"/>
  <c r="B100" i="2"/>
  <c r="K97" i="2" l="1"/>
  <c r="G98" i="2"/>
  <c r="I98" i="2" s="1"/>
  <c r="H98" i="2"/>
  <c r="J98" i="2" s="1"/>
  <c r="N100" i="2"/>
  <c r="O99" i="2" s="1"/>
  <c r="X100" i="2"/>
  <c r="Y99" i="2" s="1"/>
  <c r="W57" i="2"/>
  <c r="AE57" i="2"/>
  <c r="P57" i="2"/>
  <c r="Q57" i="2" s="1"/>
  <c r="Z57" i="2"/>
  <c r="AB57" i="2" s="1"/>
  <c r="AA105" i="2"/>
  <c r="V100" i="2"/>
  <c r="C100" i="2"/>
  <c r="B101" i="2"/>
  <c r="D99" i="2"/>
  <c r="M99" i="2"/>
  <c r="F99" i="2"/>
  <c r="E99" i="2"/>
  <c r="K98" i="2" l="1"/>
  <c r="G99" i="2"/>
  <c r="I99" i="2" s="1"/>
  <c r="H99" i="2"/>
  <c r="J99" i="2" s="1"/>
  <c r="N101" i="2"/>
  <c r="O100" i="2" s="1"/>
  <c r="X101" i="2"/>
  <c r="Y100" i="2" s="1"/>
  <c r="S58" i="2"/>
  <c r="U58" i="2" s="1"/>
  <c r="R58" i="2"/>
  <c r="L58" i="2"/>
  <c r="T58" i="2" s="1"/>
  <c r="AA106" i="2"/>
  <c r="V101" i="2"/>
  <c r="C101" i="2"/>
  <c r="B102" i="2"/>
  <c r="M100" i="2"/>
  <c r="D100" i="2"/>
  <c r="F100" i="2"/>
  <c r="E100" i="2"/>
  <c r="K99" i="2" l="1"/>
  <c r="G100" i="2"/>
  <c r="I100" i="2" s="1"/>
  <c r="H100" i="2"/>
  <c r="J100" i="2" s="1"/>
  <c r="N102" i="2"/>
  <c r="O101" i="2" s="1"/>
  <c r="X102" i="2"/>
  <c r="Y101" i="2" s="1"/>
  <c r="W58" i="2"/>
  <c r="AE58" i="2"/>
  <c r="P58" i="2"/>
  <c r="Q58" i="2" s="1"/>
  <c r="Z58" i="2"/>
  <c r="AB58" i="2" s="1"/>
  <c r="AA107" i="2"/>
  <c r="V102" i="2"/>
  <c r="B103" i="2"/>
  <c r="C102" i="2"/>
  <c r="E101" i="2"/>
  <c r="F101" i="2"/>
  <c r="M101" i="2"/>
  <c r="D101" i="2"/>
  <c r="K100" i="2" l="1"/>
  <c r="G101" i="2"/>
  <c r="I101" i="2" s="1"/>
  <c r="H101" i="2"/>
  <c r="J101" i="2" s="1"/>
  <c r="X103" i="2"/>
  <c r="Y102" i="2" s="1"/>
  <c r="N103" i="2"/>
  <c r="O102" i="2" s="1"/>
  <c r="R59" i="2"/>
  <c r="L59" i="2"/>
  <c r="T59" i="2" s="1"/>
  <c r="S59" i="2"/>
  <c r="U59" i="2" s="1"/>
  <c r="AA108" i="2"/>
  <c r="V103" i="2"/>
  <c r="B104" i="2"/>
  <c r="C103" i="2"/>
  <c r="D102" i="2"/>
  <c r="M102" i="2"/>
  <c r="F102" i="2"/>
  <c r="E102" i="2"/>
  <c r="K101" i="2" l="1"/>
  <c r="G102" i="2"/>
  <c r="I102" i="2" s="1"/>
  <c r="H102" i="2"/>
  <c r="J102" i="2" s="1"/>
  <c r="N104" i="2"/>
  <c r="O103" i="2" s="1"/>
  <c r="X104" i="2"/>
  <c r="Y103" i="2" s="1"/>
  <c r="W59" i="2"/>
  <c r="P59" i="2"/>
  <c r="Q59" i="2" s="1"/>
  <c r="AE59" i="2"/>
  <c r="Z59" i="2"/>
  <c r="AB59" i="2" s="1"/>
  <c r="AA109" i="2"/>
  <c r="D103" i="2"/>
  <c r="M103" i="2"/>
  <c r="F103" i="2"/>
  <c r="E103" i="2"/>
  <c r="V104" i="2"/>
  <c r="C104" i="2"/>
  <c r="B105" i="2"/>
  <c r="K102" i="2" l="1"/>
  <c r="G103" i="2"/>
  <c r="I103" i="2" s="1"/>
  <c r="H103" i="2"/>
  <c r="J103" i="2" s="1"/>
  <c r="N105" i="2"/>
  <c r="O104" i="2" s="1"/>
  <c r="X105" i="2"/>
  <c r="Y104" i="2" s="1"/>
  <c r="S60" i="2"/>
  <c r="U60" i="2" s="1"/>
  <c r="L60" i="2"/>
  <c r="T60" i="2" s="1"/>
  <c r="R60" i="2"/>
  <c r="AA110" i="2"/>
  <c r="V105" i="2"/>
  <c r="B106" i="2"/>
  <c r="C105" i="2"/>
  <c r="M104" i="2"/>
  <c r="E104" i="2"/>
  <c r="F104" i="2"/>
  <c r="D104" i="2"/>
  <c r="K103" i="2" l="1"/>
  <c r="G104" i="2"/>
  <c r="I104" i="2" s="1"/>
  <c r="H104" i="2"/>
  <c r="J104" i="2" s="1"/>
  <c r="N106" i="2"/>
  <c r="O105" i="2" s="1"/>
  <c r="X106" i="2"/>
  <c r="Y105" i="2" s="1"/>
  <c r="W60" i="2"/>
  <c r="P60" i="2"/>
  <c r="Q60" i="2" s="1"/>
  <c r="AE60" i="2"/>
  <c r="Z60" i="2"/>
  <c r="AB60" i="2" s="1"/>
  <c r="AA111" i="2"/>
  <c r="M105" i="2"/>
  <c r="F105" i="2"/>
  <c r="D105" i="2"/>
  <c r="E105" i="2"/>
  <c r="V106" i="2"/>
  <c r="C106" i="2"/>
  <c r="B107" i="2"/>
  <c r="K104" i="2" l="1"/>
  <c r="G105" i="2"/>
  <c r="I105" i="2" s="1"/>
  <c r="H105" i="2"/>
  <c r="J105" i="2" s="1"/>
  <c r="X107" i="2"/>
  <c r="Y106" i="2" s="1"/>
  <c r="N107" i="2"/>
  <c r="O106" i="2" s="1"/>
  <c r="R61" i="2"/>
  <c r="S61" i="2"/>
  <c r="U61" i="2" s="1"/>
  <c r="L61" i="2"/>
  <c r="T61" i="2" s="1"/>
  <c r="AA112" i="2"/>
  <c r="F106" i="2"/>
  <c r="D106" i="2"/>
  <c r="E106" i="2"/>
  <c r="M106" i="2"/>
  <c r="V107" i="2"/>
  <c r="B108" i="2"/>
  <c r="C107" i="2"/>
  <c r="K105" i="2" l="1"/>
  <c r="G106" i="2"/>
  <c r="I106" i="2" s="1"/>
  <c r="H106" i="2"/>
  <c r="J106" i="2" s="1"/>
  <c r="X108" i="2"/>
  <c r="Y107" i="2" s="1"/>
  <c r="W61" i="2"/>
  <c r="AE61" i="2"/>
  <c r="P61" i="2"/>
  <c r="Q61" i="2" s="1"/>
  <c r="N108" i="2"/>
  <c r="O107" i="2" s="1"/>
  <c r="Z61" i="2"/>
  <c r="AB61" i="2" s="1"/>
  <c r="AA113" i="2"/>
  <c r="E107" i="2"/>
  <c r="D107" i="2"/>
  <c r="M107" i="2"/>
  <c r="F107" i="2"/>
  <c r="V108" i="2"/>
  <c r="C108" i="2"/>
  <c r="B109" i="2"/>
  <c r="K106" i="2" l="1"/>
  <c r="G107" i="2"/>
  <c r="I107" i="2" s="1"/>
  <c r="H107" i="2"/>
  <c r="J107" i="2" s="1"/>
  <c r="N109" i="2"/>
  <c r="O108" i="2" s="1"/>
  <c r="X109" i="2"/>
  <c r="Y108" i="2" s="1"/>
  <c r="S62" i="2"/>
  <c r="U62" i="2" s="1"/>
  <c r="L62" i="2"/>
  <c r="T62" i="2" s="1"/>
  <c r="R62" i="2"/>
  <c r="AA114" i="2"/>
  <c r="V109" i="2"/>
  <c r="C109" i="2"/>
  <c r="B110" i="2"/>
  <c r="D108" i="2"/>
  <c r="F108" i="2"/>
  <c r="E108" i="2"/>
  <c r="M108" i="2"/>
  <c r="K107" i="2" l="1"/>
  <c r="G108" i="2"/>
  <c r="I108" i="2" s="1"/>
  <c r="H108" i="2"/>
  <c r="J108" i="2" s="1"/>
  <c r="N110" i="2"/>
  <c r="O109" i="2" s="1"/>
  <c r="X110" i="2"/>
  <c r="Y109" i="2" s="1"/>
  <c r="W62" i="2"/>
  <c r="P62" i="2"/>
  <c r="Q62" i="2" s="1"/>
  <c r="AE62" i="2"/>
  <c r="Z62" i="2"/>
  <c r="AB62" i="2" s="1"/>
  <c r="AA115" i="2"/>
  <c r="V110" i="2"/>
  <c r="B111" i="2"/>
  <c r="C110" i="2"/>
  <c r="F109" i="2"/>
  <c r="E109" i="2"/>
  <c r="M109" i="2"/>
  <c r="D109" i="2"/>
  <c r="K108" i="2" l="1"/>
  <c r="G109" i="2"/>
  <c r="I109" i="2" s="1"/>
  <c r="H109" i="2"/>
  <c r="J109" i="2" s="1"/>
  <c r="X111" i="2"/>
  <c r="Y110" i="2" s="1"/>
  <c r="N111" i="2"/>
  <c r="O110" i="2" s="1"/>
  <c r="S63" i="2"/>
  <c r="U63" i="2" s="1"/>
  <c r="L63" i="2"/>
  <c r="T63" i="2" s="1"/>
  <c r="R63" i="2"/>
  <c r="AA116" i="2"/>
  <c r="E110" i="2"/>
  <c r="M110" i="2"/>
  <c r="F110" i="2"/>
  <c r="D110" i="2"/>
  <c r="V111" i="2"/>
  <c r="B112" i="2"/>
  <c r="C111" i="2"/>
  <c r="K109" i="2" l="1"/>
  <c r="G110" i="2"/>
  <c r="I110" i="2" s="1"/>
  <c r="H110" i="2"/>
  <c r="J110" i="2" s="1"/>
  <c r="N112" i="2"/>
  <c r="O111" i="2" s="1"/>
  <c r="X112" i="2"/>
  <c r="Y111" i="2" s="1"/>
  <c r="W63" i="2"/>
  <c r="AE63" i="2"/>
  <c r="Z63" i="2"/>
  <c r="AB63" i="2" s="1"/>
  <c r="P63" i="2"/>
  <c r="Q63" i="2" s="1"/>
  <c r="AA117" i="2"/>
  <c r="V112" i="2"/>
  <c r="B113" i="2"/>
  <c r="C112" i="2"/>
  <c r="E111" i="2"/>
  <c r="D111" i="2"/>
  <c r="M111" i="2"/>
  <c r="F111" i="2"/>
  <c r="K110" i="2" l="1"/>
  <c r="G111" i="2"/>
  <c r="I111" i="2" s="1"/>
  <c r="H111" i="2"/>
  <c r="J111" i="2" s="1"/>
  <c r="N113" i="2"/>
  <c r="O112" i="2" s="1"/>
  <c r="X113" i="2"/>
  <c r="Y112" i="2" s="1"/>
  <c r="S64" i="2"/>
  <c r="U64" i="2" s="1"/>
  <c r="R64" i="2"/>
  <c r="L64" i="2"/>
  <c r="T64" i="2" s="1"/>
  <c r="AA118" i="2"/>
  <c r="D112" i="2"/>
  <c r="M112" i="2"/>
  <c r="E112" i="2"/>
  <c r="F112" i="2"/>
  <c r="V113" i="2"/>
  <c r="B114" i="2"/>
  <c r="C113" i="2"/>
  <c r="K111" i="2" l="1"/>
  <c r="G112" i="2"/>
  <c r="I112" i="2" s="1"/>
  <c r="H112" i="2"/>
  <c r="J112" i="2" s="1"/>
  <c r="N114" i="2"/>
  <c r="O113" i="2" s="1"/>
  <c r="X114" i="2"/>
  <c r="Y113" i="2" s="1"/>
  <c r="W64" i="2"/>
  <c r="AE64" i="2"/>
  <c r="P64" i="2"/>
  <c r="Q64" i="2" s="1"/>
  <c r="Z64" i="2"/>
  <c r="AB64" i="2" s="1"/>
  <c r="AA119" i="2"/>
  <c r="V114" i="2"/>
  <c r="C114" i="2"/>
  <c r="B115" i="2"/>
  <c r="F113" i="2"/>
  <c r="E113" i="2"/>
  <c r="M113" i="2"/>
  <c r="D113" i="2"/>
  <c r="K112" i="2" l="1"/>
  <c r="G113" i="2"/>
  <c r="I113" i="2" s="1"/>
  <c r="H113" i="2"/>
  <c r="J113" i="2" s="1"/>
  <c r="N115" i="2"/>
  <c r="O114" i="2" s="1"/>
  <c r="X115" i="2"/>
  <c r="Y114" i="2" s="1"/>
  <c r="S65" i="2"/>
  <c r="U65" i="2" s="1"/>
  <c r="R65" i="2"/>
  <c r="L65" i="2"/>
  <c r="T65" i="2" s="1"/>
  <c r="AA120" i="2"/>
  <c r="V115" i="2"/>
  <c r="B116" i="2"/>
  <c r="C115" i="2"/>
  <c r="M114" i="2"/>
  <c r="E114" i="2"/>
  <c r="D114" i="2"/>
  <c r="F114" i="2"/>
  <c r="K113" i="2" l="1"/>
  <c r="G114" i="2"/>
  <c r="I114" i="2" s="1"/>
  <c r="H114" i="2"/>
  <c r="J114" i="2" s="1"/>
  <c r="X116" i="2"/>
  <c r="Y115" i="2" s="1"/>
  <c r="W65" i="2"/>
  <c r="AE65" i="2"/>
  <c r="N116" i="2"/>
  <c r="O115" i="2" s="1"/>
  <c r="Z65" i="2"/>
  <c r="AB65" i="2" s="1"/>
  <c r="P65" i="2"/>
  <c r="Q65" i="2" s="1"/>
  <c r="AA121" i="2"/>
  <c r="D115" i="2"/>
  <c r="M115" i="2"/>
  <c r="F115" i="2"/>
  <c r="E115" i="2"/>
  <c r="V116" i="2"/>
  <c r="B117" i="2"/>
  <c r="C116" i="2"/>
  <c r="K114" i="2" l="1"/>
  <c r="G115" i="2"/>
  <c r="I115" i="2" s="1"/>
  <c r="H115" i="2"/>
  <c r="J115" i="2" s="1"/>
  <c r="X117" i="2"/>
  <c r="Y116" i="2" s="1"/>
  <c r="N117" i="2"/>
  <c r="O116" i="2" s="1"/>
  <c r="S66" i="2"/>
  <c r="U66" i="2" s="1"/>
  <c r="R66" i="2"/>
  <c r="L66" i="2"/>
  <c r="T66" i="2" s="1"/>
  <c r="AA122" i="2"/>
  <c r="F116" i="2"/>
  <c r="E116" i="2"/>
  <c r="M116" i="2"/>
  <c r="D116" i="2"/>
  <c r="V117" i="2"/>
  <c r="C117" i="2"/>
  <c r="B118" i="2"/>
  <c r="K115" i="2" l="1"/>
  <c r="G116" i="2"/>
  <c r="I116" i="2" s="1"/>
  <c r="H116" i="2"/>
  <c r="J116" i="2" s="1"/>
  <c r="N118" i="2"/>
  <c r="O117" i="2" s="1"/>
  <c r="X118" i="2"/>
  <c r="Y117" i="2" s="1"/>
  <c r="W66" i="2"/>
  <c r="AE66" i="2"/>
  <c r="P66" i="2"/>
  <c r="Q66" i="2" s="1"/>
  <c r="Z66" i="2"/>
  <c r="AB66" i="2" s="1"/>
  <c r="AA123" i="2"/>
  <c r="V118" i="2"/>
  <c r="B119" i="2"/>
  <c r="C118" i="2"/>
  <c r="F117" i="2"/>
  <c r="M117" i="2"/>
  <c r="E117" i="2"/>
  <c r="D117" i="2"/>
  <c r="K116" i="2" l="1"/>
  <c r="G117" i="2"/>
  <c r="I117" i="2" s="1"/>
  <c r="H117" i="2"/>
  <c r="J117" i="2" s="1"/>
  <c r="N119" i="2"/>
  <c r="O118" i="2" s="1"/>
  <c r="X119" i="2"/>
  <c r="Y118" i="2" s="1"/>
  <c r="R67" i="2"/>
  <c r="S67" i="2"/>
  <c r="U67" i="2" s="1"/>
  <c r="L67" i="2"/>
  <c r="T67" i="2" s="1"/>
  <c r="AA124" i="2"/>
  <c r="D118" i="2"/>
  <c r="E118" i="2"/>
  <c r="M118" i="2"/>
  <c r="F118" i="2"/>
  <c r="V119" i="2"/>
  <c r="C119" i="2"/>
  <c r="B120" i="2"/>
  <c r="K117" i="2" l="1"/>
  <c r="G118" i="2"/>
  <c r="I118" i="2" s="1"/>
  <c r="H118" i="2"/>
  <c r="J118" i="2" s="1"/>
  <c r="N120" i="2"/>
  <c r="O119" i="2" s="1"/>
  <c r="X120" i="2"/>
  <c r="Y119" i="2" s="1"/>
  <c r="W67" i="2"/>
  <c r="AE67" i="2"/>
  <c r="Z67" i="2"/>
  <c r="AB67" i="2" s="1"/>
  <c r="P67" i="2"/>
  <c r="Q67" i="2" s="1"/>
  <c r="AA125" i="2"/>
  <c r="V120" i="2"/>
  <c r="B121" i="2"/>
  <c r="C120" i="2"/>
  <c r="M119" i="2"/>
  <c r="F119" i="2"/>
  <c r="E119" i="2"/>
  <c r="D119" i="2"/>
  <c r="K118" i="2" l="1"/>
  <c r="G119" i="2"/>
  <c r="I119" i="2" s="1"/>
  <c r="H119" i="2"/>
  <c r="J119" i="2" s="1"/>
  <c r="N121" i="2"/>
  <c r="O120" i="2" s="1"/>
  <c r="X121" i="2"/>
  <c r="Y120" i="2" s="1"/>
  <c r="S68" i="2"/>
  <c r="U68" i="2" s="1"/>
  <c r="L68" i="2"/>
  <c r="T68" i="2" s="1"/>
  <c r="R68" i="2"/>
  <c r="AA126" i="2"/>
  <c r="D120" i="2"/>
  <c r="F120" i="2"/>
  <c r="E120" i="2"/>
  <c r="M120" i="2"/>
  <c r="V121" i="2"/>
  <c r="B122" i="2"/>
  <c r="C121" i="2"/>
  <c r="K119" i="2" l="1"/>
  <c r="G120" i="2"/>
  <c r="I120" i="2" s="1"/>
  <c r="H120" i="2"/>
  <c r="J120" i="2" s="1"/>
  <c r="N122" i="2"/>
  <c r="O121" i="2" s="1"/>
  <c r="X122" i="2"/>
  <c r="Y121" i="2" s="1"/>
  <c r="W68" i="2"/>
  <c r="P68" i="2"/>
  <c r="Q68" i="2" s="1"/>
  <c r="AE68" i="2"/>
  <c r="Z68" i="2"/>
  <c r="AB68" i="2" s="1"/>
  <c r="AA127" i="2"/>
  <c r="V122" i="2"/>
  <c r="C122" i="2"/>
  <c r="B123" i="2"/>
  <c r="F121" i="2"/>
  <c r="E121" i="2"/>
  <c r="D121" i="2"/>
  <c r="M121" i="2"/>
  <c r="K120" i="2" l="1"/>
  <c r="G121" i="2"/>
  <c r="I121" i="2" s="1"/>
  <c r="H121" i="2"/>
  <c r="J121" i="2" s="1"/>
  <c r="N123" i="2"/>
  <c r="O122" i="2" s="1"/>
  <c r="X123" i="2"/>
  <c r="Y122" i="2" s="1"/>
  <c r="R69" i="2"/>
  <c r="L69" i="2"/>
  <c r="T69" i="2" s="1"/>
  <c r="S69" i="2"/>
  <c r="U69" i="2" s="1"/>
  <c r="AA128" i="2"/>
  <c r="V123" i="2"/>
  <c r="B124" i="2"/>
  <c r="C123" i="2"/>
  <c r="M122" i="2"/>
  <c r="E122" i="2"/>
  <c r="F122" i="2"/>
  <c r="D122" i="2"/>
  <c r="K121" i="2" l="1"/>
  <c r="G122" i="2"/>
  <c r="I122" i="2" s="1"/>
  <c r="H122" i="2"/>
  <c r="J122" i="2" s="1"/>
  <c r="N124" i="2"/>
  <c r="O123" i="2" s="1"/>
  <c r="X124" i="2"/>
  <c r="Y123" i="2" s="1"/>
  <c r="W69" i="2"/>
  <c r="AE69" i="2"/>
  <c r="P69" i="2"/>
  <c r="Q69" i="2" s="1"/>
  <c r="Z69" i="2"/>
  <c r="AB69" i="2" s="1"/>
  <c r="AA129" i="2"/>
  <c r="D123" i="2"/>
  <c r="M123" i="2"/>
  <c r="F123" i="2"/>
  <c r="E123" i="2"/>
  <c r="V124" i="2"/>
  <c r="B125" i="2"/>
  <c r="C124" i="2"/>
  <c r="K122" i="2" l="1"/>
  <c r="G123" i="2"/>
  <c r="I123" i="2" s="1"/>
  <c r="H123" i="2"/>
  <c r="J123" i="2" s="1"/>
  <c r="X125" i="2"/>
  <c r="Y124" i="2" s="1"/>
  <c r="N125" i="2"/>
  <c r="O124" i="2" s="1"/>
  <c r="S70" i="2"/>
  <c r="U70" i="2" s="1"/>
  <c r="R70" i="2"/>
  <c r="L70" i="2"/>
  <c r="T70" i="2" s="1"/>
  <c r="AA130" i="2"/>
  <c r="F124" i="2"/>
  <c r="M124" i="2"/>
  <c r="D124" i="2"/>
  <c r="E124" i="2"/>
  <c r="V125" i="2"/>
  <c r="C125" i="2"/>
  <c r="B126" i="2"/>
  <c r="K123" i="2" l="1"/>
  <c r="G124" i="2"/>
  <c r="I124" i="2" s="1"/>
  <c r="H124" i="2"/>
  <c r="J124" i="2" s="1"/>
  <c r="N126" i="2"/>
  <c r="O125" i="2" s="1"/>
  <c r="X126" i="2"/>
  <c r="Y125" i="2" s="1"/>
  <c r="W70" i="2"/>
  <c r="AE70" i="2"/>
  <c r="Z70" i="2"/>
  <c r="AB70" i="2" s="1"/>
  <c r="P70" i="2"/>
  <c r="Q70" i="2" s="1"/>
  <c r="AA131" i="2"/>
  <c r="D125" i="2"/>
  <c r="M125" i="2"/>
  <c r="E125" i="2"/>
  <c r="F125" i="2"/>
  <c r="V126" i="2"/>
  <c r="B127" i="2"/>
  <c r="C126" i="2"/>
  <c r="K124" i="2" l="1"/>
  <c r="G125" i="2"/>
  <c r="I125" i="2" s="1"/>
  <c r="H125" i="2"/>
  <c r="J125" i="2" s="1"/>
  <c r="N127" i="2"/>
  <c r="O126" i="2" s="1"/>
  <c r="X127" i="2"/>
  <c r="Y126" i="2" s="1"/>
  <c r="R71" i="2"/>
  <c r="S71" i="2"/>
  <c r="U71" i="2" s="1"/>
  <c r="L71" i="2"/>
  <c r="T71" i="2" s="1"/>
  <c r="AA132" i="2"/>
  <c r="V127" i="2"/>
  <c r="C127" i="2"/>
  <c r="B128" i="2"/>
  <c r="D126" i="2"/>
  <c r="M126" i="2"/>
  <c r="F126" i="2"/>
  <c r="E126" i="2"/>
  <c r="K125" i="2" l="1"/>
  <c r="G126" i="2"/>
  <c r="I126" i="2" s="1"/>
  <c r="H126" i="2"/>
  <c r="J126" i="2" s="1"/>
  <c r="N128" i="2"/>
  <c r="O127" i="2" s="1"/>
  <c r="X128" i="2"/>
  <c r="Y127" i="2" s="1"/>
  <c r="W71" i="2"/>
  <c r="AE71" i="2"/>
  <c r="P71" i="2"/>
  <c r="Q71" i="2" s="1"/>
  <c r="Z71" i="2"/>
  <c r="AB71" i="2" s="1"/>
  <c r="AA133" i="2"/>
  <c r="V128" i="2"/>
  <c r="C128" i="2"/>
  <c r="B129" i="2"/>
  <c r="D127" i="2"/>
  <c r="M127" i="2"/>
  <c r="F127" i="2"/>
  <c r="E127" i="2"/>
  <c r="K126" i="2" l="1"/>
  <c r="G127" i="2"/>
  <c r="I127" i="2" s="1"/>
  <c r="H127" i="2"/>
  <c r="J127" i="2" s="1"/>
  <c r="N129" i="2"/>
  <c r="O128" i="2" s="1"/>
  <c r="X129" i="2"/>
  <c r="Y128" i="2" s="1"/>
  <c r="S72" i="2"/>
  <c r="U72" i="2" s="1"/>
  <c r="R72" i="2"/>
  <c r="L72" i="2"/>
  <c r="T72" i="2" s="1"/>
  <c r="AA134" i="2"/>
  <c r="V129" i="2"/>
  <c r="C129" i="2"/>
  <c r="B130" i="2"/>
  <c r="E128" i="2"/>
  <c r="D128" i="2"/>
  <c r="M128" i="2"/>
  <c r="F128" i="2"/>
  <c r="K127" i="2" l="1"/>
  <c r="G128" i="2"/>
  <c r="I128" i="2" s="1"/>
  <c r="H128" i="2"/>
  <c r="J128" i="2" s="1"/>
  <c r="N130" i="2"/>
  <c r="O129" i="2" s="1"/>
  <c r="X130" i="2"/>
  <c r="Y129" i="2" s="1"/>
  <c r="W72" i="2"/>
  <c r="AE72" i="2"/>
  <c r="Z72" i="2"/>
  <c r="AB72" i="2" s="1"/>
  <c r="P72" i="2"/>
  <c r="Q72" i="2" s="1"/>
  <c r="AA135" i="2"/>
  <c r="M129" i="2"/>
  <c r="D129" i="2"/>
  <c r="F129" i="2"/>
  <c r="E129" i="2"/>
  <c r="V130" i="2"/>
  <c r="C130" i="2"/>
  <c r="B131" i="2"/>
  <c r="K128" i="2" l="1"/>
  <c r="G129" i="2"/>
  <c r="I129" i="2" s="1"/>
  <c r="H129" i="2"/>
  <c r="J129" i="2" s="1"/>
  <c r="X131" i="2"/>
  <c r="Y130" i="2" s="1"/>
  <c r="N131" i="2"/>
  <c r="O130" i="2" s="1"/>
  <c r="R73" i="2"/>
  <c r="L73" i="2"/>
  <c r="T73" i="2" s="1"/>
  <c r="S73" i="2"/>
  <c r="U73" i="2" s="1"/>
  <c r="AA136" i="2"/>
  <c r="V131" i="2"/>
  <c r="C131" i="2"/>
  <c r="B132" i="2"/>
  <c r="M130" i="2"/>
  <c r="E130" i="2"/>
  <c r="F130" i="2"/>
  <c r="D130" i="2"/>
  <c r="K129" i="2" l="1"/>
  <c r="G130" i="2"/>
  <c r="I130" i="2" s="1"/>
  <c r="H130" i="2"/>
  <c r="J130" i="2" s="1"/>
  <c r="N132" i="2"/>
  <c r="O131" i="2" s="1"/>
  <c r="X132" i="2"/>
  <c r="Y131" i="2" s="1"/>
  <c r="W73" i="2"/>
  <c r="AE73" i="2"/>
  <c r="P73" i="2"/>
  <c r="Q73" i="2" s="1"/>
  <c r="Z73" i="2"/>
  <c r="AB73" i="2" s="1"/>
  <c r="AA137" i="2"/>
  <c r="V132" i="2"/>
  <c r="B133" i="2"/>
  <c r="C132" i="2"/>
  <c r="E131" i="2"/>
  <c r="M131" i="2"/>
  <c r="F131" i="2"/>
  <c r="D131" i="2"/>
  <c r="K130" i="2" l="1"/>
  <c r="G131" i="2"/>
  <c r="I131" i="2" s="1"/>
  <c r="H131" i="2"/>
  <c r="J131" i="2" s="1"/>
  <c r="X133" i="2"/>
  <c r="Y132" i="2" s="1"/>
  <c r="N133" i="2"/>
  <c r="O132" i="2" s="1"/>
  <c r="R74" i="2"/>
  <c r="S74" i="2"/>
  <c r="U74" i="2" s="1"/>
  <c r="L74" i="2"/>
  <c r="T74" i="2" s="1"/>
  <c r="AA138" i="2"/>
  <c r="M132" i="2"/>
  <c r="D132" i="2"/>
  <c r="F132" i="2"/>
  <c r="E132" i="2"/>
  <c r="V133" i="2"/>
  <c r="C133" i="2"/>
  <c r="B134" i="2"/>
  <c r="K131" i="2" l="1"/>
  <c r="G132" i="2"/>
  <c r="I132" i="2" s="1"/>
  <c r="H132" i="2"/>
  <c r="J132" i="2" s="1"/>
  <c r="N134" i="2"/>
  <c r="O133" i="2" s="1"/>
  <c r="X134" i="2"/>
  <c r="Y133" i="2" s="1"/>
  <c r="W74" i="2"/>
  <c r="AE74" i="2"/>
  <c r="P74" i="2"/>
  <c r="Q74" i="2" s="1"/>
  <c r="Z74" i="2"/>
  <c r="AB74" i="2" s="1"/>
  <c r="AA139" i="2"/>
  <c r="V134" i="2"/>
  <c r="B135" i="2"/>
  <c r="C134" i="2"/>
  <c r="D133" i="2"/>
  <c r="M133" i="2"/>
  <c r="F133" i="2"/>
  <c r="E133" i="2"/>
  <c r="G133" i="2" l="1"/>
  <c r="I133" i="2" s="1"/>
  <c r="H133" i="2"/>
  <c r="J133" i="2" s="1"/>
  <c r="K132" i="2"/>
  <c r="X135" i="2"/>
  <c r="Y134" i="2" s="1"/>
  <c r="N135" i="2"/>
  <c r="O134" i="2" s="1"/>
  <c r="R75" i="2"/>
  <c r="S75" i="2"/>
  <c r="U75" i="2" s="1"/>
  <c r="L75" i="2"/>
  <c r="T75" i="2" s="1"/>
  <c r="AA140" i="2"/>
  <c r="F134" i="2"/>
  <c r="D134" i="2"/>
  <c r="M134" i="2"/>
  <c r="E134" i="2"/>
  <c r="V135" i="2"/>
  <c r="C135" i="2"/>
  <c r="B136" i="2"/>
  <c r="K133" i="2" l="1"/>
  <c r="G134" i="2"/>
  <c r="I134" i="2" s="1"/>
  <c r="H134" i="2"/>
  <c r="J134" i="2" s="1"/>
  <c r="N136" i="2"/>
  <c r="O135" i="2" s="1"/>
  <c r="X136" i="2"/>
  <c r="Y135" i="2" s="1"/>
  <c r="W75" i="2"/>
  <c r="AE75" i="2"/>
  <c r="P75" i="2"/>
  <c r="Q75" i="2" s="1"/>
  <c r="Z75" i="2"/>
  <c r="AB75" i="2" s="1"/>
  <c r="AA141" i="2"/>
  <c r="F135" i="2"/>
  <c r="M135" i="2"/>
  <c r="E135" i="2"/>
  <c r="D135" i="2"/>
  <c r="V136" i="2"/>
  <c r="C136" i="2"/>
  <c r="B137" i="2"/>
  <c r="K134" i="2" l="1"/>
  <c r="G135" i="2"/>
  <c r="I135" i="2" s="1"/>
  <c r="H135" i="2"/>
  <c r="J135" i="2" s="1"/>
  <c r="N137" i="2"/>
  <c r="O136" i="2" s="1"/>
  <c r="X137" i="2"/>
  <c r="Y136" i="2" s="1"/>
  <c r="S76" i="2"/>
  <c r="U76" i="2" s="1"/>
  <c r="L76" i="2"/>
  <c r="T76" i="2" s="1"/>
  <c r="R76" i="2"/>
  <c r="AA142" i="2"/>
  <c r="M136" i="2"/>
  <c r="F136" i="2"/>
  <c r="E136" i="2"/>
  <c r="D136" i="2"/>
  <c r="V137" i="2"/>
  <c r="C137" i="2"/>
  <c r="B138" i="2"/>
  <c r="K135" i="2" l="1"/>
  <c r="G136" i="2"/>
  <c r="I136" i="2" s="1"/>
  <c r="H136" i="2"/>
  <c r="J136" i="2" s="1"/>
  <c r="N138" i="2"/>
  <c r="O137" i="2" s="1"/>
  <c r="X138" i="2"/>
  <c r="Y137" i="2" s="1"/>
  <c r="W76" i="2"/>
  <c r="P76" i="2"/>
  <c r="Q76" i="2" s="1"/>
  <c r="AE76" i="2"/>
  <c r="Z76" i="2"/>
  <c r="AB76" i="2" s="1"/>
  <c r="AA143" i="2"/>
  <c r="D137" i="2"/>
  <c r="M137" i="2"/>
  <c r="F137" i="2"/>
  <c r="E137" i="2"/>
  <c r="V138" i="2"/>
  <c r="C138" i="2"/>
  <c r="B139" i="2"/>
  <c r="K136" i="2" l="1"/>
  <c r="G137" i="2"/>
  <c r="I137" i="2" s="1"/>
  <c r="H137" i="2"/>
  <c r="J137" i="2" s="1"/>
  <c r="X139" i="2"/>
  <c r="Y138" i="2" s="1"/>
  <c r="N139" i="2"/>
  <c r="O138" i="2" s="1"/>
  <c r="L77" i="2"/>
  <c r="T77" i="2" s="1"/>
  <c r="S77" i="2"/>
  <c r="U77" i="2" s="1"/>
  <c r="R77" i="2"/>
  <c r="AA144" i="2"/>
  <c r="V139" i="2"/>
  <c r="C139" i="2"/>
  <c r="B140" i="2"/>
  <c r="M138" i="2"/>
  <c r="E138" i="2"/>
  <c r="D138" i="2"/>
  <c r="F138" i="2"/>
  <c r="K137" i="2" l="1"/>
  <c r="G138" i="2"/>
  <c r="I138" i="2" s="1"/>
  <c r="H138" i="2"/>
  <c r="J138" i="2" s="1"/>
  <c r="X140" i="2"/>
  <c r="Y139" i="2" s="1"/>
  <c r="W77" i="2"/>
  <c r="P77" i="2"/>
  <c r="Q77" i="2" s="1"/>
  <c r="AE77" i="2"/>
  <c r="N140" i="2"/>
  <c r="O139" i="2" s="1"/>
  <c r="Z77" i="2"/>
  <c r="AB77" i="2" s="1"/>
  <c r="AA145" i="2"/>
  <c r="V140" i="2"/>
  <c r="C140" i="2"/>
  <c r="B141" i="2"/>
  <c r="F139" i="2"/>
  <c r="M139" i="2"/>
  <c r="E139" i="2"/>
  <c r="D139" i="2"/>
  <c r="K138" i="2" l="1"/>
  <c r="G139" i="2"/>
  <c r="I139" i="2" s="1"/>
  <c r="H139" i="2"/>
  <c r="J139" i="2" s="1"/>
  <c r="X141" i="2"/>
  <c r="Y140" i="2" s="1"/>
  <c r="N141" i="2"/>
  <c r="O140" i="2" s="1"/>
  <c r="S78" i="2"/>
  <c r="U78" i="2" s="1"/>
  <c r="L78" i="2"/>
  <c r="T78" i="2" s="1"/>
  <c r="R78" i="2"/>
  <c r="AA146" i="2"/>
  <c r="V141" i="2"/>
  <c r="C141" i="2"/>
  <c r="B142" i="2"/>
  <c r="D140" i="2"/>
  <c r="M140" i="2"/>
  <c r="F140" i="2"/>
  <c r="E140" i="2"/>
  <c r="K139" i="2" l="1"/>
  <c r="G140" i="2"/>
  <c r="I140" i="2" s="1"/>
  <c r="H140" i="2"/>
  <c r="J140" i="2" s="1"/>
  <c r="N142" i="2"/>
  <c r="O141" i="2" s="1"/>
  <c r="X142" i="2"/>
  <c r="Y141" i="2" s="1"/>
  <c r="W78" i="2"/>
  <c r="AE78" i="2"/>
  <c r="Z78" i="2"/>
  <c r="AB78" i="2" s="1"/>
  <c r="P78" i="2"/>
  <c r="Q78" i="2" s="1"/>
  <c r="AA147" i="2"/>
  <c r="V142" i="2"/>
  <c r="B143" i="2"/>
  <c r="C142" i="2"/>
  <c r="M141" i="2"/>
  <c r="E141" i="2"/>
  <c r="F141" i="2"/>
  <c r="D141" i="2"/>
  <c r="K140" i="2" l="1"/>
  <c r="G141" i="2"/>
  <c r="I141" i="2" s="1"/>
  <c r="H141" i="2"/>
  <c r="J141" i="2" s="1"/>
  <c r="N143" i="2"/>
  <c r="O142" i="2" s="1"/>
  <c r="X143" i="2"/>
  <c r="Y142" i="2" s="1"/>
  <c r="R79" i="2"/>
  <c r="S79" i="2"/>
  <c r="U79" i="2" s="1"/>
  <c r="L79" i="2"/>
  <c r="T79" i="2" s="1"/>
  <c r="AA148" i="2"/>
  <c r="V143" i="2"/>
  <c r="C143" i="2"/>
  <c r="B144" i="2"/>
  <c r="F142" i="2"/>
  <c r="D142" i="2"/>
  <c r="M142" i="2"/>
  <c r="E142" i="2"/>
  <c r="K141" i="2" l="1"/>
  <c r="G142" i="2"/>
  <c r="I142" i="2" s="1"/>
  <c r="H142" i="2"/>
  <c r="J142" i="2" s="1"/>
  <c r="N144" i="2"/>
  <c r="O143" i="2" s="1"/>
  <c r="X144" i="2"/>
  <c r="Y143" i="2" s="1"/>
  <c r="W79" i="2"/>
  <c r="AE79" i="2"/>
  <c r="P79" i="2"/>
  <c r="Q79" i="2" s="1"/>
  <c r="Z79" i="2"/>
  <c r="AB79" i="2" s="1"/>
  <c r="AA149" i="2"/>
  <c r="F143" i="2"/>
  <c r="M143" i="2"/>
  <c r="E143" i="2"/>
  <c r="D143" i="2"/>
  <c r="V144" i="2"/>
  <c r="C144" i="2"/>
  <c r="B145" i="2"/>
  <c r="K142" i="2" l="1"/>
  <c r="G143" i="2"/>
  <c r="I143" i="2" s="1"/>
  <c r="H143" i="2"/>
  <c r="J143" i="2" s="1"/>
  <c r="N145" i="2"/>
  <c r="O144" i="2" s="1"/>
  <c r="X145" i="2"/>
  <c r="Y144" i="2" s="1"/>
  <c r="L80" i="2"/>
  <c r="T80" i="2" s="1"/>
  <c r="R80" i="2"/>
  <c r="S80" i="2"/>
  <c r="U80" i="2" s="1"/>
  <c r="AA150" i="2"/>
  <c r="V145" i="2"/>
  <c r="B146" i="2"/>
  <c r="C145" i="2"/>
  <c r="M144" i="2"/>
  <c r="F144" i="2"/>
  <c r="E144" i="2"/>
  <c r="D144" i="2"/>
  <c r="K143" i="2" l="1"/>
  <c r="G144" i="2"/>
  <c r="I144" i="2" s="1"/>
  <c r="H144" i="2"/>
  <c r="J144" i="2" s="1"/>
  <c r="N146" i="2"/>
  <c r="O145" i="2" s="1"/>
  <c r="X146" i="2"/>
  <c r="Y145" i="2" s="1"/>
  <c r="W80" i="2"/>
  <c r="AE80" i="2"/>
  <c r="Z80" i="2"/>
  <c r="AB80" i="2" s="1"/>
  <c r="P80" i="2"/>
  <c r="Q80" i="2" s="1"/>
  <c r="AA151" i="2"/>
  <c r="V146" i="2"/>
  <c r="C146" i="2"/>
  <c r="B147" i="2"/>
  <c r="M145" i="2"/>
  <c r="F145" i="2"/>
  <c r="D145" i="2"/>
  <c r="E145" i="2"/>
  <c r="K144" i="2" l="1"/>
  <c r="G145" i="2"/>
  <c r="I145" i="2" s="1"/>
  <c r="H145" i="2"/>
  <c r="J145" i="2" s="1"/>
  <c r="N147" i="2"/>
  <c r="O146" i="2" s="1"/>
  <c r="X147" i="2"/>
  <c r="Y146" i="2" s="1"/>
  <c r="R81" i="2"/>
  <c r="L81" i="2"/>
  <c r="T81" i="2" s="1"/>
  <c r="S81" i="2"/>
  <c r="U81" i="2" s="1"/>
  <c r="AA152" i="2"/>
  <c r="D146" i="2"/>
  <c r="M146" i="2"/>
  <c r="E146" i="2"/>
  <c r="F146" i="2"/>
  <c r="V147" i="2"/>
  <c r="B148" i="2"/>
  <c r="C147" i="2"/>
  <c r="K145" i="2" l="1"/>
  <c r="G146" i="2"/>
  <c r="I146" i="2" s="1"/>
  <c r="H146" i="2"/>
  <c r="J146" i="2" s="1"/>
  <c r="N148" i="2"/>
  <c r="O147" i="2" s="1"/>
  <c r="X148" i="2"/>
  <c r="Y147" i="2" s="1"/>
  <c r="W81" i="2"/>
  <c r="P81" i="2"/>
  <c r="Q81" i="2" s="1"/>
  <c r="AE81" i="2"/>
  <c r="Z81" i="2"/>
  <c r="AB81" i="2" s="1"/>
  <c r="AA153" i="2"/>
  <c r="D147" i="2"/>
  <c r="F147" i="2"/>
  <c r="E147" i="2"/>
  <c r="M147" i="2"/>
  <c r="V148" i="2"/>
  <c r="B149" i="2"/>
  <c r="C148" i="2"/>
  <c r="K146" i="2" l="1"/>
  <c r="G147" i="2"/>
  <c r="I147" i="2" s="1"/>
  <c r="H147" i="2"/>
  <c r="J147" i="2" s="1"/>
  <c r="N149" i="2"/>
  <c r="O148" i="2" s="1"/>
  <c r="X149" i="2"/>
  <c r="Y148" i="2" s="1"/>
  <c r="S82" i="2"/>
  <c r="U82" i="2" s="1"/>
  <c r="R82" i="2"/>
  <c r="L82" i="2"/>
  <c r="T82" i="2" s="1"/>
  <c r="AA154" i="2"/>
  <c r="V149" i="2"/>
  <c r="B150" i="2"/>
  <c r="C149" i="2"/>
  <c r="D148" i="2"/>
  <c r="M148" i="2"/>
  <c r="F148" i="2"/>
  <c r="E148" i="2"/>
  <c r="K147" i="2" l="1"/>
  <c r="G148" i="2"/>
  <c r="I148" i="2" s="1"/>
  <c r="H148" i="2"/>
  <c r="J148" i="2" s="1"/>
  <c r="N150" i="2"/>
  <c r="O149" i="2" s="1"/>
  <c r="X150" i="2"/>
  <c r="Y149" i="2" s="1"/>
  <c r="W82" i="2"/>
  <c r="AE82" i="2"/>
  <c r="Z82" i="2"/>
  <c r="AB82" i="2" s="1"/>
  <c r="P82" i="2"/>
  <c r="Q82" i="2" s="1"/>
  <c r="AA155" i="2"/>
  <c r="V150" i="2"/>
  <c r="C150" i="2"/>
  <c r="B151" i="2"/>
  <c r="E149" i="2"/>
  <c r="F149" i="2"/>
  <c r="M149" i="2"/>
  <c r="D149" i="2"/>
  <c r="K148" i="2" l="1"/>
  <c r="G149" i="2"/>
  <c r="I149" i="2" s="1"/>
  <c r="H149" i="2"/>
  <c r="J149" i="2" s="1"/>
  <c r="N151" i="2"/>
  <c r="O150" i="2" s="1"/>
  <c r="X151" i="2"/>
  <c r="Y150" i="2" s="1"/>
  <c r="R83" i="2"/>
  <c r="S83" i="2"/>
  <c r="U83" i="2" s="1"/>
  <c r="L83" i="2"/>
  <c r="T83" i="2" s="1"/>
  <c r="AA156" i="2"/>
  <c r="D150" i="2"/>
  <c r="E150" i="2"/>
  <c r="M150" i="2"/>
  <c r="F150" i="2"/>
  <c r="V151" i="2"/>
  <c r="B152" i="2"/>
  <c r="C151" i="2"/>
  <c r="K149" i="2" l="1"/>
  <c r="G150" i="2"/>
  <c r="I150" i="2" s="1"/>
  <c r="H150" i="2"/>
  <c r="J150" i="2" s="1"/>
  <c r="N152" i="2"/>
  <c r="O151" i="2" s="1"/>
  <c r="X152" i="2"/>
  <c r="Y151" i="2" s="1"/>
  <c r="W83" i="2"/>
  <c r="AE83" i="2"/>
  <c r="P83" i="2"/>
  <c r="Q83" i="2" s="1"/>
  <c r="Z83" i="2"/>
  <c r="AB83" i="2" s="1"/>
  <c r="AA157" i="2"/>
  <c r="F151" i="2"/>
  <c r="E151" i="2"/>
  <c r="D151" i="2"/>
  <c r="M151" i="2"/>
  <c r="V152" i="2"/>
  <c r="B153" i="2"/>
  <c r="C152" i="2"/>
  <c r="K150" i="2" l="1"/>
  <c r="G151" i="2"/>
  <c r="I151" i="2" s="1"/>
  <c r="H151" i="2"/>
  <c r="J151" i="2" s="1"/>
  <c r="N153" i="2"/>
  <c r="O152" i="2" s="1"/>
  <c r="X153" i="2"/>
  <c r="Y152" i="2" s="1"/>
  <c r="S84" i="2"/>
  <c r="U84" i="2" s="1"/>
  <c r="L84" i="2"/>
  <c r="T84" i="2" s="1"/>
  <c r="R84" i="2"/>
  <c r="AA158" i="2"/>
  <c r="F152" i="2"/>
  <c r="M152" i="2"/>
  <c r="D152" i="2"/>
  <c r="E152" i="2"/>
  <c r="V153" i="2"/>
  <c r="C153" i="2"/>
  <c r="B154" i="2"/>
  <c r="K151" i="2" l="1"/>
  <c r="G152" i="2"/>
  <c r="I152" i="2" s="1"/>
  <c r="H152" i="2"/>
  <c r="J152" i="2" s="1"/>
  <c r="N154" i="2"/>
  <c r="O153" i="2" s="1"/>
  <c r="X154" i="2"/>
  <c r="Y153" i="2" s="1"/>
  <c r="W84" i="2"/>
  <c r="AE84" i="2"/>
  <c r="Z84" i="2"/>
  <c r="AB84" i="2" s="1"/>
  <c r="P84" i="2"/>
  <c r="Q84" i="2" s="1"/>
  <c r="AA159" i="2"/>
  <c r="V154" i="2"/>
  <c r="B155" i="2"/>
  <c r="C154" i="2"/>
  <c r="D153" i="2"/>
  <c r="M153" i="2"/>
  <c r="F153" i="2"/>
  <c r="E153" i="2"/>
  <c r="K152" i="2" l="1"/>
  <c r="G153" i="2"/>
  <c r="I153" i="2" s="1"/>
  <c r="H153" i="2"/>
  <c r="J153" i="2" s="1"/>
  <c r="X155" i="2"/>
  <c r="Y154" i="2" s="1"/>
  <c r="N155" i="2"/>
  <c r="O154" i="2" s="1"/>
  <c r="R85" i="2"/>
  <c r="S85" i="2"/>
  <c r="U85" i="2" s="1"/>
  <c r="L85" i="2"/>
  <c r="T85" i="2" s="1"/>
  <c r="AA160" i="2"/>
  <c r="V155" i="2"/>
  <c r="B156" i="2"/>
  <c r="C155" i="2"/>
  <c r="E154" i="2"/>
  <c r="F154" i="2"/>
  <c r="M154" i="2"/>
  <c r="D154" i="2"/>
  <c r="K153" i="2" l="1"/>
  <c r="G154" i="2"/>
  <c r="I154" i="2" s="1"/>
  <c r="H154" i="2"/>
  <c r="J154" i="2" s="1"/>
  <c r="N156" i="2"/>
  <c r="O155" i="2" s="1"/>
  <c r="X156" i="2"/>
  <c r="Y155" i="2" s="1"/>
  <c r="W85" i="2"/>
  <c r="AE85" i="2"/>
  <c r="Z85" i="2"/>
  <c r="AB85" i="2" s="1"/>
  <c r="P85" i="2"/>
  <c r="Q85" i="2" s="1"/>
  <c r="AA161" i="2"/>
  <c r="V156" i="2"/>
  <c r="C156" i="2"/>
  <c r="B157" i="2"/>
  <c r="D155" i="2"/>
  <c r="F155" i="2"/>
  <c r="M155" i="2"/>
  <c r="E155" i="2"/>
  <c r="K154" i="2" l="1"/>
  <c r="G155" i="2"/>
  <c r="I155" i="2" s="1"/>
  <c r="H155" i="2"/>
  <c r="J155" i="2" s="1"/>
  <c r="X157" i="2"/>
  <c r="Y156" i="2" s="1"/>
  <c r="N157" i="2"/>
  <c r="O156" i="2" s="1"/>
  <c r="S86" i="2"/>
  <c r="U86" i="2" s="1"/>
  <c r="R86" i="2"/>
  <c r="L86" i="2"/>
  <c r="T86" i="2" s="1"/>
  <c r="AA162" i="2"/>
  <c r="V157" i="2"/>
  <c r="B158" i="2"/>
  <c r="C157" i="2"/>
  <c r="M156" i="2"/>
  <c r="D156" i="2"/>
  <c r="F156" i="2"/>
  <c r="E156" i="2"/>
  <c r="K155" i="2" l="1"/>
  <c r="G156" i="2"/>
  <c r="I156" i="2" s="1"/>
  <c r="H156" i="2"/>
  <c r="J156" i="2" s="1"/>
  <c r="N158" i="2"/>
  <c r="O157" i="2" s="1"/>
  <c r="X158" i="2"/>
  <c r="Y157" i="2" s="1"/>
  <c r="W86" i="2"/>
  <c r="AE86" i="2"/>
  <c r="P86" i="2"/>
  <c r="Q86" i="2" s="1"/>
  <c r="Z86" i="2"/>
  <c r="AB86" i="2" s="1"/>
  <c r="AA163" i="2"/>
  <c r="D157" i="2"/>
  <c r="M157" i="2"/>
  <c r="E157" i="2"/>
  <c r="F157" i="2"/>
  <c r="V158" i="2"/>
  <c r="C158" i="2"/>
  <c r="B159" i="2"/>
  <c r="K156" i="2" l="1"/>
  <c r="G157" i="2"/>
  <c r="I157" i="2" s="1"/>
  <c r="H157" i="2"/>
  <c r="J157" i="2" s="1"/>
  <c r="N159" i="2"/>
  <c r="O158" i="2" s="1"/>
  <c r="X159" i="2"/>
  <c r="Y158" i="2" s="1"/>
  <c r="R87" i="2"/>
  <c r="L87" i="2"/>
  <c r="T87" i="2" s="1"/>
  <c r="S87" i="2"/>
  <c r="U87" i="2" s="1"/>
  <c r="AA164" i="2"/>
  <c r="V159" i="2"/>
  <c r="B160" i="2"/>
  <c r="C159" i="2"/>
  <c r="M158" i="2"/>
  <c r="F158" i="2"/>
  <c r="D158" i="2"/>
  <c r="E158" i="2"/>
  <c r="K157" i="2" l="1"/>
  <c r="G158" i="2"/>
  <c r="I158" i="2" s="1"/>
  <c r="H158" i="2"/>
  <c r="J158" i="2" s="1"/>
  <c r="N160" i="2"/>
  <c r="O159" i="2" s="1"/>
  <c r="X160" i="2"/>
  <c r="Y159" i="2" s="1"/>
  <c r="W87" i="2"/>
  <c r="AE87" i="2"/>
  <c r="P87" i="2"/>
  <c r="Q87" i="2" s="1"/>
  <c r="Z87" i="2"/>
  <c r="AB87" i="2" s="1"/>
  <c r="AA165" i="2"/>
  <c r="F159" i="2"/>
  <c r="E159" i="2"/>
  <c r="M159" i="2"/>
  <c r="D159" i="2"/>
  <c r="V160" i="2"/>
  <c r="C160" i="2"/>
  <c r="B161" i="2"/>
  <c r="K158" i="2" l="1"/>
  <c r="G159" i="2"/>
  <c r="I159" i="2" s="1"/>
  <c r="H159" i="2"/>
  <c r="J159" i="2" s="1"/>
  <c r="N161" i="2"/>
  <c r="O160" i="2" s="1"/>
  <c r="X161" i="2"/>
  <c r="Y160" i="2" s="1"/>
  <c r="S88" i="2"/>
  <c r="U88" i="2" s="1"/>
  <c r="L88" i="2"/>
  <c r="T88" i="2" s="1"/>
  <c r="R88" i="2"/>
  <c r="AA166" i="2"/>
  <c r="M160" i="2"/>
  <c r="F160" i="2"/>
  <c r="E160" i="2"/>
  <c r="D160" i="2"/>
  <c r="V161" i="2"/>
  <c r="C161" i="2"/>
  <c r="B162" i="2"/>
  <c r="K159" i="2" l="1"/>
  <c r="G160" i="2"/>
  <c r="I160" i="2" s="1"/>
  <c r="H160" i="2"/>
  <c r="J160" i="2" s="1"/>
  <c r="N162" i="2"/>
  <c r="O161" i="2" s="1"/>
  <c r="X162" i="2"/>
  <c r="Y161" i="2" s="1"/>
  <c r="W88" i="2"/>
  <c r="P88" i="2"/>
  <c r="Q88" i="2" s="1"/>
  <c r="AE88" i="2"/>
  <c r="Z88" i="2"/>
  <c r="AB88" i="2" s="1"/>
  <c r="AA167" i="2"/>
  <c r="M161" i="2"/>
  <c r="F161" i="2"/>
  <c r="D161" i="2"/>
  <c r="E161" i="2"/>
  <c r="V162" i="2"/>
  <c r="C162" i="2"/>
  <c r="B163" i="2"/>
  <c r="K160" i="2" l="1"/>
  <c r="G161" i="2"/>
  <c r="I161" i="2" s="1"/>
  <c r="H161" i="2"/>
  <c r="J161" i="2" s="1"/>
  <c r="N163" i="2"/>
  <c r="O162" i="2" s="1"/>
  <c r="X163" i="2"/>
  <c r="Y162" i="2" s="1"/>
  <c r="L89" i="2"/>
  <c r="T89" i="2" s="1"/>
  <c r="S89" i="2"/>
  <c r="U89" i="2" s="1"/>
  <c r="R89" i="2"/>
  <c r="AA168" i="2"/>
  <c r="V163" i="2"/>
  <c r="C163" i="2"/>
  <c r="B164" i="2"/>
  <c r="M162" i="2"/>
  <c r="E162" i="2"/>
  <c r="F162" i="2"/>
  <c r="D162" i="2"/>
  <c r="K161" i="2" l="1"/>
  <c r="G162" i="2"/>
  <c r="I162" i="2" s="1"/>
  <c r="H162" i="2"/>
  <c r="J162" i="2" s="1"/>
  <c r="N164" i="2"/>
  <c r="O163" i="2" s="1"/>
  <c r="X164" i="2"/>
  <c r="Y163" i="2" s="1"/>
  <c r="W89" i="2"/>
  <c r="P89" i="2"/>
  <c r="Q89" i="2" s="1"/>
  <c r="AE89" i="2"/>
  <c r="Z89" i="2"/>
  <c r="AB89" i="2" s="1"/>
  <c r="AA169" i="2"/>
  <c r="V164" i="2"/>
  <c r="C164" i="2"/>
  <c r="B165" i="2"/>
  <c r="M163" i="2"/>
  <c r="D163" i="2"/>
  <c r="F163" i="2"/>
  <c r="E163" i="2"/>
  <c r="K162" i="2" l="1"/>
  <c r="G163" i="2"/>
  <c r="I163" i="2" s="1"/>
  <c r="H163" i="2"/>
  <c r="J163" i="2" s="1"/>
  <c r="N165" i="2"/>
  <c r="O164" i="2" s="1"/>
  <c r="X165" i="2"/>
  <c r="Y164" i="2" s="1"/>
  <c r="R90" i="2"/>
  <c r="L90" i="2"/>
  <c r="T90" i="2" s="1"/>
  <c r="S90" i="2"/>
  <c r="U90" i="2" s="1"/>
  <c r="AA170" i="2"/>
  <c r="V165" i="2"/>
  <c r="B166" i="2"/>
  <c r="C165" i="2"/>
  <c r="F164" i="2"/>
  <c r="M164" i="2"/>
  <c r="D164" i="2"/>
  <c r="E164" i="2"/>
  <c r="K163" i="2" l="1"/>
  <c r="G164" i="2"/>
  <c r="I164" i="2" s="1"/>
  <c r="H164" i="2"/>
  <c r="J164" i="2" s="1"/>
  <c r="N166" i="2"/>
  <c r="O165" i="2" s="1"/>
  <c r="X166" i="2"/>
  <c r="Y165" i="2" s="1"/>
  <c r="W90" i="2"/>
  <c r="AE90" i="2"/>
  <c r="P90" i="2"/>
  <c r="Q90" i="2" s="1"/>
  <c r="Z90" i="2"/>
  <c r="AB90" i="2" s="1"/>
  <c r="AA171" i="2"/>
  <c r="V166" i="2"/>
  <c r="B167" i="2"/>
  <c r="C166" i="2"/>
  <c r="F165" i="2"/>
  <c r="M165" i="2"/>
  <c r="E165" i="2"/>
  <c r="D165" i="2"/>
  <c r="K164" i="2" l="1"/>
  <c r="G165" i="2"/>
  <c r="I165" i="2" s="1"/>
  <c r="H165" i="2"/>
  <c r="J165" i="2" s="1"/>
  <c r="X167" i="2"/>
  <c r="Y166" i="2" s="1"/>
  <c r="N167" i="2"/>
  <c r="O166" i="2" s="1"/>
  <c r="R91" i="2"/>
  <c r="S91" i="2"/>
  <c r="U91" i="2" s="1"/>
  <c r="L91" i="2"/>
  <c r="T91" i="2" s="1"/>
  <c r="AA172" i="2"/>
  <c r="V167" i="2"/>
  <c r="C167" i="2"/>
  <c r="B168" i="2"/>
  <c r="E166" i="2"/>
  <c r="F166" i="2"/>
  <c r="D166" i="2"/>
  <c r="M166" i="2"/>
  <c r="K165" i="2" l="1"/>
  <c r="G166" i="2"/>
  <c r="I166" i="2" s="1"/>
  <c r="H166" i="2"/>
  <c r="J166" i="2" s="1"/>
  <c r="N168" i="2"/>
  <c r="O167" i="2" s="1"/>
  <c r="X168" i="2"/>
  <c r="Y167" i="2" s="1"/>
  <c r="W91" i="2"/>
  <c r="AE91" i="2"/>
  <c r="P91" i="2"/>
  <c r="Q91" i="2" s="1"/>
  <c r="Z91" i="2"/>
  <c r="AB91" i="2" s="1"/>
  <c r="AA173" i="2"/>
  <c r="V168" i="2"/>
  <c r="C168" i="2"/>
  <c r="B169" i="2"/>
  <c r="M167" i="2"/>
  <c r="F167" i="2"/>
  <c r="E167" i="2"/>
  <c r="D167" i="2"/>
  <c r="K166" i="2" l="1"/>
  <c r="G167" i="2"/>
  <c r="I167" i="2" s="1"/>
  <c r="H167" i="2"/>
  <c r="J167" i="2" s="1"/>
  <c r="N169" i="2"/>
  <c r="O168" i="2" s="1"/>
  <c r="X169" i="2"/>
  <c r="Y168" i="2" s="1"/>
  <c r="L92" i="2"/>
  <c r="T92" i="2" s="1"/>
  <c r="R92" i="2"/>
  <c r="S92" i="2"/>
  <c r="U92" i="2" s="1"/>
  <c r="AA174" i="2"/>
  <c r="V169" i="2"/>
  <c r="C169" i="2"/>
  <c r="B170" i="2"/>
  <c r="M168" i="2"/>
  <c r="E168" i="2"/>
  <c r="F168" i="2"/>
  <c r="D168" i="2"/>
  <c r="K167" i="2" l="1"/>
  <c r="G168" i="2"/>
  <c r="I168" i="2" s="1"/>
  <c r="H168" i="2"/>
  <c r="J168" i="2" s="1"/>
  <c r="N170" i="2"/>
  <c r="O169" i="2" s="1"/>
  <c r="X170" i="2"/>
  <c r="Y169" i="2" s="1"/>
  <c r="W92" i="2"/>
  <c r="AE92" i="2"/>
  <c r="Z92" i="2"/>
  <c r="AB92" i="2" s="1"/>
  <c r="P92" i="2"/>
  <c r="Q92" i="2" s="1"/>
  <c r="AA175" i="2"/>
  <c r="M169" i="2"/>
  <c r="F169" i="2"/>
  <c r="E169" i="2"/>
  <c r="D169" i="2"/>
  <c r="V170" i="2"/>
  <c r="B171" i="2"/>
  <c r="C170" i="2"/>
  <c r="K168" i="2" l="1"/>
  <c r="G169" i="2"/>
  <c r="I169" i="2" s="1"/>
  <c r="H169" i="2"/>
  <c r="J169" i="2" s="1"/>
  <c r="X171" i="2"/>
  <c r="Y170" i="2" s="1"/>
  <c r="N171" i="2"/>
  <c r="O170" i="2" s="1"/>
  <c r="L93" i="2"/>
  <c r="T93" i="2" s="1"/>
  <c r="R93" i="2"/>
  <c r="S93" i="2"/>
  <c r="U93" i="2" s="1"/>
  <c r="AA176" i="2"/>
  <c r="M170" i="2"/>
  <c r="D170" i="2"/>
  <c r="E170" i="2"/>
  <c r="F170" i="2"/>
  <c r="V171" i="2"/>
  <c r="C171" i="2"/>
  <c r="B172" i="2"/>
  <c r="K169" i="2" l="1"/>
  <c r="G170" i="2"/>
  <c r="I170" i="2" s="1"/>
  <c r="H170" i="2"/>
  <c r="J170" i="2" s="1"/>
  <c r="N172" i="2"/>
  <c r="O171" i="2" s="1"/>
  <c r="X172" i="2"/>
  <c r="Y171" i="2" s="1"/>
  <c r="W93" i="2"/>
  <c r="AE93" i="2"/>
  <c r="Z93" i="2"/>
  <c r="AB93" i="2" s="1"/>
  <c r="P93" i="2"/>
  <c r="Q93" i="2" s="1"/>
  <c r="AA177" i="2"/>
  <c r="V172" i="2"/>
  <c r="B173" i="2"/>
  <c r="C172" i="2"/>
  <c r="M171" i="2"/>
  <c r="F171" i="2"/>
  <c r="E171" i="2"/>
  <c r="D171" i="2"/>
  <c r="K170" i="2" l="1"/>
  <c r="G171" i="2"/>
  <c r="I171" i="2" s="1"/>
  <c r="H171" i="2"/>
  <c r="J171" i="2" s="1"/>
  <c r="X173" i="2"/>
  <c r="Y172" i="2" s="1"/>
  <c r="N173" i="2"/>
  <c r="O172" i="2" s="1"/>
  <c r="L94" i="2"/>
  <c r="T94" i="2" s="1"/>
  <c r="S94" i="2"/>
  <c r="U94" i="2" s="1"/>
  <c r="R94" i="2"/>
  <c r="AA178" i="2"/>
  <c r="E172" i="2"/>
  <c r="M172" i="2"/>
  <c r="F172" i="2"/>
  <c r="D172" i="2"/>
  <c r="V173" i="2"/>
  <c r="C173" i="2"/>
  <c r="B174" i="2"/>
  <c r="K171" i="2" l="1"/>
  <c r="G172" i="2"/>
  <c r="I172" i="2" s="1"/>
  <c r="H172" i="2"/>
  <c r="J172" i="2" s="1"/>
  <c r="N174" i="2"/>
  <c r="O173" i="2" s="1"/>
  <c r="X174" i="2"/>
  <c r="Y173" i="2" s="1"/>
  <c r="W94" i="2"/>
  <c r="P94" i="2"/>
  <c r="Q94" i="2" s="1"/>
  <c r="AE94" i="2"/>
  <c r="Z94" i="2"/>
  <c r="AB94" i="2" s="1"/>
  <c r="AA179" i="2"/>
  <c r="V174" i="2"/>
  <c r="C174" i="2"/>
  <c r="B175" i="2"/>
  <c r="F173" i="2"/>
  <c r="M173" i="2"/>
  <c r="D173" i="2"/>
  <c r="E173" i="2"/>
  <c r="K172" i="2" l="1"/>
  <c r="G173" i="2"/>
  <c r="I173" i="2" s="1"/>
  <c r="H173" i="2"/>
  <c r="J173" i="2" s="1"/>
  <c r="N175" i="2"/>
  <c r="O174" i="2" s="1"/>
  <c r="X175" i="2"/>
  <c r="Y174" i="2" s="1"/>
  <c r="S95" i="2"/>
  <c r="U95" i="2" s="1"/>
  <c r="R95" i="2"/>
  <c r="L95" i="2"/>
  <c r="T95" i="2" s="1"/>
  <c r="AA180" i="2"/>
  <c r="V175" i="2"/>
  <c r="C175" i="2"/>
  <c r="B176" i="2"/>
  <c r="D174" i="2"/>
  <c r="M174" i="2"/>
  <c r="E174" i="2"/>
  <c r="F174" i="2"/>
  <c r="K173" i="2" l="1"/>
  <c r="G174" i="2"/>
  <c r="I174" i="2" s="1"/>
  <c r="H174" i="2"/>
  <c r="J174" i="2" s="1"/>
  <c r="N176" i="2"/>
  <c r="O175" i="2" s="1"/>
  <c r="X176" i="2"/>
  <c r="Y175" i="2" s="1"/>
  <c r="W95" i="2"/>
  <c r="AE95" i="2"/>
  <c r="P95" i="2"/>
  <c r="Q95" i="2" s="1"/>
  <c r="Z95" i="2"/>
  <c r="AB95" i="2" s="1"/>
  <c r="AA181" i="2"/>
  <c r="V176" i="2"/>
  <c r="C176" i="2"/>
  <c r="B177" i="2"/>
  <c r="E175" i="2"/>
  <c r="D175" i="2"/>
  <c r="M175" i="2"/>
  <c r="F175" i="2"/>
  <c r="K174" i="2" l="1"/>
  <c r="G175" i="2"/>
  <c r="I175" i="2" s="1"/>
  <c r="H175" i="2"/>
  <c r="J175" i="2" s="1"/>
  <c r="N177" i="2"/>
  <c r="O176" i="2" s="1"/>
  <c r="X177" i="2"/>
  <c r="Y176" i="2" s="1"/>
  <c r="R96" i="2"/>
  <c r="S96" i="2"/>
  <c r="U96" i="2" s="1"/>
  <c r="L96" i="2"/>
  <c r="T96" i="2" s="1"/>
  <c r="AA182" i="2"/>
  <c r="V177" i="2"/>
  <c r="B178" i="2"/>
  <c r="C177" i="2"/>
  <c r="M176" i="2"/>
  <c r="F176" i="2"/>
  <c r="E176" i="2"/>
  <c r="D176" i="2"/>
  <c r="K175" i="2" l="1"/>
  <c r="G176" i="2"/>
  <c r="I176" i="2" s="1"/>
  <c r="H176" i="2"/>
  <c r="J176" i="2" s="1"/>
  <c r="N178" i="2"/>
  <c r="O177" i="2" s="1"/>
  <c r="X178" i="2"/>
  <c r="Y177" i="2" s="1"/>
  <c r="W96" i="2"/>
  <c r="AE96" i="2"/>
  <c r="Z96" i="2"/>
  <c r="AB96" i="2" s="1"/>
  <c r="P96" i="2"/>
  <c r="Q96" i="2" s="1"/>
  <c r="AA183" i="2"/>
  <c r="V178" i="2"/>
  <c r="B179" i="2"/>
  <c r="C178" i="2"/>
  <c r="F177" i="2"/>
  <c r="M177" i="2"/>
  <c r="E177" i="2"/>
  <c r="D177" i="2"/>
  <c r="K176" i="2" l="1"/>
  <c r="G177" i="2"/>
  <c r="I177" i="2" s="1"/>
  <c r="H177" i="2"/>
  <c r="J177" i="2" s="1"/>
  <c r="N179" i="2"/>
  <c r="O178" i="2" s="1"/>
  <c r="X179" i="2"/>
  <c r="Y178" i="2" s="1"/>
  <c r="S97" i="2"/>
  <c r="U97" i="2" s="1"/>
  <c r="R97" i="2"/>
  <c r="L97" i="2"/>
  <c r="T97" i="2" s="1"/>
  <c r="AA184" i="2"/>
  <c r="V179" i="2"/>
  <c r="C179" i="2"/>
  <c r="B180" i="2"/>
  <c r="F178" i="2"/>
  <c r="E178" i="2"/>
  <c r="M178" i="2"/>
  <c r="D178" i="2"/>
  <c r="K177" i="2" l="1"/>
  <c r="G178" i="2"/>
  <c r="I178" i="2" s="1"/>
  <c r="H178" i="2"/>
  <c r="J178" i="2" s="1"/>
  <c r="X180" i="2"/>
  <c r="Y179" i="2" s="1"/>
  <c r="W97" i="2"/>
  <c r="P97" i="2"/>
  <c r="Q97" i="2" s="1"/>
  <c r="AE97" i="2"/>
  <c r="N180" i="2"/>
  <c r="O179" i="2" s="1"/>
  <c r="Z97" i="2"/>
  <c r="AB97" i="2" s="1"/>
  <c r="AA185" i="2"/>
  <c r="V180" i="2"/>
  <c r="C180" i="2"/>
  <c r="B181" i="2"/>
  <c r="E179" i="2"/>
  <c r="M179" i="2"/>
  <c r="D179" i="2"/>
  <c r="F179" i="2"/>
  <c r="K178" i="2" l="1"/>
  <c r="G179" i="2"/>
  <c r="I179" i="2" s="1"/>
  <c r="H179" i="2"/>
  <c r="J179" i="2" s="1"/>
  <c r="X181" i="2"/>
  <c r="Y180" i="2" s="1"/>
  <c r="N181" i="2"/>
  <c r="O180" i="2" s="1"/>
  <c r="L98" i="2"/>
  <c r="T98" i="2" s="1"/>
  <c r="S98" i="2"/>
  <c r="U98" i="2" s="1"/>
  <c r="R98" i="2"/>
  <c r="AA186" i="2"/>
  <c r="F180" i="2"/>
  <c r="M180" i="2"/>
  <c r="D180" i="2"/>
  <c r="E180" i="2"/>
  <c r="V181" i="2"/>
  <c r="C181" i="2"/>
  <c r="B182" i="2"/>
  <c r="K179" i="2" l="1"/>
  <c r="G180" i="2"/>
  <c r="I180" i="2" s="1"/>
  <c r="H180" i="2"/>
  <c r="J180" i="2" s="1"/>
  <c r="N182" i="2"/>
  <c r="O181" i="2" s="1"/>
  <c r="X182" i="2"/>
  <c r="Y181" i="2" s="1"/>
  <c r="W98" i="2"/>
  <c r="AE98" i="2"/>
  <c r="Z98" i="2"/>
  <c r="AB98" i="2" s="1"/>
  <c r="P98" i="2"/>
  <c r="Q98" i="2" s="1"/>
  <c r="AA187" i="2"/>
  <c r="V182" i="2"/>
  <c r="B183" i="2"/>
  <c r="C182" i="2"/>
  <c r="E181" i="2"/>
  <c r="F181" i="2"/>
  <c r="D181" i="2"/>
  <c r="M181" i="2"/>
  <c r="K180" i="2" l="1"/>
  <c r="G181" i="2"/>
  <c r="I181" i="2" s="1"/>
  <c r="H181" i="2"/>
  <c r="J181" i="2" s="1"/>
  <c r="N183" i="2"/>
  <c r="O182" i="2" s="1"/>
  <c r="X183" i="2"/>
  <c r="Y182" i="2" s="1"/>
  <c r="S99" i="2"/>
  <c r="U99" i="2" s="1"/>
  <c r="R99" i="2"/>
  <c r="L99" i="2"/>
  <c r="T99" i="2" s="1"/>
  <c r="AA188" i="2"/>
  <c r="F182" i="2"/>
  <c r="D182" i="2"/>
  <c r="M182" i="2"/>
  <c r="E182" i="2"/>
  <c r="V183" i="2"/>
  <c r="C183" i="2"/>
  <c r="B184" i="2"/>
  <c r="K181" i="2" l="1"/>
  <c r="G182" i="2"/>
  <c r="I182" i="2" s="1"/>
  <c r="H182" i="2"/>
  <c r="J182" i="2" s="1"/>
  <c r="N184" i="2"/>
  <c r="O183" i="2" s="1"/>
  <c r="X184" i="2"/>
  <c r="Y183" i="2" s="1"/>
  <c r="W99" i="2"/>
  <c r="AE99" i="2"/>
  <c r="P99" i="2"/>
  <c r="Q99" i="2" s="1"/>
  <c r="Z99" i="2"/>
  <c r="AB99" i="2" s="1"/>
  <c r="AA189" i="2"/>
  <c r="M183" i="2"/>
  <c r="F183" i="2"/>
  <c r="E183" i="2"/>
  <c r="D183" i="2"/>
  <c r="V184" i="2"/>
  <c r="B185" i="2"/>
  <c r="C184" i="2"/>
  <c r="K182" i="2" l="1"/>
  <c r="G183" i="2"/>
  <c r="I183" i="2" s="1"/>
  <c r="H183" i="2"/>
  <c r="J183" i="2" s="1"/>
  <c r="N185" i="2"/>
  <c r="O184" i="2" s="1"/>
  <c r="X185" i="2"/>
  <c r="Y184" i="2" s="1"/>
  <c r="R100" i="2"/>
  <c r="S100" i="2"/>
  <c r="U100" i="2" s="1"/>
  <c r="L100" i="2"/>
  <c r="T100" i="2" s="1"/>
  <c r="AA190" i="2"/>
  <c r="V185" i="2"/>
  <c r="B186" i="2"/>
  <c r="C185" i="2"/>
  <c r="F184" i="2"/>
  <c r="E184" i="2"/>
  <c r="D184" i="2"/>
  <c r="M184" i="2"/>
  <c r="K183" i="2" l="1"/>
  <c r="G184" i="2"/>
  <c r="I184" i="2" s="1"/>
  <c r="H184" i="2"/>
  <c r="J184" i="2" s="1"/>
  <c r="N186" i="2"/>
  <c r="O185" i="2" s="1"/>
  <c r="X186" i="2"/>
  <c r="Y185" i="2" s="1"/>
  <c r="W100" i="2"/>
  <c r="AE100" i="2"/>
  <c r="P100" i="2"/>
  <c r="Q100" i="2" s="1"/>
  <c r="Z100" i="2"/>
  <c r="AB100" i="2" s="1"/>
  <c r="AA191" i="2"/>
  <c r="V186" i="2"/>
  <c r="C186" i="2"/>
  <c r="B187" i="2"/>
  <c r="D185" i="2"/>
  <c r="M185" i="2"/>
  <c r="F185" i="2"/>
  <c r="E185" i="2"/>
  <c r="K184" i="2" l="1"/>
  <c r="G185" i="2"/>
  <c r="I185" i="2" s="1"/>
  <c r="H185" i="2"/>
  <c r="J185" i="2" s="1"/>
  <c r="X187" i="2"/>
  <c r="Y186" i="2" s="1"/>
  <c r="N187" i="2"/>
  <c r="O186" i="2" s="1"/>
  <c r="R101" i="2"/>
  <c r="S101" i="2"/>
  <c r="U101" i="2" s="1"/>
  <c r="L101" i="2"/>
  <c r="T101" i="2" s="1"/>
  <c r="AA192" i="2"/>
  <c r="V187" i="2"/>
  <c r="B188" i="2"/>
  <c r="C187" i="2"/>
  <c r="F186" i="2"/>
  <c r="M186" i="2"/>
  <c r="E186" i="2"/>
  <c r="D186" i="2"/>
  <c r="K185" i="2" l="1"/>
  <c r="G186" i="2"/>
  <c r="I186" i="2" s="1"/>
  <c r="H186" i="2"/>
  <c r="J186" i="2" s="1"/>
  <c r="X188" i="2"/>
  <c r="Y187" i="2" s="1"/>
  <c r="W101" i="2"/>
  <c r="AE101" i="2"/>
  <c r="N188" i="2"/>
  <c r="O187" i="2" s="1"/>
  <c r="Z101" i="2"/>
  <c r="AB101" i="2" s="1"/>
  <c r="P101" i="2"/>
  <c r="Q101" i="2" s="1"/>
  <c r="AA193" i="2"/>
  <c r="D187" i="2"/>
  <c r="M187" i="2"/>
  <c r="E187" i="2"/>
  <c r="F187" i="2"/>
  <c r="V188" i="2"/>
  <c r="C188" i="2"/>
  <c r="B189" i="2"/>
  <c r="K186" i="2" l="1"/>
  <c r="G187" i="2"/>
  <c r="I187" i="2" s="1"/>
  <c r="H187" i="2"/>
  <c r="J187" i="2" s="1"/>
  <c r="X189" i="2"/>
  <c r="Y188" i="2" s="1"/>
  <c r="N189" i="2"/>
  <c r="O188" i="2" s="1"/>
  <c r="R102" i="2"/>
  <c r="L102" i="2"/>
  <c r="T102" i="2" s="1"/>
  <c r="S102" i="2"/>
  <c r="U102" i="2" s="1"/>
  <c r="AA194" i="2"/>
  <c r="M188" i="2"/>
  <c r="D188" i="2"/>
  <c r="F188" i="2"/>
  <c r="E188" i="2"/>
  <c r="V189" i="2"/>
  <c r="B190" i="2"/>
  <c r="C189" i="2"/>
  <c r="K187" i="2" l="1"/>
  <c r="G188" i="2"/>
  <c r="I188" i="2" s="1"/>
  <c r="H188" i="2"/>
  <c r="J188" i="2" s="1"/>
  <c r="N190" i="2"/>
  <c r="O189" i="2" s="1"/>
  <c r="X190" i="2"/>
  <c r="Y189" i="2" s="1"/>
  <c r="W102" i="2"/>
  <c r="AE102" i="2"/>
  <c r="Z102" i="2"/>
  <c r="AB102" i="2" s="1"/>
  <c r="P102" i="2"/>
  <c r="Q102" i="2" s="1"/>
  <c r="AA195" i="2"/>
  <c r="M189" i="2"/>
  <c r="E189" i="2"/>
  <c r="D189" i="2"/>
  <c r="F189" i="2"/>
  <c r="V190" i="2"/>
  <c r="C190" i="2"/>
  <c r="B191" i="2"/>
  <c r="K188" i="2" l="1"/>
  <c r="G189" i="2"/>
  <c r="I189" i="2" s="1"/>
  <c r="H189" i="2"/>
  <c r="J189" i="2" s="1"/>
  <c r="X191" i="2"/>
  <c r="Y190" i="2" s="1"/>
  <c r="N191" i="2"/>
  <c r="O190" i="2" s="1"/>
  <c r="L103" i="2"/>
  <c r="T103" i="2" s="1"/>
  <c r="R103" i="2"/>
  <c r="S103" i="2"/>
  <c r="U103" i="2" s="1"/>
  <c r="AA196" i="2"/>
  <c r="E190" i="2"/>
  <c r="D190" i="2"/>
  <c r="M190" i="2"/>
  <c r="F190" i="2"/>
  <c r="V191" i="2"/>
  <c r="B192" i="2"/>
  <c r="C191" i="2"/>
  <c r="K189" i="2" l="1"/>
  <c r="G190" i="2"/>
  <c r="I190" i="2" s="1"/>
  <c r="H190" i="2"/>
  <c r="J190" i="2" s="1"/>
  <c r="N192" i="2"/>
  <c r="O191" i="2" s="1"/>
  <c r="X192" i="2"/>
  <c r="Y191" i="2" s="1"/>
  <c r="W103" i="2"/>
  <c r="AE103" i="2"/>
  <c r="P103" i="2"/>
  <c r="Q103" i="2" s="1"/>
  <c r="Z103" i="2"/>
  <c r="AB103" i="2" s="1"/>
  <c r="AA197" i="2"/>
  <c r="V192" i="2"/>
  <c r="B193" i="2"/>
  <c r="C192" i="2"/>
  <c r="M191" i="2"/>
  <c r="F191" i="2"/>
  <c r="E191" i="2"/>
  <c r="D191" i="2"/>
  <c r="K190" i="2" l="1"/>
  <c r="G191" i="2"/>
  <c r="I191" i="2" s="1"/>
  <c r="H191" i="2"/>
  <c r="J191" i="2" s="1"/>
  <c r="N193" i="2"/>
  <c r="O192" i="2" s="1"/>
  <c r="X193" i="2"/>
  <c r="Y192" i="2" s="1"/>
  <c r="S104" i="2"/>
  <c r="U104" i="2" s="1"/>
  <c r="R104" i="2"/>
  <c r="L104" i="2"/>
  <c r="T104" i="2" s="1"/>
  <c r="AA198" i="2"/>
  <c r="V193" i="2"/>
  <c r="B194" i="2"/>
  <c r="C193" i="2"/>
  <c r="D192" i="2"/>
  <c r="M192" i="2"/>
  <c r="E192" i="2"/>
  <c r="F192" i="2"/>
  <c r="K191" i="2" l="1"/>
  <c r="G192" i="2"/>
  <c r="I192" i="2" s="1"/>
  <c r="H192" i="2"/>
  <c r="J192" i="2" s="1"/>
  <c r="N194" i="2"/>
  <c r="O193" i="2" s="1"/>
  <c r="X194" i="2"/>
  <c r="Y193" i="2" s="1"/>
  <c r="W104" i="2"/>
  <c r="AE104" i="2"/>
  <c r="P104" i="2"/>
  <c r="Q104" i="2" s="1"/>
  <c r="Z104" i="2"/>
  <c r="AB104" i="2" s="1"/>
  <c r="AA199" i="2"/>
  <c r="M193" i="2"/>
  <c r="D193" i="2"/>
  <c r="F193" i="2"/>
  <c r="E193" i="2"/>
  <c r="V194" i="2"/>
  <c r="C194" i="2"/>
  <c r="B195" i="2"/>
  <c r="K192" i="2" l="1"/>
  <c r="G193" i="2"/>
  <c r="I193" i="2" s="1"/>
  <c r="H193" i="2"/>
  <c r="J193" i="2" s="1"/>
  <c r="N195" i="2"/>
  <c r="O194" i="2" s="1"/>
  <c r="X195" i="2"/>
  <c r="Y194" i="2" s="1"/>
  <c r="S105" i="2"/>
  <c r="U105" i="2" s="1"/>
  <c r="L105" i="2"/>
  <c r="T105" i="2" s="1"/>
  <c r="R105" i="2"/>
  <c r="AA200" i="2"/>
  <c r="M194" i="2"/>
  <c r="F194" i="2"/>
  <c r="E194" i="2"/>
  <c r="D194" i="2"/>
  <c r="V195" i="2"/>
  <c r="B196" i="2"/>
  <c r="C195" i="2"/>
  <c r="K193" i="2" l="1"/>
  <c r="G194" i="2"/>
  <c r="I194" i="2" s="1"/>
  <c r="H194" i="2"/>
  <c r="J194" i="2" s="1"/>
  <c r="X196" i="2"/>
  <c r="Y195" i="2" s="1"/>
  <c r="W105" i="2"/>
  <c r="AE105" i="2"/>
  <c r="N196" i="2"/>
  <c r="O195" i="2" s="1"/>
  <c r="P105" i="2"/>
  <c r="Q105" i="2" s="1"/>
  <c r="Z105" i="2"/>
  <c r="AB105" i="2" s="1"/>
  <c r="AA201" i="2"/>
  <c r="V196" i="2"/>
  <c r="C196" i="2"/>
  <c r="B197" i="2"/>
  <c r="F195" i="2"/>
  <c r="D195" i="2"/>
  <c r="M195" i="2"/>
  <c r="E195" i="2"/>
  <c r="K194" i="2" l="1"/>
  <c r="G195" i="2"/>
  <c r="I195" i="2" s="1"/>
  <c r="H195" i="2"/>
  <c r="J195" i="2" s="1"/>
  <c r="X197" i="2"/>
  <c r="Y196" i="2" s="1"/>
  <c r="N197" i="2"/>
  <c r="O196" i="2" s="1"/>
  <c r="R106" i="2"/>
  <c r="L106" i="2"/>
  <c r="T106" i="2" s="1"/>
  <c r="S106" i="2"/>
  <c r="U106" i="2" s="1"/>
  <c r="AA202" i="2"/>
  <c r="V197" i="2"/>
  <c r="C197" i="2"/>
  <c r="B198" i="2"/>
  <c r="M196" i="2"/>
  <c r="D196" i="2"/>
  <c r="F196" i="2"/>
  <c r="E196" i="2"/>
  <c r="K195" i="2" l="1"/>
  <c r="G196" i="2"/>
  <c r="I196" i="2" s="1"/>
  <c r="H196" i="2"/>
  <c r="J196" i="2" s="1"/>
  <c r="N198" i="2"/>
  <c r="O197" i="2" s="1"/>
  <c r="X198" i="2"/>
  <c r="Y197" i="2" s="1"/>
  <c r="W106" i="2"/>
  <c r="AE106" i="2"/>
  <c r="P106" i="2"/>
  <c r="Q106" i="2" s="1"/>
  <c r="Z106" i="2"/>
  <c r="AB106" i="2" s="1"/>
  <c r="AA203" i="2"/>
  <c r="V198" i="2"/>
  <c r="C198" i="2"/>
  <c r="B199" i="2"/>
  <c r="F197" i="2"/>
  <c r="D197" i="2"/>
  <c r="M197" i="2"/>
  <c r="E197" i="2"/>
  <c r="K196" i="2" l="1"/>
  <c r="G197" i="2"/>
  <c r="I197" i="2" s="1"/>
  <c r="H197" i="2"/>
  <c r="J197" i="2" s="1"/>
  <c r="N199" i="2"/>
  <c r="O198" i="2" s="1"/>
  <c r="X199" i="2"/>
  <c r="Y198" i="2" s="1"/>
  <c r="S107" i="2"/>
  <c r="U107" i="2" s="1"/>
  <c r="R107" i="2"/>
  <c r="L107" i="2"/>
  <c r="T107" i="2" s="1"/>
  <c r="AA204" i="2"/>
  <c r="V199" i="2"/>
  <c r="C199" i="2"/>
  <c r="B200" i="2"/>
  <c r="D198" i="2"/>
  <c r="F198" i="2"/>
  <c r="E198" i="2"/>
  <c r="M198" i="2"/>
  <c r="K197" i="2" l="1"/>
  <c r="G198" i="2"/>
  <c r="I198" i="2" s="1"/>
  <c r="H198" i="2"/>
  <c r="J198" i="2" s="1"/>
  <c r="N200" i="2"/>
  <c r="O199" i="2" s="1"/>
  <c r="X200" i="2"/>
  <c r="Y199" i="2" s="1"/>
  <c r="W107" i="2"/>
  <c r="AE107" i="2"/>
  <c r="P107" i="2"/>
  <c r="Q107" i="2" s="1"/>
  <c r="Z107" i="2"/>
  <c r="AB107" i="2" s="1"/>
  <c r="AA205" i="2"/>
  <c r="V200" i="2"/>
  <c r="B201" i="2"/>
  <c r="C200" i="2"/>
  <c r="M199" i="2"/>
  <c r="E199" i="2"/>
  <c r="D199" i="2"/>
  <c r="F199" i="2"/>
  <c r="K198" i="2" l="1"/>
  <c r="G199" i="2"/>
  <c r="I199" i="2" s="1"/>
  <c r="H199" i="2"/>
  <c r="J199" i="2" s="1"/>
  <c r="N201" i="2"/>
  <c r="O200" i="2" s="1"/>
  <c r="X201" i="2"/>
  <c r="Y200" i="2" s="1"/>
  <c r="S108" i="2"/>
  <c r="U108" i="2" s="1"/>
  <c r="R108" i="2"/>
  <c r="L108" i="2"/>
  <c r="T108" i="2" s="1"/>
  <c r="AA206" i="2"/>
  <c r="D200" i="2"/>
  <c r="E200" i="2"/>
  <c r="M200" i="2"/>
  <c r="F200" i="2"/>
  <c r="V201" i="2"/>
  <c r="B202" i="2"/>
  <c r="C201" i="2"/>
  <c r="K199" i="2" l="1"/>
  <c r="G200" i="2"/>
  <c r="I200" i="2" s="1"/>
  <c r="H200" i="2"/>
  <c r="J200" i="2" s="1"/>
  <c r="N202" i="2"/>
  <c r="O201" i="2" s="1"/>
  <c r="X202" i="2"/>
  <c r="Y201" i="2" s="1"/>
  <c r="W108" i="2"/>
  <c r="AE108" i="2"/>
  <c r="Z108" i="2"/>
  <c r="AB108" i="2" s="1"/>
  <c r="P108" i="2"/>
  <c r="Q108" i="2" s="1"/>
  <c r="AA207" i="2"/>
  <c r="M201" i="2"/>
  <c r="E201" i="2"/>
  <c r="D201" i="2"/>
  <c r="F201" i="2"/>
  <c r="V202" i="2"/>
  <c r="B203" i="2"/>
  <c r="C202" i="2"/>
  <c r="K200" i="2" l="1"/>
  <c r="G201" i="2"/>
  <c r="I201" i="2" s="1"/>
  <c r="H201" i="2"/>
  <c r="J201" i="2" s="1"/>
  <c r="N203" i="2"/>
  <c r="O202" i="2" s="1"/>
  <c r="X203" i="2"/>
  <c r="Y202" i="2" s="1"/>
  <c r="L109" i="2"/>
  <c r="T109" i="2" s="1"/>
  <c r="R109" i="2"/>
  <c r="S109" i="2"/>
  <c r="U109" i="2" s="1"/>
  <c r="AA208" i="2"/>
  <c r="V203" i="2"/>
  <c r="C203" i="2"/>
  <c r="B204" i="2"/>
  <c r="M202" i="2"/>
  <c r="F202" i="2"/>
  <c r="E202" i="2"/>
  <c r="D202" i="2"/>
  <c r="K201" i="2" l="1"/>
  <c r="G202" i="2"/>
  <c r="I202" i="2" s="1"/>
  <c r="H202" i="2"/>
  <c r="J202" i="2" s="1"/>
  <c r="X204" i="2"/>
  <c r="Y203" i="2" s="1"/>
  <c r="W109" i="2"/>
  <c r="P109" i="2"/>
  <c r="Q109" i="2" s="1"/>
  <c r="N204" i="2"/>
  <c r="O203" i="2" s="1"/>
  <c r="AE109" i="2"/>
  <c r="Z109" i="2"/>
  <c r="AB109" i="2" s="1"/>
  <c r="AA209" i="2"/>
  <c r="V204" i="2"/>
  <c r="B205" i="2"/>
  <c r="C204" i="2"/>
  <c r="E203" i="2"/>
  <c r="M203" i="2"/>
  <c r="F203" i="2"/>
  <c r="D203" i="2"/>
  <c r="K202" i="2" l="1"/>
  <c r="G203" i="2"/>
  <c r="I203" i="2" s="1"/>
  <c r="H203" i="2"/>
  <c r="J203" i="2" s="1"/>
  <c r="X205" i="2"/>
  <c r="Y204" i="2" s="1"/>
  <c r="N205" i="2"/>
  <c r="O204" i="2" s="1"/>
  <c r="R110" i="2"/>
  <c r="S110" i="2"/>
  <c r="U110" i="2" s="1"/>
  <c r="L110" i="2"/>
  <c r="T110" i="2" s="1"/>
  <c r="AA210" i="2"/>
  <c r="V205" i="2"/>
  <c r="C205" i="2"/>
  <c r="B206" i="2"/>
  <c r="F204" i="2"/>
  <c r="E204" i="2"/>
  <c r="M204" i="2"/>
  <c r="D204" i="2"/>
  <c r="K203" i="2" l="1"/>
  <c r="G204" i="2"/>
  <c r="I204" i="2" s="1"/>
  <c r="H204" i="2"/>
  <c r="J204" i="2" s="1"/>
  <c r="N206" i="2"/>
  <c r="O205" i="2" s="1"/>
  <c r="X206" i="2"/>
  <c r="Y205" i="2" s="1"/>
  <c r="W110" i="2"/>
  <c r="AE110" i="2"/>
  <c r="P110" i="2"/>
  <c r="Q110" i="2" s="1"/>
  <c r="Z110" i="2"/>
  <c r="AB110" i="2" s="1"/>
  <c r="AA211" i="2"/>
  <c r="D205" i="2"/>
  <c r="F205" i="2"/>
  <c r="E205" i="2"/>
  <c r="M205" i="2"/>
  <c r="V206" i="2"/>
  <c r="B207" i="2"/>
  <c r="C206" i="2"/>
  <c r="K204" i="2" l="1"/>
  <c r="G205" i="2"/>
  <c r="I205" i="2" s="1"/>
  <c r="H205" i="2"/>
  <c r="J205" i="2" s="1"/>
  <c r="X207" i="2"/>
  <c r="Y206" i="2" s="1"/>
  <c r="N207" i="2"/>
  <c r="O206" i="2" s="1"/>
  <c r="R111" i="2"/>
  <c r="S111" i="2"/>
  <c r="U111" i="2" s="1"/>
  <c r="L111" i="2"/>
  <c r="T111" i="2" s="1"/>
  <c r="AA212" i="2"/>
  <c r="V207" i="2"/>
  <c r="C207" i="2"/>
  <c r="B208" i="2"/>
  <c r="M206" i="2"/>
  <c r="F206" i="2"/>
  <c r="E206" i="2"/>
  <c r="D206" i="2"/>
  <c r="K205" i="2" l="1"/>
  <c r="G206" i="2"/>
  <c r="I206" i="2" s="1"/>
  <c r="H206" i="2"/>
  <c r="J206" i="2" s="1"/>
  <c r="N208" i="2"/>
  <c r="O207" i="2" s="1"/>
  <c r="X208" i="2"/>
  <c r="Y207" i="2" s="1"/>
  <c r="W111" i="2"/>
  <c r="AE111" i="2"/>
  <c r="P111" i="2"/>
  <c r="Q111" i="2" s="1"/>
  <c r="Z111" i="2"/>
  <c r="AB111" i="2" s="1"/>
  <c r="AA213" i="2"/>
  <c r="V208" i="2"/>
  <c r="B209" i="2"/>
  <c r="C208" i="2"/>
  <c r="F207" i="2"/>
  <c r="E207" i="2"/>
  <c r="M207" i="2"/>
  <c r="D207" i="2"/>
  <c r="K206" i="2" l="1"/>
  <c r="G207" i="2"/>
  <c r="I207" i="2" s="1"/>
  <c r="H207" i="2"/>
  <c r="J207" i="2" s="1"/>
  <c r="N209" i="2"/>
  <c r="O208" i="2" s="1"/>
  <c r="X209" i="2"/>
  <c r="Y208" i="2" s="1"/>
  <c r="R112" i="2"/>
  <c r="S112" i="2"/>
  <c r="U112" i="2" s="1"/>
  <c r="L112" i="2"/>
  <c r="T112" i="2" s="1"/>
  <c r="AA214" i="2"/>
  <c r="V209" i="2"/>
  <c r="B210" i="2"/>
  <c r="C209" i="2"/>
  <c r="D208" i="2"/>
  <c r="M208" i="2"/>
  <c r="F208" i="2"/>
  <c r="E208" i="2"/>
  <c r="K207" i="2" l="1"/>
  <c r="G208" i="2"/>
  <c r="I208" i="2" s="1"/>
  <c r="H208" i="2"/>
  <c r="J208" i="2" s="1"/>
  <c r="N210" i="2"/>
  <c r="O209" i="2" s="1"/>
  <c r="X210" i="2"/>
  <c r="Y209" i="2" s="1"/>
  <c r="W112" i="2"/>
  <c r="AE112" i="2"/>
  <c r="Z112" i="2"/>
  <c r="AB112" i="2" s="1"/>
  <c r="P112" i="2"/>
  <c r="Q112" i="2" s="1"/>
  <c r="AA215" i="2"/>
  <c r="D209" i="2"/>
  <c r="E209" i="2"/>
  <c r="M209" i="2"/>
  <c r="F209" i="2"/>
  <c r="V210" i="2"/>
  <c r="B211" i="2"/>
  <c r="C210" i="2"/>
  <c r="K208" i="2" l="1"/>
  <c r="G209" i="2"/>
  <c r="I209" i="2" s="1"/>
  <c r="H209" i="2"/>
  <c r="J209" i="2" s="1"/>
  <c r="N211" i="2"/>
  <c r="O210" i="2" s="1"/>
  <c r="X211" i="2"/>
  <c r="Y210" i="2" s="1"/>
  <c r="R113" i="2"/>
  <c r="S113" i="2"/>
  <c r="U113" i="2" s="1"/>
  <c r="L113" i="2"/>
  <c r="T113" i="2" s="1"/>
  <c r="AA216" i="2"/>
  <c r="V211" i="2"/>
  <c r="B212" i="2"/>
  <c r="C211" i="2"/>
  <c r="M210" i="2"/>
  <c r="E210" i="2"/>
  <c r="D210" i="2"/>
  <c r="F210" i="2"/>
  <c r="K209" i="2" l="1"/>
  <c r="G210" i="2"/>
  <c r="I210" i="2" s="1"/>
  <c r="H210" i="2"/>
  <c r="J210" i="2" s="1"/>
  <c r="X212" i="2"/>
  <c r="Y211" i="2" s="1"/>
  <c r="W113" i="2"/>
  <c r="N212" i="2"/>
  <c r="O211" i="2" s="1"/>
  <c r="AE113" i="2"/>
  <c r="P113" i="2"/>
  <c r="Q113" i="2" s="1"/>
  <c r="Z113" i="2"/>
  <c r="AB113" i="2" s="1"/>
  <c r="AA217" i="2"/>
  <c r="D211" i="2"/>
  <c r="M211" i="2"/>
  <c r="F211" i="2"/>
  <c r="E211" i="2"/>
  <c r="V212" i="2"/>
  <c r="B213" i="2"/>
  <c r="C212" i="2"/>
  <c r="K210" i="2" l="1"/>
  <c r="G211" i="2"/>
  <c r="I211" i="2" s="1"/>
  <c r="H211" i="2"/>
  <c r="J211" i="2" s="1"/>
  <c r="X213" i="2"/>
  <c r="Y212" i="2" s="1"/>
  <c r="N213" i="2"/>
  <c r="O212" i="2" s="1"/>
  <c r="R114" i="2"/>
  <c r="S114" i="2"/>
  <c r="U114" i="2" s="1"/>
  <c r="L114" i="2"/>
  <c r="T114" i="2" s="1"/>
  <c r="AA218" i="2"/>
  <c r="E212" i="2"/>
  <c r="M212" i="2"/>
  <c r="F212" i="2"/>
  <c r="D212" i="2"/>
  <c r="V213" i="2"/>
  <c r="C213" i="2"/>
  <c r="B214" i="2"/>
  <c r="K211" i="2" l="1"/>
  <c r="G212" i="2"/>
  <c r="I212" i="2" s="1"/>
  <c r="H212" i="2"/>
  <c r="J212" i="2" s="1"/>
  <c r="N214" i="2"/>
  <c r="O213" i="2" s="1"/>
  <c r="X214" i="2"/>
  <c r="Y213" i="2" s="1"/>
  <c r="W114" i="2"/>
  <c r="AE114" i="2"/>
  <c r="Z114" i="2"/>
  <c r="AB114" i="2" s="1"/>
  <c r="P114" i="2"/>
  <c r="Q114" i="2" s="1"/>
  <c r="AA219" i="2"/>
  <c r="V214" i="2"/>
  <c r="B215" i="2"/>
  <c r="C214" i="2"/>
  <c r="M213" i="2"/>
  <c r="F213" i="2"/>
  <c r="E213" i="2"/>
  <c r="D213" i="2"/>
  <c r="K212" i="2" l="1"/>
  <c r="G213" i="2"/>
  <c r="I213" i="2" s="1"/>
  <c r="H213" i="2"/>
  <c r="J213" i="2" s="1"/>
  <c r="N215" i="2"/>
  <c r="O214" i="2" s="1"/>
  <c r="X215" i="2"/>
  <c r="Y214" i="2" s="1"/>
  <c r="L115" i="2"/>
  <c r="T115" i="2" s="1"/>
  <c r="R115" i="2"/>
  <c r="S115" i="2"/>
  <c r="U115" i="2" s="1"/>
  <c r="AA220" i="2"/>
  <c r="E214" i="2"/>
  <c r="D214" i="2"/>
  <c r="M214" i="2"/>
  <c r="F214" i="2"/>
  <c r="V215" i="2"/>
  <c r="B216" i="2"/>
  <c r="C215" i="2"/>
  <c r="K213" i="2" l="1"/>
  <c r="G214" i="2"/>
  <c r="I214" i="2" s="1"/>
  <c r="H214" i="2"/>
  <c r="J214" i="2" s="1"/>
  <c r="N216" i="2"/>
  <c r="O215" i="2" s="1"/>
  <c r="X216" i="2"/>
  <c r="Y215" i="2" s="1"/>
  <c r="W115" i="2"/>
  <c r="P115" i="2"/>
  <c r="Q115" i="2" s="1"/>
  <c r="AE115" i="2"/>
  <c r="Z115" i="2"/>
  <c r="AB115" i="2" s="1"/>
  <c r="AA221" i="2"/>
  <c r="M215" i="2"/>
  <c r="F215" i="2"/>
  <c r="E215" i="2"/>
  <c r="D215" i="2"/>
  <c r="V216" i="2"/>
  <c r="B217" i="2"/>
  <c r="C216" i="2"/>
  <c r="K214" i="2" l="1"/>
  <c r="G215" i="2"/>
  <c r="I215" i="2" s="1"/>
  <c r="H215" i="2"/>
  <c r="J215" i="2" s="1"/>
  <c r="N217" i="2"/>
  <c r="O216" i="2" s="1"/>
  <c r="X217" i="2"/>
  <c r="Y216" i="2" s="1"/>
  <c r="L116" i="2"/>
  <c r="T116" i="2" s="1"/>
  <c r="S116" i="2"/>
  <c r="U116" i="2" s="1"/>
  <c r="R116" i="2"/>
  <c r="AA222" i="2"/>
  <c r="M216" i="2"/>
  <c r="F216" i="2"/>
  <c r="E216" i="2"/>
  <c r="D216" i="2"/>
  <c r="V217" i="2"/>
  <c r="C217" i="2"/>
  <c r="B218" i="2"/>
  <c r="K215" i="2" l="1"/>
  <c r="G216" i="2"/>
  <c r="I216" i="2" s="1"/>
  <c r="H216" i="2"/>
  <c r="J216" i="2" s="1"/>
  <c r="N218" i="2"/>
  <c r="O217" i="2" s="1"/>
  <c r="X218" i="2"/>
  <c r="Y217" i="2" s="1"/>
  <c r="W116" i="2"/>
  <c r="P116" i="2"/>
  <c r="Q116" i="2" s="1"/>
  <c r="AE116" i="2"/>
  <c r="Z116" i="2"/>
  <c r="AB116" i="2" s="1"/>
  <c r="AA223" i="2"/>
  <c r="V218" i="2"/>
  <c r="C218" i="2"/>
  <c r="B219" i="2"/>
  <c r="M217" i="2"/>
  <c r="E217" i="2"/>
  <c r="F217" i="2"/>
  <c r="D217" i="2"/>
  <c r="K216" i="2" l="1"/>
  <c r="G217" i="2"/>
  <c r="I217" i="2" s="1"/>
  <c r="H217" i="2"/>
  <c r="J217" i="2" s="1"/>
  <c r="X219" i="2"/>
  <c r="Y218" i="2" s="1"/>
  <c r="N219" i="2"/>
  <c r="O218" i="2" s="1"/>
  <c r="L117" i="2"/>
  <c r="T117" i="2" s="1"/>
  <c r="S117" i="2"/>
  <c r="U117" i="2" s="1"/>
  <c r="R117" i="2"/>
  <c r="AA224" i="2"/>
  <c r="V219" i="2"/>
  <c r="B220" i="2"/>
  <c r="C219" i="2"/>
  <c r="D218" i="2"/>
  <c r="M218" i="2"/>
  <c r="F218" i="2"/>
  <c r="E218" i="2"/>
  <c r="K217" i="2" l="1"/>
  <c r="G218" i="2"/>
  <c r="I218" i="2" s="1"/>
  <c r="H218" i="2"/>
  <c r="J218" i="2" s="1"/>
  <c r="X220" i="2"/>
  <c r="Y219" i="2" s="1"/>
  <c r="W117" i="2"/>
  <c r="P117" i="2"/>
  <c r="Q117" i="2" s="1"/>
  <c r="AE117" i="2"/>
  <c r="N220" i="2"/>
  <c r="O219" i="2" s="1"/>
  <c r="Z117" i="2"/>
  <c r="AB117" i="2" s="1"/>
  <c r="AA225" i="2"/>
  <c r="V220" i="2"/>
  <c r="B221" i="2"/>
  <c r="C220" i="2"/>
  <c r="F219" i="2"/>
  <c r="D219" i="2"/>
  <c r="M219" i="2"/>
  <c r="E219" i="2"/>
  <c r="K218" i="2" l="1"/>
  <c r="G219" i="2"/>
  <c r="I219" i="2" s="1"/>
  <c r="H219" i="2"/>
  <c r="J219" i="2" s="1"/>
  <c r="X221" i="2"/>
  <c r="Y220" i="2" s="1"/>
  <c r="N221" i="2"/>
  <c r="O220" i="2" s="1"/>
  <c r="L118" i="2"/>
  <c r="T118" i="2" s="1"/>
  <c r="S118" i="2"/>
  <c r="U118" i="2" s="1"/>
  <c r="R118" i="2"/>
  <c r="AA226" i="2"/>
  <c r="M220" i="2"/>
  <c r="F220" i="2"/>
  <c r="D220" i="2"/>
  <c r="E220" i="2"/>
  <c r="V221" i="2"/>
  <c r="B222" i="2"/>
  <c r="C221" i="2"/>
  <c r="K219" i="2" l="1"/>
  <c r="G220" i="2"/>
  <c r="I220" i="2" s="1"/>
  <c r="H220" i="2"/>
  <c r="J220" i="2" s="1"/>
  <c r="N222" i="2"/>
  <c r="O221" i="2" s="1"/>
  <c r="X222" i="2"/>
  <c r="Y221" i="2" s="1"/>
  <c r="W118" i="2"/>
  <c r="AE118" i="2"/>
  <c r="Z118" i="2"/>
  <c r="AB118" i="2" s="1"/>
  <c r="P118" i="2"/>
  <c r="Q118" i="2" s="1"/>
  <c r="AA227" i="2"/>
  <c r="D221" i="2"/>
  <c r="M221" i="2"/>
  <c r="F221" i="2"/>
  <c r="E221" i="2"/>
  <c r="V222" i="2"/>
  <c r="C222" i="2"/>
  <c r="B223" i="2"/>
  <c r="K220" i="2" l="1"/>
  <c r="G221" i="2"/>
  <c r="I221" i="2" s="1"/>
  <c r="H221" i="2"/>
  <c r="J221" i="2" s="1"/>
  <c r="X223" i="2"/>
  <c r="Y222" i="2" s="1"/>
  <c r="N223" i="2"/>
  <c r="O222" i="2" s="1"/>
  <c r="S119" i="2"/>
  <c r="U119" i="2" s="1"/>
  <c r="R119" i="2"/>
  <c r="L119" i="2"/>
  <c r="T119" i="2" s="1"/>
  <c r="AA228" i="2"/>
  <c r="V223" i="2"/>
  <c r="C223" i="2"/>
  <c r="B224" i="2"/>
  <c r="F222" i="2"/>
  <c r="E222" i="2"/>
  <c r="M222" i="2"/>
  <c r="D222" i="2"/>
  <c r="K221" i="2" l="1"/>
  <c r="G222" i="2"/>
  <c r="I222" i="2" s="1"/>
  <c r="H222" i="2"/>
  <c r="J222" i="2" s="1"/>
  <c r="N224" i="2"/>
  <c r="O223" i="2" s="1"/>
  <c r="X224" i="2"/>
  <c r="Y223" i="2" s="1"/>
  <c r="W119" i="2"/>
  <c r="AE119" i="2"/>
  <c r="P119" i="2"/>
  <c r="Q119" i="2" s="1"/>
  <c r="Z119" i="2"/>
  <c r="AB119" i="2" s="1"/>
  <c r="AA229" i="2"/>
  <c r="E223" i="2"/>
  <c r="D223" i="2"/>
  <c r="F223" i="2"/>
  <c r="M223" i="2"/>
  <c r="V224" i="2"/>
  <c r="B225" i="2"/>
  <c r="C224" i="2"/>
  <c r="K222" i="2" l="1"/>
  <c r="G223" i="2"/>
  <c r="I223" i="2" s="1"/>
  <c r="H223" i="2"/>
  <c r="J223" i="2" s="1"/>
  <c r="N225" i="2"/>
  <c r="O224" i="2" s="1"/>
  <c r="X225" i="2"/>
  <c r="Y224" i="2" s="1"/>
  <c r="R120" i="2"/>
  <c r="S120" i="2"/>
  <c r="U120" i="2" s="1"/>
  <c r="L120" i="2"/>
  <c r="T120" i="2" s="1"/>
  <c r="AA230" i="2"/>
  <c r="V225" i="2"/>
  <c r="B226" i="2"/>
  <c r="C225" i="2"/>
  <c r="D224" i="2"/>
  <c r="E224" i="2"/>
  <c r="M224" i="2"/>
  <c r="F224" i="2"/>
  <c r="K223" i="2" l="1"/>
  <c r="G224" i="2"/>
  <c r="I224" i="2" s="1"/>
  <c r="H224" i="2"/>
  <c r="J224" i="2" s="1"/>
  <c r="N226" i="2"/>
  <c r="O225" i="2" s="1"/>
  <c r="X226" i="2"/>
  <c r="Y225" i="2" s="1"/>
  <c r="W120" i="2"/>
  <c r="AE120" i="2"/>
  <c r="P120" i="2"/>
  <c r="Q120" i="2" s="1"/>
  <c r="S121" i="2" s="1"/>
  <c r="U121" i="2" s="1"/>
  <c r="Z120" i="2"/>
  <c r="AB120" i="2" s="1"/>
  <c r="AA231" i="2"/>
  <c r="E225" i="2"/>
  <c r="M225" i="2"/>
  <c r="D225" i="2"/>
  <c r="F225" i="2"/>
  <c r="V226" i="2"/>
  <c r="C226" i="2"/>
  <c r="B227" i="2"/>
  <c r="G225" i="2" l="1"/>
  <c r="I225" i="2" s="1"/>
  <c r="H225" i="2"/>
  <c r="J225" i="2" s="1"/>
  <c r="K224" i="2"/>
  <c r="N227" i="2"/>
  <c r="O226" i="2" s="1"/>
  <c r="X227" i="2"/>
  <c r="Y226" i="2" s="1"/>
  <c r="L121" i="2"/>
  <c r="T121" i="2" s="1"/>
  <c r="AE121" i="2" s="1"/>
  <c r="R121" i="2"/>
  <c r="AA232" i="2"/>
  <c r="M226" i="2"/>
  <c r="E226" i="2"/>
  <c r="F226" i="2"/>
  <c r="D226" i="2"/>
  <c r="V227" i="2"/>
  <c r="C227" i="2"/>
  <c r="B228" i="2"/>
  <c r="K225" i="2" l="1"/>
  <c r="G226" i="2"/>
  <c r="I226" i="2" s="1"/>
  <c r="H226" i="2"/>
  <c r="J226" i="2" s="1"/>
  <c r="N228" i="2"/>
  <c r="O227" i="2" s="1"/>
  <c r="X228" i="2"/>
  <c r="Y227" i="2" s="1"/>
  <c r="W121" i="2"/>
  <c r="P121" i="2"/>
  <c r="Q121" i="2" s="1"/>
  <c r="S122" i="2" s="1"/>
  <c r="U122" i="2" s="1"/>
  <c r="Z121" i="2"/>
  <c r="AB121" i="2" s="1"/>
  <c r="AA233" i="2"/>
  <c r="V228" i="2"/>
  <c r="B229" i="2"/>
  <c r="C228" i="2"/>
  <c r="F227" i="2"/>
  <c r="E227" i="2"/>
  <c r="D227" i="2"/>
  <c r="M227" i="2"/>
  <c r="K226" i="2" l="1"/>
  <c r="G227" i="2"/>
  <c r="I227" i="2" s="1"/>
  <c r="H227" i="2"/>
  <c r="J227" i="2" s="1"/>
  <c r="X229" i="2"/>
  <c r="Y228" i="2" s="1"/>
  <c r="R122" i="2"/>
  <c r="L122" i="2"/>
  <c r="T122" i="2" s="1"/>
  <c r="AE122" i="2" s="1"/>
  <c r="N229" i="2"/>
  <c r="O228" i="2" s="1"/>
  <c r="AA234" i="2"/>
  <c r="V229" i="2"/>
  <c r="C229" i="2"/>
  <c r="B230" i="2"/>
  <c r="M228" i="2"/>
  <c r="F228" i="2"/>
  <c r="E228" i="2"/>
  <c r="D228" i="2"/>
  <c r="K227" i="2" l="1"/>
  <c r="G228" i="2"/>
  <c r="I228" i="2" s="1"/>
  <c r="H228" i="2"/>
  <c r="J228" i="2" s="1"/>
  <c r="N230" i="2"/>
  <c r="O229" i="2" s="1"/>
  <c r="X230" i="2"/>
  <c r="Y229" i="2" s="1"/>
  <c r="W122" i="2"/>
  <c r="P122" i="2"/>
  <c r="Q122" i="2" s="1"/>
  <c r="R123" i="2" s="1"/>
  <c r="Z122" i="2"/>
  <c r="AB122" i="2" s="1"/>
  <c r="AA235" i="2"/>
  <c r="V230" i="2"/>
  <c r="C230" i="2"/>
  <c r="B231" i="2"/>
  <c r="D229" i="2"/>
  <c r="F229" i="2"/>
  <c r="M229" i="2"/>
  <c r="E229" i="2"/>
  <c r="K228" i="2" l="1"/>
  <c r="G229" i="2"/>
  <c r="I229" i="2" s="1"/>
  <c r="H229" i="2"/>
  <c r="J229" i="2" s="1"/>
  <c r="X231" i="2"/>
  <c r="Y230" i="2" s="1"/>
  <c r="W123" i="2"/>
  <c r="L123" i="2"/>
  <c r="T123" i="2" s="1"/>
  <c r="S123" i="2"/>
  <c r="U123" i="2" s="1"/>
  <c r="N231" i="2"/>
  <c r="O230" i="2" s="1"/>
  <c r="AA236" i="2"/>
  <c r="D230" i="2"/>
  <c r="E230" i="2"/>
  <c r="M230" i="2"/>
  <c r="F230" i="2"/>
  <c r="V231" i="2"/>
  <c r="B232" i="2"/>
  <c r="C231" i="2"/>
  <c r="K229" i="2" l="1"/>
  <c r="G230" i="2"/>
  <c r="I230" i="2" s="1"/>
  <c r="H230" i="2"/>
  <c r="J230" i="2" s="1"/>
  <c r="N232" i="2"/>
  <c r="O231" i="2" s="1"/>
  <c r="X232" i="2"/>
  <c r="Y231" i="2" s="1"/>
  <c r="Z123" i="2"/>
  <c r="AB123" i="2" s="1"/>
  <c r="P123" i="2"/>
  <c r="Q123" i="2" s="1"/>
  <c r="S124" i="2" s="1"/>
  <c r="U124" i="2" s="1"/>
  <c r="AE123" i="2"/>
  <c r="AA237" i="2"/>
  <c r="V232" i="2"/>
  <c r="B233" i="2"/>
  <c r="C232" i="2"/>
  <c r="F231" i="2"/>
  <c r="E231" i="2"/>
  <c r="M231" i="2"/>
  <c r="D231" i="2"/>
  <c r="K230" i="2" l="1"/>
  <c r="G231" i="2"/>
  <c r="I231" i="2" s="1"/>
  <c r="H231" i="2"/>
  <c r="J231" i="2" s="1"/>
  <c r="N233" i="2"/>
  <c r="O232" i="2" s="1"/>
  <c r="X233" i="2"/>
  <c r="Y232" i="2" s="1"/>
  <c r="L124" i="2"/>
  <c r="T124" i="2" s="1"/>
  <c r="AE124" i="2" s="1"/>
  <c r="R124" i="2"/>
  <c r="AA238" i="2"/>
  <c r="D232" i="2"/>
  <c r="F232" i="2"/>
  <c r="M232" i="2"/>
  <c r="E232" i="2"/>
  <c r="V233" i="2"/>
  <c r="B234" i="2"/>
  <c r="C233" i="2"/>
  <c r="K231" i="2" l="1"/>
  <c r="G232" i="2"/>
  <c r="I232" i="2" s="1"/>
  <c r="H232" i="2"/>
  <c r="J232" i="2" s="1"/>
  <c r="N234" i="2"/>
  <c r="O233" i="2" s="1"/>
  <c r="X234" i="2"/>
  <c r="Y233" i="2" s="1"/>
  <c r="W124" i="2"/>
  <c r="Z124" i="2"/>
  <c r="AB124" i="2" s="1"/>
  <c r="P124" i="2"/>
  <c r="Q124" i="2" s="1"/>
  <c r="R125" i="2" s="1"/>
  <c r="AA239" i="2"/>
  <c r="V234" i="2"/>
  <c r="C234" i="2"/>
  <c r="B235" i="2"/>
  <c r="E233" i="2"/>
  <c r="M233" i="2"/>
  <c r="F233" i="2"/>
  <c r="D233" i="2"/>
  <c r="K232" i="2" l="1"/>
  <c r="G233" i="2"/>
  <c r="I233" i="2" s="1"/>
  <c r="H233" i="2"/>
  <c r="J233" i="2" s="1"/>
  <c r="X235" i="2"/>
  <c r="Y234" i="2" s="1"/>
  <c r="W125" i="2"/>
  <c r="L125" i="2"/>
  <c r="T125" i="2" s="1"/>
  <c r="S125" i="2"/>
  <c r="U125" i="2" s="1"/>
  <c r="N235" i="2"/>
  <c r="O234" i="2" s="1"/>
  <c r="AA240" i="2"/>
  <c r="E234" i="2"/>
  <c r="D234" i="2"/>
  <c r="F234" i="2"/>
  <c r="M234" i="2"/>
  <c r="V235" i="2"/>
  <c r="C235" i="2"/>
  <c r="B236" i="2"/>
  <c r="K233" i="2" l="1"/>
  <c r="G234" i="2"/>
  <c r="I234" i="2" s="1"/>
  <c r="H234" i="2"/>
  <c r="J234" i="2" s="1"/>
  <c r="N236" i="2"/>
  <c r="O235" i="2" s="1"/>
  <c r="X236" i="2"/>
  <c r="Y235" i="2" s="1"/>
  <c r="Z125" i="2"/>
  <c r="AB125" i="2" s="1"/>
  <c r="AE125" i="2"/>
  <c r="P125" i="2"/>
  <c r="Q125" i="2" s="1"/>
  <c r="L126" i="2" s="1"/>
  <c r="T126" i="2" s="1"/>
  <c r="AA241" i="2"/>
  <c r="D235" i="2"/>
  <c r="F235" i="2"/>
  <c r="E235" i="2"/>
  <c r="M235" i="2"/>
  <c r="V236" i="2"/>
  <c r="C236" i="2"/>
  <c r="B237" i="2"/>
  <c r="K234" i="2" l="1"/>
  <c r="G235" i="2"/>
  <c r="I235" i="2" s="1"/>
  <c r="H235" i="2"/>
  <c r="J235" i="2" s="1"/>
  <c r="X237" i="2"/>
  <c r="Y236" i="2" s="1"/>
  <c r="R126" i="2"/>
  <c r="S126" i="2"/>
  <c r="U126" i="2" s="1"/>
  <c r="N237" i="2"/>
  <c r="O236" i="2" s="1"/>
  <c r="P126" i="2"/>
  <c r="Q126" i="2" s="1"/>
  <c r="AA242" i="2"/>
  <c r="V237" i="2"/>
  <c r="B238" i="2"/>
  <c r="C237" i="2"/>
  <c r="M236" i="2"/>
  <c r="F236" i="2"/>
  <c r="D236" i="2"/>
  <c r="E236" i="2"/>
  <c r="K235" i="2" l="1"/>
  <c r="G236" i="2"/>
  <c r="I236" i="2" s="1"/>
  <c r="H236" i="2"/>
  <c r="J236" i="2" s="1"/>
  <c r="N238" i="2"/>
  <c r="O237" i="2" s="1"/>
  <c r="X238" i="2"/>
  <c r="Y237" i="2" s="1"/>
  <c r="W126" i="2"/>
  <c r="AE126" i="2"/>
  <c r="Z126" i="2"/>
  <c r="AB126" i="2" s="1"/>
  <c r="R127" i="2"/>
  <c r="L127" i="2"/>
  <c r="T127" i="2" s="1"/>
  <c r="S127" i="2"/>
  <c r="U127" i="2" s="1"/>
  <c r="AA243" i="2"/>
  <c r="E237" i="2"/>
  <c r="F237" i="2"/>
  <c r="D237" i="2"/>
  <c r="M237" i="2"/>
  <c r="V238" i="2"/>
  <c r="B239" i="2"/>
  <c r="C238" i="2"/>
  <c r="K236" i="2" l="1"/>
  <c r="G237" i="2"/>
  <c r="I237" i="2" s="1"/>
  <c r="H237" i="2"/>
  <c r="J237" i="2" s="1"/>
  <c r="N239" i="2"/>
  <c r="O238" i="2" s="1"/>
  <c r="X239" i="2"/>
  <c r="Y238" i="2" s="1"/>
  <c r="W127" i="2"/>
  <c r="AE127" i="2"/>
  <c r="P127" i="2"/>
  <c r="Q127" i="2" s="1"/>
  <c r="Z127" i="2"/>
  <c r="AB127" i="2" s="1"/>
  <c r="AA244" i="2"/>
  <c r="V239" i="2"/>
  <c r="B240" i="2"/>
  <c r="C239" i="2"/>
  <c r="D238" i="2"/>
  <c r="M238" i="2"/>
  <c r="F238" i="2"/>
  <c r="E238" i="2"/>
  <c r="K237" i="2" l="1"/>
  <c r="G238" i="2"/>
  <c r="I238" i="2" s="1"/>
  <c r="H238" i="2"/>
  <c r="J238" i="2" s="1"/>
  <c r="N240" i="2"/>
  <c r="O239" i="2" s="1"/>
  <c r="X240" i="2"/>
  <c r="Y239" i="2" s="1"/>
  <c r="R128" i="2"/>
  <c r="L128" i="2"/>
  <c r="T128" i="2" s="1"/>
  <c r="S128" i="2"/>
  <c r="U128" i="2" s="1"/>
  <c r="AA245" i="2"/>
  <c r="V240" i="2"/>
  <c r="C240" i="2"/>
  <c r="B241" i="2"/>
  <c r="M239" i="2"/>
  <c r="F239" i="2"/>
  <c r="E239" i="2"/>
  <c r="D239" i="2"/>
  <c r="K238" i="2" l="1"/>
  <c r="G239" i="2"/>
  <c r="I239" i="2" s="1"/>
  <c r="H239" i="2"/>
  <c r="J239" i="2" s="1"/>
  <c r="N241" i="2"/>
  <c r="O240" i="2" s="1"/>
  <c r="X241" i="2"/>
  <c r="Y240" i="2" s="1"/>
  <c r="W128" i="2"/>
  <c r="AE128" i="2"/>
  <c r="P128" i="2"/>
  <c r="Q128" i="2" s="1"/>
  <c r="Z128" i="2"/>
  <c r="AB128" i="2" s="1"/>
  <c r="AA246" i="2"/>
  <c r="V241" i="2"/>
  <c r="C241" i="2"/>
  <c r="B242" i="2"/>
  <c r="F240" i="2"/>
  <c r="D240" i="2"/>
  <c r="M240" i="2"/>
  <c r="E240" i="2"/>
  <c r="K239" i="2" l="1"/>
  <c r="G240" i="2"/>
  <c r="I240" i="2" s="1"/>
  <c r="H240" i="2"/>
  <c r="J240" i="2" s="1"/>
  <c r="N242" i="2"/>
  <c r="O241" i="2" s="1"/>
  <c r="X242" i="2"/>
  <c r="Y241" i="2" s="1"/>
  <c r="L129" i="2"/>
  <c r="T129" i="2" s="1"/>
  <c r="R129" i="2"/>
  <c r="S129" i="2"/>
  <c r="U129" i="2" s="1"/>
  <c r="AA247" i="2"/>
  <c r="V242" i="2"/>
  <c r="B243" i="2"/>
  <c r="C242" i="2"/>
  <c r="M241" i="2"/>
  <c r="D241" i="2"/>
  <c r="F241" i="2"/>
  <c r="E241" i="2"/>
  <c r="K240" i="2" l="1"/>
  <c r="G241" i="2"/>
  <c r="I241" i="2" s="1"/>
  <c r="H241" i="2"/>
  <c r="J241" i="2" s="1"/>
  <c r="N243" i="2"/>
  <c r="O242" i="2" s="1"/>
  <c r="X243" i="2"/>
  <c r="Y242" i="2" s="1"/>
  <c r="W129" i="2"/>
  <c r="AE129" i="2"/>
  <c r="Z129" i="2"/>
  <c r="AB129" i="2" s="1"/>
  <c r="P129" i="2"/>
  <c r="Q129" i="2" s="1"/>
  <c r="AA248" i="2"/>
  <c r="E242" i="2"/>
  <c r="M242" i="2"/>
  <c r="F242" i="2"/>
  <c r="D242" i="2"/>
  <c r="V243" i="2"/>
  <c r="B244" i="2"/>
  <c r="C243" i="2"/>
  <c r="K241" i="2" l="1"/>
  <c r="G242" i="2"/>
  <c r="I242" i="2" s="1"/>
  <c r="H242" i="2"/>
  <c r="J242" i="2" s="1"/>
  <c r="X244" i="2"/>
  <c r="Y243" i="2" s="1"/>
  <c r="N244" i="2"/>
  <c r="O243" i="2" s="1"/>
  <c r="S130" i="2"/>
  <c r="U130" i="2" s="1"/>
  <c r="L130" i="2"/>
  <c r="T130" i="2" s="1"/>
  <c r="R130" i="2"/>
  <c r="AA249" i="2"/>
  <c r="V244" i="2"/>
  <c r="B245" i="2"/>
  <c r="C244" i="2"/>
  <c r="F243" i="2"/>
  <c r="E243" i="2"/>
  <c r="D243" i="2"/>
  <c r="M243" i="2"/>
  <c r="K242" i="2" l="1"/>
  <c r="G243" i="2"/>
  <c r="I243" i="2" s="1"/>
  <c r="H243" i="2"/>
  <c r="J243" i="2" s="1"/>
  <c r="N245" i="2"/>
  <c r="O244" i="2" s="1"/>
  <c r="X245" i="2"/>
  <c r="Y244" i="2" s="1"/>
  <c r="W130" i="2"/>
  <c r="AE130" i="2"/>
  <c r="Z130" i="2"/>
  <c r="AB130" i="2" s="1"/>
  <c r="P130" i="2"/>
  <c r="Q130" i="2" s="1"/>
  <c r="AA250" i="2"/>
  <c r="V245" i="2"/>
  <c r="C245" i="2"/>
  <c r="B246" i="2"/>
  <c r="M244" i="2"/>
  <c r="D244" i="2"/>
  <c r="F244" i="2"/>
  <c r="E244" i="2"/>
  <c r="K243" i="2" l="1"/>
  <c r="G244" i="2"/>
  <c r="I244" i="2" s="1"/>
  <c r="H244" i="2"/>
  <c r="J244" i="2" s="1"/>
  <c r="N246" i="2"/>
  <c r="O245" i="2" s="1"/>
  <c r="X246" i="2"/>
  <c r="Y245" i="2" s="1"/>
  <c r="L131" i="2"/>
  <c r="T131" i="2" s="1"/>
  <c r="S131" i="2"/>
  <c r="U131" i="2" s="1"/>
  <c r="R131" i="2"/>
  <c r="AA251" i="2"/>
  <c r="V246" i="2"/>
  <c r="C246" i="2"/>
  <c r="B247" i="2"/>
  <c r="D245" i="2"/>
  <c r="M245" i="2"/>
  <c r="E245" i="2"/>
  <c r="F245" i="2"/>
  <c r="K244" i="2" l="1"/>
  <c r="G245" i="2"/>
  <c r="I245" i="2" s="1"/>
  <c r="H245" i="2"/>
  <c r="J245" i="2" s="1"/>
  <c r="N247" i="2"/>
  <c r="O246" i="2" s="1"/>
  <c r="X247" i="2"/>
  <c r="Y246" i="2" s="1"/>
  <c r="W131" i="2"/>
  <c r="P131" i="2"/>
  <c r="Q131" i="2" s="1"/>
  <c r="L132" i="2" s="1"/>
  <c r="T132" i="2" s="1"/>
  <c r="AE131" i="2"/>
  <c r="Z131" i="2"/>
  <c r="AB131" i="2" s="1"/>
  <c r="AA252" i="2"/>
  <c r="V247" i="2"/>
  <c r="C247" i="2"/>
  <c r="B248" i="2"/>
  <c r="F246" i="2"/>
  <c r="E246" i="2"/>
  <c r="D246" i="2"/>
  <c r="M246" i="2"/>
  <c r="K245" i="2" l="1"/>
  <c r="G246" i="2"/>
  <c r="I246" i="2" s="1"/>
  <c r="H246" i="2"/>
  <c r="J246" i="2" s="1"/>
  <c r="N248" i="2"/>
  <c r="O247" i="2" s="1"/>
  <c r="X248" i="2"/>
  <c r="Y247" i="2" s="1"/>
  <c r="S132" i="2"/>
  <c r="U132" i="2" s="1"/>
  <c r="R132" i="2"/>
  <c r="P132" i="2"/>
  <c r="Q132" i="2" s="1"/>
  <c r="AA253" i="2"/>
  <c r="V248" i="2"/>
  <c r="B249" i="2"/>
  <c r="C248" i="2"/>
  <c r="F247" i="2"/>
  <c r="E247" i="2"/>
  <c r="M247" i="2"/>
  <c r="D247" i="2"/>
  <c r="K246" i="2" l="1"/>
  <c r="G247" i="2"/>
  <c r="I247" i="2" s="1"/>
  <c r="H247" i="2"/>
  <c r="J247" i="2" s="1"/>
  <c r="N249" i="2"/>
  <c r="O248" i="2" s="1"/>
  <c r="X249" i="2"/>
  <c r="Y248" i="2" s="1"/>
  <c r="W132" i="2"/>
  <c r="AE132" i="2"/>
  <c r="Z132" i="2"/>
  <c r="AB132" i="2" s="1"/>
  <c r="L133" i="2"/>
  <c r="T133" i="2" s="1"/>
  <c r="R133" i="2"/>
  <c r="S133" i="2"/>
  <c r="U133" i="2" s="1"/>
  <c r="AA254" i="2"/>
  <c r="M248" i="2"/>
  <c r="F248" i="2"/>
  <c r="E248" i="2"/>
  <c r="D248" i="2"/>
  <c r="V249" i="2"/>
  <c r="B250" i="2"/>
  <c r="C249" i="2"/>
  <c r="K247" i="2" l="1"/>
  <c r="G248" i="2"/>
  <c r="I248" i="2" s="1"/>
  <c r="H248" i="2"/>
  <c r="J248" i="2" s="1"/>
  <c r="N250" i="2"/>
  <c r="O249" i="2" s="1"/>
  <c r="X250" i="2"/>
  <c r="Y249" i="2" s="1"/>
  <c r="W133" i="2"/>
  <c r="P133" i="2"/>
  <c r="Q133" i="2" s="1"/>
  <c r="AE133" i="2"/>
  <c r="Z133" i="2"/>
  <c r="AB133" i="2" s="1"/>
  <c r="AA255" i="2"/>
  <c r="M249" i="2"/>
  <c r="F249" i="2"/>
  <c r="E249" i="2"/>
  <c r="D249" i="2"/>
  <c r="V250" i="2"/>
  <c r="C250" i="2"/>
  <c r="B251" i="2"/>
  <c r="K248" i="2" l="1"/>
  <c r="G249" i="2"/>
  <c r="I249" i="2" s="1"/>
  <c r="H249" i="2"/>
  <c r="J249" i="2" s="1"/>
  <c r="N251" i="2"/>
  <c r="O250" i="2" s="1"/>
  <c r="X251" i="2"/>
  <c r="Y250" i="2" s="1"/>
  <c r="S134" i="2"/>
  <c r="U134" i="2" s="1"/>
  <c r="R134" i="2"/>
  <c r="L134" i="2"/>
  <c r="T134" i="2" s="1"/>
  <c r="AA256" i="2"/>
  <c r="M250" i="2"/>
  <c r="E250" i="2"/>
  <c r="D250" i="2"/>
  <c r="F250" i="2"/>
  <c r="V251" i="2"/>
  <c r="C251" i="2"/>
  <c r="B252" i="2"/>
  <c r="K249" i="2" l="1"/>
  <c r="G250" i="2"/>
  <c r="I250" i="2" s="1"/>
  <c r="H250" i="2"/>
  <c r="J250" i="2" s="1"/>
  <c r="X252" i="2"/>
  <c r="Y251" i="2" s="1"/>
  <c r="W134" i="2"/>
  <c r="AE134" i="2"/>
  <c r="N252" i="2"/>
  <c r="O251" i="2" s="1"/>
  <c r="P134" i="2"/>
  <c r="Q134" i="2" s="1"/>
  <c r="Z134" i="2"/>
  <c r="AB134" i="2" s="1"/>
  <c r="AA257" i="2"/>
  <c r="D251" i="2"/>
  <c r="E251" i="2"/>
  <c r="M251" i="2"/>
  <c r="F251" i="2"/>
  <c r="V252" i="2"/>
  <c r="C252" i="2"/>
  <c r="B253" i="2"/>
  <c r="K250" i="2" l="1"/>
  <c r="G251" i="2"/>
  <c r="I251" i="2" s="1"/>
  <c r="H251" i="2"/>
  <c r="J251" i="2" s="1"/>
  <c r="N253" i="2"/>
  <c r="O252" i="2" s="1"/>
  <c r="X253" i="2"/>
  <c r="Y252" i="2" s="1"/>
  <c r="S135" i="2"/>
  <c r="U135" i="2" s="1"/>
  <c r="L135" i="2"/>
  <c r="T135" i="2" s="1"/>
  <c r="R135" i="2"/>
  <c r="AA258" i="2"/>
  <c r="M252" i="2"/>
  <c r="D252" i="2"/>
  <c r="F252" i="2"/>
  <c r="E252" i="2"/>
  <c r="V253" i="2"/>
  <c r="C253" i="2"/>
  <c r="B254" i="2"/>
  <c r="K251" i="2" l="1"/>
  <c r="G252" i="2"/>
  <c r="I252" i="2" s="1"/>
  <c r="H252" i="2"/>
  <c r="J252" i="2" s="1"/>
  <c r="N254" i="2"/>
  <c r="O253" i="2" s="1"/>
  <c r="X254" i="2"/>
  <c r="Y253" i="2" s="1"/>
  <c r="W135" i="2"/>
  <c r="P135" i="2"/>
  <c r="Q135" i="2" s="1"/>
  <c r="AE135" i="2"/>
  <c r="Z135" i="2"/>
  <c r="AB135" i="2" s="1"/>
  <c r="AA259" i="2"/>
  <c r="V254" i="2"/>
  <c r="C254" i="2"/>
  <c r="B255" i="2"/>
  <c r="F253" i="2"/>
  <c r="M253" i="2"/>
  <c r="E253" i="2"/>
  <c r="D253" i="2"/>
  <c r="K252" i="2" l="1"/>
  <c r="G253" i="2"/>
  <c r="I253" i="2" s="1"/>
  <c r="H253" i="2"/>
  <c r="J253" i="2" s="1"/>
  <c r="X255" i="2"/>
  <c r="Y254" i="2" s="1"/>
  <c r="N255" i="2"/>
  <c r="O254" i="2" s="1"/>
  <c r="R136" i="2"/>
  <c r="L136" i="2"/>
  <c r="T136" i="2" s="1"/>
  <c r="S136" i="2"/>
  <c r="U136" i="2" s="1"/>
  <c r="AA260" i="2"/>
  <c r="V255" i="2"/>
  <c r="B256" i="2"/>
  <c r="C255" i="2"/>
  <c r="E254" i="2"/>
  <c r="D254" i="2"/>
  <c r="M254" i="2"/>
  <c r="F254" i="2"/>
  <c r="K253" i="2" l="1"/>
  <c r="G254" i="2"/>
  <c r="I254" i="2" s="1"/>
  <c r="H254" i="2"/>
  <c r="J254" i="2" s="1"/>
  <c r="N256" i="2"/>
  <c r="O255" i="2" s="1"/>
  <c r="X256" i="2"/>
  <c r="Y255" i="2" s="1"/>
  <c r="W136" i="2"/>
  <c r="AE136" i="2"/>
  <c r="Z136" i="2"/>
  <c r="AB136" i="2" s="1"/>
  <c r="P136" i="2"/>
  <c r="Q136" i="2" s="1"/>
  <c r="AA261" i="2"/>
  <c r="F255" i="2"/>
  <c r="D255" i="2"/>
  <c r="M255" i="2"/>
  <c r="E255" i="2"/>
  <c r="V256" i="2"/>
  <c r="C256" i="2"/>
  <c r="B257" i="2"/>
  <c r="K254" i="2" l="1"/>
  <c r="G255" i="2"/>
  <c r="I255" i="2" s="1"/>
  <c r="H255" i="2"/>
  <c r="J255" i="2" s="1"/>
  <c r="N257" i="2"/>
  <c r="O256" i="2" s="1"/>
  <c r="X257" i="2"/>
  <c r="Y256" i="2" s="1"/>
  <c r="R137" i="2"/>
  <c r="L137" i="2"/>
  <c r="T137" i="2" s="1"/>
  <c r="S137" i="2"/>
  <c r="U137" i="2" s="1"/>
  <c r="AA262" i="2"/>
  <c r="D256" i="2"/>
  <c r="M256" i="2"/>
  <c r="F256" i="2"/>
  <c r="E256" i="2"/>
  <c r="V257" i="2"/>
  <c r="C257" i="2"/>
  <c r="B258" i="2"/>
  <c r="K255" i="2" l="1"/>
  <c r="G256" i="2"/>
  <c r="I256" i="2" s="1"/>
  <c r="H256" i="2"/>
  <c r="J256" i="2" s="1"/>
  <c r="N258" i="2"/>
  <c r="O257" i="2" s="1"/>
  <c r="X258" i="2"/>
  <c r="Y257" i="2" s="1"/>
  <c r="W137" i="2"/>
  <c r="P137" i="2"/>
  <c r="Q137" i="2" s="1"/>
  <c r="AE137" i="2"/>
  <c r="Z137" i="2"/>
  <c r="AB137" i="2" s="1"/>
  <c r="AA263" i="2"/>
  <c r="V258" i="2"/>
  <c r="C258" i="2"/>
  <c r="B259" i="2"/>
  <c r="F257" i="2"/>
  <c r="E257" i="2"/>
  <c r="M257" i="2"/>
  <c r="D257" i="2"/>
  <c r="K256" i="2" l="1"/>
  <c r="G257" i="2"/>
  <c r="I257" i="2" s="1"/>
  <c r="H257" i="2"/>
  <c r="J257" i="2" s="1"/>
  <c r="N259" i="2"/>
  <c r="O258" i="2" s="1"/>
  <c r="X259" i="2"/>
  <c r="Y258" i="2" s="1"/>
  <c r="S138" i="2"/>
  <c r="U138" i="2" s="1"/>
  <c r="L138" i="2"/>
  <c r="T138" i="2" s="1"/>
  <c r="R138" i="2"/>
  <c r="AA264" i="2"/>
  <c r="V259" i="2"/>
  <c r="C259" i="2"/>
  <c r="B260" i="2"/>
  <c r="M258" i="2"/>
  <c r="E258" i="2"/>
  <c r="D258" i="2"/>
  <c r="F258" i="2"/>
  <c r="K257" i="2" l="1"/>
  <c r="G258" i="2"/>
  <c r="I258" i="2" s="1"/>
  <c r="H258" i="2"/>
  <c r="J258" i="2" s="1"/>
  <c r="X260" i="2"/>
  <c r="Y259" i="2" s="1"/>
  <c r="W138" i="2"/>
  <c r="AE138" i="2"/>
  <c r="P138" i="2"/>
  <c r="Q138" i="2" s="1"/>
  <c r="N260" i="2"/>
  <c r="O259" i="2" s="1"/>
  <c r="Z138" i="2"/>
  <c r="AB138" i="2" s="1"/>
  <c r="AA265" i="2"/>
  <c r="V260" i="2"/>
  <c r="C260" i="2"/>
  <c r="B261" i="2"/>
  <c r="D259" i="2"/>
  <c r="M259" i="2"/>
  <c r="F259" i="2"/>
  <c r="E259" i="2"/>
  <c r="K258" i="2" l="1"/>
  <c r="G259" i="2"/>
  <c r="I259" i="2" s="1"/>
  <c r="H259" i="2"/>
  <c r="J259" i="2" s="1"/>
  <c r="N261" i="2"/>
  <c r="O260" i="2" s="1"/>
  <c r="X261" i="2"/>
  <c r="Y260" i="2" s="1"/>
  <c r="S139" i="2"/>
  <c r="U139" i="2" s="1"/>
  <c r="R139" i="2"/>
  <c r="L139" i="2"/>
  <c r="T139" i="2" s="1"/>
  <c r="AA266" i="2"/>
  <c r="V261" i="2"/>
  <c r="C261" i="2"/>
  <c r="B262" i="2"/>
  <c r="E260" i="2"/>
  <c r="F260" i="2"/>
  <c r="D260" i="2"/>
  <c r="M260" i="2"/>
  <c r="K259" i="2" l="1"/>
  <c r="G260" i="2"/>
  <c r="I260" i="2" s="1"/>
  <c r="H260" i="2"/>
  <c r="J260" i="2" s="1"/>
  <c r="N262" i="2"/>
  <c r="O261" i="2" s="1"/>
  <c r="X262" i="2"/>
  <c r="Y261" i="2" s="1"/>
  <c r="W139" i="2"/>
  <c r="AE139" i="2"/>
  <c r="Z139" i="2"/>
  <c r="AB139" i="2" s="1"/>
  <c r="P139" i="2"/>
  <c r="Q139" i="2" s="1"/>
  <c r="AA267" i="2"/>
  <c r="F261" i="2"/>
  <c r="D261" i="2"/>
  <c r="M261" i="2"/>
  <c r="E261" i="2"/>
  <c r="V262" i="2"/>
  <c r="B263" i="2"/>
  <c r="C262" i="2"/>
  <c r="K260" i="2" l="1"/>
  <c r="G261" i="2"/>
  <c r="I261" i="2" s="1"/>
  <c r="H261" i="2"/>
  <c r="J261" i="2" s="1"/>
  <c r="N263" i="2"/>
  <c r="O262" i="2" s="1"/>
  <c r="X263" i="2"/>
  <c r="Y262" i="2" s="1"/>
  <c r="R140" i="2"/>
  <c r="S140" i="2"/>
  <c r="U140" i="2" s="1"/>
  <c r="L140" i="2"/>
  <c r="T140" i="2" s="1"/>
  <c r="AA268" i="2"/>
  <c r="E262" i="2"/>
  <c r="D262" i="2"/>
  <c r="M262" i="2"/>
  <c r="F262" i="2"/>
  <c r="V263" i="2"/>
  <c r="C263" i="2"/>
  <c r="B264" i="2"/>
  <c r="K261" i="2" l="1"/>
  <c r="G262" i="2"/>
  <c r="I262" i="2" s="1"/>
  <c r="H262" i="2"/>
  <c r="J262" i="2" s="1"/>
  <c r="N264" i="2"/>
  <c r="O263" i="2" s="1"/>
  <c r="X264" i="2"/>
  <c r="Y263" i="2" s="1"/>
  <c r="W140" i="2"/>
  <c r="AE140" i="2"/>
  <c r="P140" i="2"/>
  <c r="Q140" i="2" s="1"/>
  <c r="Z140" i="2"/>
  <c r="AB140" i="2" s="1"/>
  <c r="AA269" i="2"/>
  <c r="M263" i="2"/>
  <c r="D263" i="2"/>
  <c r="F263" i="2"/>
  <c r="E263" i="2"/>
  <c r="V264" i="2"/>
  <c r="C264" i="2"/>
  <c r="B265" i="2"/>
  <c r="K262" i="2" l="1"/>
  <c r="G263" i="2"/>
  <c r="I263" i="2" s="1"/>
  <c r="H263" i="2"/>
  <c r="J263" i="2" s="1"/>
  <c r="N265" i="2"/>
  <c r="O264" i="2" s="1"/>
  <c r="X265" i="2"/>
  <c r="Y264" i="2" s="1"/>
  <c r="R141" i="2"/>
  <c r="L141" i="2"/>
  <c r="T141" i="2" s="1"/>
  <c r="S141" i="2"/>
  <c r="U141" i="2" s="1"/>
  <c r="AA270" i="2"/>
  <c r="D264" i="2"/>
  <c r="M264" i="2"/>
  <c r="F264" i="2"/>
  <c r="E264" i="2"/>
  <c r="V265" i="2"/>
  <c r="C265" i="2"/>
  <c r="B266" i="2"/>
  <c r="K263" i="2" l="1"/>
  <c r="G264" i="2"/>
  <c r="I264" i="2" s="1"/>
  <c r="H264" i="2"/>
  <c r="J264" i="2" s="1"/>
  <c r="N266" i="2"/>
  <c r="O265" i="2" s="1"/>
  <c r="X266" i="2"/>
  <c r="Y265" i="2" s="1"/>
  <c r="W141" i="2"/>
  <c r="AE141" i="2"/>
  <c r="P141" i="2"/>
  <c r="Q141" i="2" s="1"/>
  <c r="Z141" i="2"/>
  <c r="AB141" i="2" s="1"/>
  <c r="AA271" i="2"/>
  <c r="V266" i="2"/>
  <c r="C266" i="2"/>
  <c r="B267" i="2"/>
  <c r="E265" i="2"/>
  <c r="F265" i="2"/>
  <c r="D265" i="2"/>
  <c r="M265" i="2"/>
  <c r="K264" i="2" l="1"/>
  <c r="G265" i="2"/>
  <c r="I265" i="2" s="1"/>
  <c r="H265" i="2"/>
  <c r="J265" i="2" s="1"/>
  <c r="X267" i="2"/>
  <c r="Y266" i="2" s="1"/>
  <c r="N267" i="2"/>
  <c r="O266" i="2" s="1"/>
  <c r="S142" i="2"/>
  <c r="U142" i="2" s="1"/>
  <c r="R142" i="2"/>
  <c r="L142" i="2"/>
  <c r="T142" i="2" s="1"/>
  <c r="AA272" i="2"/>
  <c r="V267" i="2"/>
  <c r="B268" i="2"/>
  <c r="C267" i="2"/>
  <c r="M266" i="2"/>
  <c r="F266" i="2"/>
  <c r="D266" i="2"/>
  <c r="E266" i="2"/>
  <c r="K265" i="2" l="1"/>
  <c r="G266" i="2"/>
  <c r="I266" i="2" s="1"/>
  <c r="H266" i="2"/>
  <c r="J266" i="2" s="1"/>
  <c r="X268" i="2"/>
  <c r="Y267" i="2" s="1"/>
  <c r="W142" i="2"/>
  <c r="AE142" i="2"/>
  <c r="N268" i="2"/>
  <c r="O267" i="2" s="1"/>
  <c r="P142" i="2"/>
  <c r="Q142" i="2" s="1"/>
  <c r="Z142" i="2"/>
  <c r="AB142" i="2" s="1"/>
  <c r="AA273" i="2"/>
  <c r="D267" i="2"/>
  <c r="F267" i="2"/>
  <c r="M267" i="2"/>
  <c r="E267" i="2"/>
  <c r="V268" i="2"/>
  <c r="B269" i="2"/>
  <c r="C268" i="2"/>
  <c r="K266" i="2" l="1"/>
  <c r="G267" i="2"/>
  <c r="I267" i="2" s="1"/>
  <c r="H267" i="2"/>
  <c r="J267" i="2" s="1"/>
  <c r="X269" i="2"/>
  <c r="Y268" i="2" s="1"/>
  <c r="N269" i="2"/>
  <c r="O268" i="2" s="1"/>
  <c r="L143" i="2"/>
  <c r="T143" i="2" s="1"/>
  <c r="S143" i="2"/>
  <c r="U143" i="2" s="1"/>
  <c r="R143" i="2"/>
  <c r="AA274" i="2"/>
  <c r="E268" i="2"/>
  <c r="M268" i="2"/>
  <c r="F268" i="2"/>
  <c r="D268" i="2"/>
  <c r="V269" i="2"/>
  <c r="C269" i="2"/>
  <c r="B270" i="2"/>
  <c r="K267" i="2" l="1"/>
  <c r="G268" i="2"/>
  <c r="I268" i="2" s="1"/>
  <c r="H268" i="2"/>
  <c r="J268" i="2" s="1"/>
  <c r="N270" i="2"/>
  <c r="O269" i="2" s="1"/>
  <c r="X270" i="2"/>
  <c r="Y269" i="2" s="1"/>
  <c r="W143" i="2"/>
  <c r="AE143" i="2"/>
  <c r="Z143" i="2"/>
  <c r="AB143" i="2" s="1"/>
  <c r="P143" i="2"/>
  <c r="Q143" i="2" s="1"/>
  <c r="AA275" i="2"/>
  <c r="F269" i="2"/>
  <c r="D269" i="2"/>
  <c r="M269" i="2"/>
  <c r="E269" i="2"/>
  <c r="V270" i="2"/>
  <c r="B271" i="2"/>
  <c r="C270" i="2"/>
  <c r="K268" i="2" l="1"/>
  <c r="G269" i="2"/>
  <c r="I269" i="2" s="1"/>
  <c r="H269" i="2"/>
  <c r="J269" i="2" s="1"/>
  <c r="N271" i="2"/>
  <c r="O270" i="2" s="1"/>
  <c r="X271" i="2"/>
  <c r="Y270" i="2" s="1"/>
  <c r="S144" i="2"/>
  <c r="U144" i="2" s="1"/>
  <c r="L144" i="2"/>
  <c r="T144" i="2" s="1"/>
  <c r="R144" i="2"/>
  <c r="AA276" i="2"/>
  <c r="D270" i="2"/>
  <c r="M270" i="2"/>
  <c r="F270" i="2"/>
  <c r="E270" i="2"/>
  <c r="V271" i="2"/>
  <c r="C271" i="2"/>
  <c r="B272" i="2"/>
  <c r="K269" i="2" l="1"/>
  <c r="G270" i="2"/>
  <c r="I270" i="2" s="1"/>
  <c r="H270" i="2"/>
  <c r="J270" i="2" s="1"/>
  <c r="N272" i="2"/>
  <c r="O271" i="2" s="1"/>
  <c r="X272" i="2"/>
  <c r="Y271" i="2" s="1"/>
  <c r="W144" i="2"/>
  <c r="AE144" i="2"/>
  <c r="P144" i="2"/>
  <c r="Q144" i="2" s="1"/>
  <c r="Z144" i="2"/>
  <c r="AB144" i="2" s="1"/>
  <c r="AA277" i="2"/>
  <c r="V272" i="2"/>
  <c r="B273" i="2"/>
  <c r="C272" i="2"/>
  <c r="M271" i="2"/>
  <c r="F271" i="2"/>
  <c r="E271" i="2"/>
  <c r="D271" i="2"/>
  <c r="K270" i="2" l="1"/>
  <c r="G271" i="2"/>
  <c r="I271" i="2" s="1"/>
  <c r="H271" i="2"/>
  <c r="J271" i="2" s="1"/>
  <c r="N273" i="2"/>
  <c r="O272" i="2" s="1"/>
  <c r="X273" i="2"/>
  <c r="Y272" i="2" s="1"/>
  <c r="S145" i="2"/>
  <c r="U145" i="2" s="1"/>
  <c r="L145" i="2"/>
  <c r="T145" i="2" s="1"/>
  <c r="R145" i="2"/>
  <c r="AA278" i="2"/>
  <c r="D272" i="2"/>
  <c r="E272" i="2"/>
  <c r="M272" i="2"/>
  <c r="F272" i="2"/>
  <c r="V273" i="2"/>
  <c r="B274" i="2"/>
  <c r="C273" i="2"/>
  <c r="K271" i="2" l="1"/>
  <c r="G272" i="2"/>
  <c r="I272" i="2" s="1"/>
  <c r="H272" i="2"/>
  <c r="J272" i="2" s="1"/>
  <c r="N274" i="2"/>
  <c r="O273" i="2" s="1"/>
  <c r="X274" i="2"/>
  <c r="Y273" i="2" s="1"/>
  <c r="W145" i="2"/>
  <c r="AE145" i="2"/>
  <c r="P145" i="2"/>
  <c r="Q145" i="2" s="1"/>
  <c r="Z145" i="2"/>
  <c r="AB145" i="2" s="1"/>
  <c r="AA279" i="2"/>
  <c r="D273" i="2"/>
  <c r="F273" i="2"/>
  <c r="M273" i="2"/>
  <c r="E273" i="2"/>
  <c r="V274" i="2"/>
  <c r="C274" i="2"/>
  <c r="B275" i="2"/>
  <c r="K272" i="2" l="1"/>
  <c r="G273" i="2"/>
  <c r="I273" i="2" s="1"/>
  <c r="H273" i="2"/>
  <c r="J273" i="2" s="1"/>
  <c r="N275" i="2"/>
  <c r="O274" i="2" s="1"/>
  <c r="X275" i="2"/>
  <c r="Y274" i="2" s="1"/>
  <c r="S146" i="2"/>
  <c r="U146" i="2" s="1"/>
  <c r="R146" i="2"/>
  <c r="L146" i="2"/>
  <c r="T146" i="2" s="1"/>
  <c r="AA280" i="2"/>
  <c r="V275" i="2"/>
  <c r="C275" i="2"/>
  <c r="B276" i="2"/>
  <c r="E274" i="2"/>
  <c r="M274" i="2"/>
  <c r="D274" i="2"/>
  <c r="F274" i="2"/>
  <c r="K273" i="2" l="1"/>
  <c r="G274" i="2"/>
  <c r="I274" i="2" s="1"/>
  <c r="H274" i="2"/>
  <c r="J274" i="2" s="1"/>
  <c r="X276" i="2"/>
  <c r="Y275" i="2" s="1"/>
  <c r="W146" i="2"/>
  <c r="AE146" i="2"/>
  <c r="N276" i="2"/>
  <c r="O275" i="2" s="1"/>
  <c r="Z146" i="2"/>
  <c r="AB146" i="2" s="1"/>
  <c r="P146" i="2"/>
  <c r="Q146" i="2" s="1"/>
  <c r="AA281" i="2"/>
  <c r="F275" i="2"/>
  <c r="E275" i="2"/>
  <c r="M275" i="2"/>
  <c r="D275" i="2"/>
  <c r="V276" i="2"/>
  <c r="C276" i="2"/>
  <c r="B277" i="2"/>
  <c r="K274" i="2" l="1"/>
  <c r="G275" i="2"/>
  <c r="I275" i="2" s="1"/>
  <c r="H275" i="2"/>
  <c r="J275" i="2" s="1"/>
  <c r="X277" i="2"/>
  <c r="Y276" i="2" s="1"/>
  <c r="N277" i="2"/>
  <c r="O276" i="2" s="1"/>
  <c r="S147" i="2"/>
  <c r="U147" i="2" s="1"/>
  <c r="R147" i="2"/>
  <c r="L147" i="2"/>
  <c r="T147" i="2" s="1"/>
  <c r="AA282" i="2"/>
  <c r="V277" i="2"/>
  <c r="B278" i="2"/>
  <c r="C277" i="2"/>
  <c r="M276" i="2"/>
  <c r="F276" i="2"/>
  <c r="D276" i="2"/>
  <c r="E276" i="2"/>
  <c r="K275" i="2" l="1"/>
  <c r="G276" i="2"/>
  <c r="I276" i="2" s="1"/>
  <c r="H276" i="2"/>
  <c r="J276" i="2" s="1"/>
  <c r="N278" i="2"/>
  <c r="O277" i="2" s="1"/>
  <c r="X278" i="2"/>
  <c r="Y277" i="2" s="1"/>
  <c r="W147" i="2"/>
  <c r="AE147" i="2"/>
  <c r="Z147" i="2"/>
  <c r="AB147" i="2" s="1"/>
  <c r="P147" i="2"/>
  <c r="Q147" i="2" s="1"/>
  <c r="AA283" i="2"/>
  <c r="V278" i="2"/>
  <c r="C278" i="2"/>
  <c r="B279" i="2"/>
  <c r="F277" i="2"/>
  <c r="M277" i="2"/>
  <c r="E277" i="2"/>
  <c r="D277" i="2"/>
  <c r="K276" i="2" l="1"/>
  <c r="G277" i="2"/>
  <c r="I277" i="2" s="1"/>
  <c r="H277" i="2"/>
  <c r="J277" i="2" s="1"/>
  <c r="X279" i="2"/>
  <c r="Y278" i="2" s="1"/>
  <c r="N279" i="2"/>
  <c r="O278" i="2" s="1"/>
  <c r="R148" i="2"/>
  <c r="S148" i="2"/>
  <c r="U148" i="2" s="1"/>
  <c r="L148" i="2"/>
  <c r="T148" i="2" s="1"/>
  <c r="AA284" i="2"/>
  <c r="V279" i="2"/>
  <c r="C279" i="2"/>
  <c r="B280" i="2"/>
  <c r="E278" i="2"/>
  <c r="D278" i="2"/>
  <c r="M278" i="2"/>
  <c r="F278" i="2"/>
  <c r="K277" i="2" l="1"/>
  <c r="G278" i="2"/>
  <c r="I278" i="2" s="1"/>
  <c r="H278" i="2"/>
  <c r="J278" i="2" s="1"/>
  <c r="N280" i="2"/>
  <c r="O279" i="2" s="1"/>
  <c r="X280" i="2"/>
  <c r="Y279" i="2" s="1"/>
  <c r="W148" i="2"/>
  <c r="AE148" i="2"/>
  <c r="P148" i="2"/>
  <c r="Q148" i="2" s="1"/>
  <c r="Z148" i="2"/>
  <c r="AB148" i="2" s="1"/>
  <c r="AA285" i="2"/>
  <c r="V280" i="2"/>
  <c r="C280" i="2"/>
  <c r="B281" i="2"/>
  <c r="E279" i="2"/>
  <c r="M279" i="2"/>
  <c r="F279" i="2"/>
  <c r="D279" i="2"/>
  <c r="K278" i="2" l="1"/>
  <c r="G279" i="2"/>
  <c r="I279" i="2" s="1"/>
  <c r="H279" i="2"/>
  <c r="J279" i="2" s="1"/>
  <c r="N281" i="2"/>
  <c r="O280" i="2" s="1"/>
  <c r="X281" i="2"/>
  <c r="Y280" i="2" s="1"/>
  <c r="R149" i="2"/>
  <c r="S149" i="2"/>
  <c r="U149" i="2" s="1"/>
  <c r="L149" i="2"/>
  <c r="T149" i="2" s="1"/>
  <c r="AA286" i="2"/>
  <c r="M280" i="2"/>
  <c r="F280" i="2"/>
  <c r="D280" i="2"/>
  <c r="E280" i="2"/>
  <c r="V281" i="2"/>
  <c r="B282" i="2"/>
  <c r="C281" i="2"/>
  <c r="K279" i="2" l="1"/>
  <c r="G280" i="2"/>
  <c r="I280" i="2" s="1"/>
  <c r="H280" i="2"/>
  <c r="J280" i="2" s="1"/>
  <c r="N282" i="2"/>
  <c r="O281" i="2" s="1"/>
  <c r="X282" i="2"/>
  <c r="Y281" i="2" s="1"/>
  <c r="W149" i="2"/>
  <c r="AE149" i="2"/>
  <c r="P149" i="2"/>
  <c r="Q149" i="2" s="1"/>
  <c r="Z149" i="2"/>
  <c r="AB149" i="2" s="1"/>
  <c r="AA287" i="2"/>
  <c r="V282" i="2"/>
  <c r="C282" i="2"/>
  <c r="B283" i="2"/>
  <c r="D281" i="2"/>
  <c r="M281" i="2"/>
  <c r="E281" i="2"/>
  <c r="F281" i="2"/>
  <c r="K280" i="2" l="1"/>
  <c r="G281" i="2"/>
  <c r="I281" i="2" s="1"/>
  <c r="H281" i="2"/>
  <c r="J281" i="2" s="1"/>
  <c r="N283" i="2"/>
  <c r="O282" i="2" s="1"/>
  <c r="X283" i="2"/>
  <c r="Y282" i="2" s="1"/>
  <c r="R150" i="2"/>
  <c r="S150" i="2"/>
  <c r="U150" i="2" s="1"/>
  <c r="L150" i="2"/>
  <c r="T150" i="2" s="1"/>
  <c r="AA288" i="2"/>
  <c r="D282" i="2"/>
  <c r="M282" i="2"/>
  <c r="E282" i="2"/>
  <c r="F282" i="2"/>
  <c r="V283" i="2"/>
  <c r="C283" i="2"/>
  <c r="B284" i="2"/>
  <c r="K281" i="2" l="1"/>
  <c r="G282" i="2"/>
  <c r="I282" i="2" s="1"/>
  <c r="H282" i="2"/>
  <c r="J282" i="2" s="1"/>
  <c r="X284" i="2"/>
  <c r="Y283" i="2" s="1"/>
  <c r="W150" i="2"/>
  <c r="AE150" i="2"/>
  <c r="N284" i="2"/>
  <c r="O283" i="2" s="1"/>
  <c r="P150" i="2"/>
  <c r="Q150" i="2" s="1"/>
  <c r="Z150" i="2"/>
  <c r="AB150" i="2" s="1"/>
  <c r="AA289" i="2"/>
  <c r="D283" i="2"/>
  <c r="M283" i="2"/>
  <c r="F283" i="2"/>
  <c r="E283" i="2"/>
  <c r="V284" i="2"/>
  <c r="B285" i="2"/>
  <c r="C284" i="2"/>
  <c r="K282" i="2" l="1"/>
  <c r="G283" i="2"/>
  <c r="I283" i="2" s="1"/>
  <c r="H283" i="2"/>
  <c r="J283" i="2" s="1"/>
  <c r="N285" i="2"/>
  <c r="O284" i="2" s="1"/>
  <c r="X285" i="2"/>
  <c r="Y284" i="2" s="1"/>
  <c r="S151" i="2"/>
  <c r="U151" i="2" s="1"/>
  <c r="R151" i="2"/>
  <c r="L151" i="2"/>
  <c r="T151" i="2" s="1"/>
  <c r="AA290" i="2"/>
  <c r="E284" i="2"/>
  <c r="G284" i="2" s="1"/>
  <c r="I284" i="2" s="1"/>
  <c r="D284" i="2"/>
  <c r="F284" i="2"/>
  <c r="M284" i="2"/>
  <c r="V285" i="2"/>
  <c r="B286" i="2"/>
  <c r="C285" i="2"/>
  <c r="K283" i="2" l="1"/>
  <c r="H284" i="2"/>
  <c r="J284" i="2" s="1"/>
  <c r="K284" i="2" s="1"/>
  <c r="N286" i="2"/>
  <c r="O285" i="2" s="1"/>
  <c r="X286" i="2"/>
  <c r="Y285" i="2" s="1"/>
  <c r="W151" i="2"/>
  <c r="AE151" i="2"/>
  <c r="Z151" i="2"/>
  <c r="AB151" i="2" s="1"/>
  <c r="P151" i="2"/>
  <c r="Q151" i="2" s="1"/>
  <c r="AA291" i="2"/>
  <c r="V286" i="2"/>
  <c r="C286" i="2"/>
  <c r="B287" i="2"/>
  <c r="F285" i="2"/>
  <c r="E285" i="2"/>
  <c r="G285" i="2" s="1"/>
  <c r="I285" i="2" s="1"/>
  <c r="M285" i="2"/>
  <c r="D285" i="2"/>
  <c r="H285" i="2" l="1"/>
  <c r="J285" i="2" s="1"/>
  <c r="K285" i="2" s="1"/>
  <c r="X287" i="2"/>
  <c r="Y286" i="2" s="1"/>
  <c r="N287" i="2"/>
  <c r="O286" i="2" s="1"/>
  <c r="R152" i="2"/>
  <c r="S152" i="2"/>
  <c r="U152" i="2" s="1"/>
  <c r="L152" i="2"/>
  <c r="T152" i="2" s="1"/>
  <c r="AA292" i="2"/>
  <c r="M286" i="2"/>
  <c r="D286" i="2"/>
  <c r="F286" i="2"/>
  <c r="E286" i="2"/>
  <c r="G286" i="2" s="1"/>
  <c r="I286" i="2" s="1"/>
  <c r="V287" i="2"/>
  <c r="C287" i="2"/>
  <c r="B288" i="2"/>
  <c r="H286" i="2" l="1"/>
  <c r="J286" i="2" s="1"/>
  <c r="K286" i="2" s="1"/>
  <c r="N288" i="2"/>
  <c r="O287" i="2" s="1"/>
  <c r="X288" i="2"/>
  <c r="Y287" i="2" s="1"/>
  <c r="W152" i="2"/>
  <c r="AE152" i="2"/>
  <c r="Z152" i="2"/>
  <c r="AB152" i="2" s="1"/>
  <c r="P152" i="2"/>
  <c r="Q152" i="2" s="1"/>
  <c r="AA293" i="2"/>
  <c r="D287" i="2"/>
  <c r="M287" i="2"/>
  <c r="F287" i="2"/>
  <c r="E287" i="2"/>
  <c r="G287" i="2" s="1"/>
  <c r="I287" i="2" s="1"/>
  <c r="V288" i="2"/>
  <c r="B289" i="2"/>
  <c r="C288" i="2"/>
  <c r="H287" i="2" l="1"/>
  <c r="J287" i="2" s="1"/>
  <c r="K287" i="2" s="1"/>
  <c r="N289" i="2"/>
  <c r="O288" i="2" s="1"/>
  <c r="X289" i="2"/>
  <c r="Y288" i="2" s="1"/>
  <c r="L153" i="2"/>
  <c r="T153" i="2" s="1"/>
  <c r="R153" i="2"/>
  <c r="S153" i="2"/>
  <c r="U153" i="2" s="1"/>
  <c r="AA294" i="2"/>
  <c r="V289" i="2"/>
  <c r="C289" i="2"/>
  <c r="B290" i="2"/>
  <c r="D288" i="2"/>
  <c r="M288" i="2"/>
  <c r="E288" i="2"/>
  <c r="G288" i="2" s="1"/>
  <c r="I288" i="2" s="1"/>
  <c r="F288" i="2"/>
  <c r="H288" i="2" l="1"/>
  <c r="J288" i="2" s="1"/>
  <c r="K288" i="2" s="1"/>
  <c r="N290" i="2"/>
  <c r="O289" i="2" s="1"/>
  <c r="X290" i="2"/>
  <c r="Y289" i="2" s="1"/>
  <c r="W153" i="2"/>
  <c r="P153" i="2"/>
  <c r="Q153" i="2" s="1"/>
  <c r="AE153" i="2"/>
  <c r="Z153" i="2"/>
  <c r="AB153" i="2" s="1"/>
  <c r="AA295" i="2"/>
  <c r="E289" i="2"/>
  <c r="G289" i="2" s="1"/>
  <c r="I289" i="2" s="1"/>
  <c r="F289" i="2"/>
  <c r="M289" i="2"/>
  <c r="D289" i="2"/>
  <c r="V290" i="2"/>
  <c r="C290" i="2"/>
  <c r="B291" i="2"/>
  <c r="H289" i="2" l="1"/>
  <c r="J289" i="2" s="1"/>
  <c r="K289" i="2" s="1"/>
  <c r="N291" i="2"/>
  <c r="O290" i="2" s="1"/>
  <c r="X291" i="2"/>
  <c r="Y290" i="2" s="1"/>
  <c r="S154" i="2"/>
  <c r="U154" i="2" s="1"/>
  <c r="L154" i="2"/>
  <c r="T154" i="2" s="1"/>
  <c r="R154" i="2"/>
  <c r="AA296" i="2"/>
  <c r="V291" i="2"/>
  <c r="B292" i="2"/>
  <c r="C291" i="2"/>
  <c r="D290" i="2"/>
  <c r="E290" i="2"/>
  <c r="G290" i="2" s="1"/>
  <c r="I290" i="2" s="1"/>
  <c r="F290" i="2"/>
  <c r="M290" i="2"/>
  <c r="H290" i="2" l="1"/>
  <c r="J290" i="2" s="1"/>
  <c r="K290" i="2" s="1"/>
  <c r="N292" i="2"/>
  <c r="O291" i="2" s="1"/>
  <c r="X292" i="2"/>
  <c r="Y291" i="2" s="1"/>
  <c r="W154" i="2"/>
  <c r="AE154" i="2"/>
  <c r="Z154" i="2"/>
  <c r="AB154" i="2" s="1"/>
  <c r="P154" i="2"/>
  <c r="Q154" i="2" s="1"/>
  <c r="AA297" i="2"/>
  <c r="F291" i="2"/>
  <c r="E291" i="2"/>
  <c r="G291" i="2" s="1"/>
  <c r="I291" i="2" s="1"/>
  <c r="D291" i="2"/>
  <c r="M291" i="2"/>
  <c r="V292" i="2"/>
  <c r="C292" i="2"/>
  <c r="B293" i="2"/>
  <c r="H291" i="2" l="1"/>
  <c r="J291" i="2" s="1"/>
  <c r="K291" i="2" s="1"/>
  <c r="X293" i="2"/>
  <c r="Y292" i="2" s="1"/>
  <c r="N293" i="2"/>
  <c r="O292" i="2" s="1"/>
  <c r="S155" i="2"/>
  <c r="U155" i="2" s="1"/>
  <c r="R155" i="2"/>
  <c r="L155" i="2"/>
  <c r="T155" i="2" s="1"/>
  <c r="AA298" i="2"/>
  <c r="V293" i="2"/>
  <c r="B294" i="2"/>
  <c r="C293" i="2"/>
  <c r="D292" i="2"/>
  <c r="M292" i="2"/>
  <c r="F292" i="2"/>
  <c r="E292" i="2"/>
  <c r="G292" i="2" s="1"/>
  <c r="I292" i="2" s="1"/>
  <c r="H292" i="2" l="1"/>
  <c r="J292" i="2" s="1"/>
  <c r="K292" i="2" s="1"/>
  <c r="N294" i="2"/>
  <c r="O293" i="2" s="1"/>
  <c r="X294" i="2"/>
  <c r="Y293" i="2" s="1"/>
  <c r="W155" i="2"/>
  <c r="AE155" i="2"/>
  <c r="P155" i="2"/>
  <c r="Q155" i="2" s="1"/>
  <c r="Z155" i="2"/>
  <c r="AB155" i="2" s="1"/>
  <c r="AA299" i="2"/>
  <c r="M293" i="2"/>
  <c r="E293" i="2"/>
  <c r="G293" i="2" s="1"/>
  <c r="I293" i="2" s="1"/>
  <c r="F293" i="2"/>
  <c r="D293" i="2"/>
  <c r="V294" i="2"/>
  <c r="B295" i="2"/>
  <c r="C294" i="2"/>
  <c r="H293" i="2" l="1"/>
  <c r="J293" i="2" s="1"/>
  <c r="K293" i="2" s="1"/>
  <c r="X295" i="2"/>
  <c r="Y294" i="2" s="1"/>
  <c r="N295" i="2"/>
  <c r="O294" i="2" s="1"/>
  <c r="S156" i="2"/>
  <c r="U156" i="2" s="1"/>
  <c r="L156" i="2"/>
  <c r="T156" i="2" s="1"/>
  <c r="R156" i="2"/>
  <c r="AA300" i="2"/>
  <c r="V295" i="2"/>
  <c r="C295" i="2"/>
  <c r="B296" i="2"/>
  <c r="F294" i="2"/>
  <c r="E294" i="2"/>
  <c r="G294" i="2" s="1"/>
  <c r="I294" i="2" s="1"/>
  <c r="D294" i="2"/>
  <c r="M294" i="2"/>
  <c r="H294" i="2" l="1"/>
  <c r="J294" i="2" s="1"/>
  <c r="K294" i="2" s="1"/>
  <c r="N296" i="2"/>
  <c r="O295" i="2" s="1"/>
  <c r="X296" i="2"/>
  <c r="Y295" i="2" s="1"/>
  <c r="W156" i="2"/>
  <c r="P156" i="2"/>
  <c r="Q156" i="2" s="1"/>
  <c r="AE156" i="2"/>
  <c r="Z156" i="2"/>
  <c r="AB156" i="2" s="1"/>
  <c r="AA301" i="2"/>
  <c r="F295" i="2"/>
  <c r="M295" i="2"/>
  <c r="E295" i="2"/>
  <c r="G295" i="2" s="1"/>
  <c r="I295" i="2" s="1"/>
  <c r="D295" i="2"/>
  <c r="V296" i="2"/>
  <c r="B297" i="2"/>
  <c r="C296" i="2"/>
  <c r="H295" i="2" l="1"/>
  <c r="J295" i="2" s="1"/>
  <c r="K295" i="2" s="1"/>
  <c r="N297" i="2"/>
  <c r="O296" i="2" s="1"/>
  <c r="X297" i="2"/>
  <c r="Y296" i="2" s="1"/>
  <c r="L157" i="2"/>
  <c r="T157" i="2" s="1"/>
  <c r="S157" i="2"/>
  <c r="U157" i="2" s="1"/>
  <c r="R157" i="2"/>
  <c r="AA302" i="2"/>
  <c r="V297" i="2"/>
  <c r="C297" i="2"/>
  <c r="B298" i="2"/>
  <c r="M296" i="2"/>
  <c r="D296" i="2"/>
  <c r="F296" i="2"/>
  <c r="E296" i="2"/>
  <c r="G296" i="2" s="1"/>
  <c r="I296" i="2" s="1"/>
  <c r="H296" i="2" l="1"/>
  <c r="J296" i="2" s="1"/>
  <c r="K296" i="2" s="1"/>
  <c r="N298" i="2"/>
  <c r="O297" i="2" s="1"/>
  <c r="X298" i="2"/>
  <c r="Y297" i="2" s="1"/>
  <c r="W157" i="2"/>
  <c r="P157" i="2"/>
  <c r="Q157" i="2" s="1"/>
  <c r="AE157" i="2"/>
  <c r="Z157" i="2"/>
  <c r="AB157" i="2" s="1"/>
  <c r="AA303" i="2"/>
  <c r="V298" i="2"/>
  <c r="B299" i="2"/>
  <c r="C298" i="2"/>
  <c r="D297" i="2"/>
  <c r="E297" i="2"/>
  <c r="G297" i="2" s="1"/>
  <c r="I297" i="2" s="1"/>
  <c r="M297" i="2"/>
  <c r="F297" i="2"/>
  <c r="H297" i="2" l="1"/>
  <c r="J297" i="2" s="1"/>
  <c r="K297" i="2" s="1"/>
  <c r="X299" i="2"/>
  <c r="Y298" i="2" s="1"/>
  <c r="N299" i="2"/>
  <c r="O298" i="2" s="1"/>
  <c r="S158" i="2"/>
  <c r="U158" i="2" s="1"/>
  <c r="R158" i="2"/>
  <c r="L158" i="2"/>
  <c r="T158" i="2" s="1"/>
  <c r="AA304" i="2"/>
  <c r="M298" i="2"/>
  <c r="E298" i="2"/>
  <c r="G298" i="2" s="1"/>
  <c r="I298" i="2" s="1"/>
  <c r="D298" i="2"/>
  <c r="F298" i="2"/>
  <c r="V299" i="2"/>
  <c r="C299" i="2"/>
  <c r="B300" i="2"/>
  <c r="H298" i="2" l="1"/>
  <c r="J298" i="2" s="1"/>
  <c r="K298" i="2" s="1"/>
  <c r="X300" i="2"/>
  <c r="Y299" i="2" s="1"/>
  <c r="W158" i="2"/>
  <c r="AE158" i="2"/>
  <c r="N300" i="2"/>
  <c r="O299" i="2" s="1"/>
  <c r="Z158" i="2"/>
  <c r="AB158" i="2" s="1"/>
  <c r="P158" i="2"/>
  <c r="Q158" i="2" s="1"/>
  <c r="AA305" i="2"/>
  <c r="V300" i="2"/>
  <c r="C300" i="2"/>
  <c r="B301" i="2"/>
  <c r="D299" i="2"/>
  <c r="F299" i="2"/>
  <c r="E299" i="2"/>
  <c r="G299" i="2" s="1"/>
  <c r="I299" i="2" s="1"/>
  <c r="M299" i="2"/>
  <c r="H299" i="2" l="1"/>
  <c r="J299" i="2" s="1"/>
  <c r="K299" i="2" s="1"/>
  <c r="N301" i="2"/>
  <c r="O300" i="2" s="1"/>
  <c r="X301" i="2"/>
  <c r="Y300" i="2" s="1"/>
  <c r="L159" i="2"/>
  <c r="T159" i="2" s="1"/>
  <c r="R159" i="2"/>
  <c r="S159" i="2"/>
  <c r="U159" i="2" s="1"/>
  <c r="AA306" i="2"/>
  <c r="V301" i="2"/>
  <c r="B302" i="2"/>
  <c r="C301" i="2"/>
  <c r="M300" i="2"/>
  <c r="E300" i="2"/>
  <c r="G300" i="2" s="1"/>
  <c r="I300" i="2" s="1"/>
  <c r="D300" i="2"/>
  <c r="F300" i="2"/>
  <c r="H300" i="2" l="1"/>
  <c r="J300" i="2" s="1"/>
  <c r="K300" i="2" s="1"/>
  <c r="N302" i="2"/>
  <c r="O301" i="2" s="1"/>
  <c r="X302" i="2"/>
  <c r="Y301" i="2" s="1"/>
  <c r="W159" i="2"/>
  <c r="P159" i="2"/>
  <c r="Q159" i="2" s="1"/>
  <c r="AE159" i="2"/>
  <c r="Z159" i="2"/>
  <c r="AB159" i="2" s="1"/>
  <c r="AA307" i="2"/>
  <c r="V302" i="2"/>
  <c r="C302" i="2"/>
  <c r="B303" i="2"/>
  <c r="F301" i="2"/>
  <c r="D301" i="2"/>
  <c r="M301" i="2"/>
  <c r="E301" i="2"/>
  <c r="G301" i="2" s="1"/>
  <c r="I301" i="2" s="1"/>
  <c r="H301" i="2" l="1"/>
  <c r="J301" i="2" s="1"/>
  <c r="K301" i="2" s="1"/>
  <c r="X303" i="2"/>
  <c r="Y302" i="2" s="1"/>
  <c r="N303" i="2"/>
  <c r="O302" i="2" s="1"/>
  <c r="L160" i="2"/>
  <c r="T160" i="2" s="1"/>
  <c r="S160" i="2"/>
  <c r="U160" i="2" s="1"/>
  <c r="R160" i="2"/>
  <c r="AA308" i="2"/>
  <c r="V303" i="2"/>
  <c r="C303" i="2"/>
  <c r="B304" i="2"/>
  <c r="M302" i="2"/>
  <c r="E302" i="2"/>
  <c r="G302" i="2" s="1"/>
  <c r="I302" i="2" s="1"/>
  <c r="D302" i="2"/>
  <c r="F302" i="2"/>
  <c r="H302" i="2" l="1"/>
  <c r="J302" i="2" s="1"/>
  <c r="K302" i="2" s="1"/>
  <c r="N304" i="2"/>
  <c r="O303" i="2" s="1"/>
  <c r="X304" i="2"/>
  <c r="Y303" i="2" s="1"/>
  <c r="W160" i="2"/>
  <c r="P160" i="2"/>
  <c r="Q160" i="2" s="1"/>
  <c r="AE160" i="2"/>
  <c r="Z160" i="2"/>
  <c r="AB160" i="2" s="1"/>
  <c r="AA309" i="2"/>
  <c r="V304" i="2"/>
  <c r="C304" i="2"/>
  <c r="B305" i="2"/>
  <c r="E303" i="2"/>
  <c r="G303" i="2" s="1"/>
  <c r="I303" i="2" s="1"/>
  <c r="D303" i="2"/>
  <c r="M303" i="2"/>
  <c r="F303" i="2"/>
  <c r="H303" i="2" l="1"/>
  <c r="J303" i="2" s="1"/>
  <c r="K303" i="2" s="1"/>
  <c r="N305" i="2"/>
  <c r="O304" i="2" s="1"/>
  <c r="X305" i="2"/>
  <c r="Y304" i="2" s="1"/>
  <c r="S161" i="2"/>
  <c r="U161" i="2" s="1"/>
  <c r="L161" i="2"/>
  <c r="T161" i="2" s="1"/>
  <c r="R161" i="2"/>
  <c r="AA310" i="2"/>
  <c r="V305" i="2"/>
  <c r="C305" i="2"/>
  <c r="B306" i="2"/>
  <c r="E304" i="2"/>
  <c r="G304" i="2" s="1"/>
  <c r="I304" i="2" s="1"/>
  <c r="D304" i="2"/>
  <c r="M304" i="2"/>
  <c r="F304" i="2"/>
  <c r="H304" i="2" l="1"/>
  <c r="J304" i="2" s="1"/>
  <c r="K304" i="2" s="1"/>
  <c r="N306" i="2"/>
  <c r="O305" i="2" s="1"/>
  <c r="X306" i="2"/>
  <c r="Y305" i="2" s="1"/>
  <c r="W161" i="2"/>
  <c r="P161" i="2"/>
  <c r="Q161" i="2" s="1"/>
  <c r="AE161" i="2"/>
  <c r="Z161" i="2"/>
  <c r="AB161" i="2" s="1"/>
  <c r="AA311" i="2"/>
  <c r="E305" i="2"/>
  <c r="G305" i="2" s="1"/>
  <c r="I305" i="2" s="1"/>
  <c r="M305" i="2"/>
  <c r="F305" i="2"/>
  <c r="D305" i="2"/>
  <c r="V306" i="2"/>
  <c r="B307" i="2"/>
  <c r="C306" i="2"/>
  <c r="H305" i="2" l="1"/>
  <c r="J305" i="2" s="1"/>
  <c r="K305" i="2" s="1"/>
  <c r="N307" i="2"/>
  <c r="O306" i="2" s="1"/>
  <c r="X307" i="2"/>
  <c r="Y306" i="2" s="1"/>
  <c r="L162" i="2"/>
  <c r="T162" i="2" s="1"/>
  <c r="S162" i="2"/>
  <c r="U162" i="2" s="1"/>
  <c r="R162" i="2"/>
  <c r="AA312" i="2"/>
  <c r="V307" i="2"/>
  <c r="B308" i="2"/>
  <c r="C307" i="2"/>
  <c r="D306" i="2"/>
  <c r="E306" i="2"/>
  <c r="G306" i="2" s="1"/>
  <c r="I306" i="2" s="1"/>
  <c r="F306" i="2"/>
  <c r="M306" i="2"/>
  <c r="H306" i="2" l="1"/>
  <c r="J306" i="2" s="1"/>
  <c r="K306" i="2" s="1"/>
  <c r="X308" i="2"/>
  <c r="Y307" i="2" s="1"/>
  <c r="W162" i="2"/>
  <c r="P162" i="2"/>
  <c r="Q162" i="2" s="1"/>
  <c r="N308" i="2"/>
  <c r="O307" i="2" s="1"/>
  <c r="AE162" i="2"/>
  <c r="Z162" i="2"/>
  <c r="AB162" i="2" s="1"/>
  <c r="AA313" i="2"/>
  <c r="V308" i="2"/>
  <c r="B309" i="2"/>
  <c r="C308" i="2"/>
  <c r="D307" i="2"/>
  <c r="E307" i="2"/>
  <c r="G307" i="2" s="1"/>
  <c r="I307" i="2" s="1"/>
  <c r="M307" i="2"/>
  <c r="F307" i="2"/>
  <c r="H307" i="2" l="1"/>
  <c r="J307" i="2" s="1"/>
  <c r="K307" i="2" s="1"/>
  <c r="N309" i="2"/>
  <c r="O308" i="2" s="1"/>
  <c r="X309" i="2"/>
  <c r="Y308" i="2" s="1"/>
  <c r="L163" i="2"/>
  <c r="T163" i="2" s="1"/>
  <c r="R163" i="2"/>
  <c r="S163" i="2"/>
  <c r="U163" i="2" s="1"/>
  <c r="AA314" i="2"/>
  <c r="D308" i="2"/>
  <c r="E308" i="2"/>
  <c r="G308" i="2" s="1"/>
  <c r="I308" i="2" s="1"/>
  <c r="M308" i="2"/>
  <c r="F308" i="2"/>
  <c r="V309" i="2"/>
  <c r="B310" i="2"/>
  <c r="C309" i="2"/>
  <c r="H308" i="2" l="1"/>
  <c r="J308" i="2" s="1"/>
  <c r="K308" i="2" s="1"/>
  <c r="N310" i="2"/>
  <c r="O309" i="2" s="1"/>
  <c r="X310" i="2"/>
  <c r="Y309" i="2" s="1"/>
  <c r="W163" i="2"/>
  <c r="P163" i="2"/>
  <c r="Q163" i="2" s="1"/>
  <c r="AE163" i="2"/>
  <c r="Z163" i="2"/>
  <c r="AB163" i="2" s="1"/>
  <c r="AA315" i="2"/>
  <c r="V310" i="2"/>
  <c r="C310" i="2"/>
  <c r="B311" i="2"/>
  <c r="M309" i="2"/>
  <c r="E309" i="2"/>
  <c r="G309" i="2" s="1"/>
  <c r="I309" i="2" s="1"/>
  <c r="D309" i="2"/>
  <c r="F309" i="2"/>
  <c r="H309" i="2" l="1"/>
  <c r="J309" i="2" s="1"/>
  <c r="K309" i="2" s="1"/>
  <c r="X311" i="2"/>
  <c r="Y310" i="2" s="1"/>
  <c r="N311" i="2"/>
  <c r="O310" i="2" s="1"/>
  <c r="S164" i="2"/>
  <c r="U164" i="2" s="1"/>
  <c r="L164" i="2"/>
  <c r="T164" i="2" s="1"/>
  <c r="R164" i="2"/>
  <c r="AA316" i="2"/>
  <c r="V311" i="2"/>
  <c r="B312" i="2"/>
  <c r="C311" i="2"/>
  <c r="D310" i="2"/>
  <c r="M310" i="2"/>
  <c r="F310" i="2"/>
  <c r="E310" i="2"/>
  <c r="G310" i="2" s="1"/>
  <c r="I310" i="2" s="1"/>
  <c r="H310" i="2" l="1"/>
  <c r="J310" i="2" s="1"/>
  <c r="K310" i="2" s="1"/>
  <c r="N312" i="2"/>
  <c r="O311" i="2" s="1"/>
  <c r="X312" i="2"/>
  <c r="Y311" i="2" s="1"/>
  <c r="W164" i="2"/>
  <c r="P164" i="2"/>
  <c r="Q164" i="2" s="1"/>
  <c r="AE164" i="2"/>
  <c r="Z164" i="2"/>
  <c r="AB164" i="2" s="1"/>
  <c r="AA317" i="2"/>
  <c r="V312" i="2"/>
  <c r="C312" i="2"/>
  <c r="B313" i="2"/>
  <c r="M311" i="2"/>
  <c r="F311" i="2"/>
  <c r="E311" i="2"/>
  <c r="G311" i="2" s="1"/>
  <c r="I311" i="2" s="1"/>
  <c r="D311" i="2"/>
  <c r="H311" i="2" l="1"/>
  <c r="J311" i="2" s="1"/>
  <c r="K311" i="2" s="1"/>
  <c r="N313" i="2"/>
  <c r="O312" i="2" s="1"/>
  <c r="X313" i="2"/>
  <c r="Y312" i="2" s="1"/>
  <c r="L165" i="2"/>
  <c r="T165" i="2" s="1"/>
  <c r="S165" i="2"/>
  <c r="U165" i="2" s="1"/>
  <c r="R165" i="2"/>
  <c r="AA318" i="2"/>
  <c r="V313" i="2"/>
  <c r="C313" i="2"/>
  <c r="B314" i="2"/>
  <c r="D312" i="2"/>
  <c r="E312" i="2"/>
  <c r="G312" i="2" s="1"/>
  <c r="I312" i="2" s="1"/>
  <c r="F312" i="2"/>
  <c r="M312" i="2"/>
  <c r="H312" i="2" l="1"/>
  <c r="J312" i="2" s="1"/>
  <c r="K312" i="2" s="1"/>
  <c r="N314" i="2"/>
  <c r="O313" i="2" s="1"/>
  <c r="X314" i="2"/>
  <c r="Y313" i="2" s="1"/>
  <c r="W165" i="2"/>
  <c r="P165" i="2"/>
  <c r="Q165" i="2" s="1"/>
  <c r="AE165" i="2"/>
  <c r="Z165" i="2"/>
  <c r="AB165" i="2" s="1"/>
  <c r="AA319" i="2"/>
  <c r="V314" i="2"/>
  <c r="C314" i="2"/>
  <c r="B315" i="2"/>
  <c r="D313" i="2"/>
  <c r="M313" i="2"/>
  <c r="F313" i="2"/>
  <c r="E313" i="2"/>
  <c r="G313" i="2" s="1"/>
  <c r="I313" i="2" s="1"/>
  <c r="H313" i="2" l="1"/>
  <c r="J313" i="2" s="1"/>
  <c r="K313" i="2" s="1"/>
  <c r="X315" i="2"/>
  <c r="Y314" i="2" s="1"/>
  <c r="N315" i="2"/>
  <c r="O314" i="2" s="1"/>
  <c r="S166" i="2"/>
  <c r="U166" i="2" s="1"/>
  <c r="R166" i="2"/>
  <c r="L166" i="2"/>
  <c r="T166" i="2" s="1"/>
  <c r="AA320" i="2"/>
  <c r="V315" i="2"/>
  <c r="C315" i="2"/>
  <c r="B316" i="2"/>
  <c r="M314" i="2"/>
  <c r="F314" i="2"/>
  <c r="E314" i="2"/>
  <c r="G314" i="2" s="1"/>
  <c r="I314" i="2" s="1"/>
  <c r="D314" i="2"/>
  <c r="H314" i="2" l="1"/>
  <c r="J314" i="2" s="1"/>
  <c r="K314" i="2" s="1"/>
  <c r="X316" i="2"/>
  <c r="Y315" i="2" s="1"/>
  <c r="W166" i="2"/>
  <c r="AE166" i="2"/>
  <c r="N316" i="2"/>
  <c r="O315" i="2" s="1"/>
  <c r="P166" i="2"/>
  <c r="Q166" i="2" s="1"/>
  <c r="Z166" i="2"/>
  <c r="AB166" i="2" s="1"/>
  <c r="AA321" i="2"/>
  <c r="V316" i="2"/>
  <c r="C316" i="2"/>
  <c r="B317" i="2"/>
  <c r="M315" i="2"/>
  <c r="E315" i="2"/>
  <c r="G315" i="2" s="1"/>
  <c r="I315" i="2" s="1"/>
  <c r="D315" i="2"/>
  <c r="F315" i="2"/>
  <c r="H315" i="2" l="1"/>
  <c r="J315" i="2" s="1"/>
  <c r="K315" i="2" s="1"/>
  <c r="X317" i="2"/>
  <c r="Y316" i="2" s="1"/>
  <c r="N317" i="2"/>
  <c r="O316" i="2" s="1"/>
  <c r="L167" i="2"/>
  <c r="T167" i="2" s="1"/>
  <c r="R167" i="2"/>
  <c r="S167" i="2"/>
  <c r="U167" i="2" s="1"/>
  <c r="AA322" i="2"/>
  <c r="V317" i="2"/>
  <c r="B318" i="2"/>
  <c r="C317" i="2"/>
  <c r="D316" i="2"/>
  <c r="F316" i="2"/>
  <c r="E316" i="2"/>
  <c r="G316" i="2" s="1"/>
  <c r="I316" i="2" s="1"/>
  <c r="M316" i="2"/>
  <c r="H316" i="2" l="1"/>
  <c r="J316" i="2" s="1"/>
  <c r="K316" i="2" s="1"/>
  <c r="N318" i="2"/>
  <c r="O317" i="2" s="1"/>
  <c r="X318" i="2"/>
  <c r="Y317" i="2" s="1"/>
  <c r="W167" i="2"/>
  <c r="P167" i="2"/>
  <c r="Q167" i="2" s="1"/>
  <c r="S168" i="2" s="1"/>
  <c r="U168" i="2" s="1"/>
  <c r="AE167" i="2"/>
  <c r="Z167" i="2"/>
  <c r="AB167" i="2" s="1"/>
  <c r="AA323" i="2"/>
  <c r="D317" i="2"/>
  <c r="F317" i="2"/>
  <c r="M317" i="2"/>
  <c r="E317" i="2"/>
  <c r="G317" i="2" s="1"/>
  <c r="I317" i="2" s="1"/>
  <c r="V318" i="2"/>
  <c r="B319" i="2"/>
  <c r="C318" i="2"/>
  <c r="H317" i="2" l="1"/>
  <c r="J317" i="2" s="1"/>
  <c r="K317" i="2" s="1"/>
  <c r="N319" i="2"/>
  <c r="O318" i="2" s="1"/>
  <c r="X319" i="2"/>
  <c r="Y318" i="2" s="1"/>
  <c r="L168" i="2"/>
  <c r="T168" i="2" s="1"/>
  <c r="AE168" i="2" s="1"/>
  <c r="R168" i="2"/>
  <c r="AA324" i="2"/>
  <c r="E318" i="2"/>
  <c r="G318" i="2" s="1"/>
  <c r="I318" i="2" s="1"/>
  <c r="M318" i="2"/>
  <c r="F318" i="2"/>
  <c r="D318" i="2"/>
  <c r="V319" i="2"/>
  <c r="B320" i="2"/>
  <c r="C319" i="2"/>
  <c r="H318" i="2" l="1"/>
  <c r="J318" i="2" s="1"/>
  <c r="K318" i="2" s="1"/>
  <c r="N320" i="2"/>
  <c r="O319" i="2" s="1"/>
  <c r="X320" i="2"/>
  <c r="Y319" i="2" s="1"/>
  <c r="W168" i="2"/>
  <c r="P168" i="2"/>
  <c r="Q168" i="2" s="1"/>
  <c r="R169" i="2" s="1"/>
  <c r="Z168" i="2"/>
  <c r="AB168" i="2" s="1"/>
  <c r="AA325" i="2"/>
  <c r="D319" i="2"/>
  <c r="M319" i="2"/>
  <c r="F319" i="2"/>
  <c r="E319" i="2"/>
  <c r="G319" i="2" s="1"/>
  <c r="I319" i="2" s="1"/>
  <c r="V320" i="2"/>
  <c r="B321" i="2"/>
  <c r="C320" i="2"/>
  <c r="H319" i="2" l="1"/>
  <c r="J319" i="2" s="1"/>
  <c r="K319" i="2" s="1"/>
  <c r="N321" i="2"/>
  <c r="O320" i="2" s="1"/>
  <c r="X321" i="2"/>
  <c r="Y320" i="2" s="1"/>
  <c r="W169" i="2"/>
  <c r="L169" i="2"/>
  <c r="T169" i="2" s="1"/>
  <c r="S169" i="2"/>
  <c r="U169" i="2" s="1"/>
  <c r="AA326" i="2"/>
  <c r="M320" i="2"/>
  <c r="E320" i="2"/>
  <c r="G320" i="2" s="1"/>
  <c r="I320" i="2" s="1"/>
  <c r="F320" i="2"/>
  <c r="D320" i="2"/>
  <c r="V321" i="2"/>
  <c r="B322" i="2"/>
  <c r="C321" i="2"/>
  <c r="H320" i="2" l="1"/>
  <c r="J320" i="2" s="1"/>
  <c r="K320" i="2" s="1"/>
  <c r="N322" i="2"/>
  <c r="O321" i="2" s="1"/>
  <c r="X322" i="2"/>
  <c r="Y321" i="2" s="1"/>
  <c r="Z169" i="2"/>
  <c r="AB169" i="2" s="1"/>
  <c r="AE169" i="2"/>
  <c r="P169" i="2"/>
  <c r="Q169" i="2" s="1"/>
  <c r="L170" i="2" s="1"/>
  <c r="T170" i="2" s="1"/>
  <c r="AA327" i="2"/>
  <c r="V322" i="2"/>
  <c r="C322" i="2"/>
  <c r="B323" i="2"/>
  <c r="D321" i="2"/>
  <c r="M321" i="2"/>
  <c r="F321" i="2"/>
  <c r="E321" i="2"/>
  <c r="G321" i="2" s="1"/>
  <c r="I321" i="2" s="1"/>
  <c r="H321" i="2" l="1"/>
  <c r="J321" i="2" s="1"/>
  <c r="K321" i="2" s="1"/>
  <c r="X323" i="2"/>
  <c r="Y322" i="2" s="1"/>
  <c r="S170" i="2"/>
  <c r="U170" i="2" s="1"/>
  <c r="R170" i="2"/>
  <c r="N323" i="2"/>
  <c r="O322" i="2" s="1"/>
  <c r="P170" i="2"/>
  <c r="Q170" i="2" s="1"/>
  <c r="AA328" i="2"/>
  <c r="V323" i="2"/>
  <c r="C323" i="2"/>
  <c r="B324" i="2"/>
  <c r="M322" i="2"/>
  <c r="E322" i="2"/>
  <c r="G322" i="2" s="1"/>
  <c r="I322" i="2" s="1"/>
  <c r="D322" i="2"/>
  <c r="F322" i="2"/>
  <c r="H322" i="2" l="1"/>
  <c r="J322" i="2" s="1"/>
  <c r="K322" i="2" s="1"/>
  <c r="N324" i="2"/>
  <c r="O323" i="2" s="1"/>
  <c r="X324" i="2"/>
  <c r="Y323" i="2" s="1"/>
  <c r="W170" i="2"/>
  <c r="AE170" i="2"/>
  <c r="Z170" i="2"/>
  <c r="AB170" i="2" s="1"/>
  <c r="R171" i="2"/>
  <c r="S171" i="2"/>
  <c r="U171" i="2" s="1"/>
  <c r="L171" i="2"/>
  <c r="T171" i="2" s="1"/>
  <c r="AA329" i="2"/>
  <c r="D323" i="2"/>
  <c r="M323" i="2"/>
  <c r="F323" i="2"/>
  <c r="E323" i="2"/>
  <c r="G323" i="2" s="1"/>
  <c r="I323" i="2" s="1"/>
  <c r="V324" i="2"/>
  <c r="B325" i="2"/>
  <c r="C324" i="2"/>
  <c r="H323" i="2" l="1"/>
  <c r="J323" i="2" s="1"/>
  <c r="K323" i="2" s="1"/>
  <c r="X325" i="2"/>
  <c r="Y324" i="2" s="1"/>
  <c r="W171" i="2"/>
  <c r="AE171" i="2"/>
  <c r="N325" i="2"/>
  <c r="O324" i="2" s="1"/>
  <c r="P171" i="2"/>
  <c r="Q171" i="2" s="1"/>
  <c r="Z171" i="2"/>
  <c r="AB171" i="2" s="1"/>
  <c r="AA330" i="2"/>
  <c r="V325" i="2"/>
  <c r="C325" i="2"/>
  <c r="B326" i="2"/>
  <c r="F324" i="2"/>
  <c r="E324" i="2"/>
  <c r="G324" i="2" s="1"/>
  <c r="I324" i="2" s="1"/>
  <c r="M324" i="2"/>
  <c r="D324" i="2"/>
  <c r="H324" i="2" l="1"/>
  <c r="J324" i="2" s="1"/>
  <c r="K324" i="2" s="1"/>
  <c r="N326" i="2"/>
  <c r="O325" i="2" s="1"/>
  <c r="X326" i="2"/>
  <c r="Y325" i="2" s="1"/>
  <c r="R172" i="2"/>
  <c r="L172" i="2"/>
  <c r="T172" i="2" s="1"/>
  <c r="S172" i="2"/>
  <c r="U172" i="2" s="1"/>
  <c r="AA331" i="2"/>
  <c r="M325" i="2"/>
  <c r="D325" i="2"/>
  <c r="E325" i="2"/>
  <c r="G325" i="2" s="1"/>
  <c r="I325" i="2" s="1"/>
  <c r="F325" i="2"/>
  <c r="V326" i="2"/>
  <c r="B327" i="2"/>
  <c r="C326" i="2"/>
  <c r="H325" i="2" l="1"/>
  <c r="J325" i="2" s="1"/>
  <c r="K325" i="2" s="1"/>
  <c r="X327" i="2"/>
  <c r="Y326" i="2" s="1"/>
  <c r="W172" i="2"/>
  <c r="N327" i="2"/>
  <c r="O326" i="2" s="1"/>
  <c r="AE172" i="2"/>
  <c r="P172" i="2"/>
  <c r="Q172" i="2" s="1"/>
  <c r="Z172" i="2"/>
  <c r="AB172" i="2" s="1"/>
  <c r="AA332" i="2"/>
  <c r="D326" i="2"/>
  <c r="F326" i="2"/>
  <c r="E326" i="2"/>
  <c r="G326" i="2" s="1"/>
  <c r="I326" i="2" s="1"/>
  <c r="M326" i="2"/>
  <c r="V327" i="2"/>
  <c r="C327" i="2"/>
  <c r="B328" i="2"/>
  <c r="H326" i="2" l="1"/>
  <c r="J326" i="2" s="1"/>
  <c r="K326" i="2" s="1"/>
  <c r="N328" i="2"/>
  <c r="O327" i="2" s="1"/>
  <c r="X328" i="2"/>
  <c r="Y327" i="2" s="1"/>
  <c r="S173" i="2"/>
  <c r="U173" i="2" s="1"/>
  <c r="L173" i="2"/>
  <c r="T173" i="2" s="1"/>
  <c r="R173" i="2"/>
  <c r="AA333" i="2"/>
  <c r="V328" i="2"/>
  <c r="C328" i="2"/>
  <c r="B329" i="2"/>
  <c r="M327" i="2"/>
  <c r="F327" i="2"/>
  <c r="E327" i="2"/>
  <c r="G327" i="2" s="1"/>
  <c r="I327" i="2" s="1"/>
  <c r="D327" i="2"/>
  <c r="H327" i="2" l="1"/>
  <c r="J327" i="2" s="1"/>
  <c r="K327" i="2" s="1"/>
  <c r="N329" i="2"/>
  <c r="O328" i="2" s="1"/>
  <c r="X329" i="2"/>
  <c r="Y328" i="2" s="1"/>
  <c r="W173" i="2"/>
  <c r="AE173" i="2"/>
  <c r="P173" i="2"/>
  <c r="Q173" i="2" s="1"/>
  <c r="S174" i="2" s="1"/>
  <c r="U174" i="2" s="1"/>
  <c r="Z173" i="2"/>
  <c r="AB173" i="2" s="1"/>
  <c r="AA334" i="2"/>
  <c r="E328" i="2"/>
  <c r="G328" i="2" s="1"/>
  <c r="I328" i="2" s="1"/>
  <c r="F328" i="2"/>
  <c r="M328" i="2"/>
  <c r="D328" i="2"/>
  <c r="V329" i="2"/>
  <c r="B330" i="2"/>
  <c r="C329" i="2"/>
  <c r="H328" i="2" l="1"/>
  <c r="J328" i="2" s="1"/>
  <c r="K328" i="2" s="1"/>
  <c r="N330" i="2"/>
  <c r="O329" i="2" s="1"/>
  <c r="X330" i="2"/>
  <c r="Y329" i="2" s="1"/>
  <c r="L174" i="2"/>
  <c r="T174" i="2" s="1"/>
  <c r="AE174" i="2" s="1"/>
  <c r="R174" i="2"/>
  <c r="AA335" i="2"/>
  <c r="V330" i="2"/>
  <c r="C330" i="2"/>
  <c r="B331" i="2"/>
  <c r="D329" i="2"/>
  <c r="M329" i="2"/>
  <c r="E329" i="2"/>
  <c r="G329" i="2" s="1"/>
  <c r="I329" i="2" s="1"/>
  <c r="F329" i="2"/>
  <c r="H329" i="2" l="1"/>
  <c r="J329" i="2" s="1"/>
  <c r="K329" i="2" s="1"/>
  <c r="X331" i="2"/>
  <c r="Y330" i="2" s="1"/>
  <c r="W174" i="2"/>
  <c r="Z174" i="2"/>
  <c r="AB174" i="2" s="1"/>
  <c r="P174" i="2"/>
  <c r="Q174" i="2" s="1"/>
  <c r="R175" i="2" s="1"/>
  <c r="N331" i="2"/>
  <c r="O330" i="2" s="1"/>
  <c r="AA336" i="2"/>
  <c r="V331" i="2"/>
  <c r="B332" i="2"/>
  <c r="C331" i="2"/>
  <c r="F330" i="2"/>
  <c r="M330" i="2"/>
  <c r="E330" i="2"/>
  <c r="G330" i="2" s="1"/>
  <c r="I330" i="2" s="1"/>
  <c r="D330" i="2"/>
  <c r="H330" i="2" l="1"/>
  <c r="J330" i="2" s="1"/>
  <c r="K330" i="2" s="1"/>
  <c r="N332" i="2"/>
  <c r="O331" i="2" s="1"/>
  <c r="X332" i="2"/>
  <c r="Y331" i="2" s="1"/>
  <c r="W175" i="2"/>
  <c r="L175" i="2"/>
  <c r="T175" i="2" s="1"/>
  <c r="S175" i="2"/>
  <c r="U175" i="2" s="1"/>
  <c r="AA337" i="2"/>
  <c r="V332" i="2"/>
  <c r="C332" i="2"/>
  <c r="B333" i="2"/>
  <c r="M331" i="2"/>
  <c r="E331" i="2"/>
  <c r="G331" i="2" s="1"/>
  <c r="I331" i="2" s="1"/>
  <c r="D331" i="2"/>
  <c r="F331" i="2"/>
  <c r="H331" i="2" l="1"/>
  <c r="J331" i="2" s="1"/>
  <c r="K331" i="2" s="1"/>
  <c r="X333" i="2"/>
  <c r="Y332" i="2" s="1"/>
  <c r="Z175" i="2"/>
  <c r="AB175" i="2" s="1"/>
  <c r="P175" i="2"/>
  <c r="Q175" i="2" s="1"/>
  <c r="R176" i="2" s="1"/>
  <c r="AE175" i="2"/>
  <c r="N333" i="2"/>
  <c r="O332" i="2" s="1"/>
  <c r="AA338" i="2"/>
  <c r="V333" i="2"/>
  <c r="C333" i="2"/>
  <c r="B334" i="2"/>
  <c r="E332" i="2"/>
  <c r="G332" i="2" s="1"/>
  <c r="I332" i="2" s="1"/>
  <c r="M332" i="2"/>
  <c r="F332" i="2"/>
  <c r="D332" i="2"/>
  <c r="H332" i="2" l="1"/>
  <c r="J332" i="2" s="1"/>
  <c r="K332" i="2" s="1"/>
  <c r="N334" i="2"/>
  <c r="O333" i="2" s="1"/>
  <c r="X334" i="2"/>
  <c r="Y333" i="2" s="1"/>
  <c r="W176" i="2"/>
  <c r="L176" i="2"/>
  <c r="T176" i="2" s="1"/>
  <c r="S176" i="2"/>
  <c r="U176" i="2" s="1"/>
  <c r="AA339" i="2"/>
  <c r="V334" i="2"/>
  <c r="B335" i="2"/>
  <c r="C334" i="2"/>
  <c r="D333" i="2"/>
  <c r="M333" i="2"/>
  <c r="F333" i="2"/>
  <c r="E333" i="2"/>
  <c r="G333" i="2" s="1"/>
  <c r="I333" i="2" s="1"/>
  <c r="H333" i="2" l="1"/>
  <c r="J333" i="2" s="1"/>
  <c r="K333" i="2" s="1"/>
  <c r="N335" i="2"/>
  <c r="O334" i="2" s="1"/>
  <c r="X335" i="2"/>
  <c r="Y334" i="2" s="1"/>
  <c r="P176" i="2"/>
  <c r="Q176" i="2" s="1"/>
  <c r="R177" i="2" s="1"/>
  <c r="Z176" i="2"/>
  <c r="AB176" i="2" s="1"/>
  <c r="AE176" i="2"/>
  <c r="AA340" i="2"/>
  <c r="V335" i="2"/>
  <c r="C335" i="2"/>
  <c r="B336" i="2"/>
  <c r="E334" i="2"/>
  <c r="G334" i="2" s="1"/>
  <c r="I334" i="2" s="1"/>
  <c r="D334" i="2"/>
  <c r="M334" i="2"/>
  <c r="F334" i="2"/>
  <c r="H334" i="2" l="1"/>
  <c r="J334" i="2" s="1"/>
  <c r="K334" i="2" s="1"/>
  <c r="N336" i="2"/>
  <c r="O335" i="2" s="1"/>
  <c r="X336" i="2"/>
  <c r="Y335" i="2" s="1"/>
  <c r="W177" i="2"/>
  <c r="L177" i="2"/>
  <c r="T177" i="2" s="1"/>
  <c r="S177" i="2"/>
  <c r="U177" i="2" s="1"/>
  <c r="AA341" i="2"/>
  <c r="V336" i="2"/>
  <c r="B337" i="2"/>
  <c r="C336" i="2"/>
  <c r="E335" i="2"/>
  <c r="G335" i="2" s="1"/>
  <c r="I335" i="2" s="1"/>
  <c r="D335" i="2"/>
  <c r="F335" i="2"/>
  <c r="M335" i="2"/>
  <c r="H335" i="2" l="1"/>
  <c r="J335" i="2" s="1"/>
  <c r="K335" i="2" s="1"/>
  <c r="N337" i="2"/>
  <c r="O336" i="2" s="1"/>
  <c r="X337" i="2"/>
  <c r="Y336" i="2" s="1"/>
  <c r="P177" i="2"/>
  <c r="Q177" i="2" s="1"/>
  <c r="S178" i="2" s="1"/>
  <c r="U178" i="2" s="1"/>
  <c r="Z177" i="2"/>
  <c r="AB177" i="2" s="1"/>
  <c r="AE177" i="2"/>
  <c r="AA342" i="2"/>
  <c r="F336" i="2"/>
  <c r="D336" i="2"/>
  <c r="M336" i="2"/>
  <c r="E336" i="2"/>
  <c r="G336" i="2" s="1"/>
  <c r="I336" i="2" s="1"/>
  <c r="V337" i="2"/>
  <c r="B338" i="2"/>
  <c r="C337" i="2"/>
  <c r="H336" i="2" l="1"/>
  <c r="J336" i="2" s="1"/>
  <c r="K336" i="2" s="1"/>
  <c r="N338" i="2"/>
  <c r="O337" i="2" s="1"/>
  <c r="X338" i="2"/>
  <c r="Y337" i="2" s="1"/>
  <c r="L178" i="2"/>
  <c r="T178" i="2" s="1"/>
  <c r="AE178" i="2" s="1"/>
  <c r="R178" i="2"/>
  <c r="AA343" i="2"/>
  <c r="M337" i="2"/>
  <c r="D337" i="2"/>
  <c r="E337" i="2"/>
  <c r="G337" i="2" s="1"/>
  <c r="I337" i="2" s="1"/>
  <c r="F337" i="2"/>
  <c r="V338" i="2"/>
  <c r="C338" i="2"/>
  <c r="B339" i="2"/>
  <c r="H337" i="2" l="1"/>
  <c r="J337" i="2" s="1"/>
  <c r="K337" i="2" s="1"/>
  <c r="N339" i="2"/>
  <c r="O338" i="2" s="1"/>
  <c r="X339" i="2"/>
  <c r="Y338" i="2" s="1"/>
  <c r="W178" i="2"/>
  <c r="Z178" i="2"/>
  <c r="AB178" i="2" s="1"/>
  <c r="P178" i="2"/>
  <c r="Q178" i="2" s="1"/>
  <c r="S179" i="2" s="1"/>
  <c r="U179" i="2" s="1"/>
  <c r="AA344" i="2"/>
  <c r="V339" i="2"/>
  <c r="B340" i="2"/>
  <c r="C339" i="2"/>
  <c r="M338" i="2"/>
  <c r="F338" i="2"/>
  <c r="D338" i="2"/>
  <c r="E338" i="2"/>
  <c r="G338" i="2" s="1"/>
  <c r="I338" i="2" s="1"/>
  <c r="H338" i="2" l="1"/>
  <c r="J338" i="2" s="1"/>
  <c r="K338" i="2" s="1"/>
  <c r="X340" i="2"/>
  <c r="Y339" i="2" s="1"/>
  <c r="R179" i="2"/>
  <c r="L179" i="2"/>
  <c r="T179" i="2" s="1"/>
  <c r="AE179" i="2" s="1"/>
  <c r="N340" i="2"/>
  <c r="O339" i="2" s="1"/>
  <c r="AA345" i="2"/>
  <c r="E339" i="2"/>
  <c r="G339" i="2" s="1"/>
  <c r="I339" i="2" s="1"/>
  <c r="D339" i="2"/>
  <c r="M339" i="2"/>
  <c r="F339" i="2"/>
  <c r="V340" i="2"/>
  <c r="B341" i="2"/>
  <c r="C340" i="2"/>
  <c r="H339" i="2" l="1"/>
  <c r="J339" i="2" s="1"/>
  <c r="K339" i="2" s="1"/>
  <c r="X341" i="2"/>
  <c r="Y340" i="2" s="1"/>
  <c r="W179" i="2"/>
  <c r="Z179" i="2"/>
  <c r="AB179" i="2" s="1"/>
  <c r="P179" i="2"/>
  <c r="Q179" i="2" s="1"/>
  <c r="R180" i="2" s="1"/>
  <c r="N341" i="2"/>
  <c r="O340" i="2" s="1"/>
  <c r="AA346" i="2"/>
  <c r="M340" i="2"/>
  <c r="F340" i="2"/>
  <c r="E340" i="2"/>
  <c r="G340" i="2" s="1"/>
  <c r="I340" i="2" s="1"/>
  <c r="D340" i="2"/>
  <c r="V341" i="2"/>
  <c r="C341" i="2"/>
  <c r="B342" i="2"/>
  <c r="H340" i="2" l="1"/>
  <c r="J340" i="2" s="1"/>
  <c r="K340" i="2" s="1"/>
  <c r="N342" i="2"/>
  <c r="O341" i="2" s="1"/>
  <c r="X342" i="2"/>
  <c r="Y341" i="2" s="1"/>
  <c r="W180" i="2"/>
  <c r="L180" i="2"/>
  <c r="T180" i="2" s="1"/>
  <c r="S180" i="2"/>
  <c r="U180" i="2" s="1"/>
  <c r="AA347" i="2"/>
  <c r="F341" i="2"/>
  <c r="D341" i="2"/>
  <c r="E341" i="2"/>
  <c r="G341" i="2" s="1"/>
  <c r="I341" i="2" s="1"/>
  <c r="M341" i="2"/>
  <c r="V342" i="2"/>
  <c r="B343" i="2"/>
  <c r="C342" i="2"/>
  <c r="H341" i="2" l="1"/>
  <c r="J341" i="2" s="1"/>
  <c r="K341" i="2" s="1"/>
  <c r="X343" i="2"/>
  <c r="Y342" i="2" s="1"/>
  <c r="P180" i="2"/>
  <c r="Q180" i="2" s="1"/>
  <c r="L181" i="2" s="1"/>
  <c r="Z180" i="2"/>
  <c r="AB180" i="2" s="1"/>
  <c r="AE180" i="2"/>
  <c r="N343" i="2"/>
  <c r="O342" i="2" s="1"/>
  <c r="AA348" i="2"/>
  <c r="V343" i="2"/>
  <c r="C343" i="2"/>
  <c r="B344" i="2"/>
  <c r="D342" i="2"/>
  <c r="M342" i="2"/>
  <c r="F342" i="2"/>
  <c r="E342" i="2"/>
  <c r="G342" i="2" s="1"/>
  <c r="I342" i="2" s="1"/>
  <c r="H342" i="2" l="1"/>
  <c r="J342" i="2" s="1"/>
  <c r="K342" i="2" s="1"/>
  <c r="N344" i="2"/>
  <c r="O343" i="2" s="1"/>
  <c r="X344" i="2"/>
  <c r="Y343" i="2" s="1"/>
  <c r="S181" i="2"/>
  <c r="U181" i="2" s="1"/>
  <c r="R181" i="2"/>
  <c r="T181" i="2"/>
  <c r="P181" i="2"/>
  <c r="Q181" i="2" s="1"/>
  <c r="AA349" i="2"/>
  <c r="V344" i="2"/>
  <c r="B345" i="2"/>
  <c r="C344" i="2"/>
  <c r="M343" i="2"/>
  <c r="E343" i="2"/>
  <c r="G343" i="2" s="1"/>
  <c r="I343" i="2" s="1"/>
  <c r="D343" i="2"/>
  <c r="F343" i="2"/>
  <c r="H343" i="2" l="1"/>
  <c r="J343" i="2" s="1"/>
  <c r="K343" i="2" s="1"/>
  <c r="N345" i="2"/>
  <c r="O344" i="2" s="1"/>
  <c r="X345" i="2"/>
  <c r="Y344" i="2" s="1"/>
  <c r="W181" i="2"/>
  <c r="AE181" i="2"/>
  <c r="Z181" i="2"/>
  <c r="AB181" i="2" s="1"/>
  <c r="R182" i="2"/>
  <c r="S182" i="2"/>
  <c r="U182" i="2" s="1"/>
  <c r="L182" i="2"/>
  <c r="T182" i="2" s="1"/>
  <c r="AA350" i="2"/>
  <c r="M344" i="2"/>
  <c r="F344" i="2"/>
  <c r="E344" i="2"/>
  <c r="G344" i="2" s="1"/>
  <c r="I344" i="2" s="1"/>
  <c r="D344" i="2"/>
  <c r="V345" i="2"/>
  <c r="B346" i="2"/>
  <c r="C345" i="2"/>
  <c r="H344" i="2" l="1"/>
  <c r="J344" i="2" s="1"/>
  <c r="K344" i="2" s="1"/>
  <c r="N346" i="2"/>
  <c r="O345" i="2" s="1"/>
  <c r="X346" i="2"/>
  <c r="Y345" i="2" s="1"/>
  <c r="W182" i="2"/>
  <c r="AE182" i="2"/>
  <c r="P182" i="2"/>
  <c r="Q182" i="2" s="1"/>
  <c r="Z182" i="2"/>
  <c r="AB182" i="2" s="1"/>
  <c r="AA351" i="2"/>
  <c r="D345" i="2"/>
  <c r="M345" i="2"/>
  <c r="E345" i="2"/>
  <c r="G345" i="2" s="1"/>
  <c r="I345" i="2" s="1"/>
  <c r="F345" i="2"/>
  <c r="V346" i="2"/>
  <c r="B347" i="2"/>
  <c r="C346" i="2"/>
  <c r="H345" i="2" l="1"/>
  <c r="J345" i="2" s="1"/>
  <c r="K345" i="2" s="1"/>
  <c r="N347" i="2"/>
  <c r="O346" i="2" s="1"/>
  <c r="X347" i="2"/>
  <c r="Y346" i="2" s="1"/>
  <c r="R183" i="2"/>
  <c r="S183" i="2"/>
  <c r="U183" i="2" s="1"/>
  <c r="L183" i="2"/>
  <c r="T183" i="2" s="1"/>
  <c r="AA352" i="2"/>
  <c r="V347" i="2"/>
  <c r="B348" i="2"/>
  <c r="C347" i="2"/>
  <c r="M346" i="2"/>
  <c r="D346" i="2"/>
  <c r="F346" i="2"/>
  <c r="E346" i="2"/>
  <c r="G346" i="2" s="1"/>
  <c r="I346" i="2" s="1"/>
  <c r="H346" i="2" l="1"/>
  <c r="J346" i="2" s="1"/>
  <c r="K346" i="2" s="1"/>
  <c r="N348" i="2"/>
  <c r="O347" i="2" s="1"/>
  <c r="X348" i="2"/>
  <c r="Y347" i="2" s="1"/>
  <c r="W183" i="2"/>
  <c r="AE183" i="2"/>
  <c r="Z183" i="2"/>
  <c r="AB183" i="2" s="1"/>
  <c r="P183" i="2"/>
  <c r="Q183" i="2" s="1"/>
  <c r="AA353" i="2"/>
  <c r="E347" i="2"/>
  <c r="G347" i="2" s="1"/>
  <c r="I347" i="2" s="1"/>
  <c r="D347" i="2"/>
  <c r="M347" i="2"/>
  <c r="F347" i="2"/>
  <c r="V348" i="2"/>
  <c r="C348" i="2"/>
  <c r="B349" i="2"/>
  <c r="H347" i="2" l="1"/>
  <c r="J347" i="2" s="1"/>
  <c r="K347" i="2" s="1"/>
  <c r="N349" i="2"/>
  <c r="O348" i="2" s="1"/>
  <c r="X349" i="2"/>
  <c r="Y348" i="2" s="1"/>
  <c r="L184" i="2"/>
  <c r="T184" i="2" s="1"/>
  <c r="R184" i="2"/>
  <c r="S184" i="2"/>
  <c r="U184" i="2" s="1"/>
  <c r="AA354" i="2"/>
  <c r="V349" i="2"/>
  <c r="B350" i="2"/>
  <c r="C349" i="2"/>
  <c r="M348" i="2"/>
  <c r="E348" i="2"/>
  <c r="G348" i="2" s="1"/>
  <c r="I348" i="2" s="1"/>
  <c r="D348" i="2"/>
  <c r="F348" i="2"/>
  <c r="H348" i="2" l="1"/>
  <c r="J348" i="2" s="1"/>
  <c r="K348" i="2" s="1"/>
  <c r="N350" i="2"/>
  <c r="O349" i="2" s="1"/>
  <c r="X350" i="2"/>
  <c r="Y349" i="2" s="1"/>
  <c r="W184" i="2"/>
  <c r="P184" i="2"/>
  <c r="Q184" i="2" s="1"/>
  <c r="AE184" i="2"/>
  <c r="Z184" i="2"/>
  <c r="AB184" i="2" s="1"/>
  <c r="AA355" i="2"/>
  <c r="D349" i="2"/>
  <c r="F349" i="2"/>
  <c r="M349" i="2"/>
  <c r="E349" i="2"/>
  <c r="G349" i="2" s="1"/>
  <c r="I349" i="2" s="1"/>
  <c r="V350" i="2"/>
  <c r="C350" i="2"/>
  <c r="B351" i="2"/>
  <c r="H349" i="2" l="1"/>
  <c r="J349" i="2" s="1"/>
  <c r="K349" i="2" s="1"/>
  <c r="X351" i="2"/>
  <c r="Y350" i="2" s="1"/>
  <c r="N351" i="2"/>
  <c r="O350" i="2" s="1"/>
  <c r="R185" i="2"/>
  <c r="S185" i="2"/>
  <c r="U185" i="2" s="1"/>
  <c r="L185" i="2"/>
  <c r="T185" i="2" s="1"/>
  <c r="AA356" i="2"/>
  <c r="V351" i="2"/>
  <c r="B352" i="2"/>
  <c r="C351" i="2"/>
  <c r="D350" i="2"/>
  <c r="M350" i="2"/>
  <c r="F350" i="2"/>
  <c r="E350" i="2"/>
  <c r="G350" i="2" s="1"/>
  <c r="I350" i="2" s="1"/>
  <c r="H350" i="2" l="1"/>
  <c r="J350" i="2" s="1"/>
  <c r="K350" i="2" s="1"/>
  <c r="N352" i="2"/>
  <c r="O351" i="2" s="1"/>
  <c r="X352" i="2"/>
  <c r="Y351" i="2" s="1"/>
  <c r="W185" i="2"/>
  <c r="AE185" i="2"/>
  <c r="P185" i="2"/>
  <c r="Q185" i="2" s="1"/>
  <c r="Z185" i="2"/>
  <c r="AB185" i="2" s="1"/>
  <c r="AA357" i="2"/>
  <c r="E351" i="2"/>
  <c r="G351" i="2" s="1"/>
  <c r="I351" i="2" s="1"/>
  <c r="D351" i="2"/>
  <c r="M351" i="2"/>
  <c r="F351" i="2"/>
  <c r="V352" i="2"/>
  <c r="B353" i="2"/>
  <c r="C352" i="2"/>
  <c r="H351" i="2" l="1"/>
  <c r="J351" i="2" s="1"/>
  <c r="K351" i="2" s="1"/>
  <c r="N353" i="2"/>
  <c r="O352" i="2" s="1"/>
  <c r="X353" i="2"/>
  <c r="Y352" i="2" s="1"/>
  <c r="R186" i="2"/>
  <c r="L186" i="2"/>
  <c r="T186" i="2" s="1"/>
  <c r="S186" i="2"/>
  <c r="U186" i="2" s="1"/>
  <c r="AA358" i="2"/>
  <c r="V353" i="2"/>
  <c r="B354" i="2"/>
  <c r="C353" i="2"/>
  <c r="D352" i="2"/>
  <c r="M352" i="2"/>
  <c r="F352" i="2"/>
  <c r="E352" i="2"/>
  <c r="G352" i="2" s="1"/>
  <c r="I352" i="2" s="1"/>
  <c r="H352" i="2" l="1"/>
  <c r="J352" i="2" s="1"/>
  <c r="K352" i="2" s="1"/>
  <c r="N354" i="2"/>
  <c r="O353" i="2" s="1"/>
  <c r="X354" i="2"/>
  <c r="Y353" i="2" s="1"/>
  <c r="W186" i="2"/>
  <c r="P186" i="2"/>
  <c r="Q186" i="2" s="1"/>
  <c r="AE186" i="2"/>
  <c r="Z186" i="2"/>
  <c r="AB186" i="2" s="1"/>
  <c r="AA359" i="2"/>
  <c r="D353" i="2"/>
  <c r="E353" i="2"/>
  <c r="G353" i="2" s="1"/>
  <c r="I353" i="2" s="1"/>
  <c r="M353" i="2"/>
  <c r="F353" i="2"/>
  <c r="V354" i="2"/>
  <c r="B355" i="2"/>
  <c r="C354" i="2"/>
  <c r="H353" i="2" l="1"/>
  <c r="J353" i="2" s="1"/>
  <c r="K353" i="2" s="1"/>
  <c r="N355" i="2"/>
  <c r="O354" i="2" s="1"/>
  <c r="X355" i="2"/>
  <c r="Y354" i="2" s="1"/>
  <c r="S187" i="2"/>
  <c r="U187" i="2" s="1"/>
  <c r="R187" i="2"/>
  <c r="L187" i="2"/>
  <c r="T187" i="2" s="1"/>
  <c r="AA360" i="2"/>
  <c r="V355" i="2"/>
  <c r="C355" i="2"/>
  <c r="B356" i="2"/>
  <c r="D354" i="2"/>
  <c r="M354" i="2"/>
  <c r="E354" i="2"/>
  <c r="G354" i="2" s="1"/>
  <c r="I354" i="2" s="1"/>
  <c r="F354" i="2"/>
  <c r="H354" i="2" l="1"/>
  <c r="J354" i="2" s="1"/>
  <c r="K354" i="2" s="1"/>
  <c r="X356" i="2"/>
  <c r="Y355" i="2" s="1"/>
  <c r="W187" i="2"/>
  <c r="P187" i="2"/>
  <c r="Q187" i="2" s="1"/>
  <c r="AE187" i="2"/>
  <c r="N356" i="2"/>
  <c r="O355" i="2" s="1"/>
  <c r="Z187" i="2"/>
  <c r="AB187" i="2" s="1"/>
  <c r="AA361" i="2"/>
  <c r="V356" i="2"/>
  <c r="C356" i="2"/>
  <c r="B357" i="2"/>
  <c r="E355" i="2"/>
  <c r="G355" i="2" s="1"/>
  <c r="I355" i="2" s="1"/>
  <c r="D355" i="2"/>
  <c r="M355" i="2"/>
  <c r="F355" i="2"/>
  <c r="H355" i="2" l="1"/>
  <c r="J355" i="2" s="1"/>
  <c r="K355" i="2" s="1"/>
  <c r="X357" i="2"/>
  <c r="Y356" i="2" s="1"/>
  <c r="N357" i="2"/>
  <c r="O356" i="2" s="1"/>
  <c r="R188" i="2"/>
  <c r="S188" i="2"/>
  <c r="U188" i="2" s="1"/>
  <c r="L188" i="2"/>
  <c r="T188" i="2" s="1"/>
  <c r="AA362" i="2"/>
  <c r="F356" i="2"/>
  <c r="M356" i="2"/>
  <c r="D356" i="2"/>
  <c r="E356" i="2"/>
  <c r="G356" i="2" s="1"/>
  <c r="I356" i="2" s="1"/>
  <c r="V357" i="2"/>
  <c r="C357" i="2"/>
  <c r="B358" i="2"/>
  <c r="H356" i="2" l="1"/>
  <c r="J356" i="2" s="1"/>
  <c r="K356" i="2" s="1"/>
  <c r="N358" i="2"/>
  <c r="O357" i="2" s="1"/>
  <c r="X358" i="2"/>
  <c r="Y357" i="2" s="1"/>
  <c r="W188" i="2"/>
  <c r="AE188" i="2"/>
  <c r="P188" i="2"/>
  <c r="Q188" i="2" s="1"/>
  <c r="Z188" i="2"/>
  <c r="AB188" i="2" s="1"/>
  <c r="AA363" i="2"/>
  <c r="V358" i="2"/>
  <c r="B359" i="2"/>
  <c r="C358" i="2"/>
  <c r="M357" i="2"/>
  <c r="E357" i="2"/>
  <c r="G357" i="2" s="1"/>
  <c r="I357" i="2" s="1"/>
  <c r="D357" i="2"/>
  <c r="F357" i="2"/>
  <c r="H357" i="2" l="1"/>
  <c r="J357" i="2" s="1"/>
  <c r="K357" i="2" s="1"/>
  <c r="X359" i="2"/>
  <c r="Y358" i="2" s="1"/>
  <c r="N359" i="2"/>
  <c r="O358" i="2" s="1"/>
  <c r="L189" i="2"/>
  <c r="T189" i="2" s="1"/>
  <c r="R189" i="2"/>
  <c r="S189" i="2"/>
  <c r="U189" i="2" s="1"/>
  <c r="AA364" i="2"/>
  <c r="V359" i="2"/>
  <c r="B360" i="2"/>
  <c r="C359" i="2"/>
  <c r="E358" i="2"/>
  <c r="G358" i="2" s="1"/>
  <c r="I358" i="2" s="1"/>
  <c r="D358" i="2"/>
  <c r="M358" i="2"/>
  <c r="F358" i="2"/>
  <c r="H358" i="2" l="1"/>
  <c r="J358" i="2" s="1"/>
  <c r="K358" i="2" s="1"/>
  <c r="N360" i="2"/>
  <c r="O359" i="2" s="1"/>
  <c r="X360" i="2"/>
  <c r="Y359" i="2" s="1"/>
  <c r="W189" i="2"/>
  <c r="P189" i="2"/>
  <c r="Q189" i="2" s="1"/>
  <c r="AE189" i="2"/>
  <c r="Z189" i="2"/>
  <c r="AB189" i="2" s="1"/>
  <c r="AA365" i="2"/>
  <c r="E359" i="2"/>
  <c r="G359" i="2" s="1"/>
  <c r="I359" i="2" s="1"/>
  <c r="D359" i="2"/>
  <c r="M359" i="2"/>
  <c r="F359" i="2"/>
  <c r="V360" i="2"/>
  <c r="C360" i="2"/>
  <c r="B361" i="2"/>
  <c r="H359" i="2" l="1"/>
  <c r="J359" i="2" s="1"/>
  <c r="K359" i="2" s="1"/>
  <c r="N361" i="2"/>
  <c r="O360" i="2" s="1"/>
  <c r="X361" i="2"/>
  <c r="Y360" i="2" s="1"/>
  <c r="R190" i="2"/>
  <c r="S190" i="2"/>
  <c r="U190" i="2" s="1"/>
  <c r="L190" i="2"/>
  <c r="T190" i="2" s="1"/>
  <c r="AA366" i="2"/>
  <c r="F360" i="2"/>
  <c r="E360" i="2"/>
  <c r="G360" i="2" s="1"/>
  <c r="I360" i="2" s="1"/>
  <c r="M360" i="2"/>
  <c r="D360" i="2"/>
  <c r="V361" i="2"/>
  <c r="B362" i="2"/>
  <c r="C361" i="2"/>
  <c r="H360" i="2" l="1"/>
  <c r="J360" i="2" s="1"/>
  <c r="K360" i="2" s="1"/>
  <c r="N362" i="2"/>
  <c r="O361" i="2" s="1"/>
  <c r="X362" i="2"/>
  <c r="Y361" i="2" s="1"/>
  <c r="W190" i="2"/>
  <c r="AE190" i="2"/>
  <c r="P190" i="2"/>
  <c r="Q190" i="2" s="1"/>
  <c r="Z190" i="2"/>
  <c r="AB190" i="2" s="1"/>
  <c r="AA367" i="2"/>
  <c r="V362" i="2"/>
  <c r="C362" i="2"/>
  <c r="B363" i="2"/>
  <c r="E361" i="2"/>
  <c r="G361" i="2" s="1"/>
  <c r="I361" i="2" s="1"/>
  <c r="F361" i="2"/>
  <c r="M361" i="2"/>
  <c r="D361" i="2"/>
  <c r="H361" i="2" l="1"/>
  <c r="J361" i="2" s="1"/>
  <c r="K361" i="2" s="1"/>
  <c r="N363" i="2"/>
  <c r="O362" i="2" s="1"/>
  <c r="X363" i="2"/>
  <c r="Y362" i="2" s="1"/>
  <c r="R191" i="2"/>
  <c r="S191" i="2"/>
  <c r="U191" i="2" s="1"/>
  <c r="L191" i="2"/>
  <c r="T191" i="2" s="1"/>
  <c r="AA368" i="2"/>
  <c r="V363" i="2"/>
  <c r="B364" i="2"/>
  <c r="C363" i="2"/>
  <c r="M362" i="2"/>
  <c r="E362" i="2"/>
  <c r="G362" i="2" s="1"/>
  <c r="I362" i="2" s="1"/>
  <c r="F362" i="2"/>
  <c r="D362" i="2"/>
  <c r="H362" i="2" l="1"/>
  <c r="J362" i="2" s="1"/>
  <c r="K362" i="2" s="1"/>
  <c r="X364" i="2"/>
  <c r="Y363" i="2" s="1"/>
  <c r="W191" i="2"/>
  <c r="AE191" i="2"/>
  <c r="N364" i="2"/>
  <c r="O363" i="2" s="1"/>
  <c r="P191" i="2"/>
  <c r="Q191" i="2" s="1"/>
  <c r="Z191" i="2"/>
  <c r="AB191" i="2" s="1"/>
  <c r="AA369" i="2"/>
  <c r="V364" i="2"/>
  <c r="B365" i="2"/>
  <c r="C364" i="2"/>
  <c r="F363" i="2"/>
  <c r="D363" i="2"/>
  <c r="M363" i="2"/>
  <c r="E363" i="2"/>
  <c r="G363" i="2" s="1"/>
  <c r="I363" i="2" s="1"/>
  <c r="H363" i="2" l="1"/>
  <c r="J363" i="2" s="1"/>
  <c r="K363" i="2" s="1"/>
  <c r="X365" i="2"/>
  <c r="Y364" i="2" s="1"/>
  <c r="N365" i="2"/>
  <c r="O364" i="2" s="1"/>
  <c r="R192" i="2"/>
  <c r="S192" i="2"/>
  <c r="U192" i="2" s="1"/>
  <c r="L192" i="2"/>
  <c r="T192" i="2" s="1"/>
  <c r="AA370" i="2"/>
  <c r="M364" i="2"/>
  <c r="F364" i="2"/>
  <c r="E364" i="2"/>
  <c r="G364" i="2" s="1"/>
  <c r="I364" i="2" s="1"/>
  <c r="D364" i="2"/>
  <c r="V365" i="2"/>
  <c r="C365" i="2"/>
  <c r="B366" i="2"/>
  <c r="H364" i="2" l="1"/>
  <c r="J364" i="2" s="1"/>
  <c r="K364" i="2" s="1"/>
  <c r="N366" i="2"/>
  <c r="O365" i="2" s="1"/>
  <c r="X366" i="2"/>
  <c r="Y365" i="2" s="1"/>
  <c r="W192" i="2"/>
  <c r="AE192" i="2"/>
  <c r="P192" i="2"/>
  <c r="Q192" i="2" s="1"/>
  <c r="Z192" i="2"/>
  <c r="AB192" i="2" s="1"/>
  <c r="AA371" i="2"/>
  <c r="V366" i="2"/>
  <c r="B367" i="2"/>
  <c r="C366" i="2"/>
  <c r="E365" i="2"/>
  <c r="G365" i="2" s="1"/>
  <c r="I365" i="2" s="1"/>
  <c r="D365" i="2"/>
  <c r="M365" i="2"/>
  <c r="F365" i="2"/>
  <c r="H365" i="2" l="1"/>
  <c r="J365" i="2" s="1"/>
  <c r="K365" i="2" s="1"/>
  <c r="X367" i="2"/>
  <c r="Y366" i="2" s="1"/>
  <c r="N367" i="2"/>
  <c r="O366" i="2" s="1"/>
  <c r="R193" i="2"/>
  <c r="L193" i="2"/>
  <c r="T193" i="2" s="1"/>
  <c r="S193" i="2"/>
  <c r="U193" i="2" s="1"/>
  <c r="AA372" i="2"/>
  <c r="E366" i="2"/>
  <c r="G366" i="2" s="1"/>
  <c r="I366" i="2" s="1"/>
  <c r="D366" i="2"/>
  <c r="M366" i="2"/>
  <c r="F366" i="2"/>
  <c r="V367" i="2"/>
  <c r="B368" i="2"/>
  <c r="C367" i="2"/>
  <c r="H366" i="2" l="1"/>
  <c r="J366" i="2" s="1"/>
  <c r="K366" i="2" s="1"/>
  <c r="N368" i="2"/>
  <c r="O367" i="2" s="1"/>
  <c r="X368" i="2"/>
  <c r="Y367" i="2" s="1"/>
  <c r="W193" i="2"/>
  <c r="AE193" i="2"/>
  <c r="Z193" i="2"/>
  <c r="AB193" i="2" s="1"/>
  <c r="P193" i="2"/>
  <c r="Q193" i="2" s="1"/>
  <c r="AA373" i="2"/>
  <c r="M367" i="2"/>
  <c r="F367" i="2"/>
  <c r="E367" i="2"/>
  <c r="G367" i="2" s="1"/>
  <c r="I367" i="2" s="1"/>
  <c r="D367" i="2"/>
  <c r="V368" i="2"/>
  <c r="B369" i="2"/>
  <c r="C368" i="2"/>
  <c r="H367" i="2" l="1"/>
  <c r="J367" i="2" s="1"/>
  <c r="K367" i="2" s="1"/>
  <c r="N369" i="2"/>
  <c r="O368" i="2" s="1"/>
  <c r="X369" i="2"/>
  <c r="Y368" i="2" s="1"/>
  <c r="R194" i="2"/>
  <c r="L194" i="2"/>
  <c r="T194" i="2" s="1"/>
  <c r="S194" i="2"/>
  <c r="U194" i="2" s="1"/>
  <c r="AA374" i="2"/>
  <c r="V369" i="2"/>
  <c r="B370" i="2"/>
  <c r="C369" i="2"/>
  <c r="D368" i="2"/>
  <c r="E368" i="2"/>
  <c r="G368" i="2" s="1"/>
  <c r="I368" i="2" s="1"/>
  <c r="M368" i="2"/>
  <c r="F368" i="2"/>
  <c r="H368" i="2" l="1"/>
  <c r="J368" i="2" s="1"/>
  <c r="K368" i="2" s="1"/>
  <c r="N370" i="2"/>
  <c r="O369" i="2" s="1"/>
  <c r="X370" i="2"/>
  <c r="Y369" i="2" s="1"/>
  <c r="W194" i="2"/>
  <c r="AE194" i="2"/>
  <c r="P194" i="2"/>
  <c r="Q194" i="2" s="1"/>
  <c r="Z194" i="2"/>
  <c r="AB194" i="2" s="1"/>
  <c r="AA375" i="2"/>
  <c r="V370" i="2"/>
  <c r="C370" i="2"/>
  <c r="B371" i="2"/>
  <c r="M369" i="2"/>
  <c r="D369" i="2"/>
  <c r="F369" i="2"/>
  <c r="E369" i="2"/>
  <c r="G369" i="2" s="1"/>
  <c r="I369" i="2" s="1"/>
  <c r="H369" i="2" l="1"/>
  <c r="J369" i="2" s="1"/>
  <c r="K369" i="2" s="1"/>
  <c r="N371" i="2"/>
  <c r="O370" i="2" s="1"/>
  <c r="X371" i="2"/>
  <c r="Y370" i="2" s="1"/>
  <c r="R195" i="2"/>
  <c r="S195" i="2"/>
  <c r="U195" i="2" s="1"/>
  <c r="L195" i="2"/>
  <c r="T195" i="2" s="1"/>
  <c r="AA376" i="2"/>
  <c r="M370" i="2"/>
  <c r="D370" i="2"/>
  <c r="E370" i="2"/>
  <c r="G370" i="2" s="1"/>
  <c r="I370" i="2" s="1"/>
  <c r="F370" i="2"/>
  <c r="V371" i="2"/>
  <c r="B372" i="2"/>
  <c r="C371" i="2"/>
  <c r="H370" i="2" l="1"/>
  <c r="J370" i="2" s="1"/>
  <c r="K370" i="2" s="1"/>
  <c r="X372" i="2"/>
  <c r="Y371" i="2" s="1"/>
  <c r="W195" i="2"/>
  <c r="AE195" i="2"/>
  <c r="N372" i="2"/>
  <c r="O371" i="2" s="1"/>
  <c r="Z195" i="2"/>
  <c r="AB195" i="2" s="1"/>
  <c r="P195" i="2"/>
  <c r="Q195" i="2" s="1"/>
  <c r="AA377" i="2"/>
  <c r="V372" i="2"/>
  <c r="B373" i="2"/>
  <c r="C372" i="2"/>
  <c r="E371" i="2"/>
  <c r="G371" i="2" s="1"/>
  <c r="I371" i="2" s="1"/>
  <c r="D371" i="2"/>
  <c r="F371" i="2"/>
  <c r="M371" i="2"/>
  <c r="H371" i="2" l="1"/>
  <c r="J371" i="2" s="1"/>
  <c r="K371" i="2" s="1"/>
  <c r="X373" i="2"/>
  <c r="Y372" i="2" s="1"/>
  <c r="N373" i="2"/>
  <c r="O372" i="2" s="1"/>
  <c r="S196" i="2"/>
  <c r="U196" i="2" s="1"/>
  <c r="R196" i="2"/>
  <c r="L196" i="2"/>
  <c r="T196" i="2" s="1"/>
  <c r="AA378" i="2"/>
  <c r="D372" i="2"/>
  <c r="M372" i="2"/>
  <c r="E372" i="2"/>
  <c r="G372" i="2" s="1"/>
  <c r="I372" i="2" s="1"/>
  <c r="F372" i="2"/>
  <c r="V373" i="2"/>
  <c r="B374" i="2"/>
  <c r="C373" i="2"/>
  <c r="H372" i="2" l="1"/>
  <c r="J372" i="2" s="1"/>
  <c r="K372" i="2" s="1"/>
  <c r="N374" i="2"/>
  <c r="O373" i="2" s="1"/>
  <c r="X374" i="2"/>
  <c r="Y373" i="2" s="1"/>
  <c r="W196" i="2"/>
  <c r="AE196" i="2"/>
  <c r="Z196" i="2"/>
  <c r="AB196" i="2" s="1"/>
  <c r="P196" i="2"/>
  <c r="Q196" i="2" s="1"/>
  <c r="AA379" i="2"/>
  <c r="D373" i="2"/>
  <c r="E373" i="2"/>
  <c r="G373" i="2" s="1"/>
  <c r="I373" i="2" s="1"/>
  <c r="M373" i="2"/>
  <c r="F373" i="2"/>
  <c r="V374" i="2"/>
  <c r="C374" i="2"/>
  <c r="B375" i="2"/>
  <c r="H373" i="2" l="1"/>
  <c r="J373" i="2" s="1"/>
  <c r="K373" i="2" s="1"/>
  <c r="N375" i="2"/>
  <c r="O374" i="2" s="1"/>
  <c r="X375" i="2"/>
  <c r="Y374" i="2" s="1"/>
  <c r="R197" i="2"/>
  <c r="S197" i="2"/>
  <c r="U197" i="2" s="1"/>
  <c r="L197" i="2"/>
  <c r="T197" i="2" s="1"/>
  <c r="AA380" i="2"/>
  <c r="F374" i="2"/>
  <c r="D374" i="2"/>
  <c r="M374" i="2"/>
  <c r="E374" i="2"/>
  <c r="G374" i="2" s="1"/>
  <c r="I374" i="2" s="1"/>
  <c r="V375" i="2"/>
  <c r="B376" i="2"/>
  <c r="C375" i="2"/>
  <c r="H374" i="2" l="1"/>
  <c r="J374" i="2" s="1"/>
  <c r="K374" i="2" s="1"/>
  <c r="N376" i="2"/>
  <c r="O375" i="2" s="1"/>
  <c r="X376" i="2"/>
  <c r="Y375" i="2" s="1"/>
  <c r="W197" i="2"/>
  <c r="AE197" i="2"/>
  <c r="P197" i="2"/>
  <c r="Q197" i="2" s="1"/>
  <c r="Z197" i="2"/>
  <c r="AB197" i="2" s="1"/>
  <c r="AA381" i="2"/>
  <c r="M375" i="2"/>
  <c r="F375" i="2"/>
  <c r="E375" i="2"/>
  <c r="G375" i="2" s="1"/>
  <c r="I375" i="2" s="1"/>
  <c r="D375" i="2"/>
  <c r="V376" i="2"/>
  <c r="B377" i="2"/>
  <c r="C376" i="2"/>
  <c r="H375" i="2" l="1"/>
  <c r="J375" i="2" s="1"/>
  <c r="K375" i="2" s="1"/>
  <c r="N377" i="2"/>
  <c r="O376" i="2" s="1"/>
  <c r="X377" i="2"/>
  <c r="Y376" i="2" s="1"/>
  <c r="R198" i="2"/>
  <c r="L198" i="2"/>
  <c r="S198" i="2"/>
  <c r="U198" i="2" s="1"/>
  <c r="AA382" i="2"/>
  <c r="V377" i="2"/>
  <c r="B378" i="2"/>
  <c r="C377" i="2"/>
  <c r="M376" i="2"/>
  <c r="F376" i="2"/>
  <c r="E376" i="2"/>
  <c r="G376" i="2" s="1"/>
  <c r="I376" i="2" s="1"/>
  <c r="D376" i="2"/>
  <c r="H376" i="2" l="1"/>
  <c r="J376" i="2" s="1"/>
  <c r="K376" i="2" s="1"/>
  <c r="N378" i="2"/>
  <c r="O377" i="2" s="1"/>
  <c r="X378" i="2"/>
  <c r="Y377" i="2" s="1"/>
  <c r="W198" i="2"/>
  <c r="T198" i="2"/>
  <c r="AE198" i="2" s="1"/>
  <c r="P198" i="2"/>
  <c r="Q198" i="2" s="1"/>
  <c r="Z198" i="2"/>
  <c r="AB198" i="2" s="1"/>
  <c r="AA383" i="2"/>
  <c r="V378" i="2"/>
  <c r="C378" i="2"/>
  <c r="B379" i="2"/>
  <c r="F377" i="2"/>
  <c r="D377" i="2"/>
  <c r="M377" i="2"/>
  <c r="E377" i="2"/>
  <c r="G377" i="2" s="1"/>
  <c r="I377" i="2" s="1"/>
  <c r="H377" i="2" l="1"/>
  <c r="J377" i="2" s="1"/>
  <c r="K377" i="2" s="1"/>
  <c r="X379" i="2"/>
  <c r="Y378" i="2" s="1"/>
  <c r="N379" i="2"/>
  <c r="O378" i="2" s="1"/>
  <c r="S199" i="2"/>
  <c r="U199" i="2" s="1"/>
  <c r="R199" i="2"/>
  <c r="L199" i="2"/>
  <c r="T199" i="2" s="1"/>
  <c r="AA384" i="2"/>
  <c r="V379" i="2"/>
  <c r="C379" i="2"/>
  <c r="B380" i="2"/>
  <c r="E378" i="2"/>
  <c r="G378" i="2" s="1"/>
  <c r="I378" i="2" s="1"/>
  <c r="F378" i="2"/>
  <c r="M378" i="2"/>
  <c r="D378" i="2"/>
  <c r="H378" i="2" l="1"/>
  <c r="J378" i="2" s="1"/>
  <c r="K378" i="2" s="1"/>
  <c r="N380" i="2"/>
  <c r="O379" i="2" s="1"/>
  <c r="X380" i="2"/>
  <c r="Y379" i="2" s="1"/>
  <c r="W199" i="2"/>
  <c r="AE199" i="2"/>
  <c r="P199" i="2"/>
  <c r="Q199" i="2" s="1"/>
  <c r="Z199" i="2"/>
  <c r="AB199" i="2" s="1"/>
  <c r="AA385" i="2"/>
  <c r="E379" i="2"/>
  <c r="G379" i="2" s="1"/>
  <c r="I379" i="2" s="1"/>
  <c r="M379" i="2"/>
  <c r="D379" i="2"/>
  <c r="F379" i="2"/>
  <c r="V380" i="2"/>
  <c r="B381" i="2"/>
  <c r="C380" i="2"/>
  <c r="H379" i="2" l="1"/>
  <c r="J379" i="2" s="1"/>
  <c r="K379" i="2" s="1"/>
  <c r="N381" i="2"/>
  <c r="O380" i="2" s="1"/>
  <c r="X381" i="2"/>
  <c r="Y380" i="2" s="1"/>
  <c r="R200" i="2"/>
  <c r="L200" i="2"/>
  <c r="T200" i="2" s="1"/>
  <c r="S200" i="2"/>
  <c r="U200" i="2" s="1"/>
  <c r="AA386" i="2"/>
  <c r="V381" i="2"/>
  <c r="C381" i="2"/>
  <c r="B382" i="2"/>
  <c r="F380" i="2"/>
  <c r="E380" i="2"/>
  <c r="G380" i="2" s="1"/>
  <c r="I380" i="2" s="1"/>
  <c r="M380" i="2"/>
  <c r="D380" i="2"/>
  <c r="H380" i="2" l="1"/>
  <c r="J380" i="2" s="1"/>
  <c r="K380" i="2" s="1"/>
  <c r="N382" i="2"/>
  <c r="O381" i="2" s="1"/>
  <c r="X382" i="2"/>
  <c r="Y381" i="2" s="1"/>
  <c r="W200" i="2"/>
  <c r="AE200" i="2"/>
  <c r="P200" i="2"/>
  <c r="Q200" i="2" s="1"/>
  <c r="Z200" i="2"/>
  <c r="AB200" i="2" s="1"/>
  <c r="AA387" i="2"/>
  <c r="V382" i="2"/>
  <c r="B383" i="2"/>
  <c r="C382" i="2"/>
  <c r="D381" i="2"/>
  <c r="E381" i="2"/>
  <c r="G381" i="2" s="1"/>
  <c r="I381" i="2" s="1"/>
  <c r="F381" i="2"/>
  <c r="M381" i="2"/>
  <c r="H381" i="2" l="1"/>
  <c r="J381" i="2" s="1"/>
  <c r="K381" i="2" s="1"/>
  <c r="N383" i="2"/>
  <c r="O382" i="2" s="1"/>
  <c r="X383" i="2"/>
  <c r="Y382" i="2" s="1"/>
  <c r="S201" i="2"/>
  <c r="U201" i="2" s="1"/>
  <c r="R201" i="2"/>
  <c r="L201" i="2"/>
  <c r="T201" i="2" s="1"/>
  <c r="AA388" i="2"/>
  <c r="F382" i="2"/>
  <c r="D382" i="2"/>
  <c r="M382" i="2"/>
  <c r="E382" i="2"/>
  <c r="G382" i="2" s="1"/>
  <c r="I382" i="2" s="1"/>
  <c r="V383" i="2"/>
  <c r="B384" i="2"/>
  <c r="C383" i="2"/>
  <c r="H382" i="2" l="1"/>
  <c r="J382" i="2" s="1"/>
  <c r="K382" i="2" s="1"/>
  <c r="N384" i="2"/>
  <c r="O383" i="2" s="1"/>
  <c r="X384" i="2"/>
  <c r="Y383" i="2" s="1"/>
  <c r="W201" i="2"/>
  <c r="AE201" i="2"/>
  <c r="Z201" i="2"/>
  <c r="AB201" i="2" s="1"/>
  <c r="P201" i="2"/>
  <c r="Q201" i="2" s="1"/>
  <c r="AA389" i="2"/>
  <c r="V384" i="2"/>
  <c r="C384" i="2"/>
  <c r="B385" i="2"/>
  <c r="E383" i="2"/>
  <c r="G383" i="2" s="1"/>
  <c r="I383" i="2" s="1"/>
  <c r="D383" i="2"/>
  <c r="M383" i="2"/>
  <c r="F383" i="2"/>
  <c r="H383" i="2" l="1"/>
  <c r="J383" i="2" s="1"/>
  <c r="K383" i="2" s="1"/>
  <c r="N385" i="2"/>
  <c r="O384" i="2" s="1"/>
  <c r="X385" i="2"/>
  <c r="Y384" i="2" s="1"/>
  <c r="R202" i="2"/>
  <c r="S202" i="2"/>
  <c r="U202" i="2" s="1"/>
  <c r="L202" i="2"/>
  <c r="T202" i="2" s="1"/>
  <c r="AA390" i="2"/>
  <c r="V385" i="2"/>
  <c r="C385" i="2"/>
  <c r="B386" i="2"/>
  <c r="M384" i="2"/>
  <c r="F384" i="2"/>
  <c r="D384" i="2"/>
  <c r="E384" i="2"/>
  <c r="G384" i="2" s="1"/>
  <c r="I384" i="2" s="1"/>
  <c r="H384" i="2" l="1"/>
  <c r="J384" i="2" s="1"/>
  <c r="K384" i="2" s="1"/>
  <c r="N386" i="2"/>
  <c r="O385" i="2" s="1"/>
  <c r="X386" i="2"/>
  <c r="Y385" i="2" s="1"/>
  <c r="W202" i="2"/>
  <c r="AE202" i="2"/>
  <c r="P202" i="2"/>
  <c r="Q202" i="2" s="1"/>
  <c r="Z202" i="2"/>
  <c r="AB202" i="2" s="1"/>
  <c r="AA391" i="2"/>
  <c r="V386" i="2"/>
  <c r="B387" i="2"/>
  <c r="C386" i="2"/>
  <c r="D385" i="2"/>
  <c r="E385" i="2"/>
  <c r="G385" i="2" s="1"/>
  <c r="I385" i="2" s="1"/>
  <c r="M385" i="2"/>
  <c r="F385" i="2"/>
  <c r="H385" i="2" l="1"/>
  <c r="J385" i="2" s="1"/>
  <c r="K385" i="2" s="1"/>
  <c r="X387" i="2"/>
  <c r="Y386" i="2" s="1"/>
  <c r="N387" i="2"/>
  <c r="O386" i="2" s="1"/>
  <c r="S203" i="2"/>
  <c r="U203" i="2" s="1"/>
  <c r="R203" i="2"/>
  <c r="L203" i="2"/>
  <c r="T203" i="2" s="1"/>
  <c r="AA392" i="2"/>
  <c r="M386" i="2"/>
  <c r="E386" i="2"/>
  <c r="G386" i="2" s="1"/>
  <c r="I386" i="2" s="1"/>
  <c r="F386" i="2"/>
  <c r="D386" i="2"/>
  <c r="V387" i="2"/>
  <c r="C387" i="2"/>
  <c r="B388" i="2"/>
  <c r="H386" i="2" l="1"/>
  <c r="J386" i="2" s="1"/>
  <c r="K386" i="2" s="1"/>
  <c r="N388" i="2"/>
  <c r="O387" i="2" s="1"/>
  <c r="X388" i="2"/>
  <c r="Y387" i="2" s="1"/>
  <c r="W203" i="2"/>
  <c r="AE203" i="2"/>
  <c r="P203" i="2"/>
  <c r="Q203" i="2" s="1"/>
  <c r="Z203" i="2"/>
  <c r="AB203" i="2" s="1"/>
  <c r="AA393" i="2"/>
  <c r="M387" i="2"/>
  <c r="F387" i="2"/>
  <c r="E387" i="2"/>
  <c r="G387" i="2" s="1"/>
  <c r="I387" i="2" s="1"/>
  <c r="D387" i="2"/>
  <c r="V388" i="2"/>
  <c r="C388" i="2"/>
  <c r="B389" i="2"/>
  <c r="H387" i="2" l="1"/>
  <c r="J387" i="2" s="1"/>
  <c r="K387" i="2" s="1"/>
  <c r="N389" i="2"/>
  <c r="O388" i="2" s="1"/>
  <c r="X389" i="2"/>
  <c r="Y388" i="2" s="1"/>
  <c r="S204" i="2"/>
  <c r="U204" i="2" s="1"/>
  <c r="R204" i="2"/>
  <c r="L204" i="2"/>
  <c r="T204" i="2" s="1"/>
  <c r="AA394" i="2"/>
  <c r="M388" i="2"/>
  <c r="E388" i="2"/>
  <c r="G388" i="2" s="1"/>
  <c r="I388" i="2" s="1"/>
  <c r="F388" i="2"/>
  <c r="D388" i="2"/>
  <c r="V389" i="2"/>
  <c r="B390" i="2"/>
  <c r="C389" i="2"/>
  <c r="H388" i="2" l="1"/>
  <c r="J388" i="2" s="1"/>
  <c r="K388" i="2" s="1"/>
  <c r="N390" i="2"/>
  <c r="O389" i="2" s="1"/>
  <c r="X390" i="2"/>
  <c r="Y389" i="2" s="1"/>
  <c r="W204" i="2"/>
  <c r="AE204" i="2"/>
  <c r="Z204" i="2"/>
  <c r="AB204" i="2" s="1"/>
  <c r="P204" i="2"/>
  <c r="Q204" i="2" s="1"/>
  <c r="AA395" i="2"/>
  <c r="V390" i="2"/>
  <c r="B391" i="2"/>
  <c r="C390" i="2"/>
  <c r="D389" i="2"/>
  <c r="E389" i="2"/>
  <c r="G389" i="2" s="1"/>
  <c r="I389" i="2" s="1"/>
  <c r="F389" i="2"/>
  <c r="M389" i="2"/>
  <c r="H389" i="2" l="1"/>
  <c r="J389" i="2" s="1"/>
  <c r="K389" i="2" s="1"/>
  <c r="X391" i="2"/>
  <c r="Y390" i="2" s="1"/>
  <c r="N391" i="2"/>
  <c r="O390" i="2" s="1"/>
  <c r="R205" i="2"/>
  <c r="S205" i="2"/>
  <c r="U205" i="2" s="1"/>
  <c r="L205" i="2"/>
  <c r="T205" i="2" s="1"/>
  <c r="AA396" i="2"/>
  <c r="F390" i="2"/>
  <c r="E390" i="2"/>
  <c r="G390" i="2" s="1"/>
  <c r="I390" i="2" s="1"/>
  <c r="M390" i="2"/>
  <c r="D390" i="2"/>
  <c r="V391" i="2"/>
  <c r="C391" i="2"/>
  <c r="B392" i="2"/>
  <c r="H390" i="2" l="1"/>
  <c r="J390" i="2" s="1"/>
  <c r="K390" i="2" s="1"/>
  <c r="N392" i="2"/>
  <c r="O391" i="2" s="1"/>
  <c r="X392" i="2"/>
  <c r="Y391" i="2" s="1"/>
  <c r="W205" i="2"/>
  <c r="AE205" i="2"/>
  <c r="P205" i="2"/>
  <c r="Q205" i="2" s="1"/>
  <c r="Z205" i="2"/>
  <c r="AB205" i="2" s="1"/>
  <c r="AA397" i="2"/>
  <c r="F391" i="2"/>
  <c r="E391" i="2"/>
  <c r="G391" i="2" s="1"/>
  <c r="I391" i="2" s="1"/>
  <c r="M391" i="2"/>
  <c r="D391" i="2"/>
  <c r="V392" i="2"/>
  <c r="B393" i="2"/>
  <c r="C392" i="2"/>
  <c r="H391" i="2" l="1"/>
  <c r="J391" i="2" s="1"/>
  <c r="K391" i="2" s="1"/>
  <c r="N393" i="2"/>
  <c r="O392" i="2" s="1"/>
  <c r="X393" i="2"/>
  <c r="Y392" i="2" s="1"/>
  <c r="L206" i="2"/>
  <c r="T206" i="2" s="1"/>
  <c r="S206" i="2"/>
  <c r="U206" i="2" s="1"/>
  <c r="R206" i="2"/>
  <c r="AA398" i="2"/>
  <c r="V393" i="2"/>
  <c r="B394" i="2"/>
  <c r="C393" i="2"/>
  <c r="F392" i="2"/>
  <c r="E392" i="2"/>
  <c r="G392" i="2" s="1"/>
  <c r="I392" i="2" s="1"/>
  <c r="M392" i="2"/>
  <c r="D392" i="2"/>
  <c r="H392" i="2" l="1"/>
  <c r="J392" i="2" s="1"/>
  <c r="K392" i="2" s="1"/>
  <c r="N394" i="2"/>
  <c r="O393" i="2" s="1"/>
  <c r="X394" i="2"/>
  <c r="Y393" i="2" s="1"/>
  <c r="W206" i="2"/>
  <c r="P206" i="2"/>
  <c r="Q206" i="2" s="1"/>
  <c r="AE206" i="2"/>
  <c r="Z206" i="2"/>
  <c r="AB206" i="2" s="1"/>
  <c r="AA399" i="2"/>
  <c r="M393" i="2"/>
  <c r="E393" i="2"/>
  <c r="G393" i="2" s="1"/>
  <c r="I393" i="2" s="1"/>
  <c r="F393" i="2"/>
  <c r="D393" i="2"/>
  <c r="V394" i="2"/>
  <c r="C394" i="2"/>
  <c r="B395" i="2"/>
  <c r="H393" i="2" l="1"/>
  <c r="J393" i="2" s="1"/>
  <c r="K393" i="2" s="1"/>
  <c r="X395" i="2"/>
  <c r="Y394" i="2" s="1"/>
  <c r="N395" i="2"/>
  <c r="O394" i="2" s="1"/>
  <c r="S207" i="2"/>
  <c r="U207" i="2" s="1"/>
  <c r="R207" i="2"/>
  <c r="L207" i="2"/>
  <c r="T207" i="2" s="1"/>
  <c r="AA400" i="2"/>
  <c r="V395" i="2"/>
  <c r="C395" i="2"/>
  <c r="B396" i="2"/>
  <c r="M394" i="2"/>
  <c r="D394" i="2"/>
  <c r="E394" i="2"/>
  <c r="G394" i="2" s="1"/>
  <c r="I394" i="2" s="1"/>
  <c r="F394" i="2"/>
  <c r="H394" i="2" l="1"/>
  <c r="J394" i="2" s="1"/>
  <c r="K394" i="2" s="1"/>
  <c r="N396" i="2"/>
  <c r="O395" i="2" s="1"/>
  <c r="X396" i="2"/>
  <c r="Y395" i="2" s="1"/>
  <c r="W207" i="2"/>
  <c r="AE207" i="2"/>
  <c r="P207" i="2"/>
  <c r="Q207" i="2" s="1"/>
  <c r="Z207" i="2"/>
  <c r="AB207" i="2" s="1"/>
  <c r="AA401" i="2"/>
  <c r="F395" i="2"/>
  <c r="D395" i="2"/>
  <c r="M395" i="2"/>
  <c r="E395" i="2"/>
  <c r="G395" i="2" s="1"/>
  <c r="I395" i="2" s="1"/>
  <c r="V396" i="2"/>
  <c r="B397" i="2"/>
  <c r="C396" i="2"/>
  <c r="H395" i="2" l="1"/>
  <c r="J395" i="2" s="1"/>
  <c r="K395" i="2" s="1"/>
  <c r="N397" i="2"/>
  <c r="O396" i="2" s="1"/>
  <c r="X397" i="2"/>
  <c r="Y396" i="2" s="1"/>
  <c r="R208" i="2"/>
  <c r="L208" i="2"/>
  <c r="T208" i="2" s="1"/>
  <c r="S208" i="2"/>
  <c r="U208" i="2" s="1"/>
  <c r="AA402" i="2"/>
  <c r="D396" i="2"/>
  <c r="M396" i="2"/>
  <c r="E396" i="2"/>
  <c r="G396" i="2" s="1"/>
  <c r="I396" i="2" s="1"/>
  <c r="F396" i="2"/>
  <c r="V397" i="2"/>
  <c r="C397" i="2"/>
  <c r="B398" i="2"/>
  <c r="H396" i="2" l="1"/>
  <c r="J396" i="2" s="1"/>
  <c r="K396" i="2" s="1"/>
  <c r="N398" i="2"/>
  <c r="O397" i="2" s="1"/>
  <c r="X398" i="2"/>
  <c r="Y397" i="2" s="1"/>
  <c r="W208" i="2"/>
  <c r="AE208" i="2"/>
  <c r="Z208" i="2"/>
  <c r="AB208" i="2" s="1"/>
  <c r="P208" i="2"/>
  <c r="Q208" i="2" s="1"/>
  <c r="AA403" i="2"/>
  <c r="V398" i="2"/>
  <c r="B399" i="2"/>
  <c r="C398" i="2"/>
  <c r="F397" i="2"/>
  <c r="D397" i="2"/>
  <c r="M397" i="2"/>
  <c r="E397" i="2"/>
  <c r="G397" i="2" s="1"/>
  <c r="I397" i="2" s="1"/>
  <c r="H397" i="2" l="1"/>
  <c r="J397" i="2" s="1"/>
  <c r="K397" i="2" s="1"/>
  <c r="X399" i="2"/>
  <c r="Y398" i="2" s="1"/>
  <c r="N399" i="2"/>
  <c r="O398" i="2" s="1"/>
  <c r="S209" i="2"/>
  <c r="U209" i="2" s="1"/>
  <c r="R209" i="2"/>
  <c r="L209" i="2"/>
  <c r="T209" i="2" s="1"/>
  <c r="AA404" i="2"/>
  <c r="V399" i="2"/>
  <c r="C399" i="2"/>
  <c r="B400" i="2"/>
  <c r="M398" i="2"/>
  <c r="E398" i="2"/>
  <c r="G398" i="2" s="1"/>
  <c r="I398" i="2" s="1"/>
  <c r="D398" i="2"/>
  <c r="F398" i="2"/>
  <c r="H398" i="2" l="1"/>
  <c r="J398" i="2" s="1"/>
  <c r="K398" i="2" s="1"/>
  <c r="N400" i="2"/>
  <c r="O399" i="2" s="1"/>
  <c r="X400" i="2"/>
  <c r="Y399" i="2" s="1"/>
  <c r="W209" i="2"/>
  <c r="AE209" i="2"/>
  <c r="P209" i="2"/>
  <c r="Q209" i="2" s="1"/>
  <c r="Z209" i="2"/>
  <c r="AB209" i="2" s="1"/>
  <c r="AA405" i="2"/>
  <c r="M399" i="2"/>
  <c r="D399" i="2"/>
  <c r="F399" i="2"/>
  <c r="E399" i="2"/>
  <c r="G399" i="2" s="1"/>
  <c r="I399" i="2" s="1"/>
  <c r="V400" i="2"/>
  <c r="C400" i="2"/>
  <c r="B401" i="2"/>
  <c r="H399" i="2" l="1"/>
  <c r="J399" i="2" s="1"/>
  <c r="K399" i="2" s="1"/>
  <c r="N401" i="2"/>
  <c r="O400" i="2" s="1"/>
  <c r="X401" i="2"/>
  <c r="Y400" i="2" s="1"/>
  <c r="L210" i="2"/>
  <c r="T210" i="2" s="1"/>
  <c r="R210" i="2"/>
  <c r="S210" i="2"/>
  <c r="U210" i="2" s="1"/>
  <c r="AA406" i="2"/>
  <c r="V401" i="2"/>
  <c r="B402" i="2"/>
  <c r="C401" i="2"/>
  <c r="D400" i="2"/>
  <c r="F400" i="2"/>
  <c r="E400" i="2"/>
  <c r="G400" i="2" s="1"/>
  <c r="I400" i="2" s="1"/>
  <c r="M400" i="2"/>
  <c r="H400" i="2" l="1"/>
  <c r="J400" i="2" s="1"/>
  <c r="K400" i="2" s="1"/>
  <c r="N402" i="2"/>
  <c r="O401" i="2" s="1"/>
  <c r="X402" i="2"/>
  <c r="Y401" i="2" s="1"/>
  <c r="W210" i="2"/>
  <c r="P210" i="2"/>
  <c r="Q210" i="2" s="1"/>
  <c r="AE210" i="2"/>
  <c r="Z210" i="2"/>
  <c r="AB210" i="2" s="1"/>
  <c r="AA407" i="2"/>
  <c r="M401" i="2"/>
  <c r="E401" i="2"/>
  <c r="G401" i="2" s="1"/>
  <c r="I401" i="2" s="1"/>
  <c r="D401" i="2"/>
  <c r="F401" i="2"/>
  <c r="V402" i="2"/>
  <c r="C402" i="2"/>
  <c r="B403" i="2"/>
  <c r="H401" i="2" l="1"/>
  <c r="J401" i="2" s="1"/>
  <c r="K401" i="2" s="1"/>
  <c r="N403" i="2"/>
  <c r="O402" i="2" s="1"/>
  <c r="X403" i="2"/>
  <c r="Y402" i="2" s="1"/>
  <c r="R211" i="2"/>
  <c r="S211" i="2"/>
  <c r="U211" i="2" s="1"/>
  <c r="L211" i="2"/>
  <c r="T211" i="2" s="1"/>
  <c r="AA408" i="2"/>
  <c r="V403" i="2"/>
  <c r="B404" i="2"/>
  <c r="C403" i="2"/>
  <c r="E402" i="2"/>
  <c r="G402" i="2" s="1"/>
  <c r="I402" i="2" s="1"/>
  <c r="M402" i="2"/>
  <c r="F402" i="2"/>
  <c r="D402" i="2"/>
  <c r="H402" i="2" l="1"/>
  <c r="J402" i="2" s="1"/>
  <c r="K402" i="2" s="1"/>
  <c r="X404" i="2"/>
  <c r="Y403" i="2" s="1"/>
  <c r="W211" i="2"/>
  <c r="AE211" i="2"/>
  <c r="N404" i="2"/>
  <c r="O403" i="2" s="1"/>
  <c r="Z211" i="2"/>
  <c r="AB211" i="2" s="1"/>
  <c r="P211" i="2"/>
  <c r="Q211" i="2" s="1"/>
  <c r="AA409" i="2"/>
  <c r="E403" i="2"/>
  <c r="G403" i="2" s="1"/>
  <c r="I403" i="2" s="1"/>
  <c r="D403" i="2"/>
  <c r="M403" i="2"/>
  <c r="F403" i="2"/>
  <c r="V404" i="2"/>
  <c r="B405" i="2"/>
  <c r="C404" i="2"/>
  <c r="H403" i="2" l="1"/>
  <c r="J403" i="2" s="1"/>
  <c r="K403" i="2" s="1"/>
  <c r="N405" i="2"/>
  <c r="O404" i="2" s="1"/>
  <c r="X405" i="2"/>
  <c r="Y404" i="2" s="1"/>
  <c r="L212" i="2"/>
  <c r="T212" i="2" s="1"/>
  <c r="S212" i="2"/>
  <c r="U212" i="2" s="1"/>
  <c r="R212" i="2"/>
  <c r="AA410" i="2"/>
  <c r="V405" i="2"/>
  <c r="B406" i="2"/>
  <c r="C405" i="2"/>
  <c r="D404" i="2"/>
  <c r="F404" i="2"/>
  <c r="E404" i="2"/>
  <c r="G404" i="2" s="1"/>
  <c r="I404" i="2" s="1"/>
  <c r="M404" i="2"/>
  <c r="H404" i="2" l="1"/>
  <c r="J404" i="2" s="1"/>
  <c r="K404" i="2" s="1"/>
  <c r="N406" i="2"/>
  <c r="O405" i="2" s="1"/>
  <c r="X406" i="2"/>
  <c r="Y405" i="2" s="1"/>
  <c r="W212" i="2"/>
  <c r="AE212" i="2"/>
  <c r="Z212" i="2"/>
  <c r="AB212" i="2" s="1"/>
  <c r="P212" i="2"/>
  <c r="Q212" i="2" s="1"/>
  <c r="AA411" i="2"/>
  <c r="V406" i="2"/>
  <c r="B407" i="2"/>
  <c r="C406" i="2"/>
  <c r="D405" i="2"/>
  <c r="F405" i="2"/>
  <c r="E405" i="2"/>
  <c r="G405" i="2" s="1"/>
  <c r="I405" i="2" s="1"/>
  <c r="M405" i="2"/>
  <c r="H405" i="2" l="1"/>
  <c r="J405" i="2" s="1"/>
  <c r="K405" i="2" s="1"/>
  <c r="X407" i="2"/>
  <c r="Y406" i="2" s="1"/>
  <c r="N407" i="2"/>
  <c r="O406" i="2" s="1"/>
  <c r="L213" i="2"/>
  <c r="T213" i="2" s="1"/>
  <c r="S213" i="2"/>
  <c r="U213" i="2" s="1"/>
  <c r="R213" i="2"/>
  <c r="AA412" i="2"/>
  <c r="V407" i="2"/>
  <c r="B408" i="2"/>
  <c r="C407" i="2"/>
  <c r="E406" i="2"/>
  <c r="G406" i="2" s="1"/>
  <c r="I406" i="2" s="1"/>
  <c r="D406" i="2"/>
  <c r="M406" i="2"/>
  <c r="F406" i="2"/>
  <c r="H406" i="2" l="1"/>
  <c r="J406" i="2" s="1"/>
  <c r="K406" i="2" s="1"/>
  <c r="N408" i="2"/>
  <c r="O407" i="2" s="1"/>
  <c r="X408" i="2"/>
  <c r="Y407" i="2" s="1"/>
  <c r="W213" i="2"/>
  <c r="AE213" i="2"/>
  <c r="Z213" i="2"/>
  <c r="AB213" i="2" s="1"/>
  <c r="P213" i="2"/>
  <c r="Q213" i="2" s="1"/>
  <c r="AA413" i="2"/>
  <c r="M407" i="2"/>
  <c r="F407" i="2"/>
  <c r="E407" i="2"/>
  <c r="G407" i="2" s="1"/>
  <c r="I407" i="2" s="1"/>
  <c r="D407" i="2"/>
  <c r="V408" i="2"/>
  <c r="B409" i="2"/>
  <c r="C408" i="2"/>
  <c r="H407" i="2" l="1"/>
  <c r="J407" i="2" s="1"/>
  <c r="K407" i="2" s="1"/>
  <c r="N409" i="2"/>
  <c r="O408" i="2" s="1"/>
  <c r="X409" i="2"/>
  <c r="Y408" i="2" s="1"/>
  <c r="R214" i="2"/>
  <c r="L214" i="2"/>
  <c r="T214" i="2" s="1"/>
  <c r="S214" i="2"/>
  <c r="U214" i="2" s="1"/>
  <c r="AA414" i="2"/>
  <c r="M408" i="2"/>
  <c r="F408" i="2"/>
  <c r="D408" i="2"/>
  <c r="E408" i="2"/>
  <c r="G408" i="2" s="1"/>
  <c r="I408" i="2" s="1"/>
  <c r="V409" i="2"/>
  <c r="B410" i="2"/>
  <c r="C409" i="2"/>
  <c r="H408" i="2" l="1"/>
  <c r="J408" i="2" s="1"/>
  <c r="K408" i="2" s="1"/>
  <c r="N410" i="2"/>
  <c r="O409" i="2" s="1"/>
  <c r="X410" i="2"/>
  <c r="Y409" i="2" s="1"/>
  <c r="W214" i="2"/>
  <c r="AE214" i="2"/>
  <c r="P214" i="2"/>
  <c r="Q214" i="2" s="1"/>
  <c r="Z214" i="2"/>
  <c r="AB214" i="2" s="1"/>
  <c r="AA415" i="2"/>
  <c r="V410" i="2"/>
  <c r="B411" i="2"/>
  <c r="C410" i="2"/>
  <c r="D409" i="2"/>
  <c r="M409" i="2"/>
  <c r="F409" i="2"/>
  <c r="E409" i="2"/>
  <c r="G409" i="2" s="1"/>
  <c r="I409" i="2" s="1"/>
  <c r="H409" i="2" l="1"/>
  <c r="J409" i="2" s="1"/>
  <c r="K409" i="2" s="1"/>
  <c r="N411" i="2"/>
  <c r="O410" i="2" s="1"/>
  <c r="X411" i="2"/>
  <c r="Y410" i="2" s="1"/>
  <c r="L215" i="2"/>
  <c r="T215" i="2" s="1"/>
  <c r="S215" i="2"/>
  <c r="U215" i="2" s="1"/>
  <c r="R215" i="2"/>
  <c r="AA416" i="2"/>
  <c r="V411" i="2"/>
  <c r="C411" i="2"/>
  <c r="B412" i="2"/>
  <c r="F410" i="2"/>
  <c r="M410" i="2"/>
  <c r="E410" i="2"/>
  <c r="G410" i="2" s="1"/>
  <c r="I410" i="2" s="1"/>
  <c r="D410" i="2"/>
  <c r="H410" i="2" l="1"/>
  <c r="J410" i="2" s="1"/>
  <c r="K410" i="2" s="1"/>
  <c r="X412" i="2"/>
  <c r="Y411" i="2" s="1"/>
  <c r="W215" i="2"/>
  <c r="N412" i="2"/>
  <c r="O411" i="2" s="1"/>
  <c r="AE215" i="2"/>
  <c r="Z215" i="2"/>
  <c r="AB215" i="2" s="1"/>
  <c r="P215" i="2"/>
  <c r="Q215" i="2" s="1"/>
  <c r="AA417" i="2"/>
  <c r="V412" i="2"/>
  <c r="C412" i="2"/>
  <c r="B413" i="2"/>
  <c r="D411" i="2"/>
  <c r="M411" i="2"/>
  <c r="F411" i="2"/>
  <c r="E411" i="2"/>
  <c r="G411" i="2" s="1"/>
  <c r="I411" i="2" s="1"/>
  <c r="H411" i="2" l="1"/>
  <c r="J411" i="2" s="1"/>
  <c r="K411" i="2" s="1"/>
  <c r="X413" i="2"/>
  <c r="Y412" i="2" s="1"/>
  <c r="N413" i="2"/>
  <c r="O412" i="2" s="1"/>
  <c r="R216" i="2"/>
  <c r="S216" i="2"/>
  <c r="U216" i="2" s="1"/>
  <c r="L216" i="2"/>
  <c r="T216" i="2" s="1"/>
  <c r="AA418" i="2"/>
  <c r="V413" i="2"/>
  <c r="C413" i="2"/>
  <c r="B414" i="2"/>
  <c r="M412" i="2"/>
  <c r="D412" i="2"/>
  <c r="E412" i="2"/>
  <c r="G412" i="2" s="1"/>
  <c r="I412" i="2" s="1"/>
  <c r="F412" i="2"/>
  <c r="H412" i="2" l="1"/>
  <c r="J412" i="2" s="1"/>
  <c r="K412" i="2" s="1"/>
  <c r="N414" i="2"/>
  <c r="O413" i="2" s="1"/>
  <c r="X414" i="2"/>
  <c r="Y413" i="2" s="1"/>
  <c r="W216" i="2"/>
  <c r="AE216" i="2"/>
  <c r="Z216" i="2"/>
  <c r="AB216" i="2" s="1"/>
  <c r="P216" i="2"/>
  <c r="Q216" i="2" s="1"/>
  <c r="AA419" i="2"/>
  <c r="V414" i="2"/>
  <c r="C414" i="2"/>
  <c r="B415" i="2"/>
  <c r="F413" i="2"/>
  <c r="M413" i="2"/>
  <c r="E413" i="2"/>
  <c r="G413" i="2" s="1"/>
  <c r="I413" i="2" s="1"/>
  <c r="D413" i="2"/>
  <c r="H413" i="2" l="1"/>
  <c r="J413" i="2" s="1"/>
  <c r="K413" i="2" s="1"/>
  <c r="X415" i="2"/>
  <c r="Y414" i="2" s="1"/>
  <c r="N415" i="2"/>
  <c r="O414" i="2" s="1"/>
  <c r="R217" i="2"/>
  <c r="L217" i="2"/>
  <c r="T217" i="2" s="1"/>
  <c r="S217" i="2"/>
  <c r="U217" i="2" s="1"/>
  <c r="V415" i="2"/>
  <c r="B416" i="2"/>
  <c r="C415" i="2"/>
  <c r="E414" i="2"/>
  <c r="G414" i="2" s="1"/>
  <c r="I414" i="2" s="1"/>
  <c r="D414" i="2"/>
  <c r="M414" i="2"/>
  <c r="F414" i="2"/>
  <c r="H414" i="2" l="1"/>
  <c r="J414" i="2" s="1"/>
  <c r="K414" i="2" s="1"/>
  <c r="N416" i="2"/>
  <c r="O415" i="2" s="1"/>
  <c r="X416" i="2"/>
  <c r="Y415" i="2" s="1"/>
  <c r="W217" i="2"/>
  <c r="P217" i="2"/>
  <c r="Q217" i="2" s="1"/>
  <c r="AE217" i="2"/>
  <c r="Z217" i="2"/>
  <c r="AB217" i="2" s="1"/>
  <c r="E415" i="2"/>
  <c r="G415" i="2" s="1"/>
  <c r="I415" i="2" s="1"/>
  <c r="M415" i="2"/>
  <c r="F415" i="2"/>
  <c r="D415" i="2"/>
  <c r="V416" i="2"/>
  <c r="C416" i="2"/>
  <c r="B417" i="2"/>
  <c r="H415" i="2" l="1"/>
  <c r="J415" i="2" s="1"/>
  <c r="K415" i="2" s="1"/>
  <c r="N417" i="2"/>
  <c r="O416" i="2" s="1"/>
  <c r="X417" i="2"/>
  <c r="Y416" i="2" s="1"/>
  <c r="R218" i="2"/>
  <c r="S218" i="2"/>
  <c r="U218" i="2" s="1"/>
  <c r="L218" i="2"/>
  <c r="T218" i="2" s="1"/>
  <c r="V417" i="2"/>
  <c r="C417" i="2"/>
  <c r="B418" i="2"/>
  <c r="D416" i="2"/>
  <c r="M416" i="2"/>
  <c r="F416" i="2"/>
  <c r="E416" i="2"/>
  <c r="G416" i="2" s="1"/>
  <c r="I416" i="2" s="1"/>
  <c r="H416" i="2" l="1"/>
  <c r="J416" i="2" s="1"/>
  <c r="K416" i="2" s="1"/>
  <c r="N418" i="2"/>
  <c r="O417" i="2" s="1"/>
  <c r="X418" i="2"/>
  <c r="Y417" i="2" s="1"/>
  <c r="W218" i="2"/>
  <c r="AE218" i="2"/>
  <c r="P218" i="2"/>
  <c r="Q218" i="2" s="1"/>
  <c r="Z218" i="2"/>
  <c r="AB218" i="2" s="1"/>
  <c r="V418" i="2"/>
  <c r="C418" i="2"/>
  <c r="B419" i="2"/>
  <c r="D417" i="2"/>
  <c r="M417" i="2"/>
  <c r="F417" i="2"/>
  <c r="E417" i="2"/>
  <c r="G417" i="2" s="1"/>
  <c r="I417" i="2" s="1"/>
  <c r="H417" i="2" l="1"/>
  <c r="J417" i="2" s="1"/>
  <c r="K417" i="2" s="1"/>
  <c r="X419" i="2"/>
  <c r="Y418" i="2" s="1"/>
  <c r="B420" i="2"/>
  <c r="N419" i="2"/>
  <c r="O418" i="2" s="1"/>
  <c r="R219" i="2"/>
  <c r="L219" i="2"/>
  <c r="T219" i="2" s="1"/>
  <c r="S219" i="2"/>
  <c r="U219" i="2" s="1"/>
  <c r="M418" i="2"/>
  <c r="E418" i="2"/>
  <c r="G418" i="2" s="1"/>
  <c r="I418" i="2" s="1"/>
  <c r="F418" i="2"/>
  <c r="D418" i="2"/>
  <c r="V419" i="2"/>
  <c r="C419" i="2"/>
  <c r="H418" i="2" l="1"/>
  <c r="J418" i="2" s="1"/>
  <c r="K418" i="2" s="1"/>
  <c r="X420" i="2"/>
  <c r="Y419" i="2" s="1"/>
  <c r="W219" i="2"/>
  <c r="V420" i="2"/>
  <c r="B421" i="2"/>
  <c r="C420" i="2"/>
  <c r="N420" i="2"/>
  <c r="O419" i="2" s="1"/>
  <c r="AE219" i="2"/>
  <c r="Z219" i="2"/>
  <c r="AB219" i="2" s="1"/>
  <c r="P219" i="2"/>
  <c r="Q219" i="2" s="1"/>
  <c r="E419" i="2"/>
  <c r="G419" i="2" s="1"/>
  <c r="I419" i="2" s="1"/>
  <c r="D419" i="2"/>
  <c r="M419" i="2"/>
  <c r="F419" i="2"/>
  <c r="H419" i="2" l="1"/>
  <c r="J419" i="2" s="1"/>
  <c r="K419" i="2" s="1"/>
  <c r="X421" i="2"/>
  <c r="Y420" i="2" s="1"/>
  <c r="D420" i="2"/>
  <c r="M420" i="2"/>
  <c r="F420" i="2"/>
  <c r="E420" i="2"/>
  <c r="G420" i="2" s="1"/>
  <c r="I420" i="2" s="1"/>
  <c r="V421" i="2"/>
  <c r="B422" i="2"/>
  <c r="C421" i="2"/>
  <c r="N421" i="2"/>
  <c r="O420" i="2" s="1"/>
  <c r="L220" i="2"/>
  <c r="T220" i="2" s="1"/>
  <c r="R220" i="2"/>
  <c r="S220" i="2"/>
  <c r="U220" i="2" s="1"/>
  <c r="H420" i="2" l="1"/>
  <c r="J420" i="2" s="1"/>
  <c r="K420" i="2" s="1"/>
  <c r="X422" i="2"/>
  <c r="Y421" i="2" s="1"/>
  <c r="W220" i="2"/>
  <c r="P220" i="2"/>
  <c r="Q220" i="2" s="1"/>
  <c r="D421" i="2"/>
  <c r="M421" i="2"/>
  <c r="F421" i="2"/>
  <c r="E421" i="2"/>
  <c r="G421" i="2" s="1"/>
  <c r="I421" i="2" s="1"/>
  <c r="B423" i="2"/>
  <c r="C422" i="2"/>
  <c r="V422" i="2"/>
  <c r="N422" i="2"/>
  <c r="O421" i="2" s="1"/>
  <c r="AE220" i="2"/>
  <c r="Z220" i="2"/>
  <c r="AB220" i="2" s="1"/>
  <c r="H421" i="2" l="1"/>
  <c r="J421" i="2" s="1"/>
  <c r="K421" i="2" s="1"/>
  <c r="X423" i="2"/>
  <c r="Y422" i="2" s="1"/>
  <c r="B424" i="2"/>
  <c r="V423" i="2"/>
  <c r="C423" i="2"/>
  <c r="N423" i="2"/>
  <c r="O422" i="2" s="1"/>
  <c r="D422" i="2"/>
  <c r="E422" i="2"/>
  <c r="G422" i="2" s="1"/>
  <c r="I422" i="2" s="1"/>
  <c r="F422" i="2"/>
  <c r="M422" i="2"/>
  <c r="S221" i="2"/>
  <c r="U221" i="2" s="1"/>
  <c r="R221" i="2"/>
  <c r="L221" i="2"/>
  <c r="T221" i="2" s="1"/>
  <c r="H422" i="2" l="1"/>
  <c r="J422" i="2" s="1"/>
  <c r="K422" i="2" s="1"/>
  <c r="X424" i="2"/>
  <c r="Y423" i="2" s="1"/>
  <c r="W221" i="2"/>
  <c r="AE221" i="2"/>
  <c r="D423" i="2"/>
  <c r="E423" i="2"/>
  <c r="G423" i="2" s="1"/>
  <c r="I423" i="2" s="1"/>
  <c r="F423" i="2"/>
  <c r="M423" i="2"/>
  <c r="B425" i="2"/>
  <c r="C424" i="2"/>
  <c r="V424" i="2"/>
  <c r="N424" i="2"/>
  <c r="O423" i="2" s="1"/>
  <c r="P221" i="2"/>
  <c r="Q221" i="2" s="1"/>
  <c r="Z221" i="2"/>
  <c r="AB221" i="2" s="1"/>
  <c r="H423" i="2" l="1"/>
  <c r="J423" i="2" s="1"/>
  <c r="K423" i="2" s="1"/>
  <c r="X425" i="2"/>
  <c r="Y424" i="2" s="1"/>
  <c r="B426" i="2"/>
  <c r="V425" i="2"/>
  <c r="C425" i="2"/>
  <c r="N425" i="2"/>
  <c r="O424" i="2" s="1"/>
  <c r="F424" i="2"/>
  <c r="D424" i="2"/>
  <c r="E424" i="2"/>
  <c r="G424" i="2" s="1"/>
  <c r="I424" i="2" s="1"/>
  <c r="M424" i="2"/>
  <c r="S222" i="2"/>
  <c r="U222" i="2" s="1"/>
  <c r="R222" i="2"/>
  <c r="L222" i="2"/>
  <c r="T222" i="2" s="1"/>
  <c r="H424" i="2" l="1"/>
  <c r="J424" i="2" s="1"/>
  <c r="K424" i="2" s="1"/>
  <c r="X426" i="2"/>
  <c r="Y425" i="2" s="1"/>
  <c r="W222" i="2"/>
  <c r="AE222" i="2"/>
  <c r="B427" i="2"/>
  <c r="C426" i="2"/>
  <c r="V426" i="2"/>
  <c r="N426" i="2"/>
  <c r="O425" i="2" s="1"/>
  <c r="M425" i="2"/>
  <c r="E425" i="2"/>
  <c r="G425" i="2" s="1"/>
  <c r="I425" i="2" s="1"/>
  <c r="D425" i="2"/>
  <c r="F425" i="2"/>
  <c r="P222" i="2"/>
  <c r="Q222" i="2" s="1"/>
  <c r="Z222" i="2"/>
  <c r="AB222" i="2" s="1"/>
  <c r="H425" i="2" l="1"/>
  <c r="J425" i="2" s="1"/>
  <c r="K425" i="2" s="1"/>
  <c r="X427" i="2"/>
  <c r="Y426" i="2" s="1"/>
  <c r="E426" i="2"/>
  <c r="G426" i="2" s="1"/>
  <c r="I426" i="2" s="1"/>
  <c r="M426" i="2"/>
  <c r="F426" i="2"/>
  <c r="D426" i="2"/>
  <c r="B428" i="2"/>
  <c r="C427" i="2"/>
  <c r="V427" i="2"/>
  <c r="N427" i="2"/>
  <c r="O426" i="2" s="1"/>
  <c r="L223" i="2"/>
  <c r="T223" i="2" s="1"/>
  <c r="R223" i="2"/>
  <c r="S223" i="2"/>
  <c r="U223" i="2" s="1"/>
  <c r="H426" i="2" l="1"/>
  <c r="J426" i="2" s="1"/>
  <c r="K426" i="2" s="1"/>
  <c r="X428" i="2"/>
  <c r="Y427" i="2" s="1"/>
  <c r="W223" i="2"/>
  <c r="F427" i="2"/>
  <c r="M427" i="2"/>
  <c r="D427" i="2"/>
  <c r="E427" i="2"/>
  <c r="G427" i="2" s="1"/>
  <c r="I427" i="2" s="1"/>
  <c r="B429" i="2"/>
  <c r="C428" i="2"/>
  <c r="V428" i="2"/>
  <c r="N428" i="2"/>
  <c r="O427" i="2" s="1"/>
  <c r="AE223" i="2"/>
  <c r="Z223" i="2"/>
  <c r="AB223" i="2" s="1"/>
  <c r="P223" i="2"/>
  <c r="Q223" i="2" s="1"/>
  <c r="H427" i="2" l="1"/>
  <c r="J427" i="2" s="1"/>
  <c r="K427" i="2" s="1"/>
  <c r="X429" i="2"/>
  <c r="Y428" i="2" s="1"/>
  <c r="D428" i="2"/>
  <c r="M428" i="2"/>
  <c r="E428" i="2"/>
  <c r="G428" i="2" s="1"/>
  <c r="I428" i="2" s="1"/>
  <c r="F428" i="2"/>
  <c r="B430" i="2"/>
  <c r="C429" i="2"/>
  <c r="V429" i="2"/>
  <c r="N429" i="2"/>
  <c r="O428" i="2" s="1"/>
  <c r="R224" i="2"/>
  <c r="S224" i="2"/>
  <c r="U224" i="2" s="1"/>
  <c r="L224" i="2"/>
  <c r="T224" i="2" s="1"/>
  <c r="H428" i="2" l="1"/>
  <c r="J428" i="2" s="1"/>
  <c r="K428" i="2" s="1"/>
  <c r="X430" i="2"/>
  <c r="Y429" i="2" s="1"/>
  <c r="W224" i="2"/>
  <c r="AE224" i="2"/>
  <c r="B431" i="2"/>
  <c r="C430" i="2"/>
  <c r="V430" i="2"/>
  <c r="N430" i="2"/>
  <c r="O429" i="2" s="1"/>
  <c r="D429" i="2"/>
  <c r="M429" i="2"/>
  <c r="E429" i="2"/>
  <c r="G429" i="2" s="1"/>
  <c r="I429" i="2" s="1"/>
  <c r="F429" i="2"/>
  <c r="P224" i="2"/>
  <c r="Q224" i="2" s="1"/>
  <c r="Z224" i="2"/>
  <c r="AB224" i="2" s="1"/>
  <c r="H429" i="2" l="1"/>
  <c r="J429" i="2" s="1"/>
  <c r="K429" i="2" s="1"/>
  <c r="X431" i="2"/>
  <c r="Y430" i="2" s="1"/>
  <c r="D430" i="2"/>
  <c r="E430" i="2"/>
  <c r="G430" i="2" s="1"/>
  <c r="I430" i="2" s="1"/>
  <c r="F430" i="2"/>
  <c r="M430" i="2"/>
  <c r="B432" i="2"/>
  <c r="C431" i="2"/>
  <c r="V431" i="2"/>
  <c r="N431" i="2"/>
  <c r="O430" i="2" s="1"/>
  <c r="L225" i="2"/>
  <c r="T225" i="2" s="1"/>
  <c r="R225" i="2"/>
  <c r="S225" i="2"/>
  <c r="U225" i="2" s="1"/>
  <c r="H430" i="2" l="1"/>
  <c r="J430" i="2" s="1"/>
  <c r="K430" i="2" s="1"/>
  <c r="X432" i="2"/>
  <c r="Y431" i="2" s="1"/>
  <c r="W225" i="2"/>
  <c r="B433" i="2"/>
  <c r="C432" i="2"/>
  <c r="V432" i="2"/>
  <c r="N432" i="2"/>
  <c r="O431" i="2" s="1"/>
  <c r="M431" i="2"/>
  <c r="F431" i="2"/>
  <c r="E431" i="2"/>
  <c r="G431" i="2" s="1"/>
  <c r="I431" i="2" s="1"/>
  <c r="D431" i="2"/>
  <c r="AE225" i="2"/>
  <c r="Z225" i="2"/>
  <c r="AB225" i="2" s="1"/>
  <c r="P225" i="2"/>
  <c r="Q225" i="2" s="1"/>
  <c r="H431" i="2" l="1"/>
  <c r="J431" i="2" s="1"/>
  <c r="K431" i="2" s="1"/>
  <c r="X433" i="2"/>
  <c r="Y432" i="2" s="1"/>
  <c r="D432" i="2"/>
  <c r="E432" i="2"/>
  <c r="G432" i="2" s="1"/>
  <c r="I432" i="2" s="1"/>
  <c r="F432" i="2"/>
  <c r="M432" i="2"/>
  <c r="B434" i="2"/>
  <c r="C433" i="2"/>
  <c r="V433" i="2"/>
  <c r="N433" i="2"/>
  <c r="O432" i="2" s="1"/>
  <c r="R226" i="2"/>
  <c r="L226" i="2"/>
  <c r="T226" i="2" s="1"/>
  <c r="S226" i="2"/>
  <c r="U226" i="2" s="1"/>
  <c r="H432" i="2" l="1"/>
  <c r="J432" i="2" s="1"/>
  <c r="K432" i="2" s="1"/>
  <c r="X434" i="2"/>
  <c r="Y433" i="2" s="1"/>
  <c r="W226" i="2"/>
  <c r="M433" i="2"/>
  <c r="F433" i="2"/>
  <c r="D433" i="2"/>
  <c r="E433" i="2"/>
  <c r="G433" i="2" s="1"/>
  <c r="I433" i="2" s="1"/>
  <c r="B435" i="2"/>
  <c r="C434" i="2"/>
  <c r="V434" i="2"/>
  <c r="N434" i="2"/>
  <c r="O433" i="2" s="1"/>
  <c r="AE226" i="2"/>
  <c r="Z226" i="2"/>
  <c r="AB226" i="2" s="1"/>
  <c r="P226" i="2"/>
  <c r="Q226" i="2" s="1"/>
  <c r="H433" i="2" l="1"/>
  <c r="J433" i="2" s="1"/>
  <c r="K433" i="2" s="1"/>
  <c r="X435" i="2"/>
  <c r="Y434" i="2" s="1"/>
  <c r="B436" i="2"/>
  <c r="V435" i="2"/>
  <c r="C435" i="2"/>
  <c r="N435" i="2"/>
  <c r="O434" i="2" s="1"/>
  <c r="F434" i="2"/>
  <c r="E434" i="2"/>
  <c r="G434" i="2" s="1"/>
  <c r="I434" i="2" s="1"/>
  <c r="D434" i="2"/>
  <c r="M434" i="2"/>
  <c r="S227" i="2"/>
  <c r="U227" i="2" s="1"/>
  <c r="R227" i="2"/>
  <c r="L227" i="2"/>
  <c r="T227" i="2" s="1"/>
  <c r="H434" i="2" l="1"/>
  <c r="J434" i="2" s="1"/>
  <c r="K434" i="2" s="1"/>
  <c r="X436" i="2"/>
  <c r="Y435" i="2" s="1"/>
  <c r="W227" i="2"/>
  <c r="AE227" i="2"/>
  <c r="D435" i="2"/>
  <c r="E435" i="2"/>
  <c r="G435" i="2" s="1"/>
  <c r="I435" i="2" s="1"/>
  <c r="M435" i="2"/>
  <c r="F435" i="2"/>
  <c r="B437" i="2"/>
  <c r="C436" i="2"/>
  <c r="V436" i="2"/>
  <c r="N436" i="2"/>
  <c r="O435" i="2" s="1"/>
  <c r="P227" i="2"/>
  <c r="Q227" i="2" s="1"/>
  <c r="Z227" i="2"/>
  <c r="AB227" i="2" s="1"/>
  <c r="H435" i="2" l="1"/>
  <c r="J435" i="2" s="1"/>
  <c r="K435" i="2" s="1"/>
  <c r="X437" i="2"/>
  <c r="Y436" i="2" s="1"/>
  <c r="E436" i="2"/>
  <c r="G436" i="2" s="1"/>
  <c r="I436" i="2" s="1"/>
  <c r="F436" i="2"/>
  <c r="D436" i="2"/>
  <c r="M436" i="2"/>
  <c r="B438" i="2"/>
  <c r="C437" i="2"/>
  <c r="V437" i="2"/>
  <c r="N437" i="2"/>
  <c r="O436" i="2" s="1"/>
  <c r="S228" i="2"/>
  <c r="U228" i="2" s="1"/>
  <c r="R228" i="2"/>
  <c r="L228" i="2"/>
  <c r="T228" i="2" s="1"/>
  <c r="H436" i="2" l="1"/>
  <c r="J436" i="2" s="1"/>
  <c r="K436" i="2" s="1"/>
  <c r="X438" i="2"/>
  <c r="Y437" i="2" s="1"/>
  <c r="W228" i="2"/>
  <c r="AE228" i="2"/>
  <c r="P228" i="2"/>
  <c r="Q228" i="2" s="1"/>
  <c r="D437" i="2"/>
  <c r="F437" i="2"/>
  <c r="M437" i="2"/>
  <c r="E437" i="2"/>
  <c r="G437" i="2" s="1"/>
  <c r="I437" i="2" s="1"/>
  <c r="B439" i="2"/>
  <c r="V438" i="2"/>
  <c r="C438" i="2"/>
  <c r="N438" i="2"/>
  <c r="O437" i="2" s="1"/>
  <c r="Z228" i="2"/>
  <c r="AB228" i="2" s="1"/>
  <c r="H437" i="2" l="1"/>
  <c r="J437" i="2" s="1"/>
  <c r="K437" i="2" s="1"/>
  <c r="X439" i="2"/>
  <c r="Y438" i="2" s="1"/>
  <c r="D438" i="2"/>
  <c r="E438" i="2"/>
  <c r="G438" i="2" s="1"/>
  <c r="I438" i="2" s="1"/>
  <c r="F438" i="2"/>
  <c r="M438" i="2"/>
  <c r="B440" i="2"/>
  <c r="C439" i="2"/>
  <c r="V439" i="2"/>
  <c r="N439" i="2"/>
  <c r="O438" i="2" s="1"/>
  <c r="L229" i="2"/>
  <c r="T229" i="2" s="1"/>
  <c r="S229" i="2"/>
  <c r="U229" i="2" s="1"/>
  <c r="R229" i="2"/>
  <c r="H438" i="2" l="1"/>
  <c r="J438" i="2" s="1"/>
  <c r="K438" i="2" s="1"/>
  <c r="X440" i="2"/>
  <c r="Y439" i="2" s="1"/>
  <c r="W229" i="2"/>
  <c r="P229" i="2"/>
  <c r="Q229" i="2" s="1"/>
  <c r="B441" i="2"/>
  <c r="V440" i="2"/>
  <c r="C440" i="2"/>
  <c r="N440" i="2"/>
  <c r="O439" i="2" s="1"/>
  <c r="AE229" i="2"/>
  <c r="D439" i="2"/>
  <c r="E439" i="2"/>
  <c r="G439" i="2" s="1"/>
  <c r="I439" i="2" s="1"/>
  <c r="F439" i="2"/>
  <c r="M439" i="2"/>
  <c r="Z229" i="2"/>
  <c r="AB229" i="2" s="1"/>
  <c r="H439" i="2" l="1"/>
  <c r="J439" i="2" s="1"/>
  <c r="K439" i="2" s="1"/>
  <c r="X441" i="2"/>
  <c r="Y440" i="2" s="1"/>
  <c r="F440" i="2"/>
  <c r="M440" i="2"/>
  <c r="D440" i="2"/>
  <c r="E440" i="2"/>
  <c r="G440" i="2" s="1"/>
  <c r="I440" i="2" s="1"/>
  <c r="B442" i="2"/>
  <c r="C441" i="2"/>
  <c r="V441" i="2"/>
  <c r="N441" i="2"/>
  <c r="O440" i="2" s="1"/>
  <c r="S230" i="2"/>
  <c r="U230" i="2" s="1"/>
  <c r="R230" i="2"/>
  <c r="L230" i="2"/>
  <c r="T230" i="2" s="1"/>
  <c r="H440" i="2" l="1"/>
  <c r="J440" i="2" s="1"/>
  <c r="K440" i="2" s="1"/>
  <c r="X442" i="2"/>
  <c r="Y441" i="2" s="1"/>
  <c r="W230" i="2"/>
  <c r="AE230" i="2"/>
  <c r="B443" i="2"/>
  <c r="C442" i="2"/>
  <c r="V442" i="2"/>
  <c r="N442" i="2"/>
  <c r="O441" i="2" s="1"/>
  <c r="M441" i="2"/>
  <c r="E441" i="2"/>
  <c r="G441" i="2" s="1"/>
  <c r="I441" i="2" s="1"/>
  <c r="D441" i="2"/>
  <c r="F441" i="2"/>
  <c r="P230" i="2"/>
  <c r="Q230" i="2" s="1"/>
  <c r="Z230" i="2"/>
  <c r="AB230" i="2" s="1"/>
  <c r="H441" i="2" l="1"/>
  <c r="J441" i="2" s="1"/>
  <c r="K441" i="2" s="1"/>
  <c r="X443" i="2"/>
  <c r="Y442" i="2" s="1"/>
  <c r="E442" i="2"/>
  <c r="G442" i="2" s="1"/>
  <c r="I442" i="2" s="1"/>
  <c r="M442" i="2"/>
  <c r="D442" i="2"/>
  <c r="F442" i="2"/>
  <c r="B444" i="2"/>
  <c r="V443" i="2"/>
  <c r="C443" i="2"/>
  <c r="N443" i="2"/>
  <c r="O442" i="2" s="1"/>
  <c r="S231" i="2"/>
  <c r="U231" i="2" s="1"/>
  <c r="R231" i="2"/>
  <c r="L231" i="2"/>
  <c r="T231" i="2" s="1"/>
  <c r="H442" i="2" l="1"/>
  <c r="J442" i="2" s="1"/>
  <c r="K442" i="2" s="1"/>
  <c r="X444" i="2"/>
  <c r="Y443" i="2" s="1"/>
  <c r="W231" i="2"/>
  <c r="AE231" i="2"/>
  <c r="E443" i="2"/>
  <c r="G443" i="2" s="1"/>
  <c r="I443" i="2" s="1"/>
  <c r="M443" i="2"/>
  <c r="F443" i="2"/>
  <c r="D443" i="2"/>
  <c r="B445" i="2"/>
  <c r="C444" i="2"/>
  <c r="V444" i="2"/>
  <c r="N444" i="2"/>
  <c r="O443" i="2" s="1"/>
  <c r="Z231" i="2"/>
  <c r="AB231" i="2" s="1"/>
  <c r="P231" i="2"/>
  <c r="Q231" i="2" s="1"/>
  <c r="H443" i="2" l="1"/>
  <c r="J443" i="2" s="1"/>
  <c r="K443" i="2" s="1"/>
  <c r="X445" i="2"/>
  <c r="Y444" i="2" s="1"/>
  <c r="E444" i="2"/>
  <c r="G444" i="2" s="1"/>
  <c r="I444" i="2" s="1"/>
  <c r="F444" i="2"/>
  <c r="D444" i="2"/>
  <c r="M444" i="2"/>
  <c r="B446" i="2"/>
  <c r="C445" i="2"/>
  <c r="V445" i="2"/>
  <c r="N445" i="2"/>
  <c r="O444" i="2" s="1"/>
  <c r="R232" i="2"/>
  <c r="L232" i="2"/>
  <c r="T232" i="2" s="1"/>
  <c r="S232" i="2"/>
  <c r="U232" i="2" s="1"/>
  <c r="H444" i="2" l="1"/>
  <c r="J444" i="2" s="1"/>
  <c r="K444" i="2" s="1"/>
  <c r="X446" i="2"/>
  <c r="Y445" i="2" s="1"/>
  <c r="W232" i="2"/>
  <c r="B447" i="2"/>
  <c r="V446" i="2"/>
  <c r="C446" i="2"/>
  <c r="N446" i="2"/>
  <c r="O445" i="2" s="1"/>
  <c r="E445" i="2"/>
  <c r="G445" i="2" s="1"/>
  <c r="I445" i="2" s="1"/>
  <c r="D445" i="2"/>
  <c r="F445" i="2"/>
  <c r="M445" i="2"/>
  <c r="AE232" i="2"/>
  <c r="P232" i="2"/>
  <c r="Q232" i="2" s="1"/>
  <c r="Z232" i="2"/>
  <c r="AB232" i="2" s="1"/>
  <c r="H445" i="2" l="1"/>
  <c r="J445" i="2" s="1"/>
  <c r="K445" i="2" s="1"/>
  <c r="X447" i="2"/>
  <c r="Y446" i="2" s="1"/>
  <c r="F446" i="2"/>
  <c r="D446" i="2"/>
  <c r="M446" i="2"/>
  <c r="E446" i="2"/>
  <c r="G446" i="2" s="1"/>
  <c r="I446" i="2" s="1"/>
  <c r="B448" i="2"/>
  <c r="C447" i="2"/>
  <c r="V447" i="2"/>
  <c r="N447" i="2"/>
  <c r="O446" i="2" s="1"/>
  <c r="R233" i="2"/>
  <c r="L233" i="2"/>
  <c r="T233" i="2" s="1"/>
  <c r="S233" i="2"/>
  <c r="U233" i="2" s="1"/>
  <c r="H446" i="2" l="1"/>
  <c r="J446" i="2" s="1"/>
  <c r="K446" i="2" s="1"/>
  <c r="X448" i="2"/>
  <c r="Y447" i="2" s="1"/>
  <c r="W233" i="2"/>
  <c r="D447" i="2"/>
  <c r="E447" i="2"/>
  <c r="G447" i="2" s="1"/>
  <c r="I447" i="2" s="1"/>
  <c r="F447" i="2"/>
  <c r="M447" i="2"/>
  <c r="B449" i="2"/>
  <c r="V448" i="2"/>
  <c r="C448" i="2"/>
  <c r="N448" i="2"/>
  <c r="O447" i="2" s="1"/>
  <c r="AE233" i="2"/>
  <c r="P233" i="2"/>
  <c r="Q233" i="2" s="1"/>
  <c r="Z233" i="2"/>
  <c r="AB233" i="2" s="1"/>
  <c r="H447" i="2" l="1"/>
  <c r="J447" i="2" s="1"/>
  <c r="K447" i="2" s="1"/>
  <c r="X449" i="2"/>
  <c r="Y448" i="2" s="1"/>
  <c r="F448" i="2"/>
  <c r="D448" i="2"/>
  <c r="E448" i="2"/>
  <c r="G448" i="2" s="1"/>
  <c r="I448" i="2" s="1"/>
  <c r="M448" i="2"/>
  <c r="B450" i="2"/>
  <c r="C449" i="2"/>
  <c r="V449" i="2"/>
  <c r="N449" i="2"/>
  <c r="O448" i="2" s="1"/>
  <c r="R234" i="2"/>
  <c r="S234" i="2"/>
  <c r="U234" i="2" s="1"/>
  <c r="L234" i="2"/>
  <c r="T234" i="2" s="1"/>
  <c r="H448" i="2" l="1"/>
  <c r="J448" i="2" s="1"/>
  <c r="K448" i="2" s="1"/>
  <c r="X450" i="2"/>
  <c r="Y449" i="2" s="1"/>
  <c r="W234" i="2"/>
  <c r="AE234" i="2"/>
  <c r="D449" i="2"/>
  <c r="M449" i="2"/>
  <c r="E449" i="2"/>
  <c r="G449" i="2" s="1"/>
  <c r="I449" i="2" s="1"/>
  <c r="F449" i="2"/>
  <c r="B451" i="2"/>
  <c r="C450" i="2"/>
  <c r="V450" i="2"/>
  <c r="N450" i="2"/>
  <c r="O449" i="2" s="1"/>
  <c r="P234" i="2"/>
  <c r="Q234" i="2" s="1"/>
  <c r="Z234" i="2"/>
  <c r="AB234" i="2" s="1"/>
  <c r="H449" i="2" l="1"/>
  <c r="J449" i="2" s="1"/>
  <c r="K449" i="2" s="1"/>
  <c r="X451" i="2"/>
  <c r="Y450" i="2" s="1"/>
  <c r="B452" i="2"/>
  <c r="C451" i="2"/>
  <c r="V451" i="2"/>
  <c r="N451" i="2"/>
  <c r="O450" i="2" s="1"/>
  <c r="D450" i="2"/>
  <c r="F450" i="2"/>
  <c r="E450" i="2"/>
  <c r="G450" i="2" s="1"/>
  <c r="I450" i="2" s="1"/>
  <c r="M450" i="2"/>
  <c r="S235" i="2"/>
  <c r="U235" i="2" s="1"/>
  <c r="R235" i="2"/>
  <c r="L235" i="2"/>
  <c r="T235" i="2" s="1"/>
  <c r="H450" i="2" l="1"/>
  <c r="J450" i="2" s="1"/>
  <c r="K450" i="2" s="1"/>
  <c r="X452" i="2"/>
  <c r="Y451" i="2" s="1"/>
  <c r="W235" i="2"/>
  <c r="AE235" i="2"/>
  <c r="D451" i="2"/>
  <c r="F451" i="2"/>
  <c r="E451" i="2"/>
  <c r="G451" i="2" s="1"/>
  <c r="I451" i="2" s="1"/>
  <c r="M451" i="2"/>
  <c r="B453" i="2"/>
  <c r="C452" i="2"/>
  <c r="V452" i="2"/>
  <c r="N452" i="2"/>
  <c r="O451" i="2" s="1"/>
  <c r="Z235" i="2"/>
  <c r="AB235" i="2" s="1"/>
  <c r="P235" i="2"/>
  <c r="Q235" i="2" s="1"/>
  <c r="H451" i="2" l="1"/>
  <c r="J451" i="2" s="1"/>
  <c r="K451" i="2" s="1"/>
  <c r="X453" i="2"/>
  <c r="Y452" i="2" s="1"/>
  <c r="D452" i="2"/>
  <c r="F452" i="2"/>
  <c r="E452" i="2"/>
  <c r="H452" i="2" s="1"/>
  <c r="M452" i="2"/>
  <c r="B454" i="2"/>
  <c r="C453" i="2"/>
  <c r="V453" i="2"/>
  <c r="N453" i="2"/>
  <c r="O452" i="2" s="1"/>
  <c r="R236" i="2"/>
  <c r="S236" i="2"/>
  <c r="U236" i="2" s="1"/>
  <c r="L236" i="2"/>
  <c r="T236" i="2" s="1"/>
  <c r="G452" i="2" l="1"/>
  <c r="I452" i="2" s="1"/>
  <c r="X454" i="2"/>
  <c r="Y453" i="2" s="1"/>
  <c r="W236" i="2"/>
  <c r="AE236" i="2"/>
  <c r="B455" i="2"/>
  <c r="C454" i="2"/>
  <c r="V454" i="2"/>
  <c r="N454" i="2"/>
  <c r="O453" i="2" s="1"/>
  <c r="E453" i="2"/>
  <c r="G453" i="2" s="1"/>
  <c r="I453" i="2" s="1"/>
  <c r="F453" i="2"/>
  <c r="M453" i="2"/>
  <c r="D453" i="2"/>
  <c r="J452" i="2"/>
  <c r="Z236" i="2"/>
  <c r="AB236" i="2" s="1"/>
  <c r="P236" i="2"/>
  <c r="Q236" i="2" s="1"/>
  <c r="K452" i="2" l="1"/>
  <c r="H453" i="2"/>
  <c r="J453" i="2" s="1"/>
  <c r="K453" i="2" s="1"/>
  <c r="X455" i="2"/>
  <c r="Y454" i="2" s="1"/>
  <c r="D454" i="2"/>
  <c r="F454" i="2"/>
  <c r="E454" i="2"/>
  <c r="G454" i="2" s="1"/>
  <c r="I454" i="2" s="1"/>
  <c r="M454" i="2"/>
  <c r="C455" i="2"/>
  <c r="B456" i="2"/>
  <c r="V455" i="2"/>
  <c r="N455" i="2"/>
  <c r="O454" i="2" s="1"/>
  <c r="R237" i="2"/>
  <c r="L237" i="2"/>
  <c r="T237" i="2" s="1"/>
  <c r="S237" i="2"/>
  <c r="U237" i="2" s="1"/>
  <c r="H454" i="2" l="1"/>
  <c r="J454" i="2" s="1"/>
  <c r="K454" i="2" s="1"/>
  <c r="X456" i="2"/>
  <c r="Y455" i="2" s="1"/>
  <c r="W237" i="2"/>
  <c r="D455" i="2"/>
  <c r="M455" i="2"/>
  <c r="E455" i="2"/>
  <c r="G455" i="2" s="1"/>
  <c r="I455" i="2" s="1"/>
  <c r="F455" i="2"/>
  <c r="B457" i="2"/>
  <c r="C456" i="2"/>
  <c r="V456" i="2"/>
  <c r="N456" i="2"/>
  <c r="O455" i="2" s="1"/>
  <c r="AE237" i="2"/>
  <c r="Z237" i="2"/>
  <c r="AB237" i="2" s="1"/>
  <c r="P237" i="2"/>
  <c r="Q237" i="2" s="1"/>
  <c r="H455" i="2" l="1"/>
  <c r="J455" i="2" s="1"/>
  <c r="K455" i="2" s="1"/>
  <c r="X457" i="2"/>
  <c r="Y456" i="2" s="1"/>
  <c r="B458" i="2"/>
  <c r="V457" i="2"/>
  <c r="C457" i="2"/>
  <c r="N457" i="2"/>
  <c r="O456" i="2" s="1"/>
  <c r="D456" i="2"/>
  <c r="F456" i="2"/>
  <c r="E456" i="2"/>
  <c r="G456" i="2" s="1"/>
  <c r="I456" i="2" s="1"/>
  <c r="M456" i="2"/>
  <c r="R238" i="2"/>
  <c r="L238" i="2"/>
  <c r="T238" i="2" s="1"/>
  <c r="S238" i="2"/>
  <c r="U238" i="2" s="1"/>
  <c r="H456" i="2" l="1"/>
  <c r="J456" i="2" s="1"/>
  <c r="K456" i="2" s="1"/>
  <c r="X458" i="2"/>
  <c r="Y457" i="2" s="1"/>
  <c r="W238" i="2"/>
  <c r="P238" i="2"/>
  <c r="Q238" i="2" s="1"/>
  <c r="AE238" i="2"/>
  <c r="F457" i="2"/>
  <c r="D457" i="2"/>
  <c r="E457" i="2"/>
  <c r="G457" i="2" s="1"/>
  <c r="I457" i="2" s="1"/>
  <c r="M457" i="2"/>
  <c r="B459" i="2"/>
  <c r="V458" i="2"/>
  <c r="C458" i="2"/>
  <c r="N458" i="2"/>
  <c r="O457" i="2" s="1"/>
  <c r="Z238" i="2"/>
  <c r="AB238" i="2" s="1"/>
  <c r="H457" i="2" l="1"/>
  <c r="J457" i="2" s="1"/>
  <c r="K457" i="2" s="1"/>
  <c r="X459" i="2"/>
  <c r="Y458" i="2" s="1"/>
  <c r="F458" i="2"/>
  <c r="D458" i="2"/>
  <c r="M458" i="2"/>
  <c r="E458" i="2"/>
  <c r="G458" i="2" s="1"/>
  <c r="I458" i="2" s="1"/>
  <c r="B460" i="2"/>
  <c r="V459" i="2"/>
  <c r="C459" i="2"/>
  <c r="N459" i="2"/>
  <c r="O458" i="2" s="1"/>
  <c r="R239" i="2"/>
  <c r="L239" i="2"/>
  <c r="T239" i="2" s="1"/>
  <c r="S239" i="2"/>
  <c r="U239" i="2" s="1"/>
  <c r="H458" i="2" l="1"/>
  <c r="J458" i="2" s="1"/>
  <c r="K458" i="2" s="1"/>
  <c r="X460" i="2"/>
  <c r="Y459" i="2" s="1"/>
  <c r="W239" i="2"/>
  <c r="F459" i="2"/>
  <c r="D459" i="2"/>
  <c r="M459" i="2"/>
  <c r="E459" i="2"/>
  <c r="G459" i="2" s="1"/>
  <c r="I459" i="2" s="1"/>
  <c r="B461" i="2"/>
  <c r="V460" i="2"/>
  <c r="C460" i="2"/>
  <c r="N460" i="2"/>
  <c r="AE239" i="2"/>
  <c r="Z239" i="2"/>
  <c r="AB239" i="2" s="1"/>
  <c r="P239" i="2"/>
  <c r="Q239" i="2" s="1"/>
  <c r="H459" i="2" l="1"/>
  <c r="J459" i="2" s="1"/>
  <c r="K459" i="2" s="1"/>
  <c r="X461" i="2"/>
  <c r="Y460" i="2" s="1"/>
  <c r="O459" i="2"/>
  <c r="D460" i="2"/>
  <c r="E460" i="2"/>
  <c r="G460" i="2" s="1"/>
  <c r="I460" i="2" s="1"/>
  <c r="F460" i="2"/>
  <c r="M460" i="2"/>
  <c r="B462" i="2"/>
  <c r="C461" i="2"/>
  <c r="V461" i="2"/>
  <c r="N461" i="2"/>
  <c r="L240" i="2"/>
  <c r="T240" i="2" s="1"/>
  <c r="S240" i="2"/>
  <c r="U240" i="2" s="1"/>
  <c r="R240" i="2"/>
  <c r="H460" i="2" l="1"/>
  <c r="J460" i="2" s="1"/>
  <c r="K460" i="2" s="1"/>
  <c r="X462" i="2"/>
  <c r="Y461" i="2" s="1"/>
  <c r="W240" i="2"/>
  <c r="O460" i="2"/>
  <c r="M461" i="2"/>
  <c r="E461" i="2"/>
  <c r="G461" i="2" s="1"/>
  <c r="I461" i="2" s="1"/>
  <c r="D461" i="2"/>
  <c r="F461" i="2"/>
  <c r="B463" i="2"/>
  <c r="C462" i="2"/>
  <c r="V462" i="2"/>
  <c r="N462" i="2"/>
  <c r="O461" i="2" s="1"/>
  <c r="AE240" i="2"/>
  <c r="Z240" i="2"/>
  <c r="AB240" i="2" s="1"/>
  <c r="P240" i="2"/>
  <c r="Q240" i="2" s="1"/>
  <c r="H461" i="2" l="1"/>
  <c r="J461" i="2" s="1"/>
  <c r="K461" i="2" s="1"/>
  <c r="X463" i="2"/>
  <c r="Y462" i="2" s="1"/>
  <c r="M462" i="2"/>
  <c r="E462" i="2"/>
  <c r="G462" i="2" s="1"/>
  <c r="I462" i="2" s="1"/>
  <c r="F462" i="2"/>
  <c r="D462" i="2"/>
  <c r="B464" i="2"/>
  <c r="C463" i="2"/>
  <c r="V463" i="2"/>
  <c r="N463" i="2"/>
  <c r="R241" i="2"/>
  <c r="L241" i="2"/>
  <c r="T241" i="2" s="1"/>
  <c r="S241" i="2"/>
  <c r="U241" i="2" s="1"/>
  <c r="H462" i="2" l="1"/>
  <c r="J462" i="2" s="1"/>
  <c r="K462" i="2" s="1"/>
  <c r="X464" i="2"/>
  <c r="Y463" i="2" s="1"/>
  <c r="W241" i="2"/>
  <c r="O462" i="2"/>
  <c r="P241" i="2"/>
  <c r="Q241" i="2" s="1"/>
  <c r="AE241" i="2"/>
  <c r="M463" i="2"/>
  <c r="E463" i="2"/>
  <c r="G463" i="2" s="1"/>
  <c r="I463" i="2" s="1"/>
  <c r="F463" i="2"/>
  <c r="D463" i="2"/>
  <c r="B465" i="2"/>
  <c r="C464" i="2"/>
  <c r="V464" i="2"/>
  <c r="N464" i="2"/>
  <c r="Z241" i="2"/>
  <c r="AB241" i="2" s="1"/>
  <c r="H463" i="2" l="1"/>
  <c r="J463" i="2" s="1"/>
  <c r="K463" i="2" s="1"/>
  <c r="X465" i="2"/>
  <c r="Y464" i="2" s="1"/>
  <c r="O463" i="2"/>
  <c r="M464" i="2"/>
  <c r="D464" i="2"/>
  <c r="E464" i="2"/>
  <c r="G464" i="2" s="1"/>
  <c r="I464" i="2" s="1"/>
  <c r="F464" i="2"/>
  <c r="B466" i="2"/>
  <c r="V465" i="2"/>
  <c r="C465" i="2"/>
  <c r="N465" i="2"/>
  <c r="R242" i="2"/>
  <c r="L242" i="2"/>
  <c r="T242" i="2" s="1"/>
  <c r="S242" i="2"/>
  <c r="U242" i="2" s="1"/>
  <c r="H464" i="2" l="1"/>
  <c r="J464" i="2" s="1"/>
  <c r="K464" i="2" s="1"/>
  <c r="X466" i="2"/>
  <c r="Y465" i="2" s="1"/>
  <c r="W242" i="2"/>
  <c r="O464" i="2"/>
  <c r="B467" i="2"/>
  <c r="V466" i="2"/>
  <c r="C466" i="2"/>
  <c r="N466" i="2"/>
  <c r="O465" i="2" s="1"/>
  <c r="F465" i="2"/>
  <c r="D465" i="2"/>
  <c r="M465" i="2"/>
  <c r="E465" i="2"/>
  <c r="AE242" i="2"/>
  <c r="Z242" i="2"/>
  <c r="AB242" i="2" s="1"/>
  <c r="P242" i="2"/>
  <c r="Q242" i="2" s="1"/>
  <c r="H465" i="2" l="1"/>
  <c r="J465" i="2" s="1"/>
  <c r="X467" i="2"/>
  <c r="Y466" i="2" s="1"/>
  <c r="G465" i="2"/>
  <c r="I465" i="2" s="1"/>
  <c r="F466" i="2"/>
  <c r="D466" i="2"/>
  <c r="M466" i="2"/>
  <c r="E466" i="2"/>
  <c r="G466" i="2" s="1"/>
  <c r="I466" i="2" s="1"/>
  <c r="B468" i="2"/>
  <c r="V467" i="2"/>
  <c r="C467" i="2"/>
  <c r="N467" i="2"/>
  <c r="L243" i="2"/>
  <c r="T243" i="2" s="1"/>
  <c r="R243" i="2"/>
  <c r="S243" i="2"/>
  <c r="U243" i="2" s="1"/>
  <c r="K465" i="2" l="1"/>
  <c r="H466" i="2"/>
  <c r="J466" i="2" s="1"/>
  <c r="K466" i="2" s="1"/>
  <c r="X468" i="2"/>
  <c r="Y467" i="2" s="1"/>
  <c r="W243" i="2"/>
  <c r="O466" i="2"/>
  <c r="F467" i="2"/>
  <c r="D467" i="2"/>
  <c r="M467" i="2"/>
  <c r="E467" i="2"/>
  <c r="AE243" i="2"/>
  <c r="B469" i="2"/>
  <c r="V468" i="2"/>
  <c r="C468" i="2"/>
  <c r="N468" i="2"/>
  <c r="Z243" i="2"/>
  <c r="AB243" i="2" s="1"/>
  <c r="P243" i="2"/>
  <c r="Q243" i="2" s="1"/>
  <c r="H467" i="2" l="1"/>
  <c r="J467" i="2" s="1"/>
  <c r="X469" i="2"/>
  <c r="Y468" i="2" s="1"/>
  <c r="G467" i="2"/>
  <c r="I467" i="2" s="1"/>
  <c r="O467" i="2"/>
  <c r="F468" i="2"/>
  <c r="E468" i="2"/>
  <c r="G468" i="2" s="1"/>
  <c r="I468" i="2" s="1"/>
  <c r="M468" i="2"/>
  <c r="D468" i="2"/>
  <c r="B470" i="2"/>
  <c r="C469" i="2"/>
  <c r="V469" i="2"/>
  <c r="N469" i="2"/>
  <c r="S244" i="2"/>
  <c r="U244" i="2" s="1"/>
  <c r="L244" i="2"/>
  <c r="T244" i="2" s="1"/>
  <c r="R244" i="2"/>
  <c r="K467" i="2" l="1"/>
  <c r="H468" i="2"/>
  <c r="J468" i="2" s="1"/>
  <c r="K468" i="2" s="1"/>
  <c r="X470" i="2"/>
  <c r="Y469" i="2" s="1"/>
  <c r="W244" i="2"/>
  <c r="AE244" i="2"/>
  <c r="O468" i="2"/>
  <c r="P244" i="2"/>
  <c r="Q244" i="2" s="1"/>
  <c r="M469" i="2"/>
  <c r="E469" i="2"/>
  <c r="G469" i="2" s="1"/>
  <c r="I469" i="2" s="1"/>
  <c r="F469" i="2"/>
  <c r="D469" i="2"/>
  <c r="B471" i="2"/>
  <c r="C470" i="2"/>
  <c r="V470" i="2"/>
  <c r="N470" i="2"/>
  <c r="O469" i="2" s="1"/>
  <c r="Z244" i="2"/>
  <c r="AB244" i="2" s="1"/>
  <c r="H469" i="2" l="1"/>
  <c r="J469" i="2" s="1"/>
  <c r="K469" i="2" s="1"/>
  <c r="X471" i="2"/>
  <c r="Y470" i="2" s="1"/>
  <c r="M470" i="2"/>
  <c r="E470" i="2"/>
  <c r="G470" i="2" s="1"/>
  <c r="I470" i="2" s="1"/>
  <c r="F470" i="2"/>
  <c r="D470" i="2"/>
  <c r="B472" i="2"/>
  <c r="C471" i="2"/>
  <c r="V471" i="2"/>
  <c r="N471" i="2"/>
  <c r="O470" i="2" s="1"/>
  <c r="L245" i="2"/>
  <c r="T245" i="2" s="1"/>
  <c r="S245" i="2"/>
  <c r="U245" i="2" s="1"/>
  <c r="R245" i="2"/>
  <c r="H470" i="2" l="1"/>
  <c r="J470" i="2" s="1"/>
  <c r="K470" i="2" s="1"/>
  <c r="X472" i="2"/>
  <c r="Y471" i="2" s="1"/>
  <c r="W245" i="2"/>
  <c r="M471" i="2"/>
  <c r="E471" i="2"/>
  <c r="G471" i="2" s="1"/>
  <c r="I471" i="2" s="1"/>
  <c r="F471" i="2"/>
  <c r="D471" i="2"/>
  <c r="B473" i="2"/>
  <c r="V472" i="2"/>
  <c r="C472" i="2"/>
  <c r="N472" i="2"/>
  <c r="AE245" i="2"/>
  <c r="P245" i="2"/>
  <c r="Q245" i="2" s="1"/>
  <c r="Z245" i="2"/>
  <c r="AB245" i="2" s="1"/>
  <c r="H471" i="2" l="1"/>
  <c r="J471" i="2" s="1"/>
  <c r="K471" i="2" s="1"/>
  <c r="X473" i="2"/>
  <c r="Y472" i="2" s="1"/>
  <c r="O471" i="2"/>
  <c r="D472" i="2"/>
  <c r="M472" i="2"/>
  <c r="E472" i="2"/>
  <c r="G472" i="2" s="1"/>
  <c r="I472" i="2" s="1"/>
  <c r="F472" i="2"/>
  <c r="B474" i="2"/>
  <c r="V473" i="2"/>
  <c r="C473" i="2"/>
  <c r="N473" i="2"/>
  <c r="O472" i="2" s="1"/>
  <c r="S246" i="2"/>
  <c r="U246" i="2" s="1"/>
  <c r="L246" i="2"/>
  <c r="T246" i="2" s="1"/>
  <c r="R246" i="2"/>
  <c r="H472" i="2" l="1"/>
  <c r="J472" i="2" s="1"/>
  <c r="K472" i="2" s="1"/>
  <c r="X474" i="2"/>
  <c r="Y473" i="2" s="1"/>
  <c r="W246" i="2"/>
  <c r="AE246" i="2"/>
  <c r="B475" i="2"/>
  <c r="V474" i="2"/>
  <c r="C474" i="2"/>
  <c r="N474" i="2"/>
  <c r="O473" i="2" s="1"/>
  <c r="F473" i="2"/>
  <c r="D473" i="2"/>
  <c r="E473" i="2"/>
  <c r="M473" i="2"/>
  <c r="P246" i="2"/>
  <c r="Q246" i="2" s="1"/>
  <c r="Z246" i="2"/>
  <c r="AB246" i="2" s="1"/>
  <c r="H473" i="2" l="1"/>
  <c r="J473" i="2" s="1"/>
  <c r="X475" i="2"/>
  <c r="Y474" i="2" s="1"/>
  <c r="G473" i="2"/>
  <c r="I473" i="2" s="1"/>
  <c r="B476" i="2"/>
  <c r="V475" i="2"/>
  <c r="C475" i="2"/>
  <c r="N475" i="2"/>
  <c r="F474" i="2"/>
  <c r="D474" i="2"/>
  <c r="M474" i="2"/>
  <c r="E474" i="2"/>
  <c r="G474" i="2" s="1"/>
  <c r="I474" i="2" s="1"/>
  <c r="R247" i="2"/>
  <c r="S247" i="2"/>
  <c r="U247" i="2" s="1"/>
  <c r="L247" i="2"/>
  <c r="T247" i="2" s="1"/>
  <c r="K473" i="2" l="1"/>
  <c r="H474" i="2"/>
  <c r="J474" i="2" s="1"/>
  <c r="K474" i="2" s="1"/>
  <c r="X476" i="2"/>
  <c r="Y475" i="2" s="1"/>
  <c r="W247" i="2"/>
  <c r="O474" i="2"/>
  <c r="AE247" i="2"/>
  <c r="F475" i="2"/>
  <c r="D475" i="2"/>
  <c r="M475" i="2"/>
  <c r="E475" i="2"/>
  <c r="G475" i="2" s="1"/>
  <c r="I475" i="2" s="1"/>
  <c r="B477" i="2"/>
  <c r="C476" i="2"/>
  <c r="V476" i="2"/>
  <c r="N476" i="2"/>
  <c r="O475" i="2" s="1"/>
  <c r="Z247" i="2"/>
  <c r="AB247" i="2" s="1"/>
  <c r="P247" i="2"/>
  <c r="Q247" i="2" s="1"/>
  <c r="H475" i="2" l="1"/>
  <c r="J475" i="2" s="1"/>
  <c r="K475" i="2" s="1"/>
  <c r="X477" i="2"/>
  <c r="Y476" i="2" s="1"/>
  <c r="B478" i="2"/>
  <c r="C477" i="2"/>
  <c r="V477" i="2"/>
  <c r="N477" i="2"/>
  <c r="F476" i="2"/>
  <c r="D476" i="2"/>
  <c r="E476" i="2"/>
  <c r="M476" i="2"/>
  <c r="S248" i="2"/>
  <c r="U248" i="2" s="1"/>
  <c r="R248" i="2"/>
  <c r="L248" i="2"/>
  <c r="T248" i="2" s="1"/>
  <c r="H476" i="2" l="1"/>
  <c r="J476" i="2" s="1"/>
  <c r="X478" i="2"/>
  <c r="Y477" i="2" s="1"/>
  <c r="W248" i="2"/>
  <c r="AE248" i="2"/>
  <c r="G476" i="2"/>
  <c r="I476" i="2" s="1"/>
  <c r="O476" i="2"/>
  <c r="M477" i="2"/>
  <c r="E477" i="2"/>
  <c r="G477" i="2" s="1"/>
  <c r="I477" i="2" s="1"/>
  <c r="D477" i="2"/>
  <c r="F477" i="2"/>
  <c r="B479" i="2"/>
  <c r="C478" i="2"/>
  <c r="V478" i="2"/>
  <c r="N478" i="2"/>
  <c r="O477" i="2" s="1"/>
  <c r="Z248" i="2"/>
  <c r="AB248" i="2" s="1"/>
  <c r="P248" i="2"/>
  <c r="Q248" i="2" s="1"/>
  <c r="K476" i="2" l="1"/>
  <c r="H477" i="2"/>
  <c r="J477" i="2" s="1"/>
  <c r="K477" i="2" s="1"/>
  <c r="X479" i="2"/>
  <c r="Y478" i="2" s="1"/>
  <c r="B480" i="2"/>
  <c r="C479" i="2"/>
  <c r="V479" i="2"/>
  <c r="N479" i="2"/>
  <c r="O478" i="2" s="1"/>
  <c r="M478" i="2"/>
  <c r="E478" i="2"/>
  <c r="G478" i="2" s="1"/>
  <c r="I478" i="2" s="1"/>
  <c r="F478" i="2"/>
  <c r="D478" i="2"/>
  <c r="S249" i="2"/>
  <c r="U249" i="2" s="1"/>
  <c r="R249" i="2"/>
  <c r="L249" i="2"/>
  <c r="T249" i="2" s="1"/>
  <c r="H478" i="2" l="1"/>
  <c r="J478" i="2" s="1"/>
  <c r="K478" i="2" s="1"/>
  <c r="X480" i="2"/>
  <c r="Y479" i="2" s="1"/>
  <c r="W249" i="2"/>
  <c r="AE249" i="2"/>
  <c r="M479" i="2"/>
  <c r="E479" i="2"/>
  <c r="G479" i="2" s="1"/>
  <c r="I479" i="2" s="1"/>
  <c r="F479" i="2"/>
  <c r="D479" i="2"/>
  <c r="B481" i="2"/>
  <c r="V480" i="2"/>
  <c r="C480" i="2"/>
  <c r="N480" i="2"/>
  <c r="O479" i="2" s="1"/>
  <c r="Z249" i="2"/>
  <c r="AB249" i="2" s="1"/>
  <c r="P249" i="2"/>
  <c r="Q249" i="2" s="1"/>
  <c r="H479" i="2" l="1"/>
  <c r="J479" i="2" s="1"/>
  <c r="K479" i="2" s="1"/>
  <c r="X481" i="2"/>
  <c r="Y480" i="2" s="1"/>
  <c r="D480" i="2"/>
  <c r="F480" i="2"/>
  <c r="E480" i="2"/>
  <c r="G480" i="2" s="1"/>
  <c r="I480" i="2" s="1"/>
  <c r="M480" i="2"/>
  <c r="B482" i="2"/>
  <c r="V481" i="2"/>
  <c r="C481" i="2"/>
  <c r="N481" i="2"/>
  <c r="S250" i="2"/>
  <c r="U250" i="2" s="1"/>
  <c r="L250" i="2"/>
  <c r="T250" i="2" s="1"/>
  <c r="R250" i="2"/>
  <c r="H480" i="2" l="1"/>
  <c r="J480" i="2" s="1"/>
  <c r="K480" i="2" s="1"/>
  <c r="X482" i="2"/>
  <c r="Y481" i="2" s="1"/>
  <c r="W250" i="2"/>
  <c r="O480" i="2"/>
  <c r="AE250" i="2"/>
  <c r="B483" i="2"/>
  <c r="V482" i="2"/>
  <c r="C482" i="2"/>
  <c r="N482" i="2"/>
  <c r="F481" i="2"/>
  <c r="D481" i="2"/>
  <c r="E481" i="2"/>
  <c r="H481" i="2" s="1"/>
  <c r="J481" i="2" s="1"/>
  <c r="M481" i="2"/>
  <c r="Z250" i="2"/>
  <c r="AB250" i="2" s="1"/>
  <c r="P250" i="2"/>
  <c r="Q250" i="2" s="1"/>
  <c r="G481" i="2" l="1"/>
  <c r="I481" i="2" s="1"/>
  <c r="K481" i="2" s="1"/>
  <c r="X483" i="2"/>
  <c r="Y482" i="2" s="1"/>
  <c r="O481" i="2"/>
  <c r="F482" i="2"/>
  <c r="D482" i="2"/>
  <c r="M482" i="2"/>
  <c r="E482" i="2"/>
  <c r="G482" i="2" s="1"/>
  <c r="I482" i="2" s="1"/>
  <c r="B484" i="2"/>
  <c r="V483" i="2"/>
  <c r="C483" i="2"/>
  <c r="N483" i="2"/>
  <c r="O482" i="2" s="1"/>
  <c r="S251" i="2"/>
  <c r="U251" i="2" s="1"/>
  <c r="R251" i="2"/>
  <c r="L251" i="2"/>
  <c r="T251" i="2" s="1"/>
  <c r="H482" i="2" l="1"/>
  <c r="J482" i="2" s="1"/>
  <c r="K482" i="2" s="1"/>
  <c r="X484" i="2"/>
  <c r="Y483" i="2" s="1"/>
  <c r="W251" i="2"/>
  <c r="AE251" i="2"/>
  <c r="F483" i="2"/>
  <c r="D483" i="2"/>
  <c r="M483" i="2"/>
  <c r="E483" i="2"/>
  <c r="B485" i="2"/>
  <c r="V484" i="2"/>
  <c r="C484" i="2"/>
  <c r="N484" i="2"/>
  <c r="O483" i="2" s="1"/>
  <c r="P251" i="2"/>
  <c r="Q251" i="2" s="1"/>
  <c r="Z251" i="2"/>
  <c r="AB251" i="2" s="1"/>
  <c r="H483" i="2" l="1"/>
  <c r="J483" i="2" s="1"/>
  <c r="X485" i="2"/>
  <c r="Y484" i="2" s="1"/>
  <c r="G483" i="2"/>
  <c r="I483" i="2" s="1"/>
  <c r="M484" i="2"/>
  <c r="E484" i="2"/>
  <c r="D484" i="2"/>
  <c r="F484" i="2"/>
  <c r="B486" i="2"/>
  <c r="C485" i="2"/>
  <c r="V485" i="2"/>
  <c r="N485" i="2"/>
  <c r="L252" i="2"/>
  <c r="T252" i="2" s="1"/>
  <c r="R252" i="2"/>
  <c r="S252" i="2"/>
  <c r="U252" i="2" s="1"/>
  <c r="K483" i="2" l="1"/>
  <c r="H484" i="2"/>
  <c r="J484" i="2" s="1"/>
  <c r="X486" i="2"/>
  <c r="Y485" i="2" s="1"/>
  <c r="W252" i="2"/>
  <c r="O484" i="2"/>
  <c r="G484" i="2"/>
  <c r="I484" i="2" s="1"/>
  <c r="P252" i="2"/>
  <c r="Q252" i="2" s="1"/>
  <c r="M485" i="2"/>
  <c r="E485" i="2"/>
  <c r="D485" i="2"/>
  <c r="F485" i="2"/>
  <c r="B487" i="2"/>
  <c r="C486" i="2"/>
  <c r="V486" i="2"/>
  <c r="N486" i="2"/>
  <c r="AE252" i="2"/>
  <c r="Z252" i="2"/>
  <c r="AB252" i="2" s="1"/>
  <c r="H485" i="2" l="1"/>
  <c r="J485" i="2" s="1"/>
  <c r="K484" i="2"/>
  <c r="X487" i="2"/>
  <c r="Y486" i="2" s="1"/>
  <c r="G485" i="2"/>
  <c r="I485" i="2" s="1"/>
  <c r="O485" i="2"/>
  <c r="M486" i="2"/>
  <c r="E486" i="2"/>
  <c r="H486" i="2" s="1"/>
  <c r="F486" i="2"/>
  <c r="D486" i="2"/>
  <c r="B488" i="2"/>
  <c r="C487" i="2"/>
  <c r="V487" i="2"/>
  <c r="N487" i="2"/>
  <c r="O486" i="2" s="1"/>
  <c r="S253" i="2"/>
  <c r="U253" i="2" s="1"/>
  <c r="R253" i="2"/>
  <c r="L253" i="2"/>
  <c r="T253" i="2" s="1"/>
  <c r="K485" i="2" l="1"/>
  <c r="J486" i="2"/>
  <c r="X488" i="2"/>
  <c r="Y487" i="2" s="1"/>
  <c r="W253" i="2"/>
  <c r="G486" i="2"/>
  <c r="I486" i="2" s="1"/>
  <c r="AE253" i="2"/>
  <c r="M487" i="2"/>
  <c r="E487" i="2"/>
  <c r="F487" i="2"/>
  <c r="D487" i="2"/>
  <c r="B489" i="2"/>
  <c r="V488" i="2"/>
  <c r="C488" i="2"/>
  <c r="N488" i="2"/>
  <c r="O487" i="2" s="1"/>
  <c r="Z253" i="2"/>
  <c r="AB253" i="2" s="1"/>
  <c r="P253" i="2"/>
  <c r="Q253" i="2" s="1"/>
  <c r="K486" i="2" l="1"/>
  <c r="H487" i="2"/>
  <c r="J487" i="2" s="1"/>
  <c r="X489" i="2"/>
  <c r="Y488" i="2" s="1"/>
  <c r="G487" i="2"/>
  <c r="I487" i="2" s="1"/>
  <c r="F488" i="2"/>
  <c r="D488" i="2"/>
  <c r="M488" i="2"/>
  <c r="E488" i="2"/>
  <c r="B490" i="2"/>
  <c r="V489" i="2"/>
  <c r="C489" i="2"/>
  <c r="N489" i="2"/>
  <c r="O488" i="2" s="1"/>
  <c r="S254" i="2"/>
  <c r="U254" i="2" s="1"/>
  <c r="R254" i="2"/>
  <c r="L254" i="2"/>
  <c r="T254" i="2" s="1"/>
  <c r="K487" i="2" l="1"/>
  <c r="H488" i="2"/>
  <c r="J488" i="2" s="1"/>
  <c r="X490" i="2"/>
  <c r="Y489" i="2" s="1"/>
  <c r="W254" i="2"/>
  <c r="AE254" i="2"/>
  <c r="G488" i="2"/>
  <c r="I488" i="2" s="1"/>
  <c r="F489" i="2"/>
  <c r="D489" i="2"/>
  <c r="M489" i="2"/>
  <c r="E489" i="2"/>
  <c r="G489" i="2" s="1"/>
  <c r="I489" i="2" s="1"/>
  <c r="B491" i="2"/>
  <c r="V490" i="2"/>
  <c r="C490" i="2"/>
  <c r="N490" i="2"/>
  <c r="O489" i="2" s="1"/>
  <c r="Z254" i="2"/>
  <c r="AB254" i="2" s="1"/>
  <c r="P254" i="2"/>
  <c r="Q254" i="2" s="1"/>
  <c r="K488" i="2" l="1"/>
  <c r="H489" i="2"/>
  <c r="J489" i="2" s="1"/>
  <c r="K489" i="2" s="1"/>
  <c r="X491" i="2"/>
  <c r="Y490" i="2" s="1"/>
  <c r="F490" i="2"/>
  <c r="D490" i="2"/>
  <c r="M490" i="2"/>
  <c r="E490" i="2"/>
  <c r="H490" i="2" s="1"/>
  <c r="B492" i="2"/>
  <c r="V491" i="2"/>
  <c r="C491" i="2"/>
  <c r="N491" i="2"/>
  <c r="L255" i="2"/>
  <c r="T255" i="2" s="1"/>
  <c r="R255" i="2"/>
  <c r="S255" i="2"/>
  <c r="U255" i="2" s="1"/>
  <c r="J490" i="2" l="1"/>
  <c r="X492" i="2"/>
  <c r="Y491" i="2" s="1"/>
  <c r="W255" i="2"/>
  <c r="O490" i="2"/>
  <c r="G490" i="2"/>
  <c r="I490" i="2" s="1"/>
  <c r="P255" i="2"/>
  <c r="Q255" i="2" s="1"/>
  <c r="F491" i="2"/>
  <c r="D491" i="2"/>
  <c r="M491" i="2"/>
  <c r="E491" i="2"/>
  <c r="G491" i="2" s="1"/>
  <c r="I491" i="2" s="1"/>
  <c r="B493" i="2"/>
  <c r="C492" i="2"/>
  <c r="V492" i="2"/>
  <c r="N492" i="2"/>
  <c r="O491" i="2" s="1"/>
  <c r="AE255" i="2"/>
  <c r="Z255" i="2"/>
  <c r="AB255" i="2" s="1"/>
  <c r="K490" i="2" l="1"/>
  <c r="H491" i="2"/>
  <c r="J491" i="2" s="1"/>
  <c r="K491" i="2" s="1"/>
  <c r="X493" i="2"/>
  <c r="Y492" i="2" s="1"/>
  <c r="E492" i="2"/>
  <c r="G492" i="2" s="1"/>
  <c r="I492" i="2" s="1"/>
  <c r="F492" i="2"/>
  <c r="D492" i="2"/>
  <c r="M492" i="2"/>
  <c r="B494" i="2"/>
  <c r="C493" i="2"/>
  <c r="V493" i="2"/>
  <c r="N493" i="2"/>
  <c r="O492" i="2" s="1"/>
  <c r="R256" i="2"/>
  <c r="S256" i="2"/>
  <c r="U256" i="2" s="1"/>
  <c r="L256" i="2"/>
  <c r="T256" i="2" s="1"/>
  <c r="H492" i="2" l="1"/>
  <c r="J492" i="2" s="1"/>
  <c r="K492" i="2" s="1"/>
  <c r="X494" i="2"/>
  <c r="Y493" i="2" s="1"/>
  <c r="W256" i="2"/>
  <c r="P256" i="2"/>
  <c r="Q256" i="2" s="1"/>
  <c r="AE256" i="2"/>
  <c r="M493" i="2"/>
  <c r="E493" i="2"/>
  <c r="G493" i="2" s="1"/>
  <c r="I493" i="2" s="1"/>
  <c r="F493" i="2"/>
  <c r="D493" i="2"/>
  <c r="B495" i="2"/>
  <c r="C494" i="2"/>
  <c r="V494" i="2"/>
  <c r="N494" i="2"/>
  <c r="O493" i="2" s="1"/>
  <c r="Z256" i="2"/>
  <c r="AB256" i="2" s="1"/>
  <c r="H493" i="2" l="1"/>
  <c r="J493" i="2" s="1"/>
  <c r="K493" i="2" s="1"/>
  <c r="X495" i="2"/>
  <c r="Y494" i="2" s="1"/>
  <c r="B496" i="2"/>
  <c r="C495" i="2"/>
  <c r="V495" i="2"/>
  <c r="N495" i="2"/>
  <c r="M494" i="2"/>
  <c r="E494" i="2"/>
  <c r="F494" i="2"/>
  <c r="D494" i="2"/>
  <c r="L257" i="2"/>
  <c r="T257" i="2" s="1"/>
  <c r="R257" i="2"/>
  <c r="S257" i="2"/>
  <c r="U257" i="2" s="1"/>
  <c r="H494" i="2" l="1"/>
  <c r="J494" i="2" s="1"/>
  <c r="X496" i="2"/>
  <c r="Y495" i="2" s="1"/>
  <c r="W257" i="2"/>
  <c r="G494" i="2"/>
  <c r="I494" i="2" s="1"/>
  <c r="O494" i="2"/>
  <c r="P257" i="2"/>
  <c r="Q257" i="2" s="1"/>
  <c r="M495" i="2"/>
  <c r="E495" i="2"/>
  <c r="F495" i="2"/>
  <c r="D495" i="2"/>
  <c r="B497" i="2"/>
  <c r="C496" i="2"/>
  <c r="V496" i="2"/>
  <c r="N496" i="2"/>
  <c r="O495" i="2" s="1"/>
  <c r="AE257" i="2"/>
  <c r="Z257" i="2"/>
  <c r="AB257" i="2" s="1"/>
  <c r="K494" i="2" l="1"/>
  <c r="H495" i="2"/>
  <c r="J495" i="2" s="1"/>
  <c r="X497" i="2"/>
  <c r="Y496" i="2" s="1"/>
  <c r="G495" i="2"/>
  <c r="I495" i="2" s="1"/>
  <c r="M496" i="2"/>
  <c r="D496" i="2"/>
  <c r="F496" i="2"/>
  <c r="E496" i="2"/>
  <c r="B498" i="2"/>
  <c r="V497" i="2"/>
  <c r="C497" i="2"/>
  <c r="N497" i="2"/>
  <c r="O496" i="2" s="1"/>
  <c r="S258" i="2"/>
  <c r="U258" i="2" s="1"/>
  <c r="R258" i="2"/>
  <c r="L258" i="2"/>
  <c r="T258" i="2" s="1"/>
  <c r="K495" i="2" l="1"/>
  <c r="H496" i="2"/>
  <c r="J496" i="2" s="1"/>
  <c r="X498" i="2"/>
  <c r="Y497" i="2" s="1"/>
  <c r="G496" i="2"/>
  <c r="I496" i="2" s="1"/>
  <c r="W258" i="2"/>
  <c r="AE258" i="2"/>
  <c r="P258" i="2"/>
  <c r="Q258" i="2" s="1"/>
  <c r="F497" i="2"/>
  <c r="D497" i="2"/>
  <c r="M497" i="2"/>
  <c r="E497" i="2"/>
  <c r="G497" i="2" s="1"/>
  <c r="I497" i="2" s="1"/>
  <c r="B499" i="2"/>
  <c r="V498" i="2"/>
  <c r="C498" i="2"/>
  <c r="N498" i="2"/>
  <c r="Z258" i="2"/>
  <c r="AB258" i="2" s="1"/>
  <c r="K496" i="2" l="1"/>
  <c r="H497" i="2"/>
  <c r="J497" i="2" s="1"/>
  <c r="K497" i="2" s="1"/>
  <c r="X499" i="2"/>
  <c r="Y498" i="2" s="1"/>
  <c r="O497" i="2"/>
  <c r="F498" i="2"/>
  <c r="D498" i="2"/>
  <c r="M498" i="2"/>
  <c r="E498" i="2"/>
  <c r="H498" i="2" s="1"/>
  <c r="B500" i="2"/>
  <c r="V499" i="2"/>
  <c r="C499" i="2"/>
  <c r="N499" i="2"/>
  <c r="O498" i="2" s="1"/>
  <c r="S259" i="2"/>
  <c r="U259" i="2" s="1"/>
  <c r="R259" i="2"/>
  <c r="L259" i="2"/>
  <c r="T259" i="2" s="1"/>
  <c r="J498" i="2" l="1"/>
  <c r="X500" i="2"/>
  <c r="Y499" i="2" s="1"/>
  <c r="W259" i="2"/>
  <c r="G498" i="2"/>
  <c r="I498" i="2" s="1"/>
  <c r="AE259" i="2"/>
  <c r="B501" i="2"/>
  <c r="C500" i="2"/>
  <c r="V500" i="2"/>
  <c r="N500" i="2"/>
  <c r="F499" i="2"/>
  <c r="D499" i="2"/>
  <c r="M499" i="2"/>
  <c r="E499" i="2"/>
  <c r="H499" i="2" s="1"/>
  <c r="J499" i="2" s="1"/>
  <c r="P259" i="2"/>
  <c r="Q259" i="2" s="1"/>
  <c r="Z259" i="2"/>
  <c r="AB259" i="2" s="1"/>
  <c r="G499" i="2" l="1"/>
  <c r="I499" i="2" s="1"/>
  <c r="K499" i="2" s="1"/>
  <c r="K498" i="2"/>
  <c r="X501" i="2"/>
  <c r="Y500" i="2" s="1"/>
  <c r="O499" i="2"/>
  <c r="B502" i="2"/>
  <c r="C501" i="2"/>
  <c r="V501" i="2"/>
  <c r="N501" i="2"/>
  <c r="E500" i="2"/>
  <c r="G500" i="2" s="1"/>
  <c r="I500" i="2" s="1"/>
  <c r="F500" i="2"/>
  <c r="D500" i="2"/>
  <c r="M500" i="2"/>
  <c r="L260" i="2"/>
  <c r="T260" i="2" s="1"/>
  <c r="S260" i="2"/>
  <c r="U260" i="2" s="1"/>
  <c r="R260" i="2"/>
  <c r="H500" i="2" l="1"/>
  <c r="J500" i="2" s="1"/>
  <c r="K500" i="2" s="1"/>
  <c r="X502" i="2"/>
  <c r="Y501" i="2" s="1"/>
  <c r="W260" i="2"/>
  <c r="O500" i="2"/>
  <c r="AE260" i="2"/>
  <c r="M501" i="2"/>
  <c r="E501" i="2"/>
  <c r="G501" i="2" s="1"/>
  <c r="I501" i="2" s="1"/>
  <c r="F501" i="2"/>
  <c r="D501" i="2"/>
  <c r="B503" i="2"/>
  <c r="C502" i="2"/>
  <c r="V502" i="2"/>
  <c r="N502" i="2"/>
  <c r="O501" i="2" s="1"/>
  <c r="Z260" i="2"/>
  <c r="AB260" i="2" s="1"/>
  <c r="P260" i="2"/>
  <c r="Q260" i="2" s="1"/>
  <c r="H501" i="2" l="1"/>
  <c r="J501" i="2" s="1"/>
  <c r="K501" i="2" s="1"/>
  <c r="X503" i="2"/>
  <c r="Y502" i="2" s="1"/>
  <c r="Y503" i="2"/>
  <c r="M502" i="2"/>
  <c r="E502" i="2"/>
  <c r="G502" i="2" s="1"/>
  <c r="I502" i="2" s="1"/>
  <c r="F502" i="2"/>
  <c r="D502" i="2"/>
  <c r="B504" i="2"/>
  <c r="C503" i="2"/>
  <c r="H503" i="2" s="1"/>
  <c r="V503" i="2"/>
  <c r="AB503" i="2"/>
  <c r="Q503" i="2"/>
  <c r="O502" i="2"/>
  <c r="N503" i="2"/>
  <c r="R261" i="2"/>
  <c r="L261" i="2"/>
  <c r="T261" i="2" s="1"/>
  <c r="S261" i="2"/>
  <c r="U261" i="2" s="1"/>
  <c r="H502" i="2" l="1"/>
  <c r="J502" i="2" s="1"/>
  <c r="K502" i="2" s="1"/>
  <c r="Y504" i="2"/>
  <c r="X504" i="2"/>
  <c r="W261" i="2"/>
  <c r="B505" i="2"/>
  <c r="V504" i="2"/>
  <c r="C504" i="2"/>
  <c r="H504" i="2" s="1"/>
  <c r="AB504" i="2"/>
  <c r="Q504" i="2"/>
  <c r="O503" i="2"/>
  <c r="N504" i="2"/>
  <c r="R504" i="2" s="1"/>
  <c r="AE261" i="2"/>
  <c r="M503" i="2"/>
  <c r="E503" i="2"/>
  <c r="F503" i="2"/>
  <c r="D503" i="2"/>
  <c r="J503" i="2"/>
  <c r="G503" i="2"/>
  <c r="I503" i="2" s="1"/>
  <c r="P261" i="2"/>
  <c r="Q261" i="2" s="1"/>
  <c r="Z261" i="2"/>
  <c r="AB261" i="2" s="1"/>
  <c r="X505" i="2" l="1"/>
  <c r="Y505" i="2"/>
  <c r="W504" i="2"/>
  <c r="B506" i="2"/>
  <c r="V505" i="2"/>
  <c r="C505" i="2"/>
  <c r="H505" i="2" s="1"/>
  <c r="AB505" i="2"/>
  <c r="N505" i="2"/>
  <c r="S505" i="2" s="1"/>
  <c r="U505" i="2" s="1"/>
  <c r="O504" i="2"/>
  <c r="Q505" i="2"/>
  <c r="S504" i="2"/>
  <c r="U504" i="2" s="1"/>
  <c r="D504" i="2"/>
  <c r="E504" i="2"/>
  <c r="F504" i="2"/>
  <c r="M504" i="2"/>
  <c r="G504" i="2"/>
  <c r="I504" i="2" s="1"/>
  <c r="J504" i="2"/>
  <c r="K503" i="2"/>
  <c r="R262" i="2"/>
  <c r="L262" i="2"/>
  <c r="T262" i="2" s="1"/>
  <c r="S262" i="2"/>
  <c r="U262" i="2" s="1"/>
  <c r="Y506" i="2" l="1"/>
  <c r="X506" i="2"/>
  <c r="W262" i="2"/>
  <c r="P262" i="2"/>
  <c r="Q262" i="2" s="1"/>
  <c r="R505" i="2"/>
  <c r="W505" i="2" s="1"/>
  <c r="F505" i="2"/>
  <c r="D505" i="2"/>
  <c r="M505" i="2"/>
  <c r="E505" i="2"/>
  <c r="G505" i="2"/>
  <c r="I505" i="2" s="1"/>
  <c r="J505" i="2"/>
  <c r="K504" i="2"/>
  <c r="L504" i="2" s="1"/>
  <c r="T504" i="2" s="1"/>
  <c r="AE504" i="2" s="1"/>
  <c r="B507" i="2"/>
  <c r="V506" i="2"/>
  <c r="C506" i="2"/>
  <c r="H506" i="2" s="1"/>
  <c r="AB506" i="2"/>
  <c r="N506" i="2"/>
  <c r="S506" i="2" s="1"/>
  <c r="U506" i="2" s="1"/>
  <c r="O505" i="2"/>
  <c r="Q506" i="2"/>
  <c r="AE262" i="2"/>
  <c r="Z262" i="2"/>
  <c r="AB262" i="2" s="1"/>
  <c r="Y507" i="2" l="1"/>
  <c r="X507" i="2"/>
  <c r="K505" i="2"/>
  <c r="L505" i="2" s="1"/>
  <c r="T505" i="2" s="1"/>
  <c r="AE505" i="2" s="1"/>
  <c r="F506" i="2"/>
  <c r="D506" i="2"/>
  <c r="M506" i="2"/>
  <c r="E506" i="2"/>
  <c r="J506" i="2"/>
  <c r="G506" i="2"/>
  <c r="I506" i="2" s="1"/>
  <c r="R506" i="2"/>
  <c r="W506" i="2" s="1"/>
  <c r="P504" i="2"/>
  <c r="B508" i="2"/>
  <c r="V507" i="2"/>
  <c r="C507" i="2"/>
  <c r="H507" i="2" s="1"/>
  <c r="AB507" i="2"/>
  <c r="O506" i="2"/>
  <c r="N507" i="2"/>
  <c r="R507" i="2" s="1"/>
  <c r="Q507" i="2"/>
  <c r="S263" i="2"/>
  <c r="U263" i="2" s="1"/>
  <c r="R263" i="2"/>
  <c r="L263" i="2"/>
  <c r="T263" i="2" s="1"/>
  <c r="X508" i="2" l="1"/>
  <c r="Y508" i="2"/>
  <c r="W507" i="2"/>
  <c r="W263" i="2"/>
  <c r="P505" i="2"/>
  <c r="AE263" i="2"/>
  <c r="K506" i="2"/>
  <c r="L506" i="2" s="1"/>
  <c r="T506" i="2" s="1"/>
  <c r="AE506" i="2" s="1"/>
  <c r="S507" i="2"/>
  <c r="U507" i="2" s="1"/>
  <c r="B509" i="2"/>
  <c r="C508" i="2"/>
  <c r="H508" i="2" s="1"/>
  <c r="V508" i="2"/>
  <c r="O507" i="2"/>
  <c r="AB508" i="2"/>
  <c r="N508" i="2"/>
  <c r="S508" i="2" s="1"/>
  <c r="U508" i="2" s="1"/>
  <c r="Q508" i="2"/>
  <c r="F507" i="2"/>
  <c r="D507" i="2"/>
  <c r="M507" i="2"/>
  <c r="E507" i="2"/>
  <c r="G507" i="2"/>
  <c r="I507" i="2" s="1"/>
  <c r="J507" i="2"/>
  <c r="P263" i="2"/>
  <c r="Q263" i="2" s="1"/>
  <c r="Z263" i="2"/>
  <c r="AB263" i="2" s="1"/>
  <c r="Y509" i="2" l="1"/>
  <c r="X509" i="2"/>
  <c r="P506" i="2"/>
  <c r="K507" i="2"/>
  <c r="L507" i="2" s="1"/>
  <c r="T507" i="2" s="1"/>
  <c r="AE507" i="2" s="1"/>
  <c r="R508" i="2"/>
  <c r="W508" i="2" s="1"/>
  <c r="M508" i="2"/>
  <c r="D508" i="2"/>
  <c r="E508" i="2"/>
  <c r="F508" i="2"/>
  <c r="J508" i="2"/>
  <c r="G508" i="2"/>
  <c r="I508" i="2" s="1"/>
  <c r="B510" i="2"/>
  <c r="C509" i="2"/>
  <c r="H509" i="2" s="1"/>
  <c r="V509" i="2"/>
  <c r="N509" i="2"/>
  <c r="S509" i="2" s="1"/>
  <c r="U509" i="2" s="1"/>
  <c r="O508" i="2"/>
  <c r="Q509" i="2"/>
  <c r="AB509" i="2"/>
  <c r="R264" i="2"/>
  <c r="S264" i="2"/>
  <c r="U264" i="2" s="1"/>
  <c r="L264" i="2"/>
  <c r="T264" i="2" s="1"/>
  <c r="Y510" i="2" l="1"/>
  <c r="X510" i="2"/>
  <c r="W264" i="2"/>
  <c r="P507" i="2"/>
  <c r="AE264" i="2"/>
  <c r="B511" i="2"/>
  <c r="C510" i="2"/>
  <c r="H510" i="2" s="1"/>
  <c r="V510" i="2"/>
  <c r="AB510" i="2"/>
  <c r="Q510" i="2"/>
  <c r="O509" i="2"/>
  <c r="N510" i="2"/>
  <c r="S510" i="2" s="1"/>
  <c r="U510" i="2" s="1"/>
  <c r="M509" i="2"/>
  <c r="E509" i="2"/>
  <c r="F509" i="2"/>
  <c r="D509" i="2"/>
  <c r="G509" i="2"/>
  <c r="I509" i="2" s="1"/>
  <c r="J509" i="2"/>
  <c r="R509" i="2"/>
  <c r="W509" i="2" s="1"/>
  <c r="K508" i="2"/>
  <c r="L508" i="2" s="1"/>
  <c r="T508" i="2" s="1"/>
  <c r="AE508" i="2" s="1"/>
  <c r="Z264" i="2"/>
  <c r="AB264" i="2" s="1"/>
  <c r="P264" i="2"/>
  <c r="Q264" i="2" s="1"/>
  <c r="Y511" i="2" l="1"/>
  <c r="X511" i="2"/>
  <c r="P508" i="2"/>
  <c r="K509" i="2"/>
  <c r="L509" i="2" s="1"/>
  <c r="T509" i="2" s="1"/>
  <c r="AE509" i="2" s="1"/>
  <c r="R510" i="2"/>
  <c r="W510" i="2" s="1"/>
  <c r="M510" i="2"/>
  <c r="E510" i="2"/>
  <c r="F510" i="2"/>
  <c r="D510" i="2"/>
  <c r="G510" i="2"/>
  <c r="I510" i="2" s="1"/>
  <c r="J510" i="2"/>
  <c r="B512" i="2"/>
  <c r="C511" i="2"/>
  <c r="H511" i="2" s="1"/>
  <c r="V511" i="2"/>
  <c r="AB511" i="2"/>
  <c r="Q511" i="2"/>
  <c r="O510" i="2"/>
  <c r="N511" i="2"/>
  <c r="S511" i="2" s="1"/>
  <c r="U511" i="2" s="1"/>
  <c r="R265" i="2"/>
  <c r="S265" i="2"/>
  <c r="U265" i="2" s="1"/>
  <c r="L265" i="2"/>
  <c r="T265" i="2" s="1"/>
  <c r="X512" i="2" l="1"/>
  <c r="Y512" i="2"/>
  <c r="W265" i="2"/>
  <c r="AE265" i="2"/>
  <c r="P509" i="2"/>
  <c r="K510" i="2"/>
  <c r="L510" i="2" s="1"/>
  <c r="T510" i="2" s="1"/>
  <c r="AE510" i="2" s="1"/>
  <c r="M511" i="2"/>
  <c r="E511" i="2"/>
  <c r="F511" i="2"/>
  <c r="D511" i="2"/>
  <c r="J511" i="2"/>
  <c r="G511" i="2"/>
  <c r="I511" i="2" s="1"/>
  <c r="R511" i="2"/>
  <c r="W511" i="2" s="1"/>
  <c r="B513" i="2"/>
  <c r="C512" i="2"/>
  <c r="H512" i="2" s="1"/>
  <c r="V512" i="2"/>
  <c r="AB512" i="2"/>
  <c r="O511" i="2"/>
  <c r="Q512" i="2"/>
  <c r="N512" i="2"/>
  <c r="S512" i="2" s="1"/>
  <c r="U512" i="2" s="1"/>
  <c r="P265" i="2"/>
  <c r="Q265" i="2" s="1"/>
  <c r="Z265" i="2"/>
  <c r="AB265" i="2" s="1"/>
  <c r="Y513" i="2" l="1"/>
  <c r="X513" i="2"/>
  <c r="P510" i="2"/>
  <c r="K511" i="2"/>
  <c r="L511" i="2" s="1"/>
  <c r="T511" i="2" s="1"/>
  <c r="AE511" i="2" s="1"/>
  <c r="F512" i="2"/>
  <c r="M512" i="2"/>
  <c r="D512" i="2"/>
  <c r="E512" i="2"/>
  <c r="J512" i="2"/>
  <c r="G512" i="2"/>
  <c r="I512" i="2" s="1"/>
  <c r="B514" i="2"/>
  <c r="V513" i="2"/>
  <c r="C513" i="2"/>
  <c r="H513" i="2" s="1"/>
  <c r="N513" i="2"/>
  <c r="R513" i="2" s="1"/>
  <c r="AB513" i="2"/>
  <c r="Q513" i="2"/>
  <c r="O512" i="2"/>
  <c r="R512" i="2"/>
  <c r="W512" i="2" s="1"/>
  <c r="R266" i="2"/>
  <c r="L266" i="2"/>
  <c r="T266" i="2" s="1"/>
  <c r="S266" i="2"/>
  <c r="U266" i="2" s="1"/>
  <c r="Y514" i="2" l="1"/>
  <c r="X514" i="2"/>
  <c r="W513" i="2"/>
  <c r="W266" i="2"/>
  <c r="P266" i="2"/>
  <c r="Q266" i="2" s="1"/>
  <c r="P511" i="2"/>
  <c r="K512" i="2"/>
  <c r="L512" i="2" s="1"/>
  <c r="T512" i="2" s="1"/>
  <c r="AE512" i="2" s="1"/>
  <c r="S513" i="2"/>
  <c r="U513" i="2" s="1"/>
  <c r="B515" i="2"/>
  <c r="V514" i="2"/>
  <c r="C514" i="2"/>
  <c r="H514" i="2" s="1"/>
  <c r="N514" i="2"/>
  <c r="S514" i="2" s="1"/>
  <c r="U514" i="2" s="1"/>
  <c r="Q514" i="2"/>
  <c r="AB514" i="2"/>
  <c r="O513" i="2"/>
  <c r="F513" i="2"/>
  <c r="D513" i="2"/>
  <c r="M513" i="2"/>
  <c r="E513" i="2"/>
  <c r="G513" i="2"/>
  <c r="I513" i="2" s="1"/>
  <c r="J513" i="2"/>
  <c r="AE266" i="2"/>
  <c r="Z266" i="2"/>
  <c r="AB266" i="2" s="1"/>
  <c r="Y515" i="2" l="1"/>
  <c r="X515" i="2"/>
  <c r="P512" i="2"/>
  <c r="K513" i="2"/>
  <c r="L513" i="2" s="1"/>
  <c r="T513" i="2" s="1"/>
  <c r="AE513" i="2" s="1"/>
  <c r="F514" i="2"/>
  <c r="D514" i="2"/>
  <c r="M514" i="2"/>
  <c r="E514" i="2"/>
  <c r="G514" i="2"/>
  <c r="I514" i="2" s="1"/>
  <c r="J514" i="2"/>
  <c r="V515" i="2"/>
  <c r="C515" i="2"/>
  <c r="H515" i="2" s="1"/>
  <c r="O514" i="2"/>
  <c r="Q515" i="2"/>
  <c r="N515" i="2"/>
  <c r="S515" i="2" s="1"/>
  <c r="U515" i="2" s="1"/>
  <c r="AB515" i="2"/>
  <c r="R514" i="2"/>
  <c r="W514" i="2" s="1"/>
  <c r="R267" i="2"/>
  <c r="S267" i="2"/>
  <c r="U267" i="2" s="1"/>
  <c r="L267" i="2"/>
  <c r="T267" i="2" s="1"/>
  <c r="W267" i="2" l="1"/>
  <c r="P513" i="2"/>
  <c r="AE267" i="2"/>
  <c r="F515" i="2"/>
  <c r="D515" i="2"/>
  <c r="M515" i="2"/>
  <c r="E515" i="2"/>
  <c r="J515" i="2"/>
  <c r="G515" i="2"/>
  <c r="I515" i="2" s="1"/>
  <c r="R515" i="2"/>
  <c r="W515" i="2" s="1"/>
  <c r="K514" i="2"/>
  <c r="L514" i="2" s="1"/>
  <c r="T514" i="2" s="1"/>
  <c r="AE514" i="2" s="1"/>
  <c r="Z267" i="2"/>
  <c r="AB267" i="2" s="1"/>
  <c r="P267" i="2"/>
  <c r="Q267" i="2" s="1"/>
  <c r="K515" i="2" l="1"/>
  <c r="L515" i="2" s="1"/>
  <c r="T515" i="2" s="1"/>
  <c r="AE515" i="2" s="1"/>
  <c r="P514" i="2"/>
  <c r="R268" i="2"/>
  <c r="S268" i="2"/>
  <c r="U268" i="2" s="1"/>
  <c r="L268" i="2"/>
  <c r="T268" i="2" s="1"/>
  <c r="W268" i="2" l="1"/>
  <c r="AE268" i="2"/>
  <c r="P515" i="2"/>
  <c r="AD514" i="2"/>
  <c r="AD513" i="2" s="1"/>
  <c r="AD512" i="2" s="1"/>
  <c r="AD511" i="2" s="1"/>
  <c r="AD510" i="2" s="1"/>
  <c r="AD509" i="2" s="1"/>
  <c r="AD508" i="2" s="1"/>
  <c r="AD507" i="2" s="1"/>
  <c r="AD506" i="2" s="1"/>
  <c r="AD505" i="2" s="1"/>
  <c r="AD504" i="2" s="1"/>
  <c r="AD503" i="2" s="1"/>
  <c r="Z268" i="2"/>
  <c r="AB268" i="2" s="1"/>
  <c r="P268" i="2"/>
  <c r="Q268" i="2" s="1"/>
  <c r="S269" i="2" l="1"/>
  <c r="U269" i="2" s="1"/>
  <c r="R269" i="2"/>
  <c r="L269" i="2"/>
  <c r="T269" i="2" s="1"/>
  <c r="W269" i="2" l="1"/>
  <c r="AE269" i="2"/>
  <c r="Z269" i="2"/>
  <c r="AB269" i="2" s="1"/>
  <c r="P269" i="2"/>
  <c r="Q269" i="2" s="1"/>
  <c r="R270" i="2" l="1"/>
  <c r="S270" i="2"/>
  <c r="U270" i="2" s="1"/>
  <c r="L270" i="2"/>
  <c r="T270" i="2" s="1"/>
  <c r="W270" i="2" l="1"/>
  <c r="AE270" i="2"/>
  <c r="P270" i="2"/>
  <c r="Q270" i="2" s="1"/>
  <c r="Z270" i="2"/>
  <c r="AB270" i="2" s="1"/>
  <c r="L271" i="2" l="1"/>
  <c r="T271" i="2" s="1"/>
  <c r="S271" i="2"/>
  <c r="U271" i="2" s="1"/>
  <c r="R271" i="2"/>
  <c r="W271" i="2" l="1"/>
  <c r="P271" i="2"/>
  <c r="Q271" i="2" s="1"/>
  <c r="AE271" i="2"/>
  <c r="Z271" i="2"/>
  <c r="AB271" i="2" s="1"/>
  <c r="S272" i="2" l="1"/>
  <c r="U272" i="2" s="1"/>
  <c r="L272" i="2"/>
  <c r="T272" i="2" s="1"/>
  <c r="R272" i="2"/>
  <c r="W272" i="2" l="1"/>
  <c r="AE272" i="2"/>
  <c r="P272" i="2"/>
  <c r="Q272" i="2" s="1"/>
  <c r="Z272" i="2"/>
  <c r="AB272" i="2" s="1"/>
  <c r="S273" i="2" l="1"/>
  <c r="U273" i="2" s="1"/>
  <c r="R273" i="2"/>
  <c r="L273" i="2"/>
  <c r="T273" i="2" s="1"/>
  <c r="W273" i="2" l="1"/>
  <c r="Z273" i="2"/>
  <c r="AB273" i="2" s="1"/>
  <c r="P273" i="2"/>
  <c r="Q273" i="2" s="1"/>
  <c r="R274" i="2" s="1"/>
  <c r="AE273" i="2"/>
  <c r="W274" i="2" l="1"/>
  <c r="S274" i="2"/>
  <c r="U274" i="2" s="1"/>
  <c r="L274" i="2"/>
  <c r="T274" i="2" s="1"/>
  <c r="Z274" i="2" l="1"/>
  <c r="AB274" i="2" s="1"/>
  <c r="AE274" i="2"/>
  <c r="P274" i="2"/>
  <c r="Q274" i="2" s="1"/>
  <c r="R275" i="2" s="1"/>
  <c r="W275" i="2" l="1"/>
  <c r="L275" i="2"/>
  <c r="T275" i="2" s="1"/>
  <c r="S275" i="2"/>
  <c r="U275" i="2" s="1"/>
  <c r="Z275" i="2" l="1"/>
  <c r="AB275" i="2" s="1"/>
  <c r="P275" i="2"/>
  <c r="Q275" i="2" s="1"/>
  <c r="S276" i="2" s="1"/>
  <c r="U276" i="2" s="1"/>
  <c r="AE275" i="2"/>
  <c r="L276" i="2" l="1"/>
  <c r="T276" i="2" s="1"/>
  <c r="AE276" i="2" s="1"/>
  <c r="R276" i="2"/>
  <c r="W276" i="2" l="1"/>
  <c r="P276" i="2"/>
  <c r="Q276" i="2" s="1"/>
  <c r="S277" i="2" s="1"/>
  <c r="U277" i="2" s="1"/>
  <c r="Z276" i="2"/>
  <c r="AB276" i="2" s="1"/>
  <c r="L277" i="2" l="1"/>
  <c r="T277" i="2" s="1"/>
  <c r="AE277" i="2" s="1"/>
  <c r="R277" i="2"/>
  <c r="W277" i="2" l="1"/>
  <c r="Z277" i="2"/>
  <c r="AB277" i="2" s="1"/>
  <c r="P277" i="2"/>
  <c r="Q277" i="2" s="1"/>
  <c r="R278" i="2" s="1"/>
  <c r="W278" i="2" l="1"/>
  <c r="S278" i="2"/>
  <c r="U278" i="2" s="1"/>
  <c r="L278" i="2"/>
  <c r="T278" i="2" s="1"/>
  <c r="P278" i="2" l="1"/>
  <c r="Q278" i="2" s="1"/>
  <c r="L279" i="2" s="1"/>
  <c r="T279" i="2" s="1"/>
  <c r="Z278" i="2"/>
  <c r="AB278" i="2" s="1"/>
  <c r="AE278" i="2"/>
  <c r="R279" i="2" l="1"/>
  <c r="S279" i="2"/>
  <c r="U279" i="2" s="1"/>
  <c r="P279" i="2"/>
  <c r="Q279" i="2" s="1"/>
  <c r="W279" i="2" l="1"/>
  <c r="Z279" i="2"/>
  <c r="AB279" i="2" s="1"/>
  <c r="AE279" i="2"/>
  <c r="R280" i="2"/>
  <c r="L280" i="2"/>
  <c r="T280" i="2" s="1"/>
  <c r="S280" i="2"/>
  <c r="U280" i="2" s="1"/>
  <c r="W280" i="2" l="1"/>
  <c r="P280" i="2"/>
  <c r="Q280" i="2" s="1"/>
  <c r="AE280" i="2"/>
  <c r="Z280" i="2"/>
  <c r="AB280" i="2" s="1"/>
  <c r="L281" i="2" l="1"/>
  <c r="T281" i="2" s="1"/>
  <c r="S281" i="2"/>
  <c r="U281" i="2" s="1"/>
  <c r="R281" i="2"/>
  <c r="W281" i="2" l="1"/>
  <c r="AE281" i="2"/>
  <c r="P281" i="2"/>
  <c r="Q281" i="2" s="1"/>
  <c r="Z281" i="2"/>
  <c r="AB281" i="2" s="1"/>
  <c r="R282" i="2" l="1"/>
  <c r="S282" i="2"/>
  <c r="U282" i="2" s="1"/>
  <c r="L282" i="2"/>
  <c r="T282" i="2" s="1"/>
  <c r="W282" i="2" l="1"/>
  <c r="AE282" i="2"/>
  <c r="P282" i="2"/>
  <c r="Q282" i="2" s="1"/>
  <c r="Z282" i="2"/>
  <c r="AB282" i="2" s="1"/>
  <c r="R283" i="2" l="1"/>
  <c r="S283" i="2"/>
  <c r="U283" i="2" s="1"/>
  <c r="L283" i="2"/>
  <c r="T283" i="2" s="1"/>
  <c r="W283" i="2" l="1"/>
  <c r="AE283" i="2"/>
  <c r="P283" i="2"/>
  <c r="Q283" i="2" s="1"/>
  <c r="Z283" i="2"/>
  <c r="AB283" i="2" s="1"/>
  <c r="L284" i="2" l="1"/>
  <c r="T284" i="2" s="1"/>
  <c r="S284" i="2"/>
  <c r="U284" i="2" s="1"/>
  <c r="R284" i="2"/>
  <c r="W284" i="2" l="1"/>
  <c r="AE284" i="2"/>
  <c r="Z284" i="2"/>
  <c r="AB284" i="2" s="1"/>
  <c r="P284" i="2"/>
  <c r="Q284" i="2" s="1"/>
  <c r="S285" i="2" l="1"/>
  <c r="U285" i="2" s="1"/>
  <c r="R285" i="2"/>
  <c r="L285" i="2"/>
  <c r="T285" i="2" s="1"/>
  <c r="W285" i="2" l="1"/>
  <c r="AE285" i="2"/>
  <c r="Z285" i="2"/>
  <c r="AB285" i="2" s="1"/>
  <c r="P285" i="2"/>
  <c r="Q285" i="2" s="1"/>
  <c r="R286" i="2" l="1"/>
  <c r="L286" i="2"/>
  <c r="T286" i="2" s="1"/>
  <c r="S286" i="2"/>
  <c r="U286" i="2" s="1"/>
  <c r="W286" i="2" l="1"/>
  <c r="AE286" i="2"/>
  <c r="Z286" i="2"/>
  <c r="AB286" i="2" s="1"/>
  <c r="P286" i="2"/>
  <c r="Q286" i="2" s="1"/>
  <c r="S287" i="2" l="1"/>
  <c r="U287" i="2" s="1"/>
  <c r="R287" i="2"/>
  <c r="L287" i="2"/>
  <c r="T287" i="2" s="1"/>
  <c r="W287" i="2" l="1"/>
  <c r="AE287" i="2"/>
  <c r="P287" i="2"/>
  <c r="Q287" i="2" s="1"/>
  <c r="Z287" i="2"/>
  <c r="AB287" i="2" s="1"/>
  <c r="R288" i="2" l="1"/>
  <c r="S288" i="2"/>
  <c r="U288" i="2" s="1"/>
  <c r="L288" i="2"/>
  <c r="T288" i="2" s="1"/>
  <c r="W288" i="2" l="1"/>
  <c r="AE288" i="2"/>
  <c r="Z288" i="2"/>
  <c r="AB288" i="2" s="1"/>
  <c r="P288" i="2"/>
  <c r="Q288" i="2" s="1"/>
  <c r="S289" i="2" l="1"/>
  <c r="U289" i="2" s="1"/>
  <c r="L289" i="2"/>
  <c r="T289" i="2" s="1"/>
  <c r="R289" i="2"/>
  <c r="W289" i="2" l="1"/>
  <c r="P289" i="2"/>
  <c r="Q289" i="2" s="1"/>
  <c r="AE289" i="2"/>
  <c r="Z289" i="2"/>
  <c r="AB289" i="2" s="1"/>
  <c r="L290" i="2" l="1"/>
  <c r="T290" i="2" s="1"/>
  <c r="R290" i="2"/>
  <c r="S290" i="2"/>
  <c r="U290" i="2" s="1"/>
  <c r="W290" i="2" l="1"/>
  <c r="P290" i="2"/>
  <c r="Q290" i="2" s="1"/>
  <c r="AE290" i="2"/>
  <c r="Z290" i="2"/>
  <c r="AB290" i="2" s="1"/>
  <c r="L291" i="2" l="1"/>
  <c r="T291" i="2" s="1"/>
  <c r="S291" i="2"/>
  <c r="U291" i="2" s="1"/>
  <c r="R291" i="2"/>
  <c r="W291" i="2" l="1"/>
  <c r="P291" i="2"/>
  <c r="Q291" i="2" s="1"/>
  <c r="S292" i="2" s="1"/>
  <c r="U292" i="2" s="1"/>
  <c r="Z291" i="2"/>
  <c r="AB291" i="2" s="1"/>
  <c r="AE291" i="2"/>
  <c r="R292" i="2" l="1"/>
  <c r="L292" i="2"/>
  <c r="T292" i="2" s="1"/>
  <c r="AE292" i="2" s="1"/>
  <c r="W292" i="2" l="1"/>
  <c r="Z292" i="2"/>
  <c r="AB292" i="2" s="1"/>
  <c r="P292" i="2"/>
  <c r="Q292" i="2" s="1"/>
  <c r="S293" i="2" s="1"/>
  <c r="U293" i="2" s="1"/>
  <c r="L293" i="2" l="1"/>
  <c r="T293" i="2" s="1"/>
  <c r="AE293" i="2" s="1"/>
  <c r="R293" i="2"/>
  <c r="W293" i="2" l="1"/>
  <c r="P293" i="2"/>
  <c r="Q293" i="2" s="1"/>
  <c r="R294" i="2" s="1"/>
  <c r="Z293" i="2"/>
  <c r="AB293" i="2" s="1"/>
  <c r="W294" i="2" l="1"/>
  <c r="L294" i="2"/>
  <c r="T294" i="2" s="1"/>
  <c r="S294" i="2"/>
  <c r="U294" i="2" s="1"/>
  <c r="Z294" i="2" l="1"/>
  <c r="AB294" i="2" s="1"/>
  <c r="P294" i="2"/>
  <c r="Q294" i="2" s="1"/>
  <c r="R295" i="2" s="1"/>
  <c r="AE294" i="2"/>
  <c r="W295" i="2" l="1"/>
  <c r="S295" i="2"/>
  <c r="U295" i="2" s="1"/>
  <c r="L295" i="2"/>
  <c r="T295" i="2" s="1"/>
  <c r="Z295" i="2" l="1"/>
  <c r="AB295" i="2" s="1"/>
  <c r="AE295" i="2"/>
  <c r="P295" i="2"/>
  <c r="Q295" i="2" s="1"/>
  <c r="S296" i="2" s="1"/>
  <c r="U296" i="2" s="1"/>
  <c r="L296" i="2" l="1"/>
  <c r="T296" i="2" s="1"/>
  <c r="AE296" i="2" s="1"/>
  <c r="R296" i="2"/>
  <c r="W296" i="2" l="1"/>
  <c r="P296" i="2"/>
  <c r="Q296" i="2" s="1"/>
  <c r="R297" i="2" s="1"/>
  <c r="Z296" i="2"/>
  <c r="AB296" i="2" s="1"/>
  <c r="W297" i="2" l="1"/>
  <c r="S297" i="2"/>
  <c r="U297" i="2" s="1"/>
  <c r="L297" i="2"/>
  <c r="T297" i="2" s="1"/>
  <c r="Z297" i="2" l="1"/>
  <c r="AB297" i="2" s="1"/>
  <c r="P297" i="2"/>
  <c r="Q297" i="2" s="1"/>
  <c r="R298" i="2" s="1"/>
  <c r="AE297" i="2"/>
  <c r="W298" i="2" l="1"/>
  <c r="L298" i="2"/>
  <c r="T298" i="2" s="1"/>
  <c r="S298" i="2"/>
  <c r="U298" i="2" s="1"/>
  <c r="Z298" i="2" l="1"/>
  <c r="AB298" i="2" s="1"/>
  <c r="P298" i="2"/>
  <c r="Q298" i="2" s="1"/>
  <c r="S299" i="2" s="1"/>
  <c r="U299" i="2" s="1"/>
  <c r="AE298" i="2"/>
  <c r="L299" i="2" l="1"/>
  <c r="T299" i="2" s="1"/>
  <c r="AE299" i="2" s="1"/>
  <c r="R299" i="2"/>
  <c r="W299" i="2" l="1"/>
  <c r="Z299" i="2"/>
  <c r="AB299" i="2" s="1"/>
  <c r="P299" i="2"/>
  <c r="Q299" i="2" s="1"/>
  <c r="L300" i="2" s="1"/>
  <c r="T300" i="2" s="1"/>
  <c r="R300" i="2" l="1"/>
  <c r="S300" i="2"/>
  <c r="U300" i="2" s="1"/>
  <c r="P300" i="2"/>
  <c r="Q300" i="2" s="1"/>
  <c r="W300" i="2" l="1"/>
  <c r="AE300" i="2"/>
  <c r="Z300" i="2"/>
  <c r="AB300" i="2" s="1"/>
  <c r="L301" i="2"/>
  <c r="T301" i="2" s="1"/>
  <c r="S301" i="2"/>
  <c r="U301" i="2" s="1"/>
  <c r="R301" i="2"/>
  <c r="W301" i="2" l="1"/>
  <c r="AE301" i="2"/>
  <c r="P301" i="2"/>
  <c r="Q301" i="2" s="1"/>
  <c r="Z301" i="2"/>
  <c r="AB301" i="2" s="1"/>
  <c r="L302" i="2" l="1"/>
  <c r="T302" i="2" s="1"/>
  <c r="R302" i="2"/>
  <c r="S302" i="2"/>
  <c r="U302" i="2" s="1"/>
  <c r="W302" i="2" l="1"/>
  <c r="P302" i="2"/>
  <c r="Q302" i="2" s="1"/>
  <c r="AE302" i="2"/>
  <c r="Z302" i="2"/>
  <c r="AB302" i="2" s="1"/>
  <c r="R303" i="2" l="1"/>
  <c r="S303" i="2"/>
  <c r="U303" i="2" s="1"/>
  <c r="L303" i="2"/>
  <c r="T303" i="2" s="1"/>
  <c r="W303" i="2" l="1"/>
  <c r="AE303" i="2"/>
  <c r="P303" i="2"/>
  <c r="Q303" i="2" s="1"/>
  <c r="Z303" i="2"/>
  <c r="AB303" i="2" s="1"/>
  <c r="S304" i="2" l="1"/>
  <c r="U304" i="2" s="1"/>
  <c r="R304" i="2"/>
  <c r="L304" i="2"/>
  <c r="T304" i="2" s="1"/>
  <c r="W304" i="2" l="1"/>
  <c r="AE304" i="2"/>
  <c r="Z304" i="2"/>
  <c r="AB304" i="2" s="1"/>
  <c r="P304" i="2"/>
  <c r="Q304" i="2" s="1"/>
  <c r="R305" i="2" l="1"/>
  <c r="S305" i="2"/>
  <c r="U305" i="2" s="1"/>
  <c r="L305" i="2"/>
  <c r="T305" i="2" s="1"/>
  <c r="W305" i="2" l="1"/>
  <c r="AE305" i="2"/>
  <c r="P305" i="2"/>
  <c r="Q305" i="2" s="1"/>
  <c r="Z305" i="2"/>
  <c r="AB305" i="2" s="1"/>
  <c r="R306" i="2" l="1"/>
  <c r="S306" i="2"/>
  <c r="U306" i="2" s="1"/>
  <c r="L306" i="2"/>
  <c r="T306" i="2" s="1"/>
  <c r="W306" i="2" l="1"/>
  <c r="AE306" i="2"/>
  <c r="P306" i="2"/>
  <c r="Q306" i="2" s="1"/>
  <c r="Z306" i="2"/>
  <c r="AB306" i="2" s="1"/>
  <c r="R307" i="2" l="1"/>
  <c r="S307" i="2"/>
  <c r="U307" i="2" s="1"/>
  <c r="L307" i="2"/>
  <c r="T307" i="2" s="1"/>
  <c r="W307" i="2" l="1"/>
  <c r="AE307" i="2"/>
  <c r="Z307" i="2"/>
  <c r="AB307" i="2" s="1"/>
  <c r="P307" i="2"/>
  <c r="Q307" i="2" s="1"/>
  <c r="R308" i="2" l="1"/>
  <c r="S308" i="2"/>
  <c r="U308" i="2" s="1"/>
  <c r="L308" i="2"/>
  <c r="T308" i="2" s="1"/>
  <c r="W308" i="2" l="1"/>
  <c r="AE308" i="2"/>
  <c r="P308" i="2"/>
  <c r="Q308" i="2" s="1"/>
  <c r="L309" i="2" s="1"/>
  <c r="Z308" i="2"/>
  <c r="AB308" i="2" s="1"/>
  <c r="S309" i="2" l="1"/>
  <c r="U309" i="2" s="1"/>
  <c r="T309" i="2"/>
  <c r="P309" i="2"/>
  <c r="Q309" i="2" s="1"/>
  <c r="R309" i="2"/>
  <c r="W309" i="2" l="1"/>
  <c r="AE309" i="2"/>
  <c r="Z309" i="2"/>
  <c r="AB309" i="2" s="1"/>
  <c r="S310" i="2"/>
  <c r="U310" i="2" s="1"/>
  <c r="R310" i="2"/>
  <c r="L310" i="2"/>
  <c r="T310" i="2" s="1"/>
  <c r="W310" i="2" l="1"/>
  <c r="AE310" i="2"/>
  <c r="Z310" i="2"/>
  <c r="AB310" i="2" s="1"/>
  <c r="P310" i="2"/>
  <c r="Q310" i="2" s="1"/>
  <c r="L311" i="2" l="1"/>
  <c r="T311" i="2" s="1"/>
  <c r="R311" i="2"/>
  <c r="S311" i="2"/>
  <c r="U311" i="2" s="1"/>
  <c r="W311" i="2" l="1"/>
  <c r="P311" i="2"/>
  <c r="Q311" i="2" s="1"/>
  <c r="AE311" i="2"/>
  <c r="Z311" i="2"/>
  <c r="AB311" i="2" s="1"/>
  <c r="S312" i="2" l="1"/>
  <c r="U312" i="2" s="1"/>
  <c r="R312" i="2"/>
  <c r="L312" i="2"/>
  <c r="T312" i="2" s="1"/>
  <c r="W312" i="2" l="1"/>
  <c r="P312" i="2"/>
  <c r="Q312" i="2" s="1"/>
  <c r="AE312" i="2"/>
  <c r="Z312" i="2"/>
  <c r="AB312" i="2" s="1"/>
  <c r="S313" i="2" l="1"/>
  <c r="U313" i="2" s="1"/>
  <c r="L313" i="2"/>
  <c r="T313" i="2" s="1"/>
  <c r="R313" i="2"/>
  <c r="W313" i="2" l="1"/>
  <c r="AE313" i="2"/>
  <c r="Z313" i="2"/>
  <c r="AB313" i="2" s="1"/>
  <c r="P313" i="2"/>
  <c r="Q313" i="2" s="1"/>
  <c r="R314" i="2" l="1"/>
  <c r="S314" i="2"/>
  <c r="U314" i="2" s="1"/>
  <c r="L314" i="2"/>
  <c r="T314" i="2" s="1"/>
  <c r="W314" i="2" l="1"/>
  <c r="AE314" i="2"/>
  <c r="P314" i="2"/>
  <c r="Q314" i="2" s="1"/>
  <c r="Z314" i="2"/>
  <c r="AB314" i="2" s="1"/>
  <c r="R315" i="2" l="1"/>
  <c r="S315" i="2"/>
  <c r="U315" i="2" s="1"/>
  <c r="L315" i="2"/>
  <c r="T315" i="2" s="1"/>
  <c r="W315" i="2" l="1"/>
  <c r="AE315" i="2"/>
  <c r="P315" i="2"/>
  <c r="Q315" i="2" s="1"/>
  <c r="Z315" i="2"/>
  <c r="AB315" i="2" s="1"/>
  <c r="L316" i="2" l="1"/>
  <c r="T316" i="2" s="1"/>
  <c r="S316" i="2"/>
  <c r="U316" i="2" s="1"/>
  <c r="R316" i="2"/>
  <c r="W316" i="2" l="1"/>
  <c r="P316" i="2"/>
  <c r="Q316" i="2" s="1"/>
  <c r="AE316" i="2"/>
  <c r="Z316" i="2"/>
  <c r="AB316" i="2" s="1"/>
  <c r="L317" i="2" l="1"/>
  <c r="T317" i="2" s="1"/>
  <c r="R317" i="2"/>
  <c r="S317" i="2"/>
  <c r="U317" i="2" s="1"/>
  <c r="W317" i="2" l="1"/>
  <c r="AE317" i="2"/>
  <c r="Z317" i="2"/>
  <c r="AB317" i="2" s="1"/>
  <c r="P317" i="2"/>
  <c r="Q317" i="2" s="1"/>
  <c r="R318" i="2" l="1"/>
  <c r="S318" i="2"/>
  <c r="U318" i="2" s="1"/>
  <c r="L318" i="2"/>
  <c r="T318" i="2" s="1"/>
  <c r="W318" i="2" l="1"/>
  <c r="AE318" i="2"/>
  <c r="P318" i="2"/>
  <c r="Q318" i="2" s="1"/>
  <c r="Z318" i="2"/>
  <c r="AB318" i="2" s="1"/>
  <c r="S319" i="2" l="1"/>
  <c r="U319" i="2" s="1"/>
  <c r="R319" i="2"/>
  <c r="L319" i="2"/>
  <c r="T319" i="2" s="1"/>
  <c r="W319" i="2" l="1"/>
  <c r="AE319" i="2"/>
  <c r="Z319" i="2"/>
  <c r="AB319" i="2" s="1"/>
  <c r="P319" i="2"/>
  <c r="Q319" i="2" s="1"/>
  <c r="S320" i="2" l="1"/>
  <c r="U320" i="2" s="1"/>
  <c r="R320" i="2"/>
  <c r="L320" i="2"/>
  <c r="T320" i="2" s="1"/>
  <c r="W320" i="2" l="1"/>
  <c r="AE320" i="2"/>
  <c r="Z320" i="2"/>
  <c r="AB320" i="2" s="1"/>
  <c r="P320" i="2"/>
  <c r="Q320" i="2" s="1"/>
  <c r="S321" i="2" l="1"/>
  <c r="U321" i="2" s="1"/>
  <c r="L321" i="2"/>
  <c r="T321" i="2" s="1"/>
  <c r="R321" i="2"/>
  <c r="W321" i="2" l="1"/>
  <c r="P321" i="2"/>
  <c r="Q321" i="2" s="1"/>
  <c r="AE321" i="2"/>
  <c r="Z321" i="2"/>
  <c r="AB321" i="2" s="1"/>
  <c r="L322" i="2" l="1"/>
  <c r="T322" i="2" s="1"/>
  <c r="R322" i="2"/>
  <c r="S322" i="2"/>
  <c r="U322" i="2" s="1"/>
  <c r="W322" i="2" l="1"/>
  <c r="AE322" i="2"/>
  <c r="P322" i="2"/>
  <c r="Q322" i="2" s="1"/>
  <c r="Z322" i="2"/>
  <c r="AB322" i="2" s="1"/>
  <c r="R323" i="2" l="1"/>
  <c r="S323" i="2"/>
  <c r="U323" i="2" s="1"/>
  <c r="L323" i="2"/>
  <c r="T323" i="2" s="1"/>
  <c r="W323" i="2" l="1"/>
  <c r="AE323" i="2"/>
  <c r="P323" i="2"/>
  <c r="Q323" i="2" s="1"/>
  <c r="Z323" i="2"/>
  <c r="AB323" i="2" s="1"/>
  <c r="L324" i="2" l="1"/>
  <c r="T324" i="2" s="1"/>
  <c r="R324" i="2"/>
  <c r="S324" i="2"/>
  <c r="U324" i="2" s="1"/>
  <c r="W324" i="2" l="1"/>
  <c r="AE324" i="2"/>
  <c r="Z324" i="2"/>
  <c r="AB324" i="2" s="1"/>
  <c r="P324" i="2"/>
  <c r="Q324" i="2" s="1"/>
  <c r="S325" i="2" l="1"/>
  <c r="U325" i="2" s="1"/>
  <c r="R325" i="2"/>
  <c r="L325" i="2"/>
  <c r="T325" i="2" s="1"/>
  <c r="W325" i="2" l="1"/>
  <c r="AE325" i="2"/>
  <c r="Z325" i="2"/>
  <c r="AB325" i="2" s="1"/>
  <c r="P325" i="2"/>
  <c r="Q325" i="2" s="1"/>
  <c r="L326" i="2" l="1"/>
  <c r="T326" i="2" s="1"/>
  <c r="S326" i="2"/>
  <c r="U326" i="2" s="1"/>
  <c r="R326" i="2"/>
  <c r="W326" i="2" l="1"/>
  <c r="AE326" i="2"/>
  <c r="Z326" i="2"/>
  <c r="AB326" i="2" s="1"/>
  <c r="P326" i="2"/>
  <c r="Q326" i="2" s="1"/>
  <c r="L327" i="2" l="1"/>
  <c r="T327" i="2" s="1"/>
  <c r="S327" i="2"/>
  <c r="U327" i="2" s="1"/>
  <c r="R327" i="2"/>
  <c r="W327" i="2" l="1"/>
  <c r="P327" i="2"/>
  <c r="Q327" i="2" s="1"/>
  <c r="AE327" i="2"/>
  <c r="Z327" i="2"/>
  <c r="AB327" i="2" s="1"/>
  <c r="R328" i="2" l="1"/>
  <c r="L328" i="2"/>
  <c r="T328" i="2" s="1"/>
  <c r="S328" i="2"/>
  <c r="U328" i="2" s="1"/>
  <c r="W328" i="2" l="1"/>
  <c r="AE328" i="2"/>
  <c r="Z328" i="2"/>
  <c r="AB328" i="2" s="1"/>
  <c r="P328" i="2"/>
  <c r="Q328" i="2" s="1"/>
  <c r="R329" i="2" l="1"/>
  <c r="L329" i="2"/>
  <c r="T329" i="2" s="1"/>
  <c r="S329" i="2"/>
  <c r="U329" i="2" s="1"/>
  <c r="W329" i="2" l="1"/>
  <c r="P329" i="2"/>
  <c r="Q329" i="2" s="1"/>
  <c r="AE329" i="2"/>
  <c r="Z329" i="2"/>
  <c r="AB329" i="2" s="1"/>
  <c r="S330" i="2" l="1"/>
  <c r="U330" i="2" s="1"/>
  <c r="R330" i="2"/>
  <c r="L330" i="2"/>
  <c r="T330" i="2" s="1"/>
  <c r="W330" i="2" l="1"/>
  <c r="AE330" i="2"/>
  <c r="Z330" i="2"/>
  <c r="AB330" i="2" s="1"/>
  <c r="P330" i="2"/>
  <c r="Q330" i="2" s="1"/>
  <c r="R331" i="2" l="1"/>
  <c r="S331" i="2"/>
  <c r="U331" i="2" s="1"/>
  <c r="L331" i="2"/>
  <c r="T331" i="2" s="1"/>
  <c r="W331" i="2" l="1"/>
  <c r="AE331" i="2"/>
  <c r="Z331" i="2"/>
  <c r="AB331" i="2" s="1"/>
  <c r="P331" i="2"/>
  <c r="Q331" i="2" s="1"/>
  <c r="L332" i="2" l="1"/>
  <c r="T332" i="2" s="1"/>
  <c r="R332" i="2"/>
  <c r="S332" i="2"/>
  <c r="U332" i="2" s="1"/>
  <c r="W332" i="2" l="1"/>
  <c r="P332" i="2"/>
  <c r="Q332" i="2" s="1"/>
  <c r="AE332" i="2"/>
  <c r="Z332" i="2"/>
  <c r="AB332" i="2" s="1"/>
  <c r="L333" i="2" l="1"/>
  <c r="T333" i="2" s="1"/>
  <c r="S333" i="2"/>
  <c r="U333" i="2" s="1"/>
  <c r="R333" i="2"/>
  <c r="W333" i="2" l="1"/>
  <c r="P333" i="2"/>
  <c r="Q333" i="2" s="1"/>
  <c r="AE333" i="2"/>
  <c r="Z333" i="2"/>
  <c r="AB333" i="2" s="1"/>
  <c r="S334" i="2" l="1"/>
  <c r="U334" i="2" s="1"/>
  <c r="L334" i="2"/>
  <c r="T334" i="2" s="1"/>
  <c r="R334" i="2"/>
  <c r="W334" i="2" l="1"/>
  <c r="P334" i="2"/>
  <c r="Q334" i="2" s="1"/>
  <c r="AE334" i="2"/>
  <c r="Z334" i="2"/>
  <c r="AB334" i="2" s="1"/>
  <c r="S335" i="2" l="1"/>
  <c r="U335" i="2" s="1"/>
  <c r="R335" i="2"/>
  <c r="L335" i="2"/>
  <c r="T335" i="2" s="1"/>
  <c r="W335" i="2" l="1"/>
  <c r="AE335" i="2"/>
  <c r="P335" i="2"/>
  <c r="Q335" i="2" s="1"/>
  <c r="Z335" i="2"/>
  <c r="AB335" i="2" s="1"/>
  <c r="S336" i="2" l="1"/>
  <c r="U336" i="2" s="1"/>
  <c r="L336" i="2"/>
  <c r="T336" i="2" s="1"/>
  <c r="R336" i="2"/>
  <c r="W336" i="2" l="1"/>
  <c r="AE336" i="2"/>
  <c r="P336" i="2"/>
  <c r="Q336" i="2" s="1"/>
  <c r="Z336" i="2"/>
  <c r="AB336" i="2" s="1"/>
  <c r="R337" i="2" l="1"/>
  <c r="L337" i="2"/>
  <c r="T337" i="2" s="1"/>
  <c r="S337" i="2"/>
  <c r="U337" i="2" s="1"/>
  <c r="W337" i="2" l="1"/>
  <c r="P337" i="2"/>
  <c r="Q337" i="2" s="1"/>
  <c r="AE337" i="2"/>
  <c r="Z337" i="2"/>
  <c r="AB337" i="2" s="1"/>
  <c r="S338" i="2" l="1"/>
  <c r="U338" i="2" s="1"/>
  <c r="L338" i="2"/>
  <c r="T338" i="2" s="1"/>
  <c r="R338" i="2"/>
  <c r="W338" i="2" l="1"/>
  <c r="P338" i="2"/>
  <c r="Q338" i="2" s="1"/>
  <c r="AE338" i="2"/>
  <c r="Z338" i="2"/>
  <c r="AB338" i="2" s="1"/>
  <c r="R339" i="2" l="1"/>
  <c r="S339" i="2"/>
  <c r="U339" i="2" s="1"/>
  <c r="L339" i="2"/>
  <c r="T339" i="2" s="1"/>
  <c r="W339" i="2" l="1"/>
  <c r="AE339" i="2"/>
  <c r="P339" i="2"/>
  <c r="Q339" i="2" s="1"/>
  <c r="Z339" i="2"/>
  <c r="AB339" i="2" s="1"/>
  <c r="S340" i="2" l="1"/>
  <c r="U340" i="2" s="1"/>
  <c r="R340" i="2"/>
  <c r="L340" i="2"/>
  <c r="T340" i="2" s="1"/>
  <c r="W340" i="2" l="1"/>
  <c r="AE340" i="2"/>
  <c r="Z340" i="2"/>
  <c r="AB340" i="2" s="1"/>
  <c r="P340" i="2"/>
  <c r="Q340" i="2" s="1"/>
  <c r="S341" i="2" l="1"/>
  <c r="U341" i="2" s="1"/>
  <c r="R341" i="2"/>
  <c r="L341" i="2"/>
  <c r="T341" i="2" s="1"/>
  <c r="W341" i="2" l="1"/>
  <c r="AE341" i="2"/>
  <c r="Z341" i="2"/>
  <c r="AB341" i="2" s="1"/>
  <c r="P341" i="2"/>
  <c r="Q341" i="2" s="1"/>
  <c r="L342" i="2" l="1"/>
  <c r="T342" i="2" s="1"/>
  <c r="S342" i="2"/>
  <c r="U342" i="2" s="1"/>
  <c r="R342" i="2"/>
  <c r="W342" i="2" l="1"/>
  <c r="P342" i="2"/>
  <c r="Q342" i="2" s="1"/>
  <c r="AE342" i="2"/>
  <c r="Z342" i="2"/>
  <c r="AB342" i="2" s="1"/>
  <c r="S343" i="2" l="1"/>
  <c r="U343" i="2" s="1"/>
  <c r="L343" i="2"/>
  <c r="T343" i="2" s="1"/>
  <c r="R343" i="2"/>
  <c r="W343" i="2" l="1"/>
  <c r="P343" i="2"/>
  <c r="Q343" i="2" s="1"/>
  <c r="AE343" i="2"/>
  <c r="Z343" i="2"/>
  <c r="AB343" i="2" s="1"/>
  <c r="R344" i="2" l="1"/>
  <c r="L344" i="2"/>
  <c r="T344" i="2" s="1"/>
  <c r="S344" i="2"/>
  <c r="U344" i="2" s="1"/>
  <c r="W344" i="2" l="1"/>
  <c r="AE344" i="2"/>
  <c r="Z344" i="2"/>
  <c r="AB344" i="2" s="1"/>
  <c r="P344" i="2"/>
  <c r="Q344" i="2" s="1"/>
  <c r="S345" i="2" l="1"/>
  <c r="U345" i="2" s="1"/>
  <c r="L345" i="2"/>
  <c r="T345" i="2" s="1"/>
  <c r="R345" i="2"/>
  <c r="W345" i="2" l="1"/>
  <c r="AE345" i="2"/>
  <c r="P345" i="2"/>
  <c r="Q345" i="2" s="1"/>
  <c r="Z345" i="2"/>
  <c r="AB345" i="2" s="1"/>
  <c r="S346" i="2" l="1"/>
  <c r="U346" i="2" s="1"/>
  <c r="L346" i="2"/>
  <c r="T346" i="2" s="1"/>
  <c r="R346" i="2"/>
  <c r="W346" i="2" l="1"/>
  <c r="P346" i="2"/>
  <c r="Q346" i="2" s="1"/>
  <c r="AE346" i="2"/>
  <c r="Z346" i="2"/>
  <c r="AB346" i="2" s="1"/>
  <c r="S347" i="2" l="1"/>
  <c r="U347" i="2" s="1"/>
  <c r="R347" i="2"/>
  <c r="L347" i="2"/>
  <c r="T347" i="2" s="1"/>
  <c r="W347" i="2" l="1"/>
  <c r="AE347" i="2"/>
  <c r="P347" i="2"/>
  <c r="Q347" i="2" s="1"/>
  <c r="Z347" i="2"/>
  <c r="AB347" i="2" s="1"/>
  <c r="R348" i="2" l="1"/>
  <c r="L348" i="2"/>
  <c r="T348" i="2" s="1"/>
  <c r="S348" i="2"/>
  <c r="U348" i="2" s="1"/>
  <c r="W348" i="2" l="1"/>
  <c r="P348" i="2"/>
  <c r="Q348" i="2" s="1"/>
  <c r="AE348" i="2"/>
  <c r="Z348" i="2"/>
  <c r="AB348" i="2" s="1"/>
  <c r="L349" i="2" l="1"/>
  <c r="T349" i="2" s="1"/>
  <c r="R349" i="2"/>
  <c r="S349" i="2"/>
  <c r="U349" i="2" s="1"/>
  <c r="W349" i="2" l="1"/>
  <c r="AE349" i="2"/>
  <c r="P349" i="2"/>
  <c r="Q349" i="2" s="1"/>
  <c r="Z349" i="2"/>
  <c r="AB349" i="2" s="1"/>
  <c r="S350" i="2" l="1"/>
  <c r="U350" i="2" s="1"/>
  <c r="R350" i="2"/>
  <c r="L350" i="2"/>
  <c r="T350" i="2" s="1"/>
  <c r="W350" i="2" l="1"/>
  <c r="AE350" i="2"/>
  <c r="P350" i="2"/>
  <c r="Q350" i="2" s="1"/>
  <c r="Z350" i="2"/>
  <c r="AB350" i="2" s="1"/>
  <c r="R351" i="2" l="1"/>
  <c r="S351" i="2"/>
  <c r="U351" i="2" s="1"/>
  <c r="L351" i="2"/>
  <c r="T351" i="2" s="1"/>
  <c r="W351" i="2" l="1"/>
  <c r="AE351" i="2"/>
  <c r="P351" i="2"/>
  <c r="Q351" i="2" s="1"/>
  <c r="Z351" i="2"/>
  <c r="AB351" i="2" s="1"/>
  <c r="S352" i="2" l="1"/>
  <c r="U352" i="2" s="1"/>
  <c r="L352" i="2"/>
  <c r="T352" i="2" s="1"/>
  <c r="R352" i="2"/>
  <c r="W352" i="2" l="1"/>
  <c r="AE352" i="2"/>
  <c r="Z352" i="2"/>
  <c r="AB352" i="2" s="1"/>
  <c r="P352" i="2"/>
  <c r="Q352" i="2" s="1"/>
  <c r="L353" i="2" l="1"/>
  <c r="T353" i="2" s="1"/>
  <c r="R353" i="2"/>
  <c r="S353" i="2"/>
  <c r="U353" i="2" s="1"/>
  <c r="W353" i="2" l="1"/>
  <c r="P353" i="2"/>
  <c r="Q353" i="2" s="1"/>
  <c r="AE353" i="2"/>
  <c r="Z353" i="2"/>
  <c r="AB353" i="2" s="1"/>
  <c r="S354" i="2" l="1"/>
  <c r="U354" i="2" s="1"/>
  <c r="L354" i="2"/>
  <c r="T354" i="2" s="1"/>
  <c r="R354" i="2"/>
  <c r="W354" i="2" l="1"/>
  <c r="AE354" i="2"/>
  <c r="P354" i="2"/>
  <c r="Q354" i="2" s="1"/>
  <c r="Z354" i="2"/>
  <c r="AB354" i="2" s="1"/>
  <c r="S355" i="2" l="1"/>
  <c r="U355" i="2" s="1"/>
  <c r="R355" i="2"/>
  <c r="L355" i="2"/>
  <c r="T355" i="2" s="1"/>
  <c r="W355" i="2" l="1"/>
  <c r="AE355" i="2"/>
  <c r="Z355" i="2"/>
  <c r="AB355" i="2" s="1"/>
  <c r="P355" i="2"/>
  <c r="Q355" i="2" s="1"/>
  <c r="L356" i="2" l="1"/>
  <c r="T356" i="2" s="1"/>
  <c r="R356" i="2"/>
  <c r="S356" i="2"/>
  <c r="U356" i="2" s="1"/>
  <c r="W356" i="2" l="1"/>
  <c r="AE356" i="2"/>
  <c r="Z356" i="2"/>
  <c r="AB356" i="2" s="1"/>
  <c r="P356" i="2"/>
  <c r="Q356" i="2" s="1"/>
  <c r="R357" i="2" l="1"/>
  <c r="S357" i="2"/>
  <c r="U357" i="2" s="1"/>
  <c r="L357" i="2"/>
  <c r="T357" i="2" s="1"/>
  <c r="W357" i="2" l="1"/>
  <c r="AE357" i="2"/>
  <c r="P357" i="2"/>
  <c r="Q357" i="2" s="1"/>
  <c r="Z357" i="2"/>
  <c r="AB357" i="2" s="1"/>
  <c r="L358" i="2" l="1"/>
  <c r="T358" i="2" s="1"/>
  <c r="R358" i="2"/>
  <c r="S358" i="2"/>
  <c r="U358" i="2" s="1"/>
  <c r="W358" i="2" l="1"/>
  <c r="AE358" i="2"/>
  <c r="Z358" i="2"/>
  <c r="AB358" i="2" s="1"/>
  <c r="P358" i="2"/>
  <c r="Q358" i="2" s="1"/>
  <c r="R359" i="2" l="1"/>
  <c r="L359" i="2"/>
  <c r="T359" i="2" s="1"/>
  <c r="S359" i="2"/>
  <c r="U359" i="2" s="1"/>
  <c r="W359" i="2" l="1"/>
  <c r="AE359" i="2"/>
  <c r="Z359" i="2"/>
  <c r="AB359" i="2" s="1"/>
  <c r="P359" i="2"/>
  <c r="Q359" i="2" s="1"/>
  <c r="S360" i="2" l="1"/>
  <c r="U360" i="2" s="1"/>
  <c r="L360" i="2"/>
  <c r="T360" i="2" s="1"/>
  <c r="R360" i="2"/>
  <c r="W360" i="2" l="1"/>
  <c r="P360" i="2"/>
  <c r="Q360" i="2" s="1"/>
  <c r="AE360" i="2"/>
  <c r="Z360" i="2"/>
  <c r="AB360" i="2" s="1"/>
  <c r="R361" i="2" l="1"/>
  <c r="L361" i="2"/>
  <c r="T361" i="2" s="1"/>
  <c r="S361" i="2"/>
  <c r="U361" i="2" s="1"/>
  <c r="W361" i="2" l="1"/>
  <c r="AE361" i="2"/>
  <c r="Z361" i="2"/>
  <c r="AB361" i="2" s="1"/>
  <c r="P361" i="2"/>
  <c r="Q361" i="2" s="1"/>
  <c r="R362" i="2" l="1"/>
  <c r="S362" i="2"/>
  <c r="U362" i="2" s="1"/>
  <c r="L362" i="2"/>
  <c r="T362" i="2" s="1"/>
  <c r="W362" i="2" l="1"/>
  <c r="AE362" i="2"/>
  <c r="Z362" i="2"/>
  <c r="AB362" i="2" s="1"/>
  <c r="P362" i="2"/>
  <c r="Q362" i="2" s="1"/>
  <c r="R363" i="2" l="1"/>
  <c r="S363" i="2"/>
  <c r="U363" i="2" s="1"/>
  <c r="L363" i="2"/>
  <c r="T363" i="2" s="1"/>
  <c r="W363" i="2" l="1"/>
  <c r="AE363" i="2"/>
  <c r="P363" i="2"/>
  <c r="Q363" i="2" s="1"/>
  <c r="Z363" i="2"/>
  <c r="AB363" i="2" s="1"/>
  <c r="S364" i="2" l="1"/>
  <c r="U364" i="2" s="1"/>
  <c r="R364" i="2"/>
  <c r="L364" i="2"/>
  <c r="T364" i="2" s="1"/>
  <c r="W364" i="2" l="1"/>
  <c r="AE364" i="2"/>
  <c r="P364" i="2"/>
  <c r="Q364" i="2" s="1"/>
  <c r="Z364" i="2"/>
  <c r="AB364" i="2" s="1"/>
  <c r="S365" i="2" l="1"/>
  <c r="U365" i="2" s="1"/>
  <c r="R365" i="2"/>
  <c r="L365" i="2"/>
  <c r="T365" i="2" s="1"/>
  <c r="W365" i="2" l="1"/>
  <c r="AE365" i="2"/>
  <c r="P365" i="2"/>
  <c r="Q365" i="2" s="1"/>
  <c r="Z365" i="2"/>
  <c r="AB365" i="2" s="1"/>
  <c r="S366" i="2" l="1"/>
  <c r="U366" i="2" s="1"/>
  <c r="L366" i="2"/>
  <c r="T366" i="2" s="1"/>
  <c r="R366" i="2"/>
  <c r="W366" i="2" l="1"/>
  <c r="AE366" i="2"/>
  <c r="Z366" i="2"/>
  <c r="AB366" i="2" s="1"/>
  <c r="P366" i="2"/>
  <c r="Q366" i="2" s="1"/>
  <c r="R367" i="2" l="1"/>
  <c r="S367" i="2"/>
  <c r="U367" i="2" s="1"/>
  <c r="L367" i="2"/>
  <c r="T367" i="2" s="1"/>
  <c r="W367" i="2" l="1"/>
  <c r="AE367" i="2"/>
  <c r="P367" i="2"/>
  <c r="Q367" i="2" s="1"/>
  <c r="Z367" i="2"/>
  <c r="AB367" i="2" s="1"/>
  <c r="S368" i="2" l="1"/>
  <c r="U368" i="2" s="1"/>
  <c r="L368" i="2"/>
  <c r="T368" i="2" s="1"/>
  <c r="R368" i="2"/>
  <c r="W368" i="2" l="1"/>
  <c r="AE368" i="2"/>
  <c r="Z368" i="2"/>
  <c r="AB368" i="2" s="1"/>
  <c r="P368" i="2"/>
  <c r="Q368" i="2" s="1"/>
  <c r="S369" i="2" l="1"/>
  <c r="U369" i="2" s="1"/>
  <c r="R369" i="2"/>
  <c r="L369" i="2"/>
  <c r="T369" i="2" s="1"/>
  <c r="W369" i="2" l="1"/>
  <c r="AE369" i="2"/>
  <c r="Z369" i="2"/>
  <c r="AB369" i="2" s="1"/>
  <c r="P369" i="2"/>
  <c r="Q369" i="2" s="1"/>
  <c r="S370" i="2" l="1"/>
  <c r="U370" i="2" s="1"/>
  <c r="R370" i="2"/>
  <c r="L370" i="2"/>
  <c r="T370" i="2" s="1"/>
  <c r="W370" i="2" l="1"/>
  <c r="AE370" i="2"/>
  <c r="Z370" i="2"/>
  <c r="AB370" i="2" s="1"/>
  <c r="P370" i="2"/>
  <c r="Q370" i="2" s="1"/>
  <c r="R371" i="2" l="1"/>
  <c r="S371" i="2"/>
  <c r="U371" i="2" s="1"/>
  <c r="L371" i="2"/>
  <c r="T371" i="2" s="1"/>
  <c r="W371" i="2" l="1"/>
  <c r="AE371" i="2"/>
  <c r="Z371" i="2"/>
  <c r="AB371" i="2" s="1"/>
  <c r="P371" i="2"/>
  <c r="Q371" i="2" s="1"/>
  <c r="L372" i="2" l="1"/>
  <c r="T372" i="2" s="1"/>
  <c r="S372" i="2"/>
  <c r="U372" i="2" s="1"/>
  <c r="R372" i="2"/>
  <c r="W372" i="2" l="1"/>
  <c r="P372" i="2"/>
  <c r="Q372" i="2" s="1"/>
  <c r="AE372" i="2"/>
  <c r="Z372" i="2"/>
  <c r="AB372" i="2" s="1"/>
  <c r="R373" i="2" l="1"/>
  <c r="S373" i="2"/>
  <c r="U373" i="2" s="1"/>
  <c r="L373" i="2"/>
  <c r="T373" i="2" s="1"/>
  <c r="W373" i="2" l="1"/>
  <c r="AE373" i="2"/>
  <c r="P373" i="2"/>
  <c r="Q373" i="2" s="1"/>
  <c r="Z373" i="2"/>
  <c r="AB373" i="2" s="1"/>
  <c r="S374" i="2" l="1"/>
  <c r="U374" i="2" s="1"/>
  <c r="L374" i="2"/>
  <c r="T374" i="2" s="1"/>
  <c r="R374" i="2"/>
  <c r="W374" i="2" l="1"/>
  <c r="AE374" i="2"/>
  <c r="Z374" i="2"/>
  <c r="AB374" i="2" s="1"/>
  <c r="P374" i="2"/>
  <c r="Q374" i="2" s="1"/>
  <c r="S375" i="2" l="1"/>
  <c r="U375" i="2" s="1"/>
  <c r="L375" i="2"/>
  <c r="T375" i="2" s="1"/>
  <c r="R375" i="2"/>
  <c r="W375" i="2" l="1"/>
  <c r="AE375" i="2"/>
  <c r="Z375" i="2"/>
  <c r="AB375" i="2" s="1"/>
  <c r="P375" i="2"/>
  <c r="Q375" i="2" s="1"/>
  <c r="S376" i="2" l="1"/>
  <c r="U376" i="2" s="1"/>
  <c r="R376" i="2"/>
  <c r="L376" i="2"/>
  <c r="T376" i="2" s="1"/>
  <c r="W376" i="2" l="1"/>
  <c r="AE376" i="2"/>
  <c r="Z376" i="2"/>
  <c r="AB376" i="2" s="1"/>
  <c r="P376" i="2"/>
  <c r="Q376" i="2" s="1"/>
  <c r="S377" i="2" l="1"/>
  <c r="U377" i="2" s="1"/>
  <c r="R377" i="2"/>
  <c r="L377" i="2"/>
  <c r="T377" i="2" s="1"/>
  <c r="W377" i="2" l="1"/>
  <c r="AE377" i="2"/>
  <c r="P377" i="2"/>
  <c r="Q377" i="2" s="1"/>
  <c r="Z377" i="2"/>
  <c r="AB377" i="2" s="1"/>
  <c r="L378" i="2" l="1"/>
  <c r="T378" i="2" s="1"/>
  <c r="R378" i="2"/>
  <c r="S378" i="2"/>
  <c r="U378" i="2" s="1"/>
  <c r="W378" i="2" l="1"/>
  <c r="AE378" i="2"/>
  <c r="Z378" i="2"/>
  <c r="AB378" i="2" s="1"/>
  <c r="P378" i="2"/>
  <c r="Q378" i="2" s="1"/>
  <c r="L379" i="2" l="1"/>
  <c r="T379" i="2" s="1"/>
  <c r="R379" i="2"/>
  <c r="S379" i="2"/>
  <c r="U379" i="2" s="1"/>
  <c r="W379" i="2" l="1"/>
  <c r="P379" i="2"/>
  <c r="Q379" i="2" s="1"/>
  <c r="AE379" i="2"/>
  <c r="Z379" i="2"/>
  <c r="AB379" i="2" s="1"/>
  <c r="R380" i="2" l="1"/>
  <c r="S380" i="2"/>
  <c r="U380" i="2" s="1"/>
  <c r="L380" i="2"/>
  <c r="T380" i="2" s="1"/>
  <c r="W380" i="2" l="1"/>
  <c r="AE380" i="2"/>
  <c r="P380" i="2"/>
  <c r="Q380" i="2" s="1"/>
  <c r="Z380" i="2"/>
  <c r="AB380" i="2" s="1"/>
  <c r="S381" i="2" l="1"/>
  <c r="U381" i="2" s="1"/>
  <c r="R381" i="2"/>
  <c r="L381" i="2"/>
  <c r="T381" i="2" s="1"/>
  <c r="W381" i="2" l="1"/>
  <c r="AE381" i="2"/>
  <c r="Z381" i="2"/>
  <c r="AB381" i="2" s="1"/>
  <c r="P381" i="2"/>
  <c r="Q381" i="2" s="1"/>
  <c r="S382" i="2" l="1"/>
  <c r="U382" i="2" s="1"/>
  <c r="L382" i="2"/>
  <c r="T382" i="2" s="1"/>
  <c r="R382" i="2"/>
  <c r="W382" i="2" l="1"/>
  <c r="AE382" i="2"/>
  <c r="Z382" i="2"/>
  <c r="AB382" i="2" s="1"/>
  <c r="P382" i="2"/>
  <c r="Q382" i="2" s="1"/>
  <c r="R383" i="2" l="1"/>
  <c r="L383" i="2"/>
  <c r="T383" i="2" s="1"/>
  <c r="S383" i="2"/>
  <c r="U383" i="2" s="1"/>
  <c r="W383" i="2" l="1"/>
  <c r="AE383" i="2"/>
  <c r="Z383" i="2"/>
  <c r="AB383" i="2" s="1"/>
  <c r="P383" i="2"/>
  <c r="Q383" i="2" s="1"/>
  <c r="L384" i="2" l="1"/>
  <c r="T384" i="2" s="1"/>
  <c r="S384" i="2"/>
  <c r="U384" i="2" s="1"/>
  <c r="R384" i="2"/>
  <c r="W384" i="2" l="1"/>
  <c r="AE384" i="2"/>
  <c r="Z384" i="2"/>
  <c r="AB384" i="2" s="1"/>
  <c r="P384" i="2"/>
  <c r="Q384" i="2" s="1"/>
  <c r="R385" i="2" l="1"/>
  <c r="L385" i="2"/>
  <c r="T385" i="2" s="1"/>
  <c r="S385" i="2"/>
  <c r="U385" i="2" s="1"/>
  <c r="W385" i="2" l="1"/>
  <c r="AE385" i="2"/>
  <c r="Z385" i="2"/>
  <c r="AB385" i="2" s="1"/>
  <c r="P385" i="2"/>
  <c r="Q385" i="2" s="1"/>
  <c r="R386" i="2" l="1"/>
  <c r="S386" i="2"/>
  <c r="U386" i="2" s="1"/>
  <c r="L386" i="2"/>
  <c r="T386" i="2" s="1"/>
  <c r="W386" i="2" l="1"/>
  <c r="AE386" i="2"/>
  <c r="P386" i="2"/>
  <c r="Q386" i="2" s="1"/>
  <c r="Z386" i="2"/>
  <c r="AB386" i="2" s="1"/>
  <c r="L387" i="2" l="1"/>
  <c r="T387" i="2" s="1"/>
  <c r="R387" i="2"/>
  <c r="S387" i="2"/>
  <c r="U387" i="2" s="1"/>
  <c r="W387" i="2" l="1"/>
  <c r="AE387" i="2"/>
  <c r="P387" i="2"/>
  <c r="Q387" i="2" s="1"/>
  <c r="Z387" i="2"/>
  <c r="AB387" i="2" s="1"/>
  <c r="L388" i="2" l="1"/>
  <c r="T388" i="2" s="1"/>
  <c r="S388" i="2"/>
  <c r="U388" i="2" s="1"/>
  <c r="R388" i="2"/>
  <c r="W388" i="2" l="1"/>
  <c r="P388" i="2"/>
  <c r="Q388" i="2" s="1"/>
  <c r="AE388" i="2"/>
  <c r="Z388" i="2"/>
  <c r="AB388" i="2" s="1"/>
  <c r="R389" i="2" l="1"/>
  <c r="L389" i="2"/>
  <c r="T389" i="2" s="1"/>
  <c r="S389" i="2"/>
  <c r="U389" i="2" s="1"/>
  <c r="W389" i="2" l="1"/>
  <c r="AE389" i="2"/>
  <c r="Z389" i="2"/>
  <c r="AB389" i="2" s="1"/>
  <c r="P389" i="2"/>
  <c r="Q389" i="2" s="1"/>
  <c r="R390" i="2" l="1"/>
  <c r="L390" i="2"/>
  <c r="T390" i="2" s="1"/>
  <c r="S390" i="2"/>
  <c r="U390" i="2" s="1"/>
  <c r="W390" i="2" l="1"/>
  <c r="AE390" i="2"/>
  <c r="Z390" i="2"/>
  <c r="AB390" i="2" s="1"/>
  <c r="P390" i="2"/>
  <c r="Q390" i="2" s="1"/>
  <c r="R391" i="2" l="1"/>
  <c r="L391" i="2"/>
  <c r="T391" i="2" s="1"/>
  <c r="S391" i="2"/>
  <c r="U391" i="2" s="1"/>
  <c r="W391" i="2" l="1"/>
  <c r="P391" i="2"/>
  <c r="Q391" i="2" s="1"/>
  <c r="AE391" i="2"/>
  <c r="Z391" i="2"/>
  <c r="AB391" i="2" s="1"/>
  <c r="S392" i="2" l="1"/>
  <c r="U392" i="2" s="1"/>
  <c r="L392" i="2"/>
  <c r="T392" i="2" s="1"/>
  <c r="R392" i="2"/>
  <c r="W392" i="2" l="1"/>
  <c r="AE392" i="2"/>
  <c r="Z392" i="2"/>
  <c r="AB392" i="2" s="1"/>
  <c r="P392" i="2"/>
  <c r="Q392" i="2" s="1"/>
  <c r="R393" i="2" l="1"/>
  <c r="L393" i="2"/>
  <c r="T393" i="2" s="1"/>
  <c r="S393" i="2"/>
  <c r="U393" i="2" s="1"/>
  <c r="W393" i="2" l="1"/>
  <c r="AE393" i="2"/>
  <c r="P393" i="2"/>
  <c r="Q393" i="2" s="1"/>
  <c r="Z393" i="2"/>
  <c r="AB393" i="2" s="1"/>
  <c r="R394" i="2" l="1"/>
  <c r="L394" i="2"/>
  <c r="T394" i="2" s="1"/>
  <c r="S394" i="2"/>
  <c r="U394" i="2" s="1"/>
  <c r="W394" i="2" l="1"/>
  <c r="P394" i="2"/>
  <c r="Q394" i="2" s="1"/>
  <c r="AE394" i="2"/>
  <c r="Z394" i="2"/>
  <c r="AB394" i="2" s="1"/>
  <c r="R395" i="2" l="1"/>
  <c r="L395" i="2"/>
  <c r="T395" i="2" s="1"/>
  <c r="S395" i="2"/>
  <c r="U395" i="2" s="1"/>
  <c r="W395" i="2" l="1"/>
  <c r="P395" i="2"/>
  <c r="Q395" i="2" s="1"/>
  <c r="AE395" i="2"/>
  <c r="Z395" i="2"/>
  <c r="AB395" i="2" s="1"/>
  <c r="L396" i="2" l="1"/>
  <c r="T396" i="2" s="1"/>
  <c r="R396" i="2"/>
  <c r="S396" i="2"/>
  <c r="U396" i="2" s="1"/>
  <c r="W396" i="2" l="1"/>
  <c r="AE396" i="2"/>
  <c r="P396" i="2"/>
  <c r="Q396" i="2" s="1"/>
  <c r="Z396" i="2"/>
  <c r="AB396" i="2" s="1"/>
  <c r="S397" i="2" l="1"/>
  <c r="U397" i="2" s="1"/>
  <c r="R397" i="2"/>
  <c r="L397" i="2"/>
  <c r="T397" i="2" s="1"/>
  <c r="W397" i="2" l="1"/>
  <c r="P397" i="2"/>
  <c r="Q397" i="2" s="1"/>
  <c r="AE397" i="2"/>
  <c r="Z397" i="2"/>
  <c r="AB397" i="2" s="1"/>
  <c r="L398" i="2" l="1"/>
  <c r="T398" i="2" s="1"/>
  <c r="R398" i="2"/>
  <c r="S398" i="2"/>
  <c r="U398" i="2" s="1"/>
  <c r="W398" i="2" l="1"/>
  <c r="AE398" i="2"/>
  <c r="Z398" i="2"/>
  <c r="AB398" i="2" s="1"/>
  <c r="P398" i="2"/>
  <c r="Q398" i="2" s="1"/>
  <c r="L399" i="2" l="1"/>
  <c r="T399" i="2" s="1"/>
  <c r="S399" i="2"/>
  <c r="U399" i="2" s="1"/>
  <c r="R399" i="2"/>
  <c r="W399" i="2" l="1"/>
  <c r="AE399" i="2"/>
  <c r="Z399" i="2"/>
  <c r="AB399" i="2" s="1"/>
  <c r="P399" i="2"/>
  <c r="Q399" i="2" s="1"/>
  <c r="R400" i="2" l="1"/>
  <c r="S400" i="2"/>
  <c r="U400" i="2" s="1"/>
  <c r="L400" i="2"/>
  <c r="T400" i="2" s="1"/>
  <c r="W400" i="2" l="1"/>
  <c r="AE400" i="2"/>
  <c r="Z400" i="2"/>
  <c r="AB400" i="2" s="1"/>
  <c r="P400" i="2"/>
  <c r="Q400" i="2" s="1"/>
  <c r="L401" i="2" l="1"/>
  <c r="T401" i="2" s="1"/>
  <c r="S401" i="2"/>
  <c r="U401" i="2" s="1"/>
  <c r="R401" i="2"/>
  <c r="W401" i="2" l="1"/>
  <c r="AE401" i="2"/>
  <c r="P401" i="2"/>
  <c r="Q401" i="2" s="1"/>
  <c r="Z401" i="2"/>
  <c r="AB401" i="2" s="1"/>
  <c r="R402" i="2" l="1"/>
  <c r="S402" i="2"/>
  <c r="U402" i="2" s="1"/>
  <c r="L402" i="2"/>
  <c r="T402" i="2" s="1"/>
  <c r="W402" i="2" l="1"/>
  <c r="AE402" i="2"/>
  <c r="Z402" i="2"/>
  <c r="AB402" i="2" s="1"/>
  <c r="P402" i="2"/>
  <c r="Q402" i="2" s="1"/>
  <c r="R403" i="2" l="1"/>
  <c r="L403" i="2"/>
  <c r="T403" i="2" s="1"/>
  <c r="S403" i="2"/>
  <c r="U403" i="2" s="1"/>
  <c r="W403" i="2" l="1"/>
  <c r="P403" i="2"/>
  <c r="Q403" i="2" s="1"/>
  <c r="AE403" i="2"/>
  <c r="Z403" i="2"/>
  <c r="AB403" i="2" s="1"/>
  <c r="L404" i="2" l="1"/>
  <c r="T404" i="2" s="1"/>
  <c r="S404" i="2"/>
  <c r="U404" i="2" s="1"/>
  <c r="R404" i="2"/>
  <c r="W404" i="2" l="1"/>
  <c r="P404" i="2"/>
  <c r="Q404" i="2" s="1"/>
  <c r="AE404" i="2"/>
  <c r="Z404" i="2"/>
  <c r="AB404" i="2" s="1"/>
  <c r="L405" i="2" l="1"/>
  <c r="T405" i="2" s="1"/>
  <c r="R405" i="2"/>
  <c r="S405" i="2"/>
  <c r="U405" i="2" s="1"/>
  <c r="W405" i="2" l="1"/>
  <c r="P405" i="2"/>
  <c r="Q405" i="2" s="1"/>
  <c r="AE405" i="2"/>
  <c r="Z405" i="2"/>
  <c r="AB405" i="2" s="1"/>
  <c r="L406" i="2" l="1"/>
  <c r="T406" i="2" s="1"/>
  <c r="R406" i="2"/>
  <c r="S406" i="2"/>
  <c r="U406" i="2" s="1"/>
  <c r="W406" i="2" l="1"/>
  <c r="P406" i="2"/>
  <c r="Q406" i="2" s="1"/>
  <c r="AE406" i="2"/>
  <c r="Z406" i="2"/>
  <c r="AB406" i="2" s="1"/>
  <c r="S407" i="2" l="1"/>
  <c r="U407" i="2" s="1"/>
  <c r="R407" i="2"/>
  <c r="L407" i="2"/>
  <c r="T407" i="2" s="1"/>
  <c r="W407" i="2" l="1"/>
  <c r="AE407" i="2"/>
  <c r="Z407" i="2"/>
  <c r="AB407" i="2" s="1"/>
  <c r="P407" i="2"/>
  <c r="Q407" i="2" s="1"/>
  <c r="S408" i="2" l="1"/>
  <c r="U408" i="2" s="1"/>
  <c r="R408" i="2"/>
  <c r="L408" i="2"/>
  <c r="T408" i="2" s="1"/>
  <c r="W408" i="2" l="1"/>
  <c r="AE408" i="2"/>
  <c r="P408" i="2"/>
  <c r="Q408" i="2" s="1"/>
  <c r="Z408" i="2"/>
  <c r="AB408" i="2" s="1"/>
  <c r="L409" i="2" l="1"/>
  <c r="T409" i="2" s="1"/>
  <c r="R409" i="2"/>
  <c r="S409" i="2"/>
  <c r="U409" i="2" s="1"/>
  <c r="W409" i="2" l="1"/>
  <c r="P409" i="2"/>
  <c r="Q409" i="2" s="1"/>
  <c r="AE409" i="2"/>
  <c r="Z409" i="2"/>
  <c r="AB409" i="2" s="1"/>
  <c r="S410" i="2" l="1"/>
  <c r="U410" i="2" s="1"/>
  <c r="L410" i="2"/>
  <c r="T410" i="2" s="1"/>
  <c r="R410" i="2"/>
  <c r="W410" i="2" l="1"/>
  <c r="AE410" i="2"/>
  <c r="Z410" i="2"/>
  <c r="AB410" i="2" s="1"/>
  <c r="P410" i="2"/>
  <c r="Q410" i="2" s="1"/>
  <c r="R411" i="2" l="1"/>
  <c r="L411" i="2"/>
  <c r="T411" i="2" s="1"/>
  <c r="S411" i="2"/>
  <c r="U411" i="2" s="1"/>
  <c r="W411" i="2" l="1"/>
  <c r="P411" i="2"/>
  <c r="Q411" i="2" s="1"/>
  <c r="L412" i="2" s="1"/>
  <c r="AE411" i="2"/>
  <c r="Z411" i="2"/>
  <c r="AB411" i="2" s="1"/>
  <c r="S412" i="2" l="1"/>
  <c r="U412" i="2" s="1"/>
  <c r="T412" i="2"/>
  <c r="P412" i="2"/>
  <c r="Q412" i="2" s="1"/>
  <c r="R412" i="2"/>
  <c r="W412" i="2" l="1"/>
  <c r="AE412" i="2"/>
  <c r="Z412" i="2"/>
  <c r="AB412" i="2" s="1"/>
  <c r="S413" i="2"/>
  <c r="U413" i="2" s="1"/>
  <c r="L413" i="2"/>
  <c r="T413" i="2" s="1"/>
  <c r="R413" i="2"/>
  <c r="W413" i="2" l="1"/>
  <c r="AE413" i="2"/>
  <c r="P413" i="2"/>
  <c r="Q413" i="2" s="1"/>
  <c r="Z413" i="2"/>
  <c r="AB413" i="2" s="1"/>
  <c r="S414" i="2" l="1"/>
  <c r="U414" i="2" s="1"/>
  <c r="L414" i="2"/>
  <c r="T414" i="2" s="1"/>
  <c r="R414" i="2"/>
  <c r="W414" i="2" l="1"/>
  <c r="AE414" i="2"/>
  <c r="Z414" i="2"/>
  <c r="AB414" i="2" s="1"/>
  <c r="P414" i="2"/>
  <c r="Q414" i="2" s="1"/>
  <c r="L415" i="2" l="1"/>
  <c r="T415" i="2" s="1"/>
  <c r="R415" i="2"/>
  <c r="S415" i="2"/>
  <c r="U415" i="2" s="1"/>
  <c r="W415" i="2" l="1"/>
  <c r="P415" i="2"/>
  <c r="Q415" i="2" s="1"/>
  <c r="AE415" i="2"/>
  <c r="Z415" i="2"/>
  <c r="AB415" i="2" s="1"/>
  <c r="R416" i="2" l="1"/>
  <c r="S416" i="2"/>
  <c r="U416" i="2" s="1"/>
  <c r="L416" i="2"/>
  <c r="T416" i="2" s="1"/>
  <c r="W416" i="2" l="1"/>
  <c r="AE416" i="2"/>
  <c r="P416" i="2"/>
  <c r="Q416" i="2" s="1"/>
  <c r="S417" i="2" s="1"/>
  <c r="U417" i="2" s="1"/>
  <c r="Z416" i="2"/>
  <c r="AB416" i="2" s="1"/>
  <c r="L417" i="2" l="1"/>
  <c r="T417" i="2" s="1"/>
  <c r="AE417" i="2" s="1"/>
  <c r="R417" i="2"/>
  <c r="W417" i="2" l="1"/>
  <c r="Z417" i="2"/>
  <c r="AB417" i="2" s="1"/>
  <c r="P417" i="2"/>
  <c r="Q417" i="2" s="1"/>
  <c r="R418" i="2" s="1"/>
  <c r="W418" i="2" l="1"/>
  <c r="L418" i="2"/>
  <c r="T418" i="2" s="1"/>
  <c r="S418" i="2"/>
  <c r="U418" i="2" s="1"/>
  <c r="P418" i="2" l="1"/>
  <c r="Q418" i="2" s="1"/>
  <c r="R419" i="2" s="1"/>
  <c r="AE418" i="2"/>
  <c r="Z418" i="2"/>
  <c r="AB418" i="2" s="1"/>
  <c r="W419" i="2" l="1"/>
  <c r="S419" i="2"/>
  <c r="U419" i="2" s="1"/>
  <c r="L419" i="2"/>
  <c r="T419" i="2" s="1"/>
  <c r="P419" i="2" l="1"/>
  <c r="Q419" i="2" s="1"/>
  <c r="Z419" i="2"/>
  <c r="AB419" i="2" s="1"/>
  <c r="AE419" i="2"/>
  <c r="S420" i="2" l="1"/>
  <c r="U420" i="2" s="1"/>
  <c r="L420" i="2"/>
  <c r="T420" i="2" s="1"/>
  <c r="R420" i="2"/>
  <c r="W420" i="2" l="1"/>
  <c r="Z420" i="2"/>
  <c r="AB420" i="2" s="1"/>
  <c r="P420" i="2"/>
  <c r="Q420" i="2" s="1"/>
  <c r="R421" i="2" s="1"/>
  <c r="AE420" i="2"/>
  <c r="W421" i="2" l="1"/>
  <c r="S421" i="2"/>
  <c r="U421" i="2" s="1"/>
  <c r="L421" i="2"/>
  <c r="T421" i="2" s="1"/>
  <c r="P421" i="2" l="1"/>
  <c r="Q421" i="2" s="1"/>
  <c r="S422" i="2" s="1"/>
  <c r="U422" i="2" s="1"/>
  <c r="Z421" i="2"/>
  <c r="AB421" i="2" s="1"/>
  <c r="AE421" i="2"/>
  <c r="L422" i="2" l="1"/>
  <c r="T422" i="2" s="1"/>
  <c r="AE422" i="2" s="1"/>
  <c r="R422" i="2"/>
  <c r="W422" i="2" l="1"/>
  <c r="P422" i="2"/>
  <c r="Q422" i="2" s="1"/>
  <c r="R423" i="2" s="1"/>
  <c r="Z422" i="2"/>
  <c r="AB422" i="2" s="1"/>
  <c r="W423" i="2" l="1"/>
  <c r="S423" i="2"/>
  <c r="U423" i="2" s="1"/>
  <c r="L423" i="2"/>
  <c r="T423" i="2" s="1"/>
  <c r="P423" i="2" l="1"/>
  <c r="Q423" i="2" s="1"/>
  <c r="S424" i="2" s="1"/>
  <c r="U424" i="2" s="1"/>
  <c r="AE423" i="2"/>
  <c r="Z423" i="2"/>
  <c r="AB423" i="2" s="1"/>
  <c r="R424" i="2" l="1"/>
  <c r="L424" i="2"/>
  <c r="T424" i="2" s="1"/>
  <c r="AE424" i="2" s="1"/>
  <c r="W424" i="2" l="1"/>
  <c r="Z424" i="2"/>
  <c r="AB424" i="2" s="1"/>
  <c r="P424" i="2"/>
  <c r="Q424" i="2" s="1"/>
  <c r="R425" i="2" s="1"/>
  <c r="W425" i="2" l="1"/>
  <c r="S425" i="2"/>
  <c r="U425" i="2" s="1"/>
  <c r="L425" i="2"/>
  <c r="T425" i="2" s="1"/>
  <c r="Z425" i="2" l="1"/>
  <c r="AB425" i="2" s="1"/>
  <c r="P425" i="2"/>
  <c r="Q425" i="2" s="1"/>
  <c r="S426" i="2" s="1"/>
  <c r="U426" i="2" s="1"/>
  <c r="AE425" i="2"/>
  <c r="L426" i="2" l="1"/>
  <c r="T426" i="2" s="1"/>
  <c r="AE426" i="2" s="1"/>
  <c r="R426" i="2"/>
  <c r="W426" i="2" l="1"/>
  <c r="P426" i="2"/>
  <c r="Q426" i="2" s="1"/>
  <c r="R427" i="2" s="1"/>
  <c r="Z426" i="2"/>
  <c r="AB426" i="2" s="1"/>
  <c r="W427" i="2" l="1"/>
  <c r="S427" i="2"/>
  <c r="U427" i="2" s="1"/>
  <c r="L427" i="2"/>
  <c r="T427" i="2" s="1"/>
  <c r="Z427" i="2" l="1"/>
  <c r="AB427" i="2" s="1"/>
  <c r="AE427" i="2"/>
  <c r="P427" i="2"/>
  <c r="Q427" i="2" s="1"/>
  <c r="S428" i="2" s="1"/>
  <c r="U428" i="2" s="1"/>
  <c r="R428" i="2" l="1"/>
  <c r="L428" i="2"/>
  <c r="T428" i="2" s="1"/>
  <c r="AE428" i="2" s="1"/>
  <c r="W428" i="2" l="1"/>
  <c r="P428" i="2"/>
  <c r="Q428" i="2" s="1"/>
  <c r="R429" i="2" s="1"/>
  <c r="Z428" i="2"/>
  <c r="AB428" i="2" s="1"/>
  <c r="W429" i="2" l="1"/>
  <c r="S429" i="2"/>
  <c r="U429" i="2" s="1"/>
  <c r="L429" i="2"/>
  <c r="T429" i="2" s="1"/>
  <c r="Z429" i="2" l="1"/>
  <c r="AB429" i="2" s="1"/>
  <c r="AE429" i="2"/>
  <c r="P429" i="2"/>
  <c r="Q429" i="2" s="1"/>
  <c r="S430" i="2" s="1"/>
  <c r="U430" i="2" s="1"/>
  <c r="R430" i="2" l="1"/>
  <c r="L430" i="2"/>
  <c r="T430" i="2" s="1"/>
  <c r="AE430" i="2" s="1"/>
  <c r="W430" i="2" l="1"/>
  <c r="P430" i="2"/>
  <c r="Q430" i="2" s="1"/>
  <c r="R431" i="2" s="1"/>
  <c r="Z430" i="2"/>
  <c r="AB430" i="2" s="1"/>
  <c r="W431" i="2" l="1"/>
  <c r="L431" i="2"/>
  <c r="T431" i="2" s="1"/>
  <c r="S431" i="2"/>
  <c r="U431" i="2" s="1"/>
  <c r="P431" i="2" l="1"/>
  <c r="Q431" i="2" s="1"/>
  <c r="S432" i="2" s="1"/>
  <c r="U432" i="2" s="1"/>
  <c r="Z431" i="2"/>
  <c r="AB431" i="2" s="1"/>
  <c r="AE431" i="2"/>
  <c r="L432" i="2" l="1"/>
  <c r="T432" i="2" s="1"/>
  <c r="AE432" i="2" s="1"/>
  <c r="R432" i="2"/>
  <c r="W432" i="2" l="1"/>
  <c r="Z432" i="2"/>
  <c r="AB432" i="2" s="1"/>
  <c r="P432" i="2"/>
  <c r="Q432" i="2" s="1"/>
  <c r="R433" i="2" s="1"/>
  <c r="W433" i="2" l="1"/>
  <c r="L433" i="2"/>
  <c r="T433" i="2" s="1"/>
  <c r="S433" i="2"/>
  <c r="U433" i="2" s="1"/>
  <c r="Z433" i="2" l="1"/>
  <c r="AB433" i="2" s="1"/>
  <c r="P433" i="2"/>
  <c r="Q433" i="2" s="1"/>
  <c r="L434" i="2" s="1"/>
  <c r="T434" i="2" s="1"/>
  <c r="AE433" i="2"/>
  <c r="R434" i="2" l="1"/>
  <c r="S434" i="2"/>
  <c r="U434" i="2" s="1"/>
  <c r="P434" i="2"/>
  <c r="Q434" i="2" s="1"/>
  <c r="W434" i="2" l="1"/>
  <c r="AE434" i="2"/>
  <c r="Z434" i="2"/>
  <c r="AB434" i="2" s="1"/>
  <c r="S435" i="2"/>
  <c r="U435" i="2" s="1"/>
  <c r="L435" i="2"/>
  <c r="T435" i="2" s="1"/>
  <c r="R435" i="2"/>
  <c r="W435" i="2" l="1"/>
  <c r="AE435" i="2"/>
  <c r="P435" i="2"/>
  <c r="Q435" i="2" s="1"/>
  <c r="Z435" i="2"/>
  <c r="AB435" i="2" s="1"/>
  <c r="S436" i="2" l="1"/>
  <c r="U436" i="2" s="1"/>
  <c r="L436" i="2"/>
  <c r="T436" i="2" s="1"/>
  <c r="R436" i="2"/>
  <c r="W436" i="2" l="1"/>
  <c r="AE436" i="2"/>
  <c r="Z436" i="2"/>
  <c r="AB436" i="2" s="1"/>
  <c r="P436" i="2"/>
  <c r="Q436" i="2" s="1"/>
  <c r="R437" i="2" l="1"/>
  <c r="L437" i="2"/>
  <c r="T437" i="2" s="1"/>
  <c r="S437" i="2"/>
  <c r="U437" i="2" s="1"/>
  <c r="W437" i="2" l="1"/>
  <c r="AE437" i="2"/>
  <c r="P437" i="2"/>
  <c r="Q437" i="2" s="1"/>
  <c r="Z437" i="2"/>
  <c r="AB437" i="2" s="1"/>
  <c r="R438" i="2" l="1"/>
  <c r="L438" i="2"/>
  <c r="T438" i="2" s="1"/>
  <c r="S438" i="2"/>
  <c r="U438" i="2" s="1"/>
  <c r="W438" i="2" l="1"/>
  <c r="AE438" i="2"/>
  <c r="P438" i="2"/>
  <c r="Q438" i="2" s="1"/>
  <c r="Z438" i="2"/>
  <c r="AB438" i="2" s="1"/>
  <c r="L439" i="2" l="1"/>
  <c r="T439" i="2" s="1"/>
  <c r="R439" i="2"/>
  <c r="S439" i="2"/>
  <c r="U439" i="2" s="1"/>
  <c r="W439" i="2" l="1"/>
  <c r="P439" i="2"/>
  <c r="Q439" i="2" s="1"/>
  <c r="AE439" i="2"/>
  <c r="Z439" i="2"/>
  <c r="AB439" i="2" s="1"/>
  <c r="S440" i="2" l="1"/>
  <c r="U440" i="2" s="1"/>
  <c r="R440" i="2"/>
  <c r="L440" i="2"/>
  <c r="T440" i="2" s="1"/>
  <c r="W440" i="2" l="1"/>
  <c r="AE440" i="2"/>
  <c r="Z440" i="2"/>
  <c r="AB440" i="2" s="1"/>
  <c r="P440" i="2"/>
  <c r="Q440" i="2" s="1"/>
  <c r="R441" i="2" l="1"/>
  <c r="S441" i="2"/>
  <c r="U441" i="2" s="1"/>
  <c r="L441" i="2"/>
  <c r="T441" i="2" s="1"/>
  <c r="W441" i="2" l="1"/>
  <c r="AE441" i="2"/>
  <c r="Z441" i="2"/>
  <c r="AB441" i="2" s="1"/>
  <c r="P441" i="2"/>
  <c r="Q441" i="2" s="1"/>
  <c r="R442" i="2" l="1"/>
  <c r="S442" i="2"/>
  <c r="U442" i="2" s="1"/>
  <c r="L442" i="2"/>
  <c r="T442" i="2" s="1"/>
  <c r="W442" i="2" l="1"/>
  <c r="AE442" i="2"/>
  <c r="P442" i="2"/>
  <c r="Q442" i="2" s="1"/>
  <c r="Z442" i="2"/>
  <c r="AB442" i="2" s="1"/>
  <c r="R443" i="2" l="1"/>
  <c r="L443" i="2"/>
  <c r="T443" i="2" s="1"/>
  <c r="S443" i="2"/>
  <c r="U443" i="2" s="1"/>
  <c r="W443" i="2" l="1"/>
  <c r="AE443" i="2"/>
  <c r="P443" i="2"/>
  <c r="Q443" i="2" s="1"/>
  <c r="Z443" i="2"/>
  <c r="AB443" i="2" s="1"/>
  <c r="L444" i="2" l="1"/>
  <c r="T444" i="2" s="1"/>
  <c r="R444" i="2"/>
  <c r="S444" i="2"/>
  <c r="U444" i="2" s="1"/>
  <c r="W444" i="2" l="1"/>
  <c r="AE444" i="2"/>
  <c r="Z444" i="2"/>
  <c r="AB444" i="2" s="1"/>
  <c r="P444" i="2"/>
  <c r="Q444" i="2" s="1"/>
  <c r="R445" i="2" l="1"/>
  <c r="S445" i="2"/>
  <c r="U445" i="2" s="1"/>
  <c r="L445" i="2"/>
  <c r="T445" i="2" s="1"/>
  <c r="W445" i="2" l="1"/>
  <c r="AE445" i="2"/>
  <c r="P445" i="2"/>
  <c r="Q445" i="2" s="1"/>
  <c r="Z445" i="2"/>
  <c r="AB445" i="2" s="1"/>
  <c r="S446" i="2" l="1"/>
  <c r="U446" i="2" s="1"/>
  <c r="R446" i="2"/>
  <c r="L446" i="2"/>
  <c r="T446" i="2" s="1"/>
  <c r="W446" i="2" l="1"/>
  <c r="AE446" i="2"/>
  <c r="Z446" i="2"/>
  <c r="AB446" i="2" s="1"/>
  <c r="P446" i="2"/>
  <c r="Q446" i="2" s="1"/>
  <c r="R447" i="2" l="1"/>
  <c r="L447" i="2"/>
  <c r="T447" i="2" s="1"/>
  <c r="S447" i="2"/>
  <c r="U447" i="2" s="1"/>
  <c r="W447" i="2" l="1"/>
  <c r="AE447" i="2"/>
  <c r="Z447" i="2"/>
  <c r="AB447" i="2" s="1"/>
  <c r="P447" i="2"/>
  <c r="Q447" i="2" s="1"/>
  <c r="L448" i="2" l="1"/>
  <c r="T448" i="2" s="1"/>
  <c r="R448" i="2"/>
  <c r="S448" i="2"/>
  <c r="U448" i="2" s="1"/>
  <c r="W448" i="2" l="1"/>
  <c r="AE448" i="2"/>
  <c r="Z448" i="2"/>
  <c r="AB448" i="2" s="1"/>
  <c r="P448" i="2"/>
  <c r="Q448" i="2" s="1"/>
  <c r="S449" i="2" l="1"/>
  <c r="U449" i="2" s="1"/>
  <c r="R449" i="2"/>
  <c r="L449" i="2"/>
  <c r="T449" i="2" s="1"/>
  <c r="W449" i="2" l="1"/>
  <c r="AE449" i="2"/>
  <c r="Z449" i="2"/>
  <c r="AB449" i="2" s="1"/>
  <c r="P449" i="2"/>
  <c r="Q449" i="2" s="1"/>
  <c r="L450" i="2" l="1"/>
  <c r="T450" i="2" s="1"/>
  <c r="R450" i="2"/>
  <c r="S450" i="2"/>
  <c r="U450" i="2" s="1"/>
  <c r="W450" i="2" l="1"/>
  <c r="AE450" i="2"/>
  <c r="Z450" i="2"/>
  <c r="AB450" i="2" s="1"/>
  <c r="P450" i="2"/>
  <c r="Q450" i="2" s="1"/>
  <c r="S451" i="2" l="1"/>
  <c r="U451" i="2" s="1"/>
  <c r="L451" i="2"/>
  <c r="T451" i="2" s="1"/>
  <c r="R451" i="2"/>
  <c r="W451" i="2" l="1"/>
  <c r="AE451" i="2"/>
  <c r="Z451" i="2"/>
  <c r="AB451" i="2" s="1"/>
  <c r="P451" i="2"/>
  <c r="Q451" i="2" s="1"/>
  <c r="S452" i="2" l="1"/>
  <c r="U452" i="2" s="1"/>
  <c r="R452" i="2"/>
  <c r="L452" i="2"/>
  <c r="T452" i="2" s="1"/>
  <c r="W452" i="2" l="1"/>
  <c r="AE452" i="2"/>
  <c r="Z452" i="2"/>
  <c r="AB452" i="2" s="1"/>
  <c r="P452" i="2"/>
  <c r="Q452" i="2" s="1"/>
  <c r="L453" i="2" l="1"/>
  <c r="T453" i="2" s="1"/>
  <c r="R453" i="2"/>
  <c r="S453" i="2"/>
  <c r="U453" i="2" s="1"/>
  <c r="W453" i="2" l="1"/>
  <c r="AE453" i="2"/>
  <c r="P453" i="2"/>
  <c r="Q453" i="2" s="1"/>
  <c r="Z453" i="2"/>
  <c r="AB453" i="2" s="1"/>
  <c r="R454" i="2" l="1"/>
  <c r="S454" i="2"/>
  <c r="U454" i="2" s="1"/>
  <c r="L454" i="2"/>
  <c r="T454" i="2" s="1"/>
  <c r="W454" i="2" l="1"/>
  <c r="AE454" i="2"/>
  <c r="Z454" i="2"/>
  <c r="AB454" i="2" s="1"/>
  <c r="P454" i="2"/>
  <c r="Q454" i="2" s="1"/>
  <c r="R455" i="2" l="1"/>
  <c r="L455" i="2"/>
  <c r="T455" i="2" s="1"/>
  <c r="S455" i="2"/>
  <c r="U455" i="2" s="1"/>
  <c r="W455" i="2" l="1"/>
  <c r="AE455" i="2"/>
  <c r="P455" i="2"/>
  <c r="Q455" i="2" s="1"/>
  <c r="Z455" i="2"/>
  <c r="AB455" i="2" s="1"/>
  <c r="R456" i="2" l="1"/>
  <c r="S456" i="2"/>
  <c r="U456" i="2" s="1"/>
  <c r="L456" i="2"/>
  <c r="W456" i="2" l="1"/>
  <c r="P456" i="2"/>
  <c r="Q456" i="2" s="1"/>
  <c r="T456" i="2"/>
  <c r="AE456" i="2" s="1"/>
  <c r="Z456" i="2"/>
  <c r="AB456" i="2" s="1"/>
  <c r="S457" i="2" l="1"/>
  <c r="U457" i="2" s="1"/>
  <c r="R457" i="2"/>
  <c r="L457" i="2"/>
  <c r="T457" i="2" s="1"/>
  <c r="W457" i="2" l="1"/>
  <c r="P457" i="2"/>
  <c r="Q457" i="2" s="1"/>
  <c r="Z457" i="2"/>
  <c r="AB457" i="2" s="1"/>
  <c r="AE457" i="2"/>
  <c r="S458" i="2" l="1"/>
  <c r="U458" i="2" s="1"/>
  <c r="R458" i="2"/>
  <c r="L458" i="2"/>
  <c r="T458" i="2" s="1"/>
  <c r="W458" i="2" l="1"/>
  <c r="P458" i="2"/>
  <c r="Q458" i="2" s="1"/>
  <c r="AE458" i="2"/>
  <c r="Z458" i="2"/>
  <c r="AB458" i="2" s="1"/>
  <c r="R459" i="2" l="1"/>
  <c r="S459" i="2"/>
  <c r="U459" i="2" s="1"/>
  <c r="L459" i="2"/>
  <c r="T459" i="2" s="1"/>
  <c r="W459" i="2" l="1"/>
  <c r="AE459" i="2"/>
  <c r="Z459" i="2"/>
  <c r="AB459" i="2" s="1"/>
  <c r="P459" i="2"/>
  <c r="Q459" i="2" s="1"/>
  <c r="S460" i="2" l="1"/>
  <c r="U460" i="2" s="1"/>
  <c r="R460" i="2"/>
  <c r="L460" i="2"/>
  <c r="T460" i="2" s="1"/>
  <c r="W460" i="2" l="1"/>
  <c r="AE460" i="2"/>
  <c r="Z460" i="2"/>
  <c r="AB460" i="2" s="1"/>
  <c r="P460" i="2"/>
  <c r="Q460" i="2" s="1"/>
  <c r="R461" i="2" l="1"/>
  <c r="S461" i="2"/>
  <c r="U461" i="2" s="1"/>
  <c r="L461" i="2"/>
  <c r="T461" i="2" s="1"/>
  <c r="W461" i="2" l="1"/>
  <c r="P461" i="2"/>
  <c r="Q461" i="2" s="1"/>
  <c r="AE461" i="2"/>
  <c r="Z461" i="2"/>
  <c r="AB461" i="2" s="1"/>
  <c r="S462" i="2" l="1"/>
  <c r="U462" i="2" s="1"/>
  <c r="R462" i="2"/>
  <c r="L462" i="2"/>
  <c r="T462" i="2" s="1"/>
  <c r="W462" i="2" l="1"/>
  <c r="P462" i="2"/>
  <c r="Q462" i="2" s="1"/>
  <c r="AE462" i="2"/>
  <c r="Z462" i="2"/>
  <c r="AB462" i="2" s="1"/>
  <c r="R463" i="2" l="1"/>
  <c r="S463" i="2"/>
  <c r="U463" i="2" s="1"/>
  <c r="L463" i="2"/>
  <c r="T463" i="2" s="1"/>
  <c r="W463" i="2" l="1"/>
  <c r="AE463" i="2"/>
  <c r="P463" i="2"/>
  <c r="Q463" i="2" s="1"/>
  <c r="S464" i="2" s="1"/>
  <c r="U464" i="2" s="1"/>
  <c r="Z463" i="2"/>
  <c r="AB463" i="2" s="1"/>
  <c r="L464" i="2" l="1"/>
  <c r="T464" i="2" s="1"/>
  <c r="AE464" i="2" s="1"/>
  <c r="R464" i="2"/>
  <c r="Z464" i="2" l="1"/>
  <c r="AB464" i="2" s="1"/>
  <c r="W464" i="2"/>
  <c r="P464" i="2"/>
  <c r="Q464" i="2" s="1"/>
  <c r="R465" i="2" s="1"/>
  <c r="W465" i="2" l="1"/>
  <c r="L465" i="2"/>
  <c r="T465" i="2" s="1"/>
  <c r="S465" i="2"/>
  <c r="U465" i="2" s="1"/>
  <c r="Z465" i="2" l="1"/>
  <c r="AB465" i="2" s="1"/>
  <c r="P465" i="2"/>
  <c r="Q465" i="2" s="1"/>
  <c r="S466" i="2" s="1"/>
  <c r="U466" i="2" s="1"/>
  <c r="AE465" i="2"/>
  <c r="L466" i="2" l="1"/>
  <c r="T466" i="2" s="1"/>
  <c r="AE466" i="2" s="1"/>
  <c r="R466" i="2"/>
  <c r="Z466" i="2" l="1"/>
  <c r="AB466" i="2" s="1"/>
  <c r="W466" i="2"/>
  <c r="P466" i="2"/>
  <c r="Q466" i="2" s="1"/>
  <c r="S467" i="2" s="1"/>
  <c r="U467" i="2" s="1"/>
  <c r="L467" i="2" l="1"/>
  <c r="T467" i="2" s="1"/>
  <c r="AE467" i="2" s="1"/>
  <c r="R467" i="2"/>
  <c r="Z467" i="2" l="1"/>
  <c r="AB467" i="2" s="1"/>
  <c r="W467" i="2"/>
  <c r="P467" i="2"/>
  <c r="Q467" i="2" s="1"/>
  <c r="R468" i="2" s="1"/>
  <c r="W468" i="2" l="1"/>
  <c r="L468" i="2"/>
  <c r="T468" i="2" s="1"/>
  <c r="S468" i="2"/>
  <c r="U468" i="2" s="1"/>
  <c r="P468" i="2" l="1"/>
  <c r="Q468" i="2" s="1"/>
  <c r="S469" i="2" s="1"/>
  <c r="U469" i="2" s="1"/>
  <c r="AE468" i="2"/>
  <c r="Z468" i="2"/>
  <c r="AB468" i="2" s="1"/>
  <c r="L469" i="2" l="1"/>
  <c r="T469" i="2" s="1"/>
  <c r="AE469" i="2" s="1"/>
  <c r="R469" i="2"/>
  <c r="Z469" i="2" l="1"/>
  <c r="AB469" i="2" s="1"/>
  <c r="P469" i="2"/>
  <c r="Q469" i="2" s="1"/>
  <c r="L470" i="2" s="1"/>
  <c r="T470" i="2" s="1"/>
  <c r="W469" i="2"/>
  <c r="P470" i="2" l="1"/>
  <c r="Q470" i="2" s="1"/>
  <c r="S471" i="2" s="1"/>
  <c r="U471" i="2" s="1"/>
  <c r="R470" i="2"/>
  <c r="S470" i="2"/>
  <c r="U470" i="2" s="1"/>
  <c r="AE470" i="2" s="1"/>
  <c r="R471" i="2" l="1"/>
  <c r="L471" i="2"/>
  <c r="T471" i="2" s="1"/>
  <c r="AE471" i="2" s="1"/>
  <c r="Z470" i="2"/>
  <c r="AB470" i="2" s="1"/>
  <c r="W470" i="2"/>
  <c r="W471" i="2" l="1"/>
  <c r="P471" i="2"/>
  <c r="Q471" i="2" s="1"/>
  <c r="S472" i="2" s="1"/>
  <c r="U472" i="2" s="1"/>
  <c r="Z471" i="2"/>
  <c r="AB471" i="2" s="1"/>
  <c r="R472" i="2" l="1"/>
  <c r="L472" i="2"/>
  <c r="T472" i="2" s="1"/>
  <c r="AE472" i="2" s="1"/>
  <c r="W472" i="2" l="1"/>
  <c r="Z472" i="2"/>
  <c r="AB472" i="2" s="1"/>
  <c r="P472" i="2"/>
  <c r="Q472" i="2" s="1"/>
  <c r="S473" i="2" s="1"/>
  <c r="U473" i="2" s="1"/>
  <c r="L473" i="2" l="1"/>
  <c r="T473" i="2" s="1"/>
  <c r="AE473" i="2" s="1"/>
  <c r="R473" i="2"/>
  <c r="W473" i="2" l="1"/>
  <c r="Z473" i="2"/>
  <c r="AB473" i="2" s="1"/>
  <c r="P473" i="2"/>
  <c r="Q473" i="2" s="1"/>
  <c r="S474" i="2" s="1"/>
  <c r="U474" i="2" s="1"/>
  <c r="L474" i="2" l="1"/>
  <c r="T474" i="2" s="1"/>
  <c r="AE474" i="2" s="1"/>
  <c r="R474" i="2"/>
  <c r="W474" i="2" l="1"/>
  <c r="Z474" i="2"/>
  <c r="AB474" i="2" s="1"/>
  <c r="P474" i="2"/>
  <c r="Q474" i="2" s="1"/>
  <c r="S475" i="2" s="1"/>
  <c r="U475" i="2" s="1"/>
  <c r="L475" i="2" l="1"/>
  <c r="T475" i="2" s="1"/>
  <c r="AE475" i="2" s="1"/>
  <c r="R475" i="2"/>
  <c r="W475" i="2" l="1"/>
  <c r="Z475" i="2"/>
  <c r="AB475" i="2" s="1"/>
  <c r="P475" i="2"/>
  <c r="Q475" i="2" s="1"/>
  <c r="S476" i="2" s="1"/>
  <c r="U476" i="2" s="1"/>
  <c r="L476" i="2" l="1"/>
  <c r="T476" i="2" s="1"/>
  <c r="AE476" i="2" s="1"/>
  <c r="R476" i="2"/>
  <c r="W476" i="2" l="1"/>
  <c r="Z476" i="2"/>
  <c r="AB476" i="2" s="1"/>
  <c r="P476" i="2"/>
  <c r="Q476" i="2" s="1"/>
  <c r="S477" i="2" s="1"/>
  <c r="U477" i="2" s="1"/>
  <c r="L477" i="2" l="1"/>
  <c r="T477" i="2" s="1"/>
  <c r="AE477" i="2" s="1"/>
  <c r="R477" i="2"/>
  <c r="W477" i="2" l="1"/>
  <c r="Z477" i="2"/>
  <c r="AB477" i="2" s="1"/>
  <c r="P477" i="2"/>
  <c r="Q477" i="2" s="1"/>
  <c r="R478" i="2" s="1"/>
  <c r="W478" i="2" l="1"/>
  <c r="L478" i="2"/>
  <c r="T478" i="2" s="1"/>
  <c r="S478" i="2"/>
  <c r="U478" i="2" s="1"/>
  <c r="Z478" i="2" l="1"/>
  <c r="AB478" i="2" s="1"/>
  <c r="AE478" i="2"/>
  <c r="P478" i="2"/>
  <c r="Q478" i="2" s="1"/>
  <c r="S479" i="2" s="1"/>
  <c r="U479" i="2" s="1"/>
  <c r="L479" i="2" l="1"/>
  <c r="T479" i="2" s="1"/>
  <c r="AE479" i="2" s="1"/>
  <c r="R479" i="2"/>
  <c r="W479" i="2" l="1"/>
  <c r="Z479" i="2"/>
  <c r="AB479" i="2" s="1"/>
  <c r="P479" i="2"/>
  <c r="Q479" i="2" s="1"/>
  <c r="R480" i="2" s="1"/>
  <c r="W480" i="2" l="1"/>
  <c r="S480" i="2"/>
  <c r="U480" i="2" s="1"/>
  <c r="L480" i="2"/>
  <c r="T480" i="2" s="1"/>
  <c r="P480" i="2" l="1"/>
  <c r="Q480" i="2" s="1"/>
  <c r="R481" i="2" s="1"/>
  <c r="Z480" i="2"/>
  <c r="AB480" i="2" s="1"/>
  <c r="AE480" i="2"/>
  <c r="W481" i="2" l="1"/>
  <c r="L481" i="2"/>
  <c r="T481" i="2" s="1"/>
  <c r="S481" i="2"/>
  <c r="U481" i="2" s="1"/>
  <c r="P481" i="2" l="1"/>
  <c r="Q481" i="2" s="1"/>
  <c r="S482" i="2" s="1"/>
  <c r="U482" i="2" s="1"/>
  <c r="AE481" i="2"/>
  <c r="Z481" i="2"/>
  <c r="AB481" i="2" s="1"/>
  <c r="L482" i="2" l="1"/>
  <c r="T482" i="2" s="1"/>
  <c r="AE482" i="2" s="1"/>
  <c r="R482" i="2"/>
  <c r="W482" i="2" l="1"/>
  <c r="P482" i="2"/>
  <c r="Q482" i="2" s="1"/>
  <c r="S483" i="2" s="1"/>
  <c r="U483" i="2" s="1"/>
  <c r="Z482" i="2"/>
  <c r="AB482" i="2" s="1"/>
  <c r="L483" i="2" l="1"/>
  <c r="T483" i="2" s="1"/>
  <c r="AE483" i="2" s="1"/>
  <c r="R483" i="2"/>
  <c r="W483" i="2" l="1"/>
  <c r="P483" i="2"/>
  <c r="Q483" i="2" s="1"/>
  <c r="R484" i="2" s="1"/>
  <c r="Z483" i="2"/>
  <c r="AB483" i="2" s="1"/>
  <c r="W484" i="2" l="1"/>
  <c r="S484" i="2"/>
  <c r="U484" i="2" s="1"/>
  <c r="L484" i="2"/>
  <c r="T484" i="2" s="1"/>
  <c r="P484" i="2" l="1"/>
  <c r="Q484" i="2" s="1"/>
  <c r="S485" i="2" s="1"/>
  <c r="U485" i="2" s="1"/>
  <c r="Z484" i="2"/>
  <c r="AB484" i="2" s="1"/>
  <c r="AE484" i="2"/>
  <c r="L485" i="2" l="1"/>
  <c r="T485" i="2" s="1"/>
  <c r="AE485" i="2" s="1"/>
  <c r="R485" i="2"/>
  <c r="W485" i="2" l="1"/>
  <c r="P485" i="2"/>
  <c r="Q485" i="2" s="1"/>
  <c r="R486" i="2" s="1"/>
  <c r="Z485" i="2"/>
  <c r="AB485" i="2" s="1"/>
  <c r="W486" i="2" l="1"/>
  <c r="L486" i="2"/>
  <c r="T486" i="2" s="1"/>
  <c r="S486" i="2"/>
  <c r="U486" i="2" s="1"/>
  <c r="P486" i="2" l="1"/>
  <c r="Q486" i="2" s="1"/>
  <c r="R487" i="2" s="1"/>
  <c r="AE486" i="2"/>
  <c r="Z486" i="2"/>
  <c r="AB486" i="2" s="1"/>
  <c r="L487" i="2" l="1"/>
  <c r="T487" i="2" s="1"/>
  <c r="S487" i="2"/>
  <c r="U487" i="2" s="1"/>
  <c r="W487" i="2"/>
  <c r="Z487" i="2" l="1"/>
  <c r="AB487" i="2" s="1"/>
  <c r="P487" i="2"/>
  <c r="Q487" i="2" s="1"/>
  <c r="R488" i="2" s="1"/>
  <c r="AE487" i="2"/>
  <c r="S488" i="2" l="1"/>
  <c r="U488" i="2" s="1"/>
  <c r="L488" i="2"/>
  <c r="T488" i="2" s="1"/>
  <c r="W488" i="2"/>
  <c r="P488" i="2" l="1"/>
  <c r="Q488" i="2" s="1"/>
  <c r="S489" i="2" s="1"/>
  <c r="U489" i="2" s="1"/>
  <c r="Z488" i="2"/>
  <c r="AB488" i="2" s="1"/>
  <c r="AE488" i="2"/>
  <c r="L489" i="2" l="1"/>
  <c r="T489" i="2" s="1"/>
  <c r="AE489" i="2" s="1"/>
  <c r="R489" i="2"/>
  <c r="W489" i="2" s="1"/>
  <c r="Z489" i="2" l="1"/>
  <c r="AB489" i="2" s="1"/>
  <c r="P489" i="2"/>
  <c r="Q489" i="2" s="1"/>
  <c r="S490" i="2" s="1"/>
  <c r="U490" i="2" s="1"/>
  <c r="L490" i="2" l="1"/>
  <c r="T490" i="2" s="1"/>
  <c r="AE490" i="2" s="1"/>
  <c r="R490" i="2"/>
  <c r="W490" i="2" s="1"/>
  <c r="Z490" i="2" l="1"/>
  <c r="AB490" i="2" s="1"/>
  <c r="P490" i="2"/>
  <c r="Q490" i="2" s="1"/>
  <c r="R491" i="2" s="1"/>
  <c r="L491" i="2" l="1"/>
  <c r="T491" i="2" s="1"/>
  <c r="S491" i="2"/>
  <c r="U491" i="2" s="1"/>
  <c r="W491" i="2"/>
  <c r="P491" i="2" l="1"/>
  <c r="Q491" i="2" s="1"/>
  <c r="AE491" i="2"/>
  <c r="Z491" i="2"/>
  <c r="AB491" i="2" s="1"/>
  <c r="L492" i="2" l="1"/>
  <c r="T492" i="2" s="1"/>
  <c r="R492" i="2"/>
  <c r="W492" i="2" s="1"/>
  <c r="S492" i="2"/>
  <c r="U492" i="2" s="1"/>
  <c r="P492" i="2" l="1"/>
  <c r="Q492" i="2" s="1"/>
  <c r="R493" i="2" s="1"/>
  <c r="Z492" i="2"/>
  <c r="AB492" i="2" s="1"/>
  <c r="AE492" i="2"/>
  <c r="L493" i="2" l="1"/>
  <c r="T493" i="2" s="1"/>
  <c r="S493" i="2"/>
  <c r="U493" i="2" s="1"/>
  <c r="W493" i="2"/>
  <c r="P493" i="2" l="1"/>
  <c r="Q493" i="2" s="1"/>
  <c r="AE493" i="2"/>
  <c r="Z493" i="2"/>
  <c r="AB493" i="2" s="1"/>
  <c r="S494" i="2" l="1"/>
  <c r="U494" i="2" s="1"/>
  <c r="R494" i="2"/>
  <c r="W494" i="2" s="1"/>
  <c r="L494" i="2"/>
  <c r="T494" i="2" s="1"/>
  <c r="Z494" i="2" l="1"/>
  <c r="AB494" i="2" s="1"/>
  <c r="P494" i="2"/>
  <c r="Q494" i="2" s="1"/>
  <c r="R495" i="2" s="1"/>
  <c r="AE494" i="2"/>
  <c r="L495" i="2" l="1"/>
  <c r="T495" i="2" s="1"/>
  <c r="S495" i="2"/>
  <c r="U495" i="2" s="1"/>
  <c r="W495" i="2"/>
  <c r="Z495" i="2" l="1"/>
  <c r="AB495" i="2" s="1"/>
  <c r="AE495" i="2"/>
  <c r="P495" i="2"/>
  <c r="Q495" i="2" s="1"/>
  <c r="R496" i="2" s="1"/>
  <c r="L496" i="2" l="1"/>
  <c r="T496" i="2" s="1"/>
  <c r="S496" i="2"/>
  <c r="U496" i="2" s="1"/>
  <c r="W496" i="2"/>
  <c r="Z496" i="2" l="1"/>
  <c r="AB496" i="2" s="1"/>
  <c r="P496" i="2"/>
  <c r="Q496" i="2" s="1"/>
  <c r="S497" i="2" s="1"/>
  <c r="U497" i="2" s="1"/>
  <c r="AE496" i="2"/>
  <c r="L497" i="2" l="1"/>
  <c r="T497" i="2" s="1"/>
  <c r="AE497" i="2" s="1"/>
  <c r="R497" i="2"/>
  <c r="W497" i="2" s="1"/>
  <c r="P497" i="2" l="1"/>
  <c r="Q497" i="2" s="1"/>
  <c r="R498" i="2" s="1"/>
  <c r="Z497" i="2"/>
  <c r="AB497" i="2" s="1"/>
  <c r="L498" i="2" l="1"/>
  <c r="T498" i="2" s="1"/>
  <c r="S498" i="2"/>
  <c r="U498" i="2" s="1"/>
  <c r="W498" i="2"/>
  <c r="P498" i="2" l="1"/>
  <c r="Q498" i="2" s="1"/>
  <c r="R499" i="2" s="1"/>
  <c r="AE498" i="2"/>
  <c r="Z498" i="2"/>
  <c r="AB498" i="2" s="1"/>
  <c r="L499" i="2" l="1"/>
  <c r="T499" i="2" s="1"/>
  <c r="S499" i="2"/>
  <c r="U499" i="2" s="1"/>
  <c r="W499" i="2"/>
  <c r="P499" i="2" l="1"/>
  <c r="Q499" i="2" s="1"/>
  <c r="S500" i="2" s="1"/>
  <c r="U500" i="2" s="1"/>
  <c r="AE499" i="2"/>
  <c r="Z499" i="2"/>
  <c r="AB499" i="2" s="1"/>
  <c r="L500" i="2" l="1"/>
  <c r="T500" i="2" s="1"/>
  <c r="AE500" i="2" s="1"/>
  <c r="R500" i="2"/>
  <c r="W500" i="2" s="1"/>
  <c r="Z500" i="2" l="1"/>
  <c r="AB500" i="2" s="1"/>
  <c r="P500" i="2"/>
  <c r="Q500" i="2" s="1"/>
  <c r="S501" i="2" s="1"/>
  <c r="U501" i="2" s="1"/>
  <c r="L501" i="2" l="1"/>
  <c r="T501" i="2" s="1"/>
  <c r="AE501" i="2" s="1"/>
  <c r="R501" i="2"/>
  <c r="W501" i="2" s="1"/>
  <c r="Z501" i="2" l="1"/>
  <c r="AB501" i="2" s="1"/>
  <c r="P501" i="2"/>
  <c r="Q501" i="2" s="1"/>
  <c r="R502" i="2" s="1"/>
  <c r="L502" i="2" l="1"/>
  <c r="T502" i="2" s="1"/>
  <c r="S502" i="2"/>
  <c r="U502" i="2" s="1"/>
  <c r="W502" i="2"/>
  <c r="Z502" i="2" l="1"/>
  <c r="AB502" i="2" s="1"/>
  <c r="P502" i="2"/>
  <c r="Q502" i="2" s="1"/>
  <c r="R503" i="2" s="1"/>
  <c r="W503" i="2" s="1"/>
  <c r="AE502" i="2"/>
  <c r="S503" i="2" l="1"/>
  <c r="U503" i="2" s="1"/>
  <c r="L503" i="2"/>
  <c r="T503" i="2" s="1"/>
  <c r="Z504" i="2"/>
  <c r="Z503" i="2" l="1"/>
  <c r="AD502" i="2"/>
  <c r="AD501" i="2" s="1"/>
  <c r="AD500" i="2" s="1"/>
  <c r="AD499" i="2" s="1"/>
  <c r="AD498" i="2" s="1"/>
  <c r="AD497" i="2" s="1"/>
  <c r="AD496" i="2" s="1"/>
  <c r="AD495" i="2" s="1"/>
  <c r="AD494" i="2" s="1"/>
  <c r="AD493" i="2" s="1"/>
  <c r="AD492" i="2" s="1"/>
  <c r="AD491" i="2" s="1"/>
  <c r="AD490" i="2" s="1"/>
  <c r="AD489" i="2" s="1"/>
  <c r="AD488" i="2" s="1"/>
  <c r="AD487" i="2" s="1"/>
  <c r="AD486" i="2" s="1"/>
  <c r="AD485" i="2" s="1"/>
  <c r="AD484" i="2" s="1"/>
  <c r="AD483" i="2" s="1"/>
  <c r="AD482" i="2" s="1"/>
  <c r="AD481" i="2" s="1"/>
  <c r="AD480" i="2" s="1"/>
  <c r="AD479" i="2" s="1"/>
  <c r="AD478" i="2" s="1"/>
  <c r="AD477" i="2" s="1"/>
  <c r="AD476" i="2" s="1"/>
  <c r="AD475" i="2" s="1"/>
  <c r="AD474" i="2" s="1"/>
  <c r="AD473" i="2" s="1"/>
  <c r="AD472" i="2" s="1"/>
  <c r="AD471" i="2" s="1"/>
  <c r="AD470" i="2" s="1"/>
  <c r="AD469" i="2" s="1"/>
  <c r="AD468" i="2" s="1"/>
  <c r="AD467" i="2" s="1"/>
  <c r="AD466" i="2" s="1"/>
  <c r="AD465" i="2" s="1"/>
  <c r="AD464" i="2" s="1"/>
  <c r="AD463" i="2" s="1"/>
  <c r="AD462" i="2" s="1"/>
  <c r="AD461" i="2" s="1"/>
  <c r="AD460" i="2" s="1"/>
  <c r="AD459" i="2" s="1"/>
  <c r="AD458" i="2" s="1"/>
  <c r="AD457" i="2" s="1"/>
  <c r="AD456" i="2" s="1"/>
  <c r="AD455" i="2" s="1"/>
  <c r="AD454" i="2" s="1"/>
  <c r="AD453" i="2" s="1"/>
  <c r="AD452" i="2" s="1"/>
  <c r="AD451" i="2" s="1"/>
  <c r="AD450" i="2" s="1"/>
  <c r="AD449" i="2" s="1"/>
  <c r="AD448" i="2" s="1"/>
  <c r="AD447" i="2" s="1"/>
  <c r="AD446" i="2" s="1"/>
  <c r="AD445" i="2" s="1"/>
  <c r="AD444" i="2" s="1"/>
  <c r="AD443" i="2" s="1"/>
  <c r="AD442" i="2" s="1"/>
  <c r="AD441" i="2" s="1"/>
  <c r="AD440" i="2" s="1"/>
  <c r="AD439" i="2" s="1"/>
  <c r="AD438" i="2" s="1"/>
  <c r="AD437" i="2" s="1"/>
  <c r="AD436" i="2" s="1"/>
  <c r="AD435" i="2" s="1"/>
  <c r="AD434" i="2" s="1"/>
  <c r="AD433" i="2" s="1"/>
  <c r="AD432" i="2" s="1"/>
  <c r="AD431" i="2" s="1"/>
  <c r="AD430" i="2" s="1"/>
  <c r="AD429" i="2" s="1"/>
  <c r="AD428" i="2" s="1"/>
  <c r="AD427" i="2" s="1"/>
  <c r="AD426" i="2" s="1"/>
  <c r="AD425" i="2" s="1"/>
  <c r="AD424" i="2" s="1"/>
  <c r="AD423" i="2" s="1"/>
  <c r="AD422" i="2" s="1"/>
  <c r="AD421" i="2" s="1"/>
  <c r="AD420" i="2" s="1"/>
  <c r="AD419" i="2" s="1"/>
  <c r="AD418" i="2" s="1"/>
  <c r="AD417" i="2" s="1"/>
  <c r="AD416" i="2" s="1"/>
  <c r="AD415" i="2" s="1"/>
  <c r="AD414" i="2" s="1"/>
  <c r="AD413" i="2" s="1"/>
  <c r="AD412" i="2" s="1"/>
  <c r="AD411" i="2" s="1"/>
  <c r="AD410" i="2" s="1"/>
  <c r="AD409" i="2" s="1"/>
  <c r="AD408" i="2" s="1"/>
  <c r="AD407" i="2" s="1"/>
  <c r="AD406" i="2" s="1"/>
  <c r="AD405" i="2" s="1"/>
  <c r="AD404" i="2" s="1"/>
  <c r="AD403" i="2" s="1"/>
  <c r="AD402" i="2" s="1"/>
  <c r="AD401" i="2" s="1"/>
  <c r="AD400" i="2" s="1"/>
  <c r="AD399" i="2" s="1"/>
  <c r="AD398" i="2" s="1"/>
  <c r="AD397" i="2" s="1"/>
  <c r="AD396" i="2" s="1"/>
  <c r="AD395" i="2" s="1"/>
  <c r="AD394" i="2" s="1"/>
  <c r="AD393" i="2" s="1"/>
  <c r="AD392" i="2" s="1"/>
  <c r="AD391" i="2" s="1"/>
  <c r="AD390" i="2" s="1"/>
  <c r="AD389" i="2" s="1"/>
  <c r="AD388" i="2" s="1"/>
  <c r="AD387" i="2" s="1"/>
  <c r="AD386" i="2" s="1"/>
  <c r="AD385" i="2" s="1"/>
  <c r="AD384" i="2" s="1"/>
  <c r="AD383" i="2" s="1"/>
  <c r="AD382" i="2" s="1"/>
  <c r="AD381" i="2" s="1"/>
  <c r="AD380" i="2" s="1"/>
  <c r="AD379" i="2" s="1"/>
  <c r="AD378" i="2" s="1"/>
  <c r="AD377" i="2" s="1"/>
  <c r="AD376" i="2" s="1"/>
  <c r="AD375" i="2" s="1"/>
  <c r="AD374" i="2" s="1"/>
  <c r="AD373" i="2" s="1"/>
  <c r="AD372" i="2" s="1"/>
  <c r="AD371" i="2" s="1"/>
  <c r="AD370" i="2" s="1"/>
  <c r="AD369" i="2" s="1"/>
  <c r="AD368" i="2" s="1"/>
  <c r="AD367" i="2" s="1"/>
  <c r="AD366" i="2" s="1"/>
  <c r="AD365" i="2" s="1"/>
  <c r="AD364" i="2" s="1"/>
  <c r="AD363" i="2" s="1"/>
  <c r="AD362" i="2" s="1"/>
  <c r="AD361" i="2" s="1"/>
  <c r="AD360" i="2" s="1"/>
  <c r="AD359" i="2" s="1"/>
  <c r="AD358" i="2" s="1"/>
  <c r="AD357" i="2" s="1"/>
  <c r="AD356" i="2" s="1"/>
  <c r="AD355" i="2" s="1"/>
  <c r="AD354" i="2" s="1"/>
  <c r="AD353" i="2" s="1"/>
  <c r="AD352" i="2" s="1"/>
  <c r="AD351" i="2" s="1"/>
  <c r="AD350" i="2" s="1"/>
  <c r="AD349" i="2" s="1"/>
  <c r="AD348" i="2" s="1"/>
  <c r="AD347" i="2" s="1"/>
  <c r="AD346" i="2" s="1"/>
  <c r="AD345" i="2" s="1"/>
  <c r="AD344" i="2" s="1"/>
  <c r="AD343" i="2" s="1"/>
  <c r="AD342" i="2" s="1"/>
  <c r="AD341" i="2" s="1"/>
  <c r="AD340" i="2" s="1"/>
  <c r="AD339" i="2" s="1"/>
  <c r="AD338" i="2" s="1"/>
  <c r="AD337" i="2" s="1"/>
  <c r="AD336" i="2" s="1"/>
  <c r="AD335" i="2" s="1"/>
  <c r="AD334" i="2" s="1"/>
  <c r="AD333" i="2" s="1"/>
  <c r="AD332" i="2" s="1"/>
  <c r="AD331" i="2" s="1"/>
  <c r="AD330" i="2" s="1"/>
  <c r="AD329" i="2" s="1"/>
  <c r="AD328" i="2" s="1"/>
  <c r="AD327" i="2" s="1"/>
  <c r="AD326" i="2" s="1"/>
  <c r="AD325" i="2" s="1"/>
  <c r="AD324" i="2" s="1"/>
  <c r="AD323" i="2" s="1"/>
  <c r="AD322" i="2" s="1"/>
  <c r="AD321" i="2" s="1"/>
  <c r="AD320" i="2" s="1"/>
  <c r="AD319" i="2" s="1"/>
  <c r="AD318" i="2" s="1"/>
  <c r="AD317" i="2" s="1"/>
  <c r="AD316" i="2" s="1"/>
  <c r="AD315" i="2" s="1"/>
  <c r="AD314" i="2" s="1"/>
  <c r="AD313" i="2" s="1"/>
  <c r="AD312" i="2" s="1"/>
  <c r="AD311" i="2" s="1"/>
  <c r="AD310" i="2" s="1"/>
  <c r="AD309" i="2" s="1"/>
  <c r="AD308" i="2" s="1"/>
  <c r="AD307" i="2" s="1"/>
  <c r="AD306" i="2" s="1"/>
  <c r="AD305" i="2" s="1"/>
  <c r="AD304" i="2" s="1"/>
  <c r="AD303" i="2" s="1"/>
  <c r="AD302" i="2" s="1"/>
  <c r="AD301" i="2" s="1"/>
  <c r="AD300" i="2" s="1"/>
  <c r="AD299" i="2" s="1"/>
  <c r="AD298" i="2" s="1"/>
  <c r="AD297" i="2" s="1"/>
  <c r="AD296" i="2" s="1"/>
  <c r="AD295" i="2" s="1"/>
  <c r="AD294" i="2" s="1"/>
  <c r="AD293" i="2" s="1"/>
  <c r="AD292" i="2" s="1"/>
  <c r="AD291" i="2" s="1"/>
  <c r="AD290" i="2" s="1"/>
  <c r="AD289" i="2" s="1"/>
  <c r="AD288" i="2" s="1"/>
  <c r="AD287" i="2" s="1"/>
  <c r="AD286" i="2" s="1"/>
  <c r="AD285" i="2" s="1"/>
  <c r="AD284" i="2" s="1"/>
  <c r="AD283" i="2" s="1"/>
  <c r="AD282" i="2" s="1"/>
  <c r="AD281" i="2" s="1"/>
  <c r="AD280" i="2" s="1"/>
  <c r="AD279" i="2" s="1"/>
  <c r="AD278" i="2" s="1"/>
  <c r="AD277" i="2" s="1"/>
  <c r="AD276" i="2" s="1"/>
  <c r="AD275" i="2" s="1"/>
  <c r="AD274" i="2" s="1"/>
  <c r="AD273" i="2" s="1"/>
  <c r="AD272" i="2" s="1"/>
  <c r="AD271" i="2" s="1"/>
  <c r="AD270" i="2" s="1"/>
  <c r="AD269" i="2" s="1"/>
  <c r="AD268" i="2" s="1"/>
  <c r="AD267" i="2" s="1"/>
  <c r="AD266" i="2" s="1"/>
  <c r="AD265" i="2" s="1"/>
  <c r="AD264" i="2" s="1"/>
  <c r="AD263" i="2" s="1"/>
  <c r="AD262" i="2" s="1"/>
  <c r="AD261" i="2" s="1"/>
  <c r="AD260" i="2" s="1"/>
  <c r="AD259" i="2" s="1"/>
  <c r="AD258" i="2" s="1"/>
  <c r="AD257" i="2" s="1"/>
  <c r="AD256" i="2" s="1"/>
  <c r="AD255" i="2" s="1"/>
  <c r="AD254" i="2" s="1"/>
  <c r="AD253" i="2" s="1"/>
  <c r="AD252" i="2" s="1"/>
  <c r="AD251" i="2" s="1"/>
  <c r="AD250" i="2" s="1"/>
  <c r="AD249" i="2" s="1"/>
  <c r="AD248" i="2" s="1"/>
  <c r="AD247" i="2" s="1"/>
  <c r="AD246" i="2" s="1"/>
  <c r="AD245" i="2" s="1"/>
  <c r="AD244" i="2" s="1"/>
  <c r="AD243" i="2" s="1"/>
  <c r="AD242" i="2" s="1"/>
  <c r="AD241" i="2" s="1"/>
  <c r="AD240" i="2" s="1"/>
  <c r="AD239" i="2" s="1"/>
  <c r="AD238" i="2" s="1"/>
  <c r="AD237" i="2" s="1"/>
  <c r="AD236" i="2" s="1"/>
  <c r="AD235" i="2" s="1"/>
  <c r="AD234" i="2" s="1"/>
  <c r="AD233" i="2" s="1"/>
  <c r="AD232" i="2" s="1"/>
  <c r="AD231" i="2" s="1"/>
  <c r="AD230" i="2" s="1"/>
  <c r="AD229" i="2" s="1"/>
  <c r="AD228" i="2" s="1"/>
  <c r="AD227" i="2" s="1"/>
  <c r="AD226" i="2" s="1"/>
  <c r="AD225" i="2" s="1"/>
  <c r="AD224" i="2" s="1"/>
  <c r="AD223" i="2" s="1"/>
  <c r="AD222" i="2" s="1"/>
  <c r="AD221" i="2" s="1"/>
  <c r="AD220" i="2" s="1"/>
  <c r="AD219" i="2" s="1"/>
  <c r="AD218" i="2" s="1"/>
  <c r="AD217" i="2" s="1"/>
  <c r="AD216" i="2" s="1"/>
  <c r="AD215" i="2" s="1"/>
  <c r="AD214" i="2" s="1"/>
  <c r="AD213" i="2" s="1"/>
  <c r="AD212" i="2" s="1"/>
  <c r="AD211" i="2" s="1"/>
  <c r="AD210" i="2" s="1"/>
  <c r="AD209" i="2" s="1"/>
  <c r="AD208" i="2" s="1"/>
  <c r="AD207" i="2" s="1"/>
  <c r="AD206" i="2" s="1"/>
  <c r="AD205" i="2" s="1"/>
  <c r="AD204" i="2" s="1"/>
  <c r="AD203" i="2" s="1"/>
  <c r="AD202" i="2" s="1"/>
  <c r="AD201" i="2" s="1"/>
  <c r="AD200" i="2" s="1"/>
  <c r="AD199" i="2" s="1"/>
  <c r="AD198" i="2" s="1"/>
  <c r="AD197" i="2" s="1"/>
  <c r="AD196" i="2" s="1"/>
  <c r="AD195" i="2" s="1"/>
  <c r="AD194" i="2" s="1"/>
  <c r="AD193" i="2" s="1"/>
  <c r="AD192" i="2" s="1"/>
  <c r="AD191" i="2" s="1"/>
  <c r="AD190" i="2" s="1"/>
  <c r="AD189" i="2" s="1"/>
  <c r="AD188" i="2" s="1"/>
  <c r="AD187" i="2" s="1"/>
  <c r="AD186" i="2" s="1"/>
  <c r="AD185" i="2" s="1"/>
  <c r="AD184" i="2" s="1"/>
  <c r="AD183" i="2" s="1"/>
  <c r="AD182" i="2" s="1"/>
  <c r="AD181" i="2" s="1"/>
  <c r="AD180" i="2" s="1"/>
  <c r="AD179" i="2" s="1"/>
  <c r="AD178" i="2" s="1"/>
  <c r="AD177" i="2" s="1"/>
  <c r="AD176" i="2" s="1"/>
  <c r="AD175" i="2" s="1"/>
  <c r="AD174" i="2" s="1"/>
  <c r="AD173" i="2" s="1"/>
  <c r="AD172" i="2" s="1"/>
  <c r="AD171" i="2" s="1"/>
  <c r="AD170" i="2" s="1"/>
  <c r="AD169" i="2" s="1"/>
  <c r="AD168" i="2" s="1"/>
  <c r="AD167" i="2" s="1"/>
  <c r="AD166" i="2" s="1"/>
  <c r="AD165" i="2" s="1"/>
  <c r="AD164" i="2" s="1"/>
  <c r="AD163" i="2" s="1"/>
  <c r="AD162" i="2" s="1"/>
  <c r="AD161" i="2" s="1"/>
  <c r="AD160" i="2" s="1"/>
  <c r="AD159" i="2" s="1"/>
  <c r="AD158" i="2" s="1"/>
  <c r="AD157" i="2" s="1"/>
  <c r="AD156" i="2" s="1"/>
  <c r="AD155" i="2" s="1"/>
  <c r="AD154" i="2" s="1"/>
  <c r="AD153" i="2" s="1"/>
  <c r="AD152" i="2" s="1"/>
  <c r="AD151" i="2" s="1"/>
  <c r="AD150" i="2" s="1"/>
  <c r="AD149" i="2" s="1"/>
  <c r="AD148" i="2" s="1"/>
  <c r="AD147" i="2" s="1"/>
  <c r="AD146" i="2" s="1"/>
  <c r="AD145" i="2" s="1"/>
  <c r="AD144" i="2" s="1"/>
  <c r="AD143" i="2" s="1"/>
  <c r="AD142" i="2" s="1"/>
  <c r="AD141" i="2" s="1"/>
  <c r="AD140" i="2" s="1"/>
  <c r="AD139" i="2" s="1"/>
  <c r="AD138" i="2" s="1"/>
  <c r="AD137" i="2" s="1"/>
  <c r="AD136" i="2" s="1"/>
  <c r="AD135" i="2" s="1"/>
  <c r="AD134" i="2" s="1"/>
  <c r="AD133" i="2" s="1"/>
  <c r="AD132" i="2" s="1"/>
  <c r="AD131" i="2" s="1"/>
  <c r="AD130" i="2" s="1"/>
  <c r="AD129" i="2" s="1"/>
  <c r="AD128" i="2" s="1"/>
  <c r="AD127" i="2" s="1"/>
  <c r="AD126" i="2" s="1"/>
  <c r="AD125" i="2" s="1"/>
  <c r="AD124" i="2" s="1"/>
  <c r="AD123" i="2" s="1"/>
  <c r="AD122" i="2" s="1"/>
  <c r="AD121" i="2" s="1"/>
  <c r="AD120" i="2" s="1"/>
  <c r="AD119" i="2" s="1"/>
  <c r="AD118" i="2" s="1"/>
  <c r="AD117" i="2" s="1"/>
  <c r="AD116" i="2" s="1"/>
  <c r="AD115" i="2" s="1"/>
  <c r="AD114" i="2" s="1"/>
  <c r="AD113" i="2" s="1"/>
  <c r="AD112" i="2" s="1"/>
  <c r="AD111" i="2" s="1"/>
  <c r="AD110" i="2" s="1"/>
  <c r="AD109" i="2" s="1"/>
  <c r="AD108" i="2" s="1"/>
  <c r="AD107" i="2" s="1"/>
  <c r="AD106" i="2" s="1"/>
  <c r="AD105" i="2" s="1"/>
  <c r="AD104" i="2" s="1"/>
  <c r="AD103" i="2" s="1"/>
  <c r="AD102" i="2" s="1"/>
  <c r="AD101" i="2" s="1"/>
  <c r="AD100" i="2" s="1"/>
  <c r="AD99" i="2" s="1"/>
  <c r="AD98" i="2" s="1"/>
  <c r="AD97" i="2" s="1"/>
  <c r="AD96" i="2" s="1"/>
  <c r="AD95" i="2" s="1"/>
  <c r="AD94" i="2" s="1"/>
  <c r="AD93" i="2" s="1"/>
  <c r="AD92" i="2" s="1"/>
  <c r="AD91" i="2" s="1"/>
  <c r="AD90" i="2" s="1"/>
  <c r="AD89" i="2" s="1"/>
  <c r="AD88" i="2" s="1"/>
  <c r="AD87" i="2" s="1"/>
  <c r="AD86" i="2" s="1"/>
  <c r="AD85" i="2" s="1"/>
  <c r="AD84" i="2" s="1"/>
  <c r="AD83" i="2" s="1"/>
  <c r="AD82" i="2" s="1"/>
  <c r="AD81" i="2" s="1"/>
  <c r="AD80" i="2" s="1"/>
  <c r="AD79" i="2" s="1"/>
  <c r="AD78" i="2" s="1"/>
  <c r="AD77" i="2" s="1"/>
  <c r="AD76" i="2" s="1"/>
  <c r="AD75" i="2" s="1"/>
  <c r="AD74" i="2" s="1"/>
  <c r="AD73" i="2" s="1"/>
  <c r="AD72" i="2" s="1"/>
  <c r="AD71" i="2" s="1"/>
  <c r="AD70" i="2" s="1"/>
  <c r="AD69" i="2" s="1"/>
  <c r="AD68" i="2" s="1"/>
  <c r="AD67" i="2" s="1"/>
  <c r="AD66" i="2" s="1"/>
  <c r="AD65" i="2" s="1"/>
  <c r="AD64" i="2" s="1"/>
  <c r="AD63" i="2" s="1"/>
  <c r="AD62" i="2" s="1"/>
  <c r="AD61" i="2" s="1"/>
  <c r="AD60" i="2" s="1"/>
  <c r="AD59" i="2" s="1"/>
  <c r="AD58" i="2" s="1"/>
  <c r="AD57" i="2" s="1"/>
  <c r="AD56" i="2" s="1"/>
  <c r="AD55" i="2" s="1"/>
  <c r="AD54" i="2" s="1"/>
  <c r="AD53" i="2" s="1"/>
  <c r="AD52" i="2" s="1"/>
  <c r="AD51" i="2" s="1"/>
  <c r="AD50" i="2" s="1"/>
  <c r="AD49" i="2" s="1"/>
  <c r="AD48" i="2" s="1"/>
  <c r="AD47" i="2" s="1"/>
  <c r="AD46" i="2" s="1"/>
  <c r="AD45" i="2" s="1"/>
  <c r="AD44" i="2" s="1"/>
  <c r="AD43" i="2" s="1"/>
  <c r="AD42" i="2" s="1"/>
  <c r="AD41" i="2" s="1"/>
  <c r="AD40" i="2" s="1"/>
  <c r="AD39" i="2" s="1"/>
  <c r="AD38" i="2" s="1"/>
  <c r="AD37" i="2" s="1"/>
  <c r="AD36" i="2" s="1"/>
  <c r="AD35" i="2" s="1"/>
  <c r="AD34" i="2" s="1"/>
  <c r="AD33" i="2" s="1"/>
  <c r="AD32" i="2" s="1"/>
  <c r="AD31" i="2" s="1"/>
  <c r="AD30" i="2" s="1"/>
  <c r="AD29" i="2" s="1"/>
  <c r="AD28" i="2" s="1"/>
  <c r="AD27" i="2" s="1"/>
  <c r="AD26" i="2" s="1"/>
  <c r="AD25" i="2" s="1"/>
  <c r="AD24" i="2" s="1"/>
  <c r="AD23" i="2" s="1"/>
  <c r="AD22" i="2" s="1"/>
  <c r="AD21" i="2" s="1"/>
  <c r="AD20" i="2" s="1"/>
  <c r="AD19" i="2" s="1"/>
  <c r="AD18" i="2" s="1"/>
  <c r="AD17" i="2" s="1"/>
  <c r="AD16" i="2" s="1"/>
  <c r="AD15" i="2" s="1"/>
  <c r="AD14" i="2" s="1"/>
  <c r="AD13" i="2" s="1"/>
  <c r="AD12" i="2" s="1"/>
  <c r="AD11" i="2" s="1"/>
  <c r="AE503" i="2"/>
  <c r="P503" i="2"/>
  <c r="Z505" i="2"/>
  <c r="Z506" i="2" l="1"/>
  <c r="Z507" i="2" l="1"/>
  <c r="Z508" i="2" l="1"/>
  <c r="Z509" i="2" l="1"/>
  <c r="Z510" i="2" l="1"/>
  <c r="Z511" i="2" l="1"/>
  <c r="Z512" i="2" l="1"/>
  <c r="Z513" i="2" l="1"/>
  <c r="Z514" i="2" l="1"/>
  <c r="Z515" i="2" l="1"/>
</calcChain>
</file>

<file path=xl/sharedStrings.xml><?xml version="1.0" encoding="utf-8"?>
<sst xmlns="http://schemas.openxmlformats.org/spreadsheetml/2006/main" count="1766" uniqueCount="80">
  <si>
    <t>fun‚railles</t>
  </si>
  <si>
    <t>Output_Format</t>
  </si>
  <si>
    <t xml:space="preserve"> FORMAT_SORTIE2</t>
  </si>
  <si>
    <t>NUMLINES</t>
  </si>
  <si>
    <t>VARIABLE_TYPES</t>
  </si>
  <si>
    <t>T1</t>
  </si>
  <si>
    <t>I</t>
  </si>
  <si>
    <t>N</t>
  </si>
  <si>
    <t>!</t>
  </si>
  <si>
    <t>SPCODE</t>
  </si>
  <si>
    <t>AGE_AT_ENTRY</t>
  </si>
  <si>
    <t>DURATIONIF_M</t>
  </si>
  <si>
    <t>PREM_FREQ</t>
  </si>
  <si>
    <t>AGE2_ATENTRY</t>
  </si>
  <si>
    <t>POL_NUMERO</t>
  </si>
  <si>
    <t>SEX</t>
  </si>
  <si>
    <t>SEX2</t>
  </si>
  <si>
    <t>INIT_POLS_IF</t>
  </si>
  <si>
    <t>MTHS_TO_SALE</t>
  </si>
  <si>
    <t>*</t>
  </si>
  <si>
    <t>Date</t>
  </si>
  <si>
    <t>T</t>
  </si>
  <si>
    <t>Anos Decorridos</t>
  </si>
  <si>
    <t>Age Anniversary Date</t>
  </si>
  <si>
    <t>Age 2 Anniversary Date</t>
  </si>
  <si>
    <t>EKM 95</t>
  </si>
  <si>
    <t>EKF 95</t>
  </si>
  <si>
    <t>x</t>
  </si>
  <si>
    <t>qx</t>
  </si>
  <si>
    <t>qy</t>
  </si>
  <si>
    <t>Mortality</t>
  </si>
  <si>
    <t>Q_EXP_PN</t>
  </si>
  <si>
    <t>Q_EXP2_PN</t>
  </si>
  <si>
    <t>Policy_Term_Years</t>
  </si>
  <si>
    <t>Q_EXP</t>
  </si>
  <si>
    <t>Q_EXP2</t>
  </si>
  <si>
    <t>Annual_Death_Probability</t>
  </si>
  <si>
    <t>Number of Deaths</t>
  </si>
  <si>
    <t>Lapse Probabilitx</t>
  </si>
  <si>
    <t>Annual Lapse Probability</t>
  </si>
  <si>
    <t>Anniversary_Date</t>
  </si>
  <si>
    <t>Aux Lapse</t>
  </si>
  <si>
    <t>Premium Payment</t>
  </si>
  <si>
    <t>Number of Surrenders</t>
  </si>
  <si>
    <t>Number In Force</t>
  </si>
  <si>
    <t>Premium Cash Flow</t>
  </si>
  <si>
    <t>Frais Visite Premium</t>
  </si>
  <si>
    <t>Premium</t>
  </si>
  <si>
    <t>Premium Frais Visite</t>
  </si>
  <si>
    <t>Capital</t>
  </si>
  <si>
    <t>Death Cash Flow</t>
  </si>
  <si>
    <t>Frais Visite Claim Ratio</t>
  </si>
  <si>
    <t>Frais Visite Cash Flow</t>
  </si>
  <si>
    <t>Comission</t>
  </si>
  <si>
    <t>Comission Rate</t>
  </si>
  <si>
    <t>Comission Cash Flow</t>
  </si>
  <si>
    <t>Risque En Cour</t>
  </si>
  <si>
    <t>MAT Reserve For Expense</t>
  </si>
  <si>
    <t>Premium Charge</t>
  </si>
  <si>
    <t>Fixed Anual Expense</t>
  </si>
  <si>
    <t>Reserves Expenses</t>
  </si>
  <si>
    <t>Expense Inflation</t>
  </si>
  <si>
    <t>Expense Inflation Factor</t>
  </si>
  <si>
    <t>Total Expenses</t>
  </si>
  <si>
    <t>Investement Yields</t>
  </si>
  <si>
    <t>Discount Factor</t>
  </si>
  <si>
    <t>BEL</t>
  </si>
  <si>
    <t>Policy_Term_Month</t>
  </si>
  <si>
    <t>Months to End</t>
  </si>
  <si>
    <t>Max Number Months</t>
  </si>
  <si>
    <t>Number Policies</t>
  </si>
  <si>
    <t>CF Claims</t>
  </si>
  <si>
    <t>CF_Premiuns</t>
  </si>
  <si>
    <t>CF_Claims</t>
  </si>
  <si>
    <t>CF_Comission</t>
  </si>
  <si>
    <t>CF_Expenses</t>
  </si>
  <si>
    <t>End Year</t>
  </si>
  <si>
    <t>Prem Freq</t>
  </si>
  <si>
    <t>Months Between Premiuns</t>
  </si>
  <si>
    <t>Time Since Last 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</si>
</sst>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General_)"/>
    <numFmt numFmtId="165" formatCode="0.0000000_)"/>
    <numFmt numFmtId="166" formatCode="0.000000000000"/>
    <numFmt numFmtId="167" formatCode="0.0000000"/>
    <numFmt numFmtId="168" formatCode="0.000000000"/>
    <numFmt numFmtId="169" formatCode="0.00000"/>
  </numFmts>
  <fonts count="10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b/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5" fillId="0" borderId="0"/>
    <xf numFmtId="164" fontId="8" fillId="0" borderId="0"/>
  </cellStyleXfs>
  <cellXfs count="26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1" xfId="1" applyFont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3" fillId="0" borderId="1" xfId="2" applyFont="1" applyBorder="1" applyAlignment="1">
      <alignment horizontal="center"/>
    </xf>
    <xf numFmtId="1" fontId="6" fillId="0" borderId="2" xfId="1" applyNumberFormat="1" applyFont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7" fillId="0" borderId="3" xfId="2" applyFont="1" applyBorder="1" applyAlignment="1">
      <alignment horizontal="center"/>
    </xf>
    <xf numFmtId="1" fontId="5" fillId="0" borderId="4" xfId="1" applyNumberFormat="1" applyFont="1" applyBorder="1" applyAlignment="1">
      <alignment horizontal="center"/>
    </xf>
    <xf numFmtId="165" fontId="7" fillId="0" borderId="5" xfId="3" applyNumberFormat="1" applyFont="1" applyFill="1" applyBorder="1"/>
    <xf numFmtId="165" fontId="7" fillId="0" borderId="6" xfId="3" applyNumberFormat="1" applyFont="1" applyFill="1" applyBorder="1"/>
    <xf numFmtId="165" fontId="7" fillId="0" borderId="7" xfId="3" applyNumberFormat="1" applyFont="1" applyBorder="1"/>
    <xf numFmtId="4" fontId="5" fillId="0" borderId="0" xfId="1" applyNumberFormat="1" applyFont="1"/>
    <xf numFmtId="1" fontId="5" fillId="0" borderId="8" xfId="1" applyNumberFormat="1" applyFont="1" applyBorder="1" applyAlignment="1">
      <alignment horizontal="center"/>
    </xf>
    <xf numFmtId="165" fontId="7" fillId="0" borderId="3" xfId="3" applyNumberFormat="1" applyFont="1" applyBorder="1"/>
    <xf numFmtId="10" fontId="0" fillId="0" borderId="0" xfId="0" applyNumberFormat="1"/>
    <xf numFmtId="166" fontId="0" fillId="0" borderId="0" xfId="0" applyNumberFormat="1"/>
    <xf numFmtId="10" fontId="1" fillId="0" borderId="0" xfId="0" applyNumberFormat="1" applyFont="1"/>
    <xf numFmtId="9" fontId="0" fillId="0" borderId="0" xfId="0" applyNumberFormat="1"/>
    <xf numFmtId="167" fontId="0" fillId="0" borderId="0" xfId="0" applyNumberFormat="1"/>
    <xf numFmtId="168" fontId="0" fillId="0" borderId="0" xfId="0" applyNumberFormat="1"/>
    <xf numFmtId="14" fontId="0" fillId="0" borderId="0" xfId="0" applyNumberFormat="1" applyFill="1"/>
    <xf numFmtId="0" fontId="0" fillId="0" borderId="0" xfId="0" applyFill="1"/>
    <xf numFmtId="166" fontId="0" fillId="0" borderId="0" xfId="0" applyNumberFormat="1" applyFill="1"/>
    <xf numFmtId="169" fontId="0" fillId="0" borderId="0" xfId="0" applyNumberFormat="1"/>
  </cellXfs>
  <cellStyles count="4">
    <cellStyle name="Normal" xfId="0" builtinId="0"/>
    <cellStyle name="Normal 2" xfId="1"/>
    <cellStyle name="Normal 3" xfId="2"/>
    <cellStyle name="Normal_EKM-EKF95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</xdr:row>
          <xdr:rowOff>9525</xdr:rowOff>
        </xdr:from>
        <xdr:to>
          <xdr:col>11</xdr:col>
          <xdr:colOff>161925</xdr:colOff>
          <xdr:row>7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H506"/>
  <sheetViews>
    <sheetView workbookViewId="0">
      <selection activeCell="G2" sqref="G2"/>
    </sheetView>
  </sheetViews>
  <sheetFormatPr baseColWidth="10" defaultRowHeight="12.75" x14ac:dyDescent="0.2"/>
  <cols>
    <col min="2" max="2" width="12.28515625" bestFit="1" customWidth="1"/>
    <col min="3" max="3" width="10.140625" bestFit="1" customWidth="1"/>
    <col min="4" max="4" width="13.140625" bestFit="1" customWidth="1"/>
    <col min="5" max="5" width="12.7109375" bestFit="1" customWidth="1"/>
    <col min="6" max="6" width="12.5703125" bestFit="1" customWidth="1"/>
  </cols>
  <sheetData>
    <row r="1" spans="1:8" x14ac:dyDescent="0.2">
      <c r="A1" s="1" t="s">
        <v>20</v>
      </c>
      <c r="B1" s="1" t="s">
        <v>72</v>
      </c>
      <c r="C1" s="1" t="s">
        <v>73</v>
      </c>
      <c r="D1" s="1" t="s">
        <v>74</v>
      </c>
      <c r="E1" s="1" t="s">
        <v>75</v>
      </c>
      <c r="F1" s="1" t="s">
        <v>66</v>
      </c>
      <c r="G1" s="1"/>
      <c r="H1" s="1"/>
    </row>
    <row r="2" spans="1:8" x14ac:dyDescent="0.2">
      <c r="A2" s="2">
        <v>43100</v>
      </c>
      <c r="B2">
        <v>0</v>
      </c>
      <c r="C2">
        <v>0</v>
      </c>
      <c r="D2">
        <v>0</v>
      </c>
      <c r="E2">
        <v>0</v>
      </c>
      <c r="F2" s="25">
        <v>-72496.264781160004</v>
      </c>
    </row>
    <row r="3" spans="1:8" x14ac:dyDescent="0.2">
      <c r="A3" s="2">
        <f>DATE(YEAR(A2),MONTH(A2)+2,1)-1</f>
        <v>43131</v>
      </c>
      <c r="B3">
        <v>36900</v>
      </c>
      <c r="C3">
        <v>8140.8206587393779</v>
      </c>
      <c r="D3">
        <v>1402.2000000000025</v>
      </c>
      <c r="E3">
        <v>21326.646149666823</v>
      </c>
      <c r="F3">
        <v>-66576.207534646892</v>
      </c>
    </row>
    <row r="4" spans="1:8" x14ac:dyDescent="0.2">
      <c r="A4" s="2">
        <f>DATE(YEAR(A3),MONTH(A3)+2,1)-1</f>
        <v>43159</v>
      </c>
      <c r="B4">
        <v>29811.559332454468</v>
      </c>
      <c r="C4">
        <v>7008.3606349956608</v>
      </c>
      <c r="D4">
        <v>1265.5246897855075</v>
      </c>
      <c r="E4">
        <v>21283.33474163463</v>
      </c>
      <c r="F4">
        <v>-66423.13906135835</v>
      </c>
    </row>
    <row r="5" spans="1:8" x14ac:dyDescent="0.2">
      <c r="A5" s="2">
        <f>DATE(YEAR(A4),MONTH(A4)+2,1)-1</f>
        <v>43190</v>
      </c>
      <c r="B5">
        <v>38182.830195802308</v>
      </c>
      <c r="C5">
        <v>8360.4930256113967</v>
      </c>
      <c r="D5">
        <v>1406.9523397710125</v>
      </c>
      <c r="E5">
        <v>21228.661490743772</v>
      </c>
      <c r="F5">
        <v>-59337.453678014426</v>
      </c>
    </row>
    <row r="6" spans="1:8" x14ac:dyDescent="0.2">
      <c r="A6" s="2">
        <f t="shared" ref="A6:A69" si="0">DATE(YEAR(A5),MONTH(A5)+2,1)-1</f>
        <v>43220</v>
      </c>
      <c r="B6">
        <v>36402.839968123277</v>
      </c>
      <c r="C6">
        <v>8078.7946922101792</v>
      </c>
      <c r="D6">
        <v>1254.4918832227274</v>
      </c>
      <c r="E6">
        <v>21163.430208486308</v>
      </c>
      <c r="F6">
        <v>-53521.59023067807</v>
      </c>
    </row>
    <row r="7" spans="1:8" x14ac:dyDescent="0.2">
      <c r="A7" s="2">
        <f t="shared" si="0"/>
        <v>43251</v>
      </c>
      <c r="B7">
        <v>35028.109892472094</v>
      </c>
      <c r="C7">
        <v>7865.7478106992357</v>
      </c>
      <c r="D7">
        <v>1201.1397255810427</v>
      </c>
      <c r="E7">
        <v>21111.421018502719</v>
      </c>
      <c r="F7">
        <v>-48753.201969410453</v>
      </c>
    </row>
    <row r="8" spans="1:8" x14ac:dyDescent="0.2">
      <c r="A8" s="2">
        <f t="shared" si="0"/>
        <v>43281</v>
      </c>
      <c r="B8">
        <v>31762.638550088181</v>
      </c>
      <c r="C8">
        <v>7354.7500070398664</v>
      </c>
      <c r="D8">
        <v>1178.6235476622207</v>
      </c>
      <c r="E8">
        <v>21077.709611193015</v>
      </c>
      <c r="F8">
        <v>-46675.806342815085</v>
      </c>
    </row>
    <row r="9" spans="1:8" x14ac:dyDescent="0.2">
      <c r="A9" s="2">
        <f t="shared" si="0"/>
        <v>43312</v>
      </c>
      <c r="B9">
        <v>31359.756982329196</v>
      </c>
      <c r="C9">
        <v>7293.0016108745995</v>
      </c>
      <c r="D9">
        <v>1021.5057203904006</v>
      </c>
      <c r="E9">
        <v>21016.465783315347</v>
      </c>
      <c r="F9">
        <v>-44718.022252398347</v>
      </c>
    </row>
    <row r="10" spans="1:8" x14ac:dyDescent="0.2">
      <c r="A10" s="2">
        <f t="shared" si="0"/>
        <v>43343</v>
      </c>
      <c r="B10">
        <v>28349.560072884753</v>
      </c>
      <c r="C10">
        <v>6818.1578371018168</v>
      </c>
      <c r="D10">
        <v>1044.3796687365236</v>
      </c>
      <c r="E10">
        <v>20981.840784584718</v>
      </c>
      <c r="F10">
        <v>-45280.862211207335</v>
      </c>
    </row>
    <row r="11" spans="1:8" x14ac:dyDescent="0.2">
      <c r="A11" s="2">
        <f t="shared" si="0"/>
        <v>43373</v>
      </c>
      <c r="B11">
        <v>23755.50088405361</v>
      </c>
      <c r="C11">
        <v>6085.5557817099325</v>
      </c>
      <c r="D11">
        <v>1027.7411343384003</v>
      </c>
      <c r="E11">
        <v>20958.75033243767</v>
      </c>
      <c r="F11">
        <v>-49666.286467341837</v>
      </c>
    </row>
    <row r="12" spans="1:8" x14ac:dyDescent="0.2">
      <c r="A12" s="2">
        <f t="shared" si="0"/>
        <v>43404</v>
      </c>
      <c r="B12">
        <v>28291.036280936161</v>
      </c>
      <c r="C12">
        <v>6822.6351046589789</v>
      </c>
      <c r="D12">
        <v>891.32196908897436</v>
      </c>
      <c r="E12">
        <v>20928.251001081317</v>
      </c>
      <c r="F12">
        <v>-50093.006935299476</v>
      </c>
    </row>
    <row r="13" spans="1:8" x14ac:dyDescent="0.2">
      <c r="A13" s="2">
        <f t="shared" si="0"/>
        <v>43434</v>
      </c>
      <c r="B13">
        <v>31995.354040825518</v>
      </c>
      <c r="C13">
        <v>7430.7122553080471</v>
      </c>
      <c r="D13">
        <v>785.84965853454764</v>
      </c>
      <c r="E13">
        <v>20890.910546775351</v>
      </c>
      <c r="F13">
        <v>-47281.323124706832</v>
      </c>
    </row>
    <row r="14" spans="1:8" x14ac:dyDescent="0.2">
      <c r="A14" s="2">
        <f t="shared" si="0"/>
        <v>43465</v>
      </c>
      <c r="B14">
        <v>36846.713875784488</v>
      </c>
      <c r="C14">
        <v>8225.9126870059954</v>
      </c>
      <c r="D14">
        <v>746.96964889553567</v>
      </c>
      <c r="E14">
        <v>20844.31281946916</v>
      </c>
      <c r="F14">
        <v>-40323.725248876835</v>
      </c>
    </row>
    <row r="15" spans="1:8" x14ac:dyDescent="0.2">
      <c r="A15" s="2">
        <f t="shared" si="0"/>
        <v>43496</v>
      </c>
      <c r="B15">
        <v>35340.747312030369</v>
      </c>
      <c r="C15">
        <v>7985.8994850197914</v>
      </c>
      <c r="D15">
        <v>636.72192004062754</v>
      </c>
      <c r="E15">
        <v>20776.208010075545</v>
      </c>
      <c r="F15">
        <v>-34438.300388915777</v>
      </c>
    </row>
    <row r="16" spans="1:8" x14ac:dyDescent="0.2">
      <c r="A16" s="2">
        <f t="shared" si="0"/>
        <v>43524</v>
      </c>
      <c r="B16">
        <v>28922.583451528659</v>
      </c>
      <c r="C16">
        <v>6965.1710013559641</v>
      </c>
      <c r="D16">
        <v>656.52238245611522</v>
      </c>
      <c r="E16">
        <v>20743.600161949766</v>
      </c>
      <c r="F16">
        <v>-33929.258113143303</v>
      </c>
    </row>
    <row r="17" spans="1:6" x14ac:dyDescent="0.2">
      <c r="A17" s="2">
        <f t="shared" si="0"/>
        <v>43555</v>
      </c>
      <c r="B17">
        <v>36995.528280789076</v>
      </c>
      <c r="C17">
        <v>8273.5724760545436</v>
      </c>
      <c r="D17">
        <v>755.03294871509195</v>
      </c>
      <c r="E17">
        <v>20695.62781239894</v>
      </c>
      <c r="F17">
        <v>-26705.49753762734</v>
      </c>
    </row>
    <row r="18" spans="1:6" x14ac:dyDescent="0.2">
      <c r="A18" s="2">
        <f t="shared" si="0"/>
        <v>43585</v>
      </c>
      <c r="B18">
        <v>35082.846476943334</v>
      </c>
      <c r="C18">
        <v>7974.939041311588</v>
      </c>
      <c r="D18">
        <v>664.48242203900259</v>
      </c>
      <c r="E18">
        <v>20641.035274126931</v>
      </c>
      <c r="F18">
        <v>-20940.52186765536</v>
      </c>
    </row>
    <row r="19" spans="1:6" x14ac:dyDescent="0.2">
      <c r="A19" s="2">
        <f t="shared" si="0"/>
        <v>43616</v>
      </c>
      <c r="B19">
        <v>33961.037046100493</v>
      </c>
      <c r="C19">
        <v>7806.9783903713951</v>
      </c>
      <c r="D19">
        <v>691.23489047919861</v>
      </c>
      <c r="E19">
        <v>20600.110645409564</v>
      </c>
      <c r="F19">
        <v>-16107.146158185249</v>
      </c>
    </row>
    <row r="20" spans="1:6" x14ac:dyDescent="0.2">
      <c r="A20" s="2">
        <f t="shared" si="0"/>
        <v>43646</v>
      </c>
      <c r="B20">
        <v>30338.967253907176</v>
      </c>
      <c r="C20">
        <v>7230.2372072347562</v>
      </c>
      <c r="D20">
        <v>670.46988991700266</v>
      </c>
      <c r="E20">
        <v>20539.041829708854</v>
      </c>
      <c r="F20">
        <v>-14230.493742328294</v>
      </c>
    </row>
    <row r="21" spans="1:6" x14ac:dyDescent="0.2">
      <c r="A21" s="2">
        <f t="shared" si="0"/>
        <v>43677</v>
      </c>
      <c r="B21">
        <v>30356.447750767184</v>
      </c>
      <c r="C21">
        <v>7244.4170165844544</v>
      </c>
      <c r="D21">
        <v>612.98139669915111</v>
      </c>
      <c r="E21">
        <v>20500.764708662609</v>
      </c>
      <c r="F21">
        <v>-12252.145858032029</v>
      </c>
    </row>
    <row r="22" spans="1:6" x14ac:dyDescent="0.2">
      <c r="A22" s="2">
        <f t="shared" si="0"/>
        <v>43708</v>
      </c>
      <c r="B22">
        <v>27453.359129967354</v>
      </c>
      <c r="C22">
        <v>6787.134190292827</v>
      </c>
      <c r="D22">
        <v>613.32918257607241</v>
      </c>
      <c r="E22">
        <v>20467.573940117574</v>
      </c>
      <c r="F22">
        <v>-12683.989144825391</v>
      </c>
    </row>
    <row r="23" spans="1:6" x14ac:dyDescent="0.2">
      <c r="A23" s="2">
        <f t="shared" si="0"/>
        <v>43738</v>
      </c>
      <c r="B23">
        <v>23029.419091600506</v>
      </c>
      <c r="C23">
        <v>6081.8057874042297</v>
      </c>
      <c r="D23">
        <v>638.19816479594908</v>
      </c>
      <c r="E23">
        <v>20442.719624673347</v>
      </c>
      <c r="F23">
        <v>-16835.063740940026</v>
      </c>
    </row>
    <row r="24" spans="1:6" x14ac:dyDescent="0.2">
      <c r="A24" s="2">
        <f t="shared" si="0"/>
        <v>43769</v>
      </c>
      <c r="B24">
        <v>27175.562526007263</v>
      </c>
      <c r="C24">
        <v>6752.2711410039483</v>
      </c>
      <c r="D24">
        <v>555.15766865413593</v>
      </c>
      <c r="E24">
        <v>20397.57298117788</v>
      </c>
      <c r="F24">
        <v>-17388.088720427328</v>
      </c>
    </row>
    <row r="25" spans="1:6" x14ac:dyDescent="0.2">
      <c r="A25" s="2">
        <f t="shared" si="0"/>
        <v>43799</v>
      </c>
      <c r="B25">
        <v>31007.40517330866</v>
      </c>
      <c r="C25">
        <v>7381.2784226192971</v>
      </c>
      <c r="D25">
        <v>571.87114039382766</v>
      </c>
      <c r="E25">
        <v>20360.017617593869</v>
      </c>
      <c r="F25">
        <v>-14718.211223493867</v>
      </c>
    </row>
    <row r="26" spans="1:6" x14ac:dyDescent="0.2">
      <c r="A26" s="2">
        <f t="shared" si="0"/>
        <v>43830</v>
      </c>
      <c r="B26">
        <v>35652.371463811185</v>
      </c>
      <c r="C26">
        <v>8143.9539735475119</v>
      </c>
      <c r="D26">
        <v>569.30882627356243</v>
      </c>
      <c r="E26">
        <v>20312.927945793079</v>
      </c>
      <c r="F26">
        <v>-8112.6505359389303</v>
      </c>
    </row>
    <row r="27" spans="1:6" x14ac:dyDescent="0.2">
      <c r="A27" s="2">
        <f t="shared" si="0"/>
        <v>43861</v>
      </c>
      <c r="B27">
        <v>33887.548813306945</v>
      </c>
      <c r="C27">
        <v>7862.4909255511584</v>
      </c>
      <c r="D27">
        <v>455.81297889616087</v>
      </c>
      <c r="E27">
        <v>20245.260912021506</v>
      </c>
      <c r="F27">
        <v>-2799.5787651250389</v>
      </c>
    </row>
    <row r="28" spans="1:6" x14ac:dyDescent="0.2">
      <c r="A28" s="2">
        <f t="shared" si="0"/>
        <v>43890</v>
      </c>
      <c r="B28">
        <v>27788.63771769029</v>
      </c>
      <c r="C28">
        <v>6888.6962250381084</v>
      </c>
      <c r="D28">
        <v>488.61490329662763</v>
      </c>
      <c r="E28">
        <v>20199.902709692182</v>
      </c>
      <c r="F28">
        <v>-2591.9205642767274</v>
      </c>
    </row>
    <row r="29" spans="1:6" x14ac:dyDescent="0.2">
      <c r="A29" s="2">
        <f t="shared" si="0"/>
        <v>43921</v>
      </c>
      <c r="B29">
        <v>35562.920026578191</v>
      </c>
      <c r="C29">
        <v>8145.2929375348394</v>
      </c>
      <c r="D29">
        <v>442.48066909029188</v>
      </c>
      <c r="E29">
        <v>20138.965416760308</v>
      </c>
      <c r="F29">
        <v>4240.7740785817377</v>
      </c>
    </row>
    <row r="30" spans="1:6" x14ac:dyDescent="0.2">
      <c r="A30" s="2">
        <f t="shared" si="0"/>
        <v>43951</v>
      </c>
      <c r="B30">
        <v>33310.60861878351</v>
      </c>
      <c r="C30">
        <v>7784.0303012039767</v>
      </c>
      <c r="D30">
        <v>383.40566811508597</v>
      </c>
      <c r="E30">
        <v>20059.734596440871</v>
      </c>
      <c r="F30">
        <v>9329.9163444342266</v>
      </c>
    </row>
    <row r="31" spans="1:6" x14ac:dyDescent="0.2">
      <c r="A31" s="2">
        <f t="shared" si="0"/>
        <v>43982</v>
      </c>
      <c r="B31">
        <v>32369.002299144886</v>
      </c>
      <c r="C31">
        <v>7632.1323180827785</v>
      </c>
      <c r="D31">
        <v>379.29955978451807</v>
      </c>
      <c r="E31">
        <v>19978.461946924621</v>
      </c>
      <c r="F31">
        <v>13721.574374013931</v>
      </c>
    </row>
    <row r="32" spans="1:6" x14ac:dyDescent="0.2">
      <c r="A32" s="2">
        <f t="shared" si="0"/>
        <v>44012</v>
      </c>
      <c r="B32">
        <v>28912.172125869267</v>
      </c>
      <c r="C32">
        <v>7082.1153756035674</v>
      </c>
      <c r="D32">
        <v>341.62709940705315</v>
      </c>
      <c r="E32">
        <v>19918.378365848035</v>
      </c>
      <c r="F32">
        <v>15310.082379218784</v>
      </c>
    </row>
    <row r="33" spans="1:6" x14ac:dyDescent="0.2">
      <c r="A33" s="2">
        <f t="shared" si="0"/>
        <v>44043</v>
      </c>
      <c r="B33">
        <v>27957.023701192033</v>
      </c>
      <c r="C33">
        <v>6911.6174065604491</v>
      </c>
      <c r="D33">
        <v>263.77529647403014</v>
      </c>
      <c r="E33">
        <v>19795.333476273412</v>
      </c>
      <c r="F33">
        <v>16316.973303792904</v>
      </c>
    </row>
    <row r="34" spans="1:6" x14ac:dyDescent="0.2">
      <c r="A34" s="2">
        <f t="shared" si="0"/>
        <v>44074</v>
      </c>
      <c r="B34">
        <v>26460.224639356886</v>
      </c>
      <c r="C34">
        <v>6675.6782777104236</v>
      </c>
      <c r="D34">
        <v>253.53880999497721</v>
      </c>
      <c r="E34">
        <v>19746.371901593564</v>
      </c>
      <c r="F34">
        <v>16123.556713085822</v>
      </c>
    </row>
    <row r="35" spans="1:6" x14ac:dyDescent="0.2">
      <c r="A35" s="2">
        <f t="shared" si="0"/>
        <v>44104</v>
      </c>
      <c r="B35">
        <v>22020.310072212171</v>
      </c>
      <c r="C35">
        <v>5963.4315234248479</v>
      </c>
      <c r="D35">
        <v>230.58700517430512</v>
      </c>
      <c r="E35">
        <v>19707.382718545057</v>
      </c>
      <c r="F35">
        <v>12264.153135121769</v>
      </c>
    </row>
    <row r="36" spans="1:6" x14ac:dyDescent="0.2">
      <c r="A36" s="2">
        <f t="shared" si="0"/>
        <v>44135</v>
      </c>
      <c r="B36">
        <v>25992.554934517397</v>
      </c>
      <c r="C36">
        <v>6606.0700024880789</v>
      </c>
      <c r="D36">
        <v>169.41373795664174</v>
      </c>
      <c r="E36">
        <v>19662.619445313787</v>
      </c>
      <c r="F36">
        <v>11835.101244769321</v>
      </c>
    </row>
    <row r="37" spans="1:6" x14ac:dyDescent="0.2">
      <c r="A37" s="2">
        <f t="shared" si="0"/>
        <v>44165</v>
      </c>
      <c r="B37">
        <v>29640.61045529984</v>
      </c>
      <c r="C37">
        <v>7197.770687633466</v>
      </c>
      <c r="D37">
        <v>95.710879403435712</v>
      </c>
      <c r="E37">
        <v>19599.840969355122</v>
      </c>
      <c r="F37">
        <v>14598.308412167913</v>
      </c>
    </row>
    <row r="38" spans="1:6" x14ac:dyDescent="0.2">
      <c r="A38" s="2">
        <f t="shared" si="0"/>
        <v>44196</v>
      </c>
      <c r="B38">
        <v>33992.097541204959</v>
      </c>
      <c r="C38">
        <v>7905.5165245308808</v>
      </c>
      <c r="D38">
        <v>0</v>
      </c>
      <c r="E38">
        <v>19527.917759459193</v>
      </c>
      <c r="F38">
        <v>21176.607673701903</v>
      </c>
    </row>
    <row r="39" spans="1:6" x14ac:dyDescent="0.2">
      <c r="A39" s="2">
        <f t="shared" si="0"/>
        <v>44227</v>
      </c>
      <c r="B39">
        <v>32138.363456670697</v>
      </c>
      <c r="C39">
        <v>7609.8792442619542</v>
      </c>
      <c r="D39">
        <v>0</v>
      </c>
      <c r="E39">
        <v>19460.034330806764</v>
      </c>
      <c r="F39">
        <v>26271.932872416735</v>
      </c>
    </row>
    <row r="40" spans="1:6" x14ac:dyDescent="0.2">
      <c r="A40" s="2">
        <f t="shared" si="0"/>
        <v>44255</v>
      </c>
      <c r="B40">
        <v>26446.26866689296</v>
      </c>
      <c r="C40">
        <v>6697.2646868415168</v>
      </c>
      <c r="D40">
        <v>0</v>
      </c>
      <c r="E40">
        <v>19404.134583966683</v>
      </c>
      <c r="F40">
        <v>26650.144083111041</v>
      </c>
    </row>
    <row r="41" spans="1:6" x14ac:dyDescent="0.2">
      <c r="A41" s="2">
        <f t="shared" si="0"/>
        <v>44286</v>
      </c>
      <c r="B41">
        <v>34110.886959798903</v>
      </c>
      <c r="C41">
        <v>7936.1322172425344</v>
      </c>
      <c r="D41">
        <v>0</v>
      </c>
      <c r="E41">
        <v>19342.585879969767</v>
      </c>
      <c r="F41">
        <v>33516.13474966053</v>
      </c>
    </row>
    <row r="42" spans="1:6" x14ac:dyDescent="0.2">
      <c r="A42" s="2">
        <f t="shared" si="0"/>
        <v>44316</v>
      </c>
      <c r="B42">
        <v>31630.113736250907</v>
      </c>
      <c r="C42">
        <v>7538.2670216703264</v>
      </c>
      <c r="D42">
        <v>0</v>
      </c>
      <c r="E42">
        <v>19265.251284499922</v>
      </c>
      <c r="F42">
        <v>38385.265639795703</v>
      </c>
    </row>
    <row r="43" spans="1:6" x14ac:dyDescent="0.2">
      <c r="A43" s="2">
        <f t="shared" si="0"/>
        <v>44347</v>
      </c>
      <c r="B43">
        <v>30774.608928799385</v>
      </c>
      <c r="C43">
        <v>7404.9864558585296</v>
      </c>
      <c r="D43">
        <v>0</v>
      </c>
      <c r="E43">
        <v>19200.413779491751</v>
      </c>
      <c r="F43">
        <v>42603.18922669832</v>
      </c>
    </row>
    <row r="44" spans="1:6" x14ac:dyDescent="0.2">
      <c r="A44" s="2">
        <f t="shared" si="0"/>
        <v>44377</v>
      </c>
      <c r="B44">
        <v>27523.4080145669</v>
      </c>
      <c r="C44">
        <v>6887.832690650057</v>
      </c>
      <c r="D44">
        <v>0</v>
      </c>
      <c r="E44">
        <v>19139.512312302239</v>
      </c>
      <c r="F44">
        <v>44153.320115384318</v>
      </c>
    </row>
    <row r="45" spans="1:6" x14ac:dyDescent="0.2">
      <c r="A45" s="2">
        <f t="shared" si="0"/>
        <v>44408</v>
      </c>
      <c r="B45">
        <v>26472.038321532931</v>
      </c>
      <c r="C45">
        <v>6717.9351316764169</v>
      </c>
      <c r="D45">
        <v>0</v>
      </c>
      <c r="E45">
        <v>19066.606504996169</v>
      </c>
      <c r="F45">
        <v>44896.851954598606</v>
      </c>
    </row>
    <row r="46" spans="1:6" x14ac:dyDescent="0.2">
      <c r="A46" s="2">
        <f t="shared" si="0"/>
        <v>44439</v>
      </c>
      <c r="B46">
        <v>25582.473613192727</v>
      </c>
      <c r="C46">
        <v>6583.4987528503016</v>
      </c>
      <c r="D46">
        <v>0</v>
      </c>
      <c r="E46">
        <v>19031.479853883717</v>
      </c>
      <c r="F46">
        <v>44921.325734628866</v>
      </c>
    </row>
    <row r="47" spans="1:6" x14ac:dyDescent="0.2">
      <c r="A47" s="2">
        <f t="shared" si="0"/>
        <v>44469</v>
      </c>
      <c r="B47">
        <v>21286.752066672281</v>
      </c>
      <c r="C47">
        <v>5898.2702334312989</v>
      </c>
      <c r="D47">
        <v>0</v>
      </c>
      <c r="E47">
        <v>19003.451238214329</v>
      </c>
      <c r="F47">
        <v>41363.366162998704</v>
      </c>
    </row>
    <row r="48" spans="1:6" x14ac:dyDescent="0.2">
      <c r="A48" s="2">
        <f t="shared" si="0"/>
        <v>44500</v>
      </c>
      <c r="B48">
        <v>24906.680507375833</v>
      </c>
      <c r="C48">
        <v>6484.3263809986611</v>
      </c>
      <c r="D48">
        <v>0</v>
      </c>
      <c r="E48">
        <v>18956.679077743709</v>
      </c>
      <c r="F48">
        <v>40881.535624317097</v>
      </c>
    </row>
    <row r="49" spans="1:6" x14ac:dyDescent="0.2">
      <c r="A49" s="2">
        <f t="shared" si="0"/>
        <v>44530</v>
      </c>
      <c r="B49">
        <v>28459.607800220638</v>
      </c>
      <c r="C49">
        <v>7064.8808820896256</v>
      </c>
      <c r="D49">
        <v>0</v>
      </c>
      <c r="E49">
        <v>18904.921304908843</v>
      </c>
      <c r="F49">
        <v>43423.224157169076</v>
      </c>
    </row>
    <row r="50" spans="1:6" x14ac:dyDescent="0.2">
      <c r="A50" s="2">
        <f t="shared" si="0"/>
        <v>44561</v>
      </c>
      <c r="B50">
        <v>32532.381679438433</v>
      </c>
      <c r="C50">
        <v>7728.2770482212391</v>
      </c>
      <c r="D50">
        <v>0</v>
      </c>
      <c r="E50">
        <v>18832.959455416007</v>
      </c>
      <c r="F50">
        <v>49449.477919636847</v>
      </c>
    </row>
    <row r="51" spans="1:6" x14ac:dyDescent="0.2">
      <c r="A51" s="2">
        <f t="shared" si="0"/>
        <v>44592</v>
      </c>
      <c r="B51">
        <v>30923.272919942869</v>
      </c>
      <c r="C51">
        <v>7479.4358555691106</v>
      </c>
      <c r="D51">
        <v>0</v>
      </c>
      <c r="E51">
        <v>18785.829533145697</v>
      </c>
      <c r="F51">
        <v>54169.746181633418</v>
      </c>
    </row>
    <row r="52" spans="1:6" x14ac:dyDescent="0.2">
      <c r="A52" s="2">
        <f t="shared" si="0"/>
        <v>44620</v>
      </c>
      <c r="B52">
        <v>25250.749091113415</v>
      </c>
      <c r="C52">
        <v>6569.5265647495835</v>
      </c>
      <c r="D52">
        <v>0</v>
      </c>
      <c r="E52">
        <v>18727.444129130221</v>
      </c>
      <c r="F52">
        <v>54191.728493745839</v>
      </c>
    </row>
    <row r="53" spans="1:6" x14ac:dyDescent="0.2">
      <c r="A53" s="2">
        <f t="shared" si="0"/>
        <v>44651</v>
      </c>
      <c r="B53">
        <v>32288.258118268604</v>
      </c>
      <c r="C53">
        <v>7699.9050684609056</v>
      </c>
      <c r="D53">
        <v>0</v>
      </c>
      <c r="E53">
        <v>18640.651043995189</v>
      </c>
      <c r="F53">
        <v>60207.662091874168</v>
      </c>
    </row>
    <row r="54" spans="1:6" x14ac:dyDescent="0.2">
      <c r="A54" s="2">
        <f t="shared" si="0"/>
        <v>44681</v>
      </c>
      <c r="B54">
        <v>29804.202274241488</v>
      </c>
      <c r="C54">
        <v>7297.3838131580387</v>
      </c>
      <c r="D54">
        <v>0</v>
      </c>
      <c r="E54">
        <v>18549.676270977383</v>
      </c>
      <c r="F54">
        <v>64240.610401628452</v>
      </c>
    </row>
    <row r="55" spans="1:6" x14ac:dyDescent="0.2">
      <c r="A55" s="2">
        <f t="shared" si="0"/>
        <v>44712</v>
      </c>
      <c r="B55">
        <v>29424.471295163657</v>
      </c>
      <c r="C55">
        <v>7239.4202548917519</v>
      </c>
      <c r="D55">
        <v>0</v>
      </c>
      <c r="E55">
        <v>18479.83076066833</v>
      </c>
      <c r="F55">
        <v>68026.714595823301</v>
      </c>
    </row>
    <row r="56" spans="1:6" x14ac:dyDescent="0.2">
      <c r="A56" s="2">
        <f t="shared" si="0"/>
        <v>44742</v>
      </c>
      <c r="B56">
        <v>25902.309020422155</v>
      </c>
      <c r="C56">
        <v>6674.871968352666</v>
      </c>
      <c r="D56">
        <v>0</v>
      </c>
      <c r="E56">
        <v>18407.070108601351</v>
      </c>
      <c r="F56">
        <v>68932.732452925164</v>
      </c>
    </row>
    <row r="57" spans="1:6" x14ac:dyDescent="0.2">
      <c r="A57" s="2">
        <f t="shared" si="0"/>
        <v>44773</v>
      </c>
      <c r="B57">
        <v>24761.865756574658</v>
      </c>
      <c r="C57">
        <v>6486.6016578185545</v>
      </c>
      <c r="D57">
        <v>0</v>
      </c>
      <c r="E57">
        <v>18322.955815198391</v>
      </c>
      <c r="F57">
        <v>68971.832396920188</v>
      </c>
    </row>
    <row r="58" spans="1:6" x14ac:dyDescent="0.2">
      <c r="A58" s="2">
        <f t="shared" si="0"/>
        <v>44804</v>
      </c>
      <c r="B58">
        <v>24404.047451896011</v>
      </c>
      <c r="C58">
        <v>6433.5457690427102</v>
      </c>
      <c r="D58">
        <v>0</v>
      </c>
      <c r="E58">
        <v>18274.200794565117</v>
      </c>
      <c r="F58">
        <v>68754.974175510084</v>
      </c>
    </row>
    <row r="59" spans="1:6" x14ac:dyDescent="0.2">
      <c r="A59" s="2">
        <f t="shared" si="0"/>
        <v>44834</v>
      </c>
      <c r="B59">
        <v>20364.707956605947</v>
      </c>
      <c r="C59">
        <v>5785.3529619558021</v>
      </c>
      <c r="D59">
        <v>0</v>
      </c>
      <c r="E59">
        <v>18233.327017891035</v>
      </c>
      <c r="F59">
        <v>65187.570001238302</v>
      </c>
    </row>
    <row r="60" spans="1:6" x14ac:dyDescent="0.2">
      <c r="A60" s="2">
        <f t="shared" si="0"/>
        <v>44865</v>
      </c>
      <c r="B60">
        <v>23162.769360471306</v>
      </c>
      <c r="C60">
        <v>6227.9143268553935</v>
      </c>
      <c r="D60">
        <v>0</v>
      </c>
      <c r="E60">
        <v>18152.833872473959</v>
      </c>
      <c r="F60">
        <v>64051.667372606622</v>
      </c>
    </row>
    <row r="61" spans="1:6" x14ac:dyDescent="0.2">
      <c r="A61" s="2">
        <f t="shared" si="0"/>
        <v>44895</v>
      </c>
      <c r="B61">
        <v>27229.99250966038</v>
      </c>
      <c r="C61">
        <v>6891.0700422695254</v>
      </c>
      <c r="D61">
        <v>0</v>
      </c>
      <c r="E61">
        <v>18102.42558415197</v>
      </c>
      <c r="F61">
        <v>66368.810276498363</v>
      </c>
    </row>
    <row r="62" spans="1:6" x14ac:dyDescent="0.2">
      <c r="A62" s="2">
        <f t="shared" si="0"/>
        <v>44926</v>
      </c>
      <c r="B62">
        <v>30059.308960875813</v>
      </c>
      <c r="C62">
        <v>7340.3510164058553</v>
      </c>
      <c r="D62">
        <v>0</v>
      </c>
      <c r="E62">
        <v>17989.081193630896</v>
      </c>
      <c r="F62">
        <v>71182.250510753525</v>
      </c>
    </row>
    <row r="63" spans="1:6" x14ac:dyDescent="0.2">
      <c r="A63" s="2">
        <f t="shared" si="0"/>
        <v>44957</v>
      </c>
      <c r="B63">
        <v>29094.514080254186</v>
      </c>
      <c r="C63">
        <v>7183.8689816774513</v>
      </c>
      <c r="D63">
        <v>0</v>
      </c>
      <c r="E63">
        <v>17912.075543951461</v>
      </c>
      <c r="F63">
        <v>75264.918990112696</v>
      </c>
    </row>
    <row r="64" spans="1:6" x14ac:dyDescent="0.2">
      <c r="A64" s="2">
        <f t="shared" si="0"/>
        <v>44985</v>
      </c>
      <c r="B64">
        <v>23860.286438251173</v>
      </c>
      <c r="C64">
        <v>6344.1452627246654</v>
      </c>
      <c r="D64">
        <v>0</v>
      </c>
      <c r="E64">
        <v>17858.108600631724</v>
      </c>
      <c r="F64">
        <v>75011.873995976392</v>
      </c>
    </row>
    <row r="65" spans="1:6" x14ac:dyDescent="0.2">
      <c r="A65" s="2">
        <f t="shared" si="0"/>
        <v>45016</v>
      </c>
      <c r="B65">
        <v>30637.157599220976</v>
      </c>
      <c r="C65">
        <v>7436.9091495416878</v>
      </c>
      <c r="D65">
        <v>0</v>
      </c>
      <c r="E65">
        <v>17789.777684352484</v>
      </c>
      <c r="F65">
        <v>80510.968229936028</v>
      </c>
    </row>
    <row r="66" spans="1:6" x14ac:dyDescent="0.2">
      <c r="A66" s="2">
        <f t="shared" si="0"/>
        <v>45046</v>
      </c>
      <c r="B66">
        <v>28398.80112534418</v>
      </c>
      <c r="C66">
        <v>7081.6349498545178</v>
      </c>
      <c r="D66">
        <v>0</v>
      </c>
      <c r="E66">
        <v>17727.76130619723</v>
      </c>
      <c r="F66">
        <v>84195.493523334721</v>
      </c>
    </row>
    <row r="67" spans="1:6" x14ac:dyDescent="0.2">
      <c r="A67" s="2">
        <f t="shared" si="0"/>
        <v>45077</v>
      </c>
      <c r="B67">
        <v>28434.805914320383</v>
      </c>
      <c r="C67">
        <v>7098.5324678277784</v>
      </c>
      <c r="D67">
        <v>0</v>
      </c>
      <c r="E67">
        <v>17687.822760811185</v>
      </c>
      <c r="F67">
        <v>87943.417749427535</v>
      </c>
    </row>
    <row r="68" spans="1:6" x14ac:dyDescent="0.2">
      <c r="A68" s="2">
        <f t="shared" si="0"/>
        <v>45107</v>
      </c>
      <c r="B68">
        <v>24506.643555605035</v>
      </c>
      <c r="C68">
        <v>6468.8474188945829</v>
      </c>
      <c r="D68">
        <v>0</v>
      </c>
      <c r="E68">
        <v>17617.952320633696</v>
      </c>
      <c r="F68">
        <v>88467.163125473016</v>
      </c>
    </row>
    <row r="69" spans="1:6" x14ac:dyDescent="0.2">
      <c r="A69" s="2">
        <f t="shared" si="0"/>
        <v>45138</v>
      </c>
      <c r="B69">
        <v>23421.135924901337</v>
      </c>
      <c r="C69">
        <v>6293.3902978524311</v>
      </c>
      <c r="D69">
        <v>0</v>
      </c>
      <c r="E69">
        <v>17550.172443806372</v>
      </c>
      <c r="F69">
        <v>88149.256652477517</v>
      </c>
    </row>
    <row r="70" spans="1:6" x14ac:dyDescent="0.2">
      <c r="A70" s="2">
        <f t="shared" ref="A70:A133" si="1">DATE(YEAR(A69),MONTH(A69)+2,1)-1</f>
        <v>45169</v>
      </c>
      <c r="B70">
        <v>23384.948024467718</v>
      </c>
      <c r="C70">
        <v>6292.2780728826046</v>
      </c>
      <c r="D70">
        <v>0</v>
      </c>
      <c r="E70">
        <v>17505.666899659493</v>
      </c>
      <c r="F70">
        <v>87840.404454637479</v>
      </c>
    </row>
    <row r="71" spans="1:6" x14ac:dyDescent="0.2">
      <c r="A71" s="2">
        <f t="shared" si="1"/>
        <v>45199</v>
      </c>
      <c r="B71">
        <v>19243.230693533795</v>
      </c>
      <c r="C71">
        <v>5623.8329218221788</v>
      </c>
      <c r="D71">
        <v>0</v>
      </c>
      <c r="E71">
        <v>17454.550313471944</v>
      </c>
      <c r="F71">
        <v>84109.031766841275</v>
      </c>
    </row>
    <row r="72" spans="1:6" x14ac:dyDescent="0.2">
      <c r="A72" s="2">
        <f t="shared" si="1"/>
        <v>45230</v>
      </c>
      <c r="B72">
        <v>21959.144810975893</v>
      </c>
      <c r="C72">
        <v>6060.6645361008195</v>
      </c>
      <c r="D72">
        <v>0</v>
      </c>
      <c r="E72">
        <v>17398.904709486105</v>
      </c>
      <c r="F72">
        <v>82707.978721603926</v>
      </c>
    </row>
    <row r="73" spans="1:6" x14ac:dyDescent="0.2">
      <c r="A73" s="2">
        <f t="shared" si="1"/>
        <v>45260</v>
      </c>
      <c r="B73">
        <v>25832.416161802586</v>
      </c>
      <c r="C73">
        <v>6685.4589446423479</v>
      </c>
      <c r="D73">
        <v>0</v>
      </c>
      <c r="E73">
        <v>17327.145756110072</v>
      </c>
      <c r="F73">
        <v>84625.506285017997</v>
      </c>
    </row>
    <row r="74" spans="1:6" x14ac:dyDescent="0.2">
      <c r="A74" s="2">
        <f t="shared" si="1"/>
        <v>45291</v>
      </c>
      <c r="B74">
        <v>28357.21598110165</v>
      </c>
      <c r="C74">
        <v>7093.5010044349865</v>
      </c>
      <c r="D74">
        <v>0</v>
      </c>
      <c r="E74">
        <v>17239.332802995821</v>
      </c>
      <c r="F74">
        <v>88749.870041633389</v>
      </c>
    </row>
    <row r="75" spans="1:6" x14ac:dyDescent="0.2">
      <c r="A75" s="2">
        <f t="shared" si="1"/>
        <v>45322</v>
      </c>
      <c r="B75">
        <v>27589.595424716223</v>
      </c>
      <c r="C75">
        <v>6971.8949879975962</v>
      </c>
      <c r="D75">
        <v>0</v>
      </c>
      <c r="E75">
        <v>17173.264988812916</v>
      </c>
      <c r="F75">
        <v>92301.495625089534</v>
      </c>
    </row>
    <row r="76" spans="1:6" x14ac:dyDescent="0.2">
      <c r="A76" s="2">
        <f t="shared" si="1"/>
        <v>45351</v>
      </c>
      <c r="B76">
        <v>22267.052889177245</v>
      </c>
      <c r="C76">
        <v>6106.5117663462061</v>
      </c>
      <c r="D76">
        <v>0</v>
      </c>
      <c r="E76">
        <v>17084.523883727154</v>
      </c>
      <c r="F76">
        <v>91488.992574787713</v>
      </c>
    </row>
    <row r="77" spans="1:6" x14ac:dyDescent="0.2">
      <c r="A77" s="2">
        <f t="shared" si="1"/>
        <v>45382</v>
      </c>
      <c r="B77">
        <v>28413.747717081689</v>
      </c>
      <c r="C77">
        <v>7083.6074762288245</v>
      </c>
      <c r="D77">
        <v>0</v>
      </c>
      <c r="E77">
        <v>16971.971538781032</v>
      </c>
      <c r="F77">
        <v>95957.659664190534</v>
      </c>
    </row>
    <row r="78" spans="1:6" x14ac:dyDescent="0.2">
      <c r="A78" s="2">
        <f t="shared" si="1"/>
        <v>45412</v>
      </c>
      <c r="B78">
        <v>26548.169699867129</v>
      </c>
      <c r="C78">
        <v>6777.0201768746019</v>
      </c>
      <c r="D78">
        <v>0</v>
      </c>
      <c r="E78">
        <v>16875.918728163651</v>
      </c>
      <c r="F78">
        <v>98968.786003899149</v>
      </c>
    </row>
    <row r="79" spans="1:6" x14ac:dyDescent="0.2">
      <c r="A79" s="2">
        <f t="shared" si="1"/>
        <v>45443</v>
      </c>
      <c r="B79">
        <v>26407.399662673757</v>
      </c>
      <c r="C79">
        <v>6747.7539223011408</v>
      </c>
      <c r="D79">
        <v>0</v>
      </c>
      <c r="E79">
        <v>16781.160812608021</v>
      </c>
      <c r="F79">
        <v>101966.80324852216</v>
      </c>
    </row>
    <row r="80" spans="1:6" x14ac:dyDescent="0.2">
      <c r="A80" s="2">
        <f t="shared" si="1"/>
        <v>45473</v>
      </c>
      <c r="B80">
        <v>22887.65609034173</v>
      </c>
      <c r="C80">
        <v>6180.3582285583143</v>
      </c>
      <c r="D80">
        <v>0</v>
      </c>
      <c r="E80">
        <v>16703.983803627678</v>
      </c>
      <c r="F80">
        <v>102093.27056264001</v>
      </c>
    </row>
    <row r="81" spans="1:6" x14ac:dyDescent="0.2">
      <c r="A81" s="2">
        <f t="shared" si="1"/>
        <v>45504</v>
      </c>
      <c r="B81">
        <v>22217.325918415358</v>
      </c>
      <c r="C81">
        <v>6071.8513553833855</v>
      </c>
      <c r="D81">
        <v>0</v>
      </c>
      <c r="E81">
        <v>16639.701481184242</v>
      </c>
      <c r="F81">
        <v>101722.3496448821</v>
      </c>
    </row>
    <row r="82" spans="1:6" x14ac:dyDescent="0.2">
      <c r="A82" s="2">
        <f t="shared" si="1"/>
        <v>45535</v>
      </c>
      <c r="B82">
        <v>21888.14003226663</v>
      </c>
      <c r="C82">
        <v>6016.7788627607833</v>
      </c>
      <c r="D82">
        <v>0</v>
      </c>
      <c r="E82">
        <v>16575.271327217877</v>
      </c>
      <c r="F82">
        <v>101141.29749746123</v>
      </c>
    </row>
    <row r="83" spans="1:6" x14ac:dyDescent="0.2">
      <c r="A83" s="2">
        <f t="shared" si="1"/>
        <v>45565</v>
      </c>
      <c r="B83">
        <v>18041.816910770933</v>
      </c>
      <c r="C83">
        <v>5392.163454553086</v>
      </c>
      <c r="D83">
        <v>0</v>
      </c>
      <c r="E83">
        <v>16515.750715177433</v>
      </c>
      <c r="F83">
        <v>97397.356466825047</v>
      </c>
    </row>
    <row r="84" spans="1:6" x14ac:dyDescent="0.2">
      <c r="A84" s="2">
        <f t="shared" si="1"/>
        <v>45596</v>
      </c>
      <c r="B84">
        <v>20698.013470867641</v>
      </c>
      <c r="C84">
        <v>5819.6725521481694</v>
      </c>
      <c r="D84">
        <v>0</v>
      </c>
      <c r="E84">
        <v>16464.314332706246</v>
      </c>
      <c r="F84">
        <v>95929.017431761982</v>
      </c>
    </row>
    <row r="85" spans="1:6" x14ac:dyDescent="0.2">
      <c r="A85" s="2">
        <f t="shared" si="1"/>
        <v>45626</v>
      </c>
      <c r="B85">
        <v>24758.110408222714</v>
      </c>
      <c r="C85">
        <v>6481.6623984473417</v>
      </c>
      <c r="D85">
        <v>0</v>
      </c>
      <c r="E85">
        <v>16419.120957339994</v>
      </c>
      <c r="F85">
        <v>97902.205435620228</v>
      </c>
    </row>
    <row r="86" spans="1:6" x14ac:dyDescent="0.2">
      <c r="A86" s="2">
        <f t="shared" si="1"/>
        <v>45657</v>
      </c>
      <c r="B86">
        <v>26423.056747733059</v>
      </c>
      <c r="C86">
        <v>6751.722259885677</v>
      </c>
      <c r="D86">
        <v>0</v>
      </c>
      <c r="E86">
        <v>16336.889998059361</v>
      </c>
      <c r="F86">
        <v>101354.89404978146</v>
      </c>
    </row>
    <row r="87" spans="1:6" x14ac:dyDescent="0.2">
      <c r="A87" s="2">
        <f t="shared" si="1"/>
        <v>45688</v>
      </c>
      <c r="B87">
        <v>25904.424707196984</v>
      </c>
      <c r="C87">
        <v>6663.4255710564212</v>
      </c>
      <c r="D87">
        <v>0</v>
      </c>
      <c r="E87">
        <v>16257.595379435832</v>
      </c>
      <c r="F87">
        <v>104464.42026912066</v>
      </c>
    </row>
    <row r="88" spans="1:6" x14ac:dyDescent="0.2">
      <c r="A88" s="2">
        <f t="shared" si="1"/>
        <v>45716</v>
      </c>
      <c r="B88">
        <v>20577.346021601246</v>
      </c>
      <c r="C88">
        <v>5794.2282332608884</v>
      </c>
      <c r="D88">
        <v>0</v>
      </c>
      <c r="E88">
        <v>16166.778091179836</v>
      </c>
      <c r="F88">
        <v>103210.7518138929</v>
      </c>
    </row>
    <row r="89" spans="1:6" x14ac:dyDescent="0.2">
      <c r="A89" s="2">
        <f t="shared" si="1"/>
        <v>45747</v>
      </c>
      <c r="B89">
        <v>26718.505693340769</v>
      </c>
      <c r="C89">
        <v>6778.3511384131898</v>
      </c>
      <c r="D89">
        <v>0</v>
      </c>
      <c r="E89">
        <v>16087.007070823891</v>
      </c>
      <c r="F89">
        <v>107192.3311247097</v>
      </c>
    </row>
    <row r="90" spans="1:6" x14ac:dyDescent="0.2">
      <c r="A90" s="2">
        <f t="shared" si="1"/>
        <v>45777</v>
      </c>
      <c r="B90">
        <v>24914.930533007235</v>
      </c>
      <c r="C90">
        <v>6485.7298306030752</v>
      </c>
      <c r="D90">
        <v>0</v>
      </c>
      <c r="E90">
        <v>16010.022374500793</v>
      </c>
      <c r="F90">
        <v>109744.89581647587</v>
      </c>
    </row>
    <row r="91" spans="1:6" x14ac:dyDescent="0.2">
      <c r="A91" s="2">
        <f t="shared" si="1"/>
        <v>45808</v>
      </c>
      <c r="B91">
        <v>24600.09478134559</v>
      </c>
      <c r="C91">
        <v>6425.1302782771754</v>
      </c>
      <c r="D91">
        <v>0</v>
      </c>
      <c r="E91">
        <v>15912.457911824624</v>
      </c>
      <c r="F91">
        <v>112143.96509323874</v>
      </c>
    </row>
    <row r="92" spans="1:6" x14ac:dyDescent="0.2">
      <c r="A92" s="2">
        <f t="shared" si="1"/>
        <v>45838</v>
      </c>
      <c r="B92">
        <v>20848.287768367169</v>
      </c>
      <c r="C92">
        <v>5806.9426865159912</v>
      </c>
      <c r="D92">
        <v>0</v>
      </c>
      <c r="E92">
        <v>15798.170564270265</v>
      </c>
      <c r="F92">
        <v>111526.68761370378</v>
      </c>
    </row>
    <row r="93" spans="1:6" x14ac:dyDescent="0.2">
      <c r="A93" s="2">
        <f t="shared" si="1"/>
        <v>45869</v>
      </c>
      <c r="B93">
        <v>20511.568518941465</v>
      </c>
      <c r="C93">
        <v>5744.9624575313155</v>
      </c>
      <c r="D93">
        <v>0</v>
      </c>
      <c r="E93">
        <v>15716.618751389826</v>
      </c>
      <c r="F93">
        <v>110715.45480823983</v>
      </c>
    </row>
    <row r="94" spans="1:6" x14ac:dyDescent="0.2">
      <c r="A94" s="2">
        <f t="shared" si="1"/>
        <v>45900</v>
      </c>
      <c r="B94">
        <v>20370.498511138179</v>
      </c>
      <c r="C94">
        <v>5713.2068359774476</v>
      </c>
      <c r="D94">
        <v>0</v>
      </c>
      <c r="E94">
        <v>15634.905850148798</v>
      </c>
      <c r="F94">
        <v>109875.61104821827</v>
      </c>
    </row>
    <row r="95" spans="1:6" x14ac:dyDescent="0.2">
      <c r="A95" s="2">
        <f t="shared" si="1"/>
        <v>45930</v>
      </c>
      <c r="B95">
        <v>16686.075152048194</v>
      </c>
      <c r="C95">
        <v>5114.9537905166781</v>
      </c>
      <c r="D95">
        <v>0</v>
      </c>
      <c r="E95">
        <v>15580.43367543459</v>
      </c>
      <c r="F95">
        <v>106003.02407726782</v>
      </c>
    </row>
    <row r="96" spans="1:6" x14ac:dyDescent="0.2">
      <c r="A96" s="2">
        <f t="shared" si="1"/>
        <v>45961</v>
      </c>
      <c r="B96">
        <v>19194.510560122249</v>
      </c>
      <c r="C96">
        <v>5508.2184155779632</v>
      </c>
      <c r="D96">
        <v>0</v>
      </c>
      <c r="E96">
        <v>15499.244882104993</v>
      </c>
      <c r="F96">
        <v>104321.97777174148</v>
      </c>
    </row>
    <row r="97" spans="1:6" x14ac:dyDescent="0.2">
      <c r="A97" s="2">
        <f t="shared" si="1"/>
        <v>45991</v>
      </c>
      <c r="B97">
        <v>23514.655580557126</v>
      </c>
      <c r="C97">
        <v>6205.1032643928957</v>
      </c>
      <c r="D97">
        <v>0</v>
      </c>
      <c r="E97">
        <v>15435.291634444491</v>
      </c>
      <c r="F97">
        <v>106326.05305064318</v>
      </c>
    </row>
    <row r="98" spans="1:6" x14ac:dyDescent="0.2">
      <c r="A98" s="2">
        <f t="shared" si="1"/>
        <v>46022</v>
      </c>
      <c r="B98">
        <v>24428.474507047056</v>
      </c>
      <c r="C98">
        <v>6348.2723385243498</v>
      </c>
      <c r="D98">
        <v>0</v>
      </c>
      <c r="E98">
        <v>15335.993014649743</v>
      </c>
      <c r="F98">
        <v>109202.57060243508</v>
      </c>
    </row>
    <row r="99" spans="1:6" x14ac:dyDescent="0.2">
      <c r="A99" s="2">
        <f t="shared" si="1"/>
        <v>46053</v>
      </c>
      <c r="B99">
        <v>24530.785625415294</v>
      </c>
      <c r="C99">
        <v>6362.7754043368222</v>
      </c>
      <c r="D99">
        <v>0</v>
      </c>
      <c r="E99">
        <v>15269.370405607515</v>
      </c>
      <c r="F99">
        <v>112238.04972446911</v>
      </c>
    </row>
    <row r="100" spans="1:6" x14ac:dyDescent="0.2">
      <c r="A100" s="2">
        <f t="shared" si="1"/>
        <v>46081</v>
      </c>
      <c r="B100">
        <v>19020.622337648132</v>
      </c>
      <c r="C100">
        <v>5467.3146593433603</v>
      </c>
      <c r="D100">
        <v>0</v>
      </c>
      <c r="E100">
        <v>15190.997776802267</v>
      </c>
      <c r="F100">
        <v>110741.0026237469</v>
      </c>
    </row>
    <row r="101" spans="1:6" x14ac:dyDescent="0.2">
      <c r="A101" s="2">
        <f t="shared" si="1"/>
        <v>46112</v>
      </c>
      <c r="B101">
        <v>25376.049968212661</v>
      </c>
      <c r="C101">
        <v>6489.0239197064002</v>
      </c>
      <c r="D101">
        <v>0</v>
      </c>
      <c r="E101">
        <v>15123.379380597886</v>
      </c>
      <c r="F101">
        <v>114643.41637308551</v>
      </c>
    </row>
    <row r="102" spans="1:6" x14ac:dyDescent="0.2">
      <c r="A102" s="2">
        <f t="shared" si="1"/>
        <v>46142</v>
      </c>
      <c r="B102">
        <v>23123.077957353733</v>
      </c>
      <c r="C102">
        <v>6121.2354582307617</v>
      </c>
      <c r="D102">
        <v>0</v>
      </c>
      <c r="E102">
        <v>15038.628447739162</v>
      </c>
      <c r="F102">
        <v>116750.28753356487</v>
      </c>
    </row>
    <row r="103" spans="1:6" x14ac:dyDescent="0.2">
      <c r="A103" s="2">
        <f t="shared" si="1"/>
        <v>46173</v>
      </c>
      <c r="B103">
        <v>23447.785817785603</v>
      </c>
      <c r="C103">
        <v>6169.6245878739819</v>
      </c>
      <c r="D103">
        <v>0</v>
      </c>
      <c r="E103">
        <v>14964.240518473693</v>
      </c>
      <c r="F103">
        <v>119210.50542737666</v>
      </c>
    </row>
    <row r="104" spans="1:6" x14ac:dyDescent="0.2">
      <c r="A104" s="2">
        <f t="shared" si="1"/>
        <v>46203</v>
      </c>
      <c r="B104">
        <v>19521.907583282275</v>
      </c>
      <c r="C104">
        <v>5533.6812519716032</v>
      </c>
      <c r="D104">
        <v>0</v>
      </c>
      <c r="E104">
        <v>14886.292540048358</v>
      </c>
      <c r="F104">
        <v>118461.81924520577</v>
      </c>
    </row>
    <row r="105" spans="1:6" x14ac:dyDescent="0.2">
      <c r="A105" s="2">
        <f t="shared" si="1"/>
        <v>46234</v>
      </c>
      <c r="B105">
        <v>19481.84080732453</v>
      </c>
      <c r="C105">
        <v>5532.8616842620813</v>
      </c>
      <c r="D105">
        <v>0</v>
      </c>
      <c r="E105">
        <v>14850.565096540913</v>
      </c>
      <c r="F105">
        <v>117708.675136331</v>
      </c>
    </row>
    <row r="106" spans="1:6" x14ac:dyDescent="0.2">
      <c r="A106" s="2">
        <f t="shared" si="1"/>
        <v>46265</v>
      </c>
      <c r="B106">
        <v>19100.17246254595</v>
      </c>
      <c r="C106">
        <v>5469.9410978642136</v>
      </c>
      <c r="D106">
        <v>0</v>
      </c>
      <c r="E106">
        <v>14795.860119929357</v>
      </c>
      <c r="F106">
        <v>116690.54449759526</v>
      </c>
    </row>
    <row r="107" spans="1:6" x14ac:dyDescent="0.2">
      <c r="A107" s="2">
        <f t="shared" si="1"/>
        <v>46295</v>
      </c>
      <c r="B107">
        <v>15953.225789670056</v>
      </c>
      <c r="C107">
        <v>4968.2738089112045</v>
      </c>
      <c r="D107">
        <v>0</v>
      </c>
      <c r="E107">
        <v>14776.874076821472</v>
      </c>
      <c r="F107">
        <v>113044.84472124033</v>
      </c>
    </row>
    <row r="108" spans="1:6" x14ac:dyDescent="0.2">
      <c r="A108" s="2">
        <f t="shared" si="1"/>
        <v>46326</v>
      </c>
      <c r="B108">
        <v>17910.336465680128</v>
      </c>
      <c r="C108">
        <v>5277.6768070011522</v>
      </c>
      <c r="D108">
        <v>0</v>
      </c>
      <c r="E108">
        <v>14714.678787263349</v>
      </c>
      <c r="F108">
        <v>111104.47956725475</v>
      </c>
    </row>
    <row r="109" spans="1:6" x14ac:dyDescent="0.2">
      <c r="A109" s="2">
        <f t="shared" si="1"/>
        <v>46356</v>
      </c>
      <c r="B109">
        <v>21530.290608678843</v>
      </c>
      <c r="C109">
        <v>5848.8144386946606</v>
      </c>
      <c r="D109">
        <v>0</v>
      </c>
      <c r="E109">
        <v>14612.646844101617</v>
      </c>
      <c r="F109">
        <v>112312.53143942119</v>
      </c>
    </row>
    <row r="110" spans="1:6" x14ac:dyDescent="0.2">
      <c r="A110" s="2">
        <f t="shared" si="1"/>
        <v>46387</v>
      </c>
      <c r="B110">
        <v>22129.110521262213</v>
      </c>
      <c r="C110">
        <v>5938.3776701745874</v>
      </c>
      <c r="D110">
        <v>0</v>
      </c>
      <c r="E110">
        <v>14509.251698651624</v>
      </c>
      <c r="F110">
        <v>114134.74892100912</v>
      </c>
    </row>
    <row r="111" spans="1:6" x14ac:dyDescent="0.2">
      <c r="A111" s="2">
        <f t="shared" si="1"/>
        <v>46418</v>
      </c>
      <c r="B111">
        <v>23084.518798257322</v>
      </c>
      <c r="C111">
        <v>6080.7142253421325</v>
      </c>
      <c r="D111">
        <v>0</v>
      </c>
      <c r="E111">
        <v>14420.179468173572</v>
      </c>
      <c r="F111">
        <v>116865.43620597766</v>
      </c>
    </row>
    <row r="112" spans="1:6" x14ac:dyDescent="0.2">
      <c r="A112" s="2">
        <f t="shared" si="1"/>
        <v>46446</v>
      </c>
      <c r="B112">
        <v>17259.641902626558</v>
      </c>
      <c r="C112">
        <v>5125.4810404806867</v>
      </c>
      <c r="D112">
        <v>0</v>
      </c>
      <c r="E112">
        <v>14319.008830416242</v>
      </c>
      <c r="F112">
        <v>114831.16889788368</v>
      </c>
    </row>
    <row r="113" spans="1:6" x14ac:dyDescent="0.2">
      <c r="A113" s="2">
        <f t="shared" si="1"/>
        <v>46477</v>
      </c>
      <c r="B113">
        <v>23187.070733123463</v>
      </c>
      <c r="C113">
        <v>6060.088889015241</v>
      </c>
      <c r="D113">
        <v>0</v>
      </c>
      <c r="E113">
        <v>14199.119849165667</v>
      </c>
      <c r="F113">
        <v>117906.99040748611</v>
      </c>
    </row>
    <row r="114" spans="1:6" x14ac:dyDescent="0.2">
      <c r="A114" s="2">
        <f t="shared" si="1"/>
        <v>46507</v>
      </c>
      <c r="B114">
        <v>21720.735559989062</v>
      </c>
      <c r="C114">
        <v>5825.543322748611</v>
      </c>
      <c r="D114">
        <v>0</v>
      </c>
      <c r="E114">
        <v>14142.588404522161</v>
      </c>
      <c r="F114">
        <v>119811.51693892032</v>
      </c>
    </row>
    <row r="115" spans="1:6" x14ac:dyDescent="0.2">
      <c r="A115" s="2">
        <f t="shared" si="1"/>
        <v>46538</v>
      </c>
      <c r="B115">
        <v>22033.190099960138</v>
      </c>
      <c r="C115">
        <v>5875.972877465736</v>
      </c>
      <c r="D115">
        <v>0</v>
      </c>
      <c r="E115">
        <v>14086.776816407479</v>
      </c>
      <c r="F115">
        <v>122036.3340187534</v>
      </c>
    </row>
    <row r="116" spans="1:6" x14ac:dyDescent="0.2">
      <c r="A116" s="2">
        <f t="shared" si="1"/>
        <v>46568</v>
      </c>
      <c r="B116">
        <v>17977.743082804231</v>
      </c>
      <c r="C116">
        <v>5216.0132828057158</v>
      </c>
      <c r="D116">
        <v>0</v>
      </c>
      <c r="E116">
        <v>14003.940074169564</v>
      </c>
      <c r="F116">
        <v>120951.36708648659</v>
      </c>
    </row>
    <row r="117" spans="1:6" x14ac:dyDescent="0.2">
      <c r="A117" s="2">
        <f t="shared" si="1"/>
        <v>46599</v>
      </c>
      <c r="B117">
        <v>17734.893011829015</v>
      </c>
      <c r="C117">
        <v>5163.7268274725238</v>
      </c>
      <c r="D117">
        <v>0</v>
      </c>
      <c r="E117">
        <v>13911.651602431293</v>
      </c>
      <c r="F117">
        <v>119766.72703464166</v>
      </c>
    </row>
    <row r="118" spans="1:6" x14ac:dyDescent="0.2">
      <c r="A118" s="2">
        <f t="shared" si="1"/>
        <v>46630</v>
      </c>
      <c r="B118">
        <v>17776.893072736573</v>
      </c>
      <c r="C118">
        <v>5165.8688232119048</v>
      </c>
      <c r="D118">
        <v>0</v>
      </c>
      <c r="E118">
        <v>13851.534415109259</v>
      </c>
      <c r="F118">
        <v>118680.53583118627</v>
      </c>
    </row>
    <row r="119" spans="1:6" x14ac:dyDescent="0.2">
      <c r="A119" s="2">
        <f t="shared" si="1"/>
        <v>46660</v>
      </c>
      <c r="B119">
        <v>15192.949821711181</v>
      </c>
      <c r="C119">
        <v>4751.5301207279335</v>
      </c>
      <c r="D119">
        <v>0</v>
      </c>
      <c r="E119">
        <v>13825.436318278711</v>
      </c>
      <c r="F119">
        <v>115449.43862287709</v>
      </c>
    </row>
    <row r="120" spans="1:6" x14ac:dyDescent="0.2">
      <c r="A120" s="2">
        <f t="shared" si="1"/>
        <v>46691</v>
      </c>
      <c r="B120">
        <v>16056.756409577203</v>
      </c>
      <c r="C120">
        <v>4872.0352670588036</v>
      </c>
      <c r="D120">
        <v>0</v>
      </c>
      <c r="E120">
        <v>13723.886372948906</v>
      </c>
      <c r="F120">
        <v>113059.02954524331</v>
      </c>
    </row>
    <row r="121" spans="1:6" x14ac:dyDescent="0.2">
      <c r="A121" s="2">
        <f t="shared" si="1"/>
        <v>46721</v>
      </c>
      <c r="B121">
        <v>19887.050959709966</v>
      </c>
      <c r="C121">
        <v>5480.6526284631263</v>
      </c>
      <c r="D121">
        <v>0</v>
      </c>
      <c r="E121">
        <v>13638.27545695443</v>
      </c>
      <c r="F121">
        <v>113972.82853952915</v>
      </c>
    </row>
    <row r="122" spans="1:6" x14ac:dyDescent="0.2">
      <c r="A122" s="2">
        <f t="shared" si="1"/>
        <v>46752</v>
      </c>
      <c r="B122">
        <v>20017.309164386563</v>
      </c>
      <c r="C122">
        <v>5479.551546630486</v>
      </c>
      <c r="D122">
        <v>0</v>
      </c>
      <c r="E122">
        <v>13489.884623470407</v>
      </c>
      <c r="F122">
        <v>115167.55508025983</v>
      </c>
    </row>
    <row r="123" spans="1:6" x14ac:dyDescent="0.2">
      <c r="A123" s="2">
        <f t="shared" si="1"/>
        <v>46783</v>
      </c>
      <c r="B123">
        <v>21498.012213215134</v>
      </c>
      <c r="C123">
        <v>5711.6507629380376</v>
      </c>
      <c r="D123">
        <v>0</v>
      </c>
      <c r="E123">
        <v>13421.60615700961</v>
      </c>
      <c r="F123">
        <v>117683.47541227621</v>
      </c>
    </row>
    <row r="124" spans="1:6" x14ac:dyDescent="0.2">
      <c r="A124" s="2">
        <f t="shared" si="1"/>
        <v>46812</v>
      </c>
      <c r="B124">
        <v>15444.33842535686</v>
      </c>
      <c r="C124">
        <v>4725.6966702380387</v>
      </c>
      <c r="D124">
        <v>0</v>
      </c>
      <c r="E124">
        <v>13343.303437987874</v>
      </c>
      <c r="F124">
        <v>115213.28108011547</v>
      </c>
    </row>
    <row r="125" spans="1:6" x14ac:dyDescent="0.2">
      <c r="A125" s="2">
        <f t="shared" si="1"/>
        <v>46843</v>
      </c>
      <c r="B125">
        <v>21360.079781992627</v>
      </c>
      <c r="C125">
        <v>5655.4606312048891</v>
      </c>
      <c r="D125">
        <v>0</v>
      </c>
      <c r="E125">
        <v>13218.211356496207</v>
      </c>
      <c r="F125">
        <v>117850.91393155724</v>
      </c>
    </row>
    <row r="126" spans="1:6" x14ac:dyDescent="0.2">
      <c r="A126" s="2">
        <f t="shared" si="1"/>
        <v>46873</v>
      </c>
      <c r="B126">
        <v>19982.064664358189</v>
      </c>
      <c r="C126">
        <v>5416.2752134119164</v>
      </c>
      <c r="D126">
        <v>0</v>
      </c>
      <c r="E126">
        <v>13103.765642696828</v>
      </c>
      <c r="F126">
        <v>119467.62486465396</v>
      </c>
    </row>
    <row r="127" spans="1:6" x14ac:dyDescent="0.2">
      <c r="A127" s="2">
        <f t="shared" si="1"/>
        <v>46904</v>
      </c>
      <c r="B127">
        <v>20596.428173240132</v>
      </c>
      <c r="C127">
        <v>5505.6480441978829</v>
      </c>
      <c r="D127">
        <v>0</v>
      </c>
      <c r="E127">
        <v>13019.699246354558</v>
      </c>
      <c r="F127">
        <v>121695.51491229581</v>
      </c>
    </row>
    <row r="128" spans="1:6" x14ac:dyDescent="0.2">
      <c r="A128" s="2">
        <f t="shared" si="1"/>
        <v>46934</v>
      </c>
      <c r="B128">
        <v>15846.599686522242</v>
      </c>
      <c r="C128">
        <v>4724.5893980482297</v>
      </c>
      <c r="D128">
        <v>0</v>
      </c>
      <c r="E128">
        <v>12908.602287620259</v>
      </c>
      <c r="F128">
        <v>120068.65633125023</v>
      </c>
    </row>
    <row r="129" spans="1:6" x14ac:dyDescent="0.2">
      <c r="A129" s="2">
        <f t="shared" si="1"/>
        <v>46965</v>
      </c>
      <c r="B129">
        <v>16618.981375776337</v>
      </c>
      <c r="C129">
        <v>4844.2519355406503</v>
      </c>
      <c r="D129">
        <v>0</v>
      </c>
      <c r="E129">
        <v>12848.59891967023</v>
      </c>
      <c r="F129">
        <v>119152.3849103502</v>
      </c>
    </row>
    <row r="130" spans="1:6" x14ac:dyDescent="0.2">
      <c r="A130" s="2">
        <f t="shared" si="1"/>
        <v>46996</v>
      </c>
      <c r="B130">
        <v>16454.148673632597</v>
      </c>
      <c r="C130">
        <v>4804.3457953181905</v>
      </c>
      <c r="D130">
        <v>0</v>
      </c>
      <c r="E130">
        <v>12761.97944370878</v>
      </c>
      <c r="F130">
        <v>118196.60373660459</v>
      </c>
    </row>
    <row r="131" spans="1:6" x14ac:dyDescent="0.2">
      <c r="A131" s="2">
        <f t="shared" si="1"/>
        <v>47026</v>
      </c>
      <c r="B131">
        <v>13991.140321514538</v>
      </c>
      <c r="C131">
        <v>4396.6840350522116</v>
      </c>
      <c r="D131">
        <v>0</v>
      </c>
      <c r="E131">
        <v>12695.892635844903</v>
      </c>
      <c r="F131">
        <v>115250.30825281898</v>
      </c>
    </row>
    <row r="132" spans="1:6" x14ac:dyDescent="0.2">
      <c r="A132" s="2">
        <f t="shared" si="1"/>
        <v>47057</v>
      </c>
      <c r="B132">
        <v>14723.639437506832</v>
      </c>
      <c r="C132">
        <v>4509.3719194670348</v>
      </c>
      <c r="D132">
        <v>0</v>
      </c>
      <c r="E132">
        <v>12640.295897847021</v>
      </c>
      <c r="F132">
        <v>112975.55353077667</v>
      </c>
    </row>
    <row r="133" spans="1:6" x14ac:dyDescent="0.2">
      <c r="A133" s="2">
        <f t="shared" si="1"/>
        <v>47087</v>
      </c>
      <c r="B133">
        <v>18167.811417176457</v>
      </c>
      <c r="C133">
        <v>5037.4677253056943</v>
      </c>
      <c r="D133">
        <v>0</v>
      </c>
      <c r="E133">
        <v>12498.070557169005</v>
      </c>
      <c r="F133">
        <v>113756.11455710985</v>
      </c>
    </row>
    <row r="134" spans="1:6" x14ac:dyDescent="0.2">
      <c r="A134" s="2">
        <f t="shared" ref="A134:A197" si="2">DATE(YEAR(A133),MONTH(A133)+2,1)-1</f>
        <v>47118</v>
      </c>
      <c r="B134">
        <v>17476.974974596847</v>
      </c>
      <c r="C134">
        <v>4914.5228392850895</v>
      </c>
      <c r="D134">
        <v>0</v>
      </c>
      <c r="E134">
        <v>12386.219397773028</v>
      </c>
      <c r="F134">
        <v>114081.65972429045</v>
      </c>
    </row>
    <row r="135" spans="1:6" x14ac:dyDescent="0.2">
      <c r="A135" s="2">
        <f t="shared" si="2"/>
        <v>47149</v>
      </c>
      <c r="B135">
        <v>19465.317593550357</v>
      </c>
      <c r="C135">
        <v>5219.4092096774757</v>
      </c>
      <c r="D135">
        <v>0</v>
      </c>
      <c r="E135">
        <v>12292.819558922598</v>
      </c>
      <c r="F135">
        <v>116193.81722300161</v>
      </c>
    </row>
    <row r="136" spans="1:6" x14ac:dyDescent="0.2">
      <c r="A136" s="2">
        <f t="shared" si="2"/>
        <v>47177</v>
      </c>
      <c r="B136">
        <v>13593.111734436336</v>
      </c>
      <c r="C136">
        <v>4265.8123293218641</v>
      </c>
      <c r="D136">
        <v>0</v>
      </c>
      <c r="E136">
        <v>12227.96762421452</v>
      </c>
      <c r="F136">
        <v>113455.16274431796</v>
      </c>
    </row>
    <row r="137" spans="1:6" x14ac:dyDescent="0.2">
      <c r="A137" s="2">
        <f t="shared" si="2"/>
        <v>47208</v>
      </c>
      <c r="B137">
        <v>19770.539828636305</v>
      </c>
      <c r="C137">
        <v>5249.2159758505231</v>
      </c>
      <c r="D137">
        <v>0</v>
      </c>
      <c r="E137">
        <v>12144.617981630943</v>
      </c>
      <c r="F137">
        <v>115990.06373914728</v>
      </c>
    </row>
    <row r="138" spans="1:6" x14ac:dyDescent="0.2">
      <c r="A138" s="2">
        <f t="shared" si="2"/>
        <v>47238</v>
      </c>
      <c r="B138">
        <v>18791.393285888691</v>
      </c>
      <c r="C138">
        <v>5089.3266772471152</v>
      </c>
      <c r="D138">
        <v>0</v>
      </c>
      <c r="E138">
        <v>12083.746263961928</v>
      </c>
      <c r="F138">
        <v>117770.11372251766</v>
      </c>
    </row>
    <row r="139" spans="1:6" x14ac:dyDescent="0.2">
      <c r="A139" s="2">
        <f t="shared" si="2"/>
        <v>47269</v>
      </c>
      <c r="B139">
        <v>18368.009073608053</v>
      </c>
      <c r="C139">
        <v>5005.7431578034393</v>
      </c>
      <c r="D139">
        <v>0</v>
      </c>
      <c r="E139">
        <v>11981.681962899509</v>
      </c>
      <c r="F139">
        <v>119314.909309824</v>
      </c>
    </row>
    <row r="140" spans="1:6" x14ac:dyDescent="0.2">
      <c r="A140" s="2">
        <f t="shared" si="2"/>
        <v>47299</v>
      </c>
      <c r="B140">
        <v>14846.386138755088</v>
      </c>
      <c r="C140">
        <v>4437.830963433652</v>
      </c>
      <c r="D140">
        <v>0</v>
      </c>
      <c r="E140">
        <v>11926.393796390454</v>
      </c>
      <c r="F140">
        <v>117963.43629414384</v>
      </c>
    </row>
    <row r="141" spans="1:6" x14ac:dyDescent="0.2">
      <c r="A141" s="2">
        <f t="shared" si="2"/>
        <v>47330</v>
      </c>
      <c r="B141">
        <v>14915.498950187821</v>
      </c>
      <c r="C141">
        <v>4433.2042099001101</v>
      </c>
      <c r="D141">
        <v>0</v>
      </c>
      <c r="E141">
        <v>11831.541900979764</v>
      </c>
      <c r="F141">
        <v>116778.67032533592</v>
      </c>
    </row>
    <row r="142" spans="1:6" x14ac:dyDescent="0.2">
      <c r="A142" s="2">
        <f t="shared" si="2"/>
        <v>47361</v>
      </c>
      <c r="B142">
        <v>15730.935001665986</v>
      </c>
      <c r="C142">
        <v>4570.9520463474009</v>
      </c>
      <c r="D142">
        <v>0</v>
      </c>
      <c r="E142">
        <v>11813.678040122719</v>
      </c>
      <c r="F142">
        <v>116287.80446529167</v>
      </c>
    </row>
    <row r="143" spans="1:6" x14ac:dyDescent="0.2">
      <c r="A143" s="2">
        <f t="shared" si="2"/>
        <v>47391</v>
      </c>
      <c r="B143">
        <v>12352.167378313165</v>
      </c>
      <c r="C143">
        <v>4017.261508593323</v>
      </c>
      <c r="D143">
        <v>0</v>
      </c>
      <c r="E143">
        <v>11752.501608124427</v>
      </c>
      <c r="F143">
        <v>113032.3535175182</v>
      </c>
    </row>
    <row r="144" spans="1:6" x14ac:dyDescent="0.2">
      <c r="A144" s="2">
        <f t="shared" si="2"/>
        <v>47422</v>
      </c>
      <c r="B144">
        <v>13510.782540824965</v>
      </c>
      <c r="C144">
        <v>4191.928909480459</v>
      </c>
      <c r="D144">
        <v>0</v>
      </c>
      <c r="E144">
        <v>11678.372781602477</v>
      </c>
      <c r="F144">
        <v>110830.43995092301</v>
      </c>
    </row>
    <row r="145" spans="1:6" x14ac:dyDescent="0.2">
      <c r="A145" s="2">
        <f t="shared" si="2"/>
        <v>47452</v>
      </c>
      <c r="B145">
        <v>16450.308078886788</v>
      </c>
      <c r="C145">
        <v>4641.6552496713775</v>
      </c>
      <c r="D145">
        <v>0</v>
      </c>
      <c r="E145">
        <v>11550.058556424698</v>
      </c>
      <c r="F145">
        <v>111243.56959020415</v>
      </c>
    </row>
    <row r="146" spans="1:6" x14ac:dyDescent="0.2">
      <c r="A146" s="2">
        <f t="shared" si="2"/>
        <v>47483</v>
      </c>
      <c r="B146">
        <v>16145.479365839537</v>
      </c>
      <c r="C146">
        <v>4587.2223491282148</v>
      </c>
      <c r="D146">
        <v>0</v>
      </c>
      <c r="E146">
        <v>11463.158044918206</v>
      </c>
      <c r="F146">
        <v>111493.77997185862</v>
      </c>
    </row>
    <row r="147" spans="1:6" x14ac:dyDescent="0.2">
      <c r="A147" s="2">
        <f t="shared" si="2"/>
        <v>47514</v>
      </c>
      <c r="B147">
        <v>16866.806942075225</v>
      </c>
      <c r="C147">
        <v>4675.9342514734635</v>
      </c>
      <c r="D147">
        <v>0</v>
      </c>
      <c r="E147">
        <v>11331.468323790115</v>
      </c>
      <c r="F147">
        <v>112515.0383426622</v>
      </c>
    </row>
    <row r="148" spans="1:6" x14ac:dyDescent="0.2">
      <c r="A148" s="2">
        <f t="shared" si="2"/>
        <v>47542</v>
      </c>
      <c r="B148">
        <v>12113.254065187797</v>
      </c>
      <c r="C148">
        <v>3889.6711086954892</v>
      </c>
      <c r="D148">
        <v>0</v>
      </c>
      <c r="E148">
        <v>11229.980438069528</v>
      </c>
      <c r="F148">
        <v>109671.97741196437</v>
      </c>
    </row>
    <row r="149" spans="1:6" x14ac:dyDescent="0.2">
      <c r="A149" s="2">
        <f t="shared" si="2"/>
        <v>47573</v>
      </c>
      <c r="B149">
        <v>18120.39114673352</v>
      </c>
      <c r="C149">
        <v>4842.7206296072272</v>
      </c>
      <c r="D149">
        <v>0</v>
      </c>
      <c r="E149">
        <v>11139.641138358887</v>
      </c>
      <c r="F149">
        <v>111969.21610872593</v>
      </c>
    </row>
    <row r="150" spans="1:6" x14ac:dyDescent="0.2">
      <c r="A150" s="2">
        <f t="shared" si="2"/>
        <v>47603</v>
      </c>
      <c r="B150">
        <v>17378.062786078681</v>
      </c>
      <c r="C150">
        <v>4717.451368115524</v>
      </c>
      <c r="D150">
        <v>0</v>
      </c>
      <c r="E150">
        <v>11070.033576304924</v>
      </c>
      <c r="F150">
        <v>113722.33813854975</v>
      </c>
    </row>
    <row r="151" spans="1:6" x14ac:dyDescent="0.2">
      <c r="A151" s="2">
        <f t="shared" si="2"/>
        <v>47634</v>
      </c>
      <c r="B151">
        <v>16331.77039066977</v>
      </c>
      <c r="C151">
        <v>4529.1633327850723</v>
      </c>
      <c r="D151">
        <v>0</v>
      </c>
      <c r="E151">
        <v>10953.692928259397</v>
      </c>
      <c r="F151">
        <v>114736.3414397477</v>
      </c>
    </row>
    <row r="152" spans="1:6" x14ac:dyDescent="0.2">
      <c r="A152" s="2">
        <f t="shared" si="2"/>
        <v>47664</v>
      </c>
      <c r="B152">
        <v>13623.260445670194</v>
      </c>
      <c r="C152">
        <v>4091.1754999052173</v>
      </c>
      <c r="D152">
        <v>0</v>
      </c>
      <c r="E152">
        <v>10898.782564887641</v>
      </c>
      <c r="F152">
        <v>113536.20500699904</v>
      </c>
    </row>
    <row r="153" spans="1:6" x14ac:dyDescent="0.2">
      <c r="A153" s="2">
        <f t="shared" si="2"/>
        <v>47695</v>
      </c>
      <c r="B153">
        <v>13759.98747440793</v>
      </c>
      <c r="C153">
        <v>4099.9328044825979</v>
      </c>
      <c r="D153">
        <v>0</v>
      </c>
      <c r="E153">
        <v>10815.626531169031</v>
      </c>
      <c r="F153">
        <v>112545.45211039274</v>
      </c>
    </row>
    <row r="154" spans="1:6" x14ac:dyDescent="0.2">
      <c r="A154" s="2">
        <f t="shared" si="2"/>
        <v>47726</v>
      </c>
      <c r="B154">
        <v>13984.02447576033</v>
      </c>
      <c r="C154">
        <v>4125.1376401903908</v>
      </c>
      <c r="D154">
        <v>0</v>
      </c>
      <c r="E154">
        <v>10740.360691260596</v>
      </c>
      <c r="F154">
        <v>111827.35895683445</v>
      </c>
    </row>
    <row r="155" spans="1:6" x14ac:dyDescent="0.2">
      <c r="A155" s="2">
        <f t="shared" si="2"/>
        <v>47756</v>
      </c>
      <c r="B155">
        <v>11591.273814965158</v>
      </c>
      <c r="C155">
        <v>3741.1215728901257</v>
      </c>
      <c r="D155">
        <v>0</v>
      </c>
      <c r="E155">
        <v>10718.648199527508</v>
      </c>
      <c r="F155">
        <v>109121.20125544965</v>
      </c>
    </row>
    <row r="156" spans="1:6" x14ac:dyDescent="0.2">
      <c r="A156" s="2">
        <f t="shared" si="2"/>
        <v>47787</v>
      </c>
      <c r="B156">
        <v>12195.728842504954</v>
      </c>
      <c r="C156">
        <v>3826.4099432249586</v>
      </c>
      <c r="D156">
        <v>0</v>
      </c>
      <c r="E156">
        <v>10645.835576752474</v>
      </c>
      <c r="F156">
        <v>107003.09434171573</v>
      </c>
    </row>
    <row r="157" spans="1:6" x14ac:dyDescent="0.2">
      <c r="A157" s="2">
        <f t="shared" si="2"/>
        <v>47817</v>
      </c>
      <c r="B157">
        <v>14020.040677052617</v>
      </c>
      <c r="C157">
        <v>4090.8416367272507</v>
      </c>
      <c r="D157">
        <v>0</v>
      </c>
      <c r="E157">
        <v>10501.335130322466</v>
      </c>
      <c r="F157">
        <v>106586.29318845781</v>
      </c>
    </row>
    <row r="158" spans="1:6" x14ac:dyDescent="0.2">
      <c r="A158" s="2">
        <f t="shared" si="2"/>
        <v>47848</v>
      </c>
      <c r="B158">
        <v>15068.974644963901</v>
      </c>
      <c r="C158">
        <v>4259.0195234992671</v>
      </c>
      <c r="D158">
        <v>0</v>
      </c>
      <c r="E158">
        <v>10435.074035087775</v>
      </c>
      <c r="F158">
        <v>107115.90414700862</v>
      </c>
    </row>
    <row r="159" spans="1:6" x14ac:dyDescent="0.2">
      <c r="A159" s="2">
        <f t="shared" si="2"/>
        <v>47879</v>
      </c>
      <c r="B159">
        <v>15133.866591025599</v>
      </c>
      <c r="C159">
        <v>4257.4425178281735</v>
      </c>
      <c r="D159">
        <v>0</v>
      </c>
      <c r="E159">
        <v>10357.601203273658</v>
      </c>
      <c r="F159">
        <v>107796.91760583872</v>
      </c>
    </row>
    <row r="160" spans="1:6" x14ac:dyDescent="0.2">
      <c r="A160" s="2">
        <f t="shared" si="2"/>
        <v>47907</v>
      </c>
      <c r="B160">
        <v>11008.658009411791</v>
      </c>
      <c r="C160">
        <v>3586.5723880251489</v>
      </c>
      <c r="D160">
        <v>0</v>
      </c>
      <c r="E160">
        <v>10307.850568001206</v>
      </c>
      <c r="F160">
        <v>105074.37441128796</v>
      </c>
    </row>
    <row r="161" spans="1:6" x14ac:dyDescent="0.2">
      <c r="A161" s="2">
        <f t="shared" si="2"/>
        <v>47938</v>
      </c>
      <c r="B161">
        <v>16196.286760048592</v>
      </c>
      <c r="C161">
        <v>4399.3305284382914</v>
      </c>
      <c r="D161">
        <v>0</v>
      </c>
      <c r="E161">
        <v>10191.738569112309</v>
      </c>
      <c r="F161">
        <v>106838.69146057119</v>
      </c>
    </row>
    <row r="162" spans="1:6" x14ac:dyDescent="0.2">
      <c r="A162" s="2">
        <f t="shared" si="2"/>
        <v>47968</v>
      </c>
      <c r="B162">
        <v>16030.686318950926</v>
      </c>
      <c r="C162">
        <v>4366.3086846833157</v>
      </c>
      <c r="D162">
        <v>0</v>
      </c>
      <c r="E162">
        <v>10123.938572002606</v>
      </c>
      <c r="F162">
        <v>108540.90136745492</v>
      </c>
    </row>
    <row r="163" spans="1:6" x14ac:dyDescent="0.2">
      <c r="A163" s="2">
        <f t="shared" si="2"/>
        <v>47999</v>
      </c>
      <c r="B163">
        <v>14316.122360507276</v>
      </c>
      <c r="C163">
        <v>4072.7654257887903</v>
      </c>
      <c r="D163">
        <v>0</v>
      </c>
      <c r="E163">
        <v>10020.452880828401</v>
      </c>
      <c r="F163">
        <v>108928.15368366308</v>
      </c>
    </row>
    <row r="164" spans="1:6" x14ac:dyDescent="0.2">
      <c r="A164" s="2">
        <f t="shared" si="2"/>
        <v>48029</v>
      </c>
      <c r="B164">
        <v>12408.208998598244</v>
      </c>
      <c r="C164">
        <v>3746.4853537586205</v>
      </c>
      <c r="D164">
        <v>0</v>
      </c>
      <c r="E164">
        <v>9912.8510255990368</v>
      </c>
      <c r="F164">
        <v>107841.96092708615</v>
      </c>
    </row>
    <row r="165" spans="1:6" x14ac:dyDescent="0.2">
      <c r="A165" s="2">
        <f t="shared" si="2"/>
        <v>48060</v>
      </c>
      <c r="B165">
        <v>12499.671681989365</v>
      </c>
      <c r="C165">
        <v>3753.3605640841324</v>
      </c>
      <c r="D165">
        <v>0</v>
      </c>
      <c r="E165">
        <v>9850.3573897271635</v>
      </c>
      <c r="F165">
        <v>106901.20461011131</v>
      </c>
    </row>
    <row r="166" spans="1:6" x14ac:dyDescent="0.2">
      <c r="A166" s="2">
        <f t="shared" si="2"/>
        <v>48091</v>
      </c>
      <c r="B166">
        <v>12925.232594304696</v>
      </c>
      <c r="C166">
        <v>3811.2070831905826</v>
      </c>
      <c r="D166">
        <v>0</v>
      </c>
      <c r="E166">
        <v>9778.8660225851472</v>
      </c>
      <c r="F166">
        <v>106398.22959815276</v>
      </c>
    </row>
    <row r="167" spans="1:6" x14ac:dyDescent="0.2">
      <c r="A167" s="2">
        <f t="shared" si="2"/>
        <v>48121</v>
      </c>
      <c r="B167">
        <v>10120.926353178647</v>
      </c>
      <c r="C167">
        <v>3347.1598130605262</v>
      </c>
      <c r="D167">
        <v>0</v>
      </c>
      <c r="E167">
        <v>9711.3564263492663</v>
      </c>
      <c r="F167">
        <v>103621.74362692388</v>
      </c>
    </row>
    <row r="168" spans="1:6" x14ac:dyDescent="0.2">
      <c r="A168" s="2">
        <f t="shared" si="2"/>
        <v>48152</v>
      </c>
      <c r="B168">
        <v>10892.784529580022</v>
      </c>
      <c r="C168">
        <v>3462.3637786641266</v>
      </c>
      <c r="D168">
        <v>0</v>
      </c>
      <c r="E168">
        <v>9651.4457729391015</v>
      </c>
      <c r="F168">
        <v>101557.6184766443</v>
      </c>
    </row>
    <row r="169" spans="1:6" x14ac:dyDescent="0.2">
      <c r="A169" s="2">
        <f t="shared" si="2"/>
        <v>48182</v>
      </c>
      <c r="B169">
        <v>13037.640341494483</v>
      </c>
      <c r="C169">
        <v>3809.5966241988463</v>
      </c>
      <c r="D169">
        <v>0</v>
      </c>
      <c r="E169">
        <v>9616.0351534030851</v>
      </c>
      <c r="F169">
        <v>101323.40149709214</v>
      </c>
    </row>
    <row r="170" spans="1:6" x14ac:dyDescent="0.2">
      <c r="A170" s="2">
        <f t="shared" si="2"/>
        <v>48213</v>
      </c>
      <c r="B170">
        <v>13709.543989716885</v>
      </c>
      <c r="C170">
        <v>3897.3054750866409</v>
      </c>
      <c r="D170">
        <v>0</v>
      </c>
      <c r="E170">
        <v>9486.0168665739475</v>
      </c>
      <c r="F170">
        <v>101803.04295978457</v>
      </c>
    </row>
    <row r="171" spans="1:6" x14ac:dyDescent="0.2">
      <c r="A171" s="2">
        <f t="shared" si="2"/>
        <v>48244</v>
      </c>
      <c r="B171">
        <v>13529.65722313528</v>
      </c>
      <c r="C171">
        <v>3850.8883634848166</v>
      </c>
      <c r="D171">
        <v>0</v>
      </c>
      <c r="E171">
        <v>9393.1634414903783</v>
      </c>
      <c r="F171">
        <v>102252.15953352046</v>
      </c>
    </row>
    <row r="172" spans="1:6" x14ac:dyDescent="0.2">
      <c r="A172" s="2">
        <f t="shared" si="2"/>
        <v>48273</v>
      </c>
      <c r="B172">
        <v>9899.8596821993706</v>
      </c>
      <c r="C172">
        <v>3264.8631877736184</v>
      </c>
      <c r="D172">
        <v>0</v>
      </c>
      <c r="E172">
        <v>9363.0177116833383</v>
      </c>
      <c r="F172">
        <v>99688.370821298275</v>
      </c>
    </row>
    <row r="173" spans="1:6" x14ac:dyDescent="0.2">
      <c r="A173" s="2">
        <f t="shared" si="2"/>
        <v>48304</v>
      </c>
      <c r="B173">
        <v>14607.647571188449</v>
      </c>
      <c r="C173">
        <v>4011.7545462898679</v>
      </c>
      <c r="D173">
        <v>0</v>
      </c>
      <c r="E173">
        <v>9288.1979145334171</v>
      </c>
      <c r="F173">
        <v>101156.18060246842</v>
      </c>
    </row>
    <row r="174" spans="1:6" x14ac:dyDescent="0.2">
      <c r="A174" s="2">
        <f t="shared" si="2"/>
        <v>48334</v>
      </c>
      <c r="B174">
        <v>14200.765836563529</v>
      </c>
      <c r="C174">
        <v>3925.8412534459867</v>
      </c>
      <c r="D174">
        <v>0</v>
      </c>
      <c r="E174">
        <v>9176.0517349140373</v>
      </c>
      <c r="F174">
        <v>102417.52564701384</v>
      </c>
    </row>
    <row r="175" spans="1:6" x14ac:dyDescent="0.2">
      <c r="A175" s="2">
        <f t="shared" si="2"/>
        <v>48365</v>
      </c>
      <c r="B175">
        <v>12451.788693679568</v>
      </c>
      <c r="C175">
        <v>3620.7546960973937</v>
      </c>
      <c r="D175">
        <v>0</v>
      </c>
      <c r="E175">
        <v>9056.4774212732882</v>
      </c>
      <c r="F175">
        <v>102356.58033146283</v>
      </c>
    </row>
    <row r="176" spans="1:6" x14ac:dyDescent="0.2">
      <c r="A176" s="2">
        <f t="shared" si="2"/>
        <v>48395</v>
      </c>
      <c r="B176">
        <v>11438.551903987378</v>
      </c>
      <c r="C176">
        <v>3454.0395837005158</v>
      </c>
      <c r="D176">
        <v>0</v>
      </c>
      <c r="E176">
        <v>9006.3831335766135</v>
      </c>
      <c r="F176">
        <v>101499.10973887605</v>
      </c>
    </row>
    <row r="177" spans="1:6" x14ac:dyDescent="0.2">
      <c r="A177" s="2">
        <f t="shared" si="2"/>
        <v>48426</v>
      </c>
      <c r="B177">
        <v>10992.328381167639</v>
      </c>
      <c r="C177">
        <v>3366.2472774365015</v>
      </c>
      <c r="D177">
        <v>0</v>
      </c>
      <c r="E177">
        <v>8918.0245303460961</v>
      </c>
      <c r="F177">
        <v>100370.18930490281</v>
      </c>
    </row>
    <row r="178" spans="1:6" x14ac:dyDescent="0.2">
      <c r="A178" s="2">
        <f t="shared" si="2"/>
        <v>48457</v>
      </c>
      <c r="B178">
        <v>11332.656718753218</v>
      </c>
      <c r="C178">
        <v>3399.4572668594342</v>
      </c>
      <c r="D178">
        <v>0</v>
      </c>
      <c r="E178">
        <v>8812.3340111306388</v>
      </c>
      <c r="F178">
        <v>99652.264520555807</v>
      </c>
    </row>
    <row r="179" spans="1:6" x14ac:dyDescent="0.2">
      <c r="A179" s="2">
        <f t="shared" si="2"/>
        <v>48487</v>
      </c>
      <c r="B179">
        <v>9284.3177871405223</v>
      </c>
      <c r="C179">
        <v>3067.603654909517</v>
      </c>
      <c r="D179">
        <v>0</v>
      </c>
      <c r="E179">
        <v>8783.3941971463519</v>
      </c>
      <c r="F179">
        <v>97245.641134240417</v>
      </c>
    </row>
    <row r="180" spans="1:6" x14ac:dyDescent="0.2">
      <c r="A180" s="2">
        <f t="shared" si="2"/>
        <v>48518</v>
      </c>
      <c r="B180">
        <v>9782.1684058928749</v>
      </c>
      <c r="C180">
        <v>3141.4819441924369</v>
      </c>
      <c r="D180">
        <v>0</v>
      </c>
      <c r="E180">
        <v>8734.5156535002461</v>
      </c>
      <c r="F180">
        <v>95308.003218204918</v>
      </c>
    </row>
    <row r="181" spans="1:6" x14ac:dyDescent="0.2">
      <c r="A181" s="2">
        <f t="shared" si="2"/>
        <v>48548</v>
      </c>
      <c r="B181">
        <v>11487.214751454076</v>
      </c>
      <c r="C181">
        <v>3401.6482380549069</v>
      </c>
      <c r="D181">
        <v>0</v>
      </c>
      <c r="E181">
        <v>8645.3370109900625</v>
      </c>
      <c r="F181">
        <v>94901.311855468972</v>
      </c>
    </row>
    <row r="182" spans="1:6" x14ac:dyDescent="0.2">
      <c r="A182" s="2">
        <f t="shared" si="2"/>
        <v>48579</v>
      </c>
      <c r="B182">
        <v>12375.019327345402</v>
      </c>
      <c r="C182">
        <v>3535.056095528922</v>
      </c>
      <c r="D182">
        <v>0</v>
      </c>
      <c r="E182">
        <v>8557.0674342072216</v>
      </c>
      <c r="F182">
        <v>95336.633579808957</v>
      </c>
    </row>
    <row r="183" spans="1:6" x14ac:dyDescent="0.2">
      <c r="A183" s="2">
        <f t="shared" si="2"/>
        <v>48610</v>
      </c>
      <c r="B183">
        <v>12208.150461484556</v>
      </c>
      <c r="C183">
        <v>3493.4834971036576</v>
      </c>
      <c r="D183">
        <v>0</v>
      </c>
      <c r="E183">
        <v>8477.1416434620187</v>
      </c>
      <c r="F183">
        <v>95733.729133796369</v>
      </c>
    </row>
    <row r="184" spans="1:6" x14ac:dyDescent="0.2">
      <c r="A184" s="2">
        <f t="shared" si="2"/>
        <v>48638</v>
      </c>
      <c r="B184">
        <v>8641.4163269551664</v>
      </c>
      <c r="C184">
        <v>2909.9315979681687</v>
      </c>
      <c r="D184">
        <v>0</v>
      </c>
      <c r="E184">
        <v>8422.43844693344</v>
      </c>
      <c r="F184">
        <v>93203.010289861923</v>
      </c>
    </row>
    <row r="185" spans="1:6" x14ac:dyDescent="0.2">
      <c r="A185" s="2">
        <f t="shared" si="2"/>
        <v>48669</v>
      </c>
      <c r="B185">
        <v>12463.782518351776</v>
      </c>
      <c r="C185">
        <v>3497.9432303635476</v>
      </c>
      <c r="D185">
        <v>0</v>
      </c>
      <c r="E185">
        <v>8294.0216656103894</v>
      </c>
      <c r="F185">
        <v>94030.826981183098</v>
      </c>
    </row>
    <row r="186" spans="1:6" x14ac:dyDescent="0.2">
      <c r="A186" s="2">
        <f t="shared" si="2"/>
        <v>48699</v>
      </c>
      <c r="B186">
        <v>12722.535638092313</v>
      </c>
      <c r="C186">
        <v>3521.4116152318938</v>
      </c>
      <c r="D186">
        <v>0</v>
      </c>
      <c r="E186">
        <v>8195.0643189947532</v>
      </c>
      <c r="F186">
        <v>95194.271316890503</v>
      </c>
    </row>
    <row r="187" spans="1:6" x14ac:dyDescent="0.2">
      <c r="A187" s="2">
        <f t="shared" si="2"/>
        <v>48730</v>
      </c>
      <c r="B187">
        <v>10956.462695322251</v>
      </c>
      <c r="C187">
        <v>3224.1132628697137</v>
      </c>
      <c r="D187">
        <v>0</v>
      </c>
      <c r="E187">
        <v>8115.2913609398165</v>
      </c>
      <c r="F187">
        <v>94970.661341823637</v>
      </c>
    </row>
    <row r="188" spans="1:6" x14ac:dyDescent="0.2">
      <c r="A188" s="2">
        <f t="shared" si="2"/>
        <v>48760</v>
      </c>
      <c r="B188">
        <v>10484.616975216441</v>
      </c>
      <c r="C188">
        <v>3143.5944139760622</v>
      </c>
      <c r="D188">
        <v>0</v>
      </c>
      <c r="E188">
        <v>8065.1817880033941</v>
      </c>
      <c r="F188">
        <v>94405.459800012643</v>
      </c>
    </row>
    <row r="189" spans="1:6" x14ac:dyDescent="0.2">
      <c r="A189" s="2">
        <f t="shared" si="2"/>
        <v>48791</v>
      </c>
      <c r="B189">
        <v>9761.2437531955311</v>
      </c>
      <c r="C189">
        <v>3019.6422482646626</v>
      </c>
      <c r="D189">
        <v>0</v>
      </c>
      <c r="E189">
        <v>8007.7878244706135</v>
      </c>
      <c r="F189">
        <v>93297.285156127691</v>
      </c>
    </row>
    <row r="190" spans="1:6" x14ac:dyDescent="0.2">
      <c r="A190" s="2">
        <f t="shared" si="2"/>
        <v>48822</v>
      </c>
      <c r="B190">
        <v>10676.799832372193</v>
      </c>
      <c r="C190">
        <v>3168.9786377539112</v>
      </c>
      <c r="D190">
        <v>0</v>
      </c>
      <c r="E190">
        <v>7986.0272317798963</v>
      </c>
      <c r="F190">
        <v>92975.235981003119</v>
      </c>
    </row>
    <row r="191" spans="1:6" x14ac:dyDescent="0.2">
      <c r="A191" s="2">
        <f t="shared" si="2"/>
        <v>48852</v>
      </c>
      <c r="B191">
        <v>8223.1478890887392</v>
      </c>
      <c r="C191">
        <v>2766.5195515135251</v>
      </c>
      <c r="D191">
        <v>0</v>
      </c>
      <c r="E191">
        <v>7939.1795497594549</v>
      </c>
      <c r="F191">
        <v>90648.302599216186</v>
      </c>
    </row>
    <row r="192" spans="1:6" x14ac:dyDescent="0.2">
      <c r="A192" s="2">
        <f t="shared" si="2"/>
        <v>48883</v>
      </c>
      <c r="B192">
        <v>8750.4515754737622</v>
      </c>
      <c r="C192">
        <v>2845.0550678956788</v>
      </c>
      <c r="D192">
        <v>0</v>
      </c>
      <c r="E192">
        <v>7892.0246903915559</v>
      </c>
      <c r="F192">
        <v>88813.397528808317</v>
      </c>
    </row>
    <row r="193" spans="1:6" x14ac:dyDescent="0.2">
      <c r="A193" s="2">
        <f t="shared" si="2"/>
        <v>48913</v>
      </c>
      <c r="B193">
        <v>10319.017189721011</v>
      </c>
      <c r="C193">
        <v>3091.110455819191</v>
      </c>
      <c r="D193">
        <v>0</v>
      </c>
      <c r="E193">
        <v>7832.3754070941131</v>
      </c>
      <c r="F193">
        <v>88357.580785216662</v>
      </c>
    </row>
    <row r="194" spans="1:6" x14ac:dyDescent="0.2">
      <c r="A194" s="2">
        <f t="shared" si="2"/>
        <v>48944</v>
      </c>
      <c r="B194">
        <v>10911.143037846912</v>
      </c>
      <c r="C194">
        <v>3165.7056596194361</v>
      </c>
      <c r="D194">
        <v>0</v>
      </c>
      <c r="E194">
        <v>7709.1137686811308</v>
      </c>
      <c r="F194">
        <v>88541.793398494672</v>
      </c>
    </row>
    <row r="195" spans="1:6" x14ac:dyDescent="0.2">
      <c r="A195" s="2">
        <f t="shared" si="2"/>
        <v>48975</v>
      </c>
      <c r="B195">
        <v>10679.364338222545</v>
      </c>
      <c r="C195">
        <v>3113.1928243972748</v>
      </c>
      <c r="D195">
        <v>0</v>
      </c>
      <c r="E195">
        <v>7630.4194150494941</v>
      </c>
      <c r="F195">
        <v>88633.880963893229</v>
      </c>
    </row>
    <row r="196" spans="1:6" x14ac:dyDescent="0.2">
      <c r="A196" s="2">
        <f t="shared" si="2"/>
        <v>49003</v>
      </c>
      <c r="B196">
        <v>7886.8533926399796</v>
      </c>
      <c r="C196">
        <v>2658.9089026755473</v>
      </c>
      <c r="D196">
        <v>0</v>
      </c>
      <c r="E196">
        <v>7594.88176054</v>
      </c>
      <c r="F196">
        <v>86423.441756065236</v>
      </c>
    </row>
    <row r="197" spans="1:6" x14ac:dyDescent="0.2">
      <c r="A197" s="2">
        <f t="shared" si="2"/>
        <v>49034</v>
      </c>
      <c r="B197">
        <v>11578.937252877311</v>
      </c>
      <c r="C197">
        <v>3252.5545141675893</v>
      </c>
      <c r="D197">
        <v>0</v>
      </c>
      <c r="E197">
        <v>7561.1500756440782</v>
      </c>
      <c r="F197">
        <v>87341.269578721112</v>
      </c>
    </row>
    <row r="198" spans="1:6" x14ac:dyDescent="0.2">
      <c r="A198" s="2">
        <f t="shared" ref="A198:A261" si="3">DATE(YEAR(A197),MONTH(A197)+2,1)-1</f>
        <v>49064</v>
      </c>
      <c r="B198">
        <v>10958.351068634738</v>
      </c>
      <c r="C198">
        <v>3131.9460194667286</v>
      </c>
      <c r="D198">
        <v>0</v>
      </c>
      <c r="E198">
        <v>7456.0396679246833</v>
      </c>
      <c r="F198">
        <v>87865.850699344461</v>
      </c>
    </row>
    <row r="199" spans="1:6" x14ac:dyDescent="0.2">
      <c r="A199" s="2">
        <f t="shared" si="3"/>
        <v>49095</v>
      </c>
      <c r="B199">
        <v>9836.2365228638355</v>
      </c>
      <c r="C199">
        <v>2946.2718321971124</v>
      </c>
      <c r="D199">
        <v>0</v>
      </c>
      <c r="E199">
        <v>7407.5078170835131</v>
      </c>
      <c r="F199">
        <v>87503.449548733959</v>
      </c>
    </row>
    <row r="200" spans="1:6" x14ac:dyDescent="0.2">
      <c r="A200" s="2">
        <f t="shared" si="3"/>
        <v>49125</v>
      </c>
      <c r="B200">
        <v>9103.2749275268416</v>
      </c>
      <c r="C200">
        <v>2813.719850937041</v>
      </c>
      <c r="D200">
        <v>0</v>
      </c>
      <c r="E200">
        <v>7325.29400577669</v>
      </c>
      <c r="F200">
        <v>86622.212715012254</v>
      </c>
    </row>
    <row r="201" spans="1:6" x14ac:dyDescent="0.2">
      <c r="A201" s="2">
        <f t="shared" si="3"/>
        <v>49156</v>
      </c>
      <c r="B201">
        <v>8469.748599026203</v>
      </c>
      <c r="C201">
        <v>2696.5725465847131</v>
      </c>
      <c r="D201">
        <v>0</v>
      </c>
      <c r="E201">
        <v>7244.1727684343505</v>
      </c>
      <c r="F201">
        <v>85304.162122255308</v>
      </c>
    </row>
    <row r="202" spans="1:6" x14ac:dyDescent="0.2">
      <c r="A202" s="2">
        <f t="shared" si="3"/>
        <v>49187</v>
      </c>
      <c r="B202">
        <v>9382.9903344319791</v>
      </c>
      <c r="C202">
        <v>2822.1675751023436</v>
      </c>
      <c r="D202">
        <v>0</v>
      </c>
      <c r="E202">
        <v>7143.9323489848157</v>
      </c>
      <c r="F202">
        <v>84871.671415258344</v>
      </c>
    </row>
    <row r="203" spans="1:6" x14ac:dyDescent="0.2">
      <c r="A203" s="2">
        <f t="shared" si="3"/>
        <v>49217</v>
      </c>
      <c r="B203">
        <v>7449.3245451114244</v>
      </c>
      <c r="C203">
        <v>2506.2233846302365</v>
      </c>
      <c r="D203">
        <v>0</v>
      </c>
      <c r="E203">
        <v>7109.1704241612497</v>
      </c>
      <c r="F203">
        <v>82855.457398964427</v>
      </c>
    </row>
    <row r="204" spans="1:6" x14ac:dyDescent="0.2">
      <c r="A204" s="2">
        <f t="shared" si="3"/>
        <v>49248</v>
      </c>
      <c r="B204">
        <v>7331.8001723936386</v>
      </c>
      <c r="C204">
        <v>2470.550166169196</v>
      </c>
      <c r="D204">
        <v>0</v>
      </c>
      <c r="E204">
        <v>7027.3147708788865</v>
      </c>
      <c r="F204">
        <v>80835.687915865812</v>
      </c>
    </row>
    <row r="205" spans="1:6" x14ac:dyDescent="0.2">
      <c r="A205" s="2">
        <f t="shared" si="3"/>
        <v>49278</v>
      </c>
      <c r="B205">
        <v>9327.6840139651158</v>
      </c>
      <c r="C205">
        <v>2782.5943127231267</v>
      </c>
      <c r="D205">
        <v>0</v>
      </c>
      <c r="E205">
        <v>6961.2673889355174</v>
      </c>
      <c r="F205">
        <v>80562.239266121833</v>
      </c>
    </row>
    <row r="206" spans="1:6" x14ac:dyDescent="0.2">
      <c r="A206" s="2">
        <f t="shared" si="3"/>
        <v>49309</v>
      </c>
      <c r="B206">
        <v>9460.1444268233681</v>
      </c>
      <c r="C206">
        <v>2793.7071780608076</v>
      </c>
      <c r="D206">
        <v>0</v>
      </c>
      <c r="E206">
        <v>6877.7020085916938</v>
      </c>
      <c r="F206">
        <v>80493.220724540559</v>
      </c>
    </row>
    <row r="207" spans="1:6" x14ac:dyDescent="0.2">
      <c r="A207" s="2">
        <f t="shared" si="3"/>
        <v>49340</v>
      </c>
      <c r="B207">
        <v>9780.8008973108117</v>
      </c>
      <c r="C207">
        <v>2840.4494349865381</v>
      </c>
      <c r="D207">
        <v>0</v>
      </c>
      <c r="E207">
        <v>6838.1302346246894</v>
      </c>
      <c r="F207">
        <v>80742.235807876044</v>
      </c>
    </row>
    <row r="208" spans="1:6" x14ac:dyDescent="0.2">
      <c r="A208" s="2">
        <f t="shared" si="3"/>
        <v>49368</v>
      </c>
      <c r="B208">
        <v>6841.8672637708778</v>
      </c>
      <c r="C208">
        <v>2354.6418521774308</v>
      </c>
      <c r="D208">
        <v>0</v>
      </c>
      <c r="E208">
        <v>6776.5345261544535</v>
      </c>
      <c r="F208">
        <v>78600.174672713023</v>
      </c>
    </row>
    <row r="209" spans="1:6" x14ac:dyDescent="0.2">
      <c r="A209" s="2">
        <f t="shared" si="3"/>
        <v>49399</v>
      </c>
      <c r="B209">
        <v>9910.965250510093</v>
      </c>
      <c r="C209">
        <v>2830.9253725975705</v>
      </c>
      <c r="D209">
        <v>0</v>
      </c>
      <c r="E209">
        <v>6684.6270571000723</v>
      </c>
      <c r="F209">
        <v>79138.929039434748</v>
      </c>
    </row>
    <row r="210" spans="1:6" x14ac:dyDescent="0.2">
      <c r="A210" s="2">
        <f t="shared" si="3"/>
        <v>49429</v>
      </c>
      <c r="B210">
        <v>9767.3710770420403</v>
      </c>
      <c r="C210">
        <v>2799.6835403404198</v>
      </c>
      <c r="D210">
        <v>0</v>
      </c>
      <c r="E210">
        <v>6627.6740922810859</v>
      </c>
      <c r="F210">
        <v>79623.266545186634</v>
      </c>
    </row>
    <row r="211" spans="1:6" x14ac:dyDescent="0.2">
      <c r="A211" s="2">
        <f t="shared" si="3"/>
        <v>49460</v>
      </c>
      <c r="B211">
        <v>8888.2221545010343</v>
      </c>
      <c r="C211">
        <v>2655.5698000384496</v>
      </c>
      <c r="D211">
        <v>0</v>
      </c>
      <c r="E211">
        <v>6589.7203503793899</v>
      </c>
      <c r="F211">
        <v>79411.405887096262</v>
      </c>
    </row>
    <row r="212" spans="1:6" x14ac:dyDescent="0.2">
      <c r="A212" s="2">
        <f t="shared" si="3"/>
        <v>49490</v>
      </c>
      <c r="B212">
        <v>8087.594812433168</v>
      </c>
      <c r="C212">
        <v>2517.048028492683</v>
      </c>
      <c r="D212">
        <v>0</v>
      </c>
      <c r="E212">
        <v>6527.7557251942098</v>
      </c>
      <c r="F212">
        <v>78599.017917679797</v>
      </c>
    </row>
    <row r="213" spans="1:6" x14ac:dyDescent="0.2">
      <c r="A213" s="2">
        <f t="shared" si="3"/>
        <v>49521</v>
      </c>
      <c r="B213">
        <v>7498.6433121604596</v>
      </c>
      <c r="C213">
        <v>2412.1925538927462</v>
      </c>
      <c r="D213">
        <v>0</v>
      </c>
      <c r="E213">
        <v>6467.2483995500734</v>
      </c>
      <c r="F213">
        <v>77361.559712756047</v>
      </c>
    </row>
    <row r="214" spans="1:6" x14ac:dyDescent="0.2">
      <c r="A214" s="2">
        <f t="shared" si="3"/>
        <v>49552</v>
      </c>
      <c r="B214">
        <v>8270.9479997986455</v>
      </c>
      <c r="C214">
        <v>2527.4456290828507</v>
      </c>
      <c r="D214">
        <v>0</v>
      </c>
      <c r="E214">
        <v>6412.7431619754079</v>
      </c>
      <c r="F214">
        <v>76833.40163040068</v>
      </c>
    </row>
    <row r="215" spans="1:6" x14ac:dyDescent="0.2">
      <c r="A215" s="2">
        <f t="shared" si="3"/>
        <v>49582</v>
      </c>
      <c r="B215">
        <v>6988.214096688007</v>
      </c>
      <c r="C215">
        <v>2320.7632952255476</v>
      </c>
      <c r="D215">
        <v>0</v>
      </c>
      <c r="E215">
        <v>6395.6995603837104</v>
      </c>
      <c r="F215">
        <v>75245.272389190795</v>
      </c>
    </row>
    <row r="216" spans="1:6" x14ac:dyDescent="0.2">
      <c r="A216" s="2">
        <f t="shared" si="3"/>
        <v>49613</v>
      </c>
      <c r="B216">
        <v>6440.1171007457306</v>
      </c>
      <c r="C216">
        <v>2218.8467240381633</v>
      </c>
      <c r="D216">
        <v>0</v>
      </c>
      <c r="E216">
        <v>6326.8545422703992</v>
      </c>
      <c r="F216">
        <v>73276.911502221643</v>
      </c>
    </row>
    <row r="217" spans="1:6" x14ac:dyDescent="0.2">
      <c r="A217" s="2">
        <f t="shared" si="3"/>
        <v>49643</v>
      </c>
      <c r="B217">
        <v>8077.5666662818949</v>
      </c>
      <c r="C217">
        <v>2458.8736694034892</v>
      </c>
      <c r="D217">
        <v>0</v>
      </c>
      <c r="E217">
        <v>6211.7524494533645</v>
      </c>
      <c r="F217">
        <v>72817.485668375157</v>
      </c>
    </row>
    <row r="218" spans="1:6" x14ac:dyDescent="0.2">
      <c r="A218" s="2">
        <f t="shared" si="3"/>
        <v>49674</v>
      </c>
      <c r="B218">
        <v>8346.8778692275446</v>
      </c>
      <c r="C218">
        <v>2484.4016789297475</v>
      </c>
      <c r="D218">
        <v>0</v>
      </c>
      <c r="E218">
        <v>6105.7093316148475</v>
      </c>
      <c r="F218">
        <v>72707.048300202223</v>
      </c>
    </row>
    <row r="219" spans="1:6" x14ac:dyDescent="0.2">
      <c r="A219" s="2">
        <f t="shared" si="3"/>
        <v>49705</v>
      </c>
      <c r="B219">
        <v>8553.2282164006829</v>
      </c>
      <c r="C219">
        <v>2505.3835252600065</v>
      </c>
      <c r="D219">
        <v>0</v>
      </c>
      <c r="E219">
        <v>6041.8817457589876</v>
      </c>
      <c r="F219">
        <v>72846.395415717852</v>
      </c>
    </row>
    <row r="220" spans="1:6" x14ac:dyDescent="0.2">
      <c r="A220" s="2">
        <f t="shared" si="3"/>
        <v>49734</v>
      </c>
      <c r="B220">
        <v>6008.1554244611152</v>
      </c>
      <c r="C220">
        <v>2087.937260733524</v>
      </c>
      <c r="D220">
        <v>0</v>
      </c>
      <c r="E220">
        <v>6000.363635290676</v>
      </c>
      <c r="F220">
        <v>70899.889752494768</v>
      </c>
    </row>
    <row r="221" spans="1:6" x14ac:dyDescent="0.2">
      <c r="A221" s="2">
        <f t="shared" si="3"/>
        <v>49765</v>
      </c>
      <c r="B221">
        <v>8664.6276328143849</v>
      </c>
      <c r="C221">
        <v>2505.1602130003735</v>
      </c>
      <c r="D221">
        <v>0</v>
      </c>
      <c r="E221">
        <v>5936.5999054591484</v>
      </c>
      <c r="F221">
        <v>71252.826127824286</v>
      </c>
    </row>
    <row r="222" spans="1:6" x14ac:dyDescent="0.2">
      <c r="A222" s="2">
        <f t="shared" si="3"/>
        <v>49795</v>
      </c>
      <c r="B222">
        <v>8578.0262179857236</v>
      </c>
      <c r="C222">
        <v>2477.7673765150894</v>
      </c>
      <c r="D222">
        <v>0</v>
      </c>
      <c r="E222">
        <v>5863.9973497599631</v>
      </c>
      <c r="F222">
        <v>71619.803957289769</v>
      </c>
    </row>
    <row r="223" spans="1:6" x14ac:dyDescent="0.2">
      <c r="A223" s="2">
        <f t="shared" si="3"/>
        <v>49826</v>
      </c>
      <c r="B223">
        <v>7983.0597622648884</v>
      </c>
      <c r="C223">
        <v>2379.6067867507004</v>
      </c>
      <c r="D223">
        <v>0</v>
      </c>
      <c r="E223">
        <v>5828.6829845332813</v>
      </c>
      <c r="F223">
        <v>71525.96352245014</v>
      </c>
    </row>
    <row r="224" spans="1:6" x14ac:dyDescent="0.2">
      <c r="A224" s="2">
        <f t="shared" si="3"/>
        <v>49856</v>
      </c>
      <c r="B224">
        <v>6988.036121102281</v>
      </c>
      <c r="C224">
        <v>2199.6565892590061</v>
      </c>
      <c r="D224">
        <v>0</v>
      </c>
      <c r="E224">
        <v>5734.0654910604972</v>
      </c>
      <c r="F224">
        <v>70711.494983146637</v>
      </c>
    </row>
    <row r="225" spans="1:6" x14ac:dyDescent="0.2">
      <c r="A225" s="2">
        <f t="shared" si="3"/>
        <v>49887</v>
      </c>
      <c r="B225">
        <v>6568.1470967891037</v>
      </c>
      <c r="C225">
        <v>2123.685659467234</v>
      </c>
      <c r="D225">
        <v>0</v>
      </c>
      <c r="E225">
        <v>5681.773846537285</v>
      </c>
      <c r="F225">
        <v>69603.905816694911</v>
      </c>
    </row>
    <row r="226" spans="1:6" x14ac:dyDescent="0.2">
      <c r="A226" s="2">
        <f t="shared" si="3"/>
        <v>49918</v>
      </c>
      <c r="B226">
        <v>7599.5929438252033</v>
      </c>
      <c r="C226">
        <v>2290.4295644474291</v>
      </c>
      <c r="D226">
        <v>0</v>
      </c>
      <c r="E226">
        <v>5663.5632209371979</v>
      </c>
      <c r="F226">
        <v>69377.197298501022</v>
      </c>
    </row>
    <row r="227" spans="1:6" x14ac:dyDescent="0.2">
      <c r="A227" s="2">
        <f t="shared" si="3"/>
        <v>49948</v>
      </c>
      <c r="B227">
        <v>6420.0357077735925</v>
      </c>
      <c r="C227">
        <v>2102.8895898962451</v>
      </c>
      <c r="D227">
        <v>0</v>
      </c>
      <c r="E227">
        <v>5655.9371370269046</v>
      </c>
      <c r="F227">
        <v>68165.681696305357</v>
      </c>
    </row>
    <row r="228" spans="1:6" x14ac:dyDescent="0.2">
      <c r="A228" s="2">
        <f t="shared" si="3"/>
        <v>49979</v>
      </c>
      <c r="B228">
        <v>5414.2381558468123</v>
      </c>
      <c r="C228">
        <v>1929.9079870021496</v>
      </c>
      <c r="D228">
        <v>0</v>
      </c>
      <c r="E228">
        <v>5597.9416506987618</v>
      </c>
      <c r="F228">
        <v>66177.12305454383</v>
      </c>
    </row>
    <row r="229" spans="1:6" x14ac:dyDescent="0.2">
      <c r="A229" s="2">
        <f t="shared" si="3"/>
        <v>50009</v>
      </c>
      <c r="B229">
        <v>6676.2930474106824</v>
      </c>
      <c r="C229">
        <v>2112.8818560221371</v>
      </c>
      <c r="D229">
        <v>0</v>
      </c>
      <c r="E229">
        <v>5500.4053784651605</v>
      </c>
      <c r="F229">
        <v>65361.533612218351</v>
      </c>
    </row>
    <row r="230" spans="1:6" x14ac:dyDescent="0.2">
      <c r="A230" s="2">
        <f t="shared" si="3"/>
        <v>50040</v>
      </c>
      <c r="B230">
        <v>7288.3174581478152</v>
      </c>
      <c r="C230">
        <v>2200.2454537698554</v>
      </c>
      <c r="D230">
        <v>0</v>
      </c>
      <c r="E230">
        <v>5422.3436349758667</v>
      </c>
      <c r="F230">
        <v>65147.170492877405</v>
      </c>
    </row>
    <row r="231" spans="1:6" x14ac:dyDescent="0.2">
      <c r="A231" s="2">
        <f t="shared" si="3"/>
        <v>50071</v>
      </c>
      <c r="B231">
        <v>7563.7426760527105</v>
      </c>
      <c r="C231">
        <v>2234.6993166574539</v>
      </c>
      <c r="D231">
        <v>0</v>
      </c>
      <c r="E231">
        <v>5369.1583862204379</v>
      </c>
      <c r="F231">
        <v>65229.19318123284</v>
      </c>
    </row>
    <row r="232" spans="1:6" x14ac:dyDescent="0.2">
      <c r="A232" s="2">
        <f t="shared" si="3"/>
        <v>50099</v>
      </c>
      <c r="B232">
        <v>5290.4249459433868</v>
      </c>
      <c r="C232">
        <v>1865.6326670091921</v>
      </c>
      <c r="D232">
        <v>0</v>
      </c>
      <c r="E232">
        <v>5345.7471004598647</v>
      </c>
      <c r="F232">
        <v>63430.529850772058</v>
      </c>
    </row>
    <row r="233" spans="1:6" x14ac:dyDescent="0.2">
      <c r="A233" s="2">
        <f t="shared" si="3"/>
        <v>50130</v>
      </c>
      <c r="B233">
        <v>7722.3587878610078</v>
      </c>
      <c r="C233">
        <v>2242.1937391496881</v>
      </c>
      <c r="D233">
        <v>0</v>
      </c>
      <c r="E233">
        <v>5268.4882057204059</v>
      </c>
      <c r="F233">
        <v>63761.126056339512</v>
      </c>
    </row>
    <row r="234" spans="1:6" x14ac:dyDescent="0.2">
      <c r="A234" s="2">
        <f t="shared" si="3"/>
        <v>50160</v>
      </c>
      <c r="B234">
        <v>7399.7456056492556</v>
      </c>
      <c r="C234">
        <v>2179.3328716627598</v>
      </c>
      <c r="D234">
        <v>0</v>
      </c>
      <c r="E234">
        <v>5207.4558125622279</v>
      </c>
      <c r="F234">
        <v>63893.622141091153</v>
      </c>
    </row>
    <row r="235" spans="1:6" x14ac:dyDescent="0.2">
      <c r="A235" s="2">
        <f t="shared" si="3"/>
        <v>50191</v>
      </c>
      <c r="B235">
        <v>6749.6087672692147</v>
      </c>
      <c r="C235">
        <v>2064.9930422393618</v>
      </c>
      <c r="D235">
        <v>0</v>
      </c>
      <c r="E235">
        <v>5148.0741234280204</v>
      </c>
      <c r="F235">
        <v>63549.951309273318</v>
      </c>
    </row>
    <row r="236" spans="1:6" x14ac:dyDescent="0.2">
      <c r="A236" s="2">
        <f t="shared" si="3"/>
        <v>50221</v>
      </c>
      <c r="B236">
        <v>5993.5788461332932</v>
      </c>
      <c r="C236">
        <v>1930.0042341030453</v>
      </c>
      <c r="D236">
        <v>0</v>
      </c>
      <c r="E236">
        <v>5080.3493258589206</v>
      </c>
      <c r="F236">
        <v>62652.319849004612</v>
      </c>
    </row>
    <row r="237" spans="1:6" x14ac:dyDescent="0.2">
      <c r="A237" s="2">
        <f t="shared" si="3"/>
        <v>50252</v>
      </c>
      <c r="B237">
        <v>6113.9409630306936</v>
      </c>
      <c r="C237">
        <v>1948.2360002544842</v>
      </c>
      <c r="D237">
        <v>0</v>
      </c>
      <c r="E237">
        <v>5056.2497899740374</v>
      </c>
      <c r="F237">
        <v>61879.235398661913</v>
      </c>
    </row>
    <row r="238" spans="1:6" x14ac:dyDescent="0.2">
      <c r="A238" s="2">
        <f t="shared" si="3"/>
        <v>50283</v>
      </c>
      <c r="B238">
        <v>6772.264452310339</v>
      </c>
      <c r="C238">
        <v>2047.7111175918972</v>
      </c>
      <c r="D238">
        <v>0</v>
      </c>
      <c r="E238">
        <v>5012.9449728372174</v>
      </c>
      <c r="F238">
        <v>61706.854761044597</v>
      </c>
    </row>
    <row r="239" spans="1:6" x14ac:dyDescent="0.2">
      <c r="A239" s="2">
        <f t="shared" si="3"/>
        <v>50313</v>
      </c>
      <c r="B239">
        <v>5860.825765273823</v>
      </c>
      <c r="C239">
        <v>1896.7189444067683</v>
      </c>
      <c r="D239">
        <v>0</v>
      </c>
      <c r="E239">
        <v>4981.0547103958816</v>
      </c>
      <c r="F239">
        <v>60805.594693327213</v>
      </c>
    </row>
    <row r="240" spans="1:6" x14ac:dyDescent="0.2">
      <c r="A240" s="2">
        <f t="shared" si="3"/>
        <v>50344</v>
      </c>
      <c r="B240">
        <v>4805.4052257676021</v>
      </c>
      <c r="C240">
        <v>1717.9304187614566</v>
      </c>
      <c r="D240">
        <v>0</v>
      </c>
      <c r="E240">
        <v>4932.9320498531315</v>
      </c>
      <c r="F240">
        <v>59074.135592684339</v>
      </c>
    </row>
    <row r="241" spans="1:6" x14ac:dyDescent="0.2">
      <c r="A241" s="2">
        <f t="shared" si="3"/>
        <v>50374</v>
      </c>
      <c r="B241">
        <v>5772.3925113624819</v>
      </c>
      <c r="C241">
        <v>1866.0632419957108</v>
      </c>
      <c r="D241">
        <v>0</v>
      </c>
      <c r="E241">
        <v>4882.9819748102318</v>
      </c>
      <c r="F241">
        <v>58208.234895240297</v>
      </c>
    </row>
    <row r="242" spans="1:6" x14ac:dyDescent="0.2">
      <c r="A242" s="2">
        <f t="shared" si="3"/>
        <v>50405</v>
      </c>
      <c r="B242">
        <v>6371.7613572546015</v>
      </c>
      <c r="C242">
        <v>1955.6723004037951</v>
      </c>
      <c r="D242">
        <v>0</v>
      </c>
      <c r="E242">
        <v>4823.1737622350283</v>
      </c>
      <c r="F242">
        <v>57910.278809887008</v>
      </c>
    </row>
    <row r="243" spans="1:6" x14ac:dyDescent="0.2">
      <c r="A243" s="2">
        <f t="shared" si="3"/>
        <v>50436</v>
      </c>
      <c r="B243">
        <v>6323.1953972840529</v>
      </c>
      <c r="C243">
        <v>1933.2470001736774</v>
      </c>
      <c r="D243">
        <v>0</v>
      </c>
      <c r="E243">
        <v>4754.7090671134665</v>
      </c>
      <c r="F243">
        <v>57658.879604566711</v>
      </c>
    </row>
    <row r="244" spans="1:6" x14ac:dyDescent="0.2">
      <c r="A244" s="2">
        <f t="shared" si="3"/>
        <v>50464</v>
      </c>
      <c r="B244">
        <v>4699.7824459424792</v>
      </c>
      <c r="C244">
        <v>1668.3680023728441</v>
      </c>
      <c r="D244">
        <v>0</v>
      </c>
      <c r="E244">
        <v>4731.8651599927689</v>
      </c>
      <c r="F244">
        <v>56071.298229791813</v>
      </c>
    </row>
    <row r="245" spans="1:6" x14ac:dyDescent="0.2">
      <c r="A245" s="2">
        <f t="shared" si="3"/>
        <v>50495</v>
      </c>
      <c r="B245">
        <v>6678.3942053809869</v>
      </c>
      <c r="C245">
        <v>1969.522609712692</v>
      </c>
      <c r="D245">
        <v>0</v>
      </c>
      <c r="E245">
        <v>4648.388333439756</v>
      </c>
      <c r="F245">
        <v>56241.543085724072</v>
      </c>
    </row>
    <row r="246" spans="1:6" x14ac:dyDescent="0.2">
      <c r="A246" s="2">
        <f t="shared" si="3"/>
        <v>50525</v>
      </c>
      <c r="B246">
        <v>6507.0330594125271</v>
      </c>
      <c r="C246">
        <v>1932.8279719074274</v>
      </c>
      <c r="D246">
        <v>0</v>
      </c>
      <c r="E246">
        <v>4596.7842501622472</v>
      </c>
      <c r="F246">
        <v>56329.058777231694</v>
      </c>
    </row>
    <row r="247" spans="1:6" x14ac:dyDescent="0.2">
      <c r="A247" s="2">
        <f t="shared" si="3"/>
        <v>50556</v>
      </c>
      <c r="B247">
        <v>5611.8263292342572</v>
      </c>
      <c r="C247">
        <v>1771.8336018368022</v>
      </c>
      <c r="D247">
        <v>0</v>
      </c>
      <c r="E247">
        <v>4514.1231031296256</v>
      </c>
      <c r="F247">
        <v>55765.194570794956</v>
      </c>
    </row>
    <row r="248" spans="1:6" x14ac:dyDescent="0.2">
      <c r="A248" s="2">
        <f t="shared" si="3"/>
        <v>50586</v>
      </c>
      <c r="B248">
        <v>5023.8552111219824</v>
      </c>
      <c r="C248">
        <v>1668.631154118581</v>
      </c>
      <c r="D248">
        <v>0</v>
      </c>
      <c r="E248">
        <v>4466.133194992336</v>
      </c>
      <c r="F248">
        <v>54763.447817529108</v>
      </c>
    </row>
    <row r="249" spans="1:6" x14ac:dyDescent="0.2">
      <c r="A249" s="2">
        <f t="shared" si="3"/>
        <v>50617</v>
      </c>
      <c r="B249">
        <v>5531.8142303324721</v>
      </c>
      <c r="C249">
        <v>1746.5604252364617</v>
      </c>
      <c r="D249">
        <v>0</v>
      </c>
      <c r="E249">
        <v>4434.1827360097986</v>
      </c>
      <c r="F249">
        <v>54221.720315847771</v>
      </c>
    </row>
    <row r="250" spans="1:6" x14ac:dyDescent="0.2">
      <c r="A250" s="2">
        <f t="shared" si="3"/>
        <v>50648</v>
      </c>
      <c r="B250">
        <v>5677.2548564588806</v>
      </c>
      <c r="C250">
        <v>1759.1837687620186</v>
      </c>
      <c r="D250">
        <v>0</v>
      </c>
      <c r="E250">
        <v>4376.4378033496596</v>
      </c>
      <c r="F250">
        <v>53869.494578255428</v>
      </c>
    </row>
    <row r="251" spans="1:6" x14ac:dyDescent="0.2">
      <c r="A251" s="2">
        <f t="shared" si="3"/>
        <v>50678</v>
      </c>
      <c r="B251">
        <v>4954.0896995132553</v>
      </c>
      <c r="C251">
        <v>1635.5478738445574</v>
      </c>
      <c r="D251">
        <v>0</v>
      </c>
      <c r="E251">
        <v>4337.6671519999472</v>
      </c>
      <c r="F251">
        <v>52955.820735367299</v>
      </c>
    </row>
    <row r="252" spans="1:6" x14ac:dyDescent="0.2">
      <c r="A252" s="2">
        <f t="shared" si="3"/>
        <v>50709</v>
      </c>
      <c r="B252">
        <v>4185.5231268626439</v>
      </c>
      <c r="C252">
        <v>1502.8488196193953</v>
      </c>
      <c r="D252">
        <v>0</v>
      </c>
      <c r="E252">
        <v>4291.6875098816017</v>
      </c>
      <c r="F252">
        <v>51450.470466588209</v>
      </c>
    </row>
    <row r="253" spans="1:6" x14ac:dyDescent="0.2">
      <c r="A253" s="2">
        <f t="shared" si="3"/>
        <v>50739</v>
      </c>
      <c r="B253">
        <v>4930.4458812298772</v>
      </c>
      <c r="C253">
        <v>1612.9621996309811</v>
      </c>
      <c r="D253">
        <v>0</v>
      </c>
      <c r="E253">
        <v>4235.2539101245411</v>
      </c>
      <c r="F253">
        <v>50633.416394340486</v>
      </c>
    </row>
    <row r="254" spans="1:6" x14ac:dyDescent="0.2">
      <c r="A254" s="2">
        <f t="shared" si="3"/>
        <v>50770</v>
      </c>
      <c r="B254">
        <v>5439.7526498793895</v>
      </c>
      <c r="C254">
        <v>1676.8810917234541</v>
      </c>
      <c r="D254">
        <v>0</v>
      </c>
      <c r="E254">
        <v>4138.3006400718887</v>
      </c>
      <c r="F254">
        <v>50357.104055813092</v>
      </c>
    </row>
    <row r="255" spans="1:6" x14ac:dyDescent="0.2">
      <c r="A255" s="2">
        <f t="shared" si="3"/>
        <v>50801</v>
      </c>
      <c r="B255">
        <v>5578.8110144226348</v>
      </c>
      <c r="C255">
        <v>1691.7632516602284</v>
      </c>
      <c r="D255">
        <v>0</v>
      </c>
      <c r="E255">
        <v>4097.8301434157793</v>
      </c>
      <c r="F255">
        <v>50249.363894765935</v>
      </c>
    </row>
    <row r="256" spans="1:6" x14ac:dyDescent="0.2">
      <c r="A256" s="2">
        <f t="shared" si="3"/>
        <v>50829</v>
      </c>
      <c r="B256">
        <v>4001.540239888227</v>
      </c>
      <c r="C256">
        <v>1434.3776212965986</v>
      </c>
      <c r="D256">
        <v>0</v>
      </c>
      <c r="E256">
        <v>4076.0206246590769</v>
      </c>
      <c r="F256">
        <v>48843.327647149395</v>
      </c>
    </row>
    <row r="257" spans="1:6" x14ac:dyDescent="0.2">
      <c r="A257" s="2">
        <f t="shared" si="3"/>
        <v>50860</v>
      </c>
      <c r="B257">
        <v>5680.3739245112292</v>
      </c>
      <c r="C257">
        <v>1691.7345635529259</v>
      </c>
      <c r="D257">
        <v>0</v>
      </c>
      <c r="E257">
        <v>4011.0832338590644</v>
      </c>
      <c r="F257">
        <v>48920.828459076714</v>
      </c>
    </row>
    <row r="258" spans="1:6" x14ac:dyDescent="0.2">
      <c r="A258" s="2">
        <f t="shared" si="3"/>
        <v>50890</v>
      </c>
      <c r="B258">
        <v>5572.7627301257289</v>
      </c>
      <c r="C258">
        <v>1665.5033038186798</v>
      </c>
      <c r="D258">
        <v>0</v>
      </c>
      <c r="E258">
        <v>3962.3810240653406</v>
      </c>
      <c r="F258">
        <v>48965.810130637001</v>
      </c>
    </row>
    <row r="259" spans="1:6" x14ac:dyDescent="0.2">
      <c r="A259" s="2">
        <f t="shared" si="3"/>
        <v>50921</v>
      </c>
      <c r="B259">
        <v>4982.8890192467779</v>
      </c>
      <c r="C259">
        <v>1560.1884416258836</v>
      </c>
      <c r="D259">
        <v>0</v>
      </c>
      <c r="E259">
        <v>3906.9420105655413</v>
      </c>
      <c r="F259">
        <v>48581.764009858933</v>
      </c>
    </row>
    <row r="260" spans="1:6" x14ac:dyDescent="0.2">
      <c r="A260" s="2">
        <f t="shared" si="3"/>
        <v>50951</v>
      </c>
      <c r="B260">
        <v>4189.5607840769271</v>
      </c>
      <c r="C260">
        <v>1417.3046816774861</v>
      </c>
      <c r="D260">
        <v>0</v>
      </c>
      <c r="E260">
        <v>3837.0246310486596</v>
      </c>
      <c r="F260">
        <v>47616.404946662886</v>
      </c>
    </row>
    <row r="261" spans="1:6" x14ac:dyDescent="0.2">
      <c r="A261" s="2">
        <f t="shared" si="3"/>
        <v>50982</v>
      </c>
      <c r="B261">
        <v>4832.2213507065026</v>
      </c>
      <c r="C261">
        <v>1512.184024073008</v>
      </c>
      <c r="D261">
        <v>0</v>
      </c>
      <c r="E261">
        <v>3789.7788215625956</v>
      </c>
      <c r="F261">
        <v>47244.097570461774</v>
      </c>
    </row>
    <row r="262" spans="1:6" x14ac:dyDescent="0.2">
      <c r="A262" s="2">
        <f t="shared" ref="A262:A325" si="4">DATE(YEAR(A261),MONTH(A261)+2,1)-1</f>
        <v>51013</v>
      </c>
      <c r="B262">
        <v>5064.944507151683</v>
      </c>
      <c r="C262">
        <v>1545.7774762417514</v>
      </c>
      <c r="D262">
        <v>0</v>
      </c>
      <c r="E262">
        <v>3759.1459899713323</v>
      </c>
      <c r="F262">
        <v>47100.79090358696</v>
      </c>
    </row>
    <row r="263" spans="1:6" x14ac:dyDescent="0.2">
      <c r="A263" s="2">
        <f t="shared" si="4"/>
        <v>51043</v>
      </c>
      <c r="B263">
        <v>4180.8040351124819</v>
      </c>
      <c r="C263">
        <v>1400.8070737284102</v>
      </c>
      <c r="D263">
        <v>0</v>
      </c>
      <c r="E263">
        <v>3737.8354052303607</v>
      </c>
      <c r="F263">
        <v>46239.331513518853</v>
      </c>
    </row>
    <row r="264" spans="1:6" x14ac:dyDescent="0.2">
      <c r="A264" s="2">
        <f t="shared" si="4"/>
        <v>51074</v>
      </c>
      <c r="B264">
        <v>3487.8054059220426</v>
      </c>
      <c r="C264">
        <v>1284.6891065098055</v>
      </c>
      <c r="D264">
        <v>0</v>
      </c>
      <c r="E264">
        <v>3709.569116154898</v>
      </c>
      <c r="F264">
        <v>44827.495006462719</v>
      </c>
    </row>
    <row r="265" spans="1:6" x14ac:dyDescent="0.2">
      <c r="A265" s="2">
        <f t="shared" si="4"/>
        <v>51104</v>
      </c>
      <c r="B265">
        <v>4017.2808319586388</v>
      </c>
      <c r="C265">
        <v>1358.1546888110679</v>
      </c>
      <c r="D265">
        <v>0</v>
      </c>
      <c r="E265">
        <v>3647.9643712413081</v>
      </c>
      <c r="F265">
        <v>43930.38414576753</v>
      </c>
    </row>
    <row r="266" spans="1:6" x14ac:dyDescent="0.2">
      <c r="A266" s="2">
        <f t="shared" si="4"/>
        <v>51135</v>
      </c>
      <c r="B266">
        <v>4577.2065466472313</v>
      </c>
      <c r="C266">
        <v>1433.976478285248</v>
      </c>
      <c r="D266">
        <v>0</v>
      </c>
      <c r="E266">
        <v>3568.5958883761232</v>
      </c>
      <c r="F266">
        <v>43594.909997949508</v>
      </c>
    </row>
    <row r="267" spans="1:6" x14ac:dyDescent="0.2">
      <c r="A267" s="2">
        <f t="shared" si="4"/>
        <v>51166</v>
      </c>
      <c r="B267">
        <v>4959.6235628438089</v>
      </c>
      <c r="C267">
        <v>1492.3115557724132</v>
      </c>
      <c r="D267">
        <v>0</v>
      </c>
      <c r="E267">
        <v>3545.3727245936384</v>
      </c>
      <c r="F267">
        <v>43607.652633506339</v>
      </c>
    </row>
    <row r="268" spans="1:6" x14ac:dyDescent="0.2">
      <c r="A268" s="2">
        <f t="shared" si="4"/>
        <v>51195</v>
      </c>
      <c r="B268">
        <v>3425.4447387780392</v>
      </c>
      <c r="C268">
        <v>1244.2216693843704</v>
      </c>
      <c r="D268">
        <v>0</v>
      </c>
      <c r="E268">
        <v>3532.845419337425</v>
      </c>
      <c r="F268">
        <v>42346.860178135503</v>
      </c>
    </row>
    <row r="269" spans="1:6" x14ac:dyDescent="0.2">
      <c r="A269" s="2">
        <f t="shared" si="4"/>
        <v>51226</v>
      </c>
      <c r="B269">
        <v>4902.5848673605078</v>
      </c>
      <c r="C269">
        <v>1475.72233537326</v>
      </c>
      <c r="D269">
        <v>0</v>
      </c>
      <c r="E269">
        <v>3493.9290097253452</v>
      </c>
      <c r="F269">
        <v>42367.997504390201</v>
      </c>
    </row>
    <row r="270" spans="1:6" x14ac:dyDescent="0.2">
      <c r="A270" s="2">
        <f t="shared" si="4"/>
        <v>51256</v>
      </c>
      <c r="B270">
        <v>4966.59481908003</v>
      </c>
      <c r="C270">
        <v>1481.177089019719</v>
      </c>
      <c r="D270">
        <v>0</v>
      </c>
      <c r="E270">
        <v>3462.3627702757003</v>
      </c>
      <c r="F270">
        <v>42479.300294869427</v>
      </c>
    </row>
    <row r="271" spans="1:6" x14ac:dyDescent="0.2">
      <c r="A271" s="2">
        <f t="shared" si="4"/>
        <v>51287</v>
      </c>
      <c r="B271">
        <v>4430.2929884807363</v>
      </c>
      <c r="C271">
        <v>1391.0256959350572</v>
      </c>
      <c r="D271">
        <v>0</v>
      </c>
      <c r="E271">
        <v>3432.9803977535089</v>
      </c>
      <c r="F271">
        <v>42174.06685170027</v>
      </c>
    </row>
    <row r="272" spans="1:6" x14ac:dyDescent="0.2">
      <c r="A272" s="2">
        <f t="shared" si="4"/>
        <v>51317</v>
      </c>
      <c r="B272">
        <v>3556.5271517062497</v>
      </c>
      <c r="C272">
        <v>1239.0025639782039</v>
      </c>
      <c r="D272">
        <v>0</v>
      </c>
      <c r="E272">
        <v>3379.5107227962603</v>
      </c>
      <c r="F272">
        <v>41199.924611327486</v>
      </c>
    </row>
    <row r="273" spans="1:6" x14ac:dyDescent="0.2">
      <c r="A273" s="2">
        <f t="shared" si="4"/>
        <v>51348</v>
      </c>
      <c r="B273">
        <v>4369.650005770759</v>
      </c>
      <c r="C273">
        <v>1361.2630610203732</v>
      </c>
      <c r="D273">
        <v>0</v>
      </c>
      <c r="E273">
        <v>3334.3955758179295</v>
      </c>
      <c r="F273">
        <v>40959.730844919366</v>
      </c>
    </row>
    <row r="274" spans="1:6" x14ac:dyDescent="0.2">
      <c r="A274" s="2">
        <f t="shared" si="4"/>
        <v>51379</v>
      </c>
      <c r="B274">
        <v>4376.8170584304398</v>
      </c>
      <c r="C274">
        <v>1354.1672560957047</v>
      </c>
      <c r="D274">
        <v>0</v>
      </c>
      <c r="E274">
        <v>3288.7816196884264</v>
      </c>
      <c r="F274">
        <v>40778.91359530091</v>
      </c>
    </row>
    <row r="275" spans="1:6" x14ac:dyDescent="0.2">
      <c r="A275" s="2">
        <f t="shared" si="4"/>
        <v>51409</v>
      </c>
      <c r="B275">
        <v>3594.5404189380761</v>
      </c>
      <c r="C275">
        <v>1223.2236245358592</v>
      </c>
      <c r="D275">
        <v>0</v>
      </c>
      <c r="E275">
        <v>3259.9312592971287</v>
      </c>
      <c r="F275">
        <v>39975.237075903511</v>
      </c>
    </row>
    <row r="276" spans="1:6" x14ac:dyDescent="0.2">
      <c r="A276" s="2">
        <f t="shared" si="4"/>
        <v>51440</v>
      </c>
      <c r="B276">
        <v>2906.3127121931643</v>
      </c>
      <c r="C276">
        <v>1105.4395769863263</v>
      </c>
      <c r="D276">
        <v>0</v>
      </c>
      <c r="E276">
        <v>3224.0332018204535</v>
      </c>
      <c r="F276">
        <v>38635.340985905372</v>
      </c>
    </row>
    <row r="277" spans="1:6" x14ac:dyDescent="0.2">
      <c r="A277" s="2">
        <f t="shared" si="4"/>
        <v>51470</v>
      </c>
      <c r="B277">
        <v>3530.4795463247315</v>
      </c>
      <c r="C277">
        <v>1196.118097337044</v>
      </c>
      <c r="D277">
        <v>0</v>
      </c>
      <c r="E277">
        <v>3172.3666017117939</v>
      </c>
      <c r="F277">
        <v>37877.808955136112</v>
      </c>
    </row>
    <row r="278" spans="1:6" x14ac:dyDescent="0.2">
      <c r="A278" s="2">
        <f t="shared" si="4"/>
        <v>51501</v>
      </c>
      <c r="B278">
        <v>3698.6471600400032</v>
      </c>
      <c r="C278">
        <v>1215.3530035811018</v>
      </c>
      <c r="D278">
        <v>0</v>
      </c>
      <c r="E278">
        <v>3118.9905777048743</v>
      </c>
      <c r="F278">
        <v>37321.007800804837</v>
      </c>
    </row>
    <row r="279" spans="1:6" x14ac:dyDescent="0.2">
      <c r="A279" s="2">
        <f t="shared" si="4"/>
        <v>51532</v>
      </c>
      <c r="B279">
        <v>4229.6445847551349</v>
      </c>
      <c r="C279">
        <v>1295.2394090453138</v>
      </c>
      <c r="D279">
        <v>0</v>
      </c>
      <c r="E279">
        <v>3088.364812927749</v>
      </c>
      <c r="F279">
        <v>37246.461181025647</v>
      </c>
    </row>
    <row r="280" spans="1:6" x14ac:dyDescent="0.2">
      <c r="A280" s="2">
        <f t="shared" si="4"/>
        <v>51560</v>
      </c>
      <c r="B280">
        <v>2915.4591252192336</v>
      </c>
      <c r="C280">
        <v>1080.5308800434464</v>
      </c>
      <c r="D280">
        <v>0</v>
      </c>
      <c r="E280">
        <v>3069.4036971404698</v>
      </c>
      <c r="F280">
        <v>36091.240123451578</v>
      </c>
    </row>
    <row r="281" spans="1:6" x14ac:dyDescent="0.2">
      <c r="A281" s="2">
        <f t="shared" si="4"/>
        <v>51591</v>
      </c>
      <c r="B281">
        <v>4131.365837524635</v>
      </c>
      <c r="C281">
        <v>1263.5202631692837</v>
      </c>
      <c r="D281">
        <v>0</v>
      </c>
      <c r="E281">
        <v>3008.373372999105</v>
      </c>
      <c r="F281">
        <v>36027.50859720767</v>
      </c>
    </row>
    <row r="282" spans="1:6" x14ac:dyDescent="0.2">
      <c r="A282" s="2">
        <f t="shared" si="4"/>
        <v>51621</v>
      </c>
      <c r="B282">
        <v>3587.541514044513</v>
      </c>
      <c r="C282">
        <v>1152.0540180904554</v>
      </c>
      <c r="D282">
        <v>0</v>
      </c>
      <c r="E282">
        <v>2907.9491590394623</v>
      </c>
      <c r="F282">
        <v>35631.707596229091</v>
      </c>
    </row>
    <row r="283" spans="1:6" x14ac:dyDescent="0.2">
      <c r="A283" s="2">
        <f t="shared" si="4"/>
        <v>51652</v>
      </c>
      <c r="B283">
        <v>3844.982534745237</v>
      </c>
      <c r="C283">
        <v>1182.6198397872517</v>
      </c>
      <c r="D283">
        <v>0</v>
      </c>
      <c r="E283">
        <v>2855.8480350398913</v>
      </c>
      <c r="F283">
        <v>35514.040718280303</v>
      </c>
    </row>
    <row r="284" spans="1:6" x14ac:dyDescent="0.2">
      <c r="A284" s="2">
        <f t="shared" si="4"/>
        <v>51682</v>
      </c>
      <c r="B284">
        <v>2821.4092675828065</v>
      </c>
      <c r="C284">
        <v>1013.2067493969292</v>
      </c>
      <c r="D284">
        <v>0</v>
      </c>
      <c r="E284">
        <v>2828.5374531707498</v>
      </c>
      <c r="F284">
        <v>34569.273869503893</v>
      </c>
    </row>
    <row r="285" spans="1:6" x14ac:dyDescent="0.2">
      <c r="A285" s="2">
        <f t="shared" si="4"/>
        <v>51713</v>
      </c>
      <c r="B285">
        <v>3716.0850706724859</v>
      </c>
      <c r="C285">
        <v>1152.5591191503454</v>
      </c>
      <c r="D285">
        <v>0</v>
      </c>
      <c r="E285">
        <v>2799.7124402373402</v>
      </c>
      <c r="F285">
        <v>34406.64515723713</v>
      </c>
    </row>
    <row r="286" spans="1:6" x14ac:dyDescent="0.2">
      <c r="A286" s="2">
        <f t="shared" si="4"/>
        <v>51744</v>
      </c>
      <c r="B286">
        <v>3786.3972398923347</v>
      </c>
      <c r="C286">
        <v>1159.6263285709065</v>
      </c>
      <c r="D286">
        <v>0</v>
      </c>
      <c r="E286">
        <v>2770.6918104041329</v>
      </c>
      <c r="F286">
        <v>34335.935987228397</v>
      </c>
    </row>
    <row r="287" spans="1:6" x14ac:dyDescent="0.2">
      <c r="A287" s="2">
        <f t="shared" si="4"/>
        <v>51774</v>
      </c>
      <c r="B287">
        <v>2986.8912406481063</v>
      </c>
      <c r="C287">
        <v>1026.0088454718341</v>
      </c>
      <c r="D287">
        <v>0</v>
      </c>
      <c r="E287">
        <v>2743.1394567939492</v>
      </c>
      <c r="F287">
        <v>33626.740197103762</v>
      </c>
    </row>
    <row r="288" spans="1:6" x14ac:dyDescent="0.2">
      <c r="A288" s="2">
        <f t="shared" si="4"/>
        <v>51805</v>
      </c>
      <c r="B288">
        <v>2528.3196179830652</v>
      </c>
      <c r="C288">
        <v>949.49458948516724</v>
      </c>
      <c r="D288">
        <v>0</v>
      </c>
      <c r="E288">
        <v>2724.7199074027612</v>
      </c>
      <c r="F288">
        <v>32552.39753672235</v>
      </c>
    </row>
    <row r="289" spans="1:6" x14ac:dyDescent="0.2">
      <c r="A289" s="2">
        <f t="shared" si="4"/>
        <v>51835</v>
      </c>
      <c r="B289">
        <v>2908.3714008641837</v>
      </c>
      <c r="C289">
        <v>1000.6416954452923</v>
      </c>
      <c r="D289">
        <v>0</v>
      </c>
      <c r="E289">
        <v>2673.8320084681818</v>
      </c>
      <c r="F289">
        <v>31855.561426243592</v>
      </c>
    </row>
    <row r="290" spans="1:6" x14ac:dyDescent="0.2">
      <c r="A290" s="2">
        <f t="shared" si="4"/>
        <v>51866</v>
      </c>
      <c r="B290">
        <v>3122.1599618803548</v>
      </c>
      <c r="C290">
        <v>1023.2493396331724</v>
      </c>
      <c r="D290">
        <v>0</v>
      </c>
      <c r="E290">
        <v>2608.3895429799445</v>
      </c>
      <c r="F290">
        <v>31413.865944494159</v>
      </c>
    </row>
    <row r="291" spans="1:6" x14ac:dyDescent="0.2">
      <c r="A291" s="2">
        <f t="shared" si="4"/>
        <v>51897</v>
      </c>
      <c r="B291">
        <v>3629.6936455634441</v>
      </c>
      <c r="C291">
        <v>1101.6737492527857</v>
      </c>
      <c r="D291">
        <v>0</v>
      </c>
      <c r="E291">
        <v>2587.2394823030559</v>
      </c>
      <c r="F291">
        <v>31422.91401664319</v>
      </c>
    </row>
    <row r="292" spans="1:6" x14ac:dyDescent="0.2">
      <c r="A292" s="2">
        <f t="shared" si="4"/>
        <v>51925</v>
      </c>
      <c r="B292">
        <v>2462.8218535789238</v>
      </c>
      <c r="C292">
        <v>910.4647354475411</v>
      </c>
      <c r="D292">
        <v>0</v>
      </c>
      <c r="E292">
        <v>2568.4648183065365</v>
      </c>
      <c r="F292">
        <v>30475.093637604652</v>
      </c>
    </row>
    <row r="293" spans="1:6" x14ac:dyDescent="0.2">
      <c r="A293" s="2">
        <f t="shared" si="4"/>
        <v>51956</v>
      </c>
      <c r="B293">
        <v>3541.4561245492387</v>
      </c>
      <c r="C293">
        <v>1075.6898995758552</v>
      </c>
      <c r="D293">
        <v>0</v>
      </c>
      <c r="E293">
        <v>2525.5400344472059</v>
      </c>
      <c r="F293">
        <v>30481.547374843918</v>
      </c>
    </row>
    <row r="294" spans="1:6" x14ac:dyDescent="0.2">
      <c r="A294" s="2">
        <f t="shared" si="4"/>
        <v>51986</v>
      </c>
      <c r="B294">
        <v>2866.5664785109816</v>
      </c>
      <c r="C294">
        <v>957.73814969329771</v>
      </c>
      <c r="D294">
        <v>0</v>
      </c>
      <c r="E294">
        <v>2482.4020166086061</v>
      </c>
      <c r="F294">
        <v>29974.215258831642</v>
      </c>
    </row>
    <row r="295" spans="1:6" x14ac:dyDescent="0.2">
      <c r="A295" s="2">
        <f t="shared" si="4"/>
        <v>52017</v>
      </c>
      <c r="B295">
        <v>3538.5938223813746</v>
      </c>
      <c r="C295">
        <v>1064.9543766389588</v>
      </c>
      <c r="D295">
        <v>0</v>
      </c>
      <c r="E295">
        <v>2469.7698568284891</v>
      </c>
      <c r="F295">
        <v>30043.223900798235</v>
      </c>
    </row>
    <row r="296" spans="1:6" x14ac:dyDescent="0.2">
      <c r="A296" s="2">
        <f t="shared" si="4"/>
        <v>52047</v>
      </c>
      <c r="B296">
        <v>2409.2950159644847</v>
      </c>
      <c r="C296">
        <v>880.78530195277324</v>
      </c>
      <c r="D296">
        <v>0</v>
      </c>
      <c r="E296">
        <v>2451.6791609079637</v>
      </c>
      <c r="F296">
        <v>29185.34347443669</v>
      </c>
    </row>
    <row r="297" spans="1:6" x14ac:dyDescent="0.2">
      <c r="A297" s="2">
        <f t="shared" si="4"/>
        <v>52078</v>
      </c>
      <c r="B297">
        <v>3144.121486700999</v>
      </c>
      <c r="C297">
        <v>994.24504595308622</v>
      </c>
      <c r="D297">
        <v>0</v>
      </c>
      <c r="E297">
        <v>2423.1395795209169</v>
      </c>
      <c r="F297">
        <v>28975.505036544899</v>
      </c>
    </row>
    <row r="298" spans="1:6" x14ac:dyDescent="0.2">
      <c r="A298" s="2">
        <f t="shared" si="4"/>
        <v>52109</v>
      </c>
      <c r="B298">
        <v>2873.6813688795992</v>
      </c>
      <c r="C298">
        <v>936.34034465749437</v>
      </c>
      <c r="D298">
        <v>0</v>
      </c>
      <c r="E298">
        <v>2357.5948157483303</v>
      </c>
      <c r="F298">
        <v>28618.219931388023</v>
      </c>
    </row>
    <row r="299" spans="1:6" x14ac:dyDescent="0.2">
      <c r="A299" s="2">
        <f t="shared" si="4"/>
        <v>52139</v>
      </c>
      <c r="B299">
        <v>2571.4604180726024</v>
      </c>
      <c r="C299">
        <v>882.63699999248638</v>
      </c>
      <c r="D299">
        <v>0</v>
      </c>
      <c r="E299">
        <v>2331.6161516186953</v>
      </c>
      <c r="F299">
        <v>28037.619443093794</v>
      </c>
    </row>
    <row r="300" spans="1:6" x14ac:dyDescent="0.2">
      <c r="A300" s="2">
        <f t="shared" si="4"/>
        <v>52170</v>
      </c>
      <c r="B300">
        <v>2143.865048806616</v>
      </c>
      <c r="C300">
        <v>811.03877848537149</v>
      </c>
      <c r="D300">
        <v>0</v>
      </c>
      <c r="E300">
        <v>2313.7666773888359</v>
      </c>
      <c r="F300">
        <v>27117.609537945998</v>
      </c>
    </row>
    <row r="301" spans="1:6" x14ac:dyDescent="0.2">
      <c r="A301" s="2">
        <f t="shared" si="4"/>
        <v>52200</v>
      </c>
      <c r="B301">
        <v>2622.8668372346333</v>
      </c>
      <c r="C301">
        <v>884.20488737571782</v>
      </c>
      <c r="D301">
        <v>0</v>
      </c>
      <c r="E301">
        <v>2287.6757055257344</v>
      </c>
      <c r="F301">
        <v>26627.526946651618</v>
      </c>
    </row>
    <row r="302" spans="1:6" x14ac:dyDescent="0.2">
      <c r="A302" s="2">
        <f t="shared" si="4"/>
        <v>52231</v>
      </c>
      <c r="B302">
        <v>2719.4592113605891</v>
      </c>
      <c r="C302">
        <v>891.64066517490153</v>
      </c>
      <c r="D302">
        <v>0</v>
      </c>
      <c r="E302">
        <v>2238.5114071895991</v>
      </c>
      <c r="F302">
        <v>26274.700217436672</v>
      </c>
    </row>
    <row r="303" spans="1:6" x14ac:dyDescent="0.2">
      <c r="A303" s="2">
        <f t="shared" si="4"/>
        <v>52262</v>
      </c>
      <c r="B303">
        <v>3183.2364485055077</v>
      </c>
      <c r="C303">
        <v>965.3128669172637</v>
      </c>
      <c r="D303">
        <v>0</v>
      </c>
      <c r="E303">
        <v>2226.4626177981472</v>
      </c>
      <c r="F303">
        <v>26324.829260317365</v>
      </c>
    </row>
    <row r="304" spans="1:6" x14ac:dyDescent="0.2">
      <c r="A304" s="2">
        <f t="shared" si="4"/>
        <v>52290</v>
      </c>
      <c r="B304">
        <v>2077.339057485216</v>
      </c>
      <c r="C304">
        <v>785.91616018514321</v>
      </c>
      <c r="D304">
        <v>0</v>
      </c>
      <c r="E304">
        <v>2215.8604263768311</v>
      </c>
      <c r="F304">
        <v>25459.171742137369</v>
      </c>
    </row>
    <row r="305" spans="1:6" x14ac:dyDescent="0.2">
      <c r="A305" s="2">
        <f t="shared" si="4"/>
        <v>52321</v>
      </c>
      <c r="B305">
        <v>3275.0428352563063</v>
      </c>
      <c r="C305">
        <v>973.86025383800893</v>
      </c>
      <c r="D305">
        <v>0</v>
      </c>
      <c r="E305">
        <v>2188.1548119968279</v>
      </c>
      <c r="F305">
        <v>25629.046618813674</v>
      </c>
    </row>
    <row r="306" spans="1:6" x14ac:dyDescent="0.2">
      <c r="A306" s="2">
        <f t="shared" si="4"/>
        <v>52351</v>
      </c>
      <c r="B306">
        <v>2236.0985349244652</v>
      </c>
      <c r="C306">
        <v>801.67375306433598</v>
      </c>
      <c r="D306">
        <v>0</v>
      </c>
      <c r="E306">
        <v>2162.1647568588883</v>
      </c>
      <c r="F306">
        <v>24958.53306016243</v>
      </c>
    </row>
    <row r="307" spans="1:6" x14ac:dyDescent="0.2">
      <c r="A307" s="2">
        <f t="shared" si="4"/>
        <v>52382</v>
      </c>
      <c r="B307">
        <v>2810.711400748386</v>
      </c>
      <c r="C307">
        <v>880.94278109796142</v>
      </c>
      <c r="D307">
        <v>0</v>
      </c>
      <c r="E307">
        <v>2104.6373571436966</v>
      </c>
      <c r="F307">
        <v>24839.393567130192</v>
      </c>
    </row>
    <row r="308" spans="1:6" x14ac:dyDescent="0.2">
      <c r="A308" s="2">
        <f t="shared" si="4"/>
        <v>52412</v>
      </c>
      <c r="B308">
        <v>1937.6476943383684</v>
      </c>
      <c r="C308">
        <v>735.89128965035036</v>
      </c>
      <c r="D308">
        <v>0</v>
      </c>
      <c r="E308">
        <v>2079.8881909488955</v>
      </c>
      <c r="F308">
        <v>24016.725001926057</v>
      </c>
    </row>
    <row r="309" spans="1:6" x14ac:dyDescent="0.2">
      <c r="A309" s="2">
        <f t="shared" si="4"/>
        <v>52443</v>
      </c>
      <c r="B309">
        <v>2408.2940720405791</v>
      </c>
      <c r="C309">
        <v>802.93318391532341</v>
      </c>
      <c r="D309">
        <v>0</v>
      </c>
      <c r="E309">
        <v>2037.5256322493844</v>
      </c>
      <c r="F309">
        <v>23638.186564106123</v>
      </c>
    </row>
    <row r="310" spans="1:6" x14ac:dyDescent="0.2">
      <c r="A310" s="2">
        <f t="shared" si="4"/>
        <v>52474</v>
      </c>
      <c r="B310">
        <v>2454.294027844865</v>
      </c>
      <c r="C310">
        <v>805.64579674008746</v>
      </c>
      <c r="D310">
        <v>0</v>
      </c>
      <c r="E310">
        <v>2011.2330683490638</v>
      </c>
      <c r="F310">
        <v>23328.382804759007</v>
      </c>
    </row>
    <row r="311" spans="1:6" x14ac:dyDescent="0.2">
      <c r="A311" s="2">
        <f t="shared" si="4"/>
        <v>52504</v>
      </c>
      <c r="B311">
        <v>2211.2127745484586</v>
      </c>
      <c r="C311">
        <v>757.1734816440968</v>
      </c>
      <c r="D311">
        <v>0</v>
      </c>
      <c r="E311">
        <v>1970.5162963554981</v>
      </c>
      <c r="F311">
        <v>22863.995126632955</v>
      </c>
    </row>
    <row r="312" spans="1:6" x14ac:dyDescent="0.2">
      <c r="A312" s="2">
        <f t="shared" si="4"/>
        <v>52535</v>
      </c>
      <c r="B312">
        <v>1778.3450774496489</v>
      </c>
      <c r="C312">
        <v>680.75155163228555</v>
      </c>
      <c r="D312">
        <v>0</v>
      </c>
      <c r="E312">
        <v>1938.6540905583956</v>
      </c>
      <c r="F312">
        <v>22073.986968325342</v>
      </c>
    </row>
    <row r="313" spans="1:6" x14ac:dyDescent="0.2">
      <c r="A313" s="2">
        <f t="shared" si="4"/>
        <v>52565</v>
      </c>
      <c r="B313">
        <v>2045.5645446398348</v>
      </c>
      <c r="C313">
        <v>715.83024657327428</v>
      </c>
      <c r="D313">
        <v>0</v>
      </c>
      <c r="E313">
        <v>1898.3889575896135</v>
      </c>
      <c r="F313">
        <v>21554.620727036745</v>
      </c>
    </row>
    <row r="314" spans="1:6" x14ac:dyDescent="0.2">
      <c r="A314" s="2">
        <f t="shared" si="4"/>
        <v>52596</v>
      </c>
      <c r="B314">
        <v>2002.7721843281081</v>
      </c>
      <c r="C314">
        <v>694.47398376667434</v>
      </c>
      <c r="D314">
        <v>0</v>
      </c>
      <c r="E314">
        <v>1827.4818688312223</v>
      </c>
      <c r="F314">
        <v>21083.565797938762</v>
      </c>
    </row>
    <row r="315" spans="1:6" x14ac:dyDescent="0.2">
      <c r="A315" s="2">
        <f t="shared" si="4"/>
        <v>52627</v>
      </c>
      <c r="B315">
        <v>2697.7803199852524</v>
      </c>
      <c r="C315">
        <v>805.25714336890996</v>
      </c>
      <c r="D315">
        <v>0</v>
      </c>
      <c r="E315">
        <v>1816.0458789275606</v>
      </c>
      <c r="F315">
        <v>21208.129534804284</v>
      </c>
    </row>
    <row r="316" spans="1:6" x14ac:dyDescent="0.2">
      <c r="A316" s="2">
        <f t="shared" si="4"/>
        <v>52656</v>
      </c>
      <c r="B316">
        <v>1757.509006195741</v>
      </c>
      <c r="C316">
        <v>652.63648468561519</v>
      </c>
      <c r="D316">
        <v>0</v>
      </c>
      <c r="E316">
        <v>1806.5271762363138</v>
      </c>
      <c r="F316">
        <v>20554.845418567682</v>
      </c>
    </row>
    <row r="317" spans="1:6" x14ac:dyDescent="0.2">
      <c r="A317" s="2">
        <f t="shared" si="4"/>
        <v>52687</v>
      </c>
      <c r="B317">
        <v>2775.4766331752576</v>
      </c>
      <c r="C317">
        <v>809.5044044018681</v>
      </c>
      <c r="D317">
        <v>0</v>
      </c>
      <c r="E317">
        <v>1771.670503648284</v>
      </c>
      <c r="F317">
        <v>20796.027701444735</v>
      </c>
    </row>
    <row r="318" spans="1:6" x14ac:dyDescent="0.2">
      <c r="A318" s="2">
        <f t="shared" si="4"/>
        <v>52717</v>
      </c>
      <c r="B318">
        <v>1775.6173837531217</v>
      </c>
      <c r="C318">
        <v>645.6943196089386</v>
      </c>
      <c r="D318">
        <v>0</v>
      </c>
      <c r="E318">
        <v>1754.5752472130873</v>
      </c>
      <c r="F318">
        <v>20218.80615372313</v>
      </c>
    </row>
    <row r="319" spans="1:6" x14ac:dyDescent="0.2">
      <c r="A319" s="2">
        <f t="shared" si="4"/>
        <v>52748</v>
      </c>
      <c r="B319">
        <v>2421.6813456674854</v>
      </c>
      <c r="C319">
        <v>746.26863980713165</v>
      </c>
      <c r="D319">
        <v>0</v>
      </c>
      <c r="E319">
        <v>1736.1946664002044</v>
      </c>
      <c r="F319">
        <v>20204.13832784411</v>
      </c>
    </row>
    <row r="320" spans="1:6" x14ac:dyDescent="0.2">
      <c r="A320" s="2">
        <f t="shared" si="4"/>
        <v>52778</v>
      </c>
      <c r="B320">
        <v>1688.7928647598478</v>
      </c>
      <c r="C320">
        <v>625.57989608319735</v>
      </c>
      <c r="D320">
        <v>0</v>
      </c>
      <c r="E320">
        <v>1719.46290291324</v>
      </c>
      <c r="F320">
        <v>19593.969074557383</v>
      </c>
    </row>
    <row r="321" spans="1:6" x14ac:dyDescent="0.2">
      <c r="A321" s="2">
        <f t="shared" si="4"/>
        <v>52809</v>
      </c>
      <c r="B321">
        <v>1918.6633483444007</v>
      </c>
      <c r="C321">
        <v>656.26266111914094</v>
      </c>
      <c r="D321">
        <v>0</v>
      </c>
      <c r="E321">
        <v>1687.2810108212464</v>
      </c>
      <c r="F321">
        <v>19213.777785594535</v>
      </c>
    </row>
    <row r="322" spans="1:6" x14ac:dyDescent="0.2">
      <c r="A322" s="2">
        <f t="shared" si="4"/>
        <v>52840</v>
      </c>
      <c r="B322">
        <v>1950.7831853915156</v>
      </c>
      <c r="C322">
        <v>656.89617272162297</v>
      </c>
      <c r="D322">
        <v>0</v>
      </c>
      <c r="E322">
        <v>1662.6221675428783</v>
      </c>
      <c r="F322">
        <v>18888.864542332562</v>
      </c>
    </row>
    <row r="323" spans="1:6" x14ac:dyDescent="0.2">
      <c r="A323" s="2">
        <f t="shared" si="4"/>
        <v>52870</v>
      </c>
      <c r="B323">
        <v>1749.5493258127619</v>
      </c>
      <c r="C323">
        <v>620.88824418616423</v>
      </c>
      <c r="D323">
        <v>0</v>
      </c>
      <c r="E323">
        <v>1645.0121200635572</v>
      </c>
      <c r="F323">
        <v>18415.594368140166</v>
      </c>
    </row>
    <row r="324" spans="1:6" x14ac:dyDescent="0.2">
      <c r="A324" s="2">
        <f t="shared" si="4"/>
        <v>52901</v>
      </c>
      <c r="B324">
        <v>1484.6841300519877</v>
      </c>
      <c r="C324">
        <v>575.14584241038358</v>
      </c>
      <c r="D324">
        <v>0</v>
      </c>
      <c r="E324">
        <v>1628.4704472121218</v>
      </c>
      <c r="F324">
        <v>17738.663659698639</v>
      </c>
    </row>
    <row r="325" spans="1:6" x14ac:dyDescent="0.2">
      <c r="A325" s="2">
        <f t="shared" si="4"/>
        <v>52931</v>
      </c>
      <c r="B325">
        <v>1675.2255159769043</v>
      </c>
      <c r="C325">
        <v>601.60342295485464</v>
      </c>
      <c r="D325">
        <v>0</v>
      </c>
      <c r="E325">
        <v>1603.7200243792449</v>
      </c>
      <c r="F325">
        <v>17249.023266659358</v>
      </c>
    </row>
    <row r="326" spans="1:6" x14ac:dyDescent="0.2">
      <c r="A326" s="2">
        <f t="shared" ref="A326:A389" si="5">DATE(YEAR(A325),MONTH(A325)+2,1)-1</f>
        <v>52962</v>
      </c>
      <c r="B326">
        <v>1591.6056831972301</v>
      </c>
      <c r="C326">
        <v>577.62119547090822</v>
      </c>
      <c r="D326">
        <v>0</v>
      </c>
      <c r="E326">
        <v>1550.451445366404</v>
      </c>
      <c r="F326">
        <v>16751.897097770063</v>
      </c>
    </row>
    <row r="327" spans="1:6" x14ac:dyDescent="0.2">
      <c r="A327" s="2">
        <f t="shared" si="5"/>
        <v>52993</v>
      </c>
      <c r="B327">
        <v>1999.7217850317447</v>
      </c>
      <c r="C327">
        <v>632.29467242375006</v>
      </c>
      <c r="D327">
        <v>0</v>
      </c>
      <c r="E327">
        <v>1501.6296165455292</v>
      </c>
      <c r="F327">
        <v>16656.284077332744</v>
      </c>
    </row>
    <row r="328" spans="1:6" x14ac:dyDescent="0.2">
      <c r="A328" s="2">
        <f t="shared" si="5"/>
        <v>53021</v>
      </c>
      <c r="B328">
        <v>1400.3418116888188</v>
      </c>
      <c r="C328">
        <v>532.50367519081783</v>
      </c>
      <c r="D328">
        <v>0</v>
      </c>
      <c r="E328">
        <v>1485.4488061011123</v>
      </c>
      <c r="F328">
        <v>16077.042638141311</v>
      </c>
    </row>
    <row r="329" spans="1:6" x14ac:dyDescent="0.2">
      <c r="A329" s="2">
        <f t="shared" si="5"/>
        <v>53052</v>
      </c>
      <c r="B329">
        <v>2216.2182370293181</v>
      </c>
      <c r="C329">
        <v>653.10572695676251</v>
      </c>
      <c r="D329">
        <v>0</v>
      </c>
      <c r="E329">
        <v>1437.6105082464696</v>
      </c>
      <c r="F329">
        <v>16239.579536253828</v>
      </c>
    </row>
    <row r="330" spans="1:6" x14ac:dyDescent="0.2">
      <c r="A330" s="2">
        <f t="shared" si="5"/>
        <v>53082</v>
      </c>
      <c r="B330">
        <v>1401.5210483102137</v>
      </c>
      <c r="C330">
        <v>515.02626430943837</v>
      </c>
      <c r="D330">
        <v>0</v>
      </c>
      <c r="E330">
        <v>1406.1816166446065</v>
      </c>
      <c r="F330">
        <v>15757.302018083852</v>
      </c>
    </row>
    <row r="331" spans="1:6" x14ac:dyDescent="0.2">
      <c r="A331" s="2">
        <f t="shared" si="5"/>
        <v>53113</v>
      </c>
      <c r="B331">
        <v>1757.6834325407724</v>
      </c>
      <c r="C331">
        <v>563.15439185602111</v>
      </c>
      <c r="D331">
        <v>0</v>
      </c>
      <c r="E331">
        <v>1366.1889459683066</v>
      </c>
      <c r="F331">
        <v>15621.940458156991</v>
      </c>
    </row>
    <row r="332" spans="1:6" x14ac:dyDescent="0.2">
      <c r="A332" s="2">
        <f t="shared" si="5"/>
        <v>53143</v>
      </c>
      <c r="B332">
        <v>1270.3316799274962</v>
      </c>
      <c r="C332">
        <v>477.93804784343979</v>
      </c>
      <c r="D332">
        <v>0</v>
      </c>
      <c r="E332">
        <v>1335.2840895331069</v>
      </c>
      <c r="F332">
        <v>15115.036528683415</v>
      </c>
    </row>
    <row r="333" spans="1:6" x14ac:dyDescent="0.2">
      <c r="A333" s="2">
        <f t="shared" si="5"/>
        <v>53174</v>
      </c>
      <c r="B333">
        <v>1431.187571119804</v>
      </c>
      <c r="C333">
        <v>497.5796679052645</v>
      </c>
      <c r="D333">
        <v>0</v>
      </c>
      <c r="E333">
        <v>1304.481493081463</v>
      </c>
      <c r="F333">
        <v>14778.981768548103</v>
      </c>
    </row>
    <row r="334" spans="1:6" x14ac:dyDescent="0.2">
      <c r="A334" s="2">
        <f t="shared" si="5"/>
        <v>53205</v>
      </c>
      <c r="B334">
        <v>1598.6928397521183</v>
      </c>
      <c r="C334">
        <v>519.91512589166064</v>
      </c>
      <c r="D334">
        <v>0</v>
      </c>
      <c r="E334">
        <v>1280.6525998789009</v>
      </c>
      <c r="F334">
        <v>14611.151580260243</v>
      </c>
    </row>
    <row r="335" spans="1:6" x14ac:dyDescent="0.2">
      <c r="A335" s="2">
        <f t="shared" si="5"/>
        <v>53235</v>
      </c>
      <c r="B335">
        <v>1406.3442036699828</v>
      </c>
      <c r="C335">
        <v>487.4357783875144</v>
      </c>
      <c r="D335">
        <v>0</v>
      </c>
      <c r="E335">
        <v>1271.5705244175333</v>
      </c>
      <c r="F335">
        <v>14292.147567104003</v>
      </c>
    </row>
    <row r="336" spans="1:6" x14ac:dyDescent="0.2">
      <c r="A336" s="2">
        <f t="shared" si="5"/>
        <v>53266</v>
      </c>
      <c r="B336">
        <v>1166.8542202743415</v>
      </c>
      <c r="C336">
        <v>443.74050782935581</v>
      </c>
      <c r="D336">
        <v>0</v>
      </c>
      <c r="E336">
        <v>1247.9846324873531</v>
      </c>
      <c r="F336">
        <v>13800.199878950209</v>
      </c>
    </row>
    <row r="337" spans="1:6" x14ac:dyDescent="0.2">
      <c r="A337" s="2">
        <f t="shared" si="5"/>
        <v>53296</v>
      </c>
      <c r="B337">
        <v>1270.2522492058399</v>
      </c>
      <c r="C337">
        <v>454.18203125750904</v>
      </c>
      <c r="D337">
        <v>0</v>
      </c>
      <c r="E337">
        <v>1216.5431498228256</v>
      </c>
      <c r="F337">
        <v>13431.516933751256</v>
      </c>
    </row>
    <row r="338" spans="1:6" x14ac:dyDescent="0.2">
      <c r="A338" s="2">
        <f t="shared" si="5"/>
        <v>53327</v>
      </c>
      <c r="B338">
        <v>1368.9095407565933</v>
      </c>
      <c r="C338">
        <v>466.76915517790155</v>
      </c>
      <c r="D338">
        <v>0</v>
      </c>
      <c r="E338">
        <v>1193.2022786340244</v>
      </c>
      <c r="F338">
        <v>13171.39573344688</v>
      </c>
    </row>
    <row r="339" spans="1:6" x14ac:dyDescent="0.2">
      <c r="A339" s="2">
        <f t="shared" si="5"/>
        <v>53358</v>
      </c>
      <c r="B339">
        <v>1728.6668090205028</v>
      </c>
      <c r="C339">
        <v>525.339807003239</v>
      </c>
      <c r="D339">
        <v>0</v>
      </c>
      <c r="E339">
        <v>1190.6438900267979</v>
      </c>
      <c r="F339">
        <v>13214.468483198903</v>
      </c>
    </row>
    <row r="340" spans="1:6" x14ac:dyDescent="0.2">
      <c r="A340" s="2">
        <f t="shared" si="5"/>
        <v>53386</v>
      </c>
      <c r="B340">
        <v>1075.5620855181883</v>
      </c>
      <c r="C340">
        <v>416.84696674617209</v>
      </c>
      <c r="D340">
        <v>0</v>
      </c>
      <c r="E340">
        <v>1174.711468539319</v>
      </c>
      <c r="F340">
        <v>12728.961150582325</v>
      </c>
    </row>
    <row r="341" spans="1:6" x14ac:dyDescent="0.2">
      <c r="A341" s="2">
        <f t="shared" si="5"/>
        <v>53417</v>
      </c>
      <c r="B341">
        <v>1661.6104181432379</v>
      </c>
      <c r="C341">
        <v>504.38410575285121</v>
      </c>
      <c r="D341">
        <v>0</v>
      </c>
      <c r="E341">
        <v>1143.2847259993989</v>
      </c>
      <c r="F341">
        <v>12772.271569728429</v>
      </c>
    </row>
    <row r="342" spans="1:6" x14ac:dyDescent="0.2">
      <c r="A342" s="2">
        <f t="shared" si="5"/>
        <v>53447</v>
      </c>
      <c r="B342">
        <v>1192.0257282495686</v>
      </c>
      <c r="C342">
        <v>427.3351657892357</v>
      </c>
      <c r="D342">
        <v>0</v>
      </c>
      <c r="E342">
        <v>1134.6047696770513</v>
      </c>
      <c r="F342">
        <v>12431.826123017534</v>
      </c>
    </row>
    <row r="343" spans="1:6" x14ac:dyDescent="0.2">
      <c r="A343" s="2">
        <f t="shared" si="5"/>
        <v>53478</v>
      </c>
      <c r="B343">
        <v>1254.7436954607774</v>
      </c>
      <c r="C343">
        <v>430.27223891871131</v>
      </c>
      <c r="D343">
        <v>0</v>
      </c>
      <c r="E343">
        <v>1103.3989759592862</v>
      </c>
      <c r="F343">
        <v>12181.581873030431</v>
      </c>
    </row>
    <row r="344" spans="1:6" x14ac:dyDescent="0.2">
      <c r="A344" s="2">
        <f t="shared" si="5"/>
        <v>53508</v>
      </c>
      <c r="B344">
        <v>1027.0176576030128</v>
      </c>
      <c r="C344">
        <v>390.40721478324053</v>
      </c>
      <c r="D344">
        <v>0</v>
      </c>
      <c r="E344">
        <v>1087.8227955781049</v>
      </c>
      <c r="F344">
        <v>11758.475414892227</v>
      </c>
    </row>
    <row r="345" spans="1:6" x14ac:dyDescent="0.2">
      <c r="A345" s="2">
        <f t="shared" si="5"/>
        <v>53539</v>
      </c>
      <c r="B345">
        <v>1196.8588323848439</v>
      </c>
      <c r="C345">
        <v>413.18267641775128</v>
      </c>
      <c r="D345">
        <v>0</v>
      </c>
      <c r="E345">
        <v>1064.7887416965407</v>
      </c>
      <c r="F345">
        <v>11504.49251349678</v>
      </c>
    </row>
    <row r="346" spans="1:6" x14ac:dyDescent="0.2">
      <c r="A346" s="2">
        <f t="shared" si="5"/>
        <v>53570</v>
      </c>
      <c r="B346">
        <v>1263.1329795512595</v>
      </c>
      <c r="C346">
        <v>421.09554219372274</v>
      </c>
      <c r="D346">
        <v>0</v>
      </c>
      <c r="E346">
        <v>1048.8705927556402</v>
      </c>
      <c r="F346">
        <v>11324.203041637709</v>
      </c>
    </row>
    <row r="347" spans="1:6" x14ac:dyDescent="0.2">
      <c r="A347" s="2">
        <f t="shared" si="5"/>
        <v>53600</v>
      </c>
      <c r="B347">
        <v>1213.6718218259375</v>
      </c>
      <c r="C347">
        <v>413.39668598295071</v>
      </c>
      <c r="D347">
        <v>0</v>
      </c>
      <c r="E347">
        <v>1047.167809185964</v>
      </c>
      <c r="F347">
        <v>11103.438079840103</v>
      </c>
    </row>
    <row r="348" spans="1:6" x14ac:dyDescent="0.2">
      <c r="A348" s="2">
        <f t="shared" si="5"/>
        <v>53631</v>
      </c>
      <c r="B348">
        <v>1025.4989567338782</v>
      </c>
      <c r="C348">
        <v>381.66023754069607</v>
      </c>
      <c r="D348">
        <v>0</v>
      </c>
      <c r="E348">
        <v>1038.7486933981775</v>
      </c>
      <c r="F348">
        <v>10734.146458312609</v>
      </c>
    </row>
    <row r="349" spans="1:6" x14ac:dyDescent="0.2">
      <c r="A349" s="2">
        <f t="shared" si="5"/>
        <v>53661</v>
      </c>
      <c r="B349">
        <v>977.22789546581146</v>
      </c>
      <c r="C349">
        <v>367.90535283192418</v>
      </c>
      <c r="D349">
        <v>0</v>
      </c>
      <c r="E349">
        <v>1009.2420742230718</v>
      </c>
      <c r="F349">
        <v>10358.99323313081</v>
      </c>
    </row>
    <row r="350" spans="1:6" x14ac:dyDescent="0.2">
      <c r="A350" s="2">
        <f t="shared" si="5"/>
        <v>53692</v>
      </c>
      <c r="B350">
        <v>1084.3241843242786</v>
      </c>
      <c r="C350">
        <v>374.39452866732051</v>
      </c>
      <c r="D350">
        <v>0</v>
      </c>
      <c r="E350">
        <v>958.41359112596979</v>
      </c>
      <c r="F350">
        <v>10134.410033643027</v>
      </c>
    </row>
    <row r="351" spans="1:6" x14ac:dyDescent="0.2">
      <c r="A351" s="2">
        <f t="shared" si="5"/>
        <v>53723</v>
      </c>
      <c r="B351">
        <v>1310.925144024568</v>
      </c>
      <c r="C351">
        <v>406.15302433269073</v>
      </c>
      <c r="D351">
        <v>0</v>
      </c>
      <c r="E351">
        <v>935.18339834061771</v>
      </c>
      <c r="F351">
        <v>10127.525405193825</v>
      </c>
    </row>
    <row r="352" spans="1:6" x14ac:dyDescent="0.2">
      <c r="A352" s="2">
        <f t="shared" si="5"/>
        <v>53751</v>
      </c>
      <c r="B352">
        <v>772.76812930517951</v>
      </c>
      <c r="C352">
        <v>317.93001558539186</v>
      </c>
      <c r="D352">
        <v>0</v>
      </c>
      <c r="E352">
        <v>926.8339430318681</v>
      </c>
      <c r="F352">
        <v>9679.0402436763034</v>
      </c>
    </row>
    <row r="353" spans="1:6" x14ac:dyDescent="0.2">
      <c r="A353" s="2">
        <f t="shared" si="5"/>
        <v>53782</v>
      </c>
      <c r="B353">
        <v>1322.0297661777627</v>
      </c>
      <c r="C353">
        <v>401.39720215960006</v>
      </c>
      <c r="D353">
        <v>0</v>
      </c>
      <c r="E353">
        <v>903.77445429638942</v>
      </c>
      <c r="F353">
        <v>9718.3678798257879</v>
      </c>
    </row>
    <row r="354" spans="1:6" x14ac:dyDescent="0.2">
      <c r="A354" s="2">
        <f t="shared" si="5"/>
        <v>53812</v>
      </c>
      <c r="B354">
        <v>819.60230513277179</v>
      </c>
      <c r="C354">
        <v>317.33810288154325</v>
      </c>
      <c r="D354">
        <v>0</v>
      </c>
      <c r="E354">
        <v>888.71062604190558</v>
      </c>
      <c r="F354">
        <v>9354.482280085047</v>
      </c>
    </row>
    <row r="355" spans="1:6" x14ac:dyDescent="0.2">
      <c r="A355" s="2">
        <f t="shared" si="5"/>
        <v>53843</v>
      </c>
      <c r="B355">
        <v>1062.6151234258691</v>
      </c>
      <c r="C355">
        <v>352.88388458890773</v>
      </c>
      <c r="D355">
        <v>0</v>
      </c>
      <c r="E355">
        <v>872.96031118919518</v>
      </c>
      <c r="F355">
        <v>9212.9692851039345</v>
      </c>
    </row>
    <row r="356" spans="1:6" x14ac:dyDescent="0.2">
      <c r="A356" s="2">
        <f t="shared" si="5"/>
        <v>53873</v>
      </c>
      <c r="B356">
        <v>749.01067521320033</v>
      </c>
      <c r="C356">
        <v>299.27829913953013</v>
      </c>
      <c r="D356">
        <v>0</v>
      </c>
      <c r="E356">
        <v>858.08380253077348</v>
      </c>
      <c r="F356">
        <v>8826.0054189438979</v>
      </c>
    </row>
    <row r="357" spans="1:6" x14ac:dyDescent="0.2">
      <c r="A357" s="2">
        <f t="shared" si="5"/>
        <v>53904</v>
      </c>
      <c r="B357">
        <v>932.85460637754227</v>
      </c>
      <c r="C357">
        <v>325.96200828129662</v>
      </c>
      <c r="D357">
        <v>0</v>
      </c>
      <c r="E357">
        <v>842.44758195977568</v>
      </c>
      <c r="F357">
        <v>8610.9396733745871</v>
      </c>
    </row>
    <row r="358" spans="1:6" x14ac:dyDescent="0.2">
      <c r="A358" s="2">
        <f t="shared" si="5"/>
        <v>53935</v>
      </c>
      <c r="B358">
        <v>967.89129402209198</v>
      </c>
      <c r="C358">
        <v>323.3969971784465</v>
      </c>
      <c r="D358">
        <v>0</v>
      </c>
      <c r="E358">
        <v>806.15158977979524</v>
      </c>
      <c r="F358">
        <v>8469.2723517255927</v>
      </c>
    </row>
    <row r="359" spans="1:6" x14ac:dyDescent="0.2">
      <c r="A359" s="2">
        <f t="shared" si="5"/>
        <v>53965</v>
      </c>
      <c r="B359">
        <v>986.66599784237349</v>
      </c>
      <c r="C359">
        <v>326.7179322358503</v>
      </c>
      <c r="D359">
        <v>0</v>
      </c>
      <c r="E359">
        <v>804.72564368769133</v>
      </c>
      <c r="F359">
        <v>8344.1558695939912</v>
      </c>
    </row>
    <row r="360" spans="1:6" x14ac:dyDescent="0.2">
      <c r="A360" s="2">
        <f t="shared" si="5"/>
        <v>53996</v>
      </c>
      <c r="B360">
        <v>748.65713194007708</v>
      </c>
      <c r="C360">
        <v>287.03448680076747</v>
      </c>
      <c r="D360">
        <v>0</v>
      </c>
      <c r="E360">
        <v>796.72623930904285</v>
      </c>
      <c r="F360">
        <v>8028.4229181851642</v>
      </c>
    </row>
    <row r="361" spans="1:6" x14ac:dyDescent="0.2">
      <c r="A361" s="2">
        <f t="shared" si="5"/>
        <v>54026</v>
      </c>
      <c r="B361">
        <v>716.04110767626617</v>
      </c>
      <c r="C361">
        <v>275.70355801084901</v>
      </c>
      <c r="D361">
        <v>0</v>
      </c>
      <c r="E361">
        <v>768.14142069045943</v>
      </c>
      <c r="F361">
        <v>7719.2567277969838</v>
      </c>
    </row>
    <row r="362" spans="1:6" x14ac:dyDescent="0.2">
      <c r="A362" s="2">
        <f t="shared" si="5"/>
        <v>54057</v>
      </c>
      <c r="B362">
        <v>773.1318306483347</v>
      </c>
      <c r="C362">
        <v>277.30397325322224</v>
      </c>
      <c r="D362">
        <v>0</v>
      </c>
      <c r="E362">
        <v>731.54843226425282</v>
      </c>
      <c r="F362">
        <v>7501.4561159283994</v>
      </c>
    </row>
    <row r="363" spans="1:6" x14ac:dyDescent="0.2">
      <c r="A363" s="2">
        <f t="shared" si="5"/>
        <v>54088</v>
      </c>
      <c r="B363">
        <v>963.22720290858535</v>
      </c>
      <c r="C363">
        <v>303.05074268404877</v>
      </c>
      <c r="D363">
        <v>0</v>
      </c>
      <c r="E363">
        <v>708.62308089938188</v>
      </c>
      <c r="F363">
        <v>7470.6297812042876</v>
      </c>
    </row>
    <row r="364" spans="1:6" x14ac:dyDescent="0.2">
      <c r="A364" s="2">
        <f t="shared" si="5"/>
        <v>54117</v>
      </c>
      <c r="B364">
        <v>591.80565028866727</v>
      </c>
      <c r="C364">
        <v>241.70678578581325</v>
      </c>
      <c r="D364">
        <v>0</v>
      </c>
      <c r="E364">
        <v>701.02593147314258</v>
      </c>
      <c r="F364">
        <v>7137.2505917317212</v>
      </c>
    </row>
    <row r="365" spans="1:6" x14ac:dyDescent="0.2">
      <c r="A365" s="2">
        <f t="shared" si="5"/>
        <v>54148</v>
      </c>
      <c r="B365">
        <v>1045.4311442789863</v>
      </c>
      <c r="C365">
        <v>309.70832025396152</v>
      </c>
      <c r="D365">
        <v>0</v>
      </c>
      <c r="E365">
        <v>678.47204304071454</v>
      </c>
      <c r="F365">
        <v>7211.2661706945628</v>
      </c>
    </row>
    <row r="366" spans="1:6" x14ac:dyDescent="0.2">
      <c r="A366" s="2">
        <f t="shared" si="5"/>
        <v>54178</v>
      </c>
      <c r="B366">
        <v>478.40638469949442</v>
      </c>
      <c r="C366">
        <v>213.48712222210571</v>
      </c>
      <c r="D366">
        <v>0</v>
      </c>
      <c r="E366">
        <v>656.9488667986343</v>
      </c>
      <c r="F366">
        <v>6836.1752206866677</v>
      </c>
    </row>
    <row r="367" spans="1:6" x14ac:dyDescent="0.2">
      <c r="A367" s="2">
        <f t="shared" si="5"/>
        <v>54209</v>
      </c>
      <c r="B367">
        <v>711.33856057794014</v>
      </c>
      <c r="C367">
        <v>245.78960533438902</v>
      </c>
      <c r="D367">
        <v>0</v>
      </c>
      <c r="E367">
        <v>635.39625966606513</v>
      </c>
      <c r="F367">
        <v>6682.385513660749</v>
      </c>
    </row>
    <row r="368" spans="1:6" x14ac:dyDescent="0.2">
      <c r="A368" s="2">
        <f t="shared" si="5"/>
        <v>54239</v>
      </c>
      <c r="B368">
        <v>601.49205751775764</v>
      </c>
      <c r="C368">
        <v>226.59442121074355</v>
      </c>
      <c r="D368">
        <v>0</v>
      </c>
      <c r="E368">
        <v>627.73519232209162</v>
      </c>
      <c r="F368">
        <v>6445.2443160278435</v>
      </c>
    </row>
    <row r="369" spans="1:6" x14ac:dyDescent="0.2">
      <c r="A369" s="2">
        <f t="shared" si="5"/>
        <v>54270</v>
      </c>
      <c r="B369">
        <v>788.00519509424726</v>
      </c>
      <c r="C369">
        <v>253.74466253136501</v>
      </c>
      <c r="D369">
        <v>0</v>
      </c>
      <c r="E369">
        <v>612.91513481413097</v>
      </c>
      <c r="F369">
        <v>6381.729047542688</v>
      </c>
    </row>
    <row r="370" spans="1:6" x14ac:dyDescent="0.2">
      <c r="A370" s="2">
        <f t="shared" si="5"/>
        <v>54301</v>
      </c>
      <c r="B370">
        <v>606.04727878689744</v>
      </c>
      <c r="C370">
        <v>219.81835745752915</v>
      </c>
      <c r="D370">
        <v>0</v>
      </c>
      <c r="E370">
        <v>591.50631240028474</v>
      </c>
      <c r="F370">
        <v>6191.4417982442537</v>
      </c>
    </row>
    <row r="371" spans="1:6" x14ac:dyDescent="0.2">
      <c r="A371" s="2">
        <f t="shared" si="5"/>
        <v>54331</v>
      </c>
      <c r="B371">
        <v>682.0514996089197</v>
      </c>
      <c r="C371">
        <v>228.86405757657593</v>
      </c>
      <c r="D371">
        <v>0</v>
      </c>
      <c r="E371">
        <v>576.6378031972439</v>
      </c>
      <c r="F371">
        <v>6082.5346101975347</v>
      </c>
    </row>
    <row r="372" spans="1:6" x14ac:dyDescent="0.2">
      <c r="A372" s="2">
        <f t="shared" si="5"/>
        <v>54362</v>
      </c>
      <c r="B372">
        <v>517.43956040853095</v>
      </c>
      <c r="C372">
        <v>199.24690531745415</v>
      </c>
      <c r="D372">
        <v>0</v>
      </c>
      <c r="E372">
        <v>562.25857282374523</v>
      </c>
      <c r="F372">
        <v>5852.7560518095825</v>
      </c>
    </row>
    <row r="373" spans="1:6" x14ac:dyDescent="0.2">
      <c r="A373" s="2">
        <f t="shared" si="5"/>
        <v>54392</v>
      </c>
      <c r="B373">
        <v>455.22716452673859</v>
      </c>
      <c r="C373">
        <v>186.54730552123024</v>
      </c>
      <c r="D373">
        <v>0</v>
      </c>
      <c r="E373">
        <v>547.97402886792349</v>
      </c>
      <c r="F373">
        <v>5587.2095108926724</v>
      </c>
    </row>
    <row r="374" spans="1:6" x14ac:dyDescent="0.2">
      <c r="A374" s="2">
        <f t="shared" si="5"/>
        <v>54423</v>
      </c>
      <c r="B374">
        <v>626.69870756798457</v>
      </c>
      <c r="C374">
        <v>210.03916396577662</v>
      </c>
      <c r="D374">
        <v>0</v>
      </c>
      <c r="E374">
        <v>526.70445800624032</v>
      </c>
      <c r="F374">
        <v>5490.288479069186</v>
      </c>
    </row>
    <row r="375" spans="1:6" x14ac:dyDescent="0.2">
      <c r="A375" s="2">
        <f t="shared" si="5"/>
        <v>54454</v>
      </c>
      <c r="B375">
        <v>842.19956682705765</v>
      </c>
      <c r="C375">
        <v>245.15173155000625</v>
      </c>
      <c r="D375">
        <v>0</v>
      </c>
      <c r="E375">
        <v>525.38550645870521</v>
      </c>
      <c r="F375">
        <v>5574.9477870537521</v>
      </c>
    </row>
    <row r="376" spans="1:6" x14ac:dyDescent="0.2">
      <c r="A376" s="2">
        <f t="shared" si="5"/>
        <v>54482</v>
      </c>
      <c r="B376">
        <v>458.7993407086384</v>
      </c>
      <c r="C376">
        <v>183.61691072477478</v>
      </c>
      <c r="D376">
        <v>0</v>
      </c>
      <c r="E376">
        <v>524.80045809390026</v>
      </c>
      <c r="F376">
        <v>5338.5271493025894</v>
      </c>
    </row>
    <row r="377" spans="1:6" x14ac:dyDescent="0.2">
      <c r="A377" s="2">
        <f t="shared" si="5"/>
        <v>54513</v>
      </c>
      <c r="B377">
        <v>771.25438931241047</v>
      </c>
      <c r="C377">
        <v>230.75697016807575</v>
      </c>
      <c r="D377">
        <v>0</v>
      </c>
      <c r="E377">
        <v>510.10822188972605</v>
      </c>
      <c r="F377">
        <v>5381.5540661237146</v>
      </c>
    </row>
    <row r="378" spans="1:6" x14ac:dyDescent="0.2">
      <c r="A378" s="2">
        <f t="shared" si="5"/>
        <v>54543</v>
      </c>
      <c r="B378">
        <v>387.55234943495486</v>
      </c>
      <c r="C378">
        <v>169.11239672063385</v>
      </c>
      <c r="D378">
        <v>0</v>
      </c>
      <c r="E378">
        <v>509.6425805082099</v>
      </c>
      <c r="F378">
        <v>5103.091014100014</v>
      </c>
    </row>
    <row r="379" spans="1:6" x14ac:dyDescent="0.2">
      <c r="A379" s="2">
        <f t="shared" si="5"/>
        <v>54574</v>
      </c>
      <c r="B379">
        <v>606.18434606180563</v>
      </c>
      <c r="C379">
        <v>204.16291681163892</v>
      </c>
      <c r="D379">
        <v>0</v>
      </c>
      <c r="E379">
        <v>508.73257134439308</v>
      </c>
      <c r="F379">
        <v>5008.4602513604241</v>
      </c>
    </row>
    <row r="380" spans="1:6" x14ac:dyDescent="0.2">
      <c r="A380" s="2">
        <f t="shared" si="5"/>
        <v>54604</v>
      </c>
      <c r="B380">
        <v>515.0247840182584</v>
      </c>
      <c r="C380">
        <v>187.94847011211507</v>
      </c>
      <c r="D380">
        <v>0</v>
      </c>
      <c r="E380">
        <v>501.29990239887906</v>
      </c>
      <c r="F380">
        <v>4846.0930259331162</v>
      </c>
    </row>
    <row r="381" spans="1:6" x14ac:dyDescent="0.2">
      <c r="A381" s="2">
        <f t="shared" si="5"/>
        <v>54635</v>
      </c>
      <c r="B381">
        <v>621.41717330267227</v>
      </c>
      <c r="C381">
        <v>203.89488510187354</v>
      </c>
      <c r="D381">
        <v>0</v>
      </c>
      <c r="E381">
        <v>493.61886711795</v>
      </c>
      <c r="F381">
        <v>4781.4684434940618</v>
      </c>
    </row>
    <row r="382" spans="1:6" x14ac:dyDescent="0.2">
      <c r="A382" s="2">
        <f t="shared" si="5"/>
        <v>54666</v>
      </c>
      <c r="B382">
        <v>527.35670133937833</v>
      </c>
      <c r="C382">
        <v>187.39600158904005</v>
      </c>
      <c r="D382">
        <v>0</v>
      </c>
      <c r="E382">
        <v>486.19505585764398</v>
      </c>
      <c r="F382">
        <v>4646.5531002184007</v>
      </c>
    </row>
    <row r="383" spans="1:6" x14ac:dyDescent="0.2">
      <c r="A383" s="2">
        <f t="shared" si="5"/>
        <v>54696</v>
      </c>
      <c r="B383">
        <v>428.22087822359327</v>
      </c>
      <c r="C383">
        <v>168.38562642631891</v>
      </c>
      <c r="D383">
        <v>0</v>
      </c>
      <c r="E383">
        <v>472.12117762453124</v>
      </c>
      <c r="F383">
        <v>4445.2668065723119</v>
      </c>
    </row>
    <row r="384" spans="1:6" x14ac:dyDescent="0.2">
      <c r="A384" s="2">
        <f t="shared" si="5"/>
        <v>54727</v>
      </c>
      <c r="B384">
        <v>351.47906667754603</v>
      </c>
      <c r="C384">
        <v>151.13478251691845</v>
      </c>
      <c r="D384">
        <v>0</v>
      </c>
      <c r="E384">
        <v>451.50971671015918</v>
      </c>
      <c r="F384">
        <v>4204.6245077877084</v>
      </c>
    </row>
    <row r="385" spans="1:6" x14ac:dyDescent="0.2">
      <c r="A385" s="2">
        <f t="shared" si="5"/>
        <v>54757</v>
      </c>
      <c r="B385">
        <v>381.43764906847844</v>
      </c>
      <c r="C385">
        <v>154.87065988524091</v>
      </c>
      <c r="D385">
        <v>0</v>
      </c>
      <c r="E385">
        <v>444.35715447142957</v>
      </c>
      <c r="F385">
        <v>3996.7878116729175</v>
      </c>
    </row>
    <row r="386" spans="1:6" x14ac:dyDescent="0.2">
      <c r="A386" s="2">
        <f t="shared" si="5"/>
        <v>54788</v>
      </c>
      <c r="B386">
        <v>570.72093749187286</v>
      </c>
      <c r="C386">
        <v>186.145901053617</v>
      </c>
      <c r="D386">
        <v>0</v>
      </c>
      <c r="E386">
        <v>443.48146865944301</v>
      </c>
      <c r="F386">
        <v>3947.3428436567774</v>
      </c>
    </row>
    <row r="387" spans="1:6" x14ac:dyDescent="0.2">
      <c r="A387" s="2">
        <f t="shared" si="5"/>
        <v>54819</v>
      </c>
      <c r="B387">
        <v>659.69649414435298</v>
      </c>
      <c r="C387">
        <v>194.1034422720885</v>
      </c>
      <c r="D387">
        <v>0</v>
      </c>
      <c r="E387">
        <v>415.24192087009726</v>
      </c>
      <c r="F387">
        <v>4007.0858202842687</v>
      </c>
    </row>
    <row r="388" spans="1:6" x14ac:dyDescent="0.2">
      <c r="A388" s="2">
        <f t="shared" si="5"/>
        <v>54847</v>
      </c>
      <c r="B388">
        <v>340.54621350618686</v>
      </c>
      <c r="C388">
        <v>141.23379173491762</v>
      </c>
      <c r="D388">
        <v>0</v>
      </c>
      <c r="E388">
        <v>408.13697301858457</v>
      </c>
      <c r="F388">
        <v>3807.7952601094571</v>
      </c>
    </row>
    <row r="389" spans="1:6" x14ac:dyDescent="0.2">
      <c r="A389" s="2">
        <f t="shared" si="5"/>
        <v>54878</v>
      </c>
      <c r="B389">
        <v>644.03984681839711</v>
      </c>
      <c r="C389">
        <v>190.22204497276638</v>
      </c>
      <c r="D389">
        <v>0</v>
      </c>
      <c r="E389">
        <v>407.10187421584686</v>
      </c>
      <c r="F389">
        <v>3863.5710101747986</v>
      </c>
    </row>
    <row r="390" spans="1:6" x14ac:dyDescent="0.2">
      <c r="A390" s="2">
        <f t="shared" ref="A390:A453" si="6">DATE(YEAR(A389),MONTH(A389)+2,1)-1</f>
        <v>54908</v>
      </c>
      <c r="B390">
        <v>316.50756107076865</v>
      </c>
      <c r="C390">
        <v>137.61721682762345</v>
      </c>
      <c r="D390">
        <v>0</v>
      </c>
      <c r="E390">
        <v>406.71129697822141</v>
      </c>
      <c r="F390">
        <v>3644.9425861678392</v>
      </c>
    </row>
    <row r="391" spans="1:6" x14ac:dyDescent="0.2">
      <c r="A391" s="2">
        <f t="shared" si="6"/>
        <v>54939</v>
      </c>
      <c r="B391">
        <v>346.07879987160322</v>
      </c>
      <c r="C391">
        <v>137.43735142838401</v>
      </c>
      <c r="D391">
        <v>0</v>
      </c>
      <c r="E391">
        <v>386.37604410553985</v>
      </c>
      <c r="F391">
        <v>3475.8803403464935</v>
      </c>
    </row>
    <row r="392" spans="1:6" x14ac:dyDescent="0.2">
      <c r="A392" s="2">
        <f t="shared" si="6"/>
        <v>54969</v>
      </c>
      <c r="B392">
        <v>352.85802865387689</v>
      </c>
      <c r="C392">
        <v>136.9501009867308</v>
      </c>
      <c r="D392">
        <v>0</v>
      </c>
      <c r="E392">
        <v>379.24684659974889</v>
      </c>
      <c r="F392">
        <v>3320.8115243316256</v>
      </c>
    </row>
    <row r="393" spans="1:6" x14ac:dyDescent="0.2">
      <c r="A393" s="2">
        <f t="shared" si="6"/>
        <v>55000</v>
      </c>
      <c r="B393">
        <v>529.01820045236934</v>
      </c>
      <c r="C393">
        <v>162.40222092805948</v>
      </c>
      <c r="D393">
        <v>0</v>
      </c>
      <c r="E393">
        <v>365.22861326822277</v>
      </c>
      <c r="F393">
        <v>3330.1000409115172</v>
      </c>
    </row>
    <row r="394" spans="1:6" x14ac:dyDescent="0.2">
      <c r="A394" s="2">
        <f t="shared" si="6"/>
        <v>55031</v>
      </c>
      <c r="B394">
        <v>401.13625500486671</v>
      </c>
      <c r="C394">
        <v>142.12608877048572</v>
      </c>
      <c r="D394">
        <v>0</v>
      </c>
      <c r="E394">
        <v>364.64988008396881</v>
      </c>
      <c r="F394">
        <v>3232.3835773950959</v>
      </c>
    </row>
    <row r="395" spans="1:6" x14ac:dyDescent="0.2">
      <c r="A395" s="2">
        <f t="shared" si="6"/>
        <v>55061</v>
      </c>
      <c r="B395">
        <v>305.38700104894758</v>
      </c>
      <c r="C395">
        <v>125.30325218453562</v>
      </c>
      <c r="D395">
        <v>0</v>
      </c>
      <c r="E395">
        <v>357.6741868219957</v>
      </c>
      <c r="F395">
        <v>3062.4838946526338</v>
      </c>
    </row>
    <row r="396" spans="1:6" x14ac:dyDescent="0.2">
      <c r="A396" s="2">
        <f t="shared" si="6"/>
        <v>55092</v>
      </c>
      <c r="B396">
        <v>289.69019008783619</v>
      </c>
      <c r="C396">
        <v>122.72650711436222</v>
      </c>
      <c r="D396">
        <v>0</v>
      </c>
      <c r="E396">
        <v>357.28374233544531</v>
      </c>
      <c r="F396">
        <v>2879.4503510831396</v>
      </c>
    </row>
    <row r="397" spans="1:6" x14ac:dyDescent="0.2">
      <c r="A397" s="2">
        <f t="shared" si="6"/>
        <v>55122</v>
      </c>
      <c r="B397">
        <v>304.06494393917802</v>
      </c>
      <c r="C397">
        <v>120.61017036329366</v>
      </c>
      <c r="D397">
        <v>0</v>
      </c>
      <c r="E397">
        <v>337.12743207277589</v>
      </c>
      <c r="F397">
        <v>2732.6287197846127</v>
      </c>
    </row>
    <row r="398" spans="1:6" x14ac:dyDescent="0.2">
      <c r="A398" s="2">
        <f t="shared" si="6"/>
        <v>55153</v>
      </c>
      <c r="B398">
        <v>473.23180143495642</v>
      </c>
      <c r="C398">
        <v>145.35095345138944</v>
      </c>
      <c r="D398">
        <v>0</v>
      </c>
      <c r="E398">
        <v>323.22778052452696</v>
      </c>
      <c r="F398">
        <v>2743.7834842342722</v>
      </c>
    </row>
    <row r="399" spans="1:6" x14ac:dyDescent="0.2">
      <c r="A399" s="2">
        <f t="shared" si="6"/>
        <v>55184</v>
      </c>
      <c r="B399">
        <v>339.72344821484836</v>
      </c>
      <c r="C399">
        <v>117.62293131884101</v>
      </c>
      <c r="D399">
        <v>0</v>
      </c>
      <c r="E399">
        <v>296.15647326124986</v>
      </c>
      <c r="F399">
        <v>2676.2974157872723</v>
      </c>
    </row>
    <row r="400" spans="1:6" x14ac:dyDescent="0.2">
      <c r="A400" s="2">
        <f t="shared" si="6"/>
        <v>55212</v>
      </c>
      <c r="B400">
        <v>271.93344555763446</v>
      </c>
      <c r="C400">
        <v>106.70132110190436</v>
      </c>
      <c r="D400">
        <v>0</v>
      </c>
      <c r="E400">
        <v>295.77822223149559</v>
      </c>
      <c r="F400">
        <v>2552.1596130386611</v>
      </c>
    </row>
    <row r="401" spans="1:6" x14ac:dyDescent="0.2">
      <c r="A401" s="2">
        <f t="shared" si="6"/>
        <v>55243</v>
      </c>
      <c r="B401">
        <v>401.71635578888805</v>
      </c>
      <c r="C401">
        <v>121.40661893610582</v>
      </c>
      <c r="D401">
        <v>0</v>
      </c>
      <c r="E401">
        <v>269.13298071421184</v>
      </c>
      <c r="F401">
        <v>2569.4474208339961</v>
      </c>
    </row>
    <row r="402" spans="1:6" x14ac:dyDescent="0.2">
      <c r="A402" s="2">
        <f t="shared" si="6"/>
        <v>55273</v>
      </c>
      <c r="B402">
        <v>212.598728763015</v>
      </c>
      <c r="C402">
        <v>91.049536587580334</v>
      </c>
      <c r="D402">
        <v>0</v>
      </c>
      <c r="E402">
        <v>268.86270816471</v>
      </c>
      <c r="F402">
        <v>2428.2863515168783</v>
      </c>
    </row>
    <row r="403" spans="1:6" x14ac:dyDescent="0.2">
      <c r="A403" s="2">
        <f t="shared" si="6"/>
        <v>55304</v>
      </c>
      <c r="B403">
        <v>270.50047104250967</v>
      </c>
      <c r="C403">
        <v>100.20967456545883</v>
      </c>
      <c r="D403">
        <v>0</v>
      </c>
      <c r="E403">
        <v>268.46532384637976</v>
      </c>
      <c r="F403">
        <v>2335.9262658680923</v>
      </c>
    </row>
    <row r="404" spans="1:6" x14ac:dyDescent="0.2">
      <c r="A404" s="2">
        <f t="shared" si="6"/>
        <v>55334</v>
      </c>
      <c r="B404">
        <v>255.65160546916854</v>
      </c>
      <c r="C404">
        <v>97.877938712544065</v>
      </c>
      <c r="D404">
        <v>0</v>
      </c>
      <c r="E404">
        <v>268.10060819734144</v>
      </c>
      <c r="F404">
        <v>2231.1926133440179</v>
      </c>
    </row>
    <row r="405" spans="1:6" x14ac:dyDescent="0.2">
      <c r="A405" s="2">
        <f t="shared" si="6"/>
        <v>55365</v>
      </c>
      <c r="B405">
        <v>289.46723122259914</v>
      </c>
      <c r="C405">
        <v>100.48358905408219</v>
      </c>
      <c r="D405">
        <v>0</v>
      </c>
      <c r="E405">
        <v>254.59748019127696</v>
      </c>
      <c r="F405">
        <v>2170.9212833864581</v>
      </c>
    </row>
    <row r="406" spans="1:6" x14ac:dyDescent="0.2">
      <c r="A406" s="2">
        <f t="shared" si="6"/>
        <v>55396</v>
      </c>
      <c r="B406">
        <v>253.52856540570983</v>
      </c>
      <c r="C406">
        <v>93.382698917668421</v>
      </c>
      <c r="D406">
        <v>0</v>
      </c>
      <c r="E406">
        <v>247.70473546476074</v>
      </c>
      <c r="F406">
        <v>2088.5606050079168</v>
      </c>
    </row>
    <row r="407" spans="1:6" x14ac:dyDescent="0.2">
      <c r="A407" s="2">
        <f t="shared" si="6"/>
        <v>55426</v>
      </c>
      <c r="B407">
        <v>224.5443112347578</v>
      </c>
      <c r="C407">
        <v>88.874499110796549</v>
      </c>
      <c r="D407">
        <v>0</v>
      </c>
      <c r="E407">
        <v>247.38898422279513</v>
      </c>
      <c r="F407">
        <v>1981.8424139136707</v>
      </c>
    </row>
    <row r="408" spans="1:6" x14ac:dyDescent="0.2">
      <c r="A408" s="2">
        <f t="shared" si="6"/>
        <v>55457</v>
      </c>
      <c r="B408">
        <v>187.9917851665214</v>
      </c>
      <c r="C408">
        <v>82.998109470667075</v>
      </c>
      <c r="D408">
        <v>0</v>
      </c>
      <c r="E408">
        <v>247.13960878549489</v>
      </c>
      <c r="F408">
        <v>1844.4419290730818</v>
      </c>
    </row>
    <row r="409" spans="1:6" x14ac:dyDescent="0.2">
      <c r="A409" s="2">
        <f t="shared" si="6"/>
        <v>55487</v>
      </c>
      <c r="B409">
        <v>252.09969103085035</v>
      </c>
      <c r="C409">
        <v>90.356861015704339</v>
      </c>
      <c r="D409">
        <v>0</v>
      </c>
      <c r="E409">
        <v>233.82932218108067</v>
      </c>
      <c r="F409">
        <v>1776.7718847848128</v>
      </c>
    </row>
    <row r="410" spans="1:6" x14ac:dyDescent="0.2">
      <c r="A410" s="22">
        <f t="shared" si="6"/>
        <v>55518</v>
      </c>
      <c r="B410">
        <v>387.93744050304525</v>
      </c>
      <c r="C410">
        <v>109.67220792682997</v>
      </c>
      <c r="D410">
        <v>0</v>
      </c>
      <c r="E410">
        <v>220.25842564296698</v>
      </c>
      <c r="F410">
        <v>1839.0331061812999</v>
      </c>
    </row>
    <row r="411" spans="1:6" x14ac:dyDescent="0.2">
      <c r="A411" s="2">
        <f t="shared" si="6"/>
        <v>55549</v>
      </c>
      <c r="B411">
        <v>265.65548075934186</v>
      </c>
      <c r="C411">
        <v>88.513169963726881</v>
      </c>
      <c r="D411">
        <v>0</v>
      </c>
      <c r="E411">
        <v>213.46745626301791</v>
      </c>
      <c r="F411">
        <v>1807.138772211008</v>
      </c>
    </row>
    <row r="412" spans="1:6" x14ac:dyDescent="0.2">
      <c r="A412" s="2">
        <f t="shared" si="6"/>
        <v>55578</v>
      </c>
      <c r="B412">
        <v>199.87141364497271</v>
      </c>
      <c r="C412">
        <v>76.357403189087279</v>
      </c>
      <c r="D412">
        <v>0</v>
      </c>
      <c r="E412">
        <v>206.79406476384875</v>
      </c>
      <c r="F412">
        <v>1728.2126858777776</v>
      </c>
    </row>
    <row r="413" spans="1:6" x14ac:dyDescent="0.2">
      <c r="A413" s="2">
        <f t="shared" si="6"/>
        <v>55609</v>
      </c>
      <c r="B413">
        <v>354.35564587994611</v>
      </c>
      <c r="C413">
        <v>101.21193213160055</v>
      </c>
      <c r="D413">
        <v>0</v>
      </c>
      <c r="E413">
        <v>206.20416126483491</v>
      </c>
      <c r="F413">
        <v>1779.3160484701452</v>
      </c>
    </row>
    <row r="414" spans="1:6" x14ac:dyDescent="0.2">
      <c r="A414" s="2">
        <f t="shared" si="6"/>
        <v>55639</v>
      </c>
      <c r="B414">
        <v>128.48576075885663</v>
      </c>
      <c r="C414">
        <v>63.414747026496883</v>
      </c>
      <c r="D414">
        <v>0</v>
      </c>
      <c r="E414">
        <v>199.67951021041242</v>
      </c>
      <c r="F414">
        <v>1648.9944862392551</v>
      </c>
    </row>
    <row r="415" spans="1:6" x14ac:dyDescent="0.2">
      <c r="A415" s="2">
        <f t="shared" si="6"/>
        <v>55670</v>
      </c>
      <c r="B415">
        <v>220.13127954349835</v>
      </c>
      <c r="C415">
        <v>78.008504589337718</v>
      </c>
      <c r="D415">
        <v>0</v>
      </c>
      <c r="E415">
        <v>199.34014703131351</v>
      </c>
      <c r="F415">
        <v>1595.7500626118851</v>
      </c>
    </row>
    <row r="416" spans="1:6" x14ac:dyDescent="0.2">
      <c r="A416" s="2">
        <f t="shared" si="6"/>
        <v>55700</v>
      </c>
      <c r="B416">
        <v>184.65563154432374</v>
      </c>
      <c r="C416">
        <v>70.814918004984889</v>
      </c>
      <c r="D416">
        <v>0</v>
      </c>
      <c r="E416">
        <v>192.70031537949134</v>
      </c>
      <c r="F416">
        <v>1520.7351265910543</v>
      </c>
    </row>
    <row r="417" spans="1:6" x14ac:dyDescent="0.2">
      <c r="A417" s="2">
        <f t="shared" si="6"/>
        <v>55731</v>
      </c>
      <c r="B417">
        <v>134.62405094055117</v>
      </c>
      <c r="C417">
        <v>59.960461193807575</v>
      </c>
      <c r="D417">
        <v>0</v>
      </c>
      <c r="E417">
        <v>179.72874130443356</v>
      </c>
      <c r="F417">
        <v>1419.3339061830063</v>
      </c>
    </row>
    <row r="418" spans="1:6" x14ac:dyDescent="0.2">
      <c r="A418" s="2">
        <f t="shared" si="6"/>
        <v>55762</v>
      </c>
      <c r="B418">
        <v>141.35527477441389</v>
      </c>
      <c r="C418">
        <v>59.731133285867557</v>
      </c>
      <c r="D418">
        <v>0</v>
      </c>
      <c r="E418">
        <v>173.1955224142732</v>
      </c>
      <c r="F418">
        <v>1331.182148845684</v>
      </c>
    </row>
    <row r="419" spans="1:6" x14ac:dyDescent="0.2">
      <c r="A419" s="2">
        <f t="shared" si="6"/>
        <v>55792</v>
      </c>
      <c r="B419">
        <v>154.91908103961262</v>
      </c>
      <c r="C419">
        <v>62.07144936690031</v>
      </c>
      <c r="D419">
        <v>0</v>
      </c>
      <c r="E419">
        <v>172.97214947789169</v>
      </c>
      <c r="F419">
        <v>1254.2648692082289</v>
      </c>
    </row>
    <row r="420" spans="1:6" x14ac:dyDescent="0.2">
      <c r="A420" s="2">
        <f t="shared" si="6"/>
        <v>55823</v>
      </c>
      <c r="B420">
        <v>119.59419086399551</v>
      </c>
      <c r="C420">
        <v>56.425825745491707</v>
      </c>
      <c r="D420">
        <v>0</v>
      </c>
      <c r="E420">
        <v>172.81737065087077</v>
      </c>
      <c r="F420">
        <v>1147.6377838273979</v>
      </c>
    </row>
    <row r="421" spans="1:6" x14ac:dyDescent="0.2">
      <c r="A421" s="2">
        <f t="shared" si="6"/>
        <v>55853</v>
      </c>
      <c r="B421">
        <v>188.97342426279965</v>
      </c>
      <c r="C421">
        <v>66.140418069949035</v>
      </c>
      <c r="D421">
        <v>0</v>
      </c>
      <c r="E421">
        <v>166.19289617564291</v>
      </c>
      <c r="F421">
        <v>1107.0429156759201</v>
      </c>
    </row>
    <row r="422" spans="1:6" x14ac:dyDescent="0.2">
      <c r="A422" s="2">
        <f t="shared" si="6"/>
        <v>55884</v>
      </c>
      <c r="B422">
        <v>334.85006008461517</v>
      </c>
      <c r="C422">
        <v>88.545653696948662</v>
      </c>
      <c r="D422">
        <v>0</v>
      </c>
      <c r="E422">
        <v>159.2648822101271</v>
      </c>
      <c r="F422">
        <v>1196.7496558280304</v>
      </c>
    </row>
    <row r="423" spans="1:6" x14ac:dyDescent="0.2">
      <c r="A423" s="2">
        <f t="shared" si="6"/>
        <v>55915</v>
      </c>
      <c r="B423">
        <v>209.28000987307723</v>
      </c>
      <c r="C423">
        <v>68.391486459744925</v>
      </c>
      <c r="D423">
        <v>0</v>
      </c>
      <c r="E423">
        <v>158.94447067026971</v>
      </c>
      <c r="F423">
        <v>1181.6011404740818</v>
      </c>
    </row>
    <row r="424" spans="1:6" x14ac:dyDescent="0.2">
      <c r="A424" s="2">
        <f t="shared" si="6"/>
        <v>55943</v>
      </c>
      <c r="B424">
        <v>125.37297470895808</v>
      </c>
      <c r="C424">
        <v>54.868675919391464</v>
      </c>
      <c r="D424">
        <v>0</v>
      </c>
      <c r="E424">
        <v>158.77659556625167</v>
      </c>
      <c r="F424">
        <v>1096.1994731859393</v>
      </c>
    </row>
    <row r="425" spans="1:6" x14ac:dyDescent="0.2">
      <c r="A425" s="2">
        <f t="shared" si="6"/>
        <v>55974</v>
      </c>
      <c r="B425">
        <v>200.90271513350012</v>
      </c>
      <c r="C425">
        <v>64.033072369291673</v>
      </c>
      <c r="D425">
        <v>0</v>
      </c>
      <c r="E425">
        <v>145.86271043706591</v>
      </c>
      <c r="F425">
        <v>1089.8695567451375</v>
      </c>
    </row>
    <row r="426" spans="1:6" x14ac:dyDescent="0.2">
      <c r="A426" s="2">
        <f t="shared" si="6"/>
        <v>56004</v>
      </c>
      <c r="B426">
        <v>103.9999554297349</v>
      </c>
      <c r="C426">
        <v>48.435113585746052</v>
      </c>
      <c r="D426">
        <v>0</v>
      </c>
      <c r="E426">
        <v>145.73064111083568</v>
      </c>
      <c r="F426">
        <v>1002.3515305559315</v>
      </c>
    </row>
    <row r="427" spans="1:6" x14ac:dyDescent="0.2">
      <c r="A427" s="2">
        <f t="shared" si="6"/>
        <v>56035</v>
      </c>
      <c r="B427">
        <v>179.24822377905113</v>
      </c>
      <c r="C427">
        <v>60.415942533808554</v>
      </c>
      <c r="D427">
        <v>0</v>
      </c>
      <c r="E427">
        <v>145.44385408295307</v>
      </c>
      <c r="F427">
        <v>978.17511097166539</v>
      </c>
    </row>
    <row r="428" spans="1:6" x14ac:dyDescent="0.2">
      <c r="A428" s="2">
        <f t="shared" si="6"/>
        <v>56065</v>
      </c>
      <c r="B428">
        <v>144.9779868416197</v>
      </c>
      <c r="C428">
        <v>54.926779618455932</v>
      </c>
      <c r="D428">
        <v>0</v>
      </c>
      <c r="E428">
        <v>145.22968129421034</v>
      </c>
      <c r="F428">
        <v>925.37305498480134</v>
      </c>
    </row>
    <row r="429" spans="1:6" x14ac:dyDescent="0.2">
      <c r="A429" s="2">
        <f t="shared" si="6"/>
        <v>56096</v>
      </c>
      <c r="B429">
        <v>96.367000032662432</v>
      </c>
      <c r="C429">
        <v>44.246172569637345</v>
      </c>
      <c r="D429">
        <v>0</v>
      </c>
      <c r="E429">
        <v>132.56388765283256</v>
      </c>
      <c r="F429">
        <v>847.17813343378725</v>
      </c>
    </row>
    <row r="430" spans="1:6" x14ac:dyDescent="0.2">
      <c r="A430" s="2">
        <f t="shared" si="6"/>
        <v>56127</v>
      </c>
      <c r="B430">
        <v>109.82454569931976</v>
      </c>
      <c r="C430">
        <v>45.05251242431271</v>
      </c>
      <c r="D430">
        <v>0</v>
      </c>
      <c r="E430">
        <v>126.14523806878711</v>
      </c>
      <c r="F430">
        <v>787.8630973812011</v>
      </c>
    </row>
    <row r="431" spans="1:6" x14ac:dyDescent="0.2">
      <c r="A431" s="2">
        <f t="shared" si="6"/>
        <v>56157</v>
      </c>
      <c r="B431">
        <v>75.423734375281555</v>
      </c>
      <c r="C431">
        <v>36.678377569269699</v>
      </c>
      <c r="D431">
        <v>0</v>
      </c>
      <c r="E431">
        <v>113.57281166199874</v>
      </c>
      <c r="F431">
        <v>714.94970892444724</v>
      </c>
    </row>
    <row r="432" spans="1:6" x14ac:dyDescent="0.2">
      <c r="A432" s="2">
        <f t="shared" si="6"/>
        <v>56188</v>
      </c>
      <c r="B432">
        <v>75.235127692358574</v>
      </c>
      <c r="C432">
        <v>36.686103596383191</v>
      </c>
      <c r="D432">
        <v>0</v>
      </c>
      <c r="E432">
        <v>113.47346373635072</v>
      </c>
      <c r="F432">
        <v>641.76219695531597</v>
      </c>
    </row>
    <row r="433" spans="1:6" x14ac:dyDescent="0.2">
      <c r="A433" s="2">
        <f t="shared" si="6"/>
        <v>56218</v>
      </c>
      <c r="B433">
        <v>95.438698218513451</v>
      </c>
      <c r="C433">
        <v>38.509298798744851</v>
      </c>
      <c r="D433">
        <v>0</v>
      </c>
      <c r="E433">
        <v>107.08859848095022</v>
      </c>
      <c r="F433">
        <v>593.1621208706681</v>
      </c>
    </row>
    <row r="434" spans="1:6" x14ac:dyDescent="0.2">
      <c r="A434" s="2">
        <f t="shared" si="6"/>
        <v>56249</v>
      </c>
      <c r="B434">
        <v>190.03359413716166</v>
      </c>
      <c r="C434">
        <v>51.152856136298588</v>
      </c>
      <c r="D434">
        <v>0</v>
      </c>
      <c r="E434">
        <v>94.180524625777082</v>
      </c>
      <c r="F434">
        <v>639.30338623642353</v>
      </c>
    </row>
    <row r="435" spans="1:6" x14ac:dyDescent="0.2">
      <c r="A435" s="2">
        <f t="shared" si="6"/>
        <v>56280</v>
      </c>
      <c r="B435">
        <v>155.77664167193115</v>
      </c>
      <c r="C435">
        <v>45.665054315885904</v>
      </c>
      <c r="D435">
        <v>0</v>
      </c>
      <c r="E435">
        <v>93.92449304616629</v>
      </c>
      <c r="F435">
        <v>657.04362998886211</v>
      </c>
    </row>
    <row r="436" spans="1:6" x14ac:dyDescent="0.2">
      <c r="A436" s="2">
        <f t="shared" si="6"/>
        <v>56308</v>
      </c>
      <c r="B436">
        <v>87.95150784491517</v>
      </c>
      <c r="C436">
        <v>34.740841632358126</v>
      </c>
      <c r="D436">
        <v>0</v>
      </c>
      <c r="E436">
        <v>93.799350018198808</v>
      </c>
      <c r="F436">
        <v>618.05119448977507</v>
      </c>
    </row>
    <row r="437" spans="1:6" x14ac:dyDescent="0.2">
      <c r="A437" s="2">
        <f t="shared" si="6"/>
        <v>56339</v>
      </c>
      <c r="B437">
        <v>147.88325234421535</v>
      </c>
      <c r="C437">
        <v>44.357305907673734</v>
      </c>
      <c r="D437">
        <v>0</v>
      </c>
      <c r="E437">
        <v>93.54927063838602</v>
      </c>
      <c r="F437">
        <v>629.52938879833016</v>
      </c>
    </row>
    <row r="438" spans="1:6" x14ac:dyDescent="0.2">
      <c r="A438" s="2">
        <f t="shared" si="6"/>
        <v>56369</v>
      </c>
      <c r="B438">
        <v>67.372408981342645</v>
      </c>
      <c r="C438">
        <v>31.407023858607648</v>
      </c>
      <c r="D438">
        <v>0</v>
      </c>
      <c r="E438">
        <v>93.46321031678869</v>
      </c>
      <c r="F438">
        <v>573.56096770307704</v>
      </c>
    </row>
    <row r="439" spans="1:6" x14ac:dyDescent="0.2">
      <c r="A439" s="2">
        <f t="shared" si="6"/>
        <v>56400</v>
      </c>
      <c r="B439">
        <v>87.292992301135243</v>
      </c>
      <c r="C439">
        <v>34.557519556084607</v>
      </c>
      <c r="D439">
        <v>0</v>
      </c>
      <c r="E439">
        <v>93.330996380463617</v>
      </c>
      <c r="F439">
        <v>534.35887622591713</v>
      </c>
    </row>
    <row r="440" spans="1:6" x14ac:dyDescent="0.2">
      <c r="A440" s="2">
        <f t="shared" si="6"/>
        <v>56430</v>
      </c>
      <c r="B440">
        <v>107.32196221716531</v>
      </c>
      <c r="C440">
        <v>37.79644237783144</v>
      </c>
      <c r="D440">
        <v>0</v>
      </c>
      <c r="E440">
        <v>93.160798653944326</v>
      </c>
      <c r="F440">
        <v>512.02179042671207</v>
      </c>
    </row>
    <row r="441" spans="1:6" x14ac:dyDescent="0.2">
      <c r="A441" s="2">
        <f t="shared" si="6"/>
        <v>56461</v>
      </c>
      <c r="B441">
        <v>66.866941993087138</v>
      </c>
      <c r="C441">
        <v>31.347471494801017</v>
      </c>
      <c r="D441">
        <v>0</v>
      </c>
      <c r="E441">
        <v>93.071667658616846</v>
      </c>
      <c r="F441">
        <v>455.71351966423947</v>
      </c>
    </row>
    <row r="442" spans="1:6" x14ac:dyDescent="0.2">
      <c r="A442" s="2">
        <f t="shared" si="6"/>
        <v>56492</v>
      </c>
      <c r="B442">
        <v>73.353182430442928</v>
      </c>
      <c r="C442">
        <v>29.529472953549366</v>
      </c>
      <c r="D442">
        <v>0</v>
      </c>
      <c r="E442">
        <v>80.69276834814589</v>
      </c>
      <c r="F442">
        <v>419.95158960580358</v>
      </c>
    </row>
    <row r="443" spans="1:6" x14ac:dyDescent="0.2">
      <c r="A443" s="2">
        <f t="shared" si="6"/>
        <v>56522</v>
      </c>
      <c r="B443">
        <v>46.625976717491724</v>
      </c>
      <c r="C443">
        <v>23.804232642327438</v>
      </c>
      <c r="D443">
        <v>0</v>
      </c>
      <c r="E443">
        <v>74.484621799746705</v>
      </c>
      <c r="F443">
        <v>369.30895921815141</v>
      </c>
    </row>
    <row r="444" spans="1:6" x14ac:dyDescent="0.2">
      <c r="A444" s="2">
        <f t="shared" si="6"/>
        <v>56553</v>
      </c>
      <c r="B444">
        <v>39.865145131149632</v>
      </c>
      <c r="C444">
        <v>21.287188124332122</v>
      </c>
      <c r="D444">
        <v>0</v>
      </c>
      <c r="E444">
        <v>68.288777354231826</v>
      </c>
      <c r="F444">
        <v>320.4953529579621</v>
      </c>
    </row>
    <row r="445" spans="1:6" x14ac:dyDescent="0.2">
      <c r="A445" s="2">
        <f t="shared" si="6"/>
        <v>56583</v>
      </c>
      <c r="B445">
        <v>59.556892700998077</v>
      </c>
      <c r="C445">
        <v>24.492730156902596</v>
      </c>
      <c r="D445">
        <v>0</v>
      </c>
      <c r="E445">
        <v>68.199164350672248</v>
      </c>
      <c r="F445">
        <v>288.13897549392175</v>
      </c>
    </row>
    <row r="446" spans="1:6" x14ac:dyDescent="0.2">
      <c r="A446" s="2">
        <f t="shared" si="6"/>
        <v>56614</v>
      </c>
      <c r="B446">
        <v>72.733465458128663</v>
      </c>
      <c r="C446">
        <v>24.042075878614504</v>
      </c>
      <c r="D446">
        <v>0</v>
      </c>
      <c r="E446">
        <v>55.715911479458597</v>
      </c>
      <c r="F446">
        <v>281.81447004751533</v>
      </c>
    </row>
    <row r="447" spans="1:6" x14ac:dyDescent="0.2">
      <c r="A447" s="2">
        <f t="shared" si="6"/>
        <v>56645</v>
      </c>
      <c r="B447">
        <v>32.957359668878915</v>
      </c>
      <c r="C447">
        <v>16.097430050990198</v>
      </c>
      <c r="D447">
        <v>0</v>
      </c>
      <c r="E447">
        <v>48.920412197529252</v>
      </c>
      <c r="F447">
        <v>250.43863891268609</v>
      </c>
    </row>
    <row r="448" spans="1:6" x14ac:dyDescent="0.2">
      <c r="A448" s="2">
        <f t="shared" si="6"/>
        <v>56673</v>
      </c>
      <c r="B448">
        <v>52.517994880505682</v>
      </c>
      <c r="C448">
        <v>19.207901880673809</v>
      </c>
      <c r="D448">
        <v>0</v>
      </c>
      <c r="E448">
        <v>48.836768575675571</v>
      </c>
      <c r="F448">
        <v>235.52038907147286</v>
      </c>
    </row>
    <row r="449" spans="1:6" x14ac:dyDescent="0.2">
      <c r="A449" s="2">
        <f t="shared" si="6"/>
        <v>56704</v>
      </c>
      <c r="B449">
        <v>32.79203874326646</v>
      </c>
      <c r="C449">
        <v>14.61267393894396</v>
      </c>
      <c r="D449">
        <v>0</v>
      </c>
      <c r="E449">
        <v>42.607784229902933</v>
      </c>
      <c r="F449">
        <v>211.66415238240387</v>
      </c>
    </row>
    <row r="450" spans="1:6" x14ac:dyDescent="0.2">
      <c r="A450" s="2">
        <f t="shared" si="6"/>
        <v>56734</v>
      </c>
      <c r="B450">
        <v>32.709689525137456</v>
      </c>
      <c r="C450">
        <v>14.58173765072863</v>
      </c>
      <c r="D450">
        <v>0</v>
      </c>
      <c r="E450">
        <v>42.560994753850608</v>
      </c>
      <c r="F450">
        <v>187.74533493545653</v>
      </c>
    </row>
    <row r="451" spans="1:6" x14ac:dyDescent="0.2">
      <c r="A451" s="2">
        <f t="shared" si="6"/>
        <v>56765</v>
      </c>
      <c r="B451">
        <v>52.123861538543622</v>
      </c>
      <c r="C451">
        <v>17.66931393178945</v>
      </c>
      <c r="D451">
        <v>0</v>
      </c>
      <c r="E451">
        <v>42.47571138330008</v>
      </c>
      <c r="F451">
        <v>180.18028725116972</v>
      </c>
    </row>
    <row r="452" spans="1:6" x14ac:dyDescent="0.2">
      <c r="A452" s="2">
        <f t="shared" si="6"/>
        <v>56795</v>
      </c>
      <c r="B452">
        <v>71.650214695728906</v>
      </c>
      <c r="C452">
        <v>20.84114379571443</v>
      </c>
      <c r="D452">
        <v>0</v>
      </c>
      <c r="E452">
        <v>42.353052465347901</v>
      </c>
      <c r="F452">
        <v>189.07404294599985</v>
      </c>
    </row>
    <row r="453" spans="1:6" x14ac:dyDescent="0.2">
      <c r="A453" s="2">
        <f t="shared" si="6"/>
        <v>56826</v>
      </c>
      <c r="B453">
        <v>25.969838405614517</v>
      </c>
      <c r="C453">
        <v>12.121006118182187</v>
      </c>
      <c r="D453">
        <v>0</v>
      </c>
      <c r="E453">
        <v>36.268722917644638</v>
      </c>
      <c r="F453">
        <v>167.11349642490114</v>
      </c>
    </row>
    <row r="454" spans="1:6" x14ac:dyDescent="0.2">
      <c r="A454" s="2">
        <f t="shared" ref="A454:A506" si="7">DATE(YEAR(A453),MONTH(A453)+2,1)-1</f>
        <v>56857</v>
      </c>
      <c r="B454">
        <v>45.254893341098054</v>
      </c>
      <c r="C454">
        <v>15.191328917252065</v>
      </c>
      <c r="D454">
        <v>0</v>
      </c>
      <c r="E454">
        <v>36.193971947245963</v>
      </c>
      <c r="F454">
        <v>161.38908117278339</v>
      </c>
    </row>
    <row r="455" spans="1:6" x14ac:dyDescent="0.2">
      <c r="A455" s="2">
        <f t="shared" si="7"/>
        <v>56887</v>
      </c>
      <c r="B455">
        <v>25.839451145276517</v>
      </c>
      <c r="C455">
        <v>12.062835527958494</v>
      </c>
      <c r="D455">
        <v>0</v>
      </c>
      <c r="E455">
        <v>36.1593618911064</v>
      </c>
      <c r="F455">
        <v>139.39842004488222</v>
      </c>
    </row>
    <row r="456" spans="1:6" x14ac:dyDescent="0.2">
      <c r="A456" s="2">
        <f t="shared" si="7"/>
        <v>56918</v>
      </c>
      <c r="B456">
        <v>25.774503211774938</v>
      </c>
      <c r="C456">
        <v>12.0381957798726</v>
      </c>
      <c r="D456">
        <v>0</v>
      </c>
      <c r="E456">
        <v>36.123140281835489</v>
      </c>
      <c r="F456">
        <v>117.35024734136401</v>
      </c>
    </row>
    <row r="457" spans="1:6" x14ac:dyDescent="0.2">
      <c r="A457" s="2">
        <f t="shared" si="7"/>
        <v>56948</v>
      </c>
      <c r="B457">
        <v>44.915158394162667</v>
      </c>
      <c r="C457">
        <v>15.158510811516692</v>
      </c>
      <c r="D457">
        <v>0</v>
      </c>
      <c r="E457">
        <v>36.048782882969711</v>
      </c>
      <c r="F457">
        <v>111.34320746704054</v>
      </c>
    </row>
    <row r="458" spans="1:6" x14ac:dyDescent="0.2">
      <c r="A458" s="2">
        <f t="shared" si="7"/>
        <v>56979</v>
      </c>
      <c r="B458">
        <v>51.392914742823393</v>
      </c>
      <c r="C458">
        <v>13.610304968715274</v>
      </c>
      <c r="D458">
        <v>0</v>
      </c>
      <c r="E458">
        <v>24.001950435927206</v>
      </c>
      <c r="F458">
        <v>125.39436848616559</v>
      </c>
    </row>
    <row r="459" spans="1:6" x14ac:dyDescent="0.2">
      <c r="A459" s="2">
        <f t="shared" si="7"/>
        <v>57010</v>
      </c>
      <c r="B459">
        <v>12.835720754575693</v>
      </c>
      <c r="C459">
        <v>7.4181447817206028</v>
      </c>
      <c r="D459">
        <v>0</v>
      </c>
      <c r="E459">
        <v>23.98915155054447</v>
      </c>
      <c r="F459">
        <v>107.12743104696776</v>
      </c>
    </row>
    <row r="460" spans="1:6" x14ac:dyDescent="0.2">
      <c r="A460" s="2">
        <f t="shared" si="7"/>
        <v>57039</v>
      </c>
      <c r="B460">
        <v>31.864173407840653</v>
      </c>
      <c r="C460">
        <v>10.453675317526532</v>
      </c>
      <c r="D460">
        <v>0</v>
      </c>
      <c r="E460">
        <v>23.935015528803142</v>
      </c>
      <c r="F460">
        <v>104.86317331208042</v>
      </c>
    </row>
    <row r="461" spans="1:6" x14ac:dyDescent="0.2">
      <c r="A461" s="2">
        <f t="shared" si="7"/>
        <v>57070</v>
      </c>
      <c r="B461">
        <v>12.771178244802901</v>
      </c>
      <c r="C461">
        <v>7.3836100751286908</v>
      </c>
      <c r="D461">
        <v>0</v>
      </c>
      <c r="E461">
        <v>23.920585419670203</v>
      </c>
      <c r="F461">
        <v>86.584914886581657</v>
      </c>
    </row>
    <row r="462" spans="1:6" x14ac:dyDescent="0.2">
      <c r="A462" s="2">
        <f t="shared" si="7"/>
        <v>57100</v>
      </c>
      <c r="B462">
        <v>12.739028795502371</v>
      </c>
      <c r="C462">
        <v>7.3709218661211873</v>
      </c>
      <c r="D462">
        <v>0</v>
      </c>
      <c r="E462">
        <v>23.904534430117263</v>
      </c>
      <c r="F462">
        <v>68.25884027179201</v>
      </c>
    </row>
    <row r="463" spans="1:6" x14ac:dyDescent="0.2">
      <c r="A463" s="2">
        <f t="shared" si="7"/>
        <v>57131</v>
      </c>
      <c r="B463">
        <v>31.624139411311251</v>
      </c>
      <c r="C463">
        <v>10.38358332505155</v>
      </c>
      <c r="D463">
        <v>0</v>
      </c>
      <c r="E463">
        <v>23.850688924224066</v>
      </c>
      <c r="F463">
        <v>65.814538214643648</v>
      </c>
    </row>
    <row r="464" spans="1:6" x14ac:dyDescent="0.2">
      <c r="A464" s="2">
        <f t="shared" si="7"/>
        <v>57161</v>
      </c>
      <c r="B464">
        <v>44.322051796822684</v>
      </c>
      <c r="C464">
        <v>11.060939823878769</v>
      </c>
      <c r="D464">
        <v>0</v>
      </c>
      <c r="E464">
        <v>17.842987325756148</v>
      </c>
      <c r="F464">
        <v>81.392555356601633</v>
      </c>
    </row>
    <row r="465" spans="1:6" x14ac:dyDescent="0.2">
      <c r="A465" s="2">
        <f t="shared" si="7"/>
        <v>57192</v>
      </c>
      <c r="B465">
        <v>6.3559800883366826</v>
      </c>
      <c r="C465">
        <v>4.9670695372820379</v>
      </c>
      <c r="D465">
        <v>0</v>
      </c>
      <c r="E465">
        <v>17.840313753111701</v>
      </c>
      <c r="F465">
        <v>65.138890512736012</v>
      </c>
    </row>
    <row r="466" spans="1:6" x14ac:dyDescent="0.2">
      <c r="A466" s="2">
        <f t="shared" si="7"/>
        <v>57223</v>
      </c>
      <c r="B466">
        <v>25.114655223776694</v>
      </c>
      <c r="C466">
        <v>7.9629289769140712</v>
      </c>
      <c r="D466">
        <v>0</v>
      </c>
      <c r="E466">
        <v>17.796709737531813</v>
      </c>
      <c r="F466">
        <v>64.652158071047495</v>
      </c>
    </row>
    <row r="467" spans="1:6" x14ac:dyDescent="0.2">
      <c r="A467" s="2">
        <f t="shared" si="7"/>
        <v>57253</v>
      </c>
      <c r="B467">
        <v>6.324019989265433</v>
      </c>
      <c r="C467">
        <v>4.9448186961228249</v>
      </c>
      <c r="D467">
        <v>0</v>
      </c>
      <c r="E467">
        <v>17.792395617519496</v>
      </c>
      <c r="F467">
        <v>48.396032308217677</v>
      </c>
    </row>
    <row r="468" spans="1:6" x14ac:dyDescent="0.2">
      <c r="A468" s="2">
        <f t="shared" si="7"/>
        <v>57284</v>
      </c>
      <c r="B468">
        <v>6.3081002553048515</v>
      </c>
      <c r="C468">
        <v>4.9381814857823594</v>
      </c>
      <c r="D468">
        <v>0</v>
      </c>
      <c r="E468">
        <v>17.786468288707379</v>
      </c>
      <c r="F468">
        <v>32.097058062713273</v>
      </c>
    </row>
    <row r="469" spans="1:6" x14ac:dyDescent="0.2">
      <c r="A469" s="2">
        <f t="shared" si="7"/>
        <v>57314</v>
      </c>
      <c r="B469">
        <v>6.2922205967915028</v>
      </c>
      <c r="C469">
        <v>3.6073922952397854</v>
      </c>
      <c r="D469">
        <v>0</v>
      </c>
      <c r="E469">
        <v>11.886678625187033</v>
      </c>
      <c r="F469">
        <v>22.973185627059095</v>
      </c>
    </row>
    <row r="470" spans="1:6" x14ac:dyDescent="0.2">
      <c r="A470" s="2">
        <f t="shared" si="7"/>
        <v>57345</v>
      </c>
      <c r="B470">
        <v>37.383837014007604</v>
      </c>
      <c r="C470">
        <v>7.3158151067302031</v>
      </c>
      <c r="D470">
        <v>0</v>
      </c>
      <c r="E470">
        <v>5.8817213282268579</v>
      </c>
      <c r="F470">
        <v>47.215298190245278</v>
      </c>
    </row>
    <row r="471" spans="1:6" x14ac:dyDescent="0.2">
      <c r="A471" s="2">
        <f t="shared" si="7"/>
        <v>57376</v>
      </c>
      <c r="B471">
        <v>0</v>
      </c>
      <c r="C471">
        <v>1.3190750946458469</v>
      </c>
      <c r="D471">
        <v>0</v>
      </c>
      <c r="E471">
        <v>5.8869858629348117</v>
      </c>
      <c r="F471">
        <v>40.123943983236003</v>
      </c>
    </row>
    <row r="472" spans="1:6" x14ac:dyDescent="0.2">
      <c r="A472" s="2">
        <f t="shared" si="7"/>
        <v>57404</v>
      </c>
      <c r="B472">
        <v>0</v>
      </c>
      <c r="C472">
        <v>1.318702644801764</v>
      </c>
      <c r="D472">
        <v>0</v>
      </c>
      <c r="E472">
        <v>5.8889968290196624</v>
      </c>
      <c r="F472">
        <v>33.013723237937711</v>
      </c>
    </row>
    <row r="473" spans="1:6" x14ac:dyDescent="0.2">
      <c r="A473" s="2">
        <f t="shared" si="7"/>
        <v>57435</v>
      </c>
      <c r="B473">
        <v>0</v>
      </c>
      <c r="C473">
        <v>1.3183303001214333</v>
      </c>
      <c r="D473">
        <v>0</v>
      </c>
      <c r="E473">
        <v>5.8910102347460667</v>
      </c>
      <c r="F473">
        <v>25.884587574415686</v>
      </c>
    </row>
    <row r="474" spans="1:6" x14ac:dyDescent="0.2">
      <c r="A474" s="2">
        <f t="shared" si="7"/>
        <v>57465</v>
      </c>
      <c r="B474">
        <v>0</v>
      </c>
      <c r="C474">
        <v>1.3179580605751611</v>
      </c>
      <c r="D474">
        <v>0</v>
      </c>
      <c r="E474">
        <v>5.893026080788184</v>
      </c>
      <c r="F474">
        <v>18.736488494554614</v>
      </c>
    </row>
    <row r="475" spans="1:6" x14ac:dyDescent="0.2">
      <c r="A475" s="2">
        <f t="shared" si="7"/>
        <v>57496</v>
      </c>
      <c r="B475">
        <v>0</v>
      </c>
      <c r="C475">
        <v>1.3175859261332616</v>
      </c>
      <c r="D475">
        <v>0</v>
      </c>
      <c r="E475">
        <v>5.8950443678208115</v>
      </c>
      <c r="F475">
        <v>11.56937738177078</v>
      </c>
    </row>
    <row r="476" spans="1:6" x14ac:dyDescent="0.2">
      <c r="A476" s="2">
        <f t="shared" si="7"/>
        <v>57526</v>
      </c>
      <c r="B476">
        <v>36.822730768223714</v>
      </c>
      <c r="C476">
        <v>7.2060096432661851</v>
      </c>
      <c r="D476">
        <v>0</v>
      </c>
      <c r="E476">
        <v>5.8223162817833929</v>
      </c>
      <c r="F476">
        <v>35.391889337183194</v>
      </c>
    </row>
    <row r="477" spans="1:6" x14ac:dyDescent="0.2">
      <c r="A477" s="2">
        <f t="shared" si="7"/>
        <v>57557</v>
      </c>
      <c r="B477">
        <v>0</v>
      </c>
      <c r="C477">
        <v>1.2992766648060627</v>
      </c>
      <c r="D477">
        <v>0</v>
      </c>
      <c r="E477">
        <v>5.8275175928103264</v>
      </c>
      <c r="F477">
        <v>28.351077563593339</v>
      </c>
    </row>
    <row r="478" spans="1:6" x14ac:dyDescent="0.2">
      <c r="A478" s="2">
        <f t="shared" si="7"/>
        <v>57588</v>
      </c>
      <c r="B478">
        <v>0</v>
      </c>
      <c r="C478">
        <v>1.2989098051835954</v>
      </c>
      <c r="D478">
        <v>0</v>
      </c>
      <c r="E478">
        <v>5.8295141777287203</v>
      </c>
      <c r="F478">
        <v>21.291530832486441</v>
      </c>
    </row>
    <row r="479" spans="1:6" x14ac:dyDescent="0.2">
      <c r="A479" s="2">
        <f t="shared" si="7"/>
        <v>57618</v>
      </c>
      <c r="B479">
        <v>0</v>
      </c>
      <c r="C479">
        <v>1.2985430491464431</v>
      </c>
      <c r="D479">
        <v>0</v>
      </c>
      <c r="E479">
        <v>5.8315131743141908</v>
      </c>
      <c r="F479">
        <v>14.213201113148354</v>
      </c>
    </row>
    <row r="480" spans="1:6" x14ac:dyDescent="0.2">
      <c r="A480" s="2">
        <f t="shared" si="7"/>
        <v>57649</v>
      </c>
      <c r="B480">
        <v>0</v>
      </c>
      <c r="C480">
        <v>1.2981763966653581</v>
      </c>
      <c r="D480">
        <v>0</v>
      </c>
      <c r="E480">
        <v>5.8335145832355071</v>
      </c>
      <c r="F480">
        <v>7.1160402575376667</v>
      </c>
    </row>
    <row r="481" spans="1:6" x14ac:dyDescent="0.2">
      <c r="A481" s="2">
        <f t="shared" si="7"/>
        <v>57679</v>
      </c>
      <c r="B481">
        <v>0</v>
      </c>
      <c r="C481">
        <v>1.2978098477111002</v>
      </c>
      <c r="D481">
        <v>0</v>
      </c>
      <c r="E481">
        <v>5.8355184051620688</v>
      </c>
      <c r="F481">
        <v>0</v>
      </c>
    </row>
    <row r="482" spans="1:6" x14ac:dyDescent="0.2">
      <c r="A482" s="2">
        <f t="shared" si="7"/>
        <v>57710</v>
      </c>
    </row>
    <row r="483" spans="1:6" x14ac:dyDescent="0.2">
      <c r="A483" s="2">
        <f t="shared" si="7"/>
        <v>57741</v>
      </c>
    </row>
    <row r="484" spans="1:6" x14ac:dyDescent="0.2">
      <c r="A484" s="2">
        <f t="shared" si="7"/>
        <v>57769</v>
      </c>
    </row>
    <row r="485" spans="1:6" x14ac:dyDescent="0.2">
      <c r="A485" s="2">
        <f t="shared" si="7"/>
        <v>57800</v>
      </c>
    </row>
    <row r="486" spans="1:6" x14ac:dyDescent="0.2">
      <c r="A486" s="2">
        <f t="shared" si="7"/>
        <v>57830</v>
      </c>
    </row>
    <row r="487" spans="1:6" x14ac:dyDescent="0.2">
      <c r="A487" s="2">
        <f t="shared" si="7"/>
        <v>57861</v>
      </c>
    </row>
    <row r="488" spans="1:6" x14ac:dyDescent="0.2">
      <c r="A488" s="2">
        <f t="shared" si="7"/>
        <v>57891</v>
      </c>
    </row>
    <row r="489" spans="1:6" x14ac:dyDescent="0.2">
      <c r="A489" s="2">
        <f t="shared" si="7"/>
        <v>57922</v>
      </c>
    </row>
    <row r="490" spans="1:6" x14ac:dyDescent="0.2">
      <c r="A490" s="2">
        <f t="shared" si="7"/>
        <v>57953</v>
      </c>
    </row>
    <row r="491" spans="1:6" x14ac:dyDescent="0.2">
      <c r="A491" s="2">
        <f t="shared" si="7"/>
        <v>57983</v>
      </c>
    </row>
    <row r="492" spans="1:6" x14ac:dyDescent="0.2">
      <c r="A492" s="2">
        <f t="shared" si="7"/>
        <v>58014</v>
      </c>
    </row>
    <row r="493" spans="1:6" x14ac:dyDescent="0.2">
      <c r="A493" s="2">
        <f t="shared" si="7"/>
        <v>58044</v>
      </c>
    </row>
    <row r="494" spans="1:6" x14ac:dyDescent="0.2">
      <c r="A494" s="2">
        <f t="shared" si="7"/>
        <v>58075</v>
      </c>
    </row>
    <row r="495" spans="1:6" x14ac:dyDescent="0.2">
      <c r="A495" s="2">
        <f t="shared" si="7"/>
        <v>58106</v>
      </c>
    </row>
    <row r="496" spans="1:6" x14ac:dyDescent="0.2">
      <c r="A496" s="2">
        <f t="shared" si="7"/>
        <v>58134</v>
      </c>
    </row>
    <row r="497" spans="1:1" x14ac:dyDescent="0.2">
      <c r="A497" s="2">
        <f t="shared" si="7"/>
        <v>58165</v>
      </c>
    </row>
    <row r="498" spans="1:1" x14ac:dyDescent="0.2">
      <c r="A498" s="2">
        <f t="shared" si="7"/>
        <v>58195</v>
      </c>
    </row>
    <row r="499" spans="1:1" x14ac:dyDescent="0.2">
      <c r="A499" s="2">
        <f t="shared" si="7"/>
        <v>58226</v>
      </c>
    </row>
    <row r="500" spans="1:1" x14ac:dyDescent="0.2">
      <c r="A500" s="2">
        <f t="shared" si="7"/>
        <v>58256</v>
      </c>
    </row>
    <row r="501" spans="1:1" x14ac:dyDescent="0.2">
      <c r="A501" s="2">
        <f t="shared" si="7"/>
        <v>58287</v>
      </c>
    </row>
    <row r="502" spans="1:1" x14ac:dyDescent="0.2">
      <c r="A502" s="2">
        <f t="shared" si="7"/>
        <v>58318</v>
      </c>
    </row>
    <row r="503" spans="1:1" x14ac:dyDescent="0.2">
      <c r="A503" s="2">
        <f t="shared" si="7"/>
        <v>58348</v>
      </c>
    </row>
    <row r="504" spans="1:1" x14ac:dyDescent="0.2">
      <c r="A504" s="2">
        <f t="shared" si="7"/>
        <v>58379</v>
      </c>
    </row>
    <row r="505" spans="1:1" x14ac:dyDescent="0.2">
      <c r="A505" s="2">
        <f t="shared" si="7"/>
        <v>58409</v>
      </c>
    </row>
    <row r="506" spans="1:1" x14ac:dyDescent="0.2">
      <c r="A506" s="2">
        <f t="shared" si="7"/>
        <v>58440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lcular">
                <anchor moveWithCells="1" sizeWithCells="1">
                  <from>
                    <xdr:col>8</xdr:col>
                    <xdr:colOff>228600</xdr:colOff>
                    <xdr:row>3</xdr:row>
                    <xdr:rowOff>9525</xdr:rowOff>
                  </from>
                  <to>
                    <xdr:col>11</xdr:col>
                    <xdr:colOff>161925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R1668"/>
  <sheetViews>
    <sheetView workbookViewId="0">
      <selection activeCell="R2" sqref="R2"/>
    </sheetView>
  </sheetViews>
  <sheetFormatPr baseColWidth="10" defaultRowHeight="12.75" x14ac:dyDescent="0.2"/>
  <cols>
    <col min="1" max="1" width="17.42578125" bestFit="1" customWidth="1"/>
    <col min="2" max="2" width="18.140625" bestFit="1" customWidth="1"/>
    <col min="3" max="3" width="15.42578125" bestFit="1" customWidth="1"/>
    <col min="4" max="4" width="14.42578125" bestFit="1" customWidth="1"/>
    <col min="5" max="5" width="12.5703125" bestFit="1" customWidth="1"/>
    <col min="6" max="6" width="15.42578125" bestFit="1" customWidth="1"/>
    <col min="7" max="7" width="13.85546875" bestFit="1" customWidth="1"/>
    <col min="8" max="8" width="4.5703125" bestFit="1" customWidth="1"/>
    <col min="9" max="9" width="5.5703125" bestFit="1" customWidth="1"/>
    <col min="10" max="10" width="12.7109375" bestFit="1" customWidth="1"/>
    <col min="11" max="11" width="15.42578125" bestFit="1" customWidth="1"/>
    <col min="12" max="12" width="17.28515625" bestFit="1" customWidth="1"/>
    <col min="13" max="13" width="17.5703125" bestFit="1" customWidth="1"/>
    <col min="14" max="14" width="13.140625" bestFit="1" customWidth="1"/>
    <col min="15" max="15" width="16.7109375" bestFit="1" customWidth="1"/>
    <col min="17" max="17" width="18.42578125" bestFit="1" customWidth="1"/>
  </cols>
  <sheetData>
    <row r="1" spans="1:18" x14ac:dyDescent="0.2">
      <c r="A1" t="s">
        <v>0</v>
      </c>
      <c r="Q1" t="s">
        <v>69</v>
      </c>
      <c r="R1">
        <f>MAX(N:N)+1</f>
        <v>480</v>
      </c>
    </row>
    <row r="2" spans="1:18" x14ac:dyDescent="0.2">
      <c r="A2" t="s">
        <v>1</v>
      </c>
      <c r="B2" t="s">
        <v>2</v>
      </c>
      <c r="Q2" t="s">
        <v>70</v>
      </c>
      <c r="R2">
        <f>COUNT(O:O)</f>
        <v>1663</v>
      </c>
    </row>
    <row r="3" spans="1:18" x14ac:dyDescent="0.2">
      <c r="A3" t="s">
        <v>3</v>
      </c>
      <c r="B3">
        <v>1663</v>
      </c>
    </row>
    <row r="4" spans="1:18" x14ac:dyDescent="0.2">
      <c r="A4" t="s">
        <v>4</v>
      </c>
      <c r="B4" t="s">
        <v>5</v>
      </c>
      <c r="C4" t="s">
        <v>6</v>
      </c>
      <c r="D4" t="s">
        <v>6</v>
      </c>
      <c r="E4" t="s">
        <v>6</v>
      </c>
      <c r="F4" t="s">
        <v>6</v>
      </c>
      <c r="G4" t="s">
        <v>6</v>
      </c>
      <c r="H4" t="s">
        <v>6</v>
      </c>
      <c r="I4" t="s">
        <v>6</v>
      </c>
      <c r="J4" t="s">
        <v>6</v>
      </c>
      <c r="K4" t="s">
        <v>7</v>
      </c>
      <c r="L4" t="s">
        <v>7</v>
      </c>
    </row>
    <row r="5" spans="1:18" x14ac:dyDescent="0.2">
      <c r="A5" t="s">
        <v>8</v>
      </c>
      <c r="B5" t="s">
        <v>9</v>
      </c>
      <c r="C5" t="s">
        <v>10</v>
      </c>
      <c r="D5" t="s">
        <v>11</v>
      </c>
      <c r="E5" t="s">
        <v>12</v>
      </c>
      <c r="F5" t="s">
        <v>13</v>
      </c>
      <c r="G5" t="s">
        <v>14</v>
      </c>
      <c r="H5" t="s">
        <v>15</v>
      </c>
      <c r="I5" t="s">
        <v>16</v>
      </c>
      <c r="J5" t="s">
        <v>17</v>
      </c>
      <c r="K5" t="s">
        <v>18</v>
      </c>
      <c r="L5" s="1" t="s">
        <v>33</v>
      </c>
      <c r="M5" s="1" t="s">
        <v>67</v>
      </c>
      <c r="N5" s="1" t="s">
        <v>68</v>
      </c>
      <c r="O5" s="1" t="s">
        <v>76</v>
      </c>
    </row>
    <row r="6" spans="1:18" x14ac:dyDescent="0.2">
      <c r="A6" t="s">
        <v>19</v>
      </c>
      <c r="B6">
        <v>9</v>
      </c>
      <c r="C6">
        <v>19</v>
      </c>
      <c r="D6">
        <v>108</v>
      </c>
      <c r="E6">
        <v>1</v>
      </c>
      <c r="F6">
        <v>18</v>
      </c>
      <c r="G6">
        <v>1735601</v>
      </c>
      <c r="H6">
        <v>0</v>
      </c>
      <c r="I6">
        <v>1</v>
      </c>
      <c r="J6">
        <v>1</v>
      </c>
      <c r="K6">
        <v>0</v>
      </c>
      <c r="L6">
        <f>65-C6</f>
        <v>46</v>
      </c>
      <c r="M6">
        <f>L6*12</f>
        <v>552</v>
      </c>
      <c r="N6">
        <f>M6-D6</f>
        <v>444</v>
      </c>
      <c r="O6">
        <f>2017+N6/12</f>
        <v>2054</v>
      </c>
    </row>
    <row r="7" spans="1:18" x14ac:dyDescent="0.2">
      <c r="A7" t="s">
        <v>19</v>
      </c>
      <c r="B7">
        <v>9</v>
      </c>
      <c r="C7">
        <v>20</v>
      </c>
      <c r="D7">
        <v>207</v>
      </c>
      <c r="E7">
        <v>4</v>
      </c>
      <c r="F7">
        <v>18</v>
      </c>
      <c r="G7">
        <v>686301</v>
      </c>
      <c r="H7">
        <v>1</v>
      </c>
      <c r="I7">
        <v>0</v>
      </c>
      <c r="J7">
        <v>1</v>
      </c>
      <c r="K7">
        <v>0</v>
      </c>
      <c r="L7">
        <f t="shared" ref="L7:L70" si="0">65-C7</f>
        <v>45</v>
      </c>
      <c r="M7">
        <f t="shared" ref="M7:M70" si="1">L7*12</f>
        <v>540</v>
      </c>
      <c r="N7">
        <f t="shared" ref="N7:N70" si="2">M7-D7</f>
        <v>333</v>
      </c>
      <c r="O7">
        <f t="shared" ref="O7:O70" si="3">2017+N7/12</f>
        <v>2044.75</v>
      </c>
    </row>
    <row r="8" spans="1:18" x14ac:dyDescent="0.2">
      <c r="A8" t="s">
        <v>19</v>
      </c>
      <c r="B8">
        <v>9</v>
      </c>
      <c r="C8">
        <v>20</v>
      </c>
      <c r="D8">
        <v>220</v>
      </c>
      <c r="E8">
        <v>1</v>
      </c>
      <c r="F8">
        <v>14</v>
      </c>
      <c r="G8">
        <v>361502</v>
      </c>
      <c r="H8">
        <v>0</v>
      </c>
      <c r="I8">
        <v>1</v>
      </c>
      <c r="J8">
        <v>1</v>
      </c>
      <c r="K8">
        <v>0</v>
      </c>
      <c r="L8">
        <f t="shared" si="0"/>
        <v>45</v>
      </c>
      <c r="M8">
        <f t="shared" si="1"/>
        <v>540</v>
      </c>
      <c r="N8">
        <f t="shared" si="2"/>
        <v>320</v>
      </c>
      <c r="O8">
        <f t="shared" si="3"/>
        <v>2043.6666666666667</v>
      </c>
    </row>
    <row r="9" spans="1:18" x14ac:dyDescent="0.2">
      <c r="A9" t="s">
        <v>19</v>
      </c>
      <c r="B9">
        <v>9</v>
      </c>
      <c r="C9">
        <v>21</v>
      </c>
      <c r="D9">
        <v>144</v>
      </c>
      <c r="E9">
        <v>1</v>
      </c>
      <c r="F9">
        <v>20</v>
      </c>
      <c r="G9">
        <v>1085901</v>
      </c>
      <c r="H9">
        <v>0</v>
      </c>
      <c r="I9">
        <v>1</v>
      </c>
      <c r="J9">
        <v>1</v>
      </c>
      <c r="K9">
        <v>0</v>
      </c>
      <c r="L9">
        <f t="shared" si="0"/>
        <v>44</v>
      </c>
      <c r="M9">
        <f t="shared" si="1"/>
        <v>528</v>
      </c>
      <c r="N9">
        <f t="shared" si="2"/>
        <v>384</v>
      </c>
      <c r="O9">
        <f t="shared" si="3"/>
        <v>2049</v>
      </c>
    </row>
    <row r="10" spans="1:18" x14ac:dyDescent="0.2">
      <c r="A10" t="s">
        <v>19</v>
      </c>
      <c r="B10">
        <v>9</v>
      </c>
      <c r="C10">
        <v>21</v>
      </c>
      <c r="D10">
        <v>200</v>
      </c>
      <c r="E10">
        <v>6</v>
      </c>
      <c r="F10">
        <v>21</v>
      </c>
      <c r="G10">
        <v>798202</v>
      </c>
      <c r="H10">
        <v>1</v>
      </c>
      <c r="I10">
        <v>0</v>
      </c>
      <c r="J10">
        <v>1</v>
      </c>
      <c r="K10">
        <v>0</v>
      </c>
      <c r="L10">
        <f t="shared" si="0"/>
        <v>44</v>
      </c>
      <c r="M10">
        <f t="shared" si="1"/>
        <v>528</v>
      </c>
      <c r="N10">
        <f t="shared" si="2"/>
        <v>328</v>
      </c>
      <c r="O10">
        <f t="shared" si="3"/>
        <v>2044.3333333333333</v>
      </c>
    </row>
    <row r="11" spans="1:18" x14ac:dyDescent="0.2">
      <c r="A11" t="s">
        <v>19</v>
      </c>
      <c r="B11">
        <v>9</v>
      </c>
      <c r="C11">
        <v>22</v>
      </c>
      <c r="D11">
        <v>37</v>
      </c>
      <c r="E11">
        <v>2</v>
      </c>
      <c r="F11">
        <v>20</v>
      </c>
      <c r="G11">
        <v>2142501</v>
      </c>
      <c r="H11">
        <v>0</v>
      </c>
      <c r="I11">
        <v>1</v>
      </c>
      <c r="J11">
        <v>1</v>
      </c>
      <c r="K11">
        <v>0</v>
      </c>
      <c r="L11">
        <f t="shared" si="0"/>
        <v>43</v>
      </c>
      <c r="M11">
        <f t="shared" si="1"/>
        <v>516</v>
      </c>
      <c r="N11">
        <f t="shared" si="2"/>
        <v>479</v>
      </c>
      <c r="O11">
        <f t="shared" si="3"/>
        <v>2056.9166666666665</v>
      </c>
    </row>
    <row r="12" spans="1:18" x14ac:dyDescent="0.2">
      <c r="A12" t="s">
        <v>19</v>
      </c>
      <c r="B12">
        <v>9</v>
      </c>
      <c r="C12">
        <v>22</v>
      </c>
      <c r="D12">
        <v>70</v>
      </c>
      <c r="E12">
        <v>1</v>
      </c>
      <c r="F12">
        <v>21</v>
      </c>
      <c r="G12">
        <v>1996501</v>
      </c>
      <c r="H12">
        <v>0</v>
      </c>
      <c r="I12">
        <v>1</v>
      </c>
      <c r="J12">
        <v>1</v>
      </c>
      <c r="K12">
        <v>0</v>
      </c>
      <c r="L12">
        <f t="shared" si="0"/>
        <v>43</v>
      </c>
      <c r="M12">
        <f t="shared" si="1"/>
        <v>516</v>
      </c>
      <c r="N12">
        <f t="shared" si="2"/>
        <v>446</v>
      </c>
      <c r="O12">
        <f t="shared" si="3"/>
        <v>2054.1666666666665</v>
      </c>
    </row>
    <row r="13" spans="1:18" x14ac:dyDescent="0.2">
      <c r="A13" t="s">
        <v>19</v>
      </c>
      <c r="B13">
        <v>9</v>
      </c>
      <c r="C13">
        <v>22</v>
      </c>
      <c r="D13">
        <v>194</v>
      </c>
      <c r="E13">
        <v>1</v>
      </c>
      <c r="F13">
        <v>19</v>
      </c>
      <c r="G13">
        <v>839001</v>
      </c>
      <c r="H13">
        <v>0</v>
      </c>
      <c r="I13">
        <v>1</v>
      </c>
      <c r="J13">
        <v>1</v>
      </c>
      <c r="K13">
        <v>0</v>
      </c>
      <c r="L13">
        <f t="shared" si="0"/>
        <v>43</v>
      </c>
      <c r="M13">
        <f t="shared" si="1"/>
        <v>516</v>
      </c>
      <c r="N13">
        <f t="shared" si="2"/>
        <v>322</v>
      </c>
      <c r="O13">
        <f t="shared" si="3"/>
        <v>2043.8333333333333</v>
      </c>
    </row>
    <row r="14" spans="1:18" x14ac:dyDescent="0.2">
      <c r="A14" t="s">
        <v>19</v>
      </c>
      <c r="B14">
        <v>9</v>
      </c>
      <c r="C14">
        <v>22</v>
      </c>
      <c r="D14">
        <v>244</v>
      </c>
      <c r="E14">
        <v>1</v>
      </c>
      <c r="F14">
        <v>19</v>
      </c>
      <c r="G14">
        <v>13002</v>
      </c>
      <c r="H14">
        <v>1</v>
      </c>
      <c r="I14">
        <v>0</v>
      </c>
      <c r="J14">
        <v>1</v>
      </c>
      <c r="K14">
        <v>0</v>
      </c>
      <c r="L14">
        <f t="shared" si="0"/>
        <v>43</v>
      </c>
      <c r="M14">
        <f t="shared" si="1"/>
        <v>516</v>
      </c>
      <c r="N14">
        <f t="shared" si="2"/>
        <v>272</v>
      </c>
      <c r="O14">
        <f t="shared" si="3"/>
        <v>2039.6666666666667</v>
      </c>
    </row>
    <row r="15" spans="1:18" x14ac:dyDescent="0.2">
      <c r="A15" t="s">
        <v>19</v>
      </c>
      <c r="B15">
        <v>9</v>
      </c>
      <c r="C15">
        <v>23</v>
      </c>
      <c r="D15">
        <v>38</v>
      </c>
      <c r="E15">
        <v>4</v>
      </c>
      <c r="F15">
        <v>22</v>
      </c>
      <c r="G15">
        <v>2134902</v>
      </c>
      <c r="H15">
        <v>0</v>
      </c>
      <c r="I15">
        <v>1</v>
      </c>
      <c r="J15">
        <v>1</v>
      </c>
      <c r="K15">
        <v>0</v>
      </c>
      <c r="L15">
        <f t="shared" si="0"/>
        <v>42</v>
      </c>
      <c r="M15">
        <f t="shared" si="1"/>
        <v>504</v>
      </c>
      <c r="N15">
        <f t="shared" si="2"/>
        <v>466</v>
      </c>
      <c r="O15">
        <f t="shared" si="3"/>
        <v>2055.8333333333335</v>
      </c>
    </row>
    <row r="16" spans="1:18" x14ac:dyDescent="0.2">
      <c r="A16" t="s">
        <v>19</v>
      </c>
      <c r="B16">
        <v>9</v>
      </c>
      <c r="C16">
        <v>23</v>
      </c>
      <c r="D16">
        <v>213</v>
      </c>
      <c r="E16">
        <v>1</v>
      </c>
      <c r="F16">
        <v>22</v>
      </c>
      <c r="G16">
        <v>568601</v>
      </c>
      <c r="H16">
        <v>1</v>
      </c>
      <c r="I16">
        <v>0</v>
      </c>
      <c r="J16">
        <v>1</v>
      </c>
      <c r="K16">
        <v>0</v>
      </c>
      <c r="L16">
        <f t="shared" si="0"/>
        <v>42</v>
      </c>
      <c r="M16">
        <f t="shared" si="1"/>
        <v>504</v>
      </c>
      <c r="N16">
        <f t="shared" si="2"/>
        <v>291</v>
      </c>
      <c r="O16">
        <f t="shared" si="3"/>
        <v>2041.25</v>
      </c>
    </row>
    <row r="17" spans="1:15" x14ac:dyDescent="0.2">
      <c r="A17" t="s">
        <v>19</v>
      </c>
      <c r="B17">
        <v>9</v>
      </c>
      <c r="C17">
        <v>24</v>
      </c>
      <c r="D17">
        <v>154</v>
      </c>
      <c r="E17">
        <v>2</v>
      </c>
      <c r="F17">
        <v>19</v>
      </c>
      <c r="G17">
        <v>1021501</v>
      </c>
      <c r="H17">
        <v>0</v>
      </c>
      <c r="I17">
        <v>1</v>
      </c>
      <c r="J17">
        <v>1</v>
      </c>
      <c r="K17">
        <v>0</v>
      </c>
      <c r="L17">
        <f t="shared" si="0"/>
        <v>41</v>
      </c>
      <c r="M17">
        <f t="shared" si="1"/>
        <v>492</v>
      </c>
      <c r="N17">
        <f t="shared" si="2"/>
        <v>338</v>
      </c>
      <c r="O17">
        <f t="shared" si="3"/>
        <v>2045.1666666666667</v>
      </c>
    </row>
    <row r="18" spans="1:15" x14ac:dyDescent="0.2">
      <c r="A18" t="s">
        <v>19</v>
      </c>
      <c r="B18">
        <v>9</v>
      </c>
      <c r="C18">
        <v>24</v>
      </c>
      <c r="D18">
        <v>164</v>
      </c>
      <c r="E18">
        <v>1</v>
      </c>
      <c r="F18">
        <v>23</v>
      </c>
      <c r="G18">
        <v>940001</v>
      </c>
      <c r="H18">
        <v>1</v>
      </c>
      <c r="I18">
        <v>0</v>
      </c>
      <c r="J18">
        <v>1</v>
      </c>
      <c r="K18">
        <v>0</v>
      </c>
      <c r="L18">
        <f t="shared" si="0"/>
        <v>41</v>
      </c>
      <c r="M18">
        <f t="shared" si="1"/>
        <v>492</v>
      </c>
      <c r="N18">
        <f t="shared" si="2"/>
        <v>328</v>
      </c>
      <c r="O18">
        <f t="shared" si="3"/>
        <v>2044.3333333333333</v>
      </c>
    </row>
    <row r="19" spans="1:15" x14ac:dyDescent="0.2">
      <c r="A19" t="s">
        <v>19</v>
      </c>
      <c r="B19">
        <v>9</v>
      </c>
      <c r="C19">
        <v>24</v>
      </c>
      <c r="D19">
        <v>184</v>
      </c>
      <c r="E19">
        <v>1</v>
      </c>
      <c r="F19">
        <v>23</v>
      </c>
      <c r="G19">
        <v>891801</v>
      </c>
      <c r="H19">
        <v>0</v>
      </c>
      <c r="I19">
        <v>1</v>
      </c>
      <c r="J19">
        <v>1</v>
      </c>
      <c r="K19">
        <v>0</v>
      </c>
      <c r="L19">
        <f t="shared" si="0"/>
        <v>41</v>
      </c>
      <c r="M19">
        <f t="shared" si="1"/>
        <v>492</v>
      </c>
      <c r="N19">
        <f t="shared" si="2"/>
        <v>308</v>
      </c>
      <c r="O19">
        <f t="shared" si="3"/>
        <v>2042.6666666666667</v>
      </c>
    </row>
    <row r="20" spans="1:15" x14ac:dyDescent="0.2">
      <c r="A20" t="s">
        <v>19</v>
      </c>
      <c r="B20">
        <v>9</v>
      </c>
      <c r="C20">
        <v>24</v>
      </c>
      <c r="D20">
        <v>188</v>
      </c>
      <c r="E20">
        <v>1</v>
      </c>
      <c r="F20">
        <v>21</v>
      </c>
      <c r="G20">
        <v>875701</v>
      </c>
      <c r="H20">
        <v>0</v>
      </c>
      <c r="I20">
        <v>1</v>
      </c>
      <c r="J20">
        <v>1</v>
      </c>
      <c r="K20">
        <v>0</v>
      </c>
      <c r="L20">
        <f t="shared" si="0"/>
        <v>41</v>
      </c>
      <c r="M20">
        <f t="shared" si="1"/>
        <v>492</v>
      </c>
      <c r="N20">
        <f t="shared" si="2"/>
        <v>304</v>
      </c>
      <c r="O20">
        <f t="shared" si="3"/>
        <v>2042.3333333333333</v>
      </c>
    </row>
    <row r="21" spans="1:15" x14ac:dyDescent="0.2">
      <c r="A21" t="s">
        <v>19</v>
      </c>
      <c r="B21">
        <v>9</v>
      </c>
      <c r="C21">
        <v>24</v>
      </c>
      <c r="D21">
        <v>203</v>
      </c>
      <c r="E21">
        <v>2</v>
      </c>
      <c r="F21">
        <v>21</v>
      </c>
      <c r="G21">
        <v>753301</v>
      </c>
      <c r="H21">
        <v>0</v>
      </c>
      <c r="I21">
        <v>1</v>
      </c>
      <c r="J21">
        <v>1</v>
      </c>
      <c r="K21">
        <v>0</v>
      </c>
      <c r="L21">
        <f t="shared" si="0"/>
        <v>41</v>
      </c>
      <c r="M21">
        <f t="shared" si="1"/>
        <v>492</v>
      </c>
      <c r="N21">
        <f t="shared" si="2"/>
        <v>289</v>
      </c>
      <c r="O21">
        <f t="shared" si="3"/>
        <v>2041.0833333333333</v>
      </c>
    </row>
    <row r="22" spans="1:15" x14ac:dyDescent="0.2">
      <c r="A22" t="s">
        <v>19</v>
      </c>
      <c r="B22">
        <v>9</v>
      </c>
      <c r="C22">
        <v>24</v>
      </c>
      <c r="D22">
        <v>206</v>
      </c>
      <c r="E22">
        <v>1</v>
      </c>
      <c r="F22">
        <v>15</v>
      </c>
      <c r="G22">
        <v>705601</v>
      </c>
      <c r="H22">
        <v>0</v>
      </c>
      <c r="I22">
        <v>1</v>
      </c>
      <c r="J22">
        <v>1</v>
      </c>
      <c r="K22">
        <v>0</v>
      </c>
      <c r="L22">
        <f t="shared" si="0"/>
        <v>41</v>
      </c>
      <c r="M22">
        <f t="shared" si="1"/>
        <v>492</v>
      </c>
      <c r="N22">
        <f t="shared" si="2"/>
        <v>286</v>
      </c>
      <c r="O22">
        <f t="shared" si="3"/>
        <v>2040.8333333333333</v>
      </c>
    </row>
    <row r="23" spans="1:15" x14ac:dyDescent="0.2">
      <c r="A23" t="s">
        <v>19</v>
      </c>
      <c r="B23">
        <v>9</v>
      </c>
      <c r="C23">
        <v>24</v>
      </c>
      <c r="D23">
        <v>208</v>
      </c>
      <c r="E23">
        <v>1</v>
      </c>
      <c r="F23">
        <v>17</v>
      </c>
      <c r="G23">
        <v>111502</v>
      </c>
      <c r="H23">
        <v>0</v>
      </c>
      <c r="I23">
        <v>1</v>
      </c>
      <c r="J23">
        <v>1</v>
      </c>
      <c r="K23">
        <v>0</v>
      </c>
      <c r="L23">
        <f t="shared" si="0"/>
        <v>41</v>
      </c>
      <c r="M23">
        <f t="shared" si="1"/>
        <v>492</v>
      </c>
      <c r="N23">
        <f t="shared" si="2"/>
        <v>284</v>
      </c>
      <c r="O23">
        <f t="shared" si="3"/>
        <v>2040.6666666666667</v>
      </c>
    </row>
    <row r="24" spans="1:15" x14ac:dyDescent="0.2">
      <c r="A24" t="s">
        <v>19</v>
      </c>
      <c r="B24">
        <v>9</v>
      </c>
      <c r="C24">
        <v>25</v>
      </c>
      <c r="D24">
        <v>19</v>
      </c>
      <c r="E24">
        <v>12</v>
      </c>
      <c r="F24">
        <v>25</v>
      </c>
      <c r="G24">
        <v>2239001</v>
      </c>
      <c r="H24">
        <v>1</v>
      </c>
      <c r="I24">
        <v>0</v>
      </c>
      <c r="J24">
        <v>1</v>
      </c>
      <c r="K24">
        <v>0</v>
      </c>
      <c r="L24">
        <f t="shared" si="0"/>
        <v>40</v>
      </c>
      <c r="M24">
        <f t="shared" si="1"/>
        <v>480</v>
      </c>
      <c r="N24">
        <f t="shared" si="2"/>
        <v>461</v>
      </c>
      <c r="O24">
        <f t="shared" si="3"/>
        <v>2055.4166666666665</v>
      </c>
    </row>
    <row r="25" spans="1:15" x14ac:dyDescent="0.2">
      <c r="A25" t="s">
        <v>19</v>
      </c>
      <c r="B25">
        <v>9</v>
      </c>
      <c r="C25">
        <v>25</v>
      </c>
      <c r="D25">
        <v>37</v>
      </c>
      <c r="E25">
        <v>1</v>
      </c>
      <c r="F25">
        <v>23</v>
      </c>
      <c r="G25">
        <v>2142001</v>
      </c>
      <c r="H25">
        <v>0</v>
      </c>
      <c r="I25">
        <v>1</v>
      </c>
      <c r="J25">
        <v>1</v>
      </c>
      <c r="K25">
        <v>0</v>
      </c>
      <c r="L25">
        <f t="shared" si="0"/>
        <v>40</v>
      </c>
      <c r="M25">
        <f t="shared" si="1"/>
        <v>480</v>
      </c>
      <c r="N25">
        <f t="shared" si="2"/>
        <v>443</v>
      </c>
      <c r="O25">
        <f t="shared" si="3"/>
        <v>2053.9166666666665</v>
      </c>
    </row>
    <row r="26" spans="1:15" x14ac:dyDescent="0.2">
      <c r="A26" t="s">
        <v>19</v>
      </c>
      <c r="B26">
        <v>9</v>
      </c>
      <c r="C26">
        <v>25</v>
      </c>
      <c r="D26">
        <v>58</v>
      </c>
      <c r="E26">
        <v>1</v>
      </c>
      <c r="F26">
        <v>22</v>
      </c>
      <c r="G26">
        <v>2037701</v>
      </c>
      <c r="H26">
        <v>0</v>
      </c>
      <c r="I26">
        <v>1</v>
      </c>
      <c r="J26">
        <v>1</v>
      </c>
      <c r="K26">
        <v>0</v>
      </c>
      <c r="L26">
        <f t="shared" si="0"/>
        <v>40</v>
      </c>
      <c r="M26">
        <f t="shared" si="1"/>
        <v>480</v>
      </c>
      <c r="N26">
        <f t="shared" si="2"/>
        <v>422</v>
      </c>
      <c r="O26">
        <f t="shared" si="3"/>
        <v>2052.1666666666665</v>
      </c>
    </row>
    <row r="27" spans="1:15" x14ac:dyDescent="0.2">
      <c r="A27" t="s">
        <v>19</v>
      </c>
      <c r="B27">
        <v>9</v>
      </c>
      <c r="C27">
        <v>25</v>
      </c>
      <c r="D27">
        <v>200</v>
      </c>
      <c r="E27">
        <v>12</v>
      </c>
      <c r="F27">
        <v>18</v>
      </c>
      <c r="G27">
        <v>791202</v>
      </c>
      <c r="H27">
        <v>0</v>
      </c>
      <c r="I27">
        <v>1</v>
      </c>
      <c r="J27">
        <v>1</v>
      </c>
      <c r="K27">
        <v>0</v>
      </c>
      <c r="L27">
        <f t="shared" si="0"/>
        <v>40</v>
      </c>
      <c r="M27">
        <f t="shared" si="1"/>
        <v>480</v>
      </c>
      <c r="N27">
        <f t="shared" si="2"/>
        <v>280</v>
      </c>
      <c r="O27">
        <f t="shared" si="3"/>
        <v>2040.3333333333333</v>
      </c>
    </row>
    <row r="28" spans="1:15" x14ac:dyDescent="0.2">
      <c r="A28" t="s">
        <v>19</v>
      </c>
      <c r="B28">
        <v>9</v>
      </c>
      <c r="C28">
        <v>25</v>
      </c>
      <c r="D28">
        <v>211</v>
      </c>
      <c r="E28">
        <v>12</v>
      </c>
      <c r="F28">
        <v>25</v>
      </c>
      <c r="G28">
        <v>626201</v>
      </c>
      <c r="H28">
        <v>1</v>
      </c>
      <c r="I28">
        <v>0</v>
      </c>
      <c r="J28">
        <v>1</v>
      </c>
      <c r="K28">
        <v>0</v>
      </c>
      <c r="L28">
        <f t="shared" si="0"/>
        <v>40</v>
      </c>
      <c r="M28">
        <f t="shared" si="1"/>
        <v>480</v>
      </c>
      <c r="N28">
        <f t="shared" si="2"/>
        <v>269</v>
      </c>
      <c r="O28">
        <f t="shared" si="3"/>
        <v>2039.4166666666667</v>
      </c>
    </row>
    <row r="29" spans="1:15" x14ac:dyDescent="0.2">
      <c r="A29" t="s">
        <v>19</v>
      </c>
      <c r="B29">
        <v>9</v>
      </c>
      <c r="C29">
        <v>26</v>
      </c>
      <c r="D29">
        <v>1</v>
      </c>
      <c r="E29">
        <v>12</v>
      </c>
      <c r="F29">
        <v>23</v>
      </c>
      <c r="G29">
        <v>2394303</v>
      </c>
      <c r="H29">
        <v>1</v>
      </c>
      <c r="I29">
        <v>0</v>
      </c>
      <c r="J29">
        <v>1</v>
      </c>
      <c r="K29">
        <v>0</v>
      </c>
      <c r="L29">
        <f t="shared" si="0"/>
        <v>39</v>
      </c>
      <c r="M29">
        <f t="shared" si="1"/>
        <v>468</v>
      </c>
      <c r="N29">
        <f t="shared" si="2"/>
        <v>467</v>
      </c>
      <c r="O29">
        <f t="shared" si="3"/>
        <v>2055.9166666666665</v>
      </c>
    </row>
    <row r="30" spans="1:15" x14ac:dyDescent="0.2">
      <c r="A30" t="s">
        <v>19</v>
      </c>
      <c r="B30">
        <v>9</v>
      </c>
      <c r="C30">
        <v>26</v>
      </c>
      <c r="D30">
        <v>13</v>
      </c>
      <c r="E30">
        <v>12</v>
      </c>
      <c r="F30">
        <v>21</v>
      </c>
      <c r="G30">
        <v>2265103</v>
      </c>
      <c r="H30">
        <v>0</v>
      </c>
      <c r="I30">
        <v>1</v>
      </c>
      <c r="J30">
        <v>1</v>
      </c>
      <c r="K30">
        <v>0</v>
      </c>
      <c r="L30">
        <f t="shared" si="0"/>
        <v>39</v>
      </c>
      <c r="M30">
        <f t="shared" si="1"/>
        <v>468</v>
      </c>
      <c r="N30">
        <f t="shared" si="2"/>
        <v>455</v>
      </c>
      <c r="O30">
        <f t="shared" si="3"/>
        <v>2054.9166666666665</v>
      </c>
    </row>
    <row r="31" spans="1:15" x14ac:dyDescent="0.2">
      <c r="A31" t="s">
        <v>19</v>
      </c>
      <c r="B31">
        <v>9</v>
      </c>
      <c r="C31">
        <v>26</v>
      </c>
      <c r="D31">
        <v>13</v>
      </c>
      <c r="E31">
        <v>12</v>
      </c>
      <c r="F31">
        <v>24</v>
      </c>
      <c r="G31">
        <v>2271402</v>
      </c>
      <c r="H31">
        <v>0</v>
      </c>
      <c r="I31">
        <v>1</v>
      </c>
      <c r="J31">
        <v>1</v>
      </c>
      <c r="K31">
        <v>0</v>
      </c>
      <c r="L31">
        <f t="shared" si="0"/>
        <v>39</v>
      </c>
      <c r="M31">
        <f t="shared" si="1"/>
        <v>468</v>
      </c>
      <c r="N31">
        <f t="shared" si="2"/>
        <v>455</v>
      </c>
      <c r="O31">
        <f t="shared" si="3"/>
        <v>2054.9166666666665</v>
      </c>
    </row>
    <row r="32" spans="1:15" x14ac:dyDescent="0.2">
      <c r="A32" t="s">
        <v>19</v>
      </c>
      <c r="B32">
        <v>9</v>
      </c>
      <c r="C32">
        <v>26</v>
      </c>
      <c r="D32">
        <v>37</v>
      </c>
      <c r="E32">
        <v>1</v>
      </c>
      <c r="F32">
        <v>24</v>
      </c>
      <c r="G32">
        <v>2141401</v>
      </c>
      <c r="H32">
        <v>0</v>
      </c>
      <c r="I32">
        <v>1</v>
      </c>
      <c r="J32">
        <v>1</v>
      </c>
      <c r="K32">
        <v>0</v>
      </c>
      <c r="L32">
        <f t="shared" si="0"/>
        <v>39</v>
      </c>
      <c r="M32">
        <f t="shared" si="1"/>
        <v>468</v>
      </c>
      <c r="N32">
        <f t="shared" si="2"/>
        <v>431</v>
      </c>
      <c r="O32">
        <f t="shared" si="3"/>
        <v>2052.9166666666665</v>
      </c>
    </row>
    <row r="33" spans="1:15" x14ac:dyDescent="0.2">
      <c r="A33" t="s">
        <v>19</v>
      </c>
      <c r="B33">
        <v>9</v>
      </c>
      <c r="C33">
        <v>26</v>
      </c>
      <c r="D33">
        <v>38</v>
      </c>
      <c r="E33">
        <v>2</v>
      </c>
      <c r="F33">
        <v>21</v>
      </c>
      <c r="G33">
        <v>2135301</v>
      </c>
      <c r="H33">
        <v>0</v>
      </c>
      <c r="I33">
        <v>1</v>
      </c>
      <c r="J33">
        <v>1</v>
      </c>
      <c r="K33">
        <v>0</v>
      </c>
      <c r="L33">
        <f t="shared" si="0"/>
        <v>39</v>
      </c>
      <c r="M33">
        <f t="shared" si="1"/>
        <v>468</v>
      </c>
      <c r="N33">
        <f t="shared" si="2"/>
        <v>430</v>
      </c>
      <c r="O33">
        <f t="shared" si="3"/>
        <v>2052.8333333333335</v>
      </c>
    </row>
    <row r="34" spans="1:15" x14ac:dyDescent="0.2">
      <c r="A34" t="s">
        <v>19</v>
      </c>
      <c r="B34">
        <v>9</v>
      </c>
      <c r="C34">
        <v>26</v>
      </c>
      <c r="D34">
        <v>40</v>
      </c>
      <c r="E34">
        <v>12</v>
      </c>
      <c r="F34">
        <v>21</v>
      </c>
      <c r="G34">
        <v>2130001</v>
      </c>
      <c r="H34">
        <v>0</v>
      </c>
      <c r="I34">
        <v>1</v>
      </c>
      <c r="J34">
        <v>1</v>
      </c>
      <c r="K34">
        <v>0</v>
      </c>
      <c r="L34">
        <f t="shared" si="0"/>
        <v>39</v>
      </c>
      <c r="M34">
        <f t="shared" si="1"/>
        <v>468</v>
      </c>
      <c r="N34">
        <f t="shared" si="2"/>
        <v>428</v>
      </c>
      <c r="O34">
        <f t="shared" si="3"/>
        <v>2052.6666666666665</v>
      </c>
    </row>
    <row r="35" spans="1:15" x14ac:dyDescent="0.2">
      <c r="A35" t="s">
        <v>19</v>
      </c>
      <c r="B35">
        <v>9</v>
      </c>
      <c r="C35">
        <v>26</v>
      </c>
      <c r="D35">
        <v>50</v>
      </c>
      <c r="E35">
        <v>12</v>
      </c>
      <c r="F35">
        <v>19</v>
      </c>
      <c r="G35">
        <v>2081101</v>
      </c>
      <c r="H35">
        <v>0</v>
      </c>
      <c r="I35">
        <v>1</v>
      </c>
      <c r="J35">
        <v>1</v>
      </c>
      <c r="K35">
        <v>0</v>
      </c>
      <c r="L35">
        <f t="shared" si="0"/>
        <v>39</v>
      </c>
      <c r="M35">
        <f t="shared" si="1"/>
        <v>468</v>
      </c>
      <c r="N35">
        <f t="shared" si="2"/>
        <v>418</v>
      </c>
      <c r="O35">
        <f t="shared" si="3"/>
        <v>2051.8333333333335</v>
      </c>
    </row>
    <row r="36" spans="1:15" x14ac:dyDescent="0.2">
      <c r="A36" t="s">
        <v>19</v>
      </c>
      <c r="B36">
        <v>9</v>
      </c>
      <c r="C36">
        <v>26</v>
      </c>
      <c r="D36">
        <v>105</v>
      </c>
      <c r="E36">
        <v>1</v>
      </c>
      <c r="F36">
        <v>22</v>
      </c>
      <c r="G36">
        <v>1791401</v>
      </c>
      <c r="H36">
        <v>0</v>
      </c>
      <c r="I36">
        <v>1</v>
      </c>
      <c r="J36">
        <v>1</v>
      </c>
      <c r="K36">
        <v>0</v>
      </c>
      <c r="L36">
        <f t="shared" si="0"/>
        <v>39</v>
      </c>
      <c r="M36">
        <f t="shared" si="1"/>
        <v>468</v>
      </c>
      <c r="N36">
        <f t="shared" si="2"/>
        <v>363</v>
      </c>
      <c r="O36">
        <f t="shared" si="3"/>
        <v>2047.25</v>
      </c>
    </row>
    <row r="37" spans="1:15" x14ac:dyDescent="0.2">
      <c r="A37" t="s">
        <v>19</v>
      </c>
      <c r="B37">
        <v>9</v>
      </c>
      <c r="C37">
        <v>26</v>
      </c>
      <c r="D37">
        <v>108</v>
      </c>
      <c r="E37">
        <v>1</v>
      </c>
      <c r="F37">
        <v>25</v>
      </c>
      <c r="G37">
        <v>1724301</v>
      </c>
      <c r="H37">
        <v>1</v>
      </c>
      <c r="I37">
        <v>0</v>
      </c>
      <c r="J37">
        <v>1</v>
      </c>
      <c r="K37">
        <v>0</v>
      </c>
      <c r="L37">
        <f t="shared" si="0"/>
        <v>39</v>
      </c>
      <c r="M37">
        <f t="shared" si="1"/>
        <v>468</v>
      </c>
      <c r="N37">
        <f t="shared" si="2"/>
        <v>360</v>
      </c>
      <c r="O37">
        <f t="shared" si="3"/>
        <v>2047</v>
      </c>
    </row>
    <row r="38" spans="1:15" x14ac:dyDescent="0.2">
      <c r="A38" t="s">
        <v>19</v>
      </c>
      <c r="B38">
        <v>9</v>
      </c>
      <c r="C38">
        <v>26</v>
      </c>
      <c r="D38">
        <v>109</v>
      </c>
      <c r="E38">
        <v>1</v>
      </c>
      <c r="F38">
        <v>26</v>
      </c>
      <c r="G38">
        <v>1707601</v>
      </c>
      <c r="H38">
        <v>0</v>
      </c>
      <c r="I38">
        <v>1</v>
      </c>
      <c r="J38">
        <v>1</v>
      </c>
      <c r="K38">
        <v>0</v>
      </c>
      <c r="L38">
        <f t="shared" si="0"/>
        <v>39</v>
      </c>
      <c r="M38">
        <f t="shared" si="1"/>
        <v>468</v>
      </c>
      <c r="N38">
        <f t="shared" si="2"/>
        <v>359</v>
      </c>
      <c r="O38">
        <f t="shared" si="3"/>
        <v>2046.9166666666667</v>
      </c>
    </row>
    <row r="39" spans="1:15" x14ac:dyDescent="0.2">
      <c r="A39" t="s">
        <v>19</v>
      </c>
      <c r="B39">
        <v>9</v>
      </c>
      <c r="C39">
        <v>26</v>
      </c>
      <c r="D39">
        <v>144</v>
      </c>
      <c r="E39">
        <v>1</v>
      </c>
      <c r="F39">
        <v>22</v>
      </c>
      <c r="G39">
        <v>1089701</v>
      </c>
      <c r="H39">
        <v>0</v>
      </c>
      <c r="I39">
        <v>1</v>
      </c>
      <c r="J39">
        <v>1</v>
      </c>
      <c r="K39">
        <v>0</v>
      </c>
      <c r="L39">
        <f t="shared" si="0"/>
        <v>39</v>
      </c>
      <c r="M39">
        <f t="shared" si="1"/>
        <v>468</v>
      </c>
      <c r="N39">
        <f t="shared" si="2"/>
        <v>324</v>
      </c>
      <c r="O39">
        <f t="shared" si="3"/>
        <v>2044</v>
      </c>
    </row>
    <row r="40" spans="1:15" x14ac:dyDescent="0.2">
      <c r="A40" t="s">
        <v>19</v>
      </c>
      <c r="B40">
        <v>9</v>
      </c>
      <c r="C40">
        <v>26</v>
      </c>
      <c r="D40">
        <v>144</v>
      </c>
      <c r="E40">
        <v>1</v>
      </c>
      <c r="F40">
        <v>24</v>
      </c>
      <c r="G40">
        <v>1104101</v>
      </c>
      <c r="H40">
        <v>0</v>
      </c>
      <c r="I40">
        <v>1</v>
      </c>
      <c r="J40">
        <v>1</v>
      </c>
      <c r="K40">
        <v>0</v>
      </c>
      <c r="L40">
        <f t="shared" si="0"/>
        <v>39</v>
      </c>
      <c r="M40">
        <f t="shared" si="1"/>
        <v>468</v>
      </c>
      <c r="N40">
        <f t="shared" si="2"/>
        <v>324</v>
      </c>
      <c r="O40">
        <f t="shared" si="3"/>
        <v>2044</v>
      </c>
    </row>
    <row r="41" spans="1:15" x14ac:dyDescent="0.2">
      <c r="A41" t="s">
        <v>19</v>
      </c>
      <c r="B41">
        <v>9</v>
      </c>
      <c r="C41">
        <v>26</v>
      </c>
      <c r="D41">
        <v>154</v>
      </c>
      <c r="E41">
        <v>2</v>
      </c>
      <c r="F41">
        <v>23</v>
      </c>
      <c r="G41">
        <v>1018701</v>
      </c>
      <c r="H41">
        <v>0</v>
      </c>
      <c r="I41">
        <v>1</v>
      </c>
      <c r="J41">
        <v>1</v>
      </c>
      <c r="K41">
        <v>0</v>
      </c>
      <c r="L41">
        <f t="shared" si="0"/>
        <v>39</v>
      </c>
      <c r="M41">
        <f t="shared" si="1"/>
        <v>468</v>
      </c>
      <c r="N41">
        <f t="shared" si="2"/>
        <v>314</v>
      </c>
      <c r="O41">
        <f t="shared" si="3"/>
        <v>2043.1666666666667</v>
      </c>
    </row>
    <row r="42" spans="1:15" x14ac:dyDescent="0.2">
      <c r="A42" t="s">
        <v>19</v>
      </c>
      <c r="B42">
        <v>9</v>
      </c>
      <c r="C42">
        <v>26</v>
      </c>
      <c r="D42">
        <v>162</v>
      </c>
      <c r="E42">
        <v>1</v>
      </c>
      <c r="F42">
        <v>26</v>
      </c>
      <c r="G42">
        <v>959501</v>
      </c>
      <c r="H42">
        <v>0</v>
      </c>
      <c r="I42">
        <v>1</v>
      </c>
      <c r="J42">
        <v>1</v>
      </c>
      <c r="K42">
        <v>0</v>
      </c>
      <c r="L42">
        <f t="shared" si="0"/>
        <v>39</v>
      </c>
      <c r="M42">
        <f t="shared" si="1"/>
        <v>468</v>
      </c>
      <c r="N42">
        <f t="shared" si="2"/>
        <v>306</v>
      </c>
      <c r="O42">
        <f t="shared" si="3"/>
        <v>2042.5</v>
      </c>
    </row>
    <row r="43" spans="1:15" x14ac:dyDescent="0.2">
      <c r="A43" t="s">
        <v>19</v>
      </c>
      <c r="B43">
        <v>9</v>
      </c>
      <c r="C43">
        <v>26</v>
      </c>
      <c r="D43">
        <v>165</v>
      </c>
      <c r="E43">
        <v>1</v>
      </c>
      <c r="F43">
        <v>23</v>
      </c>
      <c r="G43">
        <v>928901</v>
      </c>
      <c r="H43">
        <v>0</v>
      </c>
      <c r="I43">
        <v>1</v>
      </c>
      <c r="J43">
        <v>1</v>
      </c>
      <c r="K43">
        <v>0</v>
      </c>
      <c r="L43">
        <f t="shared" si="0"/>
        <v>39</v>
      </c>
      <c r="M43">
        <f t="shared" si="1"/>
        <v>468</v>
      </c>
      <c r="N43">
        <f t="shared" si="2"/>
        <v>303</v>
      </c>
      <c r="O43">
        <f t="shared" si="3"/>
        <v>2042.25</v>
      </c>
    </row>
    <row r="44" spans="1:15" x14ac:dyDescent="0.2">
      <c r="A44" t="s">
        <v>19</v>
      </c>
      <c r="B44">
        <v>9</v>
      </c>
      <c r="C44">
        <v>26</v>
      </c>
      <c r="D44">
        <v>190</v>
      </c>
      <c r="E44">
        <v>2</v>
      </c>
      <c r="F44">
        <v>25</v>
      </c>
      <c r="G44">
        <v>861302</v>
      </c>
      <c r="H44">
        <v>0</v>
      </c>
      <c r="I44">
        <v>1</v>
      </c>
      <c r="J44">
        <v>1</v>
      </c>
      <c r="K44">
        <v>0</v>
      </c>
      <c r="L44">
        <f t="shared" si="0"/>
        <v>39</v>
      </c>
      <c r="M44">
        <f t="shared" si="1"/>
        <v>468</v>
      </c>
      <c r="N44">
        <f t="shared" si="2"/>
        <v>278</v>
      </c>
      <c r="O44">
        <f t="shared" si="3"/>
        <v>2040.1666666666667</v>
      </c>
    </row>
    <row r="45" spans="1:15" x14ac:dyDescent="0.2">
      <c r="A45" t="s">
        <v>19</v>
      </c>
      <c r="B45">
        <v>9</v>
      </c>
      <c r="C45">
        <v>26</v>
      </c>
      <c r="D45">
        <v>193</v>
      </c>
      <c r="E45">
        <v>1</v>
      </c>
      <c r="F45">
        <v>24</v>
      </c>
      <c r="G45">
        <v>847001</v>
      </c>
      <c r="H45">
        <v>0</v>
      </c>
      <c r="I45">
        <v>1</v>
      </c>
      <c r="J45">
        <v>1</v>
      </c>
      <c r="K45">
        <v>0</v>
      </c>
      <c r="L45">
        <f t="shared" si="0"/>
        <v>39</v>
      </c>
      <c r="M45">
        <f t="shared" si="1"/>
        <v>468</v>
      </c>
      <c r="N45">
        <f t="shared" si="2"/>
        <v>275</v>
      </c>
      <c r="O45">
        <f t="shared" si="3"/>
        <v>2039.9166666666667</v>
      </c>
    </row>
    <row r="46" spans="1:15" x14ac:dyDescent="0.2">
      <c r="A46" t="s">
        <v>19</v>
      </c>
      <c r="B46">
        <v>9</v>
      </c>
      <c r="C46">
        <v>26</v>
      </c>
      <c r="D46">
        <v>213</v>
      </c>
      <c r="E46">
        <v>1</v>
      </c>
      <c r="F46">
        <v>24</v>
      </c>
      <c r="G46">
        <v>590302</v>
      </c>
      <c r="H46">
        <v>1</v>
      </c>
      <c r="I46">
        <v>0</v>
      </c>
      <c r="J46">
        <v>1</v>
      </c>
      <c r="K46">
        <v>0</v>
      </c>
      <c r="L46">
        <f t="shared" si="0"/>
        <v>39</v>
      </c>
      <c r="M46">
        <f t="shared" si="1"/>
        <v>468</v>
      </c>
      <c r="N46">
        <f t="shared" si="2"/>
        <v>255</v>
      </c>
      <c r="O46">
        <f t="shared" si="3"/>
        <v>2038.25</v>
      </c>
    </row>
    <row r="47" spans="1:15" x14ac:dyDescent="0.2">
      <c r="A47" t="s">
        <v>19</v>
      </c>
      <c r="B47">
        <v>9</v>
      </c>
      <c r="C47">
        <v>26</v>
      </c>
      <c r="D47">
        <v>224</v>
      </c>
      <c r="E47">
        <v>1</v>
      </c>
      <c r="F47">
        <v>25</v>
      </c>
      <c r="G47">
        <v>295002</v>
      </c>
      <c r="H47">
        <v>1</v>
      </c>
      <c r="I47">
        <v>0</v>
      </c>
      <c r="J47">
        <v>1</v>
      </c>
      <c r="K47">
        <v>0</v>
      </c>
      <c r="L47">
        <f t="shared" si="0"/>
        <v>39</v>
      </c>
      <c r="M47">
        <f t="shared" si="1"/>
        <v>468</v>
      </c>
      <c r="N47">
        <f t="shared" si="2"/>
        <v>244</v>
      </c>
      <c r="O47">
        <f t="shared" si="3"/>
        <v>2037.3333333333333</v>
      </c>
    </row>
    <row r="48" spans="1:15" x14ac:dyDescent="0.2">
      <c r="A48" t="s">
        <v>19</v>
      </c>
      <c r="B48">
        <v>9</v>
      </c>
      <c r="C48">
        <v>26</v>
      </c>
      <c r="D48">
        <v>225</v>
      </c>
      <c r="E48">
        <v>1</v>
      </c>
      <c r="F48">
        <v>23</v>
      </c>
      <c r="G48">
        <v>269902</v>
      </c>
      <c r="H48">
        <v>0</v>
      </c>
      <c r="I48">
        <v>1</v>
      </c>
      <c r="J48">
        <v>1</v>
      </c>
      <c r="K48">
        <v>0</v>
      </c>
      <c r="L48">
        <f t="shared" si="0"/>
        <v>39</v>
      </c>
      <c r="M48">
        <f t="shared" si="1"/>
        <v>468</v>
      </c>
      <c r="N48">
        <f t="shared" si="2"/>
        <v>243</v>
      </c>
      <c r="O48">
        <f t="shared" si="3"/>
        <v>2037.25</v>
      </c>
    </row>
    <row r="49" spans="1:15" x14ac:dyDescent="0.2">
      <c r="A49" t="s">
        <v>19</v>
      </c>
      <c r="B49">
        <v>9</v>
      </c>
      <c r="C49">
        <v>26</v>
      </c>
      <c r="D49">
        <v>235</v>
      </c>
      <c r="E49">
        <v>1</v>
      </c>
      <c r="F49">
        <v>25</v>
      </c>
      <c r="G49">
        <v>109601</v>
      </c>
      <c r="H49">
        <v>1</v>
      </c>
      <c r="I49">
        <v>0</v>
      </c>
      <c r="J49">
        <v>1</v>
      </c>
      <c r="K49">
        <v>0</v>
      </c>
      <c r="L49">
        <f t="shared" si="0"/>
        <v>39</v>
      </c>
      <c r="M49">
        <f t="shared" si="1"/>
        <v>468</v>
      </c>
      <c r="N49">
        <f t="shared" si="2"/>
        <v>233</v>
      </c>
      <c r="O49">
        <f t="shared" si="3"/>
        <v>2036.4166666666667</v>
      </c>
    </row>
    <row r="50" spans="1:15" x14ac:dyDescent="0.2">
      <c r="A50" t="s">
        <v>19</v>
      </c>
      <c r="B50">
        <v>9</v>
      </c>
      <c r="C50">
        <v>27</v>
      </c>
      <c r="D50">
        <v>6</v>
      </c>
      <c r="E50">
        <v>12</v>
      </c>
      <c r="F50">
        <v>25</v>
      </c>
      <c r="G50">
        <v>2335503</v>
      </c>
      <c r="H50">
        <v>0</v>
      </c>
      <c r="I50">
        <v>1</v>
      </c>
      <c r="J50">
        <v>1</v>
      </c>
      <c r="K50">
        <v>0</v>
      </c>
      <c r="L50">
        <f t="shared" si="0"/>
        <v>38</v>
      </c>
      <c r="M50">
        <f t="shared" si="1"/>
        <v>456</v>
      </c>
      <c r="N50">
        <f t="shared" si="2"/>
        <v>450</v>
      </c>
      <c r="O50">
        <f t="shared" si="3"/>
        <v>2054.5</v>
      </c>
    </row>
    <row r="51" spans="1:15" x14ac:dyDescent="0.2">
      <c r="A51" t="s">
        <v>19</v>
      </c>
      <c r="B51">
        <v>9</v>
      </c>
      <c r="C51">
        <v>27</v>
      </c>
      <c r="D51">
        <v>17</v>
      </c>
      <c r="E51">
        <v>12</v>
      </c>
      <c r="F51">
        <v>26</v>
      </c>
      <c r="G51">
        <v>2245403</v>
      </c>
      <c r="H51">
        <v>1</v>
      </c>
      <c r="I51">
        <v>0</v>
      </c>
      <c r="J51">
        <v>1</v>
      </c>
      <c r="K51">
        <v>0</v>
      </c>
      <c r="L51">
        <f t="shared" si="0"/>
        <v>38</v>
      </c>
      <c r="M51">
        <f t="shared" si="1"/>
        <v>456</v>
      </c>
      <c r="N51">
        <f t="shared" si="2"/>
        <v>439</v>
      </c>
      <c r="O51">
        <f t="shared" si="3"/>
        <v>2053.5833333333335</v>
      </c>
    </row>
    <row r="52" spans="1:15" x14ac:dyDescent="0.2">
      <c r="A52" t="s">
        <v>19</v>
      </c>
      <c r="B52">
        <v>9</v>
      </c>
      <c r="C52">
        <v>27</v>
      </c>
      <c r="D52">
        <v>41</v>
      </c>
      <c r="E52">
        <v>2</v>
      </c>
      <c r="F52">
        <v>22</v>
      </c>
      <c r="G52">
        <v>2126301</v>
      </c>
      <c r="H52">
        <v>0</v>
      </c>
      <c r="I52">
        <v>1</v>
      </c>
      <c r="J52">
        <v>1</v>
      </c>
      <c r="K52">
        <v>0</v>
      </c>
      <c r="L52">
        <f t="shared" si="0"/>
        <v>38</v>
      </c>
      <c r="M52">
        <f t="shared" si="1"/>
        <v>456</v>
      </c>
      <c r="N52">
        <f t="shared" si="2"/>
        <v>415</v>
      </c>
      <c r="O52">
        <f t="shared" si="3"/>
        <v>2051.5833333333335</v>
      </c>
    </row>
    <row r="53" spans="1:15" x14ac:dyDescent="0.2">
      <c r="A53" t="s">
        <v>19</v>
      </c>
      <c r="B53">
        <v>9</v>
      </c>
      <c r="C53">
        <v>27</v>
      </c>
      <c r="D53">
        <v>58</v>
      </c>
      <c r="E53">
        <v>1</v>
      </c>
      <c r="F53">
        <v>24</v>
      </c>
      <c r="G53">
        <v>2038901</v>
      </c>
      <c r="H53">
        <v>0</v>
      </c>
      <c r="I53">
        <v>1</v>
      </c>
      <c r="J53">
        <v>1</v>
      </c>
      <c r="K53">
        <v>0</v>
      </c>
      <c r="L53">
        <f t="shared" si="0"/>
        <v>38</v>
      </c>
      <c r="M53">
        <f t="shared" si="1"/>
        <v>456</v>
      </c>
      <c r="N53">
        <f t="shared" si="2"/>
        <v>398</v>
      </c>
      <c r="O53">
        <f t="shared" si="3"/>
        <v>2050.1666666666665</v>
      </c>
    </row>
    <row r="54" spans="1:15" x14ac:dyDescent="0.2">
      <c r="A54" t="s">
        <v>19</v>
      </c>
      <c r="B54">
        <v>9</v>
      </c>
      <c r="C54">
        <v>27</v>
      </c>
      <c r="D54">
        <v>60</v>
      </c>
      <c r="E54">
        <v>2</v>
      </c>
      <c r="F54">
        <v>26</v>
      </c>
      <c r="G54">
        <v>2028301</v>
      </c>
      <c r="H54">
        <v>0</v>
      </c>
      <c r="I54">
        <v>1</v>
      </c>
      <c r="J54">
        <v>1</v>
      </c>
      <c r="K54">
        <v>0</v>
      </c>
      <c r="L54">
        <f t="shared" si="0"/>
        <v>38</v>
      </c>
      <c r="M54">
        <f t="shared" si="1"/>
        <v>456</v>
      </c>
      <c r="N54">
        <f t="shared" si="2"/>
        <v>396</v>
      </c>
      <c r="O54">
        <f t="shared" si="3"/>
        <v>2050</v>
      </c>
    </row>
    <row r="55" spans="1:15" x14ac:dyDescent="0.2">
      <c r="A55" t="s">
        <v>19</v>
      </c>
      <c r="B55">
        <v>9</v>
      </c>
      <c r="C55">
        <v>27</v>
      </c>
      <c r="D55">
        <v>107</v>
      </c>
      <c r="E55">
        <v>1</v>
      </c>
      <c r="F55">
        <v>23</v>
      </c>
      <c r="G55">
        <v>1757201</v>
      </c>
      <c r="H55">
        <v>0</v>
      </c>
      <c r="I55">
        <v>1</v>
      </c>
      <c r="J55">
        <v>1</v>
      </c>
      <c r="K55">
        <v>0</v>
      </c>
      <c r="L55">
        <f t="shared" si="0"/>
        <v>38</v>
      </c>
      <c r="M55">
        <f t="shared" si="1"/>
        <v>456</v>
      </c>
      <c r="N55">
        <f t="shared" si="2"/>
        <v>349</v>
      </c>
      <c r="O55">
        <f t="shared" si="3"/>
        <v>2046.0833333333333</v>
      </c>
    </row>
    <row r="56" spans="1:15" x14ac:dyDescent="0.2">
      <c r="A56" t="s">
        <v>19</v>
      </c>
      <c r="B56">
        <v>9</v>
      </c>
      <c r="C56">
        <v>27</v>
      </c>
      <c r="D56">
        <v>116</v>
      </c>
      <c r="E56">
        <v>1</v>
      </c>
      <c r="F56">
        <v>24</v>
      </c>
      <c r="G56">
        <v>1657801</v>
      </c>
      <c r="H56">
        <v>0</v>
      </c>
      <c r="I56">
        <v>1</v>
      </c>
      <c r="J56">
        <v>1</v>
      </c>
      <c r="K56">
        <v>0</v>
      </c>
      <c r="L56">
        <f t="shared" si="0"/>
        <v>38</v>
      </c>
      <c r="M56">
        <f t="shared" si="1"/>
        <v>456</v>
      </c>
      <c r="N56">
        <f t="shared" si="2"/>
        <v>340</v>
      </c>
      <c r="O56">
        <f t="shared" si="3"/>
        <v>2045.3333333333333</v>
      </c>
    </row>
    <row r="57" spans="1:15" x14ac:dyDescent="0.2">
      <c r="A57" t="s">
        <v>19</v>
      </c>
      <c r="B57">
        <v>9</v>
      </c>
      <c r="C57">
        <v>27</v>
      </c>
      <c r="D57">
        <v>130</v>
      </c>
      <c r="E57">
        <v>2</v>
      </c>
      <c r="F57">
        <v>26</v>
      </c>
      <c r="G57">
        <v>1600301</v>
      </c>
      <c r="H57">
        <v>1</v>
      </c>
      <c r="I57">
        <v>0</v>
      </c>
      <c r="J57">
        <v>1</v>
      </c>
      <c r="K57">
        <v>0</v>
      </c>
      <c r="L57">
        <f t="shared" si="0"/>
        <v>38</v>
      </c>
      <c r="M57">
        <f t="shared" si="1"/>
        <v>456</v>
      </c>
      <c r="N57">
        <f t="shared" si="2"/>
        <v>326</v>
      </c>
      <c r="O57">
        <f t="shared" si="3"/>
        <v>2044.1666666666667</v>
      </c>
    </row>
    <row r="58" spans="1:15" x14ac:dyDescent="0.2">
      <c r="A58" t="s">
        <v>19</v>
      </c>
      <c r="B58">
        <v>9</v>
      </c>
      <c r="C58">
        <v>27</v>
      </c>
      <c r="D58">
        <v>161</v>
      </c>
      <c r="E58">
        <v>1</v>
      </c>
      <c r="F58">
        <v>27</v>
      </c>
      <c r="G58">
        <v>965401</v>
      </c>
      <c r="H58">
        <v>0</v>
      </c>
      <c r="I58">
        <v>1</v>
      </c>
      <c r="J58">
        <v>1</v>
      </c>
      <c r="K58">
        <v>0</v>
      </c>
      <c r="L58">
        <f t="shared" si="0"/>
        <v>38</v>
      </c>
      <c r="M58">
        <f t="shared" si="1"/>
        <v>456</v>
      </c>
      <c r="N58">
        <f t="shared" si="2"/>
        <v>295</v>
      </c>
      <c r="O58">
        <f t="shared" si="3"/>
        <v>2041.5833333333333</v>
      </c>
    </row>
    <row r="59" spans="1:15" x14ac:dyDescent="0.2">
      <c r="A59" t="s">
        <v>19</v>
      </c>
      <c r="B59">
        <v>9</v>
      </c>
      <c r="C59">
        <v>27</v>
      </c>
      <c r="D59">
        <v>202</v>
      </c>
      <c r="E59">
        <v>2</v>
      </c>
      <c r="F59">
        <v>24</v>
      </c>
      <c r="G59">
        <v>772101</v>
      </c>
      <c r="H59">
        <v>0</v>
      </c>
      <c r="I59">
        <v>1</v>
      </c>
      <c r="J59">
        <v>1</v>
      </c>
      <c r="K59">
        <v>0</v>
      </c>
      <c r="L59">
        <f t="shared" si="0"/>
        <v>38</v>
      </c>
      <c r="M59">
        <f t="shared" si="1"/>
        <v>456</v>
      </c>
      <c r="N59">
        <f t="shared" si="2"/>
        <v>254</v>
      </c>
      <c r="O59">
        <f t="shared" si="3"/>
        <v>2038.1666666666667</v>
      </c>
    </row>
    <row r="60" spans="1:15" x14ac:dyDescent="0.2">
      <c r="A60" t="s">
        <v>19</v>
      </c>
      <c r="B60">
        <v>9</v>
      </c>
      <c r="C60">
        <v>27</v>
      </c>
      <c r="D60">
        <v>217</v>
      </c>
      <c r="E60">
        <v>12</v>
      </c>
      <c r="F60">
        <v>27</v>
      </c>
      <c r="G60">
        <v>498701</v>
      </c>
      <c r="H60">
        <v>1</v>
      </c>
      <c r="I60">
        <v>0</v>
      </c>
      <c r="J60">
        <v>1</v>
      </c>
      <c r="K60">
        <v>0</v>
      </c>
      <c r="L60">
        <f t="shared" si="0"/>
        <v>38</v>
      </c>
      <c r="M60">
        <f t="shared" si="1"/>
        <v>456</v>
      </c>
      <c r="N60">
        <f t="shared" si="2"/>
        <v>239</v>
      </c>
      <c r="O60">
        <f t="shared" si="3"/>
        <v>2036.9166666666667</v>
      </c>
    </row>
    <row r="61" spans="1:15" x14ac:dyDescent="0.2">
      <c r="A61" t="s">
        <v>19</v>
      </c>
      <c r="B61">
        <v>9</v>
      </c>
      <c r="C61">
        <v>27</v>
      </c>
      <c r="D61">
        <v>219</v>
      </c>
      <c r="E61">
        <v>12</v>
      </c>
      <c r="F61">
        <v>26</v>
      </c>
      <c r="G61">
        <v>381501</v>
      </c>
      <c r="H61">
        <v>0</v>
      </c>
      <c r="I61">
        <v>1</v>
      </c>
      <c r="J61">
        <v>1</v>
      </c>
      <c r="K61">
        <v>0</v>
      </c>
      <c r="L61">
        <f t="shared" si="0"/>
        <v>38</v>
      </c>
      <c r="M61">
        <f t="shared" si="1"/>
        <v>456</v>
      </c>
      <c r="N61">
        <f t="shared" si="2"/>
        <v>237</v>
      </c>
      <c r="O61">
        <f t="shared" si="3"/>
        <v>2036.75</v>
      </c>
    </row>
    <row r="62" spans="1:15" x14ac:dyDescent="0.2">
      <c r="A62" t="s">
        <v>19</v>
      </c>
      <c r="B62">
        <v>9</v>
      </c>
      <c r="C62">
        <v>27</v>
      </c>
      <c r="D62">
        <v>221</v>
      </c>
      <c r="E62">
        <v>1</v>
      </c>
      <c r="F62">
        <v>24</v>
      </c>
      <c r="G62">
        <v>327302</v>
      </c>
      <c r="H62">
        <v>0</v>
      </c>
      <c r="I62">
        <v>1</v>
      </c>
      <c r="J62">
        <v>1</v>
      </c>
      <c r="K62">
        <v>0</v>
      </c>
      <c r="L62">
        <f t="shared" si="0"/>
        <v>38</v>
      </c>
      <c r="M62">
        <f t="shared" si="1"/>
        <v>456</v>
      </c>
      <c r="N62">
        <f t="shared" si="2"/>
        <v>235</v>
      </c>
      <c r="O62">
        <f t="shared" si="3"/>
        <v>2036.5833333333333</v>
      </c>
    </row>
    <row r="63" spans="1:15" x14ac:dyDescent="0.2">
      <c r="A63" t="s">
        <v>19</v>
      </c>
      <c r="B63">
        <v>9</v>
      </c>
      <c r="C63">
        <v>27</v>
      </c>
      <c r="D63">
        <v>221</v>
      </c>
      <c r="E63">
        <v>1</v>
      </c>
      <c r="F63">
        <v>27</v>
      </c>
      <c r="G63">
        <v>354702</v>
      </c>
      <c r="H63">
        <v>1</v>
      </c>
      <c r="I63">
        <v>0</v>
      </c>
      <c r="J63">
        <v>1</v>
      </c>
      <c r="K63">
        <v>0</v>
      </c>
      <c r="L63">
        <f t="shared" si="0"/>
        <v>38</v>
      </c>
      <c r="M63">
        <f t="shared" si="1"/>
        <v>456</v>
      </c>
      <c r="N63">
        <f t="shared" si="2"/>
        <v>235</v>
      </c>
      <c r="O63">
        <f t="shared" si="3"/>
        <v>2036.5833333333333</v>
      </c>
    </row>
    <row r="64" spans="1:15" x14ac:dyDescent="0.2">
      <c r="A64" t="s">
        <v>19</v>
      </c>
      <c r="B64">
        <v>9</v>
      </c>
      <c r="C64">
        <v>27</v>
      </c>
      <c r="D64">
        <v>228</v>
      </c>
      <c r="E64">
        <v>12</v>
      </c>
      <c r="F64">
        <v>27</v>
      </c>
      <c r="G64">
        <v>217902</v>
      </c>
      <c r="H64">
        <v>0</v>
      </c>
      <c r="I64">
        <v>1</v>
      </c>
      <c r="J64">
        <v>1</v>
      </c>
      <c r="K64">
        <v>0</v>
      </c>
      <c r="L64">
        <f t="shared" si="0"/>
        <v>38</v>
      </c>
      <c r="M64">
        <f t="shared" si="1"/>
        <v>456</v>
      </c>
      <c r="N64">
        <f t="shared" si="2"/>
        <v>228</v>
      </c>
      <c r="O64">
        <f t="shared" si="3"/>
        <v>2036</v>
      </c>
    </row>
    <row r="65" spans="1:15" x14ac:dyDescent="0.2">
      <c r="A65" t="s">
        <v>19</v>
      </c>
      <c r="B65">
        <v>9</v>
      </c>
      <c r="C65">
        <v>27</v>
      </c>
      <c r="D65">
        <v>230</v>
      </c>
      <c r="E65">
        <v>1</v>
      </c>
      <c r="F65">
        <v>24</v>
      </c>
      <c r="G65">
        <v>188101</v>
      </c>
      <c r="H65">
        <v>0</v>
      </c>
      <c r="I65">
        <v>1</v>
      </c>
      <c r="J65">
        <v>1</v>
      </c>
      <c r="K65">
        <v>0</v>
      </c>
      <c r="L65">
        <f t="shared" si="0"/>
        <v>38</v>
      </c>
      <c r="M65">
        <f t="shared" si="1"/>
        <v>456</v>
      </c>
      <c r="N65">
        <f t="shared" si="2"/>
        <v>226</v>
      </c>
      <c r="O65">
        <f t="shared" si="3"/>
        <v>2035.8333333333333</v>
      </c>
    </row>
    <row r="66" spans="1:15" x14ac:dyDescent="0.2">
      <c r="A66" t="s">
        <v>19</v>
      </c>
      <c r="B66">
        <v>9</v>
      </c>
      <c r="C66">
        <v>27</v>
      </c>
      <c r="D66">
        <v>234</v>
      </c>
      <c r="E66">
        <v>1</v>
      </c>
      <c r="F66">
        <v>23</v>
      </c>
      <c r="G66">
        <v>131702</v>
      </c>
      <c r="H66">
        <v>0</v>
      </c>
      <c r="I66">
        <v>1</v>
      </c>
      <c r="J66">
        <v>1</v>
      </c>
      <c r="K66">
        <v>0</v>
      </c>
      <c r="L66">
        <f t="shared" si="0"/>
        <v>38</v>
      </c>
      <c r="M66">
        <f t="shared" si="1"/>
        <v>456</v>
      </c>
      <c r="N66">
        <f t="shared" si="2"/>
        <v>222</v>
      </c>
      <c r="O66">
        <f t="shared" si="3"/>
        <v>2035.5</v>
      </c>
    </row>
    <row r="67" spans="1:15" x14ac:dyDescent="0.2">
      <c r="A67" t="s">
        <v>19</v>
      </c>
      <c r="B67">
        <v>9</v>
      </c>
      <c r="C67">
        <v>27</v>
      </c>
      <c r="D67">
        <v>251</v>
      </c>
      <c r="E67">
        <v>1</v>
      </c>
      <c r="F67">
        <v>25</v>
      </c>
      <c r="G67">
        <v>202</v>
      </c>
      <c r="H67">
        <v>0</v>
      </c>
      <c r="I67">
        <v>1</v>
      </c>
      <c r="J67">
        <v>1</v>
      </c>
      <c r="K67">
        <v>0</v>
      </c>
      <c r="L67">
        <f t="shared" si="0"/>
        <v>38</v>
      </c>
      <c r="M67">
        <f t="shared" si="1"/>
        <v>456</v>
      </c>
      <c r="N67">
        <f t="shared" si="2"/>
        <v>205</v>
      </c>
      <c r="O67">
        <f t="shared" si="3"/>
        <v>2034.0833333333333</v>
      </c>
    </row>
    <row r="68" spans="1:15" x14ac:dyDescent="0.2">
      <c r="A68" t="s">
        <v>19</v>
      </c>
      <c r="B68">
        <v>9</v>
      </c>
      <c r="C68">
        <v>28</v>
      </c>
      <c r="D68">
        <v>1</v>
      </c>
      <c r="E68">
        <v>12</v>
      </c>
      <c r="F68">
        <v>26</v>
      </c>
      <c r="G68">
        <v>2411903</v>
      </c>
      <c r="H68">
        <v>1</v>
      </c>
      <c r="I68">
        <v>0</v>
      </c>
      <c r="J68">
        <v>1</v>
      </c>
      <c r="K68">
        <v>0</v>
      </c>
      <c r="L68">
        <f t="shared" si="0"/>
        <v>37</v>
      </c>
      <c r="M68">
        <f t="shared" si="1"/>
        <v>444</v>
      </c>
      <c r="N68">
        <f t="shared" si="2"/>
        <v>443</v>
      </c>
      <c r="O68">
        <f t="shared" si="3"/>
        <v>2053.9166666666665</v>
      </c>
    </row>
    <row r="69" spans="1:15" x14ac:dyDescent="0.2">
      <c r="A69" t="s">
        <v>19</v>
      </c>
      <c r="B69">
        <v>9</v>
      </c>
      <c r="C69">
        <v>28</v>
      </c>
      <c r="D69">
        <v>3</v>
      </c>
      <c r="E69">
        <v>12</v>
      </c>
      <c r="F69">
        <v>22</v>
      </c>
      <c r="G69">
        <v>2360703</v>
      </c>
      <c r="H69">
        <v>1</v>
      </c>
      <c r="I69">
        <v>0</v>
      </c>
      <c r="J69">
        <v>1</v>
      </c>
      <c r="K69">
        <v>0</v>
      </c>
      <c r="L69">
        <f t="shared" si="0"/>
        <v>37</v>
      </c>
      <c r="M69">
        <f t="shared" si="1"/>
        <v>444</v>
      </c>
      <c r="N69">
        <f t="shared" si="2"/>
        <v>441</v>
      </c>
      <c r="O69">
        <f t="shared" si="3"/>
        <v>2053.75</v>
      </c>
    </row>
    <row r="70" spans="1:15" x14ac:dyDescent="0.2">
      <c r="A70" t="s">
        <v>19</v>
      </c>
      <c r="B70">
        <v>9</v>
      </c>
      <c r="C70">
        <v>28</v>
      </c>
      <c r="D70">
        <v>4</v>
      </c>
      <c r="E70">
        <v>12</v>
      </c>
      <c r="F70">
        <v>24</v>
      </c>
      <c r="G70">
        <v>2348903</v>
      </c>
      <c r="H70">
        <v>0</v>
      </c>
      <c r="I70">
        <v>1</v>
      </c>
      <c r="J70">
        <v>1</v>
      </c>
      <c r="K70">
        <v>0</v>
      </c>
      <c r="L70">
        <f t="shared" si="0"/>
        <v>37</v>
      </c>
      <c r="M70">
        <f t="shared" si="1"/>
        <v>444</v>
      </c>
      <c r="N70">
        <f t="shared" si="2"/>
        <v>440</v>
      </c>
      <c r="O70">
        <f t="shared" si="3"/>
        <v>2053.6666666666665</v>
      </c>
    </row>
    <row r="71" spans="1:15" x14ac:dyDescent="0.2">
      <c r="A71" t="s">
        <v>19</v>
      </c>
      <c r="B71">
        <v>9</v>
      </c>
      <c r="C71">
        <v>28</v>
      </c>
      <c r="D71">
        <v>5</v>
      </c>
      <c r="E71">
        <v>12</v>
      </c>
      <c r="F71">
        <v>27</v>
      </c>
      <c r="G71">
        <v>2342303</v>
      </c>
      <c r="H71">
        <v>0</v>
      </c>
      <c r="I71">
        <v>1</v>
      </c>
      <c r="J71">
        <v>1</v>
      </c>
      <c r="K71">
        <v>0</v>
      </c>
      <c r="L71">
        <f t="shared" ref="L71:L134" si="4">65-C71</f>
        <v>37</v>
      </c>
      <c r="M71">
        <f t="shared" ref="M71:M134" si="5">L71*12</f>
        <v>444</v>
      </c>
      <c r="N71">
        <f t="shared" ref="N71:N134" si="6">M71-D71</f>
        <v>439</v>
      </c>
      <c r="O71">
        <f t="shared" ref="O71:O134" si="7">2017+N71/12</f>
        <v>2053.5833333333335</v>
      </c>
    </row>
    <row r="72" spans="1:15" x14ac:dyDescent="0.2">
      <c r="A72" t="s">
        <v>19</v>
      </c>
      <c r="B72">
        <v>9</v>
      </c>
      <c r="C72">
        <v>28</v>
      </c>
      <c r="D72">
        <v>30</v>
      </c>
      <c r="E72">
        <v>1</v>
      </c>
      <c r="F72">
        <v>26</v>
      </c>
      <c r="G72">
        <v>2174701</v>
      </c>
      <c r="H72">
        <v>0</v>
      </c>
      <c r="I72">
        <v>1</v>
      </c>
      <c r="J72">
        <v>1</v>
      </c>
      <c r="K72">
        <v>0</v>
      </c>
      <c r="L72">
        <f t="shared" si="4"/>
        <v>37</v>
      </c>
      <c r="M72">
        <f t="shared" si="5"/>
        <v>444</v>
      </c>
      <c r="N72">
        <f t="shared" si="6"/>
        <v>414</v>
      </c>
      <c r="O72">
        <f t="shared" si="7"/>
        <v>2051.5</v>
      </c>
    </row>
    <row r="73" spans="1:15" x14ac:dyDescent="0.2">
      <c r="A73" t="s">
        <v>19</v>
      </c>
      <c r="B73">
        <v>9</v>
      </c>
      <c r="C73">
        <v>28</v>
      </c>
      <c r="D73">
        <v>52</v>
      </c>
      <c r="E73">
        <v>2</v>
      </c>
      <c r="F73">
        <v>21</v>
      </c>
      <c r="G73">
        <v>2073001</v>
      </c>
      <c r="H73">
        <v>0</v>
      </c>
      <c r="I73">
        <v>1</v>
      </c>
      <c r="J73">
        <v>1</v>
      </c>
      <c r="K73">
        <v>0</v>
      </c>
      <c r="L73">
        <f t="shared" si="4"/>
        <v>37</v>
      </c>
      <c r="M73">
        <f t="shared" si="5"/>
        <v>444</v>
      </c>
      <c r="N73">
        <f t="shared" si="6"/>
        <v>392</v>
      </c>
      <c r="O73">
        <f t="shared" si="7"/>
        <v>2049.6666666666665</v>
      </c>
    </row>
    <row r="74" spans="1:15" x14ac:dyDescent="0.2">
      <c r="A74" t="s">
        <v>19</v>
      </c>
      <c r="B74">
        <v>9</v>
      </c>
      <c r="C74">
        <v>28</v>
      </c>
      <c r="D74">
        <v>56</v>
      </c>
      <c r="E74">
        <v>1</v>
      </c>
      <c r="F74">
        <v>26</v>
      </c>
      <c r="G74">
        <v>2048501</v>
      </c>
      <c r="H74">
        <v>0</v>
      </c>
      <c r="I74">
        <v>1</v>
      </c>
      <c r="J74">
        <v>1</v>
      </c>
      <c r="K74">
        <v>0</v>
      </c>
      <c r="L74">
        <f t="shared" si="4"/>
        <v>37</v>
      </c>
      <c r="M74">
        <f t="shared" si="5"/>
        <v>444</v>
      </c>
      <c r="N74">
        <f t="shared" si="6"/>
        <v>388</v>
      </c>
      <c r="O74">
        <f t="shared" si="7"/>
        <v>2049.3333333333335</v>
      </c>
    </row>
    <row r="75" spans="1:15" x14ac:dyDescent="0.2">
      <c r="A75" t="s">
        <v>19</v>
      </c>
      <c r="B75">
        <v>9</v>
      </c>
      <c r="C75">
        <v>28</v>
      </c>
      <c r="D75">
        <v>59</v>
      </c>
      <c r="E75">
        <v>2</v>
      </c>
      <c r="F75">
        <v>27</v>
      </c>
      <c r="G75">
        <v>2034601</v>
      </c>
      <c r="H75">
        <v>0</v>
      </c>
      <c r="I75">
        <v>1</v>
      </c>
      <c r="J75">
        <v>1</v>
      </c>
      <c r="K75">
        <v>0</v>
      </c>
      <c r="L75">
        <f t="shared" si="4"/>
        <v>37</v>
      </c>
      <c r="M75">
        <f t="shared" si="5"/>
        <v>444</v>
      </c>
      <c r="N75">
        <f t="shared" si="6"/>
        <v>385</v>
      </c>
      <c r="O75">
        <f t="shared" si="7"/>
        <v>2049.0833333333335</v>
      </c>
    </row>
    <row r="76" spans="1:15" x14ac:dyDescent="0.2">
      <c r="A76" t="s">
        <v>19</v>
      </c>
      <c r="B76">
        <v>9</v>
      </c>
      <c r="C76">
        <v>28</v>
      </c>
      <c r="D76">
        <v>76</v>
      </c>
      <c r="E76">
        <v>1</v>
      </c>
      <c r="F76">
        <v>23</v>
      </c>
      <c r="G76">
        <v>1977801</v>
      </c>
      <c r="H76">
        <v>0</v>
      </c>
      <c r="I76">
        <v>1</v>
      </c>
      <c r="J76">
        <v>1</v>
      </c>
      <c r="K76">
        <v>0</v>
      </c>
      <c r="L76">
        <f t="shared" si="4"/>
        <v>37</v>
      </c>
      <c r="M76">
        <f t="shared" si="5"/>
        <v>444</v>
      </c>
      <c r="N76">
        <f t="shared" si="6"/>
        <v>368</v>
      </c>
      <c r="O76">
        <f t="shared" si="7"/>
        <v>2047.6666666666667</v>
      </c>
    </row>
    <row r="77" spans="1:15" x14ac:dyDescent="0.2">
      <c r="A77" t="s">
        <v>19</v>
      </c>
      <c r="B77">
        <v>9</v>
      </c>
      <c r="C77">
        <v>28</v>
      </c>
      <c r="D77">
        <v>82</v>
      </c>
      <c r="E77">
        <v>2</v>
      </c>
      <c r="F77">
        <v>24</v>
      </c>
      <c r="G77">
        <v>1962401</v>
      </c>
      <c r="H77">
        <v>0</v>
      </c>
      <c r="I77">
        <v>1</v>
      </c>
      <c r="J77">
        <v>1</v>
      </c>
      <c r="K77">
        <v>0</v>
      </c>
      <c r="L77">
        <f t="shared" si="4"/>
        <v>37</v>
      </c>
      <c r="M77">
        <f t="shared" si="5"/>
        <v>444</v>
      </c>
      <c r="N77">
        <f t="shared" si="6"/>
        <v>362</v>
      </c>
      <c r="O77">
        <f t="shared" si="7"/>
        <v>2047.1666666666667</v>
      </c>
    </row>
    <row r="78" spans="1:15" x14ac:dyDescent="0.2">
      <c r="A78" t="s">
        <v>19</v>
      </c>
      <c r="B78">
        <v>9</v>
      </c>
      <c r="C78">
        <v>28</v>
      </c>
      <c r="D78">
        <v>90</v>
      </c>
      <c r="E78">
        <v>1</v>
      </c>
      <c r="F78">
        <v>27</v>
      </c>
      <c r="G78">
        <v>1923201</v>
      </c>
      <c r="H78">
        <v>0</v>
      </c>
      <c r="I78">
        <v>1</v>
      </c>
      <c r="J78">
        <v>1</v>
      </c>
      <c r="K78">
        <v>0</v>
      </c>
      <c r="L78">
        <f t="shared" si="4"/>
        <v>37</v>
      </c>
      <c r="M78">
        <f t="shared" si="5"/>
        <v>444</v>
      </c>
      <c r="N78">
        <f t="shared" si="6"/>
        <v>354</v>
      </c>
      <c r="O78">
        <f t="shared" si="7"/>
        <v>2046.5</v>
      </c>
    </row>
    <row r="79" spans="1:15" x14ac:dyDescent="0.2">
      <c r="A79" t="s">
        <v>19</v>
      </c>
      <c r="B79">
        <v>9</v>
      </c>
      <c r="C79">
        <v>28</v>
      </c>
      <c r="D79">
        <v>110</v>
      </c>
      <c r="E79">
        <v>2</v>
      </c>
      <c r="F79">
        <v>27</v>
      </c>
      <c r="G79">
        <v>1710101</v>
      </c>
      <c r="H79">
        <v>0</v>
      </c>
      <c r="I79">
        <v>1</v>
      </c>
      <c r="J79">
        <v>1</v>
      </c>
      <c r="K79">
        <v>0</v>
      </c>
      <c r="L79">
        <f t="shared" si="4"/>
        <v>37</v>
      </c>
      <c r="M79">
        <f t="shared" si="5"/>
        <v>444</v>
      </c>
      <c r="N79">
        <f t="shared" si="6"/>
        <v>334</v>
      </c>
      <c r="O79">
        <f t="shared" si="7"/>
        <v>2044.8333333333333</v>
      </c>
    </row>
    <row r="80" spans="1:15" x14ac:dyDescent="0.2">
      <c r="A80" t="s">
        <v>19</v>
      </c>
      <c r="B80">
        <v>9</v>
      </c>
      <c r="C80">
        <v>28</v>
      </c>
      <c r="D80">
        <v>118</v>
      </c>
      <c r="E80">
        <v>1</v>
      </c>
      <c r="F80">
        <v>26</v>
      </c>
      <c r="G80">
        <v>1652802</v>
      </c>
      <c r="H80">
        <v>0</v>
      </c>
      <c r="I80">
        <v>1</v>
      </c>
      <c r="J80">
        <v>1</v>
      </c>
      <c r="K80">
        <v>0</v>
      </c>
      <c r="L80">
        <f t="shared" si="4"/>
        <v>37</v>
      </c>
      <c r="M80">
        <f t="shared" si="5"/>
        <v>444</v>
      </c>
      <c r="N80">
        <f t="shared" si="6"/>
        <v>326</v>
      </c>
      <c r="O80">
        <f t="shared" si="7"/>
        <v>2044.1666666666667</v>
      </c>
    </row>
    <row r="81" spans="1:15" x14ac:dyDescent="0.2">
      <c r="A81" t="s">
        <v>19</v>
      </c>
      <c r="B81">
        <v>9</v>
      </c>
      <c r="C81">
        <v>28</v>
      </c>
      <c r="D81">
        <v>120</v>
      </c>
      <c r="E81">
        <v>1</v>
      </c>
      <c r="F81">
        <v>26</v>
      </c>
      <c r="G81">
        <v>1633301</v>
      </c>
      <c r="H81">
        <v>0</v>
      </c>
      <c r="I81">
        <v>1</v>
      </c>
      <c r="J81">
        <v>1</v>
      </c>
      <c r="K81">
        <v>0</v>
      </c>
      <c r="L81">
        <f t="shared" si="4"/>
        <v>37</v>
      </c>
      <c r="M81">
        <f t="shared" si="5"/>
        <v>444</v>
      </c>
      <c r="N81">
        <f t="shared" si="6"/>
        <v>324</v>
      </c>
      <c r="O81">
        <f t="shared" si="7"/>
        <v>2044</v>
      </c>
    </row>
    <row r="82" spans="1:15" x14ac:dyDescent="0.2">
      <c r="A82" t="s">
        <v>19</v>
      </c>
      <c r="B82">
        <v>9</v>
      </c>
      <c r="C82">
        <v>28</v>
      </c>
      <c r="D82">
        <v>140</v>
      </c>
      <c r="E82">
        <v>1</v>
      </c>
      <c r="F82">
        <v>20</v>
      </c>
      <c r="G82">
        <v>1122701</v>
      </c>
      <c r="H82">
        <v>0</v>
      </c>
      <c r="I82">
        <v>1</v>
      </c>
      <c r="J82">
        <v>1</v>
      </c>
      <c r="K82">
        <v>0</v>
      </c>
      <c r="L82">
        <f t="shared" si="4"/>
        <v>37</v>
      </c>
      <c r="M82">
        <f t="shared" si="5"/>
        <v>444</v>
      </c>
      <c r="N82">
        <f t="shared" si="6"/>
        <v>304</v>
      </c>
      <c r="O82">
        <f t="shared" si="7"/>
        <v>2042.3333333333333</v>
      </c>
    </row>
    <row r="83" spans="1:15" x14ac:dyDescent="0.2">
      <c r="A83" t="s">
        <v>19</v>
      </c>
      <c r="B83">
        <v>9</v>
      </c>
      <c r="C83">
        <v>28</v>
      </c>
      <c r="D83">
        <v>142</v>
      </c>
      <c r="E83">
        <v>12</v>
      </c>
      <c r="F83">
        <v>21</v>
      </c>
      <c r="G83">
        <v>1104901</v>
      </c>
      <c r="H83">
        <v>1</v>
      </c>
      <c r="I83">
        <v>0</v>
      </c>
      <c r="J83">
        <v>1</v>
      </c>
      <c r="K83">
        <v>0</v>
      </c>
      <c r="L83">
        <f t="shared" si="4"/>
        <v>37</v>
      </c>
      <c r="M83">
        <f t="shared" si="5"/>
        <v>444</v>
      </c>
      <c r="N83">
        <f t="shared" si="6"/>
        <v>302</v>
      </c>
      <c r="O83">
        <f t="shared" si="7"/>
        <v>2042.1666666666667</v>
      </c>
    </row>
    <row r="84" spans="1:15" x14ac:dyDescent="0.2">
      <c r="A84" t="s">
        <v>19</v>
      </c>
      <c r="B84">
        <v>9</v>
      </c>
      <c r="C84">
        <v>28</v>
      </c>
      <c r="D84">
        <v>143</v>
      </c>
      <c r="E84">
        <v>1</v>
      </c>
      <c r="F84">
        <v>26</v>
      </c>
      <c r="G84">
        <v>1103001</v>
      </c>
      <c r="H84">
        <v>1</v>
      </c>
      <c r="I84">
        <v>0</v>
      </c>
      <c r="J84">
        <v>1</v>
      </c>
      <c r="K84">
        <v>0</v>
      </c>
      <c r="L84">
        <f t="shared" si="4"/>
        <v>37</v>
      </c>
      <c r="M84">
        <f t="shared" si="5"/>
        <v>444</v>
      </c>
      <c r="N84">
        <f t="shared" si="6"/>
        <v>301</v>
      </c>
      <c r="O84">
        <f t="shared" si="7"/>
        <v>2042.0833333333333</v>
      </c>
    </row>
    <row r="85" spans="1:15" x14ac:dyDescent="0.2">
      <c r="A85" t="s">
        <v>19</v>
      </c>
      <c r="B85">
        <v>9</v>
      </c>
      <c r="C85">
        <v>28</v>
      </c>
      <c r="D85">
        <v>161</v>
      </c>
      <c r="E85">
        <v>1</v>
      </c>
      <c r="F85">
        <v>21</v>
      </c>
      <c r="G85">
        <v>969401</v>
      </c>
      <c r="H85">
        <v>0</v>
      </c>
      <c r="I85">
        <v>1</v>
      </c>
      <c r="J85">
        <v>1</v>
      </c>
      <c r="K85">
        <v>0</v>
      </c>
      <c r="L85">
        <f t="shared" si="4"/>
        <v>37</v>
      </c>
      <c r="M85">
        <f t="shared" si="5"/>
        <v>444</v>
      </c>
      <c r="N85">
        <f t="shared" si="6"/>
        <v>283</v>
      </c>
      <c r="O85">
        <f t="shared" si="7"/>
        <v>2040.5833333333333</v>
      </c>
    </row>
    <row r="86" spans="1:15" x14ac:dyDescent="0.2">
      <c r="A86" t="s">
        <v>19</v>
      </c>
      <c r="B86">
        <v>9</v>
      </c>
      <c r="C86">
        <v>28</v>
      </c>
      <c r="D86">
        <v>203</v>
      </c>
      <c r="E86">
        <v>1</v>
      </c>
      <c r="F86">
        <v>25</v>
      </c>
      <c r="G86">
        <v>743203</v>
      </c>
      <c r="H86">
        <v>0</v>
      </c>
      <c r="I86">
        <v>1</v>
      </c>
      <c r="J86">
        <v>1</v>
      </c>
      <c r="K86">
        <v>0</v>
      </c>
      <c r="L86">
        <f t="shared" si="4"/>
        <v>37</v>
      </c>
      <c r="M86">
        <f t="shared" si="5"/>
        <v>444</v>
      </c>
      <c r="N86">
        <f t="shared" si="6"/>
        <v>241</v>
      </c>
      <c r="O86">
        <f t="shared" si="7"/>
        <v>2037.0833333333333</v>
      </c>
    </row>
    <row r="87" spans="1:15" x14ac:dyDescent="0.2">
      <c r="A87" t="s">
        <v>19</v>
      </c>
      <c r="B87">
        <v>9</v>
      </c>
      <c r="C87">
        <v>28</v>
      </c>
      <c r="D87">
        <v>205</v>
      </c>
      <c r="E87">
        <v>1</v>
      </c>
      <c r="F87">
        <v>23</v>
      </c>
      <c r="G87">
        <v>721201</v>
      </c>
      <c r="H87">
        <v>0</v>
      </c>
      <c r="I87">
        <v>1</v>
      </c>
      <c r="J87">
        <v>1</v>
      </c>
      <c r="K87">
        <v>0</v>
      </c>
      <c r="L87">
        <f t="shared" si="4"/>
        <v>37</v>
      </c>
      <c r="M87">
        <f t="shared" si="5"/>
        <v>444</v>
      </c>
      <c r="N87">
        <f t="shared" si="6"/>
        <v>239</v>
      </c>
      <c r="O87">
        <f t="shared" si="7"/>
        <v>2036.9166666666667</v>
      </c>
    </row>
    <row r="88" spans="1:15" x14ac:dyDescent="0.2">
      <c r="A88" t="s">
        <v>19</v>
      </c>
      <c r="B88">
        <v>9</v>
      </c>
      <c r="C88">
        <v>28</v>
      </c>
      <c r="D88">
        <v>212</v>
      </c>
      <c r="E88">
        <v>1</v>
      </c>
      <c r="F88">
        <v>26</v>
      </c>
      <c r="G88">
        <v>614502</v>
      </c>
      <c r="H88">
        <v>1</v>
      </c>
      <c r="I88">
        <v>0</v>
      </c>
      <c r="J88">
        <v>1</v>
      </c>
      <c r="K88">
        <v>0</v>
      </c>
      <c r="L88">
        <f t="shared" si="4"/>
        <v>37</v>
      </c>
      <c r="M88">
        <f t="shared" si="5"/>
        <v>444</v>
      </c>
      <c r="N88">
        <f t="shared" si="6"/>
        <v>232</v>
      </c>
      <c r="O88">
        <f t="shared" si="7"/>
        <v>2036.3333333333333</v>
      </c>
    </row>
    <row r="89" spans="1:15" x14ac:dyDescent="0.2">
      <c r="A89" t="s">
        <v>19</v>
      </c>
      <c r="B89">
        <v>9</v>
      </c>
      <c r="C89">
        <v>28</v>
      </c>
      <c r="D89">
        <v>222</v>
      </c>
      <c r="E89">
        <v>2</v>
      </c>
      <c r="F89">
        <v>25</v>
      </c>
      <c r="G89">
        <v>314902</v>
      </c>
      <c r="H89">
        <v>0</v>
      </c>
      <c r="I89">
        <v>1</v>
      </c>
      <c r="J89">
        <v>1</v>
      </c>
      <c r="K89">
        <v>0</v>
      </c>
      <c r="L89">
        <f t="shared" si="4"/>
        <v>37</v>
      </c>
      <c r="M89">
        <f t="shared" si="5"/>
        <v>444</v>
      </c>
      <c r="N89">
        <f t="shared" si="6"/>
        <v>222</v>
      </c>
      <c r="O89">
        <f t="shared" si="7"/>
        <v>2035.5</v>
      </c>
    </row>
    <row r="90" spans="1:15" x14ac:dyDescent="0.2">
      <c r="A90" t="s">
        <v>19</v>
      </c>
      <c r="B90">
        <v>9</v>
      </c>
      <c r="C90">
        <v>28</v>
      </c>
      <c r="D90">
        <v>223</v>
      </c>
      <c r="E90">
        <v>2</v>
      </c>
      <c r="F90">
        <v>25</v>
      </c>
      <c r="G90">
        <v>298401</v>
      </c>
      <c r="H90">
        <v>0</v>
      </c>
      <c r="I90">
        <v>1</v>
      </c>
      <c r="J90">
        <v>1</v>
      </c>
      <c r="K90">
        <v>0</v>
      </c>
      <c r="L90">
        <f t="shared" si="4"/>
        <v>37</v>
      </c>
      <c r="M90">
        <f t="shared" si="5"/>
        <v>444</v>
      </c>
      <c r="N90">
        <f t="shared" si="6"/>
        <v>221</v>
      </c>
      <c r="O90">
        <f t="shared" si="7"/>
        <v>2035.4166666666667</v>
      </c>
    </row>
    <row r="91" spans="1:15" x14ac:dyDescent="0.2">
      <c r="A91" t="s">
        <v>19</v>
      </c>
      <c r="B91">
        <v>9</v>
      </c>
      <c r="C91">
        <v>28</v>
      </c>
      <c r="D91">
        <v>229</v>
      </c>
      <c r="E91">
        <v>1</v>
      </c>
      <c r="F91">
        <v>20</v>
      </c>
      <c r="G91">
        <v>210401</v>
      </c>
      <c r="H91">
        <v>0</v>
      </c>
      <c r="I91">
        <v>1</v>
      </c>
      <c r="J91">
        <v>1</v>
      </c>
      <c r="K91">
        <v>0</v>
      </c>
      <c r="L91">
        <f t="shared" si="4"/>
        <v>37</v>
      </c>
      <c r="M91">
        <f t="shared" si="5"/>
        <v>444</v>
      </c>
      <c r="N91">
        <f t="shared" si="6"/>
        <v>215</v>
      </c>
      <c r="O91">
        <f t="shared" si="7"/>
        <v>2034.9166666666667</v>
      </c>
    </row>
    <row r="92" spans="1:15" x14ac:dyDescent="0.2">
      <c r="A92" t="s">
        <v>19</v>
      </c>
      <c r="B92">
        <v>9</v>
      </c>
      <c r="C92">
        <v>28</v>
      </c>
      <c r="D92">
        <v>250</v>
      </c>
      <c r="E92">
        <v>1</v>
      </c>
      <c r="F92">
        <v>24</v>
      </c>
      <c r="G92">
        <v>2502</v>
      </c>
      <c r="H92">
        <v>0</v>
      </c>
      <c r="I92">
        <v>1</v>
      </c>
      <c r="J92">
        <v>1</v>
      </c>
      <c r="K92">
        <v>0</v>
      </c>
      <c r="L92">
        <f t="shared" si="4"/>
        <v>37</v>
      </c>
      <c r="M92">
        <f t="shared" si="5"/>
        <v>444</v>
      </c>
      <c r="N92">
        <f t="shared" si="6"/>
        <v>194</v>
      </c>
      <c r="O92">
        <f t="shared" si="7"/>
        <v>2033.1666666666667</v>
      </c>
    </row>
    <row r="93" spans="1:15" x14ac:dyDescent="0.2">
      <c r="A93" t="s">
        <v>19</v>
      </c>
      <c r="B93">
        <v>9</v>
      </c>
      <c r="C93">
        <v>29</v>
      </c>
      <c r="D93">
        <v>1</v>
      </c>
      <c r="E93">
        <v>12</v>
      </c>
      <c r="F93">
        <v>28</v>
      </c>
      <c r="G93">
        <v>2391202</v>
      </c>
      <c r="H93">
        <v>1</v>
      </c>
      <c r="I93">
        <v>0</v>
      </c>
      <c r="J93">
        <v>1</v>
      </c>
      <c r="K93">
        <v>0</v>
      </c>
      <c r="L93">
        <f t="shared" si="4"/>
        <v>36</v>
      </c>
      <c r="M93">
        <f t="shared" si="5"/>
        <v>432</v>
      </c>
      <c r="N93">
        <f t="shared" si="6"/>
        <v>431</v>
      </c>
      <c r="O93">
        <f t="shared" si="7"/>
        <v>2052.9166666666665</v>
      </c>
    </row>
    <row r="94" spans="1:15" x14ac:dyDescent="0.2">
      <c r="A94" t="s">
        <v>19</v>
      </c>
      <c r="B94">
        <v>9</v>
      </c>
      <c r="C94">
        <v>29</v>
      </c>
      <c r="D94">
        <v>4</v>
      </c>
      <c r="E94">
        <v>12</v>
      </c>
      <c r="F94">
        <v>29</v>
      </c>
      <c r="G94">
        <v>2347605</v>
      </c>
      <c r="H94">
        <v>0</v>
      </c>
      <c r="I94">
        <v>1</v>
      </c>
      <c r="J94">
        <v>1</v>
      </c>
      <c r="K94">
        <v>0</v>
      </c>
      <c r="L94">
        <f t="shared" si="4"/>
        <v>36</v>
      </c>
      <c r="M94">
        <f t="shared" si="5"/>
        <v>432</v>
      </c>
      <c r="N94">
        <f t="shared" si="6"/>
        <v>428</v>
      </c>
      <c r="O94">
        <f t="shared" si="7"/>
        <v>2052.6666666666665</v>
      </c>
    </row>
    <row r="95" spans="1:15" x14ac:dyDescent="0.2">
      <c r="A95" t="s">
        <v>19</v>
      </c>
      <c r="B95">
        <v>9</v>
      </c>
      <c r="C95">
        <v>29</v>
      </c>
      <c r="D95">
        <v>5</v>
      </c>
      <c r="E95">
        <v>12</v>
      </c>
      <c r="F95">
        <v>28</v>
      </c>
      <c r="G95">
        <v>2340802</v>
      </c>
      <c r="H95">
        <v>0</v>
      </c>
      <c r="I95">
        <v>1</v>
      </c>
      <c r="J95">
        <v>1</v>
      </c>
      <c r="K95">
        <v>0</v>
      </c>
      <c r="L95">
        <f t="shared" si="4"/>
        <v>36</v>
      </c>
      <c r="M95">
        <f t="shared" si="5"/>
        <v>432</v>
      </c>
      <c r="N95">
        <f t="shared" si="6"/>
        <v>427</v>
      </c>
      <c r="O95">
        <f t="shared" si="7"/>
        <v>2052.5833333333335</v>
      </c>
    </row>
    <row r="96" spans="1:15" x14ac:dyDescent="0.2">
      <c r="A96" t="s">
        <v>19</v>
      </c>
      <c r="B96">
        <v>9</v>
      </c>
      <c r="C96">
        <v>29</v>
      </c>
      <c r="D96">
        <v>6</v>
      </c>
      <c r="E96">
        <v>6</v>
      </c>
      <c r="F96">
        <v>29</v>
      </c>
      <c r="G96">
        <v>2336302</v>
      </c>
      <c r="H96">
        <v>0</v>
      </c>
      <c r="I96">
        <v>1</v>
      </c>
      <c r="J96">
        <v>1</v>
      </c>
      <c r="K96">
        <v>0</v>
      </c>
      <c r="L96">
        <f t="shared" si="4"/>
        <v>36</v>
      </c>
      <c r="M96">
        <f t="shared" si="5"/>
        <v>432</v>
      </c>
      <c r="N96">
        <f t="shared" si="6"/>
        <v>426</v>
      </c>
      <c r="O96">
        <f t="shared" si="7"/>
        <v>2052.5</v>
      </c>
    </row>
    <row r="97" spans="1:15" x14ac:dyDescent="0.2">
      <c r="A97" t="s">
        <v>19</v>
      </c>
      <c r="B97">
        <v>9</v>
      </c>
      <c r="C97">
        <v>29</v>
      </c>
      <c r="D97">
        <v>6</v>
      </c>
      <c r="E97">
        <v>12</v>
      </c>
      <c r="F97">
        <v>27</v>
      </c>
      <c r="G97">
        <v>2332103</v>
      </c>
      <c r="H97">
        <v>0</v>
      </c>
      <c r="I97">
        <v>1</v>
      </c>
      <c r="J97">
        <v>1</v>
      </c>
      <c r="K97">
        <v>0</v>
      </c>
      <c r="L97">
        <f t="shared" si="4"/>
        <v>36</v>
      </c>
      <c r="M97">
        <f t="shared" si="5"/>
        <v>432</v>
      </c>
      <c r="N97">
        <f t="shared" si="6"/>
        <v>426</v>
      </c>
      <c r="O97">
        <f t="shared" si="7"/>
        <v>2052.5</v>
      </c>
    </row>
    <row r="98" spans="1:15" x14ac:dyDescent="0.2">
      <c r="A98" t="s">
        <v>19</v>
      </c>
      <c r="B98">
        <v>9</v>
      </c>
      <c r="C98">
        <v>29</v>
      </c>
      <c r="D98">
        <v>10</v>
      </c>
      <c r="E98">
        <v>4</v>
      </c>
      <c r="F98">
        <v>28</v>
      </c>
      <c r="G98">
        <v>2291801</v>
      </c>
      <c r="H98">
        <v>1</v>
      </c>
      <c r="I98">
        <v>0</v>
      </c>
      <c r="J98">
        <v>1</v>
      </c>
      <c r="K98">
        <v>0</v>
      </c>
      <c r="L98">
        <f t="shared" si="4"/>
        <v>36</v>
      </c>
      <c r="M98">
        <f t="shared" si="5"/>
        <v>432</v>
      </c>
      <c r="N98">
        <f t="shared" si="6"/>
        <v>422</v>
      </c>
      <c r="O98">
        <f t="shared" si="7"/>
        <v>2052.1666666666665</v>
      </c>
    </row>
    <row r="99" spans="1:15" x14ac:dyDescent="0.2">
      <c r="A99" t="s">
        <v>19</v>
      </c>
      <c r="B99">
        <v>9</v>
      </c>
      <c r="C99">
        <v>29</v>
      </c>
      <c r="D99">
        <v>29</v>
      </c>
      <c r="E99">
        <v>1</v>
      </c>
      <c r="F99">
        <v>27</v>
      </c>
      <c r="G99">
        <v>2184301</v>
      </c>
      <c r="H99">
        <v>0</v>
      </c>
      <c r="I99">
        <v>1</v>
      </c>
      <c r="J99">
        <v>1</v>
      </c>
      <c r="K99">
        <v>0</v>
      </c>
      <c r="L99">
        <f t="shared" si="4"/>
        <v>36</v>
      </c>
      <c r="M99">
        <f t="shared" si="5"/>
        <v>432</v>
      </c>
      <c r="N99">
        <f t="shared" si="6"/>
        <v>403</v>
      </c>
      <c r="O99">
        <f t="shared" si="7"/>
        <v>2050.5833333333335</v>
      </c>
    </row>
    <row r="100" spans="1:15" x14ac:dyDescent="0.2">
      <c r="A100" t="s">
        <v>19</v>
      </c>
      <c r="B100">
        <v>9</v>
      </c>
      <c r="C100">
        <v>29</v>
      </c>
      <c r="D100">
        <v>30</v>
      </c>
      <c r="E100">
        <v>4</v>
      </c>
      <c r="F100">
        <v>29</v>
      </c>
      <c r="G100">
        <v>2181201</v>
      </c>
      <c r="H100">
        <v>0</v>
      </c>
      <c r="I100">
        <v>1</v>
      </c>
      <c r="J100">
        <v>1</v>
      </c>
      <c r="K100">
        <v>0</v>
      </c>
      <c r="L100">
        <f t="shared" si="4"/>
        <v>36</v>
      </c>
      <c r="M100">
        <f t="shared" si="5"/>
        <v>432</v>
      </c>
      <c r="N100">
        <f t="shared" si="6"/>
        <v>402</v>
      </c>
      <c r="O100">
        <f t="shared" si="7"/>
        <v>2050.5</v>
      </c>
    </row>
    <row r="101" spans="1:15" x14ac:dyDescent="0.2">
      <c r="A101" t="s">
        <v>19</v>
      </c>
      <c r="B101">
        <v>9</v>
      </c>
      <c r="C101">
        <v>29</v>
      </c>
      <c r="D101">
        <v>34</v>
      </c>
      <c r="E101">
        <v>4</v>
      </c>
      <c r="F101">
        <v>22</v>
      </c>
      <c r="G101">
        <v>1040002</v>
      </c>
      <c r="H101">
        <v>0</v>
      </c>
      <c r="I101">
        <v>1</v>
      </c>
      <c r="J101">
        <v>1</v>
      </c>
      <c r="K101">
        <v>0</v>
      </c>
      <c r="L101">
        <f t="shared" si="4"/>
        <v>36</v>
      </c>
      <c r="M101">
        <f t="shared" si="5"/>
        <v>432</v>
      </c>
      <c r="N101">
        <f t="shared" si="6"/>
        <v>398</v>
      </c>
      <c r="O101">
        <f t="shared" si="7"/>
        <v>2050.1666666666665</v>
      </c>
    </row>
    <row r="102" spans="1:15" x14ac:dyDescent="0.2">
      <c r="A102" t="s">
        <v>19</v>
      </c>
      <c r="B102">
        <v>9</v>
      </c>
      <c r="C102">
        <v>29</v>
      </c>
      <c r="D102">
        <v>36</v>
      </c>
      <c r="E102">
        <v>1</v>
      </c>
      <c r="F102">
        <v>28</v>
      </c>
      <c r="G102">
        <v>2151901</v>
      </c>
      <c r="H102">
        <v>1</v>
      </c>
      <c r="I102">
        <v>0</v>
      </c>
      <c r="J102">
        <v>1</v>
      </c>
      <c r="K102">
        <v>0</v>
      </c>
      <c r="L102">
        <f t="shared" si="4"/>
        <v>36</v>
      </c>
      <c r="M102">
        <f t="shared" si="5"/>
        <v>432</v>
      </c>
      <c r="N102">
        <f t="shared" si="6"/>
        <v>396</v>
      </c>
      <c r="O102">
        <f t="shared" si="7"/>
        <v>2050</v>
      </c>
    </row>
    <row r="103" spans="1:15" x14ac:dyDescent="0.2">
      <c r="A103" t="s">
        <v>19</v>
      </c>
      <c r="B103">
        <v>9</v>
      </c>
      <c r="C103">
        <v>29</v>
      </c>
      <c r="D103">
        <v>36</v>
      </c>
      <c r="E103">
        <v>4</v>
      </c>
      <c r="F103">
        <v>28</v>
      </c>
      <c r="G103">
        <v>2152501</v>
      </c>
      <c r="H103">
        <v>1</v>
      </c>
      <c r="I103">
        <v>0</v>
      </c>
      <c r="J103">
        <v>1</v>
      </c>
      <c r="K103">
        <v>0</v>
      </c>
      <c r="L103">
        <f t="shared" si="4"/>
        <v>36</v>
      </c>
      <c r="M103">
        <f t="shared" si="5"/>
        <v>432</v>
      </c>
      <c r="N103">
        <f t="shared" si="6"/>
        <v>396</v>
      </c>
      <c r="O103">
        <f t="shared" si="7"/>
        <v>2050</v>
      </c>
    </row>
    <row r="104" spans="1:15" x14ac:dyDescent="0.2">
      <c r="A104" t="s">
        <v>19</v>
      </c>
      <c r="B104">
        <v>9</v>
      </c>
      <c r="C104">
        <v>29</v>
      </c>
      <c r="D104">
        <v>43</v>
      </c>
      <c r="E104">
        <v>1</v>
      </c>
      <c r="F104">
        <v>27</v>
      </c>
      <c r="G104">
        <v>2118601</v>
      </c>
      <c r="H104">
        <v>0</v>
      </c>
      <c r="I104">
        <v>1</v>
      </c>
      <c r="J104">
        <v>1</v>
      </c>
      <c r="K104">
        <v>0</v>
      </c>
      <c r="L104">
        <f t="shared" si="4"/>
        <v>36</v>
      </c>
      <c r="M104">
        <f t="shared" si="5"/>
        <v>432</v>
      </c>
      <c r="N104">
        <f t="shared" si="6"/>
        <v>389</v>
      </c>
      <c r="O104">
        <f t="shared" si="7"/>
        <v>2049.4166666666665</v>
      </c>
    </row>
    <row r="105" spans="1:15" x14ac:dyDescent="0.2">
      <c r="A105" t="s">
        <v>19</v>
      </c>
      <c r="B105">
        <v>9</v>
      </c>
      <c r="C105">
        <v>29</v>
      </c>
      <c r="D105">
        <v>70</v>
      </c>
      <c r="E105">
        <v>1</v>
      </c>
      <c r="F105">
        <v>24</v>
      </c>
      <c r="G105">
        <v>1995201</v>
      </c>
      <c r="H105">
        <v>0</v>
      </c>
      <c r="I105">
        <v>1</v>
      </c>
      <c r="J105">
        <v>1</v>
      </c>
      <c r="K105">
        <v>0</v>
      </c>
      <c r="L105">
        <f t="shared" si="4"/>
        <v>36</v>
      </c>
      <c r="M105">
        <f t="shared" si="5"/>
        <v>432</v>
      </c>
      <c r="N105">
        <f t="shared" si="6"/>
        <v>362</v>
      </c>
      <c r="O105">
        <f t="shared" si="7"/>
        <v>2047.1666666666667</v>
      </c>
    </row>
    <row r="106" spans="1:15" x14ac:dyDescent="0.2">
      <c r="A106" t="s">
        <v>19</v>
      </c>
      <c r="B106">
        <v>9</v>
      </c>
      <c r="C106">
        <v>29</v>
      </c>
      <c r="D106">
        <v>77</v>
      </c>
      <c r="E106">
        <v>1</v>
      </c>
      <c r="F106">
        <v>28</v>
      </c>
      <c r="G106">
        <v>1976501</v>
      </c>
      <c r="H106">
        <v>0</v>
      </c>
      <c r="I106">
        <v>1</v>
      </c>
      <c r="J106">
        <v>1</v>
      </c>
      <c r="K106">
        <v>0</v>
      </c>
      <c r="L106">
        <f t="shared" si="4"/>
        <v>36</v>
      </c>
      <c r="M106">
        <f t="shared" si="5"/>
        <v>432</v>
      </c>
      <c r="N106">
        <f t="shared" si="6"/>
        <v>355</v>
      </c>
      <c r="O106">
        <f t="shared" si="7"/>
        <v>2046.5833333333333</v>
      </c>
    </row>
    <row r="107" spans="1:15" x14ac:dyDescent="0.2">
      <c r="A107" t="s">
        <v>19</v>
      </c>
      <c r="B107">
        <v>9</v>
      </c>
      <c r="C107">
        <v>29</v>
      </c>
      <c r="D107">
        <v>80</v>
      </c>
      <c r="E107">
        <v>2</v>
      </c>
      <c r="F107">
        <v>27</v>
      </c>
      <c r="G107">
        <v>1966301</v>
      </c>
      <c r="H107">
        <v>0</v>
      </c>
      <c r="I107">
        <v>1</v>
      </c>
      <c r="J107">
        <v>1</v>
      </c>
      <c r="K107">
        <v>0</v>
      </c>
      <c r="L107">
        <f t="shared" si="4"/>
        <v>36</v>
      </c>
      <c r="M107">
        <f t="shared" si="5"/>
        <v>432</v>
      </c>
      <c r="N107">
        <f t="shared" si="6"/>
        <v>352</v>
      </c>
      <c r="O107">
        <f t="shared" si="7"/>
        <v>2046.3333333333333</v>
      </c>
    </row>
    <row r="108" spans="1:15" x14ac:dyDescent="0.2">
      <c r="A108" t="s">
        <v>19</v>
      </c>
      <c r="B108">
        <v>9</v>
      </c>
      <c r="C108">
        <v>29</v>
      </c>
      <c r="D108">
        <v>92</v>
      </c>
      <c r="E108">
        <v>2</v>
      </c>
      <c r="F108">
        <v>29</v>
      </c>
      <c r="G108">
        <v>1906301</v>
      </c>
      <c r="H108">
        <v>0</v>
      </c>
      <c r="I108">
        <v>1</v>
      </c>
      <c r="J108">
        <v>1</v>
      </c>
      <c r="K108">
        <v>0</v>
      </c>
      <c r="L108">
        <f t="shared" si="4"/>
        <v>36</v>
      </c>
      <c r="M108">
        <f t="shared" si="5"/>
        <v>432</v>
      </c>
      <c r="N108">
        <f t="shared" si="6"/>
        <v>340</v>
      </c>
      <c r="O108">
        <f t="shared" si="7"/>
        <v>2045.3333333333333</v>
      </c>
    </row>
    <row r="109" spans="1:15" x14ac:dyDescent="0.2">
      <c r="A109" t="s">
        <v>19</v>
      </c>
      <c r="B109">
        <v>9</v>
      </c>
      <c r="C109">
        <v>29</v>
      </c>
      <c r="D109">
        <v>95</v>
      </c>
      <c r="E109">
        <v>2</v>
      </c>
      <c r="F109">
        <v>25</v>
      </c>
      <c r="G109">
        <v>1888301</v>
      </c>
      <c r="H109">
        <v>0</v>
      </c>
      <c r="I109">
        <v>1</v>
      </c>
      <c r="J109">
        <v>1</v>
      </c>
      <c r="K109">
        <v>0</v>
      </c>
      <c r="L109">
        <f t="shared" si="4"/>
        <v>36</v>
      </c>
      <c r="M109">
        <f t="shared" si="5"/>
        <v>432</v>
      </c>
      <c r="N109">
        <f t="shared" si="6"/>
        <v>337</v>
      </c>
      <c r="O109">
        <f t="shared" si="7"/>
        <v>2045.0833333333333</v>
      </c>
    </row>
    <row r="110" spans="1:15" x14ac:dyDescent="0.2">
      <c r="A110" t="s">
        <v>19</v>
      </c>
      <c r="B110">
        <v>9</v>
      </c>
      <c r="C110">
        <v>29</v>
      </c>
      <c r="D110">
        <v>98</v>
      </c>
      <c r="E110">
        <v>1</v>
      </c>
      <c r="F110">
        <v>22</v>
      </c>
      <c r="G110">
        <v>1854601</v>
      </c>
      <c r="H110">
        <v>0</v>
      </c>
      <c r="I110">
        <v>1</v>
      </c>
      <c r="J110">
        <v>1</v>
      </c>
      <c r="K110">
        <v>0</v>
      </c>
      <c r="L110">
        <f t="shared" si="4"/>
        <v>36</v>
      </c>
      <c r="M110">
        <f t="shared" si="5"/>
        <v>432</v>
      </c>
      <c r="N110">
        <f t="shared" si="6"/>
        <v>334</v>
      </c>
      <c r="O110">
        <f t="shared" si="7"/>
        <v>2044.8333333333333</v>
      </c>
    </row>
    <row r="111" spans="1:15" x14ac:dyDescent="0.2">
      <c r="A111" t="s">
        <v>19</v>
      </c>
      <c r="B111">
        <v>9</v>
      </c>
      <c r="C111">
        <v>29</v>
      </c>
      <c r="D111">
        <v>103</v>
      </c>
      <c r="E111">
        <v>1</v>
      </c>
      <c r="F111">
        <v>27</v>
      </c>
      <c r="G111">
        <v>1802201</v>
      </c>
      <c r="H111">
        <v>0</v>
      </c>
      <c r="I111">
        <v>1</v>
      </c>
      <c r="J111">
        <v>1</v>
      </c>
      <c r="K111">
        <v>0</v>
      </c>
      <c r="L111">
        <f t="shared" si="4"/>
        <v>36</v>
      </c>
      <c r="M111">
        <f t="shared" si="5"/>
        <v>432</v>
      </c>
      <c r="N111">
        <f t="shared" si="6"/>
        <v>329</v>
      </c>
      <c r="O111">
        <f t="shared" si="7"/>
        <v>2044.4166666666667</v>
      </c>
    </row>
    <row r="112" spans="1:15" x14ac:dyDescent="0.2">
      <c r="A112" t="s">
        <v>19</v>
      </c>
      <c r="B112">
        <v>9</v>
      </c>
      <c r="C112">
        <v>29</v>
      </c>
      <c r="D112">
        <v>118</v>
      </c>
      <c r="E112">
        <v>2</v>
      </c>
      <c r="F112">
        <v>28</v>
      </c>
      <c r="G112">
        <v>1646702</v>
      </c>
      <c r="H112">
        <v>1</v>
      </c>
      <c r="I112">
        <v>0</v>
      </c>
      <c r="J112">
        <v>1</v>
      </c>
      <c r="K112">
        <v>0</v>
      </c>
      <c r="L112">
        <f t="shared" si="4"/>
        <v>36</v>
      </c>
      <c r="M112">
        <f t="shared" si="5"/>
        <v>432</v>
      </c>
      <c r="N112">
        <f t="shared" si="6"/>
        <v>314</v>
      </c>
      <c r="O112">
        <f t="shared" si="7"/>
        <v>2043.1666666666667</v>
      </c>
    </row>
    <row r="113" spans="1:15" x14ac:dyDescent="0.2">
      <c r="A113" t="s">
        <v>19</v>
      </c>
      <c r="B113">
        <v>9</v>
      </c>
      <c r="C113">
        <v>29</v>
      </c>
      <c r="D113">
        <v>141</v>
      </c>
      <c r="E113">
        <v>1</v>
      </c>
      <c r="F113">
        <v>22</v>
      </c>
      <c r="G113">
        <v>1120001</v>
      </c>
      <c r="H113">
        <v>1</v>
      </c>
      <c r="I113">
        <v>0</v>
      </c>
      <c r="J113">
        <v>1</v>
      </c>
      <c r="K113">
        <v>0</v>
      </c>
      <c r="L113">
        <f t="shared" si="4"/>
        <v>36</v>
      </c>
      <c r="M113">
        <f t="shared" si="5"/>
        <v>432</v>
      </c>
      <c r="N113">
        <f t="shared" si="6"/>
        <v>291</v>
      </c>
      <c r="O113">
        <f t="shared" si="7"/>
        <v>2041.25</v>
      </c>
    </row>
    <row r="114" spans="1:15" x14ac:dyDescent="0.2">
      <c r="A114" t="s">
        <v>19</v>
      </c>
      <c r="B114">
        <v>9</v>
      </c>
      <c r="C114">
        <v>29</v>
      </c>
      <c r="D114">
        <v>151</v>
      </c>
      <c r="E114">
        <v>1</v>
      </c>
      <c r="F114">
        <v>29</v>
      </c>
      <c r="G114">
        <v>1049501</v>
      </c>
      <c r="H114">
        <v>1</v>
      </c>
      <c r="I114">
        <v>0</v>
      </c>
      <c r="J114">
        <v>1</v>
      </c>
      <c r="K114">
        <v>0</v>
      </c>
      <c r="L114">
        <f t="shared" si="4"/>
        <v>36</v>
      </c>
      <c r="M114">
        <f t="shared" si="5"/>
        <v>432</v>
      </c>
      <c r="N114">
        <f t="shared" si="6"/>
        <v>281</v>
      </c>
      <c r="O114">
        <f t="shared" si="7"/>
        <v>2040.4166666666667</v>
      </c>
    </row>
    <row r="115" spans="1:15" x14ac:dyDescent="0.2">
      <c r="A115" t="s">
        <v>19</v>
      </c>
      <c r="B115">
        <v>9</v>
      </c>
      <c r="C115">
        <v>29</v>
      </c>
      <c r="D115">
        <v>153</v>
      </c>
      <c r="E115">
        <v>12</v>
      </c>
      <c r="F115">
        <v>25</v>
      </c>
      <c r="G115">
        <v>1015802</v>
      </c>
      <c r="H115">
        <v>0</v>
      </c>
      <c r="I115">
        <v>1</v>
      </c>
      <c r="J115">
        <v>1</v>
      </c>
      <c r="K115">
        <v>0</v>
      </c>
      <c r="L115">
        <f t="shared" si="4"/>
        <v>36</v>
      </c>
      <c r="M115">
        <f t="shared" si="5"/>
        <v>432</v>
      </c>
      <c r="N115">
        <f t="shared" si="6"/>
        <v>279</v>
      </c>
      <c r="O115">
        <f t="shared" si="7"/>
        <v>2040.25</v>
      </c>
    </row>
    <row r="116" spans="1:15" x14ac:dyDescent="0.2">
      <c r="A116" t="s">
        <v>19</v>
      </c>
      <c r="B116">
        <v>9</v>
      </c>
      <c r="C116">
        <v>29</v>
      </c>
      <c r="D116">
        <v>163</v>
      </c>
      <c r="E116">
        <v>1</v>
      </c>
      <c r="F116">
        <v>24</v>
      </c>
      <c r="G116">
        <v>934701</v>
      </c>
      <c r="H116">
        <v>0</v>
      </c>
      <c r="I116">
        <v>1</v>
      </c>
      <c r="J116">
        <v>1</v>
      </c>
      <c r="K116">
        <v>0</v>
      </c>
      <c r="L116">
        <f t="shared" si="4"/>
        <v>36</v>
      </c>
      <c r="M116">
        <f t="shared" si="5"/>
        <v>432</v>
      </c>
      <c r="N116">
        <f t="shared" si="6"/>
        <v>269</v>
      </c>
      <c r="O116">
        <f t="shared" si="7"/>
        <v>2039.4166666666667</v>
      </c>
    </row>
    <row r="117" spans="1:15" x14ac:dyDescent="0.2">
      <c r="A117" t="s">
        <v>19</v>
      </c>
      <c r="B117">
        <v>9</v>
      </c>
      <c r="C117">
        <v>29</v>
      </c>
      <c r="D117">
        <v>163</v>
      </c>
      <c r="E117">
        <v>2</v>
      </c>
      <c r="F117">
        <v>27</v>
      </c>
      <c r="G117">
        <v>379403</v>
      </c>
      <c r="H117">
        <v>0</v>
      </c>
      <c r="I117">
        <v>1</v>
      </c>
      <c r="J117">
        <v>1</v>
      </c>
      <c r="K117">
        <v>0</v>
      </c>
      <c r="L117">
        <f t="shared" si="4"/>
        <v>36</v>
      </c>
      <c r="M117">
        <f t="shared" si="5"/>
        <v>432</v>
      </c>
      <c r="N117">
        <f t="shared" si="6"/>
        <v>269</v>
      </c>
      <c r="O117">
        <f t="shared" si="7"/>
        <v>2039.4166666666667</v>
      </c>
    </row>
    <row r="118" spans="1:15" x14ac:dyDescent="0.2">
      <c r="A118" t="s">
        <v>19</v>
      </c>
      <c r="B118">
        <v>9</v>
      </c>
      <c r="C118">
        <v>29</v>
      </c>
      <c r="D118">
        <v>165</v>
      </c>
      <c r="E118">
        <v>2</v>
      </c>
      <c r="F118">
        <v>27</v>
      </c>
      <c r="G118">
        <v>935901</v>
      </c>
      <c r="H118">
        <v>0</v>
      </c>
      <c r="I118">
        <v>1</v>
      </c>
      <c r="J118">
        <v>1</v>
      </c>
      <c r="K118">
        <v>0</v>
      </c>
      <c r="L118">
        <f t="shared" si="4"/>
        <v>36</v>
      </c>
      <c r="M118">
        <f t="shared" si="5"/>
        <v>432</v>
      </c>
      <c r="N118">
        <f t="shared" si="6"/>
        <v>267</v>
      </c>
      <c r="O118">
        <f t="shared" si="7"/>
        <v>2039.25</v>
      </c>
    </row>
    <row r="119" spans="1:15" x14ac:dyDescent="0.2">
      <c r="A119" t="s">
        <v>19</v>
      </c>
      <c r="B119">
        <v>9</v>
      </c>
      <c r="C119">
        <v>29</v>
      </c>
      <c r="D119">
        <v>166</v>
      </c>
      <c r="E119">
        <v>1</v>
      </c>
      <c r="F119">
        <v>29</v>
      </c>
      <c r="G119">
        <v>924501</v>
      </c>
      <c r="H119">
        <v>1</v>
      </c>
      <c r="I119">
        <v>0</v>
      </c>
      <c r="J119">
        <v>1</v>
      </c>
      <c r="K119">
        <v>0</v>
      </c>
      <c r="L119">
        <f t="shared" si="4"/>
        <v>36</v>
      </c>
      <c r="M119">
        <f t="shared" si="5"/>
        <v>432</v>
      </c>
      <c r="N119">
        <f t="shared" si="6"/>
        <v>266</v>
      </c>
      <c r="O119">
        <f t="shared" si="7"/>
        <v>2039.1666666666667</v>
      </c>
    </row>
    <row r="120" spans="1:15" x14ac:dyDescent="0.2">
      <c r="A120" t="s">
        <v>19</v>
      </c>
      <c r="B120">
        <v>9</v>
      </c>
      <c r="C120">
        <v>29</v>
      </c>
      <c r="D120">
        <v>168</v>
      </c>
      <c r="E120">
        <v>12</v>
      </c>
      <c r="F120">
        <v>24</v>
      </c>
      <c r="G120">
        <v>912001</v>
      </c>
      <c r="H120">
        <v>0</v>
      </c>
      <c r="I120">
        <v>1</v>
      </c>
      <c r="J120">
        <v>1</v>
      </c>
      <c r="K120">
        <v>0</v>
      </c>
      <c r="L120">
        <f t="shared" si="4"/>
        <v>36</v>
      </c>
      <c r="M120">
        <f t="shared" si="5"/>
        <v>432</v>
      </c>
      <c r="N120">
        <f t="shared" si="6"/>
        <v>264</v>
      </c>
      <c r="O120">
        <f t="shared" si="7"/>
        <v>2039</v>
      </c>
    </row>
    <row r="121" spans="1:15" x14ac:dyDescent="0.2">
      <c r="A121" t="s">
        <v>19</v>
      </c>
      <c r="B121">
        <v>9</v>
      </c>
      <c r="C121">
        <v>29</v>
      </c>
      <c r="D121">
        <v>189</v>
      </c>
      <c r="E121">
        <v>2</v>
      </c>
      <c r="F121">
        <v>26</v>
      </c>
      <c r="G121">
        <v>868301</v>
      </c>
      <c r="H121">
        <v>0</v>
      </c>
      <c r="I121">
        <v>1</v>
      </c>
      <c r="J121">
        <v>1</v>
      </c>
      <c r="K121">
        <v>0</v>
      </c>
      <c r="L121">
        <f t="shared" si="4"/>
        <v>36</v>
      </c>
      <c r="M121">
        <f t="shared" si="5"/>
        <v>432</v>
      </c>
      <c r="N121">
        <f t="shared" si="6"/>
        <v>243</v>
      </c>
      <c r="O121">
        <f t="shared" si="7"/>
        <v>2037.25</v>
      </c>
    </row>
    <row r="122" spans="1:15" x14ac:dyDescent="0.2">
      <c r="A122" t="s">
        <v>19</v>
      </c>
      <c r="B122">
        <v>9</v>
      </c>
      <c r="C122">
        <v>29</v>
      </c>
      <c r="D122">
        <v>201</v>
      </c>
      <c r="E122">
        <v>1</v>
      </c>
      <c r="F122">
        <v>28</v>
      </c>
      <c r="G122">
        <v>781502</v>
      </c>
      <c r="H122">
        <v>1</v>
      </c>
      <c r="I122">
        <v>0</v>
      </c>
      <c r="J122">
        <v>1</v>
      </c>
      <c r="K122">
        <v>0</v>
      </c>
      <c r="L122">
        <f t="shared" si="4"/>
        <v>36</v>
      </c>
      <c r="M122">
        <f t="shared" si="5"/>
        <v>432</v>
      </c>
      <c r="N122">
        <f t="shared" si="6"/>
        <v>231</v>
      </c>
      <c r="O122">
        <f t="shared" si="7"/>
        <v>2036.25</v>
      </c>
    </row>
    <row r="123" spans="1:15" x14ac:dyDescent="0.2">
      <c r="A123" t="s">
        <v>19</v>
      </c>
      <c r="B123">
        <v>9</v>
      </c>
      <c r="C123">
        <v>29</v>
      </c>
      <c r="D123">
        <v>206</v>
      </c>
      <c r="E123">
        <v>1</v>
      </c>
      <c r="F123">
        <v>27</v>
      </c>
      <c r="G123">
        <v>703601</v>
      </c>
      <c r="H123">
        <v>0</v>
      </c>
      <c r="I123">
        <v>1</v>
      </c>
      <c r="J123">
        <v>1</v>
      </c>
      <c r="K123">
        <v>0</v>
      </c>
      <c r="L123">
        <f t="shared" si="4"/>
        <v>36</v>
      </c>
      <c r="M123">
        <f t="shared" si="5"/>
        <v>432</v>
      </c>
      <c r="N123">
        <f t="shared" si="6"/>
        <v>226</v>
      </c>
      <c r="O123">
        <f t="shared" si="7"/>
        <v>2035.8333333333333</v>
      </c>
    </row>
    <row r="124" spans="1:15" x14ac:dyDescent="0.2">
      <c r="A124" t="s">
        <v>19</v>
      </c>
      <c r="B124">
        <v>9</v>
      </c>
      <c r="C124">
        <v>29</v>
      </c>
      <c r="D124">
        <v>207</v>
      </c>
      <c r="E124">
        <v>1</v>
      </c>
      <c r="F124">
        <v>28</v>
      </c>
      <c r="G124">
        <v>690302</v>
      </c>
      <c r="H124">
        <v>1</v>
      </c>
      <c r="I124">
        <v>0</v>
      </c>
      <c r="J124">
        <v>1</v>
      </c>
      <c r="K124">
        <v>0</v>
      </c>
      <c r="L124">
        <f t="shared" si="4"/>
        <v>36</v>
      </c>
      <c r="M124">
        <f t="shared" si="5"/>
        <v>432</v>
      </c>
      <c r="N124">
        <f t="shared" si="6"/>
        <v>225</v>
      </c>
      <c r="O124">
        <f t="shared" si="7"/>
        <v>2035.75</v>
      </c>
    </row>
    <row r="125" spans="1:15" x14ac:dyDescent="0.2">
      <c r="A125" t="s">
        <v>19</v>
      </c>
      <c r="B125">
        <v>9</v>
      </c>
      <c r="C125">
        <v>29</v>
      </c>
      <c r="D125">
        <v>216</v>
      </c>
      <c r="E125">
        <v>1</v>
      </c>
      <c r="F125">
        <v>28</v>
      </c>
      <c r="G125">
        <v>111403</v>
      </c>
      <c r="H125">
        <v>0</v>
      </c>
      <c r="I125">
        <v>1</v>
      </c>
      <c r="J125">
        <v>1</v>
      </c>
      <c r="K125">
        <v>0</v>
      </c>
      <c r="L125">
        <f t="shared" si="4"/>
        <v>36</v>
      </c>
      <c r="M125">
        <f t="shared" si="5"/>
        <v>432</v>
      </c>
      <c r="N125">
        <f t="shared" si="6"/>
        <v>216</v>
      </c>
      <c r="O125">
        <f t="shared" si="7"/>
        <v>2035</v>
      </c>
    </row>
    <row r="126" spans="1:15" x14ac:dyDescent="0.2">
      <c r="A126" t="s">
        <v>19</v>
      </c>
      <c r="B126">
        <v>9</v>
      </c>
      <c r="C126">
        <v>29</v>
      </c>
      <c r="D126">
        <v>219</v>
      </c>
      <c r="E126">
        <v>1</v>
      </c>
      <c r="F126">
        <v>27</v>
      </c>
      <c r="G126">
        <v>367402</v>
      </c>
      <c r="H126">
        <v>0</v>
      </c>
      <c r="I126">
        <v>1</v>
      </c>
      <c r="J126">
        <v>1</v>
      </c>
      <c r="K126">
        <v>0</v>
      </c>
      <c r="L126">
        <f t="shared" si="4"/>
        <v>36</v>
      </c>
      <c r="M126">
        <f t="shared" si="5"/>
        <v>432</v>
      </c>
      <c r="N126">
        <f t="shared" si="6"/>
        <v>213</v>
      </c>
      <c r="O126">
        <f t="shared" si="7"/>
        <v>2034.75</v>
      </c>
    </row>
    <row r="127" spans="1:15" x14ac:dyDescent="0.2">
      <c r="A127" t="s">
        <v>19</v>
      </c>
      <c r="B127">
        <v>9</v>
      </c>
      <c r="C127">
        <v>29</v>
      </c>
      <c r="D127">
        <v>224</v>
      </c>
      <c r="E127">
        <v>1</v>
      </c>
      <c r="F127">
        <v>27</v>
      </c>
      <c r="G127">
        <v>273901</v>
      </c>
      <c r="H127">
        <v>0</v>
      </c>
      <c r="I127">
        <v>1</v>
      </c>
      <c r="J127">
        <v>1</v>
      </c>
      <c r="K127">
        <v>0</v>
      </c>
      <c r="L127">
        <f t="shared" si="4"/>
        <v>36</v>
      </c>
      <c r="M127">
        <f t="shared" si="5"/>
        <v>432</v>
      </c>
      <c r="N127">
        <f t="shared" si="6"/>
        <v>208</v>
      </c>
      <c r="O127">
        <f t="shared" si="7"/>
        <v>2034.3333333333333</v>
      </c>
    </row>
    <row r="128" spans="1:15" x14ac:dyDescent="0.2">
      <c r="A128" t="s">
        <v>19</v>
      </c>
      <c r="B128">
        <v>9</v>
      </c>
      <c r="C128">
        <v>29</v>
      </c>
      <c r="D128">
        <v>234</v>
      </c>
      <c r="E128">
        <v>1</v>
      </c>
      <c r="F128">
        <v>23</v>
      </c>
      <c r="G128">
        <v>129602</v>
      </c>
      <c r="H128">
        <v>0</v>
      </c>
      <c r="I128">
        <v>1</v>
      </c>
      <c r="J128">
        <v>1</v>
      </c>
      <c r="K128">
        <v>0</v>
      </c>
      <c r="L128">
        <f t="shared" si="4"/>
        <v>36</v>
      </c>
      <c r="M128">
        <f t="shared" si="5"/>
        <v>432</v>
      </c>
      <c r="N128">
        <f t="shared" si="6"/>
        <v>198</v>
      </c>
      <c r="O128">
        <f t="shared" si="7"/>
        <v>2033.5</v>
      </c>
    </row>
    <row r="129" spans="1:15" x14ac:dyDescent="0.2">
      <c r="A129" t="s">
        <v>19</v>
      </c>
      <c r="B129">
        <v>9</v>
      </c>
      <c r="C129">
        <v>29</v>
      </c>
      <c r="D129">
        <v>237</v>
      </c>
      <c r="E129">
        <v>1</v>
      </c>
      <c r="F129">
        <v>29</v>
      </c>
      <c r="G129">
        <v>100101</v>
      </c>
      <c r="H129">
        <v>0</v>
      </c>
      <c r="I129">
        <v>1</v>
      </c>
      <c r="J129">
        <v>1</v>
      </c>
      <c r="K129">
        <v>0</v>
      </c>
      <c r="L129">
        <f t="shared" si="4"/>
        <v>36</v>
      </c>
      <c r="M129">
        <f t="shared" si="5"/>
        <v>432</v>
      </c>
      <c r="N129">
        <f t="shared" si="6"/>
        <v>195</v>
      </c>
      <c r="O129">
        <f t="shared" si="7"/>
        <v>2033.25</v>
      </c>
    </row>
    <row r="130" spans="1:15" x14ac:dyDescent="0.2">
      <c r="A130" t="s">
        <v>19</v>
      </c>
      <c r="B130">
        <v>9</v>
      </c>
      <c r="C130">
        <v>29</v>
      </c>
      <c r="D130">
        <v>244</v>
      </c>
      <c r="E130">
        <v>1</v>
      </c>
      <c r="F130">
        <v>29</v>
      </c>
      <c r="G130">
        <v>41001</v>
      </c>
      <c r="H130">
        <v>0</v>
      </c>
      <c r="I130">
        <v>1</v>
      </c>
      <c r="J130">
        <v>1</v>
      </c>
      <c r="K130">
        <v>0</v>
      </c>
      <c r="L130">
        <f t="shared" si="4"/>
        <v>36</v>
      </c>
      <c r="M130">
        <f t="shared" si="5"/>
        <v>432</v>
      </c>
      <c r="N130">
        <f t="shared" si="6"/>
        <v>188</v>
      </c>
      <c r="O130">
        <f t="shared" si="7"/>
        <v>2032.6666666666667</v>
      </c>
    </row>
    <row r="131" spans="1:15" x14ac:dyDescent="0.2">
      <c r="A131" t="s">
        <v>19</v>
      </c>
      <c r="B131">
        <v>9</v>
      </c>
      <c r="C131">
        <v>30</v>
      </c>
      <c r="D131">
        <v>1</v>
      </c>
      <c r="E131">
        <v>12</v>
      </c>
      <c r="F131">
        <v>28</v>
      </c>
      <c r="G131">
        <v>2399403</v>
      </c>
      <c r="H131">
        <v>0</v>
      </c>
      <c r="I131">
        <v>1</v>
      </c>
      <c r="J131">
        <v>1</v>
      </c>
      <c r="K131">
        <v>0</v>
      </c>
      <c r="L131">
        <f t="shared" si="4"/>
        <v>35</v>
      </c>
      <c r="M131">
        <f t="shared" si="5"/>
        <v>420</v>
      </c>
      <c r="N131">
        <f t="shared" si="6"/>
        <v>419</v>
      </c>
      <c r="O131">
        <f t="shared" si="7"/>
        <v>2051.9166666666665</v>
      </c>
    </row>
    <row r="132" spans="1:15" x14ac:dyDescent="0.2">
      <c r="A132" t="s">
        <v>19</v>
      </c>
      <c r="B132">
        <v>9</v>
      </c>
      <c r="C132">
        <v>30</v>
      </c>
      <c r="D132">
        <v>6</v>
      </c>
      <c r="E132">
        <v>6</v>
      </c>
      <c r="F132">
        <v>24</v>
      </c>
      <c r="G132">
        <v>2334103</v>
      </c>
      <c r="H132">
        <v>1</v>
      </c>
      <c r="I132">
        <v>0</v>
      </c>
      <c r="J132">
        <v>1</v>
      </c>
      <c r="K132">
        <v>0</v>
      </c>
      <c r="L132">
        <f t="shared" si="4"/>
        <v>35</v>
      </c>
      <c r="M132">
        <f t="shared" si="5"/>
        <v>420</v>
      </c>
      <c r="N132">
        <f t="shared" si="6"/>
        <v>414</v>
      </c>
      <c r="O132">
        <f t="shared" si="7"/>
        <v>2051.5</v>
      </c>
    </row>
    <row r="133" spans="1:15" x14ac:dyDescent="0.2">
      <c r="A133" t="s">
        <v>19</v>
      </c>
      <c r="B133">
        <v>9</v>
      </c>
      <c r="C133">
        <v>30</v>
      </c>
      <c r="D133">
        <v>7</v>
      </c>
      <c r="E133">
        <v>12</v>
      </c>
      <c r="F133">
        <v>29</v>
      </c>
      <c r="G133">
        <v>2213903</v>
      </c>
      <c r="H133">
        <v>1</v>
      </c>
      <c r="I133">
        <v>0</v>
      </c>
      <c r="J133">
        <v>1</v>
      </c>
      <c r="K133">
        <v>0</v>
      </c>
      <c r="L133">
        <f t="shared" si="4"/>
        <v>35</v>
      </c>
      <c r="M133">
        <f t="shared" si="5"/>
        <v>420</v>
      </c>
      <c r="N133">
        <f t="shared" si="6"/>
        <v>413</v>
      </c>
      <c r="O133">
        <f t="shared" si="7"/>
        <v>2051.4166666666665</v>
      </c>
    </row>
    <row r="134" spans="1:15" x14ac:dyDescent="0.2">
      <c r="A134" t="s">
        <v>19</v>
      </c>
      <c r="B134">
        <v>9</v>
      </c>
      <c r="C134">
        <v>30</v>
      </c>
      <c r="D134">
        <v>9</v>
      </c>
      <c r="E134">
        <v>12</v>
      </c>
      <c r="F134">
        <v>29</v>
      </c>
      <c r="G134">
        <v>2308103</v>
      </c>
      <c r="H134">
        <v>0</v>
      </c>
      <c r="I134">
        <v>1</v>
      </c>
      <c r="J134">
        <v>1</v>
      </c>
      <c r="K134">
        <v>0</v>
      </c>
      <c r="L134">
        <f t="shared" si="4"/>
        <v>35</v>
      </c>
      <c r="M134">
        <f t="shared" si="5"/>
        <v>420</v>
      </c>
      <c r="N134">
        <f t="shared" si="6"/>
        <v>411</v>
      </c>
      <c r="O134">
        <f t="shared" si="7"/>
        <v>2051.25</v>
      </c>
    </row>
    <row r="135" spans="1:15" x14ac:dyDescent="0.2">
      <c r="A135" t="s">
        <v>19</v>
      </c>
      <c r="B135">
        <v>9</v>
      </c>
      <c r="C135">
        <v>30</v>
      </c>
      <c r="D135">
        <v>11</v>
      </c>
      <c r="E135">
        <v>12</v>
      </c>
      <c r="F135">
        <v>27</v>
      </c>
      <c r="G135">
        <v>2289104</v>
      </c>
      <c r="H135">
        <v>1</v>
      </c>
      <c r="I135">
        <v>0</v>
      </c>
      <c r="J135">
        <v>1</v>
      </c>
      <c r="K135">
        <v>0</v>
      </c>
      <c r="L135">
        <f t="shared" ref="L135:L198" si="8">65-C135</f>
        <v>35</v>
      </c>
      <c r="M135">
        <f t="shared" ref="M135:M198" si="9">L135*12</f>
        <v>420</v>
      </c>
      <c r="N135">
        <f t="shared" ref="N135:N198" si="10">M135-D135</f>
        <v>409</v>
      </c>
      <c r="O135">
        <f t="shared" ref="O135:O198" si="11">2017+N135/12</f>
        <v>2051.0833333333335</v>
      </c>
    </row>
    <row r="136" spans="1:15" x14ac:dyDescent="0.2">
      <c r="A136" t="s">
        <v>19</v>
      </c>
      <c r="B136">
        <v>9</v>
      </c>
      <c r="C136">
        <v>30</v>
      </c>
      <c r="D136">
        <v>12</v>
      </c>
      <c r="E136">
        <v>12</v>
      </c>
      <c r="F136">
        <v>28</v>
      </c>
      <c r="G136">
        <v>2279802</v>
      </c>
      <c r="H136">
        <v>1</v>
      </c>
      <c r="I136">
        <v>0</v>
      </c>
      <c r="J136">
        <v>1</v>
      </c>
      <c r="K136">
        <v>0</v>
      </c>
      <c r="L136">
        <f t="shared" si="8"/>
        <v>35</v>
      </c>
      <c r="M136">
        <f t="shared" si="9"/>
        <v>420</v>
      </c>
      <c r="N136">
        <f t="shared" si="10"/>
        <v>408</v>
      </c>
      <c r="O136">
        <f t="shared" si="11"/>
        <v>2051</v>
      </c>
    </row>
    <row r="137" spans="1:15" x14ac:dyDescent="0.2">
      <c r="A137" t="s">
        <v>19</v>
      </c>
      <c r="B137">
        <v>9</v>
      </c>
      <c r="C137">
        <v>30</v>
      </c>
      <c r="D137">
        <v>24</v>
      </c>
      <c r="E137">
        <v>1</v>
      </c>
      <c r="F137">
        <v>30</v>
      </c>
      <c r="G137">
        <v>2211101</v>
      </c>
      <c r="H137">
        <v>0</v>
      </c>
      <c r="I137">
        <v>1</v>
      </c>
      <c r="J137">
        <v>1</v>
      </c>
      <c r="K137">
        <v>0</v>
      </c>
      <c r="L137">
        <f t="shared" si="8"/>
        <v>35</v>
      </c>
      <c r="M137">
        <f t="shared" si="9"/>
        <v>420</v>
      </c>
      <c r="N137">
        <f t="shared" si="10"/>
        <v>396</v>
      </c>
      <c r="O137">
        <f t="shared" si="11"/>
        <v>2050</v>
      </c>
    </row>
    <row r="138" spans="1:15" x14ac:dyDescent="0.2">
      <c r="A138" t="s">
        <v>19</v>
      </c>
      <c r="B138">
        <v>9</v>
      </c>
      <c r="C138">
        <v>30</v>
      </c>
      <c r="D138">
        <v>32</v>
      </c>
      <c r="E138">
        <v>1</v>
      </c>
      <c r="F138">
        <v>25</v>
      </c>
      <c r="G138">
        <v>2164401</v>
      </c>
      <c r="H138">
        <v>1</v>
      </c>
      <c r="I138">
        <v>0</v>
      </c>
      <c r="J138">
        <v>1</v>
      </c>
      <c r="K138">
        <v>0</v>
      </c>
      <c r="L138">
        <f t="shared" si="8"/>
        <v>35</v>
      </c>
      <c r="M138">
        <f t="shared" si="9"/>
        <v>420</v>
      </c>
      <c r="N138">
        <f t="shared" si="10"/>
        <v>388</v>
      </c>
      <c r="O138">
        <f t="shared" si="11"/>
        <v>2049.3333333333335</v>
      </c>
    </row>
    <row r="139" spans="1:15" x14ac:dyDescent="0.2">
      <c r="A139" t="s">
        <v>19</v>
      </c>
      <c r="B139">
        <v>9</v>
      </c>
      <c r="C139">
        <v>30</v>
      </c>
      <c r="D139">
        <v>39</v>
      </c>
      <c r="E139">
        <v>1</v>
      </c>
      <c r="F139">
        <v>28</v>
      </c>
      <c r="G139">
        <v>2134001</v>
      </c>
      <c r="H139">
        <v>0</v>
      </c>
      <c r="I139">
        <v>1</v>
      </c>
      <c r="J139">
        <v>1</v>
      </c>
      <c r="K139">
        <v>0</v>
      </c>
      <c r="L139">
        <f t="shared" si="8"/>
        <v>35</v>
      </c>
      <c r="M139">
        <f t="shared" si="9"/>
        <v>420</v>
      </c>
      <c r="N139">
        <f t="shared" si="10"/>
        <v>381</v>
      </c>
      <c r="O139">
        <f t="shared" si="11"/>
        <v>2048.75</v>
      </c>
    </row>
    <row r="140" spans="1:15" x14ac:dyDescent="0.2">
      <c r="A140" t="s">
        <v>19</v>
      </c>
      <c r="B140">
        <v>9</v>
      </c>
      <c r="C140">
        <v>30</v>
      </c>
      <c r="D140">
        <v>41</v>
      </c>
      <c r="E140">
        <v>12</v>
      </c>
      <c r="F140">
        <v>28</v>
      </c>
      <c r="G140">
        <v>2129602</v>
      </c>
      <c r="H140">
        <v>1</v>
      </c>
      <c r="I140">
        <v>0</v>
      </c>
      <c r="J140">
        <v>1</v>
      </c>
      <c r="K140">
        <v>0</v>
      </c>
      <c r="L140">
        <f t="shared" si="8"/>
        <v>35</v>
      </c>
      <c r="M140">
        <f t="shared" si="9"/>
        <v>420</v>
      </c>
      <c r="N140">
        <f t="shared" si="10"/>
        <v>379</v>
      </c>
      <c r="O140">
        <f t="shared" si="11"/>
        <v>2048.5833333333335</v>
      </c>
    </row>
    <row r="141" spans="1:15" x14ac:dyDescent="0.2">
      <c r="A141" t="s">
        <v>19</v>
      </c>
      <c r="B141">
        <v>9</v>
      </c>
      <c r="C141">
        <v>30</v>
      </c>
      <c r="D141">
        <v>53</v>
      </c>
      <c r="E141">
        <v>1</v>
      </c>
      <c r="F141">
        <v>27</v>
      </c>
      <c r="G141">
        <v>2070802</v>
      </c>
      <c r="H141">
        <v>0</v>
      </c>
      <c r="I141">
        <v>1</v>
      </c>
      <c r="J141">
        <v>1</v>
      </c>
      <c r="K141">
        <v>0</v>
      </c>
      <c r="L141">
        <f t="shared" si="8"/>
        <v>35</v>
      </c>
      <c r="M141">
        <f t="shared" si="9"/>
        <v>420</v>
      </c>
      <c r="N141">
        <f t="shared" si="10"/>
        <v>367</v>
      </c>
      <c r="O141">
        <f t="shared" si="11"/>
        <v>2047.5833333333333</v>
      </c>
    </row>
    <row r="142" spans="1:15" x14ac:dyDescent="0.2">
      <c r="A142" t="s">
        <v>19</v>
      </c>
      <c r="B142">
        <v>9</v>
      </c>
      <c r="C142">
        <v>30</v>
      </c>
      <c r="D142">
        <v>57</v>
      </c>
      <c r="E142">
        <v>1</v>
      </c>
      <c r="F142">
        <v>29</v>
      </c>
      <c r="G142">
        <v>2042501</v>
      </c>
      <c r="H142">
        <v>0</v>
      </c>
      <c r="I142">
        <v>1</v>
      </c>
      <c r="J142">
        <v>1</v>
      </c>
      <c r="K142">
        <v>0</v>
      </c>
      <c r="L142">
        <f t="shared" si="8"/>
        <v>35</v>
      </c>
      <c r="M142">
        <f t="shared" si="9"/>
        <v>420</v>
      </c>
      <c r="N142">
        <f t="shared" si="10"/>
        <v>363</v>
      </c>
      <c r="O142">
        <f t="shared" si="11"/>
        <v>2047.25</v>
      </c>
    </row>
    <row r="143" spans="1:15" x14ac:dyDescent="0.2">
      <c r="A143" t="s">
        <v>19</v>
      </c>
      <c r="B143">
        <v>9</v>
      </c>
      <c r="C143">
        <v>30</v>
      </c>
      <c r="D143">
        <v>61</v>
      </c>
      <c r="E143">
        <v>1</v>
      </c>
      <c r="F143">
        <v>27</v>
      </c>
      <c r="G143">
        <v>2026601</v>
      </c>
      <c r="H143">
        <v>0</v>
      </c>
      <c r="I143">
        <v>1</v>
      </c>
      <c r="J143">
        <v>1</v>
      </c>
      <c r="K143">
        <v>0</v>
      </c>
      <c r="L143">
        <f t="shared" si="8"/>
        <v>35</v>
      </c>
      <c r="M143">
        <f t="shared" si="9"/>
        <v>420</v>
      </c>
      <c r="N143">
        <f t="shared" si="10"/>
        <v>359</v>
      </c>
      <c r="O143">
        <f t="shared" si="11"/>
        <v>2046.9166666666667</v>
      </c>
    </row>
    <row r="144" spans="1:15" x14ac:dyDescent="0.2">
      <c r="A144" t="s">
        <v>19</v>
      </c>
      <c r="B144">
        <v>9</v>
      </c>
      <c r="C144">
        <v>30</v>
      </c>
      <c r="D144">
        <v>70</v>
      </c>
      <c r="E144">
        <v>1</v>
      </c>
      <c r="F144">
        <v>28</v>
      </c>
      <c r="G144">
        <v>1997501</v>
      </c>
      <c r="H144">
        <v>0</v>
      </c>
      <c r="I144">
        <v>1</v>
      </c>
      <c r="J144">
        <v>1</v>
      </c>
      <c r="K144">
        <v>0</v>
      </c>
      <c r="L144">
        <f t="shared" si="8"/>
        <v>35</v>
      </c>
      <c r="M144">
        <f t="shared" si="9"/>
        <v>420</v>
      </c>
      <c r="N144">
        <f t="shared" si="10"/>
        <v>350</v>
      </c>
      <c r="O144">
        <f t="shared" si="11"/>
        <v>2046.1666666666667</v>
      </c>
    </row>
    <row r="145" spans="1:15" x14ac:dyDescent="0.2">
      <c r="A145" t="s">
        <v>19</v>
      </c>
      <c r="B145">
        <v>9</v>
      </c>
      <c r="C145">
        <v>30</v>
      </c>
      <c r="D145">
        <v>93</v>
      </c>
      <c r="E145">
        <v>1</v>
      </c>
      <c r="F145">
        <v>25</v>
      </c>
      <c r="G145">
        <v>1902601</v>
      </c>
      <c r="H145">
        <v>0</v>
      </c>
      <c r="I145">
        <v>1</v>
      </c>
      <c r="J145">
        <v>1</v>
      </c>
      <c r="K145">
        <v>0</v>
      </c>
      <c r="L145">
        <f t="shared" si="8"/>
        <v>35</v>
      </c>
      <c r="M145">
        <f t="shared" si="9"/>
        <v>420</v>
      </c>
      <c r="N145">
        <f t="shared" si="10"/>
        <v>327</v>
      </c>
      <c r="O145">
        <f t="shared" si="11"/>
        <v>2044.25</v>
      </c>
    </row>
    <row r="146" spans="1:15" x14ac:dyDescent="0.2">
      <c r="A146" t="s">
        <v>19</v>
      </c>
      <c r="B146">
        <v>9</v>
      </c>
      <c r="C146">
        <v>30</v>
      </c>
      <c r="D146">
        <v>93</v>
      </c>
      <c r="E146">
        <v>2</v>
      </c>
      <c r="F146">
        <v>29</v>
      </c>
      <c r="G146">
        <v>1903701</v>
      </c>
      <c r="H146">
        <v>0</v>
      </c>
      <c r="I146">
        <v>1</v>
      </c>
      <c r="J146">
        <v>1</v>
      </c>
      <c r="K146">
        <v>0</v>
      </c>
      <c r="L146">
        <f t="shared" si="8"/>
        <v>35</v>
      </c>
      <c r="M146">
        <f t="shared" si="9"/>
        <v>420</v>
      </c>
      <c r="N146">
        <f t="shared" si="10"/>
        <v>327</v>
      </c>
      <c r="O146">
        <f t="shared" si="11"/>
        <v>2044.25</v>
      </c>
    </row>
    <row r="147" spans="1:15" x14ac:dyDescent="0.2">
      <c r="A147" t="s">
        <v>19</v>
      </c>
      <c r="B147">
        <v>9</v>
      </c>
      <c r="C147">
        <v>30</v>
      </c>
      <c r="D147">
        <v>109</v>
      </c>
      <c r="E147">
        <v>1</v>
      </c>
      <c r="F147">
        <v>22</v>
      </c>
      <c r="G147">
        <v>1725901</v>
      </c>
      <c r="H147">
        <v>0</v>
      </c>
      <c r="I147">
        <v>1</v>
      </c>
      <c r="J147">
        <v>1</v>
      </c>
      <c r="K147">
        <v>0</v>
      </c>
      <c r="L147">
        <f t="shared" si="8"/>
        <v>35</v>
      </c>
      <c r="M147">
        <f t="shared" si="9"/>
        <v>420</v>
      </c>
      <c r="N147">
        <f t="shared" si="10"/>
        <v>311</v>
      </c>
      <c r="O147">
        <f t="shared" si="11"/>
        <v>2042.9166666666667</v>
      </c>
    </row>
    <row r="148" spans="1:15" x14ac:dyDescent="0.2">
      <c r="A148" t="s">
        <v>19</v>
      </c>
      <c r="B148">
        <v>9</v>
      </c>
      <c r="C148">
        <v>30</v>
      </c>
      <c r="D148">
        <v>109</v>
      </c>
      <c r="E148">
        <v>1</v>
      </c>
      <c r="F148">
        <v>27</v>
      </c>
      <c r="G148">
        <v>1732901</v>
      </c>
      <c r="H148">
        <v>0</v>
      </c>
      <c r="I148">
        <v>1</v>
      </c>
      <c r="J148">
        <v>1</v>
      </c>
      <c r="K148">
        <v>0</v>
      </c>
      <c r="L148">
        <f t="shared" si="8"/>
        <v>35</v>
      </c>
      <c r="M148">
        <f t="shared" si="9"/>
        <v>420</v>
      </c>
      <c r="N148">
        <f t="shared" si="10"/>
        <v>311</v>
      </c>
      <c r="O148">
        <f t="shared" si="11"/>
        <v>2042.9166666666667</v>
      </c>
    </row>
    <row r="149" spans="1:15" x14ac:dyDescent="0.2">
      <c r="A149" t="s">
        <v>19</v>
      </c>
      <c r="B149">
        <v>9</v>
      </c>
      <c r="C149">
        <v>30</v>
      </c>
      <c r="D149">
        <v>114</v>
      </c>
      <c r="E149">
        <v>1</v>
      </c>
      <c r="F149">
        <v>29</v>
      </c>
      <c r="G149">
        <v>1683501</v>
      </c>
      <c r="H149">
        <v>1</v>
      </c>
      <c r="I149">
        <v>0</v>
      </c>
      <c r="J149">
        <v>1</v>
      </c>
      <c r="K149">
        <v>0</v>
      </c>
      <c r="L149">
        <f t="shared" si="8"/>
        <v>35</v>
      </c>
      <c r="M149">
        <f t="shared" si="9"/>
        <v>420</v>
      </c>
      <c r="N149">
        <f t="shared" si="10"/>
        <v>306</v>
      </c>
      <c r="O149">
        <f t="shared" si="11"/>
        <v>2042.5</v>
      </c>
    </row>
    <row r="150" spans="1:15" x14ac:dyDescent="0.2">
      <c r="A150" t="s">
        <v>19</v>
      </c>
      <c r="B150">
        <v>9</v>
      </c>
      <c r="C150">
        <v>30</v>
      </c>
      <c r="D150">
        <v>126</v>
      </c>
      <c r="E150">
        <v>1</v>
      </c>
      <c r="F150">
        <v>23</v>
      </c>
      <c r="G150">
        <v>1614301</v>
      </c>
      <c r="H150">
        <v>0</v>
      </c>
      <c r="I150">
        <v>1</v>
      </c>
      <c r="J150">
        <v>1</v>
      </c>
      <c r="K150">
        <v>0</v>
      </c>
      <c r="L150">
        <f t="shared" si="8"/>
        <v>35</v>
      </c>
      <c r="M150">
        <f t="shared" si="9"/>
        <v>420</v>
      </c>
      <c r="N150">
        <f t="shared" si="10"/>
        <v>294</v>
      </c>
      <c r="O150">
        <f t="shared" si="11"/>
        <v>2041.5</v>
      </c>
    </row>
    <row r="151" spans="1:15" x14ac:dyDescent="0.2">
      <c r="A151" t="s">
        <v>19</v>
      </c>
      <c r="B151">
        <v>9</v>
      </c>
      <c r="C151">
        <v>30</v>
      </c>
      <c r="D151">
        <v>141</v>
      </c>
      <c r="E151">
        <v>1</v>
      </c>
      <c r="F151">
        <v>28</v>
      </c>
      <c r="G151">
        <v>1114101</v>
      </c>
      <c r="H151">
        <v>0</v>
      </c>
      <c r="I151">
        <v>1</v>
      </c>
      <c r="J151">
        <v>1</v>
      </c>
      <c r="K151">
        <v>0</v>
      </c>
      <c r="L151">
        <f t="shared" si="8"/>
        <v>35</v>
      </c>
      <c r="M151">
        <f t="shared" si="9"/>
        <v>420</v>
      </c>
      <c r="N151">
        <f t="shared" si="10"/>
        <v>279</v>
      </c>
      <c r="O151">
        <f t="shared" si="11"/>
        <v>2040.25</v>
      </c>
    </row>
    <row r="152" spans="1:15" x14ac:dyDescent="0.2">
      <c r="A152" t="s">
        <v>19</v>
      </c>
      <c r="B152">
        <v>9</v>
      </c>
      <c r="C152">
        <v>30</v>
      </c>
      <c r="D152">
        <v>144</v>
      </c>
      <c r="E152">
        <v>1</v>
      </c>
      <c r="F152">
        <v>27</v>
      </c>
      <c r="G152">
        <v>1080901</v>
      </c>
      <c r="H152">
        <v>1</v>
      </c>
      <c r="I152">
        <v>0</v>
      </c>
      <c r="J152">
        <v>1</v>
      </c>
      <c r="K152">
        <v>0</v>
      </c>
      <c r="L152">
        <f t="shared" si="8"/>
        <v>35</v>
      </c>
      <c r="M152">
        <f t="shared" si="9"/>
        <v>420</v>
      </c>
      <c r="N152">
        <f t="shared" si="10"/>
        <v>276</v>
      </c>
      <c r="O152">
        <f t="shared" si="11"/>
        <v>2040</v>
      </c>
    </row>
    <row r="153" spans="1:15" x14ac:dyDescent="0.2">
      <c r="A153" t="s">
        <v>19</v>
      </c>
      <c r="B153">
        <v>9</v>
      </c>
      <c r="C153">
        <v>30</v>
      </c>
      <c r="D153">
        <v>144</v>
      </c>
      <c r="E153">
        <v>12</v>
      </c>
      <c r="F153">
        <v>29</v>
      </c>
      <c r="G153">
        <v>1094801</v>
      </c>
      <c r="H153">
        <v>1</v>
      </c>
      <c r="I153">
        <v>0</v>
      </c>
      <c r="J153">
        <v>1</v>
      </c>
      <c r="K153">
        <v>0</v>
      </c>
      <c r="L153">
        <f t="shared" si="8"/>
        <v>35</v>
      </c>
      <c r="M153">
        <f t="shared" si="9"/>
        <v>420</v>
      </c>
      <c r="N153">
        <f t="shared" si="10"/>
        <v>276</v>
      </c>
      <c r="O153">
        <f t="shared" si="11"/>
        <v>2040</v>
      </c>
    </row>
    <row r="154" spans="1:15" x14ac:dyDescent="0.2">
      <c r="A154" t="s">
        <v>19</v>
      </c>
      <c r="B154">
        <v>9</v>
      </c>
      <c r="C154">
        <v>30</v>
      </c>
      <c r="D154">
        <v>164</v>
      </c>
      <c r="E154">
        <v>12</v>
      </c>
      <c r="F154">
        <v>26</v>
      </c>
      <c r="G154">
        <v>937302</v>
      </c>
      <c r="H154">
        <v>0</v>
      </c>
      <c r="I154">
        <v>1</v>
      </c>
      <c r="J154">
        <v>1</v>
      </c>
      <c r="K154">
        <v>0</v>
      </c>
      <c r="L154">
        <f t="shared" si="8"/>
        <v>35</v>
      </c>
      <c r="M154">
        <f t="shared" si="9"/>
        <v>420</v>
      </c>
      <c r="N154">
        <f t="shared" si="10"/>
        <v>256</v>
      </c>
      <c r="O154">
        <f t="shared" si="11"/>
        <v>2038.3333333333333</v>
      </c>
    </row>
    <row r="155" spans="1:15" x14ac:dyDescent="0.2">
      <c r="A155" t="s">
        <v>19</v>
      </c>
      <c r="B155">
        <v>9</v>
      </c>
      <c r="C155">
        <v>30</v>
      </c>
      <c r="D155">
        <v>165</v>
      </c>
      <c r="E155">
        <v>1</v>
      </c>
      <c r="F155">
        <v>27</v>
      </c>
      <c r="G155">
        <v>356503</v>
      </c>
      <c r="H155">
        <v>1</v>
      </c>
      <c r="I155">
        <v>0</v>
      </c>
      <c r="J155">
        <v>1</v>
      </c>
      <c r="K155">
        <v>0</v>
      </c>
      <c r="L155">
        <f t="shared" si="8"/>
        <v>35</v>
      </c>
      <c r="M155">
        <f t="shared" si="9"/>
        <v>420</v>
      </c>
      <c r="N155">
        <f t="shared" si="10"/>
        <v>255</v>
      </c>
      <c r="O155">
        <f t="shared" si="11"/>
        <v>2038.25</v>
      </c>
    </row>
    <row r="156" spans="1:15" x14ac:dyDescent="0.2">
      <c r="A156" t="s">
        <v>19</v>
      </c>
      <c r="B156">
        <v>9</v>
      </c>
      <c r="C156">
        <v>30</v>
      </c>
      <c r="D156">
        <v>166</v>
      </c>
      <c r="E156">
        <v>1</v>
      </c>
      <c r="F156">
        <v>25</v>
      </c>
      <c r="G156">
        <v>921201</v>
      </c>
      <c r="H156">
        <v>0</v>
      </c>
      <c r="I156">
        <v>1</v>
      </c>
      <c r="J156">
        <v>1</v>
      </c>
      <c r="K156">
        <v>0</v>
      </c>
      <c r="L156">
        <f t="shared" si="8"/>
        <v>35</v>
      </c>
      <c r="M156">
        <f t="shared" si="9"/>
        <v>420</v>
      </c>
      <c r="N156">
        <f t="shared" si="10"/>
        <v>254</v>
      </c>
      <c r="O156">
        <f t="shared" si="11"/>
        <v>2038.1666666666667</v>
      </c>
    </row>
    <row r="157" spans="1:15" x14ac:dyDescent="0.2">
      <c r="A157" t="s">
        <v>19</v>
      </c>
      <c r="B157">
        <v>9</v>
      </c>
      <c r="C157">
        <v>30</v>
      </c>
      <c r="D157">
        <v>167</v>
      </c>
      <c r="E157">
        <v>1</v>
      </c>
      <c r="F157">
        <v>26</v>
      </c>
      <c r="G157">
        <v>914101</v>
      </c>
      <c r="H157">
        <v>1</v>
      </c>
      <c r="I157">
        <v>0</v>
      </c>
      <c r="J157">
        <v>1</v>
      </c>
      <c r="K157">
        <v>0</v>
      </c>
      <c r="L157">
        <f t="shared" si="8"/>
        <v>35</v>
      </c>
      <c r="M157">
        <f t="shared" si="9"/>
        <v>420</v>
      </c>
      <c r="N157">
        <f t="shared" si="10"/>
        <v>253</v>
      </c>
      <c r="O157">
        <f t="shared" si="11"/>
        <v>2038.0833333333333</v>
      </c>
    </row>
    <row r="158" spans="1:15" x14ac:dyDescent="0.2">
      <c r="A158" t="s">
        <v>19</v>
      </c>
      <c r="B158">
        <v>9</v>
      </c>
      <c r="C158">
        <v>30</v>
      </c>
      <c r="D158">
        <v>194</v>
      </c>
      <c r="E158">
        <v>12</v>
      </c>
      <c r="F158">
        <v>27</v>
      </c>
      <c r="G158">
        <v>835402</v>
      </c>
      <c r="H158">
        <v>0</v>
      </c>
      <c r="I158">
        <v>1</v>
      </c>
      <c r="J158">
        <v>1</v>
      </c>
      <c r="K158">
        <v>0</v>
      </c>
      <c r="L158">
        <f t="shared" si="8"/>
        <v>35</v>
      </c>
      <c r="M158">
        <f t="shared" si="9"/>
        <v>420</v>
      </c>
      <c r="N158">
        <f t="shared" si="10"/>
        <v>226</v>
      </c>
      <c r="O158">
        <f t="shared" si="11"/>
        <v>2035.8333333333333</v>
      </c>
    </row>
    <row r="159" spans="1:15" x14ac:dyDescent="0.2">
      <c r="A159" t="s">
        <v>19</v>
      </c>
      <c r="B159">
        <v>9</v>
      </c>
      <c r="C159">
        <v>30</v>
      </c>
      <c r="D159">
        <v>199</v>
      </c>
      <c r="E159">
        <v>1</v>
      </c>
      <c r="F159">
        <v>30</v>
      </c>
      <c r="G159">
        <v>809001</v>
      </c>
      <c r="H159">
        <v>1</v>
      </c>
      <c r="I159">
        <v>0</v>
      </c>
      <c r="J159">
        <v>1</v>
      </c>
      <c r="K159">
        <v>0</v>
      </c>
      <c r="L159">
        <f t="shared" si="8"/>
        <v>35</v>
      </c>
      <c r="M159">
        <f t="shared" si="9"/>
        <v>420</v>
      </c>
      <c r="N159">
        <f t="shared" si="10"/>
        <v>221</v>
      </c>
      <c r="O159">
        <f t="shared" si="11"/>
        <v>2035.4166666666667</v>
      </c>
    </row>
    <row r="160" spans="1:15" x14ac:dyDescent="0.2">
      <c r="A160" t="s">
        <v>19</v>
      </c>
      <c r="B160">
        <v>9</v>
      </c>
      <c r="C160">
        <v>30</v>
      </c>
      <c r="D160">
        <v>206</v>
      </c>
      <c r="E160">
        <v>1</v>
      </c>
      <c r="F160">
        <v>29</v>
      </c>
      <c r="G160">
        <v>704701</v>
      </c>
      <c r="H160">
        <v>1</v>
      </c>
      <c r="I160">
        <v>0</v>
      </c>
      <c r="J160">
        <v>1</v>
      </c>
      <c r="K160">
        <v>0</v>
      </c>
      <c r="L160">
        <f t="shared" si="8"/>
        <v>35</v>
      </c>
      <c r="M160">
        <f t="shared" si="9"/>
        <v>420</v>
      </c>
      <c r="N160">
        <f t="shared" si="10"/>
        <v>214</v>
      </c>
      <c r="O160">
        <f t="shared" si="11"/>
        <v>2034.8333333333333</v>
      </c>
    </row>
    <row r="161" spans="1:15" x14ac:dyDescent="0.2">
      <c r="A161" t="s">
        <v>19</v>
      </c>
      <c r="B161">
        <v>9</v>
      </c>
      <c r="C161">
        <v>30</v>
      </c>
      <c r="D161">
        <v>215</v>
      </c>
      <c r="E161">
        <v>1</v>
      </c>
      <c r="F161">
        <v>27</v>
      </c>
      <c r="G161">
        <v>194903</v>
      </c>
      <c r="H161">
        <v>0</v>
      </c>
      <c r="I161">
        <v>1</v>
      </c>
      <c r="J161">
        <v>1</v>
      </c>
      <c r="K161">
        <v>0</v>
      </c>
      <c r="L161">
        <f t="shared" si="8"/>
        <v>35</v>
      </c>
      <c r="M161">
        <f t="shared" si="9"/>
        <v>420</v>
      </c>
      <c r="N161">
        <f t="shared" si="10"/>
        <v>205</v>
      </c>
      <c r="O161">
        <f t="shared" si="11"/>
        <v>2034.0833333333333</v>
      </c>
    </row>
    <row r="162" spans="1:15" x14ac:dyDescent="0.2">
      <c r="A162" t="s">
        <v>19</v>
      </c>
      <c r="B162">
        <v>9</v>
      </c>
      <c r="C162">
        <v>30</v>
      </c>
      <c r="D162">
        <v>219</v>
      </c>
      <c r="E162">
        <v>1</v>
      </c>
      <c r="F162">
        <v>23</v>
      </c>
      <c r="G162">
        <v>380701</v>
      </c>
      <c r="H162">
        <v>0</v>
      </c>
      <c r="I162">
        <v>1</v>
      </c>
      <c r="J162">
        <v>1</v>
      </c>
      <c r="K162">
        <v>0</v>
      </c>
      <c r="L162">
        <f t="shared" si="8"/>
        <v>35</v>
      </c>
      <c r="M162">
        <f t="shared" si="9"/>
        <v>420</v>
      </c>
      <c r="N162">
        <f t="shared" si="10"/>
        <v>201</v>
      </c>
      <c r="O162">
        <f t="shared" si="11"/>
        <v>2033.75</v>
      </c>
    </row>
    <row r="163" spans="1:15" x14ac:dyDescent="0.2">
      <c r="A163" t="s">
        <v>19</v>
      </c>
      <c r="B163">
        <v>9</v>
      </c>
      <c r="C163">
        <v>30</v>
      </c>
      <c r="D163">
        <v>224</v>
      </c>
      <c r="E163">
        <v>1</v>
      </c>
      <c r="F163">
        <v>29</v>
      </c>
      <c r="G163">
        <v>289101</v>
      </c>
      <c r="H163">
        <v>1</v>
      </c>
      <c r="I163">
        <v>0</v>
      </c>
      <c r="J163">
        <v>1</v>
      </c>
      <c r="K163">
        <v>0</v>
      </c>
      <c r="L163">
        <f t="shared" si="8"/>
        <v>35</v>
      </c>
      <c r="M163">
        <f t="shared" si="9"/>
        <v>420</v>
      </c>
      <c r="N163">
        <f t="shared" si="10"/>
        <v>196</v>
      </c>
      <c r="O163">
        <f t="shared" si="11"/>
        <v>2033.3333333333333</v>
      </c>
    </row>
    <row r="164" spans="1:15" x14ac:dyDescent="0.2">
      <c r="A164" t="s">
        <v>19</v>
      </c>
      <c r="B164">
        <v>9</v>
      </c>
      <c r="C164">
        <v>30</v>
      </c>
      <c r="D164">
        <v>225</v>
      </c>
      <c r="E164">
        <v>1</v>
      </c>
      <c r="F164">
        <v>26</v>
      </c>
      <c r="G164">
        <v>270302</v>
      </c>
      <c r="H164">
        <v>0</v>
      </c>
      <c r="I164">
        <v>1</v>
      </c>
      <c r="J164">
        <v>1</v>
      </c>
      <c r="K164">
        <v>0</v>
      </c>
      <c r="L164">
        <f t="shared" si="8"/>
        <v>35</v>
      </c>
      <c r="M164">
        <f t="shared" si="9"/>
        <v>420</v>
      </c>
      <c r="N164">
        <f t="shared" si="10"/>
        <v>195</v>
      </c>
      <c r="O164">
        <f t="shared" si="11"/>
        <v>2033.25</v>
      </c>
    </row>
    <row r="165" spans="1:15" x14ac:dyDescent="0.2">
      <c r="A165" t="s">
        <v>19</v>
      </c>
      <c r="B165">
        <v>9</v>
      </c>
      <c r="C165">
        <v>30</v>
      </c>
      <c r="D165">
        <v>236</v>
      </c>
      <c r="E165">
        <v>1</v>
      </c>
      <c r="F165">
        <v>28</v>
      </c>
      <c r="G165">
        <v>107301</v>
      </c>
      <c r="H165">
        <v>1</v>
      </c>
      <c r="I165">
        <v>0</v>
      </c>
      <c r="J165">
        <v>1</v>
      </c>
      <c r="K165">
        <v>0</v>
      </c>
      <c r="L165">
        <f t="shared" si="8"/>
        <v>35</v>
      </c>
      <c r="M165">
        <f t="shared" si="9"/>
        <v>420</v>
      </c>
      <c r="N165">
        <f t="shared" si="10"/>
        <v>184</v>
      </c>
      <c r="O165">
        <f t="shared" si="11"/>
        <v>2032.3333333333333</v>
      </c>
    </row>
    <row r="166" spans="1:15" x14ac:dyDescent="0.2">
      <c r="A166" t="s">
        <v>19</v>
      </c>
      <c r="B166">
        <v>9</v>
      </c>
      <c r="C166">
        <v>30</v>
      </c>
      <c r="D166">
        <v>236</v>
      </c>
      <c r="E166">
        <v>2</v>
      </c>
      <c r="F166">
        <v>30</v>
      </c>
      <c r="G166">
        <v>102501</v>
      </c>
      <c r="H166">
        <v>0</v>
      </c>
      <c r="I166">
        <v>1</v>
      </c>
      <c r="J166">
        <v>1</v>
      </c>
      <c r="K166">
        <v>0</v>
      </c>
      <c r="L166">
        <f t="shared" si="8"/>
        <v>35</v>
      </c>
      <c r="M166">
        <f t="shared" si="9"/>
        <v>420</v>
      </c>
      <c r="N166">
        <f t="shared" si="10"/>
        <v>184</v>
      </c>
      <c r="O166">
        <f t="shared" si="11"/>
        <v>2032.3333333333333</v>
      </c>
    </row>
    <row r="167" spans="1:15" x14ac:dyDescent="0.2">
      <c r="A167" t="s">
        <v>19</v>
      </c>
      <c r="B167">
        <v>9</v>
      </c>
      <c r="C167">
        <v>30</v>
      </c>
      <c r="D167">
        <v>237</v>
      </c>
      <c r="E167">
        <v>2</v>
      </c>
      <c r="F167">
        <v>25</v>
      </c>
      <c r="G167">
        <v>100701</v>
      </c>
      <c r="H167">
        <v>0</v>
      </c>
      <c r="I167">
        <v>1</v>
      </c>
      <c r="J167">
        <v>1</v>
      </c>
      <c r="K167">
        <v>0</v>
      </c>
      <c r="L167">
        <f t="shared" si="8"/>
        <v>35</v>
      </c>
      <c r="M167">
        <f t="shared" si="9"/>
        <v>420</v>
      </c>
      <c r="N167">
        <f t="shared" si="10"/>
        <v>183</v>
      </c>
      <c r="O167">
        <f t="shared" si="11"/>
        <v>2032.25</v>
      </c>
    </row>
    <row r="168" spans="1:15" x14ac:dyDescent="0.2">
      <c r="A168" t="s">
        <v>19</v>
      </c>
      <c r="B168">
        <v>9</v>
      </c>
      <c r="C168">
        <v>30</v>
      </c>
      <c r="D168">
        <v>240</v>
      </c>
      <c r="E168">
        <v>1</v>
      </c>
      <c r="F168">
        <v>22</v>
      </c>
      <c r="G168">
        <v>75601</v>
      </c>
      <c r="H168">
        <v>0</v>
      </c>
      <c r="I168">
        <v>1</v>
      </c>
      <c r="J168">
        <v>1</v>
      </c>
      <c r="K168">
        <v>0</v>
      </c>
      <c r="L168">
        <f t="shared" si="8"/>
        <v>35</v>
      </c>
      <c r="M168">
        <f t="shared" si="9"/>
        <v>420</v>
      </c>
      <c r="N168">
        <f t="shared" si="10"/>
        <v>180</v>
      </c>
      <c r="O168">
        <f t="shared" si="11"/>
        <v>2032</v>
      </c>
    </row>
    <row r="169" spans="1:15" x14ac:dyDescent="0.2">
      <c r="A169" t="s">
        <v>19</v>
      </c>
      <c r="B169">
        <v>9</v>
      </c>
      <c r="C169">
        <v>31</v>
      </c>
      <c r="D169">
        <v>1</v>
      </c>
      <c r="E169">
        <v>6</v>
      </c>
      <c r="F169">
        <v>31</v>
      </c>
      <c r="G169">
        <v>2196802</v>
      </c>
      <c r="H169">
        <v>0</v>
      </c>
      <c r="I169">
        <v>1</v>
      </c>
      <c r="J169">
        <v>1</v>
      </c>
      <c r="K169">
        <v>0</v>
      </c>
      <c r="L169">
        <f t="shared" si="8"/>
        <v>34</v>
      </c>
      <c r="M169">
        <f t="shared" si="9"/>
        <v>408</v>
      </c>
      <c r="N169">
        <f t="shared" si="10"/>
        <v>407</v>
      </c>
      <c r="O169">
        <f t="shared" si="11"/>
        <v>2050.9166666666665</v>
      </c>
    </row>
    <row r="170" spans="1:15" x14ac:dyDescent="0.2">
      <c r="A170" t="s">
        <v>19</v>
      </c>
      <c r="B170">
        <v>9</v>
      </c>
      <c r="C170">
        <v>31</v>
      </c>
      <c r="D170">
        <v>1</v>
      </c>
      <c r="E170">
        <v>12</v>
      </c>
      <c r="F170">
        <v>28</v>
      </c>
      <c r="G170">
        <v>2408803</v>
      </c>
      <c r="H170">
        <v>0</v>
      </c>
      <c r="I170">
        <v>1</v>
      </c>
      <c r="J170">
        <v>1</v>
      </c>
      <c r="K170">
        <v>0</v>
      </c>
      <c r="L170">
        <f t="shared" si="8"/>
        <v>34</v>
      </c>
      <c r="M170">
        <f t="shared" si="9"/>
        <v>408</v>
      </c>
      <c r="N170">
        <f t="shared" si="10"/>
        <v>407</v>
      </c>
      <c r="O170">
        <f t="shared" si="11"/>
        <v>2050.9166666666665</v>
      </c>
    </row>
    <row r="171" spans="1:15" x14ac:dyDescent="0.2">
      <c r="A171" t="s">
        <v>19</v>
      </c>
      <c r="B171">
        <v>9</v>
      </c>
      <c r="C171">
        <v>31</v>
      </c>
      <c r="D171">
        <v>2</v>
      </c>
      <c r="E171">
        <v>12</v>
      </c>
      <c r="F171">
        <v>26</v>
      </c>
      <c r="G171">
        <v>2383805</v>
      </c>
      <c r="H171">
        <v>0</v>
      </c>
      <c r="I171">
        <v>1</v>
      </c>
      <c r="J171">
        <v>1</v>
      </c>
      <c r="K171">
        <v>0</v>
      </c>
      <c r="L171">
        <f t="shared" si="8"/>
        <v>34</v>
      </c>
      <c r="M171">
        <f t="shared" si="9"/>
        <v>408</v>
      </c>
      <c r="N171">
        <f t="shared" si="10"/>
        <v>406</v>
      </c>
      <c r="O171">
        <f t="shared" si="11"/>
        <v>2050.8333333333335</v>
      </c>
    </row>
    <row r="172" spans="1:15" x14ac:dyDescent="0.2">
      <c r="A172" t="s">
        <v>19</v>
      </c>
      <c r="B172">
        <v>9</v>
      </c>
      <c r="C172">
        <v>31</v>
      </c>
      <c r="D172">
        <v>2</v>
      </c>
      <c r="E172">
        <v>12</v>
      </c>
      <c r="F172">
        <v>28</v>
      </c>
      <c r="G172">
        <v>2376303</v>
      </c>
      <c r="H172">
        <v>0</v>
      </c>
      <c r="I172">
        <v>1</v>
      </c>
      <c r="J172">
        <v>1</v>
      </c>
      <c r="K172">
        <v>0</v>
      </c>
      <c r="L172">
        <f t="shared" si="8"/>
        <v>34</v>
      </c>
      <c r="M172">
        <f t="shared" si="9"/>
        <v>408</v>
      </c>
      <c r="N172">
        <f t="shared" si="10"/>
        <v>406</v>
      </c>
      <c r="O172">
        <f t="shared" si="11"/>
        <v>2050.8333333333335</v>
      </c>
    </row>
    <row r="173" spans="1:15" x14ac:dyDescent="0.2">
      <c r="A173" t="s">
        <v>19</v>
      </c>
      <c r="B173">
        <v>9</v>
      </c>
      <c r="C173">
        <v>31</v>
      </c>
      <c r="D173">
        <v>6</v>
      </c>
      <c r="E173">
        <v>1</v>
      </c>
      <c r="F173">
        <v>25</v>
      </c>
      <c r="G173">
        <v>2348201</v>
      </c>
      <c r="H173">
        <v>0</v>
      </c>
      <c r="I173">
        <v>1</v>
      </c>
      <c r="J173">
        <v>1</v>
      </c>
      <c r="K173">
        <v>0</v>
      </c>
      <c r="L173">
        <f t="shared" si="8"/>
        <v>34</v>
      </c>
      <c r="M173">
        <f t="shared" si="9"/>
        <v>408</v>
      </c>
      <c r="N173">
        <f t="shared" si="10"/>
        <v>402</v>
      </c>
      <c r="O173">
        <f t="shared" si="11"/>
        <v>2050.5</v>
      </c>
    </row>
    <row r="174" spans="1:15" x14ac:dyDescent="0.2">
      <c r="A174" t="s">
        <v>19</v>
      </c>
      <c r="B174">
        <v>9</v>
      </c>
      <c r="C174">
        <v>31</v>
      </c>
      <c r="D174">
        <v>10</v>
      </c>
      <c r="E174">
        <v>12</v>
      </c>
      <c r="F174">
        <v>28</v>
      </c>
      <c r="G174">
        <v>2291603</v>
      </c>
      <c r="H174">
        <v>0</v>
      </c>
      <c r="I174">
        <v>1</v>
      </c>
      <c r="J174">
        <v>1</v>
      </c>
      <c r="K174">
        <v>0</v>
      </c>
      <c r="L174">
        <f t="shared" si="8"/>
        <v>34</v>
      </c>
      <c r="M174">
        <f t="shared" si="9"/>
        <v>408</v>
      </c>
      <c r="N174">
        <f t="shared" si="10"/>
        <v>398</v>
      </c>
      <c r="O174">
        <f t="shared" si="11"/>
        <v>2050.1666666666665</v>
      </c>
    </row>
    <row r="175" spans="1:15" x14ac:dyDescent="0.2">
      <c r="A175" t="s">
        <v>19</v>
      </c>
      <c r="B175">
        <v>9</v>
      </c>
      <c r="C175">
        <v>31</v>
      </c>
      <c r="D175">
        <v>10</v>
      </c>
      <c r="E175">
        <v>12</v>
      </c>
      <c r="F175">
        <v>31</v>
      </c>
      <c r="G175">
        <v>2292403</v>
      </c>
      <c r="H175">
        <v>1</v>
      </c>
      <c r="I175">
        <v>0</v>
      </c>
      <c r="J175">
        <v>1</v>
      </c>
      <c r="K175">
        <v>0</v>
      </c>
      <c r="L175">
        <f t="shared" si="8"/>
        <v>34</v>
      </c>
      <c r="M175">
        <f t="shared" si="9"/>
        <v>408</v>
      </c>
      <c r="N175">
        <f t="shared" si="10"/>
        <v>398</v>
      </c>
      <c r="O175">
        <f t="shared" si="11"/>
        <v>2050.1666666666665</v>
      </c>
    </row>
    <row r="176" spans="1:15" x14ac:dyDescent="0.2">
      <c r="A176" t="s">
        <v>19</v>
      </c>
      <c r="B176">
        <v>9</v>
      </c>
      <c r="C176">
        <v>31</v>
      </c>
      <c r="D176">
        <v>24</v>
      </c>
      <c r="E176">
        <v>12</v>
      </c>
      <c r="F176">
        <v>26</v>
      </c>
      <c r="G176">
        <v>2210802</v>
      </c>
      <c r="H176">
        <v>0</v>
      </c>
      <c r="I176">
        <v>1</v>
      </c>
      <c r="J176">
        <v>1</v>
      </c>
      <c r="K176">
        <v>0</v>
      </c>
      <c r="L176">
        <f t="shared" si="8"/>
        <v>34</v>
      </c>
      <c r="M176">
        <f t="shared" si="9"/>
        <v>408</v>
      </c>
      <c r="N176">
        <f t="shared" si="10"/>
        <v>384</v>
      </c>
      <c r="O176">
        <f t="shared" si="11"/>
        <v>2049</v>
      </c>
    </row>
    <row r="177" spans="1:15" x14ac:dyDescent="0.2">
      <c r="A177" t="s">
        <v>19</v>
      </c>
      <c r="B177">
        <v>9</v>
      </c>
      <c r="C177">
        <v>31</v>
      </c>
      <c r="D177">
        <v>28</v>
      </c>
      <c r="E177">
        <v>1</v>
      </c>
      <c r="F177">
        <v>26</v>
      </c>
      <c r="G177">
        <v>2186301</v>
      </c>
      <c r="H177">
        <v>0</v>
      </c>
      <c r="I177">
        <v>1</v>
      </c>
      <c r="J177">
        <v>1</v>
      </c>
      <c r="K177">
        <v>0</v>
      </c>
      <c r="L177">
        <f t="shared" si="8"/>
        <v>34</v>
      </c>
      <c r="M177">
        <f t="shared" si="9"/>
        <v>408</v>
      </c>
      <c r="N177">
        <f t="shared" si="10"/>
        <v>380</v>
      </c>
      <c r="O177">
        <f t="shared" si="11"/>
        <v>2048.6666666666665</v>
      </c>
    </row>
    <row r="178" spans="1:15" x14ac:dyDescent="0.2">
      <c r="A178" t="s">
        <v>19</v>
      </c>
      <c r="B178">
        <v>9</v>
      </c>
      <c r="C178">
        <v>31</v>
      </c>
      <c r="D178">
        <v>44</v>
      </c>
      <c r="E178">
        <v>1</v>
      </c>
      <c r="F178">
        <v>30</v>
      </c>
      <c r="G178">
        <v>2108701</v>
      </c>
      <c r="H178">
        <v>0</v>
      </c>
      <c r="I178">
        <v>1</v>
      </c>
      <c r="J178">
        <v>1</v>
      </c>
      <c r="K178">
        <v>0</v>
      </c>
      <c r="L178">
        <f t="shared" si="8"/>
        <v>34</v>
      </c>
      <c r="M178">
        <f t="shared" si="9"/>
        <v>408</v>
      </c>
      <c r="N178">
        <f t="shared" si="10"/>
        <v>364</v>
      </c>
      <c r="O178">
        <f t="shared" si="11"/>
        <v>2047.3333333333333</v>
      </c>
    </row>
    <row r="179" spans="1:15" x14ac:dyDescent="0.2">
      <c r="A179" t="s">
        <v>19</v>
      </c>
      <c r="B179">
        <v>9</v>
      </c>
      <c r="C179">
        <v>31</v>
      </c>
      <c r="D179">
        <v>57</v>
      </c>
      <c r="E179">
        <v>1</v>
      </c>
      <c r="F179">
        <v>28</v>
      </c>
      <c r="G179">
        <v>2042701</v>
      </c>
      <c r="H179">
        <v>0</v>
      </c>
      <c r="I179">
        <v>1</v>
      </c>
      <c r="J179">
        <v>1</v>
      </c>
      <c r="K179">
        <v>0</v>
      </c>
      <c r="L179">
        <f t="shared" si="8"/>
        <v>34</v>
      </c>
      <c r="M179">
        <f t="shared" si="9"/>
        <v>408</v>
      </c>
      <c r="N179">
        <f t="shared" si="10"/>
        <v>351</v>
      </c>
      <c r="O179">
        <f t="shared" si="11"/>
        <v>2046.25</v>
      </c>
    </row>
    <row r="180" spans="1:15" x14ac:dyDescent="0.2">
      <c r="A180" t="s">
        <v>19</v>
      </c>
      <c r="B180">
        <v>9</v>
      </c>
      <c r="C180">
        <v>31</v>
      </c>
      <c r="D180">
        <v>66</v>
      </c>
      <c r="E180">
        <v>4</v>
      </c>
      <c r="F180">
        <v>30</v>
      </c>
      <c r="G180">
        <v>2009202</v>
      </c>
      <c r="H180">
        <v>0</v>
      </c>
      <c r="I180">
        <v>1</v>
      </c>
      <c r="J180">
        <v>1</v>
      </c>
      <c r="K180">
        <v>0</v>
      </c>
      <c r="L180">
        <f t="shared" si="8"/>
        <v>34</v>
      </c>
      <c r="M180">
        <f t="shared" si="9"/>
        <v>408</v>
      </c>
      <c r="N180">
        <f t="shared" si="10"/>
        <v>342</v>
      </c>
      <c r="O180">
        <f t="shared" si="11"/>
        <v>2045.5</v>
      </c>
    </row>
    <row r="181" spans="1:15" x14ac:dyDescent="0.2">
      <c r="A181" t="s">
        <v>19</v>
      </c>
      <c r="B181">
        <v>9</v>
      </c>
      <c r="C181">
        <v>31</v>
      </c>
      <c r="D181">
        <v>101</v>
      </c>
      <c r="E181">
        <v>2</v>
      </c>
      <c r="F181">
        <v>29</v>
      </c>
      <c r="G181">
        <v>1833701</v>
      </c>
      <c r="H181">
        <v>0</v>
      </c>
      <c r="I181">
        <v>1</v>
      </c>
      <c r="J181">
        <v>1</v>
      </c>
      <c r="K181">
        <v>0</v>
      </c>
      <c r="L181">
        <f t="shared" si="8"/>
        <v>34</v>
      </c>
      <c r="M181">
        <f t="shared" si="9"/>
        <v>408</v>
      </c>
      <c r="N181">
        <f t="shared" si="10"/>
        <v>307</v>
      </c>
      <c r="O181">
        <f t="shared" si="11"/>
        <v>2042.5833333333333</v>
      </c>
    </row>
    <row r="182" spans="1:15" x14ac:dyDescent="0.2">
      <c r="A182" t="s">
        <v>19</v>
      </c>
      <c r="B182">
        <v>9</v>
      </c>
      <c r="C182">
        <v>31</v>
      </c>
      <c r="D182">
        <v>114</v>
      </c>
      <c r="E182">
        <v>2</v>
      </c>
      <c r="F182">
        <v>29</v>
      </c>
      <c r="G182">
        <v>1677001</v>
      </c>
      <c r="H182">
        <v>0</v>
      </c>
      <c r="I182">
        <v>1</v>
      </c>
      <c r="J182">
        <v>1</v>
      </c>
      <c r="K182">
        <v>0</v>
      </c>
      <c r="L182">
        <f t="shared" si="8"/>
        <v>34</v>
      </c>
      <c r="M182">
        <f t="shared" si="9"/>
        <v>408</v>
      </c>
      <c r="N182">
        <f t="shared" si="10"/>
        <v>294</v>
      </c>
      <c r="O182">
        <f t="shared" si="11"/>
        <v>2041.5</v>
      </c>
    </row>
    <row r="183" spans="1:15" x14ac:dyDescent="0.2">
      <c r="A183" t="s">
        <v>19</v>
      </c>
      <c r="B183">
        <v>9</v>
      </c>
      <c r="C183">
        <v>31</v>
      </c>
      <c r="D183">
        <v>120</v>
      </c>
      <c r="E183">
        <v>1</v>
      </c>
      <c r="F183">
        <v>30</v>
      </c>
      <c r="G183">
        <v>1639401</v>
      </c>
      <c r="H183">
        <v>1</v>
      </c>
      <c r="I183">
        <v>0</v>
      </c>
      <c r="J183">
        <v>1</v>
      </c>
      <c r="K183">
        <v>0</v>
      </c>
      <c r="L183">
        <f t="shared" si="8"/>
        <v>34</v>
      </c>
      <c r="M183">
        <f t="shared" si="9"/>
        <v>408</v>
      </c>
      <c r="N183">
        <f t="shared" si="10"/>
        <v>288</v>
      </c>
      <c r="O183">
        <f t="shared" si="11"/>
        <v>2041</v>
      </c>
    </row>
    <row r="184" spans="1:15" x14ac:dyDescent="0.2">
      <c r="A184" t="s">
        <v>19</v>
      </c>
      <c r="B184">
        <v>9</v>
      </c>
      <c r="C184">
        <v>31</v>
      </c>
      <c r="D184">
        <v>129</v>
      </c>
      <c r="E184">
        <v>1</v>
      </c>
      <c r="F184">
        <v>31</v>
      </c>
      <c r="G184">
        <v>1606301</v>
      </c>
      <c r="H184">
        <v>1</v>
      </c>
      <c r="I184">
        <v>0</v>
      </c>
      <c r="J184">
        <v>1</v>
      </c>
      <c r="K184">
        <v>0</v>
      </c>
      <c r="L184">
        <f t="shared" si="8"/>
        <v>34</v>
      </c>
      <c r="M184">
        <f t="shared" si="9"/>
        <v>408</v>
      </c>
      <c r="N184">
        <f t="shared" si="10"/>
        <v>279</v>
      </c>
      <c r="O184">
        <f t="shared" si="11"/>
        <v>2040.25</v>
      </c>
    </row>
    <row r="185" spans="1:15" x14ac:dyDescent="0.2">
      <c r="A185" t="s">
        <v>19</v>
      </c>
      <c r="B185">
        <v>9</v>
      </c>
      <c r="C185">
        <v>31</v>
      </c>
      <c r="D185">
        <v>130</v>
      </c>
      <c r="E185">
        <v>1</v>
      </c>
      <c r="F185">
        <v>26</v>
      </c>
      <c r="G185">
        <v>1601701</v>
      </c>
      <c r="H185">
        <v>0</v>
      </c>
      <c r="I185">
        <v>1</v>
      </c>
      <c r="J185">
        <v>1</v>
      </c>
      <c r="K185">
        <v>0</v>
      </c>
      <c r="L185">
        <f t="shared" si="8"/>
        <v>34</v>
      </c>
      <c r="M185">
        <f t="shared" si="9"/>
        <v>408</v>
      </c>
      <c r="N185">
        <f t="shared" si="10"/>
        <v>278</v>
      </c>
      <c r="O185">
        <f t="shared" si="11"/>
        <v>2040.1666666666667</v>
      </c>
    </row>
    <row r="186" spans="1:15" x14ac:dyDescent="0.2">
      <c r="A186" t="s">
        <v>19</v>
      </c>
      <c r="B186">
        <v>9</v>
      </c>
      <c r="C186">
        <v>31</v>
      </c>
      <c r="D186">
        <v>156</v>
      </c>
      <c r="E186">
        <v>1</v>
      </c>
      <c r="F186">
        <v>27</v>
      </c>
      <c r="G186">
        <v>999301</v>
      </c>
      <c r="H186">
        <v>0</v>
      </c>
      <c r="I186">
        <v>1</v>
      </c>
      <c r="J186">
        <v>1</v>
      </c>
      <c r="K186">
        <v>0</v>
      </c>
      <c r="L186">
        <f t="shared" si="8"/>
        <v>34</v>
      </c>
      <c r="M186">
        <f t="shared" si="9"/>
        <v>408</v>
      </c>
      <c r="N186">
        <f t="shared" si="10"/>
        <v>252</v>
      </c>
      <c r="O186">
        <f t="shared" si="11"/>
        <v>2038</v>
      </c>
    </row>
    <row r="187" spans="1:15" x14ac:dyDescent="0.2">
      <c r="A187" t="s">
        <v>19</v>
      </c>
      <c r="B187">
        <v>9</v>
      </c>
      <c r="C187">
        <v>31</v>
      </c>
      <c r="D187">
        <v>163</v>
      </c>
      <c r="E187">
        <v>1</v>
      </c>
      <c r="F187">
        <v>31</v>
      </c>
      <c r="G187">
        <v>947601</v>
      </c>
      <c r="H187">
        <v>0</v>
      </c>
      <c r="I187">
        <v>1</v>
      </c>
      <c r="J187">
        <v>1</v>
      </c>
      <c r="K187">
        <v>0</v>
      </c>
      <c r="L187">
        <f t="shared" si="8"/>
        <v>34</v>
      </c>
      <c r="M187">
        <f t="shared" si="9"/>
        <v>408</v>
      </c>
      <c r="N187">
        <f t="shared" si="10"/>
        <v>245</v>
      </c>
      <c r="O187">
        <f t="shared" si="11"/>
        <v>2037.4166666666667</v>
      </c>
    </row>
    <row r="188" spans="1:15" x14ac:dyDescent="0.2">
      <c r="A188" t="s">
        <v>19</v>
      </c>
      <c r="B188">
        <v>9</v>
      </c>
      <c r="C188">
        <v>31</v>
      </c>
      <c r="D188">
        <v>177</v>
      </c>
      <c r="E188">
        <v>1</v>
      </c>
      <c r="F188">
        <v>28</v>
      </c>
      <c r="G188">
        <v>896501</v>
      </c>
      <c r="H188">
        <v>1</v>
      </c>
      <c r="I188">
        <v>0</v>
      </c>
      <c r="J188">
        <v>1</v>
      </c>
      <c r="K188">
        <v>0</v>
      </c>
      <c r="L188">
        <f t="shared" si="8"/>
        <v>34</v>
      </c>
      <c r="M188">
        <f t="shared" si="9"/>
        <v>408</v>
      </c>
      <c r="N188">
        <f t="shared" si="10"/>
        <v>231</v>
      </c>
      <c r="O188">
        <f t="shared" si="11"/>
        <v>2036.25</v>
      </c>
    </row>
    <row r="189" spans="1:15" x14ac:dyDescent="0.2">
      <c r="A189" t="s">
        <v>19</v>
      </c>
      <c r="B189">
        <v>9</v>
      </c>
      <c r="C189">
        <v>31</v>
      </c>
      <c r="D189">
        <v>189</v>
      </c>
      <c r="E189">
        <v>1</v>
      </c>
      <c r="F189">
        <v>30</v>
      </c>
      <c r="G189">
        <v>868601</v>
      </c>
      <c r="H189">
        <v>0</v>
      </c>
      <c r="I189">
        <v>1</v>
      </c>
      <c r="J189">
        <v>1</v>
      </c>
      <c r="K189">
        <v>0</v>
      </c>
      <c r="L189">
        <f t="shared" si="8"/>
        <v>34</v>
      </c>
      <c r="M189">
        <f t="shared" si="9"/>
        <v>408</v>
      </c>
      <c r="N189">
        <f t="shared" si="10"/>
        <v>219</v>
      </c>
      <c r="O189">
        <f t="shared" si="11"/>
        <v>2035.25</v>
      </c>
    </row>
    <row r="190" spans="1:15" x14ac:dyDescent="0.2">
      <c r="A190" t="s">
        <v>19</v>
      </c>
      <c r="B190">
        <v>9</v>
      </c>
      <c r="C190">
        <v>31</v>
      </c>
      <c r="D190">
        <v>189</v>
      </c>
      <c r="E190">
        <v>12</v>
      </c>
      <c r="F190">
        <v>28</v>
      </c>
      <c r="G190">
        <v>869102</v>
      </c>
      <c r="H190">
        <v>0</v>
      </c>
      <c r="I190">
        <v>1</v>
      </c>
      <c r="J190">
        <v>1</v>
      </c>
      <c r="K190">
        <v>0</v>
      </c>
      <c r="L190">
        <f t="shared" si="8"/>
        <v>34</v>
      </c>
      <c r="M190">
        <f t="shared" si="9"/>
        <v>408</v>
      </c>
      <c r="N190">
        <f t="shared" si="10"/>
        <v>219</v>
      </c>
      <c r="O190">
        <f t="shared" si="11"/>
        <v>2035.25</v>
      </c>
    </row>
    <row r="191" spans="1:15" x14ac:dyDescent="0.2">
      <c r="A191" t="s">
        <v>19</v>
      </c>
      <c r="B191">
        <v>9</v>
      </c>
      <c r="C191">
        <v>31</v>
      </c>
      <c r="D191">
        <v>191</v>
      </c>
      <c r="E191">
        <v>1</v>
      </c>
      <c r="F191">
        <v>31</v>
      </c>
      <c r="G191">
        <v>857301</v>
      </c>
      <c r="H191">
        <v>1</v>
      </c>
      <c r="I191">
        <v>0</v>
      </c>
      <c r="J191">
        <v>1</v>
      </c>
      <c r="K191">
        <v>0</v>
      </c>
      <c r="L191">
        <f t="shared" si="8"/>
        <v>34</v>
      </c>
      <c r="M191">
        <f t="shared" si="9"/>
        <v>408</v>
      </c>
      <c r="N191">
        <f t="shared" si="10"/>
        <v>217</v>
      </c>
      <c r="O191">
        <f t="shared" si="11"/>
        <v>2035.0833333333333</v>
      </c>
    </row>
    <row r="192" spans="1:15" x14ac:dyDescent="0.2">
      <c r="A192" t="s">
        <v>19</v>
      </c>
      <c r="B192">
        <v>9</v>
      </c>
      <c r="C192">
        <v>31</v>
      </c>
      <c r="D192">
        <v>194</v>
      </c>
      <c r="E192">
        <v>1</v>
      </c>
      <c r="F192">
        <v>29</v>
      </c>
      <c r="G192">
        <v>837102</v>
      </c>
      <c r="H192">
        <v>0</v>
      </c>
      <c r="I192">
        <v>1</v>
      </c>
      <c r="J192">
        <v>1</v>
      </c>
      <c r="K192">
        <v>0</v>
      </c>
      <c r="L192">
        <f t="shared" si="8"/>
        <v>34</v>
      </c>
      <c r="M192">
        <f t="shared" si="9"/>
        <v>408</v>
      </c>
      <c r="N192">
        <f t="shared" si="10"/>
        <v>214</v>
      </c>
      <c r="O192">
        <f t="shared" si="11"/>
        <v>2034.8333333333333</v>
      </c>
    </row>
    <row r="193" spans="1:15" x14ac:dyDescent="0.2">
      <c r="A193" t="s">
        <v>19</v>
      </c>
      <c r="B193">
        <v>9</v>
      </c>
      <c r="C193">
        <v>31</v>
      </c>
      <c r="D193">
        <v>195</v>
      </c>
      <c r="E193">
        <v>2</v>
      </c>
      <c r="F193">
        <v>30</v>
      </c>
      <c r="G193">
        <v>834302</v>
      </c>
      <c r="H193">
        <v>1</v>
      </c>
      <c r="I193">
        <v>0</v>
      </c>
      <c r="J193">
        <v>1</v>
      </c>
      <c r="K193">
        <v>0</v>
      </c>
      <c r="L193">
        <f t="shared" si="8"/>
        <v>34</v>
      </c>
      <c r="M193">
        <f t="shared" si="9"/>
        <v>408</v>
      </c>
      <c r="N193">
        <f t="shared" si="10"/>
        <v>213</v>
      </c>
      <c r="O193">
        <f t="shared" si="11"/>
        <v>2034.75</v>
      </c>
    </row>
    <row r="194" spans="1:15" x14ac:dyDescent="0.2">
      <c r="A194" t="s">
        <v>19</v>
      </c>
      <c r="B194">
        <v>9</v>
      </c>
      <c r="C194">
        <v>31</v>
      </c>
      <c r="D194">
        <v>206</v>
      </c>
      <c r="E194">
        <v>1</v>
      </c>
      <c r="F194">
        <v>30</v>
      </c>
      <c r="G194">
        <v>708201</v>
      </c>
      <c r="H194">
        <v>1</v>
      </c>
      <c r="I194">
        <v>0</v>
      </c>
      <c r="J194">
        <v>1</v>
      </c>
      <c r="K194">
        <v>0</v>
      </c>
      <c r="L194">
        <f t="shared" si="8"/>
        <v>34</v>
      </c>
      <c r="M194">
        <f t="shared" si="9"/>
        <v>408</v>
      </c>
      <c r="N194">
        <f t="shared" si="10"/>
        <v>202</v>
      </c>
      <c r="O194">
        <f t="shared" si="11"/>
        <v>2033.8333333333333</v>
      </c>
    </row>
    <row r="195" spans="1:15" x14ac:dyDescent="0.2">
      <c r="A195" t="s">
        <v>19</v>
      </c>
      <c r="B195">
        <v>9</v>
      </c>
      <c r="C195">
        <v>31</v>
      </c>
      <c r="D195">
        <v>207</v>
      </c>
      <c r="E195">
        <v>1</v>
      </c>
      <c r="F195">
        <v>31</v>
      </c>
      <c r="G195">
        <v>94003</v>
      </c>
      <c r="H195">
        <v>0</v>
      </c>
      <c r="I195">
        <v>1</v>
      </c>
      <c r="J195">
        <v>1</v>
      </c>
      <c r="K195">
        <v>0</v>
      </c>
      <c r="L195">
        <f t="shared" si="8"/>
        <v>34</v>
      </c>
      <c r="M195">
        <f t="shared" si="9"/>
        <v>408</v>
      </c>
      <c r="N195">
        <f t="shared" si="10"/>
        <v>201</v>
      </c>
      <c r="O195">
        <f t="shared" si="11"/>
        <v>2033.75</v>
      </c>
    </row>
    <row r="196" spans="1:15" x14ac:dyDescent="0.2">
      <c r="A196" t="s">
        <v>19</v>
      </c>
      <c r="B196">
        <v>9</v>
      </c>
      <c r="C196">
        <v>31</v>
      </c>
      <c r="D196">
        <v>215</v>
      </c>
      <c r="E196">
        <v>1</v>
      </c>
      <c r="F196">
        <v>31</v>
      </c>
      <c r="G196">
        <v>533201</v>
      </c>
      <c r="H196">
        <v>1</v>
      </c>
      <c r="I196">
        <v>0</v>
      </c>
      <c r="J196">
        <v>1</v>
      </c>
      <c r="K196">
        <v>0</v>
      </c>
      <c r="L196">
        <f t="shared" si="8"/>
        <v>34</v>
      </c>
      <c r="M196">
        <f t="shared" si="9"/>
        <v>408</v>
      </c>
      <c r="N196">
        <f t="shared" si="10"/>
        <v>193</v>
      </c>
      <c r="O196">
        <f t="shared" si="11"/>
        <v>2033.0833333333333</v>
      </c>
    </row>
    <row r="197" spans="1:15" x14ac:dyDescent="0.2">
      <c r="A197" t="s">
        <v>19</v>
      </c>
      <c r="B197">
        <v>9</v>
      </c>
      <c r="C197">
        <v>31</v>
      </c>
      <c r="D197">
        <v>218</v>
      </c>
      <c r="E197">
        <v>12</v>
      </c>
      <c r="F197">
        <v>29</v>
      </c>
      <c r="G197">
        <v>380902</v>
      </c>
      <c r="H197">
        <v>0</v>
      </c>
      <c r="I197">
        <v>1</v>
      </c>
      <c r="J197">
        <v>1</v>
      </c>
      <c r="K197">
        <v>0</v>
      </c>
      <c r="L197">
        <f t="shared" si="8"/>
        <v>34</v>
      </c>
      <c r="M197">
        <f t="shared" si="9"/>
        <v>408</v>
      </c>
      <c r="N197">
        <f t="shared" si="10"/>
        <v>190</v>
      </c>
      <c r="O197">
        <f t="shared" si="11"/>
        <v>2032.8333333333333</v>
      </c>
    </row>
    <row r="198" spans="1:15" x14ac:dyDescent="0.2">
      <c r="A198" t="s">
        <v>19</v>
      </c>
      <c r="B198">
        <v>9</v>
      </c>
      <c r="C198">
        <v>31</v>
      </c>
      <c r="D198">
        <v>220</v>
      </c>
      <c r="E198">
        <v>1</v>
      </c>
      <c r="F198">
        <v>22</v>
      </c>
      <c r="G198">
        <v>352101</v>
      </c>
      <c r="H198">
        <v>0</v>
      </c>
      <c r="I198">
        <v>1</v>
      </c>
      <c r="J198">
        <v>1</v>
      </c>
      <c r="K198">
        <v>0</v>
      </c>
      <c r="L198">
        <f t="shared" si="8"/>
        <v>34</v>
      </c>
      <c r="M198">
        <f t="shared" si="9"/>
        <v>408</v>
      </c>
      <c r="N198">
        <f t="shared" si="10"/>
        <v>188</v>
      </c>
      <c r="O198">
        <f t="shared" si="11"/>
        <v>2032.6666666666667</v>
      </c>
    </row>
    <row r="199" spans="1:15" x14ac:dyDescent="0.2">
      <c r="A199" t="s">
        <v>19</v>
      </c>
      <c r="B199">
        <v>9</v>
      </c>
      <c r="C199">
        <v>31</v>
      </c>
      <c r="D199">
        <v>226</v>
      </c>
      <c r="E199">
        <v>1</v>
      </c>
      <c r="F199">
        <v>28</v>
      </c>
      <c r="G199">
        <v>245502</v>
      </c>
      <c r="H199">
        <v>0</v>
      </c>
      <c r="I199">
        <v>1</v>
      </c>
      <c r="J199">
        <v>1</v>
      </c>
      <c r="K199">
        <v>0</v>
      </c>
      <c r="L199">
        <f t="shared" ref="L199:L262" si="12">65-C199</f>
        <v>34</v>
      </c>
      <c r="M199">
        <f t="shared" ref="M199:M262" si="13">L199*12</f>
        <v>408</v>
      </c>
      <c r="N199">
        <f t="shared" ref="N199:N262" si="14">M199-D199</f>
        <v>182</v>
      </c>
      <c r="O199">
        <f t="shared" ref="O199:O262" si="15">2017+N199/12</f>
        <v>2032.1666666666667</v>
      </c>
    </row>
    <row r="200" spans="1:15" x14ac:dyDescent="0.2">
      <c r="A200" t="s">
        <v>19</v>
      </c>
      <c r="B200">
        <v>9</v>
      </c>
      <c r="C200">
        <v>31</v>
      </c>
      <c r="D200">
        <v>230</v>
      </c>
      <c r="E200">
        <v>12</v>
      </c>
      <c r="F200">
        <v>31</v>
      </c>
      <c r="G200">
        <v>185801</v>
      </c>
      <c r="H200">
        <v>0</v>
      </c>
      <c r="I200">
        <v>1</v>
      </c>
      <c r="J200">
        <v>1</v>
      </c>
      <c r="K200">
        <v>0</v>
      </c>
      <c r="L200">
        <f t="shared" si="12"/>
        <v>34</v>
      </c>
      <c r="M200">
        <f t="shared" si="13"/>
        <v>408</v>
      </c>
      <c r="N200">
        <f t="shared" si="14"/>
        <v>178</v>
      </c>
      <c r="O200">
        <f t="shared" si="15"/>
        <v>2031.8333333333333</v>
      </c>
    </row>
    <row r="201" spans="1:15" x14ac:dyDescent="0.2">
      <c r="A201" t="s">
        <v>19</v>
      </c>
      <c r="B201">
        <v>9</v>
      </c>
      <c r="C201">
        <v>31</v>
      </c>
      <c r="D201">
        <v>232</v>
      </c>
      <c r="E201">
        <v>1</v>
      </c>
      <c r="F201">
        <v>28</v>
      </c>
      <c r="G201">
        <v>151301</v>
      </c>
      <c r="H201">
        <v>0</v>
      </c>
      <c r="I201">
        <v>1</v>
      </c>
      <c r="J201">
        <v>1</v>
      </c>
      <c r="K201">
        <v>0</v>
      </c>
      <c r="L201">
        <f t="shared" si="12"/>
        <v>34</v>
      </c>
      <c r="M201">
        <f t="shared" si="13"/>
        <v>408</v>
      </c>
      <c r="N201">
        <f t="shared" si="14"/>
        <v>176</v>
      </c>
      <c r="O201">
        <f t="shared" si="15"/>
        <v>2031.6666666666667</v>
      </c>
    </row>
    <row r="202" spans="1:15" x14ac:dyDescent="0.2">
      <c r="A202" t="s">
        <v>19</v>
      </c>
      <c r="B202">
        <v>9</v>
      </c>
      <c r="C202">
        <v>31</v>
      </c>
      <c r="D202">
        <v>234</v>
      </c>
      <c r="E202">
        <v>1</v>
      </c>
      <c r="F202">
        <v>26</v>
      </c>
      <c r="G202">
        <v>133702</v>
      </c>
      <c r="H202">
        <v>0</v>
      </c>
      <c r="I202">
        <v>1</v>
      </c>
      <c r="J202">
        <v>1</v>
      </c>
      <c r="K202">
        <v>0</v>
      </c>
      <c r="L202">
        <f t="shared" si="12"/>
        <v>34</v>
      </c>
      <c r="M202">
        <f t="shared" si="13"/>
        <v>408</v>
      </c>
      <c r="N202">
        <f t="shared" si="14"/>
        <v>174</v>
      </c>
      <c r="O202">
        <f t="shared" si="15"/>
        <v>2031.5</v>
      </c>
    </row>
    <row r="203" spans="1:15" x14ac:dyDescent="0.2">
      <c r="A203" t="s">
        <v>19</v>
      </c>
      <c r="B203">
        <v>9</v>
      </c>
      <c r="C203">
        <v>31</v>
      </c>
      <c r="D203">
        <v>240</v>
      </c>
      <c r="E203">
        <v>1</v>
      </c>
      <c r="F203">
        <v>30</v>
      </c>
      <c r="G203">
        <v>39102</v>
      </c>
      <c r="H203">
        <v>0</v>
      </c>
      <c r="I203">
        <v>1</v>
      </c>
      <c r="J203">
        <v>1</v>
      </c>
      <c r="K203">
        <v>0</v>
      </c>
      <c r="L203">
        <f t="shared" si="12"/>
        <v>34</v>
      </c>
      <c r="M203">
        <f t="shared" si="13"/>
        <v>408</v>
      </c>
      <c r="N203">
        <f t="shared" si="14"/>
        <v>168</v>
      </c>
      <c r="O203">
        <f t="shared" si="15"/>
        <v>2031</v>
      </c>
    </row>
    <row r="204" spans="1:15" x14ac:dyDescent="0.2">
      <c r="A204" t="s">
        <v>19</v>
      </c>
      <c r="B204">
        <v>9</v>
      </c>
      <c r="C204">
        <v>31</v>
      </c>
      <c r="D204">
        <v>248</v>
      </c>
      <c r="E204">
        <v>1</v>
      </c>
      <c r="F204">
        <v>29</v>
      </c>
      <c r="G204">
        <v>24401</v>
      </c>
      <c r="H204">
        <v>0</v>
      </c>
      <c r="I204">
        <v>1</v>
      </c>
      <c r="J204">
        <v>1</v>
      </c>
      <c r="K204">
        <v>0</v>
      </c>
      <c r="L204">
        <f t="shared" si="12"/>
        <v>34</v>
      </c>
      <c r="M204">
        <f t="shared" si="13"/>
        <v>408</v>
      </c>
      <c r="N204">
        <f t="shared" si="14"/>
        <v>160</v>
      </c>
      <c r="O204">
        <f t="shared" si="15"/>
        <v>2030.3333333333333</v>
      </c>
    </row>
    <row r="205" spans="1:15" x14ac:dyDescent="0.2">
      <c r="A205" t="s">
        <v>19</v>
      </c>
      <c r="B205">
        <v>9</v>
      </c>
      <c r="C205">
        <v>32</v>
      </c>
      <c r="D205">
        <v>1</v>
      </c>
      <c r="E205">
        <v>12</v>
      </c>
      <c r="F205">
        <v>29</v>
      </c>
      <c r="G205">
        <v>2412103</v>
      </c>
      <c r="H205">
        <v>0</v>
      </c>
      <c r="I205">
        <v>1</v>
      </c>
      <c r="J205">
        <v>1</v>
      </c>
      <c r="K205">
        <v>0</v>
      </c>
      <c r="L205">
        <f t="shared" si="12"/>
        <v>33</v>
      </c>
      <c r="M205">
        <f t="shared" si="13"/>
        <v>396</v>
      </c>
      <c r="N205">
        <f t="shared" si="14"/>
        <v>395</v>
      </c>
      <c r="O205">
        <f t="shared" si="15"/>
        <v>2049.9166666666665</v>
      </c>
    </row>
    <row r="206" spans="1:15" x14ac:dyDescent="0.2">
      <c r="A206" t="s">
        <v>19</v>
      </c>
      <c r="B206">
        <v>9</v>
      </c>
      <c r="C206">
        <v>32</v>
      </c>
      <c r="D206">
        <v>1</v>
      </c>
      <c r="E206">
        <v>12</v>
      </c>
      <c r="F206">
        <v>31</v>
      </c>
      <c r="G206">
        <v>2393003</v>
      </c>
      <c r="H206">
        <v>0</v>
      </c>
      <c r="I206">
        <v>1</v>
      </c>
      <c r="J206">
        <v>1</v>
      </c>
      <c r="K206">
        <v>0</v>
      </c>
      <c r="L206">
        <f t="shared" si="12"/>
        <v>33</v>
      </c>
      <c r="M206">
        <f t="shared" si="13"/>
        <v>396</v>
      </c>
      <c r="N206">
        <f t="shared" si="14"/>
        <v>395</v>
      </c>
      <c r="O206">
        <f t="shared" si="15"/>
        <v>2049.9166666666665</v>
      </c>
    </row>
    <row r="207" spans="1:15" x14ac:dyDescent="0.2">
      <c r="A207" t="s">
        <v>19</v>
      </c>
      <c r="B207">
        <v>9</v>
      </c>
      <c r="C207">
        <v>32</v>
      </c>
      <c r="D207">
        <v>2</v>
      </c>
      <c r="E207">
        <v>12</v>
      </c>
      <c r="F207">
        <v>26</v>
      </c>
      <c r="G207">
        <v>2376803</v>
      </c>
      <c r="H207">
        <v>1</v>
      </c>
      <c r="I207">
        <v>0</v>
      </c>
      <c r="J207">
        <v>1</v>
      </c>
      <c r="K207">
        <v>0</v>
      </c>
      <c r="L207">
        <f t="shared" si="12"/>
        <v>33</v>
      </c>
      <c r="M207">
        <f t="shared" si="13"/>
        <v>396</v>
      </c>
      <c r="N207">
        <f t="shared" si="14"/>
        <v>394</v>
      </c>
      <c r="O207">
        <f t="shared" si="15"/>
        <v>2049.8333333333335</v>
      </c>
    </row>
    <row r="208" spans="1:15" x14ac:dyDescent="0.2">
      <c r="A208" t="s">
        <v>19</v>
      </c>
      <c r="B208">
        <v>9</v>
      </c>
      <c r="C208">
        <v>32</v>
      </c>
      <c r="D208">
        <v>2</v>
      </c>
      <c r="E208">
        <v>12</v>
      </c>
      <c r="F208">
        <v>30</v>
      </c>
      <c r="G208">
        <v>2374203</v>
      </c>
      <c r="H208">
        <v>0</v>
      </c>
      <c r="I208">
        <v>1</v>
      </c>
      <c r="J208">
        <v>1</v>
      </c>
      <c r="K208">
        <v>0</v>
      </c>
      <c r="L208">
        <f t="shared" si="12"/>
        <v>33</v>
      </c>
      <c r="M208">
        <f t="shared" si="13"/>
        <v>396</v>
      </c>
      <c r="N208">
        <f t="shared" si="14"/>
        <v>394</v>
      </c>
      <c r="O208">
        <f t="shared" si="15"/>
        <v>2049.8333333333335</v>
      </c>
    </row>
    <row r="209" spans="1:15" x14ac:dyDescent="0.2">
      <c r="A209" t="s">
        <v>19</v>
      </c>
      <c r="B209">
        <v>9</v>
      </c>
      <c r="C209">
        <v>32</v>
      </c>
      <c r="D209">
        <v>2</v>
      </c>
      <c r="E209">
        <v>12</v>
      </c>
      <c r="F209">
        <v>31</v>
      </c>
      <c r="G209">
        <v>2374701</v>
      </c>
      <c r="H209">
        <v>1</v>
      </c>
      <c r="I209">
        <v>0</v>
      </c>
      <c r="J209">
        <v>1</v>
      </c>
      <c r="K209">
        <v>0</v>
      </c>
      <c r="L209">
        <f t="shared" si="12"/>
        <v>33</v>
      </c>
      <c r="M209">
        <f t="shared" si="13"/>
        <v>396</v>
      </c>
      <c r="N209">
        <f t="shared" si="14"/>
        <v>394</v>
      </c>
      <c r="O209">
        <f t="shared" si="15"/>
        <v>2049.8333333333335</v>
      </c>
    </row>
    <row r="210" spans="1:15" x14ac:dyDescent="0.2">
      <c r="A210" t="s">
        <v>19</v>
      </c>
      <c r="B210">
        <v>9</v>
      </c>
      <c r="C210">
        <v>32</v>
      </c>
      <c r="D210">
        <v>6</v>
      </c>
      <c r="E210">
        <v>12</v>
      </c>
      <c r="F210">
        <v>29</v>
      </c>
      <c r="G210">
        <v>2331003</v>
      </c>
      <c r="H210">
        <v>1</v>
      </c>
      <c r="I210">
        <v>0</v>
      </c>
      <c r="J210">
        <v>1</v>
      </c>
      <c r="K210">
        <v>0</v>
      </c>
      <c r="L210">
        <f t="shared" si="12"/>
        <v>33</v>
      </c>
      <c r="M210">
        <f t="shared" si="13"/>
        <v>396</v>
      </c>
      <c r="N210">
        <f t="shared" si="14"/>
        <v>390</v>
      </c>
      <c r="O210">
        <f t="shared" si="15"/>
        <v>2049.5</v>
      </c>
    </row>
    <row r="211" spans="1:15" x14ac:dyDescent="0.2">
      <c r="A211" t="s">
        <v>19</v>
      </c>
      <c r="B211">
        <v>9</v>
      </c>
      <c r="C211">
        <v>32</v>
      </c>
      <c r="D211">
        <v>6</v>
      </c>
      <c r="E211">
        <v>12</v>
      </c>
      <c r="F211">
        <v>31</v>
      </c>
      <c r="G211">
        <v>2330403</v>
      </c>
      <c r="H211">
        <v>1</v>
      </c>
      <c r="I211">
        <v>0</v>
      </c>
      <c r="J211">
        <v>1</v>
      </c>
      <c r="K211">
        <v>0</v>
      </c>
      <c r="L211">
        <f t="shared" si="12"/>
        <v>33</v>
      </c>
      <c r="M211">
        <f t="shared" si="13"/>
        <v>396</v>
      </c>
      <c r="N211">
        <f t="shared" si="14"/>
        <v>390</v>
      </c>
      <c r="O211">
        <f t="shared" si="15"/>
        <v>2049.5</v>
      </c>
    </row>
    <row r="212" spans="1:15" x14ac:dyDescent="0.2">
      <c r="A212" t="s">
        <v>19</v>
      </c>
      <c r="B212">
        <v>9</v>
      </c>
      <c r="C212">
        <v>32</v>
      </c>
      <c r="D212">
        <v>8</v>
      </c>
      <c r="E212">
        <v>12</v>
      </c>
      <c r="F212">
        <v>31</v>
      </c>
      <c r="G212">
        <v>2233404</v>
      </c>
      <c r="H212">
        <v>1</v>
      </c>
      <c r="I212">
        <v>0</v>
      </c>
      <c r="J212">
        <v>1</v>
      </c>
      <c r="K212">
        <v>0</v>
      </c>
      <c r="L212">
        <f t="shared" si="12"/>
        <v>33</v>
      </c>
      <c r="M212">
        <f t="shared" si="13"/>
        <v>396</v>
      </c>
      <c r="N212">
        <f t="shared" si="14"/>
        <v>388</v>
      </c>
      <c r="O212">
        <f t="shared" si="15"/>
        <v>2049.3333333333335</v>
      </c>
    </row>
    <row r="213" spans="1:15" x14ac:dyDescent="0.2">
      <c r="A213" t="s">
        <v>19</v>
      </c>
      <c r="B213">
        <v>9</v>
      </c>
      <c r="C213">
        <v>32</v>
      </c>
      <c r="D213">
        <v>12</v>
      </c>
      <c r="E213">
        <v>12</v>
      </c>
      <c r="F213">
        <v>29</v>
      </c>
      <c r="G213">
        <v>2279303</v>
      </c>
      <c r="H213">
        <v>0</v>
      </c>
      <c r="I213">
        <v>1</v>
      </c>
      <c r="J213">
        <v>1</v>
      </c>
      <c r="K213">
        <v>0</v>
      </c>
      <c r="L213">
        <f t="shared" si="12"/>
        <v>33</v>
      </c>
      <c r="M213">
        <f t="shared" si="13"/>
        <v>396</v>
      </c>
      <c r="N213">
        <f t="shared" si="14"/>
        <v>384</v>
      </c>
      <c r="O213">
        <f t="shared" si="15"/>
        <v>2049</v>
      </c>
    </row>
    <row r="214" spans="1:15" x14ac:dyDescent="0.2">
      <c r="A214" t="s">
        <v>19</v>
      </c>
      <c r="B214">
        <v>9</v>
      </c>
      <c r="C214">
        <v>32</v>
      </c>
      <c r="D214">
        <v>12</v>
      </c>
      <c r="E214">
        <v>12</v>
      </c>
      <c r="F214">
        <v>30</v>
      </c>
      <c r="G214">
        <v>1766502</v>
      </c>
      <c r="H214">
        <v>0</v>
      </c>
      <c r="I214">
        <v>1</v>
      </c>
      <c r="J214">
        <v>1</v>
      </c>
      <c r="K214">
        <v>0</v>
      </c>
      <c r="L214">
        <f t="shared" si="12"/>
        <v>33</v>
      </c>
      <c r="M214">
        <f t="shared" si="13"/>
        <v>396</v>
      </c>
      <c r="N214">
        <f t="shared" si="14"/>
        <v>384</v>
      </c>
      <c r="O214">
        <f t="shared" si="15"/>
        <v>2049</v>
      </c>
    </row>
    <row r="215" spans="1:15" x14ac:dyDescent="0.2">
      <c r="A215" t="s">
        <v>19</v>
      </c>
      <c r="B215">
        <v>9</v>
      </c>
      <c r="C215">
        <v>32</v>
      </c>
      <c r="D215">
        <v>14</v>
      </c>
      <c r="E215">
        <v>12</v>
      </c>
      <c r="F215">
        <v>30</v>
      </c>
      <c r="G215">
        <v>2256702</v>
      </c>
      <c r="H215">
        <v>0</v>
      </c>
      <c r="I215">
        <v>1</v>
      </c>
      <c r="J215">
        <v>1</v>
      </c>
      <c r="K215">
        <v>0</v>
      </c>
      <c r="L215">
        <f t="shared" si="12"/>
        <v>33</v>
      </c>
      <c r="M215">
        <f t="shared" si="13"/>
        <v>396</v>
      </c>
      <c r="N215">
        <f t="shared" si="14"/>
        <v>382</v>
      </c>
      <c r="O215">
        <f t="shared" si="15"/>
        <v>2048.8333333333335</v>
      </c>
    </row>
    <row r="216" spans="1:15" x14ac:dyDescent="0.2">
      <c r="A216" t="s">
        <v>19</v>
      </c>
      <c r="B216">
        <v>9</v>
      </c>
      <c r="C216">
        <v>32</v>
      </c>
      <c r="D216">
        <v>18</v>
      </c>
      <c r="E216">
        <v>1</v>
      </c>
      <c r="F216">
        <v>31</v>
      </c>
      <c r="G216">
        <v>2239501</v>
      </c>
      <c r="H216">
        <v>1</v>
      </c>
      <c r="I216">
        <v>0</v>
      </c>
      <c r="J216">
        <v>1</v>
      </c>
      <c r="K216">
        <v>0</v>
      </c>
      <c r="L216">
        <f t="shared" si="12"/>
        <v>33</v>
      </c>
      <c r="M216">
        <f t="shared" si="13"/>
        <v>396</v>
      </c>
      <c r="N216">
        <f t="shared" si="14"/>
        <v>378</v>
      </c>
      <c r="O216">
        <f t="shared" si="15"/>
        <v>2048.5</v>
      </c>
    </row>
    <row r="217" spans="1:15" x14ac:dyDescent="0.2">
      <c r="A217" t="s">
        <v>19</v>
      </c>
      <c r="B217">
        <v>9</v>
      </c>
      <c r="C217">
        <v>32</v>
      </c>
      <c r="D217">
        <v>22</v>
      </c>
      <c r="E217">
        <v>1</v>
      </c>
      <c r="F217">
        <v>22</v>
      </c>
      <c r="G217">
        <v>2217301</v>
      </c>
      <c r="H217">
        <v>0</v>
      </c>
      <c r="I217">
        <v>1</v>
      </c>
      <c r="J217">
        <v>1</v>
      </c>
      <c r="K217">
        <v>0</v>
      </c>
      <c r="L217">
        <f t="shared" si="12"/>
        <v>33</v>
      </c>
      <c r="M217">
        <f t="shared" si="13"/>
        <v>396</v>
      </c>
      <c r="N217">
        <f t="shared" si="14"/>
        <v>374</v>
      </c>
      <c r="O217">
        <f t="shared" si="15"/>
        <v>2048.1666666666665</v>
      </c>
    </row>
    <row r="218" spans="1:15" x14ac:dyDescent="0.2">
      <c r="A218" t="s">
        <v>19</v>
      </c>
      <c r="B218">
        <v>9</v>
      </c>
      <c r="C218">
        <v>32</v>
      </c>
      <c r="D218">
        <v>26</v>
      </c>
      <c r="E218">
        <v>1</v>
      </c>
      <c r="F218">
        <v>28</v>
      </c>
      <c r="G218">
        <v>2197901</v>
      </c>
      <c r="H218">
        <v>0</v>
      </c>
      <c r="I218">
        <v>1</v>
      </c>
      <c r="J218">
        <v>1</v>
      </c>
      <c r="K218">
        <v>0</v>
      </c>
      <c r="L218">
        <f t="shared" si="12"/>
        <v>33</v>
      </c>
      <c r="M218">
        <f t="shared" si="13"/>
        <v>396</v>
      </c>
      <c r="N218">
        <f t="shared" si="14"/>
        <v>370</v>
      </c>
      <c r="O218">
        <f t="shared" si="15"/>
        <v>2047.8333333333333</v>
      </c>
    </row>
    <row r="219" spans="1:15" x14ac:dyDescent="0.2">
      <c r="A219" t="s">
        <v>19</v>
      </c>
      <c r="B219">
        <v>9</v>
      </c>
      <c r="C219">
        <v>32</v>
      </c>
      <c r="D219">
        <v>27</v>
      </c>
      <c r="E219">
        <v>1</v>
      </c>
      <c r="F219">
        <v>29</v>
      </c>
      <c r="G219">
        <v>2189201</v>
      </c>
      <c r="H219">
        <v>1</v>
      </c>
      <c r="I219">
        <v>0</v>
      </c>
      <c r="J219">
        <v>1</v>
      </c>
      <c r="K219">
        <v>0</v>
      </c>
      <c r="L219">
        <f t="shared" si="12"/>
        <v>33</v>
      </c>
      <c r="M219">
        <f t="shared" si="13"/>
        <v>396</v>
      </c>
      <c r="N219">
        <f t="shared" si="14"/>
        <v>369</v>
      </c>
      <c r="O219">
        <f t="shared" si="15"/>
        <v>2047.75</v>
      </c>
    </row>
    <row r="220" spans="1:15" x14ac:dyDescent="0.2">
      <c r="A220" t="s">
        <v>19</v>
      </c>
      <c r="B220">
        <v>9</v>
      </c>
      <c r="C220">
        <v>32</v>
      </c>
      <c r="D220">
        <v>36</v>
      </c>
      <c r="E220">
        <v>1</v>
      </c>
      <c r="F220">
        <v>29</v>
      </c>
      <c r="G220">
        <v>2143901</v>
      </c>
      <c r="H220">
        <v>0</v>
      </c>
      <c r="I220">
        <v>1</v>
      </c>
      <c r="J220">
        <v>1</v>
      </c>
      <c r="K220">
        <v>0</v>
      </c>
      <c r="L220">
        <f t="shared" si="12"/>
        <v>33</v>
      </c>
      <c r="M220">
        <f t="shared" si="13"/>
        <v>396</v>
      </c>
      <c r="N220">
        <f t="shared" si="14"/>
        <v>360</v>
      </c>
      <c r="O220">
        <f t="shared" si="15"/>
        <v>2047</v>
      </c>
    </row>
    <row r="221" spans="1:15" x14ac:dyDescent="0.2">
      <c r="A221" t="s">
        <v>19</v>
      </c>
      <c r="B221">
        <v>9</v>
      </c>
      <c r="C221">
        <v>32</v>
      </c>
      <c r="D221">
        <v>39</v>
      </c>
      <c r="E221">
        <v>1</v>
      </c>
      <c r="F221">
        <v>30</v>
      </c>
      <c r="G221">
        <v>2134401</v>
      </c>
      <c r="H221">
        <v>1</v>
      </c>
      <c r="I221">
        <v>0</v>
      </c>
      <c r="J221">
        <v>1</v>
      </c>
      <c r="K221">
        <v>0</v>
      </c>
      <c r="L221">
        <f t="shared" si="12"/>
        <v>33</v>
      </c>
      <c r="M221">
        <f t="shared" si="13"/>
        <v>396</v>
      </c>
      <c r="N221">
        <f t="shared" si="14"/>
        <v>357</v>
      </c>
      <c r="O221">
        <f t="shared" si="15"/>
        <v>2046.75</v>
      </c>
    </row>
    <row r="222" spans="1:15" x14ac:dyDescent="0.2">
      <c r="A222" t="s">
        <v>19</v>
      </c>
      <c r="B222">
        <v>9</v>
      </c>
      <c r="C222">
        <v>32</v>
      </c>
      <c r="D222">
        <v>48</v>
      </c>
      <c r="E222">
        <v>1</v>
      </c>
      <c r="F222">
        <v>32</v>
      </c>
      <c r="G222">
        <v>2092501</v>
      </c>
      <c r="H222">
        <v>1</v>
      </c>
      <c r="I222">
        <v>0</v>
      </c>
      <c r="J222">
        <v>1</v>
      </c>
      <c r="K222">
        <v>0</v>
      </c>
      <c r="L222">
        <f t="shared" si="12"/>
        <v>33</v>
      </c>
      <c r="M222">
        <f t="shared" si="13"/>
        <v>396</v>
      </c>
      <c r="N222">
        <f t="shared" si="14"/>
        <v>348</v>
      </c>
      <c r="O222">
        <f t="shared" si="15"/>
        <v>2046</v>
      </c>
    </row>
    <row r="223" spans="1:15" x14ac:dyDescent="0.2">
      <c r="A223" t="s">
        <v>19</v>
      </c>
      <c r="B223">
        <v>9</v>
      </c>
      <c r="C223">
        <v>32</v>
      </c>
      <c r="D223">
        <v>58</v>
      </c>
      <c r="E223">
        <v>1</v>
      </c>
      <c r="F223">
        <v>26</v>
      </c>
      <c r="G223">
        <v>2035701</v>
      </c>
      <c r="H223">
        <v>1</v>
      </c>
      <c r="I223">
        <v>0</v>
      </c>
      <c r="J223">
        <v>1</v>
      </c>
      <c r="K223">
        <v>0</v>
      </c>
      <c r="L223">
        <f t="shared" si="12"/>
        <v>33</v>
      </c>
      <c r="M223">
        <f t="shared" si="13"/>
        <v>396</v>
      </c>
      <c r="N223">
        <f t="shared" si="14"/>
        <v>338</v>
      </c>
      <c r="O223">
        <f t="shared" si="15"/>
        <v>2045.1666666666667</v>
      </c>
    </row>
    <row r="224" spans="1:15" x14ac:dyDescent="0.2">
      <c r="A224" t="s">
        <v>19</v>
      </c>
      <c r="B224">
        <v>9</v>
      </c>
      <c r="C224">
        <v>32</v>
      </c>
      <c r="D224">
        <v>58</v>
      </c>
      <c r="E224">
        <v>1</v>
      </c>
      <c r="F224">
        <v>31</v>
      </c>
      <c r="G224">
        <v>2035301</v>
      </c>
      <c r="H224">
        <v>0</v>
      </c>
      <c r="I224">
        <v>1</v>
      </c>
      <c r="J224">
        <v>1</v>
      </c>
      <c r="K224">
        <v>0</v>
      </c>
      <c r="L224">
        <f t="shared" si="12"/>
        <v>33</v>
      </c>
      <c r="M224">
        <f t="shared" si="13"/>
        <v>396</v>
      </c>
      <c r="N224">
        <f t="shared" si="14"/>
        <v>338</v>
      </c>
      <c r="O224">
        <f t="shared" si="15"/>
        <v>2045.1666666666667</v>
      </c>
    </row>
    <row r="225" spans="1:15" x14ac:dyDescent="0.2">
      <c r="A225" t="s">
        <v>19</v>
      </c>
      <c r="B225">
        <v>9</v>
      </c>
      <c r="C225">
        <v>32</v>
      </c>
      <c r="D225">
        <v>59</v>
      </c>
      <c r="E225">
        <v>1</v>
      </c>
      <c r="F225">
        <v>30</v>
      </c>
      <c r="G225">
        <v>2032601</v>
      </c>
      <c r="H225">
        <v>0</v>
      </c>
      <c r="I225">
        <v>1</v>
      </c>
      <c r="J225">
        <v>1</v>
      </c>
      <c r="K225">
        <v>0</v>
      </c>
      <c r="L225">
        <f t="shared" si="12"/>
        <v>33</v>
      </c>
      <c r="M225">
        <f t="shared" si="13"/>
        <v>396</v>
      </c>
      <c r="N225">
        <f t="shared" si="14"/>
        <v>337</v>
      </c>
      <c r="O225">
        <f t="shared" si="15"/>
        <v>2045.0833333333333</v>
      </c>
    </row>
    <row r="226" spans="1:15" x14ac:dyDescent="0.2">
      <c r="A226" t="s">
        <v>19</v>
      </c>
      <c r="B226">
        <v>9</v>
      </c>
      <c r="C226">
        <v>32</v>
      </c>
      <c r="D226">
        <v>68</v>
      </c>
      <c r="E226">
        <v>1</v>
      </c>
      <c r="F226">
        <v>26</v>
      </c>
      <c r="G226">
        <v>2003901</v>
      </c>
      <c r="H226">
        <v>0</v>
      </c>
      <c r="I226">
        <v>1</v>
      </c>
      <c r="J226">
        <v>1</v>
      </c>
      <c r="K226">
        <v>0</v>
      </c>
      <c r="L226">
        <f t="shared" si="12"/>
        <v>33</v>
      </c>
      <c r="M226">
        <f t="shared" si="13"/>
        <v>396</v>
      </c>
      <c r="N226">
        <f t="shared" si="14"/>
        <v>328</v>
      </c>
      <c r="O226">
        <f t="shared" si="15"/>
        <v>2044.3333333333333</v>
      </c>
    </row>
    <row r="227" spans="1:15" x14ac:dyDescent="0.2">
      <c r="A227" t="s">
        <v>19</v>
      </c>
      <c r="B227">
        <v>9</v>
      </c>
      <c r="C227">
        <v>32</v>
      </c>
      <c r="D227">
        <v>81</v>
      </c>
      <c r="E227">
        <v>1</v>
      </c>
      <c r="F227">
        <v>26</v>
      </c>
      <c r="G227">
        <v>1962201</v>
      </c>
      <c r="H227">
        <v>0</v>
      </c>
      <c r="I227">
        <v>1</v>
      </c>
      <c r="J227">
        <v>1</v>
      </c>
      <c r="K227">
        <v>0</v>
      </c>
      <c r="L227">
        <f t="shared" si="12"/>
        <v>33</v>
      </c>
      <c r="M227">
        <f t="shared" si="13"/>
        <v>396</v>
      </c>
      <c r="N227">
        <f t="shared" si="14"/>
        <v>315</v>
      </c>
      <c r="O227">
        <f t="shared" si="15"/>
        <v>2043.25</v>
      </c>
    </row>
    <row r="228" spans="1:15" x14ac:dyDescent="0.2">
      <c r="A228" t="s">
        <v>19</v>
      </c>
      <c r="B228">
        <v>9</v>
      </c>
      <c r="C228">
        <v>32</v>
      </c>
      <c r="D228">
        <v>82</v>
      </c>
      <c r="E228">
        <v>1</v>
      </c>
      <c r="F228">
        <v>30</v>
      </c>
      <c r="G228">
        <v>1960101</v>
      </c>
      <c r="H228">
        <v>1</v>
      </c>
      <c r="I228">
        <v>0</v>
      </c>
      <c r="J228">
        <v>1</v>
      </c>
      <c r="K228">
        <v>0</v>
      </c>
      <c r="L228">
        <f t="shared" si="12"/>
        <v>33</v>
      </c>
      <c r="M228">
        <f t="shared" si="13"/>
        <v>396</v>
      </c>
      <c r="N228">
        <f t="shared" si="14"/>
        <v>314</v>
      </c>
      <c r="O228">
        <f t="shared" si="15"/>
        <v>2043.1666666666667</v>
      </c>
    </row>
    <row r="229" spans="1:15" x14ac:dyDescent="0.2">
      <c r="A229" t="s">
        <v>19</v>
      </c>
      <c r="B229">
        <v>9</v>
      </c>
      <c r="C229">
        <v>32</v>
      </c>
      <c r="D229">
        <v>90</v>
      </c>
      <c r="E229">
        <v>2</v>
      </c>
      <c r="F229">
        <v>30</v>
      </c>
      <c r="G229">
        <v>1925401</v>
      </c>
      <c r="H229">
        <v>1</v>
      </c>
      <c r="I229">
        <v>0</v>
      </c>
      <c r="J229">
        <v>1</v>
      </c>
      <c r="K229">
        <v>0</v>
      </c>
      <c r="L229">
        <f t="shared" si="12"/>
        <v>33</v>
      </c>
      <c r="M229">
        <f t="shared" si="13"/>
        <v>396</v>
      </c>
      <c r="N229">
        <f t="shared" si="14"/>
        <v>306</v>
      </c>
      <c r="O229">
        <f t="shared" si="15"/>
        <v>2042.5</v>
      </c>
    </row>
    <row r="230" spans="1:15" x14ac:dyDescent="0.2">
      <c r="A230" t="s">
        <v>19</v>
      </c>
      <c r="B230">
        <v>9</v>
      </c>
      <c r="C230">
        <v>32</v>
      </c>
      <c r="D230">
        <v>117</v>
      </c>
      <c r="E230">
        <v>1</v>
      </c>
      <c r="F230">
        <v>31</v>
      </c>
      <c r="G230">
        <v>1658801</v>
      </c>
      <c r="H230">
        <v>1</v>
      </c>
      <c r="I230">
        <v>0</v>
      </c>
      <c r="J230">
        <v>1</v>
      </c>
      <c r="K230">
        <v>0</v>
      </c>
      <c r="L230">
        <f t="shared" si="12"/>
        <v>33</v>
      </c>
      <c r="M230">
        <f t="shared" si="13"/>
        <v>396</v>
      </c>
      <c r="N230">
        <f t="shared" si="14"/>
        <v>279</v>
      </c>
      <c r="O230">
        <f t="shared" si="15"/>
        <v>2040.25</v>
      </c>
    </row>
    <row r="231" spans="1:15" x14ac:dyDescent="0.2">
      <c r="A231" t="s">
        <v>19</v>
      </c>
      <c r="B231">
        <v>9</v>
      </c>
      <c r="C231">
        <v>32</v>
      </c>
      <c r="D231">
        <v>129</v>
      </c>
      <c r="E231">
        <v>1</v>
      </c>
      <c r="F231">
        <v>30</v>
      </c>
      <c r="G231">
        <v>1604501</v>
      </c>
      <c r="H231">
        <v>0</v>
      </c>
      <c r="I231">
        <v>1</v>
      </c>
      <c r="J231">
        <v>1</v>
      </c>
      <c r="K231">
        <v>0</v>
      </c>
      <c r="L231">
        <f t="shared" si="12"/>
        <v>33</v>
      </c>
      <c r="M231">
        <f t="shared" si="13"/>
        <v>396</v>
      </c>
      <c r="N231">
        <f t="shared" si="14"/>
        <v>267</v>
      </c>
      <c r="O231">
        <f t="shared" si="15"/>
        <v>2039.25</v>
      </c>
    </row>
    <row r="232" spans="1:15" x14ac:dyDescent="0.2">
      <c r="A232" t="s">
        <v>19</v>
      </c>
      <c r="B232">
        <v>9</v>
      </c>
      <c r="C232">
        <v>32</v>
      </c>
      <c r="D232">
        <v>149</v>
      </c>
      <c r="E232">
        <v>2</v>
      </c>
      <c r="F232">
        <v>27</v>
      </c>
      <c r="G232">
        <v>1063101</v>
      </c>
      <c r="H232">
        <v>0</v>
      </c>
      <c r="I232">
        <v>1</v>
      </c>
      <c r="J232">
        <v>1</v>
      </c>
      <c r="K232">
        <v>0</v>
      </c>
      <c r="L232">
        <f t="shared" si="12"/>
        <v>33</v>
      </c>
      <c r="M232">
        <f t="shared" si="13"/>
        <v>396</v>
      </c>
      <c r="N232">
        <f t="shared" si="14"/>
        <v>247</v>
      </c>
      <c r="O232">
        <f t="shared" si="15"/>
        <v>2037.5833333333333</v>
      </c>
    </row>
    <row r="233" spans="1:15" x14ac:dyDescent="0.2">
      <c r="A233" t="s">
        <v>19</v>
      </c>
      <c r="B233">
        <v>9</v>
      </c>
      <c r="C233">
        <v>32</v>
      </c>
      <c r="D233">
        <v>190</v>
      </c>
      <c r="E233">
        <v>12</v>
      </c>
      <c r="F233">
        <v>25</v>
      </c>
      <c r="G233">
        <v>865202</v>
      </c>
      <c r="H233">
        <v>0</v>
      </c>
      <c r="I233">
        <v>1</v>
      </c>
      <c r="J233">
        <v>1</v>
      </c>
      <c r="K233">
        <v>0</v>
      </c>
      <c r="L233">
        <f t="shared" si="12"/>
        <v>33</v>
      </c>
      <c r="M233">
        <f t="shared" si="13"/>
        <v>396</v>
      </c>
      <c r="N233">
        <f t="shared" si="14"/>
        <v>206</v>
      </c>
      <c r="O233">
        <f t="shared" si="15"/>
        <v>2034.1666666666667</v>
      </c>
    </row>
    <row r="234" spans="1:15" x14ac:dyDescent="0.2">
      <c r="A234" t="s">
        <v>19</v>
      </c>
      <c r="B234">
        <v>9</v>
      </c>
      <c r="C234">
        <v>32</v>
      </c>
      <c r="D234">
        <v>194</v>
      </c>
      <c r="E234">
        <v>4</v>
      </c>
      <c r="F234">
        <v>31</v>
      </c>
      <c r="G234">
        <v>840702</v>
      </c>
      <c r="H234">
        <v>0</v>
      </c>
      <c r="I234">
        <v>1</v>
      </c>
      <c r="J234">
        <v>1</v>
      </c>
      <c r="K234">
        <v>0</v>
      </c>
      <c r="L234">
        <f t="shared" si="12"/>
        <v>33</v>
      </c>
      <c r="M234">
        <f t="shared" si="13"/>
        <v>396</v>
      </c>
      <c r="N234">
        <f t="shared" si="14"/>
        <v>202</v>
      </c>
      <c r="O234">
        <f t="shared" si="15"/>
        <v>2033.8333333333333</v>
      </c>
    </row>
    <row r="235" spans="1:15" x14ac:dyDescent="0.2">
      <c r="A235" t="s">
        <v>19</v>
      </c>
      <c r="B235">
        <v>9</v>
      </c>
      <c r="C235">
        <v>32</v>
      </c>
      <c r="D235">
        <v>202</v>
      </c>
      <c r="E235">
        <v>1</v>
      </c>
      <c r="F235">
        <v>32</v>
      </c>
      <c r="G235">
        <v>200902</v>
      </c>
      <c r="H235">
        <v>0</v>
      </c>
      <c r="I235">
        <v>1</v>
      </c>
      <c r="J235">
        <v>1</v>
      </c>
      <c r="K235">
        <v>0</v>
      </c>
      <c r="L235">
        <f t="shared" si="12"/>
        <v>33</v>
      </c>
      <c r="M235">
        <f t="shared" si="13"/>
        <v>396</v>
      </c>
      <c r="N235">
        <f t="shared" si="14"/>
        <v>194</v>
      </c>
      <c r="O235">
        <f t="shared" si="15"/>
        <v>2033.1666666666667</v>
      </c>
    </row>
    <row r="236" spans="1:15" x14ac:dyDescent="0.2">
      <c r="A236" t="s">
        <v>19</v>
      </c>
      <c r="B236">
        <v>9</v>
      </c>
      <c r="C236">
        <v>32</v>
      </c>
      <c r="D236">
        <v>205</v>
      </c>
      <c r="E236">
        <v>1</v>
      </c>
      <c r="F236">
        <v>25</v>
      </c>
      <c r="G236">
        <v>720501</v>
      </c>
      <c r="H236">
        <v>0</v>
      </c>
      <c r="I236">
        <v>1</v>
      </c>
      <c r="J236">
        <v>1</v>
      </c>
      <c r="K236">
        <v>0</v>
      </c>
      <c r="L236">
        <f t="shared" si="12"/>
        <v>33</v>
      </c>
      <c r="M236">
        <f t="shared" si="13"/>
        <v>396</v>
      </c>
      <c r="N236">
        <f t="shared" si="14"/>
        <v>191</v>
      </c>
      <c r="O236">
        <f t="shared" si="15"/>
        <v>2032.9166666666667</v>
      </c>
    </row>
    <row r="237" spans="1:15" x14ac:dyDescent="0.2">
      <c r="A237" t="s">
        <v>19</v>
      </c>
      <c r="B237">
        <v>9</v>
      </c>
      <c r="C237">
        <v>32</v>
      </c>
      <c r="D237">
        <v>205</v>
      </c>
      <c r="E237">
        <v>1</v>
      </c>
      <c r="F237">
        <v>26</v>
      </c>
      <c r="G237">
        <v>718401</v>
      </c>
      <c r="H237">
        <v>0</v>
      </c>
      <c r="I237">
        <v>1</v>
      </c>
      <c r="J237">
        <v>1</v>
      </c>
      <c r="K237">
        <v>0</v>
      </c>
      <c r="L237">
        <f t="shared" si="12"/>
        <v>33</v>
      </c>
      <c r="M237">
        <f t="shared" si="13"/>
        <v>396</v>
      </c>
      <c r="N237">
        <f t="shared" si="14"/>
        <v>191</v>
      </c>
      <c r="O237">
        <f t="shared" si="15"/>
        <v>2032.9166666666667</v>
      </c>
    </row>
    <row r="238" spans="1:15" x14ac:dyDescent="0.2">
      <c r="A238" t="s">
        <v>19</v>
      </c>
      <c r="B238">
        <v>9</v>
      </c>
      <c r="C238">
        <v>32</v>
      </c>
      <c r="D238">
        <v>210</v>
      </c>
      <c r="E238">
        <v>1</v>
      </c>
      <c r="F238">
        <v>29</v>
      </c>
      <c r="G238">
        <v>653602</v>
      </c>
      <c r="H238">
        <v>0</v>
      </c>
      <c r="I238">
        <v>1</v>
      </c>
      <c r="J238">
        <v>1</v>
      </c>
      <c r="K238">
        <v>0</v>
      </c>
      <c r="L238">
        <f t="shared" si="12"/>
        <v>33</v>
      </c>
      <c r="M238">
        <f t="shared" si="13"/>
        <v>396</v>
      </c>
      <c r="N238">
        <f t="shared" si="14"/>
        <v>186</v>
      </c>
      <c r="O238">
        <f t="shared" si="15"/>
        <v>2032.5</v>
      </c>
    </row>
    <row r="239" spans="1:15" x14ac:dyDescent="0.2">
      <c r="A239" t="s">
        <v>19</v>
      </c>
      <c r="B239">
        <v>9</v>
      </c>
      <c r="C239">
        <v>32</v>
      </c>
      <c r="D239">
        <v>212</v>
      </c>
      <c r="E239">
        <v>1</v>
      </c>
      <c r="F239">
        <v>26</v>
      </c>
      <c r="G239">
        <v>602802</v>
      </c>
      <c r="H239">
        <v>0</v>
      </c>
      <c r="I239">
        <v>1</v>
      </c>
      <c r="J239">
        <v>1</v>
      </c>
      <c r="K239">
        <v>0</v>
      </c>
      <c r="L239">
        <f t="shared" si="12"/>
        <v>33</v>
      </c>
      <c r="M239">
        <f t="shared" si="13"/>
        <v>396</v>
      </c>
      <c r="N239">
        <f t="shared" si="14"/>
        <v>184</v>
      </c>
      <c r="O239">
        <f t="shared" si="15"/>
        <v>2032.3333333333333</v>
      </c>
    </row>
    <row r="240" spans="1:15" x14ac:dyDescent="0.2">
      <c r="A240" t="s">
        <v>19</v>
      </c>
      <c r="B240">
        <v>9</v>
      </c>
      <c r="C240">
        <v>32</v>
      </c>
      <c r="D240">
        <v>216</v>
      </c>
      <c r="E240">
        <v>1</v>
      </c>
      <c r="F240">
        <v>27</v>
      </c>
      <c r="G240">
        <v>511001</v>
      </c>
      <c r="H240">
        <v>0</v>
      </c>
      <c r="I240">
        <v>1</v>
      </c>
      <c r="J240">
        <v>1</v>
      </c>
      <c r="K240">
        <v>0</v>
      </c>
      <c r="L240">
        <f t="shared" si="12"/>
        <v>33</v>
      </c>
      <c r="M240">
        <f t="shared" si="13"/>
        <v>396</v>
      </c>
      <c r="N240">
        <f t="shared" si="14"/>
        <v>180</v>
      </c>
      <c r="O240">
        <f t="shared" si="15"/>
        <v>2032</v>
      </c>
    </row>
    <row r="241" spans="1:15" x14ac:dyDescent="0.2">
      <c r="A241" t="s">
        <v>19</v>
      </c>
      <c r="B241">
        <v>9</v>
      </c>
      <c r="C241">
        <v>32</v>
      </c>
      <c r="D241">
        <v>218</v>
      </c>
      <c r="E241">
        <v>1</v>
      </c>
      <c r="F241">
        <v>28</v>
      </c>
      <c r="G241">
        <v>395301</v>
      </c>
      <c r="H241">
        <v>0</v>
      </c>
      <c r="I241">
        <v>1</v>
      </c>
      <c r="J241">
        <v>1</v>
      </c>
      <c r="K241">
        <v>0</v>
      </c>
      <c r="L241">
        <f t="shared" si="12"/>
        <v>33</v>
      </c>
      <c r="M241">
        <f t="shared" si="13"/>
        <v>396</v>
      </c>
      <c r="N241">
        <f t="shared" si="14"/>
        <v>178</v>
      </c>
      <c r="O241">
        <f t="shared" si="15"/>
        <v>2031.8333333333333</v>
      </c>
    </row>
    <row r="242" spans="1:15" x14ac:dyDescent="0.2">
      <c r="A242" t="s">
        <v>19</v>
      </c>
      <c r="B242">
        <v>9</v>
      </c>
      <c r="C242">
        <v>32</v>
      </c>
      <c r="D242">
        <v>219</v>
      </c>
      <c r="E242">
        <v>1</v>
      </c>
      <c r="F242">
        <v>31</v>
      </c>
      <c r="G242">
        <v>376802</v>
      </c>
      <c r="H242">
        <v>0</v>
      </c>
      <c r="I242">
        <v>1</v>
      </c>
      <c r="J242">
        <v>1</v>
      </c>
      <c r="K242">
        <v>0</v>
      </c>
      <c r="L242">
        <f t="shared" si="12"/>
        <v>33</v>
      </c>
      <c r="M242">
        <f t="shared" si="13"/>
        <v>396</v>
      </c>
      <c r="N242">
        <f t="shared" si="14"/>
        <v>177</v>
      </c>
      <c r="O242">
        <f t="shared" si="15"/>
        <v>2031.75</v>
      </c>
    </row>
    <row r="243" spans="1:15" x14ac:dyDescent="0.2">
      <c r="A243" t="s">
        <v>19</v>
      </c>
      <c r="B243">
        <v>9</v>
      </c>
      <c r="C243">
        <v>32</v>
      </c>
      <c r="D243">
        <v>225</v>
      </c>
      <c r="E243">
        <v>12</v>
      </c>
      <c r="F243">
        <v>29</v>
      </c>
      <c r="G243">
        <v>265501</v>
      </c>
      <c r="H243">
        <v>0</v>
      </c>
      <c r="I243">
        <v>1</v>
      </c>
      <c r="J243">
        <v>1</v>
      </c>
      <c r="K243">
        <v>0</v>
      </c>
      <c r="L243">
        <f t="shared" si="12"/>
        <v>33</v>
      </c>
      <c r="M243">
        <f t="shared" si="13"/>
        <v>396</v>
      </c>
      <c r="N243">
        <f t="shared" si="14"/>
        <v>171</v>
      </c>
      <c r="O243">
        <f t="shared" si="15"/>
        <v>2031.25</v>
      </c>
    </row>
    <row r="244" spans="1:15" x14ac:dyDescent="0.2">
      <c r="A244" t="s">
        <v>19</v>
      </c>
      <c r="B244">
        <v>9</v>
      </c>
      <c r="C244">
        <v>32</v>
      </c>
      <c r="D244">
        <v>226</v>
      </c>
      <c r="E244">
        <v>1</v>
      </c>
      <c r="F244">
        <v>30</v>
      </c>
      <c r="G244">
        <v>239201</v>
      </c>
      <c r="H244">
        <v>1</v>
      </c>
      <c r="I244">
        <v>0</v>
      </c>
      <c r="J244">
        <v>1</v>
      </c>
      <c r="K244">
        <v>0</v>
      </c>
      <c r="L244">
        <f t="shared" si="12"/>
        <v>33</v>
      </c>
      <c r="M244">
        <f t="shared" si="13"/>
        <v>396</v>
      </c>
      <c r="N244">
        <f t="shared" si="14"/>
        <v>170</v>
      </c>
      <c r="O244">
        <f t="shared" si="15"/>
        <v>2031.1666666666667</v>
      </c>
    </row>
    <row r="245" spans="1:15" x14ac:dyDescent="0.2">
      <c r="A245" t="s">
        <v>19</v>
      </c>
      <c r="B245">
        <v>9</v>
      </c>
      <c r="C245">
        <v>32</v>
      </c>
      <c r="D245">
        <v>227</v>
      </c>
      <c r="E245">
        <v>1</v>
      </c>
      <c r="F245">
        <v>30</v>
      </c>
      <c r="G245">
        <v>228402</v>
      </c>
      <c r="H245">
        <v>0</v>
      </c>
      <c r="I245">
        <v>1</v>
      </c>
      <c r="J245">
        <v>1</v>
      </c>
      <c r="K245">
        <v>0</v>
      </c>
      <c r="L245">
        <f t="shared" si="12"/>
        <v>33</v>
      </c>
      <c r="M245">
        <f t="shared" si="13"/>
        <v>396</v>
      </c>
      <c r="N245">
        <f t="shared" si="14"/>
        <v>169</v>
      </c>
      <c r="O245">
        <f t="shared" si="15"/>
        <v>2031.0833333333333</v>
      </c>
    </row>
    <row r="246" spans="1:15" x14ac:dyDescent="0.2">
      <c r="A246" t="s">
        <v>19</v>
      </c>
      <c r="B246">
        <v>9</v>
      </c>
      <c r="C246">
        <v>32</v>
      </c>
      <c r="D246">
        <v>229</v>
      </c>
      <c r="E246">
        <v>12</v>
      </c>
      <c r="F246">
        <v>31</v>
      </c>
      <c r="G246">
        <v>214001</v>
      </c>
      <c r="H246">
        <v>1</v>
      </c>
      <c r="I246">
        <v>0</v>
      </c>
      <c r="J246">
        <v>1</v>
      </c>
      <c r="K246">
        <v>0</v>
      </c>
      <c r="L246">
        <f t="shared" si="12"/>
        <v>33</v>
      </c>
      <c r="M246">
        <f t="shared" si="13"/>
        <v>396</v>
      </c>
      <c r="N246">
        <f t="shared" si="14"/>
        <v>167</v>
      </c>
      <c r="O246">
        <f t="shared" si="15"/>
        <v>2030.9166666666667</v>
      </c>
    </row>
    <row r="247" spans="1:15" x14ac:dyDescent="0.2">
      <c r="A247" t="s">
        <v>19</v>
      </c>
      <c r="B247">
        <v>9</v>
      </c>
      <c r="C247">
        <v>32</v>
      </c>
      <c r="D247">
        <v>236</v>
      </c>
      <c r="E247">
        <v>1</v>
      </c>
      <c r="F247">
        <v>30</v>
      </c>
      <c r="G247">
        <v>83802</v>
      </c>
      <c r="H247">
        <v>0</v>
      </c>
      <c r="I247">
        <v>1</v>
      </c>
      <c r="J247">
        <v>1</v>
      </c>
      <c r="K247">
        <v>0</v>
      </c>
      <c r="L247">
        <f t="shared" si="12"/>
        <v>33</v>
      </c>
      <c r="M247">
        <f t="shared" si="13"/>
        <v>396</v>
      </c>
      <c r="N247">
        <f t="shared" si="14"/>
        <v>160</v>
      </c>
      <c r="O247">
        <f t="shared" si="15"/>
        <v>2030.3333333333333</v>
      </c>
    </row>
    <row r="248" spans="1:15" x14ac:dyDescent="0.2">
      <c r="A248" t="s">
        <v>19</v>
      </c>
      <c r="B248">
        <v>9</v>
      </c>
      <c r="C248">
        <v>32</v>
      </c>
      <c r="D248">
        <v>242</v>
      </c>
      <c r="E248">
        <v>1</v>
      </c>
      <c r="F248">
        <v>26</v>
      </c>
      <c r="G248">
        <v>46301</v>
      </c>
      <c r="H248">
        <v>0</v>
      </c>
      <c r="I248">
        <v>1</v>
      </c>
      <c r="J248">
        <v>1</v>
      </c>
      <c r="K248">
        <v>0</v>
      </c>
      <c r="L248">
        <f t="shared" si="12"/>
        <v>33</v>
      </c>
      <c r="M248">
        <f t="shared" si="13"/>
        <v>396</v>
      </c>
      <c r="N248">
        <f t="shared" si="14"/>
        <v>154</v>
      </c>
      <c r="O248">
        <f t="shared" si="15"/>
        <v>2029.8333333333333</v>
      </c>
    </row>
    <row r="249" spans="1:15" x14ac:dyDescent="0.2">
      <c r="A249" t="s">
        <v>19</v>
      </c>
      <c r="B249">
        <v>9</v>
      </c>
      <c r="C249">
        <v>32</v>
      </c>
      <c r="D249">
        <v>242</v>
      </c>
      <c r="E249">
        <v>1</v>
      </c>
      <c r="F249">
        <v>27</v>
      </c>
      <c r="G249">
        <v>73902</v>
      </c>
      <c r="H249">
        <v>0</v>
      </c>
      <c r="I249">
        <v>1</v>
      </c>
      <c r="J249">
        <v>1</v>
      </c>
      <c r="K249">
        <v>0</v>
      </c>
      <c r="L249">
        <f t="shared" si="12"/>
        <v>33</v>
      </c>
      <c r="M249">
        <f t="shared" si="13"/>
        <v>396</v>
      </c>
      <c r="N249">
        <f t="shared" si="14"/>
        <v>154</v>
      </c>
      <c r="O249">
        <f t="shared" si="15"/>
        <v>2029.8333333333333</v>
      </c>
    </row>
    <row r="250" spans="1:15" x14ac:dyDescent="0.2">
      <c r="A250" t="s">
        <v>19</v>
      </c>
      <c r="B250">
        <v>9</v>
      </c>
      <c r="C250">
        <v>33</v>
      </c>
      <c r="D250">
        <v>3</v>
      </c>
      <c r="E250">
        <v>12</v>
      </c>
      <c r="F250">
        <v>30</v>
      </c>
      <c r="G250">
        <v>2366103</v>
      </c>
      <c r="H250">
        <v>1</v>
      </c>
      <c r="I250">
        <v>0</v>
      </c>
      <c r="J250">
        <v>1</v>
      </c>
      <c r="K250">
        <v>0</v>
      </c>
      <c r="L250">
        <f t="shared" si="12"/>
        <v>32</v>
      </c>
      <c r="M250">
        <f t="shared" si="13"/>
        <v>384</v>
      </c>
      <c r="N250">
        <f t="shared" si="14"/>
        <v>381</v>
      </c>
      <c r="O250">
        <f t="shared" si="15"/>
        <v>2048.75</v>
      </c>
    </row>
    <row r="251" spans="1:15" x14ac:dyDescent="0.2">
      <c r="A251" t="s">
        <v>19</v>
      </c>
      <c r="B251">
        <v>9</v>
      </c>
      <c r="C251">
        <v>33</v>
      </c>
      <c r="D251">
        <v>3</v>
      </c>
      <c r="E251">
        <v>12</v>
      </c>
      <c r="F251">
        <v>32</v>
      </c>
      <c r="G251">
        <v>2360202</v>
      </c>
      <c r="H251">
        <v>0</v>
      </c>
      <c r="I251">
        <v>1</v>
      </c>
      <c r="J251">
        <v>1</v>
      </c>
      <c r="K251">
        <v>0</v>
      </c>
      <c r="L251">
        <f t="shared" si="12"/>
        <v>32</v>
      </c>
      <c r="M251">
        <f t="shared" si="13"/>
        <v>384</v>
      </c>
      <c r="N251">
        <f t="shared" si="14"/>
        <v>381</v>
      </c>
      <c r="O251">
        <f t="shared" si="15"/>
        <v>2048.75</v>
      </c>
    </row>
    <row r="252" spans="1:15" x14ac:dyDescent="0.2">
      <c r="A252" t="s">
        <v>19</v>
      </c>
      <c r="B252">
        <v>9</v>
      </c>
      <c r="C252">
        <v>33</v>
      </c>
      <c r="D252">
        <v>4</v>
      </c>
      <c r="E252">
        <v>2</v>
      </c>
      <c r="F252">
        <v>31</v>
      </c>
      <c r="G252">
        <v>2368101</v>
      </c>
      <c r="H252">
        <v>0</v>
      </c>
      <c r="I252">
        <v>1</v>
      </c>
      <c r="J252">
        <v>1</v>
      </c>
      <c r="K252">
        <v>0</v>
      </c>
      <c r="L252">
        <f t="shared" si="12"/>
        <v>32</v>
      </c>
      <c r="M252">
        <f t="shared" si="13"/>
        <v>384</v>
      </c>
      <c r="N252">
        <f t="shared" si="14"/>
        <v>380</v>
      </c>
      <c r="O252">
        <f t="shared" si="15"/>
        <v>2048.6666666666665</v>
      </c>
    </row>
    <row r="253" spans="1:15" x14ac:dyDescent="0.2">
      <c r="A253" t="s">
        <v>19</v>
      </c>
      <c r="B253">
        <v>9</v>
      </c>
      <c r="C253">
        <v>33</v>
      </c>
      <c r="D253">
        <v>7</v>
      </c>
      <c r="E253">
        <v>12</v>
      </c>
      <c r="F253">
        <v>32</v>
      </c>
      <c r="G253">
        <v>2326902</v>
      </c>
      <c r="H253">
        <v>1</v>
      </c>
      <c r="I253">
        <v>0</v>
      </c>
      <c r="J253">
        <v>1</v>
      </c>
      <c r="K253">
        <v>0</v>
      </c>
      <c r="L253">
        <f t="shared" si="12"/>
        <v>32</v>
      </c>
      <c r="M253">
        <f t="shared" si="13"/>
        <v>384</v>
      </c>
      <c r="N253">
        <f t="shared" si="14"/>
        <v>377</v>
      </c>
      <c r="O253">
        <f t="shared" si="15"/>
        <v>2048.4166666666665</v>
      </c>
    </row>
    <row r="254" spans="1:15" x14ac:dyDescent="0.2">
      <c r="A254" t="s">
        <v>19</v>
      </c>
      <c r="B254">
        <v>9</v>
      </c>
      <c r="C254">
        <v>33</v>
      </c>
      <c r="D254">
        <v>10</v>
      </c>
      <c r="E254">
        <v>2</v>
      </c>
      <c r="F254">
        <v>31</v>
      </c>
      <c r="G254">
        <v>2289505</v>
      </c>
      <c r="H254">
        <v>0</v>
      </c>
      <c r="I254">
        <v>1</v>
      </c>
      <c r="J254">
        <v>1</v>
      </c>
      <c r="K254">
        <v>0</v>
      </c>
      <c r="L254">
        <f t="shared" si="12"/>
        <v>32</v>
      </c>
      <c r="M254">
        <f t="shared" si="13"/>
        <v>384</v>
      </c>
      <c r="N254">
        <f t="shared" si="14"/>
        <v>374</v>
      </c>
      <c r="O254">
        <f t="shared" si="15"/>
        <v>2048.1666666666665</v>
      </c>
    </row>
    <row r="255" spans="1:15" x14ac:dyDescent="0.2">
      <c r="A255" t="s">
        <v>19</v>
      </c>
      <c r="B255">
        <v>9</v>
      </c>
      <c r="C255">
        <v>33</v>
      </c>
      <c r="D255">
        <v>13</v>
      </c>
      <c r="E255">
        <v>12</v>
      </c>
      <c r="F255">
        <v>31</v>
      </c>
      <c r="G255">
        <v>2273703</v>
      </c>
      <c r="H255">
        <v>1</v>
      </c>
      <c r="I255">
        <v>0</v>
      </c>
      <c r="J255">
        <v>1</v>
      </c>
      <c r="K255">
        <v>0</v>
      </c>
      <c r="L255">
        <f t="shared" si="12"/>
        <v>32</v>
      </c>
      <c r="M255">
        <f t="shared" si="13"/>
        <v>384</v>
      </c>
      <c r="N255">
        <f t="shared" si="14"/>
        <v>371</v>
      </c>
      <c r="O255">
        <f t="shared" si="15"/>
        <v>2047.9166666666667</v>
      </c>
    </row>
    <row r="256" spans="1:15" x14ac:dyDescent="0.2">
      <c r="A256" t="s">
        <v>19</v>
      </c>
      <c r="B256">
        <v>9</v>
      </c>
      <c r="C256">
        <v>33</v>
      </c>
      <c r="D256">
        <v>17</v>
      </c>
      <c r="E256">
        <v>1</v>
      </c>
      <c r="F256">
        <v>28</v>
      </c>
      <c r="G256">
        <v>2244001</v>
      </c>
      <c r="H256">
        <v>0</v>
      </c>
      <c r="I256">
        <v>1</v>
      </c>
      <c r="J256">
        <v>1</v>
      </c>
      <c r="K256">
        <v>0</v>
      </c>
      <c r="L256">
        <f t="shared" si="12"/>
        <v>32</v>
      </c>
      <c r="M256">
        <f t="shared" si="13"/>
        <v>384</v>
      </c>
      <c r="N256">
        <f t="shared" si="14"/>
        <v>367</v>
      </c>
      <c r="O256">
        <f t="shared" si="15"/>
        <v>2047.5833333333333</v>
      </c>
    </row>
    <row r="257" spans="1:15" x14ac:dyDescent="0.2">
      <c r="A257" t="s">
        <v>19</v>
      </c>
      <c r="B257">
        <v>9</v>
      </c>
      <c r="C257">
        <v>33</v>
      </c>
      <c r="D257">
        <v>29</v>
      </c>
      <c r="E257">
        <v>12</v>
      </c>
      <c r="F257">
        <v>32</v>
      </c>
      <c r="G257">
        <v>1775202</v>
      </c>
      <c r="H257">
        <v>1</v>
      </c>
      <c r="I257">
        <v>0</v>
      </c>
      <c r="J257">
        <v>1</v>
      </c>
      <c r="K257">
        <v>0</v>
      </c>
      <c r="L257">
        <f t="shared" si="12"/>
        <v>32</v>
      </c>
      <c r="M257">
        <f t="shared" si="13"/>
        <v>384</v>
      </c>
      <c r="N257">
        <f t="shared" si="14"/>
        <v>355</v>
      </c>
      <c r="O257">
        <f t="shared" si="15"/>
        <v>2046.5833333333333</v>
      </c>
    </row>
    <row r="258" spans="1:15" x14ac:dyDescent="0.2">
      <c r="A258" t="s">
        <v>19</v>
      </c>
      <c r="B258">
        <v>9</v>
      </c>
      <c r="C258">
        <v>33</v>
      </c>
      <c r="D258">
        <v>30</v>
      </c>
      <c r="E258">
        <v>4</v>
      </c>
      <c r="F258">
        <v>32</v>
      </c>
      <c r="G258">
        <v>2180301</v>
      </c>
      <c r="H258">
        <v>0</v>
      </c>
      <c r="I258">
        <v>1</v>
      </c>
      <c r="J258">
        <v>1</v>
      </c>
      <c r="K258">
        <v>0</v>
      </c>
      <c r="L258">
        <f t="shared" si="12"/>
        <v>32</v>
      </c>
      <c r="M258">
        <f t="shared" si="13"/>
        <v>384</v>
      </c>
      <c r="N258">
        <f t="shared" si="14"/>
        <v>354</v>
      </c>
      <c r="O258">
        <f t="shared" si="15"/>
        <v>2046.5</v>
      </c>
    </row>
    <row r="259" spans="1:15" x14ac:dyDescent="0.2">
      <c r="A259" t="s">
        <v>19</v>
      </c>
      <c r="B259">
        <v>9</v>
      </c>
      <c r="C259">
        <v>33</v>
      </c>
      <c r="D259">
        <v>34</v>
      </c>
      <c r="E259">
        <v>2</v>
      </c>
      <c r="F259">
        <v>28</v>
      </c>
      <c r="G259">
        <v>2155101</v>
      </c>
      <c r="H259">
        <v>0</v>
      </c>
      <c r="I259">
        <v>1</v>
      </c>
      <c r="J259">
        <v>1</v>
      </c>
      <c r="K259">
        <v>0</v>
      </c>
      <c r="L259">
        <f t="shared" si="12"/>
        <v>32</v>
      </c>
      <c r="M259">
        <f t="shared" si="13"/>
        <v>384</v>
      </c>
      <c r="N259">
        <f t="shared" si="14"/>
        <v>350</v>
      </c>
      <c r="O259">
        <f t="shared" si="15"/>
        <v>2046.1666666666667</v>
      </c>
    </row>
    <row r="260" spans="1:15" x14ac:dyDescent="0.2">
      <c r="A260" t="s">
        <v>19</v>
      </c>
      <c r="B260">
        <v>9</v>
      </c>
      <c r="C260">
        <v>33</v>
      </c>
      <c r="D260">
        <v>50</v>
      </c>
      <c r="E260">
        <v>12</v>
      </c>
      <c r="F260">
        <v>29</v>
      </c>
      <c r="G260">
        <v>1034302</v>
      </c>
      <c r="H260">
        <v>0</v>
      </c>
      <c r="I260">
        <v>1</v>
      </c>
      <c r="J260">
        <v>1</v>
      </c>
      <c r="K260">
        <v>0</v>
      </c>
      <c r="L260">
        <f t="shared" si="12"/>
        <v>32</v>
      </c>
      <c r="M260">
        <f t="shared" si="13"/>
        <v>384</v>
      </c>
      <c r="N260">
        <f t="shared" si="14"/>
        <v>334</v>
      </c>
      <c r="O260">
        <f t="shared" si="15"/>
        <v>2044.8333333333333</v>
      </c>
    </row>
    <row r="261" spans="1:15" x14ac:dyDescent="0.2">
      <c r="A261" t="s">
        <v>19</v>
      </c>
      <c r="B261">
        <v>9</v>
      </c>
      <c r="C261">
        <v>33</v>
      </c>
      <c r="D261">
        <v>53</v>
      </c>
      <c r="E261">
        <v>1</v>
      </c>
      <c r="F261">
        <v>31</v>
      </c>
      <c r="G261">
        <v>2071701</v>
      </c>
      <c r="H261">
        <v>0</v>
      </c>
      <c r="I261">
        <v>1</v>
      </c>
      <c r="J261">
        <v>1</v>
      </c>
      <c r="K261">
        <v>0</v>
      </c>
      <c r="L261">
        <f t="shared" si="12"/>
        <v>32</v>
      </c>
      <c r="M261">
        <f t="shared" si="13"/>
        <v>384</v>
      </c>
      <c r="N261">
        <f t="shared" si="14"/>
        <v>331</v>
      </c>
      <c r="O261">
        <f t="shared" si="15"/>
        <v>2044.5833333333333</v>
      </c>
    </row>
    <row r="262" spans="1:15" x14ac:dyDescent="0.2">
      <c r="A262" t="s">
        <v>19</v>
      </c>
      <c r="B262">
        <v>9</v>
      </c>
      <c r="C262">
        <v>33</v>
      </c>
      <c r="D262">
        <v>54</v>
      </c>
      <c r="E262">
        <v>1</v>
      </c>
      <c r="F262">
        <v>26</v>
      </c>
      <c r="G262">
        <v>2057401</v>
      </c>
      <c r="H262">
        <v>0</v>
      </c>
      <c r="I262">
        <v>1</v>
      </c>
      <c r="J262">
        <v>1</v>
      </c>
      <c r="K262">
        <v>0</v>
      </c>
      <c r="L262">
        <f t="shared" si="12"/>
        <v>32</v>
      </c>
      <c r="M262">
        <f t="shared" si="13"/>
        <v>384</v>
      </c>
      <c r="N262">
        <f t="shared" si="14"/>
        <v>330</v>
      </c>
      <c r="O262">
        <f t="shared" si="15"/>
        <v>2044.5</v>
      </c>
    </row>
    <row r="263" spans="1:15" x14ac:dyDescent="0.2">
      <c r="A263" t="s">
        <v>19</v>
      </c>
      <c r="B263">
        <v>9</v>
      </c>
      <c r="C263">
        <v>33</v>
      </c>
      <c r="D263">
        <v>54</v>
      </c>
      <c r="E263">
        <v>1</v>
      </c>
      <c r="F263">
        <v>30</v>
      </c>
      <c r="G263">
        <v>616402</v>
      </c>
      <c r="H263">
        <v>1</v>
      </c>
      <c r="I263">
        <v>0</v>
      </c>
      <c r="J263">
        <v>1</v>
      </c>
      <c r="K263">
        <v>0</v>
      </c>
      <c r="L263">
        <f t="shared" ref="L263:L326" si="16">65-C263</f>
        <v>32</v>
      </c>
      <c r="M263">
        <f t="shared" ref="M263:M326" si="17">L263*12</f>
        <v>384</v>
      </c>
      <c r="N263">
        <f t="shared" ref="N263:N326" si="18">M263-D263</f>
        <v>330</v>
      </c>
      <c r="O263">
        <f t="shared" ref="O263:O326" si="19">2017+N263/12</f>
        <v>2044.5</v>
      </c>
    </row>
    <row r="264" spans="1:15" x14ac:dyDescent="0.2">
      <c r="A264" t="s">
        <v>19</v>
      </c>
      <c r="B264">
        <v>9</v>
      </c>
      <c r="C264">
        <v>33</v>
      </c>
      <c r="D264">
        <v>58</v>
      </c>
      <c r="E264">
        <v>4</v>
      </c>
      <c r="F264">
        <v>33</v>
      </c>
      <c r="G264">
        <v>2038401</v>
      </c>
      <c r="H264">
        <v>1</v>
      </c>
      <c r="I264">
        <v>0</v>
      </c>
      <c r="J264">
        <v>1</v>
      </c>
      <c r="K264">
        <v>0</v>
      </c>
      <c r="L264">
        <f t="shared" si="16"/>
        <v>32</v>
      </c>
      <c r="M264">
        <f t="shared" si="17"/>
        <v>384</v>
      </c>
      <c r="N264">
        <f t="shared" si="18"/>
        <v>326</v>
      </c>
      <c r="O264">
        <f t="shared" si="19"/>
        <v>2044.1666666666667</v>
      </c>
    </row>
    <row r="265" spans="1:15" x14ac:dyDescent="0.2">
      <c r="A265" t="s">
        <v>19</v>
      </c>
      <c r="B265">
        <v>9</v>
      </c>
      <c r="C265">
        <v>33</v>
      </c>
      <c r="D265">
        <v>59</v>
      </c>
      <c r="E265">
        <v>1</v>
      </c>
      <c r="F265">
        <v>28</v>
      </c>
      <c r="G265">
        <v>2032901</v>
      </c>
      <c r="H265">
        <v>0</v>
      </c>
      <c r="I265">
        <v>1</v>
      </c>
      <c r="J265">
        <v>1</v>
      </c>
      <c r="K265">
        <v>0</v>
      </c>
      <c r="L265">
        <f t="shared" si="16"/>
        <v>32</v>
      </c>
      <c r="M265">
        <f t="shared" si="17"/>
        <v>384</v>
      </c>
      <c r="N265">
        <f t="shared" si="18"/>
        <v>325</v>
      </c>
      <c r="O265">
        <f t="shared" si="19"/>
        <v>2044.0833333333333</v>
      </c>
    </row>
    <row r="266" spans="1:15" x14ac:dyDescent="0.2">
      <c r="A266" t="s">
        <v>19</v>
      </c>
      <c r="B266">
        <v>9</v>
      </c>
      <c r="C266">
        <v>33</v>
      </c>
      <c r="D266">
        <v>66</v>
      </c>
      <c r="E266">
        <v>1</v>
      </c>
      <c r="F266">
        <v>29</v>
      </c>
      <c r="G266">
        <v>2010301</v>
      </c>
      <c r="H266">
        <v>1</v>
      </c>
      <c r="I266">
        <v>0</v>
      </c>
      <c r="J266">
        <v>1</v>
      </c>
      <c r="K266">
        <v>0</v>
      </c>
      <c r="L266">
        <f t="shared" si="16"/>
        <v>32</v>
      </c>
      <c r="M266">
        <f t="shared" si="17"/>
        <v>384</v>
      </c>
      <c r="N266">
        <f t="shared" si="18"/>
        <v>318</v>
      </c>
      <c r="O266">
        <f t="shared" si="19"/>
        <v>2043.5</v>
      </c>
    </row>
    <row r="267" spans="1:15" x14ac:dyDescent="0.2">
      <c r="A267" t="s">
        <v>19</v>
      </c>
      <c r="B267">
        <v>9</v>
      </c>
      <c r="C267">
        <v>33</v>
      </c>
      <c r="D267">
        <v>66</v>
      </c>
      <c r="E267">
        <v>1</v>
      </c>
      <c r="F267">
        <v>33</v>
      </c>
      <c r="G267">
        <v>326602</v>
      </c>
      <c r="H267">
        <v>1</v>
      </c>
      <c r="I267">
        <v>0</v>
      </c>
      <c r="J267">
        <v>1</v>
      </c>
      <c r="K267">
        <v>0</v>
      </c>
      <c r="L267">
        <f t="shared" si="16"/>
        <v>32</v>
      </c>
      <c r="M267">
        <f t="shared" si="17"/>
        <v>384</v>
      </c>
      <c r="N267">
        <f t="shared" si="18"/>
        <v>318</v>
      </c>
      <c r="O267">
        <f t="shared" si="19"/>
        <v>2043.5</v>
      </c>
    </row>
    <row r="268" spans="1:15" x14ac:dyDescent="0.2">
      <c r="A268" t="s">
        <v>19</v>
      </c>
      <c r="B268">
        <v>9</v>
      </c>
      <c r="C268">
        <v>33</v>
      </c>
      <c r="D268">
        <v>68</v>
      </c>
      <c r="E268">
        <v>1</v>
      </c>
      <c r="F268">
        <v>33</v>
      </c>
      <c r="G268">
        <v>2004301</v>
      </c>
      <c r="H268">
        <v>1</v>
      </c>
      <c r="I268">
        <v>0</v>
      </c>
      <c r="J268">
        <v>1</v>
      </c>
      <c r="K268">
        <v>0</v>
      </c>
      <c r="L268">
        <f t="shared" si="16"/>
        <v>32</v>
      </c>
      <c r="M268">
        <f t="shared" si="17"/>
        <v>384</v>
      </c>
      <c r="N268">
        <f t="shared" si="18"/>
        <v>316</v>
      </c>
      <c r="O268">
        <f t="shared" si="19"/>
        <v>2043.3333333333333</v>
      </c>
    </row>
    <row r="269" spans="1:15" x14ac:dyDescent="0.2">
      <c r="A269" t="s">
        <v>19</v>
      </c>
      <c r="B269">
        <v>9</v>
      </c>
      <c r="C269">
        <v>33</v>
      </c>
      <c r="D269">
        <v>74</v>
      </c>
      <c r="E269">
        <v>1</v>
      </c>
      <c r="F269">
        <v>23</v>
      </c>
      <c r="G269">
        <v>1928002</v>
      </c>
      <c r="H269">
        <v>1</v>
      </c>
      <c r="I269">
        <v>0</v>
      </c>
      <c r="J269">
        <v>1</v>
      </c>
      <c r="K269">
        <v>0</v>
      </c>
      <c r="L269">
        <f t="shared" si="16"/>
        <v>32</v>
      </c>
      <c r="M269">
        <f t="shared" si="17"/>
        <v>384</v>
      </c>
      <c r="N269">
        <f t="shared" si="18"/>
        <v>310</v>
      </c>
      <c r="O269">
        <f t="shared" si="19"/>
        <v>2042.8333333333333</v>
      </c>
    </row>
    <row r="270" spans="1:15" x14ac:dyDescent="0.2">
      <c r="A270" t="s">
        <v>19</v>
      </c>
      <c r="B270">
        <v>9</v>
      </c>
      <c r="C270">
        <v>33</v>
      </c>
      <c r="D270">
        <v>77</v>
      </c>
      <c r="E270">
        <v>1</v>
      </c>
      <c r="F270">
        <v>30</v>
      </c>
      <c r="G270">
        <v>1976301</v>
      </c>
      <c r="H270">
        <v>0</v>
      </c>
      <c r="I270">
        <v>1</v>
      </c>
      <c r="J270">
        <v>1</v>
      </c>
      <c r="K270">
        <v>0</v>
      </c>
      <c r="L270">
        <f t="shared" si="16"/>
        <v>32</v>
      </c>
      <c r="M270">
        <f t="shared" si="17"/>
        <v>384</v>
      </c>
      <c r="N270">
        <f t="shared" si="18"/>
        <v>307</v>
      </c>
      <c r="O270">
        <f t="shared" si="19"/>
        <v>2042.5833333333333</v>
      </c>
    </row>
    <row r="271" spans="1:15" x14ac:dyDescent="0.2">
      <c r="A271" t="s">
        <v>19</v>
      </c>
      <c r="B271">
        <v>9</v>
      </c>
      <c r="C271">
        <v>33</v>
      </c>
      <c r="D271">
        <v>89</v>
      </c>
      <c r="E271">
        <v>1</v>
      </c>
      <c r="F271">
        <v>29</v>
      </c>
      <c r="G271">
        <v>1931801</v>
      </c>
      <c r="H271">
        <v>0</v>
      </c>
      <c r="I271">
        <v>1</v>
      </c>
      <c r="J271">
        <v>1</v>
      </c>
      <c r="K271">
        <v>0</v>
      </c>
      <c r="L271">
        <f t="shared" si="16"/>
        <v>32</v>
      </c>
      <c r="M271">
        <f t="shared" si="17"/>
        <v>384</v>
      </c>
      <c r="N271">
        <f t="shared" si="18"/>
        <v>295</v>
      </c>
      <c r="O271">
        <f t="shared" si="19"/>
        <v>2041.5833333333333</v>
      </c>
    </row>
    <row r="272" spans="1:15" x14ac:dyDescent="0.2">
      <c r="A272" t="s">
        <v>19</v>
      </c>
      <c r="B272">
        <v>9</v>
      </c>
      <c r="C272">
        <v>33</v>
      </c>
      <c r="D272">
        <v>102</v>
      </c>
      <c r="E272">
        <v>1</v>
      </c>
      <c r="F272">
        <v>30</v>
      </c>
      <c r="G272">
        <v>1811901</v>
      </c>
      <c r="H272">
        <v>1</v>
      </c>
      <c r="I272">
        <v>0</v>
      </c>
      <c r="J272">
        <v>1</v>
      </c>
      <c r="K272">
        <v>0</v>
      </c>
      <c r="L272">
        <f t="shared" si="16"/>
        <v>32</v>
      </c>
      <c r="M272">
        <f t="shared" si="17"/>
        <v>384</v>
      </c>
      <c r="N272">
        <f t="shared" si="18"/>
        <v>282</v>
      </c>
      <c r="O272">
        <f t="shared" si="19"/>
        <v>2040.5</v>
      </c>
    </row>
    <row r="273" spans="1:15" x14ac:dyDescent="0.2">
      <c r="A273" t="s">
        <v>19</v>
      </c>
      <c r="B273">
        <v>9</v>
      </c>
      <c r="C273">
        <v>33</v>
      </c>
      <c r="D273">
        <v>111</v>
      </c>
      <c r="E273">
        <v>2</v>
      </c>
      <c r="F273">
        <v>32</v>
      </c>
      <c r="G273">
        <v>1694501</v>
      </c>
      <c r="H273">
        <v>0</v>
      </c>
      <c r="I273">
        <v>1</v>
      </c>
      <c r="J273">
        <v>1</v>
      </c>
      <c r="K273">
        <v>0</v>
      </c>
      <c r="L273">
        <f t="shared" si="16"/>
        <v>32</v>
      </c>
      <c r="M273">
        <f t="shared" si="17"/>
        <v>384</v>
      </c>
      <c r="N273">
        <f t="shared" si="18"/>
        <v>273</v>
      </c>
      <c r="O273">
        <f t="shared" si="19"/>
        <v>2039.75</v>
      </c>
    </row>
    <row r="274" spans="1:15" x14ac:dyDescent="0.2">
      <c r="A274" t="s">
        <v>19</v>
      </c>
      <c r="B274">
        <v>9</v>
      </c>
      <c r="C274">
        <v>33</v>
      </c>
      <c r="D274">
        <v>113</v>
      </c>
      <c r="E274">
        <v>1</v>
      </c>
      <c r="F274">
        <v>31</v>
      </c>
      <c r="G274">
        <v>1687101</v>
      </c>
      <c r="H274">
        <v>0</v>
      </c>
      <c r="I274">
        <v>1</v>
      </c>
      <c r="J274">
        <v>1</v>
      </c>
      <c r="K274">
        <v>0</v>
      </c>
      <c r="L274">
        <f t="shared" si="16"/>
        <v>32</v>
      </c>
      <c r="M274">
        <f t="shared" si="17"/>
        <v>384</v>
      </c>
      <c r="N274">
        <f t="shared" si="18"/>
        <v>271</v>
      </c>
      <c r="O274">
        <f t="shared" si="19"/>
        <v>2039.5833333333333</v>
      </c>
    </row>
    <row r="275" spans="1:15" x14ac:dyDescent="0.2">
      <c r="A275" t="s">
        <v>19</v>
      </c>
      <c r="B275">
        <v>9</v>
      </c>
      <c r="C275">
        <v>33</v>
      </c>
      <c r="D275">
        <v>119</v>
      </c>
      <c r="E275">
        <v>1</v>
      </c>
      <c r="F275">
        <v>32</v>
      </c>
      <c r="G275">
        <v>1642601</v>
      </c>
      <c r="H275">
        <v>1</v>
      </c>
      <c r="I275">
        <v>0</v>
      </c>
      <c r="J275">
        <v>1</v>
      </c>
      <c r="K275">
        <v>0</v>
      </c>
      <c r="L275">
        <f t="shared" si="16"/>
        <v>32</v>
      </c>
      <c r="M275">
        <f t="shared" si="17"/>
        <v>384</v>
      </c>
      <c r="N275">
        <f t="shared" si="18"/>
        <v>265</v>
      </c>
      <c r="O275">
        <f t="shared" si="19"/>
        <v>2039.0833333333333</v>
      </c>
    </row>
    <row r="276" spans="1:15" x14ac:dyDescent="0.2">
      <c r="A276" t="s">
        <v>19</v>
      </c>
      <c r="B276">
        <v>9</v>
      </c>
      <c r="C276">
        <v>33</v>
      </c>
      <c r="D276">
        <v>144</v>
      </c>
      <c r="E276">
        <v>1</v>
      </c>
      <c r="F276">
        <v>33</v>
      </c>
      <c r="G276">
        <v>1099501</v>
      </c>
      <c r="H276">
        <v>1</v>
      </c>
      <c r="I276">
        <v>0</v>
      </c>
      <c r="J276">
        <v>1</v>
      </c>
      <c r="K276">
        <v>0</v>
      </c>
      <c r="L276">
        <f t="shared" si="16"/>
        <v>32</v>
      </c>
      <c r="M276">
        <f t="shared" si="17"/>
        <v>384</v>
      </c>
      <c r="N276">
        <f t="shared" si="18"/>
        <v>240</v>
      </c>
      <c r="O276">
        <f t="shared" si="19"/>
        <v>2037</v>
      </c>
    </row>
    <row r="277" spans="1:15" x14ac:dyDescent="0.2">
      <c r="A277" t="s">
        <v>19</v>
      </c>
      <c r="B277">
        <v>9</v>
      </c>
      <c r="C277">
        <v>33</v>
      </c>
      <c r="D277">
        <v>146</v>
      </c>
      <c r="E277">
        <v>1</v>
      </c>
      <c r="F277">
        <v>30</v>
      </c>
      <c r="G277">
        <v>194702</v>
      </c>
      <c r="H277">
        <v>0</v>
      </c>
      <c r="I277">
        <v>1</v>
      </c>
      <c r="J277">
        <v>1</v>
      </c>
      <c r="K277">
        <v>0</v>
      </c>
      <c r="L277">
        <f t="shared" si="16"/>
        <v>32</v>
      </c>
      <c r="M277">
        <f t="shared" si="17"/>
        <v>384</v>
      </c>
      <c r="N277">
        <f t="shared" si="18"/>
        <v>238</v>
      </c>
      <c r="O277">
        <f t="shared" si="19"/>
        <v>2036.8333333333333</v>
      </c>
    </row>
    <row r="278" spans="1:15" x14ac:dyDescent="0.2">
      <c r="A278" t="s">
        <v>19</v>
      </c>
      <c r="B278">
        <v>9</v>
      </c>
      <c r="C278">
        <v>33</v>
      </c>
      <c r="D278">
        <v>151</v>
      </c>
      <c r="E278">
        <v>2</v>
      </c>
      <c r="F278">
        <v>28</v>
      </c>
      <c r="G278">
        <v>1052401</v>
      </c>
      <c r="H278">
        <v>0</v>
      </c>
      <c r="I278">
        <v>1</v>
      </c>
      <c r="J278">
        <v>1</v>
      </c>
      <c r="K278">
        <v>0</v>
      </c>
      <c r="L278">
        <f t="shared" si="16"/>
        <v>32</v>
      </c>
      <c r="M278">
        <f t="shared" si="17"/>
        <v>384</v>
      </c>
      <c r="N278">
        <f t="shared" si="18"/>
        <v>233</v>
      </c>
      <c r="O278">
        <f t="shared" si="19"/>
        <v>2036.4166666666667</v>
      </c>
    </row>
    <row r="279" spans="1:15" x14ac:dyDescent="0.2">
      <c r="A279" t="s">
        <v>19</v>
      </c>
      <c r="B279">
        <v>9</v>
      </c>
      <c r="C279">
        <v>33</v>
      </c>
      <c r="D279">
        <v>166</v>
      </c>
      <c r="E279">
        <v>1</v>
      </c>
      <c r="F279">
        <v>30</v>
      </c>
      <c r="G279">
        <v>925501</v>
      </c>
      <c r="H279">
        <v>0</v>
      </c>
      <c r="I279">
        <v>1</v>
      </c>
      <c r="J279">
        <v>1</v>
      </c>
      <c r="K279">
        <v>0</v>
      </c>
      <c r="L279">
        <f t="shared" si="16"/>
        <v>32</v>
      </c>
      <c r="M279">
        <f t="shared" si="17"/>
        <v>384</v>
      </c>
      <c r="N279">
        <f t="shared" si="18"/>
        <v>218</v>
      </c>
      <c r="O279">
        <f t="shared" si="19"/>
        <v>2035.1666666666667</v>
      </c>
    </row>
    <row r="280" spans="1:15" x14ac:dyDescent="0.2">
      <c r="A280" t="s">
        <v>19</v>
      </c>
      <c r="B280">
        <v>9</v>
      </c>
      <c r="C280">
        <v>33</v>
      </c>
      <c r="D280">
        <v>166</v>
      </c>
      <c r="E280">
        <v>1</v>
      </c>
      <c r="F280">
        <v>32</v>
      </c>
      <c r="G280">
        <v>925401</v>
      </c>
      <c r="H280">
        <v>0</v>
      </c>
      <c r="I280">
        <v>1</v>
      </c>
      <c r="J280">
        <v>1</v>
      </c>
      <c r="K280">
        <v>0</v>
      </c>
      <c r="L280">
        <f t="shared" si="16"/>
        <v>32</v>
      </c>
      <c r="M280">
        <f t="shared" si="17"/>
        <v>384</v>
      </c>
      <c r="N280">
        <f t="shared" si="18"/>
        <v>218</v>
      </c>
      <c r="O280">
        <f t="shared" si="19"/>
        <v>2035.1666666666667</v>
      </c>
    </row>
    <row r="281" spans="1:15" x14ac:dyDescent="0.2">
      <c r="A281" t="s">
        <v>19</v>
      </c>
      <c r="B281">
        <v>9</v>
      </c>
      <c r="C281">
        <v>33</v>
      </c>
      <c r="D281">
        <v>170</v>
      </c>
      <c r="E281">
        <v>1</v>
      </c>
      <c r="F281">
        <v>28</v>
      </c>
      <c r="G281">
        <v>903301</v>
      </c>
      <c r="H281">
        <v>0</v>
      </c>
      <c r="I281">
        <v>1</v>
      </c>
      <c r="J281">
        <v>1</v>
      </c>
      <c r="K281">
        <v>0</v>
      </c>
      <c r="L281">
        <f t="shared" si="16"/>
        <v>32</v>
      </c>
      <c r="M281">
        <f t="shared" si="17"/>
        <v>384</v>
      </c>
      <c r="N281">
        <f t="shared" si="18"/>
        <v>214</v>
      </c>
      <c r="O281">
        <f t="shared" si="19"/>
        <v>2034.8333333333333</v>
      </c>
    </row>
    <row r="282" spans="1:15" x14ac:dyDescent="0.2">
      <c r="A282" t="s">
        <v>19</v>
      </c>
      <c r="B282">
        <v>9</v>
      </c>
      <c r="C282">
        <v>33</v>
      </c>
      <c r="D282">
        <v>189</v>
      </c>
      <c r="E282">
        <v>1</v>
      </c>
      <c r="F282">
        <v>32</v>
      </c>
      <c r="G282">
        <v>333003</v>
      </c>
      <c r="H282">
        <v>1</v>
      </c>
      <c r="I282">
        <v>0</v>
      </c>
      <c r="J282">
        <v>1</v>
      </c>
      <c r="K282">
        <v>0</v>
      </c>
      <c r="L282">
        <f t="shared" si="16"/>
        <v>32</v>
      </c>
      <c r="M282">
        <f t="shared" si="17"/>
        <v>384</v>
      </c>
      <c r="N282">
        <f t="shared" si="18"/>
        <v>195</v>
      </c>
      <c r="O282">
        <f t="shared" si="19"/>
        <v>2033.25</v>
      </c>
    </row>
    <row r="283" spans="1:15" x14ac:dyDescent="0.2">
      <c r="A283" t="s">
        <v>19</v>
      </c>
      <c r="B283">
        <v>9</v>
      </c>
      <c r="C283">
        <v>33</v>
      </c>
      <c r="D283">
        <v>193</v>
      </c>
      <c r="E283">
        <v>1</v>
      </c>
      <c r="F283">
        <v>28</v>
      </c>
      <c r="G283">
        <v>848701</v>
      </c>
      <c r="H283">
        <v>0</v>
      </c>
      <c r="I283">
        <v>1</v>
      </c>
      <c r="J283">
        <v>1</v>
      </c>
      <c r="K283">
        <v>0</v>
      </c>
      <c r="L283">
        <f t="shared" si="16"/>
        <v>32</v>
      </c>
      <c r="M283">
        <f t="shared" si="17"/>
        <v>384</v>
      </c>
      <c r="N283">
        <f t="shared" si="18"/>
        <v>191</v>
      </c>
      <c r="O283">
        <f t="shared" si="19"/>
        <v>2032.9166666666667</v>
      </c>
    </row>
    <row r="284" spans="1:15" x14ac:dyDescent="0.2">
      <c r="A284" t="s">
        <v>19</v>
      </c>
      <c r="B284">
        <v>9</v>
      </c>
      <c r="C284">
        <v>33</v>
      </c>
      <c r="D284">
        <v>200</v>
      </c>
      <c r="E284">
        <v>2</v>
      </c>
      <c r="F284">
        <v>32</v>
      </c>
      <c r="G284">
        <v>792301</v>
      </c>
      <c r="H284">
        <v>1</v>
      </c>
      <c r="I284">
        <v>0</v>
      </c>
      <c r="J284">
        <v>1</v>
      </c>
      <c r="K284">
        <v>0</v>
      </c>
      <c r="L284">
        <f t="shared" si="16"/>
        <v>32</v>
      </c>
      <c r="M284">
        <f t="shared" si="17"/>
        <v>384</v>
      </c>
      <c r="N284">
        <f t="shared" si="18"/>
        <v>184</v>
      </c>
      <c r="O284">
        <f t="shared" si="19"/>
        <v>2032.3333333333333</v>
      </c>
    </row>
    <row r="285" spans="1:15" x14ac:dyDescent="0.2">
      <c r="A285" t="s">
        <v>19</v>
      </c>
      <c r="B285">
        <v>9</v>
      </c>
      <c r="C285">
        <v>33</v>
      </c>
      <c r="D285">
        <v>202</v>
      </c>
      <c r="E285">
        <v>1</v>
      </c>
      <c r="F285">
        <v>26</v>
      </c>
      <c r="G285">
        <v>771301</v>
      </c>
      <c r="H285">
        <v>0</v>
      </c>
      <c r="I285">
        <v>1</v>
      </c>
      <c r="J285">
        <v>1</v>
      </c>
      <c r="K285">
        <v>0</v>
      </c>
      <c r="L285">
        <f t="shared" si="16"/>
        <v>32</v>
      </c>
      <c r="M285">
        <f t="shared" si="17"/>
        <v>384</v>
      </c>
      <c r="N285">
        <f t="shared" si="18"/>
        <v>182</v>
      </c>
      <c r="O285">
        <f t="shared" si="19"/>
        <v>2032.1666666666667</v>
      </c>
    </row>
    <row r="286" spans="1:15" x14ac:dyDescent="0.2">
      <c r="A286" t="s">
        <v>19</v>
      </c>
      <c r="B286">
        <v>9</v>
      </c>
      <c r="C286">
        <v>33</v>
      </c>
      <c r="D286">
        <v>206</v>
      </c>
      <c r="E286">
        <v>1</v>
      </c>
      <c r="F286">
        <v>32</v>
      </c>
      <c r="G286">
        <v>710701</v>
      </c>
      <c r="H286">
        <v>1</v>
      </c>
      <c r="I286">
        <v>0</v>
      </c>
      <c r="J286">
        <v>1</v>
      </c>
      <c r="K286">
        <v>0</v>
      </c>
      <c r="L286">
        <f t="shared" si="16"/>
        <v>32</v>
      </c>
      <c r="M286">
        <f t="shared" si="17"/>
        <v>384</v>
      </c>
      <c r="N286">
        <f t="shared" si="18"/>
        <v>178</v>
      </c>
      <c r="O286">
        <f t="shared" si="19"/>
        <v>2031.8333333333333</v>
      </c>
    </row>
    <row r="287" spans="1:15" x14ac:dyDescent="0.2">
      <c r="A287" t="s">
        <v>19</v>
      </c>
      <c r="B287">
        <v>9</v>
      </c>
      <c r="C287">
        <v>33</v>
      </c>
      <c r="D287">
        <v>212</v>
      </c>
      <c r="E287">
        <v>1</v>
      </c>
      <c r="F287">
        <v>33</v>
      </c>
      <c r="G287">
        <v>609401</v>
      </c>
      <c r="H287">
        <v>0</v>
      </c>
      <c r="I287">
        <v>1</v>
      </c>
      <c r="J287">
        <v>1</v>
      </c>
      <c r="K287">
        <v>0</v>
      </c>
      <c r="L287">
        <f t="shared" si="16"/>
        <v>32</v>
      </c>
      <c r="M287">
        <f t="shared" si="17"/>
        <v>384</v>
      </c>
      <c r="N287">
        <f t="shared" si="18"/>
        <v>172</v>
      </c>
      <c r="O287">
        <f t="shared" si="19"/>
        <v>2031.3333333333333</v>
      </c>
    </row>
    <row r="288" spans="1:15" x14ac:dyDescent="0.2">
      <c r="A288" t="s">
        <v>19</v>
      </c>
      <c r="B288">
        <v>9</v>
      </c>
      <c r="C288">
        <v>33</v>
      </c>
      <c r="D288">
        <v>219</v>
      </c>
      <c r="E288">
        <v>1</v>
      </c>
      <c r="F288">
        <v>31</v>
      </c>
      <c r="G288">
        <v>374302</v>
      </c>
      <c r="H288">
        <v>1</v>
      </c>
      <c r="I288">
        <v>0</v>
      </c>
      <c r="J288">
        <v>1</v>
      </c>
      <c r="K288">
        <v>0</v>
      </c>
      <c r="L288">
        <f t="shared" si="16"/>
        <v>32</v>
      </c>
      <c r="M288">
        <f t="shared" si="17"/>
        <v>384</v>
      </c>
      <c r="N288">
        <f t="shared" si="18"/>
        <v>165</v>
      </c>
      <c r="O288">
        <f t="shared" si="19"/>
        <v>2030.75</v>
      </c>
    </row>
    <row r="289" spans="1:15" x14ac:dyDescent="0.2">
      <c r="A289" t="s">
        <v>19</v>
      </c>
      <c r="B289">
        <v>9</v>
      </c>
      <c r="C289">
        <v>33</v>
      </c>
      <c r="D289">
        <v>220</v>
      </c>
      <c r="E289">
        <v>1</v>
      </c>
      <c r="F289">
        <v>32</v>
      </c>
      <c r="G289">
        <v>357701</v>
      </c>
      <c r="H289">
        <v>0</v>
      </c>
      <c r="I289">
        <v>1</v>
      </c>
      <c r="J289">
        <v>1</v>
      </c>
      <c r="K289">
        <v>0</v>
      </c>
      <c r="L289">
        <f t="shared" si="16"/>
        <v>32</v>
      </c>
      <c r="M289">
        <f t="shared" si="17"/>
        <v>384</v>
      </c>
      <c r="N289">
        <f t="shared" si="18"/>
        <v>164</v>
      </c>
      <c r="O289">
        <f t="shared" si="19"/>
        <v>2030.6666666666667</v>
      </c>
    </row>
    <row r="290" spans="1:15" x14ac:dyDescent="0.2">
      <c r="A290" t="s">
        <v>19</v>
      </c>
      <c r="B290">
        <v>9</v>
      </c>
      <c r="C290">
        <v>33</v>
      </c>
      <c r="D290">
        <v>225</v>
      </c>
      <c r="E290">
        <v>2</v>
      </c>
      <c r="F290">
        <v>32</v>
      </c>
      <c r="G290">
        <v>285302</v>
      </c>
      <c r="H290">
        <v>0</v>
      </c>
      <c r="I290">
        <v>1</v>
      </c>
      <c r="J290">
        <v>1</v>
      </c>
      <c r="K290">
        <v>0</v>
      </c>
      <c r="L290">
        <f t="shared" si="16"/>
        <v>32</v>
      </c>
      <c r="M290">
        <f t="shared" si="17"/>
        <v>384</v>
      </c>
      <c r="N290">
        <f t="shared" si="18"/>
        <v>159</v>
      </c>
      <c r="O290">
        <f t="shared" si="19"/>
        <v>2030.25</v>
      </c>
    </row>
    <row r="291" spans="1:15" x14ac:dyDescent="0.2">
      <c r="A291" t="s">
        <v>19</v>
      </c>
      <c r="B291">
        <v>9</v>
      </c>
      <c r="C291">
        <v>33</v>
      </c>
      <c r="D291">
        <v>226</v>
      </c>
      <c r="E291">
        <v>1</v>
      </c>
      <c r="F291">
        <v>25</v>
      </c>
      <c r="G291">
        <v>264001</v>
      </c>
      <c r="H291">
        <v>0</v>
      </c>
      <c r="I291">
        <v>1</v>
      </c>
      <c r="J291">
        <v>1</v>
      </c>
      <c r="K291">
        <v>0</v>
      </c>
      <c r="L291">
        <f t="shared" si="16"/>
        <v>32</v>
      </c>
      <c r="M291">
        <f t="shared" si="17"/>
        <v>384</v>
      </c>
      <c r="N291">
        <f t="shared" si="18"/>
        <v>158</v>
      </c>
      <c r="O291">
        <f t="shared" si="19"/>
        <v>2030.1666666666667</v>
      </c>
    </row>
    <row r="292" spans="1:15" x14ac:dyDescent="0.2">
      <c r="A292" t="s">
        <v>19</v>
      </c>
      <c r="B292">
        <v>9</v>
      </c>
      <c r="C292">
        <v>33</v>
      </c>
      <c r="D292">
        <v>226</v>
      </c>
      <c r="E292">
        <v>1</v>
      </c>
      <c r="F292">
        <v>32</v>
      </c>
      <c r="G292">
        <v>258501</v>
      </c>
      <c r="H292">
        <v>0</v>
      </c>
      <c r="I292">
        <v>1</v>
      </c>
      <c r="J292">
        <v>1</v>
      </c>
      <c r="K292">
        <v>0</v>
      </c>
      <c r="L292">
        <f t="shared" si="16"/>
        <v>32</v>
      </c>
      <c r="M292">
        <f t="shared" si="17"/>
        <v>384</v>
      </c>
      <c r="N292">
        <f t="shared" si="18"/>
        <v>158</v>
      </c>
      <c r="O292">
        <f t="shared" si="19"/>
        <v>2030.1666666666667</v>
      </c>
    </row>
    <row r="293" spans="1:15" x14ac:dyDescent="0.2">
      <c r="A293" t="s">
        <v>19</v>
      </c>
      <c r="B293">
        <v>9</v>
      </c>
      <c r="C293">
        <v>33</v>
      </c>
      <c r="D293">
        <v>231</v>
      </c>
      <c r="E293">
        <v>12</v>
      </c>
      <c r="F293">
        <v>30</v>
      </c>
      <c r="G293">
        <v>159501</v>
      </c>
      <c r="H293">
        <v>0</v>
      </c>
      <c r="I293">
        <v>1</v>
      </c>
      <c r="J293">
        <v>1</v>
      </c>
      <c r="K293">
        <v>0</v>
      </c>
      <c r="L293">
        <f t="shared" si="16"/>
        <v>32</v>
      </c>
      <c r="M293">
        <f t="shared" si="17"/>
        <v>384</v>
      </c>
      <c r="N293">
        <f t="shared" si="18"/>
        <v>153</v>
      </c>
      <c r="O293">
        <f t="shared" si="19"/>
        <v>2029.75</v>
      </c>
    </row>
    <row r="294" spans="1:15" x14ac:dyDescent="0.2">
      <c r="A294" t="s">
        <v>19</v>
      </c>
      <c r="B294">
        <v>9</v>
      </c>
      <c r="C294">
        <v>33</v>
      </c>
      <c r="D294">
        <v>235</v>
      </c>
      <c r="E294">
        <v>1</v>
      </c>
      <c r="F294">
        <v>31</v>
      </c>
      <c r="G294">
        <v>70804</v>
      </c>
      <c r="H294">
        <v>0</v>
      </c>
      <c r="I294">
        <v>1</v>
      </c>
      <c r="J294">
        <v>1</v>
      </c>
      <c r="K294">
        <v>0</v>
      </c>
      <c r="L294">
        <f t="shared" si="16"/>
        <v>32</v>
      </c>
      <c r="M294">
        <f t="shared" si="17"/>
        <v>384</v>
      </c>
      <c r="N294">
        <f t="shared" si="18"/>
        <v>149</v>
      </c>
      <c r="O294">
        <f t="shared" si="19"/>
        <v>2029.4166666666667</v>
      </c>
    </row>
    <row r="295" spans="1:15" x14ac:dyDescent="0.2">
      <c r="A295" t="s">
        <v>19</v>
      </c>
      <c r="B295">
        <v>9</v>
      </c>
      <c r="C295">
        <v>33</v>
      </c>
      <c r="D295">
        <v>236</v>
      </c>
      <c r="E295">
        <v>1</v>
      </c>
      <c r="F295">
        <v>31</v>
      </c>
      <c r="G295">
        <v>103301</v>
      </c>
      <c r="H295">
        <v>1</v>
      </c>
      <c r="I295">
        <v>0</v>
      </c>
      <c r="J295">
        <v>1</v>
      </c>
      <c r="K295">
        <v>0</v>
      </c>
      <c r="L295">
        <f t="shared" si="16"/>
        <v>32</v>
      </c>
      <c r="M295">
        <f t="shared" si="17"/>
        <v>384</v>
      </c>
      <c r="N295">
        <f t="shared" si="18"/>
        <v>148</v>
      </c>
      <c r="O295">
        <f t="shared" si="19"/>
        <v>2029.3333333333333</v>
      </c>
    </row>
    <row r="296" spans="1:15" x14ac:dyDescent="0.2">
      <c r="A296" t="s">
        <v>19</v>
      </c>
      <c r="B296">
        <v>9</v>
      </c>
      <c r="C296">
        <v>33</v>
      </c>
      <c r="D296">
        <v>242</v>
      </c>
      <c r="E296">
        <v>1</v>
      </c>
      <c r="F296">
        <v>33</v>
      </c>
      <c r="G296">
        <v>44601</v>
      </c>
      <c r="H296">
        <v>1</v>
      </c>
      <c r="I296">
        <v>0</v>
      </c>
      <c r="J296">
        <v>1</v>
      </c>
      <c r="K296">
        <v>0</v>
      </c>
      <c r="L296">
        <f t="shared" si="16"/>
        <v>32</v>
      </c>
      <c r="M296">
        <f t="shared" si="17"/>
        <v>384</v>
      </c>
      <c r="N296">
        <f t="shared" si="18"/>
        <v>142</v>
      </c>
      <c r="O296">
        <f t="shared" si="19"/>
        <v>2028.8333333333333</v>
      </c>
    </row>
    <row r="297" spans="1:15" x14ac:dyDescent="0.2">
      <c r="A297" t="s">
        <v>19</v>
      </c>
      <c r="B297">
        <v>9</v>
      </c>
      <c r="C297">
        <v>33</v>
      </c>
      <c r="D297">
        <v>251</v>
      </c>
      <c r="E297">
        <v>1</v>
      </c>
      <c r="F297">
        <v>30</v>
      </c>
      <c r="G297">
        <v>6201</v>
      </c>
      <c r="H297">
        <v>0</v>
      </c>
      <c r="I297">
        <v>1</v>
      </c>
      <c r="J297">
        <v>1</v>
      </c>
      <c r="K297">
        <v>0</v>
      </c>
      <c r="L297">
        <f t="shared" si="16"/>
        <v>32</v>
      </c>
      <c r="M297">
        <f t="shared" si="17"/>
        <v>384</v>
      </c>
      <c r="N297">
        <f t="shared" si="18"/>
        <v>133</v>
      </c>
      <c r="O297">
        <f t="shared" si="19"/>
        <v>2028.0833333333333</v>
      </c>
    </row>
    <row r="298" spans="1:15" x14ac:dyDescent="0.2">
      <c r="A298" t="s">
        <v>19</v>
      </c>
      <c r="B298">
        <v>9</v>
      </c>
      <c r="C298">
        <v>34</v>
      </c>
      <c r="D298">
        <v>1</v>
      </c>
      <c r="E298">
        <v>12</v>
      </c>
      <c r="F298">
        <v>32</v>
      </c>
      <c r="G298">
        <v>2386803</v>
      </c>
      <c r="H298">
        <v>0</v>
      </c>
      <c r="I298">
        <v>1</v>
      </c>
      <c r="J298">
        <v>1</v>
      </c>
      <c r="K298">
        <v>0</v>
      </c>
      <c r="L298">
        <f t="shared" si="16"/>
        <v>31</v>
      </c>
      <c r="M298">
        <f t="shared" si="17"/>
        <v>372</v>
      </c>
      <c r="N298">
        <f t="shared" si="18"/>
        <v>371</v>
      </c>
      <c r="O298">
        <f t="shared" si="19"/>
        <v>2047.9166666666667</v>
      </c>
    </row>
    <row r="299" spans="1:15" x14ac:dyDescent="0.2">
      <c r="A299" t="s">
        <v>19</v>
      </c>
      <c r="B299">
        <v>9</v>
      </c>
      <c r="C299">
        <v>34</v>
      </c>
      <c r="D299">
        <v>1</v>
      </c>
      <c r="E299">
        <v>12</v>
      </c>
      <c r="F299">
        <v>32</v>
      </c>
      <c r="G299">
        <v>2387101</v>
      </c>
      <c r="H299">
        <v>1</v>
      </c>
      <c r="I299">
        <v>0</v>
      </c>
      <c r="J299">
        <v>1</v>
      </c>
      <c r="K299">
        <v>0</v>
      </c>
      <c r="L299">
        <f t="shared" si="16"/>
        <v>31</v>
      </c>
      <c r="M299">
        <f t="shared" si="17"/>
        <v>372</v>
      </c>
      <c r="N299">
        <f t="shared" si="18"/>
        <v>371</v>
      </c>
      <c r="O299">
        <f t="shared" si="19"/>
        <v>2047.9166666666667</v>
      </c>
    </row>
    <row r="300" spans="1:15" x14ac:dyDescent="0.2">
      <c r="A300" t="s">
        <v>19</v>
      </c>
      <c r="B300">
        <v>9</v>
      </c>
      <c r="C300">
        <v>34</v>
      </c>
      <c r="D300">
        <v>2</v>
      </c>
      <c r="E300">
        <v>12</v>
      </c>
      <c r="F300">
        <v>28</v>
      </c>
      <c r="G300">
        <v>2382403</v>
      </c>
      <c r="H300">
        <v>0</v>
      </c>
      <c r="I300">
        <v>1</v>
      </c>
      <c r="J300">
        <v>1</v>
      </c>
      <c r="K300">
        <v>0</v>
      </c>
      <c r="L300">
        <f t="shared" si="16"/>
        <v>31</v>
      </c>
      <c r="M300">
        <f t="shared" si="17"/>
        <v>372</v>
      </c>
      <c r="N300">
        <f t="shared" si="18"/>
        <v>370</v>
      </c>
      <c r="O300">
        <f t="shared" si="19"/>
        <v>2047.8333333333333</v>
      </c>
    </row>
    <row r="301" spans="1:15" x14ac:dyDescent="0.2">
      <c r="A301" t="s">
        <v>19</v>
      </c>
      <c r="B301">
        <v>9</v>
      </c>
      <c r="C301">
        <v>34</v>
      </c>
      <c r="D301">
        <v>3</v>
      </c>
      <c r="E301">
        <v>12</v>
      </c>
      <c r="F301">
        <v>33</v>
      </c>
      <c r="G301">
        <v>2362203</v>
      </c>
      <c r="H301">
        <v>0</v>
      </c>
      <c r="I301">
        <v>1</v>
      </c>
      <c r="J301">
        <v>1</v>
      </c>
      <c r="K301">
        <v>0</v>
      </c>
      <c r="L301">
        <f t="shared" si="16"/>
        <v>31</v>
      </c>
      <c r="M301">
        <f t="shared" si="17"/>
        <v>372</v>
      </c>
      <c r="N301">
        <f t="shared" si="18"/>
        <v>369</v>
      </c>
      <c r="O301">
        <f t="shared" si="19"/>
        <v>2047.75</v>
      </c>
    </row>
    <row r="302" spans="1:15" x14ac:dyDescent="0.2">
      <c r="A302" t="s">
        <v>19</v>
      </c>
      <c r="B302">
        <v>9</v>
      </c>
      <c r="C302">
        <v>34</v>
      </c>
      <c r="D302">
        <v>4</v>
      </c>
      <c r="E302">
        <v>12</v>
      </c>
      <c r="F302">
        <v>33</v>
      </c>
      <c r="G302">
        <v>2355801</v>
      </c>
      <c r="H302">
        <v>0</v>
      </c>
      <c r="I302">
        <v>1</v>
      </c>
      <c r="J302">
        <v>1</v>
      </c>
      <c r="K302">
        <v>0</v>
      </c>
      <c r="L302">
        <f t="shared" si="16"/>
        <v>31</v>
      </c>
      <c r="M302">
        <f t="shared" si="17"/>
        <v>372</v>
      </c>
      <c r="N302">
        <f t="shared" si="18"/>
        <v>368</v>
      </c>
      <c r="O302">
        <f t="shared" si="19"/>
        <v>2047.6666666666667</v>
      </c>
    </row>
    <row r="303" spans="1:15" x14ac:dyDescent="0.2">
      <c r="A303" t="s">
        <v>19</v>
      </c>
      <c r="B303">
        <v>9</v>
      </c>
      <c r="C303">
        <v>34</v>
      </c>
      <c r="D303">
        <v>5</v>
      </c>
      <c r="E303">
        <v>4</v>
      </c>
      <c r="F303">
        <v>29</v>
      </c>
      <c r="G303">
        <v>2342001</v>
      </c>
      <c r="H303">
        <v>0</v>
      </c>
      <c r="I303">
        <v>1</v>
      </c>
      <c r="J303">
        <v>1</v>
      </c>
      <c r="K303">
        <v>0</v>
      </c>
      <c r="L303">
        <f t="shared" si="16"/>
        <v>31</v>
      </c>
      <c r="M303">
        <f t="shared" si="17"/>
        <v>372</v>
      </c>
      <c r="N303">
        <f t="shared" si="18"/>
        <v>367</v>
      </c>
      <c r="O303">
        <f t="shared" si="19"/>
        <v>2047.5833333333333</v>
      </c>
    </row>
    <row r="304" spans="1:15" x14ac:dyDescent="0.2">
      <c r="A304" t="s">
        <v>19</v>
      </c>
      <c r="B304">
        <v>9</v>
      </c>
      <c r="C304">
        <v>34</v>
      </c>
      <c r="D304">
        <v>6</v>
      </c>
      <c r="E304">
        <v>12</v>
      </c>
      <c r="F304">
        <v>28</v>
      </c>
      <c r="G304">
        <v>2327802</v>
      </c>
      <c r="H304">
        <v>0</v>
      </c>
      <c r="I304">
        <v>1</v>
      </c>
      <c r="J304">
        <v>1</v>
      </c>
      <c r="K304">
        <v>0</v>
      </c>
      <c r="L304">
        <f t="shared" si="16"/>
        <v>31</v>
      </c>
      <c r="M304">
        <f t="shared" si="17"/>
        <v>372</v>
      </c>
      <c r="N304">
        <f t="shared" si="18"/>
        <v>366</v>
      </c>
      <c r="O304">
        <f t="shared" si="19"/>
        <v>2047.5</v>
      </c>
    </row>
    <row r="305" spans="1:15" x14ac:dyDescent="0.2">
      <c r="A305" t="s">
        <v>19</v>
      </c>
      <c r="B305">
        <v>9</v>
      </c>
      <c r="C305">
        <v>34</v>
      </c>
      <c r="D305">
        <v>6</v>
      </c>
      <c r="E305">
        <v>12</v>
      </c>
      <c r="F305">
        <v>33</v>
      </c>
      <c r="G305">
        <v>2332703</v>
      </c>
      <c r="H305">
        <v>0</v>
      </c>
      <c r="I305">
        <v>1</v>
      </c>
      <c r="J305">
        <v>1</v>
      </c>
      <c r="K305">
        <v>0</v>
      </c>
      <c r="L305">
        <f t="shared" si="16"/>
        <v>31</v>
      </c>
      <c r="M305">
        <f t="shared" si="17"/>
        <v>372</v>
      </c>
      <c r="N305">
        <f t="shared" si="18"/>
        <v>366</v>
      </c>
      <c r="O305">
        <f t="shared" si="19"/>
        <v>2047.5</v>
      </c>
    </row>
    <row r="306" spans="1:15" x14ac:dyDescent="0.2">
      <c r="A306" t="s">
        <v>19</v>
      </c>
      <c r="B306">
        <v>9</v>
      </c>
      <c r="C306">
        <v>34</v>
      </c>
      <c r="D306">
        <v>7</v>
      </c>
      <c r="E306">
        <v>4</v>
      </c>
      <c r="F306">
        <v>34</v>
      </c>
      <c r="G306">
        <v>2325101</v>
      </c>
      <c r="H306">
        <v>0</v>
      </c>
      <c r="I306">
        <v>1</v>
      </c>
      <c r="J306">
        <v>1</v>
      </c>
      <c r="K306">
        <v>0</v>
      </c>
      <c r="L306">
        <f t="shared" si="16"/>
        <v>31</v>
      </c>
      <c r="M306">
        <f t="shared" si="17"/>
        <v>372</v>
      </c>
      <c r="N306">
        <f t="shared" si="18"/>
        <v>365</v>
      </c>
      <c r="O306">
        <f t="shared" si="19"/>
        <v>2047.4166666666667</v>
      </c>
    </row>
    <row r="307" spans="1:15" x14ac:dyDescent="0.2">
      <c r="A307" t="s">
        <v>19</v>
      </c>
      <c r="B307">
        <v>9</v>
      </c>
      <c r="C307">
        <v>34</v>
      </c>
      <c r="D307">
        <v>8</v>
      </c>
      <c r="E307">
        <v>12</v>
      </c>
      <c r="F307">
        <v>30</v>
      </c>
      <c r="G307">
        <v>2312503</v>
      </c>
      <c r="H307">
        <v>0</v>
      </c>
      <c r="I307">
        <v>1</v>
      </c>
      <c r="J307">
        <v>1</v>
      </c>
      <c r="K307">
        <v>0</v>
      </c>
      <c r="L307">
        <f t="shared" si="16"/>
        <v>31</v>
      </c>
      <c r="M307">
        <f t="shared" si="17"/>
        <v>372</v>
      </c>
      <c r="N307">
        <f t="shared" si="18"/>
        <v>364</v>
      </c>
      <c r="O307">
        <f t="shared" si="19"/>
        <v>2047.3333333333333</v>
      </c>
    </row>
    <row r="308" spans="1:15" x14ac:dyDescent="0.2">
      <c r="A308" t="s">
        <v>19</v>
      </c>
      <c r="B308">
        <v>9</v>
      </c>
      <c r="C308">
        <v>34</v>
      </c>
      <c r="D308">
        <v>8</v>
      </c>
      <c r="E308">
        <v>12</v>
      </c>
      <c r="F308">
        <v>32</v>
      </c>
      <c r="G308">
        <v>2312203</v>
      </c>
      <c r="H308">
        <v>1</v>
      </c>
      <c r="I308">
        <v>0</v>
      </c>
      <c r="J308">
        <v>1</v>
      </c>
      <c r="K308">
        <v>0</v>
      </c>
      <c r="L308">
        <f t="shared" si="16"/>
        <v>31</v>
      </c>
      <c r="M308">
        <f t="shared" si="17"/>
        <v>372</v>
      </c>
      <c r="N308">
        <f t="shared" si="18"/>
        <v>364</v>
      </c>
      <c r="O308">
        <f t="shared" si="19"/>
        <v>2047.3333333333333</v>
      </c>
    </row>
    <row r="309" spans="1:15" x14ac:dyDescent="0.2">
      <c r="A309" t="s">
        <v>19</v>
      </c>
      <c r="B309">
        <v>9</v>
      </c>
      <c r="C309">
        <v>34</v>
      </c>
      <c r="D309">
        <v>9</v>
      </c>
      <c r="E309">
        <v>12</v>
      </c>
      <c r="F309">
        <v>29</v>
      </c>
      <c r="G309">
        <v>2305601</v>
      </c>
      <c r="H309">
        <v>1</v>
      </c>
      <c r="I309">
        <v>0</v>
      </c>
      <c r="J309">
        <v>1</v>
      </c>
      <c r="K309">
        <v>0</v>
      </c>
      <c r="L309">
        <f t="shared" si="16"/>
        <v>31</v>
      </c>
      <c r="M309">
        <f t="shared" si="17"/>
        <v>372</v>
      </c>
      <c r="N309">
        <f t="shared" si="18"/>
        <v>363</v>
      </c>
      <c r="O309">
        <f t="shared" si="19"/>
        <v>2047.25</v>
      </c>
    </row>
    <row r="310" spans="1:15" x14ac:dyDescent="0.2">
      <c r="A310" t="s">
        <v>19</v>
      </c>
      <c r="B310">
        <v>9</v>
      </c>
      <c r="C310">
        <v>34</v>
      </c>
      <c r="D310">
        <v>10</v>
      </c>
      <c r="E310">
        <v>12</v>
      </c>
      <c r="F310">
        <v>34</v>
      </c>
      <c r="G310">
        <v>2293603</v>
      </c>
      <c r="H310">
        <v>1</v>
      </c>
      <c r="I310">
        <v>0</v>
      </c>
      <c r="J310">
        <v>1</v>
      </c>
      <c r="K310">
        <v>0</v>
      </c>
      <c r="L310">
        <f t="shared" si="16"/>
        <v>31</v>
      </c>
      <c r="M310">
        <f t="shared" si="17"/>
        <v>372</v>
      </c>
      <c r="N310">
        <f t="shared" si="18"/>
        <v>362</v>
      </c>
      <c r="O310">
        <f t="shared" si="19"/>
        <v>2047.1666666666667</v>
      </c>
    </row>
    <row r="311" spans="1:15" x14ac:dyDescent="0.2">
      <c r="A311" t="s">
        <v>19</v>
      </c>
      <c r="B311">
        <v>9</v>
      </c>
      <c r="C311">
        <v>34</v>
      </c>
      <c r="D311">
        <v>11</v>
      </c>
      <c r="E311">
        <v>4</v>
      </c>
      <c r="F311">
        <v>32</v>
      </c>
      <c r="G311">
        <v>2286101</v>
      </c>
      <c r="H311">
        <v>0</v>
      </c>
      <c r="I311">
        <v>1</v>
      </c>
      <c r="J311">
        <v>1</v>
      </c>
      <c r="K311">
        <v>0</v>
      </c>
      <c r="L311">
        <f t="shared" si="16"/>
        <v>31</v>
      </c>
      <c r="M311">
        <f t="shared" si="17"/>
        <v>372</v>
      </c>
      <c r="N311">
        <f t="shared" si="18"/>
        <v>361</v>
      </c>
      <c r="O311">
        <f t="shared" si="19"/>
        <v>2047.0833333333333</v>
      </c>
    </row>
    <row r="312" spans="1:15" x14ac:dyDescent="0.2">
      <c r="A312" t="s">
        <v>19</v>
      </c>
      <c r="B312">
        <v>9</v>
      </c>
      <c r="C312">
        <v>34</v>
      </c>
      <c r="D312">
        <v>12</v>
      </c>
      <c r="E312">
        <v>12</v>
      </c>
      <c r="F312">
        <v>33</v>
      </c>
      <c r="G312">
        <v>2282701</v>
      </c>
      <c r="H312">
        <v>0</v>
      </c>
      <c r="I312">
        <v>1</v>
      </c>
      <c r="J312">
        <v>1</v>
      </c>
      <c r="K312">
        <v>0</v>
      </c>
      <c r="L312">
        <f t="shared" si="16"/>
        <v>31</v>
      </c>
      <c r="M312">
        <f t="shared" si="17"/>
        <v>372</v>
      </c>
      <c r="N312">
        <f t="shared" si="18"/>
        <v>360</v>
      </c>
      <c r="O312">
        <f t="shared" si="19"/>
        <v>2047</v>
      </c>
    </row>
    <row r="313" spans="1:15" x14ac:dyDescent="0.2">
      <c r="A313" t="s">
        <v>19</v>
      </c>
      <c r="B313">
        <v>9</v>
      </c>
      <c r="C313">
        <v>34</v>
      </c>
      <c r="D313">
        <v>14</v>
      </c>
      <c r="E313">
        <v>2</v>
      </c>
      <c r="F313">
        <v>33</v>
      </c>
      <c r="G313">
        <v>2030802</v>
      </c>
      <c r="H313">
        <v>0</v>
      </c>
      <c r="I313">
        <v>1</v>
      </c>
      <c r="J313">
        <v>1</v>
      </c>
      <c r="K313">
        <v>0</v>
      </c>
      <c r="L313">
        <f t="shared" si="16"/>
        <v>31</v>
      </c>
      <c r="M313">
        <f t="shared" si="17"/>
        <v>372</v>
      </c>
      <c r="N313">
        <f t="shared" si="18"/>
        <v>358</v>
      </c>
      <c r="O313">
        <f t="shared" si="19"/>
        <v>2046.8333333333333</v>
      </c>
    </row>
    <row r="314" spans="1:15" x14ac:dyDescent="0.2">
      <c r="A314" t="s">
        <v>19</v>
      </c>
      <c r="B314">
        <v>9</v>
      </c>
      <c r="C314">
        <v>34</v>
      </c>
      <c r="D314">
        <v>14</v>
      </c>
      <c r="E314">
        <v>12</v>
      </c>
      <c r="F314">
        <v>32</v>
      </c>
      <c r="G314">
        <v>2255803</v>
      </c>
      <c r="H314">
        <v>0</v>
      </c>
      <c r="I314">
        <v>1</v>
      </c>
      <c r="J314">
        <v>1</v>
      </c>
      <c r="K314">
        <v>0</v>
      </c>
      <c r="L314">
        <f t="shared" si="16"/>
        <v>31</v>
      </c>
      <c r="M314">
        <f t="shared" si="17"/>
        <v>372</v>
      </c>
      <c r="N314">
        <f t="shared" si="18"/>
        <v>358</v>
      </c>
      <c r="O314">
        <f t="shared" si="19"/>
        <v>2046.8333333333333</v>
      </c>
    </row>
    <row r="315" spans="1:15" x14ac:dyDescent="0.2">
      <c r="A315" t="s">
        <v>19</v>
      </c>
      <c r="B315">
        <v>9</v>
      </c>
      <c r="C315">
        <v>34</v>
      </c>
      <c r="D315">
        <v>19</v>
      </c>
      <c r="E315">
        <v>1</v>
      </c>
      <c r="F315">
        <v>31</v>
      </c>
      <c r="G315">
        <v>2234701</v>
      </c>
      <c r="H315">
        <v>1</v>
      </c>
      <c r="I315">
        <v>0</v>
      </c>
      <c r="J315">
        <v>1</v>
      </c>
      <c r="K315">
        <v>0</v>
      </c>
      <c r="L315">
        <f t="shared" si="16"/>
        <v>31</v>
      </c>
      <c r="M315">
        <f t="shared" si="17"/>
        <v>372</v>
      </c>
      <c r="N315">
        <f t="shared" si="18"/>
        <v>353</v>
      </c>
      <c r="O315">
        <f t="shared" si="19"/>
        <v>2046.4166666666667</v>
      </c>
    </row>
    <row r="316" spans="1:15" x14ac:dyDescent="0.2">
      <c r="A316" t="s">
        <v>19</v>
      </c>
      <c r="B316">
        <v>9</v>
      </c>
      <c r="C316">
        <v>34</v>
      </c>
      <c r="D316">
        <v>24</v>
      </c>
      <c r="E316">
        <v>1</v>
      </c>
      <c r="F316">
        <v>33</v>
      </c>
      <c r="G316">
        <v>2207701</v>
      </c>
      <c r="H316">
        <v>0</v>
      </c>
      <c r="I316">
        <v>1</v>
      </c>
      <c r="J316">
        <v>1</v>
      </c>
      <c r="K316">
        <v>0</v>
      </c>
      <c r="L316">
        <f t="shared" si="16"/>
        <v>31</v>
      </c>
      <c r="M316">
        <f t="shared" si="17"/>
        <v>372</v>
      </c>
      <c r="N316">
        <f t="shared" si="18"/>
        <v>348</v>
      </c>
      <c r="O316">
        <f t="shared" si="19"/>
        <v>2046</v>
      </c>
    </row>
    <row r="317" spans="1:15" x14ac:dyDescent="0.2">
      <c r="A317" t="s">
        <v>19</v>
      </c>
      <c r="B317">
        <v>9</v>
      </c>
      <c r="C317">
        <v>34</v>
      </c>
      <c r="D317">
        <v>25</v>
      </c>
      <c r="E317">
        <v>1</v>
      </c>
      <c r="F317">
        <v>33</v>
      </c>
      <c r="G317">
        <v>2202301</v>
      </c>
      <c r="H317">
        <v>1</v>
      </c>
      <c r="I317">
        <v>0</v>
      </c>
      <c r="J317">
        <v>1</v>
      </c>
      <c r="K317">
        <v>0</v>
      </c>
      <c r="L317">
        <f t="shared" si="16"/>
        <v>31</v>
      </c>
      <c r="M317">
        <f t="shared" si="17"/>
        <v>372</v>
      </c>
      <c r="N317">
        <f t="shared" si="18"/>
        <v>347</v>
      </c>
      <c r="O317">
        <f t="shared" si="19"/>
        <v>2045.9166666666667</v>
      </c>
    </row>
    <row r="318" spans="1:15" x14ac:dyDescent="0.2">
      <c r="A318" t="s">
        <v>19</v>
      </c>
      <c r="B318">
        <v>9</v>
      </c>
      <c r="C318">
        <v>34</v>
      </c>
      <c r="D318">
        <v>26</v>
      </c>
      <c r="E318">
        <v>1</v>
      </c>
      <c r="F318">
        <v>32</v>
      </c>
      <c r="G318">
        <v>2197001</v>
      </c>
      <c r="H318">
        <v>0</v>
      </c>
      <c r="I318">
        <v>1</v>
      </c>
      <c r="J318">
        <v>1</v>
      </c>
      <c r="K318">
        <v>0</v>
      </c>
      <c r="L318">
        <f t="shared" si="16"/>
        <v>31</v>
      </c>
      <c r="M318">
        <f t="shared" si="17"/>
        <v>372</v>
      </c>
      <c r="N318">
        <f t="shared" si="18"/>
        <v>346</v>
      </c>
      <c r="O318">
        <f t="shared" si="19"/>
        <v>2045.8333333333333</v>
      </c>
    </row>
    <row r="319" spans="1:15" x14ac:dyDescent="0.2">
      <c r="A319" t="s">
        <v>19</v>
      </c>
      <c r="B319">
        <v>9</v>
      </c>
      <c r="C319">
        <v>34</v>
      </c>
      <c r="D319">
        <v>26</v>
      </c>
      <c r="E319">
        <v>12</v>
      </c>
      <c r="F319">
        <v>33</v>
      </c>
      <c r="G319">
        <v>2200701</v>
      </c>
      <c r="H319">
        <v>1</v>
      </c>
      <c r="I319">
        <v>0</v>
      </c>
      <c r="J319">
        <v>1</v>
      </c>
      <c r="K319">
        <v>0</v>
      </c>
      <c r="L319">
        <f t="shared" si="16"/>
        <v>31</v>
      </c>
      <c r="M319">
        <f t="shared" si="17"/>
        <v>372</v>
      </c>
      <c r="N319">
        <f t="shared" si="18"/>
        <v>346</v>
      </c>
      <c r="O319">
        <f t="shared" si="19"/>
        <v>2045.8333333333333</v>
      </c>
    </row>
    <row r="320" spans="1:15" x14ac:dyDescent="0.2">
      <c r="A320" t="s">
        <v>19</v>
      </c>
      <c r="B320">
        <v>9</v>
      </c>
      <c r="C320">
        <v>34</v>
      </c>
      <c r="D320">
        <v>29</v>
      </c>
      <c r="E320">
        <v>2</v>
      </c>
      <c r="F320">
        <v>29</v>
      </c>
      <c r="G320">
        <v>2186501</v>
      </c>
      <c r="H320">
        <v>0</v>
      </c>
      <c r="I320">
        <v>1</v>
      </c>
      <c r="J320">
        <v>1</v>
      </c>
      <c r="K320">
        <v>0</v>
      </c>
      <c r="L320">
        <f t="shared" si="16"/>
        <v>31</v>
      </c>
      <c r="M320">
        <f t="shared" si="17"/>
        <v>372</v>
      </c>
      <c r="N320">
        <f t="shared" si="18"/>
        <v>343</v>
      </c>
      <c r="O320">
        <f t="shared" si="19"/>
        <v>2045.5833333333333</v>
      </c>
    </row>
    <row r="321" spans="1:15" x14ac:dyDescent="0.2">
      <c r="A321" t="s">
        <v>19</v>
      </c>
      <c r="B321">
        <v>9</v>
      </c>
      <c r="C321">
        <v>34</v>
      </c>
      <c r="D321">
        <v>33</v>
      </c>
      <c r="E321">
        <v>4</v>
      </c>
      <c r="F321">
        <v>34</v>
      </c>
      <c r="G321">
        <v>2166301</v>
      </c>
      <c r="H321">
        <v>1</v>
      </c>
      <c r="I321">
        <v>0</v>
      </c>
      <c r="J321">
        <v>1</v>
      </c>
      <c r="K321">
        <v>0</v>
      </c>
      <c r="L321">
        <f t="shared" si="16"/>
        <v>31</v>
      </c>
      <c r="M321">
        <f t="shared" si="17"/>
        <v>372</v>
      </c>
      <c r="N321">
        <f t="shared" si="18"/>
        <v>339</v>
      </c>
      <c r="O321">
        <f t="shared" si="19"/>
        <v>2045.25</v>
      </c>
    </row>
    <row r="322" spans="1:15" x14ac:dyDescent="0.2">
      <c r="A322" t="s">
        <v>19</v>
      </c>
      <c r="B322">
        <v>9</v>
      </c>
      <c r="C322">
        <v>34</v>
      </c>
      <c r="D322">
        <v>34</v>
      </c>
      <c r="E322">
        <v>1</v>
      </c>
      <c r="F322">
        <v>29</v>
      </c>
      <c r="G322">
        <v>2160301</v>
      </c>
      <c r="H322">
        <v>0</v>
      </c>
      <c r="I322">
        <v>1</v>
      </c>
      <c r="J322">
        <v>1</v>
      </c>
      <c r="K322">
        <v>0</v>
      </c>
      <c r="L322">
        <f t="shared" si="16"/>
        <v>31</v>
      </c>
      <c r="M322">
        <f t="shared" si="17"/>
        <v>372</v>
      </c>
      <c r="N322">
        <f t="shared" si="18"/>
        <v>338</v>
      </c>
      <c r="O322">
        <f t="shared" si="19"/>
        <v>2045.1666666666667</v>
      </c>
    </row>
    <row r="323" spans="1:15" x14ac:dyDescent="0.2">
      <c r="A323" t="s">
        <v>19</v>
      </c>
      <c r="B323">
        <v>9</v>
      </c>
      <c r="C323">
        <v>34</v>
      </c>
      <c r="D323">
        <v>39</v>
      </c>
      <c r="E323">
        <v>4</v>
      </c>
      <c r="F323">
        <v>27</v>
      </c>
      <c r="G323">
        <v>2133101</v>
      </c>
      <c r="H323">
        <v>0</v>
      </c>
      <c r="I323">
        <v>1</v>
      </c>
      <c r="J323">
        <v>1</v>
      </c>
      <c r="K323">
        <v>0</v>
      </c>
      <c r="L323">
        <f t="shared" si="16"/>
        <v>31</v>
      </c>
      <c r="M323">
        <f t="shared" si="17"/>
        <v>372</v>
      </c>
      <c r="N323">
        <f t="shared" si="18"/>
        <v>333</v>
      </c>
      <c r="O323">
        <f t="shared" si="19"/>
        <v>2044.75</v>
      </c>
    </row>
    <row r="324" spans="1:15" x14ac:dyDescent="0.2">
      <c r="A324" t="s">
        <v>19</v>
      </c>
      <c r="B324">
        <v>9</v>
      </c>
      <c r="C324">
        <v>34</v>
      </c>
      <c r="D324">
        <v>41</v>
      </c>
      <c r="E324">
        <v>4</v>
      </c>
      <c r="F324">
        <v>26</v>
      </c>
      <c r="G324">
        <v>2123901</v>
      </c>
      <c r="H324">
        <v>0</v>
      </c>
      <c r="I324">
        <v>1</v>
      </c>
      <c r="J324">
        <v>1</v>
      </c>
      <c r="K324">
        <v>0</v>
      </c>
      <c r="L324">
        <f t="shared" si="16"/>
        <v>31</v>
      </c>
      <c r="M324">
        <f t="shared" si="17"/>
        <v>372</v>
      </c>
      <c r="N324">
        <f t="shared" si="18"/>
        <v>331</v>
      </c>
      <c r="O324">
        <f t="shared" si="19"/>
        <v>2044.5833333333333</v>
      </c>
    </row>
    <row r="325" spans="1:15" x14ac:dyDescent="0.2">
      <c r="A325" t="s">
        <v>19</v>
      </c>
      <c r="B325">
        <v>9</v>
      </c>
      <c r="C325">
        <v>34</v>
      </c>
      <c r="D325">
        <v>43</v>
      </c>
      <c r="E325">
        <v>1</v>
      </c>
      <c r="F325">
        <v>28</v>
      </c>
      <c r="G325">
        <v>2115201</v>
      </c>
      <c r="H325">
        <v>0</v>
      </c>
      <c r="I325">
        <v>1</v>
      </c>
      <c r="J325">
        <v>1</v>
      </c>
      <c r="K325">
        <v>0</v>
      </c>
      <c r="L325">
        <f t="shared" si="16"/>
        <v>31</v>
      </c>
      <c r="M325">
        <f t="shared" si="17"/>
        <v>372</v>
      </c>
      <c r="N325">
        <f t="shared" si="18"/>
        <v>329</v>
      </c>
      <c r="O325">
        <f t="shared" si="19"/>
        <v>2044.4166666666667</v>
      </c>
    </row>
    <row r="326" spans="1:15" x14ac:dyDescent="0.2">
      <c r="A326" t="s">
        <v>19</v>
      </c>
      <c r="B326">
        <v>9</v>
      </c>
      <c r="C326">
        <v>34</v>
      </c>
      <c r="D326">
        <v>44</v>
      </c>
      <c r="E326">
        <v>1</v>
      </c>
      <c r="F326">
        <v>32</v>
      </c>
      <c r="G326">
        <v>2108501</v>
      </c>
      <c r="H326">
        <v>0</v>
      </c>
      <c r="I326">
        <v>1</v>
      </c>
      <c r="J326">
        <v>1</v>
      </c>
      <c r="K326">
        <v>0</v>
      </c>
      <c r="L326">
        <f t="shared" si="16"/>
        <v>31</v>
      </c>
      <c r="M326">
        <f t="shared" si="17"/>
        <v>372</v>
      </c>
      <c r="N326">
        <f t="shared" si="18"/>
        <v>328</v>
      </c>
      <c r="O326">
        <f t="shared" si="19"/>
        <v>2044.3333333333333</v>
      </c>
    </row>
    <row r="327" spans="1:15" x14ac:dyDescent="0.2">
      <c r="A327" t="s">
        <v>19</v>
      </c>
      <c r="B327">
        <v>9</v>
      </c>
      <c r="C327">
        <v>34</v>
      </c>
      <c r="D327">
        <v>49</v>
      </c>
      <c r="E327">
        <v>12</v>
      </c>
      <c r="F327">
        <v>29</v>
      </c>
      <c r="G327">
        <v>2087502</v>
      </c>
      <c r="H327">
        <v>0</v>
      </c>
      <c r="I327">
        <v>1</v>
      </c>
      <c r="J327">
        <v>1</v>
      </c>
      <c r="K327">
        <v>0</v>
      </c>
      <c r="L327">
        <f t="shared" ref="L327:L390" si="20">65-C327</f>
        <v>31</v>
      </c>
      <c r="M327">
        <f t="shared" ref="M327:M390" si="21">L327*12</f>
        <v>372</v>
      </c>
      <c r="N327">
        <f t="shared" ref="N327:N390" si="22">M327-D327</f>
        <v>323</v>
      </c>
      <c r="O327">
        <f t="shared" ref="O327:O390" si="23">2017+N327/12</f>
        <v>2043.9166666666667</v>
      </c>
    </row>
    <row r="328" spans="1:15" x14ac:dyDescent="0.2">
      <c r="A328" t="s">
        <v>19</v>
      </c>
      <c r="B328">
        <v>9</v>
      </c>
      <c r="C328">
        <v>34</v>
      </c>
      <c r="D328">
        <v>50</v>
      </c>
      <c r="E328">
        <v>12</v>
      </c>
      <c r="F328">
        <v>30</v>
      </c>
      <c r="G328">
        <v>1740203</v>
      </c>
      <c r="H328">
        <v>0</v>
      </c>
      <c r="I328">
        <v>1</v>
      </c>
      <c r="J328">
        <v>1</v>
      </c>
      <c r="K328">
        <v>0</v>
      </c>
      <c r="L328">
        <f t="shared" si="20"/>
        <v>31</v>
      </c>
      <c r="M328">
        <f t="shared" si="21"/>
        <v>372</v>
      </c>
      <c r="N328">
        <f t="shared" si="22"/>
        <v>322</v>
      </c>
      <c r="O328">
        <f t="shared" si="23"/>
        <v>2043.8333333333333</v>
      </c>
    </row>
    <row r="329" spans="1:15" x14ac:dyDescent="0.2">
      <c r="A329" t="s">
        <v>19</v>
      </c>
      <c r="B329">
        <v>9</v>
      </c>
      <c r="C329">
        <v>34</v>
      </c>
      <c r="D329">
        <v>56</v>
      </c>
      <c r="E329">
        <v>2</v>
      </c>
      <c r="F329">
        <v>32</v>
      </c>
      <c r="G329">
        <v>2045001</v>
      </c>
      <c r="H329">
        <v>0</v>
      </c>
      <c r="I329">
        <v>1</v>
      </c>
      <c r="J329">
        <v>1</v>
      </c>
      <c r="K329">
        <v>0</v>
      </c>
      <c r="L329">
        <f t="shared" si="20"/>
        <v>31</v>
      </c>
      <c r="M329">
        <f t="shared" si="21"/>
        <v>372</v>
      </c>
      <c r="N329">
        <f t="shared" si="22"/>
        <v>316</v>
      </c>
      <c r="O329">
        <f t="shared" si="23"/>
        <v>2043.3333333333333</v>
      </c>
    </row>
    <row r="330" spans="1:15" x14ac:dyDescent="0.2">
      <c r="A330" t="s">
        <v>19</v>
      </c>
      <c r="B330">
        <v>9</v>
      </c>
      <c r="C330">
        <v>34</v>
      </c>
      <c r="D330">
        <v>73</v>
      </c>
      <c r="E330">
        <v>1</v>
      </c>
      <c r="F330">
        <v>31</v>
      </c>
      <c r="G330">
        <v>1985601</v>
      </c>
      <c r="H330">
        <v>0</v>
      </c>
      <c r="I330">
        <v>1</v>
      </c>
      <c r="J330">
        <v>1</v>
      </c>
      <c r="K330">
        <v>0</v>
      </c>
      <c r="L330">
        <f t="shared" si="20"/>
        <v>31</v>
      </c>
      <c r="M330">
        <f t="shared" si="21"/>
        <v>372</v>
      </c>
      <c r="N330">
        <f t="shared" si="22"/>
        <v>299</v>
      </c>
      <c r="O330">
        <f t="shared" si="23"/>
        <v>2041.9166666666667</v>
      </c>
    </row>
    <row r="331" spans="1:15" x14ac:dyDescent="0.2">
      <c r="A331" t="s">
        <v>19</v>
      </c>
      <c r="B331">
        <v>9</v>
      </c>
      <c r="C331">
        <v>34</v>
      </c>
      <c r="D331">
        <v>97</v>
      </c>
      <c r="E331">
        <v>1</v>
      </c>
      <c r="F331">
        <v>33</v>
      </c>
      <c r="G331">
        <v>1863401</v>
      </c>
      <c r="H331">
        <v>0</v>
      </c>
      <c r="I331">
        <v>1</v>
      </c>
      <c r="J331">
        <v>1</v>
      </c>
      <c r="K331">
        <v>0</v>
      </c>
      <c r="L331">
        <f t="shared" si="20"/>
        <v>31</v>
      </c>
      <c r="M331">
        <f t="shared" si="21"/>
        <v>372</v>
      </c>
      <c r="N331">
        <f t="shared" si="22"/>
        <v>275</v>
      </c>
      <c r="O331">
        <f t="shared" si="23"/>
        <v>2039.9166666666667</v>
      </c>
    </row>
    <row r="332" spans="1:15" x14ac:dyDescent="0.2">
      <c r="A332" t="s">
        <v>19</v>
      </c>
      <c r="B332">
        <v>9</v>
      </c>
      <c r="C332">
        <v>34</v>
      </c>
      <c r="D332">
        <v>99</v>
      </c>
      <c r="E332">
        <v>1</v>
      </c>
      <c r="F332">
        <v>30</v>
      </c>
      <c r="G332">
        <v>1846801</v>
      </c>
      <c r="H332">
        <v>1</v>
      </c>
      <c r="I332">
        <v>0</v>
      </c>
      <c r="J332">
        <v>1</v>
      </c>
      <c r="K332">
        <v>0</v>
      </c>
      <c r="L332">
        <f t="shared" si="20"/>
        <v>31</v>
      </c>
      <c r="M332">
        <f t="shared" si="21"/>
        <v>372</v>
      </c>
      <c r="N332">
        <f t="shared" si="22"/>
        <v>273</v>
      </c>
      <c r="O332">
        <f t="shared" si="23"/>
        <v>2039.75</v>
      </c>
    </row>
    <row r="333" spans="1:15" x14ac:dyDescent="0.2">
      <c r="A333" t="s">
        <v>19</v>
      </c>
      <c r="B333">
        <v>9</v>
      </c>
      <c r="C333">
        <v>34</v>
      </c>
      <c r="D333">
        <v>109</v>
      </c>
      <c r="E333">
        <v>1</v>
      </c>
      <c r="F333">
        <v>31</v>
      </c>
      <c r="G333">
        <v>1742401</v>
      </c>
      <c r="H333">
        <v>0</v>
      </c>
      <c r="I333">
        <v>1</v>
      </c>
      <c r="J333">
        <v>1</v>
      </c>
      <c r="K333">
        <v>0</v>
      </c>
      <c r="L333">
        <f t="shared" si="20"/>
        <v>31</v>
      </c>
      <c r="M333">
        <f t="shared" si="21"/>
        <v>372</v>
      </c>
      <c r="N333">
        <f t="shared" si="22"/>
        <v>263</v>
      </c>
      <c r="O333">
        <f t="shared" si="23"/>
        <v>2038.9166666666667</v>
      </c>
    </row>
    <row r="334" spans="1:15" x14ac:dyDescent="0.2">
      <c r="A334" t="s">
        <v>19</v>
      </c>
      <c r="B334">
        <v>9</v>
      </c>
      <c r="C334">
        <v>34</v>
      </c>
      <c r="D334">
        <v>109</v>
      </c>
      <c r="E334">
        <v>1</v>
      </c>
      <c r="F334">
        <v>32</v>
      </c>
      <c r="G334">
        <v>763602</v>
      </c>
      <c r="H334">
        <v>0</v>
      </c>
      <c r="I334">
        <v>1</v>
      </c>
      <c r="J334">
        <v>1</v>
      </c>
      <c r="K334">
        <v>0</v>
      </c>
      <c r="L334">
        <f t="shared" si="20"/>
        <v>31</v>
      </c>
      <c r="M334">
        <f t="shared" si="21"/>
        <v>372</v>
      </c>
      <c r="N334">
        <f t="shared" si="22"/>
        <v>263</v>
      </c>
      <c r="O334">
        <f t="shared" si="23"/>
        <v>2038.9166666666667</v>
      </c>
    </row>
    <row r="335" spans="1:15" x14ac:dyDescent="0.2">
      <c r="A335" t="s">
        <v>19</v>
      </c>
      <c r="B335">
        <v>9</v>
      </c>
      <c r="C335">
        <v>34</v>
      </c>
      <c r="D335">
        <v>130</v>
      </c>
      <c r="E335">
        <v>2</v>
      </c>
      <c r="F335">
        <v>30</v>
      </c>
      <c r="G335">
        <v>1600501</v>
      </c>
      <c r="H335">
        <v>0</v>
      </c>
      <c r="I335">
        <v>1</v>
      </c>
      <c r="J335">
        <v>1</v>
      </c>
      <c r="K335">
        <v>0</v>
      </c>
      <c r="L335">
        <f t="shared" si="20"/>
        <v>31</v>
      </c>
      <c r="M335">
        <f t="shared" si="21"/>
        <v>372</v>
      </c>
      <c r="N335">
        <f t="shared" si="22"/>
        <v>242</v>
      </c>
      <c r="O335">
        <f t="shared" si="23"/>
        <v>2037.1666666666667</v>
      </c>
    </row>
    <row r="336" spans="1:15" x14ac:dyDescent="0.2">
      <c r="A336" t="s">
        <v>19</v>
      </c>
      <c r="B336">
        <v>9</v>
      </c>
      <c r="C336">
        <v>34</v>
      </c>
      <c r="D336">
        <v>133</v>
      </c>
      <c r="E336">
        <v>1</v>
      </c>
      <c r="F336">
        <v>33</v>
      </c>
      <c r="G336">
        <v>1147501</v>
      </c>
      <c r="H336">
        <v>0</v>
      </c>
      <c r="I336">
        <v>1</v>
      </c>
      <c r="J336">
        <v>1</v>
      </c>
      <c r="K336">
        <v>0</v>
      </c>
      <c r="L336">
        <f t="shared" si="20"/>
        <v>31</v>
      </c>
      <c r="M336">
        <f t="shared" si="21"/>
        <v>372</v>
      </c>
      <c r="N336">
        <f t="shared" si="22"/>
        <v>239</v>
      </c>
      <c r="O336">
        <f t="shared" si="23"/>
        <v>2036.9166666666667</v>
      </c>
    </row>
    <row r="337" spans="1:15" x14ac:dyDescent="0.2">
      <c r="A337" t="s">
        <v>19</v>
      </c>
      <c r="B337">
        <v>9</v>
      </c>
      <c r="C337">
        <v>34</v>
      </c>
      <c r="D337">
        <v>156</v>
      </c>
      <c r="E337">
        <v>1</v>
      </c>
      <c r="F337">
        <v>29</v>
      </c>
      <c r="G337">
        <v>991101</v>
      </c>
      <c r="H337">
        <v>0</v>
      </c>
      <c r="I337">
        <v>1</v>
      </c>
      <c r="J337">
        <v>1</v>
      </c>
      <c r="K337">
        <v>0</v>
      </c>
      <c r="L337">
        <f t="shared" si="20"/>
        <v>31</v>
      </c>
      <c r="M337">
        <f t="shared" si="21"/>
        <v>372</v>
      </c>
      <c r="N337">
        <f t="shared" si="22"/>
        <v>216</v>
      </c>
      <c r="O337">
        <f t="shared" si="23"/>
        <v>2035</v>
      </c>
    </row>
    <row r="338" spans="1:15" x14ac:dyDescent="0.2">
      <c r="A338" t="s">
        <v>19</v>
      </c>
      <c r="B338">
        <v>9</v>
      </c>
      <c r="C338">
        <v>34</v>
      </c>
      <c r="D338">
        <v>189</v>
      </c>
      <c r="E338">
        <v>12</v>
      </c>
      <c r="F338">
        <v>30</v>
      </c>
      <c r="G338">
        <v>872202</v>
      </c>
      <c r="H338">
        <v>0</v>
      </c>
      <c r="I338">
        <v>1</v>
      </c>
      <c r="J338">
        <v>1</v>
      </c>
      <c r="K338">
        <v>0</v>
      </c>
      <c r="L338">
        <f t="shared" si="20"/>
        <v>31</v>
      </c>
      <c r="M338">
        <f t="shared" si="21"/>
        <v>372</v>
      </c>
      <c r="N338">
        <f t="shared" si="22"/>
        <v>183</v>
      </c>
      <c r="O338">
        <f t="shared" si="23"/>
        <v>2032.25</v>
      </c>
    </row>
    <row r="339" spans="1:15" x14ac:dyDescent="0.2">
      <c r="A339" t="s">
        <v>19</v>
      </c>
      <c r="B339">
        <v>9</v>
      </c>
      <c r="C339">
        <v>34</v>
      </c>
      <c r="D339">
        <v>190</v>
      </c>
      <c r="E339">
        <v>1</v>
      </c>
      <c r="F339">
        <v>29</v>
      </c>
      <c r="G339">
        <v>862101</v>
      </c>
      <c r="H339">
        <v>0</v>
      </c>
      <c r="I339">
        <v>1</v>
      </c>
      <c r="J339">
        <v>1</v>
      </c>
      <c r="K339">
        <v>0</v>
      </c>
      <c r="L339">
        <f t="shared" si="20"/>
        <v>31</v>
      </c>
      <c r="M339">
        <f t="shared" si="21"/>
        <v>372</v>
      </c>
      <c r="N339">
        <f t="shared" si="22"/>
        <v>182</v>
      </c>
      <c r="O339">
        <f t="shared" si="23"/>
        <v>2032.1666666666667</v>
      </c>
    </row>
    <row r="340" spans="1:15" x14ac:dyDescent="0.2">
      <c r="A340" t="s">
        <v>19</v>
      </c>
      <c r="B340">
        <v>9</v>
      </c>
      <c r="C340">
        <v>34</v>
      </c>
      <c r="D340">
        <v>190</v>
      </c>
      <c r="E340">
        <v>12</v>
      </c>
      <c r="F340">
        <v>32</v>
      </c>
      <c r="G340">
        <v>861802</v>
      </c>
      <c r="H340">
        <v>0</v>
      </c>
      <c r="I340">
        <v>1</v>
      </c>
      <c r="J340">
        <v>1</v>
      </c>
      <c r="K340">
        <v>0</v>
      </c>
      <c r="L340">
        <f t="shared" si="20"/>
        <v>31</v>
      </c>
      <c r="M340">
        <f t="shared" si="21"/>
        <v>372</v>
      </c>
      <c r="N340">
        <f t="shared" si="22"/>
        <v>182</v>
      </c>
      <c r="O340">
        <f t="shared" si="23"/>
        <v>2032.1666666666667</v>
      </c>
    </row>
    <row r="341" spans="1:15" x14ac:dyDescent="0.2">
      <c r="A341" t="s">
        <v>19</v>
      </c>
      <c r="B341">
        <v>9</v>
      </c>
      <c r="C341">
        <v>34</v>
      </c>
      <c r="D341">
        <v>198</v>
      </c>
      <c r="E341">
        <v>1</v>
      </c>
      <c r="F341">
        <v>32</v>
      </c>
      <c r="G341">
        <v>293303</v>
      </c>
      <c r="H341">
        <v>0</v>
      </c>
      <c r="I341">
        <v>1</v>
      </c>
      <c r="J341">
        <v>1</v>
      </c>
      <c r="K341">
        <v>0</v>
      </c>
      <c r="L341">
        <f t="shared" si="20"/>
        <v>31</v>
      </c>
      <c r="M341">
        <f t="shared" si="21"/>
        <v>372</v>
      </c>
      <c r="N341">
        <f t="shared" si="22"/>
        <v>174</v>
      </c>
      <c r="O341">
        <f t="shared" si="23"/>
        <v>2031.5</v>
      </c>
    </row>
    <row r="342" spans="1:15" x14ac:dyDescent="0.2">
      <c r="A342" t="s">
        <v>19</v>
      </c>
      <c r="B342">
        <v>9</v>
      </c>
      <c r="C342">
        <v>34</v>
      </c>
      <c r="D342">
        <v>199</v>
      </c>
      <c r="E342">
        <v>12</v>
      </c>
      <c r="F342">
        <v>29</v>
      </c>
      <c r="G342">
        <v>811402</v>
      </c>
      <c r="H342">
        <v>0</v>
      </c>
      <c r="I342">
        <v>1</v>
      </c>
      <c r="J342">
        <v>1</v>
      </c>
      <c r="K342">
        <v>0</v>
      </c>
      <c r="L342">
        <f t="shared" si="20"/>
        <v>31</v>
      </c>
      <c r="M342">
        <f t="shared" si="21"/>
        <v>372</v>
      </c>
      <c r="N342">
        <f t="shared" si="22"/>
        <v>173</v>
      </c>
      <c r="O342">
        <f t="shared" si="23"/>
        <v>2031.4166666666667</v>
      </c>
    </row>
    <row r="343" spans="1:15" x14ac:dyDescent="0.2">
      <c r="A343" t="s">
        <v>19</v>
      </c>
      <c r="B343">
        <v>9</v>
      </c>
      <c r="C343">
        <v>34</v>
      </c>
      <c r="D343">
        <v>200</v>
      </c>
      <c r="E343">
        <v>1</v>
      </c>
      <c r="F343">
        <v>31</v>
      </c>
      <c r="G343">
        <v>796501</v>
      </c>
      <c r="H343">
        <v>0</v>
      </c>
      <c r="I343">
        <v>1</v>
      </c>
      <c r="J343">
        <v>1</v>
      </c>
      <c r="K343">
        <v>0</v>
      </c>
      <c r="L343">
        <f t="shared" si="20"/>
        <v>31</v>
      </c>
      <c r="M343">
        <f t="shared" si="21"/>
        <v>372</v>
      </c>
      <c r="N343">
        <f t="shared" si="22"/>
        <v>172</v>
      </c>
      <c r="O343">
        <f t="shared" si="23"/>
        <v>2031.3333333333333</v>
      </c>
    </row>
    <row r="344" spans="1:15" x14ac:dyDescent="0.2">
      <c r="A344" t="s">
        <v>19</v>
      </c>
      <c r="B344">
        <v>9</v>
      </c>
      <c r="C344">
        <v>34</v>
      </c>
      <c r="D344">
        <v>200</v>
      </c>
      <c r="E344">
        <v>12</v>
      </c>
      <c r="F344">
        <v>30</v>
      </c>
      <c r="G344">
        <v>797402</v>
      </c>
      <c r="H344">
        <v>0</v>
      </c>
      <c r="I344">
        <v>1</v>
      </c>
      <c r="J344">
        <v>1</v>
      </c>
      <c r="K344">
        <v>0</v>
      </c>
      <c r="L344">
        <f t="shared" si="20"/>
        <v>31</v>
      </c>
      <c r="M344">
        <f t="shared" si="21"/>
        <v>372</v>
      </c>
      <c r="N344">
        <f t="shared" si="22"/>
        <v>172</v>
      </c>
      <c r="O344">
        <f t="shared" si="23"/>
        <v>2031.3333333333333</v>
      </c>
    </row>
    <row r="345" spans="1:15" x14ac:dyDescent="0.2">
      <c r="A345" t="s">
        <v>19</v>
      </c>
      <c r="B345">
        <v>9</v>
      </c>
      <c r="C345">
        <v>34</v>
      </c>
      <c r="D345">
        <v>201</v>
      </c>
      <c r="E345">
        <v>1</v>
      </c>
      <c r="F345">
        <v>29</v>
      </c>
      <c r="G345">
        <v>777002</v>
      </c>
      <c r="H345">
        <v>0</v>
      </c>
      <c r="I345">
        <v>1</v>
      </c>
      <c r="J345">
        <v>1</v>
      </c>
      <c r="K345">
        <v>0</v>
      </c>
      <c r="L345">
        <f t="shared" si="20"/>
        <v>31</v>
      </c>
      <c r="M345">
        <f t="shared" si="21"/>
        <v>372</v>
      </c>
      <c r="N345">
        <f t="shared" si="22"/>
        <v>171</v>
      </c>
      <c r="O345">
        <f t="shared" si="23"/>
        <v>2031.25</v>
      </c>
    </row>
    <row r="346" spans="1:15" x14ac:dyDescent="0.2">
      <c r="A346" t="s">
        <v>19</v>
      </c>
      <c r="B346">
        <v>9</v>
      </c>
      <c r="C346">
        <v>34</v>
      </c>
      <c r="D346">
        <v>201</v>
      </c>
      <c r="E346">
        <v>1</v>
      </c>
      <c r="F346">
        <v>31</v>
      </c>
      <c r="G346">
        <v>107403</v>
      </c>
      <c r="H346">
        <v>0</v>
      </c>
      <c r="I346">
        <v>1</v>
      </c>
      <c r="J346">
        <v>1</v>
      </c>
      <c r="K346">
        <v>0</v>
      </c>
      <c r="L346">
        <f t="shared" si="20"/>
        <v>31</v>
      </c>
      <c r="M346">
        <f t="shared" si="21"/>
        <v>372</v>
      </c>
      <c r="N346">
        <f t="shared" si="22"/>
        <v>171</v>
      </c>
      <c r="O346">
        <f t="shared" si="23"/>
        <v>2031.25</v>
      </c>
    </row>
    <row r="347" spans="1:15" x14ac:dyDescent="0.2">
      <c r="A347" t="s">
        <v>19</v>
      </c>
      <c r="B347">
        <v>9</v>
      </c>
      <c r="C347">
        <v>34</v>
      </c>
      <c r="D347">
        <v>205</v>
      </c>
      <c r="E347">
        <v>1</v>
      </c>
      <c r="F347">
        <v>30</v>
      </c>
      <c r="G347">
        <v>730301</v>
      </c>
      <c r="H347">
        <v>0</v>
      </c>
      <c r="I347">
        <v>1</v>
      </c>
      <c r="J347">
        <v>1</v>
      </c>
      <c r="K347">
        <v>0</v>
      </c>
      <c r="L347">
        <f t="shared" si="20"/>
        <v>31</v>
      </c>
      <c r="M347">
        <f t="shared" si="21"/>
        <v>372</v>
      </c>
      <c r="N347">
        <f t="shared" si="22"/>
        <v>167</v>
      </c>
      <c r="O347">
        <f t="shared" si="23"/>
        <v>2030.9166666666667</v>
      </c>
    </row>
    <row r="348" spans="1:15" x14ac:dyDescent="0.2">
      <c r="A348" t="s">
        <v>19</v>
      </c>
      <c r="B348">
        <v>9</v>
      </c>
      <c r="C348">
        <v>34</v>
      </c>
      <c r="D348">
        <v>205</v>
      </c>
      <c r="E348">
        <v>12</v>
      </c>
      <c r="F348">
        <v>34</v>
      </c>
      <c r="G348">
        <v>720901</v>
      </c>
      <c r="H348">
        <v>1</v>
      </c>
      <c r="I348">
        <v>0</v>
      </c>
      <c r="J348">
        <v>1</v>
      </c>
      <c r="K348">
        <v>0</v>
      </c>
      <c r="L348">
        <f t="shared" si="20"/>
        <v>31</v>
      </c>
      <c r="M348">
        <f t="shared" si="21"/>
        <v>372</v>
      </c>
      <c r="N348">
        <f t="shared" si="22"/>
        <v>167</v>
      </c>
      <c r="O348">
        <f t="shared" si="23"/>
        <v>2030.9166666666667</v>
      </c>
    </row>
    <row r="349" spans="1:15" x14ac:dyDescent="0.2">
      <c r="A349" t="s">
        <v>19</v>
      </c>
      <c r="B349">
        <v>9</v>
      </c>
      <c r="C349">
        <v>34</v>
      </c>
      <c r="D349">
        <v>208</v>
      </c>
      <c r="E349">
        <v>1</v>
      </c>
      <c r="F349">
        <v>24</v>
      </c>
      <c r="G349">
        <v>672903</v>
      </c>
      <c r="H349">
        <v>0</v>
      </c>
      <c r="I349">
        <v>1</v>
      </c>
      <c r="J349">
        <v>1</v>
      </c>
      <c r="K349">
        <v>0</v>
      </c>
      <c r="L349">
        <f t="shared" si="20"/>
        <v>31</v>
      </c>
      <c r="M349">
        <f t="shared" si="21"/>
        <v>372</v>
      </c>
      <c r="N349">
        <f t="shared" si="22"/>
        <v>164</v>
      </c>
      <c r="O349">
        <f t="shared" si="23"/>
        <v>2030.6666666666667</v>
      </c>
    </row>
    <row r="350" spans="1:15" x14ac:dyDescent="0.2">
      <c r="A350" t="s">
        <v>19</v>
      </c>
      <c r="B350">
        <v>9</v>
      </c>
      <c r="C350">
        <v>34</v>
      </c>
      <c r="D350">
        <v>216</v>
      </c>
      <c r="E350">
        <v>1</v>
      </c>
      <c r="F350">
        <v>30</v>
      </c>
      <c r="G350">
        <v>511901</v>
      </c>
      <c r="H350">
        <v>0</v>
      </c>
      <c r="I350">
        <v>1</v>
      </c>
      <c r="J350">
        <v>1</v>
      </c>
      <c r="K350">
        <v>0</v>
      </c>
      <c r="L350">
        <f t="shared" si="20"/>
        <v>31</v>
      </c>
      <c r="M350">
        <f t="shared" si="21"/>
        <v>372</v>
      </c>
      <c r="N350">
        <f t="shared" si="22"/>
        <v>156</v>
      </c>
      <c r="O350">
        <f t="shared" si="23"/>
        <v>2030</v>
      </c>
    </row>
    <row r="351" spans="1:15" x14ac:dyDescent="0.2">
      <c r="A351" t="s">
        <v>19</v>
      </c>
      <c r="B351">
        <v>9</v>
      </c>
      <c r="C351">
        <v>34</v>
      </c>
      <c r="D351">
        <v>228</v>
      </c>
      <c r="E351">
        <v>1</v>
      </c>
      <c r="F351">
        <v>25</v>
      </c>
      <c r="G351">
        <v>237201</v>
      </c>
      <c r="H351">
        <v>0</v>
      </c>
      <c r="I351">
        <v>1</v>
      </c>
      <c r="J351">
        <v>1</v>
      </c>
      <c r="K351">
        <v>0</v>
      </c>
      <c r="L351">
        <f t="shared" si="20"/>
        <v>31</v>
      </c>
      <c r="M351">
        <f t="shared" si="21"/>
        <v>372</v>
      </c>
      <c r="N351">
        <f t="shared" si="22"/>
        <v>144</v>
      </c>
      <c r="O351">
        <f t="shared" si="23"/>
        <v>2029</v>
      </c>
    </row>
    <row r="352" spans="1:15" x14ac:dyDescent="0.2">
      <c r="A352" t="s">
        <v>19</v>
      </c>
      <c r="B352">
        <v>9</v>
      </c>
      <c r="C352">
        <v>34</v>
      </c>
      <c r="D352">
        <v>228</v>
      </c>
      <c r="E352">
        <v>1</v>
      </c>
      <c r="F352">
        <v>32</v>
      </c>
      <c r="G352">
        <v>224601</v>
      </c>
      <c r="H352">
        <v>0</v>
      </c>
      <c r="I352">
        <v>1</v>
      </c>
      <c r="J352">
        <v>1</v>
      </c>
      <c r="K352">
        <v>0</v>
      </c>
      <c r="L352">
        <f t="shared" si="20"/>
        <v>31</v>
      </c>
      <c r="M352">
        <f t="shared" si="21"/>
        <v>372</v>
      </c>
      <c r="N352">
        <f t="shared" si="22"/>
        <v>144</v>
      </c>
      <c r="O352">
        <f t="shared" si="23"/>
        <v>2029</v>
      </c>
    </row>
    <row r="353" spans="1:15" x14ac:dyDescent="0.2">
      <c r="A353" t="s">
        <v>19</v>
      </c>
      <c r="B353">
        <v>9</v>
      </c>
      <c r="C353">
        <v>34</v>
      </c>
      <c r="D353">
        <v>235</v>
      </c>
      <c r="E353">
        <v>12</v>
      </c>
      <c r="F353">
        <v>34</v>
      </c>
      <c r="G353">
        <v>117302</v>
      </c>
      <c r="H353">
        <v>1</v>
      </c>
      <c r="I353">
        <v>0</v>
      </c>
      <c r="J353">
        <v>1</v>
      </c>
      <c r="K353">
        <v>0</v>
      </c>
      <c r="L353">
        <f t="shared" si="20"/>
        <v>31</v>
      </c>
      <c r="M353">
        <f t="shared" si="21"/>
        <v>372</v>
      </c>
      <c r="N353">
        <f t="shared" si="22"/>
        <v>137</v>
      </c>
      <c r="O353">
        <f t="shared" si="23"/>
        <v>2028.4166666666667</v>
      </c>
    </row>
    <row r="354" spans="1:15" x14ac:dyDescent="0.2">
      <c r="A354" t="s">
        <v>19</v>
      </c>
      <c r="B354">
        <v>9</v>
      </c>
      <c r="C354">
        <v>34</v>
      </c>
      <c r="D354">
        <v>238</v>
      </c>
      <c r="E354">
        <v>1</v>
      </c>
      <c r="F354">
        <v>32</v>
      </c>
      <c r="G354">
        <v>97001</v>
      </c>
      <c r="H354">
        <v>0</v>
      </c>
      <c r="I354">
        <v>1</v>
      </c>
      <c r="J354">
        <v>1</v>
      </c>
      <c r="K354">
        <v>0</v>
      </c>
      <c r="L354">
        <f t="shared" si="20"/>
        <v>31</v>
      </c>
      <c r="M354">
        <f t="shared" si="21"/>
        <v>372</v>
      </c>
      <c r="N354">
        <f t="shared" si="22"/>
        <v>134</v>
      </c>
      <c r="O354">
        <f t="shared" si="23"/>
        <v>2028.1666666666667</v>
      </c>
    </row>
    <row r="355" spans="1:15" x14ac:dyDescent="0.2">
      <c r="A355" t="s">
        <v>19</v>
      </c>
      <c r="B355">
        <v>9</v>
      </c>
      <c r="C355">
        <v>34</v>
      </c>
      <c r="D355">
        <v>241</v>
      </c>
      <c r="E355">
        <v>1</v>
      </c>
      <c r="F355">
        <v>32</v>
      </c>
      <c r="G355">
        <v>59801</v>
      </c>
      <c r="H355">
        <v>0</v>
      </c>
      <c r="I355">
        <v>1</v>
      </c>
      <c r="J355">
        <v>1</v>
      </c>
      <c r="K355">
        <v>0</v>
      </c>
      <c r="L355">
        <f t="shared" si="20"/>
        <v>31</v>
      </c>
      <c r="M355">
        <f t="shared" si="21"/>
        <v>372</v>
      </c>
      <c r="N355">
        <f t="shared" si="22"/>
        <v>131</v>
      </c>
      <c r="O355">
        <f t="shared" si="23"/>
        <v>2027.9166666666667</v>
      </c>
    </row>
    <row r="356" spans="1:15" x14ac:dyDescent="0.2">
      <c r="A356" t="s">
        <v>19</v>
      </c>
      <c r="B356">
        <v>9</v>
      </c>
      <c r="C356">
        <v>34</v>
      </c>
      <c r="D356">
        <v>249</v>
      </c>
      <c r="E356">
        <v>1</v>
      </c>
      <c r="F356">
        <v>32</v>
      </c>
      <c r="G356">
        <v>3802</v>
      </c>
      <c r="H356">
        <v>0</v>
      </c>
      <c r="I356">
        <v>1</v>
      </c>
      <c r="J356">
        <v>1</v>
      </c>
      <c r="K356">
        <v>0</v>
      </c>
      <c r="L356">
        <f t="shared" si="20"/>
        <v>31</v>
      </c>
      <c r="M356">
        <f t="shared" si="21"/>
        <v>372</v>
      </c>
      <c r="N356">
        <f t="shared" si="22"/>
        <v>123</v>
      </c>
      <c r="O356">
        <f t="shared" si="23"/>
        <v>2027.25</v>
      </c>
    </row>
    <row r="357" spans="1:15" x14ac:dyDescent="0.2">
      <c r="A357" t="s">
        <v>19</v>
      </c>
      <c r="B357">
        <v>9</v>
      </c>
      <c r="C357">
        <v>35</v>
      </c>
      <c r="D357">
        <v>1</v>
      </c>
      <c r="E357">
        <v>12</v>
      </c>
      <c r="F357">
        <v>28</v>
      </c>
      <c r="G357">
        <v>2400702</v>
      </c>
      <c r="H357">
        <v>0</v>
      </c>
      <c r="I357">
        <v>1</v>
      </c>
      <c r="J357">
        <v>1</v>
      </c>
      <c r="K357">
        <v>0</v>
      </c>
      <c r="L357">
        <f t="shared" si="20"/>
        <v>30</v>
      </c>
      <c r="M357">
        <f t="shared" si="21"/>
        <v>360</v>
      </c>
      <c r="N357">
        <f t="shared" si="22"/>
        <v>359</v>
      </c>
      <c r="O357">
        <f t="shared" si="23"/>
        <v>2046.9166666666667</v>
      </c>
    </row>
    <row r="358" spans="1:15" x14ac:dyDescent="0.2">
      <c r="A358" t="s">
        <v>19</v>
      </c>
      <c r="B358">
        <v>9</v>
      </c>
      <c r="C358">
        <v>35</v>
      </c>
      <c r="D358">
        <v>1</v>
      </c>
      <c r="E358">
        <v>12</v>
      </c>
      <c r="F358">
        <v>30</v>
      </c>
      <c r="G358">
        <v>2392503</v>
      </c>
      <c r="H358">
        <v>0</v>
      </c>
      <c r="I358">
        <v>1</v>
      </c>
      <c r="J358">
        <v>1</v>
      </c>
      <c r="K358">
        <v>0</v>
      </c>
      <c r="L358">
        <f t="shared" si="20"/>
        <v>30</v>
      </c>
      <c r="M358">
        <f t="shared" si="21"/>
        <v>360</v>
      </c>
      <c r="N358">
        <f t="shared" si="22"/>
        <v>359</v>
      </c>
      <c r="O358">
        <f t="shared" si="23"/>
        <v>2046.9166666666667</v>
      </c>
    </row>
    <row r="359" spans="1:15" x14ac:dyDescent="0.2">
      <c r="A359" t="s">
        <v>19</v>
      </c>
      <c r="B359">
        <v>9</v>
      </c>
      <c r="C359">
        <v>35</v>
      </c>
      <c r="D359">
        <v>1</v>
      </c>
      <c r="E359">
        <v>12</v>
      </c>
      <c r="F359">
        <v>33</v>
      </c>
      <c r="G359">
        <v>2390003</v>
      </c>
      <c r="H359">
        <v>0</v>
      </c>
      <c r="I359">
        <v>1</v>
      </c>
      <c r="J359">
        <v>1</v>
      </c>
      <c r="K359">
        <v>0</v>
      </c>
      <c r="L359">
        <f t="shared" si="20"/>
        <v>30</v>
      </c>
      <c r="M359">
        <f t="shared" si="21"/>
        <v>360</v>
      </c>
      <c r="N359">
        <f t="shared" si="22"/>
        <v>359</v>
      </c>
      <c r="O359">
        <f t="shared" si="23"/>
        <v>2046.9166666666667</v>
      </c>
    </row>
    <row r="360" spans="1:15" x14ac:dyDescent="0.2">
      <c r="A360" t="s">
        <v>19</v>
      </c>
      <c r="B360">
        <v>9</v>
      </c>
      <c r="C360">
        <v>35</v>
      </c>
      <c r="D360">
        <v>2</v>
      </c>
      <c r="E360">
        <v>12</v>
      </c>
      <c r="F360">
        <v>30</v>
      </c>
      <c r="G360">
        <v>2380903</v>
      </c>
      <c r="H360">
        <v>0</v>
      </c>
      <c r="I360">
        <v>1</v>
      </c>
      <c r="J360">
        <v>1</v>
      </c>
      <c r="K360">
        <v>0</v>
      </c>
      <c r="L360">
        <f t="shared" si="20"/>
        <v>30</v>
      </c>
      <c r="M360">
        <f t="shared" si="21"/>
        <v>360</v>
      </c>
      <c r="N360">
        <f t="shared" si="22"/>
        <v>358</v>
      </c>
      <c r="O360">
        <f t="shared" si="23"/>
        <v>2046.8333333333333</v>
      </c>
    </row>
    <row r="361" spans="1:15" x14ac:dyDescent="0.2">
      <c r="A361" t="s">
        <v>19</v>
      </c>
      <c r="B361">
        <v>9</v>
      </c>
      <c r="C361">
        <v>35</v>
      </c>
      <c r="D361">
        <v>2</v>
      </c>
      <c r="E361">
        <v>12</v>
      </c>
      <c r="F361">
        <v>31</v>
      </c>
      <c r="G361">
        <v>2381802</v>
      </c>
      <c r="H361">
        <v>0</v>
      </c>
      <c r="I361">
        <v>1</v>
      </c>
      <c r="J361">
        <v>1</v>
      </c>
      <c r="K361">
        <v>0</v>
      </c>
      <c r="L361">
        <f t="shared" si="20"/>
        <v>30</v>
      </c>
      <c r="M361">
        <f t="shared" si="21"/>
        <v>360</v>
      </c>
      <c r="N361">
        <f t="shared" si="22"/>
        <v>358</v>
      </c>
      <c r="O361">
        <f t="shared" si="23"/>
        <v>2046.8333333333333</v>
      </c>
    </row>
    <row r="362" spans="1:15" x14ac:dyDescent="0.2">
      <c r="A362" t="s">
        <v>19</v>
      </c>
      <c r="B362">
        <v>9</v>
      </c>
      <c r="C362">
        <v>35</v>
      </c>
      <c r="D362">
        <v>5</v>
      </c>
      <c r="E362">
        <v>4</v>
      </c>
      <c r="F362">
        <v>31</v>
      </c>
      <c r="G362">
        <v>2344301</v>
      </c>
      <c r="H362">
        <v>0</v>
      </c>
      <c r="I362">
        <v>1</v>
      </c>
      <c r="J362">
        <v>1</v>
      </c>
      <c r="K362">
        <v>0</v>
      </c>
      <c r="L362">
        <f t="shared" si="20"/>
        <v>30</v>
      </c>
      <c r="M362">
        <f t="shared" si="21"/>
        <v>360</v>
      </c>
      <c r="N362">
        <f t="shared" si="22"/>
        <v>355</v>
      </c>
      <c r="O362">
        <f t="shared" si="23"/>
        <v>2046.5833333333333</v>
      </c>
    </row>
    <row r="363" spans="1:15" x14ac:dyDescent="0.2">
      <c r="A363" t="s">
        <v>19</v>
      </c>
      <c r="B363">
        <v>9</v>
      </c>
      <c r="C363">
        <v>35</v>
      </c>
      <c r="D363">
        <v>5</v>
      </c>
      <c r="E363">
        <v>4</v>
      </c>
      <c r="F363">
        <v>34</v>
      </c>
      <c r="G363">
        <v>2346001</v>
      </c>
      <c r="H363">
        <v>1</v>
      </c>
      <c r="I363">
        <v>0</v>
      </c>
      <c r="J363">
        <v>1</v>
      </c>
      <c r="K363">
        <v>0</v>
      </c>
      <c r="L363">
        <f t="shared" si="20"/>
        <v>30</v>
      </c>
      <c r="M363">
        <f t="shared" si="21"/>
        <v>360</v>
      </c>
      <c r="N363">
        <f t="shared" si="22"/>
        <v>355</v>
      </c>
      <c r="O363">
        <f t="shared" si="23"/>
        <v>2046.5833333333333</v>
      </c>
    </row>
    <row r="364" spans="1:15" x14ac:dyDescent="0.2">
      <c r="A364" t="s">
        <v>19</v>
      </c>
      <c r="B364">
        <v>9</v>
      </c>
      <c r="C364">
        <v>35</v>
      </c>
      <c r="D364">
        <v>5</v>
      </c>
      <c r="E364">
        <v>12</v>
      </c>
      <c r="F364">
        <v>31</v>
      </c>
      <c r="G364">
        <v>2342703</v>
      </c>
      <c r="H364">
        <v>0</v>
      </c>
      <c r="I364">
        <v>1</v>
      </c>
      <c r="J364">
        <v>1</v>
      </c>
      <c r="K364">
        <v>0</v>
      </c>
      <c r="L364">
        <f t="shared" si="20"/>
        <v>30</v>
      </c>
      <c r="M364">
        <f t="shared" si="21"/>
        <v>360</v>
      </c>
      <c r="N364">
        <f t="shared" si="22"/>
        <v>355</v>
      </c>
      <c r="O364">
        <f t="shared" si="23"/>
        <v>2046.5833333333333</v>
      </c>
    </row>
    <row r="365" spans="1:15" x14ac:dyDescent="0.2">
      <c r="A365" t="s">
        <v>19</v>
      </c>
      <c r="B365">
        <v>9</v>
      </c>
      <c r="C365">
        <v>35</v>
      </c>
      <c r="D365">
        <v>7</v>
      </c>
      <c r="E365">
        <v>12</v>
      </c>
      <c r="F365">
        <v>33</v>
      </c>
      <c r="G365">
        <v>2321303</v>
      </c>
      <c r="H365">
        <v>1</v>
      </c>
      <c r="I365">
        <v>0</v>
      </c>
      <c r="J365">
        <v>1</v>
      </c>
      <c r="K365">
        <v>0</v>
      </c>
      <c r="L365">
        <f t="shared" si="20"/>
        <v>30</v>
      </c>
      <c r="M365">
        <f t="shared" si="21"/>
        <v>360</v>
      </c>
      <c r="N365">
        <f t="shared" si="22"/>
        <v>353</v>
      </c>
      <c r="O365">
        <f t="shared" si="23"/>
        <v>2046.4166666666667</v>
      </c>
    </row>
    <row r="366" spans="1:15" x14ac:dyDescent="0.2">
      <c r="A366" t="s">
        <v>19</v>
      </c>
      <c r="B366">
        <v>9</v>
      </c>
      <c r="C366">
        <v>35</v>
      </c>
      <c r="D366">
        <v>8</v>
      </c>
      <c r="E366">
        <v>12</v>
      </c>
      <c r="F366">
        <v>32</v>
      </c>
      <c r="G366">
        <v>2313002</v>
      </c>
      <c r="H366">
        <v>0</v>
      </c>
      <c r="I366">
        <v>1</v>
      </c>
      <c r="J366">
        <v>1</v>
      </c>
      <c r="K366">
        <v>0</v>
      </c>
      <c r="L366">
        <f t="shared" si="20"/>
        <v>30</v>
      </c>
      <c r="M366">
        <f t="shared" si="21"/>
        <v>360</v>
      </c>
      <c r="N366">
        <f t="shared" si="22"/>
        <v>352</v>
      </c>
      <c r="O366">
        <f t="shared" si="23"/>
        <v>2046.3333333333333</v>
      </c>
    </row>
    <row r="367" spans="1:15" x14ac:dyDescent="0.2">
      <c r="A367" t="s">
        <v>19</v>
      </c>
      <c r="B367">
        <v>9</v>
      </c>
      <c r="C367">
        <v>35</v>
      </c>
      <c r="D367">
        <v>9</v>
      </c>
      <c r="E367">
        <v>1</v>
      </c>
      <c r="F367">
        <v>35</v>
      </c>
      <c r="G367">
        <v>2300803</v>
      </c>
      <c r="H367">
        <v>1</v>
      </c>
      <c r="I367">
        <v>0</v>
      </c>
      <c r="J367">
        <v>1</v>
      </c>
      <c r="K367">
        <v>0</v>
      </c>
      <c r="L367">
        <f t="shared" si="20"/>
        <v>30</v>
      </c>
      <c r="M367">
        <f t="shared" si="21"/>
        <v>360</v>
      </c>
      <c r="N367">
        <f t="shared" si="22"/>
        <v>351</v>
      </c>
      <c r="O367">
        <f t="shared" si="23"/>
        <v>2046.25</v>
      </c>
    </row>
    <row r="368" spans="1:15" x14ac:dyDescent="0.2">
      <c r="A368" t="s">
        <v>19</v>
      </c>
      <c r="B368">
        <v>9</v>
      </c>
      <c r="C368">
        <v>35</v>
      </c>
      <c r="D368">
        <v>10</v>
      </c>
      <c r="E368">
        <v>2</v>
      </c>
      <c r="F368">
        <v>32</v>
      </c>
      <c r="G368">
        <v>2292202</v>
      </c>
      <c r="H368">
        <v>0</v>
      </c>
      <c r="I368">
        <v>1</v>
      </c>
      <c r="J368">
        <v>1</v>
      </c>
      <c r="K368">
        <v>0</v>
      </c>
      <c r="L368">
        <f t="shared" si="20"/>
        <v>30</v>
      </c>
      <c r="M368">
        <f t="shared" si="21"/>
        <v>360</v>
      </c>
      <c r="N368">
        <f t="shared" si="22"/>
        <v>350</v>
      </c>
      <c r="O368">
        <f t="shared" si="23"/>
        <v>2046.1666666666667</v>
      </c>
    </row>
    <row r="369" spans="1:15" x14ac:dyDescent="0.2">
      <c r="A369" t="s">
        <v>19</v>
      </c>
      <c r="B369">
        <v>9</v>
      </c>
      <c r="C369">
        <v>35</v>
      </c>
      <c r="D369">
        <v>12</v>
      </c>
      <c r="E369">
        <v>4</v>
      </c>
      <c r="F369">
        <v>33</v>
      </c>
      <c r="G369">
        <v>2281601</v>
      </c>
      <c r="H369">
        <v>1</v>
      </c>
      <c r="I369">
        <v>0</v>
      </c>
      <c r="J369">
        <v>1</v>
      </c>
      <c r="K369">
        <v>0</v>
      </c>
      <c r="L369">
        <f t="shared" si="20"/>
        <v>30</v>
      </c>
      <c r="M369">
        <f t="shared" si="21"/>
        <v>360</v>
      </c>
      <c r="N369">
        <f t="shared" si="22"/>
        <v>348</v>
      </c>
      <c r="O369">
        <f t="shared" si="23"/>
        <v>2046</v>
      </c>
    </row>
    <row r="370" spans="1:15" x14ac:dyDescent="0.2">
      <c r="A370" t="s">
        <v>19</v>
      </c>
      <c r="B370">
        <v>9</v>
      </c>
      <c r="C370">
        <v>35</v>
      </c>
      <c r="D370">
        <v>13</v>
      </c>
      <c r="E370">
        <v>2</v>
      </c>
      <c r="F370">
        <v>29</v>
      </c>
      <c r="G370">
        <v>2263701</v>
      </c>
      <c r="H370">
        <v>0</v>
      </c>
      <c r="I370">
        <v>1</v>
      </c>
      <c r="J370">
        <v>1</v>
      </c>
      <c r="K370">
        <v>0</v>
      </c>
      <c r="L370">
        <f t="shared" si="20"/>
        <v>30</v>
      </c>
      <c r="M370">
        <f t="shared" si="21"/>
        <v>360</v>
      </c>
      <c r="N370">
        <f t="shared" si="22"/>
        <v>347</v>
      </c>
      <c r="O370">
        <f t="shared" si="23"/>
        <v>2045.9166666666667</v>
      </c>
    </row>
    <row r="371" spans="1:15" x14ac:dyDescent="0.2">
      <c r="A371" t="s">
        <v>19</v>
      </c>
      <c r="B371">
        <v>9</v>
      </c>
      <c r="C371">
        <v>35</v>
      </c>
      <c r="D371">
        <v>13</v>
      </c>
      <c r="E371">
        <v>6</v>
      </c>
      <c r="F371">
        <v>33</v>
      </c>
      <c r="G371">
        <v>2271703</v>
      </c>
      <c r="H371">
        <v>0</v>
      </c>
      <c r="I371">
        <v>1</v>
      </c>
      <c r="J371">
        <v>1</v>
      </c>
      <c r="K371">
        <v>0</v>
      </c>
      <c r="L371">
        <f t="shared" si="20"/>
        <v>30</v>
      </c>
      <c r="M371">
        <f t="shared" si="21"/>
        <v>360</v>
      </c>
      <c r="N371">
        <f t="shared" si="22"/>
        <v>347</v>
      </c>
      <c r="O371">
        <f t="shared" si="23"/>
        <v>2045.9166666666667</v>
      </c>
    </row>
    <row r="372" spans="1:15" x14ac:dyDescent="0.2">
      <c r="A372" t="s">
        <v>19</v>
      </c>
      <c r="B372">
        <v>9</v>
      </c>
      <c r="C372">
        <v>35</v>
      </c>
      <c r="D372">
        <v>17</v>
      </c>
      <c r="E372">
        <v>1</v>
      </c>
      <c r="F372">
        <v>33</v>
      </c>
      <c r="G372">
        <v>2245201</v>
      </c>
      <c r="H372">
        <v>0</v>
      </c>
      <c r="I372">
        <v>1</v>
      </c>
      <c r="J372">
        <v>1</v>
      </c>
      <c r="K372">
        <v>0</v>
      </c>
      <c r="L372">
        <f t="shared" si="20"/>
        <v>30</v>
      </c>
      <c r="M372">
        <f t="shared" si="21"/>
        <v>360</v>
      </c>
      <c r="N372">
        <f t="shared" si="22"/>
        <v>343</v>
      </c>
      <c r="O372">
        <f t="shared" si="23"/>
        <v>2045.5833333333333</v>
      </c>
    </row>
    <row r="373" spans="1:15" x14ac:dyDescent="0.2">
      <c r="A373" t="s">
        <v>19</v>
      </c>
      <c r="B373">
        <v>9</v>
      </c>
      <c r="C373">
        <v>35</v>
      </c>
      <c r="D373">
        <v>33</v>
      </c>
      <c r="E373">
        <v>4</v>
      </c>
      <c r="F373">
        <v>29</v>
      </c>
      <c r="G373">
        <v>2167201</v>
      </c>
      <c r="H373">
        <v>1</v>
      </c>
      <c r="I373">
        <v>0</v>
      </c>
      <c r="J373">
        <v>1</v>
      </c>
      <c r="K373">
        <v>0</v>
      </c>
      <c r="L373">
        <f t="shared" si="20"/>
        <v>30</v>
      </c>
      <c r="M373">
        <f t="shared" si="21"/>
        <v>360</v>
      </c>
      <c r="N373">
        <f t="shared" si="22"/>
        <v>327</v>
      </c>
      <c r="O373">
        <f t="shared" si="23"/>
        <v>2044.25</v>
      </c>
    </row>
    <row r="374" spans="1:15" x14ac:dyDescent="0.2">
      <c r="A374" t="s">
        <v>19</v>
      </c>
      <c r="B374">
        <v>9</v>
      </c>
      <c r="C374">
        <v>35</v>
      </c>
      <c r="D374">
        <v>33</v>
      </c>
      <c r="E374">
        <v>12</v>
      </c>
      <c r="F374">
        <v>33</v>
      </c>
      <c r="G374">
        <v>2165602</v>
      </c>
      <c r="H374">
        <v>0</v>
      </c>
      <c r="I374">
        <v>1</v>
      </c>
      <c r="J374">
        <v>1</v>
      </c>
      <c r="K374">
        <v>0</v>
      </c>
      <c r="L374">
        <f t="shared" si="20"/>
        <v>30</v>
      </c>
      <c r="M374">
        <f t="shared" si="21"/>
        <v>360</v>
      </c>
      <c r="N374">
        <f t="shared" si="22"/>
        <v>327</v>
      </c>
      <c r="O374">
        <f t="shared" si="23"/>
        <v>2044.25</v>
      </c>
    </row>
    <row r="375" spans="1:15" x14ac:dyDescent="0.2">
      <c r="A375" t="s">
        <v>19</v>
      </c>
      <c r="B375">
        <v>9</v>
      </c>
      <c r="C375">
        <v>35</v>
      </c>
      <c r="D375">
        <v>34</v>
      </c>
      <c r="E375">
        <v>1</v>
      </c>
      <c r="F375">
        <v>33</v>
      </c>
      <c r="G375">
        <v>2159401</v>
      </c>
      <c r="H375">
        <v>0</v>
      </c>
      <c r="I375">
        <v>1</v>
      </c>
      <c r="J375">
        <v>1</v>
      </c>
      <c r="K375">
        <v>0</v>
      </c>
      <c r="L375">
        <f t="shared" si="20"/>
        <v>30</v>
      </c>
      <c r="M375">
        <f t="shared" si="21"/>
        <v>360</v>
      </c>
      <c r="N375">
        <f t="shared" si="22"/>
        <v>326</v>
      </c>
      <c r="O375">
        <f t="shared" si="23"/>
        <v>2044.1666666666667</v>
      </c>
    </row>
    <row r="376" spans="1:15" x14ac:dyDescent="0.2">
      <c r="A376" t="s">
        <v>19</v>
      </c>
      <c r="B376">
        <v>9</v>
      </c>
      <c r="C376">
        <v>35</v>
      </c>
      <c r="D376">
        <v>34</v>
      </c>
      <c r="E376">
        <v>2</v>
      </c>
      <c r="F376">
        <v>33</v>
      </c>
      <c r="G376">
        <v>2157101</v>
      </c>
      <c r="H376">
        <v>0</v>
      </c>
      <c r="I376">
        <v>1</v>
      </c>
      <c r="J376">
        <v>1</v>
      </c>
      <c r="K376">
        <v>0</v>
      </c>
      <c r="L376">
        <f t="shared" si="20"/>
        <v>30</v>
      </c>
      <c r="M376">
        <f t="shared" si="21"/>
        <v>360</v>
      </c>
      <c r="N376">
        <f t="shared" si="22"/>
        <v>326</v>
      </c>
      <c r="O376">
        <f t="shared" si="23"/>
        <v>2044.1666666666667</v>
      </c>
    </row>
    <row r="377" spans="1:15" x14ac:dyDescent="0.2">
      <c r="A377" t="s">
        <v>19</v>
      </c>
      <c r="B377">
        <v>9</v>
      </c>
      <c r="C377">
        <v>35</v>
      </c>
      <c r="D377">
        <v>36</v>
      </c>
      <c r="E377">
        <v>1</v>
      </c>
      <c r="F377">
        <v>33</v>
      </c>
      <c r="G377">
        <v>2147401</v>
      </c>
      <c r="H377">
        <v>0</v>
      </c>
      <c r="I377">
        <v>1</v>
      </c>
      <c r="J377">
        <v>1</v>
      </c>
      <c r="K377">
        <v>0</v>
      </c>
      <c r="L377">
        <f t="shared" si="20"/>
        <v>30</v>
      </c>
      <c r="M377">
        <f t="shared" si="21"/>
        <v>360</v>
      </c>
      <c r="N377">
        <f t="shared" si="22"/>
        <v>324</v>
      </c>
      <c r="O377">
        <f t="shared" si="23"/>
        <v>2044</v>
      </c>
    </row>
    <row r="378" spans="1:15" x14ac:dyDescent="0.2">
      <c r="A378" t="s">
        <v>19</v>
      </c>
      <c r="B378">
        <v>9</v>
      </c>
      <c r="C378">
        <v>35</v>
      </c>
      <c r="D378">
        <v>36</v>
      </c>
      <c r="E378">
        <v>2</v>
      </c>
      <c r="F378">
        <v>34</v>
      </c>
      <c r="G378">
        <v>2150001</v>
      </c>
      <c r="H378">
        <v>1</v>
      </c>
      <c r="I378">
        <v>0</v>
      </c>
      <c r="J378">
        <v>1</v>
      </c>
      <c r="K378">
        <v>0</v>
      </c>
      <c r="L378">
        <f t="shared" si="20"/>
        <v>30</v>
      </c>
      <c r="M378">
        <f t="shared" si="21"/>
        <v>360</v>
      </c>
      <c r="N378">
        <f t="shared" si="22"/>
        <v>324</v>
      </c>
      <c r="O378">
        <f t="shared" si="23"/>
        <v>2044</v>
      </c>
    </row>
    <row r="379" spans="1:15" x14ac:dyDescent="0.2">
      <c r="A379" t="s">
        <v>19</v>
      </c>
      <c r="B379">
        <v>9</v>
      </c>
      <c r="C379">
        <v>35</v>
      </c>
      <c r="D379">
        <v>36</v>
      </c>
      <c r="E379">
        <v>12</v>
      </c>
      <c r="F379">
        <v>31</v>
      </c>
      <c r="G379">
        <v>2145902</v>
      </c>
      <c r="H379">
        <v>0</v>
      </c>
      <c r="I379">
        <v>1</v>
      </c>
      <c r="J379">
        <v>1</v>
      </c>
      <c r="K379">
        <v>0</v>
      </c>
      <c r="L379">
        <f t="shared" si="20"/>
        <v>30</v>
      </c>
      <c r="M379">
        <f t="shared" si="21"/>
        <v>360</v>
      </c>
      <c r="N379">
        <f t="shared" si="22"/>
        <v>324</v>
      </c>
      <c r="O379">
        <f t="shared" si="23"/>
        <v>2044</v>
      </c>
    </row>
    <row r="380" spans="1:15" x14ac:dyDescent="0.2">
      <c r="A380" t="s">
        <v>19</v>
      </c>
      <c r="B380">
        <v>9</v>
      </c>
      <c r="C380">
        <v>35</v>
      </c>
      <c r="D380">
        <v>37</v>
      </c>
      <c r="E380">
        <v>1</v>
      </c>
      <c r="F380">
        <v>27</v>
      </c>
      <c r="G380">
        <v>2142302</v>
      </c>
      <c r="H380">
        <v>0</v>
      </c>
      <c r="I380">
        <v>1</v>
      </c>
      <c r="J380">
        <v>1</v>
      </c>
      <c r="K380">
        <v>0</v>
      </c>
      <c r="L380">
        <f t="shared" si="20"/>
        <v>30</v>
      </c>
      <c r="M380">
        <f t="shared" si="21"/>
        <v>360</v>
      </c>
      <c r="N380">
        <f t="shared" si="22"/>
        <v>323</v>
      </c>
      <c r="O380">
        <f t="shared" si="23"/>
        <v>2043.9166666666667</v>
      </c>
    </row>
    <row r="381" spans="1:15" x14ac:dyDescent="0.2">
      <c r="A381" t="s">
        <v>19</v>
      </c>
      <c r="B381">
        <v>9</v>
      </c>
      <c r="C381">
        <v>35</v>
      </c>
      <c r="D381">
        <v>37</v>
      </c>
      <c r="E381">
        <v>1</v>
      </c>
      <c r="F381">
        <v>34</v>
      </c>
      <c r="G381">
        <v>2144101</v>
      </c>
      <c r="H381">
        <v>1</v>
      </c>
      <c r="I381">
        <v>0</v>
      </c>
      <c r="J381">
        <v>1</v>
      </c>
      <c r="K381">
        <v>0</v>
      </c>
      <c r="L381">
        <f t="shared" si="20"/>
        <v>30</v>
      </c>
      <c r="M381">
        <f t="shared" si="21"/>
        <v>360</v>
      </c>
      <c r="N381">
        <f t="shared" si="22"/>
        <v>323</v>
      </c>
      <c r="O381">
        <f t="shared" si="23"/>
        <v>2043.9166666666667</v>
      </c>
    </row>
    <row r="382" spans="1:15" x14ac:dyDescent="0.2">
      <c r="A382" t="s">
        <v>19</v>
      </c>
      <c r="B382">
        <v>9</v>
      </c>
      <c r="C382">
        <v>35</v>
      </c>
      <c r="D382">
        <v>38</v>
      </c>
      <c r="E382">
        <v>4</v>
      </c>
      <c r="F382">
        <v>34</v>
      </c>
      <c r="G382">
        <v>2139701</v>
      </c>
      <c r="H382">
        <v>0</v>
      </c>
      <c r="I382">
        <v>1</v>
      </c>
      <c r="J382">
        <v>1</v>
      </c>
      <c r="K382">
        <v>0</v>
      </c>
      <c r="L382">
        <f t="shared" si="20"/>
        <v>30</v>
      </c>
      <c r="M382">
        <f t="shared" si="21"/>
        <v>360</v>
      </c>
      <c r="N382">
        <f t="shared" si="22"/>
        <v>322</v>
      </c>
      <c r="O382">
        <f t="shared" si="23"/>
        <v>2043.8333333333333</v>
      </c>
    </row>
    <row r="383" spans="1:15" x14ac:dyDescent="0.2">
      <c r="A383" t="s">
        <v>19</v>
      </c>
      <c r="B383">
        <v>9</v>
      </c>
      <c r="C383">
        <v>35</v>
      </c>
      <c r="D383">
        <v>41</v>
      </c>
      <c r="E383">
        <v>2</v>
      </c>
      <c r="F383">
        <v>29</v>
      </c>
      <c r="G383">
        <v>2126001</v>
      </c>
      <c r="H383">
        <v>1</v>
      </c>
      <c r="I383">
        <v>0</v>
      </c>
      <c r="J383">
        <v>1</v>
      </c>
      <c r="K383">
        <v>0</v>
      </c>
      <c r="L383">
        <f t="shared" si="20"/>
        <v>30</v>
      </c>
      <c r="M383">
        <f t="shared" si="21"/>
        <v>360</v>
      </c>
      <c r="N383">
        <f t="shared" si="22"/>
        <v>319</v>
      </c>
      <c r="O383">
        <f t="shared" si="23"/>
        <v>2043.5833333333333</v>
      </c>
    </row>
    <row r="384" spans="1:15" x14ac:dyDescent="0.2">
      <c r="A384" t="s">
        <v>19</v>
      </c>
      <c r="B384">
        <v>9</v>
      </c>
      <c r="C384">
        <v>35</v>
      </c>
      <c r="D384">
        <v>51</v>
      </c>
      <c r="E384">
        <v>2</v>
      </c>
      <c r="F384">
        <v>32</v>
      </c>
      <c r="G384">
        <v>2076601</v>
      </c>
      <c r="H384">
        <v>0</v>
      </c>
      <c r="I384">
        <v>1</v>
      </c>
      <c r="J384">
        <v>1</v>
      </c>
      <c r="K384">
        <v>0</v>
      </c>
      <c r="L384">
        <f t="shared" si="20"/>
        <v>30</v>
      </c>
      <c r="M384">
        <f t="shared" si="21"/>
        <v>360</v>
      </c>
      <c r="N384">
        <f t="shared" si="22"/>
        <v>309</v>
      </c>
      <c r="O384">
        <f t="shared" si="23"/>
        <v>2042.75</v>
      </c>
    </row>
    <row r="385" spans="1:15" x14ac:dyDescent="0.2">
      <c r="A385" t="s">
        <v>19</v>
      </c>
      <c r="B385">
        <v>9</v>
      </c>
      <c r="C385">
        <v>35</v>
      </c>
      <c r="D385">
        <v>55</v>
      </c>
      <c r="E385">
        <v>1</v>
      </c>
      <c r="F385">
        <v>31</v>
      </c>
      <c r="G385">
        <v>2055002</v>
      </c>
      <c r="H385">
        <v>0</v>
      </c>
      <c r="I385">
        <v>1</v>
      </c>
      <c r="J385">
        <v>1</v>
      </c>
      <c r="K385">
        <v>0</v>
      </c>
      <c r="L385">
        <f t="shared" si="20"/>
        <v>30</v>
      </c>
      <c r="M385">
        <f t="shared" si="21"/>
        <v>360</v>
      </c>
      <c r="N385">
        <f t="shared" si="22"/>
        <v>305</v>
      </c>
      <c r="O385">
        <f t="shared" si="23"/>
        <v>2042.4166666666667</v>
      </c>
    </row>
    <row r="386" spans="1:15" x14ac:dyDescent="0.2">
      <c r="A386" t="s">
        <v>19</v>
      </c>
      <c r="B386">
        <v>9</v>
      </c>
      <c r="C386">
        <v>35</v>
      </c>
      <c r="D386">
        <v>55</v>
      </c>
      <c r="E386">
        <v>1</v>
      </c>
      <c r="F386">
        <v>32</v>
      </c>
      <c r="G386">
        <v>2053601</v>
      </c>
      <c r="H386">
        <v>0</v>
      </c>
      <c r="I386">
        <v>1</v>
      </c>
      <c r="J386">
        <v>1</v>
      </c>
      <c r="K386">
        <v>0</v>
      </c>
      <c r="L386">
        <f t="shared" si="20"/>
        <v>30</v>
      </c>
      <c r="M386">
        <f t="shared" si="21"/>
        <v>360</v>
      </c>
      <c r="N386">
        <f t="shared" si="22"/>
        <v>305</v>
      </c>
      <c r="O386">
        <f t="shared" si="23"/>
        <v>2042.4166666666667</v>
      </c>
    </row>
    <row r="387" spans="1:15" x14ac:dyDescent="0.2">
      <c r="A387" t="s">
        <v>19</v>
      </c>
      <c r="B387">
        <v>9</v>
      </c>
      <c r="C387">
        <v>35</v>
      </c>
      <c r="D387">
        <v>56</v>
      </c>
      <c r="E387">
        <v>2</v>
      </c>
      <c r="F387">
        <v>32</v>
      </c>
      <c r="G387">
        <v>2049201</v>
      </c>
      <c r="H387">
        <v>0</v>
      </c>
      <c r="I387">
        <v>1</v>
      </c>
      <c r="J387">
        <v>1</v>
      </c>
      <c r="K387">
        <v>0</v>
      </c>
      <c r="L387">
        <f t="shared" si="20"/>
        <v>30</v>
      </c>
      <c r="M387">
        <f t="shared" si="21"/>
        <v>360</v>
      </c>
      <c r="N387">
        <f t="shared" si="22"/>
        <v>304</v>
      </c>
      <c r="O387">
        <f t="shared" si="23"/>
        <v>2042.3333333333333</v>
      </c>
    </row>
    <row r="388" spans="1:15" x14ac:dyDescent="0.2">
      <c r="A388" t="s">
        <v>19</v>
      </c>
      <c r="B388">
        <v>9</v>
      </c>
      <c r="C388">
        <v>35</v>
      </c>
      <c r="D388">
        <v>63</v>
      </c>
      <c r="E388">
        <v>2</v>
      </c>
      <c r="F388">
        <v>30</v>
      </c>
      <c r="G388">
        <v>2021501</v>
      </c>
      <c r="H388">
        <v>1</v>
      </c>
      <c r="I388">
        <v>0</v>
      </c>
      <c r="J388">
        <v>1</v>
      </c>
      <c r="K388">
        <v>0</v>
      </c>
      <c r="L388">
        <f t="shared" si="20"/>
        <v>30</v>
      </c>
      <c r="M388">
        <f t="shared" si="21"/>
        <v>360</v>
      </c>
      <c r="N388">
        <f t="shared" si="22"/>
        <v>297</v>
      </c>
      <c r="O388">
        <f t="shared" si="23"/>
        <v>2041.75</v>
      </c>
    </row>
    <row r="389" spans="1:15" x14ac:dyDescent="0.2">
      <c r="A389" t="s">
        <v>19</v>
      </c>
      <c r="B389">
        <v>9</v>
      </c>
      <c r="C389">
        <v>35</v>
      </c>
      <c r="D389">
        <v>69</v>
      </c>
      <c r="E389">
        <v>1</v>
      </c>
      <c r="F389">
        <v>32</v>
      </c>
      <c r="G389">
        <v>1998101</v>
      </c>
      <c r="H389">
        <v>0</v>
      </c>
      <c r="I389">
        <v>1</v>
      </c>
      <c r="J389">
        <v>1</v>
      </c>
      <c r="K389">
        <v>0</v>
      </c>
      <c r="L389">
        <f t="shared" si="20"/>
        <v>30</v>
      </c>
      <c r="M389">
        <f t="shared" si="21"/>
        <v>360</v>
      </c>
      <c r="N389">
        <f t="shared" si="22"/>
        <v>291</v>
      </c>
      <c r="O389">
        <f t="shared" si="23"/>
        <v>2041.25</v>
      </c>
    </row>
    <row r="390" spans="1:15" x14ac:dyDescent="0.2">
      <c r="A390" t="s">
        <v>19</v>
      </c>
      <c r="B390">
        <v>9</v>
      </c>
      <c r="C390">
        <v>35</v>
      </c>
      <c r="D390">
        <v>74</v>
      </c>
      <c r="E390">
        <v>1</v>
      </c>
      <c r="F390">
        <v>28</v>
      </c>
      <c r="G390">
        <v>1983301</v>
      </c>
      <c r="H390">
        <v>1</v>
      </c>
      <c r="I390">
        <v>0</v>
      </c>
      <c r="J390">
        <v>1</v>
      </c>
      <c r="K390">
        <v>0</v>
      </c>
      <c r="L390">
        <f t="shared" si="20"/>
        <v>30</v>
      </c>
      <c r="M390">
        <f t="shared" si="21"/>
        <v>360</v>
      </c>
      <c r="N390">
        <f t="shared" si="22"/>
        <v>286</v>
      </c>
      <c r="O390">
        <f t="shared" si="23"/>
        <v>2040.8333333333333</v>
      </c>
    </row>
    <row r="391" spans="1:15" x14ac:dyDescent="0.2">
      <c r="A391" t="s">
        <v>19</v>
      </c>
      <c r="B391">
        <v>9</v>
      </c>
      <c r="C391">
        <v>35</v>
      </c>
      <c r="D391">
        <v>81</v>
      </c>
      <c r="E391">
        <v>1</v>
      </c>
      <c r="F391">
        <v>35</v>
      </c>
      <c r="G391">
        <v>1964901</v>
      </c>
      <c r="H391">
        <v>1</v>
      </c>
      <c r="I391">
        <v>0</v>
      </c>
      <c r="J391">
        <v>1</v>
      </c>
      <c r="K391">
        <v>0</v>
      </c>
      <c r="L391">
        <f t="shared" ref="L391:L454" si="24">65-C391</f>
        <v>30</v>
      </c>
      <c r="M391">
        <f t="shared" ref="M391:M454" si="25">L391*12</f>
        <v>360</v>
      </c>
      <c r="N391">
        <f t="shared" ref="N391:N454" si="26">M391-D391</f>
        <v>279</v>
      </c>
      <c r="O391">
        <f t="shared" ref="O391:O454" si="27">2017+N391/12</f>
        <v>2040.25</v>
      </c>
    </row>
    <row r="392" spans="1:15" x14ac:dyDescent="0.2">
      <c r="A392" t="s">
        <v>19</v>
      </c>
      <c r="B392">
        <v>9</v>
      </c>
      <c r="C392">
        <v>35</v>
      </c>
      <c r="D392">
        <v>98</v>
      </c>
      <c r="E392">
        <v>1</v>
      </c>
      <c r="F392">
        <v>35</v>
      </c>
      <c r="G392">
        <v>1849901</v>
      </c>
      <c r="H392">
        <v>1</v>
      </c>
      <c r="I392">
        <v>0</v>
      </c>
      <c r="J392">
        <v>1</v>
      </c>
      <c r="K392">
        <v>0</v>
      </c>
      <c r="L392">
        <f t="shared" si="24"/>
        <v>30</v>
      </c>
      <c r="M392">
        <f t="shared" si="25"/>
        <v>360</v>
      </c>
      <c r="N392">
        <f t="shared" si="26"/>
        <v>262</v>
      </c>
      <c r="O392">
        <f t="shared" si="27"/>
        <v>2038.8333333333333</v>
      </c>
    </row>
    <row r="393" spans="1:15" x14ac:dyDescent="0.2">
      <c r="A393" t="s">
        <v>19</v>
      </c>
      <c r="B393">
        <v>9</v>
      </c>
      <c r="C393">
        <v>35</v>
      </c>
      <c r="D393">
        <v>102</v>
      </c>
      <c r="E393">
        <v>1</v>
      </c>
      <c r="F393">
        <v>35</v>
      </c>
      <c r="G393">
        <v>568104</v>
      </c>
      <c r="H393">
        <v>0</v>
      </c>
      <c r="I393">
        <v>1</v>
      </c>
      <c r="J393">
        <v>1</v>
      </c>
      <c r="K393">
        <v>0</v>
      </c>
      <c r="L393">
        <f t="shared" si="24"/>
        <v>30</v>
      </c>
      <c r="M393">
        <f t="shared" si="25"/>
        <v>360</v>
      </c>
      <c r="N393">
        <f t="shared" si="26"/>
        <v>258</v>
      </c>
      <c r="O393">
        <f t="shared" si="27"/>
        <v>2038.5</v>
      </c>
    </row>
    <row r="394" spans="1:15" x14ac:dyDescent="0.2">
      <c r="A394" t="s">
        <v>19</v>
      </c>
      <c r="B394">
        <v>9</v>
      </c>
      <c r="C394">
        <v>35</v>
      </c>
      <c r="D394">
        <v>103</v>
      </c>
      <c r="E394">
        <v>1</v>
      </c>
      <c r="F394">
        <v>29</v>
      </c>
      <c r="G394">
        <v>1800002</v>
      </c>
      <c r="H394">
        <v>1</v>
      </c>
      <c r="I394">
        <v>0</v>
      </c>
      <c r="J394">
        <v>1</v>
      </c>
      <c r="K394">
        <v>0</v>
      </c>
      <c r="L394">
        <f t="shared" si="24"/>
        <v>30</v>
      </c>
      <c r="M394">
        <f t="shared" si="25"/>
        <v>360</v>
      </c>
      <c r="N394">
        <f t="shared" si="26"/>
        <v>257</v>
      </c>
      <c r="O394">
        <f t="shared" si="27"/>
        <v>2038.4166666666667</v>
      </c>
    </row>
    <row r="395" spans="1:15" x14ac:dyDescent="0.2">
      <c r="A395" t="s">
        <v>19</v>
      </c>
      <c r="B395">
        <v>9</v>
      </c>
      <c r="C395">
        <v>35</v>
      </c>
      <c r="D395">
        <v>103</v>
      </c>
      <c r="E395">
        <v>1</v>
      </c>
      <c r="F395">
        <v>31</v>
      </c>
      <c r="G395">
        <v>1810601</v>
      </c>
      <c r="H395">
        <v>0</v>
      </c>
      <c r="I395">
        <v>1</v>
      </c>
      <c r="J395">
        <v>1</v>
      </c>
      <c r="K395">
        <v>0</v>
      </c>
      <c r="L395">
        <f t="shared" si="24"/>
        <v>30</v>
      </c>
      <c r="M395">
        <f t="shared" si="25"/>
        <v>360</v>
      </c>
      <c r="N395">
        <f t="shared" si="26"/>
        <v>257</v>
      </c>
      <c r="O395">
        <f t="shared" si="27"/>
        <v>2038.4166666666667</v>
      </c>
    </row>
    <row r="396" spans="1:15" x14ac:dyDescent="0.2">
      <c r="A396" t="s">
        <v>19</v>
      </c>
      <c r="B396">
        <v>9</v>
      </c>
      <c r="C396">
        <v>35</v>
      </c>
      <c r="D396">
        <v>104</v>
      </c>
      <c r="E396">
        <v>1</v>
      </c>
      <c r="F396">
        <v>32</v>
      </c>
      <c r="G396">
        <v>1798301</v>
      </c>
      <c r="H396">
        <v>0</v>
      </c>
      <c r="I396">
        <v>1</v>
      </c>
      <c r="J396">
        <v>1</v>
      </c>
      <c r="K396">
        <v>0</v>
      </c>
      <c r="L396">
        <f t="shared" si="24"/>
        <v>30</v>
      </c>
      <c r="M396">
        <f t="shared" si="25"/>
        <v>360</v>
      </c>
      <c r="N396">
        <f t="shared" si="26"/>
        <v>256</v>
      </c>
      <c r="O396">
        <f t="shared" si="27"/>
        <v>2038.3333333333333</v>
      </c>
    </row>
    <row r="397" spans="1:15" x14ac:dyDescent="0.2">
      <c r="A397" t="s">
        <v>19</v>
      </c>
      <c r="B397">
        <v>9</v>
      </c>
      <c r="C397">
        <v>35</v>
      </c>
      <c r="D397">
        <v>107</v>
      </c>
      <c r="E397">
        <v>1</v>
      </c>
      <c r="F397">
        <v>33</v>
      </c>
      <c r="G397">
        <v>1756601</v>
      </c>
      <c r="H397">
        <v>0</v>
      </c>
      <c r="I397">
        <v>1</v>
      </c>
      <c r="J397">
        <v>1</v>
      </c>
      <c r="K397">
        <v>0</v>
      </c>
      <c r="L397">
        <f t="shared" si="24"/>
        <v>30</v>
      </c>
      <c r="M397">
        <f t="shared" si="25"/>
        <v>360</v>
      </c>
      <c r="N397">
        <f t="shared" si="26"/>
        <v>253</v>
      </c>
      <c r="O397">
        <f t="shared" si="27"/>
        <v>2038.0833333333333</v>
      </c>
    </row>
    <row r="398" spans="1:15" x14ac:dyDescent="0.2">
      <c r="A398" t="s">
        <v>19</v>
      </c>
      <c r="B398">
        <v>9</v>
      </c>
      <c r="C398">
        <v>35</v>
      </c>
      <c r="D398">
        <v>110</v>
      </c>
      <c r="E398">
        <v>1</v>
      </c>
      <c r="F398">
        <v>31</v>
      </c>
      <c r="G398">
        <v>1712801</v>
      </c>
      <c r="H398">
        <v>0</v>
      </c>
      <c r="I398">
        <v>1</v>
      </c>
      <c r="J398">
        <v>1</v>
      </c>
      <c r="K398">
        <v>0</v>
      </c>
      <c r="L398">
        <f t="shared" si="24"/>
        <v>30</v>
      </c>
      <c r="M398">
        <f t="shared" si="25"/>
        <v>360</v>
      </c>
      <c r="N398">
        <f t="shared" si="26"/>
        <v>250</v>
      </c>
      <c r="O398">
        <f t="shared" si="27"/>
        <v>2037.8333333333333</v>
      </c>
    </row>
    <row r="399" spans="1:15" x14ac:dyDescent="0.2">
      <c r="A399" t="s">
        <v>19</v>
      </c>
      <c r="B399">
        <v>9</v>
      </c>
      <c r="C399">
        <v>35</v>
      </c>
      <c r="D399">
        <v>110</v>
      </c>
      <c r="E399">
        <v>1</v>
      </c>
      <c r="F399">
        <v>33</v>
      </c>
      <c r="G399">
        <v>1722901</v>
      </c>
      <c r="H399">
        <v>1</v>
      </c>
      <c r="I399">
        <v>0</v>
      </c>
      <c r="J399">
        <v>1</v>
      </c>
      <c r="K399">
        <v>0</v>
      </c>
      <c r="L399">
        <f t="shared" si="24"/>
        <v>30</v>
      </c>
      <c r="M399">
        <f t="shared" si="25"/>
        <v>360</v>
      </c>
      <c r="N399">
        <f t="shared" si="26"/>
        <v>250</v>
      </c>
      <c r="O399">
        <f t="shared" si="27"/>
        <v>2037.8333333333333</v>
      </c>
    </row>
    <row r="400" spans="1:15" x14ac:dyDescent="0.2">
      <c r="A400" t="s">
        <v>19</v>
      </c>
      <c r="B400">
        <v>9</v>
      </c>
      <c r="C400">
        <v>35</v>
      </c>
      <c r="D400">
        <v>123</v>
      </c>
      <c r="E400">
        <v>1</v>
      </c>
      <c r="F400">
        <v>34</v>
      </c>
      <c r="G400">
        <v>1622101</v>
      </c>
      <c r="H400">
        <v>0</v>
      </c>
      <c r="I400">
        <v>1</v>
      </c>
      <c r="J400">
        <v>1</v>
      </c>
      <c r="K400">
        <v>0</v>
      </c>
      <c r="L400">
        <f t="shared" si="24"/>
        <v>30</v>
      </c>
      <c r="M400">
        <f t="shared" si="25"/>
        <v>360</v>
      </c>
      <c r="N400">
        <f t="shared" si="26"/>
        <v>237</v>
      </c>
      <c r="O400">
        <f t="shared" si="27"/>
        <v>2036.75</v>
      </c>
    </row>
    <row r="401" spans="1:15" x14ac:dyDescent="0.2">
      <c r="A401" t="s">
        <v>19</v>
      </c>
      <c r="B401">
        <v>9</v>
      </c>
      <c r="C401">
        <v>35</v>
      </c>
      <c r="D401">
        <v>133</v>
      </c>
      <c r="E401">
        <v>1</v>
      </c>
      <c r="F401">
        <v>32</v>
      </c>
      <c r="G401">
        <v>1147101</v>
      </c>
      <c r="H401">
        <v>0</v>
      </c>
      <c r="I401">
        <v>1</v>
      </c>
      <c r="J401">
        <v>1</v>
      </c>
      <c r="K401">
        <v>0</v>
      </c>
      <c r="L401">
        <f t="shared" si="24"/>
        <v>30</v>
      </c>
      <c r="M401">
        <f t="shared" si="25"/>
        <v>360</v>
      </c>
      <c r="N401">
        <f t="shared" si="26"/>
        <v>227</v>
      </c>
      <c r="O401">
        <f t="shared" si="27"/>
        <v>2035.9166666666667</v>
      </c>
    </row>
    <row r="402" spans="1:15" x14ac:dyDescent="0.2">
      <c r="A402" t="s">
        <v>19</v>
      </c>
      <c r="B402">
        <v>9</v>
      </c>
      <c r="C402">
        <v>35</v>
      </c>
      <c r="D402">
        <v>138</v>
      </c>
      <c r="E402">
        <v>2</v>
      </c>
      <c r="F402">
        <v>30</v>
      </c>
      <c r="G402">
        <v>1137101</v>
      </c>
      <c r="H402">
        <v>0</v>
      </c>
      <c r="I402">
        <v>1</v>
      </c>
      <c r="J402">
        <v>1</v>
      </c>
      <c r="K402">
        <v>0</v>
      </c>
      <c r="L402">
        <f t="shared" si="24"/>
        <v>30</v>
      </c>
      <c r="M402">
        <f t="shared" si="25"/>
        <v>360</v>
      </c>
      <c r="N402">
        <f t="shared" si="26"/>
        <v>222</v>
      </c>
      <c r="O402">
        <f t="shared" si="27"/>
        <v>2035.5</v>
      </c>
    </row>
    <row r="403" spans="1:15" x14ac:dyDescent="0.2">
      <c r="A403" t="s">
        <v>19</v>
      </c>
      <c r="B403">
        <v>9</v>
      </c>
      <c r="C403">
        <v>35</v>
      </c>
      <c r="D403">
        <v>141</v>
      </c>
      <c r="E403">
        <v>1</v>
      </c>
      <c r="F403">
        <v>34</v>
      </c>
      <c r="G403">
        <v>1122401</v>
      </c>
      <c r="H403">
        <v>1</v>
      </c>
      <c r="I403">
        <v>0</v>
      </c>
      <c r="J403">
        <v>1</v>
      </c>
      <c r="K403">
        <v>0</v>
      </c>
      <c r="L403">
        <f t="shared" si="24"/>
        <v>30</v>
      </c>
      <c r="M403">
        <f t="shared" si="25"/>
        <v>360</v>
      </c>
      <c r="N403">
        <f t="shared" si="26"/>
        <v>219</v>
      </c>
      <c r="O403">
        <f t="shared" si="27"/>
        <v>2035.25</v>
      </c>
    </row>
    <row r="404" spans="1:15" x14ac:dyDescent="0.2">
      <c r="A404" t="s">
        <v>19</v>
      </c>
      <c r="B404">
        <v>9</v>
      </c>
      <c r="C404">
        <v>35</v>
      </c>
      <c r="D404">
        <v>151</v>
      </c>
      <c r="E404">
        <v>1</v>
      </c>
      <c r="F404">
        <v>35</v>
      </c>
      <c r="G404">
        <v>1040301</v>
      </c>
      <c r="H404">
        <v>0</v>
      </c>
      <c r="I404">
        <v>1</v>
      </c>
      <c r="J404">
        <v>1</v>
      </c>
      <c r="K404">
        <v>0</v>
      </c>
      <c r="L404">
        <f t="shared" si="24"/>
        <v>30</v>
      </c>
      <c r="M404">
        <f t="shared" si="25"/>
        <v>360</v>
      </c>
      <c r="N404">
        <f t="shared" si="26"/>
        <v>209</v>
      </c>
      <c r="O404">
        <f t="shared" si="27"/>
        <v>2034.4166666666667</v>
      </c>
    </row>
    <row r="405" spans="1:15" x14ac:dyDescent="0.2">
      <c r="A405" t="s">
        <v>19</v>
      </c>
      <c r="B405">
        <v>9</v>
      </c>
      <c r="C405">
        <v>35</v>
      </c>
      <c r="D405">
        <v>171</v>
      </c>
      <c r="E405">
        <v>2</v>
      </c>
      <c r="F405">
        <v>23</v>
      </c>
      <c r="G405">
        <v>900601</v>
      </c>
      <c r="H405">
        <v>0</v>
      </c>
      <c r="I405">
        <v>1</v>
      </c>
      <c r="J405">
        <v>1</v>
      </c>
      <c r="K405">
        <v>0</v>
      </c>
      <c r="L405">
        <f t="shared" si="24"/>
        <v>30</v>
      </c>
      <c r="M405">
        <f t="shared" si="25"/>
        <v>360</v>
      </c>
      <c r="N405">
        <f t="shared" si="26"/>
        <v>189</v>
      </c>
      <c r="O405">
        <f t="shared" si="27"/>
        <v>2032.75</v>
      </c>
    </row>
    <row r="406" spans="1:15" x14ac:dyDescent="0.2">
      <c r="A406" t="s">
        <v>19</v>
      </c>
      <c r="B406">
        <v>9</v>
      </c>
      <c r="C406">
        <v>35</v>
      </c>
      <c r="D406">
        <v>190</v>
      </c>
      <c r="E406">
        <v>12</v>
      </c>
      <c r="F406">
        <v>32</v>
      </c>
      <c r="G406">
        <v>863202</v>
      </c>
      <c r="H406">
        <v>0</v>
      </c>
      <c r="I406">
        <v>1</v>
      </c>
      <c r="J406">
        <v>1</v>
      </c>
      <c r="K406">
        <v>0</v>
      </c>
      <c r="L406">
        <f t="shared" si="24"/>
        <v>30</v>
      </c>
      <c r="M406">
        <f t="shared" si="25"/>
        <v>360</v>
      </c>
      <c r="N406">
        <f t="shared" si="26"/>
        <v>170</v>
      </c>
      <c r="O406">
        <f t="shared" si="27"/>
        <v>2031.1666666666667</v>
      </c>
    </row>
    <row r="407" spans="1:15" x14ac:dyDescent="0.2">
      <c r="A407" t="s">
        <v>19</v>
      </c>
      <c r="B407">
        <v>9</v>
      </c>
      <c r="C407">
        <v>35</v>
      </c>
      <c r="D407">
        <v>199</v>
      </c>
      <c r="E407">
        <v>1</v>
      </c>
      <c r="F407">
        <v>33</v>
      </c>
      <c r="G407">
        <v>805101</v>
      </c>
      <c r="H407">
        <v>1</v>
      </c>
      <c r="I407">
        <v>0</v>
      </c>
      <c r="J407">
        <v>1</v>
      </c>
      <c r="K407">
        <v>0</v>
      </c>
      <c r="L407">
        <f t="shared" si="24"/>
        <v>30</v>
      </c>
      <c r="M407">
        <f t="shared" si="25"/>
        <v>360</v>
      </c>
      <c r="N407">
        <f t="shared" si="26"/>
        <v>161</v>
      </c>
      <c r="O407">
        <f t="shared" si="27"/>
        <v>2030.4166666666667</v>
      </c>
    </row>
    <row r="408" spans="1:15" x14ac:dyDescent="0.2">
      <c r="A408" t="s">
        <v>19</v>
      </c>
      <c r="B408">
        <v>9</v>
      </c>
      <c r="C408">
        <v>35</v>
      </c>
      <c r="D408">
        <v>200</v>
      </c>
      <c r="E408">
        <v>1</v>
      </c>
      <c r="F408">
        <v>25</v>
      </c>
      <c r="G408">
        <v>791702</v>
      </c>
      <c r="H408">
        <v>0</v>
      </c>
      <c r="I408">
        <v>1</v>
      </c>
      <c r="J408">
        <v>1</v>
      </c>
      <c r="K408">
        <v>0</v>
      </c>
      <c r="L408">
        <f t="shared" si="24"/>
        <v>30</v>
      </c>
      <c r="M408">
        <f t="shared" si="25"/>
        <v>360</v>
      </c>
      <c r="N408">
        <f t="shared" si="26"/>
        <v>160</v>
      </c>
      <c r="O408">
        <f t="shared" si="27"/>
        <v>2030.3333333333333</v>
      </c>
    </row>
    <row r="409" spans="1:15" x14ac:dyDescent="0.2">
      <c r="A409" t="s">
        <v>19</v>
      </c>
      <c r="B409">
        <v>9</v>
      </c>
      <c r="C409">
        <v>35</v>
      </c>
      <c r="D409">
        <v>201</v>
      </c>
      <c r="E409">
        <v>1</v>
      </c>
      <c r="F409">
        <v>31</v>
      </c>
      <c r="G409">
        <v>784001</v>
      </c>
      <c r="H409">
        <v>0</v>
      </c>
      <c r="I409">
        <v>1</v>
      </c>
      <c r="J409">
        <v>1</v>
      </c>
      <c r="K409">
        <v>0</v>
      </c>
      <c r="L409">
        <f t="shared" si="24"/>
        <v>30</v>
      </c>
      <c r="M409">
        <f t="shared" si="25"/>
        <v>360</v>
      </c>
      <c r="N409">
        <f t="shared" si="26"/>
        <v>159</v>
      </c>
      <c r="O409">
        <f t="shared" si="27"/>
        <v>2030.25</v>
      </c>
    </row>
    <row r="410" spans="1:15" x14ac:dyDescent="0.2">
      <c r="A410" t="s">
        <v>19</v>
      </c>
      <c r="B410">
        <v>9</v>
      </c>
      <c r="C410">
        <v>35</v>
      </c>
      <c r="D410">
        <v>201</v>
      </c>
      <c r="E410">
        <v>1</v>
      </c>
      <c r="F410">
        <v>34</v>
      </c>
      <c r="G410">
        <v>782501</v>
      </c>
      <c r="H410">
        <v>0</v>
      </c>
      <c r="I410">
        <v>1</v>
      </c>
      <c r="J410">
        <v>1</v>
      </c>
      <c r="K410">
        <v>0</v>
      </c>
      <c r="L410">
        <f t="shared" si="24"/>
        <v>30</v>
      </c>
      <c r="M410">
        <f t="shared" si="25"/>
        <v>360</v>
      </c>
      <c r="N410">
        <f t="shared" si="26"/>
        <v>159</v>
      </c>
      <c r="O410">
        <f t="shared" si="27"/>
        <v>2030.25</v>
      </c>
    </row>
    <row r="411" spans="1:15" x14ac:dyDescent="0.2">
      <c r="A411" t="s">
        <v>19</v>
      </c>
      <c r="B411">
        <v>9</v>
      </c>
      <c r="C411">
        <v>35</v>
      </c>
      <c r="D411">
        <v>202</v>
      </c>
      <c r="E411">
        <v>1</v>
      </c>
      <c r="F411">
        <v>25</v>
      </c>
      <c r="G411">
        <v>758902</v>
      </c>
      <c r="H411">
        <v>0</v>
      </c>
      <c r="I411">
        <v>1</v>
      </c>
      <c r="J411">
        <v>1</v>
      </c>
      <c r="K411">
        <v>0</v>
      </c>
      <c r="L411">
        <f t="shared" si="24"/>
        <v>30</v>
      </c>
      <c r="M411">
        <f t="shared" si="25"/>
        <v>360</v>
      </c>
      <c r="N411">
        <f t="shared" si="26"/>
        <v>158</v>
      </c>
      <c r="O411">
        <f t="shared" si="27"/>
        <v>2030.1666666666667</v>
      </c>
    </row>
    <row r="412" spans="1:15" x14ac:dyDescent="0.2">
      <c r="A412" t="s">
        <v>19</v>
      </c>
      <c r="B412">
        <v>9</v>
      </c>
      <c r="C412">
        <v>35</v>
      </c>
      <c r="D412">
        <v>205</v>
      </c>
      <c r="E412">
        <v>1</v>
      </c>
      <c r="F412">
        <v>30</v>
      </c>
      <c r="G412">
        <v>732101</v>
      </c>
      <c r="H412">
        <v>1</v>
      </c>
      <c r="I412">
        <v>0</v>
      </c>
      <c r="J412">
        <v>1</v>
      </c>
      <c r="K412">
        <v>0</v>
      </c>
      <c r="L412">
        <f t="shared" si="24"/>
        <v>30</v>
      </c>
      <c r="M412">
        <f t="shared" si="25"/>
        <v>360</v>
      </c>
      <c r="N412">
        <f t="shared" si="26"/>
        <v>155</v>
      </c>
      <c r="O412">
        <f t="shared" si="27"/>
        <v>2029.9166666666667</v>
      </c>
    </row>
    <row r="413" spans="1:15" x14ac:dyDescent="0.2">
      <c r="A413" t="s">
        <v>19</v>
      </c>
      <c r="B413">
        <v>9</v>
      </c>
      <c r="C413">
        <v>35</v>
      </c>
      <c r="D413">
        <v>206</v>
      </c>
      <c r="E413">
        <v>1</v>
      </c>
      <c r="F413">
        <v>34</v>
      </c>
      <c r="G413">
        <v>705101</v>
      </c>
      <c r="H413">
        <v>0</v>
      </c>
      <c r="I413">
        <v>1</v>
      </c>
      <c r="J413">
        <v>1</v>
      </c>
      <c r="K413">
        <v>0</v>
      </c>
      <c r="L413">
        <f t="shared" si="24"/>
        <v>30</v>
      </c>
      <c r="M413">
        <f t="shared" si="25"/>
        <v>360</v>
      </c>
      <c r="N413">
        <f t="shared" si="26"/>
        <v>154</v>
      </c>
      <c r="O413">
        <f t="shared" si="27"/>
        <v>2029.8333333333333</v>
      </c>
    </row>
    <row r="414" spans="1:15" x14ac:dyDescent="0.2">
      <c r="A414" t="s">
        <v>19</v>
      </c>
      <c r="B414">
        <v>9</v>
      </c>
      <c r="C414">
        <v>35</v>
      </c>
      <c r="D414">
        <v>206</v>
      </c>
      <c r="E414">
        <v>2</v>
      </c>
      <c r="F414">
        <v>35</v>
      </c>
      <c r="G414">
        <v>695202</v>
      </c>
      <c r="H414">
        <v>0</v>
      </c>
      <c r="I414">
        <v>1</v>
      </c>
      <c r="J414">
        <v>1</v>
      </c>
      <c r="K414">
        <v>0</v>
      </c>
      <c r="L414">
        <f t="shared" si="24"/>
        <v>30</v>
      </c>
      <c r="M414">
        <f t="shared" si="25"/>
        <v>360</v>
      </c>
      <c r="N414">
        <f t="shared" si="26"/>
        <v>154</v>
      </c>
      <c r="O414">
        <f t="shared" si="27"/>
        <v>2029.8333333333333</v>
      </c>
    </row>
    <row r="415" spans="1:15" x14ac:dyDescent="0.2">
      <c r="A415" t="s">
        <v>19</v>
      </c>
      <c r="B415">
        <v>9</v>
      </c>
      <c r="C415">
        <v>35</v>
      </c>
      <c r="D415">
        <v>210</v>
      </c>
      <c r="E415">
        <v>1</v>
      </c>
      <c r="F415">
        <v>33</v>
      </c>
      <c r="G415">
        <v>646301</v>
      </c>
      <c r="H415">
        <v>0</v>
      </c>
      <c r="I415">
        <v>1</v>
      </c>
      <c r="J415">
        <v>1</v>
      </c>
      <c r="K415">
        <v>0</v>
      </c>
      <c r="L415">
        <f t="shared" si="24"/>
        <v>30</v>
      </c>
      <c r="M415">
        <f t="shared" si="25"/>
        <v>360</v>
      </c>
      <c r="N415">
        <f t="shared" si="26"/>
        <v>150</v>
      </c>
      <c r="O415">
        <f t="shared" si="27"/>
        <v>2029.5</v>
      </c>
    </row>
    <row r="416" spans="1:15" x14ac:dyDescent="0.2">
      <c r="A416" t="s">
        <v>19</v>
      </c>
      <c r="B416">
        <v>9</v>
      </c>
      <c r="C416">
        <v>35</v>
      </c>
      <c r="D416">
        <v>210</v>
      </c>
      <c r="E416">
        <v>12</v>
      </c>
      <c r="F416">
        <v>33</v>
      </c>
      <c r="G416">
        <v>648302</v>
      </c>
      <c r="H416">
        <v>0</v>
      </c>
      <c r="I416">
        <v>1</v>
      </c>
      <c r="J416">
        <v>1</v>
      </c>
      <c r="K416">
        <v>0</v>
      </c>
      <c r="L416">
        <f t="shared" si="24"/>
        <v>30</v>
      </c>
      <c r="M416">
        <f t="shared" si="25"/>
        <v>360</v>
      </c>
      <c r="N416">
        <f t="shared" si="26"/>
        <v>150</v>
      </c>
      <c r="O416">
        <f t="shared" si="27"/>
        <v>2029.5</v>
      </c>
    </row>
    <row r="417" spans="1:15" x14ac:dyDescent="0.2">
      <c r="A417" t="s">
        <v>19</v>
      </c>
      <c r="B417">
        <v>9</v>
      </c>
      <c r="C417">
        <v>35</v>
      </c>
      <c r="D417">
        <v>215</v>
      </c>
      <c r="E417">
        <v>1</v>
      </c>
      <c r="F417">
        <v>32</v>
      </c>
      <c r="G417">
        <v>565901</v>
      </c>
      <c r="H417">
        <v>0</v>
      </c>
      <c r="I417">
        <v>1</v>
      </c>
      <c r="J417">
        <v>1</v>
      </c>
      <c r="K417">
        <v>0</v>
      </c>
      <c r="L417">
        <f t="shared" si="24"/>
        <v>30</v>
      </c>
      <c r="M417">
        <f t="shared" si="25"/>
        <v>360</v>
      </c>
      <c r="N417">
        <f t="shared" si="26"/>
        <v>145</v>
      </c>
      <c r="O417">
        <f t="shared" si="27"/>
        <v>2029.0833333333333</v>
      </c>
    </row>
    <row r="418" spans="1:15" x14ac:dyDescent="0.2">
      <c r="A418" t="s">
        <v>19</v>
      </c>
      <c r="B418">
        <v>9</v>
      </c>
      <c r="C418">
        <v>35</v>
      </c>
      <c r="D418">
        <v>215</v>
      </c>
      <c r="E418">
        <v>12</v>
      </c>
      <c r="F418">
        <v>31</v>
      </c>
      <c r="G418">
        <v>513102</v>
      </c>
      <c r="H418">
        <v>0</v>
      </c>
      <c r="I418">
        <v>1</v>
      </c>
      <c r="J418">
        <v>1</v>
      </c>
      <c r="K418">
        <v>0</v>
      </c>
      <c r="L418">
        <f t="shared" si="24"/>
        <v>30</v>
      </c>
      <c r="M418">
        <f t="shared" si="25"/>
        <v>360</v>
      </c>
      <c r="N418">
        <f t="shared" si="26"/>
        <v>145</v>
      </c>
      <c r="O418">
        <f t="shared" si="27"/>
        <v>2029.0833333333333</v>
      </c>
    </row>
    <row r="419" spans="1:15" x14ac:dyDescent="0.2">
      <c r="A419" t="s">
        <v>19</v>
      </c>
      <c r="B419">
        <v>9</v>
      </c>
      <c r="C419">
        <v>35</v>
      </c>
      <c r="D419">
        <v>224</v>
      </c>
      <c r="E419">
        <v>1</v>
      </c>
      <c r="F419">
        <v>34</v>
      </c>
      <c r="G419">
        <v>282701</v>
      </c>
      <c r="H419">
        <v>1</v>
      </c>
      <c r="I419">
        <v>0</v>
      </c>
      <c r="J419">
        <v>1</v>
      </c>
      <c r="K419">
        <v>0</v>
      </c>
      <c r="L419">
        <f t="shared" si="24"/>
        <v>30</v>
      </c>
      <c r="M419">
        <f t="shared" si="25"/>
        <v>360</v>
      </c>
      <c r="N419">
        <f t="shared" si="26"/>
        <v>136</v>
      </c>
      <c r="O419">
        <f t="shared" si="27"/>
        <v>2028.3333333333333</v>
      </c>
    </row>
    <row r="420" spans="1:15" x14ac:dyDescent="0.2">
      <c r="A420" t="s">
        <v>19</v>
      </c>
      <c r="B420">
        <v>9</v>
      </c>
      <c r="C420">
        <v>35</v>
      </c>
      <c r="D420">
        <v>228</v>
      </c>
      <c r="E420">
        <v>1</v>
      </c>
      <c r="F420">
        <v>29</v>
      </c>
      <c r="G420">
        <v>226002</v>
      </c>
      <c r="H420">
        <v>0</v>
      </c>
      <c r="I420">
        <v>1</v>
      </c>
      <c r="J420">
        <v>1</v>
      </c>
      <c r="K420">
        <v>0</v>
      </c>
      <c r="L420">
        <f t="shared" si="24"/>
        <v>30</v>
      </c>
      <c r="M420">
        <f t="shared" si="25"/>
        <v>360</v>
      </c>
      <c r="N420">
        <f t="shared" si="26"/>
        <v>132</v>
      </c>
      <c r="O420">
        <f t="shared" si="27"/>
        <v>2028</v>
      </c>
    </row>
    <row r="421" spans="1:15" x14ac:dyDescent="0.2">
      <c r="A421" t="s">
        <v>19</v>
      </c>
      <c r="B421">
        <v>9</v>
      </c>
      <c r="C421">
        <v>35</v>
      </c>
      <c r="D421">
        <v>230</v>
      </c>
      <c r="E421">
        <v>1</v>
      </c>
      <c r="F421">
        <v>31</v>
      </c>
      <c r="G421">
        <v>192901</v>
      </c>
      <c r="H421">
        <v>0</v>
      </c>
      <c r="I421">
        <v>1</v>
      </c>
      <c r="J421">
        <v>1</v>
      </c>
      <c r="K421">
        <v>0</v>
      </c>
      <c r="L421">
        <f t="shared" si="24"/>
        <v>30</v>
      </c>
      <c r="M421">
        <f t="shared" si="25"/>
        <v>360</v>
      </c>
      <c r="N421">
        <f t="shared" si="26"/>
        <v>130</v>
      </c>
      <c r="O421">
        <f t="shared" si="27"/>
        <v>2027.8333333333333</v>
      </c>
    </row>
    <row r="422" spans="1:15" x14ac:dyDescent="0.2">
      <c r="A422" t="s">
        <v>19</v>
      </c>
      <c r="B422">
        <v>9</v>
      </c>
      <c r="C422">
        <v>35</v>
      </c>
      <c r="D422">
        <v>230</v>
      </c>
      <c r="E422">
        <v>12</v>
      </c>
      <c r="F422">
        <v>31</v>
      </c>
      <c r="G422">
        <v>198602</v>
      </c>
      <c r="H422">
        <v>0</v>
      </c>
      <c r="I422">
        <v>1</v>
      </c>
      <c r="J422">
        <v>1</v>
      </c>
      <c r="K422">
        <v>0</v>
      </c>
      <c r="L422">
        <f t="shared" si="24"/>
        <v>30</v>
      </c>
      <c r="M422">
        <f t="shared" si="25"/>
        <v>360</v>
      </c>
      <c r="N422">
        <f t="shared" si="26"/>
        <v>130</v>
      </c>
      <c r="O422">
        <f t="shared" si="27"/>
        <v>2027.8333333333333</v>
      </c>
    </row>
    <row r="423" spans="1:15" x14ac:dyDescent="0.2">
      <c r="A423" t="s">
        <v>19</v>
      </c>
      <c r="B423">
        <v>9</v>
      </c>
      <c r="C423">
        <v>35</v>
      </c>
      <c r="D423">
        <v>232</v>
      </c>
      <c r="E423">
        <v>12</v>
      </c>
      <c r="F423">
        <v>34</v>
      </c>
      <c r="G423">
        <v>128502</v>
      </c>
      <c r="H423">
        <v>1</v>
      </c>
      <c r="I423">
        <v>0</v>
      </c>
      <c r="J423">
        <v>1</v>
      </c>
      <c r="K423">
        <v>0</v>
      </c>
      <c r="L423">
        <f t="shared" si="24"/>
        <v>30</v>
      </c>
      <c r="M423">
        <f t="shared" si="25"/>
        <v>360</v>
      </c>
      <c r="N423">
        <f t="shared" si="26"/>
        <v>128</v>
      </c>
      <c r="O423">
        <f t="shared" si="27"/>
        <v>2027.6666666666667</v>
      </c>
    </row>
    <row r="424" spans="1:15" x14ac:dyDescent="0.2">
      <c r="A424" t="s">
        <v>19</v>
      </c>
      <c r="B424">
        <v>9</v>
      </c>
      <c r="C424">
        <v>35</v>
      </c>
      <c r="D424">
        <v>234</v>
      </c>
      <c r="E424">
        <v>2</v>
      </c>
      <c r="F424">
        <v>31</v>
      </c>
      <c r="G424">
        <v>118602</v>
      </c>
      <c r="H424">
        <v>0</v>
      </c>
      <c r="I424">
        <v>1</v>
      </c>
      <c r="J424">
        <v>1</v>
      </c>
      <c r="K424">
        <v>0</v>
      </c>
      <c r="L424">
        <f t="shared" si="24"/>
        <v>30</v>
      </c>
      <c r="M424">
        <f t="shared" si="25"/>
        <v>360</v>
      </c>
      <c r="N424">
        <f t="shared" si="26"/>
        <v>126</v>
      </c>
      <c r="O424">
        <f t="shared" si="27"/>
        <v>2027.5</v>
      </c>
    </row>
    <row r="425" spans="1:15" x14ac:dyDescent="0.2">
      <c r="A425" t="s">
        <v>19</v>
      </c>
      <c r="B425">
        <v>9</v>
      </c>
      <c r="C425">
        <v>35</v>
      </c>
      <c r="D425">
        <v>235</v>
      </c>
      <c r="E425">
        <v>1</v>
      </c>
      <c r="F425">
        <v>33</v>
      </c>
      <c r="G425">
        <v>104002</v>
      </c>
      <c r="H425">
        <v>0</v>
      </c>
      <c r="I425">
        <v>1</v>
      </c>
      <c r="J425">
        <v>1</v>
      </c>
      <c r="K425">
        <v>0</v>
      </c>
      <c r="L425">
        <f t="shared" si="24"/>
        <v>30</v>
      </c>
      <c r="M425">
        <f t="shared" si="25"/>
        <v>360</v>
      </c>
      <c r="N425">
        <f t="shared" si="26"/>
        <v>125</v>
      </c>
      <c r="O425">
        <f t="shared" si="27"/>
        <v>2027.4166666666667</v>
      </c>
    </row>
    <row r="426" spans="1:15" x14ac:dyDescent="0.2">
      <c r="A426" t="s">
        <v>19</v>
      </c>
      <c r="B426">
        <v>9</v>
      </c>
      <c r="C426">
        <v>35</v>
      </c>
      <c r="D426">
        <v>238</v>
      </c>
      <c r="E426">
        <v>1</v>
      </c>
      <c r="F426">
        <v>31</v>
      </c>
      <c r="G426">
        <v>51402</v>
      </c>
      <c r="H426">
        <v>0</v>
      </c>
      <c r="I426">
        <v>1</v>
      </c>
      <c r="J426">
        <v>1</v>
      </c>
      <c r="K426">
        <v>0</v>
      </c>
      <c r="L426">
        <f t="shared" si="24"/>
        <v>30</v>
      </c>
      <c r="M426">
        <f t="shared" si="25"/>
        <v>360</v>
      </c>
      <c r="N426">
        <f t="shared" si="26"/>
        <v>122</v>
      </c>
      <c r="O426">
        <f t="shared" si="27"/>
        <v>2027.1666666666667</v>
      </c>
    </row>
    <row r="427" spans="1:15" x14ac:dyDescent="0.2">
      <c r="A427" t="s">
        <v>19</v>
      </c>
      <c r="B427">
        <v>9</v>
      </c>
      <c r="C427">
        <v>35</v>
      </c>
      <c r="D427">
        <v>241</v>
      </c>
      <c r="E427">
        <v>1</v>
      </c>
      <c r="F427">
        <v>29</v>
      </c>
      <c r="G427">
        <v>58801</v>
      </c>
      <c r="H427">
        <v>0</v>
      </c>
      <c r="I427">
        <v>1</v>
      </c>
      <c r="J427">
        <v>1</v>
      </c>
      <c r="K427">
        <v>0</v>
      </c>
      <c r="L427">
        <f t="shared" si="24"/>
        <v>30</v>
      </c>
      <c r="M427">
        <f t="shared" si="25"/>
        <v>360</v>
      </c>
      <c r="N427">
        <f t="shared" si="26"/>
        <v>119</v>
      </c>
      <c r="O427">
        <f t="shared" si="27"/>
        <v>2026.9166666666667</v>
      </c>
    </row>
    <row r="428" spans="1:15" x14ac:dyDescent="0.2">
      <c r="A428" t="s">
        <v>19</v>
      </c>
      <c r="B428">
        <v>9</v>
      </c>
      <c r="C428">
        <v>36</v>
      </c>
      <c r="D428">
        <v>1</v>
      </c>
      <c r="E428">
        <v>12</v>
      </c>
      <c r="F428">
        <v>24</v>
      </c>
      <c r="G428">
        <v>2397303</v>
      </c>
      <c r="H428">
        <v>0</v>
      </c>
      <c r="I428">
        <v>1</v>
      </c>
      <c r="J428">
        <v>1</v>
      </c>
      <c r="K428">
        <v>0</v>
      </c>
      <c r="L428">
        <f t="shared" si="24"/>
        <v>29</v>
      </c>
      <c r="M428">
        <f t="shared" si="25"/>
        <v>348</v>
      </c>
      <c r="N428">
        <f t="shared" si="26"/>
        <v>347</v>
      </c>
      <c r="O428">
        <f t="shared" si="27"/>
        <v>2045.9166666666667</v>
      </c>
    </row>
    <row r="429" spans="1:15" x14ac:dyDescent="0.2">
      <c r="A429" t="s">
        <v>19</v>
      </c>
      <c r="B429">
        <v>9</v>
      </c>
      <c r="C429">
        <v>36</v>
      </c>
      <c r="D429">
        <v>1</v>
      </c>
      <c r="E429">
        <v>12</v>
      </c>
      <c r="F429">
        <v>26</v>
      </c>
      <c r="G429">
        <v>2411403</v>
      </c>
      <c r="H429">
        <v>0</v>
      </c>
      <c r="I429">
        <v>1</v>
      </c>
      <c r="J429">
        <v>1</v>
      </c>
      <c r="K429">
        <v>0</v>
      </c>
      <c r="L429">
        <f t="shared" si="24"/>
        <v>29</v>
      </c>
      <c r="M429">
        <f t="shared" si="25"/>
        <v>348</v>
      </c>
      <c r="N429">
        <f t="shared" si="26"/>
        <v>347</v>
      </c>
      <c r="O429">
        <f t="shared" si="27"/>
        <v>2045.9166666666667</v>
      </c>
    </row>
    <row r="430" spans="1:15" x14ac:dyDescent="0.2">
      <c r="A430" t="s">
        <v>19</v>
      </c>
      <c r="B430">
        <v>9</v>
      </c>
      <c r="C430">
        <v>36</v>
      </c>
      <c r="D430">
        <v>1</v>
      </c>
      <c r="E430">
        <v>12</v>
      </c>
      <c r="F430">
        <v>31</v>
      </c>
      <c r="G430">
        <v>2402403</v>
      </c>
      <c r="H430">
        <v>0</v>
      </c>
      <c r="I430">
        <v>1</v>
      </c>
      <c r="J430">
        <v>1</v>
      </c>
      <c r="K430">
        <v>0</v>
      </c>
      <c r="L430">
        <f t="shared" si="24"/>
        <v>29</v>
      </c>
      <c r="M430">
        <f t="shared" si="25"/>
        <v>348</v>
      </c>
      <c r="N430">
        <f t="shared" si="26"/>
        <v>347</v>
      </c>
      <c r="O430">
        <f t="shared" si="27"/>
        <v>2045.9166666666667</v>
      </c>
    </row>
    <row r="431" spans="1:15" x14ac:dyDescent="0.2">
      <c r="A431" t="s">
        <v>19</v>
      </c>
      <c r="B431">
        <v>9</v>
      </c>
      <c r="C431">
        <v>36</v>
      </c>
      <c r="D431">
        <v>1</v>
      </c>
      <c r="E431">
        <v>12</v>
      </c>
      <c r="F431">
        <v>33</v>
      </c>
      <c r="G431">
        <v>2398501</v>
      </c>
      <c r="H431">
        <v>0</v>
      </c>
      <c r="I431">
        <v>1</v>
      </c>
      <c r="J431">
        <v>1</v>
      </c>
      <c r="K431">
        <v>0</v>
      </c>
      <c r="L431">
        <f t="shared" si="24"/>
        <v>29</v>
      </c>
      <c r="M431">
        <f t="shared" si="25"/>
        <v>348</v>
      </c>
      <c r="N431">
        <f t="shared" si="26"/>
        <v>347</v>
      </c>
      <c r="O431">
        <f t="shared" si="27"/>
        <v>2045.9166666666667</v>
      </c>
    </row>
    <row r="432" spans="1:15" x14ac:dyDescent="0.2">
      <c r="A432" t="s">
        <v>19</v>
      </c>
      <c r="B432">
        <v>9</v>
      </c>
      <c r="C432">
        <v>36</v>
      </c>
      <c r="D432">
        <v>2</v>
      </c>
      <c r="E432">
        <v>12</v>
      </c>
      <c r="F432">
        <v>34</v>
      </c>
      <c r="G432">
        <v>2378305</v>
      </c>
      <c r="H432">
        <v>0</v>
      </c>
      <c r="I432">
        <v>1</v>
      </c>
      <c r="J432">
        <v>1</v>
      </c>
      <c r="K432">
        <v>0</v>
      </c>
      <c r="L432">
        <f t="shared" si="24"/>
        <v>29</v>
      </c>
      <c r="M432">
        <f t="shared" si="25"/>
        <v>348</v>
      </c>
      <c r="N432">
        <f t="shared" si="26"/>
        <v>346</v>
      </c>
      <c r="O432">
        <f t="shared" si="27"/>
        <v>2045.8333333333333</v>
      </c>
    </row>
    <row r="433" spans="1:15" x14ac:dyDescent="0.2">
      <c r="A433" t="s">
        <v>19</v>
      </c>
      <c r="B433">
        <v>9</v>
      </c>
      <c r="C433">
        <v>36</v>
      </c>
      <c r="D433">
        <v>2</v>
      </c>
      <c r="E433">
        <v>12</v>
      </c>
      <c r="F433">
        <v>35</v>
      </c>
      <c r="G433">
        <v>2376103</v>
      </c>
      <c r="H433">
        <v>0</v>
      </c>
      <c r="I433">
        <v>1</v>
      </c>
      <c r="J433">
        <v>1</v>
      </c>
      <c r="K433">
        <v>0</v>
      </c>
      <c r="L433">
        <f t="shared" si="24"/>
        <v>29</v>
      </c>
      <c r="M433">
        <f t="shared" si="25"/>
        <v>348</v>
      </c>
      <c r="N433">
        <f t="shared" si="26"/>
        <v>346</v>
      </c>
      <c r="O433">
        <f t="shared" si="27"/>
        <v>2045.8333333333333</v>
      </c>
    </row>
    <row r="434" spans="1:15" x14ac:dyDescent="0.2">
      <c r="A434" t="s">
        <v>19</v>
      </c>
      <c r="B434">
        <v>9</v>
      </c>
      <c r="C434">
        <v>36</v>
      </c>
      <c r="D434">
        <v>3</v>
      </c>
      <c r="E434">
        <v>12</v>
      </c>
      <c r="F434">
        <v>35</v>
      </c>
      <c r="G434">
        <v>1726904</v>
      </c>
      <c r="H434">
        <v>1</v>
      </c>
      <c r="I434">
        <v>0</v>
      </c>
      <c r="J434">
        <v>1</v>
      </c>
      <c r="K434">
        <v>0</v>
      </c>
      <c r="L434">
        <f t="shared" si="24"/>
        <v>29</v>
      </c>
      <c r="M434">
        <f t="shared" si="25"/>
        <v>348</v>
      </c>
      <c r="N434">
        <f t="shared" si="26"/>
        <v>345</v>
      </c>
      <c r="O434">
        <f t="shared" si="27"/>
        <v>2045.75</v>
      </c>
    </row>
    <row r="435" spans="1:15" x14ac:dyDescent="0.2">
      <c r="A435" t="s">
        <v>19</v>
      </c>
      <c r="B435">
        <v>9</v>
      </c>
      <c r="C435">
        <v>36</v>
      </c>
      <c r="D435">
        <v>6</v>
      </c>
      <c r="E435">
        <v>6</v>
      </c>
      <c r="F435">
        <v>27</v>
      </c>
      <c r="G435">
        <v>2333802</v>
      </c>
      <c r="H435">
        <v>0</v>
      </c>
      <c r="I435">
        <v>1</v>
      </c>
      <c r="J435">
        <v>1</v>
      </c>
      <c r="K435">
        <v>0</v>
      </c>
      <c r="L435">
        <f t="shared" si="24"/>
        <v>29</v>
      </c>
      <c r="M435">
        <f t="shared" si="25"/>
        <v>348</v>
      </c>
      <c r="N435">
        <f t="shared" si="26"/>
        <v>342</v>
      </c>
      <c r="O435">
        <f t="shared" si="27"/>
        <v>2045.5</v>
      </c>
    </row>
    <row r="436" spans="1:15" x14ac:dyDescent="0.2">
      <c r="A436" t="s">
        <v>19</v>
      </c>
      <c r="B436">
        <v>9</v>
      </c>
      <c r="C436">
        <v>36</v>
      </c>
      <c r="D436">
        <v>6</v>
      </c>
      <c r="E436">
        <v>12</v>
      </c>
      <c r="F436">
        <v>34</v>
      </c>
      <c r="G436">
        <v>2338003</v>
      </c>
      <c r="H436">
        <v>0</v>
      </c>
      <c r="I436">
        <v>1</v>
      </c>
      <c r="J436">
        <v>1</v>
      </c>
      <c r="K436">
        <v>0</v>
      </c>
      <c r="L436">
        <f t="shared" si="24"/>
        <v>29</v>
      </c>
      <c r="M436">
        <f t="shared" si="25"/>
        <v>348</v>
      </c>
      <c r="N436">
        <f t="shared" si="26"/>
        <v>342</v>
      </c>
      <c r="O436">
        <f t="shared" si="27"/>
        <v>2045.5</v>
      </c>
    </row>
    <row r="437" spans="1:15" x14ac:dyDescent="0.2">
      <c r="A437" t="s">
        <v>19</v>
      </c>
      <c r="B437">
        <v>9</v>
      </c>
      <c r="C437">
        <v>36</v>
      </c>
      <c r="D437">
        <v>7</v>
      </c>
      <c r="E437">
        <v>1</v>
      </c>
      <c r="F437">
        <v>31</v>
      </c>
      <c r="G437">
        <v>2310201</v>
      </c>
      <c r="H437">
        <v>0</v>
      </c>
      <c r="I437">
        <v>1</v>
      </c>
      <c r="J437">
        <v>1</v>
      </c>
      <c r="K437">
        <v>0</v>
      </c>
      <c r="L437">
        <f t="shared" si="24"/>
        <v>29</v>
      </c>
      <c r="M437">
        <f t="shared" si="25"/>
        <v>348</v>
      </c>
      <c r="N437">
        <f t="shared" si="26"/>
        <v>341</v>
      </c>
      <c r="O437">
        <f t="shared" si="27"/>
        <v>2045.4166666666667</v>
      </c>
    </row>
    <row r="438" spans="1:15" x14ac:dyDescent="0.2">
      <c r="A438" t="s">
        <v>19</v>
      </c>
      <c r="B438">
        <v>9</v>
      </c>
      <c r="C438">
        <v>36</v>
      </c>
      <c r="D438">
        <v>7</v>
      </c>
      <c r="E438">
        <v>12</v>
      </c>
      <c r="F438">
        <v>31</v>
      </c>
      <c r="G438">
        <v>2326403</v>
      </c>
      <c r="H438">
        <v>1</v>
      </c>
      <c r="I438">
        <v>0</v>
      </c>
      <c r="J438">
        <v>1</v>
      </c>
      <c r="K438">
        <v>0</v>
      </c>
      <c r="L438">
        <f t="shared" si="24"/>
        <v>29</v>
      </c>
      <c r="M438">
        <f t="shared" si="25"/>
        <v>348</v>
      </c>
      <c r="N438">
        <f t="shared" si="26"/>
        <v>341</v>
      </c>
      <c r="O438">
        <f t="shared" si="27"/>
        <v>2045.4166666666667</v>
      </c>
    </row>
    <row r="439" spans="1:15" x14ac:dyDescent="0.2">
      <c r="A439" t="s">
        <v>19</v>
      </c>
      <c r="B439">
        <v>9</v>
      </c>
      <c r="C439">
        <v>36</v>
      </c>
      <c r="D439">
        <v>8</v>
      </c>
      <c r="E439">
        <v>1</v>
      </c>
      <c r="F439">
        <v>31</v>
      </c>
      <c r="G439">
        <v>2309501</v>
      </c>
      <c r="H439">
        <v>0</v>
      </c>
      <c r="I439">
        <v>1</v>
      </c>
      <c r="J439">
        <v>1</v>
      </c>
      <c r="K439">
        <v>0</v>
      </c>
      <c r="L439">
        <f t="shared" si="24"/>
        <v>29</v>
      </c>
      <c r="M439">
        <f t="shared" si="25"/>
        <v>348</v>
      </c>
      <c r="N439">
        <f t="shared" si="26"/>
        <v>340</v>
      </c>
      <c r="O439">
        <f t="shared" si="27"/>
        <v>2045.3333333333333</v>
      </c>
    </row>
    <row r="440" spans="1:15" x14ac:dyDescent="0.2">
      <c r="A440" t="s">
        <v>19</v>
      </c>
      <c r="B440">
        <v>9</v>
      </c>
      <c r="C440">
        <v>36</v>
      </c>
      <c r="D440">
        <v>8</v>
      </c>
      <c r="E440">
        <v>4</v>
      </c>
      <c r="F440">
        <v>35</v>
      </c>
      <c r="G440">
        <v>2309301</v>
      </c>
      <c r="H440">
        <v>1</v>
      </c>
      <c r="I440">
        <v>0</v>
      </c>
      <c r="J440">
        <v>1</v>
      </c>
      <c r="K440">
        <v>0</v>
      </c>
      <c r="L440">
        <f t="shared" si="24"/>
        <v>29</v>
      </c>
      <c r="M440">
        <f t="shared" si="25"/>
        <v>348</v>
      </c>
      <c r="N440">
        <f t="shared" si="26"/>
        <v>340</v>
      </c>
      <c r="O440">
        <f t="shared" si="27"/>
        <v>2045.3333333333333</v>
      </c>
    </row>
    <row r="441" spans="1:15" x14ac:dyDescent="0.2">
      <c r="A441" t="s">
        <v>19</v>
      </c>
      <c r="B441">
        <v>9</v>
      </c>
      <c r="C441">
        <v>36</v>
      </c>
      <c r="D441">
        <v>13</v>
      </c>
      <c r="E441">
        <v>4</v>
      </c>
      <c r="F441">
        <v>34</v>
      </c>
      <c r="G441">
        <v>2272101</v>
      </c>
      <c r="H441">
        <v>1</v>
      </c>
      <c r="I441">
        <v>0</v>
      </c>
      <c r="J441">
        <v>1</v>
      </c>
      <c r="K441">
        <v>0</v>
      </c>
      <c r="L441">
        <f t="shared" si="24"/>
        <v>29</v>
      </c>
      <c r="M441">
        <f t="shared" si="25"/>
        <v>348</v>
      </c>
      <c r="N441">
        <f t="shared" si="26"/>
        <v>335</v>
      </c>
      <c r="O441">
        <f t="shared" si="27"/>
        <v>2044.9166666666667</v>
      </c>
    </row>
    <row r="442" spans="1:15" x14ac:dyDescent="0.2">
      <c r="A442" t="s">
        <v>19</v>
      </c>
      <c r="B442">
        <v>9</v>
      </c>
      <c r="C442">
        <v>36</v>
      </c>
      <c r="D442">
        <v>14</v>
      </c>
      <c r="E442">
        <v>12</v>
      </c>
      <c r="F442">
        <v>30</v>
      </c>
      <c r="G442">
        <v>2262803</v>
      </c>
      <c r="H442">
        <v>0</v>
      </c>
      <c r="I442">
        <v>1</v>
      </c>
      <c r="J442">
        <v>1</v>
      </c>
      <c r="K442">
        <v>0</v>
      </c>
      <c r="L442">
        <f t="shared" si="24"/>
        <v>29</v>
      </c>
      <c r="M442">
        <f t="shared" si="25"/>
        <v>348</v>
      </c>
      <c r="N442">
        <f t="shared" si="26"/>
        <v>334</v>
      </c>
      <c r="O442">
        <f t="shared" si="27"/>
        <v>2044.8333333333333</v>
      </c>
    </row>
    <row r="443" spans="1:15" x14ac:dyDescent="0.2">
      <c r="A443" t="s">
        <v>19</v>
      </c>
      <c r="B443">
        <v>9</v>
      </c>
      <c r="C443">
        <v>36</v>
      </c>
      <c r="D443">
        <v>22</v>
      </c>
      <c r="E443">
        <v>12</v>
      </c>
      <c r="F443">
        <v>34</v>
      </c>
      <c r="G443">
        <v>2209103</v>
      </c>
      <c r="H443">
        <v>1</v>
      </c>
      <c r="I443">
        <v>0</v>
      </c>
      <c r="J443">
        <v>1</v>
      </c>
      <c r="K443">
        <v>0</v>
      </c>
      <c r="L443">
        <f t="shared" si="24"/>
        <v>29</v>
      </c>
      <c r="M443">
        <f t="shared" si="25"/>
        <v>348</v>
      </c>
      <c r="N443">
        <f t="shared" si="26"/>
        <v>326</v>
      </c>
      <c r="O443">
        <f t="shared" si="27"/>
        <v>2044.1666666666667</v>
      </c>
    </row>
    <row r="444" spans="1:15" x14ac:dyDescent="0.2">
      <c r="A444" t="s">
        <v>19</v>
      </c>
      <c r="B444">
        <v>9</v>
      </c>
      <c r="C444">
        <v>36</v>
      </c>
      <c r="D444">
        <v>29</v>
      </c>
      <c r="E444">
        <v>1</v>
      </c>
      <c r="F444">
        <v>32</v>
      </c>
      <c r="G444">
        <v>1080502</v>
      </c>
      <c r="H444">
        <v>0</v>
      </c>
      <c r="I444">
        <v>1</v>
      </c>
      <c r="J444">
        <v>1</v>
      </c>
      <c r="K444">
        <v>0</v>
      </c>
      <c r="L444">
        <f t="shared" si="24"/>
        <v>29</v>
      </c>
      <c r="M444">
        <f t="shared" si="25"/>
        <v>348</v>
      </c>
      <c r="N444">
        <f t="shared" si="26"/>
        <v>319</v>
      </c>
      <c r="O444">
        <f t="shared" si="27"/>
        <v>2043.5833333333333</v>
      </c>
    </row>
    <row r="445" spans="1:15" x14ac:dyDescent="0.2">
      <c r="A445" t="s">
        <v>19</v>
      </c>
      <c r="B445">
        <v>9</v>
      </c>
      <c r="C445">
        <v>36</v>
      </c>
      <c r="D445">
        <v>29</v>
      </c>
      <c r="E445">
        <v>1</v>
      </c>
      <c r="F445">
        <v>32</v>
      </c>
      <c r="G445">
        <v>2185201</v>
      </c>
      <c r="H445">
        <v>1</v>
      </c>
      <c r="I445">
        <v>0</v>
      </c>
      <c r="J445">
        <v>1</v>
      </c>
      <c r="K445">
        <v>0</v>
      </c>
      <c r="L445">
        <f t="shared" si="24"/>
        <v>29</v>
      </c>
      <c r="M445">
        <f t="shared" si="25"/>
        <v>348</v>
      </c>
      <c r="N445">
        <f t="shared" si="26"/>
        <v>319</v>
      </c>
      <c r="O445">
        <f t="shared" si="27"/>
        <v>2043.5833333333333</v>
      </c>
    </row>
    <row r="446" spans="1:15" x14ac:dyDescent="0.2">
      <c r="A446" t="s">
        <v>19</v>
      </c>
      <c r="B446">
        <v>9</v>
      </c>
      <c r="C446">
        <v>36</v>
      </c>
      <c r="D446">
        <v>34</v>
      </c>
      <c r="E446">
        <v>4</v>
      </c>
      <c r="F446">
        <v>36</v>
      </c>
      <c r="G446">
        <v>2160701</v>
      </c>
      <c r="H446">
        <v>1</v>
      </c>
      <c r="I446">
        <v>0</v>
      </c>
      <c r="J446">
        <v>1</v>
      </c>
      <c r="K446">
        <v>0</v>
      </c>
      <c r="L446">
        <f t="shared" si="24"/>
        <v>29</v>
      </c>
      <c r="M446">
        <f t="shared" si="25"/>
        <v>348</v>
      </c>
      <c r="N446">
        <f t="shared" si="26"/>
        <v>314</v>
      </c>
      <c r="O446">
        <f t="shared" si="27"/>
        <v>2043.1666666666667</v>
      </c>
    </row>
    <row r="447" spans="1:15" x14ac:dyDescent="0.2">
      <c r="A447" t="s">
        <v>19</v>
      </c>
      <c r="B447">
        <v>9</v>
      </c>
      <c r="C447">
        <v>36</v>
      </c>
      <c r="D447">
        <v>36</v>
      </c>
      <c r="E447">
        <v>1</v>
      </c>
      <c r="F447">
        <v>35</v>
      </c>
      <c r="G447">
        <v>2148201</v>
      </c>
      <c r="H447">
        <v>0</v>
      </c>
      <c r="I447">
        <v>1</v>
      </c>
      <c r="J447">
        <v>1</v>
      </c>
      <c r="K447">
        <v>0</v>
      </c>
      <c r="L447">
        <f t="shared" si="24"/>
        <v>29</v>
      </c>
      <c r="M447">
        <f t="shared" si="25"/>
        <v>348</v>
      </c>
      <c r="N447">
        <f t="shared" si="26"/>
        <v>312</v>
      </c>
      <c r="O447">
        <f t="shared" si="27"/>
        <v>2043</v>
      </c>
    </row>
    <row r="448" spans="1:15" x14ac:dyDescent="0.2">
      <c r="A448" t="s">
        <v>19</v>
      </c>
      <c r="B448">
        <v>9</v>
      </c>
      <c r="C448">
        <v>36</v>
      </c>
      <c r="D448">
        <v>37</v>
      </c>
      <c r="E448">
        <v>1</v>
      </c>
      <c r="F448">
        <v>26</v>
      </c>
      <c r="G448">
        <v>2141201</v>
      </c>
      <c r="H448">
        <v>0</v>
      </c>
      <c r="I448">
        <v>1</v>
      </c>
      <c r="J448">
        <v>1</v>
      </c>
      <c r="K448">
        <v>0</v>
      </c>
      <c r="L448">
        <f t="shared" si="24"/>
        <v>29</v>
      </c>
      <c r="M448">
        <f t="shared" si="25"/>
        <v>348</v>
      </c>
      <c r="N448">
        <f t="shared" si="26"/>
        <v>311</v>
      </c>
      <c r="O448">
        <f t="shared" si="27"/>
        <v>2042.9166666666667</v>
      </c>
    </row>
    <row r="449" spans="1:15" x14ac:dyDescent="0.2">
      <c r="A449" t="s">
        <v>19</v>
      </c>
      <c r="B449">
        <v>9</v>
      </c>
      <c r="C449">
        <v>36</v>
      </c>
      <c r="D449">
        <v>39</v>
      </c>
      <c r="E449">
        <v>4</v>
      </c>
      <c r="F449">
        <v>35</v>
      </c>
      <c r="G449">
        <v>2133401</v>
      </c>
      <c r="H449">
        <v>1</v>
      </c>
      <c r="I449">
        <v>0</v>
      </c>
      <c r="J449">
        <v>1</v>
      </c>
      <c r="K449">
        <v>0</v>
      </c>
      <c r="L449">
        <f t="shared" si="24"/>
        <v>29</v>
      </c>
      <c r="M449">
        <f t="shared" si="25"/>
        <v>348</v>
      </c>
      <c r="N449">
        <f t="shared" si="26"/>
        <v>309</v>
      </c>
      <c r="O449">
        <f t="shared" si="27"/>
        <v>2042.75</v>
      </c>
    </row>
    <row r="450" spans="1:15" x14ac:dyDescent="0.2">
      <c r="A450" t="s">
        <v>19</v>
      </c>
      <c r="B450">
        <v>9</v>
      </c>
      <c r="C450">
        <v>36</v>
      </c>
      <c r="D450">
        <v>40</v>
      </c>
      <c r="E450">
        <v>12</v>
      </c>
      <c r="F450">
        <v>31</v>
      </c>
      <c r="G450">
        <v>2131602</v>
      </c>
      <c r="H450">
        <v>0</v>
      </c>
      <c r="I450">
        <v>1</v>
      </c>
      <c r="J450">
        <v>1</v>
      </c>
      <c r="K450">
        <v>0</v>
      </c>
      <c r="L450">
        <f t="shared" si="24"/>
        <v>29</v>
      </c>
      <c r="M450">
        <f t="shared" si="25"/>
        <v>348</v>
      </c>
      <c r="N450">
        <f t="shared" si="26"/>
        <v>308</v>
      </c>
      <c r="O450">
        <f t="shared" si="27"/>
        <v>2042.6666666666667</v>
      </c>
    </row>
    <row r="451" spans="1:15" x14ac:dyDescent="0.2">
      <c r="A451" t="s">
        <v>19</v>
      </c>
      <c r="B451">
        <v>9</v>
      </c>
      <c r="C451">
        <v>36</v>
      </c>
      <c r="D451">
        <v>41</v>
      </c>
      <c r="E451">
        <v>12</v>
      </c>
      <c r="F451">
        <v>30</v>
      </c>
      <c r="G451">
        <v>2125502</v>
      </c>
      <c r="H451">
        <v>0</v>
      </c>
      <c r="I451">
        <v>1</v>
      </c>
      <c r="J451">
        <v>1</v>
      </c>
      <c r="K451">
        <v>0</v>
      </c>
      <c r="L451">
        <f t="shared" si="24"/>
        <v>29</v>
      </c>
      <c r="M451">
        <f t="shared" si="25"/>
        <v>348</v>
      </c>
      <c r="N451">
        <f t="shared" si="26"/>
        <v>307</v>
      </c>
      <c r="O451">
        <f t="shared" si="27"/>
        <v>2042.5833333333333</v>
      </c>
    </row>
    <row r="452" spans="1:15" x14ac:dyDescent="0.2">
      <c r="A452" t="s">
        <v>19</v>
      </c>
      <c r="B452">
        <v>9</v>
      </c>
      <c r="C452">
        <v>36</v>
      </c>
      <c r="D452">
        <v>44</v>
      </c>
      <c r="E452">
        <v>1</v>
      </c>
      <c r="F452">
        <v>34</v>
      </c>
      <c r="G452">
        <v>2109601</v>
      </c>
      <c r="H452">
        <v>1</v>
      </c>
      <c r="I452">
        <v>0</v>
      </c>
      <c r="J452">
        <v>1</v>
      </c>
      <c r="K452">
        <v>0</v>
      </c>
      <c r="L452">
        <f t="shared" si="24"/>
        <v>29</v>
      </c>
      <c r="M452">
        <f t="shared" si="25"/>
        <v>348</v>
      </c>
      <c r="N452">
        <f t="shared" si="26"/>
        <v>304</v>
      </c>
      <c r="O452">
        <f t="shared" si="27"/>
        <v>2042.3333333333333</v>
      </c>
    </row>
    <row r="453" spans="1:15" x14ac:dyDescent="0.2">
      <c r="A453" t="s">
        <v>19</v>
      </c>
      <c r="B453">
        <v>9</v>
      </c>
      <c r="C453">
        <v>36</v>
      </c>
      <c r="D453">
        <v>44</v>
      </c>
      <c r="E453">
        <v>2</v>
      </c>
      <c r="F453">
        <v>36</v>
      </c>
      <c r="G453">
        <v>2109801</v>
      </c>
      <c r="H453">
        <v>0</v>
      </c>
      <c r="I453">
        <v>1</v>
      </c>
      <c r="J453">
        <v>1</v>
      </c>
      <c r="K453">
        <v>0</v>
      </c>
      <c r="L453">
        <f t="shared" si="24"/>
        <v>29</v>
      </c>
      <c r="M453">
        <f t="shared" si="25"/>
        <v>348</v>
      </c>
      <c r="N453">
        <f t="shared" si="26"/>
        <v>304</v>
      </c>
      <c r="O453">
        <f t="shared" si="27"/>
        <v>2042.3333333333333</v>
      </c>
    </row>
    <row r="454" spans="1:15" x14ac:dyDescent="0.2">
      <c r="A454" t="s">
        <v>19</v>
      </c>
      <c r="B454">
        <v>9</v>
      </c>
      <c r="C454">
        <v>36</v>
      </c>
      <c r="D454">
        <v>48</v>
      </c>
      <c r="E454">
        <v>2</v>
      </c>
      <c r="F454">
        <v>34</v>
      </c>
      <c r="G454">
        <v>2090201</v>
      </c>
      <c r="H454">
        <v>0</v>
      </c>
      <c r="I454">
        <v>1</v>
      </c>
      <c r="J454">
        <v>1</v>
      </c>
      <c r="K454">
        <v>0</v>
      </c>
      <c r="L454">
        <f t="shared" si="24"/>
        <v>29</v>
      </c>
      <c r="M454">
        <f t="shared" si="25"/>
        <v>348</v>
      </c>
      <c r="N454">
        <f t="shared" si="26"/>
        <v>300</v>
      </c>
      <c r="O454">
        <f t="shared" si="27"/>
        <v>2042</v>
      </c>
    </row>
    <row r="455" spans="1:15" x14ac:dyDescent="0.2">
      <c r="A455" t="s">
        <v>19</v>
      </c>
      <c r="B455">
        <v>9</v>
      </c>
      <c r="C455">
        <v>36</v>
      </c>
      <c r="D455">
        <v>53</v>
      </c>
      <c r="E455">
        <v>1</v>
      </c>
      <c r="F455">
        <v>30</v>
      </c>
      <c r="G455">
        <v>2067901</v>
      </c>
      <c r="H455">
        <v>0</v>
      </c>
      <c r="I455">
        <v>1</v>
      </c>
      <c r="J455">
        <v>1</v>
      </c>
      <c r="K455">
        <v>0</v>
      </c>
      <c r="L455">
        <f t="shared" ref="L455:L518" si="28">65-C455</f>
        <v>29</v>
      </c>
      <c r="M455">
        <f t="shared" ref="M455:M518" si="29">L455*12</f>
        <v>348</v>
      </c>
      <c r="N455">
        <f t="shared" ref="N455:N518" si="30">M455-D455</f>
        <v>295</v>
      </c>
      <c r="O455">
        <f t="shared" ref="O455:O518" si="31">2017+N455/12</f>
        <v>2041.5833333333333</v>
      </c>
    </row>
    <row r="456" spans="1:15" x14ac:dyDescent="0.2">
      <c r="A456" t="s">
        <v>19</v>
      </c>
      <c r="B456">
        <v>9</v>
      </c>
      <c r="C456">
        <v>36</v>
      </c>
      <c r="D456">
        <v>53</v>
      </c>
      <c r="E456">
        <v>1</v>
      </c>
      <c r="F456">
        <v>30</v>
      </c>
      <c r="G456">
        <v>2069401</v>
      </c>
      <c r="H456">
        <v>0</v>
      </c>
      <c r="I456">
        <v>1</v>
      </c>
      <c r="J456">
        <v>1</v>
      </c>
      <c r="K456">
        <v>0</v>
      </c>
      <c r="L456">
        <f t="shared" si="28"/>
        <v>29</v>
      </c>
      <c r="M456">
        <f t="shared" si="29"/>
        <v>348</v>
      </c>
      <c r="N456">
        <f t="shared" si="30"/>
        <v>295</v>
      </c>
      <c r="O456">
        <f t="shared" si="31"/>
        <v>2041.5833333333333</v>
      </c>
    </row>
    <row r="457" spans="1:15" x14ac:dyDescent="0.2">
      <c r="A457" t="s">
        <v>19</v>
      </c>
      <c r="B457">
        <v>9</v>
      </c>
      <c r="C457">
        <v>36</v>
      </c>
      <c r="D457">
        <v>53</v>
      </c>
      <c r="E457">
        <v>2</v>
      </c>
      <c r="F457">
        <v>35</v>
      </c>
      <c r="G457">
        <v>2068301</v>
      </c>
      <c r="H457">
        <v>1</v>
      </c>
      <c r="I457">
        <v>0</v>
      </c>
      <c r="J457">
        <v>1</v>
      </c>
      <c r="K457">
        <v>0</v>
      </c>
      <c r="L457">
        <f t="shared" si="28"/>
        <v>29</v>
      </c>
      <c r="M457">
        <f t="shared" si="29"/>
        <v>348</v>
      </c>
      <c r="N457">
        <f t="shared" si="30"/>
        <v>295</v>
      </c>
      <c r="O457">
        <f t="shared" si="31"/>
        <v>2041.5833333333333</v>
      </c>
    </row>
    <row r="458" spans="1:15" x14ac:dyDescent="0.2">
      <c r="A458" t="s">
        <v>19</v>
      </c>
      <c r="B458">
        <v>9</v>
      </c>
      <c r="C458">
        <v>36</v>
      </c>
      <c r="D458">
        <v>54</v>
      </c>
      <c r="E458">
        <v>2</v>
      </c>
      <c r="F458">
        <v>35</v>
      </c>
      <c r="G458">
        <v>2060301</v>
      </c>
      <c r="H458">
        <v>0</v>
      </c>
      <c r="I458">
        <v>1</v>
      </c>
      <c r="J458">
        <v>1</v>
      </c>
      <c r="K458">
        <v>0</v>
      </c>
      <c r="L458">
        <f t="shared" si="28"/>
        <v>29</v>
      </c>
      <c r="M458">
        <f t="shared" si="29"/>
        <v>348</v>
      </c>
      <c r="N458">
        <f t="shared" si="30"/>
        <v>294</v>
      </c>
      <c r="O458">
        <f t="shared" si="31"/>
        <v>2041.5</v>
      </c>
    </row>
    <row r="459" spans="1:15" x14ac:dyDescent="0.2">
      <c r="A459" t="s">
        <v>19</v>
      </c>
      <c r="B459">
        <v>9</v>
      </c>
      <c r="C459">
        <v>36</v>
      </c>
      <c r="D459">
        <v>56</v>
      </c>
      <c r="E459">
        <v>2</v>
      </c>
      <c r="F459">
        <v>29</v>
      </c>
      <c r="G459">
        <v>2048301</v>
      </c>
      <c r="H459">
        <v>0</v>
      </c>
      <c r="I459">
        <v>1</v>
      </c>
      <c r="J459">
        <v>1</v>
      </c>
      <c r="K459">
        <v>0</v>
      </c>
      <c r="L459">
        <f t="shared" si="28"/>
        <v>29</v>
      </c>
      <c r="M459">
        <f t="shared" si="29"/>
        <v>348</v>
      </c>
      <c r="N459">
        <f t="shared" si="30"/>
        <v>292</v>
      </c>
      <c r="O459">
        <f t="shared" si="31"/>
        <v>2041.3333333333333</v>
      </c>
    </row>
    <row r="460" spans="1:15" x14ac:dyDescent="0.2">
      <c r="A460" t="s">
        <v>19</v>
      </c>
      <c r="B460">
        <v>9</v>
      </c>
      <c r="C460">
        <v>36</v>
      </c>
      <c r="D460">
        <v>58</v>
      </c>
      <c r="E460">
        <v>1</v>
      </c>
      <c r="F460">
        <v>33</v>
      </c>
      <c r="G460">
        <v>2035101</v>
      </c>
      <c r="H460">
        <v>0</v>
      </c>
      <c r="I460">
        <v>1</v>
      </c>
      <c r="J460">
        <v>1</v>
      </c>
      <c r="K460">
        <v>0</v>
      </c>
      <c r="L460">
        <f t="shared" si="28"/>
        <v>29</v>
      </c>
      <c r="M460">
        <f t="shared" si="29"/>
        <v>348</v>
      </c>
      <c r="N460">
        <f t="shared" si="30"/>
        <v>290</v>
      </c>
      <c r="O460">
        <f t="shared" si="31"/>
        <v>2041.1666666666667</v>
      </c>
    </row>
    <row r="461" spans="1:15" x14ac:dyDescent="0.2">
      <c r="A461" t="s">
        <v>19</v>
      </c>
      <c r="B461">
        <v>9</v>
      </c>
      <c r="C461">
        <v>36</v>
      </c>
      <c r="D461">
        <v>58</v>
      </c>
      <c r="E461">
        <v>1</v>
      </c>
      <c r="F461">
        <v>34</v>
      </c>
      <c r="G461">
        <v>1648302</v>
      </c>
      <c r="H461">
        <v>1</v>
      </c>
      <c r="I461">
        <v>0</v>
      </c>
      <c r="J461">
        <v>1</v>
      </c>
      <c r="K461">
        <v>0</v>
      </c>
      <c r="L461">
        <f t="shared" si="28"/>
        <v>29</v>
      </c>
      <c r="M461">
        <f t="shared" si="29"/>
        <v>348</v>
      </c>
      <c r="N461">
        <f t="shared" si="30"/>
        <v>290</v>
      </c>
      <c r="O461">
        <f t="shared" si="31"/>
        <v>2041.1666666666667</v>
      </c>
    </row>
    <row r="462" spans="1:15" x14ac:dyDescent="0.2">
      <c r="A462" t="s">
        <v>19</v>
      </c>
      <c r="B462">
        <v>9</v>
      </c>
      <c r="C462">
        <v>36</v>
      </c>
      <c r="D462">
        <v>69</v>
      </c>
      <c r="E462">
        <v>1</v>
      </c>
      <c r="F462">
        <v>32</v>
      </c>
      <c r="G462">
        <v>1999101</v>
      </c>
      <c r="H462">
        <v>0</v>
      </c>
      <c r="I462">
        <v>1</v>
      </c>
      <c r="J462">
        <v>1</v>
      </c>
      <c r="K462">
        <v>0</v>
      </c>
      <c r="L462">
        <f t="shared" si="28"/>
        <v>29</v>
      </c>
      <c r="M462">
        <f t="shared" si="29"/>
        <v>348</v>
      </c>
      <c r="N462">
        <f t="shared" si="30"/>
        <v>279</v>
      </c>
      <c r="O462">
        <f t="shared" si="31"/>
        <v>2040.25</v>
      </c>
    </row>
    <row r="463" spans="1:15" x14ac:dyDescent="0.2">
      <c r="A463" t="s">
        <v>19</v>
      </c>
      <c r="B463">
        <v>9</v>
      </c>
      <c r="C463">
        <v>36</v>
      </c>
      <c r="D463">
        <v>73</v>
      </c>
      <c r="E463">
        <v>1</v>
      </c>
      <c r="F463">
        <v>35</v>
      </c>
      <c r="G463">
        <v>1985801</v>
      </c>
      <c r="H463">
        <v>0</v>
      </c>
      <c r="I463">
        <v>1</v>
      </c>
      <c r="J463">
        <v>1</v>
      </c>
      <c r="K463">
        <v>0</v>
      </c>
      <c r="L463">
        <f t="shared" si="28"/>
        <v>29</v>
      </c>
      <c r="M463">
        <f t="shared" si="29"/>
        <v>348</v>
      </c>
      <c r="N463">
        <f t="shared" si="30"/>
        <v>275</v>
      </c>
      <c r="O463">
        <f t="shared" si="31"/>
        <v>2039.9166666666667</v>
      </c>
    </row>
    <row r="464" spans="1:15" x14ac:dyDescent="0.2">
      <c r="A464" t="s">
        <v>19</v>
      </c>
      <c r="B464">
        <v>9</v>
      </c>
      <c r="C464">
        <v>36</v>
      </c>
      <c r="D464">
        <v>74</v>
      </c>
      <c r="E464">
        <v>1</v>
      </c>
      <c r="F464">
        <v>33</v>
      </c>
      <c r="G464">
        <v>1982401</v>
      </c>
      <c r="H464">
        <v>0</v>
      </c>
      <c r="I464">
        <v>1</v>
      </c>
      <c r="J464">
        <v>1</v>
      </c>
      <c r="K464">
        <v>0</v>
      </c>
      <c r="L464">
        <f t="shared" si="28"/>
        <v>29</v>
      </c>
      <c r="M464">
        <f t="shared" si="29"/>
        <v>348</v>
      </c>
      <c r="N464">
        <f t="shared" si="30"/>
        <v>274</v>
      </c>
      <c r="O464">
        <f t="shared" si="31"/>
        <v>2039.8333333333333</v>
      </c>
    </row>
    <row r="465" spans="1:15" x14ac:dyDescent="0.2">
      <c r="A465" t="s">
        <v>19</v>
      </c>
      <c r="B465">
        <v>9</v>
      </c>
      <c r="C465">
        <v>36</v>
      </c>
      <c r="D465">
        <v>90</v>
      </c>
      <c r="E465">
        <v>2</v>
      </c>
      <c r="F465">
        <v>33</v>
      </c>
      <c r="G465">
        <v>1925201</v>
      </c>
      <c r="H465">
        <v>0</v>
      </c>
      <c r="I465">
        <v>1</v>
      </c>
      <c r="J465">
        <v>1</v>
      </c>
      <c r="K465">
        <v>0</v>
      </c>
      <c r="L465">
        <f t="shared" si="28"/>
        <v>29</v>
      </c>
      <c r="M465">
        <f t="shared" si="29"/>
        <v>348</v>
      </c>
      <c r="N465">
        <f t="shared" si="30"/>
        <v>258</v>
      </c>
      <c r="O465">
        <f t="shared" si="31"/>
        <v>2038.5</v>
      </c>
    </row>
    <row r="466" spans="1:15" x14ac:dyDescent="0.2">
      <c r="A466" t="s">
        <v>19</v>
      </c>
      <c r="B466">
        <v>9</v>
      </c>
      <c r="C466">
        <v>36</v>
      </c>
      <c r="D466">
        <v>101</v>
      </c>
      <c r="E466">
        <v>1</v>
      </c>
      <c r="F466">
        <v>35</v>
      </c>
      <c r="G466">
        <v>1827501</v>
      </c>
      <c r="H466">
        <v>0</v>
      </c>
      <c r="I466">
        <v>1</v>
      </c>
      <c r="J466">
        <v>1</v>
      </c>
      <c r="K466">
        <v>0</v>
      </c>
      <c r="L466">
        <f t="shared" si="28"/>
        <v>29</v>
      </c>
      <c r="M466">
        <f t="shared" si="29"/>
        <v>348</v>
      </c>
      <c r="N466">
        <f t="shared" si="30"/>
        <v>247</v>
      </c>
      <c r="O466">
        <f t="shared" si="31"/>
        <v>2037.5833333333333</v>
      </c>
    </row>
    <row r="467" spans="1:15" x14ac:dyDescent="0.2">
      <c r="A467" t="s">
        <v>19</v>
      </c>
      <c r="B467">
        <v>9</v>
      </c>
      <c r="C467">
        <v>36</v>
      </c>
      <c r="D467">
        <v>104</v>
      </c>
      <c r="E467">
        <v>1</v>
      </c>
      <c r="F467">
        <v>28</v>
      </c>
      <c r="G467">
        <v>1792202</v>
      </c>
      <c r="H467">
        <v>1</v>
      </c>
      <c r="I467">
        <v>0</v>
      </c>
      <c r="J467">
        <v>1</v>
      </c>
      <c r="K467">
        <v>0</v>
      </c>
      <c r="L467">
        <f t="shared" si="28"/>
        <v>29</v>
      </c>
      <c r="M467">
        <f t="shared" si="29"/>
        <v>348</v>
      </c>
      <c r="N467">
        <f t="shared" si="30"/>
        <v>244</v>
      </c>
      <c r="O467">
        <f t="shared" si="31"/>
        <v>2037.3333333333333</v>
      </c>
    </row>
    <row r="468" spans="1:15" x14ac:dyDescent="0.2">
      <c r="A468" t="s">
        <v>19</v>
      </c>
      <c r="B468">
        <v>9</v>
      </c>
      <c r="C468">
        <v>36</v>
      </c>
      <c r="D468">
        <v>104</v>
      </c>
      <c r="E468">
        <v>12</v>
      </c>
      <c r="F468">
        <v>36</v>
      </c>
      <c r="G468">
        <v>1797601</v>
      </c>
      <c r="H468">
        <v>1</v>
      </c>
      <c r="I468">
        <v>0</v>
      </c>
      <c r="J468">
        <v>1</v>
      </c>
      <c r="K468">
        <v>0</v>
      </c>
      <c r="L468">
        <f t="shared" si="28"/>
        <v>29</v>
      </c>
      <c r="M468">
        <f t="shared" si="29"/>
        <v>348</v>
      </c>
      <c r="N468">
        <f t="shared" si="30"/>
        <v>244</v>
      </c>
      <c r="O468">
        <f t="shared" si="31"/>
        <v>2037.3333333333333</v>
      </c>
    </row>
    <row r="469" spans="1:15" x14ac:dyDescent="0.2">
      <c r="A469" t="s">
        <v>19</v>
      </c>
      <c r="B469">
        <v>9</v>
      </c>
      <c r="C469">
        <v>36</v>
      </c>
      <c r="D469">
        <v>105</v>
      </c>
      <c r="E469">
        <v>12</v>
      </c>
      <c r="F469">
        <v>29</v>
      </c>
      <c r="G469">
        <v>1782702</v>
      </c>
      <c r="H469">
        <v>0</v>
      </c>
      <c r="I469">
        <v>1</v>
      </c>
      <c r="J469">
        <v>1</v>
      </c>
      <c r="K469">
        <v>0</v>
      </c>
      <c r="L469">
        <f t="shared" si="28"/>
        <v>29</v>
      </c>
      <c r="M469">
        <f t="shared" si="29"/>
        <v>348</v>
      </c>
      <c r="N469">
        <f t="shared" si="30"/>
        <v>243</v>
      </c>
      <c r="O469">
        <f t="shared" si="31"/>
        <v>2037.25</v>
      </c>
    </row>
    <row r="470" spans="1:15" x14ac:dyDescent="0.2">
      <c r="A470" t="s">
        <v>19</v>
      </c>
      <c r="B470">
        <v>9</v>
      </c>
      <c r="C470">
        <v>36</v>
      </c>
      <c r="D470">
        <v>106</v>
      </c>
      <c r="E470">
        <v>2</v>
      </c>
      <c r="F470">
        <v>32</v>
      </c>
      <c r="G470">
        <v>1770001</v>
      </c>
      <c r="H470">
        <v>0</v>
      </c>
      <c r="I470">
        <v>1</v>
      </c>
      <c r="J470">
        <v>1</v>
      </c>
      <c r="K470">
        <v>0</v>
      </c>
      <c r="L470">
        <f t="shared" si="28"/>
        <v>29</v>
      </c>
      <c r="M470">
        <f t="shared" si="29"/>
        <v>348</v>
      </c>
      <c r="N470">
        <f t="shared" si="30"/>
        <v>242</v>
      </c>
      <c r="O470">
        <f t="shared" si="31"/>
        <v>2037.1666666666667</v>
      </c>
    </row>
    <row r="471" spans="1:15" x14ac:dyDescent="0.2">
      <c r="A471" t="s">
        <v>19</v>
      </c>
      <c r="B471">
        <v>9</v>
      </c>
      <c r="C471">
        <v>36</v>
      </c>
      <c r="D471">
        <v>108</v>
      </c>
      <c r="E471">
        <v>1</v>
      </c>
      <c r="F471">
        <v>29</v>
      </c>
      <c r="G471">
        <v>1732701</v>
      </c>
      <c r="H471">
        <v>0</v>
      </c>
      <c r="I471">
        <v>1</v>
      </c>
      <c r="J471">
        <v>1</v>
      </c>
      <c r="K471">
        <v>0</v>
      </c>
      <c r="L471">
        <f t="shared" si="28"/>
        <v>29</v>
      </c>
      <c r="M471">
        <f t="shared" si="29"/>
        <v>348</v>
      </c>
      <c r="N471">
        <f t="shared" si="30"/>
        <v>240</v>
      </c>
      <c r="O471">
        <f t="shared" si="31"/>
        <v>2037</v>
      </c>
    </row>
    <row r="472" spans="1:15" x14ac:dyDescent="0.2">
      <c r="A472" t="s">
        <v>19</v>
      </c>
      <c r="B472">
        <v>9</v>
      </c>
      <c r="C472">
        <v>36</v>
      </c>
      <c r="D472">
        <v>118</v>
      </c>
      <c r="E472">
        <v>2</v>
      </c>
      <c r="F472">
        <v>32</v>
      </c>
      <c r="G472">
        <v>680602</v>
      </c>
      <c r="H472">
        <v>0</v>
      </c>
      <c r="I472">
        <v>1</v>
      </c>
      <c r="J472">
        <v>1</v>
      </c>
      <c r="K472">
        <v>0</v>
      </c>
      <c r="L472">
        <f t="shared" si="28"/>
        <v>29</v>
      </c>
      <c r="M472">
        <f t="shared" si="29"/>
        <v>348</v>
      </c>
      <c r="N472">
        <f t="shared" si="30"/>
        <v>230</v>
      </c>
      <c r="O472">
        <f t="shared" si="31"/>
        <v>2036.1666666666667</v>
      </c>
    </row>
    <row r="473" spans="1:15" x14ac:dyDescent="0.2">
      <c r="A473" t="s">
        <v>19</v>
      </c>
      <c r="B473">
        <v>9</v>
      </c>
      <c r="C473">
        <v>36</v>
      </c>
      <c r="D473">
        <v>119</v>
      </c>
      <c r="E473">
        <v>1</v>
      </c>
      <c r="F473">
        <v>34</v>
      </c>
      <c r="G473">
        <v>1642401</v>
      </c>
      <c r="H473">
        <v>0</v>
      </c>
      <c r="I473">
        <v>1</v>
      </c>
      <c r="J473">
        <v>1</v>
      </c>
      <c r="K473">
        <v>0</v>
      </c>
      <c r="L473">
        <f t="shared" si="28"/>
        <v>29</v>
      </c>
      <c r="M473">
        <f t="shared" si="29"/>
        <v>348</v>
      </c>
      <c r="N473">
        <f t="shared" si="30"/>
        <v>229</v>
      </c>
      <c r="O473">
        <f t="shared" si="31"/>
        <v>2036.0833333333333</v>
      </c>
    </row>
    <row r="474" spans="1:15" x14ac:dyDescent="0.2">
      <c r="A474" t="s">
        <v>19</v>
      </c>
      <c r="B474">
        <v>9</v>
      </c>
      <c r="C474">
        <v>36</v>
      </c>
      <c r="D474">
        <v>120</v>
      </c>
      <c r="E474">
        <v>1</v>
      </c>
      <c r="F474">
        <v>36</v>
      </c>
      <c r="G474">
        <v>1629101</v>
      </c>
      <c r="H474">
        <v>1</v>
      </c>
      <c r="I474">
        <v>0</v>
      </c>
      <c r="J474">
        <v>1</v>
      </c>
      <c r="K474">
        <v>0</v>
      </c>
      <c r="L474">
        <f t="shared" si="28"/>
        <v>29</v>
      </c>
      <c r="M474">
        <f t="shared" si="29"/>
        <v>348</v>
      </c>
      <c r="N474">
        <f t="shared" si="30"/>
        <v>228</v>
      </c>
      <c r="O474">
        <f t="shared" si="31"/>
        <v>2036</v>
      </c>
    </row>
    <row r="475" spans="1:15" x14ac:dyDescent="0.2">
      <c r="A475" t="s">
        <v>19</v>
      </c>
      <c r="B475">
        <v>9</v>
      </c>
      <c r="C475">
        <v>36</v>
      </c>
      <c r="D475">
        <v>141</v>
      </c>
      <c r="E475">
        <v>1</v>
      </c>
      <c r="F475">
        <v>34</v>
      </c>
      <c r="G475">
        <v>553502</v>
      </c>
      <c r="H475">
        <v>0</v>
      </c>
      <c r="I475">
        <v>1</v>
      </c>
      <c r="J475">
        <v>1</v>
      </c>
      <c r="K475">
        <v>0</v>
      </c>
      <c r="L475">
        <f t="shared" si="28"/>
        <v>29</v>
      </c>
      <c r="M475">
        <f t="shared" si="29"/>
        <v>348</v>
      </c>
      <c r="N475">
        <f t="shared" si="30"/>
        <v>207</v>
      </c>
      <c r="O475">
        <f t="shared" si="31"/>
        <v>2034.25</v>
      </c>
    </row>
    <row r="476" spans="1:15" x14ac:dyDescent="0.2">
      <c r="A476" t="s">
        <v>19</v>
      </c>
      <c r="B476">
        <v>9</v>
      </c>
      <c r="C476">
        <v>36</v>
      </c>
      <c r="D476">
        <v>143</v>
      </c>
      <c r="E476">
        <v>1</v>
      </c>
      <c r="F476">
        <v>35</v>
      </c>
      <c r="G476">
        <v>1110501</v>
      </c>
      <c r="H476">
        <v>0</v>
      </c>
      <c r="I476">
        <v>1</v>
      </c>
      <c r="J476">
        <v>1</v>
      </c>
      <c r="K476">
        <v>0</v>
      </c>
      <c r="L476">
        <f t="shared" si="28"/>
        <v>29</v>
      </c>
      <c r="M476">
        <f t="shared" si="29"/>
        <v>348</v>
      </c>
      <c r="N476">
        <f t="shared" si="30"/>
        <v>205</v>
      </c>
      <c r="O476">
        <f t="shared" si="31"/>
        <v>2034.0833333333333</v>
      </c>
    </row>
    <row r="477" spans="1:15" x14ac:dyDescent="0.2">
      <c r="A477" t="s">
        <v>19</v>
      </c>
      <c r="B477">
        <v>9</v>
      </c>
      <c r="C477">
        <v>36</v>
      </c>
      <c r="D477">
        <v>144</v>
      </c>
      <c r="E477">
        <v>1</v>
      </c>
      <c r="F477">
        <v>32</v>
      </c>
      <c r="G477">
        <v>1092001</v>
      </c>
      <c r="H477">
        <v>0</v>
      </c>
      <c r="I477">
        <v>1</v>
      </c>
      <c r="J477">
        <v>1</v>
      </c>
      <c r="K477">
        <v>0</v>
      </c>
      <c r="L477">
        <f t="shared" si="28"/>
        <v>29</v>
      </c>
      <c r="M477">
        <f t="shared" si="29"/>
        <v>348</v>
      </c>
      <c r="N477">
        <f t="shared" si="30"/>
        <v>204</v>
      </c>
      <c r="O477">
        <f t="shared" si="31"/>
        <v>2034</v>
      </c>
    </row>
    <row r="478" spans="1:15" x14ac:dyDescent="0.2">
      <c r="A478" t="s">
        <v>19</v>
      </c>
      <c r="B478">
        <v>9</v>
      </c>
      <c r="C478">
        <v>36</v>
      </c>
      <c r="D478">
        <v>145</v>
      </c>
      <c r="E478">
        <v>1</v>
      </c>
      <c r="F478">
        <v>31</v>
      </c>
      <c r="G478">
        <v>1099001</v>
      </c>
      <c r="H478">
        <v>0</v>
      </c>
      <c r="I478">
        <v>1</v>
      </c>
      <c r="J478">
        <v>1</v>
      </c>
      <c r="K478">
        <v>0</v>
      </c>
      <c r="L478">
        <f t="shared" si="28"/>
        <v>29</v>
      </c>
      <c r="M478">
        <f t="shared" si="29"/>
        <v>348</v>
      </c>
      <c r="N478">
        <f t="shared" si="30"/>
        <v>203</v>
      </c>
      <c r="O478">
        <f t="shared" si="31"/>
        <v>2033.9166666666667</v>
      </c>
    </row>
    <row r="479" spans="1:15" x14ac:dyDescent="0.2">
      <c r="A479" t="s">
        <v>19</v>
      </c>
      <c r="B479">
        <v>9</v>
      </c>
      <c r="C479">
        <v>36</v>
      </c>
      <c r="D479">
        <v>149</v>
      </c>
      <c r="E479">
        <v>12</v>
      </c>
      <c r="F479">
        <v>35</v>
      </c>
      <c r="G479">
        <v>1061501</v>
      </c>
      <c r="H479">
        <v>0</v>
      </c>
      <c r="I479">
        <v>1</v>
      </c>
      <c r="J479">
        <v>1</v>
      </c>
      <c r="K479">
        <v>0</v>
      </c>
      <c r="L479">
        <f t="shared" si="28"/>
        <v>29</v>
      </c>
      <c r="M479">
        <f t="shared" si="29"/>
        <v>348</v>
      </c>
      <c r="N479">
        <f t="shared" si="30"/>
        <v>199</v>
      </c>
      <c r="O479">
        <f t="shared" si="31"/>
        <v>2033.5833333333333</v>
      </c>
    </row>
    <row r="480" spans="1:15" x14ac:dyDescent="0.2">
      <c r="A480" t="s">
        <v>19</v>
      </c>
      <c r="B480">
        <v>9</v>
      </c>
      <c r="C480">
        <v>36</v>
      </c>
      <c r="D480">
        <v>151</v>
      </c>
      <c r="E480">
        <v>1</v>
      </c>
      <c r="F480">
        <v>32</v>
      </c>
      <c r="G480">
        <v>1044901</v>
      </c>
      <c r="H480">
        <v>0</v>
      </c>
      <c r="I480">
        <v>1</v>
      </c>
      <c r="J480">
        <v>1</v>
      </c>
      <c r="K480">
        <v>0</v>
      </c>
      <c r="L480">
        <f t="shared" si="28"/>
        <v>29</v>
      </c>
      <c r="M480">
        <f t="shared" si="29"/>
        <v>348</v>
      </c>
      <c r="N480">
        <f t="shared" si="30"/>
        <v>197</v>
      </c>
      <c r="O480">
        <f t="shared" si="31"/>
        <v>2033.4166666666667</v>
      </c>
    </row>
    <row r="481" spans="1:15" x14ac:dyDescent="0.2">
      <c r="A481" t="s">
        <v>19</v>
      </c>
      <c r="B481">
        <v>9</v>
      </c>
      <c r="C481">
        <v>36</v>
      </c>
      <c r="D481">
        <v>151</v>
      </c>
      <c r="E481">
        <v>1</v>
      </c>
      <c r="F481">
        <v>32</v>
      </c>
      <c r="G481">
        <v>1047601</v>
      </c>
      <c r="H481">
        <v>0</v>
      </c>
      <c r="I481">
        <v>1</v>
      </c>
      <c r="J481">
        <v>1</v>
      </c>
      <c r="K481">
        <v>0</v>
      </c>
      <c r="L481">
        <f t="shared" si="28"/>
        <v>29</v>
      </c>
      <c r="M481">
        <f t="shared" si="29"/>
        <v>348</v>
      </c>
      <c r="N481">
        <f t="shared" si="30"/>
        <v>197</v>
      </c>
      <c r="O481">
        <f t="shared" si="31"/>
        <v>2033.4166666666667</v>
      </c>
    </row>
    <row r="482" spans="1:15" x14ac:dyDescent="0.2">
      <c r="A482" t="s">
        <v>19</v>
      </c>
      <c r="B482">
        <v>9</v>
      </c>
      <c r="C482">
        <v>36</v>
      </c>
      <c r="D482">
        <v>166</v>
      </c>
      <c r="E482">
        <v>1</v>
      </c>
      <c r="F482">
        <v>34</v>
      </c>
      <c r="G482">
        <v>926001</v>
      </c>
      <c r="H482">
        <v>1</v>
      </c>
      <c r="I482">
        <v>0</v>
      </c>
      <c r="J482">
        <v>1</v>
      </c>
      <c r="K482">
        <v>0</v>
      </c>
      <c r="L482">
        <f t="shared" si="28"/>
        <v>29</v>
      </c>
      <c r="M482">
        <f t="shared" si="29"/>
        <v>348</v>
      </c>
      <c r="N482">
        <f t="shared" si="30"/>
        <v>182</v>
      </c>
      <c r="O482">
        <f t="shared" si="31"/>
        <v>2032.1666666666667</v>
      </c>
    </row>
    <row r="483" spans="1:15" x14ac:dyDescent="0.2">
      <c r="A483" t="s">
        <v>19</v>
      </c>
      <c r="B483">
        <v>9</v>
      </c>
      <c r="C483">
        <v>36</v>
      </c>
      <c r="D483">
        <v>186</v>
      </c>
      <c r="E483">
        <v>1</v>
      </c>
      <c r="F483">
        <v>16</v>
      </c>
      <c r="G483">
        <v>886103</v>
      </c>
      <c r="H483">
        <v>0</v>
      </c>
      <c r="I483">
        <v>1</v>
      </c>
      <c r="J483">
        <v>1</v>
      </c>
      <c r="K483">
        <v>0</v>
      </c>
      <c r="L483">
        <f t="shared" si="28"/>
        <v>29</v>
      </c>
      <c r="M483">
        <f t="shared" si="29"/>
        <v>348</v>
      </c>
      <c r="N483">
        <f t="shared" si="30"/>
        <v>162</v>
      </c>
      <c r="O483">
        <f t="shared" si="31"/>
        <v>2030.5</v>
      </c>
    </row>
    <row r="484" spans="1:15" x14ac:dyDescent="0.2">
      <c r="A484" t="s">
        <v>19</v>
      </c>
      <c r="B484">
        <v>9</v>
      </c>
      <c r="C484">
        <v>36</v>
      </c>
      <c r="D484">
        <v>192</v>
      </c>
      <c r="E484">
        <v>1</v>
      </c>
      <c r="F484">
        <v>31</v>
      </c>
      <c r="G484">
        <v>850901</v>
      </c>
      <c r="H484">
        <v>0</v>
      </c>
      <c r="I484">
        <v>1</v>
      </c>
      <c r="J484">
        <v>1</v>
      </c>
      <c r="K484">
        <v>0</v>
      </c>
      <c r="L484">
        <f t="shared" si="28"/>
        <v>29</v>
      </c>
      <c r="M484">
        <f t="shared" si="29"/>
        <v>348</v>
      </c>
      <c r="N484">
        <f t="shared" si="30"/>
        <v>156</v>
      </c>
      <c r="O484">
        <f t="shared" si="31"/>
        <v>2030</v>
      </c>
    </row>
    <row r="485" spans="1:15" x14ac:dyDescent="0.2">
      <c r="A485" t="s">
        <v>19</v>
      </c>
      <c r="B485">
        <v>9</v>
      </c>
      <c r="C485">
        <v>36</v>
      </c>
      <c r="D485">
        <v>193</v>
      </c>
      <c r="E485">
        <v>2</v>
      </c>
      <c r="F485">
        <v>33</v>
      </c>
      <c r="G485">
        <v>845901</v>
      </c>
      <c r="H485">
        <v>0</v>
      </c>
      <c r="I485">
        <v>1</v>
      </c>
      <c r="J485">
        <v>1</v>
      </c>
      <c r="K485">
        <v>0</v>
      </c>
      <c r="L485">
        <f t="shared" si="28"/>
        <v>29</v>
      </c>
      <c r="M485">
        <f t="shared" si="29"/>
        <v>348</v>
      </c>
      <c r="N485">
        <f t="shared" si="30"/>
        <v>155</v>
      </c>
      <c r="O485">
        <f t="shared" si="31"/>
        <v>2029.9166666666667</v>
      </c>
    </row>
    <row r="486" spans="1:15" x14ac:dyDescent="0.2">
      <c r="A486" t="s">
        <v>19</v>
      </c>
      <c r="B486">
        <v>9</v>
      </c>
      <c r="C486">
        <v>36</v>
      </c>
      <c r="D486">
        <v>194</v>
      </c>
      <c r="E486">
        <v>1</v>
      </c>
      <c r="F486">
        <v>32</v>
      </c>
      <c r="G486">
        <v>838801</v>
      </c>
      <c r="H486">
        <v>0</v>
      </c>
      <c r="I486">
        <v>1</v>
      </c>
      <c r="J486">
        <v>1</v>
      </c>
      <c r="K486">
        <v>0</v>
      </c>
      <c r="L486">
        <f t="shared" si="28"/>
        <v>29</v>
      </c>
      <c r="M486">
        <f t="shared" si="29"/>
        <v>348</v>
      </c>
      <c r="N486">
        <f t="shared" si="30"/>
        <v>154</v>
      </c>
      <c r="O486">
        <f t="shared" si="31"/>
        <v>2029.8333333333333</v>
      </c>
    </row>
    <row r="487" spans="1:15" x14ac:dyDescent="0.2">
      <c r="A487" t="s">
        <v>19</v>
      </c>
      <c r="B487">
        <v>9</v>
      </c>
      <c r="C487">
        <v>36</v>
      </c>
      <c r="D487">
        <v>199</v>
      </c>
      <c r="E487">
        <v>1</v>
      </c>
      <c r="F487">
        <v>36</v>
      </c>
      <c r="G487">
        <v>807701</v>
      </c>
      <c r="H487">
        <v>0</v>
      </c>
      <c r="I487">
        <v>1</v>
      </c>
      <c r="J487">
        <v>1</v>
      </c>
      <c r="K487">
        <v>0</v>
      </c>
      <c r="L487">
        <f t="shared" si="28"/>
        <v>29</v>
      </c>
      <c r="M487">
        <f t="shared" si="29"/>
        <v>348</v>
      </c>
      <c r="N487">
        <f t="shared" si="30"/>
        <v>149</v>
      </c>
      <c r="O487">
        <f t="shared" si="31"/>
        <v>2029.4166666666667</v>
      </c>
    </row>
    <row r="488" spans="1:15" x14ac:dyDescent="0.2">
      <c r="A488" t="s">
        <v>19</v>
      </c>
      <c r="B488">
        <v>9</v>
      </c>
      <c r="C488">
        <v>36</v>
      </c>
      <c r="D488">
        <v>202</v>
      </c>
      <c r="E488">
        <v>1</v>
      </c>
      <c r="F488">
        <v>32</v>
      </c>
      <c r="G488">
        <v>762101</v>
      </c>
      <c r="H488">
        <v>0</v>
      </c>
      <c r="I488">
        <v>1</v>
      </c>
      <c r="J488">
        <v>1</v>
      </c>
      <c r="K488">
        <v>0</v>
      </c>
      <c r="L488">
        <f t="shared" si="28"/>
        <v>29</v>
      </c>
      <c r="M488">
        <f t="shared" si="29"/>
        <v>348</v>
      </c>
      <c r="N488">
        <f t="shared" si="30"/>
        <v>146</v>
      </c>
      <c r="O488">
        <f t="shared" si="31"/>
        <v>2029.1666666666667</v>
      </c>
    </row>
    <row r="489" spans="1:15" x14ac:dyDescent="0.2">
      <c r="A489" t="s">
        <v>19</v>
      </c>
      <c r="B489">
        <v>9</v>
      </c>
      <c r="C489">
        <v>36</v>
      </c>
      <c r="D489">
        <v>202</v>
      </c>
      <c r="E489">
        <v>1</v>
      </c>
      <c r="F489">
        <v>34</v>
      </c>
      <c r="G489">
        <v>764502</v>
      </c>
      <c r="H489">
        <v>0</v>
      </c>
      <c r="I489">
        <v>1</v>
      </c>
      <c r="J489">
        <v>1</v>
      </c>
      <c r="K489">
        <v>0</v>
      </c>
      <c r="L489">
        <f t="shared" si="28"/>
        <v>29</v>
      </c>
      <c r="M489">
        <f t="shared" si="29"/>
        <v>348</v>
      </c>
      <c r="N489">
        <f t="shared" si="30"/>
        <v>146</v>
      </c>
      <c r="O489">
        <f t="shared" si="31"/>
        <v>2029.1666666666667</v>
      </c>
    </row>
    <row r="490" spans="1:15" x14ac:dyDescent="0.2">
      <c r="A490" t="s">
        <v>19</v>
      </c>
      <c r="B490">
        <v>9</v>
      </c>
      <c r="C490">
        <v>36</v>
      </c>
      <c r="D490">
        <v>202</v>
      </c>
      <c r="E490">
        <v>1</v>
      </c>
      <c r="F490">
        <v>35</v>
      </c>
      <c r="G490">
        <v>770201</v>
      </c>
      <c r="H490">
        <v>0</v>
      </c>
      <c r="I490">
        <v>1</v>
      </c>
      <c r="J490">
        <v>1</v>
      </c>
      <c r="K490">
        <v>0</v>
      </c>
      <c r="L490">
        <f t="shared" si="28"/>
        <v>29</v>
      </c>
      <c r="M490">
        <f t="shared" si="29"/>
        <v>348</v>
      </c>
      <c r="N490">
        <f t="shared" si="30"/>
        <v>146</v>
      </c>
      <c r="O490">
        <f t="shared" si="31"/>
        <v>2029.1666666666667</v>
      </c>
    </row>
    <row r="491" spans="1:15" x14ac:dyDescent="0.2">
      <c r="A491" t="s">
        <v>19</v>
      </c>
      <c r="B491">
        <v>9</v>
      </c>
      <c r="C491">
        <v>36</v>
      </c>
      <c r="D491">
        <v>203</v>
      </c>
      <c r="E491">
        <v>1</v>
      </c>
      <c r="F491">
        <v>34</v>
      </c>
      <c r="G491">
        <v>745501</v>
      </c>
      <c r="H491">
        <v>0</v>
      </c>
      <c r="I491">
        <v>1</v>
      </c>
      <c r="J491">
        <v>1</v>
      </c>
      <c r="K491">
        <v>0</v>
      </c>
      <c r="L491">
        <f t="shared" si="28"/>
        <v>29</v>
      </c>
      <c r="M491">
        <f t="shared" si="29"/>
        <v>348</v>
      </c>
      <c r="N491">
        <f t="shared" si="30"/>
        <v>145</v>
      </c>
      <c r="O491">
        <f t="shared" si="31"/>
        <v>2029.0833333333333</v>
      </c>
    </row>
    <row r="492" spans="1:15" x14ac:dyDescent="0.2">
      <c r="A492" t="s">
        <v>19</v>
      </c>
      <c r="B492">
        <v>9</v>
      </c>
      <c r="C492">
        <v>36</v>
      </c>
      <c r="D492">
        <v>204</v>
      </c>
      <c r="E492">
        <v>1</v>
      </c>
      <c r="F492">
        <v>32</v>
      </c>
      <c r="G492">
        <v>722301</v>
      </c>
      <c r="H492">
        <v>0</v>
      </c>
      <c r="I492">
        <v>1</v>
      </c>
      <c r="J492">
        <v>1</v>
      </c>
      <c r="K492">
        <v>0</v>
      </c>
      <c r="L492">
        <f t="shared" si="28"/>
        <v>29</v>
      </c>
      <c r="M492">
        <f t="shared" si="29"/>
        <v>348</v>
      </c>
      <c r="N492">
        <f t="shared" si="30"/>
        <v>144</v>
      </c>
      <c r="O492">
        <f t="shared" si="31"/>
        <v>2029</v>
      </c>
    </row>
    <row r="493" spans="1:15" x14ac:dyDescent="0.2">
      <c r="A493" t="s">
        <v>19</v>
      </c>
      <c r="B493">
        <v>9</v>
      </c>
      <c r="C493">
        <v>36</v>
      </c>
      <c r="D493">
        <v>212</v>
      </c>
      <c r="E493">
        <v>1</v>
      </c>
      <c r="F493">
        <v>35</v>
      </c>
      <c r="G493">
        <v>633001</v>
      </c>
      <c r="H493">
        <v>1</v>
      </c>
      <c r="I493">
        <v>0</v>
      </c>
      <c r="J493">
        <v>1</v>
      </c>
      <c r="K493">
        <v>0</v>
      </c>
      <c r="L493">
        <f t="shared" si="28"/>
        <v>29</v>
      </c>
      <c r="M493">
        <f t="shared" si="29"/>
        <v>348</v>
      </c>
      <c r="N493">
        <f t="shared" si="30"/>
        <v>136</v>
      </c>
      <c r="O493">
        <f t="shared" si="31"/>
        <v>2028.3333333333333</v>
      </c>
    </row>
    <row r="494" spans="1:15" x14ac:dyDescent="0.2">
      <c r="A494" t="s">
        <v>19</v>
      </c>
      <c r="B494">
        <v>9</v>
      </c>
      <c r="C494">
        <v>36</v>
      </c>
      <c r="D494">
        <v>218</v>
      </c>
      <c r="E494">
        <v>12</v>
      </c>
      <c r="F494">
        <v>33</v>
      </c>
      <c r="G494">
        <v>314203</v>
      </c>
      <c r="H494">
        <v>0</v>
      </c>
      <c r="I494">
        <v>1</v>
      </c>
      <c r="J494">
        <v>1</v>
      </c>
      <c r="K494">
        <v>0</v>
      </c>
      <c r="L494">
        <f t="shared" si="28"/>
        <v>29</v>
      </c>
      <c r="M494">
        <f t="shared" si="29"/>
        <v>348</v>
      </c>
      <c r="N494">
        <f t="shared" si="30"/>
        <v>130</v>
      </c>
      <c r="O494">
        <f t="shared" si="31"/>
        <v>2027.8333333333333</v>
      </c>
    </row>
    <row r="495" spans="1:15" x14ac:dyDescent="0.2">
      <c r="A495" t="s">
        <v>19</v>
      </c>
      <c r="B495">
        <v>9</v>
      </c>
      <c r="C495">
        <v>36</v>
      </c>
      <c r="D495">
        <v>218</v>
      </c>
      <c r="E495">
        <v>12</v>
      </c>
      <c r="F495">
        <v>33</v>
      </c>
      <c r="G495">
        <v>384601</v>
      </c>
      <c r="H495">
        <v>0</v>
      </c>
      <c r="I495">
        <v>1</v>
      </c>
      <c r="J495">
        <v>1</v>
      </c>
      <c r="K495">
        <v>0</v>
      </c>
      <c r="L495">
        <f t="shared" si="28"/>
        <v>29</v>
      </c>
      <c r="M495">
        <f t="shared" si="29"/>
        <v>348</v>
      </c>
      <c r="N495">
        <f t="shared" si="30"/>
        <v>130</v>
      </c>
      <c r="O495">
        <f t="shared" si="31"/>
        <v>2027.8333333333333</v>
      </c>
    </row>
    <row r="496" spans="1:15" x14ac:dyDescent="0.2">
      <c r="A496" t="s">
        <v>19</v>
      </c>
      <c r="B496">
        <v>9</v>
      </c>
      <c r="C496">
        <v>36</v>
      </c>
      <c r="D496">
        <v>220</v>
      </c>
      <c r="E496">
        <v>1</v>
      </c>
      <c r="F496">
        <v>33</v>
      </c>
      <c r="G496">
        <v>358001</v>
      </c>
      <c r="H496">
        <v>0</v>
      </c>
      <c r="I496">
        <v>1</v>
      </c>
      <c r="J496">
        <v>1</v>
      </c>
      <c r="K496">
        <v>0</v>
      </c>
      <c r="L496">
        <f t="shared" si="28"/>
        <v>29</v>
      </c>
      <c r="M496">
        <f t="shared" si="29"/>
        <v>348</v>
      </c>
      <c r="N496">
        <f t="shared" si="30"/>
        <v>128</v>
      </c>
      <c r="O496">
        <f t="shared" si="31"/>
        <v>2027.6666666666667</v>
      </c>
    </row>
    <row r="497" spans="1:15" x14ac:dyDescent="0.2">
      <c r="A497" t="s">
        <v>19</v>
      </c>
      <c r="B497">
        <v>9</v>
      </c>
      <c r="C497">
        <v>36</v>
      </c>
      <c r="D497">
        <v>223</v>
      </c>
      <c r="E497">
        <v>1</v>
      </c>
      <c r="F497">
        <v>26</v>
      </c>
      <c r="G497">
        <v>318802</v>
      </c>
      <c r="H497">
        <v>0</v>
      </c>
      <c r="I497">
        <v>1</v>
      </c>
      <c r="J497">
        <v>1</v>
      </c>
      <c r="K497">
        <v>0</v>
      </c>
      <c r="L497">
        <f t="shared" si="28"/>
        <v>29</v>
      </c>
      <c r="M497">
        <f t="shared" si="29"/>
        <v>348</v>
      </c>
      <c r="N497">
        <f t="shared" si="30"/>
        <v>125</v>
      </c>
      <c r="O497">
        <f t="shared" si="31"/>
        <v>2027.4166666666667</v>
      </c>
    </row>
    <row r="498" spans="1:15" x14ac:dyDescent="0.2">
      <c r="A498" t="s">
        <v>19</v>
      </c>
      <c r="B498">
        <v>9</v>
      </c>
      <c r="C498">
        <v>36</v>
      </c>
      <c r="D498">
        <v>224</v>
      </c>
      <c r="E498">
        <v>1</v>
      </c>
      <c r="F498">
        <v>36</v>
      </c>
      <c r="G498">
        <v>305201</v>
      </c>
      <c r="H498">
        <v>0</v>
      </c>
      <c r="I498">
        <v>1</v>
      </c>
      <c r="J498">
        <v>1</v>
      </c>
      <c r="K498">
        <v>0</v>
      </c>
      <c r="L498">
        <f t="shared" si="28"/>
        <v>29</v>
      </c>
      <c r="M498">
        <f t="shared" si="29"/>
        <v>348</v>
      </c>
      <c r="N498">
        <f t="shared" si="30"/>
        <v>124</v>
      </c>
      <c r="O498">
        <f t="shared" si="31"/>
        <v>2027.3333333333333</v>
      </c>
    </row>
    <row r="499" spans="1:15" x14ac:dyDescent="0.2">
      <c r="A499" t="s">
        <v>19</v>
      </c>
      <c r="B499">
        <v>9</v>
      </c>
      <c r="C499">
        <v>36</v>
      </c>
      <c r="D499">
        <v>225</v>
      </c>
      <c r="E499">
        <v>1</v>
      </c>
      <c r="F499">
        <v>35</v>
      </c>
      <c r="G499">
        <v>262501</v>
      </c>
      <c r="H499">
        <v>0</v>
      </c>
      <c r="I499">
        <v>1</v>
      </c>
      <c r="J499">
        <v>1</v>
      </c>
      <c r="K499">
        <v>0</v>
      </c>
      <c r="L499">
        <f t="shared" si="28"/>
        <v>29</v>
      </c>
      <c r="M499">
        <f t="shared" si="29"/>
        <v>348</v>
      </c>
      <c r="N499">
        <f t="shared" si="30"/>
        <v>123</v>
      </c>
      <c r="O499">
        <f t="shared" si="31"/>
        <v>2027.25</v>
      </c>
    </row>
    <row r="500" spans="1:15" x14ac:dyDescent="0.2">
      <c r="A500" t="s">
        <v>19</v>
      </c>
      <c r="B500">
        <v>9</v>
      </c>
      <c r="C500">
        <v>36</v>
      </c>
      <c r="D500">
        <v>227</v>
      </c>
      <c r="E500">
        <v>1</v>
      </c>
      <c r="F500">
        <v>28</v>
      </c>
      <c r="G500">
        <v>240401</v>
      </c>
      <c r="H500">
        <v>0</v>
      </c>
      <c r="I500">
        <v>1</v>
      </c>
      <c r="J500">
        <v>1</v>
      </c>
      <c r="K500">
        <v>0</v>
      </c>
      <c r="L500">
        <f t="shared" si="28"/>
        <v>29</v>
      </c>
      <c r="M500">
        <f t="shared" si="29"/>
        <v>348</v>
      </c>
      <c r="N500">
        <f t="shared" si="30"/>
        <v>121</v>
      </c>
      <c r="O500">
        <f t="shared" si="31"/>
        <v>2027.0833333333333</v>
      </c>
    </row>
    <row r="501" spans="1:15" x14ac:dyDescent="0.2">
      <c r="A501" t="s">
        <v>19</v>
      </c>
      <c r="B501">
        <v>9</v>
      </c>
      <c r="C501">
        <v>36</v>
      </c>
      <c r="D501">
        <v>229</v>
      </c>
      <c r="E501">
        <v>12</v>
      </c>
      <c r="F501">
        <v>31</v>
      </c>
      <c r="G501">
        <v>214801</v>
      </c>
      <c r="H501">
        <v>0</v>
      </c>
      <c r="I501">
        <v>1</v>
      </c>
      <c r="J501">
        <v>1</v>
      </c>
      <c r="K501">
        <v>0</v>
      </c>
      <c r="L501">
        <f t="shared" si="28"/>
        <v>29</v>
      </c>
      <c r="M501">
        <f t="shared" si="29"/>
        <v>348</v>
      </c>
      <c r="N501">
        <f t="shared" si="30"/>
        <v>119</v>
      </c>
      <c r="O501">
        <f t="shared" si="31"/>
        <v>2026.9166666666667</v>
      </c>
    </row>
    <row r="502" spans="1:15" x14ac:dyDescent="0.2">
      <c r="A502" t="s">
        <v>19</v>
      </c>
      <c r="B502">
        <v>9</v>
      </c>
      <c r="C502">
        <v>36</v>
      </c>
      <c r="D502">
        <v>230</v>
      </c>
      <c r="E502">
        <v>1</v>
      </c>
      <c r="F502">
        <v>36</v>
      </c>
      <c r="G502">
        <v>184801</v>
      </c>
      <c r="H502">
        <v>1</v>
      </c>
      <c r="I502">
        <v>0</v>
      </c>
      <c r="J502">
        <v>1</v>
      </c>
      <c r="K502">
        <v>0</v>
      </c>
      <c r="L502">
        <f t="shared" si="28"/>
        <v>29</v>
      </c>
      <c r="M502">
        <f t="shared" si="29"/>
        <v>348</v>
      </c>
      <c r="N502">
        <f t="shared" si="30"/>
        <v>118</v>
      </c>
      <c r="O502">
        <f t="shared" si="31"/>
        <v>2026.8333333333333</v>
      </c>
    </row>
    <row r="503" spans="1:15" x14ac:dyDescent="0.2">
      <c r="A503" t="s">
        <v>19</v>
      </c>
      <c r="B503">
        <v>9</v>
      </c>
      <c r="C503">
        <v>36</v>
      </c>
      <c r="D503">
        <v>234</v>
      </c>
      <c r="E503">
        <v>1</v>
      </c>
      <c r="F503">
        <v>33</v>
      </c>
      <c r="G503">
        <v>138101</v>
      </c>
      <c r="H503">
        <v>0</v>
      </c>
      <c r="I503">
        <v>1</v>
      </c>
      <c r="J503">
        <v>1</v>
      </c>
      <c r="K503">
        <v>0</v>
      </c>
      <c r="L503">
        <f t="shared" si="28"/>
        <v>29</v>
      </c>
      <c r="M503">
        <f t="shared" si="29"/>
        <v>348</v>
      </c>
      <c r="N503">
        <f t="shared" si="30"/>
        <v>114</v>
      </c>
      <c r="O503">
        <f t="shared" si="31"/>
        <v>2026.5</v>
      </c>
    </row>
    <row r="504" spans="1:15" x14ac:dyDescent="0.2">
      <c r="A504" t="s">
        <v>19</v>
      </c>
      <c r="B504">
        <v>9</v>
      </c>
      <c r="C504">
        <v>36</v>
      </c>
      <c r="D504">
        <v>235</v>
      </c>
      <c r="E504">
        <v>1</v>
      </c>
      <c r="F504">
        <v>33</v>
      </c>
      <c r="G504">
        <v>131301</v>
      </c>
      <c r="H504">
        <v>0</v>
      </c>
      <c r="I504">
        <v>1</v>
      </c>
      <c r="J504">
        <v>1</v>
      </c>
      <c r="K504">
        <v>0</v>
      </c>
      <c r="L504">
        <f t="shared" si="28"/>
        <v>29</v>
      </c>
      <c r="M504">
        <f t="shared" si="29"/>
        <v>348</v>
      </c>
      <c r="N504">
        <f t="shared" si="30"/>
        <v>113</v>
      </c>
      <c r="O504">
        <f t="shared" si="31"/>
        <v>2026.4166666666667</v>
      </c>
    </row>
    <row r="505" spans="1:15" x14ac:dyDescent="0.2">
      <c r="A505" t="s">
        <v>19</v>
      </c>
      <c r="B505">
        <v>9</v>
      </c>
      <c r="C505">
        <v>36</v>
      </c>
      <c r="D505">
        <v>237</v>
      </c>
      <c r="E505">
        <v>1</v>
      </c>
      <c r="F505">
        <v>26</v>
      </c>
      <c r="G505">
        <v>100401</v>
      </c>
      <c r="H505">
        <v>0</v>
      </c>
      <c r="I505">
        <v>1</v>
      </c>
      <c r="J505">
        <v>1</v>
      </c>
      <c r="K505">
        <v>0</v>
      </c>
      <c r="L505">
        <f t="shared" si="28"/>
        <v>29</v>
      </c>
      <c r="M505">
        <f t="shared" si="29"/>
        <v>348</v>
      </c>
      <c r="N505">
        <f t="shared" si="30"/>
        <v>111</v>
      </c>
      <c r="O505">
        <f t="shared" si="31"/>
        <v>2026.25</v>
      </c>
    </row>
    <row r="506" spans="1:15" x14ac:dyDescent="0.2">
      <c r="A506" t="s">
        <v>19</v>
      </c>
      <c r="B506">
        <v>9</v>
      </c>
      <c r="C506">
        <v>36</v>
      </c>
      <c r="D506">
        <v>237</v>
      </c>
      <c r="E506">
        <v>1</v>
      </c>
      <c r="F506">
        <v>34</v>
      </c>
      <c r="G506">
        <v>102001</v>
      </c>
      <c r="H506">
        <v>1</v>
      </c>
      <c r="I506">
        <v>0</v>
      </c>
      <c r="J506">
        <v>1</v>
      </c>
      <c r="K506">
        <v>0</v>
      </c>
      <c r="L506">
        <f t="shared" si="28"/>
        <v>29</v>
      </c>
      <c r="M506">
        <f t="shared" si="29"/>
        <v>348</v>
      </c>
      <c r="N506">
        <f t="shared" si="30"/>
        <v>111</v>
      </c>
      <c r="O506">
        <f t="shared" si="31"/>
        <v>2026.25</v>
      </c>
    </row>
    <row r="507" spans="1:15" x14ac:dyDescent="0.2">
      <c r="A507" t="s">
        <v>19</v>
      </c>
      <c r="B507">
        <v>9</v>
      </c>
      <c r="C507">
        <v>36</v>
      </c>
      <c r="D507">
        <v>241</v>
      </c>
      <c r="E507">
        <v>1</v>
      </c>
      <c r="F507">
        <v>34</v>
      </c>
      <c r="G507">
        <v>57001</v>
      </c>
      <c r="H507">
        <v>0</v>
      </c>
      <c r="I507">
        <v>1</v>
      </c>
      <c r="J507">
        <v>1</v>
      </c>
      <c r="K507">
        <v>0</v>
      </c>
      <c r="L507">
        <f t="shared" si="28"/>
        <v>29</v>
      </c>
      <c r="M507">
        <f t="shared" si="29"/>
        <v>348</v>
      </c>
      <c r="N507">
        <f t="shared" si="30"/>
        <v>107</v>
      </c>
      <c r="O507">
        <f t="shared" si="31"/>
        <v>2025.9166666666667</v>
      </c>
    </row>
    <row r="508" spans="1:15" x14ac:dyDescent="0.2">
      <c r="A508" t="s">
        <v>19</v>
      </c>
      <c r="B508">
        <v>9</v>
      </c>
      <c r="C508">
        <v>36</v>
      </c>
      <c r="D508">
        <v>249</v>
      </c>
      <c r="E508">
        <v>1</v>
      </c>
      <c r="F508">
        <v>26</v>
      </c>
      <c r="G508">
        <v>50901</v>
      </c>
      <c r="H508">
        <v>0</v>
      </c>
      <c r="I508">
        <v>1</v>
      </c>
      <c r="J508">
        <v>1</v>
      </c>
      <c r="K508">
        <v>0</v>
      </c>
      <c r="L508">
        <f t="shared" si="28"/>
        <v>29</v>
      </c>
      <c r="M508">
        <f t="shared" si="29"/>
        <v>348</v>
      </c>
      <c r="N508">
        <f t="shared" si="30"/>
        <v>99</v>
      </c>
      <c r="O508">
        <f t="shared" si="31"/>
        <v>2025.25</v>
      </c>
    </row>
    <row r="509" spans="1:15" x14ac:dyDescent="0.2">
      <c r="A509" t="s">
        <v>19</v>
      </c>
      <c r="B509">
        <v>9</v>
      </c>
      <c r="C509">
        <v>36</v>
      </c>
      <c r="D509">
        <v>249</v>
      </c>
      <c r="E509">
        <v>1</v>
      </c>
      <c r="F509">
        <v>33</v>
      </c>
      <c r="G509">
        <v>22601</v>
      </c>
      <c r="H509">
        <v>1</v>
      </c>
      <c r="I509">
        <v>0</v>
      </c>
      <c r="J509">
        <v>1</v>
      </c>
      <c r="K509">
        <v>0</v>
      </c>
      <c r="L509">
        <f t="shared" si="28"/>
        <v>29</v>
      </c>
      <c r="M509">
        <f t="shared" si="29"/>
        <v>348</v>
      </c>
      <c r="N509">
        <f t="shared" si="30"/>
        <v>99</v>
      </c>
      <c r="O509">
        <f t="shared" si="31"/>
        <v>2025.25</v>
      </c>
    </row>
    <row r="510" spans="1:15" x14ac:dyDescent="0.2">
      <c r="A510" t="s">
        <v>19</v>
      </c>
      <c r="B510">
        <v>9</v>
      </c>
      <c r="C510">
        <v>37</v>
      </c>
      <c r="D510">
        <v>1</v>
      </c>
      <c r="E510">
        <v>12</v>
      </c>
      <c r="F510">
        <v>27</v>
      </c>
      <c r="G510">
        <v>2406003</v>
      </c>
      <c r="H510">
        <v>0</v>
      </c>
      <c r="I510">
        <v>1</v>
      </c>
      <c r="J510">
        <v>1</v>
      </c>
      <c r="K510">
        <v>0</v>
      </c>
      <c r="L510">
        <f t="shared" si="28"/>
        <v>28</v>
      </c>
      <c r="M510">
        <f t="shared" si="29"/>
        <v>336</v>
      </c>
      <c r="N510">
        <f t="shared" si="30"/>
        <v>335</v>
      </c>
      <c r="O510">
        <f t="shared" si="31"/>
        <v>2044.9166666666667</v>
      </c>
    </row>
    <row r="511" spans="1:15" x14ac:dyDescent="0.2">
      <c r="A511" t="s">
        <v>19</v>
      </c>
      <c r="B511">
        <v>9</v>
      </c>
      <c r="C511">
        <v>37</v>
      </c>
      <c r="D511">
        <v>1</v>
      </c>
      <c r="E511">
        <v>12</v>
      </c>
      <c r="F511">
        <v>37</v>
      </c>
      <c r="G511">
        <v>2386403</v>
      </c>
      <c r="H511">
        <v>0</v>
      </c>
      <c r="I511">
        <v>1</v>
      </c>
      <c r="J511">
        <v>1</v>
      </c>
      <c r="K511">
        <v>0</v>
      </c>
      <c r="L511">
        <f t="shared" si="28"/>
        <v>28</v>
      </c>
      <c r="M511">
        <f t="shared" si="29"/>
        <v>336</v>
      </c>
      <c r="N511">
        <f t="shared" si="30"/>
        <v>335</v>
      </c>
      <c r="O511">
        <f t="shared" si="31"/>
        <v>2044.9166666666667</v>
      </c>
    </row>
    <row r="512" spans="1:15" x14ac:dyDescent="0.2">
      <c r="A512" t="s">
        <v>19</v>
      </c>
      <c r="B512">
        <v>9</v>
      </c>
      <c r="C512">
        <v>37</v>
      </c>
      <c r="D512">
        <v>3</v>
      </c>
      <c r="E512">
        <v>12</v>
      </c>
      <c r="F512">
        <v>32</v>
      </c>
      <c r="G512">
        <v>2360503</v>
      </c>
      <c r="H512">
        <v>0</v>
      </c>
      <c r="I512">
        <v>1</v>
      </c>
      <c r="J512">
        <v>1</v>
      </c>
      <c r="K512">
        <v>0</v>
      </c>
      <c r="L512">
        <f t="shared" si="28"/>
        <v>28</v>
      </c>
      <c r="M512">
        <f t="shared" si="29"/>
        <v>336</v>
      </c>
      <c r="N512">
        <f t="shared" si="30"/>
        <v>333</v>
      </c>
      <c r="O512">
        <f t="shared" si="31"/>
        <v>2044.75</v>
      </c>
    </row>
    <row r="513" spans="1:15" x14ac:dyDescent="0.2">
      <c r="A513" t="s">
        <v>19</v>
      </c>
      <c r="B513">
        <v>9</v>
      </c>
      <c r="C513">
        <v>37</v>
      </c>
      <c r="D513">
        <v>4</v>
      </c>
      <c r="E513">
        <v>12</v>
      </c>
      <c r="F513">
        <v>35</v>
      </c>
      <c r="G513">
        <v>2349803</v>
      </c>
      <c r="H513">
        <v>0</v>
      </c>
      <c r="I513">
        <v>1</v>
      </c>
      <c r="J513">
        <v>1</v>
      </c>
      <c r="K513">
        <v>0</v>
      </c>
      <c r="L513">
        <f t="shared" si="28"/>
        <v>28</v>
      </c>
      <c r="M513">
        <f t="shared" si="29"/>
        <v>336</v>
      </c>
      <c r="N513">
        <f t="shared" si="30"/>
        <v>332</v>
      </c>
      <c r="O513">
        <f t="shared" si="31"/>
        <v>2044.6666666666667</v>
      </c>
    </row>
    <row r="514" spans="1:15" x14ac:dyDescent="0.2">
      <c r="A514" t="s">
        <v>19</v>
      </c>
      <c r="B514">
        <v>9</v>
      </c>
      <c r="C514">
        <v>37</v>
      </c>
      <c r="D514">
        <v>5</v>
      </c>
      <c r="E514">
        <v>12</v>
      </c>
      <c r="F514">
        <v>34</v>
      </c>
      <c r="G514">
        <v>2346203</v>
      </c>
      <c r="H514">
        <v>0</v>
      </c>
      <c r="I514">
        <v>1</v>
      </c>
      <c r="J514">
        <v>1</v>
      </c>
      <c r="K514">
        <v>0</v>
      </c>
      <c r="L514">
        <f t="shared" si="28"/>
        <v>28</v>
      </c>
      <c r="M514">
        <f t="shared" si="29"/>
        <v>336</v>
      </c>
      <c r="N514">
        <f t="shared" si="30"/>
        <v>331</v>
      </c>
      <c r="O514">
        <f t="shared" si="31"/>
        <v>2044.5833333333333</v>
      </c>
    </row>
    <row r="515" spans="1:15" x14ac:dyDescent="0.2">
      <c r="A515" t="s">
        <v>19</v>
      </c>
      <c r="B515">
        <v>9</v>
      </c>
      <c r="C515">
        <v>37</v>
      </c>
      <c r="D515">
        <v>6</v>
      </c>
      <c r="E515">
        <v>12</v>
      </c>
      <c r="F515">
        <v>27</v>
      </c>
      <c r="G515">
        <v>2329903</v>
      </c>
      <c r="H515">
        <v>0</v>
      </c>
      <c r="I515">
        <v>1</v>
      </c>
      <c r="J515">
        <v>1</v>
      </c>
      <c r="K515">
        <v>0</v>
      </c>
      <c r="L515">
        <f t="shared" si="28"/>
        <v>28</v>
      </c>
      <c r="M515">
        <f t="shared" si="29"/>
        <v>336</v>
      </c>
      <c r="N515">
        <f t="shared" si="30"/>
        <v>330</v>
      </c>
      <c r="O515">
        <f t="shared" si="31"/>
        <v>2044.5</v>
      </c>
    </row>
    <row r="516" spans="1:15" x14ac:dyDescent="0.2">
      <c r="A516" t="s">
        <v>19</v>
      </c>
      <c r="B516">
        <v>9</v>
      </c>
      <c r="C516">
        <v>37</v>
      </c>
      <c r="D516">
        <v>6</v>
      </c>
      <c r="E516">
        <v>12</v>
      </c>
      <c r="F516">
        <v>32</v>
      </c>
      <c r="G516">
        <v>2329603</v>
      </c>
      <c r="H516">
        <v>0</v>
      </c>
      <c r="I516">
        <v>1</v>
      </c>
      <c r="J516">
        <v>1</v>
      </c>
      <c r="K516">
        <v>0</v>
      </c>
      <c r="L516">
        <f t="shared" si="28"/>
        <v>28</v>
      </c>
      <c r="M516">
        <f t="shared" si="29"/>
        <v>336</v>
      </c>
      <c r="N516">
        <f t="shared" si="30"/>
        <v>330</v>
      </c>
      <c r="O516">
        <f t="shared" si="31"/>
        <v>2044.5</v>
      </c>
    </row>
    <row r="517" spans="1:15" x14ac:dyDescent="0.2">
      <c r="A517" t="s">
        <v>19</v>
      </c>
      <c r="B517">
        <v>9</v>
      </c>
      <c r="C517">
        <v>37</v>
      </c>
      <c r="D517">
        <v>7</v>
      </c>
      <c r="E517">
        <v>12</v>
      </c>
      <c r="F517">
        <v>36</v>
      </c>
      <c r="G517">
        <v>2323603</v>
      </c>
      <c r="H517">
        <v>1</v>
      </c>
      <c r="I517">
        <v>0</v>
      </c>
      <c r="J517">
        <v>1</v>
      </c>
      <c r="K517">
        <v>0</v>
      </c>
      <c r="L517">
        <f t="shared" si="28"/>
        <v>28</v>
      </c>
      <c r="M517">
        <f t="shared" si="29"/>
        <v>336</v>
      </c>
      <c r="N517">
        <f t="shared" si="30"/>
        <v>329</v>
      </c>
      <c r="O517">
        <f t="shared" si="31"/>
        <v>2044.4166666666667</v>
      </c>
    </row>
    <row r="518" spans="1:15" x14ac:dyDescent="0.2">
      <c r="A518" t="s">
        <v>19</v>
      </c>
      <c r="B518">
        <v>9</v>
      </c>
      <c r="C518">
        <v>37</v>
      </c>
      <c r="D518">
        <v>7</v>
      </c>
      <c r="E518">
        <v>12</v>
      </c>
      <c r="F518">
        <v>37</v>
      </c>
      <c r="G518">
        <v>2328603</v>
      </c>
      <c r="H518">
        <v>0</v>
      </c>
      <c r="I518">
        <v>1</v>
      </c>
      <c r="J518">
        <v>1</v>
      </c>
      <c r="K518">
        <v>0</v>
      </c>
      <c r="L518">
        <f t="shared" si="28"/>
        <v>28</v>
      </c>
      <c r="M518">
        <f t="shared" si="29"/>
        <v>336</v>
      </c>
      <c r="N518">
        <f t="shared" si="30"/>
        <v>329</v>
      </c>
      <c r="O518">
        <f t="shared" si="31"/>
        <v>2044.4166666666667</v>
      </c>
    </row>
    <row r="519" spans="1:15" x14ac:dyDescent="0.2">
      <c r="A519" t="s">
        <v>19</v>
      </c>
      <c r="B519">
        <v>9</v>
      </c>
      <c r="C519">
        <v>37</v>
      </c>
      <c r="D519">
        <v>8</v>
      </c>
      <c r="E519">
        <v>1</v>
      </c>
      <c r="F519">
        <v>35</v>
      </c>
      <c r="G519">
        <v>2320601</v>
      </c>
      <c r="H519">
        <v>0</v>
      </c>
      <c r="I519">
        <v>1</v>
      </c>
      <c r="J519">
        <v>1</v>
      </c>
      <c r="K519">
        <v>0</v>
      </c>
      <c r="L519">
        <f t="shared" ref="L519:L582" si="32">65-C519</f>
        <v>28</v>
      </c>
      <c r="M519">
        <f t="shared" ref="M519:M582" si="33">L519*12</f>
        <v>336</v>
      </c>
      <c r="N519">
        <f t="shared" ref="N519:N582" si="34">M519-D519</f>
        <v>328</v>
      </c>
      <c r="O519">
        <f t="shared" ref="O519:O582" si="35">2017+N519/12</f>
        <v>2044.3333333333333</v>
      </c>
    </row>
    <row r="520" spans="1:15" x14ac:dyDescent="0.2">
      <c r="A520" t="s">
        <v>19</v>
      </c>
      <c r="B520">
        <v>9</v>
      </c>
      <c r="C520">
        <v>37</v>
      </c>
      <c r="D520">
        <v>11</v>
      </c>
      <c r="E520">
        <v>12</v>
      </c>
      <c r="F520">
        <v>36</v>
      </c>
      <c r="G520">
        <v>2284903</v>
      </c>
      <c r="H520">
        <v>0</v>
      </c>
      <c r="I520">
        <v>1</v>
      </c>
      <c r="J520">
        <v>1</v>
      </c>
      <c r="K520">
        <v>0</v>
      </c>
      <c r="L520">
        <f t="shared" si="32"/>
        <v>28</v>
      </c>
      <c r="M520">
        <f t="shared" si="33"/>
        <v>336</v>
      </c>
      <c r="N520">
        <f t="shared" si="34"/>
        <v>325</v>
      </c>
      <c r="O520">
        <f t="shared" si="35"/>
        <v>2044.0833333333333</v>
      </c>
    </row>
    <row r="521" spans="1:15" x14ac:dyDescent="0.2">
      <c r="A521" t="s">
        <v>19</v>
      </c>
      <c r="B521">
        <v>9</v>
      </c>
      <c r="C521">
        <v>37</v>
      </c>
      <c r="D521">
        <v>15</v>
      </c>
      <c r="E521">
        <v>1</v>
      </c>
      <c r="F521">
        <v>26</v>
      </c>
      <c r="G521">
        <v>2253801</v>
      </c>
      <c r="H521">
        <v>0</v>
      </c>
      <c r="I521">
        <v>1</v>
      </c>
      <c r="J521">
        <v>1</v>
      </c>
      <c r="K521">
        <v>0</v>
      </c>
      <c r="L521">
        <f t="shared" si="32"/>
        <v>28</v>
      </c>
      <c r="M521">
        <f t="shared" si="33"/>
        <v>336</v>
      </c>
      <c r="N521">
        <f t="shared" si="34"/>
        <v>321</v>
      </c>
      <c r="O521">
        <f t="shared" si="35"/>
        <v>2043.75</v>
      </c>
    </row>
    <row r="522" spans="1:15" x14ac:dyDescent="0.2">
      <c r="A522" t="s">
        <v>19</v>
      </c>
      <c r="B522">
        <v>9</v>
      </c>
      <c r="C522">
        <v>37</v>
      </c>
      <c r="D522">
        <v>18</v>
      </c>
      <c r="E522">
        <v>12</v>
      </c>
      <c r="F522">
        <v>35</v>
      </c>
      <c r="G522">
        <v>2239903</v>
      </c>
      <c r="H522">
        <v>0</v>
      </c>
      <c r="I522">
        <v>1</v>
      </c>
      <c r="J522">
        <v>1</v>
      </c>
      <c r="K522">
        <v>0</v>
      </c>
      <c r="L522">
        <f t="shared" si="32"/>
        <v>28</v>
      </c>
      <c r="M522">
        <f t="shared" si="33"/>
        <v>336</v>
      </c>
      <c r="N522">
        <f t="shared" si="34"/>
        <v>318</v>
      </c>
      <c r="O522">
        <f t="shared" si="35"/>
        <v>2043.5</v>
      </c>
    </row>
    <row r="523" spans="1:15" x14ac:dyDescent="0.2">
      <c r="A523" t="s">
        <v>19</v>
      </c>
      <c r="B523">
        <v>9</v>
      </c>
      <c r="C523">
        <v>37</v>
      </c>
      <c r="D523">
        <v>19</v>
      </c>
      <c r="E523">
        <v>12</v>
      </c>
      <c r="F523">
        <v>35</v>
      </c>
      <c r="G523">
        <v>2237603</v>
      </c>
      <c r="H523">
        <v>0</v>
      </c>
      <c r="I523">
        <v>1</v>
      </c>
      <c r="J523">
        <v>1</v>
      </c>
      <c r="K523">
        <v>0</v>
      </c>
      <c r="L523">
        <f t="shared" si="32"/>
        <v>28</v>
      </c>
      <c r="M523">
        <f t="shared" si="33"/>
        <v>336</v>
      </c>
      <c r="N523">
        <f t="shared" si="34"/>
        <v>317</v>
      </c>
      <c r="O523">
        <f t="shared" si="35"/>
        <v>2043.4166666666667</v>
      </c>
    </row>
    <row r="524" spans="1:15" x14ac:dyDescent="0.2">
      <c r="A524" t="s">
        <v>19</v>
      </c>
      <c r="B524">
        <v>9</v>
      </c>
      <c r="C524">
        <v>37</v>
      </c>
      <c r="D524">
        <v>25</v>
      </c>
      <c r="E524">
        <v>1</v>
      </c>
      <c r="F524">
        <v>30</v>
      </c>
      <c r="G524">
        <v>2203301</v>
      </c>
      <c r="H524">
        <v>0</v>
      </c>
      <c r="I524">
        <v>1</v>
      </c>
      <c r="J524">
        <v>1</v>
      </c>
      <c r="K524">
        <v>0</v>
      </c>
      <c r="L524">
        <f t="shared" si="32"/>
        <v>28</v>
      </c>
      <c r="M524">
        <f t="shared" si="33"/>
        <v>336</v>
      </c>
      <c r="N524">
        <f t="shared" si="34"/>
        <v>311</v>
      </c>
      <c r="O524">
        <f t="shared" si="35"/>
        <v>2042.9166666666667</v>
      </c>
    </row>
    <row r="525" spans="1:15" x14ac:dyDescent="0.2">
      <c r="A525" t="s">
        <v>19</v>
      </c>
      <c r="B525">
        <v>9</v>
      </c>
      <c r="C525">
        <v>37</v>
      </c>
      <c r="D525">
        <v>30</v>
      </c>
      <c r="E525">
        <v>4</v>
      </c>
      <c r="F525">
        <v>31</v>
      </c>
      <c r="G525">
        <v>2182701</v>
      </c>
      <c r="H525">
        <v>1</v>
      </c>
      <c r="I525">
        <v>0</v>
      </c>
      <c r="J525">
        <v>1</v>
      </c>
      <c r="K525">
        <v>0</v>
      </c>
      <c r="L525">
        <f t="shared" si="32"/>
        <v>28</v>
      </c>
      <c r="M525">
        <f t="shared" si="33"/>
        <v>336</v>
      </c>
      <c r="N525">
        <f t="shared" si="34"/>
        <v>306</v>
      </c>
      <c r="O525">
        <f t="shared" si="35"/>
        <v>2042.5</v>
      </c>
    </row>
    <row r="526" spans="1:15" x14ac:dyDescent="0.2">
      <c r="A526" t="s">
        <v>19</v>
      </c>
      <c r="B526">
        <v>9</v>
      </c>
      <c r="C526">
        <v>37</v>
      </c>
      <c r="D526">
        <v>37</v>
      </c>
      <c r="E526">
        <v>12</v>
      </c>
      <c r="F526">
        <v>35</v>
      </c>
      <c r="G526">
        <v>774702</v>
      </c>
      <c r="H526">
        <v>1</v>
      </c>
      <c r="I526">
        <v>0</v>
      </c>
      <c r="J526">
        <v>1</v>
      </c>
      <c r="K526">
        <v>0</v>
      </c>
      <c r="L526">
        <f t="shared" si="32"/>
        <v>28</v>
      </c>
      <c r="M526">
        <f t="shared" si="33"/>
        <v>336</v>
      </c>
      <c r="N526">
        <f t="shared" si="34"/>
        <v>299</v>
      </c>
      <c r="O526">
        <f t="shared" si="35"/>
        <v>2041.9166666666667</v>
      </c>
    </row>
    <row r="527" spans="1:15" x14ac:dyDescent="0.2">
      <c r="A527" t="s">
        <v>19</v>
      </c>
      <c r="B527">
        <v>9</v>
      </c>
      <c r="C527">
        <v>37</v>
      </c>
      <c r="D527">
        <v>40</v>
      </c>
      <c r="E527">
        <v>12</v>
      </c>
      <c r="F527">
        <v>26</v>
      </c>
      <c r="G527">
        <v>2131802</v>
      </c>
      <c r="H527">
        <v>0</v>
      </c>
      <c r="I527">
        <v>1</v>
      </c>
      <c r="J527">
        <v>1</v>
      </c>
      <c r="K527">
        <v>0</v>
      </c>
      <c r="L527">
        <f t="shared" si="32"/>
        <v>28</v>
      </c>
      <c r="M527">
        <f t="shared" si="33"/>
        <v>336</v>
      </c>
      <c r="N527">
        <f t="shared" si="34"/>
        <v>296</v>
      </c>
      <c r="O527">
        <f t="shared" si="35"/>
        <v>2041.6666666666667</v>
      </c>
    </row>
    <row r="528" spans="1:15" x14ac:dyDescent="0.2">
      <c r="A528" t="s">
        <v>19</v>
      </c>
      <c r="B528">
        <v>9</v>
      </c>
      <c r="C528">
        <v>37</v>
      </c>
      <c r="D528">
        <v>45</v>
      </c>
      <c r="E528">
        <v>2</v>
      </c>
      <c r="F528">
        <v>36</v>
      </c>
      <c r="G528">
        <v>2105701</v>
      </c>
      <c r="H528">
        <v>0</v>
      </c>
      <c r="I528">
        <v>1</v>
      </c>
      <c r="J528">
        <v>1</v>
      </c>
      <c r="K528">
        <v>0</v>
      </c>
      <c r="L528">
        <f t="shared" si="32"/>
        <v>28</v>
      </c>
      <c r="M528">
        <f t="shared" si="33"/>
        <v>336</v>
      </c>
      <c r="N528">
        <f t="shared" si="34"/>
        <v>291</v>
      </c>
      <c r="O528">
        <f t="shared" si="35"/>
        <v>2041.25</v>
      </c>
    </row>
    <row r="529" spans="1:15" x14ac:dyDescent="0.2">
      <c r="A529" t="s">
        <v>19</v>
      </c>
      <c r="B529">
        <v>9</v>
      </c>
      <c r="C529">
        <v>37</v>
      </c>
      <c r="D529">
        <v>46</v>
      </c>
      <c r="E529">
        <v>4</v>
      </c>
      <c r="F529">
        <v>32</v>
      </c>
      <c r="G529">
        <v>2100501</v>
      </c>
      <c r="H529">
        <v>0</v>
      </c>
      <c r="I529">
        <v>1</v>
      </c>
      <c r="J529">
        <v>1</v>
      </c>
      <c r="K529">
        <v>0</v>
      </c>
      <c r="L529">
        <f t="shared" si="32"/>
        <v>28</v>
      </c>
      <c r="M529">
        <f t="shared" si="33"/>
        <v>336</v>
      </c>
      <c r="N529">
        <f t="shared" si="34"/>
        <v>290</v>
      </c>
      <c r="O529">
        <f t="shared" si="35"/>
        <v>2041.1666666666667</v>
      </c>
    </row>
    <row r="530" spans="1:15" x14ac:dyDescent="0.2">
      <c r="A530" t="s">
        <v>19</v>
      </c>
      <c r="B530">
        <v>9</v>
      </c>
      <c r="C530">
        <v>37</v>
      </c>
      <c r="D530">
        <v>54</v>
      </c>
      <c r="E530">
        <v>1</v>
      </c>
      <c r="F530">
        <v>36</v>
      </c>
      <c r="G530">
        <v>2062601</v>
      </c>
      <c r="H530">
        <v>0</v>
      </c>
      <c r="I530">
        <v>1</v>
      </c>
      <c r="J530">
        <v>1</v>
      </c>
      <c r="K530">
        <v>0</v>
      </c>
      <c r="L530">
        <f t="shared" si="32"/>
        <v>28</v>
      </c>
      <c r="M530">
        <f t="shared" si="33"/>
        <v>336</v>
      </c>
      <c r="N530">
        <f t="shared" si="34"/>
        <v>282</v>
      </c>
      <c r="O530">
        <f t="shared" si="35"/>
        <v>2040.5</v>
      </c>
    </row>
    <row r="531" spans="1:15" x14ac:dyDescent="0.2">
      <c r="A531" t="s">
        <v>19</v>
      </c>
      <c r="B531">
        <v>9</v>
      </c>
      <c r="C531">
        <v>37</v>
      </c>
      <c r="D531">
        <v>55</v>
      </c>
      <c r="E531">
        <v>1</v>
      </c>
      <c r="F531">
        <v>33</v>
      </c>
      <c r="G531">
        <v>2053401</v>
      </c>
      <c r="H531">
        <v>0</v>
      </c>
      <c r="I531">
        <v>1</v>
      </c>
      <c r="J531">
        <v>1</v>
      </c>
      <c r="K531">
        <v>0</v>
      </c>
      <c r="L531">
        <f t="shared" si="32"/>
        <v>28</v>
      </c>
      <c r="M531">
        <f t="shared" si="33"/>
        <v>336</v>
      </c>
      <c r="N531">
        <f t="shared" si="34"/>
        <v>281</v>
      </c>
      <c r="O531">
        <f t="shared" si="35"/>
        <v>2040.4166666666667</v>
      </c>
    </row>
    <row r="532" spans="1:15" x14ac:dyDescent="0.2">
      <c r="A532" t="s">
        <v>19</v>
      </c>
      <c r="B532">
        <v>9</v>
      </c>
      <c r="C532">
        <v>37</v>
      </c>
      <c r="D532">
        <v>57</v>
      </c>
      <c r="E532">
        <v>2</v>
      </c>
      <c r="F532">
        <v>27</v>
      </c>
      <c r="G532">
        <v>2039801</v>
      </c>
      <c r="H532">
        <v>0</v>
      </c>
      <c r="I532">
        <v>1</v>
      </c>
      <c r="J532">
        <v>1</v>
      </c>
      <c r="K532">
        <v>0</v>
      </c>
      <c r="L532">
        <f t="shared" si="32"/>
        <v>28</v>
      </c>
      <c r="M532">
        <f t="shared" si="33"/>
        <v>336</v>
      </c>
      <c r="N532">
        <f t="shared" si="34"/>
        <v>279</v>
      </c>
      <c r="O532">
        <f t="shared" si="35"/>
        <v>2040.25</v>
      </c>
    </row>
    <row r="533" spans="1:15" x14ac:dyDescent="0.2">
      <c r="A533" t="s">
        <v>19</v>
      </c>
      <c r="B533">
        <v>9</v>
      </c>
      <c r="C533">
        <v>37</v>
      </c>
      <c r="D533">
        <v>70</v>
      </c>
      <c r="E533">
        <v>1</v>
      </c>
      <c r="F533">
        <v>35</v>
      </c>
      <c r="G533">
        <v>1996601</v>
      </c>
      <c r="H533">
        <v>1</v>
      </c>
      <c r="I533">
        <v>0</v>
      </c>
      <c r="J533">
        <v>1</v>
      </c>
      <c r="K533">
        <v>0</v>
      </c>
      <c r="L533">
        <f t="shared" si="32"/>
        <v>28</v>
      </c>
      <c r="M533">
        <f t="shared" si="33"/>
        <v>336</v>
      </c>
      <c r="N533">
        <f t="shared" si="34"/>
        <v>266</v>
      </c>
      <c r="O533">
        <f t="shared" si="35"/>
        <v>2039.1666666666667</v>
      </c>
    </row>
    <row r="534" spans="1:15" x14ac:dyDescent="0.2">
      <c r="A534" t="s">
        <v>19</v>
      </c>
      <c r="B534">
        <v>9</v>
      </c>
      <c r="C534">
        <v>37</v>
      </c>
      <c r="D534">
        <v>73</v>
      </c>
      <c r="E534">
        <v>1</v>
      </c>
      <c r="F534">
        <v>33</v>
      </c>
      <c r="G534">
        <v>1986101</v>
      </c>
      <c r="H534">
        <v>0</v>
      </c>
      <c r="I534">
        <v>1</v>
      </c>
      <c r="J534">
        <v>1</v>
      </c>
      <c r="K534">
        <v>0</v>
      </c>
      <c r="L534">
        <f t="shared" si="32"/>
        <v>28</v>
      </c>
      <c r="M534">
        <f t="shared" si="33"/>
        <v>336</v>
      </c>
      <c r="N534">
        <f t="shared" si="34"/>
        <v>263</v>
      </c>
      <c r="O534">
        <f t="shared" si="35"/>
        <v>2038.9166666666667</v>
      </c>
    </row>
    <row r="535" spans="1:15" x14ac:dyDescent="0.2">
      <c r="A535" t="s">
        <v>19</v>
      </c>
      <c r="B535">
        <v>9</v>
      </c>
      <c r="C535">
        <v>37</v>
      </c>
      <c r="D535">
        <v>85</v>
      </c>
      <c r="E535">
        <v>2</v>
      </c>
      <c r="F535">
        <v>35</v>
      </c>
      <c r="G535">
        <v>1945701</v>
      </c>
      <c r="H535">
        <v>0</v>
      </c>
      <c r="I535">
        <v>1</v>
      </c>
      <c r="J535">
        <v>1</v>
      </c>
      <c r="K535">
        <v>0</v>
      </c>
      <c r="L535">
        <f t="shared" si="32"/>
        <v>28</v>
      </c>
      <c r="M535">
        <f t="shared" si="33"/>
        <v>336</v>
      </c>
      <c r="N535">
        <f t="shared" si="34"/>
        <v>251</v>
      </c>
      <c r="O535">
        <f t="shared" si="35"/>
        <v>2037.9166666666667</v>
      </c>
    </row>
    <row r="536" spans="1:15" x14ac:dyDescent="0.2">
      <c r="A536" t="s">
        <v>19</v>
      </c>
      <c r="B536">
        <v>9</v>
      </c>
      <c r="C536">
        <v>37</v>
      </c>
      <c r="D536">
        <v>85</v>
      </c>
      <c r="E536">
        <v>2</v>
      </c>
      <c r="F536">
        <v>36</v>
      </c>
      <c r="G536">
        <v>1948701</v>
      </c>
      <c r="H536">
        <v>0</v>
      </c>
      <c r="I536">
        <v>1</v>
      </c>
      <c r="J536">
        <v>1</v>
      </c>
      <c r="K536">
        <v>0</v>
      </c>
      <c r="L536">
        <f t="shared" si="32"/>
        <v>28</v>
      </c>
      <c r="M536">
        <f t="shared" si="33"/>
        <v>336</v>
      </c>
      <c r="N536">
        <f t="shared" si="34"/>
        <v>251</v>
      </c>
      <c r="O536">
        <f t="shared" si="35"/>
        <v>2037.9166666666667</v>
      </c>
    </row>
    <row r="537" spans="1:15" x14ac:dyDescent="0.2">
      <c r="A537" t="s">
        <v>19</v>
      </c>
      <c r="B537">
        <v>9</v>
      </c>
      <c r="C537">
        <v>37</v>
      </c>
      <c r="D537">
        <v>87</v>
      </c>
      <c r="E537">
        <v>1</v>
      </c>
      <c r="F537">
        <v>33</v>
      </c>
      <c r="G537">
        <v>1936901</v>
      </c>
      <c r="H537">
        <v>1</v>
      </c>
      <c r="I537">
        <v>0</v>
      </c>
      <c r="J537">
        <v>1</v>
      </c>
      <c r="K537">
        <v>0</v>
      </c>
      <c r="L537">
        <f t="shared" si="32"/>
        <v>28</v>
      </c>
      <c r="M537">
        <f t="shared" si="33"/>
        <v>336</v>
      </c>
      <c r="N537">
        <f t="shared" si="34"/>
        <v>249</v>
      </c>
      <c r="O537">
        <f t="shared" si="35"/>
        <v>2037.75</v>
      </c>
    </row>
    <row r="538" spans="1:15" x14ac:dyDescent="0.2">
      <c r="A538" t="s">
        <v>19</v>
      </c>
      <c r="B538">
        <v>9</v>
      </c>
      <c r="C538">
        <v>37</v>
      </c>
      <c r="D538">
        <v>90</v>
      </c>
      <c r="E538">
        <v>2</v>
      </c>
      <c r="F538">
        <v>32</v>
      </c>
      <c r="G538">
        <v>1925601</v>
      </c>
      <c r="H538">
        <v>0</v>
      </c>
      <c r="I538">
        <v>1</v>
      </c>
      <c r="J538">
        <v>1</v>
      </c>
      <c r="K538">
        <v>0</v>
      </c>
      <c r="L538">
        <f t="shared" si="32"/>
        <v>28</v>
      </c>
      <c r="M538">
        <f t="shared" si="33"/>
        <v>336</v>
      </c>
      <c r="N538">
        <f t="shared" si="34"/>
        <v>246</v>
      </c>
      <c r="O538">
        <f t="shared" si="35"/>
        <v>2037.5</v>
      </c>
    </row>
    <row r="539" spans="1:15" x14ac:dyDescent="0.2">
      <c r="A539" t="s">
        <v>19</v>
      </c>
      <c r="B539">
        <v>9</v>
      </c>
      <c r="C539">
        <v>37</v>
      </c>
      <c r="D539">
        <v>91</v>
      </c>
      <c r="E539">
        <v>1</v>
      </c>
      <c r="F539">
        <v>31</v>
      </c>
      <c r="G539">
        <v>387502</v>
      </c>
      <c r="H539">
        <v>0</v>
      </c>
      <c r="I539">
        <v>1</v>
      </c>
      <c r="J539">
        <v>1</v>
      </c>
      <c r="K539">
        <v>0</v>
      </c>
      <c r="L539">
        <f t="shared" si="32"/>
        <v>28</v>
      </c>
      <c r="M539">
        <f t="shared" si="33"/>
        <v>336</v>
      </c>
      <c r="N539">
        <f t="shared" si="34"/>
        <v>245</v>
      </c>
      <c r="O539">
        <f t="shared" si="35"/>
        <v>2037.4166666666667</v>
      </c>
    </row>
    <row r="540" spans="1:15" x14ac:dyDescent="0.2">
      <c r="A540" t="s">
        <v>19</v>
      </c>
      <c r="B540">
        <v>9</v>
      </c>
      <c r="C540">
        <v>37</v>
      </c>
      <c r="D540">
        <v>92</v>
      </c>
      <c r="E540">
        <v>2</v>
      </c>
      <c r="F540">
        <v>36</v>
      </c>
      <c r="G540">
        <v>1907101</v>
      </c>
      <c r="H540">
        <v>0</v>
      </c>
      <c r="I540">
        <v>1</v>
      </c>
      <c r="J540">
        <v>1</v>
      </c>
      <c r="K540">
        <v>0</v>
      </c>
      <c r="L540">
        <f t="shared" si="32"/>
        <v>28</v>
      </c>
      <c r="M540">
        <f t="shared" si="33"/>
        <v>336</v>
      </c>
      <c r="N540">
        <f t="shared" si="34"/>
        <v>244</v>
      </c>
      <c r="O540">
        <f t="shared" si="35"/>
        <v>2037.3333333333333</v>
      </c>
    </row>
    <row r="541" spans="1:15" x14ac:dyDescent="0.2">
      <c r="A541" t="s">
        <v>19</v>
      </c>
      <c r="B541">
        <v>9</v>
      </c>
      <c r="C541">
        <v>37</v>
      </c>
      <c r="D541">
        <v>93</v>
      </c>
      <c r="E541">
        <v>1</v>
      </c>
      <c r="F541">
        <v>36</v>
      </c>
      <c r="G541">
        <v>1904401</v>
      </c>
      <c r="H541">
        <v>0</v>
      </c>
      <c r="I541">
        <v>1</v>
      </c>
      <c r="J541">
        <v>1</v>
      </c>
      <c r="K541">
        <v>0</v>
      </c>
      <c r="L541">
        <f t="shared" si="32"/>
        <v>28</v>
      </c>
      <c r="M541">
        <f t="shared" si="33"/>
        <v>336</v>
      </c>
      <c r="N541">
        <f t="shared" si="34"/>
        <v>243</v>
      </c>
      <c r="O541">
        <f t="shared" si="35"/>
        <v>2037.25</v>
      </c>
    </row>
    <row r="542" spans="1:15" x14ac:dyDescent="0.2">
      <c r="A542" t="s">
        <v>19</v>
      </c>
      <c r="B542">
        <v>9</v>
      </c>
      <c r="C542">
        <v>37</v>
      </c>
      <c r="D542">
        <v>95</v>
      </c>
      <c r="E542">
        <v>2</v>
      </c>
      <c r="F542">
        <v>36</v>
      </c>
      <c r="G542">
        <v>1887901</v>
      </c>
      <c r="H542">
        <v>1</v>
      </c>
      <c r="I542">
        <v>0</v>
      </c>
      <c r="J542">
        <v>1</v>
      </c>
      <c r="K542">
        <v>0</v>
      </c>
      <c r="L542">
        <f t="shared" si="32"/>
        <v>28</v>
      </c>
      <c r="M542">
        <f t="shared" si="33"/>
        <v>336</v>
      </c>
      <c r="N542">
        <f t="shared" si="34"/>
        <v>241</v>
      </c>
      <c r="O542">
        <f t="shared" si="35"/>
        <v>2037.0833333333333</v>
      </c>
    </row>
    <row r="543" spans="1:15" x14ac:dyDescent="0.2">
      <c r="A543" t="s">
        <v>19</v>
      </c>
      <c r="B543">
        <v>9</v>
      </c>
      <c r="C543">
        <v>37</v>
      </c>
      <c r="D543">
        <v>96</v>
      </c>
      <c r="E543">
        <v>1</v>
      </c>
      <c r="F543">
        <v>29</v>
      </c>
      <c r="G543">
        <v>1875201</v>
      </c>
      <c r="H543">
        <v>0</v>
      </c>
      <c r="I543">
        <v>1</v>
      </c>
      <c r="J543">
        <v>1</v>
      </c>
      <c r="K543">
        <v>0</v>
      </c>
      <c r="L543">
        <f t="shared" si="32"/>
        <v>28</v>
      </c>
      <c r="M543">
        <f t="shared" si="33"/>
        <v>336</v>
      </c>
      <c r="N543">
        <f t="shared" si="34"/>
        <v>240</v>
      </c>
      <c r="O543">
        <f t="shared" si="35"/>
        <v>2037</v>
      </c>
    </row>
    <row r="544" spans="1:15" x14ac:dyDescent="0.2">
      <c r="A544" t="s">
        <v>19</v>
      </c>
      <c r="B544">
        <v>9</v>
      </c>
      <c r="C544">
        <v>37</v>
      </c>
      <c r="D544">
        <v>103</v>
      </c>
      <c r="E544">
        <v>1</v>
      </c>
      <c r="F544">
        <v>34</v>
      </c>
      <c r="G544">
        <v>1805301</v>
      </c>
      <c r="H544">
        <v>0</v>
      </c>
      <c r="I544">
        <v>1</v>
      </c>
      <c r="J544">
        <v>1</v>
      </c>
      <c r="K544">
        <v>0</v>
      </c>
      <c r="L544">
        <f t="shared" si="32"/>
        <v>28</v>
      </c>
      <c r="M544">
        <f t="shared" si="33"/>
        <v>336</v>
      </c>
      <c r="N544">
        <f t="shared" si="34"/>
        <v>233</v>
      </c>
      <c r="O544">
        <f t="shared" si="35"/>
        <v>2036.4166666666667</v>
      </c>
    </row>
    <row r="545" spans="1:15" x14ac:dyDescent="0.2">
      <c r="A545" t="s">
        <v>19</v>
      </c>
      <c r="B545">
        <v>9</v>
      </c>
      <c r="C545">
        <v>37</v>
      </c>
      <c r="D545">
        <v>103</v>
      </c>
      <c r="E545">
        <v>1</v>
      </c>
      <c r="F545">
        <v>35</v>
      </c>
      <c r="G545">
        <v>1805101</v>
      </c>
      <c r="H545">
        <v>0</v>
      </c>
      <c r="I545">
        <v>1</v>
      </c>
      <c r="J545">
        <v>1</v>
      </c>
      <c r="K545">
        <v>0</v>
      </c>
      <c r="L545">
        <f t="shared" si="32"/>
        <v>28</v>
      </c>
      <c r="M545">
        <f t="shared" si="33"/>
        <v>336</v>
      </c>
      <c r="N545">
        <f t="shared" si="34"/>
        <v>233</v>
      </c>
      <c r="O545">
        <f t="shared" si="35"/>
        <v>2036.4166666666667</v>
      </c>
    </row>
    <row r="546" spans="1:15" x14ac:dyDescent="0.2">
      <c r="A546" t="s">
        <v>19</v>
      </c>
      <c r="B546">
        <v>9</v>
      </c>
      <c r="C546">
        <v>37</v>
      </c>
      <c r="D546">
        <v>110</v>
      </c>
      <c r="E546">
        <v>1</v>
      </c>
      <c r="F546">
        <v>33</v>
      </c>
      <c r="G546">
        <v>644502</v>
      </c>
      <c r="H546">
        <v>0</v>
      </c>
      <c r="I546">
        <v>1</v>
      </c>
      <c r="J546">
        <v>1</v>
      </c>
      <c r="K546">
        <v>0</v>
      </c>
      <c r="L546">
        <f t="shared" si="32"/>
        <v>28</v>
      </c>
      <c r="M546">
        <f t="shared" si="33"/>
        <v>336</v>
      </c>
      <c r="N546">
        <f t="shared" si="34"/>
        <v>226</v>
      </c>
      <c r="O546">
        <f t="shared" si="35"/>
        <v>2035.8333333333333</v>
      </c>
    </row>
    <row r="547" spans="1:15" x14ac:dyDescent="0.2">
      <c r="A547" t="s">
        <v>19</v>
      </c>
      <c r="B547">
        <v>9</v>
      </c>
      <c r="C547">
        <v>37</v>
      </c>
      <c r="D547">
        <v>110</v>
      </c>
      <c r="E547">
        <v>2</v>
      </c>
      <c r="F547">
        <v>33</v>
      </c>
      <c r="G547">
        <v>1713201</v>
      </c>
      <c r="H547">
        <v>0</v>
      </c>
      <c r="I547">
        <v>1</v>
      </c>
      <c r="J547">
        <v>1</v>
      </c>
      <c r="K547">
        <v>0</v>
      </c>
      <c r="L547">
        <f t="shared" si="32"/>
        <v>28</v>
      </c>
      <c r="M547">
        <f t="shared" si="33"/>
        <v>336</v>
      </c>
      <c r="N547">
        <f t="shared" si="34"/>
        <v>226</v>
      </c>
      <c r="O547">
        <f t="shared" si="35"/>
        <v>2035.8333333333333</v>
      </c>
    </row>
    <row r="548" spans="1:15" x14ac:dyDescent="0.2">
      <c r="A548" t="s">
        <v>19</v>
      </c>
      <c r="B548">
        <v>9</v>
      </c>
      <c r="C548">
        <v>37</v>
      </c>
      <c r="D548">
        <v>110</v>
      </c>
      <c r="E548">
        <v>2</v>
      </c>
      <c r="F548">
        <v>37</v>
      </c>
      <c r="G548">
        <v>1702701</v>
      </c>
      <c r="H548">
        <v>1</v>
      </c>
      <c r="I548">
        <v>0</v>
      </c>
      <c r="J548">
        <v>1</v>
      </c>
      <c r="K548">
        <v>0</v>
      </c>
      <c r="L548">
        <f t="shared" si="32"/>
        <v>28</v>
      </c>
      <c r="M548">
        <f t="shared" si="33"/>
        <v>336</v>
      </c>
      <c r="N548">
        <f t="shared" si="34"/>
        <v>226</v>
      </c>
      <c r="O548">
        <f t="shared" si="35"/>
        <v>2035.8333333333333</v>
      </c>
    </row>
    <row r="549" spans="1:15" x14ac:dyDescent="0.2">
      <c r="A549" t="s">
        <v>19</v>
      </c>
      <c r="B549">
        <v>9</v>
      </c>
      <c r="C549">
        <v>37</v>
      </c>
      <c r="D549">
        <v>133</v>
      </c>
      <c r="E549">
        <v>1</v>
      </c>
      <c r="F549">
        <v>34</v>
      </c>
      <c r="G549">
        <v>1147301</v>
      </c>
      <c r="H549">
        <v>0</v>
      </c>
      <c r="I549">
        <v>1</v>
      </c>
      <c r="J549">
        <v>1</v>
      </c>
      <c r="K549">
        <v>0</v>
      </c>
      <c r="L549">
        <f t="shared" si="32"/>
        <v>28</v>
      </c>
      <c r="M549">
        <f t="shared" si="33"/>
        <v>336</v>
      </c>
      <c r="N549">
        <f t="shared" si="34"/>
        <v>203</v>
      </c>
      <c r="O549">
        <f t="shared" si="35"/>
        <v>2033.9166666666667</v>
      </c>
    </row>
    <row r="550" spans="1:15" x14ac:dyDescent="0.2">
      <c r="A550" t="s">
        <v>19</v>
      </c>
      <c r="B550">
        <v>9</v>
      </c>
      <c r="C550">
        <v>37</v>
      </c>
      <c r="D550">
        <v>140</v>
      </c>
      <c r="E550">
        <v>1</v>
      </c>
      <c r="F550">
        <v>36</v>
      </c>
      <c r="G550">
        <v>1131901</v>
      </c>
      <c r="H550">
        <v>1</v>
      </c>
      <c r="I550">
        <v>0</v>
      </c>
      <c r="J550">
        <v>1</v>
      </c>
      <c r="K550">
        <v>0</v>
      </c>
      <c r="L550">
        <f t="shared" si="32"/>
        <v>28</v>
      </c>
      <c r="M550">
        <f t="shared" si="33"/>
        <v>336</v>
      </c>
      <c r="N550">
        <f t="shared" si="34"/>
        <v>196</v>
      </c>
      <c r="O550">
        <f t="shared" si="35"/>
        <v>2033.3333333333333</v>
      </c>
    </row>
    <row r="551" spans="1:15" x14ac:dyDescent="0.2">
      <c r="A551" t="s">
        <v>19</v>
      </c>
      <c r="B551">
        <v>9</v>
      </c>
      <c r="C551">
        <v>37</v>
      </c>
      <c r="D551">
        <v>144</v>
      </c>
      <c r="E551">
        <v>1</v>
      </c>
      <c r="F551">
        <v>29</v>
      </c>
      <c r="G551">
        <v>1097701</v>
      </c>
      <c r="H551">
        <v>1</v>
      </c>
      <c r="I551">
        <v>0</v>
      </c>
      <c r="J551">
        <v>1</v>
      </c>
      <c r="K551">
        <v>0</v>
      </c>
      <c r="L551">
        <f t="shared" si="32"/>
        <v>28</v>
      </c>
      <c r="M551">
        <f t="shared" si="33"/>
        <v>336</v>
      </c>
      <c r="N551">
        <f t="shared" si="34"/>
        <v>192</v>
      </c>
      <c r="O551">
        <f t="shared" si="35"/>
        <v>2033</v>
      </c>
    </row>
    <row r="552" spans="1:15" x14ac:dyDescent="0.2">
      <c r="A552" t="s">
        <v>19</v>
      </c>
      <c r="B552">
        <v>9</v>
      </c>
      <c r="C552">
        <v>37</v>
      </c>
      <c r="D552">
        <v>148</v>
      </c>
      <c r="E552">
        <v>1</v>
      </c>
      <c r="F552">
        <v>29</v>
      </c>
      <c r="G552">
        <v>1007002</v>
      </c>
      <c r="H552">
        <v>0</v>
      </c>
      <c r="I552">
        <v>1</v>
      </c>
      <c r="J552">
        <v>1</v>
      </c>
      <c r="K552">
        <v>0</v>
      </c>
      <c r="L552">
        <f t="shared" si="32"/>
        <v>28</v>
      </c>
      <c r="M552">
        <f t="shared" si="33"/>
        <v>336</v>
      </c>
      <c r="N552">
        <f t="shared" si="34"/>
        <v>188</v>
      </c>
      <c r="O552">
        <f t="shared" si="35"/>
        <v>2032.6666666666667</v>
      </c>
    </row>
    <row r="553" spans="1:15" x14ac:dyDescent="0.2">
      <c r="A553" t="s">
        <v>19</v>
      </c>
      <c r="B553">
        <v>9</v>
      </c>
      <c r="C553">
        <v>37</v>
      </c>
      <c r="D553">
        <v>151</v>
      </c>
      <c r="E553">
        <v>1</v>
      </c>
      <c r="F553">
        <v>35</v>
      </c>
      <c r="G553">
        <v>1048501</v>
      </c>
      <c r="H553">
        <v>0</v>
      </c>
      <c r="I553">
        <v>1</v>
      </c>
      <c r="J553">
        <v>1</v>
      </c>
      <c r="K553">
        <v>0</v>
      </c>
      <c r="L553">
        <f t="shared" si="32"/>
        <v>28</v>
      </c>
      <c r="M553">
        <f t="shared" si="33"/>
        <v>336</v>
      </c>
      <c r="N553">
        <f t="shared" si="34"/>
        <v>185</v>
      </c>
      <c r="O553">
        <f t="shared" si="35"/>
        <v>2032.4166666666667</v>
      </c>
    </row>
    <row r="554" spans="1:15" x14ac:dyDescent="0.2">
      <c r="A554" t="s">
        <v>19</v>
      </c>
      <c r="B554">
        <v>9</v>
      </c>
      <c r="C554">
        <v>37</v>
      </c>
      <c r="D554">
        <v>153</v>
      </c>
      <c r="E554">
        <v>1</v>
      </c>
      <c r="F554">
        <v>29</v>
      </c>
      <c r="G554">
        <v>1030901</v>
      </c>
      <c r="H554">
        <v>0</v>
      </c>
      <c r="I554">
        <v>1</v>
      </c>
      <c r="J554">
        <v>1</v>
      </c>
      <c r="K554">
        <v>0</v>
      </c>
      <c r="L554">
        <f t="shared" si="32"/>
        <v>28</v>
      </c>
      <c r="M554">
        <f t="shared" si="33"/>
        <v>336</v>
      </c>
      <c r="N554">
        <f t="shared" si="34"/>
        <v>183</v>
      </c>
      <c r="O554">
        <f t="shared" si="35"/>
        <v>2032.25</v>
      </c>
    </row>
    <row r="555" spans="1:15" x14ac:dyDescent="0.2">
      <c r="A555" t="s">
        <v>19</v>
      </c>
      <c r="B555">
        <v>9</v>
      </c>
      <c r="C555">
        <v>37</v>
      </c>
      <c r="D555">
        <v>153</v>
      </c>
      <c r="E555">
        <v>1</v>
      </c>
      <c r="F555">
        <v>36</v>
      </c>
      <c r="G555">
        <v>1028801</v>
      </c>
      <c r="H555">
        <v>0</v>
      </c>
      <c r="I555">
        <v>1</v>
      </c>
      <c r="J555">
        <v>1</v>
      </c>
      <c r="K555">
        <v>0</v>
      </c>
      <c r="L555">
        <f t="shared" si="32"/>
        <v>28</v>
      </c>
      <c r="M555">
        <f t="shared" si="33"/>
        <v>336</v>
      </c>
      <c r="N555">
        <f t="shared" si="34"/>
        <v>183</v>
      </c>
      <c r="O555">
        <f t="shared" si="35"/>
        <v>2032.25</v>
      </c>
    </row>
    <row r="556" spans="1:15" x14ac:dyDescent="0.2">
      <c r="A556" t="s">
        <v>19</v>
      </c>
      <c r="B556">
        <v>9</v>
      </c>
      <c r="C556">
        <v>37</v>
      </c>
      <c r="D556">
        <v>154</v>
      </c>
      <c r="E556">
        <v>1</v>
      </c>
      <c r="F556">
        <v>34</v>
      </c>
      <c r="G556">
        <v>1015901</v>
      </c>
      <c r="H556">
        <v>0</v>
      </c>
      <c r="I556">
        <v>1</v>
      </c>
      <c r="J556">
        <v>1</v>
      </c>
      <c r="K556">
        <v>0</v>
      </c>
      <c r="L556">
        <f t="shared" si="32"/>
        <v>28</v>
      </c>
      <c r="M556">
        <f t="shared" si="33"/>
        <v>336</v>
      </c>
      <c r="N556">
        <f t="shared" si="34"/>
        <v>182</v>
      </c>
      <c r="O556">
        <f t="shared" si="35"/>
        <v>2032.1666666666667</v>
      </c>
    </row>
    <row r="557" spans="1:15" x14ac:dyDescent="0.2">
      <c r="A557" t="s">
        <v>19</v>
      </c>
      <c r="B557">
        <v>9</v>
      </c>
      <c r="C557">
        <v>37</v>
      </c>
      <c r="D557">
        <v>166</v>
      </c>
      <c r="E557">
        <v>1</v>
      </c>
      <c r="F557">
        <v>35</v>
      </c>
      <c r="G557">
        <v>923601</v>
      </c>
      <c r="H557">
        <v>0</v>
      </c>
      <c r="I557">
        <v>1</v>
      </c>
      <c r="J557">
        <v>1</v>
      </c>
      <c r="K557">
        <v>0</v>
      </c>
      <c r="L557">
        <f t="shared" si="32"/>
        <v>28</v>
      </c>
      <c r="M557">
        <f t="shared" si="33"/>
        <v>336</v>
      </c>
      <c r="N557">
        <f t="shared" si="34"/>
        <v>170</v>
      </c>
      <c r="O557">
        <f t="shared" si="35"/>
        <v>2031.1666666666667</v>
      </c>
    </row>
    <row r="558" spans="1:15" x14ac:dyDescent="0.2">
      <c r="A558" t="s">
        <v>19</v>
      </c>
      <c r="B558">
        <v>9</v>
      </c>
      <c r="C558">
        <v>37</v>
      </c>
      <c r="D558">
        <v>189</v>
      </c>
      <c r="E558">
        <v>1</v>
      </c>
      <c r="F558">
        <v>35</v>
      </c>
      <c r="G558">
        <v>871601</v>
      </c>
      <c r="H558">
        <v>0</v>
      </c>
      <c r="I558">
        <v>1</v>
      </c>
      <c r="J558">
        <v>1</v>
      </c>
      <c r="K558">
        <v>0</v>
      </c>
      <c r="L558">
        <f t="shared" si="32"/>
        <v>28</v>
      </c>
      <c r="M558">
        <f t="shared" si="33"/>
        <v>336</v>
      </c>
      <c r="N558">
        <f t="shared" si="34"/>
        <v>147</v>
      </c>
      <c r="O558">
        <f t="shared" si="35"/>
        <v>2029.25</v>
      </c>
    </row>
    <row r="559" spans="1:15" x14ac:dyDescent="0.2">
      <c r="A559" t="s">
        <v>19</v>
      </c>
      <c r="B559">
        <v>9</v>
      </c>
      <c r="C559">
        <v>37</v>
      </c>
      <c r="D559">
        <v>193</v>
      </c>
      <c r="E559">
        <v>12</v>
      </c>
      <c r="F559">
        <v>36</v>
      </c>
      <c r="G559">
        <v>847502</v>
      </c>
      <c r="H559">
        <v>0</v>
      </c>
      <c r="I559">
        <v>1</v>
      </c>
      <c r="J559">
        <v>1</v>
      </c>
      <c r="K559">
        <v>0</v>
      </c>
      <c r="L559">
        <f t="shared" si="32"/>
        <v>28</v>
      </c>
      <c r="M559">
        <f t="shared" si="33"/>
        <v>336</v>
      </c>
      <c r="N559">
        <f t="shared" si="34"/>
        <v>143</v>
      </c>
      <c r="O559">
        <f t="shared" si="35"/>
        <v>2028.9166666666667</v>
      </c>
    </row>
    <row r="560" spans="1:15" x14ac:dyDescent="0.2">
      <c r="A560" t="s">
        <v>19</v>
      </c>
      <c r="B560">
        <v>9</v>
      </c>
      <c r="C560">
        <v>37</v>
      </c>
      <c r="D560">
        <v>194</v>
      </c>
      <c r="E560">
        <v>1</v>
      </c>
      <c r="F560">
        <v>34</v>
      </c>
      <c r="G560">
        <v>842501</v>
      </c>
      <c r="H560">
        <v>0</v>
      </c>
      <c r="I560">
        <v>1</v>
      </c>
      <c r="J560">
        <v>1</v>
      </c>
      <c r="K560">
        <v>0</v>
      </c>
      <c r="L560">
        <f t="shared" si="32"/>
        <v>28</v>
      </c>
      <c r="M560">
        <f t="shared" si="33"/>
        <v>336</v>
      </c>
      <c r="N560">
        <f t="shared" si="34"/>
        <v>142</v>
      </c>
      <c r="O560">
        <f t="shared" si="35"/>
        <v>2028.8333333333333</v>
      </c>
    </row>
    <row r="561" spans="1:15" x14ac:dyDescent="0.2">
      <c r="A561" t="s">
        <v>19</v>
      </c>
      <c r="B561">
        <v>9</v>
      </c>
      <c r="C561">
        <v>37</v>
      </c>
      <c r="D561">
        <v>198</v>
      </c>
      <c r="E561">
        <v>1</v>
      </c>
      <c r="F561">
        <v>34</v>
      </c>
      <c r="G561">
        <v>815801</v>
      </c>
      <c r="H561">
        <v>0</v>
      </c>
      <c r="I561">
        <v>1</v>
      </c>
      <c r="J561">
        <v>1</v>
      </c>
      <c r="K561">
        <v>0</v>
      </c>
      <c r="L561">
        <f t="shared" si="32"/>
        <v>28</v>
      </c>
      <c r="M561">
        <f t="shared" si="33"/>
        <v>336</v>
      </c>
      <c r="N561">
        <f t="shared" si="34"/>
        <v>138</v>
      </c>
      <c r="O561">
        <f t="shared" si="35"/>
        <v>2028.5</v>
      </c>
    </row>
    <row r="562" spans="1:15" x14ac:dyDescent="0.2">
      <c r="A562" t="s">
        <v>19</v>
      </c>
      <c r="B562">
        <v>9</v>
      </c>
      <c r="C562">
        <v>37</v>
      </c>
      <c r="D562">
        <v>200</v>
      </c>
      <c r="E562">
        <v>1</v>
      </c>
      <c r="F562">
        <v>35</v>
      </c>
      <c r="G562">
        <v>790902</v>
      </c>
      <c r="H562">
        <v>1</v>
      </c>
      <c r="I562">
        <v>0</v>
      </c>
      <c r="J562">
        <v>1</v>
      </c>
      <c r="K562">
        <v>0</v>
      </c>
      <c r="L562">
        <f t="shared" si="32"/>
        <v>28</v>
      </c>
      <c r="M562">
        <f t="shared" si="33"/>
        <v>336</v>
      </c>
      <c r="N562">
        <f t="shared" si="34"/>
        <v>136</v>
      </c>
      <c r="O562">
        <f t="shared" si="35"/>
        <v>2028.3333333333333</v>
      </c>
    </row>
    <row r="563" spans="1:15" x14ac:dyDescent="0.2">
      <c r="A563" t="s">
        <v>19</v>
      </c>
      <c r="B563">
        <v>9</v>
      </c>
      <c r="C563">
        <v>37</v>
      </c>
      <c r="D563">
        <v>201</v>
      </c>
      <c r="E563">
        <v>12</v>
      </c>
      <c r="F563">
        <v>37</v>
      </c>
      <c r="G563">
        <v>783802</v>
      </c>
      <c r="H563">
        <v>0</v>
      </c>
      <c r="I563">
        <v>1</v>
      </c>
      <c r="J563">
        <v>1</v>
      </c>
      <c r="K563">
        <v>0</v>
      </c>
      <c r="L563">
        <f t="shared" si="32"/>
        <v>28</v>
      </c>
      <c r="M563">
        <f t="shared" si="33"/>
        <v>336</v>
      </c>
      <c r="N563">
        <f t="shared" si="34"/>
        <v>135</v>
      </c>
      <c r="O563">
        <f t="shared" si="35"/>
        <v>2028.25</v>
      </c>
    </row>
    <row r="564" spans="1:15" x14ac:dyDescent="0.2">
      <c r="A564" t="s">
        <v>19</v>
      </c>
      <c r="B564">
        <v>9</v>
      </c>
      <c r="C564">
        <v>37</v>
      </c>
      <c r="D564">
        <v>202</v>
      </c>
      <c r="E564">
        <v>1</v>
      </c>
      <c r="F564">
        <v>34</v>
      </c>
      <c r="G564">
        <v>771102</v>
      </c>
      <c r="H564">
        <v>1</v>
      </c>
      <c r="I564">
        <v>0</v>
      </c>
      <c r="J564">
        <v>1</v>
      </c>
      <c r="K564">
        <v>0</v>
      </c>
      <c r="L564">
        <f t="shared" si="32"/>
        <v>28</v>
      </c>
      <c r="M564">
        <f t="shared" si="33"/>
        <v>336</v>
      </c>
      <c r="N564">
        <f t="shared" si="34"/>
        <v>134</v>
      </c>
      <c r="O564">
        <f t="shared" si="35"/>
        <v>2028.1666666666667</v>
      </c>
    </row>
    <row r="565" spans="1:15" x14ac:dyDescent="0.2">
      <c r="A565" t="s">
        <v>19</v>
      </c>
      <c r="B565">
        <v>9</v>
      </c>
      <c r="C565">
        <v>37</v>
      </c>
      <c r="D565">
        <v>206</v>
      </c>
      <c r="E565">
        <v>2</v>
      </c>
      <c r="F565">
        <v>36</v>
      </c>
      <c r="G565">
        <v>714001</v>
      </c>
      <c r="H565">
        <v>1</v>
      </c>
      <c r="I565">
        <v>0</v>
      </c>
      <c r="J565">
        <v>1</v>
      </c>
      <c r="K565">
        <v>0</v>
      </c>
      <c r="L565">
        <f t="shared" si="32"/>
        <v>28</v>
      </c>
      <c r="M565">
        <f t="shared" si="33"/>
        <v>336</v>
      </c>
      <c r="N565">
        <f t="shared" si="34"/>
        <v>130</v>
      </c>
      <c r="O565">
        <f t="shared" si="35"/>
        <v>2027.8333333333333</v>
      </c>
    </row>
    <row r="566" spans="1:15" x14ac:dyDescent="0.2">
      <c r="A566" t="s">
        <v>19</v>
      </c>
      <c r="B566">
        <v>9</v>
      </c>
      <c r="C566">
        <v>37</v>
      </c>
      <c r="D566">
        <v>213</v>
      </c>
      <c r="E566">
        <v>12</v>
      </c>
      <c r="F566">
        <v>37</v>
      </c>
      <c r="G566">
        <v>579501</v>
      </c>
      <c r="H566">
        <v>0</v>
      </c>
      <c r="I566">
        <v>1</v>
      </c>
      <c r="J566">
        <v>1</v>
      </c>
      <c r="K566">
        <v>0</v>
      </c>
      <c r="L566">
        <f t="shared" si="32"/>
        <v>28</v>
      </c>
      <c r="M566">
        <f t="shared" si="33"/>
        <v>336</v>
      </c>
      <c r="N566">
        <f t="shared" si="34"/>
        <v>123</v>
      </c>
      <c r="O566">
        <f t="shared" si="35"/>
        <v>2027.25</v>
      </c>
    </row>
    <row r="567" spans="1:15" x14ac:dyDescent="0.2">
      <c r="A567" t="s">
        <v>19</v>
      </c>
      <c r="B567">
        <v>9</v>
      </c>
      <c r="C567">
        <v>37</v>
      </c>
      <c r="D567">
        <v>215</v>
      </c>
      <c r="E567">
        <v>1</v>
      </c>
      <c r="F567">
        <v>31</v>
      </c>
      <c r="G567">
        <v>525801</v>
      </c>
      <c r="H567">
        <v>0</v>
      </c>
      <c r="I567">
        <v>1</v>
      </c>
      <c r="J567">
        <v>1</v>
      </c>
      <c r="K567">
        <v>0</v>
      </c>
      <c r="L567">
        <f t="shared" si="32"/>
        <v>28</v>
      </c>
      <c r="M567">
        <f t="shared" si="33"/>
        <v>336</v>
      </c>
      <c r="N567">
        <f t="shared" si="34"/>
        <v>121</v>
      </c>
      <c r="O567">
        <f t="shared" si="35"/>
        <v>2027.0833333333333</v>
      </c>
    </row>
    <row r="568" spans="1:15" x14ac:dyDescent="0.2">
      <c r="A568" t="s">
        <v>19</v>
      </c>
      <c r="B568">
        <v>9</v>
      </c>
      <c r="C568">
        <v>37</v>
      </c>
      <c r="D568">
        <v>215</v>
      </c>
      <c r="E568">
        <v>1</v>
      </c>
      <c r="F568">
        <v>36</v>
      </c>
      <c r="G568">
        <v>526802</v>
      </c>
      <c r="H568">
        <v>1</v>
      </c>
      <c r="I568">
        <v>0</v>
      </c>
      <c r="J568">
        <v>1</v>
      </c>
      <c r="K568">
        <v>0</v>
      </c>
      <c r="L568">
        <f t="shared" si="32"/>
        <v>28</v>
      </c>
      <c r="M568">
        <f t="shared" si="33"/>
        <v>336</v>
      </c>
      <c r="N568">
        <f t="shared" si="34"/>
        <v>121</v>
      </c>
      <c r="O568">
        <f t="shared" si="35"/>
        <v>2027.0833333333333</v>
      </c>
    </row>
    <row r="569" spans="1:15" x14ac:dyDescent="0.2">
      <c r="A569" t="s">
        <v>19</v>
      </c>
      <c r="B569">
        <v>9</v>
      </c>
      <c r="C569">
        <v>37</v>
      </c>
      <c r="D569">
        <v>218</v>
      </c>
      <c r="E569">
        <v>1</v>
      </c>
      <c r="F569">
        <v>33</v>
      </c>
      <c r="G569">
        <v>402701</v>
      </c>
      <c r="H569">
        <v>0</v>
      </c>
      <c r="I569">
        <v>1</v>
      </c>
      <c r="J569">
        <v>1</v>
      </c>
      <c r="K569">
        <v>0</v>
      </c>
      <c r="L569">
        <f t="shared" si="32"/>
        <v>28</v>
      </c>
      <c r="M569">
        <f t="shared" si="33"/>
        <v>336</v>
      </c>
      <c r="N569">
        <f t="shared" si="34"/>
        <v>118</v>
      </c>
      <c r="O569">
        <f t="shared" si="35"/>
        <v>2026.8333333333333</v>
      </c>
    </row>
    <row r="570" spans="1:15" x14ac:dyDescent="0.2">
      <c r="A570" t="s">
        <v>19</v>
      </c>
      <c r="B570">
        <v>9</v>
      </c>
      <c r="C570">
        <v>37</v>
      </c>
      <c r="D570">
        <v>241</v>
      </c>
      <c r="E570">
        <v>1</v>
      </c>
      <c r="F570">
        <v>32</v>
      </c>
      <c r="G570">
        <v>59601</v>
      </c>
      <c r="H570">
        <v>0</v>
      </c>
      <c r="I570">
        <v>1</v>
      </c>
      <c r="J570">
        <v>1</v>
      </c>
      <c r="K570">
        <v>0</v>
      </c>
      <c r="L570">
        <f t="shared" si="32"/>
        <v>28</v>
      </c>
      <c r="M570">
        <f t="shared" si="33"/>
        <v>336</v>
      </c>
      <c r="N570">
        <f t="shared" si="34"/>
        <v>95</v>
      </c>
      <c r="O570">
        <f t="shared" si="35"/>
        <v>2024.9166666666667</v>
      </c>
    </row>
    <row r="571" spans="1:15" x14ac:dyDescent="0.2">
      <c r="A571" t="s">
        <v>19</v>
      </c>
      <c r="B571">
        <v>9</v>
      </c>
      <c r="C571">
        <v>38</v>
      </c>
      <c r="D571">
        <v>1</v>
      </c>
      <c r="E571">
        <v>12</v>
      </c>
      <c r="F571">
        <v>33</v>
      </c>
      <c r="G571">
        <v>2395503</v>
      </c>
      <c r="H571">
        <v>0</v>
      </c>
      <c r="I571">
        <v>1</v>
      </c>
      <c r="J571">
        <v>1</v>
      </c>
      <c r="K571">
        <v>0</v>
      </c>
      <c r="L571">
        <f t="shared" si="32"/>
        <v>27</v>
      </c>
      <c r="M571">
        <f t="shared" si="33"/>
        <v>324</v>
      </c>
      <c r="N571">
        <f t="shared" si="34"/>
        <v>323</v>
      </c>
      <c r="O571">
        <f t="shared" si="35"/>
        <v>2043.9166666666667</v>
      </c>
    </row>
    <row r="572" spans="1:15" x14ac:dyDescent="0.2">
      <c r="A572" t="s">
        <v>19</v>
      </c>
      <c r="B572">
        <v>9</v>
      </c>
      <c r="C572">
        <v>38</v>
      </c>
      <c r="D572">
        <v>1</v>
      </c>
      <c r="E572">
        <v>12</v>
      </c>
      <c r="F572">
        <v>35</v>
      </c>
      <c r="G572">
        <v>2403203</v>
      </c>
      <c r="H572">
        <v>0</v>
      </c>
      <c r="I572">
        <v>1</v>
      </c>
      <c r="J572">
        <v>1</v>
      </c>
      <c r="K572">
        <v>0</v>
      </c>
      <c r="L572">
        <f t="shared" si="32"/>
        <v>27</v>
      </c>
      <c r="M572">
        <f t="shared" si="33"/>
        <v>324</v>
      </c>
      <c r="N572">
        <f t="shared" si="34"/>
        <v>323</v>
      </c>
      <c r="O572">
        <f t="shared" si="35"/>
        <v>2043.9166666666667</v>
      </c>
    </row>
    <row r="573" spans="1:15" x14ac:dyDescent="0.2">
      <c r="A573" t="s">
        <v>19</v>
      </c>
      <c r="B573">
        <v>9</v>
      </c>
      <c r="C573">
        <v>38</v>
      </c>
      <c r="D573">
        <v>1</v>
      </c>
      <c r="E573">
        <v>12</v>
      </c>
      <c r="F573">
        <v>37</v>
      </c>
      <c r="G573">
        <v>2386603</v>
      </c>
      <c r="H573">
        <v>0</v>
      </c>
      <c r="I573">
        <v>1</v>
      </c>
      <c r="J573">
        <v>1</v>
      </c>
      <c r="K573">
        <v>0</v>
      </c>
      <c r="L573">
        <f t="shared" si="32"/>
        <v>27</v>
      </c>
      <c r="M573">
        <f t="shared" si="33"/>
        <v>324</v>
      </c>
      <c r="N573">
        <f t="shared" si="34"/>
        <v>323</v>
      </c>
      <c r="O573">
        <f t="shared" si="35"/>
        <v>2043.9166666666667</v>
      </c>
    </row>
    <row r="574" spans="1:15" x14ac:dyDescent="0.2">
      <c r="A574" t="s">
        <v>19</v>
      </c>
      <c r="B574">
        <v>9</v>
      </c>
      <c r="C574">
        <v>38</v>
      </c>
      <c r="D574">
        <v>1</v>
      </c>
      <c r="E574">
        <v>12</v>
      </c>
      <c r="F574">
        <v>38</v>
      </c>
      <c r="G574">
        <v>2412703</v>
      </c>
      <c r="H574">
        <v>0</v>
      </c>
      <c r="I574">
        <v>1</v>
      </c>
      <c r="J574">
        <v>1</v>
      </c>
      <c r="K574">
        <v>0</v>
      </c>
      <c r="L574">
        <f t="shared" si="32"/>
        <v>27</v>
      </c>
      <c r="M574">
        <f t="shared" si="33"/>
        <v>324</v>
      </c>
      <c r="N574">
        <f t="shared" si="34"/>
        <v>323</v>
      </c>
      <c r="O574">
        <f t="shared" si="35"/>
        <v>2043.9166666666667</v>
      </c>
    </row>
    <row r="575" spans="1:15" x14ac:dyDescent="0.2">
      <c r="A575" t="s">
        <v>19</v>
      </c>
      <c r="B575">
        <v>9</v>
      </c>
      <c r="C575">
        <v>38</v>
      </c>
      <c r="D575">
        <v>3</v>
      </c>
      <c r="E575">
        <v>12</v>
      </c>
      <c r="F575">
        <v>37</v>
      </c>
      <c r="G575">
        <v>2357403</v>
      </c>
      <c r="H575">
        <v>1</v>
      </c>
      <c r="I575">
        <v>0</v>
      </c>
      <c r="J575">
        <v>1</v>
      </c>
      <c r="K575">
        <v>0</v>
      </c>
      <c r="L575">
        <f t="shared" si="32"/>
        <v>27</v>
      </c>
      <c r="M575">
        <f t="shared" si="33"/>
        <v>324</v>
      </c>
      <c r="N575">
        <f t="shared" si="34"/>
        <v>321</v>
      </c>
      <c r="O575">
        <f t="shared" si="35"/>
        <v>2043.75</v>
      </c>
    </row>
    <row r="576" spans="1:15" x14ac:dyDescent="0.2">
      <c r="A576" t="s">
        <v>19</v>
      </c>
      <c r="B576">
        <v>9</v>
      </c>
      <c r="C576">
        <v>38</v>
      </c>
      <c r="D576">
        <v>4</v>
      </c>
      <c r="E576">
        <v>12</v>
      </c>
      <c r="F576">
        <v>36</v>
      </c>
      <c r="G576">
        <v>2351903</v>
      </c>
      <c r="H576">
        <v>0</v>
      </c>
      <c r="I576">
        <v>1</v>
      </c>
      <c r="J576">
        <v>1</v>
      </c>
      <c r="K576">
        <v>0</v>
      </c>
      <c r="L576">
        <f t="shared" si="32"/>
        <v>27</v>
      </c>
      <c r="M576">
        <f t="shared" si="33"/>
        <v>324</v>
      </c>
      <c r="N576">
        <f t="shared" si="34"/>
        <v>320</v>
      </c>
      <c r="O576">
        <f t="shared" si="35"/>
        <v>2043.6666666666667</v>
      </c>
    </row>
    <row r="577" spans="1:15" x14ac:dyDescent="0.2">
      <c r="A577" t="s">
        <v>19</v>
      </c>
      <c r="B577">
        <v>9</v>
      </c>
      <c r="C577">
        <v>38</v>
      </c>
      <c r="D577">
        <v>6</v>
      </c>
      <c r="E577">
        <v>12</v>
      </c>
      <c r="F577">
        <v>38</v>
      </c>
      <c r="G577">
        <v>2330905</v>
      </c>
      <c r="H577">
        <v>0</v>
      </c>
      <c r="I577">
        <v>1</v>
      </c>
      <c r="J577">
        <v>1</v>
      </c>
      <c r="K577">
        <v>0</v>
      </c>
      <c r="L577">
        <f t="shared" si="32"/>
        <v>27</v>
      </c>
      <c r="M577">
        <f t="shared" si="33"/>
        <v>324</v>
      </c>
      <c r="N577">
        <f t="shared" si="34"/>
        <v>318</v>
      </c>
      <c r="O577">
        <f t="shared" si="35"/>
        <v>2043.5</v>
      </c>
    </row>
    <row r="578" spans="1:15" x14ac:dyDescent="0.2">
      <c r="A578" t="s">
        <v>19</v>
      </c>
      <c r="B578">
        <v>9</v>
      </c>
      <c r="C578">
        <v>38</v>
      </c>
      <c r="D578">
        <v>7</v>
      </c>
      <c r="E578">
        <v>12</v>
      </c>
      <c r="F578">
        <v>35</v>
      </c>
      <c r="G578">
        <v>2320104</v>
      </c>
      <c r="H578">
        <v>0</v>
      </c>
      <c r="I578">
        <v>1</v>
      </c>
      <c r="J578">
        <v>1</v>
      </c>
      <c r="K578">
        <v>0</v>
      </c>
      <c r="L578">
        <f t="shared" si="32"/>
        <v>27</v>
      </c>
      <c r="M578">
        <f t="shared" si="33"/>
        <v>324</v>
      </c>
      <c r="N578">
        <f t="shared" si="34"/>
        <v>317</v>
      </c>
      <c r="O578">
        <f t="shared" si="35"/>
        <v>2043.4166666666667</v>
      </c>
    </row>
    <row r="579" spans="1:15" x14ac:dyDescent="0.2">
      <c r="A579" t="s">
        <v>19</v>
      </c>
      <c r="B579">
        <v>9</v>
      </c>
      <c r="C579">
        <v>38</v>
      </c>
      <c r="D579">
        <v>9</v>
      </c>
      <c r="E579">
        <v>12</v>
      </c>
      <c r="F579">
        <v>36</v>
      </c>
      <c r="G579">
        <v>2305802</v>
      </c>
      <c r="H579">
        <v>0</v>
      </c>
      <c r="I579">
        <v>1</v>
      </c>
      <c r="J579">
        <v>1</v>
      </c>
      <c r="K579">
        <v>0</v>
      </c>
      <c r="L579">
        <f t="shared" si="32"/>
        <v>27</v>
      </c>
      <c r="M579">
        <f t="shared" si="33"/>
        <v>324</v>
      </c>
      <c r="N579">
        <f t="shared" si="34"/>
        <v>315</v>
      </c>
      <c r="O579">
        <f t="shared" si="35"/>
        <v>2043.25</v>
      </c>
    </row>
    <row r="580" spans="1:15" x14ac:dyDescent="0.2">
      <c r="A580" t="s">
        <v>19</v>
      </c>
      <c r="B580">
        <v>9</v>
      </c>
      <c r="C580">
        <v>38</v>
      </c>
      <c r="D580">
        <v>11</v>
      </c>
      <c r="E580">
        <v>12</v>
      </c>
      <c r="F580">
        <v>27</v>
      </c>
      <c r="G580">
        <v>2284203</v>
      </c>
      <c r="H580">
        <v>0</v>
      </c>
      <c r="I580">
        <v>1</v>
      </c>
      <c r="J580">
        <v>1</v>
      </c>
      <c r="K580">
        <v>0</v>
      </c>
      <c r="L580">
        <f t="shared" si="32"/>
        <v>27</v>
      </c>
      <c r="M580">
        <f t="shared" si="33"/>
        <v>324</v>
      </c>
      <c r="N580">
        <f t="shared" si="34"/>
        <v>313</v>
      </c>
      <c r="O580">
        <f t="shared" si="35"/>
        <v>2043.0833333333333</v>
      </c>
    </row>
    <row r="581" spans="1:15" x14ac:dyDescent="0.2">
      <c r="A581" t="s">
        <v>19</v>
      </c>
      <c r="B581">
        <v>9</v>
      </c>
      <c r="C581">
        <v>38</v>
      </c>
      <c r="D581">
        <v>13</v>
      </c>
      <c r="E581">
        <v>12</v>
      </c>
      <c r="F581">
        <v>34</v>
      </c>
      <c r="G581">
        <v>2264903</v>
      </c>
      <c r="H581">
        <v>0</v>
      </c>
      <c r="I581">
        <v>1</v>
      </c>
      <c r="J581">
        <v>1</v>
      </c>
      <c r="K581">
        <v>0</v>
      </c>
      <c r="L581">
        <f t="shared" si="32"/>
        <v>27</v>
      </c>
      <c r="M581">
        <f t="shared" si="33"/>
        <v>324</v>
      </c>
      <c r="N581">
        <f t="shared" si="34"/>
        <v>311</v>
      </c>
      <c r="O581">
        <f t="shared" si="35"/>
        <v>2042.9166666666667</v>
      </c>
    </row>
    <row r="582" spans="1:15" x14ac:dyDescent="0.2">
      <c r="A582" t="s">
        <v>19</v>
      </c>
      <c r="B582">
        <v>9</v>
      </c>
      <c r="C582">
        <v>38</v>
      </c>
      <c r="D582">
        <v>13</v>
      </c>
      <c r="E582">
        <v>12</v>
      </c>
      <c r="F582">
        <v>36</v>
      </c>
      <c r="G582">
        <v>2269705</v>
      </c>
      <c r="H582">
        <v>0</v>
      </c>
      <c r="I582">
        <v>1</v>
      </c>
      <c r="J582">
        <v>1</v>
      </c>
      <c r="K582">
        <v>0</v>
      </c>
      <c r="L582">
        <f t="shared" si="32"/>
        <v>27</v>
      </c>
      <c r="M582">
        <f t="shared" si="33"/>
        <v>324</v>
      </c>
      <c r="N582">
        <f t="shared" si="34"/>
        <v>311</v>
      </c>
      <c r="O582">
        <f t="shared" si="35"/>
        <v>2042.9166666666667</v>
      </c>
    </row>
    <row r="583" spans="1:15" x14ac:dyDescent="0.2">
      <c r="A583" t="s">
        <v>19</v>
      </c>
      <c r="B583">
        <v>9</v>
      </c>
      <c r="C583">
        <v>38</v>
      </c>
      <c r="D583">
        <v>18</v>
      </c>
      <c r="E583">
        <v>1</v>
      </c>
      <c r="F583">
        <v>29</v>
      </c>
      <c r="G583">
        <v>2241501</v>
      </c>
      <c r="H583">
        <v>0</v>
      </c>
      <c r="I583">
        <v>1</v>
      </c>
      <c r="J583">
        <v>1</v>
      </c>
      <c r="K583">
        <v>0</v>
      </c>
      <c r="L583">
        <f t="shared" ref="L583:L646" si="36">65-C583</f>
        <v>27</v>
      </c>
      <c r="M583">
        <f t="shared" ref="M583:M646" si="37">L583*12</f>
        <v>324</v>
      </c>
      <c r="N583">
        <f t="shared" ref="N583:N646" si="38">M583-D583</f>
        <v>306</v>
      </c>
      <c r="O583">
        <f t="shared" ref="O583:O646" si="39">2017+N583/12</f>
        <v>2042.5</v>
      </c>
    </row>
    <row r="584" spans="1:15" x14ac:dyDescent="0.2">
      <c r="A584" t="s">
        <v>19</v>
      </c>
      <c r="B584">
        <v>9</v>
      </c>
      <c r="C584">
        <v>38</v>
      </c>
      <c r="D584">
        <v>19</v>
      </c>
      <c r="E584">
        <v>6</v>
      </c>
      <c r="F584">
        <v>33</v>
      </c>
      <c r="G584">
        <v>2232002</v>
      </c>
      <c r="H584">
        <v>0</v>
      </c>
      <c r="I584">
        <v>1</v>
      </c>
      <c r="J584">
        <v>1</v>
      </c>
      <c r="K584">
        <v>0</v>
      </c>
      <c r="L584">
        <f t="shared" si="36"/>
        <v>27</v>
      </c>
      <c r="M584">
        <f t="shared" si="37"/>
        <v>324</v>
      </c>
      <c r="N584">
        <f t="shared" si="38"/>
        <v>305</v>
      </c>
      <c r="O584">
        <f t="shared" si="39"/>
        <v>2042.4166666666667</v>
      </c>
    </row>
    <row r="585" spans="1:15" x14ac:dyDescent="0.2">
      <c r="A585" t="s">
        <v>19</v>
      </c>
      <c r="B585">
        <v>9</v>
      </c>
      <c r="C585">
        <v>38</v>
      </c>
      <c r="D585">
        <v>28</v>
      </c>
      <c r="E585">
        <v>12</v>
      </c>
      <c r="F585">
        <v>33</v>
      </c>
      <c r="G585">
        <v>2190101</v>
      </c>
      <c r="H585">
        <v>0</v>
      </c>
      <c r="I585">
        <v>1</v>
      </c>
      <c r="J585">
        <v>1</v>
      </c>
      <c r="K585">
        <v>0</v>
      </c>
      <c r="L585">
        <f t="shared" si="36"/>
        <v>27</v>
      </c>
      <c r="M585">
        <f t="shared" si="37"/>
        <v>324</v>
      </c>
      <c r="N585">
        <f t="shared" si="38"/>
        <v>296</v>
      </c>
      <c r="O585">
        <f t="shared" si="39"/>
        <v>2041.6666666666667</v>
      </c>
    </row>
    <row r="586" spans="1:15" x14ac:dyDescent="0.2">
      <c r="A586" t="s">
        <v>19</v>
      </c>
      <c r="B586">
        <v>9</v>
      </c>
      <c r="C586">
        <v>38</v>
      </c>
      <c r="D586">
        <v>29</v>
      </c>
      <c r="E586">
        <v>12</v>
      </c>
      <c r="F586">
        <v>34</v>
      </c>
      <c r="G586">
        <v>2185001</v>
      </c>
      <c r="H586">
        <v>0</v>
      </c>
      <c r="I586">
        <v>1</v>
      </c>
      <c r="J586">
        <v>1</v>
      </c>
      <c r="K586">
        <v>0</v>
      </c>
      <c r="L586">
        <f t="shared" si="36"/>
        <v>27</v>
      </c>
      <c r="M586">
        <f t="shared" si="37"/>
        <v>324</v>
      </c>
      <c r="N586">
        <f t="shared" si="38"/>
        <v>295</v>
      </c>
      <c r="O586">
        <f t="shared" si="39"/>
        <v>2041.5833333333333</v>
      </c>
    </row>
    <row r="587" spans="1:15" x14ac:dyDescent="0.2">
      <c r="A587" t="s">
        <v>19</v>
      </c>
      <c r="B587">
        <v>9</v>
      </c>
      <c r="C587">
        <v>38</v>
      </c>
      <c r="D587">
        <v>31</v>
      </c>
      <c r="E587">
        <v>12</v>
      </c>
      <c r="F587">
        <v>32</v>
      </c>
      <c r="G587">
        <v>2175102</v>
      </c>
      <c r="H587">
        <v>0</v>
      </c>
      <c r="I587">
        <v>1</v>
      </c>
      <c r="J587">
        <v>1</v>
      </c>
      <c r="K587">
        <v>0</v>
      </c>
      <c r="L587">
        <f t="shared" si="36"/>
        <v>27</v>
      </c>
      <c r="M587">
        <f t="shared" si="37"/>
        <v>324</v>
      </c>
      <c r="N587">
        <f t="shared" si="38"/>
        <v>293</v>
      </c>
      <c r="O587">
        <f t="shared" si="39"/>
        <v>2041.4166666666667</v>
      </c>
    </row>
    <row r="588" spans="1:15" x14ac:dyDescent="0.2">
      <c r="A588" t="s">
        <v>19</v>
      </c>
      <c r="B588">
        <v>9</v>
      </c>
      <c r="C588">
        <v>38</v>
      </c>
      <c r="D588">
        <v>34</v>
      </c>
      <c r="E588">
        <v>4</v>
      </c>
      <c r="F588">
        <v>32</v>
      </c>
      <c r="G588">
        <v>2157501</v>
      </c>
      <c r="H588">
        <v>0</v>
      </c>
      <c r="I588">
        <v>1</v>
      </c>
      <c r="J588">
        <v>1</v>
      </c>
      <c r="K588">
        <v>0</v>
      </c>
      <c r="L588">
        <f t="shared" si="36"/>
        <v>27</v>
      </c>
      <c r="M588">
        <f t="shared" si="37"/>
        <v>324</v>
      </c>
      <c r="N588">
        <f t="shared" si="38"/>
        <v>290</v>
      </c>
      <c r="O588">
        <f t="shared" si="39"/>
        <v>2041.1666666666667</v>
      </c>
    </row>
    <row r="589" spans="1:15" x14ac:dyDescent="0.2">
      <c r="A589" t="s">
        <v>19</v>
      </c>
      <c r="B589">
        <v>9</v>
      </c>
      <c r="C589">
        <v>38</v>
      </c>
      <c r="D589">
        <v>35</v>
      </c>
      <c r="E589">
        <v>2</v>
      </c>
      <c r="F589">
        <v>37</v>
      </c>
      <c r="G589">
        <v>964802</v>
      </c>
      <c r="H589">
        <v>0</v>
      </c>
      <c r="I589">
        <v>1</v>
      </c>
      <c r="J589">
        <v>1</v>
      </c>
      <c r="K589">
        <v>0</v>
      </c>
      <c r="L589">
        <f t="shared" si="36"/>
        <v>27</v>
      </c>
      <c r="M589">
        <f t="shared" si="37"/>
        <v>324</v>
      </c>
      <c r="N589">
        <f t="shared" si="38"/>
        <v>289</v>
      </c>
      <c r="O589">
        <f t="shared" si="39"/>
        <v>2041.0833333333333</v>
      </c>
    </row>
    <row r="590" spans="1:15" x14ac:dyDescent="0.2">
      <c r="A590" t="s">
        <v>19</v>
      </c>
      <c r="B590">
        <v>9</v>
      </c>
      <c r="C590">
        <v>38</v>
      </c>
      <c r="D590">
        <v>36</v>
      </c>
      <c r="E590">
        <v>2</v>
      </c>
      <c r="F590">
        <v>31</v>
      </c>
      <c r="G590">
        <v>1672602</v>
      </c>
      <c r="H590">
        <v>1</v>
      </c>
      <c r="I590">
        <v>0</v>
      </c>
      <c r="J590">
        <v>1</v>
      </c>
      <c r="K590">
        <v>0</v>
      </c>
      <c r="L590">
        <f t="shared" si="36"/>
        <v>27</v>
      </c>
      <c r="M590">
        <f t="shared" si="37"/>
        <v>324</v>
      </c>
      <c r="N590">
        <f t="shared" si="38"/>
        <v>288</v>
      </c>
      <c r="O590">
        <f t="shared" si="39"/>
        <v>2041</v>
      </c>
    </row>
    <row r="591" spans="1:15" x14ac:dyDescent="0.2">
      <c r="A591" t="s">
        <v>19</v>
      </c>
      <c r="B591">
        <v>9</v>
      </c>
      <c r="C591">
        <v>38</v>
      </c>
      <c r="D591">
        <v>42</v>
      </c>
      <c r="E591">
        <v>2</v>
      </c>
      <c r="F591">
        <v>38</v>
      </c>
      <c r="G591">
        <v>2121801</v>
      </c>
      <c r="H591">
        <v>1</v>
      </c>
      <c r="I591">
        <v>0</v>
      </c>
      <c r="J591">
        <v>1</v>
      </c>
      <c r="K591">
        <v>0</v>
      </c>
      <c r="L591">
        <f t="shared" si="36"/>
        <v>27</v>
      </c>
      <c r="M591">
        <f t="shared" si="37"/>
        <v>324</v>
      </c>
      <c r="N591">
        <f t="shared" si="38"/>
        <v>282</v>
      </c>
      <c r="O591">
        <f t="shared" si="39"/>
        <v>2040.5</v>
      </c>
    </row>
    <row r="592" spans="1:15" x14ac:dyDescent="0.2">
      <c r="A592" t="s">
        <v>19</v>
      </c>
      <c r="B592">
        <v>9</v>
      </c>
      <c r="C592">
        <v>38</v>
      </c>
      <c r="D592">
        <v>44</v>
      </c>
      <c r="E592">
        <v>2</v>
      </c>
      <c r="F592">
        <v>37</v>
      </c>
      <c r="G592">
        <v>2110901</v>
      </c>
      <c r="H592">
        <v>1</v>
      </c>
      <c r="I592">
        <v>0</v>
      </c>
      <c r="J592">
        <v>1</v>
      </c>
      <c r="K592">
        <v>0</v>
      </c>
      <c r="L592">
        <f t="shared" si="36"/>
        <v>27</v>
      </c>
      <c r="M592">
        <f t="shared" si="37"/>
        <v>324</v>
      </c>
      <c r="N592">
        <f t="shared" si="38"/>
        <v>280</v>
      </c>
      <c r="O592">
        <f t="shared" si="39"/>
        <v>2040.3333333333333</v>
      </c>
    </row>
    <row r="593" spans="1:15" x14ac:dyDescent="0.2">
      <c r="A593" t="s">
        <v>19</v>
      </c>
      <c r="B593">
        <v>9</v>
      </c>
      <c r="C593">
        <v>38</v>
      </c>
      <c r="D593">
        <v>46</v>
      </c>
      <c r="E593">
        <v>2</v>
      </c>
      <c r="F593">
        <v>36</v>
      </c>
      <c r="G593">
        <v>2102201</v>
      </c>
      <c r="H593">
        <v>0</v>
      </c>
      <c r="I593">
        <v>1</v>
      </c>
      <c r="J593">
        <v>1</v>
      </c>
      <c r="K593">
        <v>0</v>
      </c>
      <c r="L593">
        <f t="shared" si="36"/>
        <v>27</v>
      </c>
      <c r="M593">
        <f t="shared" si="37"/>
        <v>324</v>
      </c>
      <c r="N593">
        <f t="shared" si="38"/>
        <v>278</v>
      </c>
      <c r="O593">
        <f t="shared" si="39"/>
        <v>2040.1666666666667</v>
      </c>
    </row>
    <row r="594" spans="1:15" x14ac:dyDescent="0.2">
      <c r="A594" t="s">
        <v>19</v>
      </c>
      <c r="B594">
        <v>9</v>
      </c>
      <c r="C594">
        <v>38</v>
      </c>
      <c r="D594">
        <v>46</v>
      </c>
      <c r="E594">
        <v>2</v>
      </c>
      <c r="F594">
        <v>38</v>
      </c>
      <c r="G594">
        <v>2098101</v>
      </c>
      <c r="H594">
        <v>0</v>
      </c>
      <c r="I594">
        <v>1</v>
      </c>
      <c r="J594">
        <v>1</v>
      </c>
      <c r="K594">
        <v>0</v>
      </c>
      <c r="L594">
        <f t="shared" si="36"/>
        <v>27</v>
      </c>
      <c r="M594">
        <f t="shared" si="37"/>
        <v>324</v>
      </c>
      <c r="N594">
        <f t="shared" si="38"/>
        <v>278</v>
      </c>
      <c r="O594">
        <f t="shared" si="39"/>
        <v>2040.1666666666667</v>
      </c>
    </row>
    <row r="595" spans="1:15" x14ac:dyDescent="0.2">
      <c r="A595" t="s">
        <v>19</v>
      </c>
      <c r="B595">
        <v>9</v>
      </c>
      <c r="C595">
        <v>38</v>
      </c>
      <c r="D595">
        <v>46</v>
      </c>
      <c r="E595">
        <v>12</v>
      </c>
      <c r="F595">
        <v>33</v>
      </c>
      <c r="G595">
        <v>2103502</v>
      </c>
      <c r="H595">
        <v>0</v>
      </c>
      <c r="I595">
        <v>1</v>
      </c>
      <c r="J595">
        <v>1</v>
      </c>
      <c r="K595">
        <v>0</v>
      </c>
      <c r="L595">
        <f t="shared" si="36"/>
        <v>27</v>
      </c>
      <c r="M595">
        <f t="shared" si="37"/>
        <v>324</v>
      </c>
      <c r="N595">
        <f t="shared" si="38"/>
        <v>278</v>
      </c>
      <c r="O595">
        <f t="shared" si="39"/>
        <v>2040.1666666666667</v>
      </c>
    </row>
    <row r="596" spans="1:15" x14ac:dyDescent="0.2">
      <c r="A596" t="s">
        <v>19</v>
      </c>
      <c r="B596">
        <v>9</v>
      </c>
      <c r="C596">
        <v>38</v>
      </c>
      <c r="D596">
        <v>53</v>
      </c>
      <c r="E596">
        <v>1</v>
      </c>
      <c r="F596">
        <v>31</v>
      </c>
      <c r="G596">
        <v>2069801</v>
      </c>
      <c r="H596">
        <v>0</v>
      </c>
      <c r="I596">
        <v>1</v>
      </c>
      <c r="J596">
        <v>1</v>
      </c>
      <c r="K596">
        <v>0</v>
      </c>
      <c r="L596">
        <f t="shared" si="36"/>
        <v>27</v>
      </c>
      <c r="M596">
        <f t="shared" si="37"/>
        <v>324</v>
      </c>
      <c r="N596">
        <f t="shared" si="38"/>
        <v>271</v>
      </c>
      <c r="O596">
        <f t="shared" si="39"/>
        <v>2039.5833333333333</v>
      </c>
    </row>
    <row r="597" spans="1:15" x14ac:dyDescent="0.2">
      <c r="A597" t="s">
        <v>19</v>
      </c>
      <c r="B597">
        <v>9</v>
      </c>
      <c r="C597">
        <v>38</v>
      </c>
      <c r="D597">
        <v>56</v>
      </c>
      <c r="E597">
        <v>4</v>
      </c>
      <c r="F597">
        <v>26</v>
      </c>
      <c r="G597">
        <v>2048101</v>
      </c>
      <c r="H597">
        <v>0</v>
      </c>
      <c r="I597">
        <v>1</v>
      </c>
      <c r="J597">
        <v>1</v>
      </c>
      <c r="K597">
        <v>0</v>
      </c>
      <c r="L597">
        <f t="shared" si="36"/>
        <v>27</v>
      </c>
      <c r="M597">
        <f t="shared" si="37"/>
        <v>324</v>
      </c>
      <c r="N597">
        <f t="shared" si="38"/>
        <v>268</v>
      </c>
      <c r="O597">
        <f t="shared" si="39"/>
        <v>2039.3333333333333</v>
      </c>
    </row>
    <row r="598" spans="1:15" x14ac:dyDescent="0.2">
      <c r="A598" t="s">
        <v>19</v>
      </c>
      <c r="B598">
        <v>9</v>
      </c>
      <c r="C598">
        <v>38</v>
      </c>
      <c r="D598">
        <v>58</v>
      </c>
      <c r="E598">
        <v>1</v>
      </c>
      <c r="F598">
        <v>38</v>
      </c>
      <c r="G598">
        <v>2035501</v>
      </c>
      <c r="H598">
        <v>0</v>
      </c>
      <c r="I598">
        <v>1</v>
      </c>
      <c r="J598">
        <v>1</v>
      </c>
      <c r="K598">
        <v>0</v>
      </c>
      <c r="L598">
        <f t="shared" si="36"/>
        <v>27</v>
      </c>
      <c r="M598">
        <f t="shared" si="37"/>
        <v>324</v>
      </c>
      <c r="N598">
        <f t="shared" si="38"/>
        <v>266</v>
      </c>
      <c r="O598">
        <f t="shared" si="39"/>
        <v>2039.1666666666667</v>
      </c>
    </row>
    <row r="599" spans="1:15" x14ac:dyDescent="0.2">
      <c r="A599" t="s">
        <v>19</v>
      </c>
      <c r="B599">
        <v>9</v>
      </c>
      <c r="C599">
        <v>38</v>
      </c>
      <c r="D599">
        <v>62</v>
      </c>
      <c r="E599">
        <v>1</v>
      </c>
      <c r="F599">
        <v>35</v>
      </c>
      <c r="G599">
        <v>2023801</v>
      </c>
      <c r="H599">
        <v>0</v>
      </c>
      <c r="I599">
        <v>1</v>
      </c>
      <c r="J599">
        <v>1</v>
      </c>
      <c r="K599">
        <v>0</v>
      </c>
      <c r="L599">
        <f t="shared" si="36"/>
        <v>27</v>
      </c>
      <c r="M599">
        <f t="shared" si="37"/>
        <v>324</v>
      </c>
      <c r="N599">
        <f t="shared" si="38"/>
        <v>262</v>
      </c>
      <c r="O599">
        <f t="shared" si="39"/>
        <v>2038.8333333333333</v>
      </c>
    </row>
    <row r="600" spans="1:15" x14ac:dyDescent="0.2">
      <c r="A600" t="s">
        <v>19</v>
      </c>
      <c r="B600">
        <v>9</v>
      </c>
      <c r="C600">
        <v>38</v>
      </c>
      <c r="D600">
        <v>63</v>
      </c>
      <c r="E600">
        <v>1</v>
      </c>
      <c r="F600">
        <v>31</v>
      </c>
      <c r="G600">
        <v>2021301</v>
      </c>
      <c r="H600">
        <v>0</v>
      </c>
      <c r="I600">
        <v>1</v>
      </c>
      <c r="J600">
        <v>1</v>
      </c>
      <c r="K600">
        <v>0</v>
      </c>
      <c r="L600">
        <f t="shared" si="36"/>
        <v>27</v>
      </c>
      <c r="M600">
        <f t="shared" si="37"/>
        <v>324</v>
      </c>
      <c r="N600">
        <f t="shared" si="38"/>
        <v>261</v>
      </c>
      <c r="O600">
        <f t="shared" si="39"/>
        <v>2038.75</v>
      </c>
    </row>
    <row r="601" spans="1:15" x14ac:dyDescent="0.2">
      <c r="A601" t="s">
        <v>19</v>
      </c>
      <c r="B601">
        <v>9</v>
      </c>
      <c r="C601">
        <v>38</v>
      </c>
      <c r="D601">
        <v>77</v>
      </c>
      <c r="E601">
        <v>1</v>
      </c>
      <c r="F601">
        <v>31</v>
      </c>
      <c r="G601">
        <v>1975301</v>
      </c>
      <c r="H601">
        <v>0</v>
      </c>
      <c r="I601">
        <v>1</v>
      </c>
      <c r="J601">
        <v>1</v>
      </c>
      <c r="K601">
        <v>0</v>
      </c>
      <c r="L601">
        <f t="shared" si="36"/>
        <v>27</v>
      </c>
      <c r="M601">
        <f t="shared" si="37"/>
        <v>324</v>
      </c>
      <c r="N601">
        <f t="shared" si="38"/>
        <v>247</v>
      </c>
      <c r="O601">
        <f t="shared" si="39"/>
        <v>2037.5833333333333</v>
      </c>
    </row>
    <row r="602" spans="1:15" x14ac:dyDescent="0.2">
      <c r="A602" t="s">
        <v>19</v>
      </c>
      <c r="B602">
        <v>9</v>
      </c>
      <c r="C602">
        <v>38</v>
      </c>
      <c r="D602">
        <v>77</v>
      </c>
      <c r="E602">
        <v>1</v>
      </c>
      <c r="F602">
        <v>36</v>
      </c>
      <c r="G602">
        <v>1974601</v>
      </c>
      <c r="H602">
        <v>0</v>
      </c>
      <c r="I602">
        <v>1</v>
      </c>
      <c r="J602">
        <v>1</v>
      </c>
      <c r="K602">
        <v>0</v>
      </c>
      <c r="L602">
        <f t="shared" si="36"/>
        <v>27</v>
      </c>
      <c r="M602">
        <f t="shared" si="37"/>
        <v>324</v>
      </c>
      <c r="N602">
        <f t="shared" si="38"/>
        <v>247</v>
      </c>
      <c r="O602">
        <f t="shared" si="39"/>
        <v>2037.5833333333333</v>
      </c>
    </row>
    <row r="603" spans="1:15" x14ac:dyDescent="0.2">
      <c r="A603" t="s">
        <v>19</v>
      </c>
      <c r="B603">
        <v>9</v>
      </c>
      <c r="C603">
        <v>38</v>
      </c>
      <c r="D603">
        <v>86</v>
      </c>
      <c r="E603">
        <v>1</v>
      </c>
      <c r="F603">
        <v>38</v>
      </c>
      <c r="G603">
        <v>1941601</v>
      </c>
      <c r="H603">
        <v>1</v>
      </c>
      <c r="I603">
        <v>0</v>
      </c>
      <c r="J603">
        <v>1</v>
      </c>
      <c r="K603">
        <v>0</v>
      </c>
      <c r="L603">
        <f t="shared" si="36"/>
        <v>27</v>
      </c>
      <c r="M603">
        <f t="shared" si="37"/>
        <v>324</v>
      </c>
      <c r="N603">
        <f t="shared" si="38"/>
        <v>238</v>
      </c>
      <c r="O603">
        <f t="shared" si="39"/>
        <v>2036.8333333333333</v>
      </c>
    </row>
    <row r="604" spans="1:15" x14ac:dyDescent="0.2">
      <c r="A604" t="s">
        <v>19</v>
      </c>
      <c r="B604">
        <v>9</v>
      </c>
      <c r="C604">
        <v>38</v>
      </c>
      <c r="D604">
        <v>92</v>
      </c>
      <c r="E604">
        <v>2</v>
      </c>
      <c r="F604">
        <v>37</v>
      </c>
      <c r="G604">
        <v>1906901</v>
      </c>
      <c r="H604">
        <v>0</v>
      </c>
      <c r="I604">
        <v>1</v>
      </c>
      <c r="J604">
        <v>1</v>
      </c>
      <c r="K604">
        <v>0</v>
      </c>
      <c r="L604">
        <f t="shared" si="36"/>
        <v>27</v>
      </c>
      <c r="M604">
        <f t="shared" si="37"/>
        <v>324</v>
      </c>
      <c r="N604">
        <f t="shared" si="38"/>
        <v>232</v>
      </c>
      <c r="O604">
        <f t="shared" si="39"/>
        <v>2036.3333333333333</v>
      </c>
    </row>
    <row r="605" spans="1:15" x14ac:dyDescent="0.2">
      <c r="A605" t="s">
        <v>19</v>
      </c>
      <c r="B605">
        <v>9</v>
      </c>
      <c r="C605">
        <v>38</v>
      </c>
      <c r="D605">
        <v>93</v>
      </c>
      <c r="E605">
        <v>1</v>
      </c>
      <c r="F605">
        <v>38</v>
      </c>
      <c r="G605">
        <v>1902801</v>
      </c>
      <c r="H605">
        <v>0</v>
      </c>
      <c r="I605">
        <v>1</v>
      </c>
      <c r="J605">
        <v>1</v>
      </c>
      <c r="K605">
        <v>0</v>
      </c>
      <c r="L605">
        <f t="shared" si="36"/>
        <v>27</v>
      </c>
      <c r="M605">
        <f t="shared" si="37"/>
        <v>324</v>
      </c>
      <c r="N605">
        <f t="shared" si="38"/>
        <v>231</v>
      </c>
      <c r="O605">
        <f t="shared" si="39"/>
        <v>2036.25</v>
      </c>
    </row>
    <row r="606" spans="1:15" x14ac:dyDescent="0.2">
      <c r="A606" t="s">
        <v>19</v>
      </c>
      <c r="B606">
        <v>9</v>
      </c>
      <c r="C606">
        <v>38</v>
      </c>
      <c r="D606">
        <v>97</v>
      </c>
      <c r="E606">
        <v>2</v>
      </c>
      <c r="F606">
        <v>35</v>
      </c>
      <c r="G606">
        <v>1867101</v>
      </c>
      <c r="H606">
        <v>0</v>
      </c>
      <c r="I606">
        <v>1</v>
      </c>
      <c r="J606">
        <v>1</v>
      </c>
      <c r="K606">
        <v>0</v>
      </c>
      <c r="L606">
        <f t="shared" si="36"/>
        <v>27</v>
      </c>
      <c r="M606">
        <f t="shared" si="37"/>
        <v>324</v>
      </c>
      <c r="N606">
        <f t="shared" si="38"/>
        <v>227</v>
      </c>
      <c r="O606">
        <f t="shared" si="39"/>
        <v>2035.9166666666667</v>
      </c>
    </row>
    <row r="607" spans="1:15" x14ac:dyDescent="0.2">
      <c r="A607" t="s">
        <v>19</v>
      </c>
      <c r="B607">
        <v>9</v>
      </c>
      <c r="C607">
        <v>38</v>
      </c>
      <c r="D607">
        <v>98</v>
      </c>
      <c r="E607">
        <v>1</v>
      </c>
      <c r="F607">
        <v>36</v>
      </c>
      <c r="G607">
        <v>1854401</v>
      </c>
      <c r="H607">
        <v>1</v>
      </c>
      <c r="I607">
        <v>0</v>
      </c>
      <c r="J607">
        <v>1</v>
      </c>
      <c r="K607">
        <v>0</v>
      </c>
      <c r="L607">
        <f t="shared" si="36"/>
        <v>27</v>
      </c>
      <c r="M607">
        <f t="shared" si="37"/>
        <v>324</v>
      </c>
      <c r="N607">
        <f t="shared" si="38"/>
        <v>226</v>
      </c>
      <c r="O607">
        <f t="shared" si="39"/>
        <v>2035.8333333333333</v>
      </c>
    </row>
    <row r="608" spans="1:15" x14ac:dyDescent="0.2">
      <c r="A608" t="s">
        <v>19</v>
      </c>
      <c r="B608">
        <v>9</v>
      </c>
      <c r="C608">
        <v>38</v>
      </c>
      <c r="D608">
        <v>106</v>
      </c>
      <c r="E608">
        <v>1</v>
      </c>
      <c r="F608">
        <v>31</v>
      </c>
      <c r="G608">
        <v>1770501</v>
      </c>
      <c r="H608">
        <v>0</v>
      </c>
      <c r="I608">
        <v>1</v>
      </c>
      <c r="J608">
        <v>1</v>
      </c>
      <c r="K608">
        <v>0</v>
      </c>
      <c r="L608">
        <f t="shared" si="36"/>
        <v>27</v>
      </c>
      <c r="M608">
        <f t="shared" si="37"/>
        <v>324</v>
      </c>
      <c r="N608">
        <f t="shared" si="38"/>
        <v>218</v>
      </c>
      <c r="O608">
        <f t="shared" si="39"/>
        <v>2035.1666666666667</v>
      </c>
    </row>
    <row r="609" spans="1:15" x14ac:dyDescent="0.2">
      <c r="A609" t="s">
        <v>19</v>
      </c>
      <c r="B609">
        <v>9</v>
      </c>
      <c r="C609">
        <v>38</v>
      </c>
      <c r="D609">
        <v>109</v>
      </c>
      <c r="E609">
        <v>1</v>
      </c>
      <c r="F609">
        <v>34</v>
      </c>
      <c r="G609">
        <v>1733801</v>
      </c>
      <c r="H609">
        <v>0</v>
      </c>
      <c r="I609">
        <v>1</v>
      </c>
      <c r="J609">
        <v>1</v>
      </c>
      <c r="K609">
        <v>0</v>
      </c>
      <c r="L609">
        <f t="shared" si="36"/>
        <v>27</v>
      </c>
      <c r="M609">
        <f t="shared" si="37"/>
        <v>324</v>
      </c>
      <c r="N609">
        <f t="shared" si="38"/>
        <v>215</v>
      </c>
      <c r="O609">
        <f t="shared" si="39"/>
        <v>2034.9166666666667</v>
      </c>
    </row>
    <row r="610" spans="1:15" x14ac:dyDescent="0.2">
      <c r="A610" t="s">
        <v>19</v>
      </c>
      <c r="B610">
        <v>9</v>
      </c>
      <c r="C610">
        <v>38</v>
      </c>
      <c r="D610">
        <v>113</v>
      </c>
      <c r="E610">
        <v>1</v>
      </c>
      <c r="F610">
        <v>36</v>
      </c>
      <c r="G610">
        <v>1692501</v>
      </c>
      <c r="H610">
        <v>0</v>
      </c>
      <c r="I610">
        <v>1</v>
      </c>
      <c r="J610">
        <v>1</v>
      </c>
      <c r="K610">
        <v>0</v>
      </c>
      <c r="L610">
        <f t="shared" si="36"/>
        <v>27</v>
      </c>
      <c r="M610">
        <f t="shared" si="37"/>
        <v>324</v>
      </c>
      <c r="N610">
        <f t="shared" si="38"/>
        <v>211</v>
      </c>
      <c r="O610">
        <f t="shared" si="39"/>
        <v>2034.5833333333333</v>
      </c>
    </row>
    <row r="611" spans="1:15" x14ac:dyDescent="0.2">
      <c r="A611" t="s">
        <v>19</v>
      </c>
      <c r="B611">
        <v>9</v>
      </c>
      <c r="C611">
        <v>38</v>
      </c>
      <c r="D611">
        <v>118</v>
      </c>
      <c r="E611">
        <v>1</v>
      </c>
      <c r="F611">
        <v>36</v>
      </c>
      <c r="G611">
        <v>644302</v>
      </c>
      <c r="H611">
        <v>1</v>
      </c>
      <c r="I611">
        <v>0</v>
      </c>
      <c r="J611">
        <v>1</v>
      </c>
      <c r="K611">
        <v>0</v>
      </c>
      <c r="L611">
        <f t="shared" si="36"/>
        <v>27</v>
      </c>
      <c r="M611">
        <f t="shared" si="37"/>
        <v>324</v>
      </c>
      <c r="N611">
        <f t="shared" si="38"/>
        <v>206</v>
      </c>
      <c r="O611">
        <f t="shared" si="39"/>
        <v>2034.1666666666667</v>
      </c>
    </row>
    <row r="612" spans="1:15" x14ac:dyDescent="0.2">
      <c r="A612" t="s">
        <v>19</v>
      </c>
      <c r="B612">
        <v>9</v>
      </c>
      <c r="C612">
        <v>38</v>
      </c>
      <c r="D612">
        <v>123</v>
      </c>
      <c r="E612">
        <v>1</v>
      </c>
      <c r="F612">
        <v>32</v>
      </c>
      <c r="G612">
        <v>1621901</v>
      </c>
      <c r="H612">
        <v>0</v>
      </c>
      <c r="I612">
        <v>1</v>
      </c>
      <c r="J612">
        <v>1</v>
      </c>
      <c r="K612">
        <v>0</v>
      </c>
      <c r="L612">
        <f t="shared" si="36"/>
        <v>27</v>
      </c>
      <c r="M612">
        <f t="shared" si="37"/>
        <v>324</v>
      </c>
      <c r="N612">
        <f t="shared" si="38"/>
        <v>201</v>
      </c>
      <c r="O612">
        <f t="shared" si="39"/>
        <v>2033.75</v>
      </c>
    </row>
    <row r="613" spans="1:15" x14ac:dyDescent="0.2">
      <c r="A613" t="s">
        <v>19</v>
      </c>
      <c r="B613">
        <v>9</v>
      </c>
      <c r="C613">
        <v>38</v>
      </c>
      <c r="D613">
        <v>123</v>
      </c>
      <c r="E613">
        <v>1</v>
      </c>
      <c r="F613">
        <v>34</v>
      </c>
      <c r="G613">
        <v>1622301</v>
      </c>
      <c r="H613">
        <v>0</v>
      </c>
      <c r="I613">
        <v>1</v>
      </c>
      <c r="J613">
        <v>1</v>
      </c>
      <c r="K613">
        <v>0</v>
      </c>
      <c r="L613">
        <f t="shared" si="36"/>
        <v>27</v>
      </c>
      <c r="M613">
        <f t="shared" si="37"/>
        <v>324</v>
      </c>
      <c r="N613">
        <f t="shared" si="38"/>
        <v>201</v>
      </c>
      <c r="O613">
        <f t="shared" si="39"/>
        <v>2033.75</v>
      </c>
    </row>
    <row r="614" spans="1:15" x14ac:dyDescent="0.2">
      <c r="A614" t="s">
        <v>19</v>
      </c>
      <c r="B614">
        <v>9</v>
      </c>
      <c r="C614">
        <v>38</v>
      </c>
      <c r="D614">
        <v>135</v>
      </c>
      <c r="E614">
        <v>1</v>
      </c>
      <c r="F614">
        <v>37</v>
      </c>
      <c r="G614">
        <v>1138901</v>
      </c>
      <c r="H614">
        <v>0</v>
      </c>
      <c r="I614">
        <v>1</v>
      </c>
      <c r="J614">
        <v>1</v>
      </c>
      <c r="K614">
        <v>0</v>
      </c>
      <c r="L614">
        <f t="shared" si="36"/>
        <v>27</v>
      </c>
      <c r="M614">
        <f t="shared" si="37"/>
        <v>324</v>
      </c>
      <c r="N614">
        <f t="shared" si="38"/>
        <v>189</v>
      </c>
      <c r="O614">
        <f t="shared" si="39"/>
        <v>2032.75</v>
      </c>
    </row>
    <row r="615" spans="1:15" x14ac:dyDescent="0.2">
      <c r="A615" t="s">
        <v>19</v>
      </c>
      <c r="B615">
        <v>9</v>
      </c>
      <c r="C615">
        <v>38</v>
      </c>
      <c r="D615">
        <v>138</v>
      </c>
      <c r="E615">
        <v>1</v>
      </c>
      <c r="F615">
        <v>36</v>
      </c>
      <c r="G615">
        <v>1135801</v>
      </c>
      <c r="H615">
        <v>0</v>
      </c>
      <c r="I615">
        <v>1</v>
      </c>
      <c r="J615">
        <v>1</v>
      </c>
      <c r="K615">
        <v>0</v>
      </c>
      <c r="L615">
        <f t="shared" si="36"/>
        <v>27</v>
      </c>
      <c r="M615">
        <f t="shared" si="37"/>
        <v>324</v>
      </c>
      <c r="N615">
        <f t="shared" si="38"/>
        <v>186</v>
      </c>
      <c r="O615">
        <f t="shared" si="39"/>
        <v>2032.5</v>
      </c>
    </row>
    <row r="616" spans="1:15" x14ac:dyDescent="0.2">
      <c r="A616" t="s">
        <v>19</v>
      </c>
      <c r="B616">
        <v>9</v>
      </c>
      <c r="C616">
        <v>38</v>
      </c>
      <c r="D616">
        <v>139</v>
      </c>
      <c r="E616">
        <v>1</v>
      </c>
      <c r="F616">
        <v>34</v>
      </c>
      <c r="G616">
        <v>1019202</v>
      </c>
      <c r="H616">
        <v>1</v>
      </c>
      <c r="I616">
        <v>0</v>
      </c>
      <c r="J616">
        <v>1</v>
      </c>
      <c r="K616">
        <v>0</v>
      </c>
      <c r="L616">
        <f t="shared" si="36"/>
        <v>27</v>
      </c>
      <c r="M616">
        <f t="shared" si="37"/>
        <v>324</v>
      </c>
      <c r="N616">
        <f t="shared" si="38"/>
        <v>185</v>
      </c>
      <c r="O616">
        <f t="shared" si="39"/>
        <v>2032.4166666666667</v>
      </c>
    </row>
    <row r="617" spans="1:15" x14ac:dyDescent="0.2">
      <c r="A617" t="s">
        <v>19</v>
      </c>
      <c r="B617">
        <v>9</v>
      </c>
      <c r="C617">
        <v>38</v>
      </c>
      <c r="D617">
        <v>142</v>
      </c>
      <c r="E617">
        <v>1</v>
      </c>
      <c r="F617">
        <v>35</v>
      </c>
      <c r="G617">
        <v>1117001</v>
      </c>
      <c r="H617">
        <v>0</v>
      </c>
      <c r="I617">
        <v>1</v>
      </c>
      <c r="J617">
        <v>1</v>
      </c>
      <c r="K617">
        <v>0</v>
      </c>
      <c r="L617">
        <f t="shared" si="36"/>
        <v>27</v>
      </c>
      <c r="M617">
        <f t="shared" si="37"/>
        <v>324</v>
      </c>
      <c r="N617">
        <f t="shared" si="38"/>
        <v>182</v>
      </c>
      <c r="O617">
        <f t="shared" si="39"/>
        <v>2032.1666666666667</v>
      </c>
    </row>
    <row r="618" spans="1:15" x14ac:dyDescent="0.2">
      <c r="A618" t="s">
        <v>19</v>
      </c>
      <c r="B618">
        <v>9</v>
      </c>
      <c r="C618">
        <v>38</v>
      </c>
      <c r="D618">
        <v>142</v>
      </c>
      <c r="E618">
        <v>1</v>
      </c>
      <c r="F618">
        <v>38</v>
      </c>
      <c r="G618">
        <v>1115901</v>
      </c>
      <c r="H618">
        <v>0</v>
      </c>
      <c r="I618">
        <v>1</v>
      </c>
      <c r="J618">
        <v>1</v>
      </c>
      <c r="K618">
        <v>0</v>
      </c>
      <c r="L618">
        <f t="shared" si="36"/>
        <v>27</v>
      </c>
      <c r="M618">
        <f t="shared" si="37"/>
        <v>324</v>
      </c>
      <c r="N618">
        <f t="shared" si="38"/>
        <v>182</v>
      </c>
      <c r="O618">
        <f t="shared" si="39"/>
        <v>2032.1666666666667</v>
      </c>
    </row>
    <row r="619" spans="1:15" x14ac:dyDescent="0.2">
      <c r="A619" t="s">
        <v>19</v>
      </c>
      <c r="B619">
        <v>9</v>
      </c>
      <c r="C619">
        <v>38</v>
      </c>
      <c r="D619">
        <v>146</v>
      </c>
      <c r="E619">
        <v>1</v>
      </c>
      <c r="F619">
        <v>37</v>
      </c>
      <c r="G619">
        <v>1078901</v>
      </c>
      <c r="H619">
        <v>1</v>
      </c>
      <c r="I619">
        <v>0</v>
      </c>
      <c r="J619">
        <v>1</v>
      </c>
      <c r="K619">
        <v>0</v>
      </c>
      <c r="L619">
        <f t="shared" si="36"/>
        <v>27</v>
      </c>
      <c r="M619">
        <f t="shared" si="37"/>
        <v>324</v>
      </c>
      <c r="N619">
        <f t="shared" si="38"/>
        <v>178</v>
      </c>
      <c r="O619">
        <f t="shared" si="39"/>
        <v>2031.8333333333333</v>
      </c>
    </row>
    <row r="620" spans="1:15" x14ac:dyDescent="0.2">
      <c r="A620" t="s">
        <v>19</v>
      </c>
      <c r="B620">
        <v>9</v>
      </c>
      <c r="C620">
        <v>38</v>
      </c>
      <c r="D620">
        <v>147</v>
      </c>
      <c r="E620">
        <v>1</v>
      </c>
      <c r="F620">
        <v>34</v>
      </c>
      <c r="G620">
        <v>1066501</v>
      </c>
      <c r="H620">
        <v>0</v>
      </c>
      <c r="I620">
        <v>1</v>
      </c>
      <c r="J620">
        <v>1</v>
      </c>
      <c r="K620">
        <v>0</v>
      </c>
      <c r="L620">
        <f t="shared" si="36"/>
        <v>27</v>
      </c>
      <c r="M620">
        <f t="shared" si="37"/>
        <v>324</v>
      </c>
      <c r="N620">
        <f t="shared" si="38"/>
        <v>177</v>
      </c>
      <c r="O620">
        <f t="shared" si="39"/>
        <v>2031.75</v>
      </c>
    </row>
    <row r="621" spans="1:15" x14ac:dyDescent="0.2">
      <c r="A621" t="s">
        <v>19</v>
      </c>
      <c r="B621">
        <v>9</v>
      </c>
      <c r="C621">
        <v>38</v>
      </c>
      <c r="D621">
        <v>152</v>
      </c>
      <c r="E621">
        <v>1</v>
      </c>
      <c r="F621">
        <v>36</v>
      </c>
      <c r="G621">
        <v>1037901</v>
      </c>
      <c r="H621">
        <v>0</v>
      </c>
      <c r="I621">
        <v>1</v>
      </c>
      <c r="J621">
        <v>1</v>
      </c>
      <c r="K621">
        <v>0</v>
      </c>
      <c r="L621">
        <f t="shared" si="36"/>
        <v>27</v>
      </c>
      <c r="M621">
        <f t="shared" si="37"/>
        <v>324</v>
      </c>
      <c r="N621">
        <f t="shared" si="38"/>
        <v>172</v>
      </c>
      <c r="O621">
        <f t="shared" si="39"/>
        <v>2031.3333333333333</v>
      </c>
    </row>
    <row r="622" spans="1:15" x14ac:dyDescent="0.2">
      <c r="A622" t="s">
        <v>19</v>
      </c>
      <c r="B622">
        <v>9</v>
      </c>
      <c r="C622">
        <v>38</v>
      </c>
      <c r="D622">
        <v>153</v>
      </c>
      <c r="E622">
        <v>1</v>
      </c>
      <c r="F622">
        <v>34</v>
      </c>
      <c r="G622">
        <v>1022701</v>
      </c>
      <c r="H622">
        <v>0</v>
      </c>
      <c r="I622">
        <v>1</v>
      </c>
      <c r="J622">
        <v>1</v>
      </c>
      <c r="K622">
        <v>0</v>
      </c>
      <c r="L622">
        <f t="shared" si="36"/>
        <v>27</v>
      </c>
      <c r="M622">
        <f t="shared" si="37"/>
        <v>324</v>
      </c>
      <c r="N622">
        <f t="shared" si="38"/>
        <v>171</v>
      </c>
      <c r="O622">
        <f t="shared" si="39"/>
        <v>2031.25</v>
      </c>
    </row>
    <row r="623" spans="1:15" x14ac:dyDescent="0.2">
      <c r="A623" t="s">
        <v>19</v>
      </c>
      <c r="B623">
        <v>9</v>
      </c>
      <c r="C623">
        <v>38</v>
      </c>
      <c r="D623">
        <v>153</v>
      </c>
      <c r="E623">
        <v>1</v>
      </c>
      <c r="F623">
        <v>34</v>
      </c>
      <c r="G623">
        <v>1026001</v>
      </c>
      <c r="H623">
        <v>1</v>
      </c>
      <c r="I623">
        <v>0</v>
      </c>
      <c r="J623">
        <v>1</v>
      </c>
      <c r="K623">
        <v>0</v>
      </c>
      <c r="L623">
        <f t="shared" si="36"/>
        <v>27</v>
      </c>
      <c r="M623">
        <f t="shared" si="37"/>
        <v>324</v>
      </c>
      <c r="N623">
        <f t="shared" si="38"/>
        <v>171</v>
      </c>
      <c r="O623">
        <f t="shared" si="39"/>
        <v>2031.25</v>
      </c>
    </row>
    <row r="624" spans="1:15" x14ac:dyDescent="0.2">
      <c r="A624" t="s">
        <v>19</v>
      </c>
      <c r="B624">
        <v>9</v>
      </c>
      <c r="C624">
        <v>38</v>
      </c>
      <c r="D624">
        <v>156</v>
      </c>
      <c r="E624">
        <v>1</v>
      </c>
      <c r="F624">
        <v>36</v>
      </c>
      <c r="G624">
        <v>994501</v>
      </c>
      <c r="H624">
        <v>0</v>
      </c>
      <c r="I624">
        <v>1</v>
      </c>
      <c r="J624">
        <v>1</v>
      </c>
      <c r="K624">
        <v>0</v>
      </c>
      <c r="L624">
        <f t="shared" si="36"/>
        <v>27</v>
      </c>
      <c r="M624">
        <f t="shared" si="37"/>
        <v>324</v>
      </c>
      <c r="N624">
        <f t="shared" si="38"/>
        <v>168</v>
      </c>
      <c r="O624">
        <f t="shared" si="39"/>
        <v>2031</v>
      </c>
    </row>
    <row r="625" spans="1:15" x14ac:dyDescent="0.2">
      <c r="A625" t="s">
        <v>19</v>
      </c>
      <c r="B625">
        <v>9</v>
      </c>
      <c r="C625">
        <v>38</v>
      </c>
      <c r="D625">
        <v>161</v>
      </c>
      <c r="E625">
        <v>1</v>
      </c>
      <c r="F625">
        <v>33</v>
      </c>
      <c r="G625">
        <v>962801</v>
      </c>
      <c r="H625">
        <v>0</v>
      </c>
      <c r="I625">
        <v>1</v>
      </c>
      <c r="J625">
        <v>1</v>
      </c>
      <c r="K625">
        <v>0</v>
      </c>
      <c r="L625">
        <f t="shared" si="36"/>
        <v>27</v>
      </c>
      <c r="M625">
        <f t="shared" si="37"/>
        <v>324</v>
      </c>
      <c r="N625">
        <f t="shared" si="38"/>
        <v>163</v>
      </c>
      <c r="O625">
        <f t="shared" si="39"/>
        <v>2030.5833333333333</v>
      </c>
    </row>
    <row r="626" spans="1:15" x14ac:dyDescent="0.2">
      <c r="A626" t="s">
        <v>19</v>
      </c>
      <c r="B626">
        <v>9</v>
      </c>
      <c r="C626">
        <v>38</v>
      </c>
      <c r="D626">
        <v>164</v>
      </c>
      <c r="E626">
        <v>2</v>
      </c>
      <c r="F626">
        <v>37</v>
      </c>
      <c r="G626">
        <v>941702</v>
      </c>
      <c r="H626">
        <v>1</v>
      </c>
      <c r="I626">
        <v>0</v>
      </c>
      <c r="J626">
        <v>1</v>
      </c>
      <c r="K626">
        <v>0</v>
      </c>
      <c r="L626">
        <f t="shared" si="36"/>
        <v>27</v>
      </c>
      <c r="M626">
        <f t="shared" si="37"/>
        <v>324</v>
      </c>
      <c r="N626">
        <f t="shared" si="38"/>
        <v>160</v>
      </c>
      <c r="O626">
        <f t="shared" si="39"/>
        <v>2030.3333333333333</v>
      </c>
    </row>
    <row r="627" spans="1:15" x14ac:dyDescent="0.2">
      <c r="A627" t="s">
        <v>19</v>
      </c>
      <c r="B627">
        <v>9</v>
      </c>
      <c r="C627">
        <v>38</v>
      </c>
      <c r="D627">
        <v>179</v>
      </c>
      <c r="E627">
        <v>2</v>
      </c>
      <c r="F627">
        <v>34</v>
      </c>
      <c r="G627">
        <v>895401</v>
      </c>
      <c r="H627">
        <v>0</v>
      </c>
      <c r="I627">
        <v>1</v>
      </c>
      <c r="J627">
        <v>1</v>
      </c>
      <c r="K627">
        <v>0</v>
      </c>
      <c r="L627">
        <f t="shared" si="36"/>
        <v>27</v>
      </c>
      <c r="M627">
        <f t="shared" si="37"/>
        <v>324</v>
      </c>
      <c r="N627">
        <f t="shared" si="38"/>
        <v>145</v>
      </c>
      <c r="O627">
        <f t="shared" si="39"/>
        <v>2029.0833333333333</v>
      </c>
    </row>
    <row r="628" spans="1:15" x14ac:dyDescent="0.2">
      <c r="A628" t="s">
        <v>19</v>
      </c>
      <c r="B628">
        <v>9</v>
      </c>
      <c r="C628">
        <v>38</v>
      </c>
      <c r="D628">
        <v>198</v>
      </c>
      <c r="E628">
        <v>2</v>
      </c>
      <c r="F628">
        <v>37</v>
      </c>
      <c r="G628">
        <v>134603</v>
      </c>
      <c r="H628">
        <v>0</v>
      </c>
      <c r="I628">
        <v>1</v>
      </c>
      <c r="J628">
        <v>1</v>
      </c>
      <c r="K628">
        <v>0</v>
      </c>
      <c r="L628">
        <f t="shared" si="36"/>
        <v>27</v>
      </c>
      <c r="M628">
        <f t="shared" si="37"/>
        <v>324</v>
      </c>
      <c r="N628">
        <f t="shared" si="38"/>
        <v>126</v>
      </c>
      <c r="O628">
        <f t="shared" si="39"/>
        <v>2027.5</v>
      </c>
    </row>
    <row r="629" spans="1:15" x14ac:dyDescent="0.2">
      <c r="A629" t="s">
        <v>19</v>
      </c>
      <c r="B629">
        <v>9</v>
      </c>
      <c r="C629">
        <v>38</v>
      </c>
      <c r="D629">
        <v>199</v>
      </c>
      <c r="E629">
        <v>1</v>
      </c>
      <c r="F629">
        <v>37</v>
      </c>
      <c r="G629">
        <v>803101</v>
      </c>
      <c r="H629">
        <v>0</v>
      </c>
      <c r="I629">
        <v>1</v>
      </c>
      <c r="J629">
        <v>1</v>
      </c>
      <c r="K629">
        <v>0</v>
      </c>
      <c r="L629">
        <f t="shared" si="36"/>
        <v>27</v>
      </c>
      <c r="M629">
        <f t="shared" si="37"/>
        <v>324</v>
      </c>
      <c r="N629">
        <f t="shared" si="38"/>
        <v>125</v>
      </c>
      <c r="O629">
        <f t="shared" si="39"/>
        <v>2027.4166666666667</v>
      </c>
    </row>
    <row r="630" spans="1:15" x14ac:dyDescent="0.2">
      <c r="A630" t="s">
        <v>19</v>
      </c>
      <c r="B630">
        <v>9</v>
      </c>
      <c r="C630">
        <v>38</v>
      </c>
      <c r="D630">
        <v>201</v>
      </c>
      <c r="E630">
        <v>1</v>
      </c>
      <c r="F630">
        <v>37</v>
      </c>
      <c r="G630">
        <v>781801</v>
      </c>
      <c r="H630">
        <v>0</v>
      </c>
      <c r="I630">
        <v>1</v>
      </c>
      <c r="J630">
        <v>1</v>
      </c>
      <c r="K630">
        <v>0</v>
      </c>
      <c r="L630">
        <f t="shared" si="36"/>
        <v>27</v>
      </c>
      <c r="M630">
        <f t="shared" si="37"/>
        <v>324</v>
      </c>
      <c r="N630">
        <f t="shared" si="38"/>
        <v>123</v>
      </c>
      <c r="O630">
        <f t="shared" si="39"/>
        <v>2027.25</v>
      </c>
    </row>
    <row r="631" spans="1:15" x14ac:dyDescent="0.2">
      <c r="A631" t="s">
        <v>19</v>
      </c>
      <c r="B631">
        <v>9</v>
      </c>
      <c r="C631">
        <v>38</v>
      </c>
      <c r="D631">
        <v>202</v>
      </c>
      <c r="E631">
        <v>1</v>
      </c>
      <c r="F631">
        <v>33</v>
      </c>
      <c r="G631">
        <v>767701</v>
      </c>
      <c r="H631">
        <v>0</v>
      </c>
      <c r="I631">
        <v>1</v>
      </c>
      <c r="J631">
        <v>1</v>
      </c>
      <c r="K631">
        <v>0</v>
      </c>
      <c r="L631">
        <f t="shared" si="36"/>
        <v>27</v>
      </c>
      <c r="M631">
        <f t="shared" si="37"/>
        <v>324</v>
      </c>
      <c r="N631">
        <f t="shared" si="38"/>
        <v>122</v>
      </c>
      <c r="O631">
        <f t="shared" si="39"/>
        <v>2027.1666666666667</v>
      </c>
    </row>
    <row r="632" spans="1:15" x14ac:dyDescent="0.2">
      <c r="A632" t="s">
        <v>19</v>
      </c>
      <c r="B632">
        <v>9</v>
      </c>
      <c r="C632">
        <v>38</v>
      </c>
      <c r="D632">
        <v>204</v>
      </c>
      <c r="E632">
        <v>1</v>
      </c>
      <c r="F632">
        <v>35</v>
      </c>
      <c r="G632">
        <v>741701</v>
      </c>
      <c r="H632">
        <v>1</v>
      </c>
      <c r="I632">
        <v>0</v>
      </c>
      <c r="J632">
        <v>1</v>
      </c>
      <c r="K632">
        <v>0</v>
      </c>
      <c r="L632">
        <f t="shared" si="36"/>
        <v>27</v>
      </c>
      <c r="M632">
        <f t="shared" si="37"/>
        <v>324</v>
      </c>
      <c r="N632">
        <f t="shared" si="38"/>
        <v>120</v>
      </c>
      <c r="O632">
        <f t="shared" si="39"/>
        <v>2027</v>
      </c>
    </row>
    <row r="633" spans="1:15" x14ac:dyDescent="0.2">
      <c r="A633" t="s">
        <v>19</v>
      </c>
      <c r="B633">
        <v>9</v>
      </c>
      <c r="C633">
        <v>38</v>
      </c>
      <c r="D633">
        <v>204</v>
      </c>
      <c r="E633">
        <v>1</v>
      </c>
      <c r="F633">
        <v>36</v>
      </c>
      <c r="G633">
        <v>740301</v>
      </c>
      <c r="H633">
        <v>0</v>
      </c>
      <c r="I633">
        <v>1</v>
      </c>
      <c r="J633">
        <v>1</v>
      </c>
      <c r="K633">
        <v>0</v>
      </c>
      <c r="L633">
        <f t="shared" si="36"/>
        <v>27</v>
      </c>
      <c r="M633">
        <f t="shared" si="37"/>
        <v>324</v>
      </c>
      <c r="N633">
        <f t="shared" si="38"/>
        <v>120</v>
      </c>
      <c r="O633">
        <f t="shared" si="39"/>
        <v>2027</v>
      </c>
    </row>
    <row r="634" spans="1:15" x14ac:dyDescent="0.2">
      <c r="A634" t="s">
        <v>19</v>
      </c>
      <c r="B634">
        <v>9</v>
      </c>
      <c r="C634">
        <v>38</v>
      </c>
      <c r="D634">
        <v>205</v>
      </c>
      <c r="E634">
        <v>1</v>
      </c>
      <c r="F634">
        <v>32</v>
      </c>
      <c r="G634">
        <v>733702</v>
      </c>
      <c r="H634">
        <v>1</v>
      </c>
      <c r="I634">
        <v>0</v>
      </c>
      <c r="J634">
        <v>1</v>
      </c>
      <c r="K634">
        <v>0</v>
      </c>
      <c r="L634">
        <f t="shared" si="36"/>
        <v>27</v>
      </c>
      <c r="M634">
        <f t="shared" si="37"/>
        <v>324</v>
      </c>
      <c r="N634">
        <f t="shared" si="38"/>
        <v>119</v>
      </c>
      <c r="O634">
        <f t="shared" si="39"/>
        <v>2026.9166666666667</v>
      </c>
    </row>
    <row r="635" spans="1:15" x14ac:dyDescent="0.2">
      <c r="A635" t="s">
        <v>19</v>
      </c>
      <c r="B635">
        <v>9</v>
      </c>
      <c r="C635">
        <v>38</v>
      </c>
      <c r="D635">
        <v>206</v>
      </c>
      <c r="E635">
        <v>1</v>
      </c>
      <c r="F635">
        <v>37</v>
      </c>
      <c r="G635">
        <v>693001</v>
      </c>
      <c r="H635">
        <v>0</v>
      </c>
      <c r="I635">
        <v>1</v>
      </c>
      <c r="J635">
        <v>1</v>
      </c>
      <c r="K635">
        <v>0</v>
      </c>
      <c r="L635">
        <f t="shared" si="36"/>
        <v>27</v>
      </c>
      <c r="M635">
        <f t="shared" si="37"/>
        <v>324</v>
      </c>
      <c r="N635">
        <f t="shared" si="38"/>
        <v>118</v>
      </c>
      <c r="O635">
        <f t="shared" si="39"/>
        <v>2026.8333333333333</v>
      </c>
    </row>
    <row r="636" spans="1:15" x14ac:dyDescent="0.2">
      <c r="A636" t="s">
        <v>19</v>
      </c>
      <c r="B636">
        <v>9</v>
      </c>
      <c r="C636">
        <v>38</v>
      </c>
      <c r="D636">
        <v>214</v>
      </c>
      <c r="E636">
        <v>1</v>
      </c>
      <c r="F636">
        <v>38</v>
      </c>
      <c r="G636">
        <v>552002</v>
      </c>
      <c r="H636">
        <v>0</v>
      </c>
      <c r="I636">
        <v>1</v>
      </c>
      <c r="J636">
        <v>1</v>
      </c>
      <c r="K636">
        <v>0</v>
      </c>
      <c r="L636">
        <f t="shared" si="36"/>
        <v>27</v>
      </c>
      <c r="M636">
        <f t="shared" si="37"/>
        <v>324</v>
      </c>
      <c r="N636">
        <f t="shared" si="38"/>
        <v>110</v>
      </c>
      <c r="O636">
        <f t="shared" si="39"/>
        <v>2026.1666666666667</v>
      </c>
    </row>
    <row r="637" spans="1:15" x14ac:dyDescent="0.2">
      <c r="A637" t="s">
        <v>19</v>
      </c>
      <c r="B637">
        <v>9</v>
      </c>
      <c r="C637">
        <v>38</v>
      </c>
      <c r="D637">
        <v>215</v>
      </c>
      <c r="E637">
        <v>1</v>
      </c>
      <c r="F637">
        <v>30</v>
      </c>
      <c r="G637">
        <v>538301</v>
      </c>
      <c r="H637">
        <v>0</v>
      </c>
      <c r="I637">
        <v>1</v>
      </c>
      <c r="J637">
        <v>1</v>
      </c>
      <c r="K637">
        <v>0</v>
      </c>
      <c r="L637">
        <f t="shared" si="36"/>
        <v>27</v>
      </c>
      <c r="M637">
        <f t="shared" si="37"/>
        <v>324</v>
      </c>
      <c r="N637">
        <f t="shared" si="38"/>
        <v>109</v>
      </c>
      <c r="O637">
        <f t="shared" si="39"/>
        <v>2026.0833333333333</v>
      </c>
    </row>
    <row r="638" spans="1:15" x14ac:dyDescent="0.2">
      <c r="A638" t="s">
        <v>19</v>
      </c>
      <c r="B638">
        <v>9</v>
      </c>
      <c r="C638">
        <v>38</v>
      </c>
      <c r="D638">
        <v>215</v>
      </c>
      <c r="E638">
        <v>1</v>
      </c>
      <c r="F638">
        <v>36</v>
      </c>
      <c r="G638">
        <v>20602</v>
      </c>
      <c r="H638">
        <v>1</v>
      </c>
      <c r="I638">
        <v>0</v>
      </c>
      <c r="J638">
        <v>1</v>
      </c>
      <c r="K638">
        <v>0</v>
      </c>
      <c r="L638">
        <f t="shared" si="36"/>
        <v>27</v>
      </c>
      <c r="M638">
        <f t="shared" si="37"/>
        <v>324</v>
      </c>
      <c r="N638">
        <f t="shared" si="38"/>
        <v>109</v>
      </c>
      <c r="O638">
        <f t="shared" si="39"/>
        <v>2026.0833333333333</v>
      </c>
    </row>
    <row r="639" spans="1:15" x14ac:dyDescent="0.2">
      <c r="A639" t="s">
        <v>19</v>
      </c>
      <c r="B639">
        <v>9</v>
      </c>
      <c r="C639">
        <v>38</v>
      </c>
      <c r="D639">
        <v>217</v>
      </c>
      <c r="E639">
        <v>1</v>
      </c>
      <c r="F639">
        <v>35</v>
      </c>
      <c r="G639">
        <v>413102</v>
      </c>
      <c r="H639">
        <v>0</v>
      </c>
      <c r="I639">
        <v>1</v>
      </c>
      <c r="J639">
        <v>1</v>
      </c>
      <c r="K639">
        <v>0</v>
      </c>
      <c r="L639">
        <f t="shared" si="36"/>
        <v>27</v>
      </c>
      <c r="M639">
        <f t="shared" si="37"/>
        <v>324</v>
      </c>
      <c r="N639">
        <f t="shared" si="38"/>
        <v>107</v>
      </c>
      <c r="O639">
        <f t="shared" si="39"/>
        <v>2025.9166666666667</v>
      </c>
    </row>
    <row r="640" spans="1:15" x14ac:dyDescent="0.2">
      <c r="A640" t="s">
        <v>19</v>
      </c>
      <c r="B640">
        <v>9</v>
      </c>
      <c r="C640">
        <v>38</v>
      </c>
      <c r="D640">
        <v>222</v>
      </c>
      <c r="E640">
        <v>1</v>
      </c>
      <c r="F640">
        <v>37</v>
      </c>
      <c r="G640">
        <v>329101</v>
      </c>
      <c r="H640">
        <v>0</v>
      </c>
      <c r="I640">
        <v>1</v>
      </c>
      <c r="J640">
        <v>1</v>
      </c>
      <c r="K640">
        <v>0</v>
      </c>
      <c r="L640">
        <f t="shared" si="36"/>
        <v>27</v>
      </c>
      <c r="M640">
        <f t="shared" si="37"/>
        <v>324</v>
      </c>
      <c r="N640">
        <f t="shared" si="38"/>
        <v>102</v>
      </c>
      <c r="O640">
        <f t="shared" si="39"/>
        <v>2025.5</v>
      </c>
    </row>
    <row r="641" spans="1:15" x14ac:dyDescent="0.2">
      <c r="A641" t="s">
        <v>19</v>
      </c>
      <c r="B641">
        <v>9</v>
      </c>
      <c r="C641">
        <v>38</v>
      </c>
      <c r="D641">
        <v>224</v>
      </c>
      <c r="E641">
        <v>12</v>
      </c>
      <c r="F641">
        <v>38</v>
      </c>
      <c r="G641">
        <v>291002</v>
      </c>
      <c r="H641">
        <v>1</v>
      </c>
      <c r="I641">
        <v>0</v>
      </c>
      <c r="J641">
        <v>1</v>
      </c>
      <c r="K641">
        <v>0</v>
      </c>
      <c r="L641">
        <f t="shared" si="36"/>
        <v>27</v>
      </c>
      <c r="M641">
        <f t="shared" si="37"/>
        <v>324</v>
      </c>
      <c r="N641">
        <f t="shared" si="38"/>
        <v>100</v>
      </c>
      <c r="O641">
        <f t="shared" si="39"/>
        <v>2025.3333333333333</v>
      </c>
    </row>
    <row r="642" spans="1:15" x14ac:dyDescent="0.2">
      <c r="A642" t="s">
        <v>19</v>
      </c>
      <c r="B642">
        <v>9</v>
      </c>
      <c r="C642">
        <v>38</v>
      </c>
      <c r="D642">
        <v>226</v>
      </c>
      <c r="E642">
        <v>12</v>
      </c>
      <c r="F642">
        <v>34</v>
      </c>
      <c r="G642">
        <v>262902</v>
      </c>
      <c r="H642">
        <v>0</v>
      </c>
      <c r="I642">
        <v>1</v>
      </c>
      <c r="J642">
        <v>1</v>
      </c>
      <c r="K642">
        <v>0</v>
      </c>
      <c r="L642">
        <f t="shared" si="36"/>
        <v>27</v>
      </c>
      <c r="M642">
        <f t="shared" si="37"/>
        <v>324</v>
      </c>
      <c r="N642">
        <f t="shared" si="38"/>
        <v>98</v>
      </c>
      <c r="O642">
        <f t="shared" si="39"/>
        <v>2025.1666666666667</v>
      </c>
    </row>
    <row r="643" spans="1:15" x14ac:dyDescent="0.2">
      <c r="A643" t="s">
        <v>19</v>
      </c>
      <c r="B643">
        <v>9</v>
      </c>
      <c r="C643">
        <v>38</v>
      </c>
      <c r="D643">
        <v>233</v>
      </c>
      <c r="E643">
        <v>12</v>
      </c>
      <c r="F643">
        <v>33</v>
      </c>
      <c r="G643">
        <v>139801</v>
      </c>
      <c r="H643">
        <v>0</v>
      </c>
      <c r="I643">
        <v>1</v>
      </c>
      <c r="J643">
        <v>1</v>
      </c>
      <c r="K643">
        <v>0</v>
      </c>
      <c r="L643">
        <f t="shared" si="36"/>
        <v>27</v>
      </c>
      <c r="M643">
        <f t="shared" si="37"/>
        <v>324</v>
      </c>
      <c r="N643">
        <f t="shared" si="38"/>
        <v>91</v>
      </c>
      <c r="O643">
        <f t="shared" si="39"/>
        <v>2024.5833333333333</v>
      </c>
    </row>
    <row r="644" spans="1:15" x14ac:dyDescent="0.2">
      <c r="A644" t="s">
        <v>19</v>
      </c>
      <c r="B644">
        <v>9</v>
      </c>
      <c r="C644">
        <v>38</v>
      </c>
      <c r="D644">
        <v>236</v>
      </c>
      <c r="E644">
        <v>1</v>
      </c>
      <c r="F644">
        <v>36</v>
      </c>
      <c r="G644">
        <v>104601</v>
      </c>
      <c r="H644">
        <v>0</v>
      </c>
      <c r="I644">
        <v>1</v>
      </c>
      <c r="J644">
        <v>1</v>
      </c>
      <c r="K644">
        <v>0</v>
      </c>
      <c r="L644">
        <f t="shared" si="36"/>
        <v>27</v>
      </c>
      <c r="M644">
        <f t="shared" si="37"/>
        <v>324</v>
      </c>
      <c r="N644">
        <f t="shared" si="38"/>
        <v>88</v>
      </c>
      <c r="O644">
        <f t="shared" si="39"/>
        <v>2024.3333333333333</v>
      </c>
    </row>
    <row r="645" spans="1:15" x14ac:dyDescent="0.2">
      <c r="A645" t="s">
        <v>19</v>
      </c>
      <c r="B645">
        <v>9</v>
      </c>
      <c r="C645">
        <v>38</v>
      </c>
      <c r="D645">
        <v>236</v>
      </c>
      <c r="E645">
        <v>12</v>
      </c>
      <c r="F645">
        <v>28</v>
      </c>
      <c r="G645">
        <v>106902</v>
      </c>
      <c r="H645">
        <v>0</v>
      </c>
      <c r="I645">
        <v>1</v>
      </c>
      <c r="J645">
        <v>1</v>
      </c>
      <c r="K645">
        <v>0</v>
      </c>
      <c r="L645">
        <f t="shared" si="36"/>
        <v>27</v>
      </c>
      <c r="M645">
        <f t="shared" si="37"/>
        <v>324</v>
      </c>
      <c r="N645">
        <f t="shared" si="38"/>
        <v>88</v>
      </c>
      <c r="O645">
        <f t="shared" si="39"/>
        <v>2024.3333333333333</v>
      </c>
    </row>
    <row r="646" spans="1:15" x14ac:dyDescent="0.2">
      <c r="A646" t="s">
        <v>19</v>
      </c>
      <c r="B646">
        <v>9</v>
      </c>
      <c r="C646">
        <v>38</v>
      </c>
      <c r="D646">
        <v>237</v>
      </c>
      <c r="E646">
        <v>1</v>
      </c>
      <c r="F646">
        <v>35</v>
      </c>
      <c r="G646">
        <v>100201</v>
      </c>
      <c r="H646">
        <v>0</v>
      </c>
      <c r="I646">
        <v>1</v>
      </c>
      <c r="J646">
        <v>1</v>
      </c>
      <c r="K646">
        <v>0</v>
      </c>
      <c r="L646">
        <f t="shared" si="36"/>
        <v>27</v>
      </c>
      <c r="M646">
        <f t="shared" si="37"/>
        <v>324</v>
      </c>
      <c r="N646">
        <f t="shared" si="38"/>
        <v>87</v>
      </c>
      <c r="O646">
        <f t="shared" si="39"/>
        <v>2024.25</v>
      </c>
    </row>
    <row r="647" spans="1:15" x14ac:dyDescent="0.2">
      <c r="A647" t="s">
        <v>19</v>
      </c>
      <c r="B647">
        <v>9</v>
      </c>
      <c r="C647">
        <v>38</v>
      </c>
      <c r="D647">
        <v>240</v>
      </c>
      <c r="E647">
        <v>1</v>
      </c>
      <c r="F647">
        <v>38</v>
      </c>
      <c r="G647">
        <v>39202</v>
      </c>
      <c r="H647">
        <v>0</v>
      </c>
      <c r="I647">
        <v>1</v>
      </c>
      <c r="J647">
        <v>1</v>
      </c>
      <c r="K647">
        <v>0</v>
      </c>
      <c r="L647">
        <f t="shared" ref="L647:L710" si="40">65-C647</f>
        <v>27</v>
      </c>
      <c r="M647">
        <f t="shared" ref="M647:M710" si="41">L647*12</f>
        <v>324</v>
      </c>
      <c r="N647">
        <f t="shared" ref="N647:N710" si="42">M647-D647</f>
        <v>84</v>
      </c>
      <c r="O647">
        <f t="shared" ref="O647:O710" si="43">2017+N647/12</f>
        <v>2024</v>
      </c>
    </row>
    <row r="648" spans="1:15" x14ac:dyDescent="0.2">
      <c r="A648" t="s">
        <v>19</v>
      </c>
      <c r="B648">
        <v>9</v>
      </c>
      <c r="C648">
        <v>39</v>
      </c>
      <c r="D648">
        <v>1</v>
      </c>
      <c r="E648">
        <v>12</v>
      </c>
      <c r="F648">
        <v>31</v>
      </c>
      <c r="G648">
        <v>2394903</v>
      </c>
      <c r="H648">
        <v>0</v>
      </c>
      <c r="I648">
        <v>1</v>
      </c>
      <c r="J648">
        <v>1</v>
      </c>
      <c r="K648">
        <v>0</v>
      </c>
      <c r="L648">
        <f t="shared" si="40"/>
        <v>26</v>
      </c>
      <c r="M648">
        <f t="shared" si="41"/>
        <v>312</v>
      </c>
      <c r="N648">
        <f t="shared" si="42"/>
        <v>311</v>
      </c>
      <c r="O648">
        <f t="shared" si="43"/>
        <v>2042.9166666666667</v>
      </c>
    </row>
    <row r="649" spans="1:15" x14ac:dyDescent="0.2">
      <c r="A649" t="s">
        <v>19</v>
      </c>
      <c r="B649">
        <v>9</v>
      </c>
      <c r="C649">
        <v>39</v>
      </c>
      <c r="D649">
        <v>1</v>
      </c>
      <c r="E649">
        <v>12</v>
      </c>
      <c r="F649">
        <v>37</v>
      </c>
      <c r="G649">
        <v>2398701</v>
      </c>
      <c r="H649">
        <v>1</v>
      </c>
      <c r="I649">
        <v>0</v>
      </c>
      <c r="J649">
        <v>1</v>
      </c>
      <c r="K649">
        <v>0</v>
      </c>
      <c r="L649">
        <f t="shared" si="40"/>
        <v>26</v>
      </c>
      <c r="M649">
        <f t="shared" si="41"/>
        <v>312</v>
      </c>
      <c r="N649">
        <f t="shared" si="42"/>
        <v>311</v>
      </c>
      <c r="O649">
        <f t="shared" si="43"/>
        <v>2042.9166666666667</v>
      </c>
    </row>
    <row r="650" spans="1:15" x14ac:dyDescent="0.2">
      <c r="A650" t="s">
        <v>19</v>
      </c>
      <c r="B650">
        <v>9</v>
      </c>
      <c r="C650">
        <v>39</v>
      </c>
      <c r="D650">
        <v>1</v>
      </c>
      <c r="E650">
        <v>12</v>
      </c>
      <c r="F650">
        <v>38</v>
      </c>
      <c r="G650">
        <v>2413805</v>
      </c>
      <c r="H650">
        <v>0</v>
      </c>
      <c r="I650">
        <v>1</v>
      </c>
      <c r="J650">
        <v>1</v>
      </c>
      <c r="K650">
        <v>0</v>
      </c>
      <c r="L650">
        <f t="shared" si="40"/>
        <v>26</v>
      </c>
      <c r="M650">
        <f t="shared" si="41"/>
        <v>312</v>
      </c>
      <c r="N650">
        <f t="shared" si="42"/>
        <v>311</v>
      </c>
      <c r="O650">
        <f t="shared" si="43"/>
        <v>2042.9166666666667</v>
      </c>
    </row>
    <row r="651" spans="1:15" x14ac:dyDescent="0.2">
      <c r="A651" t="s">
        <v>19</v>
      </c>
      <c r="B651">
        <v>9</v>
      </c>
      <c r="C651">
        <v>39</v>
      </c>
      <c r="D651">
        <v>2</v>
      </c>
      <c r="E651">
        <v>1</v>
      </c>
      <c r="F651">
        <v>36</v>
      </c>
      <c r="G651">
        <v>251502</v>
      </c>
      <c r="H651">
        <v>0</v>
      </c>
      <c r="I651">
        <v>1</v>
      </c>
      <c r="J651">
        <v>1</v>
      </c>
      <c r="K651">
        <v>0</v>
      </c>
      <c r="L651">
        <f t="shared" si="40"/>
        <v>26</v>
      </c>
      <c r="M651">
        <f t="shared" si="41"/>
        <v>312</v>
      </c>
      <c r="N651">
        <f t="shared" si="42"/>
        <v>310</v>
      </c>
      <c r="O651">
        <f t="shared" si="43"/>
        <v>2042.8333333333333</v>
      </c>
    </row>
    <row r="652" spans="1:15" x14ac:dyDescent="0.2">
      <c r="A652" t="s">
        <v>19</v>
      </c>
      <c r="B652">
        <v>9</v>
      </c>
      <c r="C652">
        <v>39</v>
      </c>
      <c r="D652">
        <v>2</v>
      </c>
      <c r="E652">
        <v>12</v>
      </c>
      <c r="F652">
        <v>36</v>
      </c>
      <c r="G652">
        <v>2379601</v>
      </c>
      <c r="H652">
        <v>0</v>
      </c>
      <c r="I652">
        <v>1</v>
      </c>
      <c r="J652">
        <v>1</v>
      </c>
      <c r="K652">
        <v>0</v>
      </c>
      <c r="L652">
        <f t="shared" si="40"/>
        <v>26</v>
      </c>
      <c r="M652">
        <f t="shared" si="41"/>
        <v>312</v>
      </c>
      <c r="N652">
        <f t="shared" si="42"/>
        <v>310</v>
      </c>
      <c r="O652">
        <f t="shared" si="43"/>
        <v>2042.8333333333333</v>
      </c>
    </row>
    <row r="653" spans="1:15" x14ac:dyDescent="0.2">
      <c r="A653" t="s">
        <v>19</v>
      </c>
      <c r="B653">
        <v>9</v>
      </c>
      <c r="C653">
        <v>39</v>
      </c>
      <c r="D653">
        <v>2</v>
      </c>
      <c r="E653">
        <v>12</v>
      </c>
      <c r="F653">
        <v>36</v>
      </c>
      <c r="G653">
        <v>2382803</v>
      </c>
      <c r="H653">
        <v>1</v>
      </c>
      <c r="I653">
        <v>0</v>
      </c>
      <c r="J653">
        <v>1</v>
      </c>
      <c r="K653">
        <v>0</v>
      </c>
      <c r="L653">
        <f t="shared" si="40"/>
        <v>26</v>
      </c>
      <c r="M653">
        <f t="shared" si="41"/>
        <v>312</v>
      </c>
      <c r="N653">
        <f t="shared" si="42"/>
        <v>310</v>
      </c>
      <c r="O653">
        <f t="shared" si="43"/>
        <v>2042.8333333333333</v>
      </c>
    </row>
    <row r="654" spans="1:15" x14ac:dyDescent="0.2">
      <c r="A654" t="s">
        <v>19</v>
      </c>
      <c r="B654">
        <v>9</v>
      </c>
      <c r="C654">
        <v>39</v>
      </c>
      <c r="D654">
        <v>2</v>
      </c>
      <c r="E654">
        <v>12</v>
      </c>
      <c r="F654">
        <v>39</v>
      </c>
      <c r="G654">
        <v>2367503</v>
      </c>
      <c r="H654">
        <v>0</v>
      </c>
      <c r="I654">
        <v>1</v>
      </c>
      <c r="J654">
        <v>1</v>
      </c>
      <c r="K654">
        <v>0</v>
      </c>
      <c r="L654">
        <f t="shared" si="40"/>
        <v>26</v>
      </c>
      <c r="M654">
        <f t="shared" si="41"/>
        <v>312</v>
      </c>
      <c r="N654">
        <f t="shared" si="42"/>
        <v>310</v>
      </c>
      <c r="O654">
        <f t="shared" si="43"/>
        <v>2042.8333333333333</v>
      </c>
    </row>
    <row r="655" spans="1:15" x14ac:dyDescent="0.2">
      <c r="A655" t="s">
        <v>19</v>
      </c>
      <c r="B655">
        <v>9</v>
      </c>
      <c r="C655">
        <v>39</v>
      </c>
      <c r="D655">
        <v>3</v>
      </c>
      <c r="E655">
        <v>12</v>
      </c>
      <c r="F655">
        <v>36</v>
      </c>
      <c r="G655">
        <v>2367202</v>
      </c>
      <c r="H655">
        <v>0</v>
      </c>
      <c r="I655">
        <v>1</v>
      </c>
      <c r="J655">
        <v>1</v>
      </c>
      <c r="K655">
        <v>0</v>
      </c>
      <c r="L655">
        <f t="shared" si="40"/>
        <v>26</v>
      </c>
      <c r="M655">
        <f t="shared" si="41"/>
        <v>312</v>
      </c>
      <c r="N655">
        <f t="shared" si="42"/>
        <v>309</v>
      </c>
      <c r="O655">
        <f t="shared" si="43"/>
        <v>2042.75</v>
      </c>
    </row>
    <row r="656" spans="1:15" x14ac:dyDescent="0.2">
      <c r="A656" t="s">
        <v>19</v>
      </c>
      <c r="B656">
        <v>9</v>
      </c>
      <c r="C656">
        <v>39</v>
      </c>
      <c r="D656">
        <v>3</v>
      </c>
      <c r="E656">
        <v>12</v>
      </c>
      <c r="F656">
        <v>37</v>
      </c>
      <c r="G656">
        <v>2365803</v>
      </c>
      <c r="H656">
        <v>1</v>
      </c>
      <c r="I656">
        <v>0</v>
      </c>
      <c r="J656">
        <v>1</v>
      </c>
      <c r="K656">
        <v>0</v>
      </c>
      <c r="L656">
        <f t="shared" si="40"/>
        <v>26</v>
      </c>
      <c r="M656">
        <f t="shared" si="41"/>
        <v>312</v>
      </c>
      <c r="N656">
        <f t="shared" si="42"/>
        <v>309</v>
      </c>
      <c r="O656">
        <f t="shared" si="43"/>
        <v>2042.75</v>
      </c>
    </row>
    <row r="657" spans="1:15" x14ac:dyDescent="0.2">
      <c r="A657" t="s">
        <v>19</v>
      </c>
      <c r="B657">
        <v>9</v>
      </c>
      <c r="C657">
        <v>39</v>
      </c>
      <c r="D657">
        <v>4</v>
      </c>
      <c r="E657">
        <v>12</v>
      </c>
      <c r="F657">
        <v>34</v>
      </c>
      <c r="G657">
        <v>2353303</v>
      </c>
      <c r="H657">
        <v>1</v>
      </c>
      <c r="I657">
        <v>0</v>
      </c>
      <c r="J657">
        <v>1</v>
      </c>
      <c r="K657">
        <v>0</v>
      </c>
      <c r="L657">
        <f t="shared" si="40"/>
        <v>26</v>
      </c>
      <c r="M657">
        <f t="shared" si="41"/>
        <v>312</v>
      </c>
      <c r="N657">
        <f t="shared" si="42"/>
        <v>308</v>
      </c>
      <c r="O657">
        <f t="shared" si="43"/>
        <v>2042.6666666666667</v>
      </c>
    </row>
    <row r="658" spans="1:15" x14ac:dyDescent="0.2">
      <c r="A658" t="s">
        <v>19</v>
      </c>
      <c r="B658">
        <v>9</v>
      </c>
      <c r="C658">
        <v>39</v>
      </c>
      <c r="D658">
        <v>4</v>
      </c>
      <c r="E658">
        <v>12</v>
      </c>
      <c r="F658">
        <v>38</v>
      </c>
      <c r="G658">
        <v>2347003</v>
      </c>
      <c r="H658">
        <v>1</v>
      </c>
      <c r="I658">
        <v>0</v>
      </c>
      <c r="J658">
        <v>1</v>
      </c>
      <c r="K658">
        <v>0</v>
      </c>
      <c r="L658">
        <f t="shared" si="40"/>
        <v>26</v>
      </c>
      <c r="M658">
        <f t="shared" si="41"/>
        <v>312</v>
      </c>
      <c r="N658">
        <f t="shared" si="42"/>
        <v>308</v>
      </c>
      <c r="O658">
        <f t="shared" si="43"/>
        <v>2042.6666666666667</v>
      </c>
    </row>
    <row r="659" spans="1:15" x14ac:dyDescent="0.2">
      <c r="A659" t="s">
        <v>19</v>
      </c>
      <c r="B659">
        <v>9</v>
      </c>
      <c r="C659">
        <v>39</v>
      </c>
      <c r="D659">
        <v>4</v>
      </c>
      <c r="E659">
        <v>12</v>
      </c>
      <c r="F659">
        <v>39</v>
      </c>
      <c r="G659">
        <v>2355601</v>
      </c>
      <c r="H659">
        <v>0</v>
      </c>
      <c r="I659">
        <v>1</v>
      </c>
      <c r="J659">
        <v>1</v>
      </c>
      <c r="K659">
        <v>0</v>
      </c>
      <c r="L659">
        <f t="shared" si="40"/>
        <v>26</v>
      </c>
      <c r="M659">
        <f t="shared" si="41"/>
        <v>312</v>
      </c>
      <c r="N659">
        <f t="shared" si="42"/>
        <v>308</v>
      </c>
      <c r="O659">
        <f t="shared" si="43"/>
        <v>2042.6666666666667</v>
      </c>
    </row>
    <row r="660" spans="1:15" x14ac:dyDescent="0.2">
      <c r="A660" t="s">
        <v>19</v>
      </c>
      <c r="B660">
        <v>9</v>
      </c>
      <c r="C660">
        <v>39</v>
      </c>
      <c r="D660">
        <v>8</v>
      </c>
      <c r="E660">
        <v>12</v>
      </c>
      <c r="F660">
        <v>32</v>
      </c>
      <c r="G660">
        <v>2313703</v>
      </c>
      <c r="H660">
        <v>0</v>
      </c>
      <c r="I660">
        <v>1</v>
      </c>
      <c r="J660">
        <v>1</v>
      </c>
      <c r="K660">
        <v>0</v>
      </c>
      <c r="L660">
        <f t="shared" si="40"/>
        <v>26</v>
      </c>
      <c r="M660">
        <f t="shared" si="41"/>
        <v>312</v>
      </c>
      <c r="N660">
        <f t="shared" si="42"/>
        <v>304</v>
      </c>
      <c r="O660">
        <f t="shared" si="43"/>
        <v>2042.3333333333333</v>
      </c>
    </row>
    <row r="661" spans="1:15" x14ac:dyDescent="0.2">
      <c r="A661" t="s">
        <v>19</v>
      </c>
      <c r="B661">
        <v>9</v>
      </c>
      <c r="C661">
        <v>39</v>
      </c>
      <c r="D661">
        <v>8</v>
      </c>
      <c r="E661">
        <v>12</v>
      </c>
      <c r="F661">
        <v>36</v>
      </c>
      <c r="G661">
        <v>2314903</v>
      </c>
      <c r="H661">
        <v>0</v>
      </c>
      <c r="I661">
        <v>1</v>
      </c>
      <c r="J661">
        <v>1</v>
      </c>
      <c r="K661">
        <v>0</v>
      </c>
      <c r="L661">
        <f t="shared" si="40"/>
        <v>26</v>
      </c>
      <c r="M661">
        <f t="shared" si="41"/>
        <v>312</v>
      </c>
      <c r="N661">
        <f t="shared" si="42"/>
        <v>304</v>
      </c>
      <c r="O661">
        <f t="shared" si="43"/>
        <v>2042.3333333333333</v>
      </c>
    </row>
    <row r="662" spans="1:15" x14ac:dyDescent="0.2">
      <c r="A662" t="s">
        <v>19</v>
      </c>
      <c r="B662">
        <v>9</v>
      </c>
      <c r="C662">
        <v>39</v>
      </c>
      <c r="D662">
        <v>9</v>
      </c>
      <c r="E662">
        <v>1</v>
      </c>
      <c r="F662">
        <v>30</v>
      </c>
      <c r="G662">
        <v>2306101</v>
      </c>
      <c r="H662">
        <v>0</v>
      </c>
      <c r="I662">
        <v>1</v>
      </c>
      <c r="J662">
        <v>1</v>
      </c>
      <c r="K662">
        <v>0</v>
      </c>
      <c r="L662">
        <f t="shared" si="40"/>
        <v>26</v>
      </c>
      <c r="M662">
        <f t="shared" si="41"/>
        <v>312</v>
      </c>
      <c r="N662">
        <f t="shared" si="42"/>
        <v>303</v>
      </c>
      <c r="O662">
        <f t="shared" si="43"/>
        <v>2042.25</v>
      </c>
    </row>
    <row r="663" spans="1:15" x14ac:dyDescent="0.2">
      <c r="A663" t="s">
        <v>19</v>
      </c>
      <c r="B663">
        <v>9</v>
      </c>
      <c r="C663">
        <v>39</v>
      </c>
      <c r="D663">
        <v>9</v>
      </c>
      <c r="E663">
        <v>1</v>
      </c>
      <c r="F663">
        <v>39</v>
      </c>
      <c r="G663">
        <v>1854302</v>
      </c>
      <c r="H663">
        <v>1</v>
      </c>
      <c r="I663">
        <v>0</v>
      </c>
      <c r="J663">
        <v>1</v>
      </c>
      <c r="K663">
        <v>0</v>
      </c>
      <c r="L663">
        <f t="shared" si="40"/>
        <v>26</v>
      </c>
      <c r="M663">
        <f t="shared" si="41"/>
        <v>312</v>
      </c>
      <c r="N663">
        <f t="shared" si="42"/>
        <v>303</v>
      </c>
      <c r="O663">
        <f t="shared" si="43"/>
        <v>2042.25</v>
      </c>
    </row>
    <row r="664" spans="1:15" x14ac:dyDescent="0.2">
      <c r="A664" t="s">
        <v>19</v>
      </c>
      <c r="B664">
        <v>9</v>
      </c>
      <c r="C664">
        <v>39</v>
      </c>
      <c r="D664">
        <v>10</v>
      </c>
      <c r="E664">
        <v>12</v>
      </c>
      <c r="F664">
        <v>35</v>
      </c>
      <c r="G664">
        <v>2289703</v>
      </c>
      <c r="H664">
        <v>0</v>
      </c>
      <c r="I664">
        <v>1</v>
      </c>
      <c r="J664">
        <v>1</v>
      </c>
      <c r="K664">
        <v>0</v>
      </c>
      <c r="L664">
        <f t="shared" si="40"/>
        <v>26</v>
      </c>
      <c r="M664">
        <f t="shared" si="41"/>
        <v>312</v>
      </c>
      <c r="N664">
        <f t="shared" si="42"/>
        <v>302</v>
      </c>
      <c r="O664">
        <f t="shared" si="43"/>
        <v>2042.1666666666667</v>
      </c>
    </row>
    <row r="665" spans="1:15" x14ac:dyDescent="0.2">
      <c r="A665" t="s">
        <v>19</v>
      </c>
      <c r="B665">
        <v>9</v>
      </c>
      <c r="C665">
        <v>39</v>
      </c>
      <c r="D665">
        <v>10</v>
      </c>
      <c r="E665">
        <v>12</v>
      </c>
      <c r="F665">
        <v>35</v>
      </c>
      <c r="G665">
        <v>2294502</v>
      </c>
      <c r="H665">
        <v>0</v>
      </c>
      <c r="I665">
        <v>1</v>
      </c>
      <c r="J665">
        <v>1</v>
      </c>
      <c r="K665">
        <v>0</v>
      </c>
      <c r="L665">
        <f t="shared" si="40"/>
        <v>26</v>
      </c>
      <c r="M665">
        <f t="shared" si="41"/>
        <v>312</v>
      </c>
      <c r="N665">
        <f t="shared" si="42"/>
        <v>302</v>
      </c>
      <c r="O665">
        <f t="shared" si="43"/>
        <v>2042.1666666666667</v>
      </c>
    </row>
    <row r="666" spans="1:15" x14ac:dyDescent="0.2">
      <c r="A666" t="s">
        <v>19</v>
      </c>
      <c r="B666">
        <v>9</v>
      </c>
      <c r="C666">
        <v>39</v>
      </c>
      <c r="D666">
        <v>14</v>
      </c>
      <c r="E666">
        <v>12</v>
      </c>
      <c r="F666">
        <v>38</v>
      </c>
      <c r="G666">
        <v>2262403</v>
      </c>
      <c r="H666">
        <v>0</v>
      </c>
      <c r="I666">
        <v>1</v>
      </c>
      <c r="J666">
        <v>1</v>
      </c>
      <c r="K666">
        <v>0</v>
      </c>
      <c r="L666">
        <f t="shared" si="40"/>
        <v>26</v>
      </c>
      <c r="M666">
        <f t="shared" si="41"/>
        <v>312</v>
      </c>
      <c r="N666">
        <f t="shared" si="42"/>
        <v>298</v>
      </c>
      <c r="O666">
        <f t="shared" si="43"/>
        <v>2041.8333333333333</v>
      </c>
    </row>
    <row r="667" spans="1:15" x14ac:dyDescent="0.2">
      <c r="A667" t="s">
        <v>19</v>
      </c>
      <c r="B667">
        <v>9</v>
      </c>
      <c r="C667">
        <v>39</v>
      </c>
      <c r="D667">
        <v>16</v>
      </c>
      <c r="E667">
        <v>1</v>
      </c>
      <c r="F667">
        <v>36</v>
      </c>
      <c r="G667">
        <v>2244801</v>
      </c>
      <c r="H667">
        <v>0</v>
      </c>
      <c r="I667">
        <v>1</v>
      </c>
      <c r="J667">
        <v>1</v>
      </c>
      <c r="K667">
        <v>0</v>
      </c>
      <c r="L667">
        <f t="shared" si="40"/>
        <v>26</v>
      </c>
      <c r="M667">
        <f t="shared" si="41"/>
        <v>312</v>
      </c>
      <c r="N667">
        <f t="shared" si="42"/>
        <v>296</v>
      </c>
      <c r="O667">
        <f t="shared" si="43"/>
        <v>2041.6666666666667</v>
      </c>
    </row>
    <row r="668" spans="1:15" x14ac:dyDescent="0.2">
      <c r="A668" t="s">
        <v>19</v>
      </c>
      <c r="B668">
        <v>9</v>
      </c>
      <c r="C668">
        <v>39</v>
      </c>
      <c r="D668">
        <v>19</v>
      </c>
      <c r="E668">
        <v>1</v>
      </c>
      <c r="F668">
        <v>35</v>
      </c>
      <c r="G668">
        <v>2238101</v>
      </c>
      <c r="H668">
        <v>0</v>
      </c>
      <c r="I668">
        <v>1</v>
      </c>
      <c r="J668">
        <v>1</v>
      </c>
      <c r="K668">
        <v>0</v>
      </c>
      <c r="L668">
        <f t="shared" si="40"/>
        <v>26</v>
      </c>
      <c r="M668">
        <f t="shared" si="41"/>
        <v>312</v>
      </c>
      <c r="N668">
        <f t="shared" si="42"/>
        <v>293</v>
      </c>
      <c r="O668">
        <f t="shared" si="43"/>
        <v>2041.4166666666667</v>
      </c>
    </row>
    <row r="669" spans="1:15" x14ac:dyDescent="0.2">
      <c r="A669" t="s">
        <v>19</v>
      </c>
      <c r="B669">
        <v>9</v>
      </c>
      <c r="C669">
        <v>39</v>
      </c>
      <c r="D669">
        <v>25</v>
      </c>
      <c r="E669">
        <v>1</v>
      </c>
      <c r="F669">
        <v>31</v>
      </c>
      <c r="G669">
        <v>2205901</v>
      </c>
      <c r="H669">
        <v>0</v>
      </c>
      <c r="I669">
        <v>1</v>
      </c>
      <c r="J669">
        <v>1</v>
      </c>
      <c r="K669">
        <v>0</v>
      </c>
      <c r="L669">
        <f t="shared" si="40"/>
        <v>26</v>
      </c>
      <c r="M669">
        <f t="shared" si="41"/>
        <v>312</v>
      </c>
      <c r="N669">
        <f t="shared" si="42"/>
        <v>287</v>
      </c>
      <c r="O669">
        <f t="shared" si="43"/>
        <v>2040.9166666666667</v>
      </c>
    </row>
    <row r="670" spans="1:15" x14ac:dyDescent="0.2">
      <c r="A670" t="s">
        <v>19</v>
      </c>
      <c r="B670">
        <v>9</v>
      </c>
      <c r="C670">
        <v>39</v>
      </c>
      <c r="D670">
        <v>25</v>
      </c>
      <c r="E670">
        <v>1</v>
      </c>
      <c r="F670">
        <v>36</v>
      </c>
      <c r="G670">
        <v>2196401</v>
      </c>
      <c r="H670">
        <v>0</v>
      </c>
      <c r="I670">
        <v>1</v>
      </c>
      <c r="J670">
        <v>1</v>
      </c>
      <c r="K670">
        <v>0</v>
      </c>
      <c r="L670">
        <f t="shared" si="40"/>
        <v>26</v>
      </c>
      <c r="M670">
        <f t="shared" si="41"/>
        <v>312</v>
      </c>
      <c r="N670">
        <f t="shared" si="42"/>
        <v>287</v>
      </c>
      <c r="O670">
        <f t="shared" si="43"/>
        <v>2040.9166666666667</v>
      </c>
    </row>
    <row r="671" spans="1:15" x14ac:dyDescent="0.2">
      <c r="A671" t="s">
        <v>19</v>
      </c>
      <c r="B671">
        <v>9</v>
      </c>
      <c r="C671">
        <v>39</v>
      </c>
      <c r="D671">
        <v>32</v>
      </c>
      <c r="E671">
        <v>1</v>
      </c>
      <c r="F671">
        <v>36</v>
      </c>
      <c r="G671">
        <v>2169001</v>
      </c>
      <c r="H671">
        <v>0</v>
      </c>
      <c r="I671">
        <v>1</v>
      </c>
      <c r="J671">
        <v>1</v>
      </c>
      <c r="K671">
        <v>0</v>
      </c>
      <c r="L671">
        <f t="shared" si="40"/>
        <v>26</v>
      </c>
      <c r="M671">
        <f t="shared" si="41"/>
        <v>312</v>
      </c>
      <c r="N671">
        <f t="shared" si="42"/>
        <v>280</v>
      </c>
      <c r="O671">
        <f t="shared" si="43"/>
        <v>2040.3333333333333</v>
      </c>
    </row>
    <row r="672" spans="1:15" x14ac:dyDescent="0.2">
      <c r="A672" t="s">
        <v>19</v>
      </c>
      <c r="B672">
        <v>9</v>
      </c>
      <c r="C672">
        <v>39</v>
      </c>
      <c r="D672">
        <v>33</v>
      </c>
      <c r="E672">
        <v>1</v>
      </c>
      <c r="F672">
        <v>38</v>
      </c>
      <c r="G672">
        <v>2164601</v>
      </c>
      <c r="H672">
        <v>1</v>
      </c>
      <c r="I672">
        <v>0</v>
      </c>
      <c r="J672">
        <v>1</v>
      </c>
      <c r="K672">
        <v>0</v>
      </c>
      <c r="L672">
        <f t="shared" si="40"/>
        <v>26</v>
      </c>
      <c r="M672">
        <f t="shared" si="41"/>
        <v>312</v>
      </c>
      <c r="N672">
        <f t="shared" si="42"/>
        <v>279</v>
      </c>
      <c r="O672">
        <f t="shared" si="43"/>
        <v>2040.25</v>
      </c>
    </row>
    <row r="673" spans="1:15" x14ac:dyDescent="0.2">
      <c r="A673" t="s">
        <v>19</v>
      </c>
      <c r="B673">
        <v>9</v>
      </c>
      <c r="C673">
        <v>39</v>
      </c>
      <c r="D673">
        <v>35</v>
      </c>
      <c r="E673">
        <v>12</v>
      </c>
      <c r="F673">
        <v>36</v>
      </c>
      <c r="G673">
        <v>2156303</v>
      </c>
      <c r="H673">
        <v>0</v>
      </c>
      <c r="I673">
        <v>1</v>
      </c>
      <c r="J673">
        <v>1</v>
      </c>
      <c r="K673">
        <v>0</v>
      </c>
      <c r="L673">
        <f t="shared" si="40"/>
        <v>26</v>
      </c>
      <c r="M673">
        <f t="shared" si="41"/>
        <v>312</v>
      </c>
      <c r="N673">
        <f t="shared" si="42"/>
        <v>277</v>
      </c>
      <c r="O673">
        <f t="shared" si="43"/>
        <v>2040.0833333333333</v>
      </c>
    </row>
    <row r="674" spans="1:15" x14ac:dyDescent="0.2">
      <c r="A674" t="s">
        <v>19</v>
      </c>
      <c r="B674">
        <v>9</v>
      </c>
      <c r="C674">
        <v>39</v>
      </c>
      <c r="D674">
        <v>37</v>
      </c>
      <c r="E674">
        <v>2</v>
      </c>
      <c r="F674">
        <v>36</v>
      </c>
      <c r="G674">
        <v>2141601</v>
      </c>
      <c r="H674">
        <v>1</v>
      </c>
      <c r="I674">
        <v>0</v>
      </c>
      <c r="J674">
        <v>1</v>
      </c>
      <c r="K674">
        <v>0</v>
      </c>
      <c r="L674">
        <f t="shared" si="40"/>
        <v>26</v>
      </c>
      <c r="M674">
        <f t="shared" si="41"/>
        <v>312</v>
      </c>
      <c r="N674">
        <f t="shared" si="42"/>
        <v>275</v>
      </c>
      <c r="O674">
        <f t="shared" si="43"/>
        <v>2039.9166666666667</v>
      </c>
    </row>
    <row r="675" spans="1:15" x14ac:dyDescent="0.2">
      <c r="A675" t="s">
        <v>19</v>
      </c>
      <c r="B675">
        <v>9</v>
      </c>
      <c r="C675">
        <v>39</v>
      </c>
      <c r="D675">
        <v>42</v>
      </c>
      <c r="E675">
        <v>2</v>
      </c>
      <c r="F675">
        <v>36</v>
      </c>
      <c r="G675">
        <v>393302</v>
      </c>
      <c r="H675">
        <v>0</v>
      </c>
      <c r="I675">
        <v>1</v>
      </c>
      <c r="J675">
        <v>1</v>
      </c>
      <c r="K675">
        <v>0</v>
      </c>
      <c r="L675">
        <f t="shared" si="40"/>
        <v>26</v>
      </c>
      <c r="M675">
        <f t="shared" si="41"/>
        <v>312</v>
      </c>
      <c r="N675">
        <f t="shared" si="42"/>
        <v>270</v>
      </c>
      <c r="O675">
        <f t="shared" si="43"/>
        <v>2039.5</v>
      </c>
    </row>
    <row r="676" spans="1:15" x14ac:dyDescent="0.2">
      <c r="A676" t="s">
        <v>19</v>
      </c>
      <c r="B676">
        <v>9</v>
      </c>
      <c r="C676">
        <v>39</v>
      </c>
      <c r="D676">
        <v>42</v>
      </c>
      <c r="E676">
        <v>2</v>
      </c>
      <c r="F676">
        <v>38</v>
      </c>
      <c r="G676">
        <v>1877802</v>
      </c>
      <c r="H676">
        <v>0</v>
      </c>
      <c r="I676">
        <v>1</v>
      </c>
      <c r="J676">
        <v>1</v>
      </c>
      <c r="K676">
        <v>0</v>
      </c>
      <c r="L676">
        <f t="shared" si="40"/>
        <v>26</v>
      </c>
      <c r="M676">
        <f t="shared" si="41"/>
        <v>312</v>
      </c>
      <c r="N676">
        <f t="shared" si="42"/>
        <v>270</v>
      </c>
      <c r="O676">
        <f t="shared" si="43"/>
        <v>2039.5</v>
      </c>
    </row>
    <row r="677" spans="1:15" x14ac:dyDescent="0.2">
      <c r="A677" t="s">
        <v>19</v>
      </c>
      <c r="B677">
        <v>9</v>
      </c>
      <c r="C677">
        <v>39</v>
      </c>
      <c r="D677">
        <v>43</v>
      </c>
      <c r="E677">
        <v>2</v>
      </c>
      <c r="F677">
        <v>38</v>
      </c>
      <c r="G677">
        <v>2114601</v>
      </c>
      <c r="H677">
        <v>0</v>
      </c>
      <c r="I677">
        <v>1</v>
      </c>
      <c r="J677">
        <v>1</v>
      </c>
      <c r="K677">
        <v>0</v>
      </c>
      <c r="L677">
        <f t="shared" si="40"/>
        <v>26</v>
      </c>
      <c r="M677">
        <f t="shared" si="41"/>
        <v>312</v>
      </c>
      <c r="N677">
        <f t="shared" si="42"/>
        <v>269</v>
      </c>
      <c r="O677">
        <f t="shared" si="43"/>
        <v>2039.4166666666667</v>
      </c>
    </row>
    <row r="678" spans="1:15" x14ac:dyDescent="0.2">
      <c r="A678" t="s">
        <v>19</v>
      </c>
      <c r="B678">
        <v>9</v>
      </c>
      <c r="C678">
        <v>39</v>
      </c>
      <c r="D678">
        <v>53</v>
      </c>
      <c r="E678">
        <v>1</v>
      </c>
      <c r="F678">
        <v>35</v>
      </c>
      <c r="G678">
        <v>2071401</v>
      </c>
      <c r="H678">
        <v>1</v>
      </c>
      <c r="I678">
        <v>0</v>
      </c>
      <c r="J678">
        <v>1</v>
      </c>
      <c r="K678">
        <v>0</v>
      </c>
      <c r="L678">
        <f t="shared" si="40"/>
        <v>26</v>
      </c>
      <c r="M678">
        <f t="shared" si="41"/>
        <v>312</v>
      </c>
      <c r="N678">
        <f t="shared" si="42"/>
        <v>259</v>
      </c>
      <c r="O678">
        <f t="shared" si="43"/>
        <v>2038.5833333333333</v>
      </c>
    </row>
    <row r="679" spans="1:15" x14ac:dyDescent="0.2">
      <c r="A679" t="s">
        <v>19</v>
      </c>
      <c r="B679">
        <v>9</v>
      </c>
      <c r="C679">
        <v>39</v>
      </c>
      <c r="D679">
        <v>53</v>
      </c>
      <c r="E679">
        <v>4</v>
      </c>
      <c r="F679">
        <v>35</v>
      </c>
      <c r="G679">
        <v>2069102</v>
      </c>
      <c r="H679">
        <v>0</v>
      </c>
      <c r="I679">
        <v>1</v>
      </c>
      <c r="J679">
        <v>1</v>
      </c>
      <c r="K679">
        <v>0</v>
      </c>
      <c r="L679">
        <f t="shared" si="40"/>
        <v>26</v>
      </c>
      <c r="M679">
        <f t="shared" si="41"/>
        <v>312</v>
      </c>
      <c r="N679">
        <f t="shared" si="42"/>
        <v>259</v>
      </c>
      <c r="O679">
        <f t="shared" si="43"/>
        <v>2038.5833333333333</v>
      </c>
    </row>
    <row r="680" spans="1:15" x14ac:dyDescent="0.2">
      <c r="A680" t="s">
        <v>19</v>
      </c>
      <c r="B680">
        <v>9</v>
      </c>
      <c r="C680">
        <v>39</v>
      </c>
      <c r="D680">
        <v>57</v>
      </c>
      <c r="E680">
        <v>1</v>
      </c>
      <c r="F680">
        <v>35</v>
      </c>
      <c r="G680">
        <v>1942102</v>
      </c>
      <c r="H680">
        <v>0</v>
      </c>
      <c r="I680">
        <v>1</v>
      </c>
      <c r="J680">
        <v>1</v>
      </c>
      <c r="K680">
        <v>0</v>
      </c>
      <c r="L680">
        <f t="shared" si="40"/>
        <v>26</v>
      </c>
      <c r="M680">
        <f t="shared" si="41"/>
        <v>312</v>
      </c>
      <c r="N680">
        <f t="shared" si="42"/>
        <v>255</v>
      </c>
      <c r="O680">
        <f t="shared" si="43"/>
        <v>2038.25</v>
      </c>
    </row>
    <row r="681" spans="1:15" x14ac:dyDescent="0.2">
      <c r="A681" t="s">
        <v>19</v>
      </c>
      <c r="B681">
        <v>9</v>
      </c>
      <c r="C681">
        <v>39</v>
      </c>
      <c r="D681">
        <v>57</v>
      </c>
      <c r="E681">
        <v>1</v>
      </c>
      <c r="F681">
        <v>39</v>
      </c>
      <c r="G681">
        <v>2041701</v>
      </c>
      <c r="H681">
        <v>1</v>
      </c>
      <c r="I681">
        <v>0</v>
      </c>
      <c r="J681">
        <v>1</v>
      </c>
      <c r="K681">
        <v>0</v>
      </c>
      <c r="L681">
        <f t="shared" si="40"/>
        <v>26</v>
      </c>
      <c r="M681">
        <f t="shared" si="41"/>
        <v>312</v>
      </c>
      <c r="N681">
        <f t="shared" si="42"/>
        <v>255</v>
      </c>
      <c r="O681">
        <f t="shared" si="43"/>
        <v>2038.25</v>
      </c>
    </row>
    <row r="682" spans="1:15" x14ac:dyDescent="0.2">
      <c r="A682" t="s">
        <v>19</v>
      </c>
      <c r="B682">
        <v>9</v>
      </c>
      <c r="C682">
        <v>39</v>
      </c>
      <c r="D682">
        <v>64</v>
      </c>
      <c r="E682">
        <v>1</v>
      </c>
      <c r="F682">
        <v>34</v>
      </c>
      <c r="G682">
        <v>2017201</v>
      </c>
      <c r="H682">
        <v>0</v>
      </c>
      <c r="I682">
        <v>1</v>
      </c>
      <c r="J682">
        <v>1</v>
      </c>
      <c r="K682">
        <v>0</v>
      </c>
      <c r="L682">
        <f t="shared" si="40"/>
        <v>26</v>
      </c>
      <c r="M682">
        <f t="shared" si="41"/>
        <v>312</v>
      </c>
      <c r="N682">
        <f t="shared" si="42"/>
        <v>248</v>
      </c>
      <c r="O682">
        <f t="shared" si="43"/>
        <v>2037.6666666666667</v>
      </c>
    </row>
    <row r="683" spans="1:15" x14ac:dyDescent="0.2">
      <c r="A683" t="s">
        <v>19</v>
      </c>
      <c r="B683">
        <v>9</v>
      </c>
      <c r="C683">
        <v>39</v>
      </c>
      <c r="D683">
        <v>64</v>
      </c>
      <c r="E683">
        <v>2</v>
      </c>
      <c r="F683">
        <v>35</v>
      </c>
      <c r="G683">
        <v>626101</v>
      </c>
      <c r="H683">
        <v>1</v>
      </c>
      <c r="I683">
        <v>0</v>
      </c>
      <c r="J683">
        <v>1</v>
      </c>
      <c r="K683">
        <v>0</v>
      </c>
      <c r="L683">
        <f t="shared" si="40"/>
        <v>26</v>
      </c>
      <c r="M683">
        <f t="shared" si="41"/>
        <v>312</v>
      </c>
      <c r="N683">
        <f t="shared" si="42"/>
        <v>248</v>
      </c>
      <c r="O683">
        <f t="shared" si="43"/>
        <v>2037.6666666666667</v>
      </c>
    </row>
    <row r="684" spans="1:15" x14ac:dyDescent="0.2">
      <c r="A684" t="s">
        <v>19</v>
      </c>
      <c r="B684">
        <v>9</v>
      </c>
      <c r="C684">
        <v>39</v>
      </c>
      <c r="D684">
        <v>72</v>
      </c>
      <c r="E684">
        <v>1</v>
      </c>
      <c r="F684">
        <v>37</v>
      </c>
      <c r="G684">
        <v>1990401</v>
      </c>
      <c r="H684">
        <v>1</v>
      </c>
      <c r="I684">
        <v>0</v>
      </c>
      <c r="J684">
        <v>1</v>
      </c>
      <c r="K684">
        <v>0</v>
      </c>
      <c r="L684">
        <f t="shared" si="40"/>
        <v>26</v>
      </c>
      <c r="M684">
        <f t="shared" si="41"/>
        <v>312</v>
      </c>
      <c r="N684">
        <f t="shared" si="42"/>
        <v>240</v>
      </c>
      <c r="O684">
        <f t="shared" si="43"/>
        <v>2037</v>
      </c>
    </row>
    <row r="685" spans="1:15" x14ac:dyDescent="0.2">
      <c r="A685" t="s">
        <v>19</v>
      </c>
      <c r="B685">
        <v>9</v>
      </c>
      <c r="C685">
        <v>39</v>
      </c>
      <c r="D685">
        <v>83</v>
      </c>
      <c r="E685">
        <v>1</v>
      </c>
      <c r="F685">
        <v>38</v>
      </c>
      <c r="G685">
        <v>1954801</v>
      </c>
      <c r="H685">
        <v>0</v>
      </c>
      <c r="I685">
        <v>1</v>
      </c>
      <c r="J685">
        <v>1</v>
      </c>
      <c r="K685">
        <v>0</v>
      </c>
      <c r="L685">
        <f t="shared" si="40"/>
        <v>26</v>
      </c>
      <c r="M685">
        <f t="shared" si="41"/>
        <v>312</v>
      </c>
      <c r="N685">
        <f t="shared" si="42"/>
        <v>229</v>
      </c>
      <c r="O685">
        <f t="shared" si="43"/>
        <v>2036.0833333333333</v>
      </c>
    </row>
    <row r="686" spans="1:15" x14ac:dyDescent="0.2">
      <c r="A686" t="s">
        <v>19</v>
      </c>
      <c r="B686">
        <v>9</v>
      </c>
      <c r="C686">
        <v>39</v>
      </c>
      <c r="D686">
        <v>87</v>
      </c>
      <c r="E686">
        <v>1</v>
      </c>
      <c r="F686">
        <v>37</v>
      </c>
      <c r="G686">
        <v>1936301</v>
      </c>
      <c r="H686">
        <v>0</v>
      </c>
      <c r="I686">
        <v>1</v>
      </c>
      <c r="J686">
        <v>1</v>
      </c>
      <c r="K686">
        <v>0</v>
      </c>
      <c r="L686">
        <f t="shared" si="40"/>
        <v>26</v>
      </c>
      <c r="M686">
        <f t="shared" si="41"/>
        <v>312</v>
      </c>
      <c r="N686">
        <f t="shared" si="42"/>
        <v>225</v>
      </c>
      <c r="O686">
        <f t="shared" si="43"/>
        <v>2035.75</v>
      </c>
    </row>
    <row r="687" spans="1:15" x14ac:dyDescent="0.2">
      <c r="A687" t="s">
        <v>19</v>
      </c>
      <c r="B687">
        <v>9</v>
      </c>
      <c r="C687">
        <v>39</v>
      </c>
      <c r="D687">
        <v>91</v>
      </c>
      <c r="E687">
        <v>1</v>
      </c>
      <c r="F687">
        <v>36</v>
      </c>
      <c r="G687">
        <v>1913601</v>
      </c>
      <c r="H687">
        <v>0</v>
      </c>
      <c r="I687">
        <v>1</v>
      </c>
      <c r="J687">
        <v>1</v>
      </c>
      <c r="K687">
        <v>0</v>
      </c>
      <c r="L687">
        <f t="shared" si="40"/>
        <v>26</v>
      </c>
      <c r="M687">
        <f t="shared" si="41"/>
        <v>312</v>
      </c>
      <c r="N687">
        <f t="shared" si="42"/>
        <v>221</v>
      </c>
      <c r="O687">
        <f t="shared" si="43"/>
        <v>2035.4166666666667</v>
      </c>
    </row>
    <row r="688" spans="1:15" x14ac:dyDescent="0.2">
      <c r="A688" t="s">
        <v>19</v>
      </c>
      <c r="B688">
        <v>9</v>
      </c>
      <c r="C688">
        <v>39</v>
      </c>
      <c r="D688">
        <v>93</v>
      </c>
      <c r="E688">
        <v>2</v>
      </c>
      <c r="F688">
        <v>37</v>
      </c>
      <c r="G688">
        <v>1899301</v>
      </c>
      <c r="H688">
        <v>0</v>
      </c>
      <c r="I688">
        <v>1</v>
      </c>
      <c r="J688">
        <v>1</v>
      </c>
      <c r="K688">
        <v>0</v>
      </c>
      <c r="L688">
        <f t="shared" si="40"/>
        <v>26</v>
      </c>
      <c r="M688">
        <f t="shared" si="41"/>
        <v>312</v>
      </c>
      <c r="N688">
        <f t="shared" si="42"/>
        <v>219</v>
      </c>
      <c r="O688">
        <f t="shared" si="43"/>
        <v>2035.25</v>
      </c>
    </row>
    <row r="689" spans="1:15" x14ac:dyDescent="0.2">
      <c r="A689" t="s">
        <v>19</v>
      </c>
      <c r="B689">
        <v>9</v>
      </c>
      <c r="C689">
        <v>39</v>
      </c>
      <c r="D689">
        <v>95</v>
      </c>
      <c r="E689">
        <v>1</v>
      </c>
      <c r="F689">
        <v>38</v>
      </c>
      <c r="G689">
        <v>1882801</v>
      </c>
      <c r="H689">
        <v>0</v>
      </c>
      <c r="I689">
        <v>1</v>
      </c>
      <c r="J689">
        <v>1</v>
      </c>
      <c r="K689">
        <v>0</v>
      </c>
      <c r="L689">
        <f t="shared" si="40"/>
        <v>26</v>
      </c>
      <c r="M689">
        <f t="shared" si="41"/>
        <v>312</v>
      </c>
      <c r="N689">
        <f t="shared" si="42"/>
        <v>217</v>
      </c>
      <c r="O689">
        <f t="shared" si="43"/>
        <v>2035.0833333333333</v>
      </c>
    </row>
    <row r="690" spans="1:15" x14ac:dyDescent="0.2">
      <c r="A690" t="s">
        <v>19</v>
      </c>
      <c r="B690">
        <v>9</v>
      </c>
      <c r="C690">
        <v>39</v>
      </c>
      <c r="D690">
        <v>101</v>
      </c>
      <c r="E690">
        <v>1</v>
      </c>
      <c r="F690">
        <v>37</v>
      </c>
      <c r="G690">
        <v>1832501</v>
      </c>
      <c r="H690">
        <v>0</v>
      </c>
      <c r="I690">
        <v>1</v>
      </c>
      <c r="J690">
        <v>1</v>
      </c>
      <c r="K690">
        <v>0</v>
      </c>
      <c r="L690">
        <f t="shared" si="40"/>
        <v>26</v>
      </c>
      <c r="M690">
        <f t="shared" si="41"/>
        <v>312</v>
      </c>
      <c r="N690">
        <f t="shared" si="42"/>
        <v>211</v>
      </c>
      <c r="O690">
        <f t="shared" si="43"/>
        <v>2034.5833333333333</v>
      </c>
    </row>
    <row r="691" spans="1:15" x14ac:dyDescent="0.2">
      <c r="A691" t="s">
        <v>19</v>
      </c>
      <c r="B691">
        <v>9</v>
      </c>
      <c r="C691">
        <v>39</v>
      </c>
      <c r="D691">
        <v>104</v>
      </c>
      <c r="E691">
        <v>1</v>
      </c>
      <c r="F691">
        <v>35</v>
      </c>
      <c r="G691">
        <v>1795501</v>
      </c>
      <c r="H691">
        <v>0</v>
      </c>
      <c r="I691">
        <v>1</v>
      </c>
      <c r="J691">
        <v>1</v>
      </c>
      <c r="K691">
        <v>0</v>
      </c>
      <c r="L691">
        <f t="shared" si="40"/>
        <v>26</v>
      </c>
      <c r="M691">
        <f t="shared" si="41"/>
        <v>312</v>
      </c>
      <c r="N691">
        <f t="shared" si="42"/>
        <v>208</v>
      </c>
      <c r="O691">
        <f t="shared" si="43"/>
        <v>2034.3333333333333</v>
      </c>
    </row>
    <row r="692" spans="1:15" x14ac:dyDescent="0.2">
      <c r="A692" t="s">
        <v>19</v>
      </c>
      <c r="B692">
        <v>9</v>
      </c>
      <c r="C692">
        <v>39</v>
      </c>
      <c r="D692">
        <v>105</v>
      </c>
      <c r="E692">
        <v>1</v>
      </c>
      <c r="F692">
        <v>37</v>
      </c>
      <c r="G692">
        <v>1788901</v>
      </c>
      <c r="H692">
        <v>1</v>
      </c>
      <c r="I692">
        <v>0</v>
      </c>
      <c r="J692">
        <v>1</v>
      </c>
      <c r="K692">
        <v>0</v>
      </c>
      <c r="L692">
        <f t="shared" si="40"/>
        <v>26</v>
      </c>
      <c r="M692">
        <f t="shared" si="41"/>
        <v>312</v>
      </c>
      <c r="N692">
        <f t="shared" si="42"/>
        <v>207</v>
      </c>
      <c r="O692">
        <f t="shared" si="43"/>
        <v>2034.25</v>
      </c>
    </row>
    <row r="693" spans="1:15" x14ac:dyDescent="0.2">
      <c r="A693" t="s">
        <v>19</v>
      </c>
      <c r="B693">
        <v>9</v>
      </c>
      <c r="C693">
        <v>39</v>
      </c>
      <c r="D693">
        <v>110</v>
      </c>
      <c r="E693">
        <v>1</v>
      </c>
      <c r="F693">
        <v>31</v>
      </c>
      <c r="G693">
        <v>1708101</v>
      </c>
      <c r="H693">
        <v>0</v>
      </c>
      <c r="I693">
        <v>1</v>
      </c>
      <c r="J693">
        <v>1</v>
      </c>
      <c r="K693">
        <v>0</v>
      </c>
      <c r="L693">
        <f t="shared" si="40"/>
        <v>26</v>
      </c>
      <c r="M693">
        <f t="shared" si="41"/>
        <v>312</v>
      </c>
      <c r="N693">
        <f t="shared" si="42"/>
        <v>202</v>
      </c>
      <c r="O693">
        <f t="shared" si="43"/>
        <v>2033.8333333333333</v>
      </c>
    </row>
    <row r="694" spans="1:15" x14ac:dyDescent="0.2">
      <c r="A694" t="s">
        <v>19</v>
      </c>
      <c r="B694">
        <v>9</v>
      </c>
      <c r="C694">
        <v>39</v>
      </c>
      <c r="D694">
        <v>111</v>
      </c>
      <c r="E694">
        <v>2</v>
      </c>
      <c r="F694">
        <v>34</v>
      </c>
      <c r="G694">
        <v>1699201</v>
      </c>
      <c r="H694">
        <v>0</v>
      </c>
      <c r="I694">
        <v>1</v>
      </c>
      <c r="J694">
        <v>1</v>
      </c>
      <c r="K694">
        <v>0</v>
      </c>
      <c r="L694">
        <f t="shared" si="40"/>
        <v>26</v>
      </c>
      <c r="M694">
        <f t="shared" si="41"/>
        <v>312</v>
      </c>
      <c r="N694">
        <f t="shared" si="42"/>
        <v>201</v>
      </c>
      <c r="O694">
        <f t="shared" si="43"/>
        <v>2033.75</v>
      </c>
    </row>
    <row r="695" spans="1:15" x14ac:dyDescent="0.2">
      <c r="A695" t="s">
        <v>19</v>
      </c>
      <c r="B695">
        <v>9</v>
      </c>
      <c r="C695">
        <v>39</v>
      </c>
      <c r="D695">
        <v>113</v>
      </c>
      <c r="E695">
        <v>1</v>
      </c>
      <c r="F695">
        <v>36</v>
      </c>
      <c r="G695">
        <v>1693301</v>
      </c>
      <c r="H695">
        <v>0</v>
      </c>
      <c r="I695">
        <v>1</v>
      </c>
      <c r="J695">
        <v>1</v>
      </c>
      <c r="K695">
        <v>0</v>
      </c>
      <c r="L695">
        <f t="shared" si="40"/>
        <v>26</v>
      </c>
      <c r="M695">
        <f t="shared" si="41"/>
        <v>312</v>
      </c>
      <c r="N695">
        <f t="shared" si="42"/>
        <v>199</v>
      </c>
      <c r="O695">
        <f t="shared" si="43"/>
        <v>2033.5833333333333</v>
      </c>
    </row>
    <row r="696" spans="1:15" x14ac:dyDescent="0.2">
      <c r="A696" t="s">
        <v>19</v>
      </c>
      <c r="B696">
        <v>9</v>
      </c>
      <c r="C696">
        <v>39</v>
      </c>
      <c r="D696">
        <v>117</v>
      </c>
      <c r="E696">
        <v>1</v>
      </c>
      <c r="F696">
        <v>29</v>
      </c>
      <c r="G696">
        <v>1654101</v>
      </c>
      <c r="H696">
        <v>0</v>
      </c>
      <c r="I696">
        <v>1</v>
      </c>
      <c r="J696">
        <v>1</v>
      </c>
      <c r="K696">
        <v>0</v>
      </c>
      <c r="L696">
        <f t="shared" si="40"/>
        <v>26</v>
      </c>
      <c r="M696">
        <f t="shared" si="41"/>
        <v>312</v>
      </c>
      <c r="N696">
        <f t="shared" si="42"/>
        <v>195</v>
      </c>
      <c r="O696">
        <f t="shared" si="43"/>
        <v>2033.25</v>
      </c>
    </row>
    <row r="697" spans="1:15" x14ac:dyDescent="0.2">
      <c r="A697" t="s">
        <v>19</v>
      </c>
      <c r="B697">
        <v>9</v>
      </c>
      <c r="C697">
        <v>39</v>
      </c>
      <c r="D697">
        <v>117</v>
      </c>
      <c r="E697">
        <v>1</v>
      </c>
      <c r="F697">
        <v>35</v>
      </c>
      <c r="G697">
        <v>1658301</v>
      </c>
      <c r="H697">
        <v>0</v>
      </c>
      <c r="I697">
        <v>1</v>
      </c>
      <c r="J697">
        <v>1</v>
      </c>
      <c r="K697">
        <v>0</v>
      </c>
      <c r="L697">
        <f t="shared" si="40"/>
        <v>26</v>
      </c>
      <c r="M697">
        <f t="shared" si="41"/>
        <v>312</v>
      </c>
      <c r="N697">
        <f t="shared" si="42"/>
        <v>195</v>
      </c>
      <c r="O697">
        <f t="shared" si="43"/>
        <v>2033.25</v>
      </c>
    </row>
    <row r="698" spans="1:15" x14ac:dyDescent="0.2">
      <c r="A698" t="s">
        <v>19</v>
      </c>
      <c r="B698">
        <v>9</v>
      </c>
      <c r="C698">
        <v>39</v>
      </c>
      <c r="D698">
        <v>120</v>
      </c>
      <c r="E698">
        <v>1</v>
      </c>
      <c r="F698">
        <v>37</v>
      </c>
      <c r="G698">
        <v>1633801</v>
      </c>
      <c r="H698">
        <v>0</v>
      </c>
      <c r="I698">
        <v>1</v>
      </c>
      <c r="J698">
        <v>1</v>
      </c>
      <c r="K698">
        <v>0</v>
      </c>
      <c r="L698">
        <f t="shared" si="40"/>
        <v>26</v>
      </c>
      <c r="M698">
        <f t="shared" si="41"/>
        <v>312</v>
      </c>
      <c r="N698">
        <f t="shared" si="42"/>
        <v>192</v>
      </c>
      <c r="O698">
        <f t="shared" si="43"/>
        <v>2033</v>
      </c>
    </row>
    <row r="699" spans="1:15" x14ac:dyDescent="0.2">
      <c r="A699" t="s">
        <v>19</v>
      </c>
      <c r="B699">
        <v>9</v>
      </c>
      <c r="C699">
        <v>39</v>
      </c>
      <c r="D699">
        <v>120</v>
      </c>
      <c r="E699">
        <v>1</v>
      </c>
      <c r="F699">
        <v>38</v>
      </c>
      <c r="G699">
        <v>1636201</v>
      </c>
      <c r="H699">
        <v>0</v>
      </c>
      <c r="I699">
        <v>1</v>
      </c>
      <c r="J699">
        <v>1</v>
      </c>
      <c r="K699">
        <v>0</v>
      </c>
      <c r="L699">
        <f t="shared" si="40"/>
        <v>26</v>
      </c>
      <c r="M699">
        <f t="shared" si="41"/>
        <v>312</v>
      </c>
      <c r="N699">
        <f t="shared" si="42"/>
        <v>192</v>
      </c>
      <c r="O699">
        <f t="shared" si="43"/>
        <v>2033</v>
      </c>
    </row>
    <row r="700" spans="1:15" x14ac:dyDescent="0.2">
      <c r="A700" t="s">
        <v>19</v>
      </c>
      <c r="B700">
        <v>9</v>
      </c>
      <c r="C700">
        <v>39</v>
      </c>
      <c r="D700">
        <v>131</v>
      </c>
      <c r="E700">
        <v>1</v>
      </c>
      <c r="F700">
        <v>38</v>
      </c>
      <c r="G700">
        <v>1150901</v>
      </c>
      <c r="H700">
        <v>1</v>
      </c>
      <c r="I700">
        <v>0</v>
      </c>
      <c r="J700">
        <v>1</v>
      </c>
      <c r="K700">
        <v>0</v>
      </c>
      <c r="L700">
        <f t="shared" si="40"/>
        <v>26</v>
      </c>
      <c r="M700">
        <f t="shared" si="41"/>
        <v>312</v>
      </c>
      <c r="N700">
        <f t="shared" si="42"/>
        <v>181</v>
      </c>
      <c r="O700">
        <f t="shared" si="43"/>
        <v>2032.0833333333333</v>
      </c>
    </row>
    <row r="701" spans="1:15" x14ac:dyDescent="0.2">
      <c r="A701" t="s">
        <v>19</v>
      </c>
      <c r="B701">
        <v>9</v>
      </c>
      <c r="C701">
        <v>39</v>
      </c>
      <c r="D701">
        <v>145</v>
      </c>
      <c r="E701">
        <v>1</v>
      </c>
      <c r="F701">
        <v>38</v>
      </c>
      <c r="G701">
        <v>1087001</v>
      </c>
      <c r="H701">
        <v>0</v>
      </c>
      <c r="I701">
        <v>1</v>
      </c>
      <c r="J701">
        <v>1</v>
      </c>
      <c r="K701">
        <v>0</v>
      </c>
      <c r="L701">
        <f t="shared" si="40"/>
        <v>26</v>
      </c>
      <c r="M701">
        <f t="shared" si="41"/>
        <v>312</v>
      </c>
      <c r="N701">
        <f t="shared" si="42"/>
        <v>167</v>
      </c>
      <c r="O701">
        <f t="shared" si="43"/>
        <v>2030.9166666666667</v>
      </c>
    </row>
    <row r="702" spans="1:15" x14ac:dyDescent="0.2">
      <c r="A702" t="s">
        <v>19</v>
      </c>
      <c r="B702">
        <v>9</v>
      </c>
      <c r="C702">
        <v>39</v>
      </c>
      <c r="D702">
        <v>158</v>
      </c>
      <c r="E702">
        <v>1</v>
      </c>
      <c r="F702">
        <v>36</v>
      </c>
      <c r="G702">
        <v>982801</v>
      </c>
      <c r="H702">
        <v>0</v>
      </c>
      <c r="I702">
        <v>1</v>
      </c>
      <c r="J702">
        <v>1</v>
      </c>
      <c r="K702">
        <v>0</v>
      </c>
      <c r="L702">
        <f t="shared" si="40"/>
        <v>26</v>
      </c>
      <c r="M702">
        <f t="shared" si="41"/>
        <v>312</v>
      </c>
      <c r="N702">
        <f t="shared" si="42"/>
        <v>154</v>
      </c>
      <c r="O702">
        <f t="shared" si="43"/>
        <v>2029.8333333333333</v>
      </c>
    </row>
    <row r="703" spans="1:15" x14ac:dyDescent="0.2">
      <c r="A703" t="s">
        <v>19</v>
      </c>
      <c r="B703">
        <v>9</v>
      </c>
      <c r="C703">
        <v>39</v>
      </c>
      <c r="D703">
        <v>161</v>
      </c>
      <c r="E703">
        <v>1</v>
      </c>
      <c r="F703">
        <v>36</v>
      </c>
      <c r="G703">
        <v>965801</v>
      </c>
      <c r="H703">
        <v>0</v>
      </c>
      <c r="I703">
        <v>1</v>
      </c>
      <c r="J703">
        <v>1</v>
      </c>
      <c r="K703">
        <v>0</v>
      </c>
      <c r="L703">
        <f t="shared" si="40"/>
        <v>26</v>
      </c>
      <c r="M703">
        <f t="shared" si="41"/>
        <v>312</v>
      </c>
      <c r="N703">
        <f t="shared" si="42"/>
        <v>151</v>
      </c>
      <c r="O703">
        <f t="shared" si="43"/>
        <v>2029.5833333333333</v>
      </c>
    </row>
    <row r="704" spans="1:15" x14ac:dyDescent="0.2">
      <c r="A704" t="s">
        <v>19</v>
      </c>
      <c r="B704">
        <v>9</v>
      </c>
      <c r="C704">
        <v>39</v>
      </c>
      <c r="D704">
        <v>168</v>
      </c>
      <c r="E704">
        <v>1</v>
      </c>
      <c r="F704">
        <v>39</v>
      </c>
      <c r="G704">
        <v>913501</v>
      </c>
      <c r="H704">
        <v>0</v>
      </c>
      <c r="I704">
        <v>1</v>
      </c>
      <c r="J704">
        <v>1</v>
      </c>
      <c r="K704">
        <v>0</v>
      </c>
      <c r="L704">
        <f t="shared" si="40"/>
        <v>26</v>
      </c>
      <c r="M704">
        <f t="shared" si="41"/>
        <v>312</v>
      </c>
      <c r="N704">
        <f t="shared" si="42"/>
        <v>144</v>
      </c>
      <c r="O704">
        <f t="shared" si="43"/>
        <v>2029</v>
      </c>
    </row>
    <row r="705" spans="1:15" x14ac:dyDescent="0.2">
      <c r="A705" t="s">
        <v>19</v>
      </c>
      <c r="B705">
        <v>9</v>
      </c>
      <c r="C705">
        <v>39</v>
      </c>
      <c r="D705">
        <v>170</v>
      </c>
      <c r="E705">
        <v>1</v>
      </c>
      <c r="F705">
        <v>38</v>
      </c>
      <c r="G705">
        <v>903001</v>
      </c>
      <c r="H705">
        <v>0</v>
      </c>
      <c r="I705">
        <v>1</v>
      </c>
      <c r="J705">
        <v>1</v>
      </c>
      <c r="K705">
        <v>0</v>
      </c>
      <c r="L705">
        <f t="shared" si="40"/>
        <v>26</v>
      </c>
      <c r="M705">
        <f t="shared" si="41"/>
        <v>312</v>
      </c>
      <c r="N705">
        <f t="shared" si="42"/>
        <v>142</v>
      </c>
      <c r="O705">
        <f t="shared" si="43"/>
        <v>2028.8333333333333</v>
      </c>
    </row>
    <row r="706" spans="1:15" x14ac:dyDescent="0.2">
      <c r="A706" t="s">
        <v>19</v>
      </c>
      <c r="B706">
        <v>9</v>
      </c>
      <c r="C706">
        <v>39</v>
      </c>
      <c r="D706">
        <v>196</v>
      </c>
      <c r="E706">
        <v>12</v>
      </c>
      <c r="F706">
        <v>32</v>
      </c>
      <c r="G706">
        <v>828502</v>
      </c>
      <c r="H706">
        <v>0</v>
      </c>
      <c r="I706">
        <v>1</v>
      </c>
      <c r="J706">
        <v>1</v>
      </c>
      <c r="K706">
        <v>0</v>
      </c>
      <c r="L706">
        <f t="shared" si="40"/>
        <v>26</v>
      </c>
      <c r="M706">
        <f t="shared" si="41"/>
        <v>312</v>
      </c>
      <c r="N706">
        <f t="shared" si="42"/>
        <v>116</v>
      </c>
      <c r="O706">
        <f t="shared" si="43"/>
        <v>2026.6666666666667</v>
      </c>
    </row>
    <row r="707" spans="1:15" x14ac:dyDescent="0.2">
      <c r="A707" t="s">
        <v>19</v>
      </c>
      <c r="B707">
        <v>9</v>
      </c>
      <c r="C707">
        <v>39</v>
      </c>
      <c r="D707">
        <v>199</v>
      </c>
      <c r="E707">
        <v>1</v>
      </c>
      <c r="F707">
        <v>36</v>
      </c>
      <c r="G707">
        <v>801901</v>
      </c>
      <c r="H707">
        <v>0</v>
      </c>
      <c r="I707">
        <v>1</v>
      </c>
      <c r="J707">
        <v>1</v>
      </c>
      <c r="K707">
        <v>0</v>
      </c>
      <c r="L707">
        <f t="shared" si="40"/>
        <v>26</v>
      </c>
      <c r="M707">
        <f t="shared" si="41"/>
        <v>312</v>
      </c>
      <c r="N707">
        <f t="shared" si="42"/>
        <v>113</v>
      </c>
      <c r="O707">
        <f t="shared" si="43"/>
        <v>2026.4166666666667</v>
      </c>
    </row>
    <row r="708" spans="1:15" x14ac:dyDescent="0.2">
      <c r="A708" t="s">
        <v>19</v>
      </c>
      <c r="B708">
        <v>9</v>
      </c>
      <c r="C708">
        <v>39</v>
      </c>
      <c r="D708">
        <v>199</v>
      </c>
      <c r="E708">
        <v>1</v>
      </c>
      <c r="F708">
        <v>37</v>
      </c>
      <c r="G708">
        <v>810101</v>
      </c>
      <c r="H708">
        <v>0</v>
      </c>
      <c r="I708">
        <v>1</v>
      </c>
      <c r="J708">
        <v>1</v>
      </c>
      <c r="K708">
        <v>0</v>
      </c>
      <c r="L708">
        <f t="shared" si="40"/>
        <v>26</v>
      </c>
      <c r="M708">
        <f t="shared" si="41"/>
        <v>312</v>
      </c>
      <c r="N708">
        <f t="shared" si="42"/>
        <v>113</v>
      </c>
      <c r="O708">
        <f t="shared" si="43"/>
        <v>2026.4166666666667</v>
      </c>
    </row>
    <row r="709" spans="1:15" x14ac:dyDescent="0.2">
      <c r="A709" t="s">
        <v>19</v>
      </c>
      <c r="B709">
        <v>9</v>
      </c>
      <c r="C709">
        <v>39</v>
      </c>
      <c r="D709">
        <v>202</v>
      </c>
      <c r="E709">
        <v>2</v>
      </c>
      <c r="F709">
        <v>39</v>
      </c>
      <c r="G709">
        <v>760802</v>
      </c>
      <c r="H709">
        <v>0</v>
      </c>
      <c r="I709">
        <v>1</v>
      </c>
      <c r="J709">
        <v>1</v>
      </c>
      <c r="K709">
        <v>0</v>
      </c>
      <c r="L709">
        <f t="shared" si="40"/>
        <v>26</v>
      </c>
      <c r="M709">
        <f t="shared" si="41"/>
        <v>312</v>
      </c>
      <c r="N709">
        <f t="shared" si="42"/>
        <v>110</v>
      </c>
      <c r="O709">
        <f t="shared" si="43"/>
        <v>2026.1666666666667</v>
      </c>
    </row>
    <row r="710" spans="1:15" x14ac:dyDescent="0.2">
      <c r="A710" t="s">
        <v>19</v>
      </c>
      <c r="B710">
        <v>9</v>
      </c>
      <c r="C710">
        <v>39</v>
      </c>
      <c r="D710">
        <v>203</v>
      </c>
      <c r="E710">
        <v>1</v>
      </c>
      <c r="F710">
        <v>37</v>
      </c>
      <c r="G710">
        <v>745301</v>
      </c>
      <c r="H710">
        <v>1</v>
      </c>
      <c r="I710">
        <v>0</v>
      </c>
      <c r="J710">
        <v>1</v>
      </c>
      <c r="K710">
        <v>0</v>
      </c>
      <c r="L710">
        <f t="shared" si="40"/>
        <v>26</v>
      </c>
      <c r="M710">
        <f t="shared" si="41"/>
        <v>312</v>
      </c>
      <c r="N710">
        <f t="shared" si="42"/>
        <v>109</v>
      </c>
      <c r="O710">
        <f t="shared" si="43"/>
        <v>2026.0833333333333</v>
      </c>
    </row>
    <row r="711" spans="1:15" x14ac:dyDescent="0.2">
      <c r="A711" t="s">
        <v>19</v>
      </c>
      <c r="B711">
        <v>9</v>
      </c>
      <c r="C711">
        <v>39</v>
      </c>
      <c r="D711">
        <v>204</v>
      </c>
      <c r="E711">
        <v>12</v>
      </c>
      <c r="F711">
        <v>38</v>
      </c>
      <c r="G711">
        <v>717602</v>
      </c>
      <c r="H711">
        <v>0</v>
      </c>
      <c r="I711">
        <v>1</v>
      </c>
      <c r="J711">
        <v>1</v>
      </c>
      <c r="K711">
        <v>0</v>
      </c>
      <c r="L711">
        <f t="shared" ref="L711:L774" si="44">65-C711</f>
        <v>26</v>
      </c>
      <c r="M711">
        <f t="shared" ref="M711:M774" si="45">L711*12</f>
        <v>312</v>
      </c>
      <c r="N711">
        <f t="shared" ref="N711:N774" si="46">M711-D711</f>
        <v>108</v>
      </c>
      <c r="O711">
        <f t="shared" ref="O711:O774" si="47">2017+N711/12</f>
        <v>2026</v>
      </c>
    </row>
    <row r="712" spans="1:15" x14ac:dyDescent="0.2">
      <c r="A712" t="s">
        <v>19</v>
      </c>
      <c r="B712">
        <v>9</v>
      </c>
      <c r="C712">
        <v>39</v>
      </c>
      <c r="D712">
        <v>205</v>
      </c>
      <c r="E712">
        <v>1</v>
      </c>
      <c r="F712">
        <v>37</v>
      </c>
      <c r="G712">
        <v>720202</v>
      </c>
      <c r="H712">
        <v>1</v>
      </c>
      <c r="I712">
        <v>0</v>
      </c>
      <c r="J712">
        <v>1</v>
      </c>
      <c r="K712">
        <v>0</v>
      </c>
      <c r="L712">
        <f t="shared" si="44"/>
        <v>26</v>
      </c>
      <c r="M712">
        <f t="shared" si="45"/>
        <v>312</v>
      </c>
      <c r="N712">
        <f t="shared" si="46"/>
        <v>107</v>
      </c>
      <c r="O712">
        <f t="shared" si="47"/>
        <v>2025.9166666666667</v>
      </c>
    </row>
    <row r="713" spans="1:15" x14ac:dyDescent="0.2">
      <c r="A713" t="s">
        <v>19</v>
      </c>
      <c r="B713">
        <v>9</v>
      </c>
      <c r="C713">
        <v>39</v>
      </c>
      <c r="D713">
        <v>205</v>
      </c>
      <c r="E713">
        <v>1</v>
      </c>
      <c r="F713">
        <v>37</v>
      </c>
      <c r="G713">
        <v>736601</v>
      </c>
      <c r="H713">
        <v>0</v>
      </c>
      <c r="I713">
        <v>1</v>
      </c>
      <c r="J713">
        <v>1</v>
      </c>
      <c r="K713">
        <v>0</v>
      </c>
      <c r="L713">
        <f t="shared" si="44"/>
        <v>26</v>
      </c>
      <c r="M713">
        <f t="shared" si="45"/>
        <v>312</v>
      </c>
      <c r="N713">
        <f t="shared" si="46"/>
        <v>107</v>
      </c>
      <c r="O713">
        <f t="shared" si="47"/>
        <v>2025.9166666666667</v>
      </c>
    </row>
    <row r="714" spans="1:15" x14ac:dyDescent="0.2">
      <c r="A714" t="s">
        <v>19</v>
      </c>
      <c r="B714">
        <v>9</v>
      </c>
      <c r="C714">
        <v>39</v>
      </c>
      <c r="D714">
        <v>206</v>
      </c>
      <c r="E714">
        <v>2</v>
      </c>
      <c r="F714">
        <v>32</v>
      </c>
      <c r="G714">
        <v>702601</v>
      </c>
      <c r="H714">
        <v>0</v>
      </c>
      <c r="I714">
        <v>1</v>
      </c>
      <c r="J714">
        <v>1</v>
      </c>
      <c r="K714">
        <v>0</v>
      </c>
      <c r="L714">
        <f t="shared" si="44"/>
        <v>26</v>
      </c>
      <c r="M714">
        <f t="shared" si="45"/>
        <v>312</v>
      </c>
      <c r="N714">
        <f t="shared" si="46"/>
        <v>106</v>
      </c>
      <c r="O714">
        <f t="shared" si="47"/>
        <v>2025.8333333333333</v>
      </c>
    </row>
    <row r="715" spans="1:15" x14ac:dyDescent="0.2">
      <c r="A715" t="s">
        <v>19</v>
      </c>
      <c r="B715">
        <v>9</v>
      </c>
      <c r="C715">
        <v>39</v>
      </c>
      <c r="D715">
        <v>206</v>
      </c>
      <c r="E715">
        <v>12</v>
      </c>
      <c r="F715">
        <v>34</v>
      </c>
      <c r="G715">
        <v>708601</v>
      </c>
      <c r="H715">
        <v>0</v>
      </c>
      <c r="I715">
        <v>1</v>
      </c>
      <c r="J715">
        <v>1</v>
      </c>
      <c r="K715">
        <v>0</v>
      </c>
      <c r="L715">
        <f t="shared" si="44"/>
        <v>26</v>
      </c>
      <c r="M715">
        <f t="shared" si="45"/>
        <v>312</v>
      </c>
      <c r="N715">
        <f t="shared" si="46"/>
        <v>106</v>
      </c>
      <c r="O715">
        <f t="shared" si="47"/>
        <v>2025.8333333333333</v>
      </c>
    </row>
    <row r="716" spans="1:15" x14ac:dyDescent="0.2">
      <c r="A716" t="s">
        <v>19</v>
      </c>
      <c r="B716">
        <v>9</v>
      </c>
      <c r="C716">
        <v>39</v>
      </c>
      <c r="D716">
        <v>213</v>
      </c>
      <c r="E716">
        <v>1</v>
      </c>
      <c r="F716">
        <v>32</v>
      </c>
      <c r="G716">
        <v>597101</v>
      </c>
      <c r="H716">
        <v>0</v>
      </c>
      <c r="I716">
        <v>1</v>
      </c>
      <c r="J716">
        <v>1</v>
      </c>
      <c r="K716">
        <v>0</v>
      </c>
      <c r="L716">
        <f t="shared" si="44"/>
        <v>26</v>
      </c>
      <c r="M716">
        <f t="shared" si="45"/>
        <v>312</v>
      </c>
      <c r="N716">
        <f t="shared" si="46"/>
        <v>99</v>
      </c>
      <c r="O716">
        <f t="shared" si="47"/>
        <v>2025.25</v>
      </c>
    </row>
    <row r="717" spans="1:15" x14ac:dyDescent="0.2">
      <c r="A717" t="s">
        <v>19</v>
      </c>
      <c r="B717">
        <v>9</v>
      </c>
      <c r="C717">
        <v>39</v>
      </c>
      <c r="D717">
        <v>213</v>
      </c>
      <c r="E717">
        <v>1</v>
      </c>
      <c r="F717">
        <v>37</v>
      </c>
      <c r="G717">
        <v>580401</v>
      </c>
      <c r="H717">
        <v>1</v>
      </c>
      <c r="I717">
        <v>0</v>
      </c>
      <c r="J717">
        <v>1</v>
      </c>
      <c r="K717">
        <v>0</v>
      </c>
      <c r="L717">
        <f t="shared" si="44"/>
        <v>26</v>
      </c>
      <c r="M717">
        <f t="shared" si="45"/>
        <v>312</v>
      </c>
      <c r="N717">
        <f t="shared" si="46"/>
        <v>99</v>
      </c>
      <c r="O717">
        <f t="shared" si="47"/>
        <v>2025.25</v>
      </c>
    </row>
    <row r="718" spans="1:15" x14ac:dyDescent="0.2">
      <c r="A718" t="s">
        <v>19</v>
      </c>
      <c r="B718">
        <v>9</v>
      </c>
      <c r="C718">
        <v>39</v>
      </c>
      <c r="D718">
        <v>219</v>
      </c>
      <c r="E718">
        <v>1</v>
      </c>
      <c r="F718">
        <v>32</v>
      </c>
      <c r="G718">
        <v>383102</v>
      </c>
      <c r="H718">
        <v>0</v>
      </c>
      <c r="I718">
        <v>1</v>
      </c>
      <c r="J718">
        <v>1</v>
      </c>
      <c r="K718">
        <v>0</v>
      </c>
      <c r="L718">
        <f t="shared" si="44"/>
        <v>26</v>
      </c>
      <c r="M718">
        <f t="shared" si="45"/>
        <v>312</v>
      </c>
      <c r="N718">
        <f t="shared" si="46"/>
        <v>93</v>
      </c>
      <c r="O718">
        <f t="shared" si="47"/>
        <v>2024.75</v>
      </c>
    </row>
    <row r="719" spans="1:15" x14ac:dyDescent="0.2">
      <c r="A719" t="s">
        <v>19</v>
      </c>
      <c r="B719">
        <v>9</v>
      </c>
      <c r="C719">
        <v>39</v>
      </c>
      <c r="D719">
        <v>219</v>
      </c>
      <c r="E719">
        <v>1</v>
      </c>
      <c r="F719">
        <v>39</v>
      </c>
      <c r="G719">
        <v>389801</v>
      </c>
      <c r="H719">
        <v>0</v>
      </c>
      <c r="I719">
        <v>1</v>
      </c>
      <c r="J719">
        <v>1</v>
      </c>
      <c r="K719">
        <v>0</v>
      </c>
      <c r="L719">
        <f t="shared" si="44"/>
        <v>26</v>
      </c>
      <c r="M719">
        <f t="shared" si="45"/>
        <v>312</v>
      </c>
      <c r="N719">
        <f t="shared" si="46"/>
        <v>93</v>
      </c>
      <c r="O719">
        <f t="shared" si="47"/>
        <v>2024.75</v>
      </c>
    </row>
    <row r="720" spans="1:15" x14ac:dyDescent="0.2">
      <c r="A720" t="s">
        <v>19</v>
      </c>
      <c r="B720">
        <v>9</v>
      </c>
      <c r="C720">
        <v>39</v>
      </c>
      <c r="D720">
        <v>224</v>
      </c>
      <c r="E720">
        <v>1</v>
      </c>
      <c r="F720">
        <v>37</v>
      </c>
      <c r="G720">
        <v>287802</v>
      </c>
      <c r="H720">
        <v>0</v>
      </c>
      <c r="I720">
        <v>1</v>
      </c>
      <c r="J720">
        <v>1</v>
      </c>
      <c r="K720">
        <v>0</v>
      </c>
      <c r="L720">
        <f t="shared" si="44"/>
        <v>26</v>
      </c>
      <c r="M720">
        <f t="shared" si="45"/>
        <v>312</v>
      </c>
      <c r="N720">
        <f t="shared" si="46"/>
        <v>88</v>
      </c>
      <c r="O720">
        <f t="shared" si="47"/>
        <v>2024.3333333333333</v>
      </c>
    </row>
    <row r="721" spans="1:15" x14ac:dyDescent="0.2">
      <c r="A721" t="s">
        <v>19</v>
      </c>
      <c r="B721">
        <v>9</v>
      </c>
      <c r="C721">
        <v>39</v>
      </c>
      <c r="D721">
        <v>227</v>
      </c>
      <c r="E721">
        <v>1</v>
      </c>
      <c r="F721">
        <v>34</v>
      </c>
      <c r="G721">
        <v>243501</v>
      </c>
      <c r="H721">
        <v>0</v>
      </c>
      <c r="I721">
        <v>1</v>
      </c>
      <c r="J721">
        <v>1</v>
      </c>
      <c r="K721">
        <v>0</v>
      </c>
      <c r="L721">
        <f t="shared" si="44"/>
        <v>26</v>
      </c>
      <c r="M721">
        <f t="shared" si="45"/>
        <v>312</v>
      </c>
      <c r="N721">
        <f t="shared" si="46"/>
        <v>85</v>
      </c>
      <c r="O721">
        <f t="shared" si="47"/>
        <v>2024.0833333333333</v>
      </c>
    </row>
    <row r="722" spans="1:15" x14ac:dyDescent="0.2">
      <c r="A722" t="s">
        <v>19</v>
      </c>
      <c r="B722">
        <v>9</v>
      </c>
      <c r="C722">
        <v>39</v>
      </c>
      <c r="D722">
        <v>236</v>
      </c>
      <c r="E722">
        <v>1</v>
      </c>
      <c r="F722">
        <v>37</v>
      </c>
      <c r="G722">
        <v>104301</v>
      </c>
      <c r="H722">
        <v>0</v>
      </c>
      <c r="I722">
        <v>1</v>
      </c>
      <c r="J722">
        <v>1</v>
      </c>
      <c r="K722">
        <v>0</v>
      </c>
      <c r="L722">
        <f t="shared" si="44"/>
        <v>26</v>
      </c>
      <c r="M722">
        <f t="shared" si="45"/>
        <v>312</v>
      </c>
      <c r="N722">
        <f t="shared" si="46"/>
        <v>76</v>
      </c>
      <c r="O722">
        <f t="shared" si="47"/>
        <v>2023.3333333333333</v>
      </c>
    </row>
    <row r="723" spans="1:15" x14ac:dyDescent="0.2">
      <c r="A723" t="s">
        <v>19</v>
      </c>
      <c r="B723">
        <v>9</v>
      </c>
      <c r="C723">
        <v>39</v>
      </c>
      <c r="D723">
        <v>242</v>
      </c>
      <c r="E723">
        <v>1</v>
      </c>
      <c r="F723">
        <v>32</v>
      </c>
      <c r="G723">
        <v>44701</v>
      </c>
      <c r="H723">
        <v>0</v>
      </c>
      <c r="I723">
        <v>1</v>
      </c>
      <c r="J723">
        <v>1</v>
      </c>
      <c r="K723">
        <v>0</v>
      </c>
      <c r="L723">
        <f t="shared" si="44"/>
        <v>26</v>
      </c>
      <c r="M723">
        <f t="shared" si="45"/>
        <v>312</v>
      </c>
      <c r="N723">
        <f t="shared" si="46"/>
        <v>70</v>
      </c>
      <c r="O723">
        <f t="shared" si="47"/>
        <v>2022.8333333333333</v>
      </c>
    </row>
    <row r="724" spans="1:15" x14ac:dyDescent="0.2">
      <c r="A724" t="s">
        <v>19</v>
      </c>
      <c r="B724">
        <v>9</v>
      </c>
      <c r="C724">
        <v>39</v>
      </c>
      <c r="D724">
        <v>251</v>
      </c>
      <c r="E724">
        <v>1</v>
      </c>
      <c r="F724">
        <v>38</v>
      </c>
      <c r="G724">
        <v>6801</v>
      </c>
      <c r="H724">
        <v>1</v>
      </c>
      <c r="I724">
        <v>0</v>
      </c>
      <c r="J724">
        <v>1</v>
      </c>
      <c r="K724">
        <v>0</v>
      </c>
      <c r="L724">
        <f t="shared" si="44"/>
        <v>26</v>
      </c>
      <c r="M724">
        <f t="shared" si="45"/>
        <v>312</v>
      </c>
      <c r="N724">
        <f t="shared" si="46"/>
        <v>61</v>
      </c>
      <c r="O724">
        <f t="shared" si="47"/>
        <v>2022.0833333333333</v>
      </c>
    </row>
    <row r="725" spans="1:15" x14ac:dyDescent="0.2">
      <c r="A725" t="s">
        <v>19</v>
      </c>
      <c r="B725">
        <v>9</v>
      </c>
      <c r="C725">
        <v>40</v>
      </c>
      <c r="D725">
        <v>1</v>
      </c>
      <c r="E725">
        <v>12</v>
      </c>
      <c r="F725">
        <v>34</v>
      </c>
      <c r="G725">
        <v>2412902</v>
      </c>
      <c r="H725">
        <v>0</v>
      </c>
      <c r="I725">
        <v>1</v>
      </c>
      <c r="J725">
        <v>1</v>
      </c>
      <c r="K725">
        <v>0</v>
      </c>
      <c r="L725">
        <f t="shared" si="44"/>
        <v>25</v>
      </c>
      <c r="M725">
        <f t="shared" si="45"/>
        <v>300</v>
      </c>
      <c r="N725">
        <f t="shared" si="46"/>
        <v>299</v>
      </c>
      <c r="O725">
        <f t="shared" si="47"/>
        <v>2041.9166666666667</v>
      </c>
    </row>
    <row r="726" spans="1:15" x14ac:dyDescent="0.2">
      <c r="A726" t="s">
        <v>19</v>
      </c>
      <c r="B726">
        <v>9</v>
      </c>
      <c r="C726">
        <v>40</v>
      </c>
      <c r="D726">
        <v>1</v>
      </c>
      <c r="E726">
        <v>12</v>
      </c>
      <c r="F726">
        <v>37</v>
      </c>
      <c r="G726">
        <v>2396305</v>
      </c>
      <c r="H726">
        <v>0</v>
      </c>
      <c r="I726">
        <v>1</v>
      </c>
      <c r="J726">
        <v>1</v>
      </c>
      <c r="K726">
        <v>0</v>
      </c>
      <c r="L726">
        <f t="shared" si="44"/>
        <v>25</v>
      </c>
      <c r="M726">
        <f t="shared" si="45"/>
        <v>300</v>
      </c>
      <c r="N726">
        <f t="shared" si="46"/>
        <v>299</v>
      </c>
      <c r="O726">
        <f t="shared" si="47"/>
        <v>2041.9166666666667</v>
      </c>
    </row>
    <row r="727" spans="1:15" x14ac:dyDescent="0.2">
      <c r="A727" t="s">
        <v>19</v>
      </c>
      <c r="B727">
        <v>9</v>
      </c>
      <c r="C727">
        <v>40</v>
      </c>
      <c r="D727">
        <v>1</v>
      </c>
      <c r="E727">
        <v>12</v>
      </c>
      <c r="F727">
        <v>39</v>
      </c>
      <c r="G727">
        <v>2388601</v>
      </c>
      <c r="H727">
        <v>0</v>
      </c>
      <c r="I727">
        <v>1</v>
      </c>
      <c r="J727">
        <v>1</v>
      </c>
      <c r="K727">
        <v>0</v>
      </c>
      <c r="L727">
        <f t="shared" si="44"/>
        <v>25</v>
      </c>
      <c r="M727">
        <f t="shared" si="45"/>
        <v>300</v>
      </c>
      <c r="N727">
        <f t="shared" si="46"/>
        <v>299</v>
      </c>
      <c r="O727">
        <f t="shared" si="47"/>
        <v>2041.9166666666667</v>
      </c>
    </row>
    <row r="728" spans="1:15" x14ac:dyDescent="0.2">
      <c r="A728" t="s">
        <v>19</v>
      </c>
      <c r="B728">
        <v>9</v>
      </c>
      <c r="C728">
        <v>40</v>
      </c>
      <c r="D728">
        <v>1</v>
      </c>
      <c r="E728">
        <v>12</v>
      </c>
      <c r="F728">
        <v>39</v>
      </c>
      <c r="G728">
        <v>2389403</v>
      </c>
      <c r="H728">
        <v>1</v>
      </c>
      <c r="I728">
        <v>0</v>
      </c>
      <c r="J728">
        <v>1</v>
      </c>
      <c r="K728">
        <v>0</v>
      </c>
      <c r="L728">
        <f t="shared" si="44"/>
        <v>25</v>
      </c>
      <c r="M728">
        <f t="shared" si="45"/>
        <v>300</v>
      </c>
      <c r="N728">
        <f t="shared" si="46"/>
        <v>299</v>
      </c>
      <c r="O728">
        <f t="shared" si="47"/>
        <v>2041.9166666666667</v>
      </c>
    </row>
    <row r="729" spans="1:15" x14ac:dyDescent="0.2">
      <c r="A729" t="s">
        <v>19</v>
      </c>
      <c r="B729">
        <v>9</v>
      </c>
      <c r="C729">
        <v>40</v>
      </c>
      <c r="D729">
        <v>2</v>
      </c>
      <c r="E729">
        <v>12</v>
      </c>
      <c r="F729">
        <v>36</v>
      </c>
      <c r="G729">
        <v>2378104</v>
      </c>
      <c r="H729">
        <v>0</v>
      </c>
      <c r="I729">
        <v>1</v>
      </c>
      <c r="J729">
        <v>1</v>
      </c>
      <c r="K729">
        <v>0</v>
      </c>
      <c r="L729">
        <f t="shared" si="44"/>
        <v>25</v>
      </c>
      <c r="M729">
        <f t="shared" si="45"/>
        <v>300</v>
      </c>
      <c r="N729">
        <f t="shared" si="46"/>
        <v>298</v>
      </c>
      <c r="O729">
        <f t="shared" si="47"/>
        <v>2041.8333333333333</v>
      </c>
    </row>
    <row r="730" spans="1:15" x14ac:dyDescent="0.2">
      <c r="A730" t="s">
        <v>19</v>
      </c>
      <c r="B730">
        <v>9</v>
      </c>
      <c r="C730">
        <v>40</v>
      </c>
      <c r="D730">
        <v>2</v>
      </c>
      <c r="E730">
        <v>12</v>
      </c>
      <c r="F730">
        <v>37</v>
      </c>
      <c r="G730">
        <v>2369005</v>
      </c>
      <c r="H730">
        <v>0</v>
      </c>
      <c r="I730">
        <v>1</v>
      </c>
      <c r="J730">
        <v>1</v>
      </c>
      <c r="K730">
        <v>0</v>
      </c>
      <c r="L730">
        <f t="shared" si="44"/>
        <v>25</v>
      </c>
      <c r="M730">
        <f t="shared" si="45"/>
        <v>300</v>
      </c>
      <c r="N730">
        <f t="shared" si="46"/>
        <v>298</v>
      </c>
      <c r="O730">
        <f t="shared" si="47"/>
        <v>2041.8333333333333</v>
      </c>
    </row>
    <row r="731" spans="1:15" x14ac:dyDescent="0.2">
      <c r="A731" t="s">
        <v>19</v>
      </c>
      <c r="B731">
        <v>9</v>
      </c>
      <c r="C731">
        <v>40</v>
      </c>
      <c r="D731">
        <v>3</v>
      </c>
      <c r="E731">
        <v>12</v>
      </c>
      <c r="F731">
        <v>40</v>
      </c>
      <c r="G731">
        <v>2359102</v>
      </c>
      <c r="H731">
        <v>0</v>
      </c>
      <c r="I731">
        <v>1</v>
      </c>
      <c r="J731">
        <v>1</v>
      </c>
      <c r="K731">
        <v>0</v>
      </c>
      <c r="L731">
        <f t="shared" si="44"/>
        <v>25</v>
      </c>
      <c r="M731">
        <f t="shared" si="45"/>
        <v>300</v>
      </c>
      <c r="N731">
        <f t="shared" si="46"/>
        <v>297</v>
      </c>
      <c r="O731">
        <f t="shared" si="47"/>
        <v>2041.75</v>
      </c>
    </row>
    <row r="732" spans="1:15" x14ac:dyDescent="0.2">
      <c r="A732" t="s">
        <v>19</v>
      </c>
      <c r="B732">
        <v>9</v>
      </c>
      <c r="C732">
        <v>40</v>
      </c>
      <c r="D732">
        <v>5</v>
      </c>
      <c r="E732">
        <v>12</v>
      </c>
      <c r="F732">
        <v>36</v>
      </c>
      <c r="G732">
        <v>2344703</v>
      </c>
      <c r="H732">
        <v>0</v>
      </c>
      <c r="I732">
        <v>1</v>
      </c>
      <c r="J732">
        <v>1</v>
      </c>
      <c r="K732">
        <v>0</v>
      </c>
      <c r="L732">
        <f t="shared" si="44"/>
        <v>25</v>
      </c>
      <c r="M732">
        <f t="shared" si="45"/>
        <v>300</v>
      </c>
      <c r="N732">
        <f t="shared" si="46"/>
        <v>295</v>
      </c>
      <c r="O732">
        <f t="shared" si="47"/>
        <v>2041.5833333333333</v>
      </c>
    </row>
    <row r="733" spans="1:15" x14ac:dyDescent="0.2">
      <c r="A733" t="s">
        <v>19</v>
      </c>
      <c r="B733">
        <v>9</v>
      </c>
      <c r="C733">
        <v>40</v>
      </c>
      <c r="D733">
        <v>5</v>
      </c>
      <c r="E733">
        <v>12</v>
      </c>
      <c r="F733">
        <v>38</v>
      </c>
      <c r="G733">
        <v>2340303</v>
      </c>
      <c r="H733">
        <v>0</v>
      </c>
      <c r="I733">
        <v>1</v>
      </c>
      <c r="J733">
        <v>1</v>
      </c>
      <c r="K733">
        <v>0</v>
      </c>
      <c r="L733">
        <f t="shared" si="44"/>
        <v>25</v>
      </c>
      <c r="M733">
        <f t="shared" si="45"/>
        <v>300</v>
      </c>
      <c r="N733">
        <f t="shared" si="46"/>
        <v>295</v>
      </c>
      <c r="O733">
        <f t="shared" si="47"/>
        <v>2041.5833333333333</v>
      </c>
    </row>
    <row r="734" spans="1:15" x14ac:dyDescent="0.2">
      <c r="A734" t="s">
        <v>19</v>
      </c>
      <c r="B734">
        <v>9</v>
      </c>
      <c r="C734">
        <v>40</v>
      </c>
      <c r="D734">
        <v>9</v>
      </c>
      <c r="E734">
        <v>4</v>
      </c>
      <c r="F734">
        <v>39</v>
      </c>
      <c r="G734">
        <v>2305201</v>
      </c>
      <c r="H734">
        <v>0</v>
      </c>
      <c r="I734">
        <v>1</v>
      </c>
      <c r="J734">
        <v>1</v>
      </c>
      <c r="K734">
        <v>0</v>
      </c>
      <c r="L734">
        <f t="shared" si="44"/>
        <v>25</v>
      </c>
      <c r="M734">
        <f t="shared" si="45"/>
        <v>300</v>
      </c>
      <c r="N734">
        <f t="shared" si="46"/>
        <v>291</v>
      </c>
      <c r="O734">
        <f t="shared" si="47"/>
        <v>2041.25</v>
      </c>
    </row>
    <row r="735" spans="1:15" x14ac:dyDescent="0.2">
      <c r="A735" t="s">
        <v>19</v>
      </c>
      <c r="B735">
        <v>9</v>
      </c>
      <c r="C735">
        <v>40</v>
      </c>
      <c r="D735">
        <v>10</v>
      </c>
      <c r="E735">
        <v>12</v>
      </c>
      <c r="F735">
        <v>38</v>
      </c>
      <c r="G735">
        <v>933104</v>
      </c>
      <c r="H735">
        <v>0</v>
      </c>
      <c r="I735">
        <v>1</v>
      </c>
      <c r="J735">
        <v>1</v>
      </c>
      <c r="K735">
        <v>0</v>
      </c>
      <c r="L735">
        <f t="shared" si="44"/>
        <v>25</v>
      </c>
      <c r="M735">
        <f t="shared" si="45"/>
        <v>300</v>
      </c>
      <c r="N735">
        <f t="shared" si="46"/>
        <v>290</v>
      </c>
      <c r="O735">
        <f t="shared" si="47"/>
        <v>2041.1666666666667</v>
      </c>
    </row>
    <row r="736" spans="1:15" x14ac:dyDescent="0.2">
      <c r="A736" t="s">
        <v>19</v>
      </c>
      <c r="B736">
        <v>9</v>
      </c>
      <c r="C736">
        <v>40</v>
      </c>
      <c r="D736">
        <v>13</v>
      </c>
      <c r="E736">
        <v>6</v>
      </c>
      <c r="F736">
        <v>34</v>
      </c>
      <c r="G736">
        <v>2274003</v>
      </c>
      <c r="H736">
        <v>0</v>
      </c>
      <c r="I736">
        <v>1</v>
      </c>
      <c r="J736">
        <v>1</v>
      </c>
      <c r="K736">
        <v>0</v>
      </c>
      <c r="L736">
        <f t="shared" si="44"/>
        <v>25</v>
      </c>
      <c r="M736">
        <f t="shared" si="45"/>
        <v>300</v>
      </c>
      <c r="N736">
        <f t="shared" si="46"/>
        <v>287</v>
      </c>
      <c r="O736">
        <f t="shared" si="47"/>
        <v>2040.9166666666667</v>
      </c>
    </row>
    <row r="737" spans="1:15" x14ac:dyDescent="0.2">
      <c r="A737" t="s">
        <v>19</v>
      </c>
      <c r="B737">
        <v>9</v>
      </c>
      <c r="C737">
        <v>40</v>
      </c>
      <c r="D737">
        <v>13</v>
      </c>
      <c r="E737">
        <v>12</v>
      </c>
      <c r="F737">
        <v>38</v>
      </c>
      <c r="G737">
        <v>2273803</v>
      </c>
      <c r="H737">
        <v>0</v>
      </c>
      <c r="I737">
        <v>1</v>
      </c>
      <c r="J737">
        <v>1</v>
      </c>
      <c r="K737">
        <v>0</v>
      </c>
      <c r="L737">
        <f t="shared" si="44"/>
        <v>25</v>
      </c>
      <c r="M737">
        <f t="shared" si="45"/>
        <v>300</v>
      </c>
      <c r="N737">
        <f t="shared" si="46"/>
        <v>287</v>
      </c>
      <c r="O737">
        <f t="shared" si="47"/>
        <v>2040.9166666666667</v>
      </c>
    </row>
    <row r="738" spans="1:15" x14ac:dyDescent="0.2">
      <c r="A738" t="s">
        <v>19</v>
      </c>
      <c r="B738">
        <v>9</v>
      </c>
      <c r="C738">
        <v>40</v>
      </c>
      <c r="D738">
        <v>13</v>
      </c>
      <c r="E738">
        <v>12</v>
      </c>
      <c r="F738">
        <v>39</v>
      </c>
      <c r="G738">
        <v>2275305</v>
      </c>
      <c r="H738">
        <v>0</v>
      </c>
      <c r="I738">
        <v>1</v>
      </c>
      <c r="J738">
        <v>1</v>
      </c>
      <c r="K738">
        <v>0</v>
      </c>
      <c r="L738">
        <f t="shared" si="44"/>
        <v>25</v>
      </c>
      <c r="M738">
        <f t="shared" si="45"/>
        <v>300</v>
      </c>
      <c r="N738">
        <f t="shared" si="46"/>
        <v>287</v>
      </c>
      <c r="O738">
        <f t="shared" si="47"/>
        <v>2040.9166666666667</v>
      </c>
    </row>
    <row r="739" spans="1:15" x14ac:dyDescent="0.2">
      <c r="A739" t="s">
        <v>19</v>
      </c>
      <c r="B739">
        <v>9</v>
      </c>
      <c r="C739">
        <v>40</v>
      </c>
      <c r="D739">
        <v>13</v>
      </c>
      <c r="E739">
        <v>12</v>
      </c>
      <c r="F739">
        <v>40</v>
      </c>
      <c r="G739">
        <v>2278305</v>
      </c>
      <c r="H739">
        <v>0</v>
      </c>
      <c r="I739">
        <v>1</v>
      </c>
      <c r="J739">
        <v>1</v>
      </c>
      <c r="K739">
        <v>0</v>
      </c>
      <c r="L739">
        <f t="shared" si="44"/>
        <v>25</v>
      </c>
      <c r="M739">
        <f t="shared" si="45"/>
        <v>300</v>
      </c>
      <c r="N739">
        <f t="shared" si="46"/>
        <v>287</v>
      </c>
      <c r="O739">
        <f t="shared" si="47"/>
        <v>2040.9166666666667</v>
      </c>
    </row>
    <row r="740" spans="1:15" x14ac:dyDescent="0.2">
      <c r="A740" t="s">
        <v>19</v>
      </c>
      <c r="B740">
        <v>9</v>
      </c>
      <c r="C740">
        <v>40</v>
      </c>
      <c r="D740">
        <v>17</v>
      </c>
      <c r="E740">
        <v>12</v>
      </c>
      <c r="F740">
        <v>38</v>
      </c>
      <c r="G740">
        <v>2243702</v>
      </c>
      <c r="H740">
        <v>0</v>
      </c>
      <c r="I740">
        <v>1</v>
      </c>
      <c r="J740">
        <v>1</v>
      </c>
      <c r="K740">
        <v>0</v>
      </c>
      <c r="L740">
        <f t="shared" si="44"/>
        <v>25</v>
      </c>
      <c r="M740">
        <f t="shared" si="45"/>
        <v>300</v>
      </c>
      <c r="N740">
        <f t="shared" si="46"/>
        <v>283</v>
      </c>
      <c r="O740">
        <f t="shared" si="47"/>
        <v>2040.5833333333333</v>
      </c>
    </row>
    <row r="741" spans="1:15" x14ac:dyDescent="0.2">
      <c r="A741" t="s">
        <v>19</v>
      </c>
      <c r="B741">
        <v>9</v>
      </c>
      <c r="C741">
        <v>40</v>
      </c>
      <c r="D741">
        <v>19</v>
      </c>
      <c r="E741">
        <v>1</v>
      </c>
      <c r="F741">
        <v>38</v>
      </c>
      <c r="G741">
        <v>2233801</v>
      </c>
      <c r="H741">
        <v>0</v>
      </c>
      <c r="I741">
        <v>1</v>
      </c>
      <c r="J741">
        <v>1</v>
      </c>
      <c r="K741">
        <v>0</v>
      </c>
      <c r="L741">
        <f t="shared" si="44"/>
        <v>25</v>
      </c>
      <c r="M741">
        <f t="shared" si="45"/>
        <v>300</v>
      </c>
      <c r="N741">
        <f t="shared" si="46"/>
        <v>281</v>
      </c>
      <c r="O741">
        <f t="shared" si="47"/>
        <v>2040.4166666666667</v>
      </c>
    </row>
    <row r="742" spans="1:15" x14ac:dyDescent="0.2">
      <c r="A742" t="s">
        <v>19</v>
      </c>
      <c r="B742">
        <v>9</v>
      </c>
      <c r="C742">
        <v>40</v>
      </c>
      <c r="D742">
        <v>20</v>
      </c>
      <c r="E742">
        <v>12</v>
      </c>
      <c r="F742">
        <v>38</v>
      </c>
      <c r="G742">
        <v>2233001</v>
      </c>
      <c r="H742">
        <v>0</v>
      </c>
      <c r="I742">
        <v>1</v>
      </c>
      <c r="J742">
        <v>1</v>
      </c>
      <c r="K742">
        <v>0</v>
      </c>
      <c r="L742">
        <f t="shared" si="44"/>
        <v>25</v>
      </c>
      <c r="M742">
        <f t="shared" si="45"/>
        <v>300</v>
      </c>
      <c r="N742">
        <f t="shared" si="46"/>
        <v>280</v>
      </c>
      <c r="O742">
        <f t="shared" si="47"/>
        <v>2040.3333333333333</v>
      </c>
    </row>
    <row r="743" spans="1:15" x14ac:dyDescent="0.2">
      <c r="A743" t="s">
        <v>19</v>
      </c>
      <c r="B743">
        <v>9</v>
      </c>
      <c r="C743">
        <v>40</v>
      </c>
      <c r="D743">
        <v>21</v>
      </c>
      <c r="E743">
        <v>4</v>
      </c>
      <c r="F743">
        <v>38</v>
      </c>
      <c r="G743">
        <v>2223402</v>
      </c>
      <c r="H743">
        <v>0</v>
      </c>
      <c r="I743">
        <v>1</v>
      </c>
      <c r="J743">
        <v>1</v>
      </c>
      <c r="K743">
        <v>0</v>
      </c>
      <c r="L743">
        <f t="shared" si="44"/>
        <v>25</v>
      </c>
      <c r="M743">
        <f t="shared" si="45"/>
        <v>300</v>
      </c>
      <c r="N743">
        <f t="shared" si="46"/>
        <v>279</v>
      </c>
      <c r="O743">
        <f t="shared" si="47"/>
        <v>2040.25</v>
      </c>
    </row>
    <row r="744" spans="1:15" x14ac:dyDescent="0.2">
      <c r="A744" t="s">
        <v>19</v>
      </c>
      <c r="B744">
        <v>9</v>
      </c>
      <c r="C744">
        <v>40</v>
      </c>
      <c r="D744">
        <v>21</v>
      </c>
      <c r="E744">
        <v>12</v>
      </c>
      <c r="F744">
        <v>37</v>
      </c>
      <c r="G744">
        <v>2222601</v>
      </c>
      <c r="H744">
        <v>0</v>
      </c>
      <c r="I744">
        <v>1</v>
      </c>
      <c r="J744">
        <v>1</v>
      </c>
      <c r="K744">
        <v>0</v>
      </c>
      <c r="L744">
        <f t="shared" si="44"/>
        <v>25</v>
      </c>
      <c r="M744">
        <f t="shared" si="45"/>
        <v>300</v>
      </c>
      <c r="N744">
        <f t="shared" si="46"/>
        <v>279</v>
      </c>
      <c r="O744">
        <f t="shared" si="47"/>
        <v>2040.25</v>
      </c>
    </row>
    <row r="745" spans="1:15" x14ac:dyDescent="0.2">
      <c r="A745" t="s">
        <v>19</v>
      </c>
      <c r="B745">
        <v>9</v>
      </c>
      <c r="C745">
        <v>40</v>
      </c>
      <c r="D745">
        <v>22</v>
      </c>
      <c r="E745">
        <v>1</v>
      </c>
      <c r="F745">
        <v>36</v>
      </c>
      <c r="G745">
        <v>2218501</v>
      </c>
      <c r="H745">
        <v>0</v>
      </c>
      <c r="I745">
        <v>1</v>
      </c>
      <c r="J745">
        <v>1</v>
      </c>
      <c r="K745">
        <v>0</v>
      </c>
      <c r="L745">
        <f t="shared" si="44"/>
        <v>25</v>
      </c>
      <c r="M745">
        <f t="shared" si="45"/>
        <v>300</v>
      </c>
      <c r="N745">
        <f t="shared" si="46"/>
        <v>278</v>
      </c>
      <c r="O745">
        <f t="shared" si="47"/>
        <v>2040.1666666666667</v>
      </c>
    </row>
    <row r="746" spans="1:15" x14ac:dyDescent="0.2">
      <c r="A746" t="s">
        <v>19</v>
      </c>
      <c r="B746">
        <v>9</v>
      </c>
      <c r="C746">
        <v>40</v>
      </c>
      <c r="D746">
        <v>29</v>
      </c>
      <c r="E746">
        <v>2</v>
      </c>
      <c r="F746">
        <v>40</v>
      </c>
      <c r="G746">
        <v>321203</v>
      </c>
      <c r="H746">
        <v>0</v>
      </c>
      <c r="I746">
        <v>1</v>
      </c>
      <c r="J746">
        <v>1</v>
      </c>
      <c r="K746">
        <v>0</v>
      </c>
      <c r="L746">
        <f t="shared" si="44"/>
        <v>25</v>
      </c>
      <c r="M746">
        <f t="shared" si="45"/>
        <v>300</v>
      </c>
      <c r="N746">
        <f t="shared" si="46"/>
        <v>271</v>
      </c>
      <c r="O746">
        <f t="shared" si="47"/>
        <v>2039.5833333333333</v>
      </c>
    </row>
    <row r="747" spans="1:15" x14ac:dyDescent="0.2">
      <c r="A747" t="s">
        <v>19</v>
      </c>
      <c r="B747">
        <v>9</v>
      </c>
      <c r="C747">
        <v>40</v>
      </c>
      <c r="D747">
        <v>29</v>
      </c>
      <c r="E747">
        <v>12</v>
      </c>
      <c r="F747">
        <v>39</v>
      </c>
      <c r="G747">
        <v>2187901</v>
      </c>
      <c r="H747">
        <v>0</v>
      </c>
      <c r="I747">
        <v>1</v>
      </c>
      <c r="J747">
        <v>1</v>
      </c>
      <c r="K747">
        <v>0</v>
      </c>
      <c r="L747">
        <f t="shared" si="44"/>
        <v>25</v>
      </c>
      <c r="M747">
        <f t="shared" si="45"/>
        <v>300</v>
      </c>
      <c r="N747">
        <f t="shared" si="46"/>
        <v>271</v>
      </c>
      <c r="O747">
        <f t="shared" si="47"/>
        <v>2039.5833333333333</v>
      </c>
    </row>
    <row r="748" spans="1:15" x14ac:dyDescent="0.2">
      <c r="A748" t="s">
        <v>19</v>
      </c>
      <c r="B748">
        <v>9</v>
      </c>
      <c r="C748">
        <v>40</v>
      </c>
      <c r="D748">
        <v>32</v>
      </c>
      <c r="E748">
        <v>1</v>
      </c>
      <c r="F748">
        <v>38</v>
      </c>
      <c r="G748">
        <v>2173601</v>
      </c>
      <c r="H748">
        <v>0</v>
      </c>
      <c r="I748">
        <v>1</v>
      </c>
      <c r="J748">
        <v>1</v>
      </c>
      <c r="K748">
        <v>0</v>
      </c>
      <c r="L748">
        <f t="shared" si="44"/>
        <v>25</v>
      </c>
      <c r="M748">
        <f t="shared" si="45"/>
        <v>300</v>
      </c>
      <c r="N748">
        <f t="shared" si="46"/>
        <v>268</v>
      </c>
      <c r="O748">
        <f t="shared" si="47"/>
        <v>2039.3333333333333</v>
      </c>
    </row>
    <row r="749" spans="1:15" x14ac:dyDescent="0.2">
      <c r="A749" t="s">
        <v>19</v>
      </c>
      <c r="B749">
        <v>9</v>
      </c>
      <c r="C749">
        <v>40</v>
      </c>
      <c r="D749">
        <v>38</v>
      </c>
      <c r="E749">
        <v>1</v>
      </c>
      <c r="F749">
        <v>40</v>
      </c>
      <c r="G749">
        <v>2137601</v>
      </c>
      <c r="H749">
        <v>1</v>
      </c>
      <c r="I749">
        <v>0</v>
      </c>
      <c r="J749">
        <v>1</v>
      </c>
      <c r="K749">
        <v>0</v>
      </c>
      <c r="L749">
        <f t="shared" si="44"/>
        <v>25</v>
      </c>
      <c r="M749">
        <f t="shared" si="45"/>
        <v>300</v>
      </c>
      <c r="N749">
        <f t="shared" si="46"/>
        <v>262</v>
      </c>
      <c r="O749">
        <f t="shared" si="47"/>
        <v>2038.8333333333333</v>
      </c>
    </row>
    <row r="750" spans="1:15" x14ac:dyDescent="0.2">
      <c r="A750" t="s">
        <v>19</v>
      </c>
      <c r="B750">
        <v>9</v>
      </c>
      <c r="C750">
        <v>40</v>
      </c>
      <c r="D750">
        <v>42</v>
      </c>
      <c r="E750">
        <v>4</v>
      </c>
      <c r="F750">
        <v>34</v>
      </c>
      <c r="G750">
        <v>2122401</v>
      </c>
      <c r="H750">
        <v>0</v>
      </c>
      <c r="I750">
        <v>1</v>
      </c>
      <c r="J750">
        <v>1</v>
      </c>
      <c r="K750">
        <v>0</v>
      </c>
      <c r="L750">
        <f t="shared" si="44"/>
        <v>25</v>
      </c>
      <c r="M750">
        <f t="shared" si="45"/>
        <v>300</v>
      </c>
      <c r="N750">
        <f t="shared" si="46"/>
        <v>258</v>
      </c>
      <c r="O750">
        <f t="shared" si="47"/>
        <v>2038.5</v>
      </c>
    </row>
    <row r="751" spans="1:15" x14ac:dyDescent="0.2">
      <c r="A751" t="s">
        <v>19</v>
      </c>
      <c r="B751">
        <v>9</v>
      </c>
      <c r="C751">
        <v>40</v>
      </c>
      <c r="D751">
        <v>44</v>
      </c>
      <c r="E751">
        <v>2</v>
      </c>
      <c r="F751">
        <v>38</v>
      </c>
      <c r="G751">
        <v>2109401</v>
      </c>
      <c r="H751">
        <v>0</v>
      </c>
      <c r="I751">
        <v>1</v>
      </c>
      <c r="J751">
        <v>1</v>
      </c>
      <c r="K751">
        <v>0</v>
      </c>
      <c r="L751">
        <f t="shared" si="44"/>
        <v>25</v>
      </c>
      <c r="M751">
        <f t="shared" si="45"/>
        <v>300</v>
      </c>
      <c r="N751">
        <f t="shared" si="46"/>
        <v>256</v>
      </c>
      <c r="O751">
        <f t="shared" si="47"/>
        <v>2038.3333333333333</v>
      </c>
    </row>
    <row r="752" spans="1:15" x14ac:dyDescent="0.2">
      <c r="A752" t="s">
        <v>19</v>
      </c>
      <c r="B752">
        <v>9</v>
      </c>
      <c r="C752">
        <v>40</v>
      </c>
      <c r="D752">
        <v>44</v>
      </c>
      <c r="E752">
        <v>12</v>
      </c>
      <c r="F752">
        <v>37</v>
      </c>
      <c r="G752">
        <v>2112002</v>
      </c>
      <c r="H752">
        <v>0</v>
      </c>
      <c r="I752">
        <v>1</v>
      </c>
      <c r="J752">
        <v>1</v>
      </c>
      <c r="K752">
        <v>0</v>
      </c>
      <c r="L752">
        <f t="shared" si="44"/>
        <v>25</v>
      </c>
      <c r="M752">
        <f t="shared" si="45"/>
        <v>300</v>
      </c>
      <c r="N752">
        <f t="shared" si="46"/>
        <v>256</v>
      </c>
      <c r="O752">
        <f t="shared" si="47"/>
        <v>2038.3333333333333</v>
      </c>
    </row>
    <row r="753" spans="1:15" x14ac:dyDescent="0.2">
      <c r="A753" t="s">
        <v>19</v>
      </c>
      <c r="B753">
        <v>9</v>
      </c>
      <c r="C753">
        <v>40</v>
      </c>
      <c r="D753">
        <v>46</v>
      </c>
      <c r="E753">
        <v>1</v>
      </c>
      <c r="F753">
        <v>39</v>
      </c>
      <c r="G753">
        <v>2100901</v>
      </c>
      <c r="H753">
        <v>1</v>
      </c>
      <c r="I753">
        <v>0</v>
      </c>
      <c r="J753">
        <v>1</v>
      </c>
      <c r="K753">
        <v>0</v>
      </c>
      <c r="L753">
        <f t="shared" si="44"/>
        <v>25</v>
      </c>
      <c r="M753">
        <f t="shared" si="45"/>
        <v>300</v>
      </c>
      <c r="N753">
        <f t="shared" si="46"/>
        <v>254</v>
      </c>
      <c r="O753">
        <f t="shared" si="47"/>
        <v>2038.1666666666667</v>
      </c>
    </row>
    <row r="754" spans="1:15" x14ac:dyDescent="0.2">
      <c r="A754" t="s">
        <v>19</v>
      </c>
      <c r="B754">
        <v>9</v>
      </c>
      <c r="C754">
        <v>40</v>
      </c>
      <c r="D754">
        <v>48</v>
      </c>
      <c r="E754">
        <v>1</v>
      </c>
      <c r="F754">
        <v>40</v>
      </c>
      <c r="G754">
        <v>2091901</v>
      </c>
      <c r="H754">
        <v>1</v>
      </c>
      <c r="I754">
        <v>0</v>
      </c>
      <c r="J754">
        <v>1</v>
      </c>
      <c r="K754">
        <v>0</v>
      </c>
      <c r="L754">
        <f t="shared" si="44"/>
        <v>25</v>
      </c>
      <c r="M754">
        <f t="shared" si="45"/>
        <v>300</v>
      </c>
      <c r="N754">
        <f t="shared" si="46"/>
        <v>252</v>
      </c>
      <c r="O754">
        <f t="shared" si="47"/>
        <v>2038</v>
      </c>
    </row>
    <row r="755" spans="1:15" x14ac:dyDescent="0.2">
      <c r="A755" t="s">
        <v>19</v>
      </c>
      <c r="B755">
        <v>9</v>
      </c>
      <c r="C755">
        <v>40</v>
      </c>
      <c r="D755">
        <v>49</v>
      </c>
      <c r="E755">
        <v>1</v>
      </c>
      <c r="F755">
        <v>36</v>
      </c>
      <c r="G755">
        <v>2089201</v>
      </c>
      <c r="H755">
        <v>0</v>
      </c>
      <c r="I755">
        <v>1</v>
      </c>
      <c r="J755">
        <v>1</v>
      </c>
      <c r="K755">
        <v>0</v>
      </c>
      <c r="L755">
        <f t="shared" si="44"/>
        <v>25</v>
      </c>
      <c r="M755">
        <f t="shared" si="45"/>
        <v>300</v>
      </c>
      <c r="N755">
        <f t="shared" si="46"/>
        <v>251</v>
      </c>
      <c r="O755">
        <f t="shared" si="47"/>
        <v>2037.9166666666667</v>
      </c>
    </row>
    <row r="756" spans="1:15" x14ac:dyDescent="0.2">
      <c r="A756" t="s">
        <v>19</v>
      </c>
      <c r="B756">
        <v>9</v>
      </c>
      <c r="C756">
        <v>40</v>
      </c>
      <c r="D756">
        <v>52</v>
      </c>
      <c r="E756">
        <v>2</v>
      </c>
      <c r="F756">
        <v>40</v>
      </c>
      <c r="G756">
        <v>2074501</v>
      </c>
      <c r="H756">
        <v>1</v>
      </c>
      <c r="I756">
        <v>0</v>
      </c>
      <c r="J756">
        <v>1</v>
      </c>
      <c r="K756">
        <v>0</v>
      </c>
      <c r="L756">
        <f t="shared" si="44"/>
        <v>25</v>
      </c>
      <c r="M756">
        <f t="shared" si="45"/>
        <v>300</v>
      </c>
      <c r="N756">
        <f t="shared" si="46"/>
        <v>248</v>
      </c>
      <c r="O756">
        <f t="shared" si="47"/>
        <v>2037.6666666666667</v>
      </c>
    </row>
    <row r="757" spans="1:15" x14ac:dyDescent="0.2">
      <c r="A757" t="s">
        <v>19</v>
      </c>
      <c r="B757">
        <v>9</v>
      </c>
      <c r="C757">
        <v>40</v>
      </c>
      <c r="D757">
        <v>53</v>
      </c>
      <c r="E757">
        <v>1</v>
      </c>
      <c r="F757">
        <v>36</v>
      </c>
      <c r="G757">
        <v>2067001</v>
      </c>
      <c r="H757">
        <v>0</v>
      </c>
      <c r="I757">
        <v>1</v>
      </c>
      <c r="J757">
        <v>1</v>
      </c>
      <c r="K757">
        <v>0</v>
      </c>
      <c r="L757">
        <f t="shared" si="44"/>
        <v>25</v>
      </c>
      <c r="M757">
        <f t="shared" si="45"/>
        <v>300</v>
      </c>
      <c r="N757">
        <f t="shared" si="46"/>
        <v>247</v>
      </c>
      <c r="O757">
        <f t="shared" si="47"/>
        <v>2037.5833333333333</v>
      </c>
    </row>
    <row r="758" spans="1:15" x14ac:dyDescent="0.2">
      <c r="A758" t="s">
        <v>19</v>
      </c>
      <c r="B758">
        <v>9</v>
      </c>
      <c r="C758">
        <v>40</v>
      </c>
      <c r="D758">
        <v>53</v>
      </c>
      <c r="E758">
        <v>2</v>
      </c>
      <c r="F758">
        <v>36</v>
      </c>
      <c r="G758">
        <v>2064301</v>
      </c>
      <c r="H758">
        <v>0</v>
      </c>
      <c r="I758">
        <v>1</v>
      </c>
      <c r="J758">
        <v>1</v>
      </c>
      <c r="K758">
        <v>0</v>
      </c>
      <c r="L758">
        <f t="shared" si="44"/>
        <v>25</v>
      </c>
      <c r="M758">
        <f t="shared" si="45"/>
        <v>300</v>
      </c>
      <c r="N758">
        <f t="shared" si="46"/>
        <v>247</v>
      </c>
      <c r="O758">
        <f t="shared" si="47"/>
        <v>2037.5833333333333</v>
      </c>
    </row>
    <row r="759" spans="1:15" x14ac:dyDescent="0.2">
      <c r="A759" t="s">
        <v>19</v>
      </c>
      <c r="B759">
        <v>9</v>
      </c>
      <c r="C759">
        <v>40</v>
      </c>
      <c r="D759">
        <v>54</v>
      </c>
      <c r="E759">
        <v>1</v>
      </c>
      <c r="F759">
        <v>33</v>
      </c>
      <c r="G759">
        <v>2061101</v>
      </c>
      <c r="H759">
        <v>0</v>
      </c>
      <c r="I759">
        <v>1</v>
      </c>
      <c r="J759">
        <v>1</v>
      </c>
      <c r="K759">
        <v>0</v>
      </c>
      <c r="L759">
        <f t="shared" si="44"/>
        <v>25</v>
      </c>
      <c r="M759">
        <f t="shared" si="45"/>
        <v>300</v>
      </c>
      <c r="N759">
        <f t="shared" si="46"/>
        <v>246</v>
      </c>
      <c r="O759">
        <f t="shared" si="47"/>
        <v>2037.5</v>
      </c>
    </row>
    <row r="760" spans="1:15" x14ac:dyDescent="0.2">
      <c r="A760" t="s">
        <v>19</v>
      </c>
      <c r="B760">
        <v>9</v>
      </c>
      <c r="C760">
        <v>40</v>
      </c>
      <c r="D760">
        <v>56</v>
      </c>
      <c r="E760">
        <v>1</v>
      </c>
      <c r="F760">
        <v>40</v>
      </c>
      <c r="G760">
        <v>2045301</v>
      </c>
      <c r="H760">
        <v>0</v>
      </c>
      <c r="I760">
        <v>1</v>
      </c>
      <c r="J760">
        <v>1</v>
      </c>
      <c r="K760">
        <v>0</v>
      </c>
      <c r="L760">
        <f t="shared" si="44"/>
        <v>25</v>
      </c>
      <c r="M760">
        <f t="shared" si="45"/>
        <v>300</v>
      </c>
      <c r="N760">
        <f t="shared" si="46"/>
        <v>244</v>
      </c>
      <c r="O760">
        <f t="shared" si="47"/>
        <v>2037.3333333333333</v>
      </c>
    </row>
    <row r="761" spans="1:15" x14ac:dyDescent="0.2">
      <c r="A761" t="s">
        <v>19</v>
      </c>
      <c r="B761">
        <v>9</v>
      </c>
      <c r="C761">
        <v>40</v>
      </c>
      <c r="D761">
        <v>56</v>
      </c>
      <c r="E761">
        <v>1</v>
      </c>
      <c r="F761">
        <v>40</v>
      </c>
      <c r="G761">
        <v>2046401</v>
      </c>
      <c r="H761">
        <v>0</v>
      </c>
      <c r="I761">
        <v>1</v>
      </c>
      <c r="J761">
        <v>1</v>
      </c>
      <c r="K761">
        <v>0</v>
      </c>
      <c r="L761">
        <f t="shared" si="44"/>
        <v>25</v>
      </c>
      <c r="M761">
        <f t="shared" si="45"/>
        <v>300</v>
      </c>
      <c r="N761">
        <f t="shared" si="46"/>
        <v>244</v>
      </c>
      <c r="O761">
        <f t="shared" si="47"/>
        <v>2037.3333333333333</v>
      </c>
    </row>
    <row r="762" spans="1:15" x14ac:dyDescent="0.2">
      <c r="A762" t="s">
        <v>19</v>
      </c>
      <c r="B762">
        <v>9</v>
      </c>
      <c r="C762">
        <v>40</v>
      </c>
      <c r="D762">
        <v>62</v>
      </c>
      <c r="E762">
        <v>12</v>
      </c>
      <c r="F762">
        <v>35</v>
      </c>
      <c r="G762">
        <v>213602</v>
      </c>
      <c r="H762">
        <v>0</v>
      </c>
      <c r="I762">
        <v>1</v>
      </c>
      <c r="J762">
        <v>1</v>
      </c>
      <c r="K762">
        <v>0</v>
      </c>
      <c r="L762">
        <f t="shared" si="44"/>
        <v>25</v>
      </c>
      <c r="M762">
        <f t="shared" si="45"/>
        <v>300</v>
      </c>
      <c r="N762">
        <f t="shared" si="46"/>
        <v>238</v>
      </c>
      <c r="O762">
        <f t="shared" si="47"/>
        <v>2036.8333333333333</v>
      </c>
    </row>
    <row r="763" spans="1:15" x14ac:dyDescent="0.2">
      <c r="A763" t="s">
        <v>19</v>
      </c>
      <c r="B763">
        <v>9</v>
      </c>
      <c r="C763">
        <v>40</v>
      </c>
      <c r="D763">
        <v>70</v>
      </c>
      <c r="E763">
        <v>1</v>
      </c>
      <c r="F763">
        <v>39</v>
      </c>
      <c r="G763">
        <v>1995701</v>
      </c>
      <c r="H763">
        <v>0</v>
      </c>
      <c r="I763">
        <v>1</v>
      </c>
      <c r="J763">
        <v>1</v>
      </c>
      <c r="K763">
        <v>0</v>
      </c>
      <c r="L763">
        <f t="shared" si="44"/>
        <v>25</v>
      </c>
      <c r="M763">
        <f t="shared" si="45"/>
        <v>300</v>
      </c>
      <c r="N763">
        <f t="shared" si="46"/>
        <v>230</v>
      </c>
      <c r="O763">
        <f t="shared" si="47"/>
        <v>2036.1666666666667</v>
      </c>
    </row>
    <row r="764" spans="1:15" x14ac:dyDescent="0.2">
      <c r="A764" t="s">
        <v>19</v>
      </c>
      <c r="B764">
        <v>9</v>
      </c>
      <c r="C764">
        <v>40</v>
      </c>
      <c r="D764">
        <v>74</v>
      </c>
      <c r="E764">
        <v>2</v>
      </c>
      <c r="F764">
        <v>37</v>
      </c>
      <c r="G764">
        <v>1982601</v>
      </c>
      <c r="H764">
        <v>0</v>
      </c>
      <c r="I764">
        <v>1</v>
      </c>
      <c r="J764">
        <v>1</v>
      </c>
      <c r="K764">
        <v>0</v>
      </c>
      <c r="L764">
        <f t="shared" si="44"/>
        <v>25</v>
      </c>
      <c r="M764">
        <f t="shared" si="45"/>
        <v>300</v>
      </c>
      <c r="N764">
        <f t="shared" si="46"/>
        <v>226</v>
      </c>
      <c r="O764">
        <f t="shared" si="47"/>
        <v>2035.8333333333333</v>
      </c>
    </row>
    <row r="765" spans="1:15" x14ac:dyDescent="0.2">
      <c r="A765" t="s">
        <v>19</v>
      </c>
      <c r="B765">
        <v>9</v>
      </c>
      <c r="C765">
        <v>40</v>
      </c>
      <c r="D765">
        <v>77</v>
      </c>
      <c r="E765">
        <v>2</v>
      </c>
      <c r="F765">
        <v>37</v>
      </c>
      <c r="G765">
        <v>1975501</v>
      </c>
      <c r="H765">
        <v>0</v>
      </c>
      <c r="I765">
        <v>1</v>
      </c>
      <c r="J765">
        <v>1</v>
      </c>
      <c r="K765">
        <v>0</v>
      </c>
      <c r="L765">
        <f t="shared" si="44"/>
        <v>25</v>
      </c>
      <c r="M765">
        <f t="shared" si="45"/>
        <v>300</v>
      </c>
      <c r="N765">
        <f t="shared" si="46"/>
        <v>223</v>
      </c>
      <c r="O765">
        <f t="shared" si="47"/>
        <v>2035.5833333333333</v>
      </c>
    </row>
    <row r="766" spans="1:15" x14ac:dyDescent="0.2">
      <c r="A766" t="s">
        <v>19</v>
      </c>
      <c r="B766">
        <v>9</v>
      </c>
      <c r="C766">
        <v>40</v>
      </c>
      <c r="D766">
        <v>88</v>
      </c>
      <c r="E766">
        <v>2</v>
      </c>
      <c r="F766">
        <v>40</v>
      </c>
      <c r="G766">
        <v>1934901</v>
      </c>
      <c r="H766">
        <v>0</v>
      </c>
      <c r="I766">
        <v>1</v>
      </c>
      <c r="J766">
        <v>1</v>
      </c>
      <c r="K766">
        <v>0</v>
      </c>
      <c r="L766">
        <f t="shared" si="44"/>
        <v>25</v>
      </c>
      <c r="M766">
        <f t="shared" si="45"/>
        <v>300</v>
      </c>
      <c r="N766">
        <f t="shared" si="46"/>
        <v>212</v>
      </c>
      <c r="O766">
        <f t="shared" si="47"/>
        <v>2034.6666666666667</v>
      </c>
    </row>
    <row r="767" spans="1:15" x14ac:dyDescent="0.2">
      <c r="A767" t="s">
        <v>19</v>
      </c>
      <c r="B767">
        <v>9</v>
      </c>
      <c r="C767">
        <v>40</v>
      </c>
      <c r="D767">
        <v>93</v>
      </c>
      <c r="E767">
        <v>1</v>
      </c>
      <c r="F767">
        <v>39</v>
      </c>
      <c r="G767">
        <v>1903501</v>
      </c>
      <c r="H767">
        <v>1</v>
      </c>
      <c r="I767">
        <v>0</v>
      </c>
      <c r="J767">
        <v>1</v>
      </c>
      <c r="K767">
        <v>0</v>
      </c>
      <c r="L767">
        <f t="shared" si="44"/>
        <v>25</v>
      </c>
      <c r="M767">
        <f t="shared" si="45"/>
        <v>300</v>
      </c>
      <c r="N767">
        <f t="shared" si="46"/>
        <v>207</v>
      </c>
      <c r="O767">
        <f t="shared" si="47"/>
        <v>2034.25</v>
      </c>
    </row>
    <row r="768" spans="1:15" x14ac:dyDescent="0.2">
      <c r="A768" t="s">
        <v>19</v>
      </c>
      <c r="B768">
        <v>9</v>
      </c>
      <c r="C768">
        <v>40</v>
      </c>
      <c r="D768">
        <v>95</v>
      </c>
      <c r="E768">
        <v>2</v>
      </c>
      <c r="F768">
        <v>37</v>
      </c>
      <c r="G768">
        <v>1886601</v>
      </c>
      <c r="H768">
        <v>1</v>
      </c>
      <c r="I768">
        <v>0</v>
      </c>
      <c r="J768">
        <v>1</v>
      </c>
      <c r="K768">
        <v>0</v>
      </c>
      <c r="L768">
        <f t="shared" si="44"/>
        <v>25</v>
      </c>
      <c r="M768">
        <f t="shared" si="45"/>
        <v>300</v>
      </c>
      <c r="N768">
        <f t="shared" si="46"/>
        <v>205</v>
      </c>
      <c r="O768">
        <f t="shared" si="47"/>
        <v>2034.0833333333333</v>
      </c>
    </row>
    <row r="769" spans="1:15" x14ac:dyDescent="0.2">
      <c r="A769" t="s">
        <v>19</v>
      </c>
      <c r="B769">
        <v>9</v>
      </c>
      <c r="C769">
        <v>40</v>
      </c>
      <c r="D769">
        <v>96</v>
      </c>
      <c r="E769">
        <v>2</v>
      </c>
      <c r="F769">
        <v>35</v>
      </c>
      <c r="G769">
        <v>1871701</v>
      </c>
      <c r="H769">
        <v>0</v>
      </c>
      <c r="I769">
        <v>1</v>
      </c>
      <c r="J769">
        <v>1</v>
      </c>
      <c r="K769">
        <v>0</v>
      </c>
      <c r="L769">
        <f t="shared" si="44"/>
        <v>25</v>
      </c>
      <c r="M769">
        <f t="shared" si="45"/>
        <v>300</v>
      </c>
      <c r="N769">
        <f t="shared" si="46"/>
        <v>204</v>
      </c>
      <c r="O769">
        <f t="shared" si="47"/>
        <v>2034</v>
      </c>
    </row>
    <row r="770" spans="1:15" x14ac:dyDescent="0.2">
      <c r="A770" t="s">
        <v>19</v>
      </c>
      <c r="B770">
        <v>9</v>
      </c>
      <c r="C770">
        <v>40</v>
      </c>
      <c r="D770">
        <v>102</v>
      </c>
      <c r="E770">
        <v>1</v>
      </c>
      <c r="F770">
        <v>39</v>
      </c>
      <c r="G770">
        <v>1824401</v>
      </c>
      <c r="H770">
        <v>0</v>
      </c>
      <c r="I770">
        <v>1</v>
      </c>
      <c r="J770">
        <v>1</v>
      </c>
      <c r="K770">
        <v>0</v>
      </c>
      <c r="L770">
        <f t="shared" si="44"/>
        <v>25</v>
      </c>
      <c r="M770">
        <f t="shared" si="45"/>
        <v>300</v>
      </c>
      <c r="N770">
        <f t="shared" si="46"/>
        <v>198</v>
      </c>
      <c r="O770">
        <f t="shared" si="47"/>
        <v>2033.5</v>
      </c>
    </row>
    <row r="771" spans="1:15" x14ac:dyDescent="0.2">
      <c r="A771" t="s">
        <v>19</v>
      </c>
      <c r="B771">
        <v>9</v>
      </c>
      <c r="C771">
        <v>40</v>
      </c>
      <c r="D771">
        <v>108</v>
      </c>
      <c r="E771">
        <v>1</v>
      </c>
      <c r="F771">
        <v>36</v>
      </c>
      <c r="G771">
        <v>1754601</v>
      </c>
      <c r="H771">
        <v>0</v>
      </c>
      <c r="I771">
        <v>1</v>
      </c>
      <c r="J771">
        <v>1</v>
      </c>
      <c r="K771">
        <v>0</v>
      </c>
      <c r="L771">
        <f t="shared" si="44"/>
        <v>25</v>
      </c>
      <c r="M771">
        <f t="shared" si="45"/>
        <v>300</v>
      </c>
      <c r="N771">
        <f t="shared" si="46"/>
        <v>192</v>
      </c>
      <c r="O771">
        <f t="shared" si="47"/>
        <v>2033</v>
      </c>
    </row>
    <row r="772" spans="1:15" x14ac:dyDescent="0.2">
      <c r="A772" t="s">
        <v>19</v>
      </c>
      <c r="B772">
        <v>9</v>
      </c>
      <c r="C772">
        <v>40</v>
      </c>
      <c r="D772">
        <v>109</v>
      </c>
      <c r="E772">
        <v>2</v>
      </c>
      <c r="F772">
        <v>39</v>
      </c>
      <c r="G772">
        <v>1727801</v>
      </c>
      <c r="H772">
        <v>0</v>
      </c>
      <c r="I772">
        <v>1</v>
      </c>
      <c r="J772">
        <v>1</v>
      </c>
      <c r="K772">
        <v>0</v>
      </c>
      <c r="L772">
        <f t="shared" si="44"/>
        <v>25</v>
      </c>
      <c r="M772">
        <f t="shared" si="45"/>
        <v>300</v>
      </c>
      <c r="N772">
        <f t="shared" si="46"/>
        <v>191</v>
      </c>
      <c r="O772">
        <f t="shared" si="47"/>
        <v>2032.9166666666667</v>
      </c>
    </row>
    <row r="773" spans="1:15" x14ac:dyDescent="0.2">
      <c r="A773" t="s">
        <v>19</v>
      </c>
      <c r="B773">
        <v>9</v>
      </c>
      <c r="C773">
        <v>40</v>
      </c>
      <c r="D773">
        <v>110</v>
      </c>
      <c r="E773">
        <v>1</v>
      </c>
      <c r="F773">
        <v>37</v>
      </c>
      <c r="G773">
        <v>1724501</v>
      </c>
      <c r="H773">
        <v>0</v>
      </c>
      <c r="I773">
        <v>1</v>
      </c>
      <c r="J773">
        <v>1</v>
      </c>
      <c r="K773">
        <v>0</v>
      </c>
      <c r="L773">
        <f t="shared" si="44"/>
        <v>25</v>
      </c>
      <c r="M773">
        <f t="shared" si="45"/>
        <v>300</v>
      </c>
      <c r="N773">
        <f t="shared" si="46"/>
        <v>190</v>
      </c>
      <c r="O773">
        <f t="shared" si="47"/>
        <v>2032.8333333333333</v>
      </c>
    </row>
    <row r="774" spans="1:15" x14ac:dyDescent="0.2">
      <c r="A774" t="s">
        <v>19</v>
      </c>
      <c r="B774">
        <v>9</v>
      </c>
      <c r="C774">
        <v>40</v>
      </c>
      <c r="D774">
        <v>110</v>
      </c>
      <c r="E774">
        <v>2</v>
      </c>
      <c r="F774">
        <v>39</v>
      </c>
      <c r="G774">
        <v>1712701</v>
      </c>
      <c r="H774">
        <v>0</v>
      </c>
      <c r="I774">
        <v>1</v>
      </c>
      <c r="J774">
        <v>1</v>
      </c>
      <c r="K774">
        <v>0</v>
      </c>
      <c r="L774">
        <f t="shared" si="44"/>
        <v>25</v>
      </c>
      <c r="M774">
        <f t="shared" si="45"/>
        <v>300</v>
      </c>
      <c r="N774">
        <f t="shared" si="46"/>
        <v>190</v>
      </c>
      <c r="O774">
        <f t="shared" si="47"/>
        <v>2032.8333333333333</v>
      </c>
    </row>
    <row r="775" spans="1:15" x14ac:dyDescent="0.2">
      <c r="A775" t="s">
        <v>19</v>
      </c>
      <c r="B775">
        <v>9</v>
      </c>
      <c r="C775">
        <v>40</v>
      </c>
      <c r="D775">
        <v>116</v>
      </c>
      <c r="E775">
        <v>1</v>
      </c>
      <c r="F775">
        <v>37</v>
      </c>
      <c r="G775">
        <v>1660301</v>
      </c>
      <c r="H775">
        <v>0</v>
      </c>
      <c r="I775">
        <v>1</v>
      </c>
      <c r="J775">
        <v>1</v>
      </c>
      <c r="K775">
        <v>0</v>
      </c>
      <c r="L775">
        <f t="shared" ref="L775:L838" si="48">65-C775</f>
        <v>25</v>
      </c>
      <c r="M775">
        <f t="shared" ref="M775:M838" si="49">L775*12</f>
        <v>300</v>
      </c>
      <c r="N775">
        <f t="shared" ref="N775:N838" si="50">M775-D775</f>
        <v>184</v>
      </c>
      <c r="O775">
        <f t="shared" ref="O775:O838" si="51">2017+N775/12</f>
        <v>2032.3333333333333</v>
      </c>
    </row>
    <row r="776" spans="1:15" x14ac:dyDescent="0.2">
      <c r="A776" t="s">
        <v>19</v>
      </c>
      <c r="B776">
        <v>9</v>
      </c>
      <c r="C776">
        <v>40</v>
      </c>
      <c r="D776">
        <v>116</v>
      </c>
      <c r="E776">
        <v>2</v>
      </c>
      <c r="F776">
        <v>38</v>
      </c>
      <c r="G776">
        <v>1666401</v>
      </c>
      <c r="H776">
        <v>0</v>
      </c>
      <c r="I776">
        <v>1</v>
      </c>
      <c r="J776">
        <v>1</v>
      </c>
      <c r="K776">
        <v>0</v>
      </c>
      <c r="L776">
        <f t="shared" si="48"/>
        <v>25</v>
      </c>
      <c r="M776">
        <f t="shared" si="49"/>
        <v>300</v>
      </c>
      <c r="N776">
        <f t="shared" si="50"/>
        <v>184</v>
      </c>
      <c r="O776">
        <f t="shared" si="51"/>
        <v>2032.3333333333333</v>
      </c>
    </row>
    <row r="777" spans="1:15" x14ac:dyDescent="0.2">
      <c r="A777" t="s">
        <v>19</v>
      </c>
      <c r="B777">
        <v>9</v>
      </c>
      <c r="C777">
        <v>40</v>
      </c>
      <c r="D777">
        <v>131</v>
      </c>
      <c r="E777">
        <v>1</v>
      </c>
      <c r="F777">
        <v>34</v>
      </c>
      <c r="G777">
        <v>1151701</v>
      </c>
      <c r="H777">
        <v>0</v>
      </c>
      <c r="I777">
        <v>1</v>
      </c>
      <c r="J777">
        <v>1</v>
      </c>
      <c r="K777">
        <v>0</v>
      </c>
      <c r="L777">
        <f t="shared" si="48"/>
        <v>25</v>
      </c>
      <c r="M777">
        <f t="shared" si="49"/>
        <v>300</v>
      </c>
      <c r="N777">
        <f t="shared" si="50"/>
        <v>169</v>
      </c>
      <c r="O777">
        <f t="shared" si="51"/>
        <v>2031.0833333333333</v>
      </c>
    </row>
    <row r="778" spans="1:15" x14ac:dyDescent="0.2">
      <c r="A778" t="s">
        <v>19</v>
      </c>
      <c r="B778">
        <v>9</v>
      </c>
      <c r="C778">
        <v>40</v>
      </c>
      <c r="D778">
        <v>132</v>
      </c>
      <c r="E778">
        <v>1</v>
      </c>
      <c r="F778">
        <v>38</v>
      </c>
      <c r="G778">
        <v>1149101</v>
      </c>
      <c r="H778">
        <v>1</v>
      </c>
      <c r="I778">
        <v>0</v>
      </c>
      <c r="J778">
        <v>1</v>
      </c>
      <c r="K778">
        <v>0</v>
      </c>
      <c r="L778">
        <f t="shared" si="48"/>
        <v>25</v>
      </c>
      <c r="M778">
        <f t="shared" si="49"/>
        <v>300</v>
      </c>
      <c r="N778">
        <f t="shared" si="50"/>
        <v>168</v>
      </c>
      <c r="O778">
        <f t="shared" si="51"/>
        <v>2031</v>
      </c>
    </row>
    <row r="779" spans="1:15" x14ac:dyDescent="0.2">
      <c r="A779" t="s">
        <v>19</v>
      </c>
      <c r="B779">
        <v>9</v>
      </c>
      <c r="C779">
        <v>40</v>
      </c>
      <c r="D779">
        <v>144</v>
      </c>
      <c r="E779">
        <v>1</v>
      </c>
      <c r="F779">
        <v>36</v>
      </c>
      <c r="G779">
        <v>1097101</v>
      </c>
      <c r="H779">
        <v>0</v>
      </c>
      <c r="I779">
        <v>1</v>
      </c>
      <c r="J779">
        <v>1</v>
      </c>
      <c r="K779">
        <v>0</v>
      </c>
      <c r="L779">
        <f t="shared" si="48"/>
        <v>25</v>
      </c>
      <c r="M779">
        <f t="shared" si="49"/>
        <v>300</v>
      </c>
      <c r="N779">
        <f t="shared" si="50"/>
        <v>156</v>
      </c>
      <c r="O779">
        <f t="shared" si="51"/>
        <v>2030</v>
      </c>
    </row>
    <row r="780" spans="1:15" x14ac:dyDescent="0.2">
      <c r="A780" t="s">
        <v>19</v>
      </c>
      <c r="B780">
        <v>9</v>
      </c>
      <c r="C780">
        <v>40</v>
      </c>
      <c r="D780">
        <v>147</v>
      </c>
      <c r="E780">
        <v>1</v>
      </c>
      <c r="F780">
        <v>40</v>
      </c>
      <c r="G780">
        <v>1077701</v>
      </c>
      <c r="H780">
        <v>0</v>
      </c>
      <c r="I780">
        <v>1</v>
      </c>
      <c r="J780">
        <v>1</v>
      </c>
      <c r="K780">
        <v>0</v>
      </c>
      <c r="L780">
        <f t="shared" si="48"/>
        <v>25</v>
      </c>
      <c r="M780">
        <f t="shared" si="49"/>
        <v>300</v>
      </c>
      <c r="N780">
        <f t="shared" si="50"/>
        <v>153</v>
      </c>
      <c r="O780">
        <f t="shared" si="51"/>
        <v>2029.75</v>
      </c>
    </row>
    <row r="781" spans="1:15" x14ac:dyDescent="0.2">
      <c r="A781" t="s">
        <v>19</v>
      </c>
      <c r="B781">
        <v>9</v>
      </c>
      <c r="C781">
        <v>40</v>
      </c>
      <c r="D781">
        <v>153</v>
      </c>
      <c r="E781">
        <v>1</v>
      </c>
      <c r="F781">
        <v>25</v>
      </c>
      <c r="G781">
        <v>1035701</v>
      </c>
      <c r="H781">
        <v>0</v>
      </c>
      <c r="I781">
        <v>1</v>
      </c>
      <c r="J781">
        <v>1</v>
      </c>
      <c r="K781">
        <v>0</v>
      </c>
      <c r="L781">
        <f t="shared" si="48"/>
        <v>25</v>
      </c>
      <c r="M781">
        <f t="shared" si="49"/>
        <v>300</v>
      </c>
      <c r="N781">
        <f t="shared" si="50"/>
        <v>147</v>
      </c>
      <c r="O781">
        <f t="shared" si="51"/>
        <v>2029.25</v>
      </c>
    </row>
    <row r="782" spans="1:15" x14ac:dyDescent="0.2">
      <c r="A782" t="s">
        <v>19</v>
      </c>
      <c r="B782">
        <v>9</v>
      </c>
      <c r="C782">
        <v>40</v>
      </c>
      <c r="D782">
        <v>155</v>
      </c>
      <c r="E782">
        <v>1</v>
      </c>
      <c r="F782">
        <v>38</v>
      </c>
      <c r="G782">
        <v>1011501</v>
      </c>
      <c r="H782">
        <v>1</v>
      </c>
      <c r="I782">
        <v>0</v>
      </c>
      <c r="J782">
        <v>1</v>
      </c>
      <c r="K782">
        <v>0</v>
      </c>
      <c r="L782">
        <f t="shared" si="48"/>
        <v>25</v>
      </c>
      <c r="M782">
        <f t="shared" si="49"/>
        <v>300</v>
      </c>
      <c r="N782">
        <f t="shared" si="50"/>
        <v>145</v>
      </c>
      <c r="O782">
        <f t="shared" si="51"/>
        <v>2029.0833333333333</v>
      </c>
    </row>
    <row r="783" spans="1:15" x14ac:dyDescent="0.2">
      <c r="A783" t="s">
        <v>19</v>
      </c>
      <c r="B783">
        <v>9</v>
      </c>
      <c r="C783">
        <v>40</v>
      </c>
      <c r="D783">
        <v>158</v>
      </c>
      <c r="E783">
        <v>1</v>
      </c>
      <c r="F783">
        <v>40</v>
      </c>
      <c r="G783">
        <v>986601</v>
      </c>
      <c r="H783">
        <v>0</v>
      </c>
      <c r="I783">
        <v>1</v>
      </c>
      <c r="J783">
        <v>1</v>
      </c>
      <c r="K783">
        <v>0</v>
      </c>
      <c r="L783">
        <f t="shared" si="48"/>
        <v>25</v>
      </c>
      <c r="M783">
        <f t="shared" si="49"/>
        <v>300</v>
      </c>
      <c r="N783">
        <f t="shared" si="50"/>
        <v>142</v>
      </c>
      <c r="O783">
        <f t="shared" si="51"/>
        <v>2028.8333333333333</v>
      </c>
    </row>
    <row r="784" spans="1:15" x14ac:dyDescent="0.2">
      <c r="A784" t="s">
        <v>19</v>
      </c>
      <c r="B784">
        <v>9</v>
      </c>
      <c r="C784">
        <v>40</v>
      </c>
      <c r="D784">
        <v>159</v>
      </c>
      <c r="E784">
        <v>1</v>
      </c>
      <c r="F784">
        <v>37</v>
      </c>
      <c r="G784">
        <v>975801</v>
      </c>
      <c r="H784">
        <v>0</v>
      </c>
      <c r="I784">
        <v>1</v>
      </c>
      <c r="J784">
        <v>1</v>
      </c>
      <c r="K784">
        <v>0</v>
      </c>
      <c r="L784">
        <f t="shared" si="48"/>
        <v>25</v>
      </c>
      <c r="M784">
        <f t="shared" si="49"/>
        <v>300</v>
      </c>
      <c r="N784">
        <f t="shared" si="50"/>
        <v>141</v>
      </c>
      <c r="O784">
        <f t="shared" si="51"/>
        <v>2028.75</v>
      </c>
    </row>
    <row r="785" spans="1:15" x14ac:dyDescent="0.2">
      <c r="A785" t="s">
        <v>19</v>
      </c>
      <c r="B785">
        <v>9</v>
      </c>
      <c r="C785">
        <v>40</v>
      </c>
      <c r="D785">
        <v>164</v>
      </c>
      <c r="E785">
        <v>1</v>
      </c>
      <c r="F785">
        <v>23</v>
      </c>
      <c r="G785">
        <v>930601</v>
      </c>
      <c r="H785">
        <v>0</v>
      </c>
      <c r="I785">
        <v>1</v>
      </c>
      <c r="J785">
        <v>1</v>
      </c>
      <c r="K785">
        <v>0</v>
      </c>
      <c r="L785">
        <f t="shared" si="48"/>
        <v>25</v>
      </c>
      <c r="M785">
        <f t="shared" si="49"/>
        <v>300</v>
      </c>
      <c r="N785">
        <f t="shared" si="50"/>
        <v>136</v>
      </c>
      <c r="O785">
        <f t="shared" si="51"/>
        <v>2028.3333333333333</v>
      </c>
    </row>
    <row r="786" spans="1:15" x14ac:dyDescent="0.2">
      <c r="A786" t="s">
        <v>19</v>
      </c>
      <c r="B786">
        <v>9</v>
      </c>
      <c r="C786">
        <v>40</v>
      </c>
      <c r="D786">
        <v>167</v>
      </c>
      <c r="E786">
        <v>1</v>
      </c>
      <c r="F786">
        <v>38</v>
      </c>
      <c r="G786">
        <v>919001</v>
      </c>
      <c r="H786">
        <v>0</v>
      </c>
      <c r="I786">
        <v>1</v>
      </c>
      <c r="J786">
        <v>1</v>
      </c>
      <c r="K786">
        <v>0</v>
      </c>
      <c r="L786">
        <f t="shared" si="48"/>
        <v>25</v>
      </c>
      <c r="M786">
        <f t="shared" si="49"/>
        <v>300</v>
      </c>
      <c r="N786">
        <f t="shared" si="50"/>
        <v>133</v>
      </c>
      <c r="O786">
        <f t="shared" si="51"/>
        <v>2028.0833333333333</v>
      </c>
    </row>
    <row r="787" spans="1:15" x14ac:dyDescent="0.2">
      <c r="A787" t="s">
        <v>19</v>
      </c>
      <c r="B787">
        <v>9</v>
      </c>
      <c r="C787">
        <v>40</v>
      </c>
      <c r="D787">
        <v>169</v>
      </c>
      <c r="E787">
        <v>1</v>
      </c>
      <c r="F787">
        <v>38</v>
      </c>
      <c r="G787">
        <v>910001</v>
      </c>
      <c r="H787">
        <v>0</v>
      </c>
      <c r="I787">
        <v>1</v>
      </c>
      <c r="J787">
        <v>1</v>
      </c>
      <c r="K787">
        <v>0</v>
      </c>
      <c r="L787">
        <f t="shared" si="48"/>
        <v>25</v>
      </c>
      <c r="M787">
        <f t="shared" si="49"/>
        <v>300</v>
      </c>
      <c r="N787">
        <f t="shared" si="50"/>
        <v>131</v>
      </c>
      <c r="O787">
        <f t="shared" si="51"/>
        <v>2027.9166666666667</v>
      </c>
    </row>
    <row r="788" spans="1:15" x14ac:dyDescent="0.2">
      <c r="A788" t="s">
        <v>19</v>
      </c>
      <c r="B788">
        <v>9</v>
      </c>
      <c r="C788">
        <v>40</v>
      </c>
      <c r="D788">
        <v>181</v>
      </c>
      <c r="E788">
        <v>12</v>
      </c>
      <c r="F788">
        <v>40</v>
      </c>
      <c r="G788">
        <v>123702</v>
      </c>
      <c r="H788">
        <v>0</v>
      </c>
      <c r="I788">
        <v>1</v>
      </c>
      <c r="J788">
        <v>1</v>
      </c>
      <c r="K788">
        <v>0</v>
      </c>
      <c r="L788">
        <f t="shared" si="48"/>
        <v>25</v>
      </c>
      <c r="M788">
        <f t="shared" si="49"/>
        <v>300</v>
      </c>
      <c r="N788">
        <f t="shared" si="50"/>
        <v>119</v>
      </c>
      <c r="O788">
        <f t="shared" si="51"/>
        <v>2026.9166666666667</v>
      </c>
    </row>
    <row r="789" spans="1:15" x14ac:dyDescent="0.2">
      <c r="A789" t="s">
        <v>19</v>
      </c>
      <c r="B789">
        <v>9</v>
      </c>
      <c r="C789">
        <v>40</v>
      </c>
      <c r="D789">
        <v>187</v>
      </c>
      <c r="E789">
        <v>12</v>
      </c>
      <c r="F789">
        <v>38</v>
      </c>
      <c r="G789">
        <v>881002</v>
      </c>
      <c r="H789">
        <v>0</v>
      </c>
      <c r="I789">
        <v>1</v>
      </c>
      <c r="J789">
        <v>1</v>
      </c>
      <c r="K789">
        <v>0</v>
      </c>
      <c r="L789">
        <f t="shared" si="48"/>
        <v>25</v>
      </c>
      <c r="M789">
        <f t="shared" si="49"/>
        <v>300</v>
      </c>
      <c r="N789">
        <f t="shared" si="50"/>
        <v>113</v>
      </c>
      <c r="O789">
        <f t="shared" si="51"/>
        <v>2026.4166666666667</v>
      </c>
    </row>
    <row r="790" spans="1:15" x14ac:dyDescent="0.2">
      <c r="A790" t="s">
        <v>19</v>
      </c>
      <c r="B790">
        <v>9</v>
      </c>
      <c r="C790">
        <v>40</v>
      </c>
      <c r="D790">
        <v>192</v>
      </c>
      <c r="E790">
        <v>12</v>
      </c>
      <c r="F790">
        <v>33</v>
      </c>
      <c r="G790">
        <v>853602</v>
      </c>
      <c r="H790">
        <v>0</v>
      </c>
      <c r="I790">
        <v>1</v>
      </c>
      <c r="J790">
        <v>1</v>
      </c>
      <c r="K790">
        <v>0</v>
      </c>
      <c r="L790">
        <f t="shared" si="48"/>
        <v>25</v>
      </c>
      <c r="M790">
        <f t="shared" si="49"/>
        <v>300</v>
      </c>
      <c r="N790">
        <f t="shared" si="50"/>
        <v>108</v>
      </c>
      <c r="O790">
        <f t="shared" si="51"/>
        <v>2026</v>
      </c>
    </row>
    <row r="791" spans="1:15" x14ac:dyDescent="0.2">
      <c r="A791" t="s">
        <v>19</v>
      </c>
      <c r="B791">
        <v>9</v>
      </c>
      <c r="C791">
        <v>40</v>
      </c>
      <c r="D791">
        <v>194</v>
      </c>
      <c r="E791">
        <v>1</v>
      </c>
      <c r="F791">
        <v>31</v>
      </c>
      <c r="G791">
        <v>839801</v>
      </c>
      <c r="H791">
        <v>0</v>
      </c>
      <c r="I791">
        <v>1</v>
      </c>
      <c r="J791">
        <v>1</v>
      </c>
      <c r="K791">
        <v>0</v>
      </c>
      <c r="L791">
        <f t="shared" si="48"/>
        <v>25</v>
      </c>
      <c r="M791">
        <f t="shared" si="49"/>
        <v>300</v>
      </c>
      <c r="N791">
        <f t="shared" si="50"/>
        <v>106</v>
      </c>
      <c r="O791">
        <f t="shared" si="51"/>
        <v>2025.8333333333333</v>
      </c>
    </row>
    <row r="792" spans="1:15" x14ac:dyDescent="0.2">
      <c r="A792" t="s">
        <v>19</v>
      </c>
      <c r="B792">
        <v>9</v>
      </c>
      <c r="C792">
        <v>40</v>
      </c>
      <c r="D792">
        <v>199</v>
      </c>
      <c r="E792">
        <v>2</v>
      </c>
      <c r="F792">
        <v>38</v>
      </c>
      <c r="G792">
        <v>805301</v>
      </c>
      <c r="H792">
        <v>0</v>
      </c>
      <c r="I792">
        <v>1</v>
      </c>
      <c r="J792">
        <v>1</v>
      </c>
      <c r="K792">
        <v>0</v>
      </c>
      <c r="L792">
        <f t="shared" si="48"/>
        <v>25</v>
      </c>
      <c r="M792">
        <f t="shared" si="49"/>
        <v>300</v>
      </c>
      <c r="N792">
        <f t="shared" si="50"/>
        <v>101</v>
      </c>
      <c r="O792">
        <f t="shared" si="51"/>
        <v>2025.4166666666667</v>
      </c>
    </row>
    <row r="793" spans="1:15" x14ac:dyDescent="0.2">
      <c r="A793" t="s">
        <v>19</v>
      </c>
      <c r="B793">
        <v>9</v>
      </c>
      <c r="C793">
        <v>40</v>
      </c>
      <c r="D793">
        <v>200</v>
      </c>
      <c r="E793">
        <v>2</v>
      </c>
      <c r="F793">
        <v>39</v>
      </c>
      <c r="G793">
        <v>792501</v>
      </c>
      <c r="H793">
        <v>1</v>
      </c>
      <c r="I793">
        <v>0</v>
      </c>
      <c r="J793">
        <v>1</v>
      </c>
      <c r="K793">
        <v>0</v>
      </c>
      <c r="L793">
        <f t="shared" si="48"/>
        <v>25</v>
      </c>
      <c r="M793">
        <f t="shared" si="49"/>
        <v>300</v>
      </c>
      <c r="N793">
        <f t="shared" si="50"/>
        <v>100</v>
      </c>
      <c r="O793">
        <f t="shared" si="51"/>
        <v>2025.3333333333333</v>
      </c>
    </row>
    <row r="794" spans="1:15" x14ac:dyDescent="0.2">
      <c r="A794" t="s">
        <v>19</v>
      </c>
      <c r="B794">
        <v>9</v>
      </c>
      <c r="C794">
        <v>40</v>
      </c>
      <c r="D794">
        <v>207</v>
      </c>
      <c r="E794">
        <v>1</v>
      </c>
      <c r="F794">
        <v>39</v>
      </c>
      <c r="G794">
        <v>687301</v>
      </c>
      <c r="H794">
        <v>0</v>
      </c>
      <c r="I794">
        <v>1</v>
      </c>
      <c r="J794">
        <v>1</v>
      </c>
      <c r="K794">
        <v>0</v>
      </c>
      <c r="L794">
        <f t="shared" si="48"/>
        <v>25</v>
      </c>
      <c r="M794">
        <f t="shared" si="49"/>
        <v>300</v>
      </c>
      <c r="N794">
        <f t="shared" si="50"/>
        <v>93</v>
      </c>
      <c r="O794">
        <f t="shared" si="51"/>
        <v>2024.75</v>
      </c>
    </row>
    <row r="795" spans="1:15" x14ac:dyDescent="0.2">
      <c r="A795" t="s">
        <v>19</v>
      </c>
      <c r="B795">
        <v>9</v>
      </c>
      <c r="C795">
        <v>40</v>
      </c>
      <c r="D795">
        <v>210</v>
      </c>
      <c r="E795">
        <v>1</v>
      </c>
      <c r="F795">
        <v>33</v>
      </c>
      <c r="G795">
        <v>664501</v>
      </c>
      <c r="H795">
        <v>0</v>
      </c>
      <c r="I795">
        <v>1</v>
      </c>
      <c r="J795">
        <v>1</v>
      </c>
      <c r="K795">
        <v>0</v>
      </c>
      <c r="L795">
        <f t="shared" si="48"/>
        <v>25</v>
      </c>
      <c r="M795">
        <f t="shared" si="49"/>
        <v>300</v>
      </c>
      <c r="N795">
        <f t="shared" si="50"/>
        <v>90</v>
      </c>
      <c r="O795">
        <f t="shared" si="51"/>
        <v>2024.5</v>
      </c>
    </row>
    <row r="796" spans="1:15" x14ac:dyDescent="0.2">
      <c r="A796" t="s">
        <v>19</v>
      </c>
      <c r="B796">
        <v>9</v>
      </c>
      <c r="C796">
        <v>40</v>
      </c>
      <c r="D796">
        <v>210</v>
      </c>
      <c r="E796">
        <v>1</v>
      </c>
      <c r="F796">
        <v>38</v>
      </c>
      <c r="G796">
        <v>647201</v>
      </c>
      <c r="H796">
        <v>0</v>
      </c>
      <c r="I796">
        <v>1</v>
      </c>
      <c r="J796">
        <v>1</v>
      </c>
      <c r="K796">
        <v>0</v>
      </c>
      <c r="L796">
        <f t="shared" si="48"/>
        <v>25</v>
      </c>
      <c r="M796">
        <f t="shared" si="49"/>
        <v>300</v>
      </c>
      <c r="N796">
        <f t="shared" si="50"/>
        <v>90</v>
      </c>
      <c r="O796">
        <f t="shared" si="51"/>
        <v>2024.5</v>
      </c>
    </row>
    <row r="797" spans="1:15" x14ac:dyDescent="0.2">
      <c r="A797" t="s">
        <v>19</v>
      </c>
      <c r="B797">
        <v>9</v>
      </c>
      <c r="C797">
        <v>40</v>
      </c>
      <c r="D797">
        <v>215</v>
      </c>
      <c r="E797">
        <v>2</v>
      </c>
      <c r="F797">
        <v>40</v>
      </c>
      <c r="G797">
        <v>6503</v>
      </c>
      <c r="H797">
        <v>1</v>
      </c>
      <c r="I797">
        <v>0</v>
      </c>
      <c r="J797">
        <v>1</v>
      </c>
      <c r="K797">
        <v>0</v>
      </c>
      <c r="L797">
        <f t="shared" si="48"/>
        <v>25</v>
      </c>
      <c r="M797">
        <f t="shared" si="49"/>
        <v>300</v>
      </c>
      <c r="N797">
        <f t="shared" si="50"/>
        <v>85</v>
      </c>
      <c r="O797">
        <f t="shared" si="51"/>
        <v>2024.0833333333333</v>
      </c>
    </row>
    <row r="798" spans="1:15" x14ac:dyDescent="0.2">
      <c r="A798" t="s">
        <v>19</v>
      </c>
      <c r="B798">
        <v>9</v>
      </c>
      <c r="C798">
        <v>40</v>
      </c>
      <c r="D798">
        <v>215</v>
      </c>
      <c r="E798">
        <v>12</v>
      </c>
      <c r="F798">
        <v>37</v>
      </c>
      <c r="G798">
        <v>521202</v>
      </c>
      <c r="H798">
        <v>0</v>
      </c>
      <c r="I798">
        <v>1</v>
      </c>
      <c r="J798">
        <v>1</v>
      </c>
      <c r="K798">
        <v>0</v>
      </c>
      <c r="L798">
        <f t="shared" si="48"/>
        <v>25</v>
      </c>
      <c r="M798">
        <f t="shared" si="49"/>
        <v>300</v>
      </c>
      <c r="N798">
        <f t="shared" si="50"/>
        <v>85</v>
      </c>
      <c r="O798">
        <f t="shared" si="51"/>
        <v>2024.0833333333333</v>
      </c>
    </row>
    <row r="799" spans="1:15" x14ac:dyDescent="0.2">
      <c r="A799" t="s">
        <v>19</v>
      </c>
      <c r="B799">
        <v>9</v>
      </c>
      <c r="C799">
        <v>40</v>
      </c>
      <c r="D799">
        <v>225</v>
      </c>
      <c r="E799">
        <v>1</v>
      </c>
      <c r="F799">
        <v>36</v>
      </c>
      <c r="G799">
        <v>259402</v>
      </c>
      <c r="H799">
        <v>0</v>
      </c>
      <c r="I799">
        <v>1</v>
      </c>
      <c r="J799">
        <v>1</v>
      </c>
      <c r="K799">
        <v>0</v>
      </c>
      <c r="L799">
        <f t="shared" si="48"/>
        <v>25</v>
      </c>
      <c r="M799">
        <f t="shared" si="49"/>
        <v>300</v>
      </c>
      <c r="N799">
        <f t="shared" si="50"/>
        <v>75</v>
      </c>
      <c r="O799">
        <f t="shared" si="51"/>
        <v>2023.25</v>
      </c>
    </row>
    <row r="800" spans="1:15" x14ac:dyDescent="0.2">
      <c r="A800" t="s">
        <v>19</v>
      </c>
      <c r="B800">
        <v>9</v>
      </c>
      <c r="C800">
        <v>40</v>
      </c>
      <c r="D800">
        <v>225</v>
      </c>
      <c r="E800">
        <v>2</v>
      </c>
      <c r="F800">
        <v>35</v>
      </c>
      <c r="G800">
        <v>263401</v>
      </c>
      <c r="H800">
        <v>0</v>
      </c>
      <c r="I800">
        <v>1</v>
      </c>
      <c r="J800">
        <v>1</v>
      </c>
      <c r="K800">
        <v>0</v>
      </c>
      <c r="L800">
        <f t="shared" si="48"/>
        <v>25</v>
      </c>
      <c r="M800">
        <f t="shared" si="49"/>
        <v>300</v>
      </c>
      <c r="N800">
        <f t="shared" si="50"/>
        <v>75</v>
      </c>
      <c r="O800">
        <f t="shared" si="51"/>
        <v>2023.25</v>
      </c>
    </row>
    <row r="801" spans="1:15" x14ac:dyDescent="0.2">
      <c r="A801" t="s">
        <v>19</v>
      </c>
      <c r="B801">
        <v>9</v>
      </c>
      <c r="C801">
        <v>40</v>
      </c>
      <c r="D801">
        <v>229</v>
      </c>
      <c r="E801">
        <v>1</v>
      </c>
      <c r="F801">
        <v>38</v>
      </c>
      <c r="G801">
        <v>205501</v>
      </c>
      <c r="H801">
        <v>0</v>
      </c>
      <c r="I801">
        <v>1</v>
      </c>
      <c r="J801">
        <v>1</v>
      </c>
      <c r="K801">
        <v>0</v>
      </c>
      <c r="L801">
        <f t="shared" si="48"/>
        <v>25</v>
      </c>
      <c r="M801">
        <f t="shared" si="49"/>
        <v>300</v>
      </c>
      <c r="N801">
        <f t="shared" si="50"/>
        <v>71</v>
      </c>
      <c r="O801">
        <f t="shared" si="51"/>
        <v>2022.9166666666667</v>
      </c>
    </row>
    <row r="802" spans="1:15" x14ac:dyDescent="0.2">
      <c r="A802" t="s">
        <v>19</v>
      </c>
      <c r="B802">
        <v>9</v>
      </c>
      <c r="C802">
        <v>40</v>
      </c>
      <c r="D802">
        <v>231</v>
      </c>
      <c r="E802">
        <v>1</v>
      </c>
      <c r="F802">
        <v>32</v>
      </c>
      <c r="G802">
        <v>158101</v>
      </c>
      <c r="H802">
        <v>0</v>
      </c>
      <c r="I802">
        <v>1</v>
      </c>
      <c r="J802">
        <v>1</v>
      </c>
      <c r="K802">
        <v>0</v>
      </c>
      <c r="L802">
        <f t="shared" si="48"/>
        <v>25</v>
      </c>
      <c r="M802">
        <f t="shared" si="49"/>
        <v>300</v>
      </c>
      <c r="N802">
        <f t="shared" si="50"/>
        <v>69</v>
      </c>
      <c r="O802">
        <f t="shared" si="51"/>
        <v>2022.75</v>
      </c>
    </row>
    <row r="803" spans="1:15" x14ac:dyDescent="0.2">
      <c r="A803" t="s">
        <v>19</v>
      </c>
      <c r="B803">
        <v>9</v>
      </c>
      <c r="C803">
        <v>40</v>
      </c>
      <c r="D803">
        <v>232</v>
      </c>
      <c r="E803">
        <v>1</v>
      </c>
      <c r="F803">
        <v>39</v>
      </c>
      <c r="G803">
        <v>150501</v>
      </c>
      <c r="H803">
        <v>0</v>
      </c>
      <c r="I803">
        <v>1</v>
      </c>
      <c r="J803">
        <v>1</v>
      </c>
      <c r="K803">
        <v>0</v>
      </c>
      <c r="L803">
        <f t="shared" si="48"/>
        <v>25</v>
      </c>
      <c r="M803">
        <f t="shared" si="49"/>
        <v>300</v>
      </c>
      <c r="N803">
        <f t="shared" si="50"/>
        <v>68</v>
      </c>
      <c r="O803">
        <f t="shared" si="51"/>
        <v>2022.6666666666667</v>
      </c>
    </row>
    <row r="804" spans="1:15" x14ac:dyDescent="0.2">
      <c r="A804" t="s">
        <v>19</v>
      </c>
      <c r="B804">
        <v>9</v>
      </c>
      <c r="C804">
        <v>40</v>
      </c>
      <c r="D804">
        <v>234</v>
      </c>
      <c r="E804">
        <v>2</v>
      </c>
      <c r="F804">
        <v>36</v>
      </c>
      <c r="G804">
        <v>123402</v>
      </c>
      <c r="H804">
        <v>0</v>
      </c>
      <c r="I804">
        <v>1</v>
      </c>
      <c r="J804">
        <v>1</v>
      </c>
      <c r="K804">
        <v>0</v>
      </c>
      <c r="L804">
        <f t="shared" si="48"/>
        <v>25</v>
      </c>
      <c r="M804">
        <f t="shared" si="49"/>
        <v>300</v>
      </c>
      <c r="N804">
        <f t="shared" si="50"/>
        <v>66</v>
      </c>
      <c r="O804">
        <f t="shared" si="51"/>
        <v>2022.5</v>
      </c>
    </row>
    <row r="805" spans="1:15" x14ac:dyDescent="0.2">
      <c r="A805" t="s">
        <v>19</v>
      </c>
      <c r="B805">
        <v>9</v>
      </c>
      <c r="C805">
        <v>40</v>
      </c>
      <c r="D805">
        <v>239</v>
      </c>
      <c r="E805">
        <v>1</v>
      </c>
      <c r="F805">
        <v>37</v>
      </c>
      <c r="G805">
        <v>87201</v>
      </c>
      <c r="H805">
        <v>0</v>
      </c>
      <c r="I805">
        <v>1</v>
      </c>
      <c r="J805">
        <v>1</v>
      </c>
      <c r="K805">
        <v>0</v>
      </c>
      <c r="L805">
        <f t="shared" si="48"/>
        <v>25</v>
      </c>
      <c r="M805">
        <f t="shared" si="49"/>
        <v>300</v>
      </c>
      <c r="N805">
        <f t="shared" si="50"/>
        <v>61</v>
      </c>
      <c r="O805">
        <f t="shared" si="51"/>
        <v>2022.0833333333333</v>
      </c>
    </row>
    <row r="806" spans="1:15" x14ac:dyDescent="0.2">
      <c r="A806" t="s">
        <v>19</v>
      </c>
      <c r="B806">
        <v>9</v>
      </c>
      <c r="C806">
        <v>40</v>
      </c>
      <c r="D806">
        <v>240</v>
      </c>
      <c r="E806">
        <v>1</v>
      </c>
      <c r="F806">
        <v>37</v>
      </c>
      <c r="G806">
        <v>36802</v>
      </c>
      <c r="H806">
        <v>0</v>
      </c>
      <c r="I806">
        <v>1</v>
      </c>
      <c r="J806">
        <v>1</v>
      </c>
      <c r="K806">
        <v>0</v>
      </c>
      <c r="L806">
        <f t="shared" si="48"/>
        <v>25</v>
      </c>
      <c r="M806">
        <f t="shared" si="49"/>
        <v>300</v>
      </c>
      <c r="N806">
        <f t="shared" si="50"/>
        <v>60</v>
      </c>
      <c r="O806">
        <f t="shared" si="51"/>
        <v>2022</v>
      </c>
    </row>
    <row r="807" spans="1:15" x14ac:dyDescent="0.2">
      <c r="A807" t="s">
        <v>19</v>
      </c>
      <c r="B807">
        <v>9</v>
      </c>
      <c r="C807">
        <v>40</v>
      </c>
      <c r="D807">
        <v>241</v>
      </c>
      <c r="E807">
        <v>1</v>
      </c>
      <c r="F807">
        <v>36</v>
      </c>
      <c r="G807">
        <v>56201</v>
      </c>
      <c r="H807">
        <v>0</v>
      </c>
      <c r="I807">
        <v>1</v>
      </c>
      <c r="J807">
        <v>1</v>
      </c>
      <c r="K807">
        <v>0</v>
      </c>
      <c r="L807">
        <f t="shared" si="48"/>
        <v>25</v>
      </c>
      <c r="M807">
        <f t="shared" si="49"/>
        <v>300</v>
      </c>
      <c r="N807">
        <f t="shared" si="50"/>
        <v>59</v>
      </c>
      <c r="O807">
        <f t="shared" si="51"/>
        <v>2021.9166666666667</v>
      </c>
    </row>
    <row r="808" spans="1:15" x14ac:dyDescent="0.2">
      <c r="A808" t="s">
        <v>19</v>
      </c>
      <c r="B808">
        <v>9</v>
      </c>
      <c r="C808">
        <v>40</v>
      </c>
      <c r="D808">
        <v>242</v>
      </c>
      <c r="E808">
        <v>1</v>
      </c>
      <c r="F808">
        <v>38</v>
      </c>
      <c r="G808">
        <v>50501</v>
      </c>
      <c r="H808">
        <v>0</v>
      </c>
      <c r="I808">
        <v>1</v>
      </c>
      <c r="J808">
        <v>1</v>
      </c>
      <c r="K808">
        <v>0</v>
      </c>
      <c r="L808">
        <f t="shared" si="48"/>
        <v>25</v>
      </c>
      <c r="M808">
        <f t="shared" si="49"/>
        <v>300</v>
      </c>
      <c r="N808">
        <f t="shared" si="50"/>
        <v>58</v>
      </c>
      <c r="O808">
        <f t="shared" si="51"/>
        <v>2021.8333333333333</v>
      </c>
    </row>
    <row r="809" spans="1:15" x14ac:dyDescent="0.2">
      <c r="A809" t="s">
        <v>19</v>
      </c>
      <c r="B809">
        <v>9</v>
      </c>
      <c r="C809">
        <v>41</v>
      </c>
      <c r="D809">
        <v>1</v>
      </c>
      <c r="E809">
        <v>12</v>
      </c>
      <c r="F809">
        <v>35</v>
      </c>
      <c r="G809">
        <v>2393601</v>
      </c>
      <c r="H809">
        <v>0</v>
      </c>
      <c r="I809">
        <v>1</v>
      </c>
      <c r="J809">
        <v>1</v>
      </c>
      <c r="K809">
        <v>0</v>
      </c>
      <c r="L809">
        <f t="shared" si="48"/>
        <v>24</v>
      </c>
      <c r="M809">
        <f t="shared" si="49"/>
        <v>288</v>
      </c>
      <c r="N809">
        <f t="shared" si="50"/>
        <v>287</v>
      </c>
      <c r="O809">
        <f t="shared" si="51"/>
        <v>2040.9166666666667</v>
      </c>
    </row>
    <row r="810" spans="1:15" x14ac:dyDescent="0.2">
      <c r="A810" t="s">
        <v>19</v>
      </c>
      <c r="B810">
        <v>9</v>
      </c>
      <c r="C810">
        <v>41</v>
      </c>
      <c r="D810">
        <v>1</v>
      </c>
      <c r="E810">
        <v>12</v>
      </c>
      <c r="F810">
        <v>40</v>
      </c>
      <c r="G810">
        <v>2411203</v>
      </c>
      <c r="H810">
        <v>1</v>
      </c>
      <c r="I810">
        <v>0</v>
      </c>
      <c r="J810">
        <v>1</v>
      </c>
      <c r="K810">
        <v>0</v>
      </c>
      <c r="L810">
        <f t="shared" si="48"/>
        <v>24</v>
      </c>
      <c r="M810">
        <f t="shared" si="49"/>
        <v>288</v>
      </c>
      <c r="N810">
        <f t="shared" si="50"/>
        <v>287</v>
      </c>
      <c r="O810">
        <f t="shared" si="51"/>
        <v>2040.9166666666667</v>
      </c>
    </row>
    <row r="811" spans="1:15" x14ac:dyDescent="0.2">
      <c r="A811" t="s">
        <v>19</v>
      </c>
      <c r="B811">
        <v>9</v>
      </c>
      <c r="C811">
        <v>41</v>
      </c>
      <c r="D811">
        <v>2</v>
      </c>
      <c r="E811">
        <v>12</v>
      </c>
      <c r="F811">
        <v>30</v>
      </c>
      <c r="G811">
        <v>2368402</v>
      </c>
      <c r="H811">
        <v>0</v>
      </c>
      <c r="I811">
        <v>1</v>
      </c>
      <c r="J811">
        <v>1</v>
      </c>
      <c r="K811">
        <v>0</v>
      </c>
      <c r="L811">
        <f t="shared" si="48"/>
        <v>24</v>
      </c>
      <c r="M811">
        <f t="shared" si="49"/>
        <v>288</v>
      </c>
      <c r="N811">
        <f t="shared" si="50"/>
        <v>286</v>
      </c>
      <c r="O811">
        <f t="shared" si="51"/>
        <v>2040.8333333333333</v>
      </c>
    </row>
    <row r="812" spans="1:15" x14ac:dyDescent="0.2">
      <c r="A812" t="s">
        <v>19</v>
      </c>
      <c r="B812">
        <v>9</v>
      </c>
      <c r="C812">
        <v>41</v>
      </c>
      <c r="D812">
        <v>2</v>
      </c>
      <c r="E812">
        <v>12</v>
      </c>
      <c r="F812">
        <v>38</v>
      </c>
      <c r="G812">
        <v>2375903</v>
      </c>
      <c r="H812">
        <v>0</v>
      </c>
      <c r="I812">
        <v>1</v>
      </c>
      <c r="J812">
        <v>1</v>
      </c>
      <c r="K812">
        <v>0</v>
      </c>
      <c r="L812">
        <f t="shared" si="48"/>
        <v>24</v>
      </c>
      <c r="M812">
        <f t="shared" si="49"/>
        <v>288</v>
      </c>
      <c r="N812">
        <f t="shared" si="50"/>
        <v>286</v>
      </c>
      <c r="O812">
        <f t="shared" si="51"/>
        <v>2040.8333333333333</v>
      </c>
    </row>
    <row r="813" spans="1:15" x14ac:dyDescent="0.2">
      <c r="A813" t="s">
        <v>19</v>
      </c>
      <c r="B813">
        <v>9</v>
      </c>
      <c r="C813">
        <v>41</v>
      </c>
      <c r="D813">
        <v>2</v>
      </c>
      <c r="E813">
        <v>12</v>
      </c>
      <c r="F813">
        <v>38</v>
      </c>
      <c r="G813">
        <v>2379003</v>
      </c>
      <c r="H813">
        <v>0</v>
      </c>
      <c r="I813">
        <v>1</v>
      </c>
      <c r="J813">
        <v>1</v>
      </c>
      <c r="K813">
        <v>0</v>
      </c>
      <c r="L813">
        <f t="shared" si="48"/>
        <v>24</v>
      </c>
      <c r="M813">
        <f t="shared" si="49"/>
        <v>288</v>
      </c>
      <c r="N813">
        <f t="shared" si="50"/>
        <v>286</v>
      </c>
      <c r="O813">
        <f t="shared" si="51"/>
        <v>2040.8333333333333</v>
      </c>
    </row>
    <row r="814" spans="1:15" x14ac:dyDescent="0.2">
      <c r="A814" t="s">
        <v>19</v>
      </c>
      <c r="B814">
        <v>9</v>
      </c>
      <c r="C814">
        <v>41</v>
      </c>
      <c r="D814">
        <v>2</v>
      </c>
      <c r="E814">
        <v>12</v>
      </c>
      <c r="F814">
        <v>40</v>
      </c>
      <c r="G814">
        <v>2378705</v>
      </c>
      <c r="H814">
        <v>0</v>
      </c>
      <c r="I814">
        <v>1</v>
      </c>
      <c r="J814">
        <v>1</v>
      </c>
      <c r="K814">
        <v>0</v>
      </c>
      <c r="L814">
        <f t="shared" si="48"/>
        <v>24</v>
      </c>
      <c r="M814">
        <f t="shared" si="49"/>
        <v>288</v>
      </c>
      <c r="N814">
        <f t="shared" si="50"/>
        <v>286</v>
      </c>
      <c r="O814">
        <f t="shared" si="51"/>
        <v>2040.8333333333333</v>
      </c>
    </row>
    <row r="815" spans="1:15" x14ac:dyDescent="0.2">
      <c r="A815" t="s">
        <v>19</v>
      </c>
      <c r="B815">
        <v>9</v>
      </c>
      <c r="C815">
        <v>41</v>
      </c>
      <c r="D815">
        <v>3</v>
      </c>
      <c r="E815">
        <v>12</v>
      </c>
      <c r="F815">
        <v>39</v>
      </c>
      <c r="G815">
        <v>2361803</v>
      </c>
      <c r="H815">
        <v>0</v>
      </c>
      <c r="I815">
        <v>1</v>
      </c>
      <c r="J815">
        <v>1</v>
      </c>
      <c r="K815">
        <v>0</v>
      </c>
      <c r="L815">
        <f t="shared" si="48"/>
        <v>24</v>
      </c>
      <c r="M815">
        <f t="shared" si="49"/>
        <v>288</v>
      </c>
      <c r="N815">
        <f t="shared" si="50"/>
        <v>285</v>
      </c>
      <c r="O815">
        <f t="shared" si="51"/>
        <v>2040.75</v>
      </c>
    </row>
    <row r="816" spans="1:15" x14ac:dyDescent="0.2">
      <c r="A816" t="s">
        <v>19</v>
      </c>
      <c r="B816">
        <v>9</v>
      </c>
      <c r="C816">
        <v>41</v>
      </c>
      <c r="D816">
        <v>3</v>
      </c>
      <c r="E816">
        <v>12</v>
      </c>
      <c r="F816">
        <v>40</v>
      </c>
      <c r="G816">
        <v>2361103</v>
      </c>
      <c r="H816">
        <v>0</v>
      </c>
      <c r="I816">
        <v>1</v>
      </c>
      <c r="J816">
        <v>1</v>
      </c>
      <c r="K816">
        <v>0</v>
      </c>
      <c r="L816">
        <f t="shared" si="48"/>
        <v>24</v>
      </c>
      <c r="M816">
        <f t="shared" si="49"/>
        <v>288</v>
      </c>
      <c r="N816">
        <f t="shared" si="50"/>
        <v>285</v>
      </c>
      <c r="O816">
        <f t="shared" si="51"/>
        <v>2040.75</v>
      </c>
    </row>
    <row r="817" spans="1:15" x14ac:dyDescent="0.2">
      <c r="A817" t="s">
        <v>19</v>
      </c>
      <c r="B817">
        <v>9</v>
      </c>
      <c r="C817">
        <v>41</v>
      </c>
      <c r="D817">
        <v>4</v>
      </c>
      <c r="E817">
        <v>12</v>
      </c>
      <c r="F817">
        <v>36</v>
      </c>
      <c r="G817">
        <v>2348703</v>
      </c>
      <c r="H817">
        <v>1</v>
      </c>
      <c r="I817">
        <v>0</v>
      </c>
      <c r="J817">
        <v>1</v>
      </c>
      <c r="K817">
        <v>0</v>
      </c>
      <c r="L817">
        <f t="shared" si="48"/>
        <v>24</v>
      </c>
      <c r="M817">
        <f t="shared" si="49"/>
        <v>288</v>
      </c>
      <c r="N817">
        <f t="shared" si="50"/>
        <v>284</v>
      </c>
      <c r="O817">
        <f t="shared" si="51"/>
        <v>2040.6666666666667</v>
      </c>
    </row>
    <row r="818" spans="1:15" x14ac:dyDescent="0.2">
      <c r="A818" t="s">
        <v>19</v>
      </c>
      <c r="B818">
        <v>9</v>
      </c>
      <c r="C818">
        <v>41</v>
      </c>
      <c r="D818">
        <v>4</v>
      </c>
      <c r="E818">
        <v>12</v>
      </c>
      <c r="F818">
        <v>40</v>
      </c>
      <c r="G818">
        <v>2347403</v>
      </c>
      <c r="H818">
        <v>0</v>
      </c>
      <c r="I818">
        <v>1</v>
      </c>
      <c r="J818">
        <v>1</v>
      </c>
      <c r="K818">
        <v>0</v>
      </c>
      <c r="L818">
        <f t="shared" si="48"/>
        <v>24</v>
      </c>
      <c r="M818">
        <f t="shared" si="49"/>
        <v>288</v>
      </c>
      <c r="N818">
        <f t="shared" si="50"/>
        <v>284</v>
      </c>
      <c r="O818">
        <f t="shared" si="51"/>
        <v>2040.6666666666667</v>
      </c>
    </row>
    <row r="819" spans="1:15" x14ac:dyDescent="0.2">
      <c r="A819" t="s">
        <v>19</v>
      </c>
      <c r="B819">
        <v>9</v>
      </c>
      <c r="C819">
        <v>41</v>
      </c>
      <c r="D819">
        <v>5</v>
      </c>
      <c r="E819">
        <v>1</v>
      </c>
      <c r="F819">
        <v>38</v>
      </c>
      <c r="G819">
        <v>2341301</v>
      </c>
      <c r="H819">
        <v>0</v>
      </c>
      <c r="I819">
        <v>1</v>
      </c>
      <c r="J819">
        <v>1</v>
      </c>
      <c r="K819">
        <v>0</v>
      </c>
      <c r="L819">
        <f t="shared" si="48"/>
        <v>24</v>
      </c>
      <c r="M819">
        <f t="shared" si="49"/>
        <v>288</v>
      </c>
      <c r="N819">
        <f t="shared" si="50"/>
        <v>283</v>
      </c>
      <c r="O819">
        <f t="shared" si="51"/>
        <v>2040.5833333333333</v>
      </c>
    </row>
    <row r="820" spans="1:15" x14ac:dyDescent="0.2">
      <c r="A820" t="s">
        <v>19</v>
      </c>
      <c r="B820">
        <v>9</v>
      </c>
      <c r="C820">
        <v>41</v>
      </c>
      <c r="D820">
        <v>8</v>
      </c>
      <c r="E820">
        <v>4</v>
      </c>
      <c r="F820">
        <v>41</v>
      </c>
      <c r="G820">
        <v>2316501</v>
      </c>
      <c r="H820">
        <v>1</v>
      </c>
      <c r="I820">
        <v>0</v>
      </c>
      <c r="J820">
        <v>1</v>
      </c>
      <c r="K820">
        <v>0</v>
      </c>
      <c r="L820">
        <f t="shared" si="48"/>
        <v>24</v>
      </c>
      <c r="M820">
        <f t="shared" si="49"/>
        <v>288</v>
      </c>
      <c r="N820">
        <f t="shared" si="50"/>
        <v>280</v>
      </c>
      <c r="O820">
        <f t="shared" si="51"/>
        <v>2040.3333333333333</v>
      </c>
    </row>
    <row r="821" spans="1:15" x14ac:dyDescent="0.2">
      <c r="A821" t="s">
        <v>19</v>
      </c>
      <c r="B821">
        <v>9</v>
      </c>
      <c r="C821">
        <v>41</v>
      </c>
      <c r="D821">
        <v>8</v>
      </c>
      <c r="E821">
        <v>12</v>
      </c>
      <c r="F821">
        <v>40</v>
      </c>
      <c r="G821">
        <v>2311203</v>
      </c>
      <c r="H821">
        <v>1</v>
      </c>
      <c r="I821">
        <v>0</v>
      </c>
      <c r="J821">
        <v>1</v>
      </c>
      <c r="K821">
        <v>0</v>
      </c>
      <c r="L821">
        <f t="shared" si="48"/>
        <v>24</v>
      </c>
      <c r="M821">
        <f t="shared" si="49"/>
        <v>288</v>
      </c>
      <c r="N821">
        <f t="shared" si="50"/>
        <v>280</v>
      </c>
      <c r="O821">
        <f t="shared" si="51"/>
        <v>2040.3333333333333</v>
      </c>
    </row>
    <row r="822" spans="1:15" x14ac:dyDescent="0.2">
      <c r="A822" t="s">
        <v>19</v>
      </c>
      <c r="B822">
        <v>9</v>
      </c>
      <c r="C822">
        <v>41</v>
      </c>
      <c r="D822">
        <v>9</v>
      </c>
      <c r="E822">
        <v>1</v>
      </c>
      <c r="F822">
        <v>37</v>
      </c>
      <c r="G822">
        <v>2304301</v>
      </c>
      <c r="H822">
        <v>0</v>
      </c>
      <c r="I822">
        <v>1</v>
      </c>
      <c r="J822">
        <v>1</v>
      </c>
      <c r="K822">
        <v>0</v>
      </c>
      <c r="L822">
        <f t="shared" si="48"/>
        <v>24</v>
      </c>
      <c r="M822">
        <f t="shared" si="49"/>
        <v>288</v>
      </c>
      <c r="N822">
        <f t="shared" si="50"/>
        <v>279</v>
      </c>
      <c r="O822">
        <f t="shared" si="51"/>
        <v>2040.25</v>
      </c>
    </row>
    <row r="823" spans="1:15" x14ac:dyDescent="0.2">
      <c r="A823" t="s">
        <v>19</v>
      </c>
      <c r="B823">
        <v>9</v>
      </c>
      <c r="C823">
        <v>41</v>
      </c>
      <c r="D823">
        <v>9</v>
      </c>
      <c r="E823">
        <v>12</v>
      </c>
      <c r="F823">
        <v>40</v>
      </c>
      <c r="G823">
        <v>2302703</v>
      </c>
      <c r="H823">
        <v>0</v>
      </c>
      <c r="I823">
        <v>1</v>
      </c>
      <c r="J823">
        <v>1</v>
      </c>
      <c r="K823">
        <v>0</v>
      </c>
      <c r="L823">
        <f t="shared" si="48"/>
        <v>24</v>
      </c>
      <c r="M823">
        <f t="shared" si="49"/>
        <v>288</v>
      </c>
      <c r="N823">
        <f t="shared" si="50"/>
        <v>279</v>
      </c>
      <c r="O823">
        <f t="shared" si="51"/>
        <v>2040.25</v>
      </c>
    </row>
    <row r="824" spans="1:15" x14ac:dyDescent="0.2">
      <c r="A824" t="s">
        <v>19</v>
      </c>
      <c r="B824">
        <v>9</v>
      </c>
      <c r="C824">
        <v>41</v>
      </c>
      <c r="D824">
        <v>10</v>
      </c>
      <c r="E824">
        <v>12</v>
      </c>
      <c r="F824">
        <v>35</v>
      </c>
      <c r="G824">
        <v>2292002</v>
      </c>
      <c r="H824">
        <v>0</v>
      </c>
      <c r="I824">
        <v>1</v>
      </c>
      <c r="J824">
        <v>1</v>
      </c>
      <c r="K824">
        <v>0</v>
      </c>
      <c r="L824">
        <f t="shared" si="48"/>
        <v>24</v>
      </c>
      <c r="M824">
        <f t="shared" si="49"/>
        <v>288</v>
      </c>
      <c r="N824">
        <f t="shared" si="50"/>
        <v>278</v>
      </c>
      <c r="O824">
        <f t="shared" si="51"/>
        <v>2040.1666666666667</v>
      </c>
    </row>
    <row r="825" spans="1:15" x14ac:dyDescent="0.2">
      <c r="A825" t="s">
        <v>19</v>
      </c>
      <c r="B825">
        <v>9</v>
      </c>
      <c r="C825">
        <v>41</v>
      </c>
      <c r="D825">
        <v>11</v>
      </c>
      <c r="E825">
        <v>1</v>
      </c>
      <c r="F825">
        <v>41</v>
      </c>
      <c r="G825">
        <v>2287102</v>
      </c>
      <c r="H825">
        <v>0</v>
      </c>
      <c r="I825">
        <v>1</v>
      </c>
      <c r="J825">
        <v>1</v>
      </c>
      <c r="K825">
        <v>0</v>
      </c>
      <c r="L825">
        <f t="shared" si="48"/>
        <v>24</v>
      </c>
      <c r="M825">
        <f t="shared" si="49"/>
        <v>288</v>
      </c>
      <c r="N825">
        <f t="shared" si="50"/>
        <v>277</v>
      </c>
      <c r="O825">
        <f t="shared" si="51"/>
        <v>2040.0833333333333</v>
      </c>
    </row>
    <row r="826" spans="1:15" x14ac:dyDescent="0.2">
      <c r="A826" t="s">
        <v>19</v>
      </c>
      <c r="B826">
        <v>9</v>
      </c>
      <c r="C826">
        <v>41</v>
      </c>
      <c r="D826">
        <v>12</v>
      </c>
      <c r="E826">
        <v>1</v>
      </c>
      <c r="F826">
        <v>38</v>
      </c>
      <c r="G826">
        <v>2280101</v>
      </c>
      <c r="H826">
        <v>0</v>
      </c>
      <c r="I826">
        <v>1</v>
      </c>
      <c r="J826">
        <v>1</v>
      </c>
      <c r="K826">
        <v>0</v>
      </c>
      <c r="L826">
        <f t="shared" si="48"/>
        <v>24</v>
      </c>
      <c r="M826">
        <f t="shared" si="49"/>
        <v>288</v>
      </c>
      <c r="N826">
        <f t="shared" si="50"/>
        <v>276</v>
      </c>
      <c r="O826">
        <f t="shared" si="51"/>
        <v>2040</v>
      </c>
    </row>
    <row r="827" spans="1:15" x14ac:dyDescent="0.2">
      <c r="A827" t="s">
        <v>19</v>
      </c>
      <c r="B827">
        <v>9</v>
      </c>
      <c r="C827">
        <v>41</v>
      </c>
      <c r="D827">
        <v>14</v>
      </c>
      <c r="E827">
        <v>12</v>
      </c>
      <c r="F827">
        <v>34</v>
      </c>
      <c r="G827">
        <v>2257602</v>
      </c>
      <c r="H827">
        <v>0</v>
      </c>
      <c r="I827">
        <v>1</v>
      </c>
      <c r="J827">
        <v>1</v>
      </c>
      <c r="K827">
        <v>0</v>
      </c>
      <c r="L827">
        <f t="shared" si="48"/>
        <v>24</v>
      </c>
      <c r="M827">
        <f t="shared" si="49"/>
        <v>288</v>
      </c>
      <c r="N827">
        <f t="shared" si="50"/>
        <v>274</v>
      </c>
      <c r="O827">
        <f t="shared" si="51"/>
        <v>2039.8333333333333</v>
      </c>
    </row>
    <row r="828" spans="1:15" x14ac:dyDescent="0.2">
      <c r="A828" t="s">
        <v>19</v>
      </c>
      <c r="B828">
        <v>9</v>
      </c>
      <c r="C828">
        <v>41</v>
      </c>
      <c r="D828">
        <v>17</v>
      </c>
      <c r="E828">
        <v>12</v>
      </c>
      <c r="F828">
        <v>39</v>
      </c>
      <c r="G828">
        <v>2245601</v>
      </c>
      <c r="H828">
        <v>0</v>
      </c>
      <c r="I828">
        <v>1</v>
      </c>
      <c r="J828">
        <v>1</v>
      </c>
      <c r="K828">
        <v>0</v>
      </c>
      <c r="L828">
        <f t="shared" si="48"/>
        <v>24</v>
      </c>
      <c r="M828">
        <f t="shared" si="49"/>
        <v>288</v>
      </c>
      <c r="N828">
        <f t="shared" si="50"/>
        <v>271</v>
      </c>
      <c r="O828">
        <f t="shared" si="51"/>
        <v>2039.5833333333333</v>
      </c>
    </row>
    <row r="829" spans="1:15" x14ac:dyDescent="0.2">
      <c r="A829" t="s">
        <v>19</v>
      </c>
      <c r="B829">
        <v>9</v>
      </c>
      <c r="C829">
        <v>41</v>
      </c>
      <c r="D829">
        <v>18</v>
      </c>
      <c r="E829">
        <v>12</v>
      </c>
      <c r="F829">
        <v>39</v>
      </c>
      <c r="G829">
        <v>2242703</v>
      </c>
      <c r="H829">
        <v>0</v>
      </c>
      <c r="I829">
        <v>1</v>
      </c>
      <c r="J829">
        <v>1</v>
      </c>
      <c r="K829">
        <v>0</v>
      </c>
      <c r="L829">
        <f t="shared" si="48"/>
        <v>24</v>
      </c>
      <c r="M829">
        <f t="shared" si="49"/>
        <v>288</v>
      </c>
      <c r="N829">
        <f t="shared" si="50"/>
        <v>270</v>
      </c>
      <c r="O829">
        <f t="shared" si="51"/>
        <v>2039.5</v>
      </c>
    </row>
    <row r="830" spans="1:15" x14ac:dyDescent="0.2">
      <c r="A830" t="s">
        <v>19</v>
      </c>
      <c r="B830">
        <v>9</v>
      </c>
      <c r="C830">
        <v>41</v>
      </c>
      <c r="D830">
        <v>21</v>
      </c>
      <c r="E830">
        <v>12</v>
      </c>
      <c r="F830">
        <v>40</v>
      </c>
      <c r="G830">
        <v>2227603</v>
      </c>
      <c r="H830">
        <v>0</v>
      </c>
      <c r="I830">
        <v>1</v>
      </c>
      <c r="J830">
        <v>1</v>
      </c>
      <c r="K830">
        <v>0</v>
      </c>
      <c r="L830">
        <f t="shared" si="48"/>
        <v>24</v>
      </c>
      <c r="M830">
        <f t="shared" si="49"/>
        <v>288</v>
      </c>
      <c r="N830">
        <f t="shared" si="50"/>
        <v>267</v>
      </c>
      <c r="O830">
        <f t="shared" si="51"/>
        <v>2039.25</v>
      </c>
    </row>
    <row r="831" spans="1:15" x14ac:dyDescent="0.2">
      <c r="A831" t="s">
        <v>19</v>
      </c>
      <c r="B831">
        <v>9</v>
      </c>
      <c r="C831">
        <v>41</v>
      </c>
      <c r="D831">
        <v>24</v>
      </c>
      <c r="E831">
        <v>1</v>
      </c>
      <c r="F831">
        <v>40</v>
      </c>
      <c r="G831">
        <v>2208401</v>
      </c>
      <c r="H831">
        <v>0</v>
      </c>
      <c r="I831">
        <v>1</v>
      </c>
      <c r="J831">
        <v>1</v>
      </c>
      <c r="K831">
        <v>0</v>
      </c>
      <c r="L831">
        <f t="shared" si="48"/>
        <v>24</v>
      </c>
      <c r="M831">
        <f t="shared" si="49"/>
        <v>288</v>
      </c>
      <c r="N831">
        <f t="shared" si="50"/>
        <v>264</v>
      </c>
      <c r="O831">
        <f t="shared" si="51"/>
        <v>2039</v>
      </c>
    </row>
    <row r="832" spans="1:15" x14ac:dyDescent="0.2">
      <c r="A832" t="s">
        <v>19</v>
      </c>
      <c r="B832">
        <v>9</v>
      </c>
      <c r="C832">
        <v>41</v>
      </c>
      <c r="D832">
        <v>26</v>
      </c>
      <c r="E832">
        <v>4</v>
      </c>
      <c r="F832">
        <v>40</v>
      </c>
      <c r="G832">
        <v>2199401</v>
      </c>
      <c r="H832">
        <v>0</v>
      </c>
      <c r="I832">
        <v>1</v>
      </c>
      <c r="J832">
        <v>1</v>
      </c>
      <c r="K832">
        <v>0</v>
      </c>
      <c r="L832">
        <f t="shared" si="48"/>
        <v>24</v>
      </c>
      <c r="M832">
        <f t="shared" si="49"/>
        <v>288</v>
      </c>
      <c r="N832">
        <f t="shared" si="50"/>
        <v>262</v>
      </c>
      <c r="O832">
        <f t="shared" si="51"/>
        <v>2038.8333333333333</v>
      </c>
    </row>
    <row r="833" spans="1:15" x14ac:dyDescent="0.2">
      <c r="A833" t="s">
        <v>19</v>
      </c>
      <c r="B833">
        <v>9</v>
      </c>
      <c r="C833">
        <v>41</v>
      </c>
      <c r="D833">
        <v>27</v>
      </c>
      <c r="E833">
        <v>1</v>
      </c>
      <c r="F833">
        <v>37</v>
      </c>
      <c r="G833">
        <v>2194801</v>
      </c>
      <c r="H833">
        <v>0</v>
      </c>
      <c r="I833">
        <v>1</v>
      </c>
      <c r="J833">
        <v>1</v>
      </c>
      <c r="K833">
        <v>0</v>
      </c>
      <c r="L833">
        <f t="shared" si="48"/>
        <v>24</v>
      </c>
      <c r="M833">
        <f t="shared" si="49"/>
        <v>288</v>
      </c>
      <c r="N833">
        <f t="shared" si="50"/>
        <v>261</v>
      </c>
      <c r="O833">
        <f t="shared" si="51"/>
        <v>2038.75</v>
      </c>
    </row>
    <row r="834" spans="1:15" x14ac:dyDescent="0.2">
      <c r="A834" t="s">
        <v>19</v>
      </c>
      <c r="B834">
        <v>9</v>
      </c>
      <c r="C834">
        <v>41</v>
      </c>
      <c r="D834">
        <v>28</v>
      </c>
      <c r="E834">
        <v>1</v>
      </c>
      <c r="F834">
        <v>39</v>
      </c>
      <c r="G834">
        <v>2188501</v>
      </c>
      <c r="H834">
        <v>0</v>
      </c>
      <c r="I834">
        <v>1</v>
      </c>
      <c r="J834">
        <v>1</v>
      </c>
      <c r="K834">
        <v>0</v>
      </c>
      <c r="L834">
        <f t="shared" si="48"/>
        <v>24</v>
      </c>
      <c r="M834">
        <f t="shared" si="49"/>
        <v>288</v>
      </c>
      <c r="N834">
        <f t="shared" si="50"/>
        <v>260</v>
      </c>
      <c r="O834">
        <f t="shared" si="51"/>
        <v>2038.6666666666667</v>
      </c>
    </row>
    <row r="835" spans="1:15" x14ac:dyDescent="0.2">
      <c r="A835" t="s">
        <v>19</v>
      </c>
      <c r="B835">
        <v>9</v>
      </c>
      <c r="C835">
        <v>41</v>
      </c>
      <c r="D835">
        <v>32</v>
      </c>
      <c r="E835">
        <v>4</v>
      </c>
      <c r="F835">
        <v>39</v>
      </c>
      <c r="G835">
        <v>2170101</v>
      </c>
      <c r="H835">
        <v>0</v>
      </c>
      <c r="I835">
        <v>1</v>
      </c>
      <c r="J835">
        <v>1</v>
      </c>
      <c r="K835">
        <v>0</v>
      </c>
      <c r="L835">
        <f t="shared" si="48"/>
        <v>24</v>
      </c>
      <c r="M835">
        <f t="shared" si="49"/>
        <v>288</v>
      </c>
      <c r="N835">
        <f t="shared" si="50"/>
        <v>256</v>
      </c>
      <c r="O835">
        <f t="shared" si="51"/>
        <v>2038.3333333333333</v>
      </c>
    </row>
    <row r="836" spans="1:15" x14ac:dyDescent="0.2">
      <c r="A836" t="s">
        <v>19</v>
      </c>
      <c r="B836">
        <v>9</v>
      </c>
      <c r="C836">
        <v>41</v>
      </c>
      <c r="D836">
        <v>34</v>
      </c>
      <c r="E836">
        <v>2</v>
      </c>
      <c r="F836">
        <v>37</v>
      </c>
      <c r="G836">
        <v>2157901</v>
      </c>
      <c r="H836">
        <v>1</v>
      </c>
      <c r="I836">
        <v>0</v>
      </c>
      <c r="J836">
        <v>1</v>
      </c>
      <c r="K836">
        <v>0</v>
      </c>
      <c r="L836">
        <f t="shared" si="48"/>
        <v>24</v>
      </c>
      <c r="M836">
        <f t="shared" si="49"/>
        <v>288</v>
      </c>
      <c r="N836">
        <f t="shared" si="50"/>
        <v>254</v>
      </c>
      <c r="O836">
        <f t="shared" si="51"/>
        <v>2038.1666666666667</v>
      </c>
    </row>
    <row r="837" spans="1:15" x14ac:dyDescent="0.2">
      <c r="A837" t="s">
        <v>19</v>
      </c>
      <c r="B837">
        <v>9</v>
      </c>
      <c r="C837">
        <v>41</v>
      </c>
      <c r="D837">
        <v>36</v>
      </c>
      <c r="E837">
        <v>4</v>
      </c>
      <c r="F837">
        <v>37</v>
      </c>
      <c r="G837">
        <v>2148401</v>
      </c>
      <c r="H837">
        <v>1</v>
      </c>
      <c r="I837">
        <v>0</v>
      </c>
      <c r="J837">
        <v>1</v>
      </c>
      <c r="K837">
        <v>0</v>
      </c>
      <c r="L837">
        <f t="shared" si="48"/>
        <v>24</v>
      </c>
      <c r="M837">
        <f t="shared" si="49"/>
        <v>288</v>
      </c>
      <c r="N837">
        <f t="shared" si="50"/>
        <v>252</v>
      </c>
      <c r="O837">
        <f t="shared" si="51"/>
        <v>2038</v>
      </c>
    </row>
    <row r="838" spans="1:15" x14ac:dyDescent="0.2">
      <c r="A838" t="s">
        <v>19</v>
      </c>
      <c r="B838">
        <v>9</v>
      </c>
      <c r="C838">
        <v>41</v>
      </c>
      <c r="D838">
        <v>43</v>
      </c>
      <c r="E838">
        <v>1</v>
      </c>
      <c r="F838">
        <v>38</v>
      </c>
      <c r="G838">
        <v>621702</v>
      </c>
      <c r="H838">
        <v>0</v>
      </c>
      <c r="I838">
        <v>1</v>
      </c>
      <c r="J838">
        <v>1</v>
      </c>
      <c r="K838">
        <v>0</v>
      </c>
      <c r="L838">
        <f t="shared" si="48"/>
        <v>24</v>
      </c>
      <c r="M838">
        <f t="shared" si="49"/>
        <v>288</v>
      </c>
      <c r="N838">
        <f t="shared" si="50"/>
        <v>245</v>
      </c>
      <c r="O838">
        <f t="shared" si="51"/>
        <v>2037.4166666666667</v>
      </c>
    </row>
    <row r="839" spans="1:15" x14ac:dyDescent="0.2">
      <c r="A839" t="s">
        <v>19</v>
      </c>
      <c r="B839">
        <v>9</v>
      </c>
      <c r="C839">
        <v>41</v>
      </c>
      <c r="D839">
        <v>46</v>
      </c>
      <c r="E839">
        <v>1</v>
      </c>
      <c r="F839">
        <v>40</v>
      </c>
      <c r="G839">
        <v>2099501</v>
      </c>
      <c r="H839">
        <v>1</v>
      </c>
      <c r="I839">
        <v>0</v>
      </c>
      <c r="J839">
        <v>1</v>
      </c>
      <c r="K839">
        <v>0</v>
      </c>
      <c r="L839">
        <f t="shared" ref="L839:L902" si="52">65-C839</f>
        <v>24</v>
      </c>
      <c r="M839">
        <f t="shared" ref="M839:M902" si="53">L839*12</f>
        <v>288</v>
      </c>
      <c r="N839">
        <f t="shared" ref="N839:N902" si="54">M839-D839</f>
        <v>242</v>
      </c>
      <c r="O839">
        <f t="shared" ref="O839:O902" si="55">2017+N839/12</f>
        <v>2037.1666666666667</v>
      </c>
    </row>
    <row r="840" spans="1:15" x14ac:dyDescent="0.2">
      <c r="A840" t="s">
        <v>19</v>
      </c>
      <c r="B840">
        <v>9</v>
      </c>
      <c r="C840">
        <v>41</v>
      </c>
      <c r="D840">
        <v>49</v>
      </c>
      <c r="E840">
        <v>2</v>
      </c>
      <c r="F840">
        <v>37</v>
      </c>
      <c r="G840">
        <v>2086201</v>
      </c>
      <c r="H840">
        <v>0</v>
      </c>
      <c r="I840">
        <v>1</v>
      </c>
      <c r="J840">
        <v>1</v>
      </c>
      <c r="K840">
        <v>0</v>
      </c>
      <c r="L840">
        <f t="shared" si="52"/>
        <v>24</v>
      </c>
      <c r="M840">
        <f t="shared" si="53"/>
        <v>288</v>
      </c>
      <c r="N840">
        <f t="shared" si="54"/>
        <v>239</v>
      </c>
      <c r="O840">
        <f t="shared" si="55"/>
        <v>2036.9166666666667</v>
      </c>
    </row>
    <row r="841" spans="1:15" x14ac:dyDescent="0.2">
      <c r="A841" t="s">
        <v>19</v>
      </c>
      <c r="B841">
        <v>9</v>
      </c>
      <c r="C841">
        <v>41</v>
      </c>
      <c r="D841">
        <v>53</v>
      </c>
      <c r="E841">
        <v>1</v>
      </c>
      <c r="F841">
        <v>38</v>
      </c>
      <c r="G841">
        <v>2071101</v>
      </c>
      <c r="H841">
        <v>1</v>
      </c>
      <c r="I841">
        <v>0</v>
      </c>
      <c r="J841">
        <v>1</v>
      </c>
      <c r="K841">
        <v>0</v>
      </c>
      <c r="L841">
        <f t="shared" si="52"/>
        <v>24</v>
      </c>
      <c r="M841">
        <f t="shared" si="53"/>
        <v>288</v>
      </c>
      <c r="N841">
        <f t="shared" si="54"/>
        <v>235</v>
      </c>
      <c r="O841">
        <f t="shared" si="55"/>
        <v>2036.5833333333333</v>
      </c>
    </row>
    <row r="842" spans="1:15" x14ac:dyDescent="0.2">
      <c r="A842" t="s">
        <v>19</v>
      </c>
      <c r="B842">
        <v>9</v>
      </c>
      <c r="C842">
        <v>41</v>
      </c>
      <c r="D842">
        <v>56</v>
      </c>
      <c r="E842">
        <v>1</v>
      </c>
      <c r="F842">
        <v>31</v>
      </c>
      <c r="G842">
        <v>2050201</v>
      </c>
      <c r="H842">
        <v>0</v>
      </c>
      <c r="I842">
        <v>1</v>
      </c>
      <c r="J842">
        <v>1</v>
      </c>
      <c r="K842">
        <v>0</v>
      </c>
      <c r="L842">
        <f t="shared" si="52"/>
        <v>24</v>
      </c>
      <c r="M842">
        <f t="shared" si="53"/>
        <v>288</v>
      </c>
      <c r="N842">
        <f t="shared" si="54"/>
        <v>232</v>
      </c>
      <c r="O842">
        <f t="shared" si="55"/>
        <v>2036.3333333333333</v>
      </c>
    </row>
    <row r="843" spans="1:15" x14ac:dyDescent="0.2">
      <c r="A843" t="s">
        <v>19</v>
      </c>
      <c r="B843">
        <v>9</v>
      </c>
      <c r="C843">
        <v>41</v>
      </c>
      <c r="D843">
        <v>57</v>
      </c>
      <c r="E843">
        <v>1</v>
      </c>
      <c r="F843">
        <v>36</v>
      </c>
      <c r="G843">
        <v>2040101</v>
      </c>
      <c r="H843">
        <v>0</v>
      </c>
      <c r="I843">
        <v>1</v>
      </c>
      <c r="J843">
        <v>1</v>
      </c>
      <c r="K843">
        <v>0</v>
      </c>
      <c r="L843">
        <f t="shared" si="52"/>
        <v>24</v>
      </c>
      <c r="M843">
        <f t="shared" si="53"/>
        <v>288</v>
      </c>
      <c r="N843">
        <f t="shared" si="54"/>
        <v>231</v>
      </c>
      <c r="O843">
        <f t="shared" si="55"/>
        <v>2036.25</v>
      </c>
    </row>
    <row r="844" spans="1:15" x14ac:dyDescent="0.2">
      <c r="A844" t="s">
        <v>19</v>
      </c>
      <c r="B844">
        <v>9</v>
      </c>
      <c r="C844">
        <v>41</v>
      </c>
      <c r="D844">
        <v>60</v>
      </c>
      <c r="E844">
        <v>1</v>
      </c>
      <c r="F844">
        <v>33</v>
      </c>
      <c r="G844">
        <v>2031401</v>
      </c>
      <c r="H844">
        <v>0</v>
      </c>
      <c r="I844">
        <v>1</v>
      </c>
      <c r="J844">
        <v>1</v>
      </c>
      <c r="K844">
        <v>0</v>
      </c>
      <c r="L844">
        <f t="shared" si="52"/>
        <v>24</v>
      </c>
      <c r="M844">
        <f t="shared" si="53"/>
        <v>288</v>
      </c>
      <c r="N844">
        <f t="shared" si="54"/>
        <v>228</v>
      </c>
      <c r="O844">
        <f t="shared" si="55"/>
        <v>2036</v>
      </c>
    </row>
    <row r="845" spans="1:15" x14ac:dyDescent="0.2">
      <c r="A845" t="s">
        <v>19</v>
      </c>
      <c r="B845">
        <v>9</v>
      </c>
      <c r="C845">
        <v>41</v>
      </c>
      <c r="D845">
        <v>61</v>
      </c>
      <c r="E845">
        <v>1</v>
      </c>
      <c r="F845">
        <v>33</v>
      </c>
      <c r="G845">
        <v>2027801</v>
      </c>
      <c r="H845">
        <v>1</v>
      </c>
      <c r="I845">
        <v>0</v>
      </c>
      <c r="J845">
        <v>1</v>
      </c>
      <c r="K845">
        <v>0</v>
      </c>
      <c r="L845">
        <f t="shared" si="52"/>
        <v>24</v>
      </c>
      <c r="M845">
        <f t="shared" si="53"/>
        <v>288</v>
      </c>
      <c r="N845">
        <f t="shared" si="54"/>
        <v>227</v>
      </c>
      <c r="O845">
        <f t="shared" si="55"/>
        <v>2035.9166666666667</v>
      </c>
    </row>
    <row r="846" spans="1:15" x14ac:dyDescent="0.2">
      <c r="A846" t="s">
        <v>19</v>
      </c>
      <c r="B846">
        <v>9</v>
      </c>
      <c r="C846">
        <v>41</v>
      </c>
      <c r="D846">
        <v>63</v>
      </c>
      <c r="E846">
        <v>1</v>
      </c>
      <c r="F846">
        <v>33</v>
      </c>
      <c r="G846">
        <v>2021901</v>
      </c>
      <c r="H846">
        <v>0</v>
      </c>
      <c r="I846">
        <v>1</v>
      </c>
      <c r="J846">
        <v>1</v>
      </c>
      <c r="K846">
        <v>0</v>
      </c>
      <c r="L846">
        <f t="shared" si="52"/>
        <v>24</v>
      </c>
      <c r="M846">
        <f t="shared" si="53"/>
        <v>288</v>
      </c>
      <c r="N846">
        <f t="shared" si="54"/>
        <v>225</v>
      </c>
      <c r="O846">
        <f t="shared" si="55"/>
        <v>2035.75</v>
      </c>
    </row>
    <row r="847" spans="1:15" x14ac:dyDescent="0.2">
      <c r="A847" t="s">
        <v>19</v>
      </c>
      <c r="B847">
        <v>9</v>
      </c>
      <c r="C847">
        <v>41</v>
      </c>
      <c r="D847">
        <v>73</v>
      </c>
      <c r="E847">
        <v>1</v>
      </c>
      <c r="F847">
        <v>41</v>
      </c>
      <c r="G847">
        <v>1988401</v>
      </c>
      <c r="H847">
        <v>1</v>
      </c>
      <c r="I847">
        <v>0</v>
      </c>
      <c r="J847">
        <v>1</v>
      </c>
      <c r="K847">
        <v>0</v>
      </c>
      <c r="L847">
        <f t="shared" si="52"/>
        <v>24</v>
      </c>
      <c r="M847">
        <f t="shared" si="53"/>
        <v>288</v>
      </c>
      <c r="N847">
        <f t="shared" si="54"/>
        <v>215</v>
      </c>
      <c r="O847">
        <f t="shared" si="55"/>
        <v>2034.9166666666667</v>
      </c>
    </row>
    <row r="848" spans="1:15" x14ac:dyDescent="0.2">
      <c r="A848" t="s">
        <v>19</v>
      </c>
      <c r="B848">
        <v>9</v>
      </c>
      <c r="C848">
        <v>41</v>
      </c>
      <c r="D848">
        <v>82</v>
      </c>
      <c r="E848">
        <v>1</v>
      </c>
      <c r="F848">
        <v>36</v>
      </c>
      <c r="G848">
        <v>1960901</v>
      </c>
      <c r="H848">
        <v>0</v>
      </c>
      <c r="I848">
        <v>1</v>
      </c>
      <c r="J848">
        <v>1</v>
      </c>
      <c r="K848">
        <v>0</v>
      </c>
      <c r="L848">
        <f t="shared" si="52"/>
        <v>24</v>
      </c>
      <c r="M848">
        <f t="shared" si="53"/>
        <v>288</v>
      </c>
      <c r="N848">
        <f t="shared" si="54"/>
        <v>206</v>
      </c>
      <c r="O848">
        <f t="shared" si="55"/>
        <v>2034.1666666666667</v>
      </c>
    </row>
    <row r="849" spans="1:15" x14ac:dyDescent="0.2">
      <c r="A849" t="s">
        <v>19</v>
      </c>
      <c r="B849">
        <v>9</v>
      </c>
      <c r="C849">
        <v>41</v>
      </c>
      <c r="D849">
        <v>93</v>
      </c>
      <c r="E849">
        <v>2</v>
      </c>
      <c r="F849">
        <v>33</v>
      </c>
      <c r="G849">
        <v>1899501</v>
      </c>
      <c r="H849">
        <v>0</v>
      </c>
      <c r="I849">
        <v>1</v>
      </c>
      <c r="J849">
        <v>1</v>
      </c>
      <c r="K849">
        <v>0</v>
      </c>
      <c r="L849">
        <f t="shared" si="52"/>
        <v>24</v>
      </c>
      <c r="M849">
        <f t="shared" si="53"/>
        <v>288</v>
      </c>
      <c r="N849">
        <f t="shared" si="54"/>
        <v>195</v>
      </c>
      <c r="O849">
        <f t="shared" si="55"/>
        <v>2033.25</v>
      </c>
    </row>
    <row r="850" spans="1:15" x14ac:dyDescent="0.2">
      <c r="A850" t="s">
        <v>19</v>
      </c>
      <c r="B850">
        <v>9</v>
      </c>
      <c r="C850">
        <v>41</v>
      </c>
      <c r="D850">
        <v>98</v>
      </c>
      <c r="E850">
        <v>1</v>
      </c>
      <c r="F850">
        <v>36</v>
      </c>
      <c r="G850">
        <v>1860601</v>
      </c>
      <c r="H850">
        <v>1</v>
      </c>
      <c r="I850">
        <v>0</v>
      </c>
      <c r="J850">
        <v>1</v>
      </c>
      <c r="K850">
        <v>0</v>
      </c>
      <c r="L850">
        <f t="shared" si="52"/>
        <v>24</v>
      </c>
      <c r="M850">
        <f t="shared" si="53"/>
        <v>288</v>
      </c>
      <c r="N850">
        <f t="shared" si="54"/>
        <v>190</v>
      </c>
      <c r="O850">
        <f t="shared" si="55"/>
        <v>2032.8333333333333</v>
      </c>
    </row>
    <row r="851" spans="1:15" x14ac:dyDescent="0.2">
      <c r="A851" t="s">
        <v>19</v>
      </c>
      <c r="B851">
        <v>9</v>
      </c>
      <c r="C851">
        <v>41</v>
      </c>
      <c r="D851">
        <v>103</v>
      </c>
      <c r="E851">
        <v>12</v>
      </c>
      <c r="F851">
        <v>37</v>
      </c>
      <c r="G851">
        <v>8202</v>
      </c>
      <c r="H851">
        <v>0</v>
      </c>
      <c r="I851">
        <v>1</v>
      </c>
      <c r="J851">
        <v>1</v>
      </c>
      <c r="K851">
        <v>0</v>
      </c>
      <c r="L851">
        <f t="shared" si="52"/>
        <v>24</v>
      </c>
      <c r="M851">
        <f t="shared" si="53"/>
        <v>288</v>
      </c>
      <c r="N851">
        <f t="shared" si="54"/>
        <v>185</v>
      </c>
      <c r="O851">
        <f t="shared" si="55"/>
        <v>2032.4166666666667</v>
      </c>
    </row>
    <row r="852" spans="1:15" x14ac:dyDescent="0.2">
      <c r="A852" t="s">
        <v>19</v>
      </c>
      <c r="B852">
        <v>9</v>
      </c>
      <c r="C852">
        <v>41</v>
      </c>
      <c r="D852">
        <v>109</v>
      </c>
      <c r="E852">
        <v>1</v>
      </c>
      <c r="F852">
        <v>35</v>
      </c>
      <c r="G852">
        <v>1728401</v>
      </c>
      <c r="H852">
        <v>0</v>
      </c>
      <c r="I852">
        <v>1</v>
      </c>
      <c r="J852">
        <v>1</v>
      </c>
      <c r="K852">
        <v>0</v>
      </c>
      <c r="L852">
        <f t="shared" si="52"/>
        <v>24</v>
      </c>
      <c r="M852">
        <f t="shared" si="53"/>
        <v>288</v>
      </c>
      <c r="N852">
        <f t="shared" si="54"/>
        <v>179</v>
      </c>
      <c r="O852">
        <f t="shared" si="55"/>
        <v>2031.9166666666667</v>
      </c>
    </row>
    <row r="853" spans="1:15" x14ac:dyDescent="0.2">
      <c r="A853" t="s">
        <v>19</v>
      </c>
      <c r="B853">
        <v>9</v>
      </c>
      <c r="C853">
        <v>41</v>
      </c>
      <c r="D853">
        <v>113</v>
      </c>
      <c r="E853">
        <v>1</v>
      </c>
      <c r="F853">
        <v>39</v>
      </c>
      <c r="G853">
        <v>1690901</v>
      </c>
      <c r="H853">
        <v>1</v>
      </c>
      <c r="I853">
        <v>0</v>
      </c>
      <c r="J853">
        <v>1</v>
      </c>
      <c r="K853">
        <v>0</v>
      </c>
      <c r="L853">
        <f t="shared" si="52"/>
        <v>24</v>
      </c>
      <c r="M853">
        <f t="shared" si="53"/>
        <v>288</v>
      </c>
      <c r="N853">
        <f t="shared" si="54"/>
        <v>175</v>
      </c>
      <c r="O853">
        <f t="shared" si="55"/>
        <v>2031.5833333333333</v>
      </c>
    </row>
    <row r="854" spans="1:15" x14ac:dyDescent="0.2">
      <c r="A854" t="s">
        <v>19</v>
      </c>
      <c r="B854">
        <v>9</v>
      </c>
      <c r="C854">
        <v>41</v>
      </c>
      <c r="D854">
        <v>114</v>
      </c>
      <c r="E854">
        <v>12</v>
      </c>
      <c r="F854">
        <v>31</v>
      </c>
      <c r="G854">
        <v>1675902</v>
      </c>
      <c r="H854">
        <v>0</v>
      </c>
      <c r="I854">
        <v>1</v>
      </c>
      <c r="J854">
        <v>1</v>
      </c>
      <c r="K854">
        <v>0</v>
      </c>
      <c r="L854">
        <f t="shared" si="52"/>
        <v>24</v>
      </c>
      <c r="M854">
        <f t="shared" si="53"/>
        <v>288</v>
      </c>
      <c r="N854">
        <f t="shared" si="54"/>
        <v>174</v>
      </c>
      <c r="O854">
        <f t="shared" si="55"/>
        <v>2031.5</v>
      </c>
    </row>
    <row r="855" spans="1:15" x14ac:dyDescent="0.2">
      <c r="A855" t="s">
        <v>19</v>
      </c>
      <c r="B855">
        <v>9</v>
      </c>
      <c r="C855">
        <v>41</v>
      </c>
      <c r="D855">
        <v>116</v>
      </c>
      <c r="E855">
        <v>1</v>
      </c>
      <c r="F855">
        <v>37</v>
      </c>
      <c r="G855">
        <v>1668701</v>
      </c>
      <c r="H855">
        <v>0</v>
      </c>
      <c r="I855">
        <v>1</v>
      </c>
      <c r="J855">
        <v>1</v>
      </c>
      <c r="K855">
        <v>0</v>
      </c>
      <c r="L855">
        <f t="shared" si="52"/>
        <v>24</v>
      </c>
      <c r="M855">
        <f t="shared" si="53"/>
        <v>288</v>
      </c>
      <c r="N855">
        <f t="shared" si="54"/>
        <v>172</v>
      </c>
      <c r="O855">
        <f t="shared" si="55"/>
        <v>2031.3333333333333</v>
      </c>
    </row>
    <row r="856" spans="1:15" x14ac:dyDescent="0.2">
      <c r="A856" t="s">
        <v>19</v>
      </c>
      <c r="B856">
        <v>9</v>
      </c>
      <c r="C856">
        <v>41</v>
      </c>
      <c r="D856">
        <v>116</v>
      </c>
      <c r="E856">
        <v>1</v>
      </c>
      <c r="F856">
        <v>38</v>
      </c>
      <c r="G856">
        <v>1662901</v>
      </c>
      <c r="H856">
        <v>0</v>
      </c>
      <c r="I856">
        <v>1</v>
      </c>
      <c r="J856">
        <v>1</v>
      </c>
      <c r="K856">
        <v>0</v>
      </c>
      <c r="L856">
        <f t="shared" si="52"/>
        <v>24</v>
      </c>
      <c r="M856">
        <f t="shared" si="53"/>
        <v>288</v>
      </c>
      <c r="N856">
        <f t="shared" si="54"/>
        <v>172</v>
      </c>
      <c r="O856">
        <f t="shared" si="55"/>
        <v>2031.3333333333333</v>
      </c>
    </row>
    <row r="857" spans="1:15" x14ac:dyDescent="0.2">
      <c r="A857" t="s">
        <v>19</v>
      </c>
      <c r="B857">
        <v>9</v>
      </c>
      <c r="C857">
        <v>41</v>
      </c>
      <c r="D857">
        <v>120</v>
      </c>
      <c r="E857">
        <v>1</v>
      </c>
      <c r="F857">
        <v>38</v>
      </c>
      <c r="G857">
        <v>1632401</v>
      </c>
      <c r="H857">
        <v>0</v>
      </c>
      <c r="I857">
        <v>1</v>
      </c>
      <c r="J857">
        <v>1</v>
      </c>
      <c r="K857">
        <v>0</v>
      </c>
      <c r="L857">
        <f t="shared" si="52"/>
        <v>24</v>
      </c>
      <c r="M857">
        <f t="shared" si="53"/>
        <v>288</v>
      </c>
      <c r="N857">
        <f t="shared" si="54"/>
        <v>168</v>
      </c>
      <c r="O857">
        <f t="shared" si="55"/>
        <v>2031</v>
      </c>
    </row>
    <row r="858" spans="1:15" x14ac:dyDescent="0.2">
      <c r="A858" t="s">
        <v>19</v>
      </c>
      <c r="B858">
        <v>9</v>
      </c>
      <c r="C858">
        <v>41</v>
      </c>
      <c r="D858">
        <v>130</v>
      </c>
      <c r="E858">
        <v>2</v>
      </c>
      <c r="F858">
        <v>27</v>
      </c>
      <c r="G858">
        <v>1600801</v>
      </c>
      <c r="H858">
        <v>0</v>
      </c>
      <c r="I858">
        <v>1</v>
      </c>
      <c r="J858">
        <v>1</v>
      </c>
      <c r="K858">
        <v>0</v>
      </c>
      <c r="L858">
        <f t="shared" si="52"/>
        <v>24</v>
      </c>
      <c r="M858">
        <f t="shared" si="53"/>
        <v>288</v>
      </c>
      <c r="N858">
        <f t="shared" si="54"/>
        <v>158</v>
      </c>
      <c r="O858">
        <f t="shared" si="55"/>
        <v>2030.1666666666667</v>
      </c>
    </row>
    <row r="859" spans="1:15" x14ac:dyDescent="0.2">
      <c r="A859" t="s">
        <v>19</v>
      </c>
      <c r="B859">
        <v>9</v>
      </c>
      <c r="C859">
        <v>41</v>
      </c>
      <c r="D859">
        <v>140</v>
      </c>
      <c r="E859">
        <v>1</v>
      </c>
      <c r="F859">
        <v>41</v>
      </c>
      <c r="G859">
        <v>234902</v>
      </c>
      <c r="H859">
        <v>1</v>
      </c>
      <c r="I859">
        <v>0</v>
      </c>
      <c r="J859">
        <v>1</v>
      </c>
      <c r="K859">
        <v>0</v>
      </c>
      <c r="L859">
        <f t="shared" si="52"/>
        <v>24</v>
      </c>
      <c r="M859">
        <f t="shared" si="53"/>
        <v>288</v>
      </c>
      <c r="N859">
        <f t="shared" si="54"/>
        <v>148</v>
      </c>
      <c r="O859">
        <f t="shared" si="55"/>
        <v>2029.3333333333333</v>
      </c>
    </row>
    <row r="860" spans="1:15" x14ac:dyDescent="0.2">
      <c r="A860" t="s">
        <v>19</v>
      </c>
      <c r="B860">
        <v>9</v>
      </c>
      <c r="C860">
        <v>41</v>
      </c>
      <c r="D860">
        <v>144</v>
      </c>
      <c r="E860">
        <v>1</v>
      </c>
      <c r="F860">
        <v>35</v>
      </c>
      <c r="G860">
        <v>1089301</v>
      </c>
      <c r="H860">
        <v>0</v>
      </c>
      <c r="I860">
        <v>1</v>
      </c>
      <c r="J860">
        <v>1</v>
      </c>
      <c r="K860">
        <v>0</v>
      </c>
      <c r="L860">
        <f t="shared" si="52"/>
        <v>24</v>
      </c>
      <c r="M860">
        <f t="shared" si="53"/>
        <v>288</v>
      </c>
      <c r="N860">
        <f t="shared" si="54"/>
        <v>144</v>
      </c>
      <c r="O860">
        <f t="shared" si="55"/>
        <v>2029</v>
      </c>
    </row>
    <row r="861" spans="1:15" x14ac:dyDescent="0.2">
      <c r="A861" t="s">
        <v>19</v>
      </c>
      <c r="B861">
        <v>9</v>
      </c>
      <c r="C861">
        <v>41</v>
      </c>
      <c r="D861">
        <v>146</v>
      </c>
      <c r="E861">
        <v>1</v>
      </c>
      <c r="F861">
        <v>39</v>
      </c>
      <c r="G861">
        <v>1078501</v>
      </c>
      <c r="H861">
        <v>0</v>
      </c>
      <c r="I861">
        <v>1</v>
      </c>
      <c r="J861">
        <v>1</v>
      </c>
      <c r="K861">
        <v>0</v>
      </c>
      <c r="L861">
        <f t="shared" si="52"/>
        <v>24</v>
      </c>
      <c r="M861">
        <f t="shared" si="53"/>
        <v>288</v>
      </c>
      <c r="N861">
        <f t="shared" si="54"/>
        <v>142</v>
      </c>
      <c r="O861">
        <f t="shared" si="55"/>
        <v>2028.8333333333333</v>
      </c>
    </row>
    <row r="862" spans="1:15" x14ac:dyDescent="0.2">
      <c r="A862" t="s">
        <v>19</v>
      </c>
      <c r="B862">
        <v>9</v>
      </c>
      <c r="C862">
        <v>41</v>
      </c>
      <c r="D862">
        <v>155</v>
      </c>
      <c r="E862">
        <v>1</v>
      </c>
      <c r="F862">
        <v>40</v>
      </c>
      <c r="G862">
        <v>1010401</v>
      </c>
      <c r="H862">
        <v>0</v>
      </c>
      <c r="I862">
        <v>1</v>
      </c>
      <c r="J862">
        <v>1</v>
      </c>
      <c r="K862">
        <v>0</v>
      </c>
      <c r="L862">
        <f t="shared" si="52"/>
        <v>24</v>
      </c>
      <c r="M862">
        <f t="shared" si="53"/>
        <v>288</v>
      </c>
      <c r="N862">
        <f t="shared" si="54"/>
        <v>133</v>
      </c>
      <c r="O862">
        <f t="shared" si="55"/>
        <v>2028.0833333333333</v>
      </c>
    </row>
    <row r="863" spans="1:15" x14ac:dyDescent="0.2">
      <c r="A863" t="s">
        <v>19</v>
      </c>
      <c r="B863">
        <v>9</v>
      </c>
      <c r="C863">
        <v>41</v>
      </c>
      <c r="D863">
        <v>160</v>
      </c>
      <c r="E863">
        <v>12</v>
      </c>
      <c r="F863">
        <v>33</v>
      </c>
      <c r="G863">
        <v>972401</v>
      </c>
      <c r="H863">
        <v>0</v>
      </c>
      <c r="I863">
        <v>1</v>
      </c>
      <c r="J863">
        <v>1</v>
      </c>
      <c r="K863">
        <v>0</v>
      </c>
      <c r="L863">
        <f t="shared" si="52"/>
        <v>24</v>
      </c>
      <c r="M863">
        <f t="shared" si="53"/>
        <v>288</v>
      </c>
      <c r="N863">
        <f t="shared" si="54"/>
        <v>128</v>
      </c>
      <c r="O863">
        <f t="shared" si="55"/>
        <v>2027.6666666666667</v>
      </c>
    </row>
    <row r="864" spans="1:15" x14ac:dyDescent="0.2">
      <c r="A864" t="s">
        <v>19</v>
      </c>
      <c r="B864">
        <v>9</v>
      </c>
      <c r="C864">
        <v>41</v>
      </c>
      <c r="D864">
        <v>162</v>
      </c>
      <c r="E864">
        <v>1</v>
      </c>
      <c r="F864">
        <v>41</v>
      </c>
      <c r="G864">
        <v>952901</v>
      </c>
      <c r="H864">
        <v>1</v>
      </c>
      <c r="I864">
        <v>0</v>
      </c>
      <c r="J864">
        <v>1</v>
      </c>
      <c r="K864">
        <v>0</v>
      </c>
      <c r="L864">
        <f t="shared" si="52"/>
        <v>24</v>
      </c>
      <c r="M864">
        <f t="shared" si="53"/>
        <v>288</v>
      </c>
      <c r="N864">
        <f t="shared" si="54"/>
        <v>126</v>
      </c>
      <c r="O864">
        <f t="shared" si="55"/>
        <v>2027.5</v>
      </c>
    </row>
    <row r="865" spans="1:15" x14ac:dyDescent="0.2">
      <c r="A865" t="s">
        <v>19</v>
      </c>
      <c r="B865">
        <v>9</v>
      </c>
      <c r="C865">
        <v>41</v>
      </c>
      <c r="D865">
        <v>164</v>
      </c>
      <c r="E865">
        <v>1</v>
      </c>
      <c r="F865">
        <v>39</v>
      </c>
      <c r="G865">
        <v>940201</v>
      </c>
      <c r="H865">
        <v>0</v>
      </c>
      <c r="I865">
        <v>1</v>
      </c>
      <c r="J865">
        <v>1</v>
      </c>
      <c r="K865">
        <v>0</v>
      </c>
      <c r="L865">
        <f t="shared" si="52"/>
        <v>24</v>
      </c>
      <c r="M865">
        <f t="shared" si="53"/>
        <v>288</v>
      </c>
      <c r="N865">
        <f t="shared" si="54"/>
        <v>124</v>
      </c>
      <c r="O865">
        <f t="shared" si="55"/>
        <v>2027.3333333333333</v>
      </c>
    </row>
    <row r="866" spans="1:15" x14ac:dyDescent="0.2">
      <c r="A866" t="s">
        <v>19</v>
      </c>
      <c r="B866">
        <v>9</v>
      </c>
      <c r="C866">
        <v>41</v>
      </c>
      <c r="D866">
        <v>171</v>
      </c>
      <c r="E866">
        <v>1</v>
      </c>
      <c r="F866">
        <v>36</v>
      </c>
      <c r="G866">
        <v>901601</v>
      </c>
      <c r="H866">
        <v>0</v>
      </c>
      <c r="I866">
        <v>1</v>
      </c>
      <c r="J866">
        <v>1</v>
      </c>
      <c r="K866">
        <v>0</v>
      </c>
      <c r="L866">
        <f t="shared" si="52"/>
        <v>24</v>
      </c>
      <c r="M866">
        <f t="shared" si="53"/>
        <v>288</v>
      </c>
      <c r="N866">
        <f t="shared" si="54"/>
        <v>117</v>
      </c>
      <c r="O866">
        <f t="shared" si="55"/>
        <v>2026.75</v>
      </c>
    </row>
    <row r="867" spans="1:15" x14ac:dyDescent="0.2">
      <c r="A867" t="s">
        <v>19</v>
      </c>
      <c r="B867">
        <v>9</v>
      </c>
      <c r="C867">
        <v>41</v>
      </c>
      <c r="D867">
        <v>181</v>
      </c>
      <c r="E867">
        <v>1</v>
      </c>
      <c r="F867">
        <v>39</v>
      </c>
      <c r="G867">
        <v>893101</v>
      </c>
      <c r="H867">
        <v>0</v>
      </c>
      <c r="I867">
        <v>1</v>
      </c>
      <c r="J867">
        <v>1</v>
      </c>
      <c r="K867">
        <v>0</v>
      </c>
      <c r="L867">
        <f t="shared" si="52"/>
        <v>24</v>
      </c>
      <c r="M867">
        <f t="shared" si="53"/>
        <v>288</v>
      </c>
      <c r="N867">
        <f t="shared" si="54"/>
        <v>107</v>
      </c>
      <c r="O867">
        <f t="shared" si="55"/>
        <v>2025.9166666666667</v>
      </c>
    </row>
    <row r="868" spans="1:15" x14ac:dyDescent="0.2">
      <c r="A868" t="s">
        <v>19</v>
      </c>
      <c r="B868">
        <v>9</v>
      </c>
      <c r="C868">
        <v>41</v>
      </c>
      <c r="D868">
        <v>187</v>
      </c>
      <c r="E868">
        <v>4</v>
      </c>
      <c r="F868">
        <v>41</v>
      </c>
      <c r="G868">
        <v>881501</v>
      </c>
      <c r="H868">
        <v>0</v>
      </c>
      <c r="I868">
        <v>1</v>
      </c>
      <c r="J868">
        <v>1</v>
      </c>
      <c r="K868">
        <v>0</v>
      </c>
      <c r="L868">
        <f t="shared" si="52"/>
        <v>24</v>
      </c>
      <c r="M868">
        <f t="shared" si="53"/>
        <v>288</v>
      </c>
      <c r="N868">
        <f t="shared" si="54"/>
        <v>101</v>
      </c>
      <c r="O868">
        <f t="shared" si="55"/>
        <v>2025.4166666666667</v>
      </c>
    </row>
    <row r="869" spans="1:15" x14ac:dyDescent="0.2">
      <c r="A869" t="s">
        <v>19</v>
      </c>
      <c r="B869">
        <v>9</v>
      </c>
      <c r="C869">
        <v>41</v>
      </c>
      <c r="D869">
        <v>193</v>
      </c>
      <c r="E869">
        <v>1</v>
      </c>
      <c r="F869">
        <v>28</v>
      </c>
      <c r="G869">
        <v>849201</v>
      </c>
      <c r="H869">
        <v>0</v>
      </c>
      <c r="I869">
        <v>1</v>
      </c>
      <c r="J869">
        <v>1</v>
      </c>
      <c r="K869">
        <v>0</v>
      </c>
      <c r="L869">
        <f t="shared" si="52"/>
        <v>24</v>
      </c>
      <c r="M869">
        <f t="shared" si="53"/>
        <v>288</v>
      </c>
      <c r="N869">
        <f t="shared" si="54"/>
        <v>95</v>
      </c>
      <c r="O869">
        <f t="shared" si="55"/>
        <v>2024.9166666666667</v>
      </c>
    </row>
    <row r="870" spans="1:15" x14ac:dyDescent="0.2">
      <c r="A870" t="s">
        <v>19</v>
      </c>
      <c r="B870">
        <v>9</v>
      </c>
      <c r="C870">
        <v>41</v>
      </c>
      <c r="D870">
        <v>193</v>
      </c>
      <c r="E870">
        <v>1</v>
      </c>
      <c r="F870">
        <v>33</v>
      </c>
      <c r="G870">
        <v>851701</v>
      </c>
      <c r="H870">
        <v>0</v>
      </c>
      <c r="I870">
        <v>1</v>
      </c>
      <c r="J870">
        <v>1</v>
      </c>
      <c r="K870">
        <v>0</v>
      </c>
      <c r="L870">
        <f t="shared" si="52"/>
        <v>24</v>
      </c>
      <c r="M870">
        <f t="shared" si="53"/>
        <v>288</v>
      </c>
      <c r="N870">
        <f t="shared" si="54"/>
        <v>95</v>
      </c>
      <c r="O870">
        <f t="shared" si="55"/>
        <v>2024.9166666666667</v>
      </c>
    </row>
    <row r="871" spans="1:15" x14ac:dyDescent="0.2">
      <c r="A871" t="s">
        <v>19</v>
      </c>
      <c r="B871">
        <v>9</v>
      </c>
      <c r="C871">
        <v>41</v>
      </c>
      <c r="D871">
        <v>193</v>
      </c>
      <c r="E871">
        <v>2</v>
      </c>
      <c r="F871">
        <v>36</v>
      </c>
      <c r="G871">
        <v>844002</v>
      </c>
      <c r="H871">
        <v>0</v>
      </c>
      <c r="I871">
        <v>1</v>
      </c>
      <c r="J871">
        <v>1</v>
      </c>
      <c r="K871">
        <v>0</v>
      </c>
      <c r="L871">
        <f t="shared" si="52"/>
        <v>24</v>
      </c>
      <c r="M871">
        <f t="shared" si="53"/>
        <v>288</v>
      </c>
      <c r="N871">
        <f t="shared" si="54"/>
        <v>95</v>
      </c>
      <c r="O871">
        <f t="shared" si="55"/>
        <v>2024.9166666666667</v>
      </c>
    </row>
    <row r="872" spans="1:15" x14ac:dyDescent="0.2">
      <c r="A872" t="s">
        <v>19</v>
      </c>
      <c r="B872">
        <v>9</v>
      </c>
      <c r="C872">
        <v>41</v>
      </c>
      <c r="D872">
        <v>194</v>
      </c>
      <c r="E872">
        <v>1</v>
      </c>
      <c r="F872">
        <v>38</v>
      </c>
      <c r="G872">
        <v>840401</v>
      </c>
      <c r="H872">
        <v>0</v>
      </c>
      <c r="I872">
        <v>1</v>
      </c>
      <c r="J872">
        <v>1</v>
      </c>
      <c r="K872">
        <v>0</v>
      </c>
      <c r="L872">
        <f t="shared" si="52"/>
        <v>24</v>
      </c>
      <c r="M872">
        <f t="shared" si="53"/>
        <v>288</v>
      </c>
      <c r="N872">
        <f t="shared" si="54"/>
        <v>94</v>
      </c>
      <c r="O872">
        <f t="shared" si="55"/>
        <v>2024.8333333333333</v>
      </c>
    </row>
    <row r="873" spans="1:15" x14ac:dyDescent="0.2">
      <c r="A873" t="s">
        <v>19</v>
      </c>
      <c r="B873">
        <v>9</v>
      </c>
      <c r="C873">
        <v>41</v>
      </c>
      <c r="D873">
        <v>195</v>
      </c>
      <c r="E873">
        <v>12</v>
      </c>
      <c r="F873">
        <v>40</v>
      </c>
      <c r="G873">
        <v>833002</v>
      </c>
      <c r="H873">
        <v>0</v>
      </c>
      <c r="I873">
        <v>1</v>
      </c>
      <c r="J873">
        <v>1</v>
      </c>
      <c r="K873">
        <v>0</v>
      </c>
      <c r="L873">
        <f t="shared" si="52"/>
        <v>24</v>
      </c>
      <c r="M873">
        <f t="shared" si="53"/>
        <v>288</v>
      </c>
      <c r="N873">
        <f t="shared" si="54"/>
        <v>93</v>
      </c>
      <c r="O873">
        <f t="shared" si="55"/>
        <v>2024.75</v>
      </c>
    </row>
    <row r="874" spans="1:15" x14ac:dyDescent="0.2">
      <c r="A874" t="s">
        <v>19</v>
      </c>
      <c r="B874">
        <v>9</v>
      </c>
      <c r="C874">
        <v>41</v>
      </c>
      <c r="D874">
        <v>196</v>
      </c>
      <c r="E874">
        <v>1</v>
      </c>
      <c r="F874">
        <v>37</v>
      </c>
      <c r="G874">
        <v>586202</v>
      </c>
      <c r="H874">
        <v>0</v>
      </c>
      <c r="I874">
        <v>1</v>
      </c>
      <c r="J874">
        <v>1</v>
      </c>
      <c r="K874">
        <v>0</v>
      </c>
      <c r="L874">
        <f t="shared" si="52"/>
        <v>24</v>
      </c>
      <c r="M874">
        <f t="shared" si="53"/>
        <v>288</v>
      </c>
      <c r="N874">
        <f t="shared" si="54"/>
        <v>92</v>
      </c>
      <c r="O874">
        <f t="shared" si="55"/>
        <v>2024.6666666666667</v>
      </c>
    </row>
    <row r="875" spans="1:15" x14ac:dyDescent="0.2">
      <c r="A875" t="s">
        <v>19</v>
      </c>
      <c r="B875">
        <v>9</v>
      </c>
      <c r="C875">
        <v>41</v>
      </c>
      <c r="D875">
        <v>199</v>
      </c>
      <c r="E875">
        <v>1</v>
      </c>
      <c r="F875">
        <v>35</v>
      </c>
      <c r="G875">
        <v>172502</v>
      </c>
      <c r="H875">
        <v>0</v>
      </c>
      <c r="I875">
        <v>1</v>
      </c>
      <c r="J875">
        <v>1</v>
      </c>
      <c r="K875">
        <v>0</v>
      </c>
      <c r="L875">
        <f t="shared" si="52"/>
        <v>24</v>
      </c>
      <c r="M875">
        <f t="shared" si="53"/>
        <v>288</v>
      </c>
      <c r="N875">
        <f t="shared" si="54"/>
        <v>89</v>
      </c>
      <c r="O875">
        <f t="shared" si="55"/>
        <v>2024.4166666666667</v>
      </c>
    </row>
    <row r="876" spans="1:15" x14ac:dyDescent="0.2">
      <c r="A876" t="s">
        <v>19</v>
      </c>
      <c r="B876">
        <v>9</v>
      </c>
      <c r="C876">
        <v>41</v>
      </c>
      <c r="D876">
        <v>199</v>
      </c>
      <c r="E876">
        <v>1</v>
      </c>
      <c r="F876">
        <v>35</v>
      </c>
      <c r="G876">
        <v>813001</v>
      </c>
      <c r="H876">
        <v>0</v>
      </c>
      <c r="I876">
        <v>1</v>
      </c>
      <c r="J876">
        <v>1</v>
      </c>
      <c r="K876">
        <v>0</v>
      </c>
      <c r="L876">
        <f t="shared" si="52"/>
        <v>24</v>
      </c>
      <c r="M876">
        <f t="shared" si="53"/>
        <v>288</v>
      </c>
      <c r="N876">
        <f t="shared" si="54"/>
        <v>89</v>
      </c>
      <c r="O876">
        <f t="shared" si="55"/>
        <v>2024.4166666666667</v>
      </c>
    </row>
    <row r="877" spans="1:15" x14ac:dyDescent="0.2">
      <c r="A877" t="s">
        <v>19</v>
      </c>
      <c r="B877">
        <v>9</v>
      </c>
      <c r="C877">
        <v>41</v>
      </c>
      <c r="D877">
        <v>200</v>
      </c>
      <c r="E877">
        <v>1</v>
      </c>
      <c r="F877">
        <v>35</v>
      </c>
      <c r="G877">
        <v>795101</v>
      </c>
      <c r="H877">
        <v>1</v>
      </c>
      <c r="I877">
        <v>0</v>
      </c>
      <c r="J877">
        <v>1</v>
      </c>
      <c r="K877">
        <v>0</v>
      </c>
      <c r="L877">
        <f t="shared" si="52"/>
        <v>24</v>
      </c>
      <c r="M877">
        <f t="shared" si="53"/>
        <v>288</v>
      </c>
      <c r="N877">
        <f t="shared" si="54"/>
        <v>88</v>
      </c>
      <c r="O877">
        <f t="shared" si="55"/>
        <v>2024.3333333333333</v>
      </c>
    </row>
    <row r="878" spans="1:15" x14ac:dyDescent="0.2">
      <c r="A878" t="s">
        <v>19</v>
      </c>
      <c r="B878">
        <v>9</v>
      </c>
      <c r="C878">
        <v>41</v>
      </c>
      <c r="D878">
        <v>204</v>
      </c>
      <c r="E878">
        <v>1</v>
      </c>
      <c r="F878">
        <v>41</v>
      </c>
      <c r="G878">
        <v>743802</v>
      </c>
      <c r="H878">
        <v>1</v>
      </c>
      <c r="I878">
        <v>0</v>
      </c>
      <c r="J878">
        <v>1</v>
      </c>
      <c r="K878">
        <v>0</v>
      </c>
      <c r="L878">
        <f t="shared" si="52"/>
        <v>24</v>
      </c>
      <c r="M878">
        <f t="shared" si="53"/>
        <v>288</v>
      </c>
      <c r="N878">
        <f t="shared" si="54"/>
        <v>84</v>
      </c>
      <c r="O878">
        <f t="shared" si="55"/>
        <v>2024</v>
      </c>
    </row>
    <row r="879" spans="1:15" x14ac:dyDescent="0.2">
      <c r="A879" t="s">
        <v>19</v>
      </c>
      <c r="B879">
        <v>9</v>
      </c>
      <c r="C879">
        <v>41</v>
      </c>
      <c r="D879">
        <v>205</v>
      </c>
      <c r="E879">
        <v>1</v>
      </c>
      <c r="F879">
        <v>35</v>
      </c>
      <c r="G879">
        <v>736401</v>
      </c>
      <c r="H879">
        <v>0</v>
      </c>
      <c r="I879">
        <v>1</v>
      </c>
      <c r="J879">
        <v>1</v>
      </c>
      <c r="K879">
        <v>0</v>
      </c>
      <c r="L879">
        <f t="shared" si="52"/>
        <v>24</v>
      </c>
      <c r="M879">
        <f t="shared" si="53"/>
        <v>288</v>
      </c>
      <c r="N879">
        <f t="shared" si="54"/>
        <v>83</v>
      </c>
      <c r="O879">
        <f t="shared" si="55"/>
        <v>2023.9166666666667</v>
      </c>
    </row>
    <row r="880" spans="1:15" x14ac:dyDescent="0.2">
      <c r="A880" t="s">
        <v>19</v>
      </c>
      <c r="B880">
        <v>9</v>
      </c>
      <c r="C880">
        <v>41</v>
      </c>
      <c r="D880">
        <v>214</v>
      </c>
      <c r="E880">
        <v>1</v>
      </c>
      <c r="F880">
        <v>34</v>
      </c>
      <c r="G880">
        <v>556601</v>
      </c>
      <c r="H880">
        <v>0</v>
      </c>
      <c r="I880">
        <v>1</v>
      </c>
      <c r="J880">
        <v>1</v>
      </c>
      <c r="K880">
        <v>0</v>
      </c>
      <c r="L880">
        <f t="shared" si="52"/>
        <v>24</v>
      </c>
      <c r="M880">
        <f t="shared" si="53"/>
        <v>288</v>
      </c>
      <c r="N880">
        <f t="shared" si="54"/>
        <v>74</v>
      </c>
      <c r="O880">
        <f t="shared" si="55"/>
        <v>2023.1666666666667</v>
      </c>
    </row>
    <row r="881" spans="1:15" x14ac:dyDescent="0.2">
      <c r="A881" t="s">
        <v>19</v>
      </c>
      <c r="B881">
        <v>9</v>
      </c>
      <c r="C881">
        <v>41</v>
      </c>
      <c r="D881">
        <v>216</v>
      </c>
      <c r="E881">
        <v>1</v>
      </c>
      <c r="F881">
        <v>37</v>
      </c>
      <c r="G881">
        <v>517701</v>
      </c>
      <c r="H881">
        <v>0</v>
      </c>
      <c r="I881">
        <v>1</v>
      </c>
      <c r="J881">
        <v>1</v>
      </c>
      <c r="K881">
        <v>0</v>
      </c>
      <c r="L881">
        <f t="shared" si="52"/>
        <v>24</v>
      </c>
      <c r="M881">
        <f t="shared" si="53"/>
        <v>288</v>
      </c>
      <c r="N881">
        <f t="shared" si="54"/>
        <v>72</v>
      </c>
      <c r="O881">
        <f t="shared" si="55"/>
        <v>2023</v>
      </c>
    </row>
    <row r="882" spans="1:15" x14ac:dyDescent="0.2">
      <c r="A882" t="s">
        <v>19</v>
      </c>
      <c r="B882">
        <v>9</v>
      </c>
      <c r="C882">
        <v>41</v>
      </c>
      <c r="D882">
        <v>220</v>
      </c>
      <c r="E882">
        <v>1</v>
      </c>
      <c r="F882">
        <v>37</v>
      </c>
      <c r="G882">
        <v>361901</v>
      </c>
      <c r="H882">
        <v>0</v>
      </c>
      <c r="I882">
        <v>1</v>
      </c>
      <c r="J882">
        <v>1</v>
      </c>
      <c r="K882">
        <v>0</v>
      </c>
      <c r="L882">
        <f t="shared" si="52"/>
        <v>24</v>
      </c>
      <c r="M882">
        <f t="shared" si="53"/>
        <v>288</v>
      </c>
      <c r="N882">
        <f t="shared" si="54"/>
        <v>68</v>
      </c>
      <c r="O882">
        <f t="shared" si="55"/>
        <v>2022.6666666666667</v>
      </c>
    </row>
    <row r="883" spans="1:15" x14ac:dyDescent="0.2">
      <c r="A883" t="s">
        <v>19</v>
      </c>
      <c r="B883">
        <v>9</v>
      </c>
      <c r="C883">
        <v>41</v>
      </c>
      <c r="D883">
        <v>246</v>
      </c>
      <c r="E883">
        <v>2</v>
      </c>
      <c r="F883">
        <v>38</v>
      </c>
      <c r="G883">
        <v>38101</v>
      </c>
      <c r="H883">
        <v>1</v>
      </c>
      <c r="I883">
        <v>0</v>
      </c>
      <c r="J883">
        <v>1</v>
      </c>
      <c r="K883">
        <v>0</v>
      </c>
      <c r="L883">
        <f t="shared" si="52"/>
        <v>24</v>
      </c>
      <c r="M883">
        <f t="shared" si="53"/>
        <v>288</v>
      </c>
      <c r="N883">
        <f t="shared" si="54"/>
        <v>42</v>
      </c>
      <c r="O883">
        <f t="shared" si="55"/>
        <v>2020.5</v>
      </c>
    </row>
    <row r="884" spans="1:15" x14ac:dyDescent="0.2">
      <c r="A884" t="s">
        <v>19</v>
      </c>
      <c r="B884">
        <v>9</v>
      </c>
      <c r="C884">
        <v>42</v>
      </c>
      <c r="D884">
        <v>1</v>
      </c>
      <c r="E884">
        <v>12</v>
      </c>
      <c r="F884">
        <v>36</v>
      </c>
      <c r="G884">
        <v>2403903</v>
      </c>
      <c r="H884">
        <v>0</v>
      </c>
      <c r="I884">
        <v>1</v>
      </c>
      <c r="J884">
        <v>1</v>
      </c>
      <c r="K884">
        <v>0</v>
      </c>
      <c r="L884">
        <f t="shared" si="52"/>
        <v>23</v>
      </c>
      <c r="M884">
        <f t="shared" si="53"/>
        <v>276</v>
      </c>
      <c r="N884">
        <f t="shared" si="54"/>
        <v>275</v>
      </c>
      <c r="O884">
        <f t="shared" si="55"/>
        <v>2039.9166666666667</v>
      </c>
    </row>
    <row r="885" spans="1:15" x14ac:dyDescent="0.2">
      <c r="A885" t="s">
        <v>19</v>
      </c>
      <c r="B885">
        <v>9</v>
      </c>
      <c r="C885">
        <v>42</v>
      </c>
      <c r="D885">
        <v>1</v>
      </c>
      <c r="E885">
        <v>12</v>
      </c>
      <c r="F885">
        <v>39</v>
      </c>
      <c r="G885">
        <v>2392903</v>
      </c>
      <c r="H885">
        <v>1</v>
      </c>
      <c r="I885">
        <v>0</v>
      </c>
      <c r="J885">
        <v>1</v>
      </c>
      <c r="K885">
        <v>0</v>
      </c>
      <c r="L885">
        <f t="shared" si="52"/>
        <v>23</v>
      </c>
      <c r="M885">
        <f t="shared" si="53"/>
        <v>276</v>
      </c>
      <c r="N885">
        <f t="shared" si="54"/>
        <v>275</v>
      </c>
      <c r="O885">
        <f t="shared" si="55"/>
        <v>2039.9166666666667</v>
      </c>
    </row>
    <row r="886" spans="1:15" x14ac:dyDescent="0.2">
      <c r="A886" t="s">
        <v>19</v>
      </c>
      <c r="B886">
        <v>9</v>
      </c>
      <c r="C886">
        <v>42</v>
      </c>
      <c r="D886">
        <v>2</v>
      </c>
      <c r="E886">
        <v>12</v>
      </c>
      <c r="F886">
        <v>35</v>
      </c>
      <c r="G886">
        <v>2372301</v>
      </c>
      <c r="H886">
        <v>0</v>
      </c>
      <c r="I886">
        <v>1</v>
      </c>
      <c r="J886">
        <v>1</v>
      </c>
      <c r="K886">
        <v>0</v>
      </c>
      <c r="L886">
        <f t="shared" si="52"/>
        <v>23</v>
      </c>
      <c r="M886">
        <f t="shared" si="53"/>
        <v>276</v>
      </c>
      <c r="N886">
        <f t="shared" si="54"/>
        <v>274</v>
      </c>
      <c r="O886">
        <f t="shared" si="55"/>
        <v>2039.8333333333333</v>
      </c>
    </row>
    <row r="887" spans="1:15" x14ac:dyDescent="0.2">
      <c r="A887" t="s">
        <v>19</v>
      </c>
      <c r="B887">
        <v>9</v>
      </c>
      <c r="C887">
        <v>42</v>
      </c>
      <c r="D887">
        <v>2</v>
      </c>
      <c r="E887">
        <v>12</v>
      </c>
      <c r="F887">
        <v>37</v>
      </c>
      <c r="G887">
        <v>2373303</v>
      </c>
      <c r="H887">
        <v>1</v>
      </c>
      <c r="I887">
        <v>0</v>
      </c>
      <c r="J887">
        <v>1</v>
      </c>
      <c r="K887">
        <v>0</v>
      </c>
      <c r="L887">
        <f t="shared" si="52"/>
        <v>23</v>
      </c>
      <c r="M887">
        <f t="shared" si="53"/>
        <v>276</v>
      </c>
      <c r="N887">
        <f t="shared" si="54"/>
        <v>274</v>
      </c>
      <c r="O887">
        <f t="shared" si="55"/>
        <v>2039.8333333333333</v>
      </c>
    </row>
    <row r="888" spans="1:15" x14ac:dyDescent="0.2">
      <c r="A888" t="s">
        <v>19</v>
      </c>
      <c r="B888">
        <v>9</v>
      </c>
      <c r="C888">
        <v>42</v>
      </c>
      <c r="D888">
        <v>2</v>
      </c>
      <c r="E888">
        <v>12</v>
      </c>
      <c r="F888">
        <v>40</v>
      </c>
      <c r="G888">
        <v>2368503</v>
      </c>
      <c r="H888">
        <v>1</v>
      </c>
      <c r="I888">
        <v>0</v>
      </c>
      <c r="J888">
        <v>1</v>
      </c>
      <c r="K888">
        <v>0</v>
      </c>
      <c r="L888">
        <f t="shared" si="52"/>
        <v>23</v>
      </c>
      <c r="M888">
        <f t="shared" si="53"/>
        <v>276</v>
      </c>
      <c r="N888">
        <f t="shared" si="54"/>
        <v>274</v>
      </c>
      <c r="O888">
        <f t="shared" si="55"/>
        <v>2039.8333333333333</v>
      </c>
    </row>
    <row r="889" spans="1:15" x14ac:dyDescent="0.2">
      <c r="A889" t="s">
        <v>19</v>
      </c>
      <c r="B889">
        <v>9</v>
      </c>
      <c r="C889">
        <v>42</v>
      </c>
      <c r="D889">
        <v>2</v>
      </c>
      <c r="E889">
        <v>12</v>
      </c>
      <c r="F889">
        <v>41</v>
      </c>
      <c r="G889">
        <v>2376603</v>
      </c>
      <c r="H889">
        <v>0</v>
      </c>
      <c r="I889">
        <v>1</v>
      </c>
      <c r="J889">
        <v>1</v>
      </c>
      <c r="K889">
        <v>0</v>
      </c>
      <c r="L889">
        <f t="shared" si="52"/>
        <v>23</v>
      </c>
      <c r="M889">
        <f t="shared" si="53"/>
        <v>276</v>
      </c>
      <c r="N889">
        <f t="shared" si="54"/>
        <v>274</v>
      </c>
      <c r="O889">
        <f t="shared" si="55"/>
        <v>2039.8333333333333</v>
      </c>
    </row>
    <row r="890" spans="1:15" x14ac:dyDescent="0.2">
      <c r="A890" t="s">
        <v>19</v>
      </c>
      <c r="B890">
        <v>9</v>
      </c>
      <c r="C890">
        <v>42</v>
      </c>
      <c r="D890">
        <v>3</v>
      </c>
      <c r="E890">
        <v>12</v>
      </c>
      <c r="F890">
        <v>37</v>
      </c>
      <c r="G890">
        <v>2361305</v>
      </c>
      <c r="H890">
        <v>0</v>
      </c>
      <c r="I890">
        <v>1</v>
      </c>
      <c r="J890">
        <v>1</v>
      </c>
      <c r="K890">
        <v>0</v>
      </c>
      <c r="L890">
        <f t="shared" si="52"/>
        <v>23</v>
      </c>
      <c r="M890">
        <f t="shared" si="53"/>
        <v>276</v>
      </c>
      <c r="N890">
        <f t="shared" si="54"/>
        <v>273</v>
      </c>
      <c r="O890">
        <f t="shared" si="55"/>
        <v>2039.75</v>
      </c>
    </row>
    <row r="891" spans="1:15" x14ac:dyDescent="0.2">
      <c r="A891" t="s">
        <v>19</v>
      </c>
      <c r="B891">
        <v>9</v>
      </c>
      <c r="C891">
        <v>42</v>
      </c>
      <c r="D891">
        <v>3</v>
      </c>
      <c r="E891">
        <v>12</v>
      </c>
      <c r="F891">
        <v>41</v>
      </c>
      <c r="G891">
        <v>2352703</v>
      </c>
      <c r="H891">
        <v>0</v>
      </c>
      <c r="I891">
        <v>1</v>
      </c>
      <c r="J891">
        <v>1</v>
      </c>
      <c r="K891">
        <v>0</v>
      </c>
      <c r="L891">
        <f t="shared" si="52"/>
        <v>23</v>
      </c>
      <c r="M891">
        <f t="shared" si="53"/>
        <v>276</v>
      </c>
      <c r="N891">
        <f t="shared" si="54"/>
        <v>273</v>
      </c>
      <c r="O891">
        <f t="shared" si="55"/>
        <v>2039.75</v>
      </c>
    </row>
    <row r="892" spans="1:15" x14ac:dyDescent="0.2">
      <c r="A892" t="s">
        <v>19</v>
      </c>
      <c r="B892">
        <v>9</v>
      </c>
      <c r="C892">
        <v>42</v>
      </c>
      <c r="D892">
        <v>4</v>
      </c>
      <c r="E892">
        <v>1</v>
      </c>
      <c r="F892">
        <v>38</v>
      </c>
      <c r="G892">
        <v>2348001</v>
      </c>
      <c r="H892">
        <v>1</v>
      </c>
      <c r="I892">
        <v>0</v>
      </c>
      <c r="J892">
        <v>1</v>
      </c>
      <c r="K892">
        <v>0</v>
      </c>
      <c r="L892">
        <f t="shared" si="52"/>
        <v>23</v>
      </c>
      <c r="M892">
        <f t="shared" si="53"/>
        <v>276</v>
      </c>
      <c r="N892">
        <f t="shared" si="54"/>
        <v>272</v>
      </c>
      <c r="O892">
        <f t="shared" si="55"/>
        <v>2039.6666666666667</v>
      </c>
    </row>
    <row r="893" spans="1:15" x14ac:dyDescent="0.2">
      <c r="A893" t="s">
        <v>19</v>
      </c>
      <c r="B893">
        <v>9</v>
      </c>
      <c r="C893">
        <v>42</v>
      </c>
      <c r="D893">
        <v>4</v>
      </c>
      <c r="E893">
        <v>12</v>
      </c>
      <c r="F893">
        <v>37</v>
      </c>
      <c r="G893">
        <v>2350503</v>
      </c>
      <c r="H893">
        <v>0</v>
      </c>
      <c r="I893">
        <v>1</v>
      </c>
      <c r="J893">
        <v>1</v>
      </c>
      <c r="K893">
        <v>0</v>
      </c>
      <c r="L893">
        <f t="shared" si="52"/>
        <v>23</v>
      </c>
      <c r="M893">
        <f t="shared" si="53"/>
        <v>276</v>
      </c>
      <c r="N893">
        <f t="shared" si="54"/>
        <v>272</v>
      </c>
      <c r="O893">
        <f t="shared" si="55"/>
        <v>2039.6666666666667</v>
      </c>
    </row>
    <row r="894" spans="1:15" x14ac:dyDescent="0.2">
      <c r="A894" t="s">
        <v>19</v>
      </c>
      <c r="B894">
        <v>9</v>
      </c>
      <c r="C894">
        <v>42</v>
      </c>
      <c r="D894">
        <v>6</v>
      </c>
      <c r="E894">
        <v>4</v>
      </c>
      <c r="F894">
        <v>41</v>
      </c>
      <c r="G894">
        <v>2331401</v>
      </c>
      <c r="H894">
        <v>0</v>
      </c>
      <c r="I894">
        <v>1</v>
      </c>
      <c r="J894">
        <v>1</v>
      </c>
      <c r="K894">
        <v>0</v>
      </c>
      <c r="L894">
        <f t="shared" si="52"/>
        <v>23</v>
      </c>
      <c r="M894">
        <f t="shared" si="53"/>
        <v>276</v>
      </c>
      <c r="N894">
        <f t="shared" si="54"/>
        <v>270</v>
      </c>
      <c r="O894">
        <f t="shared" si="55"/>
        <v>2039.5</v>
      </c>
    </row>
    <row r="895" spans="1:15" x14ac:dyDescent="0.2">
      <c r="A895" t="s">
        <v>19</v>
      </c>
      <c r="B895">
        <v>9</v>
      </c>
      <c r="C895">
        <v>42</v>
      </c>
      <c r="D895">
        <v>6</v>
      </c>
      <c r="E895">
        <v>12</v>
      </c>
      <c r="F895">
        <v>37</v>
      </c>
      <c r="G895">
        <v>2327103</v>
      </c>
      <c r="H895">
        <v>0</v>
      </c>
      <c r="I895">
        <v>1</v>
      </c>
      <c r="J895">
        <v>1</v>
      </c>
      <c r="K895">
        <v>0</v>
      </c>
      <c r="L895">
        <f t="shared" si="52"/>
        <v>23</v>
      </c>
      <c r="M895">
        <f t="shared" si="53"/>
        <v>276</v>
      </c>
      <c r="N895">
        <f t="shared" si="54"/>
        <v>270</v>
      </c>
      <c r="O895">
        <f t="shared" si="55"/>
        <v>2039.5</v>
      </c>
    </row>
    <row r="896" spans="1:15" x14ac:dyDescent="0.2">
      <c r="A896" t="s">
        <v>19</v>
      </c>
      <c r="B896">
        <v>9</v>
      </c>
      <c r="C896">
        <v>42</v>
      </c>
      <c r="D896">
        <v>7</v>
      </c>
      <c r="E896">
        <v>12</v>
      </c>
      <c r="F896">
        <v>38</v>
      </c>
      <c r="G896">
        <v>2322005</v>
      </c>
      <c r="H896">
        <v>0</v>
      </c>
      <c r="I896">
        <v>1</v>
      </c>
      <c r="J896">
        <v>1</v>
      </c>
      <c r="K896">
        <v>0</v>
      </c>
      <c r="L896">
        <f t="shared" si="52"/>
        <v>23</v>
      </c>
      <c r="M896">
        <f t="shared" si="53"/>
        <v>276</v>
      </c>
      <c r="N896">
        <f t="shared" si="54"/>
        <v>269</v>
      </c>
      <c r="O896">
        <f t="shared" si="55"/>
        <v>2039.4166666666667</v>
      </c>
    </row>
    <row r="897" spans="1:15" x14ac:dyDescent="0.2">
      <c r="A897" t="s">
        <v>19</v>
      </c>
      <c r="B897">
        <v>9</v>
      </c>
      <c r="C897">
        <v>42</v>
      </c>
      <c r="D897">
        <v>7</v>
      </c>
      <c r="E897">
        <v>12</v>
      </c>
      <c r="F897">
        <v>40</v>
      </c>
      <c r="G897">
        <v>2325803</v>
      </c>
      <c r="H897">
        <v>0</v>
      </c>
      <c r="I897">
        <v>1</v>
      </c>
      <c r="J897">
        <v>1</v>
      </c>
      <c r="K897">
        <v>0</v>
      </c>
      <c r="L897">
        <f t="shared" si="52"/>
        <v>23</v>
      </c>
      <c r="M897">
        <f t="shared" si="53"/>
        <v>276</v>
      </c>
      <c r="N897">
        <f t="shared" si="54"/>
        <v>269</v>
      </c>
      <c r="O897">
        <f t="shared" si="55"/>
        <v>2039.4166666666667</v>
      </c>
    </row>
    <row r="898" spans="1:15" x14ac:dyDescent="0.2">
      <c r="A898" t="s">
        <v>19</v>
      </c>
      <c r="B898">
        <v>9</v>
      </c>
      <c r="C898">
        <v>42</v>
      </c>
      <c r="D898">
        <v>8</v>
      </c>
      <c r="E898">
        <v>12</v>
      </c>
      <c r="F898">
        <v>40</v>
      </c>
      <c r="G898">
        <v>2310403</v>
      </c>
      <c r="H898">
        <v>0</v>
      </c>
      <c r="I898">
        <v>1</v>
      </c>
      <c r="J898">
        <v>1</v>
      </c>
      <c r="K898">
        <v>0</v>
      </c>
      <c r="L898">
        <f t="shared" si="52"/>
        <v>23</v>
      </c>
      <c r="M898">
        <f t="shared" si="53"/>
        <v>276</v>
      </c>
      <c r="N898">
        <f t="shared" si="54"/>
        <v>268</v>
      </c>
      <c r="O898">
        <f t="shared" si="55"/>
        <v>2039.3333333333333</v>
      </c>
    </row>
    <row r="899" spans="1:15" x14ac:dyDescent="0.2">
      <c r="A899" t="s">
        <v>19</v>
      </c>
      <c r="B899">
        <v>9</v>
      </c>
      <c r="C899">
        <v>42</v>
      </c>
      <c r="D899">
        <v>10</v>
      </c>
      <c r="E899">
        <v>12</v>
      </c>
      <c r="F899">
        <v>40</v>
      </c>
      <c r="G899">
        <v>2294203</v>
      </c>
      <c r="H899">
        <v>1</v>
      </c>
      <c r="I899">
        <v>0</v>
      </c>
      <c r="J899">
        <v>1</v>
      </c>
      <c r="K899">
        <v>0</v>
      </c>
      <c r="L899">
        <f t="shared" si="52"/>
        <v>23</v>
      </c>
      <c r="M899">
        <f t="shared" si="53"/>
        <v>276</v>
      </c>
      <c r="N899">
        <f t="shared" si="54"/>
        <v>266</v>
      </c>
      <c r="O899">
        <f t="shared" si="55"/>
        <v>2039.1666666666667</v>
      </c>
    </row>
    <row r="900" spans="1:15" x14ac:dyDescent="0.2">
      <c r="A900" t="s">
        <v>19</v>
      </c>
      <c r="B900">
        <v>9</v>
      </c>
      <c r="C900">
        <v>42</v>
      </c>
      <c r="D900">
        <v>13</v>
      </c>
      <c r="E900">
        <v>12</v>
      </c>
      <c r="F900">
        <v>35</v>
      </c>
      <c r="G900">
        <v>2271903</v>
      </c>
      <c r="H900">
        <v>0</v>
      </c>
      <c r="I900">
        <v>1</v>
      </c>
      <c r="J900">
        <v>1</v>
      </c>
      <c r="K900">
        <v>0</v>
      </c>
      <c r="L900">
        <f t="shared" si="52"/>
        <v>23</v>
      </c>
      <c r="M900">
        <f t="shared" si="53"/>
        <v>276</v>
      </c>
      <c r="N900">
        <f t="shared" si="54"/>
        <v>263</v>
      </c>
      <c r="O900">
        <f t="shared" si="55"/>
        <v>2038.9166666666667</v>
      </c>
    </row>
    <row r="901" spans="1:15" x14ac:dyDescent="0.2">
      <c r="A901" t="s">
        <v>19</v>
      </c>
      <c r="B901">
        <v>9</v>
      </c>
      <c r="C901">
        <v>42</v>
      </c>
      <c r="D901">
        <v>13</v>
      </c>
      <c r="E901">
        <v>12</v>
      </c>
      <c r="F901">
        <v>36</v>
      </c>
      <c r="G901">
        <v>2274206</v>
      </c>
      <c r="H901">
        <v>1</v>
      </c>
      <c r="I901">
        <v>0</v>
      </c>
      <c r="J901">
        <v>1</v>
      </c>
      <c r="K901">
        <v>0</v>
      </c>
      <c r="L901">
        <f t="shared" si="52"/>
        <v>23</v>
      </c>
      <c r="M901">
        <f t="shared" si="53"/>
        <v>276</v>
      </c>
      <c r="N901">
        <f t="shared" si="54"/>
        <v>263</v>
      </c>
      <c r="O901">
        <f t="shared" si="55"/>
        <v>2038.9166666666667</v>
      </c>
    </row>
    <row r="902" spans="1:15" x14ac:dyDescent="0.2">
      <c r="A902" t="s">
        <v>19</v>
      </c>
      <c r="B902">
        <v>9</v>
      </c>
      <c r="C902">
        <v>42</v>
      </c>
      <c r="D902">
        <v>19</v>
      </c>
      <c r="E902">
        <v>12</v>
      </c>
      <c r="F902">
        <v>40</v>
      </c>
      <c r="G902">
        <v>2236403</v>
      </c>
      <c r="H902">
        <v>0</v>
      </c>
      <c r="I902">
        <v>1</v>
      </c>
      <c r="J902">
        <v>1</v>
      </c>
      <c r="K902">
        <v>0</v>
      </c>
      <c r="L902">
        <f t="shared" si="52"/>
        <v>23</v>
      </c>
      <c r="M902">
        <f t="shared" si="53"/>
        <v>276</v>
      </c>
      <c r="N902">
        <f t="shared" si="54"/>
        <v>257</v>
      </c>
      <c r="O902">
        <f t="shared" si="55"/>
        <v>2038.4166666666667</v>
      </c>
    </row>
    <row r="903" spans="1:15" x14ac:dyDescent="0.2">
      <c r="A903" t="s">
        <v>19</v>
      </c>
      <c r="B903">
        <v>9</v>
      </c>
      <c r="C903">
        <v>42</v>
      </c>
      <c r="D903">
        <v>19</v>
      </c>
      <c r="E903">
        <v>12</v>
      </c>
      <c r="F903">
        <v>41</v>
      </c>
      <c r="G903">
        <v>2237801</v>
      </c>
      <c r="H903">
        <v>0</v>
      </c>
      <c r="I903">
        <v>1</v>
      </c>
      <c r="J903">
        <v>1</v>
      </c>
      <c r="K903">
        <v>0</v>
      </c>
      <c r="L903">
        <f t="shared" ref="L903:L966" si="56">65-C903</f>
        <v>23</v>
      </c>
      <c r="M903">
        <f t="shared" ref="M903:M966" si="57">L903*12</f>
        <v>276</v>
      </c>
      <c r="N903">
        <f t="shared" ref="N903:N966" si="58">M903-D903</f>
        <v>257</v>
      </c>
      <c r="O903">
        <f t="shared" ref="O903:O966" si="59">2017+N903/12</f>
        <v>2038.4166666666667</v>
      </c>
    </row>
    <row r="904" spans="1:15" x14ac:dyDescent="0.2">
      <c r="A904" t="s">
        <v>19</v>
      </c>
      <c r="B904">
        <v>9</v>
      </c>
      <c r="C904">
        <v>42</v>
      </c>
      <c r="D904">
        <v>19</v>
      </c>
      <c r="E904">
        <v>12</v>
      </c>
      <c r="F904">
        <v>42</v>
      </c>
      <c r="G904">
        <v>2237003</v>
      </c>
      <c r="H904">
        <v>0</v>
      </c>
      <c r="I904">
        <v>1</v>
      </c>
      <c r="J904">
        <v>1</v>
      </c>
      <c r="K904">
        <v>0</v>
      </c>
      <c r="L904">
        <f t="shared" si="56"/>
        <v>23</v>
      </c>
      <c r="M904">
        <f t="shared" si="57"/>
        <v>276</v>
      </c>
      <c r="N904">
        <f t="shared" si="58"/>
        <v>257</v>
      </c>
      <c r="O904">
        <f t="shared" si="59"/>
        <v>2038.4166666666667</v>
      </c>
    </row>
    <row r="905" spans="1:15" x14ac:dyDescent="0.2">
      <c r="A905" t="s">
        <v>19</v>
      </c>
      <c r="B905">
        <v>9</v>
      </c>
      <c r="C905">
        <v>42</v>
      </c>
      <c r="D905">
        <v>25</v>
      </c>
      <c r="E905">
        <v>1</v>
      </c>
      <c r="F905">
        <v>36</v>
      </c>
      <c r="G905">
        <v>2205401</v>
      </c>
      <c r="H905">
        <v>1</v>
      </c>
      <c r="I905">
        <v>0</v>
      </c>
      <c r="J905">
        <v>1</v>
      </c>
      <c r="K905">
        <v>0</v>
      </c>
      <c r="L905">
        <f t="shared" si="56"/>
        <v>23</v>
      </c>
      <c r="M905">
        <f t="shared" si="57"/>
        <v>276</v>
      </c>
      <c r="N905">
        <f t="shared" si="58"/>
        <v>251</v>
      </c>
      <c r="O905">
        <f t="shared" si="59"/>
        <v>2037.9166666666667</v>
      </c>
    </row>
    <row r="906" spans="1:15" x14ac:dyDescent="0.2">
      <c r="A906" t="s">
        <v>19</v>
      </c>
      <c r="B906">
        <v>9</v>
      </c>
      <c r="C906">
        <v>42</v>
      </c>
      <c r="D906">
        <v>26</v>
      </c>
      <c r="E906">
        <v>1</v>
      </c>
      <c r="F906">
        <v>40</v>
      </c>
      <c r="G906">
        <v>2198101</v>
      </c>
      <c r="H906">
        <v>0</v>
      </c>
      <c r="I906">
        <v>1</v>
      </c>
      <c r="J906">
        <v>1</v>
      </c>
      <c r="K906">
        <v>0</v>
      </c>
      <c r="L906">
        <f t="shared" si="56"/>
        <v>23</v>
      </c>
      <c r="M906">
        <f t="shared" si="57"/>
        <v>276</v>
      </c>
      <c r="N906">
        <f t="shared" si="58"/>
        <v>250</v>
      </c>
      <c r="O906">
        <f t="shared" si="59"/>
        <v>2037.8333333333333</v>
      </c>
    </row>
    <row r="907" spans="1:15" x14ac:dyDescent="0.2">
      <c r="A907" t="s">
        <v>19</v>
      </c>
      <c r="B907">
        <v>9</v>
      </c>
      <c r="C907">
        <v>42</v>
      </c>
      <c r="D907">
        <v>26</v>
      </c>
      <c r="E907">
        <v>2</v>
      </c>
      <c r="F907">
        <v>36</v>
      </c>
      <c r="G907">
        <v>2199701</v>
      </c>
      <c r="H907">
        <v>0</v>
      </c>
      <c r="I907">
        <v>1</v>
      </c>
      <c r="J907">
        <v>1</v>
      </c>
      <c r="K907">
        <v>0</v>
      </c>
      <c r="L907">
        <f t="shared" si="56"/>
        <v>23</v>
      </c>
      <c r="M907">
        <f t="shared" si="57"/>
        <v>276</v>
      </c>
      <c r="N907">
        <f t="shared" si="58"/>
        <v>250</v>
      </c>
      <c r="O907">
        <f t="shared" si="59"/>
        <v>2037.8333333333333</v>
      </c>
    </row>
    <row r="908" spans="1:15" x14ac:dyDescent="0.2">
      <c r="A908" t="s">
        <v>19</v>
      </c>
      <c r="B908">
        <v>9</v>
      </c>
      <c r="C908">
        <v>42</v>
      </c>
      <c r="D908">
        <v>33</v>
      </c>
      <c r="E908">
        <v>1</v>
      </c>
      <c r="F908">
        <v>37</v>
      </c>
      <c r="G908">
        <v>2164801</v>
      </c>
      <c r="H908">
        <v>0</v>
      </c>
      <c r="I908">
        <v>1</v>
      </c>
      <c r="J908">
        <v>1</v>
      </c>
      <c r="K908">
        <v>0</v>
      </c>
      <c r="L908">
        <f t="shared" si="56"/>
        <v>23</v>
      </c>
      <c r="M908">
        <f t="shared" si="57"/>
        <v>276</v>
      </c>
      <c r="N908">
        <f t="shared" si="58"/>
        <v>243</v>
      </c>
      <c r="O908">
        <f t="shared" si="59"/>
        <v>2037.25</v>
      </c>
    </row>
    <row r="909" spans="1:15" x14ac:dyDescent="0.2">
      <c r="A909" t="s">
        <v>19</v>
      </c>
      <c r="B909">
        <v>9</v>
      </c>
      <c r="C909">
        <v>42</v>
      </c>
      <c r="D909">
        <v>34</v>
      </c>
      <c r="E909">
        <v>4</v>
      </c>
      <c r="F909">
        <v>40</v>
      </c>
      <c r="G909">
        <v>2160901</v>
      </c>
      <c r="H909">
        <v>1</v>
      </c>
      <c r="I909">
        <v>0</v>
      </c>
      <c r="J909">
        <v>1</v>
      </c>
      <c r="K909">
        <v>0</v>
      </c>
      <c r="L909">
        <f t="shared" si="56"/>
        <v>23</v>
      </c>
      <c r="M909">
        <f t="shared" si="57"/>
        <v>276</v>
      </c>
      <c r="N909">
        <f t="shared" si="58"/>
        <v>242</v>
      </c>
      <c r="O909">
        <f t="shared" si="59"/>
        <v>2037.1666666666667</v>
      </c>
    </row>
    <row r="910" spans="1:15" x14ac:dyDescent="0.2">
      <c r="A910" t="s">
        <v>19</v>
      </c>
      <c r="B910">
        <v>9</v>
      </c>
      <c r="C910">
        <v>42</v>
      </c>
      <c r="D910">
        <v>34</v>
      </c>
      <c r="E910">
        <v>12</v>
      </c>
      <c r="F910">
        <v>42</v>
      </c>
      <c r="G910">
        <v>2161102</v>
      </c>
      <c r="H910">
        <v>1</v>
      </c>
      <c r="I910">
        <v>0</v>
      </c>
      <c r="J910">
        <v>1</v>
      </c>
      <c r="K910">
        <v>0</v>
      </c>
      <c r="L910">
        <f t="shared" si="56"/>
        <v>23</v>
      </c>
      <c r="M910">
        <f t="shared" si="57"/>
        <v>276</v>
      </c>
      <c r="N910">
        <f t="shared" si="58"/>
        <v>242</v>
      </c>
      <c r="O910">
        <f t="shared" si="59"/>
        <v>2037.1666666666667</v>
      </c>
    </row>
    <row r="911" spans="1:15" x14ac:dyDescent="0.2">
      <c r="A911" t="s">
        <v>19</v>
      </c>
      <c r="B911">
        <v>9</v>
      </c>
      <c r="C911">
        <v>42</v>
      </c>
      <c r="D911">
        <v>36</v>
      </c>
      <c r="E911">
        <v>1</v>
      </c>
      <c r="F911">
        <v>40</v>
      </c>
      <c r="G911">
        <v>2152301</v>
      </c>
      <c r="H911">
        <v>1</v>
      </c>
      <c r="I911">
        <v>0</v>
      </c>
      <c r="J911">
        <v>1</v>
      </c>
      <c r="K911">
        <v>0</v>
      </c>
      <c r="L911">
        <f t="shared" si="56"/>
        <v>23</v>
      </c>
      <c r="M911">
        <f t="shared" si="57"/>
        <v>276</v>
      </c>
      <c r="N911">
        <f t="shared" si="58"/>
        <v>240</v>
      </c>
      <c r="O911">
        <f t="shared" si="59"/>
        <v>2037</v>
      </c>
    </row>
    <row r="912" spans="1:15" x14ac:dyDescent="0.2">
      <c r="A912" t="s">
        <v>19</v>
      </c>
      <c r="B912">
        <v>9</v>
      </c>
      <c r="C912">
        <v>42</v>
      </c>
      <c r="D912">
        <v>44</v>
      </c>
      <c r="E912">
        <v>1</v>
      </c>
      <c r="F912">
        <v>41</v>
      </c>
      <c r="G912">
        <v>2109201</v>
      </c>
      <c r="H912">
        <v>1</v>
      </c>
      <c r="I912">
        <v>0</v>
      </c>
      <c r="J912">
        <v>1</v>
      </c>
      <c r="K912">
        <v>0</v>
      </c>
      <c r="L912">
        <f t="shared" si="56"/>
        <v>23</v>
      </c>
      <c r="M912">
        <f t="shared" si="57"/>
        <v>276</v>
      </c>
      <c r="N912">
        <f t="shared" si="58"/>
        <v>232</v>
      </c>
      <c r="O912">
        <f t="shared" si="59"/>
        <v>2036.3333333333333</v>
      </c>
    </row>
    <row r="913" spans="1:15" x14ac:dyDescent="0.2">
      <c r="A913" t="s">
        <v>19</v>
      </c>
      <c r="B913">
        <v>9</v>
      </c>
      <c r="C913">
        <v>42</v>
      </c>
      <c r="D913">
        <v>44</v>
      </c>
      <c r="E913">
        <v>12</v>
      </c>
      <c r="F913">
        <v>31</v>
      </c>
      <c r="G913">
        <v>2113102</v>
      </c>
      <c r="H913">
        <v>0</v>
      </c>
      <c r="I913">
        <v>1</v>
      </c>
      <c r="J913">
        <v>1</v>
      </c>
      <c r="K913">
        <v>0</v>
      </c>
      <c r="L913">
        <f t="shared" si="56"/>
        <v>23</v>
      </c>
      <c r="M913">
        <f t="shared" si="57"/>
        <v>276</v>
      </c>
      <c r="N913">
        <f t="shared" si="58"/>
        <v>232</v>
      </c>
      <c r="O913">
        <f t="shared" si="59"/>
        <v>2036.3333333333333</v>
      </c>
    </row>
    <row r="914" spans="1:15" x14ac:dyDescent="0.2">
      <c r="A914" t="s">
        <v>19</v>
      </c>
      <c r="B914">
        <v>9</v>
      </c>
      <c r="C914">
        <v>42</v>
      </c>
      <c r="D914">
        <v>45</v>
      </c>
      <c r="E914">
        <v>12</v>
      </c>
      <c r="F914">
        <v>40</v>
      </c>
      <c r="G914">
        <v>567602</v>
      </c>
      <c r="H914">
        <v>0</v>
      </c>
      <c r="I914">
        <v>1</v>
      </c>
      <c r="J914">
        <v>1</v>
      </c>
      <c r="K914">
        <v>0</v>
      </c>
      <c r="L914">
        <f t="shared" si="56"/>
        <v>23</v>
      </c>
      <c r="M914">
        <f t="shared" si="57"/>
        <v>276</v>
      </c>
      <c r="N914">
        <f t="shared" si="58"/>
        <v>231</v>
      </c>
      <c r="O914">
        <f t="shared" si="59"/>
        <v>2036.25</v>
      </c>
    </row>
    <row r="915" spans="1:15" x14ac:dyDescent="0.2">
      <c r="A915" t="s">
        <v>19</v>
      </c>
      <c r="B915">
        <v>9</v>
      </c>
      <c r="C915">
        <v>42</v>
      </c>
      <c r="D915">
        <v>46</v>
      </c>
      <c r="E915">
        <v>1</v>
      </c>
      <c r="F915">
        <v>42</v>
      </c>
      <c r="G915">
        <v>2097001</v>
      </c>
      <c r="H915">
        <v>0</v>
      </c>
      <c r="I915">
        <v>1</v>
      </c>
      <c r="J915">
        <v>1</v>
      </c>
      <c r="K915">
        <v>0</v>
      </c>
      <c r="L915">
        <f t="shared" si="56"/>
        <v>23</v>
      </c>
      <c r="M915">
        <f t="shared" si="57"/>
        <v>276</v>
      </c>
      <c r="N915">
        <f t="shared" si="58"/>
        <v>230</v>
      </c>
      <c r="O915">
        <f t="shared" si="59"/>
        <v>2036.1666666666667</v>
      </c>
    </row>
    <row r="916" spans="1:15" x14ac:dyDescent="0.2">
      <c r="A916" t="s">
        <v>19</v>
      </c>
      <c r="B916">
        <v>9</v>
      </c>
      <c r="C916">
        <v>42</v>
      </c>
      <c r="D916">
        <v>50</v>
      </c>
      <c r="E916">
        <v>1</v>
      </c>
      <c r="F916">
        <v>34</v>
      </c>
      <c r="G916">
        <v>2078701</v>
      </c>
      <c r="H916">
        <v>1</v>
      </c>
      <c r="I916">
        <v>0</v>
      </c>
      <c r="J916">
        <v>1</v>
      </c>
      <c r="K916">
        <v>0</v>
      </c>
      <c r="L916">
        <f t="shared" si="56"/>
        <v>23</v>
      </c>
      <c r="M916">
        <f t="shared" si="57"/>
        <v>276</v>
      </c>
      <c r="N916">
        <f t="shared" si="58"/>
        <v>226</v>
      </c>
      <c r="O916">
        <f t="shared" si="59"/>
        <v>2035.8333333333333</v>
      </c>
    </row>
    <row r="917" spans="1:15" x14ac:dyDescent="0.2">
      <c r="A917" t="s">
        <v>19</v>
      </c>
      <c r="B917">
        <v>9</v>
      </c>
      <c r="C917">
        <v>42</v>
      </c>
      <c r="D917">
        <v>51</v>
      </c>
      <c r="E917">
        <v>12</v>
      </c>
      <c r="F917">
        <v>40</v>
      </c>
      <c r="G917">
        <v>2076102</v>
      </c>
      <c r="H917">
        <v>1</v>
      </c>
      <c r="I917">
        <v>0</v>
      </c>
      <c r="J917">
        <v>1</v>
      </c>
      <c r="K917">
        <v>0</v>
      </c>
      <c r="L917">
        <f t="shared" si="56"/>
        <v>23</v>
      </c>
      <c r="M917">
        <f t="shared" si="57"/>
        <v>276</v>
      </c>
      <c r="N917">
        <f t="shared" si="58"/>
        <v>225</v>
      </c>
      <c r="O917">
        <f t="shared" si="59"/>
        <v>2035.75</v>
      </c>
    </row>
    <row r="918" spans="1:15" x14ac:dyDescent="0.2">
      <c r="A918" t="s">
        <v>19</v>
      </c>
      <c r="B918">
        <v>9</v>
      </c>
      <c r="C918">
        <v>42</v>
      </c>
      <c r="D918">
        <v>54</v>
      </c>
      <c r="E918">
        <v>2</v>
      </c>
      <c r="F918">
        <v>41</v>
      </c>
      <c r="G918">
        <v>2059202</v>
      </c>
      <c r="H918">
        <v>0</v>
      </c>
      <c r="I918">
        <v>1</v>
      </c>
      <c r="J918">
        <v>1</v>
      </c>
      <c r="K918">
        <v>0</v>
      </c>
      <c r="L918">
        <f t="shared" si="56"/>
        <v>23</v>
      </c>
      <c r="M918">
        <f t="shared" si="57"/>
        <v>276</v>
      </c>
      <c r="N918">
        <f t="shared" si="58"/>
        <v>222</v>
      </c>
      <c r="O918">
        <f t="shared" si="59"/>
        <v>2035.5</v>
      </c>
    </row>
    <row r="919" spans="1:15" x14ac:dyDescent="0.2">
      <c r="A919" t="s">
        <v>19</v>
      </c>
      <c r="B919">
        <v>9</v>
      </c>
      <c r="C919">
        <v>42</v>
      </c>
      <c r="D919">
        <v>55</v>
      </c>
      <c r="E919">
        <v>2</v>
      </c>
      <c r="F919">
        <v>40</v>
      </c>
      <c r="G919">
        <v>2053001</v>
      </c>
      <c r="H919">
        <v>0</v>
      </c>
      <c r="I919">
        <v>1</v>
      </c>
      <c r="J919">
        <v>1</v>
      </c>
      <c r="K919">
        <v>0</v>
      </c>
      <c r="L919">
        <f t="shared" si="56"/>
        <v>23</v>
      </c>
      <c r="M919">
        <f t="shared" si="57"/>
        <v>276</v>
      </c>
      <c r="N919">
        <f t="shared" si="58"/>
        <v>221</v>
      </c>
      <c r="O919">
        <f t="shared" si="59"/>
        <v>2035.4166666666667</v>
      </c>
    </row>
    <row r="920" spans="1:15" x14ac:dyDescent="0.2">
      <c r="A920" t="s">
        <v>19</v>
      </c>
      <c r="B920">
        <v>9</v>
      </c>
      <c r="C920">
        <v>42</v>
      </c>
      <c r="D920">
        <v>56</v>
      </c>
      <c r="E920">
        <v>1</v>
      </c>
      <c r="F920">
        <v>38</v>
      </c>
      <c r="G920">
        <v>2047101</v>
      </c>
      <c r="H920">
        <v>0</v>
      </c>
      <c r="I920">
        <v>1</v>
      </c>
      <c r="J920">
        <v>1</v>
      </c>
      <c r="K920">
        <v>0</v>
      </c>
      <c r="L920">
        <f t="shared" si="56"/>
        <v>23</v>
      </c>
      <c r="M920">
        <f t="shared" si="57"/>
        <v>276</v>
      </c>
      <c r="N920">
        <f t="shared" si="58"/>
        <v>220</v>
      </c>
      <c r="O920">
        <f t="shared" si="59"/>
        <v>2035.3333333333333</v>
      </c>
    </row>
    <row r="921" spans="1:15" x14ac:dyDescent="0.2">
      <c r="A921" t="s">
        <v>19</v>
      </c>
      <c r="B921">
        <v>9</v>
      </c>
      <c r="C921">
        <v>42</v>
      </c>
      <c r="D921">
        <v>57</v>
      </c>
      <c r="E921">
        <v>2</v>
      </c>
      <c r="F921">
        <v>41</v>
      </c>
      <c r="G921">
        <v>1871203</v>
      </c>
      <c r="H921">
        <v>0</v>
      </c>
      <c r="I921">
        <v>1</v>
      </c>
      <c r="J921">
        <v>1</v>
      </c>
      <c r="K921">
        <v>0</v>
      </c>
      <c r="L921">
        <f t="shared" si="56"/>
        <v>23</v>
      </c>
      <c r="M921">
        <f t="shared" si="57"/>
        <v>276</v>
      </c>
      <c r="N921">
        <f t="shared" si="58"/>
        <v>219</v>
      </c>
      <c r="O921">
        <f t="shared" si="59"/>
        <v>2035.25</v>
      </c>
    </row>
    <row r="922" spans="1:15" x14ac:dyDescent="0.2">
      <c r="A922" t="s">
        <v>19</v>
      </c>
      <c r="B922">
        <v>9</v>
      </c>
      <c r="C922">
        <v>42</v>
      </c>
      <c r="D922">
        <v>63</v>
      </c>
      <c r="E922">
        <v>1</v>
      </c>
      <c r="F922">
        <v>40</v>
      </c>
      <c r="G922">
        <v>2018601</v>
      </c>
      <c r="H922">
        <v>0</v>
      </c>
      <c r="I922">
        <v>1</v>
      </c>
      <c r="J922">
        <v>1</v>
      </c>
      <c r="K922">
        <v>0</v>
      </c>
      <c r="L922">
        <f t="shared" si="56"/>
        <v>23</v>
      </c>
      <c r="M922">
        <f t="shared" si="57"/>
        <v>276</v>
      </c>
      <c r="N922">
        <f t="shared" si="58"/>
        <v>213</v>
      </c>
      <c r="O922">
        <f t="shared" si="59"/>
        <v>2034.75</v>
      </c>
    </row>
    <row r="923" spans="1:15" x14ac:dyDescent="0.2">
      <c r="A923" t="s">
        <v>19</v>
      </c>
      <c r="B923">
        <v>9</v>
      </c>
      <c r="C923">
        <v>42</v>
      </c>
      <c r="D923">
        <v>66</v>
      </c>
      <c r="E923">
        <v>1</v>
      </c>
      <c r="F923">
        <v>30</v>
      </c>
      <c r="G923">
        <v>2010501</v>
      </c>
      <c r="H923">
        <v>0</v>
      </c>
      <c r="I923">
        <v>1</v>
      </c>
      <c r="J923">
        <v>1</v>
      </c>
      <c r="K923">
        <v>0</v>
      </c>
      <c r="L923">
        <f t="shared" si="56"/>
        <v>23</v>
      </c>
      <c r="M923">
        <f t="shared" si="57"/>
        <v>276</v>
      </c>
      <c r="N923">
        <f t="shared" si="58"/>
        <v>210</v>
      </c>
      <c r="O923">
        <f t="shared" si="59"/>
        <v>2034.5</v>
      </c>
    </row>
    <row r="924" spans="1:15" x14ac:dyDescent="0.2">
      <c r="A924" t="s">
        <v>19</v>
      </c>
      <c r="B924">
        <v>9</v>
      </c>
      <c r="C924">
        <v>42</v>
      </c>
      <c r="D924">
        <v>70</v>
      </c>
      <c r="E924">
        <v>1</v>
      </c>
      <c r="F924">
        <v>39</v>
      </c>
      <c r="G924">
        <v>1997301</v>
      </c>
      <c r="H924">
        <v>0</v>
      </c>
      <c r="I924">
        <v>1</v>
      </c>
      <c r="J924">
        <v>1</v>
      </c>
      <c r="K924">
        <v>0</v>
      </c>
      <c r="L924">
        <f t="shared" si="56"/>
        <v>23</v>
      </c>
      <c r="M924">
        <f t="shared" si="57"/>
        <v>276</v>
      </c>
      <c r="N924">
        <f t="shared" si="58"/>
        <v>206</v>
      </c>
      <c r="O924">
        <f t="shared" si="59"/>
        <v>2034.1666666666667</v>
      </c>
    </row>
    <row r="925" spans="1:15" x14ac:dyDescent="0.2">
      <c r="A925" t="s">
        <v>19</v>
      </c>
      <c r="B925">
        <v>9</v>
      </c>
      <c r="C925">
        <v>42</v>
      </c>
      <c r="D925">
        <v>76</v>
      </c>
      <c r="E925">
        <v>1</v>
      </c>
      <c r="F925">
        <v>40</v>
      </c>
      <c r="G925">
        <v>1979301</v>
      </c>
      <c r="H925">
        <v>0</v>
      </c>
      <c r="I925">
        <v>1</v>
      </c>
      <c r="J925">
        <v>1</v>
      </c>
      <c r="K925">
        <v>0</v>
      </c>
      <c r="L925">
        <f t="shared" si="56"/>
        <v>23</v>
      </c>
      <c r="M925">
        <f t="shared" si="57"/>
        <v>276</v>
      </c>
      <c r="N925">
        <f t="shared" si="58"/>
        <v>200</v>
      </c>
      <c r="O925">
        <f t="shared" si="59"/>
        <v>2033.6666666666667</v>
      </c>
    </row>
    <row r="926" spans="1:15" x14ac:dyDescent="0.2">
      <c r="A926" t="s">
        <v>19</v>
      </c>
      <c r="B926">
        <v>9</v>
      </c>
      <c r="C926">
        <v>42</v>
      </c>
      <c r="D926">
        <v>80</v>
      </c>
      <c r="E926">
        <v>1</v>
      </c>
      <c r="F926">
        <v>40</v>
      </c>
      <c r="G926">
        <v>1967701</v>
      </c>
      <c r="H926">
        <v>0</v>
      </c>
      <c r="I926">
        <v>1</v>
      </c>
      <c r="J926">
        <v>1</v>
      </c>
      <c r="K926">
        <v>0</v>
      </c>
      <c r="L926">
        <f t="shared" si="56"/>
        <v>23</v>
      </c>
      <c r="M926">
        <f t="shared" si="57"/>
        <v>276</v>
      </c>
      <c r="N926">
        <f t="shared" si="58"/>
        <v>196</v>
      </c>
      <c r="O926">
        <f t="shared" si="59"/>
        <v>2033.3333333333333</v>
      </c>
    </row>
    <row r="927" spans="1:15" x14ac:dyDescent="0.2">
      <c r="A927" t="s">
        <v>19</v>
      </c>
      <c r="B927">
        <v>9</v>
      </c>
      <c r="C927">
        <v>42</v>
      </c>
      <c r="D927">
        <v>96</v>
      </c>
      <c r="E927">
        <v>1</v>
      </c>
      <c r="F927">
        <v>39</v>
      </c>
      <c r="G927">
        <v>900102</v>
      </c>
      <c r="H927">
        <v>0</v>
      </c>
      <c r="I927">
        <v>1</v>
      </c>
      <c r="J927">
        <v>1</v>
      </c>
      <c r="K927">
        <v>0</v>
      </c>
      <c r="L927">
        <f t="shared" si="56"/>
        <v>23</v>
      </c>
      <c r="M927">
        <f t="shared" si="57"/>
        <v>276</v>
      </c>
      <c r="N927">
        <f t="shared" si="58"/>
        <v>180</v>
      </c>
      <c r="O927">
        <f t="shared" si="59"/>
        <v>2032</v>
      </c>
    </row>
    <row r="928" spans="1:15" x14ac:dyDescent="0.2">
      <c r="A928" t="s">
        <v>19</v>
      </c>
      <c r="B928">
        <v>9</v>
      </c>
      <c r="C928">
        <v>42</v>
      </c>
      <c r="D928">
        <v>101</v>
      </c>
      <c r="E928">
        <v>1</v>
      </c>
      <c r="F928">
        <v>37</v>
      </c>
      <c r="G928">
        <v>1827101</v>
      </c>
      <c r="H928">
        <v>0</v>
      </c>
      <c r="I928">
        <v>1</v>
      </c>
      <c r="J928">
        <v>1</v>
      </c>
      <c r="K928">
        <v>0</v>
      </c>
      <c r="L928">
        <f t="shared" si="56"/>
        <v>23</v>
      </c>
      <c r="M928">
        <f t="shared" si="57"/>
        <v>276</v>
      </c>
      <c r="N928">
        <f t="shared" si="58"/>
        <v>175</v>
      </c>
      <c r="O928">
        <f t="shared" si="59"/>
        <v>2031.5833333333333</v>
      </c>
    </row>
    <row r="929" spans="1:15" x14ac:dyDescent="0.2">
      <c r="A929" t="s">
        <v>19</v>
      </c>
      <c r="B929">
        <v>9</v>
      </c>
      <c r="C929">
        <v>42</v>
      </c>
      <c r="D929">
        <v>102</v>
      </c>
      <c r="E929">
        <v>1</v>
      </c>
      <c r="F929">
        <v>40</v>
      </c>
      <c r="G929">
        <v>1820801</v>
      </c>
      <c r="H929">
        <v>1</v>
      </c>
      <c r="I929">
        <v>0</v>
      </c>
      <c r="J929">
        <v>1</v>
      </c>
      <c r="K929">
        <v>0</v>
      </c>
      <c r="L929">
        <f t="shared" si="56"/>
        <v>23</v>
      </c>
      <c r="M929">
        <f t="shared" si="57"/>
        <v>276</v>
      </c>
      <c r="N929">
        <f t="shared" si="58"/>
        <v>174</v>
      </c>
      <c r="O929">
        <f t="shared" si="59"/>
        <v>2031.5</v>
      </c>
    </row>
    <row r="930" spans="1:15" x14ac:dyDescent="0.2">
      <c r="A930" t="s">
        <v>19</v>
      </c>
      <c r="B930">
        <v>9</v>
      </c>
      <c r="C930">
        <v>42</v>
      </c>
      <c r="D930">
        <v>104</v>
      </c>
      <c r="E930">
        <v>2</v>
      </c>
      <c r="F930">
        <v>41</v>
      </c>
      <c r="G930">
        <v>1799201</v>
      </c>
      <c r="H930">
        <v>0</v>
      </c>
      <c r="I930">
        <v>1</v>
      </c>
      <c r="J930">
        <v>1</v>
      </c>
      <c r="K930">
        <v>0</v>
      </c>
      <c r="L930">
        <f t="shared" si="56"/>
        <v>23</v>
      </c>
      <c r="M930">
        <f t="shared" si="57"/>
        <v>276</v>
      </c>
      <c r="N930">
        <f t="shared" si="58"/>
        <v>172</v>
      </c>
      <c r="O930">
        <f t="shared" si="59"/>
        <v>2031.3333333333333</v>
      </c>
    </row>
    <row r="931" spans="1:15" x14ac:dyDescent="0.2">
      <c r="A931" t="s">
        <v>19</v>
      </c>
      <c r="B931">
        <v>9</v>
      </c>
      <c r="C931">
        <v>42</v>
      </c>
      <c r="D931">
        <v>105</v>
      </c>
      <c r="E931">
        <v>1</v>
      </c>
      <c r="F931">
        <v>38</v>
      </c>
      <c r="G931">
        <v>1780302</v>
      </c>
      <c r="H931">
        <v>0</v>
      </c>
      <c r="I931">
        <v>1</v>
      </c>
      <c r="J931">
        <v>1</v>
      </c>
      <c r="K931">
        <v>0</v>
      </c>
      <c r="L931">
        <f t="shared" si="56"/>
        <v>23</v>
      </c>
      <c r="M931">
        <f t="shared" si="57"/>
        <v>276</v>
      </c>
      <c r="N931">
        <f t="shared" si="58"/>
        <v>171</v>
      </c>
      <c r="O931">
        <f t="shared" si="59"/>
        <v>2031.25</v>
      </c>
    </row>
    <row r="932" spans="1:15" x14ac:dyDescent="0.2">
      <c r="A932" t="s">
        <v>19</v>
      </c>
      <c r="B932">
        <v>9</v>
      </c>
      <c r="C932">
        <v>42</v>
      </c>
      <c r="D932">
        <v>110</v>
      </c>
      <c r="E932">
        <v>1</v>
      </c>
      <c r="F932">
        <v>41</v>
      </c>
      <c r="G932">
        <v>1714901</v>
      </c>
      <c r="H932">
        <v>0</v>
      </c>
      <c r="I932">
        <v>1</v>
      </c>
      <c r="J932">
        <v>1</v>
      </c>
      <c r="K932">
        <v>0</v>
      </c>
      <c r="L932">
        <f t="shared" si="56"/>
        <v>23</v>
      </c>
      <c r="M932">
        <f t="shared" si="57"/>
        <v>276</v>
      </c>
      <c r="N932">
        <f t="shared" si="58"/>
        <v>166</v>
      </c>
      <c r="O932">
        <f t="shared" si="59"/>
        <v>2030.8333333333333</v>
      </c>
    </row>
    <row r="933" spans="1:15" x14ac:dyDescent="0.2">
      <c r="A933" t="s">
        <v>19</v>
      </c>
      <c r="B933">
        <v>9</v>
      </c>
      <c r="C933">
        <v>42</v>
      </c>
      <c r="D933">
        <v>115</v>
      </c>
      <c r="E933">
        <v>1</v>
      </c>
      <c r="F933">
        <v>38</v>
      </c>
      <c r="G933">
        <v>1672701</v>
      </c>
      <c r="H933">
        <v>0</v>
      </c>
      <c r="I933">
        <v>1</v>
      </c>
      <c r="J933">
        <v>1</v>
      </c>
      <c r="K933">
        <v>0</v>
      </c>
      <c r="L933">
        <f t="shared" si="56"/>
        <v>23</v>
      </c>
      <c r="M933">
        <f t="shared" si="57"/>
        <v>276</v>
      </c>
      <c r="N933">
        <f t="shared" si="58"/>
        <v>161</v>
      </c>
      <c r="O933">
        <f t="shared" si="59"/>
        <v>2030.4166666666667</v>
      </c>
    </row>
    <row r="934" spans="1:15" x14ac:dyDescent="0.2">
      <c r="A934" t="s">
        <v>19</v>
      </c>
      <c r="B934">
        <v>9</v>
      </c>
      <c r="C934">
        <v>42</v>
      </c>
      <c r="D934">
        <v>118</v>
      </c>
      <c r="E934">
        <v>1</v>
      </c>
      <c r="F934">
        <v>41</v>
      </c>
      <c r="G934">
        <v>1648701</v>
      </c>
      <c r="H934">
        <v>1</v>
      </c>
      <c r="I934">
        <v>0</v>
      </c>
      <c r="J934">
        <v>1</v>
      </c>
      <c r="K934">
        <v>0</v>
      </c>
      <c r="L934">
        <f t="shared" si="56"/>
        <v>23</v>
      </c>
      <c r="M934">
        <f t="shared" si="57"/>
        <v>276</v>
      </c>
      <c r="N934">
        <f t="shared" si="58"/>
        <v>158</v>
      </c>
      <c r="O934">
        <f t="shared" si="59"/>
        <v>2030.1666666666667</v>
      </c>
    </row>
    <row r="935" spans="1:15" x14ac:dyDescent="0.2">
      <c r="A935" t="s">
        <v>19</v>
      </c>
      <c r="B935">
        <v>9</v>
      </c>
      <c r="C935">
        <v>42</v>
      </c>
      <c r="D935">
        <v>119</v>
      </c>
      <c r="E935">
        <v>1</v>
      </c>
      <c r="F935">
        <v>40</v>
      </c>
      <c r="G935">
        <v>1639601</v>
      </c>
      <c r="H935">
        <v>0</v>
      </c>
      <c r="I935">
        <v>1</v>
      </c>
      <c r="J935">
        <v>1</v>
      </c>
      <c r="K935">
        <v>0</v>
      </c>
      <c r="L935">
        <f t="shared" si="56"/>
        <v>23</v>
      </c>
      <c r="M935">
        <f t="shared" si="57"/>
        <v>276</v>
      </c>
      <c r="N935">
        <f t="shared" si="58"/>
        <v>157</v>
      </c>
      <c r="O935">
        <f t="shared" si="59"/>
        <v>2030.0833333333333</v>
      </c>
    </row>
    <row r="936" spans="1:15" x14ac:dyDescent="0.2">
      <c r="A936" t="s">
        <v>19</v>
      </c>
      <c r="B936">
        <v>9</v>
      </c>
      <c r="C936">
        <v>42</v>
      </c>
      <c r="D936">
        <v>140</v>
      </c>
      <c r="E936">
        <v>1</v>
      </c>
      <c r="F936">
        <v>39</v>
      </c>
      <c r="G936">
        <v>1131601</v>
      </c>
      <c r="H936">
        <v>0</v>
      </c>
      <c r="I936">
        <v>1</v>
      </c>
      <c r="J936">
        <v>1</v>
      </c>
      <c r="K936">
        <v>0</v>
      </c>
      <c r="L936">
        <f t="shared" si="56"/>
        <v>23</v>
      </c>
      <c r="M936">
        <f t="shared" si="57"/>
        <v>276</v>
      </c>
      <c r="N936">
        <f t="shared" si="58"/>
        <v>136</v>
      </c>
      <c r="O936">
        <f t="shared" si="59"/>
        <v>2028.3333333333333</v>
      </c>
    </row>
    <row r="937" spans="1:15" x14ac:dyDescent="0.2">
      <c r="A937" t="s">
        <v>19</v>
      </c>
      <c r="B937">
        <v>9</v>
      </c>
      <c r="C937">
        <v>42</v>
      </c>
      <c r="D937">
        <v>151</v>
      </c>
      <c r="E937">
        <v>1</v>
      </c>
      <c r="F937">
        <v>41</v>
      </c>
      <c r="G937">
        <v>1047401</v>
      </c>
      <c r="H937">
        <v>1</v>
      </c>
      <c r="I937">
        <v>0</v>
      </c>
      <c r="J937">
        <v>1</v>
      </c>
      <c r="K937">
        <v>0</v>
      </c>
      <c r="L937">
        <f t="shared" si="56"/>
        <v>23</v>
      </c>
      <c r="M937">
        <f t="shared" si="57"/>
        <v>276</v>
      </c>
      <c r="N937">
        <f t="shared" si="58"/>
        <v>125</v>
      </c>
      <c r="O937">
        <f t="shared" si="59"/>
        <v>2027.4166666666667</v>
      </c>
    </row>
    <row r="938" spans="1:15" x14ac:dyDescent="0.2">
      <c r="A938" t="s">
        <v>19</v>
      </c>
      <c r="B938">
        <v>9</v>
      </c>
      <c r="C938">
        <v>42</v>
      </c>
      <c r="D938">
        <v>157</v>
      </c>
      <c r="E938">
        <v>1</v>
      </c>
      <c r="F938">
        <v>41</v>
      </c>
      <c r="G938">
        <v>993401</v>
      </c>
      <c r="H938">
        <v>0</v>
      </c>
      <c r="I938">
        <v>1</v>
      </c>
      <c r="J938">
        <v>1</v>
      </c>
      <c r="K938">
        <v>0</v>
      </c>
      <c r="L938">
        <f t="shared" si="56"/>
        <v>23</v>
      </c>
      <c r="M938">
        <f t="shared" si="57"/>
        <v>276</v>
      </c>
      <c r="N938">
        <f t="shared" si="58"/>
        <v>119</v>
      </c>
      <c r="O938">
        <f t="shared" si="59"/>
        <v>2026.9166666666667</v>
      </c>
    </row>
    <row r="939" spans="1:15" x14ac:dyDescent="0.2">
      <c r="A939" t="s">
        <v>19</v>
      </c>
      <c r="B939">
        <v>9</v>
      </c>
      <c r="C939">
        <v>42</v>
      </c>
      <c r="D939">
        <v>159</v>
      </c>
      <c r="E939">
        <v>1</v>
      </c>
      <c r="F939">
        <v>34</v>
      </c>
      <c r="G939">
        <v>979401</v>
      </c>
      <c r="H939">
        <v>0</v>
      </c>
      <c r="I939">
        <v>1</v>
      </c>
      <c r="J939">
        <v>1</v>
      </c>
      <c r="K939">
        <v>0</v>
      </c>
      <c r="L939">
        <f t="shared" si="56"/>
        <v>23</v>
      </c>
      <c r="M939">
        <f t="shared" si="57"/>
        <v>276</v>
      </c>
      <c r="N939">
        <f t="shared" si="58"/>
        <v>117</v>
      </c>
      <c r="O939">
        <f t="shared" si="59"/>
        <v>2026.75</v>
      </c>
    </row>
    <row r="940" spans="1:15" x14ac:dyDescent="0.2">
      <c r="A940" t="s">
        <v>19</v>
      </c>
      <c r="B940">
        <v>9</v>
      </c>
      <c r="C940">
        <v>42</v>
      </c>
      <c r="D940">
        <v>163</v>
      </c>
      <c r="E940">
        <v>1</v>
      </c>
      <c r="F940">
        <v>41</v>
      </c>
      <c r="G940">
        <v>948501</v>
      </c>
      <c r="H940">
        <v>1</v>
      </c>
      <c r="I940">
        <v>0</v>
      </c>
      <c r="J940">
        <v>1</v>
      </c>
      <c r="K940">
        <v>0</v>
      </c>
      <c r="L940">
        <f t="shared" si="56"/>
        <v>23</v>
      </c>
      <c r="M940">
        <f t="shared" si="57"/>
        <v>276</v>
      </c>
      <c r="N940">
        <f t="shared" si="58"/>
        <v>113</v>
      </c>
      <c r="O940">
        <f t="shared" si="59"/>
        <v>2026.4166666666667</v>
      </c>
    </row>
    <row r="941" spans="1:15" x14ac:dyDescent="0.2">
      <c r="A941" t="s">
        <v>19</v>
      </c>
      <c r="B941">
        <v>9</v>
      </c>
      <c r="C941">
        <v>42</v>
      </c>
      <c r="D941">
        <v>167</v>
      </c>
      <c r="E941">
        <v>1</v>
      </c>
      <c r="F941">
        <v>40</v>
      </c>
      <c r="G941">
        <v>255402</v>
      </c>
      <c r="H941">
        <v>0</v>
      </c>
      <c r="I941">
        <v>1</v>
      </c>
      <c r="J941">
        <v>1</v>
      </c>
      <c r="K941">
        <v>0</v>
      </c>
      <c r="L941">
        <f t="shared" si="56"/>
        <v>23</v>
      </c>
      <c r="M941">
        <f t="shared" si="57"/>
        <v>276</v>
      </c>
      <c r="N941">
        <f t="shared" si="58"/>
        <v>109</v>
      </c>
      <c r="O941">
        <f t="shared" si="59"/>
        <v>2026.0833333333333</v>
      </c>
    </row>
    <row r="942" spans="1:15" x14ac:dyDescent="0.2">
      <c r="A942" t="s">
        <v>19</v>
      </c>
      <c r="B942">
        <v>9</v>
      </c>
      <c r="C942">
        <v>42</v>
      </c>
      <c r="D942">
        <v>185</v>
      </c>
      <c r="E942">
        <v>1</v>
      </c>
      <c r="F942">
        <v>37</v>
      </c>
      <c r="G942">
        <v>889401</v>
      </c>
      <c r="H942">
        <v>1</v>
      </c>
      <c r="I942">
        <v>0</v>
      </c>
      <c r="J942">
        <v>1</v>
      </c>
      <c r="K942">
        <v>0</v>
      </c>
      <c r="L942">
        <f t="shared" si="56"/>
        <v>23</v>
      </c>
      <c r="M942">
        <f t="shared" si="57"/>
        <v>276</v>
      </c>
      <c r="N942">
        <f t="shared" si="58"/>
        <v>91</v>
      </c>
      <c r="O942">
        <f t="shared" si="59"/>
        <v>2024.5833333333333</v>
      </c>
    </row>
    <row r="943" spans="1:15" x14ac:dyDescent="0.2">
      <c r="A943" t="s">
        <v>19</v>
      </c>
      <c r="B943">
        <v>9</v>
      </c>
      <c r="C943">
        <v>42</v>
      </c>
      <c r="D943">
        <v>187</v>
      </c>
      <c r="E943">
        <v>1</v>
      </c>
      <c r="F943">
        <v>39</v>
      </c>
      <c r="G943">
        <v>878301</v>
      </c>
      <c r="H943">
        <v>0</v>
      </c>
      <c r="I943">
        <v>1</v>
      </c>
      <c r="J943">
        <v>1</v>
      </c>
      <c r="K943">
        <v>0</v>
      </c>
      <c r="L943">
        <f t="shared" si="56"/>
        <v>23</v>
      </c>
      <c r="M943">
        <f t="shared" si="57"/>
        <v>276</v>
      </c>
      <c r="N943">
        <f t="shared" si="58"/>
        <v>89</v>
      </c>
      <c r="O943">
        <f t="shared" si="59"/>
        <v>2024.4166666666667</v>
      </c>
    </row>
    <row r="944" spans="1:15" x14ac:dyDescent="0.2">
      <c r="A944" t="s">
        <v>19</v>
      </c>
      <c r="B944">
        <v>9</v>
      </c>
      <c r="C944">
        <v>42</v>
      </c>
      <c r="D944">
        <v>188</v>
      </c>
      <c r="E944">
        <v>1</v>
      </c>
      <c r="F944">
        <v>39</v>
      </c>
      <c r="G944">
        <v>873302</v>
      </c>
      <c r="H944">
        <v>0</v>
      </c>
      <c r="I944">
        <v>1</v>
      </c>
      <c r="J944">
        <v>1</v>
      </c>
      <c r="K944">
        <v>0</v>
      </c>
      <c r="L944">
        <f t="shared" si="56"/>
        <v>23</v>
      </c>
      <c r="M944">
        <f t="shared" si="57"/>
        <v>276</v>
      </c>
      <c r="N944">
        <f t="shared" si="58"/>
        <v>88</v>
      </c>
      <c r="O944">
        <f t="shared" si="59"/>
        <v>2024.3333333333333</v>
      </c>
    </row>
    <row r="945" spans="1:15" x14ac:dyDescent="0.2">
      <c r="A945" t="s">
        <v>19</v>
      </c>
      <c r="B945">
        <v>9</v>
      </c>
      <c r="C945">
        <v>42</v>
      </c>
      <c r="D945">
        <v>200</v>
      </c>
      <c r="E945">
        <v>1</v>
      </c>
      <c r="F945">
        <v>41</v>
      </c>
      <c r="G945">
        <v>10102</v>
      </c>
      <c r="H945">
        <v>0</v>
      </c>
      <c r="I945">
        <v>1</v>
      </c>
      <c r="J945">
        <v>1</v>
      </c>
      <c r="K945">
        <v>0</v>
      </c>
      <c r="L945">
        <f t="shared" si="56"/>
        <v>23</v>
      </c>
      <c r="M945">
        <f t="shared" si="57"/>
        <v>276</v>
      </c>
      <c r="N945">
        <f t="shared" si="58"/>
        <v>76</v>
      </c>
      <c r="O945">
        <f t="shared" si="59"/>
        <v>2023.3333333333333</v>
      </c>
    </row>
    <row r="946" spans="1:15" x14ac:dyDescent="0.2">
      <c r="A946" t="s">
        <v>19</v>
      </c>
      <c r="B946">
        <v>9</v>
      </c>
      <c r="C946">
        <v>42</v>
      </c>
      <c r="D946">
        <v>201</v>
      </c>
      <c r="E946">
        <v>1</v>
      </c>
      <c r="F946">
        <v>40</v>
      </c>
      <c r="G946">
        <v>789001</v>
      </c>
      <c r="H946">
        <v>0</v>
      </c>
      <c r="I946">
        <v>1</v>
      </c>
      <c r="J946">
        <v>1</v>
      </c>
      <c r="K946">
        <v>0</v>
      </c>
      <c r="L946">
        <f t="shared" si="56"/>
        <v>23</v>
      </c>
      <c r="M946">
        <f t="shared" si="57"/>
        <v>276</v>
      </c>
      <c r="N946">
        <f t="shared" si="58"/>
        <v>75</v>
      </c>
      <c r="O946">
        <f t="shared" si="59"/>
        <v>2023.25</v>
      </c>
    </row>
    <row r="947" spans="1:15" x14ac:dyDescent="0.2">
      <c r="A947" t="s">
        <v>19</v>
      </c>
      <c r="B947">
        <v>9</v>
      </c>
      <c r="C947">
        <v>42</v>
      </c>
      <c r="D947">
        <v>202</v>
      </c>
      <c r="E947">
        <v>1</v>
      </c>
      <c r="F947">
        <v>39</v>
      </c>
      <c r="G947">
        <v>762801</v>
      </c>
      <c r="H947">
        <v>0</v>
      </c>
      <c r="I947">
        <v>1</v>
      </c>
      <c r="J947">
        <v>1</v>
      </c>
      <c r="K947">
        <v>0</v>
      </c>
      <c r="L947">
        <f t="shared" si="56"/>
        <v>23</v>
      </c>
      <c r="M947">
        <f t="shared" si="57"/>
        <v>276</v>
      </c>
      <c r="N947">
        <f t="shared" si="58"/>
        <v>74</v>
      </c>
      <c r="O947">
        <f t="shared" si="59"/>
        <v>2023.1666666666667</v>
      </c>
    </row>
    <row r="948" spans="1:15" x14ac:dyDescent="0.2">
      <c r="A948" t="s">
        <v>19</v>
      </c>
      <c r="B948">
        <v>9</v>
      </c>
      <c r="C948">
        <v>42</v>
      </c>
      <c r="D948">
        <v>203</v>
      </c>
      <c r="E948">
        <v>1</v>
      </c>
      <c r="F948">
        <v>40</v>
      </c>
      <c r="G948">
        <v>757901</v>
      </c>
      <c r="H948">
        <v>0</v>
      </c>
      <c r="I948">
        <v>1</v>
      </c>
      <c r="J948">
        <v>1</v>
      </c>
      <c r="K948">
        <v>0</v>
      </c>
      <c r="L948">
        <f t="shared" si="56"/>
        <v>23</v>
      </c>
      <c r="M948">
        <f t="shared" si="57"/>
        <v>276</v>
      </c>
      <c r="N948">
        <f t="shared" si="58"/>
        <v>73</v>
      </c>
      <c r="O948">
        <f t="shared" si="59"/>
        <v>2023.0833333333333</v>
      </c>
    </row>
    <row r="949" spans="1:15" x14ac:dyDescent="0.2">
      <c r="A949" t="s">
        <v>19</v>
      </c>
      <c r="B949">
        <v>9</v>
      </c>
      <c r="C949">
        <v>42</v>
      </c>
      <c r="D949">
        <v>205</v>
      </c>
      <c r="E949">
        <v>2</v>
      </c>
      <c r="F949">
        <v>37</v>
      </c>
      <c r="G949">
        <v>724501</v>
      </c>
      <c r="H949">
        <v>1</v>
      </c>
      <c r="I949">
        <v>0</v>
      </c>
      <c r="J949">
        <v>1</v>
      </c>
      <c r="K949">
        <v>0</v>
      </c>
      <c r="L949">
        <f t="shared" si="56"/>
        <v>23</v>
      </c>
      <c r="M949">
        <f t="shared" si="57"/>
        <v>276</v>
      </c>
      <c r="N949">
        <f t="shared" si="58"/>
        <v>71</v>
      </c>
      <c r="O949">
        <f t="shared" si="59"/>
        <v>2022.9166666666667</v>
      </c>
    </row>
    <row r="950" spans="1:15" x14ac:dyDescent="0.2">
      <c r="A950" t="s">
        <v>19</v>
      </c>
      <c r="B950">
        <v>9</v>
      </c>
      <c r="C950">
        <v>42</v>
      </c>
      <c r="D950">
        <v>206</v>
      </c>
      <c r="E950">
        <v>2</v>
      </c>
      <c r="F950">
        <v>42</v>
      </c>
      <c r="G950">
        <v>710901</v>
      </c>
      <c r="H950">
        <v>0</v>
      </c>
      <c r="I950">
        <v>1</v>
      </c>
      <c r="J950">
        <v>1</v>
      </c>
      <c r="K950">
        <v>0</v>
      </c>
      <c r="L950">
        <f t="shared" si="56"/>
        <v>23</v>
      </c>
      <c r="M950">
        <f t="shared" si="57"/>
        <v>276</v>
      </c>
      <c r="N950">
        <f t="shared" si="58"/>
        <v>70</v>
      </c>
      <c r="O950">
        <f t="shared" si="59"/>
        <v>2022.8333333333333</v>
      </c>
    </row>
    <row r="951" spans="1:15" x14ac:dyDescent="0.2">
      <c r="A951" t="s">
        <v>19</v>
      </c>
      <c r="B951">
        <v>9</v>
      </c>
      <c r="C951">
        <v>42</v>
      </c>
      <c r="D951">
        <v>216</v>
      </c>
      <c r="E951">
        <v>1</v>
      </c>
      <c r="F951">
        <v>39</v>
      </c>
      <c r="G951">
        <v>530802</v>
      </c>
      <c r="H951">
        <v>0</v>
      </c>
      <c r="I951">
        <v>1</v>
      </c>
      <c r="J951">
        <v>1</v>
      </c>
      <c r="K951">
        <v>0</v>
      </c>
      <c r="L951">
        <f t="shared" si="56"/>
        <v>23</v>
      </c>
      <c r="M951">
        <f t="shared" si="57"/>
        <v>276</v>
      </c>
      <c r="N951">
        <f t="shared" si="58"/>
        <v>60</v>
      </c>
      <c r="O951">
        <f t="shared" si="59"/>
        <v>2022</v>
      </c>
    </row>
    <row r="952" spans="1:15" x14ac:dyDescent="0.2">
      <c r="A952" t="s">
        <v>19</v>
      </c>
      <c r="B952">
        <v>9</v>
      </c>
      <c r="C952">
        <v>42</v>
      </c>
      <c r="D952">
        <v>230</v>
      </c>
      <c r="E952">
        <v>1</v>
      </c>
      <c r="F952">
        <v>37</v>
      </c>
      <c r="G952">
        <v>199001</v>
      </c>
      <c r="H952">
        <v>0</v>
      </c>
      <c r="I952">
        <v>1</v>
      </c>
      <c r="J952">
        <v>1</v>
      </c>
      <c r="K952">
        <v>0</v>
      </c>
      <c r="L952">
        <f t="shared" si="56"/>
        <v>23</v>
      </c>
      <c r="M952">
        <f t="shared" si="57"/>
        <v>276</v>
      </c>
      <c r="N952">
        <f t="shared" si="58"/>
        <v>46</v>
      </c>
      <c r="O952">
        <f t="shared" si="59"/>
        <v>2020.8333333333333</v>
      </c>
    </row>
    <row r="953" spans="1:15" x14ac:dyDescent="0.2">
      <c r="A953" t="s">
        <v>19</v>
      </c>
      <c r="B953">
        <v>9</v>
      </c>
      <c r="C953">
        <v>42</v>
      </c>
      <c r="D953">
        <v>244</v>
      </c>
      <c r="E953">
        <v>1</v>
      </c>
      <c r="F953">
        <v>41</v>
      </c>
      <c r="G953">
        <v>41701</v>
      </c>
      <c r="H953">
        <v>0</v>
      </c>
      <c r="I953">
        <v>1</v>
      </c>
      <c r="J953">
        <v>1</v>
      </c>
      <c r="K953">
        <v>0</v>
      </c>
      <c r="L953">
        <f t="shared" si="56"/>
        <v>23</v>
      </c>
      <c r="M953">
        <f t="shared" si="57"/>
        <v>276</v>
      </c>
      <c r="N953">
        <f t="shared" si="58"/>
        <v>32</v>
      </c>
      <c r="O953">
        <f t="shared" si="59"/>
        <v>2019.6666666666667</v>
      </c>
    </row>
    <row r="954" spans="1:15" x14ac:dyDescent="0.2">
      <c r="A954" t="s">
        <v>19</v>
      </c>
      <c r="B954">
        <v>9</v>
      </c>
      <c r="C954">
        <v>43</v>
      </c>
      <c r="D954">
        <v>1</v>
      </c>
      <c r="E954">
        <v>2</v>
      </c>
      <c r="F954">
        <v>43</v>
      </c>
      <c r="G954">
        <v>2408001</v>
      </c>
      <c r="H954">
        <v>0</v>
      </c>
      <c r="I954">
        <v>1</v>
      </c>
      <c r="J954">
        <v>1</v>
      </c>
      <c r="K954">
        <v>0</v>
      </c>
      <c r="L954">
        <f t="shared" si="56"/>
        <v>22</v>
      </c>
      <c r="M954">
        <f t="shared" si="57"/>
        <v>264</v>
      </c>
      <c r="N954">
        <f t="shared" si="58"/>
        <v>263</v>
      </c>
      <c r="O954">
        <f t="shared" si="59"/>
        <v>2038.9166666666667</v>
      </c>
    </row>
    <row r="955" spans="1:15" x14ac:dyDescent="0.2">
      <c r="A955" t="s">
        <v>19</v>
      </c>
      <c r="B955">
        <v>9</v>
      </c>
      <c r="C955">
        <v>43</v>
      </c>
      <c r="D955">
        <v>1</v>
      </c>
      <c r="E955">
        <v>4</v>
      </c>
      <c r="F955">
        <v>40</v>
      </c>
      <c r="G955">
        <v>2394101</v>
      </c>
      <c r="H955">
        <v>1</v>
      </c>
      <c r="I955">
        <v>0</v>
      </c>
      <c r="J955">
        <v>1</v>
      </c>
      <c r="K955">
        <v>0</v>
      </c>
      <c r="L955">
        <f t="shared" si="56"/>
        <v>22</v>
      </c>
      <c r="M955">
        <f t="shared" si="57"/>
        <v>264</v>
      </c>
      <c r="N955">
        <f t="shared" si="58"/>
        <v>263</v>
      </c>
      <c r="O955">
        <f t="shared" si="59"/>
        <v>2038.9166666666667</v>
      </c>
    </row>
    <row r="956" spans="1:15" x14ac:dyDescent="0.2">
      <c r="A956" t="s">
        <v>19</v>
      </c>
      <c r="B956">
        <v>9</v>
      </c>
      <c r="C956">
        <v>43</v>
      </c>
      <c r="D956">
        <v>1</v>
      </c>
      <c r="E956">
        <v>12</v>
      </c>
      <c r="F956">
        <v>37</v>
      </c>
      <c r="G956">
        <v>2395703</v>
      </c>
      <c r="H956">
        <v>0</v>
      </c>
      <c r="I956">
        <v>1</v>
      </c>
      <c r="J956">
        <v>1</v>
      </c>
      <c r="K956">
        <v>0</v>
      </c>
      <c r="L956">
        <f t="shared" si="56"/>
        <v>22</v>
      </c>
      <c r="M956">
        <f t="shared" si="57"/>
        <v>264</v>
      </c>
      <c r="N956">
        <f t="shared" si="58"/>
        <v>263</v>
      </c>
      <c r="O956">
        <f t="shared" si="59"/>
        <v>2038.9166666666667</v>
      </c>
    </row>
    <row r="957" spans="1:15" x14ac:dyDescent="0.2">
      <c r="A957" t="s">
        <v>19</v>
      </c>
      <c r="B957">
        <v>9</v>
      </c>
      <c r="C957">
        <v>43</v>
      </c>
      <c r="D957">
        <v>1</v>
      </c>
      <c r="E957">
        <v>12</v>
      </c>
      <c r="F957">
        <v>41</v>
      </c>
      <c r="G957">
        <v>2392001</v>
      </c>
      <c r="H957">
        <v>0</v>
      </c>
      <c r="I957">
        <v>1</v>
      </c>
      <c r="J957">
        <v>1</v>
      </c>
      <c r="K957">
        <v>0</v>
      </c>
      <c r="L957">
        <f t="shared" si="56"/>
        <v>22</v>
      </c>
      <c r="M957">
        <f t="shared" si="57"/>
        <v>264</v>
      </c>
      <c r="N957">
        <f t="shared" si="58"/>
        <v>263</v>
      </c>
      <c r="O957">
        <f t="shared" si="59"/>
        <v>2038.9166666666667</v>
      </c>
    </row>
    <row r="958" spans="1:15" x14ac:dyDescent="0.2">
      <c r="A958" t="s">
        <v>19</v>
      </c>
      <c r="B958">
        <v>9</v>
      </c>
      <c r="C958">
        <v>43</v>
      </c>
      <c r="D958">
        <v>2</v>
      </c>
      <c r="E958">
        <v>12</v>
      </c>
      <c r="F958">
        <v>41</v>
      </c>
      <c r="G958">
        <v>2374901</v>
      </c>
      <c r="H958">
        <v>1</v>
      </c>
      <c r="I958">
        <v>0</v>
      </c>
      <c r="J958">
        <v>1</v>
      </c>
      <c r="K958">
        <v>0</v>
      </c>
      <c r="L958">
        <f t="shared" si="56"/>
        <v>22</v>
      </c>
      <c r="M958">
        <f t="shared" si="57"/>
        <v>264</v>
      </c>
      <c r="N958">
        <f t="shared" si="58"/>
        <v>262</v>
      </c>
      <c r="O958">
        <f t="shared" si="59"/>
        <v>2038.8333333333333</v>
      </c>
    </row>
    <row r="959" spans="1:15" x14ac:dyDescent="0.2">
      <c r="A959" t="s">
        <v>19</v>
      </c>
      <c r="B959">
        <v>9</v>
      </c>
      <c r="C959">
        <v>43</v>
      </c>
      <c r="D959">
        <v>2</v>
      </c>
      <c r="E959">
        <v>12</v>
      </c>
      <c r="F959">
        <v>43</v>
      </c>
      <c r="G959">
        <v>2372103</v>
      </c>
      <c r="H959">
        <v>0</v>
      </c>
      <c r="I959">
        <v>1</v>
      </c>
      <c r="J959">
        <v>1</v>
      </c>
      <c r="K959">
        <v>0</v>
      </c>
      <c r="L959">
        <f t="shared" si="56"/>
        <v>22</v>
      </c>
      <c r="M959">
        <f t="shared" si="57"/>
        <v>264</v>
      </c>
      <c r="N959">
        <f t="shared" si="58"/>
        <v>262</v>
      </c>
      <c r="O959">
        <f t="shared" si="59"/>
        <v>2038.8333333333333</v>
      </c>
    </row>
    <row r="960" spans="1:15" x14ac:dyDescent="0.2">
      <c r="A960" t="s">
        <v>19</v>
      </c>
      <c r="B960">
        <v>9</v>
      </c>
      <c r="C960">
        <v>43</v>
      </c>
      <c r="D960">
        <v>2</v>
      </c>
      <c r="E960">
        <v>12</v>
      </c>
      <c r="F960">
        <v>43</v>
      </c>
      <c r="G960">
        <v>2377902</v>
      </c>
      <c r="H960">
        <v>1</v>
      </c>
      <c r="I960">
        <v>0</v>
      </c>
      <c r="J960">
        <v>1</v>
      </c>
      <c r="K960">
        <v>0</v>
      </c>
      <c r="L960">
        <f t="shared" si="56"/>
        <v>22</v>
      </c>
      <c r="M960">
        <f t="shared" si="57"/>
        <v>264</v>
      </c>
      <c r="N960">
        <f t="shared" si="58"/>
        <v>262</v>
      </c>
      <c r="O960">
        <f t="shared" si="59"/>
        <v>2038.8333333333333</v>
      </c>
    </row>
    <row r="961" spans="1:15" x14ac:dyDescent="0.2">
      <c r="A961" t="s">
        <v>19</v>
      </c>
      <c r="B961">
        <v>9</v>
      </c>
      <c r="C961">
        <v>43</v>
      </c>
      <c r="D961">
        <v>3</v>
      </c>
      <c r="E961">
        <v>12</v>
      </c>
      <c r="F961">
        <v>42</v>
      </c>
      <c r="G961">
        <v>2353501</v>
      </c>
      <c r="H961">
        <v>0</v>
      </c>
      <c r="I961">
        <v>1</v>
      </c>
      <c r="J961">
        <v>1</v>
      </c>
      <c r="K961">
        <v>0</v>
      </c>
      <c r="L961">
        <f t="shared" si="56"/>
        <v>22</v>
      </c>
      <c r="M961">
        <f t="shared" si="57"/>
        <v>264</v>
      </c>
      <c r="N961">
        <f t="shared" si="58"/>
        <v>261</v>
      </c>
      <c r="O961">
        <f t="shared" si="59"/>
        <v>2038.75</v>
      </c>
    </row>
    <row r="962" spans="1:15" x14ac:dyDescent="0.2">
      <c r="A962" t="s">
        <v>19</v>
      </c>
      <c r="B962">
        <v>9</v>
      </c>
      <c r="C962">
        <v>43</v>
      </c>
      <c r="D962">
        <v>4</v>
      </c>
      <c r="E962">
        <v>1</v>
      </c>
      <c r="F962">
        <v>38</v>
      </c>
      <c r="G962">
        <v>2348401</v>
      </c>
      <c r="H962">
        <v>0</v>
      </c>
      <c r="I962">
        <v>1</v>
      </c>
      <c r="J962">
        <v>1</v>
      </c>
      <c r="K962">
        <v>0</v>
      </c>
      <c r="L962">
        <f t="shared" si="56"/>
        <v>22</v>
      </c>
      <c r="M962">
        <f t="shared" si="57"/>
        <v>264</v>
      </c>
      <c r="N962">
        <f t="shared" si="58"/>
        <v>260</v>
      </c>
      <c r="O962">
        <f t="shared" si="59"/>
        <v>2038.6666666666667</v>
      </c>
    </row>
    <row r="963" spans="1:15" x14ac:dyDescent="0.2">
      <c r="A963" t="s">
        <v>19</v>
      </c>
      <c r="B963">
        <v>9</v>
      </c>
      <c r="C963">
        <v>43</v>
      </c>
      <c r="D963">
        <v>5</v>
      </c>
      <c r="E963">
        <v>12</v>
      </c>
      <c r="F963">
        <v>37</v>
      </c>
      <c r="G963">
        <v>2339903</v>
      </c>
      <c r="H963">
        <v>1</v>
      </c>
      <c r="I963">
        <v>0</v>
      </c>
      <c r="J963">
        <v>1</v>
      </c>
      <c r="K963">
        <v>0</v>
      </c>
      <c r="L963">
        <f t="shared" si="56"/>
        <v>22</v>
      </c>
      <c r="M963">
        <f t="shared" si="57"/>
        <v>264</v>
      </c>
      <c r="N963">
        <f t="shared" si="58"/>
        <v>259</v>
      </c>
      <c r="O963">
        <f t="shared" si="59"/>
        <v>2038.5833333333333</v>
      </c>
    </row>
    <row r="964" spans="1:15" x14ac:dyDescent="0.2">
      <c r="A964" t="s">
        <v>19</v>
      </c>
      <c r="B964">
        <v>9</v>
      </c>
      <c r="C964">
        <v>43</v>
      </c>
      <c r="D964">
        <v>6</v>
      </c>
      <c r="E964">
        <v>12</v>
      </c>
      <c r="F964">
        <v>33</v>
      </c>
      <c r="G964">
        <v>716206</v>
      </c>
      <c r="H964">
        <v>0</v>
      </c>
      <c r="I964">
        <v>1</v>
      </c>
      <c r="J964">
        <v>1</v>
      </c>
      <c r="K964">
        <v>0</v>
      </c>
      <c r="L964">
        <f t="shared" si="56"/>
        <v>22</v>
      </c>
      <c r="M964">
        <f t="shared" si="57"/>
        <v>264</v>
      </c>
      <c r="N964">
        <f t="shared" si="58"/>
        <v>258</v>
      </c>
      <c r="O964">
        <f t="shared" si="59"/>
        <v>2038.5</v>
      </c>
    </row>
    <row r="965" spans="1:15" x14ac:dyDescent="0.2">
      <c r="A965" t="s">
        <v>19</v>
      </c>
      <c r="B965">
        <v>9</v>
      </c>
      <c r="C965">
        <v>43</v>
      </c>
      <c r="D965">
        <v>6</v>
      </c>
      <c r="E965">
        <v>12</v>
      </c>
      <c r="F965">
        <v>35</v>
      </c>
      <c r="G965">
        <v>2330203</v>
      </c>
      <c r="H965">
        <v>0</v>
      </c>
      <c r="I965">
        <v>1</v>
      </c>
      <c r="J965">
        <v>1</v>
      </c>
      <c r="K965">
        <v>0</v>
      </c>
      <c r="L965">
        <f t="shared" si="56"/>
        <v>22</v>
      </c>
      <c r="M965">
        <f t="shared" si="57"/>
        <v>264</v>
      </c>
      <c r="N965">
        <f t="shared" si="58"/>
        <v>258</v>
      </c>
      <c r="O965">
        <f t="shared" si="59"/>
        <v>2038.5</v>
      </c>
    </row>
    <row r="966" spans="1:15" x14ac:dyDescent="0.2">
      <c r="A966" t="s">
        <v>19</v>
      </c>
      <c r="B966">
        <v>9</v>
      </c>
      <c r="C966">
        <v>43</v>
      </c>
      <c r="D966">
        <v>7</v>
      </c>
      <c r="E966">
        <v>12</v>
      </c>
      <c r="F966">
        <v>36</v>
      </c>
      <c r="G966">
        <v>2329003</v>
      </c>
      <c r="H966">
        <v>0</v>
      </c>
      <c r="I966">
        <v>1</v>
      </c>
      <c r="J966">
        <v>1</v>
      </c>
      <c r="K966">
        <v>0</v>
      </c>
      <c r="L966">
        <f t="shared" si="56"/>
        <v>22</v>
      </c>
      <c r="M966">
        <f t="shared" si="57"/>
        <v>264</v>
      </c>
      <c r="N966">
        <f t="shared" si="58"/>
        <v>257</v>
      </c>
      <c r="O966">
        <f t="shared" si="59"/>
        <v>2038.4166666666667</v>
      </c>
    </row>
    <row r="967" spans="1:15" x14ac:dyDescent="0.2">
      <c r="A967" t="s">
        <v>19</v>
      </c>
      <c r="B967">
        <v>9</v>
      </c>
      <c r="C967">
        <v>43</v>
      </c>
      <c r="D967">
        <v>7</v>
      </c>
      <c r="E967">
        <v>12</v>
      </c>
      <c r="F967">
        <v>38</v>
      </c>
      <c r="G967">
        <v>2316103</v>
      </c>
      <c r="H967">
        <v>0</v>
      </c>
      <c r="I967">
        <v>1</v>
      </c>
      <c r="J967">
        <v>1</v>
      </c>
      <c r="K967">
        <v>0</v>
      </c>
      <c r="L967">
        <f t="shared" ref="L967:L1030" si="60">65-C967</f>
        <v>22</v>
      </c>
      <c r="M967">
        <f t="shared" ref="M967:M1030" si="61">L967*12</f>
        <v>264</v>
      </c>
      <c r="N967">
        <f t="shared" ref="N967:N1030" si="62">M967-D967</f>
        <v>257</v>
      </c>
      <c r="O967">
        <f t="shared" ref="O967:O1030" si="63">2017+N967/12</f>
        <v>2038.4166666666667</v>
      </c>
    </row>
    <row r="968" spans="1:15" x14ac:dyDescent="0.2">
      <c r="A968" t="s">
        <v>19</v>
      </c>
      <c r="B968">
        <v>9</v>
      </c>
      <c r="C968">
        <v>43</v>
      </c>
      <c r="D968">
        <v>7</v>
      </c>
      <c r="E968">
        <v>12</v>
      </c>
      <c r="F968">
        <v>42</v>
      </c>
      <c r="G968">
        <v>2330601</v>
      </c>
      <c r="H968">
        <v>0</v>
      </c>
      <c r="I968">
        <v>1</v>
      </c>
      <c r="J968">
        <v>1</v>
      </c>
      <c r="K968">
        <v>0</v>
      </c>
      <c r="L968">
        <f t="shared" si="60"/>
        <v>22</v>
      </c>
      <c r="M968">
        <f t="shared" si="61"/>
        <v>264</v>
      </c>
      <c r="N968">
        <f t="shared" si="62"/>
        <v>257</v>
      </c>
      <c r="O968">
        <f t="shared" si="63"/>
        <v>2038.4166666666667</v>
      </c>
    </row>
    <row r="969" spans="1:15" x14ac:dyDescent="0.2">
      <c r="A969" t="s">
        <v>19</v>
      </c>
      <c r="B969">
        <v>9</v>
      </c>
      <c r="C969">
        <v>43</v>
      </c>
      <c r="D969">
        <v>8</v>
      </c>
      <c r="E969">
        <v>12</v>
      </c>
      <c r="F969">
        <v>31</v>
      </c>
      <c r="G969">
        <v>2309703</v>
      </c>
      <c r="H969">
        <v>0</v>
      </c>
      <c r="I969">
        <v>1</v>
      </c>
      <c r="J969">
        <v>1</v>
      </c>
      <c r="K969">
        <v>0</v>
      </c>
      <c r="L969">
        <f t="shared" si="60"/>
        <v>22</v>
      </c>
      <c r="M969">
        <f t="shared" si="61"/>
        <v>264</v>
      </c>
      <c r="N969">
        <f t="shared" si="62"/>
        <v>256</v>
      </c>
      <c r="O969">
        <f t="shared" si="63"/>
        <v>2038.3333333333333</v>
      </c>
    </row>
    <row r="970" spans="1:15" x14ac:dyDescent="0.2">
      <c r="A970" t="s">
        <v>19</v>
      </c>
      <c r="B970">
        <v>9</v>
      </c>
      <c r="C970">
        <v>43</v>
      </c>
      <c r="D970">
        <v>9</v>
      </c>
      <c r="E970">
        <v>12</v>
      </c>
      <c r="F970">
        <v>40</v>
      </c>
      <c r="G970">
        <v>2302203</v>
      </c>
      <c r="H970">
        <v>0</v>
      </c>
      <c r="I970">
        <v>1</v>
      </c>
      <c r="J970">
        <v>1</v>
      </c>
      <c r="K970">
        <v>0</v>
      </c>
      <c r="L970">
        <f t="shared" si="60"/>
        <v>22</v>
      </c>
      <c r="M970">
        <f t="shared" si="61"/>
        <v>264</v>
      </c>
      <c r="N970">
        <f t="shared" si="62"/>
        <v>255</v>
      </c>
      <c r="O970">
        <f t="shared" si="63"/>
        <v>2038.25</v>
      </c>
    </row>
    <row r="971" spans="1:15" x14ac:dyDescent="0.2">
      <c r="A971" t="s">
        <v>19</v>
      </c>
      <c r="B971">
        <v>9</v>
      </c>
      <c r="C971">
        <v>43</v>
      </c>
      <c r="D971">
        <v>10</v>
      </c>
      <c r="E971">
        <v>12</v>
      </c>
      <c r="F971">
        <v>40</v>
      </c>
      <c r="G971">
        <v>1720804</v>
      </c>
      <c r="H971">
        <v>1</v>
      </c>
      <c r="I971">
        <v>0</v>
      </c>
      <c r="J971">
        <v>1</v>
      </c>
      <c r="K971">
        <v>0</v>
      </c>
      <c r="L971">
        <f t="shared" si="60"/>
        <v>22</v>
      </c>
      <c r="M971">
        <f t="shared" si="61"/>
        <v>264</v>
      </c>
      <c r="N971">
        <f t="shared" si="62"/>
        <v>254</v>
      </c>
      <c r="O971">
        <f t="shared" si="63"/>
        <v>2038.1666666666667</v>
      </c>
    </row>
    <row r="972" spans="1:15" x14ac:dyDescent="0.2">
      <c r="A972" t="s">
        <v>19</v>
      </c>
      <c r="B972">
        <v>9</v>
      </c>
      <c r="C972">
        <v>43</v>
      </c>
      <c r="D972">
        <v>10</v>
      </c>
      <c r="E972">
        <v>12</v>
      </c>
      <c r="F972">
        <v>40</v>
      </c>
      <c r="G972">
        <v>2291401</v>
      </c>
      <c r="H972">
        <v>0</v>
      </c>
      <c r="I972">
        <v>1</v>
      </c>
      <c r="J972">
        <v>1</v>
      </c>
      <c r="K972">
        <v>0</v>
      </c>
      <c r="L972">
        <f t="shared" si="60"/>
        <v>22</v>
      </c>
      <c r="M972">
        <f t="shared" si="61"/>
        <v>264</v>
      </c>
      <c r="N972">
        <f t="shared" si="62"/>
        <v>254</v>
      </c>
      <c r="O972">
        <f t="shared" si="63"/>
        <v>2038.1666666666667</v>
      </c>
    </row>
    <row r="973" spans="1:15" x14ac:dyDescent="0.2">
      <c r="A973" t="s">
        <v>19</v>
      </c>
      <c r="B973">
        <v>9</v>
      </c>
      <c r="C973">
        <v>43</v>
      </c>
      <c r="D973">
        <v>10</v>
      </c>
      <c r="E973">
        <v>12</v>
      </c>
      <c r="F973">
        <v>40</v>
      </c>
      <c r="G973">
        <v>2299703</v>
      </c>
      <c r="H973">
        <v>1</v>
      </c>
      <c r="I973">
        <v>0</v>
      </c>
      <c r="J973">
        <v>1</v>
      </c>
      <c r="K973">
        <v>0</v>
      </c>
      <c r="L973">
        <f t="shared" si="60"/>
        <v>22</v>
      </c>
      <c r="M973">
        <f t="shared" si="61"/>
        <v>264</v>
      </c>
      <c r="N973">
        <f t="shared" si="62"/>
        <v>254</v>
      </c>
      <c r="O973">
        <f t="shared" si="63"/>
        <v>2038.1666666666667</v>
      </c>
    </row>
    <row r="974" spans="1:15" x14ac:dyDescent="0.2">
      <c r="A974" t="s">
        <v>19</v>
      </c>
      <c r="B974">
        <v>9</v>
      </c>
      <c r="C974">
        <v>43</v>
      </c>
      <c r="D974">
        <v>12</v>
      </c>
      <c r="E974">
        <v>4</v>
      </c>
      <c r="F974">
        <v>33</v>
      </c>
      <c r="G974">
        <v>2282302</v>
      </c>
      <c r="H974">
        <v>0</v>
      </c>
      <c r="I974">
        <v>1</v>
      </c>
      <c r="J974">
        <v>1</v>
      </c>
      <c r="K974">
        <v>0</v>
      </c>
      <c r="L974">
        <f t="shared" si="60"/>
        <v>22</v>
      </c>
      <c r="M974">
        <f t="shared" si="61"/>
        <v>264</v>
      </c>
      <c r="N974">
        <f t="shared" si="62"/>
        <v>252</v>
      </c>
      <c r="O974">
        <f t="shared" si="63"/>
        <v>2038</v>
      </c>
    </row>
    <row r="975" spans="1:15" x14ac:dyDescent="0.2">
      <c r="A975" t="s">
        <v>19</v>
      </c>
      <c r="B975">
        <v>9</v>
      </c>
      <c r="C975">
        <v>43</v>
      </c>
      <c r="D975">
        <v>13</v>
      </c>
      <c r="E975">
        <v>2</v>
      </c>
      <c r="F975">
        <v>42</v>
      </c>
      <c r="G975">
        <v>2272301</v>
      </c>
      <c r="H975">
        <v>1</v>
      </c>
      <c r="I975">
        <v>0</v>
      </c>
      <c r="J975">
        <v>1</v>
      </c>
      <c r="K975">
        <v>0</v>
      </c>
      <c r="L975">
        <f t="shared" si="60"/>
        <v>22</v>
      </c>
      <c r="M975">
        <f t="shared" si="61"/>
        <v>264</v>
      </c>
      <c r="N975">
        <f t="shared" si="62"/>
        <v>251</v>
      </c>
      <c r="O975">
        <f t="shared" si="63"/>
        <v>2037.9166666666667</v>
      </c>
    </row>
    <row r="976" spans="1:15" x14ac:dyDescent="0.2">
      <c r="A976" t="s">
        <v>19</v>
      </c>
      <c r="B976">
        <v>9</v>
      </c>
      <c r="C976">
        <v>43</v>
      </c>
      <c r="D976">
        <v>13</v>
      </c>
      <c r="E976">
        <v>12</v>
      </c>
      <c r="F976">
        <v>40</v>
      </c>
      <c r="G976">
        <v>2268503</v>
      </c>
      <c r="H976">
        <v>0</v>
      </c>
      <c r="I976">
        <v>1</v>
      </c>
      <c r="J976">
        <v>1</v>
      </c>
      <c r="K976">
        <v>0</v>
      </c>
      <c r="L976">
        <f t="shared" si="60"/>
        <v>22</v>
      </c>
      <c r="M976">
        <f t="shared" si="61"/>
        <v>264</v>
      </c>
      <c r="N976">
        <f t="shared" si="62"/>
        <v>251</v>
      </c>
      <c r="O976">
        <f t="shared" si="63"/>
        <v>2037.9166666666667</v>
      </c>
    </row>
    <row r="977" spans="1:15" x14ac:dyDescent="0.2">
      <c r="A977" t="s">
        <v>19</v>
      </c>
      <c r="B977">
        <v>9</v>
      </c>
      <c r="C977">
        <v>43</v>
      </c>
      <c r="D977">
        <v>13</v>
      </c>
      <c r="E977">
        <v>12</v>
      </c>
      <c r="F977">
        <v>41</v>
      </c>
      <c r="G977">
        <v>2272501</v>
      </c>
      <c r="H977">
        <v>0</v>
      </c>
      <c r="I977">
        <v>1</v>
      </c>
      <c r="J977">
        <v>1</v>
      </c>
      <c r="K977">
        <v>0</v>
      </c>
      <c r="L977">
        <f t="shared" si="60"/>
        <v>22</v>
      </c>
      <c r="M977">
        <f t="shared" si="61"/>
        <v>264</v>
      </c>
      <c r="N977">
        <f t="shared" si="62"/>
        <v>251</v>
      </c>
      <c r="O977">
        <f t="shared" si="63"/>
        <v>2037.9166666666667</v>
      </c>
    </row>
    <row r="978" spans="1:15" x14ac:dyDescent="0.2">
      <c r="A978" t="s">
        <v>19</v>
      </c>
      <c r="B978">
        <v>9</v>
      </c>
      <c r="C978">
        <v>43</v>
      </c>
      <c r="D978">
        <v>15</v>
      </c>
      <c r="E978">
        <v>1</v>
      </c>
      <c r="F978">
        <v>42</v>
      </c>
      <c r="G978">
        <v>2255301</v>
      </c>
      <c r="H978">
        <v>1</v>
      </c>
      <c r="I978">
        <v>0</v>
      </c>
      <c r="J978">
        <v>1</v>
      </c>
      <c r="K978">
        <v>0</v>
      </c>
      <c r="L978">
        <f t="shared" si="60"/>
        <v>22</v>
      </c>
      <c r="M978">
        <f t="shared" si="61"/>
        <v>264</v>
      </c>
      <c r="N978">
        <f t="shared" si="62"/>
        <v>249</v>
      </c>
      <c r="O978">
        <f t="shared" si="63"/>
        <v>2037.75</v>
      </c>
    </row>
    <row r="979" spans="1:15" x14ac:dyDescent="0.2">
      <c r="A979" t="s">
        <v>19</v>
      </c>
      <c r="B979">
        <v>9</v>
      </c>
      <c r="C979">
        <v>43</v>
      </c>
      <c r="D979">
        <v>16</v>
      </c>
      <c r="E979">
        <v>2</v>
      </c>
      <c r="F979">
        <v>38</v>
      </c>
      <c r="G979">
        <v>2247001</v>
      </c>
      <c r="H979">
        <v>0</v>
      </c>
      <c r="I979">
        <v>1</v>
      </c>
      <c r="J979">
        <v>1</v>
      </c>
      <c r="K979">
        <v>0</v>
      </c>
      <c r="L979">
        <f t="shared" si="60"/>
        <v>22</v>
      </c>
      <c r="M979">
        <f t="shared" si="61"/>
        <v>264</v>
      </c>
      <c r="N979">
        <f t="shared" si="62"/>
        <v>248</v>
      </c>
      <c r="O979">
        <f t="shared" si="63"/>
        <v>2037.6666666666667</v>
      </c>
    </row>
    <row r="980" spans="1:15" x14ac:dyDescent="0.2">
      <c r="A980" t="s">
        <v>19</v>
      </c>
      <c r="B980">
        <v>9</v>
      </c>
      <c r="C980">
        <v>43</v>
      </c>
      <c r="D980">
        <v>18</v>
      </c>
      <c r="E980">
        <v>12</v>
      </c>
      <c r="F980">
        <v>42</v>
      </c>
      <c r="G980">
        <v>2149003</v>
      </c>
      <c r="H980">
        <v>0</v>
      </c>
      <c r="I980">
        <v>1</v>
      </c>
      <c r="J980">
        <v>1</v>
      </c>
      <c r="K980">
        <v>0</v>
      </c>
      <c r="L980">
        <f t="shared" si="60"/>
        <v>22</v>
      </c>
      <c r="M980">
        <f t="shared" si="61"/>
        <v>264</v>
      </c>
      <c r="N980">
        <f t="shared" si="62"/>
        <v>246</v>
      </c>
      <c r="O980">
        <f t="shared" si="63"/>
        <v>2037.5</v>
      </c>
    </row>
    <row r="981" spans="1:15" x14ac:dyDescent="0.2">
      <c r="A981" t="s">
        <v>19</v>
      </c>
      <c r="B981">
        <v>9</v>
      </c>
      <c r="C981">
        <v>43</v>
      </c>
      <c r="D981">
        <v>19</v>
      </c>
      <c r="E981">
        <v>4</v>
      </c>
      <c r="F981">
        <v>42</v>
      </c>
      <c r="G981">
        <v>157103</v>
      </c>
      <c r="H981">
        <v>0</v>
      </c>
      <c r="I981">
        <v>1</v>
      </c>
      <c r="J981">
        <v>1</v>
      </c>
      <c r="K981">
        <v>0</v>
      </c>
      <c r="L981">
        <f t="shared" si="60"/>
        <v>22</v>
      </c>
      <c r="M981">
        <f t="shared" si="61"/>
        <v>264</v>
      </c>
      <c r="N981">
        <f t="shared" si="62"/>
        <v>245</v>
      </c>
      <c r="O981">
        <f t="shared" si="63"/>
        <v>2037.4166666666667</v>
      </c>
    </row>
    <row r="982" spans="1:15" x14ac:dyDescent="0.2">
      <c r="A982" t="s">
        <v>19</v>
      </c>
      <c r="B982">
        <v>9</v>
      </c>
      <c r="C982">
        <v>43</v>
      </c>
      <c r="D982">
        <v>22</v>
      </c>
      <c r="E982">
        <v>1</v>
      </c>
      <c r="F982">
        <v>43</v>
      </c>
      <c r="G982">
        <v>2218201</v>
      </c>
      <c r="H982">
        <v>1</v>
      </c>
      <c r="I982">
        <v>0</v>
      </c>
      <c r="J982">
        <v>1</v>
      </c>
      <c r="K982">
        <v>0</v>
      </c>
      <c r="L982">
        <f t="shared" si="60"/>
        <v>22</v>
      </c>
      <c r="M982">
        <f t="shared" si="61"/>
        <v>264</v>
      </c>
      <c r="N982">
        <f t="shared" si="62"/>
        <v>242</v>
      </c>
      <c r="O982">
        <f t="shared" si="63"/>
        <v>2037.1666666666667</v>
      </c>
    </row>
    <row r="983" spans="1:15" x14ac:dyDescent="0.2">
      <c r="A983" t="s">
        <v>19</v>
      </c>
      <c r="B983">
        <v>9</v>
      </c>
      <c r="C983">
        <v>43</v>
      </c>
      <c r="D983">
        <v>24</v>
      </c>
      <c r="E983">
        <v>1</v>
      </c>
      <c r="F983">
        <v>38</v>
      </c>
      <c r="G983">
        <v>2198601</v>
      </c>
      <c r="H983">
        <v>0</v>
      </c>
      <c r="I983">
        <v>1</v>
      </c>
      <c r="J983">
        <v>1</v>
      </c>
      <c r="K983">
        <v>0</v>
      </c>
      <c r="L983">
        <f t="shared" si="60"/>
        <v>22</v>
      </c>
      <c r="M983">
        <f t="shared" si="61"/>
        <v>264</v>
      </c>
      <c r="N983">
        <f t="shared" si="62"/>
        <v>240</v>
      </c>
      <c r="O983">
        <f t="shared" si="63"/>
        <v>2037</v>
      </c>
    </row>
    <row r="984" spans="1:15" x14ac:dyDescent="0.2">
      <c r="A984" t="s">
        <v>19</v>
      </c>
      <c r="B984">
        <v>9</v>
      </c>
      <c r="C984">
        <v>43</v>
      </c>
      <c r="D984">
        <v>26</v>
      </c>
      <c r="E984">
        <v>1</v>
      </c>
      <c r="F984">
        <v>35</v>
      </c>
      <c r="G984">
        <v>2198801</v>
      </c>
      <c r="H984">
        <v>0</v>
      </c>
      <c r="I984">
        <v>1</v>
      </c>
      <c r="J984">
        <v>1</v>
      </c>
      <c r="K984">
        <v>0</v>
      </c>
      <c r="L984">
        <f t="shared" si="60"/>
        <v>22</v>
      </c>
      <c r="M984">
        <f t="shared" si="61"/>
        <v>264</v>
      </c>
      <c r="N984">
        <f t="shared" si="62"/>
        <v>238</v>
      </c>
      <c r="O984">
        <f t="shared" si="63"/>
        <v>2036.8333333333333</v>
      </c>
    </row>
    <row r="985" spans="1:15" x14ac:dyDescent="0.2">
      <c r="A985" t="s">
        <v>19</v>
      </c>
      <c r="B985">
        <v>9</v>
      </c>
      <c r="C985">
        <v>43</v>
      </c>
      <c r="D985">
        <v>32</v>
      </c>
      <c r="E985">
        <v>1</v>
      </c>
      <c r="F985">
        <v>40</v>
      </c>
      <c r="G985">
        <v>2172201</v>
      </c>
      <c r="H985">
        <v>0</v>
      </c>
      <c r="I985">
        <v>1</v>
      </c>
      <c r="J985">
        <v>1</v>
      </c>
      <c r="K985">
        <v>0</v>
      </c>
      <c r="L985">
        <f t="shared" si="60"/>
        <v>22</v>
      </c>
      <c r="M985">
        <f t="shared" si="61"/>
        <v>264</v>
      </c>
      <c r="N985">
        <f t="shared" si="62"/>
        <v>232</v>
      </c>
      <c r="O985">
        <f t="shared" si="63"/>
        <v>2036.3333333333333</v>
      </c>
    </row>
    <row r="986" spans="1:15" x14ac:dyDescent="0.2">
      <c r="A986" t="s">
        <v>19</v>
      </c>
      <c r="B986">
        <v>9</v>
      </c>
      <c r="C986">
        <v>43</v>
      </c>
      <c r="D986">
        <v>34</v>
      </c>
      <c r="E986">
        <v>12</v>
      </c>
      <c r="F986">
        <v>41</v>
      </c>
      <c r="G986">
        <v>2162701</v>
      </c>
      <c r="H986">
        <v>1</v>
      </c>
      <c r="I986">
        <v>0</v>
      </c>
      <c r="J986">
        <v>1</v>
      </c>
      <c r="K986">
        <v>0</v>
      </c>
      <c r="L986">
        <f t="shared" si="60"/>
        <v>22</v>
      </c>
      <c r="M986">
        <f t="shared" si="61"/>
        <v>264</v>
      </c>
      <c r="N986">
        <f t="shared" si="62"/>
        <v>230</v>
      </c>
      <c r="O986">
        <f t="shared" si="63"/>
        <v>2036.1666666666667</v>
      </c>
    </row>
    <row r="987" spans="1:15" x14ac:dyDescent="0.2">
      <c r="A987" t="s">
        <v>19</v>
      </c>
      <c r="B987">
        <v>9</v>
      </c>
      <c r="C987">
        <v>43</v>
      </c>
      <c r="D987">
        <v>36</v>
      </c>
      <c r="E987">
        <v>4</v>
      </c>
      <c r="F987">
        <v>41</v>
      </c>
      <c r="G987">
        <v>2147801</v>
      </c>
      <c r="H987">
        <v>0</v>
      </c>
      <c r="I987">
        <v>1</v>
      </c>
      <c r="J987">
        <v>1</v>
      </c>
      <c r="K987">
        <v>0</v>
      </c>
      <c r="L987">
        <f t="shared" si="60"/>
        <v>22</v>
      </c>
      <c r="M987">
        <f t="shared" si="61"/>
        <v>264</v>
      </c>
      <c r="N987">
        <f t="shared" si="62"/>
        <v>228</v>
      </c>
      <c r="O987">
        <f t="shared" si="63"/>
        <v>2036</v>
      </c>
    </row>
    <row r="988" spans="1:15" x14ac:dyDescent="0.2">
      <c r="A988" t="s">
        <v>19</v>
      </c>
      <c r="B988">
        <v>9</v>
      </c>
      <c r="C988">
        <v>43</v>
      </c>
      <c r="D988">
        <v>42</v>
      </c>
      <c r="E988">
        <v>12</v>
      </c>
      <c r="F988">
        <v>43</v>
      </c>
      <c r="G988">
        <v>607602</v>
      </c>
      <c r="H988">
        <v>0</v>
      </c>
      <c r="I988">
        <v>1</v>
      </c>
      <c r="J988">
        <v>1</v>
      </c>
      <c r="K988">
        <v>0</v>
      </c>
      <c r="L988">
        <f t="shared" si="60"/>
        <v>22</v>
      </c>
      <c r="M988">
        <f t="shared" si="61"/>
        <v>264</v>
      </c>
      <c r="N988">
        <f t="shared" si="62"/>
        <v>222</v>
      </c>
      <c r="O988">
        <f t="shared" si="63"/>
        <v>2035.5</v>
      </c>
    </row>
    <row r="989" spans="1:15" x14ac:dyDescent="0.2">
      <c r="A989" t="s">
        <v>19</v>
      </c>
      <c r="B989">
        <v>9</v>
      </c>
      <c r="C989">
        <v>43</v>
      </c>
      <c r="D989">
        <v>43</v>
      </c>
      <c r="E989">
        <v>12</v>
      </c>
      <c r="F989">
        <v>39</v>
      </c>
      <c r="G989">
        <v>2117502</v>
      </c>
      <c r="H989">
        <v>0</v>
      </c>
      <c r="I989">
        <v>1</v>
      </c>
      <c r="J989">
        <v>1</v>
      </c>
      <c r="K989">
        <v>0</v>
      </c>
      <c r="L989">
        <f t="shared" si="60"/>
        <v>22</v>
      </c>
      <c r="M989">
        <f t="shared" si="61"/>
        <v>264</v>
      </c>
      <c r="N989">
        <f t="shared" si="62"/>
        <v>221</v>
      </c>
      <c r="O989">
        <f t="shared" si="63"/>
        <v>2035.4166666666667</v>
      </c>
    </row>
    <row r="990" spans="1:15" x14ac:dyDescent="0.2">
      <c r="A990" t="s">
        <v>19</v>
      </c>
      <c r="B990">
        <v>9</v>
      </c>
      <c r="C990">
        <v>43</v>
      </c>
      <c r="D990">
        <v>46</v>
      </c>
      <c r="E990">
        <v>1</v>
      </c>
      <c r="F990">
        <v>39</v>
      </c>
      <c r="G990">
        <v>2100701</v>
      </c>
      <c r="H990">
        <v>0</v>
      </c>
      <c r="I990">
        <v>1</v>
      </c>
      <c r="J990">
        <v>1</v>
      </c>
      <c r="K990">
        <v>0</v>
      </c>
      <c r="L990">
        <f t="shared" si="60"/>
        <v>22</v>
      </c>
      <c r="M990">
        <f t="shared" si="61"/>
        <v>264</v>
      </c>
      <c r="N990">
        <f t="shared" si="62"/>
        <v>218</v>
      </c>
      <c r="O990">
        <f t="shared" si="63"/>
        <v>2035.1666666666667</v>
      </c>
    </row>
    <row r="991" spans="1:15" x14ac:dyDescent="0.2">
      <c r="A991" t="s">
        <v>19</v>
      </c>
      <c r="B991">
        <v>9</v>
      </c>
      <c r="C991">
        <v>43</v>
      </c>
      <c r="D991">
        <v>46</v>
      </c>
      <c r="E991">
        <v>2</v>
      </c>
      <c r="F991">
        <v>29</v>
      </c>
      <c r="G991">
        <v>2099701</v>
      </c>
      <c r="H991">
        <v>0</v>
      </c>
      <c r="I991">
        <v>1</v>
      </c>
      <c r="J991">
        <v>1</v>
      </c>
      <c r="K991">
        <v>0</v>
      </c>
      <c r="L991">
        <f t="shared" si="60"/>
        <v>22</v>
      </c>
      <c r="M991">
        <f t="shared" si="61"/>
        <v>264</v>
      </c>
      <c r="N991">
        <f t="shared" si="62"/>
        <v>218</v>
      </c>
      <c r="O991">
        <f t="shared" si="63"/>
        <v>2035.1666666666667</v>
      </c>
    </row>
    <row r="992" spans="1:15" x14ac:dyDescent="0.2">
      <c r="A992" t="s">
        <v>19</v>
      </c>
      <c r="B992">
        <v>9</v>
      </c>
      <c r="C992">
        <v>43</v>
      </c>
      <c r="D992">
        <v>50</v>
      </c>
      <c r="E992">
        <v>6</v>
      </c>
      <c r="F992">
        <v>40</v>
      </c>
      <c r="G992">
        <v>2081501</v>
      </c>
      <c r="H992">
        <v>1</v>
      </c>
      <c r="I992">
        <v>0</v>
      </c>
      <c r="J992">
        <v>1</v>
      </c>
      <c r="K992">
        <v>0</v>
      </c>
      <c r="L992">
        <f t="shared" si="60"/>
        <v>22</v>
      </c>
      <c r="M992">
        <f t="shared" si="61"/>
        <v>264</v>
      </c>
      <c r="N992">
        <f t="shared" si="62"/>
        <v>214</v>
      </c>
      <c r="O992">
        <f t="shared" si="63"/>
        <v>2034.8333333333333</v>
      </c>
    </row>
    <row r="993" spans="1:15" x14ac:dyDescent="0.2">
      <c r="A993" t="s">
        <v>19</v>
      </c>
      <c r="B993">
        <v>9</v>
      </c>
      <c r="C993">
        <v>43</v>
      </c>
      <c r="D993">
        <v>53</v>
      </c>
      <c r="E993">
        <v>1</v>
      </c>
      <c r="F993">
        <v>39</v>
      </c>
      <c r="G993">
        <v>2070001</v>
      </c>
      <c r="H993">
        <v>0</v>
      </c>
      <c r="I993">
        <v>1</v>
      </c>
      <c r="J993">
        <v>1</v>
      </c>
      <c r="K993">
        <v>0</v>
      </c>
      <c r="L993">
        <f t="shared" si="60"/>
        <v>22</v>
      </c>
      <c r="M993">
        <f t="shared" si="61"/>
        <v>264</v>
      </c>
      <c r="N993">
        <f t="shared" si="62"/>
        <v>211</v>
      </c>
      <c r="O993">
        <f t="shared" si="63"/>
        <v>2034.5833333333333</v>
      </c>
    </row>
    <row r="994" spans="1:15" x14ac:dyDescent="0.2">
      <c r="A994" t="s">
        <v>19</v>
      </c>
      <c r="B994">
        <v>9</v>
      </c>
      <c r="C994">
        <v>43</v>
      </c>
      <c r="D994">
        <v>53</v>
      </c>
      <c r="E994">
        <v>1</v>
      </c>
      <c r="F994">
        <v>42</v>
      </c>
      <c r="G994">
        <v>2072501</v>
      </c>
      <c r="H994">
        <v>1</v>
      </c>
      <c r="I994">
        <v>0</v>
      </c>
      <c r="J994">
        <v>1</v>
      </c>
      <c r="K994">
        <v>0</v>
      </c>
      <c r="L994">
        <f t="shared" si="60"/>
        <v>22</v>
      </c>
      <c r="M994">
        <f t="shared" si="61"/>
        <v>264</v>
      </c>
      <c r="N994">
        <f t="shared" si="62"/>
        <v>211</v>
      </c>
      <c r="O994">
        <f t="shared" si="63"/>
        <v>2034.5833333333333</v>
      </c>
    </row>
    <row r="995" spans="1:15" x14ac:dyDescent="0.2">
      <c r="A995" t="s">
        <v>19</v>
      </c>
      <c r="B995">
        <v>9</v>
      </c>
      <c r="C995">
        <v>43</v>
      </c>
      <c r="D995">
        <v>54</v>
      </c>
      <c r="E995">
        <v>1</v>
      </c>
      <c r="F995">
        <v>40</v>
      </c>
      <c r="G995">
        <v>264702</v>
      </c>
      <c r="H995">
        <v>1</v>
      </c>
      <c r="I995">
        <v>0</v>
      </c>
      <c r="J995">
        <v>1</v>
      </c>
      <c r="K995">
        <v>0</v>
      </c>
      <c r="L995">
        <f t="shared" si="60"/>
        <v>22</v>
      </c>
      <c r="M995">
        <f t="shared" si="61"/>
        <v>264</v>
      </c>
      <c r="N995">
        <f t="shared" si="62"/>
        <v>210</v>
      </c>
      <c r="O995">
        <f t="shared" si="63"/>
        <v>2034.5</v>
      </c>
    </row>
    <row r="996" spans="1:15" x14ac:dyDescent="0.2">
      <c r="A996" t="s">
        <v>19</v>
      </c>
      <c r="B996">
        <v>9</v>
      </c>
      <c r="C996">
        <v>43</v>
      </c>
      <c r="D996">
        <v>55</v>
      </c>
      <c r="E996">
        <v>1</v>
      </c>
      <c r="F996">
        <v>40</v>
      </c>
      <c r="G996">
        <v>379802</v>
      </c>
      <c r="H996">
        <v>0</v>
      </c>
      <c r="I996">
        <v>1</v>
      </c>
      <c r="J996">
        <v>1</v>
      </c>
      <c r="K996">
        <v>0</v>
      </c>
      <c r="L996">
        <f t="shared" si="60"/>
        <v>22</v>
      </c>
      <c r="M996">
        <f t="shared" si="61"/>
        <v>264</v>
      </c>
      <c r="N996">
        <f t="shared" si="62"/>
        <v>209</v>
      </c>
      <c r="O996">
        <f t="shared" si="63"/>
        <v>2034.4166666666667</v>
      </c>
    </row>
    <row r="997" spans="1:15" x14ac:dyDescent="0.2">
      <c r="A997" t="s">
        <v>19</v>
      </c>
      <c r="B997">
        <v>9</v>
      </c>
      <c r="C997">
        <v>43</v>
      </c>
      <c r="D997">
        <v>55</v>
      </c>
      <c r="E997">
        <v>1</v>
      </c>
      <c r="F997">
        <v>43</v>
      </c>
      <c r="G997">
        <v>2052001</v>
      </c>
      <c r="H997">
        <v>1</v>
      </c>
      <c r="I997">
        <v>0</v>
      </c>
      <c r="J997">
        <v>1</v>
      </c>
      <c r="K997">
        <v>0</v>
      </c>
      <c r="L997">
        <f t="shared" si="60"/>
        <v>22</v>
      </c>
      <c r="M997">
        <f t="shared" si="61"/>
        <v>264</v>
      </c>
      <c r="N997">
        <f t="shared" si="62"/>
        <v>209</v>
      </c>
      <c r="O997">
        <f t="shared" si="63"/>
        <v>2034.4166666666667</v>
      </c>
    </row>
    <row r="998" spans="1:15" x14ac:dyDescent="0.2">
      <c r="A998" t="s">
        <v>19</v>
      </c>
      <c r="B998">
        <v>9</v>
      </c>
      <c r="C998">
        <v>43</v>
      </c>
      <c r="D998">
        <v>61</v>
      </c>
      <c r="E998">
        <v>1</v>
      </c>
      <c r="F998">
        <v>39</v>
      </c>
      <c r="G998">
        <v>2026901</v>
      </c>
      <c r="H998">
        <v>0</v>
      </c>
      <c r="I998">
        <v>1</v>
      </c>
      <c r="J998">
        <v>1</v>
      </c>
      <c r="K998">
        <v>0</v>
      </c>
      <c r="L998">
        <f t="shared" si="60"/>
        <v>22</v>
      </c>
      <c r="M998">
        <f t="shared" si="61"/>
        <v>264</v>
      </c>
      <c r="N998">
        <f t="shared" si="62"/>
        <v>203</v>
      </c>
      <c r="O998">
        <f t="shared" si="63"/>
        <v>2033.9166666666667</v>
      </c>
    </row>
    <row r="999" spans="1:15" x14ac:dyDescent="0.2">
      <c r="A999" t="s">
        <v>19</v>
      </c>
      <c r="B999">
        <v>9</v>
      </c>
      <c r="C999">
        <v>43</v>
      </c>
      <c r="D999">
        <v>61</v>
      </c>
      <c r="E999">
        <v>1</v>
      </c>
      <c r="F999">
        <v>40</v>
      </c>
      <c r="G999">
        <v>2025801</v>
      </c>
      <c r="H999">
        <v>0</v>
      </c>
      <c r="I999">
        <v>1</v>
      </c>
      <c r="J999">
        <v>1</v>
      </c>
      <c r="K999">
        <v>0</v>
      </c>
      <c r="L999">
        <f t="shared" si="60"/>
        <v>22</v>
      </c>
      <c r="M999">
        <f t="shared" si="61"/>
        <v>264</v>
      </c>
      <c r="N999">
        <f t="shared" si="62"/>
        <v>203</v>
      </c>
      <c r="O999">
        <f t="shared" si="63"/>
        <v>2033.9166666666667</v>
      </c>
    </row>
    <row r="1000" spans="1:15" x14ac:dyDescent="0.2">
      <c r="A1000" t="s">
        <v>19</v>
      </c>
      <c r="B1000">
        <v>9</v>
      </c>
      <c r="C1000">
        <v>43</v>
      </c>
      <c r="D1000">
        <v>65</v>
      </c>
      <c r="E1000">
        <v>12</v>
      </c>
      <c r="F1000">
        <v>43</v>
      </c>
      <c r="G1000">
        <v>286002</v>
      </c>
      <c r="H1000">
        <v>1</v>
      </c>
      <c r="I1000">
        <v>0</v>
      </c>
      <c r="J1000">
        <v>1</v>
      </c>
      <c r="K1000">
        <v>0</v>
      </c>
      <c r="L1000">
        <f t="shared" si="60"/>
        <v>22</v>
      </c>
      <c r="M1000">
        <f t="shared" si="61"/>
        <v>264</v>
      </c>
      <c r="N1000">
        <f t="shared" si="62"/>
        <v>199</v>
      </c>
      <c r="O1000">
        <f t="shared" si="63"/>
        <v>2033.5833333333333</v>
      </c>
    </row>
    <row r="1001" spans="1:15" x14ac:dyDescent="0.2">
      <c r="A1001" t="s">
        <v>19</v>
      </c>
      <c r="B1001">
        <v>9</v>
      </c>
      <c r="C1001">
        <v>43</v>
      </c>
      <c r="D1001">
        <v>72</v>
      </c>
      <c r="E1001">
        <v>2</v>
      </c>
      <c r="F1001">
        <v>39</v>
      </c>
      <c r="G1001">
        <v>11302</v>
      </c>
      <c r="H1001">
        <v>0</v>
      </c>
      <c r="I1001">
        <v>1</v>
      </c>
      <c r="J1001">
        <v>1</v>
      </c>
      <c r="K1001">
        <v>0</v>
      </c>
      <c r="L1001">
        <f t="shared" si="60"/>
        <v>22</v>
      </c>
      <c r="M1001">
        <f t="shared" si="61"/>
        <v>264</v>
      </c>
      <c r="N1001">
        <f t="shared" si="62"/>
        <v>192</v>
      </c>
      <c r="O1001">
        <f t="shared" si="63"/>
        <v>2033</v>
      </c>
    </row>
    <row r="1002" spans="1:15" x14ac:dyDescent="0.2">
      <c r="A1002" t="s">
        <v>19</v>
      </c>
      <c r="B1002">
        <v>9</v>
      </c>
      <c r="C1002">
        <v>43</v>
      </c>
      <c r="D1002">
        <v>73</v>
      </c>
      <c r="E1002">
        <v>1</v>
      </c>
      <c r="F1002">
        <v>34</v>
      </c>
      <c r="G1002">
        <v>1987701</v>
      </c>
      <c r="H1002">
        <v>0</v>
      </c>
      <c r="I1002">
        <v>1</v>
      </c>
      <c r="J1002">
        <v>1</v>
      </c>
      <c r="K1002">
        <v>0</v>
      </c>
      <c r="L1002">
        <f t="shared" si="60"/>
        <v>22</v>
      </c>
      <c r="M1002">
        <f t="shared" si="61"/>
        <v>264</v>
      </c>
      <c r="N1002">
        <f t="shared" si="62"/>
        <v>191</v>
      </c>
      <c r="O1002">
        <f t="shared" si="63"/>
        <v>2032.9166666666667</v>
      </c>
    </row>
    <row r="1003" spans="1:15" x14ac:dyDescent="0.2">
      <c r="A1003" t="s">
        <v>19</v>
      </c>
      <c r="B1003">
        <v>9</v>
      </c>
      <c r="C1003">
        <v>43</v>
      </c>
      <c r="D1003">
        <v>73</v>
      </c>
      <c r="E1003">
        <v>2</v>
      </c>
      <c r="F1003">
        <v>30</v>
      </c>
      <c r="G1003">
        <v>1986301</v>
      </c>
      <c r="H1003">
        <v>0</v>
      </c>
      <c r="I1003">
        <v>1</v>
      </c>
      <c r="J1003">
        <v>1</v>
      </c>
      <c r="K1003">
        <v>0</v>
      </c>
      <c r="L1003">
        <f t="shared" si="60"/>
        <v>22</v>
      </c>
      <c r="M1003">
        <f t="shared" si="61"/>
        <v>264</v>
      </c>
      <c r="N1003">
        <f t="shared" si="62"/>
        <v>191</v>
      </c>
      <c r="O1003">
        <f t="shared" si="63"/>
        <v>2032.9166666666667</v>
      </c>
    </row>
    <row r="1004" spans="1:15" x14ac:dyDescent="0.2">
      <c r="A1004" t="s">
        <v>19</v>
      </c>
      <c r="B1004">
        <v>9</v>
      </c>
      <c r="C1004">
        <v>43</v>
      </c>
      <c r="D1004">
        <v>81</v>
      </c>
      <c r="E1004">
        <v>1</v>
      </c>
      <c r="F1004">
        <v>38</v>
      </c>
      <c r="G1004">
        <v>1964501</v>
      </c>
      <c r="H1004">
        <v>0</v>
      </c>
      <c r="I1004">
        <v>1</v>
      </c>
      <c r="J1004">
        <v>1</v>
      </c>
      <c r="K1004">
        <v>0</v>
      </c>
      <c r="L1004">
        <f t="shared" si="60"/>
        <v>22</v>
      </c>
      <c r="M1004">
        <f t="shared" si="61"/>
        <v>264</v>
      </c>
      <c r="N1004">
        <f t="shared" si="62"/>
        <v>183</v>
      </c>
      <c r="O1004">
        <f t="shared" si="63"/>
        <v>2032.25</v>
      </c>
    </row>
    <row r="1005" spans="1:15" x14ac:dyDescent="0.2">
      <c r="A1005" t="s">
        <v>19</v>
      </c>
      <c r="B1005">
        <v>9</v>
      </c>
      <c r="C1005">
        <v>43</v>
      </c>
      <c r="D1005">
        <v>83</v>
      </c>
      <c r="E1005">
        <v>1</v>
      </c>
      <c r="F1005">
        <v>37</v>
      </c>
      <c r="G1005">
        <v>1957201</v>
      </c>
      <c r="H1005">
        <v>0</v>
      </c>
      <c r="I1005">
        <v>1</v>
      </c>
      <c r="J1005">
        <v>1</v>
      </c>
      <c r="K1005">
        <v>0</v>
      </c>
      <c r="L1005">
        <f t="shared" si="60"/>
        <v>22</v>
      </c>
      <c r="M1005">
        <f t="shared" si="61"/>
        <v>264</v>
      </c>
      <c r="N1005">
        <f t="shared" si="62"/>
        <v>181</v>
      </c>
      <c r="O1005">
        <f t="shared" si="63"/>
        <v>2032.0833333333333</v>
      </c>
    </row>
    <row r="1006" spans="1:15" x14ac:dyDescent="0.2">
      <c r="A1006" t="s">
        <v>19</v>
      </c>
      <c r="B1006">
        <v>9</v>
      </c>
      <c r="C1006">
        <v>43</v>
      </c>
      <c r="D1006">
        <v>89</v>
      </c>
      <c r="E1006">
        <v>1</v>
      </c>
      <c r="F1006">
        <v>41</v>
      </c>
      <c r="G1006">
        <v>1930801</v>
      </c>
      <c r="H1006">
        <v>0</v>
      </c>
      <c r="I1006">
        <v>1</v>
      </c>
      <c r="J1006">
        <v>1</v>
      </c>
      <c r="K1006">
        <v>0</v>
      </c>
      <c r="L1006">
        <f t="shared" si="60"/>
        <v>22</v>
      </c>
      <c r="M1006">
        <f t="shared" si="61"/>
        <v>264</v>
      </c>
      <c r="N1006">
        <f t="shared" si="62"/>
        <v>175</v>
      </c>
      <c r="O1006">
        <f t="shared" si="63"/>
        <v>2031.5833333333333</v>
      </c>
    </row>
    <row r="1007" spans="1:15" x14ac:dyDescent="0.2">
      <c r="A1007" t="s">
        <v>19</v>
      </c>
      <c r="B1007">
        <v>9</v>
      </c>
      <c r="C1007">
        <v>43</v>
      </c>
      <c r="D1007">
        <v>98</v>
      </c>
      <c r="E1007">
        <v>1</v>
      </c>
      <c r="F1007">
        <v>35</v>
      </c>
      <c r="G1007">
        <v>1859401</v>
      </c>
      <c r="H1007">
        <v>0</v>
      </c>
      <c r="I1007">
        <v>1</v>
      </c>
      <c r="J1007">
        <v>1</v>
      </c>
      <c r="K1007">
        <v>0</v>
      </c>
      <c r="L1007">
        <f t="shared" si="60"/>
        <v>22</v>
      </c>
      <c r="M1007">
        <f t="shared" si="61"/>
        <v>264</v>
      </c>
      <c r="N1007">
        <f t="shared" si="62"/>
        <v>166</v>
      </c>
      <c r="O1007">
        <f t="shared" si="63"/>
        <v>2030.8333333333333</v>
      </c>
    </row>
    <row r="1008" spans="1:15" x14ac:dyDescent="0.2">
      <c r="A1008" t="s">
        <v>19</v>
      </c>
      <c r="B1008">
        <v>9</v>
      </c>
      <c r="C1008">
        <v>43</v>
      </c>
      <c r="D1008">
        <v>104</v>
      </c>
      <c r="E1008">
        <v>1</v>
      </c>
      <c r="F1008">
        <v>33</v>
      </c>
      <c r="G1008">
        <v>814104</v>
      </c>
      <c r="H1008">
        <v>1</v>
      </c>
      <c r="I1008">
        <v>0</v>
      </c>
      <c r="J1008">
        <v>1</v>
      </c>
      <c r="K1008">
        <v>0</v>
      </c>
      <c r="L1008">
        <f t="shared" si="60"/>
        <v>22</v>
      </c>
      <c r="M1008">
        <f t="shared" si="61"/>
        <v>264</v>
      </c>
      <c r="N1008">
        <f t="shared" si="62"/>
        <v>160</v>
      </c>
      <c r="O1008">
        <f t="shared" si="63"/>
        <v>2030.3333333333333</v>
      </c>
    </row>
    <row r="1009" spans="1:15" x14ac:dyDescent="0.2">
      <c r="A1009" t="s">
        <v>19</v>
      </c>
      <c r="B1009">
        <v>9</v>
      </c>
      <c r="C1009">
        <v>43</v>
      </c>
      <c r="D1009">
        <v>110</v>
      </c>
      <c r="E1009">
        <v>1</v>
      </c>
      <c r="F1009">
        <v>38</v>
      </c>
      <c r="G1009">
        <v>1718901</v>
      </c>
      <c r="H1009">
        <v>0</v>
      </c>
      <c r="I1009">
        <v>1</v>
      </c>
      <c r="J1009">
        <v>1</v>
      </c>
      <c r="K1009">
        <v>0</v>
      </c>
      <c r="L1009">
        <f t="shared" si="60"/>
        <v>22</v>
      </c>
      <c r="M1009">
        <f t="shared" si="61"/>
        <v>264</v>
      </c>
      <c r="N1009">
        <f t="shared" si="62"/>
        <v>154</v>
      </c>
      <c r="O1009">
        <f t="shared" si="63"/>
        <v>2029.8333333333333</v>
      </c>
    </row>
    <row r="1010" spans="1:15" x14ac:dyDescent="0.2">
      <c r="A1010" t="s">
        <v>19</v>
      </c>
      <c r="B1010">
        <v>9</v>
      </c>
      <c r="C1010">
        <v>43</v>
      </c>
      <c r="D1010">
        <v>110</v>
      </c>
      <c r="E1010">
        <v>2</v>
      </c>
      <c r="F1010">
        <v>42</v>
      </c>
      <c r="G1010">
        <v>1715301</v>
      </c>
      <c r="H1010">
        <v>1</v>
      </c>
      <c r="I1010">
        <v>0</v>
      </c>
      <c r="J1010">
        <v>1</v>
      </c>
      <c r="K1010">
        <v>0</v>
      </c>
      <c r="L1010">
        <f t="shared" si="60"/>
        <v>22</v>
      </c>
      <c r="M1010">
        <f t="shared" si="61"/>
        <v>264</v>
      </c>
      <c r="N1010">
        <f t="shared" si="62"/>
        <v>154</v>
      </c>
      <c r="O1010">
        <f t="shared" si="63"/>
        <v>2029.8333333333333</v>
      </c>
    </row>
    <row r="1011" spans="1:15" x14ac:dyDescent="0.2">
      <c r="A1011" t="s">
        <v>19</v>
      </c>
      <c r="B1011">
        <v>9</v>
      </c>
      <c r="C1011">
        <v>43</v>
      </c>
      <c r="D1011">
        <v>111</v>
      </c>
      <c r="E1011">
        <v>1</v>
      </c>
      <c r="F1011">
        <v>29</v>
      </c>
      <c r="G1011">
        <v>1711901</v>
      </c>
      <c r="H1011">
        <v>0</v>
      </c>
      <c r="I1011">
        <v>1</v>
      </c>
      <c r="J1011">
        <v>1</v>
      </c>
      <c r="K1011">
        <v>0</v>
      </c>
      <c r="L1011">
        <f t="shared" si="60"/>
        <v>22</v>
      </c>
      <c r="M1011">
        <f t="shared" si="61"/>
        <v>264</v>
      </c>
      <c r="N1011">
        <f t="shared" si="62"/>
        <v>153</v>
      </c>
      <c r="O1011">
        <f t="shared" si="63"/>
        <v>2029.75</v>
      </c>
    </row>
    <row r="1012" spans="1:15" x14ac:dyDescent="0.2">
      <c r="A1012" t="s">
        <v>19</v>
      </c>
      <c r="B1012">
        <v>9</v>
      </c>
      <c r="C1012">
        <v>43</v>
      </c>
      <c r="D1012">
        <v>111</v>
      </c>
      <c r="E1012">
        <v>1</v>
      </c>
      <c r="F1012">
        <v>40</v>
      </c>
      <c r="G1012">
        <v>1026803</v>
      </c>
      <c r="H1012">
        <v>1</v>
      </c>
      <c r="I1012">
        <v>0</v>
      </c>
      <c r="J1012">
        <v>1</v>
      </c>
      <c r="K1012">
        <v>0</v>
      </c>
      <c r="L1012">
        <f t="shared" si="60"/>
        <v>22</v>
      </c>
      <c r="M1012">
        <f t="shared" si="61"/>
        <v>264</v>
      </c>
      <c r="N1012">
        <f t="shared" si="62"/>
        <v>153</v>
      </c>
      <c r="O1012">
        <f t="shared" si="63"/>
        <v>2029.75</v>
      </c>
    </row>
    <row r="1013" spans="1:15" x14ac:dyDescent="0.2">
      <c r="A1013" t="s">
        <v>19</v>
      </c>
      <c r="B1013">
        <v>9</v>
      </c>
      <c r="C1013">
        <v>43</v>
      </c>
      <c r="D1013">
        <v>113</v>
      </c>
      <c r="E1013">
        <v>1</v>
      </c>
      <c r="F1013">
        <v>29</v>
      </c>
      <c r="G1013">
        <v>1682101</v>
      </c>
      <c r="H1013">
        <v>0</v>
      </c>
      <c r="I1013">
        <v>1</v>
      </c>
      <c r="J1013">
        <v>1</v>
      </c>
      <c r="K1013">
        <v>0</v>
      </c>
      <c r="L1013">
        <f t="shared" si="60"/>
        <v>22</v>
      </c>
      <c r="M1013">
        <f t="shared" si="61"/>
        <v>264</v>
      </c>
      <c r="N1013">
        <f t="shared" si="62"/>
        <v>151</v>
      </c>
      <c r="O1013">
        <f t="shared" si="63"/>
        <v>2029.5833333333333</v>
      </c>
    </row>
    <row r="1014" spans="1:15" x14ac:dyDescent="0.2">
      <c r="A1014" t="s">
        <v>19</v>
      </c>
      <c r="B1014">
        <v>9</v>
      </c>
      <c r="C1014">
        <v>43</v>
      </c>
      <c r="D1014">
        <v>141</v>
      </c>
      <c r="E1014">
        <v>1</v>
      </c>
      <c r="F1014">
        <v>38</v>
      </c>
      <c r="G1014">
        <v>1120601</v>
      </c>
      <c r="H1014">
        <v>0</v>
      </c>
      <c r="I1014">
        <v>1</v>
      </c>
      <c r="J1014">
        <v>1</v>
      </c>
      <c r="K1014">
        <v>0</v>
      </c>
      <c r="L1014">
        <f t="shared" si="60"/>
        <v>22</v>
      </c>
      <c r="M1014">
        <f t="shared" si="61"/>
        <v>264</v>
      </c>
      <c r="N1014">
        <f t="shared" si="62"/>
        <v>123</v>
      </c>
      <c r="O1014">
        <f t="shared" si="63"/>
        <v>2027.25</v>
      </c>
    </row>
    <row r="1015" spans="1:15" x14ac:dyDescent="0.2">
      <c r="A1015" t="s">
        <v>19</v>
      </c>
      <c r="B1015">
        <v>9</v>
      </c>
      <c r="C1015">
        <v>43</v>
      </c>
      <c r="D1015">
        <v>143</v>
      </c>
      <c r="E1015">
        <v>1</v>
      </c>
      <c r="F1015">
        <v>40</v>
      </c>
      <c r="G1015">
        <v>1109401</v>
      </c>
      <c r="H1015">
        <v>0</v>
      </c>
      <c r="I1015">
        <v>1</v>
      </c>
      <c r="J1015">
        <v>1</v>
      </c>
      <c r="K1015">
        <v>0</v>
      </c>
      <c r="L1015">
        <f t="shared" si="60"/>
        <v>22</v>
      </c>
      <c r="M1015">
        <f t="shared" si="61"/>
        <v>264</v>
      </c>
      <c r="N1015">
        <f t="shared" si="62"/>
        <v>121</v>
      </c>
      <c r="O1015">
        <f t="shared" si="63"/>
        <v>2027.0833333333333</v>
      </c>
    </row>
    <row r="1016" spans="1:15" x14ac:dyDescent="0.2">
      <c r="A1016" t="s">
        <v>19</v>
      </c>
      <c r="B1016">
        <v>9</v>
      </c>
      <c r="C1016">
        <v>43</v>
      </c>
      <c r="D1016">
        <v>144</v>
      </c>
      <c r="E1016">
        <v>1</v>
      </c>
      <c r="F1016">
        <v>37</v>
      </c>
      <c r="G1016">
        <v>754003</v>
      </c>
      <c r="H1016">
        <v>0</v>
      </c>
      <c r="I1016">
        <v>1</v>
      </c>
      <c r="J1016">
        <v>1</v>
      </c>
      <c r="K1016">
        <v>0</v>
      </c>
      <c r="L1016">
        <f t="shared" si="60"/>
        <v>22</v>
      </c>
      <c r="M1016">
        <f t="shared" si="61"/>
        <v>264</v>
      </c>
      <c r="N1016">
        <f t="shared" si="62"/>
        <v>120</v>
      </c>
      <c r="O1016">
        <f t="shared" si="63"/>
        <v>2027</v>
      </c>
    </row>
    <row r="1017" spans="1:15" x14ac:dyDescent="0.2">
      <c r="A1017" t="s">
        <v>19</v>
      </c>
      <c r="B1017">
        <v>9</v>
      </c>
      <c r="C1017">
        <v>43</v>
      </c>
      <c r="D1017">
        <v>144</v>
      </c>
      <c r="E1017">
        <v>1</v>
      </c>
      <c r="F1017">
        <v>41</v>
      </c>
      <c r="G1017">
        <v>1098501</v>
      </c>
      <c r="H1017">
        <v>1</v>
      </c>
      <c r="I1017">
        <v>0</v>
      </c>
      <c r="J1017">
        <v>1</v>
      </c>
      <c r="K1017">
        <v>0</v>
      </c>
      <c r="L1017">
        <f t="shared" si="60"/>
        <v>22</v>
      </c>
      <c r="M1017">
        <f t="shared" si="61"/>
        <v>264</v>
      </c>
      <c r="N1017">
        <f t="shared" si="62"/>
        <v>120</v>
      </c>
      <c r="O1017">
        <f t="shared" si="63"/>
        <v>2027</v>
      </c>
    </row>
    <row r="1018" spans="1:15" x14ac:dyDescent="0.2">
      <c r="A1018" t="s">
        <v>19</v>
      </c>
      <c r="B1018">
        <v>9</v>
      </c>
      <c r="C1018">
        <v>43</v>
      </c>
      <c r="D1018">
        <v>145</v>
      </c>
      <c r="E1018">
        <v>1</v>
      </c>
      <c r="F1018">
        <v>42</v>
      </c>
      <c r="G1018">
        <v>1089101</v>
      </c>
      <c r="H1018">
        <v>1</v>
      </c>
      <c r="I1018">
        <v>0</v>
      </c>
      <c r="J1018">
        <v>1</v>
      </c>
      <c r="K1018">
        <v>0</v>
      </c>
      <c r="L1018">
        <f t="shared" si="60"/>
        <v>22</v>
      </c>
      <c r="M1018">
        <f t="shared" si="61"/>
        <v>264</v>
      </c>
      <c r="N1018">
        <f t="shared" si="62"/>
        <v>119</v>
      </c>
      <c r="O1018">
        <f t="shared" si="63"/>
        <v>2026.9166666666667</v>
      </c>
    </row>
    <row r="1019" spans="1:15" x14ac:dyDescent="0.2">
      <c r="A1019" t="s">
        <v>19</v>
      </c>
      <c r="B1019">
        <v>9</v>
      </c>
      <c r="C1019">
        <v>43</v>
      </c>
      <c r="D1019">
        <v>147</v>
      </c>
      <c r="E1019">
        <v>1</v>
      </c>
      <c r="F1019">
        <v>38</v>
      </c>
      <c r="G1019">
        <v>1079101</v>
      </c>
      <c r="H1019">
        <v>0</v>
      </c>
      <c r="I1019">
        <v>1</v>
      </c>
      <c r="J1019">
        <v>1</v>
      </c>
      <c r="K1019">
        <v>0</v>
      </c>
      <c r="L1019">
        <f t="shared" si="60"/>
        <v>22</v>
      </c>
      <c r="M1019">
        <f t="shared" si="61"/>
        <v>264</v>
      </c>
      <c r="N1019">
        <f t="shared" si="62"/>
        <v>117</v>
      </c>
      <c r="O1019">
        <f t="shared" si="63"/>
        <v>2026.75</v>
      </c>
    </row>
    <row r="1020" spans="1:15" x14ac:dyDescent="0.2">
      <c r="A1020" t="s">
        <v>19</v>
      </c>
      <c r="B1020">
        <v>9</v>
      </c>
      <c r="C1020">
        <v>43</v>
      </c>
      <c r="D1020">
        <v>147</v>
      </c>
      <c r="E1020">
        <v>1</v>
      </c>
      <c r="F1020">
        <v>42</v>
      </c>
      <c r="G1020">
        <v>1066701</v>
      </c>
      <c r="H1020">
        <v>0</v>
      </c>
      <c r="I1020">
        <v>1</v>
      </c>
      <c r="J1020">
        <v>1</v>
      </c>
      <c r="K1020">
        <v>0</v>
      </c>
      <c r="L1020">
        <f t="shared" si="60"/>
        <v>22</v>
      </c>
      <c r="M1020">
        <f t="shared" si="61"/>
        <v>264</v>
      </c>
      <c r="N1020">
        <f t="shared" si="62"/>
        <v>117</v>
      </c>
      <c r="O1020">
        <f t="shared" si="63"/>
        <v>2026.75</v>
      </c>
    </row>
    <row r="1021" spans="1:15" x14ac:dyDescent="0.2">
      <c r="A1021" t="s">
        <v>19</v>
      </c>
      <c r="B1021">
        <v>9</v>
      </c>
      <c r="C1021">
        <v>43</v>
      </c>
      <c r="D1021">
        <v>152</v>
      </c>
      <c r="E1021">
        <v>1</v>
      </c>
      <c r="F1021">
        <v>40</v>
      </c>
      <c r="G1021">
        <v>1040801</v>
      </c>
      <c r="H1021">
        <v>0</v>
      </c>
      <c r="I1021">
        <v>1</v>
      </c>
      <c r="J1021">
        <v>1</v>
      </c>
      <c r="K1021">
        <v>0</v>
      </c>
      <c r="L1021">
        <f t="shared" si="60"/>
        <v>22</v>
      </c>
      <c r="M1021">
        <f t="shared" si="61"/>
        <v>264</v>
      </c>
      <c r="N1021">
        <f t="shared" si="62"/>
        <v>112</v>
      </c>
      <c r="O1021">
        <f t="shared" si="63"/>
        <v>2026.3333333333333</v>
      </c>
    </row>
    <row r="1022" spans="1:15" x14ac:dyDescent="0.2">
      <c r="A1022" t="s">
        <v>19</v>
      </c>
      <c r="B1022">
        <v>9</v>
      </c>
      <c r="C1022">
        <v>43</v>
      </c>
      <c r="D1022">
        <v>166</v>
      </c>
      <c r="E1022">
        <v>1</v>
      </c>
      <c r="F1022">
        <v>41</v>
      </c>
      <c r="G1022">
        <v>921801</v>
      </c>
      <c r="H1022">
        <v>0</v>
      </c>
      <c r="I1022">
        <v>1</v>
      </c>
      <c r="J1022">
        <v>1</v>
      </c>
      <c r="K1022">
        <v>0</v>
      </c>
      <c r="L1022">
        <f t="shared" si="60"/>
        <v>22</v>
      </c>
      <c r="M1022">
        <f t="shared" si="61"/>
        <v>264</v>
      </c>
      <c r="N1022">
        <f t="shared" si="62"/>
        <v>98</v>
      </c>
      <c r="O1022">
        <f t="shared" si="63"/>
        <v>2025.1666666666667</v>
      </c>
    </row>
    <row r="1023" spans="1:15" x14ac:dyDescent="0.2">
      <c r="A1023" t="s">
        <v>19</v>
      </c>
      <c r="B1023">
        <v>9</v>
      </c>
      <c r="C1023">
        <v>43</v>
      </c>
      <c r="D1023">
        <v>167</v>
      </c>
      <c r="E1023">
        <v>1</v>
      </c>
      <c r="F1023">
        <v>42</v>
      </c>
      <c r="G1023">
        <v>915901</v>
      </c>
      <c r="H1023">
        <v>1</v>
      </c>
      <c r="I1023">
        <v>0</v>
      </c>
      <c r="J1023">
        <v>1</v>
      </c>
      <c r="K1023">
        <v>0</v>
      </c>
      <c r="L1023">
        <f t="shared" si="60"/>
        <v>22</v>
      </c>
      <c r="M1023">
        <f t="shared" si="61"/>
        <v>264</v>
      </c>
      <c r="N1023">
        <f t="shared" si="62"/>
        <v>97</v>
      </c>
      <c r="O1023">
        <f t="shared" si="63"/>
        <v>2025.0833333333333</v>
      </c>
    </row>
    <row r="1024" spans="1:15" x14ac:dyDescent="0.2">
      <c r="A1024" t="s">
        <v>19</v>
      </c>
      <c r="B1024">
        <v>9</v>
      </c>
      <c r="C1024">
        <v>43</v>
      </c>
      <c r="D1024">
        <v>168</v>
      </c>
      <c r="E1024">
        <v>2</v>
      </c>
      <c r="F1024">
        <v>37</v>
      </c>
      <c r="G1024">
        <v>912701</v>
      </c>
      <c r="H1024">
        <v>0</v>
      </c>
      <c r="I1024">
        <v>1</v>
      </c>
      <c r="J1024">
        <v>1</v>
      </c>
      <c r="K1024">
        <v>0</v>
      </c>
      <c r="L1024">
        <f t="shared" si="60"/>
        <v>22</v>
      </c>
      <c r="M1024">
        <f t="shared" si="61"/>
        <v>264</v>
      </c>
      <c r="N1024">
        <f t="shared" si="62"/>
        <v>96</v>
      </c>
      <c r="O1024">
        <f t="shared" si="63"/>
        <v>2025</v>
      </c>
    </row>
    <row r="1025" spans="1:15" x14ac:dyDescent="0.2">
      <c r="A1025" t="s">
        <v>19</v>
      </c>
      <c r="B1025">
        <v>9</v>
      </c>
      <c r="C1025">
        <v>43</v>
      </c>
      <c r="D1025">
        <v>184</v>
      </c>
      <c r="E1025">
        <v>2</v>
      </c>
      <c r="F1025">
        <v>42</v>
      </c>
      <c r="G1025">
        <v>890801</v>
      </c>
      <c r="H1025">
        <v>0</v>
      </c>
      <c r="I1025">
        <v>1</v>
      </c>
      <c r="J1025">
        <v>1</v>
      </c>
      <c r="K1025">
        <v>0</v>
      </c>
      <c r="L1025">
        <f t="shared" si="60"/>
        <v>22</v>
      </c>
      <c r="M1025">
        <f t="shared" si="61"/>
        <v>264</v>
      </c>
      <c r="N1025">
        <f t="shared" si="62"/>
        <v>80</v>
      </c>
      <c r="O1025">
        <f t="shared" si="63"/>
        <v>2023.6666666666667</v>
      </c>
    </row>
    <row r="1026" spans="1:15" x14ac:dyDescent="0.2">
      <c r="A1026" t="s">
        <v>19</v>
      </c>
      <c r="B1026">
        <v>9</v>
      </c>
      <c r="C1026">
        <v>43</v>
      </c>
      <c r="D1026">
        <v>190</v>
      </c>
      <c r="E1026">
        <v>1</v>
      </c>
      <c r="F1026">
        <v>38</v>
      </c>
      <c r="G1026">
        <v>864101</v>
      </c>
      <c r="H1026">
        <v>0</v>
      </c>
      <c r="I1026">
        <v>1</v>
      </c>
      <c r="J1026">
        <v>1</v>
      </c>
      <c r="K1026">
        <v>0</v>
      </c>
      <c r="L1026">
        <f t="shared" si="60"/>
        <v>22</v>
      </c>
      <c r="M1026">
        <f t="shared" si="61"/>
        <v>264</v>
      </c>
      <c r="N1026">
        <f t="shared" si="62"/>
        <v>74</v>
      </c>
      <c r="O1026">
        <f t="shared" si="63"/>
        <v>2023.1666666666667</v>
      </c>
    </row>
    <row r="1027" spans="1:15" x14ac:dyDescent="0.2">
      <c r="A1027" t="s">
        <v>19</v>
      </c>
      <c r="B1027">
        <v>9</v>
      </c>
      <c r="C1027">
        <v>43</v>
      </c>
      <c r="D1027">
        <v>190</v>
      </c>
      <c r="E1027">
        <v>1</v>
      </c>
      <c r="F1027">
        <v>42</v>
      </c>
      <c r="G1027">
        <v>869301</v>
      </c>
      <c r="H1027">
        <v>0</v>
      </c>
      <c r="I1027">
        <v>1</v>
      </c>
      <c r="J1027">
        <v>1</v>
      </c>
      <c r="K1027">
        <v>0</v>
      </c>
      <c r="L1027">
        <f t="shared" si="60"/>
        <v>22</v>
      </c>
      <c r="M1027">
        <f t="shared" si="61"/>
        <v>264</v>
      </c>
      <c r="N1027">
        <f t="shared" si="62"/>
        <v>74</v>
      </c>
      <c r="O1027">
        <f t="shared" si="63"/>
        <v>2023.1666666666667</v>
      </c>
    </row>
    <row r="1028" spans="1:15" x14ac:dyDescent="0.2">
      <c r="A1028" t="s">
        <v>19</v>
      </c>
      <c r="B1028">
        <v>9</v>
      </c>
      <c r="C1028">
        <v>43</v>
      </c>
      <c r="D1028">
        <v>191</v>
      </c>
      <c r="E1028">
        <v>1</v>
      </c>
      <c r="F1028">
        <v>43</v>
      </c>
      <c r="G1028">
        <v>858701</v>
      </c>
      <c r="H1028">
        <v>0</v>
      </c>
      <c r="I1028">
        <v>1</v>
      </c>
      <c r="J1028">
        <v>1</v>
      </c>
      <c r="K1028">
        <v>0</v>
      </c>
      <c r="L1028">
        <f t="shared" si="60"/>
        <v>22</v>
      </c>
      <c r="M1028">
        <f t="shared" si="61"/>
        <v>264</v>
      </c>
      <c r="N1028">
        <f t="shared" si="62"/>
        <v>73</v>
      </c>
      <c r="O1028">
        <f t="shared" si="63"/>
        <v>2023.0833333333333</v>
      </c>
    </row>
    <row r="1029" spans="1:15" x14ac:dyDescent="0.2">
      <c r="A1029" t="s">
        <v>19</v>
      </c>
      <c r="B1029">
        <v>9</v>
      </c>
      <c r="C1029">
        <v>43</v>
      </c>
      <c r="D1029">
        <v>199</v>
      </c>
      <c r="E1029">
        <v>2</v>
      </c>
      <c r="F1029">
        <v>39</v>
      </c>
      <c r="G1029">
        <v>804001</v>
      </c>
      <c r="H1029">
        <v>0</v>
      </c>
      <c r="I1029">
        <v>1</v>
      </c>
      <c r="J1029">
        <v>1</v>
      </c>
      <c r="K1029">
        <v>0</v>
      </c>
      <c r="L1029">
        <f t="shared" si="60"/>
        <v>22</v>
      </c>
      <c r="M1029">
        <f t="shared" si="61"/>
        <v>264</v>
      </c>
      <c r="N1029">
        <f t="shared" si="62"/>
        <v>65</v>
      </c>
      <c r="O1029">
        <f t="shared" si="63"/>
        <v>2022.4166666666667</v>
      </c>
    </row>
    <row r="1030" spans="1:15" x14ac:dyDescent="0.2">
      <c r="A1030" t="s">
        <v>19</v>
      </c>
      <c r="B1030">
        <v>9</v>
      </c>
      <c r="C1030">
        <v>43</v>
      </c>
      <c r="D1030">
        <v>211</v>
      </c>
      <c r="E1030">
        <v>1</v>
      </c>
      <c r="F1030">
        <v>37</v>
      </c>
      <c r="G1030">
        <v>626501</v>
      </c>
      <c r="H1030">
        <v>0</v>
      </c>
      <c r="I1030">
        <v>1</v>
      </c>
      <c r="J1030">
        <v>1</v>
      </c>
      <c r="K1030">
        <v>0</v>
      </c>
      <c r="L1030">
        <f t="shared" si="60"/>
        <v>22</v>
      </c>
      <c r="M1030">
        <f t="shared" si="61"/>
        <v>264</v>
      </c>
      <c r="N1030">
        <f t="shared" si="62"/>
        <v>53</v>
      </c>
      <c r="O1030">
        <f t="shared" si="63"/>
        <v>2021.4166666666667</v>
      </c>
    </row>
    <row r="1031" spans="1:15" x14ac:dyDescent="0.2">
      <c r="A1031" t="s">
        <v>19</v>
      </c>
      <c r="B1031">
        <v>9</v>
      </c>
      <c r="C1031">
        <v>43</v>
      </c>
      <c r="D1031">
        <v>225</v>
      </c>
      <c r="E1031">
        <v>1</v>
      </c>
      <c r="F1031">
        <v>38</v>
      </c>
      <c r="G1031">
        <v>60602</v>
      </c>
      <c r="H1031">
        <v>1</v>
      </c>
      <c r="I1031">
        <v>0</v>
      </c>
      <c r="J1031">
        <v>1</v>
      </c>
      <c r="K1031">
        <v>0</v>
      </c>
      <c r="L1031">
        <f t="shared" ref="L1031:L1094" si="64">65-C1031</f>
        <v>22</v>
      </c>
      <c r="M1031">
        <f t="shared" ref="M1031:M1094" si="65">L1031*12</f>
        <v>264</v>
      </c>
      <c r="N1031">
        <f t="shared" ref="N1031:N1094" si="66">M1031-D1031</f>
        <v>39</v>
      </c>
      <c r="O1031">
        <f t="shared" ref="O1031:O1094" si="67">2017+N1031/12</f>
        <v>2020.25</v>
      </c>
    </row>
    <row r="1032" spans="1:15" x14ac:dyDescent="0.2">
      <c r="A1032" t="s">
        <v>19</v>
      </c>
      <c r="B1032">
        <v>9</v>
      </c>
      <c r="C1032">
        <v>43</v>
      </c>
      <c r="D1032">
        <v>227</v>
      </c>
      <c r="E1032">
        <v>1</v>
      </c>
      <c r="F1032">
        <v>43</v>
      </c>
      <c r="G1032">
        <v>236401</v>
      </c>
      <c r="H1032">
        <v>1</v>
      </c>
      <c r="I1032">
        <v>0</v>
      </c>
      <c r="J1032">
        <v>1</v>
      </c>
      <c r="K1032">
        <v>0</v>
      </c>
      <c r="L1032">
        <f t="shared" si="64"/>
        <v>22</v>
      </c>
      <c r="M1032">
        <f t="shared" si="65"/>
        <v>264</v>
      </c>
      <c r="N1032">
        <f t="shared" si="66"/>
        <v>37</v>
      </c>
      <c r="O1032">
        <f t="shared" si="67"/>
        <v>2020.0833333333333</v>
      </c>
    </row>
    <row r="1033" spans="1:15" x14ac:dyDescent="0.2">
      <c r="A1033" t="s">
        <v>19</v>
      </c>
      <c r="B1033">
        <v>9</v>
      </c>
      <c r="C1033">
        <v>43</v>
      </c>
      <c r="D1033">
        <v>228</v>
      </c>
      <c r="E1033">
        <v>1</v>
      </c>
      <c r="F1033">
        <v>39</v>
      </c>
      <c r="G1033">
        <v>235901</v>
      </c>
      <c r="H1033">
        <v>0</v>
      </c>
      <c r="I1033">
        <v>1</v>
      </c>
      <c r="J1033">
        <v>1</v>
      </c>
      <c r="K1033">
        <v>0</v>
      </c>
      <c r="L1033">
        <f t="shared" si="64"/>
        <v>22</v>
      </c>
      <c r="M1033">
        <f t="shared" si="65"/>
        <v>264</v>
      </c>
      <c r="N1033">
        <f t="shared" si="66"/>
        <v>36</v>
      </c>
      <c r="O1033">
        <f t="shared" si="67"/>
        <v>2020</v>
      </c>
    </row>
    <row r="1034" spans="1:15" x14ac:dyDescent="0.2">
      <c r="A1034" t="s">
        <v>19</v>
      </c>
      <c r="B1034">
        <v>9</v>
      </c>
      <c r="C1034">
        <v>43</v>
      </c>
      <c r="D1034">
        <v>233</v>
      </c>
      <c r="E1034">
        <v>12</v>
      </c>
      <c r="F1034">
        <v>41</v>
      </c>
      <c r="G1034">
        <v>139901</v>
      </c>
      <c r="H1034">
        <v>0</v>
      </c>
      <c r="I1034">
        <v>1</v>
      </c>
      <c r="J1034">
        <v>1</v>
      </c>
      <c r="K1034">
        <v>0</v>
      </c>
      <c r="L1034">
        <f t="shared" si="64"/>
        <v>22</v>
      </c>
      <c r="M1034">
        <f t="shared" si="65"/>
        <v>264</v>
      </c>
      <c r="N1034">
        <f t="shared" si="66"/>
        <v>31</v>
      </c>
      <c r="O1034">
        <f t="shared" si="67"/>
        <v>2019.5833333333333</v>
      </c>
    </row>
    <row r="1035" spans="1:15" x14ac:dyDescent="0.2">
      <c r="A1035" t="s">
        <v>19</v>
      </c>
      <c r="B1035">
        <v>9</v>
      </c>
      <c r="C1035">
        <v>43</v>
      </c>
      <c r="D1035">
        <v>234</v>
      </c>
      <c r="E1035">
        <v>1</v>
      </c>
      <c r="F1035">
        <v>43</v>
      </c>
      <c r="G1035">
        <v>138001</v>
      </c>
      <c r="H1035">
        <v>1</v>
      </c>
      <c r="I1035">
        <v>0</v>
      </c>
      <c r="J1035">
        <v>1</v>
      </c>
      <c r="K1035">
        <v>0</v>
      </c>
      <c r="L1035">
        <f t="shared" si="64"/>
        <v>22</v>
      </c>
      <c r="M1035">
        <f t="shared" si="65"/>
        <v>264</v>
      </c>
      <c r="N1035">
        <f t="shared" si="66"/>
        <v>30</v>
      </c>
      <c r="O1035">
        <f t="shared" si="67"/>
        <v>2019.5</v>
      </c>
    </row>
    <row r="1036" spans="1:15" x14ac:dyDescent="0.2">
      <c r="A1036" t="s">
        <v>19</v>
      </c>
      <c r="B1036">
        <v>9</v>
      </c>
      <c r="C1036">
        <v>43</v>
      </c>
      <c r="D1036">
        <v>234</v>
      </c>
      <c r="E1036">
        <v>1</v>
      </c>
      <c r="F1036">
        <v>43</v>
      </c>
      <c r="G1036">
        <v>139401</v>
      </c>
      <c r="H1036">
        <v>1</v>
      </c>
      <c r="I1036">
        <v>0</v>
      </c>
      <c r="J1036">
        <v>1</v>
      </c>
      <c r="K1036">
        <v>0</v>
      </c>
      <c r="L1036">
        <f t="shared" si="64"/>
        <v>22</v>
      </c>
      <c r="M1036">
        <f t="shared" si="65"/>
        <v>264</v>
      </c>
      <c r="N1036">
        <f t="shared" si="66"/>
        <v>30</v>
      </c>
      <c r="O1036">
        <f t="shared" si="67"/>
        <v>2019.5</v>
      </c>
    </row>
    <row r="1037" spans="1:15" x14ac:dyDescent="0.2">
      <c r="A1037" t="s">
        <v>19</v>
      </c>
      <c r="B1037">
        <v>9</v>
      </c>
      <c r="C1037">
        <v>43</v>
      </c>
      <c r="D1037">
        <v>236</v>
      </c>
      <c r="E1037">
        <v>1</v>
      </c>
      <c r="F1037">
        <v>34</v>
      </c>
      <c r="G1037">
        <v>105501</v>
      </c>
      <c r="H1037">
        <v>1</v>
      </c>
      <c r="I1037">
        <v>0</v>
      </c>
      <c r="J1037">
        <v>1</v>
      </c>
      <c r="K1037">
        <v>0</v>
      </c>
      <c r="L1037">
        <f t="shared" si="64"/>
        <v>22</v>
      </c>
      <c r="M1037">
        <f t="shared" si="65"/>
        <v>264</v>
      </c>
      <c r="N1037">
        <f t="shared" si="66"/>
        <v>28</v>
      </c>
      <c r="O1037">
        <f t="shared" si="67"/>
        <v>2019.3333333333333</v>
      </c>
    </row>
    <row r="1038" spans="1:15" x14ac:dyDescent="0.2">
      <c r="A1038" t="s">
        <v>19</v>
      </c>
      <c r="B1038">
        <v>9</v>
      </c>
      <c r="C1038">
        <v>44</v>
      </c>
      <c r="D1038">
        <v>1</v>
      </c>
      <c r="E1038">
        <v>12</v>
      </c>
      <c r="F1038">
        <v>33</v>
      </c>
      <c r="G1038">
        <v>2408203</v>
      </c>
      <c r="H1038">
        <v>0</v>
      </c>
      <c r="I1038">
        <v>1</v>
      </c>
      <c r="J1038">
        <v>1</v>
      </c>
      <c r="K1038">
        <v>0</v>
      </c>
      <c r="L1038">
        <f t="shared" si="64"/>
        <v>21</v>
      </c>
      <c r="M1038">
        <f t="shared" si="65"/>
        <v>252</v>
      </c>
      <c r="N1038">
        <f t="shared" si="66"/>
        <v>251</v>
      </c>
      <c r="O1038">
        <f t="shared" si="67"/>
        <v>2037.9166666666667</v>
      </c>
    </row>
    <row r="1039" spans="1:15" x14ac:dyDescent="0.2">
      <c r="A1039" t="s">
        <v>19</v>
      </c>
      <c r="B1039">
        <v>9</v>
      </c>
      <c r="C1039">
        <v>44</v>
      </c>
      <c r="D1039">
        <v>1</v>
      </c>
      <c r="E1039">
        <v>12</v>
      </c>
      <c r="F1039">
        <v>41</v>
      </c>
      <c r="G1039">
        <v>2396502</v>
      </c>
      <c r="H1039">
        <v>0</v>
      </c>
      <c r="I1039">
        <v>1</v>
      </c>
      <c r="J1039">
        <v>1</v>
      </c>
      <c r="K1039">
        <v>0</v>
      </c>
      <c r="L1039">
        <f t="shared" si="64"/>
        <v>21</v>
      </c>
      <c r="M1039">
        <f t="shared" si="65"/>
        <v>252</v>
      </c>
      <c r="N1039">
        <f t="shared" si="66"/>
        <v>251</v>
      </c>
      <c r="O1039">
        <f t="shared" si="67"/>
        <v>2037.9166666666667</v>
      </c>
    </row>
    <row r="1040" spans="1:15" x14ac:dyDescent="0.2">
      <c r="A1040" t="s">
        <v>19</v>
      </c>
      <c r="B1040">
        <v>9</v>
      </c>
      <c r="C1040">
        <v>44</v>
      </c>
      <c r="D1040">
        <v>1</v>
      </c>
      <c r="E1040">
        <v>12</v>
      </c>
      <c r="F1040">
        <v>41</v>
      </c>
      <c r="G1040">
        <v>2411001</v>
      </c>
      <c r="H1040">
        <v>1</v>
      </c>
      <c r="I1040">
        <v>0</v>
      </c>
      <c r="J1040">
        <v>1</v>
      </c>
      <c r="K1040">
        <v>0</v>
      </c>
      <c r="L1040">
        <f t="shared" si="64"/>
        <v>21</v>
      </c>
      <c r="M1040">
        <f t="shared" si="65"/>
        <v>252</v>
      </c>
      <c r="N1040">
        <f t="shared" si="66"/>
        <v>251</v>
      </c>
      <c r="O1040">
        <f t="shared" si="67"/>
        <v>2037.9166666666667</v>
      </c>
    </row>
    <row r="1041" spans="1:15" x14ac:dyDescent="0.2">
      <c r="A1041" t="s">
        <v>19</v>
      </c>
      <c r="B1041">
        <v>9</v>
      </c>
      <c r="C1041">
        <v>44</v>
      </c>
      <c r="D1041">
        <v>1</v>
      </c>
      <c r="E1041">
        <v>12</v>
      </c>
      <c r="F1041">
        <v>43</v>
      </c>
      <c r="G1041">
        <v>2389702</v>
      </c>
      <c r="H1041">
        <v>0</v>
      </c>
      <c r="I1041">
        <v>1</v>
      </c>
      <c r="J1041">
        <v>1</v>
      </c>
      <c r="K1041">
        <v>0</v>
      </c>
      <c r="L1041">
        <f t="shared" si="64"/>
        <v>21</v>
      </c>
      <c r="M1041">
        <f t="shared" si="65"/>
        <v>252</v>
      </c>
      <c r="N1041">
        <f t="shared" si="66"/>
        <v>251</v>
      </c>
      <c r="O1041">
        <f t="shared" si="67"/>
        <v>2037.9166666666667</v>
      </c>
    </row>
    <row r="1042" spans="1:15" x14ac:dyDescent="0.2">
      <c r="A1042" t="s">
        <v>19</v>
      </c>
      <c r="B1042">
        <v>9</v>
      </c>
      <c r="C1042">
        <v>44</v>
      </c>
      <c r="D1042">
        <v>2</v>
      </c>
      <c r="E1042">
        <v>12</v>
      </c>
      <c r="F1042">
        <v>42</v>
      </c>
      <c r="G1042">
        <v>2382102</v>
      </c>
      <c r="H1042">
        <v>0</v>
      </c>
      <c r="I1042">
        <v>1</v>
      </c>
      <c r="J1042">
        <v>1</v>
      </c>
      <c r="K1042">
        <v>0</v>
      </c>
      <c r="L1042">
        <f t="shared" si="64"/>
        <v>21</v>
      </c>
      <c r="M1042">
        <f t="shared" si="65"/>
        <v>252</v>
      </c>
      <c r="N1042">
        <f t="shared" si="66"/>
        <v>250</v>
      </c>
      <c r="O1042">
        <f t="shared" si="67"/>
        <v>2037.8333333333333</v>
      </c>
    </row>
    <row r="1043" spans="1:15" x14ac:dyDescent="0.2">
      <c r="A1043" t="s">
        <v>19</v>
      </c>
      <c r="B1043">
        <v>9</v>
      </c>
      <c r="C1043">
        <v>44</v>
      </c>
      <c r="D1043">
        <v>2</v>
      </c>
      <c r="E1043">
        <v>12</v>
      </c>
      <c r="F1043">
        <v>44</v>
      </c>
      <c r="G1043">
        <v>2371303</v>
      </c>
      <c r="H1043">
        <v>0</v>
      </c>
      <c r="I1043">
        <v>1</v>
      </c>
      <c r="J1043">
        <v>1</v>
      </c>
      <c r="K1043">
        <v>0</v>
      </c>
      <c r="L1043">
        <f t="shared" si="64"/>
        <v>21</v>
      </c>
      <c r="M1043">
        <f t="shared" si="65"/>
        <v>252</v>
      </c>
      <c r="N1043">
        <f t="shared" si="66"/>
        <v>250</v>
      </c>
      <c r="O1043">
        <f t="shared" si="67"/>
        <v>2037.8333333333333</v>
      </c>
    </row>
    <row r="1044" spans="1:15" x14ac:dyDescent="0.2">
      <c r="A1044" t="s">
        <v>19</v>
      </c>
      <c r="B1044">
        <v>9</v>
      </c>
      <c r="C1044">
        <v>44</v>
      </c>
      <c r="D1044">
        <v>3</v>
      </c>
      <c r="E1044">
        <v>12</v>
      </c>
      <c r="F1044">
        <v>27</v>
      </c>
      <c r="G1044">
        <v>2362603</v>
      </c>
      <c r="H1044">
        <v>0</v>
      </c>
      <c r="I1044">
        <v>1</v>
      </c>
      <c r="J1044">
        <v>1</v>
      </c>
      <c r="K1044">
        <v>0</v>
      </c>
      <c r="L1044">
        <f t="shared" si="64"/>
        <v>21</v>
      </c>
      <c r="M1044">
        <f t="shared" si="65"/>
        <v>252</v>
      </c>
      <c r="N1044">
        <f t="shared" si="66"/>
        <v>249</v>
      </c>
      <c r="O1044">
        <f t="shared" si="67"/>
        <v>2037.75</v>
      </c>
    </row>
    <row r="1045" spans="1:15" x14ac:dyDescent="0.2">
      <c r="A1045" t="s">
        <v>19</v>
      </c>
      <c r="B1045">
        <v>9</v>
      </c>
      <c r="C1045">
        <v>44</v>
      </c>
      <c r="D1045">
        <v>3</v>
      </c>
      <c r="E1045">
        <v>12</v>
      </c>
      <c r="F1045">
        <v>41</v>
      </c>
      <c r="G1045">
        <v>2359704</v>
      </c>
      <c r="H1045">
        <v>0</v>
      </c>
      <c r="I1045">
        <v>1</v>
      </c>
      <c r="J1045">
        <v>1</v>
      </c>
      <c r="K1045">
        <v>0</v>
      </c>
      <c r="L1045">
        <f t="shared" si="64"/>
        <v>21</v>
      </c>
      <c r="M1045">
        <f t="shared" si="65"/>
        <v>252</v>
      </c>
      <c r="N1045">
        <f t="shared" si="66"/>
        <v>249</v>
      </c>
      <c r="O1045">
        <f t="shared" si="67"/>
        <v>2037.75</v>
      </c>
    </row>
    <row r="1046" spans="1:15" x14ac:dyDescent="0.2">
      <c r="A1046" t="s">
        <v>19</v>
      </c>
      <c r="B1046">
        <v>9</v>
      </c>
      <c r="C1046">
        <v>44</v>
      </c>
      <c r="D1046">
        <v>3</v>
      </c>
      <c r="E1046">
        <v>12</v>
      </c>
      <c r="F1046">
        <v>44</v>
      </c>
      <c r="G1046">
        <v>2361702</v>
      </c>
      <c r="H1046">
        <v>1</v>
      </c>
      <c r="I1046">
        <v>0</v>
      </c>
      <c r="J1046">
        <v>1</v>
      </c>
      <c r="K1046">
        <v>0</v>
      </c>
      <c r="L1046">
        <f t="shared" si="64"/>
        <v>21</v>
      </c>
      <c r="M1046">
        <f t="shared" si="65"/>
        <v>252</v>
      </c>
      <c r="N1046">
        <f t="shared" si="66"/>
        <v>249</v>
      </c>
      <c r="O1046">
        <f t="shared" si="67"/>
        <v>2037.75</v>
      </c>
    </row>
    <row r="1047" spans="1:15" x14ac:dyDescent="0.2">
      <c r="A1047" t="s">
        <v>19</v>
      </c>
      <c r="B1047">
        <v>9</v>
      </c>
      <c r="C1047">
        <v>44</v>
      </c>
      <c r="D1047">
        <v>7</v>
      </c>
      <c r="E1047">
        <v>4</v>
      </c>
      <c r="F1047">
        <v>41</v>
      </c>
      <c r="G1047">
        <v>2326201</v>
      </c>
      <c r="H1047">
        <v>0</v>
      </c>
      <c r="I1047">
        <v>1</v>
      </c>
      <c r="J1047">
        <v>1</v>
      </c>
      <c r="K1047">
        <v>0</v>
      </c>
      <c r="L1047">
        <f t="shared" si="64"/>
        <v>21</v>
      </c>
      <c r="M1047">
        <f t="shared" si="65"/>
        <v>252</v>
      </c>
      <c r="N1047">
        <f t="shared" si="66"/>
        <v>245</v>
      </c>
      <c r="O1047">
        <f t="shared" si="67"/>
        <v>2037.4166666666667</v>
      </c>
    </row>
    <row r="1048" spans="1:15" x14ac:dyDescent="0.2">
      <c r="A1048" t="s">
        <v>19</v>
      </c>
      <c r="B1048">
        <v>9</v>
      </c>
      <c r="C1048">
        <v>44</v>
      </c>
      <c r="D1048">
        <v>8</v>
      </c>
      <c r="E1048">
        <v>1</v>
      </c>
      <c r="F1048">
        <v>41</v>
      </c>
      <c r="G1048">
        <v>2310001</v>
      </c>
      <c r="H1048">
        <v>0</v>
      </c>
      <c r="I1048">
        <v>1</v>
      </c>
      <c r="J1048">
        <v>1</v>
      </c>
      <c r="K1048">
        <v>0</v>
      </c>
      <c r="L1048">
        <f t="shared" si="64"/>
        <v>21</v>
      </c>
      <c r="M1048">
        <f t="shared" si="65"/>
        <v>252</v>
      </c>
      <c r="N1048">
        <f t="shared" si="66"/>
        <v>244</v>
      </c>
      <c r="O1048">
        <f t="shared" si="67"/>
        <v>2037.3333333333333</v>
      </c>
    </row>
    <row r="1049" spans="1:15" x14ac:dyDescent="0.2">
      <c r="A1049" t="s">
        <v>19</v>
      </c>
      <c r="B1049">
        <v>9</v>
      </c>
      <c r="C1049">
        <v>44</v>
      </c>
      <c r="D1049">
        <v>8</v>
      </c>
      <c r="E1049">
        <v>12</v>
      </c>
      <c r="F1049">
        <v>40</v>
      </c>
      <c r="G1049">
        <v>2311403</v>
      </c>
      <c r="H1049">
        <v>0</v>
      </c>
      <c r="I1049">
        <v>1</v>
      </c>
      <c r="J1049">
        <v>1</v>
      </c>
      <c r="K1049">
        <v>0</v>
      </c>
      <c r="L1049">
        <f t="shared" si="64"/>
        <v>21</v>
      </c>
      <c r="M1049">
        <f t="shared" si="65"/>
        <v>252</v>
      </c>
      <c r="N1049">
        <f t="shared" si="66"/>
        <v>244</v>
      </c>
      <c r="O1049">
        <f t="shared" si="67"/>
        <v>2037.3333333333333</v>
      </c>
    </row>
    <row r="1050" spans="1:15" x14ac:dyDescent="0.2">
      <c r="A1050" t="s">
        <v>19</v>
      </c>
      <c r="B1050">
        <v>9</v>
      </c>
      <c r="C1050">
        <v>44</v>
      </c>
      <c r="D1050">
        <v>8</v>
      </c>
      <c r="E1050">
        <v>12</v>
      </c>
      <c r="F1050">
        <v>42</v>
      </c>
      <c r="G1050">
        <v>1912106</v>
      </c>
      <c r="H1050">
        <v>0</v>
      </c>
      <c r="I1050">
        <v>1</v>
      </c>
      <c r="J1050">
        <v>1</v>
      </c>
      <c r="K1050">
        <v>0</v>
      </c>
      <c r="L1050">
        <f t="shared" si="64"/>
        <v>21</v>
      </c>
      <c r="M1050">
        <f t="shared" si="65"/>
        <v>252</v>
      </c>
      <c r="N1050">
        <f t="shared" si="66"/>
        <v>244</v>
      </c>
      <c r="O1050">
        <f t="shared" si="67"/>
        <v>2037.3333333333333</v>
      </c>
    </row>
    <row r="1051" spans="1:15" x14ac:dyDescent="0.2">
      <c r="A1051" t="s">
        <v>19</v>
      </c>
      <c r="B1051">
        <v>9</v>
      </c>
      <c r="C1051">
        <v>44</v>
      </c>
      <c r="D1051">
        <v>10</v>
      </c>
      <c r="E1051">
        <v>1</v>
      </c>
      <c r="F1051">
        <v>40</v>
      </c>
      <c r="G1051">
        <v>2285103</v>
      </c>
      <c r="H1051">
        <v>0</v>
      </c>
      <c r="I1051">
        <v>1</v>
      </c>
      <c r="J1051">
        <v>1</v>
      </c>
      <c r="K1051">
        <v>0</v>
      </c>
      <c r="L1051">
        <f t="shared" si="64"/>
        <v>21</v>
      </c>
      <c r="M1051">
        <f t="shared" si="65"/>
        <v>252</v>
      </c>
      <c r="N1051">
        <f t="shared" si="66"/>
        <v>242</v>
      </c>
      <c r="O1051">
        <f t="shared" si="67"/>
        <v>2037.1666666666667</v>
      </c>
    </row>
    <row r="1052" spans="1:15" x14ac:dyDescent="0.2">
      <c r="A1052" t="s">
        <v>19</v>
      </c>
      <c r="B1052">
        <v>9</v>
      </c>
      <c r="C1052">
        <v>44</v>
      </c>
      <c r="D1052">
        <v>10</v>
      </c>
      <c r="E1052">
        <v>4</v>
      </c>
      <c r="F1052">
        <v>43</v>
      </c>
      <c r="G1052">
        <v>2294001</v>
      </c>
      <c r="H1052">
        <v>1</v>
      </c>
      <c r="I1052">
        <v>0</v>
      </c>
      <c r="J1052">
        <v>1</v>
      </c>
      <c r="K1052">
        <v>0</v>
      </c>
      <c r="L1052">
        <f t="shared" si="64"/>
        <v>21</v>
      </c>
      <c r="M1052">
        <f t="shared" si="65"/>
        <v>252</v>
      </c>
      <c r="N1052">
        <f t="shared" si="66"/>
        <v>242</v>
      </c>
      <c r="O1052">
        <f t="shared" si="67"/>
        <v>2037.1666666666667</v>
      </c>
    </row>
    <row r="1053" spans="1:15" x14ac:dyDescent="0.2">
      <c r="A1053" t="s">
        <v>19</v>
      </c>
      <c r="B1053">
        <v>9</v>
      </c>
      <c r="C1053">
        <v>44</v>
      </c>
      <c r="D1053">
        <v>10</v>
      </c>
      <c r="E1053">
        <v>12</v>
      </c>
      <c r="F1053">
        <v>43</v>
      </c>
      <c r="G1053">
        <v>2290005</v>
      </c>
      <c r="H1053">
        <v>1</v>
      </c>
      <c r="I1053">
        <v>0</v>
      </c>
      <c r="J1053">
        <v>1</v>
      </c>
      <c r="K1053">
        <v>0</v>
      </c>
      <c r="L1053">
        <f t="shared" si="64"/>
        <v>21</v>
      </c>
      <c r="M1053">
        <f t="shared" si="65"/>
        <v>252</v>
      </c>
      <c r="N1053">
        <f t="shared" si="66"/>
        <v>242</v>
      </c>
      <c r="O1053">
        <f t="shared" si="67"/>
        <v>2037.1666666666667</v>
      </c>
    </row>
    <row r="1054" spans="1:15" x14ac:dyDescent="0.2">
      <c r="A1054" t="s">
        <v>19</v>
      </c>
      <c r="B1054">
        <v>9</v>
      </c>
      <c r="C1054">
        <v>44</v>
      </c>
      <c r="D1054">
        <v>12</v>
      </c>
      <c r="E1054">
        <v>12</v>
      </c>
      <c r="F1054">
        <v>40</v>
      </c>
      <c r="G1054">
        <v>2275903</v>
      </c>
      <c r="H1054">
        <v>0</v>
      </c>
      <c r="I1054">
        <v>1</v>
      </c>
      <c r="J1054">
        <v>1</v>
      </c>
      <c r="K1054">
        <v>0</v>
      </c>
      <c r="L1054">
        <f t="shared" si="64"/>
        <v>21</v>
      </c>
      <c r="M1054">
        <f t="shared" si="65"/>
        <v>252</v>
      </c>
      <c r="N1054">
        <f t="shared" si="66"/>
        <v>240</v>
      </c>
      <c r="O1054">
        <f t="shared" si="67"/>
        <v>2037</v>
      </c>
    </row>
    <row r="1055" spans="1:15" x14ac:dyDescent="0.2">
      <c r="A1055" t="s">
        <v>19</v>
      </c>
      <c r="B1055">
        <v>9</v>
      </c>
      <c r="C1055">
        <v>44</v>
      </c>
      <c r="D1055">
        <v>16</v>
      </c>
      <c r="E1055">
        <v>12</v>
      </c>
      <c r="F1055">
        <v>42</v>
      </c>
      <c r="G1055">
        <v>2246105</v>
      </c>
      <c r="H1055">
        <v>1</v>
      </c>
      <c r="I1055">
        <v>0</v>
      </c>
      <c r="J1055">
        <v>1</v>
      </c>
      <c r="K1055">
        <v>0</v>
      </c>
      <c r="L1055">
        <f t="shared" si="64"/>
        <v>21</v>
      </c>
      <c r="M1055">
        <f t="shared" si="65"/>
        <v>252</v>
      </c>
      <c r="N1055">
        <f t="shared" si="66"/>
        <v>236</v>
      </c>
      <c r="O1055">
        <f t="shared" si="67"/>
        <v>2036.6666666666667</v>
      </c>
    </row>
    <row r="1056" spans="1:15" x14ac:dyDescent="0.2">
      <c r="A1056" t="s">
        <v>19</v>
      </c>
      <c r="B1056">
        <v>9</v>
      </c>
      <c r="C1056">
        <v>44</v>
      </c>
      <c r="D1056">
        <v>19</v>
      </c>
      <c r="E1056">
        <v>4</v>
      </c>
      <c r="F1056">
        <v>39</v>
      </c>
      <c r="G1056">
        <v>2236205</v>
      </c>
      <c r="H1056">
        <v>0</v>
      </c>
      <c r="I1056">
        <v>1</v>
      </c>
      <c r="J1056">
        <v>1</v>
      </c>
      <c r="K1056">
        <v>0</v>
      </c>
      <c r="L1056">
        <f t="shared" si="64"/>
        <v>21</v>
      </c>
      <c r="M1056">
        <f t="shared" si="65"/>
        <v>252</v>
      </c>
      <c r="N1056">
        <f t="shared" si="66"/>
        <v>233</v>
      </c>
      <c r="O1056">
        <f t="shared" si="67"/>
        <v>2036.4166666666667</v>
      </c>
    </row>
    <row r="1057" spans="1:15" x14ac:dyDescent="0.2">
      <c r="A1057" t="s">
        <v>19</v>
      </c>
      <c r="B1057">
        <v>9</v>
      </c>
      <c r="C1057">
        <v>44</v>
      </c>
      <c r="D1057">
        <v>21</v>
      </c>
      <c r="E1057">
        <v>1</v>
      </c>
      <c r="F1057">
        <v>44</v>
      </c>
      <c r="G1057">
        <v>2222801</v>
      </c>
      <c r="H1057">
        <v>1</v>
      </c>
      <c r="I1057">
        <v>0</v>
      </c>
      <c r="J1057">
        <v>1</v>
      </c>
      <c r="K1057">
        <v>0</v>
      </c>
      <c r="L1057">
        <f t="shared" si="64"/>
        <v>21</v>
      </c>
      <c r="M1057">
        <f t="shared" si="65"/>
        <v>252</v>
      </c>
      <c r="N1057">
        <f t="shared" si="66"/>
        <v>231</v>
      </c>
      <c r="O1057">
        <f t="shared" si="67"/>
        <v>2036.25</v>
      </c>
    </row>
    <row r="1058" spans="1:15" x14ac:dyDescent="0.2">
      <c r="A1058" t="s">
        <v>19</v>
      </c>
      <c r="B1058">
        <v>9</v>
      </c>
      <c r="C1058">
        <v>44</v>
      </c>
      <c r="D1058">
        <v>22</v>
      </c>
      <c r="E1058">
        <v>1</v>
      </c>
      <c r="F1058">
        <v>37</v>
      </c>
      <c r="G1058">
        <v>2219201</v>
      </c>
      <c r="H1058">
        <v>0</v>
      </c>
      <c r="I1058">
        <v>1</v>
      </c>
      <c r="J1058">
        <v>1</v>
      </c>
      <c r="K1058">
        <v>0</v>
      </c>
      <c r="L1058">
        <f t="shared" si="64"/>
        <v>21</v>
      </c>
      <c r="M1058">
        <f t="shared" si="65"/>
        <v>252</v>
      </c>
      <c r="N1058">
        <f t="shared" si="66"/>
        <v>230</v>
      </c>
      <c r="O1058">
        <f t="shared" si="67"/>
        <v>2036.1666666666667</v>
      </c>
    </row>
    <row r="1059" spans="1:15" x14ac:dyDescent="0.2">
      <c r="A1059" t="s">
        <v>19</v>
      </c>
      <c r="B1059">
        <v>9</v>
      </c>
      <c r="C1059">
        <v>44</v>
      </c>
      <c r="D1059">
        <v>24</v>
      </c>
      <c r="E1059">
        <v>4</v>
      </c>
      <c r="F1059">
        <v>44</v>
      </c>
      <c r="G1059">
        <v>2205201</v>
      </c>
      <c r="H1059">
        <v>1</v>
      </c>
      <c r="I1059">
        <v>0</v>
      </c>
      <c r="J1059">
        <v>1</v>
      </c>
      <c r="K1059">
        <v>0</v>
      </c>
      <c r="L1059">
        <f t="shared" si="64"/>
        <v>21</v>
      </c>
      <c r="M1059">
        <f t="shared" si="65"/>
        <v>252</v>
      </c>
      <c r="N1059">
        <f t="shared" si="66"/>
        <v>228</v>
      </c>
      <c r="O1059">
        <f t="shared" si="67"/>
        <v>2036</v>
      </c>
    </row>
    <row r="1060" spans="1:15" x14ac:dyDescent="0.2">
      <c r="A1060" t="s">
        <v>19</v>
      </c>
      <c r="B1060">
        <v>9</v>
      </c>
      <c r="C1060">
        <v>44</v>
      </c>
      <c r="D1060">
        <v>31</v>
      </c>
      <c r="E1060">
        <v>1</v>
      </c>
      <c r="F1060">
        <v>42</v>
      </c>
      <c r="G1060">
        <v>2177801</v>
      </c>
      <c r="H1060">
        <v>0</v>
      </c>
      <c r="I1060">
        <v>1</v>
      </c>
      <c r="J1060">
        <v>1</v>
      </c>
      <c r="K1060">
        <v>0</v>
      </c>
      <c r="L1060">
        <f t="shared" si="64"/>
        <v>21</v>
      </c>
      <c r="M1060">
        <f t="shared" si="65"/>
        <v>252</v>
      </c>
      <c r="N1060">
        <f t="shared" si="66"/>
        <v>221</v>
      </c>
      <c r="O1060">
        <f t="shared" si="67"/>
        <v>2035.4166666666667</v>
      </c>
    </row>
    <row r="1061" spans="1:15" x14ac:dyDescent="0.2">
      <c r="A1061" t="s">
        <v>19</v>
      </c>
      <c r="B1061">
        <v>9</v>
      </c>
      <c r="C1061">
        <v>44</v>
      </c>
      <c r="D1061">
        <v>31</v>
      </c>
      <c r="E1061">
        <v>12</v>
      </c>
      <c r="F1061">
        <v>38</v>
      </c>
      <c r="G1061">
        <v>2174901</v>
      </c>
      <c r="H1061">
        <v>0</v>
      </c>
      <c r="I1061">
        <v>1</v>
      </c>
      <c r="J1061">
        <v>1</v>
      </c>
      <c r="K1061">
        <v>0</v>
      </c>
      <c r="L1061">
        <f t="shared" si="64"/>
        <v>21</v>
      </c>
      <c r="M1061">
        <f t="shared" si="65"/>
        <v>252</v>
      </c>
      <c r="N1061">
        <f t="shared" si="66"/>
        <v>221</v>
      </c>
      <c r="O1061">
        <f t="shared" si="67"/>
        <v>2035.4166666666667</v>
      </c>
    </row>
    <row r="1062" spans="1:15" x14ac:dyDescent="0.2">
      <c r="A1062" t="s">
        <v>19</v>
      </c>
      <c r="B1062">
        <v>9</v>
      </c>
      <c r="C1062">
        <v>44</v>
      </c>
      <c r="D1062">
        <v>32</v>
      </c>
      <c r="E1062">
        <v>2</v>
      </c>
      <c r="F1062">
        <v>41</v>
      </c>
      <c r="G1062">
        <v>2170401</v>
      </c>
      <c r="H1062">
        <v>0</v>
      </c>
      <c r="I1062">
        <v>1</v>
      </c>
      <c r="J1062">
        <v>1</v>
      </c>
      <c r="K1062">
        <v>0</v>
      </c>
      <c r="L1062">
        <f t="shared" si="64"/>
        <v>21</v>
      </c>
      <c r="M1062">
        <f t="shared" si="65"/>
        <v>252</v>
      </c>
      <c r="N1062">
        <f t="shared" si="66"/>
        <v>220</v>
      </c>
      <c r="O1062">
        <f t="shared" si="67"/>
        <v>2035.3333333333333</v>
      </c>
    </row>
    <row r="1063" spans="1:15" x14ac:dyDescent="0.2">
      <c r="A1063" t="s">
        <v>19</v>
      </c>
      <c r="B1063">
        <v>9</v>
      </c>
      <c r="C1063">
        <v>44</v>
      </c>
      <c r="D1063">
        <v>33</v>
      </c>
      <c r="E1063">
        <v>1</v>
      </c>
      <c r="F1063">
        <v>42</v>
      </c>
      <c r="G1063">
        <v>2162301</v>
      </c>
      <c r="H1063">
        <v>0</v>
      </c>
      <c r="I1063">
        <v>1</v>
      </c>
      <c r="J1063">
        <v>1</v>
      </c>
      <c r="K1063">
        <v>0</v>
      </c>
      <c r="L1063">
        <f t="shared" si="64"/>
        <v>21</v>
      </c>
      <c r="M1063">
        <f t="shared" si="65"/>
        <v>252</v>
      </c>
      <c r="N1063">
        <f t="shared" si="66"/>
        <v>219</v>
      </c>
      <c r="O1063">
        <f t="shared" si="67"/>
        <v>2035.25</v>
      </c>
    </row>
    <row r="1064" spans="1:15" x14ac:dyDescent="0.2">
      <c r="A1064" t="s">
        <v>19</v>
      </c>
      <c r="B1064">
        <v>9</v>
      </c>
      <c r="C1064">
        <v>44</v>
      </c>
      <c r="D1064">
        <v>33</v>
      </c>
      <c r="E1064">
        <v>6</v>
      </c>
      <c r="F1064">
        <v>40</v>
      </c>
      <c r="G1064">
        <v>2165902</v>
      </c>
      <c r="H1064">
        <v>0</v>
      </c>
      <c r="I1064">
        <v>1</v>
      </c>
      <c r="J1064">
        <v>1</v>
      </c>
      <c r="K1064">
        <v>0</v>
      </c>
      <c r="L1064">
        <f t="shared" si="64"/>
        <v>21</v>
      </c>
      <c r="M1064">
        <f t="shared" si="65"/>
        <v>252</v>
      </c>
      <c r="N1064">
        <f t="shared" si="66"/>
        <v>219</v>
      </c>
      <c r="O1064">
        <f t="shared" si="67"/>
        <v>2035.25</v>
      </c>
    </row>
    <row r="1065" spans="1:15" x14ac:dyDescent="0.2">
      <c r="A1065" t="s">
        <v>19</v>
      </c>
      <c r="B1065">
        <v>9</v>
      </c>
      <c r="C1065">
        <v>44</v>
      </c>
      <c r="D1065">
        <v>36</v>
      </c>
      <c r="E1065">
        <v>1</v>
      </c>
      <c r="F1065">
        <v>39</v>
      </c>
      <c r="G1065">
        <v>2152101</v>
      </c>
      <c r="H1065">
        <v>0</v>
      </c>
      <c r="I1065">
        <v>1</v>
      </c>
      <c r="J1065">
        <v>1</v>
      </c>
      <c r="K1065">
        <v>0</v>
      </c>
      <c r="L1065">
        <f t="shared" si="64"/>
        <v>21</v>
      </c>
      <c r="M1065">
        <f t="shared" si="65"/>
        <v>252</v>
      </c>
      <c r="N1065">
        <f t="shared" si="66"/>
        <v>216</v>
      </c>
      <c r="O1065">
        <f t="shared" si="67"/>
        <v>2035</v>
      </c>
    </row>
    <row r="1066" spans="1:15" x14ac:dyDescent="0.2">
      <c r="A1066" t="s">
        <v>19</v>
      </c>
      <c r="B1066">
        <v>9</v>
      </c>
      <c r="C1066">
        <v>44</v>
      </c>
      <c r="D1066">
        <v>37</v>
      </c>
      <c r="E1066">
        <v>1</v>
      </c>
      <c r="F1066">
        <v>42</v>
      </c>
      <c r="G1066">
        <v>2141801</v>
      </c>
      <c r="H1066">
        <v>0</v>
      </c>
      <c r="I1066">
        <v>1</v>
      </c>
      <c r="J1066">
        <v>1</v>
      </c>
      <c r="K1066">
        <v>0</v>
      </c>
      <c r="L1066">
        <f t="shared" si="64"/>
        <v>21</v>
      </c>
      <c r="M1066">
        <f t="shared" si="65"/>
        <v>252</v>
      </c>
      <c r="N1066">
        <f t="shared" si="66"/>
        <v>215</v>
      </c>
      <c r="O1066">
        <f t="shared" si="67"/>
        <v>2034.9166666666667</v>
      </c>
    </row>
    <row r="1067" spans="1:15" x14ac:dyDescent="0.2">
      <c r="A1067" t="s">
        <v>19</v>
      </c>
      <c r="B1067">
        <v>9</v>
      </c>
      <c r="C1067">
        <v>44</v>
      </c>
      <c r="D1067">
        <v>37</v>
      </c>
      <c r="E1067">
        <v>4</v>
      </c>
      <c r="F1067">
        <v>42</v>
      </c>
      <c r="G1067">
        <v>2144902</v>
      </c>
      <c r="H1067">
        <v>0</v>
      </c>
      <c r="I1067">
        <v>1</v>
      </c>
      <c r="J1067">
        <v>1</v>
      </c>
      <c r="K1067">
        <v>0</v>
      </c>
      <c r="L1067">
        <f t="shared" si="64"/>
        <v>21</v>
      </c>
      <c r="M1067">
        <f t="shared" si="65"/>
        <v>252</v>
      </c>
      <c r="N1067">
        <f t="shared" si="66"/>
        <v>215</v>
      </c>
      <c r="O1067">
        <f t="shared" si="67"/>
        <v>2034.9166666666667</v>
      </c>
    </row>
    <row r="1068" spans="1:15" x14ac:dyDescent="0.2">
      <c r="A1068" t="s">
        <v>19</v>
      </c>
      <c r="B1068">
        <v>9</v>
      </c>
      <c r="C1068">
        <v>44</v>
      </c>
      <c r="D1068">
        <v>38</v>
      </c>
      <c r="E1068">
        <v>1</v>
      </c>
      <c r="F1068">
        <v>38</v>
      </c>
      <c r="G1068">
        <v>2139201</v>
      </c>
      <c r="H1068">
        <v>0</v>
      </c>
      <c r="I1068">
        <v>1</v>
      </c>
      <c r="J1068">
        <v>1</v>
      </c>
      <c r="K1068">
        <v>0</v>
      </c>
      <c r="L1068">
        <f t="shared" si="64"/>
        <v>21</v>
      </c>
      <c r="M1068">
        <f t="shared" si="65"/>
        <v>252</v>
      </c>
      <c r="N1068">
        <f t="shared" si="66"/>
        <v>214</v>
      </c>
      <c r="O1068">
        <f t="shared" si="67"/>
        <v>2034.8333333333333</v>
      </c>
    </row>
    <row r="1069" spans="1:15" x14ac:dyDescent="0.2">
      <c r="A1069" t="s">
        <v>19</v>
      </c>
      <c r="B1069">
        <v>9</v>
      </c>
      <c r="C1069">
        <v>44</v>
      </c>
      <c r="D1069">
        <v>38</v>
      </c>
      <c r="E1069">
        <v>4</v>
      </c>
      <c r="F1069">
        <v>33</v>
      </c>
      <c r="G1069">
        <v>2136701</v>
      </c>
      <c r="H1069">
        <v>0</v>
      </c>
      <c r="I1069">
        <v>1</v>
      </c>
      <c r="J1069">
        <v>1</v>
      </c>
      <c r="K1069">
        <v>0</v>
      </c>
      <c r="L1069">
        <f t="shared" si="64"/>
        <v>21</v>
      </c>
      <c r="M1069">
        <f t="shared" si="65"/>
        <v>252</v>
      </c>
      <c r="N1069">
        <f t="shared" si="66"/>
        <v>214</v>
      </c>
      <c r="O1069">
        <f t="shared" si="67"/>
        <v>2034.8333333333333</v>
      </c>
    </row>
    <row r="1070" spans="1:15" x14ac:dyDescent="0.2">
      <c r="A1070" t="s">
        <v>19</v>
      </c>
      <c r="B1070">
        <v>9</v>
      </c>
      <c r="C1070">
        <v>44</v>
      </c>
      <c r="D1070">
        <v>42</v>
      </c>
      <c r="E1070">
        <v>12</v>
      </c>
      <c r="F1070">
        <v>40</v>
      </c>
      <c r="G1070">
        <v>313202</v>
      </c>
      <c r="H1070">
        <v>0</v>
      </c>
      <c r="I1070">
        <v>1</v>
      </c>
      <c r="J1070">
        <v>1</v>
      </c>
      <c r="K1070">
        <v>0</v>
      </c>
      <c r="L1070">
        <f t="shared" si="64"/>
        <v>21</v>
      </c>
      <c r="M1070">
        <f t="shared" si="65"/>
        <v>252</v>
      </c>
      <c r="N1070">
        <f t="shared" si="66"/>
        <v>210</v>
      </c>
      <c r="O1070">
        <f t="shared" si="67"/>
        <v>2034.5</v>
      </c>
    </row>
    <row r="1071" spans="1:15" x14ac:dyDescent="0.2">
      <c r="A1071" t="s">
        <v>19</v>
      </c>
      <c r="B1071">
        <v>9</v>
      </c>
      <c r="C1071">
        <v>44</v>
      </c>
      <c r="D1071">
        <v>42</v>
      </c>
      <c r="E1071">
        <v>12</v>
      </c>
      <c r="F1071">
        <v>41</v>
      </c>
      <c r="G1071">
        <v>2123202</v>
      </c>
      <c r="H1071">
        <v>0</v>
      </c>
      <c r="I1071">
        <v>1</v>
      </c>
      <c r="J1071">
        <v>1</v>
      </c>
      <c r="K1071">
        <v>0</v>
      </c>
      <c r="L1071">
        <f t="shared" si="64"/>
        <v>21</v>
      </c>
      <c r="M1071">
        <f t="shared" si="65"/>
        <v>252</v>
      </c>
      <c r="N1071">
        <f t="shared" si="66"/>
        <v>210</v>
      </c>
      <c r="O1071">
        <f t="shared" si="67"/>
        <v>2034.5</v>
      </c>
    </row>
    <row r="1072" spans="1:15" x14ac:dyDescent="0.2">
      <c r="A1072" t="s">
        <v>19</v>
      </c>
      <c r="B1072">
        <v>9</v>
      </c>
      <c r="C1072">
        <v>44</v>
      </c>
      <c r="D1072">
        <v>43</v>
      </c>
      <c r="E1072">
        <v>1</v>
      </c>
      <c r="F1072">
        <v>41</v>
      </c>
      <c r="G1072">
        <v>2118101</v>
      </c>
      <c r="H1072">
        <v>1</v>
      </c>
      <c r="I1072">
        <v>0</v>
      </c>
      <c r="J1072">
        <v>1</v>
      </c>
      <c r="K1072">
        <v>0</v>
      </c>
      <c r="L1072">
        <f t="shared" si="64"/>
        <v>21</v>
      </c>
      <c r="M1072">
        <f t="shared" si="65"/>
        <v>252</v>
      </c>
      <c r="N1072">
        <f t="shared" si="66"/>
        <v>209</v>
      </c>
      <c r="O1072">
        <f t="shared" si="67"/>
        <v>2034.4166666666667</v>
      </c>
    </row>
    <row r="1073" spans="1:15" x14ac:dyDescent="0.2">
      <c r="A1073" t="s">
        <v>19</v>
      </c>
      <c r="B1073">
        <v>9</v>
      </c>
      <c r="C1073">
        <v>44</v>
      </c>
      <c r="D1073">
        <v>44</v>
      </c>
      <c r="E1073">
        <v>1</v>
      </c>
      <c r="F1073">
        <v>38</v>
      </c>
      <c r="G1073">
        <v>2109001</v>
      </c>
      <c r="H1073">
        <v>0</v>
      </c>
      <c r="I1073">
        <v>1</v>
      </c>
      <c r="J1073">
        <v>1</v>
      </c>
      <c r="K1073">
        <v>0</v>
      </c>
      <c r="L1073">
        <f t="shared" si="64"/>
        <v>21</v>
      </c>
      <c r="M1073">
        <f t="shared" si="65"/>
        <v>252</v>
      </c>
      <c r="N1073">
        <f t="shared" si="66"/>
        <v>208</v>
      </c>
      <c r="O1073">
        <f t="shared" si="67"/>
        <v>2034.3333333333333</v>
      </c>
    </row>
    <row r="1074" spans="1:15" x14ac:dyDescent="0.2">
      <c r="A1074" t="s">
        <v>19</v>
      </c>
      <c r="B1074">
        <v>9</v>
      </c>
      <c r="C1074">
        <v>44</v>
      </c>
      <c r="D1074">
        <v>45</v>
      </c>
      <c r="E1074">
        <v>1</v>
      </c>
      <c r="F1074">
        <v>41</v>
      </c>
      <c r="G1074">
        <v>198003</v>
      </c>
      <c r="H1074">
        <v>1</v>
      </c>
      <c r="I1074">
        <v>0</v>
      </c>
      <c r="J1074">
        <v>1</v>
      </c>
      <c r="K1074">
        <v>0</v>
      </c>
      <c r="L1074">
        <f t="shared" si="64"/>
        <v>21</v>
      </c>
      <c r="M1074">
        <f t="shared" si="65"/>
        <v>252</v>
      </c>
      <c r="N1074">
        <f t="shared" si="66"/>
        <v>207</v>
      </c>
      <c r="O1074">
        <f t="shared" si="67"/>
        <v>2034.25</v>
      </c>
    </row>
    <row r="1075" spans="1:15" x14ac:dyDescent="0.2">
      <c r="A1075" t="s">
        <v>19</v>
      </c>
      <c r="B1075">
        <v>9</v>
      </c>
      <c r="C1075">
        <v>44</v>
      </c>
      <c r="D1075">
        <v>46</v>
      </c>
      <c r="E1075">
        <v>1</v>
      </c>
      <c r="F1075">
        <v>41</v>
      </c>
      <c r="G1075">
        <v>1861902</v>
      </c>
      <c r="H1075">
        <v>0</v>
      </c>
      <c r="I1075">
        <v>1</v>
      </c>
      <c r="J1075">
        <v>1</v>
      </c>
      <c r="K1075">
        <v>0</v>
      </c>
      <c r="L1075">
        <f t="shared" si="64"/>
        <v>21</v>
      </c>
      <c r="M1075">
        <f t="shared" si="65"/>
        <v>252</v>
      </c>
      <c r="N1075">
        <f t="shared" si="66"/>
        <v>206</v>
      </c>
      <c r="O1075">
        <f t="shared" si="67"/>
        <v>2034.1666666666667</v>
      </c>
    </row>
    <row r="1076" spans="1:15" x14ac:dyDescent="0.2">
      <c r="A1076" t="s">
        <v>19</v>
      </c>
      <c r="B1076">
        <v>9</v>
      </c>
      <c r="C1076">
        <v>44</v>
      </c>
      <c r="D1076">
        <v>49</v>
      </c>
      <c r="E1076">
        <v>1</v>
      </c>
      <c r="F1076">
        <v>37</v>
      </c>
      <c r="G1076">
        <v>2083802</v>
      </c>
      <c r="H1076">
        <v>0</v>
      </c>
      <c r="I1076">
        <v>1</v>
      </c>
      <c r="J1076">
        <v>1</v>
      </c>
      <c r="K1076">
        <v>0</v>
      </c>
      <c r="L1076">
        <f t="shared" si="64"/>
        <v>21</v>
      </c>
      <c r="M1076">
        <f t="shared" si="65"/>
        <v>252</v>
      </c>
      <c r="N1076">
        <f t="shared" si="66"/>
        <v>203</v>
      </c>
      <c r="O1076">
        <f t="shared" si="67"/>
        <v>2033.9166666666667</v>
      </c>
    </row>
    <row r="1077" spans="1:15" x14ac:dyDescent="0.2">
      <c r="A1077" t="s">
        <v>19</v>
      </c>
      <c r="B1077">
        <v>9</v>
      </c>
      <c r="C1077">
        <v>44</v>
      </c>
      <c r="D1077">
        <v>49</v>
      </c>
      <c r="E1077">
        <v>1</v>
      </c>
      <c r="F1077">
        <v>38</v>
      </c>
      <c r="G1077">
        <v>366302</v>
      </c>
      <c r="H1077">
        <v>0</v>
      </c>
      <c r="I1077">
        <v>1</v>
      </c>
      <c r="J1077">
        <v>1</v>
      </c>
      <c r="K1077">
        <v>0</v>
      </c>
      <c r="L1077">
        <f t="shared" si="64"/>
        <v>21</v>
      </c>
      <c r="M1077">
        <f t="shared" si="65"/>
        <v>252</v>
      </c>
      <c r="N1077">
        <f t="shared" si="66"/>
        <v>203</v>
      </c>
      <c r="O1077">
        <f t="shared" si="67"/>
        <v>2033.9166666666667</v>
      </c>
    </row>
    <row r="1078" spans="1:15" x14ac:dyDescent="0.2">
      <c r="A1078" t="s">
        <v>19</v>
      </c>
      <c r="B1078">
        <v>9</v>
      </c>
      <c r="C1078">
        <v>44</v>
      </c>
      <c r="D1078">
        <v>49</v>
      </c>
      <c r="E1078">
        <v>12</v>
      </c>
      <c r="F1078">
        <v>44</v>
      </c>
      <c r="G1078">
        <v>2088402</v>
      </c>
      <c r="H1078">
        <v>1</v>
      </c>
      <c r="I1078">
        <v>0</v>
      </c>
      <c r="J1078">
        <v>1</v>
      </c>
      <c r="K1078">
        <v>0</v>
      </c>
      <c r="L1078">
        <f t="shared" si="64"/>
        <v>21</v>
      </c>
      <c r="M1078">
        <f t="shared" si="65"/>
        <v>252</v>
      </c>
      <c r="N1078">
        <f t="shared" si="66"/>
        <v>203</v>
      </c>
      <c r="O1078">
        <f t="shared" si="67"/>
        <v>2033.9166666666667</v>
      </c>
    </row>
    <row r="1079" spans="1:15" x14ac:dyDescent="0.2">
      <c r="A1079" t="s">
        <v>19</v>
      </c>
      <c r="B1079">
        <v>9</v>
      </c>
      <c r="C1079">
        <v>44</v>
      </c>
      <c r="D1079">
        <v>53</v>
      </c>
      <c r="E1079">
        <v>1</v>
      </c>
      <c r="F1079">
        <v>43</v>
      </c>
      <c r="G1079">
        <v>2068601</v>
      </c>
      <c r="H1079">
        <v>0</v>
      </c>
      <c r="I1079">
        <v>1</v>
      </c>
      <c r="J1079">
        <v>1</v>
      </c>
      <c r="K1079">
        <v>0</v>
      </c>
      <c r="L1079">
        <f t="shared" si="64"/>
        <v>21</v>
      </c>
      <c r="M1079">
        <f t="shared" si="65"/>
        <v>252</v>
      </c>
      <c r="N1079">
        <f t="shared" si="66"/>
        <v>199</v>
      </c>
      <c r="O1079">
        <f t="shared" si="67"/>
        <v>2033.5833333333333</v>
      </c>
    </row>
    <row r="1080" spans="1:15" x14ac:dyDescent="0.2">
      <c r="A1080" t="s">
        <v>19</v>
      </c>
      <c r="B1080">
        <v>9</v>
      </c>
      <c r="C1080">
        <v>44</v>
      </c>
      <c r="D1080">
        <v>53</v>
      </c>
      <c r="E1080">
        <v>2</v>
      </c>
      <c r="F1080">
        <v>42</v>
      </c>
      <c r="G1080">
        <v>2066401</v>
      </c>
      <c r="H1080">
        <v>0</v>
      </c>
      <c r="I1080">
        <v>1</v>
      </c>
      <c r="J1080">
        <v>1</v>
      </c>
      <c r="K1080">
        <v>0</v>
      </c>
      <c r="L1080">
        <f t="shared" si="64"/>
        <v>21</v>
      </c>
      <c r="M1080">
        <f t="shared" si="65"/>
        <v>252</v>
      </c>
      <c r="N1080">
        <f t="shared" si="66"/>
        <v>199</v>
      </c>
      <c r="O1080">
        <f t="shared" si="67"/>
        <v>2033.5833333333333</v>
      </c>
    </row>
    <row r="1081" spans="1:15" x14ac:dyDescent="0.2">
      <c r="A1081" t="s">
        <v>19</v>
      </c>
      <c r="B1081">
        <v>9</v>
      </c>
      <c r="C1081">
        <v>44</v>
      </c>
      <c r="D1081">
        <v>54</v>
      </c>
      <c r="E1081">
        <v>1</v>
      </c>
      <c r="F1081">
        <v>36</v>
      </c>
      <c r="G1081">
        <v>2062001</v>
      </c>
      <c r="H1081">
        <v>0</v>
      </c>
      <c r="I1081">
        <v>1</v>
      </c>
      <c r="J1081">
        <v>1</v>
      </c>
      <c r="K1081">
        <v>0</v>
      </c>
      <c r="L1081">
        <f t="shared" si="64"/>
        <v>21</v>
      </c>
      <c r="M1081">
        <f t="shared" si="65"/>
        <v>252</v>
      </c>
      <c r="N1081">
        <f t="shared" si="66"/>
        <v>198</v>
      </c>
      <c r="O1081">
        <f t="shared" si="67"/>
        <v>2033.5</v>
      </c>
    </row>
    <row r="1082" spans="1:15" x14ac:dyDescent="0.2">
      <c r="A1082" t="s">
        <v>19</v>
      </c>
      <c r="B1082">
        <v>9</v>
      </c>
      <c r="C1082">
        <v>44</v>
      </c>
      <c r="D1082">
        <v>55</v>
      </c>
      <c r="E1082">
        <v>1</v>
      </c>
      <c r="F1082">
        <v>39</v>
      </c>
      <c r="G1082">
        <v>257903</v>
      </c>
      <c r="H1082">
        <v>0</v>
      </c>
      <c r="I1082">
        <v>1</v>
      </c>
      <c r="J1082">
        <v>1</v>
      </c>
      <c r="K1082">
        <v>0</v>
      </c>
      <c r="L1082">
        <f t="shared" si="64"/>
        <v>21</v>
      </c>
      <c r="M1082">
        <f t="shared" si="65"/>
        <v>252</v>
      </c>
      <c r="N1082">
        <f t="shared" si="66"/>
        <v>197</v>
      </c>
      <c r="O1082">
        <f t="shared" si="67"/>
        <v>2033.4166666666667</v>
      </c>
    </row>
    <row r="1083" spans="1:15" x14ac:dyDescent="0.2">
      <c r="A1083" t="s">
        <v>19</v>
      </c>
      <c r="B1083">
        <v>9</v>
      </c>
      <c r="C1083">
        <v>44</v>
      </c>
      <c r="D1083">
        <v>55</v>
      </c>
      <c r="E1083">
        <v>1</v>
      </c>
      <c r="F1083">
        <v>42</v>
      </c>
      <c r="G1083">
        <v>2052701</v>
      </c>
      <c r="H1083">
        <v>0</v>
      </c>
      <c r="I1083">
        <v>1</v>
      </c>
      <c r="J1083">
        <v>1</v>
      </c>
      <c r="K1083">
        <v>0</v>
      </c>
      <c r="L1083">
        <f t="shared" si="64"/>
        <v>21</v>
      </c>
      <c r="M1083">
        <f t="shared" si="65"/>
        <v>252</v>
      </c>
      <c r="N1083">
        <f t="shared" si="66"/>
        <v>197</v>
      </c>
      <c r="O1083">
        <f t="shared" si="67"/>
        <v>2033.4166666666667</v>
      </c>
    </row>
    <row r="1084" spans="1:15" x14ac:dyDescent="0.2">
      <c r="A1084" t="s">
        <v>19</v>
      </c>
      <c r="B1084">
        <v>9</v>
      </c>
      <c r="C1084">
        <v>44</v>
      </c>
      <c r="D1084">
        <v>55</v>
      </c>
      <c r="E1084">
        <v>2</v>
      </c>
      <c r="F1084">
        <v>37</v>
      </c>
      <c r="G1084">
        <v>2052201</v>
      </c>
      <c r="H1084">
        <v>1</v>
      </c>
      <c r="I1084">
        <v>0</v>
      </c>
      <c r="J1084">
        <v>1</v>
      </c>
      <c r="K1084">
        <v>0</v>
      </c>
      <c r="L1084">
        <f t="shared" si="64"/>
        <v>21</v>
      </c>
      <c r="M1084">
        <f t="shared" si="65"/>
        <v>252</v>
      </c>
      <c r="N1084">
        <f t="shared" si="66"/>
        <v>197</v>
      </c>
      <c r="O1084">
        <f t="shared" si="67"/>
        <v>2033.4166666666667</v>
      </c>
    </row>
    <row r="1085" spans="1:15" x14ac:dyDescent="0.2">
      <c r="A1085" t="s">
        <v>19</v>
      </c>
      <c r="B1085">
        <v>9</v>
      </c>
      <c r="C1085">
        <v>44</v>
      </c>
      <c r="D1085">
        <v>56</v>
      </c>
      <c r="E1085">
        <v>1</v>
      </c>
      <c r="F1085">
        <v>41</v>
      </c>
      <c r="G1085">
        <v>2050601</v>
      </c>
      <c r="H1085">
        <v>0</v>
      </c>
      <c r="I1085">
        <v>1</v>
      </c>
      <c r="J1085">
        <v>1</v>
      </c>
      <c r="K1085">
        <v>0</v>
      </c>
      <c r="L1085">
        <f t="shared" si="64"/>
        <v>21</v>
      </c>
      <c r="M1085">
        <f t="shared" si="65"/>
        <v>252</v>
      </c>
      <c r="N1085">
        <f t="shared" si="66"/>
        <v>196</v>
      </c>
      <c r="O1085">
        <f t="shared" si="67"/>
        <v>2033.3333333333333</v>
      </c>
    </row>
    <row r="1086" spans="1:15" x14ac:dyDescent="0.2">
      <c r="A1086" t="s">
        <v>19</v>
      </c>
      <c r="B1086">
        <v>9</v>
      </c>
      <c r="C1086">
        <v>44</v>
      </c>
      <c r="D1086">
        <v>57</v>
      </c>
      <c r="E1086">
        <v>1</v>
      </c>
      <c r="F1086">
        <v>38</v>
      </c>
      <c r="G1086">
        <v>1092502</v>
      </c>
      <c r="H1086">
        <v>0</v>
      </c>
      <c r="I1086">
        <v>1</v>
      </c>
      <c r="J1086">
        <v>1</v>
      </c>
      <c r="K1086">
        <v>0</v>
      </c>
      <c r="L1086">
        <f t="shared" si="64"/>
        <v>21</v>
      </c>
      <c r="M1086">
        <f t="shared" si="65"/>
        <v>252</v>
      </c>
      <c r="N1086">
        <f t="shared" si="66"/>
        <v>195</v>
      </c>
      <c r="O1086">
        <f t="shared" si="67"/>
        <v>2033.25</v>
      </c>
    </row>
    <row r="1087" spans="1:15" x14ac:dyDescent="0.2">
      <c r="A1087" t="s">
        <v>19</v>
      </c>
      <c r="B1087">
        <v>9</v>
      </c>
      <c r="C1087">
        <v>44</v>
      </c>
      <c r="D1087">
        <v>57</v>
      </c>
      <c r="E1087">
        <v>1</v>
      </c>
      <c r="F1087">
        <v>42</v>
      </c>
      <c r="G1087">
        <v>543804</v>
      </c>
      <c r="H1087">
        <v>1</v>
      </c>
      <c r="I1087">
        <v>0</v>
      </c>
      <c r="J1087">
        <v>1</v>
      </c>
      <c r="K1087">
        <v>0</v>
      </c>
      <c r="L1087">
        <f t="shared" si="64"/>
        <v>21</v>
      </c>
      <c r="M1087">
        <f t="shared" si="65"/>
        <v>252</v>
      </c>
      <c r="N1087">
        <f t="shared" si="66"/>
        <v>195</v>
      </c>
      <c r="O1087">
        <f t="shared" si="67"/>
        <v>2033.25</v>
      </c>
    </row>
    <row r="1088" spans="1:15" x14ac:dyDescent="0.2">
      <c r="A1088" t="s">
        <v>19</v>
      </c>
      <c r="B1088">
        <v>9</v>
      </c>
      <c r="C1088">
        <v>44</v>
      </c>
      <c r="D1088">
        <v>70</v>
      </c>
      <c r="E1088">
        <v>1</v>
      </c>
      <c r="F1088">
        <v>40</v>
      </c>
      <c r="G1088">
        <v>1994001</v>
      </c>
      <c r="H1088">
        <v>0</v>
      </c>
      <c r="I1088">
        <v>1</v>
      </c>
      <c r="J1088">
        <v>1</v>
      </c>
      <c r="K1088">
        <v>0</v>
      </c>
      <c r="L1088">
        <f t="shared" si="64"/>
        <v>21</v>
      </c>
      <c r="M1088">
        <f t="shared" si="65"/>
        <v>252</v>
      </c>
      <c r="N1088">
        <f t="shared" si="66"/>
        <v>182</v>
      </c>
      <c r="O1088">
        <f t="shared" si="67"/>
        <v>2032.1666666666667</v>
      </c>
    </row>
    <row r="1089" spans="1:15" x14ac:dyDescent="0.2">
      <c r="A1089" t="s">
        <v>19</v>
      </c>
      <c r="B1089">
        <v>9</v>
      </c>
      <c r="C1089">
        <v>44</v>
      </c>
      <c r="D1089">
        <v>73</v>
      </c>
      <c r="E1089">
        <v>1</v>
      </c>
      <c r="F1089">
        <v>40</v>
      </c>
      <c r="G1089">
        <v>1988201</v>
      </c>
      <c r="H1089">
        <v>0</v>
      </c>
      <c r="I1089">
        <v>1</v>
      </c>
      <c r="J1089">
        <v>1</v>
      </c>
      <c r="K1089">
        <v>0</v>
      </c>
      <c r="L1089">
        <f t="shared" si="64"/>
        <v>21</v>
      </c>
      <c r="M1089">
        <f t="shared" si="65"/>
        <v>252</v>
      </c>
      <c r="N1089">
        <f t="shared" si="66"/>
        <v>179</v>
      </c>
      <c r="O1089">
        <f t="shared" si="67"/>
        <v>2031.9166666666667</v>
      </c>
    </row>
    <row r="1090" spans="1:15" x14ac:dyDescent="0.2">
      <c r="A1090" t="s">
        <v>19</v>
      </c>
      <c r="B1090">
        <v>9</v>
      </c>
      <c r="C1090">
        <v>44</v>
      </c>
      <c r="D1090">
        <v>74</v>
      </c>
      <c r="E1090">
        <v>2</v>
      </c>
      <c r="F1090">
        <v>43</v>
      </c>
      <c r="G1090">
        <v>1982201</v>
      </c>
      <c r="H1090">
        <v>0</v>
      </c>
      <c r="I1090">
        <v>1</v>
      </c>
      <c r="J1090">
        <v>1</v>
      </c>
      <c r="K1090">
        <v>0</v>
      </c>
      <c r="L1090">
        <f t="shared" si="64"/>
        <v>21</v>
      </c>
      <c r="M1090">
        <f t="shared" si="65"/>
        <v>252</v>
      </c>
      <c r="N1090">
        <f t="shared" si="66"/>
        <v>178</v>
      </c>
      <c r="O1090">
        <f t="shared" si="67"/>
        <v>2031.8333333333333</v>
      </c>
    </row>
    <row r="1091" spans="1:15" x14ac:dyDescent="0.2">
      <c r="A1091" t="s">
        <v>19</v>
      </c>
      <c r="B1091">
        <v>9</v>
      </c>
      <c r="C1091">
        <v>44</v>
      </c>
      <c r="D1091">
        <v>85</v>
      </c>
      <c r="E1091">
        <v>2</v>
      </c>
      <c r="F1091">
        <v>29</v>
      </c>
      <c r="G1091">
        <v>1948301</v>
      </c>
      <c r="H1091">
        <v>0</v>
      </c>
      <c r="I1091">
        <v>1</v>
      </c>
      <c r="J1091">
        <v>1</v>
      </c>
      <c r="K1091">
        <v>0</v>
      </c>
      <c r="L1091">
        <f t="shared" si="64"/>
        <v>21</v>
      </c>
      <c r="M1091">
        <f t="shared" si="65"/>
        <v>252</v>
      </c>
      <c r="N1091">
        <f t="shared" si="66"/>
        <v>167</v>
      </c>
      <c r="O1091">
        <f t="shared" si="67"/>
        <v>2030.9166666666667</v>
      </c>
    </row>
    <row r="1092" spans="1:15" x14ac:dyDescent="0.2">
      <c r="A1092" t="s">
        <v>19</v>
      </c>
      <c r="B1092">
        <v>9</v>
      </c>
      <c r="C1092">
        <v>44</v>
      </c>
      <c r="D1092">
        <v>87</v>
      </c>
      <c r="E1092">
        <v>1</v>
      </c>
      <c r="F1092">
        <v>40</v>
      </c>
      <c r="G1092">
        <v>1939201</v>
      </c>
      <c r="H1092">
        <v>0</v>
      </c>
      <c r="I1092">
        <v>1</v>
      </c>
      <c r="J1092">
        <v>1</v>
      </c>
      <c r="K1092">
        <v>0</v>
      </c>
      <c r="L1092">
        <f t="shared" si="64"/>
        <v>21</v>
      </c>
      <c r="M1092">
        <f t="shared" si="65"/>
        <v>252</v>
      </c>
      <c r="N1092">
        <f t="shared" si="66"/>
        <v>165</v>
      </c>
      <c r="O1092">
        <f t="shared" si="67"/>
        <v>2030.75</v>
      </c>
    </row>
    <row r="1093" spans="1:15" x14ac:dyDescent="0.2">
      <c r="A1093" t="s">
        <v>19</v>
      </c>
      <c r="B1093">
        <v>9</v>
      </c>
      <c r="C1093">
        <v>44</v>
      </c>
      <c r="D1093">
        <v>89</v>
      </c>
      <c r="E1093">
        <v>2</v>
      </c>
      <c r="F1093">
        <v>38</v>
      </c>
      <c r="G1093">
        <v>1930701</v>
      </c>
      <c r="H1093">
        <v>0</v>
      </c>
      <c r="I1093">
        <v>1</v>
      </c>
      <c r="J1093">
        <v>1</v>
      </c>
      <c r="K1093">
        <v>0</v>
      </c>
      <c r="L1093">
        <f t="shared" si="64"/>
        <v>21</v>
      </c>
      <c r="M1093">
        <f t="shared" si="65"/>
        <v>252</v>
      </c>
      <c r="N1093">
        <f t="shared" si="66"/>
        <v>163</v>
      </c>
      <c r="O1093">
        <f t="shared" si="67"/>
        <v>2030.5833333333333</v>
      </c>
    </row>
    <row r="1094" spans="1:15" x14ac:dyDescent="0.2">
      <c r="A1094" t="s">
        <v>19</v>
      </c>
      <c r="B1094">
        <v>9</v>
      </c>
      <c r="C1094">
        <v>44</v>
      </c>
      <c r="D1094">
        <v>90</v>
      </c>
      <c r="E1094">
        <v>1</v>
      </c>
      <c r="F1094">
        <v>38</v>
      </c>
      <c r="G1094">
        <v>1922601</v>
      </c>
      <c r="H1094">
        <v>0</v>
      </c>
      <c r="I1094">
        <v>1</v>
      </c>
      <c r="J1094">
        <v>1</v>
      </c>
      <c r="K1094">
        <v>0</v>
      </c>
      <c r="L1094">
        <f t="shared" si="64"/>
        <v>21</v>
      </c>
      <c r="M1094">
        <f t="shared" si="65"/>
        <v>252</v>
      </c>
      <c r="N1094">
        <f t="shared" si="66"/>
        <v>162</v>
      </c>
      <c r="O1094">
        <f t="shared" si="67"/>
        <v>2030.5</v>
      </c>
    </row>
    <row r="1095" spans="1:15" x14ac:dyDescent="0.2">
      <c r="A1095" t="s">
        <v>19</v>
      </c>
      <c r="B1095">
        <v>9</v>
      </c>
      <c r="C1095">
        <v>44</v>
      </c>
      <c r="D1095">
        <v>95</v>
      </c>
      <c r="E1095">
        <v>1</v>
      </c>
      <c r="F1095">
        <v>39</v>
      </c>
      <c r="G1095">
        <v>1884701</v>
      </c>
      <c r="H1095">
        <v>0</v>
      </c>
      <c r="I1095">
        <v>1</v>
      </c>
      <c r="J1095">
        <v>1</v>
      </c>
      <c r="K1095">
        <v>0</v>
      </c>
      <c r="L1095">
        <f t="shared" ref="L1095:L1158" si="68">65-C1095</f>
        <v>21</v>
      </c>
      <c r="M1095">
        <f t="shared" ref="M1095:M1158" si="69">L1095*12</f>
        <v>252</v>
      </c>
      <c r="N1095">
        <f t="shared" ref="N1095:N1158" si="70">M1095-D1095</f>
        <v>157</v>
      </c>
      <c r="O1095">
        <f t="shared" ref="O1095:O1158" si="71">2017+N1095/12</f>
        <v>2030.0833333333333</v>
      </c>
    </row>
    <row r="1096" spans="1:15" x14ac:dyDescent="0.2">
      <c r="A1096" t="s">
        <v>19</v>
      </c>
      <c r="B1096">
        <v>9</v>
      </c>
      <c r="C1096">
        <v>44</v>
      </c>
      <c r="D1096">
        <v>96</v>
      </c>
      <c r="E1096">
        <v>1</v>
      </c>
      <c r="F1096">
        <v>44</v>
      </c>
      <c r="G1096">
        <v>1876501</v>
      </c>
      <c r="H1096">
        <v>1</v>
      </c>
      <c r="I1096">
        <v>0</v>
      </c>
      <c r="J1096">
        <v>1</v>
      </c>
      <c r="K1096">
        <v>0</v>
      </c>
      <c r="L1096">
        <f t="shared" si="68"/>
        <v>21</v>
      </c>
      <c r="M1096">
        <f t="shared" si="69"/>
        <v>252</v>
      </c>
      <c r="N1096">
        <f t="shared" si="70"/>
        <v>156</v>
      </c>
      <c r="O1096">
        <f t="shared" si="71"/>
        <v>2030</v>
      </c>
    </row>
    <row r="1097" spans="1:15" x14ac:dyDescent="0.2">
      <c r="A1097" t="s">
        <v>19</v>
      </c>
      <c r="B1097">
        <v>9</v>
      </c>
      <c r="C1097">
        <v>44</v>
      </c>
      <c r="D1097">
        <v>101</v>
      </c>
      <c r="E1097">
        <v>1</v>
      </c>
      <c r="F1097">
        <v>39</v>
      </c>
      <c r="G1097">
        <v>278703</v>
      </c>
      <c r="H1097">
        <v>0</v>
      </c>
      <c r="I1097">
        <v>1</v>
      </c>
      <c r="J1097">
        <v>1</v>
      </c>
      <c r="K1097">
        <v>0</v>
      </c>
      <c r="L1097">
        <f t="shared" si="68"/>
        <v>21</v>
      </c>
      <c r="M1097">
        <f t="shared" si="69"/>
        <v>252</v>
      </c>
      <c r="N1097">
        <f t="shared" si="70"/>
        <v>151</v>
      </c>
      <c r="O1097">
        <f t="shared" si="71"/>
        <v>2029.5833333333333</v>
      </c>
    </row>
    <row r="1098" spans="1:15" x14ac:dyDescent="0.2">
      <c r="A1098" t="s">
        <v>19</v>
      </c>
      <c r="B1098">
        <v>9</v>
      </c>
      <c r="C1098">
        <v>44</v>
      </c>
      <c r="D1098">
        <v>101</v>
      </c>
      <c r="E1098">
        <v>1</v>
      </c>
      <c r="F1098">
        <v>44</v>
      </c>
      <c r="G1098">
        <v>1829301</v>
      </c>
      <c r="H1098">
        <v>0</v>
      </c>
      <c r="I1098">
        <v>1</v>
      </c>
      <c r="J1098">
        <v>1</v>
      </c>
      <c r="K1098">
        <v>0</v>
      </c>
      <c r="L1098">
        <f t="shared" si="68"/>
        <v>21</v>
      </c>
      <c r="M1098">
        <f t="shared" si="69"/>
        <v>252</v>
      </c>
      <c r="N1098">
        <f t="shared" si="70"/>
        <v>151</v>
      </c>
      <c r="O1098">
        <f t="shared" si="71"/>
        <v>2029.5833333333333</v>
      </c>
    </row>
    <row r="1099" spans="1:15" x14ac:dyDescent="0.2">
      <c r="A1099" t="s">
        <v>19</v>
      </c>
      <c r="B1099">
        <v>9</v>
      </c>
      <c r="C1099">
        <v>44</v>
      </c>
      <c r="D1099">
        <v>103</v>
      </c>
      <c r="E1099">
        <v>1</v>
      </c>
      <c r="F1099">
        <v>29</v>
      </c>
      <c r="G1099">
        <v>1811701</v>
      </c>
      <c r="H1099">
        <v>1</v>
      </c>
      <c r="I1099">
        <v>0</v>
      </c>
      <c r="J1099">
        <v>1</v>
      </c>
      <c r="K1099">
        <v>0</v>
      </c>
      <c r="L1099">
        <f t="shared" si="68"/>
        <v>21</v>
      </c>
      <c r="M1099">
        <f t="shared" si="69"/>
        <v>252</v>
      </c>
      <c r="N1099">
        <f t="shared" si="70"/>
        <v>149</v>
      </c>
      <c r="O1099">
        <f t="shared" si="71"/>
        <v>2029.4166666666667</v>
      </c>
    </row>
    <row r="1100" spans="1:15" x14ac:dyDescent="0.2">
      <c r="A1100" t="s">
        <v>19</v>
      </c>
      <c r="B1100">
        <v>9</v>
      </c>
      <c r="C1100">
        <v>44</v>
      </c>
      <c r="D1100">
        <v>104</v>
      </c>
      <c r="E1100">
        <v>1</v>
      </c>
      <c r="F1100">
        <v>40</v>
      </c>
      <c r="G1100">
        <v>1798501</v>
      </c>
      <c r="H1100">
        <v>0</v>
      </c>
      <c r="I1100">
        <v>1</v>
      </c>
      <c r="J1100">
        <v>1</v>
      </c>
      <c r="K1100">
        <v>0</v>
      </c>
      <c r="L1100">
        <f t="shared" si="68"/>
        <v>21</v>
      </c>
      <c r="M1100">
        <f t="shared" si="69"/>
        <v>252</v>
      </c>
      <c r="N1100">
        <f t="shared" si="70"/>
        <v>148</v>
      </c>
      <c r="O1100">
        <f t="shared" si="71"/>
        <v>2029.3333333333333</v>
      </c>
    </row>
    <row r="1101" spans="1:15" x14ac:dyDescent="0.2">
      <c r="A1101" t="s">
        <v>19</v>
      </c>
      <c r="B1101">
        <v>9</v>
      </c>
      <c r="C1101">
        <v>44</v>
      </c>
      <c r="D1101">
        <v>104</v>
      </c>
      <c r="E1101">
        <v>2</v>
      </c>
      <c r="F1101">
        <v>39</v>
      </c>
      <c r="G1101">
        <v>1794501</v>
      </c>
      <c r="H1101">
        <v>0</v>
      </c>
      <c r="I1101">
        <v>1</v>
      </c>
      <c r="J1101">
        <v>1</v>
      </c>
      <c r="K1101">
        <v>0</v>
      </c>
      <c r="L1101">
        <f t="shared" si="68"/>
        <v>21</v>
      </c>
      <c r="M1101">
        <f t="shared" si="69"/>
        <v>252</v>
      </c>
      <c r="N1101">
        <f t="shared" si="70"/>
        <v>148</v>
      </c>
      <c r="O1101">
        <f t="shared" si="71"/>
        <v>2029.3333333333333</v>
      </c>
    </row>
    <row r="1102" spans="1:15" x14ac:dyDescent="0.2">
      <c r="A1102" t="s">
        <v>19</v>
      </c>
      <c r="B1102">
        <v>9</v>
      </c>
      <c r="C1102">
        <v>44</v>
      </c>
      <c r="D1102">
        <v>107</v>
      </c>
      <c r="E1102">
        <v>1</v>
      </c>
      <c r="F1102">
        <v>40</v>
      </c>
      <c r="G1102">
        <v>1747601</v>
      </c>
      <c r="H1102">
        <v>0</v>
      </c>
      <c r="I1102">
        <v>1</v>
      </c>
      <c r="J1102">
        <v>1</v>
      </c>
      <c r="K1102">
        <v>0</v>
      </c>
      <c r="L1102">
        <f t="shared" si="68"/>
        <v>21</v>
      </c>
      <c r="M1102">
        <f t="shared" si="69"/>
        <v>252</v>
      </c>
      <c r="N1102">
        <f t="shared" si="70"/>
        <v>145</v>
      </c>
      <c r="O1102">
        <f t="shared" si="71"/>
        <v>2029.0833333333333</v>
      </c>
    </row>
    <row r="1103" spans="1:15" x14ac:dyDescent="0.2">
      <c r="A1103" t="s">
        <v>19</v>
      </c>
      <c r="B1103">
        <v>9</v>
      </c>
      <c r="C1103">
        <v>44</v>
      </c>
      <c r="D1103">
        <v>108</v>
      </c>
      <c r="E1103">
        <v>1</v>
      </c>
      <c r="F1103">
        <v>40</v>
      </c>
      <c r="G1103">
        <v>1750101</v>
      </c>
      <c r="H1103">
        <v>0</v>
      </c>
      <c r="I1103">
        <v>1</v>
      </c>
      <c r="J1103">
        <v>1</v>
      </c>
      <c r="K1103">
        <v>0</v>
      </c>
      <c r="L1103">
        <f t="shared" si="68"/>
        <v>21</v>
      </c>
      <c r="M1103">
        <f t="shared" si="69"/>
        <v>252</v>
      </c>
      <c r="N1103">
        <f t="shared" si="70"/>
        <v>144</v>
      </c>
      <c r="O1103">
        <f t="shared" si="71"/>
        <v>2029</v>
      </c>
    </row>
    <row r="1104" spans="1:15" x14ac:dyDescent="0.2">
      <c r="A1104" t="s">
        <v>19</v>
      </c>
      <c r="B1104">
        <v>9</v>
      </c>
      <c r="C1104">
        <v>44</v>
      </c>
      <c r="D1104">
        <v>108</v>
      </c>
      <c r="E1104">
        <v>1</v>
      </c>
      <c r="F1104">
        <v>42</v>
      </c>
      <c r="G1104">
        <v>1744701</v>
      </c>
      <c r="H1104">
        <v>0</v>
      </c>
      <c r="I1104">
        <v>1</v>
      </c>
      <c r="J1104">
        <v>1</v>
      </c>
      <c r="K1104">
        <v>0</v>
      </c>
      <c r="L1104">
        <f t="shared" si="68"/>
        <v>21</v>
      </c>
      <c r="M1104">
        <f t="shared" si="69"/>
        <v>252</v>
      </c>
      <c r="N1104">
        <f t="shared" si="70"/>
        <v>144</v>
      </c>
      <c r="O1104">
        <f t="shared" si="71"/>
        <v>2029</v>
      </c>
    </row>
    <row r="1105" spans="1:15" x14ac:dyDescent="0.2">
      <c r="A1105" t="s">
        <v>19</v>
      </c>
      <c r="B1105">
        <v>9</v>
      </c>
      <c r="C1105">
        <v>44</v>
      </c>
      <c r="D1105">
        <v>137</v>
      </c>
      <c r="E1105">
        <v>1</v>
      </c>
      <c r="F1105">
        <v>42</v>
      </c>
      <c r="G1105">
        <v>1139401</v>
      </c>
      <c r="H1105">
        <v>0</v>
      </c>
      <c r="I1105">
        <v>1</v>
      </c>
      <c r="J1105">
        <v>1</v>
      </c>
      <c r="K1105">
        <v>0</v>
      </c>
      <c r="L1105">
        <f t="shared" si="68"/>
        <v>21</v>
      </c>
      <c r="M1105">
        <f t="shared" si="69"/>
        <v>252</v>
      </c>
      <c r="N1105">
        <f t="shared" si="70"/>
        <v>115</v>
      </c>
      <c r="O1105">
        <f t="shared" si="71"/>
        <v>2026.5833333333333</v>
      </c>
    </row>
    <row r="1106" spans="1:15" x14ac:dyDescent="0.2">
      <c r="A1106" t="s">
        <v>19</v>
      </c>
      <c r="B1106">
        <v>9</v>
      </c>
      <c r="C1106">
        <v>44</v>
      </c>
      <c r="D1106">
        <v>142</v>
      </c>
      <c r="E1106">
        <v>1</v>
      </c>
      <c r="F1106">
        <v>43</v>
      </c>
      <c r="G1106">
        <v>1111601</v>
      </c>
      <c r="H1106">
        <v>0</v>
      </c>
      <c r="I1106">
        <v>1</v>
      </c>
      <c r="J1106">
        <v>1</v>
      </c>
      <c r="K1106">
        <v>0</v>
      </c>
      <c r="L1106">
        <f t="shared" si="68"/>
        <v>21</v>
      </c>
      <c r="M1106">
        <f t="shared" si="69"/>
        <v>252</v>
      </c>
      <c r="N1106">
        <f t="shared" si="70"/>
        <v>110</v>
      </c>
      <c r="O1106">
        <f t="shared" si="71"/>
        <v>2026.1666666666667</v>
      </c>
    </row>
    <row r="1107" spans="1:15" x14ac:dyDescent="0.2">
      <c r="A1107" t="s">
        <v>19</v>
      </c>
      <c r="B1107">
        <v>9</v>
      </c>
      <c r="C1107">
        <v>44</v>
      </c>
      <c r="D1107">
        <v>143</v>
      </c>
      <c r="E1107">
        <v>2</v>
      </c>
      <c r="F1107">
        <v>43</v>
      </c>
      <c r="G1107">
        <v>1108901</v>
      </c>
      <c r="H1107">
        <v>0</v>
      </c>
      <c r="I1107">
        <v>1</v>
      </c>
      <c r="J1107">
        <v>1</v>
      </c>
      <c r="K1107">
        <v>0</v>
      </c>
      <c r="L1107">
        <f t="shared" si="68"/>
        <v>21</v>
      </c>
      <c r="M1107">
        <f t="shared" si="69"/>
        <v>252</v>
      </c>
      <c r="N1107">
        <f t="shared" si="70"/>
        <v>109</v>
      </c>
      <c r="O1107">
        <f t="shared" si="71"/>
        <v>2026.0833333333333</v>
      </c>
    </row>
    <row r="1108" spans="1:15" x14ac:dyDescent="0.2">
      <c r="A1108" t="s">
        <v>19</v>
      </c>
      <c r="B1108">
        <v>9</v>
      </c>
      <c r="C1108">
        <v>44</v>
      </c>
      <c r="D1108">
        <v>146</v>
      </c>
      <c r="E1108">
        <v>1</v>
      </c>
      <c r="F1108">
        <v>40</v>
      </c>
      <c r="G1108">
        <v>1072701</v>
      </c>
      <c r="H1108">
        <v>1</v>
      </c>
      <c r="I1108">
        <v>0</v>
      </c>
      <c r="J1108">
        <v>1</v>
      </c>
      <c r="K1108">
        <v>0</v>
      </c>
      <c r="L1108">
        <f t="shared" si="68"/>
        <v>21</v>
      </c>
      <c r="M1108">
        <f t="shared" si="69"/>
        <v>252</v>
      </c>
      <c r="N1108">
        <f t="shared" si="70"/>
        <v>106</v>
      </c>
      <c r="O1108">
        <f t="shared" si="71"/>
        <v>2025.8333333333333</v>
      </c>
    </row>
    <row r="1109" spans="1:15" x14ac:dyDescent="0.2">
      <c r="A1109" t="s">
        <v>19</v>
      </c>
      <c r="B1109">
        <v>9</v>
      </c>
      <c r="C1109">
        <v>44</v>
      </c>
      <c r="D1109">
        <v>162</v>
      </c>
      <c r="E1109">
        <v>1</v>
      </c>
      <c r="F1109">
        <v>38</v>
      </c>
      <c r="G1109">
        <v>955101</v>
      </c>
      <c r="H1109">
        <v>0</v>
      </c>
      <c r="I1109">
        <v>1</v>
      </c>
      <c r="J1109">
        <v>1</v>
      </c>
      <c r="K1109">
        <v>0</v>
      </c>
      <c r="L1109">
        <f t="shared" si="68"/>
        <v>21</v>
      </c>
      <c r="M1109">
        <f t="shared" si="69"/>
        <v>252</v>
      </c>
      <c r="N1109">
        <f t="shared" si="70"/>
        <v>90</v>
      </c>
      <c r="O1109">
        <f t="shared" si="71"/>
        <v>2024.5</v>
      </c>
    </row>
    <row r="1110" spans="1:15" x14ac:dyDescent="0.2">
      <c r="A1110" t="s">
        <v>19</v>
      </c>
      <c r="B1110">
        <v>9</v>
      </c>
      <c r="C1110">
        <v>44</v>
      </c>
      <c r="D1110">
        <v>165</v>
      </c>
      <c r="E1110">
        <v>1</v>
      </c>
      <c r="F1110">
        <v>43</v>
      </c>
      <c r="G1110">
        <v>926401</v>
      </c>
      <c r="H1110">
        <v>0</v>
      </c>
      <c r="I1110">
        <v>1</v>
      </c>
      <c r="J1110">
        <v>1</v>
      </c>
      <c r="K1110">
        <v>0</v>
      </c>
      <c r="L1110">
        <f t="shared" si="68"/>
        <v>21</v>
      </c>
      <c r="M1110">
        <f t="shared" si="69"/>
        <v>252</v>
      </c>
      <c r="N1110">
        <f t="shared" si="70"/>
        <v>87</v>
      </c>
      <c r="O1110">
        <f t="shared" si="71"/>
        <v>2024.25</v>
      </c>
    </row>
    <row r="1111" spans="1:15" x14ac:dyDescent="0.2">
      <c r="A1111" t="s">
        <v>19</v>
      </c>
      <c r="B1111">
        <v>9</v>
      </c>
      <c r="C1111">
        <v>44</v>
      </c>
      <c r="D1111">
        <v>166</v>
      </c>
      <c r="E1111">
        <v>1</v>
      </c>
      <c r="F1111">
        <v>40</v>
      </c>
      <c r="G1111">
        <v>921001</v>
      </c>
      <c r="H1111">
        <v>0</v>
      </c>
      <c r="I1111">
        <v>1</v>
      </c>
      <c r="J1111">
        <v>1</v>
      </c>
      <c r="K1111">
        <v>0</v>
      </c>
      <c r="L1111">
        <f t="shared" si="68"/>
        <v>21</v>
      </c>
      <c r="M1111">
        <f t="shared" si="69"/>
        <v>252</v>
      </c>
      <c r="N1111">
        <f t="shared" si="70"/>
        <v>86</v>
      </c>
      <c r="O1111">
        <f t="shared" si="71"/>
        <v>2024.1666666666667</v>
      </c>
    </row>
    <row r="1112" spans="1:15" x14ac:dyDescent="0.2">
      <c r="A1112" t="s">
        <v>19</v>
      </c>
      <c r="B1112">
        <v>9</v>
      </c>
      <c r="C1112">
        <v>44</v>
      </c>
      <c r="D1112">
        <v>166</v>
      </c>
      <c r="E1112">
        <v>2</v>
      </c>
      <c r="F1112">
        <v>38</v>
      </c>
      <c r="G1112">
        <v>920201</v>
      </c>
      <c r="H1112">
        <v>1</v>
      </c>
      <c r="I1112">
        <v>0</v>
      </c>
      <c r="J1112">
        <v>1</v>
      </c>
      <c r="K1112">
        <v>0</v>
      </c>
      <c r="L1112">
        <f t="shared" si="68"/>
        <v>21</v>
      </c>
      <c r="M1112">
        <f t="shared" si="69"/>
        <v>252</v>
      </c>
      <c r="N1112">
        <f t="shared" si="70"/>
        <v>86</v>
      </c>
      <c r="O1112">
        <f t="shared" si="71"/>
        <v>2024.1666666666667</v>
      </c>
    </row>
    <row r="1113" spans="1:15" x14ac:dyDescent="0.2">
      <c r="A1113" t="s">
        <v>19</v>
      </c>
      <c r="B1113">
        <v>9</v>
      </c>
      <c r="C1113">
        <v>44</v>
      </c>
      <c r="D1113">
        <v>172</v>
      </c>
      <c r="E1113">
        <v>1</v>
      </c>
      <c r="F1113">
        <v>42</v>
      </c>
      <c r="G1113">
        <v>900401</v>
      </c>
      <c r="H1113">
        <v>0</v>
      </c>
      <c r="I1113">
        <v>1</v>
      </c>
      <c r="J1113">
        <v>1</v>
      </c>
      <c r="K1113">
        <v>0</v>
      </c>
      <c r="L1113">
        <f t="shared" si="68"/>
        <v>21</v>
      </c>
      <c r="M1113">
        <f t="shared" si="69"/>
        <v>252</v>
      </c>
      <c r="N1113">
        <f t="shared" si="70"/>
        <v>80</v>
      </c>
      <c r="O1113">
        <f t="shared" si="71"/>
        <v>2023.6666666666667</v>
      </c>
    </row>
    <row r="1114" spans="1:15" x14ac:dyDescent="0.2">
      <c r="A1114" t="s">
        <v>19</v>
      </c>
      <c r="B1114">
        <v>9</v>
      </c>
      <c r="C1114">
        <v>44</v>
      </c>
      <c r="D1114">
        <v>173</v>
      </c>
      <c r="E1114">
        <v>1</v>
      </c>
      <c r="F1114">
        <v>41</v>
      </c>
      <c r="G1114">
        <v>84802</v>
      </c>
      <c r="H1114">
        <v>0</v>
      </c>
      <c r="I1114">
        <v>1</v>
      </c>
      <c r="J1114">
        <v>1</v>
      </c>
      <c r="K1114">
        <v>0</v>
      </c>
      <c r="L1114">
        <f t="shared" si="68"/>
        <v>21</v>
      </c>
      <c r="M1114">
        <f t="shared" si="69"/>
        <v>252</v>
      </c>
      <c r="N1114">
        <f t="shared" si="70"/>
        <v>79</v>
      </c>
      <c r="O1114">
        <f t="shared" si="71"/>
        <v>2023.5833333333333</v>
      </c>
    </row>
    <row r="1115" spans="1:15" x14ac:dyDescent="0.2">
      <c r="A1115" t="s">
        <v>19</v>
      </c>
      <c r="B1115">
        <v>9</v>
      </c>
      <c r="C1115">
        <v>44</v>
      </c>
      <c r="D1115">
        <v>179</v>
      </c>
      <c r="E1115">
        <v>2</v>
      </c>
      <c r="F1115">
        <v>40</v>
      </c>
      <c r="G1115">
        <v>896001</v>
      </c>
      <c r="H1115">
        <v>0</v>
      </c>
      <c r="I1115">
        <v>1</v>
      </c>
      <c r="J1115">
        <v>1</v>
      </c>
      <c r="K1115">
        <v>0</v>
      </c>
      <c r="L1115">
        <f t="shared" si="68"/>
        <v>21</v>
      </c>
      <c r="M1115">
        <f t="shared" si="69"/>
        <v>252</v>
      </c>
      <c r="N1115">
        <f t="shared" si="70"/>
        <v>73</v>
      </c>
      <c r="O1115">
        <f t="shared" si="71"/>
        <v>2023.0833333333333</v>
      </c>
    </row>
    <row r="1116" spans="1:15" x14ac:dyDescent="0.2">
      <c r="A1116" t="s">
        <v>19</v>
      </c>
      <c r="B1116">
        <v>9</v>
      </c>
      <c r="C1116">
        <v>44</v>
      </c>
      <c r="D1116">
        <v>179</v>
      </c>
      <c r="E1116">
        <v>2</v>
      </c>
      <c r="F1116">
        <v>43</v>
      </c>
      <c r="G1116">
        <v>894801</v>
      </c>
      <c r="H1116">
        <v>0</v>
      </c>
      <c r="I1116">
        <v>1</v>
      </c>
      <c r="J1116">
        <v>1</v>
      </c>
      <c r="K1116">
        <v>0</v>
      </c>
      <c r="L1116">
        <f t="shared" si="68"/>
        <v>21</v>
      </c>
      <c r="M1116">
        <f t="shared" si="69"/>
        <v>252</v>
      </c>
      <c r="N1116">
        <f t="shared" si="70"/>
        <v>73</v>
      </c>
      <c r="O1116">
        <f t="shared" si="71"/>
        <v>2023.0833333333333</v>
      </c>
    </row>
    <row r="1117" spans="1:15" x14ac:dyDescent="0.2">
      <c r="A1117" t="s">
        <v>19</v>
      </c>
      <c r="B1117">
        <v>9</v>
      </c>
      <c r="C1117">
        <v>44</v>
      </c>
      <c r="D1117">
        <v>183</v>
      </c>
      <c r="E1117">
        <v>1</v>
      </c>
      <c r="F1117">
        <v>42</v>
      </c>
      <c r="G1117">
        <v>892201</v>
      </c>
      <c r="H1117">
        <v>1</v>
      </c>
      <c r="I1117">
        <v>0</v>
      </c>
      <c r="J1117">
        <v>1</v>
      </c>
      <c r="K1117">
        <v>0</v>
      </c>
      <c r="L1117">
        <f t="shared" si="68"/>
        <v>21</v>
      </c>
      <c r="M1117">
        <f t="shared" si="69"/>
        <v>252</v>
      </c>
      <c r="N1117">
        <f t="shared" si="70"/>
        <v>69</v>
      </c>
      <c r="O1117">
        <f t="shared" si="71"/>
        <v>2022.75</v>
      </c>
    </row>
    <row r="1118" spans="1:15" x14ac:dyDescent="0.2">
      <c r="A1118" t="s">
        <v>19</v>
      </c>
      <c r="B1118">
        <v>9</v>
      </c>
      <c r="C1118">
        <v>44</v>
      </c>
      <c r="D1118">
        <v>186</v>
      </c>
      <c r="E1118">
        <v>1</v>
      </c>
      <c r="F1118">
        <v>43</v>
      </c>
      <c r="G1118">
        <v>156303</v>
      </c>
      <c r="H1118">
        <v>0</v>
      </c>
      <c r="I1118">
        <v>1</v>
      </c>
      <c r="J1118">
        <v>1</v>
      </c>
      <c r="K1118">
        <v>0</v>
      </c>
      <c r="L1118">
        <f t="shared" si="68"/>
        <v>21</v>
      </c>
      <c r="M1118">
        <f t="shared" si="69"/>
        <v>252</v>
      </c>
      <c r="N1118">
        <f t="shared" si="70"/>
        <v>66</v>
      </c>
      <c r="O1118">
        <f t="shared" si="71"/>
        <v>2022.5</v>
      </c>
    </row>
    <row r="1119" spans="1:15" x14ac:dyDescent="0.2">
      <c r="A1119" t="s">
        <v>19</v>
      </c>
      <c r="B1119">
        <v>9</v>
      </c>
      <c r="C1119">
        <v>44</v>
      </c>
      <c r="D1119">
        <v>187</v>
      </c>
      <c r="E1119">
        <v>1</v>
      </c>
      <c r="F1119">
        <v>43</v>
      </c>
      <c r="G1119">
        <v>879201</v>
      </c>
      <c r="H1119">
        <v>0</v>
      </c>
      <c r="I1119">
        <v>1</v>
      </c>
      <c r="J1119">
        <v>1</v>
      </c>
      <c r="K1119">
        <v>0</v>
      </c>
      <c r="L1119">
        <f t="shared" si="68"/>
        <v>21</v>
      </c>
      <c r="M1119">
        <f t="shared" si="69"/>
        <v>252</v>
      </c>
      <c r="N1119">
        <f t="shared" si="70"/>
        <v>65</v>
      </c>
      <c r="O1119">
        <f t="shared" si="71"/>
        <v>2022.4166666666667</v>
      </c>
    </row>
    <row r="1120" spans="1:15" x14ac:dyDescent="0.2">
      <c r="A1120" t="s">
        <v>19</v>
      </c>
      <c r="B1120">
        <v>9</v>
      </c>
      <c r="C1120">
        <v>44</v>
      </c>
      <c r="D1120">
        <v>195</v>
      </c>
      <c r="E1120">
        <v>1</v>
      </c>
      <c r="F1120">
        <v>42</v>
      </c>
      <c r="G1120">
        <v>74802</v>
      </c>
      <c r="H1120">
        <v>0</v>
      </c>
      <c r="I1120">
        <v>1</v>
      </c>
      <c r="J1120">
        <v>1</v>
      </c>
      <c r="K1120">
        <v>0</v>
      </c>
      <c r="L1120">
        <f t="shared" si="68"/>
        <v>21</v>
      </c>
      <c r="M1120">
        <f t="shared" si="69"/>
        <v>252</v>
      </c>
      <c r="N1120">
        <f t="shared" si="70"/>
        <v>57</v>
      </c>
      <c r="O1120">
        <f t="shared" si="71"/>
        <v>2021.75</v>
      </c>
    </row>
    <row r="1121" spans="1:15" x14ac:dyDescent="0.2">
      <c r="A1121" t="s">
        <v>19</v>
      </c>
      <c r="B1121">
        <v>9</v>
      </c>
      <c r="C1121">
        <v>44</v>
      </c>
      <c r="D1121">
        <v>198</v>
      </c>
      <c r="E1121">
        <v>1</v>
      </c>
      <c r="F1121">
        <v>39</v>
      </c>
      <c r="G1121">
        <v>821201</v>
      </c>
      <c r="H1121">
        <v>0</v>
      </c>
      <c r="I1121">
        <v>1</v>
      </c>
      <c r="J1121">
        <v>1</v>
      </c>
      <c r="K1121">
        <v>0</v>
      </c>
      <c r="L1121">
        <f t="shared" si="68"/>
        <v>21</v>
      </c>
      <c r="M1121">
        <f t="shared" si="69"/>
        <v>252</v>
      </c>
      <c r="N1121">
        <f t="shared" si="70"/>
        <v>54</v>
      </c>
      <c r="O1121">
        <f t="shared" si="71"/>
        <v>2021.5</v>
      </c>
    </row>
    <row r="1122" spans="1:15" x14ac:dyDescent="0.2">
      <c r="A1122" t="s">
        <v>19</v>
      </c>
      <c r="B1122">
        <v>9</v>
      </c>
      <c r="C1122">
        <v>44</v>
      </c>
      <c r="D1122">
        <v>202</v>
      </c>
      <c r="E1122">
        <v>1</v>
      </c>
      <c r="F1122">
        <v>43</v>
      </c>
      <c r="G1122">
        <v>764701</v>
      </c>
      <c r="H1122">
        <v>1</v>
      </c>
      <c r="I1122">
        <v>0</v>
      </c>
      <c r="J1122">
        <v>1</v>
      </c>
      <c r="K1122">
        <v>0</v>
      </c>
      <c r="L1122">
        <f t="shared" si="68"/>
        <v>21</v>
      </c>
      <c r="M1122">
        <f t="shared" si="69"/>
        <v>252</v>
      </c>
      <c r="N1122">
        <f t="shared" si="70"/>
        <v>50</v>
      </c>
      <c r="O1122">
        <f t="shared" si="71"/>
        <v>2021.1666666666667</v>
      </c>
    </row>
    <row r="1123" spans="1:15" x14ac:dyDescent="0.2">
      <c r="A1123" t="s">
        <v>19</v>
      </c>
      <c r="B1123">
        <v>9</v>
      </c>
      <c r="C1123">
        <v>44</v>
      </c>
      <c r="D1123">
        <v>211</v>
      </c>
      <c r="E1123">
        <v>1</v>
      </c>
      <c r="F1123">
        <v>39</v>
      </c>
      <c r="G1123">
        <v>625501</v>
      </c>
      <c r="H1123">
        <v>0</v>
      </c>
      <c r="I1123">
        <v>1</v>
      </c>
      <c r="J1123">
        <v>1</v>
      </c>
      <c r="K1123">
        <v>0</v>
      </c>
      <c r="L1123">
        <f t="shared" si="68"/>
        <v>21</v>
      </c>
      <c r="M1123">
        <f t="shared" si="69"/>
        <v>252</v>
      </c>
      <c r="N1123">
        <f t="shared" si="70"/>
        <v>41</v>
      </c>
      <c r="O1123">
        <f t="shared" si="71"/>
        <v>2020.4166666666667</v>
      </c>
    </row>
    <row r="1124" spans="1:15" x14ac:dyDescent="0.2">
      <c r="A1124" t="s">
        <v>19</v>
      </c>
      <c r="B1124">
        <v>9</v>
      </c>
      <c r="C1124">
        <v>44</v>
      </c>
      <c r="D1124">
        <v>222</v>
      </c>
      <c r="E1124">
        <v>1</v>
      </c>
      <c r="F1124">
        <v>39</v>
      </c>
      <c r="G1124">
        <v>326901</v>
      </c>
      <c r="H1124">
        <v>0</v>
      </c>
      <c r="I1124">
        <v>1</v>
      </c>
      <c r="J1124">
        <v>1</v>
      </c>
      <c r="K1124">
        <v>0</v>
      </c>
      <c r="L1124">
        <f t="shared" si="68"/>
        <v>21</v>
      </c>
      <c r="M1124">
        <f t="shared" si="69"/>
        <v>252</v>
      </c>
      <c r="N1124">
        <f t="shared" si="70"/>
        <v>30</v>
      </c>
      <c r="O1124">
        <f t="shared" si="71"/>
        <v>2019.5</v>
      </c>
    </row>
    <row r="1125" spans="1:15" x14ac:dyDescent="0.2">
      <c r="A1125" t="s">
        <v>19</v>
      </c>
      <c r="B1125">
        <v>9</v>
      </c>
      <c r="C1125">
        <v>44</v>
      </c>
      <c r="D1125">
        <v>222</v>
      </c>
      <c r="E1125">
        <v>4</v>
      </c>
      <c r="F1125">
        <v>40</v>
      </c>
      <c r="G1125">
        <v>317401</v>
      </c>
      <c r="H1125">
        <v>0</v>
      </c>
      <c r="I1125">
        <v>1</v>
      </c>
      <c r="J1125">
        <v>1</v>
      </c>
      <c r="K1125">
        <v>0</v>
      </c>
      <c r="L1125">
        <f t="shared" si="68"/>
        <v>21</v>
      </c>
      <c r="M1125">
        <f t="shared" si="69"/>
        <v>252</v>
      </c>
      <c r="N1125">
        <f t="shared" si="70"/>
        <v>30</v>
      </c>
      <c r="O1125">
        <f t="shared" si="71"/>
        <v>2019.5</v>
      </c>
    </row>
    <row r="1126" spans="1:15" x14ac:dyDescent="0.2">
      <c r="A1126" t="s">
        <v>19</v>
      </c>
      <c r="B1126">
        <v>9</v>
      </c>
      <c r="C1126">
        <v>44</v>
      </c>
      <c r="D1126">
        <v>225</v>
      </c>
      <c r="E1126">
        <v>1</v>
      </c>
      <c r="F1126">
        <v>39</v>
      </c>
      <c r="G1126">
        <v>234401</v>
      </c>
      <c r="H1126">
        <v>0</v>
      </c>
      <c r="I1126">
        <v>1</v>
      </c>
      <c r="J1126">
        <v>1</v>
      </c>
      <c r="K1126">
        <v>0</v>
      </c>
      <c r="L1126">
        <f t="shared" si="68"/>
        <v>21</v>
      </c>
      <c r="M1126">
        <f t="shared" si="69"/>
        <v>252</v>
      </c>
      <c r="N1126">
        <f t="shared" si="70"/>
        <v>27</v>
      </c>
      <c r="O1126">
        <f t="shared" si="71"/>
        <v>2019.25</v>
      </c>
    </row>
    <row r="1127" spans="1:15" x14ac:dyDescent="0.2">
      <c r="A1127" t="s">
        <v>19</v>
      </c>
      <c r="B1127">
        <v>9</v>
      </c>
      <c r="C1127">
        <v>44</v>
      </c>
      <c r="D1127">
        <v>228</v>
      </c>
      <c r="E1127">
        <v>1</v>
      </c>
      <c r="F1127">
        <v>44</v>
      </c>
      <c r="G1127">
        <v>237101</v>
      </c>
      <c r="H1127">
        <v>0</v>
      </c>
      <c r="I1127">
        <v>1</v>
      </c>
      <c r="J1127">
        <v>1</v>
      </c>
      <c r="K1127">
        <v>0</v>
      </c>
      <c r="L1127">
        <f t="shared" si="68"/>
        <v>21</v>
      </c>
      <c r="M1127">
        <f t="shared" si="69"/>
        <v>252</v>
      </c>
      <c r="N1127">
        <f t="shared" si="70"/>
        <v>24</v>
      </c>
      <c r="O1127">
        <f t="shared" si="71"/>
        <v>2019</v>
      </c>
    </row>
    <row r="1128" spans="1:15" x14ac:dyDescent="0.2">
      <c r="A1128" t="s">
        <v>19</v>
      </c>
      <c r="B1128">
        <v>9</v>
      </c>
      <c r="C1128">
        <v>44</v>
      </c>
      <c r="D1128">
        <v>235</v>
      </c>
      <c r="E1128">
        <v>1</v>
      </c>
      <c r="F1128">
        <v>38</v>
      </c>
      <c r="G1128">
        <v>126701</v>
      </c>
      <c r="H1128">
        <v>0</v>
      </c>
      <c r="I1128">
        <v>1</v>
      </c>
      <c r="J1128">
        <v>1</v>
      </c>
      <c r="K1128">
        <v>0</v>
      </c>
      <c r="L1128">
        <f t="shared" si="68"/>
        <v>21</v>
      </c>
      <c r="M1128">
        <f t="shared" si="69"/>
        <v>252</v>
      </c>
      <c r="N1128">
        <f t="shared" si="70"/>
        <v>17</v>
      </c>
      <c r="O1128">
        <f t="shared" si="71"/>
        <v>2018.4166666666667</v>
      </c>
    </row>
    <row r="1129" spans="1:15" x14ac:dyDescent="0.2">
      <c r="A1129" t="s">
        <v>19</v>
      </c>
      <c r="B1129">
        <v>9</v>
      </c>
      <c r="C1129">
        <v>45</v>
      </c>
      <c r="D1129">
        <v>1</v>
      </c>
      <c r="E1129">
        <v>12</v>
      </c>
      <c r="F1129">
        <v>40</v>
      </c>
      <c r="G1129">
        <v>2388002</v>
      </c>
      <c r="H1129">
        <v>1</v>
      </c>
      <c r="I1129">
        <v>0</v>
      </c>
      <c r="J1129">
        <v>1</v>
      </c>
      <c r="K1129">
        <v>0</v>
      </c>
      <c r="L1129">
        <f t="shared" si="68"/>
        <v>20</v>
      </c>
      <c r="M1129">
        <f t="shared" si="69"/>
        <v>240</v>
      </c>
      <c r="N1129">
        <f t="shared" si="70"/>
        <v>239</v>
      </c>
      <c r="O1129">
        <f t="shared" si="71"/>
        <v>2036.9166666666667</v>
      </c>
    </row>
    <row r="1130" spans="1:15" x14ac:dyDescent="0.2">
      <c r="A1130" t="s">
        <v>19</v>
      </c>
      <c r="B1130">
        <v>9</v>
      </c>
      <c r="C1130">
        <v>45</v>
      </c>
      <c r="D1130">
        <v>1</v>
      </c>
      <c r="E1130">
        <v>12</v>
      </c>
      <c r="F1130">
        <v>45</v>
      </c>
      <c r="G1130">
        <v>2390402</v>
      </c>
      <c r="H1130">
        <v>0</v>
      </c>
      <c r="I1130">
        <v>1</v>
      </c>
      <c r="J1130">
        <v>1</v>
      </c>
      <c r="K1130">
        <v>0</v>
      </c>
      <c r="L1130">
        <f t="shared" si="68"/>
        <v>20</v>
      </c>
      <c r="M1130">
        <f t="shared" si="69"/>
        <v>240</v>
      </c>
      <c r="N1130">
        <f t="shared" si="70"/>
        <v>239</v>
      </c>
      <c r="O1130">
        <f t="shared" si="71"/>
        <v>2036.9166666666667</v>
      </c>
    </row>
    <row r="1131" spans="1:15" x14ac:dyDescent="0.2">
      <c r="A1131" t="s">
        <v>19</v>
      </c>
      <c r="B1131">
        <v>9</v>
      </c>
      <c r="C1131">
        <v>45</v>
      </c>
      <c r="D1131">
        <v>2</v>
      </c>
      <c r="E1131">
        <v>12</v>
      </c>
      <c r="F1131">
        <v>42</v>
      </c>
      <c r="G1131">
        <v>2379301</v>
      </c>
      <c r="H1131">
        <v>0</v>
      </c>
      <c r="I1131">
        <v>1</v>
      </c>
      <c r="J1131">
        <v>1</v>
      </c>
      <c r="K1131">
        <v>0</v>
      </c>
      <c r="L1131">
        <f t="shared" si="68"/>
        <v>20</v>
      </c>
      <c r="M1131">
        <f t="shared" si="69"/>
        <v>240</v>
      </c>
      <c r="N1131">
        <f t="shared" si="70"/>
        <v>238</v>
      </c>
      <c r="O1131">
        <f t="shared" si="71"/>
        <v>2036.8333333333333</v>
      </c>
    </row>
    <row r="1132" spans="1:15" x14ac:dyDescent="0.2">
      <c r="A1132" t="s">
        <v>19</v>
      </c>
      <c r="B1132">
        <v>9</v>
      </c>
      <c r="C1132">
        <v>45</v>
      </c>
      <c r="D1132">
        <v>3</v>
      </c>
      <c r="E1132">
        <v>12</v>
      </c>
      <c r="F1132">
        <v>41</v>
      </c>
      <c r="G1132">
        <v>2362803</v>
      </c>
      <c r="H1132">
        <v>0</v>
      </c>
      <c r="I1132">
        <v>1</v>
      </c>
      <c r="J1132">
        <v>1</v>
      </c>
      <c r="K1132">
        <v>0</v>
      </c>
      <c r="L1132">
        <f t="shared" si="68"/>
        <v>20</v>
      </c>
      <c r="M1132">
        <f t="shared" si="69"/>
        <v>240</v>
      </c>
      <c r="N1132">
        <f t="shared" si="70"/>
        <v>237</v>
      </c>
      <c r="O1132">
        <f t="shared" si="71"/>
        <v>2036.75</v>
      </c>
    </row>
    <row r="1133" spans="1:15" x14ac:dyDescent="0.2">
      <c r="A1133" t="s">
        <v>19</v>
      </c>
      <c r="B1133">
        <v>9</v>
      </c>
      <c r="C1133">
        <v>45</v>
      </c>
      <c r="D1133">
        <v>3</v>
      </c>
      <c r="E1133">
        <v>12</v>
      </c>
      <c r="F1133">
        <v>41</v>
      </c>
      <c r="G1133">
        <v>2364903</v>
      </c>
      <c r="H1133">
        <v>0</v>
      </c>
      <c r="I1133">
        <v>1</v>
      </c>
      <c r="J1133">
        <v>1</v>
      </c>
      <c r="K1133">
        <v>0</v>
      </c>
      <c r="L1133">
        <f t="shared" si="68"/>
        <v>20</v>
      </c>
      <c r="M1133">
        <f t="shared" si="69"/>
        <v>240</v>
      </c>
      <c r="N1133">
        <f t="shared" si="70"/>
        <v>237</v>
      </c>
      <c r="O1133">
        <f t="shared" si="71"/>
        <v>2036.75</v>
      </c>
    </row>
    <row r="1134" spans="1:15" x14ac:dyDescent="0.2">
      <c r="A1134" t="s">
        <v>19</v>
      </c>
      <c r="B1134">
        <v>9</v>
      </c>
      <c r="C1134">
        <v>45</v>
      </c>
      <c r="D1134">
        <v>3</v>
      </c>
      <c r="E1134">
        <v>12</v>
      </c>
      <c r="F1134">
        <v>44</v>
      </c>
      <c r="G1134">
        <v>2364103</v>
      </c>
      <c r="H1134">
        <v>0</v>
      </c>
      <c r="I1134">
        <v>1</v>
      </c>
      <c r="J1134">
        <v>1</v>
      </c>
      <c r="K1134">
        <v>0</v>
      </c>
      <c r="L1134">
        <f t="shared" si="68"/>
        <v>20</v>
      </c>
      <c r="M1134">
        <f t="shared" si="69"/>
        <v>240</v>
      </c>
      <c r="N1134">
        <f t="shared" si="70"/>
        <v>237</v>
      </c>
      <c r="O1134">
        <f t="shared" si="71"/>
        <v>2036.75</v>
      </c>
    </row>
    <row r="1135" spans="1:15" x14ac:dyDescent="0.2">
      <c r="A1135" t="s">
        <v>19</v>
      </c>
      <c r="B1135">
        <v>9</v>
      </c>
      <c r="C1135">
        <v>45</v>
      </c>
      <c r="D1135">
        <v>4</v>
      </c>
      <c r="E1135">
        <v>12</v>
      </c>
      <c r="F1135">
        <v>38</v>
      </c>
      <c r="G1135">
        <v>2352502</v>
      </c>
      <c r="H1135">
        <v>0</v>
      </c>
      <c r="I1135">
        <v>1</v>
      </c>
      <c r="J1135">
        <v>1</v>
      </c>
      <c r="K1135">
        <v>0</v>
      </c>
      <c r="L1135">
        <f t="shared" si="68"/>
        <v>20</v>
      </c>
      <c r="M1135">
        <f t="shared" si="69"/>
        <v>240</v>
      </c>
      <c r="N1135">
        <f t="shared" si="70"/>
        <v>236</v>
      </c>
      <c r="O1135">
        <f t="shared" si="71"/>
        <v>2036.6666666666667</v>
      </c>
    </row>
    <row r="1136" spans="1:15" x14ac:dyDescent="0.2">
      <c r="A1136" t="s">
        <v>19</v>
      </c>
      <c r="B1136">
        <v>9</v>
      </c>
      <c r="C1136">
        <v>45</v>
      </c>
      <c r="D1136">
        <v>4</v>
      </c>
      <c r="E1136">
        <v>12</v>
      </c>
      <c r="F1136">
        <v>43</v>
      </c>
      <c r="G1136">
        <v>2291002</v>
      </c>
      <c r="H1136">
        <v>1</v>
      </c>
      <c r="I1136">
        <v>1</v>
      </c>
      <c r="J1136">
        <v>1</v>
      </c>
      <c r="K1136">
        <v>0</v>
      </c>
      <c r="L1136">
        <f t="shared" si="68"/>
        <v>20</v>
      </c>
      <c r="M1136">
        <f t="shared" si="69"/>
        <v>240</v>
      </c>
      <c r="N1136">
        <f t="shared" si="70"/>
        <v>236</v>
      </c>
      <c r="O1136">
        <f t="shared" si="71"/>
        <v>2036.6666666666667</v>
      </c>
    </row>
    <row r="1137" spans="1:15" x14ac:dyDescent="0.2">
      <c r="A1137" t="s">
        <v>19</v>
      </c>
      <c r="B1137">
        <v>9</v>
      </c>
      <c r="C1137">
        <v>45</v>
      </c>
      <c r="D1137">
        <v>5</v>
      </c>
      <c r="E1137">
        <v>12</v>
      </c>
      <c r="F1137">
        <v>44</v>
      </c>
      <c r="G1137">
        <v>2217604</v>
      </c>
      <c r="H1137">
        <v>0</v>
      </c>
      <c r="I1137">
        <v>1</v>
      </c>
      <c r="J1137">
        <v>1</v>
      </c>
      <c r="K1137">
        <v>0</v>
      </c>
      <c r="L1137">
        <f t="shared" si="68"/>
        <v>20</v>
      </c>
      <c r="M1137">
        <f t="shared" si="69"/>
        <v>240</v>
      </c>
      <c r="N1137">
        <f t="shared" si="70"/>
        <v>235</v>
      </c>
      <c r="O1137">
        <f t="shared" si="71"/>
        <v>2036.5833333333333</v>
      </c>
    </row>
    <row r="1138" spans="1:15" x14ac:dyDescent="0.2">
      <c r="A1138" t="s">
        <v>19</v>
      </c>
      <c r="B1138">
        <v>9</v>
      </c>
      <c r="C1138">
        <v>45</v>
      </c>
      <c r="D1138">
        <v>6</v>
      </c>
      <c r="E1138">
        <v>12</v>
      </c>
      <c r="F1138">
        <v>42</v>
      </c>
      <c r="G1138">
        <v>2343803</v>
      </c>
      <c r="H1138">
        <v>1</v>
      </c>
      <c r="I1138">
        <v>0</v>
      </c>
      <c r="J1138">
        <v>1</v>
      </c>
      <c r="K1138">
        <v>0</v>
      </c>
      <c r="L1138">
        <f t="shared" si="68"/>
        <v>20</v>
      </c>
      <c r="M1138">
        <f t="shared" si="69"/>
        <v>240</v>
      </c>
      <c r="N1138">
        <f t="shared" si="70"/>
        <v>234</v>
      </c>
      <c r="O1138">
        <f t="shared" si="71"/>
        <v>2036.5</v>
      </c>
    </row>
    <row r="1139" spans="1:15" x14ac:dyDescent="0.2">
      <c r="A1139" t="s">
        <v>19</v>
      </c>
      <c r="B1139">
        <v>9</v>
      </c>
      <c r="C1139">
        <v>45</v>
      </c>
      <c r="D1139">
        <v>6</v>
      </c>
      <c r="E1139">
        <v>12</v>
      </c>
      <c r="F1139">
        <v>43</v>
      </c>
      <c r="G1139">
        <v>2332602</v>
      </c>
      <c r="H1139">
        <v>0</v>
      </c>
      <c r="I1139">
        <v>1</v>
      </c>
      <c r="J1139">
        <v>1</v>
      </c>
      <c r="K1139">
        <v>0</v>
      </c>
      <c r="L1139">
        <f t="shared" si="68"/>
        <v>20</v>
      </c>
      <c r="M1139">
        <f t="shared" si="69"/>
        <v>240</v>
      </c>
      <c r="N1139">
        <f t="shared" si="70"/>
        <v>234</v>
      </c>
      <c r="O1139">
        <f t="shared" si="71"/>
        <v>2036.5</v>
      </c>
    </row>
    <row r="1140" spans="1:15" x14ac:dyDescent="0.2">
      <c r="A1140" t="s">
        <v>19</v>
      </c>
      <c r="B1140">
        <v>9</v>
      </c>
      <c r="C1140">
        <v>45</v>
      </c>
      <c r="D1140">
        <v>7</v>
      </c>
      <c r="E1140">
        <v>12</v>
      </c>
      <c r="F1140">
        <v>45</v>
      </c>
      <c r="G1140">
        <v>2319702</v>
      </c>
      <c r="H1140">
        <v>0</v>
      </c>
      <c r="I1140">
        <v>1</v>
      </c>
      <c r="J1140">
        <v>1</v>
      </c>
      <c r="K1140">
        <v>0</v>
      </c>
      <c r="L1140">
        <f t="shared" si="68"/>
        <v>20</v>
      </c>
      <c r="M1140">
        <f t="shared" si="69"/>
        <v>240</v>
      </c>
      <c r="N1140">
        <f t="shared" si="70"/>
        <v>233</v>
      </c>
      <c r="O1140">
        <f t="shared" si="71"/>
        <v>2036.4166666666667</v>
      </c>
    </row>
    <row r="1141" spans="1:15" x14ac:dyDescent="0.2">
      <c r="A1141" t="s">
        <v>19</v>
      </c>
      <c r="B1141">
        <v>9</v>
      </c>
      <c r="C1141">
        <v>45</v>
      </c>
      <c r="D1141">
        <v>7</v>
      </c>
      <c r="E1141">
        <v>12</v>
      </c>
      <c r="F1141">
        <v>45</v>
      </c>
      <c r="G1141">
        <v>2325603</v>
      </c>
      <c r="H1141">
        <v>1</v>
      </c>
      <c r="I1141">
        <v>0</v>
      </c>
      <c r="J1141">
        <v>1</v>
      </c>
      <c r="K1141">
        <v>0</v>
      </c>
      <c r="L1141">
        <f t="shared" si="68"/>
        <v>20</v>
      </c>
      <c r="M1141">
        <f t="shared" si="69"/>
        <v>240</v>
      </c>
      <c r="N1141">
        <f t="shared" si="70"/>
        <v>233</v>
      </c>
      <c r="O1141">
        <f t="shared" si="71"/>
        <v>2036.4166666666667</v>
      </c>
    </row>
    <row r="1142" spans="1:15" x14ac:dyDescent="0.2">
      <c r="A1142" t="s">
        <v>19</v>
      </c>
      <c r="B1142">
        <v>9</v>
      </c>
      <c r="C1142">
        <v>45</v>
      </c>
      <c r="D1142">
        <v>10</v>
      </c>
      <c r="E1142">
        <v>4</v>
      </c>
      <c r="F1142">
        <v>43</v>
      </c>
      <c r="G1142">
        <v>2298301</v>
      </c>
      <c r="H1142">
        <v>0</v>
      </c>
      <c r="I1142">
        <v>1</v>
      </c>
      <c r="J1142">
        <v>1</v>
      </c>
      <c r="K1142">
        <v>0</v>
      </c>
      <c r="L1142">
        <f t="shared" si="68"/>
        <v>20</v>
      </c>
      <c r="M1142">
        <f t="shared" si="69"/>
        <v>240</v>
      </c>
      <c r="N1142">
        <f t="shared" si="70"/>
        <v>230</v>
      </c>
      <c r="O1142">
        <f t="shared" si="71"/>
        <v>2036.1666666666667</v>
      </c>
    </row>
    <row r="1143" spans="1:15" x14ac:dyDescent="0.2">
      <c r="A1143" t="s">
        <v>19</v>
      </c>
      <c r="B1143">
        <v>9</v>
      </c>
      <c r="C1143">
        <v>45</v>
      </c>
      <c r="D1143">
        <v>10</v>
      </c>
      <c r="E1143">
        <v>12</v>
      </c>
      <c r="F1143">
        <v>40</v>
      </c>
      <c r="G1143">
        <v>2296203</v>
      </c>
      <c r="H1143">
        <v>0</v>
      </c>
      <c r="I1143">
        <v>1</v>
      </c>
      <c r="J1143">
        <v>1</v>
      </c>
      <c r="K1143">
        <v>0</v>
      </c>
      <c r="L1143">
        <f t="shared" si="68"/>
        <v>20</v>
      </c>
      <c r="M1143">
        <f t="shared" si="69"/>
        <v>240</v>
      </c>
      <c r="N1143">
        <f t="shared" si="70"/>
        <v>230</v>
      </c>
      <c r="O1143">
        <f t="shared" si="71"/>
        <v>2036.1666666666667</v>
      </c>
    </row>
    <row r="1144" spans="1:15" x14ac:dyDescent="0.2">
      <c r="A1144" t="s">
        <v>19</v>
      </c>
      <c r="B1144">
        <v>9</v>
      </c>
      <c r="C1144">
        <v>45</v>
      </c>
      <c r="D1144">
        <v>10</v>
      </c>
      <c r="E1144">
        <v>12</v>
      </c>
      <c r="F1144">
        <v>45</v>
      </c>
      <c r="G1144">
        <v>2297202</v>
      </c>
      <c r="H1144">
        <v>1</v>
      </c>
      <c r="I1144">
        <v>0</v>
      </c>
      <c r="J1144">
        <v>1</v>
      </c>
      <c r="K1144">
        <v>0</v>
      </c>
      <c r="L1144">
        <f t="shared" si="68"/>
        <v>20</v>
      </c>
      <c r="M1144">
        <f t="shared" si="69"/>
        <v>240</v>
      </c>
      <c r="N1144">
        <f t="shared" si="70"/>
        <v>230</v>
      </c>
      <c r="O1144">
        <f t="shared" si="71"/>
        <v>2036.1666666666667</v>
      </c>
    </row>
    <row r="1145" spans="1:15" x14ac:dyDescent="0.2">
      <c r="A1145" t="s">
        <v>19</v>
      </c>
      <c r="B1145">
        <v>9</v>
      </c>
      <c r="C1145">
        <v>45</v>
      </c>
      <c r="D1145">
        <v>20</v>
      </c>
      <c r="E1145">
        <v>1</v>
      </c>
      <c r="F1145">
        <v>44</v>
      </c>
      <c r="G1145">
        <v>2229101</v>
      </c>
      <c r="H1145">
        <v>1</v>
      </c>
      <c r="I1145">
        <v>0</v>
      </c>
      <c r="J1145">
        <v>1</v>
      </c>
      <c r="K1145">
        <v>0</v>
      </c>
      <c r="L1145">
        <f t="shared" si="68"/>
        <v>20</v>
      </c>
      <c r="M1145">
        <f t="shared" si="69"/>
        <v>240</v>
      </c>
      <c r="N1145">
        <f t="shared" si="70"/>
        <v>220</v>
      </c>
      <c r="O1145">
        <f t="shared" si="71"/>
        <v>2035.3333333333333</v>
      </c>
    </row>
    <row r="1146" spans="1:15" x14ac:dyDescent="0.2">
      <c r="A1146" t="s">
        <v>19</v>
      </c>
      <c r="B1146">
        <v>9</v>
      </c>
      <c r="C1146">
        <v>45</v>
      </c>
      <c r="D1146">
        <v>22</v>
      </c>
      <c r="E1146">
        <v>12</v>
      </c>
      <c r="F1146">
        <v>44</v>
      </c>
      <c r="G1146">
        <v>2219802</v>
      </c>
      <c r="H1146">
        <v>0</v>
      </c>
      <c r="I1146">
        <v>1</v>
      </c>
      <c r="J1146">
        <v>1</v>
      </c>
      <c r="K1146">
        <v>0</v>
      </c>
      <c r="L1146">
        <f t="shared" si="68"/>
        <v>20</v>
      </c>
      <c r="M1146">
        <f t="shared" si="69"/>
        <v>240</v>
      </c>
      <c r="N1146">
        <f t="shared" si="70"/>
        <v>218</v>
      </c>
      <c r="O1146">
        <f t="shared" si="71"/>
        <v>2035.1666666666667</v>
      </c>
    </row>
    <row r="1147" spans="1:15" x14ac:dyDescent="0.2">
      <c r="A1147" t="s">
        <v>19</v>
      </c>
      <c r="B1147">
        <v>9</v>
      </c>
      <c r="C1147">
        <v>45</v>
      </c>
      <c r="D1147">
        <v>23</v>
      </c>
      <c r="E1147">
        <v>2</v>
      </c>
      <c r="F1147">
        <v>39</v>
      </c>
      <c r="G1147">
        <v>2213401</v>
      </c>
      <c r="H1147">
        <v>1</v>
      </c>
      <c r="I1147">
        <v>0</v>
      </c>
      <c r="J1147">
        <v>1</v>
      </c>
      <c r="K1147">
        <v>0</v>
      </c>
      <c r="L1147">
        <f t="shared" si="68"/>
        <v>20</v>
      </c>
      <c r="M1147">
        <f t="shared" si="69"/>
        <v>240</v>
      </c>
      <c r="N1147">
        <f t="shared" si="70"/>
        <v>217</v>
      </c>
      <c r="O1147">
        <f t="shared" si="71"/>
        <v>2035.0833333333333</v>
      </c>
    </row>
    <row r="1148" spans="1:15" x14ac:dyDescent="0.2">
      <c r="A1148" t="s">
        <v>19</v>
      </c>
      <c r="B1148">
        <v>9</v>
      </c>
      <c r="C1148">
        <v>45</v>
      </c>
      <c r="D1148">
        <v>24</v>
      </c>
      <c r="E1148">
        <v>1</v>
      </c>
      <c r="F1148">
        <v>44</v>
      </c>
      <c r="G1148">
        <v>2207901</v>
      </c>
      <c r="H1148">
        <v>1</v>
      </c>
      <c r="I1148">
        <v>0</v>
      </c>
      <c r="J1148">
        <v>1</v>
      </c>
      <c r="K1148">
        <v>0</v>
      </c>
      <c r="L1148">
        <f t="shared" si="68"/>
        <v>20</v>
      </c>
      <c r="M1148">
        <f t="shared" si="69"/>
        <v>240</v>
      </c>
      <c r="N1148">
        <f t="shared" si="70"/>
        <v>216</v>
      </c>
      <c r="O1148">
        <f t="shared" si="71"/>
        <v>2035</v>
      </c>
    </row>
    <row r="1149" spans="1:15" x14ac:dyDescent="0.2">
      <c r="A1149" t="s">
        <v>19</v>
      </c>
      <c r="B1149">
        <v>9</v>
      </c>
      <c r="C1149">
        <v>45</v>
      </c>
      <c r="D1149">
        <v>25</v>
      </c>
      <c r="E1149">
        <v>12</v>
      </c>
      <c r="F1149">
        <v>38</v>
      </c>
      <c r="G1149">
        <v>2202601</v>
      </c>
      <c r="H1149">
        <v>0</v>
      </c>
      <c r="I1149">
        <v>1</v>
      </c>
      <c r="J1149">
        <v>1</v>
      </c>
      <c r="K1149">
        <v>0</v>
      </c>
      <c r="L1149">
        <f t="shared" si="68"/>
        <v>20</v>
      </c>
      <c r="M1149">
        <f t="shared" si="69"/>
        <v>240</v>
      </c>
      <c r="N1149">
        <f t="shared" si="70"/>
        <v>215</v>
      </c>
      <c r="O1149">
        <f t="shared" si="71"/>
        <v>2034.9166666666667</v>
      </c>
    </row>
    <row r="1150" spans="1:15" x14ac:dyDescent="0.2">
      <c r="A1150" t="s">
        <v>19</v>
      </c>
      <c r="B1150">
        <v>9</v>
      </c>
      <c r="C1150">
        <v>45</v>
      </c>
      <c r="D1150">
        <v>33</v>
      </c>
      <c r="E1150">
        <v>4</v>
      </c>
      <c r="F1150">
        <v>42</v>
      </c>
      <c r="G1150">
        <v>4102</v>
      </c>
      <c r="H1150">
        <v>0</v>
      </c>
      <c r="I1150">
        <v>1</v>
      </c>
      <c r="J1150">
        <v>1</v>
      </c>
      <c r="K1150">
        <v>0</v>
      </c>
      <c r="L1150">
        <f t="shared" si="68"/>
        <v>20</v>
      </c>
      <c r="M1150">
        <f t="shared" si="69"/>
        <v>240</v>
      </c>
      <c r="N1150">
        <f t="shared" si="70"/>
        <v>207</v>
      </c>
      <c r="O1150">
        <f t="shared" si="71"/>
        <v>2034.25</v>
      </c>
    </row>
    <row r="1151" spans="1:15" x14ac:dyDescent="0.2">
      <c r="A1151" t="s">
        <v>19</v>
      </c>
      <c r="B1151">
        <v>9</v>
      </c>
      <c r="C1151">
        <v>45</v>
      </c>
      <c r="D1151">
        <v>34</v>
      </c>
      <c r="E1151">
        <v>1</v>
      </c>
      <c r="F1151">
        <v>41</v>
      </c>
      <c r="G1151">
        <v>2158901</v>
      </c>
      <c r="H1151">
        <v>0</v>
      </c>
      <c r="I1151">
        <v>1</v>
      </c>
      <c r="J1151">
        <v>1</v>
      </c>
      <c r="K1151">
        <v>0</v>
      </c>
      <c r="L1151">
        <f t="shared" si="68"/>
        <v>20</v>
      </c>
      <c r="M1151">
        <f t="shared" si="69"/>
        <v>240</v>
      </c>
      <c r="N1151">
        <f t="shared" si="70"/>
        <v>206</v>
      </c>
      <c r="O1151">
        <f t="shared" si="71"/>
        <v>2034.1666666666667</v>
      </c>
    </row>
    <row r="1152" spans="1:15" x14ac:dyDescent="0.2">
      <c r="A1152" t="s">
        <v>19</v>
      </c>
      <c r="B1152">
        <v>9</v>
      </c>
      <c r="C1152">
        <v>45</v>
      </c>
      <c r="D1152">
        <v>34</v>
      </c>
      <c r="E1152">
        <v>1</v>
      </c>
      <c r="F1152">
        <v>44</v>
      </c>
      <c r="G1152">
        <v>2155801</v>
      </c>
      <c r="H1152">
        <v>0</v>
      </c>
      <c r="I1152">
        <v>1</v>
      </c>
      <c r="J1152">
        <v>1</v>
      </c>
      <c r="K1152">
        <v>0</v>
      </c>
      <c r="L1152">
        <f t="shared" si="68"/>
        <v>20</v>
      </c>
      <c r="M1152">
        <f t="shared" si="69"/>
        <v>240</v>
      </c>
      <c r="N1152">
        <f t="shared" si="70"/>
        <v>206</v>
      </c>
      <c r="O1152">
        <f t="shared" si="71"/>
        <v>2034.1666666666667</v>
      </c>
    </row>
    <row r="1153" spans="1:15" x14ac:dyDescent="0.2">
      <c r="A1153" t="s">
        <v>19</v>
      </c>
      <c r="B1153">
        <v>9</v>
      </c>
      <c r="C1153">
        <v>45</v>
      </c>
      <c r="D1153">
        <v>38</v>
      </c>
      <c r="E1153">
        <v>1</v>
      </c>
      <c r="F1153">
        <v>45</v>
      </c>
      <c r="G1153">
        <v>2137801</v>
      </c>
      <c r="H1153">
        <v>1</v>
      </c>
      <c r="I1153">
        <v>0</v>
      </c>
      <c r="J1153">
        <v>1</v>
      </c>
      <c r="K1153">
        <v>0</v>
      </c>
      <c r="L1153">
        <f t="shared" si="68"/>
        <v>20</v>
      </c>
      <c r="M1153">
        <f t="shared" si="69"/>
        <v>240</v>
      </c>
      <c r="N1153">
        <f t="shared" si="70"/>
        <v>202</v>
      </c>
      <c r="O1153">
        <f t="shared" si="71"/>
        <v>2033.8333333333333</v>
      </c>
    </row>
    <row r="1154" spans="1:15" x14ac:dyDescent="0.2">
      <c r="A1154" t="s">
        <v>19</v>
      </c>
      <c r="B1154">
        <v>9</v>
      </c>
      <c r="C1154">
        <v>45</v>
      </c>
      <c r="D1154">
        <v>39</v>
      </c>
      <c r="E1154">
        <v>12</v>
      </c>
      <c r="F1154">
        <v>40</v>
      </c>
      <c r="G1154">
        <v>2135102</v>
      </c>
      <c r="H1154">
        <v>0</v>
      </c>
      <c r="I1154">
        <v>1</v>
      </c>
      <c r="J1154">
        <v>1</v>
      </c>
      <c r="K1154">
        <v>0</v>
      </c>
      <c r="L1154">
        <f t="shared" si="68"/>
        <v>20</v>
      </c>
      <c r="M1154">
        <f t="shared" si="69"/>
        <v>240</v>
      </c>
      <c r="N1154">
        <f t="shared" si="70"/>
        <v>201</v>
      </c>
      <c r="O1154">
        <f t="shared" si="71"/>
        <v>2033.75</v>
      </c>
    </row>
    <row r="1155" spans="1:15" x14ac:dyDescent="0.2">
      <c r="A1155" t="s">
        <v>19</v>
      </c>
      <c r="B1155">
        <v>9</v>
      </c>
      <c r="C1155">
        <v>45</v>
      </c>
      <c r="D1155">
        <v>41</v>
      </c>
      <c r="E1155">
        <v>4</v>
      </c>
      <c r="F1155">
        <v>35</v>
      </c>
      <c r="G1155">
        <v>2128301</v>
      </c>
      <c r="H1155">
        <v>0</v>
      </c>
      <c r="I1155">
        <v>1</v>
      </c>
      <c r="J1155">
        <v>1</v>
      </c>
      <c r="K1155">
        <v>0</v>
      </c>
      <c r="L1155">
        <f t="shared" si="68"/>
        <v>20</v>
      </c>
      <c r="M1155">
        <f t="shared" si="69"/>
        <v>240</v>
      </c>
      <c r="N1155">
        <f t="shared" si="70"/>
        <v>199</v>
      </c>
      <c r="O1155">
        <f t="shared" si="71"/>
        <v>2033.5833333333333</v>
      </c>
    </row>
    <row r="1156" spans="1:15" x14ac:dyDescent="0.2">
      <c r="A1156" t="s">
        <v>19</v>
      </c>
      <c r="B1156">
        <v>9</v>
      </c>
      <c r="C1156">
        <v>45</v>
      </c>
      <c r="D1156">
        <v>42</v>
      </c>
      <c r="E1156">
        <v>2</v>
      </c>
      <c r="F1156">
        <v>40</v>
      </c>
      <c r="G1156">
        <v>2120701</v>
      </c>
      <c r="H1156">
        <v>0</v>
      </c>
      <c r="I1156">
        <v>1</v>
      </c>
      <c r="J1156">
        <v>1</v>
      </c>
      <c r="K1156">
        <v>0</v>
      </c>
      <c r="L1156">
        <f t="shared" si="68"/>
        <v>20</v>
      </c>
      <c r="M1156">
        <f t="shared" si="69"/>
        <v>240</v>
      </c>
      <c r="N1156">
        <f t="shared" si="70"/>
        <v>198</v>
      </c>
      <c r="O1156">
        <f t="shared" si="71"/>
        <v>2033.5</v>
      </c>
    </row>
    <row r="1157" spans="1:15" x14ac:dyDescent="0.2">
      <c r="A1157" t="s">
        <v>19</v>
      </c>
      <c r="B1157">
        <v>9</v>
      </c>
      <c r="C1157">
        <v>45</v>
      </c>
      <c r="D1157">
        <v>42</v>
      </c>
      <c r="E1157">
        <v>2</v>
      </c>
      <c r="F1157">
        <v>41</v>
      </c>
      <c r="G1157">
        <v>2120901</v>
      </c>
      <c r="H1157">
        <v>0</v>
      </c>
      <c r="I1157">
        <v>1</v>
      </c>
      <c r="J1157">
        <v>1</v>
      </c>
      <c r="K1157">
        <v>0</v>
      </c>
      <c r="L1157">
        <f t="shared" si="68"/>
        <v>20</v>
      </c>
      <c r="M1157">
        <f t="shared" si="69"/>
        <v>240</v>
      </c>
      <c r="N1157">
        <f t="shared" si="70"/>
        <v>198</v>
      </c>
      <c r="O1157">
        <f t="shared" si="71"/>
        <v>2033.5</v>
      </c>
    </row>
    <row r="1158" spans="1:15" x14ac:dyDescent="0.2">
      <c r="A1158" t="s">
        <v>19</v>
      </c>
      <c r="B1158">
        <v>9</v>
      </c>
      <c r="C1158">
        <v>45</v>
      </c>
      <c r="D1158">
        <v>42</v>
      </c>
      <c r="E1158">
        <v>12</v>
      </c>
      <c r="F1158">
        <v>45</v>
      </c>
      <c r="G1158">
        <v>2121701</v>
      </c>
      <c r="H1158">
        <v>0</v>
      </c>
      <c r="I1158">
        <v>1</v>
      </c>
      <c r="J1158">
        <v>1</v>
      </c>
      <c r="K1158">
        <v>0</v>
      </c>
      <c r="L1158">
        <f t="shared" si="68"/>
        <v>20</v>
      </c>
      <c r="M1158">
        <f t="shared" si="69"/>
        <v>240</v>
      </c>
      <c r="N1158">
        <f t="shared" si="70"/>
        <v>198</v>
      </c>
      <c r="O1158">
        <f t="shared" si="71"/>
        <v>2033.5</v>
      </c>
    </row>
    <row r="1159" spans="1:15" x14ac:dyDescent="0.2">
      <c r="A1159" t="s">
        <v>19</v>
      </c>
      <c r="B1159">
        <v>9</v>
      </c>
      <c r="C1159">
        <v>45</v>
      </c>
      <c r="D1159">
        <v>45</v>
      </c>
      <c r="E1159">
        <v>4</v>
      </c>
      <c r="F1159">
        <v>43</v>
      </c>
      <c r="G1159">
        <v>2104701</v>
      </c>
      <c r="H1159">
        <v>0</v>
      </c>
      <c r="I1159">
        <v>1</v>
      </c>
      <c r="J1159">
        <v>1</v>
      </c>
      <c r="K1159">
        <v>0</v>
      </c>
      <c r="L1159">
        <f t="shared" ref="L1159:L1222" si="72">65-C1159</f>
        <v>20</v>
      </c>
      <c r="M1159">
        <f t="shared" ref="M1159:M1222" si="73">L1159*12</f>
        <v>240</v>
      </c>
      <c r="N1159">
        <f t="shared" ref="N1159:N1222" si="74">M1159-D1159</f>
        <v>195</v>
      </c>
      <c r="O1159">
        <f t="shared" ref="O1159:O1222" si="75">2017+N1159/12</f>
        <v>2033.25</v>
      </c>
    </row>
    <row r="1160" spans="1:15" x14ac:dyDescent="0.2">
      <c r="A1160" t="s">
        <v>19</v>
      </c>
      <c r="B1160">
        <v>9</v>
      </c>
      <c r="C1160">
        <v>45</v>
      </c>
      <c r="D1160">
        <v>47</v>
      </c>
      <c r="E1160">
        <v>1</v>
      </c>
      <c r="F1160">
        <v>45</v>
      </c>
      <c r="G1160">
        <v>2094801</v>
      </c>
      <c r="H1160">
        <v>0</v>
      </c>
      <c r="I1160">
        <v>1</v>
      </c>
      <c r="J1160">
        <v>1</v>
      </c>
      <c r="K1160">
        <v>0</v>
      </c>
      <c r="L1160">
        <f t="shared" si="72"/>
        <v>20</v>
      </c>
      <c r="M1160">
        <f t="shared" si="73"/>
        <v>240</v>
      </c>
      <c r="N1160">
        <f t="shared" si="74"/>
        <v>193</v>
      </c>
      <c r="O1160">
        <f t="shared" si="75"/>
        <v>2033.0833333333333</v>
      </c>
    </row>
    <row r="1161" spans="1:15" x14ac:dyDescent="0.2">
      <c r="A1161" t="s">
        <v>19</v>
      </c>
      <c r="B1161">
        <v>9</v>
      </c>
      <c r="C1161">
        <v>45</v>
      </c>
      <c r="D1161">
        <v>48</v>
      </c>
      <c r="E1161">
        <v>1</v>
      </c>
      <c r="F1161">
        <v>42</v>
      </c>
      <c r="G1161">
        <v>2090601</v>
      </c>
      <c r="H1161">
        <v>0</v>
      </c>
      <c r="I1161">
        <v>1</v>
      </c>
      <c r="J1161">
        <v>1</v>
      </c>
      <c r="K1161">
        <v>0</v>
      </c>
      <c r="L1161">
        <f t="shared" si="72"/>
        <v>20</v>
      </c>
      <c r="M1161">
        <f t="shared" si="73"/>
        <v>240</v>
      </c>
      <c r="N1161">
        <f t="shared" si="74"/>
        <v>192</v>
      </c>
      <c r="O1161">
        <f t="shared" si="75"/>
        <v>2033</v>
      </c>
    </row>
    <row r="1162" spans="1:15" x14ac:dyDescent="0.2">
      <c r="A1162" t="s">
        <v>19</v>
      </c>
      <c r="B1162">
        <v>9</v>
      </c>
      <c r="C1162">
        <v>45</v>
      </c>
      <c r="D1162">
        <v>54</v>
      </c>
      <c r="E1162">
        <v>1</v>
      </c>
      <c r="F1162">
        <v>45</v>
      </c>
      <c r="G1162">
        <v>2061801</v>
      </c>
      <c r="H1162">
        <v>0</v>
      </c>
      <c r="I1162">
        <v>1</v>
      </c>
      <c r="J1162">
        <v>1</v>
      </c>
      <c r="K1162">
        <v>0</v>
      </c>
      <c r="L1162">
        <f t="shared" si="72"/>
        <v>20</v>
      </c>
      <c r="M1162">
        <f t="shared" si="73"/>
        <v>240</v>
      </c>
      <c r="N1162">
        <f t="shared" si="74"/>
        <v>186</v>
      </c>
      <c r="O1162">
        <f t="shared" si="75"/>
        <v>2032.5</v>
      </c>
    </row>
    <row r="1163" spans="1:15" x14ac:dyDescent="0.2">
      <c r="A1163" t="s">
        <v>19</v>
      </c>
      <c r="B1163">
        <v>9</v>
      </c>
      <c r="C1163">
        <v>45</v>
      </c>
      <c r="D1163">
        <v>59</v>
      </c>
      <c r="E1163">
        <v>2</v>
      </c>
      <c r="F1163">
        <v>44</v>
      </c>
      <c r="G1163">
        <v>2032201</v>
      </c>
      <c r="H1163">
        <v>1</v>
      </c>
      <c r="I1163">
        <v>0</v>
      </c>
      <c r="J1163">
        <v>1</v>
      </c>
      <c r="K1163">
        <v>0</v>
      </c>
      <c r="L1163">
        <f t="shared" si="72"/>
        <v>20</v>
      </c>
      <c r="M1163">
        <f t="shared" si="73"/>
        <v>240</v>
      </c>
      <c r="N1163">
        <f t="shared" si="74"/>
        <v>181</v>
      </c>
      <c r="O1163">
        <f t="shared" si="75"/>
        <v>2032.0833333333333</v>
      </c>
    </row>
    <row r="1164" spans="1:15" x14ac:dyDescent="0.2">
      <c r="A1164" t="s">
        <v>19</v>
      </c>
      <c r="B1164">
        <v>9</v>
      </c>
      <c r="C1164">
        <v>45</v>
      </c>
      <c r="D1164">
        <v>65</v>
      </c>
      <c r="E1164">
        <v>12</v>
      </c>
      <c r="F1164">
        <v>45</v>
      </c>
      <c r="G1164">
        <v>85902</v>
      </c>
      <c r="H1164">
        <v>1</v>
      </c>
      <c r="I1164">
        <v>0</v>
      </c>
      <c r="J1164">
        <v>1</v>
      </c>
      <c r="K1164">
        <v>0</v>
      </c>
      <c r="L1164">
        <f t="shared" si="72"/>
        <v>20</v>
      </c>
      <c r="M1164">
        <f t="shared" si="73"/>
        <v>240</v>
      </c>
      <c r="N1164">
        <f t="shared" si="74"/>
        <v>175</v>
      </c>
      <c r="O1164">
        <f t="shared" si="75"/>
        <v>2031.5833333333333</v>
      </c>
    </row>
    <row r="1165" spans="1:15" x14ac:dyDescent="0.2">
      <c r="A1165" t="s">
        <v>19</v>
      </c>
      <c r="B1165">
        <v>9</v>
      </c>
      <c r="C1165">
        <v>45</v>
      </c>
      <c r="D1165">
        <v>66</v>
      </c>
      <c r="E1165">
        <v>1</v>
      </c>
      <c r="F1165">
        <v>37</v>
      </c>
      <c r="G1165">
        <v>2011401</v>
      </c>
      <c r="H1165">
        <v>0</v>
      </c>
      <c r="I1165">
        <v>1</v>
      </c>
      <c r="J1165">
        <v>1</v>
      </c>
      <c r="K1165">
        <v>0</v>
      </c>
      <c r="L1165">
        <f t="shared" si="72"/>
        <v>20</v>
      </c>
      <c r="M1165">
        <f t="shared" si="73"/>
        <v>240</v>
      </c>
      <c r="N1165">
        <f t="shared" si="74"/>
        <v>174</v>
      </c>
      <c r="O1165">
        <f t="shared" si="75"/>
        <v>2031.5</v>
      </c>
    </row>
    <row r="1166" spans="1:15" x14ac:dyDescent="0.2">
      <c r="A1166" t="s">
        <v>19</v>
      </c>
      <c r="B1166">
        <v>9</v>
      </c>
      <c r="C1166">
        <v>45</v>
      </c>
      <c r="D1166">
        <v>66</v>
      </c>
      <c r="E1166">
        <v>1</v>
      </c>
      <c r="F1166">
        <v>44</v>
      </c>
      <c r="G1166">
        <v>2011201</v>
      </c>
      <c r="H1166">
        <v>0</v>
      </c>
      <c r="I1166">
        <v>1</v>
      </c>
      <c r="J1166">
        <v>1</v>
      </c>
      <c r="K1166">
        <v>0</v>
      </c>
      <c r="L1166">
        <f t="shared" si="72"/>
        <v>20</v>
      </c>
      <c r="M1166">
        <f t="shared" si="73"/>
        <v>240</v>
      </c>
      <c r="N1166">
        <f t="shared" si="74"/>
        <v>174</v>
      </c>
      <c r="O1166">
        <f t="shared" si="75"/>
        <v>2031.5</v>
      </c>
    </row>
    <row r="1167" spans="1:15" x14ac:dyDescent="0.2">
      <c r="A1167" t="s">
        <v>19</v>
      </c>
      <c r="B1167">
        <v>9</v>
      </c>
      <c r="C1167">
        <v>45</v>
      </c>
      <c r="D1167">
        <v>75</v>
      </c>
      <c r="E1167">
        <v>1</v>
      </c>
      <c r="F1167">
        <v>45</v>
      </c>
      <c r="G1167">
        <v>1980601</v>
      </c>
      <c r="H1167">
        <v>1</v>
      </c>
      <c r="I1167">
        <v>0</v>
      </c>
      <c r="J1167">
        <v>1</v>
      </c>
      <c r="K1167">
        <v>0</v>
      </c>
      <c r="L1167">
        <f t="shared" si="72"/>
        <v>20</v>
      </c>
      <c r="M1167">
        <f t="shared" si="73"/>
        <v>240</v>
      </c>
      <c r="N1167">
        <f t="shared" si="74"/>
        <v>165</v>
      </c>
      <c r="O1167">
        <f t="shared" si="75"/>
        <v>2030.75</v>
      </c>
    </row>
    <row r="1168" spans="1:15" x14ac:dyDescent="0.2">
      <c r="A1168" t="s">
        <v>19</v>
      </c>
      <c r="B1168">
        <v>9</v>
      </c>
      <c r="C1168">
        <v>45</v>
      </c>
      <c r="D1168">
        <v>78</v>
      </c>
      <c r="E1168">
        <v>2</v>
      </c>
      <c r="F1168">
        <v>45</v>
      </c>
      <c r="G1168">
        <v>1971801</v>
      </c>
      <c r="H1168">
        <v>1</v>
      </c>
      <c r="I1168">
        <v>0</v>
      </c>
      <c r="J1168">
        <v>1</v>
      </c>
      <c r="K1168">
        <v>0</v>
      </c>
      <c r="L1168">
        <f t="shared" si="72"/>
        <v>20</v>
      </c>
      <c r="M1168">
        <f t="shared" si="73"/>
        <v>240</v>
      </c>
      <c r="N1168">
        <f t="shared" si="74"/>
        <v>162</v>
      </c>
      <c r="O1168">
        <f t="shared" si="75"/>
        <v>2030.5</v>
      </c>
    </row>
    <row r="1169" spans="1:15" x14ac:dyDescent="0.2">
      <c r="A1169" t="s">
        <v>19</v>
      </c>
      <c r="B1169">
        <v>9</v>
      </c>
      <c r="C1169">
        <v>45</v>
      </c>
      <c r="D1169">
        <v>93</v>
      </c>
      <c r="E1169">
        <v>1</v>
      </c>
      <c r="F1169">
        <v>44</v>
      </c>
      <c r="G1169">
        <v>1904201</v>
      </c>
      <c r="H1169">
        <v>0</v>
      </c>
      <c r="I1169">
        <v>1</v>
      </c>
      <c r="J1169">
        <v>1</v>
      </c>
      <c r="K1169">
        <v>0</v>
      </c>
      <c r="L1169">
        <f t="shared" si="72"/>
        <v>20</v>
      </c>
      <c r="M1169">
        <f t="shared" si="73"/>
        <v>240</v>
      </c>
      <c r="N1169">
        <f t="shared" si="74"/>
        <v>147</v>
      </c>
      <c r="O1169">
        <f t="shared" si="75"/>
        <v>2029.25</v>
      </c>
    </row>
    <row r="1170" spans="1:15" x14ac:dyDescent="0.2">
      <c r="A1170" t="s">
        <v>19</v>
      </c>
      <c r="B1170">
        <v>9</v>
      </c>
      <c r="C1170">
        <v>45</v>
      </c>
      <c r="D1170">
        <v>99</v>
      </c>
      <c r="E1170">
        <v>1</v>
      </c>
      <c r="F1170">
        <v>44</v>
      </c>
      <c r="G1170">
        <v>1848901</v>
      </c>
      <c r="H1170">
        <v>0</v>
      </c>
      <c r="I1170">
        <v>1</v>
      </c>
      <c r="J1170">
        <v>1</v>
      </c>
      <c r="K1170">
        <v>0</v>
      </c>
      <c r="L1170">
        <f t="shared" si="72"/>
        <v>20</v>
      </c>
      <c r="M1170">
        <f t="shared" si="73"/>
        <v>240</v>
      </c>
      <c r="N1170">
        <f t="shared" si="74"/>
        <v>141</v>
      </c>
      <c r="O1170">
        <f t="shared" si="75"/>
        <v>2028.75</v>
      </c>
    </row>
    <row r="1171" spans="1:15" x14ac:dyDescent="0.2">
      <c r="A1171" t="s">
        <v>19</v>
      </c>
      <c r="B1171">
        <v>9</v>
      </c>
      <c r="C1171">
        <v>45</v>
      </c>
      <c r="D1171">
        <v>99</v>
      </c>
      <c r="E1171">
        <v>1</v>
      </c>
      <c r="F1171">
        <v>45</v>
      </c>
      <c r="G1171">
        <v>1842302</v>
      </c>
      <c r="H1171">
        <v>0</v>
      </c>
      <c r="I1171">
        <v>1</v>
      </c>
      <c r="J1171">
        <v>1</v>
      </c>
      <c r="K1171">
        <v>0</v>
      </c>
      <c r="L1171">
        <f t="shared" si="72"/>
        <v>20</v>
      </c>
      <c r="M1171">
        <f t="shared" si="73"/>
        <v>240</v>
      </c>
      <c r="N1171">
        <f t="shared" si="74"/>
        <v>141</v>
      </c>
      <c r="O1171">
        <f t="shared" si="75"/>
        <v>2028.75</v>
      </c>
    </row>
    <row r="1172" spans="1:15" x14ac:dyDescent="0.2">
      <c r="A1172" t="s">
        <v>19</v>
      </c>
      <c r="B1172">
        <v>9</v>
      </c>
      <c r="C1172">
        <v>45</v>
      </c>
      <c r="D1172">
        <v>108</v>
      </c>
      <c r="E1172">
        <v>1</v>
      </c>
      <c r="F1172">
        <v>44</v>
      </c>
      <c r="G1172">
        <v>1743201</v>
      </c>
      <c r="H1172">
        <v>0</v>
      </c>
      <c r="I1172">
        <v>1</v>
      </c>
      <c r="J1172">
        <v>1</v>
      </c>
      <c r="K1172">
        <v>0</v>
      </c>
      <c r="L1172">
        <f t="shared" si="72"/>
        <v>20</v>
      </c>
      <c r="M1172">
        <f t="shared" si="73"/>
        <v>240</v>
      </c>
      <c r="N1172">
        <f t="shared" si="74"/>
        <v>132</v>
      </c>
      <c r="O1172">
        <f t="shared" si="75"/>
        <v>2028</v>
      </c>
    </row>
    <row r="1173" spans="1:15" x14ac:dyDescent="0.2">
      <c r="A1173" t="s">
        <v>19</v>
      </c>
      <c r="B1173">
        <v>9</v>
      </c>
      <c r="C1173">
        <v>45</v>
      </c>
      <c r="D1173">
        <v>109</v>
      </c>
      <c r="E1173">
        <v>1</v>
      </c>
      <c r="F1173">
        <v>43</v>
      </c>
      <c r="G1173">
        <v>1729001</v>
      </c>
      <c r="H1173">
        <v>1</v>
      </c>
      <c r="I1173">
        <v>0</v>
      </c>
      <c r="J1173">
        <v>1</v>
      </c>
      <c r="K1173">
        <v>0</v>
      </c>
      <c r="L1173">
        <f t="shared" si="72"/>
        <v>20</v>
      </c>
      <c r="M1173">
        <f t="shared" si="73"/>
        <v>240</v>
      </c>
      <c r="N1173">
        <f t="shared" si="74"/>
        <v>131</v>
      </c>
      <c r="O1173">
        <f t="shared" si="75"/>
        <v>2027.9166666666667</v>
      </c>
    </row>
    <row r="1174" spans="1:15" x14ac:dyDescent="0.2">
      <c r="A1174" t="s">
        <v>19</v>
      </c>
      <c r="B1174">
        <v>9</v>
      </c>
      <c r="C1174">
        <v>45</v>
      </c>
      <c r="D1174">
        <v>110</v>
      </c>
      <c r="E1174">
        <v>2</v>
      </c>
      <c r="F1174">
        <v>41</v>
      </c>
      <c r="G1174">
        <v>1721701</v>
      </c>
      <c r="H1174">
        <v>0</v>
      </c>
      <c r="I1174">
        <v>1</v>
      </c>
      <c r="J1174">
        <v>1</v>
      </c>
      <c r="K1174">
        <v>0</v>
      </c>
      <c r="L1174">
        <f t="shared" si="72"/>
        <v>20</v>
      </c>
      <c r="M1174">
        <f t="shared" si="73"/>
        <v>240</v>
      </c>
      <c r="N1174">
        <f t="shared" si="74"/>
        <v>130</v>
      </c>
      <c r="O1174">
        <f t="shared" si="75"/>
        <v>2027.8333333333333</v>
      </c>
    </row>
    <row r="1175" spans="1:15" x14ac:dyDescent="0.2">
      <c r="A1175" t="s">
        <v>19</v>
      </c>
      <c r="B1175">
        <v>9</v>
      </c>
      <c r="C1175">
        <v>45</v>
      </c>
      <c r="D1175">
        <v>115</v>
      </c>
      <c r="E1175">
        <v>1</v>
      </c>
      <c r="F1175">
        <v>40</v>
      </c>
      <c r="G1175">
        <v>1662401</v>
      </c>
      <c r="H1175">
        <v>0</v>
      </c>
      <c r="I1175">
        <v>1</v>
      </c>
      <c r="J1175">
        <v>1</v>
      </c>
      <c r="K1175">
        <v>0</v>
      </c>
      <c r="L1175">
        <f t="shared" si="72"/>
        <v>20</v>
      </c>
      <c r="M1175">
        <f t="shared" si="73"/>
        <v>240</v>
      </c>
      <c r="N1175">
        <f t="shared" si="74"/>
        <v>125</v>
      </c>
      <c r="O1175">
        <f t="shared" si="75"/>
        <v>2027.4166666666667</v>
      </c>
    </row>
    <row r="1176" spans="1:15" x14ac:dyDescent="0.2">
      <c r="A1176" t="s">
        <v>19</v>
      </c>
      <c r="B1176">
        <v>9</v>
      </c>
      <c r="C1176">
        <v>45</v>
      </c>
      <c r="D1176">
        <v>115</v>
      </c>
      <c r="E1176">
        <v>2</v>
      </c>
      <c r="F1176">
        <v>43</v>
      </c>
      <c r="G1176">
        <v>1667701</v>
      </c>
      <c r="H1176">
        <v>0</v>
      </c>
      <c r="I1176">
        <v>1</v>
      </c>
      <c r="J1176">
        <v>1</v>
      </c>
      <c r="K1176">
        <v>0</v>
      </c>
      <c r="L1176">
        <f t="shared" si="72"/>
        <v>20</v>
      </c>
      <c r="M1176">
        <f t="shared" si="73"/>
        <v>240</v>
      </c>
      <c r="N1176">
        <f t="shared" si="74"/>
        <v>125</v>
      </c>
      <c r="O1176">
        <f t="shared" si="75"/>
        <v>2027.4166666666667</v>
      </c>
    </row>
    <row r="1177" spans="1:15" x14ac:dyDescent="0.2">
      <c r="A1177" t="s">
        <v>19</v>
      </c>
      <c r="B1177">
        <v>9</v>
      </c>
      <c r="C1177">
        <v>45</v>
      </c>
      <c r="D1177">
        <v>119</v>
      </c>
      <c r="E1177">
        <v>1</v>
      </c>
      <c r="F1177">
        <v>41</v>
      </c>
      <c r="G1177">
        <v>1641301</v>
      </c>
      <c r="H1177">
        <v>0</v>
      </c>
      <c r="I1177">
        <v>1</v>
      </c>
      <c r="J1177">
        <v>1</v>
      </c>
      <c r="K1177">
        <v>0</v>
      </c>
      <c r="L1177">
        <f t="shared" si="72"/>
        <v>20</v>
      </c>
      <c r="M1177">
        <f t="shared" si="73"/>
        <v>240</v>
      </c>
      <c r="N1177">
        <f t="shared" si="74"/>
        <v>121</v>
      </c>
      <c r="O1177">
        <f t="shared" si="75"/>
        <v>2027.0833333333333</v>
      </c>
    </row>
    <row r="1178" spans="1:15" x14ac:dyDescent="0.2">
      <c r="A1178" t="s">
        <v>19</v>
      </c>
      <c r="B1178">
        <v>9</v>
      </c>
      <c r="C1178">
        <v>45</v>
      </c>
      <c r="D1178">
        <v>126</v>
      </c>
      <c r="E1178">
        <v>1</v>
      </c>
      <c r="F1178">
        <v>41</v>
      </c>
      <c r="G1178">
        <v>1615901</v>
      </c>
      <c r="H1178">
        <v>1</v>
      </c>
      <c r="I1178">
        <v>0</v>
      </c>
      <c r="J1178">
        <v>1</v>
      </c>
      <c r="K1178">
        <v>0</v>
      </c>
      <c r="L1178">
        <f t="shared" si="72"/>
        <v>20</v>
      </c>
      <c r="M1178">
        <f t="shared" si="73"/>
        <v>240</v>
      </c>
      <c r="N1178">
        <f t="shared" si="74"/>
        <v>114</v>
      </c>
      <c r="O1178">
        <f t="shared" si="75"/>
        <v>2026.5</v>
      </c>
    </row>
    <row r="1179" spans="1:15" x14ac:dyDescent="0.2">
      <c r="A1179" t="s">
        <v>19</v>
      </c>
      <c r="B1179">
        <v>9</v>
      </c>
      <c r="C1179">
        <v>45</v>
      </c>
      <c r="D1179">
        <v>144</v>
      </c>
      <c r="E1179">
        <v>1</v>
      </c>
      <c r="F1179">
        <v>44</v>
      </c>
      <c r="G1179">
        <v>87002</v>
      </c>
      <c r="H1179">
        <v>0</v>
      </c>
      <c r="I1179">
        <v>1</v>
      </c>
      <c r="J1179">
        <v>1</v>
      </c>
      <c r="K1179">
        <v>0</v>
      </c>
      <c r="L1179">
        <f t="shared" si="72"/>
        <v>20</v>
      </c>
      <c r="M1179">
        <f t="shared" si="73"/>
        <v>240</v>
      </c>
      <c r="N1179">
        <f t="shared" si="74"/>
        <v>96</v>
      </c>
      <c r="O1179">
        <f t="shared" si="75"/>
        <v>2025</v>
      </c>
    </row>
    <row r="1180" spans="1:15" x14ac:dyDescent="0.2">
      <c r="A1180" t="s">
        <v>19</v>
      </c>
      <c r="B1180">
        <v>9</v>
      </c>
      <c r="C1180">
        <v>45</v>
      </c>
      <c r="D1180">
        <v>145</v>
      </c>
      <c r="E1180">
        <v>2</v>
      </c>
      <c r="F1180">
        <v>41</v>
      </c>
      <c r="G1180">
        <v>1088201</v>
      </c>
      <c r="H1180">
        <v>0</v>
      </c>
      <c r="I1180">
        <v>1</v>
      </c>
      <c r="J1180">
        <v>1</v>
      </c>
      <c r="K1180">
        <v>0</v>
      </c>
      <c r="L1180">
        <f t="shared" si="72"/>
        <v>20</v>
      </c>
      <c r="M1180">
        <f t="shared" si="73"/>
        <v>240</v>
      </c>
      <c r="N1180">
        <f t="shared" si="74"/>
        <v>95</v>
      </c>
      <c r="O1180">
        <f t="shared" si="75"/>
        <v>2024.9166666666667</v>
      </c>
    </row>
    <row r="1181" spans="1:15" x14ac:dyDescent="0.2">
      <c r="A1181" t="s">
        <v>19</v>
      </c>
      <c r="B1181">
        <v>9</v>
      </c>
      <c r="C1181">
        <v>45</v>
      </c>
      <c r="D1181">
        <v>147</v>
      </c>
      <c r="E1181">
        <v>1</v>
      </c>
      <c r="F1181">
        <v>39</v>
      </c>
      <c r="G1181">
        <v>1073201</v>
      </c>
      <c r="H1181">
        <v>0</v>
      </c>
      <c r="I1181">
        <v>1</v>
      </c>
      <c r="J1181">
        <v>1</v>
      </c>
      <c r="K1181">
        <v>0</v>
      </c>
      <c r="L1181">
        <f t="shared" si="72"/>
        <v>20</v>
      </c>
      <c r="M1181">
        <f t="shared" si="73"/>
        <v>240</v>
      </c>
      <c r="N1181">
        <f t="shared" si="74"/>
        <v>93</v>
      </c>
      <c r="O1181">
        <f t="shared" si="75"/>
        <v>2024.75</v>
      </c>
    </row>
    <row r="1182" spans="1:15" x14ac:dyDescent="0.2">
      <c r="A1182" t="s">
        <v>19</v>
      </c>
      <c r="B1182">
        <v>9</v>
      </c>
      <c r="C1182">
        <v>45</v>
      </c>
      <c r="D1182">
        <v>151</v>
      </c>
      <c r="E1182">
        <v>2</v>
      </c>
      <c r="F1182">
        <v>45</v>
      </c>
      <c r="G1182">
        <v>1040101</v>
      </c>
      <c r="H1182">
        <v>0</v>
      </c>
      <c r="I1182">
        <v>1</v>
      </c>
      <c r="J1182">
        <v>1</v>
      </c>
      <c r="K1182">
        <v>0</v>
      </c>
      <c r="L1182">
        <f t="shared" si="72"/>
        <v>20</v>
      </c>
      <c r="M1182">
        <f t="shared" si="73"/>
        <v>240</v>
      </c>
      <c r="N1182">
        <f t="shared" si="74"/>
        <v>89</v>
      </c>
      <c r="O1182">
        <f t="shared" si="75"/>
        <v>2024.4166666666667</v>
      </c>
    </row>
    <row r="1183" spans="1:15" x14ac:dyDescent="0.2">
      <c r="A1183" t="s">
        <v>19</v>
      </c>
      <c r="B1183">
        <v>9</v>
      </c>
      <c r="C1183">
        <v>45</v>
      </c>
      <c r="D1183">
        <v>155</v>
      </c>
      <c r="E1183">
        <v>1</v>
      </c>
      <c r="F1183">
        <v>37</v>
      </c>
      <c r="G1183">
        <v>1008101</v>
      </c>
      <c r="H1183">
        <v>0</v>
      </c>
      <c r="I1183">
        <v>1</v>
      </c>
      <c r="J1183">
        <v>1</v>
      </c>
      <c r="K1183">
        <v>0</v>
      </c>
      <c r="L1183">
        <f t="shared" si="72"/>
        <v>20</v>
      </c>
      <c r="M1183">
        <f t="shared" si="73"/>
        <v>240</v>
      </c>
      <c r="N1183">
        <f t="shared" si="74"/>
        <v>85</v>
      </c>
      <c r="O1183">
        <f t="shared" si="75"/>
        <v>2024.0833333333333</v>
      </c>
    </row>
    <row r="1184" spans="1:15" x14ac:dyDescent="0.2">
      <c r="A1184" t="s">
        <v>19</v>
      </c>
      <c r="B1184">
        <v>9</v>
      </c>
      <c r="C1184">
        <v>45</v>
      </c>
      <c r="D1184">
        <v>155</v>
      </c>
      <c r="E1184">
        <v>1</v>
      </c>
      <c r="F1184">
        <v>41</v>
      </c>
      <c r="G1184">
        <v>361603</v>
      </c>
      <c r="H1184">
        <v>0</v>
      </c>
      <c r="I1184">
        <v>1</v>
      </c>
      <c r="J1184">
        <v>1</v>
      </c>
      <c r="K1184">
        <v>0</v>
      </c>
      <c r="L1184">
        <f t="shared" si="72"/>
        <v>20</v>
      </c>
      <c r="M1184">
        <f t="shared" si="73"/>
        <v>240</v>
      </c>
      <c r="N1184">
        <f t="shared" si="74"/>
        <v>85</v>
      </c>
      <c r="O1184">
        <f t="shared" si="75"/>
        <v>2024.0833333333333</v>
      </c>
    </row>
    <row r="1185" spans="1:15" x14ac:dyDescent="0.2">
      <c r="A1185" t="s">
        <v>19</v>
      </c>
      <c r="B1185">
        <v>9</v>
      </c>
      <c r="C1185">
        <v>45</v>
      </c>
      <c r="D1185">
        <v>157</v>
      </c>
      <c r="E1185">
        <v>1</v>
      </c>
      <c r="F1185">
        <v>36</v>
      </c>
      <c r="G1185">
        <v>999501</v>
      </c>
      <c r="H1185">
        <v>0</v>
      </c>
      <c r="I1185">
        <v>1</v>
      </c>
      <c r="J1185">
        <v>1</v>
      </c>
      <c r="K1185">
        <v>0</v>
      </c>
      <c r="L1185">
        <f t="shared" si="72"/>
        <v>20</v>
      </c>
      <c r="M1185">
        <f t="shared" si="73"/>
        <v>240</v>
      </c>
      <c r="N1185">
        <f t="shared" si="74"/>
        <v>83</v>
      </c>
      <c r="O1185">
        <f t="shared" si="75"/>
        <v>2023.9166666666667</v>
      </c>
    </row>
    <row r="1186" spans="1:15" x14ac:dyDescent="0.2">
      <c r="A1186" t="s">
        <v>19</v>
      </c>
      <c r="B1186">
        <v>9</v>
      </c>
      <c r="C1186">
        <v>45</v>
      </c>
      <c r="D1186">
        <v>178</v>
      </c>
      <c r="E1186">
        <v>1</v>
      </c>
      <c r="F1186">
        <v>42</v>
      </c>
      <c r="G1186">
        <v>895601</v>
      </c>
      <c r="H1186">
        <v>0</v>
      </c>
      <c r="I1186">
        <v>1</v>
      </c>
      <c r="J1186">
        <v>1</v>
      </c>
      <c r="K1186">
        <v>0</v>
      </c>
      <c r="L1186">
        <f t="shared" si="72"/>
        <v>20</v>
      </c>
      <c r="M1186">
        <f t="shared" si="73"/>
        <v>240</v>
      </c>
      <c r="N1186">
        <f t="shared" si="74"/>
        <v>62</v>
      </c>
      <c r="O1186">
        <f t="shared" si="75"/>
        <v>2022.1666666666667</v>
      </c>
    </row>
    <row r="1187" spans="1:15" x14ac:dyDescent="0.2">
      <c r="A1187" t="s">
        <v>19</v>
      </c>
      <c r="B1187">
        <v>9</v>
      </c>
      <c r="C1187">
        <v>45</v>
      </c>
      <c r="D1187">
        <v>184</v>
      </c>
      <c r="E1187">
        <v>2</v>
      </c>
      <c r="F1187">
        <v>42</v>
      </c>
      <c r="G1187">
        <v>892001</v>
      </c>
      <c r="H1187">
        <v>0</v>
      </c>
      <c r="I1187">
        <v>1</v>
      </c>
      <c r="J1187">
        <v>1</v>
      </c>
      <c r="K1187">
        <v>0</v>
      </c>
      <c r="L1187">
        <f t="shared" si="72"/>
        <v>20</v>
      </c>
      <c r="M1187">
        <f t="shared" si="73"/>
        <v>240</v>
      </c>
      <c r="N1187">
        <f t="shared" si="74"/>
        <v>56</v>
      </c>
      <c r="O1187">
        <f t="shared" si="75"/>
        <v>2021.6666666666667</v>
      </c>
    </row>
    <row r="1188" spans="1:15" x14ac:dyDescent="0.2">
      <c r="A1188" t="s">
        <v>19</v>
      </c>
      <c r="B1188">
        <v>9</v>
      </c>
      <c r="C1188">
        <v>45</v>
      </c>
      <c r="D1188">
        <v>189</v>
      </c>
      <c r="E1188">
        <v>1</v>
      </c>
      <c r="F1188">
        <v>41</v>
      </c>
      <c r="G1188">
        <v>869901</v>
      </c>
      <c r="H1188">
        <v>0</v>
      </c>
      <c r="I1188">
        <v>1</v>
      </c>
      <c r="J1188">
        <v>1</v>
      </c>
      <c r="K1188">
        <v>0</v>
      </c>
      <c r="L1188">
        <f t="shared" si="72"/>
        <v>20</v>
      </c>
      <c r="M1188">
        <f t="shared" si="73"/>
        <v>240</v>
      </c>
      <c r="N1188">
        <f t="shared" si="74"/>
        <v>51</v>
      </c>
      <c r="O1188">
        <f t="shared" si="75"/>
        <v>2021.25</v>
      </c>
    </row>
    <row r="1189" spans="1:15" x14ac:dyDescent="0.2">
      <c r="A1189" t="s">
        <v>19</v>
      </c>
      <c r="B1189">
        <v>9</v>
      </c>
      <c r="C1189">
        <v>45</v>
      </c>
      <c r="D1189">
        <v>189</v>
      </c>
      <c r="E1189">
        <v>1</v>
      </c>
      <c r="F1189">
        <v>43</v>
      </c>
      <c r="G1189">
        <v>769502</v>
      </c>
      <c r="H1189">
        <v>0</v>
      </c>
      <c r="I1189">
        <v>1</v>
      </c>
      <c r="J1189">
        <v>1</v>
      </c>
      <c r="K1189">
        <v>0</v>
      </c>
      <c r="L1189">
        <f t="shared" si="72"/>
        <v>20</v>
      </c>
      <c r="M1189">
        <f t="shared" si="73"/>
        <v>240</v>
      </c>
      <c r="N1189">
        <f t="shared" si="74"/>
        <v>51</v>
      </c>
      <c r="O1189">
        <f t="shared" si="75"/>
        <v>2021.25</v>
      </c>
    </row>
    <row r="1190" spans="1:15" x14ac:dyDescent="0.2">
      <c r="A1190" t="s">
        <v>19</v>
      </c>
      <c r="B1190">
        <v>9</v>
      </c>
      <c r="C1190">
        <v>45</v>
      </c>
      <c r="D1190">
        <v>189</v>
      </c>
      <c r="E1190">
        <v>12</v>
      </c>
      <c r="F1190">
        <v>41</v>
      </c>
      <c r="G1190">
        <v>867701</v>
      </c>
      <c r="H1190">
        <v>0</v>
      </c>
      <c r="I1190">
        <v>1</v>
      </c>
      <c r="J1190">
        <v>1</v>
      </c>
      <c r="K1190">
        <v>0</v>
      </c>
      <c r="L1190">
        <f t="shared" si="72"/>
        <v>20</v>
      </c>
      <c r="M1190">
        <f t="shared" si="73"/>
        <v>240</v>
      </c>
      <c r="N1190">
        <f t="shared" si="74"/>
        <v>51</v>
      </c>
      <c r="O1190">
        <f t="shared" si="75"/>
        <v>2021.25</v>
      </c>
    </row>
    <row r="1191" spans="1:15" x14ac:dyDescent="0.2">
      <c r="A1191" t="s">
        <v>19</v>
      </c>
      <c r="B1191">
        <v>9</v>
      </c>
      <c r="C1191">
        <v>45</v>
      </c>
      <c r="D1191">
        <v>193</v>
      </c>
      <c r="E1191">
        <v>2</v>
      </c>
      <c r="F1191">
        <v>36</v>
      </c>
      <c r="G1191">
        <v>843802</v>
      </c>
      <c r="H1191">
        <v>0</v>
      </c>
      <c r="I1191">
        <v>1</v>
      </c>
      <c r="J1191">
        <v>1</v>
      </c>
      <c r="K1191">
        <v>0</v>
      </c>
      <c r="L1191">
        <f t="shared" si="72"/>
        <v>20</v>
      </c>
      <c r="M1191">
        <f t="shared" si="73"/>
        <v>240</v>
      </c>
      <c r="N1191">
        <f t="shared" si="74"/>
        <v>47</v>
      </c>
      <c r="O1191">
        <f t="shared" si="75"/>
        <v>2020.9166666666667</v>
      </c>
    </row>
    <row r="1192" spans="1:15" x14ac:dyDescent="0.2">
      <c r="A1192" t="s">
        <v>19</v>
      </c>
      <c r="B1192">
        <v>9</v>
      </c>
      <c r="C1192">
        <v>45</v>
      </c>
      <c r="D1192">
        <v>198</v>
      </c>
      <c r="E1192">
        <v>1</v>
      </c>
      <c r="F1192">
        <v>44</v>
      </c>
      <c r="G1192">
        <v>818001</v>
      </c>
      <c r="H1192">
        <v>1</v>
      </c>
      <c r="I1192">
        <v>0</v>
      </c>
      <c r="J1192">
        <v>1</v>
      </c>
      <c r="K1192">
        <v>0</v>
      </c>
      <c r="L1192">
        <f t="shared" si="72"/>
        <v>20</v>
      </c>
      <c r="M1192">
        <f t="shared" si="73"/>
        <v>240</v>
      </c>
      <c r="N1192">
        <f t="shared" si="74"/>
        <v>42</v>
      </c>
      <c r="O1192">
        <f t="shared" si="75"/>
        <v>2020.5</v>
      </c>
    </row>
    <row r="1193" spans="1:15" x14ac:dyDescent="0.2">
      <c r="A1193" t="s">
        <v>19</v>
      </c>
      <c r="B1193">
        <v>9</v>
      </c>
      <c r="C1193">
        <v>45</v>
      </c>
      <c r="D1193">
        <v>199</v>
      </c>
      <c r="E1193">
        <v>1</v>
      </c>
      <c r="F1193">
        <v>40</v>
      </c>
      <c r="G1193">
        <v>808501</v>
      </c>
      <c r="H1193">
        <v>0</v>
      </c>
      <c r="I1193">
        <v>1</v>
      </c>
      <c r="J1193">
        <v>1</v>
      </c>
      <c r="K1193">
        <v>0</v>
      </c>
      <c r="L1193">
        <f t="shared" si="72"/>
        <v>20</v>
      </c>
      <c r="M1193">
        <f t="shared" si="73"/>
        <v>240</v>
      </c>
      <c r="N1193">
        <f t="shared" si="74"/>
        <v>41</v>
      </c>
      <c r="O1193">
        <f t="shared" si="75"/>
        <v>2020.4166666666667</v>
      </c>
    </row>
    <row r="1194" spans="1:15" x14ac:dyDescent="0.2">
      <c r="A1194" t="s">
        <v>19</v>
      </c>
      <c r="B1194">
        <v>9</v>
      </c>
      <c r="C1194">
        <v>45</v>
      </c>
      <c r="D1194">
        <v>201</v>
      </c>
      <c r="E1194">
        <v>1</v>
      </c>
      <c r="F1194">
        <v>44</v>
      </c>
      <c r="G1194">
        <v>787201</v>
      </c>
      <c r="H1194">
        <v>0</v>
      </c>
      <c r="I1194">
        <v>1</v>
      </c>
      <c r="J1194">
        <v>1</v>
      </c>
      <c r="K1194">
        <v>0</v>
      </c>
      <c r="L1194">
        <f t="shared" si="72"/>
        <v>20</v>
      </c>
      <c r="M1194">
        <f t="shared" si="73"/>
        <v>240</v>
      </c>
      <c r="N1194">
        <f t="shared" si="74"/>
        <v>39</v>
      </c>
      <c r="O1194">
        <f t="shared" si="75"/>
        <v>2020.25</v>
      </c>
    </row>
    <row r="1195" spans="1:15" x14ac:dyDescent="0.2">
      <c r="A1195" t="s">
        <v>19</v>
      </c>
      <c r="B1195">
        <v>9</v>
      </c>
      <c r="C1195">
        <v>45</v>
      </c>
      <c r="D1195">
        <v>202</v>
      </c>
      <c r="E1195">
        <v>1</v>
      </c>
      <c r="F1195">
        <v>42</v>
      </c>
      <c r="G1195">
        <v>190303</v>
      </c>
      <c r="H1195">
        <v>0</v>
      </c>
      <c r="I1195">
        <v>1</v>
      </c>
      <c r="J1195">
        <v>1</v>
      </c>
      <c r="K1195">
        <v>0</v>
      </c>
      <c r="L1195">
        <f t="shared" si="72"/>
        <v>20</v>
      </c>
      <c r="M1195">
        <f t="shared" si="73"/>
        <v>240</v>
      </c>
      <c r="N1195">
        <f t="shared" si="74"/>
        <v>38</v>
      </c>
      <c r="O1195">
        <f t="shared" si="75"/>
        <v>2020.1666666666667</v>
      </c>
    </row>
    <row r="1196" spans="1:15" x14ac:dyDescent="0.2">
      <c r="A1196" t="s">
        <v>19</v>
      </c>
      <c r="B1196">
        <v>9</v>
      </c>
      <c r="C1196">
        <v>45</v>
      </c>
      <c r="D1196">
        <v>204</v>
      </c>
      <c r="E1196">
        <v>1</v>
      </c>
      <c r="F1196">
        <v>40</v>
      </c>
      <c r="G1196">
        <v>744401</v>
      </c>
      <c r="H1196">
        <v>0</v>
      </c>
      <c r="I1196">
        <v>1</v>
      </c>
      <c r="J1196">
        <v>1</v>
      </c>
      <c r="K1196">
        <v>0</v>
      </c>
      <c r="L1196">
        <f t="shared" si="72"/>
        <v>20</v>
      </c>
      <c r="M1196">
        <f t="shared" si="73"/>
        <v>240</v>
      </c>
      <c r="N1196">
        <f t="shared" si="74"/>
        <v>36</v>
      </c>
      <c r="O1196">
        <f t="shared" si="75"/>
        <v>2020</v>
      </c>
    </row>
    <row r="1197" spans="1:15" x14ac:dyDescent="0.2">
      <c r="A1197" t="s">
        <v>19</v>
      </c>
      <c r="B1197">
        <v>9</v>
      </c>
      <c r="C1197">
        <v>45</v>
      </c>
      <c r="D1197">
        <v>206</v>
      </c>
      <c r="E1197">
        <v>1</v>
      </c>
      <c r="F1197">
        <v>44</v>
      </c>
      <c r="G1197">
        <v>712001</v>
      </c>
      <c r="H1197">
        <v>0</v>
      </c>
      <c r="I1197">
        <v>1</v>
      </c>
      <c r="J1197">
        <v>1</v>
      </c>
      <c r="K1197">
        <v>0</v>
      </c>
      <c r="L1197">
        <f t="shared" si="72"/>
        <v>20</v>
      </c>
      <c r="M1197">
        <f t="shared" si="73"/>
        <v>240</v>
      </c>
      <c r="N1197">
        <f t="shared" si="74"/>
        <v>34</v>
      </c>
      <c r="O1197">
        <f t="shared" si="75"/>
        <v>2019.8333333333333</v>
      </c>
    </row>
    <row r="1198" spans="1:15" x14ac:dyDescent="0.2">
      <c r="A1198" t="s">
        <v>19</v>
      </c>
      <c r="B1198">
        <v>9</v>
      </c>
      <c r="C1198">
        <v>45</v>
      </c>
      <c r="D1198">
        <v>206</v>
      </c>
      <c r="E1198">
        <v>2</v>
      </c>
      <c r="F1198">
        <v>41</v>
      </c>
      <c r="G1198">
        <v>708401</v>
      </c>
      <c r="H1198">
        <v>0</v>
      </c>
      <c r="I1198">
        <v>1</v>
      </c>
      <c r="J1198">
        <v>1</v>
      </c>
      <c r="K1198">
        <v>0</v>
      </c>
      <c r="L1198">
        <f t="shared" si="72"/>
        <v>20</v>
      </c>
      <c r="M1198">
        <f t="shared" si="73"/>
        <v>240</v>
      </c>
      <c r="N1198">
        <f t="shared" si="74"/>
        <v>34</v>
      </c>
      <c r="O1198">
        <f t="shared" si="75"/>
        <v>2019.8333333333333</v>
      </c>
    </row>
    <row r="1199" spans="1:15" x14ac:dyDescent="0.2">
      <c r="A1199" t="s">
        <v>19</v>
      </c>
      <c r="B1199">
        <v>9</v>
      </c>
      <c r="C1199">
        <v>45</v>
      </c>
      <c r="D1199">
        <v>211</v>
      </c>
      <c r="E1199">
        <v>1</v>
      </c>
      <c r="F1199">
        <v>41</v>
      </c>
      <c r="G1199">
        <v>626401</v>
      </c>
      <c r="H1199">
        <v>0</v>
      </c>
      <c r="I1199">
        <v>1</v>
      </c>
      <c r="J1199">
        <v>1</v>
      </c>
      <c r="K1199">
        <v>0</v>
      </c>
      <c r="L1199">
        <f t="shared" si="72"/>
        <v>20</v>
      </c>
      <c r="M1199">
        <f t="shared" si="73"/>
        <v>240</v>
      </c>
      <c r="N1199">
        <f t="shared" si="74"/>
        <v>29</v>
      </c>
      <c r="O1199">
        <f t="shared" si="75"/>
        <v>2019.4166666666667</v>
      </c>
    </row>
    <row r="1200" spans="1:15" x14ac:dyDescent="0.2">
      <c r="A1200" t="s">
        <v>19</v>
      </c>
      <c r="B1200">
        <v>9</v>
      </c>
      <c r="C1200">
        <v>45</v>
      </c>
      <c r="D1200">
        <v>212</v>
      </c>
      <c r="E1200">
        <v>1</v>
      </c>
      <c r="F1200">
        <v>41</v>
      </c>
      <c r="G1200">
        <v>631301</v>
      </c>
      <c r="H1200">
        <v>0</v>
      </c>
      <c r="I1200">
        <v>1</v>
      </c>
      <c r="J1200">
        <v>1</v>
      </c>
      <c r="K1200">
        <v>0</v>
      </c>
      <c r="L1200">
        <f t="shared" si="72"/>
        <v>20</v>
      </c>
      <c r="M1200">
        <f t="shared" si="73"/>
        <v>240</v>
      </c>
      <c r="N1200">
        <f t="shared" si="74"/>
        <v>28</v>
      </c>
      <c r="O1200">
        <f t="shared" si="75"/>
        <v>2019.3333333333333</v>
      </c>
    </row>
    <row r="1201" spans="1:15" x14ac:dyDescent="0.2">
      <c r="A1201" t="s">
        <v>19</v>
      </c>
      <c r="B1201">
        <v>9</v>
      </c>
      <c r="C1201">
        <v>45</v>
      </c>
      <c r="D1201">
        <v>215</v>
      </c>
      <c r="E1201">
        <v>1</v>
      </c>
      <c r="F1201">
        <v>44</v>
      </c>
      <c r="G1201">
        <v>526302</v>
      </c>
      <c r="H1201">
        <v>1</v>
      </c>
      <c r="I1201">
        <v>0</v>
      </c>
      <c r="J1201">
        <v>1</v>
      </c>
      <c r="K1201">
        <v>0</v>
      </c>
      <c r="L1201">
        <f t="shared" si="72"/>
        <v>20</v>
      </c>
      <c r="M1201">
        <f t="shared" si="73"/>
        <v>240</v>
      </c>
      <c r="N1201">
        <f t="shared" si="74"/>
        <v>25</v>
      </c>
      <c r="O1201">
        <f t="shared" si="75"/>
        <v>2019.0833333333333</v>
      </c>
    </row>
    <row r="1202" spans="1:15" x14ac:dyDescent="0.2">
      <c r="A1202" t="s">
        <v>19</v>
      </c>
      <c r="B1202">
        <v>9</v>
      </c>
      <c r="C1202">
        <v>46</v>
      </c>
      <c r="D1202">
        <v>1</v>
      </c>
      <c r="E1202">
        <v>1</v>
      </c>
      <c r="F1202">
        <v>45</v>
      </c>
      <c r="G1202">
        <v>2414501</v>
      </c>
      <c r="H1202">
        <v>0</v>
      </c>
      <c r="I1202">
        <v>1</v>
      </c>
      <c r="J1202">
        <v>1</v>
      </c>
      <c r="K1202">
        <v>0</v>
      </c>
      <c r="L1202">
        <f t="shared" si="72"/>
        <v>19</v>
      </c>
      <c r="M1202">
        <f t="shared" si="73"/>
        <v>228</v>
      </c>
      <c r="N1202">
        <f t="shared" si="74"/>
        <v>227</v>
      </c>
      <c r="O1202">
        <f t="shared" si="75"/>
        <v>2035.9166666666667</v>
      </c>
    </row>
    <row r="1203" spans="1:15" x14ac:dyDescent="0.2">
      <c r="A1203" t="s">
        <v>19</v>
      </c>
      <c r="B1203">
        <v>9</v>
      </c>
      <c r="C1203">
        <v>46</v>
      </c>
      <c r="D1203">
        <v>1</v>
      </c>
      <c r="E1203">
        <v>12</v>
      </c>
      <c r="F1203">
        <v>41</v>
      </c>
      <c r="G1203">
        <v>2394702</v>
      </c>
      <c r="H1203">
        <v>0</v>
      </c>
      <c r="I1203">
        <v>1</v>
      </c>
      <c r="J1203">
        <v>1</v>
      </c>
      <c r="K1203">
        <v>0</v>
      </c>
      <c r="L1203">
        <f t="shared" si="72"/>
        <v>19</v>
      </c>
      <c r="M1203">
        <f t="shared" si="73"/>
        <v>228</v>
      </c>
      <c r="N1203">
        <f t="shared" si="74"/>
        <v>227</v>
      </c>
      <c r="O1203">
        <f t="shared" si="75"/>
        <v>2035.9166666666667</v>
      </c>
    </row>
    <row r="1204" spans="1:15" x14ac:dyDescent="0.2">
      <c r="A1204" t="s">
        <v>19</v>
      </c>
      <c r="B1204">
        <v>9</v>
      </c>
      <c r="C1204">
        <v>46</v>
      </c>
      <c r="D1204">
        <v>1</v>
      </c>
      <c r="E1204">
        <v>12</v>
      </c>
      <c r="F1204">
        <v>45</v>
      </c>
      <c r="G1204">
        <v>2389503</v>
      </c>
      <c r="H1204">
        <v>0</v>
      </c>
      <c r="I1204">
        <v>1</v>
      </c>
      <c r="J1204">
        <v>1</v>
      </c>
      <c r="K1204">
        <v>0</v>
      </c>
      <c r="L1204">
        <f t="shared" si="72"/>
        <v>19</v>
      </c>
      <c r="M1204">
        <f t="shared" si="73"/>
        <v>228</v>
      </c>
      <c r="N1204">
        <f t="shared" si="74"/>
        <v>227</v>
      </c>
      <c r="O1204">
        <f t="shared" si="75"/>
        <v>2035.9166666666667</v>
      </c>
    </row>
    <row r="1205" spans="1:15" x14ac:dyDescent="0.2">
      <c r="A1205" t="s">
        <v>19</v>
      </c>
      <c r="B1205">
        <v>9</v>
      </c>
      <c r="C1205">
        <v>46</v>
      </c>
      <c r="D1205">
        <v>1</v>
      </c>
      <c r="E1205">
        <v>12</v>
      </c>
      <c r="F1205">
        <v>45</v>
      </c>
      <c r="G1205">
        <v>2402802</v>
      </c>
      <c r="H1205">
        <v>0</v>
      </c>
      <c r="I1205">
        <v>1</v>
      </c>
      <c r="J1205">
        <v>1</v>
      </c>
      <c r="K1205">
        <v>0</v>
      </c>
      <c r="L1205">
        <f t="shared" si="72"/>
        <v>19</v>
      </c>
      <c r="M1205">
        <f t="shared" si="73"/>
        <v>228</v>
      </c>
      <c r="N1205">
        <f t="shared" si="74"/>
        <v>227</v>
      </c>
      <c r="O1205">
        <f t="shared" si="75"/>
        <v>2035.9166666666667</v>
      </c>
    </row>
    <row r="1206" spans="1:15" x14ac:dyDescent="0.2">
      <c r="A1206" t="s">
        <v>19</v>
      </c>
      <c r="B1206">
        <v>9</v>
      </c>
      <c r="C1206">
        <v>46</v>
      </c>
      <c r="D1206">
        <v>1</v>
      </c>
      <c r="E1206">
        <v>12</v>
      </c>
      <c r="F1206">
        <v>45</v>
      </c>
      <c r="G1206">
        <v>2403003</v>
      </c>
      <c r="H1206">
        <v>0</v>
      </c>
      <c r="I1206">
        <v>1</v>
      </c>
      <c r="J1206">
        <v>1</v>
      </c>
      <c r="K1206">
        <v>0</v>
      </c>
      <c r="L1206">
        <f t="shared" si="72"/>
        <v>19</v>
      </c>
      <c r="M1206">
        <f t="shared" si="73"/>
        <v>228</v>
      </c>
      <c r="N1206">
        <f t="shared" si="74"/>
        <v>227</v>
      </c>
      <c r="O1206">
        <f t="shared" si="75"/>
        <v>2035.9166666666667</v>
      </c>
    </row>
    <row r="1207" spans="1:15" x14ac:dyDescent="0.2">
      <c r="A1207" t="s">
        <v>19</v>
      </c>
      <c r="B1207">
        <v>9</v>
      </c>
      <c r="C1207">
        <v>46</v>
      </c>
      <c r="D1207">
        <v>2</v>
      </c>
      <c r="E1207">
        <v>12</v>
      </c>
      <c r="F1207">
        <v>45</v>
      </c>
      <c r="G1207">
        <v>2373703</v>
      </c>
      <c r="H1207">
        <v>0</v>
      </c>
      <c r="I1207">
        <v>1</v>
      </c>
      <c r="J1207">
        <v>1</v>
      </c>
      <c r="K1207">
        <v>0</v>
      </c>
      <c r="L1207">
        <f t="shared" si="72"/>
        <v>19</v>
      </c>
      <c r="M1207">
        <f t="shared" si="73"/>
        <v>228</v>
      </c>
      <c r="N1207">
        <f t="shared" si="74"/>
        <v>226</v>
      </c>
      <c r="O1207">
        <f t="shared" si="75"/>
        <v>2035.8333333333333</v>
      </c>
    </row>
    <row r="1208" spans="1:15" x14ac:dyDescent="0.2">
      <c r="A1208" t="s">
        <v>19</v>
      </c>
      <c r="B1208">
        <v>9</v>
      </c>
      <c r="C1208">
        <v>46</v>
      </c>
      <c r="D1208">
        <v>3</v>
      </c>
      <c r="E1208">
        <v>12</v>
      </c>
      <c r="F1208">
        <v>42</v>
      </c>
      <c r="G1208">
        <v>2364301</v>
      </c>
      <c r="H1208">
        <v>0</v>
      </c>
      <c r="I1208">
        <v>1</v>
      </c>
      <c r="J1208">
        <v>1</v>
      </c>
      <c r="K1208">
        <v>0</v>
      </c>
      <c r="L1208">
        <f t="shared" si="72"/>
        <v>19</v>
      </c>
      <c r="M1208">
        <f t="shared" si="73"/>
        <v>228</v>
      </c>
      <c r="N1208">
        <f t="shared" si="74"/>
        <v>225</v>
      </c>
      <c r="O1208">
        <f t="shared" si="75"/>
        <v>2035.75</v>
      </c>
    </row>
    <row r="1209" spans="1:15" x14ac:dyDescent="0.2">
      <c r="A1209" t="s">
        <v>19</v>
      </c>
      <c r="B1209">
        <v>9</v>
      </c>
      <c r="C1209">
        <v>46</v>
      </c>
      <c r="D1209">
        <v>3</v>
      </c>
      <c r="E1209">
        <v>12</v>
      </c>
      <c r="F1209">
        <v>43</v>
      </c>
      <c r="G1209">
        <v>2360903</v>
      </c>
      <c r="H1209">
        <v>0</v>
      </c>
      <c r="I1209">
        <v>1</v>
      </c>
      <c r="J1209">
        <v>1</v>
      </c>
      <c r="K1209">
        <v>0</v>
      </c>
      <c r="L1209">
        <f t="shared" si="72"/>
        <v>19</v>
      </c>
      <c r="M1209">
        <f t="shared" si="73"/>
        <v>228</v>
      </c>
      <c r="N1209">
        <f t="shared" si="74"/>
        <v>225</v>
      </c>
      <c r="O1209">
        <f t="shared" si="75"/>
        <v>2035.75</v>
      </c>
    </row>
    <row r="1210" spans="1:15" x14ac:dyDescent="0.2">
      <c r="A1210" t="s">
        <v>19</v>
      </c>
      <c r="B1210">
        <v>9</v>
      </c>
      <c r="C1210">
        <v>46</v>
      </c>
      <c r="D1210">
        <v>7</v>
      </c>
      <c r="E1210">
        <v>12</v>
      </c>
      <c r="F1210">
        <v>43</v>
      </c>
      <c r="G1210">
        <v>2320903</v>
      </c>
      <c r="H1210">
        <v>1</v>
      </c>
      <c r="I1210">
        <v>0</v>
      </c>
      <c r="J1210">
        <v>1</v>
      </c>
      <c r="K1210">
        <v>0</v>
      </c>
      <c r="L1210">
        <f t="shared" si="72"/>
        <v>19</v>
      </c>
      <c r="M1210">
        <f t="shared" si="73"/>
        <v>228</v>
      </c>
      <c r="N1210">
        <f t="shared" si="74"/>
        <v>221</v>
      </c>
      <c r="O1210">
        <f t="shared" si="75"/>
        <v>2035.4166666666667</v>
      </c>
    </row>
    <row r="1211" spans="1:15" x14ac:dyDescent="0.2">
      <c r="A1211" t="s">
        <v>19</v>
      </c>
      <c r="B1211">
        <v>9</v>
      </c>
      <c r="C1211">
        <v>46</v>
      </c>
      <c r="D1211">
        <v>7</v>
      </c>
      <c r="E1211">
        <v>12</v>
      </c>
      <c r="F1211">
        <v>43</v>
      </c>
      <c r="G1211">
        <v>2323103</v>
      </c>
      <c r="H1211">
        <v>0</v>
      </c>
      <c r="I1211">
        <v>1</v>
      </c>
      <c r="J1211">
        <v>1</v>
      </c>
      <c r="K1211">
        <v>0</v>
      </c>
      <c r="L1211">
        <f t="shared" si="72"/>
        <v>19</v>
      </c>
      <c r="M1211">
        <f t="shared" si="73"/>
        <v>228</v>
      </c>
      <c r="N1211">
        <f t="shared" si="74"/>
        <v>221</v>
      </c>
      <c r="O1211">
        <f t="shared" si="75"/>
        <v>2035.4166666666667</v>
      </c>
    </row>
    <row r="1212" spans="1:15" x14ac:dyDescent="0.2">
      <c r="A1212" t="s">
        <v>19</v>
      </c>
      <c r="B1212">
        <v>9</v>
      </c>
      <c r="C1212">
        <v>46</v>
      </c>
      <c r="D1212">
        <v>7</v>
      </c>
      <c r="E1212">
        <v>12</v>
      </c>
      <c r="F1212">
        <v>46</v>
      </c>
      <c r="G1212">
        <v>2317703</v>
      </c>
      <c r="H1212">
        <v>0</v>
      </c>
      <c r="I1212">
        <v>1</v>
      </c>
      <c r="J1212">
        <v>1</v>
      </c>
      <c r="K1212">
        <v>0</v>
      </c>
      <c r="L1212">
        <f t="shared" si="72"/>
        <v>19</v>
      </c>
      <c r="M1212">
        <f t="shared" si="73"/>
        <v>228</v>
      </c>
      <c r="N1212">
        <f t="shared" si="74"/>
        <v>221</v>
      </c>
      <c r="O1212">
        <f t="shared" si="75"/>
        <v>2035.4166666666667</v>
      </c>
    </row>
    <row r="1213" spans="1:15" x14ac:dyDescent="0.2">
      <c r="A1213" t="s">
        <v>19</v>
      </c>
      <c r="B1213">
        <v>9</v>
      </c>
      <c r="C1213">
        <v>46</v>
      </c>
      <c r="D1213">
        <v>11</v>
      </c>
      <c r="E1213">
        <v>12</v>
      </c>
      <c r="F1213">
        <v>39</v>
      </c>
      <c r="G1213">
        <v>2288103</v>
      </c>
      <c r="H1213">
        <v>0</v>
      </c>
      <c r="I1213">
        <v>1</v>
      </c>
      <c r="J1213">
        <v>1</v>
      </c>
      <c r="K1213">
        <v>0</v>
      </c>
      <c r="L1213">
        <f t="shared" si="72"/>
        <v>19</v>
      </c>
      <c r="M1213">
        <f t="shared" si="73"/>
        <v>228</v>
      </c>
      <c r="N1213">
        <f t="shared" si="74"/>
        <v>217</v>
      </c>
      <c r="O1213">
        <f t="shared" si="75"/>
        <v>2035.0833333333333</v>
      </c>
    </row>
    <row r="1214" spans="1:15" x14ac:dyDescent="0.2">
      <c r="A1214" t="s">
        <v>19</v>
      </c>
      <c r="B1214">
        <v>9</v>
      </c>
      <c r="C1214">
        <v>46</v>
      </c>
      <c r="D1214">
        <v>12</v>
      </c>
      <c r="E1214">
        <v>2</v>
      </c>
      <c r="F1214">
        <v>42</v>
      </c>
      <c r="G1214">
        <v>1711602</v>
      </c>
      <c r="H1214">
        <v>0</v>
      </c>
      <c r="I1214">
        <v>1</v>
      </c>
      <c r="J1214">
        <v>1</v>
      </c>
      <c r="K1214">
        <v>0</v>
      </c>
      <c r="L1214">
        <f t="shared" si="72"/>
        <v>19</v>
      </c>
      <c r="M1214">
        <f t="shared" si="73"/>
        <v>228</v>
      </c>
      <c r="N1214">
        <f t="shared" si="74"/>
        <v>216</v>
      </c>
      <c r="O1214">
        <f t="shared" si="75"/>
        <v>2035</v>
      </c>
    </row>
    <row r="1215" spans="1:15" x14ac:dyDescent="0.2">
      <c r="A1215" t="s">
        <v>19</v>
      </c>
      <c r="B1215">
        <v>9</v>
      </c>
      <c r="C1215">
        <v>46</v>
      </c>
      <c r="D1215">
        <v>12</v>
      </c>
      <c r="E1215">
        <v>4</v>
      </c>
      <c r="F1215">
        <v>46</v>
      </c>
      <c r="G1215">
        <v>2277601</v>
      </c>
      <c r="H1215">
        <v>0</v>
      </c>
      <c r="I1215">
        <v>1</v>
      </c>
      <c r="J1215">
        <v>1</v>
      </c>
      <c r="K1215">
        <v>0</v>
      </c>
      <c r="L1215">
        <f t="shared" si="72"/>
        <v>19</v>
      </c>
      <c r="M1215">
        <f t="shared" si="73"/>
        <v>228</v>
      </c>
      <c r="N1215">
        <f t="shared" si="74"/>
        <v>216</v>
      </c>
      <c r="O1215">
        <f t="shared" si="75"/>
        <v>2035</v>
      </c>
    </row>
    <row r="1216" spans="1:15" x14ac:dyDescent="0.2">
      <c r="A1216" t="s">
        <v>19</v>
      </c>
      <c r="B1216">
        <v>9</v>
      </c>
      <c r="C1216">
        <v>46</v>
      </c>
      <c r="D1216">
        <v>13</v>
      </c>
      <c r="E1216">
        <v>12</v>
      </c>
      <c r="F1216">
        <v>44</v>
      </c>
      <c r="G1216">
        <v>2268703</v>
      </c>
      <c r="H1216">
        <v>0</v>
      </c>
      <c r="I1216">
        <v>1</v>
      </c>
      <c r="J1216">
        <v>1</v>
      </c>
      <c r="K1216">
        <v>0</v>
      </c>
      <c r="L1216">
        <f t="shared" si="72"/>
        <v>19</v>
      </c>
      <c r="M1216">
        <f t="shared" si="73"/>
        <v>228</v>
      </c>
      <c r="N1216">
        <f t="shared" si="74"/>
        <v>215</v>
      </c>
      <c r="O1216">
        <f t="shared" si="75"/>
        <v>2034.9166666666667</v>
      </c>
    </row>
    <row r="1217" spans="1:15" x14ac:dyDescent="0.2">
      <c r="A1217" t="s">
        <v>19</v>
      </c>
      <c r="B1217">
        <v>9</v>
      </c>
      <c r="C1217">
        <v>46</v>
      </c>
      <c r="D1217">
        <v>13</v>
      </c>
      <c r="E1217">
        <v>12</v>
      </c>
      <c r="F1217">
        <v>46</v>
      </c>
      <c r="G1217">
        <v>2265503</v>
      </c>
      <c r="H1217">
        <v>0</v>
      </c>
      <c r="I1217">
        <v>1</v>
      </c>
      <c r="J1217">
        <v>1</v>
      </c>
      <c r="K1217">
        <v>0</v>
      </c>
      <c r="L1217">
        <f t="shared" si="72"/>
        <v>19</v>
      </c>
      <c r="M1217">
        <f t="shared" si="73"/>
        <v>228</v>
      </c>
      <c r="N1217">
        <f t="shared" si="74"/>
        <v>215</v>
      </c>
      <c r="O1217">
        <f t="shared" si="75"/>
        <v>2034.9166666666667</v>
      </c>
    </row>
    <row r="1218" spans="1:15" x14ac:dyDescent="0.2">
      <c r="A1218" t="s">
        <v>19</v>
      </c>
      <c r="B1218">
        <v>9</v>
      </c>
      <c r="C1218">
        <v>46</v>
      </c>
      <c r="D1218">
        <v>14</v>
      </c>
      <c r="E1218">
        <v>1</v>
      </c>
      <c r="F1218">
        <v>44</v>
      </c>
      <c r="G1218">
        <v>2263401</v>
      </c>
      <c r="H1218">
        <v>0</v>
      </c>
      <c r="I1218">
        <v>1</v>
      </c>
      <c r="J1218">
        <v>1</v>
      </c>
      <c r="K1218">
        <v>0</v>
      </c>
      <c r="L1218">
        <f t="shared" si="72"/>
        <v>19</v>
      </c>
      <c r="M1218">
        <f t="shared" si="73"/>
        <v>228</v>
      </c>
      <c r="N1218">
        <f t="shared" si="74"/>
        <v>214</v>
      </c>
      <c r="O1218">
        <f t="shared" si="75"/>
        <v>2034.8333333333333</v>
      </c>
    </row>
    <row r="1219" spans="1:15" x14ac:dyDescent="0.2">
      <c r="A1219" t="s">
        <v>19</v>
      </c>
      <c r="B1219">
        <v>9</v>
      </c>
      <c r="C1219">
        <v>46</v>
      </c>
      <c r="D1219">
        <v>15</v>
      </c>
      <c r="E1219">
        <v>1</v>
      </c>
      <c r="F1219">
        <v>44</v>
      </c>
      <c r="G1219">
        <v>2257001</v>
      </c>
      <c r="H1219">
        <v>0</v>
      </c>
      <c r="I1219">
        <v>1</v>
      </c>
      <c r="J1219">
        <v>1</v>
      </c>
      <c r="K1219">
        <v>0</v>
      </c>
      <c r="L1219">
        <f t="shared" si="72"/>
        <v>19</v>
      </c>
      <c r="M1219">
        <f t="shared" si="73"/>
        <v>228</v>
      </c>
      <c r="N1219">
        <f t="shared" si="74"/>
        <v>213</v>
      </c>
      <c r="O1219">
        <f t="shared" si="75"/>
        <v>2034.75</v>
      </c>
    </row>
    <row r="1220" spans="1:15" x14ac:dyDescent="0.2">
      <c r="A1220" t="s">
        <v>19</v>
      </c>
      <c r="B1220">
        <v>9</v>
      </c>
      <c r="C1220">
        <v>46</v>
      </c>
      <c r="D1220">
        <v>15</v>
      </c>
      <c r="E1220">
        <v>12</v>
      </c>
      <c r="F1220">
        <v>41</v>
      </c>
      <c r="G1220">
        <v>2255701</v>
      </c>
      <c r="H1220">
        <v>0</v>
      </c>
      <c r="I1220">
        <v>1</v>
      </c>
      <c r="J1220">
        <v>1</v>
      </c>
      <c r="K1220">
        <v>0</v>
      </c>
      <c r="L1220">
        <f t="shared" si="72"/>
        <v>19</v>
      </c>
      <c r="M1220">
        <f t="shared" si="73"/>
        <v>228</v>
      </c>
      <c r="N1220">
        <f t="shared" si="74"/>
        <v>213</v>
      </c>
      <c r="O1220">
        <f t="shared" si="75"/>
        <v>2034.75</v>
      </c>
    </row>
    <row r="1221" spans="1:15" x14ac:dyDescent="0.2">
      <c r="A1221" t="s">
        <v>19</v>
      </c>
      <c r="B1221">
        <v>9</v>
      </c>
      <c r="C1221">
        <v>46</v>
      </c>
      <c r="D1221">
        <v>27</v>
      </c>
      <c r="E1221">
        <v>1</v>
      </c>
      <c r="F1221">
        <v>42</v>
      </c>
      <c r="G1221">
        <v>2193001</v>
      </c>
      <c r="H1221">
        <v>0</v>
      </c>
      <c r="I1221">
        <v>1</v>
      </c>
      <c r="J1221">
        <v>1</v>
      </c>
      <c r="K1221">
        <v>0</v>
      </c>
      <c r="L1221">
        <f t="shared" si="72"/>
        <v>19</v>
      </c>
      <c r="M1221">
        <f t="shared" si="73"/>
        <v>228</v>
      </c>
      <c r="N1221">
        <f t="shared" si="74"/>
        <v>201</v>
      </c>
      <c r="O1221">
        <f t="shared" si="75"/>
        <v>2033.75</v>
      </c>
    </row>
    <row r="1222" spans="1:15" x14ac:dyDescent="0.2">
      <c r="A1222" t="s">
        <v>19</v>
      </c>
      <c r="B1222">
        <v>9</v>
      </c>
      <c r="C1222">
        <v>46</v>
      </c>
      <c r="D1222">
        <v>27</v>
      </c>
      <c r="E1222">
        <v>4</v>
      </c>
      <c r="F1222">
        <v>45</v>
      </c>
      <c r="G1222">
        <v>2195701</v>
      </c>
      <c r="H1222">
        <v>1</v>
      </c>
      <c r="I1222">
        <v>0</v>
      </c>
      <c r="J1222">
        <v>1</v>
      </c>
      <c r="K1222">
        <v>0</v>
      </c>
      <c r="L1222">
        <f t="shared" si="72"/>
        <v>19</v>
      </c>
      <c r="M1222">
        <f t="shared" si="73"/>
        <v>228</v>
      </c>
      <c r="N1222">
        <f t="shared" si="74"/>
        <v>201</v>
      </c>
      <c r="O1222">
        <f t="shared" si="75"/>
        <v>2033.75</v>
      </c>
    </row>
    <row r="1223" spans="1:15" x14ac:dyDescent="0.2">
      <c r="A1223" t="s">
        <v>19</v>
      </c>
      <c r="B1223">
        <v>9</v>
      </c>
      <c r="C1223">
        <v>46</v>
      </c>
      <c r="D1223">
        <v>28</v>
      </c>
      <c r="E1223">
        <v>1</v>
      </c>
      <c r="F1223">
        <v>39</v>
      </c>
      <c r="G1223">
        <v>2191001</v>
      </c>
      <c r="H1223">
        <v>0</v>
      </c>
      <c r="I1223">
        <v>1</v>
      </c>
      <c r="J1223">
        <v>1</v>
      </c>
      <c r="K1223">
        <v>0</v>
      </c>
      <c r="L1223">
        <f t="shared" ref="L1223:L1286" si="76">65-C1223</f>
        <v>19</v>
      </c>
      <c r="M1223">
        <f t="shared" ref="M1223:M1286" si="77">L1223*12</f>
        <v>228</v>
      </c>
      <c r="N1223">
        <f t="shared" ref="N1223:N1286" si="78">M1223-D1223</f>
        <v>200</v>
      </c>
      <c r="O1223">
        <f t="shared" ref="O1223:O1286" si="79">2017+N1223/12</f>
        <v>2033.6666666666667</v>
      </c>
    </row>
    <row r="1224" spans="1:15" x14ac:dyDescent="0.2">
      <c r="A1224" t="s">
        <v>19</v>
      </c>
      <c r="B1224">
        <v>9</v>
      </c>
      <c r="C1224">
        <v>46</v>
      </c>
      <c r="D1224">
        <v>29</v>
      </c>
      <c r="E1224">
        <v>1</v>
      </c>
      <c r="F1224">
        <v>43</v>
      </c>
      <c r="G1224">
        <v>2185501</v>
      </c>
      <c r="H1224">
        <v>0</v>
      </c>
      <c r="I1224">
        <v>1</v>
      </c>
      <c r="J1224">
        <v>1</v>
      </c>
      <c r="K1224">
        <v>0</v>
      </c>
      <c r="L1224">
        <f t="shared" si="76"/>
        <v>19</v>
      </c>
      <c r="M1224">
        <f t="shared" si="77"/>
        <v>228</v>
      </c>
      <c r="N1224">
        <f t="shared" si="78"/>
        <v>199</v>
      </c>
      <c r="O1224">
        <f t="shared" si="79"/>
        <v>2033.5833333333333</v>
      </c>
    </row>
    <row r="1225" spans="1:15" x14ac:dyDescent="0.2">
      <c r="A1225" t="s">
        <v>19</v>
      </c>
      <c r="B1225">
        <v>9</v>
      </c>
      <c r="C1225">
        <v>46</v>
      </c>
      <c r="D1225">
        <v>30</v>
      </c>
      <c r="E1225">
        <v>1</v>
      </c>
      <c r="F1225">
        <v>45</v>
      </c>
      <c r="G1225">
        <v>2182001</v>
      </c>
      <c r="H1225">
        <v>0</v>
      </c>
      <c r="I1225">
        <v>1</v>
      </c>
      <c r="J1225">
        <v>1</v>
      </c>
      <c r="K1225">
        <v>0</v>
      </c>
      <c r="L1225">
        <f t="shared" si="76"/>
        <v>19</v>
      </c>
      <c r="M1225">
        <f t="shared" si="77"/>
        <v>228</v>
      </c>
      <c r="N1225">
        <f t="shared" si="78"/>
        <v>198</v>
      </c>
      <c r="O1225">
        <f t="shared" si="79"/>
        <v>2033.5</v>
      </c>
    </row>
    <row r="1226" spans="1:15" x14ac:dyDescent="0.2">
      <c r="A1226" t="s">
        <v>19</v>
      </c>
      <c r="B1226">
        <v>9</v>
      </c>
      <c r="C1226">
        <v>46</v>
      </c>
      <c r="D1226">
        <v>31</v>
      </c>
      <c r="E1226">
        <v>4</v>
      </c>
      <c r="F1226">
        <v>41</v>
      </c>
      <c r="G1226">
        <v>2177101</v>
      </c>
      <c r="H1226">
        <v>1</v>
      </c>
      <c r="I1226">
        <v>0</v>
      </c>
      <c r="J1226">
        <v>1</v>
      </c>
      <c r="K1226">
        <v>0</v>
      </c>
      <c r="L1226">
        <f t="shared" si="76"/>
        <v>19</v>
      </c>
      <c r="M1226">
        <f t="shared" si="77"/>
        <v>228</v>
      </c>
      <c r="N1226">
        <f t="shared" si="78"/>
        <v>197</v>
      </c>
      <c r="O1226">
        <f t="shared" si="79"/>
        <v>2033.4166666666667</v>
      </c>
    </row>
    <row r="1227" spans="1:15" x14ac:dyDescent="0.2">
      <c r="A1227" t="s">
        <v>19</v>
      </c>
      <c r="B1227">
        <v>9</v>
      </c>
      <c r="C1227">
        <v>46</v>
      </c>
      <c r="D1227">
        <v>31</v>
      </c>
      <c r="E1227">
        <v>12</v>
      </c>
      <c r="F1227">
        <v>40</v>
      </c>
      <c r="G1227">
        <v>2177401</v>
      </c>
      <c r="H1227">
        <v>0</v>
      </c>
      <c r="I1227">
        <v>1</v>
      </c>
      <c r="J1227">
        <v>1</v>
      </c>
      <c r="K1227">
        <v>0</v>
      </c>
      <c r="L1227">
        <f t="shared" si="76"/>
        <v>19</v>
      </c>
      <c r="M1227">
        <f t="shared" si="77"/>
        <v>228</v>
      </c>
      <c r="N1227">
        <f t="shared" si="78"/>
        <v>197</v>
      </c>
      <c r="O1227">
        <f t="shared" si="79"/>
        <v>2033.4166666666667</v>
      </c>
    </row>
    <row r="1228" spans="1:15" x14ac:dyDescent="0.2">
      <c r="A1228" t="s">
        <v>19</v>
      </c>
      <c r="B1228">
        <v>9</v>
      </c>
      <c r="C1228">
        <v>46</v>
      </c>
      <c r="D1228">
        <v>36</v>
      </c>
      <c r="E1228">
        <v>4</v>
      </c>
      <c r="F1228">
        <v>40</v>
      </c>
      <c r="G1228">
        <v>2147601</v>
      </c>
      <c r="H1228">
        <v>0</v>
      </c>
      <c r="I1228">
        <v>1</v>
      </c>
      <c r="J1228">
        <v>1</v>
      </c>
      <c r="K1228">
        <v>0</v>
      </c>
      <c r="L1228">
        <f t="shared" si="76"/>
        <v>19</v>
      </c>
      <c r="M1228">
        <f t="shared" si="77"/>
        <v>228</v>
      </c>
      <c r="N1228">
        <f t="shared" si="78"/>
        <v>192</v>
      </c>
      <c r="O1228">
        <f t="shared" si="79"/>
        <v>2033</v>
      </c>
    </row>
    <row r="1229" spans="1:15" x14ac:dyDescent="0.2">
      <c r="A1229" t="s">
        <v>19</v>
      </c>
      <c r="B1229">
        <v>9</v>
      </c>
      <c r="C1229">
        <v>46</v>
      </c>
      <c r="D1229">
        <v>37</v>
      </c>
      <c r="E1229">
        <v>12</v>
      </c>
      <c r="F1229">
        <v>45</v>
      </c>
      <c r="G1229">
        <v>189804</v>
      </c>
      <c r="H1229">
        <v>0</v>
      </c>
      <c r="I1229">
        <v>1</v>
      </c>
      <c r="J1229">
        <v>1</v>
      </c>
      <c r="K1229">
        <v>0</v>
      </c>
      <c r="L1229">
        <f t="shared" si="76"/>
        <v>19</v>
      </c>
      <c r="M1229">
        <f t="shared" si="77"/>
        <v>228</v>
      </c>
      <c r="N1229">
        <f t="shared" si="78"/>
        <v>191</v>
      </c>
      <c r="O1229">
        <f t="shared" si="79"/>
        <v>2032.9166666666667</v>
      </c>
    </row>
    <row r="1230" spans="1:15" x14ac:dyDescent="0.2">
      <c r="A1230" t="s">
        <v>19</v>
      </c>
      <c r="B1230">
        <v>9</v>
      </c>
      <c r="C1230">
        <v>46</v>
      </c>
      <c r="D1230">
        <v>42</v>
      </c>
      <c r="E1230">
        <v>2</v>
      </c>
      <c r="F1230">
        <v>41</v>
      </c>
      <c r="G1230">
        <v>786302</v>
      </c>
      <c r="H1230">
        <v>0</v>
      </c>
      <c r="I1230">
        <v>1</v>
      </c>
      <c r="J1230">
        <v>1</v>
      </c>
      <c r="K1230">
        <v>0</v>
      </c>
      <c r="L1230">
        <f t="shared" si="76"/>
        <v>19</v>
      </c>
      <c r="M1230">
        <f t="shared" si="77"/>
        <v>228</v>
      </c>
      <c r="N1230">
        <f t="shared" si="78"/>
        <v>186</v>
      </c>
      <c r="O1230">
        <f t="shared" si="79"/>
        <v>2032.5</v>
      </c>
    </row>
    <row r="1231" spans="1:15" x14ac:dyDescent="0.2">
      <c r="A1231" t="s">
        <v>19</v>
      </c>
      <c r="B1231">
        <v>9</v>
      </c>
      <c r="C1231">
        <v>46</v>
      </c>
      <c r="D1231">
        <v>45</v>
      </c>
      <c r="E1231">
        <v>4</v>
      </c>
      <c r="F1231">
        <v>40</v>
      </c>
      <c r="G1231">
        <v>2105501</v>
      </c>
      <c r="H1231">
        <v>0</v>
      </c>
      <c r="I1231">
        <v>1</v>
      </c>
      <c r="J1231">
        <v>1</v>
      </c>
      <c r="K1231">
        <v>0</v>
      </c>
      <c r="L1231">
        <f t="shared" si="76"/>
        <v>19</v>
      </c>
      <c r="M1231">
        <f t="shared" si="77"/>
        <v>228</v>
      </c>
      <c r="N1231">
        <f t="shared" si="78"/>
        <v>183</v>
      </c>
      <c r="O1231">
        <f t="shared" si="79"/>
        <v>2032.25</v>
      </c>
    </row>
    <row r="1232" spans="1:15" x14ac:dyDescent="0.2">
      <c r="A1232" t="s">
        <v>19</v>
      </c>
      <c r="B1232">
        <v>9</v>
      </c>
      <c r="C1232">
        <v>46</v>
      </c>
      <c r="D1232">
        <v>45</v>
      </c>
      <c r="E1232">
        <v>12</v>
      </c>
      <c r="F1232">
        <v>44</v>
      </c>
      <c r="G1232">
        <v>585002</v>
      </c>
      <c r="H1232">
        <v>0</v>
      </c>
      <c r="I1232">
        <v>1</v>
      </c>
      <c r="J1232">
        <v>1</v>
      </c>
      <c r="K1232">
        <v>0</v>
      </c>
      <c r="L1232">
        <f t="shared" si="76"/>
        <v>19</v>
      </c>
      <c r="M1232">
        <f t="shared" si="77"/>
        <v>228</v>
      </c>
      <c r="N1232">
        <f t="shared" si="78"/>
        <v>183</v>
      </c>
      <c r="O1232">
        <f t="shared" si="79"/>
        <v>2032.25</v>
      </c>
    </row>
    <row r="1233" spans="1:15" x14ac:dyDescent="0.2">
      <c r="A1233" t="s">
        <v>19</v>
      </c>
      <c r="B1233">
        <v>9</v>
      </c>
      <c r="C1233">
        <v>46</v>
      </c>
      <c r="D1233">
        <v>46</v>
      </c>
      <c r="E1233">
        <v>1</v>
      </c>
      <c r="F1233">
        <v>40</v>
      </c>
      <c r="G1233">
        <v>2100301</v>
      </c>
      <c r="H1233">
        <v>0</v>
      </c>
      <c r="I1233">
        <v>1</v>
      </c>
      <c r="J1233">
        <v>1</v>
      </c>
      <c r="K1233">
        <v>0</v>
      </c>
      <c r="L1233">
        <f t="shared" si="76"/>
        <v>19</v>
      </c>
      <c r="M1233">
        <f t="shared" si="77"/>
        <v>228</v>
      </c>
      <c r="N1233">
        <f t="shared" si="78"/>
        <v>182</v>
      </c>
      <c r="O1233">
        <f t="shared" si="79"/>
        <v>2032.1666666666667</v>
      </c>
    </row>
    <row r="1234" spans="1:15" x14ac:dyDescent="0.2">
      <c r="A1234" t="s">
        <v>19</v>
      </c>
      <c r="B1234">
        <v>9</v>
      </c>
      <c r="C1234">
        <v>46</v>
      </c>
      <c r="D1234">
        <v>47</v>
      </c>
      <c r="E1234">
        <v>1</v>
      </c>
      <c r="F1234">
        <v>45</v>
      </c>
      <c r="G1234">
        <v>2093801</v>
      </c>
      <c r="H1234">
        <v>0</v>
      </c>
      <c r="I1234">
        <v>1</v>
      </c>
      <c r="J1234">
        <v>1</v>
      </c>
      <c r="K1234">
        <v>0</v>
      </c>
      <c r="L1234">
        <f t="shared" si="76"/>
        <v>19</v>
      </c>
      <c r="M1234">
        <f t="shared" si="77"/>
        <v>228</v>
      </c>
      <c r="N1234">
        <f t="shared" si="78"/>
        <v>181</v>
      </c>
      <c r="O1234">
        <f t="shared" si="79"/>
        <v>2032.0833333333333</v>
      </c>
    </row>
    <row r="1235" spans="1:15" x14ac:dyDescent="0.2">
      <c r="A1235" t="s">
        <v>19</v>
      </c>
      <c r="B1235">
        <v>9</v>
      </c>
      <c r="C1235">
        <v>46</v>
      </c>
      <c r="D1235">
        <v>47</v>
      </c>
      <c r="E1235">
        <v>12</v>
      </c>
      <c r="F1235">
        <v>43</v>
      </c>
      <c r="G1235">
        <v>82302</v>
      </c>
      <c r="H1235">
        <v>0</v>
      </c>
      <c r="I1235">
        <v>1</v>
      </c>
      <c r="J1235">
        <v>1</v>
      </c>
      <c r="K1235">
        <v>0</v>
      </c>
      <c r="L1235">
        <f t="shared" si="76"/>
        <v>19</v>
      </c>
      <c r="M1235">
        <f t="shared" si="77"/>
        <v>228</v>
      </c>
      <c r="N1235">
        <f t="shared" si="78"/>
        <v>181</v>
      </c>
      <c r="O1235">
        <f t="shared" si="79"/>
        <v>2032.0833333333333</v>
      </c>
    </row>
    <row r="1236" spans="1:15" x14ac:dyDescent="0.2">
      <c r="A1236" t="s">
        <v>19</v>
      </c>
      <c r="B1236">
        <v>9</v>
      </c>
      <c r="C1236">
        <v>46</v>
      </c>
      <c r="D1236">
        <v>49</v>
      </c>
      <c r="E1236">
        <v>12</v>
      </c>
      <c r="F1236">
        <v>36</v>
      </c>
      <c r="G1236">
        <v>2089501</v>
      </c>
      <c r="H1236">
        <v>0</v>
      </c>
      <c r="I1236">
        <v>1</v>
      </c>
      <c r="J1236">
        <v>1</v>
      </c>
      <c r="K1236">
        <v>0</v>
      </c>
      <c r="L1236">
        <f t="shared" si="76"/>
        <v>19</v>
      </c>
      <c r="M1236">
        <f t="shared" si="77"/>
        <v>228</v>
      </c>
      <c r="N1236">
        <f t="shared" si="78"/>
        <v>179</v>
      </c>
      <c r="O1236">
        <f t="shared" si="79"/>
        <v>2031.9166666666667</v>
      </c>
    </row>
    <row r="1237" spans="1:15" x14ac:dyDescent="0.2">
      <c r="A1237" t="s">
        <v>19</v>
      </c>
      <c r="B1237">
        <v>9</v>
      </c>
      <c r="C1237">
        <v>46</v>
      </c>
      <c r="D1237">
        <v>50</v>
      </c>
      <c r="E1237">
        <v>2</v>
      </c>
      <c r="F1237">
        <v>37</v>
      </c>
      <c r="G1237">
        <v>2080701</v>
      </c>
      <c r="H1237">
        <v>0</v>
      </c>
      <c r="I1237">
        <v>1</v>
      </c>
      <c r="J1237">
        <v>1</v>
      </c>
      <c r="K1237">
        <v>0</v>
      </c>
      <c r="L1237">
        <f t="shared" si="76"/>
        <v>19</v>
      </c>
      <c r="M1237">
        <f t="shared" si="77"/>
        <v>228</v>
      </c>
      <c r="N1237">
        <f t="shared" si="78"/>
        <v>178</v>
      </c>
      <c r="O1237">
        <f t="shared" si="79"/>
        <v>2031.8333333333333</v>
      </c>
    </row>
    <row r="1238" spans="1:15" x14ac:dyDescent="0.2">
      <c r="A1238" t="s">
        <v>19</v>
      </c>
      <c r="B1238">
        <v>9</v>
      </c>
      <c r="C1238">
        <v>46</v>
      </c>
      <c r="D1238">
        <v>53</v>
      </c>
      <c r="E1238">
        <v>1</v>
      </c>
      <c r="F1238">
        <v>42</v>
      </c>
      <c r="G1238">
        <v>2070502</v>
      </c>
      <c r="H1238">
        <v>1</v>
      </c>
      <c r="I1238">
        <v>0</v>
      </c>
      <c r="J1238">
        <v>1</v>
      </c>
      <c r="K1238">
        <v>0</v>
      </c>
      <c r="L1238">
        <f t="shared" si="76"/>
        <v>19</v>
      </c>
      <c r="M1238">
        <f t="shared" si="77"/>
        <v>228</v>
      </c>
      <c r="N1238">
        <f t="shared" si="78"/>
        <v>175</v>
      </c>
      <c r="O1238">
        <f t="shared" si="79"/>
        <v>2031.5833333333333</v>
      </c>
    </row>
    <row r="1239" spans="1:15" x14ac:dyDescent="0.2">
      <c r="A1239" t="s">
        <v>19</v>
      </c>
      <c r="B1239">
        <v>9</v>
      </c>
      <c r="C1239">
        <v>46</v>
      </c>
      <c r="D1239">
        <v>53</v>
      </c>
      <c r="E1239">
        <v>2</v>
      </c>
      <c r="F1239">
        <v>42</v>
      </c>
      <c r="G1239">
        <v>2067701</v>
      </c>
      <c r="H1239">
        <v>1</v>
      </c>
      <c r="I1239">
        <v>0</v>
      </c>
      <c r="J1239">
        <v>1</v>
      </c>
      <c r="K1239">
        <v>0</v>
      </c>
      <c r="L1239">
        <f t="shared" si="76"/>
        <v>19</v>
      </c>
      <c r="M1239">
        <f t="shared" si="77"/>
        <v>228</v>
      </c>
      <c r="N1239">
        <f t="shared" si="78"/>
        <v>175</v>
      </c>
      <c r="O1239">
        <f t="shared" si="79"/>
        <v>2031.5833333333333</v>
      </c>
    </row>
    <row r="1240" spans="1:15" x14ac:dyDescent="0.2">
      <c r="A1240" t="s">
        <v>19</v>
      </c>
      <c r="B1240">
        <v>9</v>
      </c>
      <c r="C1240">
        <v>46</v>
      </c>
      <c r="D1240">
        <v>53</v>
      </c>
      <c r="E1240">
        <v>4</v>
      </c>
      <c r="F1240">
        <v>45</v>
      </c>
      <c r="G1240">
        <v>2063801</v>
      </c>
      <c r="H1240">
        <v>0</v>
      </c>
      <c r="I1240">
        <v>1</v>
      </c>
      <c r="J1240">
        <v>1</v>
      </c>
      <c r="K1240">
        <v>0</v>
      </c>
      <c r="L1240">
        <f t="shared" si="76"/>
        <v>19</v>
      </c>
      <c r="M1240">
        <f t="shared" si="77"/>
        <v>228</v>
      </c>
      <c r="N1240">
        <f t="shared" si="78"/>
        <v>175</v>
      </c>
      <c r="O1240">
        <f t="shared" si="79"/>
        <v>2031.5833333333333</v>
      </c>
    </row>
    <row r="1241" spans="1:15" x14ac:dyDescent="0.2">
      <c r="A1241" t="s">
        <v>19</v>
      </c>
      <c r="B1241">
        <v>9</v>
      </c>
      <c r="C1241">
        <v>46</v>
      </c>
      <c r="D1241">
        <v>56</v>
      </c>
      <c r="E1241">
        <v>1</v>
      </c>
      <c r="F1241">
        <v>45</v>
      </c>
      <c r="G1241">
        <v>2050401</v>
      </c>
      <c r="H1241">
        <v>0</v>
      </c>
      <c r="I1241">
        <v>1</v>
      </c>
      <c r="J1241">
        <v>1</v>
      </c>
      <c r="K1241">
        <v>0</v>
      </c>
      <c r="L1241">
        <f t="shared" si="76"/>
        <v>19</v>
      </c>
      <c r="M1241">
        <f t="shared" si="77"/>
        <v>228</v>
      </c>
      <c r="N1241">
        <f t="shared" si="78"/>
        <v>172</v>
      </c>
      <c r="O1241">
        <f t="shared" si="79"/>
        <v>2031.3333333333333</v>
      </c>
    </row>
    <row r="1242" spans="1:15" x14ac:dyDescent="0.2">
      <c r="A1242" t="s">
        <v>19</v>
      </c>
      <c r="B1242">
        <v>9</v>
      </c>
      <c r="C1242">
        <v>46</v>
      </c>
      <c r="D1242">
        <v>56</v>
      </c>
      <c r="E1242">
        <v>2</v>
      </c>
      <c r="F1242">
        <v>31</v>
      </c>
      <c r="G1242">
        <v>2045601</v>
      </c>
      <c r="H1242">
        <v>1</v>
      </c>
      <c r="I1242">
        <v>0</v>
      </c>
      <c r="J1242">
        <v>1</v>
      </c>
      <c r="K1242">
        <v>0</v>
      </c>
      <c r="L1242">
        <f t="shared" si="76"/>
        <v>19</v>
      </c>
      <c r="M1242">
        <f t="shared" si="77"/>
        <v>228</v>
      </c>
      <c r="N1242">
        <f t="shared" si="78"/>
        <v>172</v>
      </c>
      <c r="O1242">
        <f t="shared" si="79"/>
        <v>2031.3333333333333</v>
      </c>
    </row>
    <row r="1243" spans="1:15" x14ac:dyDescent="0.2">
      <c r="A1243" t="s">
        <v>19</v>
      </c>
      <c r="B1243">
        <v>9</v>
      </c>
      <c r="C1243">
        <v>46</v>
      </c>
      <c r="D1243">
        <v>65</v>
      </c>
      <c r="E1243">
        <v>2</v>
      </c>
      <c r="F1243">
        <v>38</v>
      </c>
      <c r="G1243">
        <v>2014101</v>
      </c>
      <c r="H1243">
        <v>0</v>
      </c>
      <c r="I1243">
        <v>1</v>
      </c>
      <c r="J1243">
        <v>1</v>
      </c>
      <c r="K1243">
        <v>0</v>
      </c>
      <c r="L1243">
        <f t="shared" si="76"/>
        <v>19</v>
      </c>
      <c r="M1243">
        <f t="shared" si="77"/>
        <v>228</v>
      </c>
      <c r="N1243">
        <f t="shared" si="78"/>
        <v>163</v>
      </c>
      <c r="O1243">
        <f t="shared" si="79"/>
        <v>2030.5833333333333</v>
      </c>
    </row>
    <row r="1244" spans="1:15" x14ac:dyDescent="0.2">
      <c r="A1244" t="s">
        <v>19</v>
      </c>
      <c r="B1244">
        <v>9</v>
      </c>
      <c r="C1244">
        <v>46</v>
      </c>
      <c r="D1244">
        <v>66</v>
      </c>
      <c r="E1244">
        <v>1</v>
      </c>
      <c r="F1244">
        <v>40</v>
      </c>
      <c r="G1244">
        <v>2010901</v>
      </c>
      <c r="H1244">
        <v>1</v>
      </c>
      <c r="I1244">
        <v>0</v>
      </c>
      <c r="J1244">
        <v>1</v>
      </c>
      <c r="K1244">
        <v>0</v>
      </c>
      <c r="L1244">
        <f t="shared" si="76"/>
        <v>19</v>
      </c>
      <c r="M1244">
        <f t="shared" si="77"/>
        <v>228</v>
      </c>
      <c r="N1244">
        <f t="shared" si="78"/>
        <v>162</v>
      </c>
      <c r="O1244">
        <f t="shared" si="79"/>
        <v>2030.5</v>
      </c>
    </row>
    <row r="1245" spans="1:15" x14ac:dyDescent="0.2">
      <c r="A1245" t="s">
        <v>19</v>
      </c>
      <c r="B1245">
        <v>9</v>
      </c>
      <c r="C1245">
        <v>46</v>
      </c>
      <c r="D1245">
        <v>66</v>
      </c>
      <c r="E1245">
        <v>12</v>
      </c>
      <c r="F1245">
        <v>42</v>
      </c>
      <c r="G1245">
        <v>734602</v>
      </c>
      <c r="H1245">
        <v>0</v>
      </c>
      <c r="I1245">
        <v>1</v>
      </c>
      <c r="J1245">
        <v>1</v>
      </c>
      <c r="K1245">
        <v>0</v>
      </c>
      <c r="L1245">
        <f t="shared" si="76"/>
        <v>19</v>
      </c>
      <c r="M1245">
        <f t="shared" si="77"/>
        <v>228</v>
      </c>
      <c r="N1245">
        <f t="shared" si="78"/>
        <v>162</v>
      </c>
      <c r="O1245">
        <f t="shared" si="79"/>
        <v>2030.5</v>
      </c>
    </row>
    <row r="1246" spans="1:15" x14ac:dyDescent="0.2">
      <c r="A1246" t="s">
        <v>19</v>
      </c>
      <c r="B1246">
        <v>9</v>
      </c>
      <c r="C1246">
        <v>46</v>
      </c>
      <c r="D1246">
        <v>77</v>
      </c>
      <c r="E1246">
        <v>2</v>
      </c>
      <c r="F1246">
        <v>40</v>
      </c>
      <c r="G1246">
        <v>1974001</v>
      </c>
      <c r="H1246">
        <v>0</v>
      </c>
      <c r="I1246">
        <v>1</v>
      </c>
      <c r="J1246">
        <v>1</v>
      </c>
      <c r="K1246">
        <v>0</v>
      </c>
      <c r="L1246">
        <f t="shared" si="76"/>
        <v>19</v>
      </c>
      <c r="M1246">
        <f t="shared" si="77"/>
        <v>228</v>
      </c>
      <c r="N1246">
        <f t="shared" si="78"/>
        <v>151</v>
      </c>
      <c r="O1246">
        <f t="shared" si="79"/>
        <v>2029.5833333333333</v>
      </c>
    </row>
    <row r="1247" spans="1:15" x14ac:dyDescent="0.2">
      <c r="A1247" t="s">
        <v>19</v>
      </c>
      <c r="B1247">
        <v>9</v>
      </c>
      <c r="C1247">
        <v>46</v>
      </c>
      <c r="D1247">
        <v>80</v>
      </c>
      <c r="E1247">
        <v>2</v>
      </c>
      <c r="F1247">
        <v>44</v>
      </c>
      <c r="G1247">
        <v>1969001</v>
      </c>
      <c r="H1247">
        <v>0</v>
      </c>
      <c r="I1247">
        <v>1</v>
      </c>
      <c r="J1247">
        <v>1</v>
      </c>
      <c r="K1247">
        <v>0</v>
      </c>
      <c r="L1247">
        <f t="shared" si="76"/>
        <v>19</v>
      </c>
      <c r="M1247">
        <f t="shared" si="77"/>
        <v>228</v>
      </c>
      <c r="N1247">
        <f t="shared" si="78"/>
        <v>148</v>
      </c>
      <c r="O1247">
        <f t="shared" si="79"/>
        <v>2029.3333333333333</v>
      </c>
    </row>
    <row r="1248" spans="1:15" x14ac:dyDescent="0.2">
      <c r="A1248" t="s">
        <v>19</v>
      </c>
      <c r="B1248">
        <v>9</v>
      </c>
      <c r="C1248">
        <v>46</v>
      </c>
      <c r="D1248">
        <v>84</v>
      </c>
      <c r="E1248">
        <v>1</v>
      </c>
      <c r="F1248">
        <v>43</v>
      </c>
      <c r="G1248">
        <v>1951001</v>
      </c>
      <c r="H1248">
        <v>1</v>
      </c>
      <c r="I1248">
        <v>0</v>
      </c>
      <c r="J1248">
        <v>1</v>
      </c>
      <c r="K1248">
        <v>0</v>
      </c>
      <c r="L1248">
        <f t="shared" si="76"/>
        <v>19</v>
      </c>
      <c r="M1248">
        <f t="shared" si="77"/>
        <v>228</v>
      </c>
      <c r="N1248">
        <f t="shared" si="78"/>
        <v>144</v>
      </c>
      <c r="O1248">
        <f t="shared" si="79"/>
        <v>2029</v>
      </c>
    </row>
    <row r="1249" spans="1:15" x14ac:dyDescent="0.2">
      <c r="A1249" t="s">
        <v>19</v>
      </c>
      <c r="B1249">
        <v>9</v>
      </c>
      <c r="C1249">
        <v>46</v>
      </c>
      <c r="D1249">
        <v>85</v>
      </c>
      <c r="E1249">
        <v>1</v>
      </c>
      <c r="F1249">
        <v>42</v>
      </c>
      <c r="G1249">
        <v>1947301</v>
      </c>
      <c r="H1249">
        <v>0</v>
      </c>
      <c r="I1249">
        <v>1</v>
      </c>
      <c r="J1249">
        <v>1</v>
      </c>
      <c r="K1249">
        <v>0</v>
      </c>
      <c r="L1249">
        <f t="shared" si="76"/>
        <v>19</v>
      </c>
      <c r="M1249">
        <f t="shared" si="77"/>
        <v>228</v>
      </c>
      <c r="N1249">
        <f t="shared" si="78"/>
        <v>143</v>
      </c>
      <c r="O1249">
        <f t="shared" si="79"/>
        <v>2028.9166666666667</v>
      </c>
    </row>
    <row r="1250" spans="1:15" x14ac:dyDescent="0.2">
      <c r="A1250" t="s">
        <v>19</v>
      </c>
      <c r="B1250">
        <v>9</v>
      </c>
      <c r="C1250">
        <v>46</v>
      </c>
      <c r="D1250">
        <v>90</v>
      </c>
      <c r="E1250">
        <v>2</v>
      </c>
      <c r="F1250">
        <v>41</v>
      </c>
      <c r="G1250">
        <v>1402</v>
      </c>
      <c r="H1250">
        <v>0</v>
      </c>
      <c r="I1250">
        <v>1</v>
      </c>
      <c r="J1250">
        <v>1</v>
      </c>
      <c r="K1250">
        <v>0</v>
      </c>
      <c r="L1250">
        <f t="shared" si="76"/>
        <v>19</v>
      </c>
      <c r="M1250">
        <f t="shared" si="77"/>
        <v>228</v>
      </c>
      <c r="N1250">
        <f t="shared" si="78"/>
        <v>138</v>
      </c>
      <c r="O1250">
        <f t="shared" si="79"/>
        <v>2028.5</v>
      </c>
    </row>
    <row r="1251" spans="1:15" x14ac:dyDescent="0.2">
      <c r="A1251" t="s">
        <v>19</v>
      </c>
      <c r="B1251">
        <v>9</v>
      </c>
      <c r="C1251">
        <v>46</v>
      </c>
      <c r="D1251">
        <v>94</v>
      </c>
      <c r="E1251">
        <v>2</v>
      </c>
      <c r="F1251">
        <v>45</v>
      </c>
      <c r="G1251">
        <v>1894001</v>
      </c>
      <c r="H1251">
        <v>0</v>
      </c>
      <c r="I1251">
        <v>1</v>
      </c>
      <c r="J1251">
        <v>1</v>
      </c>
      <c r="K1251">
        <v>0</v>
      </c>
      <c r="L1251">
        <f t="shared" si="76"/>
        <v>19</v>
      </c>
      <c r="M1251">
        <f t="shared" si="77"/>
        <v>228</v>
      </c>
      <c r="N1251">
        <f t="shared" si="78"/>
        <v>134</v>
      </c>
      <c r="O1251">
        <f t="shared" si="79"/>
        <v>2028.1666666666667</v>
      </c>
    </row>
    <row r="1252" spans="1:15" x14ac:dyDescent="0.2">
      <c r="A1252" t="s">
        <v>19</v>
      </c>
      <c r="B1252">
        <v>9</v>
      </c>
      <c r="C1252">
        <v>46</v>
      </c>
      <c r="D1252">
        <v>95</v>
      </c>
      <c r="E1252">
        <v>1</v>
      </c>
      <c r="F1252">
        <v>42</v>
      </c>
      <c r="G1252">
        <v>1888101</v>
      </c>
      <c r="H1252">
        <v>0</v>
      </c>
      <c r="I1252">
        <v>1</v>
      </c>
      <c r="J1252">
        <v>1</v>
      </c>
      <c r="K1252">
        <v>0</v>
      </c>
      <c r="L1252">
        <f t="shared" si="76"/>
        <v>19</v>
      </c>
      <c r="M1252">
        <f t="shared" si="77"/>
        <v>228</v>
      </c>
      <c r="N1252">
        <f t="shared" si="78"/>
        <v>133</v>
      </c>
      <c r="O1252">
        <f t="shared" si="79"/>
        <v>2028.0833333333333</v>
      </c>
    </row>
    <row r="1253" spans="1:15" x14ac:dyDescent="0.2">
      <c r="A1253" t="s">
        <v>19</v>
      </c>
      <c r="B1253">
        <v>9</v>
      </c>
      <c r="C1253">
        <v>46</v>
      </c>
      <c r="D1253">
        <v>96</v>
      </c>
      <c r="E1253">
        <v>1</v>
      </c>
      <c r="F1253">
        <v>42</v>
      </c>
      <c r="G1253">
        <v>116502</v>
      </c>
      <c r="H1253">
        <v>0</v>
      </c>
      <c r="I1253">
        <v>1</v>
      </c>
      <c r="J1253">
        <v>1</v>
      </c>
      <c r="K1253">
        <v>0</v>
      </c>
      <c r="L1253">
        <f t="shared" si="76"/>
        <v>19</v>
      </c>
      <c r="M1253">
        <f t="shared" si="77"/>
        <v>228</v>
      </c>
      <c r="N1253">
        <f t="shared" si="78"/>
        <v>132</v>
      </c>
      <c r="O1253">
        <f t="shared" si="79"/>
        <v>2028</v>
      </c>
    </row>
    <row r="1254" spans="1:15" x14ac:dyDescent="0.2">
      <c r="A1254" t="s">
        <v>19</v>
      </c>
      <c r="B1254">
        <v>9</v>
      </c>
      <c r="C1254">
        <v>46</v>
      </c>
      <c r="D1254">
        <v>97</v>
      </c>
      <c r="E1254">
        <v>1</v>
      </c>
      <c r="F1254">
        <v>44</v>
      </c>
      <c r="G1254">
        <v>1868001</v>
      </c>
      <c r="H1254">
        <v>0</v>
      </c>
      <c r="I1254">
        <v>1</v>
      </c>
      <c r="J1254">
        <v>1</v>
      </c>
      <c r="K1254">
        <v>0</v>
      </c>
      <c r="L1254">
        <f t="shared" si="76"/>
        <v>19</v>
      </c>
      <c r="M1254">
        <f t="shared" si="77"/>
        <v>228</v>
      </c>
      <c r="N1254">
        <f t="shared" si="78"/>
        <v>131</v>
      </c>
      <c r="O1254">
        <f t="shared" si="79"/>
        <v>2027.9166666666667</v>
      </c>
    </row>
    <row r="1255" spans="1:15" x14ac:dyDescent="0.2">
      <c r="A1255" t="s">
        <v>19</v>
      </c>
      <c r="B1255">
        <v>9</v>
      </c>
      <c r="C1255">
        <v>46</v>
      </c>
      <c r="D1255">
        <v>99</v>
      </c>
      <c r="E1255">
        <v>1</v>
      </c>
      <c r="F1255">
        <v>46</v>
      </c>
      <c r="G1255">
        <v>1845101</v>
      </c>
      <c r="H1255">
        <v>0</v>
      </c>
      <c r="I1255">
        <v>1</v>
      </c>
      <c r="J1255">
        <v>1</v>
      </c>
      <c r="K1255">
        <v>0</v>
      </c>
      <c r="L1255">
        <f t="shared" si="76"/>
        <v>19</v>
      </c>
      <c r="M1255">
        <f t="shared" si="77"/>
        <v>228</v>
      </c>
      <c r="N1255">
        <f t="shared" si="78"/>
        <v>129</v>
      </c>
      <c r="O1255">
        <f t="shared" si="79"/>
        <v>2027.75</v>
      </c>
    </row>
    <row r="1256" spans="1:15" x14ac:dyDescent="0.2">
      <c r="A1256" t="s">
        <v>19</v>
      </c>
      <c r="B1256">
        <v>9</v>
      </c>
      <c r="C1256">
        <v>46</v>
      </c>
      <c r="D1256">
        <v>103</v>
      </c>
      <c r="E1256">
        <v>1</v>
      </c>
      <c r="F1256">
        <v>42</v>
      </c>
      <c r="G1256">
        <v>1808001</v>
      </c>
      <c r="H1256">
        <v>0</v>
      </c>
      <c r="I1256">
        <v>1</v>
      </c>
      <c r="J1256">
        <v>1</v>
      </c>
      <c r="K1256">
        <v>0</v>
      </c>
      <c r="L1256">
        <f t="shared" si="76"/>
        <v>19</v>
      </c>
      <c r="M1256">
        <f t="shared" si="77"/>
        <v>228</v>
      </c>
      <c r="N1256">
        <f t="shared" si="78"/>
        <v>125</v>
      </c>
      <c r="O1256">
        <f t="shared" si="79"/>
        <v>2027.4166666666667</v>
      </c>
    </row>
    <row r="1257" spans="1:15" x14ac:dyDescent="0.2">
      <c r="A1257" t="s">
        <v>19</v>
      </c>
      <c r="B1257">
        <v>9</v>
      </c>
      <c r="C1257">
        <v>46</v>
      </c>
      <c r="D1257">
        <v>109</v>
      </c>
      <c r="E1257">
        <v>1</v>
      </c>
      <c r="F1257">
        <v>46</v>
      </c>
      <c r="G1257">
        <v>1748801</v>
      </c>
      <c r="H1257">
        <v>0</v>
      </c>
      <c r="I1257">
        <v>1</v>
      </c>
      <c r="J1257">
        <v>1</v>
      </c>
      <c r="K1257">
        <v>0</v>
      </c>
      <c r="L1257">
        <f t="shared" si="76"/>
        <v>19</v>
      </c>
      <c r="M1257">
        <f t="shared" si="77"/>
        <v>228</v>
      </c>
      <c r="N1257">
        <f t="shared" si="78"/>
        <v>119</v>
      </c>
      <c r="O1257">
        <f t="shared" si="79"/>
        <v>2026.9166666666667</v>
      </c>
    </row>
    <row r="1258" spans="1:15" x14ac:dyDescent="0.2">
      <c r="A1258" t="s">
        <v>19</v>
      </c>
      <c r="B1258">
        <v>9</v>
      </c>
      <c r="C1258">
        <v>46</v>
      </c>
      <c r="D1258">
        <v>110</v>
      </c>
      <c r="E1258">
        <v>2</v>
      </c>
      <c r="F1258">
        <v>33</v>
      </c>
      <c r="G1258">
        <v>1723601</v>
      </c>
      <c r="H1258">
        <v>0</v>
      </c>
      <c r="I1258">
        <v>1</v>
      </c>
      <c r="J1258">
        <v>1</v>
      </c>
      <c r="K1258">
        <v>0</v>
      </c>
      <c r="L1258">
        <f t="shared" si="76"/>
        <v>19</v>
      </c>
      <c r="M1258">
        <f t="shared" si="77"/>
        <v>228</v>
      </c>
      <c r="N1258">
        <f t="shared" si="78"/>
        <v>118</v>
      </c>
      <c r="O1258">
        <f t="shared" si="79"/>
        <v>2026.8333333333333</v>
      </c>
    </row>
    <row r="1259" spans="1:15" x14ac:dyDescent="0.2">
      <c r="A1259" t="s">
        <v>19</v>
      </c>
      <c r="B1259">
        <v>9</v>
      </c>
      <c r="C1259">
        <v>46</v>
      </c>
      <c r="D1259">
        <v>111</v>
      </c>
      <c r="E1259">
        <v>1</v>
      </c>
      <c r="F1259">
        <v>44</v>
      </c>
      <c r="G1259">
        <v>1666802</v>
      </c>
      <c r="H1259">
        <v>0</v>
      </c>
      <c r="I1259">
        <v>1</v>
      </c>
      <c r="J1259">
        <v>1</v>
      </c>
      <c r="K1259">
        <v>0</v>
      </c>
      <c r="L1259">
        <f t="shared" si="76"/>
        <v>19</v>
      </c>
      <c r="M1259">
        <f t="shared" si="77"/>
        <v>228</v>
      </c>
      <c r="N1259">
        <f t="shared" si="78"/>
        <v>117</v>
      </c>
      <c r="O1259">
        <f t="shared" si="79"/>
        <v>2026.75</v>
      </c>
    </row>
    <row r="1260" spans="1:15" x14ac:dyDescent="0.2">
      <c r="A1260" t="s">
        <v>19</v>
      </c>
      <c r="B1260">
        <v>9</v>
      </c>
      <c r="C1260">
        <v>46</v>
      </c>
      <c r="D1260">
        <v>111</v>
      </c>
      <c r="E1260">
        <v>1</v>
      </c>
      <c r="F1260">
        <v>45</v>
      </c>
      <c r="G1260">
        <v>1698701</v>
      </c>
      <c r="H1260">
        <v>0</v>
      </c>
      <c r="I1260">
        <v>1</v>
      </c>
      <c r="J1260">
        <v>1</v>
      </c>
      <c r="K1260">
        <v>0</v>
      </c>
      <c r="L1260">
        <f t="shared" si="76"/>
        <v>19</v>
      </c>
      <c r="M1260">
        <f t="shared" si="77"/>
        <v>228</v>
      </c>
      <c r="N1260">
        <f t="shared" si="78"/>
        <v>117</v>
      </c>
      <c r="O1260">
        <f t="shared" si="79"/>
        <v>2026.75</v>
      </c>
    </row>
    <row r="1261" spans="1:15" x14ac:dyDescent="0.2">
      <c r="A1261" t="s">
        <v>19</v>
      </c>
      <c r="B1261">
        <v>9</v>
      </c>
      <c r="C1261">
        <v>46</v>
      </c>
      <c r="D1261">
        <v>118</v>
      </c>
      <c r="E1261">
        <v>1</v>
      </c>
      <c r="F1261">
        <v>36</v>
      </c>
      <c r="G1261">
        <v>1647301</v>
      </c>
      <c r="H1261">
        <v>0</v>
      </c>
      <c r="I1261">
        <v>1</v>
      </c>
      <c r="J1261">
        <v>1</v>
      </c>
      <c r="K1261">
        <v>0</v>
      </c>
      <c r="L1261">
        <f t="shared" si="76"/>
        <v>19</v>
      </c>
      <c r="M1261">
        <f t="shared" si="77"/>
        <v>228</v>
      </c>
      <c r="N1261">
        <f t="shared" si="78"/>
        <v>110</v>
      </c>
      <c r="O1261">
        <f t="shared" si="79"/>
        <v>2026.1666666666667</v>
      </c>
    </row>
    <row r="1262" spans="1:15" x14ac:dyDescent="0.2">
      <c r="A1262" t="s">
        <v>19</v>
      </c>
      <c r="B1262">
        <v>9</v>
      </c>
      <c r="C1262">
        <v>46</v>
      </c>
      <c r="D1262">
        <v>122</v>
      </c>
      <c r="E1262">
        <v>1</v>
      </c>
      <c r="F1262">
        <v>44</v>
      </c>
      <c r="G1262">
        <v>1626501</v>
      </c>
      <c r="H1262">
        <v>1</v>
      </c>
      <c r="I1262">
        <v>0</v>
      </c>
      <c r="J1262">
        <v>1</v>
      </c>
      <c r="K1262">
        <v>0</v>
      </c>
      <c r="L1262">
        <f t="shared" si="76"/>
        <v>19</v>
      </c>
      <c r="M1262">
        <f t="shared" si="77"/>
        <v>228</v>
      </c>
      <c r="N1262">
        <f t="shared" si="78"/>
        <v>106</v>
      </c>
      <c r="O1262">
        <f t="shared" si="79"/>
        <v>2025.8333333333333</v>
      </c>
    </row>
    <row r="1263" spans="1:15" x14ac:dyDescent="0.2">
      <c r="A1263" t="s">
        <v>19</v>
      </c>
      <c r="B1263">
        <v>9</v>
      </c>
      <c r="C1263">
        <v>46</v>
      </c>
      <c r="D1263">
        <v>136</v>
      </c>
      <c r="E1263">
        <v>1</v>
      </c>
      <c r="F1263">
        <v>42</v>
      </c>
      <c r="G1263">
        <v>1141001</v>
      </c>
      <c r="H1263">
        <v>0</v>
      </c>
      <c r="I1263">
        <v>1</v>
      </c>
      <c r="J1263">
        <v>1</v>
      </c>
      <c r="K1263">
        <v>0</v>
      </c>
      <c r="L1263">
        <f t="shared" si="76"/>
        <v>19</v>
      </c>
      <c r="M1263">
        <f t="shared" si="77"/>
        <v>228</v>
      </c>
      <c r="N1263">
        <f t="shared" si="78"/>
        <v>92</v>
      </c>
      <c r="O1263">
        <f t="shared" si="79"/>
        <v>2024.6666666666667</v>
      </c>
    </row>
    <row r="1264" spans="1:15" x14ac:dyDescent="0.2">
      <c r="A1264" t="s">
        <v>19</v>
      </c>
      <c r="B1264">
        <v>9</v>
      </c>
      <c r="C1264">
        <v>46</v>
      </c>
      <c r="D1264">
        <v>141</v>
      </c>
      <c r="E1264">
        <v>1</v>
      </c>
      <c r="F1264">
        <v>43</v>
      </c>
      <c r="G1264">
        <v>841002</v>
      </c>
      <c r="H1264">
        <v>0</v>
      </c>
      <c r="I1264">
        <v>1</v>
      </c>
      <c r="J1264">
        <v>1</v>
      </c>
      <c r="K1264">
        <v>0</v>
      </c>
      <c r="L1264">
        <f t="shared" si="76"/>
        <v>19</v>
      </c>
      <c r="M1264">
        <f t="shared" si="77"/>
        <v>228</v>
      </c>
      <c r="N1264">
        <f t="shared" si="78"/>
        <v>87</v>
      </c>
      <c r="O1264">
        <f t="shared" si="79"/>
        <v>2024.25</v>
      </c>
    </row>
    <row r="1265" spans="1:15" x14ac:dyDescent="0.2">
      <c r="A1265" t="s">
        <v>19</v>
      </c>
      <c r="B1265">
        <v>9</v>
      </c>
      <c r="C1265">
        <v>46</v>
      </c>
      <c r="D1265">
        <v>141</v>
      </c>
      <c r="E1265">
        <v>1</v>
      </c>
      <c r="F1265">
        <v>43</v>
      </c>
      <c r="G1265">
        <v>1127601</v>
      </c>
      <c r="H1265">
        <v>0</v>
      </c>
      <c r="I1265">
        <v>1</v>
      </c>
      <c r="J1265">
        <v>1</v>
      </c>
      <c r="K1265">
        <v>0</v>
      </c>
      <c r="L1265">
        <f t="shared" si="76"/>
        <v>19</v>
      </c>
      <c r="M1265">
        <f t="shared" si="77"/>
        <v>228</v>
      </c>
      <c r="N1265">
        <f t="shared" si="78"/>
        <v>87</v>
      </c>
      <c r="O1265">
        <f t="shared" si="79"/>
        <v>2024.25</v>
      </c>
    </row>
    <row r="1266" spans="1:15" x14ac:dyDescent="0.2">
      <c r="A1266" t="s">
        <v>19</v>
      </c>
      <c r="B1266">
        <v>9</v>
      </c>
      <c r="C1266">
        <v>46</v>
      </c>
      <c r="D1266">
        <v>145</v>
      </c>
      <c r="E1266">
        <v>1</v>
      </c>
      <c r="F1266">
        <v>40</v>
      </c>
      <c r="G1266">
        <v>1080701</v>
      </c>
      <c r="H1266">
        <v>0</v>
      </c>
      <c r="I1266">
        <v>1</v>
      </c>
      <c r="J1266">
        <v>1</v>
      </c>
      <c r="K1266">
        <v>0</v>
      </c>
      <c r="L1266">
        <f t="shared" si="76"/>
        <v>19</v>
      </c>
      <c r="M1266">
        <f t="shared" si="77"/>
        <v>228</v>
      </c>
      <c r="N1266">
        <f t="shared" si="78"/>
        <v>83</v>
      </c>
      <c r="O1266">
        <f t="shared" si="79"/>
        <v>2023.9166666666667</v>
      </c>
    </row>
    <row r="1267" spans="1:15" x14ac:dyDescent="0.2">
      <c r="A1267" t="s">
        <v>19</v>
      </c>
      <c r="B1267">
        <v>9</v>
      </c>
      <c r="C1267">
        <v>46</v>
      </c>
      <c r="D1267">
        <v>153</v>
      </c>
      <c r="E1267">
        <v>1</v>
      </c>
      <c r="F1267">
        <v>42</v>
      </c>
      <c r="G1267">
        <v>1025401</v>
      </c>
      <c r="H1267">
        <v>0</v>
      </c>
      <c r="I1267">
        <v>1</v>
      </c>
      <c r="J1267">
        <v>1</v>
      </c>
      <c r="K1267">
        <v>0</v>
      </c>
      <c r="L1267">
        <f t="shared" si="76"/>
        <v>19</v>
      </c>
      <c r="M1267">
        <f t="shared" si="77"/>
        <v>228</v>
      </c>
      <c r="N1267">
        <f t="shared" si="78"/>
        <v>75</v>
      </c>
      <c r="O1267">
        <f t="shared" si="79"/>
        <v>2023.25</v>
      </c>
    </row>
    <row r="1268" spans="1:15" x14ac:dyDescent="0.2">
      <c r="A1268" t="s">
        <v>19</v>
      </c>
      <c r="B1268">
        <v>9</v>
      </c>
      <c r="C1268">
        <v>46</v>
      </c>
      <c r="D1268">
        <v>163</v>
      </c>
      <c r="E1268">
        <v>1</v>
      </c>
      <c r="F1268">
        <v>44</v>
      </c>
      <c r="G1268">
        <v>945801</v>
      </c>
      <c r="H1268">
        <v>1</v>
      </c>
      <c r="I1268">
        <v>0</v>
      </c>
      <c r="J1268">
        <v>1</v>
      </c>
      <c r="K1268">
        <v>0</v>
      </c>
      <c r="L1268">
        <f t="shared" si="76"/>
        <v>19</v>
      </c>
      <c r="M1268">
        <f t="shared" si="77"/>
        <v>228</v>
      </c>
      <c r="N1268">
        <f t="shared" si="78"/>
        <v>65</v>
      </c>
      <c r="O1268">
        <f t="shared" si="79"/>
        <v>2022.4166666666667</v>
      </c>
    </row>
    <row r="1269" spans="1:15" x14ac:dyDescent="0.2">
      <c r="A1269" t="s">
        <v>19</v>
      </c>
      <c r="B1269">
        <v>9</v>
      </c>
      <c r="C1269">
        <v>46</v>
      </c>
      <c r="D1269">
        <v>176</v>
      </c>
      <c r="E1269">
        <v>12</v>
      </c>
      <c r="F1269">
        <v>42</v>
      </c>
      <c r="G1269">
        <v>897102</v>
      </c>
      <c r="H1269">
        <v>0</v>
      </c>
      <c r="I1269">
        <v>1</v>
      </c>
      <c r="J1269">
        <v>1</v>
      </c>
      <c r="K1269">
        <v>0</v>
      </c>
      <c r="L1269">
        <f t="shared" si="76"/>
        <v>19</v>
      </c>
      <c r="M1269">
        <f t="shared" si="77"/>
        <v>228</v>
      </c>
      <c r="N1269">
        <f t="shared" si="78"/>
        <v>52</v>
      </c>
      <c r="O1269">
        <f t="shared" si="79"/>
        <v>2021.3333333333333</v>
      </c>
    </row>
    <row r="1270" spans="1:15" x14ac:dyDescent="0.2">
      <c r="A1270" t="s">
        <v>19</v>
      </c>
      <c r="B1270">
        <v>9</v>
      </c>
      <c r="C1270">
        <v>46</v>
      </c>
      <c r="D1270">
        <v>200</v>
      </c>
      <c r="E1270">
        <v>12</v>
      </c>
      <c r="F1270">
        <v>42</v>
      </c>
      <c r="G1270">
        <v>794401</v>
      </c>
      <c r="H1270">
        <v>0</v>
      </c>
      <c r="I1270">
        <v>1</v>
      </c>
      <c r="J1270">
        <v>1</v>
      </c>
      <c r="K1270">
        <v>0</v>
      </c>
      <c r="L1270">
        <f t="shared" si="76"/>
        <v>19</v>
      </c>
      <c r="M1270">
        <f t="shared" si="77"/>
        <v>228</v>
      </c>
      <c r="N1270">
        <f t="shared" si="78"/>
        <v>28</v>
      </c>
      <c r="O1270">
        <f t="shared" si="79"/>
        <v>2019.3333333333333</v>
      </c>
    </row>
    <row r="1271" spans="1:15" x14ac:dyDescent="0.2">
      <c r="A1271" t="s">
        <v>19</v>
      </c>
      <c r="B1271">
        <v>9</v>
      </c>
      <c r="C1271">
        <v>46</v>
      </c>
      <c r="D1271">
        <v>224</v>
      </c>
      <c r="E1271">
        <v>1</v>
      </c>
      <c r="F1271">
        <v>33</v>
      </c>
      <c r="G1271">
        <v>276702</v>
      </c>
      <c r="H1271">
        <v>0</v>
      </c>
      <c r="I1271">
        <v>1</v>
      </c>
      <c r="J1271">
        <v>1</v>
      </c>
      <c r="K1271">
        <v>0</v>
      </c>
      <c r="L1271">
        <f t="shared" si="76"/>
        <v>19</v>
      </c>
      <c r="M1271">
        <f t="shared" si="77"/>
        <v>228</v>
      </c>
      <c r="N1271">
        <f t="shared" si="78"/>
        <v>4</v>
      </c>
      <c r="O1271">
        <f t="shared" si="79"/>
        <v>2017.3333333333333</v>
      </c>
    </row>
    <row r="1272" spans="1:15" x14ac:dyDescent="0.2">
      <c r="A1272" t="s">
        <v>19</v>
      </c>
      <c r="B1272">
        <v>9</v>
      </c>
      <c r="C1272">
        <v>47</v>
      </c>
      <c r="D1272">
        <v>1</v>
      </c>
      <c r="E1272">
        <v>12</v>
      </c>
      <c r="F1272">
        <v>36</v>
      </c>
      <c r="G1272">
        <v>2395102</v>
      </c>
      <c r="H1272">
        <v>1</v>
      </c>
      <c r="I1272">
        <v>0</v>
      </c>
      <c r="J1272">
        <v>1</v>
      </c>
      <c r="K1272">
        <v>0</v>
      </c>
      <c r="L1272">
        <f t="shared" si="76"/>
        <v>18</v>
      </c>
      <c r="M1272">
        <f t="shared" si="77"/>
        <v>216</v>
      </c>
      <c r="N1272">
        <f t="shared" si="78"/>
        <v>215</v>
      </c>
      <c r="O1272">
        <f t="shared" si="79"/>
        <v>2034.9166666666667</v>
      </c>
    </row>
    <row r="1273" spans="1:15" x14ac:dyDescent="0.2">
      <c r="A1273" t="s">
        <v>19</v>
      </c>
      <c r="B1273">
        <v>9</v>
      </c>
      <c r="C1273">
        <v>47</v>
      </c>
      <c r="D1273">
        <v>1</v>
      </c>
      <c r="E1273">
        <v>12</v>
      </c>
      <c r="F1273">
        <v>40</v>
      </c>
      <c r="G1273">
        <v>2397503</v>
      </c>
      <c r="H1273">
        <v>1</v>
      </c>
      <c r="I1273">
        <v>0</v>
      </c>
      <c r="J1273">
        <v>1</v>
      </c>
      <c r="K1273">
        <v>0</v>
      </c>
      <c r="L1273">
        <f t="shared" si="76"/>
        <v>18</v>
      </c>
      <c r="M1273">
        <f t="shared" si="77"/>
        <v>216</v>
      </c>
      <c r="N1273">
        <f t="shared" si="78"/>
        <v>215</v>
      </c>
      <c r="O1273">
        <f t="shared" si="79"/>
        <v>2034.9166666666667</v>
      </c>
    </row>
    <row r="1274" spans="1:15" x14ac:dyDescent="0.2">
      <c r="A1274" t="s">
        <v>19</v>
      </c>
      <c r="B1274">
        <v>9</v>
      </c>
      <c r="C1274">
        <v>47</v>
      </c>
      <c r="D1274">
        <v>1</v>
      </c>
      <c r="E1274">
        <v>12</v>
      </c>
      <c r="F1274">
        <v>43</v>
      </c>
      <c r="G1274">
        <v>2413205</v>
      </c>
      <c r="H1274">
        <v>0</v>
      </c>
      <c r="I1274">
        <v>1</v>
      </c>
      <c r="J1274">
        <v>1</v>
      </c>
      <c r="K1274">
        <v>0</v>
      </c>
      <c r="L1274">
        <f t="shared" si="76"/>
        <v>18</v>
      </c>
      <c r="M1274">
        <f t="shared" si="77"/>
        <v>216</v>
      </c>
      <c r="N1274">
        <f t="shared" si="78"/>
        <v>215</v>
      </c>
      <c r="O1274">
        <f t="shared" si="79"/>
        <v>2034.9166666666667</v>
      </c>
    </row>
    <row r="1275" spans="1:15" x14ac:dyDescent="0.2">
      <c r="A1275" t="s">
        <v>19</v>
      </c>
      <c r="B1275">
        <v>9</v>
      </c>
      <c r="C1275">
        <v>47</v>
      </c>
      <c r="D1275">
        <v>2</v>
      </c>
      <c r="E1275">
        <v>12</v>
      </c>
      <c r="F1275">
        <v>40</v>
      </c>
      <c r="G1275">
        <v>2367703</v>
      </c>
      <c r="H1275">
        <v>0</v>
      </c>
      <c r="I1275">
        <v>1</v>
      </c>
      <c r="J1275">
        <v>1</v>
      </c>
      <c r="K1275">
        <v>0</v>
      </c>
      <c r="L1275">
        <f t="shared" si="76"/>
        <v>18</v>
      </c>
      <c r="M1275">
        <f t="shared" si="77"/>
        <v>216</v>
      </c>
      <c r="N1275">
        <f t="shared" si="78"/>
        <v>214</v>
      </c>
      <c r="O1275">
        <f t="shared" si="79"/>
        <v>2034.8333333333333</v>
      </c>
    </row>
    <row r="1276" spans="1:15" x14ac:dyDescent="0.2">
      <c r="A1276" t="s">
        <v>19</v>
      </c>
      <c r="B1276">
        <v>9</v>
      </c>
      <c r="C1276">
        <v>47</v>
      </c>
      <c r="D1276">
        <v>2</v>
      </c>
      <c r="E1276">
        <v>12</v>
      </c>
      <c r="F1276">
        <v>43</v>
      </c>
      <c r="G1276">
        <v>2368801</v>
      </c>
      <c r="H1276">
        <v>0</v>
      </c>
      <c r="I1276">
        <v>1</v>
      </c>
      <c r="J1276">
        <v>1</v>
      </c>
      <c r="K1276">
        <v>0</v>
      </c>
      <c r="L1276">
        <f t="shared" si="76"/>
        <v>18</v>
      </c>
      <c r="M1276">
        <f t="shared" si="77"/>
        <v>216</v>
      </c>
      <c r="N1276">
        <f t="shared" si="78"/>
        <v>214</v>
      </c>
      <c r="O1276">
        <f t="shared" si="79"/>
        <v>2034.8333333333333</v>
      </c>
    </row>
    <row r="1277" spans="1:15" x14ac:dyDescent="0.2">
      <c r="A1277" t="s">
        <v>19</v>
      </c>
      <c r="B1277">
        <v>9</v>
      </c>
      <c r="C1277">
        <v>47</v>
      </c>
      <c r="D1277">
        <v>2</v>
      </c>
      <c r="E1277">
        <v>12</v>
      </c>
      <c r="F1277">
        <v>43</v>
      </c>
      <c r="G1277">
        <v>2370902</v>
      </c>
      <c r="H1277">
        <v>1</v>
      </c>
      <c r="I1277">
        <v>0</v>
      </c>
      <c r="J1277">
        <v>1</v>
      </c>
      <c r="K1277">
        <v>0</v>
      </c>
      <c r="L1277">
        <f t="shared" si="76"/>
        <v>18</v>
      </c>
      <c r="M1277">
        <f t="shared" si="77"/>
        <v>216</v>
      </c>
      <c r="N1277">
        <f t="shared" si="78"/>
        <v>214</v>
      </c>
      <c r="O1277">
        <f t="shared" si="79"/>
        <v>2034.8333333333333</v>
      </c>
    </row>
    <row r="1278" spans="1:15" x14ac:dyDescent="0.2">
      <c r="A1278" t="s">
        <v>19</v>
      </c>
      <c r="B1278">
        <v>9</v>
      </c>
      <c r="C1278">
        <v>47</v>
      </c>
      <c r="D1278">
        <v>2</v>
      </c>
      <c r="E1278">
        <v>12</v>
      </c>
      <c r="F1278">
        <v>43</v>
      </c>
      <c r="G1278">
        <v>2380002</v>
      </c>
      <c r="H1278">
        <v>0</v>
      </c>
      <c r="I1278">
        <v>1</v>
      </c>
      <c r="J1278">
        <v>1</v>
      </c>
      <c r="K1278">
        <v>0</v>
      </c>
      <c r="L1278">
        <f t="shared" si="76"/>
        <v>18</v>
      </c>
      <c r="M1278">
        <f t="shared" si="77"/>
        <v>216</v>
      </c>
      <c r="N1278">
        <f t="shared" si="78"/>
        <v>214</v>
      </c>
      <c r="O1278">
        <f t="shared" si="79"/>
        <v>2034.8333333333333</v>
      </c>
    </row>
    <row r="1279" spans="1:15" x14ac:dyDescent="0.2">
      <c r="A1279" t="s">
        <v>19</v>
      </c>
      <c r="B1279">
        <v>9</v>
      </c>
      <c r="C1279">
        <v>47</v>
      </c>
      <c r="D1279">
        <v>2</v>
      </c>
      <c r="E1279">
        <v>12</v>
      </c>
      <c r="F1279">
        <v>45</v>
      </c>
      <c r="G1279">
        <v>2381103</v>
      </c>
      <c r="H1279">
        <v>1</v>
      </c>
      <c r="I1279">
        <v>1</v>
      </c>
      <c r="J1279">
        <v>1</v>
      </c>
      <c r="K1279">
        <v>0</v>
      </c>
      <c r="L1279">
        <f t="shared" si="76"/>
        <v>18</v>
      </c>
      <c r="M1279">
        <f t="shared" si="77"/>
        <v>216</v>
      </c>
      <c r="N1279">
        <f t="shared" si="78"/>
        <v>214</v>
      </c>
      <c r="O1279">
        <f t="shared" si="79"/>
        <v>2034.8333333333333</v>
      </c>
    </row>
    <row r="1280" spans="1:15" x14ac:dyDescent="0.2">
      <c r="A1280" t="s">
        <v>19</v>
      </c>
      <c r="B1280">
        <v>9</v>
      </c>
      <c r="C1280">
        <v>47</v>
      </c>
      <c r="D1280">
        <v>3</v>
      </c>
      <c r="E1280">
        <v>12</v>
      </c>
      <c r="F1280">
        <v>36</v>
      </c>
      <c r="G1280">
        <v>2362003</v>
      </c>
      <c r="H1280">
        <v>0</v>
      </c>
      <c r="I1280">
        <v>1</v>
      </c>
      <c r="J1280">
        <v>1</v>
      </c>
      <c r="K1280">
        <v>0</v>
      </c>
      <c r="L1280">
        <f t="shared" si="76"/>
        <v>18</v>
      </c>
      <c r="M1280">
        <f t="shared" si="77"/>
        <v>216</v>
      </c>
      <c r="N1280">
        <f t="shared" si="78"/>
        <v>213</v>
      </c>
      <c r="O1280">
        <f t="shared" si="79"/>
        <v>2034.75</v>
      </c>
    </row>
    <row r="1281" spans="1:15" x14ac:dyDescent="0.2">
      <c r="A1281" t="s">
        <v>19</v>
      </c>
      <c r="B1281">
        <v>9</v>
      </c>
      <c r="C1281">
        <v>47</v>
      </c>
      <c r="D1281">
        <v>3</v>
      </c>
      <c r="E1281">
        <v>12</v>
      </c>
      <c r="F1281">
        <v>38</v>
      </c>
      <c r="G1281">
        <v>2356803</v>
      </c>
      <c r="H1281">
        <v>0</v>
      </c>
      <c r="I1281">
        <v>1</v>
      </c>
      <c r="J1281">
        <v>1</v>
      </c>
      <c r="K1281">
        <v>0</v>
      </c>
      <c r="L1281">
        <f t="shared" si="76"/>
        <v>18</v>
      </c>
      <c r="M1281">
        <f t="shared" si="77"/>
        <v>216</v>
      </c>
      <c r="N1281">
        <f t="shared" si="78"/>
        <v>213</v>
      </c>
      <c r="O1281">
        <f t="shared" si="79"/>
        <v>2034.75</v>
      </c>
    </row>
    <row r="1282" spans="1:15" x14ac:dyDescent="0.2">
      <c r="A1282" t="s">
        <v>19</v>
      </c>
      <c r="B1282">
        <v>9</v>
      </c>
      <c r="C1282">
        <v>47</v>
      </c>
      <c r="D1282">
        <v>5</v>
      </c>
      <c r="E1282">
        <v>4</v>
      </c>
      <c r="F1282">
        <v>35</v>
      </c>
      <c r="G1282">
        <v>2342501</v>
      </c>
      <c r="H1282">
        <v>0</v>
      </c>
      <c r="I1282">
        <v>1</v>
      </c>
      <c r="J1282">
        <v>1</v>
      </c>
      <c r="K1282">
        <v>0</v>
      </c>
      <c r="L1282">
        <f t="shared" si="76"/>
        <v>18</v>
      </c>
      <c r="M1282">
        <f t="shared" si="77"/>
        <v>216</v>
      </c>
      <c r="N1282">
        <f t="shared" si="78"/>
        <v>211</v>
      </c>
      <c r="O1282">
        <f t="shared" si="79"/>
        <v>2034.5833333333333</v>
      </c>
    </row>
    <row r="1283" spans="1:15" x14ac:dyDescent="0.2">
      <c r="A1283" t="s">
        <v>19</v>
      </c>
      <c r="B1283">
        <v>9</v>
      </c>
      <c r="C1283">
        <v>47</v>
      </c>
      <c r="D1283">
        <v>6</v>
      </c>
      <c r="E1283">
        <v>1</v>
      </c>
      <c r="F1283">
        <v>45</v>
      </c>
      <c r="G1283">
        <v>2340001</v>
      </c>
      <c r="H1283">
        <v>0</v>
      </c>
      <c r="I1283">
        <v>1</v>
      </c>
      <c r="J1283">
        <v>1</v>
      </c>
      <c r="K1283">
        <v>0</v>
      </c>
      <c r="L1283">
        <f t="shared" si="76"/>
        <v>18</v>
      </c>
      <c r="M1283">
        <f t="shared" si="77"/>
        <v>216</v>
      </c>
      <c r="N1283">
        <f t="shared" si="78"/>
        <v>210</v>
      </c>
      <c r="O1283">
        <f t="shared" si="79"/>
        <v>2034.5</v>
      </c>
    </row>
    <row r="1284" spans="1:15" x14ac:dyDescent="0.2">
      <c r="A1284" t="s">
        <v>19</v>
      </c>
      <c r="B1284">
        <v>9</v>
      </c>
      <c r="C1284">
        <v>47</v>
      </c>
      <c r="D1284">
        <v>6</v>
      </c>
      <c r="E1284">
        <v>12</v>
      </c>
      <c r="F1284">
        <v>38</v>
      </c>
      <c r="G1284">
        <v>2333403</v>
      </c>
      <c r="H1284">
        <v>0</v>
      </c>
      <c r="I1284">
        <v>1</v>
      </c>
      <c r="J1284">
        <v>1</v>
      </c>
      <c r="K1284">
        <v>0</v>
      </c>
      <c r="L1284">
        <f t="shared" si="76"/>
        <v>18</v>
      </c>
      <c r="M1284">
        <f t="shared" si="77"/>
        <v>216</v>
      </c>
      <c r="N1284">
        <f t="shared" si="78"/>
        <v>210</v>
      </c>
      <c r="O1284">
        <f t="shared" si="79"/>
        <v>2034.5</v>
      </c>
    </row>
    <row r="1285" spans="1:15" x14ac:dyDescent="0.2">
      <c r="A1285" t="s">
        <v>19</v>
      </c>
      <c r="B1285">
        <v>9</v>
      </c>
      <c r="C1285">
        <v>47</v>
      </c>
      <c r="D1285">
        <v>7</v>
      </c>
      <c r="E1285">
        <v>12</v>
      </c>
      <c r="F1285">
        <v>45</v>
      </c>
      <c r="G1285">
        <v>2326703</v>
      </c>
      <c r="H1285">
        <v>0</v>
      </c>
      <c r="I1285">
        <v>1</v>
      </c>
      <c r="J1285">
        <v>1</v>
      </c>
      <c r="K1285">
        <v>0</v>
      </c>
      <c r="L1285">
        <f t="shared" si="76"/>
        <v>18</v>
      </c>
      <c r="M1285">
        <f t="shared" si="77"/>
        <v>216</v>
      </c>
      <c r="N1285">
        <f t="shared" si="78"/>
        <v>209</v>
      </c>
      <c r="O1285">
        <f t="shared" si="79"/>
        <v>2034.4166666666667</v>
      </c>
    </row>
    <row r="1286" spans="1:15" x14ac:dyDescent="0.2">
      <c r="A1286" t="s">
        <v>19</v>
      </c>
      <c r="B1286">
        <v>9</v>
      </c>
      <c r="C1286">
        <v>47</v>
      </c>
      <c r="D1286">
        <v>7</v>
      </c>
      <c r="E1286">
        <v>12</v>
      </c>
      <c r="F1286">
        <v>46</v>
      </c>
      <c r="G1286">
        <v>2323303</v>
      </c>
      <c r="H1286">
        <v>0</v>
      </c>
      <c r="I1286">
        <v>1</v>
      </c>
      <c r="J1286">
        <v>1</v>
      </c>
      <c r="K1286">
        <v>0</v>
      </c>
      <c r="L1286">
        <f t="shared" si="76"/>
        <v>18</v>
      </c>
      <c r="M1286">
        <f t="shared" si="77"/>
        <v>216</v>
      </c>
      <c r="N1286">
        <f t="shared" si="78"/>
        <v>209</v>
      </c>
      <c r="O1286">
        <f t="shared" si="79"/>
        <v>2034.4166666666667</v>
      </c>
    </row>
    <row r="1287" spans="1:15" x14ac:dyDescent="0.2">
      <c r="A1287" t="s">
        <v>19</v>
      </c>
      <c r="B1287">
        <v>9</v>
      </c>
      <c r="C1287">
        <v>47</v>
      </c>
      <c r="D1287">
        <v>10</v>
      </c>
      <c r="E1287">
        <v>1</v>
      </c>
      <c r="F1287">
        <v>33</v>
      </c>
      <c r="G1287">
        <v>2298101</v>
      </c>
      <c r="H1287">
        <v>0</v>
      </c>
      <c r="I1287">
        <v>1</v>
      </c>
      <c r="J1287">
        <v>1</v>
      </c>
      <c r="K1287">
        <v>0</v>
      </c>
      <c r="L1287">
        <f t="shared" ref="L1287:L1350" si="80">65-C1287</f>
        <v>18</v>
      </c>
      <c r="M1287">
        <f t="shared" ref="M1287:M1350" si="81">L1287*12</f>
        <v>216</v>
      </c>
      <c r="N1287">
        <f t="shared" ref="N1287:N1350" si="82">M1287-D1287</f>
        <v>206</v>
      </c>
      <c r="O1287">
        <f t="shared" ref="O1287:O1350" si="83">2017+N1287/12</f>
        <v>2034.1666666666667</v>
      </c>
    </row>
    <row r="1288" spans="1:15" x14ac:dyDescent="0.2">
      <c r="A1288" t="s">
        <v>19</v>
      </c>
      <c r="B1288">
        <v>9</v>
      </c>
      <c r="C1288">
        <v>47</v>
      </c>
      <c r="D1288">
        <v>10</v>
      </c>
      <c r="E1288">
        <v>1</v>
      </c>
      <c r="F1288">
        <v>43</v>
      </c>
      <c r="G1288">
        <v>2290701</v>
      </c>
      <c r="H1288">
        <v>0</v>
      </c>
      <c r="I1288">
        <v>1</v>
      </c>
      <c r="J1288">
        <v>1</v>
      </c>
      <c r="K1288">
        <v>0</v>
      </c>
      <c r="L1288">
        <f t="shared" si="80"/>
        <v>18</v>
      </c>
      <c r="M1288">
        <f t="shared" si="81"/>
        <v>216</v>
      </c>
      <c r="N1288">
        <f t="shared" si="82"/>
        <v>206</v>
      </c>
      <c r="O1288">
        <f t="shared" si="83"/>
        <v>2034.1666666666667</v>
      </c>
    </row>
    <row r="1289" spans="1:15" x14ac:dyDescent="0.2">
      <c r="A1289" t="s">
        <v>19</v>
      </c>
      <c r="B1289">
        <v>9</v>
      </c>
      <c r="C1289">
        <v>47</v>
      </c>
      <c r="D1289">
        <v>11</v>
      </c>
      <c r="E1289">
        <v>12</v>
      </c>
      <c r="F1289">
        <v>45</v>
      </c>
      <c r="G1289">
        <v>2286803</v>
      </c>
      <c r="H1289">
        <v>1</v>
      </c>
      <c r="I1289">
        <v>0</v>
      </c>
      <c r="J1289">
        <v>1</v>
      </c>
      <c r="K1289">
        <v>0</v>
      </c>
      <c r="L1289">
        <f t="shared" si="80"/>
        <v>18</v>
      </c>
      <c r="M1289">
        <f t="shared" si="81"/>
        <v>216</v>
      </c>
      <c r="N1289">
        <f t="shared" si="82"/>
        <v>205</v>
      </c>
      <c r="O1289">
        <f t="shared" si="83"/>
        <v>2034.0833333333333</v>
      </c>
    </row>
    <row r="1290" spans="1:15" x14ac:dyDescent="0.2">
      <c r="A1290" t="s">
        <v>19</v>
      </c>
      <c r="B1290">
        <v>9</v>
      </c>
      <c r="C1290">
        <v>47</v>
      </c>
      <c r="D1290">
        <v>11</v>
      </c>
      <c r="E1290">
        <v>12</v>
      </c>
      <c r="F1290">
        <v>45</v>
      </c>
      <c r="G1290">
        <v>2287403</v>
      </c>
      <c r="H1290">
        <v>1</v>
      </c>
      <c r="I1290">
        <v>0</v>
      </c>
      <c r="J1290">
        <v>1</v>
      </c>
      <c r="K1290">
        <v>0</v>
      </c>
      <c r="L1290">
        <f t="shared" si="80"/>
        <v>18</v>
      </c>
      <c r="M1290">
        <f t="shared" si="81"/>
        <v>216</v>
      </c>
      <c r="N1290">
        <f t="shared" si="82"/>
        <v>205</v>
      </c>
      <c r="O1290">
        <f t="shared" si="83"/>
        <v>2034.0833333333333</v>
      </c>
    </row>
    <row r="1291" spans="1:15" x14ac:dyDescent="0.2">
      <c r="A1291" t="s">
        <v>19</v>
      </c>
      <c r="B1291">
        <v>9</v>
      </c>
      <c r="C1291">
        <v>47</v>
      </c>
      <c r="D1291">
        <v>12</v>
      </c>
      <c r="E1291">
        <v>12</v>
      </c>
      <c r="F1291">
        <v>44</v>
      </c>
      <c r="G1291">
        <v>1853503</v>
      </c>
      <c r="H1291">
        <v>1</v>
      </c>
      <c r="I1291">
        <v>0</v>
      </c>
      <c r="J1291">
        <v>1</v>
      </c>
      <c r="K1291">
        <v>0</v>
      </c>
      <c r="L1291">
        <f t="shared" si="80"/>
        <v>18</v>
      </c>
      <c r="M1291">
        <f t="shared" si="81"/>
        <v>216</v>
      </c>
      <c r="N1291">
        <f t="shared" si="82"/>
        <v>204</v>
      </c>
      <c r="O1291">
        <f t="shared" si="83"/>
        <v>2034</v>
      </c>
    </row>
    <row r="1292" spans="1:15" x14ac:dyDescent="0.2">
      <c r="A1292" t="s">
        <v>19</v>
      </c>
      <c r="B1292">
        <v>9</v>
      </c>
      <c r="C1292">
        <v>47</v>
      </c>
      <c r="D1292">
        <v>14</v>
      </c>
      <c r="E1292">
        <v>12</v>
      </c>
      <c r="F1292">
        <v>44</v>
      </c>
      <c r="G1292">
        <v>2258001</v>
      </c>
      <c r="H1292">
        <v>1</v>
      </c>
      <c r="I1292">
        <v>0</v>
      </c>
      <c r="J1292">
        <v>1</v>
      </c>
      <c r="K1292">
        <v>0</v>
      </c>
      <c r="L1292">
        <f t="shared" si="80"/>
        <v>18</v>
      </c>
      <c r="M1292">
        <f t="shared" si="81"/>
        <v>216</v>
      </c>
      <c r="N1292">
        <f t="shared" si="82"/>
        <v>202</v>
      </c>
      <c r="O1292">
        <f t="shared" si="83"/>
        <v>2033.8333333333333</v>
      </c>
    </row>
    <row r="1293" spans="1:15" x14ac:dyDescent="0.2">
      <c r="A1293" t="s">
        <v>19</v>
      </c>
      <c r="B1293">
        <v>9</v>
      </c>
      <c r="C1293">
        <v>47</v>
      </c>
      <c r="D1293">
        <v>17</v>
      </c>
      <c r="E1293">
        <v>1</v>
      </c>
      <c r="F1293">
        <v>38</v>
      </c>
      <c r="G1293">
        <v>2243201</v>
      </c>
      <c r="H1293">
        <v>0</v>
      </c>
      <c r="I1293">
        <v>1</v>
      </c>
      <c r="J1293">
        <v>1</v>
      </c>
      <c r="K1293">
        <v>0</v>
      </c>
      <c r="L1293">
        <f t="shared" si="80"/>
        <v>18</v>
      </c>
      <c r="M1293">
        <f t="shared" si="81"/>
        <v>216</v>
      </c>
      <c r="N1293">
        <f t="shared" si="82"/>
        <v>199</v>
      </c>
      <c r="O1293">
        <f t="shared" si="83"/>
        <v>2033.5833333333333</v>
      </c>
    </row>
    <row r="1294" spans="1:15" x14ac:dyDescent="0.2">
      <c r="A1294" t="s">
        <v>19</v>
      </c>
      <c r="B1294">
        <v>9</v>
      </c>
      <c r="C1294">
        <v>47</v>
      </c>
      <c r="D1294">
        <v>17</v>
      </c>
      <c r="E1294">
        <v>1</v>
      </c>
      <c r="F1294">
        <v>42</v>
      </c>
      <c r="G1294">
        <v>2239301</v>
      </c>
      <c r="H1294">
        <v>0</v>
      </c>
      <c r="I1294">
        <v>1</v>
      </c>
      <c r="J1294">
        <v>1</v>
      </c>
      <c r="K1294">
        <v>0</v>
      </c>
      <c r="L1294">
        <f t="shared" si="80"/>
        <v>18</v>
      </c>
      <c r="M1294">
        <f t="shared" si="81"/>
        <v>216</v>
      </c>
      <c r="N1294">
        <f t="shared" si="82"/>
        <v>199</v>
      </c>
      <c r="O1294">
        <f t="shared" si="83"/>
        <v>2033.5833333333333</v>
      </c>
    </row>
    <row r="1295" spans="1:15" x14ac:dyDescent="0.2">
      <c r="A1295" t="s">
        <v>19</v>
      </c>
      <c r="B1295">
        <v>9</v>
      </c>
      <c r="C1295">
        <v>47</v>
      </c>
      <c r="D1295">
        <v>21</v>
      </c>
      <c r="E1295">
        <v>12</v>
      </c>
      <c r="F1295">
        <v>47</v>
      </c>
      <c r="G1295">
        <v>2225502</v>
      </c>
      <c r="H1295">
        <v>1</v>
      </c>
      <c r="I1295">
        <v>0</v>
      </c>
      <c r="J1295">
        <v>1</v>
      </c>
      <c r="K1295">
        <v>0</v>
      </c>
      <c r="L1295">
        <f t="shared" si="80"/>
        <v>18</v>
      </c>
      <c r="M1295">
        <f t="shared" si="81"/>
        <v>216</v>
      </c>
      <c r="N1295">
        <f t="shared" si="82"/>
        <v>195</v>
      </c>
      <c r="O1295">
        <f t="shared" si="83"/>
        <v>2033.25</v>
      </c>
    </row>
    <row r="1296" spans="1:15" x14ac:dyDescent="0.2">
      <c r="A1296" t="s">
        <v>19</v>
      </c>
      <c r="B1296">
        <v>9</v>
      </c>
      <c r="C1296">
        <v>47</v>
      </c>
      <c r="D1296">
        <v>23</v>
      </c>
      <c r="E1296">
        <v>12</v>
      </c>
      <c r="F1296">
        <v>37</v>
      </c>
      <c r="G1296">
        <v>2216301</v>
      </c>
      <c r="H1296">
        <v>0</v>
      </c>
      <c r="I1296">
        <v>1</v>
      </c>
      <c r="J1296">
        <v>1</v>
      </c>
      <c r="K1296">
        <v>0</v>
      </c>
      <c r="L1296">
        <f t="shared" si="80"/>
        <v>18</v>
      </c>
      <c r="M1296">
        <f t="shared" si="81"/>
        <v>216</v>
      </c>
      <c r="N1296">
        <f t="shared" si="82"/>
        <v>193</v>
      </c>
      <c r="O1296">
        <f t="shared" si="83"/>
        <v>2033.0833333333333</v>
      </c>
    </row>
    <row r="1297" spans="1:15" x14ac:dyDescent="0.2">
      <c r="A1297" t="s">
        <v>19</v>
      </c>
      <c r="B1297">
        <v>9</v>
      </c>
      <c r="C1297">
        <v>47</v>
      </c>
      <c r="D1297">
        <v>25</v>
      </c>
      <c r="E1297">
        <v>4</v>
      </c>
      <c r="F1297">
        <v>45</v>
      </c>
      <c r="G1297">
        <v>2136001</v>
      </c>
      <c r="H1297">
        <v>1</v>
      </c>
      <c r="I1297">
        <v>0</v>
      </c>
      <c r="J1297">
        <v>1</v>
      </c>
      <c r="K1297">
        <v>0</v>
      </c>
      <c r="L1297">
        <f t="shared" si="80"/>
        <v>18</v>
      </c>
      <c r="M1297">
        <f t="shared" si="81"/>
        <v>216</v>
      </c>
      <c r="N1297">
        <f t="shared" si="82"/>
        <v>191</v>
      </c>
      <c r="O1297">
        <f t="shared" si="83"/>
        <v>2032.9166666666667</v>
      </c>
    </row>
    <row r="1298" spans="1:15" x14ac:dyDescent="0.2">
      <c r="A1298" t="s">
        <v>19</v>
      </c>
      <c r="B1298">
        <v>9</v>
      </c>
      <c r="C1298">
        <v>47</v>
      </c>
      <c r="D1298">
        <v>34</v>
      </c>
      <c r="E1298">
        <v>2</v>
      </c>
      <c r="F1298">
        <v>43</v>
      </c>
      <c r="G1298">
        <v>2154701</v>
      </c>
      <c r="H1298">
        <v>0</v>
      </c>
      <c r="I1298">
        <v>1</v>
      </c>
      <c r="J1298">
        <v>1</v>
      </c>
      <c r="K1298">
        <v>0</v>
      </c>
      <c r="L1298">
        <f t="shared" si="80"/>
        <v>18</v>
      </c>
      <c r="M1298">
        <f t="shared" si="81"/>
        <v>216</v>
      </c>
      <c r="N1298">
        <f t="shared" si="82"/>
        <v>182</v>
      </c>
      <c r="O1298">
        <f t="shared" si="83"/>
        <v>2032.1666666666667</v>
      </c>
    </row>
    <row r="1299" spans="1:15" x14ac:dyDescent="0.2">
      <c r="A1299" t="s">
        <v>19</v>
      </c>
      <c r="B1299">
        <v>9</v>
      </c>
      <c r="C1299">
        <v>47</v>
      </c>
      <c r="D1299">
        <v>36</v>
      </c>
      <c r="E1299">
        <v>2</v>
      </c>
      <c r="F1299">
        <v>45</v>
      </c>
      <c r="G1299">
        <v>2144401</v>
      </c>
      <c r="H1299">
        <v>0</v>
      </c>
      <c r="I1299">
        <v>1</v>
      </c>
      <c r="J1299">
        <v>1</v>
      </c>
      <c r="K1299">
        <v>0</v>
      </c>
      <c r="L1299">
        <f t="shared" si="80"/>
        <v>18</v>
      </c>
      <c r="M1299">
        <f t="shared" si="81"/>
        <v>216</v>
      </c>
      <c r="N1299">
        <f t="shared" si="82"/>
        <v>180</v>
      </c>
      <c r="O1299">
        <f t="shared" si="83"/>
        <v>2032</v>
      </c>
    </row>
    <row r="1300" spans="1:15" x14ac:dyDescent="0.2">
      <c r="A1300" t="s">
        <v>19</v>
      </c>
      <c r="B1300">
        <v>9</v>
      </c>
      <c r="C1300">
        <v>47</v>
      </c>
      <c r="D1300">
        <v>37</v>
      </c>
      <c r="E1300">
        <v>1</v>
      </c>
      <c r="F1300">
        <v>41</v>
      </c>
      <c r="G1300">
        <v>2141101</v>
      </c>
      <c r="H1300">
        <v>1</v>
      </c>
      <c r="I1300">
        <v>0</v>
      </c>
      <c r="J1300">
        <v>1</v>
      </c>
      <c r="K1300">
        <v>0</v>
      </c>
      <c r="L1300">
        <f t="shared" si="80"/>
        <v>18</v>
      </c>
      <c r="M1300">
        <f t="shared" si="81"/>
        <v>216</v>
      </c>
      <c r="N1300">
        <f t="shared" si="82"/>
        <v>179</v>
      </c>
      <c r="O1300">
        <f t="shared" si="83"/>
        <v>2031.9166666666667</v>
      </c>
    </row>
    <row r="1301" spans="1:15" x14ac:dyDescent="0.2">
      <c r="A1301" t="s">
        <v>19</v>
      </c>
      <c r="B1301">
        <v>9</v>
      </c>
      <c r="C1301">
        <v>47</v>
      </c>
      <c r="D1301">
        <v>39</v>
      </c>
      <c r="E1301">
        <v>4</v>
      </c>
      <c r="F1301">
        <v>42</v>
      </c>
      <c r="G1301">
        <v>2133601</v>
      </c>
      <c r="H1301">
        <v>0</v>
      </c>
      <c r="I1301">
        <v>1</v>
      </c>
      <c r="J1301">
        <v>1</v>
      </c>
      <c r="K1301">
        <v>0</v>
      </c>
      <c r="L1301">
        <f t="shared" si="80"/>
        <v>18</v>
      </c>
      <c r="M1301">
        <f t="shared" si="81"/>
        <v>216</v>
      </c>
      <c r="N1301">
        <f t="shared" si="82"/>
        <v>177</v>
      </c>
      <c r="O1301">
        <f t="shared" si="83"/>
        <v>2031.75</v>
      </c>
    </row>
    <row r="1302" spans="1:15" x14ac:dyDescent="0.2">
      <c r="A1302" t="s">
        <v>19</v>
      </c>
      <c r="B1302">
        <v>9</v>
      </c>
      <c r="C1302">
        <v>47</v>
      </c>
      <c r="D1302">
        <v>41</v>
      </c>
      <c r="E1302">
        <v>1</v>
      </c>
      <c r="F1302">
        <v>45</v>
      </c>
      <c r="G1302">
        <v>2126401</v>
      </c>
      <c r="H1302">
        <v>0</v>
      </c>
      <c r="I1302">
        <v>1</v>
      </c>
      <c r="J1302">
        <v>1</v>
      </c>
      <c r="K1302">
        <v>0</v>
      </c>
      <c r="L1302">
        <f t="shared" si="80"/>
        <v>18</v>
      </c>
      <c r="M1302">
        <f t="shared" si="81"/>
        <v>216</v>
      </c>
      <c r="N1302">
        <f t="shared" si="82"/>
        <v>175</v>
      </c>
      <c r="O1302">
        <f t="shared" si="83"/>
        <v>2031.5833333333333</v>
      </c>
    </row>
    <row r="1303" spans="1:15" x14ac:dyDescent="0.2">
      <c r="A1303" t="s">
        <v>19</v>
      </c>
      <c r="B1303">
        <v>9</v>
      </c>
      <c r="C1303">
        <v>47</v>
      </c>
      <c r="D1303">
        <v>41</v>
      </c>
      <c r="E1303">
        <v>12</v>
      </c>
      <c r="F1303">
        <v>45</v>
      </c>
      <c r="G1303">
        <v>400003</v>
      </c>
      <c r="H1303">
        <v>1</v>
      </c>
      <c r="I1303">
        <v>0</v>
      </c>
      <c r="J1303">
        <v>1</v>
      </c>
      <c r="K1303">
        <v>0</v>
      </c>
      <c r="L1303">
        <f t="shared" si="80"/>
        <v>18</v>
      </c>
      <c r="M1303">
        <f t="shared" si="81"/>
        <v>216</v>
      </c>
      <c r="N1303">
        <f t="shared" si="82"/>
        <v>175</v>
      </c>
      <c r="O1303">
        <f t="shared" si="83"/>
        <v>2031.5833333333333</v>
      </c>
    </row>
    <row r="1304" spans="1:15" x14ac:dyDescent="0.2">
      <c r="A1304" t="s">
        <v>19</v>
      </c>
      <c r="B1304">
        <v>9</v>
      </c>
      <c r="C1304">
        <v>47</v>
      </c>
      <c r="D1304">
        <v>45</v>
      </c>
      <c r="E1304">
        <v>1</v>
      </c>
      <c r="F1304">
        <v>43</v>
      </c>
      <c r="G1304">
        <v>2104901</v>
      </c>
      <c r="H1304">
        <v>1</v>
      </c>
      <c r="I1304">
        <v>0</v>
      </c>
      <c r="J1304">
        <v>1</v>
      </c>
      <c r="K1304">
        <v>0</v>
      </c>
      <c r="L1304">
        <f t="shared" si="80"/>
        <v>18</v>
      </c>
      <c r="M1304">
        <f t="shared" si="81"/>
        <v>216</v>
      </c>
      <c r="N1304">
        <f t="shared" si="82"/>
        <v>171</v>
      </c>
      <c r="O1304">
        <f t="shared" si="83"/>
        <v>2031.25</v>
      </c>
    </row>
    <row r="1305" spans="1:15" x14ac:dyDescent="0.2">
      <c r="A1305" t="s">
        <v>19</v>
      </c>
      <c r="B1305">
        <v>9</v>
      </c>
      <c r="C1305">
        <v>47</v>
      </c>
      <c r="D1305">
        <v>46</v>
      </c>
      <c r="E1305">
        <v>4</v>
      </c>
      <c r="F1305">
        <v>46</v>
      </c>
      <c r="G1305">
        <v>2098401</v>
      </c>
      <c r="H1305">
        <v>1</v>
      </c>
      <c r="I1305">
        <v>0</v>
      </c>
      <c r="J1305">
        <v>1</v>
      </c>
      <c r="K1305">
        <v>0</v>
      </c>
      <c r="L1305">
        <f t="shared" si="80"/>
        <v>18</v>
      </c>
      <c r="M1305">
        <f t="shared" si="81"/>
        <v>216</v>
      </c>
      <c r="N1305">
        <f t="shared" si="82"/>
        <v>170</v>
      </c>
      <c r="O1305">
        <f t="shared" si="83"/>
        <v>2031.1666666666667</v>
      </c>
    </row>
    <row r="1306" spans="1:15" x14ac:dyDescent="0.2">
      <c r="A1306" t="s">
        <v>19</v>
      </c>
      <c r="B1306">
        <v>9</v>
      </c>
      <c r="C1306">
        <v>47</v>
      </c>
      <c r="D1306">
        <v>49</v>
      </c>
      <c r="E1306">
        <v>1</v>
      </c>
      <c r="F1306">
        <v>42</v>
      </c>
      <c r="G1306">
        <v>2085401</v>
      </c>
      <c r="H1306">
        <v>0</v>
      </c>
      <c r="I1306">
        <v>1</v>
      </c>
      <c r="J1306">
        <v>1</v>
      </c>
      <c r="K1306">
        <v>0</v>
      </c>
      <c r="L1306">
        <f t="shared" si="80"/>
        <v>18</v>
      </c>
      <c r="M1306">
        <f t="shared" si="81"/>
        <v>216</v>
      </c>
      <c r="N1306">
        <f t="shared" si="82"/>
        <v>167</v>
      </c>
      <c r="O1306">
        <f t="shared" si="83"/>
        <v>2030.9166666666667</v>
      </c>
    </row>
    <row r="1307" spans="1:15" x14ac:dyDescent="0.2">
      <c r="A1307" t="s">
        <v>19</v>
      </c>
      <c r="B1307">
        <v>9</v>
      </c>
      <c r="C1307">
        <v>47</v>
      </c>
      <c r="D1307">
        <v>51</v>
      </c>
      <c r="E1307">
        <v>12</v>
      </c>
      <c r="F1307">
        <v>44</v>
      </c>
      <c r="G1307">
        <v>2077102</v>
      </c>
      <c r="H1307">
        <v>0</v>
      </c>
      <c r="I1307">
        <v>1</v>
      </c>
      <c r="J1307">
        <v>1</v>
      </c>
      <c r="K1307">
        <v>0</v>
      </c>
      <c r="L1307">
        <f t="shared" si="80"/>
        <v>18</v>
      </c>
      <c r="M1307">
        <f t="shared" si="81"/>
        <v>216</v>
      </c>
      <c r="N1307">
        <f t="shared" si="82"/>
        <v>165</v>
      </c>
      <c r="O1307">
        <f t="shared" si="83"/>
        <v>2030.75</v>
      </c>
    </row>
    <row r="1308" spans="1:15" x14ac:dyDescent="0.2">
      <c r="A1308" t="s">
        <v>19</v>
      </c>
      <c r="B1308">
        <v>9</v>
      </c>
      <c r="C1308">
        <v>47</v>
      </c>
      <c r="D1308">
        <v>52</v>
      </c>
      <c r="E1308">
        <v>2</v>
      </c>
      <c r="F1308">
        <v>45</v>
      </c>
      <c r="G1308">
        <v>2073602</v>
      </c>
      <c r="H1308">
        <v>0</v>
      </c>
      <c r="I1308">
        <v>1</v>
      </c>
      <c r="J1308">
        <v>1</v>
      </c>
      <c r="K1308">
        <v>0</v>
      </c>
      <c r="L1308">
        <f t="shared" si="80"/>
        <v>18</v>
      </c>
      <c r="M1308">
        <f t="shared" si="81"/>
        <v>216</v>
      </c>
      <c r="N1308">
        <f t="shared" si="82"/>
        <v>164</v>
      </c>
      <c r="O1308">
        <f t="shared" si="83"/>
        <v>2030.6666666666667</v>
      </c>
    </row>
    <row r="1309" spans="1:15" x14ac:dyDescent="0.2">
      <c r="A1309" t="s">
        <v>19</v>
      </c>
      <c r="B1309">
        <v>9</v>
      </c>
      <c r="C1309">
        <v>47</v>
      </c>
      <c r="D1309">
        <v>53</v>
      </c>
      <c r="E1309">
        <v>2</v>
      </c>
      <c r="F1309">
        <v>45</v>
      </c>
      <c r="G1309">
        <v>2066701</v>
      </c>
      <c r="H1309">
        <v>1</v>
      </c>
      <c r="I1309">
        <v>0</v>
      </c>
      <c r="J1309">
        <v>1</v>
      </c>
      <c r="K1309">
        <v>0</v>
      </c>
      <c r="L1309">
        <f t="shared" si="80"/>
        <v>18</v>
      </c>
      <c r="M1309">
        <f t="shared" si="81"/>
        <v>216</v>
      </c>
      <c r="N1309">
        <f t="shared" si="82"/>
        <v>163</v>
      </c>
      <c r="O1309">
        <f t="shared" si="83"/>
        <v>2030.5833333333333</v>
      </c>
    </row>
    <row r="1310" spans="1:15" x14ac:dyDescent="0.2">
      <c r="A1310" t="s">
        <v>19</v>
      </c>
      <c r="B1310">
        <v>9</v>
      </c>
      <c r="C1310">
        <v>47</v>
      </c>
      <c r="D1310">
        <v>56</v>
      </c>
      <c r="E1310">
        <v>1</v>
      </c>
      <c r="F1310">
        <v>39</v>
      </c>
      <c r="G1310">
        <v>2048801</v>
      </c>
      <c r="H1310">
        <v>0</v>
      </c>
      <c r="I1310">
        <v>1</v>
      </c>
      <c r="J1310">
        <v>1</v>
      </c>
      <c r="K1310">
        <v>0</v>
      </c>
      <c r="L1310">
        <f t="shared" si="80"/>
        <v>18</v>
      </c>
      <c r="M1310">
        <f t="shared" si="81"/>
        <v>216</v>
      </c>
      <c r="N1310">
        <f t="shared" si="82"/>
        <v>160</v>
      </c>
      <c r="O1310">
        <f t="shared" si="83"/>
        <v>2030.3333333333333</v>
      </c>
    </row>
    <row r="1311" spans="1:15" x14ac:dyDescent="0.2">
      <c r="A1311" t="s">
        <v>19</v>
      </c>
      <c r="B1311">
        <v>9</v>
      </c>
      <c r="C1311">
        <v>47</v>
      </c>
      <c r="D1311">
        <v>57</v>
      </c>
      <c r="E1311">
        <v>1</v>
      </c>
      <c r="F1311">
        <v>46</v>
      </c>
      <c r="G1311">
        <v>2042902</v>
      </c>
      <c r="H1311">
        <v>0</v>
      </c>
      <c r="I1311">
        <v>1</v>
      </c>
      <c r="J1311">
        <v>1</v>
      </c>
      <c r="K1311">
        <v>0</v>
      </c>
      <c r="L1311">
        <f t="shared" si="80"/>
        <v>18</v>
      </c>
      <c r="M1311">
        <f t="shared" si="81"/>
        <v>216</v>
      </c>
      <c r="N1311">
        <f t="shared" si="82"/>
        <v>159</v>
      </c>
      <c r="O1311">
        <f t="shared" si="83"/>
        <v>2030.25</v>
      </c>
    </row>
    <row r="1312" spans="1:15" x14ac:dyDescent="0.2">
      <c r="A1312" t="s">
        <v>19</v>
      </c>
      <c r="B1312">
        <v>9</v>
      </c>
      <c r="C1312">
        <v>47</v>
      </c>
      <c r="D1312">
        <v>59</v>
      </c>
      <c r="E1312">
        <v>2</v>
      </c>
      <c r="F1312">
        <v>44</v>
      </c>
      <c r="G1312">
        <v>2034401</v>
      </c>
      <c r="H1312">
        <v>1</v>
      </c>
      <c r="I1312">
        <v>0</v>
      </c>
      <c r="J1312">
        <v>1</v>
      </c>
      <c r="K1312">
        <v>0</v>
      </c>
      <c r="L1312">
        <f t="shared" si="80"/>
        <v>18</v>
      </c>
      <c r="M1312">
        <f t="shared" si="81"/>
        <v>216</v>
      </c>
      <c r="N1312">
        <f t="shared" si="82"/>
        <v>157</v>
      </c>
      <c r="O1312">
        <f t="shared" si="83"/>
        <v>2030.0833333333333</v>
      </c>
    </row>
    <row r="1313" spans="1:15" x14ac:dyDescent="0.2">
      <c r="A1313" t="s">
        <v>19</v>
      </c>
      <c r="B1313">
        <v>9</v>
      </c>
      <c r="C1313">
        <v>47</v>
      </c>
      <c r="D1313">
        <v>66</v>
      </c>
      <c r="E1313">
        <v>12</v>
      </c>
      <c r="F1313">
        <v>42</v>
      </c>
      <c r="G1313">
        <v>2009901</v>
      </c>
      <c r="H1313">
        <v>0</v>
      </c>
      <c r="I1313">
        <v>1</v>
      </c>
      <c r="J1313">
        <v>1</v>
      </c>
      <c r="K1313">
        <v>0</v>
      </c>
      <c r="L1313">
        <f t="shared" si="80"/>
        <v>18</v>
      </c>
      <c r="M1313">
        <f t="shared" si="81"/>
        <v>216</v>
      </c>
      <c r="N1313">
        <f t="shared" si="82"/>
        <v>150</v>
      </c>
      <c r="O1313">
        <f t="shared" si="83"/>
        <v>2029.5</v>
      </c>
    </row>
    <row r="1314" spans="1:15" x14ac:dyDescent="0.2">
      <c r="A1314" t="s">
        <v>19</v>
      </c>
      <c r="B1314">
        <v>9</v>
      </c>
      <c r="C1314">
        <v>47</v>
      </c>
      <c r="D1314">
        <v>73</v>
      </c>
      <c r="E1314">
        <v>1</v>
      </c>
      <c r="F1314">
        <v>45</v>
      </c>
      <c r="G1314">
        <v>1987401</v>
      </c>
      <c r="H1314">
        <v>0</v>
      </c>
      <c r="I1314">
        <v>1</v>
      </c>
      <c r="J1314">
        <v>1</v>
      </c>
      <c r="K1314">
        <v>0</v>
      </c>
      <c r="L1314">
        <f t="shared" si="80"/>
        <v>18</v>
      </c>
      <c r="M1314">
        <f t="shared" si="81"/>
        <v>216</v>
      </c>
      <c r="N1314">
        <f t="shared" si="82"/>
        <v>143</v>
      </c>
      <c r="O1314">
        <f t="shared" si="83"/>
        <v>2028.9166666666667</v>
      </c>
    </row>
    <row r="1315" spans="1:15" x14ac:dyDescent="0.2">
      <c r="A1315" t="s">
        <v>19</v>
      </c>
      <c r="B1315">
        <v>9</v>
      </c>
      <c r="C1315">
        <v>47</v>
      </c>
      <c r="D1315">
        <v>76</v>
      </c>
      <c r="E1315">
        <v>1</v>
      </c>
      <c r="F1315">
        <v>43</v>
      </c>
      <c r="G1315">
        <v>1978501</v>
      </c>
      <c r="H1315">
        <v>0</v>
      </c>
      <c r="I1315">
        <v>1</v>
      </c>
      <c r="J1315">
        <v>1</v>
      </c>
      <c r="K1315">
        <v>0</v>
      </c>
      <c r="L1315">
        <f t="shared" si="80"/>
        <v>18</v>
      </c>
      <c r="M1315">
        <f t="shared" si="81"/>
        <v>216</v>
      </c>
      <c r="N1315">
        <f t="shared" si="82"/>
        <v>140</v>
      </c>
      <c r="O1315">
        <f t="shared" si="83"/>
        <v>2028.6666666666667</v>
      </c>
    </row>
    <row r="1316" spans="1:15" x14ac:dyDescent="0.2">
      <c r="A1316" t="s">
        <v>19</v>
      </c>
      <c r="B1316">
        <v>9</v>
      </c>
      <c r="C1316">
        <v>47</v>
      </c>
      <c r="D1316">
        <v>76</v>
      </c>
      <c r="E1316">
        <v>1</v>
      </c>
      <c r="F1316">
        <v>45</v>
      </c>
      <c r="G1316">
        <v>1978001</v>
      </c>
      <c r="H1316">
        <v>0</v>
      </c>
      <c r="I1316">
        <v>1</v>
      </c>
      <c r="J1316">
        <v>1</v>
      </c>
      <c r="K1316">
        <v>0</v>
      </c>
      <c r="L1316">
        <f t="shared" si="80"/>
        <v>18</v>
      </c>
      <c r="M1316">
        <f t="shared" si="81"/>
        <v>216</v>
      </c>
      <c r="N1316">
        <f t="shared" si="82"/>
        <v>140</v>
      </c>
      <c r="O1316">
        <f t="shared" si="83"/>
        <v>2028.6666666666667</v>
      </c>
    </row>
    <row r="1317" spans="1:15" x14ac:dyDescent="0.2">
      <c r="A1317" t="s">
        <v>19</v>
      </c>
      <c r="B1317">
        <v>9</v>
      </c>
      <c r="C1317">
        <v>47</v>
      </c>
      <c r="D1317">
        <v>79</v>
      </c>
      <c r="E1317">
        <v>1</v>
      </c>
      <c r="F1317">
        <v>42</v>
      </c>
      <c r="G1317">
        <v>1970701</v>
      </c>
      <c r="H1317">
        <v>0</v>
      </c>
      <c r="I1317">
        <v>1</v>
      </c>
      <c r="J1317">
        <v>1</v>
      </c>
      <c r="K1317">
        <v>0</v>
      </c>
      <c r="L1317">
        <f t="shared" si="80"/>
        <v>18</v>
      </c>
      <c r="M1317">
        <f t="shared" si="81"/>
        <v>216</v>
      </c>
      <c r="N1317">
        <f t="shared" si="82"/>
        <v>137</v>
      </c>
      <c r="O1317">
        <f t="shared" si="83"/>
        <v>2028.4166666666667</v>
      </c>
    </row>
    <row r="1318" spans="1:15" x14ac:dyDescent="0.2">
      <c r="A1318" t="s">
        <v>19</v>
      </c>
      <c r="B1318">
        <v>9</v>
      </c>
      <c r="C1318">
        <v>47</v>
      </c>
      <c r="D1318">
        <v>83</v>
      </c>
      <c r="E1318">
        <v>1</v>
      </c>
      <c r="F1318">
        <v>47</v>
      </c>
      <c r="G1318">
        <v>1956801</v>
      </c>
      <c r="H1318">
        <v>0</v>
      </c>
      <c r="I1318">
        <v>1</v>
      </c>
      <c r="J1318">
        <v>1</v>
      </c>
      <c r="K1318">
        <v>0</v>
      </c>
      <c r="L1318">
        <f t="shared" si="80"/>
        <v>18</v>
      </c>
      <c r="M1318">
        <f t="shared" si="81"/>
        <v>216</v>
      </c>
      <c r="N1318">
        <f t="shared" si="82"/>
        <v>133</v>
      </c>
      <c r="O1318">
        <f t="shared" si="83"/>
        <v>2028.0833333333333</v>
      </c>
    </row>
    <row r="1319" spans="1:15" x14ac:dyDescent="0.2">
      <c r="A1319" t="s">
        <v>19</v>
      </c>
      <c r="B1319">
        <v>9</v>
      </c>
      <c r="C1319">
        <v>47</v>
      </c>
      <c r="D1319">
        <v>85</v>
      </c>
      <c r="E1319">
        <v>1</v>
      </c>
      <c r="F1319">
        <v>45</v>
      </c>
      <c r="G1319">
        <v>1951501</v>
      </c>
      <c r="H1319">
        <v>0</v>
      </c>
      <c r="I1319">
        <v>1</v>
      </c>
      <c r="J1319">
        <v>1</v>
      </c>
      <c r="K1319">
        <v>0</v>
      </c>
      <c r="L1319">
        <f t="shared" si="80"/>
        <v>18</v>
      </c>
      <c r="M1319">
        <f t="shared" si="81"/>
        <v>216</v>
      </c>
      <c r="N1319">
        <f t="shared" si="82"/>
        <v>131</v>
      </c>
      <c r="O1319">
        <f t="shared" si="83"/>
        <v>2027.9166666666667</v>
      </c>
    </row>
    <row r="1320" spans="1:15" x14ac:dyDescent="0.2">
      <c r="A1320" t="s">
        <v>19</v>
      </c>
      <c r="B1320">
        <v>9</v>
      </c>
      <c r="C1320">
        <v>47</v>
      </c>
      <c r="D1320">
        <v>88</v>
      </c>
      <c r="E1320">
        <v>1</v>
      </c>
      <c r="F1320">
        <v>41</v>
      </c>
      <c r="G1320">
        <v>1934101</v>
      </c>
      <c r="H1320">
        <v>0</v>
      </c>
      <c r="I1320">
        <v>1</v>
      </c>
      <c r="J1320">
        <v>1</v>
      </c>
      <c r="K1320">
        <v>0</v>
      </c>
      <c r="L1320">
        <f t="shared" si="80"/>
        <v>18</v>
      </c>
      <c r="M1320">
        <f t="shared" si="81"/>
        <v>216</v>
      </c>
      <c r="N1320">
        <f t="shared" si="82"/>
        <v>128</v>
      </c>
      <c r="O1320">
        <f t="shared" si="83"/>
        <v>2027.6666666666667</v>
      </c>
    </row>
    <row r="1321" spans="1:15" x14ac:dyDescent="0.2">
      <c r="A1321" t="s">
        <v>19</v>
      </c>
      <c r="B1321">
        <v>9</v>
      </c>
      <c r="C1321">
        <v>47</v>
      </c>
      <c r="D1321">
        <v>89</v>
      </c>
      <c r="E1321">
        <v>1</v>
      </c>
      <c r="F1321">
        <v>39</v>
      </c>
      <c r="G1321">
        <v>1932301</v>
      </c>
      <c r="H1321">
        <v>0</v>
      </c>
      <c r="I1321">
        <v>1</v>
      </c>
      <c r="J1321">
        <v>1</v>
      </c>
      <c r="K1321">
        <v>0</v>
      </c>
      <c r="L1321">
        <f t="shared" si="80"/>
        <v>18</v>
      </c>
      <c r="M1321">
        <f t="shared" si="81"/>
        <v>216</v>
      </c>
      <c r="N1321">
        <f t="shared" si="82"/>
        <v>127</v>
      </c>
      <c r="O1321">
        <f t="shared" si="83"/>
        <v>2027.5833333333333</v>
      </c>
    </row>
    <row r="1322" spans="1:15" x14ac:dyDescent="0.2">
      <c r="A1322" t="s">
        <v>19</v>
      </c>
      <c r="B1322">
        <v>9</v>
      </c>
      <c r="C1322">
        <v>47</v>
      </c>
      <c r="D1322">
        <v>91</v>
      </c>
      <c r="E1322">
        <v>2</v>
      </c>
      <c r="F1322">
        <v>43</v>
      </c>
      <c r="G1322">
        <v>1917501</v>
      </c>
      <c r="H1322">
        <v>1</v>
      </c>
      <c r="I1322">
        <v>0</v>
      </c>
      <c r="J1322">
        <v>1</v>
      </c>
      <c r="K1322">
        <v>0</v>
      </c>
      <c r="L1322">
        <f t="shared" si="80"/>
        <v>18</v>
      </c>
      <c r="M1322">
        <f t="shared" si="81"/>
        <v>216</v>
      </c>
      <c r="N1322">
        <f t="shared" si="82"/>
        <v>125</v>
      </c>
      <c r="O1322">
        <f t="shared" si="83"/>
        <v>2027.4166666666667</v>
      </c>
    </row>
    <row r="1323" spans="1:15" x14ac:dyDescent="0.2">
      <c r="A1323" t="s">
        <v>19</v>
      </c>
      <c r="B1323">
        <v>9</v>
      </c>
      <c r="C1323">
        <v>47</v>
      </c>
      <c r="D1323">
        <v>94</v>
      </c>
      <c r="E1323">
        <v>2</v>
      </c>
      <c r="F1323">
        <v>45</v>
      </c>
      <c r="G1323">
        <v>1895401</v>
      </c>
      <c r="H1323">
        <v>1</v>
      </c>
      <c r="I1323">
        <v>0</v>
      </c>
      <c r="J1323">
        <v>1</v>
      </c>
      <c r="K1323">
        <v>0</v>
      </c>
      <c r="L1323">
        <f t="shared" si="80"/>
        <v>18</v>
      </c>
      <c r="M1323">
        <f t="shared" si="81"/>
        <v>216</v>
      </c>
      <c r="N1323">
        <f t="shared" si="82"/>
        <v>122</v>
      </c>
      <c r="O1323">
        <f t="shared" si="83"/>
        <v>2027.1666666666667</v>
      </c>
    </row>
    <row r="1324" spans="1:15" x14ac:dyDescent="0.2">
      <c r="A1324" t="s">
        <v>19</v>
      </c>
      <c r="B1324">
        <v>9</v>
      </c>
      <c r="C1324">
        <v>47</v>
      </c>
      <c r="D1324">
        <v>102</v>
      </c>
      <c r="E1324">
        <v>1</v>
      </c>
      <c r="F1324">
        <v>42</v>
      </c>
      <c r="G1324">
        <v>1821901</v>
      </c>
      <c r="H1324">
        <v>0</v>
      </c>
      <c r="I1324">
        <v>1</v>
      </c>
      <c r="J1324">
        <v>1</v>
      </c>
      <c r="K1324">
        <v>0</v>
      </c>
      <c r="L1324">
        <f t="shared" si="80"/>
        <v>18</v>
      </c>
      <c r="M1324">
        <f t="shared" si="81"/>
        <v>216</v>
      </c>
      <c r="N1324">
        <f t="shared" si="82"/>
        <v>114</v>
      </c>
      <c r="O1324">
        <f t="shared" si="83"/>
        <v>2026.5</v>
      </c>
    </row>
    <row r="1325" spans="1:15" x14ac:dyDescent="0.2">
      <c r="A1325" t="s">
        <v>19</v>
      </c>
      <c r="B1325">
        <v>9</v>
      </c>
      <c r="C1325">
        <v>47</v>
      </c>
      <c r="D1325">
        <v>102</v>
      </c>
      <c r="E1325">
        <v>1</v>
      </c>
      <c r="F1325">
        <v>44</v>
      </c>
      <c r="G1325">
        <v>1818701</v>
      </c>
      <c r="H1325">
        <v>0</v>
      </c>
      <c r="I1325">
        <v>1</v>
      </c>
      <c r="J1325">
        <v>1</v>
      </c>
      <c r="K1325">
        <v>0</v>
      </c>
      <c r="L1325">
        <f t="shared" si="80"/>
        <v>18</v>
      </c>
      <c r="M1325">
        <f t="shared" si="81"/>
        <v>216</v>
      </c>
      <c r="N1325">
        <f t="shared" si="82"/>
        <v>114</v>
      </c>
      <c r="O1325">
        <f t="shared" si="83"/>
        <v>2026.5</v>
      </c>
    </row>
    <row r="1326" spans="1:15" x14ac:dyDescent="0.2">
      <c r="A1326" t="s">
        <v>19</v>
      </c>
      <c r="B1326">
        <v>9</v>
      </c>
      <c r="C1326">
        <v>47</v>
      </c>
      <c r="D1326">
        <v>105</v>
      </c>
      <c r="E1326">
        <v>1</v>
      </c>
      <c r="F1326">
        <v>45</v>
      </c>
      <c r="G1326">
        <v>1789501</v>
      </c>
      <c r="H1326">
        <v>0</v>
      </c>
      <c r="I1326">
        <v>1</v>
      </c>
      <c r="J1326">
        <v>1</v>
      </c>
      <c r="K1326">
        <v>0</v>
      </c>
      <c r="L1326">
        <f t="shared" si="80"/>
        <v>18</v>
      </c>
      <c r="M1326">
        <f t="shared" si="81"/>
        <v>216</v>
      </c>
      <c r="N1326">
        <f t="shared" si="82"/>
        <v>111</v>
      </c>
      <c r="O1326">
        <f t="shared" si="83"/>
        <v>2026.25</v>
      </c>
    </row>
    <row r="1327" spans="1:15" x14ac:dyDescent="0.2">
      <c r="A1327" t="s">
        <v>19</v>
      </c>
      <c r="B1327">
        <v>9</v>
      </c>
      <c r="C1327">
        <v>47</v>
      </c>
      <c r="D1327">
        <v>110</v>
      </c>
      <c r="E1327">
        <v>2</v>
      </c>
      <c r="F1327">
        <v>47</v>
      </c>
      <c r="G1327">
        <v>1707802</v>
      </c>
      <c r="H1327">
        <v>0</v>
      </c>
      <c r="I1327">
        <v>1</v>
      </c>
      <c r="J1327">
        <v>1</v>
      </c>
      <c r="K1327">
        <v>0</v>
      </c>
      <c r="L1327">
        <f t="shared" si="80"/>
        <v>18</v>
      </c>
      <c r="M1327">
        <f t="shared" si="81"/>
        <v>216</v>
      </c>
      <c r="N1327">
        <f t="shared" si="82"/>
        <v>106</v>
      </c>
      <c r="O1327">
        <f t="shared" si="83"/>
        <v>2025.8333333333333</v>
      </c>
    </row>
    <row r="1328" spans="1:15" x14ac:dyDescent="0.2">
      <c r="A1328" t="s">
        <v>19</v>
      </c>
      <c r="B1328">
        <v>9</v>
      </c>
      <c r="C1328">
        <v>47</v>
      </c>
      <c r="D1328">
        <v>127</v>
      </c>
      <c r="E1328">
        <v>1</v>
      </c>
      <c r="F1328">
        <v>37</v>
      </c>
      <c r="G1328">
        <v>1612501</v>
      </c>
      <c r="H1328">
        <v>0</v>
      </c>
      <c r="I1328">
        <v>1</v>
      </c>
      <c r="J1328">
        <v>1</v>
      </c>
      <c r="K1328">
        <v>0</v>
      </c>
      <c r="L1328">
        <f t="shared" si="80"/>
        <v>18</v>
      </c>
      <c r="M1328">
        <f t="shared" si="81"/>
        <v>216</v>
      </c>
      <c r="N1328">
        <f t="shared" si="82"/>
        <v>89</v>
      </c>
      <c r="O1328">
        <f t="shared" si="83"/>
        <v>2024.4166666666667</v>
      </c>
    </row>
    <row r="1329" spans="1:15" x14ac:dyDescent="0.2">
      <c r="A1329" t="s">
        <v>19</v>
      </c>
      <c r="B1329">
        <v>9</v>
      </c>
      <c r="C1329">
        <v>47</v>
      </c>
      <c r="D1329">
        <v>130</v>
      </c>
      <c r="E1329">
        <v>1</v>
      </c>
      <c r="F1329">
        <v>37</v>
      </c>
      <c r="G1329">
        <v>1602301</v>
      </c>
      <c r="H1329">
        <v>0</v>
      </c>
      <c r="I1329">
        <v>1</v>
      </c>
      <c r="J1329">
        <v>1</v>
      </c>
      <c r="K1329">
        <v>0</v>
      </c>
      <c r="L1329">
        <f t="shared" si="80"/>
        <v>18</v>
      </c>
      <c r="M1329">
        <f t="shared" si="81"/>
        <v>216</v>
      </c>
      <c r="N1329">
        <f t="shared" si="82"/>
        <v>86</v>
      </c>
      <c r="O1329">
        <f t="shared" si="83"/>
        <v>2024.1666666666667</v>
      </c>
    </row>
    <row r="1330" spans="1:15" x14ac:dyDescent="0.2">
      <c r="A1330" t="s">
        <v>19</v>
      </c>
      <c r="B1330">
        <v>9</v>
      </c>
      <c r="C1330">
        <v>47</v>
      </c>
      <c r="D1330">
        <v>142</v>
      </c>
      <c r="E1330">
        <v>1</v>
      </c>
      <c r="F1330">
        <v>43</v>
      </c>
      <c r="G1330">
        <v>1105201</v>
      </c>
      <c r="H1330">
        <v>0</v>
      </c>
      <c r="I1330">
        <v>1</v>
      </c>
      <c r="J1330">
        <v>1</v>
      </c>
      <c r="K1330">
        <v>0</v>
      </c>
      <c r="L1330">
        <f t="shared" si="80"/>
        <v>18</v>
      </c>
      <c r="M1330">
        <f t="shared" si="81"/>
        <v>216</v>
      </c>
      <c r="N1330">
        <f t="shared" si="82"/>
        <v>74</v>
      </c>
      <c r="O1330">
        <f t="shared" si="83"/>
        <v>2023.1666666666667</v>
      </c>
    </row>
    <row r="1331" spans="1:15" x14ac:dyDescent="0.2">
      <c r="A1331" t="s">
        <v>19</v>
      </c>
      <c r="B1331">
        <v>9</v>
      </c>
      <c r="C1331">
        <v>47</v>
      </c>
      <c r="D1331">
        <v>150</v>
      </c>
      <c r="E1331">
        <v>1</v>
      </c>
      <c r="F1331">
        <v>41</v>
      </c>
      <c r="G1331">
        <v>1055301</v>
      </c>
      <c r="H1331">
        <v>0</v>
      </c>
      <c r="I1331">
        <v>1</v>
      </c>
      <c r="J1331">
        <v>1</v>
      </c>
      <c r="K1331">
        <v>0</v>
      </c>
      <c r="L1331">
        <f t="shared" si="80"/>
        <v>18</v>
      </c>
      <c r="M1331">
        <f t="shared" si="81"/>
        <v>216</v>
      </c>
      <c r="N1331">
        <f t="shared" si="82"/>
        <v>66</v>
      </c>
      <c r="O1331">
        <f t="shared" si="83"/>
        <v>2022.5</v>
      </c>
    </row>
    <row r="1332" spans="1:15" x14ac:dyDescent="0.2">
      <c r="A1332" t="s">
        <v>19</v>
      </c>
      <c r="B1332">
        <v>9</v>
      </c>
      <c r="C1332">
        <v>47</v>
      </c>
      <c r="D1332">
        <v>153</v>
      </c>
      <c r="E1332">
        <v>1</v>
      </c>
      <c r="F1332">
        <v>46</v>
      </c>
      <c r="G1332">
        <v>1025801</v>
      </c>
      <c r="H1332">
        <v>1</v>
      </c>
      <c r="I1332">
        <v>0</v>
      </c>
      <c r="J1332">
        <v>1</v>
      </c>
      <c r="K1332">
        <v>0</v>
      </c>
      <c r="L1332">
        <f t="shared" si="80"/>
        <v>18</v>
      </c>
      <c r="M1332">
        <f t="shared" si="81"/>
        <v>216</v>
      </c>
      <c r="N1332">
        <f t="shared" si="82"/>
        <v>63</v>
      </c>
      <c r="O1332">
        <f t="shared" si="83"/>
        <v>2022.25</v>
      </c>
    </row>
    <row r="1333" spans="1:15" x14ac:dyDescent="0.2">
      <c r="A1333" t="s">
        <v>19</v>
      </c>
      <c r="B1333">
        <v>9</v>
      </c>
      <c r="C1333">
        <v>47</v>
      </c>
      <c r="D1333">
        <v>157</v>
      </c>
      <c r="E1333">
        <v>1</v>
      </c>
      <c r="F1333">
        <v>44</v>
      </c>
      <c r="G1333">
        <v>994101</v>
      </c>
      <c r="H1333">
        <v>0</v>
      </c>
      <c r="I1333">
        <v>1</v>
      </c>
      <c r="J1333">
        <v>1</v>
      </c>
      <c r="K1333">
        <v>0</v>
      </c>
      <c r="L1333">
        <f t="shared" si="80"/>
        <v>18</v>
      </c>
      <c r="M1333">
        <f t="shared" si="81"/>
        <v>216</v>
      </c>
      <c r="N1333">
        <f t="shared" si="82"/>
        <v>59</v>
      </c>
      <c r="O1333">
        <f t="shared" si="83"/>
        <v>2021.9166666666667</v>
      </c>
    </row>
    <row r="1334" spans="1:15" x14ac:dyDescent="0.2">
      <c r="A1334" t="s">
        <v>19</v>
      </c>
      <c r="B1334">
        <v>9</v>
      </c>
      <c r="C1334">
        <v>47</v>
      </c>
      <c r="D1334">
        <v>159</v>
      </c>
      <c r="E1334">
        <v>1</v>
      </c>
      <c r="F1334">
        <v>46</v>
      </c>
      <c r="G1334">
        <v>975401</v>
      </c>
      <c r="H1334">
        <v>1</v>
      </c>
      <c r="I1334">
        <v>0</v>
      </c>
      <c r="J1334">
        <v>1</v>
      </c>
      <c r="K1334">
        <v>0</v>
      </c>
      <c r="L1334">
        <f t="shared" si="80"/>
        <v>18</v>
      </c>
      <c r="M1334">
        <f t="shared" si="81"/>
        <v>216</v>
      </c>
      <c r="N1334">
        <f t="shared" si="82"/>
        <v>57</v>
      </c>
      <c r="O1334">
        <f t="shared" si="83"/>
        <v>2021.75</v>
      </c>
    </row>
    <row r="1335" spans="1:15" x14ac:dyDescent="0.2">
      <c r="A1335" t="s">
        <v>19</v>
      </c>
      <c r="B1335">
        <v>9</v>
      </c>
      <c r="C1335">
        <v>47</v>
      </c>
      <c r="D1335">
        <v>171</v>
      </c>
      <c r="E1335">
        <v>2</v>
      </c>
      <c r="F1335">
        <v>46</v>
      </c>
      <c r="G1335">
        <v>901001</v>
      </c>
      <c r="H1335">
        <v>0</v>
      </c>
      <c r="I1335">
        <v>1</v>
      </c>
      <c r="J1335">
        <v>1</v>
      </c>
      <c r="K1335">
        <v>0</v>
      </c>
      <c r="L1335">
        <f t="shared" si="80"/>
        <v>18</v>
      </c>
      <c r="M1335">
        <f t="shared" si="81"/>
        <v>216</v>
      </c>
      <c r="N1335">
        <f t="shared" si="82"/>
        <v>45</v>
      </c>
      <c r="O1335">
        <f t="shared" si="83"/>
        <v>2020.75</v>
      </c>
    </row>
    <row r="1336" spans="1:15" x14ac:dyDescent="0.2">
      <c r="A1336" t="s">
        <v>19</v>
      </c>
      <c r="B1336">
        <v>9</v>
      </c>
      <c r="C1336">
        <v>47</v>
      </c>
      <c r="D1336">
        <v>183</v>
      </c>
      <c r="E1336">
        <v>1</v>
      </c>
      <c r="F1336">
        <v>43</v>
      </c>
      <c r="G1336">
        <v>892801</v>
      </c>
      <c r="H1336">
        <v>0</v>
      </c>
      <c r="I1336">
        <v>1</v>
      </c>
      <c r="J1336">
        <v>1</v>
      </c>
      <c r="K1336">
        <v>0</v>
      </c>
      <c r="L1336">
        <f t="shared" si="80"/>
        <v>18</v>
      </c>
      <c r="M1336">
        <f t="shared" si="81"/>
        <v>216</v>
      </c>
      <c r="N1336">
        <f t="shared" si="82"/>
        <v>33</v>
      </c>
      <c r="O1336">
        <f t="shared" si="83"/>
        <v>2019.75</v>
      </c>
    </row>
    <row r="1337" spans="1:15" x14ac:dyDescent="0.2">
      <c r="A1337" t="s">
        <v>19</v>
      </c>
      <c r="B1337">
        <v>9</v>
      </c>
      <c r="C1337">
        <v>47</v>
      </c>
      <c r="D1337">
        <v>186</v>
      </c>
      <c r="E1337">
        <v>1</v>
      </c>
      <c r="F1337">
        <v>44</v>
      </c>
      <c r="G1337">
        <v>885101</v>
      </c>
      <c r="H1337">
        <v>0</v>
      </c>
      <c r="I1337">
        <v>1</v>
      </c>
      <c r="J1337">
        <v>1</v>
      </c>
      <c r="K1337">
        <v>0</v>
      </c>
      <c r="L1337">
        <f t="shared" si="80"/>
        <v>18</v>
      </c>
      <c r="M1337">
        <f t="shared" si="81"/>
        <v>216</v>
      </c>
      <c r="N1337">
        <f t="shared" si="82"/>
        <v>30</v>
      </c>
      <c r="O1337">
        <f t="shared" si="83"/>
        <v>2019.5</v>
      </c>
    </row>
    <row r="1338" spans="1:15" x14ac:dyDescent="0.2">
      <c r="A1338" t="s">
        <v>19</v>
      </c>
      <c r="B1338">
        <v>9</v>
      </c>
      <c r="C1338">
        <v>47</v>
      </c>
      <c r="D1338">
        <v>195</v>
      </c>
      <c r="E1338">
        <v>1</v>
      </c>
      <c r="F1338">
        <v>45</v>
      </c>
      <c r="G1338">
        <v>830401</v>
      </c>
      <c r="H1338">
        <v>0</v>
      </c>
      <c r="I1338">
        <v>1</v>
      </c>
      <c r="J1338">
        <v>1</v>
      </c>
      <c r="K1338">
        <v>0</v>
      </c>
      <c r="L1338">
        <f t="shared" si="80"/>
        <v>18</v>
      </c>
      <c r="M1338">
        <f t="shared" si="81"/>
        <v>216</v>
      </c>
      <c r="N1338">
        <f t="shared" si="82"/>
        <v>21</v>
      </c>
      <c r="O1338">
        <f t="shared" si="83"/>
        <v>2018.75</v>
      </c>
    </row>
    <row r="1339" spans="1:15" x14ac:dyDescent="0.2">
      <c r="A1339" t="s">
        <v>19</v>
      </c>
      <c r="B1339">
        <v>9</v>
      </c>
      <c r="C1339">
        <v>48</v>
      </c>
      <c r="D1339">
        <v>1</v>
      </c>
      <c r="E1339">
        <v>4</v>
      </c>
      <c r="F1339">
        <v>41</v>
      </c>
      <c r="G1339">
        <v>2388301</v>
      </c>
      <c r="H1339">
        <v>0</v>
      </c>
      <c r="I1339">
        <v>1</v>
      </c>
      <c r="J1339">
        <v>1</v>
      </c>
      <c r="K1339">
        <v>0</v>
      </c>
      <c r="L1339">
        <f t="shared" si="80"/>
        <v>17</v>
      </c>
      <c r="M1339">
        <f t="shared" si="81"/>
        <v>204</v>
      </c>
      <c r="N1339">
        <f t="shared" si="82"/>
        <v>203</v>
      </c>
      <c r="O1339">
        <f t="shared" si="83"/>
        <v>2033.9166666666667</v>
      </c>
    </row>
    <row r="1340" spans="1:15" x14ac:dyDescent="0.2">
      <c r="A1340" t="s">
        <v>19</v>
      </c>
      <c r="B1340">
        <v>9</v>
      </c>
      <c r="C1340">
        <v>48</v>
      </c>
      <c r="D1340">
        <v>2</v>
      </c>
      <c r="E1340">
        <v>12</v>
      </c>
      <c r="F1340">
        <v>41</v>
      </c>
      <c r="G1340">
        <v>2380303</v>
      </c>
      <c r="H1340">
        <v>1</v>
      </c>
      <c r="I1340">
        <v>0</v>
      </c>
      <c r="J1340">
        <v>1</v>
      </c>
      <c r="K1340">
        <v>0</v>
      </c>
      <c r="L1340">
        <f t="shared" si="80"/>
        <v>17</v>
      </c>
      <c r="M1340">
        <f t="shared" si="81"/>
        <v>204</v>
      </c>
      <c r="N1340">
        <f t="shared" si="82"/>
        <v>202</v>
      </c>
      <c r="O1340">
        <f t="shared" si="83"/>
        <v>2033.8333333333333</v>
      </c>
    </row>
    <row r="1341" spans="1:15" x14ac:dyDescent="0.2">
      <c r="A1341" t="s">
        <v>19</v>
      </c>
      <c r="B1341">
        <v>9</v>
      </c>
      <c r="C1341">
        <v>48</v>
      </c>
      <c r="D1341">
        <v>4</v>
      </c>
      <c r="E1341">
        <v>12</v>
      </c>
      <c r="F1341">
        <v>41</v>
      </c>
      <c r="G1341">
        <v>2350905</v>
      </c>
      <c r="H1341">
        <v>0</v>
      </c>
      <c r="I1341">
        <v>1</v>
      </c>
      <c r="J1341">
        <v>1</v>
      </c>
      <c r="K1341">
        <v>0</v>
      </c>
      <c r="L1341">
        <f t="shared" si="80"/>
        <v>17</v>
      </c>
      <c r="M1341">
        <f t="shared" si="81"/>
        <v>204</v>
      </c>
      <c r="N1341">
        <f t="shared" si="82"/>
        <v>200</v>
      </c>
      <c r="O1341">
        <f t="shared" si="83"/>
        <v>2033.6666666666667</v>
      </c>
    </row>
    <row r="1342" spans="1:15" x14ac:dyDescent="0.2">
      <c r="A1342" t="s">
        <v>19</v>
      </c>
      <c r="B1342">
        <v>9</v>
      </c>
      <c r="C1342">
        <v>48</v>
      </c>
      <c r="D1342">
        <v>5</v>
      </c>
      <c r="E1342">
        <v>12</v>
      </c>
      <c r="F1342">
        <v>46</v>
      </c>
      <c r="G1342">
        <v>2341502</v>
      </c>
      <c r="H1342">
        <v>0</v>
      </c>
      <c r="I1342">
        <v>1</v>
      </c>
      <c r="J1342">
        <v>1</v>
      </c>
      <c r="K1342">
        <v>0</v>
      </c>
      <c r="L1342">
        <f t="shared" si="80"/>
        <v>17</v>
      </c>
      <c r="M1342">
        <f t="shared" si="81"/>
        <v>204</v>
      </c>
      <c r="N1342">
        <f t="shared" si="82"/>
        <v>199</v>
      </c>
      <c r="O1342">
        <f t="shared" si="83"/>
        <v>2033.5833333333333</v>
      </c>
    </row>
    <row r="1343" spans="1:15" x14ac:dyDescent="0.2">
      <c r="A1343" t="s">
        <v>19</v>
      </c>
      <c r="B1343">
        <v>9</v>
      </c>
      <c r="C1343">
        <v>48</v>
      </c>
      <c r="D1343">
        <v>6</v>
      </c>
      <c r="E1343">
        <v>12</v>
      </c>
      <c r="F1343">
        <v>43</v>
      </c>
      <c r="G1343">
        <v>2334303</v>
      </c>
      <c r="H1343">
        <v>1</v>
      </c>
      <c r="I1343">
        <v>0</v>
      </c>
      <c r="J1343">
        <v>1</v>
      </c>
      <c r="K1343">
        <v>0</v>
      </c>
      <c r="L1343">
        <f t="shared" si="80"/>
        <v>17</v>
      </c>
      <c r="M1343">
        <f t="shared" si="81"/>
        <v>204</v>
      </c>
      <c r="N1343">
        <f t="shared" si="82"/>
        <v>198</v>
      </c>
      <c r="O1343">
        <f t="shared" si="83"/>
        <v>2033.5</v>
      </c>
    </row>
    <row r="1344" spans="1:15" x14ac:dyDescent="0.2">
      <c r="A1344" t="s">
        <v>19</v>
      </c>
      <c r="B1344">
        <v>9</v>
      </c>
      <c r="C1344">
        <v>48</v>
      </c>
      <c r="D1344">
        <v>7</v>
      </c>
      <c r="E1344">
        <v>12</v>
      </c>
      <c r="F1344">
        <v>43</v>
      </c>
      <c r="G1344">
        <v>2317603</v>
      </c>
      <c r="H1344">
        <v>0</v>
      </c>
      <c r="I1344">
        <v>1</v>
      </c>
      <c r="J1344">
        <v>1</v>
      </c>
      <c r="K1344">
        <v>0</v>
      </c>
      <c r="L1344">
        <f t="shared" si="80"/>
        <v>17</v>
      </c>
      <c r="M1344">
        <f t="shared" si="81"/>
        <v>204</v>
      </c>
      <c r="N1344">
        <f t="shared" si="82"/>
        <v>197</v>
      </c>
      <c r="O1344">
        <f t="shared" si="83"/>
        <v>2033.4166666666667</v>
      </c>
    </row>
    <row r="1345" spans="1:15" x14ac:dyDescent="0.2">
      <c r="A1345" t="s">
        <v>19</v>
      </c>
      <c r="B1345">
        <v>9</v>
      </c>
      <c r="C1345">
        <v>48</v>
      </c>
      <c r="D1345">
        <v>21</v>
      </c>
      <c r="E1345">
        <v>1</v>
      </c>
      <c r="F1345">
        <v>44</v>
      </c>
      <c r="G1345">
        <v>2223001</v>
      </c>
      <c r="H1345">
        <v>0</v>
      </c>
      <c r="I1345">
        <v>1</v>
      </c>
      <c r="J1345">
        <v>1</v>
      </c>
      <c r="K1345">
        <v>0</v>
      </c>
      <c r="L1345">
        <f t="shared" si="80"/>
        <v>17</v>
      </c>
      <c r="M1345">
        <f t="shared" si="81"/>
        <v>204</v>
      </c>
      <c r="N1345">
        <f t="shared" si="82"/>
        <v>183</v>
      </c>
      <c r="O1345">
        <f t="shared" si="83"/>
        <v>2032.25</v>
      </c>
    </row>
    <row r="1346" spans="1:15" x14ac:dyDescent="0.2">
      <c r="A1346" t="s">
        <v>19</v>
      </c>
      <c r="B1346">
        <v>9</v>
      </c>
      <c r="C1346">
        <v>48</v>
      </c>
      <c r="D1346">
        <v>25</v>
      </c>
      <c r="E1346">
        <v>4</v>
      </c>
      <c r="F1346">
        <v>45</v>
      </c>
      <c r="G1346">
        <v>141903</v>
      </c>
      <c r="H1346">
        <v>1</v>
      </c>
      <c r="I1346">
        <v>0</v>
      </c>
      <c r="J1346">
        <v>1</v>
      </c>
      <c r="K1346">
        <v>0</v>
      </c>
      <c r="L1346">
        <f t="shared" si="80"/>
        <v>17</v>
      </c>
      <c r="M1346">
        <f t="shared" si="81"/>
        <v>204</v>
      </c>
      <c r="N1346">
        <f t="shared" si="82"/>
        <v>179</v>
      </c>
      <c r="O1346">
        <f t="shared" si="83"/>
        <v>2031.9166666666667</v>
      </c>
    </row>
    <row r="1347" spans="1:15" x14ac:dyDescent="0.2">
      <c r="A1347" t="s">
        <v>19</v>
      </c>
      <c r="B1347">
        <v>9</v>
      </c>
      <c r="C1347">
        <v>48</v>
      </c>
      <c r="D1347">
        <v>27</v>
      </c>
      <c r="E1347">
        <v>1</v>
      </c>
      <c r="F1347">
        <v>43</v>
      </c>
      <c r="G1347">
        <v>174503</v>
      </c>
      <c r="H1347">
        <v>0</v>
      </c>
      <c r="I1347">
        <v>1</v>
      </c>
      <c r="J1347">
        <v>1</v>
      </c>
      <c r="K1347">
        <v>0</v>
      </c>
      <c r="L1347">
        <f t="shared" si="80"/>
        <v>17</v>
      </c>
      <c r="M1347">
        <f t="shared" si="81"/>
        <v>204</v>
      </c>
      <c r="N1347">
        <f t="shared" si="82"/>
        <v>177</v>
      </c>
      <c r="O1347">
        <f t="shared" si="83"/>
        <v>2031.75</v>
      </c>
    </row>
    <row r="1348" spans="1:15" x14ac:dyDescent="0.2">
      <c r="A1348" t="s">
        <v>19</v>
      </c>
      <c r="B1348">
        <v>9</v>
      </c>
      <c r="C1348">
        <v>48</v>
      </c>
      <c r="D1348">
        <v>30</v>
      </c>
      <c r="E1348">
        <v>2</v>
      </c>
      <c r="F1348">
        <v>45</v>
      </c>
      <c r="G1348">
        <v>2179801</v>
      </c>
      <c r="H1348">
        <v>0</v>
      </c>
      <c r="I1348">
        <v>1</v>
      </c>
      <c r="J1348">
        <v>1</v>
      </c>
      <c r="K1348">
        <v>0</v>
      </c>
      <c r="L1348">
        <f t="shared" si="80"/>
        <v>17</v>
      </c>
      <c r="M1348">
        <f t="shared" si="81"/>
        <v>204</v>
      </c>
      <c r="N1348">
        <f t="shared" si="82"/>
        <v>174</v>
      </c>
      <c r="O1348">
        <f t="shared" si="83"/>
        <v>2031.5</v>
      </c>
    </row>
    <row r="1349" spans="1:15" x14ac:dyDescent="0.2">
      <c r="A1349" t="s">
        <v>19</v>
      </c>
      <c r="B1349">
        <v>9</v>
      </c>
      <c r="C1349">
        <v>48</v>
      </c>
      <c r="D1349">
        <v>31</v>
      </c>
      <c r="E1349">
        <v>1</v>
      </c>
      <c r="F1349">
        <v>38</v>
      </c>
      <c r="G1349">
        <v>2174201</v>
      </c>
      <c r="H1349">
        <v>0</v>
      </c>
      <c r="I1349">
        <v>1</v>
      </c>
      <c r="J1349">
        <v>1</v>
      </c>
      <c r="K1349">
        <v>0</v>
      </c>
      <c r="L1349">
        <f t="shared" si="80"/>
        <v>17</v>
      </c>
      <c r="M1349">
        <f t="shared" si="81"/>
        <v>204</v>
      </c>
      <c r="N1349">
        <f t="shared" si="82"/>
        <v>173</v>
      </c>
      <c r="O1349">
        <f t="shared" si="83"/>
        <v>2031.4166666666667</v>
      </c>
    </row>
    <row r="1350" spans="1:15" x14ac:dyDescent="0.2">
      <c r="A1350" t="s">
        <v>19</v>
      </c>
      <c r="B1350">
        <v>9</v>
      </c>
      <c r="C1350">
        <v>48</v>
      </c>
      <c r="D1350">
        <v>34</v>
      </c>
      <c r="E1350">
        <v>1</v>
      </c>
      <c r="F1350">
        <v>47</v>
      </c>
      <c r="G1350">
        <v>2160101</v>
      </c>
      <c r="H1350">
        <v>1</v>
      </c>
      <c r="I1350">
        <v>0</v>
      </c>
      <c r="J1350">
        <v>1</v>
      </c>
      <c r="K1350">
        <v>0</v>
      </c>
      <c r="L1350">
        <f t="shared" si="80"/>
        <v>17</v>
      </c>
      <c r="M1350">
        <f t="shared" si="81"/>
        <v>204</v>
      </c>
      <c r="N1350">
        <f t="shared" si="82"/>
        <v>170</v>
      </c>
      <c r="O1350">
        <f t="shared" si="83"/>
        <v>2031.1666666666667</v>
      </c>
    </row>
    <row r="1351" spans="1:15" x14ac:dyDescent="0.2">
      <c r="A1351" t="s">
        <v>19</v>
      </c>
      <c r="B1351">
        <v>9</v>
      </c>
      <c r="C1351">
        <v>48</v>
      </c>
      <c r="D1351">
        <v>36</v>
      </c>
      <c r="E1351">
        <v>12</v>
      </c>
      <c r="F1351">
        <v>48</v>
      </c>
      <c r="G1351">
        <v>2149401</v>
      </c>
      <c r="H1351">
        <v>1</v>
      </c>
      <c r="I1351">
        <v>0</v>
      </c>
      <c r="J1351">
        <v>1</v>
      </c>
      <c r="K1351">
        <v>0</v>
      </c>
      <c r="L1351">
        <f t="shared" ref="L1351:L1414" si="84">65-C1351</f>
        <v>17</v>
      </c>
      <c r="M1351">
        <f t="shared" ref="M1351:M1414" si="85">L1351*12</f>
        <v>204</v>
      </c>
      <c r="N1351">
        <f t="shared" ref="N1351:N1414" si="86">M1351-D1351</f>
        <v>168</v>
      </c>
      <c r="O1351">
        <f t="shared" ref="O1351:O1414" si="87">2017+N1351/12</f>
        <v>2031</v>
      </c>
    </row>
    <row r="1352" spans="1:15" x14ac:dyDescent="0.2">
      <c r="A1352" t="s">
        <v>19</v>
      </c>
      <c r="B1352">
        <v>9</v>
      </c>
      <c r="C1352">
        <v>48</v>
      </c>
      <c r="D1352">
        <v>40</v>
      </c>
      <c r="E1352">
        <v>1</v>
      </c>
      <c r="F1352">
        <v>46</v>
      </c>
      <c r="G1352">
        <v>2131101</v>
      </c>
      <c r="H1352">
        <v>1</v>
      </c>
      <c r="I1352">
        <v>0</v>
      </c>
      <c r="J1352">
        <v>1</v>
      </c>
      <c r="K1352">
        <v>0</v>
      </c>
      <c r="L1352">
        <f t="shared" si="84"/>
        <v>17</v>
      </c>
      <c r="M1352">
        <f t="shared" si="85"/>
        <v>204</v>
      </c>
      <c r="N1352">
        <f t="shared" si="86"/>
        <v>164</v>
      </c>
      <c r="O1352">
        <f t="shared" si="87"/>
        <v>2030.6666666666667</v>
      </c>
    </row>
    <row r="1353" spans="1:15" x14ac:dyDescent="0.2">
      <c r="A1353" t="s">
        <v>19</v>
      </c>
      <c r="B1353">
        <v>9</v>
      </c>
      <c r="C1353">
        <v>48</v>
      </c>
      <c r="D1353">
        <v>43</v>
      </c>
      <c r="E1353">
        <v>4</v>
      </c>
      <c r="F1353">
        <v>44</v>
      </c>
      <c r="G1353">
        <v>2114801</v>
      </c>
      <c r="H1353">
        <v>0</v>
      </c>
      <c r="I1353">
        <v>1</v>
      </c>
      <c r="J1353">
        <v>1</v>
      </c>
      <c r="K1353">
        <v>0</v>
      </c>
      <c r="L1353">
        <f t="shared" si="84"/>
        <v>17</v>
      </c>
      <c r="M1353">
        <f t="shared" si="85"/>
        <v>204</v>
      </c>
      <c r="N1353">
        <f t="shared" si="86"/>
        <v>161</v>
      </c>
      <c r="O1353">
        <f t="shared" si="87"/>
        <v>2030.4166666666667</v>
      </c>
    </row>
    <row r="1354" spans="1:15" x14ac:dyDescent="0.2">
      <c r="A1354" t="s">
        <v>19</v>
      </c>
      <c r="B1354">
        <v>9</v>
      </c>
      <c r="C1354">
        <v>48</v>
      </c>
      <c r="D1354">
        <v>44</v>
      </c>
      <c r="E1354">
        <v>1</v>
      </c>
      <c r="F1354">
        <v>47</v>
      </c>
      <c r="G1354">
        <v>2111401</v>
      </c>
      <c r="H1354">
        <v>0</v>
      </c>
      <c r="I1354">
        <v>1</v>
      </c>
      <c r="J1354">
        <v>1</v>
      </c>
      <c r="K1354">
        <v>0</v>
      </c>
      <c r="L1354">
        <f t="shared" si="84"/>
        <v>17</v>
      </c>
      <c r="M1354">
        <f t="shared" si="85"/>
        <v>204</v>
      </c>
      <c r="N1354">
        <f t="shared" si="86"/>
        <v>160</v>
      </c>
      <c r="O1354">
        <f t="shared" si="87"/>
        <v>2030.3333333333333</v>
      </c>
    </row>
    <row r="1355" spans="1:15" x14ac:dyDescent="0.2">
      <c r="A1355" t="s">
        <v>19</v>
      </c>
      <c r="B1355">
        <v>9</v>
      </c>
      <c r="C1355">
        <v>48</v>
      </c>
      <c r="D1355">
        <v>46</v>
      </c>
      <c r="E1355">
        <v>1</v>
      </c>
      <c r="F1355">
        <v>44</v>
      </c>
      <c r="G1355">
        <v>2101301</v>
      </c>
      <c r="H1355">
        <v>0</v>
      </c>
      <c r="I1355">
        <v>1</v>
      </c>
      <c r="J1355">
        <v>1</v>
      </c>
      <c r="K1355">
        <v>0</v>
      </c>
      <c r="L1355">
        <f t="shared" si="84"/>
        <v>17</v>
      </c>
      <c r="M1355">
        <f t="shared" si="85"/>
        <v>204</v>
      </c>
      <c r="N1355">
        <f t="shared" si="86"/>
        <v>158</v>
      </c>
      <c r="O1355">
        <f t="shared" si="87"/>
        <v>2030.1666666666667</v>
      </c>
    </row>
    <row r="1356" spans="1:15" x14ac:dyDescent="0.2">
      <c r="A1356" t="s">
        <v>19</v>
      </c>
      <c r="B1356">
        <v>9</v>
      </c>
      <c r="C1356">
        <v>48</v>
      </c>
      <c r="D1356">
        <v>48</v>
      </c>
      <c r="E1356">
        <v>1</v>
      </c>
      <c r="F1356">
        <v>46</v>
      </c>
      <c r="G1356">
        <v>2090401</v>
      </c>
      <c r="H1356">
        <v>0</v>
      </c>
      <c r="I1356">
        <v>1</v>
      </c>
      <c r="J1356">
        <v>1</v>
      </c>
      <c r="K1356">
        <v>0</v>
      </c>
      <c r="L1356">
        <f t="shared" si="84"/>
        <v>17</v>
      </c>
      <c r="M1356">
        <f t="shared" si="85"/>
        <v>204</v>
      </c>
      <c r="N1356">
        <f t="shared" si="86"/>
        <v>156</v>
      </c>
      <c r="O1356">
        <f t="shared" si="87"/>
        <v>2030</v>
      </c>
    </row>
    <row r="1357" spans="1:15" x14ac:dyDescent="0.2">
      <c r="A1357" t="s">
        <v>19</v>
      </c>
      <c r="B1357">
        <v>9</v>
      </c>
      <c r="C1357">
        <v>48</v>
      </c>
      <c r="D1357">
        <v>49</v>
      </c>
      <c r="E1357">
        <v>1</v>
      </c>
      <c r="F1357">
        <v>45</v>
      </c>
      <c r="G1357">
        <v>2083101</v>
      </c>
      <c r="H1357">
        <v>0</v>
      </c>
      <c r="I1357">
        <v>1</v>
      </c>
      <c r="J1357">
        <v>1</v>
      </c>
      <c r="K1357">
        <v>0</v>
      </c>
      <c r="L1357">
        <f t="shared" si="84"/>
        <v>17</v>
      </c>
      <c r="M1357">
        <f t="shared" si="85"/>
        <v>204</v>
      </c>
      <c r="N1357">
        <f t="shared" si="86"/>
        <v>155</v>
      </c>
      <c r="O1357">
        <f t="shared" si="87"/>
        <v>2029.9166666666667</v>
      </c>
    </row>
    <row r="1358" spans="1:15" x14ac:dyDescent="0.2">
      <c r="A1358" t="s">
        <v>19</v>
      </c>
      <c r="B1358">
        <v>9</v>
      </c>
      <c r="C1358">
        <v>48</v>
      </c>
      <c r="D1358">
        <v>50</v>
      </c>
      <c r="E1358">
        <v>12</v>
      </c>
      <c r="F1358">
        <v>46</v>
      </c>
      <c r="G1358">
        <v>2079202</v>
      </c>
      <c r="H1358">
        <v>0</v>
      </c>
      <c r="I1358">
        <v>1</v>
      </c>
      <c r="J1358">
        <v>1</v>
      </c>
      <c r="K1358">
        <v>0</v>
      </c>
      <c r="L1358">
        <f t="shared" si="84"/>
        <v>17</v>
      </c>
      <c r="M1358">
        <f t="shared" si="85"/>
        <v>204</v>
      </c>
      <c r="N1358">
        <f t="shared" si="86"/>
        <v>154</v>
      </c>
      <c r="O1358">
        <f t="shared" si="87"/>
        <v>2029.8333333333333</v>
      </c>
    </row>
    <row r="1359" spans="1:15" x14ac:dyDescent="0.2">
      <c r="A1359" t="s">
        <v>19</v>
      </c>
      <c r="B1359">
        <v>9</v>
      </c>
      <c r="C1359">
        <v>48</v>
      </c>
      <c r="D1359">
        <v>54</v>
      </c>
      <c r="E1359">
        <v>2</v>
      </c>
      <c r="F1359">
        <v>46</v>
      </c>
      <c r="G1359">
        <v>2060701</v>
      </c>
      <c r="H1359">
        <v>0</v>
      </c>
      <c r="I1359">
        <v>1</v>
      </c>
      <c r="J1359">
        <v>1</v>
      </c>
      <c r="K1359">
        <v>0</v>
      </c>
      <c r="L1359">
        <f t="shared" si="84"/>
        <v>17</v>
      </c>
      <c r="M1359">
        <f t="shared" si="85"/>
        <v>204</v>
      </c>
      <c r="N1359">
        <f t="shared" si="86"/>
        <v>150</v>
      </c>
      <c r="O1359">
        <f t="shared" si="87"/>
        <v>2029.5</v>
      </c>
    </row>
    <row r="1360" spans="1:15" x14ac:dyDescent="0.2">
      <c r="A1360" t="s">
        <v>19</v>
      </c>
      <c r="B1360">
        <v>9</v>
      </c>
      <c r="C1360">
        <v>48</v>
      </c>
      <c r="D1360">
        <v>54</v>
      </c>
      <c r="E1360">
        <v>2</v>
      </c>
      <c r="F1360">
        <v>47</v>
      </c>
      <c r="G1360">
        <v>2058101</v>
      </c>
      <c r="H1360">
        <v>1</v>
      </c>
      <c r="I1360">
        <v>0</v>
      </c>
      <c r="J1360">
        <v>1</v>
      </c>
      <c r="K1360">
        <v>0</v>
      </c>
      <c r="L1360">
        <f t="shared" si="84"/>
        <v>17</v>
      </c>
      <c r="M1360">
        <f t="shared" si="85"/>
        <v>204</v>
      </c>
      <c r="N1360">
        <f t="shared" si="86"/>
        <v>150</v>
      </c>
      <c r="O1360">
        <f t="shared" si="87"/>
        <v>2029.5</v>
      </c>
    </row>
    <row r="1361" spans="1:15" x14ac:dyDescent="0.2">
      <c r="A1361" t="s">
        <v>19</v>
      </c>
      <c r="B1361">
        <v>9</v>
      </c>
      <c r="C1361">
        <v>48</v>
      </c>
      <c r="D1361">
        <v>55</v>
      </c>
      <c r="E1361">
        <v>12</v>
      </c>
      <c r="F1361">
        <v>47</v>
      </c>
      <c r="G1361">
        <v>2054902</v>
      </c>
      <c r="H1361">
        <v>0</v>
      </c>
      <c r="I1361">
        <v>1</v>
      </c>
      <c r="J1361">
        <v>1</v>
      </c>
      <c r="K1361">
        <v>0</v>
      </c>
      <c r="L1361">
        <f t="shared" si="84"/>
        <v>17</v>
      </c>
      <c r="M1361">
        <f t="shared" si="85"/>
        <v>204</v>
      </c>
      <c r="N1361">
        <f t="shared" si="86"/>
        <v>149</v>
      </c>
      <c r="O1361">
        <f t="shared" si="87"/>
        <v>2029.4166666666667</v>
      </c>
    </row>
    <row r="1362" spans="1:15" x14ac:dyDescent="0.2">
      <c r="A1362" t="s">
        <v>19</v>
      </c>
      <c r="B1362">
        <v>9</v>
      </c>
      <c r="C1362">
        <v>48</v>
      </c>
      <c r="D1362">
        <v>56</v>
      </c>
      <c r="E1362">
        <v>1</v>
      </c>
      <c r="F1362">
        <v>47</v>
      </c>
      <c r="G1362">
        <v>128203</v>
      </c>
      <c r="H1362">
        <v>1</v>
      </c>
      <c r="I1362">
        <v>0</v>
      </c>
      <c r="J1362">
        <v>1</v>
      </c>
      <c r="K1362">
        <v>0</v>
      </c>
      <c r="L1362">
        <f t="shared" si="84"/>
        <v>17</v>
      </c>
      <c r="M1362">
        <f t="shared" si="85"/>
        <v>204</v>
      </c>
      <c r="N1362">
        <f t="shared" si="86"/>
        <v>148</v>
      </c>
      <c r="O1362">
        <f t="shared" si="87"/>
        <v>2029.3333333333333</v>
      </c>
    </row>
    <row r="1363" spans="1:15" x14ac:dyDescent="0.2">
      <c r="A1363" t="s">
        <v>19</v>
      </c>
      <c r="B1363">
        <v>9</v>
      </c>
      <c r="C1363">
        <v>48</v>
      </c>
      <c r="D1363">
        <v>66</v>
      </c>
      <c r="E1363">
        <v>1</v>
      </c>
      <c r="F1363">
        <v>46</v>
      </c>
      <c r="G1363">
        <v>2010701</v>
      </c>
      <c r="H1363">
        <v>0</v>
      </c>
      <c r="I1363">
        <v>1</v>
      </c>
      <c r="J1363">
        <v>1</v>
      </c>
      <c r="K1363">
        <v>0</v>
      </c>
      <c r="L1363">
        <f t="shared" si="84"/>
        <v>17</v>
      </c>
      <c r="M1363">
        <f t="shared" si="85"/>
        <v>204</v>
      </c>
      <c r="N1363">
        <f t="shared" si="86"/>
        <v>138</v>
      </c>
      <c r="O1363">
        <f t="shared" si="87"/>
        <v>2028.5</v>
      </c>
    </row>
    <row r="1364" spans="1:15" x14ac:dyDescent="0.2">
      <c r="A1364" t="s">
        <v>19</v>
      </c>
      <c r="B1364">
        <v>9</v>
      </c>
      <c r="C1364">
        <v>48</v>
      </c>
      <c r="D1364">
        <v>73</v>
      </c>
      <c r="E1364">
        <v>1</v>
      </c>
      <c r="F1364">
        <v>42</v>
      </c>
      <c r="G1364">
        <v>1982801</v>
      </c>
      <c r="H1364">
        <v>0</v>
      </c>
      <c r="I1364">
        <v>1</v>
      </c>
      <c r="J1364">
        <v>1</v>
      </c>
      <c r="K1364">
        <v>0</v>
      </c>
      <c r="L1364">
        <f t="shared" si="84"/>
        <v>17</v>
      </c>
      <c r="M1364">
        <f t="shared" si="85"/>
        <v>204</v>
      </c>
      <c r="N1364">
        <f t="shared" si="86"/>
        <v>131</v>
      </c>
      <c r="O1364">
        <f t="shared" si="87"/>
        <v>2027.9166666666667</v>
      </c>
    </row>
    <row r="1365" spans="1:15" x14ac:dyDescent="0.2">
      <c r="A1365" t="s">
        <v>19</v>
      </c>
      <c r="B1365">
        <v>9</v>
      </c>
      <c r="C1365">
        <v>48</v>
      </c>
      <c r="D1365">
        <v>74</v>
      </c>
      <c r="E1365">
        <v>1</v>
      </c>
      <c r="F1365">
        <v>46</v>
      </c>
      <c r="G1365">
        <v>1983001</v>
      </c>
      <c r="H1365">
        <v>1</v>
      </c>
      <c r="I1365">
        <v>0</v>
      </c>
      <c r="J1365">
        <v>1</v>
      </c>
      <c r="K1365">
        <v>0</v>
      </c>
      <c r="L1365">
        <f t="shared" si="84"/>
        <v>17</v>
      </c>
      <c r="M1365">
        <f t="shared" si="85"/>
        <v>204</v>
      </c>
      <c r="N1365">
        <f t="shared" si="86"/>
        <v>130</v>
      </c>
      <c r="O1365">
        <f t="shared" si="87"/>
        <v>2027.8333333333333</v>
      </c>
    </row>
    <row r="1366" spans="1:15" x14ac:dyDescent="0.2">
      <c r="A1366" t="s">
        <v>19</v>
      </c>
      <c r="B1366">
        <v>9</v>
      </c>
      <c r="C1366">
        <v>48</v>
      </c>
      <c r="D1366">
        <v>79</v>
      </c>
      <c r="E1366">
        <v>2</v>
      </c>
      <c r="F1366">
        <v>45</v>
      </c>
      <c r="G1366">
        <v>1969301</v>
      </c>
      <c r="H1366">
        <v>0</v>
      </c>
      <c r="I1366">
        <v>1</v>
      </c>
      <c r="J1366">
        <v>1</v>
      </c>
      <c r="K1366">
        <v>0</v>
      </c>
      <c r="L1366">
        <f t="shared" si="84"/>
        <v>17</v>
      </c>
      <c r="M1366">
        <f t="shared" si="85"/>
        <v>204</v>
      </c>
      <c r="N1366">
        <f t="shared" si="86"/>
        <v>125</v>
      </c>
      <c r="O1366">
        <f t="shared" si="87"/>
        <v>2027.4166666666667</v>
      </c>
    </row>
    <row r="1367" spans="1:15" x14ac:dyDescent="0.2">
      <c r="A1367" t="s">
        <v>19</v>
      </c>
      <c r="B1367">
        <v>9</v>
      </c>
      <c r="C1367">
        <v>48</v>
      </c>
      <c r="D1367">
        <v>85</v>
      </c>
      <c r="E1367">
        <v>2</v>
      </c>
      <c r="F1367">
        <v>41</v>
      </c>
      <c r="G1367">
        <v>1945501</v>
      </c>
      <c r="H1367">
        <v>0</v>
      </c>
      <c r="I1367">
        <v>1</v>
      </c>
      <c r="J1367">
        <v>1</v>
      </c>
      <c r="K1367">
        <v>0</v>
      </c>
      <c r="L1367">
        <f t="shared" si="84"/>
        <v>17</v>
      </c>
      <c r="M1367">
        <f t="shared" si="85"/>
        <v>204</v>
      </c>
      <c r="N1367">
        <f t="shared" si="86"/>
        <v>119</v>
      </c>
      <c r="O1367">
        <f t="shared" si="87"/>
        <v>2026.9166666666667</v>
      </c>
    </row>
    <row r="1368" spans="1:15" x14ac:dyDescent="0.2">
      <c r="A1368" t="s">
        <v>19</v>
      </c>
      <c r="B1368">
        <v>9</v>
      </c>
      <c r="C1368">
        <v>48</v>
      </c>
      <c r="D1368">
        <v>85</v>
      </c>
      <c r="E1368">
        <v>12</v>
      </c>
      <c r="F1368">
        <v>28</v>
      </c>
      <c r="G1368">
        <v>1951301</v>
      </c>
      <c r="H1368">
        <v>0</v>
      </c>
      <c r="I1368">
        <v>1</v>
      </c>
      <c r="J1368">
        <v>1</v>
      </c>
      <c r="K1368">
        <v>0</v>
      </c>
      <c r="L1368">
        <f t="shared" si="84"/>
        <v>17</v>
      </c>
      <c r="M1368">
        <f t="shared" si="85"/>
        <v>204</v>
      </c>
      <c r="N1368">
        <f t="shared" si="86"/>
        <v>119</v>
      </c>
      <c r="O1368">
        <f t="shared" si="87"/>
        <v>2026.9166666666667</v>
      </c>
    </row>
    <row r="1369" spans="1:15" x14ac:dyDescent="0.2">
      <c r="A1369" t="s">
        <v>19</v>
      </c>
      <c r="B1369">
        <v>9</v>
      </c>
      <c r="C1369">
        <v>48</v>
      </c>
      <c r="D1369">
        <v>90</v>
      </c>
      <c r="E1369">
        <v>2</v>
      </c>
      <c r="F1369">
        <v>45</v>
      </c>
      <c r="G1369">
        <v>1923001</v>
      </c>
      <c r="H1369">
        <v>0</v>
      </c>
      <c r="I1369">
        <v>1</v>
      </c>
      <c r="J1369">
        <v>1</v>
      </c>
      <c r="K1369">
        <v>0</v>
      </c>
      <c r="L1369">
        <f t="shared" si="84"/>
        <v>17</v>
      </c>
      <c r="M1369">
        <f t="shared" si="85"/>
        <v>204</v>
      </c>
      <c r="N1369">
        <f t="shared" si="86"/>
        <v>114</v>
      </c>
      <c r="O1369">
        <f t="shared" si="87"/>
        <v>2026.5</v>
      </c>
    </row>
    <row r="1370" spans="1:15" x14ac:dyDescent="0.2">
      <c r="A1370" t="s">
        <v>19</v>
      </c>
      <c r="B1370">
        <v>9</v>
      </c>
      <c r="C1370">
        <v>48</v>
      </c>
      <c r="D1370">
        <v>96</v>
      </c>
      <c r="E1370">
        <v>2</v>
      </c>
      <c r="F1370">
        <v>43</v>
      </c>
      <c r="G1370">
        <v>1875001</v>
      </c>
      <c r="H1370">
        <v>0</v>
      </c>
      <c r="I1370">
        <v>1</v>
      </c>
      <c r="J1370">
        <v>1</v>
      </c>
      <c r="K1370">
        <v>0</v>
      </c>
      <c r="L1370">
        <f t="shared" si="84"/>
        <v>17</v>
      </c>
      <c r="M1370">
        <f t="shared" si="85"/>
        <v>204</v>
      </c>
      <c r="N1370">
        <f t="shared" si="86"/>
        <v>108</v>
      </c>
      <c r="O1370">
        <f t="shared" si="87"/>
        <v>2026</v>
      </c>
    </row>
    <row r="1371" spans="1:15" x14ac:dyDescent="0.2">
      <c r="A1371" t="s">
        <v>19</v>
      </c>
      <c r="B1371">
        <v>9</v>
      </c>
      <c r="C1371">
        <v>48</v>
      </c>
      <c r="D1371">
        <v>97</v>
      </c>
      <c r="E1371">
        <v>1</v>
      </c>
      <c r="F1371">
        <v>47</v>
      </c>
      <c r="G1371">
        <v>1869901</v>
      </c>
      <c r="H1371">
        <v>0</v>
      </c>
      <c r="I1371">
        <v>1</v>
      </c>
      <c r="J1371">
        <v>1</v>
      </c>
      <c r="K1371">
        <v>0</v>
      </c>
      <c r="L1371">
        <f t="shared" si="84"/>
        <v>17</v>
      </c>
      <c r="M1371">
        <f t="shared" si="85"/>
        <v>204</v>
      </c>
      <c r="N1371">
        <f t="shared" si="86"/>
        <v>107</v>
      </c>
      <c r="O1371">
        <f t="shared" si="87"/>
        <v>2025.9166666666667</v>
      </c>
    </row>
    <row r="1372" spans="1:15" x14ac:dyDescent="0.2">
      <c r="A1372" t="s">
        <v>19</v>
      </c>
      <c r="B1372">
        <v>9</v>
      </c>
      <c r="C1372">
        <v>48</v>
      </c>
      <c r="D1372">
        <v>101</v>
      </c>
      <c r="E1372">
        <v>1</v>
      </c>
      <c r="F1372">
        <v>47</v>
      </c>
      <c r="G1372">
        <v>1832701</v>
      </c>
      <c r="H1372">
        <v>0</v>
      </c>
      <c r="I1372">
        <v>1</v>
      </c>
      <c r="J1372">
        <v>1</v>
      </c>
      <c r="K1372">
        <v>0</v>
      </c>
      <c r="L1372">
        <f t="shared" si="84"/>
        <v>17</v>
      </c>
      <c r="M1372">
        <f t="shared" si="85"/>
        <v>204</v>
      </c>
      <c r="N1372">
        <f t="shared" si="86"/>
        <v>103</v>
      </c>
      <c r="O1372">
        <f t="shared" si="87"/>
        <v>2025.5833333333333</v>
      </c>
    </row>
    <row r="1373" spans="1:15" x14ac:dyDescent="0.2">
      <c r="A1373" t="s">
        <v>19</v>
      </c>
      <c r="B1373">
        <v>9</v>
      </c>
      <c r="C1373">
        <v>48</v>
      </c>
      <c r="D1373">
        <v>103</v>
      </c>
      <c r="E1373">
        <v>4</v>
      </c>
      <c r="F1373">
        <v>26</v>
      </c>
      <c r="G1373">
        <v>1807601</v>
      </c>
      <c r="H1373">
        <v>1</v>
      </c>
      <c r="I1373">
        <v>0</v>
      </c>
      <c r="J1373">
        <v>1</v>
      </c>
      <c r="K1373">
        <v>0</v>
      </c>
      <c r="L1373">
        <f t="shared" si="84"/>
        <v>17</v>
      </c>
      <c r="M1373">
        <f t="shared" si="85"/>
        <v>204</v>
      </c>
      <c r="N1373">
        <f t="shared" si="86"/>
        <v>101</v>
      </c>
      <c r="O1373">
        <f t="shared" si="87"/>
        <v>2025.4166666666667</v>
      </c>
    </row>
    <row r="1374" spans="1:15" x14ac:dyDescent="0.2">
      <c r="A1374" t="s">
        <v>19</v>
      </c>
      <c r="B1374">
        <v>9</v>
      </c>
      <c r="C1374">
        <v>48</v>
      </c>
      <c r="D1374">
        <v>104</v>
      </c>
      <c r="E1374">
        <v>2</v>
      </c>
      <c r="F1374">
        <v>46</v>
      </c>
      <c r="G1374">
        <v>1792401</v>
      </c>
      <c r="H1374">
        <v>0</v>
      </c>
      <c r="I1374">
        <v>1</v>
      </c>
      <c r="J1374">
        <v>1</v>
      </c>
      <c r="K1374">
        <v>0</v>
      </c>
      <c r="L1374">
        <f t="shared" si="84"/>
        <v>17</v>
      </c>
      <c r="M1374">
        <f t="shared" si="85"/>
        <v>204</v>
      </c>
      <c r="N1374">
        <f t="shared" si="86"/>
        <v>100</v>
      </c>
      <c r="O1374">
        <f t="shared" si="87"/>
        <v>2025.3333333333333</v>
      </c>
    </row>
    <row r="1375" spans="1:15" x14ac:dyDescent="0.2">
      <c r="A1375" t="s">
        <v>19</v>
      </c>
      <c r="B1375">
        <v>9</v>
      </c>
      <c r="C1375">
        <v>48</v>
      </c>
      <c r="D1375">
        <v>107</v>
      </c>
      <c r="E1375">
        <v>1</v>
      </c>
      <c r="F1375">
        <v>47</v>
      </c>
      <c r="G1375">
        <v>1758501</v>
      </c>
      <c r="H1375">
        <v>0</v>
      </c>
      <c r="I1375">
        <v>1</v>
      </c>
      <c r="J1375">
        <v>1</v>
      </c>
      <c r="K1375">
        <v>0</v>
      </c>
      <c r="L1375">
        <f t="shared" si="84"/>
        <v>17</v>
      </c>
      <c r="M1375">
        <f t="shared" si="85"/>
        <v>204</v>
      </c>
      <c r="N1375">
        <f t="shared" si="86"/>
        <v>97</v>
      </c>
      <c r="O1375">
        <f t="shared" si="87"/>
        <v>2025.0833333333333</v>
      </c>
    </row>
    <row r="1376" spans="1:15" x14ac:dyDescent="0.2">
      <c r="A1376" t="s">
        <v>19</v>
      </c>
      <c r="B1376">
        <v>9</v>
      </c>
      <c r="C1376">
        <v>48</v>
      </c>
      <c r="D1376">
        <v>107</v>
      </c>
      <c r="E1376">
        <v>1</v>
      </c>
      <c r="F1376">
        <v>48</v>
      </c>
      <c r="G1376">
        <v>1736802</v>
      </c>
      <c r="H1376">
        <v>0</v>
      </c>
      <c r="I1376">
        <v>1</v>
      </c>
      <c r="J1376">
        <v>1</v>
      </c>
      <c r="K1376">
        <v>0</v>
      </c>
      <c r="L1376">
        <f t="shared" si="84"/>
        <v>17</v>
      </c>
      <c r="M1376">
        <f t="shared" si="85"/>
        <v>204</v>
      </c>
      <c r="N1376">
        <f t="shared" si="86"/>
        <v>97</v>
      </c>
      <c r="O1376">
        <f t="shared" si="87"/>
        <v>2025.0833333333333</v>
      </c>
    </row>
    <row r="1377" spans="1:15" x14ac:dyDescent="0.2">
      <c r="A1377" t="s">
        <v>19</v>
      </c>
      <c r="B1377">
        <v>9</v>
      </c>
      <c r="C1377">
        <v>48</v>
      </c>
      <c r="D1377">
        <v>107</v>
      </c>
      <c r="E1377">
        <v>2</v>
      </c>
      <c r="F1377">
        <v>48</v>
      </c>
      <c r="G1377">
        <v>1747801</v>
      </c>
      <c r="H1377">
        <v>0</v>
      </c>
      <c r="I1377">
        <v>1</v>
      </c>
      <c r="J1377">
        <v>1</v>
      </c>
      <c r="K1377">
        <v>0</v>
      </c>
      <c r="L1377">
        <f t="shared" si="84"/>
        <v>17</v>
      </c>
      <c r="M1377">
        <f t="shared" si="85"/>
        <v>204</v>
      </c>
      <c r="N1377">
        <f t="shared" si="86"/>
        <v>97</v>
      </c>
      <c r="O1377">
        <f t="shared" si="87"/>
        <v>2025.0833333333333</v>
      </c>
    </row>
    <row r="1378" spans="1:15" x14ac:dyDescent="0.2">
      <c r="A1378" t="s">
        <v>19</v>
      </c>
      <c r="B1378">
        <v>9</v>
      </c>
      <c r="C1378">
        <v>48</v>
      </c>
      <c r="D1378">
        <v>108</v>
      </c>
      <c r="E1378">
        <v>1</v>
      </c>
      <c r="F1378">
        <v>42</v>
      </c>
      <c r="G1378">
        <v>1746601</v>
      </c>
      <c r="H1378">
        <v>1</v>
      </c>
      <c r="I1378">
        <v>0</v>
      </c>
      <c r="J1378">
        <v>1</v>
      </c>
      <c r="K1378">
        <v>0</v>
      </c>
      <c r="L1378">
        <f t="shared" si="84"/>
        <v>17</v>
      </c>
      <c r="M1378">
        <f t="shared" si="85"/>
        <v>204</v>
      </c>
      <c r="N1378">
        <f t="shared" si="86"/>
        <v>96</v>
      </c>
      <c r="O1378">
        <f t="shared" si="87"/>
        <v>2025</v>
      </c>
    </row>
    <row r="1379" spans="1:15" x14ac:dyDescent="0.2">
      <c r="A1379" t="s">
        <v>19</v>
      </c>
      <c r="B1379">
        <v>9</v>
      </c>
      <c r="C1379">
        <v>48</v>
      </c>
      <c r="D1379">
        <v>127</v>
      </c>
      <c r="E1379">
        <v>1</v>
      </c>
      <c r="F1379">
        <v>47</v>
      </c>
      <c r="G1379">
        <v>501202</v>
      </c>
      <c r="H1379">
        <v>0</v>
      </c>
      <c r="I1379">
        <v>1</v>
      </c>
      <c r="J1379">
        <v>1</v>
      </c>
      <c r="K1379">
        <v>0</v>
      </c>
      <c r="L1379">
        <f t="shared" si="84"/>
        <v>17</v>
      </c>
      <c r="M1379">
        <f t="shared" si="85"/>
        <v>204</v>
      </c>
      <c r="N1379">
        <f t="shared" si="86"/>
        <v>77</v>
      </c>
      <c r="O1379">
        <f t="shared" si="87"/>
        <v>2023.4166666666667</v>
      </c>
    </row>
    <row r="1380" spans="1:15" x14ac:dyDescent="0.2">
      <c r="A1380" t="s">
        <v>19</v>
      </c>
      <c r="B1380">
        <v>9</v>
      </c>
      <c r="C1380">
        <v>48</v>
      </c>
      <c r="D1380">
        <v>129</v>
      </c>
      <c r="E1380">
        <v>1</v>
      </c>
      <c r="F1380">
        <v>46</v>
      </c>
      <c r="G1380">
        <v>1605201</v>
      </c>
      <c r="H1380">
        <v>0</v>
      </c>
      <c r="I1380">
        <v>1</v>
      </c>
      <c r="J1380">
        <v>1</v>
      </c>
      <c r="K1380">
        <v>0</v>
      </c>
      <c r="L1380">
        <f t="shared" si="84"/>
        <v>17</v>
      </c>
      <c r="M1380">
        <f t="shared" si="85"/>
        <v>204</v>
      </c>
      <c r="N1380">
        <f t="shared" si="86"/>
        <v>75</v>
      </c>
      <c r="O1380">
        <f t="shared" si="87"/>
        <v>2023.25</v>
      </c>
    </row>
    <row r="1381" spans="1:15" x14ac:dyDescent="0.2">
      <c r="A1381" t="s">
        <v>19</v>
      </c>
      <c r="B1381">
        <v>9</v>
      </c>
      <c r="C1381">
        <v>48</v>
      </c>
      <c r="D1381">
        <v>147</v>
      </c>
      <c r="E1381">
        <v>1</v>
      </c>
      <c r="F1381">
        <v>45</v>
      </c>
      <c r="G1381">
        <v>1068601</v>
      </c>
      <c r="H1381">
        <v>0</v>
      </c>
      <c r="I1381">
        <v>1</v>
      </c>
      <c r="J1381">
        <v>1</v>
      </c>
      <c r="K1381">
        <v>0</v>
      </c>
      <c r="L1381">
        <f t="shared" si="84"/>
        <v>17</v>
      </c>
      <c r="M1381">
        <f t="shared" si="85"/>
        <v>204</v>
      </c>
      <c r="N1381">
        <f t="shared" si="86"/>
        <v>57</v>
      </c>
      <c r="O1381">
        <f t="shared" si="87"/>
        <v>2021.75</v>
      </c>
    </row>
    <row r="1382" spans="1:15" x14ac:dyDescent="0.2">
      <c r="A1382" t="s">
        <v>19</v>
      </c>
      <c r="B1382">
        <v>9</v>
      </c>
      <c r="C1382">
        <v>48</v>
      </c>
      <c r="D1382">
        <v>150</v>
      </c>
      <c r="E1382">
        <v>2</v>
      </c>
      <c r="F1382">
        <v>46</v>
      </c>
      <c r="G1382">
        <v>1055001</v>
      </c>
      <c r="H1382">
        <v>1</v>
      </c>
      <c r="I1382">
        <v>0</v>
      </c>
      <c r="J1382">
        <v>1</v>
      </c>
      <c r="K1382">
        <v>0</v>
      </c>
      <c r="L1382">
        <f t="shared" si="84"/>
        <v>17</v>
      </c>
      <c r="M1382">
        <f t="shared" si="85"/>
        <v>204</v>
      </c>
      <c r="N1382">
        <f t="shared" si="86"/>
        <v>54</v>
      </c>
      <c r="O1382">
        <f t="shared" si="87"/>
        <v>2021.5</v>
      </c>
    </row>
    <row r="1383" spans="1:15" x14ac:dyDescent="0.2">
      <c r="A1383" t="s">
        <v>19</v>
      </c>
      <c r="B1383">
        <v>9</v>
      </c>
      <c r="C1383">
        <v>48</v>
      </c>
      <c r="D1383">
        <v>151</v>
      </c>
      <c r="E1383">
        <v>1</v>
      </c>
      <c r="F1383">
        <v>44</v>
      </c>
      <c r="G1383">
        <v>1046301</v>
      </c>
      <c r="H1383">
        <v>0</v>
      </c>
      <c r="I1383">
        <v>1</v>
      </c>
      <c r="J1383">
        <v>1</v>
      </c>
      <c r="K1383">
        <v>0</v>
      </c>
      <c r="L1383">
        <f t="shared" si="84"/>
        <v>17</v>
      </c>
      <c r="M1383">
        <f t="shared" si="85"/>
        <v>204</v>
      </c>
      <c r="N1383">
        <f t="shared" si="86"/>
        <v>53</v>
      </c>
      <c r="O1383">
        <f t="shared" si="87"/>
        <v>2021.4166666666667</v>
      </c>
    </row>
    <row r="1384" spans="1:15" x14ac:dyDescent="0.2">
      <c r="A1384" t="s">
        <v>19</v>
      </c>
      <c r="B1384">
        <v>9</v>
      </c>
      <c r="C1384">
        <v>48</v>
      </c>
      <c r="D1384">
        <v>198</v>
      </c>
      <c r="E1384">
        <v>1</v>
      </c>
      <c r="F1384">
        <v>47</v>
      </c>
      <c r="G1384">
        <v>814402</v>
      </c>
      <c r="H1384">
        <v>1</v>
      </c>
      <c r="I1384">
        <v>0</v>
      </c>
      <c r="J1384">
        <v>1</v>
      </c>
      <c r="K1384">
        <v>0</v>
      </c>
      <c r="L1384">
        <f t="shared" si="84"/>
        <v>17</v>
      </c>
      <c r="M1384">
        <f t="shared" si="85"/>
        <v>204</v>
      </c>
      <c r="N1384">
        <f t="shared" si="86"/>
        <v>6</v>
      </c>
      <c r="O1384">
        <f t="shared" si="87"/>
        <v>2017.5</v>
      </c>
    </row>
    <row r="1385" spans="1:15" x14ac:dyDescent="0.2">
      <c r="A1385" t="s">
        <v>19</v>
      </c>
      <c r="B1385">
        <v>9</v>
      </c>
      <c r="C1385">
        <v>48</v>
      </c>
      <c r="D1385">
        <v>201</v>
      </c>
      <c r="E1385">
        <v>2</v>
      </c>
      <c r="F1385">
        <v>42</v>
      </c>
      <c r="G1385">
        <v>788201</v>
      </c>
      <c r="H1385">
        <v>1</v>
      </c>
      <c r="I1385">
        <v>0</v>
      </c>
      <c r="J1385">
        <v>1</v>
      </c>
      <c r="K1385">
        <v>0</v>
      </c>
      <c r="L1385">
        <f t="shared" si="84"/>
        <v>17</v>
      </c>
      <c r="M1385">
        <f t="shared" si="85"/>
        <v>204</v>
      </c>
      <c r="N1385">
        <f t="shared" si="86"/>
        <v>3</v>
      </c>
      <c r="O1385">
        <f t="shared" si="87"/>
        <v>2017.25</v>
      </c>
    </row>
    <row r="1386" spans="1:15" x14ac:dyDescent="0.2">
      <c r="A1386" t="s">
        <v>19</v>
      </c>
      <c r="B1386">
        <v>9</v>
      </c>
      <c r="C1386">
        <v>48</v>
      </c>
      <c r="D1386">
        <v>202</v>
      </c>
      <c r="E1386">
        <v>1</v>
      </c>
      <c r="F1386">
        <v>36</v>
      </c>
      <c r="G1386">
        <v>774301</v>
      </c>
      <c r="H1386">
        <v>0</v>
      </c>
      <c r="I1386">
        <v>1</v>
      </c>
      <c r="J1386">
        <v>1</v>
      </c>
      <c r="K1386">
        <v>0</v>
      </c>
      <c r="L1386">
        <f t="shared" si="84"/>
        <v>17</v>
      </c>
      <c r="M1386">
        <f t="shared" si="85"/>
        <v>204</v>
      </c>
      <c r="N1386">
        <f t="shared" si="86"/>
        <v>2</v>
      </c>
      <c r="O1386">
        <f t="shared" si="87"/>
        <v>2017.1666666666667</v>
      </c>
    </row>
    <row r="1387" spans="1:15" x14ac:dyDescent="0.2">
      <c r="A1387" t="s">
        <v>19</v>
      </c>
      <c r="B1387">
        <v>9</v>
      </c>
      <c r="C1387">
        <v>49</v>
      </c>
      <c r="D1387">
        <v>1</v>
      </c>
      <c r="E1387">
        <v>2</v>
      </c>
      <c r="F1387">
        <v>40</v>
      </c>
      <c r="G1387">
        <v>2414201</v>
      </c>
      <c r="H1387">
        <v>0</v>
      </c>
      <c r="I1387">
        <v>1</v>
      </c>
      <c r="J1387">
        <v>1</v>
      </c>
      <c r="K1387">
        <v>0</v>
      </c>
      <c r="L1387">
        <f t="shared" si="84"/>
        <v>16</v>
      </c>
      <c r="M1387">
        <f t="shared" si="85"/>
        <v>192</v>
      </c>
      <c r="N1387">
        <f t="shared" si="86"/>
        <v>191</v>
      </c>
      <c r="O1387">
        <f t="shared" si="87"/>
        <v>2032.9166666666667</v>
      </c>
    </row>
    <row r="1388" spans="1:15" x14ac:dyDescent="0.2">
      <c r="A1388" t="s">
        <v>19</v>
      </c>
      <c r="B1388">
        <v>9</v>
      </c>
      <c r="C1388">
        <v>49</v>
      </c>
      <c r="D1388">
        <v>1</v>
      </c>
      <c r="E1388">
        <v>12</v>
      </c>
      <c r="F1388">
        <v>42</v>
      </c>
      <c r="G1388">
        <v>2397001</v>
      </c>
      <c r="H1388">
        <v>0</v>
      </c>
      <c r="I1388">
        <v>1</v>
      </c>
      <c r="J1388">
        <v>1</v>
      </c>
      <c r="K1388">
        <v>0</v>
      </c>
      <c r="L1388">
        <f t="shared" si="84"/>
        <v>16</v>
      </c>
      <c r="M1388">
        <f t="shared" si="85"/>
        <v>192</v>
      </c>
      <c r="N1388">
        <f t="shared" si="86"/>
        <v>191</v>
      </c>
      <c r="O1388">
        <f t="shared" si="87"/>
        <v>2032.9166666666667</v>
      </c>
    </row>
    <row r="1389" spans="1:15" x14ac:dyDescent="0.2">
      <c r="A1389" t="s">
        <v>19</v>
      </c>
      <c r="B1389">
        <v>9</v>
      </c>
      <c r="C1389">
        <v>49</v>
      </c>
      <c r="D1389">
        <v>1</v>
      </c>
      <c r="E1389">
        <v>12</v>
      </c>
      <c r="F1389">
        <v>47</v>
      </c>
      <c r="G1389">
        <v>2410103</v>
      </c>
      <c r="H1389">
        <v>0</v>
      </c>
      <c r="I1389">
        <v>1</v>
      </c>
      <c r="J1389">
        <v>1</v>
      </c>
      <c r="K1389">
        <v>0</v>
      </c>
      <c r="L1389">
        <f t="shared" si="84"/>
        <v>16</v>
      </c>
      <c r="M1389">
        <f t="shared" si="85"/>
        <v>192</v>
      </c>
      <c r="N1389">
        <f t="shared" si="86"/>
        <v>191</v>
      </c>
      <c r="O1389">
        <f t="shared" si="87"/>
        <v>2032.9166666666667</v>
      </c>
    </row>
    <row r="1390" spans="1:15" x14ac:dyDescent="0.2">
      <c r="A1390" t="s">
        <v>19</v>
      </c>
      <c r="B1390">
        <v>9</v>
      </c>
      <c r="C1390">
        <v>49</v>
      </c>
      <c r="D1390">
        <v>1</v>
      </c>
      <c r="E1390">
        <v>12</v>
      </c>
      <c r="F1390">
        <v>48</v>
      </c>
      <c r="G1390">
        <v>2387801</v>
      </c>
      <c r="H1390">
        <v>0</v>
      </c>
      <c r="I1390">
        <v>1</v>
      </c>
      <c r="J1390">
        <v>1</v>
      </c>
      <c r="K1390">
        <v>0</v>
      </c>
      <c r="L1390">
        <f t="shared" si="84"/>
        <v>16</v>
      </c>
      <c r="M1390">
        <f t="shared" si="85"/>
        <v>192</v>
      </c>
      <c r="N1390">
        <f t="shared" si="86"/>
        <v>191</v>
      </c>
      <c r="O1390">
        <f t="shared" si="87"/>
        <v>2032.9166666666667</v>
      </c>
    </row>
    <row r="1391" spans="1:15" x14ac:dyDescent="0.2">
      <c r="A1391" t="s">
        <v>19</v>
      </c>
      <c r="B1391">
        <v>9</v>
      </c>
      <c r="C1391">
        <v>49</v>
      </c>
      <c r="D1391">
        <v>2</v>
      </c>
      <c r="E1391">
        <v>12</v>
      </c>
      <c r="F1391">
        <v>46</v>
      </c>
      <c r="G1391">
        <v>2371703</v>
      </c>
      <c r="H1391">
        <v>0</v>
      </c>
      <c r="I1391">
        <v>1</v>
      </c>
      <c r="J1391">
        <v>1</v>
      </c>
      <c r="K1391">
        <v>0</v>
      </c>
      <c r="L1391">
        <f t="shared" si="84"/>
        <v>16</v>
      </c>
      <c r="M1391">
        <f t="shared" si="85"/>
        <v>192</v>
      </c>
      <c r="N1391">
        <f t="shared" si="86"/>
        <v>190</v>
      </c>
      <c r="O1391">
        <f t="shared" si="87"/>
        <v>2032.8333333333333</v>
      </c>
    </row>
    <row r="1392" spans="1:15" x14ac:dyDescent="0.2">
      <c r="A1392" t="s">
        <v>19</v>
      </c>
      <c r="B1392">
        <v>9</v>
      </c>
      <c r="C1392">
        <v>49</v>
      </c>
      <c r="D1392">
        <v>3</v>
      </c>
      <c r="E1392">
        <v>1</v>
      </c>
      <c r="F1392">
        <v>46</v>
      </c>
      <c r="G1392">
        <v>2363101</v>
      </c>
      <c r="H1392">
        <v>0</v>
      </c>
      <c r="I1392">
        <v>1</v>
      </c>
      <c r="J1392">
        <v>1</v>
      </c>
      <c r="K1392">
        <v>0</v>
      </c>
      <c r="L1392">
        <f t="shared" si="84"/>
        <v>16</v>
      </c>
      <c r="M1392">
        <f t="shared" si="85"/>
        <v>192</v>
      </c>
      <c r="N1392">
        <f t="shared" si="86"/>
        <v>189</v>
      </c>
      <c r="O1392">
        <f t="shared" si="87"/>
        <v>2032.75</v>
      </c>
    </row>
    <row r="1393" spans="1:15" x14ac:dyDescent="0.2">
      <c r="A1393" t="s">
        <v>19</v>
      </c>
      <c r="B1393">
        <v>9</v>
      </c>
      <c r="C1393">
        <v>49</v>
      </c>
      <c r="D1393">
        <v>3</v>
      </c>
      <c r="E1393">
        <v>12</v>
      </c>
      <c r="F1393">
        <v>43</v>
      </c>
      <c r="G1393">
        <v>2357601</v>
      </c>
      <c r="H1393">
        <v>0</v>
      </c>
      <c r="I1393">
        <v>1</v>
      </c>
      <c r="J1393">
        <v>1</v>
      </c>
      <c r="K1393">
        <v>0</v>
      </c>
      <c r="L1393">
        <f t="shared" si="84"/>
        <v>16</v>
      </c>
      <c r="M1393">
        <f t="shared" si="85"/>
        <v>192</v>
      </c>
      <c r="N1393">
        <f t="shared" si="86"/>
        <v>189</v>
      </c>
      <c r="O1393">
        <f t="shared" si="87"/>
        <v>2032.75</v>
      </c>
    </row>
    <row r="1394" spans="1:15" x14ac:dyDescent="0.2">
      <c r="A1394" t="s">
        <v>19</v>
      </c>
      <c r="B1394">
        <v>9</v>
      </c>
      <c r="C1394">
        <v>49</v>
      </c>
      <c r="D1394">
        <v>4</v>
      </c>
      <c r="E1394">
        <v>12</v>
      </c>
      <c r="F1394">
        <v>45</v>
      </c>
      <c r="G1394">
        <v>2356403</v>
      </c>
      <c r="H1394">
        <v>0</v>
      </c>
      <c r="I1394">
        <v>1</v>
      </c>
      <c r="J1394">
        <v>1</v>
      </c>
      <c r="K1394">
        <v>0</v>
      </c>
      <c r="L1394">
        <f t="shared" si="84"/>
        <v>16</v>
      </c>
      <c r="M1394">
        <f t="shared" si="85"/>
        <v>192</v>
      </c>
      <c r="N1394">
        <f t="shared" si="86"/>
        <v>188</v>
      </c>
      <c r="O1394">
        <f t="shared" si="87"/>
        <v>2032.6666666666667</v>
      </c>
    </row>
    <row r="1395" spans="1:15" x14ac:dyDescent="0.2">
      <c r="A1395" t="s">
        <v>19</v>
      </c>
      <c r="B1395">
        <v>9</v>
      </c>
      <c r="C1395">
        <v>49</v>
      </c>
      <c r="D1395">
        <v>5</v>
      </c>
      <c r="E1395">
        <v>12</v>
      </c>
      <c r="F1395">
        <v>46</v>
      </c>
      <c r="G1395">
        <v>2339002</v>
      </c>
      <c r="H1395">
        <v>1</v>
      </c>
      <c r="I1395">
        <v>0</v>
      </c>
      <c r="J1395">
        <v>1</v>
      </c>
      <c r="K1395">
        <v>0</v>
      </c>
      <c r="L1395">
        <f t="shared" si="84"/>
        <v>16</v>
      </c>
      <c r="M1395">
        <f t="shared" si="85"/>
        <v>192</v>
      </c>
      <c r="N1395">
        <f t="shared" si="86"/>
        <v>187</v>
      </c>
      <c r="O1395">
        <f t="shared" si="87"/>
        <v>2032.5833333333333</v>
      </c>
    </row>
    <row r="1396" spans="1:15" x14ac:dyDescent="0.2">
      <c r="A1396" t="s">
        <v>19</v>
      </c>
      <c r="B1396">
        <v>9</v>
      </c>
      <c r="C1396">
        <v>49</v>
      </c>
      <c r="D1396">
        <v>6</v>
      </c>
      <c r="E1396">
        <v>12</v>
      </c>
      <c r="F1396">
        <v>46</v>
      </c>
      <c r="G1396">
        <v>2327903</v>
      </c>
      <c r="H1396">
        <v>0</v>
      </c>
      <c r="I1396">
        <v>1</v>
      </c>
      <c r="J1396">
        <v>1</v>
      </c>
      <c r="K1396">
        <v>0</v>
      </c>
      <c r="L1396">
        <f t="shared" si="84"/>
        <v>16</v>
      </c>
      <c r="M1396">
        <f t="shared" si="85"/>
        <v>192</v>
      </c>
      <c r="N1396">
        <f t="shared" si="86"/>
        <v>186</v>
      </c>
      <c r="O1396">
        <f t="shared" si="87"/>
        <v>2032.5</v>
      </c>
    </row>
    <row r="1397" spans="1:15" x14ac:dyDescent="0.2">
      <c r="A1397" t="s">
        <v>19</v>
      </c>
      <c r="B1397">
        <v>9</v>
      </c>
      <c r="C1397">
        <v>49</v>
      </c>
      <c r="D1397">
        <v>7</v>
      </c>
      <c r="E1397">
        <v>12</v>
      </c>
      <c r="F1397">
        <v>45</v>
      </c>
      <c r="G1397">
        <v>403204</v>
      </c>
      <c r="H1397">
        <v>0</v>
      </c>
      <c r="I1397">
        <v>1</v>
      </c>
      <c r="J1397">
        <v>1</v>
      </c>
      <c r="K1397">
        <v>0</v>
      </c>
      <c r="L1397">
        <f t="shared" si="84"/>
        <v>16</v>
      </c>
      <c r="M1397">
        <f t="shared" si="85"/>
        <v>192</v>
      </c>
      <c r="N1397">
        <f t="shared" si="86"/>
        <v>185</v>
      </c>
      <c r="O1397">
        <f t="shared" si="87"/>
        <v>2032.4166666666667</v>
      </c>
    </row>
    <row r="1398" spans="1:15" x14ac:dyDescent="0.2">
      <c r="A1398" t="s">
        <v>19</v>
      </c>
      <c r="B1398">
        <v>9</v>
      </c>
      <c r="C1398">
        <v>49</v>
      </c>
      <c r="D1398">
        <v>8</v>
      </c>
      <c r="E1398">
        <v>12</v>
      </c>
      <c r="F1398">
        <v>48</v>
      </c>
      <c r="G1398">
        <v>2309103</v>
      </c>
      <c r="H1398">
        <v>0</v>
      </c>
      <c r="I1398">
        <v>1</v>
      </c>
      <c r="J1398">
        <v>1</v>
      </c>
      <c r="K1398">
        <v>0</v>
      </c>
      <c r="L1398">
        <f t="shared" si="84"/>
        <v>16</v>
      </c>
      <c r="M1398">
        <f t="shared" si="85"/>
        <v>192</v>
      </c>
      <c r="N1398">
        <f t="shared" si="86"/>
        <v>184</v>
      </c>
      <c r="O1398">
        <f t="shared" si="87"/>
        <v>2032.3333333333333</v>
      </c>
    </row>
    <row r="1399" spans="1:15" x14ac:dyDescent="0.2">
      <c r="A1399" t="s">
        <v>19</v>
      </c>
      <c r="B1399">
        <v>9</v>
      </c>
      <c r="C1399">
        <v>49</v>
      </c>
      <c r="D1399">
        <v>9</v>
      </c>
      <c r="E1399">
        <v>12</v>
      </c>
      <c r="F1399">
        <v>41</v>
      </c>
      <c r="G1399">
        <v>500404</v>
      </c>
      <c r="H1399">
        <v>0</v>
      </c>
      <c r="I1399">
        <v>1</v>
      </c>
      <c r="J1399">
        <v>1</v>
      </c>
      <c r="K1399">
        <v>0</v>
      </c>
      <c r="L1399">
        <f t="shared" si="84"/>
        <v>16</v>
      </c>
      <c r="M1399">
        <f t="shared" si="85"/>
        <v>192</v>
      </c>
      <c r="N1399">
        <f t="shared" si="86"/>
        <v>183</v>
      </c>
      <c r="O1399">
        <f t="shared" si="87"/>
        <v>2032.25</v>
      </c>
    </row>
    <row r="1400" spans="1:15" x14ac:dyDescent="0.2">
      <c r="A1400" t="s">
        <v>19</v>
      </c>
      <c r="B1400">
        <v>9</v>
      </c>
      <c r="C1400">
        <v>49</v>
      </c>
      <c r="D1400">
        <v>10</v>
      </c>
      <c r="E1400">
        <v>12</v>
      </c>
      <c r="F1400">
        <v>45</v>
      </c>
      <c r="G1400">
        <v>2296403</v>
      </c>
      <c r="H1400">
        <v>0</v>
      </c>
      <c r="I1400">
        <v>1</v>
      </c>
      <c r="J1400">
        <v>1</v>
      </c>
      <c r="K1400">
        <v>0</v>
      </c>
      <c r="L1400">
        <f t="shared" si="84"/>
        <v>16</v>
      </c>
      <c r="M1400">
        <f t="shared" si="85"/>
        <v>192</v>
      </c>
      <c r="N1400">
        <f t="shared" si="86"/>
        <v>182</v>
      </c>
      <c r="O1400">
        <f t="shared" si="87"/>
        <v>2032.1666666666667</v>
      </c>
    </row>
    <row r="1401" spans="1:15" x14ac:dyDescent="0.2">
      <c r="A1401" t="s">
        <v>19</v>
      </c>
      <c r="B1401">
        <v>9</v>
      </c>
      <c r="C1401">
        <v>49</v>
      </c>
      <c r="D1401">
        <v>12</v>
      </c>
      <c r="E1401">
        <v>12</v>
      </c>
      <c r="F1401">
        <v>41</v>
      </c>
      <c r="G1401">
        <v>2265803</v>
      </c>
      <c r="H1401">
        <v>0</v>
      </c>
      <c r="I1401">
        <v>1</v>
      </c>
      <c r="J1401">
        <v>1</v>
      </c>
      <c r="K1401">
        <v>0</v>
      </c>
      <c r="L1401">
        <f t="shared" si="84"/>
        <v>16</v>
      </c>
      <c r="M1401">
        <f t="shared" si="85"/>
        <v>192</v>
      </c>
      <c r="N1401">
        <f t="shared" si="86"/>
        <v>180</v>
      </c>
      <c r="O1401">
        <f t="shared" si="87"/>
        <v>2032</v>
      </c>
    </row>
    <row r="1402" spans="1:15" x14ac:dyDescent="0.2">
      <c r="A1402" t="s">
        <v>19</v>
      </c>
      <c r="B1402">
        <v>9</v>
      </c>
      <c r="C1402">
        <v>49</v>
      </c>
      <c r="D1402">
        <v>12</v>
      </c>
      <c r="E1402">
        <v>12</v>
      </c>
      <c r="F1402">
        <v>44</v>
      </c>
      <c r="G1402">
        <v>558003</v>
      </c>
      <c r="H1402">
        <v>0</v>
      </c>
      <c r="I1402">
        <v>1</v>
      </c>
      <c r="J1402">
        <v>1</v>
      </c>
      <c r="K1402">
        <v>0</v>
      </c>
      <c r="L1402">
        <f t="shared" si="84"/>
        <v>16</v>
      </c>
      <c r="M1402">
        <f t="shared" si="85"/>
        <v>192</v>
      </c>
      <c r="N1402">
        <f t="shared" si="86"/>
        <v>180</v>
      </c>
      <c r="O1402">
        <f t="shared" si="87"/>
        <v>2032</v>
      </c>
    </row>
    <row r="1403" spans="1:15" x14ac:dyDescent="0.2">
      <c r="A1403" t="s">
        <v>19</v>
      </c>
      <c r="B1403">
        <v>9</v>
      </c>
      <c r="C1403">
        <v>49</v>
      </c>
      <c r="D1403">
        <v>12</v>
      </c>
      <c r="E1403">
        <v>12</v>
      </c>
      <c r="F1403">
        <v>45</v>
      </c>
      <c r="G1403">
        <v>2278202</v>
      </c>
      <c r="H1403">
        <v>0</v>
      </c>
      <c r="I1403">
        <v>1</v>
      </c>
      <c r="J1403">
        <v>1</v>
      </c>
      <c r="K1403">
        <v>0</v>
      </c>
      <c r="L1403">
        <f t="shared" si="84"/>
        <v>16</v>
      </c>
      <c r="M1403">
        <f t="shared" si="85"/>
        <v>192</v>
      </c>
      <c r="N1403">
        <f t="shared" si="86"/>
        <v>180</v>
      </c>
      <c r="O1403">
        <f t="shared" si="87"/>
        <v>2032</v>
      </c>
    </row>
    <row r="1404" spans="1:15" x14ac:dyDescent="0.2">
      <c r="A1404" t="s">
        <v>19</v>
      </c>
      <c r="B1404">
        <v>9</v>
      </c>
      <c r="C1404">
        <v>49</v>
      </c>
      <c r="D1404">
        <v>13</v>
      </c>
      <c r="E1404">
        <v>1</v>
      </c>
      <c r="F1404">
        <v>45</v>
      </c>
      <c r="G1404">
        <v>2273201</v>
      </c>
      <c r="H1404">
        <v>0</v>
      </c>
      <c r="I1404">
        <v>1</v>
      </c>
      <c r="J1404">
        <v>1</v>
      </c>
      <c r="K1404">
        <v>0</v>
      </c>
      <c r="L1404">
        <f t="shared" si="84"/>
        <v>16</v>
      </c>
      <c r="M1404">
        <f t="shared" si="85"/>
        <v>192</v>
      </c>
      <c r="N1404">
        <f t="shared" si="86"/>
        <v>179</v>
      </c>
      <c r="O1404">
        <f t="shared" si="87"/>
        <v>2031.9166666666667</v>
      </c>
    </row>
    <row r="1405" spans="1:15" x14ac:dyDescent="0.2">
      <c r="A1405" t="s">
        <v>19</v>
      </c>
      <c r="B1405">
        <v>9</v>
      </c>
      <c r="C1405">
        <v>49</v>
      </c>
      <c r="D1405">
        <v>13</v>
      </c>
      <c r="E1405">
        <v>6</v>
      </c>
      <c r="F1405">
        <v>48</v>
      </c>
      <c r="G1405">
        <v>2265302</v>
      </c>
      <c r="H1405">
        <v>0</v>
      </c>
      <c r="I1405">
        <v>1</v>
      </c>
      <c r="J1405">
        <v>1</v>
      </c>
      <c r="K1405">
        <v>0</v>
      </c>
      <c r="L1405">
        <f t="shared" si="84"/>
        <v>16</v>
      </c>
      <c r="M1405">
        <f t="shared" si="85"/>
        <v>192</v>
      </c>
      <c r="N1405">
        <f t="shared" si="86"/>
        <v>179</v>
      </c>
      <c r="O1405">
        <f t="shared" si="87"/>
        <v>2031.9166666666667</v>
      </c>
    </row>
    <row r="1406" spans="1:15" x14ac:dyDescent="0.2">
      <c r="A1406" t="s">
        <v>19</v>
      </c>
      <c r="B1406">
        <v>9</v>
      </c>
      <c r="C1406">
        <v>49</v>
      </c>
      <c r="D1406">
        <v>14</v>
      </c>
      <c r="E1406">
        <v>12</v>
      </c>
      <c r="F1406">
        <v>48</v>
      </c>
      <c r="G1406">
        <v>2263003</v>
      </c>
      <c r="H1406">
        <v>1</v>
      </c>
      <c r="I1406">
        <v>0</v>
      </c>
      <c r="J1406">
        <v>1</v>
      </c>
      <c r="K1406">
        <v>0</v>
      </c>
      <c r="L1406">
        <f t="shared" si="84"/>
        <v>16</v>
      </c>
      <c r="M1406">
        <f t="shared" si="85"/>
        <v>192</v>
      </c>
      <c r="N1406">
        <f t="shared" si="86"/>
        <v>178</v>
      </c>
      <c r="O1406">
        <f t="shared" si="87"/>
        <v>2031.8333333333333</v>
      </c>
    </row>
    <row r="1407" spans="1:15" x14ac:dyDescent="0.2">
      <c r="A1407" t="s">
        <v>19</v>
      </c>
      <c r="B1407">
        <v>9</v>
      </c>
      <c r="C1407">
        <v>49</v>
      </c>
      <c r="D1407">
        <v>21</v>
      </c>
      <c r="E1407">
        <v>1</v>
      </c>
      <c r="F1407">
        <v>47</v>
      </c>
      <c r="G1407">
        <v>2217101</v>
      </c>
      <c r="H1407">
        <v>0</v>
      </c>
      <c r="I1407">
        <v>1</v>
      </c>
      <c r="J1407">
        <v>1</v>
      </c>
      <c r="K1407">
        <v>0</v>
      </c>
      <c r="L1407">
        <f t="shared" si="84"/>
        <v>16</v>
      </c>
      <c r="M1407">
        <f t="shared" si="85"/>
        <v>192</v>
      </c>
      <c r="N1407">
        <f t="shared" si="86"/>
        <v>171</v>
      </c>
      <c r="O1407">
        <f t="shared" si="87"/>
        <v>2031.25</v>
      </c>
    </row>
    <row r="1408" spans="1:15" x14ac:dyDescent="0.2">
      <c r="A1408" t="s">
        <v>19</v>
      </c>
      <c r="B1408">
        <v>9</v>
      </c>
      <c r="C1408">
        <v>49</v>
      </c>
      <c r="D1408">
        <v>22</v>
      </c>
      <c r="E1408">
        <v>1</v>
      </c>
      <c r="F1408">
        <v>45</v>
      </c>
      <c r="G1408">
        <v>2220501</v>
      </c>
      <c r="H1408">
        <v>0</v>
      </c>
      <c r="I1408">
        <v>1</v>
      </c>
      <c r="J1408">
        <v>1</v>
      </c>
      <c r="K1408">
        <v>0</v>
      </c>
      <c r="L1408">
        <f t="shared" si="84"/>
        <v>16</v>
      </c>
      <c r="M1408">
        <f t="shared" si="85"/>
        <v>192</v>
      </c>
      <c r="N1408">
        <f t="shared" si="86"/>
        <v>170</v>
      </c>
      <c r="O1408">
        <f t="shared" si="87"/>
        <v>2031.1666666666667</v>
      </c>
    </row>
    <row r="1409" spans="1:15" x14ac:dyDescent="0.2">
      <c r="A1409" t="s">
        <v>19</v>
      </c>
      <c r="B1409">
        <v>9</v>
      </c>
      <c r="C1409">
        <v>49</v>
      </c>
      <c r="D1409">
        <v>24</v>
      </c>
      <c r="E1409">
        <v>1</v>
      </c>
      <c r="F1409">
        <v>45</v>
      </c>
      <c r="G1409">
        <v>2203101</v>
      </c>
      <c r="H1409">
        <v>0</v>
      </c>
      <c r="I1409">
        <v>1</v>
      </c>
      <c r="J1409">
        <v>1</v>
      </c>
      <c r="K1409">
        <v>0</v>
      </c>
      <c r="L1409">
        <f t="shared" si="84"/>
        <v>16</v>
      </c>
      <c r="M1409">
        <f t="shared" si="85"/>
        <v>192</v>
      </c>
      <c r="N1409">
        <f t="shared" si="86"/>
        <v>168</v>
      </c>
      <c r="O1409">
        <f t="shared" si="87"/>
        <v>2031</v>
      </c>
    </row>
    <row r="1410" spans="1:15" x14ac:dyDescent="0.2">
      <c r="A1410" t="s">
        <v>19</v>
      </c>
      <c r="B1410">
        <v>9</v>
      </c>
      <c r="C1410">
        <v>49</v>
      </c>
      <c r="D1410">
        <v>27</v>
      </c>
      <c r="E1410">
        <v>1</v>
      </c>
      <c r="F1410">
        <v>39</v>
      </c>
      <c r="G1410">
        <v>2190001</v>
      </c>
      <c r="H1410">
        <v>0</v>
      </c>
      <c r="I1410">
        <v>1</v>
      </c>
      <c r="J1410">
        <v>1</v>
      </c>
      <c r="K1410">
        <v>0</v>
      </c>
      <c r="L1410">
        <f t="shared" si="84"/>
        <v>16</v>
      </c>
      <c r="M1410">
        <f t="shared" si="85"/>
        <v>192</v>
      </c>
      <c r="N1410">
        <f t="shared" si="86"/>
        <v>165</v>
      </c>
      <c r="O1410">
        <f t="shared" si="87"/>
        <v>2030.75</v>
      </c>
    </row>
    <row r="1411" spans="1:15" x14ac:dyDescent="0.2">
      <c r="A1411" t="s">
        <v>19</v>
      </c>
      <c r="B1411">
        <v>9</v>
      </c>
      <c r="C1411">
        <v>49</v>
      </c>
      <c r="D1411">
        <v>31</v>
      </c>
      <c r="E1411">
        <v>4</v>
      </c>
      <c r="F1411">
        <v>48</v>
      </c>
      <c r="G1411">
        <v>2180501</v>
      </c>
      <c r="H1411">
        <v>0</v>
      </c>
      <c r="I1411">
        <v>1</v>
      </c>
      <c r="J1411">
        <v>1</v>
      </c>
      <c r="K1411">
        <v>0</v>
      </c>
      <c r="L1411">
        <f t="shared" si="84"/>
        <v>16</v>
      </c>
      <c r="M1411">
        <f t="shared" si="85"/>
        <v>192</v>
      </c>
      <c r="N1411">
        <f t="shared" si="86"/>
        <v>161</v>
      </c>
      <c r="O1411">
        <f t="shared" si="87"/>
        <v>2030.4166666666667</v>
      </c>
    </row>
    <row r="1412" spans="1:15" x14ac:dyDescent="0.2">
      <c r="A1412" t="s">
        <v>19</v>
      </c>
      <c r="B1412">
        <v>9</v>
      </c>
      <c r="C1412">
        <v>49</v>
      </c>
      <c r="D1412">
        <v>32</v>
      </c>
      <c r="E1412">
        <v>1</v>
      </c>
      <c r="F1412">
        <v>35</v>
      </c>
      <c r="G1412">
        <v>2170701</v>
      </c>
      <c r="H1412">
        <v>0</v>
      </c>
      <c r="I1412">
        <v>1</v>
      </c>
      <c r="J1412">
        <v>1</v>
      </c>
      <c r="K1412">
        <v>0</v>
      </c>
      <c r="L1412">
        <f t="shared" si="84"/>
        <v>16</v>
      </c>
      <c r="M1412">
        <f t="shared" si="85"/>
        <v>192</v>
      </c>
      <c r="N1412">
        <f t="shared" si="86"/>
        <v>160</v>
      </c>
      <c r="O1412">
        <f t="shared" si="87"/>
        <v>2030.3333333333333</v>
      </c>
    </row>
    <row r="1413" spans="1:15" x14ac:dyDescent="0.2">
      <c r="A1413" t="s">
        <v>19</v>
      </c>
      <c r="B1413">
        <v>9</v>
      </c>
      <c r="C1413">
        <v>49</v>
      </c>
      <c r="D1413">
        <v>33</v>
      </c>
      <c r="E1413">
        <v>4</v>
      </c>
      <c r="F1413">
        <v>43</v>
      </c>
      <c r="G1413">
        <v>67602</v>
      </c>
      <c r="H1413">
        <v>0</v>
      </c>
      <c r="I1413">
        <v>1</v>
      </c>
      <c r="J1413">
        <v>1</v>
      </c>
      <c r="K1413">
        <v>0</v>
      </c>
      <c r="L1413">
        <f t="shared" si="84"/>
        <v>16</v>
      </c>
      <c r="M1413">
        <f t="shared" si="85"/>
        <v>192</v>
      </c>
      <c r="N1413">
        <f t="shared" si="86"/>
        <v>159</v>
      </c>
      <c r="O1413">
        <f t="shared" si="87"/>
        <v>2030.25</v>
      </c>
    </row>
    <row r="1414" spans="1:15" x14ac:dyDescent="0.2">
      <c r="A1414" t="s">
        <v>19</v>
      </c>
      <c r="B1414">
        <v>9</v>
      </c>
      <c r="C1414">
        <v>49</v>
      </c>
      <c r="D1414">
        <v>34</v>
      </c>
      <c r="E1414">
        <v>2</v>
      </c>
      <c r="F1414">
        <v>42</v>
      </c>
      <c r="G1414">
        <v>2162101</v>
      </c>
      <c r="H1414">
        <v>0</v>
      </c>
      <c r="I1414">
        <v>1</v>
      </c>
      <c r="J1414">
        <v>1</v>
      </c>
      <c r="K1414">
        <v>0</v>
      </c>
      <c r="L1414">
        <f t="shared" si="84"/>
        <v>16</v>
      </c>
      <c r="M1414">
        <f t="shared" si="85"/>
        <v>192</v>
      </c>
      <c r="N1414">
        <f t="shared" si="86"/>
        <v>158</v>
      </c>
      <c r="O1414">
        <f t="shared" si="87"/>
        <v>2030.1666666666667</v>
      </c>
    </row>
    <row r="1415" spans="1:15" x14ac:dyDescent="0.2">
      <c r="A1415" t="s">
        <v>19</v>
      </c>
      <c r="B1415">
        <v>9</v>
      </c>
      <c r="C1415">
        <v>49</v>
      </c>
      <c r="D1415">
        <v>34</v>
      </c>
      <c r="E1415">
        <v>2</v>
      </c>
      <c r="F1415">
        <v>49</v>
      </c>
      <c r="G1415">
        <v>2155501</v>
      </c>
      <c r="H1415">
        <v>1</v>
      </c>
      <c r="I1415">
        <v>0</v>
      </c>
      <c r="J1415">
        <v>1</v>
      </c>
      <c r="K1415">
        <v>0</v>
      </c>
      <c r="L1415">
        <f t="shared" ref="L1415:L1478" si="88">65-C1415</f>
        <v>16</v>
      </c>
      <c r="M1415">
        <f t="shared" ref="M1415:M1478" si="89">L1415*12</f>
        <v>192</v>
      </c>
      <c r="N1415">
        <f t="shared" ref="N1415:N1478" si="90">M1415-D1415</f>
        <v>158</v>
      </c>
      <c r="O1415">
        <f t="shared" ref="O1415:O1478" si="91">2017+N1415/12</f>
        <v>2030.1666666666667</v>
      </c>
    </row>
    <row r="1416" spans="1:15" x14ac:dyDescent="0.2">
      <c r="A1416" t="s">
        <v>19</v>
      </c>
      <c r="B1416">
        <v>9</v>
      </c>
      <c r="C1416">
        <v>49</v>
      </c>
      <c r="D1416">
        <v>41</v>
      </c>
      <c r="E1416">
        <v>2</v>
      </c>
      <c r="F1416">
        <v>45</v>
      </c>
      <c r="G1416">
        <v>2127401</v>
      </c>
      <c r="H1416">
        <v>0</v>
      </c>
      <c r="I1416">
        <v>1</v>
      </c>
      <c r="J1416">
        <v>1</v>
      </c>
      <c r="K1416">
        <v>0</v>
      </c>
      <c r="L1416">
        <f t="shared" si="88"/>
        <v>16</v>
      </c>
      <c r="M1416">
        <f t="shared" si="89"/>
        <v>192</v>
      </c>
      <c r="N1416">
        <f t="shared" si="90"/>
        <v>151</v>
      </c>
      <c r="O1416">
        <f t="shared" si="91"/>
        <v>2029.5833333333333</v>
      </c>
    </row>
    <row r="1417" spans="1:15" x14ac:dyDescent="0.2">
      <c r="A1417" t="s">
        <v>19</v>
      </c>
      <c r="B1417">
        <v>9</v>
      </c>
      <c r="C1417">
        <v>49</v>
      </c>
      <c r="D1417">
        <v>42</v>
      </c>
      <c r="E1417">
        <v>1</v>
      </c>
      <c r="F1417">
        <v>49</v>
      </c>
      <c r="G1417">
        <v>2124101</v>
      </c>
      <c r="H1417">
        <v>1</v>
      </c>
      <c r="I1417">
        <v>0</v>
      </c>
      <c r="J1417">
        <v>1</v>
      </c>
      <c r="K1417">
        <v>0</v>
      </c>
      <c r="L1417">
        <f t="shared" si="88"/>
        <v>16</v>
      </c>
      <c r="M1417">
        <f t="shared" si="89"/>
        <v>192</v>
      </c>
      <c r="N1417">
        <f t="shared" si="90"/>
        <v>150</v>
      </c>
      <c r="O1417">
        <f t="shared" si="91"/>
        <v>2029.5</v>
      </c>
    </row>
    <row r="1418" spans="1:15" x14ac:dyDescent="0.2">
      <c r="A1418" t="s">
        <v>19</v>
      </c>
      <c r="B1418">
        <v>9</v>
      </c>
      <c r="C1418">
        <v>49</v>
      </c>
      <c r="D1418">
        <v>46</v>
      </c>
      <c r="E1418">
        <v>1</v>
      </c>
      <c r="F1418">
        <v>47</v>
      </c>
      <c r="G1418">
        <v>2099901</v>
      </c>
      <c r="H1418">
        <v>0</v>
      </c>
      <c r="I1418">
        <v>1</v>
      </c>
      <c r="J1418">
        <v>1</v>
      </c>
      <c r="K1418">
        <v>0</v>
      </c>
      <c r="L1418">
        <f t="shared" si="88"/>
        <v>16</v>
      </c>
      <c r="M1418">
        <f t="shared" si="89"/>
        <v>192</v>
      </c>
      <c r="N1418">
        <f t="shared" si="90"/>
        <v>146</v>
      </c>
      <c r="O1418">
        <f t="shared" si="91"/>
        <v>2029.1666666666667</v>
      </c>
    </row>
    <row r="1419" spans="1:15" x14ac:dyDescent="0.2">
      <c r="A1419" t="s">
        <v>19</v>
      </c>
      <c r="B1419">
        <v>9</v>
      </c>
      <c r="C1419">
        <v>49</v>
      </c>
      <c r="D1419">
        <v>48</v>
      </c>
      <c r="E1419">
        <v>1</v>
      </c>
      <c r="F1419">
        <v>34</v>
      </c>
      <c r="G1419">
        <v>2090801</v>
      </c>
      <c r="H1419">
        <v>0</v>
      </c>
      <c r="I1419">
        <v>1</v>
      </c>
      <c r="J1419">
        <v>1</v>
      </c>
      <c r="K1419">
        <v>0</v>
      </c>
      <c r="L1419">
        <f t="shared" si="88"/>
        <v>16</v>
      </c>
      <c r="M1419">
        <f t="shared" si="89"/>
        <v>192</v>
      </c>
      <c r="N1419">
        <f t="shared" si="90"/>
        <v>144</v>
      </c>
      <c r="O1419">
        <f t="shared" si="91"/>
        <v>2029</v>
      </c>
    </row>
    <row r="1420" spans="1:15" x14ac:dyDescent="0.2">
      <c r="A1420" t="s">
        <v>19</v>
      </c>
      <c r="B1420">
        <v>9</v>
      </c>
      <c r="C1420">
        <v>49</v>
      </c>
      <c r="D1420">
        <v>49</v>
      </c>
      <c r="E1420">
        <v>1</v>
      </c>
      <c r="F1420">
        <v>42</v>
      </c>
      <c r="G1420">
        <v>2084801</v>
      </c>
      <c r="H1420">
        <v>1</v>
      </c>
      <c r="I1420">
        <v>0</v>
      </c>
      <c r="J1420">
        <v>1</v>
      </c>
      <c r="K1420">
        <v>0</v>
      </c>
      <c r="L1420">
        <f t="shared" si="88"/>
        <v>16</v>
      </c>
      <c r="M1420">
        <f t="shared" si="89"/>
        <v>192</v>
      </c>
      <c r="N1420">
        <f t="shared" si="90"/>
        <v>143</v>
      </c>
      <c r="O1420">
        <f t="shared" si="91"/>
        <v>2028.9166666666667</v>
      </c>
    </row>
    <row r="1421" spans="1:15" x14ac:dyDescent="0.2">
      <c r="A1421" t="s">
        <v>19</v>
      </c>
      <c r="B1421">
        <v>9</v>
      </c>
      <c r="C1421">
        <v>49</v>
      </c>
      <c r="D1421">
        <v>51</v>
      </c>
      <c r="E1421">
        <v>2</v>
      </c>
      <c r="F1421">
        <v>44</v>
      </c>
      <c r="G1421">
        <v>2077701</v>
      </c>
      <c r="H1421">
        <v>0</v>
      </c>
      <c r="I1421">
        <v>1</v>
      </c>
      <c r="J1421">
        <v>1</v>
      </c>
      <c r="K1421">
        <v>0</v>
      </c>
      <c r="L1421">
        <f t="shared" si="88"/>
        <v>16</v>
      </c>
      <c r="M1421">
        <f t="shared" si="89"/>
        <v>192</v>
      </c>
      <c r="N1421">
        <f t="shared" si="90"/>
        <v>141</v>
      </c>
      <c r="O1421">
        <f t="shared" si="91"/>
        <v>2028.75</v>
      </c>
    </row>
    <row r="1422" spans="1:15" x14ac:dyDescent="0.2">
      <c r="A1422" t="s">
        <v>19</v>
      </c>
      <c r="B1422">
        <v>9</v>
      </c>
      <c r="C1422">
        <v>49</v>
      </c>
      <c r="D1422">
        <v>52</v>
      </c>
      <c r="E1422">
        <v>1</v>
      </c>
      <c r="F1422">
        <v>31</v>
      </c>
      <c r="G1422">
        <v>2073301</v>
      </c>
      <c r="H1422">
        <v>0</v>
      </c>
      <c r="I1422">
        <v>1</v>
      </c>
      <c r="J1422">
        <v>1</v>
      </c>
      <c r="K1422">
        <v>0</v>
      </c>
      <c r="L1422">
        <f t="shared" si="88"/>
        <v>16</v>
      </c>
      <c r="M1422">
        <f t="shared" si="89"/>
        <v>192</v>
      </c>
      <c r="N1422">
        <f t="shared" si="90"/>
        <v>140</v>
      </c>
      <c r="O1422">
        <f t="shared" si="91"/>
        <v>2028.6666666666667</v>
      </c>
    </row>
    <row r="1423" spans="1:15" x14ac:dyDescent="0.2">
      <c r="A1423" t="s">
        <v>19</v>
      </c>
      <c r="B1423">
        <v>9</v>
      </c>
      <c r="C1423">
        <v>49</v>
      </c>
      <c r="D1423">
        <v>54</v>
      </c>
      <c r="E1423">
        <v>1</v>
      </c>
      <c r="F1423">
        <v>37</v>
      </c>
      <c r="G1423">
        <v>2062901</v>
      </c>
      <c r="H1423">
        <v>0</v>
      </c>
      <c r="I1423">
        <v>1</v>
      </c>
      <c r="J1423">
        <v>1</v>
      </c>
      <c r="K1423">
        <v>0</v>
      </c>
      <c r="L1423">
        <f t="shared" si="88"/>
        <v>16</v>
      </c>
      <c r="M1423">
        <f t="shared" si="89"/>
        <v>192</v>
      </c>
      <c r="N1423">
        <f t="shared" si="90"/>
        <v>138</v>
      </c>
      <c r="O1423">
        <f t="shared" si="91"/>
        <v>2028.5</v>
      </c>
    </row>
    <row r="1424" spans="1:15" x14ac:dyDescent="0.2">
      <c r="A1424" t="s">
        <v>19</v>
      </c>
      <c r="B1424">
        <v>9</v>
      </c>
      <c r="C1424">
        <v>49</v>
      </c>
      <c r="D1424">
        <v>54</v>
      </c>
      <c r="E1424">
        <v>1</v>
      </c>
      <c r="F1424">
        <v>48</v>
      </c>
      <c r="G1424">
        <v>2056901</v>
      </c>
      <c r="H1424">
        <v>0</v>
      </c>
      <c r="I1424">
        <v>1</v>
      </c>
      <c r="J1424">
        <v>1</v>
      </c>
      <c r="K1424">
        <v>0</v>
      </c>
      <c r="L1424">
        <f t="shared" si="88"/>
        <v>16</v>
      </c>
      <c r="M1424">
        <f t="shared" si="89"/>
        <v>192</v>
      </c>
      <c r="N1424">
        <f t="shared" si="90"/>
        <v>138</v>
      </c>
      <c r="O1424">
        <f t="shared" si="91"/>
        <v>2028.5</v>
      </c>
    </row>
    <row r="1425" spans="1:15" x14ac:dyDescent="0.2">
      <c r="A1425" t="s">
        <v>19</v>
      </c>
      <c r="B1425">
        <v>9</v>
      </c>
      <c r="C1425">
        <v>49</v>
      </c>
      <c r="D1425">
        <v>57</v>
      </c>
      <c r="E1425">
        <v>1</v>
      </c>
      <c r="F1425">
        <v>33</v>
      </c>
      <c r="G1425">
        <v>2041501</v>
      </c>
      <c r="H1425">
        <v>0</v>
      </c>
      <c r="I1425">
        <v>1</v>
      </c>
      <c r="J1425">
        <v>1</v>
      </c>
      <c r="K1425">
        <v>0</v>
      </c>
      <c r="L1425">
        <f t="shared" si="88"/>
        <v>16</v>
      </c>
      <c r="M1425">
        <f t="shared" si="89"/>
        <v>192</v>
      </c>
      <c r="N1425">
        <f t="shared" si="90"/>
        <v>135</v>
      </c>
      <c r="O1425">
        <f t="shared" si="91"/>
        <v>2028.25</v>
      </c>
    </row>
    <row r="1426" spans="1:15" x14ac:dyDescent="0.2">
      <c r="A1426" t="s">
        <v>19</v>
      </c>
      <c r="B1426">
        <v>9</v>
      </c>
      <c r="C1426">
        <v>49</v>
      </c>
      <c r="D1426">
        <v>63</v>
      </c>
      <c r="E1426">
        <v>1</v>
      </c>
      <c r="F1426">
        <v>44</v>
      </c>
      <c r="G1426">
        <v>368603</v>
      </c>
      <c r="H1426">
        <v>0</v>
      </c>
      <c r="I1426">
        <v>1</v>
      </c>
      <c r="J1426">
        <v>1</v>
      </c>
      <c r="K1426">
        <v>0</v>
      </c>
      <c r="L1426">
        <f t="shared" si="88"/>
        <v>16</v>
      </c>
      <c r="M1426">
        <f t="shared" si="89"/>
        <v>192</v>
      </c>
      <c r="N1426">
        <f t="shared" si="90"/>
        <v>129</v>
      </c>
      <c r="O1426">
        <f t="shared" si="91"/>
        <v>2027.75</v>
      </c>
    </row>
    <row r="1427" spans="1:15" x14ac:dyDescent="0.2">
      <c r="A1427" t="s">
        <v>19</v>
      </c>
      <c r="B1427">
        <v>9</v>
      </c>
      <c r="C1427">
        <v>49</v>
      </c>
      <c r="D1427">
        <v>64</v>
      </c>
      <c r="E1427">
        <v>12</v>
      </c>
      <c r="F1427">
        <v>45</v>
      </c>
      <c r="G1427">
        <v>320002</v>
      </c>
      <c r="H1427">
        <v>1</v>
      </c>
      <c r="I1427">
        <v>0</v>
      </c>
      <c r="J1427">
        <v>1</v>
      </c>
      <c r="K1427">
        <v>0</v>
      </c>
      <c r="L1427">
        <f t="shared" si="88"/>
        <v>16</v>
      </c>
      <c r="M1427">
        <f t="shared" si="89"/>
        <v>192</v>
      </c>
      <c r="N1427">
        <f t="shared" si="90"/>
        <v>128</v>
      </c>
      <c r="O1427">
        <f t="shared" si="91"/>
        <v>2027.6666666666667</v>
      </c>
    </row>
    <row r="1428" spans="1:15" x14ac:dyDescent="0.2">
      <c r="A1428" t="s">
        <v>19</v>
      </c>
      <c r="B1428">
        <v>9</v>
      </c>
      <c r="C1428">
        <v>49</v>
      </c>
      <c r="D1428">
        <v>70</v>
      </c>
      <c r="E1428">
        <v>1</v>
      </c>
      <c r="F1428">
        <v>48</v>
      </c>
      <c r="G1428">
        <v>1996301</v>
      </c>
      <c r="H1428">
        <v>0</v>
      </c>
      <c r="I1428">
        <v>1</v>
      </c>
      <c r="J1428">
        <v>1</v>
      </c>
      <c r="K1428">
        <v>0</v>
      </c>
      <c r="L1428">
        <f t="shared" si="88"/>
        <v>16</v>
      </c>
      <c r="M1428">
        <f t="shared" si="89"/>
        <v>192</v>
      </c>
      <c r="N1428">
        <f t="shared" si="90"/>
        <v>122</v>
      </c>
      <c r="O1428">
        <f t="shared" si="91"/>
        <v>2027.1666666666667</v>
      </c>
    </row>
    <row r="1429" spans="1:15" x14ac:dyDescent="0.2">
      <c r="A1429" t="s">
        <v>19</v>
      </c>
      <c r="B1429">
        <v>9</v>
      </c>
      <c r="C1429">
        <v>49</v>
      </c>
      <c r="D1429">
        <v>77</v>
      </c>
      <c r="E1429">
        <v>2</v>
      </c>
      <c r="F1429">
        <v>45</v>
      </c>
      <c r="G1429">
        <v>1974801</v>
      </c>
      <c r="H1429">
        <v>0</v>
      </c>
      <c r="I1429">
        <v>1</v>
      </c>
      <c r="J1429">
        <v>1</v>
      </c>
      <c r="K1429">
        <v>0</v>
      </c>
      <c r="L1429">
        <f t="shared" si="88"/>
        <v>16</v>
      </c>
      <c r="M1429">
        <f t="shared" si="89"/>
        <v>192</v>
      </c>
      <c r="N1429">
        <f t="shared" si="90"/>
        <v>115</v>
      </c>
      <c r="O1429">
        <f t="shared" si="91"/>
        <v>2026.5833333333333</v>
      </c>
    </row>
    <row r="1430" spans="1:15" x14ac:dyDescent="0.2">
      <c r="A1430" t="s">
        <v>19</v>
      </c>
      <c r="B1430">
        <v>9</v>
      </c>
      <c r="C1430">
        <v>49</v>
      </c>
      <c r="D1430">
        <v>85</v>
      </c>
      <c r="E1430">
        <v>1</v>
      </c>
      <c r="F1430">
        <v>43</v>
      </c>
      <c r="G1430">
        <v>1947701</v>
      </c>
      <c r="H1430">
        <v>0</v>
      </c>
      <c r="I1430">
        <v>1</v>
      </c>
      <c r="J1430">
        <v>1</v>
      </c>
      <c r="K1430">
        <v>0</v>
      </c>
      <c r="L1430">
        <f t="shared" si="88"/>
        <v>16</v>
      </c>
      <c r="M1430">
        <f t="shared" si="89"/>
        <v>192</v>
      </c>
      <c r="N1430">
        <f t="shared" si="90"/>
        <v>107</v>
      </c>
      <c r="O1430">
        <f t="shared" si="91"/>
        <v>2025.9166666666667</v>
      </c>
    </row>
    <row r="1431" spans="1:15" x14ac:dyDescent="0.2">
      <c r="A1431" t="s">
        <v>19</v>
      </c>
      <c r="B1431">
        <v>9</v>
      </c>
      <c r="C1431">
        <v>49</v>
      </c>
      <c r="D1431">
        <v>98</v>
      </c>
      <c r="E1431">
        <v>1</v>
      </c>
      <c r="F1431">
        <v>44</v>
      </c>
      <c r="G1431">
        <v>1858201</v>
      </c>
      <c r="H1431">
        <v>0</v>
      </c>
      <c r="I1431">
        <v>1</v>
      </c>
      <c r="J1431">
        <v>1</v>
      </c>
      <c r="K1431">
        <v>0</v>
      </c>
      <c r="L1431">
        <f t="shared" si="88"/>
        <v>16</v>
      </c>
      <c r="M1431">
        <f t="shared" si="89"/>
        <v>192</v>
      </c>
      <c r="N1431">
        <f t="shared" si="90"/>
        <v>94</v>
      </c>
      <c r="O1431">
        <f t="shared" si="91"/>
        <v>2024.8333333333333</v>
      </c>
    </row>
    <row r="1432" spans="1:15" x14ac:dyDescent="0.2">
      <c r="A1432" t="s">
        <v>19</v>
      </c>
      <c r="B1432">
        <v>9</v>
      </c>
      <c r="C1432">
        <v>49</v>
      </c>
      <c r="D1432">
        <v>101</v>
      </c>
      <c r="E1432">
        <v>1</v>
      </c>
      <c r="F1432">
        <v>43</v>
      </c>
      <c r="G1432">
        <v>1830501</v>
      </c>
      <c r="H1432">
        <v>0</v>
      </c>
      <c r="I1432">
        <v>1</v>
      </c>
      <c r="J1432">
        <v>1</v>
      </c>
      <c r="K1432">
        <v>0</v>
      </c>
      <c r="L1432">
        <f t="shared" si="88"/>
        <v>16</v>
      </c>
      <c r="M1432">
        <f t="shared" si="89"/>
        <v>192</v>
      </c>
      <c r="N1432">
        <f t="shared" si="90"/>
        <v>91</v>
      </c>
      <c r="O1432">
        <f t="shared" si="91"/>
        <v>2024.5833333333333</v>
      </c>
    </row>
    <row r="1433" spans="1:15" x14ac:dyDescent="0.2">
      <c r="A1433" t="s">
        <v>19</v>
      </c>
      <c r="B1433">
        <v>9</v>
      </c>
      <c r="C1433">
        <v>49</v>
      </c>
      <c r="D1433">
        <v>101</v>
      </c>
      <c r="E1433">
        <v>1</v>
      </c>
      <c r="F1433">
        <v>44</v>
      </c>
      <c r="G1433">
        <v>1834901</v>
      </c>
      <c r="H1433">
        <v>0</v>
      </c>
      <c r="I1433">
        <v>1</v>
      </c>
      <c r="J1433">
        <v>1</v>
      </c>
      <c r="K1433">
        <v>0</v>
      </c>
      <c r="L1433">
        <f t="shared" si="88"/>
        <v>16</v>
      </c>
      <c r="M1433">
        <f t="shared" si="89"/>
        <v>192</v>
      </c>
      <c r="N1433">
        <f t="shared" si="90"/>
        <v>91</v>
      </c>
      <c r="O1433">
        <f t="shared" si="91"/>
        <v>2024.5833333333333</v>
      </c>
    </row>
    <row r="1434" spans="1:15" x14ac:dyDescent="0.2">
      <c r="A1434" t="s">
        <v>19</v>
      </c>
      <c r="B1434">
        <v>9</v>
      </c>
      <c r="C1434">
        <v>49</v>
      </c>
      <c r="D1434">
        <v>102</v>
      </c>
      <c r="E1434">
        <v>1</v>
      </c>
      <c r="F1434">
        <v>48</v>
      </c>
      <c r="G1434">
        <v>1823001</v>
      </c>
      <c r="H1434">
        <v>1</v>
      </c>
      <c r="I1434">
        <v>0</v>
      </c>
      <c r="J1434">
        <v>1</v>
      </c>
      <c r="K1434">
        <v>0</v>
      </c>
      <c r="L1434">
        <f t="shared" si="88"/>
        <v>16</v>
      </c>
      <c r="M1434">
        <f t="shared" si="89"/>
        <v>192</v>
      </c>
      <c r="N1434">
        <f t="shared" si="90"/>
        <v>90</v>
      </c>
      <c r="O1434">
        <f t="shared" si="91"/>
        <v>2024.5</v>
      </c>
    </row>
    <row r="1435" spans="1:15" x14ac:dyDescent="0.2">
      <c r="A1435" t="s">
        <v>19</v>
      </c>
      <c r="B1435">
        <v>9</v>
      </c>
      <c r="C1435">
        <v>49</v>
      </c>
      <c r="D1435">
        <v>108</v>
      </c>
      <c r="E1435">
        <v>2</v>
      </c>
      <c r="F1435">
        <v>45</v>
      </c>
      <c r="G1435">
        <v>1737501</v>
      </c>
      <c r="H1435">
        <v>1</v>
      </c>
      <c r="I1435">
        <v>0</v>
      </c>
      <c r="J1435">
        <v>1</v>
      </c>
      <c r="K1435">
        <v>0</v>
      </c>
      <c r="L1435">
        <f t="shared" si="88"/>
        <v>16</v>
      </c>
      <c r="M1435">
        <f t="shared" si="89"/>
        <v>192</v>
      </c>
      <c r="N1435">
        <f t="shared" si="90"/>
        <v>84</v>
      </c>
      <c r="O1435">
        <f t="shared" si="91"/>
        <v>2024</v>
      </c>
    </row>
    <row r="1436" spans="1:15" x14ac:dyDescent="0.2">
      <c r="A1436" t="s">
        <v>19</v>
      </c>
      <c r="B1436">
        <v>9</v>
      </c>
      <c r="C1436">
        <v>49</v>
      </c>
      <c r="D1436">
        <v>108</v>
      </c>
      <c r="E1436">
        <v>2</v>
      </c>
      <c r="F1436">
        <v>48</v>
      </c>
      <c r="G1436">
        <v>1754301</v>
      </c>
      <c r="H1436">
        <v>0</v>
      </c>
      <c r="I1436">
        <v>1</v>
      </c>
      <c r="J1436">
        <v>1</v>
      </c>
      <c r="K1436">
        <v>0</v>
      </c>
      <c r="L1436">
        <f t="shared" si="88"/>
        <v>16</v>
      </c>
      <c r="M1436">
        <f t="shared" si="89"/>
        <v>192</v>
      </c>
      <c r="N1436">
        <f t="shared" si="90"/>
        <v>84</v>
      </c>
      <c r="O1436">
        <f t="shared" si="91"/>
        <v>2024</v>
      </c>
    </row>
    <row r="1437" spans="1:15" x14ac:dyDescent="0.2">
      <c r="A1437" t="s">
        <v>19</v>
      </c>
      <c r="B1437">
        <v>9</v>
      </c>
      <c r="C1437">
        <v>49</v>
      </c>
      <c r="D1437">
        <v>109</v>
      </c>
      <c r="E1437">
        <v>1</v>
      </c>
      <c r="F1437">
        <v>46</v>
      </c>
      <c r="G1437">
        <v>1729201</v>
      </c>
      <c r="H1437">
        <v>0</v>
      </c>
      <c r="I1437">
        <v>1</v>
      </c>
      <c r="J1437">
        <v>1</v>
      </c>
      <c r="K1437">
        <v>0</v>
      </c>
      <c r="L1437">
        <f t="shared" si="88"/>
        <v>16</v>
      </c>
      <c r="M1437">
        <f t="shared" si="89"/>
        <v>192</v>
      </c>
      <c r="N1437">
        <f t="shared" si="90"/>
        <v>83</v>
      </c>
      <c r="O1437">
        <f t="shared" si="91"/>
        <v>2023.9166666666667</v>
      </c>
    </row>
    <row r="1438" spans="1:15" x14ac:dyDescent="0.2">
      <c r="A1438" t="s">
        <v>19</v>
      </c>
      <c r="B1438">
        <v>9</v>
      </c>
      <c r="C1438">
        <v>49</v>
      </c>
      <c r="D1438">
        <v>111</v>
      </c>
      <c r="E1438">
        <v>1</v>
      </c>
      <c r="F1438">
        <v>34</v>
      </c>
      <c r="G1438">
        <v>1699001</v>
      </c>
      <c r="H1438">
        <v>1</v>
      </c>
      <c r="I1438">
        <v>0</v>
      </c>
      <c r="J1438">
        <v>1</v>
      </c>
      <c r="K1438">
        <v>0</v>
      </c>
      <c r="L1438">
        <f t="shared" si="88"/>
        <v>16</v>
      </c>
      <c r="M1438">
        <f t="shared" si="89"/>
        <v>192</v>
      </c>
      <c r="N1438">
        <f t="shared" si="90"/>
        <v>81</v>
      </c>
      <c r="O1438">
        <f t="shared" si="91"/>
        <v>2023.75</v>
      </c>
    </row>
    <row r="1439" spans="1:15" x14ac:dyDescent="0.2">
      <c r="A1439" t="s">
        <v>19</v>
      </c>
      <c r="B1439">
        <v>9</v>
      </c>
      <c r="C1439">
        <v>49</v>
      </c>
      <c r="D1439">
        <v>114</v>
      </c>
      <c r="E1439">
        <v>1</v>
      </c>
      <c r="F1439">
        <v>45</v>
      </c>
      <c r="G1439">
        <v>1674101</v>
      </c>
      <c r="H1439">
        <v>0</v>
      </c>
      <c r="I1439">
        <v>1</v>
      </c>
      <c r="J1439">
        <v>1</v>
      </c>
      <c r="K1439">
        <v>0</v>
      </c>
      <c r="L1439">
        <f t="shared" si="88"/>
        <v>16</v>
      </c>
      <c r="M1439">
        <f t="shared" si="89"/>
        <v>192</v>
      </c>
      <c r="N1439">
        <f t="shared" si="90"/>
        <v>78</v>
      </c>
      <c r="O1439">
        <f t="shared" si="91"/>
        <v>2023.5</v>
      </c>
    </row>
    <row r="1440" spans="1:15" x14ac:dyDescent="0.2">
      <c r="A1440" t="s">
        <v>19</v>
      </c>
      <c r="B1440">
        <v>9</v>
      </c>
      <c r="C1440">
        <v>49</v>
      </c>
      <c r="D1440">
        <v>130</v>
      </c>
      <c r="E1440">
        <v>1</v>
      </c>
      <c r="F1440">
        <v>49</v>
      </c>
      <c r="G1440">
        <v>1603001</v>
      </c>
      <c r="H1440">
        <v>0</v>
      </c>
      <c r="I1440">
        <v>1</v>
      </c>
      <c r="J1440">
        <v>1</v>
      </c>
      <c r="K1440">
        <v>0</v>
      </c>
      <c r="L1440">
        <f t="shared" si="88"/>
        <v>16</v>
      </c>
      <c r="M1440">
        <f t="shared" si="89"/>
        <v>192</v>
      </c>
      <c r="N1440">
        <f t="shared" si="90"/>
        <v>62</v>
      </c>
      <c r="O1440">
        <f t="shared" si="91"/>
        <v>2022.1666666666667</v>
      </c>
    </row>
    <row r="1441" spans="1:15" x14ac:dyDescent="0.2">
      <c r="A1441" t="s">
        <v>19</v>
      </c>
      <c r="B1441">
        <v>9</v>
      </c>
      <c r="C1441">
        <v>49</v>
      </c>
      <c r="D1441">
        <v>138</v>
      </c>
      <c r="E1441">
        <v>1</v>
      </c>
      <c r="F1441">
        <v>47</v>
      </c>
      <c r="G1441">
        <v>1137501</v>
      </c>
      <c r="H1441">
        <v>0</v>
      </c>
      <c r="I1441">
        <v>1</v>
      </c>
      <c r="J1441">
        <v>1</v>
      </c>
      <c r="K1441">
        <v>0</v>
      </c>
      <c r="L1441">
        <f t="shared" si="88"/>
        <v>16</v>
      </c>
      <c r="M1441">
        <f t="shared" si="89"/>
        <v>192</v>
      </c>
      <c r="N1441">
        <f t="shared" si="90"/>
        <v>54</v>
      </c>
      <c r="O1441">
        <f t="shared" si="91"/>
        <v>2021.5</v>
      </c>
    </row>
    <row r="1442" spans="1:15" x14ac:dyDescent="0.2">
      <c r="A1442" t="s">
        <v>19</v>
      </c>
      <c r="B1442">
        <v>9</v>
      </c>
      <c r="C1442">
        <v>49</v>
      </c>
      <c r="D1442">
        <v>141</v>
      </c>
      <c r="E1442">
        <v>1</v>
      </c>
      <c r="F1442">
        <v>49</v>
      </c>
      <c r="G1442">
        <v>1119101</v>
      </c>
      <c r="H1442">
        <v>1</v>
      </c>
      <c r="I1442">
        <v>0</v>
      </c>
      <c r="J1442">
        <v>1</v>
      </c>
      <c r="K1442">
        <v>0</v>
      </c>
      <c r="L1442">
        <f t="shared" si="88"/>
        <v>16</v>
      </c>
      <c r="M1442">
        <f t="shared" si="89"/>
        <v>192</v>
      </c>
      <c r="N1442">
        <f t="shared" si="90"/>
        <v>51</v>
      </c>
      <c r="O1442">
        <f t="shared" si="91"/>
        <v>2021.25</v>
      </c>
    </row>
    <row r="1443" spans="1:15" x14ac:dyDescent="0.2">
      <c r="A1443" t="s">
        <v>19</v>
      </c>
      <c r="B1443">
        <v>9</v>
      </c>
      <c r="C1443">
        <v>49</v>
      </c>
      <c r="D1443">
        <v>142</v>
      </c>
      <c r="E1443">
        <v>1</v>
      </c>
      <c r="F1443">
        <v>45</v>
      </c>
      <c r="G1443">
        <v>1105401</v>
      </c>
      <c r="H1443">
        <v>0</v>
      </c>
      <c r="I1443">
        <v>1</v>
      </c>
      <c r="J1443">
        <v>1</v>
      </c>
      <c r="K1443">
        <v>0</v>
      </c>
      <c r="L1443">
        <f t="shared" si="88"/>
        <v>16</v>
      </c>
      <c r="M1443">
        <f t="shared" si="89"/>
        <v>192</v>
      </c>
      <c r="N1443">
        <f t="shared" si="90"/>
        <v>50</v>
      </c>
      <c r="O1443">
        <f t="shared" si="91"/>
        <v>2021.1666666666667</v>
      </c>
    </row>
    <row r="1444" spans="1:15" x14ac:dyDescent="0.2">
      <c r="A1444" t="s">
        <v>19</v>
      </c>
      <c r="B1444">
        <v>9</v>
      </c>
      <c r="C1444">
        <v>49</v>
      </c>
      <c r="D1444">
        <v>143</v>
      </c>
      <c r="E1444">
        <v>1</v>
      </c>
      <c r="F1444">
        <v>48</v>
      </c>
      <c r="G1444">
        <v>1107301</v>
      </c>
      <c r="H1444">
        <v>0</v>
      </c>
      <c r="I1444">
        <v>1</v>
      </c>
      <c r="J1444">
        <v>1</v>
      </c>
      <c r="K1444">
        <v>0</v>
      </c>
      <c r="L1444">
        <f t="shared" si="88"/>
        <v>16</v>
      </c>
      <c r="M1444">
        <f t="shared" si="89"/>
        <v>192</v>
      </c>
      <c r="N1444">
        <f t="shared" si="90"/>
        <v>49</v>
      </c>
      <c r="O1444">
        <f t="shared" si="91"/>
        <v>2021.0833333333333</v>
      </c>
    </row>
    <row r="1445" spans="1:15" x14ac:dyDescent="0.2">
      <c r="A1445" t="s">
        <v>19</v>
      </c>
      <c r="B1445">
        <v>9</v>
      </c>
      <c r="C1445">
        <v>49</v>
      </c>
      <c r="D1445">
        <v>189</v>
      </c>
      <c r="E1445">
        <v>1</v>
      </c>
      <c r="F1445">
        <v>43</v>
      </c>
      <c r="G1445">
        <v>872001</v>
      </c>
      <c r="H1445">
        <v>0</v>
      </c>
      <c r="I1445">
        <v>1</v>
      </c>
      <c r="J1445">
        <v>1</v>
      </c>
      <c r="K1445">
        <v>0</v>
      </c>
      <c r="L1445">
        <f t="shared" si="88"/>
        <v>16</v>
      </c>
      <c r="M1445">
        <f t="shared" si="89"/>
        <v>192</v>
      </c>
      <c r="N1445">
        <f t="shared" si="90"/>
        <v>3</v>
      </c>
      <c r="O1445">
        <f t="shared" si="91"/>
        <v>2017.25</v>
      </c>
    </row>
    <row r="1446" spans="1:15" x14ac:dyDescent="0.2">
      <c r="A1446" t="s">
        <v>19</v>
      </c>
      <c r="B1446">
        <v>9</v>
      </c>
      <c r="C1446">
        <v>49</v>
      </c>
      <c r="D1446">
        <v>191</v>
      </c>
      <c r="E1446">
        <v>2</v>
      </c>
      <c r="F1446">
        <v>46</v>
      </c>
      <c r="G1446">
        <v>858301</v>
      </c>
      <c r="H1446">
        <v>1</v>
      </c>
      <c r="I1446">
        <v>0</v>
      </c>
      <c r="J1446">
        <v>1</v>
      </c>
      <c r="K1446">
        <v>0</v>
      </c>
      <c r="L1446">
        <f t="shared" si="88"/>
        <v>16</v>
      </c>
      <c r="M1446">
        <f t="shared" si="89"/>
        <v>192</v>
      </c>
      <c r="N1446">
        <f t="shared" si="90"/>
        <v>1</v>
      </c>
      <c r="O1446">
        <f t="shared" si="91"/>
        <v>2017.0833333333333</v>
      </c>
    </row>
    <row r="1447" spans="1:15" x14ac:dyDescent="0.2">
      <c r="A1447" t="s">
        <v>19</v>
      </c>
      <c r="B1447">
        <v>9</v>
      </c>
      <c r="C1447">
        <v>50</v>
      </c>
      <c r="D1447">
        <v>1</v>
      </c>
      <c r="E1447">
        <v>12</v>
      </c>
      <c r="F1447">
        <v>49</v>
      </c>
      <c r="G1447">
        <v>2406703</v>
      </c>
      <c r="H1447">
        <v>0</v>
      </c>
      <c r="I1447">
        <v>1</v>
      </c>
      <c r="J1447">
        <v>1</v>
      </c>
      <c r="K1447">
        <v>0</v>
      </c>
      <c r="L1447">
        <f t="shared" si="88"/>
        <v>15</v>
      </c>
      <c r="M1447">
        <f t="shared" si="89"/>
        <v>180</v>
      </c>
      <c r="N1447">
        <f t="shared" si="90"/>
        <v>179</v>
      </c>
      <c r="O1447">
        <f t="shared" si="91"/>
        <v>2031.9166666666667</v>
      </c>
    </row>
    <row r="1448" spans="1:15" x14ac:dyDescent="0.2">
      <c r="A1448" t="s">
        <v>19</v>
      </c>
      <c r="B1448">
        <v>9</v>
      </c>
      <c r="C1448">
        <v>50</v>
      </c>
      <c r="D1448">
        <v>2</v>
      </c>
      <c r="E1448">
        <v>12</v>
      </c>
      <c r="F1448">
        <v>46</v>
      </c>
      <c r="G1448">
        <v>2370205</v>
      </c>
      <c r="H1448">
        <v>0</v>
      </c>
      <c r="I1448">
        <v>1</v>
      </c>
      <c r="J1448">
        <v>1</v>
      </c>
      <c r="K1448">
        <v>0</v>
      </c>
      <c r="L1448">
        <f t="shared" si="88"/>
        <v>15</v>
      </c>
      <c r="M1448">
        <f t="shared" si="89"/>
        <v>180</v>
      </c>
      <c r="N1448">
        <f t="shared" si="90"/>
        <v>178</v>
      </c>
      <c r="O1448">
        <f t="shared" si="91"/>
        <v>2031.8333333333333</v>
      </c>
    </row>
    <row r="1449" spans="1:15" x14ac:dyDescent="0.2">
      <c r="A1449" t="s">
        <v>19</v>
      </c>
      <c r="B1449">
        <v>9</v>
      </c>
      <c r="C1449">
        <v>50</v>
      </c>
      <c r="D1449">
        <v>4</v>
      </c>
      <c r="E1449">
        <v>12</v>
      </c>
      <c r="F1449">
        <v>46</v>
      </c>
      <c r="G1449">
        <v>2349505</v>
      </c>
      <c r="H1449">
        <v>0</v>
      </c>
      <c r="I1449">
        <v>1</v>
      </c>
      <c r="J1449">
        <v>1</v>
      </c>
      <c r="K1449">
        <v>0</v>
      </c>
      <c r="L1449">
        <f t="shared" si="88"/>
        <v>15</v>
      </c>
      <c r="M1449">
        <f t="shared" si="89"/>
        <v>180</v>
      </c>
      <c r="N1449">
        <f t="shared" si="90"/>
        <v>176</v>
      </c>
      <c r="O1449">
        <f t="shared" si="91"/>
        <v>2031.6666666666667</v>
      </c>
    </row>
    <row r="1450" spans="1:15" x14ac:dyDescent="0.2">
      <c r="A1450" t="s">
        <v>19</v>
      </c>
      <c r="B1450">
        <v>9</v>
      </c>
      <c r="C1450">
        <v>50</v>
      </c>
      <c r="D1450">
        <v>5</v>
      </c>
      <c r="E1450">
        <v>12</v>
      </c>
      <c r="F1450">
        <v>47</v>
      </c>
      <c r="G1450">
        <v>2340601</v>
      </c>
      <c r="H1450">
        <v>1</v>
      </c>
      <c r="I1450">
        <v>0</v>
      </c>
      <c r="J1450">
        <v>1</v>
      </c>
      <c r="K1450">
        <v>0</v>
      </c>
      <c r="L1450">
        <f t="shared" si="88"/>
        <v>15</v>
      </c>
      <c r="M1450">
        <f t="shared" si="89"/>
        <v>180</v>
      </c>
      <c r="N1450">
        <f t="shared" si="90"/>
        <v>175</v>
      </c>
      <c r="O1450">
        <f t="shared" si="91"/>
        <v>2031.5833333333333</v>
      </c>
    </row>
    <row r="1451" spans="1:15" x14ac:dyDescent="0.2">
      <c r="A1451" t="s">
        <v>19</v>
      </c>
      <c r="B1451">
        <v>9</v>
      </c>
      <c r="C1451">
        <v>50</v>
      </c>
      <c r="D1451">
        <v>6</v>
      </c>
      <c r="E1451">
        <v>4</v>
      </c>
      <c r="F1451">
        <v>49</v>
      </c>
      <c r="G1451">
        <v>2336501</v>
      </c>
      <c r="H1451">
        <v>1</v>
      </c>
      <c r="I1451">
        <v>0</v>
      </c>
      <c r="J1451">
        <v>1</v>
      </c>
      <c r="K1451">
        <v>0</v>
      </c>
      <c r="L1451">
        <f t="shared" si="88"/>
        <v>15</v>
      </c>
      <c r="M1451">
        <f t="shared" si="89"/>
        <v>180</v>
      </c>
      <c r="N1451">
        <f t="shared" si="90"/>
        <v>174</v>
      </c>
      <c r="O1451">
        <f t="shared" si="91"/>
        <v>2031.5</v>
      </c>
    </row>
    <row r="1452" spans="1:15" x14ac:dyDescent="0.2">
      <c r="A1452" t="s">
        <v>19</v>
      </c>
      <c r="B1452">
        <v>9</v>
      </c>
      <c r="C1452">
        <v>50</v>
      </c>
      <c r="D1452">
        <v>7</v>
      </c>
      <c r="E1452">
        <v>12</v>
      </c>
      <c r="F1452">
        <v>38</v>
      </c>
      <c r="G1452">
        <v>2328803</v>
      </c>
      <c r="H1452">
        <v>0</v>
      </c>
      <c r="I1452">
        <v>1</v>
      </c>
      <c r="J1452">
        <v>1</v>
      </c>
      <c r="K1452">
        <v>0</v>
      </c>
      <c r="L1452">
        <f t="shared" si="88"/>
        <v>15</v>
      </c>
      <c r="M1452">
        <f t="shared" si="89"/>
        <v>180</v>
      </c>
      <c r="N1452">
        <f t="shared" si="90"/>
        <v>173</v>
      </c>
      <c r="O1452">
        <f t="shared" si="91"/>
        <v>2031.4166666666667</v>
      </c>
    </row>
    <row r="1453" spans="1:15" x14ac:dyDescent="0.2">
      <c r="A1453" t="s">
        <v>19</v>
      </c>
      <c r="B1453">
        <v>9</v>
      </c>
      <c r="C1453">
        <v>50</v>
      </c>
      <c r="D1453">
        <v>7</v>
      </c>
      <c r="E1453">
        <v>12</v>
      </c>
      <c r="F1453">
        <v>46</v>
      </c>
      <c r="G1453">
        <v>2324303</v>
      </c>
      <c r="H1453">
        <v>1</v>
      </c>
      <c r="I1453">
        <v>0</v>
      </c>
      <c r="J1453">
        <v>1</v>
      </c>
      <c r="K1453">
        <v>0</v>
      </c>
      <c r="L1453">
        <f t="shared" si="88"/>
        <v>15</v>
      </c>
      <c r="M1453">
        <f t="shared" si="89"/>
        <v>180</v>
      </c>
      <c r="N1453">
        <f t="shared" si="90"/>
        <v>173</v>
      </c>
      <c r="O1453">
        <f t="shared" si="91"/>
        <v>2031.4166666666667</v>
      </c>
    </row>
    <row r="1454" spans="1:15" x14ac:dyDescent="0.2">
      <c r="A1454" t="s">
        <v>19</v>
      </c>
      <c r="B1454">
        <v>9</v>
      </c>
      <c r="C1454">
        <v>50</v>
      </c>
      <c r="D1454">
        <v>8</v>
      </c>
      <c r="E1454">
        <v>4</v>
      </c>
      <c r="F1454">
        <v>39</v>
      </c>
      <c r="G1454">
        <v>2324701</v>
      </c>
      <c r="H1454">
        <v>0</v>
      </c>
      <c r="I1454">
        <v>1</v>
      </c>
      <c r="J1454">
        <v>1</v>
      </c>
      <c r="K1454">
        <v>0</v>
      </c>
      <c r="L1454">
        <f t="shared" si="88"/>
        <v>15</v>
      </c>
      <c r="M1454">
        <f t="shared" si="89"/>
        <v>180</v>
      </c>
      <c r="N1454">
        <f t="shared" si="90"/>
        <v>172</v>
      </c>
      <c r="O1454">
        <f t="shared" si="91"/>
        <v>2031.3333333333333</v>
      </c>
    </row>
    <row r="1455" spans="1:15" x14ac:dyDescent="0.2">
      <c r="A1455" t="s">
        <v>19</v>
      </c>
      <c r="B1455">
        <v>9</v>
      </c>
      <c r="C1455">
        <v>50</v>
      </c>
      <c r="D1455">
        <v>8</v>
      </c>
      <c r="E1455">
        <v>4</v>
      </c>
      <c r="F1455">
        <v>44</v>
      </c>
      <c r="G1455">
        <v>2324901</v>
      </c>
      <c r="H1455">
        <v>0</v>
      </c>
      <c r="I1455">
        <v>1</v>
      </c>
      <c r="J1455">
        <v>1</v>
      </c>
      <c r="K1455">
        <v>0</v>
      </c>
      <c r="L1455">
        <f t="shared" si="88"/>
        <v>15</v>
      </c>
      <c r="M1455">
        <f t="shared" si="89"/>
        <v>180</v>
      </c>
      <c r="N1455">
        <f t="shared" si="90"/>
        <v>172</v>
      </c>
      <c r="O1455">
        <f t="shared" si="91"/>
        <v>2031.3333333333333</v>
      </c>
    </row>
    <row r="1456" spans="1:15" x14ac:dyDescent="0.2">
      <c r="A1456" t="s">
        <v>19</v>
      </c>
      <c r="B1456">
        <v>9</v>
      </c>
      <c r="C1456">
        <v>50</v>
      </c>
      <c r="D1456">
        <v>9</v>
      </c>
      <c r="E1456">
        <v>12</v>
      </c>
      <c r="F1456">
        <v>47</v>
      </c>
      <c r="G1456">
        <v>2304802</v>
      </c>
      <c r="H1456">
        <v>0</v>
      </c>
      <c r="I1456">
        <v>1</v>
      </c>
      <c r="J1456">
        <v>1</v>
      </c>
      <c r="K1456">
        <v>0</v>
      </c>
      <c r="L1456">
        <f t="shared" si="88"/>
        <v>15</v>
      </c>
      <c r="M1456">
        <f t="shared" si="89"/>
        <v>180</v>
      </c>
      <c r="N1456">
        <f t="shared" si="90"/>
        <v>171</v>
      </c>
      <c r="O1456">
        <f t="shared" si="91"/>
        <v>2031.25</v>
      </c>
    </row>
    <row r="1457" spans="1:15" x14ac:dyDescent="0.2">
      <c r="A1457" t="s">
        <v>19</v>
      </c>
      <c r="B1457">
        <v>9</v>
      </c>
      <c r="C1457">
        <v>50</v>
      </c>
      <c r="D1457">
        <v>9</v>
      </c>
      <c r="E1457">
        <v>12</v>
      </c>
      <c r="F1457">
        <v>48</v>
      </c>
      <c r="G1457">
        <v>1736903</v>
      </c>
      <c r="H1457">
        <v>0</v>
      </c>
      <c r="I1457">
        <v>1</v>
      </c>
      <c r="J1457">
        <v>1</v>
      </c>
      <c r="K1457">
        <v>0</v>
      </c>
      <c r="L1457">
        <f t="shared" si="88"/>
        <v>15</v>
      </c>
      <c r="M1457">
        <f t="shared" si="89"/>
        <v>180</v>
      </c>
      <c r="N1457">
        <f t="shared" si="90"/>
        <v>171</v>
      </c>
      <c r="O1457">
        <f t="shared" si="91"/>
        <v>2031.25</v>
      </c>
    </row>
    <row r="1458" spans="1:15" x14ac:dyDescent="0.2">
      <c r="A1458" t="s">
        <v>19</v>
      </c>
      <c r="B1458">
        <v>9</v>
      </c>
      <c r="C1458">
        <v>50</v>
      </c>
      <c r="D1458">
        <v>12</v>
      </c>
      <c r="E1458">
        <v>12</v>
      </c>
      <c r="F1458">
        <v>46</v>
      </c>
      <c r="G1458">
        <v>2279603</v>
      </c>
      <c r="H1458">
        <v>0</v>
      </c>
      <c r="I1458">
        <v>1</v>
      </c>
      <c r="J1458">
        <v>1</v>
      </c>
      <c r="K1458">
        <v>0</v>
      </c>
      <c r="L1458">
        <f t="shared" si="88"/>
        <v>15</v>
      </c>
      <c r="M1458">
        <f t="shared" si="89"/>
        <v>180</v>
      </c>
      <c r="N1458">
        <f t="shared" si="90"/>
        <v>168</v>
      </c>
      <c r="O1458">
        <f t="shared" si="91"/>
        <v>2031</v>
      </c>
    </row>
    <row r="1459" spans="1:15" x14ac:dyDescent="0.2">
      <c r="A1459" t="s">
        <v>19</v>
      </c>
      <c r="B1459">
        <v>9</v>
      </c>
      <c r="C1459">
        <v>50</v>
      </c>
      <c r="D1459">
        <v>12</v>
      </c>
      <c r="E1459">
        <v>12</v>
      </c>
      <c r="F1459">
        <v>47</v>
      </c>
      <c r="G1459">
        <v>2277903</v>
      </c>
      <c r="H1459">
        <v>1</v>
      </c>
      <c r="I1459">
        <v>0</v>
      </c>
      <c r="J1459">
        <v>1</v>
      </c>
      <c r="K1459">
        <v>0</v>
      </c>
      <c r="L1459">
        <f t="shared" si="88"/>
        <v>15</v>
      </c>
      <c r="M1459">
        <f t="shared" si="89"/>
        <v>180</v>
      </c>
      <c r="N1459">
        <f t="shared" si="90"/>
        <v>168</v>
      </c>
      <c r="O1459">
        <f t="shared" si="91"/>
        <v>2031</v>
      </c>
    </row>
    <row r="1460" spans="1:15" x14ac:dyDescent="0.2">
      <c r="A1460" t="s">
        <v>19</v>
      </c>
      <c r="B1460">
        <v>9</v>
      </c>
      <c r="C1460">
        <v>50</v>
      </c>
      <c r="D1460">
        <v>13</v>
      </c>
      <c r="E1460">
        <v>4</v>
      </c>
      <c r="F1460">
        <v>49</v>
      </c>
      <c r="G1460">
        <v>2272801</v>
      </c>
      <c r="H1460">
        <v>0</v>
      </c>
      <c r="I1460">
        <v>1</v>
      </c>
      <c r="J1460">
        <v>1</v>
      </c>
      <c r="K1460">
        <v>0</v>
      </c>
      <c r="L1460">
        <f t="shared" si="88"/>
        <v>15</v>
      </c>
      <c r="M1460">
        <f t="shared" si="89"/>
        <v>180</v>
      </c>
      <c r="N1460">
        <f t="shared" si="90"/>
        <v>167</v>
      </c>
      <c r="O1460">
        <f t="shared" si="91"/>
        <v>2030.9166666666667</v>
      </c>
    </row>
    <row r="1461" spans="1:15" x14ac:dyDescent="0.2">
      <c r="A1461" t="s">
        <v>19</v>
      </c>
      <c r="B1461">
        <v>9</v>
      </c>
      <c r="C1461">
        <v>50</v>
      </c>
      <c r="D1461">
        <v>19</v>
      </c>
      <c r="E1461">
        <v>12</v>
      </c>
      <c r="F1461">
        <v>44</v>
      </c>
      <c r="G1461">
        <v>2235902</v>
      </c>
      <c r="H1461">
        <v>0</v>
      </c>
      <c r="I1461">
        <v>1</v>
      </c>
      <c r="J1461">
        <v>1</v>
      </c>
      <c r="K1461">
        <v>0</v>
      </c>
      <c r="L1461">
        <f t="shared" si="88"/>
        <v>15</v>
      </c>
      <c r="M1461">
        <f t="shared" si="89"/>
        <v>180</v>
      </c>
      <c r="N1461">
        <f t="shared" si="90"/>
        <v>161</v>
      </c>
      <c r="O1461">
        <f t="shared" si="91"/>
        <v>2030.4166666666667</v>
      </c>
    </row>
    <row r="1462" spans="1:15" x14ac:dyDescent="0.2">
      <c r="A1462" t="s">
        <v>19</v>
      </c>
      <c r="B1462">
        <v>9</v>
      </c>
      <c r="C1462">
        <v>50</v>
      </c>
      <c r="D1462">
        <v>22</v>
      </c>
      <c r="E1462">
        <v>2</v>
      </c>
      <c r="F1462">
        <v>45</v>
      </c>
      <c r="G1462">
        <v>2219701</v>
      </c>
      <c r="H1462">
        <v>0</v>
      </c>
      <c r="I1462">
        <v>1</v>
      </c>
      <c r="J1462">
        <v>1</v>
      </c>
      <c r="K1462">
        <v>0</v>
      </c>
      <c r="L1462">
        <f t="shared" si="88"/>
        <v>15</v>
      </c>
      <c r="M1462">
        <f t="shared" si="89"/>
        <v>180</v>
      </c>
      <c r="N1462">
        <f t="shared" si="90"/>
        <v>158</v>
      </c>
      <c r="O1462">
        <f t="shared" si="91"/>
        <v>2030.1666666666667</v>
      </c>
    </row>
    <row r="1463" spans="1:15" x14ac:dyDescent="0.2">
      <c r="A1463" t="s">
        <v>19</v>
      </c>
      <c r="B1463">
        <v>9</v>
      </c>
      <c r="C1463">
        <v>50</v>
      </c>
      <c r="D1463">
        <v>24</v>
      </c>
      <c r="E1463">
        <v>2</v>
      </c>
      <c r="F1463">
        <v>40</v>
      </c>
      <c r="G1463">
        <v>1100602</v>
      </c>
      <c r="H1463">
        <v>1</v>
      </c>
      <c r="I1463">
        <v>0</v>
      </c>
      <c r="J1463">
        <v>1</v>
      </c>
      <c r="K1463">
        <v>0</v>
      </c>
      <c r="L1463">
        <f t="shared" si="88"/>
        <v>15</v>
      </c>
      <c r="M1463">
        <f t="shared" si="89"/>
        <v>180</v>
      </c>
      <c r="N1463">
        <f t="shared" si="90"/>
        <v>156</v>
      </c>
      <c r="O1463">
        <f t="shared" si="91"/>
        <v>2030</v>
      </c>
    </row>
    <row r="1464" spans="1:15" x14ac:dyDescent="0.2">
      <c r="A1464" t="s">
        <v>19</v>
      </c>
      <c r="B1464">
        <v>9</v>
      </c>
      <c r="C1464">
        <v>50</v>
      </c>
      <c r="D1464">
        <v>26</v>
      </c>
      <c r="E1464">
        <v>1</v>
      </c>
      <c r="F1464">
        <v>41</v>
      </c>
      <c r="G1464">
        <v>2196601</v>
      </c>
      <c r="H1464">
        <v>0</v>
      </c>
      <c r="I1464">
        <v>1</v>
      </c>
      <c r="J1464">
        <v>1</v>
      </c>
      <c r="K1464">
        <v>0</v>
      </c>
      <c r="L1464">
        <f t="shared" si="88"/>
        <v>15</v>
      </c>
      <c r="M1464">
        <f t="shared" si="89"/>
        <v>180</v>
      </c>
      <c r="N1464">
        <f t="shared" si="90"/>
        <v>154</v>
      </c>
      <c r="O1464">
        <f t="shared" si="91"/>
        <v>2029.8333333333333</v>
      </c>
    </row>
    <row r="1465" spans="1:15" x14ac:dyDescent="0.2">
      <c r="A1465" t="s">
        <v>19</v>
      </c>
      <c r="B1465">
        <v>9</v>
      </c>
      <c r="C1465">
        <v>50</v>
      </c>
      <c r="D1465">
        <v>26</v>
      </c>
      <c r="E1465">
        <v>2</v>
      </c>
      <c r="F1465">
        <v>48</v>
      </c>
      <c r="G1465">
        <v>2199501</v>
      </c>
      <c r="H1465">
        <v>0</v>
      </c>
      <c r="I1465">
        <v>1</v>
      </c>
      <c r="J1465">
        <v>1</v>
      </c>
      <c r="K1465">
        <v>0</v>
      </c>
      <c r="L1465">
        <f t="shared" si="88"/>
        <v>15</v>
      </c>
      <c r="M1465">
        <f t="shared" si="89"/>
        <v>180</v>
      </c>
      <c r="N1465">
        <f t="shared" si="90"/>
        <v>154</v>
      </c>
      <c r="O1465">
        <f t="shared" si="91"/>
        <v>2029.8333333333333</v>
      </c>
    </row>
    <row r="1466" spans="1:15" x14ac:dyDescent="0.2">
      <c r="A1466" t="s">
        <v>19</v>
      </c>
      <c r="B1466">
        <v>9</v>
      </c>
      <c r="C1466">
        <v>50</v>
      </c>
      <c r="D1466">
        <v>27</v>
      </c>
      <c r="E1466">
        <v>2</v>
      </c>
      <c r="F1466">
        <v>37</v>
      </c>
      <c r="G1466">
        <v>758302</v>
      </c>
      <c r="H1466">
        <v>0</v>
      </c>
      <c r="I1466">
        <v>1</v>
      </c>
      <c r="J1466">
        <v>1</v>
      </c>
      <c r="K1466">
        <v>0</v>
      </c>
      <c r="L1466">
        <f t="shared" si="88"/>
        <v>15</v>
      </c>
      <c r="M1466">
        <f t="shared" si="89"/>
        <v>180</v>
      </c>
      <c r="N1466">
        <f t="shared" si="90"/>
        <v>153</v>
      </c>
      <c r="O1466">
        <f t="shared" si="91"/>
        <v>2029.75</v>
      </c>
    </row>
    <row r="1467" spans="1:15" x14ac:dyDescent="0.2">
      <c r="A1467" t="s">
        <v>19</v>
      </c>
      <c r="B1467">
        <v>9</v>
      </c>
      <c r="C1467">
        <v>50</v>
      </c>
      <c r="D1467">
        <v>27</v>
      </c>
      <c r="E1467">
        <v>4</v>
      </c>
      <c r="F1467">
        <v>45</v>
      </c>
      <c r="G1467">
        <v>2195401</v>
      </c>
      <c r="H1467">
        <v>0</v>
      </c>
      <c r="I1467">
        <v>1</v>
      </c>
      <c r="J1467">
        <v>1</v>
      </c>
      <c r="K1467">
        <v>0</v>
      </c>
      <c r="L1467">
        <f t="shared" si="88"/>
        <v>15</v>
      </c>
      <c r="M1467">
        <f t="shared" si="89"/>
        <v>180</v>
      </c>
      <c r="N1467">
        <f t="shared" si="90"/>
        <v>153</v>
      </c>
      <c r="O1467">
        <f t="shared" si="91"/>
        <v>2029.75</v>
      </c>
    </row>
    <row r="1468" spans="1:15" x14ac:dyDescent="0.2">
      <c r="A1468" t="s">
        <v>19</v>
      </c>
      <c r="B1468">
        <v>9</v>
      </c>
      <c r="C1468">
        <v>50</v>
      </c>
      <c r="D1468">
        <v>28</v>
      </c>
      <c r="E1468">
        <v>1</v>
      </c>
      <c r="F1468">
        <v>46</v>
      </c>
      <c r="G1468">
        <v>2191401</v>
      </c>
      <c r="H1468">
        <v>1</v>
      </c>
      <c r="I1468">
        <v>0</v>
      </c>
      <c r="J1468">
        <v>1</v>
      </c>
      <c r="K1468">
        <v>0</v>
      </c>
      <c r="L1468">
        <f t="shared" si="88"/>
        <v>15</v>
      </c>
      <c r="M1468">
        <f t="shared" si="89"/>
        <v>180</v>
      </c>
      <c r="N1468">
        <f t="shared" si="90"/>
        <v>152</v>
      </c>
      <c r="O1468">
        <f t="shared" si="91"/>
        <v>2029.6666666666667</v>
      </c>
    </row>
    <row r="1469" spans="1:15" x14ac:dyDescent="0.2">
      <c r="A1469" t="s">
        <v>19</v>
      </c>
      <c r="B1469">
        <v>9</v>
      </c>
      <c r="C1469">
        <v>50</v>
      </c>
      <c r="D1469">
        <v>32</v>
      </c>
      <c r="E1469">
        <v>1</v>
      </c>
      <c r="F1469">
        <v>45</v>
      </c>
      <c r="G1469">
        <v>2172701</v>
      </c>
      <c r="H1469">
        <v>1</v>
      </c>
      <c r="I1469">
        <v>0</v>
      </c>
      <c r="J1469">
        <v>1</v>
      </c>
      <c r="K1469">
        <v>0</v>
      </c>
      <c r="L1469">
        <f t="shared" si="88"/>
        <v>15</v>
      </c>
      <c r="M1469">
        <f t="shared" si="89"/>
        <v>180</v>
      </c>
      <c r="N1469">
        <f t="shared" si="90"/>
        <v>148</v>
      </c>
      <c r="O1469">
        <f t="shared" si="91"/>
        <v>2029.3333333333333</v>
      </c>
    </row>
    <row r="1470" spans="1:15" x14ac:dyDescent="0.2">
      <c r="A1470" t="s">
        <v>19</v>
      </c>
      <c r="B1470">
        <v>9</v>
      </c>
      <c r="C1470">
        <v>50</v>
      </c>
      <c r="D1470">
        <v>32</v>
      </c>
      <c r="E1470">
        <v>2</v>
      </c>
      <c r="F1470">
        <v>50</v>
      </c>
      <c r="G1470">
        <v>2172801</v>
      </c>
      <c r="H1470">
        <v>1</v>
      </c>
      <c r="I1470">
        <v>0</v>
      </c>
      <c r="J1470">
        <v>1</v>
      </c>
      <c r="K1470">
        <v>0</v>
      </c>
      <c r="L1470">
        <f t="shared" si="88"/>
        <v>15</v>
      </c>
      <c r="M1470">
        <f t="shared" si="89"/>
        <v>180</v>
      </c>
      <c r="N1470">
        <f t="shared" si="90"/>
        <v>148</v>
      </c>
      <c r="O1470">
        <f t="shared" si="91"/>
        <v>2029.3333333333333</v>
      </c>
    </row>
    <row r="1471" spans="1:15" x14ac:dyDescent="0.2">
      <c r="A1471" t="s">
        <v>19</v>
      </c>
      <c r="B1471">
        <v>9</v>
      </c>
      <c r="C1471">
        <v>50</v>
      </c>
      <c r="D1471">
        <v>33</v>
      </c>
      <c r="E1471">
        <v>2</v>
      </c>
      <c r="F1471">
        <v>48</v>
      </c>
      <c r="G1471">
        <v>2166701</v>
      </c>
      <c r="H1471">
        <v>1</v>
      </c>
      <c r="I1471">
        <v>0</v>
      </c>
      <c r="J1471">
        <v>1</v>
      </c>
      <c r="K1471">
        <v>0</v>
      </c>
      <c r="L1471">
        <f t="shared" si="88"/>
        <v>15</v>
      </c>
      <c r="M1471">
        <f t="shared" si="89"/>
        <v>180</v>
      </c>
      <c r="N1471">
        <f t="shared" si="90"/>
        <v>147</v>
      </c>
      <c r="O1471">
        <f t="shared" si="91"/>
        <v>2029.25</v>
      </c>
    </row>
    <row r="1472" spans="1:15" x14ac:dyDescent="0.2">
      <c r="A1472" t="s">
        <v>19</v>
      </c>
      <c r="B1472">
        <v>9</v>
      </c>
      <c r="C1472">
        <v>50</v>
      </c>
      <c r="D1472">
        <v>36</v>
      </c>
      <c r="E1472">
        <v>4</v>
      </c>
      <c r="F1472">
        <v>47</v>
      </c>
      <c r="G1472">
        <v>2149701</v>
      </c>
      <c r="H1472">
        <v>0</v>
      </c>
      <c r="I1472">
        <v>1</v>
      </c>
      <c r="J1472">
        <v>1</v>
      </c>
      <c r="K1472">
        <v>0</v>
      </c>
      <c r="L1472">
        <f t="shared" si="88"/>
        <v>15</v>
      </c>
      <c r="M1472">
        <f t="shared" si="89"/>
        <v>180</v>
      </c>
      <c r="N1472">
        <f t="shared" si="90"/>
        <v>144</v>
      </c>
      <c r="O1472">
        <f t="shared" si="91"/>
        <v>2029</v>
      </c>
    </row>
    <row r="1473" spans="1:15" x14ac:dyDescent="0.2">
      <c r="A1473" t="s">
        <v>19</v>
      </c>
      <c r="B1473">
        <v>9</v>
      </c>
      <c r="C1473">
        <v>50</v>
      </c>
      <c r="D1473">
        <v>37</v>
      </c>
      <c r="E1473">
        <v>2</v>
      </c>
      <c r="F1473">
        <v>45</v>
      </c>
      <c r="G1473">
        <v>2143701</v>
      </c>
      <c r="H1473">
        <v>1</v>
      </c>
      <c r="I1473">
        <v>0</v>
      </c>
      <c r="J1473">
        <v>1</v>
      </c>
      <c r="K1473">
        <v>0</v>
      </c>
      <c r="L1473">
        <f t="shared" si="88"/>
        <v>15</v>
      </c>
      <c r="M1473">
        <f t="shared" si="89"/>
        <v>180</v>
      </c>
      <c r="N1473">
        <f t="shared" si="90"/>
        <v>143</v>
      </c>
      <c r="O1473">
        <f t="shared" si="91"/>
        <v>2028.9166666666667</v>
      </c>
    </row>
    <row r="1474" spans="1:15" x14ac:dyDescent="0.2">
      <c r="A1474" t="s">
        <v>19</v>
      </c>
      <c r="B1474">
        <v>9</v>
      </c>
      <c r="C1474">
        <v>50</v>
      </c>
      <c r="D1474">
        <v>46</v>
      </c>
      <c r="E1474">
        <v>2</v>
      </c>
      <c r="F1474">
        <v>44</v>
      </c>
      <c r="G1474">
        <v>2096801</v>
      </c>
      <c r="H1474">
        <v>0</v>
      </c>
      <c r="I1474">
        <v>1</v>
      </c>
      <c r="J1474">
        <v>1</v>
      </c>
      <c r="K1474">
        <v>0</v>
      </c>
      <c r="L1474">
        <f t="shared" si="88"/>
        <v>15</v>
      </c>
      <c r="M1474">
        <f t="shared" si="89"/>
        <v>180</v>
      </c>
      <c r="N1474">
        <f t="shared" si="90"/>
        <v>134</v>
      </c>
      <c r="O1474">
        <f t="shared" si="91"/>
        <v>2028.1666666666667</v>
      </c>
    </row>
    <row r="1475" spans="1:15" x14ac:dyDescent="0.2">
      <c r="A1475" t="s">
        <v>19</v>
      </c>
      <c r="B1475">
        <v>9</v>
      </c>
      <c r="C1475">
        <v>50</v>
      </c>
      <c r="D1475">
        <v>48</v>
      </c>
      <c r="E1475">
        <v>1</v>
      </c>
      <c r="F1475">
        <v>47</v>
      </c>
      <c r="G1475">
        <v>2091001</v>
      </c>
      <c r="H1475">
        <v>1</v>
      </c>
      <c r="I1475">
        <v>0</v>
      </c>
      <c r="J1475">
        <v>1</v>
      </c>
      <c r="K1475">
        <v>0</v>
      </c>
      <c r="L1475">
        <f t="shared" si="88"/>
        <v>15</v>
      </c>
      <c r="M1475">
        <f t="shared" si="89"/>
        <v>180</v>
      </c>
      <c r="N1475">
        <f t="shared" si="90"/>
        <v>132</v>
      </c>
      <c r="O1475">
        <f t="shared" si="91"/>
        <v>2028</v>
      </c>
    </row>
    <row r="1476" spans="1:15" x14ac:dyDescent="0.2">
      <c r="A1476" t="s">
        <v>19</v>
      </c>
      <c r="B1476">
        <v>9</v>
      </c>
      <c r="C1476">
        <v>50</v>
      </c>
      <c r="D1476">
        <v>49</v>
      </c>
      <c r="E1476">
        <v>1</v>
      </c>
      <c r="F1476">
        <v>42</v>
      </c>
      <c r="G1476">
        <v>2088001</v>
      </c>
      <c r="H1476">
        <v>0</v>
      </c>
      <c r="I1476">
        <v>1</v>
      </c>
      <c r="J1476">
        <v>1</v>
      </c>
      <c r="K1476">
        <v>0</v>
      </c>
      <c r="L1476">
        <f t="shared" si="88"/>
        <v>15</v>
      </c>
      <c r="M1476">
        <f t="shared" si="89"/>
        <v>180</v>
      </c>
      <c r="N1476">
        <f t="shared" si="90"/>
        <v>131</v>
      </c>
      <c r="O1476">
        <f t="shared" si="91"/>
        <v>2027.9166666666667</v>
      </c>
    </row>
    <row r="1477" spans="1:15" x14ac:dyDescent="0.2">
      <c r="A1477" t="s">
        <v>19</v>
      </c>
      <c r="B1477">
        <v>9</v>
      </c>
      <c r="C1477">
        <v>50</v>
      </c>
      <c r="D1477">
        <v>50</v>
      </c>
      <c r="E1477">
        <v>1</v>
      </c>
      <c r="F1477">
        <v>50</v>
      </c>
      <c r="G1477">
        <v>2081901</v>
      </c>
      <c r="H1477">
        <v>0</v>
      </c>
      <c r="I1477">
        <v>1</v>
      </c>
      <c r="J1477">
        <v>1</v>
      </c>
      <c r="K1477">
        <v>0</v>
      </c>
      <c r="L1477">
        <f t="shared" si="88"/>
        <v>15</v>
      </c>
      <c r="M1477">
        <f t="shared" si="89"/>
        <v>180</v>
      </c>
      <c r="N1477">
        <f t="shared" si="90"/>
        <v>130</v>
      </c>
      <c r="O1477">
        <f t="shared" si="91"/>
        <v>2027.8333333333333</v>
      </c>
    </row>
    <row r="1478" spans="1:15" x14ac:dyDescent="0.2">
      <c r="A1478" t="s">
        <v>19</v>
      </c>
      <c r="B1478">
        <v>9</v>
      </c>
      <c r="C1478">
        <v>50</v>
      </c>
      <c r="D1478">
        <v>53</v>
      </c>
      <c r="E1478">
        <v>1</v>
      </c>
      <c r="F1478">
        <v>48</v>
      </c>
      <c r="G1478">
        <v>2068801</v>
      </c>
      <c r="H1478">
        <v>1</v>
      </c>
      <c r="I1478">
        <v>0</v>
      </c>
      <c r="J1478">
        <v>1</v>
      </c>
      <c r="K1478">
        <v>0</v>
      </c>
      <c r="L1478">
        <f t="shared" si="88"/>
        <v>15</v>
      </c>
      <c r="M1478">
        <f t="shared" si="89"/>
        <v>180</v>
      </c>
      <c r="N1478">
        <f t="shared" si="90"/>
        <v>127</v>
      </c>
      <c r="O1478">
        <f t="shared" si="91"/>
        <v>2027.5833333333333</v>
      </c>
    </row>
    <row r="1479" spans="1:15" x14ac:dyDescent="0.2">
      <c r="A1479" t="s">
        <v>19</v>
      </c>
      <c r="B1479">
        <v>9</v>
      </c>
      <c r="C1479">
        <v>50</v>
      </c>
      <c r="D1479">
        <v>53</v>
      </c>
      <c r="E1479">
        <v>2</v>
      </c>
      <c r="F1479">
        <v>49</v>
      </c>
      <c r="G1479">
        <v>2067301</v>
      </c>
      <c r="H1479">
        <v>0</v>
      </c>
      <c r="I1479">
        <v>1</v>
      </c>
      <c r="J1479">
        <v>1</v>
      </c>
      <c r="K1479">
        <v>0</v>
      </c>
      <c r="L1479">
        <f t="shared" ref="L1479:L1542" si="92">65-C1479</f>
        <v>15</v>
      </c>
      <c r="M1479">
        <f t="shared" ref="M1479:M1542" si="93">L1479*12</f>
        <v>180</v>
      </c>
      <c r="N1479">
        <f t="shared" ref="N1479:N1542" si="94">M1479-D1479</f>
        <v>127</v>
      </c>
      <c r="O1479">
        <f t="shared" ref="O1479:O1542" si="95">2017+N1479/12</f>
        <v>2027.5833333333333</v>
      </c>
    </row>
    <row r="1480" spans="1:15" x14ac:dyDescent="0.2">
      <c r="A1480" t="s">
        <v>19</v>
      </c>
      <c r="B1480">
        <v>9</v>
      </c>
      <c r="C1480">
        <v>50</v>
      </c>
      <c r="D1480">
        <v>54</v>
      </c>
      <c r="E1480">
        <v>2</v>
      </c>
      <c r="F1480">
        <v>48</v>
      </c>
      <c r="G1480">
        <v>2056101</v>
      </c>
      <c r="H1480">
        <v>0</v>
      </c>
      <c r="I1480">
        <v>1</v>
      </c>
      <c r="J1480">
        <v>1</v>
      </c>
      <c r="K1480">
        <v>0</v>
      </c>
      <c r="L1480">
        <f t="shared" si="92"/>
        <v>15</v>
      </c>
      <c r="M1480">
        <f t="shared" si="93"/>
        <v>180</v>
      </c>
      <c r="N1480">
        <f t="shared" si="94"/>
        <v>126</v>
      </c>
      <c r="O1480">
        <f t="shared" si="95"/>
        <v>2027.5</v>
      </c>
    </row>
    <row r="1481" spans="1:15" x14ac:dyDescent="0.2">
      <c r="A1481" t="s">
        <v>19</v>
      </c>
      <c r="B1481">
        <v>9</v>
      </c>
      <c r="C1481">
        <v>50</v>
      </c>
      <c r="D1481">
        <v>56</v>
      </c>
      <c r="E1481">
        <v>2</v>
      </c>
      <c r="F1481">
        <v>44</v>
      </c>
      <c r="G1481">
        <v>2046001</v>
      </c>
      <c r="H1481">
        <v>0</v>
      </c>
      <c r="I1481">
        <v>1</v>
      </c>
      <c r="J1481">
        <v>1</v>
      </c>
      <c r="K1481">
        <v>0</v>
      </c>
      <c r="L1481">
        <f t="shared" si="92"/>
        <v>15</v>
      </c>
      <c r="M1481">
        <f t="shared" si="93"/>
        <v>180</v>
      </c>
      <c r="N1481">
        <f t="shared" si="94"/>
        <v>124</v>
      </c>
      <c r="O1481">
        <f t="shared" si="95"/>
        <v>2027.3333333333333</v>
      </c>
    </row>
    <row r="1482" spans="1:15" x14ac:dyDescent="0.2">
      <c r="A1482" t="s">
        <v>19</v>
      </c>
      <c r="B1482">
        <v>9</v>
      </c>
      <c r="C1482">
        <v>50</v>
      </c>
      <c r="D1482">
        <v>56</v>
      </c>
      <c r="E1482">
        <v>4</v>
      </c>
      <c r="F1482">
        <v>47</v>
      </c>
      <c r="G1482">
        <v>2044701</v>
      </c>
      <c r="H1482">
        <v>0</v>
      </c>
      <c r="I1482">
        <v>1</v>
      </c>
      <c r="J1482">
        <v>1</v>
      </c>
      <c r="K1482">
        <v>0</v>
      </c>
      <c r="L1482">
        <f t="shared" si="92"/>
        <v>15</v>
      </c>
      <c r="M1482">
        <f t="shared" si="93"/>
        <v>180</v>
      </c>
      <c r="N1482">
        <f t="shared" si="94"/>
        <v>124</v>
      </c>
      <c r="O1482">
        <f t="shared" si="95"/>
        <v>2027.3333333333333</v>
      </c>
    </row>
    <row r="1483" spans="1:15" x14ac:dyDescent="0.2">
      <c r="A1483" t="s">
        <v>19</v>
      </c>
      <c r="B1483">
        <v>9</v>
      </c>
      <c r="C1483">
        <v>50</v>
      </c>
      <c r="D1483">
        <v>58</v>
      </c>
      <c r="E1483">
        <v>1</v>
      </c>
      <c r="F1483">
        <v>42</v>
      </c>
      <c r="G1483">
        <v>2039101</v>
      </c>
      <c r="H1483">
        <v>0</v>
      </c>
      <c r="I1483">
        <v>1</v>
      </c>
      <c r="J1483">
        <v>1</v>
      </c>
      <c r="K1483">
        <v>0</v>
      </c>
      <c r="L1483">
        <f t="shared" si="92"/>
        <v>15</v>
      </c>
      <c r="M1483">
        <f t="shared" si="93"/>
        <v>180</v>
      </c>
      <c r="N1483">
        <f t="shared" si="94"/>
        <v>122</v>
      </c>
      <c r="O1483">
        <f t="shared" si="95"/>
        <v>2027.1666666666667</v>
      </c>
    </row>
    <row r="1484" spans="1:15" x14ac:dyDescent="0.2">
      <c r="A1484" t="s">
        <v>19</v>
      </c>
      <c r="B1484">
        <v>9</v>
      </c>
      <c r="C1484">
        <v>50</v>
      </c>
      <c r="D1484">
        <v>58</v>
      </c>
      <c r="E1484">
        <v>2</v>
      </c>
      <c r="F1484">
        <v>46</v>
      </c>
      <c r="G1484">
        <v>2038701</v>
      </c>
      <c r="H1484">
        <v>0</v>
      </c>
      <c r="I1484">
        <v>1</v>
      </c>
      <c r="J1484">
        <v>1</v>
      </c>
      <c r="K1484">
        <v>0</v>
      </c>
      <c r="L1484">
        <f t="shared" si="92"/>
        <v>15</v>
      </c>
      <c r="M1484">
        <f t="shared" si="93"/>
        <v>180</v>
      </c>
      <c r="N1484">
        <f t="shared" si="94"/>
        <v>122</v>
      </c>
      <c r="O1484">
        <f t="shared" si="95"/>
        <v>2027.1666666666667</v>
      </c>
    </row>
    <row r="1485" spans="1:15" x14ac:dyDescent="0.2">
      <c r="A1485" t="s">
        <v>19</v>
      </c>
      <c r="B1485">
        <v>9</v>
      </c>
      <c r="C1485">
        <v>50</v>
      </c>
      <c r="D1485">
        <v>65</v>
      </c>
      <c r="E1485">
        <v>1</v>
      </c>
      <c r="F1485">
        <v>46</v>
      </c>
      <c r="G1485">
        <v>2013901</v>
      </c>
      <c r="H1485">
        <v>0</v>
      </c>
      <c r="I1485">
        <v>1</v>
      </c>
      <c r="J1485">
        <v>1</v>
      </c>
      <c r="K1485">
        <v>0</v>
      </c>
      <c r="L1485">
        <f t="shared" si="92"/>
        <v>15</v>
      </c>
      <c r="M1485">
        <f t="shared" si="93"/>
        <v>180</v>
      </c>
      <c r="N1485">
        <f t="shared" si="94"/>
        <v>115</v>
      </c>
      <c r="O1485">
        <f t="shared" si="95"/>
        <v>2026.5833333333333</v>
      </c>
    </row>
    <row r="1486" spans="1:15" x14ac:dyDescent="0.2">
      <c r="A1486" t="s">
        <v>19</v>
      </c>
      <c r="B1486">
        <v>9</v>
      </c>
      <c r="C1486">
        <v>50</v>
      </c>
      <c r="D1486">
        <v>70</v>
      </c>
      <c r="E1486">
        <v>1</v>
      </c>
      <c r="F1486">
        <v>46</v>
      </c>
      <c r="G1486">
        <v>1994201</v>
      </c>
      <c r="H1486">
        <v>0</v>
      </c>
      <c r="I1486">
        <v>1</v>
      </c>
      <c r="J1486">
        <v>1</v>
      </c>
      <c r="K1486">
        <v>0</v>
      </c>
      <c r="L1486">
        <f t="shared" si="92"/>
        <v>15</v>
      </c>
      <c r="M1486">
        <f t="shared" si="93"/>
        <v>180</v>
      </c>
      <c r="N1486">
        <f t="shared" si="94"/>
        <v>110</v>
      </c>
      <c r="O1486">
        <f t="shared" si="95"/>
        <v>2026.1666666666667</v>
      </c>
    </row>
    <row r="1487" spans="1:15" x14ac:dyDescent="0.2">
      <c r="A1487" t="s">
        <v>19</v>
      </c>
      <c r="B1487">
        <v>9</v>
      </c>
      <c r="C1487">
        <v>50</v>
      </c>
      <c r="D1487">
        <v>75</v>
      </c>
      <c r="E1487">
        <v>1</v>
      </c>
      <c r="F1487">
        <v>50</v>
      </c>
      <c r="G1487">
        <v>1980801</v>
      </c>
      <c r="H1487">
        <v>0</v>
      </c>
      <c r="I1487">
        <v>1</v>
      </c>
      <c r="J1487">
        <v>1</v>
      </c>
      <c r="K1487">
        <v>0</v>
      </c>
      <c r="L1487">
        <f t="shared" si="92"/>
        <v>15</v>
      </c>
      <c r="M1487">
        <f t="shared" si="93"/>
        <v>180</v>
      </c>
      <c r="N1487">
        <f t="shared" si="94"/>
        <v>105</v>
      </c>
      <c r="O1487">
        <f t="shared" si="95"/>
        <v>2025.75</v>
      </c>
    </row>
    <row r="1488" spans="1:15" x14ac:dyDescent="0.2">
      <c r="A1488" t="s">
        <v>19</v>
      </c>
      <c r="B1488">
        <v>9</v>
      </c>
      <c r="C1488">
        <v>50</v>
      </c>
      <c r="D1488">
        <v>89</v>
      </c>
      <c r="E1488">
        <v>2</v>
      </c>
      <c r="F1488">
        <v>42</v>
      </c>
      <c r="G1488">
        <v>1834002</v>
      </c>
      <c r="H1488">
        <v>0</v>
      </c>
      <c r="I1488">
        <v>1</v>
      </c>
      <c r="J1488">
        <v>1</v>
      </c>
      <c r="K1488">
        <v>0</v>
      </c>
      <c r="L1488">
        <f t="shared" si="92"/>
        <v>15</v>
      </c>
      <c r="M1488">
        <f t="shared" si="93"/>
        <v>180</v>
      </c>
      <c r="N1488">
        <f t="shared" si="94"/>
        <v>91</v>
      </c>
      <c r="O1488">
        <f t="shared" si="95"/>
        <v>2024.5833333333333</v>
      </c>
    </row>
    <row r="1489" spans="1:15" x14ac:dyDescent="0.2">
      <c r="A1489" t="s">
        <v>19</v>
      </c>
      <c r="B1489">
        <v>9</v>
      </c>
      <c r="C1489">
        <v>50</v>
      </c>
      <c r="D1489">
        <v>90</v>
      </c>
      <c r="E1489">
        <v>12</v>
      </c>
      <c r="F1489">
        <v>49</v>
      </c>
      <c r="G1489">
        <v>1927501</v>
      </c>
      <c r="H1489">
        <v>0</v>
      </c>
      <c r="I1489">
        <v>1</v>
      </c>
      <c r="J1489">
        <v>1</v>
      </c>
      <c r="K1489">
        <v>0</v>
      </c>
      <c r="L1489">
        <f t="shared" si="92"/>
        <v>15</v>
      </c>
      <c r="M1489">
        <f t="shared" si="93"/>
        <v>180</v>
      </c>
      <c r="N1489">
        <f t="shared" si="94"/>
        <v>90</v>
      </c>
      <c r="O1489">
        <f t="shared" si="95"/>
        <v>2024.5</v>
      </c>
    </row>
    <row r="1490" spans="1:15" x14ac:dyDescent="0.2">
      <c r="A1490" t="s">
        <v>19</v>
      </c>
      <c r="B1490">
        <v>9</v>
      </c>
      <c r="C1490">
        <v>50</v>
      </c>
      <c r="D1490">
        <v>91</v>
      </c>
      <c r="E1490">
        <v>1</v>
      </c>
      <c r="F1490">
        <v>42</v>
      </c>
      <c r="G1490">
        <v>1914401</v>
      </c>
      <c r="H1490">
        <v>0</v>
      </c>
      <c r="I1490">
        <v>1</v>
      </c>
      <c r="J1490">
        <v>1</v>
      </c>
      <c r="K1490">
        <v>0</v>
      </c>
      <c r="L1490">
        <f t="shared" si="92"/>
        <v>15</v>
      </c>
      <c r="M1490">
        <f t="shared" si="93"/>
        <v>180</v>
      </c>
      <c r="N1490">
        <f t="shared" si="94"/>
        <v>89</v>
      </c>
      <c r="O1490">
        <f t="shared" si="95"/>
        <v>2024.4166666666667</v>
      </c>
    </row>
    <row r="1491" spans="1:15" x14ac:dyDescent="0.2">
      <c r="A1491" t="s">
        <v>19</v>
      </c>
      <c r="B1491">
        <v>9</v>
      </c>
      <c r="C1491">
        <v>50</v>
      </c>
      <c r="D1491">
        <v>100</v>
      </c>
      <c r="E1491">
        <v>1</v>
      </c>
      <c r="F1491">
        <v>50</v>
      </c>
      <c r="G1491">
        <v>1837001</v>
      </c>
      <c r="H1491">
        <v>1</v>
      </c>
      <c r="I1491">
        <v>0</v>
      </c>
      <c r="J1491">
        <v>1</v>
      </c>
      <c r="K1491">
        <v>0</v>
      </c>
      <c r="L1491">
        <f t="shared" si="92"/>
        <v>15</v>
      </c>
      <c r="M1491">
        <f t="shared" si="93"/>
        <v>180</v>
      </c>
      <c r="N1491">
        <f t="shared" si="94"/>
        <v>80</v>
      </c>
      <c r="O1491">
        <f t="shared" si="95"/>
        <v>2023.6666666666667</v>
      </c>
    </row>
    <row r="1492" spans="1:15" x14ac:dyDescent="0.2">
      <c r="A1492" t="s">
        <v>19</v>
      </c>
      <c r="B1492">
        <v>9</v>
      </c>
      <c r="C1492">
        <v>50</v>
      </c>
      <c r="D1492">
        <v>107</v>
      </c>
      <c r="E1492">
        <v>1</v>
      </c>
      <c r="F1492">
        <v>46</v>
      </c>
      <c r="G1492">
        <v>1763701</v>
      </c>
      <c r="H1492">
        <v>0</v>
      </c>
      <c r="I1492">
        <v>1</v>
      </c>
      <c r="J1492">
        <v>1</v>
      </c>
      <c r="K1492">
        <v>0</v>
      </c>
      <c r="L1492">
        <f t="shared" si="92"/>
        <v>15</v>
      </c>
      <c r="M1492">
        <f t="shared" si="93"/>
        <v>180</v>
      </c>
      <c r="N1492">
        <f t="shared" si="94"/>
        <v>73</v>
      </c>
      <c r="O1492">
        <f t="shared" si="95"/>
        <v>2023.0833333333333</v>
      </c>
    </row>
    <row r="1493" spans="1:15" x14ac:dyDescent="0.2">
      <c r="A1493" t="s">
        <v>19</v>
      </c>
      <c r="B1493">
        <v>9</v>
      </c>
      <c r="C1493">
        <v>50</v>
      </c>
      <c r="D1493">
        <v>108</v>
      </c>
      <c r="E1493">
        <v>1</v>
      </c>
      <c r="F1493">
        <v>50</v>
      </c>
      <c r="G1493">
        <v>1748501</v>
      </c>
      <c r="H1493">
        <v>1</v>
      </c>
      <c r="I1493">
        <v>0</v>
      </c>
      <c r="J1493">
        <v>1</v>
      </c>
      <c r="K1493">
        <v>0</v>
      </c>
      <c r="L1493">
        <f t="shared" si="92"/>
        <v>15</v>
      </c>
      <c r="M1493">
        <f t="shared" si="93"/>
        <v>180</v>
      </c>
      <c r="N1493">
        <f t="shared" si="94"/>
        <v>72</v>
      </c>
      <c r="O1493">
        <f t="shared" si="95"/>
        <v>2023</v>
      </c>
    </row>
    <row r="1494" spans="1:15" x14ac:dyDescent="0.2">
      <c r="A1494" t="s">
        <v>19</v>
      </c>
      <c r="B1494">
        <v>9</v>
      </c>
      <c r="C1494">
        <v>50</v>
      </c>
      <c r="D1494">
        <v>128</v>
      </c>
      <c r="E1494">
        <v>1</v>
      </c>
      <c r="F1494">
        <v>46</v>
      </c>
      <c r="G1494">
        <v>1607801</v>
      </c>
      <c r="H1494">
        <v>0</v>
      </c>
      <c r="I1494">
        <v>1</v>
      </c>
      <c r="J1494">
        <v>1</v>
      </c>
      <c r="K1494">
        <v>0</v>
      </c>
      <c r="L1494">
        <f t="shared" si="92"/>
        <v>15</v>
      </c>
      <c r="M1494">
        <f t="shared" si="93"/>
        <v>180</v>
      </c>
      <c r="N1494">
        <f t="shared" si="94"/>
        <v>52</v>
      </c>
      <c r="O1494">
        <f t="shared" si="95"/>
        <v>2021.3333333333333</v>
      </c>
    </row>
    <row r="1495" spans="1:15" x14ac:dyDescent="0.2">
      <c r="A1495" t="s">
        <v>19</v>
      </c>
      <c r="B1495">
        <v>9</v>
      </c>
      <c r="C1495">
        <v>50</v>
      </c>
      <c r="D1495">
        <v>141</v>
      </c>
      <c r="E1495">
        <v>2</v>
      </c>
      <c r="F1495">
        <v>44</v>
      </c>
      <c r="G1495">
        <v>1128701</v>
      </c>
      <c r="H1495">
        <v>0</v>
      </c>
      <c r="I1495">
        <v>1</v>
      </c>
      <c r="J1495">
        <v>1</v>
      </c>
      <c r="K1495">
        <v>0</v>
      </c>
      <c r="L1495">
        <f t="shared" si="92"/>
        <v>15</v>
      </c>
      <c r="M1495">
        <f t="shared" si="93"/>
        <v>180</v>
      </c>
      <c r="N1495">
        <f t="shared" si="94"/>
        <v>39</v>
      </c>
      <c r="O1495">
        <f t="shared" si="95"/>
        <v>2020.25</v>
      </c>
    </row>
    <row r="1496" spans="1:15" x14ac:dyDescent="0.2">
      <c r="A1496" t="s">
        <v>19</v>
      </c>
      <c r="B1496">
        <v>9</v>
      </c>
      <c r="C1496">
        <v>50</v>
      </c>
      <c r="D1496">
        <v>150</v>
      </c>
      <c r="E1496">
        <v>2</v>
      </c>
      <c r="F1496">
        <v>48</v>
      </c>
      <c r="G1496">
        <v>1058201</v>
      </c>
      <c r="H1496">
        <v>0</v>
      </c>
      <c r="I1496">
        <v>1</v>
      </c>
      <c r="J1496">
        <v>1</v>
      </c>
      <c r="K1496">
        <v>0</v>
      </c>
      <c r="L1496">
        <f t="shared" si="92"/>
        <v>15</v>
      </c>
      <c r="M1496">
        <f t="shared" si="93"/>
        <v>180</v>
      </c>
      <c r="N1496">
        <f t="shared" si="94"/>
        <v>30</v>
      </c>
      <c r="O1496">
        <f t="shared" si="95"/>
        <v>2019.5</v>
      </c>
    </row>
    <row r="1497" spans="1:15" x14ac:dyDescent="0.2">
      <c r="A1497" t="s">
        <v>19</v>
      </c>
      <c r="B1497">
        <v>9</v>
      </c>
      <c r="C1497">
        <v>50</v>
      </c>
      <c r="D1497">
        <v>153</v>
      </c>
      <c r="E1497">
        <v>1</v>
      </c>
      <c r="F1497">
        <v>46</v>
      </c>
      <c r="G1497">
        <v>1030701</v>
      </c>
      <c r="H1497">
        <v>0</v>
      </c>
      <c r="I1497">
        <v>1</v>
      </c>
      <c r="J1497">
        <v>1</v>
      </c>
      <c r="K1497">
        <v>0</v>
      </c>
      <c r="L1497">
        <f t="shared" si="92"/>
        <v>15</v>
      </c>
      <c r="M1497">
        <f t="shared" si="93"/>
        <v>180</v>
      </c>
      <c r="N1497">
        <f t="shared" si="94"/>
        <v>27</v>
      </c>
      <c r="O1497">
        <f t="shared" si="95"/>
        <v>2019.25</v>
      </c>
    </row>
    <row r="1498" spans="1:15" x14ac:dyDescent="0.2">
      <c r="A1498" t="s">
        <v>19</v>
      </c>
      <c r="B1498">
        <v>9</v>
      </c>
      <c r="C1498">
        <v>50</v>
      </c>
      <c r="D1498">
        <v>168</v>
      </c>
      <c r="E1498">
        <v>1</v>
      </c>
      <c r="F1498">
        <v>47</v>
      </c>
      <c r="G1498">
        <v>911101</v>
      </c>
      <c r="H1498">
        <v>0</v>
      </c>
      <c r="I1498">
        <v>1</v>
      </c>
      <c r="J1498">
        <v>1</v>
      </c>
      <c r="K1498">
        <v>0</v>
      </c>
      <c r="L1498">
        <f t="shared" si="92"/>
        <v>15</v>
      </c>
      <c r="M1498">
        <f t="shared" si="93"/>
        <v>180</v>
      </c>
      <c r="N1498">
        <f t="shared" si="94"/>
        <v>12</v>
      </c>
      <c r="O1498">
        <f t="shared" si="95"/>
        <v>2018</v>
      </c>
    </row>
    <row r="1499" spans="1:15" x14ac:dyDescent="0.2">
      <c r="A1499" t="s">
        <v>19</v>
      </c>
      <c r="B1499">
        <v>9</v>
      </c>
      <c r="C1499">
        <v>50</v>
      </c>
      <c r="D1499">
        <v>174</v>
      </c>
      <c r="E1499">
        <v>1</v>
      </c>
      <c r="F1499">
        <v>50</v>
      </c>
      <c r="G1499">
        <v>898501</v>
      </c>
      <c r="H1499">
        <v>0</v>
      </c>
      <c r="I1499">
        <v>1</v>
      </c>
      <c r="J1499">
        <v>1</v>
      </c>
      <c r="K1499">
        <v>0</v>
      </c>
      <c r="L1499">
        <f t="shared" si="92"/>
        <v>15</v>
      </c>
      <c r="M1499">
        <f t="shared" si="93"/>
        <v>180</v>
      </c>
      <c r="N1499">
        <f t="shared" si="94"/>
        <v>6</v>
      </c>
      <c r="O1499">
        <f t="shared" si="95"/>
        <v>2017.5</v>
      </c>
    </row>
    <row r="1500" spans="1:15" x14ac:dyDescent="0.2">
      <c r="A1500" t="s">
        <v>19</v>
      </c>
      <c r="B1500">
        <v>9</v>
      </c>
      <c r="C1500">
        <v>51</v>
      </c>
      <c r="D1500">
        <v>1</v>
      </c>
      <c r="E1500">
        <v>4</v>
      </c>
      <c r="F1500">
        <v>49</v>
      </c>
      <c r="G1500">
        <v>75203</v>
      </c>
      <c r="H1500">
        <v>1</v>
      </c>
      <c r="I1500">
        <v>0</v>
      </c>
      <c r="J1500">
        <v>1</v>
      </c>
      <c r="K1500">
        <v>0</v>
      </c>
      <c r="L1500">
        <f t="shared" si="92"/>
        <v>14</v>
      </c>
      <c r="M1500">
        <f t="shared" si="93"/>
        <v>168</v>
      </c>
      <c r="N1500">
        <f t="shared" si="94"/>
        <v>167</v>
      </c>
      <c r="O1500">
        <f t="shared" si="95"/>
        <v>2030.9166666666667</v>
      </c>
    </row>
    <row r="1501" spans="1:15" x14ac:dyDescent="0.2">
      <c r="A1501" t="s">
        <v>19</v>
      </c>
      <c r="B1501">
        <v>9</v>
      </c>
      <c r="C1501">
        <v>51</v>
      </c>
      <c r="D1501">
        <v>1</v>
      </c>
      <c r="E1501">
        <v>12</v>
      </c>
      <c r="F1501">
        <v>44</v>
      </c>
      <c r="G1501">
        <v>2396703</v>
      </c>
      <c r="H1501">
        <v>1</v>
      </c>
      <c r="I1501">
        <v>0</v>
      </c>
      <c r="J1501">
        <v>1</v>
      </c>
      <c r="K1501">
        <v>0</v>
      </c>
      <c r="L1501">
        <f t="shared" si="92"/>
        <v>14</v>
      </c>
      <c r="M1501">
        <f t="shared" si="93"/>
        <v>168</v>
      </c>
      <c r="N1501">
        <f t="shared" si="94"/>
        <v>167</v>
      </c>
      <c r="O1501">
        <f t="shared" si="95"/>
        <v>2030.9166666666667</v>
      </c>
    </row>
    <row r="1502" spans="1:15" x14ac:dyDescent="0.2">
      <c r="A1502" t="s">
        <v>19</v>
      </c>
      <c r="B1502">
        <v>9</v>
      </c>
      <c r="C1502">
        <v>51</v>
      </c>
      <c r="D1502">
        <v>1</v>
      </c>
      <c r="E1502">
        <v>12</v>
      </c>
      <c r="F1502">
        <v>46</v>
      </c>
      <c r="G1502">
        <v>2398902</v>
      </c>
      <c r="H1502">
        <v>0</v>
      </c>
      <c r="I1502">
        <v>1</v>
      </c>
      <c r="J1502">
        <v>1</v>
      </c>
      <c r="K1502">
        <v>0</v>
      </c>
      <c r="L1502">
        <f t="shared" si="92"/>
        <v>14</v>
      </c>
      <c r="M1502">
        <f t="shared" si="93"/>
        <v>168</v>
      </c>
      <c r="N1502">
        <f t="shared" si="94"/>
        <v>167</v>
      </c>
      <c r="O1502">
        <f t="shared" si="95"/>
        <v>2030.9166666666667</v>
      </c>
    </row>
    <row r="1503" spans="1:15" x14ac:dyDescent="0.2">
      <c r="A1503" t="s">
        <v>19</v>
      </c>
      <c r="B1503">
        <v>9</v>
      </c>
      <c r="C1503">
        <v>51</v>
      </c>
      <c r="D1503">
        <v>1</v>
      </c>
      <c r="E1503">
        <v>12</v>
      </c>
      <c r="F1503">
        <v>47</v>
      </c>
      <c r="G1503">
        <v>2410703</v>
      </c>
      <c r="H1503">
        <v>0</v>
      </c>
      <c r="I1503">
        <v>1</v>
      </c>
      <c r="J1503">
        <v>1</v>
      </c>
      <c r="K1503">
        <v>0</v>
      </c>
      <c r="L1503">
        <f t="shared" si="92"/>
        <v>14</v>
      </c>
      <c r="M1503">
        <f t="shared" si="93"/>
        <v>168</v>
      </c>
      <c r="N1503">
        <f t="shared" si="94"/>
        <v>167</v>
      </c>
      <c r="O1503">
        <f t="shared" si="95"/>
        <v>2030.9166666666667</v>
      </c>
    </row>
    <row r="1504" spans="1:15" x14ac:dyDescent="0.2">
      <c r="A1504" t="s">
        <v>19</v>
      </c>
      <c r="B1504">
        <v>9</v>
      </c>
      <c r="C1504">
        <v>51</v>
      </c>
      <c r="D1504">
        <v>1</v>
      </c>
      <c r="E1504">
        <v>12</v>
      </c>
      <c r="F1504">
        <v>51</v>
      </c>
      <c r="G1504">
        <v>2411703</v>
      </c>
      <c r="H1504">
        <v>1</v>
      </c>
      <c r="I1504">
        <v>0</v>
      </c>
      <c r="J1504">
        <v>1</v>
      </c>
      <c r="K1504">
        <v>0</v>
      </c>
      <c r="L1504">
        <f t="shared" si="92"/>
        <v>14</v>
      </c>
      <c r="M1504">
        <f t="shared" si="93"/>
        <v>168</v>
      </c>
      <c r="N1504">
        <f t="shared" si="94"/>
        <v>167</v>
      </c>
      <c r="O1504">
        <f t="shared" si="95"/>
        <v>2030.9166666666667</v>
      </c>
    </row>
    <row r="1505" spans="1:15" x14ac:dyDescent="0.2">
      <c r="A1505" t="s">
        <v>19</v>
      </c>
      <c r="B1505">
        <v>9</v>
      </c>
      <c r="C1505">
        <v>51</v>
      </c>
      <c r="D1505">
        <v>4</v>
      </c>
      <c r="E1505">
        <v>12</v>
      </c>
      <c r="F1505">
        <v>44</v>
      </c>
      <c r="G1505">
        <v>2351802</v>
      </c>
      <c r="H1505">
        <v>0</v>
      </c>
      <c r="I1505">
        <v>1</v>
      </c>
      <c r="J1505">
        <v>1</v>
      </c>
      <c r="K1505">
        <v>0</v>
      </c>
      <c r="L1505">
        <f t="shared" si="92"/>
        <v>14</v>
      </c>
      <c r="M1505">
        <f t="shared" si="93"/>
        <v>168</v>
      </c>
      <c r="N1505">
        <f t="shared" si="94"/>
        <v>164</v>
      </c>
      <c r="O1505">
        <f t="shared" si="95"/>
        <v>2030.6666666666667</v>
      </c>
    </row>
    <row r="1506" spans="1:15" x14ac:dyDescent="0.2">
      <c r="A1506" t="s">
        <v>19</v>
      </c>
      <c r="B1506">
        <v>9</v>
      </c>
      <c r="C1506">
        <v>51</v>
      </c>
      <c r="D1506">
        <v>4</v>
      </c>
      <c r="E1506">
        <v>12</v>
      </c>
      <c r="F1506">
        <v>51</v>
      </c>
      <c r="G1506">
        <v>2350702</v>
      </c>
      <c r="H1506">
        <v>1</v>
      </c>
      <c r="I1506">
        <v>0</v>
      </c>
      <c r="J1506">
        <v>1</v>
      </c>
      <c r="K1506">
        <v>0</v>
      </c>
      <c r="L1506">
        <f t="shared" si="92"/>
        <v>14</v>
      </c>
      <c r="M1506">
        <f t="shared" si="93"/>
        <v>168</v>
      </c>
      <c r="N1506">
        <f t="shared" si="94"/>
        <v>164</v>
      </c>
      <c r="O1506">
        <f t="shared" si="95"/>
        <v>2030.6666666666667</v>
      </c>
    </row>
    <row r="1507" spans="1:15" x14ac:dyDescent="0.2">
      <c r="A1507" t="s">
        <v>19</v>
      </c>
      <c r="B1507">
        <v>9</v>
      </c>
      <c r="C1507">
        <v>51</v>
      </c>
      <c r="D1507">
        <v>5</v>
      </c>
      <c r="E1507">
        <v>12</v>
      </c>
      <c r="F1507">
        <v>45</v>
      </c>
      <c r="G1507">
        <v>2342602</v>
      </c>
      <c r="H1507">
        <v>0</v>
      </c>
      <c r="I1507">
        <v>1</v>
      </c>
      <c r="J1507">
        <v>1</v>
      </c>
      <c r="K1507">
        <v>0</v>
      </c>
      <c r="L1507">
        <f t="shared" si="92"/>
        <v>14</v>
      </c>
      <c r="M1507">
        <f t="shared" si="93"/>
        <v>168</v>
      </c>
      <c r="N1507">
        <f t="shared" si="94"/>
        <v>163</v>
      </c>
      <c r="O1507">
        <f t="shared" si="95"/>
        <v>2030.5833333333333</v>
      </c>
    </row>
    <row r="1508" spans="1:15" x14ac:dyDescent="0.2">
      <c r="A1508" t="s">
        <v>19</v>
      </c>
      <c r="B1508">
        <v>9</v>
      </c>
      <c r="C1508">
        <v>51</v>
      </c>
      <c r="D1508">
        <v>5</v>
      </c>
      <c r="E1508">
        <v>12</v>
      </c>
      <c r="F1508">
        <v>46</v>
      </c>
      <c r="G1508">
        <v>2344101</v>
      </c>
      <c r="H1508">
        <v>0</v>
      </c>
      <c r="I1508">
        <v>1</v>
      </c>
      <c r="J1508">
        <v>1</v>
      </c>
      <c r="K1508">
        <v>0</v>
      </c>
      <c r="L1508">
        <f t="shared" si="92"/>
        <v>14</v>
      </c>
      <c r="M1508">
        <f t="shared" si="93"/>
        <v>168</v>
      </c>
      <c r="N1508">
        <f t="shared" si="94"/>
        <v>163</v>
      </c>
      <c r="O1508">
        <f t="shared" si="95"/>
        <v>2030.5833333333333</v>
      </c>
    </row>
    <row r="1509" spans="1:15" x14ac:dyDescent="0.2">
      <c r="A1509" t="s">
        <v>19</v>
      </c>
      <c r="B1509">
        <v>9</v>
      </c>
      <c r="C1509">
        <v>51</v>
      </c>
      <c r="D1509">
        <v>7</v>
      </c>
      <c r="E1509">
        <v>1</v>
      </c>
      <c r="F1509">
        <v>49</v>
      </c>
      <c r="G1509">
        <v>2321101</v>
      </c>
      <c r="H1509">
        <v>0</v>
      </c>
      <c r="I1509">
        <v>1</v>
      </c>
      <c r="J1509">
        <v>1</v>
      </c>
      <c r="K1509">
        <v>0</v>
      </c>
      <c r="L1509">
        <f t="shared" si="92"/>
        <v>14</v>
      </c>
      <c r="M1509">
        <f t="shared" si="93"/>
        <v>168</v>
      </c>
      <c r="N1509">
        <f t="shared" si="94"/>
        <v>161</v>
      </c>
      <c r="O1509">
        <f t="shared" si="95"/>
        <v>2030.4166666666667</v>
      </c>
    </row>
    <row r="1510" spans="1:15" x14ac:dyDescent="0.2">
      <c r="A1510" t="s">
        <v>19</v>
      </c>
      <c r="B1510">
        <v>9</v>
      </c>
      <c r="C1510">
        <v>51</v>
      </c>
      <c r="D1510">
        <v>7</v>
      </c>
      <c r="E1510">
        <v>12</v>
      </c>
      <c r="F1510">
        <v>43</v>
      </c>
      <c r="G1510">
        <v>2321801</v>
      </c>
      <c r="H1510">
        <v>0</v>
      </c>
      <c r="I1510">
        <v>1</v>
      </c>
      <c r="J1510">
        <v>1</v>
      </c>
      <c r="K1510">
        <v>0</v>
      </c>
      <c r="L1510">
        <f t="shared" si="92"/>
        <v>14</v>
      </c>
      <c r="M1510">
        <f t="shared" si="93"/>
        <v>168</v>
      </c>
      <c r="N1510">
        <f t="shared" si="94"/>
        <v>161</v>
      </c>
      <c r="O1510">
        <f t="shared" si="95"/>
        <v>2030.4166666666667</v>
      </c>
    </row>
    <row r="1511" spans="1:15" x14ac:dyDescent="0.2">
      <c r="A1511" t="s">
        <v>19</v>
      </c>
      <c r="B1511">
        <v>9</v>
      </c>
      <c r="C1511">
        <v>51</v>
      </c>
      <c r="D1511">
        <v>7</v>
      </c>
      <c r="E1511">
        <v>12</v>
      </c>
      <c r="F1511">
        <v>44</v>
      </c>
      <c r="G1511">
        <v>2325403</v>
      </c>
      <c r="H1511">
        <v>1</v>
      </c>
      <c r="I1511">
        <v>0</v>
      </c>
      <c r="J1511">
        <v>1</v>
      </c>
      <c r="K1511">
        <v>0</v>
      </c>
      <c r="L1511">
        <f t="shared" si="92"/>
        <v>14</v>
      </c>
      <c r="M1511">
        <f t="shared" si="93"/>
        <v>168</v>
      </c>
      <c r="N1511">
        <f t="shared" si="94"/>
        <v>161</v>
      </c>
      <c r="O1511">
        <f t="shared" si="95"/>
        <v>2030.4166666666667</v>
      </c>
    </row>
    <row r="1512" spans="1:15" x14ac:dyDescent="0.2">
      <c r="A1512" t="s">
        <v>19</v>
      </c>
      <c r="B1512">
        <v>9</v>
      </c>
      <c r="C1512">
        <v>51</v>
      </c>
      <c r="D1512">
        <v>7</v>
      </c>
      <c r="E1512">
        <v>12</v>
      </c>
      <c r="F1512">
        <v>46</v>
      </c>
      <c r="G1512">
        <v>2317103</v>
      </c>
      <c r="H1512">
        <v>0</v>
      </c>
      <c r="I1512">
        <v>1</v>
      </c>
      <c r="J1512">
        <v>1</v>
      </c>
      <c r="K1512">
        <v>0</v>
      </c>
      <c r="L1512">
        <f t="shared" si="92"/>
        <v>14</v>
      </c>
      <c r="M1512">
        <f t="shared" si="93"/>
        <v>168</v>
      </c>
      <c r="N1512">
        <f t="shared" si="94"/>
        <v>161</v>
      </c>
      <c r="O1512">
        <f t="shared" si="95"/>
        <v>2030.4166666666667</v>
      </c>
    </row>
    <row r="1513" spans="1:15" x14ac:dyDescent="0.2">
      <c r="A1513" t="s">
        <v>19</v>
      </c>
      <c r="B1513">
        <v>9</v>
      </c>
      <c r="C1513">
        <v>51</v>
      </c>
      <c r="D1513">
        <v>7</v>
      </c>
      <c r="E1513">
        <v>12</v>
      </c>
      <c r="F1513">
        <v>50</v>
      </c>
      <c r="G1513">
        <v>2319002</v>
      </c>
      <c r="H1513">
        <v>0</v>
      </c>
      <c r="I1513">
        <v>1</v>
      </c>
      <c r="J1513">
        <v>1</v>
      </c>
      <c r="K1513">
        <v>0</v>
      </c>
      <c r="L1513">
        <f t="shared" si="92"/>
        <v>14</v>
      </c>
      <c r="M1513">
        <f t="shared" si="93"/>
        <v>168</v>
      </c>
      <c r="N1513">
        <f t="shared" si="94"/>
        <v>161</v>
      </c>
      <c r="O1513">
        <f t="shared" si="95"/>
        <v>2030.4166666666667</v>
      </c>
    </row>
    <row r="1514" spans="1:15" x14ac:dyDescent="0.2">
      <c r="A1514" t="s">
        <v>19</v>
      </c>
      <c r="B1514">
        <v>9</v>
      </c>
      <c r="C1514">
        <v>51</v>
      </c>
      <c r="D1514">
        <v>8</v>
      </c>
      <c r="E1514">
        <v>12</v>
      </c>
      <c r="F1514">
        <v>50</v>
      </c>
      <c r="G1514">
        <v>2311803</v>
      </c>
      <c r="H1514">
        <v>0</v>
      </c>
      <c r="I1514">
        <v>1</v>
      </c>
      <c r="J1514">
        <v>1</v>
      </c>
      <c r="K1514">
        <v>0</v>
      </c>
      <c r="L1514">
        <f t="shared" si="92"/>
        <v>14</v>
      </c>
      <c r="M1514">
        <f t="shared" si="93"/>
        <v>168</v>
      </c>
      <c r="N1514">
        <f t="shared" si="94"/>
        <v>160</v>
      </c>
      <c r="O1514">
        <f t="shared" si="95"/>
        <v>2030.3333333333333</v>
      </c>
    </row>
    <row r="1515" spans="1:15" x14ac:dyDescent="0.2">
      <c r="A1515" t="s">
        <v>19</v>
      </c>
      <c r="B1515">
        <v>9</v>
      </c>
      <c r="C1515">
        <v>51</v>
      </c>
      <c r="D1515">
        <v>10</v>
      </c>
      <c r="E1515">
        <v>1</v>
      </c>
      <c r="F1515">
        <v>50</v>
      </c>
      <c r="G1515">
        <v>2297901</v>
      </c>
      <c r="H1515">
        <v>0</v>
      </c>
      <c r="I1515">
        <v>1</v>
      </c>
      <c r="J1515">
        <v>1</v>
      </c>
      <c r="K1515">
        <v>0</v>
      </c>
      <c r="L1515">
        <f t="shared" si="92"/>
        <v>14</v>
      </c>
      <c r="M1515">
        <f t="shared" si="93"/>
        <v>168</v>
      </c>
      <c r="N1515">
        <f t="shared" si="94"/>
        <v>158</v>
      </c>
      <c r="O1515">
        <f t="shared" si="95"/>
        <v>2030.1666666666667</v>
      </c>
    </row>
    <row r="1516" spans="1:15" x14ac:dyDescent="0.2">
      <c r="A1516" t="s">
        <v>19</v>
      </c>
      <c r="B1516">
        <v>9</v>
      </c>
      <c r="C1516">
        <v>51</v>
      </c>
      <c r="D1516">
        <v>11</v>
      </c>
      <c r="E1516">
        <v>12</v>
      </c>
      <c r="F1516">
        <v>48</v>
      </c>
      <c r="G1516">
        <v>1130006</v>
      </c>
      <c r="H1516">
        <v>0</v>
      </c>
      <c r="I1516">
        <v>1</v>
      </c>
      <c r="J1516">
        <v>1</v>
      </c>
      <c r="K1516">
        <v>0</v>
      </c>
      <c r="L1516">
        <f t="shared" si="92"/>
        <v>14</v>
      </c>
      <c r="M1516">
        <f t="shared" si="93"/>
        <v>168</v>
      </c>
      <c r="N1516">
        <f t="shared" si="94"/>
        <v>157</v>
      </c>
      <c r="O1516">
        <f t="shared" si="95"/>
        <v>2030.0833333333333</v>
      </c>
    </row>
    <row r="1517" spans="1:15" x14ac:dyDescent="0.2">
      <c r="A1517" t="s">
        <v>19</v>
      </c>
      <c r="B1517">
        <v>9</v>
      </c>
      <c r="C1517">
        <v>51</v>
      </c>
      <c r="D1517">
        <v>14</v>
      </c>
      <c r="E1517">
        <v>12</v>
      </c>
      <c r="F1517">
        <v>46</v>
      </c>
      <c r="G1517">
        <v>2257203</v>
      </c>
      <c r="H1517">
        <v>0</v>
      </c>
      <c r="I1517">
        <v>1</v>
      </c>
      <c r="J1517">
        <v>1</v>
      </c>
      <c r="K1517">
        <v>0</v>
      </c>
      <c r="L1517">
        <f t="shared" si="92"/>
        <v>14</v>
      </c>
      <c r="M1517">
        <f t="shared" si="93"/>
        <v>168</v>
      </c>
      <c r="N1517">
        <f t="shared" si="94"/>
        <v>154</v>
      </c>
      <c r="O1517">
        <f t="shared" si="95"/>
        <v>2029.8333333333333</v>
      </c>
    </row>
    <row r="1518" spans="1:15" x14ac:dyDescent="0.2">
      <c r="A1518" t="s">
        <v>19</v>
      </c>
      <c r="B1518">
        <v>9</v>
      </c>
      <c r="C1518">
        <v>51</v>
      </c>
      <c r="D1518">
        <v>23</v>
      </c>
      <c r="E1518">
        <v>4</v>
      </c>
      <c r="F1518">
        <v>51</v>
      </c>
      <c r="G1518">
        <v>2213301</v>
      </c>
      <c r="H1518">
        <v>1</v>
      </c>
      <c r="I1518">
        <v>0</v>
      </c>
      <c r="J1518">
        <v>1</v>
      </c>
      <c r="K1518">
        <v>0</v>
      </c>
      <c r="L1518">
        <f t="shared" si="92"/>
        <v>14</v>
      </c>
      <c r="M1518">
        <f t="shared" si="93"/>
        <v>168</v>
      </c>
      <c r="N1518">
        <f t="shared" si="94"/>
        <v>145</v>
      </c>
      <c r="O1518">
        <f t="shared" si="95"/>
        <v>2029.0833333333333</v>
      </c>
    </row>
    <row r="1519" spans="1:15" x14ac:dyDescent="0.2">
      <c r="A1519" t="s">
        <v>19</v>
      </c>
      <c r="B1519">
        <v>9</v>
      </c>
      <c r="C1519">
        <v>51</v>
      </c>
      <c r="D1519">
        <v>26</v>
      </c>
      <c r="E1519">
        <v>2</v>
      </c>
      <c r="F1519">
        <v>49</v>
      </c>
      <c r="G1519">
        <v>2201201</v>
      </c>
      <c r="H1519">
        <v>0</v>
      </c>
      <c r="I1519">
        <v>1</v>
      </c>
      <c r="J1519">
        <v>1</v>
      </c>
      <c r="K1519">
        <v>0</v>
      </c>
      <c r="L1519">
        <f t="shared" si="92"/>
        <v>14</v>
      </c>
      <c r="M1519">
        <f t="shared" si="93"/>
        <v>168</v>
      </c>
      <c r="N1519">
        <f t="shared" si="94"/>
        <v>142</v>
      </c>
      <c r="O1519">
        <f t="shared" si="95"/>
        <v>2028.8333333333333</v>
      </c>
    </row>
    <row r="1520" spans="1:15" x14ac:dyDescent="0.2">
      <c r="A1520" t="s">
        <v>19</v>
      </c>
      <c r="B1520">
        <v>9</v>
      </c>
      <c r="C1520">
        <v>51</v>
      </c>
      <c r="D1520">
        <v>28</v>
      </c>
      <c r="E1520">
        <v>1</v>
      </c>
      <c r="F1520">
        <v>48</v>
      </c>
      <c r="G1520">
        <v>2190301</v>
      </c>
      <c r="H1520">
        <v>0</v>
      </c>
      <c r="I1520">
        <v>1</v>
      </c>
      <c r="J1520">
        <v>1</v>
      </c>
      <c r="K1520">
        <v>0</v>
      </c>
      <c r="L1520">
        <f t="shared" si="92"/>
        <v>14</v>
      </c>
      <c r="M1520">
        <f t="shared" si="93"/>
        <v>168</v>
      </c>
      <c r="N1520">
        <f t="shared" si="94"/>
        <v>140</v>
      </c>
      <c r="O1520">
        <f t="shared" si="95"/>
        <v>2028.6666666666667</v>
      </c>
    </row>
    <row r="1521" spans="1:15" x14ac:dyDescent="0.2">
      <c r="A1521" t="s">
        <v>19</v>
      </c>
      <c r="B1521">
        <v>9</v>
      </c>
      <c r="C1521">
        <v>51</v>
      </c>
      <c r="D1521">
        <v>30</v>
      </c>
      <c r="E1521">
        <v>2</v>
      </c>
      <c r="F1521">
        <v>48</v>
      </c>
      <c r="G1521">
        <v>775803</v>
      </c>
      <c r="H1521">
        <v>0</v>
      </c>
      <c r="I1521">
        <v>1</v>
      </c>
      <c r="J1521">
        <v>1</v>
      </c>
      <c r="K1521">
        <v>0</v>
      </c>
      <c r="L1521">
        <f t="shared" si="92"/>
        <v>14</v>
      </c>
      <c r="M1521">
        <f t="shared" si="93"/>
        <v>168</v>
      </c>
      <c r="N1521">
        <f t="shared" si="94"/>
        <v>138</v>
      </c>
      <c r="O1521">
        <f t="shared" si="95"/>
        <v>2028.5</v>
      </c>
    </row>
    <row r="1522" spans="1:15" x14ac:dyDescent="0.2">
      <c r="A1522" t="s">
        <v>19</v>
      </c>
      <c r="B1522">
        <v>9</v>
      </c>
      <c r="C1522">
        <v>51</v>
      </c>
      <c r="D1522">
        <v>32</v>
      </c>
      <c r="E1522">
        <v>1</v>
      </c>
      <c r="F1522">
        <v>48</v>
      </c>
      <c r="G1522">
        <v>2169701</v>
      </c>
      <c r="H1522">
        <v>0</v>
      </c>
      <c r="I1522">
        <v>1</v>
      </c>
      <c r="J1522">
        <v>1</v>
      </c>
      <c r="K1522">
        <v>0</v>
      </c>
      <c r="L1522">
        <f t="shared" si="92"/>
        <v>14</v>
      </c>
      <c r="M1522">
        <f t="shared" si="93"/>
        <v>168</v>
      </c>
      <c r="N1522">
        <f t="shared" si="94"/>
        <v>136</v>
      </c>
      <c r="O1522">
        <f t="shared" si="95"/>
        <v>2028.3333333333333</v>
      </c>
    </row>
    <row r="1523" spans="1:15" x14ac:dyDescent="0.2">
      <c r="A1523" t="s">
        <v>19</v>
      </c>
      <c r="B1523">
        <v>9</v>
      </c>
      <c r="C1523">
        <v>51</v>
      </c>
      <c r="D1523">
        <v>32</v>
      </c>
      <c r="E1523">
        <v>2</v>
      </c>
      <c r="F1523">
        <v>42</v>
      </c>
      <c r="G1523">
        <v>338502</v>
      </c>
      <c r="H1523">
        <v>0</v>
      </c>
      <c r="I1523">
        <v>1</v>
      </c>
      <c r="J1523">
        <v>1</v>
      </c>
      <c r="K1523">
        <v>0</v>
      </c>
      <c r="L1523">
        <f t="shared" si="92"/>
        <v>14</v>
      </c>
      <c r="M1523">
        <f t="shared" si="93"/>
        <v>168</v>
      </c>
      <c r="N1523">
        <f t="shared" si="94"/>
        <v>136</v>
      </c>
      <c r="O1523">
        <f t="shared" si="95"/>
        <v>2028.3333333333333</v>
      </c>
    </row>
    <row r="1524" spans="1:15" x14ac:dyDescent="0.2">
      <c r="A1524" t="s">
        <v>19</v>
      </c>
      <c r="B1524">
        <v>9</v>
      </c>
      <c r="C1524">
        <v>51</v>
      </c>
      <c r="D1524">
        <v>34</v>
      </c>
      <c r="E1524">
        <v>1</v>
      </c>
      <c r="F1524">
        <v>46</v>
      </c>
      <c r="G1524">
        <v>2157301</v>
      </c>
      <c r="H1524">
        <v>0</v>
      </c>
      <c r="I1524">
        <v>1</v>
      </c>
      <c r="J1524">
        <v>1</v>
      </c>
      <c r="K1524">
        <v>0</v>
      </c>
      <c r="L1524">
        <f t="shared" si="92"/>
        <v>14</v>
      </c>
      <c r="M1524">
        <f t="shared" si="93"/>
        <v>168</v>
      </c>
      <c r="N1524">
        <f t="shared" si="94"/>
        <v>134</v>
      </c>
      <c r="O1524">
        <f t="shared" si="95"/>
        <v>2028.1666666666667</v>
      </c>
    </row>
    <row r="1525" spans="1:15" x14ac:dyDescent="0.2">
      <c r="A1525" t="s">
        <v>19</v>
      </c>
      <c r="B1525">
        <v>9</v>
      </c>
      <c r="C1525">
        <v>51</v>
      </c>
      <c r="D1525">
        <v>36</v>
      </c>
      <c r="E1525">
        <v>1</v>
      </c>
      <c r="F1525">
        <v>47</v>
      </c>
      <c r="G1525">
        <v>2151701</v>
      </c>
      <c r="H1525">
        <v>0</v>
      </c>
      <c r="I1525">
        <v>1</v>
      </c>
      <c r="J1525">
        <v>1</v>
      </c>
      <c r="K1525">
        <v>0</v>
      </c>
      <c r="L1525">
        <f t="shared" si="92"/>
        <v>14</v>
      </c>
      <c r="M1525">
        <f t="shared" si="93"/>
        <v>168</v>
      </c>
      <c r="N1525">
        <f t="shared" si="94"/>
        <v>132</v>
      </c>
      <c r="O1525">
        <f t="shared" si="95"/>
        <v>2028</v>
      </c>
    </row>
    <row r="1526" spans="1:15" x14ac:dyDescent="0.2">
      <c r="A1526" t="s">
        <v>19</v>
      </c>
      <c r="B1526">
        <v>9</v>
      </c>
      <c r="C1526">
        <v>51</v>
      </c>
      <c r="D1526">
        <v>36</v>
      </c>
      <c r="E1526">
        <v>4</v>
      </c>
      <c r="F1526">
        <v>48</v>
      </c>
      <c r="G1526">
        <v>2150702</v>
      </c>
      <c r="H1526">
        <v>1</v>
      </c>
      <c r="I1526">
        <v>0</v>
      </c>
      <c r="J1526">
        <v>1</v>
      </c>
      <c r="K1526">
        <v>0</v>
      </c>
      <c r="L1526">
        <f t="shared" si="92"/>
        <v>14</v>
      </c>
      <c r="M1526">
        <f t="shared" si="93"/>
        <v>168</v>
      </c>
      <c r="N1526">
        <f t="shared" si="94"/>
        <v>132</v>
      </c>
      <c r="O1526">
        <f t="shared" si="95"/>
        <v>2028</v>
      </c>
    </row>
    <row r="1527" spans="1:15" x14ac:dyDescent="0.2">
      <c r="A1527" t="s">
        <v>19</v>
      </c>
      <c r="B1527">
        <v>9</v>
      </c>
      <c r="C1527">
        <v>51</v>
      </c>
      <c r="D1527">
        <v>46</v>
      </c>
      <c r="E1527">
        <v>12</v>
      </c>
      <c r="F1527">
        <v>50</v>
      </c>
      <c r="G1527">
        <v>2103302</v>
      </c>
      <c r="H1527">
        <v>1</v>
      </c>
      <c r="I1527">
        <v>0</v>
      </c>
      <c r="J1527">
        <v>1</v>
      </c>
      <c r="K1527">
        <v>0</v>
      </c>
      <c r="L1527">
        <f t="shared" si="92"/>
        <v>14</v>
      </c>
      <c r="M1527">
        <f t="shared" si="93"/>
        <v>168</v>
      </c>
      <c r="N1527">
        <f t="shared" si="94"/>
        <v>122</v>
      </c>
      <c r="O1527">
        <f t="shared" si="95"/>
        <v>2027.1666666666667</v>
      </c>
    </row>
    <row r="1528" spans="1:15" x14ac:dyDescent="0.2">
      <c r="A1528" t="s">
        <v>19</v>
      </c>
      <c r="B1528">
        <v>9</v>
      </c>
      <c r="C1528">
        <v>51</v>
      </c>
      <c r="D1528">
        <v>47</v>
      </c>
      <c r="E1528">
        <v>1</v>
      </c>
      <c r="F1528">
        <v>41</v>
      </c>
      <c r="G1528">
        <v>2096301</v>
      </c>
      <c r="H1528">
        <v>1</v>
      </c>
      <c r="I1528">
        <v>0</v>
      </c>
      <c r="J1528">
        <v>1</v>
      </c>
      <c r="K1528">
        <v>0</v>
      </c>
      <c r="L1528">
        <f t="shared" si="92"/>
        <v>14</v>
      </c>
      <c r="M1528">
        <f t="shared" si="93"/>
        <v>168</v>
      </c>
      <c r="N1528">
        <f t="shared" si="94"/>
        <v>121</v>
      </c>
      <c r="O1528">
        <f t="shared" si="95"/>
        <v>2027.0833333333333</v>
      </c>
    </row>
    <row r="1529" spans="1:15" x14ac:dyDescent="0.2">
      <c r="A1529" t="s">
        <v>19</v>
      </c>
      <c r="B1529">
        <v>9</v>
      </c>
      <c r="C1529">
        <v>51</v>
      </c>
      <c r="D1529">
        <v>49</v>
      </c>
      <c r="E1529">
        <v>1</v>
      </c>
      <c r="F1529">
        <v>50</v>
      </c>
      <c r="G1529">
        <v>2085601</v>
      </c>
      <c r="H1529">
        <v>0</v>
      </c>
      <c r="I1529">
        <v>1</v>
      </c>
      <c r="J1529">
        <v>1</v>
      </c>
      <c r="K1529">
        <v>0</v>
      </c>
      <c r="L1529">
        <f t="shared" si="92"/>
        <v>14</v>
      </c>
      <c r="M1529">
        <f t="shared" si="93"/>
        <v>168</v>
      </c>
      <c r="N1529">
        <f t="shared" si="94"/>
        <v>119</v>
      </c>
      <c r="O1529">
        <f t="shared" si="95"/>
        <v>2026.9166666666667</v>
      </c>
    </row>
    <row r="1530" spans="1:15" x14ac:dyDescent="0.2">
      <c r="A1530" t="s">
        <v>19</v>
      </c>
      <c r="B1530">
        <v>9</v>
      </c>
      <c r="C1530">
        <v>51</v>
      </c>
      <c r="D1530">
        <v>50</v>
      </c>
      <c r="E1530">
        <v>1</v>
      </c>
      <c r="F1530">
        <v>46</v>
      </c>
      <c r="G1530">
        <v>2082101</v>
      </c>
      <c r="H1530">
        <v>0</v>
      </c>
      <c r="I1530">
        <v>1</v>
      </c>
      <c r="J1530">
        <v>1</v>
      </c>
      <c r="K1530">
        <v>0</v>
      </c>
      <c r="L1530">
        <f t="shared" si="92"/>
        <v>14</v>
      </c>
      <c r="M1530">
        <f t="shared" si="93"/>
        <v>168</v>
      </c>
      <c r="N1530">
        <f t="shared" si="94"/>
        <v>118</v>
      </c>
      <c r="O1530">
        <f t="shared" si="95"/>
        <v>2026.8333333333333</v>
      </c>
    </row>
    <row r="1531" spans="1:15" x14ac:dyDescent="0.2">
      <c r="A1531" t="s">
        <v>19</v>
      </c>
      <c r="B1531">
        <v>9</v>
      </c>
      <c r="C1531">
        <v>51</v>
      </c>
      <c r="D1531">
        <v>51</v>
      </c>
      <c r="E1531">
        <v>2</v>
      </c>
      <c r="F1531">
        <v>48</v>
      </c>
      <c r="G1531">
        <v>1711702</v>
      </c>
      <c r="H1531">
        <v>0</v>
      </c>
      <c r="I1531">
        <v>1</v>
      </c>
      <c r="J1531">
        <v>1</v>
      </c>
      <c r="K1531">
        <v>0</v>
      </c>
      <c r="L1531">
        <f t="shared" si="92"/>
        <v>14</v>
      </c>
      <c r="M1531">
        <f t="shared" si="93"/>
        <v>168</v>
      </c>
      <c r="N1531">
        <f t="shared" si="94"/>
        <v>117</v>
      </c>
      <c r="O1531">
        <f t="shared" si="95"/>
        <v>2026.75</v>
      </c>
    </row>
    <row r="1532" spans="1:15" x14ac:dyDescent="0.2">
      <c r="A1532" t="s">
        <v>19</v>
      </c>
      <c r="B1532">
        <v>9</v>
      </c>
      <c r="C1532">
        <v>51</v>
      </c>
      <c r="D1532">
        <v>54</v>
      </c>
      <c r="E1532">
        <v>1</v>
      </c>
      <c r="F1532">
        <v>47</v>
      </c>
      <c r="G1532">
        <v>2062201</v>
      </c>
      <c r="H1532">
        <v>0</v>
      </c>
      <c r="I1532">
        <v>1</v>
      </c>
      <c r="J1532">
        <v>1</v>
      </c>
      <c r="K1532">
        <v>0</v>
      </c>
      <c r="L1532">
        <f t="shared" si="92"/>
        <v>14</v>
      </c>
      <c r="M1532">
        <f t="shared" si="93"/>
        <v>168</v>
      </c>
      <c r="N1532">
        <f t="shared" si="94"/>
        <v>114</v>
      </c>
      <c r="O1532">
        <f t="shared" si="95"/>
        <v>2026.5</v>
      </c>
    </row>
    <row r="1533" spans="1:15" x14ac:dyDescent="0.2">
      <c r="A1533" t="s">
        <v>19</v>
      </c>
      <c r="B1533">
        <v>9</v>
      </c>
      <c r="C1533">
        <v>51</v>
      </c>
      <c r="D1533">
        <v>54</v>
      </c>
      <c r="E1533">
        <v>12</v>
      </c>
      <c r="F1533">
        <v>46</v>
      </c>
      <c r="G1533">
        <v>2059001</v>
      </c>
      <c r="H1533">
        <v>0</v>
      </c>
      <c r="I1533">
        <v>1</v>
      </c>
      <c r="J1533">
        <v>1</v>
      </c>
      <c r="K1533">
        <v>0</v>
      </c>
      <c r="L1533">
        <f t="shared" si="92"/>
        <v>14</v>
      </c>
      <c r="M1533">
        <f t="shared" si="93"/>
        <v>168</v>
      </c>
      <c r="N1533">
        <f t="shared" si="94"/>
        <v>114</v>
      </c>
      <c r="O1533">
        <f t="shared" si="95"/>
        <v>2026.5</v>
      </c>
    </row>
    <row r="1534" spans="1:15" x14ac:dyDescent="0.2">
      <c r="A1534" t="s">
        <v>19</v>
      </c>
      <c r="B1534">
        <v>9</v>
      </c>
      <c r="C1534">
        <v>51</v>
      </c>
      <c r="D1534">
        <v>55</v>
      </c>
      <c r="E1534">
        <v>1</v>
      </c>
      <c r="F1534">
        <v>49</v>
      </c>
      <c r="G1534">
        <v>2054001</v>
      </c>
      <c r="H1534">
        <v>0</v>
      </c>
      <c r="I1534">
        <v>1</v>
      </c>
      <c r="J1534">
        <v>1</v>
      </c>
      <c r="K1534">
        <v>0</v>
      </c>
      <c r="L1534">
        <f t="shared" si="92"/>
        <v>14</v>
      </c>
      <c r="M1534">
        <f t="shared" si="93"/>
        <v>168</v>
      </c>
      <c r="N1534">
        <f t="shared" si="94"/>
        <v>113</v>
      </c>
      <c r="O1534">
        <f t="shared" si="95"/>
        <v>2026.4166666666667</v>
      </c>
    </row>
    <row r="1535" spans="1:15" x14ac:dyDescent="0.2">
      <c r="A1535" t="s">
        <v>19</v>
      </c>
      <c r="B1535">
        <v>9</v>
      </c>
      <c r="C1535">
        <v>51</v>
      </c>
      <c r="D1535">
        <v>56</v>
      </c>
      <c r="E1535">
        <v>2</v>
      </c>
      <c r="F1535">
        <v>50</v>
      </c>
      <c r="G1535">
        <v>2049001</v>
      </c>
      <c r="H1535">
        <v>0</v>
      </c>
      <c r="I1535">
        <v>1</v>
      </c>
      <c r="J1535">
        <v>1</v>
      </c>
      <c r="K1535">
        <v>0</v>
      </c>
      <c r="L1535">
        <f t="shared" si="92"/>
        <v>14</v>
      </c>
      <c r="M1535">
        <f t="shared" si="93"/>
        <v>168</v>
      </c>
      <c r="N1535">
        <f t="shared" si="94"/>
        <v>112</v>
      </c>
      <c r="O1535">
        <f t="shared" si="95"/>
        <v>2026.3333333333333</v>
      </c>
    </row>
    <row r="1536" spans="1:15" x14ac:dyDescent="0.2">
      <c r="A1536" t="s">
        <v>19</v>
      </c>
      <c r="B1536">
        <v>9</v>
      </c>
      <c r="C1536">
        <v>51</v>
      </c>
      <c r="D1536">
        <v>58</v>
      </c>
      <c r="E1536">
        <v>1</v>
      </c>
      <c r="F1536">
        <v>45</v>
      </c>
      <c r="G1536">
        <v>2039501</v>
      </c>
      <c r="H1536">
        <v>0</v>
      </c>
      <c r="I1536">
        <v>1</v>
      </c>
      <c r="J1536">
        <v>1</v>
      </c>
      <c r="K1536">
        <v>0</v>
      </c>
      <c r="L1536">
        <f t="shared" si="92"/>
        <v>14</v>
      </c>
      <c r="M1536">
        <f t="shared" si="93"/>
        <v>168</v>
      </c>
      <c r="N1536">
        <f t="shared" si="94"/>
        <v>110</v>
      </c>
      <c r="O1536">
        <f t="shared" si="95"/>
        <v>2026.1666666666667</v>
      </c>
    </row>
    <row r="1537" spans="1:15" x14ac:dyDescent="0.2">
      <c r="A1537" t="s">
        <v>19</v>
      </c>
      <c r="B1537">
        <v>9</v>
      </c>
      <c r="C1537">
        <v>51</v>
      </c>
      <c r="D1537">
        <v>69</v>
      </c>
      <c r="E1537">
        <v>1</v>
      </c>
      <c r="F1537">
        <v>48</v>
      </c>
      <c r="G1537">
        <v>2001401</v>
      </c>
      <c r="H1537">
        <v>0</v>
      </c>
      <c r="I1537">
        <v>1</v>
      </c>
      <c r="J1537">
        <v>1</v>
      </c>
      <c r="K1537">
        <v>0</v>
      </c>
      <c r="L1537">
        <f t="shared" si="92"/>
        <v>14</v>
      </c>
      <c r="M1537">
        <f t="shared" si="93"/>
        <v>168</v>
      </c>
      <c r="N1537">
        <f t="shared" si="94"/>
        <v>99</v>
      </c>
      <c r="O1537">
        <f t="shared" si="95"/>
        <v>2025.25</v>
      </c>
    </row>
    <row r="1538" spans="1:15" x14ac:dyDescent="0.2">
      <c r="A1538" t="s">
        <v>19</v>
      </c>
      <c r="B1538">
        <v>9</v>
      </c>
      <c r="C1538">
        <v>51</v>
      </c>
      <c r="D1538">
        <v>76</v>
      </c>
      <c r="E1538">
        <v>1</v>
      </c>
      <c r="F1538">
        <v>49</v>
      </c>
      <c r="G1538">
        <v>1978901</v>
      </c>
      <c r="H1538">
        <v>0</v>
      </c>
      <c r="I1538">
        <v>1</v>
      </c>
      <c r="J1538">
        <v>1</v>
      </c>
      <c r="K1538">
        <v>0</v>
      </c>
      <c r="L1538">
        <f t="shared" si="92"/>
        <v>14</v>
      </c>
      <c r="M1538">
        <f t="shared" si="93"/>
        <v>168</v>
      </c>
      <c r="N1538">
        <f t="shared" si="94"/>
        <v>92</v>
      </c>
      <c r="O1538">
        <f t="shared" si="95"/>
        <v>2024.6666666666667</v>
      </c>
    </row>
    <row r="1539" spans="1:15" x14ac:dyDescent="0.2">
      <c r="A1539" t="s">
        <v>19</v>
      </c>
      <c r="B1539">
        <v>9</v>
      </c>
      <c r="C1539">
        <v>51</v>
      </c>
      <c r="D1539">
        <v>86</v>
      </c>
      <c r="E1539">
        <v>1</v>
      </c>
      <c r="F1539">
        <v>50</v>
      </c>
      <c r="G1539">
        <v>1941801</v>
      </c>
      <c r="H1539">
        <v>1</v>
      </c>
      <c r="I1539">
        <v>0</v>
      </c>
      <c r="J1539">
        <v>1</v>
      </c>
      <c r="K1539">
        <v>0</v>
      </c>
      <c r="L1539">
        <f t="shared" si="92"/>
        <v>14</v>
      </c>
      <c r="M1539">
        <f t="shared" si="93"/>
        <v>168</v>
      </c>
      <c r="N1539">
        <f t="shared" si="94"/>
        <v>82</v>
      </c>
      <c r="O1539">
        <f t="shared" si="95"/>
        <v>2023.8333333333333</v>
      </c>
    </row>
    <row r="1540" spans="1:15" x14ac:dyDescent="0.2">
      <c r="A1540" t="s">
        <v>19</v>
      </c>
      <c r="B1540">
        <v>9</v>
      </c>
      <c r="C1540">
        <v>51</v>
      </c>
      <c r="D1540">
        <v>89</v>
      </c>
      <c r="E1540">
        <v>1</v>
      </c>
      <c r="F1540">
        <v>46</v>
      </c>
      <c r="G1540">
        <v>1932501</v>
      </c>
      <c r="H1540">
        <v>0</v>
      </c>
      <c r="I1540">
        <v>1</v>
      </c>
      <c r="J1540">
        <v>1</v>
      </c>
      <c r="K1540">
        <v>0</v>
      </c>
      <c r="L1540">
        <f t="shared" si="92"/>
        <v>14</v>
      </c>
      <c r="M1540">
        <f t="shared" si="93"/>
        <v>168</v>
      </c>
      <c r="N1540">
        <f t="shared" si="94"/>
        <v>79</v>
      </c>
      <c r="O1540">
        <f t="shared" si="95"/>
        <v>2023.5833333333333</v>
      </c>
    </row>
    <row r="1541" spans="1:15" x14ac:dyDescent="0.2">
      <c r="A1541" t="s">
        <v>19</v>
      </c>
      <c r="B1541">
        <v>9</v>
      </c>
      <c r="C1541">
        <v>51</v>
      </c>
      <c r="D1541">
        <v>91</v>
      </c>
      <c r="E1541">
        <v>2</v>
      </c>
      <c r="F1541">
        <v>49</v>
      </c>
      <c r="G1541">
        <v>1914801</v>
      </c>
      <c r="H1541">
        <v>0</v>
      </c>
      <c r="I1541">
        <v>1</v>
      </c>
      <c r="J1541">
        <v>1</v>
      </c>
      <c r="K1541">
        <v>0</v>
      </c>
      <c r="L1541">
        <f t="shared" si="92"/>
        <v>14</v>
      </c>
      <c r="M1541">
        <f t="shared" si="93"/>
        <v>168</v>
      </c>
      <c r="N1541">
        <f t="shared" si="94"/>
        <v>77</v>
      </c>
      <c r="O1541">
        <f t="shared" si="95"/>
        <v>2023.4166666666667</v>
      </c>
    </row>
    <row r="1542" spans="1:15" x14ac:dyDescent="0.2">
      <c r="A1542" t="s">
        <v>19</v>
      </c>
      <c r="B1542">
        <v>9</v>
      </c>
      <c r="C1542">
        <v>51</v>
      </c>
      <c r="D1542">
        <v>91</v>
      </c>
      <c r="E1542">
        <v>2</v>
      </c>
      <c r="F1542">
        <v>50</v>
      </c>
      <c r="G1542">
        <v>1917301</v>
      </c>
      <c r="H1542">
        <v>1</v>
      </c>
      <c r="I1542">
        <v>0</v>
      </c>
      <c r="J1542">
        <v>1</v>
      </c>
      <c r="K1542">
        <v>0</v>
      </c>
      <c r="L1542">
        <f t="shared" si="92"/>
        <v>14</v>
      </c>
      <c r="M1542">
        <f t="shared" si="93"/>
        <v>168</v>
      </c>
      <c r="N1542">
        <f t="shared" si="94"/>
        <v>77</v>
      </c>
      <c r="O1542">
        <f t="shared" si="95"/>
        <v>2023.4166666666667</v>
      </c>
    </row>
    <row r="1543" spans="1:15" x14ac:dyDescent="0.2">
      <c r="A1543" t="s">
        <v>19</v>
      </c>
      <c r="B1543">
        <v>9</v>
      </c>
      <c r="C1543">
        <v>51</v>
      </c>
      <c r="D1543">
        <v>105</v>
      </c>
      <c r="E1543">
        <v>1</v>
      </c>
      <c r="F1543">
        <v>51</v>
      </c>
      <c r="G1543">
        <v>1790701</v>
      </c>
      <c r="H1543">
        <v>0</v>
      </c>
      <c r="I1543">
        <v>1</v>
      </c>
      <c r="J1543">
        <v>1</v>
      </c>
      <c r="K1543">
        <v>0</v>
      </c>
      <c r="L1543">
        <f t="shared" ref="L1543:L1606" si="96">65-C1543</f>
        <v>14</v>
      </c>
      <c r="M1543">
        <f t="shared" ref="M1543:M1606" si="97">L1543*12</f>
        <v>168</v>
      </c>
      <c r="N1543">
        <f t="shared" ref="N1543:N1606" si="98">M1543-D1543</f>
        <v>63</v>
      </c>
      <c r="O1543">
        <f t="shared" ref="O1543:O1606" si="99">2017+N1543/12</f>
        <v>2022.25</v>
      </c>
    </row>
    <row r="1544" spans="1:15" x14ac:dyDescent="0.2">
      <c r="A1544" t="s">
        <v>19</v>
      </c>
      <c r="B1544">
        <v>9</v>
      </c>
      <c r="C1544">
        <v>51</v>
      </c>
      <c r="D1544">
        <v>131</v>
      </c>
      <c r="E1544">
        <v>1</v>
      </c>
      <c r="F1544">
        <v>49</v>
      </c>
      <c r="G1544">
        <v>1150001</v>
      </c>
      <c r="H1544">
        <v>0</v>
      </c>
      <c r="I1544">
        <v>1</v>
      </c>
      <c r="J1544">
        <v>1</v>
      </c>
      <c r="K1544">
        <v>0</v>
      </c>
      <c r="L1544">
        <f t="shared" si="96"/>
        <v>14</v>
      </c>
      <c r="M1544">
        <f t="shared" si="97"/>
        <v>168</v>
      </c>
      <c r="N1544">
        <f t="shared" si="98"/>
        <v>37</v>
      </c>
      <c r="O1544">
        <f t="shared" si="99"/>
        <v>2020.0833333333333</v>
      </c>
    </row>
    <row r="1545" spans="1:15" x14ac:dyDescent="0.2">
      <c r="A1545" t="s">
        <v>19</v>
      </c>
      <c r="B1545">
        <v>9</v>
      </c>
      <c r="C1545">
        <v>51</v>
      </c>
      <c r="D1545">
        <v>133</v>
      </c>
      <c r="E1545">
        <v>1</v>
      </c>
      <c r="F1545">
        <v>45</v>
      </c>
      <c r="G1545">
        <v>1145601</v>
      </c>
      <c r="H1545">
        <v>0</v>
      </c>
      <c r="I1545">
        <v>1</v>
      </c>
      <c r="J1545">
        <v>1</v>
      </c>
      <c r="K1545">
        <v>0</v>
      </c>
      <c r="L1545">
        <f t="shared" si="96"/>
        <v>14</v>
      </c>
      <c r="M1545">
        <f t="shared" si="97"/>
        <v>168</v>
      </c>
      <c r="N1545">
        <f t="shared" si="98"/>
        <v>35</v>
      </c>
      <c r="O1545">
        <f t="shared" si="99"/>
        <v>2019.9166666666667</v>
      </c>
    </row>
    <row r="1546" spans="1:15" x14ac:dyDescent="0.2">
      <c r="A1546" t="s">
        <v>19</v>
      </c>
      <c r="B1546">
        <v>9</v>
      </c>
      <c r="C1546">
        <v>51</v>
      </c>
      <c r="D1546">
        <v>139</v>
      </c>
      <c r="E1546">
        <v>1</v>
      </c>
      <c r="F1546">
        <v>48</v>
      </c>
      <c r="G1546">
        <v>1133901</v>
      </c>
      <c r="H1546">
        <v>0</v>
      </c>
      <c r="I1546">
        <v>1</v>
      </c>
      <c r="J1546">
        <v>1</v>
      </c>
      <c r="K1546">
        <v>0</v>
      </c>
      <c r="L1546">
        <f t="shared" si="96"/>
        <v>14</v>
      </c>
      <c r="M1546">
        <f t="shared" si="97"/>
        <v>168</v>
      </c>
      <c r="N1546">
        <f t="shared" si="98"/>
        <v>29</v>
      </c>
      <c r="O1546">
        <f t="shared" si="99"/>
        <v>2019.4166666666667</v>
      </c>
    </row>
    <row r="1547" spans="1:15" x14ac:dyDescent="0.2">
      <c r="A1547" t="s">
        <v>19</v>
      </c>
      <c r="B1547">
        <v>9</v>
      </c>
      <c r="C1547">
        <v>52</v>
      </c>
      <c r="D1547">
        <v>1</v>
      </c>
      <c r="E1547">
        <v>12</v>
      </c>
      <c r="F1547">
        <v>51</v>
      </c>
      <c r="G1547">
        <v>2390802</v>
      </c>
      <c r="H1547">
        <v>0</v>
      </c>
      <c r="I1547">
        <v>1</v>
      </c>
      <c r="J1547">
        <v>1</v>
      </c>
      <c r="K1547">
        <v>0</v>
      </c>
      <c r="L1547">
        <f t="shared" si="96"/>
        <v>13</v>
      </c>
      <c r="M1547">
        <f t="shared" si="97"/>
        <v>156</v>
      </c>
      <c r="N1547">
        <f t="shared" si="98"/>
        <v>155</v>
      </c>
      <c r="O1547">
        <f t="shared" si="99"/>
        <v>2029.9166666666667</v>
      </c>
    </row>
    <row r="1548" spans="1:15" x14ac:dyDescent="0.2">
      <c r="A1548" t="s">
        <v>19</v>
      </c>
      <c r="B1548">
        <v>9</v>
      </c>
      <c r="C1548">
        <v>52</v>
      </c>
      <c r="D1548">
        <v>1</v>
      </c>
      <c r="E1548">
        <v>12</v>
      </c>
      <c r="F1548">
        <v>52</v>
      </c>
      <c r="G1548">
        <v>2393902</v>
      </c>
      <c r="H1548">
        <v>1</v>
      </c>
      <c r="I1548">
        <v>0</v>
      </c>
      <c r="J1548">
        <v>1</v>
      </c>
      <c r="K1548">
        <v>0</v>
      </c>
      <c r="L1548">
        <f t="shared" si="96"/>
        <v>13</v>
      </c>
      <c r="M1548">
        <f t="shared" si="97"/>
        <v>156</v>
      </c>
      <c r="N1548">
        <f t="shared" si="98"/>
        <v>155</v>
      </c>
      <c r="O1548">
        <f t="shared" si="99"/>
        <v>2029.9166666666667</v>
      </c>
    </row>
    <row r="1549" spans="1:15" x14ac:dyDescent="0.2">
      <c r="A1549" t="s">
        <v>19</v>
      </c>
      <c r="B1549">
        <v>9</v>
      </c>
      <c r="C1549">
        <v>52</v>
      </c>
      <c r="D1549">
        <v>2</v>
      </c>
      <c r="E1549">
        <v>12</v>
      </c>
      <c r="F1549">
        <v>50</v>
      </c>
      <c r="G1549">
        <v>2373103</v>
      </c>
      <c r="H1549">
        <v>0</v>
      </c>
      <c r="I1549">
        <v>1</v>
      </c>
      <c r="J1549">
        <v>1</v>
      </c>
      <c r="K1549">
        <v>0</v>
      </c>
      <c r="L1549">
        <f t="shared" si="96"/>
        <v>13</v>
      </c>
      <c r="M1549">
        <f t="shared" si="97"/>
        <v>156</v>
      </c>
      <c r="N1549">
        <f t="shared" si="98"/>
        <v>154</v>
      </c>
      <c r="O1549">
        <f t="shared" si="99"/>
        <v>2029.8333333333333</v>
      </c>
    </row>
    <row r="1550" spans="1:15" x14ac:dyDescent="0.2">
      <c r="A1550" t="s">
        <v>19</v>
      </c>
      <c r="B1550">
        <v>9</v>
      </c>
      <c r="C1550">
        <v>52</v>
      </c>
      <c r="D1550">
        <v>6</v>
      </c>
      <c r="E1550">
        <v>12</v>
      </c>
      <c r="F1550">
        <v>50</v>
      </c>
      <c r="G1550">
        <v>2335803</v>
      </c>
      <c r="H1550">
        <v>0</v>
      </c>
      <c r="I1550">
        <v>1</v>
      </c>
      <c r="J1550">
        <v>1</v>
      </c>
      <c r="K1550">
        <v>0</v>
      </c>
      <c r="L1550">
        <f t="shared" si="96"/>
        <v>13</v>
      </c>
      <c r="M1550">
        <f t="shared" si="97"/>
        <v>156</v>
      </c>
      <c r="N1550">
        <f t="shared" si="98"/>
        <v>150</v>
      </c>
      <c r="O1550">
        <f t="shared" si="99"/>
        <v>2029.5</v>
      </c>
    </row>
    <row r="1551" spans="1:15" x14ac:dyDescent="0.2">
      <c r="A1551" t="s">
        <v>19</v>
      </c>
      <c r="B1551">
        <v>9</v>
      </c>
      <c r="C1551">
        <v>52</v>
      </c>
      <c r="D1551">
        <v>8</v>
      </c>
      <c r="E1551">
        <v>4</v>
      </c>
      <c r="F1551">
        <v>50</v>
      </c>
      <c r="G1551">
        <v>2313501</v>
      </c>
      <c r="H1551">
        <v>1</v>
      </c>
      <c r="I1551">
        <v>1</v>
      </c>
      <c r="J1551">
        <v>1</v>
      </c>
      <c r="K1551">
        <v>0</v>
      </c>
      <c r="L1551">
        <f t="shared" si="96"/>
        <v>13</v>
      </c>
      <c r="M1551">
        <f t="shared" si="97"/>
        <v>156</v>
      </c>
      <c r="N1551">
        <f t="shared" si="98"/>
        <v>148</v>
      </c>
      <c r="O1551">
        <f t="shared" si="99"/>
        <v>2029.3333333333333</v>
      </c>
    </row>
    <row r="1552" spans="1:15" x14ac:dyDescent="0.2">
      <c r="A1552" t="s">
        <v>19</v>
      </c>
      <c r="B1552">
        <v>9</v>
      </c>
      <c r="C1552">
        <v>52</v>
      </c>
      <c r="D1552">
        <v>8</v>
      </c>
      <c r="E1552">
        <v>12</v>
      </c>
      <c r="F1552">
        <v>49</v>
      </c>
      <c r="G1552">
        <v>2310602</v>
      </c>
      <c r="H1552">
        <v>0</v>
      </c>
      <c r="I1552">
        <v>1</v>
      </c>
      <c r="J1552">
        <v>1</v>
      </c>
      <c r="K1552">
        <v>0</v>
      </c>
      <c r="L1552">
        <f t="shared" si="96"/>
        <v>13</v>
      </c>
      <c r="M1552">
        <f t="shared" si="97"/>
        <v>156</v>
      </c>
      <c r="N1552">
        <f t="shared" si="98"/>
        <v>148</v>
      </c>
      <c r="O1552">
        <f t="shared" si="99"/>
        <v>2029.3333333333333</v>
      </c>
    </row>
    <row r="1553" spans="1:15" x14ac:dyDescent="0.2">
      <c r="A1553" t="s">
        <v>19</v>
      </c>
      <c r="B1553">
        <v>9</v>
      </c>
      <c r="C1553">
        <v>52</v>
      </c>
      <c r="D1553">
        <v>9</v>
      </c>
      <c r="E1553">
        <v>12</v>
      </c>
      <c r="F1553">
        <v>50</v>
      </c>
      <c r="G1553">
        <v>2301702</v>
      </c>
      <c r="H1553">
        <v>0</v>
      </c>
      <c r="I1553">
        <v>1</v>
      </c>
      <c r="J1553">
        <v>1</v>
      </c>
      <c r="K1553">
        <v>0</v>
      </c>
      <c r="L1553">
        <f t="shared" si="96"/>
        <v>13</v>
      </c>
      <c r="M1553">
        <f t="shared" si="97"/>
        <v>156</v>
      </c>
      <c r="N1553">
        <f t="shared" si="98"/>
        <v>147</v>
      </c>
      <c r="O1553">
        <f t="shared" si="99"/>
        <v>2029.25</v>
      </c>
    </row>
    <row r="1554" spans="1:15" x14ac:dyDescent="0.2">
      <c r="A1554" t="s">
        <v>19</v>
      </c>
      <c r="B1554">
        <v>9</v>
      </c>
      <c r="C1554">
        <v>52</v>
      </c>
      <c r="D1554">
        <v>10</v>
      </c>
      <c r="E1554">
        <v>1</v>
      </c>
      <c r="F1554">
        <v>48</v>
      </c>
      <c r="G1554">
        <v>2298701</v>
      </c>
      <c r="H1554">
        <v>0</v>
      </c>
      <c r="I1554">
        <v>1</v>
      </c>
      <c r="J1554">
        <v>1</v>
      </c>
      <c r="K1554">
        <v>0</v>
      </c>
      <c r="L1554">
        <f t="shared" si="96"/>
        <v>13</v>
      </c>
      <c r="M1554">
        <f t="shared" si="97"/>
        <v>156</v>
      </c>
      <c r="N1554">
        <f t="shared" si="98"/>
        <v>146</v>
      </c>
      <c r="O1554">
        <f t="shared" si="99"/>
        <v>2029.1666666666667</v>
      </c>
    </row>
    <row r="1555" spans="1:15" x14ac:dyDescent="0.2">
      <c r="A1555" t="s">
        <v>19</v>
      </c>
      <c r="B1555">
        <v>9</v>
      </c>
      <c r="C1555">
        <v>52</v>
      </c>
      <c r="D1555">
        <v>10</v>
      </c>
      <c r="E1555">
        <v>4</v>
      </c>
      <c r="F1555">
        <v>49</v>
      </c>
      <c r="G1555">
        <v>2293801</v>
      </c>
      <c r="H1555">
        <v>0</v>
      </c>
      <c r="I1555">
        <v>1</v>
      </c>
      <c r="J1555">
        <v>1</v>
      </c>
      <c r="K1555">
        <v>0</v>
      </c>
      <c r="L1555">
        <f t="shared" si="96"/>
        <v>13</v>
      </c>
      <c r="M1555">
        <f t="shared" si="97"/>
        <v>156</v>
      </c>
      <c r="N1555">
        <f t="shared" si="98"/>
        <v>146</v>
      </c>
      <c r="O1555">
        <f t="shared" si="99"/>
        <v>2029.1666666666667</v>
      </c>
    </row>
    <row r="1556" spans="1:15" x14ac:dyDescent="0.2">
      <c r="A1556" t="s">
        <v>19</v>
      </c>
      <c r="B1556">
        <v>9</v>
      </c>
      <c r="C1556">
        <v>52</v>
      </c>
      <c r="D1556">
        <v>10</v>
      </c>
      <c r="E1556">
        <v>12</v>
      </c>
      <c r="F1556">
        <v>49</v>
      </c>
      <c r="G1556">
        <v>417607</v>
      </c>
      <c r="H1556">
        <v>0</v>
      </c>
      <c r="I1556">
        <v>1</v>
      </c>
      <c r="J1556">
        <v>1</v>
      </c>
      <c r="K1556">
        <v>0</v>
      </c>
      <c r="L1556">
        <f t="shared" si="96"/>
        <v>13</v>
      </c>
      <c r="M1556">
        <f t="shared" si="97"/>
        <v>156</v>
      </c>
      <c r="N1556">
        <f t="shared" si="98"/>
        <v>146</v>
      </c>
      <c r="O1556">
        <f t="shared" si="99"/>
        <v>2029.1666666666667</v>
      </c>
    </row>
    <row r="1557" spans="1:15" x14ac:dyDescent="0.2">
      <c r="A1557" t="s">
        <v>19</v>
      </c>
      <c r="B1557">
        <v>9</v>
      </c>
      <c r="C1557">
        <v>52</v>
      </c>
      <c r="D1557">
        <v>11</v>
      </c>
      <c r="E1557">
        <v>4</v>
      </c>
      <c r="F1557">
        <v>51</v>
      </c>
      <c r="G1557">
        <v>2286301</v>
      </c>
      <c r="H1557">
        <v>0</v>
      </c>
      <c r="I1557">
        <v>1</v>
      </c>
      <c r="J1557">
        <v>1</v>
      </c>
      <c r="K1557">
        <v>0</v>
      </c>
      <c r="L1557">
        <f t="shared" si="96"/>
        <v>13</v>
      </c>
      <c r="M1557">
        <f t="shared" si="97"/>
        <v>156</v>
      </c>
      <c r="N1557">
        <f t="shared" si="98"/>
        <v>145</v>
      </c>
      <c r="O1557">
        <f t="shared" si="99"/>
        <v>2029.0833333333333</v>
      </c>
    </row>
    <row r="1558" spans="1:15" x14ac:dyDescent="0.2">
      <c r="A1558" t="s">
        <v>19</v>
      </c>
      <c r="B1558">
        <v>9</v>
      </c>
      <c r="C1558">
        <v>52</v>
      </c>
      <c r="D1558">
        <v>11</v>
      </c>
      <c r="E1558">
        <v>4</v>
      </c>
      <c r="F1558">
        <v>52</v>
      </c>
      <c r="G1558">
        <v>2286501</v>
      </c>
      <c r="H1558">
        <v>1</v>
      </c>
      <c r="I1558">
        <v>0</v>
      </c>
      <c r="J1558">
        <v>1</v>
      </c>
      <c r="K1558">
        <v>0</v>
      </c>
      <c r="L1558">
        <f t="shared" si="96"/>
        <v>13</v>
      </c>
      <c r="M1558">
        <f t="shared" si="97"/>
        <v>156</v>
      </c>
      <c r="N1558">
        <f t="shared" si="98"/>
        <v>145</v>
      </c>
      <c r="O1558">
        <f t="shared" si="99"/>
        <v>2029.0833333333333</v>
      </c>
    </row>
    <row r="1559" spans="1:15" x14ac:dyDescent="0.2">
      <c r="A1559" t="s">
        <v>19</v>
      </c>
      <c r="B1559">
        <v>9</v>
      </c>
      <c r="C1559">
        <v>52</v>
      </c>
      <c r="D1559">
        <v>12</v>
      </c>
      <c r="E1559">
        <v>1</v>
      </c>
      <c r="F1559">
        <v>44</v>
      </c>
      <c r="G1559">
        <v>2275601</v>
      </c>
      <c r="H1559">
        <v>0</v>
      </c>
      <c r="I1559">
        <v>1</v>
      </c>
      <c r="J1559">
        <v>1</v>
      </c>
      <c r="K1559">
        <v>0</v>
      </c>
      <c r="L1559">
        <f t="shared" si="96"/>
        <v>13</v>
      </c>
      <c r="M1559">
        <f t="shared" si="97"/>
        <v>156</v>
      </c>
      <c r="N1559">
        <f t="shared" si="98"/>
        <v>144</v>
      </c>
      <c r="O1559">
        <f t="shared" si="99"/>
        <v>2029</v>
      </c>
    </row>
    <row r="1560" spans="1:15" x14ac:dyDescent="0.2">
      <c r="A1560" t="s">
        <v>19</v>
      </c>
      <c r="B1560">
        <v>9</v>
      </c>
      <c r="C1560">
        <v>52</v>
      </c>
      <c r="D1560">
        <v>16</v>
      </c>
      <c r="E1560">
        <v>1</v>
      </c>
      <c r="F1560">
        <v>52</v>
      </c>
      <c r="G1560">
        <v>2246801</v>
      </c>
      <c r="H1560">
        <v>0</v>
      </c>
      <c r="I1560">
        <v>1</v>
      </c>
      <c r="J1560">
        <v>1</v>
      </c>
      <c r="K1560">
        <v>0</v>
      </c>
      <c r="L1560">
        <f t="shared" si="96"/>
        <v>13</v>
      </c>
      <c r="M1560">
        <f t="shared" si="97"/>
        <v>156</v>
      </c>
      <c r="N1560">
        <f t="shared" si="98"/>
        <v>140</v>
      </c>
      <c r="O1560">
        <f t="shared" si="99"/>
        <v>2028.6666666666667</v>
      </c>
    </row>
    <row r="1561" spans="1:15" x14ac:dyDescent="0.2">
      <c r="A1561" t="s">
        <v>19</v>
      </c>
      <c r="B1561">
        <v>9</v>
      </c>
      <c r="C1561">
        <v>52</v>
      </c>
      <c r="D1561">
        <v>19</v>
      </c>
      <c r="E1561">
        <v>12</v>
      </c>
      <c r="F1561">
        <v>45</v>
      </c>
      <c r="G1561">
        <v>2235601</v>
      </c>
      <c r="H1561">
        <v>0</v>
      </c>
      <c r="I1561">
        <v>1</v>
      </c>
      <c r="J1561">
        <v>1</v>
      </c>
      <c r="K1561">
        <v>0</v>
      </c>
      <c r="L1561">
        <f t="shared" si="96"/>
        <v>13</v>
      </c>
      <c r="M1561">
        <f t="shared" si="97"/>
        <v>156</v>
      </c>
      <c r="N1561">
        <f t="shared" si="98"/>
        <v>137</v>
      </c>
      <c r="O1561">
        <f t="shared" si="99"/>
        <v>2028.4166666666667</v>
      </c>
    </row>
    <row r="1562" spans="1:15" x14ac:dyDescent="0.2">
      <c r="A1562" t="s">
        <v>19</v>
      </c>
      <c r="B1562">
        <v>9</v>
      </c>
      <c r="C1562">
        <v>52</v>
      </c>
      <c r="D1562">
        <v>21</v>
      </c>
      <c r="E1562">
        <v>1</v>
      </c>
      <c r="F1562">
        <v>46</v>
      </c>
      <c r="G1562">
        <v>2222101</v>
      </c>
      <c r="H1562">
        <v>0</v>
      </c>
      <c r="I1562">
        <v>1</v>
      </c>
      <c r="J1562">
        <v>1</v>
      </c>
      <c r="K1562">
        <v>0</v>
      </c>
      <c r="L1562">
        <f t="shared" si="96"/>
        <v>13</v>
      </c>
      <c r="M1562">
        <f t="shared" si="97"/>
        <v>156</v>
      </c>
      <c r="N1562">
        <f t="shared" si="98"/>
        <v>135</v>
      </c>
      <c r="O1562">
        <f t="shared" si="99"/>
        <v>2028.25</v>
      </c>
    </row>
    <row r="1563" spans="1:15" x14ac:dyDescent="0.2">
      <c r="A1563" t="s">
        <v>19</v>
      </c>
      <c r="B1563">
        <v>9</v>
      </c>
      <c r="C1563">
        <v>52</v>
      </c>
      <c r="D1563">
        <v>22</v>
      </c>
      <c r="E1563">
        <v>4</v>
      </c>
      <c r="F1563">
        <v>46</v>
      </c>
      <c r="G1563">
        <v>2217901</v>
      </c>
      <c r="H1563">
        <v>1</v>
      </c>
      <c r="I1563">
        <v>0</v>
      </c>
      <c r="J1563">
        <v>1</v>
      </c>
      <c r="K1563">
        <v>0</v>
      </c>
      <c r="L1563">
        <f t="shared" si="96"/>
        <v>13</v>
      </c>
      <c r="M1563">
        <f t="shared" si="97"/>
        <v>156</v>
      </c>
      <c r="N1563">
        <f t="shared" si="98"/>
        <v>134</v>
      </c>
      <c r="O1563">
        <f t="shared" si="99"/>
        <v>2028.1666666666667</v>
      </c>
    </row>
    <row r="1564" spans="1:15" x14ac:dyDescent="0.2">
      <c r="A1564" t="s">
        <v>19</v>
      </c>
      <c r="B1564">
        <v>9</v>
      </c>
      <c r="C1564">
        <v>52</v>
      </c>
      <c r="D1564">
        <v>24</v>
      </c>
      <c r="E1564">
        <v>12</v>
      </c>
      <c r="F1564">
        <v>50</v>
      </c>
      <c r="G1564">
        <v>891302</v>
      </c>
      <c r="H1564">
        <v>0</v>
      </c>
      <c r="I1564">
        <v>1</v>
      </c>
      <c r="J1564">
        <v>1</v>
      </c>
      <c r="K1564">
        <v>0</v>
      </c>
      <c r="L1564">
        <f t="shared" si="96"/>
        <v>13</v>
      </c>
      <c r="M1564">
        <f t="shared" si="97"/>
        <v>156</v>
      </c>
      <c r="N1564">
        <f t="shared" si="98"/>
        <v>132</v>
      </c>
      <c r="O1564">
        <f t="shared" si="99"/>
        <v>2028</v>
      </c>
    </row>
    <row r="1565" spans="1:15" x14ac:dyDescent="0.2">
      <c r="A1565" t="s">
        <v>19</v>
      </c>
      <c r="B1565">
        <v>9</v>
      </c>
      <c r="C1565">
        <v>52</v>
      </c>
      <c r="D1565">
        <v>27</v>
      </c>
      <c r="E1565">
        <v>1</v>
      </c>
      <c r="F1565">
        <v>44</v>
      </c>
      <c r="G1565">
        <v>2193201</v>
      </c>
      <c r="H1565">
        <v>0</v>
      </c>
      <c r="I1565">
        <v>1</v>
      </c>
      <c r="J1565">
        <v>1</v>
      </c>
      <c r="K1565">
        <v>0</v>
      </c>
      <c r="L1565">
        <f t="shared" si="96"/>
        <v>13</v>
      </c>
      <c r="M1565">
        <f t="shared" si="97"/>
        <v>156</v>
      </c>
      <c r="N1565">
        <f t="shared" si="98"/>
        <v>129</v>
      </c>
      <c r="O1565">
        <f t="shared" si="99"/>
        <v>2027.75</v>
      </c>
    </row>
    <row r="1566" spans="1:15" x14ac:dyDescent="0.2">
      <c r="A1566" t="s">
        <v>19</v>
      </c>
      <c r="B1566">
        <v>9</v>
      </c>
      <c r="C1566">
        <v>52</v>
      </c>
      <c r="D1566">
        <v>29</v>
      </c>
      <c r="E1566">
        <v>6</v>
      </c>
      <c r="F1566">
        <v>44</v>
      </c>
      <c r="G1566">
        <v>192303</v>
      </c>
      <c r="H1566">
        <v>0</v>
      </c>
      <c r="I1566">
        <v>1</v>
      </c>
      <c r="J1566">
        <v>1</v>
      </c>
      <c r="K1566">
        <v>0</v>
      </c>
      <c r="L1566">
        <f t="shared" si="96"/>
        <v>13</v>
      </c>
      <c r="M1566">
        <f t="shared" si="97"/>
        <v>156</v>
      </c>
      <c r="N1566">
        <f t="shared" si="98"/>
        <v>127</v>
      </c>
      <c r="O1566">
        <f t="shared" si="99"/>
        <v>2027.5833333333333</v>
      </c>
    </row>
    <row r="1567" spans="1:15" x14ac:dyDescent="0.2">
      <c r="A1567" t="s">
        <v>19</v>
      </c>
      <c r="B1567">
        <v>9</v>
      </c>
      <c r="C1567">
        <v>52</v>
      </c>
      <c r="D1567">
        <v>34</v>
      </c>
      <c r="E1567">
        <v>1</v>
      </c>
      <c r="F1567">
        <v>50</v>
      </c>
      <c r="G1567">
        <v>2157701</v>
      </c>
      <c r="H1567">
        <v>0</v>
      </c>
      <c r="I1567">
        <v>1</v>
      </c>
      <c r="J1567">
        <v>1</v>
      </c>
      <c r="K1567">
        <v>0</v>
      </c>
      <c r="L1567">
        <f t="shared" si="96"/>
        <v>13</v>
      </c>
      <c r="M1567">
        <f t="shared" si="97"/>
        <v>156</v>
      </c>
      <c r="N1567">
        <f t="shared" si="98"/>
        <v>122</v>
      </c>
      <c r="O1567">
        <f t="shared" si="99"/>
        <v>2027.1666666666667</v>
      </c>
    </row>
    <row r="1568" spans="1:15" x14ac:dyDescent="0.2">
      <c r="A1568" t="s">
        <v>19</v>
      </c>
      <c r="B1568">
        <v>9</v>
      </c>
      <c r="C1568">
        <v>52</v>
      </c>
      <c r="D1568">
        <v>37</v>
      </c>
      <c r="E1568">
        <v>4</v>
      </c>
      <c r="F1568">
        <v>46</v>
      </c>
      <c r="G1568">
        <v>2140504</v>
      </c>
      <c r="H1568">
        <v>0</v>
      </c>
      <c r="I1568">
        <v>1</v>
      </c>
      <c r="J1568">
        <v>1</v>
      </c>
      <c r="K1568">
        <v>0</v>
      </c>
      <c r="L1568">
        <f t="shared" si="96"/>
        <v>13</v>
      </c>
      <c r="M1568">
        <f t="shared" si="97"/>
        <v>156</v>
      </c>
      <c r="N1568">
        <f t="shared" si="98"/>
        <v>119</v>
      </c>
      <c r="O1568">
        <f t="shared" si="99"/>
        <v>2026.9166666666667</v>
      </c>
    </row>
    <row r="1569" spans="1:15" x14ac:dyDescent="0.2">
      <c r="A1569" t="s">
        <v>19</v>
      </c>
      <c r="B1569">
        <v>9</v>
      </c>
      <c r="C1569">
        <v>52</v>
      </c>
      <c r="D1569">
        <v>38</v>
      </c>
      <c r="E1569">
        <v>4</v>
      </c>
      <c r="F1569">
        <v>39</v>
      </c>
      <c r="G1569">
        <v>2139501</v>
      </c>
      <c r="H1569">
        <v>0</v>
      </c>
      <c r="I1569">
        <v>1</v>
      </c>
      <c r="J1569">
        <v>1</v>
      </c>
      <c r="K1569">
        <v>0</v>
      </c>
      <c r="L1569">
        <f t="shared" si="96"/>
        <v>13</v>
      </c>
      <c r="M1569">
        <f t="shared" si="97"/>
        <v>156</v>
      </c>
      <c r="N1569">
        <f t="shared" si="98"/>
        <v>118</v>
      </c>
      <c r="O1569">
        <f t="shared" si="99"/>
        <v>2026.8333333333333</v>
      </c>
    </row>
    <row r="1570" spans="1:15" x14ac:dyDescent="0.2">
      <c r="A1570" t="s">
        <v>19</v>
      </c>
      <c r="B1570">
        <v>9</v>
      </c>
      <c r="C1570">
        <v>52</v>
      </c>
      <c r="D1570">
        <v>41</v>
      </c>
      <c r="E1570">
        <v>2</v>
      </c>
      <c r="F1570">
        <v>42</v>
      </c>
      <c r="G1570">
        <v>2123701</v>
      </c>
      <c r="H1570">
        <v>0</v>
      </c>
      <c r="I1570">
        <v>1</v>
      </c>
      <c r="J1570">
        <v>1</v>
      </c>
      <c r="K1570">
        <v>0</v>
      </c>
      <c r="L1570">
        <f t="shared" si="96"/>
        <v>13</v>
      </c>
      <c r="M1570">
        <f t="shared" si="97"/>
        <v>156</v>
      </c>
      <c r="N1570">
        <f t="shared" si="98"/>
        <v>115</v>
      </c>
      <c r="O1570">
        <f t="shared" si="99"/>
        <v>2026.5833333333333</v>
      </c>
    </row>
    <row r="1571" spans="1:15" x14ac:dyDescent="0.2">
      <c r="A1571" t="s">
        <v>19</v>
      </c>
      <c r="B1571">
        <v>9</v>
      </c>
      <c r="C1571">
        <v>52</v>
      </c>
      <c r="D1571">
        <v>46</v>
      </c>
      <c r="E1571">
        <v>1</v>
      </c>
      <c r="F1571">
        <v>49</v>
      </c>
      <c r="G1571">
        <v>2100101</v>
      </c>
      <c r="H1571">
        <v>1</v>
      </c>
      <c r="I1571">
        <v>0</v>
      </c>
      <c r="J1571">
        <v>1</v>
      </c>
      <c r="K1571">
        <v>0</v>
      </c>
      <c r="L1571">
        <f t="shared" si="96"/>
        <v>13</v>
      </c>
      <c r="M1571">
        <f t="shared" si="97"/>
        <v>156</v>
      </c>
      <c r="N1571">
        <f t="shared" si="98"/>
        <v>110</v>
      </c>
      <c r="O1571">
        <f t="shared" si="99"/>
        <v>2026.1666666666667</v>
      </c>
    </row>
    <row r="1572" spans="1:15" x14ac:dyDescent="0.2">
      <c r="A1572" t="s">
        <v>19</v>
      </c>
      <c r="B1572">
        <v>9</v>
      </c>
      <c r="C1572">
        <v>52</v>
      </c>
      <c r="D1572">
        <v>46</v>
      </c>
      <c r="E1572">
        <v>2</v>
      </c>
      <c r="F1572">
        <v>44</v>
      </c>
      <c r="G1572">
        <v>2098601</v>
      </c>
      <c r="H1572">
        <v>0</v>
      </c>
      <c r="I1572">
        <v>1</v>
      </c>
      <c r="J1572">
        <v>1</v>
      </c>
      <c r="K1572">
        <v>0</v>
      </c>
      <c r="L1572">
        <f t="shared" si="96"/>
        <v>13</v>
      </c>
      <c r="M1572">
        <f t="shared" si="97"/>
        <v>156</v>
      </c>
      <c r="N1572">
        <f t="shared" si="98"/>
        <v>110</v>
      </c>
      <c r="O1572">
        <f t="shared" si="99"/>
        <v>2026.1666666666667</v>
      </c>
    </row>
    <row r="1573" spans="1:15" x14ac:dyDescent="0.2">
      <c r="A1573" t="s">
        <v>19</v>
      </c>
      <c r="B1573">
        <v>9</v>
      </c>
      <c r="C1573">
        <v>52</v>
      </c>
      <c r="D1573">
        <v>46</v>
      </c>
      <c r="E1573">
        <v>6</v>
      </c>
      <c r="F1573">
        <v>50</v>
      </c>
      <c r="G1573">
        <v>2102301</v>
      </c>
      <c r="H1573">
        <v>0</v>
      </c>
      <c r="I1573">
        <v>1</v>
      </c>
      <c r="J1573">
        <v>1</v>
      </c>
      <c r="K1573">
        <v>0</v>
      </c>
      <c r="L1573">
        <f t="shared" si="96"/>
        <v>13</v>
      </c>
      <c r="M1573">
        <f t="shared" si="97"/>
        <v>156</v>
      </c>
      <c r="N1573">
        <f t="shared" si="98"/>
        <v>110</v>
      </c>
      <c r="O1573">
        <f t="shared" si="99"/>
        <v>2026.1666666666667</v>
      </c>
    </row>
    <row r="1574" spans="1:15" x14ac:dyDescent="0.2">
      <c r="A1574" t="s">
        <v>19</v>
      </c>
      <c r="B1574">
        <v>9</v>
      </c>
      <c r="C1574">
        <v>52</v>
      </c>
      <c r="D1574">
        <v>47</v>
      </c>
      <c r="E1574">
        <v>1</v>
      </c>
      <c r="F1574">
        <v>45</v>
      </c>
      <c r="G1574">
        <v>2095001</v>
      </c>
      <c r="H1574">
        <v>0</v>
      </c>
      <c r="I1574">
        <v>1</v>
      </c>
      <c r="J1574">
        <v>1</v>
      </c>
      <c r="K1574">
        <v>0</v>
      </c>
      <c r="L1574">
        <f t="shared" si="96"/>
        <v>13</v>
      </c>
      <c r="M1574">
        <f t="shared" si="97"/>
        <v>156</v>
      </c>
      <c r="N1574">
        <f t="shared" si="98"/>
        <v>109</v>
      </c>
      <c r="O1574">
        <f t="shared" si="99"/>
        <v>2026.0833333333333</v>
      </c>
    </row>
    <row r="1575" spans="1:15" x14ac:dyDescent="0.2">
      <c r="A1575" t="s">
        <v>19</v>
      </c>
      <c r="B1575">
        <v>9</v>
      </c>
      <c r="C1575">
        <v>52</v>
      </c>
      <c r="D1575">
        <v>50</v>
      </c>
      <c r="E1575">
        <v>1</v>
      </c>
      <c r="F1575">
        <v>52</v>
      </c>
      <c r="G1575">
        <v>2080901</v>
      </c>
      <c r="H1575">
        <v>0</v>
      </c>
      <c r="I1575">
        <v>1</v>
      </c>
      <c r="J1575">
        <v>1</v>
      </c>
      <c r="K1575">
        <v>0</v>
      </c>
      <c r="L1575">
        <f t="shared" si="96"/>
        <v>13</v>
      </c>
      <c r="M1575">
        <f t="shared" si="97"/>
        <v>156</v>
      </c>
      <c r="N1575">
        <f t="shared" si="98"/>
        <v>106</v>
      </c>
      <c r="O1575">
        <f t="shared" si="99"/>
        <v>2025.8333333333333</v>
      </c>
    </row>
    <row r="1576" spans="1:15" x14ac:dyDescent="0.2">
      <c r="A1576" t="s">
        <v>19</v>
      </c>
      <c r="B1576">
        <v>9</v>
      </c>
      <c r="C1576">
        <v>52</v>
      </c>
      <c r="D1576">
        <v>51</v>
      </c>
      <c r="E1576">
        <v>1</v>
      </c>
      <c r="F1576">
        <v>48</v>
      </c>
      <c r="G1576">
        <v>2077501</v>
      </c>
      <c r="H1576">
        <v>0</v>
      </c>
      <c r="I1576">
        <v>1</v>
      </c>
      <c r="J1576">
        <v>1</v>
      </c>
      <c r="K1576">
        <v>0</v>
      </c>
      <c r="L1576">
        <f t="shared" si="96"/>
        <v>13</v>
      </c>
      <c r="M1576">
        <f t="shared" si="97"/>
        <v>156</v>
      </c>
      <c r="N1576">
        <f t="shared" si="98"/>
        <v>105</v>
      </c>
      <c r="O1576">
        <f t="shared" si="99"/>
        <v>2025.75</v>
      </c>
    </row>
    <row r="1577" spans="1:15" x14ac:dyDescent="0.2">
      <c r="A1577" t="s">
        <v>19</v>
      </c>
      <c r="B1577">
        <v>9</v>
      </c>
      <c r="C1577">
        <v>52</v>
      </c>
      <c r="D1577">
        <v>51</v>
      </c>
      <c r="E1577">
        <v>2</v>
      </c>
      <c r="F1577">
        <v>48</v>
      </c>
      <c r="G1577">
        <v>2077901</v>
      </c>
      <c r="H1577">
        <v>0</v>
      </c>
      <c r="I1577">
        <v>1</v>
      </c>
      <c r="J1577">
        <v>1</v>
      </c>
      <c r="K1577">
        <v>0</v>
      </c>
      <c r="L1577">
        <f t="shared" si="96"/>
        <v>13</v>
      </c>
      <c r="M1577">
        <f t="shared" si="97"/>
        <v>156</v>
      </c>
      <c r="N1577">
        <f t="shared" si="98"/>
        <v>105</v>
      </c>
      <c r="O1577">
        <f t="shared" si="99"/>
        <v>2025.75</v>
      </c>
    </row>
    <row r="1578" spans="1:15" x14ac:dyDescent="0.2">
      <c r="A1578" t="s">
        <v>19</v>
      </c>
      <c r="B1578">
        <v>9</v>
      </c>
      <c r="C1578">
        <v>52</v>
      </c>
      <c r="D1578">
        <v>53</v>
      </c>
      <c r="E1578">
        <v>1</v>
      </c>
      <c r="F1578">
        <v>17</v>
      </c>
      <c r="G1578">
        <v>2069601</v>
      </c>
      <c r="H1578">
        <v>0</v>
      </c>
      <c r="I1578">
        <v>1</v>
      </c>
      <c r="J1578">
        <v>1</v>
      </c>
      <c r="K1578">
        <v>0</v>
      </c>
      <c r="L1578">
        <f t="shared" si="96"/>
        <v>13</v>
      </c>
      <c r="M1578">
        <f t="shared" si="97"/>
        <v>156</v>
      </c>
      <c r="N1578">
        <f t="shared" si="98"/>
        <v>103</v>
      </c>
      <c r="O1578">
        <f t="shared" si="99"/>
        <v>2025.5833333333333</v>
      </c>
    </row>
    <row r="1579" spans="1:15" x14ac:dyDescent="0.2">
      <c r="A1579" t="s">
        <v>19</v>
      </c>
      <c r="B1579">
        <v>9</v>
      </c>
      <c r="C1579">
        <v>52</v>
      </c>
      <c r="D1579">
        <v>58</v>
      </c>
      <c r="E1579">
        <v>1</v>
      </c>
      <c r="F1579">
        <v>51</v>
      </c>
      <c r="G1579">
        <v>2037201</v>
      </c>
      <c r="H1579">
        <v>1</v>
      </c>
      <c r="I1579">
        <v>0</v>
      </c>
      <c r="J1579">
        <v>1</v>
      </c>
      <c r="K1579">
        <v>0</v>
      </c>
      <c r="L1579">
        <f t="shared" si="96"/>
        <v>13</v>
      </c>
      <c r="M1579">
        <f t="shared" si="97"/>
        <v>156</v>
      </c>
      <c r="N1579">
        <f t="shared" si="98"/>
        <v>98</v>
      </c>
      <c r="O1579">
        <f t="shared" si="99"/>
        <v>2025.1666666666667</v>
      </c>
    </row>
    <row r="1580" spans="1:15" x14ac:dyDescent="0.2">
      <c r="A1580" t="s">
        <v>19</v>
      </c>
      <c r="B1580">
        <v>9</v>
      </c>
      <c r="C1580">
        <v>52</v>
      </c>
      <c r="D1580">
        <v>70</v>
      </c>
      <c r="E1580">
        <v>1</v>
      </c>
      <c r="F1580">
        <v>50</v>
      </c>
      <c r="G1580">
        <v>1994401</v>
      </c>
      <c r="H1580">
        <v>0</v>
      </c>
      <c r="I1580">
        <v>1</v>
      </c>
      <c r="J1580">
        <v>1</v>
      </c>
      <c r="K1580">
        <v>0</v>
      </c>
      <c r="L1580">
        <f t="shared" si="96"/>
        <v>13</v>
      </c>
      <c r="M1580">
        <f t="shared" si="97"/>
        <v>156</v>
      </c>
      <c r="N1580">
        <f t="shared" si="98"/>
        <v>86</v>
      </c>
      <c r="O1580">
        <f t="shared" si="99"/>
        <v>2024.1666666666667</v>
      </c>
    </row>
    <row r="1581" spans="1:15" x14ac:dyDescent="0.2">
      <c r="A1581" t="s">
        <v>19</v>
      </c>
      <c r="B1581">
        <v>9</v>
      </c>
      <c r="C1581">
        <v>52</v>
      </c>
      <c r="D1581">
        <v>77</v>
      </c>
      <c r="E1581">
        <v>2</v>
      </c>
      <c r="F1581">
        <v>46</v>
      </c>
      <c r="G1581">
        <v>1973801</v>
      </c>
      <c r="H1581">
        <v>0</v>
      </c>
      <c r="I1581">
        <v>1</v>
      </c>
      <c r="J1581">
        <v>1</v>
      </c>
      <c r="K1581">
        <v>0</v>
      </c>
      <c r="L1581">
        <f t="shared" si="96"/>
        <v>13</v>
      </c>
      <c r="M1581">
        <f t="shared" si="97"/>
        <v>156</v>
      </c>
      <c r="N1581">
        <f t="shared" si="98"/>
        <v>79</v>
      </c>
      <c r="O1581">
        <f t="shared" si="99"/>
        <v>2023.5833333333333</v>
      </c>
    </row>
    <row r="1582" spans="1:15" x14ac:dyDescent="0.2">
      <c r="A1582" t="s">
        <v>19</v>
      </c>
      <c r="B1582">
        <v>9</v>
      </c>
      <c r="C1582">
        <v>52</v>
      </c>
      <c r="D1582">
        <v>80</v>
      </c>
      <c r="E1582">
        <v>1</v>
      </c>
      <c r="F1582">
        <v>50</v>
      </c>
      <c r="G1582">
        <v>1967501</v>
      </c>
      <c r="H1582">
        <v>1</v>
      </c>
      <c r="I1582">
        <v>0</v>
      </c>
      <c r="J1582">
        <v>1</v>
      </c>
      <c r="K1582">
        <v>0</v>
      </c>
      <c r="L1582">
        <f t="shared" si="96"/>
        <v>13</v>
      </c>
      <c r="M1582">
        <f t="shared" si="97"/>
        <v>156</v>
      </c>
      <c r="N1582">
        <f t="shared" si="98"/>
        <v>76</v>
      </c>
      <c r="O1582">
        <f t="shared" si="99"/>
        <v>2023.3333333333333</v>
      </c>
    </row>
    <row r="1583" spans="1:15" x14ac:dyDescent="0.2">
      <c r="A1583" t="s">
        <v>19</v>
      </c>
      <c r="B1583">
        <v>9</v>
      </c>
      <c r="C1583">
        <v>52</v>
      </c>
      <c r="D1583">
        <v>101</v>
      </c>
      <c r="E1583">
        <v>2</v>
      </c>
      <c r="F1583">
        <v>47</v>
      </c>
      <c r="G1583">
        <v>1835401</v>
      </c>
      <c r="H1583">
        <v>0</v>
      </c>
      <c r="I1583">
        <v>1</v>
      </c>
      <c r="J1583">
        <v>1</v>
      </c>
      <c r="K1583">
        <v>0</v>
      </c>
      <c r="L1583">
        <f t="shared" si="96"/>
        <v>13</v>
      </c>
      <c r="M1583">
        <f t="shared" si="97"/>
        <v>156</v>
      </c>
      <c r="N1583">
        <f t="shared" si="98"/>
        <v>55</v>
      </c>
      <c r="O1583">
        <f t="shared" si="99"/>
        <v>2021.5833333333333</v>
      </c>
    </row>
    <row r="1584" spans="1:15" x14ac:dyDescent="0.2">
      <c r="A1584" t="s">
        <v>19</v>
      </c>
      <c r="B1584">
        <v>9</v>
      </c>
      <c r="C1584">
        <v>52</v>
      </c>
      <c r="D1584">
        <v>102</v>
      </c>
      <c r="E1584">
        <v>1</v>
      </c>
      <c r="F1584">
        <v>49</v>
      </c>
      <c r="G1584">
        <v>1816801</v>
      </c>
      <c r="H1584">
        <v>0</v>
      </c>
      <c r="I1584">
        <v>1</v>
      </c>
      <c r="J1584">
        <v>1</v>
      </c>
      <c r="K1584">
        <v>0</v>
      </c>
      <c r="L1584">
        <f t="shared" si="96"/>
        <v>13</v>
      </c>
      <c r="M1584">
        <f t="shared" si="97"/>
        <v>156</v>
      </c>
      <c r="N1584">
        <f t="shared" si="98"/>
        <v>54</v>
      </c>
      <c r="O1584">
        <f t="shared" si="99"/>
        <v>2021.5</v>
      </c>
    </row>
    <row r="1585" spans="1:15" x14ac:dyDescent="0.2">
      <c r="A1585" t="s">
        <v>19</v>
      </c>
      <c r="B1585">
        <v>9</v>
      </c>
      <c r="C1585">
        <v>52</v>
      </c>
      <c r="D1585">
        <v>106</v>
      </c>
      <c r="E1585">
        <v>1</v>
      </c>
      <c r="F1585">
        <v>49</v>
      </c>
      <c r="G1585">
        <v>1770901</v>
      </c>
      <c r="H1585">
        <v>0</v>
      </c>
      <c r="I1585">
        <v>1</v>
      </c>
      <c r="J1585">
        <v>1</v>
      </c>
      <c r="K1585">
        <v>0</v>
      </c>
      <c r="L1585">
        <f t="shared" si="96"/>
        <v>13</v>
      </c>
      <c r="M1585">
        <f t="shared" si="97"/>
        <v>156</v>
      </c>
      <c r="N1585">
        <f t="shared" si="98"/>
        <v>50</v>
      </c>
      <c r="O1585">
        <f t="shared" si="99"/>
        <v>2021.1666666666667</v>
      </c>
    </row>
    <row r="1586" spans="1:15" x14ac:dyDescent="0.2">
      <c r="A1586" t="s">
        <v>19</v>
      </c>
      <c r="B1586">
        <v>9</v>
      </c>
      <c r="C1586">
        <v>52</v>
      </c>
      <c r="D1586">
        <v>109</v>
      </c>
      <c r="E1586">
        <v>1</v>
      </c>
      <c r="F1586">
        <v>51</v>
      </c>
      <c r="G1586">
        <v>1727501</v>
      </c>
      <c r="H1586">
        <v>0</v>
      </c>
      <c r="I1586">
        <v>1</v>
      </c>
      <c r="J1586">
        <v>1</v>
      </c>
      <c r="K1586">
        <v>0</v>
      </c>
      <c r="L1586">
        <f t="shared" si="96"/>
        <v>13</v>
      </c>
      <c r="M1586">
        <f t="shared" si="97"/>
        <v>156</v>
      </c>
      <c r="N1586">
        <f t="shared" si="98"/>
        <v>47</v>
      </c>
      <c r="O1586">
        <f t="shared" si="99"/>
        <v>2020.9166666666667</v>
      </c>
    </row>
    <row r="1587" spans="1:15" x14ac:dyDescent="0.2">
      <c r="A1587" t="s">
        <v>19</v>
      </c>
      <c r="B1587">
        <v>9</v>
      </c>
      <c r="C1587">
        <v>52</v>
      </c>
      <c r="D1587">
        <v>121</v>
      </c>
      <c r="E1587">
        <v>1</v>
      </c>
      <c r="F1587">
        <v>50</v>
      </c>
      <c r="G1587">
        <v>1629301</v>
      </c>
      <c r="H1587">
        <v>0</v>
      </c>
      <c r="I1587">
        <v>1</v>
      </c>
      <c r="J1587">
        <v>1</v>
      </c>
      <c r="K1587">
        <v>0</v>
      </c>
      <c r="L1587">
        <f t="shared" si="96"/>
        <v>13</v>
      </c>
      <c r="M1587">
        <f t="shared" si="97"/>
        <v>156</v>
      </c>
      <c r="N1587">
        <f t="shared" si="98"/>
        <v>35</v>
      </c>
      <c r="O1587">
        <f t="shared" si="99"/>
        <v>2019.9166666666667</v>
      </c>
    </row>
    <row r="1588" spans="1:15" x14ac:dyDescent="0.2">
      <c r="A1588" t="s">
        <v>19</v>
      </c>
      <c r="B1588">
        <v>9</v>
      </c>
      <c r="C1588">
        <v>52</v>
      </c>
      <c r="D1588">
        <v>129</v>
      </c>
      <c r="E1588">
        <v>1</v>
      </c>
      <c r="F1588">
        <v>51</v>
      </c>
      <c r="G1588">
        <v>1603901</v>
      </c>
      <c r="H1588">
        <v>0</v>
      </c>
      <c r="I1588">
        <v>1</v>
      </c>
      <c r="J1588">
        <v>1</v>
      </c>
      <c r="K1588">
        <v>0</v>
      </c>
      <c r="L1588">
        <f t="shared" si="96"/>
        <v>13</v>
      </c>
      <c r="M1588">
        <f t="shared" si="97"/>
        <v>156</v>
      </c>
      <c r="N1588">
        <f t="shared" si="98"/>
        <v>27</v>
      </c>
      <c r="O1588">
        <f t="shared" si="99"/>
        <v>2019.25</v>
      </c>
    </row>
    <row r="1589" spans="1:15" x14ac:dyDescent="0.2">
      <c r="A1589" t="s">
        <v>19</v>
      </c>
      <c r="B1589">
        <v>9</v>
      </c>
      <c r="C1589">
        <v>52</v>
      </c>
      <c r="D1589">
        <v>144</v>
      </c>
      <c r="E1589">
        <v>1</v>
      </c>
      <c r="F1589">
        <v>49</v>
      </c>
      <c r="G1589">
        <v>1101701</v>
      </c>
      <c r="H1589">
        <v>0</v>
      </c>
      <c r="I1589">
        <v>1</v>
      </c>
      <c r="J1589">
        <v>1</v>
      </c>
      <c r="K1589">
        <v>0</v>
      </c>
      <c r="L1589">
        <f t="shared" si="96"/>
        <v>13</v>
      </c>
      <c r="M1589">
        <f t="shared" si="97"/>
        <v>156</v>
      </c>
      <c r="N1589">
        <f t="shared" si="98"/>
        <v>12</v>
      </c>
      <c r="O1589">
        <f t="shared" si="99"/>
        <v>2018</v>
      </c>
    </row>
    <row r="1590" spans="1:15" x14ac:dyDescent="0.2">
      <c r="A1590" t="s">
        <v>19</v>
      </c>
      <c r="B1590">
        <v>9</v>
      </c>
      <c r="C1590">
        <v>53</v>
      </c>
      <c r="D1590">
        <v>1</v>
      </c>
      <c r="E1590">
        <v>12</v>
      </c>
      <c r="F1590">
        <v>49</v>
      </c>
      <c r="G1590">
        <v>2389102</v>
      </c>
      <c r="H1590">
        <v>0</v>
      </c>
      <c r="I1590">
        <v>1</v>
      </c>
      <c r="J1590">
        <v>1</v>
      </c>
      <c r="K1590">
        <v>0</v>
      </c>
      <c r="L1590">
        <f t="shared" si="96"/>
        <v>12</v>
      </c>
      <c r="M1590">
        <f t="shared" si="97"/>
        <v>144</v>
      </c>
      <c r="N1590">
        <f t="shared" si="98"/>
        <v>143</v>
      </c>
      <c r="O1590">
        <f t="shared" si="99"/>
        <v>2028.9166666666667</v>
      </c>
    </row>
    <row r="1591" spans="1:15" x14ac:dyDescent="0.2">
      <c r="A1591" t="s">
        <v>19</v>
      </c>
      <c r="B1591">
        <v>9</v>
      </c>
      <c r="C1591">
        <v>53</v>
      </c>
      <c r="D1591">
        <v>1</v>
      </c>
      <c r="E1591">
        <v>12</v>
      </c>
      <c r="F1591">
        <v>49</v>
      </c>
      <c r="G1591">
        <v>2410503</v>
      </c>
      <c r="H1591">
        <v>0</v>
      </c>
      <c r="I1591">
        <v>1</v>
      </c>
      <c r="J1591">
        <v>1</v>
      </c>
      <c r="K1591">
        <v>0</v>
      </c>
      <c r="L1591">
        <f t="shared" si="96"/>
        <v>12</v>
      </c>
      <c r="M1591">
        <f t="shared" si="97"/>
        <v>144</v>
      </c>
      <c r="N1591">
        <f t="shared" si="98"/>
        <v>143</v>
      </c>
      <c r="O1591">
        <f t="shared" si="99"/>
        <v>2028.9166666666667</v>
      </c>
    </row>
    <row r="1592" spans="1:15" x14ac:dyDescent="0.2">
      <c r="A1592" t="s">
        <v>19</v>
      </c>
      <c r="B1592">
        <v>9</v>
      </c>
      <c r="C1592">
        <v>53</v>
      </c>
      <c r="D1592">
        <v>2</v>
      </c>
      <c r="E1592">
        <v>4</v>
      </c>
      <c r="F1592">
        <v>47</v>
      </c>
      <c r="G1592">
        <v>2375101</v>
      </c>
      <c r="H1592">
        <v>1</v>
      </c>
      <c r="I1592">
        <v>0</v>
      </c>
      <c r="J1592">
        <v>1</v>
      </c>
      <c r="K1592">
        <v>0</v>
      </c>
      <c r="L1592">
        <f t="shared" si="96"/>
        <v>12</v>
      </c>
      <c r="M1592">
        <f t="shared" si="97"/>
        <v>144</v>
      </c>
      <c r="N1592">
        <f t="shared" si="98"/>
        <v>142</v>
      </c>
      <c r="O1592">
        <f t="shared" si="99"/>
        <v>2028.8333333333333</v>
      </c>
    </row>
    <row r="1593" spans="1:15" x14ac:dyDescent="0.2">
      <c r="A1593" t="s">
        <v>19</v>
      </c>
      <c r="B1593">
        <v>9</v>
      </c>
      <c r="C1593">
        <v>53</v>
      </c>
      <c r="D1593">
        <v>2</v>
      </c>
      <c r="E1593">
        <v>12</v>
      </c>
      <c r="F1593">
        <v>44</v>
      </c>
      <c r="G1593">
        <v>2370502</v>
      </c>
      <c r="H1593">
        <v>0</v>
      </c>
      <c r="I1593">
        <v>1</v>
      </c>
      <c r="J1593">
        <v>1</v>
      </c>
      <c r="K1593">
        <v>0</v>
      </c>
      <c r="L1593">
        <f t="shared" si="96"/>
        <v>12</v>
      </c>
      <c r="M1593">
        <f t="shared" si="97"/>
        <v>144</v>
      </c>
      <c r="N1593">
        <f t="shared" si="98"/>
        <v>142</v>
      </c>
      <c r="O1593">
        <f t="shared" si="99"/>
        <v>2028.8333333333333</v>
      </c>
    </row>
    <row r="1594" spans="1:15" x14ac:dyDescent="0.2">
      <c r="A1594" t="s">
        <v>19</v>
      </c>
      <c r="B1594">
        <v>9</v>
      </c>
      <c r="C1594">
        <v>53</v>
      </c>
      <c r="D1594">
        <v>2</v>
      </c>
      <c r="E1594">
        <v>12</v>
      </c>
      <c r="F1594">
        <v>48</v>
      </c>
      <c r="G1594">
        <v>2369403</v>
      </c>
      <c r="H1594">
        <v>0</v>
      </c>
      <c r="I1594">
        <v>1</v>
      </c>
      <c r="J1594">
        <v>1</v>
      </c>
      <c r="K1594">
        <v>0</v>
      </c>
      <c r="L1594">
        <f t="shared" si="96"/>
        <v>12</v>
      </c>
      <c r="M1594">
        <f t="shared" si="97"/>
        <v>144</v>
      </c>
      <c r="N1594">
        <f t="shared" si="98"/>
        <v>142</v>
      </c>
      <c r="O1594">
        <f t="shared" si="99"/>
        <v>2028.8333333333333</v>
      </c>
    </row>
    <row r="1595" spans="1:15" x14ac:dyDescent="0.2">
      <c r="A1595" t="s">
        <v>19</v>
      </c>
      <c r="B1595">
        <v>9</v>
      </c>
      <c r="C1595">
        <v>53</v>
      </c>
      <c r="D1595">
        <v>2</v>
      </c>
      <c r="E1595">
        <v>12</v>
      </c>
      <c r="F1595">
        <v>48</v>
      </c>
      <c r="G1595">
        <v>2377103</v>
      </c>
      <c r="H1595">
        <v>1</v>
      </c>
      <c r="I1595">
        <v>0</v>
      </c>
      <c r="J1595">
        <v>1</v>
      </c>
      <c r="K1595">
        <v>0</v>
      </c>
      <c r="L1595">
        <f t="shared" si="96"/>
        <v>12</v>
      </c>
      <c r="M1595">
        <f t="shared" si="97"/>
        <v>144</v>
      </c>
      <c r="N1595">
        <f t="shared" si="98"/>
        <v>142</v>
      </c>
      <c r="O1595">
        <f t="shared" si="99"/>
        <v>2028.8333333333333</v>
      </c>
    </row>
    <row r="1596" spans="1:15" x14ac:dyDescent="0.2">
      <c r="A1596" t="s">
        <v>19</v>
      </c>
      <c r="B1596">
        <v>9</v>
      </c>
      <c r="C1596">
        <v>53</v>
      </c>
      <c r="D1596">
        <v>2</v>
      </c>
      <c r="E1596">
        <v>12</v>
      </c>
      <c r="F1596">
        <v>51</v>
      </c>
      <c r="G1596">
        <v>2380503</v>
      </c>
      <c r="H1596">
        <v>1</v>
      </c>
      <c r="I1596">
        <v>0</v>
      </c>
      <c r="J1596">
        <v>1</v>
      </c>
      <c r="K1596">
        <v>0</v>
      </c>
      <c r="L1596">
        <f t="shared" si="96"/>
        <v>12</v>
      </c>
      <c r="M1596">
        <f t="shared" si="97"/>
        <v>144</v>
      </c>
      <c r="N1596">
        <f t="shared" si="98"/>
        <v>142</v>
      </c>
      <c r="O1596">
        <f t="shared" si="99"/>
        <v>2028.8333333333333</v>
      </c>
    </row>
    <row r="1597" spans="1:15" x14ac:dyDescent="0.2">
      <c r="A1597" t="s">
        <v>19</v>
      </c>
      <c r="B1597">
        <v>9</v>
      </c>
      <c r="C1597">
        <v>53</v>
      </c>
      <c r="D1597">
        <v>3</v>
      </c>
      <c r="E1597">
        <v>12</v>
      </c>
      <c r="F1597">
        <v>49</v>
      </c>
      <c r="G1597">
        <v>2366202</v>
      </c>
      <c r="H1597">
        <v>0</v>
      </c>
      <c r="I1597">
        <v>1</v>
      </c>
      <c r="J1597">
        <v>1</v>
      </c>
      <c r="K1597">
        <v>0</v>
      </c>
      <c r="L1597">
        <f t="shared" si="96"/>
        <v>12</v>
      </c>
      <c r="M1597">
        <f t="shared" si="97"/>
        <v>144</v>
      </c>
      <c r="N1597">
        <f t="shared" si="98"/>
        <v>141</v>
      </c>
      <c r="O1597">
        <f t="shared" si="99"/>
        <v>2028.75</v>
      </c>
    </row>
    <row r="1598" spans="1:15" x14ac:dyDescent="0.2">
      <c r="A1598" t="s">
        <v>19</v>
      </c>
      <c r="B1598">
        <v>9</v>
      </c>
      <c r="C1598">
        <v>53</v>
      </c>
      <c r="D1598">
        <v>3</v>
      </c>
      <c r="E1598">
        <v>12</v>
      </c>
      <c r="F1598">
        <v>51</v>
      </c>
      <c r="G1598">
        <v>2362503</v>
      </c>
      <c r="H1598">
        <v>0</v>
      </c>
      <c r="I1598">
        <v>1</v>
      </c>
      <c r="J1598">
        <v>1</v>
      </c>
      <c r="K1598">
        <v>0</v>
      </c>
      <c r="L1598">
        <f t="shared" si="96"/>
        <v>12</v>
      </c>
      <c r="M1598">
        <f t="shared" si="97"/>
        <v>144</v>
      </c>
      <c r="N1598">
        <f t="shared" si="98"/>
        <v>141</v>
      </c>
      <c r="O1598">
        <f t="shared" si="99"/>
        <v>2028.75</v>
      </c>
    </row>
    <row r="1599" spans="1:15" x14ac:dyDescent="0.2">
      <c r="A1599" t="s">
        <v>19</v>
      </c>
      <c r="B1599">
        <v>9</v>
      </c>
      <c r="C1599">
        <v>53</v>
      </c>
      <c r="D1599">
        <v>6</v>
      </c>
      <c r="E1599">
        <v>1</v>
      </c>
      <c r="F1599">
        <v>51</v>
      </c>
      <c r="G1599">
        <v>2334401</v>
      </c>
      <c r="H1599">
        <v>0</v>
      </c>
      <c r="I1599">
        <v>1</v>
      </c>
      <c r="J1599">
        <v>1</v>
      </c>
      <c r="K1599">
        <v>0</v>
      </c>
      <c r="L1599">
        <f t="shared" si="96"/>
        <v>12</v>
      </c>
      <c r="M1599">
        <f t="shared" si="97"/>
        <v>144</v>
      </c>
      <c r="N1599">
        <f t="shared" si="98"/>
        <v>138</v>
      </c>
      <c r="O1599">
        <f t="shared" si="99"/>
        <v>2028.5</v>
      </c>
    </row>
    <row r="1600" spans="1:15" x14ac:dyDescent="0.2">
      <c r="A1600" t="s">
        <v>19</v>
      </c>
      <c r="B1600">
        <v>9</v>
      </c>
      <c r="C1600">
        <v>53</v>
      </c>
      <c r="D1600">
        <v>6</v>
      </c>
      <c r="E1600">
        <v>12</v>
      </c>
      <c r="F1600">
        <v>47</v>
      </c>
      <c r="G1600">
        <v>2333203</v>
      </c>
      <c r="H1600">
        <v>0</v>
      </c>
      <c r="I1600">
        <v>1</v>
      </c>
      <c r="J1600">
        <v>1</v>
      </c>
      <c r="K1600">
        <v>0</v>
      </c>
      <c r="L1600">
        <f t="shared" si="96"/>
        <v>12</v>
      </c>
      <c r="M1600">
        <f t="shared" si="97"/>
        <v>144</v>
      </c>
      <c r="N1600">
        <f t="shared" si="98"/>
        <v>138</v>
      </c>
      <c r="O1600">
        <f t="shared" si="99"/>
        <v>2028.5</v>
      </c>
    </row>
    <row r="1601" spans="1:15" x14ac:dyDescent="0.2">
      <c r="A1601" t="s">
        <v>19</v>
      </c>
      <c r="B1601">
        <v>9</v>
      </c>
      <c r="C1601">
        <v>53</v>
      </c>
      <c r="D1601">
        <v>7</v>
      </c>
      <c r="E1601">
        <v>4</v>
      </c>
      <c r="F1601">
        <v>52</v>
      </c>
      <c r="G1601">
        <v>2322301</v>
      </c>
      <c r="H1601">
        <v>0</v>
      </c>
      <c r="I1601">
        <v>1</v>
      </c>
      <c r="J1601">
        <v>1</v>
      </c>
      <c r="K1601">
        <v>0</v>
      </c>
      <c r="L1601">
        <f t="shared" si="96"/>
        <v>12</v>
      </c>
      <c r="M1601">
        <f t="shared" si="97"/>
        <v>144</v>
      </c>
      <c r="N1601">
        <f t="shared" si="98"/>
        <v>137</v>
      </c>
      <c r="O1601">
        <f t="shared" si="99"/>
        <v>2028.4166666666667</v>
      </c>
    </row>
    <row r="1602" spans="1:15" x14ac:dyDescent="0.2">
      <c r="A1602" t="s">
        <v>19</v>
      </c>
      <c r="B1602">
        <v>9</v>
      </c>
      <c r="C1602">
        <v>53</v>
      </c>
      <c r="D1602">
        <v>8</v>
      </c>
      <c r="E1602">
        <v>1</v>
      </c>
      <c r="F1602">
        <v>52</v>
      </c>
      <c r="G1602">
        <v>2311701</v>
      </c>
      <c r="H1602">
        <v>0</v>
      </c>
      <c r="I1602">
        <v>1</v>
      </c>
      <c r="J1602">
        <v>1</v>
      </c>
      <c r="K1602">
        <v>0</v>
      </c>
      <c r="L1602">
        <f t="shared" si="96"/>
        <v>12</v>
      </c>
      <c r="M1602">
        <f t="shared" si="97"/>
        <v>144</v>
      </c>
      <c r="N1602">
        <f t="shared" si="98"/>
        <v>136</v>
      </c>
      <c r="O1602">
        <f t="shared" si="99"/>
        <v>2028.3333333333333</v>
      </c>
    </row>
    <row r="1603" spans="1:15" x14ac:dyDescent="0.2">
      <c r="A1603" t="s">
        <v>19</v>
      </c>
      <c r="B1603">
        <v>9</v>
      </c>
      <c r="C1603">
        <v>53</v>
      </c>
      <c r="D1603">
        <v>9</v>
      </c>
      <c r="E1603">
        <v>12</v>
      </c>
      <c r="F1603">
        <v>50</v>
      </c>
      <c r="G1603">
        <v>2301002</v>
      </c>
      <c r="H1603">
        <v>0</v>
      </c>
      <c r="I1603">
        <v>1</v>
      </c>
      <c r="J1603">
        <v>1</v>
      </c>
      <c r="K1603">
        <v>0</v>
      </c>
      <c r="L1603">
        <f t="shared" si="96"/>
        <v>12</v>
      </c>
      <c r="M1603">
        <f t="shared" si="97"/>
        <v>144</v>
      </c>
      <c r="N1603">
        <f t="shared" si="98"/>
        <v>135</v>
      </c>
      <c r="O1603">
        <f t="shared" si="99"/>
        <v>2028.25</v>
      </c>
    </row>
    <row r="1604" spans="1:15" x14ac:dyDescent="0.2">
      <c r="A1604" t="s">
        <v>19</v>
      </c>
      <c r="B1604">
        <v>9</v>
      </c>
      <c r="C1604">
        <v>53</v>
      </c>
      <c r="D1604">
        <v>14</v>
      </c>
      <c r="E1604">
        <v>6</v>
      </c>
      <c r="F1604">
        <v>42</v>
      </c>
      <c r="G1604">
        <v>2263202</v>
      </c>
      <c r="H1604">
        <v>0</v>
      </c>
      <c r="I1604">
        <v>1</v>
      </c>
      <c r="J1604">
        <v>1</v>
      </c>
      <c r="K1604">
        <v>0</v>
      </c>
      <c r="L1604">
        <f t="shared" si="96"/>
        <v>12</v>
      </c>
      <c r="M1604">
        <f t="shared" si="97"/>
        <v>144</v>
      </c>
      <c r="N1604">
        <f t="shared" si="98"/>
        <v>130</v>
      </c>
      <c r="O1604">
        <f t="shared" si="99"/>
        <v>2027.8333333333333</v>
      </c>
    </row>
    <row r="1605" spans="1:15" x14ac:dyDescent="0.2">
      <c r="A1605" t="s">
        <v>19</v>
      </c>
      <c r="B1605">
        <v>9</v>
      </c>
      <c r="C1605">
        <v>53</v>
      </c>
      <c r="D1605">
        <v>14</v>
      </c>
      <c r="E1605">
        <v>12</v>
      </c>
      <c r="F1605">
        <v>52</v>
      </c>
      <c r="G1605">
        <v>2259002</v>
      </c>
      <c r="H1605">
        <v>0</v>
      </c>
      <c r="I1605">
        <v>1</v>
      </c>
      <c r="J1605">
        <v>1</v>
      </c>
      <c r="K1605">
        <v>0</v>
      </c>
      <c r="L1605">
        <f t="shared" si="96"/>
        <v>12</v>
      </c>
      <c r="M1605">
        <f t="shared" si="97"/>
        <v>144</v>
      </c>
      <c r="N1605">
        <f t="shared" si="98"/>
        <v>130</v>
      </c>
      <c r="O1605">
        <f t="shared" si="99"/>
        <v>2027.8333333333333</v>
      </c>
    </row>
    <row r="1606" spans="1:15" x14ac:dyDescent="0.2">
      <c r="A1606" t="s">
        <v>19</v>
      </c>
      <c r="B1606">
        <v>9</v>
      </c>
      <c r="C1606">
        <v>53</v>
      </c>
      <c r="D1606">
        <v>15</v>
      </c>
      <c r="E1606">
        <v>6</v>
      </c>
      <c r="F1606">
        <v>51</v>
      </c>
      <c r="G1606">
        <v>2254402</v>
      </c>
      <c r="H1606">
        <v>0</v>
      </c>
      <c r="I1606">
        <v>1</v>
      </c>
      <c r="J1606">
        <v>1</v>
      </c>
      <c r="K1606">
        <v>0</v>
      </c>
      <c r="L1606">
        <f t="shared" si="96"/>
        <v>12</v>
      </c>
      <c r="M1606">
        <f t="shared" si="97"/>
        <v>144</v>
      </c>
      <c r="N1606">
        <f t="shared" si="98"/>
        <v>129</v>
      </c>
      <c r="O1606">
        <f t="shared" si="99"/>
        <v>2027.75</v>
      </c>
    </row>
    <row r="1607" spans="1:15" x14ac:dyDescent="0.2">
      <c r="A1607" t="s">
        <v>19</v>
      </c>
      <c r="B1607">
        <v>9</v>
      </c>
      <c r="C1607">
        <v>53</v>
      </c>
      <c r="D1607">
        <v>21</v>
      </c>
      <c r="E1607">
        <v>2</v>
      </c>
      <c r="F1607">
        <v>47</v>
      </c>
      <c r="G1607">
        <v>2226401</v>
      </c>
      <c r="H1607">
        <v>0</v>
      </c>
      <c r="I1607">
        <v>1</v>
      </c>
      <c r="J1607">
        <v>1</v>
      </c>
      <c r="K1607">
        <v>0</v>
      </c>
      <c r="L1607">
        <f t="shared" ref="L1607:L1668" si="100">65-C1607</f>
        <v>12</v>
      </c>
      <c r="M1607">
        <f t="shared" ref="M1607:M1668" si="101">L1607*12</f>
        <v>144</v>
      </c>
      <c r="N1607">
        <f t="shared" ref="N1607:N1668" si="102">M1607-D1607</f>
        <v>123</v>
      </c>
      <c r="O1607">
        <f t="shared" ref="O1607:O1668" si="103">2017+N1607/12</f>
        <v>2027.25</v>
      </c>
    </row>
    <row r="1608" spans="1:15" x14ac:dyDescent="0.2">
      <c r="A1608" t="s">
        <v>19</v>
      </c>
      <c r="B1608">
        <v>9</v>
      </c>
      <c r="C1608">
        <v>53</v>
      </c>
      <c r="D1608">
        <v>25</v>
      </c>
      <c r="E1608">
        <v>1</v>
      </c>
      <c r="F1608">
        <v>49</v>
      </c>
      <c r="G1608">
        <v>80002</v>
      </c>
      <c r="H1608">
        <v>1</v>
      </c>
      <c r="I1608">
        <v>0</v>
      </c>
      <c r="J1608">
        <v>1</v>
      </c>
      <c r="K1608">
        <v>0</v>
      </c>
      <c r="L1608">
        <f t="shared" si="100"/>
        <v>12</v>
      </c>
      <c r="M1608">
        <f t="shared" si="101"/>
        <v>144</v>
      </c>
      <c r="N1608">
        <f t="shared" si="102"/>
        <v>119</v>
      </c>
      <c r="O1608">
        <f t="shared" si="103"/>
        <v>2026.9166666666667</v>
      </c>
    </row>
    <row r="1609" spans="1:15" x14ac:dyDescent="0.2">
      <c r="A1609" t="s">
        <v>19</v>
      </c>
      <c r="B1609">
        <v>9</v>
      </c>
      <c r="C1609">
        <v>53</v>
      </c>
      <c r="D1609">
        <v>32</v>
      </c>
      <c r="E1609">
        <v>1</v>
      </c>
      <c r="F1609">
        <v>52</v>
      </c>
      <c r="G1609">
        <v>2168801</v>
      </c>
      <c r="H1609">
        <v>1</v>
      </c>
      <c r="I1609">
        <v>0</v>
      </c>
      <c r="J1609">
        <v>1</v>
      </c>
      <c r="K1609">
        <v>0</v>
      </c>
      <c r="L1609">
        <f t="shared" si="100"/>
        <v>12</v>
      </c>
      <c r="M1609">
        <f t="shared" si="101"/>
        <v>144</v>
      </c>
      <c r="N1609">
        <f t="shared" si="102"/>
        <v>112</v>
      </c>
      <c r="O1609">
        <f t="shared" si="103"/>
        <v>2026.3333333333333</v>
      </c>
    </row>
    <row r="1610" spans="1:15" x14ac:dyDescent="0.2">
      <c r="A1610" t="s">
        <v>19</v>
      </c>
      <c r="B1610">
        <v>9</v>
      </c>
      <c r="C1610">
        <v>53</v>
      </c>
      <c r="D1610">
        <v>35</v>
      </c>
      <c r="E1610">
        <v>2</v>
      </c>
      <c r="F1610">
        <v>52</v>
      </c>
      <c r="G1610">
        <v>49802</v>
      </c>
      <c r="H1610">
        <v>1</v>
      </c>
      <c r="I1610">
        <v>0</v>
      </c>
      <c r="J1610">
        <v>1</v>
      </c>
      <c r="K1610">
        <v>0</v>
      </c>
      <c r="L1610">
        <f t="shared" si="100"/>
        <v>12</v>
      </c>
      <c r="M1610">
        <f t="shared" si="101"/>
        <v>144</v>
      </c>
      <c r="N1610">
        <f t="shared" si="102"/>
        <v>109</v>
      </c>
      <c r="O1610">
        <f t="shared" si="103"/>
        <v>2026.0833333333333</v>
      </c>
    </row>
    <row r="1611" spans="1:15" x14ac:dyDescent="0.2">
      <c r="A1611" t="s">
        <v>19</v>
      </c>
      <c r="B1611">
        <v>9</v>
      </c>
      <c r="C1611">
        <v>53</v>
      </c>
      <c r="D1611">
        <v>36</v>
      </c>
      <c r="E1611">
        <v>1</v>
      </c>
      <c r="F1611">
        <v>52</v>
      </c>
      <c r="G1611">
        <v>2151501</v>
      </c>
      <c r="H1611">
        <v>0</v>
      </c>
      <c r="I1611">
        <v>1</v>
      </c>
      <c r="J1611">
        <v>1</v>
      </c>
      <c r="K1611">
        <v>0</v>
      </c>
      <c r="L1611">
        <f t="shared" si="100"/>
        <v>12</v>
      </c>
      <c r="M1611">
        <f t="shared" si="101"/>
        <v>144</v>
      </c>
      <c r="N1611">
        <f t="shared" si="102"/>
        <v>108</v>
      </c>
      <c r="O1611">
        <f t="shared" si="103"/>
        <v>2026</v>
      </c>
    </row>
    <row r="1612" spans="1:15" x14ac:dyDescent="0.2">
      <c r="A1612" t="s">
        <v>19</v>
      </c>
      <c r="B1612">
        <v>9</v>
      </c>
      <c r="C1612">
        <v>53</v>
      </c>
      <c r="D1612">
        <v>41</v>
      </c>
      <c r="E1612">
        <v>12</v>
      </c>
      <c r="F1612">
        <v>51</v>
      </c>
      <c r="G1612">
        <v>2125302</v>
      </c>
      <c r="H1612">
        <v>0</v>
      </c>
      <c r="I1612">
        <v>1</v>
      </c>
      <c r="J1612">
        <v>1</v>
      </c>
      <c r="K1612">
        <v>0</v>
      </c>
      <c r="L1612">
        <f t="shared" si="100"/>
        <v>12</v>
      </c>
      <c r="M1612">
        <f t="shared" si="101"/>
        <v>144</v>
      </c>
      <c r="N1612">
        <f t="shared" si="102"/>
        <v>103</v>
      </c>
      <c r="O1612">
        <f t="shared" si="103"/>
        <v>2025.5833333333333</v>
      </c>
    </row>
    <row r="1613" spans="1:15" x14ac:dyDescent="0.2">
      <c r="A1613" t="s">
        <v>19</v>
      </c>
      <c r="B1613">
        <v>9</v>
      </c>
      <c r="C1613">
        <v>53</v>
      </c>
      <c r="D1613">
        <v>43</v>
      </c>
      <c r="E1613">
        <v>1</v>
      </c>
      <c r="F1613">
        <v>48</v>
      </c>
      <c r="G1613">
        <v>176602</v>
      </c>
      <c r="H1613">
        <v>0</v>
      </c>
      <c r="I1613">
        <v>1</v>
      </c>
      <c r="J1613">
        <v>1</v>
      </c>
      <c r="K1613">
        <v>0</v>
      </c>
      <c r="L1613">
        <f t="shared" si="100"/>
        <v>12</v>
      </c>
      <c r="M1613">
        <f t="shared" si="101"/>
        <v>144</v>
      </c>
      <c r="N1613">
        <f t="shared" si="102"/>
        <v>101</v>
      </c>
      <c r="O1613">
        <f t="shared" si="103"/>
        <v>2025.4166666666667</v>
      </c>
    </row>
    <row r="1614" spans="1:15" x14ac:dyDescent="0.2">
      <c r="A1614" t="s">
        <v>19</v>
      </c>
      <c r="B1614">
        <v>9</v>
      </c>
      <c r="C1614">
        <v>53</v>
      </c>
      <c r="D1614">
        <v>43</v>
      </c>
      <c r="E1614">
        <v>12</v>
      </c>
      <c r="F1614">
        <v>50</v>
      </c>
      <c r="G1614">
        <v>2116602</v>
      </c>
      <c r="H1614">
        <v>0</v>
      </c>
      <c r="I1614">
        <v>1</v>
      </c>
      <c r="J1614">
        <v>1</v>
      </c>
      <c r="K1614">
        <v>0</v>
      </c>
      <c r="L1614">
        <f t="shared" si="100"/>
        <v>12</v>
      </c>
      <c r="M1614">
        <f t="shared" si="101"/>
        <v>144</v>
      </c>
      <c r="N1614">
        <f t="shared" si="102"/>
        <v>101</v>
      </c>
      <c r="O1614">
        <f t="shared" si="103"/>
        <v>2025.4166666666667</v>
      </c>
    </row>
    <row r="1615" spans="1:15" x14ac:dyDescent="0.2">
      <c r="A1615" t="s">
        <v>19</v>
      </c>
      <c r="B1615">
        <v>9</v>
      </c>
      <c r="C1615">
        <v>53</v>
      </c>
      <c r="D1615">
        <v>44</v>
      </c>
      <c r="E1615">
        <v>2</v>
      </c>
      <c r="F1615">
        <v>52</v>
      </c>
      <c r="G1615">
        <v>2110001</v>
      </c>
      <c r="H1615">
        <v>0</v>
      </c>
      <c r="I1615">
        <v>1</v>
      </c>
      <c r="J1615">
        <v>1</v>
      </c>
      <c r="K1615">
        <v>0</v>
      </c>
      <c r="L1615">
        <f t="shared" si="100"/>
        <v>12</v>
      </c>
      <c r="M1615">
        <f t="shared" si="101"/>
        <v>144</v>
      </c>
      <c r="N1615">
        <f t="shared" si="102"/>
        <v>100</v>
      </c>
      <c r="O1615">
        <f t="shared" si="103"/>
        <v>2025.3333333333333</v>
      </c>
    </row>
    <row r="1616" spans="1:15" x14ac:dyDescent="0.2">
      <c r="A1616" t="s">
        <v>19</v>
      </c>
      <c r="B1616">
        <v>9</v>
      </c>
      <c r="C1616">
        <v>53</v>
      </c>
      <c r="D1616">
        <v>47</v>
      </c>
      <c r="E1616">
        <v>2</v>
      </c>
      <c r="F1616">
        <v>52</v>
      </c>
      <c r="G1616">
        <v>2094601</v>
      </c>
      <c r="H1616">
        <v>0</v>
      </c>
      <c r="I1616">
        <v>1</v>
      </c>
      <c r="J1616">
        <v>1</v>
      </c>
      <c r="K1616">
        <v>0</v>
      </c>
      <c r="L1616">
        <f t="shared" si="100"/>
        <v>12</v>
      </c>
      <c r="M1616">
        <f t="shared" si="101"/>
        <v>144</v>
      </c>
      <c r="N1616">
        <f t="shared" si="102"/>
        <v>97</v>
      </c>
      <c r="O1616">
        <f t="shared" si="103"/>
        <v>2025.0833333333333</v>
      </c>
    </row>
    <row r="1617" spans="1:15" x14ac:dyDescent="0.2">
      <c r="A1617" t="s">
        <v>19</v>
      </c>
      <c r="B1617">
        <v>9</v>
      </c>
      <c r="C1617">
        <v>53</v>
      </c>
      <c r="D1617">
        <v>49</v>
      </c>
      <c r="E1617">
        <v>1</v>
      </c>
      <c r="F1617">
        <v>51</v>
      </c>
      <c r="G1617">
        <v>2088201</v>
      </c>
      <c r="H1617">
        <v>1</v>
      </c>
      <c r="I1617">
        <v>0</v>
      </c>
      <c r="J1617">
        <v>1</v>
      </c>
      <c r="K1617">
        <v>0</v>
      </c>
      <c r="L1617">
        <f t="shared" si="100"/>
        <v>12</v>
      </c>
      <c r="M1617">
        <f t="shared" si="101"/>
        <v>144</v>
      </c>
      <c r="N1617">
        <f t="shared" si="102"/>
        <v>95</v>
      </c>
      <c r="O1617">
        <f t="shared" si="103"/>
        <v>2024.9166666666667</v>
      </c>
    </row>
    <row r="1618" spans="1:15" x14ac:dyDescent="0.2">
      <c r="A1618" t="s">
        <v>19</v>
      </c>
      <c r="B1618">
        <v>9</v>
      </c>
      <c r="C1618">
        <v>53</v>
      </c>
      <c r="D1618">
        <v>59</v>
      </c>
      <c r="E1618">
        <v>1</v>
      </c>
      <c r="F1618">
        <v>50</v>
      </c>
      <c r="G1618">
        <v>2034801</v>
      </c>
      <c r="H1618">
        <v>0</v>
      </c>
      <c r="I1618">
        <v>1</v>
      </c>
      <c r="J1618">
        <v>1</v>
      </c>
      <c r="K1618">
        <v>0</v>
      </c>
      <c r="L1618">
        <f t="shared" si="100"/>
        <v>12</v>
      </c>
      <c r="M1618">
        <f t="shared" si="101"/>
        <v>144</v>
      </c>
      <c r="N1618">
        <f t="shared" si="102"/>
        <v>85</v>
      </c>
      <c r="O1618">
        <f t="shared" si="103"/>
        <v>2024.0833333333333</v>
      </c>
    </row>
    <row r="1619" spans="1:15" x14ac:dyDescent="0.2">
      <c r="A1619" t="s">
        <v>19</v>
      </c>
      <c r="B1619">
        <v>9</v>
      </c>
      <c r="C1619">
        <v>53</v>
      </c>
      <c r="D1619">
        <v>63</v>
      </c>
      <c r="E1619">
        <v>1</v>
      </c>
      <c r="F1619">
        <v>51</v>
      </c>
      <c r="G1619">
        <v>2018001</v>
      </c>
      <c r="H1619">
        <v>0</v>
      </c>
      <c r="I1619">
        <v>1</v>
      </c>
      <c r="J1619">
        <v>1</v>
      </c>
      <c r="K1619">
        <v>0</v>
      </c>
      <c r="L1619">
        <f t="shared" si="100"/>
        <v>12</v>
      </c>
      <c r="M1619">
        <f t="shared" si="101"/>
        <v>144</v>
      </c>
      <c r="N1619">
        <f t="shared" si="102"/>
        <v>81</v>
      </c>
      <c r="O1619">
        <f t="shared" si="103"/>
        <v>2023.75</v>
      </c>
    </row>
    <row r="1620" spans="1:15" x14ac:dyDescent="0.2">
      <c r="A1620" t="s">
        <v>19</v>
      </c>
      <c r="B1620">
        <v>9</v>
      </c>
      <c r="C1620">
        <v>53</v>
      </c>
      <c r="D1620">
        <v>77</v>
      </c>
      <c r="E1620">
        <v>1</v>
      </c>
      <c r="F1620">
        <v>50</v>
      </c>
      <c r="G1620">
        <v>1975701</v>
      </c>
      <c r="H1620">
        <v>0</v>
      </c>
      <c r="I1620">
        <v>1</v>
      </c>
      <c r="J1620">
        <v>1</v>
      </c>
      <c r="K1620">
        <v>0</v>
      </c>
      <c r="L1620">
        <f t="shared" si="100"/>
        <v>12</v>
      </c>
      <c r="M1620">
        <f t="shared" si="101"/>
        <v>144</v>
      </c>
      <c r="N1620">
        <f t="shared" si="102"/>
        <v>67</v>
      </c>
      <c r="O1620">
        <f t="shared" si="103"/>
        <v>2022.5833333333333</v>
      </c>
    </row>
    <row r="1621" spans="1:15" x14ac:dyDescent="0.2">
      <c r="A1621" t="s">
        <v>19</v>
      </c>
      <c r="B1621">
        <v>9</v>
      </c>
      <c r="C1621">
        <v>53</v>
      </c>
      <c r="D1621">
        <v>85</v>
      </c>
      <c r="E1621">
        <v>1</v>
      </c>
      <c r="F1621">
        <v>50</v>
      </c>
      <c r="G1621">
        <v>1948501</v>
      </c>
      <c r="H1621">
        <v>0</v>
      </c>
      <c r="I1621">
        <v>1</v>
      </c>
      <c r="J1621">
        <v>1</v>
      </c>
      <c r="K1621">
        <v>0</v>
      </c>
      <c r="L1621">
        <f t="shared" si="100"/>
        <v>12</v>
      </c>
      <c r="M1621">
        <f t="shared" si="101"/>
        <v>144</v>
      </c>
      <c r="N1621">
        <f t="shared" si="102"/>
        <v>59</v>
      </c>
      <c r="O1621">
        <f t="shared" si="103"/>
        <v>2021.9166666666667</v>
      </c>
    </row>
    <row r="1622" spans="1:15" x14ac:dyDescent="0.2">
      <c r="A1622" t="s">
        <v>19</v>
      </c>
      <c r="B1622">
        <v>9</v>
      </c>
      <c r="C1622">
        <v>53</v>
      </c>
      <c r="D1622">
        <v>85</v>
      </c>
      <c r="E1622">
        <v>1</v>
      </c>
      <c r="F1622">
        <v>52</v>
      </c>
      <c r="G1622">
        <v>1952701</v>
      </c>
      <c r="H1622">
        <v>0</v>
      </c>
      <c r="I1622">
        <v>1</v>
      </c>
      <c r="J1622">
        <v>1</v>
      </c>
      <c r="K1622">
        <v>0</v>
      </c>
      <c r="L1622">
        <f t="shared" si="100"/>
        <v>12</v>
      </c>
      <c r="M1622">
        <f t="shared" si="101"/>
        <v>144</v>
      </c>
      <c r="N1622">
        <f t="shared" si="102"/>
        <v>59</v>
      </c>
      <c r="O1622">
        <f t="shared" si="103"/>
        <v>2021.9166666666667</v>
      </c>
    </row>
    <row r="1623" spans="1:15" x14ac:dyDescent="0.2">
      <c r="A1623" t="s">
        <v>19</v>
      </c>
      <c r="B1623">
        <v>9</v>
      </c>
      <c r="C1623">
        <v>53</v>
      </c>
      <c r="D1623">
        <v>87</v>
      </c>
      <c r="E1623">
        <v>1</v>
      </c>
      <c r="F1623">
        <v>39</v>
      </c>
      <c r="G1623">
        <v>685705</v>
      </c>
      <c r="H1623">
        <v>0</v>
      </c>
      <c r="I1623">
        <v>1</v>
      </c>
      <c r="J1623">
        <v>1</v>
      </c>
      <c r="K1623">
        <v>0</v>
      </c>
      <c r="L1623">
        <f t="shared" si="100"/>
        <v>12</v>
      </c>
      <c r="M1623">
        <f t="shared" si="101"/>
        <v>144</v>
      </c>
      <c r="N1623">
        <f t="shared" si="102"/>
        <v>57</v>
      </c>
      <c r="O1623">
        <f t="shared" si="103"/>
        <v>2021.75</v>
      </c>
    </row>
    <row r="1624" spans="1:15" x14ac:dyDescent="0.2">
      <c r="A1624" t="s">
        <v>19</v>
      </c>
      <c r="B1624">
        <v>9</v>
      </c>
      <c r="C1624">
        <v>53</v>
      </c>
      <c r="D1624">
        <v>91</v>
      </c>
      <c r="E1624">
        <v>2</v>
      </c>
      <c r="F1624">
        <v>49</v>
      </c>
      <c r="G1624">
        <v>1915901</v>
      </c>
      <c r="H1624">
        <v>0</v>
      </c>
      <c r="I1624">
        <v>1</v>
      </c>
      <c r="J1624">
        <v>1</v>
      </c>
      <c r="K1624">
        <v>0</v>
      </c>
      <c r="L1624">
        <f t="shared" si="100"/>
        <v>12</v>
      </c>
      <c r="M1624">
        <f t="shared" si="101"/>
        <v>144</v>
      </c>
      <c r="N1624">
        <f t="shared" si="102"/>
        <v>53</v>
      </c>
      <c r="O1624">
        <f t="shared" si="103"/>
        <v>2021.4166666666667</v>
      </c>
    </row>
    <row r="1625" spans="1:15" x14ac:dyDescent="0.2">
      <c r="A1625" t="s">
        <v>19</v>
      </c>
      <c r="B1625">
        <v>9</v>
      </c>
      <c r="C1625">
        <v>53</v>
      </c>
      <c r="D1625">
        <v>114</v>
      </c>
      <c r="E1625">
        <v>1</v>
      </c>
      <c r="F1625">
        <v>39</v>
      </c>
      <c r="G1625">
        <v>1684701</v>
      </c>
      <c r="H1625">
        <v>0</v>
      </c>
      <c r="I1625">
        <v>1</v>
      </c>
      <c r="J1625">
        <v>1</v>
      </c>
      <c r="K1625">
        <v>0</v>
      </c>
      <c r="L1625">
        <f t="shared" si="100"/>
        <v>12</v>
      </c>
      <c r="M1625">
        <f t="shared" si="101"/>
        <v>144</v>
      </c>
      <c r="N1625">
        <f t="shared" si="102"/>
        <v>30</v>
      </c>
      <c r="O1625">
        <f t="shared" si="103"/>
        <v>2019.5</v>
      </c>
    </row>
    <row r="1626" spans="1:15" x14ac:dyDescent="0.2">
      <c r="A1626" t="s">
        <v>19</v>
      </c>
      <c r="B1626">
        <v>9</v>
      </c>
      <c r="C1626">
        <v>53</v>
      </c>
      <c r="D1626">
        <v>129</v>
      </c>
      <c r="E1626">
        <v>1</v>
      </c>
      <c r="F1626">
        <v>51</v>
      </c>
      <c r="G1626">
        <v>1604301</v>
      </c>
      <c r="H1626">
        <v>1</v>
      </c>
      <c r="I1626">
        <v>0</v>
      </c>
      <c r="J1626">
        <v>1</v>
      </c>
      <c r="K1626">
        <v>0</v>
      </c>
      <c r="L1626">
        <f t="shared" si="100"/>
        <v>12</v>
      </c>
      <c r="M1626">
        <f t="shared" si="101"/>
        <v>144</v>
      </c>
      <c r="N1626">
        <f t="shared" si="102"/>
        <v>15</v>
      </c>
      <c r="O1626">
        <f t="shared" si="103"/>
        <v>2018.25</v>
      </c>
    </row>
    <row r="1627" spans="1:15" x14ac:dyDescent="0.2">
      <c r="A1627" t="s">
        <v>19</v>
      </c>
      <c r="B1627">
        <v>9</v>
      </c>
      <c r="C1627">
        <v>54</v>
      </c>
      <c r="D1627">
        <v>1</v>
      </c>
      <c r="E1627">
        <v>1</v>
      </c>
      <c r="F1627">
        <v>36</v>
      </c>
      <c r="G1627">
        <v>624102</v>
      </c>
      <c r="H1627">
        <v>0</v>
      </c>
      <c r="I1627">
        <v>1</v>
      </c>
      <c r="J1627">
        <v>1</v>
      </c>
      <c r="K1627">
        <v>0</v>
      </c>
      <c r="L1627">
        <f t="shared" si="100"/>
        <v>11</v>
      </c>
      <c r="M1627">
        <f t="shared" si="101"/>
        <v>132</v>
      </c>
      <c r="N1627">
        <f t="shared" si="102"/>
        <v>131</v>
      </c>
      <c r="O1627">
        <f t="shared" si="103"/>
        <v>2027.9166666666667</v>
      </c>
    </row>
    <row r="1628" spans="1:15" x14ac:dyDescent="0.2">
      <c r="A1628" t="s">
        <v>19</v>
      </c>
      <c r="B1628">
        <v>9</v>
      </c>
      <c r="C1628">
        <v>54</v>
      </c>
      <c r="D1628">
        <v>1</v>
      </c>
      <c r="E1628">
        <v>4</v>
      </c>
      <c r="F1628">
        <v>46</v>
      </c>
      <c r="G1628">
        <v>2408601</v>
      </c>
      <c r="H1628">
        <v>0</v>
      </c>
      <c r="I1628">
        <v>1</v>
      </c>
      <c r="J1628">
        <v>1</v>
      </c>
      <c r="K1628">
        <v>0</v>
      </c>
      <c r="L1628">
        <f t="shared" si="100"/>
        <v>11</v>
      </c>
      <c r="M1628">
        <f t="shared" si="101"/>
        <v>132</v>
      </c>
      <c r="N1628">
        <f t="shared" si="102"/>
        <v>131</v>
      </c>
      <c r="O1628">
        <f t="shared" si="103"/>
        <v>2027.9166666666667</v>
      </c>
    </row>
    <row r="1629" spans="1:15" x14ac:dyDescent="0.2">
      <c r="A1629" t="s">
        <v>19</v>
      </c>
      <c r="B1629">
        <v>9</v>
      </c>
      <c r="C1629">
        <v>54</v>
      </c>
      <c r="D1629">
        <v>2</v>
      </c>
      <c r="E1629">
        <v>4</v>
      </c>
      <c r="F1629">
        <v>52</v>
      </c>
      <c r="G1629">
        <v>2375401</v>
      </c>
      <c r="H1629">
        <v>0</v>
      </c>
      <c r="I1629">
        <v>1</v>
      </c>
      <c r="J1629">
        <v>1</v>
      </c>
      <c r="K1629">
        <v>0</v>
      </c>
      <c r="L1629">
        <f t="shared" si="100"/>
        <v>11</v>
      </c>
      <c r="M1629">
        <f t="shared" si="101"/>
        <v>132</v>
      </c>
      <c r="N1629">
        <f t="shared" si="102"/>
        <v>130</v>
      </c>
      <c r="O1629">
        <f t="shared" si="103"/>
        <v>2027.8333333333333</v>
      </c>
    </row>
    <row r="1630" spans="1:15" x14ac:dyDescent="0.2">
      <c r="A1630" t="s">
        <v>19</v>
      </c>
      <c r="B1630">
        <v>9</v>
      </c>
      <c r="C1630">
        <v>54</v>
      </c>
      <c r="D1630">
        <v>2</v>
      </c>
      <c r="E1630">
        <v>12</v>
      </c>
      <c r="F1630">
        <v>52</v>
      </c>
      <c r="G1630">
        <v>2375603</v>
      </c>
      <c r="H1630">
        <v>1</v>
      </c>
      <c r="I1630">
        <v>0</v>
      </c>
      <c r="J1630">
        <v>1</v>
      </c>
      <c r="K1630">
        <v>0</v>
      </c>
      <c r="L1630">
        <f t="shared" si="100"/>
        <v>11</v>
      </c>
      <c r="M1630">
        <f t="shared" si="101"/>
        <v>132</v>
      </c>
      <c r="N1630">
        <f t="shared" si="102"/>
        <v>130</v>
      </c>
      <c r="O1630">
        <f t="shared" si="103"/>
        <v>2027.8333333333333</v>
      </c>
    </row>
    <row r="1631" spans="1:15" x14ac:dyDescent="0.2">
      <c r="A1631" t="s">
        <v>19</v>
      </c>
      <c r="B1631">
        <v>9</v>
      </c>
      <c r="C1631">
        <v>54</v>
      </c>
      <c r="D1631">
        <v>5</v>
      </c>
      <c r="E1631">
        <v>2</v>
      </c>
      <c r="F1631">
        <v>50</v>
      </c>
      <c r="G1631">
        <v>2346801</v>
      </c>
      <c r="H1631">
        <v>0</v>
      </c>
      <c r="I1631">
        <v>1</v>
      </c>
      <c r="J1631">
        <v>1</v>
      </c>
      <c r="K1631">
        <v>0</v>
      </c>
      <c r="L1631">
        <f t="shared" si="100"/>
        <v>11</v>
      </c>
      <c r="M1631">
        <f t="shared" si="101"/>
        <v>132</v>
      </c>
      <c r="N1631">
        <f t="shared" si="102"/>
        <v>127</v>
      </c>
      <c r="O1631">
        <f t="shared" si="103"/>
        <v>2027.5833333333333</v>
      </c>
    </row>
    <row r="1632" spans="1:15" x14ac:dyDescent="0.2">
      <c r="A1632" t="s">
        <v>19</v>
      </c>
      <c r="B1632">
        <v>9</v>
      </c>
      <c r="C1632">
        <v>54</v>
      </c>
      <c r="D1632">
        <v>5</v>
      </c>
      <c r="E1632">
        <v>6</v>
      </c>
      <c r="F1632">
        <v>45</v>
      </c>
      <c r="G1632">
        <v>2345403</v>
      </c>
      <c r="H1632">
        <v>1</v>
      </c>
      <c r="I1632">
        <v>0</v>
      </c>
      <c r="J1632">
        <v>1</v>
      </c>
      <c r="K1632">
        <v>0</v>
      </c>
      <c r="L1632">
        <f t="shared" si="100"/>
        <v>11</v>
      </c>
      <c r="M1632">
        <f t="shared" si="101"/>
        <v>132</v>
      </c>
      <c r="N1632">
        <f t="shared" si="102"/>
        <v>127</v>
      </c>
      <c r="O1632">
        <f t="shared" si="103"/>
        <v>2027.5833333333333</v>
      </c>
    </row>
    <row r="1633" spans="1:15" x14ac:dyDescent="0.2">
      <c r="A1633" t="s">
        <v>19</v>
      </c>
      <c r="B1633">
        <v>9</v>
      </c>
      <c r="C1633">
        <v>54</v>
      </c>
      <c r="D1633">
        <v>5</v>
      </c>
      <c r="E1633">
        <v>12</v>
      </c>
      <c r="F1633">
        <v>40</v>
      </c>
      <c r="G1633">
        <v>2363501</v>
      </c>
      <c r="H1633">
        <v>0</v>
      </c>
      <c r="I1633">
        <v>1</v>
      </c>
      <c r="J1633">
        <v>1</v>
      </c>
      <c r="K1633">
        <v>0</v>
      </c>
      <c r="L1633">
        <f t="shared" si="100"/>
        <v>11</v>
      </c>
      <c r="M1633">
        <f t="shared" si="101"/>
        <v>132</v>
      </c>
      <c r="N1633">
        <f t="shared" si="102"/>
        <v>127</v>
      </c>
      <c r="O1633">
        <f t="shared" si="103"/>
        <v>2027.5833333333333</v>
      </c>
    </row>
    <row r="1634" spans="1:15" x14ac:dyDescent="0.2">
      <c r="A1634" t="s">
        <v>19</v>
      </c>
      <c r="B1634">
        <v>9</v>
      </c>
      <c r="C1634">
        <v>54</v>
      </c>
      <c r="D1634">
        <v>8</v>
      </c>
      <c r="E1634">
        <v>12</v>
      </c>
      <c r="F1634">
        <v>52</v>
      </c>
      <c r="G1634">
        <v>2314501</v>
      </c>
      <c r="H1634">
        <v>0</v>
      </c>
      <c r="I1634">
        <v>1</v>
      </c>
      <c r="J1634">
        <v>1</v>
      </c>
      <c r="K1634">
        <v>0</v>
      </c>
      <c r="L1634">
        <f t="shared" si="100"/>
        <v>11</v>
      </c>
      <c r="M1634">
        <f t="shared" si="101"/>
        <v>132</v>
      </c>
      <c r="N1634">
        <f t="shared" si="102"/>
        <v>124</v>
      </c>
      <c r="O1634">
        <f t="shared" si="103"/>
        <v>2027.3333333333333</v>
      </c>
    </row>
    <row r="1635" spans="1:15" x14ac:dyDescent="0.2">
      <c r="A1635" t="s">
        <v>19</v>
      </c>
      <c r="B1635">
        <v>9</v>
      </c>
      <c r="C1635">
        <v>54</v>
      </c>
      <c r="D1635">
        <v>8</v>
      </c>
      <c r="E1635">
        <v>12</v>
      </c>
      <c r="F1635">
        <v>54</v>
      </c>
      <c r="G1635">
        <v>2354603</v>
      </c>
      <c r="H1635">
        <v>0</v>
      </c>
      <c r="I1635">
        <v>1</v>
      </c>
      <c r="J1635">
        <v>1</v>
      </c>
      <c r="K1635">
        <v>0</v>
      </c>
      <c r="L1635">
        <f t="shared" si="100"/>
        <v>11</v>
      </c>
      <c r="M1635">
        <f t="shared" si="101"/>
        <v>132</v>
      </c>
      <c r="N1635">
        <f t="shared" si="102"/>
        <v>124</v>
      </c>
      <c r="O1635">
        <f t="shared" si="103"/>
        <v>2027.3333333333333</v>
      </c>
    </row>
    <row r="1636" spans="1:15" x14ac:dyDescent="0.2">
      <c r="A1636" t="s">
        <v>19</v>
      </c>
      <c r="B1636">
        <v>9</v>
      </c>
      <c r="C1636">
        <v>54</v>
      </c>
      <c r="D1636">
        <v>9</v>
      </c>
      <c r="E1636">
        <v>12</v>
      </c>
      <c r="F1636">
        <v>40</v>
      </c>
      <c r="G1636">
        <v>2337005</v>
      </c>
      <c r="H1636">
        <v>0</v>
      </c>
      <c r="I1636">
        <v>1</v>
      </c>
      <c r="J1636">
        <v>1</v>
      </c>
      <c r="K1636">
        <v>0</v>
      </c>
      <c r="L1636">
        <f t="shared" si="100"/>
        <v>11</v>
      </c>
      <c r="M1636">
        <f t="shared" si="101"/>
        <v>132</v>
      </c>
      <c r="N1636">
        <f t="shared" si="102"/>
        <v>123</v>
      </c>
      <c r="O1636">
        <f t="shared" si="103"/>
        <v>2027.25</v>
      </c>
    </row>
    <row r="1637" spans="1:15" x14ac:dyDescent="0.2">
      <c r="A1637" t="s">
        <v>19</v>
      </c>
      <c r="B1637">
        <v>9</v>
      </c>
      <c r="C1637">
        <v>54</v>
      </c>
      <c r="D1637">
        <v>9</v>
      </c>
      <c r="E1637">
        <v>12</v>
      </c>
      <c r="F1637">
        <v>51</v>
      </c>
      <c r="G1637">
        <v>2305003</v>
      </c>
      <c r="H1637">
        <v>0</v>
      </c>
      <c r="I1637">
        <v>1</v>
      </c>
      <c r="J1637">
        <v>1</v>
      </c>
      <c r="K1637">
        <v>0</v>
      </c>
      <c r="L1637">
        <f t="shared" si="100"/>
        <v>11</v>
      </c>
      <c r="M1637">
        <f t="shared" si="101"/>
        <v>132</v>
      </c>
      <c r="N1637">
        <f t="shared" si="102"/>
        <v>123</v>
      </c>
      <c r="O1637">
        <f t="shared" si="103"/>
        <v>2027.25</v>
      </c>
    </row>
    <row r="1638" spans="1:15" x14ac:dyDescent="0.2">
      <c r="A1638" t="s">
        <v>19</v>
      </c>
      <c r="B1638">
        <v>9</v>
      </c>
      <c r="C1638">
        <v>54</v>
      </c>
      <c r="D1638">
        <v>9</v>
      </c>
      <c r="E1638">
        <v>12</v>
      </c>
      <c r="F1638">
        <v>53</v>
      </c>
      <c r="G1638">
        <v>2302903</v>
      </c>
      <c r="H1638">
        <v>0</v>
      </c>
      <c r="I1638">
        <v>1</v>
      </c>
      <c r="J1638">
        <v>1</v>
      </c>
      <c r="K1638">
        <v>0</v>
      </c>
      <c r="L1638">
        <f t="shared" si="100"/>
        <v>11</v>
      </c>
      <c r="M1638">
        <f t="shared" si="101"/>
        <v>132</v>
      </c>
      <c r="N1638">
        <f t="shared" si="102"/>
        <v>123</v>
      </c>
      <c r="O1638">
        <f t="shared" si="103"/>
        <v>2027.25</v>
      </c>
    </row>
    <row r="1639" spans="1:15" x14ac:dyDescent="0.2">
      <c r="A1639" t="s">
        <v>19</v>
      </c>
      <c r="B1639">
        <v>9</v>
      </c>
      <c r="C1639">
        <v>54</v>
      </c>
      <c r="D1639">
        <v>10</v>
      </c>
      <c r="E1639">
        <v>12</v>
      </c>
      <c r="F1639">
        <v>36</v>
      </c>
      <c r="G1639">
        <v>2358903</v>
      </c>
      <c r="H1639">
        <v>0</v>
      </c>
      <c r="I1639">
        <v>1</v>
      </c>
      <c r="J1639">
        <v>1</v>
      </c>
      <c r="K1639">
        <v>0</v>
      </c>
      <c r="L1639">
        <f t="shared" si="100"/>
        <v>11</v>
      </c>
      <c r="M1639">
        <f t="shared" si="101"/>
        <v>132</v>
      </c>
      <c r="N1639">
        <f t="shared" si="102"/>
        <v>122</v>
      </c>
      <c r="O1639">
        <f t="shared" si="103"/>
        <v>2027.1666666666667</v>
      </c>
    </row>
    <row r="1640" spans="1:15" x14ac:dyDescent="0.2">
      <c r="A1640" t="s">
        <v>19</v>
      </c>
      <c r="B1640">
        <v>9</v>
      </c>
      <c r="C1640">
        <v>54</v>
      </c>
      <c r="D1640">
        <v>10</v>
      </c>
      <c r="E1640">
        <v>12</v>
      </c>
      <c r="F1640">
        <v>52</v>
      </c>
      <c r="G1640">
        <v>2355405</v>
      </c>
      <c r="H1640">
        <v>0</v>
      </c>
      <c r="I1640">
        <v>1</v>
      </c>
      <c r="J1640">
        <v>1</v>
      </c>
      <c r="K1640">
        <v>0</v>
      </c>
      <c r="L1640">
        <f t="shared" si="100"/>
        <v>11</v>
      </c>
      <c r="M1640">
        <f t="shared" si="101"/>
        <v>132</v>
      </c>
      <c r="N1640">
        <f t="shared" si="102"/>
        <v>122</v>
      </c>
      <c r="O1640">
        <f t="shared" si="103"/>
        <v>2027.1666666666667</v>
      </c>
    </row>
    <row r="1641" spans="1:15" x14ac:dyDescent="0.2">
      <c r="A1641" t="s">
        <v>19</v>
      </c>
      <c r="B1641">
        <v>9</v>
      </c>
      <c r="C1641">
        <v>54</v>
      </c>
      <c r="D1641">
        <v>15</v>
      </c>
      <c r="E1641">
        <v>2</v>
      </c>
      <c r="F1641">
        <v>48</v>
      </c>
      <c r="G1641">
        <v>2247901</v>
      </c>
      <c r="H1641">
        <v>0</v>
      </c>
      <c r="I1641">
        <v>1</v>
      </c>
      <c r="J1641">
        <v>1</v>
      </c>
      <c r="K1641">
        <v>0</v>
      </c>
      <c r="L1641">
        <f t="shared" si="100"/>
        <v>11</v>
      </c>
      <c r="M1641">
        <f t="shared" si="101"/>
        <v>132</v>
      </c>
      <c r="N1641">
        <f t="shared" si="102"/>
        <v>117</v>
      </c>
      <c r="O1641">
        <f t="shared" si="103"/>
        <v>2026.75</v>
      </c>
    </row>
    <row r="1642" spans="1:15" x14ac:dyDescent="0.2">
      <c r="A1642" t="s">
        <v>19</v>
      </c>
      <c r="B1642">
        <v>9</v>
      </c>
      <c r="C1642">
        <v>54</v>
      </c>
      <c r="D1642">
        <v>23</v>
      </c>
      <c r="E1642">
        <v>12</v>
      </c>
      <c r="F1642">
        <v>50</v>
      </c>
      <c r="G1642">
        <v>2087602</v>
      </c>
      <c r="H1642">
        <v>0</v>
      </c>
      <c r="I1642">
        <v>1</v>
      </c>
      <c r="J1642">
        <v>1</v>
      </c>
      <c r="K1642">
        <v>0</v>
      </c>
      <c r="L1642">
        <f t="shared" si="100"/>
        <v>11</v>
      </c>
      <c r="M1642">
        <f t="shared" si="101"/>
        <v>132</v>
      </c>
      <c r="N1642">
        <f t="shared" si="102"/>
        <v>109</v>
      </c>
      <c r="O1642">
        <f t="shared" si="103"/>
        <v>2026.0833333333333</v>
      </c>
    </row>
    <row r="1643" spans="1:15" x14ac:dyDescent="0.2">
      <c r="A1643" t="s">
        <v>19</v>
      </c>
      <c r="B1643">
        <v>9</v>
      </c>
      <c r="C1643">
        <v>54</v>
      </c>
      <c r="D1643">
        <v>24</v>
      </c>
      <c r="E1643">
        <v>1</v>
      </c>
      <c r="F1643">
        <v>53</v>
      </c>
      <c r="G1643">
        <v>2206201</v>
      </c>
      <c r="H1643">
        <v>1</v>
      </c>
      <c r="I1643">
        <v>0</v>
      </c>
      <c r="J1643">
        <v>1</v>
      </c>
      <c r="K1643">
        <v>0</v>
      </c>
      <c r="L1643">
        <f t="shared" si="100"/>
        <v>11</v>
      </c>
      <c r="M1643">
        <f t="shared" si="101"/>
        <v>132</v>
      </c>
      <c r="N1643">
        <f t="shared" si="102"/>
        <v>108</v>
      </c>
      <c r="O1643">
        <f t="shared" si="103"/>
        <v>2026</v>
      </c>
    </row>
    <row r="1644" spans="1:15" x14ac:dyDescent="0.2">
      <c r="A1644" t="s">
        <v>19</v>
      </c>
      <c r="B1644">
        <v>9</v>
      </c>
      <c r="C1644">
        <v>54</v>
      </c>
      <c r="D1644">
        <v>24</v>
      </c>
      <c r="E1644">
        <v>1</v>
      </c>
      <c r="F1644">
        <v>53</v>
      </c>
      <c r="G1644">
        <v>2208201</v>
      </c>
      <c r="H1644">
        <v>0</v>
      </c>
      <c r="I1644">
        <v>1</v>
      </c>
      <c r="J1644">
        <v>1</v>
      </c>
      <c r="K1644">
        <v>0</v>
      </c>
      <c r="L1644">
        <f t="shared" si="100"/>
        <v>11</v>
      </c>
      <c r="M1644">
        <f t="shared" si="101"/>
        <v>132</v>
      </c>
      <c r="N1644">
        <f t="shared" si="102"/>
        <v>108</v>
      </c>
      <c r="O1644">
        <f t="shared" si="103"/>
        <v>2026</v>
      </c>
    </row>
    <row r="1645" spans="1:15" x14ac:dyDescent="0.2">
      <c r="A1645" t="s">
        <v>19</v>
      </c>
      <c r="B1645">
        <v>9</v>
      </c>
      <c r="C1645">
        <v>54</v>
      </c>
      <c r="D1645">
        <v>27</v>
      </c>
      <c r="E1645">
        <v>1</v>
      </c>
      <c r="F1645">
        <v>48</v>
      </c>
      <c r="G1645">
        <v>2192601</v>
      </c>
      <c r="H1645">
        <v>1</v>
      </c>
      <c r="I1645">
        <v>0</v>
      </c>
      <c r="J1645">
        <v>1</v>
      </c>
      <c r="K1645">
        <v>0</v>
      </c>
      <c r="L1645">
        <f t="shared" si="100"/>
        <v>11</v>
      </c>
      <c r="M1645">
        <f t="shared" si="101"/>
        <v>132</v>
      </c>
      <c r="N1645">
        <f t="shared" si="102"/>
        <v>105</v>
      </c>
      <c r="O1645">
        <f t="shared" si="103"/>
        <v>2025.75</v>
      </c>
    </row>
    <row r="1646" spans="1:15" x14ac:dyDescent="0.2">
      <c r="A1646" t="s">
        <v>19</v>
      </c>
      <c r="B1646">
        <v>9</v>
      </c>
      <c r="C1646">
        <v>54</v>
      </c>
      <c r="D1646">
        <v>38</v>
      </c>
      <c r="E1646">
        <v>12</v>
      </c>
      <c r="F1646">
        <v>52</v>
      </c>
      <c r="G1646">
        <v>2138401</v>
      </c>
      <c r="H1646">
        <v>1</v>
      </c>
      <c r="I1646">
        <v>0</v>
      </c>
      <c r="J1646">
        <v>1</v>
      </c>
      <c r="K1646">
        <v>0</v>
      </c>
      <c r="L1646">
        <f t="shared" si="100"/>
        <v>11</v>
      </c>
      <c r="M1646">
        <f t="shared" si="101"/>
        <v>132</v>
      </c>
      <c r="N1646">
        <f t="shared" si="102"/>
        <v>94</v>
      </c>
      <c r="O1646">
        <f t="shared" si="103"/>
        <v>2024.8333333333333</v>
      </c>
    </row>
    <row r="1647" spans="1:15" x14ac:dyDescent="0.2">
      <c r="A1647" t="s">
        <v>19</v>
      </c>
      <c r="B1647">
        <v>9</v>
      </c>
      <c r="C1647">
        <v>54</v>
      </c>
      <c r="D1647">
        <v>43</v>
      </c>
      <c r="E1647">
        <v>1</v>
      </c>
      <c r="F1647">
        <v>52</v>
      </c>
      <c r="G1647">
        <v>2119001</v>
      </c>
      <c r="H1647">
        <v>0</v>
      </c>
      <c r="I1647">
        <v>1</v>
      </c>
      <c r="J1647">
        <v>1</v>
      </c>
      <c r="K1647">
        <v>0</v>
      </c>
      <c r="L1647">
        <f t="shared" si="100"/>
        <v>11</v>
      </c>
      <c r="M1647">
        <f t="shared" si="101"/>
        <v>132</v>
      </c>
      <c r="N1647">
        <f t="shared" si="102"/>
        <v>89</v>
      </c>
      <c r="O1647">
        <f t="shared" si="103"/>
        <v>2024.4166666666667</v>
      </c>
    </row>
    <row r="1648" spans="1:15" x14ac:dyDescent="0.2">
      <c r="A1648" t="s">
        <v>19</v>
      </c>
      <c r="B1648">
        <v>9</v>
      </c>
      <c r="C1648">
        <v>54</v>
      </c>
      <c r="D1648">
        <v>44</v>
      </c>
      <c r="E1648">
        <v>1</v>
      </c>
      <c r="F1648">
        <v>54</v>
      </c>
      <c r="G1648">
        <v>2111801</v>
      </c>
      <c r="H1648">
        <v>1</v>
      </c>
      <c r="I1648">
        <v>0</v>
      </c>
      <c r="J1648">
        <v>1</v>
      </c>
      <c r="K1648">
        <v>0</v>
      </c>
      <c r="L1648">
        <f t="shared" si="100"/>
        <v>11</v>
      </c>
      <c r="M1648">
        <f t="shared" si="101"/>
        <v>132</v>
      </c>
      <c r="N1648">
        <f t="shared" si="102"/>
        <v>88</v>
      </c>
      <c r="O1648">
        <f t="shared" si="103"/>
        <v>2024.3333333333333</v>
      </c>
    </row>
    <row r="1649" spans="1:15" x14ac:dyDescent="0.2">
      <c r="A1649" t="s">
        <v>19</v>
      </c>
      <c r="B1649">
        <v>9</v>
      </c>
      <c r="C1649">
        <v>54</v>
      </c>
      <c r="D1649">
        <v>54</v>
      </c>
      <c r="E1649">
        <v>2</v>
      </c>
      <c r="F1649">
        <v>50</v>
      </c>
      <c r="G1649">
        <v>2057901</v>
      </c>
      <c r="H1649">
        <v>1</v>
      </c>
      <c r="I1649">
        <v>0</v>
      </c>
      <c r="J1649">
        <v>1</v>
      </c>
      <c r="K1649">
        <v>0</v>
      </c>
      <c r="L1649">
        <f t="shared" si="100"/>
        <v>11</v>
      </c>
      <c r="M1649">
        <f t="shared" si="101"/>
        <v>132</v>
      </c>
      <c r="N1649">
        <f t="shared" si="102"/>
        <v>78</v>
      </c>
      <c r="O1649">
        <f t="shared" si="103"/>
        <v>2023.5</v>
      </c>
    </row>
    <row r="1650" spans="1:15" x14ac:dyDescent="0.2">
      <c r="A1650" t="s">
        <v>19</v>
      </c>
      <c r="B1650">
        <v>9</v>
      </c>
      <c r="C1650">
        <v>54</v>
      </c>
      <c r="D1650">
        <v>54</v>
      </c>
      <c r="E1650">
        <v>2</v>
      </c>
      <c r="F1650">
        <v>52</v>
      </c>
      <c r="G1650">
        <v>2060101</v>
      </c>
      <c r="H1650">
        <v>1</v>
      </c>
      <c r="I1650">
        <v>0</v>
      </c>
      <c r="J1650">
        <v>1</v>
      </c>
      <c r="K1650">
        <v>0</v>
      </c>
      <c r="L1650">
        <f t="shared" si="100"/>
        <v>11</v>
      </c>
      <c r="M1650">
        <f t="shared" si="101"/>
        <v>132</v>
      </c>
      <c r="N1650">
        <f t="shared" si="102"/>
        <v>78</v>
      </c>
      <c r="O1650">
        <f t="shared" si="103"/>
        <v>2023.5</v>
      </c>
    </row>
    <row r="1651" spans="1:15" x14ac:dyDescent="0.2">
      <c r="A1651" t="s">
        <v>19</v>
      </c>
      <c r="B1651">
        <v>9</v>
      </c>
      <c r="C1651">
        <v>54</v>
      </c>
      <c r="D1651">
        <v>56</v>
      </c>
      <c r="E1651">
        <v>1</v>
      </c>
      <c r="F1651">
        <v>52</v>
      </c>
      <c r="G1651">
        <v>284703</v>
      </c>
      <c r="H1651">
        <v>0</v>
      </c>
      <c r="I1651">
        <v>1</v>
      </c>
      <c r="J1651">
        <v>1</v>
      </c>
      <c r="K1651">
        <v>0</v>
      </c>
      <c r="L1651">
        <f t="shared" si="100"/>
        <v>11</v>
      </c>
      <c r="M1651">
        <f t="shared" si="101"/>
        <v>132</v>
      </c>
      <c r="N1651">
        <f t="shared" si="102"/>
        <v>76</v>
      </c>
      <c r="O1651">
        <f t="shared" si="103"/>
        <v>2023.3333333333333</v>
      </c>
    </row>
    <row r="1652" spans="1:15" x14ac:dyDescent="0.2">
      <c r="A1652" t="s">
        <v>19</v>
      </c>
      <c r="B1652">
        <v>9</v>
      </c>
      <c r="C1652">
        <v>54</v>
      </c>
      <c r="D1652">
        <v>56</v>
      </c>
      <c r="E1652">
        <v>1</v>
      </c>
      <c r="F1652">
        <v>52</v>
      </c>
      <c r="G1652">
        <v>2049401</v>
      </c>
      <c r="H1652">
        <v>0</v>
      </c>
      <c r="I1652">
        <v>1</v>
      </c>
      <c r="J1652">
        <v>1</v>
      </c>
      <c r="K1652">
        <v>0</v>
      </c>
      <c r="L1652">
        <f t="shared" si="100"/>
        <v>11</v>
      </c>
      <c r="M1652">
        <f t="shared" si="101"/>
        <v>132</v>
      </c>
      <c r="N1652">
        <f t="shared" si="102"/>
        <v>76</v>
      </c>
      <c r="O1652">
        <f t="shared" si="103"/>
        <v>2023.3333333333333</v>
      </c>
    </row>
    <row r="1653" spans="1:15" x14ac:dyDescent="0.2">
      <c r="A1653" t="s">
        <v>19</v>
      </c>
      <c r="B1653">
        <v>9</v>
      </c>
      <c r="C1653">
        <v>54</v>
      </c>
      <c r="D1653">
        <v>58</v>
      </c>
      <c r="E1653">
        <v>1</v>
      </c>
      <c r="F1653">
        <v>53</v>
      </c>
      <c r="G1653">
        <v>2037401</v>
      </c>
      <c r="H1653">
        <v>0</v>
      </c>
      <c r="I1653">
        <v>1</v>
      </c>
      <c r="J1653">
        <v>1</v>
      </c>
      <c r="K1653">
        <v>0</v>
      </c>
      <c r="L1653">
        <f t="shared" si="100"/>
        <v>11</v>
      </c>
      <c r="M1653">
        <f t="shared" si="101"/>
        <v>132</v>
      </c>
      <c r="N1653">
        <f t="shared" si="102"/>
        <v>74</v>
      </c>
      <c r="O1653">
        <f t="shared" si="103"/>
        <v>2023.1666666666667</v>
      </c>
    </row>
    <row r="1654" spans="1:15" x14ac:dyDescent="0.2">
      <c r="A1654" t="s">
        <v>19</v>
      </c>
      <c r="B1654">
        <v>9</v>
      </c>
      <c r="C1654">
        <v>54</v>
      </c>
      <c r="D1654">
        <v>61</v>
      </c>
      <c r="E1654">
        <v>1</v>
      </c>
      <c r="F1654">
        <v>43</v>
      </c>
      <c r="G1654">
        <v>569704</v>
      </c>
      <c r="H1654">
        <v>0</v>
      </c>
      <c r="I1654">
        <v>1</v>
      </c>
      <c r="J1654">
        <v>1</v>
      </c>
      <c r="K1654">
        <v>0</v>
      </c>
      <c r="L1654">
        <f t="shared" si="100"/>
        <v>11</v>
      </c>
      <c r="M1654">
        <f t="shared" si="101"/>
        <v>132</v>
      </c>
      <c r="N1654">
        <f t="shared" si="102"/>
        <v>71</v>
      </c>
      <c r="O1654">
        <f t="shared" si="103"/>
        <v>2022.9166666666667</v>
      </c>
    </row>
    <row r="1655" spans="1:15" x14ac:dyDescent="0.2">
      <c r="A1655" t="s">
        <v>19</v>
      </c>
      <c r="B1655">
        <v>9</v>
      </c>
      <c r="C1655">
        <v>54</v>
      </c>
      <c r="D1655">
        <v>61</v>
      </c>
      <c r="E1655">
        <v>2</v>
      </c>
      <c r="F1655">
        <v>54</v>
      </c>
      <c r="G1655">
        <v>2026401</v>
      </c>
      <c r="H1655">
        <v>0</v>
      </c>
      <c r="I1655">
        <v>1</v>
      </c>
      <c r="J1655">
        <v>1</v>
      </c>
      <c r="K1655">
        <v>0</v>
      </c>
      <c r="L1655">
        <f t="shared" si="100"/>
        <v>11</v>
      </c>
      <c r="M1655">
        <f t="shared" si="101"/>
        <v>132</v>
      </c>
      <c r="N1655">
        <f t="shared" si="102"/>
        <v>71</v>
      </c>
      <c r="O1655">
        <f t="shared" si="103"/>
        <v>2022.9166666666667</v>
      </c>
    </row>
    <row r="1656" spans="1:15" x14ac:dyDescent="0.2">
      <c r="A1656" t="s">
        <v>19</v>
      </c>
      <c r="B1656">
        <v>9</v>
      </c>
      <c r="C1656">
        <v>54</v>
      </c>
      <c r="D1656">
        <v>62</v>
      </c>
      <c r="E1656">
        <v>1</v>
      </c>
      <c r="F1656">
        <v>53</v>
      </c>
      <c r="G1656">
        <v>2023601</v>
      </c>
      <c r="H1656">
        <v>0</v>
      </c>
      <c r="I1656">
        <v>1</v>
      </c>
      <c r="J1656">
        <v>1</v>
      </c>
      <c r="K1656">
        <v>0</v>
      </c>
      <c r="L1656">
        <f t="shared" si="100"/>
        <v>11</v>
      </c>
      <c r="M1656">
        <f t="shared" si="101"/>
        <v>132</v>
      </c>
      <c r="N1656">
        <f t="shared" si="102"/>
        <v>70</v>
      </c>
      <c r="O1656">
        <f t="shared" si="103"/>
        <v>2022.8333333333333</v>
      </c>
    </row>
    <row r="1657" spans="1:15" x14ac:dyDescent="0.2">
      <c r="A1657" t="s">
        <v>19</v>
      </c>
      <c r="B1657">
        <v>9</v>
      </c>
      <c r="C1657">
        <v>54</v>
      </c>
      <c r="D1657">
        <v>73</v>
      </c>
      <c r="E1657">
        <v>1</v>
      </c>
      <c r="F1657">
        <v>51</v>
      </c>
      <c r="G1657">
        <v>505401</v>
      </c>
      <c r="H1657">
        <v>0</v>
      </c>
      <c r="I1657">
        <v>1</v>
      </c>
      <c r="J1657">
        <v>1</v>
      </c>
      <c r="K1657">
        <v>0</v>
      </c>
      <c r="L1657">
        <f t="shared" si="100"/>
        <v>11</v>
      </c>
      <c r="M1657">
        <f t="shared" si="101"/>
        <v>132</v>
      </c>
      <c r="N1657">
        <f t="shared" si="102"/>
        <v>59</v>
      </c>
      <c r="O1657">
        <f t="shared" si="103"/>
        <v>2021.9166666666667</v>
      </c>
    </row>
    <row r="1658" spans="1:15" x14ac:dyDescent="0.2">
      <c r="A1658" t="s">
        <v>19</v>
      </c>
      <c r="B1658">
        <v>9</v>
      </c>
      <c r="C1658">
        <v>54</v>
      </c>
      <c r="D1658">
        <v>73</v>
      </c>
      <c r="E1658">
        <v>1</v>
      </c>
      <c r="F1658">
        <v>54</v>
      </c>
      <c r="G1658">
        <v>1987901</v>
      </c>
      <c r="H1658">
        <v>0</v>
      </c>
      <c r="I1658">
        <v>1</v>
      </c>
      <c r="J1658">
        <v>1</v>
      </c>
      <c r="K1658">
        <v>0</v>
      </c>
      <c r="L1658">
        <f t="shared" si="100"/>
        <v>11</v>
      </c>
      <c r="M1658">
        <f t="shared" si="101"/>
        <v>132</v>
      </c>
      <c r="N1658">
        <f t="shared" si="102"/>
        <v>59</v>
      </c>
      <c r="O1658">
        <f t="shared" si="103"/>
        <v>2021.9166666666667</v>
      </c>
    </row>
    <row r="1659" spans="1:15" x14ac:dyDescent="0.2">
      <c r="A1659" t="s">
        <v>19</v>
      </c>
      <c r="B1659">
        <v>9</v>
      </c>
      <c r="C1659">
        <v>54</v>
      </c>
      <c r="D1659">
        <v>83</v>
      </c>
      <c r="E1659">
        <v>2</v>
      </c>
      <c r="F1659">
        <v>47</v>
      </c>
      <c r="G1659">
        <v>1954601</v>
      </c>
      <c r="H1659">
        <v>0</v>
      </c>
      <c r="I1659">
        <v>1</v>
      </c>
      <c r="J1659">
        <v>1</v>
      </c>
      <c r="K1659">
        <v>0</v>
      </c>
      <c r="L1659">
        <f t="shared" si="100"/>
        <v>11</v>
      </c>
      <c r="M1659">
        <f t="shared" si="101"/>
        <v>132</v>
      </c>
      <c r="N1659">
        <f t="shared" si="102"/>
        <v>49</v>
      </c>
      <c r="O1659">
        <f t="shared" si="103"/>
        <v>2021.0833333333333</v>
      </c>
    </row>
    <row r="1660" spans="1:15" x14ac:dyDescent="0.2">
      <c r="A1660" t="s">
        <v>19</v>
      </c>
      <c r="B1660">
        <v>9</v>
      </c>
      <c r="C1660">
        <v>54</v>
      </c>
      <c r="D1660">
        <v>90</v>
      </c>
      <c r="E1660">
        <v>1</v>
      </c>
      <c r="F1660">
        <v>52</v>
      </c>
      <c r="G1660">
        <v>1923401</v>
      </c>
      <c r="H1660">
        <v>1</v>
      </c>
      <c r="I1660">
        <v>0</v>
      </c>
      <c r="J1660">
        <v>1</v>
      </c>
      <c r="K1660">
        <v>0</v>
      </c>
      <c r="L1660">
        <f t="shared" si="100"/>
        <v>11</v>
      </c>
      <c r="M1660">
        <f t="shared" si="101"/>
        <v>132</v>
      </c>
      <c r="N1660">
        <f t="shared" si="102"/>
        <v>42</v>
      </c>
      <c r="O1660">
        <f t="shared" si="103"/>
        <v>2020.5</v>
      </c>
    </row>
    <row r="1661" spans="1:15" x14ac:dyDescent="0.2">
      <c r="A1661" t="s">
        <v>19</v>
      </c>
      <c r="B1661">
        <v>9</v>
      </c>
      <c r="C1661">
        <v>54</v>
      </c>
      <c r="D1661">
        <v>92</v>
      </c>
      <c r="E1661">
        <v>1</v>
      </c>
      <c r="F1661">
        <v>51</v>
      </c>
      <c r="G1661">
        <v>1905901</v>
      </c>
      <c r="H1661">
        <v>0</v>
      </c>
      <c r="I1661">
        <v>1</v>
      </c>
      <c r="J1661">
        <v>1</v>
      </c>
      <c r="K1661">
        <v>0</v>
      </c>
      <c r="L1661">
        <f t="shared" si="100"/>
        <v>11</v>
      </c>
      <c r="M1661">
        <f t="shared" si="101"/>
        <v>132</v>
      </c>
      <c r="N1661">
        <f t="shared" si="102"/>
        <v>40</v>
      </c>
      <c r="O1661">
        <f t="shared" si="103"/>
        <v>2020.3333333333333</v>
      </c>
    </row>
    <row r="1662" spans="1:15" x14ac:dyDescent="0.2">
      <c r="A1662" t="s">
        <v>19</v>
      </c>
      <c r="B1662">
        <v>9</v>
      </c>
      <c r="C1662">
        <v>54</v>
      </c>
      <c r="D1662">
        <v>106</v>
      </c>
      <c r="E1662">
        <v>1</v>
      </c>
      <c r="F1662">
        <v>51</v>
      </c>
      <c r="G1662">
        <v>1774701</v>
      </c>
      <c r="H1662">
        <v>0</v>
      </c>
      <c r="I1662">
        <v>1</v>
      </c>
      <c r="J1662">
        <v>1</v>
      </c>
      <c r="K1662">
        <v>0</v>
      </c>
      <c r="L1662">
        <f t="shared" si="100"/>
        <v>11</v>
      </c>
      <c r="M1662">
        <f t="shared" si="101"/>
        <v>132</v>
      </c>
      <c r="N1662">
        <f t="shared" si="102"/>
        <v>26</v>
      </c>
      <c r="O1662">
        <f t="shared" si="103"/>
        <v>2019.1666666666667</v>
      </c>
    </row>
    <row r="1663" spans="1:15" x14ac:dyDescent="0.2">
      <c r="A1663" t="s">
        <v>19</v>
      </c>
      <c r="B1663">
        <v>9</v>
      </c>
      <c r="C1663">
        <v>54</v>
      </c>
      <c r="D1663">
        <v>108</v>
      </c>
      <c r="E1663">
        <v>2</v>
      </c>
      <c r="F1663">
        <v>50</v>
      </c>
      <c r="G1663">
        <v>1750401</v>
      </c>
      <c r="H1663">
        <v>0</v>
      </c>
      <c r="I1663">
        <v>1</v>
      </c>
      <c r="J1663">
        <v>1</v>
      </c>
      <c r="K1663">
        <v>0</v>
      </c>
      <c r="L1663">
        <f t="shared" si="100"/>
        <v>11</v>
      </c>
      <c r="M1663">
        <f t="shared" si="101"/>
        <v>132</v>
      </c>
      <c r="N1663">
        <f t="shared" si="102"/>
        <v>24</v>
      </c>
      <c r="O1663">
        <f t="shared" si="103"/>
        <v>2019</v>
      </c>
    </row>
    <row r="1664" spans="1:15" x14ac:dyDescent="0.2">
      <c r="A1664" t="s">
        <v>19</v>
      </c>
      <c r="B1664">
        <v>9</v>
      </c>
      <c r="C1664">
        <v>54</v>
      </c>
      <c r="D1664">
        <v>115</v>
      </c>
      <c r="E1664">
        <v>1</v>
      </c>
      <c r="F1664">
        <v>46</v>
      </c>
      <c r="G1664">
        <v>1677202</v>
      </c>
      <c r="H1664">
        <v>1</v>
      </c>
      <c r="I1664">
        <v>0</v>
      </c>
      <c r="J1664">
        <v>1</v>
      </c>
      <c r="K1664">
        <v>0</v>
      </c>
      <c r="L1664">
        <f t="shared" si="100"/>
        <v>11</v>
      </c>
      <c r="M1664">
        <f t="shared" si="101"/>
        <v>132</v>
      </c>
      <c r="N1664">
        <f t="shared" si="102"/>
        <v>17</v>
      </c>
      <c r="O1664">
        <f t="shared" si="103"/>
        <v>2018.4166666666667</v>
      </c>
    </row>
    <row r="1665" spans="1:15" x14ac:dyDescent="0.2">
      <c r="A1665" t="s">
        <v>19</v>
      </c>
      <c r="B1665">
        <v>9</v>
      </c>
      <c r="C1665">
        <v>55</v>
      </c>
      <c r="D1665">
        <v>31</v>
      </c>
      <c r="E1665">
        <v>4</v>
      </c>
      <c r="F1665">
        <v>52</v>
      </c>
      <c r="G1665">
        <v>2176401</v>
      </c>
      <c r="H1665">
        <v>0</v>
      </c>
      <c r="I1665">
        <v>1</v>
      </c>
      <c r="J1665">
        <v>1</v>
      </c>
      <c r="K1665">
        <v>0</v>
      </c>
      <c r="L1665">
        <f t="shared" si="100"/>
        <v>10</v>
      </c>
      <c r="M1665">
        <f t="shared" si="101"/>
        <v>120</v>
      </c>
      <c r="N1665">
        <f t="shared" si="102"/>
        <v>89</v>
      </c>
      <c r="O1665">
        <f t="shared" si="103"/>
        <v>2024.4166666666667</v>
      </c>
    </row>
    <row r="1666" spans="1:15" x14ac:dyDescent="0.2">
      <c r="A1666" t="s">
        <v>19</v>
      </c>
      <c r="B1666">
        <v>9</v>
      </c>
      <c r="C1666">
        <v>55</v>
      </c>
      <c r="D1666">
        <v>43</v>
      </c>
      <c r="E1666">
        <v>1</v>
      </c>
      <c r="F1666">
        <v>54</v>
      </c>
      <c r="G1666">
        <v>2115001</v>
      </c>
      <c r="H1666">
        <v>0</v>
      </c>
      <c r="I1666">
        <v>1</v>
      </c>
      <c r="J1666">
        <v>1</v>
      </c>
      <c r="K1666">
        <v>0</v>
      </c>
      <c r="L1666">
        <f t="shared" si="100"/>
        <v>10</v>
      </c>
      <c r="M1666">
        <f t="shared" si="101"/>
        <v>120</v>
      </c>
      <c r="N1666">
        <f t="shared" si="102"/>
        <v>77</v>
      </c>
      <c r="O1666">
        <f t="shared" si="103"/>
        <v>2023.4166666666667</v>
      </c>
    </row>
    <row r="1667" spans="1:15" x14ac:dyDescent="0.2">
      <c r="A1667" t="s">
        <v>19</v>
      </c>
      <c r="B1667">
        <v>9</v>
      </c>
      <c r="C1667">
        <v>55</v>
      </c>
      <c r="D1667">
        <v>60</v>
      </c>
      <c r="E1667">
        <v>1</v>
      </c>
      <c r="F1667">
        <v>49</v>
      </c>
      <c r="G1667">
        <v>2031601</v>
      </c>
      <c r="H1667">
        <v>0</v>
      </c>
      <c r="I1667">
        <v>1</v>
      </c>
      <c r="J1667">
        <v>1</v>
      </c>
      <c r="K1667">
        <v>0</v>
      </c>
      <c r="L1667">
        <f t="shared" si="100"/>
        <v>10</v>
      </c>
      <c r="M1667">
        <f t="shared" si="101"/>
        <v>120</v>
      </c>
      <c r="N1667">
        <f t="shared" si="102"/>
        <v>60</v>
      </c>
      <c r="O1667">
        <f t="shared" si="103"/>
        <v>2022</v>
      </c>
    </row>
    <row r="1668" spans="1:15" x14ac:dyDescent="0.2">
      <c r="A1668" t="s">
        <v>19</v>
      </c>
      <c r="B1668">
        <v>9</v>
      </c>
      <c r="C1668">
        <v>55</v>
      </c>
      <c r="D1668">
        <v>80</v>
      </c>
      <c r="E1668">
        <v>1</v>
      </c>
      <c r="F1668">
        <v>47</v>
      </c>
      <c r="G1668">
        <v>1966601</v>
      </c>
      <c r="H1668">
        <v>1</v>
      </c>
      <c r="I1668">
        <v>0</v>
      </c>
      <c r="J1668">
        <v>1</v>
      </c>
      <c r="K1668">
        <v>0</v>
      </c>
      <c r="L1668">
        <f t="shared" si="100"/>
        <v>10</v>
      </c>
      <c r="M1668">
        <f t="shared" si="101"/>
        <v>120</v>
      </c>
      <c r="N1668">
        <f t="shared" si="102"/>
        <v>40</v>
      </c>
      <c r="O1668">
        <f t="shared" si="103"/>
        <v>2020.3333333333333</v>
      </c>
    </row>
  </sheetData>
  <autoFilter ref="A5:O1668"/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F583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N1" sqref="N1:N2"/>
    </sheetView>
  </sheetViews>
  <sheetFormatPr baseColWidth="10" defaultRowHeight="12.75" x14ac:dyDescent="0.2"/>
  <cols>
    <col min="2" max="2" width="8.85546875" bestFit="1" customWidth="1"/>
    <col min="3" max="4" width="15.42578125" bestFit="1" customWidth="1"/>
    <col min="5" max="5" width="19" bestFit="1" customWidth="1"/>
    <col min="6" max="6" width="20.5703125" bestFit="1" customWidth="1"/>
    <col min="7" max="7" width="13.85546875" bestFit="1" customWidth="1"/>
    <col min="8" max="8" width="15.7109375" customWidth="1"/>
    <col min="9" max="9" width="16.7109375" bestFit="1" customWidth="1"/>
    <col min="10" max="10" width="14.5703125" bestFit="1" customWidth="1"/>
    <col min="11" max="11" width="22.5703125" customWidth="1"/>
    <col min="12" max="12" width="17.28515625" bestFit="1" customWidth="1"/>
    <col min="13" max="13" width="21.85546875" bestFit="1" customWidth="1"/>
    <col min="14" max="14" width="23.5703125" bestFit="1" customWidth="1"/>
    <col min="16" max="16" width="19.140625" bestFit="1" customWidth="1"/>
    <col min="17" max="17" width="14.7109375" bestFit="1" customWidth="1"/>
    <col min="18" max="18" width="17.85546875" bestFit="1" customWidth="1"/>
    <col min="19" max="19" width="18.5703125" bestFit="1" customWidth="1"/>
    <col min="20" max="20" width="15.140625" bestFit="1" customWidth="1"/>
    <col min="21" max="21" width="19.85546875" bestFit="1" customWidth="1"/>
    <col min="22" max="22" width="14.140625" bestFit="1" customWidth="1"/>
    <col min="23" max="23" width="19.140625" bestFit="1" customWidth="1"/>
    <col min="24" max="24" width="22.7109375" bestFit="1" customWidth="1"/>
    <col min="25" max="25" width="14" bestFit="1" customWidth="1"/>
    <col min="26" max="26" width="23.42578125" bestFit="1" customWidth="1"/>
    <col min="27" max="27" width="21.28515625" bestFit="1" customWidth="1"/>
    <col min="28" max="28" width="13.85546875" bestFit="1" customWidth="1"/>
    <col min="29" max="29" width="14.140625" bestFit="1" customWidth="1"/>
    <col min="30" max="30" width="12.140625" bestFit="1" customWidth="1"/>
    <col min="32" max="32" width="17.42578125" bestFit="1" customWidth="1"/>
  </cols>
  <sheetData>
    <row r="1" spans="1:32" x14ac:dyDescent="0.2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s="1" t="s">
        <v>33</v>
      </c>
      <c r="M1" s="1" t="s">
        <v>67</v>
      </c>
      <c r="N1" s="1"/>
    </row>
    <row r="2" spans="1:32" x14ac:dyDescent="0.2">
      <c r="A2" t="s">
        <v>19</v>
      </c>
      <c r="B2">
        <v>9</v>
      </c>
      <c r="C2">
        <v>55</v>
      </c>
      <c r="D2">
        <v>80</v>
      </c>
      <c r="E2">
        <v>1</v>
      </c>
      <c r="F2">
        <v>47</v>
      </c>
      <c r="G2">
        <v>1966601</v>
      </c>
      <c r="H2">
        <v>1</v>
      </c>
      <c r="I2">
        <v>0</v>
      </c>
      <c r="J2">
        <v>1</v>
      </c>
      <c r="K2">
        <v>0</v>
      </c>
      <c r="L2">
        <v>10</v>
      </c>
      <c r="M2">
        <v>120</v>
      </c>
    </row>
    <row r="9" spans="1:32" x14ac:dyDescent="0.2">
      <c r="A9">
        <v>1</v>
      </c>
      <c r="B9">
        <v>2</v>
      </c>
      <c r="C9">
        <v>3</v>
      </c>
      <c r="D9">
        <v>4</v>
      </c>
      <c r="E9">
        <v>5</v>
      </c>
      <c r="F9">
        <v>6</v>
      </c>
      <c r="G9">
        <v>7</v>
      </c>
      <c r="H9">
        <v>8</v>
      </c>
      <c r="I9">
        <v>9</v>
      </c>
      <c r="J9">
        <v>10</v>
      </c>
      <c r="K9">
        <v>11</v>
      </c>
      <c r="L9">
        <v>12</v>
      </c>
      <c r="M9">
        <v>13</v>
      </c>
      <c r="N9">
        <v>14</v>
      </c>
      <c r="O9">
        <v>15</v>
      </c>
      <c r="P9">
        <v>16</v>
      </c>
      <c r="Q9">
        <v>17</v>
      </c>
      <c r="R9">
        <v>18</v>
      </c>
      <c r="S9">
        <v>19</v>
      </c>
      <c r="T9">
        <v>20</v>
      </c>
      <c r="U9">
        <v>21</v>
      </c>
      <c r="V9">
        <v>22</v>
      </c>
      <c r="W9">
        <v>23</v>
      </c>
      <c r="X9">
        <v>24</v>
      </c>
      <c r="Y9">
        <v>25</v>
      </c>
      <c r="Z9">
        <v>26</v>
      </c>
      <c r="AA9">
        <v>27</v>
      </c>
      <c r="AB9">
        <v>28</v>
      </c>
      <c r="AC9">
        <v>29</v>
      </c>
      <c r="AD9">
        <v>30</v>
      </c>
      <c r="AE9">
        <v>31</v>
      </c>
    </row>
    <row r="10" spans="1:32" x14ac:dyDescent="0.2">
      <c r="A10" s="1" t="s">
        <v>20</v>
      </c>
      <c r="B10" s="1" t="s">
        <v>21</v>
      </c>
      <c r="C10" s="1" t="s">
        <v>22</v>
      </c>
      <c r="D10" s="1" t="s">
        <v>40</v>
      </c>
      <c r="E10" s="1" t="s">
        <v>23</v>
      </c>
      <c r="F10" s="1" t="s">
        <v>24</v>
      </c>
      <c r="G10" s="1" t="s">
        <v>31</v>
      </c>
      <c r="H10" s="1" t="s">
        <v>32</v>
      </c>
      <c r="I10" s="1" t="s">
        <v>34</v>
      </c>
      <c r="J10" s="1" t="s">
        <v>35</v>
      </c>
      <c r="K10" s="1" t="s">
        <v>36</v>
      </c>
      <c r="L10" s="1" t="s">
        <v>37</v>
      </c>
      <c r="M10" s="1" t="s">
        <v>39</v>
      </c>
      <c r="N10" s="1" t="s">
        <v>42</v>
      </c>
      <c r="O10" s="1" t="s">
        <v>41</v>
      </c>
      <c r="P10" s="1" t="s">
        <v>43</v>
      </c>
      <c r="Q10" s="1" t="s">
        <v>44</v>
      </c>
      <c r="R10" s="1" t="s">
        <v>45</v>
      </c>
      <c r="S10" s="1" t="s">
        <v>46</v>
      </c>
      <c r="T10" s="1" t="s">
        <v>50</v>
      </c>
      <c r="U10" s="1" t="s">
        <v>52</v>
      </c>
      <c r="V10" s="1" t="s">
        <v>54</v>
      </c>
      <c r="W10" s="1" t="s">
        <v>55</v>
      </c>
      <c r="X10" s="1" t="s">
        <v>79</v>
      </c>
      <c r="Y10" s="1" t="s">
        <v>56</v>
      </c>
      <c r="Z10" s="1" t="s">
        <v>57</v>
      </c>
      <c r="AA10" s="1" t="s">
        <v>62</v>
      </c>
      <c r="AB10" s="1" t="s">
        <v>63</v>
      </c>
      <c r="AC10" s="1" t="s">
        <v>65</v>
      </c>
      <c r="AD10" s="1" t="s">
        <v>66</v>
      </c>
      <c r="AE10" s="1" t="s">
        <v>71</v>
      </c>
      <c r="AF10" s="1"/>
    </row>
    <row r="11" spans="1:32" x14ac:dyDescent="0.2">
      <c r="A11" s="2">
        <v>43100</v>
      </c>
      <c r="B11">
        <f>D2</f>
        <v>80</v>
      </c>
      <c r="C11">
        <f>(B11+11)/12-1</f>
        <v>6.583333333333333</v>
      </c>
      <c r="D11">
        <f>IF(C11-INT(C11)=0,1,0)</f>
        <v>0</v>
      </c>
      <c r="E11">
        <f>$C$2+INT($C11)</f>
        <v>61</v>
      </c>
      <c r="F11">
        <f>$F$2+INT($C11)</f>
        <v>53</v>
      </c>
      <c r="G11">
        <f>IF(C11&gt;=$L$2,0,VLOOKUP($E11,'Mortality Table'!$A$3:$C$128,2+H$2,FALSE))</f>
        <v>4.0088999999999993E-3</v>
      </c>
      <c r="H11">
        <f>IF(C11&gt;=$L$2,0,VLOOKUP($E11,'Mortality Table'!$A$3:$C$128,2+I$2,FALSE))</f>
        <v>6.4713000000000001E-3</v>
      </c>
      <c r="I11" s="17">
        <f>G11*Assumptions!$B$1</f>
        <v>1.0848083399999998E-3</v>
      </c>
      <c r="J11" s="17">
        <f>H11*Assumptions!$B$1</f>
        <v>1.7511337800000001E-3</v>
      </c>
      <c r="K11">
        <f>I11+J11-I11*J11</f>
        <v>2.834042475471E-3</v>
      </c>
      <c r="M11">
        <f>HLOOKUP(C11,Assumptions!$A$6:$J$7,2,TRUE)</f>
        <v>5.2400000000000002E-2</v>
      </c>
      <c r="N11" s="23">
        <f t="shared" ref="N11:N74" si="0">IF(B11&gt;$M$2,0,IF(($E$2*(B11+11))/12-INT(($E$2*(B11+11))/12)=0,1,0))</f>
        <v>0</v>
      </c>
      <c r="Q11">
        <v>1</v>
      </c>
      <c r="Y11">
        <f>IF(B11&gt;$M$2,0,IF(X12=0,0,(1-X12)*Assumptions!$B$11/$E$2*(1-Assumptions!$B$30)))</f>
        <v>63.999999999999943</v>
      </c>
      <c r="AA11">
        <v>1</v>
      </c>
      <c r="AD11" s="20">
        <f>(AD12+T12+U12+W12+AB12-R12)*AC12</f>
        <v>68.635686431377451</v>
      </c>
    </row>
    <row r="12" spans="1:32" x14ac:dyDescent="0.2">
      <c r="A12" s="2">
        <f>DATE(YEAR(A11),MONTH(A11)+2,1)-1</f>
        <v>43131</v>
      </c>
      <c r="B12">
        <f t="shared" ref="B12:B76" si="1">B11+1</f>
        <v>81</v>
      </c>
      <c r="C12">
        <f t="shared" ref="C12:C75" si="2">(B12+11)/12-1</f>
        <v>6.666666666666667</v>
      </c>
      <c r="D12">
        <f t="shared" ref="D12:D75" si="3">IF(C12-INT(C12)=0,1,0)</f>
        <v>0</v>
      </c>
      <c r="E12">
        <f t="shared" ref="E12:E75" si="4">$C$2+INT($C12)</f>
        <v>61</v>
      </c>
      <c r="F12">
        <f t="shared" ref="F12:F75" si="5">$F$2+INT($C12)</f>
        <v>53</v>
      </c>
      <c r="G12">
        <f>IF(C12&gt;=$L$2,0,VLOOKUP($E12,'Mortality Table'!$A$3:$C$128,2+H$2,FALSE))</f>
        <v>4.0088999999999993E-3</v>
      </c>
      <c r="H12">
        <f>IF(C12&gt;=$L$2,0,VLOOKUP($E12,'Mortality Table'!$A$3:$C$128,2+I$2,FALSE))</f>
        <v>6.4713000000000001E-3</v>
      </c>
      <c r="I12" s="17">
        <f>G12*Assumptions!$B$1</f>
        <v>1.0848083399999998E-3</v>
      </c>
      <c r="J12" s="17">
        <f>H12*Assumptions!$B$1</f>
        <v>1.7511337800000001E-3</v>
      </c>
      <c r="K12">
        <f t="shared" ref="K12:K75" si="6">I12+J12-I12*J12</f>
        <v>2.834042475471E-3</v>
      </c>
      <c r="L12">
        <f>(1-(1-K12)^(1/12))*Q11</f>
        <v>2.3647753290401141E-4</v>
      </c>
      <c r="M12">
        <f>HLOOKUP(C12,Assumptions!$A$6:$J$7,2,TRUE)</f>
        <v>5.2400000000000002E-2</v>
      </c>
      <c r="N12" s="23">
        <f t="shared" si="0"/>
        <v>0</v>
      </c>
      <c r="O12" s="23">
        <f t="shared" ref="O12:O75" si="7">IF(B13&gt;$M$2,0,IF(N13=0,0,1/$E$2))</f>
        <v>0</v>
      </c>
      <c r="P12">
        <f>(1-(1-M12)^O12)*(Q11-L12)</f>
        <v>0</v>
      </c>
      <c r="Q12" s="23">
        <f t="shared" ref="Q12:Q75" si="8">IF(B12&gt;$M$2,0,Q11-L12-P12)</f>
        <v>0.99976352246709599</v>
      </c>
      <c r="R12">
        <f>Q11*Assumptions!$B$11/$E$2*N12</f>
        <v>0</v>
      </c>
      <c r="S12">
        <f>Q11*Assumptions!$B$13/$E$2*N12</f>
        <v>0</v>
      </c>
      <c r="T12">
        <f>L12*Assumptions!$B$15</f>
        <v>3.5471629935601712</v>
      </c>
      <c r="U12">
        <f>S12*Assumptions!$B$17</f>
        <v>0</v>
      </c>
      <c r="V12">
        <f>HLOOKUP(B12,Assumptions!$A$26:$D$27,2,TRUE)</f>
        <v>0</v>
      </c>
      <c r="W12">
        <f>R12*V12</f>
        <v>0</v>
      </c>
      <c r="X12">
        <f>($E$2*(B12+11))/12-INT(($E$2*(B12+11))/12)</f>
        <v>0.66666666666666696</v>
      </c>
      <c r="Y12">
        <f>IF(B12&gt;$M$2,0,IF(X13=0,0,(1-X13)*Assumptions!$B$11/$E$2*(1-Assumptions!$B$30)))</f>
        <v>48</v>
      </c>
      <c r="Z12">
        <f>(R12-S12)*(1-Assumptions!$B$30)-U12+Y11</f>
        <v>63.999999999999943</v>
      </c>
      <c r="AA12">
        <f>AA11*(1+Assumptions!$B$36)^(1/12)</f>
        <v>1.0008295381143462</v>
      </c>
      <c r="AB12" s="20">
        <f>IF(B12&gt;$M$2,0,AA11*Assumptions!$B$32/12*Q11+Z12*Assumptions!$B$34/12)</f>
        <v>12.825050000000001</v>
      </c>
      <c r="AC12" s="21">
        <f>1/(1+HLOOKUP(YEAR(A12),Assumptions!$A$41:$AL$43,3,TRUE))^(1/12)</f>
        <v>0.99848118442253453</v>
      </c>
      <c r="AD12">
        <f t="shared" ref="AD12:AD75" si="9">(AD13+T13+U13+W13+AB13-R13)*AC13</f>
        <v>52.367876957230919</v>
      </c>
      <c r="AE12">
        <f>T12+U12</f>
        <v>3.5471629935601712</v>
      </c>
    </row>
    <row r="13" spans="1:32" x14ac:dyDescent="0.2">
      <c r="A13" s="2">
        <f>DATE(YEAR(A12),MONTH(A12)+2,1)-1</f>
        <v>43159</v>
      </c>
      <c r="B13">
        <f t="shared" si="1"/>
        <v>82</v>
      </c>
      <c r="C13">
        <f t="shared" si="2"/>
        <v>6.75</v>
      </c>
      <c r="D13">
        <f t="shared" si="3"/>
        <v>0</v>
      </c>
      <c r="E13">
        <f t="shared" si="4"/>
        <v>61</v>
      </c>
      <c r="F13">
        <f t="shared" si="5"/>
        <v>53</v>
      </c>
      <c r="G13">
        <f>IF(C13&gt;=$L$2,0,VLOOKUP($E13,'Mortality Table'!$A$3:$C$128,2+H$2,FALSE))</f>
        <v>4.0088999999999993E-3</v>
      </c>
      <c r="H13">
        <f>IF(C13&gt;=$L$2,0,VLOOKUP($E13,'Mortality Table'!$A$3:$C$128,2+I$2,FALSE))</f>
        <v>6.4713000000000001E-3</v>
      </c>
      <c r="I13" s="17">
        <f>G13*Assumptions!$B$1</f>
        <v>1.0848083399999998E-3</v>
      </c>
      <c r="J13" s="17">
        <f>H13*Assumptions!$B$1</f>
        <v>1.7511337800000001E-3</v>
      </c>
      <c r="K13">
        <f t="shared" si="6"/>
        <v>2.834042475471E-3</v>
      </c>
      <c r="L13">
        <f t="shared" ref="L13:L76" si="10">(1-(1-K13)^(1/12))*Q12</f>
        <v>2.3642161128044304E-4</v>
      </c>
      <c r="M13">
        <f>HLOOKUP(C13,Assumptions!$A$6:$J$7,2,TRUE)</f>
        <v>5.2400000000000002E-2</v>
      </c>
      <c r="N13" s="23">
        <f t="shared" si="0"/>
        <v>0</v>
      </c>
      <c r="O13" s="23">
        <f t="shared" si="7"/>
        <v>0</v>
      </c>
      <c r="P13">
        <f t="shared" ref="P13:P76" si="11">(1-(1-M13)^O13)*(Q12-L13)</f>
        <v>0</v>
      </c>
      <c r="Q13" s="23">
        <f t="shared" si="8"/>
        <v>0.99952710085581553</v>
      </c>
      <c r="R13">
        <f>Q12*Assumptions!$B$11/$E$2*N13</f>
        <v>0</v>
      </c>
      <c r="S13">
        <f>Q12*Assumptions!$B$13/$E$2*N13</f>
        <v>0</v>
      </c>
      <c r="T13">
        <f>L13*Assumptions!$B$15</f>
        <v>3.5463241692066458</v>
      </c>
      <c r="U13">
        <f>S13*Assumptions!$B$17</f>
        <v>0</v>
      </c>
      <c r="V13">
        <f>HLOOKUP(B13,Assumptions!$A$26:$D$27,2,TRUE)</f>
        <v>0</v>
      </c>
      <c r="W13">
        <f t="shared" ref="W13:W76" si="12">R13*V13</f>
        <v>0</v>
      </c>
      <c r="X13">
        <f t="shared" ref="X13:X76" si="13">($E$2*(B13+11))/12-INT(($E$2*(B13+11))/12)</f>
        <v>0.75</v>
      </c>
      <c r="Y13">
        <f>IF(B13&gt;$M$2,0,IF(X14=0,0,(1-X14)*Assumptions!$B$11/$E$2*(1-Assumptions!$B$30)))</f>
        <v>32.000000000000057</v>
      </c>
      <c r="Z13">
        <f>(R13-S13)*(1-Assumptions!$B$30)-U13+Y12*Q12</f>
        <v>47.988649078420607</v>
      </c>
      <c r="AA13">
        <f>AA12*(1+Assumptions!$B$36)^(1/12)</f>
        <v>1.0016597643621754</v>
      </c>
      <c r="AB13" s="20">
        <f>IF(B13&gt;$M$2,0,AA12*Assumptions!$B$32/12*Q12+Z13*Assumptions!$B$34/12)</f>
        <v>12.828774936314494</v>
      </c>
      <c r="AC13" s="21">
        <f>1/(1+HLOOKUP(YEAR(A13),Assumptions!$A$41:$AL$43,3,TRUE))^(1/12)</f>
        <v>0.99848118442253453</v>
      </c>
      <c r="AD13">
        <f t="shared" si="9"/>
        <v>36.07243598500493</v>
      </c>
      <c r="AE13">
        <f t="shared" ref="AE13:AE76" si="14">T13+U13</f>
        <v>3.5463241692066458</v>
      </c>
    </row>
    <row r="14" spans="1:32" x14ac:dyDescent="0.2">
      <c r="A14" s="2">
        <f>DATE(YEAR(A13),MONTH(A13)+2,1)-1</f>
        <v>43190</v>
      </c>
      <c r="B14">
        <f t="shared" si="1"/>
        <v>83</v>
      </c>
      <c r="C14">
        <f t="shared" si="2"/>
        <v>6.833333333333333</v>
      </c>
      <c r="D14">
        <f t="shared" si="3"/>
        <v>0</v>
      </c>
      <c r="E14">
        <f t="shared" si="4"/>
        <v>61</v>
      </c>
      <c r="F14">
        <f t="shared" si="5"/>
        <v>53</v>
      </c>
      <c r="G14">
        <f>IF(C14&gt;=$L$2,0,VLOOKUP($E14,'Mortality Table'!$A$3:$C$128,2+H$2,FALSE))</f>
        <v>4.0088999999999993E-3</v>
      </c>
      <c r="H14">
        <f>IF(C14&gt;=$L$2,0,VLOOKUP($E14,'Mortality Table'!$A$3:$C$128,2+I$2,FALSE))</f>
        <v>6.4713000000000001E-3</v>
      </c>
      <c r="I14" s="17">
        <f>G14*Assumptions!$B$1</f>
        <v>1.0848083399999998E-3</v>
      </c>
      <c r="J14" s="17">
        <f>H14*Assumptions!$B$1</f>
        <v>1.7511337800000001E-3</v>
      </c>
      <c r="K14">
        <f t="shared" si="6"/>
        <v>2.834042475471E-3</v>
      </c>
      <c r="L14">
        <f t="shared" si="10"/>
        <v>2.3636570288108224E-4</v>
      </c>
      <c r="M14">
        <f>HLOOKUP(C14,Assumptions!$A$6:$J$7,2,TRUE)</f>
        <v>5.2400000000000002E-2</v>
      </c>
      <c r="N14" s="23">
        <f t="shared" si="0"/>
        <v>0</v>
      </c>
      <c r="O14" s="23">
        <f t="shared" si="7"/>
        <v>0</v>
      </c>
      <c r="P14">
        <f t="shared" si="11"/>
        <v>0</v>
      </c>
      <c r="Q14" s="23">
        <f t="shared" si="8"/>
        <v>0.99929073515293443</v>
      </c>
      <c r="R14">
        <f>Q13*Assumptions!$B$11/$E$2*N14</f>
        <v>0</v>
      </c>
      <c r="S14">
        <f>Q13*Assumptions!$B$13/$E$2*N14</f>
        <v>0</v>
      </c>
      <c r="T14">
        <f>L14*Assumptions!$B$15</f>
        <v>3.5454855432162335</v>
      </c>
      <c r="U14">
        <f>S14*Assumptions!$B$17</f>
        <v>0</v>
      </c>
      <c r="V14">
        <f>HLOOKUP(B14,Assumptions!$A$26:$D$27,2,TRUE)</f>
        <v>0</v>
      </c>
      <c r="W14">
        <f t="shared" si="12"/>
        <v>0</v>
      </c>
      <c r="X14">
        <f t="shared" si="13"/>
        <v>0.83333333333333304</v>
      </c>
      <c r="Y14">
        <f>IF(B14&gt;$M$2,0,IF(X15=0,0,(1-X15)*Assumptions!$B$11/$E$2*(1-Assumptions!$B$30)))</f>
        <v>15.999999999999943</v>
      </c>
      <c r="Z14">
        <f>(R14-S14)*(1-Assumptions!$B$30)-U14+Y13*Q13</f>
        <v>31.984867227386154</v>
      </c>
      <c r="AA14">
        <f>AA13*(1+Assumptions!$B$36)^(1/12)</f>
        <v>1.0024906793143209</v>
      </c>
      <c r="AB14" s="20">
        <f>IF(B14&gt;$M$2,0,AA13*Assumptions!$B$32/12*Q13+Z14*Assumptions!$B$34/12)</f>
        <v>12.8325062042386</v>
      </c>
      <c r="AC14" s="21">
        <f>1/(1+HLOOKUP(YEAR(A14),Assumptions!$A$41:$AL$43,3,TRUE))^(1/12)</f>
        <v>0.99848118442253453</v>
      </c>
      <c r="AD14">
        <f t="shared" si="9"/>
        <v>19.749314953739741</v>
      </c>
      <c r="AE14">
        <f t="shared" si="14"/>
        <v>3.5454855432162335</v>
      </c>
    </row>
    <row r="15" spans="1:32" x14ac:dyDescent="0.2">
      <c r="A15" s="2">
        <f t="shared" ref="A15:A78" si="15">DATE(YEAR(A14),MONTH(A14)+2,1)-1</f>
        <v>43220</v>
      </c>
      <c r="B15">
        <f t="shared" si="1"/>
        <v>84</v>
      </c>
      <c r="C15">
        <f t="shared" si="2"/>
        <v>6.916666666666667</v>
      </c>
      <c r="D15">
        <f t="shared" si="3"/>
        <v>0</v>
      </c>
      <c r="E15">
        <f t="shared" si="4"/>
        <v>61</v>
      </c>
      <c r="F15">
        <f t="shared" si="5"/>
        <v>53</v>
      </c>
      <c r="G15">
        <f>IF(C15&gt;=$L$2,0,VLOOKUP($E15,'Mortality Table'!$A$3:$C$128,2+H$2,FALSE))</f>
        <v>4.0088999999999993E-3</v>
      </c>
      <c r="H15">
        <f>IF(C15&gt;=$L$2,0,VLOOKUP($E15,'Mortality Table'!$A$3:$C$128,2+I$2,FALSE))</f>
        <v>6.4713000000000001E-3</v>
      </c>
      <c r="I15" s="17">
        <f>G15*Assumptions!$B$1</f>
        <v>1.0848083399999998E-3</v>
      </c>
      <c r="J15" s="17">
        <f>H15*Assumptions!$B$1</f>
        <v>1.7511337800000001E-3</v>
      </c>
      <c r="K15">
        <f t="shared" si="6"/>
        <v>2.834042475471E-3</v>
      </c>
      <c r="L15">
        <f t="shared" si="10"/>
        <v>2.3630980770280181E-4</v>
      </c>
      <c r="M15">
        <f>HLOOKUP(C15,Assumptions!$A$6:$J$7,2,TRUE)</f>
        <v>5.2400000000000002E-2</v>
      </c>
      <c r="N15" s="23">
        <f t="shared" si="0"/>
        <v>0</v>
      </c>
      <c r="O15" s="23">
        <f t="shared" si="7"/>
        <v>1</v>
      </c>
      <c r="P15">
        <f t="shared" si="11"/>
        <v>5.2350451888090135E-2</v>
      </c>
      <c r="Q15" s="23">
        <f t="shared" si="8"/>
        <v>0.94670397345714141</v>
      </c>
      <c r="R15">
        <f>Q14*Assumptions!$B$11/$E$2*N15</f>
        <v>0</v>
      </c>
      <c r="S15">
        <f>Q14*Assumptions!$B$13/$E$2*N15</f>
        <v>0</v>
      </c>
      <c r="T15">
        <f>L15*Assumptions!$B$15</f>
        <v>3.5446471155420269</v>
      </c>
      <c r="U15">
        <f>S15*Assumptions!$B$17</f>
        <v>0</v>
      </c>
      <c r="V15">
        <f>HLOOKUP(B15,Assumptions!$A$26:$D$27,2,TRUE)</f>
        <v>0</v>
      </c>
      <c r="W15">
        <f t="shared" si="12"/>
        <v>0</v>
      </c>
      <c r="X15">
        <f t="shared" si="13"/>
        <v>0.91666666666666696</v>
      </c>
      <c r="Y15">
        <f>IF(B15&gt;$M$2,0,IF(X16=0,0,(1-X16)*Assumptions!$B$11/$E$2*(1-Assumptions!$B$30)))</f>
        <v>0</v>
      </c>
      <c r="Z15">
        <f>(R15-S15)*(1-Assumptions!$B$30)-U15+Y14*Q14</f>
        <v>15.988651762446894</v>
      </c>
      <c r="AA15">
        <f>AA14*(1+Assumptions!$B$36)^(1/12)</f>
        <v>1.003322283542089</v>
      </c>
      <c r="AB15" s="20">
        <f>IF(B15&gt;$M$2,0,AA14*Assumptions!$B$32/12*Q14+Z15*Assumptions!$B$34/12)</f>
        <v>12.836243805792899</v>
      </c>
      <c r="AC15" s="21">
        <f>1/(1+HLOOKUP(YEAR(A15),Assumptions!$A$41:$AL$43,3,TRUE))^(1/12)</f>
        <v>0.99848118442253453</v>
      </c>
      <c r="AD15">
        <f t="shared" si="9"/>
        <v>3.3984652266345892</v>
      </c>
      <c r="AE15">
        <f t="shared" si="14"/>
        <v>3.5446471155420269</v>
      </c>
    </row>
    <row r="16" spans="1:32" x14ac:dyDescent="0.2">
      <c r="A16" s="2">
        <f t="shared" si="15"/>
        <v>43251</v>
      </c>
      <c r="B16">
        <f t="shared" si="1"/>
        <v>85</v>
      </c>
      <c r="C16">
        <f t="shared" si="2"/>
        <v>7</v>
      </c>
      <c r="D16">
        <f t="shared" si="3"/>
        <v>1</v>
      </c>
      <c r="E16">
        <f t="shared" si="4"/>
        <v>62</v>
      </c>
      <c r="F16">
        <f t="shared" si="5"/>
        <v>54</v>
      </c>
      <c r="G16">
        <f>IF(C16&gt;=$L$2,0,VLOOKUP($E16,'Mortality Table'!$A$3:$C$128,2+H$2,FALSE))</f>
        <v>4.2285000000000005E-3</v>
      </c>
      <c r="H16">
        <f>IF(C16&gt;=$L$2,0,VLOOKUP($E16,'Mortality Table'!$A$3:$C$128,2+I$2,FALSE))</f>
        <v>6.9176000000000003E-3</v>
      </c>
      <c r="I16" s="17">
        <f>G16*Assumptions!$B$1</f>
        <v>1.1442321000000003E-3</v>
      </c>
      <c r="J16" s="17">
        <f>H16*Assumptions!$B$1</f>
        <v>1.8719025600000001E-3</v>
      </c>
      <c r="K16">
        <f t="shared" si="6"/>
        <v>3.013992769002776E-3</v>
      </c>
      <c r="L16">
        <f t="shared" si="10"/>
        <v>2.3810901711114103E-4</v>
      </c>
      <c r="M16">
        <f>HLOOKUP(C16,Assumptions!$A$6:$J$7,2,TRUE)</f>
        <v>3.49E-2</v>
      </c>
      <c r="N16" s="23">
        <f t="shared" si="0"/>
        <v>1</v>
      </c>
      <c r="O16" s="23">
        <f t="shared" si="7"/>
        <v>0</v>
      </c>
      <c r="P16">
        <f t="shared" si="11"/>
        <v>0</v>
      </c>
      <c r="Q16" s="23">
        <f t="shared" si="8"/>
        <v>0.94646586444003022</v>
      </c>
      <c r="R16">
        <f>Q15*Assumptions!$B$11/$E$2*N16</f>
        <v>227.20895362971393</v>
      </c>
      <c r="S16">
        <f>Q15*Assumptions!$B$13/$E$2*N16</f>
        <v>56.802238407428483</v>
      </c>
      <c r="T16">
        <f>L16*Assumptions!$B$15</f>
        <v>3.5716352566671152</v>
      </c>
      <c r="U16">
        <f>S16*Assumptions!$B$17</f>
        <v>36.444316162206114</v>
      </c>
      <c r="V16">
        <f>HLOOKUP(B16,Assumptions!$A$26:$D$27,2,TRUE)</f>
        <v>0</v>
      </c>
      <c r="W16">
        <f t="shared" si="12"/>
        <v>0</v>
      </c>
      <c r="X16">
        <f t="shared" si="13"/>
        <v>0</v>
      </c>
      <c r="Y16">
        <f>IF(B16&gt;$M$2,0,IF(X17=0,0,(1-X17)*Assumptions!$B$11/$E$2*(1-Assumptions!$B$30)))</f>
        <v>175.99999999999989</v>
      </c>
      <c r="Z16">
        <f>(R16-S16)*(1-Assumptions!$B$30)-U16+Y15*Q15</f>
        <v>99.881056015622249</v>
      </c>
      <c r="AA16">
        <f>AA15*(1+Assumptions!$B$36)^(1/12)</f>
        <v>1.00415457761726</v>
      </c>
      <c r="AB16" s="20">
        <f>IF(B16&gt;$M$2,0,AA15*Assumptions!$B$32/12*Q15+Z16*Assumptions!$B$34/12)</f>
        <v>12.191310307137018</v>
      </c>
      <c r="AC16" s="21">
        <f>1/(1+HLOOKUP(YEAR(A16),Assumptions!$A$41:$AL$43,3,TRUE))^(1/12)</f>
        <v>0.99848118442253453</v>
      </c>
      <c r="AD16">
        <f t="shared" si="9"/>
        <v>178.40532662377109</v>
      </c>
      <c r="AE16">
        <f t="shared" si="14"/>
        <v>40.015951418873229</v>
      </c>
    </row>
    <row r="17" spans="1:31" x14ac:dyDescent="0.2">
      <c r="A17" s="2">
        <f t="shared" si="15"/>
        <v>43281</v>
      </c>
      <c r="B17">
        <f t="shared" si="1"/>
        <v>86</v>
      </c>
      <c r="C17">
        <f t="shared" si="2"/>
        <v>7.0833333333333339</v>
      </c>
      <c r="D17">
        <f t="shared" si="3"/>
        <v>0</v>
      </c>
      <c r="E17">
        <f t="shared" si="4"/>
        <v>62</v>
      </c>
      <c r="F17">
        <f t="shared" si="5"/>
        <v>54</v>
      </c>
      <c r="G17">
        <f>IF(C17&gt;=$L$2,0,VLOOKUP($E17,'Mortality Table'!$A$3:$C$128,2+H$2,FALSE))</f>
        <v>4.2285000000000005E-3</v>
      </c>
      <c r="H17">
        <f>IF(C17&gt;=$L$2,0,VLOOKUP($E17,'Mortality Table'!$A$3:$C$128,2+I$2,FALSE))</f>
        <v>6.9176000000000003E-3</v>
      </c>
      <c r="I17" s="17">
        <f>G17*Assumptions!$B$1</f>
        <v>1.1442321000000003E-3</v>
      </c>
      <c r="J17" s="17">
        <f>H17*Assumptions!$B$1</f>
        <v>1.8719025600000001E-3</v>
      </c>
      <c r="K17">
        <f t="shared" si="6"/>
        <v>3.013992769002776E-3</v>
      </c>
      <c r="L17">
        <f t="shared" si="10"/>
        <v>2.3804912943176161E-4</v>
      </c>
      <c r="M17">
        <f>HLOOKUP(C17,Assumptions!$A$6:$J$7,2,TRUE)</f>
        <v>3.49E-2</v>
      </c>
      <c r="N17" s="23">
        <f t="shared" si="0"/>
        <v>0</v>
      </c>
      <c r="O17" s="23">
        <f t="shared" si="7"/>
        <v>0</v>
      </c>
      <c r="P17">
        <f t="shared" si="11"/>
        <v>0</v>
      </c>
      <c r="Q17" s="23">
        <f t="shared" si="8"/>
        <v>0.94622781531059841</v>
      </c>
      <c r="R17">
        <f>Q16*Assumptions!$B$11/$E$2*N17</f>
        <v>0</v>
      </c>
      <c r="S17">
        <f>Q16*Assumptions!$B$13/$E$2*N17</f>
        <v>0</v>
      </c>
      <c r="T17">
        <f>L17*Assumptions!$B$15</f>
        <v>3.5707369414764241</v>
      </c>
      <c r="U17">
        <f>S17*Assumptions!$B$17</f>
        <v>0</v>
      </c>
      <c r="V17">
        <f>HLOOKUP(B17,Assumptions!$A$26:$D$27,2,TRUE)</f>
        <v>0</v>
      </c>
      <c r="W17">
        <f t="shared" si="12"/>
        <v>0</v>
      </c>
      <c r="X17">
        <f t="shared" si="13"/>
        <v>8.3333333333333925E-2</v>
      </c>
      <c r="Y17">
        <f>IF(B17&gt;$M$2,0,IF(X18=0,0,(1-X18)*Assumptions!$B$11/$E$2*(1-Assumptions!$B$30)))</f>
        <v>160.00000000000011</v>
      </c>
      <c r="Z17">
        <f>(R17-S17)*(1-Assumptions!$B$30)-U17+Y16*Q16</f>
        <v>166.57799214144521</v>
      </c>
      <c r="AA17">
        <f>AA16*(1+Assumptions!$B$36)^(1/12)</f>
        <v>1.0049875621120887</v>
      </c>
      <c r="AB17" s="20">
        <f>IF(B17&gt;$M$2,0,AA16*Assumptions!$B$32/12*Q16+Z17*Assumptions!$B$34/12)</f>
        <v>12.21445911752485</v>
      </c>
      <c r="AC17" s="21">
        <f>1/(1+HLOOKUP(YEAR(A17),Assumptions!$A$41:$AL$43,3,TRUE))^(1/12)</f>
        <v>0.99848118442253453</v>
      </c>
      <c r="AD17">
        <f t="shared" si="9"/>
        <v>162.89150752550415</v>
      </c>
      <c r="AE17">
        <f t="shared" si="14"/>
        <v>3.5707369414764241</v>
      </c>
    </row>
    <row r="18" spans="1:31" x14ac:dyDescent="0.2">
      <c r="A18" s="2">
        <f t="shared" si="15"/>
        <v>43312</v>
      </c>
      <c r="B18">
        <f t="shared" si="1"/>
        <v>87</v>
      </c>
      <c r="C18">
        <f t="shared" si="2"/>
        <v>7.1666666666666661</v>
      </c>
      <c r="D18">
        <f t="shared" si="3"/>
        <v>0</v>
      </c>
      <c r="E18">
        <f t="shared" si="4"/>
        <v>62</v>
      </c>
      <c r="F18">
        <f t="shared" si="5"/>
        <v>54</v>
      </c>
      <c r="G18">
        <f>IF(C18&gt;=$L$2,0,VLOOKUP($E18,'Mortality Table'!$A$3:$C$128,2+H$2,FALSE))</f>
        <v>4.2285000000000005E-3</v>
      </c>
      <c r="H18">
        <f>IF(C18&gt;=$L$2,0,VLOOKUP($E18,'Mortality Table'!$A$3:$C$128,2+I$2,FALSE))</f>
        <v>6.9176000000000003E-3</v>
      </c>
      <c r="I18" s="17">
        <f>G18*Assumptions!$B$1</f>
        <v>1.1442321000000003E-3</v>
      </c>
      <c r="J18" s="17">
        <f>H18*Assumptions!$B$1</f>
        <v>1.8719025600000001E-3</v>
      </c>
      <c r="K18">
        <f t="shared" si="6"/>
        <v>3.013992769002776E-3</v>
      </c>
      <c r="L18">
        <f t="shared" si="10"/>
        <v>2.3798925681495385E-4</v>
      </c>
      <c r="M18">
        <f>HLOOKUP(C18,Assumptions!$A$6:$J$7,2,TRUE)</f>
        <v>3.49E-2</v>
      </c>
      <c r="N18" s="23">
        <f t="shared" si="0"/>
        <v>0</v>
      </c>
      <c r="O18" s="23">
        <f t="shared" si="7"/>
        <v>0</v>
      </c>
      <c r="P18">
        <f t="shared" si="11"/>
        <v>0</v>
      </c>
      <c r="Q18" s="23">
        <f t="shared" si="8"/>
        <v>0.94598982605378346</v>
      </c>
      <c r="R18">
        <f>Q17*Assumptions!$B$11/$E$2*N18</f>
        <v>0</v>
      </c>
      <c r="S18">
        <f>Q17*Assumptions!$B$13/$E$2*N18</f>
        <v>0</v>
      </c>
      <c r="T18">
        <f>L18*Assumptions!$B$15</f>
        <v>3.5698388522243079</v>
      </c>
      <c r="U18">
        <f>S18*Assumptions!$B$17</f>
        <v>0</v>
      </c>
      <c r="V18">
        <f>HLOOKUP(B18,Assumptions!$A$26:$D$27,2,TRUE)</f>
        <v>0</v>
      </c>
      <c r="W18">
        <f t="shared" si="12"/>
        <v>0</v>
      </c>
      <c r="X18">
        <f t="shared" si="13"/>
        <v>0.16666666666666607</v>
      </c>
      <c r="Y18">
        <f>IF(B18&gt;$M$2,0,IF(X19=0,0,(1-X19)*Assumptions!$B$11/$E$2*(1-Assumptions!$B$30)))</f>
        <v>144</v>
      </c>
      <c r="Z18">
        <f>(R18-S18)*(1-Assumptions!$B$30)-U18+Y17*Q17</f>
        <v>151.39645044969586</v>
      </c>
      <c r="AA18">
        <f>AA17*(1+Assumptions!$B$36)^(1/12)</f>
        <v>1.0058212375993045</v>
      </c>
      <c r="AB18" s="20">
        <f>IF(B18&gt;$M$2,0,AA17*Assumptions!$B$32/12*Q17+Z18*Assumptions!$B$34/12)</f>
        <v>12.217824691373648</v>
      </c>
      <c r="AC18" s="21">
        <f>1/(1+HLOOKUP(YEAR(A18),Assumptions!$A$41:$AL$43,3,TRUE))^(1/12)</f>
        <v>0.99848118442253453</v>
      </c>
      <c r="AD18">
        <f t="shared" si="9"/>
        <v>147.35162247080149</v>
      </c>
      <c r="AE18">
        <f t="shared" si="14"/>
        <v>3.5698388522243079</v>
      </c>
    </row>
    <row r="19" spans="1:31" x14ac:dyDescent="0.2">
      <c r="A19" s="2">
        <f t="shared" si="15"/>
        <v>43343</v>
      </c>
      <c r="B19">
        <f t="shared" si="1"/>
        <v>88</v>
      </c>
      <c r="C19">
        <f t="shared" si="2"/>
        <v>7.25</v>
      </c>
      <c r="D19">
        <f t="shared" si="3"/>
        <v>0</v>
      </c>
      <c r="E19">
        <f t="shared" si="4"/>
        <v>62</v>
      </c>
      <c r="F19">
        <f t="shared" si="5"/>
        <v>54</v>
      </c>
      <c r="G19">
        <f>IF(C19&gt;=$L$2,0,VLOOKUP($E19,'Mortality Table'!$A$3:$C$128,2+H$2,FALSE))</f>
        <v>4.2285000000000005E-3</v>
      </c>
      <c r="H19">
        <f>IF(C19&gt;=$L$2,0,VLOOKUP($E19,'Mortality Table'!$A$3:$C$128,2+I$2,FALSE))</f>
        <v>6.9176000000000003E-3</v>
      </c>
      <c r="I19" s="17">
        <f>G19*Assumptions!$B$1</f>
        <v>1.1442321000000003E-3</v>
      </c>
      <c r="J19" s="17">
        <f>H19*Assumptions!$B$1</f>
        <v>1.8719025600000001E-3</v>
      </c>
      <c r="K19">
        <f t="shared" si="6"/>
        <v>3.013992769002776E-3</v>
      </c>
      <c r="L19">
        <f t="shared" si="10"/>
        <v>2.3792939925692936E-4</v>
      </c>
      <c r="M19">
        <f>HLOOKUP(C19,Assumptions!$A$6:$J$7,2,TRUE)</f>
        <v>3.49E-2</v>
      </c>
      <c r="N19" s="23">
        <f t="shared" si="0"/>
        <v>0</v>
      </c>
      <c r="O19" s="23">
        <f t="shared" si="7"/>
        <v>0</v>
      </c>
      <c r="P19">
        <f t="shared" si="11"/>
        <v>0</v>
      </c>
      <c r="Q19" s="23">
        <f t="shared" si="8"/>
        <v>0.94575189665452652</v>
      </c>
      <c r="R19">
        <f>Q18*Assumptions!$B$11/$E$2*N19</f>
        <v>0</v>
      </c>
      <c r="S19">
        <f>Q18*Assumptions!$B$13/$E$2*N19</f>
        <v>0</v>
      </c>
      <c r="T19">
        <f>L19*Assumptions!$B$15</f>
        <v>3.5689409888539405</v>
      </c>
      <c r="U19">
        <f>S19*Assumptions!$B$17</f>
        <v>0</v>
      </c>
      <c r="V19">
        <f>HLOOKUP(B19,Assumptions!$A$26:$D$27,2,TRUE)</f>
        <v>0</v>
      </c>
      <c r="W19">
        <f t="shared" si="12"/>
        <v>0</v>
      </c>
      <c r="X19">
        <f t="shared" si="13"/>
        <v>0.25</v>
      </c>
      <c r="Y19">
        <f>IF(B19&gt;$M$2,0,IF(X20=0,0,(1-X20)*Assumptions!$B$11/$E$2*(1-Assumptions!$B$30)))</f>
        <v>127.99999999999989</v>
      </c>
      <c r="Z19">
        <f>(R19-S19)*(1-Assumptions!$B$30)-U19+Y18*Q18</f>
        <v>136.22253495174482</v>
      </c>
      <c r="AA19">
        <f>AA18*(1+Assumptions!$B$36)^(1/12)</f>
        <v>1.006655604652112</v>
      </c>
      <c r="AB19" s="20">
        <f>IF(B19&gt;$M$2,0,AA18*Assumptions!$B$32/12*Q18+Z19*Assumptions!$B$34/12)</f>
        <v>12.221196172833404</v>
      </c>
      <c r="AC19" s="21">
        <f>1/(1+HLOOKUP(YEAR(A19),Assumptions!$A$41:$AL$43,3,TRUE))^(1/12)</f>
        <v>0.99848118442253453</v>
      </c>
      <c r="AD19">
        <f t="shared" si="9"/>
        <v>131.78562567656925</v>
      </c>
      <c r="AE19">
        <f t="shared" si="14"/>
        <v>3.5689409888539405</v>
      </c>
    </row>
    <row r="20" spans="1:31" x14ac:dyDescent="0.2">
      <c r="A20" s="2">
        <f t="shared" si="15"/>
        <v>43373</v>
      </c>
      <c r="B20">
        <f t="shared" si="1"/>
        <v>89</v>
      </c>
      <c r="C20">
        <f t="shared" si="2"/>
        <v>7.3333333333333339</v>
      </c>
      <c r="D20">
        <f t="shared" si="3"/>
        <v>0</v>
      </c>
      <c r="E20">
        <f t="shared" si="4"/>
        <v>62</v>
      </c>
      <c r="F20">
        <f t="shared" si="5"/>
        <v>54</v>
      </c>
      <c r="G20">
        <f>IF(C20&gt;=$L$2,0,VLOOKUP($E20,'Mortality Table'!$A$3:$C$128,2+H$2,FALSE))</f>
        <v>4.2285000000000005E-3</v>
      </c>
      <c r="H20">
        <f>IF(C20&gt;=$L$2,0,VLOOKUP($E20,'Mortality Table'!$A$3:$C$128,2+I$2,FALSE))</f>
        <v>6.9176000000000003E-3</v>
      </c>
      <c r="I20" s="17">
        <f>G20*Assumptions!$B$1</f>
        <v>1.1442321000000003E-3</v>
      </c>
      <c r="J20" s="17">
        <f>H20*Assumptions!$B$1</f>
        <v>1.8719025600000001E-3</v>
      </c>
      <c r="K20">
        <f t="shared" si="6"/>
        <v>3.013992769002776E-3</v>
      </c>
      <c r="L20">
        <f t="shared" si="10"/>
        <v>2.3786955675390064E-4</v>
      </c>
      <c r="M20">
        <f>HLOOKUP(C20,Assumptions!$A$6:$J$7,2,TRUE)</f>
        <v>3.49E-2</v>
      </c>
      <c r="N20" s="23">
        <f t="shared" si="0"/>
        <v>0</v>
      </c>
      <c r="O20" s="23">
        <f t="shared" si="7"/>
        <v>0</v>
      </c>
      <c r="P20">
        <f t="shared" si="11"/>
        <v>0</v>
      </c>
      <c r="Q20" s="23">
        <f t="shared" si="8"/>
        <v>0.94551402709777266</v>
      </c>
      <c r="R20">
        <f>Q19*Assumptions!$B$11/$E$2*N20</f>
        <v>0</v>
      </c>
      <c r="S20">
        <f>Q19*Assumptions!$B$13/$E$2*N20</f>
        <v>0</v>
      </c>
      <c r="T20">
        <f>L20*Assumptions!$B$15</f>
        <v>3.5680433513085097</v>
      </c>
      <c r="U20">
        <f>S20*Assumptions!$B$17</f>
        <v>0</v>
      </c>
      <c r="V20">
        <f>HLOOKUP(B20,Assumptions!$A$26:$D$27,2,TRUE)</f>
        <v>0</v>
      </c>
      <c r="W20">
        <f t="shared" si="12"/>
        <v>0</v>
      </c>
      <c r="X20">
        <f t="shared" si="13"/>
        <v>0.33333333333333393</v>
      </c>
      <c r="Y20">
        <f>IF(B20&gt;$M$2,0,IF(X21=0,0,(1-X21)*Assumptions!$B$11/$E$2*(1-Assumptions!$B$30)))</f>
        <v>112.00000000000011</v>
      </c>
      <c r="Z20">
        <f>(R20-S20)*(1-Assumptions!$B$30)-U20+Y19*Q19</f>
        <v>121.05624277177928</v>
      </c>
      <c r="AA20">
        <f>AA19*(1+Assumptions!$B$36)^(1/12)</f>
        <v>1.0074906638441912</v>
      </c>
      <c r="AB20" s="20">
        <f>IF(B20&gt;$M$2,0,AA19*Assumptions!$B$32/12*Q19+Z20*Assumptions!$B$34/12)</f>
        <v>12.224573563557728</v>
      </c>
      <c r="AC20" s="21">
        <f>1/(1+HLOOKUP(YEAR(A20),Assumptions!$A$41:$AL$43,3,TRUE))^(1/12)</f>
        <v>0.99848118442253453</v>
      </c>
      <c r="AD20">
        <f t="shared" si="9"/>
        <v>116.19347128847498</v>
      </c>
      <c r="AE20">
        <f t="shared" si="14"/>
        <v>3.5680433513085097</v>
      </c>
    </row>
    <row r="21" spans="1:31" x14ac:dyDescent="0.2">
      <c r="A21" s="2">
        <f t="shared" si="15"/>
        <v>43404</v>
      </c>
      <c r="B21">
        <f t="shared" si="1"/>
        <v>90</v>
      </c>
      <c r="C21">
        <f t="shared" si="2"/>
        <v>7.4166666666666661</v>
      </c>
      <c r="D21">
        <f t="shared" si="3"/>
        <v>0</v>
      </c>
      <c r="E21">
        <f t="shared" si="4"/>
        <v>62</v>
      </c>
      <c r="F21">
        <f t="shared" si="5"/>
        <v>54</v>
      </c>
      <c r="G21">
        <f>IF(C21&gt;=$L$2,0,VLOOKUP($E21,'Mortality Table'!$A$3:$C$128,2+H$2,FALSE))</f>
        <v>4.2285000000000005E-3</v>
      </c>
      <c r="H21">
        <f>IF(C21&gt;=$L$2,0,VLOOKUP($E21,'Mortality Table'!$A$3:$C$128,2+I$2,FALSE))</f>
        <v>6.9176000000000003E-3</v>
      </c>
      <c r="I21" s="17">
        <f>G21*Assumptions!$B$1</f>
        <v>1.1442321000000003E-3</v>
      </c>
      <c r="J21" s="17">
        <f>H21*Assumptions!$B$1</f>
        <v>1.8719025600000001E-3</v>
      </c>
      <c r="K21">
        <f t="shared" si="6"/>
        <v>3.013992769002776E-3</v>
      </c>
      <c r="L21">
        <f t="shared" si="10"/>
        <v>2.3780972930208117E-4</v>
      </c>
      <c r="M21">
        <f>HLOOKUP(C21,Assumptions!$A$6:$J$7,2,TRUE)</f>
        <v>3.49E-2</v>
      </c>
      <c r="N21" s="23">
        <f t="shared" si="0"/>
        <v>0</v>
      </c>
      <c r="O21" s="23">
        <f t="shared" si="7"/>
        <v>0</v>
      </c>
      <c r="P21">
        <f t="shared" si="11"/>
        <v>0</v>
      </c>
      <c r="Q21" s="23">
        <f t="shared" si="8"/>
        <v>0.94527621736847056</v>
      </c>
      <c r="R21">
        <f>Q20*Assumptions!$B$11/$E$2*N21</f>
        <v>0</v>
      </c>
      <c r="S21">
        <f>Q20*Assumptions!$B$13/$E$2*N21</f>
        <v>0</v>
      </c>
      <c r="T21">
        <f>L21*Assumptions!$B$15</f>
        <v>3.5671459395312177</v>
      </c>
      <c r="U21">
        <f>S21*Assumptions!$B$17</f>
        <v>0</v>
      </c>
      <c r="V21">
        <f>HLOOKUP(B21,Assumptions!$A$26:$D$27,2,TRUE)</f>
        <v>0</v>
      </c>
      <c r="W21">
        <f t="shared" si="12"/>
        <v>0</v>
      </c>
      <c r="X21">
        <f t="shared" si="13"/>
        <v>0.41666666666666607</v>
      </c>
      <c r="Y21">
        <f>IF(B21&gt;$M$2,0,IF(X22=0,0,(1-X22)*Assumptions!$B$11/$E$2*(1-Assumptions!$B$30)))</f>
        <v>96</v>
      </c>
      <c r="Z21">
        <f>(R21-S21)*(1-Assumptions!$B$30)-U21+Y20*Q20</f>
        <v>105.89757103495064</v>
      </c>
      <c r="AA21">
        <f>AA20*(1+Assumptions!$B$36)^(1/12)</f>
        <v>1.0083264157496978</v>
      </c>
      <c r="AB21" s="20">
        <f>IF(B21&gt;$M$2,0,AA20*Assumptions!$B$32/12*Q20+Z21*Assumptions!$B$34/12)</f>
        <v>12.227956865201817</v>
      </c>
      <c r="AC21" s="21">
        <f>1/(1+HLOOKUP(YEAR(A21),Assumptions!$A$41:$AL$43,3,TRUE))^(1/12)</f>
        <v>0.99848118442253453</v>
      </c>
      <c r="AD21">
        <f t="shared" si="9"/>
        <v>100.57511338083762</v>
      </c>
      <c r="AE21">
        <f t="shared" si="14"/>
        <v>3.5671459395312177</v>
      </c>
    </row>
    <row r="22" spans="1:31" x14ac:dyDescent="0.2">
      <c r="A22" s="2">
        <f t="shared" si="15"/>
        <v>43434</v>
      </c>
      <c r="B22">
        <f t="shared" si="1"/>
        <v>91</v>
      </c>
      <c r="C22">
        <f t="shared" si="2"/>
        <v>7.5</v>
      </c>
      <c r="D22">
        <f t="shared" si="3"/>
        <v>0</v>
      </c>
      <c r="E22">
        <f t="shared" si="4"/>
        <v>62</v>
      </c>
      <c r="F22">
        <f t="shared" si="5"/>
        <v>54</v>
      </c>
      <c r="G22">
        <f>IF(C22&gt;=$L$2,0,VLOOKUP($E22,'Mortality Table'!$A$3:$C$128,2+H$2,FALSE))</f>
        <v>4.2285000000000005E-3</v>
      </c>
      <c r="H22">
        <f>IF(C22&gt;=$L$2,0,VLOOKUP($E22,'Mortality Table'!$A$3:$C$128,2+I$2,FALSE))</f>
        <v>6.9176000000000003E-3</v>
      </c>
      <c r="I22" s="17">
        <f>G22*Assumptions!$B$1</f>
        <v>1.1442321000000003E-3</v>
      </c>
      <c r="J22" s="17">
        <f>H22*Assumptions!$B$1</f>
        <v>1.8719025600000001E-3</v>
      </c>
      <c r="K22">
        <f t="shared" si="6"/>
        <v>3.013992769002776E-3</v>
      </c>
      <c r="L22">
        <f t="shared" si="10"/>
        <v>2.3774991689768529E-4</v>
      </c>
      <c r="M22">
        <f>HLOOKUP(C22,Assumptions!$A$6:$J$7,2,TRUE)</f>
        <v>3.49E-2</v>
      </c>
      <c r="N22" s="23">
        <f t="shared" si="0"/>
        <v>0</v>
      </c>
      <c r="O22" s="23">
        <f t="shared" si="7"/>
        <v>0</v>
      </c>
      <c r="P22">
        <f t="shared" si="11"/>
        <v>0</v>
      </c>
      <c r="Q22" s="23">
        <f t="shared" si="8"/>
        <v>0.94503846745157283</v>
      </c>
      <c r="R22">
        <f>Q21*Assumptions!$B$11/$E$2*N22</f>
        <v>0</v>
      </c>
      <c r="S22">
        <f>Q21*Assumptions!$B$13/$E$2*N22</f>
        <v>0</v>
      </c>
      <c r="T22">
        <f>L22*Assumptions!$B$15</f>
        <v>3.5662487534652794</v>
      </c>
      <c r="U22">
        <f>S22*Assumptions!$B$17</f>
        <v>0</v>
      </c>
      <c r="V22">
        <f>HLOOKUP(B22,Assumptions!$A$26:$D$27,2,TRUE)</f>
        <v>0</v>
      </c>
      <c r="W22">
        <f t="shared" si="12"/>
        <v>0</v>
      </c>
      <c r="X22">
        <f t="shared" si="13"/>
        <v>0.5</v>
      </c>
      <c r="Y22">
        <f>IF(B22&gt;$M$2,0,IF(X23=0,0,(1-X23)*Assumptions!$B$11/$E$2*(1-Assumptions!$B$30)))</f>
        <v>79.999999999999886</v>
      </c>
      <c r="Z22">
        <f>(R22-S22)*(1-Assumptions!$B$30)-U22+Y21*Q21</f>
        <v>90.746516867373174</v>
      </c>
      <c r="AA22">
        <f>AA21*(1+Assumptions!$B$36)^(1/12)</f>
        <v>1.0091628609432644</v>
      </c>
      <c r="AB22" s="20">
        <f>IF(B22&gt;$M$2,0,AA21*Assumptions!$B$32/12*Q21+Z22*Assumptions!$B$34/12)</f>
        <v>12.231346079422462</v>
      </c>
      <c r="AC22" s="21">
        <f>1/(1+HLOOKUP(YEAR(A22),Assumptions!$A$41:$AL$43,3,TRUE))^(1/12)</f>
        <v>0.99848118442253453</v>
      </c>
      <c r="AD22">
        <f t="shared" si="9"/>
        <v>84.930505956517337</v>
      </c>
      <c r="AE22">
        <f t="shared" si="14"/>
        <v>3.5662487534652794</v>
      </c>
    </row>
    <row r="23" spans="1:31" x14ac:dyDescent="0.2">
      <c r="A23" s="2">
        <f t="shared" si="15"/>
        <v>43465</v>
      </c>
      <c r="B23">
        <f t="shared" si="1"/>
        <v>92</v>
      </c>
      <c r="C23">
        <f t="shared" si="2"/>
        <v>7.5833333333333339</v>
      </c>
      <c r="D23">
        <f t="shared" si="3"/>
        <v>0</v>
      </c>
      <c r="E23">
        <f t="shared" si="4"/>
        <v>62</v>
      </c>
      <c r="F23">
        <f t="shared" si="5"/>
        <v>54</v>
      </c>
      <c r="G23">
        <f>IF(C23&gt;=$L$2,0,VLOOKUP($E23,'Mortality Table'!$A$3:$C$128,2+H$2,FALSE))</f>
        <v>4.2285000000000005E-3</v>
      </c>
      <c r="H23">
        <f>IF(C23&gt;=$L$2,0,VLOOKUP($E23,'Mortality Table'!$A$3:$C$128,2+I$2,FALSE))</f>
        <v>6.9176000000000003E-3</v>
      </c>
      <c r="I23" s="17">
        <f>G23*Assumptions!$B$1</f>
        <v>1.1442321000000003E-3</v>
      </c>
      <c r="J23" s="17">
        <f>H23*Assumptions!$B$1</f>
        <v>1.8719025600000001E-3</v>
      </c>
      <c r="K23">
        <f t="shared" si="6"/>
        <v>3.013992769002776E-3</v>
      </c>
      <c r="L23">
        <f t="shared" si="10"/>
        <v>2.3769011953692843E-4</v>
      </c>
      <c r="M23">
        <f>HLOOKUP(C23,Assumptions!$A$6:$J$7,2,TRUE)</f>
        <v>3.49E-2</v>
      </c>
      <c r="N23" s="23">
        <f t="shared" si="0"/>
        <v>0</v>
      </c>
      <c r="O23" s="23">
        <f t="shared" si="7"/>
        <v>0</v>
      </c>
      <c r="P23">
        <f t="shared" si="11"/>
        <v>0</v>
      </c>
      <c r="Q23" s="23">
        <f t="shared" si="8"/>
        <v>0.94480077733203593</v>
      </c>
      <c r="R23">
        <f>Q22*Assumptions!$B$11/$E$2*N23</f>
        <v>0</v>
      </c>
      <c r="S23">
        <f>Q22*Assumptions!$B$13/$E$2*N23</f>
        <v>0</v>
      </c>
      <c r="T23">
        <f>L23*Assumptions!$B$15</f>
        <v>3.5653517930539267</v>
      </c>
      <c r="U23">
        <f>S23*Assumptions!$B$17</f>
        <v>0</v>
      </c>
      <c r="V23">
        <f>HLOOKUP(B23,Assumptions!$A$26:$D$27,2,TRUE)</f>
        <v>0</v>
      </c>
      <c r="W23">
        <f t="shared" si="12"/>
        <v>0</v>
      </c>
      <c r="X23">
        <f t="shared" si="13"/>
        <v>0.58333333333333393</v>
      </c>
      <c r="Y23">
        <f>IF(B23&gt;$M$2,0,IF(X24=0,0,(1-X24)*Assumptions!$B$11/$E$2*(1-Assumptions!$B$30)))</f>
        <v>64.000000000000114</v>
      </c>
      <c r="Z23">
        <f>(R23-S23)*(1-Assumptions!$B$30)-U23+Y22*Q22</f>
        <v>75.603077396125713</v>
      </c>
      <c r="AA23">
        <f>AA22*(1+Assumptions!$B$36)^(1/12)</f>
        <v>1.0099999999999993</v>
      </c>
      <c r="AB23" s="20">
        <f>IF(B23&gt;$M$2,0,AA22*Assumptions!$B$32/12*Q22+Z23*Assumptions!$B$34/12)</f>
        <v>12.234741207878049</v>
      </c>
      <c r="AC23" s="21">
        <f>1/(1+HLOOKUP(YEAR(A23),Assumptions!$A$41:$AL$43,3,TRUE))^(1/12)</f>
        <v>0.99848118442253453</v>
      </c>
      <c r="AD23">
        <f t="shared" si="9"/>
        <v>69.259602946805273</v>
      </c>
      <c r="AE23">
        <f t="shared" si="14"/>
        <v>3.5653517930539267</v>
      </c>
    </row>
    <row r="24" spans="1:31" x14ac:dyDescent="0.2">
      <c r="A24" s="2">
        <f t="shared" si="15"/>
        <v>43496</v>
      </c>
      <c r="B24">
        <f t="shared" si="1"/>
        <v>93</v>
      </c>
      <c r="C24">
        <f t="shared" si="2"/>
        <v>7.6666666666666661</v>
      </c>
      <c r="D24">
        <f t="shared" si="3"/>
        <v>0</v>
      </c>
      <c r="E24">
        <f t="shared" si="4"/>
        <v>62</v>
      </c>
      <c r="F24">
        <f t="shared" si="5"/>
        <v>54</v>
      </c>
      <c r="G24">
        <f>IF(C24&gt;=$L$2,0,VLOOKUP($E24,'Mortality Table'!$A$3:$C$128,2+H$2,FALSE))</f>
        <v>4.2285000000000005E-3</v>
      </c>
      <c r="H24">
        <f>IF(C24&gt;=$L$2,0,VLOOKUP($E24,'Mortality Table'!$A$3:$C$128,2+I$2,FALSE))</f>
        <v>6.9176000000000003E-3</v>
      </c>
      <c r="I24" s="17">
        <f>G24*Assumptions!$B$1</f>
        <v>1.1442321000000003E-3</v>
      </c>
      <c r="J24" s="17">
        <f>H24*Assumptions!$B$1</f>
        <v>1.8719025600000001E-3</v>
      </c>
      <c r="K24">
        <f t="shared" si="6"/>
        <v>3.013992769002776E-3</v>
      </c>
      <c r="L24">
        <f t="shared" si="10"/>
        <v>2.376303372160269E-4</v>
      </c>
      <c r="M24">
        <f>HLOOKUP(C24,Assumptions!$A$6:$J$7,2,TRUE)</f>
        <v>3.49E-2</v>
      </c>
      <c r="N24" s="23">
        <f t="shared" si="0"/>
        <v>0</v>
      </c>
      <c r="O24" s="23">
        <f t="shared" si="7"/>
        <v>0</v>
      </c>
      <c r="P24">
        <f t="shared" si="11"/>
        <v>0</v>
      </c>
      <c r="Q24" s="23">
        <f t="shared" si="8"/>
        <v>0.94456314699481991</v>
      </c>
      <c r="R24">
        <f>Q23*Assumptions!$B$11/$E$2*N24</f>
        <v>0</v>
      </c>
      <c r="S24">
        <f>Q23*Assumptions!$B$13/$E$2*N24</f>
        <v>0</v>
      </c>
      <c r="T24">
        <f>L24*Assumptions!$B$15</f>
        <v>3.5644550582404033</v>
      </c>
      <c r="U24">
        <f>S24*Assumptions!$B$17</f>
        <v>0</v>
      </c>
      <c r="V24">
        <f>HLOOKUP(B24,Assumptions!$A$26:$D$27,2,TRUE)</f>
        <v>0</v>
      </c>
      <c r="W24">
        <f t="shared" si="12"/>
        <v>0</v>
      </c>
      <c r="X24">
        <f t="shared" si="13"/>
        <v>0.66666666666666607</v>
      </c>
      <c r="Y24">
        <f>IF(B24&gt;$M$2,0,IF(X25=0,0,(1-X25)*Assumptions!$B$11/$E$2*(1-Assumptions!$B$30)))</f>
        <v>48</v>
      </c>
      <c r="Z24">
        <f>(R24-S24)*(1-Assumptions!$B$30)-U24+Y23*Q23</f>
        <v>60.467249749250406</v>
      </c>
      <c r="AA24">
        <f>AA23*(1+Assumptions!$B$36)^(1/12)</f>
        <v>1.0108378334954891</v>
      </c>
      <c r="AB24" s="20">
        <f>IF(B24&gt;$M$2,0,AA23*Assumptions!$B$32/12*Q23+Z24*Assumptions!$B$34/12)</f>
        <v>12.238142252228549</v>
      </c>
      <c r="AC24" s="21">
        <f>1/(1+HLOOKUP(YEAR(A24),Assumptions!$A$41:$AL$43,3,TRUE))^(1/12)</f>
        <v>0.99860097247287194</v>
      </c>
      <c r="AD24">
        <f t="shared" si="9"/>
        <v>53.554037477593781</v>
      </c>
      <c r="AE24">
        <f t="shared" si="14"/>
        <v>3.5644550582404033</v>
      </c>
    </row>
    <row r="25" spans="1:31" x14ac:dyDescent="0.2">
      <c r="A25" s="2">
        <f t="shared" si="15"/>
        <v>43524</v>
      </c>
      <c r="B25">
        <f t="shared" si="1"/>
        <v>94</v>
      </c>
      <c r="C25">
        <f t="shared" si="2"/>
        <v>7.75</v>
      </c>
      <c r="D25">
        <f t="shared" si="3"/>
        <v>0</v>
      </c>
      <c r="E25">
        <f t="shared" si="4"/>
        <v>62</v>
      </c>
      <c r="F25">
        <f t="shared" si="5"/>
        <v>54</v>
      </c>
      <c r="G25">
        <f>IF(C25&gt;=$L$2,0,VLOOKUP($E25,'Mortality Table'!$A$3:$C$128,2+H$2,FALSE))</f>
        <v>4.2285000000000005E-3</v>
      </c>
      <c r="H25">
        <f>IF(C25&gt;=$L$2,0,VLOOKUP($E25,'Mortality Table'!$A$3:$C$128,2+I$2,FALSE))</f>
        <v>6.9176000000000003E-3</v>
      </c>
      <c r="I25" s="17">
        <f>G25*Assumptions!$B$1</f>
        <v>1.1442321000000003E-3</v>
      </c>
      <c r="J25" s="17">
        <f>H25*Assumptions!$B$1</f>
        <v>1.8719025600000001E-3</v>
      </c>
      <c r="K25">
        <f t="shared" si="6"/>
        <v>3.013992769002776E-3</v>
      </c>
      <c r="L25">
        <f t="shared" si="10"/>
        <v>2.3757056993119798E-4</v>
      </c>
      <c r="M25">
        <f>HLOOKUP(C25,Assumptions!$A$6:$J$7,2,TRUE)</f>
        <v>3.49E-2</v>
      </c>
      <c r="N25" s="23">
        <f t="shared" si="0"/>
        <v>0</v>
      </c>
      <c r="O25" s="23">
        <f t="shared" si="7"/>
        <v>0</v>
      </c>
      <c r="P25">
        <f t="shared" si="11"/>
        <v>0</v>
      </c>
      <c r="Q25" s="23">
        <f t="shared" si="8"/>
        <v>0.94432557642488868</v>
      </c>
      <c r="R25">
        <f>Q24*Assumptions!$B$11/$E$2*N25</f>
        <v>0</v>
      </c>
      <c r="S25">
        <f>Q24*Assumptions!$B$13/$E$2*N25</f>
        <v>0</v>
      </c>
      <c r="T25">
        <f>L25*Assumptions!$B$15</f>
        <v>3.5635585489679698</v>
      </c>
      <c r="U25">
        <f>S25*Assumptions!$B$17</f>
        <v>0</v>
      </c>
      <c r="V25">
        <f>HLOOKUP(B25,Assumptions!$A$26:$D$27,2,TRUE)</f>
        <v>0</v>
      </c>
      <c r="W25">
        <f t="shared" si="12"/>
        <v>0</v>
      </c>
      <c r="X25">
        <f t="shared" si="13"/>
        <v>0.75</v>
      </c>
      <c r="Y25">
        <f>IF(B25&gt;$M$2,0,IF(X26=0,0,(1-X26)*Assumptions!$B$11/$E$2*(1-Assumptions!$B$30)))</f>
        <v>31.999999999999886</v>
      </c>
      <c r="Z25">
        <f>(R25-S25)*(1-Assumptions!$B$30)-U25+Y24*Q24</f>
        <v>45.339031055751356</v>
      </c>
      <c r="AA25">
        <f>AA24*(1+Assumptions!$B$36)^(1/12)</f>
        <v>1.0116763620057967</v>
      </c>
      <c r="AB25" s="20">
        <f>IF(B25&gt;$M$2,0,AA24*Assumptions!$B$32/12*Q24+Z25*Assumptions!$B$34/12)</f>
        <v>12.24154921413553</v>
      </c>
      <c r="AC25" s="21">
        <f>1/(1+HLOOKUP(YEAR(A25),Assumptions!$A$41:$AL$43,3,TRUE))^(1/12)</f>
        <v>0.99860097247287194</v>
      </c>
      <c r="AD25">
        <f t="shared" si="9"/>
        <v>37.823958254102521</v>
      </c>
      <c r="AE25">
        <f t="shared" si="14"/>
        <v>3.5635585489679698</v>
      </c>
    </row>
    <row r="26" spans="1:31" x14ac:dyDescent="0.2">
      <c r="A26" s="2">
        <f t="shared" si="15"/>
        <v>43555</v>
      </c>
      <c r="B26">
        <f t="shared" si="1"/>
        <v>95</v>
      </c>
      <c r="C26">
        <f t="shared" si="2"/>
        <v>7.8333333333333339</v>
      </c>
      <c r="D26">
        <f t="shared" si="3"/>
        <v>0</v>
      </c>
      <c r="E26">
        <f t="shared" si="4"/>
        <v>62</v>
      </c>
      <c r="F26">
        <f t="shared" si="5"/>
        <v>54</v>
      </c>
      <c r="G26">
        <f>IF(C26&gt;=$L$2,0,VLOOKUP($E26,'Mortality Table'!$A$3:$C$128,2+H$2,FALSE))</f>
        <v>4.2285000000000005E-3</v>
      </c>
      <c r="H26">
        <f>IF(C26&gt;=$L$2,0,VLOOKUP($E26,'Mortality Table'!$A$3:$C$128,2+I$2,FALSE))</f>
        <v>6.9176000000000003E-3</v>
      </c>
      <c r="I26" s="17">
        <f>G26*Assumptions!$B$1</f>
        <v>1.1442321000000003E-3</v>
      </c>
      <c r="J26" s="17">
        <f>H26*Assumptions!$B$1</f>
        <v>1.8719025600000001E-3</v>
      </c>
      <c r="K26">
        <f t="shared" si="6"/>
        <v>3.013992769002776E-3</v>
      </c>
      <c r="L26">
        <f t="shared" si="10"/>
        <v>2.3751081767865986E-4</v>
      </c>
      <c r="M26">
        <f>HLOOKUP(C26,Assumptions!$A$6:$J$7,2,TRUE)</f>
        <v>3.49E-2</v>
      </c>
      <c r="N26" s="23">
        <f t="shared" si="0"/>
        <v>0</v>
      </c>
      <c r="O26" s="23">
        <f t="shared" si="7"/>
        <v>0</v>
      </c>
      <c r="P26">
        <f t="shared" si="11"/>
        <v>0</v>
      </c>
      <c r="Q26" s="23">
        <f t="shared" si="8"/>
        <v>0.94408806560721004</v>
      </c>
      <c r="R26">
        <f>Q25*Assumptions!$B$11/$E$2*N26</f>
        <v>0</v>
      </c>
      <c r="S26">
        <f>Q25*Assumptions!$B$13/$E$2*N26</f>
        <v>0</v>
      </c>
      <c r="T26">
        <f>L26*Assumptions!$B$15</f>
        <v>3.562662265179898</v>
      </c>
      <c r="U26">
        <f>S26*Assumptions!$B$17</f>
        <v>0</v>
      </c>
      <c r="V26">
        <f>HLOOKUP(B26,Assumptions!$A$26:$D$27,2,TRUE)</f>
        <v>0</v>
      </c>
      <c r="W26">
        <f t="shared" si="12"/>
        <v>0</v>
      </c>
      <c r="X26">
        <f t="shared" si="13"/>
        <v>0.83333333333333393</v>
      </c>
      <c r="Y26">
        <f>IF(B26&gt;$M$2,0,IF(X27=0,0,(1-X27)*Assumptions!$B$11/$E$2*(1-Assumptions!$B$30)))</f>
        <v>16.000000000000114</v>
      </c>
      <c r="Z26">
        <f>(R26-S26)*(1-Assumptions!$B$30)-U26+Y25*Q25</f>
        <v>30.218418445596331</v>
      </c>
      <c r="AA26">
        <f>AA25*(1+Assumptions!$B$36)^(1/12)</f>
        <v>1.0125155861074635</v>
      </c>
      <c r="AB26" s="20">
        <f>IF(B26&gt;$M$2,0,AA25*Assumptions!$B$32/12*Q25+Z26*Assumptions!$B$34/12)</f>
        <v>12.244962095262153</v>
      </c>
      <c r="AC26" s="21">
        <f>1/(1+HLOOKUP(YEAR(A26),Assumptions!$A$41:$AL$43,3,TRUE))^(1/12)</f>
        <v>0.99860097247287194</v>
      </c>
      <c r="AD26">
        <f t="shared" si="9"/>
        <v>22.069324788162994</v>
      </c>
      <c r="AE26">
        <f t="shared" si="14"/>
        <v>3.562662265179898</v>
      </c>
    </row>
    <row r="27" spans="1:31" x14ac:dyDescent="0.2">
      <c r="A27" s="2">
        <f t="shared" si="15"/>
        <v>43585</v>
      </c>
      <c r="B27">
        <f t="shared" si="1"/>
        <v>96</v>
      </c>
      <c r="C27">
        <f t="shared" si="2"/>
        <v>7.9166666666666661</v>
      </c>
      <c r="D27">
        <f t="shared" si="3"/>
        <v>0</v>
      </c>
      <c r="E27">
        <f t="shared" si="4"/>
        <v>62</v>
      </c>
      <c r="F27">
        <f t="shared" si="5"/>
        <v>54</v>
      </c>
      <c r="G27">
        <f>IF(C27&gt;=$L$2,0,VLOOKUP($E27,'Mortality Table'!$A$3:$C$128,2+H$2,FALSE))</f>
        <v>4.2285000000000005E-3</v>
      </c>
      <c r="H27">
        <f>IF(C27&gt;=$L$2,0,VLOOKUP($E27,'Mortality Table'!$A$3:$C$128,2+I$2,FALSE))</f>
        <v>6.9176000000000003E-3</v>
      </c>
      <c r="I27" s="17">
        <f>G27*Assumptions!$B$1</f>
        <v>1.1442321000000003E-3</v>
      </c>
      <c r="J27" s="17">
        <f>H27*Assumptions!$B$1</f>
        <v>1.8719025600000001E-3</v>
      </c>
      <c r="K27">
        <f t="shared" si="6"/>
        <v>3.013992769002776E-3</v>
      </c>
      <c r="L27">
        <f t="shared" si="10"/>
        <v>2.3745108045463171E-4</v>
      </c>
      <c r="M27">
        <f>HLOOKUP(C27,Assumptions!$A$6:$J$7,2,TRUE)</f>
        <v>3.49E-2</v>
      </c>
      <c r="N27" s="23">
        <f t="shared" si="0"/>
        <v>0</v>
      </c>
      <c r="O27" s="23">
        <f t="shared" si="7"/>
        <v>1</v>
      </c>
      <c r="P27">
        <f t="shared" si="11"/>
        <v>3.2940386446983806E-2</v>
      </c>
      <c r="Q27" s="23">
        <f t="shared" si="8"/>
        <v>0.91091022807977162</v>
      </c>
      <c r="R27">
        <f>Q26*Assumptions!$B$11/$E$2*N27</f>
        <v>0</v>
      </c>
      <c r="S27">
        <f>Q26*Assumptions!$B$13/$E$2*N27</f>
        <v>0</v>
      </c>
      <c r="T27">
        <f>L27*Assumptions!$B$15</f>
        <v>3.5617662068194758</v>
      </c>
      <c r="U27">
        <f>S27*Assumptions!$B$17</f>
        <v>0</v>
      </c>
      <c r="V27">
        <f>HLOOKUP(B27,Assumptions!$A$26:$D$27,2,TRUE)</f>
        <v>0</v>
      </c>
      <c r="W27">
        <f t="shared" si="12"/>
        <v>0</v>
      </c>
      <c r="X27">
        <f t="shared" si="13"/>
        <v>0.91666666666666607</v>
      </c>
      <c r="Y27">
        <f>IF(B27&gt;$M$2,0,IF(X28=0,0,(1-X28)*Assumptions!$B$11/$E$2*(1-Assumptions!$B$30)))</f>
        <v>0</v>
      </c>
      <c r="Z27">
        <f>(R27-S27)*(1-Assumptions!$B$30)-U27+Y26*Q26</f>
        <v>15.105409049715467</v>
      </c>
      <c r="AA27">
        <f>AA26*(1+Assumptions!$B$36)^(1/12)</f>
        <v>1.0133555063775093</v>
      </c>
      <c r="AB27" s="20">
        <f>IF(B27&gt;$M$2,0,AA26*Assumptions!$B$32/12*Q26+Z27*Assumptions!$B$34/12)</f>
        <v>12.248380897273176</v>
      </c>
      <c r="AC27" s="21">
        <f>1/(1+HLOOKUP(YEAR(A27),Assumptions!$A$41:$AL$43,3,TRUE))^(1/12)</f>
        <v>0.99860097247287194</v>
      </c>
      <c r="AD27">
        <f t="shared" si="9"/>
        <v>6.2900965332752587</v>
      </c>
      <c r="AE27">
        <f t="shared" si="14"/>
        <v>3.5617662068194758</v>
      </c>
    </row>
    <row r="28" spans="1:31" x14ac:dyDescent="0.2">
      <c r="A28" s="2">
        <f t="shared" si="15"/>
        <v>43616</v>
      </c>
      <c r="B28">
        <f t="shared" si="1"/>
        <v>97</v>
      </c>
      <c r="C28">
        <f t="shared" si="2"/>
        <v>8</v>
      </c>
      <c r="D28">
        <f t="shared" si="3"/>
        <v>1</v>
      </c>
      <c r="E28">
        <f t="shared" si="4"/>
        <v>63</v>
      </c>
      <c r="F28">
        <f t="shared" si="5"/>
        <v>55</v>
      </c>
      <c r="G28">
        <f>IF(C28&gt;=$L$2,0,VLOOKUP($E28,'Mortality Table'!$A$3:$C$128,2+H$2,FALSE))</f>
        <v>4.4637000000000001E-3</v>
      </c>
      <c r="H28">
        <f>IF(C28&gt;=$L$2,0,VLOOKUP($E28,'Mortality Table'!$A$3:$C$128,2+I$2,FALSE))</f>
        <v>7.3750999999999999E-3</v>
      </c>
      <c r="I28" s="17">
        <f>G28*Assumptions!$B$1</f>
        <v>1.20787722E-3</v>
      </c>
      <c r="J28" s="17">
        <f>H28*Assumptions!$B$1</f>
        <v>1.99570206E-3</v>
      </c>
      <c r="K28">
        <f t="shared" si="6"/>
        <v>3.2011687169438189E-3</v>
      </c>
      <c r="L28">
        <f t="shared" si="10"/>
        <v>2.4335536877259441E-4</v>
      </c>
      <c r="M28">
        <f>HLOOKUP(C28,Assumptions!$A$6:$J$7,2,TRUE)</f>
        <v>4.5100000000000001E-2</v>
      </c>
      <c r="N28" s="23">
        <f t="shared" si="0"/>
        <v>1</v>
      </c>
      <c r="O28" s="23">
        <f t="shared" si="7"/>
        <v>0</v>
      </c>
      <c r="P28">
        <f t="shared" si="11"/>
        <v>0</v>
      </c>
      <c r="Q28" s="23">
        <f t="shared" si="8"/>
        <v>0.910666872710999</v>
      </c>
      <c r="R28">
        <f>Q27*Assumptions!$B$11/$E$2*N28</f>
        <v>218.61845473914519</v>
      </c>
      <c r="S28">
        <f>Q27*Assumptions!$B$13/$E$2*N28</f>
        <v>54.654613684786298</v>
      </c>
      <c r="T28">
        <f>L28*Assumptions!$B$15</f>
        <v>3.6503305315889163</v>
      </c>
      <c r="U28">
        <f>S28*Assumptions!$B$17</f>
        <v>35.066400140158883</v>
      </c>
      <c r="V28">
        <f>HLOOKUP(B28,Assumptions!$A$26:$D$27,2,TRUE)</f>
        <v>0</v>
      </c>
      <c r="W28">
        <f t="shared" si="12"/>
        <v>0</v>
      </c>
      <c r="X28">
        <f t="shared" si="13"/>
        <v>0</v>
      </c>
      <c r="Y28">
        <f>IF(B28&gt;$M$2,0,IF(X29=0,0,(1-X29)*Assumptions!$B$11/$E$2*(1-Assumptions!$B$30)))</f>
        <v>175.99999999999989</v>
      </c>
      <c r="Z28">
        <f>(R28-S28)*(1-Assumptions!$B$30)-U28+Y27*Q27</f>
        <v>96.104672703328248</v>
      </c>
      <c r="AA28">
        <f>AA27*(1+Assumptions!$B$36)^(1/12)</f>
        <v>1.014196123393432</v>
      </c>
      <c r="AB28" s="20">
        <f>IF(B28&gt;$M$2,0,AA27*Assumptions!$B$32/12*Q27+Z28*Assumptions!$B$34/12)</f>
        <v>11.847442901536208</v>
      </c>
      <c r="AC28" s="21">
        <f>1/(1+HLOOKUP(YEAR(A28),Assumptions!$A$41:$AL$43,3,TRUE))^(1/12)</f>
        <v>0.99860097247287194</v>
      </c>
      <c r="AD28">
        <f t="shared" si="9"/>
        <v>174.35319004605071</v>
      </c>
      <c r="AE28">
        <f t="shared" si="14"/>
        <v>38.716730671747797</v>
      </c>
    </row>
    <row r="29" spans="1:31" x14ac:dyDescent="0.2">
      <c r="A29" s="2">
        <f t="shared" si="15"/>
        <v>43646</v>
      </c>
      <c r="B29">
        <f t="shared" si="1"/>
        <v>98</v>
      </c>
      <c r="C29">
        <f t="shared" si="2"/>
        <v>8.0833333333333339</v>
      </c>
      <c r="D29">
        <f t="shared" si="3"/>
        <v>0</v>
      </c>
      <c r="E29">
        <f t="shared" si="4"/>
        <v>63</v>
      </c>
      <c r="F29">
        <f t="shared" si="5"/>
        <v>55</v>
      </c>
      <c r="G29">
        <f>IF(C29&gt;=$L$2,0,VLOOKUP($E29,'Mortality Table'!$A$3:$C$128,2+H$2,FALSE))</f>
        <v>4.4637000000000001E-3</v>
      </c>
      <c r="H29">
        <f>IF(C29&gt;=$L$2,0,VLOOKUP($E29,'Mortality Table'!$A$3:$C$128,2+I$2,FALSE))</f>
        <v>7.3750999999999999E-3</v>
      </c>
      <c r="I29" s="17">
        <f>G29*Assumptions!$B$1</f>
        <v>1.20787722E-3</v>
      </c>
      <c r="J29" s="17">
        <f>H29*Assumptions!$B$1</f>
        <v>1.99570206E-3</v>
      </c>
      <c r="K29">
        <f t="shared" si="6"/>
        <v>3.2011687169438189E-3</v>
      </c>
      <c r="L29">
        <f t="shared" si="10"/>
        <v>2.4329035486267785E-4</v>
      </c>
      <c r="M29">
        <f>HLOOKUP(C29,Assumptions!$A$6:$J$7,2,TRUE)</f>
        <v>4.5100000000000001E-2</v>
      </c>
      <c r="N29" s="23">
        <f t="shared" si="0"/>
        <v>0</v>
      </c>
      <c r="O29" s="23">
        <f t="shared" si="7"/>
        <v>0</v>
      </c>
      <c r="P29">
        <f t="shared" si="11"/>
        <v>0</v>
      </c>
      <c r="Q29" s="23">
        <f t="shared" si="8"/>
        <v>0.9104235823561363</v>
      </c>
      <c r="R29">
        <f>Q28*Assumptions!$B$11/$E$2*N29</f>
        <v>0</v>
      </c>
      <c r="S29">
        <f>Q28*Assumptions!$B$13/$E$2*N29</f>
        <v>0</v>
      </c>
      <c r="T29">
        <f>L29*Assumptions!$B$15</f>
        <v>3.6493553229401678</v>
      </c>
      <c r="U29">
        <f>S29*Assumptions!$B$17</f>
        <v>0</v>
      </c>
      <c r="V29">
        <f>HLOOKUP(B29,Assumptions!$A$26:$D$27,2,TRUE)</f>
        <v>0</v>
      </c>
      <c r="W29">
        <f t="shared" si="12"/>
        <v>0</v>
      </c>
      <c r="X29">
        <f t="shared" si="13"/>
        <v>8.3333333333333925E-2</v>
      </c>
      <c r="Y29">
        <f>IF(B29&gt;$M$2,0,IF(X30=0,0,(1-X30)*Assumptions!$B$11/$E$2*(1-Assumptions!$B$30)))</f>
        <v>160.00000000000011</v>
      </c>
      <c r="Z29">
        <f>(R29-S29)*(1-Assumptions!$B$30)-U29+Y28*Q28</f>
        <v>160.27736959713573</v>
      </c>
      <c r="AA29">
        <f>AA28*(1+Assumptions!$B$36)^(1/12)</f>
        <v>1.015037437733209</v>
      </c>
      <c r="AB29" s="20">
        <f>IF(B29&gt;$M$2,0,AA28*Assumptions!$B$32/12*Q28+Z29*Assumptions!$B$34/12)</f>
        <v>11.86959840828187</v>
      </c>
      <c r="AC29" s="21">
        <f>1/(1+HLOOKUP(YEAR(A29),Assumptions!$A$41:$AL$43,3,TRUE))^(1/12)</f>
        <v>0.99860097247287194</v>
      </c>
      <c r="AD29">
        <f t="shared" si="9"/>
        <v>159.07850296291031</v>
      </c>
      <c r="AE29">
        <f t="shared" si="14"/>
        <v>3.6493553229401678</v>
      </c>
    </row>
    <row r="30" spans="1:31" x14ac:dyDescent="0.2">
      <c r="A30" s="2">
        <f t="shared" si="15"/>
        <v>43677</v>
      </c>
      <c r="B30">
        <f t="shared" si="1"/>
        <v>99</v>
      </c>
      <c r="C30">
        <f t="shared" si="2"/>
        <v>8.1666666666666661</v>
      </c>
      <c r="D30">
        <f t="shared" si="3"/>
        <v>0</v>
      </c>
      <c r="E30">
        <f t="shared" si="4"/>
        <v>63</v>
      </c>
      <c r="F30">
        <f t="shared" si="5"/>
        <v>55</v>
      </c>
      <c r="G30">
        <f>IF(C30&gt;=$L$2,0,VLOOKUP($E30,'Mortality Table'!$A$3:$C$128,2+H$2,FALSE))</f>
        <v>4.4637000000000001E-3</v>
      </c>
      <c r="H30">
        <f>IF(C30&gt;=$L$2,0,VLOOKUP($E30,'Mortality Table'!$A$3:$C$128,2+I$2,FALSE))</f>
        <v>7.3750999999999999E-3</v>
      </c>
      <c r="I30" s="17">
        <f>G30*Assumptions!$B$1</f>
        <v>1.20787722E-3</v>
      </c>
      <c r="J30" s="17">
        <f>H30*Assumptions!$B$1</f>
        <v>1.99570206E-3</v>
      </c>
      <c r="K30">
        <f t="shared" si="6"/>
        <v>3.2011687169438189E-3</v>
      </c>
      <c r="L30">
        <f t="shared" si="10"/>
        <v>2.4322535832163424E-4</v>
      </c>
      <c r="M30">
        <f>HLOOKUP(C30,Assumptions!$A$6:$J$7,2,TRUE)</f>
        <v>4.5100000000000001E-2</v>
      </c>
      <c r="N30" s="23">
        <f t="shared" si="0"/>
        <v>0</v>
      </c>
      <c r="O30" s="23">
        <f t="shared" si="7"/>
        <v>0</v>
      </c>
      <c r="P30">
        <f t="shared" si="11"/>
        <v>0</v>
      </c>
      <c r="Q30" s="23">
        <f t="shared" si="8"/>
        <v>0.91018035699781463</v>
      </c>
      <c r="R30">
        <f>Q29*Assumptions!$B$11/$E$2*N30</f>
        <v>0</v>
      </c>
      <c r="S30">
        <f>Q29*Assumptions!$B$13/$E$2*N30</f>
        <v>0</v>
      </c>
      <c r="T30">
        <f>L30*Assumptions!$B$15</f>
        <v>3.6483803748245136</v>
      </c>
      <c r="U30">
        <f>S30*Assumptions!$B$17</f>
        <v>0</v>
      </c>
      <c r="V30">
        <f>HLOOKUP(B30,Assumptions!$A$26:$D$27,2,TRUE)</f>
        <v>0</v>
      </c>
      <c r="W30">
        <f t="shared" si="12"/>
        <v>0</v>
      </c>
      <c r="X30">
        <f t="shared" si="13"/>
        <v>0.16666666666666607</v>
      </c>
      <c r="Y30">
        <f>IF(B30&gt;$M$2,0,IF(X31=0,0,(1-X31)*Assumptions!$B$11/$E$2*(1-Assumptions!$B$30)))</f>
        <v>144</v>
      </c>
      <c r="Z30">
        <f>(R30-S30)*(1-Assumptions!$B$30)-U30+Y29*Q29</f>
        <v>145.66777317698191</v>
      </c>
      <c r="AA30">
        <f>AA29*(1+Assumptions!$B$36)^(1/12)</f>
        <v>1.015879449975297</v>
      </c>
      <c r="AB30" s="20">
        <f>IF(B30&gt;$M$2,0,AA29*Assumptions!$B$32/12*Q29+Z30*Assumptions!$B$34/12)</f>
        <v>11.87271859754812</v>
      </c>
      <c r="AC30" s="21">
        <f>1/(1+HLOOKUP(YEAR(A30),Assumptions!$A$41:$AL$43,3,TRUE))^(1/12)</f>
        <v>0.99860097247287194</v>
      </c>
      <c r="AD30">
        <f t="shared" si="9"/>
        <v>143.78027099222734</v>
      </c>
      <c r="AE30">
        <f t="shared" si="14"/>
        <v>3.6483803748245136</v>
      </c>
    </row>
    <row r="31" spans="1:31" x14ac:dyDescent="0.2">
      <c r="A31" s="2">
        <f t="shared" si="15"/>
        <v>43708</v>
      </c>
      <c r="B31">
        <f t="shared" si="1"/>
        <v>100</v>
      </c>
      <c r="C31">
        <f t="shared" si="2"/>
        <v>8.25</v>
      </c>
      <c r="D31">
        <f t="shared" si="3"/>
        <v>0</v>
      </c>
      <c r="E31">
        <f t="shared" si="4"/>
        <v>63</v>
      </c>
      <c r="F31">
        <f t="shared" si="5"/>
        <v>55</v>
      </c>
      <c r="G31">
        <f>IF(C31&gt;=$L$2,0,VLOOKUP($E31,'Mortality Table'!$A$3:$C$128,2+H$2,FALSE))</f>
        <v>4.4637000000000001E-3</v>
      </c>
      <c r="H31">
        <f>IF(C31&gt;=$L$2,0,VLOOKUP($E31,'Mortality Table'!$A$3:$C$128,2+I$2,FALSE))</f>
        <v>7.3750999999999999E-3</v>
      </c>
      <c r="I31" s="17">
        <f>G31*Assumptions!$B$1</f>
        <v>1.20787722E-3</v>
      </c>
      <c r="J31" s="17">
        <f>H31*Assumptions!$B$1</f>
        <v>1.99570206E-3</v>
      </c>
      <c r="K31">
        <f t="shared" si="6"/>
        <v>3.2011687169438189E-3</v>
      </c>
      <c r="L31">
        <f t="shared" si="10"/>
        <v>2.4316037914482339E-4</v>
      </c>
      <c r="M31">
        <f>HLOOKUP(C31,Assumptions!$A$6:$J$7,2,TRUE)</f>
        <v>4.5100000000000001E-2</v>
      </c>
      <c r="N31" s="23">
        <f t="shared" si="0"/>
        <v>0</v>
      </c>
      <c r="O31" s="23">
        <f t="shared" si="7"/>
        <v>0</v>
      </c>
      <c r="P31">
        <f t="shared" si="11"/>
        <v>0</v>
      </c>
      <c r="Q31" s="23">
        <f t="shared" si="8"/>
        <v>0.90993719661866979</v>
      </c>
      <c r="R31">
        <f>Q30*Assumptions!$B$11/$E$2*N31</f>
        <v>0</v>
      </c>
      <c r="S31">
        <f>Q30*Assumptions!$B$13/$E$2*N31</f>
        <v>0</v>
      </c>
      <c r="T31">
        <f>L31*Assumptions!$B$15</f>
        <v>3.647405687172351</v>
      </c>
      <c r="U31">
        <f>S31*Assumptions!$B$17</f>
        <v>0</v>
      </c>
      <c r="V31">
        <f>HLOOKUP(B31,Assumptions!$A$26:$D$27,2,TRUE)</f>
        <v>0</v>
      </c>
      <c r="W31">
        <f t="shared" si="12"/>
        <v>0</v>
      </c>
      <c r="X31">
        <f t="shared" si="13"/>
        <v>0.25</v>
      </c>
      <c r="Y31">
        <f>IF(B31&gt;$M$2,0,IF(X32=0,0,(1-X32)*Assumptions!$B$11/$E$2*(1-Assumptions!$B$30)))</f>
        <v>127.99999999999989</v>
      </c>
      <c r="Z31">
        <f>(R31-S31)*(1-Assumptions!$B$30)-U31+Y30*Q30</f>
        <v>131.06597140768531</v>
      </c>
      <c r="AA31">
        <f>AA30*(1+Assumptions!$B$36)^(1/12)</f>
        <v>1.0167221606986325</v>
      </c>
      <c r="AB31" s="20">
        <f>IF(B31&gt;$M$2,0,AA30*Assumptions!$B$32/12*Q30+Z31*Assumptions!$B$34/12)</f>
        <v>11.875844409360445</v>
      </c>
      <c r="AC31" s="21">
        <f>1/(1+HLOOKUP(YEAR(A31),Assumptions!$A$41:$AL$43,3,TRUE))^(1/12)</f>
        <v>0.99860097247287194</v>
      </c>
      <c r="AD31">
        <f t="shared" si="9"/>
        <v>128.45845526489805</v>
      </c>
      <c r="AE31">
        <f t="shared" si="14"/>
        <v>3.647405687172351</v>
      </c>
    </row>
    <row r="32" spans="1:31" x14ac:dyDescent="0.2">
      <c r="A32" s="2">
        <f t="shared" si="15"/>
        <v>43738</v>
      </c>
      <c r="B32">
        <f t="shared" si="1"/>
        <v>101</v>
      </c>
      <c r="C32">
        <f t="shared" si="2"/>
        <v>8.3333333333333339</v>
      </c>
      <c r="D32">
        <f t="shared" si="3"/>
        <v>0</v>
      </c>
      <c r="E32">
        <f t="shared" si="4"/>
        <v>63</v>
      </c>
      <c r="F32">
        <f t="shared" si="5"/>
        <v>55</v>
      </c>
      <c r="G32">
        <f>IF(C32&gt;=$L$2,0,VLOOKUP($E32,'Mortality Table'!$A$3:$C$128,2+H$2,FALSE))</f>
        <v>4.4637000000000001E-3</v>
      </c>
      <c r="H32">
        <f>IF(C32&gt;=$L$2,0,VLOOKUP($E32,'Mortality Table'!$A$3:$C$128,2+I$2,FALSE))</f>
        <v>7.3750999999999999E-3</v>
      </c>
      <c r="I32" s="17">
        <f>G32*Assumptions!$B$1</f>
        <v>1.20787722E-3</v>
      </c>
      <c r="J32" s="17">
        <f>H32*Assumptions!$B$1</f>
        <v>1.99570206E-3</v>
      </c>
      <c r="K32">
        <f t="shared" si="6"/>
        <v>3.2011687169438189E-3</v>
      </c>
      <c r="L32">
        <f t="shared" si="10"/>
        <v>2.4309541732760631E-4</v>
      </c>
      <c r="M32">
        <f>HLOOKUP(C32,Assumptions!$A$6:$J$7,2,TRUE)</f>
        <v>4.5100000000000001E-2</v>
      </c>
      <c r="N32" s="23">
        <f t="shared" si="0"/>
        <v>0</v>
      </c>
      <c r="O32" s="23">
        <f t="shared" si="7"/>
        <v>0</v>
      </c>
      <c r="P32">
        <f t="shared" si="11"/>
        <v>0</v>
      </c>
      <c r="Q32" s="23">
        <f t="shared" si="8"/>
        <v>0.9096941012013422</v>
      </c>
      <c r="R32">
        <f>Q31*Assumptions!$B$11/$E$2*N32</f>
        <v>0</v>
      </c>
      <c r="S32">
        <f>Q31*Assumptions!$B$13/$E$2*N32</f>
        <v>0</v>
      </c>
      <c r="T32">
        <f>L32*Assumptions!$B$15</f>
        <v>3.6464312599140949</v>
      </c>
      <c r="U32">
        <f>S32*Assumptions!$B$17</f>
        <v>0</v>
      </c>
      <c r="V32">
        <f>HLOOKUP(B32,Assumptions!$A$26:$D$27,2,TRUE)</f>
        <v>0</v>
      </c>
      <c r="W32">
        <f t="shared" si="12"/>
        <v>0</v>
      </c>
      <c r="X32">
        <f t="shared" si="13"/>
        <v>0.33333333333333393</v>
      </c>
      <c r="Y32">
        <f>IF(B32&gt;$M$2,0,IF(X33=0,0,(1-X33)*Assumptions!$B$11/$E$2*(1-Assumptions!$B$30)))</f>
        <v>112.00000000000011</v>
      </c>
      <c r="Z32">
        <f>(R32-S32)*(1-Assumptions!$B$30)-U32+Y31*Q31</f>
        <v>116.47196116718963</v>
      </c>
      <c r="AA32">
        <f>AA31*(1+Assumptions!$B$36)^(1/12)</f>
        <v>1.0175655704826325</v>
      </c>
      <c r="AB32" s="20">
        <f>IF(B32&gt;$M$2,0,AA31*Assumptions!$B$32/12*Q31+Z32*Assumptions!$B$34/12)</f>
        <v>11.878975845066165</v>
      </c>
      <c r="AC32" s="21">
        <f>1/(1+HLOOKUP(YEAR(A32),Assumptions!$A$41:$AL$43,3,TRUE))^(1/12)</f>
        <v>0.99860097247287194</v>
      </c>
      <c r="AD32">
        <f t="shared" si="9"/>
        <v>113.11301685608569</v>
      </c>
      <c r="AE32">
        <f t="shared" si="14"/>
        <v>3.6464312599140949</v>
      </c>
    </row>
    <row r="33" spans="1:31" x14ac:dyDescent="0.2">
      <c r="A33" s="2">
        <f t="shared" si="15"/>
        <v>43769</v>
      </c>
      <c r="B33">
        <f t="shared" si="1"/>
        <v>102</v>
      </c>
      <c r="C33">
        <f t="shared" si="2"/>
        <v>8.4166666666666661</v>
      </c>
      <c r="D33">
        <f t="shared" si="3"/>
        <v>0</v>
      </c>
      <c r="E33">
        <f t="shared" si="4"/>
        <v>63</v>
      </c>
      <c r="F33">
        <f t="shared" si="5"/>
        <v>55</v>
      </c>
      <c r="G33">
        <f>IF(C33&gt;=$L$2,0,VLOOKUP($E33,'Mortality Table'!$A$3:$C$128,2+H$2,FALSE))</f>
        <v>4.4637000000000001E-3</v>
      </c>
      <c r="H33">
        <f>IF(C33&gt;=$L$2,0,VLOOKUP($E33,'Mortality Table'!$A$3:$C$128,2+I$2,FALSE))</f>
        <v>7.3750999999999999E-3</v>
      </c>
      <c r="I33" s="17">
        <f>G33*Assumptions!$B$1</f>
        <v>1.20787722E-3</v>
      </c>
      <c r="J33" s="17">
        <f>H33*Assumptions!$B$1</f>
        <v>1.99570206E-3</v>
      </c>
      <c r="K33">
        <f t="shared" si="6"/>
        <v>3.2011687169438189E-3</v>
      </c>
      <c r="L33">
        <f t="shared" si="10"/>
        <v>2.4303047286534533E-4</v>
      </c>
      <c r="M33">
        <f>HLOOKUP(C33,Assumptions!$A$6:$J$7,2,TRUE)</f>
        <v>4.5100000000000001E-2</v>
      </c>
      <c r="N33" s="23">
        <f t="shared" si="0"/>
        <v>0</v>
      </c>
      <c r="O33" s="23">
        <f t="shared" si="7"/>
        <v>0</v>
      </c>
      <c r="P33">
        <f t="shared" si="11"/>
        <v>0</v>
      </c>
      <c r="Q33" s="23">
        <f t="shared" si="8"/>
        <v>0.90945107072847686</v>
      </c>
      <c r="R33">
        <f>Q32*Assumptions!$B$11/$E$2*N33</f>
        <v>0</v>
      </c>
      <c r="S33">
        <f>Q32*Assumptions!$B$13/$E$2*N33</f>
        <v>0</v>
      </c>
      <c r="T33">
        <f>L33*Assumptions!$B$15</f>
        <v>3.6454570929801799</v>
      </c>
      <c r="U33">
        <f>S33*Assumptions!$B$17</f>
        <v>0</v>
      </c>
      <c r="V33">
        <f>HLOOKUP(B33,Assumptions!$A$26:$D$27,2,TRUE)</f>
        <v>0</v>
      </c>
      <c r="W33">
        <f t="shared" si="12"/>
        <v>0</v>
      </c>
      <c r="X33">
        <f t="shared" si="13"/>
        <v>0.41666666666666607</v>
      </c>
      <c r="Y33">
        <f>IF(B33&gt;$M$2,0,IF(X34=0,0,(1-X34)*Assumptions!$B$11/$E$2*(1-Assumptions!$B$30)))</f>
        <v>96</v>
      </c>
      <c r="Z33">
        <f>(R33-S33)*(1-Assumptions!$B$30)-U33+Y32*Q32</f>
        <v>101.88573933455044</v>
      </c>
      <c r="AA33">
        <f>AA32*(1+Assumptions!$B$36)^(1/12)</f>
        <v>1.0184096799071942</v>
      </c>
      <c r="AB33" s="20">
        <f>IF(B33&gt;$M$2,0,AA32*Assumptions!$B$32/12*Q32+Z33*Assumptions!$B$34/12)</f>
        <v>11.88211290601407</v>
      </c>
      <c r="AC33" s="21">
        <f>1/(1+HLOOKUP(YEAR(A33),Assumptions!$A$41:$AL$43,3,TRUE))^(1/12)</f>
        <v>0.99860097247287194</v>
      </c>
      <c r="AD33">
        <f t="shared" si="9"/>
        <v>97.743916785141167</v>
      </c>
      <c r="AE33">
        <f t="shared" si="14"/>
        <v>3.6454570929801799</v>
      </c>
    </row>
    <row r="34" spans="1:31" x14ac:dyDescent="0.2">
      <c r="A34" s="2">
        <f t="shared" si="15"/>
        <v>43799</v>
      </c>
      <c r="B34">
        <f t="shared" si="1"/>
        <v>103</v>
      </c>
      <c r="C34">
        <f t="shared" si="2"/>
        <v>8.5</v>
      </c>
      <c r="D34">
        <f t="shared" si="3"/>
        <v>0</v>
      </c>
      <c r="E34">
        <f t="shared" si="4"/>
        <v>63</v>
      </c>
      <c r="F34">
        <f t="shared" si="5"/>
        <v>55</v>
      </c>
      <c r="G34">
        <f>IF(C34&gt;=$L$2,0,VLOOKUP($E34,'Mortality Table'!$A$3:$C$128,2+H$2,FALSE))</f>
        <v>4.4637000000000001E-3</v>
      </c>
      <c r="H34">
        <f>IF(C34&gt;=$L$2,0,VLOOKUP($E34,'Mortality Table'!$A$3:$C$128,2+I$2,FALSE))</f>
        <v>7.3750999999999999E-3</v>
      </c>
      <c r="I34" s="17">
        <f>G34*Assumptions!$B$1</f>
        <v>1.20787722E-3</v>
      </c>
      <c r="J34" s="17">
        <f>H34*Assumptions!$B$1</f>
        <v>1.99570206E-3</v>
      </c>
      <c r="K34">
        <f t="shared" si="6"/>
        <v>3.2011687169438189E-3</v>
      </c>
      <c r="L34">
        <f t="shared" si="10"/>
        <v>2.4296554575340391E-4</v>
      </c>
      <c r="M34">
        <f>HLOOKUP(C34,Assumptions!$A$6:$J$7,2,TRUE)</f>
        <v>4.5100000000000001E-2</v>
      </c>
      <c r="N34" s="23">
        <f t="shared" si="0"/>
        <v>0</v>
      </c>
      <c r="O34" s="23">
        <f t="shared" si="7"/>
        <v>0</v>
      </c>
      <c r="P34">
        <f t="shared" si="11"/>
        <v>0</v>
      </c>
      <c r="Q34" s="23">
        <f t="shared" si="8"/>
        <v>0.90920810518272344</v>
      </c>
      <c r="R34">
        <f>Q33*Assumptions!$B$11/$E$2*N34</f>
        <v>0</v>
      </c>
      <c r="S34">
        <f>Q33*Assumptions!$B$13/$E$2*N34</f>
        <v>0</v>
      </c>
      <c r="T34">
        <f>L34*Assumptions!$B$15</f>
        <v>3.6444831863010587</v>
      </c>
      <c r="U34">
        <f>S34*Assumptions!$B$17</f>
        <v>0</v>
      </c>
      <c r="V34">
        <f>HLOOKUP(B34,Assumptions!$A$26:$D$27,2,TRUE)</f>
        <v>0</v>
      </c>
      <c r="W34">
        <f t="shared" si="12"/>
        <v>0</v>
      </c>
      <c r="X34">
        <f t="shared" si="13"/>
        <v>0.5</v>
      </c>
      <c r="Y34">
        <f>IF(B34&gt;$M$2,0,IF(X35=0,0,(1-X35)*Assumptions!$B$11/$E$2*(1-Assumptions!$B$30)))</f>
        <v>79.999999999999886</v>
      </c>
      <c r="Z34">
        <f>(R34-S34)*(1-Assumptions!$B$30)-U34+Y33*Q33</f>
        <v>87.307302789933772</v>
      </c>
      <c r="AA34">
        <f>AA33*(1+Assumptions!$B$36)^(1/12)</f>
        <v>1.0192544895526963</v>
      </c>
      <c r="AB34" s="20">
        <f>IF(B34&gt;$M$2,0,AA33*Assumptions!$B$32/12*Q33+Z34*Assumptions!$B$34/12)</f>
        <v>11.885255593554382</v>
      </c>
      <c r="AC34" s="21">
        <f>1/(1+HLOOKUP(YEAR(A34),Assumptions!$A$41:$AL$43,3,TRUE))^(1/12)</f>
        <v>0.99860097247287194</v>
      </c>
      <c r="AD34">
        <f t="shared" si="9"/>
        <v>82.351116015523289</v>
      </c>
      <c r="AE34">
        <f t="shared" si="14"/>
        <v>3.6444831863010587</v>
      </c>
    </row>
    <row r="35" spans="1:31" x14ac:dyDescent="0.2">
      <c r="A35" s="2">
        <f t="shared" si="15"/>
        <v>43830</v>
      </c>
      <c r="B35">
        <f t="shared" si="1"/>
        <v>104</v>
      </c>
      <c r="C35">
        <f t="shared" si="2"/>
        <v>8.5833333333333339</v>
      </c>
      <c r="D35">
        <f t="shared" si="3"/>
        <v>0</v>
      </c>
      <c r="E35">
        <f t="shared" si="4"/>
        <v>63</v>
      </c>
      <c r="F35">
        <f t="shared" si="5"/>
        <v>55</v>
      </c>
      <c r="G35">
        <f>IF(C35&gt;=$L$2,0,VLOOKUP($E35,'Mortality Table'!$A$3:$C$128,2+H$2,FALSE))</f>
        <v>4.4637000000000001E-3</v>
      </c>
      <c r="H35">
        <f>IF(C35&gt;=$L$2,0,VLOOKUP($E35,'Mortality Table'!$A$3:$C$128,2+I$2,FALSE))</f>
        <v>7.3750999999999999E-3</v>
      </c>
      <c r="I35" s="17">
        <f>G35*Assumptions!$B$1</f>
        <v>1.20787722E-3</v>
      </c>
      <c r="J35" s="17">
        <f>H35*Assumptions!$B$1</f>
        <v>1.99570206E-3</v>
      </c>
      <c r="K35">
        <f t="shared" si="6"/>
        <v>3.2011687169438189E-3</v>
      </c>
      <c r="L35">
        <f t="shared" si="10"/>
        <v>2.4290063598714681E-4</v>
      </c>
      <c r="M35">
        <f>HLOOKUP(C35,Assumptions!$A$6:$J$7,2,TRUE)</f>
        <v>4.5100000000000001E-2</v>
      </c>
      <c r="N35" s="23">
        <f t="shared" si="0"/>
        <v>0</v>
      </c>
      <c r="O35" s="23">
        <f t="shared" si="7"/>
        <v>0</v>
      </c>
      <c r="P35">
        <f t="shared" si="11"/>
        <v>0</v>
      </c>
      <c r="Q35" s="23">
        <f t="shared" si="8"/>
        <v>0.90896520454673624</v>
      </c>
      <c r="R35">
        <f>Q34*Assumptions!$B$11/$E$2*N35</f>
        <v>0</v>
      </c>
      <c r="S35">
        <f>Q34*Assumptions!$B$13/$E$2*N35</f>
        <v>0</v>
      </c>
      <c r="T35">
        <f>L35*Assumptions!$B$15</f>
        <v>3.6435095398072024</v>
      </c>
      <c r="U35">
        <f>S35*Assumptions!$B$17</f>
        <v>0</v>
      </c>
      <c r="V35">
        <f>HLOOKUP(B35,Assumptions!$A$26:$D$27,2,TRUE)</f>
        <v>0</v>
      </c>
      <c r="W35">
        <f t="shared" si="12"/>
        <v>0</v>
      </c>
      <c r="X35">
        <f t="shared" si="13"/>
        <v>0.58333333333333393</v>
      </c>
      <c r="Y35">
        <f>IF(B35&gt;$M$2,0,IF(X36=0,0,(1-X36)*Assumptions!$B$11/$E$2*(1-Assumptions!$B$30)))</f>
        <v>64.000000000000114</v>
      </c>
      <c r="Z35">
        <f>(R35-S35)*(1-Assumptions!$B$30)-U35+Y34*Q34</f>
        <v>72.736648414617775</v>
      </c>
      <c r="AA35">
        <f>AA34*(1+Assumptions!$B$36)^(1/12)</f>
        <v>1.0200999999999987</v>
      </c>
      <c r="AB35" s="20">
        <f>IF(B35&gt;$M$2,0,AA34*Assumptions!$B$32/12*Q34+Z35*Assumptions!$B$34/12)</f>
        <v>11.888403909038786</v>
      </c>
      <c r="AC35" s="21">
        <f>1/(1+HLOOKUP(YEAR(A35),Assumptions!$A$41:$AL$43,3,TRUE))^(1/12)</f>
        <v>0.99860097247287194</v>
      </c>
      <c r="AD35">
        <f t="shared" si="9"/>
        <v>66.934575454718996</v>
      </c>
      <c r="AE35">
        <f t="shared" si="14"/>
        <v>3.6435095398072024</v>
      </c>
    </row>
    <row r="36" spans="1:31" x14ac:dyDescent="0.2">
      <c r="A36" s="2">
        <f t="shared" si="15"/>
        <v>43861</v>
      </c>
      <c r="B36">
        <f t="shared" si="1"/>
        <v>105</v>
      </c>
      <c r="C36">
        <f t="shared" si="2"/>
        <v>8.6666666666666661</v>
      </c>
      <c r="D36">
        <f t="shared" si="3"/>
        <v>0</v>
      </c>
      <c r="E36">
        <f t="shared" si="4"/>
        <v>63</v>
      </c>
      <c r="F36">
        <f t="shared" si="5"/>
        <v>55</v>
      </c>
      <c r="G36">
        <f>IF(C36&gt;=$L$2,0,VLOOKUP($E36,'Mortality Table'!$A$3:$C$128,2+H$2,FALSE))</f>
        <v>4.4637000000000001E-3</v>
      </c>
      <c r="H36">
        <f>IF(C36&gt;=$L$2,0,VLOOKUP($E36,'Mortality Table'!$A$3:$C$128,2+I$2,FALSE))</f>
        <v>7.3750999999999999E-3</v>
      </c>
      <c r="I36" s="17">
        <f>G36*Assumptions!$B$1</f>
        <v>1.20787722E-3</v>
      </c>
      <c r="J36" s="17">
        <f>H36*Assumptions!$B$1</f>
        <v>1.99570206E-3</v>
      </c>
      <c r="K36">
        <f t="shared" si="6"/>
        <v>3.2011687169438189E-3</v>
      </c>
      <c r="L36">
        <f t="shared" si="10"/>
        <v>2.4283574356194002E-4</v>
      </c>
      <c r="M36">
        <f>HLOOKUP(C36,Assumptions!$A$6:$J$7,2,TRUE)</f>
        <v>4.5100000000000001E-2</v>
      </c>
      <c r="N36" s="23">
        <f t="shared" si="0"/>
        <v>0</v>
      </c>
      <c r="O36" s="23">
        <f t="shared" si="7"/>
        <v>0</v>
      </c>
      <c r="P36">
        <f t="shared" si="11"/>
        <v>0</v>
      </c>
      <c r="Q36" s="23">
        <f t="shared" si="8"/>
        <v>0.90872236880317425</v>
      </c>
      <c r="R36">
        <f>Q35*Assumptions!$B$11/$E$2*N36</f>
        <v>0</v>
      </c>
      <c r="S36">
        <f>Q35*Assumptions!$B$13/$E$2*N36</f>
        <v>0</v>
      </c>
      <c r="T36">
        <f>L36*Assumptions!$B$15</f>
        <v>3.6425361534291003</v>
      </c>
      <c r="U36">
        <f>S36*Assumptions!$B$17</f>
        <v>0</v>
      </c>
      <c r="V36">
        <f>HLOOKUP(B36,Assumptions!$A$26:$D$27,2,TRUE)</f>
        <v>0</v>
      </c>
      <c r="W36">
        <f t="shared" si="12"/>
        <v>0</v>
      </c>
      <c r="X36">
        <f t="shared" si="13"/>
        <v>0.66666666666666607</v>
      </c>
      <c r="Y36">
        <f>IF(B36&gt;$M$2,0,IF(X37=0,0,(1-X37)*Assumptions!$B$11/$E$2*(1-Assumptions!$B$30)))</f>
        <v>48</v>
      </c>
      <c r="Z36">
        <f>(R36-S36)*(1-Assumptions!$B$30)-U36+Y35*Q35</f>
        <v>58.173773090991226</v>
      </c>
      <c r="AA36">
        <f>AA35*(1+Assumptions!$B$36)^(1/12)</f>
        <v>1.0209462118304431</v>
      </c>
      <c r="AB36" s="20">
        <f>IF(B36&gt;$M$2,0,AA35*Assumptions!$B$32/12*Q35+Z36*Assumptions!$B$34/12)</f>
        <v>11.891557853820416</v>
      </c>
      <c r="AC36" s="21">
        <f>1/(1+HLOOKUP(YEAR(A36),Assumptions!$A$41:$AL$43,3,TRUE))^(1/12)</f>
        <v>0.99865671918296972</v>
      </c>
      <c r="AD36">
        <f t="shared" si="9"/>
        <v>51.490514318101894</v>
      </c>
      <c r="AE36">
        <f t="shared" si="14"/>
        <v>3.6425361534291003</v>
      </c>
    </row>
    <row r="37" spans="1:31" x14ac:dyDescent="0.2">
      <c r="A37" s="2">
        <f t="shared" si="15"/>
        <v>43890</v>
      </c>
      <c r="B37">
        <f t="shared" si="1"/>
        <v>106</v>
      </c>
      <c r="C37">
        <f t="shared" si="2"/>
        <v>8.75</v>
      </c>
      <c r="D37">
        <f t="shared" si="3"/>
        <v>0</v>
      </c>
      <c r="E37">
        <f t="shared" si="4"/>
        <v>63</v>
      </c>
      <c r="F37">
        <f t="shared" si="5"/>
        <v>55</v>
      </c>
      <c r="G37">
        <f>IF(C37&gt;=$L$2,0,VLOOKUP($E37,'Mortality Table'!$A$3:$C$128,2+H$2,FALSE))</f>
        <v>4.4637000000000001E-3</v>
      </c>
      <c r="H37">
        <f>IF(C37&gt;=$L$2,0,VLOOKUP($E37,'Mortality Table'!$A$3:$C$128,2+I$2,FALSE))</f>
        <v>7.3750999999999999E-3</v>
      </c>
      <c r="I37" s="17">
        <f>G37*Assumptions!$B$1</f>
        <v>1.20787722E-3</v>
      </c>
      <c r="J37" s="17">
        <f>H37*Assumptions!$B$1</f>
        <v>1.99570206E-3</v>
      </c>
      <c r="K37">
        <f t="shared" si="6"/>
        <v>3.2011687169438189E-3</v>
      </c>
      <c r="L37">
        <f t="shared" si="10"/>
        <v>2.4277086847315077E-4</v>
      </c>
      <c r="M37">
        <f>HLOOKUP(C37,Assumptions!$A$6:$J$7,2,TRUE)</f>
        <v>4.5100000000000001E-2</v>
      </c>
      <c r="N37" s="23">
        <f t="shared" si="0"/>
        <v>0</v>
      </c>
      <c r="O37" s="23">
        <f t="shared" si="7"/>
        <v>0</v>
      </c>
      <c r="P37">
        <f t="shared" si="11"/>
        <v>0</v>
      </c>
      <c r="Q37" s="23">
        <f t="shared" si="8"/>
        <v>0.90847959793470112</v>
      </c>
      <c r="R37">
        <f>Q36*Assumptions!$B$11/$E$2*N37</f>
        <v>0</v>
      </c>
      <c r="S37">
        <f>Q36*Assumptions!$B$13/$E$2*N37</f>
        <v>0</v>
      </c>
      <c r="T37">
        <f>L37*Assumptions!$B$15</f>
        <v>3.6415630270972614</v>
      </c>
      <c r="U37">
        <f>S37*Assumptions!$B$17</f>
        <v>0</v>
      </c>
      <c r="V37">
        <f>HLOOKUP(B37,Assumptions!$A$26:$D$27,2,TRUE)</f>
        <v>0</v>
      </c>
      <c r="W37">
        <f t="shared" si="12"/>
        <v>0</v>
      </c>
      <c r="X37">
        <f t="shared" si="13"/>
        <v>0.75</v>
      </c>
      <c r="Y37">
        <f>IF(B37&gt;$M$2,0,IF(X38=0,0,(1-X38)*Assumptions!$B$11/$E$2*(1-Assumptions!$B$30)))</f>
        <v>31.999999999999886</v>
      </c>
      <c r="Z37">
        <f>(R37-S37)*(1-Assumptions!$B$30)-U37+Y36*Q36</f>
        <v>43.618673702552364</v>
      </c>
      <c r="AA37">
        <f>AA36*(1+Assumptions!$B$36)^(1/12)</f>
        <v>1.0217931256258537</v>
      </c>
      <c r="AB37" s="20">
        <f>IF(B37&gt;$M$2,0,AA36*Assumptions!$B$32/12*Q36+Z37*Assumptions!$B$34/12)</f>
        <v>11.894717429253856</v>
      </c>
      <c r="AC37" s="21">
        <f>1/(1+HLOOKUP(YEAR(A37),Assumptions!$A$41:$AL$43,3,TRUE))^(1/12)</f>
        <v>0.99865671918296972</v>
      </c>
      <c r="AD37">
        <f t="shared" si="9"/>
        <v>36.023493116521642</v>
      </c>
      <c r="AE37">
        <f t="shared" si="14"/>
        <v>3.6415630270972614</v>
      </c>
    </row>
    <row r="38" spans="1:31" x14ac:dyDescent="0.2">
      <c r="A38" s="2">
        <f t="shared" si="15"/>
        <v>43921</v>
      </c>
      <c r="B38">
        <f t="shared" si="1"/>
        <v>107</v>
      </c>
      <c r="C38">
        <f t="shared" si="2"/>
        <v>8.8333333333333339</v>
      </c>
      <c r="D38">
        <f t="shared" si="3"/>
        <v>0</v>
      </c>
      <c r="E38">
        <f t="shared" si="4"/>
        <v>63</v>
      </c>
      <c r="F38">
        <f t="shared" si="5"/>
        <v>55</v>
      </c>
      <c r="G38">
        <f>IF(C38&gt;=$L$2,0,VLOOKUP($E38,'Mortality Table'!$A$3:$C$128,2+H$2,FALSE))</f>
        <v>4.4637000000000001E-3</v>
      </c>
      <c r="H38">
        <f>IF(C38&gt;=$L$2,0,VLOOKUP($E38,'Mortality Table'!$A$3:$C$128,2+I$2,FALSE))</f>
        <v>7.3750999999999999E-3</v>
      </c>
      <c r="I38" s="17">
        <f>G38*Assumptions!$B$1</f>
        <v>1.20787722E-3</v>
      </c>
      <c r="J38" s="17">
        <f>H38*Assumptions!$B$1</f>
        <v>1.99570206E-3</v>
      </c>
      <c r="K38">
        <f t="shared" si="6"/>
        <v>3.2011687169438189E-3</v>
      </c>
      <c r="L38">
        <f t="shared" si="10"/>
        <v>2.4270601071614759E-4</v>
      </c>
      <c r="M38">
        <f>HLOOKUP(C38,Assumptions!$A$6:$J$7,2,TRUE)</f>
        <v>4.5100000000000001E-2</v>
      </c>
      <c r="N38" s="23">
        <f t="shared" si="0"/>
        <v>0</v>
      </c>
      <c r="O38" s="23">
        <f t="shared" si="7"/>
        <v>0</v>
      </c>
      <c r="P38">
        <f t="shared" si="11"/>
        <v>0</v>
      </c>
      <c r="Q38" s="23">
        <f t="shared" si="8"/>
        <v>0.90823689192398493</v>
      </c>
      <c r="R38">
        <f>Q37*Assumptions!$B$11/$E$2*N38</f>
        <v>0</v>
      </c>
      <c r="S38">
        <f>Q37*Assumptions!$B$13/$E$2*N38</f>
        <v>0</v>
      </c>
      <c r="T38">
        <f>L38*Assumptions!$B$15</f>
        <v>3.6405901607422138</v>
      </c>
      <c r="U38">
        <f>S38*Assumptions!$B$17</f>
        <v>0</v>
      </c>
      <c r="V38">
        <f>HLOOKUP(B38,Assumptions!$A$26:$D$27,2,TRUE)</f>
        <v>0</v>
      </c>
      <c r="W38">
        <f t="shared" si="12"/>
        <v>0</v>
      </c>
      <c r="X38">
        <f t="shared" si="13"/>
        <v>0.83333333333333393</v>
      </c>
      <c r="Y38">
        <f>IF(B38&gt;$M$2,0,IF(X39=0,0,(1-X39)*Assumptions!$B$11/$E$2*(1-Assumptions!$B$30)))</f>
        <v>16.000000000000114</v>
      </c>
      <c r="Z38">
        <f>(R38-S38)*(1-Assumptions!$B$30)-U38+Y37*Q37</f>
        <v>29.071347133910333</v>
      </c>
      <c r="AA38">
        <f>AA37*(1+Assumptions!$B$36)^(1/12)</f>
        <v>1.0226407419685373</v>
      </c>
      <c r="AB38" s="20">
        <f>IF(B38&gt;$M$2,0,AA37*Assumptions!$B$32/12*Q37+Z38*Assumptions!$B$34/12)</f>
        <v>11.897882636695149</v>
      </c>
      <c r="AC38" s="21">
        <f>1/(1+HLOOKUP(YEAR(A38),Assumptions!$A$41:$AL$43,3,TRUE))^(1/12)</f>
        <v>0.99865671918296972</v>
      </c>
      <c r="AD38">
        <f t="shared" si="9"/>
        <v>20.533475074693825</v>
      </c>
      <c r="AE38">
        <f t="shared" si="14"/>
        <v>3.6405901607422138</v>
      </c>
    </row>
    <row r="39" spans="1:31" x14ac:dyDescent="0.2">
      <c r="A39" s="2">
        <f t="shared" si="15"/>
        <v>43951</v>
      </c>
      <c r="B39">
        <f t="shared" si="1"/>
        <v>108</v>
      </c>
      <c r="C39">
        <f t="shared" si="2"/>
        <v>8.9166666666666661</v>
      </c>
      <c r="D39">
        <f t="shared" si="3"/>
        <v>0</v>
      </c>
      <c r="E39">
        <f t="shared" si="4"/>
        <v>63</v>
      </c>
      <c r="F39">
        <f t="shared" si="5"/>
        <v>55</v>
      </c>
      <c r="G39">
        <f>IF(C39&gt;=$L$2,0,VLOOKUP($E39,'Mortality Table'!$A$3:$C$128,2+H$2,FALSE))</f>
        <v>4.4637000000000001E-3</v>
      </c>
      <c r="H39">
        <f>IF(C39&gt;=$L$2,0,VLOOKUP($E39,'Mortality Table'!$A$3:$C$128,2+I$2,FALSE))</f>
        <v>7.3750999999999999E-3</v>
      </c>
      <c r="I39" s="17">
        <f>G39*Assumptions!$B$1</f>
        <v>1.20787722E-3</v>
      </c>
      <c r="J39" s="17">
        <f>H39*Assumptions!$B$1</f>
        <v>1.99570206E-3</v>
      </c>
      <c r="K39">
        <f t="shared" si="6"/>
        <v>3.2011687169438189E-3</v>
      </c>
      <c r="L39">
        <f t="shared" si="10"/>
        <v>2.426411702863001E-4</v>
      </c>
      <c r="M39">
        <f>HLOOKUP(C39,Assumptions!$A$6:$J$7,2,TRUE)</f>
        <v>4.5100000000000001E-2</v>
      </c>
      <c r="N39" s="23">
        <f t="shared" si="0"/>
        <v>0</v>
      </c>
      <c r="O39" s="23">
        <f t="shared" si="7"/>
        <v>1</v>
      </c>
      <c r="P39">
        <f t="shared" si="11"/>
        <v>4.0950540708991838E-2</v>
      </c>
      <c r="Q39" s="23">
        <f t="shared" si="8"/>
        <v>0.86704371004470682</v>
      </c>
      <c r="R39">
        <f>Q38*Assumptions!$B$11/$E$2*N39</f>
        <v>0</v>
      </c>
      <c r="S39">
        <f>Q38*Assumptions!$B$13/$E$2*N39</f>
        <v>0</v>
      </c>
      <c r="T39">
        <f>L39*Assumptions!$B$15</f>
        <v>3.6396175542945013</v>
      </c>
      <c r="U39">
        <f>S39*Assumptions!$B$17</f>
        <v>0</v>
      </c>
      <c r="V39">
        <f>HLOOKUP(B39,Assumptions!$A$26:$D$27,2,TRUE)</f>
        <v>0</v>
      </c>
      <c r="W39">
        <f t="shared" si="12"/>
        <v>0</v>
      </c>
      <c r="X39">
        <f t="shared" si="13"/>
        <v>0.91666666666666607</v>
      </c>
      <c r="Y39">
        <f>IF(B39&gt;$M$2,0,IF(X40=0,0,(1-X40)*Assumptions!$B$11/$E$2*(1-Assumptions!$B$30)))</f>
        <v>0</v>
      </c>
      <c r="Z39">
        <f>(R39-S39)*(1-Assumptions!$B$30)-U39+Y38*Q38</f>
        <v>14.531790270783862</v>
      </c>
      <c r="AA39">
        <f>AA38*(1+Assumptions!$B$36)^(1/12)</f>
        <v>1.0234890614412835</v>
      </c>
      <c r="AB39" s="20">
        <f>IF(B39&gt;$M$2,0,AA38*Assumptions!$B$32/12*Q38+Z39*Assumptions!$B$34/12)</f>
        <v>11.901053477501788</v>
      </c>
      <c r="AC39" s="21">
        <f>1/(1+HLOOKUP(YEAR(A39),Assumptions!$A$41:$AL$43,3,TRUE))^(1/12)</f>
        <v>0.99865671918296972</v>
      </c>
      <c r="AD39">
        <f t="shared" si="9"/>
        <v>5.0204233665800198</v>
      </c>
      <c r="AE39">
        <f t="shared" si="14"/>
        <v>3.6396175542945013</v>
      </c>
    </row>
    <row r="40" spans="1:31" x14ac:dyDescent="0.2">
      <c r="A40" s="2">
        <f t="shared" si="15"/>
        <v>43982</v>
      </c>
      <c r="B40">
        <f t="shared" si="1"/>
        <v>109</v>
      </c>
      <c r="C40">
        <f t="shared" si="2"/>
        <v>9</v>
      </c>
      <c r="D40">
        <f t="shared" si="3"/>
        <v>1</v>
      </c>
      <c r="E40">
        <f t="shared" si="4"/>
        <v>64</v>
      </c>
      <c r="F40">
        <f t="shared" si="5"/>
        <v>56</v>
      </c>
      <c r="G40">
        <f>IF(C40&gt;=$L$2,0,VLOOKUP($E40,'Mortality Table'!$A$3:$C$128,2+H$2,FALSE))</f>
        <v>4.7300000000000007E-3</v>
      </c>
      <c r="H40">
        <f>IF(C40&gt;=$L$2,0,VLOOKUP($E40,'Mortality Table'!$A$3:$C$128,2+I$2,FALSE))</f>
        <v>7.7819000000000004E-3</v>
      </c>
      <c r="I40" s="17">
        <f>G40*Assumptions!$B$1</f>
        <v>1.2799380000000002E-3</v>
      </c>
      <c r="J40" s="17">
        <f>H40*Assumptions!$B$1</f>
        <v>2.1057821400000004E-3</v>
      </c>
      <c r="K40">
        <f t="shared" si="6"/>
        <v>3.3830248694192932E-3</v>
      </c>
      <c r="L40">
        <f t="shared" si="10"/>
        <v>2.4481570149422377E-4</v>
      </c>
      <c r="M40">
        <f>HLOOKUP(C40,Assumptions!$A$6:$J$7,2,TRUE)</f>
        <v>2.6499999999999999E-2</v>
      </c>
      <c r="N40" s="23">
        <f t="shared" si="0"/>
        <v>1</v>
      </c>
      <c r="O40" s="23">
        <f t="shared" si="7"/>
        <v>0</v>
      </c>
      <c r="P40">
        <f t="shared" si="11"/>
        <v>0</v>
      </c>
      <c r="Q40" s="23">
        <f t="shared" si="8"/>
        <v>0.86679889434321256</v>
      </c>
      <c r="R40">
        <f>Q39*Assumptions!$B$11/$E$2*N40</f>
        <v>208.09049041072964</v>
      </c>
      <c r="S40">
        <f>Q39*Assumptions!$B$13/$E$2*N40</f>
        <v>52.022622602682411</v>
      </c>
      <c r="T40">
        <f>L40*Assumptions!$B$15</f>
        <v>3.6722355224133567</v>
      </c>
      <c r="U40">
        <f>S40*Assumptions!$B$17</f>
        <v>33.377714661881029</v>
      </c>
      <c r="V40">
        <f>HLOOKUP(B40,Assumptions!$A$26:$D$27,2,TRUE)</f>
        <v>0</v>
      </c>
      <c r="W40">
        <f t="shared" si="12"/>
        <v>0</v>
      </c>
      <c r="X40">
        <f t="shared" si="13"/>
        <v>0</v>
      </c>
      <c r="Y40">
        <f>IF(B40&gt;$M$2,0,IF(X41=0,0,(1-X41)*Assumptions!$B$11/$E$2*(1-Assumptions!$B$30)))</f>
        <v>175.99999999999989</v>
      </c>
      <c r="Z40">
        <f>(R40-S40)*(1-Assumptions!$B$30)-U40+Y39*Q39</f>
        <v>91.47657958455676</v>
      </c>
      <c r="AA40">
        <f>AA39*(1+Assumptions!$B$36)^(1/12)</f>
        <v>1.0243380846273653</v>
      </c>
      <c r="AB40" s="20">
        <f>IF(B40&gt;$M$2,0,AA39*Assumptions!$B$32/12*Q39+Z40*Assumptions!$B$34/12)</f>
        <v>11.389456022217217</v>
      </c>
      <c r="AC40" s="21">
        <f>1/(1+HLOOKUP(YEAR(A40),Assumptions!$A$41:$AL$43,3,TRUE))^(1/12)</f>
        <v>0.99865671918296972</v>
      </c>
      <c r="AD40">
        <f t="shared" si="9"/>
        <v>164.67826048025347</v>
      </c>
      <c r="AE40">
        <f t="shared" si="14"/>
        <v>37.049950184294389</v>
      </c>
    </row>
    <row r="41" spans="1:31" x14ac:dyDescent="0.2">
      <c r="A41" s="2">
        <f t="shared" si="15"/>
        <v>44012</v>
      </c>
      <c r="B41">
        <f t="shared" si="1"/>
        <v>110</v>
      </c>
      <c r="C41">
        <f t="shared" si="2"/>
        <v>9.0833333333333339</v>
      </c>
      <c r="D41">
        <f t="shared" si="3"/>
        <v>0</v>
      </c>
      <c r="E41">
        <f t="shared" si="4"/>
        <v>64</v>
      </c>
      <c r="F41">
        <f t="shared" si="5"/>
        <v>56</v>
      </c>
      <c r="G41">
        <f>IF(C41&gt;=$L$2,0,VLOOKUP($E41,'Mortality Table'!$A$3:$C$128,2+H$2,FALSE))</f>
        <v>4.7300000000000007E-3</v>
      </c>
      <c r="H41">
        <f>IF(C41&gt;=$L$2,0,VLOOKUP($E41,'Mortality Table'!$A$3:$C$128,2+I$2,FALSE))</f>
        <v>7.7819000000000004E-3</v>
      </c>
      <c r="I41" s="17">
        <f>G41*Assumptions!$B$1</f>
        <v>1.2799380000000002E-3</v>
      </c>
      <c r="J41" s="17">
        <f>H41*Assumptions!$B$1</f>
        <v>2.1057821400000004E-3</v>
      </c>
      <c r="K41">
        <f t="shared" si="6"/>
        <v>3.3830248694192932E-3</v>
      </c>
      <c r="L41">
        <f t="shared" si="10"/>
        <v>2.447465761121885E-4</v>
      </c>
      <c r="M41">
        <f>HLOOKUP(C41,Assumptions!$A$6:$J$7,2,TRUE)</f>
        <v>2.6499999999999999E-2</v>
      </c>
      <c r="N41" s="23">
        <f t="shared" si="0"/>
        <v>0</v>
      </c>
      <c r="O41" s="23">
        <f t="shared" si="7"/>
        <v>0</v>
      </c>
      <c r="P41">
        <f t="shared" si="11"/>
        <v>0</v>
      </c>
      <c r="Q41" s="23">
        <f t="shared" si="8"/>
        <v>0.86655414776710038</v>
      </c>
      <c r="R41">
        <f>Q40*Assumptions!$B$11/$E$2*N41</f>
        <v>0</v>
      </c>
      <c r="S41">
        <f>Q40*Assumptions!$B$13/$E$2*N41</f>
        <v>0</v>
      </c>
      <c r="T41">
        <f>L41*Assumptions!$B$15</f>
        <v>3.6711986416828277</v>
      </c>
      <c r="U41">
        <f>S41*Assumptions!$B$17</f>
        <v>0</v>
      </c>
      <c r="V41">
        <f>HLOOKUP(B41,Assumptions!$A$26:$D$27,2,TRUE)</f>
        <v>0</v>
      </c>
      <c r="W41">
        <f t="shared" si="12"/>
        <v>0</v>
      </c>
      <c r="X41">
        <f t="shared" si="13"/>
        <v>8.3333333333333925E-2</v>
      </c>
      <c r="Y41">
        <f>IF(B41&gt;$M$2,0,IF(X42=0,0,(1-X42)*Assumptions!$B$11/$E$2*(1-Assumptions!$B$30)))</f>
        <v>160.00000000000011</v>
      </c>
      <c r="Z41">
        <f>(R41-S41)*(1-Assumptions!$B$30)-U41+Y40*Q40</f>
        <v>152.5566054044053</v>
      </c>
      <c r="AA41">
        <f>AA40*(1+Assumptions!$B$36)^(1/12)</f>
        <v>1.02518781211054</v>
      </c>
      <c r="AB41" s="20">
        <f>IF(B41&gt;$M$2,0,AA40*Assumptions!$B$32/12*Q40+Z41*Assumptions!$B$34/12)</f>
        <v>11.410434366812938</v>
      </c>
      <c r="AC41" s="21">
        <f>1/(1+HLOOKUP(YEAR(A41),Assumptions!$A$41:$AL$43,3,TRUE))^(1/12)</f>
        <v>0.99865671918296972</v>
      </c>
      <c r="AD41">
        <f t="shared" si="9"/>
        <v>149.81813416573561</v>
      </c>
      <c r="AE41">
        <f t="shared" si="14"/>
        <v>3.6711986416828277</v>
      </c>
    </row>
    <row r="42" spans="1:31" x14ac:dyDescent="0.2">
      <c r="A42" s="2">
        <f t="shared" si="15"/>
        <v>44043</v>
      </c>
      <c r="B42">
        <f t="shared" si="1"/>
        <v>111</v>
      </c>
      <c r="C42">
        <f t="shared" si="2"/>
        <v>9.1666666666666661</v>
      </c>
      <c r="D42">
        <f t="shared" si="3"/>
        <v>0</v>
      </c>
      <c r="E42">
        <f t="shared" si="4"/>
        <v>64</v>
      </c>
      <c r="F42">
        <f t="shared" si="5"/>
        <v>56</v>
      </c>
      <c r="G42">
        <f>IF(C42&gt;=$L$2,0,VLOOKUP($E42,'Mortality Table'!$A$3:$C$128,2+H$2,FALSE))</f>
        <v>4.7300000000000007E-3</v>
      </c>
      <c r="H42">
        <f>IF(C42&gt;=$L$2,0,VLOOKUP($E42,'Mortality Table'!$A$3:$C$128,2+I$2,FALSE))</f>
        <v>7.7819000000000004E-3</v>
      </c>
      <c r="I42" s="17">
        <f>G42*Assumptions!$B$1</f>
        <v>1.2799380000000002E-3</v>
      </c>
      <c r="J42" s="17">
        <f>H42*Assumptions!$B$1</f>
        <v>2.1057821400000004E-3</v>
      </c>
      <c r="K42">
        <f t="shared" si="6"/>
        <v>3.3830248694192932E-3</v>
      </c>
      <c r="L42">
        <f t="shared" si="10"/>
        <v>2.4467747024817607E-4</v>
      </c>
      <c r="M42">
        <f>HLOOKUP(C42,Assumptions!$A$6:$J$7,2,TRUE)</f>
        <v>2.6499999999999999E-2</v>
      </c>
      <c r="N42" s="23">
        <f t="shared" si="0"/>
        <v>0</v>
      </c>
      <c r="O42" s="23">
        <f t="shared" si="7"/>
        <v>0</v>
      </c>
      <c r="P42">
        <f t="shared" si="11"/>
        <v>0</v>
      </c>
      <c r="Q42" s="23">
        <f t="shared" si="8"/>
        <v>0.86630947029685224</v>
      </c>
      <c r="R42">
        <f>Q41*Assumptions!$B$11/$E$2*N42</f>
        <v>0</v>
      </c>
      <c r="S42">
        <f>Q41*Assumptions!$B$13/$E$2*N42</f>
        <v>0</v>
      </c>
      <c r="T42">
        <f>L42*Assumptions!$B$15</f>
        <v>3.6701620537226409</v>
      </c>
      <c r="U42">
        <f>S42*Assumptions!$B$17</f>
        <v>0</v>
      </c>
      <c r="V42">
        <f>HLOOKUP(B42,Assumptions!$A$26:$D$27,2,TRUE)</f>
        <v>0</v>
      </c>
      <c r="W42">
        <f t="shared" si="12"/>
        <v>0</v>
      </c>
      <c r="X42">
        <f t="shared" si="13"/>
        <v>0.16666666666666607</v>
      </c>
      <c r="Y42">
        <f>IF(B42&gt;$M$2,0,IF(X43=0,0,(1-X43)*Assumptions!$B$11/$E$2*(1-Assumptions!$B$30)))</f>
        <v>144</v>
      </c>
      <c r="Z42">
        <f>(R42-S42)*(1-Assumptions!$B$30)-U42+Y41*Q41</f>
        <v>138.64866364273615</v>
      </c>
      <c r="AA42">
        <f>AA41*(1+Assumptions!$B$36)^(1/12)</f>
        <v>1.0260382444750489</v>
      </c>
      <c r="AB42" s="20">
        <f>IF(B42&gt;$M$2,0,AA41*Assumptions!$B$32/12*Q41+Z42*Assumptions!$B$34/12)</f>
        <v>11.413294019798139</v>
      </c>
      <c r="AC42" s="21">
        <f>1/(1+HLOOKUP(YEAR(A42),Assumptions!$A$41:$AL$43,3,TRUE))^(1/12)</f>
        <v>0.99865671918296972</v>
      </c>
      <c r="AD42">
        <f t="shared" si="9"/>
        <v>134.93619661384733</v>
      </c>
      <c r="AE42">
        <f t="shared" si="14"/>
        <v>3.6701620537226409</v>
      </c>
    </row>
    <row r="43" spans="1:31" x14ac:dyDescent="0.2">
      <c r="A43" s="2">
        <f t="shared" si="15"/>
        <v>44074</v>
      </c>
      <c r="B43">
        <f t="shared" si="1"/>
        <v>112</v>
      </c>
      <c r="C43">
        <f t="shared" si="2"/>
        <v>9.25</v>
      </c>
      <c r="D43">
        <f t="shared" si="3"/>
        <v>0</v>
      </c>
      <c r="E43">
        <f t="shared" si="4"/>
        <v>64</v>
      </c>
      <c r="F43">
        <f t="shared" si="5"/>
        <v>56</v>
      </c>
      <c r="G43">
        <f>IF(C43&gt;=$L$2,0,VLOOKUP($E43,'Mortality Table'!$A$3:$C$128,2+H$2,FALSE))</f>
        <v>4.7300000000000007E-3</v>
      </c>
      <c r="H43">
        <f>IF(C43&gt;=$L$2,0,VLOOKUP($E43,'Mortality Table'!$A$3:$C$128,2+I$2,FALSE))</f>
        <v>7.7819000000000004E-3</v>
      </c>
      <c r="I43" s="17">
        <f>G43*Assumptions!$B$1</f>
        <v>1.2799380000000002E-3</v>
      </c>
      <c r="J43" s="17">
        <f>H43*Assumptions!$B$1</f>
        <v>2.1057821400000004E-3</v>
      </c>
      <c r="K43">
        <f t="shared" si="6"/>
        <v>3.3830248694192932E-3</v>
      </c>
      <c r="L43">
        <f t="shared" si="10"/>
        <v>2.4460838389667535E-4</v>
      </c>
      <c r="M43">
        <f>HLOOKUP(C43,Assumptions!$A$6:$J$7,2,TRUE)</f>
        <v>2.6499999999999999E-2</v>
      </c>
      <c r="N43" s="23">
        <f t="shared" si="0"/>
        <v>0</v>
      </c>
      <c r="O43" s="23">
        <f t="shared" si="7"/>
        <v>0</v>
      </c>
      <c r="P43">
        <f t="shared" si="11"/>
        <v>0</v>
      </c>
      <c r="Q43" s="23">
        <f t="shared" si="8"/>
        <v>0.86606486191295551</v>
      </c>
      <c r="R43">
        <f>Q42*Assumptions!$B$11/$E$2*N43</f>
        <v>0</v>
      </c>
      <c r="S43">
        <f>Q42*Assumptions!$B$13/$E$2*N43</f>
        <v>0</v>
      </c>
      <c r="T43">
        <f>L43*Assumptions!$B$15</f>
        <v>3.6691257584501304</v>
      </c>
      <c r="U43">
        <f>S43*Assumptions!$B$17</f>
        <v>0</v>
      </c>
      <c r="V43">
        <f>HLOOKUP(B43,Assumptions!$A$26:$D$27,2,TRUE)</f>
        <v>0</v>
      </c>
      <c r="W43">
        <f t="shared" si="12"/>
        <v>0</v>
      </c>
      <c r="X43">
        <f t="shared" si="13"/>
        <v>0.25</v>
      </c>
      <c r="Y43">
        <f>IF(B43&gt;$M$2,0,IF(X44=0,0,(1-X44)*Assumptions!$B$11/$E$2*(1-Assumptions!$B$30)))</f>
        <v>127.99999999999989</v>
      </c>
      <c r="Z43">
        <f>(R43-S43)*(1-Assumptions!$B$30)-U43+Y42*Q42</f>
        <v>124.74856372274672</v>
      </c>
      <c r="AA43">
        <f>AA42*(1+Assumptions!$B$36)^(1/12)</f>
        <v>1.0268893823056178</v>
      </c>
      <c r="AB43" s="20">
        <f>IF(B43&gt;$M$2,0,AA42*Assumptions!$B$32/12*Q42+Z43*Assumptions!$B$34/12)</f>
        <v>11.416158970310015</v>
      </c>
      <c r="AC43" s="21">
        <f>1/(1+HLOOKUP(YEAR(A43),Assumptions!$A$41:$AL$43,3,TRUE))^(1/12)</f>
        <v>0.99865671918296972</v>
      </c>
      <c r="AD43">
        <f t="shared" si="9"/>
        <v>120.03241289634829</v>
      </c>
      <c r="AE43">
        <f t="shared" si="14"/>
        <v>3.6691257584501304</v>
      </c>
    </row>
    <row r="44" spans="1:31" x14ac:dyDescent="0.2">
      <c r="A44" s="2">
        <f t="shared" si="15"/>
        <v>44104</v>
      </c>
      <c r="B44">
        <f t="shared" si="1"/>
        <v>113</v>
      </c>
      <c r="C44">
        <f t="shared" si="2"/>
        <v>9.3333333333333339</v>
      </c>
      <c r="D44">
        <f t="shared" si="3"/>
        <v>0</v>
      </c>
      <c r="E44">
        <f t="shared" si="4"/>
        <v>64</v>
      </c>
      <c r="F44">
        <f t="shared" si="5"/>
        <v>56</v>
      </c>
      <c r="G44">
        <f>IF(C44&gt;=$L$2,0,VLOOKUP($E44,'Mortality Table'!$A$3:$C$128,2+H$2,FALSE))</f>
        <v>4.7300000000000007E-3</v>
      </c>
      <c r="H44">
        <f>IF(C44&gt;=$L$2,0,VLOOKUP($E44,'Mortality Table'!$A$3:$C$128,2+I$2,FALSE))</f>
        <v>7.7819000000000004E-3</v>
      </c>
      <c r="I44" s="17">
        <f>G44*Assumptions!$B$1</f>
        <v>1.2799380000000002E-3</v>
      </c>
      <c r="J44" s="17">
        <f>H44*Assumptions!$B$1</f>
        <v>2.1057821400000004E-3</v>
      </c>
      <c r="K44">
        <f t="shared" si="6"/>
        <v>3.3830248694192932E-3</v>
      </c>
      <c r="L44">
        <f t="shared" si="10"/>
        <v>2.4453931705217688E-4</v>
      </c>
      <c r="M44">
        <f>HLOOKUP(C44,Assumptions!$A$6:$J$7,2,TRUE)</f>
        <v>2.6499999999999999E-2</v>
      </c>
      <c r="N44" s="23">
        <f t="shared" si="0"/>
        <v>0</v>
      </c>
      <c r="O44" s="23">
        <f t="shared" si="7"/>
        <v>0</v>
      </c>
      <c r="P44">
        <f t="shared" si="11"/>
        <v>0</v>
      </c>
      <c r="Q44" s="23">
        <f t="shared" si="8"/>
        <v>0.86582032259590336</v>
      </c>
      <c r="R44">
        <f>Q43*Assumptions!$B$11/$E$2*N44</f>
        <v>0</v>
      </c>
      <c r="S44">
        <f>Q43*Assumptions!$B$13/$E$2*N44</f>
        <v>0</v>
      </c>
      <c r="T44">
        <f>L44*Assumptions!$B$15</f>
        <v>3.6680897557826531</v>
      </c>
      <c r="U44">
        <f>S44*Assumptions!$B$17</f>
        <v>0</v>
      </c>
      <c r="V44">
        <f>HLOOKUP(B44,Assumptions!$A$26:$D$27,2,TRUE)</f>
        <v>0</v>
      </c>
      <c r="W44">
        <f t="shared" si="12"/>
        <v>0</v>
      </c>
      <c r="X44">
        <f t="shared" si="13"/>
        <v>0.33333333333333393</v>
      </c>
      <c r="Y44">
        <f>IF(B44&gt;$M$2,0,IF(X45=0,0,(1-X45)*Assumptions!$B$11/$E$2*(1-Assumptions!$B$30)))</f>
        <v>112.00000000000011</v>
      </c>
      <c r="Z44">
        <f>(R44-S44)*(1-Assumptions!$B$30)-U44+Y43*Q43</f>
        <v>110.85630232485821</v>
      </c>
      <c r="AA44">
        <f>AA43*(1+Assumptions!$B$36)^(1/12)</f>
        <v>1.0277412261874577</v>
      </c>
      <c r="AB44" s="20">
        <f>IF(B44&gt;$M$2,0,AA43*Assumptions!$B$32/12*Q43+Z44*Assumptions!$B$34/12)</f>
        <v>11.419029219407275</v>
      </c>
      <c r="AC44" s="21">
        <f>1/(1+HLOOKUP(YEAR(A44),Assumptions!$A$41:$AL$43,3,TRUE))^(1/12)</f>
        <v>0.99865671918296972</v>
      </c>
      <c r="AD44">
        <f t="shared" si="9"/>
        <v>105.10674803704057</v>
      </c>
      <c r="AE44">
        <f t="shared" si="14"/>
        <v>3.6680897557826531</v>
      </c>
    </row>
    <row r="45" spans="1:31" x14ac:dyDescent="0.2">
      <c r="A45" s="2">
        <f t="shared" si="15"/>
        <v>44135</v>
      </c>
      <c r="B45">
        <f t="shared" si="1"/>
        <v>114</v>
      </c>
      <c r="C45">
        <f t="shared" si="2"/>
        <v>9.4166666666666661</v>
      </c>
      <c r="D45">
        <f t="shared" si="3"/>
        <v>0</v>
      </c>
      <c r="E45">
        <f t="shared" si="4"/>
        <v>64</v>
      </c>
      <c r="F45">
        <f t="shared" si="5"/>
        <v>56</v>
      </c>
      <c r="G45">
        <f>IF(C45&gt;=$L$2,0,VLOOKUP($E45,'Mortality Table'!$A$3:$C$128,2+H$2,FALSE))</f>
        <v>4.7300000000000007E-3</v>
      </c>
      <c r="H45">
        <f>IF(C45&gt;=$L$2,0,VLOOKUP($E45,'Mortality Table'!$A$3:$C$128,2+I$2,FALSE))</f>
        <v>7.7819000000000004E-3</v>
      </c>
      <c r="I45" s="17">
        <f>G45*Assumptions!$B$1</f>
        <v>1.2799380000000002E-3</v>
      </c>
      <c r="J45" s="17">
        <f>H45*Assumptions!$B$1</f>
        <v>2.1057821400000004E-3</v>
      </c>
      <c r="K45">
        <f t="shared" si="6"/>
        <v>3.3830248694192932E-3</v>
      </c>
      <c r="L45">
        <f t="shared" si="10"/>
        <v>2.4447026970917274E-4</v>
      </c>
      <c r="M45">
        <f>HLOOKUP(C45,Assumptions!$A$6:$J$7,2,TRUE)</f>
        <v>2.6499999999999999E-2</v>
      </c>
      <c r="N45" s="23">
        <f t="shared" si="0"/>
        <v>0</v>
      </c>
      <c r="O45" s="23">
        <f t="shared" si="7"/>
        <v>0</v>
      </c>
      <c r="P45">
        <f t="shared" si="11"/>
        <v>0</v>
      </c>
      <c r="Q45" s="23">
        <f t="shared" si="8"/>
        <v>0.86557585232619416</v>
      </c>
      <c r="R45">
        <f>Q44*Assumptions!$B$11/$E$2*N45</f>
        <v>0</v>
      </c>
      <c r="S45">
        <f>Q44*Assumptions!$B$13/$E$2*N45</f>
        <v>0</v>
      </c>
      <c r="T45">
        <f>L45*Assumptions!$B$15</f>
        <v>3.6670540456375913</v>
      </c>
      <c r="U45">
        <f>S45*Assumptions!$B$17</f>
        <v>0</v>
      </c>
      <c r="V45">
        <f>HLOOKUP(B45,Assumptions!$A$26:$D$27,2,TRUE)</f>
        <v>0</v>
      </c>
      <c r="W45">
        <f t="shared" si="12"/>
        <v>0</v>
      </c>
      <c r="X45">
        <f t="shared" si="13"/>
        <v>0.41666666666666607</v>
      </c>
      <c r="Y45">
        <f>IF(B45&gt;$M$2,0,IF(X46=0,0,(1-X46)*Assumptions!$B$11/$E$2*(1-Assumptions!$B$30)))</f>
        <v>96</v>
      </c>
      <c r="Z45">
        <f>(R45-S45)*(1-Assumptions!$B$30)-U45+Y44*Q44</f>
        <v>96.971876130741279</v>
      </c>
      <c r="AA45">
        <f>AA44*(1+Assumptions!$B$36)^(1/12)</f>
        <v>1.028593776706265</v>
      </c>
      <c r="AB45" s="20">
        <f>IF(B45&gt;$M$2,0,AA44*Assumptions!$B$32/12*Q44+Z45*Assumptions!$B$34/12)</f>
        <v>11.42190476814995</v>
      </c>
      <c r="AC45" s="21">
        <f>1/(1+HLOOKUP(YEAR(A45),Assumptions!$A$41:$AL$43,3,TRUE))^(1/12)</f>
        <v>0.99865671918296972</v>
      </c>
      <c r="AD45">
        <f t="shared" si="9"/>
        <v>90.159167011702806</v>
      </c>
      <c r="AE45">
        <f t="shared" si="14"/>
        <v>3.6670540456375913</v>
      </c>
    </row>
    <row r="46" spans="1:31" x14ac:dyDescent="0.2">
      <c r="A46" s="2">
        <f t="shared" si="15"/>
        <v>44165</v>
      </c>
      <c r="B46">
        <f t="shared" si="1"/>
        <v>115</v>
      </c>
      <c r="C46">
        <f t="shared" si="2"/>
        <v>9.5</v>
      </c>
      <c r="D46">
        <f t="shared" si="3"/>
        <v>0</v>
      </c>
      <c r="E46">
        <f t="shared" si="4"/>
        <v>64</v>
      </c>
      <c r="F46">
        <f t="shared" si="5"/>
        <v>56</v>
      </c>
      <c r="G46">
        <f>IF(C46&gt;=$L$2,0,VLOOKUP($E46,'Mortality Table'!$A$3:$C$128,2+H$2,FALSE))</f>
        <v>4.7300000000000007E-3</v>
      </c>
      <c r="H46">
        <f>IF(C46&gt;=$L$2,0,VLOOKUP($E46,'Mortality Table'!$A$3:$C$128,2+I$2,FALSE))</f>
        <v>7.7819000000000004E-3</v>
      </c>
      <c r="I46" s="17">
        <f>G46*Assumptions!$B$1</f>
        <v>1.2799380000000002E-3</v>
      </c>
      <c r="J46" s="17">
        <f>H46*Assumptions!$B$1</f>
        <v>2.1057821400000004E-3</v>
      </c>
      <c r="K46">
        <f t="shared" si="6"/>
        <v>3.3830248694192932E-3</v>
      </c>
      <c r="L46">
        <f t="shared" si="10"/>
        <v>2.4440124186215649E-4</v>
      </c>
      <c r="M46">
        <f>HLOOKUP(C46,Assumptions!$A$6:$J$7,2,TRUE)</f>
        <v>2.6499999999999999E-2</v>
      </c>
      <c r="N46" s="23">
        <f t="shared" si="0"/>
        <v>0</v>
      </c>
      <c r="O46" s="23">
        <f t="shared" si="7"/>
        <v>0</v>
      </c>
      <c r="P46">
        <f t="shared" si="11"/>
        <v>0</v>
      </c>
      <c r="Q46" s="23">
        <f t="shared" si="8"/>
        <v>0.86533145108433196</v>
      </c>
      <c r="R46">
        <f>Q45*Assumptions!$B$11/$E$2*N46</f>
        <v>0</v>
      </c>
      <c r="S46">
        <f>Q45*Assumptions!$B$13/$E$2*N46</f>
        <v>0</v>
      </c>
      <c r="T46">
        <f>L46*Assumptions!$B$15</f>
        <v>3.6660186279323472</v>
      </c>
      <c r="U46">
        <f>S46*Assumptions!$B$17</f>
        <v>0</v>
      </c>
      <c r="V46">
        <f>HLOOKUP(B46,Assumptions!$A$26:$D$27,2,TRUE)</f>
        <v>0</v>
      </c>
      <c r="W46">
        <f t="shared" si="12"/>
        <v>0</v>
      </c>
      <c r="X46">
        <f t="shared" si="13"/>
        <v>0.5</v>
      </c>
      <c r="Y46">
        <f>IF(B46&gt;$M$2,0,IF(X47=0,0,(1-X47)*Assumptions!$B$11/$E$2*(1-Assumptions!$B$30)))</f>
        <v>79.999999999999886</v>
      </c>
      <c r="Z46">
        <f>(R46-S46)*(1-Assumptions!$B$30)-U46+Y45*Q45</f>
        <v>83.095281823314636</v>
      </c>
      <c r="AA46">
        <f>AA45*(1+Assumptions!$B$36)^(1/12)</f>
        <v>1.0294470344482221</v>
      </c>
      <c r="AB46" s="20">
        <f>IF(B46&gt;$M$2,0,AA45*Assumptions!$B$32/12*Q45+Z46*Assumptions!$B$34/12)</f>
        <v>11.424785617599385</v>
      </c>
      <c r="AC46" s="21">
        <f>1/(1+HLOOKUP(YEAR(A46),Assumptions!$A$41:$AL$43,3,TRUE))^(1/12)</f>
        <v>0.99865671918296972</v>
      </c>
      <c r="AD46">
        <f t="shared" si="9"/>
        <v>75.18963474802419</v>
      </c>
      <c r="AE46">
        <f t="shared" si="14"/>
        <v>3.6660186279323472</v>
      </c>
    </row>
    <row r="47" spans="1:31" x14ac:dyDescent="0.2">
      <c r="A47" s="2">
        <f t="shared" si="15"/>
        <v>44196</v>
      </c>
      <c r="B47">
        <f t="shared" si="1"/>
        <v>116</v>
      </c>
      <c r="C47">
        <f t="shared" si="2"/>
        <v>9.5833333333333339</v>
      </c>
      <c r="D47">
        <f t="shared" si="3"/>
        <v>0</v>
      </c>
      <c r="E47">
        <f t="shared" si="4"/>
        <v>64</v>
      </c>
      <c r="F47">
        <f t="shared" si="5"/>
        <v>56</v>
      </c>
      <c r="G47">
        <f>IF(C47&gt;=$L$2,0,VLOOKUP($E47,'Mortality Table'!$A$3:$C$128,2+H$2,FALSE))</f>
        <v>4.7300000000000007E-3</v>
      </c>
      <c r="H47">
        <f>IF(C47&gt;=$L$2,0,VLOOKUP($E47,'Mortality Table'!$A$3:$C$128,2+I$2,FALSE))</f>
        <v>7.7819000000000004E-3</v>
      </c>
      <c r="I47" s="17">
        <f>G47*Assumptions!$B$1</f>
        <v>1.2799380000000002E-3</v>
      </c>
      <c r="J47" s="17">
        <f>H47*Assumptions!$B$1</f>
        <v>2.1057821400000004E-3</v>
      </c>
      <c r="K47">
        <f t="shared" si="6"/>
        <v>3.3830248694192932E-3</v>
      </c>
      <c r="L47">
        <f t="shared" si="10"/>
        <v>2.4433223350562341E-4</v>
      </c>
      <c r="M47">
        <f>HLOOKUP(C47,Assumptions!$A$6:$J$7,2,TRUE)</f>
        <v>2.6499999999999999E-2</v>
      </c>
      <c r="N47" s="23">
        <f t="shared" si="0"/>
        <v>0</v>
      </c>
      <c r="O47" s="23">
        <f t="shared" si="7"/>
        <v>0</v>
      </c>
      <c r="P47">
        <f t="shared" si="11"/>
        <v>0</v>
      </c>
      <c r="Q47" s="23">
        <f t="shared" si="8"/>
        <v>0.86508711885082634</v>
      </c>
      <c r="R47">
        <f>Q46*Assumptions!$B$11/$E$2*N47</f>
        <v>0</v>
      </c>
      <c r="S47">
        <f>Q46*Assumptions!$B$13/$E$2*N47</f>
        <v>0</v>
      </c>
      <c r="T47">
        <f>L47*Assumptions!$B$15</f>
        <v>3.6649835025843513</v>
      </c>
      <c r="U47">
        <f>S47*Assumptions!$B$17</f>
        <v>0</v>
      </c>
      <c r="V47">
        <f>HLOOKUP(B47,Assumptions!$A$26:$D$27,2,TRUE)</f>
        <v>0</v>
      </c>
      <c r="W47">
        <f t="shared" si="12"/>
        <v>0</v>
      </c>
      <c r="X47">
        <f t="shared" si="13"/>
        <v>0.58333333333333393</v>
      </c>
      <c r="Y47">
        <f>IF(B47&gt;$M$2,0,IF(X48=0,0,(1-X48)*Assumptions!$B$11/$E$2*(1-Assumptions!$B$30)))</f>
        <v>64.000000000000114</v>
      </c>
      <c r="Z47">
        <f>(R47-S47)*(1-Assumptions!$B$30)-U47+Y46*Q46</f>
        <v>69.226516086746457</v>
      </c>
      <c r="AA47">
        <f>AA46*(1+Assumptions!$B$36)^(1/12)</f>
        <v>1.0303009999999975</v>
      </c>
      <c r="AB47" s="20">
        <f>IF(B47&gt;$M$2,0,AA46*Assumptions!$B$32/12*Q46+Z47*Assumptions!$B$34/12)</f>
        <v>11.427671768818252</v>
      </c>
      <c r="AC47" s="21">
        <f>1/(1+HLOOKUP(YEAR(A47),Assumptions!$A$41:$AL$43,3,TRUE))^(1/12)</f>
        <v>0.99865671918296972</v>
      </c>
      <c r="AD47">
        <f t="shared" si="9"/>
        <v>60.198116125538512</v>
      </c>
      <c r="AE47">
        <f t="shared" si="14"/>
        <v>3.6649835025843513</v>
      </c>
    </row>
    <row r="48" spans="1:31" x14ac:dyDescent="0.2">
      <c r="A48" s="2">
        <f t="shared" si="15"/>
        <v>44227</v>
      </c>
      <c r="B48">
        <f t="shared" si="1"/>
        <v>117</v>
      </c>
      <c r="C48">
        <f t="shared" si="2"/>
        <v>9.6666666666666661</v>
      </c>
      <c r="D48">
        <f t="shared" si="3"/>
        <v>0</v>
      </c>
      <c r="E48">
        <f t="shared" si="4"/>
        <v>64</v>
      </c>
      <c r="F48">
        <f t="shared" si="5"/>
        <v>56</v>
      </c>
      <c r="G48">
        <f>IF(C48&gt;=$L$2,0,VLOOKUP($E48,'Mortality Table'!$A$3:$C$128,2+H$2,FALSE))</f>
        <v>4.7300000000000007E-3</v>
      </c>
      <c r="H48">
        <f>IF(C48&gt;=$L$2,0,VLOOKUP($E48,'Mortality Table'!$A$3:$C$128,2+I$2,FALSE))</f>
        <v>7.7819000000000004E-3</v>
      </c>
      <c r="I48" s="17">
        <f>G48*Assumptions!$B$1</f>
        <v>1.2799380000000002E-3</v>
      </c>
      <c r="J48" s="17">
        <f>H48*Assumptions!$B$1</f>
        <v>2.1057821400000004E-3</v>
      </c>
      <c r="K48">
        <f t="shared" si="6"/>
        <v>3.3830248694192932E-3</v>
      </c>
      <c r="L48">
        <f t="shared" si="10"/>
        <v>2.4426324463407015E-4</v>
      </c>
      <c r="M48">
        <f>HLOOKUP(C48,Assumptions!$A$6:$J$7,2,TRUE)</f>
        <v>2.6499999999999999E-2</v>
      </c>
      <c r="N48" s="23">
        <f t="shared" si="0"/>
        <v>0</v>
      </c>
      <c r="O48" s="23">
        <f t="shared" si="7"/>
        <v>0</v>
      </c>
      <c r="P48">
        <f t="shared" si="11"/>
        <v>0</v>
      </c>
      <c r="Q48" s="23">
        <f t="shared" si="8"/>
        <v>0.86484285560619223</v>
      </c>
      <c r="R48">
        <f>Q47*Assumptions!$B$11/$E$2*N48</f>
        <v>0</v>
      </c>
      <c r="S48">
        <f>Q47*Assumptions!$B$13/$E$2*N48</f>
        <v>0</v>
      </c>
      <c r="T48">
        <f>L48*Assumptions!$B$15</f>
        <v>3.6639486695110524</v>
      </c>
      <c r="U48">
        <f>S48*Assumptions!$B$17</f>
        <v>0</v>
      </c>
      <c r="V48">
        <f>HLOOKUP(B48,Assumptions!$A$26:$D$27,2,TRUE)</f>
        <v>0</v>
      </c>
      <c r="W48">
        <f t="shared" si="12"/>
        <v>0</v>
      </c>
      <c r="X48">
        <f t="shared" si="13"/>
        <v>0.66666666666666607</v>
      </c>
      <c r="Y48">
        <f>IF(B48&gt;$M$2,0,IF(X49=0,0,(1-X49)*Assumptions!$B$11/$E$2*(1-Assumptions!$B$30)))</f>
        <v>48</v>
      </c>
      <c r="Z48">
        <f>(R48-S48)*(1-Assumptions!$B$30)-U48+Y47*Q47</f>
        <v>55.365575606452985</v>
      </c>
      <c r="AA48">
        <f>AA47*(1+Assumptions!$B$36)^(1/12)</f>
        <v>1.0311556739487464</v>
      </c>
      <c r="AB48" s="20">
        <f>IF(B48&gt;$M$2,0,AA47*Assumptions!$B$32/12*Q47+Z48*Assumptions!$B$34/12)</f>
        <v>11.430563222870544</v>
      </c>
      <c r="AC48" s="21">
        <f>1/(1+HLOOKUP(YEAR(A48),Assumptions!$A$41:$AL$43,3,TRUE))^(1/12)</f>
        <v>0.99873250460197693</v>
      </c>
      <c r="AD48">
        <f t="shared" si="9"/>
        <v>45.18000190200938</v>
      </c>
      <c r="AE48">
        <f t="shared" si="14"/>
        <v>3.6639486695110524</v>
      </c>
    </row>
    <row r="49" spans="1:31" x14ac:dyDescent="0.2">
      <c r="A49" s="2">
        <f t="shared" si="15"/>
        <v>44255</v>
      </c>
      <c r="B49">
        <f t="shared" si="1"/>
        <v>118</v>
      </c>
      <c r="C49">
        <f t="shared" si="2"/>
        <v>9.75</v>
      </c>
      <c r="D49">
        <f t="shared" si="3"/>
        <v>0</v>
      </c>
      <c r="E49">
        <f t="shared" si="4"/>
        <v>64</v>
      </c>
      <c r="F49">
        <f t="shared" si="5"/>
        <v>56</v>
      </c>
      <c r="G49">
        <f>IF(C49&gt;=$L$2,0,VLOOKUP($E49,'Mortality Table'!$A$3:$C$128,2+H$2,FALSE))</f>
        <v>4.7300000000000007E-3</v>
      </c>
      <c r="H49">
        <f>IF(C49&gt;=$L$2,0,VLOOKUP($E49,'Mortality Table'!$A$3:$C$128,2+I$2,FALSE))</f>
        <v>7.7819000000000004E-3</v>
      </c>
      <c r="I49" s="17">
        <f>G49*Assumptions!$B$1</f>
        <v>1.2799380000000002E-3</v>
      </c>
      <c r="J49" s="17">
        <f>H49*Assumptions!$B$1</f>
        <v>2.1057821400000004E-3</v>
      </c>
      <c r="K49">
        <f t="shared" si="6"/>
        <v>3.3830248694192932E-3</v>
      </c>
      <c r="L49">
        <f t="shared" si="10"/>
        <v>2.4419427524199504E-4</v>
      </c>
      <c r="M49">
        <f>HLOOKUP(C49,Assumptions!$A$6:$J$7,2,TRUE)</f>
        <v>2.6499999999999999E-2</v>
      </c>
      <c r="N49" s="23">
        <f t="shared" si="0"/>
        <v>0</v>
      </c>
      <c r="O49" s="23">
        <f t="shared" si="7"/>
        <v>0</v>
      </c>
      <c r="P49">
        <f t="shared" si="11"/>
        <v>0</v>
      </c>
      <c r="Q49" s="23">
        <f t="shared" si="8"/>
        <v>0.8645986613309502</v>
      </c>
      <c r="R49">
        <f>Q48*Assumptions!$B$11/$E$2*N49</f>
        <v>0</v>
      </c>
      <c r="S49">
        <f>Q48*Assumptions!$B$13/$E$2*N49</f>
        <v>0</v>
      </c>
      <c r="T49">
        <f>L49*Assumptions!$B$15</f>
        <v>3.6629141286299256</v>
      </c>
      <c r="U49">
        <f>S49*Assumptions!$B$17</f>
        <v>0</v>
      </c>
      <c r="V49">
        <f>HLOOKUP(B49,Assumptions!$A$26:$D$27,2,TRUE)</f>
        <v>0</v>
      </c>
      <c r="W49">
        <f t="shared" si="12"/>
        <v>0</v>
      </c>
      <c r="X49">
        <f t="shared" si="13"/>
        <v>0.75</v>
      </c>
      <c r="Y49">
        <f>IF(B49&gt;$M$2,0,IF(X50=0,0,(1-X50)*Assumptions!$B$11/$E$2*(1-Assumptions!$B$30)))</f>
        <v>31.999999999999886</v>
      </c>
      <c r="Z49">
        <f>(R49-S49)*(1-Assumptions!$B$30)-U49+Y48*Q48</f>
        <v>41.512457069097223</v>
      </c>
      <c r="AA49">
        <f>AA48*(1+Assumptions!$B$36)^(1/12)</f>
        <v>1.0320110568821113</v>
      </c>
      <c r="AB49" s="20">
        <f>IF(B49&gt;$M$2,0,AA48*Assumptions!$B$32/12*Q48+Z49*Assumptions!$B$34/12)</f>
        <v>11.433459980821571</v>
      </c>
      <c r="AC49" s="21">
        <f>1/(1+HLOOKUP(YEAR(A49),Assumptions!$A$41:$AL$43,3,TRUE))^(1/12)</f>
        <v>0.99873250460197693</v>
      </c>
      <c r="AD49">
        <f t="shared" si="9"/>
        <v>30.140965912854952</v>
      </c>
      <c r="AE49">
        <f t="shared" si="14"/>
        <v>3.6629141286299256</v>
      </c>
    </row>
    <row r="50" spans="1:31" x14ac:dyDescent="0.2">
      <c r="A50" s="2">
        <f t="shared" si="15"/>
        <v>44286</v>
      </c>
      <c r="B50">
        <f t="shared" si="1"/>
        <v>119</v>
      </c>
      <c r="C50">
        <f t="shared" si="2"/>
        <v>9.8333333333333339</v>
      </c>
      <c r="D50">
        <f t="shared" si="3"/>
        <v>0</v>
      </c>
      <c r="E50">
        <f t="shared" si="4"/>
        <v>64</v>
      </c>
      <c r="F50">
        <f t="shared" si="5"/>
        <v>56</v>
      </c>
      <c r="G50">
        <f>IF(C50&gt;=$L$2,0,VLOOKUP($E50,'Mortality Table'!$A$3:$C$128,2+H$2,FALSE))</f>
        <v>4.7300000000000007E-3</v>
      </c>
      <c r="H50">
        <f>IF(C50&gt;=$L$2,0,VLOOKUP($E50,'Mortality Table'!$A$3:$C$128,2+I$2,FALSE))</f>
        <v>7.7819000000000004E-3</v>
      </c>
      <c r="I50" s="17">
        <f>G50*Assumptions!$B$1</f>
        <v>1.2799380000000002E-3</v>
      </c>
      <c r="J50" s="17">
        <f>H50*Assumptions!$B$1</f>
        <v>2.1057821400000004E-3</v>
      </c>
      <c r="K50">
        <f t="shared" si="6"/>
        <v>3.3830248694192932E-3</v>
      </c>
      <c r="L50">
        <f t="shared" si="10"/>
        <v>2.4412532532389785E-4</v>
      </c>
      <c r="M50">
        <f>HLOOKUP(C50,Assumptions!$A$6:$J$7,2,TRUE)</f>
        <v>2.6499999999999999E-2</v>
      </c>
      <c r="N50" s="23">
        <f t="shared" si="0"/>
        <v>0</v>
      </c>
      <c r="O50" s="23">
        <f t="shared" si="7"/>
        <v>0</v>
      </c>
      <c r="P50">
        <f t="shared" si="11"/>
        <v>0</v>
      </c>
      <c r="Q50" s="23">
        <f t="shared" si="8"/>
        <v>0.86435453600562628</v>
      </c>
      <c r="R50">
        <f>Q49*Assumptions!$B$11/$E$2*N50</f>
        <v>0</v>
      </c>
      <c r="S50">
        <f>Q49*Assumptions!$B$13/$E$2*N50</f>
        <v>0</v>
      </c>
      <c r="T50">
        <f>L50*Assumptions!$B$15</f>
        <v>3.6618798798584677</v>
      </c>
      <c r="U50">
        <f>S50*Assumptions!$B$17</f>
        <v>0</v>
      </c>
      <c r="V50">
        <f>HLOOKUP(B50,Assumptions!$A$26:$D$27,2,TRUE)</f>
        <v>0</v>
      </c>
      <c r="W50">
        <f t="shared" si="12"/>
        <v>0</v>
      </c>
      <c r="X50">
        <f t="shared" si="13"/>
        <v>0.83333333333333393</v>
      </c>
      <c r="Y50">
        <f>IF(B50&gt;$M$2,0,IF(X51=0,0,(1-X51)*Assumptions!$B$11/$E$2*(1-Assumptions!$B$30)))</f>
        <v>16.000000000000114</v>
      </c>
      <c r="Z50">
        <f>(R50-S50)*(1-Assumptions!$B$30)-U50+Y49*Q49</f>
        <v>27.667157162590307</v>
      </c>
      <c r="AA50">
        <f>AA49*(1+Assumptions!$B$36)^(1/12)</f>
        <v>1.0328671493882216</v>
      </c>
      <c r="AB50" s="20">
        <f>IF(B50&gt;$M$2,0,AA49*Assumptions!$B$32/12*Q49+Z50*Assumptions!$B$34/12)</f>
        <v>11.436362043737969</v>
      </c>
      <c r="AC50" s="21">
        <f>1/(1+HLOOKUP(YEAR(A50),Assumptions!$A$41:$AL$43,3,TRUE))^(1/12)</f>
        <v>0.99873250460197693</v>
      </c>
      <c r="AD50">
        <f t="shared" si="9"/>
        <v>15.080976009104146</v>
      </c>
      <c r="AE50">
        <f t="shared" si="14"/>
        <v>3.6618798798584677</v>
      </c>
    </row>
    <row r="51" spans="1:31" x14ac:dyDescent="0.2">
      <c r="A51" s="2">
        <f t="shared" si="15"/>
        <v>44316</v>
      </c>
      <c r="B51">
        <f t="shared" si="1"/>
        <v>120</v>
      </c>
      <c r="C51">
        <f t="shared" si="2"/>
        <v>9.9166666666666661</v>
      </c>
      <c r="D51">
        <f t="shared" si="3"/>
        <v>0</v>
      </c>
      <c r="E51">
        <f t="shared" si="4"/>
        <v>64</v>
      </c>
      <c r="F51">
        <f t="shared" si="5"/>
        <v>56</v>
      </c>
      <c r="G51">
        <f>IF(C51&gt;=$L$2,0,VLOOKUP($E51,'Mortality Table'!$A$3:$C$128,2+H$2,FALSE))</f>
        <v>4.7300000000000007E-3</v>
      </c>
      <c r="H51">
        <f>IF(C51&gt;=$L$2,0,VLOOKUP($E51,'Mortality Table'!$A$3:$C$128,2+I$2,FALSE))</f>
        <v>7.7819000000000004E-3</v>
      </c>
      <c r="I51" s="17">
        <f>G51*Assumptions!$B$1</f>
        <v>1.2799380000000002E-3</v>
      </c>
      <c r="J51" s="17">
        <f>H51*Assumptions!$B$1</f>
        <v>2.1057821400000004E-3</v>
      </c>
      <c r="K51">
        <f t="shared" si="6"/>
        <v>3.3830248694192932E-3</v>
      </c>
      <c r="L51">
        <f t="shared" si="10"/>
        <v>2.4405639487428001E-4</v>
      </c>
      <c r="M51">
        <f>HLOOKUP(C51,Assumptions!$A$6:$J$7,2,TRUE)</f>
        <v>2.6499999999999999E-2</v>
      </c>
      <c r="N51" s="23">
        <f t="shared" si="0"/>
        <v>0</v>
      </c>
      <c r="O51" s="23">
        <f t="shared" si="7"/>
        <v>0</v>
      </c>
      <c r="P51">
        <f t="shared" si="11"/>
        <v>0</v>
      </c>
      <c r="Q51" s="23">
        <f t="shared" si="8"/>
        <v>0.86411047961075205</v>
      </c>
      <c r="R51">
        <f>Q50*Assumptions!$B$11/$E$2*N51</f>
        <v>0</v>
      </c>
      <c r="S51">
        <f>Q50*Assumptions!$B$13/$E$2*N51</f>
        <v>0</v>
      </c>
      <c r="T51">
        <f>L51*Assumptions!$B$15</f>
        <v>3.6608459231142003</v>
      </c>
      <c r="U51">
        <f>S51*Assumptions!$B$17</f>
        <v>0</v>
      </c>
      <c r="V51">
        <f>HLOOKUP(B51,Assumptions!$A$26:$D$27,2,TRUE)</f>
        <v>0</v>
      </c>
      <c r="W51">
        <f t="shared" si="12"/>
        <v>0</v>
      </c>
      <c r="X51">
        <f t="shared" si="13"/>
        <v>0.91666666666666607</v>
      </c>
      <c r="Y51">
        <f>IF(B51&gt;$M$2,0,IF(X52=0,0,(1-X52)*Assumptions!$B$11/$E$2*(1-Assumptions!$B$30)))</f>
        <v>0</v>
      </c>
      <c r="Z51">
        <f>(R51-S51)*(1-Assumptions!$B$30)-U51+Y50*Q50</f>
        <v>13.829672576090118</v>
      </c>
      <c r="AA51">
        <f>AA50*(1+Assumptions!$B$36)^(1/12)</f>
        <v>1.0337239520556951</v>
      </c>
      <c r="AB51" s="20">
        <f>IF(B51&gt;$M$2,0,AA50*Assumptions!$B$32/12*Q50+Z51*Assumptions!$B$34/12)</f>
        <v>11.439269412687693</v>
      </c>
      <c r="AC51" s="21">
        <f>1/(1+HLOOKUP(YEAR(A51),Assumptions!$A$41:$AL$43,3,TRUE))^(1/12)</f>
        <v>0.99873250460197693</v>
      </c>
      <c r="AD51">
        <f t="shared" si="9"/>
        <v>0</v>
      </c>
      <c r="AE51">
        <f t="shared" si="14"/>
        <v>3.6608459231142003</v>
      </c>
    </row>
    <row r="52" spans="1:31" x14ac:dyDescent="0.2">
      <c r="A52" s="2">
        <f t="shared" si="15"/>
        <v>44347</v>
      </c>
      <c r="B52">
        <f t="shared" si="1"/>
        <v>121</v>
      </c>
      <c r="C52">
        <f t="shared" si="2"/>
        <v>10</v>
      </c>
      <c r="D52">
        <f t="shared" si="3"/>
        <v>1</v>
      </c>
      <c r="E52">
        <f t="shared" si="4"/>
        <v>65</v>
      </c>
      <c r="F52">
        <f t="shared" si="5"/>
        <v>57</v>
      </c>
      <c r="G52">
        <f>IF(C52&gt;=$L$2,0,VLOOKUP($E52,'Mortality Table'!$A$3:$C$128,2+H$2,FALSE))</f>
        <v>0</v>
      </c>
      <c r="H52">
        <f>IF(C52&gt;=$L$2,0,VLOOKUP($E52,'Mortality Table'!$A$3:$C$128,2+I$2,FALSE))</f>
        <v>0</v>
      </c>
      <c r="I52" s="17">
        <f>G52*Assumptions!$B$1</f>
        <v>0</v>
      </c>
      <c r="J52" s="17">
        <f>H52*Assumptions!$B$1</f>
        <v>0</v>
      </c>
      <c r="K52">
        <f t="shared" si="6"/>
        <v>0</v>
      </c>
      <c r="L52">
        <f t="shared" si="10"/>
        <v>0</v>
      </c>
      <c r="M52">
        <f>HLOOKUP(C52,Assumptions!$A$6:$J$7,2,TRUE)</f>
        <v>2.6499999999999999E-2</v>
      </c>
      <c r="N52" s="23">
        <f t="shared" si="0"/>
        <v>0</v>
      </c>
      <c r="O52" s="23">
        <f t="shared" si="7"/>
        <v>0</v>
      </c>
      <c r="P52">
        <f t="shared" si="11"/>
        <v>0</v>
      </c>
      <c r="Q52" s="23">
        <f t="shared" si="8"/>
        <v>0</v>
      </c>
      <c r="R52">
        <f>Q51*Assumptions!$B$11/$E$2*N52</f>
        <v>0</v>
      </c>
      <c r="S52">
        <f>Q51*Assumptions!$B$13/$E$2*N52</f>
        <v>0</v>
      </c>
      <c r="T52">
        <f>L52*Assumptions!$B$15</f>
        <v>0</v>
      </c>
      <c r="U52">
        <f>S52*Assumptions!$B$17</f>
        <v>0</v>
      </c>
      <c r="V52">
        <f>HLOOKUP(B52,Assumptions!$A$26:$D$27,2,TRUE)</f>
        <v>0</v>
      </c>
      <c r="W52">
        <f t="shared" si="12"/>
        <v>0</v>
      </c>
      <c r="X52">
        <f t="shared" si="13"/>
        <v>0</v>
      </c>
      <c r="Y52">
        <f>IF(B52&gt;$M$2,0,IF(X53=0,0,(1-X53)*Assumptions!$B$11/$E$2*(1-Assumptions!$B$30)))</f>
        <v>0</v>
      </c>
      <c r="Z52">
        <f>(R52-S52)*(1-Assumptions!$B$30)-U52+Y51*Q51</f>
        <v>0</v>
      </c>
      <c r="AA52">
        <f>AA51*(1+Assumptions!$B$36)^(1/12)</f>
        <v>1.0345814654736378</v>
      </c>
      <c r="AB52" s="20">
        <f>IF(B52&gt;$M$2,0,AA51*Assumptions!$B$32/12*Q51+Z52*Assumptions!$B$34/12)</f>
        <v>0</v>
      </c>
      <c r="AC52" s="21">
        <f>1/(1+HLOOKUP(YEAR(A52),Assumptions!$A$41:$AL$43,3,TRUE))^(1/12)</f>
        <v>0.99873250460197693</v>
      </c>
      <c r="AD52">
        <f t="shared" si="9"/>
        <v>0</v>
      </c>
      <c r="AE52">
        <f t="shared" si="14"/>
        <v>0</v>
      </c>
    </row>
    <row r="53" spans="1:31" x14ac:dyDescent="0.2">
      <c r="A53" s="2">
        <f t="shared" si="15"/>
        <v>44377</v>
      </c>
      <c r="B53">
        <f t="shared" si="1"/>
        <v>122</v>
      </c>
      <c r="C53">
        <f t="shared" si="2"/>
        <v>10.083333333333334</v>
      </c>
      <c r="D53">
        <f t="shared" si="3"/>
        <v>0</v>
      </c>
      <c r="E53">
        <f t="shared" si="4"/>
        <v>65</v>
      </c>
      <c r="F53">
        <f t="shared" si="5"/>
        <v>57</v>
      </c>
      <c r="G53">
        <f>IF(C53&gt;=$L$2,0,VLOOKUP($E53,'Mortality Table'!$A$3:$C$128,2+H$2,FALSE))</f>
        <v>0</v>
      </c>
      <c r="H53">
        <f>IF(C53&gt;=$L$2,0,VLOOKUP($E53,'Mortality Table'!$A$3:$C$128,2+I$2,FALSE))</f>
        <v>0</v>
      </c>
      <c r="I53" s="17">
        <f>G53*Assumptions!$B$1</f>
        <v>0</v>
      </c>
      <c r="J53" s="17">
        <f>H53*Assumptions!$B$1</f>
        <v>0</v>
      </c>
      <c r="K53">
        <f t="shared" si="6"/>
        <v>0</v>
      </c>
      <c r="L53">
        <f t="shared" si="10"/>
        <v>0</v>
      </c>
      <c r="M53">
        <f>HLOOKUP(C53,Assumptions!$A$6:$J$7,2,TRUE)</f>
        <v>2.6499999999999999E-2</v>
      </c>
      <c r="N53" s="23">
        <f t="shared" si="0"/>
        <v>0</v>
      </c>
      <c r="O53" s="23">
        <f t="shared" si="7"/>
        <v>0</v>
      </c>
      <c r="P53">
        <f t="shared" si="11"/>
        <v>0</v>
      </c>
      <c r="Q53" s="23">
        <f t="shared" si="8"/>
        <v>0</v>
      </c>
      <c r="R53">
        <f>Q52*Assumptions!$B$11/$E$2*N53</f>
        <v>0</v>
      </c>
      <c r="S53">
        <f>Q52*Assumptions!$B$13/$E$2*N53</f>
        <v>0</v>
      </c>
      <c r="T53">
        <f>L53*Assumptions!$B$15</f>
        <v>0</v>
      </c>
      <c r="U53">
        <f>S53*Assumptions!$B$17</f>
        <v>0</v>
      </c>
      <c r="V53">
        <f>HLOOKUP(B53,Assumptions!$A$26:$D$27,2,TRUE)</f>
        <v>0</v>
      </c>
      <c r="W53">
        <f t="shared" si="12"/>
        <v>0</v>
      </c>
      <c r="X53">
        <f t="shared" si="13"/>
        <v>8.3333333333333925E-2</v>
      </c>
      <c r="Y53">
        <f>IF(B53&gt;$M$2,0,IF(X54=0,0,(1-X54)*Assumptions!$B$11/$E$2*(1-Assumptions!$B$30)))</f>
        <v>0</v>
      </c>
      <c r="Z53">
        <f>(R53-S53)*(1-Assumptions!$B$30)-U53+Y52*Q52</f>
        <v>0</v>
      </c>
      <c r="AA53">
        <f>AA52*(1+Assumptions!$B$36)^(1/12)</f>
        <v>1.0354396902316443</v>
      </c>
      <c r="AB53" s="20">
        <f>IF(B53&gt;$M$2,0,AA52*Assumptions!$B$32/12*Q52+Z53*Assumptions!$B$34/12)</f>
        <v>0</v>
      </c>
      <c r="AC53" s="21">
        <f>1/(1+HLOOKUP(YEAR(A53),Assumptions!$A$41:$AL$43,3,TRUE))^(1/12)</f>
        <v>0.99873250460197693</v>
      </c>
      <c r="AD53">
        <f t="shared" si="9"/>
        <v>0</v>
      </c>
      <c r="AE53">
        <f t="shared" si="14"/>
        <v>0</v>
      </c>
    </row>
    <row r="54" spans="1:31" x14ac:dyDescent="0.2">
      <c r="A54" s="2">
        <f t="shared" si="15"/>
        <v>44408</v>
      </c>
      <c r="B54">
        <f t="shared" si="1"/>
        <v>123</v>
      </c>
      <c r="C54">
        <f t="shared" si="2"/>
        <v>10.166666666666666</v>
      </c>
      <c r="D54">
        <f t="shared" si="3"/>
        <v>0</v>
      </c>
      <c r="E54">
        <f t="shared" si="4"/>
        <v>65</v>
      </c>
      <c r="F54">
        <f t="shared" si="5"/>
        <v>57</v>
      </c>
      <c r="G54">
        <f>IF(C54&gt;=$L$2,0,VLOOKUP($E54,'Mortality Table'!$A$3:$C$128,2+H$2,FALSE))</f>
        <v>0</v>
      </c>
      <c r="H54">
        <f>IF(C54&gt;=$L$2,0,VLOOKUP($E54,'Mortality Table'!$A$3:$C$128,2+I$2,FALSE))</f>
        <v>0</v>
      </c>
      <c r="I54" s="17">
        <f>G54*Assumptions!$B$1</f>
        <v>0</v>
      </c>
      <c r="J54" s="17">
        <f>H54*Assumptions!$B$1</f>
        <v>0</v>
      </c>
      <c r="K54">
        <f t="shared" si="6"/>
        <v>0</v>
      </c>
      <c r="L54">
        <f t="shared" si="10"/>
        <v>0</v>
      </c>
      <c r="M54">
        <f>HLOOKUP(C54,Assumptions!$A$6:$J$7,2,TRUE)</f>
        <v>2.6499999999999999E-2</v>
      </c>
      <c r="N54" s="23">
        <f t="shared" si="0"/>
        <v>0</v>
      </c>
      <c r="O54" s="23">
        <f t="shared" si="7"/>
        <v>0</v>
      </c>
      <c r="P54">
        <f t="shared" si="11"/>
        <v>0</v>
      </c>
      <c r="Q54" s="23">
        <f t="shared" si="8"/>
        <v>0</v>
      </c>
      <c r="R54">
        <f>Q53*Assumptions!$B$11/$E$2*N54</f>
        <v>0</v>
      </c>
      <c r="S54">
        <f>Q53*Assumptions!$B$13/$E$2*N54</f>
        <v>0</v>
      </c>
      <c r="T54">
        <f>L54*Assumptions!$B$15</f>
        <v>0</v>
      </c>
      <c r="U54">
        <f>S54*Assumptions!$B$17</f>
        <v>0</v>
      </c>
      <c r="V54">
        <f>HLOOKUP(B54,Assumptions!$A$26:$D$27,2,TRUE)</f>
        <v>0</v>
      </c>
      <c r="W54">
        <f t="shared" si="12"/>
        <v>0</v>
      </c>
      <c r="X54">
        <f t="shared" si="13"/>
        <v>0.16666666666666607</v>
      </c>
      <c r="Y54">
        <f>IF(B54&gt;$M$2,0,IF(X55=0,0,(1-X55)*Assumptions!$B$11/$E$2*(1-Assumptions!$B$30)))</f>
        <v>0</v>
      </c>
      <c r="Z54">
        <f>(R54-S54)*(1-Assumptions!$B$30)-U54+Y53*Q53</f>
        <v>0</v>
      </c>
      <c r="AA54">
        <f>AA53*(1+Assumptions!$B$36)^(1/12)</f>
        <v>1.0362986269197982</v>
      </c>
      <c r="AB54" s="20">
        <f>IF(B54&gt;$M$2,0,AA53*Assumptions!$B$32/12*Q53+Z54*Assumptions!$B$34/12)</f>
        <v>0</v>
      </c>
      <c r="AC54" s="21">
        <f>1/(1+HLOOKUP(YEAR(A54),Assumptions!$A$41:$AL$43,3,TRUE))^(1/12)</f>
        <v>0.99873250460197693</v>
      </c>
      <c r="AD54">
        <f t="shared" si="9"/>
        <v>0</v>
      </c>
      <c r="AE54">
        <f t="shared" si="14"/>
        <v>0</v>
      </c>
    </row>
    <row r="55" spans="1:31" x14ac:dyDescent="0.2">
      <c r="A55" s="2">
        <f t="shared" si="15"/>
        <v>44439</v>
      </c>
      <c r="B55">
        <f t="shared" si="1"/>
        <v>124</v>
      </c>
      <c r="C55">
        <f t="shared" si="2"/>
        <v>10.25</v>
      </c>
      <c r="D55">
        <f t="shared" si="3"/>
        <v>0</v>
      </c>
      <c r="E55">
        <f t="shared" si="4"/>
        <v>65</v>
      </c>
      <c r="F55">
        <f t="shared" si="5"/>
        <v>57</v>
      </c>
      <c r="G55">
        <f>IF(C55&gt;=$L$2,0,VLOOKUP($E55,'Mortality Table'!$A$3:$C$128,2+H$2,FALSE))</f>
        <v>0</v>
      </c>
      <c r="H55">
        <f>IF(C55&gt;=$L$2,0,VLOOKUP($E55,'Mortality Table'!$A$3:$C$128,2+I$2,FALSE))</f>
        <v>0</v>
      </c>
      <c r="I55" s="17">
        <f>G55*Assumptions!$B$1</f>
        <v>0</v>
      </c>
      <c r="J55" s="17">
        <f>H55*Assumptions!$B$1</f>
        <v>0</v>
      </c>
      <c r="K55">
        <f t="shared" si="6"/>
        <v>0</v>
      </c>
      <c r="L55">
        <f t="shared" si="10"/>
        <v>0</v>
      </c>
      <c r="M55">
        <f>HLOOKUP(C55,Assumptions!$A$6:$J$7,2,TRUE)</f>
        <v>2.6499999999999999E-2</v>
      </c>
      <c r="N55" s="23">
        <f t="shared" si="0"/>
        <v>0</v>
      </c>
      <c r="O55" s="23">
        <f t="shared" si="7"/>
        <v>0</v>
      </c>
      <c r="P55">
        <f t="shared" si="11"/>
        <v>0</v>
      </c>
      <c r="Q55" s="23">
        <f t="shared" si="8"/>
        <v>0</v>
      </c>
      <c r="R55">
        <f>Q54*Assumptions!$B$11/$E$2*N55</f>
        <v>0</v>
      </c>
      <c r="S55">
        <f>Q54*Assumptions!$B$13/$E$2*N55</f>
        <v>0</v>
      </c>
      <c r="T55">
        <f>L55*Assumptions!$B$15</f>
        <v>0</v>
      </c>
      <c r="U55">
        <f>S55*Assumptions!$B$17</f>
        <v>0</v>
      </c>
      <c r="V55">
        <f>HLOOKUP(B55,Assumptions!$A$26:$D$27,2,TRUE)</f>
        <v>0</v>
      </c>
      <c r="W55">
        <f t="shared" si="12"/>
        <v>0</v>
      </c>
      <c r="X55">
        <f t="shared" si="13"/>
        <v>0.25</v>
      </c>
      <c r="Y55">
        <f>IF(B55&gt;$M$2,0,IF(X56=0,0,(1-X56)*Assumptions!$B$11/$E$2*(1-Assumptions!$B$30)))</f>
        <v>0</v>
      </c>
      <c r="Z55">
        <f>(R55-S55)*(1-Assumptions!$B$30)-U55+Y54*Q54</f>
        <v>0</v>
      </c>
      <c r="AA55">
        <f>AA54*(1+Assumptions!$B$36)^(1/12)</f>
        <v>1.0371582761286728</v>
      </c>
      <c r="AB55" s="20">
        <f>IF(B55&gt;$M$2,0,AA54*Assumptions!$B$32/12*Q54+Z55*Assumptions!$B$34/12)</f>
        <v>0</v>
      </c>
      <c r="AC55" s="21">
        <f>1/(1+HLOOKUP(YEAR(A55),Assumptions!$A$41:$AL$43,3,TRUE))^(1/12)</f>
        <v>0.99873250460197693</v>
      </c>
      <c r="AD55">
        <f t="shared" si="9"/>
        <v>0</v>
      </c>
      <c r="AE55">
        <f t="shared" si="14"/>
        <v>0</v>
      </c>
    </row>
    <row r="56" spans="1:31" x14ac:dyDescent="0.2">
      <c r="A56" s="2">
        <f t="shared" si="15"/>
        <v>44469</v>
      </c>
      <c r="B56">
        <f t="shared" si="1"/>
        <v>125</v>
      </c>
      <c r="C56">
        <f t="shared" si="2"/>
        <v>10.333333333333334</v>
      </c>
      <c r="D56">
        <f t="shared" si="3"/>
        <v>0</v>
      </c>
      <c r="E56">
        <f t="shared" si="4"/>
        <v>65</v>
      </c>
      <c r="F56">
        <f t="shared" si="5"/>
        <v>57</v>
      </c>
      <c r="G56">
        <f>IF(C56&gt;=$L$2,0,VLOOKUP($E56,'Mortality Table'!$A$3:$C$128,2+H$2,FALSE))</f>
        <v>0</v>
      </c>
      <c r="H56">
        <f>IF(C56&gt;=$L$2,0,VLOOKUP($E56,'Mortality Table'!$A$3:$C$128,2+I$2,FALSE))</f>
        <v>0</v>
      </c>
      <c r="I56" s="17">
        <f>G56*Assumptions!$B$1</f>
        <v>0</v>
      </c>
      <c r="J56" s="17">
        <f>H56*Assumptions!$B$1</f>
        <v>0</v>
      </c>
      <c r="K56">
        <f t="shared" si="6"/>
        <v>0</v>
      </c>
      <c r="L56">
        <f t="shared" si="10"/>
        <v>0</v>
      </c>
      <c r="M56">
        <f>HLOOKUP(C56,Assumptions!$A$6:$J$7,2,TRUE)</f>
        <v>2.6499999999999999E-2</v>
      </c>
      <c r="N56" s="23">
        <f t="shared" si="0"/>
        <v>0</v>
      </c>
      <c r="O56" s="23">
        <f t="shared" si="7"/>
        <v>0</v>
      </c>
      <c r="P56">
        <f t="shared" si="11"/>
        <v>0</v>
      </c>
      <c r="Q56" s="23">
        <f t="shared" si="8"/>
        <v>0</v>
      </c>
      <c r="R56">
        <f>Q55*Assumptions!$B$11/$E$2*N56</f>
        <v>0</v>
      </c>
      <c r="S56">
        <f>Q55*Assumptions!$B$13/$E$2*N56</f>
        <v>0</v>
      </c>
      <c r="T56">
        <f>L56*Assumptions!$B$15</f>
        <v>0</v>
      </c>
      <c r="U56">
        <f>S56*Assumptions!$B$17</f>
        <v>0</v>
      </c>
      <c r="V56">
        <f>HLOOKUP(B56,Assumptions!$A$26:$D$27,2,TRUE)</f>
        <v>0</v>
      </c>
      <c r="W56">
        <f t="shared" si="12"/>
        <v>0</v>
      </c>
      <c r="X56">
        <f t="shared" si="13"/>
        <v>0.33333333333333393</v>
      </c>
      <c r="Y56">
        <f>IF(B56&gt;$M$2,0,IF(X57=0,0,(1-X57)*Assumptions!$B$11/$E$2*(1-Assumptions!$B$30)))</f>
        <v>0</v>
      </c>
      <c r="Z56">
        <f>(R56-S56)*(1-Assumptions!$B$30)-U56+Y55*Q55</f>
        <v>0</v>
      </c>
      <c r="AA56">
        <f>AA55*(1+Assumptions!$B$36)^(1/12)</f>
        <v>1.0380186384493311</v>
      </c>
      <c r="AB56" s="20">
        <f>IF(B56&gt;$M$2,0,AA55*Assumptions!$B$32/12*Q55+Z56*Assumptions!$B$34/12)</f>
        <v>0</v>
      </c>
      <c r="AC56" s="21">
        <f>1/(1+HLOOKUP(YEAR(A56),Assumptions!$A$41:$AL$43,3,TRUE))^(1/12)</f>
        <v>0.99873250460197693</v>
      </c>
      <c r="AD56">
        <f t="shared" si="9"/>
        <v>0</v>
      </c>
      <c r="AE56">
        <f t="shared" si="14"/>
        <v>0</v>
      </c>
    </row>
    <row r="57" spans="1:31" x14ac:dyDescent="0.2">
      <c r="A57" s="2">
        <f t="shared" si="15"/>
        <v>44500</v>
      </c>
      <c r="B57">
        <f t="shared" si="1"/>
        <v>126</v>
      </c>
      <c r="C57">
        <f t="shared" si="2"/>
        <v>10.416666666666666</v>
      </c>
      <c r="D57">
        <f t="shared" si="3"/>
        <v>0</v>
      </c>
      <c r="E57">
        <f t="shared" si="4"/>
        <v>65</v>
      </c>
      <c r="F57">
        <f t="shared" si="5"/>
        <v>57</v>
      </c>
      <c r="G57">
        <f>IF(C57&gt;=$L$2,0,VLOOKUP($E57,'Mortality Table'!$A$3:$C$128,2+H$2,FALSE))</f>
        <v>0</v>
      </c>
      <c r="H57">
        <f>IF(C57&gt;=$L$2,0,VLOOKUP($E57,'Mortality Table'!$A$3:$C$128,2+I$2,FALSE))</f>
        <v>0</v>
      </c>
      <c r="I57" s="17">
        <f>G57*Assumptions!$B$1</f>
        <v>0</v>
      </c>
      <c r="J57" s="17">
        <f>H57*Assumptions!$B$1</f>
        <v>0</v>
      </c>
      <c r="K57">
        <f t="shared" si="6"/>
        <v>0</v>
      </c>
      <c r="L57">
        <f t="shared" si="10"/>
        <v>0</v>
      </c>
      <c r="M57">
        <f>HLOOKUP(C57,Assumptions!$A$6:$J$7,2,TRUE)</f>
        <v>2.6499999999999999E-2</v>
      </c>
      <c r="N57" s="23">
        <f t="shared" si="0"/>
        <v>0</v>
      </c>
      <c r="O57" s="23">
        <f t="shared" si="7"/>
        <v>0</v>
      </c>
      <c r="P57">
        <f t="shared" si="11"/>
        <v>0</v>
      </c>
      <c r="Q57" s="23">
        <f t="shared" si="8"/>
        <v>0</v>
      </c>
      <c r="R57">
        <f>Q56*Assumptions!$B$11/$E$2*N57</f>
        <v>0</v>
      </c>
      <c r="S57">
        <f>Q56*Assumptions!$B$13/$E$2*N57</f>
        <v>0</v>
      </c>
      <c r="T57">
        <f>L57*Assumptions!$B$15</f>
        <v>0</v>
      </c>
      <c r="U57">
        <f>S57*Assumptions!$B$17</f>
        <v>0</v>
      </c>
      <c r="V57">
        <f>HLOOKUP(B57,Assumptions!$A$26:$D$27,2,TRUE)</f>
        <v>0</v>
      </c>
      <c r="W57">
        <f t="shared" si="12"/>
        <v>0</v>
      </c>
      <c r="X57">
        <f t="shared" si="13"/>
        <v>0.41666666666666607</v>
      </c>
      <c r="Y57">
        <f>IF(B57&gt;$M$2,0,IF(X58=0,0,(1-X58)*Assumptions!$B$11/$E$2*(1-Assumptions!$B$30)))</f>
        <v>0</v>
      </c>
      <c r="Z57">
        <f>(R57-S57)*(1-Assumptions!$B$30)-U57+Y56*Q56</f>
        <v>0</v>
      </c>
      <c r="AA57">
        <f>AA56*(1+Assumptions!$B$36)^(1/12)</f>
        <v>1.0388797144733264</v>
      </c>
      <c r="AB57" s="20">
        <f>IF(B57&gt;$M$2,0,AA56*Assumptions!$B$32/12*Q56+Z57*Assumptions!$B$34/12)</f>
        <v>0</v>
      </c>
      <c r="AC57" s="21">
        <f>1/(1+HLOOKUP(YEAR(A57),Assumptions!$A$41:$AL$43,3,TRUE))^(1/12)</f>
        <v>0.99873250460197693</v>
      </c>
      <c r="AD57">
        <f t="shared" si="9"/>
        <v>0</v>
      </c>
      <c r="AE57">
        <f t="shared" si="14"/>
        <v>0</v>
      </c>
    </row>
    <row r="58" spans="1:31" x14ac:dyDescent="0.2">
      <c r="A58" s="2">
        <f t="shared" si="15"/>
        <v>44530</v>
      </c>
      <c r="B58">
        <f t="shared" si="1"/>
        <v>127</v>
      </c>
      <c r="C58">
        <f t="shared" si="2"/>
        <v>10.5</v>
      </c>
      <c r="D58">
        <f t="shared" si="3"/>
        <v>0</v>
      </c>
      <c r="E58">
        <f t="shared" si="4"/>
        <v>65</v>
      </c>
      <c r="F58">
        <f t="shared" si="5"/>
        <v>57</v>
      </c>
      <c r="G58">
        <f>IF(C58&gt;=$L$2,0,VLOOKUP($E58,'Mortality Table'!$A$3:$C$128,2+H$2,FALSE))</f>
        <v>0</v>
      </c>
      <c r="H58">
        <f>IF(C58&gt;=$L$2,0,VLOOKUP($E58,'Mortality Table'!$A$3:$C$128,2+I$2,FALSE))</f>
        <v>0</v>
      </c>
      <c r="I58" s="17">
        <f>G58*Assumptions!$B$1</f>
        <v>0</v>
      </c>
      <c r="J58" s="17">
        <f>H58*Assumptions!$B$1</f>
        <v>0</v>
      </c>
      <c r="K58">
        <f t="shared" si="6"/>
        <v>0</v>
      </c>
      <c r="L58">
        <f t="shared" si="10"/>
        <v>0</v>
      </c>
      <c r="M58">
        <f>HLOOKUP(C58,Assumptions!$A$6:$J$7,2,TRUE)</f>
        <v>2.6499999999999999E-2</v>
      </c>
      <c r="N58" s="23">
        <f t="shared" si="0"/>
        <v>0</v>
      </c>
      <c r="O58" s="23">
        <f t="shared" si="7"/>
        <v>0</v>
      </c>
      <c r="P58">
        <f t="shared" si="11"/>
        <v>0</v>
      </c>
      <c r="Q58" s="23">
        <f t="shared" si="8"/>
        <v>0</v>
      </c>
      <c r="R58">
        <f>Q57*Assumptions!$B$11/$E$2*N58</f>
        <v>0</v>
      </c>
      <c r="S58">
        <f>Q57*Assumptions!$B$13/$E$2*N58</f>
        <v>0</v>
      </c>
      <c r="T58">
        <f>L58*Assumptions!$B$15</f>
        <v>0</v>
      </c>
      <c r="U58">
        <f>S58*Assumptions!$B$17</f>
        <v>0</v>
      </c>
      <c r="V58">
        <f>HLOOKUP(B58,Assumptions!$A$26:$D$27,2,TRUE)</f>
        <v>0</v>
      </c>
      <c r="W58">
        <f t="shared" si="12"/>
        <v>0</v>
      </c>
      <c r="X58">
        <f t="shared" si="13"/>
        <v>0.5</v>
      </c>
      <c r="Y58">
        <f>IF(B58&gt;$M$2,0,IF(X59=0,0,(1-X59)*Assumptions!$B$11/$E$2*(1-Assumptions!$B$30)))</f>
        <v>0</v>
      </c>
      <c r="Z58">
        <f>(R58-S58)*(1-Assumptions!$B$30)-U58+Y57*Q57</f>
        <v>0</v>
      </c>
      <c r="AA58">
        <f>AA57*(1+Assumptions!$B$36)^(1/12)</f>
        <v>1.039741504792703</v>
      </c>
      <c r="AB58" s="20">
        <f>IF(B58&gt;$M$2,0,AA57*Assumptions!$B$32/12*Q57+Z58*Assumptions!$B$34/12)</f>
        <v>0</v>
      </c>
      <c r="AC58" s="21">
        <f>1/(1+HLOOKUP(YEAR(A58),Assumptions!$A$41:$AL$43,3,TRUE))^(1/12)</f>
        <v>0.99873250460197693</v>
      </c>
      <c r="AD58">
        <f t="shared" si="9"/>
        <v>0</v>
      </c>
      <c r="AE58">
        <f t="shared" si="14"/>
        <v>0</v>
      </c>
    </row>
    <row r="59" spans="1:31" x14ac:dyDescent="0.2">
      <c r="A59" s="2">
        <f t="shared" si="15"/>
        <v>44561</v>
      </c>
      <c r="B59">
        <f t="shared" si="1"/>
        <v>128</v>
      </c>
      <c r="C59">
        <f t="shared" si="2"/>
        <v>10.583333333333334</v>
      </c>
      <c r="D59">
        <f t="shared" si="3"/>
        <v>0</v>
      </c>
      <c r="E59">
        <f t="shared" si="4"/>
        <v>65</v>
      </c>
      <c r="F59">
        <f t="shared" si="5"/>
        <v>57</v>
      </c>
      <c r="G59">
        <f>IF(C59&gt;=$L$2,0,VLOOKUP($E59,'Mortality Table'!$A$3:$C$128,2+H$2,FALSE))</f>
        <v>0</v>
      </c>
      <c r="H59">
        <f>IF(C59&gt;=$L$2,0,VLOOKUP($E59,'Mortality Table'!$A$3:$C$128,2+I$2,FALSE))</f>
        <v>0</v>
      </c>
      <c r="I59" s="17">
        <f>G59*Assumptions!$B$1</f>
        <v>0</v>
      </c>
      <c r="J59" s="17">
        <f>H59*Assumptions!$B$1</f>
        <v>0</v>
      </c>
      <c r="K59">
        <f t="shared" si="6"/>
        <v>0</v>
      </c>
      <c r="L59">
        <f t="shared" si="10"/>
        <v>0</v>
      </c>
      <c r="M59">
        <f>HLOOKUP(C59,Assumptions!$A$6:$J$7,2,TRUE)</f>
        <v>2.6499999999999999E-2</v>
      </c>
      <c r="N59" s="23">
        <f t="shared" si="0"/>
        <v>0</v>
      </c>
      <c r="O59" s="23">
        <f t="shared" si="7"/>
        <v>0</v>
      </c>
      <c r="P59">
        <f t="shared" si="11"/>
        <v>0</v>
      </c>
      <c r="Q59" s="23">
        <f t="shared" si="8"/>
        <v>0</v>
      </c>
      <c r="R59">
        <f>Q58*Assumptions!$B$11/$E$2*N59</f>
        <v>0</v>
      </c>
      <c r="S59">
        <f>Q58*Assumptions!$B$13/$E$2*N59</f>
        <v>0</v>
      </c>
      <c r="T59">
        <f>L59*Assumptions!$B$15</f>
        <v>0</v>
      </c>
      <c r="U59">
        <f>S59*Assumptions!$B$17</f>
        <v>0</v>
      </c>
      <c r="V59">
        <f>HLOOKUP(B59,Assumptions!$A$26:$D$27,2,TRUE)</f>
        <v>0</v>
      </c>
      <c r="W59">
        <f t="shared" si="12"/>
        <v>0</v>
      </c>
      <c r="X59">
        <f t="shared" si="13"/>
        <v>0.58333333333333393</v>
      </c>
      <c r="Y59">
        <f>IF(B59&gt;$M$2,0,IF(X60=0,0,(1-X60)*Assumptions!$B$11/$E$2*(1-Assumptions!$B$30)))</f>
        <v>0</v>
      </c>
      <c r="Z59">
        <f>(R59-S59)*(1-Assumptions!$B$30)-U59+Y58*Q58</f>
        <v>0</v>
      </c>
      <c r="AA59">
        <f>AA58*(1+Assumptions!$B$36)^(1/12)</f>
        <v>1.0406040099999962</v>
      </c>
      <c r="AB59" s="20">
        <f>IF(B59&gt;$M$2,0,AA58*Assumptions!$B$32/12*Q58+Z59*Assumptions!$B$34/12)</f>
        <v>0</v>
      </c>
      <c r="AC59" s="21">
        <f>1/(1+HLOOKUP(YEAR(A59),Assumptions!$A$41:$AL$43,3,TRUE))^(1/12)</f>
        <v>0.99873250460197693</v>
      </c>
      <c r="AD59">
        <f t="shared" si="9"/>
        <v>0</v>
      </c>
      <c r="AE59">
        <f t="shared" si="14"/>
        <v>0</v>
      </c>
    </row>
    <row r="60" spans="1:31" x14ac:dyDescent="0.2">
      <c r="A60" s="2">
        <f t="shared" si="15"/>
        <v>44592</v>
      </c>
      <c r="B60">
        <f t="shared" si="1"/>
        <v>129</v>
      </c>
      <c r="C60">
        <f t="shared" si="2"/>
        <v>10.666666666666666</v>
      </c>
      <c r="D60">
        <f t="shared" si="3"/>
        <v>0</v>
      </c>
      <c r="E60">
        <f t="shared" si="4"/>
        <v>65</v>
      </c>
      <c r="F60">
        <f t="shared" si="5"/>
        <v>57</v>
      </c>
      <c r="G60">
        <f>IF(C60&gt;=$L$2,0,VLOOKUP($E60,'Mortality Table'!$A$3:$C$128,2+H$2,FALSE))</f>
        <v>0</v>
      </c>
      <c r="H60">
        <f>IF(C60&gt;=$L$2,0,VLOOKUP($E60,'Mortality Table'!$A$3:$C$128,2+I$2,FALSE))</f>
        <v>0</v>
      </c>
      <c r="I60" s="17">
        <f>G60*Assumptions!$B$1</f>
        <v>0</v>
      </c>
      <c r="J60" s="17">
        <f>H60*Assumptions!$B$1</f>
        <v>0</v>
      </c>
      <c r="K60">
        <f t="shared" si="6"/>
        <v>0</v>
      </c>
      <c r="L60">
        <f t="shared" si="10"/>
        <v>0</v>
      </c>
      <c r="M60">
        <f>HLOOKUP(C60,Assumptions!$A$6:$J$7,2,TRUE)</f>
        <v>2.6499999999999999E-2</v>
      </c>
      <c r="N60" s="23">
        <f t="shared" si="0"/>
        <v>0</v>
      </c>
      <c r="O60" s="23">
        <f t="shared" si="7"/>
        <v>0</v>
      </c>
      <c r="P60">
        <f t="shared" si="11"/>
        <v>0</v>
      </c>
      <c r="Q60" s="23">
        <f t="shared" si="8"/>
        <v>0</v>
      </c>
      <c r="R60">
        <f>Q59*Assumptions!$B$11/$E$2*N60</f>
        <v>0</v>
      </c>
      <c r="S60">
        <f>Q59*Assumptions!$B$13/$E$2*N60</f>
        <v>0</v>
      </c>
      <c r="T60">
        <f>L60*Assumptions!$B$15</f>
        <v>0</v>
      </c>
      <c r="U60">
        <f>S60*Assumptions!$B$17</f>
        <v>0</v>
      </c>
      <c r="V60">
        <f>HLOOKUP(B60,Assumptions!$A$26:$D$27,2,TRUE)</f>
        <v>0</v>
      </c>
      <c r="W60">
        <f t="shared" si="12"/>
        <v>0</v>
      </c>
      <c r="X60">
        <f t="shared" si="13"/>
        <v>0.66666666666666607</v>
      </c>
      <c r="Y60">
        <f>IF(B60&gt;$M$2,0,IF(X61=0,0,(1-X61)*Assumptions!$B$11/$E$2*(1-Assumptions!$B$30)))</f>
        <v>0</v>
      </c>
      <c r="Z60">
        <f>(R60-S60)*(1-Assumptions!$B$30)-U60+Y59*Q59</f>
        <v>0</v>
      </c>
      <c r="AA60">
        <f>AA59*(1+Assumptions!$B$36)^(1/12)</f>
        <v>1.0414672306882327</v>
      </c>
      <c r="AB60" s="20">
        <f>IF(B60&gt;$M$2,0,AA59*Assumptions!$B$32/12*Q59+Z60*Assumptions!$B$34/12)</f>
        <v>0</v>
      </c>
      <c r="AC60" s="21">
        <f>1/(1+HLOOKUP(YEAR(A60),Assumptions!$A$41:$AL$43,3,TRUE))^(1/12)</f>
        <v>0.99874250566702261</v>
      </c>
      <c r="AD60">
        <f t="shared" si="9"/>
        <v>0</v>
      </c>
      <c r="AE60">
        <f t="shared" si="14"/>
        <v>0</v>
      </c>
    </row>
    <row r="61" spans="1:31" x14ac:dyDescent="0.2">
      <c r="A61" s="2">
        <f t="shared" si="15"/>
        <v>44620</v>
      </c>
      <c r="B61">
        <f t="shared" si="1"/>
        <v>130</v>
      </c>
      <c r="C61">
        <f t="shared" si="2"/>
        <v>10.75</v>
      </c>
      <c r="D61">
        <f t="shared" si="3"/>
        <v>0</v>
      </c>
      <c r="E61">
        <f t="shared" si="4"/>
        <v>65</v>
      </c>
      <c r="F61">
        <f t="shared" si="5"/>
        <v>57</v>
      </c>
      <c r="G61">
        <f>IF(C61&gt;=$L$2,0,VLOOKUP($E61,'Mortality Table'!$A$3:$C$128,2+H$2,FALSE))</f>
        <v>0</v>
      </c>
      <c r="H61">
        <f>IF(C61&gt;=$L$2,0,VLOOKUP($E61,'Mortality Table'!$A$3:$C$128,2+I$2,FALSE))</f>
        <v>0</v>
      </c>
      <c r="I61" s="17">
        <f>G61*Assumptions!$B$1</f>
        <v>0</v>
      </c>
      <c r="J61" s="17">
        <f>H61*Assumptions!$B$1</f>
        <v>0</v>
      </c>
      <c r="K61">
        <f t="shared" si="6"/>
        <v>0</v>
      </c>
      <c r="L61">
        <f t="shared" si="10"/>
        <v>0</v>
      </c>
      <c r="M61">
        <f>HLOOKUP(C61,Assumptions!$A$6:$J$7,2,TRUE)</f>
        <v>2.6499999999999999E-2</v>
      </c>
      <c r="N61" s="23">
        <f t="shared" si="0"/>
        <v>0</v>
      </c>
      <c r="O61" s="23">
        <f t="shared" si="7"/>
        <v>0</v>
      </c>
      <c r="P61">
        <f t="shared" si="11"/>
        <v>0</v>
      </c>
      <c r="Q61" s="23">
        <f t="shared" si="8"/>
        <v>0</v>
      </c>
      <c r="R61">
        <f>Q60*Assumptions!$B$11/$E$2*N61</f>
        <v>0</v>
      </c>
      <c r="S61">
        <f>Q60*Assumptions!$B$13/$E$2*N61</f>
        <v>0</v>
      </c>
      <c r="T61">
        <f>L61*Assumptions!$B$15</f>
        <v>0</v>
      </c>
      <c r="U61">
        <f>S61*Assumptions!$B$17</f>
        <v>0</v>
      </c>
      <c r="V61">
        <f>HLOOKUP(B61,Assumptions!$A$26:$D$27,2,TRUE)</f>
        <v>0</v>
      </c>
      <c r="W61">
        <f t="shared" si="12"/>
        <v>0</v>
      </c>
      <c r="X61">
        <f t="shared" si="13"/>
        <v>0.75</v>
      </c>
      <c r="Y61">
        <f>IF(B61&gt;$M$2,0,IF(X62=0,0,(1-X62)*Assumptions!$B$11/$E$2*(1-Assumptions!$B$30)))</f>
        <v>0</v>
      </c>
      <c r="Z61">
        <f>(R61-S61)*(1-Assumptions!$B$30)-U61+Y60*Q60</f>
        <v>0</v>
      </c>
      <c r="AA61">
        <f>AA60*(1+Assumptions!$B$36)^(1/12)</f>
        <v>1.042331167450931</v>
      </c>
      <c r="AB61" s="20">
        <f>IF(B61&gt;$M$2,0,AA60*Assumptions!$B$32/12*Q60+Z61*Assumptions!$B$34/12)</f>
        <v>0</v>
      </c>
      <c r="AC61" s="21">
        <f>1/(1+HLOOKUP(YEAR(A61),Assumptions!$A$41:$AL$43,3,TRUE))^(1/12)</f>
        <v>0.99874250566702261</v>
      </c>
      <c r="AD61">
        <f t="shared" si="9"/>
        <v>0</v>
      </c>
      <c r="AE61">
        <f t="shared" si="14"/>
        <v>0</v>
      </c>
    </row>
    <row r="62" spans="1:31" x14ac:dyDescent="0.2">
      <c r="A62" s="2">
        <f t="shared" si="15"/>
        <v>44651</v>
      </c>
      <c r="B62">
        <f t="shared" si="1"/>
        <v>131</v>
      </c>
      <c r="C62">
        <f t="shared" si="2"/>
        <v>10.833333333333334</v>
      </c>
      <c r="D62">
        <f t="shared" si="3"/>
        <v>0</v>
      </c>
      <c r="E62">
        <f t="shared" si="4"/>
        <v>65</v>
      </c>
      <c r="F62">
        <f t="shared" si="5"/>
        <v>57</v>
      </c>
      <c r="G62">
        <f>IF(C62&gt;=$L$2,0,VLOOKUP($E62,'Mortality Table'!$A$3:$C$128,2+H$2,FALSE))</f>
        <v>0</v>
      </c>
      <c r="H62">
        <f>IF(C62&gt;=$L$2,0,VLOOKUP($E62,'Mortality Table'!$A$3:$C$128,2+I$2,FALSE))</f>
        <v>0</v>
      </c>
      <c r="I62" s="17">
        <f>G62*Assumptions!$B$1</f>
        <v>0</v>
      </c>
      <c r="J62" s="17">
        <f>H62*Assumptions!$B$1</f>
        <v>0</v>
      </c>
      <c r="K62">
        <f t="shared" si="6"/>
        <v>0</v>
      </c>
      <c r="L62">
        <f t="shared" si="10"/>
        <v>0</v>
      </c>
      <c r="M62">
        <f>HLOOKUP(C62,Assumptions!$A$6:$J$7,2,TRUE)</f>
        <v>2.6499999999999999E-2</v>
      </c>
      <c r="N62" s="23">
        <f t="shared" si="0"/>
        <v>0</v>
      </c>
      <c r="O62" s="23">
        <f t="shared" si="7"/>
        <v>0</v>
      </c>
      <c r="P62">
        <f t="shared" si="11"/>
        <v>0</v>
      </c>
      <c r="Q62" s="23">
        <f t="shared" si="8"/>
        <v>0</v>
      </c>
      <c r="R62">
        <f>Q61*Assumptions!$B$11/$E$2*N62</f>
        <v>0</v>
      </c>
      <c r="S62">
        <f>Q61*Assumptions!$B$13/$E$2*N62</f>
        <v>0</v>
      </c>
      <c r="T62">
        <f>L62*Assumptions!$B$15</f>
        <v>0</v>
      </c>
      <c r="U62">
        <f>S62*Assumptions!$B$17</f>
        <v>0</v>
      </c>
      <c r="V62">
        <f>HLOOKUP(B62,Assumptions!$A$26:$D$27,2,TRUE)</f>
        <v>0</v>
      </c>
      <c r="W62">
        <f t="shared" si="12"/>
        <v>0</v>
      </c>
      <c r="X62">
        <f t="shared" si="13"/>
        <v>0.83333333333333393</v>
      </c>
      <c r="Y62">
        <f>IF(B62&gt;$M$2,0,IF(X63=0,0,(1-X63)*Assumptions!$B$11/$E$2*(1-Assumptions!$B$30)))</f>
        <v>0</v>
      </c>
      <c r="Z62">
        <f>(R62-S62)*(1-Assumptions!$B$30)-U62+Y61*Q61</f>
        <v>0</v>
      </c>
      <c r="AA62">
        <f>AA61*(1+Assumptions!$B$36)^(1/12)</f>
        <v>1.0431958208821024</v>
      </c>
      <c r="AB62" s="20">
        <f>IF(B62&gt;$M$2,0,AA61*Assumptions!$B$32/12*Q61+Z62*Assumptions!$B$34/12)</f>
        <v>0</v>
      </c>
      <c r="AC62" s="21">
        <f>1/(1+HLOOKUP(YEAR(A62),Assumptions!$A$41:$AL$43,3,TRUE))^(1/12)</f>
        <v>0.99874250566702261</v>
      </c>
      <c r="AD62">
        <f t="shared" si="9"/>
        <v>0</v>
      </c>
      <c r="AE62">
        <f t="shared" si="14"/>
        <v>0</v>
      </c>
    </row>
    <row r="63" spans="1:31" x14ac:dyDescent="0.2">
      <c r="A63" s="2">
        <f t="shared" si="15"/>
        <v>44681</v>
      </c>
      <c r="B63">
        <f t="shared" si="1"/>
        <v>132</v>
      </c>
      <c r="C63">
        <f t="shared" si="2"/>
        <v>10.916666666666666</v>
      </c>
      <c r="D63">
        <f t="shared" si="3"/>
        <v>0</v>
      </c>
      <c r="E63">
        <f t="shared" si="4"/>
        <v>65</v>
      </c>
      <c r="F63">
        <f t="shared" si="5"/>
        <v>57</v>
      </c>
      <c r="G63">
        <f>IF(C63&gt;=$L$2,0,VLOOKUP($E63,'Mortality Table'!$A$3:$C$128,2+H$2,FALSE))</f>
        <v>0</v>
      </c>
      <c r="H63">
        <f>IF(C63&gt;=$L$2,0,VLOOKUP($E63,'Mortality Table'!$A$3:$C$128,2+I$2,FALSE))</f>
        <v>0</v>
      </c>
      <c r="I63" s="17">
        <f>G63*Assumptions!$B$1</f>
        <v>0</v>
      </c>
      <c r="J63" s="17">
        <f>H63*Assumptions!$B$1</f>
        <v>0</v>
      </c>
      <c r="K63">
        <f t="shared" si="6"/>
        <v>0</v>
      </c>
      <c r="L63">
        <f t="shared" si="10"/>
        <v>0</v>
      </c>
      <c r="M63">
        <f>HLOOKUP(C63,Assumptions!$A$6:$J$7,2,TRUE)</f>
        <v>2.6499999999999999E-2</v>
      </c>
      <c r="N63" s="23">
        <f t="shared" si="0"/>
        <v>0</v>
      </c>
      <c r="O63" s="23">
        <f t="shared" si="7"/>
        <v>0</v>
      </c>
      <c r="P63">
        <f t="shared" si="11"/>
        <v>0</v>
      </c>
      <c r="Q63" s="23">
        <f t="shared" si="8"/>
        <v>0</v>
      </c>
      <c r="R63">
        <f>Q62*Assumptions!$B$11/$E$2*N63</f>
        <v>0</v>
      </c>
      <c r="S63">
        <f>Q62*Assumptions!$B$13/$E$2*N63</f>
        <v>0</v>
      </c>
      <c r="T63">
        <f>L63*Assumptions!$B$15</f>
        <v>0</v>
      </c>
      <c r="U63">
        <f>S63*Assumptions!$B$17</f>
        <v>0</v>
      </c>
      <c r="V63">
        <f>HLOOKUP(B63,Assumptions!$A$26:$D$27,2,TRUE)</f>
        <v>0</v>
      </c>
      <c r="W63">
        <f t="shared" si="12"/>
        <v>0</v>
      </c>
      <c r="X63">
        <f t="shared" si="13"/>
        <v>0.91666666666666607</v>
      </c>
      <c r="Y63">
        <f>IF(B63&gt;$M$2,0,IF(X64=0,0,(1-X64)*Assumptions!$B$11/$E$2*(1-Assumptions!$B$30)))</f>
        <v>0</v>
      </c>
      <c r="Z63">
        <f>(R63-S63)*(1-Assumptions!$B$30)-U63+Y62*Q62</f>
        <v>0</v>
      </c>
      <c r="AA63">
        <f>AA62*(1+Assumptions!$B$36)^(1/12)</f>
        <v>1.0440611915762508</v>
      </c>
      <c r="AB63" s="20">
        <f>IF(B63&gt;$M$2,0,AA62*Assumptions!$B$32/12*Q62+Z63*Assumptions!$B$34/12)</f>
        <v>0</v>
      </c>
      <c r="AC63" s="21">
        <f>1/(1+HLOOKUP(YEAR(A63),Assumptions!$A$41:$AL$43,3,TRUE))^(1/12)</f>
        <v>0.99874250566702261</v>
      </c>
      <c r="AD63">
        <f t="shared" si="9"/>
        <v>0</v>
      </c>
      <c r="AE63">
        <f t="shared" si="14"/>
        <v>0</v>
      </c>
    </row>
    <row r="64" spans="1:31" x14ac:dyDescent="0.2">
      <c r="A64" s="2">
        <f t="shared" si="15"/>
        <v>44712</v>
      </c>
      <c r="B64">
        <f t="shared" si="1"/>
        <v>133</v>
      </c>
      <c r="C64">
        <f t="shared" si="2"/>
        <v>11</v>
      </c>
      <c r="D64">
        <f t="shared" si="3"/>
        <v>1</v>
      </c>
      <c r="E64">
        <f t="shared" si="4"/>
        <v>66</v>
      </c>
      <c r="F64">
        <f t="shared" si="5"/>
        <v>58</v>
      </c>
      <c r="G64">
        <f>IF(C64&gt;=$L$2,0,VLOOKUP($E64,'Mortality Table'!$A$3:$C$128,2+H$2,FALSE))</f>
        <v>0</v>
      </c>
      <c r="H64">
        <f>IF(C64&gt;=$L$2,0,VLOOKUP($E64,'Mortality Table'!$A$3:$C$128,2+I$2,FALSE))</f>
        <v>0</v>
      </c>
      <c r="I64" s="17">
        <f>G64*Assumptions!$B$1</f>
        <v>0</v>
      </c>
      <c r="J64" s="17">
        <f>H64*Assumptions!$B$1</f>
        <v>0</v>
      </c>
      <c r="K64">
        <f t="shared" si="6"/>
        <v>0</v>
      </c>
      <c r="L64">
        <f t="shared" si="10"/>
        <v>0</v>
      </c>
      <c r="M64">
        <f>HLOOKUP(C64,Assumptions!$A$6:$J$7,2,TRUE)</f>
        <v>2.6499999999999999E-2</v>
      </c>
      <c r="N64" s="23">
        <f t="shared" si="0"/>
        <v>0</v>
      </c>
      <c r="O64" s="23">
        <f t="shared" si="7"/>
        <v>0</v>
      </c>
      <c r="P64">
        <f t="shared" si="11"/>
        <v>0</v>
      </c>
      <c r="Q64" s="23">
        <f t="shared" si="8"/>
        <v>0</v>
      </c>
      <c r="R64">
        <f>Q63*Assumptions!$B$11/$E$2*N64</f>
        <v>0</v>
      </c>
      <c r="S64">
        <f>Q63*Assumptions!$B$13/$E$2*N64</f>
        <v>0</v>
      </c>
      <c r="T64">
        <f>L64*Assumptions!$B$15</f>
        <v>0</v>
      </c>
      <c r="U64">
        <f>S64*Assumptions!$B$17</f>
        <v>0</v>
      </c>
      <c r="V64">
        <f>HLOOKUP(B64,Assumptions!$A$26:$D$27,2,TRUE)</f>
        <v>0</v>
      </c>
      <c r="W64">
        <f t="shared" si="12"/>
        <v>0</v>
      </c>
      <c r="X64">
        <f t="shared" si="13"/>
        <v>0</v>
      </c>
      <c r="Y64">
        <f>IF(B64&gt;$M$2,0,IF(X65=0,0,(1-X65)*Assumptions!$B$11/$E$2*(1-Assumptions!$B$30)))</f>
        <v>0</v>
      </c>
      <c r="Z64">
        <f>(R64-S64)*(1-Assumptions!$B$30)-U64+Y63*Q63</f>
        <v>0</v>
      </c>
      <c r="AA64">
        <f>AA63*(1+Assumptions!$B$36)^(1/12)</f>
        <v>1.0449272801283729</v>
      </c>
      <c r="AB64" s="20">
        <f>IF(B64&gt;$M$2,0,AA63*Assumptions!$B$32/12*Q63+Z64*Assumptions!$B$34/12)</f>
        <v>0</v>
      </c>
      <c r="AC64" s="21">
        <f>1/(1+HLOOKUP(YEAR(A64),Assumptions!$A$41:$AL$43,3,TRUE))^(1/12)</f>
        <v>0.99874250566702261</v>
      </c>
      <c r="AD64">
        <f t="shared" si="9"/>
        <v>0</v>
      </c>
      <c r="AE64">
        <f t="shared" si="14"/>
        <v>0</v>
      </c>
    </row>
    <row r="65" spans="1:31" x14ac:dyDescent="0.2">
      <c r="A65" s="2">
        <f t="shared" si="15"/>
        <v>44742</v>
      </c>
      <c r="B65">
        <f t="shared" si="1"/>
        <v>134</v>
      </c>
      <c r="C65">
        <f t="shared" si="2"/>
        <v>11.083333333333334</v>
      </c>
      <c r="D65">
        <f t="shared" si="3"/>
        <v>0</v>
      </c>
      <c r="E65">
        <f t="shared" si="4"/>
        <v>66</v>
      </c>
      <c r="F65">
        <f t="shared" si="5"/>
        <v>58</v>
      </c>
      <c r="G65">
        <f>IF(C65&gt;=$L$2,0,VLOOKUP($E65,'Mortality Table'!$A$3:$C$128,2+H$2,FALSE))</f>
        <v>0</v>
      </c>
      <c r="H65">
        <f>IF(C65&gt;=$L$2,0,VLOOKUP($E65,'Mortality Table'!$A$3:$C$128,2+I$2,FALSE))</f>
        <v>0</v>
      </c>
      <c r="I65" s="17">
        <f>G65*Assumptions!$B$1</f>
        <v>0</v>
      </c>
      <c r="J65" s="17">
        <f>H65*Assumptions!$B$1</f>
        <v>0</v>
      </c>
      <c r="K65">
        <f t="shared" si="6"/>
        <v>0</v>
      </c>
      <c r="L65">
        <f t="shared" si="10"/>
        <v>0</v>
      </c>
      <c r="M65">
        <f>HLOOKUP(C65,Assumptions!$A$6:$J$7,2,TRUE)</f>
        <v>2.6499999999999999E-2</v>
      </c>
      <c r="N65" s="23">
        <f t="shared" si="0"/>
        <v>0</v>
      </c>
      <c r="O65" s="23">
        <f t="shared" si="7"/>
        <v>0</v>
      </c>
      <c r="P65">
        <f t="shared" si="11"/>
        <v>0</v>
      </c>
      <c r="Q65" s="23">
        <f t="shared" si="8"/>
        <v>0</v>
      </c>
      <c r="R65">
        <f>Q64*Assumptions!$B$11/$E$2*N65</f>
        <v>0</v>
      </c>
      <c r="S65">
        <f>Q64*Assumptions!$B$13/$E$2*N65</f>
        <v>0</v>
      </c>
      <c r="T65">
        <f>L65*Assumptions!$B$15</f>
        <v>0</v>
      </c>
      <c r="U65">
        <f>S65*Assumptions!$B$17</f>
        <v>0</v>
      </c>
      <c r="V65">
        <f>HLOOKUP(B65,Assumptions!$A$26:$D$27,2,TRUE)</f>
        <v>0</v>
      </c>
      <c r="W65">
        <f t="shared" si="12"/>
        <v>0</v>
      </c>
      <c r="X65">
        <f t="shared" si="13"/>
        <v>8.3333333333333925E-2</v>
      </c>
      <c r="Y65">
        <f>IF(B65&gt;$M$2,0,IF(X66=0,0,(1-X66)*Assumptions!$B$11/$E$2*(1-Assumptions!$B$30)))</f>
        <v>0</v>
      </c>
      <c r="Z65">
        <f>(R65-S65)*(1-Assumptions!$B$30)-U65+Y64*Q64</f>
        <v>0</v>
      </c>
      <c r="AA65">
        <f>AA64*(1+Assumptions!$B$36)^(1/12)</f>
        <v>1.0457940871339595</v>
      </c>
      <c r="AB65" s="20">
        <f>IF(B65&gt;$M$2,0,AA64*Assumptions!$B$32/12*Q64+Z65*Assumptions!$B$34/12)</f>
        <v>0</v>
      </c>
      <c r="AC65" s="21">
        <f>1/(1+HLOOKUP(YEAR(A65),Assumptions!$A$41:$AL$43,3,TRUE))^(1/12)</f>
        <v>0.99874250566702261</v>
      </c>
      <c r="AD65">
        <f t="shared" si="9"/>
        <v>0</v>
      </c>
      <c r="AE65">
        <f t="shared" si="14"/>
        <v>0</v>
      </c>
    </row>
    <row r="66" spans="1:31" x14ac:dyDescent="0.2">
      <c r="A66" s="2">
        <f t="shared" si="15"/>
        <v>44773</v>
      </c>
      <c r="B66">
        <f t="shared" si="1"/>
        <v>135</v>
      </c>
      <c r="C66">
        <f t="shared" si="2"/>
        <v>11.166666666666666</v>
      </c>
      <c r="D66">
        <f t="shared" si="3"/>
        <v>0</v>
      </c>
      <c r="E66">
        <f t="shared" si="4"/>
        <v>66</v>
      </c>
      <c r="F66">
        <f t="shared" si="5"/>
        <v>58</v>
      </c>
      <c r="G66">
        <f>IF(C66&gt;=$L$2,0,VLOOKUP($E66,'Mortality Table'!$A$3:$C$128,2+H$2,FALSE))</f>
        <v>0</v>
      </c>
      <c r="H66">
        <f>IF(C66&gt;=$L$2,0,VLOOKUP($E66,'Mortality Table'!$A$3:$C$128,2+I$2,FALSE))</f>
        <v>0</v>
      </c>
      <c r="I66" s="17">
        <f>G66*Assumptions!$B$1</f>
        <v>0</v>
      </c>
      <c r="J66" s="17">
        <f>H66*Assumptions!$B$1</f>
        <v>0</v>
      </c>
      <c r="K66">
        <f t="shared" si="6"/>
        <v>0</v>
      </c>
      <c r="L66">
        <f t="shared" si="10"/>
        <v>0</v>
      </c>
      <c r="M66">
        <f>HLOOKUP(C66,Assumptions!$A$6:$J$7,2,TRUE)</f>
        <v>2.6499999999999999E-2</v>
      </c>
      <c r="N66" s="23">
        <f t="shared" si="0"/>
        <v>0</v>
      </c>
      <c r="O66" s="23">
        <f t="shared" si="7"/>
        <v>0</v>
      </c>
      <c r="P66">
        <f t="shared" si="11"/>
        <v>0</v>
      </c>
      <c r="Q66" s="23">
        <f t="shared" si="8"/>
        <v>0</v>
      </c>
      <c r="R66">
        <f>Q65*Assumptions!$B$11/$E$2*N66</f>
        <v>0</v>
      </c>
      <c r="S66">
        <f>Q65*Assumptions!$B$13/$E$2*N66</f>
        <v>0</v>
      </c>
      <c r="T66">
        <f>L66*Assumptions!$B$15</f>
        <v>0</v>
      </c>
      <c r="U66">
        <f>S66*Assumptions!$B$17</f>
        <v>0</v>
      </c>
      <c r="V66">
        <f>HLOOKUP(B66,Assumptions!$A$26:$D$27,2,TRUE)</f>
        <v>0</v>
      </c>
      <c r="W66">
        <f t="shared" si="12"/>
        <v>0</v>
      </c>
      <c r="X66">
        <f t="shared" si="13"/>
        <v>0.16666666666666607</v>
      </c>
      <c r="Y66">
        <f>IF(B66&gt;$M$2,0,IF(X67=0,0,(1-X67)*Assumptions!$B$11/$E$2*(1-Assumptions!$B$30)))</f>
        <v>0</v>
      </c>
      <c r="Z66">
        <f>(R66-S66)*(1-Assumptions!$B$30)-U66+Y65*Q65</f>
        <v>0</v>
      </c>
      <c r="AA66">
        <f>AA65*(1+Assumptions!$B$36)^(1/12)</f>
        <v>1.046661613188995</v>
      </c>
      <c r="AB66" s="20">
        <f>IF(B66&gt;$M$2,0,AA65*Assumptions!$B$32/12*Q65+Z66*Assumptions!$B$34/12)</f>
        <v>0</v>
      </c>
      <c r="AC66" s="21">
        <f>1/(1+HLOOKUP(YEAR(A66),Assumptions!$A$41:$AL$43,3,TRUE))^(1/12)</f>
        <v>0.99874250566702261</v>
      </c>
      <c r="AD66">
        <f t="shared" si="9"/>
        <v>0</v>
      </c>
      <c r="AE66">
        <f t="shared" si="14"/>
        <v>0</v>
      </c>
    </row>
    <row r="67" spans="1:31" x14ac:dyDescent="0.2">
      <c r="A67" s="2">
        <f t="shared" si="15"/>
        <v>44804</v>
      </c>
      <c r="B67">
        <f t="shared" si="1"/>
        <v>136</v>
      </c>
      <c r="C67">
        <f t="shared" si="2"/>
        <v>11.25</v>
      </c>
      <c r="D67">
        <f t="shared" si="3"/>
        <v>0</v>
      </c>
      <c r="E67">
        <f t="shared" si="4"/>
        <v>66</v>
      </c>
      <c r="F67">
        <f t="shared" si="5"/>
        <v>58</v>
      </c>
      <c r="G67">
        <f>IF(C67&gt;=$L$2,0,VLOOKUP($E67,'Mortality Table'!$A$3:$C$128,2+H$2,FALSE))</f>
        <v>0</v>
      </c>
      <c r="H67">
        <f>IF(C67&gt;=$L$2,0,VLOOKUP($E67,'Mortality Table'!$A$3:$C$128,2+I$2,FALSE))</f>
        <v>0</v>
      </c>
      <c r="I67" s="17">
        <f>G67*Assumptions!$B$1</f>
        <v>0</v>
      </c>
      <c r="J67" s="17">
        <f>H67*Assumptions!$B$1</f>
        <v>0</v>
      </c>
      <c r="K67">
        <f t="shared" si="6"/>
        <v>0</v>
      </c>
      <c r="L67">
        <f t="shared" si="10"/>
        <v>0</v>
      </c>
      <c r="M67">
        <f>HLOOKUP(C67,Assumptions!$A$6:$J$7,2,TRUE)</f>
        <v>2.6499999999999999E-2</v>
      </c>
      <c r="N67" s="23">
        <f t="shared" si="0"/>
        <v>0</v>
      </c>
      <c r="O67" s="23">
        <f t="shared" si="7"/>
        <v>0</v>
      </c>
      <c r="P67">
        <f t="shared" si="11"/>
        <v>0</v>
      </c>
      <c r="Q67" s="23">
        <f t="shared" si="8"/>
        <v>0</v>
      </c>
      <c r="R67">
        <f>Q66*Assumptions!$B$11/$E$2*N67</f>
        <v>0</v>
      </c>
      <c r="S67">
        <f>Q66*Assumptions!$B$13/$E$2*N67</f>
        <v>0</v>
      </c>
      <c r="T67">
        <f>L67*Assumptions!$B$15</f>
        <v>0</v>
      </c>
      <c r="U67">
        <f>S67*Assumptions!$B$17</f>
        <v>0</v>
      </c>
      <c r="V67">
        <f>HLOOKUP(B67,Assumptions!$A$26:$D$27,2,TRUE)</f>
        <v>0</v>
      </c>
      <c r="W67">
        <f t="shared" si="12"/>
        <v>0</v>
      </c>
      <c r="X67">
        <f t="shared" si="13"/>
        <v>0.25</v>
      </c>
      <c r="Y67">
        <f>IF(B67&gt;$M$2,0,IF(X68=0,0,(1-X68)*Assumptions!$B$11/$E$2*(1-Assumptions!$B$30)))</f>
        <v>0</v>
      </c>
      <c r="Z67">
        <f>(R67-S67)*(1-Assumptions!$B$30)-U67+Y66*Q66</f>
        <v>0</v>
      </c>
      <c r="AA67">
        <f>AA66*(1+Assumptions!$B$36)^(1/12)</f>
        <v>1.0475298588899582</v>
      </c>
      <c r="AB67" s="20">
        <f>IF(B67&gt;$M$2,0,AA66*Assumptions!$B$32/12*Q66+Z67*Assumptions!$B$34/12)</f>
        <v>0</v>
      </c>
      <c r="AC67" s="21">
        <f>1/(1+HLOOKUP(YEAR(A67),Assumptions!$A$41:$AL$43,3,TRUE))^(1/12)</f>
        <v>0.99874250566702261</v>
      </c>
      <c r="AD67">
        <f t="shared" si="9"/>
        <v>0</v>
      </c>
      <c r="AE67">
        <f t="shared" si="14"/>
        <v>0</v>
      </c>
    </row>
    <row r="68" spans="1:31" x14ac:dyDescent="0.2">
      <c r="A68" s="2">
        <f t="shared" si="15"/>
        <v>44834</v>
      </c>
      <c r="B68">
        <f t="shared" si="1"/>
        <v>137</v>
      </c>
      <c r="C68">
        <f t="shared" si="2"/>
        <v>11.333333333333334</v>
      </c>
      <c r="D68">
        <f t="shared" si="3"/>
        <v>0</v>
      </c>
      <c r="E68">
        <f t="shared" si="4"/>
        <v>66</v>
      </c>
      <c r="F68">
        <f t="shared" si="5"/>
        <v>58</v>
      </c>
      <c r="G68">
        <f>IF(C68&gt;=$L$2,0,VLOOKUP($E68,'Mortality Table'!$A$3:$C$128,2+H$2,FALSE))</f>
        <v>0</v>
      </c>
      <c r="H68">
        <f>IF(C68&gt;=$L$2,0,VLOOKUP($E68,'Mortality Table'!$A$3:$C$128,2+I$2,FALSE))</f>
        <v>0</v>
      </c>
      <c r="I68" s="17">
        <f>G68*Assumptions!$B$1</f>
        <v>0</v>
      </c>
      <c r="J68" s="17">
        <f>H68*Assumptions!$B$1</f>
        <v>0</v>
      </c>
      <c r="K68">
        <f t="shared" si="6"/>
        <v>0</v>
      </c>
      <c r="L68">
        <f t="shared" si="10"/>
        <v>0</v>
      </c>
      <c r="M68">
        <f>HLOOKUP(C68,Assumptions!$A$6:$J$7,2,TRUE)</f>
        <v>2.6499999999999999E-2</v>
      </c>
      <c r="N68" s="23">
        <f t="shared" si="0"/>
        <v>0</v>
      </c>
      <c r="O68" s="23">
        <f t="shared" si="7"/>
        <v>0</v>
      </c>
      <c r="P68">
        <f t="shared" si="11"/>
        <v>0</v>
      </c>
      <c r="Q68" s="23">
        <f t="shared" si="8"/>
        <v>0</v>
      </c>
      <c r="R68">
        <f>Q67*Assumptions!$B$11/$E$2*N68</f>
        <v>0</v>
      </c>
      <c r="S68">
        <f>Q67*Assumptions!$B$13/$E$2*N68</f>
        <v>0</v>
      </c>
      <c r="T68">
        <f>L68*Assumptions!$B$15</f>
        <v>0</v>
      </c>
      <c r="U68">
        <f>S68*Assumptions!$B$17</f>
        <v>0</v>
      </c>
      <c r="V68">
        <f>HLOOKUP(B68,Assumptions!$A$26:$D$27,2,TRUE)</f>
        <v>0</v>
      </c>
      <c r="W68">
        <f t="shared" si="12"/>
        <v>0</v>
      </c>
      <c r="X68">
        <f t="shared" si="13"/>
        <v>0.33333333333333393</v>
      </c>
      <c r="Y68">
        <f>IF(B68&gt;$M$2,0,IF(X69=0,0,(1-X69)*Assumptions!$B$11/$E$2*(1-Assumptions!$B$30)))</f>
        <v>0</v>
      </c>
      <c r="Z68">
        <f>(R68-S68)*(1-Assumptions!$B$30)-U68+Y67*Q67</f>
        <v>0</v>
      </c>
      <c r="AA68">
        <f>AA67*(1+Assumptions!$B$36)^(1/12)</f>
        <v>1.0483988248338232</v>
      </c>
      <c r="AB68" s="20">
        <f>IF(B68&gt;$M$2,0,AA67*Assumptions!$B$32/12*Q67+Z68*Assumptions!$B$34/12)</f>
        <v>0</v>
      </c>
      <c r="AC68" s="21">
        <f>1/(1+HLOOKUP(YEAR(A68),Assumptions!$A$41:$AL$43,3,TRUE))^(1/12)</f>
        <v>0.99874250566702261</v>
      </c>
      <c r="AD68">
        <f t="shared" si="9"/>
        <v>0</v>
      </c>
      <c r="AE68">
        <f t="shared" si="14"/>
        <v>0</v>
      </c>
    </row>
    <row r="69" spans="1:31" x14ac:dyDescent="0.2">
      <c r="A69" s="2">
        <f t="shared" si="15"/>
        <v>44865</v>
      </c>
      <c r="B69">
        <f t="shared" si="1"/>
        <v>138</v>
      </c>
      <c r="C69">
        <f t="shared" si="2"/>
        <v>11.416666666666666</v>
      </c>
      <c r="D69">
        <f t="shared" si="3"/>
        <v>0</v>
      </c>
      <c r="E69">
        <f t="shared" si="4"/>
        <v>66</v>
      </c>
      <c r="F69">
        <f t="shared" si="5"/>
        <v>58</v>
      </c>
      <c r="G69">
        <f>IF(C69&gt;=$L$2,0,VLOOKUP($E69,'Mortality Table'!$A$3:$C$128,2+H$2,FALSE))</f>
        <v>0</v>
      </c>
      <c r="H69">
        <f>IF(C69&gt;=$L$2,0,VLOOKUP($E69,'Mortality Table'!$A$3:$C$128,2+I$2,FALSE))</f>
        <v>0</v>
      </c>
      <c r="I69" s="17">
        <f>G69*Assumptions!$B$1</f>
        <v>0</v>
      </c>
      <c r="J69" s="17">
        <f>H69*Assumptions!$B$1</f>
        <v>0</v>
      </c>
      <c r="K69">
        <f t="shared" si="6"/>
        <v>0</v>
      </c>
      <c r="L69">
        <f t="shared" si="10"/>
        <v>0</v>
      </c>
      <c r="M69">
        <f>HLOOKUP(C69,Assumptions!$A$6:$J$7,2,TRUE)</f>
        <v>2.6499999999999999E-2</v>
      </c>
      <c r="N69" s="23">
        <f t="shared" si="0"/>
        <v>0</v>
      </c>
      <c r="O69" s="23">
        <f t="shared" si="7"/>
        <v>0</v>
      </c>
      <c r="P69">
        <f t="shared" si="11"/>
        <v>0</v>
      </c>
      <c r="Q69" s="23">
        <f t="shared" si="8"/>
        <v>0</v>
      </c>
      <c r="R69">
        <f>Q68*Assumptions!$B$11/$E$2*N69</f>
        <v>0</v>
      </c>
      <c r="S69">
        <f>Q68*Assumptions!$B$13/$E$2*N69</f>
        <v>0</v>
      </c>
      <c r="T69">
        <f>L69*Assumptions!$B$15</f>
        <v>0</v>
      </c>
      <c r="U69">
        <f>S69*Assumptions!$B$17</f>
        <v>0</v>
      </c>
      <c r="V69">
        <f>HLOOKUP(B69,Assumptions!$A$26:$D$27,2,TRUE)</f>
        <v>0</v>
      </c>
      <c r="W69">
        <f t="shared" si="12"/>
        <v>0</v>
      </c>
      <c r="X69">
        <f t="shared" si="13"/>
        <v>0.41666666666666607</v>
      </c>
      <c r="Y69">
        <f>IF(B69&gt;$M$2,0,IF(X70=0,0,(1-X70)*Assumptions!$B$11/$E$2*(1-Assumptions!$B$30)))</f>
        <v>0</v>
      </c>
      <c r="Z69">
        <f>(R69-S69)*(1-Assumptions!$B$30)-U69+Y68*Q68</f>
        <v>0</v>
      </c>
      <c r="AA69">
        <f>AA68*(1+Assumptions!$B$36)^(1/12)</f>
        <v>1.0492685116180587</v>
      </c>
      <c r="AB69" s="20">
        <f>IF(B69&gt;$M$2,0,AA68*Assumptions!$B$32/12*Q68+Z69*Assumptions!$B$34/12)</f>
        <v>0</v>
      </c>
      <c r="AC69" s="21">
        <f>1/(1+HLOOKUP(YEAR(A69),Assumptions!$A$41:$AL$43,3,TRUE))^(1/12)</f>
        <v>0.99874250566702261</v>
      </c>
      <c r="AD69">
        <f t="shared" si="9"/>
        <v>0</v>
      </c>
      <c r="AE69">
        <f t="shared" si="14"/>
        <v>0</v>
      </c>
    </row>
    <row r="70" spans="1:31" x14ac:dyDescent="0.2">
      <c r="A70" s="2">
        <f t="shared" si="15"/>
        <v>44895</v>
      </c>
      <c r="B70">
        <f t="shared" si="1"/>
        <v>139</v>
      </c>
      <c r="C70">
        <f t="shared" si="2"/>
        <v>11.5</v>
      </c>
      <c r="D70">
        <f t="shared" si="3"/>
        <v>0</v>
      </c>
      <c r="E70">
        <f t="shared" si="4"/>
        <v>66</v>
      </c>
      <c r="F70">
        <f t="shared" si="5"/>
        <v>58</v>
      </c>
      <c r="G70">
        <f>IF(C70&gt;=$L$2,0,VLOOKUP($E70,'Mortality Table'!$A$3:$C$128,2+H$2,FALSE))</f>
        <v>0</v>
      </c>
      <c r="H70">
        <f>IF(C70&gt;=$L$2,0,VLOOKUP($E70,'Mortality Table'!$A$3:$C$128,2+I$2,FALSE))</f>
        <v>0</v>
      </c>
      <c r="I70" s="17">
        <f>G70*Assumptions!$B$1</f>
        <v>0</v>
      </c>
      <c r="J70" s="17">
        <f>H70*Assumptions!$B$1</f>
        <v>0</v>
      </c>
      <c r="K70">
        <f t="shared" si="6"/>
        <v>0</v>
      </c>
      <c r="L70">
        <f t="shared" si="10"/>
        <v>0</v>
      </c>
      <c r="M70">
        <f>HLOOKUP(C70,Assumptions!$A$6:$J$7,2,TRUE)</f>
        <v>2.6499999999999999E-2</v>
      </c>
      <c r="N70" s="23">
        <f t="shared" si="0"/>
        <v>0</v>
      </c>
      <c r="O70" s="23">
        <f t="shared" si="7"/>
        <v>0</v>
      </c>
      <c r="P70">
        <f t="shared" si="11"/>
        <v>0</v>
      </c>
      <c r="Q70" s="23">
        <f t="shared" si="8"/>
        <v>0</v>
      </c>
      <c r="R70">
        <f>Q69*Assumptions!$B$11/$E$2*N70</f>
        <v>0</v>
      </c>
      <c r="S70">
        <f>Q69*Assumptions!$B$13/$E$2*N70</f>
        <v>0</v>
      </c>
      <c r="T70">
        <f>L70*Assumptions!$B$15</f>
        <v>0</v>
      </c>
      <c r="U70">
        <f>S70*Assumptions!$B$17</f>
        <v>0</v>
      </c>
      <c r="V70">
        <f>HLOOKUP(B70,Assumptions!$A$26:$D$27,2,TRUE)</f>
        <v>0</v>
      </c>
      <c r="W70">
        <f t="shared" si="12"/>
        <v>0</v>
      </c>
      <c r="X70">
        <f t="shared" si="13"/>
        <v>0.5</v>
      </c>
      <c r="Y70">
        <f>IF(B70&gt;$M$2,0,IF(X71=0,0,(1-X71)*Assumptions!$B$11/$E$2*(1-Assumptions!$B$30)))</f>
        <v>0</v>
      </c>
      <c r="Z70">
        <f>(R70-S70)*(1-Assumptions!$B$30)-U70+Y69*Q69</f>
        <v>0</v>
      </c>
      <c r="AA70">
        <f>AA69*(1+Assumptions!$B$36)^(1/12)</f>
        <v>1.050138919840629</v>
      </c>
      <c r="AB70" s="20">
        <f>IF(B70&gt;$M$2,0,AA69*Assumptions!$B$32/12*Q69+Z70*Assumptions!$B$34/12)</f>
        <v>0</v>
      </c>
      <c r="AC70" s="21">
        <f>1/(1+HLOOKUP(YEAR(A70),Assumptions!$A$41:$AL$43,3,TRUE))^(1/12)</f>
        <v>0.99874250566702261</v>
      </c>
      <c r="AD70">
        <f t="shared" si="9"/>
        <v>0</v>
      </c>
      <c r="AE70">
        <f t="shared" si="14"/>
        <v>0</v>
      </c>
    </row>
    <row r="71" spans="1:31" x14ac:dyDescent="0.2">
      <c r="A71" s="2">
        <f t="shared" si="15"/>
        <v>44926</v>
      </c>
      <c r="B71">
        <f t="shared" si="1"/>
        <v>140</v>
      </c>
      <c r="C71">
        <f t="shared" si="2"/>
        <v>11.583333333333334</v>
      </c>
      <c r="D71">
        <f t="shared" si="3"/>
        <v>0</v>
      </c>
      <c r="E71">
        <f t="shared" si="4"/>
        <v>66</v>
      </c>
      <c r="F71">
        <f t="shared" si="5"/>
        <v>58</v>
      </c>
      <c r="G71">
        <f>IF(C71&gt;=$L$2,0,VLOOKUP($E71,'Mortality Table'!$A$3:$C$128,2+H$2,FALSE))</f>
        <v>0</v>
      </c>
      <c r="H71">
        <f>IF(C71&gt;=$L$2,0,VLOOKUP($E71,'Mortality Table'!$A$3:$C$128,2+I$2,FALSE))</f>
        <v>0</v>
      </c>
      <c r="I71" s="17">
        <f>G71*Assumptions!$B$1</f>
        <v>0</v>
      </c>
      <c r="J71" s="17">
        <f>H71*Assumptions!$B$1</f>
        <v>0</v>
      </c>
      <c r="K71">
        <f t="shared" si="6"/>
        <v>0</v>
      </c>
      <c r="L71">
        <f t="shared" si="10"/>
        <v>0</v>
      </c>
      <c r="M71">
        <f>HLOOKUP(C71,Assumptions!$A$6:$J$7,2,TRUE)</f>
        <v>2.6499999999999999E-2</v>
      </c>
      <c r="N71" s="23">
        <f t="shared" si="0"/>
        <v>0</v>
      </c>
      <c r="O71" s="23">
        <f t="shared" si="7"/>
        <v>0</v>
      </c>
      <c r="P71">
        <f t="shared" si="11"/>
        <v>0</v>
      </c>
      <c r="Q71" s="23">
        <f t="shared" si="8"/>
        <v>0</v>
      </c>
      <c r="R71">
        <f>Q70*Assumptions!$B$11/$E$2*N71</f>
        <v>0</v>
      </c>
      <c r="S71">
        <f>Q70*Assumptions!$B$13/$E$2*N71</f>
        <v>0</v>
      </c>
      <c r="T71">
        <f>L71*Assumptions!$B$15</f>
        <v>0</v>
      </c>
      <c r="U71">
        <f>S71*Assumptions!$B$17</f>
        <v>0</v>
      </c>
      <c r="V71">
        <f>HLOOKUP(B71,Assumptions!$A$26:$D$27,2,TRUE)</f>
        <v>0</v>
      </c>
      <c r="W71">
        <f t="shared" si="12"/>
        <v>0</v>
      </c>
      <c r="X71">
        <f t="shared" si="13"/>
        <v>0.58333333333333393</v>
      </c>
      <c r="Y71">
        <f>IF(B71&gt;$M$2,0,IF(X72=0,0,(1-X72)*Assumptions!$B$11/$E$2*(1-Assumptions!$B$30)))</f>
        <v>0</v>
      </c>
      <c r="Z71">
        <f>(R71-S71)*(1-Assumptions!$B$30)-U71+Y70*Q70</f>
        <v>0</v>
      </c>
      <c r="AA71">
        <f>AA70*(1+Assumptions!$B$36)^(1/12)</f>
        <v>1.051010050099995</v>
      </c>
      <c r="AB71" s="20">
        <f>IF(B71&gt;$M$2,0,AA70*Assumptions!$B$32/12*Q70+Z71*Assumptions!$B$34/12)</f>
        <v>0</v>
      </c>
      <c r="AC71" s="21">
        <f>1/(1+HLOOKUP(YEAR(A71),Assumptions!$A$41:$AL$43,3,TRUE))^(1/12)</f>
        <v>0.99874250566702261</v>
      </c>
      <c r="AD71">
        <f t="shared" si="9"/>
        <v>0</v>
      </c>
      <c r="AE71">
        <f t="shared" si="14"/>
        <v>0</v>
      </c>
    </row>
    <row r="72" spans="1:31" x14ac:dyDescent="0.2">
      <c r="A72" s="2">
        <f t="shared" si="15"/>
        <v>44957</v>
      </c>
      <c r="B72">
        <f t="shared" si="1"/>
        <v>141</v>
      </c>
      <c r="C72">
        <f t="shared" si="2"/>
        <v>11.666666666666666</v>
      </c>
      <c r="D72">
        <f t="shared" si="3"/>
        <v>0</v>
      </c>
      <c r="E72">
        <f t="shared" si="4"/>
        <v>66</v>
      </c>
      <c r="F72">
        <f t="shared" si="5"/>
        <v>58</v>
      </c>
      <c r="G72">
        <f>IF(C72&gt;=$L$2,0,VLOOKUP($E72,'Mortality Table'!$A$3:$C$128,2+H$2,FALSE))</f>
        <v>0</v>
      </c>
      <c r="H72">
        <f>IF(C72&gt;=$L$2,0,VLOOKUP($E72,'Mortality Table'!$A$3:$C$128,2+I$2,FALSE))</f>
        <v>0</v>
      </c>
      <c r="I72" s="17">
        <f>G72*Assumptions!$B$1</f>
        <v>0</v>
      </c>
      <c r="J72" s="17">
        <f>H72*Assumptions!$B$1</f>
        <v>0</v>
      </c>
      <c r="K72">
        <f t="shared" si="6"/>
        <v>0</v>
      </c>
      <c r="L72">
        <f t="shared" si="10"/>
        <v>0</v>
      </c>
      <c r="M72">
        <f>HLOOKUP(C72,Assumptions!$A$6:$J$7,2,TRUE)</f>
        <v>2.6499999999999999E-2</v>
      </c>
      <c r="N72" s="23">
        <f t="shared" si="0"/>
        <v>0</v>
      </c>
      <c r="O72" s="23">
        <f t="shared" si="7"/>
        <v>0</v>
      </c>
      <c r="P72">
        <f t="shared" si="11"/>
        <v>0</v>
      </c>
      <c r="Q72" s="23">
        <f t="shared" si="8"/>
        <v>0</v>
      </c>
      <c r="R72">
        <f>Q71*Assumptions!$B$11/$E$2*N72</f>
        <v>0</v>
      </c>
      <c r="S72">
        <f>Q71*Assumptions!$B$13/$E$2*N72</f>
        <v>0</v>
      </c>
      <c r="T72">
        <f>L72*Assumptions!$B$15</f>
        <v>0</v>
      </c>
      <c r="U72">
        <f>S72*Assumptions!$B$17</f>
        <v>0</v>
      </c>
      <c r="V72">
        <f>HLOOKUP(B72,Assumptions!$A$26:$D$27,2,TRUE)</f>
        <v>0</v>
      </c>
      <c r="W72">
        <f t="shared" si="12"/>
        <v>0</v>
      </c>
      <c r="X72">
        <f t="shared" si="13"/>
        <v>0.66666666666666607</v>
      </c>
      <c r="Y72">
        <f>IF(B72&gt;$M$2,0,IF(X73=0,0,(1-X73)*Assumptions!$B$11/$E$2*(1-Assumptions!$B$30)))</f>
        <v>0</v>
      </c>
      <c r="Z72">
        <f>(R72-S72)*(1-Assumptions!$B$30)-U72+Y71*Q71</f>
        <v>0</v>
      </c>
      <c r="AA72">
        <f>AA71*(1+Assumptions!$B$36)^(1/12)</f>
        <v>1.0518819029951139</v>
      </c>
      <c r="AB72" s="20">
        <f>IF(B72&gt;$M$2,0,AA71*Assumptions!$B$32/12*Q71+Z72*Assumptions!$B$34/12)</f>
        <v>0</v>
      </c>
      <c r="AC72" s="21">
        <f>1/(1+HLOOKUP(YEAR(A72),Assumptions!$A$41:$AL$43,3,TRUE))^(1/12)</f>
        <v>0.99881993499877397</v>
      </c>
      <c r="AD72">
        <f t="shared" si="9"/>
        <v>0</v>
      </c>
      <c r="AE72">
        <f t="shared" si="14"/>
        <v>0</v>
      </c>
    </row>
    <row r="73" spans="1:31" x14ac:dyDescent="0.2">
      <c r="A73" s="2">
        <f t="shared" si="15"/>
        <v>44985</v>
      </c>
      <c r="B73">
        <f t="shared" si="1"/>
        <v>142</v>
      </c>
      <c r="C73">
        <f t="shared" si="2"/>
        <v>11.75</v>
      </c>
      <c r="D73">
        <f t="shared" si="3"/>
        <v>0</v>
      </c>
      <c r="E73">
        <f t="shared" si="4"/>
        <v>66</v>
      </c>
      <c r="F73">
        <f t="shared" si="5"/>
        <v>58</v>
      </c>
      <c r="G73">
        <f>IF(C73&gt;=$L$2,0,VLOOKUP($E73,'Mortality Table'!$A$3:$C$128,2+H$2,FALSE))</f>
        <v>0</v>
      </c>
      <c r="H73">
        <f>IF(C73&gt;=$L$2,0,VLOOKUP($E73,'Mortality Table'!$A$3:$C$128,2+I$2,FALSE))</f>
        <v>0</v>
      </c>
      <c r="I73" s="17">
        <f>G73*Assumptions!$B$1</f>
        <v>0</v>
      </c>
      <c r="J73" s="17">
        <f>H73*Assumptions!$B$1</f>
        <v>0</v>
      </c>
      <c r="K73">
        <f t="shared" si="6"/>
        <v>0</v>
      </c>
      <c r="L73">
        <f t="shared" si="10"/>
        <v>0</v>
      </c>
      <c r="M73">
        <f>HLOOKUP(C73,Assumptions!$A$6:$J$7,2,TRUE)</f>
        <v>2.6499999999999999E-2</v>
      </c>
      <c r="N73" s="23">
        <f t="shared" si="0"/>
        <v>0</v>
      </c>
      <c r="O73" s="23">
        <f t="shared" si="7"/>
        <v>0</v>
      </c>
      <c r="P73">
        <f t="shared" si="11"/>
        <v>0</v>
      </c>
      <c r="Q73" s="23">
        <f t="shared" si="8"/>
        <v>0</v>
      </c>
      <c r="R73">
        <f>Q72*Assumptions!$B$11/$E$2*N73</f>
        <v>0</v>
      </c>
      <c r="S73">
        <f>Q72*Assumptions!$B$13/$E$2*N73</f>
        <v>0</v>
      </c>
      <c r="T73">
        <f>L73*Assumptions!$B$15</f>
        <v>0</v>
      </c>
      <c r="U73">
        <f>S73*Assumptions!$B$17</f>
        <v>0</v>
      </c>
      <c r="V73">
        <f>HLOOKUP(B73,Assumptions!$A$26:$D$27,2,TRUE)</f>
        <v>0</v>
      </c>
      <c r="W73">
        <f t="shared" si="12"/>
        <v>0</v>
      </c>
      <c r="X73">
        <f t="shared" si="13"/>
        <v>0.75</v>
      </c>
      <c r="Y73">
        <f>IF(B73&gt;$M$2,0,IF(X74=0,0,(1-X74)*Assumptions!$B$11/$E$2*(1-Assumptions!$B$30)))</f>
        <v>0</v>
      </c>
      <c r="Z73">
        <f>(R73-S73)*(1-Assumptions!$B$30)-U73+Y72*Q72</f>
        <v>0</v>
      </c>
      <c r="AA73">
        <f>AA72*(1+Assumptions!$B$36)^(1/12)</f>
        <v>1.0527544791254393</v>
      </c>
      <c r="AB73" s="20">
        <f>IF(B73&gt;$M$2,0,AA72*Assumptions!$B$32/12*Q72+Z73*Assumptions!$B$34/12)</f>
        <v>0</v>
      </c>
      <c r="AC73" s="21">
        <f>1/(1+HLOOKUP(YEAR(A73),Assumptions!$A$41:$AL$43,3,TRUE))^(1/12)</f>
        <v>0.99881993499877397</v>
      </c>
      <c r="AD73">
        <f t="shared" si="9"/>
        <v>0</v>
      </c>
      <c r="AE73">
        <f t="shared" si="14"/>
        <v>0</v>
      </c>
    </row>
    <row r="74" spans="1:31" x14ac:dyDescent="0.2">
      <c r="A74" s="2">
        <f t="shared" si="15"/>
        <v>45016</v>
      </c>
      <c r="B74">
        <f t="shared" si="1"/>
        <v>143</v>
      </c>
      <c r="C74">
        <f t="shared" si="2"/>
        <v>11.833333333333334</v>
      </c>
      <c r="D74">
        <f t="shared" si="3"/>
        <v>0</v>
      </c>
      <c r="E74">
        <f t="shared" si="4"/>
        <v>66</v>
      </c>
      <c r="F74">
        <f t="shared" si="5"/>
        <v>58</v>
      </c>
      <c r="G74">
        <f>IF(C74&gt;=$L$2,0,VLOOKUP($E74,'Mortality Table'!$A$3:$C$128,2+H$2,FALSE))</f>
        <v>0</v>
      </c>
      <c r="H74">
        <f>IF(C74&gt;=$L$2,0,VLOOKUP($E74,'Mortality Table'!$A$3:$C$128,2+I$2,FALSE))</f>
        <v>0</v>
      </c>
      <c r="I74" s="17">
        <f>G74*Assumptions!$B$1</f>
        <v>0</v>
      </c>
      <c r="J74" s="17">
        <f>H74*Assumptions!$B$1</f>
        <v>0</v>
      </c>
      <c r="K74">
        <f t="shared" si="6"/>
        <v>0</v>
      </c>
      <c r="L74">
        <f t="shared" si="10"/>
        <v>0</v>
      </c>
      <c r="M74">
        <f>HLOOKUP(C74,Assumptions!$A$6:$J$7,2,TRUE)</f>
        <v>2.6499999999999999E-2</v>
      </c>
      <c r="N74" s="23">
        <f t="shared" si="0"/>
        <v>0</v>
      </c>
      <c r="O74" s="23">
        <f t="shared" si="7"/>
        <v>0</v>
      </c>
      <c r="P74">
        <f t="shared" si="11"/>
        <v>0</v>
      </c>
      <c r="Q74" s="23">
        <f t="shared" si="8"/>
        <v>0</v>
      </c>
      <c r="R74">
        <f>Q73*Assumptions!$B$11/$E$2*N74</f>
        <v>0</v>
      </c>
      <c r="S74">
        <f>Q73*Assumptions!$B$13/$E$2*N74</f>
        <v>0</v>
      </c>
      <c r="T74">
        <f>L74*Assumptions!$B$15</f>
        <v>0</v>
      </c>
      <c r="U74">
        <f>S74*Assumptions!$B$17</f>
        <v>0</v>
      </c>
      <c r="V74">
        <f>HLOOKUP(B74,Assumptions!$A$26:$D$27,2,TRUE)</f>
        <v>0</v>
      </c>
      <c r="W74">
        <f t="shared" si="12"/>
        <v>0</v>
      </c>
      <c r="X74">
        <f t="shared" si="13"/>
        <v>0.83333333333333393</v>
      </c>
      <c r="Y74">
        <f>IF(B74&gt;$M$2,0,IF(X75=0,0,(1-X75)*Assumptions!$B$11/$E$2*(1-Assumptions!$B$30)))</f>
        <v>0</v>
      </c>
      <c r="Z74">
        <f>(R74-S74)*(1-Assumptions!$B$30)-U74+Y73*Q73</f>
        <v>0</v>
      </c>
      <c r="AA74">
        <f>AA73*(1+Assumptions!$B$36)^(1/12)</f>
        <v>1.0536277790909225</v>
      </c>
      <c r="AB74" s="20">
        <f>IF(B74&gt;$M$2,0,AA73*Assumptions!$B$32/12*Q73+Z74*Assumptions!$B$34/12)</f>
        <v>0</v>
      </c>
      <c r="AC74" s="21">
        <f>1/(1+HLOOKUP(YEAR(A74),Assumptions!$A$41:$AL$43,3,TRUE))^(1/12)</f>
        <v>0.99881993499877397</v>
      </c>
      <c r="AD74">
        <f t="shared" si="9"/>
        <v>0</v>
      </c>
      <c r="AE74">
        <f t="shared" si="14"/>
        <v>0</v>
      </c>
    </row>
    <row r="75" spans="1:31" x14ac:dyDescent="0.2">
      <c r="A75" s="2">
        <f t="shared" si="15"/>
        <v>45046</v>
      </c>
      <c r="B75">
        <f t="shared" si="1"/>
        <v>144</v>
      </c>
      <c r="C75">
        <f t="shared" si="2"/>
        <v>11.916666666666666</v>
      </c>
      <c r="D75">
        <f t="shared" si="3"/>
        <v>0</v>
      </c>
      <c r="E75">
        <f t="shared" si="4"/>
        <v>66</v>
      </c>
      <c r="F75">
        <f t="shared" si="5"/>
        <v>58</v>
      </c>
      <c r="G75">
        <f>IF(C75&gt;=$L$2,0,VLOOKUP($E75,'Mortality Table'!$A$3:$C$128,2+H$2,FALSE))</f>
        <v>0</v>
      </c>
      <c r="H75">
        <f>IF(C75&gt;=$L$2,0,VLOOKUP($E75,'Mortality Table'!$A$3:$C$128,2+I$2,FALSE))</f>
        <v>0</v>
      </c>
      <c r="I75" s="17">
        <f>G75*Assumptions!$B$1</f>
        <v>0</v>
      </c>
      <c r="J75" s="17">
        <f>H75*Assumptions!$B$1</f>
        <v>0</v>
      </c>
      <c r="K75">
        <f t="shared" si="6"/>
        <v>0</v>
      </c>
      <c r="L75">
        <f t="shared" si="10"/>
        <v>0</v>
      </c>
      <c r="M75">
        <f>HLOOKUP(C75,Assumptions!$A$6:$J$7,2,TRUE)</f>
        <v>2.6499999999999999E-2</v>
      </c>
      <c r="N75" s="23">
        <f t="shared" ref="N75:N138" si="16">IF(B75&gt;$M$2,0,IF(($E$2*(B75+11))/12-INT(($E$2*(B75+11))/12)=0,1,0))</f>
        <v>0</v>
      </c>
      <c r="O75" s="23">
        <f t="shared" si="7"/>
        <v>0</v>
      </c>
      <c r="P75">
        <f t="shared" si="11"/>
        <v>0</v>
      </c>
      <c r="Q75" s="23">
        <f t="shared" si="8"/>
        <v>0</v>
      </c>
      <c r="R75">
        <f>Q74*Assumptions!$B$11/$E$2*N75</f>
        <v>0</v>
      </c>
      <c r="S75">
        <f>Q74*Assumptions!$B$13/$E$2*N75</f>
        <v>0</v>
      </c>
      <c r="T75">
        <f>L75*Assumptions!$B$15</f>
        <v>0</v>
      </c>
      <c r="U75">
        <f>S75*Assumptions!$B$17</f>
        <v>0</v>
      </c>
      <c r="V75">
        <f>HLOOKUP(B75,Assumptions!$A$26:$D$27,2,TRUE)</f>
        <v>0</v>
      </c>
      <c r="W75">
        <f t="shared" si="12"/>
        <v>0</v>
      </c>
      <c r="X75">
        <f t="shared" si="13"/>
        <v>0.91666666666666607</v>
      </c>
      <c r="Y75">
        <f>IF(B75&gt;$M$2,0,IF(X76=0,0,(1-X76)*Assumptions!$B$11/$E$2*(1-Assumptions!$B$30)))</f>
        <v>0</v>
      </c>
      <c r="Z75">
        <f>(R75-S75)*(1-Assumptions!$B$30)-U75+Y74*Q74</f>
        <v>0</v>
      </c>
      <c r="AA75">
        <f>AA74*(1+Assumptions!$B$36)^(1/12)</f>
        <v>1.0545018034920124</v>
      </c>
      <c r="AB75" s="20">
        <f>IF(B75&gt;$M$2,0,AA74*Assumptions!$B$32/12*Q74+Z75*Assumptions!$B$34/12)</f>
        <v>0</v>
      </c>
      <c r="AC75" s="21">
        <f>1/(1+HLOOKUP(YEAR(A75),Assumptions!$A$41:$AL$43,3,TRUE))^(1/12)</f>
        <v>0.99881993499877397</v>
      </c>
      <c r="AD75">
        <f t="shared" si="9"/>
        <v>0</v>
      </c>
      <c r="AE75">
        <f t="shared" si="14"/>
        <v>0</v>
      </c>
    </row>
    <row r="76" spans="1:31" x14ac:dyDescent="0.2">
      <c r="A76" s="2">
        <f t="shared" si="15"/>
        <v>45077</v>
      </c>
      <c r="B76">
        <f t="shared" si="1"/>
        <v>145</v>
      </c>
      <c r="C76">
        <f t="shared" ref="C76:C139" si="17">(B76+11)/12-1</f>
        <v>12</v>
      </c>
      <c r="D76">
        <f t="shared" ref="D76:D139" si="18">IF(C76-INT(C76)=0,1,0)</f>
        <v>1</v>
      </c>
      <c r="E76">
        <f t="shared" ref="E76:E139" si="19">$C$2+INT($C76)</f>
        <v>67</v>
      </c>
      <c r="F76">
        <f t="shared" ref="F76:F139" si="20">$F$2+INT($C76)</f>
        <v>59</v>
      </c>
      <c r="G76">
        <f>IF(C76&gt;=$L$2,0,VLOOKUP($E76,'Mortality Table'!$A$3:$C$128,2+H$2,FALSE))</f>
        <v>0</v>
      </c>
      <c r="H76">
        <f>IF(C76&gt;=$L$2,0,VLOOKUP($E76,'Mortality Table'!$A$3:$C$128,2+I$2,FALSE))</f>
        <v>0</v>
      </c>
      <c r="I76" s="17">
        <f>G76*Assumptions!$B$1</f>
        <v>0</v>
      </c>
      <c r="J76" s="17">
        <f>H76*Assumptions!$B$1</f>
        <v>0</v>
      </c>
      <c r="K76">
        <f t="shared" ref="K76:K139" si="21">I76+J76-I76*J76</f>
        <v>0</v>
      </c>
      <c r="L76">
        <f t="shared" si="10"/>
        <v>0</v>
      </c>
      <c r="M76">
        <f>HLOOKUP(C76,Assumptions!$A$6:$J$7,2,TRUE)</f>
        <v>2.6499999999999999E-2</v>
      </c>
      <c r="N76" s="23">
        <f t="shared" si="16"/>
        <v>0</v>
      </c>
      <c r="O76" s="23">
        <f t="shared" ref="O76:O139" si="22">IF(B77&gt;$M$2,0,IF(N77=0,0,1/$E$2))</f>
        <v>0</v>
      </c>
      <c r="P76">
        <f t="shared" si="11"/>
        <v>0</v>
      </c>
      <c r="Q76" s="23">
        <f t="shared" ref="Q76:Q139" si="23">IF(B76&gt;$M$2,0,Q75-L76-P76)</f>
        <v>0</v>
      </c>
      <c r="R76">
        <f>Q75*Assumptions!$B$11/$E$2*N76</f>
        <v>0</v>
      </c>
      <c r="S76">
        <f>Q75*Assumptions!$B$13/$E$2*N76</f>
        <v>0</v>
      </c>
      <c r="T76">
        <f>L76*Assumptions!$B$15</f>
        <v>0</v>
      </c>
      <c r="U76">
        <f>S76*Assumptions!$B$17</f>
        <v>0</v>
      </c>
      <c r="V76">
        <f>HLOOKUP(B76,Assumptions!$A$26:$D$27,2,TRUE)</f>
        <v>0</v>
      </c>
      <c r="W76">
        <f t="shared" si="12"/>
        <v>0</v>
      </c>
      <c r="X76">
        <f t="shared" si="13"/>
        <v>0</v>
      </c>
      <c r="Y76">
        <f>IF(B76&gt;$M$2,0,IF(X77=0,0,(1-X77)*Assumptions!$B$11/$E$2*(1-Assumptions!$B$30)))</f>
        <v>0</v>
      </c>
      <c r="Z76">
        <f>(R76-S76)*(1-Assumptions!$B$30)-U76+Y75*Q75</f>
        <v>0</v>
      </c>
      <c r="AA76">
        <f>AA75*(1+Assumptions!$B$36)^(1/12)</f>
        <v>1.0553765529296557</v>
      </c>
      <c r="AB76" s="20">
        <f>IF(B76&gt;$M$2,0,AA75*Assumptions!$B$32/12*Q75+Z76*Assumptions!$B$34/12)</f>
        <v>0</v>
      </c>
      <c r="AC76" s="21">
        <f>1/(1+HLOOKUP(YEAR(A76),Assumptions!$A$41:$AL$43,3,TRUE))^(1/12)</f>
        <v>0.99881993499877397</v>
      </c>
      <c r="AD76">
        <f t="shared" ref="AD76:AD139" si="24">(AD77+T77+U77+W77+AB77-R77)*AC77</f>
        <v>0</v>
      </c>
      <c r="AE76">
        <f t="shared" si="14"/>
        <v>0</v>
      </c>
    </row>
    <row r="77" spans="1:31" x14ac:dyDescent="0.2">
      <c r="A77" s="2">
        <f t="shared" si="15"/>
        <v>45107</v>
      </c>
      <c r="B77">
        <f t="shared" ref="B77:B140" si="25">B76+1</f>
        <v>146</v>
      </c>
      <c r="C77">
        <f t="shared" si="17"/>
        <v>12.083333333333334</v>
      </c>
      <c r="D77">
        <f t="shared" si="18"/>
        <v>0</v>
      </c>
      <c r="E77">
        <f t="shared" si="19"/>
        <v>67</v>
      </c>
      <c r="F77">
        <f t="shared" si="20"/>
        <v>59</v>
      </c>
      <c r="G77">
        <f>IF(C77&gt;=$L$2,0,VLOOKUP($E77,'Mortality Table'!$A$3:$C$128,2+H$2,FALSE))</f>
        <v>0</v>
      </c>
      <c r="H77">
        <f>IF(C77&gt;=$L$2,0,VLOOKUP($E77,'Mortality Table'!$A$3:$C$128,2+I$2,FALSE))</f>
        <v>0</v>
      </c>
      <c r="I77" s="17">
        <f>G77*Assumptions!$B$1</f>
        <v>0</v>
      </c>
      <c r="J77" s="17">
        <f>H77*Assumptions!$B$1</f>
        <v>0</v>
      </c>
      <c r="K77">
        <f t="shared" si="21"/>
        <v>0</v>
      </c>
      <c r="L77">
        <f t="shared" ref="L77:L140" si="26">(1-(1-K77)^(1/12))*Q76</f>
        <v>0</v>
      </c>
      <c r="M77">
        <f>HLOOKUP(C77,Assumptions!$A$6:$J$7,2,TRUE)</f>
        <v>2.6499999999999999E-2</v>
      </c>
      <c r="N77" s="23">
        <f t="shared" si="16"/>
        <v>0</v>
      </c>
      <c r="O77" s="23">
        <f t="shared" si="22"/>
        <v>0</v>
      </c>
      <c r="P77">
        <f t="shared" ref="P77:P140" si="27">(1-(1-M77)^O77)*(Q76-L77)</f>
        <v>0</v>
      </c>
      <c r="Q77" s="23">
        <f t="shared" si="23"/>
        <v>0</v>
      </c>
      <c r="R77">
        <f>Q76*Assumptions!$B$11/$E$2*N77</f>
        <v>0</v>
      </c>
      <c r="S77">
        <f>Q76*Assumptions!$B$13/$E$2*N77</f>
        <v>0</v>
      </c>
      <c r="T77">
        <f>L77*Assumptions!$B$15</f>
        <v>0</v>
      </c>
      <c r="U77">
        <f>S77*Assumptions!$B$17</f>
        <v>0</v>
      </c>
      <c r="V77">
        <f>HLOOKUP(B77,Assumptions!$A$26:$D$27,2,TRUE)</f>
        <v>0</v>
      </c>
      <c r="W77">
        <f t="shared" ref="W77:W140" si="28">R77*V77</f>
        <v>0</v>
      </c>
      <c r="X77">
        <f t="shared" ref="X77:X140" si="29">($E$2*(B77+11))/12-INT(($E$2*(B77+11))/12)</f>
        <v>8.3333333333333925E-2</v>
      </c>
      <c r="Y77">
        <f>IF(B77&gt;$M$2,0,IF(X78=0,0,(1-X78)*Assumptions!$B$11/$E$2*(1-Assumptions!$B$30)))</f>
        <v>0</v>
      </c>
      <c r="Z77">
        <f>(R77-S77)*(1-Assumptions!$B$30)-U77+Y76*Q76</f>
        <v>0</v>
      </c>
      <c r="AA77">
        <f>AA76*(1+Assumptions!$B$36)^(1/12)</f>
        <v>1.056252028005298</v>
      </c>
      <c r="AB77" s="20">
        <f>IF(B77&gt;$M$2,0,AA76*Assumptions!$B$32/12*Q76+Z77*Assumptions!$B$34/12)</f>
        <v>0</v>
      </c>
      <c r="AC77" s="21">
        <f>1/(1+HLOOKUP(YEAR(A77),Assumptions!$A$41:$AL$43,3,TRUE))^(1/12)</f>
        <v>0.99881993499877397</v>
      </c>
      <c r="AD77">
        <f t="shared" si="24"/>
        <v>0</v>
      </c>
      <c r="AE77">
        <f t="shared" ref="AE77:AE140" si="30">T77+U77</f>
        <v>0</v>
      </c>
    </row>
    <row r="78" spans="1:31" x14ac:dyDescent="0.2">
      <c r="A78" s="2">
        <f t="shared" si="15"/>
        <v>45138</v>
      </c>
      <c r="B78">
        <f t="shared" si="25"/>
        <v>147</v>
      </c>
      <c r="C78">
        <f t="shared" si="17"/>
        <v>12.166666666666666</v>
      </c>
      <c r="D78">
        <f t="shared" si="18"/>
        <v>0</v>
      </c>
      <c r="E78">
        <f t="shared" si="19"/>
        <v>67</v>
      </c>
      <c r="F78">
        <f t="shared" si="20"/>
        <v>59</v>
      </c>
      <c r="G78">
        <f>IF(C78&gt;=$L$2,0,VLOOKUP($E78,'Mortality Table'!$A$3:$C$128,2+H$2,FALSE))</f>
        <v>0</v>
      </c>
      <c r="H78">
        <f>IF(C78&gt;=$L$2,0,VLOOKUP($E78,'Mortality Table'!$A$3:$C$128,2+I$2,FALSE))</f>
        <v>0</v>
      </c>
      <c r="I78" s="17">
        <f>G78*Assumptions!$B$1</f>
        <v>0</v>
      </c>
      <c r="J78" s="17">
        <f>H78*Assumptions!$B$1</f>
        <v>0</v>
      </c>
      <c r="K78">
        <f t="shared" si="21"/>
        <v>0</v>
      </c>
      <c r="L78">
        <f t="shared" si="26"/>
        <v>0</v>
      </c>
      <c r="M78">
        <f>HLOOKUP(C78,Assumptions!$A$6:$J$7,2,TRUE)</f>
        <v>2.6499999999999999E-2</v>
      </c>
      <c r="N78" s="23">
        <f t="shared" si="16"/>
        <v>0</v>
      </c>
      <c r="O78" s="23">
        <f t="shared" si="22"/>
        <v>0</v>
      </c>
      <c r="P78">
        <f t="shared" si="27"/>
        <v>0</v>
      </c>
      <c r="Q78" s="23">
        <f t="shared" si="23"/>
        <v>0</v>
      </c>
      <c r="R78">
        <f>Q77*Assumptions!$B$11/$E$2*N78</f>
        <v>0</v>
      </c>
      <c r="S78">
        <f>Q77*Assumptions!$B$13/$E$2*N78</f>
        <v>0</v>
      </c>
      <c r="T78">
        <f>L78*Assumptions!$B$15</f>
        <v>0</v>
      </c>
      <c r="U78">
        <f>S78*Assumptions!$B$17</f>
        <v>0</v>
      </c>
      <c r="V78">
        <f>HLOOKUP(B78,Assumptions!$A$26:$D$27,2,TRUE)</f>
        <v>0</v>
      </c>
      <c r="W78">
        <f t="shared" si="28"/>
        <v>0</v>
      </c>
      <c r="X78">
        <f t="shared" si="29"/>
        <v>0.16666666666666607</v>
      </c>
      <c r="Y78">
        <f>IF(B78&gt;$M$2,0,IF(X79=0,0,(1-X79)*Assumptions!$B$11/$E$2*(1-Assumptions!$B$30)))</f>
        <v>0</v>
      </c>
      <c r="Z78">
        <f>(R78-S78)*(1-Assumptions!$B$30)-U78+Y77*Q77</f>
        <v>0</v>
      </c>
      <c r="AA78">
        <f>AA77*(1+Assumptions!$B$36)^(1/12)</f>
        <v>1.0571282293208839</v>
      </c>
      <c r="AB78" s="20">
        <f>IF(B78&gt;$M$2,0,AA77*Assumptions!$B$32/12*Q77+Z78*Assumptions!$B$34/12)</f>
        <v>0</v>
      </c>
      <c r="AC78" s="21">
        <f>1/(1+HLOOKUP(YEAR(A78),Assumptions!$A$41:$AL$43,3,TRUE))^(1/12)</f>
        <v>0.99881993499877397</v>
      </c>
      <c r="AD78">
        <f t="shared" si="24"/>
        <v>0</v>
      </c>
      <c r="AE78">
        <f t="shared" si="30"/>
        <v>0</v>
      </c>
    </row>
    <row r="79" spans="1:31" x14ac:dyDescent="0.2">
      <c r="A79" s="2">
        <f t="shared" ref="A79:A142" si="31">DATE(YEAR(A78),MONTH(A78)+2,1)-1</f>
        <v>45169</v>
      </c>
      <c r="B79">
        <f t="shared" si="25"/>
        <v>148</v>
      </c>
      <c r="C79">
        <f t="shared" si="17"/>
        <v>12.25</v>
      </c>
      <c r="D79">
        <f t="shared" si="18"/>
        <v>0</v>
      </c>
      <c r="E79">
        <f t="shared" si="19"/>
        <v>67</v>
      </c>
      <c r="F79">
        <f t="shared" si="20"/>
        <v>59</v>
      </c>
      <c r="G79">
        <f>IF(C79&gt;=$L$2,0,VLOOKUP($E79,'Mortality Table'!$A$3:$C$128,2+H$2,FALSE))</f>
        <v>0</v>
      </c>
      <c r="H79">
        <f>IF(C79&gt;=$L$2,0,VLOOKUP($E79,'Mortality Table'!$A$3:$C$128,2+I$2,FALSE))</f>
        <v>0</v>
      </c>
      <c r="I79" s="17">
        <f>G79*Assumptions!$B$1</f>
        <v>0</v>
      </c>
      <c r="J79" s="17">
        <f>H79*Assumptions!$B$1</f>
        <v>0</v>
      </c>
      <c r="K79">
        <f t="shared" si="21"/>
        <v>0</v>
      </c>
      <c r="L79">
        <f t="shared" si="26"/>
        <v>0</v>
      </c>
      <c r="M79">
        <f>HLOOKUP(C79,Assumptions!$A$6:$J$7,2,TRUE)</f>
        <v>2.6499999999999999E-2</v>
      </c>
      <c r="N79" s="23">
        <f t="shared" si="16"/>
        <v>0</v>
      </c>
      <c r="O79" s="23">
        <f t="shared" si="22"/>
        <v>0</v>
      </c>
      <c r="P79">
        <f t="shared" si="27"/>
        <v>0</v>
      </c>
      <c r="Q79" s="23">
        <f t="shared" si="23"/>
        <v>0</v>
      </c>
      <c r="R79">
        <f>Q78*Assumptions!$B$11/$E$2*N79</f>
        <v>0</v>
      </c>
      <c r="S79">
        <f>Q78*Assumptions!$B$13/$E$2*N79</f>
        <v>0</v>
      </c>
      <c r="T79">
        <f>L79*Assumptions!$B$15</f>
        <v>0</v>
      </c>
      <c r="U79">
        <f>S79*Assumptions!$B$17</f>
        <v>0</v>
      </c>
      <c r="V79">
        <f>HLOOKUP(B79,Assumptions!$A$26:$D$27,2,TRUE)</f>
        <v>0</v>
      </c>
      <c r="W79">
        <f t="shared" si="28"/>
        <v>0</v>
      </c>
      <c r="X79">
        <f t="shared" si="29"/>
        <v>0.25</v>
      </c>
      <c r="Y79">
        <f>IF(B79&gt;$M$2,0,IF(X80=0,0,(1-X80)*Assumptions!$B$11/$E$2*(1-Assumptions!$B$30)))</f>
        <v>0</v>
      </c>
      <c r="Z79">
        <f>(R79-S79)*(1-Assumptions!$B$30)-U79+Y78*Q78</f>
        <v>0</v>
      </c>
      <c r="AA79">
        <f>AA78*(1+Assumptions!$B$36)^(1/12)</f>
        <v>1.0580051574788569</v>
      </c>
      <c r="AB79" s="20">
        <f>IF(B79&gt;$M$2,0,AA78*Assumptions!$B$32/12*Q78+Z79*Assumptions!$B$34/12)</f>
        <v>0</v>
      </c>
      <c r="AC79" s="21">
        <f>1/(1+HLOOKUP(YEAR(A79),Assumptions!$A$41:$AL$43,3,TRUE))^(1/12)</f>
        <v>0.99881993499877397</v>
      </c>
      <c r="AD79">
        <f t="shared" si="24"/>
        <v>0</v>
      </c>
      <c r="AE79">
        <f t="shared" si="30"/>
        <v>0</v>
      </c>
    </row>
    <row r="80" spans="1:31" x14ac:dyDescent="0.2">
      <c r="A80" s="2">
        <f t="shared" si="31"/>
        <v>45199</v>
      </c>
      <c r="B80">
        <f t="shared" si="25"/>
        <v>149</v>
      </c>
      <c r="C80">
        <f t="shared" si="17"/>
        <v>12.333333333333334</v>
      </c>
      <c r="D80">
        <f t="shared" si="18"/>
        <v>0</v>
      </c>
      <c r="E80">
        <f t="shared" si="19"/>
        <v>67</v>
      </c>
      <c r="F80">
        <f t="shared" si="20"/>
        <v>59</v>
      </c>
      <c r="G80">
        <f>IF(C80&gt;=$L$2,0,VLOOKUP($E80,'Mortality Table'!$A$3:$C$128,2+H$2,FALSE))</f>
        <v>0</v>
      </c>
      <c r="H80">
        <f>IF(C80&gt;=$L$2,0,VLOOKUP($E80,'Mortality Table'!$A$3:$C$128,2+I$2,FALSE))</f>
        <v>0</v>
      </c>
      <c r="I80" s="17">
        <f>G80*Assumptions!$B$1</f>
        <v>0</v>
      </c>
      <c r="J80" s="17">
        <f>H80*Assumptions!$B$1</f>
        <v>0</v>
      </c>
      <c r="K80">
        <f t="shared" si="21"/>
        <v>0</v>
      </c>
      <c r="L80">
        <f t="shared" si="26"/>
        <v>0</v>
      </c>
      <c r="M80">
        <f>HLOOKUP(C80,Assumptions!$A$6:$J$7,2,TRUE)</f>
        <v>2.6499999999999999E-2</v>
      </c>
      <c r="N80" s="23">
        <f t="shared" si="16"/>
        <v>0</v>
      </c>
      <c r="O80" s="23">
        <f t="shared" si="22"/>
        <v>0</v>
      </c>
      <c r="P80">
        <f t="shared" si="27"/>
        <v>0</v>
      </c>
      <c r="Q80" s="23">
        <f t="shared" si="23"/>
        <v>0</v>
      </c>
      <c r="R80">
        <f>Q79*Assumptions!$B$11/$E$2*N80</f>
        <v>0</v>
      </c>
      <c r="S80">
        <f>Q79*Assumptions!$B$13/$E$2*N80</f>
        <v>0</v>
      </c>
      <c r="T80">
        <f>L80*Assumptions!$B$15</f>
        <v>0</v>
      </c>
      <c r="U80">
        <f>S80*Assumptions!$B$17</f>
        <v>0</v>
      </c>
      <c r="V80">
        <f>HLOOKUP(B80,Assumptions!$A$26:$D$27,2,TRUE)</f>
        <v>0</v>
      </c>
      <c r="W80">
        <f t="shared" si="28"/>
        <v>0</v>
      </c>
      <c r="X80">
        <f t="shared" si="29"/>
        <v>0.33333333333333393</v>
      </c>
      <c r="Y80">
        <f>IF(B80&gt;$M$2,0,IF(X81=0,0,(1-X81)*Assumptions!$B$11/$E$2*(1-Assumptions!$B$30)))</f>
        <v>0</v>
      </c>
      <c r="Z80">
        <f>(R80-S80)*(1-Assumptions!$B$30)-U80+Y79*Q79</f>
        <v>0</v>
      </c>
      <c r="AA80">
        <f>AA79*(1+Assumptions!$B$36)^(1/12)</f>
        <v>1.0588828130821604</v>
      </c>
      <c r="AB80" s="20">
        <f>IF(B80&gt;$M$2,0,AA79*Assumptions!$B$32/12*Q79+Z80*Assumptions!$B$34/12)</f>
        <v>0</v>
      </c>
      <c r="AC80" s="21">
        <f>1/(1+HLOOKUP(YEAR(A80),Assumptions!$A$41:$AL$43,3,TRUE))^(1/12)</f>
        <v>0.99881993499877397</v>
      </c>
      <c r="AD80">
        <f t="shared" si="24"/>
        <v>0</v>
      </c>
      <c r="AE80">
        <f t="shared" si="30"/>
        <v>0</v>
      </c>
    </row>
    <row r="81" spans="1:31" x14ac:dyDescent="0.2">
      <c r="A81" s="2">
        <f t="shared" si="31"/>
        <v>45230</v>
      </c>
      <c r="B81">
        <f t="shared" si="25"/>
        <v>150</v>
      </c>
      <c r="C81">
        <f t="shared" si="17"/>
        <v>12.416666666666666</v>
      </c>
      <c r="D81">
        <f t="shared" si="18"/>
        <v>0</v>
      </c>
      <c r="E81">
        <f t="shared" si="19"/>
        <v>67</v>
      </c>
      <c r="F81">
        <f t="shared" si="20"/>
        <v>59</v>
      </c>
      <c r="G81">
        <f>IF(C81&gt;=$L$2,0,VLOOKUP($E81,'Mortality Table'!$A$3:$C$128,2+H$2,FALSE))</f>
        <v>0</v>
      </c>
      <c r="H81">
        <f>IF(C81&gt;=$L$2,0,VLOOKUP($E81,'Mortality Table'!$A$3:$C$128,2+I$2,FALSE))</f>
        <v>0</v>
      </c>
      <c r="I81" s="17">
        <f>G81*Assumptions!$B$1</f>
        <v>0</v>
      </c>
      <c r="J81" s="17">
        <f>H81*Assumptions!$B$1</f>
        <v>0</v>
      </c>
      <c r="K81">
        <f t="shared" si="21"/>
        <v>0</v>
      </c>
      <c r="L81">
        <f t="shared" si="26"/>
        <v>0</v>
      </c>
      <c r="M81">
        <f>HLOOKUP(C81,Assumptions!$A$6:$J$7,2,TRUE)</f>
        <v>2.6499999999999999E-2</v>
      </c>
      <c r="N81" s="23">
        <f t="shared" si="16"/>
        <v>0</v>
      </c>
      <c r="O81" s="23">
        <f t="shared" si="22"/>
        <v>0</v>
      </c>
      <c r="P81">
        <f t="shared" si="27"/>
        <v>0</v>
      </c>
      <c r="Q81" s="23">
        <f t="shared" si="23"/>
        <v>0</v>
      </c>
      <c r="R81">
        <f>Q80*Assumptions!$B$11/$E$2*N81</f>
        <v>0</v>
      </c>
      <c r="S81">
        <f>Q80*Assumptions!$B$13/$E$2*N81</f>
        <v>0</v>
      </c>
      <c r="T81">
        <f>L81*Assumptions!$B$15</f>
        <v>0</v>
      </c>
      <c r="U81">
        <f>S81*Assumptions!$B$17</f>
        <v>0</v>
      </c>
      <c r="V81">
        <f>HLOOKUP(B81,Assumptions!$A$26:$D$27,2,TRUE)</f>
        <v>0</v>
      </c>
      <c r="W81">
        <f t="shared" si="28"/>
        <v>0</v>
      </c>
      <c r="X81">
        <f t="shared" si="29"/>
        <v>0.41666666666666607</v>
      </c>
      <c r="Y81">
        <f>IF(B81&gt;$M$2,0,IF(X82=0,0,(1-X82)*Assumptions!$B$11/$E$2*(1-Assumptions!$B$30)))</f>
        <v>0</v>
      </c>
      <c r="Z81">
        <f>(R81-S81)*(1-Assumptions!$B$30)-U81+Y80*Q80</f>
        <v>0</v>
      </c>
      <c r="AA81">
        <f>AA80*(1+Assumptions!$B$36)^(1/12)</f>
        <v>1.0597611967342382</v>
      </c>
      <c r="AB81" s="20">
        <f>IF(B81&gt;$M$2,0,AA80*Assumptions!$B$32/12*Q80+Z81*Assumptions!$B$34/12)</f>
        <v>0</v>
      </c>
      <c r="AC81" s="21">
        <f>1/(1+HLOOKUP(YEAR(A81),Assumptions!$A$41:$AL$43,3,TRUE))^(1/12)</f>
        <v>0.99881993499877397</v>
      </c>
      <c r="AD81">
        <f t="shared" si="24"/>
        <v>0</v>
      </c>
      <c r="AE81">
        <f t="shared" si="30"/>
        <v>0</v>
      </c>
    </row>
    <row r="82" spans="1:31" x14ac:dyDescent="0.2">
      <c r="A82" s="2">
        <f t="shared" si="31"/>
        <v>45260</v>
      </c>
      <c r="B82">
        <f t="shared" si="25"/>
        <v>151</v>
      </c>
      <c r="C82">
        <f t="shared" si="17"/>
        <v>12.5</v>
      </c>
      <c r="D82">
        <f t="shared" si="18"/>
        <v>0</v>
      </c>
      <c r="E82">
        <f t="shared" si="19"/>
        <v>67</v>
      </c>
      <c r="F82">
        <f t="shared" si="20"/>
        <v>59</v>
      </c>
      <c r="G82">
        <f>IF(C82&gt;=$L$2,0,VLOOKUP($E82,'Mortality Table'!$A$3:$C$128,2+H$2,FALSE))</f>
        <v>0</v>
      </c>
      <c r="H82">
        <f>IF(C82&gt;=$L$2,0,VLOOKUP($E82,'Mortality Table'!$A$3:$C$128,2+I$2,FALSE))</f>
        <v>0</v>
      </c>
      <c r="I82" s="17">
        <f>G82*Assumptions!$B$1</f>
        <v>0</v>
      </c>
      <c r="J82" s="17">
        <f>H82*Assumptions!$B$1</f>
        <v>0</v>
      </c>
      <c r="K82">
        <f t="shared" si="21"/>
        <v>0</v>
      </c>
      <c r="L82">
        <f t="shared" si="26"/>
        <v>0</v>
      </c>
      <c r="M82">
        <f>HLOOKUP(C82,Assumptions!$A$6:$J$7,2,TRUE)</f>
        <v>2.6499999999999999E-2</v>
      </c>
      <c r="N82" s="23">
        <f t="shared" si="16"/>
        <v>0</v>
      </c>
      <c r="O82" s="23">
        <f t="shared" si="22"/>
        <v>0</v>
      </c>
      <c r="P82">
        <f t="shared" si="27"/>
        <v>0</v>
      </c>
      <c r="Q82" s="23">
        <f t="shared" si="23"/>
        <v>0</v>
      </c>
      <c r="R82">
        <f>Q81*Assumptions!$B$11/$E$2*N82</f>
        <v>0</v>
      </c>
      <c r="S82">
        <f>Q81*Assumptions!$B$13/$E$2*N82</f>
        <v>0</v>
      </c>
      <c r="T82">
        <f>L82*Assumptions!$B$15</f>
        <v>0</v>
      </c>
      <c r="U82">
        <f>S82*Assumptions!$B$17</f>
        <v>0</v>
      </c>
      <c r="V82">
        <f>HLOOKUP(B82,Assumptions!$A$26:$D$27,2,TRUE)</f>
        <v>0</v>
      </c>
      <c r="W82">
        <f t="shared" si="28"/>
        <v>0</v>
      </c>
      <c r="X82">
        <f t="shared" si="29"/>
        <v>0.5</v>
      </c>
      <c r="Y82">
        <f>IF(B82&gt;$M$2,0,IF(X83=0,0,(1-X83)*Assumptions!$B$11/$E$2*(1-Assumptions!$B$30)))</f>
        <v>0</v>
      </c>
      <c r="Z82">
        <f>(R82-S82)*(1-Assumptions!$B$30)-U82+Y81*Q81</f>
        <v>0</v>
      </c>
      <c r="AA82">
        <f>AA81*(1+Assumptions!$B$36)^(1/12)</f>
        <v>1.0606403090390344</v>
      </c>
      <c r="AB82" s="20">
        <f>IF(B82&gt;$M$2,0,AA81*Assumptions!$B$32/12*Q81+Z82*Assumptions!$B$34/12)</f>
        <v>0</v>
      </c>
      <c r="AC82" s="21">
        <f>1/(1+HLOOKUP(YEAR(A82),Assumptions!$A$41:$AL$43,3,TRUE))^(1/12)</f>
        <v>0.99881993499877397</v>
      </c>
      <c r="AD82">
        <f t="shared" si="24"/>
        <v>0</v>
      </c>
      <c r="AE82">
        <f t="shared" si="30"/>
        <v>0</v>
      </c>
    </row>
    <row r="83" spans="1:31" x14ac:dyDescent="0.2">
      <c r="A83" s="2">
        <f t="shared" si="31"/>
        <v>45291</v>
      </c>
      <c r="B83">
        <f t="shared" si="25"/>
        <v>152</v>
      </c>
      <c r="C83">
        <f t="shared" si="17"/>
        <v>12.583333333333334</v>
      </c>
      <c r="D83">
        <f t="shared" si="18"/>
        <v>0</v>
      </c>
      <c r="E83">
        <f t="shared" si="19"/>
        <v>67</v>
      </c>
      <c r="F83">
        <f t="shared" si="20"/>
        <v>59</v>
      </c>
      <c r="G83">
        <f>IF(C83&gt;=$L$2,0,VLOOKUP($E83,'Mortality Table'!$A$3:$C$128,2+H$2,FALSE))</f>
        <v>0</v>
      </c>
      <c r="H83">
        <f>IF(C83&gt;=$L$2,0,VLOOKUP($E83,'Mortality Table'!$A$3:$C$128,2+I$2,FALSE))</f>
        <v>0</v>
      </c>
      <c r="I83" s="17">
        <f>G83*Assumptions!$B$1</f>
        <v>0</v>
      </c>
      <c r="J83" s="17">
        <f>H83*Assumptions!$B$1</f>
        <v>0</v>
      </c>
      <c r="K83">
        <f t="shared" si="21"/>
        <v>0</v>
      </c>
      <c r="L83">
        <f t="shared" si="26"/>
        <v>0</v>
      </c>
      <c r="M83">
        <f>HLOOKUP(C83,Assumptions!$A$6:$J$7,2,TRUE)</f>
        <v>2.6499999999999999E-2</v>
      </c>
      <c r="N83" s="23">
        <f t="shared" si="16"/>
        <v>0</v>
      </c>
      <c r="O83" s="23">
        <f t="shared" si="22"/>
        <v>0</v>
      </c>
      <c r="P83">
        <f t="shared" si="27"/>
        <v>0</v>
      </c>
      <c r="Q83" s="23">
        <f t="shared" si="23"/>
        <v>0</v>
      </c>
      <c r="R83">
        <f>Q82*Assumptions!$B$11/$E$2*N83</f>
        <v>0</v>
      </c>
      <c r="S83">
        <f>Q82*Assumptions!$B$13/$E$2*N83</f>
        <v>0</v>
      </c>
      <c r="T83">
        <f>L83*Assumptions!$B$15</f>
        <v>0</v>
      </c>
      <c r="U83">
        <f>S83*Assumptions!$B$17</f>
        <v>0</v>
      </c>
      <c r="V83">
        <f>HLOOKUP(B83,Assumptions!$A$26:$D$27,2,TRUE)</f>
        <v>0</v>
      </c>
      <c r="W83">
        <f t="shared" si="28"/>
        <v>0</v>
      </c>
      <c r="X83">
        <f t="shared" si="29"/>
        <v>0.58333333333333393</v>
      </c>
      <c r="Y83">
        <f>IF(B83&gt;$M$2,0,IF(X84=0,0,(1-X84)*Assumptions!$B$11/$E$2*(1-Assumptions!$B$30)))</f>
        <v>0</v>
      </c>
      <c r="Z83">
        <f>(R83-S83)*(1-Assumptions!$B$30)-U83+Y82*Q82</f>
        <v>0</v>
      </c>
      <c r="AA83">
        <f>AA82*(1+Assumptions!$B$36)^(1/12)</f>
        <v>1.0615201506009941</v>
      </c>
      <c r="AB83" s="20">
        <f>IF(B83&gt;$M$2,0,AA82*Assumptions!$B$32/12*Q82+Z83*Assumptions!$B$34/12)</f>
        <v>0</v>
      </c>
      <c r="AC83" s="21">
        <f>1/(1+HLOOKUP(YEAR(A83),Assumptions!$A$41:$AL$43,3,TRUE))^(1/12)</f>
        <v>0.99881993499877397</v>
      </c>
      <c r="AD83">
        <f t="shared" si="24"/>
        <v>0</v>
      </c>
      <c r="AE83">
        <f t="shared" si="30"/>
        <v>0</v>
      </c>
    </row>
    <row r="84" spans="1:31" x14ac:dyDescent="0.2">
      <c r="A84" s="2">
        <f t="shared" si="31"/>
        <v>45322</v>
      </c>
      <c r="B84">
        <f t="shared" si="25"/>
        <v>153</v>
      </c>
      <c r="C84">
        <f t="shared" si="17"/>
        <v>12.666666666666666</v>
      </c>
      <c r="D84">
        <f t="shared" si="18"/>
        <v>0</v>
      </c>
      <c r="E84">
        <f t="shared" si="19"/>
        <v>67</v>
      </c>
      <c r="F84">
        <f t="shared" si="20"/>
        <v>59</v>
      </c>
      <c r="G84">
        <f>IF(C84&gt;=$L$2,0,VLOOKUP($E84,'Mortality Table'!$A$3:$C$128,2+H$2,FALSE))</f>
        <v>0</v>
      </c>
      <c r="H84">
        <f>IF(C84&gt;=$L$2,0,VLOOKUP($E84,'Mortality Table'!$A$3:$C$128,2+I$2,FALSE))</f>
        <v>0</v>
      </c>
      <c r="I84" s="17">
        <f>G84*Assumptions!$B$1</f>
        <v>0</v>
      </c>
      <c r="J84" s="17">
        <f>H84*Assumptions!$B$1</f>
        <v>0</v>
      </c>
      <c r="K84">
        <f t="shared" si="21"/>
        <v>0</v>
      </c>
      <c r="L84">
        <f t="shared" si="26"/>
        <v>0</v>
      </c>
      <c r="M84">
        <f>HLOOKUP(C84,Assumptions!$A$6:$J$7,2,TRUE)</f>
        <v>2.6499999999999999E-2</v>
      </c>
      <c r="N84" s="23">
        <f t="shared" si="16"/>
        <v>0</v>
      </c>
      <c r="O84" s="23">
        <f t="shared" si="22"/>
        <v>0</v>
      </c>
      <c r="P84">
        <f t="shared" si="27"/>
        <v>0</v>
      </c>
      <c r="Q84" s="23">
        <f t="shared" si="23"/>
        <v>0</v>
      </c>
      <c r="R84">
        <f>Q83*Assumptions!$B$11/$E$2*N84</f>
        <v>0</v>
      </c>
      <c r="S84">
        <f>Q83*Assumptions!$B$13/$E$2*N84</f>
        <v>0</v>
      </c>
      <c r="T84">
        <f>L84*Assumptions!$B$15</f>
        <v>0</v>
      </c>
      <c r="U84">
        <f>S84*Assumptions!$B$17</f>
        <v>0</v>
      </c>
      <c r="V84">
        <f>HLOOKUP(B84,Assumptions!$A$26:$D$27,2,TRUE)</f>
        <v>0</v>
      </c>
      <c r="W84">
        <f t="shared" si="28"/>
        <v>0</v>
      </c>
      <c r="X84">
        <f t="shared" si="29"/>
        <v>0.66666666666666607</v>
      </c>
      <c r="Y84">
        <f>IF(B84&gt;$M$2,0,IF(X85=0,0,(1-X85)*Assumptions!$B$11/$E$2*(1-Assumptions!$B$30)))</f>
        <v>0</v>
      </c>
      <c r="Z84">
        <f>(R84-S84)*(1-Assumptions!$B$30)-U84+Y83*Q83</f>
        <v>0</v>
      </c>
      <c r="AA84">
        <f>AA83*(1+Assumptions!$B$36)^(1/12)</f>
        <v>1.0624007220250642</v>
      </c>
      <c r="AB84" s="20">
        <f>IF(B84&gt;$M$2,0,AA83*Assumptions!$B$32/12*Q83+Z84*Assumptions!$B$34/12)</f>
        <v>0</v>
      </c>
      <c r="AC84" s="21">
        <f>1/(1+HLOOKUP(YEAR(A84),Assumptions!$A$41:$AL$43,3,TRUE))^(1/12)</f>
        <v>0.99879367902408245</v>
      </c>
      <c r="AD84">
        <f t="shared" si="24"/>
        <v>0</v>
      </c>
      <c r="AE84">
        <f t="shared" si="30"/>
        <v>0</v>
      </c>
    </row>
    <row r="85" spans="1:31" x14ac:dyDescent="0.2">
      <c r="A85" s="2">
        <f t="shared" si="31"/>
        <v>45351</v>
      </c>
      <c r="B85">
        <f t="shared" si="25"/>
        <v>154</v>
      </c>
      <c r="C85">
        <f t="shared" si="17"/>
        <v>12.75</v>
      </c>
      <c r="D85">
        <f t="shared" si="18"/>
        <v>0</v>
      </c>
      <c r="E85">
        <f t="shared" si="19"/>
        <v>67</v>
      </c>
      <c r="F85">
        <f t="shared" si="20"/>
        <v>59</v>
      </c>
      <c r="G85">
        <f>IF(C85&gt;=$L$2,0,VLOOKUP($E85,'Mortality Table'!$A$3:$C$128,2+H$2,FALSE))</f>
        <v>0</v>
      </c>
      <c r="H85">
        <f>IF(C85&gt;=$L$2,0,VLOOKUP($E85,'Mortality Table'!$A$3:$C$128,2+I$2,FALSE))</f>
        <v>0</v>
      </c>
      <c r="I85" s="17">
        <f>G85*Assumptions!$B$1</f>
        <v>0</v>
      </c>
      <c r="J85" s="17">
        <f>H85*Assumptions!$B$1</f>
        <v>0</v>
      </c>
      <c r="K85">
        <f t="shared" si="21"/>
        <v>0</v>
      </c>
      <c r="L85">
        <f t="shared" si="26"/>
        <v>0</v>
      </c>
      <c r="M85">
        <f>HLOOKUP(C85,Assumptions!$A$6:$J$7,2,TRUE)</f>
        <v>2.6499999999999999E-2</v>
      </c>
      <c r="N85" s="23">
        <f t="shared" si="16"/>
        <v>0</v>
      </c>
      <c r="O85" s="23">
        <f t="shared" si="22"/>
        <v>0</v>
      </c>
      <c r="P85">
        <f t="shared" si="27"/>
        <v>0</v>
      </c>
      <c r="Q85" s="23">
        <f t="shared" si="23"/>
        <v>0</v>
      </c>
      <c r="R85">
        <f>Q84*Assumptions!$B$11/$E$2*N85</f>
        <v>0</v>
      </c>
      <c r="S85">
        <f>Q84*Assumptions!$B$13/$E$2*N85</f>
        <v>0</v>
      </c>
      <c r="T85">
        <f>L85*Assumptions!$B$15</f>
        <v>0</v>
      </c>
      <c r="U85">
        <f>S85*Assumptions!$B$17</f>
        <v>0</v>
      </c>
      <c r="V85">
        <f>HLOOKUP(B85,Assumptions!$A$26:$D$27,2,TRUE)</f>
        <v>0</v>
      </c>
      <c r="W85">
        <f t="shared" si="28"/>
        <v>0</v>
      </c>
      <c r="X85">
        <f t="shared" si="29"/>
        <v>0.75</v>
      </c>
      <c r="Y85">
        <f>IF(B85&gt;$M$2,0,IF(X86=0,0,(1-X86)*Assumptions!$B$11/$E$2*(1-Assumptions!$B$30)))</f>
        <v>0</v>
      </c>
      <c r="Z85">
        <f>(R85-S85)*(1-Assumptions!$B$30)-U85+Y84*Q84</f>
        <v>0</v>
      </c>
      <c r="AA85">
        <f>AA84*(1+Assumptions!$B$36)^(1/12)</f>
        <v>1.0632820239166929</v>
      </c>
      <c r="AB85" s="20">
        <f>IF(B85&gt;$M$2,0,AA84*Assumptions!$B$32/12*Q84+Z85*Assumptions!$B$34/12)</f>
        <v>0</v>
      </c>
      <c r="AC85" s="21">
        <f>1/(1+HLOOKUP(YEAR(A85),Assumptions!$A$41:$AL$43,3,TRUE))^(1/12)</f>
        <v>0.99879367902408245</v>
      </c>
      <c r="AD85">
        <f t="shared" si="24"/>
        <v>0</v>
      </c>
      <c r="AE85">
        <f t="shared" si="30"/>
        <v>0</v>
      </c>
    </row>
    <row r="86" spans="1:31" x14ac:dyDescent="0.2">
      <c r="A86" s="2">
        <f t="shared" si="31"/>
        <v>45382</v>
      </c>
      <c r="B86">
        <f t="shared" si="25"/>
        <v>155</v>
      </c>
      <c r="C86">
        <f t="shared" si="17"/>
        <v>12.833333333333334</v>
      </c>
      <c r="D86">
        <f t="shared" si="18"/>
        <v>0</v>
      </c>
      <c r="E86">
        <f t="shared" si="19"/>
        <v>67</v>
      </c>
      <c r="F86">
        <f t="shared" si="20"/>
        <v>59</v>
      </c>
      <c r="G86">
        <f>IF(C86&gt;=$L$2,0,VLOOKUP($E86,'Mortality Table'!$A$3:$C$128,2+H$2,FALSE))</f>
        <v>0</v>
      </c>
      <c r="H86">
        <f>IF(C86&gt;=$L$2,0,VLOOKUP($E86,'Mortality Table'!$A$3:$C$128,2+I$2,FALSE))</f>
        <v>0</v>
      </c>
      <c r="I86" s="17">
        <f>G86*Assumptions!$B$1</f>
        <v>0</v>
      </c>
      <c r="J86" s="17">
        <f>H86*Assumptions!$B$1</f>
        <v>0</v>
      </c>
      <c r="K86">
        <f t="shared" si="21"/>
        <v>0</v>
      </c>
      <c r="L86">
        <f t="shared" si="26"/>
        <v>0</v>
      </c>
      <c r="M86">
        <f>HLOOKUP(C86,Assumptions!$A$6:$J$7,2,TRUE)</f>
        <v>2.6499999999999999E-2</v>
      </c>
      <c r="N86" s="23">
        <f t="shared" si="16"/>
        <v>0</v>
      </c>
      <c r="O86" s="23">
        <f t="shared" si="22"/>
        <v>0</v>
      </c>
      <c r="P86">
        <f t="shared" si="27"/>
        <v>0</v>
      </c>
      <c r="Q86" s="23">
        <f t="shared" si="23"/>
        <v>0</v>
      </c>
      <c r="R86">
        <f>Q85*Assumptions!$B$11/$E$2*N86</f>
        <v>0</v>
      </c>
      <c r="S86">
        <f>Q85*Assumptions!$B$13/$E$2*N86</f>
        <v>0</v>
      </c>
      <c r="T86">
        <f>L86*Assumptions!$B$15</f>
        <v>0</v>
      </c>
      <c r="U86">
        <f>S86*Assumptions!$B$17</f>
        <v>0</v>
      </c>
      <c r="V86">
        <f>HLOOKUP(B86,Assumptions!$A$26:$D$27,2,TRUE)</f>
        <v>0</v>
      </c>
      <c r="W86">
        <f t="shared" si="28"/>
        <v>0</v>
      </c>
      <c r="X86">
        <f t="shared" si="29"/>
        <v>0.83333333333333393</v>
      </c>
      <c r="Y86">
        <f>IF(B86&gt;$M$2,0,IF(X87=0,0,(1-X87)*Assumptions!$B$11/$E$2*(1-Assumptions!$B$30)))</f>
        <v>0</v>
      </c>
      <c r="Z86">
        <f>(R86-S86)*(1-Assumptions!$B$30)-U86+Y85*Q85</f>
        <v>0</v>
      </c>
      <c r="AA86">
        <f>AA85*(1+Assumptions!$B$36)^(1/12)</f>
        <v>1.0641640568818309</v>
      </c>
      <c r="AB86" s="20">
        <f>IF(B86&gt;$M$2,0,AA85*Assumptions!$B$32/12*Q85+Z86*Assumptions!$B$34/12)</f>
        <v>0</v>
      </c>
      <c r="AC86" s="21">
        <f>1/(1+HLOOKUP(YEAR(A86),Assumptions!$A$41:$AL$43,3,TRUE))^(1/12)</f>
        <v>0.99879367902408245</v>
      </c>
      <c r="AD86">
        <f t="shared" si="24"/>
        <v>0</v>
      </c>
      <c r="AE86">
        <f t="shared" si="30"/>
        <v>0</v>
      </c>
    </row>
    <row r="87" spans="1:31" x14ac:dyDescent="0.2">
      <c r="A87" s="2">
        <f t="shared" si="31"/>
        <v>45412</v>
      </c>
      <c r="B87">
        <f t="shared" si="25"/>
        <v>156</v>
      </c>
      <c r="C87">
        <f t="shared" si="17"/>
        <v>12.916666666666666</v>
      </c>
      <c r="D87">
        <f t="shared" si="18"/>
        <v>0</v>
      </c>
      <c r="E87">
        <f t="shared" si="19"/>
        <v>67</v>
      </c>
      <c r="F87">
        <f t="shared" si="20"/>
        <v>59</v>
      </c>
      <c r="G87">
        <f>IF(C87&gt;=$L$2,0,VLOOKUP($E87,'Mortality Table'!$A$3:$C$128,2+H$2,FALSE))</f>
        <v>0</v>
      </c>
      <c r="H87">
        <f>IF(C87&gt;=$L$2,0,VLOOKUP($E87,'Mortality Table'!$A$3:$C$128,2+I$2,FALSE))</f>
        <v>0</v>
      </c>
      <c r="I87" s="17">
        <f>G87*Assumptions!$B$1</f>
        <v>0</v>
      </c>
      <c r="J87" s="17">
        <f>H87*Assumptions!$B$1</f>
        <v>0</v>
      </c>
      <c r="K87">
        <f t="shared" si="21"/>
        <v>0</v>
      </c>
      <c r="L87">
        <f t="shared" si="26"/>
        <v>0</v>
      </c>
      <c r="M87">
        <f>HLOOKUP(C87,Assumptions!$A$6:$J$7,2,TRUE)</f>
        <v>2.6499999999999999E-2</v>
      </c>
      <c r="N87" s="23">
        <f t="shared" si="16"/>
        <v>0</v>
      </c>
      <c r="O87" s="23">
        <f t="shared" si="22"/>
        <v>0</v>
      </c>
      <c r="P87">
        <f t="shared" si="27"/>
        <v>0</v>
      </c>
      <c r="Q87" s="23">
        <f t="shared" si="23"/>
        <v>0</v>
      </c>
      <c r="R87">
        <f>Q86*Assumptions!$B$11/$E$2*N87</f>
        <v>0</v>
      </c>
      <c r="S87">
        <f>Q86*Assumptions!$B$13/$E$2*N87</f>
        <v>0</v>
      </c>
      <c r="T87">
        <f>L87*Assumptions!$B$15</f>
        <v>0</v>
      </c>
      <c r="U87">
        <f>S87*Assumptions!$B$17</f>
        <v>0</v>
      </c>
      <c r="V87">
        <f>HLOOKUP(B87,Assumptions!$A$26:$D$27,2,TRUE)</f>
        <v>0</v>
      </c>
      <c r="W87">
        <f t="shared" si="28"/>
        <v>0</v>
      </c>
      <c r="X87">
        <f t="shared" si="29"/>
        <v>0.91666666666666607</v>
      </c>
      <c r="Y87">
        <f>IF(B87&gt;$M$2,0,IF(X88=0,0,(1-X88)*Assumptions!$B$11/$E$2*(1-Assumptions!$B$30)))</f>
        <v>0</v>
      </c>
      <c r="Z87">
        <f>(R87-S87)*(1-Assumptions!$B$30)-U87+Y86*Q86</f>
        <v>0</v>
      </c>
      <c r="AA87">
        <f>AA86*(1+Assumptions!$B$36)^(1/12)</f>
        <v>1.0650468215269315</v>
      </c>
      <c r="AB87" s="20">
        <f>IF(B87&gt;$M$2,0,AA86*Assumptions!$B$32/12*Q86+Z87*Assumptions!$B$34/12)</f>
        <v>0</v>
      </c>
      <c r="AC87" s="21">
        <f>1/(1+HLOOKUP(YEAR(A87),Assumptions!$A$41:$AL$43,3,TRUE))^(1/12)</f>
        <v>0.99879367902408245</v>
      </c>
      <c r="AD87">
        <f t="shared" si="24"/>
        <v>0</v>
      </c>
      <c r="AE87">
        <f t="shared" si="30"/>
        <v>0</v>
      </c>
    </row>
    <row r="88" spans="1:31" x14ac:dyDescent="0.2">
      <c r="A88" s="2">
        <f t="shared" si="31"/>
        <v>45443</v>
      </c>
      <c r="B88">
        <f t="shared" si="25"/>
        <v>157</v>
      </c>
      <c r="C88">
        <f t="shared" si="17"/>
        <v>13</v>
      </c>
      <c r="D88">
        <f t="shared" si="18"/>
        <v>1</v>
      </c>
      <c r="E88">
        <f t="shared" si="19"/>
        <v>68</v>
      </c>
      <c r="F88">
        <f t="shared" si="20"/>
        <v>60</v>
      </c>
      <c r="G88">
        <f>IF(C88&gt;=$L$2,0,VLOOKUP($E88,'Mortality Table'!$A$3:$C$128,2+H$2,FALSE))</f>
        <v>0</v>
      </c>
      <c r="H88">
        <f>IF(C88&gt;=$L$2,0,VLOOKUP($E88,'Mortality Table'!$A$3:$C$128,2+I$2,FALSE))</f>
        <v>0</v>
      </c>
      <c r="I88" s="17">
        <f>G88*Assumptions!$B$1</f>
        <v>0</v>
      </c>
      <c r="J88" s="17">
        <f>H88*Assumptions!$B$1</f>
        <v>0</v>
      </c>
      <c r="K88">
        <f t="shared" si="21"/>
        <v>0</v>
      </c>
      <c r="L88">
        <f t="shared" si="26"/>
        <v>0</v>
      </c>
      <c r="M88">
        <f>HLOOKUP(C88,Assumptions!$A$6:$J$7,2,TRUE)</f>
        <v>2.6499999999999999E-2</v>
      </c>
      <c r="N88" s="23">
        <f t="shared" si="16"/>
        <v>0</v>
      </c>
      <c r="O88" s="23">
        <f t="shared" si="22"/>
        <v>0</v>
      </c>
      <c r="P88">
        <f t="shared" si="27"/>
        <v>0</v>
      </c>
      <c r="Q88" s="23">
        <f t="shared" si="23"/>
        <v>0</v>
      </c>
      <c r="R88">
        <f>Q87*Assumptions!$B$11/$E$2*N88</f>
        <v>0</v>
      </c>
      <c r="S88">
        <f>Q87*Assumptions!$B$13/$E$2*N88</f>
        <v>0</v>
      </c>
      <c r="T88">
        <f>L88*Assumptions!$B$15</f>
        <v>0</v>
      </c>
      <c r="U88">
        <f>S88*Assumptions!$B$17</f>
        <v>0</v>
      </c>
      <c r="V88">
        <f>HLOOKUP(B88,Assumptions!$A$26:$D$27,2,TRUE)</f>
        <v>0</v>
      </c>
      <c r="W88">
        <f t="shared" si="28"/>
        <v>0</v>
      </c>
      <c r="X88">
        <f t="shared" si="29"/>
        <v>0</v>
      </c>
      <c r="Y88">
        <f>IF(B88&gt;$M$2,0,IF(X89=0,0,(1-X89)*Assumptions!$B$11/$E$2*(1-Assumptions!$B$30)))</f>
        <v>0</v>
      </c>
      <c r="Z88">
        <f>(R88-S88)*(1-Assumptions!$B$30)-U88+Y87*Q87</f>
        <v>0</v>
      </c>
      <c r="AA88">
        <f>AA87*(1+Assumptions!$B$36)^(1/12)</f>
        <v>1.0659303184589513</v>
      </c>
      <c r="AB88" s="20">
        <f>IF(B88&gt;$M$2,0,AA87*Assumptions!$B$32/12*Q87+Z88*Assumptions!$B$34/12)</f>
        <v>0</v>
      </c>
      <c r="AC88" s="21">
        <f>1/(1+HLOOKUP(YEAR(A88),Assumptions!$A$41:$AL$43,3,TRUE))^(1/12)</f>
        <v>0.99879367902408245</v>
      </c>
      <c r="AD88">
        <f t="shared" si="24"/>
        <v>0</v>
      </c>
      <c r="AE88">
        <f t="shared" si="30"/>
        <v>0</v>
      </c>
    </row>
    <row r="89" spans="1:31" x14ac:dyDescent="0.2">
      <c r="A89" s="2">
        <f t="shared" si="31"/>
        <v>45473</v>
      </c>
      <c r="B89">
        <f t="shared" si="25"/>
        <v>158</v>
      </c>
      <c r="C89">
        <f t="shared" si="17"/>
        <v>13.083333333333334</v>
      </c>
      <c r="D89">
        <f t="shared" si="18"/>
        <v>0</v>
      </c>
      <c r="E89">
        <f t="shared" si="19"/>
        <v>68</v>
      </c>
      <c r="F89">
        <f t="shared" si="20"/>
        <v>60</v>
      </c>
      <c r="G89">
        <f>IF(C89&gt;=$L$2,0,VLOOKUP($E89,'Mortality Table'!$A$3:$C$128,2+H$2,FALSE))</f>
        <v>0</v>
      </c>
      <c r="H89">
        <f>IF(C89&gt;=$L$2,0,VLOOKUP($E89,'Mortality Table'!$A$3:$C$128,2+I$2,FALSE))</f>
        <v>0</v>
      </c>
      <c r="I89" s="17">
        <f>G89*Assumptions!$B$1</f>
        <v>0</v>
      </c>
      <c r="J89" s="17">
        <f>H89*Assumptions!$B$1</f>
        <v>0</v>
      </c>
      <c r="K89">
        <f t="shared" si="21"/>
        <v>0</v>
      </c>
      <c r="L89">
        <f t="shared" si="26"/>
        <v>0</v>
      </c>
      <c r="M89">
        <f>HLOOKUP(C89,Assumptions!$A$6:$J$7,2,TRUE)</f>
        <v>2.6499999999999999E-2</v>
      </c>
      <c r="N89" s="23">
        <f t="shared" si="16"/>
        <v>0</v>
      </c>
      <c r="O89" s="23">
        <f t="shared" si="22"/>
        <v>0</v>
      </c>
      <c r="P89">
        <f t="shared" si="27"/>
        <v>0</v>
      </c>
      <c r="Q89" s="23">
        <f t="shared" si="23"/>
        <v>0</v>
      </c>
      <c r="R89">
        <f>Q88*Assumptions!$B$11/$E$2*N89</f>
        <v>0</v>
      </c>
      <c r="S89">
        <f>Q88*Assumptions!$B$13/$E$2*N89</f>
        <v>0</v>
      </c>
      <c r="T89">
        <f>L89*Assumptions!$B$15</f>
        <v>0</v>
      </c>
      <c r="U89">
        <f>S89*Assumptions!$B$17</f>
        <v>0</v>
      </c>
      <c r="V89">
        <f>HLOOKUP(B89,Assumptions!$A$26:$D$27,2,TRUE)</f>
        <v>0</v>
      </c>
      <c r="W89">
        <f t="shared" si="28"/>
        <v>0</v>
      </c>
      <c r="X89">
        <f t="shared" si="29"/>
        <v>8.3333333333333925E-2</v>
      </c>
      <c r="Y89">
        <f>IF(B89&gt;$M$2,0,IF(X90=0,0,(1-X90)*Assumptions!$B$11/$E$2*(1-Assumptions!$B$30)))</f>
        <v>0</v>
      </c>
      <c r="Z89">
        <f>(R89-S89)*(1-Assumptions!$B$30)-U89+Y88*Q88</f>
        <v>0</v>
      </c>
      <c r="AA89">
        <f>AA88*(1+Assumptions!$B$36)^(1/12)</f>
        <v>1.0668145482853502</v>
      </c>
      <c r="AB89" s="20">
        <f>IF(B89&gt;$M$2,0,AA88*Assumptions!$B$32/12*Q88+Z89*Assumptions!$B$34/12)</f>
        <v>0</v>
      </c>
      <c r="AC89" s="21">
        <f>1/(1+HLOOKUP(YEAR(A89),Assumptions!$A$41:$AL$43,3,TRUE))^(1/12)</f>
        <v>0.99879367902408245</v>
      </c>
      <c r="AD89">
        <f t="shared" si="24"/>
        <v>0</v>
      </c>
      <c r="AE89">
        <f t="shared" si="30"/>
        <v>0</v>
      </c>
    </row>
    <row r="90" spans="1:31" x14ac:dyDescent="0.2">
      <c r="A90" s="2">
        <f t="shared" si="31"/>
        <v>45504</v>
      </c>
      <c r="B90">
        <f t="shared" si="25"/>
        <v>159</v>
      </c>
      <c r="C90">
        <f t="shared" si="17"/>
        <v>13.166666666666666</v>
      </c>
      <c r="D90">
        <f t="shared" si="18"/>
        <v>0</v>
      </c>
      <c r="E90">
        <f t="shared" si="19"/>
        <v>68</v>
      </c>
      <c r="F90">
        <f t="shared" si="20"/>
        <v>60</v>
      </c>
      <c r="G90">
        <f>IF(C90&gt;=$L$2,0,VLOOKUP($E90,'Mortality Table'!$A$3:$C$128,2+H$2,FALSE))</f>
        <v>0</v>
      </c>
      <c r="H90">
        <f>IF(C90&gt;=$L$2,0,VLOOKUP($E90,'Mortality Table'!$A$3:$C$128,2+I$2,FALSE))</f>
        <v>0</v>
      </c>
      <c r="I90" s="17">
        <f>G90*Assumptions!$B$1</f>
        <v>0</v>
      </c>
      <c r="J90" s="17">
        <f>H90*Assumptions!$B$1</f>
        <v>0</v>
      </c>
      <c r="K90">
        <f t="shared" si="21"/>
        <v>0</v>
      </c>
      <c r="L90">
        <f t="shared" si="26"/>
        <v>0</v>
      </c>
      <c r="M90">
        <f>HLOOKUP(C90,Assumptions!$A$6:$J$7,2,TRUE)</f>
        <v>2.6499999999999999E-2</v>
      </c>
      <c r="N90" s="23">
        <f t="shared" si="16"/>
        <v>0</v>
      </c>
      <c r="O90" s="23">
        <f t="shared" si="22"/>
        <v>0</v>
      </c>
      <c r="P90">
        <f t="shared" si="27"/>
        <v>0</v>
      </c>
      <c r="Q90" s="23">
        <f t="shared" si="23"/>
        <v>0</v>
      </c>
      <c r="R90">
        <f>Q89*Assumptions!$B$11/$E$2*N90</f>
        <v>0</v>
      </c>
      <c r="S90">
        <f>Q89*Assumptions!$B$13/$E$2*N90</f>
        <v>0</v>
      </c>
      <c r="T90">
        <f>L90*Assumptions!$B$15</f>
        <v>0</v>
      </c>
      <c r="U90">
        <f>S90*Assumptions!$B$17</f>
        <v>0</v>
      </c>
      <c r="V90">
        <f>HLOOKUP(B90,Assumptions!$A$26:$D$27,2,TRUE)</f>
        <v>0</v>
      </c>
      <c r="W90">
        <f t="shared" si="28"/>
        <v>0</v>
      </c>
      <c r="X90">
        <f t="shared" si="29"/>
        <v>0.16666666666666607</v>
      </c>
      <c r="Y90">
        <f>IF(B90&gt;$M$2,0,IF(X91=0,0,(1-X91)*Assumptions!$B$11/$E$2*(1-Assumptions!$B$30)))</f>
        <v>0</v>
      </c>
      <c r="Z90">
        <f>(R90-S90)*(1-Assumptions!$B$30)-U90+Y89*Q89</f>
        <v>0</v>
      </c>
      <c r="AA90">
        <f>AA89*(1+Assumptions!$B$36)^(1/12)</f>
        <v>1.0676995116140919</v>
      </c>
      <c r="AB90" s="20">
        <f>IF(B90&gt;$M$2,0,AA89*Assumptions!$B$32/12*Q89+Z90*Assumptions!$B$34/12)</f>
        <v>0</v>
      </c>
      <c r="AC90" s="21">
        <f>1/(1+HLOOKUP(YEAR(A90),Assumptions!$A$41:$AL$43,3,TRUE))^(1/12)</f>
        <v>0.99879367902408245</v>
      </c>
      <c r="AD90">
        <f t="shared" si="24"/>
        <v>0</v>
      </c>
      <c r="AE90">
        <f t="shared" si="30"/>
        <v>0</v>
      </c>
    </row>
    <row r="91" spans="1:31" x14ac:dyDescent="0.2">
      <c r="A91" s="2">
        <f t="shared" si="31"/>
        <v>45535</v>
      </c>
      <c r="B91">
        <f t="shared" si="25"/>
        <v>160</v>
      </c>
      <c r="C91">
        <f t="shared" si="17"/>
        <v>13.25</v>
      </c>
      <c r="D91">
        <f t="shared" si="18"/>
        <v>0</v>
      </c>
      <c r="E91">
        <f t="shared" si="19"/>
        <v>68</v>
      </c>
      <c r="F91">
        <f t="shared" si="20"/>
        <v>60</v>
      </c>
      <c r="G91">
        <f>IF(C91&gt;=$L$2,0,VLOOKUP($E91,'Mortality Table'!$A$3:$C$128,2+H$2,FALSE))</f>
        <v>0</v>
      </c>
      <c r="H91">
        <f>IF(C91&gt;=$L$2,0,VLOOKUP($E91,'Mortality Table'!$A$3:$C$128,2+I$2,FALSE))</f>
        <v>0</v>
      </c>
      <c r="I91" s="17">
        <f>G91*Assumptions!$B$1</f>
        <v>0</v>
      </c>
      <c r="J91" s="17">
        <f>H91*Assumptions!$B$1</f>
        <v>0</v>
      </c>
      <c r="K91">
        <f t="shared" si="21"/>
        <v>0</v>
      </c>
      <c r="L91">
        <f t="shared" si="26"/>
        <v>0</v>
      </c>
      <c r="M91">
        <f>HLOOKUP(C91,Assumptions!$A$6:$J$7,2,TRUE)</f>
        <v>2.6499999999999999E-2</v>
      </c>
      <c r="N91" s="23">
        <f t="shared" si="16"/>
        <v>0</v>
      </c>
      <c r="O91" s="23">
        <f t="shared" si="22"/>
        <v>0</v>
      </c>
      <c r="P91">
        <f t="shared" si="27"/>
        <v>0</v>
      </c>
      <c r="Q91" s="23">
        <f t="shared" si="23"/>
        <v>0</v>
      </c>
      <c r="R91">
        <f>Q90*Assumptions!$B$11/$E$2*N91</f>
        <v>0</v>
      </c>
      <c r="S91">
        <f>Q90*Assumptions!$B$13/$E$2*N91</f>
        <v>0</v>
      </c>
      <c r="T91">
        <f>L91*Assumptions!$B$15</f>
        <v>0</v>
      </c>
      <c r="U91">
        <f>S91*Assumptions!$B$17</f>
        <v>0</v>
      </c>
      <c r="V91">
        <f>HLOOKUP(B91,Assumptions!$A$26:$D$27,2,TRUE)</f>
        <v>0</v>
      </c>
      <c r="W91">
        <f t="shared" si="28"/>
        <v>0</v>
      </c>
      <c r="X91">
        <f t="shared" si="29"/>
        <v>0.25</v>
      </c>
      <c r="Y91">
        <f>IF(B91&gt;$M$2,0,IF(X92=0,0,(1-X92)*Assumptions!$B$11/$E$2*(1-Assumptions!$B$30)))</f>
        <v>0</v>
      </c>
      <c r="Z91">
        <f>(R91-S91)*(1-Assumptions!$B$30)-U91+Y90*Q90</f>
        <v>0</v>
      </c>
      <c r="AA91">
        <f>AA90*(1+Assumptions!$B$36)^(1/12)</f>
        <v>1.0685852090536445</v>
      </c>
      <c r="AB91" s="20">
        <f>IF(B91&gt;$M$2,0,AA90*Assumptions!$B$32/12*Q90+Z91*Assumptions!$B$34/12)</f>
        <v>0</v>
      </c>
      <c r="AC91" s="21">
        <f>1/(1+HLOOKUP(YEAR(A91),Assumptions!$A$41:$AL$43,3,TRUE))^(1/12)</f>
        <v>0.99879367902408245</v>
      </c>
      <c r="AD91">
        <f t="shared" si="24"/>
        <v>0</v>
      </c>
      <c r="AE91">
        <f t="shared" si="30"/>
        <v>0</v>
      </c>
    </row>
    <row r="92" spans="1:31" x14ac:dyDescent="0.2">
      <c r="A92" s="2">
        <f t="shared" si="31"/>
        <v>45565</v>
      </c>
      <c r="B92">
        <f t="shared" si="25"/>
        <v>161</v>
      </c>
      <c r="C92">
        <f t="shared" si="17"/>
        <v>13.333333333333334</v>
      </c>
      <c r="D92">
        <f t="shared" si="18"/>
        <v>0</v>
      </c>
      <c r="E92">
        <f t="shared" si="19"/>
        <v>68</v>
      </c>
      <c r="F92">
        <f t="shared" si="20"/>
        <v>60</v>
      </c>
      <c r="G92">
        <f>IF(C92&gt;=$L$2,0,VLOOKUP($E92,'Mortality Table'!$A$3:$C$128,2+H$2,FALSE))</f>
        <v>0</v>
      </c>
      <c r="H92">
        <f>IF(C92&gt;=$L$2,0,VLOOKUP($E92,'Mortality Table'!$A$3:$C$128,2+I$2,FALSE))</f>
        <v>0</v>
      </c>
      <c r="I92" s="17">
        <f>G92*Assumptions!$B$1</f>
        <v>0</v>
      </c>
      <c r="J92" s="17">
        <f>H92*Assumptions!$B$1</f>
        <v>0</v>
      </c>
      <c r="K92">
        <f t="shared" si="21"/>
        <v>0</v>
      </c>
      <c r="L92">
        <f t="shared" si="26"/>
        <v>0</v>
      </c>
      <c r="M92">
        <f>HLOOKUP(C92,Assumptions!$A$6:$J$7,2,TRUE)</f>
        <v>2.6499999999999999E-2</v>
      </c>
      <c r="N92" s="23">
        <f t="shared" si="16"/>
        <v>0</v>
      </c>
      <c r="O92" s="23">
        <f t="shared" si="22"/>
        <v>0</v>
      </c>
      <c r="P92">
        <f t="shared" si="27"/>
        <v>0</v>
      </c>
      <c r="Q92" s="23">
        <f t="shared" si="23"/>
        <v>0</v>
      </c>
      <c r="R92">
        <f>Q91*Assumptions!$B$11/$E$2*N92</f>
        <v>0</v>
      </c>
      <c r="S92">
        <f>Q91*Assumptions!$B$13/$E$2*N92</f>
        <v>0</v>
      </c>
      <c r="T92">
        <f>L92*Assumptions!$B$15</f>
        <v>0</v>
      </c>
      <c r="U92">
        <f>S92*Assumptions!$B$17</f>
        <v>0</v>
      </c>
      <c r="V92">
        <f>HLOOKUP(B92,Assumptions!$A$26:$D$27,2,TRUE)</f>
        <v>0</v>
      </c>
      <c r="W92">
        <f t="shared" si="28"/>
        <v>0</v>
      </c>
      <c r="X92">
        <f t="shared" si="29"/>
        <v>0.33333333333333393</v>
      </c>
      <c r="Y92">
        <f>IF(B92&gt;$M$2,0,IF(X93=0,0,(1-X93)*Assumptions!$B$11/$E$2*(1-Assumptions!$B$30)))</f>
        <v>0</v>
      </c>
      <c r="Z92">
        <f>(R92-S92)*(1-Assumptions!$B$30)-U92+Y91*Q91</f>
        <v>0</v>
      </c>
      <c r="AA92">
        <f>AA91*(1+Assumptions!$B$36)^(1/12)</f>
        <v>1.069471641212981</v>
      </c>
      <c r="AB92" s="20">
        <f>IF(B92&gt;$M$2,0,AA91*Assumptions!$B$32/12*Q91+Z92*Assumptions!$B$34/12)</f>
        <v>0</v>
      </c>
      <c r="AC92" s="21">
        <f>1/(1+HLOOKUP(YEAR(A92),Assumptions!$A$41:$AL$43,3,TRUE))^(1/12)</f>
        <v>0.99879367902408245</v>
      </c>
      <c r="AD92">
        <f t="shared" si="24"/>
        <v>0</v>
      </c>
      <c r="AE92">
        <f t="shared" si="30"/>
        <v>0</v>
      </c>
    </row>
    <row r="93" spans="1:31" x14ac:dyDescent="0.2">
      <c r="A93" s="2">
        <f t="shared" si="31"/>
        <v>45596</v>
      </c>
      <c r="B93">
        <f t="shared" si="25"/>
        <v>162</v>
      </c>
      <c r="C93">
        <f t="shared" si="17"/>
        <v>13.416666666666666</v>
      </c>
      <c r="D93">
        <f t="shared" si="18"/>
        <v>0</v>
      </c>
      <c r="E93">
        <f t="shared" si="19"/>
        <v>68</v>
      </c>
      <c r="F93">
        <f t="shared" si="20"/>
        <v>60</v>
      </c>
      <c r="G93">
        <f>IF(C93&gt;=$L$2,0,VLOOKUP($E93,'Mortality Table'!$A$3:$C$128,2+H$2,FALSE))</f>
        <v>0</v>
      </c>
      <c r="H93">
        <f>IF(C93&gt;=$L$2,0,VLOOKUP($E93,'Mortality Table'!$A$3:$C$128,2+I$2,FALSE))</f>
        <v>0</v>
      </c>
      <c r="I93" s="17">
        <f>G93*Assumptions!$B$1</f>
        <v>0</v>
      </c>
      <c r="J93" s="17">
        <f>H93*Assumptions!$B$1</f>
        <v>0</v>
      </c>
      <c r="K93">
        <f t="shared" si="21"/>
        <v>0</v>
      </c>
      <c r="L93">
        <f t="shared" si="26"/>
        <v>0</v>
      </c>
      <c r="M93">
        <f>HLOOKUP(C93,Assumptions!$A$6:$J$7,2,TRUE)</f>
        <v>2.6499999999999999E-2</v>
      </c>
      <c r="N93" s="23">
        <f t="shared" si="16"/>
        <v>0</v>
      </c>
      <c r="O93" s="23">
        <f t="shared" si="22"/>
        <v>0</v>
      </c>
      <c r="P93">
        <f t="shared" si="27"/>
        <v>0</v>
      </c>
      <c r="Q93" s="23">
        <f t="shared" si="23"/>
        <v>0</v>
      </c>
      <c r="R93">
        <f>Q92*Assumptions!$B$11/$E$2*N93</f>
        <v>0</v>
      </c>
      <c r="S93">
        <f>Q92*Assumptions!$B$13/$E$2*N93</f>
        <v>0</v>
      </c>
      <c r="T93">
        <f>L93*Assumptions!$B$15</f>
        <v>0</v>
      </c>
      <c r="U93">
        <f>S93*Assumptions!$B$17</f>
        <v>0</v>
      </c>
      <c r="V93">
        <f>HLOOKUP(B93,Assumptions!$A$26:$D$27,2,TRUE)</f>
        <v>0</v>
      </c>
      <c r="W93">
        <f t="shared" si="28"/>
        <v>0</v>
      </c>
      <c r="X93">
        <f t="shared" si="29"/>
        <v>0.41666666666666607</v>
      </c>
      <c r="Y93">
        <f>IF(B93&gt;$M$2,0,IF(X94=0,0,(1-X94)*Assumptions!$B$11/$E$2*(1-Assumptions!$B$30)))</f>
        <v>0</v>
      </c>
      <c r="Z93">
        <f>(R93-S93)*(1-Assumptions!$B$30)-U93+Y92*Q92</f>
        <v>0</v>
      </c>
      <c r="AA93">
        <f>AA92*(1+Assumptions!$B$36)^(1/12)</f>
        <v>1.0703588087015794</v>
      </c>
      <c r="AB93" s="20">
        <f>IF(B93&gt;$M$2,0,AA92*Assumptions!$B$32/12*Q92+Z93*Assumptions!$B$34/12)</f>
        <v>0</v>
      </c>
      <c r="AC93" s="21">
        <f>1/(1+HLOOKUP(YEAR(A93),Assumptions!$A$41:$AL$43,3,TRUE))^(1/12)</f>
        <v>0.99879367902408245</v>
      </c>
      <c r="AD93">
        <f t="shared" si="24"/>
        <v>0</v>
      </c>
      <c r="AE93">
        <f t="shared" si="30"/>
        <v>0</v>
      </c>
    </row>
    <row r="94" spans="1:31" x14ac:dyDescent="0.2">
      <c r="A94" s="2">
        <f t="shared" si="31"/>
        <v>45626</v>
      </c>
      <c r="B94">
        <f t="shared" si="25"/>
        <v>163</v>
      </c>
      <c r="C94">
        <f t="shared" si="17"/>
        <v>13.5</v>
      </c>
      <c r="D94">
        <f t="shared" si="18"/>
        <v>0</v>
      </c>
      <c r="E94">
        <f t="shared" si="19"/>
        <v>68</v>
      </c>
      <c r="F94">
        <f t="shared" si="20"/>
        <v>60</v>
      </c>
      <c r="G94">
        <f>IF(C94&gt;=$L$2,0,VLOOKUP($E94,'Mortality Table'!$A$3:$C$128,2+H$2,FALSE))</f>
        <v>0</v>
      </c>
      <c r="H94">
        <f>IF(C94&gt;=$L$2,0,VLOOKUP($E94,'Mortality Table'!$A$3:$C$128,2+I$2,FALSE))</f>
        <v>0</v>
      </c>
      <c r="I94" s="17">
        <f>G94*Assumptions!$B$1</f>
        <v>0</v>
      </c>
      <c r="J94" s="17">
        <f>H94*Assumptions!$B$1</f>
        <v>0</v>
      </c>
      <c r="K94">
        <f t="shared" si="21"/>
        <v>0</v>
      </c>
      <c r="L94">
        <f t="shared" si="26"/>
        <v>0</v>
      </c>
      <c r="M94">
        <f>HLOOKUP(C94,Assumptions!$A$6:$J$7,2,TRUE)</f>
        <v>2.6499999999999999E-2</v>
      </c>
      <c r="N94" s="23">
        <f t="shared" si="16"/>
        <v>0</v>
      </c>
      <c r="O94" s="23">
        <f t="shared" si="22"/>
        <v>0</v>
      </c>
      <c r="P94">
        <f t="shared" si="27"/>
        <v>0</v>
      </c>
      <c r="Q94" s="23">
        <f t="shared" si="23"/>
        <v>0</v>
      </c>
      <c r="R94">
        <f>Q93*Assumptions!$B$11/$E$2*N94</f>
        <v>0</v>
      </c>
      <c r="S94">
        <f>Q93*Assumptions!$B$13/$E$2*N94</f>
        <v>0</v>
      </c>
      <c r="T94">
        <f>L94*Assumptions!$B$15</f>
        <v>0</v>
      </c>
      <c r="U94">
        <f>S94*Assumptions!$B$17</f>
        <v>0</v>
      </c>
      <c r="V94">
        <f>HLOOKUP(B94,Assumptions!$A$26:$D$27,2,TRUE)</f>
        <v>0</v>
      </c>
      <c r="W94">
        <f t="shared" si="28"/>
        <v>0</v>
      </c>
      <c r="X94">
        <f t="shared" si="29"/>
        <v>0.5</v>
      </c>
      <c r="Y94">
        <f>IF(B94&gt;$M$2,0,IF(X95=0,0,(1-X95)*Assumptions!$B$11/$E$2*(1-Assumptions!$B$30)))</f>
        <v>0</v>
      </c>
      <c r="Z94">
        <f>(R94-S94)*(1-Assumptions!$B$30)-U94+Y93*Q93</f>
        <v>0</v>
      </c>
      <c r="AA94">
        <f>AA93*(1+Assumptions!$B$36)^(1/12)</f>
        <v>1.0712467121294236</v>
      </c>
      <c r="AB94" s="20">
        <f>IF(B94&gt;$M$2,0,AA93*Assumptions!$B$32/12*Q93+Z94*Assumptions!$B$34/12)</f>
        <v>0</v>
      </c>
      <c r="AC94" s="21">
        <f>1/(1+HLOOKUP(YEAR(A94),Assumptions!$A$41:$AL$43,3,TRUE))^(1/12)</f>
        <v>0.99879367902408245</v>
      </c>
      <c r="AD94">
        <f t="shared" si="24"/>
        <v>0</v>
      </c>
      <c r="AE94">
        <f t="shared" si="30"/>
        <v>0</v>
      </c>
    </row>
    <row r="95" spans="1:31" x14ac:dyDescent="0.2">
      <c r="A95" s="2">
        <f t="shared" si="31"/>
        <v>45657</v>
      </c>
      <c r="B95">
        <f t="shared" si="25"/>
        <v>164</v>
      </c>
      <c r="C95">
        <f t="shared" si="17"/>
        <v>13.583333333333334</v>
      </c>
      <c r="D95">
        <f t="shared" si="18"/>
        <v>0</v>
      </c>
      <c r="E95">
        <f t="shared" si="19"/>
        <v>68</v>
      </c>
      <c r="F95">
        <f t="shared" si="20"/>
        <v>60</v>
      </c>
      <c r="G95">
        <f>IF(C95&gt;=$L$2,0,VLOOKUP($E95,'Mortality Table'!$A$3:$C$128,2+H$2,FALSE))</f>
        <v>0</v>
      </c>
      <c r="H95">
        <f>IF(C95&gt;=$L$2,0,VLOOKUP($E95,'Mortality Table'!$A$3:$C$128,2+I$2,FALSE))</f>
        <v>0</v>
      </c>
      <c r="I95" s="17">
        <f>G95*Assumptions!$B$1</f>
        <v>0</v>
      </c>
      <c r="J95" s="17">
        <f>H95*Assumptions!$B$1</f>
        <v>0</v>
      </c>
      <c r="K95">
        <f t="shared" si="21"/>
        <v>0</v>
      </c>
      <c r="L95">
        <f t="shared" si="26"/>
        <v>0</v>
      </c>
      <c r="M95">
        <f>HLOOKUP(C95,Assumptions!$A$6:$J$7,2,TRUE)</f>
        <v>2.6499999999999999E-2</v>
      </c>
      <c r="N95" s="23">
        <f t="shared" si="16"/>
        <v>0</v>
      </c>
      <c r="O95" s="23">
        <f t="shared" si="22"/>
        <v>0</v>
      </c>
      <c r="P95">
        <f t="shared" si="27"/>
        <v>0</v>
      </c>
      <c r="Q95" s="23">
        <f t="shared" si="23"/>
        <v>0</v>
      </c>
      <c r="R95">
        <f>Q94*Assumptions!$B$11/$E$2*N95</f>
        <v>0</v>
      </c>
      <c r="S95">
        <f>Q94*Assumptions!$B$13/$E$2*N95</f>
        <v>0</v>
      </c>
      <c r="T95">
        <f>L95*Assumptions!$B$15</f>
        <v>0</v>
      </c>
      <c r="U95">
        <f>S95*Assumptions!$B$17</f>
        <v>0</v>
      </c>
      <c r="V95">
        <f>HLOOKUP(B95,Assumptions!$A$26:$D$27,2,TRUE)</f>
        <v>0</v>
      </c>
      <c r="W95">
        <f t="shared" si="28"/>
        <v>0</v>
      </c>
      <c r="X95">
        <f t="shared" si="29"/>
        <v>0.58333333333333393</v>
      </c>
      <c r="Y95">
        <f>IF(B95&gt;$M$2,0,IF(X96=0,0,(1-X96)*Assumptions!$B$11/$E$2*(1-Assumptions!$B$30)))</f>
        <v>0</v>
      </c>
      <c r="Z95">
        <f>(R95-S95)*(1-Assumptions!$B$30)-U95+Y94*Q94</f>
        <v>0</v>
      </c>
      <c r="AA95">
        <f>AA94*(1+Assumptions!$B$36)^(1/12)</f>
        <v>1.0721353521070029</v>
      </c>
      <c r="AB95" s="20">
        <f>IF(B95&gt;$M$2,0,AA94*Assumptions!$B$32/12*Q94+Z95*Assumptions!$B$34/12)</f>
        <v>0</v>
      </c>
      <c r="AC95" s="21">
        <f>1/(1+HLOOKUP(YEAR(A95),Assumptions!$A$41:$AL$43,3,TRUE))^(1/12)</f>
        <v>0.99879367902408245</v>
      </c>
      <c r="AD95">
        <f t="shared" si="24"/>
        <v>0</v>
      </c>
      <c r="AE95">
        <f t="shared" si="30"/>
        <v>0</v>
      </c>
    </row>
    <row r="96" spans="1:31" x14ac:dyDescent="0.2">
      <c r="A96" s="2">
        <f t="shared" si="31"/>
        <v>45688</v>
      </c>
      <c r="B96">
        <f t="shared" si="25"/>
        <v>165</v>
      </c>
      <c r="C96">
        <f t="shared" si="17"/>
        <v>13.666666666666666</v>
      </c>
      <c r="D96">
        <f t="shared" si="18"/>
        <v>0</v>
      </c>
      <c r="E96">
        <f t="shared" si="19"/>
        <v>68</v>
      </c>
      <c r="F96">
        <f t="shared" si="20"/>
        <v>60</v>
      </c>
      <c r="G96">
        <f>IF(C96&gt;=$L$2,0,VLOOKUP($E96,'Mortality Table'!$A$3:$C$128,2+H$2,FALSE))</f>
        <v>0</v>
      </c>
      <c r="H96">
        <f>IF(C96&gt;=$L$2,0,VLOOKUP($E96,'Mortality Table'!$A$3:$C$128,2+I$2,FALSE))</f>
        <v>0</v>
      </c>
      <c r="I96" s="17">
        <f>G96*Assumptions!$B$1</f>
        <v>0</v>
      </c>
      <c r="J96" s="17">
        <f>H96*Assumptions!$B$1</f>
        <v>0</v>
      </c>
      <c r="K96">
        <f t="shared" si="21"/>
        <v>0</v>
      </c>
      <c r="L96">
        <f t="shared" si="26"/>
        <v>0</v>
      </c>
      <c r="M96">
        <f>HLOOKUP(C96,Assumptions!$A$6:$J$7,2,TRUE)</f>
        <v>2.6499999999999999E-2</v>
      </c>
      <c r="N96" s="23">
        <f t="shared" si="16"/>
        <v>0</v>
      </c>
      <c r="O96" s="23">
        <f t="shared" si="22"/>
        <v>0</v>
      </c>
      <c r="P96">
        <f t="shared" si="27"/>
        <v>0</v>
      </c>
      <c r="Q96" s="23">
        <f t="shared" si="23"/>
        <v>0</v>
      </c>
      <c r="R96">
        <f>Q95*Assumptions!$B$11/$E$2*N96</f>
        <v>0</v>
      </c>
      <c r="S96">
        <f>Q95*Assumptions!$B$13/$E$2*N96</f>
        <v>0</v>
      </c>
      <c r="T96">
        <f>L96*Assumptions!$B$15</f>
        <v>0</v>
      </c>
      <c r="U96">
        <f>S96*Assumptions!$B$17</f>
        <v>0</v>
      </c>
      <c r="V96">
        <f>HLOOKUP(B96,Assumptions!$A$26:$D$27,2,TRUE)</f>
        <v>0</v>
      </c>
      <c r="W96">
        <f t="shared" si="28"/>
        <v>0</v>
      </c>
      <c r="X96">
        <f t="shared" si="29"/>
        <v>0.66666666666666607</v>
      </c>
      <c r="Y96">
        <f>IF(B96&gt;$M$2,0,IF(X97=0,0,(1-X97)*Assumptions!$B$11/$E$2*(1-Assumptions!$B$30)))</f>
        <v>0</v>
      </c>
      <c r="Z96">
        <f>(R96-S96)*(1-Assumptions!$B$30)-U96+Y95*Q95</f>
        <v>0</v>
      </c>
      <c r="AA96">
        <f>AA95*(1+Assumptions!$B$36)^(1/12)</f>
        <v>1.0730247292453137</v>
      </c>
      <c r="AB96" s="20">
        <f>IF(B96&gt;$M$2,0,AA95*Assumptions!$B$32/12*Q95+Z96*Assumptions!$B$34/12)</f>
        <v>0</v>
      </c>
      <c r="AC96" s="21">
        <f>1/(1+HLOOKUP(YEAR(A96),Assumptions!$A$41:$AL$43,3,TRUE))^(1/12)</f>
        <v>0.99875718171763528</v>
      </c>
      <c r="AD96">
        <f t="shared" si="24"/>
        <v>0</v>
      </c>
      <c r="AE96">
        <f t="shared" si="30"/>
        <v>0</v>
      </c>
    </row>
    <row r="97" spans="1:31" x14ac:dyDescent="0.2">
      <c r="A97" s="2">
        <f t="shared" si="31"/>
        <v>45716</v>
      </c>
      <c r="B97">
        <f t="shared" si="25"/>
        <v>166</v>
      </c>
      <c r="C97">
        <f t="shared" si="17"/>
        <v>13.75</v>
      </c>
      <c r="D97">
        <f t="shared" si="18"/>
        <v>0</v>
      </c>
      <c r="E97">
        <f t="shared" si="19"/>
        <v>68</v>
      </c>
      <c r="F97">
        <f t="shared" si="20"/>
        <v>60</v>
      </c>
      <c r="G97">
        <f>IF(C97&gt;=$L$2,0,VLOOKUP($E97,'Mortality Table'!$A$3:$C$128,2+H$2,FALSE))</f>
        <v>0</v>
      </c>
      <c r="H97">
        <f>IF(C97&gt;=$L$2,0,VLOOKUP($E97,'Mortality Table'!$A$3:$C$128,2+I$2,FALSE))</f>
        <v>0</v>
      </c>
      <c r="I97" s="17">
        <f>G97*Assumptions!$B$1</f>
        <v>0</v>
      </c>
      <c r="J97" s="17">
        <f>H97*Assumptions!$B$1</f>
        <v>0</v>
      </c>
      <c r="K97">
        <f t="shared" si="21"/>
        <v>0</v>
      </c>
      <c r="L97">
        <f t="shared" si="26"/>
        <v>0</v>
      </c>
      <c r="M97">
        <f>HLOOKUP(C97,Assumptions!$A$6:$J$7,2,TRUE)</f>
        <v>2.6499999999999999E-2</v>
      </c>
      <c r="N97" s="23">
        <f t="shared" si="16"/>
        <v>0</v>
      </c>
      <c r="O97" s="23">
        <f t="shared" si="22"/>
        <v>0</v>
      </c>
      <c r="P97">
        <f t="shared" si="27"/>
        <v>0</v>
      </c>
      <c r="Q97" s="23">
        <f t="shared" si="23"/>
        <v>0</v>
      </c>
      <c r="R97">
        <f>Q96*Assumptions!$B$11/$E$2*N97</f>
        <v>0</v>
      </c>
      <c r="S97">
        <f>Q96*Assumptions!$B$13/$E$2*N97</f>
        <v>0</v>
      </c>
      <c r="T97">
        <f>L97*Assumptions!$B$15</f>
        <v>0</v>
      </c>
      <c r="U97">
        <f>S97*Assumptions!$B$17</f>
        <v>0</v>
      </c>
      <c r="V97">
        <f>HLOOKUP(B97,Assumptions!$A$26:$D$27,2,TRUE)</f>
        <v>0</v>
      </c>
      <c r="W97">
        <f t="shared" si="28"/>
        <v>0</v>
      </c>
      <c r="X97">
        <f t="shared" si="29"/>
        <v>0.75</v>
      </c>
      <c r="Y97">
        <f>IF(B97&gt;$M$2,0,IF(X98=0,0,(1-X98)*Assumptions!$B$11/$E$2*(1-Assumptions!$B$30)))</f>
        <v>0</v>
      </c>
      <c r="Z97">
        <f>(R97-S97)*(1-Assumptions!$B$30)-U97+Y96*Q96</f>
        <v>0</v>
      </c>
      <c r="AA97">
        <f>AA96*(1+Assumptions!$B$36)^(1/12)</f>
        <v>1.0739148441558586</v>
      </c>
      <c r="AB97" s="20">
        <f>IF(B97&gt;$M$2,0,AA96*Assumptions!$B$32/12*Q96+Z97*Assumptions!$B$34/12)</f>
        <v>0</v>
      </c>
      <c r="AC97" s="21">
        <f>1/(1+HLOOKUP(YEAR(A97),Assumptions!$A$41:$AL$43,3,TRUE))^(1/12)</f>
        <v>0.99875718171763528</v>
      </c>
      <c r="AD97">
        <f t="shared" si="24"/>
        <v>0</v>
      </c>
      <c r="AE97">
        <f t="shared" si="30"/>
        <v>0</v>
      </c>
    </row>
    <row r="98" spans="1:31" x14ac:dyDescent="0.2">
      <c r="A98" s="2">
        <f t="shared" si="31"/>
        <v>45747</v>
      </c>
      <c r="B98">
        <f t="shared" si="25"/>
        <v>167</v>
      </c>
      <c r="C98">
        <f t="shared" si="17"/>
        <v>13.833333333333334</v>
      </c>
      <c r="D98">
        <f t="shared" si="18"/>
        <v>0</v>
      </c>
      <c r="E98">
        <f t="shared" si="19"/>
        <v>68</v>
      </c>
      <c r="F98">
        <f t="shared" si="20"/>
        <v>60</v>
      </c>
      <c r="G98">
        <f>IF(C98&gt;=$L$2,0,VLOOKUP($E98,'Mortality Table'!$A$3:$C$128,2+H$2,FALSE))</f>
        <v>0</v>
      </c>
      <c r="H98">
        <f>IF(C98&gt;=$L$2,0,VLOOKUP($E98,'Mortality Table'!$A$3:$C$128,2+I$2,FALSE))</f>
        <v>0</v>
      </c>
      <c r="I98" s="17">
        <f>G98*Assumptions!$B$1</f>
        <v>0</v>
      </c>
      <c r="J98" s="17">
        <f>H98*Assumptions!$B$1</f>
        <v>0</v>
      </c>
      <c r="K98">
        <f t="shared" si="21"/>
        <v>0</v>
      </c>
      <c r="L98">
        <f t="shared" si="26"/>
        <v>0</v>
      </c>
      <c r="M98">
        <f>HLOOKUP(C98,Assumptions!$A$6:$J$7,2,TRUE)</f>
        <v>2.6499999999999999E-2</v>
      </c>
      <c r="N98" s="23">
        <f t="shared" si="16"/>
        <v>0</v>
      </c>
      <c r="O98" s="23">
        <f t="shared" si="22"/>
        <v>0</v>
      </c>
      <c r="P98">
        <f t="shared" si="27"/>
        <v>0</v>
      </c>
      <c r="Q98" s="23">
        <f t="shared" si="23"/>
        <v>0</v>
      </c>
      <c r="R98">
        <f>Q97*Assumptions!$B$11/$E$2*N98</f>
        <v>0</v>
      </c>
      <c r="S98">
        <f>Q97*Assumptions!$B$13/$E$2*N98</f>
        <v>0</v>
      </c>
      <c r="T98">
        <f>L98*Assumptions!$B$15</f>
        <v>0</v>
      </c>
      <c r="U98">
        <f>S98*Assumptions!$B$17</f>
        <v>0</v>
      </c>
      <c r="V98">
        <f>HLOOKUP(B98,Assumptions!$A$26:$D$27,2,TRUE)</f>
        <v>0</v>
      </c>
      <c r="W98">
        <f t="shared" si="28"/>
        <v>0</v>
      </c>
      <c r="X98">
        <f t="shared" si="29"/>
        <v>0.83333333333333393</v>
      </c>
      <c r="Y98">
        <f>IF(B98&gt;$M$2,0,IF(X99=0,0,(1-X99)*Assumptions!$B$11/$E$2*(1-Assumptions!$B$30)))</f>
        <v>0</v>
      </c>
      <c r="Z98">
        <f>(R98-S98)*(1-Assumptions!$B$30)-U98+Y97*Q97</f>
        <v>0</v>
      </c>
      <c r="AA98">
        <f>AA97*(1+Assumptions!$B$36)^(1/12)</f>
        <v>1.0748056974506479</v>
      </c>
      <c r="AB98" s="20">
        <f>IF(B98&gt;$M$2,0,AA97*Assumptions!$B$32/12*Q97+Z98*Assumptions!$B$34/12)</f>
        <v>0</v>
      </c>
      <c r="AC98" s="21">
        <f>1/(1+HLOOKUP(YEAR(A98),Assumptions!$A$41:$AL$43,3,TRUE))^(1/12)</f>
        <v>0.99875718171763528</v>
      </c>
      <c r="AD98">
        <f t="shared" si="24"/>
        <v>0</v>
      </c>
      <c r="AE98">
        <f t="shared" si="30"/>
        <v>0</v>
      </c>
    </row>
    <row r="99" spans="1:31" x14ac:dyDescent="0.2">
      <c r="A99" s="2">
        <f t="shared" si="31"/>
        <v>45777</v>
      </c>
      <c r="B99">
        <f t="shared" si="25"/>
        <v>168</v>
      </c>
      <c r="C99">
        <f t="shared" si="17"/>
        <v>13.916666666666666</v>
      </c>
      <c r="D99">
        <f t="shared" si="18"/>
        <v>0</v>
      </c>
      <c r="E99">
        <f t="shared" si="19"/>
        <v>68</v>
      </c>
      <c r="F99">
        <f t="shared" si="20"/>
        <v>60</v>
      </c>
      <c r="G99">
        <f>IF(C99&gt;=$L$2,0,VLOOKUP($E99,'Mortality Table'!$A$3:$C$128,2+H$2,FALSE))</f>
        <v>0</v>
      </c>
      <c r="H99">
        <f>IF(C99&gt;=$L$2,0,VLOOKUP($E99,'Mortality Table'!$A$3:$C$128,2+I$2,FALSE))</f>
        <v>0</v>
      </c>
      <c r="I99" s="17">
        <f>G99*Assumptions!$B$1</f>
        <v>0</v>
      </c>
      <c r="J99" s="17">
        <f>H99*Assumptions!$B$1</f>
        <v>0</v>
      </c>
      <c r="K99">
        <f t="shared" si="21"/>
        <v>0</v>
      </c>
      <c r="L99">
        <f t="shared" si="26"/>
        <v>0</v>
      </c>
      <c r="M99">
        <f>HLOOKUP(C99,Assumptions!$A$6:$J$7,2,TRUE)</f>
        <v>2.6499999999999999E-2</v>
      </c>
      <c r="N99" s="23">
        <f t="shared" si="16"/>
        <v>0</v>
      </c>
      <c r="O99" s="23">
        <f t="shared" si="22"/>
        <v>0</v>
      </c>
      <c r="P99">
        <f t="shared" si="27"/>
        <v>0</v>
      </c>
      <c r="Q99" s="23">
        <f t="shared" si="23"/>
        <v>0</v>
      </c>
      <c r="R99">
        <f>Q98*Assumptions!$B$11/$E$2*N99</f>
        <v>0</v>
      </c>
      <c r="S99">
        <f>Q98*Assumptions!$B$13/$E$2*N99</f>
        <v>0</v>
      </c>
      <c r="T99">
        <f>L99*Assumptions!$B$15</f>
        <v>0</v>
      </c>
      <c r="U99">
        <f>S99*Assumptions!$B$17</f>
        <v>0</v>
      </c>
      <c r="V99">
        <f>HLOOKUP(B99,Assumptions!$A$26:$D$27,2,TRUE)</f>
        <v>0</v>
      </c>
      <c r="W99">
        <f t="shared" si="28"/>
        <v>0</v>
      </c>
      <c r="X99">
        <f t="shared" si="29"/>
        <v>0.91666666666666607</v>
      </c>
      <c r="Y99">
        <f>IF(B99&gt;$M$2,0,IF(X100=0,0,(1-X100)*Assumptions!$B$11/$E$2*(1-Assumptions!$B$30)))</f>
        <v>0</v>
      </c>
      <c r="Z99">
        <f>(R99-S99)*(1-Assumptions!$B$30)-U99+Y98*Q98</f>
        <v>0</v>
      </c>
      <c r="AA99">
        <f>AA98*(1+Assumptions!$B$36)^(1/12)</f>
        <v>1.0756972897421997</v>
      </c>
      <c r="AB99" s="20">
        <f>IF(B99&gt;$M$2,0,AA98*Assumptions!$B$32/12*Q98+Z99*Assumptions!$B$34/12)</f>
        <v>0</v>
      </c>
      <c r="AC99" s="21">
        <f>1/(1+HLOOKUP(YEAR(A99),Assumptions!$A$41:$AL$43,3,TRUE))^(1/12)</f>
        <v>0.99875718171763528</v>
      </c>
      <c r="AD99">
        <f t="shared" si="24"/>
        <v>0</v>
      </c>
      <c r="AE99">
        <f t="shared" si="30"/>
        <v>0</v>
      </c>
    </row>
    <row r="100" spans="1:31" x14ac:dyDescent="0.2">
      <c r="A100" s="2">
        <f t="shared" si="31"/>
        <v>45808</v>
      </c>
      <c r="B100">
        <f t="shared" si="25"/>
        <v>169</v>
      </c>
      <c r="C100">
        <f t="shared" si="17"/>
        <v>14</v>
      </c>
      <c r="D100">
        <f t="shared" si="18"/>
        <v>1</v>
      </c>
      <c r="E100">
        <f t="shared" si="19"/>
        <v>69</v>
      </c>
      <c r="F100">
        <f t="shared" si="20"/>
        <v>61</v>
      </c>
      <c r="G100">
        <f>IF(C100&gt;=$L$2,0,VLOOKUP($E100,'Mortality Table'!$A$3:$C$128,2+H$2,FALSE))</f>
        <v>0</v>
      </c>
      <c r="H100">
        <f>IF(C100&gt;=$L$2,0,VLOOKUP($E100,'Mortality Table'!$A$3:$C$128,2+I$2,FALSE))</f>
        <v>0</v>
      </c>
      <c r="I100" s="17">
        <f>G100*Assumptions!$B$1</f>
        <v>0</v>
      </c>
      <c r="J100" s="17">
        <f>H100*Assumptions!$B$1</f>
        <v>0</v>
      </c>
      <c r="K100">
        <f t="shared" si="21"/>
        <v>0</v>
      </c>
      <c r="L100">
        <f t="shared" si="26"/>
        <v>0</v>
      </c>
      <c r="M100">
        <f>HLOOKUP(C100,Assumptions!$A$6:$J$7,2,TRUE)</f>
        <v>2.6499999999999999E-2</v>
      </c>
      <c r="N100" s="23">
        <f t="shared" si="16"/>
        <v>0</v>
      </c>
      <c r="O100" s="23">
        <f t="shared" si="22"/>
        <v>0</v>
      </c>
      <c r="P100">
        <f t="shared" si="27"/>
        <v>0</v>
      </c>
      <c r="Q100" s="23">
        <f t="shared" si="23"/>
        <v>0</v>
      </c>
      <c r="R100">
        <f>Q99*Assumptions!$B$11/$E$2*N100</f>
        <v>0</v>
      </c>
      <c r="S100">
        <f>Q99*Assumptions!$B$13/$E$2*N100</f>
        <v>0</v>
      </c>
      <c r="T100">
        <f>L100*Assumptions!$B$15</f>
        <v>0</v>
      </c>
      <c r="U100">
        <f>S100*Assumptions!$B$17</f>
        <v>0</v>
      </c>
      <c r="V100">
        <f>HLOOKUP(B100,Assumptions!$A$26:$D$27,2,TRUE)</f>
        <v>0</v>
      </c>
      <c r="W100">
        <f t="shared" si="28"/>
        <v>0</v>
      </c>
      <c r="X100">
        <f t="shared" si="29"/>
        <v>0</v>
      </c>
      <c r="Y100">
        <f>IF(B100&gt;$M$2,0,IF(X101=0,0,(1-X101)*Assumptions!$B$11/$E$2*(1-Assumptions!$B$30)))</f>
        <v>0</v>
      </c>
      <c r="Z100">
        <f>(R100-S100)*(1-Assumptions!$B$30)-U100+Y99*Q99</f>
        <v>0</v>
      </c>
      <c r="AA100">
        <f>AA99*(1+Assumptions!$B$36)^(1/12)</f>
        <v>1.0765896216435398</v>
      </c>
      <c r="AB100" s="20">
        <f>IF(B100&gt;$M$2,0,AA99*Assumptions!$B$32/12*Q99+Z100*Assumptions!$B$34/12)</f>
        <v>0</v>
      </c>
      <c r="AC100" s="21">
        <f>1/(1+HLOOKUP(YEAR(A100),Assumptions!$A$41:$AL$43,3,TRUE))^(1/12)</f>
        <v>0.99875718171763528</v>
      </c>
      <c r="AD100">
        <f t="shared" si="24"/>
        <v>0</v>
      </c>
      <c r="AE100">
        <f t="shared" si="30"/>
        <v>0</v>
      </c>
    </row>
    <row r="101" spans="1:31" x14ac:dyDescent="0.2">
      <c r="A101" s="2">
        <f t="shared" si="31"/>
        <v>45838</v>
      </c>
      <c r="B101">
        <f t="shared" si="25"/>
        <v>170</v>
      </c>
      <c r="C101">
        <f t="shared" si="17"/>
        <v>14.083333333333334</v>
      </c>
      <c r="D101">
        <f t="shared" si="18"/>
        <v>0</v>
      </c>
      <c r="E101">
        <f t="shared" si="19"/>
        <v>69</v>
      </c>
      <c r="F101">
        <f t="shared" si="20"/>
        <v>61</v>
      </c>
      <c r="G101">
        <f>IF(C101&gt;=$L$2,0,VLOOKUP($E101,'Mortality Table'!$A$3:$C$128,2+H$2,FALSE))</f>
        <v>0</v>
      </c>
      <c r="H101">
        <f>IF(C101&gt;=$L$2,0,VLOOKUP($E101,'Mortality Table'!$A$3:$C$128,2+I$2,FALSE))</f>
        <v>0</v>
      </c>
      <c r="I101" s="17">
        <f>G101*Assumptions!$B$1</f>
        <v>0</v>
      </c>
      <c r="J101" s="17">
        <f>H101*Assumptions!$B$1</f>
        <v>0</v>
      </c>
      <c r="K101">
        <f t="shared" si="21"/>
        <v>0</v>
      </c>
      <c r="L101">
        <f t="shared" si="26"/>
        <v>0</v>
      </c>
      <c r="M101">
        <f>HLOOKUP(C101,Assumptions!$A$6:$J$7,2,TRUE)</f>
        <v>2.6499999999999999E-2</v>
      </c>
      <c r="N101" s="23">
        <f t="shared" si="16"/>
        <v>0</v>
      </c>
      <c r="O101" s="23">
        <f t="shared" si="22"/>
        <v>0</v>
      </c>
      <c r="P101">
        <f t="shared" si="27"/>
        <v>0</v>
      </c>
      <c r="Q101" s="23">
        <f t="shared" si="23"/>
        <v>0</v>
      </c>
      <c r="R101">
        <f>Q100*Assumptions!$B$11/$E$2*N101</f>
        <v>0</v>
      </c>
      <c r="S101">
        <f>Q100*Assumptions!$B$13/$E$2*N101</f>
        <v>0</v>
      </c>
      <c r="T101">
        <f>L101*Assumptions!$B$15</f>
        <v>0</v>
      </c>
      <c r="U101">
        <f>S101*Assumptions!$B$17</f>
        <v>0</v>
      </c>
      <c r="V101">
        <f>HLOOKUP(B101,Assumptions!$A$26:$D$27,2,TRUE)</f>
        <v>0</v>
      </c>
      <c r="W101">
        <f t="shared" si="28"/>
        <v>0</v>
      </c>
      <c r="X101">
        <f t="shared" si="29"/>
        <v>8.3333333333333925E-2</v>
      </c>
      <c r="Y101">
        <f>IF(B101&gt;$M$2,0,IF(X102=0,0,(1-X102)*Assumptions!$B$11/$E$2*(1-Assumptions!$B$30)))</f>
        <v>0</v>
      </c>
      <c r="Z101">
        <f>(R101-S101)*(1-Assumptions!$B$30)-U101+Y100*Q100</f>
        <v>0</v>
      </c>
      <c r="AA101">
        <f>AA100*(1+Assumptions!$B$36)^(1/12)</f>
        <v>1.0774826937682025</v>
      </c>
      <c r="AB101" s="20">
        <f>IF(B101&gt;$M$2,0,AA100*Assumptions!$B$32/12*Q100+Z101*Assumptions!$B$34/12)</f>
        <v>0</v>
      </c>
      <c r="AC101" s="21">
        <f>1/(1+HLOOKUP(YEAR(A101),Assumptions!$A$41:$AL$43,3,TRUE))^(1/12)</f>
        <v>0.99875718171763528</v>
      </c>
      <c r="AD101">
        <f t="shared" si="24"/>
        <v>0</v>
      </c>
      <c r="AE101">
        <f t="shared" si="30"/>
        <v>0</v>
      </c>
    </row>
    <row r="102" spans="1:31" x14ac:dyDescent="0.2">
      <c r="A102" s="2">
        <f t="shared" si="31"/>
        <v>45869</v>
      </c>
      <c r="B102">
        <f t="shared" si="25"/>
        <v>171</v>
      </c>
      <c r="C102">
        <f t="shared" si="17"/>
        <v>14.166666666666666</v>
      </c>
      <c r="D102">
        <f t="shared" si="18"/>
        <v>0</v>
      </c>
      <c r="E102">
        <f t="shared" si="19"/>
        <v>69</v>
      </c>
      <c r="F102">
        <f t="shared" si="20"/>
        <v>61</v>
      </c>
      <c r="G102">
        <f>IF(C102&gt;=$L$2,0,VLOOKUP($E102,'Mortality Table'!$A$3:$C$128,2+H$2,FALSE))</f>
        <v>0</v>
      </c>
      <c r="H102">
        <f>IF(C102&gt;=$L$2,0,VLOOKUP($E102,'Mortality Table'!$A$3:$C$128,2+I$2,FALSE))</f>
        <v>0</v>
      </c>
      <c r="I102" s="17">
        <f>G102*Assumptions!$B$1</f>
        <v>0</v>
      </c>
      <c r="J102" s="17">
        <f>H102*Assumptions!$B$1</f>
        <v>0</v>
      </c>
      <c r="K102">
        <f t="shared" si="21"/>
        <v>0</v>
      </c>
      <c r="L102">
        <f t="shared" si="26"/>
        <v>0</v>
      </c>
      <c r="M102">
        <f>HLOOKUP(C102,Assumptions!$A$6:$J$7,2,TRUE)</f>
        <v>2.6499999999999999E-2</v>
      </c>
      <c r="N102" s="23">
        <f t="shared" si="16"/>
        <v>0</v>
      </c>
      <c r="O102" s="23">
        <f t="shared" si="22"/>
        <v>0</v>
      </c>
      <c r="P102">
        <f t="shared" si="27"/>
        <v>0</v>
      </c>
      <c r="Q102" s="23">
        <f t="shared" si="23"/>
        <v>0</v>
      </c>
      <c r="R102">
        <f>Q101*Assumptions!$B$11/$E$2*N102</f>
        <v>0</v>
      </c>
      <c r="S102">
        <f>Q101*Assumptions!$B$13/$E$2*N102</f>
        <v>0</v>
      </c>
      <c r="T102">
        <f>L102*Assumptions!$B$15</f>
        <v>0</v>
      </c>
      <c r="U102">
        <f>S102*Assumptions!$B$17</f>
        <v>0</v>
      </c>
      <c r="V102">
        <f>HLOOKUP(B102,Assumptions!$A$26:$D$27,2,TRUE)</f>
        <v>0</v>
      </c>
      <c r="W102">
        <f t="shared" si="28"/>
        <v>0</v>
      </c>
      <c r="X102">
        <f t="shared" si="29"/>
        <v>0.16666666666666607</v>
      </c>
      <c r="Y102">
        <f>IF(B102&gt;$M$2,0,IF(X103=0,0,(1-X103)*Assumptions!$B$11/$E$2*(1-Assumptions!$B$30)))</f>
        <v>0</v>
      </c>
      <c r="Z102">
        <f>(R102-S102)*(1-Assumptions!$B$30)-U102+Y101*Q101</f>
        <v>0</v>
      </c>
      <c r="AA102">
        <f>AA101*(1+Assumptions!$B$36)^(1/12)</f>
        <v>1.0783765067302316</v>
      </c>
      <c r="AB102" s="20">
        <f>IF(B102&gt;$M$2,0,AA101*Assumptions!$B$32/12*Q101+Z102*Assumptions!$B$34/12)</f>
        <v>0</v>
      </c>
      <c r="AC102" s="21">
        <f>1/(1+HLOOKUP(YEAR(A102),Assumptions!$A$41:$AL$43,3,TRUE))^(1/12)</f>
        <v>0.99875718171763528</v>
      </c>
      <c r="AD102">
        <f t="shared" si="24"/>
        <v>0</v>
      </c>
      <c r="AE102">
        <f t="shared" si="30"/>
        <v>0</v>
      </c>
    </row>
    <row r="103" spans="1:31" x14ac:dyDescent="0.2">
      <c r="A103" s="2">
        <f t="shared" si="31"/>
        <v>45900</v>
      </c>
      <c r="B103">
        <f t="shared" si="25"/>
        <v>172</v>
      </c>
      <c r="C103">
        <f t="shared" si="17"/>
        <v>14.25</v>
      </c>
      <c r="D103">
        <f t="shared" si="18"/>
        <v>0</v>
      </c>
      <c r="E103">
        <f t="shared" si="19"/>
        <v>69</v>
      </c>
      <c r="F103">
        <f t="shared" si="20"/>
        <v>61</v>
      </c>
      <c r="G103">
        <f>IF(C103&gt;=$L$2,0,VLOOKUP($E103,'Mortality Table'!$A$3:$C$128,2+H$2,FALSE))</f>
        <v>0</v>
      </c>
      <c r="H103">
        <f>IF(C103&gt;=$L$2,0,VLOOKUP($E103,'Mortality Table'!$A$3:$C$128,2+I$2,FALSE))</f>
        <v>0</v>
      </c>
      <c r="I103" s="17">
        <f>G103*Assumptions!$B$1</f>
        <v>0</v>
      </c>
      <c r="J103" s="17">
        <f>H103*Assumptions!$B$1</f>
        <v>0</v>
      </c>
      <c r="K103">
        <f t="shared" si="21"/>
        <v>0</v>
      </c>
      <c r="L103">
        <f t="shared" si="26"/>
        <v>0</v>
      </c>
      <c r="M103">
        <f>HLOOKUP(C103,Assumptions!$A$6:$J$7,2,TRUE)</f>
        <v>2.6499999999999999E-2</v>
      </c>
      <c r="N103" s="23">
        <f t="shared" si="16"/>
        <v>0</v>
      </c>
      <c r="O103" s="23">
        <f t="shared" si="22"/>
        <v>0</v>
      </c>
      <c r="P103">
        <f t="shared" si="27"/>
        <v>0</v>
      </c>
      <c r="Q103" s="23">
        <f t="shared" si="23"/>
        <v>0</v>
      </c>
      <c r="R103">
        <f>Q102*Assumptions!$B$11/$E$2*N103</f>
        <v>0</v>
      </c>
      <c r="S103">
        <f>Q102*Assumptions!$B$13/$E$2*N103</f>
        <v>0</v>
      </c>
      <c r="T103">
        <f>L103*Assumptions!$B$15</f>
        <v>0</v>
      </c>
      <c r="U103">
        <f>S103*Assumptions!$B$17</f>
        <v>0</v>
      </c>
      <c r="V103">
        <f>HLOOKUP(B103,Assumptions!$A$26:$D$27,2,TRUE)</f>
        <v>0</v>
      </c>
      <c r="W103">
        <f t="shared" si="28"/>
        <v>0</v>
      </c>
      <c r="X103">
        <f t="shared" si="29"/>
        <v>0.25</v>
      </c>
      <c r="Y103">
        <f>IF(B103&gt;$M$2,0,IF(X104=0,0,(1-X104)*Assumptions!$B$11/$E$2*(1-Assumptions!$B$30)))</f>
        <v>0</v>
      </c>
      <c r="Z103">
        <f>(R103-S103)*(1-Assumptions!$B$30)-U103+Y102*Q102</f>
        <v>0</v>
      </c>
      <c r="AA103">
        <f>AA102*(1+Assumptions!$B$36)^(1/12)</f>
        <v>1.0792710611441798</v>
      </c>
      <c r="AB103" s="20">
        <f>IF(B103&gt;$M$2,0,AA102*Assumptions!$B$32/12*Q102+Z103*Assumptions!$B$34/12)</f>
        <v>0</v>
      </c>
      <c r="AC103" s="21">
        <f>1/(1+HLOOKUP(YEAR(A103),Assumptions!$A$41:$AL$43,3,TRUE))^(1/12)</f>
        <v>0.99875718171763528</v>
      </c>
      <c r="AD103">
        <f t="shared" si="24"/>
        <v>0</v>
      </c>
      <c r="AE103">
        <f t="shared" si="30"/>
        <v>0</v>
      </c>
    </row>
    <row r="104" spans="1:31" x14ac:dyDescent="0.2">
      <c r="A104" s="2">
        <f t="shared" si="31"/>
        <v>45930</v>
      </c>
      <c r="B104">
        <f t="shared" si="25"/>
        <v>173</v>
      </c>
      <c r="C104">
        <f t="shared" si="17"/>
        <v>14.333333333333334</v>
      </c>
      <c r="D104">
        <f t="shared" si="18"/>
        <v>0</v>
      </c>
      <c r="E104">
        <f t="shared" si="19"/>
        <v>69</v>
      </c>
      <c r="F104">
        <f t="shared" si="20"/>
        <v>61</v>
      </c>
      <c r="G104">
        <f>IF(C104&gt;=$L$2,0,VLOOKUP($E104,'Mortality Table'!$A$3:$C$128,2+H$2,FALSE))</f>
        <v>0</v>
      </c>
      <c r="H104">
        <f>IF(C104&gt;=$L$2,0,VLOOKUP($E104,'Mortality Table'!$A$3:$C$128,2+I$2,FALSE))</f>
        <v>0</v>
      </c>
      <c r="I104" s="17">
        <f>G104*Assumptions!$B$1</f>
        <v>0</v>
      </c>
      <c r="J104" s="17">
        <f>H104*Assumptions!$B$1</f>
        <v>0</v>
      </c>
      <c r="K104">
        <f t="shared" si="21"/>
        <v>0</v>
      </c>
      <c r="L104">
        <f t="shared" si="26"/>
        <v>0</v>
      </c>
      <c r="M104">
        <f>HLOOKUP(C104,Assumptions!$A$6:$J$7,2,TRUE)</f>
        <v>2.6499999999999999E-2</v>
      </c>
      <c r="N104" s="23">
        <f t="shared" si="16"/>
        <v>0</v>
      </c>
      <c r="O104" s="23">
        <f t="shared" si="22"/>
        <v>0</v>
      </c>
      <c r="P104">
        <f t="shared" si="27"/>
        <v>0</v>
      </c>
      <c r="Q104" s="23">
        <f t="shared" si="23"/>
        <v>0</v>
      </c>
      <c r="R104">
        <f>Q103*Assumptions!$B$11/$E$2*N104</f>
        <v>0</v>
      </c>
      <c r="S104">
        <f>Q103*Assumptions!$B$13/$E$2*N104</f>
        <v>0</v>
      </c>
      <c r="T104">
        <f>L104*Assumptions!$B$15</f>
        <v>0</v>
      </c>
      <c r="U104">
        <f>S104*Assumptions!$B$17</f>
        <v>0</v>
      </c>
      <c r="V104">
        <f>HLOOKUP(B104,Assumptions!$A$26:$D$27,2,TRUE)</f>
        <v>0</v>
      </c>
      <c r="W104">
        <f t="shared" si="28"/>
        <v>0</v>
      </c>
      <c r="X104">
        <f t="shared" si="29"/>
        <v>0.33333333333333393</v>
      </c>
      <c r="Y104">
        <f>IF(B104&gt;$M$2,0,IF(X105=0,0,(1-X105)*Assumptions!$B$11/$E$2*(1-Assumptions!$B$30)))</f>
        <v>0</v>
      </c>
      <c r="Z104">
        <f>(R104-S104)*(1-Assumptions!$B$30)-U104+Y103*Q103</f>
        <v>0</v>
      </c>
      <c r="AA104">
        <f>AA103*(1+Assumptions!$B$36)^(1/12)</f>
        <v>1.0801663576251097</v>
      </c>
      <c r="AB104" s="20">
        <f>IF(B104&gt;$M$2,0,AA103*Assumptions!$B$32/12*Q103+Z104*Assumptions!$B$34/12)</f>
        <v>0</v>
      </c>
      <c r="AC104" s="21">
        <f>1/(1+HLOOKUP(YEAR(A104),Assumptions!$A$41:$AL$43,3,TRUE))^(1/12)</f>
        <v>0.99875718171763528</v>
      </c>
      <c r="AD104">
        <f t="shared" si="24"/>
        <v>0</v>
      </c>
      <c r="AE104">
        <f t="shared" si="30"/>
        <v>0</v>
      </c>
    </row>
    <row r="105" spans="1:31" x14ac:dyDescent="0.2">
      <c r="A105" s="2">
        <f t="shared" si="31"/>
        <v>45961</v>
      </c>
      <c r="B105">
        <f t="shared" si="25"/>
        <v>174</v>
      </c>
      <c r="C105">
        <f t="shared" si="17"/>
        <v>14.416666666666666</v>
      </c>
      <c r="D105">
        <f t="shared" si="18"/>
        <v>0</v>
      </c>
      <c r="E105">
        <f t="shared" si="19"/>
        <v>69</v>
      </c>
      <c r="F105">
        <f t="shared" si="20"/>
        <v>61</v>
      </c>
      <c r="G105">
        <f>IF(C105&gt;=$L$2,0,VLOOKUP($E105,'Mortality Table'!$A$3:$C$128,2+H$2,FALSE))</f>
        <v>0</v>
      </c>
      <c r="H105">
        <f>IF(C105&gt;=$L$2,0,VLOOKUP($E105,'Mortality Table'!$A$3:$C$128,2+I$2,FALSE))</f>
        <v>0</v>
      </c>
      <c r="I105" s="17">
        <f>G105*Assumptions!$B$1</f>
        <v>0</v>
      </c>
      <c r="J105" s="17">
        <f>H105*Assumptions!$B$1</f>
        <v>0</v>
      </c>
      <c r="K105">
        <f t="shared" si="21"/>
        <v>0</v>
      </c>
      <c r="L105">
        <f t="shared" si="26"/>
        <v>0</v>
      </c>
      <c r="M105">
        <f>HLOOKUP(C105,Assumptions!$A$6:$J$7,2,TRUE)</f>
        <v>2.6499999999999999E-2</v>
      </c>
      <c r="N105" s="23">
        <f t="shared" si="16"/>
        <v>0</v>
      </c>
      <c r="O105" s="23">
        <f t="shared" si="22"/>
        <v>0</v>
      </c>
      <c r="P105">
        <f t="shared" si="27"/>
        <v>0</v>
      </c>
      <c r="Q105" s="23">
        <f t="shared" si="23"/>
        <v>0</v>
      </c>
      <c r="R105">
        <f>Q104*Assumptions!$B$11/$E$2*N105</f>
        <v>0</v>
      </c>
      <c r="S105">
        <f>Q104*Assumptions!$B$13/$E$2*N105</f>
        <v>0</v>
      </c>
      <c r="T105">
        <f>L105*Assumptions!$B$15</f>
        <v>0</v>
      </c>
      <c r="U105">
        <f>S105*Assumptions!$B$17</f>
        <v>0</v>
      </c>
      <c r="V105">
        <f>HLOOKUP(B105,Assumptions!$A$26:$D$27,2,TRUE)</f>
        <v>0</v>
      </c>
      <c r="W105">
        <f t="shared" si="28"/>
        <v>0</v>
      </c>
      <c r="X105">
        <f t="shared" si="29"/>
        <v>0.41666666666666607</v>
      </c>
      <c r="Y105">
        <f>IF(B105&gt;$M$2,0,IF(X106=0,0,(1-X106)*Assumptions!$B$11/$E$2*(1-Assumptions!$B$30)))</f>
        <v>0</v>
      </c>
      <c r="Z105">
        <f>(R105-S105)*(1-Assumptions!$B$30)-U105+Y104*Q104</f>
        <v>0</v>
      </c>
      <c r="AA105">
        <f>AA104*(1+Assumptions!$B$36)^(1/12)</f>
        <v>1.0810623967885942</v>
      </c>
      <c r="AB105" s="20">
        <f>IF(B105&gt;$M$2,0,AA104*Assumptions!$B$32/12*Q104+Z105*Assumptions!$B$34/12)</f>
        <v>0</v>
      </c>
      <c r="AC105" s="21">
        <f>1/(1+HLOOKUP(YEAR(A105),Assumptions!$A$41:$AL$43,3,TRUE))^(1/12)</f>
        <v>0.99875718171763528</v>
      </c>
      <c r="AD105">
        <f t="shared" si="24"/>
        <v>0</v>
      </c>
      <c r="AE105">
        <f t="shared" si="30"/>
        <v>0</v>
      </c>
    </row>
    <row r="106" spans="1:31" x14ac:dyDescent="0.2">
      <c r="A106" s="2">
        <f t="shared" si="31"/>
        <v>45991</v>
      </c>
      <c r="B106">
        <f t="shared" si="25"/>
        <v>175</v>
      </c>
      <c r="C106">
        <f t="shared" si="17"/>
        <v>14.5</v>
      </c>
      <c r="D106">
        <f t="shared" si="18"/>
        <v>0</v>
      </c>
      <c r="E106">
        <f t="shared" si="19"/>
        <v>69</v>
      </c>
      <c r="F106">
        <f t="shared" si="20"/>
        <v>61</v>
      </c>
      <c r="G106">
        <f>IF(C106&gt;=$L$2,0,VLOOKUP($E106,'Mortality Table'!$A$3:$C$128,2+H$2,FALSE))</f>
        <v>0</v>
      </c>
      <c r="H106">
        <f>IF(C106&gt;=$L$2,0,VLOOKUP($E106,'Mortality Table'!$A$3:$C$128,2+I$2,FALSE))</f>
        <v>0</v>
      </c>
      <c r="I106" s="17">
        <f>G106*Assumptions!$B$1</f>
        <v>0</v>
      </c>
      <c r="J106" s="17">
        <f>H106*Assumptions!$B$1</f>
        <v>0</v>
      </c>
      <c r="K106">
        <f t="shared" si="21"/>
        <v>0</v>
      </c>
      <c r="L106">
        <f t="shared" si="26"/>
        <v>0</v>
      </c>
      <c r="M106">
        <f>HLOOKUP(C106,Assumptions!$A$6:$J$7,2,TRUE)</f>
        <v>2.6499999999999999E-2</v>
      </c>
      <c r="N106" s="23">
        <f t="shared" si="16"/>
        <v>0</v>
      </c>
      <c r="O106" s="23">
        <f t="shared" si="22"/>
        <v>0</v>
      </c>
      <c r="P106">
        <f t="shared" si="27"/>
        <v>0</v>
      </c>
      <c r="Q106" s="23">
        <f t="shared" si="23"/>
        <v>0</v>
      </c>
      <c r="R106">
        <f>Q105*Assumptions!$B$11/$E$2*N106</f>
        <v>0</v>
      </c>
      <c r="S106">
        <f>Q105*Assumptions!$B$13/$E$2*N106</f>
        <v>0</v>
      </c>
      <c r="T106">
        <f>L106*Assumptions!$B$15</f>
        <v>0</v>
      </c>
      <c r="U106">
        <f>S106*Assumptions!$B$17</f>
        <v>0</v>
      </c>
      <c r="V106">
        <f>HLOOKUP(B106,Assumptions!$A$26:$D$27,2,TRUE)</f>
        <v>0</v>
      </c>
      <c r="W106">
        <f t="shared" si="28"/>
        <v>0</v>
      </c>
      <c r="X106">
        <f t="shared" si="29"/>
        <v>0.5</v>
      </c>
      <c r="Y106">
        <f>IF(B106&gt;$M$2,0,IF(X107=0,0,(1-X107)*Assumptions!$B$11/$E$2*(1-Assumptions!$B$30)))</f>
        <v>0</v>
      </c>
      <c r="Z106">
        <f>(R106-S106)*(1-Assumptions!$B$30)-U106+Y105*Q105</f>
        <v>0</v>
      </c>
      <c r="AA106">
        <f>AA105*(1+Assumptions!$B$36)^(1/12)</f>
        <v>1.0819591792507168</v>
      </c>
      <c r="AB106" s="20">
        <f>IF(B106&gt;$M$2,0,AA105*Assumptions!$B$32/12*Q105+Z106*Assumptions!$B$34/12)</f>
        <v>0</v>
      </c>
      <c r="AC106" s="21">
        <f>1/(1+HLOOKUP(YEAR(A106),Assumptions!$A$41:$AL$43,3,TRUE))^(1/12)</f>
        <v>0.99875718171763528</v>
      </c>
      <c r="AD106">
        <f t="shared" si="24"/>
        <v>0</v>
      </c>
      <c r="AE106">
        <f t="shared" si="30"/>
        <v>0</v>
      </c>
    </row>
    <row r="107" spans="1:31" x14ac:dyDescent="0.2">
      <c r="A107" s="2">
        <f t="shared" si="31"/>
        <v>46022</v>
      </c>
      <c r="B107">
        <f t="shared" si="25"/>
        <v>176</v>
      </c>
      <c r="C107">
        <f t="shared" si="17"/>
        <v>14.583333333333334</v>
      </c>
      <c r="D107">
        <f t="shared" si="18"/>
        <v>0</v>
      </c>
      <c r="E107">
        <f t="shared" si="19"/>
        <v>69</v>
      </c>
      <c r="F107">
        <f t="shared" si="20"/>
        <v>61</v>
      </c>
      <c r="G107">
        <f>IF(C107&gt;=$L$2,0,VLOOKUP($E107,'Mortality Table'!$A$3:$C$128,2+H$2,FALSE))</f>
        <v>0</v>
      </c>
      <c r="H107">
        <f>IF(C107&gt;=$L$2,0,VLOOKUP($E107,'Mortality Table'!$A$3:$C$128,2+I$2,FALSE))</f>
        <v>0</v>
      </c>
      <c r="I107" s="17">
        <f>G107*Assumptions!$B$1</f>
        <v>0</v>
      </c>
      <c r="J107" s="17">
        <f>H107*Assumptions!$B$1</f>
        <v>0</v>
      </c>
      <c r="K107">
        <f t="shared" si="21"/>
        <v>0</v>
      </c>
      <c r="L107">
        <f t="shared" si="26"/>
        <v>0</v>
      </c>
      <c r="M107">
        <f>HLOOKUP(C107,Assumptions!$A$6:$J$7,2,TRUE)</f>
        <v>2.6499999999999999E-2</v>
      </c>
      <c r="N107" s="23">
        <f t="shared" si="16"/>
        <v>0</v>
      </c>
      <c r="O107" s="23">
        <f t="shared" si="22"/>
        <v>0</v>
      </c>
      <c r="P107">
        <f t="shared" si="27"/>
        <v>0</v>
      </c>
      <c r="Q107" s="23">
        <f t="shared" si="23"/>
        <v>0</v>
      </c>
      <c r="R107">
        <f>Q106*Assumptions!$B$11/$E$2*N107</f>
        <v>0</v>
      </c>
      <c r="S107">
        <f>Q106*Assumptions!$B$13/$E$2*N107</f>
        <v>0</v>
      </c>
      <c r="T107">
        <f>L107*Assumptions!$B$15</f>
        <v>0</v>
      </c>
      <c r="U107">
        <f>S107*Assumptions!$B$17</f>
        <v>0</v>
      </c>
      <c r="V107">
        <f>HLOOKUP(B107,Assumptions!$A$26:$D$27,2,TRUE)</f>
        <v>0</v>
      </c>
      <c r="W107">
        <f t="shared" si="28"/>
        <v>0</v>
      </c>
      <c r="X107">
        <f t="shared" si="29"/>
        <v>0.58333333333333393</v>
      </c>
      <c r="Y107">
        <f>IF(B107&gt;$M$2,0,IF(X108=0,0,(1-X108)*Assumptions!$B$11/$E$2*(1-Assumptions!$B$30)))</f>
        <v>0</v>
      </c>
      <c r="Z107">
        <f>(R107-S107)*(1-Assumptions!$B$30)-U107+Y106*Q106</f>
        <v>0</v>
      </c>
      <c r="AA107">
        <f>AA106*(1+Assumptions!$B$36)^(1/12)</f>
        <v>1.082856705628072</v>
      </c>
      <c r="AB107" s="20">
        <f>IF(B107&gt;$M$2,0,AA106*Assumptions!$B$32/12*Q106+Z107*Assumptions!$B$34/12)</f>
        <v>0</v>
      </c>
      <c r="AC107" s="21">
        <f>1/(1+HLOOKUP(YEAR(A107),Assumptions!$A$41:$AL$43,3,TRUE))^(1/12)</f>
        <v>0.99875718171763528</v>
      </c>
      <c r="AD107">
        <f t="shared" si="24"/>
        <v>0</v>
      </c>
      <c r="AE107">
        <f t="shared" si="30"/>
        <v>0</v>
      </c>
    </row>
    <row r="108" spans="1:31" x14ac:dyDescent="0.2">
      <c r="A108" s="2">
        <f t="shared" si="31"/>
        <v>46053</v>
      </c>
      <c r="B108">
        <f t="shared" si="25"/>
        <v>177</v>
      </c>
      <c r="C108">
        <f t="shared" si="17"/>
        <v>14.666666666666666</v>
      </c>
      <c r="D108">
        <f t="shared" si="18"/>
        <v>0</v>
      </c>
      <c r="E108">
        <f t="shared" si="19"/>
        <v>69</v>
      </c>
      <c r="F108">
        <f t="shared" si="20"/>
        <v>61</v>
      </c>
      <c r="G108">
        <f>IF(C108&gt;=$L$2,0,VLOOKUP($E108,'Mortality Table'!$A$3:$C$128,2+H$2,FALSE))</f>
        <v>0</v>
      </c>
      <c r="H108">
        <f>IF(C108&gt;=$L$2,0,VLOOKUP($E108,'Mortality Table'!$A$3:$C$128,2+I$2,FALSE))</f>
        <v>0</v>
      </c>
      <c r="I108" s="17">
        <f>G108*Assumptions!$B$1</f>
        <v>0</v>
      </c>
      <c r="J108" s="17">
        <f>H108*Assumptions!$B$1</f>
        <v>0</v>
      </c>
      <c r="K108">
        <f t="shared" si="21"/>
        <v>0</v>
      </c>
      <c r="L108">
        <f t="shared" si="26"/>
        <v>0</v>
      </c>
      <c r="M108">
        <f>HLOOKUP(C108,Assumptions!$A$6:$J$7,2,TRUE)</f>
        <v>2.6499999999999999E-2</v>
      </c>
      <c r="N108" s="23">
        <f t="shared" si="16"/>
        <v>0</v>
      </c>
      <c r="O108" s="23">
        <f t="shared" si="22"/>
        <v>0</v>
      </c>
      <c r="P108">
        <f t="shared" si="27"/>
        <v>0</v>
      </c>
      <c r="Q108" s="23">
        <f t="shared" si="23"/>
        <v>0</v>
      </c>
      <c r="R108">
        <f>Q107*Assumptions!$B$11/$E$2*N108</f>
        <v>0</v>
      </c>
      <c r="S108">
        <f>Q107*Assumptions!$B$13/$E$2*N108</f>
        <v>0</v>
      </c>
      <c r="T108">
        <f>L108*Assumptions!$B$15</f>
        <v>0</v>
      </c>
      <c r="U108">
        <f>S108*Assumptions!$B$17</f>
        <v>0</v>
      </c>
      <c r="V108">
        <f>HLOOKUP(B108,Assumptions!$A$26:$D$27,2,TRUE)</f>
        <v>0</v>
      </c>
      <c r="W108">
        <f t="shared" si="28"/>
        <v>0</v>
      </c>
      <c r="X108">
        <f t="shared" si="29"/>
        <v>0.66666666666666607</v>
      </c>
      <c r="Y108">
        <f>IF(B108&gt;$M$2,0,IF(X109=0,0,(1-X109)*Assumptions!$B$11/$E$2*(1-Assumptions!$B$30)))</f>
        <v>0</v>
      </c>
      <c r="Z108">
        <f>(R108-S108)*(1-Assumptions!$B$30)-U108+Y107*Q107</f>
        <v>0</v>
      </c>
      <c r="AA108">
        <f>AA107*(1+Assumptions!$B$36)^(1/12)</f>
        <v>1.0837549765377659</v>
      </c>
      <c r="AB108" s="20">
        <f>IF(B108&gt;$M$2,0,AA107*Assumptions!$B$32/12*Q107+Z108*Assumptions!$B$34/12)</f>
        <v>0</v>
      </c>
      <c r="AC108" s="21">
        <f>1/(1+HLOOKUP(YEAR(A108),Assumptions!$A$41:$AL$43,3,TRUE))^(1/12)</f>
        <v>0.99874849053349435</v>
      </c>
      <c r="AD108">
        <f t="shared" si="24"/>
        <v>0</v>
      </c>
      <c r="AE108">
        <f t="shared" si="30"/>
        <v>0</v>
      </c>
    </row>
    <row r="109" spans="1:31" x14ac:dyDescent="0.2">
      <c r="A109" s="2">
        <f t="shared" si="31"/>
        <v>46081</v>
      </c>
      <c r="B109">
        <f t="shared" si="25"/>
        <v>178</v>
      </c>
      <c r="C109">
        <f t="shared" si="17"/>
        <v>14.75</v>
      </c>
      <c r="D109">
        <f t="shared" si="18"/>
        <v>0</v>
      </c>
      <c r="E109">
        <f t="shared" si="19"/>
        <v>69</v>
      </c>
      <c r="F109">
        <f t="shared" si="20"/>
        <v>61</v>
      </c>
      <c r="G109">
        <f>IF(C109&gt;=$L$2,0,VLOOKUP($E109,'Mortality Table'!$A$3:$C$128,2+H$2,FALSE))</f>
        <v>0</v>
      </c>
      <c r="H109">
        <f>IF(C109&gt;=$L$2,0,VLOOKUP($E109,'Mortality Table'!$A$3:$C$128,2+I$2,FALSE))</f>
        <v>0</v>
      </c>
      <c r="I109" s="17">
        <f>G109*Assumptions!$B$1</f>
        <v>0</v>
      </c>
      <c r="J109" s="17">
        <f>H109*Assumptions!$B$1</f>
        <v>0</v>
      </c>
      <c r="K109">
        <f t="shared" si="21"/>
        <v>0</v>
      </c>
      <c r="L109">
        <f t="shared" si="26"/>
        <v>0</v>
      </c>
      <c r="M109">
        <f>HLOOKUP(C109,Assumptions!$A$6:$J$7,2,TRUE)</f>
        <v>2.6499999999999999E-2</v>
      </c>
      <c r="N109" s="23">
        <f t="shared" si="16"/>
        <v>0</v>
      </c>
      <c r="O109" s="23">
        <f t="shared" si="22"/>
        <v>0</v>
      </c>
      <c r="P109">
        <f t="shared" si="27"/>
        <v>0</v>
      </c>
      <c r="Q109" s="23">
        <f t="shared" si="23"/>
        <v>0</v>
      </c>
      <c r="R109">
        <f>Q108*Assumptions!$B$11/$E$2*N109</f>
        <v>0</v>
      </c>
      <c r="S109">
        <f>Q108*Assumptions!$B$13/$E$2*N109</f>
        <v>0</v>
      </c>
      <c r="T109">
        <f>L109*Assumptions!$B$15</f>
        <v>0</v>
      </c>
      <c r="U109">
        <f>S109*Assumptions!$B$17</f>
        <v>0</v>
      </c>
      <c r="V109">
        <f>HLOOKUP(B109,Assumptions!$A$26:$D$27,2,TRUE)</f>
        <v>0</v>
      </c>
      <c r="W109">
        <f t="shared" si="28"/>
        <v>0</v>
      </c>
      <c r="X109">
        <f t="shared" si="29"/>
        <v>0.75</v>
      </c>
      <c r="Y109">
        <f>IF(B109&gt;$M$2,0,IF(X110=0,0,(1-X110)*Assumptions!$B$11/$E$2*(1-Assumptions!$B$30)))</f>
        <v>0</v>
      </c>
      <c r="Z109">
        <f>(R109-S109)*(1-Assumptions!$B$30)-U109+Y108*Q108</f>
        <v>0</v>
      </c>
      <c r="AA109">
        <f>AA108*(1+Assumptions!$B$36)^(1/12)</f>
        <v>1.0846539925974163</v>
      </c>
      <c r="AB109" s="20">
        <f>IF(B109&gt;$M$2,0,AA108*Assumptions!$B$32/12*Q108+Z109*Assumptions!$B$34/12)</f>
        <v>0</v>
      </c>
      <c r="AC109" s="21">
        <f>1/(1+HLOOKUP(YEAR(A109),Assumptions!$A$41:$AL$43,3,TRUE))^(1/12)</f>
        <v>0.99874849053349435</v>
      </c>
      <c r="AD109">
        <f t="shared" si="24"/>
        <v>0</v>
      </c>
      <c r="AE109">
        <f t="shared" si="30"/>
        <v>0</v>
      </c>
    </row>
    <row r="110" spans="1:31" x14ac:dyDescent="0.2">
      <c r="A110" s="2">
        <f t="shared" si="31"/>
        <v>46112</v>
      </c>
      <c r="B110">
        <f t="shared" si="25"/>
        <v>179</v>
      </c>
      <c r="C110">
        <f t="shared" si="17"/>
        <v>14.833333333333334</v>
      </c>
      <c r="D110">
        <f t="shared" si="18"/>
        <v>0</v>
      </c>
      <c r="E110">
        <f t="shared" si="19"/>
        <v>69</v>
      </c>
      <c r="F110">
        <f t="shared" si="20"/>
        <v>61</v>
      </c>
      <c r="G110">
        <f>IF(C110&gt;=$L$2,0,VLOOKUP($E110,'Mortality Table'!$A$3:$C$128,2+H$2,FALSE))</f>
        <v>0</v>
      </c>
      <c r="H110">
        <f>IF(C110&gt;=$L$2,0,VLOOKUP($E110,'Mortality Table'!$A$3:$C$128,2+I$2,FALSE))</f>
        <v>0</v>
      </c>
      <c r="I110" s="17">
        <f>G110*Assumptions!$B$1</f>
        <v>0</v>
      </c>
      <c r="J110" s="17">
        <f>H110*Assumptions!$B$1</f>
        <v>0</v>
      </c>
      <c r="K110">
        <f t="shared" si="21"/>
        <v>0</v>
      </c>
      <c r="L110">
        <f t="shared" si="26"/>
        <v>0</v>
      </c>
      <c r="M110">
        <f>HLOOKUP(C110,Assumptions!$A$6:$J$7,2,TRUE)</f>
        <v>2.6499999999999999E-2</v>
      </c>
      <c r="N110" s="23">
        <f t="shared" si="16"/>
        <v>0</v>
      </c>
      <c r="O110" s="23">
        <f t="shared" si="22"/>
        <v>0</v>
      </c>
      <c r="P110">
        <f t="shared" si="27"/>
        <v>0</v>
      </c>
      <c r="Q110" s="23">
        <f t="shared" si="23"/>
        <v>0</v>
      </c>
      <c r="R110">
        <f>Q109*Assumptions!$B$11/$E$2*N110</f>
        <v>0</v>
      </c>
      <c r="S110">
        <f>Q109*Assumptions!$B$13/$E$2*N110</f>
        <v>0</v>
      </c>
      <c r="T110">
        <f>L110*Assumptions!$B$15</f>
        <v>0</v>
      </c>
      <c r="U110">
        <f>S110*Assumptions!$B$17</f>
        <v>0</v>
      </c>
      <c r="V110">
        <f>HLOOKUP(B110,Assumptions!$A$26:$D$27,2,TRUE)</f>
        <v>0</v>
      </c>
      <c r="W110">
        <f t="shared" si="28"/>
        <v>0</v>
      </c>
      <c r="X110">
        <f t="shared" si="29"/>
        <v>0.83333333333333393</v>
      </c>
      <c r="Y110">
        <f>IF(B110&gt;$M$2,0,IF(X111=0,0,(1-X111)*Assumptions!$B$11/$E$2*(1-Assumptions!$B$30)))</f>
        <v>0</v>
      </c>
      <c r="Z110">
        <f>(R110-S110)*(1-Assumptions!$B$30)-U110+Y109*Q109</f>
        <v>0</v>
      </c>
      <c r="AA110">
        <f>AA109*(1+Assumptions!$B$36)^(1/12)</f>
        <v>1.0855537544251537</v>
      </c>
      <c r="AB110" s="20">
        <f>IF(B110&gt;$M$2,0,AA109*Assumptions!$B$32/12*Q109+Z110*Assumptions!$B$34/12)</f>
        <v>0</v>
      </c>
      <c r="AC110" s="21">
        <f>1/(1+HLOOKUP(YEAR(A110),Assumptions!$A$41:$AL$43,3,TRUE))^(1/12)</f>
        <v>0.99874849053349435</v>
      </c>
      <c r="AD110">
        <f t="shared" si="24"/>
        <v>0</v>
      </c>
      <c r="AE110">
        <f t="shared" si="30"/>
        <v>0</v>
      </c>
    </row>
    <row r="111" spans="1:31" x14ac:dyDescent="0.2">
      <c r="A111" s="2">
        <f t="shared" si="31"/>
        <v>46142</v>
      </c>
      <c r="B111">
        <f t="shared" si="25"/>
        <v>180</v>
      </c>
      <c r="C111">
        <f t="shared" si="17"/>
        <v>14.916666666666666</v>
      </c>
      <c r="D111">
        <f t="shared" si="18"/>
        <v>0</v>
      </c>
      <c r="E111">
        <f t="shared" si="19"/>
        <v>69</v>
      </c>
      <c r="F111">
        <f t="shared" si="20"/>
        <v>61</v>
      </c>
      <c r="G111">
        <f>IF(C111&gt;=$L$2,0,VLOOKUP($E111,'Mortality Table'!$A$3:$C$128,2+H$2,FALSE))</f>
        <v>0</v>
      </c>
      <c r="H111">
        <f>IF(C111&gt;=$L$2,0,VLOOKUP($E111,'Mortality Table'!$A$3:$C$128,2+I$2,FALSE))</f>
        <v>0</v>
      </c>
      <c r="I111" s="17">
        <f>G111*Assumptions!$B$1</f>
        <v>0</v>
      </c>
      <c r="J111" s="17">
        <f>H111*Assumptions!$B$1</f>
        <v>0</v>
      </c>
      <c r="K111">
        <f t="shared" si="21"/>
        <v>0</v>
      </c>
      <c r="L111">
        <f t="shared" si="26"/>
        <v>0</v>
      </c>
      <c r="M111">
        <f>HLOOKUP(C111,Assumptions!$A$6:$J$7,2,TRUE)</f>
        <v>2.6499999999999999E-2</v>
      </c>
      <c r="N111" s="23">
        <f t="shared" si="16"/>
        <v>0</v>
      </c>
      <c r="O111" s="23">
        <f t="shared" si="22"/>
        <v>0</v>
      </c>
      <c r="P111">
        <f t="shared" si="27"/>
        <v>0</v>
      </c>
      <c r="Q111" s="23">
        <f t="shared" si="23"/>
        <v>0</v>
      </c>
      <c r="R111">
        <f>Q110*Assumptions!$B$11/$E$2*N111</f>
        <v>0</v>
      </c>
      <c r="S111">
        <f>Q110*Assumptions!$B$13/$E$2*N111</f>
        <v>0</v>
      </c>
      <c r="T111">
        <f>L111*Assumptions!$B$15</f>
        <v>0</v>
      </c>
      <c r="U111">
        <f>S111*Assumptions!$B$17</f>
        <v>0</v>
      </c>
      <c r="V111">
        <f>HLOOKUP(B111,Assumptions!$A$26:$D$27,2,TRUE)</f>
        <v>0</v>
      </c>
      <c r="W111">
        <f t="shared" si="28"/>
        <v>0</v>
      </c>
      <c r="X111">
        <f t="shared" si="29"/>
        <v>0.91666666666666607</v>
      </c>
      <c r="Y111">
        <f>IF(B111&gt;$M$2,0,IF(X112=0,0,(1-X112)*Assumptions!$B$11/$E$2*(1-Assumptions!$B$30)))</f>
        <v>0</v>
      </c>
      <c r="Z111">
        <f>(R111-S111)*(1-Assumptions!$B$30)-U111+Y110*Q110</f>
        <v>0</v>
      </c>
      <c r="AA111">
        <f>AA110*(1+Assumptions!$B$36)^(1/12)</f>
        <v>1.086454262639621</v>
      </c>
      <c r="AB111" s="20">
        <f>IF(B111&gt;$M$2,0,AA110*Assumptions!$B$32/12*Q110+Z111*Assumptions!$B$34/12)</f>
        <v>0</v>
      </c>
      <c r="AC111" s="21">
        <f>1/(1+HLOOKUP(YEAR(A111),Assumptions!$A$41:$AL$43,3,TRUE))^(1/12)</f>
        <v>0.99874849053349435</v>
      </c>
      <c r="AD111">
        <f t="shared" si="24"/>
        <v>0</v>
      </c>
      <c r="AE111">
        <f t="shared" si="30"/>
        <v>0</v>
      </c>
    </row>
    <row r="112" spans="1:31" x14ac:dyDescent="0.2">
      <c r="A112" s="2">
        <f t="shared" si="31"/>
        <v>46173</v>
      </c>
      <c r="B112">
        <f t="shared" si="25"/>
        <v>181</v>
      </c>
      <c r="C112">
        <f t="shared" si="17"/>
        <v>15</v>
      </c>
      <c r="D112">
        <f t="shared" si="18"/>
        <v>1</v>
      </c>
      <c r="E112">
        <f t="shared" si="19"/>
        <v>70</v>
      </c>
      <c r="F112">
        <f t="shared" si="20"/>
        <v>62</v>
      </c>
      <c r="G112">
        <f>IF(C112&gt;=$L$2,0,VLOOKUP($E112,'Mortality Table'!$A$3:$C$128,2+H$2,FALSE))</f>
        <v>0</v>
      </c>
      <c r="H112">
        <f>IF(C112&gt;=$L$2,0,VLOOKUP($E112,'Mortality Table'!$A$3:$C$128,2+I$2,FALSE))</f>
        <v>0</v>
      </c>
      <c r="I112" s="17">
        <f>G112*Assumptions!$B$1</f>
        <v>0</v>
      </c>
      <c r="J112" s="17">
        <f>H112*Assumptions!$B$1</f>
        <v>0</v>
      </c>
      <c r="K112">
        <f t="shared" si="21"/>
        <v>0</v>
      </c>
      <c r="L112">
        <f t="shared" si="26"/>
        <v>0</v>
      </c>
      <c r="M112">
        <f>HLOOKUP(C112,Assumptions!$A$6:$J$7,2,TRUE)</f>
        <v>2.6499999999999999E-2</v>
      </c>
      <c r="N112" s="23">
        <f t="shared" si="16"/>
        <v>0</v>
      </c>
      <c r="O112" s="23">
        <f t="shared" si="22"/>
        <v>0</v>
      </c>
      <c r="P112">
        <f t="shared" si="27"/>
        <v>0</v>
      </c>
      <c r="Q112" s="23">
        <f t="shared" si="23"/>
        <v>0</v>
      </c>
      <c r="R112">
        <f>Q111*Assumptions!$B$11/$E$2*N112</f>
        <v>0</v>
      </c>
      <c r="S112">
        <f>Q111*Assumptions!$B$13/$E$2*N112</f>
        <v>0</v>
      </c>
      <c r="T112">
        <f>L112*Assumptions!$B$15</f>
        <v>0</v>
      </c>
      <c r="U112">
        <f>S112*Assumptions!$B$17</f>
        <v>0</v>
      </c>
      <c r="V112">
        <f>HLOOKUP(B112,Assumptions!$A$26:$D$27,2,TRUE)</f>
        <v>0</v>
      </c>
      <c r="W112">
        <f t="shared" si="28"/>
        <v>0</v>
      </c>
      <c r="X112">
        <f t="shared" si="29"/>
        <v>0</v>
      </c>
      <c r="Y112">
        <f>IF(B112&gt;$M$2,0,IF(X113=0,0,(1-X113)*Assumptions!$B$11/$E$2*(1-Assumptions!$B$30)))</f>
        <v>0</v>
      </c>
      <c r="Z112">
        <f>(R112-S112)*(1-Assumptions!$B$30)-U112+Y111*Q111</f>
        <v>0</v>
      </c>
      <c r="AA112">
        <f>AA111*(1+Assumptions!$B$36)^(1/12)</f>
        <v>1.0873555178599743</v>
      </c>
      <c r="AB112" s="20">
        <f>IF(B112&gt;$M$2,0,AA111*Assumptions!$B$32/12*Q111+Z112*Assumptions!$B$34/12)</f>
        <v>0</v>
      </c>
      <c r="AC112" s="21">
        <f>1/(1+HLOOKUP(YEAR(A112),Assumptions!$A$41:$AL$43,3,TRUE))^(1/12)</f>
        <v>0.99874849053349435</v>
      </c>
      <c r="AD112">
        <f t="shared" si="24"/>
        <v>0</v>
      </c>
      <c r="AE112">
        <f t="shared" si="30"/>
        <v>0</v>
      </c>
    </row>
    <row r="113" spans="1:31" x14ac:dyDescent="0.2">
      <c r="A113" s="2">
        <f t="shared" si="31"/>
        <v>46203</v>
      </c>
      <c r="B113">
        <f t="shared" si="25"/>
        <v>182</v>
      </c>
      <c r="C113">
        <f t="shared" si="17"/>
        <v>15.083333333333332</v>
      </c>
      <c r="D113">
        <f t="shared" si="18"/>
        <v>0</v>
      </c>
      <c r="E113">
        <f t="shared" si="19"/>
        <v>70</v>
      </c>
      <c r="F113">
        <f t="shared" si="20"/>
        <v>62</v>
      </c>
      <c r="G113">
        <f>IF(C113&gt;=$L$2,0,VLOOKUP($E113,'Mortality Table'!$A$3:$C$128,2+H$2,FALSE))</f>
        <v>0</v>
      </c>
      <c r="H113">
        <f>IF(C113&gt;=$L$2,0,VLOOKUP($E113,'Mortality Table'!$A$3:$C$128,2+I$2,FALSE))</f>
        <v>0</v>
      </c>
      <c r="I113" s="17">
        <f>G113*Assumptions!$B$1</f>
        <v>0</v>
      </c>
      <c r="J113" s="17">
        <f>H113*Assumptions!$B$1</f>
        <v>0</v>
      </c>
      <c r="K113">
        <f t="shared" si="21"/>
        <v>0</v>
      </c>
      <c r="L113">
        <f t="shared" si="26"/>
        <v>0</v>
      </c>
      <c r="M113">
        <f>HLOOKUP(C113,Assumptions!$A$6:$J$7,2,TRUE)</f>
        <v>2.6499999999999999E-2</v>
      </c>
      <c r="N113" s="23">
        <f t="shared" si="16"/>
        <v>0</v>
      </c>
      <c r="O113" s="23">
        <f t="shared" si="22"/>
        <v>0</v>
      </c>
      <c r="P113">
        <f t="shared" si="27"/>
        <v>0</v>
      </c>
      <c r="Q113" s="23">
        <f t="shared" si="23"/>
        <v>0</v>
      </c>
      <c r="R113">
        <f>Q112*Assumptions!$B$11/$E$2*N113</f>
        <v>0</v>
      </c>
      <c r="S113">
        <f>Q112*Assumptions!$B$13/$E$2*N113</f>
        <v>0</v>
      </c>
      <c r="T113">
        <f>L113*Assumptions!$B$15</f>
        <v>0</v>
      </c>
      <c r="U113">
        <f>S113*Assumptions!$B$17</f>
        <v>0</v>
      </c>
      <c r="V113">
        <f>HLOOKUP(B113,Assumptions!$A$26:$D$27,2,TRUE)</f>
        <v>0</v>
      </c>
      <c r="W113">
        <f t="shared" si="28"/>
        <v>0</v>
      </c>
      <c r="X113">
        <f t="shared" si="29"/>
        <v>8.3333333333332149E-2</v>
      </c>
      <c r="Y113">
        <f>IF(B113&gt;$M$2,0,IF(X114=0,0,(1-X114)*Assumptions!$B$11/$E$2*(1-Assumptions!$B$30)))</f>
        <v>0</v>
      </c>
      <c r="Z113">
        <f>(R113-S113)*(1-Assumptions!$B$30)-U113+Y112*Q112</f>
        <v>0</v>
      </c>
      <c r="AA113">
        <f>AA112*(1+Assumptions!$B$36)^(1/12)</f>
        <v>1.0882575207058838</v>
      </c>
      <c r="AB113" s="20">
        <f>IF(B113&gt;$M$2,0,AA112*Assumptions!$B$32/12*Q112+Z113*Assumptions!$B$34/12)</f>
        <v>0</v>
      </c>
      <c r="AC113" s="21">
        <f>1/(1+HLOOKUP(YEAR(A113),Assumptions!$A$41:$AL$43,3,TRUE))^(1/12)</f>
        <v>0.99874849053349435</v>
      </c>
      <c r="AD113">
        <f t="shared" si="24"/>
        <v>0</v>
      </c>
      <c r="AE113">
        <f t="shared" si="30"/>
        <v>0</v>
      </c>
    </row>
    <row r="114" spans="1:31" x14ac:dyDescent="0.2">
      <c r="A114" s="2">
        <f t="shared" si="31"/>
        <v>46234</v>
      </c>
      <c r="B114">
        <f t="shared" si="25"/>
        <v>183</v>
      </c>
      <c r="C114">
        <f t="shared" si="17"/>
        <v>15.166666666666668</v>
      </c>
      <c r="D114">
        <f t="shared" si="18"/>
        <v>0</v>
      </c>
      <c r="E114">
        <f t="shared" si="19"/>
        <v>70</v>
      </c>
      <c r="F114">
        <f t="shared" si="20"/>
        <v>62</v>
      </c>
      <c r="G114">
        <f>IF(C114&gt;=$L$2,0,VLOOKUP($E114,'Mortality Table'!$A$3:$C$128,2+H$2,FALSE))</f>
        <v>0</v>
      </c>
      <c r="H114">
        <f>IF(C114&gt;=$L$2,0,VLOOKUP($E114,'Mortality Table'!$A$3:$C$128,2+I$2,FALSE))</f>
        <v>0</v>
      </c>
      <c r="I114" s="17">
        <f>G114*Assumptions!$B$1</f>
        <v>0</v>
      </c>
      <c r="J114" s="17">
        <f>H114*Assumptions!$B$1</f>
        <v>0</v>
      </c>
      <c r="K114">
        <f t="shared" si="21"/>
        <v>0</v>
      </c>
      <c r="L114">
        <f t="shared" si="26"/>
        <v>0</v>
      </c>
      <c r="M114">
        <f>HLOOKUP(C114,Assumptions!$A$6:$J$7,2,TRUE)</f>
        <v>2.6499999999999999E-2</v>
      </c>
      <c r="N114" s="23">
        <f t="shared" si="16"/>
        <v>0</v>
      </c>
      <c r="O114" s="23">
        <f t="shared" si="22"/>
        <v>0</v>
      </c>
      <c r="P114">
        <f t="shared" si="27"/>
        <v>0</v>
      </c>
      <c r="Q114" s="23">
        <f t="shared" si="23"/>
        <v>0</v>
      </c>
      <c r="R114">
        <f>Q113*Assumptions!$B$11/$E$2*N114</f>
        <v>0</v>
      </c>
      <c r="S114">
        <f>Q113*Assumptions!$B$13/$E$2*N114</f>
        <v>0</v>
      </c>
      <c r="T114">
        <f>L114*Assumptions!$B$15</f>
        <v>0</v>
      </c>
      <c r="U114">
        <f>S114*Assumptions!$B$17</f>
        <v>0</v>
      </c>
      <c r="V114">
        <f>HLOOKUP(B114,Assumptions!$A$26:$D$27,2,TRUE)</f>
        <v>0</v>
      </c>
      <c r="W114">
        <f t="shared" si="28"/>
        <v>0</v>
      </c>
      <c r="X114">
        <f t="shared" si="29"/>
        <v>0.16666666666666785</v>
      </c>
      <c r="Y114">
        <f>IF(B114&gt;$M$2,0,IF(X115=0,0,(1-X115)*Assumptions!$B$11/$E$2*(1-Assumptions!$B$30)))</f>
        <v>0</v>
      </c>
      <c r="Z114">
        <f>(R114-S114)*(1-Assumptions!$B$30)-U114+Y113*Q113</f>
        <v>0</v>
      </c>
      <c r="AA114">
        <f>AA113*(1+Assumptions!$B$36)^(1/12)</f>
        <v>1.0891602717975331</v>
      </c>
      <c r="AB114" s="20">
        <f>IF(B114&gt;$M$2,0,AA113*Assumptions!$B$32/12*Q113+Z114*Assumptions!$B$34/12)</f>
        <v>0</v>
      </c>
      <c r="AC114" s="21">
        <f>1/(1+HLOOKUP(YEAR(A114),Assumptions!$A$41:$AL$43,3,TRUE))^(1/12)</f>
        <v>0.99874849053349435</v>
      </c>
      <c r="AD114">
        <f t="shared" si="24"/>
        <v>0</v>
      </c>
      <c r="AE114">
        <f t="shared" si="30"/>
        <v>0</v>
      </c>
    </row>
    <row r="115" spans="1:31" x14ac:dyDescent="0.2">
      <c r="A115" s="2">
        <f t="shared" si="31"/>
        <v>46265</v>
      </c>
      <c r="B115">
        <f t="shared" si="25"/>
        <v>184</v>
      </c>
      <c r="C115">
        <f t="shared" si="17"/>
        <v>15.25</v>
      </c>
      <c r="D115">
        <f t="shared" si="18"/>
        <v>0</v>
      </c>
      <c r="E115">
        <f t="shared" si="19"/>
        <v>70</v>
      </c>
      <c r="F115">
        <f t="shared" si="20"/>
        <v>62</v>
      </c>
      <c r="G115">
        <f>IF(C115&gt;=$L$2,0,VLOOKUP($E115,'Mortality Table'!$A$3:$C$128,2+H$2,FALSE))</f>
        <v>0</v>
      </c>
      <c r="H115">
        <f>IF(C115&gt;=$L$2,0,VLOOKUP($E115,'Mortality Table'!$A$3:$C$128,2+I$2,FALSE))</f>
        <v>0</v>
      </c>
      <c r="I115" s="17">
        <f>G115*Assumptions!$B$1</f>
        <v>0</v>
      </c>
      <c r="J115" s="17">
        <f>H115*Assumptions!$B$1</f>
        <v>0</v>
      </c>
      <c r="K115">
        <f t="shared" si="21"/>
        <v>0</v>
      </c>
      <c r="L115">
        <f t="shared" si="26"/>
        <v>0</v>
      </c>
      <c r="M115">
        <f>HLOOKUP(C115,Assumptions!$A$6:$J$7,2,TRUE)</f>
        <v>2.6499999999999999E-2</v>
      </c>
      <c r="N115" s="23">
        <f t="shared" si="16"/>
        <v>0</v>
      </c>
      <c r="O115" s="23">
        <f t="shared" si="22"/>
        <v>0</v>
      </c>
      <c r="P115">
        <f t="shared" si="27"/>
        <v>0</v>
      </c>
      <c r="Q115" s="23">
        <f t="shared" si="23"/>
        <v>0</v>
      </c>
      <c r="R115">
        <f>Q114*Assumptions!$B$11/$E$2*N115</f>
        <v>0</v>
      </c>
      <c r="S115">
        <f>Q114*Assumptions!$B$13/$E$2*N115</f>
        <v>0</v>
      </c>
      <c r="T115">
        <f>L115*Assumptions!$B$15</f>
        <v>0</v>
      </c>
      <c r="U115">
        <f>S115*Assumptions!$B$17</f>
        <v>0</v>
      </c>
      <c r="V115">
        <f>HLOOKUP(B115,Assumptions!$A$26:$D$27,2,TRUE)</f>
        <v>0</v>
      </c>
      <c r="W115">
        <f t="shared" si="28"/>
        <v>0</v>
      </c>
      <c r="X115">
        <f t="shared" si="29"/>
        <v>0.25</v>
      </c>
      <c r="Y115">
        <f>IF(B115&gt;$M$2,0,IF(X116=0,0,(1-X116)*Assumptions!$B$11/$E$2*(1-Assumptions!$B$30)))</f>
        <v>0</v>
      </c>
      <c r="Z115">
        <f>(R115-S115)*(1-Assumptions!$B$30)-U115+Y114*Q114</f>
        <v>0</v>
      </c>
      <c r="AA115">
        <f>AA114*(1+Assumptions!$B$36)^(1/12)</f>
        <v>1.0900637717556207</v>
      </c>
      <c r="AB115" s="20">
        <f>IF(B115&gt;$M$2,0,AA114*Assumptions!$B$32/12*Q114+Z115*Assumptions!$B$34/12)</f>
        <v>0</v>
      </c>
      <c r="AC115" s="21">
        <f>1/(1+HLOOKUP(YEAR(A115),Assumptions!$A$41:$AL$43,3,TRUE))^(1/12)</f>
        <v>0.99874849053349435</v>
      </c>
      <c r="AD115">
        <f t="shared" si="24"/>
        <v>0</v>
      </c>
      <c r="AE115">
        <f t="shared" si="30"/>
        <v>0</v>
      </c>
    </row>
    <row r="116" spans="1:31" x14ac:dyDescent="0.2">
      <c r="A116" s="2">
        <f t="shared" si="31"/>
        <v>46295</v>
      </c>
      <c r="B116">
        <f t="shared" si="25"/>
        <v>185</v>
      </c>
      <c r="C116">
        <f t="shared" si="17"/>
        <v>15.333333333333332</v>
      </c>
      <c r="D116">
        <f t="shared" si="18"/>
        <v>0</v>
      </c>
      <c r="E116">
        <f t="shared" si="19"/>
        <v>70</v>
      </c>
      <c r="F116">
        <f t="shared" si="20"/>
        <v>62</v>
      </c>
      <c r="G116">
        <f>IF(C116&gt;=$L$2,0,VLOOKUP($E116,'Mortality Table'!$A$3:$C$128,2+H$2,FALSE))</f>
        <v>0</v>
      </c>
      <c r="H116">
        <f>IF(C116&gt;=$L$2,0,VLOOKUP($E116,'Mortality Table'!$A$3:$C$128,2+I$2,FALSE))</f>
        <v>0</v>
      </c>
      <c r="I116" s="17">
        <f>G116*Assumptions!$B$1</f>
        <v>0</v>
      </c>
      <c r="J116" s="17">
        <f>H116*Assumptions!$B$1</f>
        <v>0</v>
      </c>
      <c r="K116">
        <f t="shared" si="21"/>
        <v>0</v>
      </c>
      <c r="L116">
        <f t="shared" si="26"/>
        <v>0</v>
      </c>
      <c r="M116">
        <f>HLOOKUP(C116,Assumptions!$A$6:$J$7,2,TRUE)</f>
        <v>2.6499999999999999E-2</v>
      </c>
      <c r="N116" s="23">
        <f t="shared" si="16"/>
        <v>0</v>
      </c>
      <c r="O116" s="23">
        <f t="shared" si="22"/>
        <v>0</v>
      </c>
      <c r="P116">
        <f t="shared" si="27"/>
        <v>0</v>
      </c>
      <c r="Q116" s="23">
        <f t="shared" si="23"/>
        <v>0</v>
      </c>
      <c r="R116">
        <f>Q115*Assumptions!$B$11/$E$2*N116</f>
        <v>0</v>
      </c>
      <c r="S116">
        <f>Q115*Assumptions!$B$13/$E$2*N116</f>
        <v>0</v>
      </c>
      <c r="T116">
        <f>L116*Assumptions!$B$15</f>
        <v>0</v>
      </c>
      <c r="U116">
        <f>S116*Assumptions!$B$17</f>
        <v>0</v>
      </c>
      <c r="V116">
        <f>HLOOKUP(B116,Assumptions!$A$26:$D$27,2,TRUE)</f>
        <v>0</v>
      </c>
      <c r="W116">
        <f t="shared" si="28"/>
        <v>0</v>
      </c>
      <c r="X116">
        <f t="shared" si="29"/>
        <v>0.33333333333333215</v>
      </c>
      <c r="Y116">
        <f>IF(B116&gt;$M$2,0,IF(X117=0,0,(1-X117)*Assumptions!$B$11/$E$2*(1-Assumptions!$B$30)))</f>
        <v>0</v>
      </c>
      <c r="Z116">
        <f>(R116-S116)*(1-Assumptions!$B$30)-U116+Y115*Q115</f>
        <v>0</v>
      </c>
      <c r="AA116">
        <f>AA115*(1+Assumptions!$B$36)^(1/12)</f>
        <v>1.0909680212013599</v>
      </c>
      <c r="AB116" s="20">
        <f>IF(B116&gt;$M$2,0,AA115*Assumptions!$B$32/12*Q115+Z116*Assumptions!$B$34/12)</f>
        <v>0</v>
      </c>
      <c r="AC116" s="21">
        <f>1/(1+HLOOKUP(YEAR(A116),Assumptions!$A$41:$AL$43,3,TRUE))^(1/12)</f>
        <v>0.99874849053349435</v>
      </c>
      <c r="AD116">
        <f t="shared" si="24"/>
        <v>0</v>
      </c>
      <c r="AE116">
        <f t="shared" si="30"/>
        <v>0</v>
      </c>
    </row>
    <row r="117" spans="1:31" x14ac:dyDescent="0.2">
      <c r="A117" s="2">
        <f t="shared" si="31"/>
        <v>46326</v>
      </c>
      <c r="B117">
        <f t="shared" si="25"/>
        <v>186</v>
      </c>
      <c r="C117">
        <f t="shared" si="17"/>
        <v>15.416666666666668</v>
      </c>
      <c r="D117">
        <f t="shared" si="18"/>
        <v>0</v>
      </c>
      <c r="E117">
        <f t="shared" si="19"/>
        <v>70</v>
      </c>
      <c r="F117">
        <f t="shared" si="20"/>
        <v>62</v>
      </c>
      <c r="G117">
        <f>IF(C117&gt;=$L$2,0,VLOOKUP($E117,'Mortality Table'!$A$3:$C$128,2+H$2,FALSE))</f>
        <v>0</v>
      </c>
      <c r="H117">
        <f>IF(C117&gt;=$L$2,0,VLOOKUP($E117,'Mortality Table'!$A$3:$C$128,2+I$2,FALSE))</f>
        <v>0</v>
      </c>
      <c r="I117" s="17">
        <f>G117*Assumptions!$B$1</f>
        <v>0</v>
      </c>
      <c r="J117" s="17">
        <f>H117*Assumptions!$B$1</f>
        <v>0</v>
      </c>
      <c r="K117">
        <f t="shared" si="21"/>
        <v>0</v>
      </c>
      <c r="L117">
        <f t="shared" si="26"/>
        <v>0</v>
      </c>
      <c r="M117">
        <f>HLOOKUP(C117,Assumptions!$A$6:$J$7,2,TRUE)</f>
        <v>2.6499999999999999E-2</v>
      </c>
      <c r="N117" s="23">
        <f t="shared" si="16"/>
        <v>0</v>
      </c>
      <c r="O117" s="23">
        <f t="shared" si="22"/>
        <v>0</v>
      </c>
      <c r="P117">
        <f t="shared" si="27"/>
        <v>0</v>
      </c>
      <c r="Q117" s="23">
        <f t="shared" si="23"/>
        <v>0</v>
      </c>
      <c r="R117">
        <f>Q116*Assumptions!$B$11/$E$2*N117</f>
        <v>0</v>
      </c>
      <c r="S117">
        <f>Q116*Assumptions!$B$13/$E$2*N117</f>
        <v>0</v>
      </c>
      <c r="T117">
        <f>L117*Assumptions!$B$15</f>
        <v>0</v>
      </c>
      <c r="U117">
        <f>S117*Assumptions!$B$17</f>
        <v>0</v>
      </c>
      <c r="V117">
        <f>HLOOKUP(B117,Assumptions!$A$26:$D$27,2,TRUE)</f>
        <v>0</v>
      </c>
      <c r="W117">
        <f t="shared" si="28"/>
        <v>0</v>
      </c>
      <c r="X117">
        <f t="shared" si="29"/>
        <v>0.41666666666666785</v>
      </c>
      <c r="Y117">
        <f>IF(B117&gt;$M$2,0,IF(X118=0,0,(1-X118)*Assumptions!$B$11/$E$2*(1-Assumptions!$B$30)))</f>
        <v>0</v>
      </c>
      <c r="Z117">
        <f>(R117-S117)*(1-Assumptions!$B$30)-U117+Y116*Q116</f>
        <v>0</v>
      </c>
      <c r="AA117">
        <f>AA116*(1+Assumptions!$B$36)^(1/12)</f>
        <v>1.0918730207564793</v>
      </c>
      <c r="AB117" s="20">
        <f>IF(B117&gt;$M$2,0,AA116*Assumptions!$B$32/12*Q116+Z117*Assumptions!$B$34/12)</f>
        <v>0</v>
      </c>
      <c r="AC117" s="21">
        <f>1/(1+HLOOKUP(YEAR(A117),Assumptions!$A$41:$AL$43,3,TRUE))^(1/12)</f>
        <v>0.99874849053349435</v>
      </c>
      <c r="AD117">
        <f t="shared" si="24"/>
        <v>0</v>
      </c>
      <c r="AE117">
        <f t="shared" si="30"/>
        <v>0</v>
      </c>
    </row>
    <row r="118" spans="1:31" x14ac:dyDescent="0.2">
      <c r="A118" s="2">
        <f t="shared" si="31"/>
        <v>46356</v>
      </c>
      <c r="B118">
        <f t="shared" si="25"/>
        <v>187</v>
      </c>
      <c r="C118">
        <f t="shared" si="17"/>
        <v>15.5</v>
      </c>
      <c r="D118">
        <f t="shared" si="18"/>
        <v>0</v>
      </c>
      <c r="E118">
        <f t="shared" si="19"/>
        <v>70</v>
      </c>
      <c r="F118">
        <f t="shared" si="20"/>
        <v>62</v>
      </c>
      <c r="G118">
        <f>IF(C118&gt;=$L$2,0,VLOOKUP($E118,'Mortality Table'!$A$3:$C$128,2+H$2,FALSE))</f>
        <v>0</v>
      </c>
      <c r="H118">
        <f>IF(C118&gt;=$L$2,0,VLOOKUP($E118,'Mortality Table'!$A$3:$C$128,2+I$2,FALSE))</f>
        <v>0</v>
      </c>
      <c r="I118" s="17">
        <f>G118*Assumptions!$B$1</f>
        <v>0</v>
      </c>
      <c r="J118" s="17">
        <f>H118*Assumptions!$B$1</f>
        <v>0</v>
      </c>
      <c r="K118">
        <f t="shared" si="21"/>
        <v>0</v>
      </c>
      <c r="L118">
        <f t="shared" si="26"/>
        <v>0</v>
      </c>
      <c r="M118">
        <f>HLOOKUP(C118,Assumptions!$A$6:$J$7,2,TRUE)</f>
        <v>2.6499999999999999E-2</v>
      </c>
      <c r="N118" s="23">
        <f t="shared" si="16"/>
        <v>0</v>
      </c>
      <c r="O118" s="23">
        <f t="shared" si="22"/>
        <v>0</v>
      </c>
      <c r="P118">
        <f t="shared" si="27"/>
        <v>0</v>
      </c>
      <c r="Q118" s="23">
        <f t="shared" si="23"/>
        <v>0</v>
      </c>
      <c r="R118">
        <f>Q117*Assumptions!$B$11/$E$2*N118</f>
        <v>0</v>
      </c>
      <c r="S118">
        <f>Q117*Assumptions!$B$13/$E$2*N118</f>
        <v>0</v>
      </c>
      <c r="T118">
        <f>L118*Assumptions!$B$15</f>
        <v>0</v>
      </c>
      <c r="U118">
        <f>S118*Assumptions!$B$17</f>
        <v>0</v>
      </c>
      <c r="V118">
        <f>HLOOKUP(B118,Assumptions!$A$26:$D$27,2,TRUE)</f>
        <v>0</v>
      </c>
      <c r="W118">
        <f t="shared" si="28"/>
        <v>0</v>
      </c>
      <c r="X118">
        <f t="shared" si="29"/>
        <v>0.5</v>
      </c>
      <c r="Y118">
        <f>IF(B118&gt;$M$2,0,IF(X119=0,0,(1-X119)*Assumptions!$B$11/$E$2*(1-Assumptions!$B$30)))</f>
        <v>0</v>
      </c>
      <c r="Z118">
        <f>(R118-S118)*(1-Assumptions!$B$30)-U118+Y117*Q117</f>
        <v>0</v>
      </c>
      <c r="AA118">
        <f>AA117*(1+Assumptions!$B$36)^(1/12)</f>
        <v>1.0927787710432231</v>
      </c>
      <c r="AB118" s="20">
        <f>IF(B118&gt;$M$2,0,AA117*Assumptions!$B$32/12*Q117+Z118*Assumptions!$B$34/12)</f>
        <v>0</v>
      </c>
      <c r="AC118" s="21">
        <f>1/(1+HLOOKUP(YEAR(A118),Assumptions!$A$41:$AL$43,3,TRUE))^(1/12)</f>
        <v>0.99874849053349435</v>
      </c>
      <c r="AD118">
        <f t="shared" si="24"/>
        <v>0</v>
      </c>
      <c r="AE118">
        <f t="shared" si="30"/>
        <v>0</v>
      </c>
    </row>
    <row r="119" spans="1:31" x14ac:dyDescent="0.2">
      <c r="A119" s="2">
        <f t="shared" si="31"/>
        <v>46387</v>
      </c>
      <c r="B119">
        <f t="shared" si="25"/>
        <v>188</v>
      </c>
      <c r="C119">
        <f t="shared" si="17"/>
        <v>15.583333333333332</v>
      </c>
      <c r="D119">
        <f t="shared" si="18"/>
        <v>0</v>
      </c>
      <c r="E119">
        <f t="shared" si="19"/>
        <v>70</v>
      </c>
      <c r="F119">
        <f t="shared" si="20"/>
        <v>62</v>
      </c>
      <c r="G119">
        <f>IF(C119&gt;=$L$2,0,VLOOKUP($E119,'Mortality Table'!$A$3:$C$128,2+H$2,FALSE))</f>
        <v>0</v>
      </c>
      <c r="H119">
        <f>IF(C119&gt;=$L$2,0,VLOOKUP($E119,'Mortality Table'!$A$3:$C$128,2+I$2,FALSE))</f>
        <v>0</v>
      </c>
      <c r="I119" s="17">
        <f>G119*Assumptions!$B$1</f>
        <v>0</v>
      </c>
      <c r="J119" s="17">
        <f>H119*Assumptions!$B$1</f>
        <v>0</v>
      </c>
      <c r="K119">
        <f t="shared" si="21"/>
        <v>0</v>
      </c>
      <c r="L119">
        <f t="shared" si="26"/>
        <v>0</v>
      </c>
      <c r="M119">
        <f>HLOOKUP(C119,Assumptions!$A$6:$J$7,2,TRUE)</f>
        <v>2.6499999999999999E-2</v>
      </c>
      <c r="N119" s="23">
        <f t="shared" si="16"/>
        <v>0</v>
      </c>
      <c r="O119" s="23">
        <f t="shared" si="22"/>
        <v>0</v>
      </c>
      <c r="P119">
        <f t="shared" si="27"/>
        <v>0</v>
      </c>
      <c r="Q119" s="23">
        <f t="shared" si="23"/>
        <v>0</v>
      </c>
      <c r="R119">
        <f>Q118*Assumptions!$B$11/$E$2*N119</f>
        <v>0</v>
      </c>
      <c r="S119">
        <f>Q118*Assumptions!$B$13/$E$2*N119</f>
        <v>0</v>
      </c>
      <c r="T119">
        <f>L119*Assumptions!$B$15</f>
        <v>0</v>
      </c>
      <c r="U119">
        <f>S119*Assumptions!$B$17</f>
        <v>0</v>
      </c>
      <c r="V119">
        <f>HLOOKUP(B119,Assumptions!$A$26:$D$27,2,TRUE)</f>
        <v>0</v>
      </c>
      <c r="W119">
        <f t="shared" si="28"/>
        <v>0</v>
      </c>
      <c r="X119">
        <f t="shared" si="29"/>
        <v>0.58333333333333215</v>
      </c>
      <c r="Y119">
        <f>IF(B119&gt;$M$2,0,IF(X120=0,0,(1-X120)*Assumptions!$B$11/$E$2*(1-Assumptions!$B$30)))</f>
        <v>0</v>
      </c>
      <c r="Z119">
        <f>(R119-S119)*(1-Assumptions!$B$30)-U119+Y118*Q118</f>
        <v>0</v>
      </c>
      <c r="AA119">
        <f>AA118*(1+Assumptions!$B$36)^(1/12)</f>
        <v>1.0936852726843518</v>
      </c>
      <c r="AB119" s="20">
        <f>IF(B119&gt;$M$2,0,AA118*Assumptions!$B$32/12*Q118+Z119*Assumptions!$B$34/12)</f>
        <v>0</v>
      </c>
      <c r="AC119" s="21">
        <f>1/(1+HLOOKUP(YEAR(A119),Assumptions!$A$41:$AL$43,3,TRUE))^(1/12)</f>
        <v>0.99874849053349435</v>
      </c>
      <c r="AD119">
        <f t="shared" si="24"/>
        <v>0</v>
      </c>
      <c r="AE119">
        <f t="shared" si="30"/>
        <v>0</v>
      </c>
    </row>
    <row r="120" spans="1:31" x14ac:dyDescent="0.2">
      <c r="A120" s="2">
        <f t="shared" si="31"/>
        <v>46418</v>
      </c>
      <c r="B120">
        <f t="shared" si="25"/>
        <v>189</v>
      </c>
      <c r="C120">
        <f t="shared" si="17"/>
        <v>15.666666666666668</v>
      </c>
      <c r="D120">
        <f t="shared" si="18"/>
        <v>0</v>
      </c>
      <c r="E120">
        <f t="shared" si="19"/>
        <v>70</v>
      </c>
      <c r="F120">
        <f t="shared" si="20"/>
        <v>62</v>
      </c>
      <c r="G120">
        <f>IF(C120&gt;=$L$2,0,VLOOKUP($E120,'Mortality Table'!$A$3:$C$128,2+H$2,FALSE))</f>
        <v>0</v>
      </c>
      <c r="H120">
        <f>IF(C120&gt;=$L$2,0,VLOOKUP($E120,'Mortality Table'!$A$3:$C$128,2+I$2,FALSE))</f>
        <v>0</v>
      </c>
      <c r="I120" s="17">
        <f>G120*Assumptions!$B$1</f>
        <v>0</v>
      </c>
      <c r="J120" s="17">
        <f>H120*Assumptions!$B$1</f>
        <v>0</v>
      </c>
      <c r="K120">
        <f t="shared" si="21"/>
        <v>0</v>
      </c>
      <c r="L120">
        <f t="shared" si="26"/>
        <v>0</v>
      </c>
      <c r="M120">
        <f>HLOOKUP(C120,Assumptions!$A$6:$J$7,2,TRUE)</f>
        <v>2.6499999999999999E-2</v>
      </c>
      <c r="N120" s="23">
        <f t="shared" si="16"/>
        <v>0</v>
      </c>
      <c r="O120" s="23">
        <f t="shared" si="22"/>
        <v>0</v>
      </c>
      <c r="P120">
        <f t="shared" si="27"/>
        <v>0</v>
      </c>
      <c r="Q120" s="23">
        <f t="shared" si="23"/>
        <v>0</v>
      </c>
      <c r="R120">
        <f>Q119*Assumptions!$B$11/$E$2*N120</f>
        <v>0</v>
      </c>
      <c r="S120">
        <f>Q119*Assumptions!$B$13/$E$2*N120</f>
        <v>0</v>
      </c>
      <c r="T120">
        <f>L120*Assumptions!$B$15</f>
        <v>0</v>
      </c>
      <c r="U120">
        <f>S120*Assumptions!$B$17</f>
        <v>0</v>
      </c>
      <c r="V120">
        <f>HLOOKUP(B120,Assumptions!$A$26:$D$27,2,TRUE)</f>
        <v>0</v>
      </c>
      <c r="W120">
        <f t="shared" si="28"/>
        <v>0</v>
      </c>
      <c r="X120">
        <f t="shared" si="29"/>
        <v>0.66666666666666785</v>
      </c>
      <c r="Y120">
        <f>IF(B120&gt;$M$2,0,IF(X121=0,0,(1-X121)*Assumptions!$B$11/$E$2*(1-Assumptions!$B$30)))</f>
        <v>0</v>
      </c>
      <c r="Z120">
        <f>(R120-S120)*(1-Assumptions!$B$30)-U120+Y119*Q119</f>
        <v>0</v>
      </c>
      <c r="AA120">
        <f>AA119*(1+Assumptions!$B$36)^(1/12)</f>
        <v>1.0945925263031426</v>
      </c>
      <c r="AB120" s="20">
        <f>IF(B120&gt;$M$2,0,AA119*Assumptions!$B$32/12*Q119+Z120*Assumptions!$B$34/12)</f>
        <v>0</v>
      </c>
      <c r="AC120" s="21">
        <f>1/(1+HLOOKUP(YEAR(A120),Assumptions!$A$41:$AL$43,3,TRUE))^(1/12)</f>
        <v>0.99871316197380999</v>
      </c>
      <c r="AD120">
        <f t="shared" si="24"/>
        <v>0</v>
      </c>
      <c r="AE120">
        <f t="shared" si="30"/>
        <v>0</v>
      </c>
    </row>
    <row r="121" spans="1:31" x14ac:dyDescent="0.2">
      <c r="A121" s="2">
        <f t="shared" si="31"/>
        <v>46446</v>
      </c>
      <c r="B121">
        <f t="shared" si="25"/>
        <v>190</v>
      </c>
      <c r="C121">
        <f t="shared" si="17"/>
        <v>15.75</v>
      </c>
      <c r="D121">
        <f t="shared" si="18"/>
        <v>0</v>
      </c>
      <c r="E121">
        <f t="shared" si="19"/>
        <v>70</v>
      </c>
      <c r="F121">
        <f t="shared" si="20"/>
        <v>62</v>
      </c>
      <c r="G121">
        <f>IF(C121&gt;=$L$2,0,VLOOKUP($E121,'Mortality Table'!$A$3:$C$128,2+H$2,FALSE))</f>
        <v>0</v>
      </c>
      <c r="H121">
        <f>IF(C121&gt;=$L$2,0,VLOOKUP($E121,'Mortality Table'!$A$3:$C$128,2+I$2,FALSE))</f>
        <v>0</v>
      </c>
      <c r="I121" s="17">
        <f>G121*Assumptions!$B$1</f>
        <v>0</v>
      </c>
      <c r="J121" s="17">
        <f>H121*Assumptions!$B$1</f>
        <v>0</v>
      </c>
      <c r="K121">
        <f t="shared" si="21"/>
        <v>0</v>
      </c>
      <c r="L121">
        <f t="shared" si="26"/>
        <v>0</v>
      </c>
      <c r="M121">
        <f>HLOOKUP(C121,Assumptions!$A$6:$J$7,2,TRUE)</f>
        <v>2.6499999999999999E-2</v>
      </c>
      <c r="N121" s="23">
        <f t="shared" si="16"/>
        <v>0</v>
      </c>
      <c r="O121" s="23">
        <f t="shared" si="22"/>
        <v>0</v>
      </c>
      <c r="P121">
        <f t="shared" si="27"/>
        <v>0</v>
      </c>
      <c r="Q121" s="23">
        <f t="shared" si="23"/>
        <v>0</v>
      </c>
      <c r="R121">
        <f>Q120*Assumptions!$B$11/$E$2*N121</f>
        <v>0</v>
      </c>
      <c r="S121">
        <f>Q120*Assumptions!$B$13/$E$2*N121</f>
        <v>0</v>
      </c>
      <c r="T121">
        <f>L121*Assumptions!$B$15</f>
        <v>0</v>
      </c>
      <c r="U121">
        <f>S121*Assumptions!$B$17</f>
        <v>0</v>
      </c>
      <c r="V121">
        <f>HLOOKUP(B121,Assumptions!$A$26:$D$27,2,TRUE)</f>
        <v>0</v>
      </c>
      <c r="W121">
        <f t="shared" si="28"/>
        <v>0</v>
      </c>
      <c r="X121">
        <f t="shared" si="29"/>
        <v>0.75</v>
      </c>
      <c r="Y121">
        <f>IF(B121&gt;$M$2,0,IF(X122=0,0,(1-X122)*Assumptions!$B$11/$E$2*(1-Assumptions!$B$30)))</f>
        <v>0</v>
      </c>
      <c r="Z121">
        <f>(R121-S121)*(1-Assumptions!$B$30)-U121+Y120*Q120</f>
        <v>0</v>
      </c>
      <c r="AA121">
        <f>AA120*(1+Assumptions!$B$36)^(1/12)</f>
        <v>1.0955005325233895</v>
      </c>
      <c r="AB121" s="20">
        <f>IF(B121&gt;$M$2,0,AA120*Assumptions!$B$32/12*Q120+Z121*Assumptions!$B$34/12)</f>
        <v>0</v>
      </c>
      <c r="AC121" s="21">
        <f>1/(1+HLOOKUP(YEAR(A121),Assumptions!$A$41:$AL$43,3,TRUE))^(1/12)</f>
        <v>0.99871316197380999</v>
      </c>
      <c r="AD121">
        <f t="shared" si="24"/>
        <v>0</v>
      </c>
      <c r="AE121">
        <f t="shared" si="30"/>
        <v>0</v>
      </c>
    </row>
    <row r="122" spans="1:31" x14ac:dyDescent="0.2">
      <c r="A122" s="2">
        <f t="shared" si="31"/>
        <v>46477</v>
      </c>
      <c r="B122">
        <f t="shared" si="25"/>
        <v>191</v>
      </c>
      <c r="C122">
        <f t="shared" si="17"/>
        <v>15.833333333333332</v>
      </c>
      <c r="D122">
        <f t="shared" si="18"/>
        <v>0</v>
      </c>
      <c r="E122">
        <f t="shared" si="19"/>
        <v>70</v>
      </c>
      <c r="F122">
        <f t="shared" si="20"/>
        <v>62</v>
      </c>
      <c r="G122">
        <f>IF(C122&gt;=$L$2,0,VLOOKUP($E122,'Mortality Table'!$A$3:$C$128,2+H$2,FALSE))</f>
        <v>0</v>
      </c>
      <c r="H122">
        <f>IF(C122&gt;=$L$2,0,VLOOKUP($E122,'Mortality Table'!$A$3:$C$128,2+I$2,FALSE))</f>
        <v>0</v>
      </c>
      <c r="I122" s="17">
        <f>G122*Assumptions!$B$1</f>
        <v>0</v>
      </c>
      <c r="J122" s="17">
        <f>H122*Assumptions!$B$1</f>
        <v>0</v>
      </c>
      <c r="K122">
        <f t="shared" si="21"/>
        <v>0</v>
      </c>
      <c r="L122">
        <f t="shared" si="26"/>
        <v>0</v>
      </c>
      <c r="M122">
        <f>HLOOKUP(C122,Assumptions!$A$6:$J$7,2,TRUE)</f>
        <v>2.6499999999999999E-2</v>
      </c>
      <c r="N122" s="23">
        <f t="shared" si="16"/>
        <v>0</v>
      </c>
      <c r="O122" s="23">
        <f t="shared" si="22"/>
        <v>0</v>
      </c>
      <c r="P122">
        <f t="shared" si="27"/>
        <v>0</v>
      </c>
      <c r="Q122" s="23">
        <f t="shared" si="23"/>
        <v>0</v>
      </c>
      <c r="R122">
        <f>Q121*Assumptions!$B$11/$E$2*N122</f>
        <v>0</v>
      </c>
      <c r="S122">
        <f>Q121*Assumptions!$B$13/$E$2*N122</f>
        <v>0</v>
      </c>
      <c r="T122">
        <f>L122*Assumptions!$B$15</f>
        <v>0</v>
      </c>
      <c r="U122">
        <f>S122*Assumptions!$B$17</f>
        <v>0</v>
      </c>
      <c r="V122">
        <f>HLOOKUP(B122,Assumptions!$A$26:$D$27,2,TRUE)</f>
        <v>0</v>
      </c>
      <c r="W122">
        <f t="shared" si="28"/>
        <v>0</v>
      </c>
      <c r="X122">
        <f t="shared" si="29"/>
        <v>0.83333333333333215</v>
      </c>
      <c r="Y122">
        <f>IF(B122&gt;$M$2,0,IF(X123=0,0,(1-X123)*Assumptions!$B$11/$E$2*(1-Assumptions!$B$30)))</f>
        <v>0</v>
      </c>
      <c r="Z122">
        <f>(R122-S122)*(1-Assumptions!$B$30)-U122+Y121*Q121</f>
        <v>0</v>
      </c>
      <c r="AA122">
        <f>AA121*(1+Assumptions!$B$36)^(1/12)</f>
        <v>1.0964092919694042</v>
      </c>
      <c r="AB122" s="20">
        <f>IF(B122&gt;$M$2,0,AA121*Assumptions!$B$32/12*Q121+Z122*Assumptions!$B$34/12)</f>
        <v>0</v>
      </c>
      <c r="AC122" s="21">
        <f>1/(1+HLOOKUP(YEAR(A122),Assumptions!$A$41:$AL$43,3,TRUE))^(1/12)</f>
        <v>0.99871316197380999</v>
      </c>
      <c r="AD122">
        <f t="shared" si="24"/>
        <v>0</v>
      </c>
      <c r="AE122">
        <f t="shared" si="30"/>
        <v>0</v>
      </c>
    </row>
    <row r="123" spans="1:31" x14ac:dyDescent="0.2">
      <c r="A123" s="2">
        <f t="shared" si="31"/>
        <v>46507</v>
      </c>
      <c r="B123">
        <f t="shared" si="25"/>
        <v>192</v>
      </c>
      <c r="C123">
        <f t="shared" si="17"/>
        <v>15.916666666666668</v>
      </c>
      <c r="D123">
        <f t="shared" si="18"/>
        <v>0</v>
      </c>
      <c r="E123">
        <f t="shared" si="19"/>
        <v>70</v>
      </c>
      <c r="F123">
        <f t="shared" si="20"/>
        <v>62</v>
      </c>
      <c r="G123">
        <f>IF(C123&gt;=$L$2,0,VLOOKUP($E123,'Mortality Table'!$A$3:$C$128,2+H$2,FALSE))</f>
        <v>0</v>
      </c>
      <c r="H123">
        <f>IF(C123&gt;=$L$2,0,VLOOKUP($E123,'Mortality Table'!$A$3:$C$128,2+I$2,FALSE))</f>
        <v>0</v>
      </c>
      <c r="I123" s="17">
        <f>G123*Assumptions!$B$1</f>
        <v>0</v>
      </c>
      <c r="J123" s="17">
        <f>H123*Assumptions!$B$1</f>
        <v>0</v>
      </c>
      <c r="K123">
        <f t="shared" si="21"/>
        <v>0</v>
      </c>
      <c r="L123">
        <f t="shared" si="26"/>
        <v>0</v>
      </c>
      <c r="M123">
        <f>HLOOKUP(C123,Assumptions!$A$6:$J$7,2,TRUE)</f>
        <v>2.6499999999999999E-2</v>
      </c>
      <c r="N123" s="23">
        <f t="shared" si="16"/>
        <v>0</v>
      </c>
      <c r="O123" s="23">
        <f t="shared" si="22"/>
        <v>0</v>
      </c>
      <c r="P123">
        <f t="shared" si="27"/>
        <v>0</v>
      </c>
      <c r="Q123" s="23">
        <f t="shared" si="23"/>
        <v>0</v>
      </c>
      <c r="R123">
        <f>Q122*Assumptions!$B$11/$E$2*N123</f>
        <v>0</v>
      </c>
      <c r="S123">
        <f>Q122*Assumptions!$B$13/$E$2*N123</f>
        <v>0</v>
      </c>
      <c r="T123">
        <f>L123*Assumptions!$B$15</f>
        <v>0</v>
      </c>
      <c r="U123">
        <f>S123*Assumptions!$B$17</f>
        <v>0</v>
      </c>
      <c r="V123">
        <f>HLOOKUP(B123,Assumptions!$A$26:$D$27,2,TRUE)</f>
        <v>0</v>
      </c>
      <c r="W123">
        <f t="shared" si="28"/>
        <v>0</v>
      </c>
      <c r="X123">
        <f t="shared" si="29"/>
        <v>0.91666666666666785</v>
      </c>
      <c r="Y123">
        <f>IF(B123&gt;$M$2,0,IF(X124=0,0,(1-X124)*Assumptions!$B$11/$E$2*(1-Assumptions!$B$30)))</f>
        <v>0</v>
      </c>
      <c r="Z123">
        <f>(R123-S123)*(1-Assumptions!$B$30)-U123+Y122*Q122</f>
        <v>0</v>
      </c>
      <c r="AA123">
        <f>AA122*(1+Assumptions!$B$36)^(1/12)</f>
        <v>1.0973188052660161</v>
      </c>
      <c r="AB123" s="20">
        <f>IF(B123&gt;$M$2,0,AA122*Assumptions!$B$32/12*Q122+Z123*Assumptions!$B$34/12)</f>
        <v>0</v>
      </c>
      <c r="AC123" s="21">
        <f>1/(1+HLOOKUP(YEAR(A123),Assumptions!$A$41:$AL$43,3,TRUE))^(1/12)</f>
        <v>0.99871316197380999</v>
      </c>
      <c r="AD123">
        <f t="shared" si="24"/>
        <v>0</v>
      </c>
      <c r="AE123">
        <f t="shared" si="30"/>
        <v>0</v>
      </c>
    </row>
    <row r="124" spans="1:31" x14ac:dyDescent="0.2">
      <c r="A124" s="2">
        <f t="shared" si="31"/>
        <v>46538</v>
      </c>
      <c r="B124">
        <f t="shared" si="25"/>
        <v>193</v>
      </c>
      <c r="C124">
        <f t="shared" si="17"/>
        <v>16</v>
      </c>
      <c r="D124">
        <f t="shared" si="18"/>
        <v>1</v>
      </c>
      <c r="E124">
        <f t="shared" si="19"/>
        <v>71</v>
      </c>
      <c r="F124">
        <f t="shared" si="20"/>
        <v>63</v>
      </c>
      <c r="G124">
        <f>IF(C124&gt;=$L$2,0,VLOOKUP($E124,'Mortality Table'!$A$3:$C$128,2+H$2,FALSE))</f>
        <v>0</v>
      </c>
      <c r="H124">
        <f>IF(C124&gt;=$L$2,0,VLOOKUP($E124,'Mortality Table'!$A$3:$C$128,2+I$2,FALSE))</f>
        <v>0</v>
      </c>
      <c r="I124" s="17">
        <f>G124*Assumptions!$B$1</f>
        <v>0</v>
      </c>
      <c r="J124" s="17">
        <f>H124*Assumptions!$B$1</f>
        <v>0</v>
      </c>
      <c r="K124">
        <f t="shared" si="21"/>
        <v>0</v>
      </c>
      <c r="L124">
        <f t="shared" si="26"/>
        <v>0</v>
      </c>
      <c r="M124">
        <f>HLOOKUP(C124,Assumptions!$A$6:$J$7,2,TRUE)</f>
        <v>2.6499999999999999E-2</v>
      </c>
      <c r="N124" s="23">
        <f t="shared" si="16"/>
        <v>0</v>
      </c>
      <c r="O124" s="23">
        <f t="shared" si="22"/>
        <v>0</v>
      </c>
      <c r="P124">
        <f t="shared" si="27"/>
        <v>0</v>
      </c>
      <c r="Q124" s="23">
        <f t="shared" si="23"/>
        <v>0</v>
      </c>
      <c r="R124">
        <f>Q123*Assumptions!$B$11/$E$2*N124</f>
        <v>0</v>
      </c>
      <c r="S124">
        <f>Q123*Assumptions!$B$13/$E$2*N124</f>
        <v>0</v>
      </c>
      <c r="T124">
        <f>L124*Assumptions!$B$15</f>
        <v>0</v>
      </c>
      <c r="U124">
        <f>S124*Assumptions!$B$17</f>
        <v>0</v>
      </c>
      <c r="V124">
        <f>HLOOKUP(B124,Assumptions!$A$26:$D$27,2,TRUE)</f>
        <v>0</v>
      </c>
      <c r="W124">
        <f t="shared" si="28"/>
        <v>0</v>
      </c>
      <c r="X124">
        <f t="shared" si="29"/>
        <v>0</v>
      </c>
      <c r="Y124">
        <f>IF(B124&gt;$M$2,0,IF(X125=0,0,(1-X125)*Assumptions!$B$11/$E$2*(1-Assumptions!$B$30)))</f>
        <v>0</v>
      </c>
      <c r="Z124">
        <f>(R124-S124)*(1-Assumptions!$B$30)-U124+Y123*Q123</f>
        <v>0</v>
      </c>
      <c r="AA124">
        <f>AA123*(1+Assumptions!$B$36)^(1/12)</f>
        <v>1.0982290730385731</v>
      </c>
      <c r="AB124" s="20">
        <f>IF(B124&gt;$M$2,0,AA123*Assumptions!$B$32/12*Q123+Z124*Assumptions!$B$34/12)</f>
        <v>0</v>
      </c>
      <c r="AC124" s="21">
        <f>1/(1+HLOOKUP(YEAR(A124),Assumptions!$A$41:$AL$43,3,TRUE))^(1/12)</f>
        <v>0.99871316197380999</v>
      </c>
      <c r="AD124">
        <f t="shared" si="24"/>
        <v>0</v>
      </c>
      <c r="AE124">
        <f t="shared" si="30"/>
        <v>0</v>
      </c>
    </row>
    <row r="125" spans="1:31" x14ac:dyDescent="0.2">
      <c r="A125" s="2">
        <f t="shared" si="31"/>
        <v>46568</v>
      </c>
      <c r="B125">
        <f t="shared" si="25"/>
        <v>194</v>
      </c>
      <c r="C125">
        <f t="shared" si="17"/>
        <v>16.083333333333332</v>
      </c>
      <c r="D125">
        <f t="shared" si="18"/>
        <v>0</v>
      </c>
      <c r="E125">
        <f t="shared" si="19"/>
        <v>71</v>
      </c>
      <c r="F125">
        <f t="shared" si="20"/>
        <v>63</v>
      </c>
      <c r="G125">
        <f>IF(C125&gt;=$L$2,0,VLOOKUP($E125,'Mortality Table'!$A$3:$C$128,2+H$2,FALSE))</f>
        <v>0</v>
      </c>
      <c r="H125">
        <f>IF(C125&gt;=$L$2,0,VLOOKUP($E125,'Mortality Table'!$A$3:$C$128,2+I$2,FALSE))</f>
        <v>0</v>
      </c>
      <c r="I125" s="17">
        <f>G125*Assumptions!$B$1</f>
        <v>0</v>
      </c>
      <c r="J125" s="17">
        <f>H125*Assumptions!$B$1</f>
        <v>0</v>
      </c>
      <c r="K125">
        <f t="shared" si="21"/>
        <v>0</v>
      </c>
      <c r="L125">
        <f t="shared" si="26"/>
        <v>0</v>
      </c>
      <c r="M125">
        <f>HLOOKUP(C125,Assumptions!$A$6:$J$7,2,TRUE)</f>
        <v>2.6499999999999999E-2</v>
      </c>
      <c r="N125" s="23">
        <f t="shared" si="16"/>
        <v>0</v>
      </c>
      <c r="O125" s="23">
        <f t="shared" si="22"/>
        <v>0</v>
      </c>
      <c r="P125">
        <f t="shared" si="27"/>
        <v>0</v>
      </c>
      <c r="Q125" s="23">
        <f t="shared" si="23"/>
        <v>0</v>
      </c>
      <c r="R125">
        <f>Q124*Assumptions!$B$11/$E$2*N125</f>
        <v>0</v>
      </c>
      <c r="S125">
        <f>Q124*Assumptions!$B$13/$E$2*N125</f>
        <v>0</v>
      </c>
      <c r="T125">
        <f>L125*Assumptions!$B$15</f>
        <v>0</v>
      </c>
      <c r="U125">
        <f>S125*Assumptions!$B$17</f>
        <v>0</v>
      </c>
      <c r="V125">
        <f>HLOOKUP(B125,Assumptions!$A$26:$D$27,2,TRUE)</f>
        <v>0</v>
      </c>
      <c r="W125">
        <f t="shared" si="28"/>
        <v>0</v>
      </c>
      <c r="X125">
        <f t="shared" si="29"/>
        <v>8.3333333333332149E-2</v>
      </c>
      <c r="Y125">
        <f>IF(B125&gt;$M$2,0,IF(X126=0,0,(1-X126)*Assumptions!$B$11/$E$2*(1-Assumptions!$B$30)))</f>
        <v>0</v>
      </c>
      <c r="Z125">
        <f>(R125-S125)*(1-Assumptions!$B$30)-U125+Y124*Q124</f>
        <v>0</v>
      </c>
      <c r="AA125">
        <f>AA124*(1+Assumptions!$B$36)^(1/12)</f>
        <v>1.0991400959129416</v>
      </c>
      <c r="AB125" s="20">
        <f>IF(B125&gt;$M$2,0,AA124*Assumptions!$B$32/12*Q124+Z125*Assumptions!$B$34/12)</f>
        <v>0</v>
      </c>
      <c r="AC125" s="21">
        <f>1/(1+HLOOKUP(YEAR(A125),Assumptions!$A$41:$AL$43,3,TRUE))^(1/12)</f>
        <v>0.99871316197380999</v>
      </c>
      <c r="AD125">
        <f t="shared" si="24"/>
        <v>0</v>
      </c>
      <c r="AE125">
        <f t="shared" si="30"/>
        <v>0</v>
      </c>
    </row>
    <row r="126" spans="1:31" x14ac:dyDescent="0.2">
      <c r="A126" s="2">
        <f t="shared" si="31"/>
        <v>46599</v>
      </c>
      <c r="B126">
        <f t="shared" si="25"/>
        <v>195</v>
      </c>
      <c r="C126">
        <f t="shared" si="17"/>
        <v>16.166666666666668</v>
      </c>
      <c r="D126">
        <f t="shared" si="18"/>
        <v>0</v>
      </c>
      <c r="E126">
        <f t="shared" si="19"/>
        <v>71</v>
      </c>
      <c r="F126">
        <f t="shared" si="20"/>
        <v>63</v>
      </c>
      <c r="G126">
        <f>IF(C126&gt;=$L$2,0,VLOOKUP($E126,'Mortality Table'!$A$3:$C$128,2+H$2,FALSE))</f>
        <v>0</v>
      </c>
      <c r="H126">
        <f>IF(C126&gt;=$L$2,0,VLOOKUP($E126,'Mortality Table'!$A$3:$C$128,2+I$2,FALSE))</f>
        <v>0</v>
      </c>
      <c r="I126" s="17">
        <f>G126*Assumptions!$B$1</f>
        <v>0</v>
      </c>
      <c r="J126" s="17">
        <f>H126*Assumptions!$B$1</f>
        <v>0</v>
      </c>
      <c r="K126">
        <f t="shared" si="21"/>
        <v>0</v>
      </c>
      <c r="L126">
        <f t="shared" si="26"/>
        <v>0</v>
      </c>
      <c r="M126">
        <f>HLOOKUP(C126,Assumptions!$A$6:$J$7,2,TRUE)</f>
        <v>2.6499999999999999E-2</v>
      </c>
      <c r="N126" s="23">
        <f t="shared" si="16"/>
        <v>0</v>
      </c>
      <c r="O126" s="23">
        <f t="shared" si="22"/>
        <v>0</v>
      </c>
      <c r="P126">
        <f t="shared" si="27"/>
        <v>0</v>
      </c>
      <c r="Q126" s="23">
        <f t="shared" si="23"/>
        <v>0</v>
      </c>
      <c r="R126">
        <f>Q125*Assumptions!$B$11/$E$2*N126</f>
        <v>0</v>
      </c>
      <c r="S126">
        <f>Q125*Assumptions!$B$13/$E$2*N126</f>
        <v>0</v>
      </c>
      <c r="T126">
        <f>L126*Assumptions!$B$15</f>
        <v>0</v>
      </c>
      <c r="U126">
        <f>S126*Assumptions!$B$17</f>
        <v>0</v>
      </c>
      <c r="V126">
        <f>HLOOKUP(B126,Assumptions!$A$26:$D$27,2,TRUE)</f>
        <v>0</v>
      </c>
      <c r="W126">
        <f t="shared" si="28"/>
        <v>0</v>
      </c>
      <c r="X126">
        <f t="shared" si="29"/>
        <v>0.16666666666666785</v>
      </c>
      <c r="Y126">
        <f>IF(B126&gt;$M$2,0,IF(X127=0,0,(1-X127)*Assumptions!$B$11/$E$2*(1-Assumptions!$B$30)))</f>
        <v>0</v>
      </c>
      <c r="Z126">
        <f>(R126-S126)*(1-Assumptions!$B$30)-U126+Y125*Q125</f>
        <v>0</v>
      </c>
      <c r="AA126">
        <f>AA125*(1+Assumptions!$B$36)^(1/12)</f>
        <v>1.1000518745155075</v>
      </c>
      <c r="AB126" s="20">
        <f>IF(B126&gt;$M$2,0,AA125*Assumptions!$B$32/12*Q125+Z126*Assumptions!$B$34/12)</f>
        <v>0</v>
      </c>
      <c r="AC126" s="21">
        <f>1/(1+HLOOKUP(YEAR(A126),Assumptions!$A$41:$AL$43,3,TRUE))^(1/12)</f>
        <v>0.99871316197380999</v>
      </c>
      <c r="AD126">
        <f t="shared" si="24"/>
        <v>0</v>
      </c>
      <c r="AE126">
        <f t="shared" si="30"/>
        <v>0</v>
      </c>
    </row>
    <row r="127" spans="1:31" x14ac:dyDescent="0.2">
      <c r="A127" s="2">
        <f t="shared" si="31"/>
        <v>46630</v>
      </c>
      <c r="B127">
        <f t="shared" si="25"/>
        <v>196</v>
      </c>
      <c r="C127">
        <f t="shared" si="17"/>
        <v>16.25</v>
      </c>
      <c r="D127">
        <f t="shared" si="18"/>
        <v>0</v>
      </c>
      <c r="E127">
        <f t="shared" si="19"/>
        <v>71</v>
      </c>
      <c r="F127">
        <f t="shared" si="20"/>
        <v>63</v>
      </c>
      <c r="G127">
        <f>IF(C127&gt;=$L$2,0,VLOOKUP($E127,'Mortality Table'!$A$3:$C$128,2+H$2,FALSE))</f>
        <v>0</v>
      </c>
      <c r="H127">
        <f>IF(C127&gt;=$L$2,0,VLOOKUP($E127,'Mortality Table'!$A$3:$C$128,2+I$2,FALSE))</f>
        <v>0</v>
      </c>
      <c r="I127" s="17">
        <f>G127*Assumptions!$B$1</f>
        <v>0</v>
      </c>
      <c r="J127" s="17">
        <f>H127*Assumptions!$B$1</f>
        <v>0</v>
      </c>
      <c r="K127">
        <f t="shared" si="21"/>
        <v>0</v>
      </c>
      <c r="L127">
        <f t="shared" si="26"/>
        <v>0</v>
      </c>
      <c r="M127">
        <f>HLOOKUP(C127,Assumptions!$A$6:$J$7,2,TRUE)</f>
        <v>2.6499999999999999E-2</v>
      </c>
      <c r="N127" s="23">
        <f t="shared" si="16"/>
        <v>0</v>
      </c>
      <c r="O127" s="23">
        <f t="shared" si="22"/>
        <v>0</v>
      </c>
      <c r="P127">
        <f t="shared" si="27"/>
        <v>0</v>
      </c>
      <c r="Q127" s="23">
        <f t="shared" si="23"/>
        <v>0</v>
      </c>
      <c r="R127">
        <f>Q126*Assumptions!$B$11/$E$2*N127</f>
        <v>0</v>
      </c>
      <c r="S127">
        <f>Q126*Assumptions!$B$13/$E$2*N127</f>
        <v>0</v>
      </c>
      <c r="T127">
        <f>L127*Assumptions!$B$15</f>
        <v>0</v>
      </c>
      <c r="U127">
        <f>S127*Assumptions!$B$17</f>
        <v>0</v>
      </c>
      <c r="V127">
        <f>HLOOKUP(B127,Assumptions!$A$26:$D$27,2,TRUE)</f>
        <v>0</v>
      </c>
      <c r="W127">
        <f t="shared" si="28"/>
        <v>0</v>
      </c>
      <c r="X127">
        <f t="shared" si="29"/>
        <v>0.25</v>
      </c>
      <c r="Y127">
        <f>IF(B127&gt;$M$2,0,IF(X128=0,0,(1-X128)*Assumptions!$B$11/$E$2*(1-Assumptions!$B$30)))</f>
        <v>0</v>
      </c>
      <c r="Z127">
        <f>(R127-S127)*(1-Assumptions!$B$30)-U127+Y126*Q126</f>
        <v>0</v>
      </c>
      <c r="AA127">
        <f>AA126*(1+Assumptions!$B$36)^(1/12)</f>
        <v>1.1009644094731761</v>
      </c>
      <c r="AB127" s="20">
        <f>IF(B127&gt;$M$2,0,AA126*Assumptions!$B$32/12*Q126+Z127*Assumptions!$B$34/12)</f>
        <v>0</v>
      </c>
      <c r="AC127" s="21">
        <f>1/(1+HLOOKUP(YEAR(A127),Assumptions!$A$41:$AL$43,3,TRUE))^(1/12)</f>
        <v>0.99871316197380999</v>
      </c>
      <c r="AD127">
        <f t="shared" si="24"/>
        <v>0</v>
      </c>
      <c r="AE127">
        <f t="shared" si="30"/>
        <v>0</v>
      </c>
    </row>
    <row r="128" spans="1:31" x14ac:dyDescent="0.2">
      <c r="A128" s="2">
        <f t="shared" si="31"/>
        <v>46660</v>
      </c>
      <c r="B128">
        <f t="shared" si="25"/>
        <v>197</v>
      </c>
      <c r="C128">
        <f t="shared" si="17"/>
        <v>16.333333333333332</v>
      </c>
      <c r="D128">
        <f t="shared" si="18"/>
        <v>0</v>
      </c>
      <c r="E128">
        <f t="shared" si="19"/>
        <v>71</v>
      </c>
      <c r="F128">
        <f t="shared" si="20"/>
        <v>63</v>
      </c>
      <c r="G128">
        <f>IF(C128&gt;=$L$2,0,VLOOKUP($E128,'Mortality Table'!$A$3:$C$128,2+H$2,FALSE))</f>
        <v>0</v>
      </c>
      <c r="H128">
        <f>IF(C128&gt;=$L$2,0,VLOOKUP($E128,'Mortality Table'!$A$3:$C$128,2+I$2,FALSE))</f>
        <v>0</v>
      </c>
      <c r="I128" s="17">
        <f>G128*Assumptions!$B$1</f>
        <v>0</v>
      </c>
      <c r="J128" s="17">
        <f>H128*Assumptions!$B$1</f>
        <v>0</v>
      </c>
      <c r="K128">
        <f t="shared" si="21"/>
        <v>0</v>
      </c>
      <c r="L128">
        <f t="shared" si="26"/>
        <v>0</v>
      </c>
      <c r="M128">
        <f>HLOOKUP(C128,Assumptions!$A$6:$J$7,2,TRUE)</f>
        <v>2.6499999999999999E-2</v>
      </c>
      <c r="N128" s="23">
        <f t="shared" si="16"/>
        <v>0</v>
      </c>
      <c r="O128" s="23">
        <f t="shared" si="22"/>
        <v>0</v>
      </c>
      <c r="P128">
        <f t="shared" si="27"/>
        <v>0</v>
      </c>
      <c r="Q128" s="23">
        <f t="shared" si="23"/>
        <v>0</v>
      </c>
      <c r="R128">
        <f>Q127*Assumptions!$B$11/$E$2*N128</f>
        <v>0</v>
      </c>
      <c r="S128">
        <f>Q127*Assumptions!$B$13/$E$2*N128</f>
        <v>0</v>
      </c>
      <c r="T128">
        <f>L128*Assumptions!$B$15</f>
        <v>0</v>
      </c>
      <c r="U128">
        <f>S128*Assumptions!$B$17</f>
        <v>0</v>
      </c>
      <c r="V128">
        <f>HLOOKUP(B128,Assumptions!$A$26:$D$27,2,TRUE)</f>
        <v>0</v>
      </c>
      <c r="W128">
        <f t="shared" si="28"/>
        <v>0</v>
      </c>
      <c r="X128">
        <f t="shared" si="29"/>
        <v>0.33333333333333215</v>
      </c>
      <c r="Y128">
        <f>IF(B128&gt;$M$2,0,IF(X129=0,0,(1-X129)*Assumptions!$B$11/$E$2*(1-Assumptions!$B$30)))</f>
        <v>0</v>
      </c>
      <c r="Z128">
        <f>(R128-S128)*(1-Assumptions!$B$30)-U128+Y127*Q127</f>
        <v>0</v>
      </c>
      <c r="AA128">
        <f>AA127*(1+Assumptions!$B$36)^(1/12)</f>
        <v>1.1018777014133727</v>
      </c>
      <c r="AB128" s="20">
        <f>IF(B128&gt;$M$2,0,AA127*Assumptions!$B$32/12*Q127+Z128*Assumptions!$B$34/12)</f>
        <v>0</v>
      </c>
      <c r="AC128" s="21">
        <f>1/(1+HLOOKUP(YEAR(A128),Assumptions!$A$41:$AL$43,3,TRUE))^(1/12)</f>
        <v>0.99871316197380999</v>
      </c>
      <c r="AD128">
        <f t="shared" si="24"/>
        <v>0</v>
      </c>
      <c r="AE128">
        <f t="shared" si="30"/>
        <v>0</v>
      </c>
    </row>
    <row r="129" spans="1:31" x14ac:dyDescent="0.2">
      <c r="A129" s="2">
        <f t="shared" si="31"/>
        <v>46691</v>
      </c>
      <c r="B129">
        <f t="shared" si="25"/>
        <v>198</v>
      </c>
      <c r="C129">
        <f t="shared" si="17"/>
        <v>16.416666666666668</v>
      </c>
      <c r="D129">
        <f t="shared" si="18"/>
        <v>0</v>
      </c>
      <c r="E129">
        <f t="shared" si="19"/>
        <v>71</v>
      </c>
      <c r="F129">
        <f t="shared" si="20"/>
        <v>63</v>
      </c>
      <c r="G129">
        <f>IF(C129&gt;=$L$2,0,VLOOKUP($E129,'Mortality Table'!$A$3:$C$128,2+H$2,FALSE))</f>
        <v>0</v>
      </c>
      <c r="H129">
        <f>IF(C129&gt;=$L$2,0,VLOOKUP($E129,'Mortality Table'!$A$3:$C$128,2+I$2,FALSE))</f>
        <v>0</v>
      </c>
      <c r="I129" s="17">
        <f>G129*Assumptions!$B$1</f>
        <v>0</v>
      </c>
      <c r="J129" s="17">
        <f>H129*Assumptions!$B$1</f>
        <v>0</v>
      </c>
      <c r="K129">
        <f t="shared" si="21"/>
        <v>0</v>
      </c>
      <c r="L129">
        <f t="shared" si="26"/>
        <v>0</v>
      </c>
      <c r="M129">
        <f>HLOOKUP(C129,Assumptions!$A$6:$J$7,2,TRUE)</f>
        <v>2.6499999999999999E-2</v>
      </c>
      <c r="N129" s="23">
        <f t="shared" si="16"/>
        <v>0</v>
      </c>
      <c r="O129" s="23">
        <f t="shared" si="22"/>
        <v>0</v>
      </c>
      <c r="P129">
        <f t="shared" si="27"/>
        <v>0</v>
      </c>
      <c r="Q129" s="23">
        <f t="shared" si="23"/>
        <v>0</v>
      </c>
      <c r="R129">
        <f>Q128*Assumptions!$B$11/$E$2*N129</f>
        <v>0</v>
      </c>
      <c r="S129">
        <f>Q128*Assumptions!$B$13/$E$2*N129</f>
        <v>0</v>
      </c>
      <c r="T129">
        <f>L129*Assumptions!$B$15</f>
        <v>0</v>
      </c>
      <c r="U129">
        <f>S129*Assumptions!$B$17</f>
        <v>0</v>
      </c>
      <c r="V129">
        <f>HLOOKUP(B129,Assumptions!$A$26:$D$27,2,TRUE)</f>
        <v>0</v>
      </c>
      <c r="W129">
        <f t="shared" si="28"/>
        <v>0</v>
      </c>
      <c r="X129">
        <f t="shared" si="29"/>
        <v>0.41666666666666785</v>
      </c>
      <c r="Y129">
        <f>IF(B129&gt;$M$2,0,IF(X130=0,0,(1-X130)*Assumptions!$B$11/$E$2*(1-Assumptions!$B$30)))</f>
        <v>0</v>
      </c>
      <c r="Z129">
        <f>(R129-S129)*(1-Assumptions!$B$30)-U129+Y128*Q128</f>
        <v>0</v>
      </c>
      <c r="AA129">
        <f>AA128*(1+Assumptions!$B$36)^(1/12)</f>
        <v>1.1027917509640432</v>
      </c>
      <c r="AB129" s="20">
        <f>IF(B129&gt;$M$2,0,AA128*Assumptions!$B$32/12*Q128+Z129*Assumptions!$B$34/12)</f>
        <v>0</v>
      </c>
      <c r="AC129" s="21">
        <f>1/(1+HLOOKUP(YEAR(A129),Assumptions!$A$41:$AL$43,3,TRUE))^(1/12)</f>
        <v>0.99871316197380999</v>
      </c>
      <c r="AD129">
        <f t="shared" si="24"/>
        <v>0</v>
      </c>
      <c r="AE129">
        <f t="shared" si="30"/>
        <v>0</v>
      </c>
    </row>
    <row r="130" spans="1:31" x14ac:dyDescent="0.2">
      <c r="A130" s="2">
        <f t="shared" si="31"/>
        <v>46721</v>
      </c>
      <c r="B130">
        <f t="shared" si="25"/>
        <v>199</v>
      </c>
      <c r="C130">
        <f t="shared" si="17"/>
        <v>16.5</v>
      </c>
      <c r="D130">
        <f t="shared" si="18"/>
        <v>0</v>
      </c>
      <c r="E130">
        <f t="shared" si="19"/>
        <v>71</v>
      </c>
      <c r="F130">
        <f t="shared" si="20"/>
        <v>63</v>
      </c>
      <c r="G130">
        <f>IF(C130&gt;=$L$2,0,VLOOKUP($E130,'Mortality Table'!$A$3:$C$128,2+H$2,FALSE))</f>
        <v>0</v>
      </c>
      <c r="H130">
        <f>IF(C130&gt;=$L$2,0,VLOOKUP($E130,'Mortality Table'!$A$3:$C$128,2+I$2,FALSE))</f>
        <v>0</v>
      </c>
      <c r="I130" s="17">
        <f>G130*Assumptions!$B$1</f>
        <v>0</v>
      </c>
      <c r="J130" s="17">
        <f>H130*Assumptions!$B$1</f>
        <v>0</v>
      </c>
      <c r="K130">
        <f t="shared" si="21"/>
        <v>0</v>
      </c>
      <c r="L130">
        <f t="shared" si="26"/>
        <v>0</v>
      </c>
      <c r="M130">
        <f>HLOOKUP(C130,Assumptions!$A$6:$J$7,2,TRUE)</f>
        <v>2.6499999999999999E-2</v>
      </c>
      <c r="N130" s="23">
        <f t="shared" si="16"/>
        <v>0</v>
      </c>
      <c r="O130" s="23">
        <f t="shared" si="22"/>
        <v>0</v>
      </c>
      <c r="P130">
        <f t="shared" si="27"/>
        <v>0</v>
      </c>
      <c r="Q130" s="23">
        <f t="shared" si="23"/>
        <v>0</v>
      </c>
      <c r="R130">
        <f>Q129*Assumptions!$B$11/$E$2*N130</f>
        <v>0</v>
      </c>
      <c r="S130">
        <f>Q129*Assumptions!$B$13/$E$2*N130</f>
        <v>0</v>
      </c>
      <c r="T130">
        <f>L130*Assumptions!$B$15</f>
        <v>0</v>
      </c>
      <c r="U130">
        <f>S130*Assumptions!$B$17</f>
        <v>0</v>
      </c>
      <c r="V130">
        <f>HLOOKUP(B130,Assumptions!$A$26:$D$27,2,TRUE)</f>
        <v>0</v>
      </c>
      <c r="W130">
        <f t="shared" si="28"/>
        <v>0</v>
      </c>
      <c r="X130">
        <f t="shared" si="29"/>
        <v>0.5</v>
      </c>
      <c r="Y130">
        <f>IF(B130&gt;$M$2,0,IF(X131=0,0,(1-X131)*Assumptions!$B$11/$E$2*(1-Assumptions!$B$30)))</f>
        <v>0</v>
      </c>
      <c r="Z130">
        <f>(R130-S130)*(1-Assumptions!$B$30)-U130+Y129*Q129</f>
        <v>0</v>
      </c>
      <c r="AA130">
        <f>AA129*(1+Assumptions!$B$36)^(1/12)</f>
        <v>1.1037065587536545</v>
      </c>
      <c r="AB130" s="20">
        <f>IF(B130&gt;$M$2,0,AA129*Assumptions!$B$32/12*Q129+Z130*Assumptions!$B$34/12)</f>
        <v>0</v>
      </c>
      <c r="AC130" s="21">
        <f>1/(1+HLOOKUP(YEAR(A130),Assumptions!$A$41:$AL$43,3,TRUE))^(1/12)</f>
        <v>0.99871316197380999</v>
      </c>
      <c r="AD130">
        <f t="shared" si="24"/>
        <v>0</v>
      </c>
      <c r="AE130">
        <f t="shared" si="30"/>
        <v>0</v>
      </c>
    </row>
    <row r="131" spans="1:31" x14ac:dyDescent="0.2">
      <c r="A131" s="2">
        <f t="shared" si="31"/>
        <v>46752</v>
      </c>
      <c r="B131">
        <f t="shared" si="25"/>
        <v>200</v>
      </c>
      <c r="C131">
        <f t="shared" si="17"/>
        <v>16.583333333333332</v>
      </c>
      <c r="D131">
        <f t="shared" si="18"/>
        <v>0</v>
      </c>
      <c r="E131">
        <f t="shared" si="19"/>
        <v>71</v>
      </c>
      <c r="F131">
        <f t="shared" si="20"/>
        <v>63</v>
      </c>
      <c r="G131">
        <f>IF(C131&gt;=$L$2,0,VLOOKUP($E131,'Mortality Table'!$A$3:$C$128,2+H$2,FALSE))</f>
        <v>0</v>
      </c>
      <c r="H131">
        <f>IF(C131&gt;=$L$2,0,VLOOKUP($E131,'Mortality Table'!$A$3:$C$128,2+I$2,FALSE))</f>
        <v>0</v>
      </c>
      <c r="I131" s="17">
        <f>G131*Assumptions!$B$1</f>
        <v>0</v>
      </c>
      <c r="J131" s="17">
        <f>H131*Assumptions!$B$1</f>
        <v>0</v>
      </c>
      <c r="K131">
        <f t="shared" si="21"/>
        <v>0</v>
      </c>
      <c r="L131">
        <f t="shared" si="26"/>
        <v>0</v>
      </c>
      <c r="M131">
        <f>HLOOKUP(C131,Assumptions!$A$6:$J$7,2,TRUE)</f>
        <v>2.6499999999999999E-2</v>
      </c>
      <c r="N131" s="23">
        <f t="shared" si="16"/>
        <v>0</v>
      </c>
      <c r="O131" s="23">
        <f t="shared" si="22"/>
        <v>0</v>
      </c>
      <c r="P131">
        <f t="shared" si="27"/>
        <v>0</v>
      </c>
      <c r="Q131" s="23">
        <f t="shared" si="23"/>
        <v>0</v>
      </c>
      <c r="R131">
        <f>Q130*Assumptions!$B$11/$E$2*N131</f>
        <v>0</v>
      </c>
      <c r="S131">
        <f>Q130*Assumptions!$B$13/$E$2*N131</f>
        <v>0</v>
      </c>
      <c r="T131">
        <f>L131*Assumptions!$B$15</f>
        <v>0</v>
      </c>
      <c r="U131">
        <f>S131*Assumptions!$B$17</f>
        <v>0</v>
      </c>
      <c r="V131">
        <f>HLOOKUP(B131,Assumptions!$A$26:$D$27,2,TRUE)</f>
        <v>0</v>
      </c>
      <c r="W131">
        <f t="shared" si="28"/>
        <v>0</v>
      </c>
      <c r="X131">
        <f t="shared" si="29"/>
        <v>0.58333333333333215</v>
      </c>
      <c r="Y131">
        <f>IF(B131&gt;$M$2,0,IF(X132=0,0,(1-X132)*Assumptions!$B$11/$E$2*(1-Assumptions!$B$30)))</f>
        <v>0</v>
      </c>
      <c r="Z131">
        <f>(R131-S131)*(1-Assumptions!$B$30)-U131+Y130*Q130</f>
        <v>0</v>
      </c>
      <c r="AA131">
        <f>AA130*(1+Assumptions!$B$36)^(1/12)</f>
        <v>1.1046221254111945</v>
      </c>
      <c r="AB131" s="20">
        <f>IF(B131&gt;$M$2,0,AA130*Assumptions!$B$32/12*Q130+Z131*Assumptions!$B$34/12)</f>
        <v>0</v>
      </c>
      <c r="AC131" s="21">
        <f>1/(1+HLOOKUP(YEAR(A131),Assumptions!$A$41:$AL$43,3,TRUE))^(1/12)</f>
        <v>0.99871316197380999</v>
      </c>
      <c r="AD131">
        <f t="shared" si="24"/>
        <v>0</v>
      </c>
      <c r="AE131">
        <f t="shared" si="30"/>
        <v>0</v>
      </c>
    </row>
    <row r="132" spans="1:31" x14ac:dyDescent="0.2">
      <c r="A132" s="2">
        <f t="shared" si="31"/>
        <v>46783</v>
      </c>
      <c r="B132">
        <f t="shared" si="25"/>
        <v>201</v>
      </c>
      <c r="C132">
        <f t="shared" si="17"/>
        <v>16.666666666666668</v>
      </c>
      <c r="D132">
        <f t="shared" si="18"/>
        <v>0</v>
      </c>
      <c r="E132">
        <f t="shared" si="19"/>
        <v>71</v>
      </c>
      <c r="F132">
        <f t="shared" si="20"/>
        <v>63</v>
      </c>
      <c r="G132">
        <f>IF(C132&gt;=$L$2,0,VLOOKUP($E132,'Mortality Table'!$A$3:$C$128,2+H$2,FALSE))</f>
        <v>0</v>
      </c>
      <c r="H132">
        <f>IF(C132&gt;=$L$2,0,VLOOKUP($E132,'Mortality Table'!$A$3:$C$128,2+I$2,FALSE))</f>
        <v>0</v>
      </c>
      <c r="I132" s="17">
        <f>G132*Assumptions!$B$1</f>
        <v>0</v>
      </c>
      <c r="J132" s="17">
        <f>H132*Assumptions!$B$1</f>
        <v>0</v>
      </c>
      <c r="K132">
        <f t="shared" si="21"/>
        <v>0</v>
      </c>
      <c r="L132">
        <f t="shared" si="26"/>
        <v>0</v>
      </c>
      <c r="M132">
        <f>HLOOKUP(C132,Assumptions!$A$6:$J$7,2,TRUE)</f>
        <v>2.6499999999999999E-2</v>
      </c>
      <c r="N132" s="23">
        <f t="shared" si="16"/>
        <v>0</v>
      </c>
      <c r="O132" s="23">
        <f t="shared" si="22"/>
        <v>0</v>
      </c>
      <c r="P132">
        <f t="shared" si="27"/>
        <v>0</v>
      </c>
      <c r="Q132" s="23">
        <f t="shared" si="23"/>
        <v>0</v>
      </c>
      <c r="R132">
        <f>Q131*Assumptions!$B$11/$E$2*N132</f>
        <v>0</v>
      </c>
      <c r="S132">
        <f>Q131*Assumptions!$B$13/$E$2*N132</f>
        <v>0</v>
      </c>
      <c r="T132">
        <f>L132*Assumptions!$B$15</f>
        <v>0</v>
      </c>
      <c r="U132">
        <f>S132*Assumptions!$B$17</f>
        <v>0</v>
      </c>
      <c r="V132">
        <f>HLOOKUP(B132,Assumptions!$A$26:$D$27,2,TRUE)</f>
        <v>0</v>
      </c>
      <c r="W132">
        <f t="shared" si="28"/>
        <v>0</v>
      </c>
      <c r="X132">
        <f t="shared" si="29"/>
        <v>0.66666666666666785</v>
      </c>
      <c r="Y132">
        <f>IF(B132&gt;$M$2,0,IF(X133=0,0,(1-X133)*Assumptions!$B$11/$E$2*(1-Assumptions!$B$30)))</f>
        <v>0</v>
      </c>
      <c r="Z132">
        <f>(R132-S132)*(1-Assumptions!$B$30)-U132+Y131*Q131</f>
        <v>0</v>
      </c>
      <c r="AA132">
        <f>AA131*(1+Assumptions!$B$36)^(1/12)</f>
        <v>1.1055384515661733</v>
      </c>
      <c r="AB132" s="20">
        <f>IF(B132&gt;$M$2,0,AA131*Assumptions!$B$32/12*Q131+Z132*Assumptions!$B$34/12)</f>
        <v>0</v>
      </c>
      <c r="AC132" s="21">
        <f>1/(1+HLOOKUP(YEAR(A132),Assumptions!$A$41:$AL$43,3,TRUE))^(1/12)</f>
        <v>0.9986891543836689</v>
      </c>
      <c r="AD132">
        <f t="shared" si="24"/>
        <v>0</v>
      </c>
      <c r="AE132">
        <f t="shared" si="30"/>
        <v>0</v>
      </c>
    </row>
    <row r="133" spans="1:31" x14ac:dyDescent="0.2">
      <c r="A133" s="2">
        <f t="shared" si="31"/>
        <v>46812</v>
      </c>
      <c r="B133">
        <f t="shared" si="25"/>
        <v>202</v>
      </c>
      <c r="C133">
        <f t="shared" si="17"/>
        <v>16.75</v>
      </c>
      <c r="D133">
        <f t="shared" si="18"/>
        <v>0</v>
      </c>
      <c r="E133">
        <f t="shared" si="19"/>
        <v>71</v>
      </c>
      <c r="F133">
        <f t="shared" si="20"/>
        <v>63</v>
      </c>
      <c r="G133">
        <f>IF(C133&gt;=$L$2,0,VLOOKUP($E133,'Mortality Table'!$A$3:$C$128,2+H$2,FALSE))</f>
        <v>0</v>
      </c>
      <c r="H133">
        <f>IF(C133&gt;=$L$2,0,VLOOKUP($E133,'Mortality Table'!$A$3:$C$128,2+I$2,FALSE))</f>
        <v>0</v>
      </c>
      <c r="I133" s="17">
        <f>G133*Assumptions!$B$1</f>
        <v>0</v>
      </c>
      <c r="J133" s="17">
        <f>H133*Assumptions!$B$1</f>
        <v>0</v>
      </c>
      <c r="K133">
        <f t="shared" si="21"/>
        <v>0</v>
      </c>
      <c r="L133">
        <f t="shared" si="26"/>
        <v>0</v>
      </c>
      <c r="M133">
        <f>HLOOKUP(C133,Assumptions!$A$6:$J$7,2,TRUE)</f>
        <v>2.6499999999999999E-2</v>
      </c>
      <c r="N133" s="23">
        <f t="shared" si="16"/>
        <v>0</v>
      </c>
      <c r="O133" s="23">
        <f t="shared" si="22"/>
        <v>0</v>
      </c>
      <c r="P133">
        <f t="shared" si="27"/>
        <v>0</v>
      </c>
      <c r="Q133" s="23">
        <f t="shared" si="23"/>
        <v>0</v>
      </c>
      <c r="R133">
        <f>Q132*Assumptions!$B$11/$E$2*N133</f>
        <v>0</v>
      </c>
      <c r="S133">
        <f>Q132*Assumptions!$B$13/$E$2*N133</f>
        <v>0</v>
      </c>
      <c r="T133">
        <f>L133*Assumptions!$B$15</f>
        <v>0</v>
      </c>
      <c r="U133">
        <f>S133*Assumptions!$B$17</f>
        <v>0</v>
      </c>
      <c r="V133">
        <f>HLOOKUP(B133,Assumptions!$A$26:$D$27,2,TRUE)</f>
        <v>0</v>
      </c>
      <c r="W133">
        <f t="shared" si="28"/>
        <v>0</v>
      </c>
      <c r="X133">
        <f t="shared" si="29"/>
        <v>0.75</v>
      </c>
      <c r="Y133">
        <f>IF(B133&gt;$M$2,0,IF(X134=0,0,(1-X134)*Assumptions!$B$11/$E$2*(1-Assumptions!$B$30)))</f>
        <v>0</v>
      </c>
      <c r="Z133">
        <f>(R133-S133)*(1-Assumptions!$B$30)-U133+Y132*Q132</f>
        <v>0</v>
      </c>
      <c r="AA133">
        <f>AA132*(1+Assumptions!$B$36)^(1/12)</f>
        <v>1.1064555378486227</v>
      </c>
      <c r="AB133" s="20">
        <f>IF(B133&gt;$M$2,0,AA132*Assumptions!$B$32/12*Q132+Z133*Assumptions!$B$34/12)</f>
        <v>0</v>
      </c>
      <c r="AC133" s="21">
        <f>1/(1+HLOOKUP(YEAR(A133),Assumptions!$A$41:$AL$43,3,TRUE))^(1/12)</f>
        <v>0.9986891543836689</v>
      </c>
      <c r="AD133">
        <f t="shared" si="24"/>
        <v>0</v>
      </c>
      <c r="AE133">
        <f t="shared" si="30"/>
        <v>0</v>
      </c>
    </row>
    <row r="134" spans="1:31" x14ac:dyDescent="0.2">
      <c r="A134" s="2">
        <f t="shared" si="31"/>
        <v>46843</v>
      </c>
      <c r="B134">
        <f t="shared" si="25"/>
        <v>203</v>
      </c>
      <c r="C134">
        <f t="shared" si="17"/>
        <v>16.833333333333332</v>
      </c>
      <c r="D134">
        <f t="shared" si="18"/>
        <v>0</v>
      </c>
      <c r="E134">
        <f t="shared" si="19"/>
        <v>71</v>
      </c>
      <c r="F134">
        <f t="shared" si="20"/>
        <v>63</v>
      </c>
      <c r="G134">
        <f>IF(C134&gt;=$L$2,0,VLOOKUP($E134,'Mortality Table'!$A$3:$C$128,2+H$2,FALSE))</f>
        <v>0</v>
      </c>
      <c r="H134">
        <f>IF(C134&gt;=$L$2,0,VLOOKUP($E134,'Mortality Table'!$A$3:$C$128,2+I$2,FALSE))</f>
        <v>0</v>
      </c>
      <c r="I134" s="17">
        <f>G134*Assumptions!$B$1</f>
        <v>0</v>
      </c>
      <c r="J134" s="17">
        <f>H134*Assumptions!$B$1</f>
        <v>0</v>
      </c>
      <c r="K134">
        <f t="shared" si="21"/>
        <v>0</v>
      </c>
      <c r="L134">
        <f t="shared" si="26"/>
        <v>0</v>
      </c>
      <c r="M134">
        <f>HLOOKUP(C134,Assumptions!$A$6:$J$7,2,TRUE)</f>
        <v>2.6499999999999999E-2</v>
      </c>
      <c r="N134" s="23">
        <f t="shared" si="16"/>
        <v>0</v>
      </c>
      <c r="O134" s="23">
        <f t="shared" si="22"/>
        <v>0</v>
      </c>
      <c r="P134">
        <f t="shared" si="27"/>
        <v>0</v>
      </c>
      <c r="Q134" s="23">
        <f t="shared" si="23"/>
        <v>0</v>
      </c>
      <c r="R134">
        <f>Q133*Assumptions!$B$11/$E$2*N134</f>
        <v>0</v>
      </c>
      <c r="S134">
        <f>Q133*Assumptions!$B$13/$E$2*N134</f>
        <v>0</v>
      </c>
      <c r="T134">
        <f>L134*Assumptions!$B$15</f>
        <v>0</v>
      </c>
      <c r="U134">
        <f>S134*Assumptions!$B$17</f>
        <v>0</v>
      </c>
      <c r="V134">
        <f>HLOOKUP(B134,Assumptions!$A$26:$D$27,2,TRUE)</f>
        <v>0</v>
      </c>
      <c r="W134">
        <f t="shared" si="28"/>
        <v>0</v>
      </c>
      <c r="X134">
        <f t="shared" si="29"/>
        <v>0.83333333333333215</v>
      </c>
      <c r="Y134">
        <f>IF(B134&gt;$M$2,0,IF(X135=0,0,(1-X135)*Assumptions!$B$11/$E$2*(1-Assumptions!$B$30)))</f>
        <v>0</v>
      </c>
      <c r="Z134">
        <f>(R134-S134)*(1-Assumptions!$B$30)-U134+Y133*Q133</f>
        <v>0</v>
      </c>
      <c r="AA134">
        <f>AA133*(1+Assumptions!$B$36)^(1/12)</f>
        <v>1.1073733848890974</v>
      </c>
      <c r="AB134" s="20">
        <f>IF(B134&gt;$M$2,0,AA133*Assumptions!$B$32/12*Q133+Z134*Assumptions!$B$34/12)</f>
        <v>0</v>
      </c>
      <c r="AC134" s="21">
        <f>1/(1+HLOOKUP(YEAR(A134),Assumptions!$A$41:$AL$43,3,TRUE))^(1/12)</f>
        <v>0.9986891543836689</v>
      </c>
      <c r="AD134">
        <f t="shared" si="24"/>
        <v>0</v>
      </c>
      <c r="AE134">
        <f t="shared" si="30"/>
        <v>0</v>
      </c>
    </row>
    <row r="135" spans="1:31" x14ac:dyDescent="0.2">
      <c r="A135" s="2">
        <f t="shared" si="31"/>
        <v>46873</v>
      </c>
      <c r="B135">
        <f t="shared" si="25"/>
        <v>204</v>
      </c>
      <c r="C135">
        <f t="shared" si="17"/>
        <v>16.916666666666668</v>
      </c>
      <c r="D135">
        <f t="shared" si="18"/>
        <v>0</v>
      </c>
      <c r="E135">
        <f t="shared" si="19"/>
        <v>71</v>
      </c>
      <c r="F135">
        <f t="shared" si="20"/>
        <v>63</v>
      </c>
      <c r="G135">
        <f>IF(C135&gt;=$L$2,0,VLOOKUP($E135,'Mortality Table'!$A$3:$C$128,2+H$2,FALSE))</f>
        <v>0</v>
      </c>
      <c r="H135">
        <f>IF(C135&gt;=$L$2,0,VLOOKUP($E135,'Mortality Table'!$A$3:$C$128,2+I$2,FALSE))</f>
        <v>0</v>
      </c>
      <c r="I135" s="17">
        <f>G135*Assumptions!$B$1</f>
        <v>0</v>
      </c>
      <c r="J135" s="17">
        <f>H135*Assumptions!$B$1</f>
        <v>0</v>
      </c>
      <c r="K135">
        <f t="shared" si="21"/>
        <v>0</v>
      </c>
      <c r="L135">
        <f t="shared" si="26"/>
        <v>0</v>
      </c>
      <c r="M135">
        <f>HLOOKUP(C135,Assumptions!$A$6:$J$7,2,TRUE)</f>
        <v>2.6499999999999999E-2</v>
      </c>
      <c r="N135" s="23">
        <f t="shared" si="16"/>
        <v>0</v>
      </c>
      <c r="O135" s="23">
        <f t="shared" si="22"/>
        <v>0</v>
      </c>
      <c r="P135">
        <f t="shared" si="27"/>
        <v>0</v>
      </c>
      <c r="Q135" s="23">
        <f t="shared" si="23"/>
        <v>0</v>
      </c>
      <c r="R135">
        <f>Q134*Assumptions!$B$11/$E$2*N135</f>
        <v>0</v>
      </c>
      <c r="S135">
        <f>Q134*Assumptions!$B$13/$E$2*N135</f>
        <v>0</v>
      </c>
      <c r="T135">
        <f>L135*Assumptions!$B$15</f>
        <v>0</v>
      </c>
      <c r="U135">
        <f>S135*Assumptions!$B$17</f>
        <v>0</v>
      </c>
      <c r="V135">
        <f>HLOOKUP(B135,Assumptions!$A$26:$D$27,2,TRUE)</f>
        <v>0</v>
      </c>
      <c r="W135">
        <f t="shared" si="28"/>
        <v>0</v>
      </c>
      <c r="X135">
        <f t="shared" si="29"/>
        <v>0.91666666666666785</v>
      </c>
      <c r="Y135">
        <f>IF(B135&gt;$M$2,0,IF(X136=0,0,(1-X136)*Assumptions!$B$11/$E$2*(1-Assumptions!$B$30)))</f>
        <v>0</v>
      </c>
      <c r="Z135">
        <f>(R135-S135)*(1-Assumptions!$B$30)-U135+Y134*Q134</f>
        <v>0</v>
      </c>
      <c r="AA135">
        <f>AA134*(1+Assumptions!$B$36)^(1/12)</f>
        <v>1.1082919933186755</v>
      </c>
      <c r="AB135" s="20">
        <f>IF(B135&gt;$M$2,0,AA134*Assumptions!$B$32/12*Q134+Z135*Assumptions!$B$34/12)</f>
        <v>0</v>
      </c>
      <c r="AC135" s="21">
        <f>1/(1+HLOOKUP(YEAR(A135),Assumptions!$A$41:$AL$43,3,TRUE))^(1/12)</f>
        <v>0.9986891543836689</v>
      </c>
      <c r="AD135">
        <f t="shared" si="24"/>
        <v>0</v>
      </c>
      <c r="AE135">
        <f t="shared" si="30"/>
        <v>0</v>
      </c>
    </row>
    <row r="136" spans="1:31" x14ac:dyDescent="0.2">
      <c r="A136" s="2">
        <f t="shared" si="31"/>
        <v>46904</v>
      </c>
      <c r="B136">
        <f t="shared" si="25"/>
        <v>205</v>
      </c>
      <c r="C136">
        <f t="shared" si="17"/>
        <v>17</v>
      </c>
      <c r="D136">
        <f t="shared" si="18"/>
        <v>1</v>
      </c>
      <c r="E136">
        <f t="shared" si="19"/>
        <v>72</v>
      </c>
      <c r="F136">
        <f t="shared" si="20"/>
        <v>64</v>
      </c>
      <c r="G136">
        <f>IF(C136&gt;=$L$2,0,VLOOKUP($E136,'Mortality Table'!$A$3:$C$128,2+H$2,FALSE))</f>
        <v>0</v>
      </c>
      <c r="H136">
        <f>IF(C136&gt;=$L$2,0,VLOOKUP($E136,'Mortality Table'!$A$3:$C$128,2+I$2,FALSE))</f>
        <v>0</v>
      </c>
      <c r="I136" s="17">
        <f>G136*Assumptions!$B$1</f>
        <v>0</v>
      </c>
      <c r="J136" s="17">
        <f>H136*Assumptions!$B$1</f>
        <v>0</v>
      </c>
      <c r="K136">
        <f t="shared" si="21"/>
        <v>0</v>
      </c>
      <c r="L136">
        <f t="shared" si="26"/>
        <v>0</v>
      </c>
      <c r="M136">
        <f>HLOOKUP(C136,Assumptions!$A$6:$J$7,2,TRUE)</f>
        <v>2.6499999999999999E-2</v>
      </c>
      <c r="N136" s="23">
        <f t="shared" si="16"/>
        <v>0</v>
      </c>
      <c r="O136" s="23">
        <f t="shared" si="22"/>
        <v>0</v>
      </c>
      <c r="P136">
        <f t="shared" si="27"/>
        <v>0</v>
      </c>
      <c r="Q136" s="23">
        <f t="shared" si="23"/>
        <v>0</v>
      </c>
      <c r="R136">
        <f>Q135*Assumptions!$B$11/$E$2*N136</f>
        <v>0</v>
      </c>
      <c r="S136">
        <f>Q135*Assumptions!$B$13/$E$2*N136</f>
        <v>0</v>
      </c>
      <c r="T136">
        <f>L136*Assumptions!$B$15</f>
        <v>0</v>
      </c>
      <c r="U136">
        <f>S136*Assumptions!$B$17</f>
        <v>0</v>
      </c>
      <c r="V136">
        <f>HLOOKUP(B136,Assumptions!$A$26:$D$27,2,TRUE)</f>
        <v>0</v>
      </c>
      <c r="W136">
        <f t="shared" si="28"/>
        <v>0</v>
      </c>
      <c r="X136">
        <f t="shared" si="29"/>
        <v>0</v>
      </c>
      <c r="Y136">
        <f>IF(B136&gt;$M$2,0,IF(X137=0,0,(1-X137)*Assumptions!$B$11/$E$2*(1-Assumptions!$B$30)))</f>
        <v>0</v>
      </c>
      <c r="Z136">
        <f>(R136-S136)*(1-Assumptions!$B$30)-U136+Y135*Q135</f>
        <v>0</v>
      </c>
      <c r="AA136">
        <f>AA135*(1+Assumptions!$B$36)^(1/12)</f>
        <v>1.109211363768958</v>
      </c>
      <c r="AB136" s="20">
        <f>IF(B136&gt;$M$2,0,AA135*Assumptions!$B$32/12*Q135+Z136*Assumptions!$B$34/12)</f>
        <v>0</v>
      </c>
      <c r="AC136" s="21">
        <f>1/(1+HLOOKUP(YEAR(A136),Assumptions!$A$41:$AL$43,3,TRUE))^(1/12)</f>
        <v>0.9986891543836689</v>
      </c>
      <c r="AD136">
        <f t="shared" si="24"/>
        <v>0</v>
      </c>
      <c r="AE136">
        <f t="shared" si="30"/>
        <v>0</v>
      </c>
    </row>
    <row r="137" spans="1:31" x14ac:dyDescent="0.2">
      <c r="A137" s="2">
        <f t="shared" si="31"/>
        <v>46934</v>
      </c>
      <c r="B137">
        <f t="shared" si="25"/>
        <v>206</v>
      </c>
      <c r="C137">
        <f t="shared" si="17"/>
        <v>17.083333333333332</v>
      </c>
      <c r="D137">
        <f t="shared" si="18"/>
        <v>0</v>
      </c>
      <c r="E137">
        <f t="shared" si="19"/>
        <v>72</v>
      </c>
      <c r="F137">
        <f t="shared" si="20"/>
        <v>64</v>
      </c>
      <c r="G137">
        <f>IF(C137&gt;=$L$2,0,VLOOKUP($E137,'Mortality Table'!$A$3:$C$128,2+H$2,FALSE))</f>
        <v>0</v>
      </c>
      <c r="H137">
        <f>IF(C137&gt;=$L$2,0,VLOOKUP($E137,'Mortality Table'!$A$3:$C$128,2+I$2,FALSE))</f>
        <v>0</v>
      </c>
      <c r="I137" s="17">
        <f>G137*Assumptions!$B$1</f>
        <v>0</v>
      </c>
      <c r="J137" s="17">
        <f>H137*Assumptions!$B$1</f>
        <v>0</v>
      </c>
      <c r="K137">
        <f t="shared" si="21"/>
        <v>0</v>
      </c>
      <c r="L137">
        <f t="shared" si="26"/>
        <v>0</v>
      </c>
      <c r="M137">
        <f>HLOOKUP(C137,Assumptions!$A$6:$J$7,2,TRUE)</f>
        <v>2.6499999999999999E-2</v>
      </c>
      <c r="N137" s="23">
        <f t="shared" si="16"/>
        <v>0</v>
      </c>
      <c r="O137" s="23">
        <f t="shared" si="22"/>
        <v>0</v>
      </c>
      <c r="P137">
        <f t="shared" si="27"/>
        <v>0</v>
      </c>
      <c r="Q137" s="23">
        <f t="shared" si="23"/>
        <v>0</v>
      </c>
      <c r="R137">
        <f>Q136*Assumptions!$B$11/$E$2*N137</f>
        <v>0</v>
      </c>
      <c r="S137">
        <f>Q136*Assumptions!$B$13/$E$2*N137</f>
        <v>0</v>
      </c>
      <c r="T137">
        <f>L137*Assumptions!$B$15</f>
        <v>0</v>
      </c>
      <c r="U137">
        <f>S137*Assumptions!$B$17</f>
        <v>0</v>
      </c>
      <c r="V137">
        <f>HLOOKUP(B137,Assumptions!$A$26:$D$27,2,TRUE)</f>
        <v>0</v>
      </c>
      <c r="W137">
        <f t="shared" si="28"/>
        <v>0</v>
      </c>
      <c r="X137">
        <f t="shared" si="29"/>
        <v>8.3333333333332149E-2</v>
      </c>
      <c r="Y137">
        <f>IF(B137&gt;$M$2,0,IF(X138=0,0,(1-X138)*Assumptions!$B$11/$E$2*(1-Assumptions!$B$30)))</f>
        <v>0</v>
      </c>
      <c r="Z137">
        <f>(R137-S137)*(1-Assumptions!$B$30)-U137+Y136*Q136</f>
        <v>0</v>
      </c>
      <c r="AA137">
        <f>AA136*(1+Assumptions!$B$36)^(1/12)</f>
        <v>1.1101314968720704</v>
      </c>
      <c r="AB137" s="20">
        <f>IF(B137&gt;$M$2,0,AA136*Assumptions!$B$32/12*Q136+Z137*Assumptions!$B$34/12)</f>
        <v>0</v>
      </c>
      <c r="AC137" s="21">
        <f>1/(1+HLOOKUP(YEAR(A137),Assumptions!$A$41:$AL$43,3,TRUE))^(1/12)</f>
        <v>0.9986891543836689</v>
      </c>
      <c r="AD137">
        <f t="shared" si="24"/>
        <v>0</v>
      </c>
      <c r="AE137">
        <f t="shared" si="30"/>
        <v>0</v>
      </c>
    </row>
    <row r="138" spans="1:31" x14ac:dyDescent="0.2">
      <c r="A138" s="2">
        <f t="shared" si="31"/>
        <v>46965</v>
      </c>
      <c r="B138">
        <f t="shared" si="25"/>
        <v>207</v>
      </c>
      <c r="C138">
        <f t="shared" si="17"/>
        <v>17.166666666666668</v>
      </c>
      <c r="D138">
        <f t="shared" si="18"/>
        <v>0</v>
      </c>
      <c r="E138">
        <f t="shared" si="19"/>
        <v>72</v>
      </c>
      <c r="F138">
        <f t="shared" si="20"/>
        <v>64</v>
      </c>
      <c r="G138">
        <f>IF(C138&gt;=$L$2,0,VLOOKUP($E138,'Mortality Table'!$A$3:$C$128,2+H$2,FALSE))</f>
        <v>0</v>
      </c>
      <c r="H138">
        <f>IF(C138&gt;=$L$2,0,VLOOKUP($E138,'Mortality Table'!$A$3:$C$128,2+I$2,FALSE))</f>
        <v>0</v>
      </c>
      <c r="I138" s="17">
        <f>G138*Assumptions!$B$1</f>
        <v>0</v>
      </c>
      <c r="J138" s="17">
        <f>H138*Assumptions!$B$1</f>
        <v>0</v>
      </c>
      <c r="K138">
        <f t="shared" si="21"/>
        <v>0</v>
      </c>
      <c r="L138">
        <f t="shared" si="26"/>
        <v>0</v>
      </c>
      <c r="M138">
        <f>HLOOKUP(C138,Assumptions!$A$6:$J$7,2,TRUE)</f>
        <v>2.6499999999999999E-2</v>
      </c>
      <c r="N138" s="23">
        <f t="shared" si="16"/>
        <v>0</v>
      </c>
      <c r="O138" s="23">
        <f t="shared" si="22"/>
        <v>0</v>
      </c>
      <c r="P138">
        <f t="shared" si="27"/>
        <v>0</v>
      </c>
      <c r="Q138" s="23">
        <f t="shared" si="23"/>
        <v>0</v>
      </c>
      <c r="R138">
        <f>Q137*Assumptions!$B$11/$E$2*N138</f>
        <v>0</v>
      </c>
      <c r="S138">
        <f>Q137*Assumptions!$B$13/$E$2*N138</f>
        <v>0</v>
      </c>
      <c r="T138">
        <f>L138*Assumptions!$B$15</f>
        <v>0</v>
      </c>
      <c r="U138">
        <f>S138*Assumptions!$B$17</f>
        <v>0</v>
      </c>
      <c r="V138">
        <f>HLOOKUP(B138,Assumptions!$A$26:$D$27,2,TRUE)</f>
        <v>0</v>
      </c>
      <c r="W138">
        <f t="shared" si="28"/>
        <v>0</v>
      </c>
      <c r="X138">
        <f t="shared" si="29"/>
        <v>0.16666666666666785</v>
      </c>
      <c r="Y138">
        <f>IF(B138&gt;$M$2,0,IF(X139=0,0,(1-X139)*Assumptions!$B$11/$E$2*(1-Assumptions!$B$30)))</f>
        <v>0</v>
      </c>
      <c r="Z138">
        <f>(R138-S138)*(1-Assumptions!$B$30)-U138+Y137*Q137</f>
        <v>0</v>
      </c>
      <c r="AA138">
        <f>AA137*(1+Assumptions!$B$36)^(1/12)</f>
        <v>1.111052393260662</v>
      </c>
      <c r="AB138" s="20">
        <f>IF(B138&gt;$M$2,0,AA137*Assumptions!$B$32/12*Q137+Z138*Assumptions!$B$34/12)</f>
        <v>0</v>
      </c>
      <c r="AC138" s="21">
        <f>1/(1+HLOOKUP(YEAR(A138),Assumptions!$A$41:$AL$43,3,TRUE))^(1/12)</f>
        <v>0.9986891543836689</v>
      </c>
      <c r="AD138">
        <f t="shared" si="24"/>
        <v>0</v>
      </c>
      <c r="AE138">
        <f t="shared" si="30"/>
        <v>0</v>
      </c>
    </row>
    <row r="139" spans="1:31" x14ac:dyDescent="0.2">
      <c r="A139" s="2">
        <f t="shared" si="31"/>
        <v>46996</v>
      </c>
      <c r="B139">
        <f t="shared" si="25"/>
        <v>208</v>
      </c>
      <c r="C139">
        <f t="shared" si="17"/>
        <v>17.25</v>
      </c>
      <c r="D139">
        <f t="shared" si="18"/>
        <v>0</v>
      </c>
      <c r="E139">
        <f t="shared" si="19"/>
        <v>72</v>
      </c>
      <c r="F139">
        <f t="shared" si="20"/>
        <v>64</v>
      </c>
      <c r="G139">
        <f>IF(C139&gt;=$L$2,0,VLOOKUP($E139,'Mortality Table'!$A$3:$C$128,2+H$2,FALSE))</f>
        <v>0</v>
      </c>
      <c r="H139">
        <f>IF(C139&gt;=$L$2,0,VLOOKUP($E139,'Mortality Table'!$A$3:$C$128,2+I$2,FALSE))</f>
        <v>0</v>
      </c>
      <c r="I139" s="17">
        <f>G139*Assumptions!$B$1</f>
        <v>0</v>
      </c>
      <c r="J139" s="17">
        <f>H139*Assumptions!$B$1</f>
        <v>0</v>
      </c>
      <c r="K139">
        <f t="shared" si="21"/>
        <v>0</v>
      </c>
      <c r="L139">
        <f t="shared" si="26"/>
        <v>0</v>
      </c>
      <c r="M139">
        <f>HLOOKUP(C139,Assumptions!$A$6:$J$7,2,TRUE)</f>
        <v>2.6499999999999999E-2</v>
      </c>
      <c r="N139" s="23">
        <f t="shared" ref="N139:N202" si="32">IF(B139&gt;$M$2,0,IF(($E$2*(B139+11))/12-INT(($E$2*(B139+11))/12)=0,1,0))</f>
        <v>0</v>
      </c>
      <c r="O139" s="23">
        <f t="shared" si="22"/>
        <v>0</v>
      </c>
      <c r="P139">
        <f t="shared" si="27"/>
        <v>0</v>
      </c>
      <c r="Q139" s="23">
        <f t="shared" si="23"/>
        <v>0</v>
      </c>
      <c r="R139">
        <f>Q138*Assumptions!$B$11/$E$2*N139</f>
        <v>0</v>
      </c>
      <c r="S139">
        <f>Q138*Assumptions!$B$13/$E$2*N139</f>
        <v>0</v>
      </c>
      <c r="T139">
        <f>L139*Assumptions!$B$15</f>
        <v>0</v>
      </c>
      <c r="U139">
        <f>S139*Assumptions!$B$17</f>
        <v>0</v>
      </c>
      <c r="V139">
        <f>HLOOKUP(B139,Assumptions!$A$26:$D$27,2,TRUE)</f>
        <v>0</v>
      </c>
      <c r="W139">
        <f t="shared" si="28"/>
        <v>0</v>
      </c>
      <c r="X139">
        <f t="shared" si="29"/>
        <v>0.25</v>
      </c>
      <c r="Y139">
        <f>IF(B139&gt;$M$2,0,IF(X140=0,0,(1-X140)*Assumptions!$B$11/$E$2*(1-Assumptions!$B$30)))</f>
        <v>0</v>
      </c>
      <c r="Z139">
        <f>(R139-S139)*(1-Assumptions!$B$30)-U139+Y138*Q138</f>
        <v>0</v>
      </c>
      <c r="AA139">
        <f>AA138*(1+Assumptions!$B$36)^(1/12)</f>
        <v>1.1119740535679072</v>
      </c>
      <c r="AB139" s="20">
        <f>IF(B139&gt;$M$2,0,AA138*Assumptions!$B$32/12*Q138+Z139*Assumptions!$B$34/12)</f>
        <v>0</v>
      </c>
      <c r="AC139" s="21">
        <f>1/(1+HLOOKUP(YEAR(A139),Assumptions!$A$41:$AL$43,3,TRUE))^(1/12)</f>
        <v>0.9986891543836689</v>
      </c>
      <c r="AD139">
        <f t="shared" si="24"/>
        <v>0</v>
      </c>
      <c r="AE139">
        <f t="shared" si="30"/>
        <v>0</v>
      </c>
    </row>
    <row r="140" spans="1:31" x14ac:dyDescent="0.2">
      <c r="A140" s="2">
        <f t="shared" si="31"/>
        <v>47026</v>
      </c>
      <c r="B140">
        <f t="shared" si="25"/>
        <v>209</v>
      </c>
      <c r="C140">
        <f t="shared" ref="C140:C203" si="33">(B140+11)/12-1</f>
        <v>17.333333333333332</v>
      </c>
      <c r="D140">
        <f t="shared" ref="D140:D203" si="34">IF(C140-INT(C140)=0,1,0)</f>
        <v>0</v>
      </c>
      <c r="E140">
        <f t="shared" ref="E140:E203" si="35">$C$2+INT($C140)</f>
        <v>72</v>
      </c>
      <c r="F140">
        <f t="shared" ref="F140:F203" si="36">$F$2+INT($C140)</f>
        <v>64</v>
      </c>
      <c r="G140">
        <f>IF(C140&gt;=$L$2,0,VLOOKUP($E140,'Mortality Table'!$A$3:$C$128,2+H$2,FALSE))</f>
        <v>0</v>
      </c>
      <c r="H140">
        <f>IF(C140&gt;=$L$2,0,VLOOKUP($E140,'Mortality Table'!$A$3:$C$128,2+I$2,FALSE))</f>
        <v>0</v>
      </c>
      <c r="I140" s="17">
        <f>G140*Assumptions!$B$1</f>
        <v>0</v>
      </c>
      <c r="J140" s="17">
        <f>H140*Assumptions!$B$1</f>
        <v>0</v>
      </c>
      <c r="K140">
        <f t="shared" ref="K140:K203" si="37">I140+J140-I140*J140</f>
        <v>0</v>
      </c>
      <c r="L140">
        <f t="shared" si="26"/>
        <v>0</v>
      </c>
      <c r="M140">
        <f>HLOOKUP(C140,Assumptions!$A$6:$J$7,2,TRUE)</f>
        <v>2.6499999999999999E-2</v>
      </c>
      <c r="N140" s="23">
        <f t="shared" si="32"/>
        <v>0</v>
      </c>
      <c r="O140" s="23">
        <f t="shared" ref="O140:O203" si="38">IF(B141&gt;$M$2,0,IF(N141=0,0,1/$E$2))</f>
        <v>0</v>
      </c>
      <c r="P140">
        <f t="shared" si="27"/>
        <v>0</v>
      </c>
      <c r="Q140" s="23">
        <f t="shared" ref="Q140:Q203" si="39">IF(B140&gt;$M$2,0,Q139-L140-P140)</f>
        <v>0</v>
      </c>
      <c r="R140">
        <f>Q139*Assumptions!$B$11/$E$2*N140</f>
        <v>0</v>
      </c>
      <c r="S140">
        <f>Q139*Assumptions!$B$13/$E$2*N140</f>
        <v>0</v>
      </c>
      <c r="T140">
        <f>L140*Assumptions!$B$15</f>
        <v>0</v>
      </c>
      <c r="U140">
        <f>S140*Assumptions!$B$17</f>
        <v>0</v>
      </c>
      <c r="V140">
        <f>HLOOKUP(B140,Assumptions!$A$26:$D$27,2,TRUE)</f>
        <v>0</v>
      </c>
      <c r="W140">
        <f t="shared" si="28"/>
        <v>0</v>
      </c>
      <c r="X140">
        <f t="shared" si="29"/>
        <v>0.33333333333333215</v>
      </c>
      <c r="Y140">
        <f>IF(B140&gt;$M$2,0,IF(X141=0,0,(1-X141)*Assumptions!$B$11/$E$2*(1-Assumptions!$B$30)))</f>
        <v>0</v>
      </c>
      <c r="Z140">
        <f>(R140-S140)*(1-Assumptions!$B$30)-U140+Y139*Q139</f>
        <v>0</v>
      </c>
      <c r="AA140">
        <f>AA139*(1+Assumptions!$B$36)^(1/12)</f>
        <v>1.1128964784275057</v>
      </c>
      <c r="AB140" s="20">
        <f>IF(B140&gt;$M$2,0,AA139*Assumptions!$B$32/12*Q139+Z140*Assumptions!$B$34/12)</f>
        <v>0</v>
      </c>
      <c r="AC140" s="21">
        <f>1/(1+HLOOKUP(YEAR(A140),Assumptions!$A$41:$AL$43,3,TRUE))^(1/12)</f>
        <v>0.9986891543836689</v>
      </c>
      <c r="AD140">
        <f t="shared" ref="AD140:AD203" si="40">(AD141+T141+U141+W141+AB141-R141)*AC141</f>
        <v>0</v>
      </c>
      <c r="AE140">
        <f t="shared" si="30"/>
        <v>0</v>
      </c>
    </row>
    <row r="141" spans="1:31" x14ac:dyDescent="0.2">
      <c r="A141" s="2">
        <f t="shared" si="31"/>
        <v>47057</v>
      </c>
      <c r="B141">
        <f t="shared" ref="B141:B204" si="41">B140+1</f>
        <v>210</v>
      </c>
      <c r="C141">
        <f t="shared" si="33"/>
        <v>17.416666666666668</v>
      </c>
      <c r="D141">
        <f t="shared" si="34"/>
        <v>0</v>
      </c>
      <c r="E141">
        <f t="shared" si="35"/>
        <v>72</v>
      </c>
      <c r="F141">
        <f t="shared" si="36"/>
        <v>64</v>
      </c>
      <c r="G141">
        <f>IF(C141&gt;=$L$2,0,VLOOKUP($E141,'Mortality Table'!$A$3:$C$128,2+H$2,FALSE))</f>
        <v>0</v>
      </c>
      <c r="H141">
        <f>IF(C141&gt;=$L$2,0,VLOOKUP($E141,'Mortality Table'!$A$3:$C$128,2+I$2,FALSE))</f>
        <v>0</v>
      </c>
      <c r="I141" s="17">
        <f>G141*Assumptions!$B$1</f>
        <v>0</v>
      </c>
      <c r="J141" s="17">
        <f>H141*Assumptions!$B$1</f>
        <v>0</v>
      </c>
      <c r="K141">
        <f t="shared" si="37"/>
        <v>0</v>
      </c>
      <c r="L141">
        <f t="shared" ref="L141:L204" si="42">(1-(1-K141)^(1/12))*Q140</f>
        <v>0</v>
      </c>
      <c r="M141">
        <f>HLOOKUP(C141,Assumptions!$A$6:$J$7,2,TRUE)</f>
        <v>2.6499999999999999E-2</v>
      </c>
      <c r="N141" s="23">
        <f t="shared" si="32"/>
        <v>0</v>
      </c>
      <c r="O141" s="23">
        <f t="shared" si="38"/>
        <v>0</v>
      </c>
      <c r="P141">
        <f t="shared" ref="P141:P204" si="43">(1-(1-M141)^O141)*(Q140-L141)</f>
        <v>0</v>
      </c>
      <c r="Q141" s="23">
        <f t="shared" si="39"/>
        <v>0</v>
      </c>
      <c r="R141">
        <f>Q140*Assumptions!$B$11/$E$2*N141</f>
        <v>0</v>
      </c>
      <c r="S141">
        <f>Q140*Assumptions!$B$13/$E$2*N141</f>
        <v>0</v>
      </c>
      <c r="T141">
        <f>L141*Assumptions!$B$15</f>
        <v>0</v>
      </c>
      <c r="U141">
        <f>S141*Assumptions!$B$17</f>
        <v>0</v>
      </c>
      <c r="V141">
        <f>HLOOKUP(B141,Assumptions!$A$26:$D$27,2,TRUE)</f>
        <v>0</v>
      </c>
      <c r="W141">
        <f t="shared" ref="W141:W204" si="44">R141*V141</f>
        <v>0</v>
      </c>
      <c r="X141">
        <f t="shared" ref="X141:X204" si="45">($E$2*(B141+11))/12-INT(($E$2*(B141+11))/12)</f>
        <v>0.41666666666666785</v>
      </c>
      <c r="Y141">
        <f>IF(B141&gt;$M$2,0,IF(X142=0,0,(1-X142)*Assumptions!$B$11/$E$2*(1-Assumptions!$B$30)))</f>
        <v>0</v>
      </c>
      <c r="Z141">
        <f>(R141-S141)*(1-Assumptions!$B$30)-U141+Y140*Q140</f>
        <v>0</v>
      </c>
      <c r="AA141">
        <f>AA140*(1+Assumptions!$B$36)^(1/12)</f>
        <v>1.113819668473683</v>
      </c>
      <c r="AB141" s="20">
        <f>IF(B141&gt;$M$2,0,AA140*Assumptions!$B$32/12*Q140+Z141*Assumptions!$B$34/12)</f>
        <v>0</v>
      </c>
      <c r="AC141" s="21">
        <f>1/(1+HLOOKUP(YEAR(A141),Assumptions!$A$41:$AL$43,3,TRUE))^(1/12)</f>
        <v>0.9986891543836689</v>
      </c>
      <c r="AD141">
        <f t="shared" si="40"/>
        <v>0</v>
      </c>
      <c r="AE141">
        <f t="shared" ref="AE141:AE204" si="46">T141+U141</f>
        <v>0</v>
      </c>
    </row>
    <row r="142" spans="1:31" x14ac:dyDescent="0.2">
      <c r="A142" s="2">
        <f t="shared" si="31"/>
        <v>47087</v>
      </c>
      <c r="B142">
        <f t="shared" si="41"/>
        <v>211</v>
      </c>
      <c r="C142">
        <f t="shared" si="33"/>
        <v>17.5</v>
      </c>
      <c r="D142">
        <f t="shared" si="34"/>
        <v>0</v>
      </c>
      <c r="E142">
        <f t="shared" si="35"/>
        <v>72</v>
      </c>
      <c r="F142">
        <f t="shared" si="36"/>
        <v>64</v>
      </c>
      <c r="G142">
        <f>IF(C142&gt;=$L$2,0,VLOOKUP($E142,'Mortality Table'!$A$3:$C$128,2+H$2,FALSE))</f>
        <v>0</v>
      </c>
      <c r="H142">
        <f>IF(C142&gt;=$L$2,0,VLOOKUP($E142,'Mortality Table'!$A$3:$C$128,2+I$2,FALSE))</f>
        <v>0</v>
      </c>
      <c r="I142" s="17">
        <f>G142*Assumptions!$B$1</f>
        <v>0</v>
      </c>
      <c r="J142" s="17">
        <f>H142*Assumptions!$B$1</f>
        <v>0</v>
      </c>
      <c r="K142">
        <f t="shared" si="37"/>
        <v>0</v>
      </c>
      <c r="L142">
        <f t="shared" si="42"/>
        <v>0</v>
      </c>
      <c r="M142">
        <f>HLOOKUP(C142,Assumptions!$A$6:$J$7,2,TRUE)</f>
        <v>2.6499999999999999E-2</v>
      </c>
      <c r="N142" s="23">
        <f t="shared" si="32"/>
        <v>0</v>
      </c>
      <c r="O142" s="23">
        <f t="shared" si="38"/>
        <v>0</v>
      </c>
      <c r="P142">
        <f t="shared" si="43"/>
        <v>0</v>
      </c>
      <c r="Q142" s="23">
        <f t="shared" si="39"/>
        <v>0</v>
      </c>
      <c r="R142">
        <f>Q141*Assumptions!$B$11/$E$2*N142</f>
        <v>0</v>
      </c>
      <c r="S142">
        <f>Q141*Assumptions!$B$13/$E$2*N142</f>
        <v>0</v>
      </c>
      <c r="T142">
        <f>L142*Assumptions!$B$15</f>
        <v>0</v>
      </c>
      <c r="U142">
        <f>S142*Assumptions!$B$17</f>
        <v>0</v>
      </c>
      <c r="V142">
        <f>HLOOKUP(B142,Assumptions!$A$26:$D$27,2,TRUE)</f>
        <v>0</v>
      </c>
      <c r="W142">
        <f t="shared" si="44"/>
        <v>0</v>
      </c>
      <c r="X142">
        <f t="shared" si="45"/>
        <v>0.5</v>
      </c>
      <c r="Y142">
        <f>IF(B142&gt;$M$2,0,IF(X143=0,0,(1-X143)*Assumptions!$B$11/$E$2*(1-Assumptions!$B$30)))</f>
        <v>0</v>
      </c>
      <c r="Z142">
        <f>(R142-S142)*(1-Assumptions!$B$30)-U142+Y141*Q141</f>
        <v>0</v>
      </c>
      <c r="AA142">
        <f>AA141*(1+Assumptions!$B$36)^(1/12)</f>
        <v>1.1147436243411903</v>
      </c>
      <c r="AB142" s="20">
        <f>IF(B142&gt;$M$2,0,AA141*Assumptions!$B$32/12*Q141+Z142*Assumptions!$B$34/12)</f>
        <v>0</v>
      </c>
      <c r="AC142" s="21">
        <f>1/(1+HLOOKUP(YEAR(A142),Assumptions!$A$41:$AL$43,3,TRUE))^(1/12)</f>
        <v>0.9986891543836689</v>
      </c>
      <c r="AD142">
        <f t="shared" si="40"/>
        <v>0</v>
      </c>
      <c r="AE142">
        <f t="shared" si="46"/>
        <v>0</v>
      </c>
    </row>
    <row r="143" spans="1:31" x14ac:dyDescent="0.2">
      <c r="A143" s="2">
        <f t="shared" ref="A143:A206" si="47">DATE(YEAR(A142),MONTH(A142)+2,1)-1</f>
        <v>47118</v>
      </c>
      <c r="B143">
        <f t="shared" si="41"/>
        <v>212</v>
      </c>
      <c r="C143">
        <f t="shared" si="33"/>
        <v>17.583333333333332</v>
      </c>
      <c r="D143">
        <f t="shared" si="34"/>
        <v>0</v>
      </c>
      <c r="E143">
        <f t="shared" si="35"/>
        <v>72</v>
      </c>
      <c r="F143">
        <f t="shared" si="36"/>
        <v>64</v>
      </c>
      <c r="G143">
        <f>IF(C143&gt;=$L$2,0,VLOOKUP($E143,'Mortality Table'!$A$3:$C$128,2+H$2,FALSE))</f>
        <v>0</v>
      </c>
      <c r="H143">
        <f>IF(C143&gt;=$L$2,0,VLOOKUP($E143,'Mortality Table'!$A$3:$C$128,2+I$2,FALSE))</f>
        <v>0</v>
      </c>
      <c r="I143" s="17">
        <f>G143*Assumptions!$B$1</f>
        <v>0</v>
      </c>
      <c r="J143" s="17">
        <f>H143*Assumptions!$B$1</f>
        <v>0</v>
      </c>
      <c r="K143">
        <f t="shared" si="37"/>
        <v>0</v>
      </c>
      <c r="L143">
        <f t="shared" si="42"/>
        <v>0</v>
      </c>
      <c r="M143">
        <f>HLOOKUP(C143,Assumptions!$A$6:$J$7,2,TRUE)</f>
        <v>2.6499999999999999E-2</v>
      </c>
      <c r="N143" s="23">
        <f t="shared" si="32"/>
        <v>0</v>
      </c>
      <c r="O143" s="23">
        <f t="shared" si="38"/>
        <v>0</v>
      </c>
      <c r="P143">
        <f t="shared" si="43"/>
        <v>0</v>
      </c>
      <c r="Q143" s="23">
        <f t="shared" si="39"/>
        <v>0</v>
      </c>
      <c r="R143">
        <f>Q142*Assumptions!$B$11/$E$2*N143</f>
        <v>0</v>
      </c>
      <c r="S143">
        <f>Q142*Assumptions!$B$13/$E$2*N143</f>
        <v>0</v>
      </c>
      <c r="T143">
        <f>L143*Assumptions!$B$15</f>
        <v>0</v>
      </c>
      <c r="U143">
        <f>S143*Assumptions!$B$17</f>
        <v>0</v>
      </c>
      <c r="V143">
        <f>HLOOKUP(B143,Assumptions!$A$26:$D$27,2,TRUE)</f>
        <v>0</v>
      </c>
      <c r="W143">
        <f t="shared" si="44"/>
        <v>0</v>
      </c>
      <c r="X143">
        <f t="shared" si="45"/>
        <v>0.58333333333333215</v>
      </c>
      <c r="Y143">
        <f>IF(B143&gt;$M$2,0,IF(X144=0,0,(1-X144)*Assumptions!$B$11/$E$2*(1-Assumptions!$B$30)))</f>
        <v>0</v>
      </c>
      <c r="Z143">
        <f>(R143-S143)*(1-Assumptions!$B$30)-U143+Y142*Q142</f>
        <v>0</v>
      </c>
      <c r="AA143">
        <f>AA142*(1+Assumptions!$B$36)^(1/12)</f>
        <v>1.1156683466653057</v>
      </c>
      <c r="AB143" s="20">
        <f>IF(B143&gt;$M$2,0,AA142*Assumptions!$B$32/12*Q142+Z143*Assumptions!$B$34/12)</f>
        <v>0</v>
      </c>
      <c r="AC143" s="21">
        <f>1/(1+HLOOKUP(YEAR(A143),Assumptions!$A$41:$AL$43,3,TRUE))^(1/12)</f>
        <v>0.9986891543836689</v>
      </c>
      <c r="AD143">
        <f t="shared" si="40"/>
        <v>0</v>
      </c>
      <c r="AE143">
        <f t="shared" si="46"/>
        <v>0</v>
      </c>
    </row>
    <row r="144" spans="1:31" x14ac:dyDescent="0.2">
      <c r="A144" s="2">
        <f t="shared" si="47"/>
        <v>47149</v>
      </c>
      <c r="B144">
        <f t="shared" si="41"/>
        <v>213</v>
      </c>
      <c r="C144">
        <f t="shared" si="33"/>
        <v>17.666666666666668</v>
      </c>
      <c r="D144">
        <f t="shared" si="34"/>
        <v>0</v>
      </c>
      <c r="E144">
        <f t="shared" si="35"/>
        <v>72</v>
      </c>
      <c r="F144">
        <f t="shared" si="36"/>
        <v>64</v>
      </c>
      <c r="G144">
        <f>IF(C144&gt;=$L$2,0,VLOOKUP($E144,'Mortality Table'!$A$3:$C$128,2+H$2,FALSE))</f>
        <v>0</v>
      </c>
      <c r="H144">
        <f>IF(C144&gt;=$L$2,0,VLOOKUP($E144,'Mortality Table'!$A$3:$C$128,2+I$2,FALSE))</f>
        <v>0</v>
      </c>
      <c r="I144" s="17">
        <f>G144*Assumptions!$B$1</f>
        <v>0</v>
      </c>
      <c r="J144" s="17">
        <f>H144*Assumptions!$B$1</f>
        <v>0</v>
      </c>
      <c r="K144">
        <f t="shared" si="37"/>
        <v>0</v>
      </c>
      <c r="L144">
        <f t="shared" si="42"/>
        <v>0</v>
      </c>
      <c r="M144">
        <f>HLOOKUP(C144,Assumptions!$A$6:$J$7,2,TRUE)</f>
        <v>2.6499999999999999E-2</v>
      </c>
      <c r="N144" s="23">
        <f t="shared" si="32"/>
        <v>0</v>
      </c>
      <c r="O144" s="23">
        <f t="shared" si="38"/>
        <v>0</v>
      </c>
      <c r="P144">
        <f t="shared" si="43"/>
        <v>0</v>
      </c>
      <c r="Q144" s="23">
        <f t="shared" si="39"/>
        <v>0</v>
      </c>
      <c r="R144">
        <f>Q143*Assumptions!$B$11/$E$2*N144</f>
        <v>0</v>
      </c>
      <c r="S144">
        <f>Q143*Assumptions!$B$13/$E$2*N144</f>
        <v>0</v>
      </c>
      <c r="T144">
        <f>L144*Assumptions!$B$15</f>
        <v>0</v>
      </c>
      <c r="U144">
        <f>S144*Assumptions!$B$17</f>
        <v>0</v>
      </c>
      <c r="V144">
        <f>HLOOKUP(B144,Assumptions!$A$26:$D$27,2,TRUE)</f>
        <v>0</v>
      </c>
      <c r="W144">
        <f t="shared" si="44"/>
        <v>0</v>
      </c>
      <c r="X144">
        <f t="shared" si="45"/>
        <v>0.66666666666666785</v>
      </c>
      <c r="Y144">
        <f>IF(B144&gt;$M$2,0,IF(X145=0,0,(1-X145)*Assumptions!$B$11/$E$2*(1-Assumptions!$B$30)))</f>
        <v>0</v>
      </c>
      <c r="Z144">
        <f>(R144-S144)*(1-Assumptions!$B$30)-U144+Y143*Q143</f>
        <v>0</v>
      </c>
      <c r="AA144">
        <f>AA143*(1+Assumptions!$B$36)^(1/12)</f>
        <v>1.1165938360818342</v>
      </c>
      <c r="AB144" s="20">
        <f>IF(B144&gt;$M$2,0,AA143*Assumptions!$B$32/12*Q143+Z144*Assumptions!$B$34/12)</f>
        <v>0</v>
      </c>
      <c r="AC144" s="21">
        <f>1/(1+HLOOKUP(YEAR(A144),Assumptions!$A$41:$AL$43,3,TRUE))^(1/12)</f>
        <v>0.99860760101943147</v>
      </c>
      <c r="AD144">
        <f t="shared" si="40"/>
        <v>0</v>
      </c>
      <c r="AE144">
        <f t="shared" si="46"/>
        <v>0</v>
      </c>
    </row>
    <row r="145" spans="1:31" x14ac:dyDescent="0.2">
      <c r="A145" s="2">
        <f t="shared" si="47"/>
        <v>47177</v>
      </c>
      <c r="B145">
        <f t="shared" si="41"/>
        <v>214</v>
      </c>
      <c r="C145">
        <f t="shared" si="33"/>
        <v>17.75</v>
      </c>
      <c r="D145">
        <f t="shared" si="34"/>
        <v>0</v>
      </c>
      <c r="E145">
        <f t="shared" si="35"/>
        <v>72</v>
      </c>
      <c r="F145">
        <f t="shared" si="36"/>
        <v>64</v>
      </c>
      <c r="G145">
        <f>IF(C145&gt;=$L$2,0,VLOOKUP($E145,'Mortality Table'!$A$3:$C$128,2+H$2,FALSE))</f>
        <v>0</v>
      </c>
      <c r="H145">
        <f>IF(C145&gt;=$L$2,0,VLOOKUP($E145,'Mortality Table'!$A$3:$C$128,2+I$2,FALSE))</f>
        <v>0</v>
      </c>
      <c r="I145" s="17">
        <f>G145*Assumptions!$B$1</f>
        <v>0</v>
      </c>
      <c r="J145" s="17">
        <f>H145*Assumptions!$B$1</f>
        <v>0</v>
      </c>
      <c r="K145">
        <f t="shared" si="37"/>
        <v>0</v>
      </c>
      <c r="L145">
        <f t="shared" si="42"/>
        <v>0</v>
      </c>
      <c r="M145">
        <f>HLOOKUP(C145,Assumptions!$A$6:$J$7,2,TRUE)</f>
        <v>2.6499999999999999E-2</v>
      </c>
      <c r="N145" s="23">
        <f t="shared" si="32"/>
        <v>0</v>
      </c>
      <c r="O145" s="23">
        <f t="shared" si="38"/>
        <v>0</v>
      </c>
      <c r="P145">
        <f t="shared" si="43"/>
        <v>0</v>
      </c>
      <c r="Q145" s="23">
        <f t="shared" si="39"/>
        <v>0</v>
      </c>
      <c r="R145">
        <f>Q144*Assumptions!$B$11/$E$2*N145</f>
        <v>0</v>
      </c>
      <c r="S145">
        <f>Q144*Assumptions!$B$13/$E$2*N145</f>
        <v>0</v>
      </c>
      <c r="T145">
        <f>L145*Assumptions!$B$15</f>
        <v>0</v>
      </c>
      <c r="U145">
        <f>S145*Assumptions!$B$17</f>
        <v>0</v>
      </c>
      <c r="V145">
        <f>HLOOKUP(B145,Assumptions!$A$26:$D$27,2,TRUE)</f>
        <v>0</v>
      </c>
      <c r="W145">
        <f t="shared" si="44"/>
        <v>0</v>
      </c>
      <c r="X145">
        <f t="shared" si="45"/>
        <v>0.75</v>
      </c>
      <c r="Y145">
        <f>IF(B145&gt;$M$2,0,IF(X146=0,0,(1-X146)*Assumptions!$B$11/$E$2*(1-Assumptions!$B$30)))</f>
        <v>0</v>
      </c>
      <c r="Z145">
        <f>(R145-S145)*(1-Assumptions!$B$30)-U145+Y144*Q144</f>
        <v>0</v>
      </c>
      <c r="AA145">
        <f>AA144*(1+Assumptions!$B$36)^(1/12)</f>
        <v>1.1175200932271081</v>
      </c>
      <c r="AB145" s="20">
        <f>IF(B145&gt;$M$2,0,AA144*Assumptions!$B$32/12*Q144+Z145*Assumptions!$B$34/12)</f>
        <v>0</v>
      </c>
      <c r="AC145" s="21">
        <f>1/(1+HLOOKUP(YEAR(A145),Assumptions!$A$41:$AL$43,3,TRUE))^(1/12)</f>
        <v>0.99860760101943147</v>
      </c>
      <c r="AD145">
        <f t="shared" si="40"/>
        <v>0</v>
      </c>
      <c r="AE145">
        <f t="shared" si="46"/>
        <v>0</v>
      </c>
    </row>
    <row r="146" spans="1:31" x14ac:dyDescent="0.2">
      <c r="A146" s="2">
        <f t="shared" si="47"/>
        <v>47208</v>
      </c>
      <c r="B146">
        <f t="shared" si="41"/>
        <v>215</v>
      </c>
      <c r="C146">
        <f t="shared" si="33"/>
        <v>17.833333333333332</v>
      </c>
      <c r="D146">
        <f t="shared" si="34"/>
        <v>0</v>
      </c>
      <c r="E146">
        <f t="shared" si="35"/>
        <v>72</v>
      </c>
      <c r="F146">
        <f t="shared" si="36"/>
        <v>64</v>
      </c>
      <c r="G146">
        <f>IF(C146&gt;=$L$2,0,VLOOKUP($E146,'Mortality Table'!$A$3:$C$128,2+H$2,FALSE))</f>
        <v>0</v>
      </c>
      <c r="H146">
        <f>IF(C146&gt;=$L$2,0,VLOOKUP($E146,'Mortality Table'!$A$3:$C$128,2+I$2,FALSE))</f>
        <v>0</v>
      </c>
      <c r="I146" s="17">
        <f>G146*Assumptions!$B$1</f>
        <v>0</v>
      </c>
      <c r="J146" s="17">
        <f>H146*Assumptions!$B$1</f>
        <v>0</v>
      </c>
      <c r="K146">
        <f t="shared" si="37"/>
        <v>0</v>
      </c>
      <c r="L146">
        <f t="shared" si="42"/>
        <v>0</v>
      </c>
      <c r="M146">
        <f>HLOOKUP(C146,Assumptions!$A$6:$J$7,2,TRUE)</f>
        <v>2.6499999999999999E-2</v>
      </c>
      <c r="N146" s="23">
        <f t="shared" si="32"/>
        <v>0</v>
      </c>
      <c r="O146" s="23">
        <f t="shared" si="38"/>
        <v>0</v>
      </c>
      <c r="P146">
        <f t="shared" si="43"/>
        <v>0</v>
      </c>
      <c r="Q146" s="23">
        <f t="shared" si="39"/>
        <v>0</v>
      </c>
      <c r="R146">
        <f>Q145*Assumptions!$B$11/$E$2*N146</f>
        <v>0</v>
      </c>
      <c r="S146">
        <f>Q145*Assumptions!$B$13/$E$2*N146</f>
        <v>0</v>
      </c>
      <c r="T146">
        <f>L146*Assumptions!$B$15</f>
        <v>0</v>
      </c>
      <c r="U146">
        <f>S146*Assumptions!$B$17</f>
        <v>0</v>
      </c>
      <c r="V146">
        <f>HLOOKUP(B146,Assumptions!$A$26:$D$27,2,TRUE)</f>
        <v>0</v>
      </c>
      <c r="W146">
        <f t="shared" si="44"/>
        <v>0</v>
      </c>
      <c r="X146">
        <f t="shared" si="45"/>
        <v>0.83333333333333215</v>
      </c>
      <c r="Y146">
        <f>IF(B146&gt;$M$2,0,IF(X147=0,0,(1-X147)*Assumptions!$B$11/$E$2*(1-Assumptions!$B$30)))</f>
        <v>0</v>
      </c>
      <c r="Z146">
        <f>(R146-S146)*(1-Assumptions!$B$30)-U146+Y145*Q145</f>
        <v>0</v>
      </c>
      <c r="AA146">
        <f>AA145*(1+Assumptions!$B$36)^(1/12)</f>
        <v>1.1184471187379876</v>
      </c>
      <c r="AB146" s="20">
        <f>IF(B146&gt;$M$2,0,AA145*Assumptions!$B$32/12*Q145+Z146*Assumptions!$B$34/12)</f>
        <v>0</v>
      </c>
      <c r="AC146" s="21">
        <f>1/(1+HLOOKUP(YEAR(A146),Assumptions!$A$41:$AL$43,3,TRUE))^(1/12)</f>
        <v>0.99860760101943147</v>
      </c>
      <c r="AD146">
        <f t="shared" si="40"/>
        <v>0</v>
      </c>
      <c r="AE146">
        <f t="shared" si="46"/>
        <v>0</v>
      </c>
    </row>
    <row r="147" spans="1:31" x14ac:dyDescent="0.2">
      <c r="A147" s="2">
        <f t="shared" si="47"/>
        <v>47238</v>
      </c>
      <c r="B147">
        <f t="shared" si="41"/>
        <v>216</v>
      </c>
      <c r="C147">
        <f t="shared" si="33"/>
        <v>17.916666666666668</v>
      </c>
      <c r="D147">
        <f t="shared" si="34"/>
        <v>0</v>
      </c>
      <c r="E147">
        <f t="shared" si="35"/>
        <v>72</v>
      </c>
      <c r="F147">
        <f t="shared" si="36"/>
        <v>64</v>
      </c>
      <c r="G147">
        <f>IF(C147&gt;=$L$2,0,VLOOKUP($E147,'Mortality Table'!$A$3:$C$128,2+H$2,FALSE))</f>
        <v>0</v>
      </c>
      <c r="H147">
        <f>IF(C147&gt;=$L$2,0,VLOOKUP($E147,'Mortality Table'!$A$3:$C$128,2+I$2,FALSE))</f>
        <v>0</v>
      </c>
      <c r="I147" s="17">
        <f>G147*Assumptions!$B$1</f>
        <v>0</v>
      </c>
      <c r="J147" s="17">
        <f>H147*Assumptions!$B$1</f>
        <v>0</v>
      </c>
      <c r="K147">
        <f t="shared" si="37"/>
        <v>0</v>
      </c>
      <c r="L147">
        <f t="shared" si="42"/>
        <v>0</v>
      </c>
      <c r="M147">
        <f>HLOOKUP(C147,Assumptions!$A$6:$J$7,2,TRUE)</f>
        <v>2.6499999999999999E-2</v>
      </c>
      <c r="N147" s="23">
        <f t="shared" si="32"/>
        <v>0</v>
      </c>
      <c r="O147" s="23">
        <f t="shared" si="38"/>
        <v>0</v>
      </c>
      <c r="P147">
        <f t="shared" si="43"/>
        <v>0</v>
      </c>
      <c r="Q147" s="23">
        <f t="shared" si="39"/>
        <v>0</v>
      </c>
      <c r="R147">
        <f>Q146*Assumptions!$B$11/$E$2*N147</f>
        <v>0</v>
      </c>
      <c r="S147">
        <f>Q146*Assumptions!$B$13/$E$2*N147</f>
        <v>0</v>
      </c>
      <c r="T147">
        <f>L147*Assumptions!$B$15</f>
        <v>0</v>
      </c>
      <c r="U147">
        <f>S147*Assumptions!$B$17</f>
        <v>0</v>
      </c>
      <c r="V147">
        <f>HLOOKUP(B147,Assumptions!$A$26:$D$27,2,TRUE)</f>
        <v>0</v>
      </c>
      <c r="W147">
        <f t="shared" si="44"/>
        <v>0</v>
      </c>
      <c r="X147">
        <f t="shared" si="45"/>
        <v>0.91666666666666785</v>
      </c>
      <c r="Y147">
        <f>IF(B147&gt;$M$2,0,IF(X148=0,0,(1-X148)*Assumptions!$B$11/$E$2*(1-Assumptions!$B$30)))</f>
        <v>0</v>
      </c>
      <c r="Z147">
        <f>(R147-S147)*(1-Assumptions!$B$30)-U147+Y146*Q146</f>
        <v>0</v>
      </c>
      <c r="AA147">
        <f>AA146*(1+Assumptions!$B$36)^(1/12)</f>
        <v>1.1193749132518613</v>
      </c>
      <c r="AB147" s="20">
        <f>IF(B147&gt;$M$2,0,AA146*Assumptions!$B$32/12*Q146+Z147*Assumptions!$B$34/12)</f>
        <v>0</v>
      </c>
      <c r="AC147" s="21">
        <f>1/(1+HLOOKUP(YEAR(A147),Assumptions!$A$41:$AL$43,3,TRUE))^(1/12)</f>
        <v>0.99860760101943147</v>
      </c>
      <c r="AD147">
        <f t="shared" si="40"/>
        <v>0</v>
      </c>
      <c r="AE147">
        <f t="shared" si="46"/>
        <v>0</v>
      </c>
    </row>
    <row r="148" spans="1:31" x14ac:dyDescent="0.2">
      <c r="A148" s="2">
        <f t="shared" si="47"/>
        <v>47269</v>
      </c>
      <c r="B148">
        <f t="shared" si="41"/>
        <v>217</v>
      </c>
      <c r="C148">
        <f t="shared" si="33"/>
        <v>18</v>
      </c>
      <c r="D148">
        <f t="shared" si="34"/>
        <v>1</v>
      </c>
      <c r="E148">
        <f t="shared" si="35"/>
        <v>73</v>
      </c>
      <c r="F148">
        <f t="shared" si="36"/>
        <v>65</v>
      </c>
      <c r="G148">
        <f>IF(C148&gt;=$L$2,0,VLOOKUP($E148,'Mortality Table'!$A$3:$C$128,2+H$2,FALSE))</f>
        <v>0</v>
      </c>
      <c r="H148">
        <f>IF(C148&gt;=$L$2,0,VLOOKUP($E148,'Mortality Table'!$A$3:$C$128,2+I$2,FALSE))</f>
        <v>0</v>
      </c>
      <c r="I148" s="17">
        <f>G148*Assumptions!$B$1</f>
        <v>0</v>
      </c>
      <c r="J148" s="17">
        <f>H148*Assumptions!$B$1</f>
        <v>0</v>
      </c>
      <c r="K148">
        <f t="shared" si="37"/>
        <v>0</v>
      </c>
      <c r="L148">
        <f t="shared" si="42"/>
        <v>0</v>
      </c>
      <c r="M148">
        <f>HLOOKUP(C148,Assumptions!$A$6:$J$7,2,TRUE)</f>
        <v>2.6499999999999999E-2</v>
      </c>
      <c r="N148" s="23">
        <f t="shared" si="32"/>
        <v>0</v>
      </c>
      <c r="O148" s="23">
        <f t="shared" si="38"/>
        <v>0</v>
      </c>
      <c r="P148">
        <f t="shared" si="43"/>
        <v>0</v>
      </c>
      <c r="Q148" s="23">
        <f t="shared" si="39"/>
        <v>0</v>
      </c>
      <c r="R148">
        <f>Q147*Assumptions!$B$11/$E$2*N148</f>
        <v>0</v>
      </c>
      <c r="S148">
        <f>Q147*Assumptions!$B$13/$E$2*N148</f>
        <v>0</v>
      </c>
      <c r="T148">
        <f>L148*Assumptions!$B$15</f>
        <v>0</v>
      </c>
      <c r="U148">
        <f>S148*Assumptions!$B$17</f>
        <v>0</v>
      </c>
      <c r="V148">
        <f>HLOOKUP(B148,Assumptions!$A$26:$D$27,2,TRUE)</f>
        <v>0</v>
      </c>
      <c r="W148">
        <f t="shared" si="44"/>
        <v>0</v>
      </c>
      <c r="X148">
        <f t="shared" si="45"/>
        <v>0</v>
      </c>
      <c r="Y148">
        <f>IF(B148&gt;$M$2,0,IF(X149=0,0,(1-X149)*Assumptions!$B$11/$E$2*(1-Assumptions!$B$30)))</f>
        <v>0</v>
      </c>
      <c r="Z148">
        <f>(R148-S148)*(1-Assumptions!$B$30)-U148+Y147*Q147</f>
        <v>0</v>
      </c>
      <c r="AA148">
        <f>AA147*(1+Assumptions!$B$36)^(1/12)</f>
        <v>1.1203034774066467</v>
      </c>
      <c r="AB148" s="20">
        <f>IF(B148&gt;$M$2,0,AA147*Assumptions!$B$32/12*Q147+Z148*Assumptions!$B$34/12)</f>
        <v>0</v>
      </c>
      <c r="AC148" s="21">
        <f>1/(1+HLOOKUP(YEAR(A148),Assumptions!$A$41:$AL$43,3,TRUE))^(1/12)</f>
        <v>0.99860760101943147</v>
      </c>
      <c r="AD148">
        <f t="shared" si="40"/>
        <v>0</v>
      </c>
      <c r="AE148">
        <f t="shared" si="46"/>
        <v>0</v>
      </c>
    </row>
    <row r="149" spans="1:31" x14ac:dyDescent="0.2">
      <c r="A149" s="2">
        <f t="shared" si="47"/>
        <v>47299</v>
      </c>
      <c r="B149">
        <f t="shared" si="41"/>
        <v>218</v>
      </c>
      <c r="C149">
        <f t="shared" si="33"/>
        <v>18.083333333333332</v>
      </c>
      <c r="D149">
        <f t="shared" si="34"/>
        <v>0</v>
      </c>
      <c r="E149">
        <f t="shared" si="35"/>
        <v>73</v>
      </c>
      <c r="F149">
        <f t="shared" si="36"/>
        <v>65</v>
      </c>
      <c r="G149">
        <f>IF(C149&gt;=$L$2,0,VLOOKUP($E149,'Mortality Table'!$A$3:$C$128,2+H$2,FALSE))</f>
        <v>0</v>
      </c>
      <c r="H149">
        <f>IF(C149&gt;=$L$2,0,VLOOKUP($E149,'Mortality Table'!$A$3:$C$128,2+I$2,FALSE))</f>
        <v>0</v>
      </c>
      <c r="I149" s="17">
        <f>G149*Assumptions!$B$1</f>
        <v>0</v>
      </c>
      <c r="J149" s="17">
        <f>H149*Assumptions!$B$1</f>
        <v>0</v>
      </c>
      <c r="K149">
        <f t="shared" si="37"/>
        <v>0</v>
      </c>
      <c r="L149">
        <f t="shared" si="42"/>
        <v>0</v>
      </c>
      <c r="M149">
        <f>HLOOKUP(C149,Assumptions!$A$6:$J$7,2,TRUE)</f>
        <v>2.6499999999999999E-2</v>
      </c>
      <c r="N149" s="23">
        <f t="shared" si="32"/>
        <v>0</v>
      </c>
      <c r="O149" s="23">
        <f t="shared" si="38"/>
        <v>0</v>
      </c>
      <c r="P149">
        <f t="shared" si="43"/>
        <v>0</v>
      </c>
      <c r="Q149" s="23">
        <f t="shared" si="39"/>
        <v>0</v>
      </c>
      <c r="R149">
        <f>Q148*Assumptions!$B$11/$E$2*N149</f>
        <v>0</v>
      </c>
      <c r="S149">
        <f>Q148*Assumptions!$B$13/$E$2*N149</f>
        <v>0</v>
      </c>
      <c r="T149">
        <f>L149*Assumptions!$B$15</f>
        <v>0</v>
      </c>
      <c r="U149">
        <f>S149*Assumptions!$B$17</f>
        <v>0</v>
      </c>
      <c r="V149">
        <f>HLOOKUP(B149,Assumptions!$A$26:$D$27,2,TRUE)</f>
        <v>0</v>
      </c>
      <c r="W149">
        <f t="shared" si="44"/>
        <v>0</v>
      </c>
      <c r="X149">
        <f t="shared" si="45"/>
        <v>8.3333333333332149E-2</v>
      </c>
      <c r="Y149">
        <f>IF(B149&gt;$M$2,0,IF(X150=0,0,(1-X150)*Assumptions!$B$11/$E$2*(1-Assumptions!$B$30)))</f>
        <v>0</v>
      </c>
      <c r="Z149">
        <f>(R149-S149)*(1-Assumptions!$B$30)-U149+Y148*Q148</f>
        <v>0</v>
      </c>
      <c r="AA149">
        <f>AA148*(1+Assumptions!$B$36)^(1/12)</f>
        <v>1.1212328118407902</v>
      </c>
      <c r="AB149" s="20">
        <f>IF(B149&gt;$M$2,0,AA148*Assumptions!$B$32/12*Q148+Z149*Assumptions!$B$34/12)</f>
        <v>0</v>
      </c>
      <c r="AC149" s="21">
        <f>1/(1+HLOOKUP(YEAR(A149),Assumptions!$A$41:$AL$43,3,TRUE))^(1/12)</f>
        <v>0.99860760101943147</v>
      </c>
      <c r="AD149">
        <f t="shared" si="40"/>
        <v>0</v>
      </c>
      <c r="AE149">
        <f t="shared" si="46"/>
        <v>0</v>
      </c>
    </row>
    <row r="150" spans="1:31" x14ac:dyDescent="0.2">
      <c r="A150" s="2">
        <f t="shared" si="47"/>
        <v>47330</v>
      </c>
      <c r="B150">
        <f t="shared" si="41"/>
        <v>219</v>
      </c>
      <c r="C150">
        <f t="shared" si="33"/>
        <v>18.166666666666668</v>
      </c>
      <c r="D150">
        <f t="shared" si="34"/>
        <v>0</v>
      </c>
      <c r="E150">
        <f t="shared" si="35"/>
        <v>73</v>
      </c>
      <c r="F150">
        <f t="shared" si="36"/>
        <v>65</v>
      </c>
      <c r="G150">
        <f>IF(C150&gt;=$L$2,0,VLOOKUP($E150,'Mortality Table'!$A$3:$C$128,2+H$2,FALSE))</f>
        <v>0</v>
      </c>
      <c r="H150">
        <f>IF(C150&gt;=$L$2,0,VLOOKUP($E150,'Mortality Table'!$A$3:$C$128,2+I$2,FALSE))</f>
        <v>0</v>
      </c>
      <c r="I150" s="17">
        <f>G150*Assumptions!$B$1</f>
        <v>0</v>
      </c>
      <c r="J150" s="17">
        <f>H150*Assumptions!$B$1</f>
        <v>0</v>
      </c>
      <c r="K150">
        <f t="shared" si="37"/>
        <v>0</v>
      </c>
      <c r="L150">
        <f t="shared" si="42"/>
        <v>0</v>
      </c>
      <c r="M150">
        <f>HLOOKUP(C150,Assumptions!$A$6:$J$7,2,TRUE)</f>
        <v>2.6499999999999999E-2</v>
      </c>
      <c r="N150" s="23">
        <f t="shared" si="32"/>
        <v>0</v>
      </c>
      <c r="O150" s="23">
        <f t="shared" si="38"/>
        <v>0</v>
      </c>
      <c r="P150">
        <f t="shared" si="43"/>
        <v>0</v>
      </c>
      <c r="Q150" s="23">
        <f t="shared" si="39"/>
        <v>0</v>
      </c>
      <c r="R150">
        <f>Q149*Assumptions!$B$11/$E$2*N150</f>
        <v>0</v>
      </c>
      <c r="S150">
        <f>Q149*Assumptions!$B$13/$E$2*N150</f>
        <v>0</v>
      </c>
      <c r="T150">
        <f>L150*Assumptions!$B$15</f>
        <v>0</v>
      </c>
      <c r="U150">
        <f>S150*Assumptions!$B$17</f>
        <v>0</v>
      </c>
      <c r="V150">
        <f>HLOOKUP(B150,Assumptions!$A$26:$D$27,2,TRUE)</f>
        <v>0</v>
      </c>
      <c r="W150">
        <f t="shared" si="44"/>
        <v>0</v>
      </c>
      <c r="X150">
        <f t="shared" si="45"/>
        <v>0.16666666666666785</v>
      </c>
      <c r="Y150">
        <f>IF(B150&gt;$M$2,0,IF(X151=0,0,(1-X151)*Assumptions!$B$11/$E$2*(1-Assumptions!$B$30)))</f>
        <v>0</v>
      </c>
      <c r="Z150">
        <f>(R150-S150)*(1-Assumptions!$B$30)-U150+Y149*Q149</f>
        <v>0</v>
      </c>
      <c r="AA150">
        <f>AA149*(1+Assumptions!$B$36)^(1/12)</f>
        <v>1.1221629171932677</v>
      </c>
      <c r="AB150" s="20">
        <f>IF(B150&gt;$M$2,0,AA149*Assumptions!$B$32/12*Q149+Z150*Assumptions!$B$34/12)</f>
        <v>0</v>
      </c>
      <c r="AC150" s="21">
        <f>1/(1+HLOOKUP(YEAR(A150),Assumptions!$A$41:$AL$43,3,TRUE))^(1/12)</f>
        <v>0.99860760101943147</v>
      </c>
      <c r="AD150">
        <f t="shared" si="40"/>
        <v>0</v>
      </c>
      <c r="AE150">
        <f t="shared" si="46"/>
        <v>0</v>
      </c>
    </row>
    <row r="151" spans="1:31" x14ac:dyDescent="0.2">
      <c r="A151" s="2">
        <f t="shared" si="47"/>
        <v>47361</v>
      </c>
      <c r="B151">
        <f t="shared" si="41"/>
        <v>220</v>
      </c>
      <c r="C151">
        <f t="shared" si="33"/>
        <v>18.25</v>
      </c>
      <c r="D151">
        <f t="shared" si="34"/>
        <v>0</v>
      </c>
      <c r="E151">
        <f t="shared" si="35"/>
        <v>73</v>
      </c>
      <c r="F151">
        <f t="shared" si="36"/>
        <v>65</v>
      </c>
      <c r="G151">
        <f>IF(C151&gt;=$L$2,0,VLOOKUP($E151,'Mortality Table'!$A$3:$C$128,2+H$2,FALSE))</f>
        <v>0</v>
      </c>
      <c r="H151">
        <f>IF(C151&gt;=$L$2,0,VLOOKUP($E151,'Mortality Table'!$A$3:$C$128,2+I$2,FALSE))</f>
        <v>0</v>
      </c>
      <c r="I151" s="17">
        <f>G151*Assumptions!$B$1</f>
        <v>0</v>
      </c>
      <c r="J151" s="17">
        <f>H151*Assumptions!$B$1</f>
        <v>0</v>
      </c>
      <c r="K151">
        <f t="shared" si="37"/>
        <v>0</v>
      </c>
      <c r="L151">
        <f t="shared" si="42"/>
        <v>0</v>
      </c>
      <c r="M151">
        <f>HLOOKUP(C151,Assumptions!$A$6:$J$7,2,TRUE)</f>
        <v>2.6499999999999999E-2</v>
      </c>
      <c r="N151" s="23">
        <f t="shared" si="32"/>
        <v>0</v>
      </c>
      <c r="O151" s="23">
        <f t="shared" si="38"/>
        <v>0</v>
      </c>
      <c r="P151">
        <f t="shared" si="43"/>
        <v>0</v>
      </c>
      <c r="Q151" s="23">
        <f t="shared" si="39"/>
        <v>0</v>
      </c>
      <c r="R151">
        <f>Q150*Assumptions!$B$11/$E$2*N151</f>
        <v>0</v>
      </c>
      <c r="S151">
        <f>Q150*Assumptions!$B$13/$E$2*N151</f>
        <v>0</v>
      </c>
      <c r="T151">
        <f>L151*Assumptions!$B$15</f>
        <v>0</v>
      </c>
      <c r="U151">
        <f>S151*Assumptions!$B$17</f>
        <v>0</v>
      </c>
      <c r="V151">
        <f>HLOOKUP(B151,Assumptions!$A$26:$D$27,2,TRUE)</f>
        <v>0</v>
      </c>
      <c r="W151">
        <f t="shared" si="44"/>
        <v>0</v>
      </c>
      <c r="X151">
        <f t="shared" si="45"/>
        <v>0.25</v>
      </c>
      <c r="Y151">
        <f>IF(B151&gt;$M$2,0,IF(X152=0,0,(1-X152)*Assumptions!$B$11/$E$2*(1-Assumptions!$B$30)))</f>
        <v>0</v>
      </c>
      <c r="Z151">
        <f>(R151-S151)*(1-Assumptions!$B$30)-U151+Y150*Q150</f>
        <v>0</v>
      </c>
      <c r="AA151">
        <f>AA150*(1+Assumptions!$B$36)^(1/12)</f>
        <v>1.1230937941035855</v>
      </c>
      <c r="AB151" s="20">
        <f>IF(B151&gt;$M$2,0,AA150*Assumptions!$B$32/12*Q150+Z151*Assumptions!$B$34/12)</f>
        <v>0</v>
      </c>
      <c r="AC151" s="21">
        <f>1/(1+HLOOKUP(YEAR(A151),Assumptions!$A$41:$AL$43,3,TRUE))^(1/12)</f>
        <v>0.99860760101943147</v>
      </c>
      <c r="AD151">
        <f t="shared" si="40"/>
        <v>0</v>
      </c>
      <c r="AE151">
        <f t="shared" si="46"/>
        <v>0</v>
      </c>
    </row>
    <row r="152" spans="1:31" x14ac:dyDescent="0.2">
      <c r="A152" s="2">
        <f t="shared" si="47"/>
        <v>47391</v>
      </c>
      <c r="B152">
        <f t="shared" si="41"/>
        <v>221</v>
      </c>
      <c r="C152">
        <f t="shared" si="33"/>
        <v>18.333333333333332</v>
      </c>
      <c r="D152">
        <f t="shared" si="34"/>
        <v>0</v>
      </c>
      <c r="E152">
        <f t="shared" si="35"/>
        <v>73</v>
      </c>
      <c r="F152">
        <f t="shared" si="36"/>
        <v>65</v>
      </c>
      <c r="G152">
        <f>IF(C152&gt;=$L$2,0,VLOOKUP($E152,'Mortality Table'!$A$3:$C$128,2+H$2,FALSE))</f>
        <v>0</v>
      </c>
      <c r="H152">
        <f>IF(C152&gt;=$L$2,0,VLOOKUP($E152,'Mortality Table'!$A$3:$C$128,2+I$2,FALSE))</f>
        <v>0</v>
      </c>
      <c r="I152" s="17">
        <f>G152*Assumptions!$B$1</f>
        <v>0</v>
      </c>
      <c r="J152" s="17">
        <f>H152*Assumptions!$B$1</f>
        <v>0</v>
      </c>
      <c r="K152">
        <f t="shared" si="37"/>
        <v>0</v>
      </c>
      <c r="L152">
        <f t="shared" si="42"/>
        <v>0</v>
      </c>
      <c r="M152">
        <f>HLOOKUP(C152,Assumptions!$A$6:$J$7,2,TRUE)</f>
        <v>2.6499999999999999E-2</v>
      </c>
      <c r="N152" s="23">
        <f t="shared" si="32"/>
        <v>0</v>
      </c>
      <c r="O152" s="23">
        <f t="shared" si="38"/>
        <v>0</v>
      </c>
      <c r="P152">
        <f t="shared" si="43"/>
        <v>0</v>
      </c>
      <c r="Q152" s="23">
        <f t="shared" si="39"/>
        <v>0</v>
      </c>
      <c r="R152">
        <f>Q151*Assumptions!$B$11/$E$2*N152</f>
        <v>0</v>
      </c>
      <c r="S152">
        <f>Q151*Assumptions!$B$13/$E$2*N152</f>
        <v>0</v>
      </c>
      <c r="T152">
        <f>L152*Assumptions!$B$15</f>
        <v>0</v>
      </c>
      <c r="U152">
        <f>S152*Assumptions!$B$17</f>
        <v>0</v>
      </c>
      <c r="V152">
        <f>HLOOKUP(B152,Assumptions!$A$26:$D$27,2,TRUE)</f>
        <v>0</v>
      </c>
      <c r="W152">
        <f t="shared" si="44"/>
        <v>0</v>
      </c>
      <c r="X152">
        <f t="shared" si="45"/>
        <v>0.33333333333333215</v>
      </c>
      <c r="Y152">
        <f>IF(B152&gt;$M$2,0,IF(X153=0,0,(1-X153)*Assumptions!$B$11/$E$2*(1-Assumptions!$B$30)))</f>
        <v>0</v>
      </c>
      <c r="Z152">
        <f>(R152-S152)*(1-Assumptions!$B$30)-U152+Y151*Q151</f>
        <v>0</v>
      </c>
      <c r="AA152">
        <f>AA151*(1+Assumptions!$B$36)^(1/12)</f>
        <v>1.12402544321178</v>
      </c>
      <c r="AB152" s="20">
        <f>IF(B152&gt;$M$2,0,AA151*Assumptions!$B$32/12*Q151+Z152*Assumptions!$B$34/12)</f>
        <v>0</v>
      </c>
      <c r="AC152" s="21">
        <f>1/(1+HLOOKUP(YEAR(A152),Assumptions!$A$41:$AL$43,3,TRUE))^(1/12)</f>
        <v>0.99860760101943147</v>
      </c>
      <c r="AD152">
        <f t="shared" si="40"/>
        <v>0</v>
      </c>
      <c r="AE152">
        <f t="shared" si="46"/>
        <v>0</v>
      </c>
    </row>
    <row r="153" spans="1:31" x14ac:dyDescent="0.2">
      <c r="A153" s="2">
        <f t="shared" si="47"/>
        <v>47422</v>
      </c>
      <c r="B153">
        <f t="shared" si="41"/>
        <v>222</v>
      </c>
      <c r="C153">
        <f t="shared" si="33"/>
        <v>18.416666666666668</v>
      </c>
      <c r="D153">
        <f t="shared" si="34"/>
        <v>0</v>
      </c>
      <c r="E153">
        <f t="shared" si="35"/>
        <v>73</v>
      </c>
      <c r="F153">
        <f t="shared" si="36"/>
        <v>65</v>
      </c>
      <c r="G153">
        <f>IF(C153&gt;=$L$2,0,VLOOKUP($E153,'Mortality Table'!$A$3:$C$128,2+H$2,FALSE))</f>
        <v>0</v>
      </c>
      <c r="H153">
        <f>IF(C153&gt;=$L$2,0,VLOOKUP($E153,'Mortality Table'!$A$3:$C$128,2+I$2,FALSE))</f>
        <v>0</v>
      </c>
      <c r="I153" s="17">
        <f>G153*Assumptions!$B$1</f>
        <v>0</v>
      </c>
      <c r="J153" s="17">
        <f>H153*Assumptions!$B$1</f>
        <v>0</v>
      </c>
      <c r="K153">
        <f t="shared" si="37"/>
        <v>0</v>
      </c>
      <c r="L153">
        <f t="shared" si="42"/>
        <v>0</v>
      </c>
      <c r="M153">
        <f>HLOOKUP(C153,Assumptions!$A$6:$J$7,2,TRUE)</f>
        <v>2.6499999999999999E-2</v>
      </c>
      <c r="N153" s="23">
        <f t="shared" si="32"/>
        <v>0</v>
      </c>
      <c r="O153" s="23">
        <f t="shared" si="38"/>
        <v>0</v>
      </c>
      <c r="P153">
        <f t="shared" si="43"/>
        <v>0</v>
      </c>
      <c r="Q153" s="23">
        <f t="shared" si="39"/>
        <v>0</v>
      </c>
      <c r="R153">
        <f>Q152*Assumptions!$B$11/$E$2*N153</f>
        <v>0</v>
      </c>
      <c r="S153">
        <f>Q152*Assumptions!$B$13/$E$2*N153</f>
        <v>0</v>
      </c>
      <c r="T153">
        <f>L153*Assumptions!$B$15</f>
        <v>0</v>
      </c>
      <c r="U153">
        <f>S153*Assumptions!$B$17</f>
        <v>0</v>
      </c>
      <c r="V153">
        <f>HLOOKUP(B153,Assumptions!$A$26:$D$27,2,TRUE)</f>
        <v>0</v>
      </c>
      <c r="W153">
        <f t="shared" si="44"/>
        <v>0</v>
      </c>
      <c r="X153">
        <f t="shared" si="45"/>
        <v>0.41666666666666785</v>
      </c>
      <c r="Y153">
        <f>IF(B153&gt;$M$2,0,IF(X154=0,0,(1-X154)*Assumptions!$B$11/$E$2*(1-Assumptions!$B$30)))</f>
        <v>0</v>
      </c>
      <c r="Z153">
        <f>(R153-S153)*(1-Assumptions!$B$30)-U153+Y152*Q152</f>
        <v>0</v>
      </c>
      <c r="AA153">
        <f>AA152*(1+Assumptions!$B$36)^(1/12)</f>
        <v>1.1249578651584191</v>
      </c>
      <c r="AB153" s="20">
        <f>IF(B153&gt;$M$2,0,AA152*Assumptions!$B$32/12*Q152+Z153*Assumptions!$B$34/12)</f>
        <v>0</v>
      </c>
      <c r="AC153" s="21">
        <f>1/(1+HLOOKUP(YEAR(A153),Assumptions!$A$41:$AL$43,3,TRUE))^(1/12)</f>
        <v>0.99860760101943147</v>
      </c>
      <c r="AD153">
        <f t="shared" si="40"/>
        <v>0</v>
      </c>
      <c r="AE153">
        <f t="shared" si="46"/>
        <v>0</v>
      </c>
    </row>
    <row r="154" spans="1:31" x14ac:dyDescent="0.2">
      <c r="A154" s="2">
        <f t="shared" si="47"/>
        <v>47452</v>
      </c>
      <c r="B154">
        <f t="shared" si="41"/>
        <v>223</v>
      </c>
      <c r="C154">
        <f t="shared" si="33"/>
        <v>18.5</v>
      </c>
      <c r="D154">
        <f t="shared" si="34"/>
        <v>0</v>
      </c>
      <c r="E154">
        <f t="shared" si="35"/>
        <v>73</v>
      </c>
      <c r="F154">
        <f t="shared" si="36"/>
        <v>65</v>
      </c>
      <c r="G154">
        <f>IF(C154&gt;=$L$2,0,VLOOKUP($E154,'Mortality Table'!$A$3:$C$128,2+H$2,FALSE))</f>
        <v>0</v>
      </c>
      <c r="H154">
        <f>IF(C154&gt;=$L$2,0,VLOOKUP($E154,'Mortality Table'!$A$3:$C$128,2+I$2,FALSE))</f>
        <v>0</v>
      </c>
      <c r="I154" s="17">
        <f>G154*Assumptions!$B$1</f>
        <v>0</v>
      </c>
      <c r="J154" s="17">
        <f>H154*Assumptions!$B$1</f>
        <v>0</v>
      </c>
      <c r="K154">
        <f t="shared" si="37"/>
        <v>0</v>
      </c>
      <c r="L154">
        <f t="shared" si="42"/>
        <v>0</v>
      </c>
      <c r="M154">
        <f>HLOOKUP(C154,Assumptions!$A$6:$J$7,2,TRUE)</f>
        <v>2.6499999999999999E-2</v>
      </c>
      <c r="N154" s="23">
        <f t="shared" si="32"/>
        <v>0</v>
      </c>
      <c r="O154" s="23">
        <f t="shared" si="38"/>
        <v>0</v>
      </c>
      <c r="P154">
        <f t="shared" si="43"/>
        <v>0</v>
      </c>
      <c r="Q154" s="23">
        <f t="shared" si="39"/>
        <v>0</v>
      </c>
      <c r="R154">
        <f>Q153*Assumptions!$B$11/$E$2*N154</f>
        <v>0</v>
      </c>
      <c r="S154">
        <f>Q153*Assumptions!$B$13/$E$2*N154</f>
        <v>0</v>
      </c>
      <c r="T154">
        <f>L154*Assumptions!$B$15</f>
        <v>0</v>
      </c>
      <c r="U154">
        <f>S154*Assumptions!$B$17</f>
        <v>0</v>
      </c>
      <c r="V154">
        <f>HLOOKUP(B154,Assumptions!$A$26:$D$27,2,TRUE)</f>
        <v>0</v>
      </c>
      <c r="W154">
        <f t="shared" si="44"/>
        <v>0</v>
      </c>
      <c r="X154">
        <f t="shared" si="45"/>
        <v>0.5</v>
      </c>
      <c r="Y154">
        <f>IF(B154&gt;$M$2,0,IF(X155=0,0,(1-X155)*Assumptions!$B$11/$E$2*(1-Assumptions!$B$30)))</f>
        <v>0</v>
      </c>
      <c r="Z154">
        <f>(R154-S154)*(1-Assumptions!$B$30)-U154+Y153*Q153</f>
        <v>0</v>
      </c>
      <c r="AA154">
        <f>AA153*(1+Assumptions!$B$36)^(1/12)</f>
        <v>1.1258910605846015</v>
      </c>
      <c r="AB154" s="20">
        <f>IF(B154&gt;$M$2,0,AA153*Assumptions!$B$32/12*Q153+Z154*Assumptions!$B$34/12)</f>
        <v>0</v>
      </c>
      <c r="AC154" s="21">
        <f>1/(1+HLOOKUP(YEAR(A154),Assumptions!$A$41:$AL$43,3,TRUE))^(1/12)</f>
        <v>0.99860760101943147</v>
      </c>
      <c r="AD154">
        <f t="shared" si="40"/>
        <v>0</v>
      </c>
      <c r="AE154">
        <f t="shared" si="46"/>
        <v>0</v>
      </c>
    </row>
    <row r="155" spans="1:31" x14ac:dyDescent="0.2">
      <c r="A155" s="2">
        <f t="shared" si="47"/>
        <v>47483</v>
      </c>
      <c r="B155">
        <f t="shared" si="41"/>
        <v>224</v>
      </c>
      <c r="C155">
        <f t="shared" si="33"/>
        <v>18.583333333333332</v>
      </c>
      <c r="D155">
        <f t="shared" si="34"/>
        <v>0</v>
      </c>
      <c r="E155">
        <f t="shared" si="35"/>
        <v>73</v>
      </c>
      <c r="F155">
        <f t="shared" si="36"/>
        <v>65</v>
      </c>
      <c r="G155">
        <f>IF(C155&gt;=$L$2,0,VLOOKUP($E155,'Mortality Table'!$A$3:$C$128,2+H$2,FALSE))</f>
        <v>0</v>
      </c>
      <c r="H155">
        <f>IF(C155&gt;=$L$2,0,VLOOKUP($E155,'Mortality Table'!$A$3:$C$128,2+I$2,FALSE))</f>
        <v>0</v>
      </c>
      <c r="I155" s="17">
        <f>G155*Assumptions!$B$1</f>
        <v>0</v>
      </c>
      <c r="J155" s="17">
        <f>H155*Assumptions!$B$1</f>
        <v>0</v>
      </c>
      <c r="K155">
        <f t="shared" si="37"/>
        <v>0</v>
      </c>
      <c r="L155">
        <f t="shared" si="42"/>
        <v>0</v>
      </c>
      <c r="M155">
        <f>HLOOKUP(C155,Assumptions!$A$6:$J$7,2,TRUE)</f>
        <v>2.6499999999999999E-2</v>
      </c>
      <c r="N155" s="23">
        <f t="shared" si="32"/>
        <v>0</v>
      </c>
      <c r="O155" s="23">
        <f t="shared" si="38"/>
        <v>0</v>
      </c>
      <c r="P155">
        <f t="shared" si="43"/>
        <v>0</v>
      </c>
      <c r="Q155" s="23">
        <f t="shared" si="39"/>
        <v>0</v>
      </c>
      <c r="R155">
        <f>Q154*Assumptions!$B$11/$E$2*N155</f>
        <v>0</v>
      </c>
      <c r="S155">
        <f>Q154*Assumptions!$B$13/$E$2*N155</f>
        <v>0</v>
      </c>
      <c r="T155">
        <f>L155*Assumptions!$B$15</f>
        <v>0</v>
      </c>
      <c r="U155">
        <f>S155*Assumptions!$B$17</f>
        <v>0</v>
      </c>
      <c r="V155">
        <f>HLOOKUP(B155,Assumptions!$A$26:$D$27,2,TRUE)</f>
        <v>0</v>
      </c>
      <c r="W155">
        <f t="shared" si="44"/>
        <v>0</v>
      </c>
      <c r="X155">
        <f t="shared" si="45"/>
        <v>0.58333333333333215</v>
      </c>
      <c r="Y155">
        <f>IF(B155&gt;$M$2,0,IF(X156=0,0,(1-X156)*Assumptions!$B$11/$E$2*(1-Assumptions!$B$30)))</f>
        <v>0</v>
      </c>
      <c r="Z155">
        <f>(R155-S155)*(1-Assumptions!$B$30)-U155+Y154*Q154</f>
        <v>0</v>
      </c>
      <c r="AA155">
        <f>AA154*(1+Assumptions!$B$36)^(1/12)</f>
        <v>1.126825030131958</v>
      </c>
      <c r="AB155" s="20">
        <f>IF(B155&gt;$M$2,0,AA154*Assumptions!$B$32/12*Q154+Z155*Assumptions!$B$34/12)</f>
        <v>0</v>
      </c>
      <c r="AC155" s="21">
        <f>1/(1+HLOOKUP(YEAR(A155),Assumptions!$A$41:$AL$43,3,TRUE))^(1/12)</f>
        <v>0.99860760101943147</v>
      </c>
      <c r="AD155">
        <f t="shared" si="40"/>
        <v>0</v>
      </c>
      <c r="AE155">
        <f t="shared" si="46"/>
        <v>0</v>
      </c>
    </row>
    <row r="156" spans="1:31" x14ac:dyDescent="0.2">
      <c r="A156" s="2">
        <f t="shared" si="47"/>
        <v>47514</v>
      </c>
      <c r="B156">
        <f t="shared" si="41"/>
        <v>225</v>
      </c>
      <c r="C156">
        <f t="shared" si="33"/>
        <v>18.666666666666668</v>
      </c>
      <c r="D156">
        <f t="shared" si="34"/>
        <v>0</v>
      </c>
      <c r="E156">
        <f t="shared" si="35"/>
        <v>73</v>
      </c>
      <c r="F156">
        <f t="shared" si="36"/>
        <v>65</v>
      </c>
      <c r="G156">
        <f>IF(C156&gt;=$L$2,0,VLOOKUP($E156,'Mortality Table'!$A$3:$C$128,2+H$2,FALSE))</f>
        <v>0</v>
      </c>
      <c r="H156">
        <f>IF(C156&gt;=$L$2,0,VLOOKUP($E156,'Mortality Table'!$A$3:$C$128,2+I$2,FALSE))</f>
        <v>0</v>
      </c>
      <c r="I156" s="17">
        <f>G156*Assumptions!$B$1</f>
        <v>0</v>
      </c>
      <c r="J156" s="17">
        <f>H156*Assumptions!$B$1</f>
        <v>0</v>
      </c>
      <c r="K156">
        <f t="shared" si="37"/>
        <v>0</v>
      </c>
      <c r="L156">
        <f t="shared" si="42"/>
        <v>0</v>
      </c>
      <c r="M156">
        <f>HLOOKUP(C156,Assumptions!$A$6:$J$7,2,TRUE)</f>
        <v>2.6499999999999999E-2</v>
      </c>
      <c r="N156" s="23">
        <f t="shared" si="32"/>
        <v>0</v>
      </c>
      <c r="O156" s="23">
        <f t="shared" si="38"/>
        <v>0</v>
      </c>
      <c r="P156">
        <f t="shared" si="43"/>
        <v>0</v>
      </c>
      <c r="Q156" s="23">
        <f t="shared" si="39"/>
        <v>0</v>
      </c>
      <c r="R156">
        <f>Q155*Assumptions!$B$11/$E$2*N156</f>
        <v>0</v>
      </c>
      <c r="S156">
        <f>Q155*Assumptions!$B$13/$E$2*N156</f>
        <v>0</v>
      </c>
      <c r="T156">
        <f>L156*Assumptions!$B$15</f>
        <v>0</v>
      </c>
      <c r="U156">
        <f>S156*Assumptions!$B$17</f>
        <v>0</v>
      </c>
      <c r="V156">
        <f>HLOOKUP(B156,Assumptions!$A$26:$D$27,2,TRUE)</f>
        <v>0</v>
      </c>
      <c r="W156">
        <f t="shared" si="44"/>
        <v>0</v>
      </c>
      <c r="X156">
        <f t="shared" si="45"/>
        <v>0.66666666666666785</v>
      </c>
      <c r="Y156">
        <f>IF(B156&gt;$M$2,0,IF(X157=0,0,(1-X157)*Assumptions!$B$11/$E$2*(1-Assumptions!$B$30)))</f>
        <v>0</v>
      </c>
      <c r="Z156">
        <f>(R156-S156)*(1-Assumptions!$B$30)-U156+Y155*Q155</f>
        <v>0</v>
      </c>
      <c r="AA156">
        <f>AA155*(1+Assumptions!$B$36)^(1/12)</f>
        <v>1.1277597744426517</v>
      </c>
      <c r="AB156" s="20">
        <f>IF(B156&gt;$M$2,0,AA155*Assumptions!$B$32/12*Q155+Z156*Assumptions!$B$34/12)</f>
        <v>0</v>
      </c>
      <c r="AC156" s="21">
        <f>1/(1+HLOOKUP(YEAR(A156),Assumptions!$A$41:$AL$43,3,TRUE))^(1/12)</f>
        <v>0.9985504179392577</v>
      </c>
      <c r="AD156">
        <f t="shared" si="40"/>
        <v>0</v>
      </c>
      <c r="AE156">
        <f t="shared" si="46"/>
        <v>0</v>
      </c>
    </row>
    <row r="157" spans="1:31" x14ac:dyDescent="0.2">
      <c r="A157" s="2">
        <f t="shared" si="47"/>
        <v>47542</v>
      </c>
      <c r="B157">
        <f t="shared" si="41"/>
        <v>226</v>
      </c>
      <c r="C157">
        <f t="shared" si="33"/>
        <v>18.75</v>
      </c>
      <c r="D157">
        <f t="shared" si="34"/>
        <v>0</v>
      </c>
      <c r="E157">
        <f t="shared" si="35"/>
        <v>73</v>
      </c>
      <c r="F157">
        <f t="shared" si="36"/>
        <v>65</v>
      </c>
      <c r="G157">
        <f>IF(C157&gt;=$L$2,0,VLOOKUP($E157,'Mortality Table'!$A$3:$C$128,2+H$2,FALSE))</f>
        <v>0</v>
      </c>
      <c r="H157">
        <f>IF(C157&gt;=$L$2,0,VLOOKUP($E157,'Mortality Table'!$A$3:$C$128,2+I$2,FALSE))</f>
        <v>0</v>
      </c>
      <c r="I157" s="17">
        <f>G157*Assumptions!$B$1</f>
        <v>0</v>
      </c>
      <c r="J157" s="17">
        <f>H157*Assumptions!$B$1</f>
        <v>0</v>
      </c>
      <c r="K157">
        <f t="shared" si="37"/>
        <v>0</v>
      </c>
      <c r="L157">
        <f t="shared" si="42"/>
        <v>0</v>
      </c>
      <c r="M157">
        <f>HLOOKUP(C157,Assumptions!$A$6:$J$7,2,TRUE)</f>
        <v>2.6499999999999999E-2</v>
      </c>
      <c r="N157" s="23">
        <f t="shared" si="32"/>
        <v>0</v>
      </c>
      <c r="O157" s="23">
        <f t="shared" si="38"/>
        <v>0</v>
      </c>
      <c r="P157">
        <f t="shared" si="43"/>
        <v>0</v>
      </c>
      <c r="Q157" s="23">
        <f t="shared" si="39"/>
        <v>0</v>
      </c>
      <c r="R157">
        <f>Q156*Assumptions!$B$11/$E$2*N157</f>
        <v>0</v>
      </c>
      <c r="S157">
        <f>Q156*Assumptions!$B$13/$E$2*N157</f>
        <v>0</v>
      </c>
      <c r="T157">
        <f>L157*Assumptions!$B$15</f>
        <v>0</v>
      </c>
      <c r="U157">
        <f>S157*Assumptions!$B$17</f>
        <v>0</v>
      </c>
      <c r="V157">
        <f>HLOOKUP(B157,Assumptions!$A$26:$D$27,2,TRUE)</f>
        <v>0</v>
      </c>
      <c r="W157">
        <f t="shared" si="44"/>
        <v>0</v>
      </c>
      <c r="X157">
        <f t="shared" si="45"/>
        <v>0.75</v>
      </c>
      <c r="Y157">
        <f>IF(B157&gt;$M$2,0,IF(X158=0,0,(1-X158)*Assumptions!$B$11/$E$2*(1-Assumptions!$B$30)))</f>
        <v>0</v>
      </c>
      <c r="Z157">
        <f>(R157-S157)*(1-Assumptions!$B$30)-U157+Y156*Q156</f>
        <v>0</v>
      </c>
      <c r="AA157">
        <f>AA156*(1+Assumptions!$B$36)^(1/12)</f>
        <v>1.1286952941593784</v>
      </c>
      <c r="AB157" s="20">
        <f>IF(B157&gt;$M$2,0,AA156*Assumptions!$B$32/12*Q156+Z157*Assumptions!$B$34/12)</f>
        <v>0</v>
      </c>
      <c r="AC157" s="21">
        <f>1/(1+HLOOKUP(YEAR(A157),Assumptions!$A$41:$AL$43,3,TRUE))^(1/12)</f>
        <v>0.9985504179392577</v>
      </c>
      <c r="AD157">
        <f t="shared" si="40"/>
        <v>0</v>
      </c>
      <c r="AE157">
        <f t="shared" si="46"/>
        <v>0</v>
      </c>
    </row>
    <row r="158" spans="1:31" x14ac:dyDescent="0.2">
      <c r="A158" s="2">
        <f t="shared" si="47"/>
        <v>47573</v>
      </c>
      <c r="B158">
        <f t="shared" si="41"/>
        <v>227</v>
      </c>
      <c r="C158">
        <f t="shared" si="33"/>
        <v>18.833333333333332</v>
      </c>
      <c r="D158">
        <f t="shared" si="34"/>
        <v>0</v>
      </c>
      <c r="E158">
        <f t="shared" si="35"/>
        <v>73</v>
      </c>
      <c r="F158">
        <f t="shared" si="36"/>
        <v>65</v>
      </c>
      <c r="G158">
        <f>IF(C158&gt;=$L$2,0,VLOOKUP($E158,'Mortality Table'!$A$3:$C$128,2+H$2,FALSE))</f>
        <v>0</v>
      </c>
      <c r="H158">
        <f>IF(C158&gt;=$L$2,0,VLOOKUP($E158,'Mortality Table'!$A$3:$C$128,2+I$2,FALSE))</f>
        <v>0</v>
      </c>
      <c r="I158" s="17">
        <f>G158*Assumptions!$B$1</f>
        <v>0</v>
      </c>
      <c r="J158" s="17">
        <f>H158*Assumptions!$B$1</f>
        <v>0</v>
      </c>
      <c r="K158">
        <f t="shared" si="37"/>
        <v>0</v>
      </c>
      <c r="L158">
        <f t="shared" si="42"/>
        <v>0</v>
      </c>
      <c r="M158">
        <f>HLOOKUP(C158,Assumptions!$A$6:$J$7,2,TRUE)</f>
        <v>2.6499999999999999E-2</v>
      </c>
      <c r="N158" s="23">
        <f t="shared" si="32"/>
        <v>0</v>
      </c>
      <c r="O158" s="23">
        <f t="shared" si="38"/>
        <v>0</v>
      </c>
      <c r="P158">
        <f t="shared" si="43"/>
        <v>0</v>
      </c>
      <c r="Q158" s="23">
        <f t="shared" si="39"/>
        <v>0</v>
      </c>
      <c r="R158">
        <f>Q157*Assumptions!$B$11/$E$2*N158</f>
        <v>0</v>
      </c>
      <c r="S158">
        <f>Q157*Assumptions!$B$13/$E$2*N158</f>
        <v>0</v>
      </c>
      <c r="T158">
        <f>L158*Assumptions!$B$15</f>
        <v>0</v>
      </c>
      <c r="U158">
        <f>S158*Assumptions!$B$17</f>
        <v>0</v>
      </c>
      <c r="V158">
        <f>HLOOKUP(B158,Assumptions!$A$26:$D$27,2,TRUE)</f>
        <v>0</v>
      </c>
      <c r="W158">
        <f t="shared" si="44"/>
        <v>0</v>
      </c>
      <c r="X158">
        <f t="shared" si="45"/>
        <v>0.83333333333333215</v>
      </c>
      <c r="Y158">
        <f>IF(B158&gt;$M$2,0,IF(X159=0,0,(1-X159)*Assumptions!$B$11/$E$2*(1-Assumptions!$B$30)))</f>
        <v>0</v>
      </c>
      <c r="Z158">
        <f>(R158-S158)*(1-Assumptions!$B$30)-U158+Y157*Q157</f>
        <v>0</v>
      </c>
      <c r="AA158">
        <f>AA157*(1+Assumptions!$B$36)^(1/12)</f>
        <v>1.1296315899253668</v>
      </c>
      <c r="AB158" s="20">
        <f>IF(B158&gt;$M$2,0,AA157*Assumptions!$B$32/12*Q157+Z158*Assumptions!$B$34/12)</f>
        <v>0</v>
      </c>
      <c r="AC158" s="21">
        <f>1/(1+HLOOKUP(YEAR(A158),Assumptions!$A$41:$AL$43,3,TRUE))^(1/12)</f>
        <v>0.9985504179392577</v>
      </c>
      <c r="AD158">
        <f t="shared" si="40"/>
        <v>0</v>
      </c>
      <c r="AE158">
        <f t="shared" si="46"/>
        <v>0</v>
      </c>
    </row>
    <row r="159" spans="1:31" x14ac:dyDescent="0.2">
      <c r="A159" s="2">
        <f t="shared" si="47"/>
        <v>47603</v>
      </c>
      <c r="B159">
        <f t="shared" si="41"/>
        <v>228</v>
      </c>
      <c r="C159">
        <f t="shared" si="33"/>
        <v>18.916666666666668</v>
      </c>
      <c r="D159">
        <f t="shared" si="34"/>
        <v>0</v>
      </c>
      <c r="E159">
        <f t="shared" si="35"/>
        <v>73</v>
      </c>
      <c r="F159">
        <f t="shared" si="36"/>
        <v>65</v>
      </c>
      <c r="G159">
        <f>IF(C159&gt;=$L$2,0,VLOOKUP($E159,'Mortality Table'!$A$3:$C$128,2+H$2,FALSE))</f>
        <v>0</v>
      </c>
      <c r="H159">
        <f>IF(C159&gt;=$L$2,0,VLOOKUP($E159,'Mortality Table'!$A$3:$C$128,2+I$2,FALSE))</f>
        <v>0</v>
      </c>
      <c r="I159" s="17">
        <f>G159*Assumptions!$B$1</f>
        <v>0</v>
      </c>
      <c r="J159" s="17">
        <f>H159*Assumptions!$B$1</f>
        <v>0</v>
      </c>
      <c r="K159">
        <f t="shared" si="37"/>
        <v>0</v>
      </c>
      <c r="L159">
        <f t="shared" si="42"/>
        <v>0</v>
      </c>
      <c r="M159">
        <f>HLOOKUP(C159,Assumptions!$A$6:$J$7,2,TRUE)</f>
        <v>2.6499999999999999E-2</v>
      </c>
      <c r="N159" s="23">
        <f t="shared" si="32"/>
        <v>0</v>
      </c>
      <c r="O159" s="23">
        <f t="shared" si="38"/>
        <v>0</v>
      </c>
      <c r="P159">
        <f t="shared" si="43"/>
        <v>0</v>
      </c>
      <c r="Q159" s="23">
        <f t="shared" si="39"/>
        <v>0</v>
      </c>
      <c r="R159">
        <f>Q158*Assumptions!$B$11/$E$2*N159</f>
        <v>0</v>
      </c>
      <c r="S159">
        <f>Q158*Assumptions!$B$13/$E$2*N159</f>
        <v>0</v>
      </c>
      <c r="T159">
        <f>L159*Assumptions!$B$15</f>
        <v>0</v>
      </c>
      <c r="U159">
        <f>S159*Assumptions!$B$17</f>
        <v>0</v>
      </c>
      <c r="V159">
        <f>HLOOKUP(B159,Assumptions!$A$26:$D$27,2,TRUE)</f>
        <v>0</v>
      </c>
      <c r="W159">
        <f t="shared" si="44"/>
        <v>0</v>
      </c>
      <c r="X159">
        <f t="shared" si="45"/>
        <v>0.91666666666666785</v>
      </c>
      <c r="Y159">
        <f>IF(B159&gt;$M$2,0,IF(X160=0,0,(1-X160)*Assumptions!$B$11/$E$2*(1-Assumptions!$B$30)))</f>
        <v>0</v>
      </c>
      <c r="Z159">
        <f>(R159-S159)*(1-Assumptions!$B$30)-U159+Y158*Q158</f>
        <v>0</v>
      </c>
      <c r="AA159">
        <f>AA158*(1+Assumptions!$B$36)^(1/12)</f>
        <v>1.1305686623843794</v>
      </c>
      <c r="AB159" s="20">
        <f>IF(B159&gt;$M$2,0,AA158*Assumptions!$B$32/12*Q158+Z159*Assumptions!$B$34/12)</f>
        <v>0</v>
      </c>
      <c r="AC159" s="21">
        <f>1/(1+HLOOKUP(YEAR(A159),Assumptions!$A$41:$AL$43,3,TRUE))^(1/12)</f>
        <v>0.9985504179392577</v>
      </c>
      <c r="AD159">
        <f t="shared" si="40"/>
        <v>0</v>
      </c>
      <c r="AE159">
        <f t="shared" si="46"/>
        <v>0</v>
      </c>
    </row>
    <row r="160" spans="1:31" x14ac:dyDescent="0.2">
      <c r="A160" s="2">
        <f t="shared" si="47"/>
        <v>47634</v>
      </c>
      <c r="B160">
        <f t="shared" si="41"/>
        <v>229</v>
      </c>
      <c r="C160">
        <f t="shared" si="33"/>
        <v>19</v>
      </c>
      <c r="D160">
        <f t="shared" si="34"/>
        <v>1</v>
      </c>
      <c r="E160">
        <f t="shared" si="35"/>
        <v>74</v>
      </c>
      <c r="F160">
        <f t="shared" si="36"/>
        <v>66</v>
      </c>
      <c r="G160">
        <f>IF(C160&gt;=$L$2,0,VLOOKUP($E160,'Mortality Table'!$A$3:$C$128,2+H$2,FALSE))</f>
        <v>0</v>
      </c>
      <c r="H160">
        <f>IF(C160&gt;=$L$2,0,VLOOKUP($E160,'Mortality Table'!$A$3:$C$128,2+I$2,FALSE))</f>
        <v>0</v>
      </c>
      <c r="I160" s="17">
        <f>G160*Assumptions!$B$1</f>
        <v>0</v>
      </c>
      <c r="J160" s="17">
        <f>H160*Assumptions!$B$1</f>
        <v>0</v>
      </c>
      <c r="K160">
        <f t="shared" si="37"/>
        <v>0</v>
      </c>
      <c r="L160">
        <f t="shared" si="42"/>
        <v>0</v>
      </c>
      <c r="M160">
        <f>HLOOKUP(C160,Assumptions!$A$6:$J$7,2,TRUE)</f>
        <v>2.6499999999999999E-2</v>
      </c>
      <c r="N160" s="23">
        <f t="shared" si="32"/>
        <v>0</v>
      </c>
      <c r="O160" s="23">
        <f t="shared" si="38"/>
        <v>0</v>
      </c>
      <c r="P160">
        <f t="shared" si="43"/>
        <v>0</v>
      </c>
      <c r="Q160" s="23">
        <f t="shared" si="39"/>
        <v>0</v>
      </c>
      <c r="R160">
        <f>Q159*Assumptions!$B$11/$E$2*N160</f>
        <v>0</v>
      </c>
      <c r="S160">
        <f>Q159*Assumptions!$B$13/$E$2*N160</f>
        <v>0</v>
      </c>
      <c r="T160">
        <f>L160*Assumptions!$B$15</f>
        <v>0</v>
      </c>
      <c r="U160">
        <f>S160*Assumptions!$B$17</f>
        <v>0</v>
      </c>
      <c r="V160">
        <f>HLOOKUP(B160,Assumptions!$A$26:$D$27,2,TRUE)</f>
        <v>0</v>
      </c>
      <c r="W160">
        <f t="shared" si="44"/>
        <v>0</v>
      </c>
      <c r="X160">
        <f t="shared" si="45"/>
        <v>0</v>
      </c>
      <c r="Y160">
        <f>IF(B160&gt;$M$2,0,IF(X161=0,0,(1-X161)*Assumptions!$B$11/$E$2*(1-Assumptions!$B$30)))</f>
        <v>0</v>
      </c>
      <c r="Z160">
        <f>(R160-S160)*(1-Assumptions!$B$30)-U160+Y159*Q159</f>
        <v>0</v>
      </c>
      <c r="AA160">
        <f>AA159*(1+Assumptions!$B$36)^(1/12)</f>
        <v>1.1315065121807126</v>
      </c>
      <c r="AB160" s="20">
        <f>IF(B160&gt;$M$2,0,AA159*Assumptions!$B$32/12*Q159+Z160*Assumptions!$B$34/12)</f>
        <v>0</v>
      </c>
      <c r="AC160" s="21">
        <f>1/(1+HLOOKUP(YEAR(A160),Assumptions!$A$41:$AL$43,3,TRUE))^(1/12)</f>
        <v>0.9985504179392577</v>
      </c>
      <c r="AD160">
        <f t="shared" si="40"/>
        <v>0</v>
      </c>
      <c r="AE160">
        <f t="shared" si="46"/>
        <v>0</v>
      </c>
    </row>
    <row r="161" spans="1:31" x14ac:dyDescent="0.2">
      <c r="A161" s="2">
        <f t="shared" si="47"/>
        <v>47664</v>
      </c>
      <c r="B161">
        <f t="shared" si="41"/>
        <v>230</v>
      </c>
      <c r="C161">
        <f t="shared" si="33"/>
        <v>19.083333333333332</v>
      </c>
      <c r="D161">
        <f t="shared" si="34"/>
        <v>0</v>
      </c>
      <c r="E161">
        <f t="shared" si="35"/>
        <v>74</v>
      </c>
      <c r="F161">
        <f t="shared" si="36"/>
        <v>66</v>
      </c>
      <c r="G161">
        <f>IF(C161&gt;=$L$2,0,VLOOKUP($E161,'Mortality Table'!$A$3:$C$128,2+H$2,FALSE))</f>
        <v>0</v>
      </c>
      <c r="H161">
        <f>IF(C161&gt;=$L$2,0,VLOOKUP($E161,'Mortality Table'!$A$3:$C$128,2+I$2,FALSE))</f>
        <v>0</v>
      </c>
      <c r="I161" s="17">
        <f>G161*Assumptions!$B$1</f>
        <v>0</v>
      </c>
      <c r="J161" s="17">
        <f>H161*Assumptions!$B$1</f>
        <v>0</v>
      </c>
      <c r="K161">
        <f t="shared" si="37"/>
        <v>0</v>
      </c>
      <c r="L161">
        <f t="shared" si="42"/>
        <v>0</v>
      </c>
      <c r="M161">
        <f>HLOOKUP(C161,Assumptions!$A$6:$J$7,2,TRUE)</f>
        <v>2.6499999999999999E-2</v>
      </c>
      <c r="N161" s="23">
        <f t="shared" si="32"/>
        <v>0</v>
      </c>
      <c r="O161" s="23">
        <f t="shared" si="38"/>
        <v>0</v>
      </c>
      <c r="P161">
        <f t="shared" si="43"/>
        <v>0</v>
      </c>
      <c r="Q161" s="23">
        <f t="shared" si="39"/>
        <v>0</v>
      </c>
      <c r="R161">
        <f>Q160*Assumptions!$B$11/$E$2*N161</f>
        <v>0</v>
      </c>
      <c r="S161">
        <f>Q160*Assumptions!$B$13/$E$2*N161</f>
        <v>0</v>
      </c>
      <c r="T161">
        <f>L161*Assumptions!$B$15</f>
        <v>0</v>
      </c>
      <c r="U161">
        <f>S161*Assumptions!$B$17</f>
        <v>0</v>
      </c>
      <c r="V161">
        <f>HLOOKUP(B161,Assumptions!$A$26:$D$27,2,TRUE)</f>
        <v>0</v>
      </c>
      <c r="W161">
        <f t="shared" si="44"/>
        <v>0</v>
      </c>
      <c r="X161">
        <f t="shared" si="45"/>
        <v>8.3333333333332149E-2</v>
      </c>
      <c r="Y161">
        <f>IF(B161&gt;$M$2,0,IF(X162=0,0,(1-X162)*Assumptions!$B$11/$E$2*(1-Assumptions!$B$30)))</f>
        <v>0</v>
      </c>
      <c r="Z161">
        <f>(R161-S161)*(1-Assumptions!$B$30)-U161+Y160*Q160</f>
        <v>0</v>
      </c>
      <c r="AA161">
        <f>AA160*(1+Assumptions!$B$36)^(1/12)</f>
        <v>1.1324451399591975</v>
      </c>
      <c r="AB161" s="20">
        <f>IF(B161&gt;$M$2,0,AA160*Assumptions!$B$32/12*Q160+Z161*Assumptions!$B$34/12)</f>
        <v>0</v>
      </c>
      <c r="AC161" s="21">
        <f>1/(1+HLOOKUP(YEAR(A161),Assumptions!$A$41:$AL$43,3,TRUE))^(1/12)</f>
        <v>0.9985504179392577</v>
      </c>
      <c r="AD161">
        <f t="shared" si="40"/>
        <v>0</v>
      </c>
      <c r="AE161">
        <f t="shared" si="46"/>
        <v>0</v>
      </c>
    </row>
    <row r="162" spans="1:31" x14ac:dyDescent="0.2">
      <c r="A162" s="2">
        <f t="shared" si="47"/>
        <v>47695</v>
      </c>
      <c r="B162">
        <f t="shared" si="41"/>
        <v>231</v>
      </c>
      <c r="C162">
        <f t="shared" si="33"/>
        <v>19.166666666666668</v>
      </c>
      <c r="D162">
        <f t="shared" si="34"/>
        <v>0</v>
      </c>
      <c r="E162">
        <f t="shared" si="35"/>
        <v>74</v>
      </c>
      <c r="F162">
        <f t="shared" si="36"/>
        <v>66</v>
      </c>
      <c r="G162">
        <f>IF(C162&gt;=$L$2,0,VLOOKUP($E162,'Mortality Table'!$A$3:$C$128,2+H$2,FALSE))</f>
        <v>0</v>
      </c>
      <c r="H162">
        <f>IF(C162&gt;=$L$2,0,VLOOKUP($E162,'Mortality Table'!$A$3:$C$128,2+I$2,FALSE))</f>
        <v>0</v>
      </c>
      <c r="I162" s="17">
        <f>G162*Assumptions!$B$1</f>
        <v>0</v>
      </c>
      <c r="J162" s="17">
        <f>H162*Assumptions!$B$1</f>
        <v>0</v>
      </c>
      <c r="K162">
        <f t="shared" si="37"/>
        <v>0</v>
      </c>
      <c r="L162">
        <f t="shared" si="42"/>
        <v>0</v>
      </c>
      <c r="M162">
        <f>HLOOKUP(C162,Assumptions!$A$6:$J$7,2,TRUE)</f>
        <v>2.6499999999999999E-2</v>
      </c>
      <c r="N162" s="23">
        <f t="shared" si="32"/>
        <v>0</v>
      </c>
      <c r="O162" s="23">
        <f t="shared" si="38"/>
        <v>0</v>
      </c>
      <c r="P162">
        <f t="shared" si="43"/>
        <v>0</v>
      </c>
      <c r="Q162" s="23">
        <f t="shared" si="39"/>
        <v>0</v>
      </c>
      <c r="R162">
        <f>Q161*Assumptions!$B$11/$E$2*N162</f>
        <v>0</v>
      </c>
      <c r="S162">
        <f>Q161*Assumptions!$B$13/$E$2*N162</f>
        <v>0</v>
      </c>
      <c r="T162">
        <f>L162*Assumptions!$B$15</f>
        <v>0</v>
      </c>
      <c r="U162">
        <f>S162*Assumptions!$B$17</f>
        <v>0</v>
      </c>
      <c r="V162">
        <f>HLOOKUP(B162,Assumptions!$A$26:$D$27,2,TRUE)</f>
        <v>0</v>
      </c>
      <c r="W162">
        <f t="shared" si="44"/>
        <v>0</v>
      </c>
      <c r="X162">
        <f t="shared" si="45"/>
        <v>0.16666666666666785</v>
      </c>
      <c r="Y162">
        <f>IF(B162&gt;$M$2,0,IF(X163=0,0,(1-X163)*Assumptions!$B$11/$E$2*(1-Assumptions!$B$30)))</f>
        <v>0</v>
      </c>
      <c r="Z162">
        <f>(R162-S162)*(1-Assumptions!$B$30)-U162+Y161*Q161</f>
        <v>0</v>
      </c>
      <c r="AA162">
        <f>AA161*(1+Assumptions!$B$36)^(1/12)</f>
        <v>1.1333845463651997</v>
      </c>
      <c r="AB162" s="20">
        <f>IF(B162&gt;$M$2,0,AA161*Assumptions!$B$32/12*Q161+Z162*Assumptions!$B$34/12)</f>
        <v>0</v>
      </c>
      <c r="AC162" s="21">
        <f>1/(1+HLOOKUP(YEAR(A162),Assumptions!$A$41:$AL$43,3,TRUE))^(1/12)</f>
        <v>0.9985504179392577</v>
      </c>
      <c r="AD162">
        <f t="shared" si="40"/>
        <v>0</v>
      </c>
      <c r="AE162">
        <f t="shared" si="46"/>
        <v>0</v>
      </c>
    </row>
    <row r="163" spans="1:31" x14ac:dyDescent="0.2">
      <c r="A163" s="2">
        <f t="shared" si="47"/>
        <v>47726</v>
      </c>
      <c r="B163">
        <f t="shared" si="41"/>
        <v>232</v>
      </c>
      <c r="C163">
        <f t="shared" si="33"/>
        <v>19.25</v>
      </c>
      <c r="D163">
        <f t="shared" si="34"/>
        <v>0</v>
      </c>
      <c r="E163">
        <f t="shared" si="35"/>
        <v>74</v>
      </c>
      <c r="F163">
        <f t="shared" si="36"/>
        <v>66</v>
      </c>
      <c r="G163">
        <f>IF(C163&gt;=$L$2,0,VLOOKUP($E163,'Mortality Table'!$A$3:$C$128,2+H$2,FALSE))</f>
        <v>0</v>
      </c>
      <c r="H163">
        <f>IF(C163&gt;=$L$2,0,VLOOKUP($E163,'Mortality Table'!$A$3:$C$128,2+I$2,FALSE))</f>
        <v>0</v>
      </c>
      <c r="I163" s="17">
        <f>G163*Assumptions!$B$1</f>
        <v>0</v>
      </c>
      <c r="J163" s="17">
        <f>H163*Assumptions!$B$1</f>
        <v>0</v>
      </c>
      <c r="K163">
        <f t="shared" si="37"/>
        <v>0</v>
      </c>
      <c r="L163">
        <f t="shared" si="42"/>
        <v>0</v>
      </c>
      <c r="M163">
        <f>HLOOKUP(C163,Assumptions!$A$6:$J$7,2,TRUE)</f>
        <v>2.6499999999999999E-2</v>
      </c>
      <c r="N163" s="23">
        <f t="shared" si="32"/>
        <v>0</v>
      </c>
      <c r="O163" s="23">
        <f t="shared" si="38"/>
        <v>0</v>
      </c>
      <c r="P163">
        <f t="shared" si="43"/>
        <v>0</v>
      </c>
      <c r="Q163" s="23">
        <f t="shared" si="39"/>
        <v>0</v>
      </c>
      <c r="R163">
        <f>Q162*Assumptions!$B$11/$E$2*N163</f>
        <v>0</v>
      </c>
      <c r="S163">
        <f>Q162*Assumptions!$B$13/$E$2*N163</f>
        <v>0</v>
      </c>
      <c r="T163">
        <f>L163*Assumptions!$B$15</f>
        <v>0</v>
      </c>
      <c r="U163">
        <f>S163*Assumptions!$B$17</f>
        <v>0</v>
      </c>
      <c r="V163">
        <f>HLOOKUP(B163,Assumptions!$A$26:$D$27,2,TRUE)</f>
        <v>0</v>
      </c>
      <c r="W163">
        <f t="shared" si="44"/>
        <v>0</v>
      </c>
      <c r="X163">
        <f t="shared" si="45"/>
        <v>0.25</v>
      </c>
      <c r="Y163">
        <f>IF(B163&gt;$M$2,0,IF(X164=0,0,(1-X164)*Assumptions!$B$11/$E$2*(1-Assumptions!$B$30)))</f>
        <v>0</v>
      </c>
      <c r="Z163">
        <f>(R163-S163)*(1-Assumptions!$B$30)-U163+Y162*Q162</f>
        <v>0</v>
      </c>
      <c r="AA163">
        <f>AA162*(1+Assumptions!$B$36)^(1/12)</f>
        <v>1.1343247320446206</v>
      </c>
      <c r="AB163" s="20">
        <f>IF(B163&gt;$M$2,0,AA162*Assumptions!$B$32/12*Q162+Z163*Assumptions!$B$34/12)</f>
        <v>0</v>
      </c>
      <c r="AC163" s="21">
        <f>1/(1+HLOOKUP(YEAR(A163),Assumptions!$A$41:$AL$43,3,TRUE))^(1/12)</f>
        <v>0.9985504179392577</v>
      </c>
      <c r="AD163">
        <f t="shared" si="40"/>
        <v>0</v>
      </c>
      <c r="AE163">
        <f t="shared" si="46"/>
        <v>0</v>
      </c>
    </row>
    <row r="164" spans="1:31" x14ac:dyDescent="0.2">
      <c r="A164" s="2">
        <f t="shared" si="47"/>
        <v>47756</v>
      </c>
      <c r="B164">
        <f t="shared" si="41"/>
        <v>233</v>
      </c>
      <c r="C164">
        <f t="shared" si="33"/>
        <v>19.333333333333332</v>
      </c>
      <c r="D164">
        <f t="shared" si="34"/>
        <v>0</v>
      </c>
      <c r="E164">
        <f t="shared" si="35"/>
        <v>74</v>
      </c>
      <c r="F164">
        <f t="shared" si="36"/>
        <v>66</v>
      </c>
      <c r="G164">
        <f>IF(C164&gt;=$L$2,0,VLOOKUP($E164,'Mortality Table'!$A$3:$C$128,2+H$2,FALSE))</f>
        <v>0</v>
      </c>
      <c r="H164">
        <f>IF(C164&gt;=$L$2,0,VLOOKUP($E164,'Mortality Table'!$A$3:$C$128,2+I$2,FALSE))</f>
        <v>0</v>
      </c>
      <c r="I164" s="17">
        <f>G164*Assumptions!$B$1</f>
        <v>0</v>
      </c>
      <c r="J164" s="17">
        <f>H164*Assumptions!$B$1</f>
        <v>0</v>
      </c>
      <c r="K164">
        <f t="shared" si="37"/>
        <v>0</v>
      </c>
      <c r="L164">
        <f t="shared" si="42"/>
        <v>0</v>
      </c>
      <c r="M164">
        <f>HLOOKUP(C164,Assumptions!$A$6:$J$7,2,TRUE)</f>
        <v>2.6499999999999999E-2</v>
      </c>
      <c r="N164" s="23">
        <f t="shared" si="32"/>
        <v>0</v>
      </c>
      <c r="O164" s="23">
        <f t="shared" si="38"/>
        <v>0</v>
      </c>
      <c r="P164">
        <f t="shared" si="43"/>
        <v>0</v>
      </c>
      <c r="Q164" s="23">
        <f t="shared" si="39"/>
        <v>0</v>
      </c>
      <c r="R164">
        <f>Q163*Assumptions!$B$11/$E$2*N164</f>
        <v>0</v>
      </c>
      <c r="S164">
        <f>Q163*Assumptions!$B$13/$E$2*N164</f>
        <v>0</v>
      </c>
      <c r="T164">
        <f>L164*Assumptions!$B$15</f>
        <v>0</v>
      </c>
      <c r="U164">
        <f>S164*Assumptions!$B$17</f>
        <v>0</v>
      </c>
      <c r="V164">
        <f>HLOOKUP(B164,Assumptions!$A$26:$D$27,2,TRUE)</f>
        <v>0</v>
      </c>
      <c r="W164">
        <f t="shared" si="44"/>
        <v>0</v>
      </c>
      <c r="X164">
        <f t="shared" si="45"/>
        <v>0.33333333333333215</v>
      </c>
      <c r="Y164">
        <f>IF(B164&gt;$M$2,0,IF(X165=0,0,(1-X165)*Assumptions!$B$11/$E$2*(1-Assumptions!$B$30)))</f>
        <v>0</v>
      </c>
      <c r="Z164">
        <f>(R164-S164)*(1-Assumptions!$B$30)-U164+Y163*Q163</f>
        <v>0</v>
      </c>
      <c r="AA164">
        <f>AA163*(1+Assumptions!$B$36)^(1/12)</f>
        <v>1.1352656976438971</v>
      </c>
      <c r="AB164" s="20">
        <f>IF(B164&gt;$M$2,0,AA163*Assumptions!$B$32/12*Q163+Z164*Assumptions!$B$34/12)</f>
        <v>0</v>
      </c>
      <c r="AC164" s="21">
        <f>1/(1+HLOOKUP(YEAR(A164),Assumptions!$A$41:$AL$43,3,TRUE))^(1/12)</f>
        <v>0.9985504179392577</v>
      </c>
      <c r="AD164">
        <f t="shared" si="40"/>
        <v>0</v>
      </c>
      <c r="AE164">
        <f t="shared" si="46"/>
        <v>0</v>
      </c>
    </row>
    <row r="165" spans="1:31" x14ac:dyDescent="0.2">
      <c r="A165" s="2">
        <f t="shared" si="47"/>
        <v>47787</v>
      </c>
      <c r="B165">
        <f t="shared" si="41"/>
        <v>234</v>
      </c>
      <c r="C165">
        <f t="shared" si="33"/>
        <v>19.416666666666668</v>
      </c>
      <c r="D165">
        <f t="shared" si="34"/>
        <v>0</v>
      </c>
      <c r="E165">
        <f t="shared" si="35"/>
        <v>74</v>
      </c>
      <c r="F165">
        <f t="shared" si="36"/>
        <v>66</v>
      </c>
      <c r="G165">
        <f>IF(C165&gt;=$L$2,0,VLOOKUP($E165,'Mortality Table'!$A$3:$C$128,2+H$2,FALSE))</f>
        <v>0</v>
      </c>
      <c r="H165">
        <f>IF(C165&gt;=$L$2,0,VLOOKUP($E165,'Mortality Table'!$A$3:$C$128,2+I$2,FALSE))</f>
        <v>0</v>
      </c>
      <c r="I165" s="17">
        <f>G165*Assumptions!$B$1</f>
        <v>0</v>
      </c>
      <c r="J165" s="17">
        <f>H165*Assumptions!$B$1</f>
        <v>0</v>
      </c>
      <c r="K165">
        <f t="shared" si="37"/>
        <v>0</v>
      </c>
      <c r="L165">
        <f t="shared" si="42"/>
        <v>0</v>
      </c>
      <c r="M165">
        <f>HLOOKUP(C165,Assumptions!$A$6:$J$7,2,TRUE)</f>
        <v>2.6499999999999999E-2</v>
      </c>
      <c r="N165" s="23">
        <f t="shared" si="32"/>
        <v>0</v>
      </c>
      <c r="O165" s="23">
        <f t="shared" si="38"/>
        <v>0</v>
      </c>
      <c r="P165">
        <f t="shared" si="43"/>
        <v>0</v>
      </c>
      <c r="Q165" s="23">
        <f t="shared" si="39"/>
        <v>0</v>
      </c>
      <c r="R165">
        <f>Q164*Assumptions!$B$11/$E$2*N165</f>
        <v>0</v>
      </c>
      <c r="S165">
        <f>Q164*Assumptions!$B$13/$E$2*N165</f>
        <v>0</v>
      </c>
      <c r="T165">
        <f>L165*Assumptions!$B$15</f>
        <v>0</v>
      </c>
      <c r="U165">
        <f>S165*Assumptions!$B$17</f>
        <v>0</v>
      </c>
      <c r="V165">
        <f>HLOOKUP(B165,Assumptions!$A$26:$D$27,2,TRUE)</f>
        <v>0</v>
      </c>
      <c r="W165">
        <f t="shared" si="44"/>
        <v>0</v>
      </c>
      <c r="X165">
        <f t="shared" si="45"/>
        <v>0.41666666666666785</v>
      </c>
      <c r="Y165">
        <f>IF(B165&gt;$M$2,0,IF(X166=0,0,(1-X166)*Assumptions!$B$11/$E$2*(1-Assumptions!$B$30)))</f>
        <v>0</v>
      </c>
      <c r="Z165">
        <f>(R165-S165)*(1-Assumptions!$B$30)-U165+Y164*Q164</f>
        <v>0</v>
      </c>
      <c r="AA165">
        <f>AA164*(1+Assumptions!$B$36)^(1/12)</f>
        <v>1.1362074438100025</v>
      </c>
      <c r="AB165" s="20">
        <f>IF(B165&gt;$M$2,0,AA164*Assumptions!$B$32/12*Q164+Z165*Assumptions!$B$34/12)</f>
        <v>0</v>
      </c>
      <c r="AC165" s="21">
        <f>1/(1+HLOOKUP(YEAR(A165),Assumptions!$A$41:$AL$43,3,TRUE))^(1/12)</f>
        <v>0.9985504179392577</v>
      </c>
      <c r="AD165">
        <f t="shared" si="40"/>
        <v>0</v>
      </c>
      <c r="AE165">
        <f t="shared" si="46"/>
        <v>0</v>
      </c>
    </row>
    <row r="166" spans="1:31" x14ac:dyDescent="0.2">
      <c r="A166" s="2">
        <f t="shared" si="47"/>
        <v>47817</v>
      </c>
      <c r="B166">
        <f t="shared" si="41"/>
        <v>235</v>
      </c>
      <c r="C166">
        <f t="shared" si="33"/>
        <v>19.5</v>
      </c>
      <c r="D166">
        <f t="shared" si="34"/>
        <v>0</v>
      </c>
      <c r="E166">
        <f t="shared" si="35"/>
        <v>74</v>
      </c>
      <c r="F166">
        <f t="shared" si="36"/>
        <v>66</v>
      </c>
      <c r="G166">
        <f>IF(C166&gt;=$L$2,0,VLOOKUP($E166,'Mortality Table'!$A$3:$C$128,2+H$2,FALSE))</f>
        <v>0</v>
      </c>
      <c r="H166">
        <f>IF(C166&gt;=$L$2,0,VLOOKUP($E166,'Mortality Table'!$A$3:$C$128,2+I$2,FALSE))</f>
        <v>0</v>
      </c>
      <c r="I166" s="17">
        <f>G166*Assumptions!$B$1</f>
        <v>0</v>
      </c>
      <c r="J166" s="17">
        <f>H166*Assumptions!$B$1</f>
        <v>0</v>
      </c>
      <c r="K166">
        <f t="shared" si="37"/>
        <v>0</v>
      </c>
      <c r="L166">
        <f t="shared" si="42"/>
        <v>0</v>
      </c>
      <c r="M166">
        <f>HLOOKUP(C166,Assumptions!$A$6:$J$7,2,TRUE)</f>
        <v>2.6499999999999999E-2</v>
      </c>
      <c r="N166" s="23">
        <f t="shared" si="32"/>
        <v>0</v>
      </c>
      <c r="O166" s="23">
        <f t="shared" si="38"/>
        <v>0</v>
      </c>
      <c r="P166">
        <f t="shared" si="43"/>
        <v>0</v>
      </c>
      <c r="Q166" s="23">
        <f t="shared" si="39"/>
        <v>0</v>
      </c>
      <c r="R166">
        <f>Q165*Assumptions!$B$11/$E$2*N166</f>
        <v>0</v>
      </c>
      <c r="S166">
        <f>Q165*Assumptions!$B$13/$E$2*N166</f>
        <v>0</v>
      </c>
      <c r="T166">
        <f>L166*Assumptions!$B$15</f>
        <v>0</v>
      </c>
      <c r="U166">
        <f>S166*Assumptions!$B$17</f>
        <v>0</v>
      </c>
      <c r="V166">
        <f>HLOOKUP(B166,Assumptions!$A$26:$D$27,2,TRUE)</f>
        <v>0</v>
      </c>
      <c r="W166">
        <f t="shared" si="44"/>
        <v>0</v>
      </c>
      <c r="X166">
        <f t="shared" si="45"/>
        <v>0.5</v>
      </c>
      <c r="Y166">
        <f>IF(B166&gt;$M$2,0,IF(X167=0,0,(1-X167)*Assumptions!$B$11/$E$2*(1-Assumptions!$B$30)))</f>
        <v>0</v>
      </c>
      <c r="Z166">
        <f>(R166-S166)*(1-Assumptions!$B$30)-U166+Y165*Q165</f>
        <v>0</v>
      </c>
      <c r="AA166">
        <f>AA165*(1+Assumptions!$B$36)^(1/12)</f>
        <v>1.1371499711904467</v>
      </c>
      <c r="AB166" s="20">
        <f>IF(B166&gt;$M$2,0,AA165*Assumptions!$B$32/12*Q165+Z166*Assumptions!$B$34/12)</f>
        <v>0</v>
      </c>
      <c r="AC166" s="21">
        <f>1/(1+HLOOKUP(YEAR(A166),Assumptions!$A$41:$AL$43,3,TRUE))^(1/12)</f>
        <v>0.9985504179392577</v>
      </c>
      <c r="AD166">
        <f t="shared" si="40"/>
        <v>0</v>
      </c>
      <c r="AE166">
        <f t="shared" si="46"/>
        <v>0</v>
      </c>
    </row>
    <row r="167" spans="1:31" x14ac:dyDescent="0.2">
      <c r="A167" s="2">
        <f t="shared" si="47"/>
        <v>47848</v>
      </c>
      <c r="B167">
        <f t="shared" si="41"/>
        <v>236</v>
      </c>
      <c r="C167">
        <f t="shared" si="33"/>
        <v>19.583333333333332</v>
      </c>
      <c r="D167">
        <f t="shared" si="34"/>
        <v>0</v>
      </c>
      <c r="E167">
        <f t="shared" si="35"/>
        <v>74</v>
      </c>
      <c r="F167">
        <f t="shared" si="36"/>
        <v>66</v>
      </c>
      <c r="G167">
        <f>IF(C167&gt;=$L$2,0,VLOOKUP($E167,'Mortality Table'!$A$3:$C$128,2+H$2,FALSE))</f>
        <v>0</v>
      </c>
      <c r="H167">
        <f>IF(C167&gt;=$L$2,0,VLOOKUP($E167,'Mortality Table'!$A$3:$C$128,2+I$2,FALSE))</f>
        <v>0</v>
      </c>
      <c r="I167" s="17">
        <f>G167*Assumptions!$B$1</f>
        <v>0</v>
      </c>
      <c r="J167" s="17">
        <f>H167*Assumptions!$B$1</f>
        <v>0</v>
      </c>
      <c r="K167">
        <f t="shared" si="37"/>
        <v>0</v>
      </c>
      <c r="L167">
        <f t="shared" si="42"/>
        <v>0</v>
      </c>
      <c r="M167">
        <f>HLOOKUP(C167,Assumptions!$A$6:$J$7,2,TRUE)</f>
        <v>2.6499999999999999E-2</v>
      </c>
      <c r="N167" s="23">
        <f t="shared" si="32"/>
        <v>0</v>
      </c>
      <c r="O167" s="23">
        <f t="shared" si="38"/>
        <v>0</v>
      </c>
      <c r="P167">
        <f t="shared" si="43"/>
        <v>0</v>
      </c>
      <c r="Q167" s="23">
        <f t="shared" si="39"/>
        <v>0</v>
      </c>
      <c r="R167">
        <f>Q166*Assumptions!$B$11/$E$2*N167</f>
        <v>0</v>
      </c>
      <c r="S167">
        <f>Q166*Assumptions!$B$13/$E$2*N167</f>
        <v>0</v>
      </c>
      <c r="T167">
        <f>L167*Assumptions!$B$15</f>
        <v>0</v>
      </c>
      <c r="U167">
        <f>S167*Assumptions!$B$17</f>
        <v>0</v>
      </c>
      <c r="V167">
        <f>HLOOKUP(B167,Assumptions!$A$26:$D$27,2,TRUE)</f>
        <v>0</v>
      </c>
      <c r="W167">
        <f t="shared" si="44"/>
        <v>0</v>
      </c>
      <c r="X167">
        <f t="shared" si="45"/>
        <v>0.58333333333333215</v>
      </c>
      <c r="Y167">
        <f>IF(B167&gt;$M$2,0,IF(X168=0,0,(1-X168)*Assumptions!$B$11/$E$2*(1-Assumptions!$B$30)))</f>
        <v>0</v>
      </c>
      <c r="Z167">
        <f>(R167-S167)*(1-Assumptions!$B$30)-U167+Y166*Q166</f>
        <v>0</v>
      </c>
      <c r="AA167">
        <f>AA166*(1+Assumptions!$B$36)^(1/12)</f>
        <v>1.1380932804332768</v>
      </c>
      <c r="AB167" s="20">
        <f>IF(B167&gt;$M$2,0,AA166*Assumptions!$B$32/12*Q166+Z167*Assumptions!$B$34/12)</f>
        <v>0</v>
      </c>
      <c r="AC167" s="21">
        <f>1/(1+HLOOKUP(YEAR(A167),Assumptions!$A$41:$AL$43,3,TRUE))^(1/12)</f>
        <v>0.9985504179392577</v>
      </c>
      <c r="AD167">
        <f t="shared" si="40"/>
        <v>0</v>
      </c>
      <c r="AE167">
        <f t="shared" si="46"/>
        <v>0</v>
      </c>
    </row>
    <row r="168" spans="1:31" x14ac:dyDescent="0.2">
      <c r="A168" s="2">
        <f t="shared" si="47"/>
        <v>47879</v>
      </c>
      <c r="B168">
        <f t="shared" si="41"/>
        <v>237</v>
      </c>
      <c r="C168">
        <f t="shared" si="33"/>
        <v>19.666666666666668</v>
      </c>
      <c r="D168">
        <f t="shared" si="34"/>
        <v>0</v>
      </c>
      <c r="E168">
        <f t="shared" si="35"/>
        <v>74</v>
      </c>
      <c r="F168">
        <f t="shared" si="36"/>
        <v>66</v>
      </c>
      <c r="G168">
        <f>IF(C168&gt;=$L$2,0,VLOOKUP($E168,'Mortality Table'!$A$3:$C$128,2+H$2,FALSE))</f>
        <v>0</v>
      </c>
      <c r="H168">
        <f>IF(C168&gt;=$L$2,0,VLOOKUP($E168,'Mortality Table'!$A$3:$C$128,2+I$2,FALSE))</f>
        <v>0</v>
      </c>
      <c r="I168" s="17">
        <f>G168*Assumptions!$B$1</f>
        <v>0</v>
      </c>
      <c r="J168" s="17">
        <f>H168*Assumptions!$B$1</f>
        <v>0</v>
      </c>
      <c r="K168">
        <f t="shared" si="37"/>
        <v>0</v>
      </c>
      <c r="L168">
        <f t="shared" si="42"/>
        <v>0</v>
      </c>
      <c r="M168">
        <f>HLOOKUP(C168,Assumptions!$A$6:$J$7,2,TRUE)</f>
        <v>2.6499999999999999E-2</v>
      </c>
      <c r="N168" s="23">
        <f t="shared" si="32"/>
        <v>0</v>
      </c>
      <c r="O168" s="23">
        <f t="shared" si="38"/>
        <v>0</v>
      </c>
      <c r="P168">
        <f t="shared" si="43"/>
        <v>0</v>
      </c>
      <c r="Q168" s="23">
        <f t="shared" si="39"/>
        <v>0</v>
      </c>
      <c r="R168">
        <f>Q167*Assumptions!$B$11/$E$2*N168</f>
        <v>0</v>
      </c>
      <c r="S168">
        <f>Q167*Assumptions!$B$13/$E$2*N168</f>
        <v>0</v>
      </c>
      <c r="T168">
        <f>L168*Assumptions!$B$15</f>
        <v>0</v>
      </c>
      <c r="U168">
        <f>S168*Assumptions!$B$17</f>
        <v>0</v>
      </c>
      <c r="V168">
        <f>HLOOKUP(B168,Assumptions!$A$26:$D$27,2,TRUE)</f>
        <v>0</v>
      </c>
      <c r="W168">
        <f t="shared" si="44"/>
        <v>0</v>
      </c>
      <c r="X168">
        <f t="shared" si="45"/>
        <v>0.66666666666666785</v>
      </c>
      <c r="Y168">
        <f>IF(B168&gt;$M$2,0,IF(X169=0,0,(1-X169)*Assumptions!$B$11/$E$2*(1-Assumptions!$B$30)))</f>
        <v>0</v>
      </c>
      <c r="Z168">
        <f>(R168-S168)*(1-Assumptions!$B$30)-U168+Y167*Q167</f>
        <v>0</v>
      </c>
      <c r="AA168">
        <f>AA167*(1+Assumptions!$B$36)^(1/12)</f>
        <v>1.1390373721870775</v>
      </c>
      <c r="AB168" s="20">
        <f>IF(B168&gt;$M$2,0,AA167*Assumptions!$B$32/12*Q167+Z168*Assumptions!$B$34/12)</f>
        <v>0</v>
      </c>
      <c r="AC168" s="21">
        <f>1/(1+HLOOKUP(YEAR(A168),Assumptions!$A$41:$AL$43,3,TRUE))^(1/12)</f>
        <v>0.9984881294796899</v>
      </c>
      <c r="AD168">
        <f t="shared" si="40"/>
        <v>0</v>
      </c>
      <c r="AE168">
        <f t="shared" si="46"/>
        <v>0</v>
      </c>
    </row>
    <row r="169" spans="1:31" x14ac:dyDescent="0.2">
      <c r="A169" s="2">
        <f t="shared" si="47"/>
        <v>47907</v>
      </c>
      <c r="B169">
        <f t="shared" si="41"/>
        <v>238</v>
      </c>
      <c r="C169">
        <f t="shared" si="33"/>
        <v>19.75</v>
      </c>
      <c r="D169">
        <f t="shared" si="34"/>
        <v>0</v>
      </c>
      <c r="E169">
        <f t="shared" si="35"/>
        <v>74</v>
      </c>
      <c r="F169">
        <f t="shared" si="36"/>
        <v>66</v>
      </c>
      <c r="G169">
        <f>IF(C169&gt;=$L$2,0,VLOOKUP($E169,'Mortality Table'!$A$3:$C$128,2+H$2,FALSE))</f>
        <v>0</v>
      </c>
      <c r="H169">
        <f>IF(C169&gt;=$L$2,0,VLOOKUP($E169,'Mortality Table'!$A$3:$C$128,2+I$2,FALSE))</f>
        <v>0</v>
      </c>
      <c r="I169" s="17">
        <f>G169*Assumptions!$B$1</f>
        <v>0</v>
      </c>
      <c r="J169" s="17">
        <f>H169*Assumptions!$B$1</f>
        <v>0</v>
      </c>
      <c r="K169">
        <f t="shared" si="37"/>
        <v>0</v>
      </c>
      <c r="L169">
        <f t="shared" si="42"/>
        <v>0</v>
      </c>
      <c r="M169">
        <f>HLOOKUP(C169,Assumptions!$A$6:$J$7,2,TRUE)</f>
        <v>2.6499999999999999E-2</v>
      </c>
      <c r="N169" s="23">
        <f t="shared" si="32"/>
        <v>0</v>
      </c>
      <c r="O169" s="23">
        <f t="shared" si="38"/>
        <v>0</v>
      </c>
      <c r="P169">
        <f t="shared" si="43"/>
        <v>0</v>
      </c>
      <c r="Q169" s="23">
        <f t="shared" si="39"/>
        <v>0</v>
      </c>
      <c r="R169">
        <f>Q168*Assumptions!$B$11/$E$2*N169</f>
        <v>0</v>
      </c>
      <c r="S169">
        <f>Q168*Assumptions!$B$13/$E$2*N169</f>
        <v>0</v>
      </c>
      <c r="T169">
        <f>L169*Assumptions!$B$15</f>
        <v>0</v>
      </c>
      <c r="U169">
        <f>S169*Assumptions!$B$17</f>
        <v>0</v>
      </c>
      <c r="V169">
        <f>HLOOKUP(B169,Assumptions!$A$26:$D$27,2,TRUE)</f>
        <v>0</v>
      </c>
      <c r="W169">
        <f t="shared" si="44"/>
        <v>0</v>
      </c>
      <c r="X169">
        <f t="shared" si="45"/>
        <v>0.75</v>
      </c>
      <c r="Y169">
        <f>IF(B169&gt;$M$2,0,IF(X170=0,0,(1-X170)*Assumptions!$B$11/$E$2*(1-Assumptions!$B$30)))</f>
        <v>0</v>
      </c>
      <c r="Z169">
        <f>(R169-S169)*(1-Assumptions!$B$30)-U169+Y168*Q168</f>
        <v>0</v>
      </c>
      <c r="AA169">
        <f>AA168*(1+Assumptions!$B$36)^(1/12)</f>
        <v>1.1399822471009713</v>
      </c>
      <c r="AB169" s="20">
        <f>IF(B169&gt;$M$2,0,AA168*Assumptions!$B$32/12*Q168+Z169*Assumptions!$B$34/12)</f>
        <v>0</v>
      </c>
      <c r="AC169" s="21">
        <f>1/(1+HLOOKUP(YEAR(A169),Assumptions!$A$41:$AL$43,3,TRUE))^(1/12)</f>
        <v>0.9984881294796899</v>
      </c>
      <c r="AD169">
        <f t="shared" si="40"/>
        <v>0</v>
      </c>
      <c r="AE169">
        <f t="shared" si="46"/>
        <v>0</v>
      </c>
    </row>
    <row r="170" spans="1:31" x14ac:dyDescent="0.2">
      <c r="A170" s="2">
        <f t="shared" si="47"/>
        <v>47938</v>
      </c>
      <c r="B170">
        <f t="shared" si="41"/>
        <v>239</v>
      </c>
      <c r="C170">
        <f t="shared" si="33"/>
        <v>19.833333333333332</v>
      </c>
      <c r="D170">
        <f t="shared" si="34"/>
        <v>0</v>
      </c>
      <c r="E170">
        <f t="shared" si="35"/>
        <v>74</v>
      </c>
      <c r="F170">
        <f t="shared" si="36"/>
        <v>66</v>
      </c>
      <c r="G170">
        <f>IF(C170&gt;=$L$2,0,VLOOKUP($E170,'Mortality Table'!$A$3:$C$128,2+H$2,FALSE))</f>
        <v>0</v>
      </c>
      <c r="H170">
        <f>IF(C170&gt;=$L$2,0,VLOOKUP($E170,'Mortality Table'!$A$3:$C$128,2+I$2,FALSE))</f>
        <v>0</v>
      </c>
      <c r="I170" s="17">
        <f>G170*Assumptions!$B$1</f>
        <v>0</v>
      </c>
      <c r="J170" s="17">
        <f>H170*Assumptions!$B$1</f>
        <v>0</v>
      </c>
      <c r="K170">
        <f t="shared" si="37"/>
        <v>0</v>
      </c>
      <c r="L170">
        <f t="shared" si="42"/>
        <v>0</v>
      </c>
      <c r="M170">
        <f>HLOOKUP(C170,Assumptions!$A$6:$J$7,2,TRUE)</f>
        <v>2.6499999999999999E-2</v>
      </c>
      <c r="N170" s="23">
        <f t="shared" si="32"/>
        <v>0</v>
      </c>
      <c r="O170" s="23">
        <f t="shared" si="38"/>
        <v>0</v>
      </c>
      <c r="P170">
        <f t="shared" si="43"/>
        <v>0</v>
      </c>
      <c r="Q170" s="23">
        <f t="shared" si="39"/>
        <v>0</v>
      </c>
      <c r="R170">
        <f>Q169*Assumptions!$B$11/$E$2*N170</f>
        <v>0</v>
      </c>
      <c r="S170">
        <f>Q169*Assumptions!$B$13/$E$2*N170</f>
        <v>0</v>
      </c>
      <c r="T170">
        <f>L170*Assumptions!$B$15</f>
        <v>0</v>
      </c>
      <c r="U170">
        <f>S170*Assumptions!$B$17</f>
        <v>0</v>
      </c>
      <c r="V170">
        <f>HLOOKUP(B170,Assumptions!$A$26:$D$27,2,TRUE)</f>
        <v>0</v>
      </c>
      <c r="W170">
        <f t="shared" si="44"/>
        <v>0</v>
      </c>
      <c r="X170">
        <f t="shared" si="45"/>
        <v>0.83333333333333215</v>
      </c>
      <c r="Y170">
        <f>IF(B170&gt;$M$2,0,IF(X171=0,0,(1-X171)*Assumptions!$B$11/$E$2*(1-Assumptions!$B$30)))</f>
        <v>0</v>
      </c>
      <c r="Z170">
        <f>(R170-S170)*(1-Assumptions!$B$30)-U170+Y169*Q169</f>
        <v>0</v>
      </c>
      <c r="AA170">
        <f>AA169*(1+Assumptions!$B$36)^(1/12)</f>
        <v>1.1409279058246196</v>
      </c>
      <c r="AB170" s="20">
        <f>IF(B170&gt;$M$2,0,AA169*Assumptions!$B$32/12*Q169+Z170*Assumptions!$B$34/12)</f>
        <v>0</v>
      </c>
      <c r="AC170" s="21">
        <f>1/(1+HLOOKUP(YEAR(A170),Assumptions!$A$41:$AL$43,3,TRUE))^(1/12)</f>
        <v>0.9984881294796899</v>
      </c>
      <c r="AD170">
        <f t="shared" si="40"/>
        <v>0</v>
      </c>
      <c r="AE170">
        <f t="shared" si="46"/>
        <v>0</v>
      </c>
    </row>
    <row r="171" spans="1:31" x14ac:dyDescent="0.2">
      <c r="A171" s="2">
        <f t="shared" si="47"/>
        <v>47968</v>
      </c>
      <c r="B171">
        <f t="shared" si="41"/>
        <v>240</v>
      </c>
      <c r="C171">
        <f t="shared" si="33"/>
        <v>19.916666666666668</v>
      </c>
      <c r="D171">
        <f t="shared" si="34"/>
        <v>0</v>
      </c>
      <c r="E171">
        <f t="shared" si="35"/>
        <v>74</v>
      </c>
      <c r="F171">
        <f t="shared" si="36"/>
        <v>66</v>
      </c>
      <c r="G171">
        <f>IF(C171&gt;=$L$2,0,VLOOKUP($E171,'Mortality Table'!$A$3:$C$128,2+H$2,FALSE))</f>
        <v>0</v>
      </c>
      <c r="H171">
        <f>IF(C171&gt;=$L$2,0,VLOOKUP($E171,'Mortality Table'!$A$3:$C$128,2+I$2,FALSE))</f>
        <v>0</v>
      </c>
      <c r="I171" s="17">
        <f>G171*Assumptions!$B$1</f>
        <v>0</v>
      </c>
      <c r="J171" s="17">
        <f>H171*Assumptions!$B$1</f>
        <v>0</v>
      </c>
      <c r="K171">
        <f t="shared" si="37"/>
        <v>0</v>
      </c>
      <c r="L171">
        <f t="shared" si="42"/>
        <v>0</v>
      </c>
      <c r="M171">
        <f>HLOOKUP(C171,Assumptions!$A$6:$J$7,2,TRUE)</f>
        <v>2.6499999999999999E-2</v>
      </c>
      <c r="N171" s="23">
        <f t="shared" si="32"/>
        <v>0</v>
      </c>
      <c r="O171" s="23">
        <f t="shared" si="38"/>
        <v>0</v>
      </c>
      <c r="P171">
        <f t="shared" si="43"/>
        <v>0</v>
      </c>
      <c r="Q171" s="23">
        <f t="shared" si="39"/>
        <v>0</v>
      </c>
      <c r="R171">
        <f>Q170*Assumptions!$B$11/$E$2*N171</f>
        <v>0</v>
      </c>
      <c r="S171">
        <f>Q170*Assumptions!$B$13/$E$2*N171</f>
        <v>0</v>
      </c>
      <c r="T171">
        <f>L171*Assumptions!$B$15</f>
        <v>0</v>
      </c>
      <c r="U171">
        <f>S171*Assumptions!$B$17</f>
        <v>0</v>
      </c>
      <c r="V171">
        <f>HLOOKUP(B171,Assumptions!$A$26:$D$27,2,TRUE)</f>
        <v>0</v>
      </c>
      <c r="W171">
        <f t="shared" si="44"/>
        <v>0</v>
      </c>
      <c r="X171">
        <f t="shared" si="45"/>
        <v>0.91666666666666785</v>
      </c>
      <c r="Y171">
        <f>IF(B171&gt;$M$2,0,IF(X172=0,0,(1-X172)*Assumptions!$B$11/$E$2*(1-Assumptions!$B$30)))</f>
        <v>0</v>
      </c>
      <c r="Z171">
        <f>(R171-S171)*(1-Assumptions!$B$30)-U171+Y170*Q170</f>
        <v>0</v>
      </c>
      <c r="AA171">
        <f>AA170*(1+Assumptions!$B$36)^(1/12)</f>
        <v>1.1418743490082222</v>
      </c>
      <c r="AB171" s="20">
        <f>IF(B171&gt;$M$2,0,AA170*Assumptions!$B$32/12*Q170+Z171*Assumptions!$B$34/12)</f>
        <v>0</v>
      </c>
      <c r="AC171" s="21">
        <f>1/(1+HLOOKUP(YEAR(A171),Assumptions!$A$41:$AL$43,3,TRUE))^(1/12)</f>
        <v>0.9984881294796899</v>
      </c>
      <c r="AD171">
        <f t="shared" si="40"/>
        <v>0</v>
      </c>
      <c r="AE171">
        <f t="shared" si="46"/>
        <v>0</v>
      </c>
    </row>
    <row r="172" spans="1:31" x14ac:dyDescent="0.2">
      <c r="A172" s="2">
        <f t="shared" si="47"/>
        <v>47999</v>
      </c>
      <c r="B172">
        <f t="shared" si="41"/>
        <v>241</v>
      </c>
      <c r="C172">
        <f t="shared" si="33"/>
        <v>20</v>
      </c>
      <c r="D172">
        <f t="shared" si="34"/>
        <v>1</v>
      </c>
      <c r="E172">
        <f t="shared" si="35"/>
        <v>75</v>
      </c>
      <c r="F172">
        <f t="shared" si="36"/>
        <v>67</v>
      </c>
      <c r="G172">
        <f>IF(C172&gt;=$L$2,0,VLOOKUP($E172,'Mortality Table'!$A$3:$C$128,2+H$2,FALSE))</f>
        <v>0</v>
      </c>
      <c r="H172">
        <f>IF(C172&gt;=$L$2,0,VLOOKUP($E172,'Mortality Table'!$A$3:$C$128,2+I$2,FALSE))</f>
        <v>0</v>
      </c>
      <c r="I172" s="17">
        <f>G172*Assumptions!$B$1</f>
        <v>0</v>
      </c>
      <c r="J172" s="17">
        <f>H172*Assumptions!$B$1</f>
        <v>0</v>
      </c>
      <c r="K172">
        <f t="shared" si="37"/>
        <v>0</v>
      </c>
      <c r="L172">
        <f t="shared" si="42"/>
        <v>0</v>
      </c>
      <c r="M172">
        <f>HLOOKUP(C172,Assumptions!$A$6:$J$7,2,TRUE)</f>
        <v>2.6499999999999999E-2</v>
      </c>
      <c r="N172" s="23">
        <f t="shared" si="32"/>
        <v>0</v>
      </c>
      <c r="O172" s="23">
        <f t="shared" si="38"/>
        <v>0</v>
      </c>
      <c r="P172">
        <f t="shared" si="43"/>
        <v>0</v>
      </c>
      <c r="Q172" s="23">
        <f t="shared" si="39"/>
        <v>0</v>
      </c>
      <c r="R172">
        <f>Q171*Assumptions!$B$11/$E$2*N172</f>
        <v>0</v>
      </c>
      <c r="S172">
        <f>Q171*Assumptions!$B$13/$E$2*N172</f>
        <v>0</v>
      </c>
      <c r="T172">
        <f>L172*Assumptions!$B$15</f>
        <v>0</v>
      </c>
      <c r="U172">
        <f>S172*Assumptions!$B$17</f>
        <v>0</v>
      </c>
      <c r="V172">
        <f>HLOOKUP(B172,Assumptions!$A$26:$D$27,2,TRUE)</f>
        <v>0</v>
      </c>
      <c r="W172">
        <f t="shared" si="44"/>
        <v>0</v>
      </c>
      <c r="X172">
        <f t="shared" si="45"/>
        <v>0</v>
      </c>
      <c r="Y172">
        <f>IF(B172&gt;$M$2,0,IF(X173=0,0,(1-X173)*Assumptions!$B$11/$E$2*(1-Assumptions!$B$30)))</f>
        <v>0</v>
      </c>
      <c r="Z172">
        <f>(R172-S172)*(1-Assumptions!$B$30)-U172+Y171*Q171</f>
        <v>0</v>
      </c>
      <c r="AA172">
        <f>AA171*(1+Assumptions!$B$36)^(1/12)</f>
        <v>1.1428215773025188</v>
      </c>
      <c r="AB172" s="20">
        <f>IF(B172&gt;$M$2,0,AA171*Assumptions!$B$32/12*Q171+Z172*Assumptions!$B$34/12)</f>
        <v>0</v>
      </c>
      <c r="AC172" s="21">
        <f>1/(1+HLOOKUP(YEAR(A172),Assumptions!$A$41:$AL$43,3,TRUE))^(1/12)</f>
        <v>0.9984881294796899</v>
      </c>
      <c r="AD172">
        <f t="shared" si="40"/>
        <v>0</v>
      </c>
      <c r="AE172">
        <f t="shared" si="46"/>
        <v>0</v>
      </c>
    </row>
    <row r="173" spans="1:31" x14ac:dyDescent="0.2">
      <c r="A173" s="2">
        <f t="shared" si="47"/>
        <v>48029</v>
      </c>
      <c r="B173">
        <f t="shared" si="41"/>
        <v>242</v>
      </c>
      <c r="C173">
        <f t="shared" si="33"/>
        <v>20.083333333333332</v>
      </c>
      <c r="D173">
        <f t="shared" si="34"/>
        <v>0</v>
      </c>
      <c r="E173">
        <f t="shared" si="35"/>
        <v>75</v>
      </c>
      <c r="F173">
        <f t="shared" si="36"/>
        <v>67</v>
      </c>
      <c r="G173">
        <f>IF(C173&gt;=$L$2,0,VLOOKUP($E173,'Mortality Table'!$A$3:$C$128,2+H$2,FALSE))</f>
        <v>0</v>
      </c>
      <c r="H173">
        <f>IF(C173&gt;=$L$2,0,VLOOKUP($E173,'Mortality Table'!$A$3:$C$128,2+I$2,FALSE))</f>
        <v>0</v>
      </c>
      <c r="I173" s="17">
        <f>G173*Assumptions!$B$1</f>
        <v>0</v>
      </c>
      <c r="J173" s="17">
        <f>H173*Assumptions!$B$1</f>
        <v>0</v>
      </c>
      <c r="K173">
        <f t="shared" si="37"/>
        <v>0</v>
      </c>
      <c r="L173">
        <f t="shared" si="42"/>
        <v>0</v>
      </c>
      <c r="M173">
        <f>HLOOKUP(C173,Assumptions!$A$6:$J$7,2,TRUE)</f>
        <v>2.6499999999999999E-2</v>
      </c>
      <c r="N173" s="23">
        <f t="shared" si="32"/>
        <v>0</v>
      </c>
      <c r="O173" s="23">
        <f t="shared" si="38"/>
        <v>0</v>
      </c>
      <c r="P173">
        <f t="shared" si="43"/>
        <v>0</v>
      </c>
      <c r="Q173" s="23">
        <f t="shared" si="39"/>
        <v>0</v>
      </c>
      <c r="R173">
        <f>Q172*Assumptions!$B$11/$E$2*N173</f>
        <v>0</v>
      </c>
      <c r="S173">
        <f>Q172*Assumptions!$B$13/$E$2*N173</f>
        <v>0</v>
      </c>
      <c r="T173">
        <f>L173*Assumptions!$B$15</f>
        <v>0</v>
      </c>
      <c r="U173">
        <f>S173*Assumptions!$B$17</f>
        <v>0</v>
      </c>
      <c r="V173">
        <f>HLOOKUP(B173,Assumptions!$A$26:$D$27,2,TRUE)</f>
        <v>0</v>
      </c>
      <c r="W173">
        <f t="shared" si="44"/>
        <v>0</v>
      </c>
      <c r="X173">
        <f t="shared" si="45"/>
        <v>8.3333333333332149E-2</v>
      </c>
      <c r="Y173">
        <f>IF(B173&gt;$M$2,0,IF(X174=0,0,(1-X174)*Assumptions!$B$11/$E$2*(1-Assumptions!$B$30)))</f>
        <v>0</v>
      </c>
      <c r="Z173">
        <f>(R173-S173)*(1-Assumptions!$B$30)-U173+Y172*Q172</f>
        <v>0</v>
      </c>
      <c r="AA173">
        <f>AA172*(1+Assumptions!$B$36)^(1/12)</f>
        <v>1.1437695913587884</v>
      </c>
      <c r="AB173" s="20">
        <f>IF(B173&gt;$M$2,0,AA172*Assumptions!$B$32/12*Q172+Z173*Assumptions!$B$34/12)</f>
        <v>0</v>
      </c>
      <c r="AC173" s="21">
        <f>1/(1+HLOOKUP(YEAR(A173),Assumptions!$A$41:$AL$43,3,TRUE))^(1/12)</f>
        <v>0.9984881294796899</v>
      </c>
      <c r="AD173">
        <f t="shared" si="40"/>
        <v>0</v>
      </c>
      <c r="AE173">
        <f t="shared" si="46"/>
        <v>0</v>
      </c>
    </row>
    <row r="174" spans="1:31" x14ac:dyDescent="0.2">
      <c r="A174" s="2">
        <f t="shared" si="47"/>
        <v>48060</v>
      </c>
      <c r="B174">
        <f t="shared" si="41"/>
        <v>243</v>
      </c>
      <c r="C174">
        <f t="shared" si="33"/>
        <v>20.166666666666668</v>
      </c>
      <c r="D174">
        <f t="shared" si="34"/>
        <v>0</v>
      </c>
      <c r="E174">
        <f t="shared" si="35"/>
        <v>75</v>
      </c>
      <c r="F174">
        <f t="shared" si="36"/>
        <v>67</v>
      </c>
      <c r="G174">
        <f>IF(C174&gt;=$L$2,0,VLOOKUP($E174,'Mortality Table'!$A$3:$C$128,2+H$2,FALSE))</f>
        <v>0</v>
      </c>
      <c r="H174">
        <f>IF(C174&gt;=$L$2,0,VLOOKUP($E174,'Mortality Table'!$A$3:$C$128,2+I$2,FALSE))</f>
        <v>0</v>
      </c>
      <c r="I174" s="17">
        <f>G174*Assumptions!$B$1</f>
        <v>0</v>
      </c>
      <c r="J174" s="17">
        <f>H174*Assumptions!$B$1</f>
        <v>0</v>
      </c>
      <c r="K174">
        <f t="shared" si="37"/>
        <v>0</v>
      </c>
      <c r="L174">
        <f t="shared" si="42"/>
        <v>0</v>
      </c>
      <c r="M174">
        <f>HLOOKUP(C174,Assumptions!$A$6:$J$7,2,TRUE)</f>
        <v>2.6499999999999999E-2</v>
      </c>
      <c r="N174" s="23">
        <f t="shared" si="32"/>
        <v>0</v>
      </c>
      <c r="O174" s="23">
        <f t="shared" si="38"/>
        <v>0</v>
      </c>
      <c r="P174">
        <f t="shared" si="43"/>
        <v>0</v>
      </c>
      <c r="Q174" s="23">
        <f t="shared" si="39"/>
        <v>0</v>
      </c>
      <c r="R174">
        <f>Q173*Assumptions!$B$11/$E$2*N174</f>
        <v>0</v>
      </c>
      <c r="S174">
        <f>Q173*Assumptions!$B$13/$E$2*N174</f>
        <v>0</v>
      </c>
      <c r="T174">
        <f>L174*Assumptions!$B$15</f>
        <v>0</v>
      </c>
      <c r="U174">
        <f>S174*Assumptions!$B$17</f>
        <v>0</v>
      </c>
      <c r="V174">
        <f>HLOOKUP(B174,Assumptions!$A$26:$D$27,2,TRUE)</f>
        <v>0</v>
      </c>
      <c r="W174">
        <f t="shared" si="44"/>
        <v>0</v>
      </c>
      <c r="X174">
        <f t="shared" si="45"/>
        <v>0.16666666666666785</v>
      </c>
      <c r="Y174">
        <f>IF(B174&gt;$M$2,0,IF(X175=0,0,(1-X175)*Assumptions!$B$11/$E$2*(1-Assumptions!$B$30)))</f>
        <v>0</v>
      </c>
      <c r="Z174">
        <f>(R174-S174)*(1-Assumptions!$B$30)-U174+Y173*Q173</f>
        <v>0</v>
      </c>
      <c r="AA174">
        <f>AA173*(1+Assumptions!$B$36)^(1/12)</f>
        <v>1.1447183918288506</v>
      </c>
      <c r="AB174" s="20">
        <f>IF(B174&gt;$M$2,0,AA173*Assumptions!$B$32/12*Q173+Z174*Assumptions!$B$34/12)</f>
        <v>0</v>
      </c>
      <c r="AC174" s="21">
        <f>1/(1+HLOOKUP(YEAR(A174),Assumptions!$A$41:$AL$43,3,TRUE))^(1/12)</f>
        <v>0.9984881294796899</v>
      </c>
      <c r="AD174">
        <f t="shared" si="40"/>
        <v>0</v>
      </c>
      <c r="AE174">
        <f t="shared" si="46"/>
        <v>0</v>
      </c>
    </row>
    <row r="175" spans="1:31" x14ac:dyDescent="0.2">
      <c r="A175" s="2">
        <f t="shared" si="47"/>
        <v>48091</v>
      </c>
      <c r="B175">
        <f t="shared" si="41"/>
        <v>244</v>
      </c>
      <c r="C175">
        <f t="shared" si="33"/>
        <v>20.25</v>
      </c>
      <c r="D175">
        <f t="shared" si="34"/>
        <v>0</v>
      </c>
      <c r="E175">
        <f t="shared" si="35"/>
        <v>75</v>
      </c>
      <c r="F175">
        <f t="shared" si="36"/>
        <v>67</v>
      </c>
      <c r="G175">
        <f>IF(C175&gt;=$L$2,0,VLOOKUP($E175,'Mortality Table'!$A$3:$C$128,2+H$2,FALSE))</f>
        <v>0</v>
      </c>
      <c r="H175">
        <f>IF(C175&gt;=$L$2,0,VLOOKUP($E175,'Mortality Table'!$A$3:$C$128,2+I$2,FALSE))</f>
        <v>0</v>
      </c>
      <c r="I175" s="17">
        <f>G175*Assumptions!$B$1</f>
        <v>0</v>
      </c>
      <c r="J175" s="17">
        <f>H175*Assumptions!$B$1</f>
        <v>0</v>
      </c>
      <c r="K175">
        <f t="shared" si="37"/>
        <v>0</v>
      </c>
      <c r="L175">
        <f t="shared" si="42"/>
        <v>0</v>
      </c>
      <c r="M175">
        <f>HLOOKUP(C175,Assumptions!$A$6:$J$7,2,TRUE)</f>
        <v>2.6499999999999999E-2</v>
      </c>
      <c r="N175" s="23">
        <f t="shared" si="32"/>
        <v>0</v>
      </c>
      <c r="O175" s="23">
        <f t="shared" si="38"/>
        <v>0</v>
      </c>
      <c r="P175">
        <f t="shared" si="43"/>
        <v>0</v>
      </c>
      <c r="Q175" s="23">
        <f t="shared" si="39"/>
        <v>0</v>
      </c>
      <c r="R175">
        <f>Q174*Assumptions!$B$11/$E$2*N175</f>
        <v>0</v>
      </c>
      <c r="S175">
        <f>Q174*Assumptions!$B$13/$E$2*N175</f>
        <v>0</v>
      </c>
      <c r="T175">
        <f>L175*Assumptions!$B$15</f>
        <v>0</v>
      </c>
      <c r="U175">
        <f>S175*Assumptions!$B$17</f>
        <v>0</v>
      </c>
      <c r="V175">
        <f>HLOOKUP(B175,Assumptions!$A$26:$D$27,2,TRUE)</f>
        <v>0</v>
      </c>
      <c r="W175">
        <f t="shared" si="44"/>
        <v>0</v>
      </c>
      <c r="X175">
        <f t="shared" si="45"/>
        <v>0.25</v>
      </c>
      <c r="Y175">
        <f>IF(B175&gt;$M$2,0,IF(X176=0,0,(1-X176)*Assumptions!$B$11/$E$2*(1-Assumptions!$B$30)))</f>
        <v>0</v>
      </c>
      <c r="Z175">
        <f>(R175-S175)*(1-Assumptions!$B$30)-U175+Y174*Q174</f>
        <v>0</v>
      </c>
      <c r="AA175">
        <f>AA174*(1+Assumptions!$B$36)^(1/12)</f>
        <v>1.1456679793650657</v>
      </c>
      <c r="AB175" s="20">
        <f>IF(B175&gt;$M$2,0,AA174*Assumptions!$B$32/12*Q174+Z175*Assumptions!$B$34/12)</f>
        <v>0</v>
      </c>
      <c r="AC175" s="21">
        <f>1/(1+HLOOKUP(YEAR(A175),Assumptions!$A$41:$AL$43,3,TRUE))^(1/12)</f>
        <v>0.9984881294796899</v>
      </c>
      <c r="AD175">
        <f t="shared" si="40"/>
        <v>0</v>
      </c>
      <c r="AE175">
        <f t="shared" si="46"/>
        <v>0</v>
      </c>
    </row>
    <row r="176" spans="1:31" x14ac:dyDescent="0.2">
      <c r="A176" s="2">
        <f t="shared" si="47"/>
        <v>48121</v>
      </c>
      <c r="B176">
        <f t="shared" si="41"/>
        <v>245</v>
      </c>
      <c r="C176">
        <f t="shared" si="33"/>
        <v>20.333333333333332</v>
      </c>
      <c r="D176">
        <f t="shared" si="34"/>
        <v>0</v>
      </c>
      <c r="E176">
        <f t="shared" si="35"/>
        <v>75</v>
      </c>
      <c r="F176">
        <f t="shared" si="36"/>
        <v>67</v>
      </c>
      <c r="G176">
        <f>IF(C176&gt;=$L$2,0,VLOOKUP($E176,'Mortality Table'!$A$3:$C$128,2+H$2,FALSE))</f>
        <v>0</v>
      </c>
      <c r="H176">
        <f>IF(C176&gt;=$L$2,0,VLOOKUP($E176,'Mortality Table'!$A$3:$C$128,2+I$2,FALSE))</f>
        <v>0</v>
      </c>
      <c r="I176" s="17">
        <f>G176*Assumptions!$B$1</f>
        <v>0</v>
      </c>
      <c r="J176" s="17">
        <f>H176*Assumptions!$B$1</f>
        <v>0</v>
      </c>
      <c r="K176">
        <f t="shared" si="37"/>
        <v>0</v>
      </c>
      <c r="L176">
        <f t="shared" si="42"/>
        <v>0</v>
      </c>
      <c r="M176">
        <f>HLOOKUP(C176,Assumptions!$A$6:$J$7,2,TRUE)</f>
        <v>2.6499999999999999E-2</v>
      </c>
      <c r="N176" s="23">
        <f t="shared" si="32"/>
        <v>0</v>
      </c>
      <c r="O176" s="23">
        <f t="shared" si="38"/>
        <v>0</v>
      </c>
      <c r="P176">
        <f t="shared" si="43"/>
        <v>0</v>
      </c>
      <c r="Q176" s="23">
        <f t="shared" si="39"/>
        <v>0</v>
      </c>
      <c r="R176">
        <f>Q175*Assumptions!$B$11/$E$2*N176</f>
        <v>0</v>
      </c>
      <c r="S176">
        <f>Q175*Assumptions!$B$13/$E$2*N176</f>
        <v>0</v>
      </c>
      <c r="T176">
        <f>L176*Assumptions!$B$15</f>
        <v>0</v>
      </c>
      <c r="U176">
        <f>S176*Assumptions!$B$17</f>
        <v>0</v>
      </c>
      <c r="V176">
        <f>HLOOKUP(B176,Assumptions!$A$26:$D$27,2,TRUE)</f>
        <v>0</v>
      </c>
      <c r="W176">
        <f t="shared" si="44"/>
        <v>0</v>
      </c>
      <c r="X176">
        <f t="shared" si="45"/>
        <v>0.33333333333333215</v>
      </c>
      <c r="Y176">
        <f>IF(B176&gt;$M$2,0,IF(X177=0,0,(1-X177)*Assumptions!$B$11/$E$2*(1-Assumptions!$B$30)))</f>
        <v>0</v>
      </c>
      <c r="Z176">
        <f>(R176-S176)*(1-Assumptions!$B$30)-U176+Y175*Q175</f>
        <v>0</v>
      </c>
      <c r="AA176">
        <f>AA175*(1+Assumptions!$B$36)^(1/12)</f>
        <v>1.146618354620335</v>
      </c>
      <c r="AB176" s="20">
        <f>IF(B176&gt;$M$2,0,AA175*Assumptions!$B$32/12*Q175+Z176*Assumptions!$B$34/12)</f>
        <v>0</v>
      </c>
      <c r="AC176" s="21">
        <f>1/(1+HLOOKUP(YEAR(A176),Assumptions!$A$41:$AL$43,3,TRUE))^(1/12)</f>
        <v>0.9984881294796899</v>
      </c>
      <c r="AD176">
        <f t="shared" si="40"/>
        <v>0</v>
      </c>
      <c r="AE176">
        <f t="shared" si="46"/>
        <v>0</v>
      </c>
    </row>
    <row r="177" spans="1:31" x14ac:dyDescent="0.2">
      <c r="A177" s="2">
        <f t="shared" si="47"/>
        <v>48152</v>
      </c>
      <c r="B177">
        <f t="shared" si="41"/>
        <v>246</v>
      </c>
      <c r="C177">
        <f t="shared" si="33"/>
        <v>20.416666666666668</v>
      </c>
      <c r="D177">
        <f t="shared" si="34"/>
        <v>0</v>
      </c>
      <c r="E177">
        <f t="shared" si="35"/>
        <v>75</v>
      </c>
      <c r="F177">
        <f t="shared" si="36"/>
        <v>67</v>
      </c>
      <c r="G177">
        <f>IF(C177&gt;=$L$2,0,VLOOKUP($E177,'Mortality Table'!$A$3:$C$128,2+H$2,FALSE))</f>
        <v>0</v>
      </c>
      <c r="H177">
        <f>IF(C177&gt;=$L$2,0,VLOOKUP($E177,'Mortality Table'!$A$3:$C$128,2+I$2,FALSE))</f>
        <v>0</v>
      </c>
      <c r="I177" s="17">
        <f>G177*Assumptions!$B$1</f>
        <v>0</v>
      </c>
      <c r="J177" s="17">
        <f>H177*Assumptions!$B$1</f>
        <v>0</v>
      </c>
      <c r="K177">
        <f t="shared" si="37"/>
        <v>0</v>
      </c>
      <c r="L177">
        <f t="shared" si="42"/>
        <v>0</v>
      </c>
      <c r="M177">
        <f>HLOOKUP(C177,Assumptions!$A$6:$J$7,2,TRUE)</f>
        <v>2.6499999999999999E-2</v>
      </c>
      <c r="N177" s="23">
        <f t="shared" si="32"/>
        <v>0</v>
      </c>
      <c r="O177" s="23">
        <f t="shared" si="38"/>
        <v>0</v>
      </c>
      <c r="P177">
        <f t="shared" si="43"/>
        <v>0</v>
      </c>
      <c r="Q177" s="23">
        <f t="shared" si="39"/>
        <v>0</v>
      </c>
      <c r="R177">
        <f>Q176*Assumptions!$B$11/$E$2*N177</f>
        <v>0</v>
      </c>
      <c r="S177">
        <f>Q176*Assumptions!$B$13/$E$2*N177</f>
        <v>0</v>
      </c>
      <c r="T177">
        <f>L177*Assumptions!$B$15</f>
        <v>0</v>
      </c>
      <c r="U177">
        <f>S177*Assumptions!$B$17</f>
        <v>0</v>
      </c>
      <c r="V177">
        <f>HLOOKUP(B177,Assumptions!$A$26:$D$27,2,TRUE)</f>
        <v>0</v>
      </c>
      <c r="W177">
        <f t="shared" si="44"/>
        <v>0</v>
      </c>
      <c r="X177">
        <f t="shared" si="45"/>
        <v>0.41666666666666785</v>
      </c>
      <c r="Y177">
        <f>IF(B177&gt;$M$2,0,IF(X178=0,0,(1-X178)*Assumptions!$B$11/$E$2*(1-Assumptions!$B$30)))</f>
        <v>0</v>
      </c>
      <c r="Z177">
        <f>(R177-S177)*(1-Assumptions!$B$30)-U177+Y176*Q176</f>
        <v>0</v>
      </c>
      <c r="AA177">
        <f>AA176*(1+Assumptions!$B$36)^(1/12)</f>
        <v>1.1475695182481014</v>
      </c>
      <c r="AB177" s="20">
        <f>IF(B177&gt;$M$2,0,AA176*Assumptions!$B$32/12*Q176+Z177*Assumptions!$B$34/12)</f>
        <v>0</v>
      </c>
      <c r="AC177" s="21">
        <f>1/(1+HLOOKUP(YEAR(A177),Assumptions!$A$41:$AL$43,3,TRUE))^(1/12)</f>
        <v>0.9984881294796899</v>
      </c>
      <c r="AD177">
        <f t="shared" si="40"/>
        <v>0</v>
      </c>
      <c r="AE177">
        <f t="shared" si="46"/>
        <v>0</v>
      </c>
    </row>
    <row r="178" spans="1:31" x14ac:dyDescent="0.2">
      <c r="A178" s="2">
        <f t="shared" si="47"/>
        <v>48182</v>
      </c>
      <c r="B178">
        <f t="shared" si="41"/>
        <v>247</v>
      </c>
      <c r="C178">
        <f t="shared" si="33"/>
        <v>20.5</v>
      </c>
      <c r="D178">
        <f t="shared" si="34"/>
        <v>0</v>
      </c>
      <c r="E178">
        <f t="shared" si="35"/>
        <v>75</v>
      </c>
      <c r="F178">
        <f t="shared" si="36"/>
        <v>67</v>
      </c>
      <c r="G178">
        <f>IF(C178&gt;=$L$2,0,VLOOKUP($E178,'Mortality Table'!$A$3:$C$128,2+H$2,FALSE))</f>
        <v>0</v>
      </c>
      <c r="H178">
        <f>IF(C178&gt;=$L$2,0,VLOOKUP($E178,'Mortality Table'!$A$3:$C$128,2+I$2,FALSE))</f>
        <v>0</v>
      </c>
      <c r="I178" s="17">
        <f>G178*Assumptions!$B$1</f>
        <v>0</v>
      </c>
      <c r="J178" s="17">
        <f>H178*Assumptions!$B$1</f>
        <v>0</v>
      </c>
      <c r="K178">
        <f t="shared" si="37"/>
        <v>0</v>
      </c>
      <c r="L178">
        <f t="shared" si="42"/>
        <v>0</v>
      </c>
      <c r="M178">
        <f>HLOOKUP(C178,Assumptions!$A$6:$J$7,2,TRUE)</f>
        <v>2.6499999999999999E-2</v>
      </c>
      <c r="N178" s="23">
        <f t="shared" si="32"/>
        <v>0</v>
      </c>
      <c r="O178" s="23">
        <f t="shared" si="38"/>
        <v>0</v>
      </c>
      <c r="P178">
        <f t="shared" si="43"/>
        <v>0</v>
      </c>
      <c r="Q178" s="23">
        <f t="shared" si="39"/>
        <v>0</v>
      </c>
      <c r="R178">
        <f>Q177*Assumptions!$B$11/$E$2*N178</f>
        <v>0</v>
      </c>
      <c r="S178">
        <f>Q177*Assumptions!$B$13/$E$2*N178</f>
        <v>0</v>
      </c>
      <c r="T178">
        <f>L178*Assumptions!$B$15</f>
        <v>0</v>
      </c>
      <c r="U178">
        <f>S178*Assumptions!$B$17</f>
        <v>0</v>
      </c>
      <c r="V178">
        <f>HLOOKUP(B178,Assumptions!$A$26:$D$27,2,TRUE)</f>
        <v>0</v>
      </c>
      <c r="W178">
        <f t="shared" si="44"/>
        <v>0</v>
      </c>
      <c r="X178">
        <f t="shared" si="45"/>
        <v>0.5</v>
      </c>
      <c r="Y178">
        <f>IF(B178&gt;$M$2,0,IF(X179=0,0,(1-X179)*Assumptions!$B$11/$E$2*(1-Assumptions!$B$30)))</f>
        <v>0</v>
      </c>
      <c r="Z178">
        <f>(R178-S178)*(1-Assumptions!$B$30)-U178+Y177*Q177</f>
        <v>0</v>
      </c>
      <c r="AA178">
        <f>AA177*(1+Assumptions!$B$36)^(1/12)</f>
        <v>1.1485214709023501</v>
      </c>
      <c r="AB178" s="20">
        <f>IF(B178&gt;$M$2,0,AA177*Assumptions!$B$32/12*Q177+Z178*Assumptions!$B$34/12)</f>
        <v>0</v>
      </c>
      <c r="AC178" s="21">
        <f>1/(1+HLOOKUP(YEAR(A178),Assumptions!$A$41:$AL$43,3,TRUE))^(1/12)</f>
        <v>0.9984881294796899</v>
      </c>
      <c r="AD178">
        <f t="shared" si="40"/>
        <v>0</v>
      </c>
      <c r="AE178">
        <f t="shared" si="46"/>
        <v>0</v>
      </c>
    </row>
    <row r="179" spans="1:31" x14ac:dyDescent="0.2">
      <c r="A179" s="2">
        <f t="shared" si="47"/>
        <v>48213</v>
      </c>
      <c r="B179">
        <f t="shared" si="41"/>
        <v>248</v>
      </c>
      <c r="C179">
        <f t="shared" si="33"/>
        <v>20.583333333333332</v>
      </c>
      <c r="D179">
        <f t="shared" si="34"/>
        <v>0</v>
      </c>
      <c r="E179">
        <f t="shared" si="35"/>
        <v>75</v>
      </c>
      <c r="F179">
        <f t="shared" si="36"/>
        <v>67</v>
      </c>
      <c r="G179">
        <f>IF(C179&gt;=$L$2,0,VLOOKUP($E179,'Mortality Table'!$A$3:$C$128,2+H$2,FALSE))</f>
        <v>0</v>
      </c>
      <c r="H179">
        <f>IF(C179&gt;=$L$2,0,VLOOKUP($E179,'Mortality Table'!$A$3:$C$128,2+I$2,FALSE))</f>
        <v>0</v>
      </c>
      <c r="I179" s="17">
        <f>G179*Assumptions!$B$1</f>
        <v>0</v>
      </c>
      <c r="J179" s="17">
        <f>H179*Assumptions!$B$1</f>
        <v>0</v>
      </c>
      <c r="K179">
        <f t="shared" si="37"/>
        <v>0</v>
      </c>
      <c r="L179">
        <f t="shared" si="42"/>
        <v>0</v>
      </c>
      <c r="M179">
        <f>HLOOKUP(C179,Assumptions!$A$6:$J$7,2,TRUE)</f>
        <v>2.6499999999999999E-2</v>
      </c>
      <c r="N179" s="23">
        <f t="shared" si="32"/>
        <v>0</v>
      </c>
      <c r="O179" s="23">
        <f t="shared" si="38"/>
        <v>0</v>
      </c>
      <c r="P179">
        <f t="shared" si="43"/>
        <v>0</v>
      </c>
      <c r="Q179" s="23">
        <f t="shared" si="39"/>
        <v>0</v>
      </c>
      <c r="R179">
        <f>Q178*Assumptions!$B$11/$E$2*N179</f>
        <v>0</v>
      </c>
      <c r="S179">
        <f>Q178*Assumptions!$B$13/$E$2*N179</f>
        <v>0</v>
      </c>
      <c r="T179">
        <f>L179*Assumptions!$B$15</f>
        <v>0</v>
      </c>
      <c r="U179">
        <f>S179*Assumptions!$B$17</f>
        <v>0</v>
      </c>
      <c r="V179">
        <f>HLOOKUP(B179,Assumptions!$A$26:$D$27,2,TRUE)</f>
        <v>0</v>
      </c>
      <c r="W179">
        <f t="shared" si="44"/>
        <v>0</v>
      </c>
      <c r="X179">
        <f t="shared" si="45"/>
        <v>0.58333333333333215</v>
      </c>
      <c r="Y179">
        <f>IF(B179&gt;$M$2,0,IF(X180=0,0,(1-X180)*Assumptions!$B$11/$E$2*(1-Assumptions!$B$30)))</f>
        <v>0</v>
      </c>
      <c r="Z179">
        <f>(R179-S179)*(1-Assumptions!$B$30)-U179+Y178*Q178</f>
        <v>0</v>
      </c>
      <c r="AA179">
        <f>AA178*(1+Assumptions!$B$36)^(1/12)</f>
        <v>1.1494742132376086</v>
      </c>
      <c r="AB179" s="20">
        <f>IF(B179&gt;$M$2,0,AA178*Assumptions!$B$32/12*Q178+Z179*Assumptions!$B$34/12)</f>
        <v>0</v>
      </c>
      <c r="AC179" s="21">
        <f>1/(1+HLOOKUP(YEAR(A179),Assumptions!$A$41:$AL$43,3,TRUE))^(1/12)</f>
        <v>0.9984881294796899</v>
      </c>
      <c r="AD179">
        <f t="shared" si="40"/>
        <v>0</v>
      </c>
      <c r="AE179">
        <f t="shared" si="46"/>
        <v>0</v>
      </c>
    </row>
    <row r="180" spans="1:31" x14ac:dyDescent="0.2">
      <c r="A180" s="2">
        <f t="shared" si="47"/>
        <v>48244</v>
      </c>
      <c r="B180">
        <f t="shared" si="41"/>
        <v>249</v>
      </c>
      <c r="C180">
        <f t="shared" si="33"/>
        <v>20.666666666666668</v>
      </c>
      <c r="D180">
        <f t="shared" si="34"/>
        <v>0</v>
      </c>
      <c r="E180">
        <f t="shared" si="35"/>
        <v>75</v>
      </c>
      <c r="F180">
        <f t="shared" si="36"/>
        <v>67</v>
      </c>
      <c r="G180">
        <f>IF(C180&gt;=$L$2,0,VLOOKUP($E180,'Mortality Table'!$A$3:$C$128,2+H$2,FALSE))</f>
        <v>0</v>
      </c>
      <c r="H180">
        <f>IF(C180&gt;=$L$2,0,VLOOKUP($E180,'Mortality Table'!$A$3:$C$128,2+I$2,FALSE))</f>
        <v>0</v>
      </c>
      <c r="I180" s="17">
        <f>G180*Assumptions!$B$1</f>
        <v>0</v>
      </c>
      <c r="J180" s="17">
        <f>H180*Assumptions!$B$1</f>
        <v>0</v>
      </c>
      <c r="K180">
        <f t="shared" si="37"/>
        <v>0</v>
      </c>
      <c r="L180">
        <f t="shared" si="42"/>
        <v>0</v>
      </c>
      <c r="M180">
        <f>HLOOKUP(C180,Assumptions!$A$6:$J$7,2,TRUE)</f>
        <v>2.6499999999999999E-2</v>
      </c>
      <c r="N180" s="23">
        <f t="shared" si="32"/>
        <v>0</v>
      </c>
      <c r="O180" s="23">
        <f t="shared" si="38"/>
        <v>0</v>
      </c>
      <c r="P180">
        <f t="shared" si="43"/>
        <v>0</v>
      </c>
      <c r="Q180" s="23">
        <f t="shared" si="39"/>
        <v>0</v>
      </c>
      <c r="R180">
        <f>Q179*Assumptions!$B$11/$E$2*N180</f>
        <v>0</v>
      </c>
      <c r="S180">
        <f>Q179*Assumptions!$B$13/$E$2*N180</f>
        <v>0</v>
      </c>
      <c r="T180">
        <f>L180*Assumptions!$B$15</f>
        <v>0</v>
      </c>
      <c r="U180">
        <f>S180*Assumptions!$B$17</f>
        <v>0</v>
      </c>
      <c r="V180">
        <f>HLOOKUP(B180,Assumptions!$A$26:$D$27,2,TRUE)</f>
        <v>0</v>
      </c>
      <c r="W180">
        <f t="shared" si="44"/>
        <v>0</v>
      </c>
      <c r="X180">
        <f t="shared" si="45"/>
        <v>0.66666666666666785</v>
      </c>
      <c r="Y180">
        <f>IF(B180&gt;$M$2,0,IF(X181=0,0,(1-X181)*Assumptions!$B$11/$E$2*(1-Assumptions!$B$30)))</f>
        <v>0</v>
      </c>
      <c r="Z180">
        <f>(R180-S180)*(1-Assumptions!$B$30)-U180+Y179*Q179</f>
        <v>0</v>
      </c>
      <c r="AA180">
        <f>AA179*(1+Assumptions!$B$36)^(1/12)</f>
        <v>1.1504277459089471</v>
      </c>
      <c r="AB180" s="20">
        <f>IF(B180&gt;$M$2,0,AA179*Assumptions!$B$32/12*Q179+Z180*Assumptions!$B$34/12)</f>
        <v>0</v>
      </c>
      <c r="AC180" s="21">
        <f>1/(1+HLOOKUP(YEAR(A180),Assumptions!$A$41:$AL$43,3,TRUE))^(1/12)</f>
        <v>0.9983964236411178</v>
      </c>
      <c r="AD180">
        <f t="shared" si="40"/>
        <v>0</v>
      </c>
      <c r="AE180">
        <f t="shared" si="46"/>
        <v>0</v>
      </c>
    </row>
    <row r="181" spans="1:31" x14ac:dyDescent="0.2">
      <c r="A181" s="2">
        <f t="shared" si="47"/>
        <v>48273</v>
      </c>
      <c r="B181">
        <f t="shared" si="41"/>
        <v>250</v>
      </c>
      <c r="C181">
        <f t="shared" si="33"/>
        <v>20.75</v>
      </c>
      <c r="D181">
        <f t="shared" si="34"/>
        <v>0</v>
      </c>
      <c r="E181">
        <f t="shared" si="35"/>
        <v>75</v>
      </c>
      <c r="F181">
        <f t="shared" si="36"/>
        <v>67</v>
      </c>
      <c r="G181">
        <f>IF(C181&gt;=$L$2,0,VLOOKUP($E181,'Mortality Table'!$A$3:$C$128,2+H$2,FALSE))</f>
        <v>0</v>
      </c>
      <c r="H181">
        <f>IF(C181&gt;=$L$2,0,VLOOKUP($E181,'Mortality Table'!$A$3:$C$128,2+I$2,FALSE))</f>
        <v>0</v>
      </c>
      <c r="I181" s="17">
        <f>G181*Assumptions!$B$1</f>
        <v>0</v>
      </c>
      <c r="J181" s="17">
        <f>H181*Assumptions!$B$1</f>
        <v>0</v>
      </c>
      <c r="K181">
        <f t="shared" si="37"/>
        <v>0</v>
      </c>
      <c r="L181">
        <f t="shared" si="42"/>
        <v>0</v>
      </c>
      <c r="M181">
        <f>HLOOKUP(C181,Assumptions!$A$6:$J$7,2,TRUE)</f>
        <v>2.6499999999999999E-2</v>
      </c>
      <c r="N181" s="23">
        <f t="shared" si="32"/>
        <v>0</v>
      </c>
      <c r="O181" s="23">
        <f t="shared" si="38"/>
        <v>0</v>
      </c>
      <c r="P181">
        <f t="shared" si="43"/>
        <v>0</v>
      </c>
      <c r="Q181" s="23">
        <f t="shared" si="39"/>
        <v>0</v>
      </c>
      <c r="R181">
        <f>Q180*Assumptions!$B$11/$E$2*N181</f>
        <v>0</v>
      </c>
      <c r="S181">
        <f>Q180*Assumptions!$B$13/$E$2*N181</f>
        <v>0</v>
      </c>
      <c r="T181">
        <f>L181*Assumptions!$B$15</f>
        <v>0</v>
      </c>
      <c r="U181">
        <f>S181*Assumptions!$B$17</f>
        <v>0</v>
      </c>
      <c r="V181">
        <f>HLOOKUP(B181,Assumptions!$A$26:$D$27,2,TRUE)</f>
        <v>0</v>
      </c>
      <c r="W181">
        <f t="shared" si="44"/>
        <v>0</v>
      </c>
      <c r="X181">
        <f t="shared" si="45"/>
        <v>0.75</v>
      </c>
      <c r="Y181">
        <f>IF(B181&gt;$M$2,0,IF(X182=0,0,(1-X182)*Assumptions!$B$11/$E$2*(1-Assumptions!$B$30)))</f>
        <v>0</v>
      </c>
      <c r="Z181">
        <f>(R181-S181)*(1-Assumptions!$B$30)-U181+Y180*Q180</f>
        <v>0</v>
      </c>
      <c r="AA181">
        <f>AA180*(1+Assumptions!$B$36)^(1/12)</f>
        <v>1.1513820695719799</v>
      </c>
      <c r="AB181" s="20">
        <f>IF(B181&gt;$M$2,0,AA180*Assumptions!$B$32/12*Q180+Z181*Assumptions!$B$34/12)</f>
        <v>0</v>
      </c>
      <c r="AC181" s="21">
        <f>1/(1+HLOOKUP(YEAR(A181),Assumptions!$A$41:$AL$43,3,TRUE))^(1/12)</f>
        <v>0.9983964236411178</v>
      </c>
      <c r="AD181">
        <f t="shared" si="40"/>
        <v>0</v>
      </c>
      <c r="AE181">
        <f t="shared" si="46"/>
        <v>0</v>
      </c>
    </row>
    <row r="182" spans="1:31" x14ac:dyDescent="0.2">
      <c r="A182" s="2">
        <f t="shared" si="47"/>
        <v>48304</v>
      </c>
      <c r="B182">
        <f t="shared" si="41"/>
        <v>251</v>
      </c>
      <c r="C182">
        <f t="shared" si="33"/>
        <v>20.833333333333332</v>
      </c>
      <c r="D182">
        <f t="shared" si="34"/>
        <v>0</v>
      </c>
      <c r="E182">
        <f t="shared" si="35"/>
        <v>75</v>
      </c>
      <c r="F182">
        <f t="shared" si="36"/>
        <v>67</v>
      </c>
      <c r="G182">
        <f>IF(C182&gt;=$L$2,0,VLOOKUP($E182,'Mortality Table'!$A$3:$C$128,2+H$2,FALSE))</f>
        <v>0</v>
      </c>
      <c r="H182">
        <f>IF(C182&gt;=$L$2,0,VLOOKUP($E182,'Mortality Table'!$A$3:$C$128,2+I$2,FALSE))</f>
        <v>0</v>
      </c>
      <c r="I182" s="17">
        <f>G182*Assumptions!$B$1</f>
        <v>0</v>
      </c>
      <c r="J182" s="17">
        <f>H182*Assumptions!$B$1</f>
        <v>0</v>
      </c>
      <c r="K182">
        <f t="shared" si="37"/>
        <v>0</v>
      </c>
      <c r="L182">
        <f t="shared" si="42"/>
        <v>0</v>
      </c>
      <c r="M182">
        <f>HLOOKUP(C182,Assumptions!$A$6:$J$7,2,TRUE)</f>
        <v>2.6499999999999999E-2</v>
      </c>
      <c r="N182" s="23">
        <f t="shared" si="32"/>
        <v>0</v>
      </c>
      <c r="O182" s="23">
        <f t="shared" si="38"/>
        <v>0</v>
      </c>
      <c r="P182">
        <f t="shared" si="43"/>
        <v>0</v>
      </c>
      <c r="Q182" s="23">
        <f t="shared" si="39"/>
        <v>0</v>
      </c>
      <c r="R182">
        <f>Q181*Assumptions!$B$11/$E$2*N182</f>
        <v>0</v>
      </c>
      <c r="S182">
        <f>Q181*Assumptions!$B$13/$E$2*N182</f>
        <v>0</v>
      </c>
      <c r="T182">
        <f>L182*Assumptions!$B$15</f>
        <v>0</v>
      </c>
      <c r="U182">
        <f>S182*Assumptions!$B$17</f>
        <v>0</v>
      </c>
      <c r="V182">
        <f>HLOOKUP(B182,Assumptions!$A$26:$D$27,2,TRUE)</f>
        <v>0</v>
      </c>
      <c r="W182">
        <f t="shared" si="44"/>
        <v>0</v>
      </c>
      <c r="X182">
        <f t="shared" si="45"/>
        <v>0.83333333333333215</v>
      </c>
      <c r="Y182">
        <f>IF(B182&gt;$M$2,0,IF(X183=0,0,(1-X183)*Assumptions!$B$11/$E$2*(1-Assumptions!$B$30)))</f>
        <v>0</v>
      </c>
      <c r="Z182">
        <f>(R182-S182)*(1-Assumptions!$B$30)-U182+Y181*Q181</f>
        <v>0</v>
      </c>
      <c r="AA182">
        <f>AA181*(1+Assumptions!$B$36)^(1/12)</f>
        <v>1.1523371848828645</v>
      </c>
      <c r="AB182" s="20">
        <f>IF(B182&gt;$M$2,0,AA181*Assumptions!$B$32/12*Q181+Z182*Assumptions!$B$34/12)</f>
        <v>0</v>
      </c>
      <c r="AC182" s="21">
        <f>1/(1+HLOOKUP(YEAR(A182),Assumptions!$A$41:$AL$43,3,TRUE))^(1/12)</f>
        <v>0.9983964236411178</v>
      </c>
      <c r="AD182">
        <f t="shared" si="40"/>
        <v>0</v>
      </c>
      <c r="AE182">
        <f t="shared" si="46"/>
        <v>0</v>
      </c>
    </row>
    <row r="183" spans="1:31" x14ac:dyDescent="0.2">
      <c r="A183" s="2">
        <f t="shared" si="47"/>
        <v>48334</v>
      </c>
      <c r="B183">
        <f t="shared" si="41"/>
        <v>252</v>
      </c>
      <c r="C183">
        <f t="shared" si="33"/>
        <v>20.916666666666668</v>
      </c>
      <c r="D183">
        <f t="shared" si="34"/>
        <v>0</v>
      </c>
      <c r="E183">
        <f t="shared" si="35"/>
        <v>75</v>
      </c>
      <c r="F183">
        <f t="shared" si="36"/>
        <v>67</v>
      </c>
      <c r="G183">
        <f>IF(C183&gt;=$L$2,0,VLOOKUP($E183,'Mortality Table'!$A$3:$C$128,2+H$2,FALSE))</f>
        <v>0</v>
      </c>
      <c r="H183">
        <f>IF(C183&gt;=$L$2,0,VLOOKUP($E183,'Mortality Table'!$A$3:$C$128,2+I$2,FALSE))</f>
        <v>0</v>
      </c>
      <c r="I183" s="17">
        <f>G183*Assumptions!$B$1</f>
        <v>0</v>
      </c>
      <c r="J183" s="17">
        <f>H183*Assumptions!$B$1</f>
        <v>0</v>
      </c>
      <c r="K183">
        <f t="shared" si="37"/>
        <v>0</v>
      </c>
      <c r="L183">
        <f t="shared" si="42"/>
        <v>0</v>
      </c>
      <c r="M183">
        <f>HLOOKUP(C183,Assumptions!$A$6:$J$7,2,TRUE)</f>
        <v>2.6499999999999999E-2</v>
      </c>
      <c r="N183" s="23">
        <f t="shared" si="32"/>
        <v>0</v>
      </c>
      <c r="O183" s="23">
        <f t="shared" si="38"/>
        <v>0</v>
      </c>
      <c r="P183">
        <f t="shared" si="43"/>
        <v>0</v>
      </c>
      <c r="Q183" s="23">
        <f t="shared" si="39"/>
        <v>0</v>
      </c>
      <c r="R183">
        <f>Q182*Assumptions!$B$11/$E$2*N183</f>
        <v>0</v>
      </c>
      <c r="S183">
        <f>Q182*Assumptions!$B$13/$E$2*N183</f>
        <v>0</v>
      </c>
      <c r="T183">
        <f>L183*Assumptions!$B$15</f>
        <v>0</v>
      </c>
      <c r="U183">
        <f>S183*Assumptions!$B$17</f>
        <v>0</v>
      </c>
      <c r="V183">
        <f>HLOOKUP(B183,Assumptions!$A$26:$D$27,2,TRUE)</f>
        <v>0</v>
      </c>
      <c r="W183">
        <f t="shared" si="44"/>
        <v>0</v>
      </c>
      <c r="X183">
        <f t="shared" si="45"/>
        <v>0.91666666666666785</v>
      </c>
      <c r="Y183">
        <f>IF(B183&gt;$M$2,0,IF(X184=0,0,(1-X184)*Assumptions!$B$11/$E$2*(1-Assumptions!$B$30)))</f>
        <v>0</v>
      </c>
      <c r="Z183">
        <f>(R183-S183)*(1-Assumptions!$B$30)-U183+Y182*Q182</f>
        <v>0</v>
      </c>
      <c r="AA183">
        <f>AA182*(1+Assumptions!$B$36)^(1/12)</f>
        <v>1.1532930924983031</v>
      </c>
      <c r="AB183" s="20">
        <f>IF(B183&gt;$M$2,0,AA182*Assumptions!$B$32/12*Q182+Z183*Assumptions!$B$34/12)</f>
        <v>0</v>
      </c>
      <c r="AC183" s="21">
        <f>1/(1+HLOOKUP(YEAR(A183),Assumptions!$A$41:$AL$43,3,TRUE))^(1/12)</f>
        <v>0.9983964236411178</v>
      </c>
      <c r="AD183">
        <f t="shared" si="40"/>
        <v>0</v>
      </c>
      <c r="AE183">
        <f t="shared" si="46"/>
        <v>0</v>
      </c>
    </row>
    <row r="184" spans="1:31" x14ac:dyDescent="0.2">
      <c r="A184" s="2">
        <f t="shared" si="47"/>
        <v>48365</v>
      </c>
      <c r="B184">
        <f t="shared" si="41"/>
        <v>253</v>
      </c>
      <c r="C184">
        <f t="shared" si="33"/>
        <v>21</v>
      </c>
      <c r="D184">
        <f t="shared" si="34"/>
        <v>1</v>
      </c>
      <c r="E184">
        <f t="shared" si="35"/>
        <v>76</v>
      </c>
      <c r="F184">
        <f t="shared" si="36"/>
        <v>68</v>
      </c>
      <c r="G184">
        <f>IF(C184&gt;=$L$2,0,VLOOKUP($E184,'Mortality Table'!$A$3:$C$128,2+H$2,FALSE))</f>
        <v>0</v>
      </c>
      <c r="H184">
        <f>IF(C184&gt;=$L$2,0,VLOOKUP($E184,'Mortality Table'!$A$3:$C$128,2+I$2,FALSE))</f>
        <v>0</v>
      </c>
      <c r="I184" s="17">
        <f>G184*Assumptions!$B$1</f>
        <v>0</v>
      </c>
      <c r="J184" s="17">
        <f>H184*Assumptions!$B$1</f>
        <v>0</v>
      </c>
      <c r="K184">
        <f t="shared" si="37"/>
        <v>0</v>
      </c>
      <c r="L184">
        <f t="shared" si="42"/>
        <v>0</v>
      </c>
      <c r="M184">
        <f>HLOOKUP(C184,Assumptions!$A$6:$J$7,2,TRUE)</f>
        <v>2.6499999999999999E-2</v>
      </c>
      <c r="N184" s="23">
        <f t="shared" si="32"/>
        <v>0</v>
      </c>
      <c r="O184" s="23">
        <f t="shared" si="38"/>
        <v>0</v>
      </c>
      <c r="P184">
        <f t="shared" si="43"/>
        <v>0</v>
      </c>
      <c r="Q184" s="23">
        <f t="shared" si="39"/>
        <v>0</v>
      </c>
      <c r="R184">
        <f>Q183*Assumptions!$B$11/$E$2*N184</f>
        <v>0</v>
      </c>
      <c r="S184">
        <f>Q183*Assumptions!$B$13/$E$2*N184</f>
        <v>0</v>
      </c>
      <c r="T184">
        <f>L184*Assumptions!$B$15</f>
        <v>0</v>
      </c>
      <c r="U184">
        <f>S184*Assumptions!$B$17</f>
        <v>0</v>
      </c>
      <c r="V184">
        <f>HLOOKUP(B184,Assumptions!$A$26:$D$27,2,TRUE)</f>
        <v>0</v>
      </c>
      <c r="W184">
        <f t="shared" si="44"/>
        <v>0</v>
      </c>
      <c r="X184">
        <f t="shared" si="45"/>
        <v>0</v>
      </c>
      <c r="Y184">
        <f>IF(B184&gt;$M$2,0,IF(X185=0,0,(1-X185)*Assumptions!$B$11/$E$2*(1-Assumptions!$B$30)))</f>
        <v>0</v>
      </c>
      <c r="Z184">
        <f>(R184-S184)*(1-Assumptions!$B$30)-U184+Y183*Q183</f>
        <v>0</v>
      </c>
      <c r="AA184">
        <f>AA183*(1+Assumptions!$B$36)^(1/12)</f>
        <v>1.1542497930755427</v>
      </c>
      <c r="AB184" s="20">
        <f>IF(B184&gt;$M$2,0,AA183*Assumptions!$B$32/12*Q183+Z184*Assumptions!$B$34/12)</f>
        <v>0</v>
      </c>
      <c r="AC184" s="21">
        <f>1/(1+HLOOKUP(YEAR(A184),Assumptions!$A$41:$AL$43,3,TRUE))^(1/12)</f>
        <v>0.9983964236411178</v>
      </c>
      <c r="AD184">
        <f t="shared" si="40"/>
        <v>0</v>
      </c>
      <c r="AE184">
        <f t="shared" si="46"/>
        <v>0</v>
      </c>
    </row>
    <row r="185" spans="1:31" x14ac:dyDescent="0.2">
      <c r="A185" s="2">
        <f t="shared" si="47"/>
        <v>48395</v>
      </c>
      <c r="B185">
        <f t="shared" si="41"/>
        <v>254</v>
      </c>
      <c r="C185">
        <f t="shared" si="33"/>
        <v>21.083333333333332</v>
      </c>
      <c r="D185">
        <f t="shared" si="34"/>
        <v>0</v>
      </c>
      <c r="E185">
        <f t="shared" si="35"/>
        <v>76</v>
      </c>
      <c r="F185">
        <f t="shared" si="36"/>
        <v>68</v>
      </c>
      <c r="G185">
        <f>IF(C185&gt;=$L$2,0,VLOOKUP($E185,'Mortality Table'!$A$3:$C$128,2+H$2,FALSE))</f>
        <v>0</v>
      </c>
      <c r="H185">
        <f>IF(C185&gt;=$L$2,0,VLOOKUP($E185,'Mortality Table'!$A$3:$C$128,2+I$2,FALSE))</f>
        <v>0</v>
      </c>
      <c r="I185" s="17">
        <f>G185*Assumptions!$B$1</f>
        <v>0</v>
      </c>
      <c r="J185" s="17">
        <f>H185*Assumptions!$B$1</f>
        <v>0</v>
      </c>
      <c r="K185">
        <f t="shared" si="37"/>
        <v>0</v>
      </c>
      <c r="L185">
        <f t="shared" si="42"/>
        <v>0</v>
      </c>
      <c r="M185">
        <f>HLOOKUP(C185,Assumptions!$A$6:$J$7,2,TRUE)</f>
        <v>2.6499999999999999E-2</v>
      </c>
      <c r="N185" s="23">
        <f t="shared" si="32"/>
        <v>0</v>
      </c>
      <c r="O185" s="23">
        <f t="shared" si="38"/>
        <v>0</v>
      </c>
      <c r="P185">
        <f t="shared" si="43"/>
        <v>0</v>
      </c>
      <c r="Q185" s="23">
        <f t="shared" si="39"/>
        <v>0</v>
      </c>
      <c r="R185">
        <f>Q184*Assumptions!$B$11/$E$2*N185</f>
        <v>0</v>
      </c>
      <c r="S185">
        <f>Q184*Assumptions!$B$13/$E$2*N185</f>
        <v>0</v>
      </c>
      <c r="T185">
        <f>L185*Assumptions!$B$15</f>
        <v>0</v>
      </c>
      <c r="U185">
        <f>S185*Assumptions!$B$17</f>
        <v>0</v>
      </c>
      <c r="V185">
        <f>HLOOKUP(B185,Assumptions!$A$26:$D$27,2,TRUE)</f>
        <v>0</v>
      </c>
      <c r="W185">
        <f t="shared" si="44"/>
        <v>0</v>
      </c>
      <c r="X185">
        <f t="shared" si="45"/>
        <v>8.3333333333332149E-2</v>
      </c>
      <c r="Y185">
        <f>IF(B185&gt;$M$2,0,IF(X186=0,0,(1-X186)*Assumptions!$B$11/$E$2*(1-Assumptions!$B$30)))</f>
        <v>0</v>
      </c>
      <c r="Z185">
        <f>(R185-S185)*(1-Assumptions!$B$30)-U185+Y184*Q184</f>
        <v>0</v>
      </c>
      <c r="AA185">
        <f>AA184*(1+Assumptions!$B$36)^(1/12)</f>
        <v>1.1552072872723751</v>
      </c>
      <c r="AB185" s="20">
        <f>IF(B185&gt;$M$2,0,AA184*Assumptions!$B$32/12*Q184+Z185*Assumptions!$B$34/12)</f>
        <v>0</v>
      </c>
      <c r="AC185" s="21">
        <f>1/(1+HLOOKUP(YEAR(A185),Assumptions!$A$41:$AL$43,3,TRUE))^(1/12)</f>
        <v>0.9983964236411178</v>
      </c>
      <c r="AD185">
        <f t="shared" si="40"/>
        <v>0</v>
      </c>
      <c r="AE185">
        <f t="shared" si="46"/>
        <v>0</v>
      </c>
    </row>
    <row r="186" spans="1:31" x14ac:dyDescent="0.2">
      <c r="A186" s="2">
        <f t="shared" si="47"/>
        <v>48426</v>
      </c>
      <c r="B186">
        <f t="shared" si="41"/>
        <v>255</v>
      </c>
      <c r="C186">
        <f t="shared" si="33"/>
        <v>21.166666666666668</v>
      </c>
      <c r="D186">
        <f t="shared" si="34"/>
        <v>0</v>
      </c>
      <c r="E186">
        <f t="shared" si="35"/>
        <v>76</v>
      </c>
      <c r="F186">
        <f t="shared" si="36"/>
        <v>68</v>
      </c>
      <c r="G186">
        <f>IF(C186&gt;=$L$2,0,VLOOKUP($E186,'Mortality Table'!$A$3:$C$128,2+H$2,FALSE))</f>
        <v>0</v>
      </c>
      <c r="H186">
        <f>IF(C186&gt;=$L$2,0,VLOOKUP($E186,'Mortality Table'!$A$3:$C$128,2+I$2,FALSE))</f>
        <v>0</v>
      </c>
      <c r="I186" s="17">
        <f>G186*Assumptions!$B$1</f>
        <v>0</v>
      </c>
      <c r="J186" s="17">
        <f>H186*Assumptions!$B$1</f>
        <v>0</v>
      </c>
      <c r="K186">
        <f t="shared" si="37"/>
        <v>0</v>
      </c>
      <c r="L186">
        <f t="shared" si="42"/>
        <v>0</v>
      </c>
      <c r="M186">
        <f>HLOOKUP(C186,Assumptions!$A$6:$J$7,2,TRUE)</f>
        <v>2.6499999999999999E-2</v>
      </c>
      <c r="N186" s="23">
        <f t="shared" si="32"/>
        <v>0</v>
      </c>
      <c r="O186" s="23">
        <f t="shared" si="38"/>
        <v>0</v>
      </c>
      <c r="P186">
        <f t="shared" si="43"/>
        <v>0</v>
      </c>
      <c r="Q186" s="23">
        <f t="shared" si="39"/>
        <v>0</v>
      </c>
      <c r="R186">
        <f>Q185*Assumptions!$B$11/$E$2*N186</f>
        <v>0</v>
      </c>
      <c r="S186">
        <f>Q185*Assumptions!$B$13/$E$2*N186</f>
        <v>0</v>
      </c>
      <c r="T186">
        <f>L186*Assumptions!$B$15</f>
        <v>0</v>
      </c>
      <c r="U186">
        <f>S186*Assumptions!$B$17</f>
        <v>0</v>
      </c>
      <c r="V186">
        <f>HLOOKUP(B186,Assumptions!$A$26:$D$27,2,TRUE)</f>
        <v>0</v>
      </c>
      <c r="W186">
        <f t="shared" si="44"/>
        <v>0</v>
      </c>
      <c r="X186">
        <f t="shared" si="45"/>
        <v>0.16666666666666785</v>
      </c>
      <c r="Y186">
        <f>IF(B186&gt;$M$2,0,IF(X187=0,0,(1-X187)*Assumptions!$B$11/$E$2*(1-Assumptions!$B$30)))</f>
        <v>0</v>
      </c>
      <c r="Z186">
        <f>(R186-S186)*(1-Assumptions!$B$30)-U186+Y185*Q185</f>
        <v>0</v>
      </c>
      <c r="AA186">
        <f>AA185*(1+Assumptions!$B$36)^(1/12)</f>
        <v>1.1561655757471381</v>
      </c>
      <c r="AB186" s="20">
        <f>IF(B186&gt;$M$2,0,AA185*Assumptions!$B$32/12*Q185+Z186*Assumptions!$B$34/12)</f>
        <v>0</v>
      </c>
      <c r="AC186" s="21">
        <f>1/(1+HLOOKUP(YEAR(A186),Assumptions!$A$41:$AL$43,3,TRUE))^(1/12)</f>
        <v>0.9983964236411178</v>
      </c>
      <c r="AD186">
        <f t="shared" si="40"/>
        <v>0</v>
      </c>
      <c r="AE186">
        <f t="shared" si="46"/>
        <v>0</v>
      </c>
    </row>
    <row r="187" spans="1:31" x14ac:dyDescent="0.2">
      <c r="A187" s="2">
        <f t="shared" si="47"/>
        <v>48457</v>
      </c>
      <c r="B187">
        <f t="shared" si="41"/>
        <v>256</v>
      </c>
      <c r="C187">
        <f t="shared" si="33"/>
        <v>21.25</v>
      </c>
      <c r="D187">
        <f t="shared" si="34"/>
        <v>0</v>
      </c>
      <c r="E187">
        <f t="shared" si="35"/>
        <v>76</v>
      </c>
      <c r="F187">
        <f t="shared" si="36"/>
        <v>68</v>
      </c>
      <c r="G187">
        <f>IF(C187&gt;=$L$2,0,VLOOKUP($E187,'Mortality Table'!$A$3:$C$128,2+H$2,FALSE))</f>
        <v>0</v>
      </c>
      <c r="H187">
        <f>IF(C187&gt;=$L$2,0,VLOOKUP($E187,'Mortality Table'!$A$3:$C$128,2+I$2,FALSE))</f>
        <v>0</v>
      </c>
      <c r="I187" s="17">
        <f>G187*Assumptions!$B$1</f>
        <v>0</v>
      </c>
      <c r="J187" s="17">
        <f>H187*Assumptions!$B$1</f>
        <v>0</v>
      </c>
      <c r="K187">
        <f t="shared" si="37"/>
        <v>0</v>
      </c>
      <c r="L187">
        <f t="shared" si="42"/>
        <v>0</v>
      </c>
      <c r="M187">
        <f>HLOOKUP(C187,Assumptions!$A$6:$J$7,2,TRUE)</f>
        <v>2.6499999999999999E-2</v>
      </c>
      <c r="N187" s="23">
        <f t="shared" si="32"/>
        <v>0</v>
      </c>
      <c r="O187" s="23">
        <f t="shared" si="38"/>
        <v>0</v>
      </c>
      <c r="P187">
        <f t="shared" si="43"/>
        <v>0</v>
      </c>
      <c r="Q187" s="23">
        <f t="shared" si="39"/>
        <v>0</v>
      </c>
      <c r="R187">
        <f>Q186*Assumptions!$B$11/$E$2*N187</f>
        <v>0</v>
      </c>
      <c r="S187">
        <f>Q186*Assumptions!$B$13/$E$2*N187</f>
        <v>0</v>
      </c>
      <c r="T187">
        <f>L187*Assumptions!$B$15</f>
        <v>0</v>
      </c>
      <c r="U187">
        <f>S187*Assumptions!$B$17</f>
        <v>0</v>
      </c>
      <c r="V187">
        <f>HLOOKUP(B187,Assumptions!$A$26:$D$27,2,TRUE)</f>
        <v>0</v>
      </c>
      <c r="W187">
        <f t="shared" si="44"/>
        <v>0</v>
      </c>
      <c r="X187">
        <f t="shared" si="45"/>
        <v>0.25</v>
      </c>
      <c r="Y187">
        <f>IF(B187&gt;$M$2,0,IF(X188=0,0,(1-X188)*Assumptions!$B$11/$E$2*(1-Assumptions!$B$30)))</f>
        <v>0</v>
      </c>
      <c r="Z187">
        <f>(R187-S187)*(1-Assumptions!$B$30)-U187+Y186*Q186</f>
        <v>0</v>
      </c>
      <c r="AA187">
        <f>AA186*(1+Assumptions!$B$36)^(1/12)</f>
        <v>1.1571246591587152</v>
      </c>
      <c r="AB187" s="20">
        <f>IF(B187&gt;$M$2,0,AA186*Assumptions!$B$32/12*Q186+Z187*Assumptions!$B$34/12)</f>
        <v>0</v>
      </c>
      <c r="AC187" s="21">
        <f>1/(1+HLOOKUP(YEAR(A187),Assumptions!$A$41:$AL$43,3,TRUE))^(1/12)</f>
        <v>0.9983964236411178</v>
      </c>
      <c r="AD187">
        <f t="shared" si="40"/>
        <v>0</v>
      </c>
      <c r="AE187">
        <f t="shared" si="46"/>
        <v>0</v>
      </c>
    </row>
    <row r="188" spans="1:31" x14ac:dyDescent="0.2">
      <c r="A188" s="2">
        <f t="shared" si="47"/>
        <v>48487</v>
      </c>
      <c r="B188">
        <f t="shared" si="41"/>
        <v>257</v>
      </c>
      <c r="C188">
        <f t="shared" si="33"/>
        <v>21.333333333333332</v>
      </c>
      <c r="D188">
        <f t="shared" si="34"/>
        <v>0</v>
      </c>
      <c r="E188">
        <f t="shared" si="35"/>
        <v>76</v>
      </c>
      <c r="F188">
        <f t="shared" si="36"/>
        <v>68</v>
      </c>
      <c r="G188">
        <f>IF(C188&gt;=$L$2,0,VLOOKUP($E188,'Mortality Table'!$A$3:$C$128,2+H$2,FALSE))</f>
        <v>0</v>
      </c>
      <c r="H188">
        <f>IF(C188&gt;=$L$2,0,VLOOKUP($E188,'Mortality Table'!$A$3:$C$128,2+I$2,FALSE))</f>
        <v>0</v>
      </c>
      <c r="I188" s="17">
        <f>G188*Assumptions!$B$1</f>
        <v>0</v>
      </c>
      <c r="J188" s="17">
        <f>H188*Assumptions!$B$1</f>
        <v>0</v>
      </c>
      <c r="K188">
        <f t="shared" si="37"/>
        <v>0</v>
      </c>
      <c r="L188">
        <f t="shared" si="42"/>
        <v>0</v>
      </c>
      <c r="M188">
        <f>HLOOKUP(C188,Assumptions!$A$6:$J$7,2,TRUE)</f>
        <v>2.6499999999999999E-2</v>
      </c>
      <c r="N188" s="23">
        <f t="shared" si="32"/>
        <v>0</v>
      </c>
      <c r="O188" s="23">
        <f t="shared" si="38"/>
        <v>0</v>
      </c>
      <c r="P188">
        <f t="shared" si="43"/>
        <v>0</v>
      </c>
      <c r="Q188" s="23">
        <f t="shared" si="39"/>
        <v>0</v>
      </c>
      <c r="R188">
        <f>Q187*Assumptions!$B$11/$E$2*N188</f>
        <v>0</v>
      </c>
      <c r="S188">
        <f>Q187*Assumptions!$B$13/$E$2*N188</f>
        <v>0</v>
      </c>
      <c r="T188">
        <f>L188*Assumptions!$B$15</f>
        <v>0</v>
      </c>
      <c r="U188">
        <f>S188*Assumptions!$B$17</f>
        <v>0</v>
      </c>
      <c r="V188">
        <f>HLOOKUP(B188,Assumptions!$A$26:$D$27,2,TRUE)</f>
        <v>0</v>
      </c>
      <c r="W188">
        <f t="shared" si="44"/>
        <v>0</v>
      </c>
      <c r="X188">
        <f t="shared" si="45"/>
        <v>0.33333333333333215</v>
      </c>
      <c r="Y188">
        <f>IF(B188&gt;$M$2,0,IF(X189=0,0,(1-X189)*Assumptions!$B$11/$E$2*(1-Assumptions!$B$30)))</f>
        <v>0</v>
      </c>
      <c r="Z188">
        <f>(R188-S188)*(1-Assumptions!$B$30)-U188+Y187*Q187</f>
        <v>0</v>
      </c>
      <c r="AA188">
        <f>AA187*(1+Assumptions!$B$36)^(1/12)</f>
        <v>1.1580845381665372</v>
      </c>
      <c r="AB188" s="20">
        <f>IF(B188&gt;$M$2,0,AA187*Assumptions!$B$32/12*Q187+Z188*Assumptions!$B$34/12)</f>
        <v>0</v>
      </c>
      <c r="AC188" s="21">
        <f>1/(1+HLOOKUP(YEAR(A188),Assumptions!$A$41:$AL$43,3,TRUE))^(1/12)</f>
        <v>0.9983964236411178</v>
      </c>
      <c r="AD188">
        <f t="shared" si="40"/>
        <v>0</v>
      </c>
      <c r="AE188">
        <f t="shared" si="46"/>
        <v>0</v>
      </c>
    </row>
    <row r="189" spans="1:31" x14ac:dyDescent="0.2">
      <c r="A189" s="2">
        <f t="shared" si="47"/>
        <v>48518</v>
      </c>
      <c r="B189">
        <f t="shared" si="41"/>
        <v>258</v>
      </c>
      <c r="C189">
        <f t="shared" si="33"/>
        <v>21.416666666666668</v>
      </c>
      <c r="D189">
        <f t="shared" si="34"/>
        <v>0</v>
      </c>
      <c r="E189">
        <f t="shared" si="35"/>
        <v>76</v>
      </c>
      <c r="F189">
        <f t="shared" si="36"/>
        <v>68</v>
      </c>
      <c r="G189">
        <f>IF(C189&gt;=$L$2,0,VLOOKUP($E189,'Mortality Table'!$A$3:$C$128,2+H$2,FALSE))</f>
        <v>0</v>
      </c>
      <c r="H189">
        <f>IF(C189&gt;=$L$2,0,VLOOKUP($E189,'Mortality Table'!$A$3:$C$128,2+I$2,FALSE))</f>
        <v>0</v>
      </c>
      <c r="I189" s="17">
        <f>G189*Assumptions!$B$1</f>
        <v>0</v>
      </c>
      <c r="J189" s="17">
        <f>H189*Assumptions!$B$1</f>
        <v>0</v>
      </c>
      <c r="K189">
        <f t="shared" si="37"/>
        <v>0</v>
      </c>
      <c r="L189">
        <f t="shared" si="42"/>
        <v>0</v>
      </c>
      <c r="M189">
        <f>HLOOKUP(C189,Assumptions!$A$6:$J$7,2,TRUE)</f>
        <v>2.6499999999999999E-2</v>
      </c>
      <c r="N189" s="23">
        <f t="shared" si="32"/>
        <v>0</v>
      </c>
      <c r="O189" s="23">
        <f t="shared" si="38"/>
        <v>0</v>
      </c>
      <c r="P189">
        <f t="shared" si="43"/>
        <v>0</v>
      </c>
      <c r="Q189" s="23">
        <f t="shared" si="39"/>
        <v>0</v>
      </c>
      <c r="R189">
        <f>Q188*Assumptions!$B$11/$E$2*N189</f>
        <v>0</v>
      </c>
      <c r="S189">
        <f>Q188*Assumptions!$B$13/$E$2*N189</f>
        <v>0</v>
      </c>
      <c r="T189">
        <f>L189*Assumptions!$B$15</f>
        <v>0</v>
      </c>
      <c r="U189">
        <f>S189*Assumptions!$B$17</f>
        <v>0</v>
      </c>
      <c r="V189">
        <f>HLOOKUP(B189,Assumptions!$A$26:$D$27,2,TRUE)</f>
        <v>0</v>
      </c>
      <c r="W189">
        <f t="shared" si="44"/>
        <v>0</v>
      </c>
      <c r="X189">
        <f t="shared" si="45"/>
        <v>0.41666666666666785</v>
      </c>
      <c r="Y189">
        <f>IF(B189&gt;$M$2,0,IF(X190=0,0,(1-X190)*Assumptions!$B$11/$E$2*(1-Assumptions!$B$30)))</f>
        <v>0</v>
      </c>
      <c r="Z189">
        <f>(R189-S189)*(1-Assumptions!$B$30)-U189+Y188*Q188</f>
        <v>0</v>
      </c>
      <c r="AA189">
        <f>AA188*(1+Assumptions!$B$36)^(1/12)</f>
        <v>1.1590452134305813</v>
      </c>
      <c r="AB189" s="20">
        <f>IF(B189&gt;$M$2,0,AA188*Assumptions!$B$32/12*Q188+Z189*Assumptions!$B$34/12)</f>
        <v>0</v>
      </c>
      <c r="AC189" s="21">
        <f>1/(1+HLOOKUP(YEAR(A189),Assumptions!$A$41:$AL$43,3,TRUE))^(1/12)</f>
        <v>0.9983964236411178</v>
      </c>
      <c r="AD189">
        <f t="shared" si="40"/>
        <v>0</v>
      </c>
      <c r="AE189">
        <f t="shared" si="46"/>
        <v>0</v>
      </c>
    </row>
    <row r="190" spans="1:31" x14ac:dyDescent="0.2">
      <c r="A190" s="2">
        <f t="shared" si="47"/>
        <v>48548</v>
      </c>
      <c r="B190">
        <f t="shared" si="41"/>
        <v>259</v>
      </c>
      <c r="C190">
        <f t="shared" si="33"/>
        <v>21.5</v>
      </c>
      <c r="D190">
        <f t="shared" si="34"/>
        <v>0</v>
      </c>
      <c r="E190">
        <f t="shared" si="35"/>
        <v>76</v>
      </c>
      <c r="F190">
        <f t="shared" si="36"/>
        <v>68</v>
      </c>
      <c r="G190">
        <f>IF(C190&gt;=$L$2,0,VLOOKUP($E190,'Mortality Table'!$A$3:$C$128,2+H$2,FALSE))</f>
        <v>0</v>
      </c>
      <c r="H190">
        <f>IF(C190&gt;=$L$2,0,VLOOKUP($E190,'Mortality Table'!$A$3:$C$128,2+I$2,FALSE))</f>
        <v>0</v>
      </c>
      <c r="I190" s="17">
        <f>G190*Assumptions!$B$1</f>
        <v>0</v>
      </c>
      <c r="J190" s="17">
        <f>H190*Assumptions!$B$1</f>
        <v>0</v>
      </c>
      <c r="K190">
        <f t="shared" si="37"/>
        <v>0</v>
      </c>
      <c r="L190">
        <f t="shared" si="42"/>
        <v>0</v>
      </c>
      <c r="M190">
        <f>HLOOKUP(C190,Assumptions!$A$6:$J$7,2,TRUE)</f>
        <v>2.6499999999999999E-2</v>
      </c>
      <c r="N190" s="23">
        <f t="shared" si="32"/>
        <v>0</v>
      </c>
      <c r="O190" s="23">
        <f t="shared" si="38"/>
        <v>0</v>
      </c>
      <c r="P190">
        <f t="shared" si="43"/>
        <v>0</v>
      </c>
      <c r="Q190" s="23">
        <f t="shared" si="39"/>
        <v>0</v>
      </c>
      <c r="R190">
        <f>Q189*Assumptions!$B$11/$E$2*N190</f>
        <v>0</v>
      </c>
      <c r="S190">
        <f>Q189*Assumptions!$B$13/$E$2*N190</f>
        <v>0</v>
      </c>
      <c r="T190">
        <f>L190*Assumptions!$B$15</f>
        <v>0</v>
      </c>
      <c r="U190">
        <f>S190*Assumptions!$B$17</f>
        <v>0</v>
      </c>
      <c r="V190">
        <f>HLOOKUP(B190,Assumptions!$A$26:$D$27,2,TRUE)</f>
        <v>0</v>
      </c>
      <c r="W190">
        <f t="shared" si="44"/>
        <v>0</v>
      </c>
      <c r="X190">
        <f t="shared" si="45"/>
        <v>0.5</v>
      </c>
      <c r="Y190">
        <f>IF(B190&gt;$M$2,0,IF(X191=0,0,(1-X191)*Assumptions!$B$11/$E$2*(1-Assumptions!$B$30)))</f>
        <v>0</v>
      </c>
      <c r="Z190">
        <f>(R190-S190)*(1-Assumptions!$B$30)-U190+Y189*Q189</f>
        <v>0</v>
      </c>
      <c r="AA190">
        <f>AA189*(1+Assumptions!$B$36)^(1/12)</f>
        <v>1.1600066856113724</v>
      </c>
      <c r="AB190" s="20">
        <f>IF(B190&gt;$M$2,0,AA189*Assumptions!$B$32/12*Q189+Z190*Assumptions!$B$34/12)</f>
        <v>0</v>
      </c>
      <c r="AC190" s="21">
        <f>1/(1+HLOOKUP(YEAR(A190),Assumptions!$A$41:$AL$43,3,TRUE))^(1/12)</f>
        <v>0.9983964236411178</v>
      </c>
      <c r="AD190">
        <f t="shared" si="40"/>
        <v>0</v>
      </c>
      <c r="AE190">
        <f t="shared" si="46"/>
        <v>0</v>
      </c>
    </row>
    <row r="191" spans="1:31" x14ac:dyDescent="0.2">
      <c r="A191" s="2">
        <f t="shared" si="47"/>
        <v>48579</v>
      </c>
      <c r="B191">
        <f t="shared" si="41"/>
        <v>260</v>
      </c>
      <c r="C191">
        <f t="shared" si="33"/>
        <v>21.583333333333332</v>
      </c>
      <c r="D191">
        <f t="shared" si="34"/>
        <v>0</v>
      </c>
      <c r="E191">
        <f t="shared" si="35"/>
        <v>76</v>
      </c>
      <c r="F191">
        <f t="shared" si="36"/>
        <v>68</v>
      </c>
      <c r="G191">
        <f>IF(C191&gt;=$L$2,0,VLOOKUP($E191,'Mortality Table'!$A$3:$C$128,2+H$2,FALSE))</f>
        <v>0</v>
      </c>
      <c r="H191">
        <f>IF(C191&gt;=$L$2,0,VLOOKUP($E191,'Mortality Table'!$A$3:$C$128,2+I$2,FALSE))</f>
        <v>0</v>
      </c>
      <c r="I191" s="17">
        <f>G191*Assumptions!$B$1</f>
        <v>0</v>
      </c>
      <c r="J191" s="17">
        <f>H191*Assumptions!$B$1</f>
        <v>0</v>
      </c>
      <c r="K191">
        <f t="shared" si="37"/>
        <v>0</v>
      </c>
      <c r="L191">
        <f t="shared" si="42"/>
        <v>0</v>
      </c>
      <c r="M191">
        <f>HLOOKUP(C191,Assumptions!$A$6:$J$7,2,TRUE)</f>
        <v>2.6499999999999999E-2</v>
      </c>
      <c r="N191" s="23">
        <f t="shared" si="32"/>
        <v>0</v>
      </c>
      <c r="O191" s="23">
        <f t="shared" si="38"/>
        <v>0</v>
      </c>
      <c r="P191">
        <f t="shared" si="43"/>
        <v>0</v>
      </c>
      <c r="Q191" s="23">
        <f t="shared" si="39"/>
        <v>0</v>
      </c>
      <c r="R191">
        <f>Q190*Assumptions!$B$11/$E$2*N191</f>
        <v>0</v>
      </c>
      <c r="S191">
        <f>Q190*Assumptions!$B$13/$E$2*N191</f>
        <v>0</v>
      </c>
      <c r="T191">
        <f>L191*Assumptions!$B$15</f>
        <v>0</v>
      </c>
      <c r="U191">
        <f>S191*Assumptions!$B$17</f>
        <v>0</v>
      </c>
      <c r="V191">
        <f>HLOOKUP(B191,Assumptions!$A$26:$D$27,2,TRUE)</f>
        <v>0</v>
      </c>
      <c r="W191">
        <f t="shared" si="44"/>
        <v>0</v>
      </c>
      <c r="X191">
        <f t="shared" si="45"/>
        <v>0.58333333333333215</v>
      </c>
      <c r="Y191">
        <f>IF(B191&gt;$M$2,0,IF(X192=0,0,(1-X192)*Assumptions!$B$11/$E$2*(1-Assumptions!$B$30)))</f>
        <v>0</v>
      </c>
      <c r="Z191">
        <f>(R191-S191)*(1-Assumptions!$B$30)-U191+Y190*Q190</f>
        <v>0</v>
      </c>
      <c r="AA191">
        <f>AA190*(1+Assumptions!$B$36)^(1/12)</f>
        <v>1.1609689553699833</v>
      </c>
      <c r="AB191" s="20">
        <f>IF(B191&gt;$M$2,0,AA190*Assumptions!$B$32/12*Q190+Z191*Assumptions!$B$34/12)</f>
        <v>0</v>
      </c>
      <c r="AC191" s="21">
        <f>1/(1+HLOOKUP(YEAR(A191),Assumptions!$A$41:$AL$43,3,TRUE))^(1/12)</f>
        <v>0.9983964236411178</v>
      </c>
      <c r="AD191">
        <f t="shared" si="40"/>
        <v>0</v>
      </c>
      <c r="AE191">
        <f t="shared" si="46"/>
        <v>0</v>
      </c>
    </row>
    <row r="192" spans="1:31" x14ac:dyDescent="0.2">
      <c r="A192" s="2">
        <f t="shared" si="47"/>
        <v>48610</v>
      </c>
      <c r="B192">
        <f t="shared" si="41"/>
        <v>261</v>
      </c>
      <c r="C192">
        <f t="shared" si="33"/>
        <v>21.666666666666668</v>
      </c>
      <c r="D192">
        <f t="shared" si="34"/>
        <v>0</v>
      </c>
      <c r="E192">
        <f t="shared" si="35"/>
        <v>76</v>
      </c>
      <c r="F192">
        <f t="shared" si="36"/>
        <v>68</v>
      </c>
      <c r="G192">
        <f>IF(C192&gt;=$L$2,0,VLOOKUP($E192,'Mortality Table'!$A$3:$C$128,2+H$2,FALSE))</f>
        <v>0</v>
      </c>
      <c r="H192">
        <f>IF(C192&gt;=$L$2,0,VLOOKUP($E192,'Mortality Table'!$A$3:$C$128,2+I$2,FALSE))</f>
        <v>0</v>
      </c>
      <c r="I192" s="17">
        <f>G192*Assumptions!$B$1</f>
        <v>0</v>
      </c>
      <c r="J192" s="17">
        <f>H192*Assumptions!$B$1</f>
        <v>0</v>
      </c>
      <c r="K192">
        <f t="shared" si="37"/>
        <v>0</v>
      </c>
      <c r="L192">
        <f t="shared" si="42"/>
        <v>0</v>
      </c>
      <c r="M192">
        <f>HLOOKUP(C192,Assumptions!$A$6:$J$7,2,TRUE)</f>
        <v>2.6499999999999999E-2</v>
      </c>
      <c r="N192" s="23">
        <f t="shared" si="32"/>
        <v>0</v>
      </c>
      <c r="O192" s="23">
        <f t="shared" si="38"/>
        <v>0</v>
      </c>
      <c r="P192">
        <f t="shared" si="43"/>
        <v>0</v>
      </c>
      <c r="Q192" s="23">
        <f t="shared" si="39"/>
        <v>0</v>
      </c>
      <c r="R192">
        <f>Q191*Assumptions!$B$11/$E$2*N192</f>
        <v>0</v>
      </c>
      <c r="S192">
        <f>Q191*Assumptions!$B$13/$E$2*N192</f>
        <v>0</v>
      </c>
      <c r="T192">
        <f>L192*Assumptions!$B$15</f>
        <v>0</v>
      </c>
      <c r="U192">
        <f>S192*Assumptions!$B$17</f>
        <v>0</v>
      </c>
      <c r="V192">
        <f>HLOOKUP(B192,Assumptions!$A$26:$D$27,2,TRUE)</f>
        <v>0</v>
      </c>
      <c r="W192">
        <f t="shared" si="44"/>
        <v>0</v>
      </c>
      <c r="X192">
        <f t="shared" si="45"/>
        <v>0.66666666666666785</v>
      </c>
      <c r="Y192">
        <f>IF(B192&gt;$M$2,0,IF(X193=0,0,(1-X193)*Assumptions!$B$11/$E$2*(1-Assumptions!$B$30)))</f>
        <v>0</v>
      </c>
      <c r="Z192">
        <f>(R192-S192)*(1-Assumptions!$B$30)-U192+Y191*Q191</f>
        <v>0</v>
      </c>
      <c r="AA192">
        <f>AA191*(1+Assumptions!$B$36)^(1/12)</f>
        <v>1.1619320233680355</v>
      </c>
      <c r="AB192" s="20">
        <f>IF(B192&gt;$M$2,0,AA191*Assumptions!$B$32/12*Q191+Z192*Assumptions!$B$34/12)</f>
        <v>0</v>
      </c>
      <c r="AC192" s="21">
        <f>1/(1+HLOOKUP(YEAR(A192),Assumptions!$A$41:$AL$43,3,TRUE))^(1/12)</f>
        <v>0.99832904108543385</v>
      </c>
      <c r="AD192">
        <f t="shared" si="40"/>
        <v>0</v>
      </c>
      <c r="AE192">
        <f t="shared" si="46"/>
        <v>0</v>
      </c>
    </row>
    <row r="193" spans="1:31" x14ac:dyDescent="0.2">
      <c r="A193" s="2">
        <f t="shared" si="47"/>
        <v>48638</v>
      </c>
      <c r="B193">
        <f t="shared" si="41"/>
        <v>262</v>
      </c>
      <c r="C193">
        <f t="shared" si="33"/>
        <v>21.75</v>
      </c>
      <c r="D193">
        <f t="shared" si="34"/>
        <v>0</v>
      </c>
      <c r="E193">
        <f t="shared" si="35"/>
        <v>76</v>
      </c>
      <c r="F193">
        <f t="shared" si="36"/>
        <v>68</v>
      </c>
      <c r="G193">
        <f>IF(C193&gt;=$L$2,0,VLOOKUP($E193,'Mortality Table'!$A$3:$C$128,2+H$2,FALSE))</f>
        <v>0</v>
      </c>
      <c r="H193">
        <f>IF(C193&gt;=$L$2,0,VLOOKUP($E193,'Mortality Table'!$A$3:$C$128,2+I$2,FALSE))</f>
        <v>0</v>
      </c>
      <c r="I193" s="17">
        <f>G193*Assumptions!$B$1</f>
        <v>0</v>
      </c>
      <c r="J193" s="17">
        <f>H193*Assumptions!$B$1</f>
        <v>0</v>
      </c>
      <c r="K193">
        <f t="shared" si="37"/>
        <v>0</v>
      </c>
      <c r="L193">
        <f t="shared" si="42"/>
        <v>0</v>
      </c>
      <c r="M193">
        <f>HLOOKUP(C193,Assumptions!$A$6:$J$7,2,TRUE)</f>
        <v>2.6499999999999999E-2</v>
      </c>
      <c r="N193" s="23">
        <f t="shared" si="32"/>
        <v>0</v>
      </c>
      <c r="O193" s="23">
        <f t="shared" si="38"/>
        <v>0</v>
      </c>
      <c r="P193">
        <f t="shared" si="43"/>
        <v>0</v>
      </c>
      <c r="Q193" s="23">
        <f t="shared" si="39"/>
        <v>0</v>
      </c>
      <c r="R193">
        <f>Q192*Assumptions!$B$11/$E$2*N193</f>
        <v>0</v>
      </c>
      <c r="S193">
        <f>Q192*Assumptions!$B$13/$E$2*N193</f>
        <v>0</v>
      </c>
      <c r="T193">
        <f>L193*Assumptions!$B$15</f>
        <v>0</v>
      </c>
      <c r="U193">
        <f>S193*Assumptions!$B$17</f>
        <v>0</v>
      </c>
      <c r="V193">
        <f>HLOOKUP(B193,Assumptions!$A$26:$D$27,2,TRUE)</f>
        <v>0</v>
      </c>
      <c r="W193">
        <f t="shared" si="44"/>
        <v>0</v>
      </c>
      <c r="X193">
        <f t="shared" si="45"/>
        <v>0.75</v>
      </c>
      <c r="Y193">
        <f>IF(B193&gt;$M$2,0,IF(X194=0,0,(1-X194)*Assumptions!$B$11/$E$2*(1-Assumptions!$B$30)))</f>
        <v>0</v>
      </c>
      <c r="Z193">
        <f>(R193-S193)*(1-Assumptions!$B$30)-U193+Y192*Q192</f>
        <v>0</v>
      </c>
      <c r="AA193">
        <f>AA192*(1+Assumptions!$B$36)^(1/12)</f>
        <v>1.1628958902676987</v>
      </c>
      <c r="AB193" s="20">
        <f>IF(B193&gt;$M$2,0,AA192*Assumptions!$B$32/12*Q192+Z193*Assumptions!$B$34/12)</f>
        <v>0</v>
      </c>
      <c r="AC193" s="21">
        <f>1/(1+HLOOKUP(YEAR(A193),Assumptions!$A$41:$AL$43,3,TRUE))^(1/12)</f>
        <v>0.99832904108543385</v>
      </c>
      <c r="AD193">
        <f t="shared" si="40"/>
        <v>0</v>
      </c>
      <c r="AE193">
        <f t="shared" si="46"/>
        <v>0</v>
      </c>
    </row>
    <row r="194" spans="1:31" x14ac:dyDescent="0.2">
      <c r="A194" s="2">
        <f t="shared" si="47"/>
        <v>48669</v>
      </c>
      <c r="B194">
        <f t="shared" si="41"/>
        <v>263</v>
      </c>
      <c r="C194">
        <f t="shared" si="33"/>
        <v>21.833333333333332</v>
      </c>
      <c r="D194">
        <f t="shared" si="34"/>
        <v>0</v>
      </c>
      <c r="E194">
        <f t="shared" si="35"/>
        <v>76</v>
      </c>
      <c r="F194">
        <f t="shared" si="36"/>
        <v>68</v>
      </c>
      <c r="G194">
        <f>IF(C194&gt;=$L$2,0,VLOOKUP($E194,'Mortality Table'!$A$3:$C$128,2+H$2,FALSE))</f>
        <v>0</v>
      </c>
      <c r="H194">
        <f>IF(C194&gt;=$L$2,0,VLOOKUP($E194,'Mortality Table'!$A$3:$C$128,2+I$2,FALSE))</f>
        <v>0</v>
      </c>
      <c r="I194" s="17">
        <f>G194*Assumptions!$B$1</f>
        <v>0</v>
      </c>
      <c r="J194" s="17">
        <f>H194*Assumptions!$B$1</f>
        <v>0</v>
      </c>
      <c r="K194">
        <f t="shared" si="37"/>
        <v>0</v>
      </c>
      <c r="L194">
        <f t="shared" si="42"/>
        <v>0</v>
      </c>
      <c r="M194">
        <f>HLOOKUP(C194,Assumptions!$A$6:$J$7,2,TRUE)</f>
        <v>2.6499999999999999E-2</v>
      </c>
      <c r="N194" s="23">
        <f t="shared" si="32"/>
        <v>0</v>
      </c>
      <c r="O194" s="23">
        <f t="shared" si="38"/>
        <v>0</v>
      </c>
      <c r="P194">
        <f t="shared" si="43"/>
        <v>0</v>
      </c>
      <c r="Q194" s="23">
        <f t="shared" si="39"/>
        <v>0</v>
      </c>
      <c r="R194">
        <f>Q193*Assumptions!$B$11/$E$2*N194</f>
        <v>0</v>
      </c>
      <c r="S194">
        <f>Q193*Assumptions!$B$13/$E$2*N194</f>
        <v>0</v>
      </c>
      <c r="T194">
        <f>L194*Assumptions!$B$15</f>
        <v>0</v>
      </c>
      <c r="U194">
        <f>S194*Assumptions!$B$17</f>
        <v>0</v>
      </c>
      <c r="V194">
        <f>HLOOKUP(B194,Assumptions!$A$26:$D$27,2,TRUE)</f>
        <v>0</v>
      </c>
      <c r="W194">
        <f t="shared" si="44"/>
        <v>0</v>
      </c>
      <c r="X194">
        <f t="shared" si="45"/>
        <v>0.83333333333333215</v>
      </c>
      <c r="Y194">
        <f>IF(B194&gt;$M$2,0,IF(X195=0,0,(1-X195)*Assumptions!$B$11/$E$2*(1-Assumptions!$B$30)))</f>
        <v>0</v>
      </c>
      <c r="Z194">
        <f>(R194-S194)*(1-Assumptions!$B$30)-U194+Y193*Q193</f>
        <v>0</v>
      </c>
      <c r="AA194">
        <f>AA193*(1+Assumptions!$B$36)^(1/12)</f>
        <v>1.1638605567316922</v>
      </c>
      <c r="AB194" s="20">
        <f>IF(B194&gt;$M$2,0,AA193*Assumptions!$B$32/12*Q193+Z194*Assumptions!$B$34/12)</f>
        <v>0</v>
      </c>
      <c r="AC194" s="21">
        <f>1/(1+HLOOKUP(YEAR(A194),Assumptions!$A$41:$AL$43,3,TRUE))^(1/12)</f>
        <v>0.99832904108543385</v>
      </c>
      <c r="AD194">
        <f t="shared" si="40"/>
        <v>0</v>
      </c>
      <c r="AE194">
        <f t="shared" si="46"/>
        <v>0</v>
      </c>
    </row>
    <row r="195" spans="1:31" x14ac:dyDescent="0.2">
      <c r="A195" s="2">
        <f t="shared" si="47"/>
        <v>48699</v>
      </c>
      <c r="B195">
        <f t="shared" si="41"/>
        <v>264</v>
      </c>
      <c r="C195">
        <f t="shared" si="33"/>
        <v>21.916666666666668</v>
      </c>
      <c r="D195">
        <f t="shared" si="34"/>
        <v>0</v>
      </c>
      <c r="E195">
        <f t="shared" si="35"/>
        <v>76</v>
      </c>
      <c r="F195">
        <f t="shared" si="36"/>
        <v>68</v>
      </c>
      <c r="G195">
        <f>IF(C195&gt;=$L$2,0,VLOOKUP($E195,'Mortality Table'!$A$3:$C$128,2+H$2,FALSE))</f>
        <v>0</v>
      </c>
      <c r="H195">
        <f>IF(C195&gt;=$L$2,0,VLOOKUP($E195,'Mortality Table'!$A$3:$C$128,2+I$2,FALSE))</f>
        <v>0</v>
      </c>
      <c r="I195" s="17">
        <f>G195*Assumptions!$B$1</f>
        <v>0</v>
      </c>
      <c r="J195" s="17">
        <f>H195*Assumptions!$B$1</f>
        <v>0</v>
      </c>
      <c r="K195">
        <f t="shared" si="37"/>
        <v>0</v>
      </c>
      <c r="L195">
        <f t="shared" si="42"/>
        <v>0</v>
      </c>
      <c r="M195">
        <f>HLOOKUP(C195,Assumptions!$A$6:$J$7,2,TRUE)</f>
        <v>2.6499999999999999E-2</v>
      </c>
      <c r="N195" s="23">
        <f t="shared" si="32"/>
        <v>0</v>
      </c>
      <c r="O195" s="23">
        <f t="shared" si="38"/>
        <v>0</v>
      </c>
      <c r="P195">
        <f t="shared" si="43"/>
        <v>0</v>
      </c>
      <c r="Q195" s="23">
        <f t="shared" si="39"/>
        <v>0</v>
      </c>
      <c r="R195">
        <f>Q194*Assumptions!$B$11/$E$2*N195</f>
        <v>0</v>
      </c>
      <c r="S195">
        <f>Q194*Assumptions!$B$13/$E$2*N195</f>
        <v>0</v>
      </c>
      <c r="T195">
        <f>L195*Assumptions!$B$15</f>
        <v>0</v>
      </c>
      <c r="U195">
        <f>S195*Assumptions!$B$17</f>
        <v>0</v>
      </c>
      <c r="V195">
        <f>HLOOKUP(B195,Assumptions!$A$26:$D$27,2,TRUE)</f>
        <v>0</v>
      </c>
      <c r="W195">
        <f t="shared" si="44"/>
        <v>0</v>
      </c>
      <c r="X195">
        <f t="shared" si="45"/>
        <v>0.91666666666666785</v>
      </c>
      <c r="Y195">
        <f>IF(B195&gt;$M$2,0,IF(X196=0,0,(1-X196)*Assumptions!$B$11/$E$2*(1-Assumptions!$B$30)))</f>
        <v>0</v>
      </c>
      <c r="Z195">
        <f>(R195-S195)*(1-Assumptions!$B$30)-U195+Y194*Q194</f>
        <v>0</v>
      </c>
      <c r="AA195">
        <f>AA194*(1+Assumptions!$B$36)^(1/12)</f>
        <v>1.1648260234232852</v>
      </c>
      <c r="AB195" s="20">
        <f>IF(B195&gt;$M$2,0,AA194*Assumptions!$B$32/12*Q194+Z195*Assumptions!$B$34/12)</f>
        <v>0</v>
      </c>
      <c r="AC195" s="21">
        <f>1/(1+HLOOKUP(YEAR(A195),Assumptions!$A$41:$AL$43,3,TRUE))^(1/12)</f>
        <v>0.99832904108543385</v>
      </c>
      <c r="AD195">
        <f t="shared" si="40"/>
        <v>0</v>
      </c>
      <c r="AE195">
        <f t="shared" si="46"/>
        <v>0</v>
      </c>
    </row>
    <row r="196" spans="1:31" x14ac:dyDescent="0.2">
      <c r="A196" s="2">
        <f t="shared" si="47"/>
        <v>48730</v>
      </c>
      <c r="B196">
        <f t="shared" si="41"/>
        <v>265</v>
      </c>
      <c r="C196">
        <f t="shared" si="33"/>
        <v>22</v>
      </c>
      <c r="D196">
        <f t="shared" si="34"/>
        <v>1</v>
      </c>
      <c r="E196">
        <f t="shared" si="35"/>
        <v>77</v>
      </c>
      <c r="F196">
        <f t="shared" si="36"/>
        <v>69</v>
      </c>
      <c r="G196">
        <f>IF(C196&gt;=$L$2,0,VLOOKUP($E196,'Mortality Table'!$A$3:$C$128,2+H$2,FALSE))</f>
        <v>0</v>
      </c>
      <c r="H196">
        <f>IF(C196&gt;=$L$2,0,VLOOKUP($E196,'Mortality Table'!$A$3:$C$128,2+I$2,FALSE))</f>
        <v>0</v>
      </c>
      <c r="I196" s="17">
        <f>G196*Assumptions!$B$1</f>
        <v>0</v>
      </c>
      <c r="J196" s="17">
        <f>H196*Assumptions!$B$1</f>
        <v>0</v>
      </c>
      <c r="K196">
        <f t="shared" si="37"/>
        <v>0</v>
      </c>
      <c r="L196">
        <f t="shared" si="42"/>
        <v>0</v>
      </c>
      <c r="M196">
        <f>HLOOKUP(C196,Assumptions!$A$6:$J$7,2,TRUE)</f>
        <v>2.6499999999999999E-2</v>
      </c>
      <c r="N196" s="23">
        <f t="shared" si="32"/>
        <v>0</v>
      </c>
      <c r="O196" s="23">
        <f t="shared" si="38"/>
        <v>0</v>
      </c>
      <c r="P196">
        <f t="shared" si="43"/>
        <v>0</v>
      </c>
      <c r="Q196" s="23">
        <f t="shared" si="39"/>
        <v>0</v>
      </c>
      <c r="R196">
        <f>Q195*Assumptions!$B$11/$E$2*N196</f>
        <v>0</v>
      </c>
      <c r="S196">
        <f>Q195*Assumptions!$B$13/$E$2*N196</f>
        <v>0</v>
      </c>
      <c r="T196">
        <f>L196*Assumptions!$B$15</f>
        <v>0</v>
      </c>
      <c r="U196">
        <f>S196*Assumptions!$B$17</f>
        <v>0</v>
      </c>
      <c r="V196">
        <f>HLOOKUP(B196,Assumptions!$A$26:$D$27,2,TRUE)</f>
        <v>0</v>
      </c>
      <c r="W196">
        <f t="shared" si="44"/>
        <v>0</v>
      </c>
      <c r="X196">
        <f t="shared" si="45"/>
        <v>0</v>
      </c>
      <c r="Y196">
        <f>IF(B196&gt;$M$2,0,IF(X197=0,0,(1-X197)*Assumptions!$B$11/$E$2*(1-Assumptions!$B$30)))</f>
        <v>0</v>
      </c>
      <c r="Z196">
        <f>(R196-S196)*(1-Assumptions!$B$30)-U196+Y195*Q195</f>
        <v>0</v>
      </c>
      <c r="AA196">
        <f>AA195*(1+Assumptions!$B$36)^(1/12)</f>
        <v>1.1657922910062972</v>
      </c>
      <c r="AB196" s="20">
        <f>IF(B196&gt;$M$2,0,AA195*Assumptions!$B$32/12*Q195+Z196*Assumptions!$B$34/12)</f>
        <v>0</v>
      </c>
      <c r="AC196" s="21">
        <f>1/(1+HLOOKUP(YEAR(A196),Assumptions!$A$41:$AL$43,3,TRUE))^(1/12)</f>
        <v>0.99832904108543385</v>
      </c>
      <c r="AD196">
        <f t="shared" si="40"/>
        <v>0</v>
      </c>
      <c r="AE196">
        <f t="shared" si="46"/>
        <v>0</v>
      </c>
    </row>
    <row r="197" spans="1:31" x14ac:dyDescent="0.2">
      <c r="A197" s="2">
        <f t="shared" si="47"/>
        <v>48760</v>
      </c>
      <c r="B197">
        <f t="shared" si="41"/>
        <v>266</v>
      </c>
      <c r="C197">
        <f t="shared" si="33"/>
        <v>22.083333333333332</v>
      </c>
      <c r="D197">
        <f t="shared" si="34"/>
        <v>0</v>
      </c>
      <c r="E197">
        <f t="shared" si="35"/>
        <v>77</v>
      </c>
      <c r="F197">
        <f t="shared" si="36"/>
        <v>69</v>
      </c>
      <c r="G197">
        <f>IF(C197&gt;=$L$2,0,VLOOKUP($E197,'Mortality Table'!$A$3:$C$128,2+H$2,FALSE))</f>
        <v>0</v>
      </c>
      <c r="H197">
        <f>IF(C197&gt;=$L$2,0,VLOOKUP($E197,'Mortality Table'!$A$3:$C$128,2+I$2,FALSE))</f>
        <v>0</v>
      </c>
      <c r="I197" s="17">
        <f>G197*Assumptions!$B$1</f>
        <v>0</v>
      </c>
      <c r="J197" s="17">
        <f>H197*Assumptions!$B$1</f>
        <v>0</v>
      </c>
      <c r="K197">
        <f t="shared" si="37"/>
        <v>0</v>
      </c>
      <c r="L197">
        <f t="shared" si="42"/>
        <v>0</v>
      </c>
      <c r="M197">
        <f>HLOOKUP(C197,Assumptions!$A$6:$J$7,2,TRUE)</f>
        <v>2.6499999999999999E-2</v>
      </c>
      <c r="N197" s="23">
        <f t="shared" si="32"/>
        <v>0</v>
      </c>
      <c r="O197" s="23">
        <f t="shared" si="38"/>
        <v>0</v>
      </c>
      <c r="P197">
        <f t="shared" si="43"/>
        <v>0</v>
      </c>
      <c r="Q197" s="23">
        <f t="shared" si="39"/>
        <v>0</v>
      </c>
      <c r="R197">
        <f>Q196*Assumptions!$B$11/$E$2*N197</f>
        <v>0</v>
      </c>
      <c r="S197">
        <f>Q196*Assumptions!$B$13/$E$2*N197</f>
        <v>0</v>
      </c>
      <c r="T197">
        <f>L197*Assumptions!$B$15</f>
        <v>0</v>
      </c>
      <c r="U197">
        <f>S197*Assumptions!$B$17</f>
        <v>0</v>
      </c>
      <c r="V197">
        <f>HLOOKUP(B197,Assumptions!$A$26:$D$27,2,TRUE)</f>
        <v>0</v>
      </c>
      <c r="W197">
        <f t="shared" si="44"/>
        <v>0</v>
      </c>
      <c r="X197">
        <f t="shared" si="45"/>
        <v>8.3333333333332149E-2</v>
      </c>
      <c r="Y197">
        <f>IF(B197&gt;$M$2,0,IF(X198=0,0,(1-X198)*Assumptions!$B$11/$E$2*(1-Assumptions!$B$30)))</f>
        <v>0</v>
      </c>
      <c r="Z197">
        <f>(R197-S197)*(1-Assumptions!$B$30)-U197+Y196*Q196</f>
        <v>0</v>
      </c>
      <c r="AA197">
        <f>AA196*(1+Assumptions!$B$36)^(1/12)</f>
        <v>1.1667593601450978</v>
      </c>
      <c r="AB197" s="20">
        <f>IF(B197&gt;$M$2,0,AA196*Assumptions!$B$32/12*Q196+Z197*Assumptions!$B$34/12)</f>
        <v>0</v>
      </c>
      <c r="AC197" s="21">
        <f>1/(1+HLOOKUP(YEAR(A197),Assumptions!$A$41:$AL$43,3,TRUE))^(1/12)</f>
        <v>0.99832904108543385</v>
      </c>
      <c r="AD197">
        <f t="shared" si="40"/>
        <v>0</v>
      </c>
      <c r="AE197">
        <f t="shared" si="46"/>
        <v>0</v>
      </c>
    </row>
    <row r="198" spans="1:31" x14ac:dyDescent="0.2">
      <c r="A198" s="2">
        <f t="shared" si="47"/>
        <v>48791</v>
      </c>
      <c r="B198">
        <f t="shared" si="41"/>
        <v>267</v>
      </c>
      <c r="C198">
        <f t="shared" si="33"/>
        <v>22.166666666666668</v>
      </c>
      <c r="D198">
        <f t="shared" si="34"/>
        <v>0</v>
      </c>
      <c r="E198">
        <f t="shared" si="35"/>
        <v>77</v>
      </c>
      <c r="F198">
        <f t="shared" si="36"/>
        <v>69</v>
      </c>
      <c r="G198">
        <f>IF(C198&gt;=$L$2,0,VLOOKUP($E198,'Mortality Table'!$A$3:$C$128,2+H$2,FALSE))</f>
        <v>0</v>
      </c>
      <c r="H198">
        <f>IF(C198&gt;=$L$2,0,VLOOKUP($E198,'Mortality Table'!$A$3:$C$128,2+I$2,FALSE))</f>
        <v>0</v>
      </c>
      <c r="I198" s="17">
        <f>G198*Assumptions!$B$1</f>
        <v>0</v>
      </c>
      <c r="J198" s="17">
        <f>H198*Assumptions!$B$1</f>
        <v>0</v>
      </c>
      <c r="K198">
        <f t="shared" si="37"/>
        <v>0</v>
      </c>
      <c r="L198">
        <f t="shared" si="42"/>
        <v>0</v>
      </c>
      <c r="M198">
        <f>HLOOKUP(C198,Assumptions!$A$6:$J$7,2,TRUE)</f>
        <v>2.6499999999999999E-2</v>
      </c>
      <c r="N198" s="23">
        <f t="shared" si="32"/>
        <v>0</v>
      </c>
      <c r="O198" s="23">
        <f t="shared" si="38"/>
        <v>0</v>
      </c>
      <c r="P198">
        <f t="shared" si="43"/>
        <v>0</v>
      </c>
      <c r="Q198" s="23">
        <f t="shared" si="39"/>
        <v>0</v>
      </c>
      <c r="R198">
        <f>Q197*Assumptions!$B$11/$E$2*N198</f>
        <v>0</v>
      </c>
      <c r="S198">
        <f>Q197*Assumptions!$B$13/$E$2*N198</f>
        <v>0</v>
      </c>
      <c r="T198">
        <f>L198*Assumptions!$B$15</f>
        <v>0</v>
      </c>
      <c r="U198">
        <f>S198*Assumptions!$B$17</f>
        <v>0</v>
      </c>
      <c r="V198">
        <f>HLOOKUP(B198,Assumptions!$A$26:$D$27,2,TRUE)</f>
        <v>0</v>
      </c>
      <c r="W198">
        <f t="shared" si="44"/>
        <v>0</v>
      </c>
      <c r="X198">
        <f t="shared" si="45"/>
        <v>0.16666666666666785</v>
      </c>
      <c r="Y198">
        <f>IF(B198&gt;$M$2,0,IF(X199=0,0,(1-X199)*Assumptions!$B$11/$E$2*(1-Assumptions!$B$30)))</f>
        <v>0</v>
      </c>
      <c r="Z198">
        <f>(R198-S198)*(1-Assumptions!$B$30)-U198+Y197*Q197</f>
        <v>0</v>
      </c>
      <c r="AA198">
        <f>AA197*(1+Assumptions!$B$36)^(1/12)</f>
        <v>1.1677272315046083</v>
      </c>
      <c r="AB198" s="20">
        <f>IF(B198&gt;$M$2,0,AA197*Assumptions!$B$32/12*Q197+Z198*Assumptions!$B$34/12)</f>
        <v>0</v>
      </c>
      <c r="AC198" s="21">
        <f>1/(1+HLOOKUP(YEAR(A198),Assumptions!$A$41:$AL$43,3,TRUE))^(1/12)</f>
        <v>0.99832904108543385</v>
      </c>
      <c r="AD198">
        <f t="shared" si="40"/>
        <v>0</v>
      </c>
      <c r="AE198">
        <f t="shared" si="46"/>
        <v>0</v>
      </c>
    </row>
    <row r="199" spans="1:31" x14ac:dyDescent="0.2">
      <c r="A199" s="2">
        <f t="shared" si="47"/>
        <v>48822</v>
      </c>
      <c r="B199">
        <f t="shared" si="41"/>
        <v>268</v>
      </c>
      <c r="C199">
        <f t="shared" si="33"/>
        <v>22.25</v>
      </c>
      <c r="D199">
        <f t="shared" si="34"/>
        <v>0</v>
      </c>
      <c r="E199">
        <f t="shared" si="35"/>
        <v>77</v>
      </c>
      <c r="F199">
        <f t="shared" si="36"/>
        <v>69</v>
      </c>
      <c r="G199">
        <f>IF(C199&gt;=$L$2,0,VLOOKUP($E199,'Mortality Table'!$A$3:$C$128,2+H$2,FALSE))</f>
        <v>0</v>
      </c>
      <c r="H199">
        <f>IF(C199&gt;=$L$2,0,VLOOKUP($E199,'Mortality Table'!$A$3:$C$128,2+I$2,FALSE))</f>
        <v>0</v>
      </c>
      <c r="I199" s="17">
        <f>G199*Assumptions!$B$1</f>
        <v>0</v>
      </c>
      <c r="J199" s="17">
        <f>H199*Assumptions!$B$1</f>
        <v>0</v>
      </c>
      <c r="K199">
        <f t="shared" si="37"/>
        <v>0</v>
      </c>
      <c r="L199">
        <f t="shared" si="42"/>
        <v>0</v>
      </c>
      <c r="M199">
        <f>HLOOKUP(C199,Assumptions!$A$6:$J$7,2,TRUE)</f>
        <v>2.6499999999999999E-2</v>
      </c>
      <c r="N199" s="23">
        <f t="shared" si="32"/>
        <v>0</v>
      </c>
      <c r="O199" s="23">
        <f t="shared" si="38"/>
        <v>0</v>
      </c>
      <c r="P199">
        <f t="shared" si="43"/>
        <v>0</v>
      </c>
      <c r="Q199" s="23">
        <f t="shared" si="39"/>
        <v>0</v>
      </c>
      <c r="R199">
        <f>Q198*Assumptions!$B$11/$E$2*N199</f>
        <v>0</v>
      </c>
      <c r="S199">
        <f>Q198*Assumptions!$B$13/$E$2*N199</f>
        <v>0</v>
      </c>
      <c r="T199">
        <f>L199*Assumptions!$B$15</f>
        <v>0</v>
      </c>
      <c r="U199">
        <f>S199*Assumptions!$B$17</f>
        <v>0</v>
      </c>
      <c r="V199">
        <f>HLOOKUP(B199,Assumptions!$A$26:$D$27,2,TRUE)</f>
        <v>0</v>
      </c>
      <c r="W199">
        <f t="shared" si="44"/>
        <v>0</v>
      </c>
      <c r="X199">
        <f t="shared" si="45"/>
        <v>0.25</v>
      </c>
      <c r="Y199">
        <f>IF(B199&gt;$M$2,0,IF(X200=0,0,(1-X200)*Assumptions!$B$11/$E$2*(1-Assumptions!$B$30)))</f>
        <v>0</v>
      </c>
      <c r="Z199">
        <f>(R199-S199)*(1-Assumptions!$B$30)-U199+Y198*Q198</f>
        <v>0</v>
      </c>
      <c r="AA199">
        <f>AA198*(1+Assumptions!$B$36)^(1/12)</f>
        <v>1.1686959057503012</v>
      </c>
      <c r="AB199" s="20">
        <f>IF(B199&gt;$M$2,0,AA198*Assumptions!$B$32/12*Q198+Z199*Assumptions!$B$34/12)</f>
        <v>0</v>
      </c>
      <c r="AC199" s="21">
        <f>1/(1+HLOOKUP(YEAR(A199),Assumptions!$A$41:$AL$43,3,TRUE))^(1/12)</f>
        <v>0.99832904108543385</v>
      </c>
      <c r="AD199">
        <f t="shared" si="40"/>
        <v>0</v>
      </c>
      <c r="AE199">
        <f t="shared" si="46"/>
        <v>0</v>
      </c>
    </row>
    <row r="200" spans="1:31" x14ac:dyDescent="0.2">
      <c r="A200" s="2">
        <f t="shared" si="47"/>
        <v>48852</v>
      </c>
      <c r="B200">
        <f t="shared" si="41"/>
        <v>269</v>
      </c>
      <c r="C200">
        <f t="shared" si="33"/>
        <v>22.333333333333332</v>
      </c>
      <c r="D200">
        <f t="shared" si="34"/>
        <v>0</v>
      </c>
      <c r="E200">
        <f t="shared" si="35"/>
        <v>77</v>
      </c>
      <c r="F200">
        <f t="shared" si="36"/>
        <v>69</v>
      </c>
      <c r="G200">
        <f>IF(C200&gt;=$L$2,0,VLOOKUP($E200,'Mortality Table'!$A$3:$C$128,2+H$2,FALSE))</f>
        <v>0</v>
      </c>
      <c r="H200">
        <f>IF(C200&gt;=$L$2,0,VLOOKUP($E200,'Mortality Table'!$A$3:$C$128,2+I$2,FALSE))</f>
        <v>0</v>
      </c>
      <c r="I200" s="17">
        <f>G200*Assumptions!$B$1</f>
        <v>0</v>
      </c>
      <c r="J200" s="17">
        <f>H200*Assumptions!$B$1</f>
        <v>0</v>
      </c>
      <c r="K200">
        <f t="shared" si="37"/>
        <v>0</v>
      </c>
      <c r="L200">
        <f t="shared" si="42"/>
        <v>0</v>
      </c>
      <c r="M200">
        <f>HLOOKUP(C200,Assumptions!$A$6:$J$7,2,TRUE)</f>
        <v>2.6499999999999999E-2</v>
      </c>
      <c r="N200" s="23">
        <f t="shared" si="32"/>
        <v>0</v>
      </c>
      <c r="O200" s="23">
        <f t="shared" si="38"/>
        <v>0</v>
      </c>
      <c r="P200">
        <f t="shared" si="43"/>
        <v>0</v>
      </c>
      <c r="Q200" s="23">
        <f t="shared" si="39"/>
        <v>0</v>
      </c>
      <c r="R200">
        <f>Q199*Assumptions!$B$11/$E$2*N200</f>
        <v>0</v>
      </c>
      <c r="S200">
        <f>Q199*Assumptions!$B$13/$E$2*N200</f>
        <v>0</v>
      </c>
      <c r="T200">
        <f>L200*Assumptions!$B$15</f>
        <v>0</v>
      </c>
      <c r="U200">
        <f>S200*Assumptions!$B$17</f>
        <v>0</v>
      </c>
      <c r="V200">
        <f>HLOOKUP(B200,Assumptions!$A$26:$D$27,2,TRUE)</f>
        <v>0</v>
      </c>
      <c r="W200">
        <f t="shared" si="44"/>
        <v>0</v>
      </c>
      <c r="X200">
        <f t="shared" si="45"/>
        <v>0.33333333333333215</v>
      </c>
      <c r="Y200">
        <f>IF(B200&gt;$M$2,0,IF(X201=0,0,(1-X201)*Assumptions!$B$11/$E$2*(1-Assumptions!$B$30)))</f>
        <v>0</v>
      </c>
      <c r="Z200">
        <f>(R200-S200)*(1-Assumptions!$B$30)-U200+Y199*Q199</f>
        <v>0</v>
      </c>
      <c r="AA200">
        <f>AA199*(1+Assumptions!$B$36)^(1/12)</f>
        <v>1.1696653835482014</v>
      </c>
      <c r="AB200" s="20">
        <f>IF(B200&gt;$M$2,0,AA199*Assumptions!$B$32/12*Q199+Z200*Assumptions!$B$34/12)</f>
        <v>0</v>
      </c>
      <c r="AC200" s="21">
        <f>1/(1+HLOOKUP(YEAR(A200),Assumptions!$A$41:$AL$43,3,TRUE))^(1/12)</f>
        <v>0.99832904108543385</v>
      </c>
      <c r="AD200">
        <f t="shared" si="40"/>
        <v>0</v>
      </c>
      <c r="AE200">
        <f t="shared" si="46"/>
        <v>0</v>
      </c>
    </row>
    <row r="201" spans="1:31" x14ac:dyDescent="0.2">
      <c r="A201" s="2">
        <f t="shared" si="47"/>
        <v>48883</v>
      </c>
      <c r="B201">
        <f t="shared" si="41"/>
        <v>270</v>
      </c>
      <c r="C201">
        <f t="shared" si="33"/>
        <v>22.416666666666668</v>
      </c>
      <c r="D201">
        <f t="shared" si="34"/>
        <v>0</v>
      </c>
      <c r="E201">
        <f t="shared" si="35"/>
        <v>77</v>
      </c>
      <c r="F201">
        <f t="shared" si="36"/>
        <v>69</v>
      </c>
      <c r="G201">
        <f>IF(C201&gt;=$L$2,0,VLOOKUP($E201,'Mortality Table'!$A$3:$C$128,2+H$2,FALSE))</f>
        <v>0</v>
      </c>
      <c r="H201">
        <f>IF(C201&gt;=$L$2,0,VLOOKUP($E201,'Mortality Table'!$A$3:$C$128,2+I$2,FALSE))</f>
        <v>0</v>
      </c>
      <c r="I201" s="17">
        <f>G201*Assumptions!$B$1</f>
        <v>0</v>
      </c>
      <c r="J201" s="17">
        <f>H201*Assumptions!$B$1</f>
        <v>0</v>
      </c>
      <c r="K201">
        <f t="shared" si="37"/>
        <v>0</v>
      </c>
      <c r="L201">
        <f t="shared" si="42"/>
        <v>0</v>
      </c>
      <c r="M201">
        <f>HLOOKUP(C201,Assumptions!$A$6:$J$7,2,TRUE)</f>
        <v>2.6499999999999999E-2</v>
      </c>
      <c r="N201" s="23">
        <f t="shared" si="32"/>
        <v>0</v>
      </c>
      <c r="O201" s="23">
        <f t="shared" si="38"/>
        <v>0</v>
      </c>
      <c r="P201">
        <f t="shared" si="43"/>
        <v>0</v>
      </c>
      <c r="Q201" s="23">
        <f t="shared" si="39"/>
        <v>0</v>
      </c>
      <c r="R201">
        <f>Q200*Assumptions!$B$11/$E$2*N201</f>
        <v>0</v>
      </c>
      <c r="S201">
        <f>Q200*Assumptions!$B$13/$E$2*N201</f>
        <v>0</v>
      </c>
      <c r="T201">
        <f>L201*Assumptions!$B$15</f>
        <v>0</v>
      </c>
      <c r="U201">
        <f>S201*Assumptions!$B$17</f>
        <v>0</v>
      </c>
      <c r="V201">
        <f>HLOOKUP(B201,Assumptions!$A$26:$D$27,2,TRUE)</f>
        <v>0</v>
      </c>
      <c r="W201">
        <f t="shared" si="44"/>
        <v>0</v>
      </c>
      <c r="X201">
        <f t="shared" si="45"/>
        <v>0.41666666666666785</v>
      </c>
      <c r="Y201">
        <f>IF(B201&gt;$M$2,0,IF(X202=0,0,(1-X202)*Assumptions!$B$11/$E$2*(1-Assumptions!$B$30)))</f>
        <v>0</v>
      </c>
      <c r="Z201">
        <f>(R201-S201)*(1-Assumptions!$B$30)-U201+Y200*Q200</f>
        <v>0</v>
      </c>
      <c r="AA201">
        <f>AA200*(1+Assumptions!$B$36)^(1/12)</f>
        <v>1.170635665564886</v>
      </c>
      <c r="AB201" s="20">
        <f>IF(B201&gt;$M$2,0,AA200*Assumptions!$B$32/12*Q200+Z201*Assumptions!$B$34/12)</f>
        <v>0</v>
      </c>
      <c r="AC201" s="21">
        <f>1/(1+HLOOKUP(YEAR(A201),Assumptions!$A$41:$AL$43,3,TRUE))^(1/12)</f>
        <v>0.99832904108543385</v>
      </c>
      <c r="AD201">
        <f t="shared" si="40"/>
        <v>0</v>
      </c>
      <c r="AE201">
        <f t="shared" si="46"/>
        <v>0</v>
      </c>
    </row>
    <row r="202" spans="1:31" x14ac:dyDescent="0.2">
      <c r="A202" s="2">
        <f t="shared" si="47"/>
        <v>48913</v>
      </c>
      <c r="B202">
        <f t="shared" si="41"/>
        <v>271</v>
      </c>
      <c r="C202">
        <f t="shared" si="33"/>
        <v>22.5</v>
      </c>
      <c r="D202">
        <f t="shared" si="34"/>
        <v>0</v>
      </c>
      <c r="E202">
        <f t="shared" si="35"/>
        <v>77</v>
      </c>
      <c r="F202">
        <f t="shared" si="36"/>
        <v>69</v>
      </c>
      <c r="G202">
        <f>IF(C202&gt;=$L$2,0,VLOOKUP($E202,'Mortality Table'!$A$3:$C$128,2+H$2,FALSE))</f>
        <v>0</v>
      </c>
      <c r="H202">
        <f>IF(C202&gt;=$L$2,0,VLOOKUP($E202,'Mortality Table'!$A$3:$C$128,2+I$2,FALSE))</f>
        <v>0</v>
      </c>
      <c r="I202" s="17">
        <f>G202*Assumptions!$B$1</f>
        <v>0</v>
      </c>
      <c r="J202" s="17">
        <f>H202*Assumptions!$B$1</f>
        <v>0</v>
      </c>
      <c r="K202">
        <f t="shared" si="37"/>
        <v>0</v>
      </c>
      <c r="L202">
        <f t="shared" si="42"/>
        <v>0</v>
      </c>
      <c r="M202">
        <f>HLOOKUP(C202,Assumptions!$A$6:$J$7,2,TRUE)</f>
        <v>2.6499999999999999E-2</v>
      </c>
      <c r="N202" s="23">
        <f t="shared" si="32"/>
        <v>0</v>
      </c>
      <c r="O202" s="23">
        <f t="shared" si="38"/>
        <v>0</v>
      </c>
      <c r="P202">
        <f t="shared" si="43"/>
        <v>0</v>
      </c>
      <c r="Q202" s="23">
        <f t="shared" si="39"/>
        <v>0</v>
      </c>
      <c r="R202">
        <f>Q201*Assumptions!$B$11/$E$2*N202</f>
        <v>0</v>
      </c>
      <c r="S202">
        <f>Q201*Assumptions!$B$13/$E$2*N202</f>
        <v>0</v>
      </c>
      <c r="T202">
        <f>L202*Assumptions!$B$15</f>
        <v>0</v>
      </c>
      <c r="U202">
        <f>S202*Assumptions!$B$17</f>
        <v>0</v>
      </c>
      <c r="V202">
        <f>HLOOKUP(B202,Assumptions!$A$26:$D$27,2,TRUE)</f>
        <v>0</v>
      </c>
      <c r="W202">
        <f t="shared" si="44"/>
        <v>0</v>
      </c>
      <c r="X202">
        <f t="shared" si="45"/>
        <v>0.5</v>
      </c>
      <c r="Y202">
        <f>IF(B202&gt;$M$2,0,IF(X203=0,0,(1-X203)*Assumptions!$B$11/$E$2*(1-Assumptions!$B$30)))</f>
        <v>0</v>
      </c>
      <c r="Z202">
        <f>(R202-S202)*(1-Assumptions!$B$30)-U202+Y201*Q201</f>
        <v>0</v>
      </c>
      <c r="AA202">
        <f>AA201*(1+Assumptions!$B$36)^(1/12)</f>
        <v>1.1716067524674849</v>
      </c>
      <c r="AB202" s="20">
        <f>IF(B202&gt;$M$2,0,AA201*Assumptions!$B$32/12*Q201+Z202*Assumptions!$B$34/12)</f>
        <v>0</v>
      </c>
      <c r="AC202" s="21">
        <f>1/(1+HLOOKUP(YEAR(A202),Assumptions!$A$41:$AL$43,3,TRUE))^(1/12)</f>
        <v>0.99832904108543385</v>
      </c>
      <c r="AD202">
        <f t="shared" si="40"/>
        <v>0</v>
      </c>
      <c r="AE202">
        <f t="shared" si="46"/>
        <v>0</v>
      </c>
    </row>
    <row r="203" spans="1:31" x14ac:dyDescent="0.2">
      <c r="A203" s="2">
        <f t="shared" si="47"/>
        <v>48944</v>
      </c>
      <c r="B203">
        <f t="shared" si="41"/>
        <v>272</v>
      </c>
      <c r="C203">
        <f t="shared" si="33"/>
        <v>22.583333333333332</v>
      </c>
      <c r="D203">
        <f t="shared" si="34"/>
        <v>0</v>
      </c>
      <c r="E203">
        <f t="shared" si="35"/>
        <v>77</v>
      </c>
      <c r="F203">
        <f t="shared" si="36"/>
        <v>69</v>
      </c>
      <c r="G203">
        <f>IF(C203&gt;=$L$2,0,VLOOKUP($E203,'Mortality Table'!$A$3:$C$128,2+H$2,FALSE))</f>
        <v>0</v>
      </c>
      <c r="H203">
        <f>IF(C203&gt;=$L$2,0,VLOOKUP($E203,'Mortality Table'!$A$3:$C$128,2+I$2,FALSE))</f>
        <v>0</v>
      </c>
      <c r="I203" s="17">
        <f>G203*Assumptions!$B$1</f>
        <v>0</v>
      </c>
      <c r="J203" s="17">
        <f>H203*Assumptions!$B$1</f>
        <v>0</v>
      </c>
      <c r="K203">
        <f t="shared" si="37"/>
        <v>0</v>
      </c>
      <c r="L203">
        <f t="shared" si="42"/>
        <v>0</v>
      </c>
      <c r="M203">
        <f>HLOOKUP(C203,Assumptions!$A$6:$J$7,2,TRUE)</f>
        <v>2.6499999999999999E-2</v>
      </c>
      <c r="N203" s="23">
        <f t="shared" ref="N203:N266" si="48">IF(B203&gt;$M$2,0,IF(($E$2*(B203+11))/12-INT(($E$2*(B203+11))/12)=0,1,0))</f>
        <v>0</v>
      </c>
      <c r="O203" s="23">
        <f t="shared" si="38"/>
        <v>0</v>
      </c>
      <c r="P203">
        <f t="shared" si="43"/>
        <v>0</v>
      </c>
      <c r="Q203" s="23">
        <f t="shared" si="39"/>
        <v>0</v>
      </c>
      <c r="R203">
        <f>Q202*Assumptions!$B$11/$E$2*N203</f>
        <v>0</v>
      </c>
      <c r="S203">
        <f>Q202*Assumptions!$B$13/$E$2*N203</f>
        <v>0</v>
      </c>
      <c r="T203">
        <f>L203*Assumptions!$B$15</f>
        <v>0</v>
      </c>
      <c r="U203">
        <f>S203*Assumptions!$B$17</f>
        <v>0</v>
      </c>
      <c r="V203">
        <f>HLOOKUP(B203,Assumptions!$A$26:$D$27,2,TRUE)</f>
        <v>0</v>
      </c>
      <c r="W203">
        <f t="shared" si="44"/>
        <v>0</v>
      </c>
      <c r="X203">
        <f t="shared" si="45"/>
        <v>0.58333333333333215</v>
      </c>
      <c r="Y203">
        <f>IF(B203&gt;$M$2,0,IF(X204=0,0,(1-X204)*Assumptions!$B$11/$E$2*(1-Assumptions!$B$30)))</f>
        <v>0</v>
      </c>
      <c r="Z203">
        <f>(R203-S203)*(1-Assumptions!$B$30)-U203+Y202*Q202</f>
        <v>0</v>
      </c>
      <c r="AA203">
        <f>AA202*(1+Assumptions!$B$36)^(1/12)</f>
        <v>1.1725786449236819</v>
      </c>
      <c r="AB203" s="20">
        <f>IF(B203&gt;$M$2,0,AA202*Assumptions!$B$32/12*Q202+Z203*Assumptions!$B$34/12)</f>
        <v>0</v>
      </c>
      <c r="AC203" s="21">
        <f>1/(1+HLOOKUP(YEAR(A203),Assumptions!$A$41:$AL$43,3,TRUE))^(1/12)</f>
        <v>0.99832904108543385</v>
      </c>
      <c r="AD203">
        <f t="shared" si="40"/>
        <v>0</v>
      </c>
      <c r="AE203">
        <f t="shared" si="46"/>
        <v>0</v>
      </c>
    </row>
    <row r="204" spans="1:31" x14ac:dyDescent="0.2">
      <c r="A204" s="2">
        <f t="shared" si="47"/>
        <v>48975</v>
      </c>
      <c r="B204">
        <f t="shared" si="41"/>
        <v>273</v>
      </c>
      <c r="C204">
        <f t="shared" ref="C204:C267" si="49">(B204+11)/12-1</f>
        <v>22.666666666666668</v>
      </c>
      <c r="D204">
        <f t="shared" ref="D204:D267" si="50">IF(C204-INT(C204)=0,1,0)</f>
        <v>0</v>
      </c>
      <c r="E204">
        <f t="shared" ref="E204:E267" si="51">$C$2+INT($C204)</f>
        <v>77</v>
      </c>
      <c r="F204">
        <f t="shared" ref="F204:F267" si="52">$F$2+INT($C204)</f>
        <v>69</v>
      </c>
      <c r="G204">
        <f>IF(C204&gt;=$L$2,0,VLOOKUP($E204,'Mortality Table'!$A$3:$C$128,2+H$2,FALSE))</f>
        <v>0</v>
      </c>
      <c r="H204">
        <f>IF(C204&gt;=$L$2,0,VLOOKUP($E204,'Mortality Table'!$A$3:$C$128,2+I$2,FALSE))</f>
        <v>0</v>
      </c>
      <c r="I204" s="17">
        <f>G204*Assumptions!$B$1</f>
        <v>0</v>
      </c>
      <c r="J204" s="17">
        <f>H204*Assumptions!$B$1</f>
        <v>0</v>
      </c>
      <c r="K204">
        <f t="shared" ref="K204:K267" si="53">I204+J204-I204*J204</f>
        <v>0</v>
      </c>
      <c r="L204">
        <f t="shared" si="42"/>
        <v>0</v>
      </c>
      <c r="M204">
        <f>HLOOKUP(C204,Assumptions!$A$6:$J$7,2,TRUE)</f>
        <v>2.6499999999999999E-2</v>
      </c>
      <c r="N204" s="23">
        <f t="shared" si="48"/>
        <v>0</v>
      </c>
      <c r="O204" s="23">
        <f t="shared" ref="O204:O267" si="54">IF(B205&gt;$M$2,0,IF(N205=0,0,1/$E$2))</f>
        <v>0</v>
      </c>
      <c r="P204">
        <f t="shared" si="43"/>
        <v>0</v>
      </c>
      <c r="Q204" s="23">
        <f t="shared" ref="Q204:Q267" si="55">IF(B204&gt;$M$2,0,Q203-L204-P204)</f>
        <v>0</v>
      </c>
      <c r="R204">
        <f>Q203*Assumptions!$B$11/$E$2*N204</f>
        <v>0</v>
      </c>
      <c r="S204">
        <f>Q203*Assumptions!$B$13/$E$2*N204</f>
        <v>0</v>
      </c>
      <c r="T204">
        <f>L204*Assumptions!$B$15</f>
        <v>0</v>
      </c>
      <c r="U204">
        <f>S204*Assumptions!$B$17</f>
        <v>0</v>
      </c>
      <c r="V204">
        <f>HLOOKUP(B204,Assumptions!$A$26:$D$27,2,TRUE)</f>
        <v>0</v>
      </c>
      <c r="W204">
        <f t="shared" si="44"/>
        <v>0</v>
      </c>
      <c r="X204">
        <f t="shared" si="45"/>
        <v>0.66666666666666785</v>
      </c>
      <c r="Y204">
        <f>IF(B204&gt;$M$2,0,IF(X205=0,0,(1-X205)*Assumptions!$B$11/$E$2*(1-Assumptions!$B$30)))</f>
        <v>0</v>
      </c>
      <c r="Z204">
        <f>(R204-S204)*(1-Assumptions!$B$30)-U204+Y203*Q203</f>
        <v>0</v>
      </c>
      <c r="AA204">
        <f>AA203*(1+Assumptions!$B$36)^(1/12)</f>
        <v>1.1735513436017144</v>
      </c>
      <c r="AB204" s="20">
        <f>IF(B204&gt;$M$2,0,AA203*Assumptions!$B$32/12*Q203+Z204*Assumptions!$B$34/12)</f>
        <v>0</v>
      </c>
      <c r="AC204" s="21">
        <f>1/(1+HLOOKUP(YEAR(A204),Assumptions!$A$41:$AL$43,3,TRUE))^(1/12)</f>
        <v>0.99823744346557397</v>
      </c>
      <c r="AD204">
        <f t="shared" ref="AD204:AD267" si="56">(AD205+T205+U205+W205+AB205-R205)*AC205</f>
        <v>0</v>
      </c>
      <c r="AE204">
        <f t="shared" si="46"/>
        <v>0</v>
      </c>
    </row>
    <row r="205" spans="1:31" x14ac:dyDescent="0.2">
      <c r="A205" s="2">
        <f t="shared" si="47"/>
        <v>49003</v>
      </c>
      <c r="B205">
        <f t="shared" ref="B205:B268" si="57">B204+1</f>
        <v>274</v>
      </c>
      <c r="C205">
        <f t="shared" si="49"/>
        <v>22.75</v>
      </c>
      <c r="D205">
        <f t="shared" si="50"/>
        <v>0</v>
      </c>
      <c r="E205">
        <f t="shared" si="51"/>
        <v>77</v>
      </c>
      <c r="F205">
        <f t="shared" si="52"/>
        <v>69</v>
      </c>
      <c r="G205">
        <f>IF(C205&gt;=$L$2,0,VLOOKUP($E205,'Mortality Table'!$A$3:$C$128,2+H$2,FALSE))</f>
        <v>0</v>
      </c>
      <c r="H205">
        <f>IF(C205&gt;=$L$2,0,VLOOKUP($E205,'Mortality Table'!$A$3:$C$128,2+I$2,FALSE))</f>
        <v>0</v>
      </c>
      <c r="I205" s="17">
        <f>G205*Assumptions!$B$1</f>
        <v>0</v>
      </c>
      <c r="J205" s="17">
        <f>H205*Assumptions!$B$1</f>
        <v>0</v>
      </c>
      <c r="K205">
        <f t="shared" si="53"/>
        <v>0</v>
      </c>
      <c r="L205">
        <f t="shared" ref="L205:L268" si="58">(1-(1-K205)^(1/12))*Q204</f>
        <v>0</v>
      </c>
      <c r="M205">
        <f>HLOOKUP(C205,Assumptions!$A$6:$J$7,2,TRUE)</f>
        <v>2.6499999999999999E-2</v>
      </c>
      <c r="N205" s="23">
        <f t="shared" si="48"/>
        <v>0</v>
      </c>
      <c r="O205" s="23">
        <f t="shared" si="54"/>
        <v>0</v>
      </c>
      <c r="P205">
        <f t="shared" ref="P205:P268" si="59">(1-(1-M205)^O205)*(Q204-L205)</f>
        <v>0</v>
      </c>
      <c r="Q205" s="23">
        <f t="shared" si="55"/>
        <v>0</v>
      </c>
      <c r="R205">
        <f>Q204*Assumptions!$B$11/$E$2*N205</f>
        <v>0</v>
      </c>
      <c r="S205">
        <f>Q204*Assumptions!$B$13/$E$2*N205</f>
        <v>0</v>
      </c>
      <c r="T205">
        <f>L205*Assumptions!$B$15</f>
        <v>0</v>
      </c>
      <c r="U205">
        <f>S205*Assumptions!$B$17</f>
        <v>0</v>
      </c>
      <c r="V205">
        <f>HLOOKUP(B205,Assumptions!$A$26:$D$27,2,TRUE)</f>
        <v>0</v>
      </c>
      <c r="W205">
        <f t="shared" ref="W205:W268" si="60">R205*V205</f>
        <v>0</v>
      </c>
      <c r="X205">
        <f t="shared" ref="X205:X268" si="61">($E$2*(B205+11))/12-INT(($E$2*(B205+11))/12)</f>
        <v>0.75</v>
      </c>
      <c r="Y205">
        <f>IF(B205&gt;$M$2,0,IF(X206=0,0,(1-X206)*Assumptions!$B$11/$E$2*(1-Assumptions!$B$30)))</f>
        <v>0</v>
      </c>
      <c r="Z205">
        <f>(R205-S205)*(1-Assumptions!$B$30)-U205+Y204*Q204</f>
        <v>0</v>
      </c>
      <c r="AA205">
        <f>AA204*(1+Assumptions!$B$36)^(1/12)</f>
        <v>1.1745248491703741</v>
      </c>
      <c r="AB205" s="20">
        <f>IF(B205&gt;$M$2,0,AA204*Assumptions!$B$32/12*Q204+Z205*Assumptions!$B$34/12)</f>
        <v>0</v>
      </c>
      <c r="AC205" s="21">
        <f>1/(1+HLOOKUP(YEAR(A205),Assumptions!$A$41:$AL$43,3,TRUE))^(1/12)</f>
        <v>0.99823744346557397</v>
      </c>
      <c r="AD205">
        <f t="shared" si="56"/>
        <v>0</v>
      </c>
      <c r="AE205">
        <f t="shared" ref="AE205:AE268" si="62">T205+U205</f>
        <v>0</v>
      </c>
    </row>
    <row r="206" spans="1:31" x14ac:dyDescent="0.2">
      <c r="A206" s="2">
        <f t="shared" si="47"/>
        <v>49034</v>
      </c>
      <c r="B206">
        <f t="shared" si="57"/>
        <v>275</v>
      </c>
      <c r="C206">
        <f t="shared" si="49"/>
        <v>22.833333333333332</v>
      </c>
      <c r="D206">
        <f t="shared" si="50"/>
        <v>0</v>
      </c>
      <c r="E206">
        <f t="shared" si="51"/>
        <v>77</v>
      </c>
      <c r="F206">
        <f t="shared" si="52"/>
        <v>69</v>
      </c>
      <c r="G206">
        <f>IF(C206&gt;=$L$2,0,VLOOKUP($E206,'Mortality Table'!$A$3:$C$128,2+H$2,FALSE))</f>
        <v>0</v>
      </c>
      <c r="H206">
        <f>IF(C206&gt;=$L$2,0,VLOOKUP($E206,'Mortality Table'!$A$3:$C$128,2+I$2,FALSE))</f>
        <v>0</v>
      </c>
      <c r="I206" s="17">
        <f>G206*Assumptions!$B$1</f>
        <v>0</v>
      </c>
      <c r="J206" s="17">
        <f>H206*Assumptions!$B$1</f>
        <v>0</v>
      </c>
      <c r="K206">
        <f t="shared" si="53"/>
        <v>0</v>
      </c>
      <c r="L206">
        <f t="shared" si="58"/>
        <v>0</v>
      </c>
      <c r="M206">
        <f>HLOOKUP(C206,Assumptions!$A$6:$J$7,2,TRUE)</f>
        <v>2.6499999999999999E-2</v>
      </c>
      <c r="N206" s="23">
        <f t="shared" si="48"/>
        <v>0</v>
      </c>
      <c r="O206" s="23">
        <f t="shared" si="54"/>
        <v>0</v>
      </c>
      <c r="P206">
        <f t="shared" si="59"/>
        <v>0</v>
      </c>
      <c r="Q206" s="23">
        <f t="shared" si="55"/>
        <v>0</v>
      </c>
      <c r="R206">
        <f>Q205*Assumptions!$B$11/$E$2*N206</f>
        <v>0</v>
      </c>
      <c r="S206">
        <f>Q205*Assumptions!$B$13/$E$2*N206</f>
        <v>0</v>
      </c>
      <c r="T206">
        <f>L206*Assumptions!$B$15</f>
        <v>0</v>
      </c>
      <c r="U206">
        <f>S206*Assumptions!$B$17</f>
        <v>0</v>
      </c>
      <c r="V206">
        <f>HLOOKUP(B206,Assumptions!$A$26:$D$27,2,TRUE)</f>
        <v>0</v>
      </c>
      <c r="W206">
        <f t="shared" si="60"/>
        <v>0</v>
      </c>
      <c r="X206">
        <f t="shared" si="61"/>
        <v>0.83333333333333215</v>
      </c>
      <c r="Y206">
        <f>IF(B206&gt;$M$2,0,IF(X207=0,0,(1-X207)*Assumptions!$B$11/$E$2*(1-Assumptions!$B$30)))</f>
        <v>0</v>
      </c>
      <c r="Z206">
        <f>(R206-S206)*(1-Assumptions!$B$30)-U206+Y205*Q205</f>
        <v>0</v>
      </c>
      <c r="AA206">
        <f>AA205*(1+Assumptions!$B$36)^(1/12)</f>
        <v>1.1754991622990076</v>
      </c>
      <c r="AB206" s="20">
        <f>IF(B206&gt;$M$2,0,AA205*Assumptions!$B$32/12*Q205+Z206*Assumptions!$B$34/12)</f>
        <v>0</v>
      </c>
      <c r="AC206" s="21">
        <f>1/(1+HLOOKUP(YEAR(A206),Assumptions!$A$41:$AL$43,3,TRUE))^(1/12)</f>
        <v>0.99823744346557397</v>
      </c>
      <c r="AD206">
        <f t="shared" si="56"/>
        <v>0</v>
      </c>
      <c r="AE206">
        <f t="shared" si="62"/>
        <v>0</v>
      </c>
    </row>
    <row r="207" spans="1:31" x14ac:dyDescent="0.2">
      <c r="A207" s="2">
        <f t="shared" ref="A207:A270" si="63">DATE(YEAR(A206),MONTH(A206)+2,1)-1</f>
        <v>49064</v>
      </c>
      <c r="B207">
        <f t="shared" si="57"/>
        <v>276</v>
      </c>
      <c r="C207">
        <f t="shared" si="49"/>
        <v>22.916666666666668</v>
      </c>
      <c r="D207">
        <f t="shared" si="50"/>
        <v>0</v>
      </c>
      <c r="E207">
        <f t="shared" si="51"/>
        <v>77</v>
      </c>
      <c r="F207">
        <f t="shared" si="52"/>
        <v>69</v>
      </c>
      <c r="G207">
        <f>IF(C207&gt;=$L$2,0,VLOOKUP($E207,'Mortality Table'!$A$3:$C$128,2+H$2,FALSE))</f>
        <v>0</v>
      </c>
      <c r="H207">
        <f>IF(C207&gt;=$L$2,0,VLOOKUP($E207,'Mortality Table'!$A$3:$C$128,2+I$2,FALSE))</f>
        <v>0</v>
      </c>
      <c r="I207" s="17">
        <f>G207*Assumptions!$B$1</f>
        <v>0</v>
      </c>
      <c r="J207" s="17">
        <f>H207*Assumptions!$B$1</f>
        <v>0</v>
      </c>
      <c r="K207">
        <f t="shared" si="53"/>
        <v>0</v>
      </c>
      <c r="L207">
        <f t="shared" si="58"/>
        <v>0</v>
      </c>
      <c r="M207">
        <f>HLOOKUP(C207,Assumptions!$A$6:$J$7,2,TRUE)</f>
        <v>2.6499999999999999E-2</v>
      </c>
      <c r="N207" s="23">
        <f t="shared" si="48"/>
        <v>0</v>
      </c>
      <c r="O207" s="23">
        <f t="shared" si="54"/>
        <v>0</v>
      </c>
      <c r="P207">
        <f t="shared" si="59"/>
        <v>0</v>
      </c>
      <c r="Q207" s="23">
        <f t="shared" si="55"/>
        <v>0</v>
      </c>
      <c r="R207">
        <f>Q206*Assumptions!$B$11/$E$2*N207</f>
        <v>0</v>
      </c>
      <c r="S207">
        <f>Q206*Assumptions!$B$13/$E$2*N207</f>
        <v>0</v>
      </c>
      <c r="T207">
        <f>L207*Assumptions!$B$15</f>
        <v>0</v>
      </c>
      <c r="U207">
        <f>S207*Assumptions!$B$17</f>
        <v>0</v>
      </c>
      <c r="V207">
        <f>HLOOKUP(B207,Assumptions!$A$26:$D$27,2,TRUE)</f>
        <v>0</v>
      </c>
      <c r="W207">
        <f t="shared" si="60"/>
        <v>0</v>
      </c>
      <c r="X207">
        <f t="shared" si="61"/>
        <v>0.91666666666666785</v>
      </c>
      <c r="Y207">
        <f>IF(B207&gt;$M$2,0,IF(X208=0,0,(1-X208)*Assumptions!$B$11/$E$2*(1-Assumptions!$B$30)))</f>
        <v>0</v>
      </c>
      <c r="Z207">
        <f>(R207-S207)*(1-Assumptions!$B$30)-U207+Y206*Q206</f>
        <v>0</v>
      </c>
      <c r="AA207">
        <f>AA206*(1+Assumptions!$B$36)^(1/12)</f>
        <v>1.1764742836575166</v>
      </c>
      <c r="AB207" s="20">
        <f>IF(B207&gt;$M$2,0,AA206*Assumptions!$B$32/12*Q206+Z207*Assumptions!$B$34/12)</f>
        <v>0</v>
      </c>
      <c r="AC207" s="21">
        <f>1/(1+HLOOKUP(YEAR(A207),Assumptions!$A$41:$AL$43,3,TRUE))^(1/12)</f>
        <v>0.99823744346557397</v>
      </c>
      <c r="AD207">
        <f t="shared" si="56"/>
        <v>0</v>
      </c>
      <c r="AE207">
        <f t="shared" si="62"/>
        <v>0</v>
      </c>
    </row>
    <row r="208" spans="1:31" x14ac:dyDescent="0.2">
      <c r="A208" s="2">
        <f t="shared" si="63"/>
        <v>49095</v>
      </c>
      <c r="B208">
        <f t="shared" si="57"/>
        <v>277</v>
      </c>
      <c r="C208">
        <f t="shared" si="49"/>
        <v>23</v>
      </c>
      <c r="D208">
        <f t="shared" si="50"/>
        <v>1</v>
      </c>
      <c r="E208">
        <f t="shared" si="51"/>
        <v>78</v>
      </c>
      <c r="F208">
        <f t="shared" si="52"/>
        <v>70</v>
      </c>
      <c r="G208">
        <f>IF(C208&gt;=$L$2,0,VLOOKUP($E208,'Mortality Table'!$A$3:$C$128,2+H$2,FALSE))</f>
        <v>0</v>
      </c>
      <c r="H208">
        <f>IF(C208&gt;=$L$2,0,VLOOKUP($E208,'Mortality Table'!$A$3:$C$128,2+I$2,FALSE))</f>
        <v>0</v>
      </c>
      <c r="I208" s="17">
        <f>G208*Assumptions!$B$1</f>
        <v>0</v>
      </c>
      <c r="J208" s="17">
        <f>H208*Assumptions!$B$1</f>
        <v>0</v>
      </c>
      <c r="K208">
        <f t="shared" si="53"/>
        <v>0</v>
      </c>
      <c r="L208">
        <f t="shared" si="58"/>
        <v>0</v>
      </c>
      <c r="M208">
        <f>HLOOKUP(C208,Assumptions!$A$6:$J$7,2,TRUE)</f>
        <v>2.6499999999999999E-2</v>
      </c>
      <c r="N208" s="23">
        <f t="shared" si="48"/>
        <v>0</v>
      </c>
      <c r="O208" s="23">
        <f t="shared" si="54"/>
        <v>0</v>
      </c>
      <c r="P208">
        <f t="shared" si="59"/>
        <v>0</v>
      </c>
      <c r="Q208" s="23">
        <f t="shared" si="55"/>
        <v>0</v>
      </c>
      <c r="R208">
        <f>Q207*Assumptions!$B$11/$E$2*N208</f>
        <v>0</v>
      </c>
      <c r="S208">
        <f>Q207*Assumptions!$B$13/$E$2*N208</f>
        <v>0</v>
      </c>
      <c r="T208">
        <f>L208*Assumptions!$B$15</f>
        <v>0</v>
      </c>
      <c r="U208">
        <f>S208*Assumptions!$B$17</f>
        <v>0</v>
      </c>
      <c r="V208">
        <f>HLOOKUP(B208,Assumptions!$A$26:$D$27,2,TRUE)</f>
        <v>0</v>
      </c>
      <c r="W208">
        <f t="shared" si="60"/>
        <v>0</v>
      </c>
      <c r="X208">
        <f t="shared" si="61"/>
        <v>0</v>
      </c>
      <c r="Y208">
        <f>IF(B208&gt;$M$2,0,IF(X209=0,0,(1-X209)*Assumptions!$B$11/$E$2*(1-Assumptions!$B$30)))</f>
        <v>0</v>
      </c>
      <c r="Z208">
        <f>(R208-S208)*(1-Assumptions!$B$30)-U208+Y207*Q207</f>
        <v>0</v>
      </c>
      <c r="AA208">
        <f>AA207*(1+Assumptions!$B$36)^(1/12)</f>
        <v>1.1774502139163585</v>
      </c>
      <c r="AB208" s="20">
        <f>IF(B208&gt;$M$2,0,AA207*Assumptions!$B$32/12*Q207+Z208*Assumptions!$B$34/12)</f>
        <v>0</v>
      </c>
      <c r="AC208" s="21">
        <f>1/(1+HLOOKUP(YEAR(A208),Assumptions!$A$41:$AL$43,3,TRUE))^(1/12)</f>
        <v>0.99823744346557397</v>
      </c>
      <c r="AD208">
        <f t="shared" si="56"/>
        <v>0</v>
      </c>
      <c r="AE208">
        <f t="shared" si="62"/>
        <v>0</v>
      </c>
    </row>
    <row r="209" spans="1:31" x14ac:dyDescent="0.2">
      <c r="A209" s="2">
        <f t="shared" si="63"/>
        <v>49125</v>
      </c>
      <c r="B209">
        <f t="shared" si="57"/>
        <v>278</v>
      </c>
      <c r="C209">
        <f t="shared" si="49"/>
        <v>23.083333333333332</v>
      </c>
      <c r="D209">
        <f t="shared" si="50"/>
        <v>0</v>
      </c>
      <c r="E209">
        <f t="shared" si="51"/>
        <v>78</v>
      </c>
      <c r="F209">
        <f t="shared" si="52"/>
        <v>70</v>
      </c>
      <c r="G209">
        <f>IF(C209&gt;=$L$2,0,VLOOKUP($E209,'Mortality Table'!$A$3:$C$128,2+H$2,FALSE))</f>
        <v>0</v>
      </c>
      <c r="H209">
        <f>IF(C209&gt;=$L$2,0,VLOOKUP($E209,'Mortality Table'!$A$3:$C$128,2+I$2,FALSE))</f>
        <v>0</v>
      </c>
      <c r="I209" s="17">
        <f>G209*Assumptions!$B$1</f>
        <v>0</v>
      </c>
      <c r="J209" s="17">
        <f>H209*Assumptions!$B$1</f>
        <v>0</v>
      </c>
      <c r="K209">
        <f t="shared" si="53"/>
        <v>0</v>
      </c>
      <c r="L209">
        <f t="shared" si="58"/>
        <v>0</v>
      </c>
      <c r="M209">
        <f>HLOOKUP(C209,Assumptions!$A$6:$J$7,2,TRUE)</f>
        <v>2.6499999999999999E-2</v>
      </c>
      <c r="N209" s="23">
        <f t="shared" si="48"/>
        <v>0</v>
      </c>
      <c r="O209" s="23">
        <f t="shared" si="54"/>
        <v>0</v>
      </c>
      <c r="P209">
        <f t="shared" si="59"/>
        <v>0</v>
      </c>
      <c r="Q209" s="23">
        <f t="shared" si="55"/>
        <v>0</v>
      </c>
      <c r="R209">
        <f>Q208*Assumptions!$B$11/$E$2*N209</f>
        <v>0</v>
      </c>
      <c r="S209">
        <f>Q208*Assumptions!$B$13/$E$2*N209</f>
        <v>0</v>
      </c>
      <c r="T209">
        <f>L209*Assumptions!$B$15</f>
        <v>0</v>
      </c>
      <c r="U209">
        <f>S209*Assumptions!$B$17</f>
        <v>0</v>
      </c>
      <c r="V209">
        <f>HLOOKUP(B209,Assumptions!$A$26:$D$27,2,TRUE)</f>
        <v>0</v>
      </c>
      <c r="W209">
        <f t="shared" si="60"/>
        <v>0</v>
      </c>
      <c r="X209">
        <f t="shared" si="61"/>
        <v>8.3333333333332149E-2</v>
      </c>
      <c r="Y209">
        <f>IF(B209&gt;$M$2,0,IF(X210=0,0,(1-X210)*Assumptions!$B$11/$E$2*(1-Assumptions!$B$30)))</f>
        <v>0</v>
      </c>
      <c r="Z209">
        <f>(R209-S209)*(1-Assumptions!$B$30)-U209+Y208*Q208</f>
        <v>0</v>
      </c>
      <c r="AA209">
        <f>AA208*(1+Assumptions!$B$36)^(1/12)</f>
        <v>1.1784269537465473</v>
      </c>
      <c r="AB209" s="20">
        <f>IF(B209&gt;$M$2,0,AA208*Assumptions!$B$32/12*Q208+Z209*Assumptions!$B$34/12)</f>
        <v>0</v>
      </c>
      <c r="AC209" s="21">
        <f>1/(1+HLOOKUP(YEAR(A209),Assumptions!$A$41:$AL$43,3,TRUE))^(1/12)</f>
        <v>0.99823744346557397</v>
      </c>
      <c r="AD209">
        <f t="shared" si="56"/>
        <v>0</v>
      </c>
      <c r="AE209">
        <f t="shared" si="62"/>
        <v>0</v>
      </c>
    </row>
    <row r="210" spans="1:31" x14ac:dyDescent="0.2">
      <c r="A210" s="2">
        <f t="shared" si="63"/>
        <v>49156</v>
      </c>
      <c r="B210">
        <f t="shared" si="57"/>
        <v>279</v>
      </c>
      <c r="C210">
        <f t="shared" si="49"/>
        <v>23.166666666666668</v>
      </c>
      <c r="D210">
        <f t="shared" si="50"/>
        <v>0</v>
      </c>
      <c r="E210">
        <f t="shared" si="51"/>
        <v>78</v>
      </c>
      <c r="F210">
        <f t="shared" si="52"/>
        <v>70</v>
      </c>
      <c r="G210">
        <f>IF(C210&gt;=$L$2,0,VLOOKUP($E210,'Mortality Table'!$A$3:$C$128,2+H$2,FALSE))</f>
        <v>0</v>
      </c>
      <c r="H210">
        <f>IF(C210&gt;=$L$2,0,VLOOKUP($E210,'Mortality Table'!$A$3:$C$128,2+I$2,FALSE))</f>
        <v>0</v>
      </c>
      <c r="I210" s="17">
        <f>G210*Assumptions!$B$1</f>
        <v>0</v>
      </c>
      <c r="J210" s="17">
        <f>H210*Assumptions!$B$1</f>
        <v>0</v>
      </c>
      <c r="K210">
        <f t="shared" si="53"/>
        <v>0</v>
      </c>
      <c r="L210">
        <f t="shared" si="58"/>
        <v>0</v>
      </c>
      <c r="M210">
        <f>HLOOKUP(C210,Assumptions!$A$6:$J$7,2,TRUE)</f>
        <v>2.6499999999999999E-2</v>
      </c>
      <c r="N210" s="23">
        <f t="shared" si="48"/>
        <v>0</v>
      </c>
      <c r="O210" s="23">
        <f t="shared" si="54"/>
        <v>0</v>
      </c>
      <c r="P210">
        <f t="shared" si="59"/>
        <v>0</v>
      </c>
      <c r="Q210" s="23">
        <f t="shared" si="55"/>
        <v>0</v>
      </c>
      <c r="R210">
        <f>Q209*Assumptions!$B$11/$E$2*N210</f>
        <v>0</v>
      </c>
      <c r="S210">
        <f>Q209*Assumptions!$B$13/$E$2*N210</f>
        <v>0</v>
      </c>
      <c r="T210">
        <f>L210*Assumptions!$B$15</f>
        <v>0</v>
      </c>
      <c r="U210">
        <f>S210*Assumptions!$B$17</f>
        <v>0</v>
      </c>
      <c r="V210">
        <f>HLOOKUP(B210,Assumptions!$A$26:$D$27,2,TRUE)</f>
        <v>0</v>
      </c>
      <c r="W210">
        <f t="shared" si="60"/>
        <v>0</v>
      </c>
      <c r="X210">
        <f t="shared" si="61"/>
        <v>0.16666666666666785</v>
      </c>
      <c r="Y210">
        <f>IF(B210&gt;$M$2,0,IF(X211=0,0,(1-X211)*Assumptions!$B$11/$E$2*(1-Assumptions!$B$30)))</f>
        <v>0</v>
      </c>
      <c r="Z210">
        <f>(R210-S210)*(1-Assumptions!$B$30)-U210+Y209*Q209</f>
        <v>0</v>
      </c>
      <c r="AA210">
        <f>AA209*(1+Assumptions!$B$36)^(1/12)</f>
        <v>1.1794045038196528</v>
      </c>
      <c r="AB210" s="20">
        <f>IF(B210&gt;$M$2,0,AA209*Assumptions!$B$32/12*Q209+Z210*Assumptions!$B$34/12)</f>
        <v>0</v>
      </c>
      <c r="AC210" s="21">
        <f>1/(1+HLOOKUP(YEAR(A210),Assumptions!$A$41:$AL$43,3,TRUE))^(1/12)</f>
        <v>0.99823744346557397</v>
      </c>
      <c r="AD210">
        <f t="shared" si="56"/>
        <v>0</v>
      </c>
      <c r="AE210">
        <f t="shared" si="62"/>
        <v>0</v>
      </c>
    </row>
    <row r="211" spans="1:31" x14ac:dyDescent="0.2">
      <c r="A211" s="2">
        <f t="shared" si="63"/>
        <v>49187</v>
      </c>
      <c r="B211">
        <f t="shared" si="57"/>
        <v>280</v>
      </c>
      <c r="C211">
        <f t="shared" si="49"/>
        <v>23.25</v>
      </c>
      <c r="D211">
        <f t="shared" si="50"/>
        <v>0</v>
      </c>
      <c r="E211">
        <f t="shared" si="51"/>
        <v>78</v>
      </c>
      <c r="F211">
        <f t="shared" si="52"/>
        <v>70</v>
      </c>
      <c r="G211">
        <f>IF(C211&gt;=$L$2,0,VLOOKUP($E211,'Mortality Table'!$A$3:$C$128,2+H$2,FALSE))</f>
        <v>0</v>
      </c>
      <c r="H211">
        <f>IF(C211&gt;=$L$2,0,VLOOKUP($E211,'Mortality Table'!$A$3:$C$128,2+I$2,FALSE))</f>
        <v>0</v>
      </c>
      <c r="I211" s="17">
        <f>G211*Assumptions!$B$1</f>
        <v>0</v>
      </c>
      <c r="J211" s="17">
        <f>H211*Assumptions!$B$1</f>
        <v>0</v>
      </c>
      <c r="K211">
        <f t="shared" si="53"/>
        <v>0</v>
      </c>
      <c r="L211">
        <f t="shared" si="58"/>
        <v>0</v>
      </c>
      <c r="M211">
        <f>HLOOKUP(C211,Assumptions!$A$6:$J$7,2,TRUE)</f>
        <v>2.6499999999999999E-2</v>
      </c>
      <c r="N211" s="23">
        <f t="shared" si="48"/>
        <v>0</v>
      </c>
      <c r="O211" s="23">
        <f t="shared" si="54"/>
        <v>0</v>
      </c>
      <c r="P211">
        <f t="shared" si="59"/>
        <v>0</v>
      </c>
      <c r="Q211" s="23">
        <f t="shared" si="55"/>
        <v>0</v>
      </c>
      <c r="R211">
        <f>Q210*Assumptions!$B$11/$E$2*N211</f>
        <v>0</v>
      </c>
      <c r="S211">
        <f>Q210*Assumptions!$B$13/$E$2*N211</f>
        <v>0</v>
      </c>
      <c r="T211">
        <f>L211*Assumptions!$B$15</f>
        <v>0</v>
      </c>
      <c r="U211">
        <f>S211*Assumptions!$B$17</f>
        <v>0</v>
      </c>
      <c r="V211">
        <f>HLOOKUP(B211,Assumptions!$A$26:$D$27,2,TRUE)</f>
        <v>0</v>
      </c>
      <c r="W211">
        <f t="shared" si="60"/>
        <v>0</v>
      </c>
      <c r="X211">
        <f t="shared" si="61"/>
        <v>0.25</v>
      </c>
      <c r="Y211">
        <f>IF(B211&gt;$M$2,0,IF(X212=0,0,(1-X212)*Assumptions!$B$11/$E$2*(1-Assumptions!$B$30)))</f>
        <v>0</v>
      </c>
      <c r="Z211">
        <f>(R211-S211)*(1-Assumptions!$B$30)-U211+Y210*Q210</f>
        <v>0</v>
      </c>
      <c r="AA211">
        <f>AA210*(1+Assumptions!$B$36)^(1/12)</f>
        <v>1.1803828648078027</v>
      </c>
      <c r="AB211" s="20">
        <f>IF(B211&gt;$M$2,0,AA210*Assumptions!$B$32/12*Q210+Z211*Assumptions!$B$34/12)</f>
        <v>0</v>
      </c>
      <c r="AC211" s="21">
        <f>1/(1+HLOOKUP(YEAR(A211),Assumptions!$A$41:$AL$43,3,TRUE))^(1/12)</f>
        <v>0.99823744346557397</v>
      </c>
      <c r="AD211">
        <f t="shared" si="56"/>
        <v>0</v>
      </c>
      <c r="AE211">
        <f t="shared" si="62"/>
        <v>0</v>
      </c>
    </row>
    <row r="212" spans="1:31" x14ac:dyDescent="0.2">
      <c r="A212" s="2">
        <f t="shared" si="63"/>
        <v>49217</v>
      </c>
      <c r="B212">
        <f t="shared" si="57"/>
        <v>281</v>
      </c>
      <c r="C212">
        <f t="shared" si="49"/>
        <v>23.333333333333332</v>
      </c>
      <c r="D212">
        <f t="shared" si="50"/>
        <v>0</v>
      </c>
      <c r="E212">
        <f t="shared" si="51"/>
        <v>78</v>
      </c>
      <c r="F212">
        <f t="shared" si="52"/>
        <v>70</v>
      </c>
      <c r="G212">
        <f>IF(C212&gt;=$L$2,0,VLOOKUP($E212,'Mortality Table'!$A$3:$C$128,2+H$2,FALSE))</f>
        <v>0</v>
      </c>
      <c r="H212">
        <f>IF(C212&gt;=$L$2,0,VLOOKUP($E212,'Mortality Table'!$A$3:$C$128,2+I$2,FALSE))</f>
        <v>0</v>
      </c>
      <c r="I212" s="17">
        <f>G212*Assumptions!$B$1</f>
        <v>0</v>
      </c>
      <c r="J212" s="17">
        <f>H212*Assumptions!$B$1</f>
        <v>0</v>
      </c>
      <c r="K212">
        <f t="shared" si="53"/>
        <v>0</v>
      </c>
      <c r="L212">
        <f t="shared" si="58"/>
        <v>0</v>
      </c>
      <c r="M212">
        <f>HLOOKUP(C212,Assumptions!$A$6:$J$7,2,TRUE)</f>
        <v>2.6499999999999999E-2</v>
      </c>
      <c r="N212" s="23">
        <f t="shared" si="48"/>
        <v>0</v>
      </c>
      <c r="O212" s="23">
        <f t="shared" si="54"/>
        <v>0</v>
      </c>
      <c r="P212">
        <f t="shared" si="59"/>
        <v>0</v>
      </c>
      <c r="Q212" s="23">
        <f t="shared" si="55"/>
        <v>0</v>
      </c>
      <c r="R212">
        <f>Q211*Assumptions!$B$11/$E$2*N212</f>
        <v>0</v>
      </c>
      <c r="S212">
        <f>Q211*Assumptions!$B$13/$E$2*N212</f>
        <v>0</v>
      </c>
      <c r="T212">
        <f>L212*Assumptions!$B$15</f>
        <v>0</v>
      </c>
      <c r="U212">
        <f>S212*Assumptions!$B$17</f>
        <v>0</v>
      </c>
      <c r="V212">
        <f>HLOOKUP(B212,Assumptions!$A$26:$D$27,2,TRUE)</f>
        <v>0</v>
      </c>
      <c r="W212">
        <f t="shared" si="60"/>
        <v>0</v>
      </c>
      <c r="X212">
        <f t="shared" si="61"/>
        <v>0.33333333333333215</v>
      </c>
      <c r="Y212">
        <f>IF(B212&gt;$M$2,0,IF(X213=0,0,(1-X213)*Assumptions!$B$11/$E$2*(1-Assumptions!$B$30)))</f>
        <v>0</v>
      </c>
      <c r="Z212">
        <f>(R212-S212)*(1-Assumptions!$B$30)-U212+Y211*Q211</f>
        <v>0</v>
      </c>
      <c r="AA212">
        <f>AA211*(1+Assumptions!$B$36)^(1/12)</f>
        <v>1.181362037383682</v>
      </c>
      <c r="AB212" s="20">
        <f>IF(B212&gt;$M$2,0,AA211*Assumptions!$B$32/12*Q211+Z212*Assumptions!$B$34/12)</f>
        <v>0</v>
      </c>
      <c r="AC212" s="21">
        <f>1/(1+HLOOKUP(YEAR(A212),Assumptions!$A$41:$AL$43,3,TRUE))^(1/12)</f>
        <v>0.99823744346557397</v>
      </c>
      <c r="AD212">
        <f t="shared" si="56"/>
        <v>0</v>
      </c>
      <c r="AE212">
        <f t="shared" si="62"/>
        <v>0</v>
      </c>
    </row>
    <row r="213" spans="1:31" x14ac:dyDescent="0.2">
      <c r="A213" s="2">
        <f t="shared" si="63"/>
        <v>49248</v>
      </c>
      <c r="B213">
        <f t="shared" si="57"/>
        <v>282</v>
      </c>
      <c r="C213">
        <f t="shared" si="49"/>
        <v>23.416666666666668</v>
      </c>
      <c r="D213">
        <f t="shared" si="50"/>
        <v>0</v>
      </c>
      <c r="E213">
        <f t="shared" si="51"/>
        <v>78</v>
      </c>
      <c r="F213">
        <f t="shared" si="52"/>
        <v>70</v>
      </c>
      <c r="G213">
        <f>IF(C213&gt;=$L$2,0,VLOOKUP($E213,'Mortality Table'!$A$3:$C$128,2+H$2,FALSE))</f>
        <v>0</v>
      </c>
      <c r="H213">
        <f>IF(C213&gt;=$L$2,0,VLOOKUP($E213,'Mortality Table'!$A$3:$C$128,2+I$2,FALSE))</f>
        <v>0</v>
      </c>
      <c r="I213" s="17">
        <f>G213*Assumptions!$B$1</f>
        <v>0</v>
      </c>
      <c r="J213" s="17">
        <f>H213*Assumptions!$B$1</f>
        <v>0</v>
      </c>
      <c r="K213">
        <f t="shared" si="53"/>
        <v>0</v>
      </c>
      <c r="L213">
        <f t="shared" si="58"/>
        <v>0</v>
      </c>
      <c r="M213">
        <f>HLOOKUP(C213,Assumptions!$A$6:$J$7,2,TRUE)</f>
        <v>2.6499999999999999E-2</v>
      </c>
      <c r="N213" s="23">
        <f t="shared" si="48"/>
        <v>0</v>
      </c>
      <c r="O213" s="23">
        <f t="shared" si="54"/>
        <v>0</v>
      </c>
      <c r="P213">
        <f t="shared" si="59"/>
        <v>0</v>
      </c>
      <c r="Q213" s="23">
        <f t="shared" si="55"/>
        <v>0</v>
      </c>
      <c r="R213">
        <f>Q212*Assumptions!$B$11/$E$2*N213</f>
        <v>0</v>
      </c>
      <c r="S213">
        <f>Q212*Assumptions!$B$13/$E$2*N213</f>
        <v>0</v>
      </c>
      <c r="T213">
        <f>L213*Assumptions!$B$15</f>
        <v>0</v>
      </c>
      <c r="U213">
        <f>S213*Assumptions!$B$17</f>
        <v>0</v>
      </c>
      <c r="V213">
        <f>HLOOKUP(B213,Assumptions!$A$26:$D$27,2,TRUE)</f>
        <v>0</v>
      </c>
      <c r="W213">
        <f t="shared" si="60"/>
        <v>0</v>
      </c>
      <c r="X213">
        <f t="shared" si="61"/>
        <v>0.41666666666666785</v>
      </c>
      <c r="Y213">
        <f>IF(B213&gt;$M$2,0,IF(X214=0,0,(1-X214)*Assumptions!$B$11/$E$2*(1-Assumptions!$B$30)))</f>
        <v>0</v>
      </c>
      <c r="Z213">
        <f>(R213-S213)*(1-Assumptions!$B$30)-U213+Y212*Q212</f>
        <v>0</v>
      </c>
      <c r="AA213">
        <f>AA212*(1+Assumptions!$B$36)^(1/12)</f>
        <v>1.1823420222205334</v>
      </c>
      <c r="AB213" s="20">
        <f>IF(B213&gt;$M$2,0,AA212*Assumptions!$B$32/12*Q212+Z213*Assumptions!$B$34/12)</f>
        <v>0</v>
      </c>
      <c r="AC213" s="21">
        <f>1/(1+HLOOKUP(YEAR(A213),Assumptions!$A$41:$AL$43,3,TRUE))^(1/12)</f>
        <v>0.99823744346557397</v>
      </c>
      <c r="AD213">
        <f t="shared" si="56"/>
        <v>0</v>
      </c>
      <c r="AE213">
        <f t="shared" si="62"/>
        <v>0</v>
      </c>
    </row>
    <row r="214" spans="1:31" x14ac:dyDescent="0.2">
      <c r="A214" s="2">
        <f t="shared" si="63"/>
        <v>49278</v>
      </c>
      <c r="B214">
        <f t="shared" si="57"/>
        <v>283</v>
      </c>
      <c r="C214">
        <f t="shared" si="49"/>
        <v>23.5</v>
      </c>
      <c r="D214">
        <f t="shared" si="50"/>
        <v>0</v>
      </c>
      <c r="E214">
        <f t="shared" si="51"/>
        <v>78</v>
      </c>
      <c r="F214">
        <f t="shared" si="52"/>
        <v>70</v>
      </c>
      <c r="G214">
        <f>IF(C214&gt;=$L$2,0,VLOOKUP($E214,'Mortality Table'!$A$3:$C$128,2+H$2,FALSE))</f>
        <v>0</v>
      </c>
      <c r="H214">
        <f>IF(C214&gt;=$L$2,0,VLOOKUP($E214,'Mortality Table'!$A$3:$C$128,2+I$2,FALSE))</f>
        <v>0</v>
      </c>
      <c r="I214" s="17">
        <f>G214*Assumptions!$B$1</f>
        <v>0</v>
      </c>
      <c r="J214" s="17">
        <f>H214*Assumptions!$B$1</f>
        <v>0</v>
      </c>
      <c r="K214">
        <f t="shared" si="53"/>
        <v>0</v>
      </c>
      <c r="L214">
        <f t="shared" si="58"/>
        <v>0</v>
      </c>
      <c r="M214">
        <f>HLOOKUP(C214,Assumptions!$A$6:$J$7,2,TRUE)</f>
        <v>2.6499999999999999E-2</v>
      </c>
      <c r="N214" s="23">
        <f t="shared" si="48"/>
        <v>0</v>
      </c>
      <c r="O214" s="23">
        <f t="shared" si="54"/>
        <v>0</v>
      </c>
      <c r="P214">
        <f t="shared" si="59"/>
        <v>0</v>
      </c>
      <c r="Q214" s="23">
        <f t="shared" si="55"/>
        <v>0</v>
      </c>
      <c r="R214">
        <f>Q213*Assumptions!$B$11/$E$2*N214</f>
        <v>0</v>
      </c>
      <c r="S214">
        <f>Q213*Assumptions!$B$13/$E$2*N214</f>
        <v>0</v>
      </c>
      <c r="T214">
        <f>L214*Assumptions!$B$15</f>
        <v>0</v>
      </c>
      <c r="U214">
        <f>S214*Assumptions!$B$17</f>
        <v>0</v>
      </c>
      <c r="V214">
        <f>HLOOKUP(B214,Assumptions!$A$26:$D$27,2,TRUE)</f>
        <v>0</v>
      </c>
      <c r="W214">
        <f t="shared" si="60"/>
        <v>0</v>
      </c>
      <c r="X214">
        <f t="shared" si="61"/>
        <v>0.5</v>
      </c>
      <c r="Y214">
        <f>IF(B214&gt;$M$2,0,IF(X215=0,0,(1-X215)*Assumptions!$B$11/$E$2*(1-Assumptions!$B$30)))</f>
        <v>0</v>
      </c>
      <c r="Z214">
        <f>(R214-S214)*(1-Assumptions!$B$30)-U214+Y213*Q213</f>
        <v>0</v>
      </c>
      <c r="AA214">
        <f>AA213*(1+Assumptions!$B$36)^(1/12)</f>
        <v>1.1833228199921584</v>
      </c>
      <c r="AB214" s="20">
        <f>IF(B214&gt;$M$2,0,AA213*Assumptions!$B$32/12*Q213+Z214*Assumptions!$B$34/12)</f>
        <v>0</v>
      </c>
      <c r="AC214" s="21">
        <f>1/(1+HLOOKUP(YEAR(A214),Assumptions!$A$41:$AL$43,3,TRUE))^(1/12)</f>
        <v>0.99823744346557397</v>
      </c>
      <c r="AD214">
        <f t="shared" si="56"/>
        <v>0</v>
      </c>
      <c r="AE214">
        <f t="shared" si="62"/>
        <v>0</v>
      </c>
    </row>
    <row r="215" spans="1:31" x14ac:dyDescent="0.2">
      <c r="A215" s="2">
        <f t="shared" si="63"/>
        <v>49309</v>
      </c>
      <c r="B215">
        <f t="shared" si="57"/>
        <v>284</v>
      </c>
      <c r="C215">
        <f t="shared" si="49"/>
        <v>23.583333333333332</v>
      </c>
      <c r="D215">
        <f t="shared" si="50"/>
        <v>0</v>
      </c>
      <c r="E215">
        <f t="shared" si="51"/>
        <v>78</v>
      </c>
      <c r="F215">
        <f t="shared" si="52"/>
        <v>70</v>
      </c>
      <c r="G215">
        <f>IF(C215&gt;=$L$2,0,VLOOKUP($E215,'Mortality Table'!$A$3:$C$128,2+H$2,FALSE))</f>
        <v>0</v>
      </c>
      <c r="H215">
        <f>IF(C215&gt;=$L$2,0,VLOOKUP($E215,'Mortality Table'!$A$3:$C$128,2+I$2,FALSE))</f>
        <v>0</v>
      </c>
      <c r="I215" s="17">
        <f>G215*Assumptions!$B$1</f>
        <v>0</v>
      </c>
      <c r="J215" s="17">
        <f>H215*Assumptions!$B$1</f>
        <v>0</v>
      </c>
      <c r="K215">
        <f t="shared" si="53"/>
        <v>0</v>
      </c>
      <c r="L215">
        <f t="shared" si="58"/>
        <v>0</v>
      </c>
      <c r="M215">
        <f>HLOOKUP(C215,Assumptions!$A$6:$J$7,2,TRUE)</f>
        <v>2.6499999999999999E-2</v>
      </c>
      <c r="N215" s="23">
        <f t="shared" si="48"/>
        <v>0</v>
      </c>
      <c r="O215" s="23">
        <f t="shared" si="54"/>
        <v>0</v>
      </c>
      <c r="P215">
        <f t="shared" si="59"/>
        <v>0</v>
      </c>
      <c r="Q215" s="23">
        <f t="shared" si="55"/>
        <v>0</v>
      </c>
      <c r="R215">
        <f>Q214*Assumptions!$B$11/$E$2*N215</f>
        <v>0</v>
      </c>
      <c r="S215">
        <f>Q214*Assumptions!$B$13/$E$2*N215</f>
        <v>0</v>
      </c>
      <c r="T215">
        <f>L215*Assumptions!$B$15</f>
        <v>0</v>
      </c>
      <c r="U215">
        <f>S215*Assumptions!$B$17</f>
        <v>0</v>
      </c>
      <c r="V215">
        <f>HLOOKUP(B215,Assumptions!$A$26:$D$27,2,TRUE)</f>
        <v>0</v>
      </c>
      <c r="W215">
        <f t="shared" si="60"/>
        <v>0</v>
      </c>
      <c r="X215">
        <f t="shared" si="61"/>
        <v>0.58333333333333215</v>
      </c>
      <c r="Y215">
        <f>IF(B215&gt;$M$2,0,IF(X216=0,0,(1-X216)*Assumptions!$B$11/$E$2*(1-Assumptions!$B$30)))</f>
        <v>0</v>
      </c>
      <c r="Z215">
        <f>(R215-S215)*(1-Assumptions!$B$30)-U215+Y214*Q214</f>
        <v>0</v>
      </c>
      <c r="AA215">
        <f>AA214*(1+Assumptions!$B$36)^(1/12)</f>
        <v>1.1843044313729174</v>
      </c>
      <c r="AB215" s="20">
        <f>IF(B215&gt;$M$2,0,AA214*Assumptions!$B$32/12*Q214+Z215*Assumptions!$B$34/12)</f>
        <v>0</v>
      </c>
      <c r="AC215" s="21">
        <f>1/(1+HLOOKUP(YEAR(A215),Assumptions!$A$41:$AL$43,3,TRUE))^(1/12)</f>
        <v>0.99823744346557397</v>
      </c>
      <c r="AD215">
        <f t="shared" si="56"/>
        <v>0</v>
      </c>
      <c r="AE215">
        <f t="shared" si="62"/>
        <v>0</v>
      </c>
    </row>
    <row r="216" spans="1:31" x14ac:dyDescent="0.2">
      <c r="A216" s="2">
        <f t="shared" si="63"/>
        <v>49340</v>
      </c>
      <c r="B216">
        <f t="shared" si="57"/>
        <v>285</v>
      </c>
      <c r="C216">
        <f t="shared" si="49"/>
        <v>23.666666666666668</v>
      </c>
      <c r="D216">
        <f t="shared" si="50"/>
        <v>0</v>
      </c>
      <c r="E216">
        <f t="shared" si="51"/>
        <v>78</v>
      </c>
      <c r="F216">
        <f t="shared" si="52"/>
        <v>70</v>
      </c>
      <c r="G216">
        <f>IF(C216&gt;=$L$2,0,VLOOKUP($E216,'Mortality Table'!$A$3:$C$128,2+H$2,FALSE))</f>
        <v>0</v>
      </c>
      <c r="H216">
        <f>IF(C216&gt;=$L$2,0,VLOOKUP($E216,'Mortality Table'!$A$3:$C$128,2+I$2,FALSE))</f>
        <v>0</v>
      </c>
      <c r="I216" s="17">
        <f>G216*Assumptions!$B$1</f>
        <v>0</v>
      </c>
      <c r="J216" s="17">
        <f>H216*Assumptions!$B$1</f>
        <v>0</v>
      </c>
      <c r="K216">
        <f t="shared" si="53"/>
        <v>0</v>
      </c>
      <c r="L216">
        <f t="shared" si="58"/>
        <v>0</v>
      </c>
      <c r="M216">
        <f>HLOOKUP(C216,Assumptions!$A$6:$J$7,2,TRUE)</f>
        <v>2.6499999999999999E-2</v>
      </c>
      <c r="N216" s="23">
        <f t="shared" si="48"/>
        <v>0</v>
      </c>
      <c r="O216" s="23">
        <f t="shared" si="54"/>
        <v>0</v>
      </c>
      <c r="P216">
        <f t="shared" si="59"/>
        <v>0</v>
      </c>
      <c r="Q216" s="23">
        <f t="shared" si="55"/>
        <v>0</v>
      </c>
      <c r="R216">
        <f>Q215*Assumptions!$B$11/$E$2*N216</f>
        <v>0</v>
      </c>
      <c r="S216">
        <f>Q215*Assumptions!$B$13/$E$2*N216</f>
        <v>0</v>
      </c>
      <c r="T216">
        <f>L216*Assumptions!$B$15</f>
        <v>0</v>
      </c>
      <c r="U216">
        <f>S216*Assumptions!$B$17</f>
        <v>0</v>
      </c>
      <c r="V216">
        <f>HLOOKUP(B216,Assumptions!$A$26:$D$27,2,TRUE)</f>
        <v>0</v>
      </c>
      <c r="W216">
        <f t="shared" si="60"/>
        <v>0</v>
      </c>
      <c r="X216">
        <f t="shared" si="61"/>
        <v>0.66666666666666785</v>
      </c>
      <c r="Y216">
        <f>IF(B216&gt;$M$2,0,IF(X217=0,0,(1-X217)*Assumptions!$B$11/$E$2*(1-Assumptions!$B$30)))</f>
        <v>0</v>
      </c>
      <c r="Z216">
        <f>(R216-S216)*(1-Assumptions!$B$30)-U216+Y215*Q215</f>
        <v>0</v>
      </c>
      <c r="AA216">
        <f>AA215*(1+Assumptions!$B$36)^(1/12)</f>
        <v>1.1852868570377304</v>
      </c>
      <c r="AB216" s="20">
        <f>IF(B216&gt;$M$2,0,AA215*Assumptions!$B$32/12*Q215+Z216*Assumptions!$B$34/12)</f>
        <v>0</v>
      </c>
      <c r="AC216" s="21">
        <f>1/(1+HLOOKUP(YEAR(A216),Assumptions!$A$41:$AL$43,3,TRUE))^(1/12)</f>
        <v>0.99817964001618509</v>
      </c>
      <c r="AD216">
        <f t="shared" si="56"/>
        <v>0</v>
      </c>
      <c r="AE216">
        <f t="shared" si="62"/>
        <v>0</v>
      </c>
    </row>
    <row r="217" spans="1:31" x14ac:dyDescent="0.2">
      <c r="A217" s="2">
        <f t="shared" si="63"/>
        <v>49368</v>
      </c>
      <c r="B217">
        <f t="shared" si="57"/>
        <v>286</v>
      </c>
      <c r="C217">
        <f t="shared" si="49"/>
        <v>23.75</v>
      </c>
      <c r="D217">
        <f t="shared" si="50"/>
        <v>0</v>
      </c>
      <c r="E217">
        <f t="shared" si="51"/>
        <v>78</v>
      </c>
      <c r="F217">
        <f t="shared" si="52"/>
        <v>70</v>
      </c>
      <c r="G217">
        <f>IF(C217&gt;=$L$2,0,VLOOKUP($E217,'Mortality Table'!$A$3:$C$128,2+H$2,FALSE))</f>
        <v>0</v>
      </c>
      <c r="H217">
        <f>IF(C217&gt;=$L$2,0,VLOOKUP($E217,'Mortality Table'!$A$3:$C$128,2+I$2,FALSE))</f>
        <v>0</v>
      </c>
      <c r="I217" s="17">
        <f>G217*Assumptions!$B$1</f>
        <v>0</v>
      </c>
      <c r="J217" s="17">
        <f>H217*Assumptions!$B$1</f>
        <v>0</v>
      </c>
      <c r="K217">
        <f t="shared" si="53"/>
        <v>0</v>
      </c>
      <c r="L217">
        <f t="shared" si="58"/>
        <v>0</v>
      </c>
      <c r="M217">
        <f>HLOOKUP(C217,Assumptions!$A$6:$J$7,2,TRUE)</f>
        <v>2.6499999999999999E-2</v>
      </c>
      <c r="N217" s="23">
        <f t="shared" si="48"/>
        <v>0</v>
      </c>
      <c r="O217" s="23">
        <f t="shared" si="54"/>
        <v>0</v>
      </c>
      <c r="P217">
        <f t="shared" si="59"/>
        <v>0</v>
      </c>
      <c r="Q217" s="23">
        <f t="shared" si="55"/>
        <v>0</v>
      </c>
      <c r="R217">
        <f>Q216*Assumptions!$B$11/$E$2*N217</f>
        <v>0</v>
      </c>
      <c r="S217">
        <f>Q216*Assumptions!$B$13/$E$2*N217</f>
        <v>0</v>
      </c>
      <c r="T217">
        <f>L217*Assumptions!$B$15</f>
        <v>0</v>
      </c>
      <c r="U217">
        <f>S217*Assumptions!$B$17</f>
        <v>0</v>
      </c>
      <c r="V217">
        <f>HLOOKUP(B217,Assumptions!$A$26:$D$27,2,TRUE)</f>
        <v>0</v>
      </c>
      <c r="W217">
        <f t="shared" si="60"/>
        <v>0</v>
      </c>
      <c r="X217">
        <f t="shared" si="61"/>
        <v>0.75</v>
      </c>
      <c r="Y217">
        <f>IF(B217&gt;$M$2,0,IF(X218=0,0,(1-X218)*Assumptions!$B$11/$E$2*(1-Assumptions!$B$30)))</f>
        <v>0</v>
      </c>
      <c r="Z217">
        <f>(R217-S217)*(1-Assumptions!$B$30)-U217+Y216*Q216</f>
        <v>0</v>
      </c>
      <c r="AA217">
        <f>AA216*(1+Assumptions!$B$36)^(1/12)</f>
        <v>1.1862700976620768</v>
      </c>
      <c r="AB217" s="20">
        <f>IF(B217&gt;$M$2,0,AA216*Assumptions!$B$32/12*Q216+Z217*Assumptions!$B$34/12)</f>
        <v>0</v>
      </c>
      <c r="AC217" s="21">
        <f>1/(1+HLOOKUP(YEAR(A217),Assumptions!$A$41:$AL$43,3,TRUE))^(1/12)</f>
        <v>0.99817964001618509</v>
      </c>
      <c r="AD217">
        <f t="shared" si="56"/>
        <v>0</v>
      </c>
      <c r="AE217">
        <f t="shared" si="62"/>
        <v>0</v>
      </c>
    </row>
    <row r="218" spans="1:31" x14ac:dyDescent="0.2">
      <c r="A218" s="2">
        <f t="shared" si="63"/>
        <v>49399</v>
      </c>
      <c r="B218">
        <f t="shared" si="57"/>
        <v>287</v>
      </c>
      <c r="C218">
        <f t="shared" si="49"/>
        <v>23.833333333333332</v>
      </c>
      <c r="D218">
        <f t="shared" si="50"/>
        <v>0</v>
      </c>
      <c r="E218">
        <f t="shared" si="51"/>
        <v>78</v>
      </c>
      <c r="F218">
        <f t="shared" si="52"/>
        <v>70</v>
      </c>
      <c r="G218">
        <f>IF(C218&gt;=$L$2,0,VLOOKUP($E218,'Mortality Table'!$A$3:$C$128,2+H$2,FALSE))</f>
        <v>0</v>
      </c>
      <c r="H218">
        <f>IF(C218&gt;=$L$2,0,VLOOKUP($E218,'Mortality Table'!$A$3:$C$128,2+I$2,FALSE))</f>
        <v>0</v>
      </c>
      <c r="I218" s="17">
        <f>G218*Assumptions!$B$1</f>
        <v>0</v>
      </c>
      <c r="J218" s="17">
        <f>H218*Assumptions!$B$1</f>
        <v>0</v>
      </c>
      <c r="K218">
        <f t="shared" si="53"/>
        <v>0</v>
      </c>
      <c r="L218">
        <f t="shared" si="58"/>
        <v>0</v>
      </c>
      <c r="M218">
        <f>HLOOKUP(C218,Assumptions!$A$6:$J$7,2,TRUE)</f>
        <v>2.6499999999999999E-2</v>
      </c>
      <c r="N218" s="23">
        <f t="shared" si="48"/>
        <v>0</v>
      </c>
      <c r="O218" s="23">
        <f t="shared" si="54"/>
        <v>0</v>
      </c>
      <c r="P218">
        <f t="shared" si="59"/>
        <v>0</v>
      </c>
      <c r="Q218" s="23">
        <f t="shared" si="55"/>
        <v>0</v>
      </c>
      <c r="R218">
        <f>Q217*Assumptions!$B$11/$E$2*N218</f>
        <v>0</v>
      </c>
      <c r="S218">
        <f>Q217*Assumptions!$B$13/$E$2*N218</f>
        <v>0</v>
      </c>
      <c r="T218">
        <f>L218*Assumptions!$B$15</f>
        <v>0</v>
      </c>
      <c r="U218">
        <f>S218*Assumptions!$B$17</f>
        <v>0</v>
      </c>
      <c r="V218">
        <f>HLOOKUP(B218,Assumptions!$A$26:$D$27,2,TRUE)</f>
        <v>0</v>
      </c>
      <c r="W218">
        <f t="shared" si="60"/>
        <v>0</v>
      </c>
      <c r="X218">
        <f t="shared" si="61"/>
        <v>0.83333333333333215</v>
      </c>
      <c r="Y218">
        <f>IF(B218&gt;$M$2,0,IF(X219=0,0,(1-X219)*Assumptions!$B$11/$E$2*(1-Assumptions!$B$30)))</f>
        <v>0</v>
      </c>
      <c r="Z218">
        <f>(R218-S218)*(1-Assumptions!$B$30)-U218+Y217*Q217</f>
        <v>0</v>
      </c>
      <c r="AA218">
        <f>AA217*(1+Assumptions!$B$36)^(1/12)</f>
        <v>1.1872541539219967</v>
      </c>
      <c r="AB218" s="20">
        <f>IF(B218&gt;$M$2,0,AA217*Assumptions!$B$32/12*Q217+Z218*Assumptions!$B$34/12)</f>
        <v>0</v>
      </c>
      <c r="AC218" s="21">
        <f>1/(1+HLOOKUP(YEAR(A218),Assumptions!$A$41:$AL$43,3,TRUE))^(1/12)</f>
        <v>0.99817964001618509</v>
      </c>
      <c r="AD218">
        <f t="shared" si="56"/>
        <v>0</v>
      </c>
      <c r="AE218">
        <f t="shared" si="62"/>
        <v>0</v>
      </c>
    </row>
    <row r="219" spans="1:31" x14ac:dyDescent="0.2">
      <c r="A219" s="2">
        <f t="shared" si="63"/>
        <v>49429</v>
      </c>
      <c r="B219">
        <f t="shared" si="57"/>
        <v>288</v>
      </c>
      <c r="C219">
        <f t="shared" si="49"/>
        <v>23.916666666666668</v>
      </c>
      <c r="D219">
        <f t="shared" si="50"/>
        <v>0</v>
      </c>
      <c r="E219">
        <f t="shared" si="51"/>
        <v>78</v>
      </c>
      <c r="F219">
        <f t="shared" si="52"/>
        <v>70</v>
      </c>
      <c r="G219">
        <f>IF(C219&gt;=$L$2,0,VLOOKUP($E219,'Mortality Table'!$A$3:$C$128,2+H$2,FALSE))</f>
        <v>0</v>
      </c>
      <c r="H219">
        <f>IF(C219&gt;=$L$2,0,VLOOKUP($E219,'Mortality Table'!$A$3:$C$128,2+I$2,FALSE))</f>
        <v>0</v>
      </c>
      <c r="I219" s="17">
        <f>G219*Assumptions!$B$1</f>
        <v>0</v>
      </c>
      <c r="J219" s="17">
        <f>H219*Assumptions!$B$1</f>
        <v>0</v>
      </c>
      <c r="K219">
        <f t="shared" si="53"/>
        <v>0</v>
      </c>
      <c r="L219">
        <f t="shared" si="58"/>
        <v>0</v>
      </c>
      <c r="M219">
        <f>HLOOKUP(C219,Assumptions!$A$6:$J$7,2,TRUE)</f>
        <v>2.6499999999999999E-2</v>
      </c>
      <c r="N219" s="23">
        <f t="shared" si="48"/>
        <v>0</v>
      </c>
      <c r="O219" s="23">
        <f t="shared" si="54"/>
        <v>0</v>
      </c>
      <c r="P219">
        <f t="shared" si="59"/>
        <v>0</v>
      </c>
      <c r="Q219" s="23">
        <f t="shared" si="55"/>
        <v>0</v>
      </c>
      <c r="R219">
        <f>Q218*Assumptions!$B$11/$E$2*N219</f>
        <v>0</v>
      </c>
      <c r="S219">
        <f>Q218*Assumptions!$B$13/$E$2*N219</f>
        <v>0</v>
      </c>
      <c r="T219">
        <f>L219*Assumptions!$B$15</f>
        <v>0</v>
      </c>
      <c r="U219">
        <f>S219*Assumptions!$B$17</f>
        <v>0</v>
      </c>
      <c r="V219">
        <f>HLOOKUP(B219,Assumptions!$A$26:$D$27,2,TRUE)</f>
        <v>0</v>
      </c>
      <c r="W219">
        <f t="shared" si="60"/>
        <v>0</v>
      </c>
      <c r="X219">
        <f t="shared" si="61"/>
        <v>0.91666666666666785</v>
      </c>
      <c r="Y219">
        <f>IF(B219&gt;$M$2,0,IF(X220=0,0,(1-X220)*Assumptions!$B$11/$E$2*(1-Assumptions!$B$30)))</f>
        <v>0</v>
      </c>
      <c r="Z219">
        <f>(R219-S219)*(1-Assumptions!$B$30)-U219+Y218*Q218</f>
        <v>0</v>
      </c>
      <c r="AA219">
        <f>AA218*(1+Assumptions!$B$36)^(1/12)</f>
        <v>1.1882390264940907</v>
      </c>
      <c r="AB219" s="20">
        <f>IF(B219&gt;$M$2,0,AA218*Assumptions!$B$32/12*Q218+Z219*Assumptions!$B$34/12)</f>
        <v>0</v>
      </c>
      <c r="AC219" s="21">
        <f>1/(1+HLOOKUP(YEAR(A219),Assumptions!$A$41:$AL$43,3,TRUE))^(1/12)</f>
        <v>0.99817964001618509</v>
      </c>
      <c r="AD219">
        <f t="shared" si="56"/>
        <v>0</v>
      </c>
      <c r="AE219">
        <f t="shared" si="62"/>
        <v>0</v>
      </c>
    </row>
    <row r="220" spans="1:31" x14ac:dyDescent="0.2">
      <c r="A220" s="2">
        <f t="shared" si="63"/>
        <v>49460</v>
      </c>
      <c r="B220">
        <f t="shared" si="57"/>
        <v>289</v>
      </c>
      <c r="C220">
        <f t="shared" si="49"/>
        <v>24</v>
      </c>
      <c r="D220">
        <f t="shared" si="50"/>
        <v>1</v>
      </c>
      <c r="E220">
        <f t="shared" si="51"/>
        <v>79</v>
      </c>
      <c r="F220">
        <f t="shared" si="52"/>
        <v>71</v>
      </c>
      <c r="G220">
        <f>IF(C220&gt;=$L$2,0,VLOOKUP($E220,'Mortality Table'!$A$3:$C$128,2+H$2,FALSE))</f>
        <v>0</v>
      </c>
      <c r="H220">
        <f>IF(C220&gt;=$L$2,0,VLOOKUP($E220,'Mortality Table'!$A$3:$C$128,2+I$2,FALSE))</f>
        <v>0</v>
      </c>
      <c r="I220" s="17">
        <f>G220*Assumptions!$B$1</f>
        <v>0</v>
      </c>
      <c r="J220" s="17">
        <f>H220*Assumptions!$B$1</f>
        <v>0</v>
      </c>
      <c r="K220">
        <f t="shared" si="53"/>
        <v>0</v>
      </c>
      <c r="L220">
        <f t="shared" si="58"/>
        <v>0</v>
      </c>
      <c r="M220">
        <f>HLOOKUP(C220,Assumptions!$A$6:$J$7,2,TRUE)</f>
        <v>2.6499999999999999E-2</v>
      </c>
      <c r="N220" s="23">
        <f t="shared" si="48"/>
        <v>0</v>
      </c>
      <c r="O220" s="23">
        <f t="shared" si="54"/>
        <v>0</v>
      </c>
      <c r="P220">
        <f t="shared" si="59"/>
        <v>0</v>
      </c>
      <c r="Q220" s="23">
        <f t="shared" si="55"/>
        <v>0</v>
      </c>
      <c r="R220">
        <f>Q219*Assumptions!$B$11/$E$2*N220</f>
        <v>0</v>
      </c>
      <c r="S220">
        <f>Q219*Assumptions!$B$13/$E$2*N220</f>
        <v>0</v>
      </c>
      <c r="T220">
        <f>L220*Assumptions!$B$15</f>
        <v>0</v>
      </c>
      <c r="U220">
        <f>S220*Assumptions!$B$17</f>
        <v>0</v>
      </c>
      <c r="V220">
        <f>HLOOKUP(B220,Assumptions!$A$26:$D$27,2,TRUE)</f>
        <v>0</v>
      </c>
      <c r="W220">
        <f t="shared" si="60"/>
        <v>0</v>
      </c>
      <c r="X220">
        <f t="shared" si="61"/>
        <v>0</v>
      </c>
      <c r="Y220">
        <f>IF(B220&gt;$M$2,0,IF(X221=0,0,(1-X221)*Assumptions!$B$11/$E$2*(1-Assumptions!$B$30)))</f>
        <v>0</v>
      </c>
      <c r="Z220">
        <f>(R220-S220)*(1-Assumptions!$B$30)-U220+Y219*Q219</f>
        <v>0</v>
      </c>
      <c r="AA220">
        <f>AA219*(1+Assumptions!$B$36)^(1/12)</f>
        <v>1.1892247160555212</v>
      </c>
      <c r="AB220" s="20">
        <f>IF(B220&gt;$M$2,0,AA219*Assumptions!$B$32/12*Q219+Z220*Assumptions!$B$34/12)</f>
        <v>0</v>
      </c>
      <c r="AC220" s="21">
        <f>1/(1+HLOOKUP(YEAR(A220),Assumptions!$A$41:$AL$43,3,TRUE))^(1/12)</f>
        <v>0.99817964001618509</v>
      </c>
      <c r="AD220">
        <f t="shared" si="56"/>
        <v>0</v>
      </c>
      <c r="AE220">
        <f t="shared" si="62"/>
        <v>0</v>
      </c>
    </row>
    <row r="221" spans="1:31" x14ac:dyDescent="0.2">
      <c r="A221" s="2">
        <f t="shared" si="63"/>
        <v>49490</v>
      </c>
      <c r="B221">
        <f t="shared" si="57"/>
        <v>290</v>
      </c>
      <c r="C221">
        <f t="shared" si="49"/>
        <v>24.083333333333332</v>
      </c>
      <c r="D221">
        <f t="shared" si="50"/>
        <v>0</v>
      </c>
      <c r="E221">
        <f t="shared" si="51"/>
        <v>79</v>
      </c>
      <c r="F221">
        <f t="shared" si="52"/>
        <v>71</v>
      </c>
      <c r="G221">
        <f>IF(C221&gt;=$L$2,0,VLOOKUP($E221,'Mortality Table'!$A$3:$C$128,2+H$2,FALSE))</f>
        <v>0</v>
      </c>
      <c r="H221">
        <f>IF(C221&gt;=$L$2,0,VLOOKUP($E221,'Mortality Table'!$A$3:$C$128,2+I$2,FALSE))</f>
        <v>0</v>
      </c>
      <c r="I221" s="17">
        <f>G221*Assumptions!$B$1</f>
        <v>0</v>
      </c>
      <c r="J221" s="17">
        <f>H221*Assumptions!$B$1</f>
        <v>0</v>
      </c>
      <c r="K221">
        <f t="shared" si="53"/>
        <v>0</v>
      </c>
      <c r="L221">
        <f t="shared" si="58"/>
        <v>0</v>
      </c>
      <c r="M221">
        <f>HLOOKUP(C221,Assumptions!$A$6:$J$7,2,TRUE)</f>
        <v>2.6499999999999999E-2</v>
      </c>
      <c r="N221" s="23">
        <f t="shared" si="48"/>
        <v>0</v>
      </c>
      <c r="O221" s="23">
        <f t="shared" si="54"/>
        <v>0</v>
      </c>
      <c r="P221">
        <f t="shared" si="59"/>
        <v>0</v>
      </c>
      <c r="Q221" s="23">
        <f t="shared" si="55"/>
        <v>0</v>
      </c>
      <c r="R221">
        <f>Q220*Assumptions!$B$11/$E$2*N221</f>
        <v>0</v>
      </c>
      <c r="S221">
        <f>Q220*Assumptions!$B$13/$E$2*N221</f>
        <v>0</v>
      </c>
      <c r="T221">
        <f>L221*Assumptions!$B$15</f>
        <v>0</v>
      </c>
      <c r="U221">
        <f>S221*Assumptions!$B$17</f>
        <v>0</v>
      </c>
      <c r="V221">
        <f>HLOOKUP(B221,Assumptions!$A$26:$D$27,2,TRUE)</f>
        <v>0</v>
      </c>
      <c r="W221">
        <f t="shared" si="60"/>
        <v>0</v>
      </c>
      <c r="X221">
        <f t="shared" si="61"/>
        <v>8.3333333333332149E-2</v>
      </c>
      <c r="Y221">
        <f>IF(B221&gt;$M$2,0,IF(X222=0,0,(1-X222)*Assumptions!$B$11/$E$2*(1-Assumptions!$B$30)))</f>
        <v>0</v>
      </c>
      <c r="Z221">
        <f>(R221-S221)*(1-Assumptions!$B$30)-U221+Y220*Q220</f>
        <v>0</v>
      </c>
      <c r="AA221">
        <f>AA220*(1+Assumptions!$B$36)^(1/12)</f>
        <v>1.1902112232840116</v>
      </c>
      <c r="AB221" s="20">
        <f>IF(B221&gt;$M$2,0,AA220*Assumptions!$B$32/12*Q220+Z221*Assumptions!$B$34/12)</f>
        <v>0</v>
      </c>
      <c r="AC221" s="21">
        <f>1/(1+HLOOKUP(YEAR(A221),Assumptions!$A$41:$AL$43,3,TRUE))^(1/12)</f>
        <v>0.99817964001618509</v>
      </c>
      <c r="AD221">
        <f t="shared" si="56"/>
        <v>0</v>
      </c>
      <c r="AE221">
        <f t="shared" si="62"/>
        <v>0</v>
      </c>
    </row>
    <row r="222" spans="1:31" x14ac:dyDescent="0.2">
      <c r="A222" s="2">
        <f t="shared" si="63"/>
        <v>49521</v>
      </c>
      <c r="B222">
        <f t="shared" si="57"/>
        <v>291</v>
      </c>
      <c r="C222">
        <f t="shared" si="49"/>
        <v>24.166666666666668</v>
      </c>
      <c r="D222">
        <f t="shared" si="50"/>
        <v>0</v>
      </c>
      <c r="E222">
        <f t="shared" si="51"/>
        <v>79</v>
      </c>
      <c r="F222">
        <f t="shared" si="52"/>
        <v>71</v>
      </c>
      <c r="G222">
        <f>IF(C222&gt;=$L$2,0,VLOOKUP($E222,'Mortality Table'!$A$3:$C$128,2+H$2,FALSE))</f>
        <v>0</v>
      </c>
      <c r="H222">
        <f>IF(C222&gt;=$L$2,0,VLOOKUP($E222,'Mortality Table'!$A$3:$C$128,2+I$2,FALSE))</f>
        <v>0</v>
      </c>
      <c r="I222" s="17">
        <f>G222*Assumptions!$B$1</f>
        <v>0</v>
      </c>
      <c r="J222" s="17">
        <f>H222*Assumptions!$B$1</f>
        <v>0</v>
      </c>
      <c r="K222">
        <f t="shared" si="53"/>
        <v>0</v>
      </c>
      <c r="L222">
        <f t="shared" si="58"/>
        <v>0</v>
      </c>
      <c r="M222">
        <f>HLOOKUP(C222,Assumptions!$A$6:$J$7,2,TRUE)</f>
        <v>2.6499999999999999E-2</v>
      </c>
      <c r="N222" s="23">
        <f t="shared" si="48"/>
        <v>0</v>
      </c>
      <c r="O222" s="23">
        <f t="shared" si="54"/>
        <v>0</v>
      </c>
      <c r="P222">
        <f t="shared" si="59"/>
        <v>0</v>
      </c>
      <c r="Q222" s="23">
        <f t="shared" si="55"/>
        <v>0</v>
      </c>
      <c r="R222">
        <f>Q221*Assumptions!$B$11/$E$2*N222</f>
        <v>0</v>
      </c>
      <c r="S222">
        <f>Q221*Assumptions!$B$13/$E$2*N222</f>
        <v>0</v>
      </c>
      <c r="T222">
        <f>L222*Assumptions!$B$15</f>
        <v>0</v>
      </c>
      <c r="U222">
        <f>S222*Assumptions!$B$17</f>
        <v>0</v>
      </c>
      <c r="V222">
        <f>HLOOKUP(B222,Assumptions!$A$26:$D$27,2,TRUE)</f>
        <v>0</v>
      </c>
      <c r="W222">
        <f t="shared" si="60"/>
        <v>0</v>
      </c>
      <c r="X222">
        <f t="shared" si="61"/>
        <v>0.16666666666666785</v>
      </c>
      <c r="Y222">
        <f>IF(B222&gt;$M$2,0,IF(X223=0,0,(1-X223)*Assumptions!$B$11/$E$2*(1-Assumptions!$B$30)))</f>
        <v>0</v>
      </c>
      <c r="Z222">
        <f>(R222-S222)*(1-Assumptions!$B$30)-U222+Y221*Q221</f>
        <v>0</v>
      </c>
      <c r="AA222">
        <f>AA221*(1+Assumptions!$B$36)^(1/12)</f>
        <v>1.1911985488578483</v>
      </c>
      <c r="AB222" s="20">
        <f>IF(B222&gt;$M$2,0,AA221*Assumptions!$B$32/12*Q221+Z222*Assumptions!$B$34/12)</f>
        <v>0</v>
      </c>
      <c r="AC222" s="21">
        <f>1/(1+HLOOKUP(YEAR(A222),Assumptions!$A$41:$AL$43,3,TRUE))^(1/12)</f>
        <v>0.99817964001618509</v>
      </c>
      <c r="AD222">
        <f t="shared" si="56"/>
        <v>0</v>
      </c>
      <c r="AE222">
        <f t="shared" si="62"/>
        <v>0</v>
      </c>
    </row>
    <row r="223" spans="1:31" x14ac:dyDescent="0.2">
      <c r="A223" s="2">
        <f t="shared" si="63"/>
        <v>49552</v>
      </c>
      <c r="B223">
        <f t="shared" si="57"/>
        <v>292</v>
      </c>
      <c r="C223">
        <f t="shared" si="49"/>
        <v>24.25</v>
      </c>
      <c r="D223">
        <f t="shared" si="50"/>
        <v>0</v>
      </c>
      <c r="E223">
        <f t="shared" si="51"/>
        <v>79</v>
      </c>
      <c r="F223">
        <f t="shared" si="52"/>
        <v>71</v>
      </c>
      <c r="G223">
        <f>IF(C223&gt;=$L$2,0,VLOOKUP($E223,'Mortality Table'!$A$3:$C$128,2+H$2,FALSE))</f>
        <v>0</v>
      </c>
      <c r="H223">
        <f>IF(C223&gt;=$L$2,0,VLOOKUP($E223,'Mortality Table'!$A$3:$C$128,2+I$2,FALSE))</f>
        <v>0</v>
      </c>
      <c r="I223" s="17">
        <f>G223*Assumptions!$B$1</f>
        <v>0</v>
      </c>
      <c r="J223" s="17">
        <f>H223*Assumptions!$B$1</f>
        <v>0</v>
      </c>
      <c r="K223">
        <f t="shared" si="53"/>
        <v>0</v>
      </c>
      <c r="L223">
        <f t="shared" si="58"/>
        <v>0</v>
      </c>
      <c r="M223">
        <f>HLOOKUP(C223,Assumptions!$A$6:$J$7,2,TRUE)</f>
        <v>2.6499999999999999E-2</v>
      </c>
      <c r="N223" s="23">
        <f t="shared" si="48"/>
        <v>0</v>
      </c>
      <c r="O223" s="23">
        <f t="shared" si="54"/>
        <v>0</v>
      </c>
      <c r="P223">
        <f t="shared" si="59"/>
        <v>0</v>
      </c>
      <c r="Q223" s="23">
        <f t="shared" si="55"/>
        <v>0</v>
      </c>
      <c r="R223">
        <f>Q222*Assumptions!$B$11/$E$2*N223</f>
        <v>0</v>
      </c>
      <c r="S223">
        <f>Q222*Assumptions!$B$13/$E$2*N223</f>
        <v>0</v>
      </c>
      <c r="T223">
        <f>L223*Assumptions!$B$15</f>
        <v>0</v>
      </c>
      <c r="U223">
        <f>S223*Assumptions!$B$17</f>
        <v>0</v>
      </c>
      <c r="V223">
        <f>HLOOKUP(B223,Assumptions!$A$26:$D$27,2,TRUE)</f>
        <v>0</v>
      </c>
      <c r="W223">
        <f t="shared" si="60"/>
        <v>0</v>
      </c>
      <c r="X223">
        <f t="shared" si="61"/>
        <v>0.25</v>
      </c>
      <c r="Y223">
        <f>IF(B223&gt;$M$2,0,IF(X224=0,0,(1-X224)*Assumptions!$B$11/$E$2*(1-Assumptions!$B$30)))</f>
        <v>0</v>
      </c>
      <c r="Z223">
        <f>(R223-S223)*(1-Assumptions!$B$30)-U223+Y222*Q222</f>
        <v>0</v>
      </c>
      <c r="AA223">
        <f>AA222*(1+Assumptions!$B$36)^(1/12)</f>
        <v>1.1921866934558796</v>
      </c>
      <c r="AB223" s="20">
        <f>IF(B223&gt;$M$2,0,AA222*Assumptions!$B$32/12*Q222+Z223*Assumptions!$B$34/12)</f>
        <v>0</v>
      </c>
      <c r="AC223" s="21">
        <f>1/(1+HLOOKUP(YEAR(A223),Assumptions!$A$41:$AL$43,3,TRUE))^(1/12)</f>
        <v>0.99817964001618509</v>
      </c>
      <c r="AD223">
        <f t="shared" si="56"/>
        <v>0</v>
      </c>
      <c r="AE223">
        <f t="shared" si="62"/>
        <v>0</v>
      </c>
    </row>
    <row r="224" spans="1:31" x14ac:dyDescent="0.2">
      <c r="A224" s="2">
        <f t="shared" si="63"/>
        <v>49582</v>
      </c>
      <c r="B224">
        <f t="shared" si="57"/>
        <v>293</v>
      </c>
      <c r="C224">
        <f t="shared" si="49"/>
        <v>24.333333333333332</v>
      </c>
      <c r="D224">
        <f t="shared" si="50"/>
        <v>0</v>
      </c>
      <c r="E224">
        <f t="shared" si="51"/>
        <v>79</v>
      </c>
      <c r="F224">
        <f t="shared" si="52"/>
        <v>71</v>
      </c>
      <c r="G224">
        <f>IF(C224&gt;=$L$2,0,VLOOKUP($E224,'Mortality Table'!$A$3:$C$128,2+H$2,FALSE))</f>
        <v>0</v>
      </c>
      <c r="H224">
        <f>IF(C224&gt;=$L$2,0,VLOOKUP($E224,'Mortality Table'!$A$3:$C$128,2+I$2,FALSE))</f>
        <v>0</v>
      </c>
      <c r="I224" s="17">
        <f>G224*Assumptions!$B$1</f>
        <v>0</v>
      </c>
      <c r="J224" s="17">
        <f>H224*Assumptions!$B$1</f>
        <v>0</v>
      </c>
      <c r="K224">
        <f t="shared" si="53"/>
        <v>0</v>
      </c>
      <c r="L224">
        <f t="shared" si="58"/>
        <v>0</v>
      </c>
      <c r="M224">
        <f>HLOOKUP(C224,Assumptions!$A$6:$J$7,2,TRUE)</f>
        <v>2.6499999999999999E-2</v>
      </c>
      <c r="N224" s="23">
        <f t="shared" si="48"/>
        <v>0</v>
      </c>
      <c r="O224" s="23">
        <f t="shared" si="54"/>
        <v>0</v>
      </c>
      <c r="P224">
        <f t="shared" si="59"/>
        <v>0</v>
      </c>
      <c r="Q224" s="23">
        <f t="shared" si="55"/>
        <v>0</v>
      </c>
      <c r="R224">
        <f>Q223*Assumptions!$B$11/$E$2*N224</f>
        <v>0</v>
      </c>
      <c r="S224">
        <f>Q223*Assumptions!$B$13/$E$2*N224</f>
        <v>0</v>
      </c>
      <c r="T224">
        <f>L224*Assumptions!$B$15</f>
        <v>0</v>
      </c>
      <c r="U224">
        <f>S224*Assumptions!$B$17</f>
        <v>0</v>
      </c>
      <c r="V224">
        <f>HLOOKUP(B224,Assumptions!$A$26:$D$27,2,TRUE)</f>
        <v>0</v>
      </c>
      <c r="W224">
        <f t="shared" si="60"/>
        <v>0</v>
      </c>
      <c r="X224">
        <f t="shared" si="61"/>
        <v>0.33333333333333215</v>
      </c>
      <c r="Y224">
        <f>IF(B224&gt;$M$2,0,IF(X225=0,0,(1-X225)*Assumptions!$B$11/$E$2*(1-Assumptions!$B$30)))</f>
        <v>0</v>
      </c>
      <c r="Z224">
        <f>(R224-S224)*(1-Assumptions!$B$30)-U224+Y223*Q223</f>
        <v>0</v>
      </c>
      <c r="AA224">
        <f>AA223*(1+Assumptions!$B$36)^(1/12)</f>
        <v>1.1931756577575177</v>
      </c>
      <c r="AB224" s="20">
        <f>IF(B224&gt;$M$2,0,AA223*Assumptions!$B$32/12*Q223+Z224*Assumptions!$B$34/12)</f>
        <v>0</v>
      </c>
      <c r="AC224" s="21">
        <f>1/(1+HLOOKUP(YEAR(A224),Assumptions!$A$41:$AL$43,3,TRUE))^(1/12)</f>
        <v>0.99817964001618509</v>
      </c>
      <c r="AD224">
        <f t="shared" si="56"/>
        <v>0</v>
      </c>
      <c r="AE224">
        <f t="shared" si="62"/>
        <v>0</v>
      </c>
    </row>
    <row r="225" spans="1:31" x14ac:dyDescent="0.2">
      <c r="A225" s="2">
        <f t="shared" si="63"/>
        <v>49613</v>
      </c>
      <c r="B225">
        <f t="shared" si="57"/>
        <v>294</v>
      </c>
      <c r="C225">
        <f t="shared" si="49"/>
        <v>24.416666666666668</v>
      </c>
      <c r="D225">
        <f t="shared" si="50"/>
        <v>0</v>
      </c>
      <c r="E225">
        <f t="shared" si="51"/>
        <v>79</v>
      </c>
      <c r="F225">
        <f t="shared" si="52"/>
        <v>71</v>
      </c>
      <c r="G225">
        <f>IF(C225&gt;=$L$2,0,VLOOKUP($E225,'Mortality Table'!$A$3:$C$128,2+H$2,FALSE))</f>
        <v>0</v>
      </c>
      <c r="H225">
        <f>IF(C225&gt;=$L$2,0,VLOOKUP($E225,'Mortality Table'!$A$3:$C$128,2+I$2,FALSE))</f>
        <v>0</v>
      </c>
      <c r="I225" s="17">
        <f>G225*Assumptions!$B$1</f>
        <v>0</v>
      </c>
      <c r="J225" s="17">
        <f>H225*Assumptions!$B$1</f>
        <v>0</v>
      </c>
      <c r="K225">
        <f t="shared" si="53"/>
        <v>0</v>
      </c>
      <c r="L225">
        <f t="shared" si="58"/>
        <v>0</v>
      </c>
      <c r="M225">
        <f>HLOOKUP(C225,Assumptions!$A$6:$J$7,2,TRUE)</f>
        <v>2.6499999999999999E-2</v>
      </c>
      <c r="N225" s="23">
        <f t="shared" si="48"/>
        <v>0</v>
      </c>
      <c r="O225" s="23">
        <f t="shared" si="54"/>
        <v>0</v>
      </c>
      <c r="P225">
        <f t="shared" si="59"/>
        <v>0</v>
      </c>
      <c r="Q225" s="23">
        <f t="shared" si="55"/>
        <v>0</v>
      </c>
      <c r="R225">
        <f>Q224*Assumptions!$B$11/$E$2*N225</f>
        <v>0</v>
      </c>
      <c r="S225">
        <f>Q224*Assumptions!$B$13/$E$2*N225</f>
        <v>0</v>
      </c>
      <c r="T225">
        <f>L225*Assumptions!$B$15</f>
        <v>0</v>
      </c>
      <c r="U225">
        <f>S225*Assumptions!$B$17</f>
        <v>0</v>
      </c>
      <c r="V225">
        <f>HLOOKUP(B225,Assumptions!$A$26:$D$27,2,TRUE)</f>
        <v>0</v>
      </c>
      <c r="W225">
        <f t="shared" si="60"/>
        <v>0</v>
      </c>
      <c r="X225">
        <f t="shared" si="61"/>
        <v>0.41666666666666785</v>
      </c>
      <c r="Y225">
        <f>IF(B225&gt;$M$2,0,IF(X226=0,0,(1-X226)*Assumptions!$B$11/$E$2*(1-Assumptions!$B$30)))</f>
        <v>0</v>
      </c>
      <c r="Z225">
        <f>(R225-S225)*(1-Assumptions!$B$30)-U225+Y224*Q224</f>
        <v>0</v>
      </c>
      <c r="AA225">
        <f>AA224*(1+Assumptions!$B$36)^(1/12)</f>
        <v>1.1941654424427375</v>
      </c>
      <c r="AB225" s="20">
        <f>IF(B225&gt;$M$2,0,AA224*Assumptions!$B$32/12*Q224+Z225*Assumptions!$B$34/12)</f>
        <v>0</v>
      </c>
      <c r="AC225" s="21">
        <f>1/(1+HLOOKUP(YEAR(A225),Assumptions!$A$41:$AL$43,3,TRUE))^(1/12)</f>
        <v>0.99817964001618509</v>
      </c>
      <c r="AD225">
        <f t="shared" si="56"/>
        <v>0</v>
      </c>
      <c r="AE225">
        <f t="shared" si="62"/>
        <v>0</v>
      </c>
    </row>
    <row r="226" spans="1:31" x14ac:dyDescent="0.2">
      <c r="A226" s="2">
        <f t="shared" si="63"/>
        <v>49643</v>
      </c>
      <c r="B226">
        <f t="shared" si="57"/>
        <v>295</v>
      </c>
      <c r="C226">
        <f t="shared" si="49"/>
        <v>24.5</v>
      </c>
      <c r="D226">
        <f t="shared" si="50"/>
        <v>0</v>
      </c>
      <c r="E226">
        <f t="shared" si="51"/>
        <v>79</v>
      </c>
      <c r="F226">
        <f t="shared" si="52"/>
        <v>71</v>
      </c>
      <c r="G226">
        <f>IF(C226&gt;=$L$2,0,VLOOKUP($E226,'Mortality Table'!$A$3:$C$128,2+H$2,FALSE))</f>
        <v>0</v>
      </c>
      <c r="H226">
        <f>IF(C226&gt;=$L$2,0,VLOOKUP($E226,'Mortality Table'!$A$3:$C$128,2+I$2,FALSE))</f>
        <v>0</v>
      </c>
      <c r="I226" s="17">
        <f>G226*Assumptions!$B$1</f>
        <v>0</v>
      </c>
      <c r="J226" s="17">
        <f>H226*Assumptions!$B$1</f>
        <v>0</v>
      </c>
      <c r="K226">
        <f t="shared" si="53"/>
        <v>0</v>
      </c>
      <c r="L226">
        <f t="shared" si="58"/>
        <v>0</v>
      </c>
      <c r="M226">
        <f>HLOOKUP(C226,Assumptions!$A$6:$J$7,2,TRUE)</f>
        <v>2.6499999999999999E-2</v>
      </c>
      <c r="N226" s="23">
        <f t="shared" si="48"/>
        <v>0</v>
      </c>
      <c r="O226" s="23">
        <f t="shared" si="54"/>
        <v>0</v>
      </c>
      <c r="P226">
        <f t="shared" si="59"/>
        <v>0</v>
      </c>
      <c r="Q226" s="23">
        <f t="shared" si="55"/>
        <v>0</v>
      </c>
      <c r="R226">
        <f>Q225*Assumptions!$B$11/$E$2*N226</f>
        <v>0</v>
      </c>
      <c r="S226">
        <f>Q225*Assumptions!$B$13/$E$2*N226</f>
        <v>0</v>
      </c>
      <c r="T226">
        <f>L226*Assumptions!$B$15</f>
        <v>0</v>
      </c>
      <c r="U226">
        <f>S226*Assumptions!$B$17</f>
        <v>0</v>
      </c>
      <c r="V226">
        <f>HLOOKUP(B226,Assumptions!$A$26:$D$27,2,TRUE)</f>
        <v>0</v>
      </c>
      <c r="W226">
        <f t="shared" si="60"/>
        <v>0</v>
      </c>
      <c r="X226">
        <f t="shared" si="61"/>
        <v>0.5</v>
      </c>
      <c r="Y226">
        <f>IF(B226&gt;$M$2,0,IF(X227=0,0,(1-X227)*Assumptions!$B$11/$E$2*(1-Assumptions!$B$30)))</f>
        <v>0</v>
      </c>
      <c r="Z226">
        <f>(R226-S226)*(1-Assumptions!$B$30)-U226+Y225*Q225</f>
        <v>0</v>
      </c>
      <c r="AA226">
        <f>AA225*(1+Assumptions!$B$36)^(1/12)</f>
        <v>1.1951560481920789</v>
      </c>
      <c r="AB226" s="20">
        <f>IF(B226&gt;$M$2,0,AA225*Assumptions!$B$32/12*Q225+Z226*Assumptions!$B$34/12)</f>
        <v>0</v>
      </c>
      <c r="AC226" s="21">
        <f>1/(1+HLOOKUP(YEAR(A226),Assumptions!$A$41:$AL$43,3,TRUE))^(1/12)</f>
        <v>0.99817964001618509</v>
      </c>
      <c r="AD226">
        <f t="shared" si="56"/>
        <v>0</v>
      </c>
      <c r="AE226">
        <f t="shared" si="62"/>
        <v>0</v>
      </c>
    </row>
    <row r="227" spans="1:31" x14ac:dyDescent="0.2">
      <c r="A227" s="2">
        <f t="shared" si="63"/>
        <v>49674</v>
      </c>
      <c r="B227">
        <f t="shared" si="57"/>
        <v>296</v>
      </c>
      <c r="C227">
        <f t="shared" si="49"/>
        <v>24.583333333333332</v>
      </c>
      <c r="D227">
        <f t="shared" si="50"/>
        <v>0</v>
      </c>
      <c r="E227">
        <f t="shared" si="51"/>
        <v>79</v>
      </c>
      <c r="F227">
        <f t="shared" si="52"/>
        <v>71</v>
      </c>
      <c r="G227">
        <f>IF(C227&gt;=$L$2,0,VLOOKUP($E227,'Mortality Table'!$A$3:$C$128,2+H$2,FALSE))</f>
        <v>0</v>
      </c>
      <c r="H227">
        <f>IF(C227&gt;=$L$2,0,VLOOKUP($E227,'Mortality Table'!$A$3:$C$128,2+I$2,FALSE))</f>
        <v>0</v>
      </c>
      <c r="I227" s="17">
        <f>G227*Assumptions!$B$1</f>
        <v>0</v>
      </c>
      <c r="J227" s="17">
        <f>H227*Assumptions!$B$1</f>
        <v>0</v>
      </c>
      <c r="K227">
        <f t="shared" si="53"/>
        <v>0</v>
      </c>
      <c r="L227">
        <f t="shared" si="58"/>
        <v>0</v>
      </c>
      <c r="M227">
        <f>HLOOKUP(C227,Assumptions!$A$6:$J$7,2,TRUE)</f>
        <v>2.6499999999999999E-2</v>
      </c>
      <c r="N227" s="23">
        <f t="shared" si="48"/>
        <v>0</v>
      </c>
      <c r="O227" s="23">
        <f t="shared" si="54"/>
        <v>0</v>
      </c>
      <c r="P227">
        <f t="shared" si="59"/>
        <v>0</v>
      </c>
      <c r="Q227" s="23">
        <f t="shared" si="55"/>
        <v>0</v>
      </c>
      <c r="R227">
        <f>Q226*Assumptions!$B$11/$E$2*N227</f>
        <v>0</v>
      </c>
      <c r="S227">
        <f>Q226*Assumptions!$B$13/$E$2*N227</f>
        <v>0</v>
      </c>
      <c r="T227">
        <f>L227*Assumptions!$B$15</f>
        <v>0</v>
      </c>
      <c r="U227">
        <f>S227*Assumptions!$B$17</f>
        <v>0</v>
      </c>
      <c r="V227">
        <f>HLOOKUP(B227,Assumptions!$A$26:$D$27,2,TRUE)</f>
        <v>0</v>
      </c>
      <c r="W227">
        <f t="shared" si="60"/>
        <v>0</v>
      </c>
      <c r="X227">
        <f t="shared" si="61"/>
        <v>0.58333333333333215</v>
      </c>
      <c r="Y227">
        <f>IF(B227&gt;$M$2,0,IF(X228=0,0,(1-X228)*Assumptions!$B$11/$E$2*(1-Assumptions!$B$30)))</f>
        <v>0</v>
      </c>
      <c r="Z227">
        <f>(R227-S227)*(1-Assumptions!$B$30)-U227+Y226*Q226</f>
        <v>0</v>
      </c>
      <c r="AA227">
        <f>AA226*(1+Assumptions!$B$36)^(1/12)</f>
        <v>1.1961474756866455</v>
      </c>
      <c r="AB227" s="20">
        <f>IF(B227&gt;$M$2,0,AA226*Assumptions!$B$32/12*Q226+Z227*Assumptions!$B$34/12)</f>
        <v>0</v>
      </c>
      <c r="AC227" s="21">
        <f>1/(1+HLOOKUP(YEAR(A227),Assumptions!$A$41:$AL$43,3,TRUE))^(1/12)</f>
        <v>0.99817964001618509</v>
      </c>
      <c r="AD227">
        <f t="shared" si="56"/>
        <v>0</v>
      </c>
      <c r="AE227">
        <f t="shared" si="62"/>
        <v>0</v>
      </c>
    </row>
    <row r="228" spans="1:31" x14ac:dyDescent="0.2">
      <c r="A228" s="2">
        <f t="shared" si="63"/>
        <v>49705</v>
      </c>
      <c r="B228">
        <f t="shared" si="57"/>
        <v>297</v>
      </c>
      <c r="C228">
        <f t="shared" si="49"/>
        <v>24.666666666666668</v>
      </c>
      <c r="D228">
        <f t="shared" si="50"/>
        <v>0</v>
      </c>
      <c r="E228">
        <f t="shared" si="51"/>
        <v>79</v>
      </c>
      <c r="F228">
        <f t="shared" si="52"/>
        <v>71</v>
      </c>
      <c r="G228">
        <f>IF(C228&gt;=$L$2,0,VLOOKUP($E228,'Mortality Table'!$A$3:$C$128,2+H$2,FALSE))</f>
        <v>0</v>
      </c>
      <c r="H228">
        <f>IF(C228&gt;=$L$2,0,VLOOKUP($E228,'Mortality Table'!$A$3:$C$128,2+I$2,FALSE))</f>
        <v>0</v>
      </c>
      <c r="I228" s="17">
        <f>G228*Assumptions!$B$1</f>
        <v>0</v>
      </c>
      <c r="J228" s="17">
        <f>H228*Assumptions!$B$1</f>
        <v>0</v>
      </c>
      <c r="K228">
        <f t="shared" si="53"/>
        <v>0</v>
      </c>
      <c r="L228">
        <f t="shared" si="58"/>
        <v>0</v>
      </c>
      <c r="M228">
        <f>HLOOKUP(C228,Assumptions!$A$6:$J$7,2,TRUE)</f>
        <v>2.6499999999999999E-2</v>
      </c>
      <c r="N228" s="23">
        <f t="shared" si="48"/>
        <v>0</v>
      </c>
      <c r="O228" s="23">
        <f t="shared" si="54"/>
        <v>0</v>
      </c>
      <c r="P228">
        <f t="shared" si="59"/>
        <v>0</v>
      </c>
      <c r="Q228" s="23">
        <f t="shared" si="55"/>
        <v>0</v>
      </c>
      <c r="R228">
        <f>Q227*Assumptions!$B$11/$E$2*N228</f>
        <v>0</v>
      </c>
      <c r="S228">
        <f>Q227*Assumptions!$B$13/$E$2*N228</f>
        <v>0</v>
      </c>
      <c r="T228">
        <f>L228*Assumptions!$B$15</f>
        <v>0</v>
      </c>
      <c r="U228">
        <f>S228*Assumptions!$B$17</f>
        <v>0</v>
      </c>
      <c r="V228">
        <f>HLOOKUP(B228,Assumptions!$A$26:$D$27,2,TRUE)</f>
        <v>0</v>
      </c>
      <c r="W228">
        <f t="shared" si="60"/>
        <v>0</v>
      </c>
      <c r="X228">
        <f t="shared" si="61"/>
        <v>0.66666666666666785</v>
      </c>
      <c r="Y228">
        <f>IF(B228&gt;$M$2,0,IF(X229=0,0,(1-X229)*Assumptions!$B$11/$E$2*(1-Assumptions!$B$30)))</f>
        <v>0</v>
      </c>
      <c r="Z228">
        <f>(R228-S228)*(1-Assumptions!$B$30)-U228+Y227*Q227</f>
        <v>0</v>
      </c>
      <c r="AA228">
        <f>AA227*(1+Assumptions!$B$36)^(1/12)</f>
        <v>1.1971397256081064</v>
      </c>
      <c r="AB228" s="20">
        <f>IF(B228&gt;$M$2,0,AA227*Assumptions!$B$32/12*Q227+Z228*Assumptions!$B$34/12)</f>
        <v>0</v>
      </c>
      <c r="AC228" s="21">
        <f>1/(1+HLOOKUP(YEAR(A228),Assumptions!$A$41:$AL$43,3,TRUE))^(1/12)</f>
        <v>0.99816881688355608</v>
      </c>
      <c r="AD228">
        <f t="shared" si="56"/>
        <v>0</v>
      </c>
      <c r="AE228">
        <f t="shared" si="62"/>
        <v>0</v>
      </c>
    </row>
    <row r="229" spans="1:31" x14ac:dyDescent="0.2">
      <c r="A229" s="2">
        <f t="shared" si="63"/>
        <v>49734</v>
      </c>
      <c r="B229">
        <f t="shared" si="57"/>
        <v>298</v>
      </c>
      <c r="C229">
        <f t="shared" si="49"/>
        <v>24.75</v>
      </c>
      <c r="D229">
        <f t="shared" si="50"/>
        <v>0</v>
      </c>
      <c r="E229">
        <f t="shared" si="51"/>
        <v>79</v>
      </c>
      <c r="F229">
        <f t="shared" si="52"/>
        <v>71</v>
      </c>
      <c r="G229">
        <f>IF(C229&gt;=$L$2,0,VLOOKUP($E229,'Mortality Table'!$A$3:$C$128,2+H$2,FALSE))</f>
        <v>0</v>
      </c>
      <c r="H229">
        <f>IF(C229&gt;=$L$2,0,VLOOKUP($E229,'Mortality Table'!$A$3:$C$128,2+I$2,FALSE))</f>
        <v>0</v>
      </c>
      <c r="I229" s="17">
        <f>G229*Assumptions!$B$1</f>
        <v>0</v>
      </c>
      <c r="J229" s="17">
        <f>H229*Assumptions!$B$1</f>
        <v>0</v>
      </c>
      <c r="K229">
        <f t="shared" si="53"/>
        <v>0</v>
      </c>
      <c r="L229">
        <f t="shared" si="58"/>
        <v>0</v>
      </c>
      <c r="M229">
        <f>HLOOKUP(C229,Assumptions!$A$6:$J$7,2,TRUE)</f>
        <v>2.6499999999999999E-2</v>
      </c>
      <c r="N229" s="23">
        <f t="shared" si="48"/>
        <v>0</v>
      </c>
      <c r="O229" s="23">
        <f t="shared" si="54"/>
        <v>0</v>
      </c>
      <c r="P229">
        <f t="shared" si="59"/>
        <v>0</v>
      </c>
      <c r="Q229" s="23">
        <f t="shared" si="55"/>
        <v>0</v>
      </c>
      <c r="R229">
        <f>Q228*Assumptions!$B$11/$E$2*N229</f>
        <v>0</v>
      </c>
      <c r="S229">
        <f>Q228*Assumptions!$B$13/$E$2*N229</f>
        <v>0</v>
      </c>
      <c r="T229">
        <f>L229*Assumptions!$B$15</f>
        <v>0</v>
      </c>
      <c r="U229">
        <f>S229*Assumptions!$B$17</f>
        <v>0</v>
      </c>
      <c r="V229">
        <f>HLOOKUP(B229,Assumptions!$A$26:$D$27,2,TRUE)</f>
        <v>0</v>
      </c>
      <c r="W229">
        <f t="shared" si="60"/>
        <v>0</v>
      </c>
      <c r="X229">
        <f t="shared" si="61"/>
        <v>0.75</v>
      </c>
      <c r="Y229">
        <f>IF(B229&gt;$M$2,0,IF(X230=0,0,(1-X230)*Assumptions!$B$11/$E$2*(1-Assumptions!$B$30)))</f>
        <v>0</v>
      </c>
      <c r="Z229">
        <f>(R229-S229)*(1-Assumptions!$B$30)-U229+Y228*Q228</f>
        <v>0</v>
      </c>
      <c r="AA229">
        <f>AA228*(1+Assumptions!$B$36)^(1/12)</f>
        <v>1.1981327986386963</v>
      </c>
      <c r="AB229" s="20">
        <f>IF(B229&gt;$M$2,0,AA228*Assumptions!$B$32/12*Q228+Z229*Assumptions!$B$34/12)</f>
        <v>0</v>
      </c>
      <c r="AC229" s="21">
        <f>1/(1+HLOOKUP(YEAR(A229),Assumptions!$A$41:$AL$43,3,TRUE))^(1/12)</f>
        <v>0.99816881688355608</v>
      </c>
      <c r="AD229">
        <f t="shared" si="56"/>
        <v>0</v>
      </c>
      <c r="AE229">
        <f t="shared" si="62"/>
        <v>0</v>
      </c>
    </row>
    <row r="230" spans="1:31" x14ac:dyDescent="0.2">
      <c r="A230" s="2">
        <f t="shared" si="63"/>
        <v>49765</v>
      </c>
      <c r="B230">
        <f t="shared" si="57"/>
        <v>299</v>
      </c>
      <c r="C230">
        <f t="shared" si="49"/>
        <v>24.833333333333332</v>
      </c>
      <c r="D230">
        <f t="shared" si="50"/>
        <v>0</v>
      </c>
      <c r="E230">
        <f t="shared" si="51"/>
        <v>79</v>
      </c>
      <c r="F230">
        <f t="shared" si="52"/>
        <v>71</v>
      </c>
      <c r="G230">
        <f>IF(C230&gt;=$L$2,0,VLOOKUP($E230,'Mortality Table'!$A$3:$C$128,2+H$2,FALSE))</f>
        <v>0</v>
      </c>
      <c r="H230">
        <f>IF(C230&gt;=$L$2,0,VLOOKUP($E230,'Mortality Table'!$A$3:$C$128,2+I$2,FALSE))</f>
        <v>0</v>
      </c>
      <c r="I230" s="17">
        <f>G230*Assumptions!$B$1</f>
        <v>0</v>
      </c>
      <c r="J230" s="17">
        <f>H230*Assumptions!$B$1</f>
        <v>0</v>
      </c>
      <c r="K230">
        <f t="shared" si="53"/>
        <v>0</v>
      </c>
      <c r="L230">
        <f t="shared" si="58"/>
        <v>0</v>
      </c>
      <c r="M230">
        <f>HLOOKUP(C230,Assumptions!$A$6:$J$7,2,TRUE)</f>
        <v>2.6499999999999999E-2</v>
      </c>
      <c r="N230" s="23">
        <f t="shared" si="48"/>
        <v>0</v>
      </c>
      <c r="O230" s="23">
        <f t="shared" si="54"/>
        <v>0</v>
      </c>
      <c r="P230">
        <f t="shared" si="59"/>
        <v>0</v>
      </c>
      <c r="Q230" s="23">
        <f t="shared" si="55"/>
        <v>0</v>
      </c>
      <c r="R230">
        <f>Q229*Assumptions!$B$11/$E$2*N230</f>
        <v>0</v>
      </c>
      <c r="S230">
        <f>Q229*Assumptions!$B$13/$E$2*N230</f>
        <v>0</v>
      </c>
      <c r="T230">
        <f>L230*Assumptions!$B$15</f>
        <v>0</v>
      </c>
      <c r="U230">
        <f>S230*Assumptions!$B$17</f>
        <v>0</v>
      </c>
      <c r="V230">
        <f>HLOOKUP(B230,Assumptions!$A$26:$D$27,2,TRUE)</f>
        <v>0</v>
      </c>
      <c r="W230">
        <f t="shared" si="60"/>
        <v>0</v>
      </c>
      <c r="X230">
        <f t="shared" si="61"/>
        <v>0.83333333333333215</v>
      </c>
      <c r="Y230">
        <f>IF(B230&gt;$M$2,0,IF(X231=0,0,(1-X231)*Assumptions!$B$11/$E$2*(1-Assumptions!$B$30)))</f>
        <v>0</v>
      </c>
      <c r="Z230">
        <f>(R230-S230)*(1-Assumptions!$B$30)-U230+Y229*Q229</f>
        <v>0</v>
      </c>
      <c r="AA230">
        <f>AA229*(1+Assumptions!$B$36)^(1/12)</f>
        <v>1.1991266954612152</v>
      </c>
      <c r="AB230" s="20">
        <f>IF(B230&gt;$M$2,0,AA229*Assumptions!$B$32/12*Q229+Z230*Assumptions!$B$34/12)</f>
        <v>0</v>
      </c>
      <c r="AC230" s="21">
        <f>1/(1+HLOOKUP(YEAR(A230),Assumptions!$A$41:$AL$43,3,TRUE))^(1/12)</f>
        <v>0.99816881688355608</v>
      </c>
      <c r="AD230">
        <f t="shared" si="56"/>
        <v>0</v>
      </c>
      <c r="AE230">
        <f t="shared" si="62"/>
        <v>0</v>
      </c>
    </row>
    <row r="231" spans="1:31" x14ac:dyDescent="0.2">
      <c r="A231" s="2">
        <f t="shared" si="63"/>
        <v>49795</v>
      </c>
      <c r="B231">
        <f t="shared" si="57"/>
        <v>300</v>
      </c>
      <c r="C231">
        <f t="shared" si="49"/>
        <v>24.916666666666668</v>
      </c>
      <c r="D231">
        <f t="shared" si="50"/>
        <v>0</v>
      </c>
      <c r="E231">
        <f t="shared" si="51"/>
        <v>79</v>
      </c>
      <c r="F231">
        <f t="shared" si="52"/>
        <v>71</v>
      </c>
      <c r="G231">
        <f>IF(C231&gt;=$L$2,0,VLOOKUP($E231,'Mortality Table'!$A$3:$C$128,2+H$2,FALSE))</f>
        <v>0</v>
      </c>
      <c r="H231">
        <f>IF(C231&gt;=$L$2,0,VLOOKUP($E231,'Mortality Table'!$A$3:$C$128,2+I$2,FALSE))</f>
        <v>0</v>
      </c>
      <c r="I231" s="17">
        <f>G231*Assumptions!$B$1</f>
        <v>0</v>
      </c>
      <c r="J231" s="17">
        <f>H231*Assumptions!$B$1</f>
        <v>0</v>
      </c>
      <c r="K231">
        <f t="shared" si="53"/>
        <v>0</v>
      </c>
      <c r="L231">
        <f t="shared" si="58"/>
        <v>0</v>
      </c>
      <c r="M231">
        <f>HLOOKUP(C231,Assumptions!$A$6:$J$7,2,TRUE)</f>
        <v>2.6499999999999999E-2</v>
      </c>
      <c r="N231" s="23">
        <f t="shared" si="48"/>
        <v>0</v>
      </c>
      <c r="O231" s="23">
        <f t="shared" si="54"/>
        <v>0</v>
      </c>
      <c r="P231">
        <f t="shared" si="59"/>
        <v>0</v>
      </c>
      <c r="Q231" s="23">
        <f t="shared" si="55"/>
        <v>0</v>
      </c>
      <c r="R231">
        <f>Q230*Assumptions!$B$11/$E$2*N231</f>
        <v>0</v>
      </c>
      <c r="S231">
        <f>Q230*Assumptions!$B$13/$E$2*N231</f>
        <v>0</v>
      </c>
      <c r="T231">
        <f>L231*Assumptions!$B$15</f>
        <v>0</v>
      </c>
      <c r="U231">
        <f>S231*Assumptions!$B$17</f>
        <v>0</v>
      </c>
      <c r="V231">
        <f>HLOOKUP(B231,Assumptions!$A$26:$D$27,2,TRUE)</f>
        <v>0</v>
      </c>
      <c r="W231">
        <f t="shared" si="60"/>
        <v>0</v>
      </c>
      <c r="X231">
        <f t="shared" si="61"/>
        <v>0.91666666666666785</v>
      </c>
      <c r="Y231">
        <f>IF(B231&gt;$M$2,0,IF(X232=0,0,(1-X232)*Assumptions!$B$11/$E$2*(1-Assumptions!$B$30)))</f>
        <v>0</v>
      </c>
      <c r="Z231">
        <f>(R231-S231)*(1-Assumptions!$B$30)-U231+Y230*Q230</f>
        <v>0</v>
      </c>
      <c r="AA231">
        <f>AA230*(1+Assumptions!$B$36)^(1/12)</f>
        <v>1.2001214167590302</v>
      </c>
      <c r="AB231" s="20">
        <f>IF(B231&gt;$M$2,0,AA230*Assumptions!$B$32/12*Q230+Z231*Assumptions!$B$34/12)</f>
        <v>0</v>
      </c>
      <c r="AC231" s="21">
        <f>1/(1+HLOOKUP(YEAR(A231),Assumptions!$A$41:$AL$43,3,TRUE))^(1/12)</f>
        <v>0.99816881688355608</v>
      </c>
      <c r="AD231">
        <f t="shared" si="56"/>
        <v>0</v>
      </c>
      <c r="AE231">
        <f t="shared" si="62"/>
        <v>0</v>
      </c>
    </row>
    <row r="232" spans="1:31" x14ac:dyDescent="0.2">
      <c r="A232" s="2">
        <f t="shared" si="63"/>
        <v>49826</v>
      </c>
      <c r="B232">
        <f t="shared" si="57"/>
        <v>301</v>
      </c>
      <c r="C232">
        <f t="shared" si="49"/>
        <v>25</v>
      </c>
      <c r="D232">
        <f t="shared" si="50"/>
        <v>1</v>
      </c>
      <c r="E232">
        <f t="shared" si="51"/>
        <v>80</v>
      </c>
      <c r="F232">
        <f t="shared" si="52"/>
        <v>72</v>
      </c>
      <c r="G232">
        <f>IF(C232&gt;=$L$2,0,VLOOKUP($E232,'Mortality Table'!$A$3:$C$128,2+H$2,FALSE))</f>
        <v>0</v>
      </c>
      <c r="H232">
        <f>IF(C232&gt;=$L$2,0,VLOOKUP($E232,'Mortality Table'!$A$3:$C$128,2+I$2,FALSE))</f>
        <v>0</v>
      </c>
      <c r="I232" s="17">
        <f>G232*Assumptions!$B$1</f>
        <v>0</v>
      </c>
      <c r="J232" s="17">
        <f>H232*Assumptions!$B$1</f>
        <v>0</v>
      </c>
      <c r="K232">
        <f t="shared" si="53"/>
        <v>0</v>
      </c>
      <c r="L232">
        <f t="shared" si="58"/>
        <v>0</v>
      </c>
      <c r="M232">
        <f>HLOOKUP(C232,Assumptions!$A$6:$J$7,2,TRUE)</f>
        <v>2.6499999999999999E-2</v>
      </c>
      <c r="N232" s="23">
        <f t="shared" si="48"/>
        <v>0</v>
      </c>
      <c r="O232" s="23">
        <f t="shared" si="54"/>
        <v>0</v>
      </c>
      <c r="P232">
        <f t="shared" si="59"/>
        <v>0</v>
      </c>
      <c r="Q232" s="23">
        <f t="shared" si="55"/>
        <v>0</v>
      </c>
      <c r="R232">
        <f>Q231*Assumptions!$B$11/$E$2*N232</f>
        <v>0</v>
      </c>
      <c r="S232">
        <f>Q231*Assumptions!$B$13/$E$2*N232</f>
        <v>0</v>
      </c>
      <c r="T232">
        <f>L232*Assumptions!$B$15</f>
        <v>0</v>
      </c>
      <c r="U232">
        <f>S232*Assumptions!$B$17</f>
        <v>0</v>
      </c>
      <c r="V232">
        <f>HLOOKUP(B232,Assumptions!$A$26:$D$27,2,TRUE)</f>
        <v>0</v>
      </c>
      <c r="W232">
        <f t="shared" si="60"/>
        <v>0</v>
      </c>
      <c r="X232">
        <f t="shared" si="61"/>
        <v>0</v>
      </c>
      <c r="Y232">
        <f>IF(B232&gt;$M$2,0,IF(X233=0,0,(1-X233)*Assumptions!$B$11/$E$2*(1-Assumptions!$B$30)))</f>
        <v>0</v>
      </c>
      <c r="Z232">
        <f>(R232-S232)*(1-Assumptions!$B$30)-U232+Y231*Q231</f>
        <v>0</v>
      </c>
      <c r="AA232">
        <f>AA231*(1+Assumptions!$B$36)^(1/12)</f>
        <v>1.201116963216075</v>
      </c>
      <c r="AB232" s="20">
        <f>IF(B232&gt;$M$2,0,AA231*Assumptions!$B$32/12*Q231+Z232*Assumptions!$B$34/12)</f>
        <v>0</v>
      </c>
      <c r="AC232" s="21">
        <f>1/(1+HLOOKUP(YEAR(A232),Assumptions!$A$41:$AL$43,3,TRUE))^(1/12)</f>
        <v>0.99816881688355608</v>
      </c>
      <c r="AD232">
        <f t="shared" si="56"/>
        <v>0</v>
      </c>
      <c r="AE232">
        <f t="shared" si="62"/>
        <v>0</v>
      </c>
    </row>
    <row r="233" spans="1:31" x14ac:dyDescent="0.2">
      <c r="A233" s="2">
        <f t="shared" si="63"/>
        <v>49856</v>
      </c>
      <c r="B233">
        <f t="shared" si="57"/>
        <v>302</v>
      </c>
      <c r="C233">
        <f t="shared" si="49"/>
        <v>25.083333333333332</v>
      </c>
      <c r="D233">
        <f t="shared" si="50"/>
        <v>0</v>
      </c>
      <c r="E233">
        <f t="shared" si="51"/>
        <v>80</v>
      </c>
      <c r="F233">
        <f t="shared" si="52"/>
        <v>72</v>
      </c>
      <c r="G233">
        <f>IF(C233&gt;=$L$2,0,VLOOKUP($E233,'Mortality Table'!$A$3:$C$128,2+H$2,FALSE))</f>
        <v>0</v>
      </c>
      <c r="H233">
        <f>IF(C233&gt;=$L$2,0,VLOOKUP($E233,'Mortality Table'!$A$3:$C$128,2+I$2,FALSE))</f>
        <v>0</v>
      </c>
      <c r="I233" s="17">
        <f>G233*Assumptions!$B$1</f>
        <v>0</v>
      </c>
      <c r="J233" s="17">
        <f>H233*Assumptions!$B$1</f>
        <v>0</v>
      </c>
      <c r="K233">
        <f t="shared" si="53"/>
        <v>0</v>
      </c>
      <c r="L233">
        <f t="shared" si="58"/>
        <v>0</v>
      </c>
      <c r="M233">
        <f>HLOOKUP(C233,Assumptions!$A$6:$J$7,2,TRUE)</f>
        <v>2.6499999999999999E-2</v>
      </c>
      <c r="N233" s="23">
        <f t="shared" si="48"/>
        <v>0</v>
      </c>
      <c r="O233" s="23">
        <f t="shared" si="54"/>
        <v>0</v>
      </c>
      <c r="P233">
        <f t="shared" si="59"/>
        <v>0</v>
      </c>
      <c r="Q233" s="23">
        <f t="shared" si="55"/>
        <v>0</v>
      </c>
      <c r="R233">
        <f>Q232*Assumptions!$B$11/$E$2*N233</f>
        <v>0</v>
      </c>
      <c r="S233">
        <f>Q232*Assumptions!$B$13/$E$2*N233</f>
        <v>0</v>
      </c>
      <c r="T233">
        <f>L233*Assumptions!$B$15</f>
        <v>0</v>
      </c>
      <c r="U233">
        <f>S233*Assumptions!$B$17</f>
        <v>0</v>
      </c>
      <c r="V233">
        <f>HLOOKUP(B233,Assumptions!$A$26:$D$27,2,TRUE)</f>
        <v>0</v>
      </c>
      <c r="W233">
        <f t="shared" si="60"/>
        <v>0</v>
      </c>
      <c r="X233">
        <f t="shared" si="61"/>
        <v>8.3333333333332149E-2</v>
      </c>
      <c r="Y233">
        <f>IF(B233&gt;$M$2,0,IF(X234=0,0,(1-X234)*Assumptions!$B$11/$E$2*(1-Assumptions!$B$30)))</f>
        <v>0</v>
      </c>
      <c r="Z233">
        <f>(R233-S233)*(1-Assumptions!$B$30)-U233+Y232*Q232</f>
        <v>0</v>
      </c>
      <c r="AA233">
        <f>AA232*(1+Assumptions!$B$36)^(1/12)</f>
        <v>1.2021133355168505</v>
      </c>
      <c r="AB233" s="20">
        <f>IF(B233&gt;$M$2,0,AA232*Assumptions!$B$32/12*Q232+Z233*Assumptions!$B$34/12)</f>
        <v>0</v>
      </c>
      <c r="AC233" s="21">
        <f>1/(1+HLOOKUP(YEAR(A233),Assumptions!$A$41:$AL$43,3,TRUE))^(1/12)</f>
        <v>0.99816881688355608</v>
      </c>
      <c r="AD233">
        <f t="shared" si="56"/>
        <v>0</v>
      </c>
      <c r="AE233">
        <f t="shared" si="62"/>
        <v>0</v>
      </c>
    </row>
    <row r="234" spans="1:31" x14ac:dyDescent="0.2">
      <c r="A234" s="2">
        <f t="shared" si="63"/>
        <v>49887</v>
      </c>
      <c r="B234">
        <f t="shared" si="57"/>
        <v>303</v>
      </c>
      <c r="C234">
        <f t="shared" si="49"/>
        <v>25.166666666666668</v>
      </c>
      <c r="D234">
        <f t="shared" si="50"/>
        <v>0</v>
      </c>
      <c r="E234">
        <f t="shared" si="51"/>
        <v>80</v>
      </c>
      <c r="F234">
        <f t="shared" si="52"/>
        <v>72</v>
      </c>
      <c r="G234">
        <f>IF(C234&gt;=$L$2,0,VLOOKUP($E234,'Mortality Table'!$A$3:$C$128,2+H$2,FALSE))</f>
        <v>0</v>
      </c>
      <c r="H234">
        <f>IF(C234&gt;=$L$2,0,VLOOKUP($E234,'Mortality Table'!$A$3:$C$128,2+I$2,FALSE))</f>
        <v>0</v>
      </c>
      <c r="I234" s="17">
        <f>G234*Assumptions!$B$1</f>
        <v>0</v>
      </c>
      <c r="J234" s="17">
        <f>H234*Assumptions!$B$1</f>
        <v>0</v>
      </c>
      <c r="K234">
        <f t="shared" si="53"/>
        <v>0</v>
      </c>
      <c r="L234">
        <f t="shared" si="58"/>
        <v>0</v>
      </c>
      <c r="M234">
        <f>HLOOKUP(C234,Assumptions!$A$6:$J$7,2,TRUE)</f>
        <v>2.6499999999999999E-2</v>
      </c>
      <c r="N234" s="23">
        <f t="shared" si="48"/>
        <v>0</v>
      </c>
      <c r="O234" s="23">
        <f t="shared" si="54"/>
        <v>0</v>
      </c>
      <c r="P234">
        <f t="shared" si="59"/>
        <v>0</v>
      </c>
      <c r="Q234" s="23">
        <f t="shared" si="55"/>
        <v>0</v>
      </c>
      <c r="R234">
        <f>Q233*Assumptions!$B$11/$E$2*N234</f>
        <v>0</v>
      </c>
      <c r="S234">
        <f>Q233*Assumptions!$B$13/$E$2*N234</f>
        <v>0</v>
      </c>
      <c r="T234">
        <f>L234*Assumptions!$B$15</f>
        <v>0</v>
      </c>
      <c r="U234">
        <f>S234*Assumptions!$B$17</f>
        <v>0</v>
      </c>
      <c r="V234">
        <f>HLOOKUP(B234,Assumptions!$A$26:$D$27,2,TRUE)</f>
        <v>0</v>
      </c>
      <c r="W234">
        <f t="shared" si="60"/>
        <v>0</v>
      </c>
      <c r="X234">
        <f t="shared" si="61"/>
        <v>0.16666666666666785</v>
      </c>
      <c r="Y234">
        <f>IF(B234&gt;$M$2,0,IF(X235=0,0,(1-X235)*Assumptions!$B$11/$E$2*(1-Assumptions!$B$30)))</f>
        <v>0</v>
      </c>
      <c r="Z234">
        <f>(R234-S234)*(1-Assumptions!$B$30)-U234+Y233*Q233</f>
        <v>0</v>
      </c>
      <c r="AA234">
        <f>AA233*(1+Assumptions!$B$36)^(1/12)</f>
        <v>1.2031105343464255</v>
      </c>
      <c r="AB234" s="20">
        <f>IF(B234&gt;$M$2,0,AA233*Assumptions!$B$32/12*Q233+Z234*Assumptions!$B$34/12)</f>
        <v>0</v>
      </c>
      <c r="AC234" s="21">
        <f>1/(1+HLOOKUP(YEAR(A234),Assumptions!$A$41:$AL$43,3,TRUE))^(1/12)</f>
        <v>0.99816881688355608</v>
      </c>
      <c r="AD234">
        <f t="shared" si="56"/>
        <v>0</v>
      </c>
      <c r="AE234">
        <f t="shared" si="62"/>
        <v>0</v>
      </c>
    </row>
    <row r="235" spans="1:31" x14ac:dyDescent="0.2">
      <c r="A235" s="2">
        <f t="shared" si="63"/>
        <v>49918</v>
      </c>
      <c r="B235">
        <f t="shared" si="57"/>
        <v>304</v>
      </c>
      <c r="C235">
        <f t="shared" si="49"/>
        <v>25.25</v>
      </c>
      <c r="D235">
        <f t="shared" si="50"/>
        <v>0</v>
      </c>
      <c r="E235">
        <f t="shared" si="51"/>
        <v>80</v>
      </c>
      <c r="F235">
        <f t="shared" si="52"/>
        <v>72</v>
      </c>
      <c r="G235">
        <f>IF(C235&gt;=$L$2,0,VLOOKUP($E235,'Mortality Table'!$A$3:$C$128,2+H$2,FALSE))</f>
        <v>0</v>
      </c>
      <c r="H235">
        <f>IF(C235&gt;=$L$2,0,VLOOKUP($E235,'Mortality Table'!$A$3:$C$128,2+I$2,FALSE))</f>
        <v>0</v>
      </c>
      <c r="I235" s="17">
        <f>G235*Assumptions!$B$1</f>
        <v>0</v>
      </c>
      <c r="J235" s="17">
        <f>H235*Assumptions!$B$1</f>
        <v>0</v>
      </c>
      <c r="K235">
        <f t="shared" si="53"/>
        <v>0</v>
      </c>
      <c r="L235">
        <f t="shared" si="58"/>
        <v>0</v>
      </c>
      <c r="M235">
        <f>HLOOKUP(C235,Assumptions!$A$6:$J$7,2,TRUE)</f>
        <v>2.6499999999999999E-2</v>
      </c>
      <c r="N235" s="23">
        <f t="shared" si="48"/>
        <v>0</v>
      </c>
      <c r="O235" s="23">
        <f t="shared" si="54"/>
        <v>0</v>
      </c>
      <c r="P235">
        <f t="shared" si="59"/>
        <v>0</v>
      </c>
      <c r="Q235" s="23">
        <f t="shared" si="55"/>
        <v>0</v>
      </c>
      <c r="R235">
        <f>Q234*Assumptions!$B$11/$E$2*N235</f>
        <v>0</v>
      </c>
      <c r="S235">
        <f>Q234*Assumptions!$B$13/$E$2*N235</f>
        <v>0</v>
      </c>
      <c r="T235">
        <f>L235*Assumptions!$B$15</f>
        <v>0</v>
      </c>
      <c r="U235">
        <f>S235*Assumptions!$B$17</f>
        <v>0</v>
      </c>
      <c r="V235">
        <f>HLOOKUP(B235,Assumptions!$A$26:$D$27,2,TRUE)</f>
        <v>0</v>
      </c>
      <c r="W235">
        <f t="shared" si="60"/>
        <v>0</v>
      </c>
      <c r="X235">
        <f t="shared" si="61"/>
        <v>0.25</v>
      </c>
      <c r="Y235">
        <f>IF(B235&gt;$M$2,0,IF(X236=0,0,(1-X236)*Assumptions!$B$11/$E$2*(1-Assumptions!$B$30)))</f>
        <v>0</v>
      </c>
      <c r="Z235">
        <f>(R235-S235)*(1-Assumptions!$B$30)-U235+Y234*Q234</f>
        <v>0</v>
      </c>
      <c r="AA235">
        <f>AA234*(1+Assumptions!$B$36)^(1/12)</f>
        <v>1.2041085603904371</v>
      </c>
      <c r="AB235" s="20">
        <f>IF(B235&gt;$M$2,0,AA234*Assumptions!$B$32/12*Q234+Z235*Assumptions!$B$34/12)</f>
        <v>0</v>
      </c>
      <c r="AC235" s="21">
        <f>1/(1+HLOOKUP(YEAR(A235),Assumptions!$A$41:$AL$43,3,TRUE))^(1/12)</f>
        <v>0.99816881688355608</v>
      </c>
      <c r="AD235">
        <f t="shared" si="56"/>
        <v>0</v>
      </c>
      <c r="AE235">
        <f t="shared" si="62"/>
        <v>0</v>
      </c>
    </row>
    <row r="236" spans="1:31" x14ac:dyDescent="0.2">
      <c r="A236" s="2">
        <f t="shared" si="63"/>
        <v>49948</v>
      </c>
      <c r="B236">
        <f t="shared" si="57"/>
        <v>305</v>
      </c>
      <c r="C236">
        <f t="shared" si="49"/>
        <v>25.333333333333332</v>
      </c>
      <c r="D236">
        <f t="shared" si="50"/>
        <v>0</v>
      </c>
      <c r="E236">
        <f t="shared" si="51"/>
        <v>80</v>
      </c>
      <c r="F236">
        <f t="shared" si="52"/>
        <v>72</v>
      </c>
      <c r="G236">
        <f>IF(C236&gt;=$L$2,0,VLOOKUP($E236,'Mortality Table'!$A$3:$C$128,2+H$2,FALSE))</f>
        <v>0</v>
      </c>
      <c r="H236">
        <f>IF(C236&gt;=$L$2,0,VLOOKUP($E236,'Mortality Table'!$A$3:$C$128,2+I$2,FALSE))</f>
        <v>0</v>
      </c>
      <c r="I236" s="17">
        <f>G236*Assumptions!$B$1</f>
        <v>0</v>
      </c>
      <c r="J236" s="17">
        <f>H236*Assumptions!$B$1</f>
        <v>0</v>
      </c>
      <c r="K236">
        <f t="shared" si="53"/>
        <v>0</v>
      </c>
      <c r="L236">
        <f t="shared" si="58"/>
        <v>0</v>
      </c>
      <c r="M236">
        <f>HLOOKUP(C236,Assumptions!$A$6:$J$7,2,TRUE)</f>
        <v>2.6499999999999999E-2</v>
      </c>
      <c r="N236" s="23">
        <f t="shared" si="48"/>
        <v>0</v>
      </c>
      <c r="O236" s="23">
        <f t="shared" si="54"/>
        <v>0</v>
      </c>
      <c r="P236">
        <f t="shared" si="59"/>
        <v>0</v>
      </c>
      <c r="Q236" s="23">
        <f t="shared" si="55"/>
        <v>0</v>
      </c>
      <c r="R236">
        <f>Q235*Assumptions!$B$11/$E$2*N236</f>
        <v>0</v>
      </c>
      <c r="S236">
        <f>Q235*Assumptions!$B$13/$E$2*N236</f>
        <v>0</v>
      </c>
      <c r="T236">
        <f>L236*Assumptions!$B$15</f>
        <v>0</v>
      </c>
      <c r="U236">
        <f>S236*Assumptions!$B$17</f>
        <v>0</v>
      </c>
      <c r="V236">
        <f>HLOOKUP(B236,Assumptions!$A$26:$D$27,2,TRUE)</f>
        <v>0</v>
      </c>
      <c r="W236">
        <f t="shared" si="60"/>
        <v>0</v>
      </c>
      <c r="X236">
        <f t="shared" si="61"/>
        <v>0.33333333333333215</v>
      </c>
      <c r="Y236">
        <f>IF(B236&gt;$M$2,0,IF(X237=0,0,(1-X237)*Assumptions!$B$11/$E$2*(1-Assumptions!$B$30)))</f>
        <v>0</v>
      </c>
      <c r="Z236">
        <f>(R236-S236)*(1-Assumptions!$B$30)-U236+Y235*Q235</f>
        <v>0</v>
      </c>
      <c r="AA236">
        <f>AA235*(1+Assumptions!$B$36)^(1/12)</f>
        <v>1.2051074143350915</v>
      </c>
      <c r="AB236" s="20">
        <f>IF(B236&gt;$M$2,0,AA235*Assumptions!$B$32/12*Q235+Z236*Assumptions!$B$34/12)</f>
        <v>0</v>
      </c>
      <c r="AC236" s="21">
        <f>1/(1+HLOOKUP(YEAR(A236),Assumptions!$A$41:$AL$43,3,TRUE))^(1/12)</f>
        <v>0.99816881688355608</v>
      </c>
      <c r="AD236">
        <f t="shared" si="56"/>
        <v>0</v>
      </c>
      <c r="AE236">
        <f t="shared" si="62"/>
        <v>0</v>
      </c>
    </row>
    <row r="237" spans="1:31" x14ac:dyDescent="0.2">
      <c r="A237" s="2">
        <f t="shared" si="63"/>
        <v>49979</v>
      </c>
      <c r="B237">
        <f t="shared" si="57"/>
        <v>306</v>
      </c>
      <c r="C237">
        <f t="shared" si="49"/>
        <v>25.416666666666668</v>
      </c>
      <c r="D237">
        <f t="shared" si="50"/>
        <v>0</v>
      </c>
      <c r="E237">
        <f t="shared" si="51"/>
        <v>80</v>
      </c>
      <c r="F237">
        <f t="shared" si="52"/>
        <v>72</v>
      </c>
      <c r="G237">
        <f>IF(C237&gt;=$L$2,0,VLOOKUP($E237,'Mortality Table'!$A$3:$C$128,2+H$2,FALSE))</f>
        <v>0</v>
      </c>
      <c r="H237">
        <f>IF(C237&gt;=$L$2,0,VLOOKUP($E237,'Mortality Table'!$A$3:$C$128,2+I$2,FALSE))</f>
        <v>0</v>
      </c>
      <c r="I237" s="17">
        <f>G237*Assumptions!$B$1</f>
        <v>0</v>
      </c>
      <c r="J237" s="17">
        <f>H237*Assumptions!$B$1</f>
        <v>0</v>
      </c>
      <c r="K237">
        <f t="shared" si="53"/>
        <v>0</v>
      </c>
      <c r="L237">
        <f t="shared" si="58"/>
        <v>0</v>
      </c>
      <c r="M237">
        <f>HLOOKUP(C237,Assumptions!$A$6:$J$7,2,TRUE)</f>
        <v>2.6499999999999999E-2</v>
      </c>
      <c r="N237" s="23">
        <f t="shared" si="48"/>
        <v>0</v>
      </c>
      <c r="O237" s="23">
        <f t="shared" si="54"/>
        <v>0</v>
      </c>
      <c r="P237">
        <f t="shared" si="59"/>
        <v>0</v>
      </c>
      <c r="Q237" s="23">
        <f t="shared" si="55"/>
        <v>0</v>
      </c>
      <c r="R237">
        <f>Q236*Assumptions!$B$11/$E$2*N237</f>
        <v>0</v>
      </c>
      <c r="S237">
        <f>Q236*Assumptions!$B$13/$E$2*N237</f>
        <v>0</v>
      </c>
      <c r="T237">
        <f>L237*Assumptions!$B$15</f>
        <v>0</v>
      </c>
      <c r="U237">
        <f>S237*Assumptions!$B$17</f>
        <v>0</v>
      </c>
      <c r="V237">
        <f>HLOOKUP(B237,Assumptions!$A$26:$D$27,2,TRUE)</f>
        <v>0</v>
      </c>
      <c r="W237">
        <f t="shared" si="60"/>
        <v>0</v>
      </c>
      <c r="X237">
        <f t="shared" si="61"/>
        <v>0.41666666666666785</v>
      </c>
      <c r="Y237">
        <f>IF(B237&gt;$M$2,0,IF(X238=0,0,(1-X238)*Assumptions!$B$11/$E$2*(1-Assumptions!$B$30)))</f>
        <v>0</v>
      </c>
      <c r="Z237">
        <f>(R237-S237)*(1-Assumptions!$B$30)-U237+Y236*Q236</f>
        <v>0</v>
      </c>
      <c r="AA237">
        <f>AA236*(1+Assumptions!$B$36)^(1/12)</f>
        <v>1.2061070968671637</v>
      </c>
      <c r="AB237" s="20">
        <f>IF(B237&gt;$M$2,0,AA236*Assumptions!$B$32/12*Q236+Z237*Assumptions!$B$34/12)</f>
        <v>0</v>
      </c>
      <c r="AC237" s="21">
        <f>1/(1+HLOOKUP(YEAR(A237),Assumptions!$A$41:$AL$43,3,TRUE))^(1/12)</f>
        <v>0.99816881688355608</v>
      </c>
      <c r="AD237">
        <f t="shared" si="56"/>
        <v>0</v>
      </c>
      <c r="AE237">
        <f t="shared" si="62"/>
        <v>0</v>
      </c>
    </row>
    <row r="238" spans="1:31" x14ac:dyDescent="0.2">
      <c r="A238" s="2">
        <f t="shared" si="63"/>
        <v>50009</v>
      </c>
      <c r="B238">
        <f t="shared" si="57"/>
        <v>307</v>
      </c>
      <c r="C238">
        <f t="shared" si="49"/>
        <v>25.5</v>
      </c>
      <c r="D238">
        <f t="shared" si="50"/>
        <v>0</v>
      </c>
      <c r="E238">
        <f t="shared" si="51"/>
        <v>80</v>
      </c>
      <c r="F238">
        <f t="shared" si="52"/>
        <v>72</v>
      </c>
      <c r="G238">
        <f>IF(C238&gt;=$L$2,0,VLOOKUP($E238,'Mortality Table'!$A$3:$C$128,2+H$2,FALSE))</f>
        <v>0</v>
      </c>
      <c r="H238">
        <f>IF(C238&gt;=$L$2,0,VLOOKUP($E238,'Mortality Table'!$A$3:$C$128,2+I$2,FALSE))</f>
        <v>0</v>
      </c>
      <c r="I238" s="17">
        <f>G238*Assumptions!$B$1</f>
        <v>0</v>
      </c>
      <c r="J238" s="17">
        <f>H238*Assumptions!$B$1</f>
        <v>0</v>
      </c>
      <c r="K238">
        <f t="shared" si="53"/>
        <v>0</v>
      </c>
      <c r="L238">
        <f t="shared" si="58"/>
        <v>0</v>
      </c>
      <c r="M238">
        <f>HLOOKUP(C238,Assumptions!$A$6:$J$7,2,TRUE)</f>
        <v>2.6499999999999999E-2</v>
      </c>
      <c r="N238" s="23">
        <f t="shared" si="48"/>
        <v>0</v>
      </c>
      <c r="O238" s="23">
        <f t="shared" si="54"/>
        <v>0</v>
      </c>
      <c r="P238">
        <f t="shared" si="59"/>
        <v>0</v>
      </c>
      <c r="Q238" s="23">
        <f t="shared" si="55"/>
        <v>0</v>
      </c>
      <c r="R238">
        <f>Q237*Assumptions!$B$11/$E$2*N238</f>
        <v>0</v>
      </c>
      <c r="S238">
        <f>Q237*Assumptions!$B$13/$E$2*N238</f>
        <v>0</v>
      </c>
      <c r="T238">
        <f>L238*Assumptions!$B$15</f>
        <v>0</v>
      </c>
      <c r="U238">
        <f>S238*Assumptions!$B$17</f>
        <v>0</v>
      </c>
      <c r="V238">
        <f>HLOOKUP(B238,Assumptions!$A$26:$D$27,2,TRUE)</f>
        <v>0</v>
      </c>
      <c r="W238">
        <f t="shared" si="60"/>
        <v>0</v>
      </c>
      <c r="X238">
        <f t="shared" si="61"/>
        <v>0.5</v>
      </c>
      <c r="Y238">
        <f>IF(B238&gt;$M$2,0,IF(X239=0,0,(1-X239)*Assumptions!$B$11/$E$2*(1-Assumptions!$B$30)))</f>
        <v>0</v>
      </c>
      <c r="Z238">
        <f>(R238-S238)*(1-Assumptions!$B$30)-U238+Y237*Q237</f>
        <v>0</v>
      </c>
      <c r="AA238">
        <f>AA237*(1+Assumptions!$B$36)^(1/12)</f>
        <v>1.2071076086739985</v>
      </c>
      <c r="AB238" s="20">
        <f>IF(B238&gt;$M$2,0,AA237*Assumptions!$B$32/12*Q237+Z238*Assumptions!$B$34/12)</f>
        <v>0</v>
      </c>
      <c r="AC238" s="21">
        <f>1/(1+HLOOKUP(YEAR(A238),Assumptions!$A$41:$AL$43,3,TRUE))^(1/12)</f>
        <v>0.99816881688355608</v>
      </c>
      <c r="AD238">
        <f t="shared" si="56"/>
        <v>0</v>
      </c>
      <c r="AE238">
        <f t="shared" si="62"/>
        <v>0</v>
      </c>
    </row>
    <row r="239" spans="1:31" x14ac:dyDescent="0.2">
      <c r="A239" s="2">
        <f t="shared" si="63"/>
        <v>50040</v>
      </c>
      <c r="B239">
        <f t="shared" si="57"/>
        <v>308</v>
      </c>
      <c r="C239">
        <f t="shared" si="49"/>
        <v>25.583333333333332</v>
      </c>
      <c r="D239">
        <f t="shared" si="50"/>
        <v>0</v>
      </c>
      <c r="E239">
        <f t="shared" si="51"/>
        <v>80</v>
      </c>
      <c r="F239">
        <f t="shared" si="52"/>
        <v>72</v>
      </c>
      <c r="G239">
        <f>IF(C239&gt;=$L$2,0,VLOOKUP($E239,'Mortality Table'!$A$3:$C$128,2+H$2,FALSE))</f>
        <v>0</v>
      </c>
      <c r="H239">
        <f>IF(C239&gt;=$L$2,0,VLOOKUP($E239,'Mortality Table'!$A$3:$C$128,2+I$2,FALSE))</f>
        <v>0</v>
      </c>
      <c r="I239" s="17">
        <f>G239*Assumptions!$B$1</f>
        <v>0</v>
      </c>
      <c r="J239" s="17">
        <f>H239*Assumptions!$B$1</f>
        <v>0</v>
      </c>
      <c r="K239">
        <f t="shared" si="53"/>
        <v>0</v>
      </c>
      <c r="L239">
        <f t="shared" si="58"/>
        <v>0</v>
      </c>
      <c r="M239">
        <f>HLOOKUP(C239,Assumptions!$A$6:$J$7,2,TRUE)</f>
        <v>2.6499999999999999E-2</v>
      </c>
      <c r="N239" s="23">
        <f t="shared" si="48"/>
        <v>0</v>
      </c>
      <c r="O239" s="23">
        <f t="shared" si="54"/>
        <v>0</v>
      </c>
      <c r="P239">
        <f t="shared" si="59"/>
        <v>0</v>
      </c>
      <c r="Q239" s="23">
        <f t="shared" si="55"/>
        <v>0</v>
      </c>
      <c r="R239">
        <f>Q238*Assumptions!$B$11/$E$2*N239</f>
        <v>0</v>
      </c>
      <c r="S239">
        <f>Q238*Assumptions!$B$13/$E$2*N239</f>
        <v>0</v>
      </c>
      <c r="T239">
        <f>L239*Assumptions!$B$15</f>
        <v>0</v>
      </c>
      <c r="U239">
        <f>S239*Assumptions!$B$17</f>
        <v>0</v>
      </c>
      <c r="V239">
        <f>HLOOKUP(B239,Assumptions!$A$26:$D$27,2,TRUE)</f>
        <v>0</v>
      </c>
      <c r="W239">
        <f t="shared" si="60"/>
        <v>0</v>
      </c>
      <c r="X239">
        <f t="shared" si="61"/>
        <v>0.58333333333333215</v>
      </c>
      <c r="Y239">
        <f>IF(B239&gt;$M$2,0,IF(X240=0,0,(1-X240)*Assumptions!$B$11/$E$2*(1-Assumptions!$B$30)))</f>
        <v>0</v>
      </c>
      <c r="Z239">
        <f>(R239-S239)*(1-Assumptions!$B$30)-U239+Y238*Q238</f>
        <v>0</v>
      </c>
      <c r="AA239">
        <f>AA238*(1+Assumptions!$B$36)^(1/12)</f>
        <v>1.2081089504435107</v>
      </c>
      <c r="AB239" s="20">
        <f>IF(B239&gt;$M$2,0,AA238*Assumptions!$B$32/12*Q238+Z239*Assumptions!$B$34/12)</f>
        <v>0</v>
      </c>
      <c r="AC239" s="21">
        <f>1/(1+HLOOKUP(YEAR(A239),Assumptions!$A$41:$AL$43,3,TRUE))^(1/12)</f>
        <v>0.99816881688355608</v>
      </c>
      <c r="AD239">
        <f t="shared" si="56"/>
        <v>0</v>
      </c>
      <c r="AE239">
        <f t="shared" si="62"/>
        <v>0</v>
      </c>
    </row>
    <row r="240" spans="1:31" x14ac:dyDescent="0.2">
      <c r="A240" s="2">
        <f t="shared" si="63"/>
        <v>50071</v>
      </c>
      <c r="B240">
        <f t="shared" si="57"/>
        <v>309</v>
      </c>
      <c r="C240">
        <f t="shared" si="49"/>
        <v>25.666666666666668</v>
      </c>
      <c r="D240">
        <f t="shared" si="50"/>
        <v>0</v>
      </c>
      <c r="E240">
        <f t="shared" si="51"/>
        <v>80</v>
      </c>
      <c r="F240">
        <f t="shared" si="52"/>
        <v>72</v>
      </c>
      <c r="G240">
        <f>IF(C240&gt;=$L$2,0,VLOOKUP($E240,'Mortality Table'!$A$3:$C$128,2+H$2,FALSE))</f>
        <v>0</v>
      </c>
      <c r="H240">
        <f>IF(C240&gt;=$L$2,0,VLOOKUP($E240,'Mortality Table'!$A$3:$C$128,2+I$2,FALSE))</f>
        <v>0</v>
      </c>
      <c r="I240" s="17">
        <f>G240*Assumptions!$B$1</f>
        <v>0</v>
      </c>
      <c r="J240" s="17">
        <f>H240*Assumptions!$B$1</f>
        <v>0</v>
      </c>
      <c r="K240">
        <f t="shared" si="53"/>
        <v>0</v>
      </c>
      <c r="L240">
        <f t="shared" si="58"/>
        <v>0</v>
      </c>
      <c r="M240">
        <f>HLOOKUP(C240,Assumptions!$A$6:$J$7,2,TRUE)</f>
        <v>2.6499999999999999E-2</v>
      </c>
      <c r="N240" s="23">
        <f t="shared" si="48"/>
        <v>0</v>
      </c>
      <c r="O240" s="23">
        <f t="shared" si="54"/>
        <v>0</v>
      </c>
      <c r="P240">
        <f t="shared" si="59"/>
        <v>0</v>
      </c>
      <c r="Q240" s="23">
        <f t="shared" si="55"/>
        <v>0</v>
      </c>
      <c r="R240">
        <f>Q239*Assumptions!$B$11/$E$2*N240</f>
        <v>0</v>
      </c>
      <c r="S240">
        <f>Q239*Assumptions!$B$13/$E$2*N240</f>
        <v>0</v>
      </c>
      <c r="T240">
        <f>L240*Assumptions!$B$15</f>
        <v>0</v>
      </c>
      <c r="U240">
        <f>S240*Assumptions!$B$17</f>
        <v>0</v>
      </c>
      <c r="V240">
        <f>HLOOKUP(B240,Assumptions!$A$26:$D$27,2,TRUE)</f>
        <v>0</v>
      </c>
      <c r="W240">
        <f t="shared" si="60"/>
        <v>0</v>
      </c>
      <c r="X240">
        <f t="shared" si="61"/>
        <v>0.66666666666666785</v>
      </c>
      <c r="Y240">
        <f>IF(B240&gt;$M$2,0,IF(X241=0,0,(1-X241)*Assumptions!$B$11/$E$2*(1-Assumptions!$B$30)))</f>
        <v>0</v>
      </c>
      <c r="Z240">
        <f>(R240-S240)*(1-Assumptions!$B$30)-U240+Y239*Q239</f>
        <v>0</v>
      </c>
      <c r="AA240">
        <f>AA239*(1+Assumptions!$B$36)^(1/12)</f>
        <v>1.2091111228641864</v>
      </c>
      <c r="AB240" s="20">
        <f>IF(B240&gt;$M$2,0,AA239*Assumptions!$B$32/12*Q239+Z240*Assumptions!$B$34/12)</f>
        <v>0</v>
      </c>
      <c r="AC240" s="21">
        <f>1/(1+HLOOKUP(YEAR(A240),Assumptions!$A$41:$AL$43,3,TRUE))^(1/12)</f>
        <v>0.99812871135708459</v>
      </c>
      <c r="AD240">
        <f t="shared" si="56"/>
        <v>0</v>
      </c>
      <c r="AE240">
        <f t="shared" si="62"/>
        <v>0</v>
      </c>
    </row>
    <row r="241" spans="1:31" x14ac:dyDescent="0.2">
      <c r="A241" s="2">
        <f t="shared" si="63"/>
        <v>50099</v>
      </c>
      <c r="B241">
        <f t="shared" si="57"/>
        <v>310</v>
      </c>
      <c r="C241">
        <f t="shared" si="49"/>
        <v>25.75</v>
      </c>
      <c r="D241">
        <f t="shared" si="50"/>
        <v>0</v>
      </c>
      <c r="E241">
        <f t="shared" si="51"/>
        <v>80</v>
      </c>
      <c r="F241">
        <f t="shared" si="52"/>
        <v>72</v>
      </c>
      <c r="G241">
        <f>IF(C241&gt;=$L$2,0,VLOOKUP($E241,'Mortality Table'!$A$3:$C$128,2+H$2,FALSE))</f>
        <v>0</v>
      </c>
      <c r="H241">
        <f>IF(C241&gt;=$L$2,0,VLOOKUP($E241,'Mortality Table'!$A$3:$C$128,2+I$2,FALSE))</f>
        <v>0</v>
      </c>
      <c r="I241" s="17">
        <f>G241*Assumptions!$B$1</f>
        <v>0</v>
      </c>
      <c r="J241" s="17">
        <f>H241*Assumptions!$B$1</f>
        <v>0</v>
      </c>
      <c r="K241">
        <f t="shared" si="53"/>
        <v>0</v>
      </c>
      <c r="L241">
        <f t="shared" si="58"/>
        <v>0</v>
      </c>
      <c r="M241">
        <f>HLOOKUP(C241,Assumptions!$A$6:$J$7,2,TRUE)</f>
        <v>2.6499999999999999E-2</v>
      </c>
      <c r="N241" s="23">
        <f t="shared" si="48"/>
        <v>0</v>
      </c>
      <c r="O241" s="23">
        <f t="shared" si="54"/>
        <v>0</v>
      </c>
      <c r="P241">
        <f t="shared" si="59"/>
        <v>0</v>
      </c>
      <c r="Q241" s="23">
        <f t="shared" si="55"/>
        <v>0</v>
      </c>
      <c r="R241">
        <f>Q240*Assumptions!$B$11/$E$2*N241</f>
        <v>0</v>
      </c>
      <c r="S241">
        <f>Q240*Assumptions!$B$13/$E$2*N241</f>
        <v>0</v>
      </c>
      <c r="T241">
        <f>L241*Assumptions!$B$15</f>
        <v>0</v>
      </c>
      <c r="U241">
        <f>S241*Assumptions!$B$17</f>
        <v>0</v>
      </c>
      <c r="V241">
        <f>HLOOKUP(B241,Assumptions!$A$26:$D$27,2,TRUE)</f>
        <v>0</v>
      </c>
      <c r="W241">
        <f t="shared" si="60"/>
        <v>0</v>
      </c>
      <c r="X241">
        <f t="shared" si="61"/>
        <v>0.75</v>
      </c>
      <c r="Y241">
        <f>IF(B241&gt;$M$2,0,IF(X242=0,0,(1-X242)*Assumptions!$B$11/$E$2*(1-Assumptions!$B$30)))</f>
        <v>0</v>
      </c>
      <c r="Z241">
        <f>(R241-S241)*(1-Assumptions!$B$30)-U241+Y240*Q240</f>
        <v>0</v>
      </c>
      <c r="AA241">
        <f>AA240*(1+Assumptions!$B$36)^(1/12)</f>
        <v>1.2101141266250821</v>
      </c>
      <c r="AB241" s="20">
        <f>IF(B241&gt;$M$2,0,AA240*Assumptions!$B$32/12*Q240+Z241*Assumptions!$B$34/12)</f>
        <v>0</v>
      </c>
      <c r="AC241" s="21">
        <f>1/(1+HLOOKUP(YEAR(A241),Assumptions!$A$41:$AL$43,3,TRUE))^(1/12)</f>
        <v>0.99812871135708459</v>
      </c>
      <c r="AD241">
        <f t="shared" si="56"/>
        <v>0</v>
      </c>
      <c r="AE241">
        <f t="shared" si="62"/>
        <v>0</v>
      </c>
    </row>
    <row r="242" spans="1:31" x14ac:dyDescent="0.2">
      <c r="A242" s="2">
        <f t="shared" si="63"/>
        <v>50130</v>
      </c>
      <c r="B242">
        <f t="shared" si="57"/>
        <v>311</v>
      </c>
      <c r="C242">
        <f t="shared" si="49"/>
        <v>25.833333333333332</v>
      </c>
      <c r="D242">
        <f t="shared" si="50"/>
        <v>0</v>
      </c>
      <c r="E242">
        <f t="shared" si="51"/>
        <v>80</v>
      </c>
      <c r="F242">
        <f t="shared" si="52"/>
        <v>72</v>
      </c>
      <c r="G242">
        <f>IF(C242&gt;=$L$2,0,VLOOKUP($E242,'Mortality Table'!$A$3:$C$128,2+H$2,FALSE))</f>
        <v>0</v>
      </c>
      <c r="H242">
        <f>IF(C242&gt;=$L$2,0,VLOOKUP($E242,'Mortality Table'!$A$3:$C$128,2+I$2,FALSE))</f>
        <v>0</v>
      </c>
      <c r="I242" s="17">
        <f>G242*Assumptions!$B$1</f>
        <v>0</v>
      </c>
      <c r="J242" s="17">
        <f>H242*Assumptions!$B$1</f>
        <v>0</v>
      </c>
      <c r="K242">
        <f t="shared" si="53"/>
        <v>0</v>
      </c>
      <c r="L242">
        <f t="shared" si="58"/>
        <v>0</v>
      </c>
      <c r="M242">
        <f>HLOOKUP(C242,Assumptions!$A$6:$J$7,2,TRUE)</f>
        <v>2.6499999999999999E-2</v>
      </c>
      <c r="N242" s="23">
        <f t="shared" si="48"/>
        <v>0</v>
      </c>
      <c r="O242" s="23">
        <f t="shared" si="54"/>
        <v>0</v>
      </c>
      <c r="P242">
        <f t="shared" si="59"/>
        <v>0</v>
      </c>
      <c r="Q242" s="23">
        <f t="shared" si="55"/>
        <v>0</v>
      </c>
      <c r="R242">
        <f>Q241*Assumptions!$B$11/$E$2*N242</f>
        <v>0</v>
      </c>
      <c r="S242">
        <f>Q241*Assumptions!$B$13/$E$2*N242</f>
        <v>0</v>
      </c>
      <c r="T242">
        <f>L242*Assumptions!$B$15</f>
        <v>0</v>
      </c>
      <c r="U242">
        <f>S242*Assumptions!$B$17</f>
        <v>0</v>
      </c>
      <c r="V242">
        <f>HLOOKUP(B242,Assumptions!$A$26:$D$27,2,TRUE)</f>
        <v>0</v>
      </c>
      <c r="W242">
        <f t="shared" si="60"/>
        <v>0</v>
      </c>
      <c r="X242">
        <f t="shared" si="61"/>
        <v>0.83333333333333215</v>
      </c>
      <c r="Y242">
        <f>IF(B242&gt;$M$2,0,IF(X243=0,0,(1-X243)*Assumptions!$B$11/$E$2*(1-Assumptions!$B$30)))</f>
        <v>0</v>
      </c>
      <c r="Z242">
        <f>(R242-S242)*(1-Assumptions!$B$30)-U242+Y241*Q241</f>
        <v>0</v>
      </c>
      <c r="AA242">
        <f>AA241*(1+Assumptions!$B$36)^(1/12)</f>
        <v>1.2111179624158264</v>
      </c>
      <c r="AB242" s="20">
        <f>IF(B242&gt;$M$2,0,AA241*Assumptions!$B$32/12*Q241+Z242*Assumptions!$B$34/12)</f>
        <v>0</v>
      </c>
      <c r="AC242" s="21">
        <f>1/(1+HLOOKUP(YEAR(A242),Assumptions!$A$41:$AL$43,3,TRUE))^(1/12)</f>
        <v>0.99812871135708459</v>
      </c>
      <c r="AD242">
        <f t="shared" si="56"/>
        <v>0</v>
      </c>
      <c r="AE242">
        <f t="shared" si="62"/>
        <v>0</v>
      </c>
    </row>
    <row r="243" spans="1:31" x14ac:dyDescent="0.2">
      <c r="A243" s="2">
        <f t="shared" si="63"/>
        <v>50160</v>
      </c>
      <c r="B243">
        <f t="shared" si="57"/>
        <v>312</v>
      </c>
      <c r="C243">
        <f t="shared" si="49"/>
        <v>25.916666666666668</v>
      </c>
      <c r="D243">
        <f t="shared" si="50"/>
        <v>0</v>
      </c>
      <c r="E243">
        <f t="shared" si="51"/>
        <v>80</v>
      </c>
      <c r="F243">
        <f t="shared" si="52"/>
        <v>72</v>
      </c>
      <c r="G243">
        <f>IF(C243&gt;=$L$2,0,VLOOKUP($E243,'Mortality Table'!$A$3:$C$128,2+H$2,FALSE))</f>
        <v>0</v>
      </c>
      <c r="H243">
        <f>IF(C243&gt;=$L$2,0,VLOOKUP($E243,'Mortality Table'!$A$3:$C$128,2+I$2,FALSE))</f>
        <v>0</v>
      </c>
      <c r="I243" s="17">
        <f>G243*Assumptions!$B$1</f>
        <v>0</v>
      </c>
      <c r="J243" s="17">
        <f>H243*Assumptions!$B$1</f>
        <v>0</v>
      </c>
      <c r="K243">
        <f t="shared" si="53"/>
        <v>0</v>
      </c>
      <c r="L243">
        <f t="shared" si="58"/>
        <v>0</v>
      </c>
      <c r="M243">
        <f>HLOOKUP(C243,Assumptions!$A$6:$J$7,2,TRUE)</f>
        <v>2.6499999999999999E-2</v>
      </c>
      <c r="N243" s="23">
        <f t="shared" si="48"/>
        <v>0</v>
      </c>
      <c r="O243" s="23">
        <f t="shared" si="54"/>
        <v>0</v>
      </c>
      <c r="P243">
        <f t="shared" si="59"/>
        <v>0</v>
      </c>
      <c r="Q243" s="23">
        <f t="shared" si="55"/>
        <v>0</v>
      </c>
      <c r="R243">
        <f>Q242*Assumptions!$B$11/$E$2*N243</f>
        <v>0</v>
      </c>
      <c r="S243">
        <f>Q242*Assumptions!$B$13/$E$2*N243</f>
        <v>0</v>
      </c>
      <c r="T243">
        <f>L243*Assumptions!$B$15</f>
        <v>0</v>
      </c>
      <c r="U243">
        <f>S243*Assumptions!$B$17</f>
        <v>0</v>
      </c>
      <c r="V243">
        <f>HLOOKUP(B243,Assumptions!$A$26:$D$27,2,TRUE)</f>
        <v>0</v>
      </c>
      <c r="W243">
        <f t="shared" si="60"/>
        <v>0</v>
      </c>
      <c r="X243">
        <f t="shared" si="61"/>
        <v>0.91666666666666785</v>
      </c>
      <c r="Y243">
        <f>IF(B243&gt;$M$2,0,IF(X244=0,0,(1-X244)*Assumptions!$B$11/$E$2*(1-Assumptions!$B$30)))</f>
        <v>0</v>
      </c>
      <c r="Z243">
        <f>(R243-S243)*(1-Assumptions!$B$30)-U243+Y242*Q242</f>
        <v>0</v>
      </c>
      <c r="AA243">
        <f>AA242*(1+Assumptions!$B$36)^(1/12)</f>
        <v>1.2121226309266195</v>
      </c>
      <c r="AB243" s="20">
        <f>IF(B243&gt;$M$2,0,AA242*Assumptions!$B$32/12*Q242+Z243*Assumptions!$B$34/12)</f>
        <v>0</v>
      </c>
      <c r="AC243" s="21">
        <f>1/(1+HLOOKUP(YEAR(A243),Assumptions!$A$41:$AL$43,3,TRUE))^(1/12)</f>
        <v>0.99812871135708459</v>
      </c>
      <c r="AD243">
        <f t="shared" si="56"/>
        <v>0</v>
      </c>
      <c r="AE243">
        <f t="shared" si="62"/>
        <v>0</v>
      </c>
    </row>
    <row r="244" spans="1:31" x14ac:dyDescent="0.2">
      <c r="A244" s="2">
        <f t="shared" si="63"/>
        <v>50191</v>
      </c>
      <c r="B244">
        <f t="shared" si="57"/>
        <v>313</v>
      </c>
      <c r="C244">
        <f t="shared" si="49"/>
        <v>26</v>
      </c>
      <c r="D244">
        <f t="shared" si="50"/>
        <v>1</v>
      </c>
      <c r="E244">
        <f t="shared" si="51"/>
        <v>81</v>
      </c>
      <c r="F244">
        <f t="shared" si="52"/>
        <v>73</v>
      </c>
      <c r="G244">
        <f>IF(C244&gt;=$L$2,0,VLOOKUP($E244,'Mortality Table'!$A$3:$C$128,2+H$2,FALSE))</f>
        <v>0</v>
      </c>
      <c r="H244">
        <f>IF(C244&gt;=$L$2,0,VLOOKUP($E244,'Mortality Table'!$A$3:$C$128,2+I$2,FALSE))</f>
        <v>0</v>
      </c>
      <c r="I244" s="17">
        <f>G244*Assumptions!$B$1</f>
        <v>0</v>
      </c>
      <c r="J244" s="17">
        <f>H244*Assumptions!$B$1</f>
        <v>0</v>
      </c>
      <c r="K244">
        <f t="shared" si="53"/>
        <v>0</v>
      </c>
      <c r="L244">
        <f t="shared" si="58"/>
        <v>0</v>
      </c>
      <c r="M244">
        <f>HLOOKUP(C244,Assumptions!$A$6:$J$7,2,TRUE)</f>
        <v>2.6499999999999999E-2</v>
      </c>
      <c r="N244" s="23">
        <f t="shared" si="48"/>
        <v>0</v>
      </c>
      <c r="O244" s="23">
        <f t="shared" si="54"/>
        <v>0</v>
      </c>
      <c r="P244">
        <f t="shared" si="59"/>
        <v>0</v>
      </c>
      <c r="Q244" s="23">
        <f t="shared" si="55"/>
        <v>0</v>
      </c>
      <c r="R244">
        <f>Q243*Assumptions!$B$11/$E$2*N244</f>
        <v>0</v>
      </c>
      <c r="S244">
        <f>Q243*Assumptions!$B$13/$E$2*N244</f>
        <v>0</v>
      </c>
      <c r="T244">
        <f>L244*Assumptions!$B$15</f>
        <v>0</v>
      </c>
      <c r="U244">
        <f>S244*Assumptions!$B$17</f>
        <v>0</v>
      </c>
      <c r="V244">
        <f>HLOOKUP(B244,Assumptions!$A$26:$D$27,2,TRUE)</f>
        <v>0</v>
      </c>
      <c r="W244">
        <f t="shared" si="60"/>
        <v>0</v>
      </c>
      <c r="X244">
        <f t="shared" si="61"/>
        <v>0</v>
      </c>
      <c r="Y244">
        <f>IF(B244&gt;$M$2,0,IF(X245=0,0,(1-X245)*Assumptions!$B$11/$E$2*(1-Assumptions!$B$30)))</f>
        <v>0</v>
      </c>
      <c r="Z244">
        <f>(R244-S244)*(1-Assumptions!$B$30)-U244+Y243*Q243</f>
        <v>0</v>
      </c>
      <c r="AA244">
        <f>AA243*(1+Assumptions!$B$36)^(1/12)</f>
        <v>1.2131281328482346</v>
      </c>
      <c r="AB244" s="20">
        <f>IF(B244&gt;$M$2,0,AA243*Assumptions!$B$32/12*Q243+Z244*Assumptions!$B$34/12)</f>
        <v>0</v>
      </c>
      <c r="AC244" s="21">
        <f>1/(1+HLOOKUP(YEAR(A244),Assumptions!$A$41:$AL$43,3,TRUE))^(1/12)</f>
        <v>0.99812871135708459</v>
      </c>
      <c r="AD244">
        <f t="shared" si="56"/>
        <v>0</v>
      </c>
      <c r="AE244">
        <f t="shared" si="62"/>
        <v>0</v>
      </c>
    </row>
    <row r="245" spans="1:31" x14ac:dyDescent="0.2">
      <c r="A245" s="2">
        <f t="shared" si="63"/>
        <v>50221</v>
      </c>
      <c r="B245">
        <f t="shared" si="57"/>
        <v>314</v>
      </c>
      <c r="C245">
        <f t="shared" si="49"/>
        <v>26.083333333333332</v>
      </c>
      <c r="D245">
        <f t="shared" si="50"/>
        <v>0</v>
      </c>
      <c r="E245">
        <f t="shared" si="51"/>
        <v>81</v>
      </c>
      <c r="F245">
        <f t="shared" si="52"/>
        <v>73</v>
      </c>
      <c r="G245">
        <f>IF(C245&gt;=$L$2,0,VLOOKUP($E245,'Mortality Table'!$A$3:$C$128,2+H$2,FALSE))</f>
        <v>0</v>
      </c>
      <c r="H245">
        <f>IF(C245&gt;=$L$2,0,VLOOKUP($E245,'Mortality Table'!$A$3:$C$128,2+I$2,FALSE))</f>
        <v>0</v>
      </c>
      <c r="I245" s="17">
        <f>G245*Assumptions!$B$1</f>
        <v>0</v>
      </c>
      <c r="J245" s="17">
        <f>H245*Assumptions!$B$1</f>
        <v>0</v>
      </c>
      <c r="K245">
        <f t="shared" si="53"/>
        <v>0</v>
      </c>
      <c r="L245">
        <f t="shared" si="58"/>
        <v>0</v>
      </c>
      <c r="M245">
        <f>HLOOKUP(C245,Assumptions!$A$6:$J$7,2,TRUE)</f>
        <v>2.6499999999999999E-2</v>
      </c>
      <c r="N245" s="23">
        <f t="shared" si="48"/>
        <v>0</v>
      </c>
      <c r="O245" s="23">
        <f t="shared" si="54"/>
        <v>0</v>
      </c>
      <c r="P245">
        <f t="shared" si="59"/>
        <v>0</v>
      </c>
      <c r="Q245" s="23">
        <f t="shared" si="55"/>
        <v>0</v>
      </c>
      <c r="R245">
        <f>Q244*Assumptions!$B$11/$E$2*N245</f>
        <v>0</v>
      </c>
      <c r="S245">
        <f>Q244*Assumptions!$B$13/$E$2*N245</f>
        <v>0</v>
      </c>
      <c r="T245">
        <f>L245*Assumptions!$B$15</f>
        <v>0</v>
      </c>
      <c r="U245">
        <f>S245*Assumptions!$B$17</f>
        <v>0</v>
      </c>
      <c r="V245">
        <f>HLOOKUP(B245,Assumptions!$A$26:$D$27,2,TRUE)</f>
        <v>0</v>
      </c>
      <c r="W245">
        <f t="shared" si="60"/>
        <v>0</v>
      </c>
      <c r="X245">
        <f t="shared" si="61"/>
        <v>8.3333333333332149E-2</v>
      </c>
      <c r="Y245">
        <f>IF(B245&gt;$M$2,0,IF(X246=0,0,(1-X246)*Assumptions!$B$11/$E$2*(1-Assumptions!$B$30)))</f>
        <v>0</v>
      </c>
      <c r="Z245">
        <f>(R245-S245)*(1-Assumptions!$B$30)-U245+Y244*Q244</f>
        <v>0</v>
      </c>
      <c r="AA245">
        <f>AA244*(1+Assumptions!$B$36)^(1/12)</f>
        <v>1.2141344688720179</v>
      </c>
      <c r="AB245" s="20">
        <f>IF(B245&gt;$M$2,0,AA244*Assumptions!$B$32/12*Q244+Z245*Assumptions!$B$34/12)</f>
        <v>0</v>
      </c>
      <c r="AC245" s="21">
        <f>1/(1+HLOOKUP(YEAR(A245),Assumptions!$A$41:$AL$43,3,TRUE))^(1/12)</f>
        <v>0.99812871135708459</v>
      </c>
      <c r="AD245">
        <f t="shared" si="56"/>
        <v>0</v>
      </c>
      <c r="AE245">
        <f t="shared" si="62"/>
        <v>0</v>
      </c>
    </row>
    <row r="246" spans="1:31" x14ac:dyDescent="0.2">
      <c r="A246" s="2">
        <f t="shared" si="63"/>
        <v>50252</v>
      </c>
      <c r="B246">
        <f t="shared" si="57"/>
        <v>315</v>
      </c>
      <c r="C246">
        <f t="shared" si="49"/>
        <v>26.166666666666668</v>
      </c>
      <c r="D246">
        <f t="shared" si="50"/>
        <v>0</v>
      </c>
      <c r="E246">
        <f t="shared" si="51"/>
        <v>81</v>
      </c>
      <c r="F246">
        <f t="shared" si="52"/>
        <v>73</v>
      </c>
      <c r="G246">
        <f>IF(C246&gt;=$L$2,0,VLOOKUP($E246,'Mortality Table'!$A$3:$C$128,2+H$2,FALSE))</f>
        <v>0</v>
      </c>
      <c r="H246">
        <f>IF(C246&gt;=$L$2,0,VLOOKUP($E246,'Mortality Table'!$A$3:$C$128,2+I$2,FALSE))</f>
        <v>0</v>
      </c>
      <c r="I246" s="17">
        <f>G246*Assumptions!$B$1</f>
        <v>0</v>
      </c>
      <c r="J246" s="17">
        <f>H246*Assumptions!$B$1</f>
        <v>0</v>
      </c>
      <c r="K246">
        <f t="shared" si="53"/>
        <v>0</v>
      </c>
      <c r="L246">
        <f t="shared" si="58"/>
        <v>0</v>
      </c>
      <c r="M246">
        <f>HLOOKUP(C246,Assumptions!$A$6:$J$7,2,TRUE)</f>
        <v>2.6499999999999999E-2</v>
      </c>
      <c r="N246" s="23">
        <f t="shared" si="48"/>
        <v>0</v>
      </c>
      <c r="O246" s="23">
        <f t="shared" si="54"/>
        <v>0</v>
      </c>
      <c r="P246">
        <f t="shared" si="59"/>
        <v>0</v>
      </c>
      <c r="Q246" s="23">
        <f t="shared" si="55"/>
        <v>0</v>
      </c>
      <c r="R246">
        <f>Q245*Assumptions!$B$11/$E$2*N246</f>
        <v>0</v>
      </c>
      <c r="S246">
        <f>Q245*Assumptions!$B$13/$E$2*N246</f>
        <v>0</v>
      </c>
      <c r="T246">
        <f>L246*Assumptions!$B$15</f>
        <v>0</v>
      </c>
      <c r="U246">
        <f>S246*Assumptions!$B$17</f>
        <v>0</v>
      </c>
      <c r="V246">
        <f>HLOOKUP(B246,Assumptions!$A$26:$D$27,2,TRUE)</f>
        <v>0</v>
      </c>
      <c r="W246">
        <f t="shared" si="60"/>
        <v>0</v>
      </c>
      <c r="X246">
        <f t="shared" si="61"/>
        <v>0.16666666666666785</v>
      </c>
      <c r="Y246">
        <f>IF(B246&gt;$M$2,0,IF(X247=0,0,(1-X247)*Assumptions!$B$11/$E$2*(1-Assumptions!$B$30)))</f>
        <v>0</v>
      </c>
      <c r="Z246">
        <f>(R246-S246)*(1-Assumptions!$B$30)-U246+Y245*Q245</f>
        <v>0</v>
      </c>
      <c r="AA246">
        <f>AA245*(1+Assumptions!$B$36)^(1/12)</f>
        <v>1.2151416396898886</v>
      </c>
      <c r="AB246" s="20">
        <f>IF(B246&gt;$M$2,0,AA245*Assumptions!$B$32/12*Q245+Z246*Assumptions!$B$34/12)</f>
        <v>0</v>
      </c>
      <c r="AC246" s="21">
        <f>1/(1+HLOOKUP(YEAR(A246),Assumptions!$A$41:$AL$43,3,TRUE))^(1/12)</f>
        <v>0.99812871135708459</v>
      </c>
      <c r="AD246">
        <f t="shared" si="56"/>
        <v>0</v>
      </c>
      <c r="AE246">
        <f t="shared" si="62"/>
        <v>0</v>
      </c>
    </row>
    <row r="247" spans="1:31" x14ac:dyDescent="0.2">
      <c r="A247" s="2">
        <f t="shared" si="63"/>
        <v>50283</v>
      </c>
      <c r="B247">
        <f t="shared" si="57"/>
        <v>316</v>
      </c>
      <c r="C247">
        <f t="shared" si="49"/>
        <v>26.25</v>
      </c>
      <c r="D247">
        <f t="shared" si="50"/>
        <v>0</v>
      </c>
      <c r="E247">
        <f t="shared" si="51"/>
        <v>81</v>
      </c>
      <c r="F247">
        <f t="shared" si="52"/>
        <v>73</v>
      </c>
      <c r="G247">
        <f>IF(C247&gt;=$L$2,0,VLOOKUP($E247,'Mortality Table'!$A$3:$C$128,2+H$2,FALSE))</f>
        <v>0</v>
      </c>
      <c r="H247">
        <f>IF(C247&gt;=$L$2,0,VLOOKUP($E247,'Mortality Table'!$A$3:$C$128,2+I$2,FALSE))</f>
        <v>0</v>
      </c>
      <c r="I247" s="17">
        <f>G247*Assumptions!$B$1</f>
        <v>0</v>
      </c>
      <c r="J247" s="17">
        <f>H247*Assumptions!$B$1</f>
        <v>0</v>
      </c>
      <c r="K247">
        <f t="shared" si="53"/>
        <v>0</v>
      </c>
      <c r="L247">
        <f t="shared" si="58"/>
        <v>0</v>
      </c>
      <c r="M247">
        <f>HLOOKUP(C247,Assumptions!$A$6:$J$7,2,TRUE)</f>
        <v>2.6499999999999999E-2</v>
      </c>
      <c r="N247" s="23">
        <f t="shared" si="48"/>
        <v>0</v>
      </c>
      <c r="O247" s="23">
        <f t="shared" si="54"/>
        <v>0</v>
      </c>
      <c r="P247">
        <f t="shared" si="59"/>
        <v>0</v>
      </c>
      <c r="Q247" s="23">
        <f t="shared" si="55"/>
        <v>0</v>
      </c>
      <c r="R247">
        <f>Q246*Assumptions!$B$11/$E$2*N247</f>
        <v>0</v>
      </c>
      <c r="S247">
        <f>Q246*Assumptions!$B$13/$E$2*N247</f>
        <v>0</v>
      </c>
      <c r="T247">
        <f>L247*Assumptions!$B$15</f>
        <v>0</v>
      </c>
      <c r="U247">
        <f>S247*Assumptions!$B$17</f>
        <v>0</v>
      </c>
      <c r="V247">
        <f>HLOOKUP(B247,Assumptions!$A$26:$D$27,2,TRUE)</f>
        <v>0</v>
      </c>
      <c r="W247">
        <f t="shared" si="60"/>
        <v>0</v>
      </c>
      <c r="X247">
        <f t="shared" si="61"/>
        <v>0.25</v>
      </c>
      <c r="Y247">
        <f>IF(B247&gt;$M$2,0,IF(X248=0,0,(1-X248)*Assumptions!$B$11/$E$2*(1-Assumptions!$B$30)))</f>
        <v>0</v>
      </c>
      <c r="Z247">
        <f>(R247-S247)*(1-Assumptions!$B$30)-U247+Y246*Q246</f>
        <v>0</v>
      </c>
      <c r="AA247">
        <f>AA246*(1+Assumptions!$B$36)^(1/12)</f>
        <v>1.2161496459943404</v>
      </c>
      <c r="AB247" s="20">
        <f>IF(B247&gt;$M$2,0,AA246*Assumptions!$B$32/12*Q246+Z247*Assumptions!$B$34/12)</f>
        <v>0</v>
      </c>
      <c r="AC247" s="21">
        <f>1/(1+HLOOKUP(YEAR(A247),Assumptions!$A$41:$AL$43,3,TRUE))^(1/12)</f>
        <v>0.99812871135708459</v>
      </c>
      <c r="AD247">
        <f t="shared" si="56"/>
        <v>0</v>
      </c>
      <c r="AE247">
        <f t="shared" si="62"/>
        <v>0</v>
      </c>
    </row>
    <row r="248" spans="1:31" x14ac:dyDescent="0.2">
      <c r="A248" s="2">
        <f t="shared" si="63"/>
        <v>50313</v>
      </c>
      <c r="B248">
        <f t="shared" si="57"/>
        <v>317</v>
      </c>
      <c r="C248">
        <f t="shared" si="49"/>
        <v>26.333333333333332</v>
      </c>
      <c r="D248">
        <f t="shared" si="50"/>
        <v>0</v>
      </c>
      <c r="E248">
        <f t="shared" si="51"/>
        <v>81</v>
      </c>
      <c r="F248">
        <f t="shared" si="52"/>
        <v>73</v>
      </c>
      <c r="G248">
        <f>IF(C248&gt;=$L$2,0,VLOOKUP($E248,'Mortality Table'!$A$3:$C$128,2+H$2,FALSE))</f>
        <v>0</v>
      </c>
      <c r="H248">
        <f>IF(C248&gt;=$L$2,0,VLOOKUP($E248,'Mortality Table'!$A$3:$C$128,2+I$2,FALSE))</f>
        <v>0</v>
      </c>
      <c r="I248" s="17">
        <f>G248*Assumptions!$B$1</f>
        <v>0</v>
      </c>
      <c r="J248" s="17">
        <f>H248*Assumptions!$B$1</f>
        <v>0</v>
      </c>
      <c r="K248">
        <f t="shared" si="53"/>
        <v>0</v>
      </c>
      <c r="L248">
        <f t="shared" si="58"/>
        <v>0</v>
      </c>
      <c r="M248">
        <f>HLOOKUP(C248,Assumptions!$A$6:$J$7,2,TRUE)</f>
        <v>2.6499999999999999E-2</v>
      </c>
      <c r="N248" s="23">
        <f t="shared" si="48"/>
        <v>0</v>
      </c>
      <c r="O248" s="23">
        <f t="shared" si="54"/>
        <v>0</v>
      </c>
      <c r="P248">
        <f t="shared" si="59"/>
        <v>0</v>
      </c>
      <c r="Q248" s="23">
        <f t="shared" si="55"/>
        <v>0</v>
      </c>
      <c r="R248">
        <f>Q247*Assumptions!$B$11/$E$2*N248</f>
        <v>0</v>
      </c>
      <c r="S248">
        <f>Q247*Assumptions!$B$13/$E$2*N248</f>
        <v>0</v>
      </c>
      <c r="T248">
        <f>L248*Assumptions!$B$15</f>
        <v>0</v>
      </c>
      <c r="U248">
        <f>S248*Assumptions!$B$17</f>
        <v>0</v>
      </c>
      <c r="V248">
        <f>HLOOKUP(B248,Assumptions!$A$26:$D$27,2,TRUE)</f>
        <v>0</v>
      </c>
      <c r="W248">
        <f t="shared" si="60"/>
        <v>0</v>
      </c>
      <c r="X248">
        <f t="shared" si="61"/>
        <v>0.33333333333333215</v>
      </c>
      <c r="Y248">
        <f>IF(B248&gt;$M$2,0,IF(X249=0,0,(1-X249)*Assumptions!$B$11/$E$2*(1-Assumptions!$B$30)))</f>
        <v>0</v>
      </c>
      <c r="Z248">
        <f>(R248-S248)*(1-Assumptions!$B$30)-U248+Y247*Q247</f>
        <v>0</v>
      </c>
      <c r="AA248">
        <f>AA247*(1+Assumptions!$B$36)^(1/12)</f>
        <v>1.2171584884784412</v>
      </c>
      <c r="AB248" s="20">
        <f>IF(B248&gt;$M$2,0,AA247*Assumptions!$B$32/12*Q247+Z248*Assumptions!$B$34/12)</f>
        <v>0</v>
      </c>
      <c r="AC248" s="21">
        <f>1/(1+HLOOKUP(YEAR(A248),Assumptions!$A$41:$AL$43,3,TRUE))^(1/12)</f>
        <v>0.99812871135708459</v>
      </c>
      <c r="AD248">
        <f t="shared" si="56"/>
        <v>0</v>
      </c>
      <c r="AE248">
        <f t="shared" si="62"/>
        <v>0</v>
      </c>
    </row>
    <row r="249" spans="1:31" x14ac:dyDescent="0.2">
      <c r="A249" s="2">
        <f t="shared" si="63"/>
        <v>50344</v>
      </c>
      <c r="B249">
        <f t="shared" si="57"/>
        <v>318</v>
      </c>
      <c r="C249">
        <f t="shared" si="49"/>
        <v>26.416666666666668</v>
      </c>
      <c r="D249">
        <f t="shared" si="50"/>
        <v>0</v>
      </c>
      <c r="E249">
        <f t="shared" si="51"/>
        <v>81</v>
      </c>
      <c r="F249">
        <f t="shared" si="52"/>
        <v>73</v>
      </c>
      <c r="G249">
        <f>IF(C249&gt;=$L$2,0,VLOOKUP($E249,'Mortality Table'!$A$3:$C$128,2+H$2,FALSE))</f>
        <v>0</v>
      </c>
      <c r="H249">
        <f>IF(C249&gt;=$L$2,0,VLOOKUP($E249,'Mortality Table'!$A$3:$C$128,2+I$2,FALSE))</f>
        <v>0</v>
      </c>
      <c r="I249" s="17">
        <f>G249*Assumptions!$B$1</f>
        <v>0</v>
      </c>
      <c r="J249" s="17">
        <f>H249*Assumptions!$B$1</f>
        <v>0</v>
      </c>
      <c r="K249">
        <f t="shared" si="53"/>
        <v>0</v>
      </c>
      <c r="L249">
        <f t="shared" si="58"/>
        <v>0</v>
      </c>
      <c r="M249">
        <f>HLOOKUP(C249,Assumptions!$A$6:$J$7,2,TRUE)</f>
        <v>2.6499999999999999E-2</v>
      </c>
      <c r="N249" s="23">
        <f t="shared" si="48"/>
        <v>0</v>
      </c>
      <c r="O249" s="23">
        <f t="shared" si="54"/>
        <v>0</v>
      </c>
      <c r="P249">
        <f t="shared" si="59"/>
        <v>0</v>
      </c>
      <c r="Q249" s="23">
        <f t="shared" si="55"/>
        <v>0</v>
      </c>
      <c r="R249">
        <f>Q248*Assumptions!$B$11/$E$2*N249</f>
        <v>0</v>
      </c>
      <c r="S249">
        <f>Q248*Assumptions!$B$13/$E$2*N249</f>
        <v>0</v>
      </c>
      <c r="T249">
        <f>L249*Assumptions!$B$15</f>
        <v>0</v>
      </c>
      <c r="U249">
        <f>S249*Assumptions!$B$17</f>
        <v>0</v>
      </c>
      <c r="V249">
        <f>HLOOKUP(B249,Assumptions!$A$26:$D$27,2,TRUE)</f>
        <v>0</v>
      </c>
      <c r="W249">
        <f t="shared" si="60"/>
        <v>0</v>
      </c>
      <c r="X249">
        <f t="shared" si="61"/>
        <v>0.41666666666666785</v>
      </c>
      <c r="Y249">
        <f>IF(B249&gt;$M$2,0,IF(X250=0,0,(1-X250)*Assumptions!$B$11/$E$2*(1-Assumptions!$B$30)))</f>
        <v>0</v>
      </c>
      <c r="Z249">
        <f>(R249-S249)*(1-Assumptions!$B$30)-U249+Y248*Q248</f>
        <v>0</v>
      </c>
      <c r="AA249">
        <f>AA248*(1+Assumptions!$B$36)^(1/12)</f>
        <v>1.218168167835834</v>
      </c>
      <c r="AB249" s="20">
        <f>IF(B249&gt;$M$2,0,AA248*Assumptions!$B$32/12*Q248+Z249*Assumptions!$B$34/12)</f>
        <v>0</v>
      </c>
      <c r="AC249" s="21">
        <f>1/(1+HLOOKUP(YEAR(A249),Assumptions!$A$41:$AL$43,3,TRUE))^(1/12)</f>
        <v>0.99812871135708459</v>
      </c>
      <c r="AD249">
        <f t="shared" si="56"/>
        <v>0</v>
      </c>
      <c r="AE249">
        <f t="shared" si="62"/>
        <v>0</v>
      </c>
    </row>
    <row r="250" spans="1:31" x14ac:dyDescent="0.2">
      <c r="A250" s="2">
        <f t="shared" si="63"/>
        <v>50374</v>
      </c>
      <c r="B250">
        <f t="shared" si="57"/>
        <v>319</v>
      </c>
      <c r="C250">
        <f t="shared" si="49"/>
        <v>26.5</v>
      </c>
      <c r="D250">
        <f t="shared" si="50"/>
        <v>0</v>
      </c>
      <c r="E250">
        <f t="shared" si="51"/>
        <v>81</v>
      </c>
      <c r="F250">
        <f t="shared" si="52"/>
        <v>73</v>
      </c>
      <c r="G250">
        <f>IF(C250&gt;=$L$2,0,VLOOKUP($E250,'Mortality Table'!$A$3:$C$128,2+H$2,FALSE))</f>
        <v>0</v>
      </c>
      <c r="H250">
        <f>IF(C250&gt;=$L$2,0,VLOOKUP($E250,'Mortality Table'!$A$3:$C$128,2+I$2,FALSE))</f>
        <v>0</v>
      </c>
      <c r="I250" s="17">
        <f>G250*Assumptions!$B$1</f>
        <v>0</v>
      </c>
      <c r="J250" s="17">
        <f>H250*Assumptions!$B$1</f>
        <v>0</v>
      </c>
      <c r="K250">
        <f t="shared" si="53"/>
        <v>0</v>
      </c>
      <c r="L250">
        <f t="shared" si="58"/>
        <v>0</v>
      </c>
      <c r="M250">
        <f>HLOOKUP(C250,Assumptions!$A$6:$J$7,2,TRUE)</f>
        <v>2.6499999999999999E-2</v>
      </c>
      <c r="N250" s="23">
        <f t="shared" si="48"/>
        <v>0</v>
      </c>
      <c r="O250" s="23">
        <f t="shared" si="54"/>
        <v>0</v>
      </c>
      <c r="P250">
        <f t="shared" si="59"/>
        <v>0</v>
      </c>
      <c r="Q250" s="23">
        <f t="shared" si="55"/>
        <v>0</v>
      </c>
      <c r="R250">
        <f>Q249*Assumptions!$B$11/$E$2*N250</f>
        <v>0</v>
      </c>
      <c r="S250">
        <f>Q249*Assumptions!$B$13/$E$2*N250</f>
        <v>0</v>
      </c>
      <c r="T250">
        <f>L250*Assumptions!$B$15</f>
        <v>0</v>
      </c>
      <c r="U250">
        <f>S250*Assumptions!$B$17</f>
        <v>0</v>
      </c>
      <c r="V250">
        <f>HLOOKUP(B250,Assumptions!$A$26:$D$27,2,TRUE)</f>
        <v>0</v>
      </c>
      <c r="W250">
        <f t="shared" si="60"/>
        <v>0</v>
      </c>
      <c r="X250">
        <f t="shared" si="61"/>
        <v>0.5</v>
      </c>
      <c r="Y250">
        <f>IF(B250&gt;$M$2,0,IF(X251=0,0,(1-X251)*Assumptions!$B$11/$E$2*(1-Assumptions!$B$30)))</f>
        <v>0</v>
      </c>
      <c r="Z250">
        <f>(R250-S250)*(1-Assumptions!$B$30)-U250+Y249*Q249</f>
        <v>0</v>
      </c>
      <c r="AA250">
        <f>AA249*(1+Assumptions!$B$36)^(1/12)</f>
        <v>1.2191786847607371</v>
      </c>
      <c r="AB250" s="20">
        <f>IF(B250&gt;$M$2,0,AA249*Assumptions!$B$32/12*Q249+Z250*Assumptions!$B$34/12)</f>
        <v>0</v>
      </c>
      <c r="AC250" s="21">
        <f>1/(1+HLOOKUP(YEAR(A250),Assumptions!$A$41:$AL$43,3,TRUE))^(1/12)</f>
        <v>0.99812871135708459</v>
      </c>
      <c r="AD250">
        <f t="shared" si="56"/>
        <v>0</v>
      </c>
      <c r="AE250">
        <f t="shared" si="62"/>
        <v>0</v>
      </c>
    </row>
    <row r="251" spans="1:31" x14ac:dyDescent="0.2">
      <c r="A251" s="2">
        <f t="shared" si="63"/>
        <v>50405</v>
      </c>
      <c r="B251">
        <f t="shared" si="57"/>
        <v>320</v>
      </c>
      <c r="C251">
        <f t="shared" si="49"/>
        <v>26.583333333333332</v>
      </c>
      <c r="D251">
        <f t="shared" si="50"/>
        <v>0</v>
      </c>
      <c r="E251">
        <f t="shared" si="51"/>
        <v>81</v>
      </c>
      <c r="F251">
        <f t="shared" si="52"/>
        <v>73</v>
      </c>
      <c r="G251">
        <f>IF(C251&gt;=$L$2,0,VLOOKUP($E251,'Mortality Table'!$A$3:$C$128,2+H$2,FALSE))</f>
        <v>0</v>
      </c>
      <c r="H251">
        <f>IF(C251&gt;=$L$2,0,VLOOKUP($E251,'Mortality Table'!$A$3:$C$128,2+I$2,FALSE))</f>
        <v>0</v>
      </c>
      <c r="I251" s="17">
        <f>G251*Assumptions!$B$1</f>
        <v>0</v>
      </c>
      <c r="J251" s="17">
        <f>H251*Assumptions!$B$1</f>
        <v>0</v>
      </c>
      <c r="K251">
        <f t="shared" si="53"/>
        <v>0</v>
      </c>
      <c r="L251">
        <f t="shared" si="58"/>
        <v>0</v>
      </c>
      <c r="M251">
        <f>HLOOKUP(C251,Assumptions!$A$6:$J$7,2,TRUE)</f>
        <v>2.6499999999999999E-2</v>
      </c>
      <c r="N251" s="23">
        <f t="shared" si="48"/>
        <v>0</v>
      </c>
      <c r="O251" s="23">
        <f t="shared" si="54"/>
        <v>0</v>
      </c>
      <c r="P251">
        <f t="shared" si="59"/>
        <v>0</v>
      </c>
      <c r="Q251" s="23">
        <f t="shared" si="55"/>
        <v>0</v>
      </c>
      <c r="R251">
        <f>Q250*Assumptions!$B$11/$E$2*N251</f>
        <v>0</v>
      </c>
      <c r="S251">
        <f>Q250*Assumptions!$B$13/$E$2*N251</f>
        <v>0</v>
      </c>
      <c r="T251">
        <f>L251*Assumptions!$B$15</f>
        <v>0</v>
      </c>
      <c r="U251">
        <f>S251*Assumptions!$B$17</f>
        <v>0</v>
      </c>
      <c r="V251">
        <f>HLOOKUP(B251,Assumptions!$A$26:$D$27,2,TRUE)</f>
        <v>0</v>
      </c>
      <c r="W251">
        <f t="shared" si="60"/>
        <v>0</v>
      </c>
      <c r="X251">
        <f t="shared" si="61"/>
        <v>0.58333333333333215</v>
      </c>
      <c r="Y251">
        <f>IF(B251&gt;$M$2,0,IF(X252=0,0,(1-X252)*Assumptions!$B$11/$E$2*(1-Assumptions!$B$30)))</f>
        <v>0</v>
      </c>
      <c r="Z251">
        <f>(R251-S251)*(1-Assumptions!$B$30)-U251+Y250*Q250</f>
        <v>0</v>
      </c>
      <c r="AA251">
        <f>AA250*(1+Assumptions!$B$36)^(1/12)</f>
        <v>1.2201900399479446</v>
      </c>
      <c r="AB251" s="20">
        <f>IF(B251&gt;$M$2,0,AA250*Assumptions!$B$32/12*Q250+Z251*Assumptions!$B$34/12)</f>
        <v>0</v>
      </c>
      <c r="AC251" s="21">
        <f>1/(1+HLOOKUP(YEAR(A251),Assumptions!$A$41:$AL$43,3,TRUE))^(1/12)</f>
        <v>0.99812871135708459</v>
      </c>
      <c r="AD251">
        <f t="shared" si="56"/>
        <v>0</v>
      </c>
      <c r="AE251">
        <f t="shared" si="62"/>
        <v>0</v>
      </c>
    </row>
    <row r="252" spans="1:31" x14ac:dyDescent="0.2">
      <c r="A252" s="2">
        <f t="shared" si="63"/>
        <v>50436</v>
      </c>
      <c r="B252">
        <f t="shared" si="57"/>
        <v>321</v>
      </c>
      <c r="C252">
        <f t="shared" si="49"/>
        <v>26.666666666666668</v>
      </c>
      <c r="D252">
        <f t="shared" si="50"/>
        <v>0</v>
      </c>
      <c r="E252">
        <f t="shared" si="51"/>
        <v>81</v>
      </c>
      <c r="F252">
        <f t="shared" si="52"/>
        <v>73</v>
      </c>
      <c r="G252">
        <f>IF(C252&gt;=$L$2,0,VLOOKUP($E252,'Mortality Table'!$A$3:$C$128,2+H$2,FALSE))</f>
        <v>0</v>
      </c>
      <c r="H252">
        <f>IF(C252&gt;=$L$2,0,VLOOKUP($E252,'Mortality Table'!$A$3:$C$128,2+I$2,FALSE))</f>
        <v>0</v>
      </c>
      <c r="I252" s="17">
        <f>G252*Assumptions!$B$1</f>
        <v>0</v>
      </c>
      <c r="J252" s="17">
        <f>H252*Assumptions!$B$1</f>
        <v>0</v>
      </c>
      <c r="K252">
        <f t="shared" si="53"/>
        <v>0</v>
      </c>
      <c r="L252">
        <f t="shared" si="58"/>
        <v>0</v>
      </c>
      <c r="M252">
        <f>HLOOKUP(C252,Assumptions!$A$6:$J$7,2,TRUE)</f>
        <v>2.6499999999999999E-2</v>
      </c>
      <c r="N252" s="23">
        <f t="shared" si="48"/>
        <v>0</v>
      </c>
      <c r="O252" s="23">
        <f t="shared" si="54"/>
        <v>0</v>
      </c>
      <c r="P252">
        <f t="shared" si="59"/>
        <v>0</v>
      </c>
      <c r="Q252" s="23">
        <f t="shared" si="55"/>
        <v>0</v>
      </c>
      <c r="R252">
        <f>Q251*Assumptions!$B$11/$E$2*N252</f>
        <v>0</v>
      </c>
      <c r="S252">
        <f>Q251*Assumptions!$B$13/$E$2*N252</f>
        <v>0</v>
      </c>
      <c r="T252">
        <f>L252*Assumptions!$B$15</f>
        <v>0</v>
      </c>
      <c r="U252">
        <f>S252*Assumptions!$B$17</f>
        <v>0</v>
      </c>
      <c r="V252">
        <f>HLOOKUP(B252,Assumptions!$A$26:$D$27,2,TRUE)</f>
        <v>0</v>
      </c>
      <c r="W252">
        <f t="shared" si="60"/>
        <v>0</v>
      </c>
      <c r="X252">
        <f t="shared" si="61"/>
        <v>0.66666666666666785</v>
      </c>
      <c r="Y252">
        <f>IF(B252&gt;$M$2,0,IF(X253=0,0,(1-X253)*Assumptions!$B$11/$E$2*(1-Assumptions!$B$30)))</f>
        <v>0</v>
      </c>
      <c r="Z252">
        <f>(R252-S252)*(1-Assumptions!$B$30)-U252+Y251*Q251</f>
        <v>0</v>
      </c>
      <c r="AA252">
        <f>AA251*(1+Assumptions!$B$36)^(1/12)</f>
        <v>1.221202234092827</v>
      </c>
      <c r="AB252" s="20">
        <f>IF(B252&gt;$M$2,0,AA251*Assumptions!$B$32/12*Q251+Z252*Assumptions!$B$34/12)</f>
        <v>0</v>
      </c>
      <c r="AC252" s="21">
        <f>1/(1+HLOOKUP(YEAR(A252),Assumptions!$A$41:$AL$43,3,TRUE))^(1/12)</f>
        <v>0.99804628830341602</v>
      </c>
      <c r="AD252">
        <f t="shared" si="56"/>
        <v>0</v>
      </c>
      <c r="AE252">
        <f t="shared" si="62"/>
        <v>0</v>
      </c>
    </row>
    <row r="253" spans="1:31" x14ac:dyDescent="0.2">
      <c r="A253" s="2">
        <f t="shared" si="63"/>
        <v>50464</v>
      </c>
      <c r="B253">
        <f t="shared" si="57"/>
        <v>322</v>
      </c>
      <c r="C253">
        <f t="shared" si="49"/>
        <v>26.75</v>
      </c>
      <c r="D253">
        <f t="shared" si="50"/>
        <v>0</v>
      </c>
      <c r="E253">
        <f t="shared" si="51"/>
        <v>81</v>
      </c>
      <c r="F253">
        <f t="shared" si="52"/>
        <v>73</v>
      </c>
      <c r="G253">
        <f>IF(C253&gt;=$L$2,0,VLOOKUP($E253,'Mortality Table'!$A$3:$C$128,2+H$2,FALSE))</f>
        <v>0</v>
      </c>
      <c r="H253">
        <f>IF(C253&gt;=$L$2,0,VLOOKUP($E253,'Mortality Table'!$A$3:$C$128,2+I$2,FALSE))</f>
        <v>0</v>
      </c>
      <c r="I253" s="17">
        <f>G253*Assumptions!$B$1</f>
        <v>0</v>
      </c>
      <c r="J253" s="17">
        <f>H253*Assumptions!$B$1</f>
        <v>0</v>
      </c>
      <c r="K253">
        <f t="shared" si="53"/>
        <v>0</v>
      </c>
      <c r="L253">
        <f t="shared" si="58"/>
        <v>0</v>
      </c>
      <c r="M253">
        <f>HLOOKUP(C253,Assumptions!$A$6:$J$7,2,TRUE)</f>
        <v>2.6499999999999999E-2</v>
      </c>
      <c r="N253" s="23">
        <f t="shared" si="48"/>
        <v>0</v>
      </c>
      <c r="O253" s="23">
        <f t="shared" si="54"/>
        <v>0</v>
      </c>
      <c r="P253">
        <f t="shared" si="59"/>
        <v>0</v>
      </c>
      <c r="Q253" s="23">
        <f t="shared" si="55"/>
        <v>0</v>
      </c>
      <c r="R253">
        <f>Q252*Assumptions!$B$11/$E$2*N253</f>
        <v>0</v>
      </c>
      <c r="S253">
        <f>Q252*Assumptions!$B$13/$E$2*N253</f>
        <v>0</v>
      </c>
      <c r="T253">
        <f>L253*Assumptions!$B$15</f>
        <v>0</v>
      </c>
      <c r="U253">
        <f>S253*Assumptions!$B$17</f>
        <v>0</v>
      </c>
      <c r="V253">
        <f>HLOOKUP(B253,Assumptions!$A$26:$D$27,2,TRUE)</f>
        <v>0</v>
      </c>
      <c r="W253">
        <f t="shared" si="60"/>
        <v>0</v>
      </c>
      <c r="X253">
        <f t="shared" si="61"/>
        <v>0.75</v>
      </c>
      <c r="Y253">
        <f>IF(B253&gt;$M$2,0,IF(X254=0,0,(1-X254)*Assumptions!$B$11/$E$2*(1-Assumptions!$B$30)))</f>
        <v>0</v>
      </c>
      <c r="Z253">
        <f>(R253-S253)*(1-Assumptions!$B$30)-U253+Y252*Q252</f>
        <v>0</v>
      </c>
      <c r="AA253">
        <f>AA252*(1+Assumptions!$B$36)^(1/12)</f>
        <v>1.2222152678913316</v>
      </c>
      <c r="AB253" s="20">
        <f>IF(B253&gt;$M$2,0,AA252*Assumptions!$B$32/12*Q252+Z253*Assumptions!$B$34/12)</f>
        <v>0</v>
      </c>
      <c r="AC253" s="21">
        <f>1/(1+HLOOKUP(YEAR(A253),Assumptions!$A$41:$AL$43,3,TRUE))^(1/12)</f>
        <v>0.99804628830341602</v>
      </c>
      <c r="AD253">
        <f t="shared" si="56"/>
        <v>0</v>
      </c>
      <c r="AE253">
        <f t="shared" si="62"/>
        <v>0</v>
      </c>
    </row>
    <row r="254" spans="1:31" x14ac:dyDescent="0.2">
      <c r="A254" s="2">
        <f t="shared" si="63"/>
        <v>50495</v>
      </c>
      <c r="B254">
        <f t="shared" si="57"/>
        <v>323</v>
      </c>
      <c r="C254">
        <f t="shared" si="49"/>
        <v>26.833333333333332</v>
      </c>
      <c r="D254">
        <f t="shared" si="50"/>
        <v>0</v>
      </c>
      <c r="E254">
        <f t="shared" si="51"/>
        <v>81</v>
      </c>
      <c r="F254">
        <f t="shared" si="52"/>
        <v>73</v>
      </c>
      <c r="G254">
        <f>IF(C254&gt;=$L$2,0,VLOOKUP($E254,'Mortality Table'!$A$3:$C$128,2+H$2,FALSE))</f>
        <v>0</v>
      </c>
      <c r="H254">
        <f>IF(C254&gt;=$L$2,0,VLOOKUP($E254,'Mortality Table'!$A$3:$C$128,2+I$2,FALSE))</f>
        <v>0</v>
      </c>
      <c r="I254" s="17">
        <f>G254*Assumptions!$B$1</f>
        <v>0</v>
      </c>
      <c r="J254" s="17">
        <f>H254*Assumptions!$B$1</f>
        <v>0</v>
      </c>
      <c r="K254">
        <f t="shared" si="53"/>
        <v>0</v>
      </c>
      <c r="L254">
        <f t="shared" si="58"/>
        <v>0</v>
      </c>
      <c r="M254">
        <f>HLOOKUP(C254,Assumptions!$A$6:$J$7,2,TRUE)</f>
        <v>2.6499999999999999E-2</v>
      </c>
      <c r="N254" s="23">
        <f t="shared" si="48"/>
        <v>0</v>
      </c>
      <c r="O254" s="23">
        <f t="shared" si="54"/>
        <v>0</v>
      </c>
      <c r="P254">
        <f t="shared" si="59"/>
        <v>0</v>
      </c>
      <c r="Q254" s="23">
        <f t="shared" si="55"/>
        <v>0</v>
      </c>
      <c r="R254">
        <f>Q253*Assumptions!$B$11/$E$2*N254</f>
        <v>0</v>
      </c>
      <c r="S254">
        <f>Q253*Assumptions!$B$13/$E$2*N254</f>
        <v>0</v>
      </c>
      <c r="T254">
        <f>L254*Assumptions!$B$15</f>
        <v>0</v>
      </c>
      <c r="U254">
        <f>S254*Assumptions!$B$17</f>
        <v>0</v>
      </c>
      <c r="V254">
        <f>HLOOKUP(B254,Assumptions!$A$26:$D$27,2,TRUE)</f>
        <v>0</v>
      </c>
      <c r="W254">
        <f t="shared" si="60"/>
        <v>0</v>
      </c>
      <c r="X254">
        <f t="shared" si="61"/>
        <v>0.83333333333333215</v>
      </c>
      <c r="Y254">
        <f>IF(B254&gt;$M$2,0,IF(X255=0,0,(1-X255)*Assumptions!$B$11/$E$2*(1-Assumptions!$B$30)))</f>
        <v>0</v>
      </c>
      <c r="Z254">
        <f>(R254-S254)*(1-Assumptions!$B$30)-U254+Y253*Q253</f>
        <v>0</v>
      </c>
      <c r="AA254">
        <f>AA253*(1+Assumptions!$B$36)^(1/12)</f>
        <v>1.2232291420399832</v>
      </c>
      <c r="AB254" s="20">
        <f>IF(B254&gt;$M$2,0,AA253*Assumptions!$B$32/12*Q253+Z254*Assumptions!$B$34/12)</f>
        <v>0</v>
      </c>
      <c r="AC254" s="21">
        <f>1/(1+HLOOKUP(YEAR(A254),Assumptions!$A$41:$AL$43,3,TRUE))^(1/12)</f>
        <v>0.99804628830341602</v>
      </c>
      <c r="AD254">
        <f t="shared" si="56"/>
        <v>0</v>
      </c>
      <c r="AE254">
        <f t="shared" si="62"/>
        <v>0</v>
      </c>
    </row>
    <row r="255" spans="1:31" x14ac:dyDescent="0.2">
      <c r="A255" s="2">
        <f t="shared" si="63"/>
        <v>50525</v>
      </c>
      <c r="B255">
        <f t="shared" si="57"/>
        <v>324</v>
      </c>
      <c r="C255">
        <f t="shared" si="49"/>
        <v>26.916666666666668</v>
      </c>
      <c r="D255">
        <f t="shared" si="50"/>
        <v>0</v>
      </c>
      <c r="E255">
        <f t="shared" si="51"/>
        <v>81</v>
      </c>
      <c r="F255">
        <f t="shared" si="52"/>
        <v>73</v>
      </c>
      <c r="G255">
        <f>IF(C255&gt;=$L$2,0,VLOOKUP($E255,'Mortality Table'!$A$3:$C$128,2+H$2,FALSE))</f>
        <v>0</v>
      </c>
      <c r="H255">
        <f>IF(C255&gt;=$L$2,0,VLOOKUP($E255,'Mortality Table'!$A$3:$C$128,2+I$2,FALSE))</f>
        <v>0</v>
      </c>
      <c r="I255" s="17">
        <f>G255*Assumptions!$B$1</f>
        <v>0</v>
      </c>
      <c r="J255" s="17">
        <f>H255*Assumptions!$B$1</f>
        <v>0</v>
      </c>
      <c r="K255">
        <f t="shared" si="53"/>
        <v>0</v>
      </c>
      <c r="L255">
        <f t="shared" si="58"/>
        <v>0</v>
      </c>
      <c r="M255">
        <f>HLOOKUP(C255,Assumptions!$A$6:$J$7,2,TRUE)</f>
        <v>2.6499999999999999E-2</v>
      </c>
      <c r="N255" s="23">
        <f t="shared" si="48"/>
        <v>0</v>
      </c>
      <c r="O255" s="23">
        <f t="shared" si="54"/>
        <v>0</v>
      </c>
      <c r="P255">
        <f t="shared" si="59"/>
        <v>0</v>
      </c>
      <c r="Q255" s="23">
        <f t="shared" si="55"/>
        <v>0</v>
      </c>
      <c r="R255">
        <f>Q254*Assumptions!$B$11/$E$2*N255</f>
        <v>0</v>
      </c>
      <c r="S255">
        <f>Q254*Assumptions!$B$13/$E$2*N255</f>
        <v>0</v>
      </c>
      <c r="T255">
        <f>L255*Assumptions!$B$15</f>
        <v>0</v>
      </c>
      <c r="U255">
        <f>S255*Assumptions!$B$17</f>
        <v>0</v>
      </c>
      <c r="V255">
        <f>HLOOKUP(B255,Assumptions!$A$26:$D$27,2,TRUE)</f>
        <v>0</v>
      </c>
      <c r="W255">
        <f t="shared" si="60"/>
        <v>0</v>
      </c>
      <c r="X255">
        <f t="shared" si="61"/>
        <v>0.91666666666666785</v>
      </c>
      <c r="Y255">
        <f>IF(B255&gt;$M$2,0,IF(X256=0,0,(1-X256)*Assumptions!$B$11/$E$2*(1-Assumptions!$B$30)))</f>
        <v>0</v>
      </c>
      <c r="Z255">
        <f>(R255-S255)*(1-Assumptions!$B$30)-U255+Y254*Q254</f>
        <v>0</v>
      </c>
      <c r="AA255">
        <f>AA254*(1+Assumptions!$B$36)^(1/12)</f>
        <v>1.2242438572358842</v>
      </c>
      <c r="AB255" s="20">
        <f>IF(B255&gt;$M$2,0,AA254*Assumptions!$B$32/12*Q254+Z255*Assumptions!$B$34/12)</f>
        <v>0</v>
      </c>
      <c r="AC255" s="21">
        <f>1/(1+HLOOKUP(YEAR(A255),Assumptions!$A$41:$AL$43,3,TRUE))^(1/12)</f>
        <v>0.99804628830341602</v>
      </c>
      <c r="AD255">
        <f t="shared" si="56"/>
        <v>0</v>
      </c>
      <c r="AE255">
        <f t="shared" si="62"/>
        <v>0</v>
      </c>
    </row>
    <row r="256" spans="1:31" x14ac:dyDescent="0.2">
      <c r="A256" s="2">
        <f t="shared" si="63"/>
        <v>50556</v>
      </c>
      <c r="B256">
        <f t="shared" si="57"/>
        <v>325</v>
      </c>
      <c r="C256">
        <f t="shared" si="49"/>
        <v>27</v>
      </c>
      <c r="D256">
        <f t="shared" si="50"/>
        <v>1</v>
      </c>
      <c r="E256">
        <f t="shared" si="51"/>
        <v>82</v>
      </c>
      <c r="F256">
        <f t="shared" si="52"/>
        <v>74</v>
      </c>
      <c r="G256">
        <f>IF(C256&gt;=$L$2,0,VLOOKUP($E256,'Mortality Table'!$A$3:$C$128,2+H$2,FALSE))</f>
        <v>0</v>
      </c>
      <c r="H256">
        <f>IF(C256&gt;=$L$2,0,VLOOKUP($E256,'Mortality Table'!$A$3:$C$128,2+I$2,FALSE))</f>
        <v>0</v>
      </c>
      <c r="I256" s="17">
        <f>G256*Assumptions!$B$1</f>
        <v>0</v>
      </c>
      <c r="J256" s="17">
        <f>H256*Assumptions!$B$1</f>
        <v>0</v>
      </c>
      <c r="K256">
        <f t="shared" si="53"/>
        <v>0</v>
      </c>
      <c r="L256">
        <f t="shared" si="58"/>
        <v>0</v>
      </c>
      <c r="M256">
        <f>HLOOKUP(C256,Assumptions!$A$6:$J$7,2,TRUE)</f>
        <v>2.6499999999999999E-2</v>
      </c>
      <c r="N256" s="23">
        <f t="shared" si="48"/>
        <v>0</v>
      </c>
      <c r="O256" s="23">
        <f t="shared" si="54"/>
        <v>0</v>
      </c>
      <c r="P256">
        <f t="shared" si="59"/>
        <v>0</v>
      </c>
      <c r="Q256" s="23">
        <f t="shared" si="55"/>
        <v>0</v>
      </c>
      <c r="R256">
        <f>Q255*Assumptions!$B$11/$E$2*N256</f>
        <v>0</v>
      </c>
      <c r="S256">
        <f>Q255*Assumptions!$B$13/$E$2*N256</f>
        <v>0</v>
      </c>
      <c r="T256">
        <f>L256*Assumptions!$B$15</f>
        <v>0</v>
      </c>
      <c r="U256">
        <f>S256*Assumptions!$B$17</f>
        <v>0</v>
      </c>
      <c r="V256">
        <f>HLOOKUP(B256,Assumptions!$A$26:$D$27,2,TRUE)</f>
        <v>0</v>
      </c>
      <c r="W256">
        <f t="shared" si="60"/>
        <v>0</v>
      </c>
      <c r="X256">
        <f t="shared" si="61"/>
        <v>0</v>
      </c>
      <c r="Y256">
        <f>IF(B256&gt;$M$2,0,IF(X257=0,0,(1-X257)*Assumptions!$B$11/$E$2*(1-Assumptions!$B$30)))</f>
        <v>0</v>
      </c>
      <c r="Z256">
        <f>(R256-S256)*(1-Assumptions!$B$30)-U256+Y255*Q255</f>
        <v>0</v>
      </c>
      <c r="AA256">
        <f>AA255*(1+Assumptions!$B$36)^(1/12)</f>
        <v>1.2252594141767155</v>
      </c>
      <c r="AB256" s="20">
        <f>IF(B256&gt;$M$2,0,AA255*Assumptions!$B$32/12*Q255+Z256*Assumptions!$B$34/12)</f>
        <v>0</v>
      </c>
      <c r="AC256" s="21">
        <f>1/(1+HLOOKUP(YEAR(A256),Assumptions!$A$41:$AL$43,3,TRUE))^(1/12)</f>
        <v>0.99804628830341602</v>
      </c>
      <c r="AD256">
        <f t="shared" si="56"/>
        <v>0</v>
      </c>
      <c r="AE256">
        <f t="shared" si="62"/>
        <v>0</v>
      </c>
    </row>
    <row r="257" spans="1:31" x14ac:dyDescent="0.2">
      <c r="A257" s="2">
        <f t="shared" si="63"/>
        <v>50586</v>
      </c>
      <c r="B257">
        <f t="shared" si="57"/>
        <v>326</v>
      </c>
      <c r="C257">
        <f t="shared" si="49"/>
        <v>27.083333333333332</v>
      </c>
      <c r="D257">
        <f t="shared" si="50"/>
        <v>0</v>
      </c>
      <c r="E257">
        <f t="shared" si="51"/>
        <v>82</v>
      </c>
      <c r="F257">
        <f t="shared" si="52"/>
        <v>74</v>
      </c>
      <c r="G257">
        <f>IF(C257&gt;=$L$2,0,VLOOKUP($E257,'Mortality Table'!$A$3:$C$128,2+H$2,FALSE))</f>
        <v>0</v>
      </c>
      <c r="H257">
        <f>IF(C257&gt;=$L$2,0,VLOOKUP($E257,'Mortality Table'!$A$3:$C$128,2+I$2,FALSE))</f>
        <v>0</v>
      </c>
      <c r="I257" s="17">
        <f>G257*Assumptions!$B$1</f>
        <v>0</v>
      </c>
      <c r="J257" s="17">
        <f>H257*Assumptions!$B$1</f>
        <v>0</v>
      </c>
      <c r="K257">
        <f t="shared" si="53"/>
        <v>0</v>
      </c>
      <c r="L257">
        <f t="shared" si="58"/>
        <v>0</v>
      </c>
      <c r="M257">
        <f>HLOOKUP(C257,Assumptions!$A$6:$J$7,2,TRUE)</f>
        <v>2.6499999999999999E-2</v>
      </c>
      <c r="N257" s="23">
        <f t="shared" si="48"/>
        <v>0</v>
      </c>
      <c r="O257" s="23">
        <f t="shared" si="54"/>
        <v>0</v>
      </c>
      <c r="P257">
        <f t="shared" si="59"/>
        <v>0</v>
      </c>
      <c r="Q257" s="23">
        <f t="shared" si="55"/>
        <v>0</v>
      </c>
      <c r="R257">
        <f>Q256*Assumptions!$B$11/$E$2*N257</f>
        <v>0</v>
      </c>
      <c r="S257">
        <f>Q256*Assumptions!$B$13/$E$2*N257</f>
        <v>0</v>
      </c>
      <c r="T257">
        <f>L257*Assumptions!$B$15</f>
        <v>0</v>
      </c>
      <c r="U257">
        <f>S257*Assumptions!$B$17</f>
        <v>0</v>
      </c>
      <c r="V257">
        <f>HLOOKUP(B257,Assumptions!$A$26:$D$27,2,TRUE)</f>
        <v>0</v>
      </c>
      <c r="W257">
        <f t="shared" si="60"/>
        <v>0</v>
      </c>
      <c r="X257">
        <f t="shared" si="61"/>
        <v>8.3333333333332149E-2</v>
      </c>
      <c r="Y257">
        <f>IF(B257&gt;$M$2,0,IF(X258=0,0,(1-X258)*Assumptions!$B$11/$E$2*(1-Assumptions!$B$30)))</f>
        <v>0</v>
      </c>
      <c r="Z257">
        <f>(R257-S257)*(1-Assumptions!$B$30)-U257+Y256*Q256</f>
        <v>0</v>
      </c>
      <c r="AA257">
        <f>AA256*(1+Assumptions!$B$36)^(1/12)</f>
        <v>1.2262758135607366</v>
      </c>
      <c r="AB257" s="20">
        <f>IF(B257&gt;$M$2,0,AA256*Assumptions!$B$32/12*Q256+Z257*Assumptions!$B$34/12)</f>
        <v>0</v>
      </c>
      <c r="AC257" s="21">
        <f>1/(1+HLOOKUP(YEAR(A257),Assumptions!$A$41:$AL$43,3,TRUE))^(1/12)</f>
        <v>0.99804628830341602</v>
      </c>
      <c r="AD257">
        <f t="shared" si="56"/>
        <v>0</v>
      </c>
      <c r="AE257">
        <f t="shared" si="62"/>
        <v>0</v>
      </c>
    </row>
    <row r="258" spans="1:31" x14ac:dyDescent="0.2">
      <c r="A258" s="2">
        <f t="shared" si="63"/>
        <v>50617</v>
      </c>
      <c r="B258">
        <f t="shared" si="57"/>
        <v>327</v>
      </c>
      <c r="C258">
        <f t="shared" si="49"/>
        <v>27.166666666666668</v>
      </c>
      <c r="D258">
        <f t="shared" si="50"/>
        <v>0</v>
      </c>
      <c r="E258">
        <f t="shared" si="51"/>
        <v>82</v>
      </c>
      <c r="F258">
        <f t="shared" si="52"/>
        <v>74</v>
      </c>
      <c r="G258">
        <f>IF(C258&gt;=$L$2,0,VLOOKUP($E258,'Mortality Table'!$A$3:$C$128,2+H$2,FALSE))</f>
        <v>0</v>
      </c>
      <c r="H258">
        <f>IF(C258&gt;=$L$2,0,VLOOKUP($E258,'Mortality Table'!$A$3:$C$128,2+I$2,FALSE))</f>
        <v>0</v>
      </c>
      <c r="I258" s="17">
        <f>G258*Assumptions!$B$1</f>
        <v>0</v>
      </c>
      <c r="J258" s="17">
        <f>H258*Assumptions!$B$1</f>
        <v>0</v>
      </c>
      <c r="K258">
        <f t="shared" si="53"/>
        <v>0</v>
      </c>
      <c r="L258">
        <f t="shared" si="58"/>
        <v>0</v>
      </c>
      <c r="M258">
        <f>HLOOKUP(C258,Assumptions!$A$6:$J$7,2,TRUE)</f>
        <v>2.6499999999999999E-2</v>
      </c>
      <c r="N258" s="23">
        <f t="shared" si="48"/>
        <v>0</v>
      </c>
      <c r="O258" s="23">
        <f t="shared" si="54"/>
        <v>0</v>
      </c>
      <c r="P258">
        <f t="shared" si="59"/>
        <v>0</v>
      </c>
      <c r="Q258" s="23">
        <f t="shared" si="55"/>
        <v>0</v>
      </c>
      <c r="R258">
        <f>Q257*Assumptions!$B$11/$E$2*N258</f>
        <v>0</v>
      </c>
      <c r="S258">
        <f>Q257*Assumptions!$B$13/$E$2*N258</f>
        <v>0</v>
      </c>
      <c r="T258">
        <f>L258*Assumptions!$B$15</f>
        <v>0</v>
      </c>
      <c r="U258">
        <f>S258*Assumptions!$B$17</f>
        <v>0</v>
      </c>
      <c r="V258">
        <f>HLOOKUP(B258,Assumptions!$A$26:$D$27,2,TRUE)</f>
        <v>0</v>
      </c>
      <c r="W258">
        <f t="shared" si="60"/>
        <v>0</v>
      </c>
      <c r="X258">
        <f t="shared" si="61"/>
        <v>0.16666666666666785</v>
      </c>
      <c r="Y258">
        <f>IF(B258&gt;$M$2,0,IF(X259=0,0,(1-X259)*Assumptions!$B$11/$E$2*(1-Assumptions!$B$30)))</f>
        <v>0</v>
      </c>
      <c r="Z258">
        <f>(R258-S258)*(1-Assumptions!$B$30)-U258+Y257*Q257</f>
        <v>0</v>
      </c>
      <c r="AA258">
        <f>AA257*(1+Assumptions!$B$36)^(1/12)</f>
        <v>1.2272930560867861</v>
      </c>
      <c r="AB258" s="20">
        <f>IF(B258&gt;$M$2,0,AA257*Assumptions!$B$32/12*Q257+Z258*Assumptions!$B$34/12)</f>
        <v>0</v>
      </c>
      <c r="AC258" s="21">
        <f>1/(1+HLOOKUP(YEAR(A258),Assumptions!$A$41:$AL$43,3,TRUE))^(1/12)</f>
        <v>0.99804628830341602</v>
      </c>
      <c r="AD258">
        <f t="shared" si="56"/>
        <v>0</v>
      </c>
      <c r="AE258">
        <f t="shared" si="62"/>
        <v>0</v>
      </c>
    </row>
    <row r="259" spans="1:31" x14ac:dyDescent="0.2">
      <c r="A259" s="2">
        <f t="shared" si="63"/>
        <v>50648</v>
      </c>
      <c r="B259">
        <f t="shared" si="57"/>
        <v>328</v>
      </c>
      <c r="C259">
        <f t="shared" si="49"/>
        <v>27.25</v>
      </c>
      <c r="D259">
        <f t="shared" si="50"/>
        <v>0</v>
      </c>
      <c r="E259">
        <f t="shared" si="51"/>
        <v>82</v>
      </c>
      <c r="F259">
        <f t="shared" si="52"/>
        <v>74</v>
      </c>
      <c r="G259">
        <f>IF(C259&gt;=$L$2,0,VLOOKUP($E259,'Mortality Table'!$A$3:$C$128,2+H$2,FALSE))</f>
        <v>0</v>
      </c>
      <c r="H259">
        <f>IF(C259&gt;=$L$2,0,VLOOKUP($E259,'Mortality Table'!$A$3:$C$128,2+I$2,FALSE))</f>
        <v>0</v>
      </c>
      <c r="I259" s="17">
        <f>G259*Assumptions!$B$1</f>
        <v>0</v>
      </c>
      <c r="J259" s="17">
        <f>H259*Assumptions!$B$1</f>
        <v>0</v>
      </c>
      <c r="K259">
        <f t="shared" si="53"/>
        <v>0</v>
      </c>
      <c r="L259">
        <f t="shared" si="58"/>
        <v>0</v>
      </c>
      <c r="M259">
        <f>HLOOKUP(C259,Assumptions!$A$6:$J$7,2,TRUE)</f>
        <v>2.6499999999999999E-2</v>
      </c>
      <c r="N259" s="23">
        <f t="shared" si="48"/>
        <v>0</v>
      </c>
      <c r="O259" s="23">
        <f t="shared" si="54"/>
        <v>0</v>
      </c>
      <c r="P259">
        <f t="shared" si="59"/>
        <v>0</v>
      </c>
      <c r="Q259" s="23">
        <f t="shared" si="55"/>
        <v>0</v>
      </c>
      <c r="R259">
        <f>Q258*Assumptions!$B$11/$E$2*N259</f>
        <v>0</v>
      </c>
      <c r="S259">
        <f>Q258*Assumptions!$B$13/$E$2*N259</f>
        <v>0</v>
      </c>
      <c r="T259">
        <f>L259*Assumptions!$B$15</f>
        <v>0</v>
      </c>
      <c r="U259">
        <f>S259*Assumptions!$B$17</f>
        <v>0</v>
      </c>
      <c r="V259">
        <f>HLOOKUP(B259,Assumptions!$A$26:$D$27,2,TRUE)</f>
        <v>0</v>
      </c>
      <c r="W259">
        <f t="shared" si="60"/>
        <v>0</v>
      </c>
      <c r="X259">
        <f t="shared" si="61"/>
        <v>0.25</v>
      </c>
      <c r="Y259">
        <f>IF(B259&gt;$M$2,0,IF(X260=0,0,(1-X260)*Assumptions!$B$11/$E$2*(1-Assumptions!$B$30)))</f>
        <v>0</v>
      </c>
      <c r="Z259">
        <f>(R259-S259)*(1-Assumptions!$B$30)-U259+Y258*Q258</f>
        <v>0</v>
      </c>
      <c r="AA259">
        <f>AA258*(1+Assumptions!$B$36)^(1/12)</f>
        <v>1.2283111424542825</v>
      </c>
      <c r="AB259" s="20">
        <f>IF(B259&gt;$M$2,0,AA258*Assumptions!$B$32/12*Q258+Z259*Assumptions!$B$34/12)</f>
        <v>0</v>
      </c>
      <c r="AC259" s="21">
        <f>1/(1+HLOOKUP(YEAR(A259),Assumptions!$A$41:$AL$43,3,TRUE))^(1/12)</f>
        <v>0.99804628830341602</v>
      </c>
      <c r="AD259">
        <f t="shared" si="56"/>
        <v>0</v>
      </c>
      <c r="AE259">
        <f t="shared" si="62"/>
        <v>0</v>
      </c>
    </row>
    <row r="260" spans="1:31" x14ac:dyDescent="0.2">
      <c r="A260" s="2">
        <f t="shared" si="63"/>
        <v>50678</v>
      </c>
      <c r="B260">
        <f t="shared" si="57"/>
        <v>329</v>
      </c>
      <c r="C260">
        <f t="shared" si="49"/>
        <v>27.333333333333332</v>
      </c>
      <c r="D260">
        <f t="shared" si="50"/>
        <v>0</v>
      </c>
      <c r="E260">
        <f t="shared" si="51"/>
        <v>82</v>
      </c>
      <c r="F260">
        <f t="shared" si="52"/>
        <v>74</v>
      </c>
      <c r="G260">
        <f>IF(C260&gt;=$L$2,0,VLOOKUP($E260,'Mortality Table'!$A$3:$C$128,2+H$2,FALSE))</f>
        <v>0</v>
      </c>
      <c r="H260">
        <f>IF(C260&gt;=$L$2,0,VLOOKUP($E260,'Mortality Table'!$A$3:$C$128,2+I$2,FALSE))</f>
        <v>0</v>
      </c>
      <c r="I260" s="17">
        <f>G260*Assumptions!$B$1</f>
        <v>0</v>
      </c>
      <c r="J260" s="17">
        <f>H260*Assumptions!$B$1</f>
        <v>0</v>
      </c>
      <c r="K260">
        <f t="shared" si="53"/>
        <v>0</v>
      </c>
      <c r="L260">
        <f t="shared" si="58"/>
        <v>0</v>
      </c>
      <c r="M260">
        <f>HLOOKUP(C260,Assumptions!$A$6:$J$7,2,TRUE)</f>
        <v>2.6499999999999999E-2</v>
      </c>
      <c r="N260" s="23">
        <f t="shared" si="48"/>
        <v>0</v>
      </c>
      <c r="O260" s="23">
        <f t="shared" si="54"/>
        <v>0</v>
      </c>
      <c r="P260">
        <f t="shared" si="59"/>
        <v>0</v>
      </c>
      <c r="Q260" s="23">
        <f t="shared" si="55"/>
        <v>0</v>
      </c>
      <c r="R260">
        <f>Q259*Assumptions!$B$11/$E$2*N260</f>
        <v>0</v>
      </c>
      <c r="S260">
        <f>Q259*Assumptions!$B$13/$E$2*N260</f>
        <v>0</v>
      </c>
      <c r="T260">
        <f>L260*Assumptions!$B$15</f>
        <v>0</v>
      </c>
      <c r="U260">
        <f>S260*Assumptions!$B$17</f>
        <v>0</v>
      </c>
      <c r="V260">
        <f>HLOOKUP(B260,Assumptions!$A$26:$D$27,2,TRUE)</f>
        <v>0</v>
      </c>
      <c r="W260">
        <f t="shared" si="60"/>
        <v>0</v>
      </c>
      <c r="X260">
        <f t="shared" si="61"/>
        <v>0.33333333333333215</v>
      </c>
      <c r="Y260">
        <f>IF(B260&gt;$M$2,0,IF(X261=0,0,(1-X261)*Assumptions!$B$11/$E$2*(1-Assumptions!$B$30)))</f>
        <v>0</v>
      </c>
      <c r="Z260">
        <f>(R260-S260)*(1-Assumptions!$B$30)-U260+Y259*Q259</f>
        <v>0</v>
      </c>
      <c r="AA260">
        <f>AA259*(1+Assumptions!$B$36)^(1/12)</f>
        <v>1.2293300733632244</v>
      </c>
      <c r="AB260" s="20">
        <f>IF(B260&gt;$M$2,0,AA259*Assumptions!$B$32/12*Q259+Z260*Assumptions!$B$34/12)</f>
        <v>0</v>
      </c>
      <c r="AC260" s="21">
        <f>1/(1+HLOOKUP(YEAR(A260),Assumptions!$A$41:$AL$43,3,TRUE))^(1/12)</f>
        <v>0.99804628830341602</v>
      </c>
      <c r="AD260">
        <f t="shared" si="56"/>
        <v>0</v>
      </c>
      <c r="AE260">
        <f t="shared" si="62"/>
        <v>0</v>
      </c>
    </row>
    <row r="261" spans="1:31" x14ac:dyDescent="0.2">
      <c r="A261" s="2">
        <f t="shared" si="63"/>
        <v>50709</v>
      </c>
      <c r="B261">
        <f t="shared" si="57"/>
        <v>330</v>
      </c>
      <c r="C261">
        <f t="shared" si="49"/>
        <v>27.416666666666668</v>
      </c>
      <c r="D261">
        <f t="shared" si="50"/>
        <v>0</v>
      </c>
      <c r="E261">
        <f t="shared" si="51"/>
        <v>82</v>
      </c>
      <c r="F261">
        <f t="shared" si="52"/>
        <v>74</v>
      </c>
      <c r="G261">
        <f>IF(C261&gt;=$L$2,0,VLOOKUP($E261,'Mortality Table'!$A$3:$C$128,2+H$2,FALSE))</f>
        <v>0</v>
      </c>
      <c r="H261">
        <f>IF(C261&gt;=$L$2,0,VLOOKUP($E261,'Mortality Table'!$A$3:$C$128,2+I$2,FALSE))</f>
        <v>0</v>
      </c>
      <c r="I261" s="17">
        <f>G261*Assumptions!$B$1</f>
        <v>0</v>
      </c>
      <c r="J261" s="17">
        <f>H261*Assumptions!$B$1</f>
        <v>0</v>
      </c>
      <c r="K261">
        <f t="shared" si="53"/>
        <v>0</v>
      </c>
      <c r="L261">
        <f t="shared" si="58"/>
        <v>0</v>
      </c>
      <c r="M261">
        <f>HLOOKUP(C261,Assumptions!$A$6:$J$7,2,TRUE)</f>
        <v>2.6499999999999999E-2</v>
      </c>
      <c r="N261" s="23">
        <f t="shared" si="48"/>
        <v>0</v>
      </c>
      <c r="O261" s="23">
        <f t="shared" si="54"/>
        <v>0</v>
      </c>
      <c r="P261">
        <f t="shared" si="59"/>
        <v>0</v>
      </c>
      <c r="Q261" s="23">
        <f t="shared" si="55"/>
        <v>0</v>
      </c>
      <c r="R261">
        <f>Q260*Assumptions!$B$11/$E$2*N261</f>
        <v>0</v>
      </c>
      <c r="S261">
        <f>Q260*Assumptions!$B$13/$E$2*N261</f>
        <v>0</v>
      </c>
      <c r="T261">
        <f>L261*Assumptions!$B$15</f>
        <v>0</v>
      </c>
      <c r="U261">
        <f>S261*Assumptions!$B$17</f>
        <v>0</v>
      </c>
      <c r="V261">
        <f>HLOOKUP(B261,Assumptions!$A$26:$D$27,2,TRUE)</f>
        <v>0</v>
      </c>
      <c r="W261">
        <f t="shared" si="60"/>
        <v>0</v>
      </c>
      <c r="X261">
        <f t="shared" si="61"/>
        <v>0.41666666666666785</v>
      </c>
      <c r="Y261">
        <f>IF(B261&gt;$M$2,0,IF(X262=0,0,(1-X262)*Assumptions!$B$11/$E$2*(1-Assumptions!$B$30)))</f>
        <v>0</v>
      </c>
      <c r="Z261">
        <f>(R261-S261)*(1-Assumptions!$B$30)-U261+Y260*Q260</f>
        <v>0</v>
      </c>
      <c r="AA261">
        <f>AA260*(1+Assumptions!$B$36)^(1/12)</f>
        <v>1.2303498495141911</v>
      </c>
      <c r="AB261" s="20">
        <f>IF(B261&gt;$M$2,0,AA260*Assumptions!$B$32/12*Q260+Z261*Assumptions!$B$34/12)</f>
        <v>0</v>
      </c>
      <c r="AC261" s="21">
        <f>1/(1+HLOOKUP(YEAR(A261),Assumptions!$A$41:$AL$43,3,TRUE))^(1/12)</f>
        <v>0.99804628830341602</v>
      </c>
      <c r="AD261">
        <f t="shared" si="56"/>
        <v>0</v>
      </c>
      <c r="AE261">
        <f t="shared" si="62"/>
        <v>0</v>
      </c>
    </row>
    <row r="262" spans="1:31" x14ac:dyDescent="0.2">
      <c r="A262" s="2">
        <f t="shared" si="63"/>
        <v>50739</v>
      </c>
      <c r="B262">
        <f t="shared" si="57"/>
        <v>331</v>
      </c>
      <c r="C262">
        <f t="shared" si="49"/>
        <v>27.5</v>
      </c>
      <c r="D262">
        <f t="shared" si="50"/>
        <v>0</v>
      </c>
      <c r="E262">
        <f t="shared" si="51"/>
        <v>82</v>
      </c>
      <c r="F262">
        <f t="shared" si="52"/>
        <v>74</v>
      </c>
      <c r="G262">
        <f>IF(C262&gt;=$L$2,0,VLOOKUP($E262,'Mortality Table'!$A$3:$C$128,2+H$2,FALSE))</f>
        <v>0</v>
      </c>
      <c r="H262">
        <f>IF(C262&gt;=$L$2,0,VLOOKUP($E262,'Mortality Table'!$A$3:$C$128,2+I$2,FALSE))</f>
        <v>0</v>
      </c>
      <c r="I262" s="17">
        <f>G262*Assumptions!$B$1</f>
        <v>0</v>
      </c>
      <c r="J262" s="17">
        <f>H262*Assumptions!$B$1</f>
        <v>0</v>
      </c>
      <c r="K262">
        <f t="shared" si="53"/>
        <v>0</v>
      </c>
      <c r="L262">
        <f t="shared" si="58"/>
        <v>0</v>
      </c>
      <c r="M262">
        <f>HLOOKUP(C262,Assumptions!$A$6:$J$7,2,TRUE)</f>
        <v>2.6499999999999999E-2</v>
      </c>
      <c r="N262" s="23">
        <f t="shared" si="48"/>
        <v>0</v>
      </c>
      <c r="O262" s="23">
        <f t="shared" si="54"/>
        <v>0</v>
      </c>
      <c r="P262">
        <f t="shared" si="59"/>
        <v>0</v>
      </c>
      <c r="Q262" s="23">
        <f t="shared" si="55"/>
        <v>0</v>
      </c>
      <c r="R262">
        <f>Q261*Assumptions!$B$11/$E$2*N262</f>
        <v>0</v>
      </c>
      <c r="S262">
        <f>Q261*Assumptions!$B$13/$E$2*N262</f>
        <v>0</v>
      </c>
      <c r="T262">
        <f>L262*Assumptions!$B$15</f>
        <v>0</v>
      </c>
      <c r="U262">
        <f>S262*Assumptions!$B$17</f>
        <v>0</v>
      </c>
      <c r="V262">
        <f>HLOOKUP(B262,Assumptions!$A$26:$D$27,2,TRUE)</f>
        <v>0</v>
      </c>
      <c r="W262">
        <f t="shared" si="60"/>
        <v>0</v>
      </c>
      <c r="X262">
        <f t="shared" si="61"/>
        <v>0.5</v>
      </c>
      <c r="Y262">
        <f>IF(B262&gt;$M$2,0,IF(X263=0,0,(1-X263)*Assumptions!$B$11/$E$2*(1-Assumptions!$B$30)))</f>
        <v>0</v>
      </c>
      <c r="Z262">
        <f>(R262-S262)*(1-Assumptions!$B$30)-U262+Y261*Q261</f>
        <v>0</v>
      </c>
      <c r="AA262">
        <f>AA261*(1+Assumptions!$B$36)^(1/12)</f>
        <v>1.2313704716083431</v>
      </c>
      <c r="AB262" s="20">
        <f>IF(B262&gt;$M$2,0,AA261*Assumptions!$B$32/12*Q261+Z262*Assumptions!$B$34/12)</f>
        <v>0</v>
      </c>
      <c r="AC262" s="21">
        <f>1/(1+HLOOKUP(YEAR(A262),Assumptions!$A$41:$AL$43,3,TRUE))^(1/12)</f>
        <v>0.99804628830341602</v>
      </c>
      <c r="AD262">
        <f t="shared" si="56"/>
        <v>0</v>
      </c>
      <c r="AE262">
        <f t="shared" si="62"/>
        <v>0</v>
      </c>
    </row>
    <row r="263" spans="1:31" x14ac:dyDescent="0.2">
      <c r="A263" s="2">
        <f t="shared" si="63"/>
        <v>50770</v>
      </c>
      <c r="B263">
        <f t="shared" si="57"/>
        <v>332</v>
      </c>
      <c r="C263">
        <f t="shared" si="49"/>
        <v>27.583333333333332</v>
      </c>
      <c r="D263">
        <f t="shared" si="50"/>
        <v>0</v>
      </c>
      <c r="E263">
        <f t="shared" si="51"/>
        <v>82</v>
      </c>
      <c r="F263">
        <f t="shared" si="52"/>
        <v>74</v>
      </c>
      <c r="G263">
        <f>IF(C263&gt;=$L$2,0,VLOOKUP($E263,'Mortality Table'!$A$3:$C$128,2+H$2,FALSE))</f>
        <v>0</v>
      </c>
      <c r="H263">
        <f>IF(C263&gt;=$L$2,0,VLOOKUP($E263,'Mortality Table'!$A$3:$C$128,2+I$2,FALSE))</f>
        <v>0</v>
      </c>
      <c r="I263" s="17">
        <f>G263*Assumptions!$B$1</f>
        <v>0</v>
      </c>
      <c r="J263" s="17">
        <f>H263*Assumptions!$B$1</f>
        <v>0</v>
      </c>
      <c r="K263">
        <f t="shared" si="53"/>
        <v>0</v>
      </c>
      <c r="L263">
        <f t="shared" si="58"/>
        <v>0</v>
      </c>
      <c r="M263">
        <f>HLOOKUP(C263,Assumptions!$A$6:$J$7,2,TRUE)</f>
        <v>2.6499999999999999E-2</v>
      </c>
      <c r="N263" s="23">
        <f t="shared" si="48"/>
        <v>0</v>
      </c>
      <c r="O263" s="23">
        <f t="shared" si="54"/>
        <v>0</v>
      </c>
      <c r="P263">
        <f t="shared" si="59"/>
        <v>0</v>
      </c>
      <c r="Q263" s="23">
        <f t="shared" si="55"/>
        <v>0</v>
      </c>
      <c r="R263">
        <f>Q262*Assumptions!$B$11/$E$2*N263</f>
        <v>0</v>
      </c>
      <c r="S263">
        <f>Q262*Assumptions!$B$13/$E$2*N263</f>
        <v>0</v>
      </c>
      <c r="T263">
        <f>L263*Assumptions!$B$15</f>
        <v>0</v>
      </c>
      <c r="U263">
        <f>S263*Assumptions!$B$17</f>
        <v>0</v>
      </c>
      <c r="V263">
        <f>HLOOKUP(B263,Assumptions!$A$26:$D$27,2,TRUE)</f>
        <v>0</v>
      </c>
      <c r="W263">
        <f t="shared" si="60"/>
        <v>0</v>
      </c>
      <c r="X263">
        <f t="shared" si="61"/>
        <v>0.58333333333333215</v>
      </c>
      <c r="Y263">
        <f>IF(B263&gt;$M$2,0,IF(X264=0,0,(1-X264)*Assumptions!$B$11/$E$2*(1-Assumptions!$B$30)))</f>
        <v>0</v>
      </c>
      <c r="Z263">
        <f>(R263-S263)*(1-Assumptions!$B$30)-U263+Y262*Q262</f>
        <v>0</v>
      </c>
      <c r="AA263">
        <f>AA262*(1+Assumptions!$B$36)^(1/12)</f>
        <v>1.2323919403474226</v>
      </c>
      <c r="AB263" s="20">
        <f>IF(B263&gt;$M$2,0,AA262*Assumptions!$B$32/12*Q262+Z263*Assumptions!$B$34/12)</f>
        <v>0</v>
      </c>
      <c r="AC263" s="21">
        <f>1/(1+HLOOKUP(YEAR(A263),Assumptions!$A$41:$AL$43,3,TRUE))^(1/12)</f>
        <v>0.99804628830341602</v>
      </c>
      <c r="AD263">
        <f t="shared" si="56"/>
        <v>0</v>
      </c>
      <c r="AE263">
        <f t="shared" si="62"/>
        <v>0</v>
      </c>
    </row>
    <row r="264" spans="1:31" x14ac:dyDescent="0.2">
      <c r="A264" s="2">
        <f t="shared" si="63"/>
        <v>50801</v>
      </c>
      <c r="B264">
        <f t="shared" si="57"/>
        <v>333</v>
      </c>
      <c r="C264">
        <f t="shared" si="49"/>
        <v>27.666666666666668</v>
      </c>
      <c r="D264">
        <f t="shared" si="50"/>
        <v>0</v>
      </c>
      <c r="E264">
        <f t="shared" si="51"/>
        <v>82</v>
      </c>
      <c r="F264">
        <f t="shared" si="52"/>
        <v>74</v>
      </c>
      <c r="G264">
        <f>IF(C264&gt;=$L$2,0,VLOOKUP($E264,'Mortality Table'!$A$3:$C$128,2+H$2,FALSE))</f>
        <v>0</v>
      </c>
      <c r="H264">
        <f>IF(C264&gt;=$L$2,0,VLOOKUP($E264,'Mortality Table'!$A$3:$C$128,2+I$2,FALSE))</f>
        <v>0</v>
      </c>
      <c r="I264" s="17">
        <f>G264*Assumptions!$B$1</f>
        <v>0</v>
      </c>
      <c r="J264" s="17">
        <f>H264*Assumptions!$B$1</f>
        <v>0</v>
      </c>
      <c r="K264">
        <f t="shared" si="53"/>
        <v>0</v>
      </c>
      <c r="L264">
        <f t="shared" si="58"/>
        <v>0</v>
      </c>
      <c r="M264">
        <f>HLOOKUP(C264,Assumptions!$A$6:$J$7,2,TRUE)</f>
        <v>2.6499999999999999E-2</v>
      </c>
      <c r="N264" s="23">
        <f t="shared" si="48"/>
        <v>0</v>
      </c>
      <c r="O264" s="23">
        <f t="shared" si="54"/>
        <v>0</v>
      </c>
      <c r="P264">
        <f t="shared" si="59"/>
        <v>0</v>
      </c>
      <c r="Q264" s="23">
        <f t="shared" si="55"/>
        <v>0</v>
      </c>
      <c r="R264">
        <f>Q263*Assumptions!$B$11/$E$2*N264</f>
        <v>0</v>
      </c>
      <c r="S264">
        <f>Q263*Assumptions!$B$13/$E$2*N264</f>
        <v>0</v>
      </c>
      <c r="T264">
        <f>L264*Assumptions!$B$15</f>
        <v>0</v>
      </c>
      <c r="U264">
        <f>S264*Assumptions!$B$17</f>
        <v>0</v>
      </c>
      <c r="V264">
        <f>HLOOKUP(B264,Assumptions!$A$26:$D$27,2,TRUE)</f>
        <v>0</v>
      </c>
      <c r="W264">
        <f t="shared" si="60"/>
        <v>0</v>
      </c>
      <c r="X264">
        <f t="shared" si="61"/>
        <v>0.66666666666666785</v>
      </c>
      <c r="Y264">
        <f>IF(B264&gt;$M$2,0,IF(X265=0,0,(1-X265)*Assumptions!$B$11/$E$2*(1-Assumptions!$B$30)))</f>
        <v>0</v>
      </c>
      <c r="Z264">
        <f>(R264-S264)*(1-Assumptions!$B$30)-U264+Y263*Q263</f>
        <v>0</v>
      </c>
      <c r="AA264">
        <f>AA263*(1+Assumptions!$B$36)^(1/12)</f>
        <v>1.2334142564337538</v>
      </c>
      <c r="AB264" s="20">
        <f>IF(B264&gt;$M$2,0,AA263*Assumptions!$B$32/12*Q263+Z264*Assumptions!$B$34/12)</f>
        <v>0</v>
      </c>
      <c r="AC264" s="21">
        <f>1/(1+HLOOKUP(YEAR(A264),Assumptions!$A$41:$AL$43,3,TRUE))^(1/12)</f>
        <v>0.99795794845611863</v>
      </c>
      <c r="AD264">
        <f t="shared" si="56"/>
        <v>0</v>
      </c>
      <c r="AE264">
        <f t="shared" si="62"/>
        <v>0</v>
      </c>
    </row>
    <row r="265" spans="1:31" x14ac:dyDescent="0.2">
      <c r="A265" s="2">
        <f t="shared" si="63"/>
        <v>50829</v>
      </c>
      <c r="B265">
        <f t="shared" si="57"/>
        <v>334</v>
      </c>
      <c r="C265">
        <f t="shared" si="49"/>
        <v>27.75</v>
      </c>
      <c r="D265">
        <f t="shared" si="50"/>
        <v>0</v>
      </c>
      <c r="E265">
        <f t="shared" si="51"/>
        <v>82</v>
      </c>
      <c r="F265">
        <f t="shared" si="52"/>
        <v>74</v>
      </c>
      <c r="G265">
        <f>IF(C265&gt;=$L$2,0,VLOOKUP($E265,'Mortality Table'!$A$3:$C$128,2+H$2,FALSE))</f>
        <v>0</v>
      </c>
      <c r="H265">
        <f>IF(C265&gt;=$L$2,0,VLOOKUP($E265,'Mortality Table'!$A$3:$C$128,2+I$2,FALSE))</f>
        <v>0</v>
      </c>
      <c r="I265" s="17">
        <f>G265*Assumptions!$B$1</f>
        <v>0</v>
      </c>
      <c r="J265" s="17">
        <f>H265*Assumptions!$B$1</f>
        <v>0</v>
      </c>
      <c r="K265">
        <f t="shared" si="53"/>
        <v>0</v>
      </c>
      <c r="L265">
        <f t="shared" si="58"/>
        <v>0</v>
      </c>
      <c r="M265">
        <f>HLOOKUP(C265,Assumptions!$A$6:$J$7,2,TRUE)</f>
        <v>2.6499999999999999E-2</v>
      </c>
      <c r="N265" s="23">
        <f t="shared" si="48"/>
        <v>0</v>
      </c>
      <c r="O265" s="23">
        <f t="shared" si="54"/>
        <v>0</v>
      </c>
      <c r="P265">
        <f t="shared" si="59"/>
        <v>0</v>
      </c>
      <c r="Q265" s="23">
        <f t="shared" si="55"/>
        <v>0</v>
      </c>
      <c r="R265">
        <f>Q264*Assumptions!$B$11/$E$2*N265</f>
        <v>0</v>
      </c>
      <c r="S265">
        <f>Q264*Assumptions!$B$13/$E$2*N265</f>
        <v>0</v>
      </c>
      <c r="T265">
        <f>L265*Assumptions!$B$15</f>
        <v>0</v>
      </c>
      <c r="U265">
        <f>S265*Assumptions!$B$17</f>
        <v>0</v>
      </c>
      <c r="V265">
        <f>HLOOKUP(B265,Assumptions!$A$26:$D$27,2,TRUE)</f>
        <v>0</v>
      </c>
      <c r="W265">
        <f t="shared" si="60"/>
        <v>0</v>
      </c>
      <c r="X265">
        <f t="shared" si="61"/>
        <v>0.75</v>
      </c>
      <c r="Y265">
        <f>IF(B265&gt;$M$2,0,IF(X266=0,0,(1-X266)*Assumptions!$B$11/$E$2*(1-Assumptions!$B$30)))</f>
        <v>0</v>
      </c>
      <c r="Z265">
        <f>(R265-S265)*(1-Assumptions!$B$30)-U265+Y264*Q264</f>
        <v>0</v>
      </c>
      <c r="AA265">
        <f>AA264*(1+Assumptions!$B$36)^(1/12)</f>
        <v>1.2344374205702435</v>
      </c>
      <c r="AB265" s="20">
        <f>IF(B265&gt;$M$2,0,AA264*Assumptions!$B$32/12*Q264+Z265*Assumptions!$B$34/12)</f>
        <v>0</v>
      </c>
      <c r="AC265" s="21">
        <f>1/(1+HLOOKUP(YEAR(A265),Assumptions!$A$41:$AL$43,3,TRUE))^(1/12)</f>
        <v>0.99795794845611863</v>
      </c>
      <c r="AD265">
        <f t="shared" si="56"/>
        <v>0</v>
      </c>
      <c r="AE265">
        <f t="shared" si="62"/>
        <v>0</v>
      </c>
    </row>
    <row r="266" spans="1:31" x14ac:dyDescent="0.2">
      <c r="A266" s="2">
        <f t="shared" si="63"/>
        <v>50860</v>
      </c>
      <c r="B266">
        <f t="shared" si="57"/>
        <v>335</v>
      </c>
      <c r="C266">
        <f t="shared" si="49"/>
        <v>27.833333333333332</v>
      </c>
      <c r="D266">
        <f t="shared" si="50"/>
        <v>0</v>
      </c>
      <c r="E266">
        <f t="shared" si="51"/>
        <v>82</v>
      </c>
      <c r="F266">
        <f t="shared" si="52"/>
        <v>74</v>
      </c>
      <c r="G266">
        <f>IF(C266&gt;=$L$2,0,VLOOKUP($E266,'Mortality Table'!$A$3:$C$128,2+H$2,FALSE))</f>
        <v>0</v>
      </c>
      <c r="H266">
        <f>IF(C266&gt;=$L$2,0,VLOOKUP($E266,'Mortality Table'!$A$3:$C$128,2+I$2,FALSE))</f>
        <v>0</v>
      </c>
      <c r="I266" s="17">
        <f>G266*Assumptions!$B$1</f>
        <v>0</v>
      </c>
      <c r="J266" s="17">
        <f>H266*Assumptions!$B$1</f>
        <v>0</v>
      </c>
      <c r="K266">
        <f t="shared" si="53"/>
        <v>0</v>
      </c>
      <c r="L266">
        <f t="shared" si="58"/>
        <v>0</v>
      </c>
      <c r="M266">
        <f>HLOOKUP(C266,Assumptions!$A$6:$J$7,2,TRUE)</f>
        <v>2.6499999999999999E-2</v>
      </c>
      <c r="N266" s="23">
        <f t="shared" si="48"/>
        <v>0</v>
      </c>
      <c r="O266" s="23">
        <f t="shared" si="54"/>
        <v>0</v>
      </c>
      <c r="P266">
        <f t="shared" si="59"/>
        <v>0</v>
      </c>
      <c r="Q266" s="23">
        <f t="shared" si="55"/>
        <v>0</v>
      </c>
      <c r="R266">
        <f>Q265*Assumptions!$B$11/$E$2*N266</f>
        <v>0</v>
      </c>
      <c r="S266">
        <f>Q265*Assumptions!$B$13/$E$2*N266</f>
        <v>0</v>
      </c>
      <c r="T266">
        <f>L266*Assumptions!$B$15</f>
        <v>0</v>
      </c>
      <c r="U266">
        <f>S266*Assumptions!$B$17</f>
        <v>0</v>
      </c>
      <c r="V266">
        <f>HLOOKUP(B266,Assumptions!$A$26:$D$27,2,TRUE)</f>
        <v>0</v>
      </c>
      <c r="W266">
        <f t="shared" si="60"/>
        <v>0</v>
      </c>
      <c r="X266">
        <f t="shared" si="61"/>
        <v>0.83333333333333215</v>
      </c>
      <c r="Y266">
        <f>IF(B266&gt;$M$2,0,IF(X267=0,0,(1-X267)*Assumptions!$B$11/$E$2*(1-Assumptions!$B$30)))</f>
        <v>0</v>
      </c>
      <c r="Z266">
        <f>(R266-S266)*(1-Assumptions!$B$30)-U266+Y265*Q265</f>
        <v>0</v>
      </c>
      <c r="AA266">
        <f>AA265*(1+Assumptions!$B$36)^(1/12)</f>
        <v>1.2354614334603817</v>
      </c>
      <c r="AB266" s="20">
        <f>IF(B266&gt;$M$2,0,AA265*Assumptions!$B$32/12*Q265+Z266*Assumptions!$B$34/12)</f>
        <v>0</v>
      </c>
      <c r="AC266" s="21">
        <f>1/(1+HLOOKUP(YEAR(A266),Assumptions!$A$41:$AL$43,3,TRUE))^(1/12)</f>
        <v>0.99795794845611863</v>
      </c>
      <c r="AD266">
        <f t="shared" si="56"/>
        <v>0</v>
      </c>
      <c r="AE266">
        <f t="shared" si="62"/>
        <v>0</v>
      </c>
    </row>
    <row r="267" spans="1:31" x14ac:dyDescent="0.2">
      <c r="A267" s="2">
        <f t="shared" si="63"/>
        <v>50890</v>
      </c>
      <c r="B267">
        <f t="shared" si="57"/>
        <v>336</v>
      </c>
      <c r="C267">
        <f t="shared" si="49"/>
        <v>27.916666666666668</v>
      </c>
      <c r="D267">
        <f t="shared" si="50"/>
        <v>0</v>
      </c>
      <c r="E267">
        <f t="shared" si="51"/>
        <v>82</v>
      </c>
      <c r="F267">
        <f t="shared" si="52"/>
        <v>74</v>
      </c>
      <c r="G267">
        <f>IF(C267&gt;=$L$2,0,VLOOKUP($E267,'Mortality Table'!$A$3:$C$128,2+H$2,FALSE))</f>
        <v>0</v>
      </c>
      <c r="H267">
        <f>IF(C267&gt;=$L$2,0,VLOOKUP($E267,'Mortality Table'!$A$3:$C$128,2+I$2,FALSE))</f>
        <v>0</v>
      </c>
      <c r="I267" s="17">
        <f>G267*Assumptions!$B$1</f>
        <v>0</v>
      </c>
      <c r="J267" s="17">
        <f>H267*Assumptions!$B$1</f>
        <v>0</v>
      </c>
      <c r="K267">
        <f t="shared" si="53"/>
        <v>0</v>
      </c>
      <c r="L267">
        <f t="shared" si="58"/>
        <v>0</v>
      </c>
      <c r="M267">
        <f>HLOOKUP(C267,Assumptions!$A$6:$J$7,2,TRUE)</f>
        <v>2.6499999999999999E-2</v>
      </c>
      <c r="N267" s="23">
        <f t="shared" ref="N267:N330" si="64">IF(B267&gt;$M$2,0,IF(($E$2*(B267+11))/12-INT(($E$2*(B267+11))/12)=0,1,0))</f>
        <v>0</v>
      </c>
      <c r="O267" s="23">
        <f t="shared" si="54"/>
        <v>0</v>
      </c>
      <c r="P267">
        <f t="shared" si="59"/>
        <v>0</v>
      </c>
      <c r="Q267" s="23">
        <f t="shared" si="55"/>
        <v>0</v>
      </c>
      <c r="R267">
        <f>Q266*Assumptions!$B$11/$E$2*N267</f>
        <v>0</v>
      </c>
      <c r="S267">
        <f>Q266*Assumptions!$B$13/$E$2*N267</f>
        <v>0</v>
      </c>
      <c r="T267">
        <f>L267*Assumptions!$B$15</f>
        <v>0</v>
      </c>
      <c r="U267">
        <f>S267*Assumptions!$B$17</f>
        <v>0</v>
      </c>
      <c r="V267">
        <f>HLOOKUP(B267,Assumptions!$A$26:$D$27,2,TRUE)</f>
        <v>0</v>
      </c>
      <c r="W267">
        <f t="shared" si="60"/>
        <v>0</v>
      </c>
      <c r="X267">
        <f t="shared" si="61"/>
        <v>0.91666666666666785</v>
      </c>
      <c r="Y267">
        <f>IF(B267&gt;$M$2,0,IF(X268=0,0,(1-X268)*Assumptions!$B$11/$E$2*(1-Assumptions!$B$30)))</f>
        <v>0</v>
      </c>
      <c r="Z267">
        <f>(R267-S267)*(1-Assumptions!$B$30)-U267+Y266*Q266</f>
        <v>0</v>
      </c>
      <c r="AA267">
        <f>AA266*(1+Assumptions!$B$36)^(1/12)</f>
        <v>1.2364862958082419</v>
      </c>
      <c r="AB267" s="20">
        <f>IF(B267&gt;$M$2,0,AA266*Assumptions!$B$32/12*Q266+Z267*Assumptions!$B$34/12)</f>
        <v>0</v>
      </c>
      <c r="AC267" s="21">
        <f>1/(1+HLOOKUP(YEAR(A267),Assumptions!$A$41:$AL$43,3,TRUE))^(1/12)</f>
        <v>0.99795794845611863</v>
      </c>
      <c r="AD267">
        <f t="shared" si="56"/>
        <v>0</v>
      </c>
      <c r="AE267">
        <f t="shared" si="62"/>
        <v>0</v>
      </c>
    </row>
    <row r="268" spans="1:31" x14ac:dyDescent="0.2">
      <c r="A268" s="2">
        <f t="shared" si="63"/>
        <v>50921</v>
      </c>
      <c r="B268">
        <f t="shared" si="57"/>
        <v>337</v>
      </c>
      <c r="C268">
        <f t="shared" ref="C268:C331" si="65">(B268+11)/12-1</f>
        <v>28</v>
      </c>
      <c r="D268">
        <f t="shared" ref="D268:D331" si="66">IF(C268-INT(C268)=0,1,0)</f>
        <v>1</v>
      </c>
      <c r="E268">
        <f t="shared" ref="E268:E331" si="67">$C$2+INT($C268)</f>
        <v>83</v>
      </c>
      <c r="F268">
        <f t="shared" ref="F268:F331" si="68">$F$2+INT($C268)</f>
        <v>75</v>
      </c>
      <c r="G268">
        <f>IF(C268&gt;=$L$2,0,VLOOKUP($E268,'Mortality Table'!$A$3:$C$128,2+H$2,FALSE))</f>
        <v>0</v>
      </c>
      <c r="H268">
        <f>IF(C268&gt;=$L$2,0,VLOOKUP($E268,'Mortality Table'!$A$3:$C$128,2+I$2,FALSE))</f>
        <v>0</v>
      </c>
      <c r="I268" s="17">
        <f>G268*Assumptions!$B$1</f>
        <v>0</v>
      </c>
      <c r="J268" s="17">
        <f>H268*Assumptions!$B$1</f>
        <v>0</v>
      </c>
      <c r="K268">
        <f t="shared" ref="K268:K331" si="69">I268+J268-I268*J268</f>
        <v>0</v>
      </c>
      <c r="L268">
        <f t="shared" si="58"/>
        <v>0</v>
      </c>
      <c r="M268">
        <f>HLOOKUP(C268,Assumptions!$A$6:$J$7,2,TRUE)</f>
        <v>2.6499999999999999E-2</v>
      </c>
      <c r="N268" s="23">
        <f t="shared" si="64"/>
        <v>0</v>
      </c>
      <c r="O268" s="23">
        <f t="shared" ref="O268:O331" si="70">IF(B269&gt;$M$2,0,IF(N269=0,0,1/$E$2))</f>
        <v>0</v>
      </c>
      <c r="P268">
        <f t="shared" si="59"/>
        <v>0</v>
      </c>
      <c r="Q268" s="23">
        <f t="shared" ref="Q268:Q331" si="71">IF(B268&gt;$M$2,0,Q267-L268-P268)</f>
        <v>0</v>
      </c>
      <c r="R268">
        <f>Q267*Assumptions!$B$11/$E$2*N268</f>
        <v>0</v>
      </c>
      <c r="S268">
        <f>Q267*Assumptions!$B$13/$E$2*N268</f>
        <v>0</v>
      </c>
      <c r="T268">
        <f>L268*Assumptions!$B$15</f>
        <v>0</v>
      </c>
      <c r="U268">
        <f>S268*Assumptions!$B$17</f>
        <v>0</v>
      </c>
      <c r="V268">
        <f>HLOOKUP(B268,Assumptions!$A$26:$D$27,2,TRUE)</f>
        <v>0</v>
      </c>
      <c r="W268">
        <f t="shared" si="60"/>
        <v>0</v>
      </c>
      <c r="X268">
        <f t="shared" si="61"/>
        <v>0</v>
      </c>
      <c r="Y268">
        <f>IF(B268&gt;$M$2,0,IF(X269=0,0,(1-X269)*Assumptions!$B$11/$E$2*(1-Assumptions!$B$30)))</f>
        <v>0</v>
      </c>
      <c r="Z268">
        <f>(R268-S268)*(1-Assumptions!$B$30)-U268+Y267*Q267</f>
        <v>0</v>
      </c>
      <c r="AA268">
        <f>AA267*(1+Assumptions!$B$36)^(1/12)</f>
        <v>1.2375120083184814</v>
      </c>
      <c r="AB268" s="20">
        <f>IF(B268&gt;$M$2,0,AA267*Assumptions!$B$32/12*Q267+Z268*Assumptions!$B$34/12)</f>
        <v>0</v>
      </c>
      <c r="AC268" s="21">
        <f>1/(1+HLOOKUP(YEAR(A268),Assumptions!$A$41:$AL$43,3,TRUE))^(1/12)</f>
        <v>0.99795794845611863</v>
      </c>
      <c r="AD268">
        <f t="shared" ref="AD268:AD331" si="72">(AD269+T269+U269+W269+AB269-R269)*AC269</f>
        <v>0</v>
      </c>
      <c r="AE268">
        <f t="shared" si="62"/>
        <v>0</v>
      </c>
    </row>
    <row r="269" spans="1:31" x14ac:dyDescent="0.2">
      <c r="A269" s="2">
        <f t="shared" si="63"/>
        <v>50951</v>
      </c>
      <c r="B269">
        <f t="shared" ref="B269:B332" si="73">B268+1</f>
        <v>338</v>
      </c>
      <c r="C269">
        <f t="shared" si="65"/>
        <v>28.083333333333332</v>
      </c>
      <c r="D269">
        <f t="shared" si="66"/>
        <v>0</v>
      </c>
      <c r="E269">
        <f t="shared" si="67"/>
        <v>83</v>
      </c>
      <c r="F269">
        <f t="shared" si="68"/>
        <v>75</v>
      </c>
      <c r="G269">
        <f>IF(C269&gt;=$L$2,0,VLOOKUP($E269,'Mortality Table'!$A$3:$C$128,2+H$2,FALSE))</f>
        <v>0</v>
      </c>
      <c r="H269">
        <f>IF(C269&gt;=$L$2,0,VLOOKUP($E269,'Mortality Table'!$A$3:$C$128,2+I$2,FALSE))</f>
        <v>0</v>
      </c>
      <c r="I269" s="17">
        <f>G269*Assumptions!$B$1</f>
        <v>0</v>
      </c>
      <c r="J269" s="17">
        <f>H269*Assumptions!$B$1</f>
        <v>0</v>
      </c>
      <c r="K269">
        <f t="shared" si="69"/>
        <v>0</v>
      </c>
      <c r="L269">
        <f t="shared" ref="L269:L332" si="74">(1-(1-K269)^(1/12))*Q268</f>
        <v>0</v>
      </c>
      <c r="M269">
        <f>HLOOKUP(C269,Assumptions!$A$6:$J$7,2,TRUE)</f>
        <v>2.6499999999999999E-2</v>
      </c>
      <c r="N269" s="23">
        <f t="shared" si="64"/>
        <v>0</v>
      </c>
      <c r="O269" s="23">
        <f t="shared" si="70"/>
        <v>0</v>
      </c>
      <c r="P269">
        <f t="shared" ref="P269:P332" si="75">(1-(1-M269)^O269)*(Q268-L269)</f>
        <v>0</v>
      </c>
      <c r="Q269" s="23">
        <f t="shared" si="71"/>
        <v>0</v>
      </c>
      <c r="R269">
        <f>Q268*Assumptions!$B$11/$E$2*N269</f>
        <v>0</v>
      </c>
      <c r="S269">
        <f>Q268*Assumptions!$B$13/$E$2*N269</f>
        <v>0</v>
      </c>
      <c r="T269">
        <f>L269*Assumptions!$B$15</f>
        <v>0</v>
      </c>
      <c r="U269">
        <f>S269*Assumptions!$B$17</f>
        <v>0</v>
      </c>
      <c r="V269">
        <f>HLOOKUP(B269,Assumptions!$A$26:$D$27,2,TRUE)</f>
        <v>0</v>
      </c>
      <c r="W269">
        <f t="shared" ref="W269:W332" si="76">R269*V269</f>
        <v>0</v>
      </c>
      <c r="X269">
        <f t="shared" ref="X269:X332" si="77">($E$2*(B269+11))/12-INT(($E$2*(B269+11))/12)</f>
        <v>8.3333333333332149E-2</v>
      </c>
      <c r="Y269">
        <f>IF(B269&gt;$M$2,0,IF(X270=0,0,(1-X270)*Assumptions!$B$11/$E$2*(1-Assumptions!$B$30)))</f>
        <v>0</v>
      </c>
      <c r="Z269">
        <f>(R269-S269)*(1-Assumptions!$B$30)-U269+Y268*Q268</f>
        <v>0</v>
      </c>
      <c r="AA269">
        <f>AA268*(1+Assumptions!$B$36)^(1/12)</f>
        <v>1.2385385716963426</v>
      </c>
      <c r="AB269" s="20">
        <f>IF(B269&gt;$M$2,0,AA268*Assumptions!$B$32/12*Q268+Z269*Assumptions!$B$34/12)</f>
        <v>0</v>
      </c>
      <c r="AC269" s="21">
        <f>1/(1+HLOOKUP(YEAR(A269),Assumptions!$A$41:$AL$43,3,TRUE))^(1/12)</f>
        <v>0.99795794845611863</v>
      </c>
      <c r="AD269">
        <f t="shared" si="72"/>
        <v>0</v>
      </c>
      <c r="AE269">
        <f t="shared" ref="AE269:AE332" si="78">T269+U269</f>
        <v>0</v>
      </c>
    </row>
    <row r="270" spans="1:31" x14ac:dyDescent="0.2">
      <c r="A270" s="2">
        <f t="shared" si="63"/>
        <v>50982</v>
      </c>
      <c r="B270">
        <f t="shared" si="73"/>
        <v>339</v>
      </c>
      <c r="C270">
        <f t="shared" si="65"/>
        <v>28.166666666666668</v>
      </c>
      <c r="D270">
        <f t="shared" si="66"/>
        <v>0</v>
      </c>
      <c r="E270">
        <f t="shared" si="67"/>
        <v>83</v>
      </c>
      <c r="F270">
        <f t="shared" si="68"/>
        <v>75</v>
      </c>
      <c r="G270">
        <f>IF(C270&gt;=$L$2,0,VLOOKUP($E270,'Mortality Table'!$A$3:$C$128,2+H$2,FALSE))</f>
        <v>0</v>
      </c>
      <c r="H270">
        <f>IF(C270&gt;=$L$2,0,VLOOKUP($E270,'Mortality Table'!$A$3:$C$128,2+I$2,FALSE))</f>
        <v>0</v>
      </c>
      <c r="I270" s="17">
        <f>G270*Assumptions!$B$1</f>
        <v>0</v>
      </c>
      <c r="J270" s="17">
        <f>H270*Assumptions!$B$1</f>
        <v>0</v>
      </c>
      <c r="K270">
        <f t="shared" si="69"/>
        <v>0</v>
      </c>
      <c r="L270">
        <f t="shared" si="74"/>
        <v>0</v>
      </c>
      <c r="M270">
        <f>HLOOKUP(C270,Assumptions!$A$6:$J$7,2,TRUE)</f>
        <v>2.6499999999999999E-2</v>
      </c>
      <c r="N270" s="23">
        <f t="shared" si="64"/>
        <v>0</v>
      </c>
      <c r="O270" s="23">
        <f t="shared" si="70"/>
        <v>0</v>
      </c>
      <c r="P270">
        <f t="shared" si="75"/>
        <v>0</v>
      </c>
      <c r="Q270" s="23">
        <f t="shared" si="71"/>
        <v>0</v>
      </c>
      <c r="R270">
        <f>Q269*Assumptions!$B$11/$E$2*N270</f>
        <v>0</v>
      </c>
      <c r="S270">
        <f>Q269*Assumptions!$B$13/$E$2*N270</f>
        <v>0</v>
      </c>
      <c r="T270">
        <f>L270*Assumptions!$B$15</f>
        <v>0</v>
      </c>
      <c r="U270">
        <f>S270*Assumptions!$B$17</f>
        <v>0</v>
      </c>
      <c r="V270">
        <f>HLOOKUP(B270,Assumptions!$A$26:$D$27,2,TRUE)</f>
        <v>0</v>
      </c>
      <c r="W270">
        <f t="shared" si="76"/>
        <v>0</v>
      </c>
      <c r="X270">
        <f t="shared" si="77"/>
        <v>0.16666666666666785</v>
      </c>
      <c r="Y270">
        <f>IF(B270&gt;$M$2,0,IF(X271=0,0,(1-X271)*Assumptions!$B$11/$E$2*(1-Assumptions!$B$30)))</f>
        <v>0</v>
      </c>
      <c r="Z270">
        <f>(R270-S270)*(1-Assumptions!$B$30)-U270+Y269*Q269</f>
        <v>0</v>
      </c>
      <c r="AA270">
        <f>AA269*(1+Assumptions!$B$36)^(1/12)</f>
        <v>1.2395659866476525</v>
      </c>
      <c r="AB270" s="20">
        <f>IF(B270&gt;$M$2,0,AA269*Assumptions!$B$32/12*Q269+Z270*Assumptions!$B$34/12)</f>
        <v>0</v>
      </c>
      <c r="AC270" s="21">
        <f>1/(1+HLOOKUP(YEAR(A270),Assumptions!$A$41:$AL$43,3,TRUE))^(1/12)</f>
        <v>0.99795794845611863</v>
      </c>
      <c r="AD270">
        <f t="shared" si="72"/>
        <v>0</v>
      </c>
      <c r="AE270">
        <f t="shared" si="78"/>
        <v>0</v>
      </c>
    </row>
    <row r="271" spans="1:31" x14ac:dyDescent="0.2">
      <c r="A271" s="2">
        <f t="shared" ref="A271:A334" si="79">DATE(YEAR(A270),MONTH(A270)+2,1)-1</f>
        <v>51013</v>
      </c>
      <c r="B271">
        <f t="shared" si="73"/>
        <v>340</v>
      </c>
      <c r="C271">
        <f t="shared" si="65"/>
        <v>28.25</v>
      </c>
      <c r="D271">
        <f t="shared" si="66"/>
        <v>0</v>
      </c>
      <c r="E271">
        <f t="shared" si="67"/>
        <v>83</v>
      </c>
      <c r="F271">
        <f t="shared" si="68"/>
        <v>75</v>
      </c>
      <c r="G271">
        <f>IF(C271&gt;=$L$2,0,VLOOKUP($E271,'Mortality Table'!$A$3:$C$128,2+H$2,FALSE))</f>
        <v>0</v>
      </c>
      <c r="H271">
        <f>IF(C271&gt;=$L$2,0,VLOOKUP($E271,'Mortality Table'!$A$3:$C$128,2+I$2,FALSE))</f>
        <v>0</v>
      </c>
      <c r="I271" s="17">
        <f>G271*Assumptions!$B$1</f>
        <v>0</v>
      </c>
      <c r="J271" s="17">
        <f>H271*Assumptions!$B$1</f>
        <v>0</v>
      </c>
      <c r="K271">
        <f t="shared" si="69"/>
        <v>0</v>
      </c>
      <c r="L271">
        <f t="shared" si="74"/>
        <v>0</v>
      </c>
      <c r="M271">
        <f>HLOOKUP(C271,Assumptions!$A$6:$J$7,2,TRUE)</f>
        <v>2.6499999999999999E-2</v>
      </c>
      <c r="N271" s="23">
        <f t="shared" si="64"/>
        <v>0</v>
      </c>
      <c r="O271" s="23">
        <f t="shared" si="70"/>
        <v>0</v>
      </c>
      <c r="P271">
        <f t="shared" si="75"/>
        <v>0</v>
      </c>
      <c r="Q271" s="23">
        <f t="shared" si="71"/>
        <v>0</v>
      </c>
      <c r="R271">
        <f>Q270*Assumptions!$B$11/$E$2*N271</f>
        <v>0</v>
      </c>
      <c r="S271">
        <f>Q270*Assumptions!$B$13/$E$2*N271</f>
        <v>0</v>
      </c>
      <c r="T271">
        <f>L271*Assumptions!$B$15</f>
        <v>0</v>
      </c>
      <c r="U271">
        <f>S271*Assumptions!$B$17</f>
        <v>0</v>
      </c>
      <c r="V271">
        <f>HLOOKUP(B271,Assumptions!$A$26:$D$27,2,TRUE)</f>
        <v>0</v>
      </c>
      <c r="W271">
        <f t="shared" si="76"/>
        <v>0</v>
      </c>
      <c r="X271">
        <f t="shared" si="77"/>
        <v>0.25</v>
      </c>
      <c r="Y271">
        <f>IF(B271&gt;$M$2,0,IF(X272=0,0,(1-X272)*Assumptions!$B$11/$E$2*(1-Assumptions!$B$30)))</f>
        <v>0</v>
      </c>
      <c r="Z271">
        <f>(R271-S271)*(1-Assumptions!$B$30)-U271+Y270*Q270</f>
        <v>0</v>
      </c>
      <c r="AA271">
        <f>AA270*(1+Assumptions!$B$36)^(1/12)</f>
        <v>1.2405942538788239</v>
      </c>
      <c r="AB271" s="20">
        <f>IF(B271&gt;$M$2,0,AA270*Assumptions!$B$32/12*Q270+Z271*Assumptions!$B$34/12)</f>
        <v>0</v>
      </c>
      <c r="AC271" s="21">
        <f>1/(1+HLOOKUP(YEAR(A271),Assumptions!$A$41:$AL$43,3,TRUE))^(1/12)</f>
        <v>0.99795794845611863</v>
      </c>
      <c r="AD271">
        <f t="shared" si="72"/>
        <v>0</v>
      </c>
      <c r="AE271">
        <f t="shared" si="78"/>
        <v>0</v>
      </c>
    </row>
    <row r="272" spans="1:31" x14ac:dyDescent="0.2">
      <c r="A272" s="2">
        <f t="shared" si="79"/>
        <v>51043</v>
      </c>
      <c r="B272">
        <f t="shared" si="73"/>
        <v>341</v>
      </c>
      <c r="C272">
        <f t="shared" si="65"/>
        <v>28.333333333333332</v>
      </c>
      <c r="D272">
        <f t="shared" si="66"/>
        <v>0</v>
      </c>
      <c r="E272">
        <f t="shared" si="67"/>
        <v>83</v>
      </c>
      <c r="F272">
        <f t="shared" si="68"/>
        <v>75</v>
      </c>
      <c r="G272">
        <f>IF(C272&gt;=$L$2,0,VLOOKUP($E272,'Mortality Table'!$A$3:$C$128,2+H$2,FALSE))</f>
        <v>0</v>
      </c>
      <c r="H272">
        <f>IF(C272&gt;=$L$2,0,VLOOKUP($E272,'Mortality Table'!$A$3:$C$128,2+I$2,FALSE))</f>
        <v>0</v>
      </c>
      <c r="I272" s="17">
        <f>G272*Assumptions!$B$1</f>
        <v>0</v>
      </c>
      <c r="J272" s="17">
        <f>H272*Assumptions!$B$1</f>
        <v>0</v>
      </c>
      <c r="K272">
        <f t="shared" si="69"/>
        <v>0</v>
      </c>
      <c r="L272">
        <f t="shared" si="74"/>
        <v>0</v>
      </c>
      <c r="M272">
        <f>HLOOKUP(C272,Assumptions!$A$6:$J$7,2,TRUE)</f>
        <v>2.6499999999999999E-2</v>
      </c>
      <c r="N272" s="23">
        <f t="shared" si="64"/>
        <v>0</v>
      </c>
      <c r="O272" s="23">
        <f t="shared" si="70"/>
        <v>0</v>
      </c>
      <c r="P272">
        <f t="shared" si="75"/>
        <v>0</v>
      </c>
      <c r="Q272" s="23">
        <f t="shared" si="71"/>
        <v>0</v>
      </c>
      <c r="R272">
        <f>Q271*Assumptions!$B$11/$E$2*N272</f>
        <v>0</v>
      </c>
      <c r="S272">
        <f>Q271*Assumptions!$B$13/$E$2*N272</f>
        <v>0</v>
      </c>
      <c r="T272">
        <f>L272*Assumptions!$B$15</f>
        <v>0</v>
      </c>
      <c r="U272">
        <f>S272*Assumptions!$B$17</f>
        <v>0</v>
      </c>
      <c r="V272">
        <f>HLOOKUP(B272,Assumptions!$A$26:$D$27,2,TRUE)</f>
        <v>0</v>
      </c>
      <c r="W272">
        <f t="shared" si="76"/>
        <v>0</v>
      </c>
      <c r="X272">
        <f t="shared" si="77"/>
        <v>0.33333333333333215</v>
      </c>
      <c r="Y272">
        <f>IF(B272&gt;$M$2,0,IF(X273=0,0,(1-X273)*Assumptions!$B$11/$E$2*(1-Assumptions!$B$30)))</f>
        <v>0</v>
      </c>
      <c r="Z272">
        <f>(R272-S272)*(1-Assumptions!$B$30)-U272+Y271*Q271</f>
        <v>0</v>
      </c>
      <c r="AA272">
        <f>AA271*(1+Assumptions!$B$36)^(1/12)</f>
        <v>1.2416233740968552</v>
      </c>
      <c r="AB272" s="20">
        <f>IF(B272&gt;$M$2,0,AA271*Assumptions!$B$32/12*Q271+Z272*Assumptions!$B$34/12)</f>
        <v>0</v>
      </c>
      <c r="AC272" s="21">
        <f>1/(1+HLOOKUP(YEAR(A272),Assumptions!$A$41:$AL$43,3,TRUE))^(1/12)</f>
        <v>0.99795794845611863</v>
      </c>
      <c r="AD272">
        <f t="shared" si="72"/>
        <v>0</v>
      </c>
      <c r="AE272">
        <f t="shared" si="78"/>
        <v>0</v>
      </c>
    </row>
    <row r="273" spans="1:31" x14ac:dyDescent="0.2">
      <c r="A273" s="2">
        <f t="shared" si="79"/>
        <v>51074</v>
      </c>
      <c r="B273">
        <f t="shared" si="73"/>
        <v>342</v>
      </c>
      <c r="C273">
        <f t="shared" si="65"/>
        <v>28.416666666666668</v>
      </c>
      <c r="D273">
        <f t="shared" si="66"/>
        <v>0</v>
      </c>
      <c r="E273">
        <f t="shared" si="67"/>
        <v>83</v>
      </c>
      <c r="F273">
        <f t="shared" si="68"/>
        <v>75</v>
      </c>
      <c r="G273">
        <f>IF(C273&gt;=$L$2,0,VLOOKUP($E273,'Mortality Table'!$A$3:$C$128,2+H$2,FALSE))</f>
        <v>0</v>
      </c>
      <c r="H273">
        <f>IF(C273&gt;=$L$2,0,VLOOKUP($E273,'Mortality Table'!$A$3:$C$128,2+I$2,FALSE))</f>
        <v>0</v>
      </c>
      <c r="I273" s="17">
        <f>G273*Assumptions!$B$1</f>
        <v>0</v>
      </c>
      <c r="J273" s="17">
        <f>H273*Assumptions!$B$1</f>
        <v>0</v>
      </c>
      <c r="K273">
        <f t="shared" si="69"/>
        <v>0</v>
      </c>
      <c r="L273">
        <f t="shared" si="74"/>
        <v>0</v>
      </c>
      <c r="M273">
        <f>HLOOKUP(C273,Assumptions!$A$6:$J$7,2,TRUE)</f>
        <v>2.6499999999999999E-2</v>
      </c>
      <c r="N273" s="23">
        <f t="shared" si="64"/>
        <v>0</v>
      </c>
      <c r="O273" s="23">
        <f t="shared" si="70"/>
        <v>0</v>
      </c>
      <c r="P273">
        <f t="shared" si="75"/>
        <v>0</v>
      </c>
      <c r="Q273" s="23">
        <f t="shared" si="71"/>
        <v>0</v>
      </c>
      <c r="R273">
        <f>Q272*Assumptions!$B$11/$E$2*N273</f>
        <v>0</v>
      </c>
      <c r="S273">
        <f>Q272*Assumptions!$B$13/$E$2*N273</f>
        <v>0</v>
      </c>
      <c r="T273">
        <f>L273*Assumptions!$B$15</f>
        <v>0</v>
      </c>
      <c r="U273">
        <f>S273*Assumptions!$B$17</f>
        <v>0</v>
      </c>
      <c r="V273">
        <f>HLOOKUP(B273,Assumptions!$A$26:$D$27,2,TRUE)</f>
        <v>0</v>
      </c>
      <c r="W273">
        <f t="shared" si="76"/>
        <v>0</v>
      </c>
      <c r="X273">
        <f t="shared" si="77"/>
        <v>0.41666666666666785</v>
      </c>
      <c r="Y273">
        <f>IF(B273&gt;$M$2,0,IF(X274=0,0,(1-X274)*Assumptions!$B$11/$E$2*(1-Assumptions!$B$30)))</f>
        <v>0</v>
      </c>
      <c r="Z273">
        <f>(R273-S273)*(1-Assumptions!$B$30)-U273+Y272*Q272</f>
        <v>0</v>
      </c>
      <c r="AA273">
        <f>AA272*(1+Assumptions!$B$36)^(1/12)</f>
        <v>1.2426533480093316</v>
      </c>
      <c r="AB273" s="20">
        <f>IF(B273&gt;$M$2,0,AA272*Assumptions!$B$32/12*Q272+Z273*Assumptions!$B$34/12)</f>
        <v>0</v>
      </c>
      <c r="AC273" s="21">
        <f>1/(1+HLOOKUP(YEAR(A273),Assumptions!$A$41:$AL$43,3,TRUE))^(1/12)</f>
        <v>0.99795794845611863</v>
      </c>
      <c r="AD273">
        <f t="shared" si="72"/>
        <v>0</v>
      </c>
      <c r="AE273">
        <f t="shared" si="78"/>
        <v>0</v>
      </c>
    </row>
    <row r="274" spans="1:31" x14ac:dyDescent="0.2">
      <c r="A274" s="2">
        <f t="shared" si="79"/>
        <v>51104</v>
      </c>
      <c r="B274">
        <f t="shared" si="73"/>
        <v>343</v>
      </c>
      <c r="C274">
        <f t="shared" si="65"/>
        <v>28.5</v>
      </c>
      <c r="D274">
        <f t="shared" si="66"/>
        <v>0</v>
      </c>
      <c r="E274">
        <f t="shared" si="67"/>
        <v>83</v>
      </c>
      <c r="F274">
        <f t="shared" si="68"/>
        <v>75</v>
      </c>
      <c r="G274">
        <f>IF(C274&gt;=$L$2,0,VLOOKUP($E274,'Mortality Table'!$A$3:$C$128,2+H$2,FALSE))</f>
        <v>0</v>
      </c>
      <c r="H274">
        <f>IF(C274&gt;=$L$2,0,VLOOKUP($E274,'Mortality Table'!$A$3:$C$128,2+I$2,FALSE))</f>
        <v>0</v>
      </c>
      <c r="I274" s="17">
        <f>G274*Assumptions!$B$1</f>
        <v>0</v>
      </c>
      <c r="J274" s="17">
        <f>H274*Assumptions!$B$1</f>
        <v>0</v>
      </c>
      <c r="K274">
        <f t="shared" si="69"/>
        <v>0</v>
      </c>
      <c r="L274">
        <f t="shared" si="74"/>
        <v>0</v>
      </c>
      <c r="M274">
        <f>HLOOKUP(C274,Assumptions!$A$6:$J$7,2,TRUE)</f>
        <v>2.6499999999999999E-2</v>
      </c>
      <c r="N274" s="23">
        <f t="shared" si="64"/>
        <v>0</v>
      </c>
      <c r="O274" s="23">
        <f t="shared" si="70"/>
        <v>0</v>
      </c>
      <c r="P274">
        <f t="shared" si="75"/>
        <v>0</v>
      </c>
      <c r="Q274" s="23">
        <f t="shared" si="71"/>
        <v>0</v>
      </c>
      <c r="R274">
        <f>Q273*Assumptions!$B$11/$E$2*N274</f>
        <v>0</v>
      </c>
      <c r="S274">
        <f>Q273*Assumptions!$B$13/$E$2*N274</f>
        <v>0</v>
      </c>
      <c r="T274">
        <f>L274*Assumptions!$B$15</f>
        <v>0</v>
      </c>
      <c r="U274">
        <f>S274*Assumptions!$B$17</f>
        <v>0</v>
      </c>
      <c r="V274">
        <f>HLOOKUP(B274,Assumptions!$A$26:$D$27,2,TRUE)</f>
        <v>0</v>
      </c>
      <c r="W274">
        <f t="shared" si="76"/>
        <v>0</v>
      </c>
      <c r="X274">
        <f t="shared" si="77"/>
        <v>0.5</v>
      </c>
      <c r="Y274">
        <f>IF(B274&gt;$M$2,0,IF(X275=0,0,(1-X275)*Assumptions!$B$11/$E$2*(1-Assumptions!$B$30)))</f>
        <v>0</v>
      </c>
      <c r="Z274">
        <f>(R274-S274)*(1-Assumptions!$B$30)-U274+Y273*Q273</f>
        <v>0</v>
      </c>
      <c r="AA274">
        <f>AA273*(1+Assumptions!$B$36)^(1/12)</f>
        <v>1.2436841763244253</v>
      </c>
      <c r="AB274" s="20">
        <f>IF(B274&gt;$M$2,0,AA273*Assumptions!$B$32/12*Q273+Z274*Assumptions!$B$34/12)</f>
        <v>0</v>
      </c>
      <c r="AC274" s="21">
        <f>1/(1+HLOOKUP(YEAR(A274),Assumptions!$A$41:$AL$43,3,TRUE))^(1/12)</f>
        <v>0.99795794845611863</v>
      </c>
      <c r="AD274">
        <f t="shared" si="72"/>
        <v>0</v>
      </c>
      <c r="AE274">
        <f t="shared" si="78"/>
        <v>0</v>
      </c>
    </row>
    <row r="275" spans="1:31" x14ac:dyDescent="0.2">
      <c r="A275" s="2">
        <f t="shared" si="79"/>
        <v>51135</v>
      </c>
      <c r="B275">
        <f t="shared" si="73"/>
        <v>344</v>
      </c>
      <c r="C275">
        <f t="shared" si="65"/>
        <v>28.583333333333332</v>
      </c>
      <c r="D275">
        <f t="shared" si="66"/>
        <v>0</v>
      </c>
      <c r="E275">
        <f t="shared" si="67"/>
        <v>83</v>
      </c>
      <c r="F275">
        <f t="shared" si="68"/>
        <v>75</v>
      </c>
      <c r="G275">
        <f>IF(C275&gt;=$L$2,0,VLOOKUP($E275,'Mortality Table'!$A$3:$C$128,2+H$2,FALSE))</f>
        <v>0</v>
      </c>
      <c r="H275">
        <f>IF(C275&gt;=$L$2,0,VLOOKUP($E275,'Mortality Table'!$A$3:$C$128,2+I$2,FALSE))</f>
        <v>0</v>
      </c>
      <c r="I275" s="17">
        <f>G275*Assumptions!$B$1</f>
        <v>0</v>
      </c>
      <c r="J275" s="17">
        <f>H275*Assumptions!$B$1</f>
        <v>0</v>
      </c>
      <c r="K275">
        <f t="shared" si="69"/>
        <v>0</v>
      </c>
      <c r="L275">
        <f t="shared" si="74"/>
        <v>0</v>
      </c>
      <c r="M275">
        <f>HLOOKUP(C275,Assumptions!$A$6:$J$7,2,TRUE)</f>
        <v>2.6499999999999999E-2</v>
      </c>
      <c r="N275" s="23">
        <f t="shared" si="64"/>
        <v>0</v>
      </c>
      <c r="O275" s="23">
        <f t="shared" si="70"/>
        <v>0</v>
      </c>
      <c r="P275">
        <f t="shared" si="75"/>
        <v>0</v>
      </c>
      <c r="Q275" s="23">
        <f t="shared" si="71"/>
        <v>0</v>
      </c>
      <c r="R275">
        <f>Q274*Assumptions!$B$11/$E$2*N275</f>
        <v>0</v>
      </c>
      <c r="S275">
        <f>Q274*Assumptions!$B$13/$E$2*N275</f>
        <v>0</v>
      </c>
      <c r="T275">
        <f>L275*Assumptions!$B$15</f>
        <v>0</v>
      </c>
      <c r="U275">
        <f>S275*Assumptions!$B$17</f>
        <v>0</v>
      </c>
      <c r="V275">
        <f>HLOOKUP(B275,Assumptions!$A$26:$D$27,2,TRUE)</f>
        <v>0</v>
      </c>
      <c r="W275">
        <f t="shared" si="76"/>
        <v>0</v>
      </c>
      <c r="X275">
        <f t="shared" si="77"/>
        <v>0.58333333333333215</v>
      </c>
      <c r="Y275">
        <f>IF(B275&gt;$M$2,0,IF(X276=0,0,(1-X276)*Assumptions!$B$11/$E$2*(1-Assumptions!$B$30)))</f>
        <v>0</v>
      </c>
      <c r="Z275">
        <f>(R275-S275)*(1-Assumptions!$B$30)-U275+Y274*Q274</f>
        <v>0</v>
      </c>
      <c r="AA275">
        <f>AA274*(1+Assumptions!$B$36)^(1/12)</f>
        <v>1.2447158597508956</v>
      </c>
      <c r="AB275" s="20">
        <f>IF(B275&gt;$M$2,0,AA274*Assumptions!$B$32/12*Q274+Z275*Assumptions!$B$34/12)</f>
        <v>0</v>
      </c>
      <c r="AC275" s="21">
        <f>1/(1+HLOOKUP(YEAR(A275),Assumptions!$A$41:$AL$43,3,TRUE))^(1/12)</f>
        <v>0.99795794845611863</v>
      </c>
      <c r="AD275">
        <f t="shared" si="72"/>
        <v>0</v>
      </c>
      <c r="AE275">
        <f t="shared" si="78"/>
        <v>0</v>
      </c>
    </row>
    <row r="276" spans="1:31" x14ac:dyDescent="0.2">
      <c r="A276" s="2">
        <f t="shared" si="79"/>
        <v>51166</v>
      </c>
      <c r="B276">
        <f t="shared" si="73"/>
        <v>345</v>
      </c>
      <c r="C276">
        <f t="shared" si="65"/>
        <v>28.666666666666668</v>
      </c>
      <c r="D276">
        <f t="shared" si="66"/>
        <v>0</v>
      </c>
      <c r="E276">
        <f t="shared" si="67"/>
        <v>83</v>
      </c>
      <c r="F276">
        <f t="shared" si="68"/>
        <v>75</v>
      </c>
      <c r="G276">
        <f>IF(C276&gt;=$L$2,0,VLOOKUP($E276,'Mortality Table'!$A$3:$C$128,2+H$2,FALSE))</f>
        <v>0</v>
      </c>
      <c r="H276">
        <f>IF(C276&gt;=$L$2,0,VLOOKUP($E276,'Mortality Table'!$A$3:$C$128,2+I$2,FALSE))</f>
        <v>0</v>
      </c>
      <c r="I276" s="17">
        <f>G276*Assumptions!$B$1</f>
        <v>0</v>
      </c>
      <c r="J276" s="17">
        <f>H276*Assumptions!$B$1</f>
        <v>0</v>
      </c>
      <c r="K276">
        <f t="shared" si="69"/>
        <v>0</v>
      </c>
      <c r="L276">
        <f t="shared" si="74"/>
        <v>0</v>
      </c>
      <c r="M276">
        <f>HLOOKUP(C276,Assumptions!$A$6:$J$7,2,TRUE)</f>
        <v>2.6499999999999999E-2</v>
      </c>
      <c r="N276" s="23">
        <f t="shared" si="64"/>
        <v>0</v>
      </c>
      <c r="O276" s="23">
        <f t="shared" si="70"/>
        <v>0</v>
      </c>
      <c r="P276">
        <f t="shared" si="75"/>
        <v>0</v>
      </c>
      <c r="Q276" s="23">
        <f t="shared" si="71"/>
        <v>0</v>
      </c>
      <c r="R276">
        <f>Q275*Assumptions!$B$11/$E$2*N276</f>
        <v>0</v>
      </c>
      <c r="S276">
        <f>Q275*Assumptions!$B$13/$E$2*N276</f>
        <v>0</v>
      </c>
      <c r="T276">
        <f>L276*Assumptions!$B$15</f>
        <v>0</v>
      </c>
      <c r="U276">
        <f>S276*Assumptions!$B$17</f>
        <v>0</v>
      </c>
      <c r="V276">
        <f>HLOOKUP(B276,Assumptions!$A$26:$D$27,2,TRUE)</f>
        <v>0</v>
      </c>
      <c r="W276">
        <f t="shared" si="76"/>
        <v>0</v>
      </c>
      <c r="X276">
        <f t="shared" si="77"/>
        <v>0.66666666666666785</v>
      </c>
      <c r="Y276">
        <f>IF(B276&gt;$M$2,0,IF(X277=0,0,(1-X277)*Assumptions!$B$11/$E$2*(1-Assumptions!$B$30)))</f>
        <v>0</v>
      </c>
      <c r="Z276">
        <f>(R276-S276)*(1-Assumptions!$B$30)-U276+Y275*Q275</f>
        <v>0</v>
      </c>
      <c r="AA276">
        <f>AA275*(1+Assumptions!$B$36)^(1/12)</f>
        <v>1.2457483989980902</v>
      </c>
      <c r="AB276" s="20">
        <f>IF(B276&gt;$M$2,0,AA275*Assumptions!$B$32/12*Q275+Z276*Assumptions!$B$34/12)</f>
        <v>0</v>
      </c>
      <c r="AC276" s="21">
        <f>1/(1+HLOOKUP(YEAR(A276),Assumptions!$A$41:$AL$43,3,TRUE))^(1/12)</f>
        <v>0.99792144053252774</v>
      </c>
      <c r="AD276">
        <f t="shared" si="72"/>
        <v>0</v>
      </c>
      <c r="AE276">
        <f t="shared" si="78"/>
        <v>0</v>
      </c>
    </row>
    <row r="277" spans="1:31" x14ac:dyDescent="0.2">
      <c r="A277" s="2">
        <f t="shared" si="79"/>
        <v>51195</v>
      </c>
      <c r="B277">
        <f t="shared" si="73"/>
        <v>346</v>
      </c>
      <c r="C277">
        <f t="shared" si="65"/>
        <v>28.75</v>
      </c>
      <c r="D277">
        <f t="shared" si="66"/>
        <v>0</v>
      </c>
      <c r="E277">
        <f t="shared" si="67"/>
        <v>83</v>
      </c>
      <c r="F277">
        <f t="shared" si="68"/>
        <v>75</v>
      </c>
      <c r="G277">
        <f>IF(C277&gt;=$L$2,0,VLOOKUP($E277,'Mortality Table'!$A$3:$C$128,2+H$2,FALSE))</f>
        <v>0</v>
      </c>
      <c r="H277">
        <f>IF(C277&gt;=$L$2,0,VLOOKUP($E277,'Mortality Table'!$A$3:$C$128,2+I$2,FALSE))</f>
        <v>0</v>
      </c>
      <c r="I277" s="17">
        <f>G277*Assumptions!$B$1</f>
        <v>0</v>
      </c>
      <c r="J277" s="17">
        <f>H277*Assumptions!$B$1</f>
        <v>0</v>
      </c>
      <c r="K277">
        <f t="shared" si="69"/>
        <v>0</v>
      </c>
      <c r="L277">
        <f t="shared" si="74"/>
        <v>0</v>
      </c>
      <c r="M277">
        <f>HLOOKUP(C277,Assumptions!$A$6:$J$7,2,TRUE)</f>
        <v>2.6499999999999999E-2</v>
      </c>
      <c r="N277" s="23">
        <f t="shared" si="64"/>
        <v>0</v>
      </c>
      <c r="O277" s="23">
        <f t="shared" si="70"/>
        <v>0</v>
      </c>
      <c r="P277">
        <f t="shared" si="75"/>
        <v>0</v>
      </c>
      <c r="Q277" s="23">
        <f t="shared" si="71"/>
        <v>0</v>
      </c>
      <c r="R277">
        <f>Q276*Assumptions!$B$11/$E$2*N277</f>
        <v>0</v>
      </c>
      <c r="S277">
        <f>Q276*Assumptions!$B$13/$E$2*N277</f>
        <v>0</v>
      </c>
      <c r="T277">
        <f>L277*Assumptions!$B$15</f>
        <v>0</v>
      </c>
      <c r="U277">
        <f>S277*Assumptions!$B$17</f>
        <v>0</v>
      </c>
      <c r="V277">
        <f>HLOOKUP(B277,Assumptions!$A$26:$D$27,2,TRUE)</f>
        <v>0</v>
      </c>
      <c r="W277">
        <f t="shared" si="76"/>
        <v>0</v>
      </c>
      <c r="X277">
        <f t="shared" si="77"/>
        <v>0.75</v>
      </c>
      <c r="Y277">
        <f>IF(B277&gt;$M$2,0,IF(X278=0,0,(1-X278)*Assumptions!$B$11/$E$2*(1-Assumptions!$B$30)))</f>
        <v>0</v>
      </c>
      <c r="Z277">
        <f>(R277-S277)*(1-Assumptions!$B$30)-U277+Y276*Q276</f>
        <v>0</v>
      </c>
      <c r="AA277">
        <f>AA276*(1+Assumptions!$B$36)^(1/12)</f>
        <v>1.2467817947759448</v>
      </c>
      <c r="AB277" s="20">
        <f>IF(B277&gt;$M$2,0,AA276*Assumptions!$B$32/12*Q276+Z277*Assumptions!$B$34/12)</f>
        <v>0</v>
      </c>
      <c r="AC277" s="21">
        <f>1/(1+HLOOKUP(YEAR(A277),Assumptions!$A$41:$AL$43,3,TRUE))^(1/12)</f>
        <v>0.99792144053252774</v>
      </c>
      <c r="AD277">
        <f t="shared" si="72"/>
        <v>0</v>
      </c>
      <c r="AE277">
        <f t="shared" si="78"/>
        <v>0</v>
      </c>
    </row>
    <row r="278" spans="1:31" x14ac:dyDescent="0.2">
      <c r="A278" s="2">
        <f t="shared" si="79"/>
        <v>51226</v>
      </c>
      <c r="B278">
        <f t="shared" si="73"/>
        <v>347</v>
      </c>
      <c r="C278">
        <f t="shared" si="65"/>
        <v>28.833333333333332</v>
      </c>
      <c r="D278">
        <f t="shared" si="66"/>
        <v>0</v>
      </c>
      <c r="E278">
        <f t="shared" si="67"/>
        <v>83</v>
      </c>
      <c r="F278">
        <f t="shared" si="68"/>
        <v>75</v>
      </c>
      <c r="G278">
        <f>IF(C278&gt;=$L$2,0,VLOOKUP($E278,'Mortality Table'!$A$3:$C$128,2+H$2,FALSE))</f>
        <v>0</v>
      </c>
      <c r="H278">
        <f>IF(C278&gt;=$L$2,0,VLOOKUP($E278,'Mortality Table'!$A$3:$C$128,2+I$2,FALSE))</f>
        <v>0</v>
      </c>
      <c r="I278" s="17">
        <f>G278*Assumptions!$B$1</f>
        <v>0</v>
      </c>
      <c r="J278" s="17">
        <f>H278*Assumptions!$B$1</f>
        <v>0</v>
      </c>
      <c r="K278">
        <f t="shared" si="69"/>
        <v>0</v>
      </c>
      <c r="L278">
        <f t="shared" si="74"/>
        <v>0</v>
      </c>
      <c r="M278">
        <f>HLOOKUP(C278,Assumptions!$A$6:$J$7,2,TRUE)</f>
        <v>2.6499999999999999E-2</v>
      </c>
      <c r="N278" s="23">
        <f t="shared" si="64"/>
        <v>0</v>
      </c>
      <c r="O278" s="23">
        <f t="shared" si="70"/>
        <v>0</v>
      </c>
      <c r="P278">
        <f t="shared" si="75"/>
        <v>0</v>
      </c>
      <c r="Q278" s="23">
        <f t="shared" si="71"/>
        <v>0</v>
      </c>
      <c r="R278">
        <f>Q277*Assumptions!$B$11/$E$2*N278</f>
        <v>0</v>
      </c>
      <c r="S278">
        <f>Q277*Assumptions!$B$13/$E$2*N278</f>
        <v>0</v>
      </c>
      <c r="T278">
        <f>L278*Assumptions!$B$15</f>
        <v>0</v>
      </c>
      <c r="U278">
        <f>S278*Assumptions!$B$17</f>
        <v>0</v>
      </c>
      <c r="V278">
        <f>HLOOKUP(B278,Assumptions!$A$26:$D$27,2,TRUE)</f>
        <v>0</v>
      </c>
      <c r="W278">
        <f t="shared" si="76"/>
        <v>0</v>
      </c>
      <c r="X278">
        <f t="shared" si="77"/>
        <v>0.83333333333333215</v>
      </c>
      <c r="Y278">
        <f>IF(B278&gt;$M$2,0,IF(X279=0,0,(1-X279)*Assumptions!$B$11/$E$2*(1-Assumptions!$B$30)))</f>
        <v>0</v>
      </c>
      <c r="Z278">
        <f>(R278-S278)*(1-Assumptions!$B$30)-U278+Y277*Q277</f>
        <v>0</v>
      </c>
      <c r="AA278">
        <f>AA277*(1+Assumptions!$B$36)^(1/12)</f>
        <v>1.2478160477949842</v>
      </c>
      <c r="AB278" s="20">
        <f>IF(B278&gt;$M$2,0,AA277*Assumptions!$B$32/12*Q277+Z278*Assumptions!$B$34/12)</f>
        <v>0</v>
      </c>
      <c r="AC278" s="21">
        <f>1/(1+HLOOKUP(YEAR(A278),Assumptions!$A$41:$AL$43,3,TRUE))^(1/12)</f>
        <v>0.99792144053252774</v>
      </c>
      <c r="AD278">
        <f t="shared" si="72"/>
        <v>0</v>
      </c>
      <c r="AE278">
        <f t="shared" si="78"/>
        <v>0</v>
      </c>
    </row>
    <row r="279" spans="1:31" x14ac:dyDescent="0.2">
      <c r="A279" s="2">
        <f t="shared" si="79"/>
        <v>51256</v>
      </c>
      <c r="B279">
        <f t="shared" si="73"/>
        <v>348</v>
      </c>
      <c r="C279">
        <f t="shared" si="65"/>
        <v>28.916666666666668</v>
      </c>
      <c r="D279">
        <f t="shared" si="66"/>
        <v>0</v>
      </c>
      <c r="E279">
        <f t="shared" si="67"/>
        <v>83</v>
      </c>
      <c r="F279">
        <f t="shared" si="68"/>
        <v>75</v>
      </c>
      <c r="G279">
        <f>IF(C279&gt;=$L$2,0,VLOOKUP($E279,'Mortality Table'!$A$3:$C$128,2+H$2,FALSE))</f>
        <v>0</v>
      </c>
      <c r="H279">
        <f>IF(C279&gt;=$L$2,0,VLOOKUP($E279,'Mortality Table'!$A$3:$C$128,2+I$2,FALSE))</f>
        <v>0</v>
      </c>
      <c r="I279" s="17">
        <f>G279*Assumptions!$B$1</f>
        <v>0</v>
      </c>
      <c r="J279" s="17">
        <f>H279*Assumptions!$B$1</f>
        <v>0</v>
      </c>
      <c r="K279">
        <f t="shared" si="69"/>
        <v>0</v>
      </c>
      <c r="L279">
        <f t="shared" si="74"/>
        <v>0</v>
      </c>
      <c r="M279">
        <f>HLOOKUP(C279,Assumptions!$A$6:$J$7,2,TRUE)</f>
        <v>2.6499999999999999E-2</v>
      </c>
      <c r="N279" s="23">
        <f t="shared" si="64"/>
        <v>0</v>
      </c>
      <c r="O279" s="23">
        <f t="shared" si="70"/>
        <v>0</v>
      </c>
      <c r="P279">
        <f t="shared" si="75"/>
        <v>0</v>
      </c>
      <c r="Q279" s="23">
        <f t="shared" si="71"/>
        <v>0</v>
      </c>
      <c r="R279">
        <f>Q278*Assumptions!$B$11/$E$2*N279</f>
        <v>0</v>
      </c>
      <c r="S279">
        <f>Q278*Assumptions!$B$13/$E$2*N279</f>
        <v>0</v>
      </c>
      <c r="T279">
        <f>L279*Assumptions!$B$15</f>
        <v>0</v>
      </c>
      <c r="U279">
        <f>S279*Assumptions!$B$17</f>
        <v>0</v>
      </c>
      <c r="V279">
        <f>HLOOKUP(B279,Assumptions!$A$26:$D$27,2,TRUE)</f>
        <v>0</v>
      </c>
      <c r="W279">
        <f t="shared" si="76"/>
        <v>0</v>
      </c>
      <c r="X279">
        <f t="shared" si="77"/>
        <v>0.91666666666666785</v>
      </c>
      <c r="Y279">
        <f>IF(B279&gt;$M$2,0,IF(X280=0,0,(1-X280)*Assumptions!$B$11/$E$2*(1-Assumptions!$B$30)))</f>
        <v>0</v>
      </c>
      <c r="Z279">
        <f>(R279-S279)*(1-Assumptions!$B$30)-U279+Y278*Q278</f>
        <v>0</v>
      </c>
      <c r="AA279">
        <f>AA278*(1+Assumptions!$B$36)^(1/12)</f>
        <v>1.2488511587663229</v>
      </c>
      <c r="AB279" s="20">
        <f>IF(B279&gt;$M$2,0,AA278*Assumptions!$B$32/12*Q278+Z279*Assumptions!$B$34/12)</f>
        <v>0</v>
      </c>
      <c r="AC279" s="21">
        <f>1/(1+HLOOKUP(YEAR(A279),Assumptions!$A$41:$AL$43,3,TRUE))^(1/12)</f>
        <v>0.99792144053252774</v>
      </c>
      <c r="AD279">
        <f t="shared" si="72"/>
        <v>0</v>
      </c>
      <c r="AE279">
        <f t="shared" si="78"/>
        <v>0</v>
      </c>
    </row>
    <row r="280" spans="1:31" x14ac:dyDescent="0.2">
      <c r="A280" s="2">
        <f t="shared" si="79"/>
        <v>51287</v>
      </c>
      <c r="B280">
        <f t="shared" si="73"/>
        <v>349</v>
      </c>
      <c r="C280">
        <f t="shared" si="65"/>
        <v>29</v>
      </c>
      <c r="D280">
        <f t="shared" si="66"/>
        <v>1</v>
      </c>
      <c r="E280">
        <f t="shared" si="67"/>
        <v>84</v>
      </c>
      <c r="F280">
        <f t="shared" si="68"/>
        <v>76</v>
      </c>
      <c r="G280">
        <f>IF(C280&gt;=$L$2,0,VLOOKUP($E280,'Mortality Table'!$A$3:$C$128,2+H$2,FALSE))</f>
        <v>0</v>
      </c>
      <c r="H280">
        <f>IF(C280&gt;=$L$2,0,VLOOKUP($E280,'Mortality Table'!$A$3:$C$128,2+I$2,FALSE))</f>
        <v>0</v>
      </c>
      <c r="I280" s="17">
        <f>G280*Assumptions!$B$1</f>
        <v>0</v>
      </c>
      <c r="J280" s="17">
        <f>H280*Assumptions!$B$1</f>
        <v>0</v>
      </c>
      <c r="K280">
        <f t="shared" si="69"/>
        <v>0</v>
      </c>
      <c r="L280">
        <f t="shared" si="74"/>
        <v>0</v>
      </c>
      <c r="M280">
        <f>HLOOKUP(C280,Assumptions!$A$6:$J$7,2,TRUE)</f>
        <v>2.6499999999999999E-2</v>
      </c>
      <c r="N280" s="23">
        <f t="shared" si="64"/>
        <v>0</v>
      </c>
      <c r="O280" s="23">
        <f t="shared" si="70"/>
        <v>0</v>
      </c>
      <c r="P280">
        <f t="shared" si="75"/>
        <v>0</v>
      </c>
      <c r="Q280" s="23">
        <f t="shared" si="71"/>
        <v>0</v>
      </c>
      <c r="R280">
        <f>Q279*Assumptions!$B$11/$E$2*N280</f>
        <v>0</v>
      </c>
      <c r="S280">
        <f>Q279*Assumptions!$B$13/$E$2*N280</f>
        <v>0</v>
      </c>
      <c r="T280">
        <f>L280*Assumptions!$B$15</f>
        <v>0</v>
      </c>
      <c r="U280">
        <f>S280*Assumptions!$B$17</f>
        <v>0</v>
      </c>
      <c r="V280">
        <f>HLOOKUP(B280,Assumptions!$A$26:$D$27,2,TRUE)</f>
        <v>0</v>
      </c>
      <c r="W280">
        <f t="shared" si="76"/>
        <v>0</v>
      </c>
      <c r="X280">
        <f t="shared" si="77"/>
        <v>0</v>
      </c>
      <c r="Y280">
        <f>IF(B280&gt;$M$2,0,IF(X281=0,0,(1-X281)*Assumptions!$B$11/$E$2*(1-Assumptions!$B$30)))</f>
        <v>0</v>
      </c>
      <c r="Z280">
        <f>(R280-S280)*(1-Assumptions!$B$30)-U280+Y279*Q279</f>
        <v>0</v>
      </c>
      <c r="AA280">
        <f>AA279*(1+Assumptions!$B$36)^(1/12)</f>
        <v>1.249887128401665</v>
      </c>
      <c r="AB280" s="20">
        <f>IF(B280&gt;$M$2,0,AA279*Assumptions!$B$32/12*Q279+Z280*Assumptions!$B$34/12)</f>
        <v>0</v>
      </c>
      <c r="AC280" s="21">
        <f>1/(1+HLOOKUP(YEAR(A280),Assumptions!$A$41:$AL$43,3,TRUE))^(1/12)</f>
        <v>0.99792144053252774</v>
      </c>
      <c r="AD280">
        <f t="shared" si="72"/>
        <v>0</v>
      </c>
      <c r="AE280">
        <f t="shared" si="78"/>
        <v>0</v>
      </c>
    </row>
    <row r="281" spans="1:31" x14ac:dyDescent="0.2">
      <c r="A281" s="2">
        <f t="shared" si="79"/>
        <v>51317</v>
      </c>
      <c r="B281">
        <f t="shared" si="73"/>
        <v>350</v>
      </c>
      <c r="C281">
        <f t="shared" si="65"/>
        <v>29.083333333333332</v>
      </c>
      <c r="D281">
        <f t="shared" si="66"/>
        <v>0</v>
      </c>
      <c r="E281">
        <f t="shared" si="67"/>
        <v>84</v>
      </c>
      <c r="F281">
        <f t="shared" si="68"/>
        <v>76</v>
      </c>
      <c r="G281">
        <f>IF(C281&gt;=$L$2,0,VLOOKUP($E281,'Mortality Table'!$A$3:$C$128,2+H$2,FALSE))</f>
        <v>0</v>
      </c>
      <c r="H281">
        <f>IF(C281&gt;=$L$2,0,VLOOKUP($E281,'Mortality Table'!$A$3:$C$128,2+I$2,FALSE))</f>
        <v>0</v>
      </c>
      <c r="I281" s="17">
        <f>G281*Assumptions!$B$1</f>
        <v>0</v>
      </c>
      <c r="J281" s="17">
        <f>H281*Assumptions!$B$1</f>
        <v>0</v>
      </c>
      <c r="K281">
        <f t="shared" si="69"/>
        <v>0</v>
      </c>
      <c r="L281">
        <f t="shared" si="74"/>
        <v>0</v>
      </c>
      <c r="M281">
        <f>HLOOKUP(C281,Assumptions!$A$6:$J$7,2,TRUE)</f>
        <v>2.6499999999999999E-2</v>
      </c>
      <c r="N281" s="23">
        <f t="shared" si="64"/>
        <v>0</v>
      </c>
      <c r="O281" s="23">
        <f t="shared" si="70"/>
        <v>0</v>
      </c>
      <c r="P281">
        <f t="shared" si="75"/>
        <v>0</v>
      </c>
      <c r="Q281" s="23">
        <f t="shared" si="71"/>
        <v>0</v>
      </c>
      <c r="R281">
        <f>Q280*Assumptions!$B$11/$E$2*N281</f>
        <v>0</v>
      </c>
      <c r="S281">
        <f>Q280*Assumptions!$B$13/$E$2*N281</f>
        <v>0</v>
      </c>
      <c r="T281">
        <f>L281*Assumptions!$B$15</f>
        <v>0</v>
      </c>
      <c r="U281">
        <f>S281*Assumptions!$B$17</f>
        <v>0</v>
      </c>
      <c r="V281">
        <f>HLOOKUP(B281,Assumptions!$A$26:$D$27,2,TRUE)</f>
        <v>0</v>
      </c>
      <c r="W281">
        <f t="shared" si="76"/>
        <v>0</v>
      </c>
      <c r="X281">
        <f t="shared" si="77"/>
        <v>8.3333333333332149E-2</v>
      </c>
      <c r="Y281">
        <f>IF(B281&gt;$M$2,0,IF(X282=0,0,(1-X282)*Assumptions!$B$11/$E$2*(1-Assumptions!$B$30)))</f>
        <v>0</v>
      </c>
      <c r="Z281">
        <f>(R281-S281)*(1-Assumptions!$B$30)-U281+Y280*Q280</f>
        <v>0</v>
      </c>
      <c r="AA281">
        <f>AA280*(1+Assumptions!$B$36)^(1/12)</f>
        <v>1.2509239574133049</v>
      </c>
      <c r="AB281" s="20">
        <f>IF(B281&gt;$M$2,0,AA280*Assumptions!$B$32/12*Q280+Z281*Assumptions!$B$34/12)</f>
        <v>0</v>
      </c>
      <c r="AC281" s="21">
        <f>1/(1+HLOOKUP(YEAR(A281),Assumptions!$A$41:$AL$43,3,TRUE))^(1/12)</f>
        <v>0.99792144053252774</v>
      </c>
      <c r="AD281">
        <f t="shared" si="72"/>
        <v>0</v>
      </c>
      <c r="AE281">
        <f t="shared" si="78"/>
        <v>0</v>
      </c>
    </row>
    <row r="282" spans="1:31" x14ac:dyDescent="0.2">
      <c r="A282" s="2">
        <f t="shared" si="79"/>
        <v>51348</v>
      </c>
      <c r="B282">
        <f t="shared" si="73"/>
        <v>351</v>
      </c>
      <c r="C282">
        <f t="shared" si="65"/>
        <v>29.166666666666668</v>
      </c>
      <c r="D282">
        <f t="shared" si="66"/>
        <v>0</v>
      </c>
      <c r="E282">
        <f t="shared" si="67"/>
        <v>84</v>
      </c>
      <c r="F282">
        <f t="shared" si="68"/>
        <v>76</v>
      </c>
      <c r="G282">
        <f>IF(C282&gt;=$L$2,0,VLOOKUP($E282,'Mortality Table'!$A$3:$C$128,2+H$2,FALSE))</f>
        <v>0</v>
      </c>
      <c r="H282">
        <f>IF(C282&gt;=$L$2,0,VLOOKUP($E282,'Mortality Table'!$A$3:$C$128,2+I$2,FALSE))</f>
        <v>0</v>
      </c>
      <c r="I282" s="17">
        <f>G282*Assumptions!$B$1</f>
        <v>0</v>
      </c>
      <c r="J282" s="17">
        <f>H282*Assumptions!$B$1</f>
        <v>0</v>
      </c>
      <c r="K282">
        <f t="shared" si="69"/>
        <v>0</v>
      </c>
      <c r="L282">
        <f t="shared" si="74"/>
        <v>0</v>
      </c>
      <c r="M282">
        <f>HLOOKUP(C282,Assumptions!$A$6:$J$7,2,TRUE)</f>
        <v>2.6499999999999999E-2</v>
      </c>
      <c r="N282" s="23">
        <f t="shared" si="64"/>
        <v>0</v>
      </c>
      <c r="O282" s="23">
        <f t="shared" si="70"/>
        <v>0</v>
      </c>
      <c r="P282">
        <f t="shared" si="75"/>
        <v>0</v>
      </c>
      <c r="Q282" s="23">
        <f t="shared" si="71"/>
        <v>0</v>
      </c>
      <c r="R282">
        <f>Q281*Assumptions!$B$11/$E$2*N282</f>
        <v>0</v>
      </c>
      <c r="S282">
        <f>Q281*Assumptions!$B$13/$E$2*N282</f>
        <v>0</v>
      </c>
      <c r="T282">
        <f>L282*Assumptions!$B$15</f>
        <v>0</v>
      </c>
      <c r="U282">
        <f>S282*Assumptions!$B$17</f>
        <v>0</v>
      </c>
      <c r="V282">
        <f>HLOOKUP(B282,Assumptions!$A$26:$D$27,2,TRUE)</f>
        <v>0</v>
      </c>
      <c r="W282">
        <f t="shared" si="76"/>
        <v>0</v>
      </c>
      <c r="X282">
        <f t="shared" si="77"/>
        <v>0.16666666666666785</v>
      </c>
      <c r="Y282">
        <f>IF(B282&gt;$M$2,0,IF(X283=0,0,(1-X283)*Assumptions!$B$11/$E$2*(1-Assumptions!$B$30)))</f>
        <v>0</v>
      </c>
      <c r="Z282">
        <f>(R282-S282)*(1-Assumptions!$B$30)-U282+Y281*Q281</f>
        <v>0</v>
      </c>
      <c r="AA282">
        <f>AA281*(1+Assumptions!$B$36)^(1/12)</f>
        <v>1.2519616465141279</v>
      </c>
      <c r="AB282" s="20">
        <f>IF(B282&gt;$M$2,0,AA281*Assumptions!$B$32/12*Q281+Z282*Assumptions!$B$34/12)</f>
        <v>0</v>
      </c>
      <c r="AC282" s="21">
        <f>1/(1+HLOOKUP(YEAR(A282),Assumptions!$A$41:$AL$43,3,TRUE))^(1/12)</f>
        <v>0.99792144053252774</v>
      </c>
      <c r="AD282">
        <f t="shared" si="72"/>
        <v>0</v>
      </c>
      <c r="AE282">
        <f t="shared" si="78"/>
        <v>0</v>
      </c>
    </row>
    <row r="283" spans="1:31" x14ac:dyDescent="0.2">
      <c r="A283" s="2">
        <f t="shared" si="79"/>
        <v>51379</v>
      </c>
      <c r="B283">
        <f t="shared" si="73"/>
        <v>352</v>
      </c>
      <c r="C283">
        <f t="shared" si="65"/>
        <v>29.25</v>
      </c>
      <c r="D283">
        <f t="shared" si="66"/>
        <v>0</v>
      </c>
      <c r="E283">
        <f t="shared" si="67"/>
        <v>84</v>
      </c>
      <c r="F283">
        <f t="shared" si="68"/>
        <v>76</v>
      </c>
      <c r="G283">
        <f>IF(C283&gt;=$L$2,0,VLOOKUP($E283,'Mortality Table'!$A$3:$C$128,2+H$2,FALSE))</f>
        <v>0</v>
      </c>
      <c r="H283">
        <f>IF(C283&gt;=$L$2,0,VLOOKUP($E283,'Mortality Table'!$A$3:$C$128,2+I$2,FALSE))</f>
        <v>0</v>
      </c>
      <c r="I283" s="17">
        <f>G283*Assumptions!$B$1</f>
        <v>0</v>
      </c>
      <c r="J283" s="17">
        <f>H283*Assumptions!$B$1</f>
        <v>0</v>
      </c>
      <c r="K283">
        <f t="shared" si="69"/>
        <v>0</v>
      </c>
      <c r="L283">
        <f t="shared" si="74"/>
        <v>0</v>
      </c>
      <c r="M283">
        <f>HLOOKUP(C283,Assumptions!$A$6:$J$7,2,TRUE)</f>
        <v>2.6499999999999999E-2</v>
      </c>
      <c r="N283" s="23">
        <f t="shared" si="64"/>
        <v>0</v>
      </c>
      <c r="O283" s="23">
        <f t="shared" si="70"/>
        <v>0</v>
      </c>
      <c r="P283">
        <f t="shared" si="75"/>
        <v>0</v>
      </c>
      <c r="Q283" s="23">
        <f t="shared" si="71"/>
        <v>0</v>
      </c>
      <c r="R283">
        <f>Q282*Assumptions!$B$11/$E$2*N283</f>
        <v>0</v>
      </c>
      <c r="S283">
        <f>Q282*Assumptions!$B$13/$E$2*N283</f>
        <v>0</v>
      </c>
      <c r="T283">
        <f>L283*Assumptions!$B$15</f>
        <v>0</v>
      </c>
      <c r="U283">
        <f>S283*Assumptions!$B$17</f>
        <v>0</v>
      </c>
      <c r="V283">
        <f>HLOOKUP(B283,Assumptions!$A$26:$D$27,2,TRUE)</f>
        <v>0</v>
      </c>
      <c r="W283">
        <f t="shared" si="76"/>
        <v>0</v>
      </c>
      <c r="X283">
        <f t="shared" si="77"/>
        <v>0.25</v>
      </c>
      <c r="Y283">
        <f>IF(B283&gt;$M$2,0,IF(X284=0,0,(1-X284)*Assumptions!$B$11/$E$2*(1-Assumptions!$B$30)))</f>
        <v>0</v>
      </c>
      <c r="Z283">
        <f>(R283-S283)*(1-Assumptions!$B$30)-U283+Y282*Q282</f>
        <v>0</v>
      </c>
      <c r="AA283">
        <f>AA282*(1+Assumptions!$B$36)^(1/12)</f>
        <v>1.253000196417611</v>
      </c>
      <c r="AB283" s="20">
        <f>IF(B283&gt;$M$2,0,AA282*Assumptions!$B$32/12*Q282+Z283*Assumptions!$B$34/12)</f>
        <v>0</v>
      </c>
      <c r="AC283" s="21">
        <f>1/(1+HLOOKUP(YEAR(A283),Assumptions!$A$41:$AL$43,3,TRUE))^(1/12)</f>
        <v>0.99792144053252774</v>
      </c>
      <c r="AD283">
        <f t="shared" si="72"/>
        <v>0</v>
      </c>
      <c r="AE283">
        <f t="shared" si="78"/>
        <v>0</v>
      </c>
    </row>
    <row r="284" spans="1:31" x14ac:dyDescent="0.2">
      <c r="A284" s="2">
        <f t="shared" si="79"/>
        <v>51409</v>
      </c>
      <c r="B284">
        <f t="shared" si="73"/>
        <v>353</v>
      </c>
      <c r="C284">
        <f t="shared" si="65"/>
        <v>29.333333333333332</v>
      </c>
      <c r="D284">
        <f t="shared" si="66"/>
        <v>0</v>
      </c>
      <c r="E284">
        <f t="shared" si="67"/>
        <v>84</v>
      </c>
      <c r="F284">
        <f t="shared" si="68"/>
        <v>76</v>
      </c>
      <c r="G284">
        <f>IF(C284&gt;=$L$2,0,VLOOKUP($E284,'Mortality Table'!$A$3:$C$128,2+H$2,FALSE))</f>
        <v>0</v>
      </c>
      <c r="H284">
        <f>IF(C284&gt;=$L$2,0,VLOOKUP($E284,'Mortality Table'!$A$3:$C$128,2+I$2,FALSE))</f>
        <v>0</v>
      </c>
      <c r="I284" s="17">
        <f>G284*Assumptions!$B$1</f>
        <v>0</v>
      </c>
      <c r="J284" s="17">
        <f>H284*Assumptions!$B$1</f>
        <v>0</v>
      </c>
      <c r="K284">
        <f t="shared" si="69"/>
        <v>0</v>
      </c>
      <c r="L284">
        <f t="shared" si="74"/>
        <v>0</v>
      </c>
      <c r="M284">
        <f>HLOOKUP(C284,Assumptions!$A$6:$J$7,2,TRUE)</f>
        <v>2.6499999999999999E-2</v>
      </c>
      <c r="N284" s="23">
        <f t="shared" si="64"/>
        <v>0</v>
      </c>
      <c r="O284" s="23">
        <f t="shared" si="70"/>
        <v>0</v>
      </c>
      <c r="P284">
        <f t="shared" si="75"/>
        <v>0</v>
      </c>
      <c r="Q284" s="23">
        <f t="shared" si="71"/>
        <v>0</v>
      </c>
      <c r="R284">
        <f>Q283*Assumptions!$B$11/$E$2*N284</f>
        <v>0</v>
      </c>
      <c r="S284">
        <f>Q283*Assumptions!$B$13/$E$2*N284</f>
        <v>0</v>
      </c>
      <c r="T284">
        <f>L284*Assumptions!$B$15</f>
        <v>0</v>
      </c>
      <c r="U284">
        <f>S284*Assumptions!$B$17</f>
        <v>0</v>
      </c>
      <c r="V284">
        <f>HLOOKUP(B284,Assumptions!$A$26:$D$27,2,TRUE)</f>
        <v>0</v>
      </c>
      <c r="W284">
        <f t="shared" si="76"/>
        <v>0</v>
      </c>
      <c r="X284">
        <f t="shared" si="77"/>
        <v>0.33333333333333215</v>
      </c>
      <c r="Y284">
        <f>IF(B284&gt;$M$2,0,IF(X285=0,0,(1-X285)*Assumptions!$B$11/$E$2*(1-Assumptions!$B$30)))</f>
        <v>0</v>
      </c>
      <c r="Z284">
        <f>(R284-S284)*(1-Assumptions!$B$30)-U284+Y283*Q283</f>
        <v>0</v>
      </c>
      <c r="AA284">
        <f>AA283*(1+Assumptions!$B$36)^(1/12)</f>
        <v>1.2540396078378226</v>
      </c>
      <c r="AB284" s="20">
        <f>IF(B284&gt;$M$2,0,AA283*Assumptions!$B$32/12*Q283+Z284*Assumptions!$B$34/12)</f>
        <v>0</v>
      </c>
      <c r="AC284" s="21">
        <f>1/(1+HLOOKUP(YEAR(A284),Assumptions!$A$41:$AL$43,3,TRUE))^(1/12)</f>
        <v>0.99792144053252774</v>
      </c>
      <c r="AD284">
        <f t="shared" si="72"/>
        <v>0</v>
      </c>
      <c r="AE284">
        <f t="shared" si="78"/>
        <v>0</v>
      </c>
    </row>
    <row r="285" spans="1:31" x14ac:dyDescent="0.2">
      <c r="A285" s="2">
        <f t="shared" si="79"/>
        <v>51440</v>
      </c>
      <c r="B285">
        <f t="shared" si="73"/>
        <v>354</v>
      </c>
      <c r="C285">
        <f t="shared" si="65"/>
        <v>29.416666666666668</v>
      </c>
      <c r="D285">
        <f t="shared" si="66"/>
        <v>0</v>
      </c>
      <c r="E285">
        <f t="shared" si="67"/>
        <v>84</v>
      </c>
      <c r="F285">
        <f t="shared" si="68"/>
        <v>76</v>
      </c>
      <c r="G285">
        <f>IF(C285&gt;=$L$2,0,VLOOKUP($E285,'Mortality Table'!$A$3:$C$128,2+H$2,FALSE))</f>
        <v>0</v>
      </c>
      <c r="H285">
        <f>IF(C285&gt;=$L$2,0,VLOOKUP($E285,'Mortality Table'!$A$3:$C$128,2+I$2,FALSE))</f>
        <v>0</v>
      </c>
      <c r="I285" s="17">
        <f>G285*Assumptions!$B$1</f>
        <v>0</v>
      </c>
      <c r="J285" s="17">
        <f>H285*Assumptions!$B$1</f>
        <v>0</v>
      </c>
      <c r="K285">
        <f t="shared" si="69"/>
        <v>0</v>
      </c>
      <c r="L285">
        <f t="shared" si="74"/>
        <v>0</v>
      </c>
      <c r="M285">
        <f>HLOOKUP(C285,Assumptions!$A$6:$J$7,2,TRUE)</f>
        <v>2.6499999999999999E-2</v>
      </c>
      <c r="N285" s="23">
        <f t="shared" si="64"/>
        <v>0</v>
      </c>
      <c r="O285" s="23">
        <f t="shared" si="70"/>
        <v>0</v>
      </c>
      <c r="P285">
        <f t="shared" si="75"/>
        <v>0</v>
      </c>
      <c r="Q285" s="23">
        <f t="shared" si="71"/>
        <v>0</v>
      </c>
      <c r="R285">
        <f>Q284*Assumptions!$B$11/$E$2*N285</f>
        <v>0</v>
      </c>
      <c r="S285">
        <f>Q284*Assumptions!$B$13/$E$2*N285</f>
        <v>0</v>
      </c>
      <c r="T285">
        <f>L285*Assumptions!$B$15</f>
        <v>0</v>
      </c>
      <c r="U285">
        <f>S285*Assumptions!$B$17</f>
        <v>0</v>
      </c>
      <c r="V285">
        <f>HLOOKUP(B285,Assumptions!$A$26:$D$27,2,TRUE)</f>
        <v>0</v>
      </c>
      <c r="W285">
        <f t="shared" si="76"/>
        <v>0</v>
      </c>
      <c r="X285">
        <f t="shared" si="77"/>
        <v>0.41666666666666785</v>
      </c>
      <c r="Y285">
        <f>IF(B285&gt;$M$2,0,IF(X286=0,0,(1-X286)*Assumptions!$B$11/$E$2*(1-Assumptions!$B$30)))</f>
        <v>0</v>
      </c>
      <c r="Z285">
        <f>(R285-S285)*(1-Assumptions!$B$30)-U285+Y284*Q284</f>
        <v>0</v>
      </c>
      <c r="AA285">
        <f>AA284*(1+Assumptions!$B$36)^(1/12)</f>
        <v>1.2550798814894237</v>
      </c>
      <c r="AB285" s="20">
        <f>IF(B285&gt;$M$2,0,AA284*Assumptions!$B$32/12*Q284+Z285*Assumptions!$B$34/12)</f>
        <v>0</v>
      </c>
      <c r="AC285" s="21">
        <f>1/(1+HLOOKUP(YEAR(A285),Assumptions!$A$41:$AL$43,3,TRUE))^(1/12)</f>
        <v>0.99792144053252774</v>
      </c>
      <c r="AD285">
        <f t="shared" si="72"/>
        <v>0</v>
      </c>
      <c r="AE285">
        <f t="shared" si="78"/>
        <v>0</v>
      </c>
    </row>
    <row r="286" spans="1:31" x14ac:dyDescent="0.2">
      <c r="A286" s="2">
        <f t="shared" si="79"/>
        <v>51470</v>
      </c>
      <c r="B286">
        <f t="shared" si="73"/>
        <v>355</v>
      </c>
      <c r="C286">
        <f t="shared" si="65"/>
        <v>29.5</v>
      </c>
      <c r="D286">
        <f t="shared" si="66"/>
        <v>0</v>
      </c>
      <c r="E286">
        <f t="shared" si="67"/>
        <v>84</v>
      </c>
      <c r="F286">
        <f t="shared" si="68"/>
        <v>76</v>
      </c>
      <c r="G286">
        <f>IF(C286&gt;=$L$2,0,VLOOKUP($E286,'Mortality Table'!$A$3:$C$128,2+H$2,FALSE))</f>
        <v>0</v>
      </c>
      <c r="H286">
        <f>IF(C286&gt;=$L$2,0,VLOOKUP($E286,'Mortality Table'!$A$3:$C$128,2+I$2,FALSE))</f>
        <v>0</v>
      </c>
      <c r="I286" s="17">
        <f>G286*Assumptions!$B$1</f>
        <v>0</v>
      </c>
      <c r="J286" s="17">
        <f>H286*Assumptions!$B$1</f>
        <v>0</v>
      </c>
      <c r="K286">
        <f t="shared" si="69"/>
        <v>0</v>
      </c>
      <c r="L286">
        <f t="shared" si="74"/>
        <v>0</v>
      </c>
      <c r="M286">
        <f>HLOOKUP(C286,Assumptions!$A$6:$J$7,2,TRUE)</f>
        <v>2.6499999999999999E-2</v>
      </c>
      <c r="N286" s="23">
        <f t="shared" si="64"/>
        <v>0</v>
      </c>
      <c r="O286" s="23">
        <f t="shared" si="70"/>
        <v>0</v>
      </c>
      <c r="P286">
        <f t="shared" si="75"/>
        <v>0</v>
      </c>
      <c r="Q286" s="23">
        <f t="shared" si="71"/>
        <v>0</v>
      </c>
      <c r="R286">
        <f>Q285*Assumptions!$B$11/$E$2*N286</f>
        <v>0</v>
      </c>
      <c r="S286">
        <f>Q285*Assumptions!$B$13/$E$2*N286</f>
        <v>0</v>
      </c>
      <c r="T286">
        <f>L286*Assumptions!$B$15</f>
        <v>0</v>
      </c>
      <c r="U286">
        <f>S286*Assumptions!$B$17</f>
        <v>0</v>
      </c>
      <c r="V286">
        <f>HLOOKUP(B286,Assumptions!$A$26:$D$27,2,TRUE)</f>
        <v>0</v>
      </c>
      <c r="W286">
        <f t="shared" si="76"/>
        <v>0</v>
      </c>
      <c r="X286">
        <f t="shared" si="77"/>
        <v>0.5</v>
      </c>
      <c r="Y286">
        <f>IF(B286&gt;$M$2,0,IF(X287=0,0,(1-X287)*Assumptions!$B$11/$E$2*(1-Assumptions!$B$30)))</f>
        <v>0</v>
      </c>
      <c r="Z286">
        <f>(R286-S286)*(1-Assumptions!$B$30)-U286+Y285*Q285</f>
        <v>0</v>
      </c>
      <c r="AA286">
        <f>AA285*(1+Assumptions!$B$36)^(1/12)</f>
        <v>1.2561210180876683</v>
      </c>
      <c r="AB286" s="20">
        <f>IF(B286&gt;$M$2,0,AA285*Assumptions!$B$32/12*Q285+Z286*Assumptions!$B$34/12)</f>
        <v>0</v>
      </c>
      <c r="AC286" s="21">
        <f>1/(1+HLOOKUP(YEAR(A286),Assumptions!$A$41:$AL$43,3,TRUE))^(1/12)</f>
        <v>0.99792144053252774</v>
      </c>
      <c r="AD286">
        <f t="shared" si="72"/>
        <v>0</v>
      </c>
      <c r="AE286">
        <f t="shared" si="78"/>
        <v>0</v>
      </c>
    </row>
    <row r="287" spans="1:31" x14ac:dyDescent="0.2">
      <c r="A287" s="2">
        <f t="shared" si="79"/>
        <v>51501</v>
      </c>
      <c r="B287">
        <f t="shared" si="73"/>
        <v>356</v>
      </c>
      <c r="C287">
        <f t="shared" si="65"/>
        <v>29.583333333333332</v>
      </c>
      <c r="D287">
        <f t="shared" si="66"/>
        <v>0</v>
      </c>
      <c r="E287">
        <f t="shared" si="67"/>
        <v>84</v>
      </c>
      <c r="F287">
        <f t="shared" si="68"/>
        <v>76</v>
      </c>
      <c r="G287">
        <f>IF(C287&gt;=$L$2,0,VLOOKUP($E287,'Mortality Table'!$A$3:$C$128,2+H$2,FALSE))</f>
        <v>0</v>
      </c>
      <c r="H287">
        <f>IF(C287&gt;=$L$2,0,VLOOKUP($E287,'Mortality Table'!$A$3:$C$128,2+I$2,FALSE))</f>
        <v>0</v>
      </c>
      <c r="I287" s="17">
        <f>G287*Assumptions!$B$1</f>
        <v>0</v>
      </c>
      <c r="J287" s="17">
        <f>H287*Assumptions!$B$1</f>
        <v>0</v>
      </c>
      <c r="K287">
        <f t="shared" si="69"/>
        <v>0</v>
      </c>
      <c r="L287">
        <f t="shared" si="74"/>
        <v>0</v>
      </c>
      <c r="M287">
        <f>HLOOKUP(C287,Assumptions!$A$6:$J$7,2,TRUE)</f>
        <v>2.6499999999999999E-2</v>
      </c>
      <c r="N287" s="23">
        <f t="shared" si="64"/>
        <v>0</v>
      </c>
      <c r="O287" s="23">
        <f t="shared" si="70"/>
        <v>0</v>
      </c>
      <c r="P287">
        <f t="shared" si="75"/>
        <v>0</v>
      </c>
      <c r="Q287" s="23">
        <f t="shared" si="71"/>
        <v>0</v>
      </c>
      <c r="R287">
        <f>Q286*Assumptions!$B$11/$E$2*N287</f>
        <v>0</v>
      </c>
      <c r="S287">
        <f>Q286*Assumptions!$B$13/$E$2*N287</f>
        <v>0</v>
      </c>
      <c r="T287">
        <f>L287*Assumptions!$B$15</f>
        <v>0</v>
      </c>
      <c r="U287">
        <f>S287*Assumptions!$B$17</f>
        <v>0</v>
      </c>
      <c r="V287">
        <f>HLOOKUP(B287,Assumptions!$A$26:$D$27,2,TRUE)</f>
        <v>0</v>
      </c>
      <c r="W287">
        <f t="shared" si="76"/>
        <v>0</v>
      </c>
      <c r="X287">
        <f t="shared" si="77"/>
        <v>0.58333333333333215</v>
      </c>
      <c r="Y287">
        <f>IF(B287&gt;$M$2,0,IF(X288=0,0,(1-X288)*Assumptions!$B$11/$E$2*(1-Assumptions!$B$30)))</f>
        <v>0</v>
      </c>
      <c r="Z287">
        <f>(R287-S287)*(1-Assumptions!$B$30)-U287+Y286*Q286</f>
        <v>0</v>
      </c>
      <c r="AA287">
        <f>AA286*(1+Assumptions!$B$36)^(1/12)</f>
        <v>1.2571630183484033</v>
      </c>
      <c r="AB287" s="20">
        <f>IF(B287&gt;$M$2,0,AA286*Assumptions!$B$32/12*Q286+Z287*Assumptions!$B$34/12)</f>
        <v>0</v>
      </c>
      <c r="AC287" s="21">
        <f>1/(1+HLOOKUP(YEAR(A287),Assumptions!$A$41:$AL$43,3,TRUE))^(1/12)</f>
        <v>0.99792144053252774</v>
      </c>
      <c r="AD287">
        <f t="shared" si="72"/>
        <v>0</v>
      </c>
      <c r="AE287">
        <f t="shared" si="78"/>
        <v>0</v>
      </c>
    </row>
    <row r="288" spans="1:31" x14ac:dyDescent="0.2">
      <c r="A288" s="2">
        <f t="shared" si="79"/>
        <v>51532</v>
      </c>
      <c r="B288">
        <f t="shared" si="73"/>
        <v>357</v>
      </c>
      <c r="C288">
        <f t="shared" si="65"/>
        <v>29.666666666666668</v>
      </c>
      <c r="D288">
        <f t="shared" si="66"/>
        <v>0</v>
      </c>
      <c r="E288">
        <f t="shared" si="67"/>
        <v>84</v>
      </c>
      <c r="F288">
        <f t="shared" si="68"/>
        <v>76</v>
      </c>
      <c r="G288">
        <f>IF(C288&gt;=$L$2,0,VLOOKUP($E288,'Mortality Table'!$A$3:$C$128,2+H$2,FALSE))</f>
        <v>0</v>
      </c>
      <c r="H288">
        <f>IF(C288&gt;=$L$2,0,VLOOKUP($E288,'Mortality Table'!$A$3:$C$128,2+I$2,FALSE))</f>
        <v>0</v>
      </c>
      <c r="I288" s="17">
        <f>G288*Assumptions!$B$1</f>
        <v>0</v>
      </c>
      <c r="J288" s="17">
        <f>H288*Assumptions!$B$1</f>
        <v>0</v>
      </c>
      <c r="K288">
        <f t="shared" si="69"/>
        <v>0</v>
      </c>
      <c r="L288">
        <f t="shared" si="74"/>
        <v>0</v>
      </c>
      <c r="M288">
        <f>HLOOKUP(C288,Assumptions!$A$6:$J$7,2,TRUE)</f>
        <v>2.6499999999999999E-2</v>
      </c>
      <c r="N288" s="23">
        <f t="shared" si="64"/>
        <v>0</v>
      </c>
      <c r="O288" s="23">
        <f t="shared" si="70"/>
        <v>0</v>
      </c>
      <c r="P288">
        <f t="shared" si="75"/>
        <v>0</v>
      </c>
      <c r="Q288" s="23">
        <f t="shared" si="71"/>
        <v>0</v>
      </c>
      <c r="R288">
        <f>Q287*Assumptions!$B$11/$E$2*N288</f>
        <v>0</v>
      </c>
      <c r="S288">
        <f>Q287*Assumptions!$B$13/$E$2*N288</f>
        <v>0</v>
      </c>
      <c r="T288">
        <f>L288*Assumptions!$B$15</f>
        <v>0</v>
      </c>
      <c r="U288">
        <f>S288*Assumptions!$B$17</f>
        <v>0</v>
      </c>
      <c r="V288">
        <f>HLOOKUP(B288,Assumptions!$A$26:$D$27,2,TRUE)</f>
        <v>0</v>
      </c>
      <c r="W288">
        <f t="shared" si="76"/>
        <v>0</v>
      </c>
      <c r="X288">
        <f t="shared" si="77"/>
        <v>0.66666666666666785</v>
      </c>
      <c r="Y288">
        <f>IF(B288&gt;$M$2,0,IF(X289=0,0,(1-X289)*Assumptions!$B$11/$E$2*(1-Assumptions!$B$30)))</f>
        <v>0</v>
      </c>
      <c r="Z288">
        <f>(R288-S288)*(1-Assumptions!$B$30)-U288+Y287*Q287</f>
        <v>0</v>
      </c>
      <c r="AA288">
        <f>AA287*(1+Assumptions!$B$36)^(1/12)</f>
        <v>1.2582058829880698</v>
      </c>
      <c r="AB288" s="20">
        <f>IF(B288&gt;$M$2,0,AA287*Assumptions!$B$32/12*Q287+Z288*Assumptions!$B$34/12)</f>
        <v>0</v>
      </c>
      <c r="AC288" s="21">
        <f>1/(1+HLOOKUP(YEAR(A288),Assumptions!$A$41:$AL$43,3,TRUE))^(1/12)</f>
        <v>0.9978766811789459</v>
      </c>
      <c r="AD288">
        <f t="shared" si="72"/>
        <v>0</v>
      </c>
      <c r="AE288">
        <f t="shared" si="78"/>
        <v>0</v>
      </c>
    </row>
    <row r="289" spans="1:31" x14ac:dyDescent="0.2">
      <c r="A289" s="2">
        <f t="shared" si="79"/>
        <v>51560</v>
      </c>
      <c r="B289">
        <f t="shared" si="73"/>
        <v>358</v>
      </c>
      <c r="C289">
        <f t="shared" si="65"/>
        <v>29.75</v>
      </c>
      <c r="D289">
        <f t="shared" si="66"/>
        <v>0</v>
      </c>
      <c r="E289">
        <f t="shared" si="67"/>
        <v>84</v>
      </c>
      <c r="F289">
        <f t="shared" si="68"/>
        <v>76</v>
      </c>
      <c r="G289">
        <f>IF(C289&gt;=$L$2,0,VLOOKUP($E289,'Mortality Table'!$A$3:$C$128,2+H$2,FALSE))</f>
        <v>0</v>
      </c>
      <c r="H289">
        <f>IF(C289&gt;=$L$2,0,VLOOKUP($E289,'Mortality Table'!$A$3:$C$128,2+I$2,FALSE))</f>
        <v>0</v>
      </c>
      <c r="I289" s="17">
        <f>G289*Assumptions!$B$1</f>
        <v>0</v>
      </c>
      <c r="J289" s="17">
        <f>H289*Assumptions!$B$1</f>
        <v>0</v>
      </c>
      <c r="K289">
        <f t="shared" si="69"/>
        <v>0</v>
      </c>
      <c r="L289">
        <f t="shared" si="74"/>
        <v>0</v>
      </c>
      <c r="M289">
        <f>HLOOKUP(C289,Assumptions!$A$6:$J$7,2,TRUE)</f>
        <v>2.6499999999999999E-2</v>
      </c>
      <c r="N289" s="23">
        <f t="shared" si="64"/>
        <v>0</v>
      </c>
      <c r="O289" s="23">
        <f t="shared" si="70"/>
        <v>0</v>
      </c>
      <c r="P289">
        <f t="shared" si="75"/>
        <v>0</v>
      </c>
      <c r="Q289" s="23">
        <f t="shared" si="71"/>
        <v>0</v>
      </c>
      <c r="R289">
        <f>Q288*Assumptions!$B$11/$E$2*N289</f>
        <v>0</v>
      </c>
      <c r="S289">
        <f>Q288*Assumptions!$B$13/$E$2*N289</f>
        <v>0</v>
      </c>
      <c r="T289">
        <f>L289*Assumptions!$B$15</f>
        <v>0</v>
      </c>
      <c r="U289">
        <f>S289*Assumptions!$B$17</f>
        <v>0</v>
      </c>
      <c r="V289">
        <f>HLOOKUP(B289,Assumptions!$A$26:$D$27,2,TRUE)</f>
        <v>0</v>
      </c>
      <c r="W289">
        <f t="shared" si="76"/>
        <v>0</v>
      </c>
      <c r="X289">
        <f t="shared" si="77"/>
        <v>0.75</v>
      </c>
      <c r="Y289">
        <f>IF(B289&gt;$M$2,0,IF(X290=0,0,(1-X290)*Assumptions!$B$11/$E$2*(1-Assumptions!$B$30)))</f>
        <v>0</v>
      </c>
      <c r="Z289">
        <f>(R289-S289)*(1-Assumptions!$B$30)-U289+Y288*Q288</f>
        <v>0</v>
      </c>
      <c r="AA289">
        <f>AA288*(1+Assumptions!$B$36)^(1/12)</f>
        <v>1.2592496127237029</v>
      </c>
      <c r="AB289" s="20">
        <f>IF(B289&gt;$M$2,0,AA288*Assumptions!$B$32/12*Q288+Z289*Assumptions!$B$34/12)</f>
        <v>0</v>
      </c>
      <c r="AC289" s="21">
        <f>1/(1+HLOOKUP(YEAR(A289),Assumptions!$A$41:$AL$43,3,TRUE))^(1/12)</f>
        <v>0.9978766811789459</v>
      </c>
      <c r="AD289">
        <f t="shared" si="72"/>
        <v>0</v>
      </c>
      <c r="AE289">
        <f t="shared" si="78"/>
        <v>0</v>
      </c>
    </row>
    <row r="290" spans="1:31" x14ac:dyDescent="0.2">
      <c r="A290" s="2">
        <f t="shared" si="79"/>
        <v>51591</v>
      </c>
      <c r="B290">
        <f t="shared" si="73"/>
        <v>359</v>
      </c>
      <c r="C290">
        <f t="shared" si="65"/>
        <v>29.833333333333332</v>
      </c>
      <c r="D290">
        <f t="shared" si="66"/>
        <v>0</v>
      </c>
      <c r="E290">
        <f t="shared" si="67"/>
        <v>84</v>
      </c>
      <c r="F290">
        <f t="shared" si="68"/>
        <v>76</v>
      </c>
      <c r="G290">
        <f>IF(C290&gt;=$L$2,0,VLOOKUP($E290,'Mortality Table'!$A$3:$C$128,2+H$2,FALSE))</f>
        <v>0</v>
      </c>
      <c r="H290">
        <f>IF(C290&gt;=$L$2,0,VLOOKUP($E290,'Mortality Table'!$A$3:$C$128,2+I$2,FALSE))</f>
        <v>0</v>
      </c>
      <c r="I290" s="17">
        <f>G290*Assumptions!$B$1</f>
        <v>0</v>
      </c>
      <c r="J290" s="17">
        <f>H290*Assumptions!$B$1</f>
        <v>0</v>
      </c>
      <c r="K290">
        <f t="shared" si="69"/>
        <v>0</v>
      </c>
      <c r="L290">
        <f t="shared" si="74"/>
        <v>0</v>
      </c>
      <c r="M290">
        <f>HLOOKUP(C290,Assumptions!$A$6:$J$7,2,TRUE)</f>
        <v>2.6499999999999999E-2</v>
      </c>
      <c r="N290" s="23">
        <f t="shared" si="64"/>
        <v>0</v>
      </c>
      <c r="O290" s="23">
        <f t="shared" si="70"/>
        <v>0</v>
      </c>
      <c r="P290">
        <f t="shared" si="75"/>
        <v>0</v>
      </c>
      <c r="Q290" s="23">
        <f t="shared" si="71"/>
        <v>0</v>
      </c>
      <c r="R290">
        <f>Q289*Assumptions!$B$11/$E$2*N290</f>
        <v>0</v>
      </c>
      <c r="S290">
        <f>Q289*Assumptions!$B$13/$E$2*N290</f>
        <v>0</v>
      </c>
      <c r="T290">
        <f>L290*Assumptions!$B$15</f>
        <v>0</v>
      </c>
      <c r="U290">
        <f>S290*Assumptions!$B$17</f>
        <v>0</v>
      </c>
      <c r="V290">
        <f>HLOOKUP(B290,Assumptions!$A$26:$D$27,2,TRUE)</f>
        <v>0</v>
      </c>
      <c r="W290">
        <f t="shared" si="76"/>
        <v>0</v>
      </c>
      <c r="X290">
        <f t="shared" si="77"/>
        <v>0.83333333333333215</v>
      </c>
      <c r="Y290">
        <f>IF(B290&gt;$M$2,0,IF(X291=0,0,(1-X291)*Assumptions!$B$11/$E$2*(1-Assumptions!$B$30)))</f>
        <v>0</v>
      </c>
      <c r="Z290">
        <f>(R290-S290)*(1-Assumptions!$B$30)-U290+Y289*Q289</f>
        <v>0</v>
      </c>
      <c r="AA290">
        <f>AA289*(1+Assumptions!$B$36)^(1/12)</f>
        <v>1.2602942082729329</v>
      </c>
      <c r="AB290" s="20">
        <f>IF(B290&gt;$M$2,0,AA289*Assumptions!$B$32/12*Q289+Z290*Assumptions!$B$34/12)</f>
        <v>0</v>
      </c>
      <c r="AC290" s="21">
        <f>1/(1+HLOOKUP(YEAR(A290),Assumptions!$A$41:$AL$43,3,TRUE))^(1/12)</f>
        <v>0.9978766811789459</v>
      </c>
      <c r="AD290">
        <f t="shared" si="72"/>
        <v>0</v>
      </c>
      <c r="AE290">
        <f t="shared" si="78"/>
        <v>0</v>
      </c>
    </row>
    <row r="291" spans="1:31" x14ac:dyDescent="0.2">
      <c r="A291" s="2">
        <f t="shared" si="79"/>
        <v>51621</v>
      </c>
      <c r="B291">
        <f t="shared" si="73"/>
        <v>360</v>
      </c>
      <c r="C291">
        <f t="shared" si="65"/>
        <v>29.916666666666668</v>
      </c>
      <c r="D291">
        <f t="shared" si="66"/>
        <v>0</v>
      </c>
      <c r="E291">
        <f t="shared" si="67"/>
        <v>84</v>
      </c>
      <c r="F291">
        <f t="shared" si="68"/>
        <v>76</v>
      </c>
      <c r="G291">
        <f>IF(C291&gt;=$L$2,0,VLOOKUP($E291,'Mortality Table'!$A$3:$C$128,2+H$2,FALSE))</f>
        <v>0</v>
      </c>
      <c r="H291">
        <f>IF(C291&gt;=$L$2,0,VLOOKUP($E291,'Mortality Table'!$A$3:$C$128,2+I$2,FALSE))</f>
        <v>0</v>
      </c>
      <c r="I291" s="17">
        <f>G291*Assumptions!$B$1</f>
        <v>0</v>
      </c>
      <c r="J291" s="17">
        <f>H291*Assumptions!$B$1</f>
        <v>0</v>
      </c>
      <c r="K291">
        <f t="shared" si="69"/>
        <v>0</v>
      </c>
      <c r="L291">
        <f t="shared" si="74"/>
        <v>0</v>
      </c>
      <c r="M291">
        <f>HLOOKUP(C291,Assumptions!$A$6:$J$7,2,TRUE)</f>
        <v>2.6499999999999999E-2</v>
      </c>
      <c r="N291" s="23">
        <f t="shared" si="64"/>
        <v>0</v>
      </c>
      <c r="O291" s="23">
        <f t="shared" si="70"/>
        <v>0</v>
      </c>
      <c r="P291">
        <f t="shared" si="75"/>
        <v>0</v>
      </c>
      <c r="Q291" s="23">
        <f t="shared" si="71"/>
        <v>0</v>
      </c>
      <c r="R291">
        <f>Q290*Assumptions!$B$11/$E$2*N291</f>
        <v>0</v>
      </c>
      <c r="S291">
        <f>Q290*Assumptions!$B$13/$E$2*N291</f>
        <v>0</v>
      </c>
      <c r="T291">
        <f>L291*Assumptions!$B$15</f>
        <v>0</v>
      </c>
      <c r="U291">
        <f>S291*Assumptions!$B$17</f>
        <v>0</v>
      </c>
      <c r="V291">
        <f>HLOOKUP(B291,Assumptions!$A$26:$D$27,2,TRUE)</f>
        <v>0</v>
      </c>
      <c r="W291">
        <f t="shared" si="76"/>
        <v>0</v>
      </c>
      <c r="X291">
        <f t="shared" si="77"/>
        <v>0.91666666666666785</v>
      </c>
      <c r="Y291">
        <f>IF(B291&gt;$M$2,0,IF(X292=0,0,(1-X292)*Assumptions!$B$11/$E$2*(1-Assumptions!$B$30)))</f>
        <v>0</v>
      </c>
      <c r="Z291">
        <f>(R291-S291)*(1-Assumptions!$B$30)-U291+Y290*Q290</f>
        <v>0</v>
      </c>
      <c r="AA291">
        <f>AA290*(1+Assumptions!$B$36)^(1/12)</f>
        <v>1.261339670353985</v>
      </c>
      <c r="AB291" s="20">
        <f>IF(B291&gt;$M$2,0,AA290*Assumptions!$B$32/12*Q290+Z291*Assumptions!$B$34/12)</f>
        <v>0</v>
      </c>
      <c r="AC291" s="21">
        <f>1/(1+HLOOKUP(YEAR(A291),Assumptions!$A$41:$AL$43,3,TRUE))^(1/12)</f>
        <v>0.9978766811789459</v>
      </c>
      <c r="AD291">
        <f t="shared" si="72"/>
        <v>0</v>
      </c>
      <c r="AE291">
        <f t="shared" si="78"/>
        <v>0</v>
      </c>
    </row>
    <row r="292" spans="1:31" x14ac:dyDescent="0.2">
      <c r="A292" s="2">
        <f t="shared" si="79"/>
        <v>51652</v>
      </c>
      <c r="B292">
        <f t="shared" si="73"/>
        <v>361</v>
      </c>
      <c r="C292">
        <f t="shared" si="65"/>
        <v>30</v>
      </c>
      <c r="D292">
        <f t="shared" si="66"/>
        <v>1</v>
      </c>
      <c r="E292">
        <f t="shared" si="67"/>
        <v>85</v>
      </c>
      <c r="F292">
        <f t="shared" si="68"/>
        <v>77</v>
      </c>
      <c r="G292">
        <f>IF(C292&gt;=$L$2,0,VLOOKUP($E292,'Mortality Table'!$A$3:$C$128,2+H$2,FALSE))</f>
        <v>0</v>
      </c>
      <c r="H292">
        <f>IF(C292&gt;=$L$2,0,VLOOKUP($E292,'Mortality Table'!$A$3:$C$128,2+I$2,FALSE))</f>
        <v>0</v>
      </c>
      <c r="I292" s="17">
        <f>G292*Assumptions!$B$1</f>
        <v>0</v>
      </c>
      <c r="J292" s="17">
        <f>H292*Assumptions!$B$1</f>
        <v>0</v>
      </c>
      <c r="K292">
        <f t="shared" si="69"/>
        <v>0</v>
      </c>
      <c r="L292">
        <f t="shared" si="74"/>
        <v>0</v>
      </c>
      <c r="M292">
        <f>HLOOKUP(C292,Assumptions!$A$6:$J$7,2,TRUE)</f>
        <v>2.6499999999999999E-2</v>
      </c>
      <c r="N292" s="23">
        <f t="shared" si="64"/>
        <v>0</v>
      </c>
      <c r="O292" s="23">
        <f t="shared" si="70"/>
        <v>0</v>
      </c>
      <c r="P292">
        <f t="shared" si="75"/>
        <v>0</v>
      </c>
      <c r="Q292" s="23">
        <f t="shared" si="71"/>
        <v>0</v>
      </c>
      <c r="R292">
        <f>Q291*Assumptions!$B$11/$E$2*N292</f>
        <v>0</v>
      </c>
      <c r="S292">
        <f>Q291*Assumptions!$B$13/$E$2*N292</f>
        <v>0</v>
      </c>
      <c r="T292">
        <f>L292*Assumptions!$B$15</f>
        <v>0</v>
      </c>
      <c r="U292">
        <f>S292*Assumptions!$B$17</f>
        <v>0</v>
      </c>
      <c r="V292">
        <f>HLOOKUP(B292,Assumptions!$A$26:$D$27,2,TRUE)</f>
        <v>0</v>
      </c>
      <c r="W292">
        <f t="shared" si="76"/>
        <v>0</v>
      </c>
      <c r="X292">
        <f t="shared" si="77"/>
        <v>0</v>
      </c>
      <c r="Y292">
        <f>IF(B292&gt;$M$2,0,IF(X293=0,0,(1-X293)*Assumptions!$B$11/$E$2*(1-Assumptions!$B$30)))</f>
        <v>0</v>
      </c>
      <c r="Z292">
        <f>(R292-S292)*(1-Assumptions!$B$30)-U292+Y291*Q291</f>
        <v>0</v>
      </c>
      <c r="AA292">
        <f>AA291*(1+Assumptions!$B$36)^(1/12)</f>
        <v>1.2623859996856803</v>
      </c>
      <c r="AB292" s="20">
        <f>IF(B292&gt;$M$2,0,AA291*Assumptions!$B$32/12*Q291+Z292*Assumptions!$B$34/12)</f>
        <v>0</v>
      </c>
      <c r="AC292" s="21">
        <f>1/(1+HLOOKUP(YEAR(A292),Assumptions!$A$41:$AL$43,3,TRUE))^(1/12)</f>
        <v>0.9978766811789459</v>
      </c>
      <c r="AD292">
        <f t="shared" si="72"/>
        <v>0</v>
      </c>
      <c r="AE292">
        <f t="shared" si="78"/>
        <v>0</v>
      </c>
    </row>
    <row r="293" spans="1:31" x14ac:dyDescent="0.2">
      <c r="A293" s="2">
        <f t="shared" si="79"/>
        <v>51682</v>
      </c>
      <c r="B293">
        <f t="shared" si="73"/>
        <v>362</v>
      </c>
      <c r="C293">
        <f t="shared" si="65"/>
        <v>30.083333333333332</v>
      </c>
      <c r="D293">
        <f t="shared" si="66"/>
        <v>0</v>
      </c>
      <c r="E293">
        <f t="shared" si="67"/>
        <v>85</v>
      </c>
      <c r="F293">
        <f t="shared" si="68"/>
        <v>77</v>
      </c>
      <c r="G293">
        <f>IF(C293&gt;=$L$2,0,VLOOKUP($E293,'Mortality Table'!$A$3:$C$128,2+H$2,FALSE))</f>
        <v>0</v>
      </c>
      <c r="H293">
        <f>IF(C293&gt;=$L$2,0,VLOOKUP($E293,'Mortality Table'!$A$3:$C$128,2+I$2,FALSE))</f>
        <v>0</v>
      </c>
      <c r="I293" s="17">
        <f>G293*Assumptions!$B$1</f>
        <v>0</v>
      </c>
      <c r="J293" s="17">
        <f>H293*Assumptions!$B$1</f>
        <v>0</v>
      </c>
      <c r="K293">
        <f t="shared" si="69"/>
        <v>0</v>
      </c>
      <c r="L293">
        <f t="shared" si="74"/>
        <v>0</v>
      </c>
      <c r="M293">
        <f>HLOOKUP(C293,Assumptions!$A$6:$J$7,2,TRUE)</f>
        <v>2.6499999999999999E-2</v>
      </c>
      <c r="N293" s="23">
        <f t="shared" si="64"/>
        <v>0</v>
      </c>
      <c r="O293" s="23">
        <f t="shared" si="70"/>
        <v>0</v>
      </c>
      <c r="P293">
        <f t="shared" si="75"/>
        <v>0</v>
      </c>
      <c r="Q293" s="23">
        <f t="shared" si="71"/>
        <v>0</v>
      </c>
      <c r="R293">
        <f>Q292*Assumptions!$B$11/$E$2*N293</f>
        <v>0</v>
      </c>
      <c r="S293">
        <f>Q292*Assumptions!$B$13/$E$2*N293</f>
        <v>0</v>
      </c>
      <c r="T293">
        <f>L293*Assumptions!$B$15</f>
        <v>0</v>
      </c>
      <c r="U293">
        <f>S293*Assumptions!$B$17</f>
        <v>0</v>
      </c>
      <c r="V293">
        <f>HLOOKUP(B293,Assumptions!$A$26:$D$27,2,TRUE)</f>
        <v>0</v>
      </c>
      <c r="W293">
        <f t="shared" si="76"/>
        <v>0</v>
      </c>
      <c r="X293">
        <f t="shared" si="77"/>
        <v>8.3333333333332149E-2</v>
      </c>
      <c r="Y293">
        <f>IF(B293&gt;$M$2,0,IF(X294=0,0,(1-X294)*Assumptions!$B$11/$E$2*(1-Assumptions!$B$30)))</f>
        <v>0</v>
      </c>
      <c r="Z293">
        <f>(R293-S293)*(1-Assumptions!$B$30)-U293+Y292*Q292</f>
        <v>0</v>
      </c>
      <c r="AA293">
        <f>AA292*(1+Assumptions!$B$36)^(1/12)</f>
        <v>1.2634331969874366</v>
      </c>
      <c r="AB293" s="20">
        <f>IF(B293&gt;$M$2,0,AA292*Assumptions!$B$32/12*Q292+Z293*Assumptions!$B$34/12)</f>
        <v>0</v>
      </c>
      <c r="AC293" s="21">
        <f>1/(1+HLOOKUP(YEAR(A293),Assumptions!$A$41:$AL$43,3,TRUE))^(1/12)</f>
        <v>0.9978766811789459</v>
      </c>
      <c r="AD293">
        <f t="shared" si="72"/>
        <v>0</v>
      </c>
      <c r="AE293">
        <f t="shared" si="78"/>
        <v>0</v>
      </c>
    </row>
    <row r="294" spans="1:31" x14ac:dyDescent="0.2">
      <c r="A294" s="2">
        <f t="shared" si="79"/>
        <v>51713</v>
      </c>
      <c r="B294">
        <f t="shared" si="73"/>
        <v>363</v>
      </c>
      <c r="C294">
        <f t="shared" si="65"/>
        <v>30.166666666666668</v>
      </c>
      <c r="D294">
        <f t="shared" si="66"/>
        <v>0</v>
      </c>
      <c r="E294">
        <f t="shared" si="67"/>
        <v>85</v>
      </c>
      <c r="F294">
        <f t="shared" si="68"/>
        <v>77</v>
      </c>
      <c r="G294">
        <f>IF(C294&gt;=$L$2,0,VLOOKUP($E294,'Mortality Table'!$A$3:$C$128,2+H$2,FALSE))</f>
        <v>0</v>
      </c>
      <c r="H294">
        <f>IF(C294&gt;=$L$2,0,VLOOKUP($E294,'Mortality Table'!$A$3:$C$128,2+I$2,FALSE))</f>
        <v>0</v>
      </c>
      <c r="I294" s="17">
        <f>G294*Assumptions!$B$1</f>
        <v>0</v>
      </c>
      <c r="J294" s="17">
        <f>H294*Assumptions!$B$1</f>
        <v>0</v>
      </c>
      <c r="K294">
        <f t="shared" si="69"/>
        <v>0</v>
      </c>
      <c r="L294">
        <f t="shared" si="74"/>
        <v>0</v>
      </c>
      <c r="M294">
        <f>HLOOKUP(C294,Assumptions!$A$6:$J$7,2,TRUE)</f>
        <v>2.6499999999999999E-2</v>
      </c>
      <c r="N294" s="23">
        <f t="shared" si="64"/>
        <v>0</v>
      </c>
      <c r="O294" s="23">
        <f t="shared" si="70"/>
        <v>0</v>
      </c>
      <c r="P294">
        <f t="shared" si="75"/>
        <v>0</v>
      </c>
      <c r="Q294" s="23">
        <f t="shared" si="71"/>
        <v>0</v>
      </c>
      <c r="R294">
        <f>Q293*Assumptions!$B$11/$E$2*N294</f>
        <v>0</v>
      </c>
      <c r="S294">
        <f>Q293*Assumptions!$B$13/$E$2*N294</f>
        <v>0</v>
      </c>
      <c r="T294">
        <f>L294*Assumptions!$B$15</f>
        <v>0</v>
      </c>
      <c r="U294">
        <f>S294*Assumptions!$B$17</f>
        <v>0</v>
      </c>
      <c r="V294">
        <f>HLOOKUP(B294,Assumptions!$A$26:$D$27,2,TRUE)</f>
        <v>0</v>
      </c>
      <c r="W294">
        <f t="shared" si="76"/>
        <v>0</v>
      </c>
      <c r="X294">
        <f t="shared" si="77"/>
        <v>0.16666666666666785</v>
      </c>
      <c r="Y294">
        <f>IF(B294&gt;$M$2,0,IF(X295=0,0,(1-X295)*Assumptions!$B$11/$E$2*(1-Assumptions!$B$30)))</f>
        <v>0</v>
      </c>
      <c r="Z294">
        <f>(R294-S294)*(1-Assumptions!$B$30)-U294+Y293*Q293</f>
        <v>0</v>
      </c>
      <c r="AA294">
        <f>AA293*(1+Assumptions!$B$36)^(1/12)</f>
        <v>1.2644812629792679</v>
      </c>
      <c r="AB294" s="20">
        <f>IF(B294&gt;$M$2,0,AA293*Assumptions!$B$32/12*Q293+Z294*Assumptions!$B$34/12)</f>
        <v>0</v>
      </c>
      <c r="AC294" s="21">
        <f>1/(1+HLOOKUP(YEAR(A294),Assumptions!$A$41:$AL$43,3,TRUE))^(1/12)</f>
        <v>0.9978766811789459</v>
      </c>
      <c r="AD294">
        <f t="shared" si="72"/>
        <v>0</v>
      </c>
      <c r="AE294">
        <f t="shared" si="78"/>
        <v>0</v>
      </c>
    </row>
    <row r="295" spans="1:31" x14ac:dyDescent="0.2">
      <c r="A295" s="2">
        <f t="shared" si="79"/>
        <v>51744</v>
      </c>
      <c r="B295">
        <f t="shared" si="73"/>
        <v>364</v>
      </c>
      <c r="C295">
        <f t="shared" si="65"/>
        <v>30.25</v>
      </c>
      <c r="D295">
        <f t="shared" si="66"/>
        <v>0</v>
      </c>
      <c r="E295">
        <f t="shared" si="67"/>
        <v>85</v>
      </c>
      <c r="F295">
        <f t="shared" si="68"/>
        <v>77</v>
      </c>
      <c r="G295">
        <f>IF(C295&gt;=$L$2,0,VLOOKUP($E295,'Mortality Table'!$A$3:$C$128,2+H$2,FALSE))</f>
        <v>0</v>
      </c>
      <c r="H295">
        <f>IF(C295&gt;=$L$2,0,VLOOKUP($E295,'Mortality Table'!$A$3:$C$128,2+I$2,FALSE))</f>
        <v>0</v>
      </c>
      <c r="I295" s="17">
        <f>G295*Assumptions!$B$1</f>
        <v>0</v>
      </c>
      <c r="J295" s="17">
        <f>H295*Assumptions!$B$1</f>
        <v>0</v>
      </c>
      <c r="K295">
        <f t="shared" si="69"/>
        <v>0</v>
      </c>
      <c r="L295">
        <f t="shared" si="74"/>
        <v>0</v>
      </c>
      <c r="M295">
        <f>HLOOKUP(C295,Assumptions!$A$6:$J$7,2,TRUE)</f>
        <v>2.6499999999999999E-2</v>
      </c>
      <c r="N295" s="23">
        <f t="shared" si="64"/>
        <v>0</v>
      </c>
      <c r="O295" s="23">
        <f t="shared" si="70"/>
        <v>0</v>
      </c>
      <c r="P295">
        <f t="shared" si="75"/>
        <v>0</v>
      </c>
      <c r="Q295" s="23">
        <f t="shared" si="71"/>
        <v>0</v>
      </c>
      <c r="R295">
        <f>Q294*Assumptions!$B$11/$E$2*N295</f>
        <v>0</v>
      </c>
      <c r="S295">
        <f>Q294*Assumptions!$B$13/$E$2*N295</f>
        <v>0</v>
      </c>
      <c r="T295">
        <f>L295*Assumptions!$B$15</f>
        <v>0</v>
      </c>
      <c r="U295">
        <f>S295*Assumptions!$B$17</f>
        <v>0</v>
      </c>
      <c r="V295">
        <f>HLOOKUP(B295,Assumptions!$A$26:$D$27,2,TRUE)</f>
        <v>0</v>
      </c>
      <c r="W295">
        <f t="shared" si="76"/>
        <v>0</v>
      </c>
      <c r="X295">
        <f t="shared" si="77"/>
        <v>0.25</v>
      </c>
      <c r="Y295">
        <f>IF(B295&gt;$M$2,0,IF(X296=0,0,(1-X296)*Assumptions!$B$11/$E$2*(1-Assumptions!$B$30)))</f>
        <v>0</v>
      </c>
      <c r="Z295">
        <f>(R295-S295)*(1-Assumptions!$B$30)-U295+Y294*Q294</f>
        <v>0</v>
      </c>
      <c r="AA295">
        <f>AA294*(1+Assumptions!$B$36)^(1/12)</f>
        <v>1.2655301983817857</v>
      </c>
      <c r="AB295" s="20">
        <f>IF(B295&gt;$M$2,0,AA294*Assumptions!$B$32/12*Q294+Z295*Assumptions!$B$34/12)</f>
        <v>0</v>
      </c>
      <c r="AC295" s="21">
        <f>1/(1+HLOOKUP(YEAR(A295),Assumptions!$A$41:$AL$43,3,TRUE))^(1/12)</f>
        <v>0.9978766811789459</v>
      </c>
      <c r="AD295">
        <f t="shared" si="72"/>
        <v>0</v>
      </c>
      <c r="AE295">
        <f t="shared" si="78"/>
        <v>0</v>
      </c>
    </row>
    <row r="296" spans="1:31" x14ac:dyDescent="0.2">
      <c r="A296" s="2">
        <f t="shared" si="79"/>
        <v>51774</v>
      </c>
      <c r="B296">
        <f t="shared" si="73"/>
        <v>365</v>
      </c>
      <c r="C296">
        <f t="shared" si="65"/>
        <v>30.333333333333332</v>
      </c>
      <c r="D296">
        <f t="shared" si="66"/>
        <v>0</v>
      </c>
      <c r="E296">
        <f t="shared" si="67"/>
        <v>85</v>
      </c>
      <c r="F296">
        <f t="shared" si="68"/>
        <v>77</v>
      </c>
      <c r="G296">
        <f>IF(C296&gt;=$L$2,0,VLOOKUP($E296,'Mortality Table'!$A$3:$C$128,2+H$2,FALSE))</f>
        <v>0</v>
      </c>
      <c r="H296">
        <f>IF(C296&gt;=$L$2,0,VLOOKUP($E296,'Mortality Table'!$A$3:$C$128,2+I$2,FALSE))</f>
        <v>0</v>
      </c>
      <c r="I296" s="17">
        <f>G296*Assumptions!$B$1</f>
        <v>0</v>
      </c>
      <c r="J296" s="17">
        <f>H296*Assumptions!$B$1</f>
        <v>0</v>
      </c>
      <c r="K296">
        <f t="shared" si="69"/>
        <v>0</v>
      </c>
      <c r="L296">
        <f t="shared" si="74"/>
        <v>0</v>
      </c>
      <c r="M296">
        <f>HLOOKUP(C296,Assumptions!$A$6:$J$7,2,TRUE)</f>
        <v>2.6499999999999999E-2</v>
      </c>
      <c r="N296" s="23">
        <f t="shared" si="64"/>
        <v>0</v>
      </c>
      <c r="O296" s="23">
        <f t="shared" si="70"/>
        <v>0</v>
      </c>
      <c r="P296">
        <f t="shared" si="75"/>
        <v>0</v>
      </c>
      <c r="Q296" s="23">
        <f t="shared" si="71"/>
        <v>0</v>
      </c>
      <c r="R296">
        <f>Q295*Assumptions!$B$11/$E$2*N296</f>
        <v>0</v>
      </c>
      <c r="S296">
        <f>Q295*Assumptions!$B$13/$E$2*N296</f>
        <v>0</v>
      </c>
      <c r="T296">
        <f>L296*Assumptions!$B$15</f>
        <v>0</v>
      </c>
      <c r="U296">
        <f>S296*Assumptions!$B$17</f>
        <v>0</v>
      </c>
      <c r="V296">
        <f>HLOOKUP(B296,Assumptions!$A$26:$D$27,2,TRUE)</f>
        <v>0</v>
      </c>
      <c r="W296">
        <f t="shared" si="76"/>
        <v>0</v>
      </c>
      <c r="X296">
        <f t="shared" si="77"/>
        <v>0.33333333333333215</v>
      </c>
      <c r="Y296">
        <f>IF(B296&gt;$M$2,0,IF(X297=0,0,(1-X297)*Assumptions!$B$11/$E$2*(1-Assumptions!$B$30)))</f>
        <v>0</v>
      </c>
      <c r="Z296">
        <f>(R296-S296)*(1-Assumptions!$B$30)-U296+Y295*Q295</f>
        <v>0</v>
      </c>
      <c r="AA296">
        <f>AA295*(1+Assumptions!$B$36)^(1/12)</f>
        <v>1.2665800039161994</v>
      </c>
      <c r="AB296" s="20">
        <f>IF(B296&gt;$M$2,0,AA295*Assumptions!$B$32/12*Q295+Z296*Assumptions!$B$34/12)</f>
        <v>0</v>
      </c>
      <c r="AC296" s="21">
        <f>1/(1+HLOOKUP(YEAR(A296),Assumptions!$A$41:$AL$43,3,TRUE))^(1/12)</f>
        <v>0.9978766811789459</v>
      </c>
      <c r="AD296">
        <f t="shared" si="72"/>
        <v>0</v>
      </c>
      <c r="AE296">
        <f t="shared" si="78"/>
        <v>0</v>
      </c>
    </row>
    <row r="297" spans="1:31" x14ac:dyDescent="0.2">
      <c r="A297" s="2">
        <f t="shared" si="79"/>
        <v>51805</v>
      </c>
      <c r="B297">
        <f t="shared" si="73"/>
        <v>366</v>
      </c>
      <c r="C297">
        <f t="shared" si="65"/>
        <v>30.416666666666668</v>
      </c>
      <c r="D297">
        <f t="shared" si="66"/>
        <v>0</v>
      </c>
      <c r="E297">
        <f t="shared" si="67"/>
        <v>85</v>
      </c>
      <c r="F297">
        <f t="shared" si="68"/>
        <v>77</v>
      </c>
      <c r="G297">
        <f>IF(C297&gt;=$L$2,0,VLOOKUP($E297,'Mortality Table'!$A$3:$C$128,2+H$2,FALSE))</f>
        <v>0</v>
      </c>
      <c r="H297">
        <f>IF(C297&gt;=$L$2,0,VLOOKUP($E297,'Mortality Table'!$A$3:$C$128,2+I$2,FALSE))</f>
        <v>0</v>
      </c>
      <c r="I297" s="17">
        <f>G297*Assumptions!$B$1</f>
        <v>0</v>
      </c>
      <c r="J297" s="17">
        <f>H297*Assumptions!$B$1</f>
        <v>0</v>
      </c>
      <c r="K297">
        <f t="shared" si="69"/>
        <v>0</v>
      </c>
      <c r="L297">
        <f t="shared" si="74"/>
        <v>0</v>
      </c>
      <c r="M297">
        <f>HLOOKUP(C297,Assumptions!$A$6:$J$7,2,TRUE)</f>
        <v>2.6499999999999999E-2</v>
      </c>
      <c r="N297" s="23">
        <f t="shared" si="64"/>
        <v>0</v>
      </c>
      <c r="O297" s="23">
        <f t="shared" si="70"/>
        <v>0</v>
      </c>
      <c r="P297">
        <f t="shared" si="75"/>
        <v>0</v>
      </c>
      <c r="Q297" s="23">
        <f t="shared" si="71"/>
        <v>0</v>
      </c>
      <c r="R297">
        <f>Q296*Assumptions!$B$11/$E$2*N297</f>
        <v>0</v>
      </c>
      <c r="S297">
        <f>Q296*Assumptions!$B$13/$E$2*N297</f>
        <v>0</v>
      </c>
      <c r="T297">
        <f>L297*Assumptions!$B$15</f>
        <v>0</v>
      </c>
      <c r="U297">
        <f>S297*Assumptions!$B$17</f>
        <v>0</v>
      </c>
      <c r="V297">
        <f>HLOOKUP(B297,Assumptions!$A$26:$D$27,2,TRUE)</f>
        <v>0</v>
      </c>
      <c r="W297">
        <f t="shared" si="76"/>
        <v>0</v>
      </c>
      <c r="X297">
        <f t="shared" si="77"/>
        <v>0.41666666666666785</v>
      </c>
      <c r="Y297">
        <f>IF(B297&gt;$M$2,0,IF(X298=0,0,(1-X298)*Assumptions!$B$11/$E$2*(1-Assumptions!$B$30)))</f>
        <v>0</v>
      </c>
      <c r="Z297">
        <f>(R297-S297)*(1-Assumptions!$B$30)-U297+Y296*Q296</f>
        <v>0</v>
      </c>
      <c r="AA297">
        <f>AA296*(1+Assumptions!$B$36)^(1/12)</f>
        <v>1.2676306803043167</v>
      </c>
      <c r="AB297" s="20">
        <f>IF(B297&gt;$M$2,0,AA296*Assumptions!$B$32/12*Q296+Z297*Assumptions!$B$34/12)</f>
        <v>0</v>
      </c>
      <c r="AC297" s="21">
        <f>1/(1+HLOOKUP(YEAR(A297),Assumptions!$A$41:$AL$43,3,TRUE))^(1/12)</f>
        <v>0.9978766811789459</v>
      </c>
      <c r="AD297">
        <f t="shared" si="72"/>
        <v>0</v>
      </c>
      <c r="AE297">
        <f t="shared" si="78"/>
        <v>0</v>
      </c>
    </row>
    <row r="298" spans="1:31" x14ac:dyDescent="0.2">
      <c r="A298" s="2">
        <f t="shared" si="79"/>
        <v>51835</v>
      </c>
      <c r="B298">
        <f t="shared" si="73"/>
        <v>367</v>
      </c>
      <c r="C298">
        <f t="shared" si="65"/>
        <v>30.5</v>
      </c>
      <c r="D298">
        <f t="shared" si="66"/>
        <v>0</v>
      </c>
      <c r="E298">
        <f t="shared" si="67"/>
        <v>85</v>
      </c>
      <c r="F298">
        <f t="shared" si="68"/>
        <v>77</v>
      </c>
      <c r="G298">
        <f>IF(C298&gt;=$L$2,0,VLOOKUP($E298,'Mortality Table'!$A$3:$C$128,2+H$2,FALSE))</f>
        <v>0</v>
      </c>
      <c r="H298">
        <f>IF(C298&gt;=$L$2,0,VLOOKUP($E298,'Mortality Table'!$A$3:$C$128,2+I$2,FALSE))</f>
        <v>0</v>
      </c>
      <c r="I298" s="17">
        <f>G298*Assumptions!$B$1</f>
        <v>0</v>
      </c>
      <c r="J298" s="17">
        <f>H298*Assumptions!$B$1</f>
        <v>0</v>
      </c>
      <c r="K298">
        <f t="shared" si="69"/>
        <v>0</v>
      </c>
      <c r="L298">
        <f t="shared" si="74"/>
        <v>0</v>
      </c>
      <c r="M298">
        <f>HLOOKUP(C298,Assumptions!$A$6:$J$7,2,TRUE)</f>
        <v>2.6499999999999999E-2</v>
      </c>
      <c r="N298" s="23">
        <f t="shared" si="64"/>
        <v>0</v>
      </c>
      <c r="O298" s="23">
        <f t="shared" si="70"/>
        <v>0</v>
      </c>
      <c r="P298">
        <f t="shared" si="75"/>
        <v>0</v>
      </c>
      <c r="Q298" s="23">
        <f t="shared" si="71"/>
        <v>0</v>
      </c>
      <c r="R298">
        <f>Q297*Assumptions!$B$11/$E$2*N298</f>
        <v>0</v>
      </c>
      <c r="S298">
        <f>Q297*Assumptions!$B$13/$E$2*N298</f>
        <v>0</v>
      </c>
      <c r="T298">
        <f>L298*Assumptions!$B$15</f>
        <v>0</v>
      </c>
      <c r="U298">
        <f>S298*Assumptions!$B$17</f>
        <v>0</v>
      </c>
      <c r="V298">
        <f>HLOOKUP(B298,Assumptions!$A$26:$D$27,2,TRUE)</f>
        <v>0</v>
      </c>
      <c r="W298">
        <f t="shared" si="76"/>
        <v>0</v>
      </c>
      <c r="X298">
        <f t="shared" si="77"/>
        <v>0.5</v>
      </c>
      <c r="Y298">
        <f>IF(B298&gt;$M$2,0,IF(X299=0,0,(1-X299)*Assumptions!$B$11/$E$2*(1-Assumptions!$B$30)))</f>
        <v>0</v>
      </c>
      <c r="Z298">
        <f>(R298-S298)*(1-Assumptions!$B$30)-U298+Y297*Q297</f>
        <v>0</v>
      </c>
      <c r="AA298">
        <f>AA297*(1+Assumptions!$B$36)^(1/12)</f>
        <v>1.2686822282685437</v>
      </c>
      <c r="AB298" s="20">
        <f>IF(B298&gt;$M$2,0,AA297*Assumptions!$B$32/12*Q297+Z298*Assumptions!$B$34/12)</f>
        <v>0</v>
      </c>
      <c r="AC298" s="21">
        <f>1/(1+HLOOKUP(YEAR(A298),Assumptions!$A$41:$AL$43,3,TRUE))^(1/12)</f>
        <v>0.9978766811789459</v>
      </c>
      <c r="AD298">
        <f t="shared" si="72"/>
        <v>0</v>
      </c>
      <c r="AE298">
        <f t="shared" si="78"/>
        <v>0</v>
      </c>
    </row>
    <row r="299" spans="1:31" x14ac:dyDescent="0.2">
      <c r="A299" s="2">
        <f t="shared" si="79"/>
        <v>51866</v>
      </c>
      <c r="B299">
        <f t="shared" si="73"/>
        <v>368</v>
      </c>
      <c r="C299">
        <f t="shared" si="65"/>
        <v>30.583333333333332</v>
      </c>
      <c r="D299">
        <f t="shared" si="66"/>
        <v>0</v>
      </c>
      <c r="E299">
        <f t="shared" si="67"/>
        <v>85</v>
      </c>
      <c r="F299">
        <f t="shared" si="68"/>
        <v>77</v>
      </c>
      <c r="G299">
        <f>IF(C299&gt;=$L$2,0,VLOOKUP($E299,'Mortality Table'!$A$3:$C$128,2+H$2,FALSE))</f>
        <v>0</v>
      </c>
      <c r="H299">
        <f>IF(C299&gt;=$L$2,0,VLOOKUP($E299,'Mortality Table'!$A$3:$C$128,2+I$2,FALSE))</f>
        <v>0</v>
      </c>
      <c r="I299" s="17">
        <f>G299*Assumptions!$B$1</f>
        <v>0</v>
      </c>
      <c r="J299" s="17">
        <f>H299*Assumptions!$B$1</f>
        <v>0</v>
      </c>
      <c r="K299">
        <f t="shared" si="69"/>
        <v>0</v>
      </c>
      <c r="L299">
        <f t="shared" si="74"/>
        <v>0</v>
      </c>
      <c r="M299">
        <f>HLOOKUP(C299,Assumptions!$A$6:$J$7,2,TRUE)</f>
        <v>2.6499999999999999E-2</v>
      </c>
      <c r="N299" s="23">
        <f t="shared" si="64"/>
        <v>0</v>
      </c>
      <c r="O299" s="23">
        <f t="shared" si="70"/>
        <v>0</v>
      </c>
      <c r="P299">
        <f t="shared" si="75"/>
        <v>0</v>
      </c>
      <c r="Q299" s="23">
        <f t="shared" si="71"/>
        <v>0</v>
      </c>
      <c r="R299">
        <f>Q298*Assumptions!$B$11/$E$2*N299</f>
        <v>0</v>
      </c>
      <c r="S299">
        <f>Q298*Assumptions!$B$13/$E$2*N299</f>
        <v>0</v>
      </c>
      <c r="T299">
        <f>L299*Assumptions!$B$15</f>
        <v>0</v>
      </c>
      <c r="U299">
        <f>S299*Assumptions!$B$17</f>
        <v>0</v>
      </c>
      <c r="V299">
        <f>HLOOKUP(B299,Assumptions!$A$26:$D$27,2,TRUE)</f>
        <v>0</v>
      </c>
      <c r="W299">
        <f t="shared" si="76"/>
        <v>0</v>
      </c>
      <c r="X299">
        <f t="shared" si="77"/>
        <v>0.58333333333333215</v>
      </c>
      <c r="Y299">
        <f>IF(B299&gt;$M$2,0,IF(X300=0,0,(1-X300)*Assumptions!$B$11/$E$2*(1-Assumptions!$B$30)))</f>
        <v>0</v>
      </c>
      <c r="Z299">
        <f>(R299-S299)*(1-Assumptions!$B$30)-U299+Y298*Q298</f>
        <v>0</v>
      </c>
      <c r="AA299">
        <f>AA298*(1+Assumptions!$B$36)^(1/12)</f>
        <v>1.2697346485318861</v>
      </c>
      <c r="AB299" s="20">
        <f>IF(B299&gt;$M$2,0,AA298*Assumptions!$B$32/12*Q298+Z299*Assumptions!$B$34/12)</f>
        <v>0</v>
      </c>
      <c r="AC299" s="21">
        <f>1/(1+HLOOKUP(YEAR(A299),Assumptions!$A$41:$AL$43,3,TRUE))^(1/12)</f>
        <v>0.9978766811789459</v>
      </c>
      <c r="AD299">
        <f t="shared" si="72"/>
        <v>0</v>
      </c>
      <c r="AE299">
        <f t="shared" si="78"/>
        <v>0</v>
      </c>
    </row>
    <row r="300" spans="1:31" x14ac:dyDescent="0.2">
      <c r="A300" s="2">
        <f t="shared" si="79"/>
        <v>51897</v>
      </c>
      <c r="B300">
        <f t="shared" si="73"/>
        <v>369</v>
      </c>
      <c r="C300">
        <f t="shared" si="65"/>
        <v>30.666666666666668</v>
      </c>
      <c r="D300">
        <f t="shared" si="66"/>
        <v>0</v>
      </c>
      <c r="E300">
        <f t="shared" si="67"/>
        <v>85</v>
      </c>
      <c r="F300">
        <f t="shared" si="68"/>
        <v>77</v>
      </c>
      <c r="G300">
        <f>IF(C300&gt;=$L$2,0,VLOOKUP($E300,'Mortality Table'!$A$3:$C$128,2+H$2,FALSE))</f>
        <v>0</v>
      </c>
      <c r="H300">
        <f>IF(C300&gt;=$L$2,0,VLOOKUP($E300,'Mortality Table'!$A$3:$C$128,2+I$2,FALSE))</f>
        <v>0</v>
      </c>
      <c r="I300" s="17">
        <f>G300*Assumptions!$B$1</f>
        <v>0</v>
      </c>
      <c r="J300" s="17">
        <f>H300*Assumptions!$B$1</f>
        <v>0</v>
      </c>
      <c r="K300">
        <f t="shared" si="69"/>
        <v>0</v>
      </c>
      <c r="L300">
        <f t="shared" si="74"/>
        <v>0</v>
      </c>
      <c r="M300">
        <f>HLOOKUP(C300,Assumptions!$A$6:$J$7,2,TRUE)</f>
        <v>2.6499999999999999E-2</v>
      </c>
      <c r="N300" s="23">
        <f t="shared" si="64"/>
        <v>0</v>
      </c>
      <c r="O300" s="23">
        <f t="shared" si="70"/>
        <v>0</v>
      </c>
      <c r="P300">
        <f t="shared" si="75"/>
        <v>0</v>
      </c>
      <c r="Q300" s="23">
        <f t="shared" si="71"/>
        <v>0</v>
      </c>
      <c r="R300">
        <f>Q299*Assumptions!$B$11/$E$2*N300</f>
        <v>0</v>
      </c>
      <c r="S300">
        <f>Q299*Assumptions!$B$13/$E$2*N300</f>
        <v>0</v>
      </c>
      <c r="T300">
        <f>L300*Assumptions!$B$15</f>
        <v>0</v>
      </c>
      <c r="U300">
        <f>S300*Assumptions!$B$17</f>
        <v>0</v>
      </c>
      <c r="V300">
        <f>HLOOKUP(B300,Assumptions!$A$26:$D$27,2,TRUE)</f>
        <v>0</v>
      </c>
      <c r="W300">
        <f t="shared" si="76"/>
        <v>0</v>
      </c>
      <c r="X300">
        <f t="shared" si="77"/>
        <v>0.66666666666666785</v>
      </c>
      <c r="Y300">
        <f>IF(B300&gt;$M$2,0,IF(X301=0,0,(1-X301)*Assumptions!$B$11/$E$2*(1-Assumptions!$B$30)))</f>
        <v>0</v>
      </c>
      <c r="Z300">
        <f>(R300-S300)*(1-Assumptions!$B$30)-U300+Y299*Q299</f>
        <v>0</v>
      </c>
      <c r="AA300">
        <f>AA299*(1+Assumptions!$B$36)^(1/12)</f>
        <v>1.2707879418179493</v>
      </c>
      <c r="AB300" s="20">
        <f>IF(B300&gt;$M$2,0,AA299*Assumptions!$B$32/12*Q299+Z300*Assumptions!$B$34/12)</f>
        <v>0</v>
      </c>
      <c r="AC300" s="21">
        <f>1/(1+HLOOKUP(YEAR(A300),Assumptions!$A$41:$AL$43,3,TRUE))^(1/12)</f>
        <v>0.9978315428362301</v>
      </c>
      <c r="AD300">
        <f t="shared" si="72"/>
        <v>0</v>
      </c>
      <c r="AE300">
        <f t="shared" si="78"/>
        <v>0</v>
      </c>
    </row>
    <row r="301" spans="1:31" x14ac:dyDescent="0.2">
      <c r="A301" s="2">
        <f t="shared" si="79"/>
        <v>51925</v>
      </c>
      <c r="B301">
        <f t="shared" si="73"/>
        <v>370</v>
      </c>
      <c r="C301">
        <f t="shared" si="65"/>
        <v>30.75</v>
      </c>
      <c r="D301">
        <f t="shared" si="66"/>
        <v>0</v>
      </c>
      <c r="E301">
        <f t="shared" si="67"/>
        <v>85</v>
      </c>
      <c r="F301">
        <f t="shared" si="68"/>
        <v>77</v>
      </c>
      <c r="G301">
        <f>IF(C301&gt;=$L$2,0,VLOOKUP($E301,'Mortality Table'!$A$3:$C$128,2+H$2,FALSE))</f>
        <v>0</v>
      </c>
      <c r="H301">
        <f>IF(C301&gt;=$L$2,0,VLOOKUP($E301,'Mortality Table'!$A$3:$C$128,2+I$2,FALSE))</f>
        <v>0</v>
      </c>
      <c r="I301" s="17">
        <f>G301*Assumptions!$B$1</f>
        <v>0</v>
      </c>
      <c r="J301" s="17">
        <f>H301*Assumptions!$B$1</f>
        <v>0</v>
      </c>
      <c r="K301">
        <f t="shared" si="69"/>
        <v>0</v>
      </c>
      <c r="L301">
        <f t="shared" si="74"/>
        <v>0</v>
      </c>
      <c r="M301">
        <f>HLOOKUP(C301,Assumptions!$A$6:$J$7,2,TRUE)</f>
        <v>2.6499999999999999E-2</v>
      </c>
      <c r="N301" s="23">
        <f t="shared" si="64"/>
        <v>0</v>
      </c>
      <c r="O301" s="23">
        <f t="shared" si="70"/>
        <v>0</v>
      </c>
      <c r="P301">
        <f t="shared" si="75"/>
        <v>0</v>
      </c>
      <c r="Q301" s="23">
        <f t="shared" si="71"/>
        <v>0</v>
      </c>
      <c r="R301">
        <f>Q300*Assumptions!$B$11/$E$2*N301</f>
        <v>0</v>
      </c>
      <c r="S301">
        <f>Q300*Assumptions!$B$13/$E$2*N301</f>
        <v>0</v>
      </c>
      <c r="T301">
        <f>L301*Assumptions!$B$15</f>
        <v>0</v>
      </c>
      <c r="U301">
        <f>S301*Assumptions!$B$17</f>
        <v>0</v>
      </c>
      <c r="V301">
        <f>HLOOKUP(B301,Assumptions!$A$26:$D$27,2,TRUE)</f>
        <v>0</v>
      </c>
      <c r="W301">
        <f t="shared" si="76"/>
        <v>0</v>
      </c>
      <c r="X301">
        <f t="shared" si="77"/>
        <v>0.75</v>
      </c>
      <c r="Y301">
        <f>IF(B301&gt;$M$2,0,IF(X302=0,0,(1-X302)*Assumptions!$B$11/$E$2*(1-Assumptions!$B$30)))</f>
        <v>0</v>
      </c>
      <c r="Z301">
        <f>(R301-S301)*(1-Assumptions!$B$30)-U301+Y300*Q300</f>
        <v>0</v>
      </c>
      <c r="AA301">
        <f>AA300*(1+Assumptions!$B$36)^(1/12)</f>
        <v>1.2718421088509388</v>
      </c>
      <c r="AB301" s="20">
        <f>IF(B301&gt;$M$2,0,AA300*Assumptions!$B$32/12*Q300+Z301*Assumptions!$B$34/12)</f>
        <v>0</v>
      </c>
      <c r="AC301" s="21">
        <f>1/(1+HLOOKUP(YEAR(A301),Assumptions!$A$41:$AL$43,3,TRUE))^(1/12)</f>
        <v>0.9978315428362301</v>
      </c>
      <c r="AD301">
        <f t="shared" si="72"/>
        <v>0</v>
      </c>
      <c r="AE301">
        <f t="shared" si="78"/>
        <v>0</v>
      </c>
    </row>
    <row r="302" spans="1:31" x14ac:dyDescent="0.2">
      <c r="A302" s="2">
        <f t="shared" si="79"/>
        <v>51956</v>
      </c>
      <c r="B302">
        <f t="shared" si="73"/>
        <v>371</v>
      </c>
      <c r="C302">
        <f t="shared" si="65"/>
        <v>30.833333333333332</v>
      </c>
      <c r="D302">
        <f t="shared" si="66"/>
        <v>0</v>
      </c>
      <c r="E302">
        <f t="shared" si="67"/>
        <v>85</v>
      </c>
      <c r="F302">
        <f t="shared" si="68"/>
        <v>77</v>
      </c>
      <c r="G302">
        <f>IF(C302&gt;=$L$2,0,VLOOKUP($E302,'Mortality Table'!$A$3:$C$128,2+H$2,FALSE))</f>
        <v>0</v>
      </c>
      <c r="H302">
        <f>IF(C302&gt;=$L$2,0,VLOOKUP($E302,'Mortality Table'!$A$3:$C$128,2+I$2,FALSE))</f>
        <v>0</v>
      </c>
      <c r="I302" s="17">
        <f>G302*Assumptions!$B$1</f>
        <v>0</v>
      </c>
      <c r="J302" s="17">
        <f>H302*Assumptions!$B$1</f>
        <v>0</v>
      </c>
      <c r="K302">
        <f t="shared" si="69"/>
        <v>0</v>
      </c>
      <c r="L302">
        <f t="shared" si="74"/>
        <v>0</v>
      </c>
      <c r="M302">
        <f>HLOOKUP(C302,Assumptions!$A$6:$J$7,2,TRUE)</f>
        <v>2.6499999999999999E-2</v>
      </c>
      <c r="N302" s="23">
        <f t="shared" si="64"/>
        <v>0</v>
      </c>
      <c r="O302" s="23">
        <f t="shared" si="70"/>
        <v>0</v>
      </c>
      <c r="P302">
        <f t="shared" si="75"/>
        <v>0</v>
      </c>
      <c r="Q302" s="23">
        <f t="shared" si="71"/>
        <v>0</v>
      </c>
      <c r="R302">
        <f>Q301*Assumptions!$B$11/$E$2*N302</f>
        <v>0</v>
      </c>
      <c r="S302">
        <f>Q301*Assumptions!$B$13/$E$2*N302</f>
        <v>0</v>
      </c>
      <c r="T302">
        <f>L302*Assumptions!$B$15</f>
        <v>0</v>
      </c>
      <c r="U302">
        <f>S302*Assumptions!$B$17</f>
        <v>0</v>
      </c>
      <c r="V302">
        <f>HLOOKUP(B302,Assumptions!$A$26:$D$27,2,TRUE)</f>
        <v>0</v>
      </c>
      <c r="W302">
        <f t="shared" si="76"/>
        <v>0</v>
      </c>
      <c r="X302">
        <f t="shared" si="77"/>
        <v>0.83333333333333215</v>
      </c>
      <c r="Y302">
        <f>IF(B302&gt;$M$2,0,IF(X303=0,0,(1-X303)*Assumptions!$B$11/$E$2*(1-Assumptions!$B$30)))</f>
        <v>0</v>
      </c>
      <c r="Z302">
        <f>(R302-S302)*(1-Assumptions!$B$30)-U302+Y301*Q301</f>
        <v>0</v>
      </c>
      <c r="AA302">
        <f>AA301*(1+Assumptions!$B$36)^(1/12)</f>
        <v>1.2728971503556612</v>
      </c>
      <c r="AB302" s="20">
        <f>IF(B302&gt;$M$2,0,AA301*Assumptions!$B$32/12*Q301+Z302*Assumptions!$B$34/12)</f>
        <v>0</v>
      </c>
      <c r="AC302" s="21">
        <f>1/(1+HLOOKUP(YEAR(A302),Assumptions!$A$41:$AL$43,3,TRUE))^(1/12)</f>
        <v>0.9978315428362301</v>
      </c>
      <c r="AD302">
        <f t="shared" si="72"/>
        <v>0</v>
      </c>
      <c r="AE302">
        <f t="shared" si="78"/>
        <v>0</v>
      </c>
    </row>
    <row r="303" spans="1:31" x14ac:dyDescent="0.2">
      <c r="A303" s="2">
        <f t="shared" si="79"/>
        <v>51986</v>
      </c>
      <c r="B303">
        <f t="shared" si="73"/>
        <v>372</v>
      </c>
      <c r="C303">
        <f t="shared" si="65"/>
        <v>30.916666666666668</v>
      </c>
      <c r="D303">
        <f t="shared" si="66"/>
        <v>0</v>
      </c>
      <c r="E303">
        <f t="shared" si="67"/>
        <v>85</v>
      </c>
      <c r="F303">
        <f t="shared" si="68"/>
        <v>77</v>
      </c>
      <c r="G303">
        <f>IF(C303&gt;=$L$2,0,VLOOKUP($E303,'Mortality Table'!$A$3:$C$128,2+H$2,FALSE))</f>
        <v>0</v>
      </c>
      <c r="H303">
        <f>IF(C303&gt;=$L$2,0,VLOOKUP($E303,'Mortality Table'!$A$3:$C$128,2+I$2,FALSE))</f>
        <v>0</v>
      </c>
      <c r="I303" s="17">
        <f>G303*Assumptions!$B$1</f>
        <v>0</v>
      </c>
      <c r="J303" s="17">
        <f>H303*Assumptions!$B$1</f>
        <v>0</v>
      </c>
      <c r="K303">
        <f t="shared" si="69"/>
        <v>0</v>
      </c>
      <c r="L303">
        <f t="shared" si="74"/>
        <v>0</v>
      </c>
      <c r="M303">
        <f>HLOOKUP(C303,Assumptions!$A$6:$J$7,2,TRUE)</f>
        <v>2.6499999999999999E-2</v>
      </c>
      <c r="N303" s="23">
        <f t="shared" si="64"/>
        <v>0</v>
      </c>
      <c r="O303" s="23">
        <f t="shared" si="70"/>
        <v>0</v>
      </c>
      <c r="P303">
        <f t="shared" si="75"/>
        <v>0</v>
      </c>
      <c r="Q303" s="23">
        <f t="shared" si="71"/>
        <v>0</v>
      </c>
      <c r="R303">
        <f>Q302*Assumptions!$B$11/$E$2*N303</f>
        <v>0</v>
      </c>
      <c r="S303">
        <f>Q302*Assumptions!$B$13/$E$2*N303</f>
        <v>0</v>
      </c>
      <c r="T303">
        <f>L303*Assumptions!$B$15</f>
        <v>0</v>
      </c>
      <c r="U303">
        <f>S303*Assumptions!$B$17</f>
        <v>0</v>
      </c>
      <c r="V303">
        <f>HLOOKUP(B303,Assumptions!$A$26:$D$27,2,TRUE)</f>
        <v>0</v>
      </c>
      <c r="W303">
        <f t="shared" si="76"/>
        <v>0</v>
      </c>
      <c r="X303">
        <f t="shared" si="77"/>
        <v>0.91666666666666785</v>
      </c>
      <c r="Y303">
        <f>IF(B303&gt;$M$2,0,IF(X304=0,0,(1-X304)*Assumptions!$B$11/$E$2*(1-Assumptions!$B$30)))</f>
        <v>0</v>
      </c>
      <c r="Z303">
        <f>(R303-S303)*(1-Assumptions!$B$30)-U303+Y302*Q302</f>
        <v>0</v>
      </c>
      <c r="AA303">
        <f>AA302*(1+Assumptions!$B$36)^(1/12)</f>
        <v>1.2739530670575239</v>
      </c>
      <c r="AB303" s="20">
        <f>IF(B303&gt;$M$2,0,AA302*Assumptions!$B$32/12*Q302+Z303*Assumptions!$B$34/12)</f>
        <v>0</v>
      </c>
      <c r="AC303" s="21">
        <f>1/(1+HLOOKUP(YEAR(A303),Assumptions!$A$41:$AL$43,3,TRUE))^(1/12)</f>
        <v>0.9978315428362301</v>
      </c>
      <c r="AD303">
        <f t="shared" si="72"/>
        <v>0</v>
      </c>
      <c r="AE303">
        <f t="shared" si="78"/>
        <v>0</v>
      </c>
    </row>
    <row r="304" spans="1:31" x14ac:dyDescent="0.2">
      <c r="A304" s="2">
        <f t="shared" si="79"/>
        <v>52017</v>
      </c>
      <c r="B304">
        <f t="shared" si="73"/>
        <v>373</v>
      </c>
      <c r="C304">
        <f t="shared" si="65"/>
        <v>31</v>
      </c>
      <c r="D304">
        <f t="shared" si="66"/>
        <v>1</v>
      </c>
      <c r="E304">
        <f t="shared" si="67"/>
        <v>86</v>
      </c>
      <c r="F304">
        <f t="shared" si="68"/>
        <v>78</v>
      </c>
      <c r="G304">
        <f>IF(C304&gt;=$L$2,0,VLOOKUP($E304,'Mortality Table'!$A$3:$C$128,2+H$2,FALSE))</f>
        <v>0</v>
      </c>
      <c r="H304">
        <f>IF(C304&gt;=$L$2,0,VLOOKUP($E304,'Mortality Table'!$A$3:$C$128,2+I$2,FALSE))</f>
        <v>0</v>
      </c>
      <c r="I304" s="17">
        <f>G304*Assumptions!$B$1</f>
        <v>0</v>
      </c>
      <c r="J304" s="17">
        <f>H304*Assumptions!$B$1</f>
        <v>0</v>
      </c>
      <c r="K304">
        <f t="shared" si="69"/>
        <v>0</v>
      </c>
      <c r="L304">
        <f t="shared" si="74"/>
        <v>0</v>
      </c>
      <c r="M304">
        <f>HLOOKUP(C304,Assumptions!$A$6:$J$7,2,TRUE)</f>
        <v>2.6499999999999999E-2</v>
      </c>
      <c r="N304" s="23">
        <f t="shared" si="64"/>
        <v>0</v>
      </c>
      <c r="O304" s="23">
        <f t="shared" si="70"/>
        <v>0</v>
      </c>
      <c r="P304">
        <f t="shared" si="75"/>
        <v>0</v>
      </c>
      <c r="Q304" s="23">
        <f t="shared" si="71"/>
        <v>0</v>
      </c>
      <c r="R304">
        <f>Q303*Assumptions!$B$11/$E$2*N304</f>
        <v>0</v>
      </c>
      <c r="S304">
        <f>Q303*Assumptions!$B$13/$E$2*N304</f>
        <v>0</v>
      </c>
      <c r="T304">
        <f>L304*Assumptions!$B$15</f>
        <v>0</v>
      </c>
      <c r="U304">
        <f>S304*Assumptions!$B$17</f>
        <v>0</v>
      </c>
      <c r="V304">
        <f>HLOOKUP(B304,Assumptions!$A$26:$D$27,2,TRUE)</f>
        <v>0</v>
      </c>
      <c r="W304">
        <f t="shared" si="76"/>
        <v>0</v>
      </c>
      <c r="X304">
        <f t="shared" si="77"/>
        <v>0</v>
      </c>
      <c r="Y304">
        <f>IF(B304&gt;$M$2,0,IF(X305=0,0,(1-X305)*Assumptions!$B$11/$E$2*(1-Assumptions!$B$30)))</f>
        <v>0</v>
      </c>
      <c r="Z304">
        <f>(R304-S304)*(1-Assumptions!$B$30)-U304+Y303*Q303</f>
        <v>0</v>
      </c>
      <c r="AA304">
        <f>AA303*(1+Assumptions!$B$36)^(1/12)</f>
        <v>1.2750098596825363</v>
      </c>
      <c r="AB304" s="20">
        <f>IF(B304&gt;$M$2,0,AA303*Assumptions!$B$32/12*Q303+Z304*Assumptions!$B$34/12)</f>
        <v>0</v>
      </c>
      <c r="AC304" s="21">
        <f>1/(1+HLOOKUP(YEAR(A304),Assumptions!$A$41:$AL$43,3,TRUE))^(1/12)</f>
        <v>0.9978315428362301</v>
      </c>
      <c r="AD304">
        <f t="shared" si="72"/>
        <v>0</v>
      </c>
      <c r="AE304">
        <f t="shared" si="78"/>
        <v>0</v>
      </c>
    </row>
    <row r="305" spans="1:31" x14ac:dyDescent="0.2">
      <c r="A305" s="2">
        <f t="shared" si="79"/>
        <v>52047</v>
      </c>
      <c r="B305">
        <f t="shared" si="73"/>
        <v>374</v>
      </c>
      <c r="C305">
        <f t="shared" si="65"/>
        <v>31.083333333333336</v>
      </c>
      <c r="D305">
        <f t="shared" si="66"/>
        <v>0</v>
      </c>
      <c r="E305">
        <f t="shared" si="67"/>
        <v>86</v>
      </c>
      <c r="F305">
        <f t="shared" si="68"/>
        <v>78</v>
      </c>
      <c r="G305">
        <f>IF(C305&gt;=$L$2,0,VLOOKUP($E305,'Mortality Table'!$A$3:$C$128,2+H$2,FALSE))</f>
        <v>0</v>
      </c>
      <c r="H305">
        <f>IF(C305&gt;=$L$2,0,VLOOKUP($E305,'Mortality Table'!$A$3:$C$128,2+I$2,FALSE))</f>
        <v>0</v>
      </c>
      <c r="I305" s="17">
        <f>G305*Assumptions!$B$1</f>
        <v>0</v>
      </c>
      <c r="J305" s="17">
        <f>H305*Assumptions!$B$1</f>
        <v>0</v>
      </c>
      <c r="K305">
        <f t="shared" si="69"/>
        <v>0</v>
      </c>
      <c r="L305">
        <f t="shared" si="74"/>
        <v>0</v>
      </c>
      <c r="M305">
        <f>HLOOKUP(C305,Assumptions!$A$6:$J$7,2,TRUE)</f>
        <v>2.6499999999999999E-2</v>
      </c>
      <c r="N305" s="23">
        <f t="shared" si="64"/>
        <v>0</v>
      </c>
      <c r="O305" s="23">
        <f t="shared" si="70"/>
        <v>0</v>
      </c>
      <c r="P305">
        <f t="shared" si="75"/>
        <v>0</v>
      </c>
      <c r="Q305" s="23">
        <f t="shared" si="71"/>
        <v>0</v>
      </c>
      <c r="R305">
        <f>Q304*Assumptions!$B$11/$E$2*N305</f>
        <v>0</v>
      </c>
      <c r="S305">
        <f>Q304*Assumptions!$B$13/$E$2*N305</f>
        <v>0</v>
      </c>
      <c r="T305">
        <f>L305*Assumptions!$B$15</f>
        <v>0</v>
      </c>
      <c r="U305">
        <f>S305*Assumptions!$B$17</f>
        <v>0</v>
      </c>
      <c r="V305">
        <f>HLOOKUP(B305,Assumptions!$A$26:$D$27,2,TRUE)</f>
        <v>0</v>
      </c>
      <c r="W305">
        <f t="shared" si="76"/>
        <v>0</v>
      </c>
      <c r="X305">
        <f t="shared" si="77"/>
        <v>8.3333333333335702E-2</v>
      </c>
      <c r="Y305">
        <f>IF(B305&gt;$M$2,0,IF(X306=0,0,(1-X306)*Assumptions!$B$11/$E$2*(1-Assumptions!$B$30)))</f>
        <v>0</v>
      </c>
      <c r="Z305">
        <f>(R305-S305)*(1-Assumptions!$B$30)-U305+Y304*Q304</f>
        <v>0</v>
      </c>
      <c r="AA305">
        <f>AA304*(1+Assumptions!$B$36)^(1/12)</f>
        <v>1.2760675289573102</v>
      </c>
      <c r="AB305" s="20">
        <f>IF(B305&gt;$M$2,0,AA304*Assumptions!$B$32/12*Q304+Z305*Assumptions!$B$34/12)</f>
        <v>0</v>
      </c>
      <c r="AC305" s="21">
        <f>1/(1+HLOOKUP(YEAR(A305),Assumptions!$A$41:$AL$43,3,TRUE))^(1/12)</f>
        <v>0.9978315428362301</v>
      </c>
      <c r="AD305">
        <f t="shared" si="72"/>
        <v>0</v>
      </c>
      <c r="AE305">
        <f t="shared" si="78"/>
        <v>0</v>
      </c>
    </row>
    <row r="306" spans="1:31" x14ac:dyDescent="0.2">
      <c r="A306" s="2">
        <f t="shared" si="79"/>
        <v>52078</v>
      </c>
      <c r="B306">
        <f t="shared" si="73"/>
        <v>375</v>
      </c>
      <c r="C306">
        <f t="shared" si="65"/>
        <v>31.166666666666664</v>
      </c>
      <c r="D306">
        <f t="shared" si="66"/>
        <v>0</v>
      </c>
      <c r="E306">
        <f t="shared" si="67"/>
        <v>86</v>
      </c>
      <c r="F306">
        <f t="shared" si="68"/>
        <v>78</v>
      </c>
      <c r="G306">
        <f>IF(C306&gt;=$L$2,0,VLOOKUP($E306,'Mortality Table'!$A$3:$C$128,2+H$2,FALSE))</f>
        <v>0</v>
      </c>
      <c r="H306">
        <f>IF(C306&gt;=$L$2,0,VLOOKUP($E306,'Mortality Table'!$A$3:$C$128,2+I$2,FALSE))</f>
        <v>0</v>
      </c>
      <c r="I306" s="17">
        <f>G306*Assumptions!$B$1</f>
        <v>0</v>
      </c>
      <c r="J306" s="17">
        <f>H306*Assumptions!$B$1</f>
        <v>0</v>
      </c>
      <c r="K306">
        <f t="shared" si="69"/>
        <v>0</v>
      </c>
      <c r="L306">
        <f t="shared" si="74"/>
        <v>0</v>
      </c>
      <c r="M306">
        <f>HLOOKUP(C306,Assumptions!$A$6:$J$7,2,TRUE)</f>
        <v>2.6499999999999999E-2</v>
      </c>
      <c r="N306" s="23">
        <f t="shared" si="64"/>
        <v>0</v>
      </c>
      <c r="O306" s="23">
        <f t="shared" si="70"/>
        <v>0</v>
      </c>
      <c r="P306">
        <f t="shared" si="75"/>
        <v>0</v>
      </c>
      <c r="Q306" s="23">
        <f t="shared" si="71"/>
        <v>0</v>
      </c>
      <c r="R306">
        <f>Q305*Assumptions!$B$11/$E$2*N306</f>
        <v>0</v>
      </c>
      <c r="S306">
        <f>Q305*Assumptions!$B$13/$E$2*N306</f>
        <v>0</v>
      </c>
      <c r="T306">
        <f>L306*Assumptions!$B$15</f>
        <v>0</v>
      </c>
      <c r="U306">
        <f>S306*Assumptions!$B$17</f>
        <v>0</v>
      </c>
      <c r="V306">
        <f>HLOOKUP(B306,Assumptions!$A$26:$D$27,2,TRUE)</f>
        <v>0</v>
      </c>
      <c r="W306">
        <f t="shared" si="76"/>
        <v>0</v>
      </c>
      <c r="X306">
        <f t="shared" si="77"/>
        <v>0.1666666666666643</v>
      </c>
      <c r="Y306">
        <f>IF(B306&gt;$M$2,0,IF(X307=0,0,(1-X307)*Assumptions!$B$11/$E$2*(1-Assumptions!$B$30)))</f>
        <v>0</v>
      </c>
      <c r="Z306">
        <f>(R306-S306)*(1-Assumptions!$B$30)-U306+Y305*Q305</f>
        <v>0</v>
      </c>
      <c r="AA306">
        <f>AA305*(1+Assumptions!$B$36)^(1/12)</f>
        <v>1.2771260756090599</v>
      </c>
      <c r="AB306" s="20">
        <f>IF(B306&gt;$M$2,0,AA305*Assumptions!$B$32/12*Q305+Z306*Assumptions!$B$34/12)</f>
        <v>0</v>
      </c>
      <c r="AC306" s="21">
        <f>1/(1+HLOOKUP(YEAR(A306),Assumptions!$A$41:$AL$43,3,TRUE))^(1/12)</f>
        <v>0.9978315428362301</v>
      </c>
      <c r="AD306">
        <f t="shared" si="72"/>
        <v>0</v>
      </c>
      <c r="AE306">
        <f t="shared" si="78"/>
        <v>0</v>
      </c>
    </row>
    <row r="307" spans="1:31" x14ac:dyDescent="0.2">
      <c r="A307" s="2">
        <f t="shared" si="79"/>
        <v>52109</v>
      </c>
      <c r="B307">
        <f t="shared" si="73"/>
        <v>376</v>
      </c>
      <c r="C307">
        <f t="shared" si="65"/>
        <v>31.25</v>
      </c>
      <c r="D307">
        <f t="shared" si="66"/>
        <v>0</v>
      </c>
      <c r="E307">
        <f t="shared" si="67"/>
        <v>86</v>
      </c>
      <c r="F307">
        <f t="shared" si="68"/>
        <v>78</v>
      </c>
      <c r="G307">
        <f>IF(C307&gt;=$L$2,0,VLOOKUP($E307,'Mortality Table'!$A$3:$C$128,2+H$2,FALSE))</f>
        <v>0</v>
      </c>
      <c r="H307">
        <f>IF(C307&gt;=$L$2,0,VLOOKUP($E307,'Mortality Table'!$A$3:$C$128,2+I$2,FALSE))</f>
        <v>0</v>
      </c>
      <c r="I307" s="17">
        <f>G307*Assumptions!$B$1</f>
        <v>0</v>
      </c>
      <c r="J307" s="17">
        <f>H307*Assumptions!$B$1</f>
        <v>0</v>
      </c>
      <c r="K307">
        <f t="shared" si="69"/>
        <v>0</v>
      </c>
      <c r="L307">
        <f t="shared" si="74"/>
        <v>0</v>
      </c>
      <c r="M307">
        <f>HLOOKUP(C307,Assumptions!$A$6:$J$7,2,TRUE)</f>
        <v>2.6499999999999999E-2</v>
      </c>
      <c r="N307" s="23">
        <f t="shared" si="64"/>
        <v>0</v>
      </c>
      <c r="O307" s="23">
        <f t="shared" si="70"/>
        <v>0</v>
      </c>
      <c r="P307">
        <f t="shared" si="75"/>
        <v>0</v>
      </c>
      <c r="Q307" s="23">
        <f t="shared" si="71"/>
        <v>0</v>
      </c>
      <c r="R307">
        <f>Q306*Assumptions!$B$11/$E$2*N307</f>
        <v>0</v>
      </c>
      <c r="S307">
        <f>Q306*Assumptions!$B$13/$E$2*N307</f>
        <v>0</v>
      </c>
      <c r="T307">
        <f>L307*Assumptions!$B$15</f>
        <v>0</v>
      </c>
      <c r="U307">
        <f>S307*Assumptions!$B$17</f>
        <v>0</v>
      </c>
      <c r="V307">
        <f>HLOOKUP(B307,Assumptions!$A$26:$D$27,2,TRUE)</f>
        <v>0</v>
      </c>
      <c r="W307">
        <f t="shared" si="76"/>
        <v>0</v>
      </c>
      <c r="X307">
        <f t="shared" si="77"/>
        <v>0.25</v>
      </c>
      <c r="Y307">
        <f>IF(B307&gt;$M$2,0,IF(X308=0,0,(1-X308)*Assumptions!$B$11/$E$2*(1-Assumptions!$B$30)))</f>
        <v>0</v>
      </c>
      <c r="Z307">
        <f>(R307-S307)*(1-Assumptions!$B$30)-U307+Y306*Q306</f>
        <v>0</v>
      </c>
      <c r="AA307">
        <f>AA306*(1+Assumptions!$B$36)^(1/12)</f>
        <v>1.2781855003656029</v>
      </c>
      <c r="AB307" s="20">
        <f>IF(B307&gt;$M$2,0,AA306*Assumptions!$B$32/12*Q306+Z307*Assumptions!$B$34/12)</f>
        <v>0</v>
      </c>
      <c r="AC307" s="21">
        <f>1/(1+HLOOKUP(YEAR(A307),Assumptions!$A$41:$AL$43,3,TRUE))^(1/12)</f>
        <v>0.9978315428362301</v>
      </c>
      <c r="AD307">
        <f t="shared" si="72"/>
        <v>0</v>
      </c>
      <c r="AE307">
        <f t="shared" si="78"/>
        <v>0</v>
      </c>
    </row>
    <row r="308" spans="1:31" x14ac:dyDescent="0.2">
      <c r="A308" s="2">
        <f t="shared" si="79"/>
        <v>52139</v>
      </c>
      <c r="B308">
        <f t="shared" si="73"/>
        <v>377</v>
      </c>
      <c r="C308">
        <f t="shared" si="65"/>
        <v>31.333333333333336</v>
      </c>
      <c r="D308">
        <f t="shared" si="66"/>
        <v>0</v>
      </c>
      <c r="E308">
        <f t="shared" si="67"/>
        <v>86</v>
      </c>
      <c r="F308">
        <f t="shared" si="68"/>
        <v>78</v>
      </c>
      <c r="G308">
        <f>IF(C308&gt;=$L$2,0,VLOOKUP($E308,'Mortality Table'!$A$3:$C$128,2+H$2,FALSE))</f>
        <v>0</v>
      </c>
      <c r="H308">
        <f>IF(C308&gt;=$L$2,0,VLOOKUP($E308,'Mortality Table'!$A$3:$C$128,2+I$2,FALSE))</f>
        <v>0</v>
      </c>
      <c r="I308" s="17">
        <f>G308*Assumptions!$B$1</f>
        <v>0</v>
      </c>
      <c r="J308" s="17">
        <f>H308*Assumptions!$B$1</f>
        <v>0</v>
      </c>
      <c r="K308">
        <f t="shared" si="69"/>
        <v>0</v>
      </c>
      <c r="L308">
        <f t="shared" si="74"/>
        <v>0</v>
      </c>
      <c r="M308">
        <f>HLOOKUP(C308,Assumptions!$A$6:$J$7,2,TRUE)</f>
        <v>2.6499999999999999E-2</v>
      </c>
      <c r="N308" s="23">
        <f t="shared" si="64"/>
        <v>0</v>
      </c>
      <c r="O308" s="23">
        <f t="shared" si="70"/>
        <v>0</v>
      </c>
      <c r="P308">
        <f t="shared" si="75"/>
        <v>0</v>
      </c>
      <c r="Q308" s="23">
        <f t="shared" si="71"/>
        <v>0</v>
      </c>
      <c r="R308">
        <f>Q307*Assumptions!$B$11/$E$2*N308</f>
        <v>0</v>
      </c>
      <c r="S308">
        <f>Q307*Assumptions!$B$13/$E$2*N308</f>
        <v>0</v>
      </c>
      <c r="T308">
        <f>L308*Assumptions!$B$15</f>
        <v>0</v>
      </c>
      <c r="U308">
        <f>S308*Assumptions!$B$17</f>
        <v>0</v>
      </c>
      <c r="V308">
        <f>HLOOKUP(B308,Assumptions!$A$26:$D$27,2,TRUE)</f>
        <v>0</v>
      </c>
      <c r="W308">
        <f t="shared" si="76"/>
        <v>0</v>
      </c>
      <c r="X308">
        <f t="shared" si="77"/>
        <v>0.3333333333333357</v>
      </c>
      <c r="Y308">
        <f>IF(B308&gt;$M$2,0,IF(X309=0,0,(1-X309)*Assumptions!$B$11/$E$2*(1-Assumptions!$B$30)))</f>
        <v>0</v>
      </c>
      <c r="Z308">
        <f>(R308-S308)*(1-Assumptions!$B$30)-U308+Y307*Q307</f>
        <v>0</v>
      </c>
      <c r="AA308">
        <f>AA307*(1+Assumptions!$B$36)^(1/12)</f>
        <v>1.2792458039553607</v>
      </c>
      <c r="AB308" s="20">
        <f>IF(B308&gt;$M$2,0,AA307*Assumptions!$B$32/12*Q307+Z308*Assumptions!$B$34/12)</f>
        <v>0</v>
      </c>
      <c r="AC308" s="21">
        <f>1/(1+HLOOKUP(YEAR(A308),Assumptions!$A$41:$AL$43,3,TRUE))^(1/12)</f>
        <v>0.9978315428362301</v>
      </c>
      <c r="AD308">
        <f t="shared" si="72"/>
        <v>0</v>
      </c>
      <c r="AE308">
        <f t="shared" si="78"/>
        <v>0</v>
      </c>
    </row>
    <row r="309" spans="1:31" x14ac:dyDescent="0.2">
      <c r="A309" s="2">
        <f t="shared" si="79"/>
        <v>52170</v>
      </c>
      <c r="B309">
        <f t="shared" si="73"/>
        <v>378</v>
      </c>
      <c r="C309">
        <f t="shared" si="65"/>
        <v>31.416666666666664</v>
      </c>
      <c r="D309">
        <f t="shared" si="66"/>
        <v>0</v>
      </c>
      <c r="E309">
        <f t="shared" si="67"/>
        <v>86</v>
      </c>
      <c r="F309">
        <f t="shared" si="68"/>
        <v>78</v>
      </c>
      <c r="G309">
        <f>IF(C309&gt;=$L$2,0,VLOOKUP($E309,'Mortality Table'!$A$3:$C$128,2+H$2,FALSE))</f>
        <v>0</v>
      </c>
      <c r="H309">
        <f>IF(C309&gt;=$L$2,0,VLOOKUP($E309,'Mortality Table'!$A$3:$C$128,2+I$2,FALSE))</f>
        <v>0</v>
      </c>
      <c r="I309" s="17">
        <f>G309*Assumptions!$B$1</f>
        <v>0</v>
      </c>
      <c r="J309" s="17">
        <f>H309*Assumptions!$B$1</f>
        <v>0</v>
      </c>
      <c r="K309">
        <f t="shared" si="69"/>
        <v>0</v>
      </c>
      <c r="L309">
        <f t="shared" si="74"/>
        <v>0</v>
      </c>
      <c r="M309">
        <f>HLOOKUP(C309,Assumptions!$A$6:$J$7,2,TRUE)</f>
        <v>2.6499999999999999E-2</v>
      </c>
      <c r="N309" s="23">
        <f t="shared" si="64"/>
        <v>0</v>
      </c>
      <c r="O309" s="23">
        <f t="shared" si="70"/>
        <v>0</v>
      </c>
      <c r="P309">
        <f t="shared" si="75"/>
        <v>0</v>
      </c>
      <c r="Q309" s="23">
        <f t="shared" si="71"/>
        <v>0</v>
      </c>
      <c r="R309">
        <f>Q308*Assumptions!$B$11/$E$2*N309</f>
        <v>0</v>
      </c>
      <c r="S309">
        <f>Q308*Assumptions!$B$13/$E$2*N309</f>
        <v>0</v>
      </c>
      <c r="T309">
        <f>L309*Assumptions!$B$15</f>
        <v>0</v>
      </c>
      <c r="U309">
        <f>S309*Assumptions!$B$17</f>
        <v>0</v>
      </c>
      <c r="V309">
        <f>HLOOKUP(B309,Assumptions!$A$26:$D$27,2,TRUE)</f>
        <v>0</v>
      </c>
      <c r="W309">
        <f t="shared" si="76"/>
        <v>0</v>
      </c>
      <c r="X309">
        <f t="shared" si="77"/>
        <v>0.4166666666666643</v>
      </c>
      <c r="Y309">
        <f>IF(B309&gt;$M$2,0,IF(X310=0,0,(1-X310)*Assumptions!$B$11/$E$2*(1-Assumptions!$B$30)))</f>
        <v>0</v>
      </c>
      <c r="Z309">
        <f>(R309-S309)*(1-Assumptions!$B$30)-U309+Y308*Q308</f>
        <v>0</v>
      </c>
      <c r="AA309">
        <f>AA308*(1+Assumptions!$B$36)^(1/12)</f>
        <v>1.2803069871073591</v>
      </c>
      <c r="AB309" s="20">
        <f>IF(B309&gt;$M$2,0,AA308*Assumptions!$B$32/12*Q308+Z309*Assumptions!$B$34/12)</f>
        <v>0</v>
      </c>
      <c r="AC309" s="21">
        <f>1/(1+HLOOKUP(YEAR(A309),Assumptions!$A$41:$AL$43,3,TRUE))^(1/12)</f>
        <v>0.9978315428362301</v>
      </c>
      <c r="AD309">
        <f t="shared" si="72"/>
        <v>0</v>
      </c>
      <c r="AE309">
        <f t="shared" si="78"/>
        <v>0</v>
      </c>
    </row>
    <row r="310" spans="1:31" x14ac:dyDescent="0.2">
      <c r="A310" s="2">
        <f t="shared" si="79"/>
        <v>52200</v>
      </c>
      <c r="B310">
        <f t="shared" si="73"/>
        <v>379</v>
      </c>
      <c r="C310">
        <f t="shared" si="65"/>
        <v>31.5</v>
      </c>
      <c r="D310">
        <f t="shared" si="66"/>
        <v>0</v>
      </c>
      <c r="E310">
        <f t="shared" si="67"/>
        <v>86</v>
      </c>
      <c r="F310">
        <f t="shared" si="68"/>
        <v>78</v>
      </c>
      <c r="G310">
        <f>IF(C310&gt;=$L$2,0,VLOOKUP($E310,'Mortality Table'!$A$3:$C$128,2+H$2,FALSE))</f>
        <v>0</v>
      </c>
      <c r="H310">
        <f>IF(C310&gt;=$L$2,0,VLOOKUP($E310,'Mortality Table'!$A$3:$C$128,2+I$2,FALSE))</f>
        <v>0</v>
      </c>
      <c r="I310" s="17">
        <f>G310*Assumptions!$B$1</f>
        <v>0</v>
      </c>
      <c r="J310" s="17">
        <f>H310*Assumptions!$B$1</f>
        <v>0</v>
      </c>
      <c r="K310">
        <f t="shared" si="69"/>
        <v>0</v>
      </c>
      <c r="L310">
        <f t="shared" si="74"/>
        <v>0</v>
      </c>
      <c r="M310">
        <f>HLOOKUP(C310,Assumptions!$A$6:$J$7,2,TRUE)</f>
        <v>2.6499999999999999E-2</v>
      </c>
      <c r="N310" s="23">
        <f t="shared" si="64"/>
        <v>0</v>
      </c>
      <c r="O310" s="23">
        <f t="shared" si="70"/>
        <v>0</v>
      </c>
      <c r="P310">
        <f t="shared" si="75"/>
        <v>0</v>
      </c>
      <c r="Q310" s="23">
        <f t="shared" si="71"/>
        <v>0</v>
      </c>
      <c r="R310">
        <f>Q309*Assumptions!$B$11/$E$2*N310</f>
        <v>0</v>
      </c>
      <c r="S310">
        <f>Q309*Assumptions!$B$13/$E$2*N310</f>
        <v>0</v>
      </c>
      <c r="T310">
        <f>L310*Assumptions!$B$15</f>
        <v>0</v>
      </c>
      <c r="U310">
        <f>S310*Assumptions!$B$17</f>
        <v>0</v>
      </c>
      <c r="V310">
        <f>HLOOKUP(B310,Assumptions!$A$26:$D$27,2,TRUE)</f>
        <v>0</v>
      </c>
      <c r="W310">
        <f t="shared" si="76"/>
        <v>0</v>
      </c>
      <c r="X310">
        <f t="shared" si="77"/>
        <v>0.5</v>
      </c>
      <c r="Y310">
        <f>IF(B310&gt;$M$2,0,IF(X311=0,0,(1-X311)*Assumptions!$B$11/$E$2*(1-Assumptions!$B$30)))</f>
        <v>0</v>
      </c>
      <c r="Z310">
        <f>(R310-S310)*(1-Assumptions!$B$30)-U310+Y309*Q309</f>
        <v>0</v>
      </c>
      <c r="AA310">
        <f>AA309*(1+Assumptions!$B$36)^(1/12)</f>
        <v>1.2813690505512283</v>
      </c>
      <c r="AB310" s="20">
        <f>IF(B310&gt;$M$2,0,AA309*Assumptions!$B$32/12*Q309+Z310*Assumptions!$B$34/12)</f>
        <v>0</v>
      </c>
      <c r="AC310" s="21">
        <f>1/(1+HLOOKUP(YEAR(A310),Assumptions!$A$41:$AL$43,3,TRUE))^(1/12)</f>
        <v>0.9978315428362301</v>
      </c>
      <c r="AD310">
        <f t="shared" si="72"/>
        <v>0</v>
      </c>
      <c r="AE310">
        <f t="shared" si="78"/>
        <v>0</v>
      </c>
    </row>
    <row r="311" spans="1:31" x14ac:dyDescent="0.2">
      <c r="A311" s="2">
        <f t="shared" si="79"/>
        <v>52231</v>
      </c>
      <c r="B311">
        <f t="shared" si="73"/>
        <v>380</v>
      </c>
      <c r="C311">
        <f t="shared" si="65"/>
        <v>31.583333333333336</v>
      </c>
      <c r="D311">
        <f t="shared" si="66"/>
        <v>0</v>
      </c>
      <c r="E311">
        <f t="shared" si="67"/>
        <v>86</v>
      </c>
      <c r="F311">
        <f t="shared" si="68"/>
        <v>78</v>
      </c>
      <c r="G311">
        <f>IF(C311&gt;=$L$2,0,VLOOKUP($E311,'Mortality Table'!$A$3:$C$128,2+H$2,FALSE))</f>
        <v>0</v>
      </c>
      <c r="H311">
        <f>IF(C311&gt;=$L$2,0,VLOOKUP($E311,'Mortality Table'!$A$3:$C$128,2+I$2,FALSE))</f>
        <v>0</v>
      </c>
      <c r="I311" s="17">
        <f>G311*Assumptions!$B$1</f>
        <v>0</v>
      </c>
      <c r="J311" s="17">
        <f>H311*Assumptions!$B$1</f>
        <v>0</v>
      </c>
      <c r="K311">
        <f t="shared" si="69"/>
        <v>0</v>
      </c>
      <c r="L311">
        <f t="shared" si="74"/>
        <v>0</v>
      </c>
      <c r="M311">
        <f>HLOOKUP(C311,Assumptions!$A$6:$J$7,2,TRUE)</f>
        <v>2.6499999999999999E-2</v>
      </c>
      <c r="N311" s="23">
        <f t="shared" si="64"/>
        <v>0</v>
      </c>
      <c r="O311" s="23">
        <f t="shared" si="70"/>
        <v>0</v>
      </c>
      <c r="P311">
        <f t="shared" si="75"/>
        <v>0</v>
      </c>
      <c r="Q311" s="23">
        <f t="shared" si="71"/>
        <v>0</v>
      </c>
      <c r="R311">
        <f>Q310*Assumptions!$B$11/$E$2*N311</f>
        <v>0</v>
      </c>
      <c r="S311">
        <f>Q310*Assumptions!$B$13/$E$2*N311</f>
        <v>0</v>
      </c>
      <c r="T311">
        <f>L311*Assumptions!$B$15</f>
        <v>0</v>
      </c>
      <c r="U311">
        <f>S311*Assumptions!$B$17</f>
        <v>0</v>
      </c>
      <c r="V311">
        <f>HLOOKUP(B311,Assumptions!$A$26:$D$27,2,TRUE)</f>
        <v>0</v>
      </c>
      <c r="W311">
        <f t="shared" si="76"/>
        <v>0</v>
      </c>
      <c r="X311">
        <f t="shared" si="77"/>
        <v>0.5833333333333357</v>
      </c>
      <c r="Y311">
        <f>IF(B311&gt;$M$2,0,IF(X312=0,0,(1-X312)*Assumptions!$B$11/$E$2*(1-Assumptions!$B$30)))</f>
        <v>0</v>
      </c>
      <c r="Z311">
        <f>(R311-S311)*(1-Assumptions!$B$30)-U311+Y310*Q310</f>
        <v>0</v>
      </c>
      <c r="AA311">
        <f>AA310*(1+Assumptions!$B$36)^(1/12)</f>
        <v>1.2824319950172041</v>
      </c>
      <c r="AB311" s="20">
        <f>IF(B311&gt;$M$2,0,AA310*Assumptions!$B$32/12*Q310+Z311*Assumptions!$B$34/12)</f>
        <v>0</v>
      </c>
      <c r="AC311" s="21">
        <f>1/(1+HLOOKUP(YEAR(A311),Assumptions!$A$41:$AL$43,3,TRUE))^(1/12)</f>
        <v>0.9978315428362301</v>
      </c>
      <c r="AD311">
        <f t="shared" si="72"/>
        <v>0</v>
      </c>
      <c r="AE311">
        <f t="shared" si="78"/>
        <v>0</v>
      </c>
    </row>
    <row r="312" spans="1:31" x14ac:dyDescent="0.2">
      <c r="A312" s="2">
        <f t="shared" si="79"/>
        <v>52262</v>
      </c>
      <c r="B312">
        <f t="shared" si="73"/>
        <v>381</v>
      </c>
      <c r="C312">
        <f t="shared" si="65"/>
        <v>31.666666666666664</v>
      </c>
      <c r="D312">
        <f t="shared" si="66"/>
        <v>0</v>
      </c>
      <c r="E312">
        <f t="shared" si="67"/>
        <v>86</v>
      </c>
      <c r="F312">
        <f t="shared" si="68"/>
        <v>78</v>
      </c>
      <c r="G312">
        <f>IF(C312&gt;=$L$2,0,VLOOKUP($E312,'Mortality Table'!$A$3:$C$128,2+H$2,FALSE))</f>
        <v>0</v>
      </c>
      <c r="H312">
        <f>IF(C312&gt;=$L$2,0,VLOOKUP($E312,'Mortality Table'!$A$3:$C$128,2+I$2,FALSE))</f>
        <v>0</v>
      </c>
      <c r="I312" s="17">
        <f>G312*Assumptions!$B$1</f>
        <v>0</v>
      </c>
      <c r="J312" s="17">
        <f>H312*Assumptions!$B$1</f>
        <v>0</v>
      </c>
      <c r="K312">
        <f t="shared" si="69"/>
        <v>0</v>
      </c>
      <c r="L312">
        <f t="shared" si="74"/>
        <v>0</v>
      </c>
      <c r="M312">
        <f>HLOOKUP(C312,Assumptions!$A$6:$J$7,2,TRUE)</f>
        <v>2.6499999999999999E-2</v>
      </c>
      <c r="N312" s="23">
        <f t="shared" si="64"/>
        <v>0</v>
      </c>
      <c r="O312" s="23">
        <f t="shared" si="70"/>
        <v>0</v>
      </c>
      <c r="P312">
        <f t="shared" si="75"/>
        <v>0</v>
      </c>
      <c r="Q312" s="23">
        <f t="shared" si="71"/>
        <v>0</v>
      </c>
      <c r="R312">
        <f>Q311*Assumptions!$B$11/$E$2*N312</f>
        <v>0</v>
      </c>
      <c r="S312">
        <f>Q311*Assumptions!$B$13/$E$2*N312</f>
        <v>0</v>
      </c>
      <c r="T312">
        <f>L312*Assumptions!$B$15</f>
        <v>0</v>
      </c>
      <c r="U312">
        <f>S312*Assumptions!$B$17</f>
        <v>0</v>
      </c>
      <c r="V312">
        <f>HLOOKUP(B312,Assumptions!$A$26:$D$27,2,TRUE)</f>
        <v>0</v>
      </c>
      <c r="W312">
        <f t="shared" si="76"/>
        <v>0</v>
      </c>
      <c r="X312">
        <f t="shared" si="77"/>
        <v>0.6666666666666643</v>
      </c>
      <c r="Y312">
        <f>IF(B312&gt;$M$2,0,IF(X313=0,0,(1-X313)*Assumptions!$B$11/$E$2*(1-Assumptions!$B$30)))</f>
        <v>0</v>
      </c>
      <c r="Z312">
        <f>(R312-S312)*(1-Assumptions!$B$30)-U312+Y311*Q311</f>
        <v>0</v>
      </c>
      <c r="AA312">
        <f>AA311*(1+Assumptions!$B$36)^(1/12)</f>
        <v>1.2834958212361278</v>
      </c>
      <c r="AB312" s="20">
        <f>IF(B312&gt;$M$2,0,AA311*Assumptions!$B$32/12*Q311+Z312*Assumptions!$B$34/12)</f>
        <v>0</v>
      </c>
      <c r="AC312" s="21">
        <f>1/(1+HLOOKUP(YEAR(A312),Assumptions!$A$41:$AL$43,3,TRUE))^(1/12)</f>
        <v>0.99777210122039961</v>
      </c>
      <c r="AD312">
        <f t="shared" si="72"/>
        <v>0</v>
      </c>
      <c r="AE312">
        <f t="shared" si="78"/>
        <v>0</v>
      </c>
    </row>
    <row r="313" spans="1:31" x14ac:dyDescent="0.2">
      <c r="A313" s="2">
        <f t="shared" si="79"/>
        <v>52290</v>
      </c>
      <c r="B313">
        <f t="shared" si="73"/>
        <v>382</v>
      </c>
      <c r="C313">
        <f t="shared" si="65"/>
        <v>31.75</v>
      </c>
      <c r="D313">
        <f t="shared" si="66"/>
        <v>0</v>
      </c>
      <c r="E313">
        <f t="shared" si="67"/>
        <v>86</v>
      </c>
      <c r="F313">
        <f t="shared" si="68"/>
        <v>78</v>
      </c>
      <c r="G313">
        <f>IF(C313&gt;=$L$2,0,VLOOKUP($E313,'Mortality Table'!$A$3:$C$128,2+H$2,FALSE))</f>
        <v>0</v>
      </c>
      <c r="H313">
        <f>IF(C313&gt;=$L$2,0,VLOOKUP($E313,'Mortality Table'!$A$3:$C$128,2+I$2,FALSE))</f>
        <v>0</v>
      </c>
      <c r="I313" s="17">
        <f>G313*Assumptions!$B$1</f>
        <v>0</v>
      </c>
      <c r="J313" s="17">
        <f>H313*Assumptions!$B$1</f>
        <v>0</v>
      </c>
      <c r="K313">
        <f t="shared" si="69"/>
        <v>0</v>
      </c>
      <c r="L313">
        <f t="shared" si="74"/>
        <v>0</v>
      </c>
      <c r="M313">
        <f>HLOOKUP(C313,Assumptions!$A$6:$J$7,2,TRUE)</f>
        <v>2.6499999999999999E-2</v>
      </c>
      <c r="N313" s="23">
        <f t="shared" si="64"/>
        <v>0</v>
      </c>
      <c r="O313" s="23">
        <f t="shared" si="70"/>
        <v>0</v>
      </c>
      <c r="P313">
        <f t="shared" si="75"/>
        <v>0</v>
      </c>
      <c r="Q313" s="23">
        <f t="shared" si="71"/>
        <v>0</v>
      </c>
      <c r="R313">
        <f>Q312*Assumptions!$B$11/$E$2*N313</f>
        <v>0</v>
      </c>
      <c r="S313">
        <f>Q312*Assumptions!$B$13/$E$2*N313</f>
        <v>0</v>
      </c>
      <c r="T313">
        <f>L313*Assumptions!$B$15</f>
        <v>0</v>
      </c>
      <c r="U313">
        <f>S313*Assumptions!$B$17</f>
        <v>0</v>
      </c>
      <c r="V313">
        <f>HLOOKUP(B313,Assumptions!$A$26:$D$27,2,TRUE)</f>
        <v>0</v>
      </c>
      <c r="W313">
        <f t="shared" si="76"/>
        <v>0</v>
      </c>
      <c r="X313">
        <f t="shared" si="77"/>
        <v>0.75</v>
      </c>
      <c r="Y313">
        <f>IF(B313&gt;$M$2,0,IF(X314=0,0,(1-X314)*Assumptions!$B$11/$E$2*(1-Assumptions!$B$30)))</f>
        <v>0</v>
      </c>
      <c r="Z313">
        <f>(R313-S313)*(1-Assumptions!$B$30)-U313+Y312*Q312</f>
        <v>0</v>
      </c>
      <c r="AA313">
        <f>AA312*(1+Assumptions!$B$36)^(1/12)</f>
        <v>1.2845605299394471</v>
      </c>
      <c r="AB313" s="20">
        <f>IF(B313&gt;$M$2,0,AA312*Assumptions!$B$32/12*Q312+Z313*Assumptions!$B$34/12)</f>
        <v>0</v>
      </c>
      <c r="AC313" s="21">
        <f>1/(1+HLOOKUP(YEAR(A313),Assumptions!$A$41:$AL$43,3,TRUE))^(1/12)</f>
        <v>0.99777210122039961</v>
      </c>
      <c r="AD313">
        <f t="shared" si="72"/>
        <v>0</v>
      </c>
      <c r="AE313">
        <f t="shared" si="78"/>
        <v>0</v>
      </c>
    </row>
    <row r="314" spans="1:31" x14ac:dyDescent="0.2">
      <c r="A314" s="2">
        <f t="shared" si="79"/>
        <v>52321</v>
      </c>
      <c r="B314">
        <f t="shared" si="73"/>
        <v>383</v>
      </c>
      <c r="C314">
        <f t="shared" si="65"/>
        <v>31.833333333333336</v>
      </c>
      <c r="D314">
        <f t="shared" si="66"/>
        <v>0</v>
      </c>
      <c r="E314">
        <f t="shared" si="67"/>
        <v>86</v>
      </c>
      <c r="F314">
        <f t="shared" si="68"/>
        <v>78</v>
      </c>
      <c r="G314">
        <f>IF(C314&gt;=$L$2,0,VLOOKUP($E314,'Mortality Table'!$A$3:$C$128,2+H$2,FALSE))</f>
        <v>0</v>
      </c>
      <c r="H314">
        <f>IF(C314&gt;=$L$2,0,VLOOKUP($E314,'Mortality Table'!$A$3:$C$128,2+I$2,FALSE))</f>
        <v>0</v>
      </c>
      <c r="I314" s="17">
        <f>G314*Assumptions!$B$1</f>
        <v>0</v>
      </c>
      <c r="J314" s="17">
        <f>H314*Assumptions!$B$1</f>
        <v>0</v>
      </c>
      <c r="K314">
        <f t="shared" si="69"/>
        <v>0</v>
      </c>
      <c r="L314">
        <f t="shared" si="74"/>
        <v>0</v>
      </c>
      <c r="M314">
        <f>HLOOKUP(C314,Assumptions!$A$6:$J$7,2,TRUE)</f>
        <v>2.6499999999999999E-2</v>
      </c>
      <c r="N314" s="23">
        <f t="shared" si="64"/>
        <v>0</v>
      </c>
      <c r="O314" s="23">
        <f t="shared" si="70"/>
        <v>0</v>
      </c>
      <c r="P314">
        <f t="shared" si="75"/>
        <v>0</v>
      </c>
      <c r="Q314" s="23">
        <f t="shared" si="71"/>
        <v>0</v>
      </c>
      <c r="R314">
        <f>Q313*Assumptions!$B$11/$E$2*N314</f>
        <v>0</v>
      </c>
      <c r="S314">
        <f>Q313*Assumptions!$B$13/$E$2*N314</f>
        <v>0</v>
      </c>
      <c r="T314">
        <f>L314*Assumptions!$B$15</f>
        <v>0</v>
      </c>
      <c r="U314">
        <f>S314*Assumptions!$B$17</f>
        <v>0</v>
      </c>
      <c r="V314">
        <f>HLOOKUP(B314,Assumptions!$A$26:$D$27,2,TRUE)</f>
        <v>0</v>
      </c>
      <c r="W314">
        <f t="shared" si="76"/>
        <v>0</v>
      </c>
      <c r="X314">
        <f t="shared" si="77"/>
        <v>0.8333333333333357</v>
      </c>
      <c r="Y314">
        <f>IF(B314&gt;$M$2,0,IF(X315=0,0,(1-X315)*Assumptions!$B$11/$E$2*(1-Assumptions!$B$30)))</f>
        <v>0</v>
      </c>
      <c r="Z314">
        <f>(R314-S314)*(1-Assumptions!$B$30)-U314+Y313*Q313</f>
        <v>0</v>
      </c>
      <c r="AA314">
        <f>AA313*(1+Assumptions!$B$36)^(1/12)</f>
        <v>1.2856261218592167</v>
      </c>
      <c r="AB314" s="20">
        <f>IF(B314&gt;$M$2,0,AA313*Assumptions!$B$32/12*Q313+Z314*Assumptions!$B$34/12)</f>
        <v>0</v>
      </c>
      <c r="AC314" s="21">
        <f>1/(1+HLOOKUP(YEAR(A314),Assumptions!$A$41:$AL$43,3,TRUE))^(1/12)</f>
        <v>0.99777210122039961</v>
      </c>
      <c r="AD314">
        <f t="shared" si="72"/>
        <v>0</v>
      </c>
      <c r="AE314">
        <f t="shared" si="78"/>
        <v>0</v>
      </c>
    </row>
    <row r="315" spans="1:31" x14ac:dyDescent="0.2">
      <c r="A315" s="2">
        <f t="shared" si="79"/>
        <v>52351</v>
      </c>
      <c r="B315">
        <f t="shared" si="73"/>
        <v>384</v>
      </c>
      <c r="C315">
        <f t="shared" si="65"/>
        <v>31.916666666666664</v>
      </c>
      <c r="D315">
        <f t="shared" si="66"/>
        <v>0</v>
      </c>
      <c r="E315">
        <f t="shared" si="67"/>
        <v>86</v>
      </c>
      <c r="F315">
        <f t="shared" si="68"/>
        <v>78</v>
      </c>
      <c r="G315">
        <f>IF(C315&gt;=$L$2,0,VLOOKUP($E315,'Mortality Table'!$A$3:$C$128,2+H$2,FALSE))</f>
        <v>0</v>
      </c>
      <c r="H315">
        <f>IF(C315&gt;=$L$2,0,VLOOKUP($E315,'Mortality Table'!$A$3:$C$128,2+I$2,FALSE))</f>
        <v>0</v>
      </c>
      <c r="I315" s="17">
        <f>G315*Assumptions!$B$1</f>
        <v>0</v>
      </c>
      <c r="J315" s="17">
        <f>H315*Assumptions!$B$1</f>
        <v>0</v>
      </c>
      <c r="K315">
        <f t="shared" si="69"/>
        <v>0</v>
      </c>
      <c r="L315">
        <f t="shared" si="74"/>
        <v>0</v>
      </c>
      <c r="M315">
        <f>HLOOKUP(C315,Assumptions!$A$6:$J$7,2,TRUE)</f>
        <v>2.6499999999999999E-2</v>
      </c>
      <c r="N315" s="23">
        <f t="shared" si="64"/>
        <v>0</v>
      </c>
      <c r="O315" s="23">
        <f t="shared" si="70"/>
        <v>0</v>
      </c>
      <c r="P315">
        <f t="shared" si="75"/>
        <v>0</v>
      </c>
      <c r="Q315" s="23">
        <f t="shared" si="71"/>
        <v>0</v>
      </c>
      <c r="R315">
        <f>Q314*Assumptions!$B$11/$E$2*N315</f>
        <v>0</v>
      </c>
      <c r="S315">
        <f>Q314*Assumptions!$B$13/$E$2*N315</f>
        <v>0</v>
      </c>
      <c r="T315">
        <f>L315*Assumptions!$B$15</f>
        <v>0</v>
      </c>
      <c r="U315">
        <f>S315*Assumptions!$B$17</f>
        <v>0</v>
      </c>
      <c r="V315">
        <f>HLOOKUP(B315,Assumptions!$A$26:$D$27,2,TRUE)</f>
        <v>0</v>
      </c>
      <c r="W315">
        <f t="shared" si="76"/>
        <v>0</v>
      </c>
      <c r="X315">
        <f t="shared" si="77"/>
        <v>0.9166666666666643</v>
      </c>
      <c r="Y315">
        <f>IF(B315&gt;$M$2,0,IF(X316=0,0,(1-X316)*Assumptions!$B$11/$E$2*(1-Assumptions!$B$30)))</f>
        <v>0</v>
      </c>
      <c r="Z315">
        <f>(R315-S315)*(1-Assumptions!$B$30)-U315+Y314*Q314</f>
        <v>0</v>
      </c>
      <c r="AA315">
        <f>AA314*(1+Assumptions!$B$36)^(1/12)</f>
        <v>1.2866925977280979</v>
      </c>
      <c r="AB315" s="20">
        <f>IF(B315&gt;$M$2,0,AA314*Assumptions!$B$32/12*Q314+Z315*Assumptions!$B$34/12)</f>
        <v>0</v>
      </c>
      <c r="AC315" s="21">
        <f>1/(1+HLOOKUP(YEAR(A315),Assumptions!$A$41:$AL$43,3,TRUE))^(1/12)</f>
        <v>0.99777210122039961</v>
      </c>
      <c r="AD315">
        <f t="shared" si="72"/>
        <v>0</v>
      </c>
      <c r="AE315">
        <f t="shared" si="78"/>
        <v>0</v>
      </c>
    </row>
    <row r="316" spans="1:31" x14ac:dyDescent="0.2">
      <c r="A316" s="2">
        <f t="shared" si="79"/>
        <v>52382</v>
      </c>
      <c r="B316">
        <f t="shared" si="73"/>
        <v>385</v>
      </c>
      <c r="C316">
        <f t="shared" si="65"/>
        <v>32</v>
      </c>
      <c r="D316">
        <f t="shared" si="66"/>
        <v>1</v>
      </c>
      <c r="E316">
        <f t="shared" si="67"/>
        <v>87</v>
      </c>
      <c r="F316">
        <f t="shared" si="68"/>
        <v>79</v>
      </c>
      <c r="G316">
        <f>IF(C316&gt;=$L$2,0,VLOOKUP($E316,'Mortality Table'!$A$3:$C$128,2+H$2,FALSE))</f>
        <v>0</v>
      </c>
      <c r="H316">
        <f>IF(C316&gt;=$L$2,0,VLOOKUP($E316,'Mortality Table'!$A$3:$C$128,2+I$2,FALSE))</f>
        <v>0</v>
      </c>
      <c r="I316" s="17">
        <f>G316*Assumptions!$B$1</f>
        <v>0</v>
      </c>
      <c r="J316" s="17">
        <f>H316*Assumptions!$B$1</f>
        <v>0</v>
      </c>
      <c r="K316">
        <f t="shared" si="69"/>
        <v>0</v>
      </c>
      <c r="L316">
        <f t="shared" si="74"/>
        <v>0</v>
      </c>
      <c r="M316">
        <f>HLOOKUP(C316,Assumptions!$A$6:$J$7,2,TRUE)</f>
        <v>2.6499999999999999E-2</v>
      </c>
      <c r="N316" s="23">
        <f t="shared" si="64"/>
        <v>0</v>
      </c>
      <c r="O316" s="23">
        <f t="shared" si="70"/>
        <v>0</v>
      </c>
      <c r="P316">
        <f t="shared" si="75"/>
        <v>0</v>
      </c>
      <c r="Q316" s="23">
        <f t="shared" si="71"/>
        <v>0</v>
      </c>
      <c r="R316">
        <f>Q315*Assumptions!$B$11/$E$2*N316</f>
        <v>0</v>
      </c>
      <c r="S316">
        <f>Q315*Assumptions!$B$13/$E$2*N316</f>
        <v>0</v>
      </c>
      <c r="T316">
        <f>L316*Assumptions!$B$15</f>
        <v>0</v>
      </c>
      <c r="U316">
        <f>S316*Assumptions!$B$17</f>
        <v>0</v>
      </c>
      <c r="V316">
        <f>HLOOKUP(B316,Assumptions!$A$26:$D$27,2,TRUE)</f>
        <v>0</v>
      </c>
      <c r="W316">
        <f t="shared" si="76"/>
        <v>0</v>
      </c>
      <c r="X316">
        <f t="shared" si="77"/>
        <v>0</v>
      </c>
      <c r="Y316">
        <f>IF(B316&gt;$M$2,0,IF(X317=0,0,(1-X317)*Assumptions!$B$11/$E$2*(1-Assumptions!$B$30)))</f>
        <v>0</v>
      </c>
      <c r="Z316">
        <f>(R316-S316)*(1-Assumptions!$B$30)-U316+Y315*Q315</f>
        <v>0</v>
      </c>
      <c r="AA316">
        <f>AA315*(1+Assumptions!$B$36)^(1/12)</f>
        <v>1.2877599582793604</v>
      </c>
      <c r="AB316" s="20">
        <f>IF(B316&gt;$M$2,0,AA315*Assumptions!$B$32/12*Q315+Z316*Assumptions!$B$34/12)</f>
        <v>0</v>
      </c>
      <c r="AC316" s="21">
        <f>1/(1+HLOOKUP(YEAR(A316),Assumptions!$A$41:$AL$43,3,TRUE))^(1/12)</f>
        <v>0.99777210122039961</v>
      </c>
      <c r="AD316">
        <f t="shared" si="72"/>
        <v>0</v>
      </c>
      <c r="AE316">
        <f t="shared" si="78"/>
        <v>0</v>
      </c>
    </row>
    <row r="317" spans="1:31" x14ac:dyDescent="0.2">
      <c r="A317" s="2">
        <f t="shared" si="79"/>
        <v>52412</v>
      </c>
      <c r="B317">
        <f t="shared" si="73"/>
        <v>386</v>
      </c>
      <c r="C317">
        <f t="shared" si="65"/>
        <v>32.083333333333336</v>
      </c>
      <c r="D317">
        <f t="shared" si="66"/>
        <v>0</v>
      </c>
      <c r="E317">
        <f t="shared" si="67"/>
        <v>87</v>
      </c>
      <c r="F317">
        <f t="shared" si="68"/>
        <v>79</v>
      </c>
      <c r="G317">
        <f>IF(C317&gt;=$L$2,0,VLOOKUP($E317,'Mortality Table'!$A$3:$C$128,2+H$2,FALSE))</f>
        <v>0</v>
      </c>
      <c r="H317">
        <f>IF(C317&gt;=$L$2,0,VLOOKUP($E317,'Mortality Table'!$A$3:$C$128,2+I$2,FALSE))</f>
        <v>0</v>
      </c>
      <c r="I317" s="17">
        <f>G317*Assumptions!$B$1</f>
        <v>0</v>
      </c>
      <c r="J317" s="17">
        <f>H317*Assumptions!$B$1</f>
        <v>0</v>
      </c>
      <c r="K317">
        <f t="shared" si="69"/>
        <v>0</v>
      </c>
      <c r="L317">
        <f t="shared" si="74"/>
        <v>0</v>
      </c>
      <c r="M317">
        <f>HLOOKUP(C317,Assumptions!$A$6:$J$7,2,TRUE)</f>
        <v>2.6499999999999999E-2</v>
      </c>
      <c r="N317" s="23">
        <f t="shared" si="64"/>
        <v>0</v>
      </c>
      <c r="O317" s="23">
        <f t="shared" si="70"/>
        <v>0</v>
      </c>
      <c r="P317">
        <f t="shared" si="75"/>
        <v>0</v>
      </c>
      <c r="Q317" s="23">
        <f t="shared" si="71"/>
        <v>0</v>
      </c>
      <c r="R317">
        <f>Q316*Assumptions!$B$11/$E$2*N317</f>
        <v>0</v>
      </c>
      <c r="S317">
        <f>Q316*Assumptions!$B$13/$E$2*N317</f>
        <v>0</v>
      </c>
      <c r="T317">
        <f>L317*Assumptions!$B$15</f>
        <v>0</v>
      </c>
      <c r="U317">
        <f>S317*Assumptions!$B$17</f>
        <v>0</v>
      </c>
      <c r="V317">
        <f>HLOOKUP(B317,Assumptions!$A$26:$D$27,2,TRUE)</f>
        <v>0</v>
      </c>
      <c r="W317">
        <f t="shared" si="76"/>
        <v>0</v>
      </c>
      <c r="X317">
        <f t="shared" si="77"/>
        <v>8.3333333333335702E-2</v>
      </c>
      <c r="Y317">
        <f>IF(B317&gt;$M$2,0,IF(X318=0,0,(1-X318)*Assumptions!$B$11/$E$2*(1-Assumptions!$B$30)))</f>
        <v>0</v>
      </c>
      <c r="Z317">
        <f>(R317-S317)*(1-Assumptions!$B$30)-U317+Y316*Q316</f>
        <v>0</v>
      </c>
      <c r="AA317">
        <f>AA316*(1+Assumptions!$B$36)^(1/12)</f>
        <v>1.2888282042468819</v>
      </c>
      <c r="AB317" s="20">
        <f>IF(B317&gt;$M$2,0,AA316*Assumptions!$B$32/12*Q316+Z317*Assumptions!$B$34/12)</f>
        <v>0</v>
      </c>
      <c r="AC317" s="21">
        <f>1/(1+HLOOKUP(YEAR(A317),Assumptions!$A$41:$AL$43,3,TRUE))^(1/12)</f>
        <v>0.99777210122039961</v>
      </c>
      <c r="AD317">
        <f t="shared" si="72"/>
        <v>0</v>
      </c>
      <c r="AE317">
        <f t="shared" si="78"/>
        <v>0</v>
      </c>
    </row>
    <row r="318" spans="1:31" x14ac:dyDescent="0.2">
      <c r="A318" s="2">
        <f t="shared" si="79"/>
        <v>52443</v>
      </c>
      <c r="B318">
        <f t="shared" si="73"/>
        <v>387</v>
      </c>
      <c r="C318">
        <f t="shared" si="65"/>
        <v>32.166666666666664</v>
      </c>
      <c r="D318">
        <f t="shared" si="66"/>
        <v>0</v>
      </c>
      <c r="E318">
        <f t="shared" si="67"/>
        <v>87</v>
      </c>
      <c r="F318">
        <f t="shared" si="68"/>
        <v>79</v>
      </c>
      <c r="G318">
        <f>IF(C318&gt;=$L$2,0,VLOOKUP($E318,'Mortality Table'!$A$3:$C$128,2+H$2,FALSE))</f>
        <v>0</v>
      </c>
      <c r="H318">
        <f>IF(C318&gt;=$L$2,0,VLOOKUP($E318,'Mortality Table'!$A$3:$C$128,2+I$2,FALSE))</f>
        <v>0</v>
      </c>
      <c r="I318" s="17">
        <f>G318*Assumptions!$B$1</f>
        <v>0</v>
      </c>
      <c r="J318" s="17">
        <f>H318*Assumptions!$B$1</f>
        <v>0</v>
      </c>
      <c r="K318">
        <f t="shared" si="69"/>
        <v>0</v>
      </c>
      <c r="L318">
        <f t="shared" si="74"/>
        <v>0</v>
      </c>
      <c r="M318">
        <f>HLOOKUP(C318,Assumptions!$A$6:$J$7,2,TRUE)</f>
        <v>2.6499999999999999E-2</v>
      </c>
      <c r="N318" s="23">
        <f t="shared" si="64"/>
        <v>0</v>
      </c>
      <c r="O318" s="23">
        <f t="shared" si="70"/>
        <v>0</v>
      </c>
      <c r="P318">
        <f t="shared" si="75"/>
        <v>0</v>
      </c>
      <c r="Q318" s="23">
        <f t="shared" si="71"/>
        <v>0</v>
      </c>
      <c r="R318">
        <f>Q317*Assumptions!$B$11/$E$2*N318</f>
        <v>0</v>
      </c>
      <c r="S318">
        <f>Q317*Assumptions!$B$13/$E$2*N318</f>
        <v>0</v>
      </c>
      <c r="T318">
        <f>L318*Assumptions!$B$15</f>
        <v>0</v>
      </c>
      <c r="U318">
        <f>S318*Assumptions!$B$17</f>
        <v>0</v>
      </c>
      <c r="V318">
        <f>HLOOKUP(B318,Assumptions!$A$26:$D$27,2,TRUE)</f>
        <v>0</v>
      </c>
      <c r="W318">
        <f t="shared" si="76"/>
        <v>0</v>
      </c>
      <c r="X318">
        <f t="shared" si="77"/>
        <v>0.1666666666666643</v>
      </c>
      <c r="Y318">
        <f>IF(B318&gt;$M$2,0,IF(X319=0,0,(1-X319)*Assumptions!$B$11/$E$2*(1-Assumptions!$B$30)))</f>
        <v>0</v>
      </c>
      <c r="Z318">
        <f>(R318-S318)*(1-Assumptions!$B$30)-U318+Y317*Q317</f>
        <v>0</v>
      </c>
      <c r="AA318">
        <f>AA317*(1+Assumptions!$B$36)^(1/12)</f>
        <v>1.2898973363651491</v>
      </c>
      <c r="AB318" s="20">
        <f>IF(B318&gt;$M$2,0,AA317*Assumptions!$B$32/12*Q317+Z318*Assumptions!$B$34/12)</f>
        <v>0</v>
      </c>
      <c r="AC318" s="21">
        <f>1/(1+HLOOKUP(YEAR(A318),Assumptions!$A$41:$AL$43,3,TRUE))^(1/12)</f>
        <v>0.99777210122039961</v>
      </c>
      <c r="AD318">
        <f t="shared" si="72"/>
        <v>0</v>
      </c>
      <c r="AE318">
        <f t="shared" si="78"/>
        <v>0</v>
      </c>
    </row>
    <row r="319" spans="1:31" x14ac:dyDescent="0.2">
      <c r="A319" s="2">
        <f t="shared" si="79"/>
        <v>52474</v>
      </c>
      <c r="B319">
        <f t="shared" si="73"/>
        <v>388</v>
      </c>
      <c r="C319">
        <f t="shared" si="65"/>
        <v>32.25</v>
      </c>
      <c r="D319">
        <f t="shared" si="66"/>
        <v>0</v>
      </c>
      <c r="E319">
        <f t="shared" si="67"/>
        <v>87</v>
      </c>
      <c r="F319">
        <f t="shared" si="68"/>
        <v>79</v>
      </c>
      <c r="G319">
        <f>IF(C319&gt;=$L$2,0,VLOOKUP($E319,'Mortality Table'!$A$3:$C$128,2+H$2,FALSE))</f>
        <v>0</v>
      </c>
      <c r="H319">
        <f>IF(C319&gt;=$L$2,0,VLOOKUP($E319,'Mortality Table'!$A$3:$C$128,2+I$2,FALSE))</f>
        <v>0</v>
      </c>
      <c r="I319" s="17">
        <f>G319*Assumptions!$B$1</f>
        <v>0</v>
      </c>
      <c r="J319" s="17">
        <f>H319*Assumptions!$B$1</f>
        <v>0</v>
      </c>
      <c r="K319">
        <f t="shared" si="69"/>
        <v>0</v>
      </c>
      <c r="L319">
        <f t="shared" si="74"/>
        <v>0</v>
      </c>
      <c r="M319">
        <f>HLOOKUP(C319,Assumptions!$A$6:$J$7,2,TRUE)</f>
        <v>2.6499999999999999E-2</v>
      </c>
      <c r="N319" s="23">
        <f t="shared" si="64"/>
        <v>0</v>
      </c>
      <c r="O319" s="23">
        <f t="shared" si="70"/>
        <v>0</v>
      </c>
      <c r="P319">
        <f t="shared" si="75"/>
        <v>0</v>
      </c>
      <c r="Q319" s="23">
        <f t="shared" si="71"/>
        <v>0</v>
      </c>
      <c r="R319">
        <f>Q318*Assumptions!$B$11/$E$2*N319</f>
        <v>0</v>
      </c>
      <c r="S319">
        <f>Q318*Assumptions!$B$13/$E$2*N319</f>
        <v>0</v>
      </c>
      <c r="T319">
        <f>L319*Assumptions!$B$15</f>
        <v>0</v>
      </c>
      <c r="U319">
        <f>S319*Assumptions!$B$17</f>
        <v>0</v>
      </c>
      <c r="V319">
        <f>HLOOKUP(B319,Assumptions!$A$26:$D$27,2,TRUE)</f>
        <v>0</v>
      </c>
      <c r="W319">
        <f t="shared" si="76"/>
        <v>0</v>
      </c>
      <c r="X319">
        <f t="shared" si="77"/>
        <v>0.25</v>
      </c>
      <c r="Y319">
        <f>IF(B319&gt;$M$2,0,IF(X320=0,0,(1-X320)*Assumptions!$B$11/$E$2*(1-Assumptions!$B$30)))</f>
        <v>0</v>
      </c>
      <c r="Z319">
        <f>(R319-S319)*(1-Assumptions!$B$30)-U319+Y318*Q318</f>
        <v>0</v>
      </c>
      <c r="AA319">
        <f>AA318*(1+Assumptions!$B$36)^(1/12)</f>
        <v>1.2909673553692576</v>
      </c>
      <c r="AB319" s="20">
        <f>IF(B319&gt;$M$2,0,AA318*Assumptions!$B$32/12*Q318+Z319*Assumptions!$B$34/12)</f>
        <v>0</v>
      </c>
      <c r="AC319" s="21">
        <f>1/(1+HLOOKUP(YEAR(A319),Assumptions!$A$41:$AL$43,3,TRUE))^(1/12)</f>
        <v>0.99777210122039961</v>
      </c>
      <c r="AD319">
        <f t="shared" si="72"/>
        <v>0</v>
      </c>
      <c r="AE319">
        <f t="shared" si="78"/>
        <v>0</v>
      </c>
    </row>
    <row r="320" spans="1:31" x14ac:dyDescent="0.2">
      <c r="A320" s="2">
        <f t="shared" si="79"/>
        <v>52504</v>
      </c>
      <c r="B320">
        <f t="shared" si="73"/>
        <v>389</v>
      </c>
      <c r="C320">
        <f t="shared" si="65"/>
        <v>32.333333333333336</v>
      </c>
      <c r="D320">
        <f t="shared" si="66"/>
        <v>0</v>
      </c>
      <c r="E320">
        <f t="shared" si="67"/>
        <v>87</v>
      </c>
      <c r="F320">
        <f t="shared" si="68"/>
        <v>79</v>
      </c>
      <c r="G320">
        <f>IF(C320&gt;=$L$2,0,VLOOKUP($E320,'Mortality Table'!$A$3:$C$128,2+H$2,FALSE))</f>
        <v>0</v>
      </c>
      <c r="H320">
        <f>IF(C320&gt;=$L$2,0,VLOOKUP($E320,'Mortality Table'!$A$3:$C$128,2+I$2,FALSE))</f>
        <v>0</v>
      </c>
      <c r="I320" s="17">
        <f>G320*Assumptions!$B$1</f>
        <v>0</v>
      </c>
      <c r="J320" s="17">
        <f>H320*Assumptions!$B$1</f>
        <v>0</v>
      </c>
      <c r="K320">
        <f t="shared" si="69"/>
        <v>0</v>
      </c>
      <c r="L320">
        <f t="shared" si="74"/>
        <v>0</v>
      </c>
      <c r="M320">
        <f>HLOOKUP(C320,Assumptions!$A$6:$J$7,2,TRUE)</f>
        <v>2.6499999999999999E-2</v>
      </c>
      <c r="N320" s="23">
        <f t="shared" si="64"/>
        <v>0</v>
      </c>
      <c r="O320" s="23">
        <f t="shared" si="70"/>
        <v>0</v>
      </c>
      <c r="P320">
        <f t="shared" si="75"/>
        <v>0</v>
      </c>
      <c r="Q320" s="23">
        <f t="shared" si="71"/>
        <v>0</v>
      </c>
      <c r="R320">
        <f>Q319*Assumptions!$B$11/$E$2*N320</f>
        <v>0</v>
      </c>
      <c r="S320">
        <f>Q319*Assumptions!$B$13/$E$2*N320</f>
        <v>0</v>
      </c>
      <c r="T320">
        <f>L320*Assumptions!$B$15</f>
        <v>0</v>
      </c>
      <c r="U320">
        <f>S320*Assumptions!$B$17</f>
        <v>0</v>
      </c>
      <c r="V320">
        <f>HLOOKUP(B320,Assumptions!$A$26:$D$27,2,TRUE)</f>
        <v>0</v>
      </c>
      <c r="W320">
        <f t="shared" si="76"/>
        <v>0</v>
      </c>
      <c r="X320">
        <f t="shared" si="77"/>
        <v>0.3333333333333357</v>
      </c>
      <c r="Y320">
        <f>IF(B320&gt;$M$2,0,IF(X321=0,0,(1-X321)*Assumptions!$B$11/$E$2*(1-Assumptions!$B$30)))</f>
        <v>0</v>
      </c>
      <c r="Z320">
        <f>(R320-S320)*(1-Assumptions!$B$30)-U320+Y319*Q319</f>
        <v>0</v>
      </c>
      <c r="AA320">
        <f>AA319*(1+Assumptions!$B$36)^(1/12)</f>
        <v>1.2920382619949131</v>
      </c>
      <c r="AB320" s="20">
        <f>IF(B320&gt;$M$2,0,AA319*Assumptions!$B$32/12*Q319+Z320*Assumptions!$B$34/12)</f>
        <v>0</v>
      </c>
      <c r="AC320" s="21">
        <f>1/(1+HLOOKUP(YEAR(A320),Assumptions!$A$41:$AL$43,3,TRUE))^(1/12)</f>
        <v>0.99777210122039961</v>
      </c>
      <c r="AD320">
        <f t="shared" si="72"/>
        <v>0</v>
      </c>
      <c r="AE320">
        <f t="shared" si="78"/>
        <v>0</v>
      </c>
    </row>
    <row r="321" spans="1:31" x14ac:dyDescent="0.2">
      <c r="A321" s="2">
        <f t="shared" si="79"/>
        <v>52535</v>
      </c>
      <c r="B321">
        <f t="shared" si="73"/>
        <v>390</v>
      </c>
      <c r="C321">
        <f t="shared" si="65"/>
        <v>32.416666666666664</v>
      </c>
      <c r="D321">
        <f t="shared" si="66"/>
        <v>0</v>
      </c>
      <c r="E321">
        <f t="shared" si="67"/>
        <v>87</v>
      </c>
      <c r="F321">
        <f t="shared" si="68"/>
        <v>79</v>
      </c>
      <c r="G321">
        <f>IF(C321&gt;=$L$2,0,VLOOKUP($E321,'Mortality Table'!$A$3:$C$128,2+H$2,FALSE))</f>
        <v>0</v>
      </c>
      <c r="H321">
        <f>IF(C321&gt;=$L$2,0,VLOOKUP($E321,'Mortality Table'!$A$3:$C$128,2+I$2,FALSE))</f>
        <v>0</v>
      </c>
      <c r="I321" s="17">
        <f>G321*Assumptions!$B$1</f>
        <v>0</v>
      </c>
      <c r="J321" s="17">
        <f>H321*Assumptions!$B$1</f>
        <v>0</v>
      </c>
      <c r="K321">
        <f t="shared" si="69"/>
        <v>0</v>
      </c>
      <c r="L321">
        <f t="shared" si="74"/>
        <v>0</v>
      </c>
      <c r="M321">
        <f>HLOOKUP(C321,Assumptions!$A$6:$J$7,2,TRUE)</f>
        <v>2.6499999999999999E-2</v>
      </c>
      <c r="N321" s="23">
        <f t="shared" si="64"/>
        <v>0</v>
      </c>
      <c r="O321" s="23">
        <f t="shared" si="70"/>
        <v>0</v>
      </c>
      <c r="P321">
        <f t="shared" si="75"/>
        <v>0</v>
      </c>
      <c r="Q321" s="23">
        <f t="shared" si="71"/>
        <v>0</v>
      </c>
      <c r="R321">
        <f>Q320*Assumptions!$B$11/$E$2*N321</f>
        <v>0</v>
      </c>
      <c r="S321">
        <f>Q320*Assumptions!$B$13/$E$2*N321</f>
        <v>0</v>
      </c>
      <c r="T321">
        <f>L321*Assumptions!$B$15</f>
        <v>0</v>
      </c>
      <c r="U321">
        <f>S321*Assumptions!$B$17</f>
        <v>0</v>
      </c>
      <c r="V321">
        <f>HLOOKUP(B321,Assumptions!$A$26:$D$27,2,TRUE)</f>
        <v>0</v>
      </c>
      <c r="W321">
        <f t="shared" si="76"/>
        <v>0</v>
      </c>
      <c r="X321">
        <f t="shared" si="77"/>
        <v>0.4166666666666643</v>
      </c>
      <c r="Y321">
        <f>IF(B321&gt;$M$2,0,IF(X322=0,0,(1-X322)*Assumptions!$B$11/$E$2*(1-Assumptions!$B$30)))</f>
        <v>0</v>
      </c>
      <c r="Z321">
        <f>(R321-S321)*(1-Assumptions!$B$30)-U321+Y320*Q320</f>
        <v>0</v>
      </c>
      <c r="AA321">
        <f>AA320*(1+Assumptions!$B$36)^(1/12)</f>
        <v>1.2931100569784315</v>
      </c>
      <c r="AB321" s="20">
        <f>IF(B321&gt;$M$2,0,AA320*Assumptions!$B$32/12*Q320+Z321*Assumptions!$B$34/12)</f>
        <v>0</v>
      </c>
      <c r="AC321" s="21">
        <f>1/(1+HLOOKUP(YEAR(A321),Assumptions!$A$41:$AL$43,3,TRUE))^(1/12)</f>
        <v>0.99777210122039961</v>
      </c>
      <c r="AD321">
        <f t="shared" si="72"/>
        <v>0</v>
      </c>
      <c r="AE321">
        <f t="shared" si="78"/>
        <v>0</v>
      </c>
    </row>
    <row r="322" spans="1:31" x14ac:dyDescent="0.2">
      <c r="A322" s="2">
        <f t="shared" si="79"/>
        <v>52565</v>
      </c>
      <c r="B322">
        <f t="shared" si="73"/>
        <v>391</v>
      </c>
      <c r="C322">
        <f t="shared" si="65"/>
        <v>32.5</v>
      </c>
      <c r="D322">
        <f t="shared" si="66"/>
        <v>0</v>
      </c>
      <c r="E322">
        <f t="shared" si="67"/>
        <v>87</v>
      </c>
      <c r="F322">
        <f t="shared" si="68"/>
        <v>79</v>
      </c>
      <c r="G322">
        <f>IF(C322&gt;=$L$2,0,VLOOKUP($E322,'Mortality Table'!$A$3:$C$128,2+H$2,FALSE))</f>
        <v>0</v>
      </c>
      <c r="H322">
        <f>IF(C322&gt;=$L$2,0,VLOOKUP($E322,'Mortality Table'!$A$3:$C$128,2+I$2,FALSE))</f>
        <v>0</v>
      </c>
      <c r="I322" s="17">
        <f>G322*Assumptions!$B$1</f>
        <v>0</v>
      </c>
      <c r="J322" s="17">
        <f>H322*Assumptions!$B$1</f>
        <v>0</v>
      </c>
      <c r="K322">
        <f t="shared" si="69"/>
        <v>0</v>
      </c>
      <c r="L322">
        <f t="shared" si="74"/>
        <v>0</v>
      </c>
      <c r="M322">
        <f>HLOOKUP(C322,Assumptions!$A$6:$J$7,2,TRUE)</f>
        <v>2.6499999999999999E-2</v>
      </c>
      <c r="N322" s="23">
        <f t="shared" si="64"/>
        <v>0</v>
      </c>
      <c r="O322" s="23">
        <f t="shared" si="70"/>
        <v>0</v>
      </c>
      <c r="P322">
        <f t="shared" si="75"/>
        <v>0</v>
      </c>
      <c r="Q322" s="23">
        <f t="shared" si="71"/>
        <v>0</v>
      </c>
      <c r="R322">
        <f>Q321*Assumptions!$B$11/$E$2*N322</f>
        <v>0</v>
      </c>
      <c r="S322">
        <f>Q321*Assumptions!$B$13/$E$2*N322</f>
        <v>0</v>
      </c>
      <c r="T322">
        <f>L322*Assumptions!$B$15</f>
        <v>0</v>
      </c>
      <c r="U322">
        <f>S322*Assumptions!$B$17</f>
        <v>0</v>
      </c>
      <c r="V322">
        <f>HLOOKUP(B322,Assumptions!$A$26:$D$27,2,TRUE)</f>
        <v>0</v>
      </c>
      <c r="W322">
        <f t="shared" si="76"/>
        <v>0</v>
      </c>
      <c r="X322">
        <f t="shared" si="77"/>
        <v>0.5</v>
      </c>
      <c r="Y322">
        <f>IF(B322&gt;$M$2,0,IF(X323=0,0,(1-X323)*Assumptions!$B$11/$E$2*(1-Assumptions!$B$30)))</f>
        <v>0</v>
      </c>
      <c r="Z322">
        <f>(R322-S322)*(1-Assumptions!$B$30)-U322+Y321*Q321</f>
        <v>0</v>
      </c>
      <c r="AA322">
        <f>AA321*(1+Assumptions!$B$36)^(1/12)</f>
        <v>1.2941827410567395</v>
      </c>
      <c r="AB322" s="20">
        <f>IF(B322&gt;$M$2,0,AA321*Assumptions!$B$32/12*Q321+Z322*Assumptions!$B$34/12)</f>
        <v>0</v>
      </c>
      <c r="AC322" s="21">
        <f>1/(1+HLOOKUP(YEAR(A322),Assumptions!$A$41:$AL$43,3,TRUE))^(1/12)</f>
        <v>0.99777210122039961</v>
      </c>
      <c r="AD322">
        <f t="shared" si="72"/>
        <v>0</v>
      </c>
      <c r="AE322">
        <f t="shared" si="78"/>
        <v>0</v>
      </c>
    </row>
    <row r="323" spans="1:31" x14ac:dyDescent="0.2">
      <c r="A323" s="2">
        <f t="shared" si="79"/>
        <v>52596</v>
      </c>
      <c r="B323">
        <f t="shared" si="73"/>
        <v>392</v>
      </c>
      <c r="C323">
        <f t="shared" si="65"/>
        <v>32.583333333333336</v>
      </c>
      <c r="D323">
        <f t="shared" si="66"/>
        <v>0</v>
      </c>
      <c r="E323">
        <f t="shared" si="67"/>
        <v>87</v>
      </c>
      <c r="F323">
        <f t="shared" si="68"/>
        <v>79</v>
      </c>
      <c r="G323">
        <f>IF(C323&gt;=$L$2,0,VLOOKUP($E323,'Mortality Table'!$A$3:$C$128,2+H$2,FALSE))</f>
        <v>0</v>
      </c>
      <c r="H323">
        <f>IF(C323&gt;=$L$2,0,VLOOKUP($E323,'Mortality Table'!$A$3:$C$128,2+I$2,FALSE))</f>
        <v>0</v>
      </c>
      <c r="I323" s="17">
        <f>G323*Assumptions!$B$1</f>
        <v>0</v>
      </c>
      <c r="J323" s="17">
        <f>H323*Assumptions!$B$1</f>
        <v>0</v>
      </c>
      <c r="K323">
        <f t="shared" si="69"/>
        <v>0</v>
      </c>
      <c r="L323">
        <f t="shared" si="74"/>
        <v>0</v>
      </c>
      <c r="M323">
        <f>HLOOKUP(C323,Assumptions!$A$6:$J$7,2,TRUE)</f>
        <v>2.6499999999999999E-2</v>
      </c>
      <c r="N323" s="23">
        <f t="shared" si="64"/>
        <v>0</v>
      </c>
      <c r="O323" s="23">
        <f t="shared" si="70"/>
        <v>0</v>
      </c>
      <c r="P323">
        <f t="shared" si="75"/>
        <v>0</v>
      </c>
      <c r="Q323" s="23">
        <f t="shared" si="71"/>
        <v>0</v>
      </c>
      <c r="R323">
        <f>Q322*Assumptions!$B$11/$E$2*N323</f>
        <v>0</v>
      </c>
      <c r="S323">
        <f>Q322*Assumptions!$B$13/$E$2*N323</f>
        <v>0</v>
      </c>
      <c r="T323">
        <f>L323*Assumptions!$B$15</f>
        <v>0</v>
      </c>
      <c r="U323">
        <f>S323*Assumptions!$B$17</f>
        <v>0</v>
      </c>
      <c r="V323">
        <f>HLOOKUP(B323,Assumptions!$A$26:$D$27,2,TRUE)</f>
        <v>0</v>
      </c>
      <c r="W323">
        <f t="shared" si="76"/>
        <v>0</v>
      </c>
      <c r="X323">
        <f t="shared" si="77"/>
        <v>0.5833333333333357</v>
      </c>
      <c r="Y323">
        <f>IF(B323&gt;$M$2,0,IF(X324=0,0,(1-X324)*Assumptions!$B$11/$E$2*(1-Assumptions!$B$30)))</f>
        <v>0</v>
      </c>
      <c r="Z323">
        <f>(R323-S323)*(1-Assumptions!$B$30)-U323+Y322*Q322</f>
        <v>0</v>
      </c>
      <c r="AA323">
        <f>AA322*(1+Assumptions!$B$36)^(1/12)</f>
        <v>1.295256314967375</v>
      </c>
      <c r="AB323" s="20">
        <f>IF(B323&gt;$M$2,0,AA322*Assumptions!$B$32/12*Q322+Z323*Assumptions!$B$34/12)</f>
        <v>0</v>
      </c>
      <c r="AC323" s="21">
        <f>1/(1+HLOOKUP(YEAR(A323),Assumptions!$A$41:$AL$43,3,TRUE))^(1/12)</f>
        <v>0.99777210122039961</v>
      </c>
      <c r="AD323">
        <f t="shared" si="72"/>
        <v>0</v>
      </c>
      <c r="AE323">
        <f t="shared" si="78"/>
        <v>0</v>
      </c>
    </row>
    <row r="324" spans="1:31" x14ac:dyDescent="0.2">
      <c r="A324" s="2">
        <f t="shared" si="79"/>
        <v>52627</v>
      </c>
      <c r="B324">
        <f t="shared" si="73"/>
        <v>393</v>
      </c>
      <c r="C324">
        <f t="shared" si="65"/>
        <v>32.666666666666664</v>
      </c>
      <c r="D324">
        <f t="shared" si="66"/>
        <v>0</v>
      </c>
      <c r="E324">
        <f t="shared" si="67"/>
        <v>87</v>
      </c>
      <c r="F324">
        <f t="shared" si="68"/>
        <v>79</v>
      </c>
      <c r="G324">
        <f>IF(C324&gt;=$L$2,0,VLOOKUP($E324,'Mortality Table'!$A$3:$C$128,2+H$2,FALSE))</f>
        <v>0</v>
      </c>
      <c r="H324">
        <f>IF(C324&gt;=$L$2,0,VLOOKUP($E324,'Mortality Table'!$A$3:$C$128,2+I$2,FALSE))</f>
        <v>0</v>
      </c>
      <c r="I324" s="17">
        <f>G324*Assumptions!$B$1</f>
        <v>0</v>
      </c>
      <c r="J324" s="17">
        <f>H324*Assumptions!$B$1</f>
        <v>0</v>
      </c>
      <c r="K324">
        <f t="shared" si="69"/>
        <v>0</v>
      </c>
      <c r="L324">
        <f t="shared" si="74"/>
        <v>0</v>
      </c>
      <c r="M324">
        <f>HLOOKUP(C324,Assumptions!$A$6:$J$7,2,TRUE)</f>
        <v>2.6499999999999999E-2</v>
      </c>
      <c r="N324" s="23">
        <f t="shared" si="64"/>
        <v>0</v>
      </c>
      <c r="O324" s="23">
        <f t="shared" si="70"/>
        <v>0</v>
      </c>
      <c r="P324">
        <f t="shared" si="75"/>
        <v>0</v>
      </c>
      <c r="Q324" s="23">
        <f t="shared" si="71"/>
        <v>0</v>
      </c>
      <c r="R324">
        <f>Q323*Assumptions!$B$11/$E$2*N324</f>
        <v>0</v>
      </c>
      <c r="S324">
        <f>Q323*Assumptions!$B$13/$E$2*N324</f>
        <v>0</v>
      </c>
      <c r="T324">
        <f>L324*Assumptions!$B$15</f>
        <v>0</v>
      </c>
      <c r="U324">
        <f>S324*Assumptions!$B$17</f>
        <v>0</v>
      </c>
      <c r="V324">
        <f>HLOOKUP(B324,Assumptions!$A$26:$D$27,2,TRUE)</f>
        <v>0</v>
      </c>
      <c r="W324">
        <f t="shared" si="76"/>
        <v>0</v>
      </c>
      <c r="X324">
        <f t="shared" si="77"/>
        <v>0.6666666666666643</v>
      </c>
      <c r="Y324">
        <f>IF(B324&gt;$M$2,0,IF(X325=0,0,(1-X325)*Assumptions!$B$11/$E$2*(1-Assumptions!$B$30)))</f>
        <v>0</v>
      </c>
      <c r="Z324">
        <f>(R324-S324)*(1-Assumptions!$B$30)-U324+Y323*Q323</f>
        <v>0</v>
      </c>
      <c r="AA324">
        <f>AA323*(1+Assumptions!$B$36)^(1/12)</f>
        <v>1.296330779448488</v>
      </c>
      <c r="AB324" s="20">
        <f>IF(B324&gt;$M$2,0,AA323*Assumptions!$B$32/12*Q323+Z324*Assumptions!$B$34/12)</f>
        <v>0</v>
      </c>
      <c r="AC324" s="21">
        <f>1/(1+HLOOKUP(YEAR(A324),Assumptions!$A$41:$AL$43,3,TRUE))^(1/12)</f>
        <v>0.99772443542808886</v>
      </c>
      <c r="AD324">
        <f t="shared" si="72"/>
        <v>0</v>
      </c>
      <c r="AE324">
        <f t="shared" si="78"/>
        <v>0</v>
      </c>
    </row>
    <row r="325" spans="1:31" x14ac:dyDescent="0.2">
      <c r="A325" s="2">
        <f t="shared" si="79"/>
        <v>52656</v>
      </c>
      <c r="B325">
        <f t="shared" si="73"/>
        <v>394</v>
      </c>
      <c r="C325">
        <f t="shared" si="65"/>
        <v>32.75</v>
      </c>
      <c r="D325">
        <f t="shared" si="66"/>
        <v>0</v>
      </c>
      <c r="E325">
        <f t="shared" si="67"/>
        <v>87</v>
      </c>
      <c r="F325">
        <f t="shared" si="68"/>
        <v>79</v>
      </c>
      <c r="G325">
        <f>IF(C325&gt;=$L$2,0,VLOOKUP($E325,'Mortality Table'!$A$3:$C$128,2+H$2,FALSE))</f>
        <v>0</v>
      </c>
      <c r="H325">
        <f>IF(C325&gt;=$L$2,0,VLOOKUP($E325,'Mortality Table'!$A$3:$C$128,2+I$2,FALSE))</f>
        <v>0</v>
      </c>
      <c r="I325" s="17">
        <f>G325*Assumptions!$B$1</f>
        <v>0</v>
      </c>
      <c r="J325" s="17">
        <f>H325*Assumptions!$B$1</f>
        <v>0</v>
      </c>
      <c r="K325">
        <f t="shared" si="69"/>
        <v>0</v>
      </c>
      <c r="L325">
        <f t="shared" si="74"/>
        <v>0</v>
      </c>
      <c r="M325">
        <f>HLOOKUP(C325,Assumptions!$A$6:$J$7,2,TRUE)</f>
        <v>2.6499999999999999E-2</v>
      </c>
      <c r="N325" s="23">
        <f t="shared" si="64"/>
        <v>0</v>
      </c>
      <c r="O325" s="23">
        <f t="shared" si="70"/>
        <v>0</v>
      </c>
      <c r="P325">
        <f t="shared" si="75"/>
        <v>0</v>
      </c>
      <c r="Q325" s="23">
        <f t="shared" si="71"/>
        <v>0</v>
      </c>
      <c r="R325">
        <f>Q324*Assumptions!$B$11/$E$2*N325</f>
        <v>0</v>
      </c>
      <c r="S325">
        <f>Q324*Assumptions!$B$13/$E$2*N325</f>
        <v>0</v>
      </c>
      <c r="T325">
        <f>L325*Assumptions!$B$15</f>
        <v>0</v>
      </c>
      <c r="U325">
        <f>S325*Assumptions!$B$17</f>
        <v>0</v>
      </c>
      <c r="V325">
        <f>HLOOKUP(B325,Assumptions!$A$26:$D$27,2,TRUE)</f>
        <v>0</v>
      </c>
      <c r="W325">
        <f t="shared" si="76"/>
        <v>0</v>
      </c>
      <c r="X325">
        <f t="shared" si="77"/>
        <v>0.75</v>
      </c>
      <c r="Y325">
        <f>IF(B325&gt;$M$2,0,IF(X326=0,0,(1-X326)*Assumptions!$B$11/$E$2*(1-Assumptions!$B$30)))</f>
        <v>0</v>
      </c>
      <c r="Z325">
        <f>(R325-S325)*(1-Assumptions!$B$30)-U325+Y324*Q324</f>
        <v>0</v>
      </c>
      <c r="AA325">
        <f>AA324*(1+Assumptions!$B$36)^(1/12)</f>
        <v>1.2974061352388406</v>
      </c>
      <c r="AB325" s="20">
        <f>IF(B325&gt;$M$2,0,AA324*Assumptions!$B$32/12*Q324+Z325*Assumptions!$B$34/12)</f>
        <v>0</v>
      </c>
      <c r="AC325" s="21">
        <f>1/(1+HLOOKUP(YEAR(A325),Assumptions!$A$41:$AL$43,3,TRUE))^(1/12)</f>
        <v>0.99772443542808886</v>
      </c>
      <c r="AD325">
        <f t="shared" si="72"/>
        <v>0</v>
      </c>
      <c r="AE325">
        <f t="shared" si="78"/>
        <v>0</v>
      </c>
    </row>
    <row r="326" spans="1:31" x14ac:dyDescent="0.2">
      <c r="A326" s="2">
        <f t="shared" si="79"/>
        <v>52687</v>
      </c>
      <c r="B326">
        <f t="shared" si="73"/>
        <v>395</v>
      </c>
      <c r="C326">
        <f t="shared" si="65"/>
        <v>32.833333333333336</v>
      </c>
      <c r="D326">
        <f t="shared" si="66"/>
        <v>0</v>
      </c>
      <c r="E326">
        <f t="shared" si="67"/>
        <v>87</v>
      </c>
      <c r="F326">
        <f t="shared" si="68"/>
        <v>79</v>
      </c>
      <c r="G326">
        <f>IF(C326&gt;=$L$2,0,VLOOKUP($E326,'Mortality Table'!$A$3:$C$128,2+H$2,FALSE))</f>
        <v>0</v>
      </c>
      <c r="H326">
        <f>IF(C326&gt;=$L$2,0,VLOOKUP($E326,'Mortality Table'!$A$3:$C$128,2+I$2,FALSE))</f>
        <v>0</v>
      </c>
      <c r="I326" s="17">
        <f>G326*Assumptions!$B$1</f>
        <v>0</v>
      </c>
      <c r="J326" s="17">
        <f>H326*Assumptions!$B$1</f>
        <v>0</v>
      </c>
      <c r="K326">
        <f t="shared" si="69"/>
        <v>0</v>
      </c>
      <c r="L326">
        <f t="shared" si="74"/>
        <v>0</v>
      </c>
      <c r="M326">
        <f>HLOOKUP(C326,Assumptions!$A$6:$J$7,2,TRUE)</f>
        <v>2.6499999999999999E-2</v>
      </c>
      <c r="N326" s="23">
        <f t="shared" si="64"/>
        <v>0</v>
      </c>
      <c r="O326" s="23">
        <f t="shared" si="70"/>
        <v>0</v>
      </c>
      <c r="P326">
        <f t="shared" si="75"/>
        <v>0</v>
      </c>
      <c r="Q326" s="23">
        <f t="shared" si="71"/>
        <v>0</v>
      </c>
      <c r="R326">
        <f>Q325*Assumptions!$B$11/$E$2*N326</f>
        <v>0</v>
      </c>
      <c r="S326">
        <f>Q325*Assumptions!$B$13/$E$2*N326</f>
        <v>0</v>
      </c>
      <c r="T326">
        <f>L326*Assumptions!$B$15</f>
        <v>0</v>
      </c>
      <c r="U326">
        <f>S326*Assumptions!$B$17</f>
        <v>0</v>
      </c>
      <c r="V326">
        <f>HLOOKUP(B326,Assumptions!$A$26:$D$27,2,TRUE)</f>
        <v>0</v>
      </c>
      <c r="W326">
        <f t="shared" si="76"/>
        <v>0</v>
      </c>
      <c r="X326">
        <f t="shared" si="77"/>
        <v>0.8333333333333357</v>
      </c>
      <c r="Y326">
        <f>IF(B326&gt;$M$2,0,IF(X327=0,0,(1-X327)*Assumptions!$B$11/$E$2*(1-Assumptions!$B$30)))</f>
        <v>0</v>
      </c>
      <c r="Z326">
        <f>(R326-S326)*(1-Assumptions!$B$30)-U326+Y325*Q325</f>
        <v>0</v>
      </c>
      <c r="AA326">
        <f>AA325*(1+Assumptions!$B$36)^(1/12)</f>
        <v>1.2984823830778078</v>
      </c>
      <c r="AB326" s="20">
        <f>IF(B326&gt;$M$2,0,AA325*Assumptions!$B$32/12*Q325+Z326*Assumptions!$B$34/12)</f>
        <v>0</v>
      </c>
      <c r="AC326" s="21">
        <f>1/(1+HLOOKUP(YEAR(A326),Assumptions!$A$41:$AL$43,3,TRUE))^(1/12)</f>
        <v>0.99772443542808886</v>
      </c>
      <c r="AD326">
        <f t="shared" si="72"/>
        <v>0</v>
      </c>
      <c r="AE326">
        <f t="shared" si="78"/>
        <v>0</v>
      </c>
    </row>
    <row r="327" spans="1:31" x14ac:dyDescent="0.2">
      <c r="A327" s="2">
        <f t="shared" si="79"/>
        <v>52717</v>
      </c>
      <c r="B327">
        <f t="shared" si="73"/>
        <v>396</v>
      </c>
      <c r="C327">
        <f t="shared" si="65"/>
        <v>32.916666666666664</v>
      </c>
      <c r="D327">
        <f t="shared" si="66"/>
        <v>0</v>
      </c>
      <c r="E327">
        <f t="shared" si="67"/>
        <v>87</v>
      </c>
      <c r="F327">
        <f t="shared" si="68"/>
        <v>79</v>
      </c>
      <c r="G327">
        <f>IF(C327&gt;=$L$2,0,VLOOKUP($E327,'Mortality Table'!$A$3:$C$128,2+H$2,FALSE))</f>
        <v>0</v>
      </c>
      <c r="H327">
        <f>IF(C327&gt;=$L$2,0,VLOOKUP($E327,'Mortality Table'!$A$3:$C$128,2+I$2,FALSE))</f>
        <v>0</v>
      </c>
      <c r="I327" s="17">
        <f>G327*Assumptions!$B$1</f>
        <v>0</v>
      </c>
      <c r="J327" s="17">
        <f>H327*Assumptions!$B$1</f>
        <v>0</v>
      </c>
      <c r="K327">
        <f t="shared" si="69"/>
        <v>0</v>
      </c>
      <c r="L327">
        <f t="shared" si="74"/>
        <v>0</v>
      </c>
      <c r="M327">
        <f>HLOOKUP(C327,Assumptions!$A$6:$J$7,2,TRUE)</f>
        <v>2.6499999999999999E-2</v>
      </c>
      <c r="N327" s="23">
        <f t="shared" si="64"/>
        <v>0</v>
      </c>
      <c r="O327" s="23">
        <f t="shared" si="70"/>
        <v>0</v>
      </c>
      <c r="P327">
        <f t="shared" si="75"/>
        <v>0</v>
      </c>
      <c r="Q327" s="23">
        <f t="shared" si="71"/>
        <v>0</v>
      </c>
      <c r="R327">
        <f>Q326*Assumptions!$B$11/$E$2*N327</f>
        <v>0</v>
      </c>
      <c r="S327">
        <f>Q326*Assumptions!$B$13/$E$2*N327</f>
        <v>0</v>
      </c>
      <c r="T327">
        <f>L327*Assumptions!$B$15</f>
        <v>0</v>
      </c>
      <c r="U327">
        <f>S327*Assumptions!$B$17</f>
        <v>0</v>
      </c>
      <c r="V327">
        <f>HLOOKUP(B327,Assumptions!$A$26:$D$27,2,TRUE)</f>
        <v>0</v>
      </c>
      <c r="W327">
        <f t="shared" si="76"/>
        <v>0</v>
      </c>
      <c r="X327">
        <f t="shared" si="77"/>
        <v>0.9166666666666643</v>
      </c>
      <c r="Y327">
        <f>IF(B327&gt;$M$2,0,IF(X328=0,0,(1-X328)*Assumptions!$B$11/$E$2*(1-Assumptions!$B$30)))</f>
        <v>0</v>
      </c>
      <c r="Z327">
        <f>(R327-S327)*(1-Assumptions!$B$30)-U327+Y326*Q326</f>
        <v>0</v>
      </c>
      <c r="AA327">
        <f>AA326*(1+Assumptions!$B$36)^(1/12)</f>
        <v>1.2995595237053779</v>
      </c>
      <c r="AB327" s="20">
        <f>IF(B327&gt;$M$2,0,AA326*Assumptions!$B$32/12*Q326+Z327*Assumptions!$B$34/12)</f>
        <v>0</v>
      </c>
      <c r="AC327" s="21">
        <f>1/(1+HLOOKUP(YEAR(A327),Assumptions!$A$41:$AL$43,3,TRUE))^(1/12)</f>
        <v>0.99772443542808886</v>
      </c>
      <c r="AD327">
        <f t="shared" si="72"/>
        <v>0</v>
      </c>
      <c r="AE327">
        <f t="shared" si="78"/>
        <v>0</v>
      </c>
    </row>
    <row r="328" spans="1:31" x14ac:dyDescent="0.2">
      <c r="A328" s="2">
        <f t="shared" si="79"/>
        <v>52748</v>
      </c>
      <c r="B328">
        <f t="shared" si="73"/>
        <v>397</v>
      </c>
      <c r="C328">
        <f t="shared" si="65"/>
        <v>33</v>
      </c>
      <c r="D328">
        <f t="shared" si="66"/>
        <v>1</v>
      </c>
      <c r="E328">
        <f t="shared" si="67"/>
        <v>88</v>
      </c>
      <c r="F328">
        <f t="shared" si="68"/>
        <v>80</v>
      </c>
      <c r="G328">
        <f>IF(C328&gt;=$L$2,0,VLOOKUP($E328,'Mortality Table'!$A$3:$C$128,2+H$2,FALSE))</f>
        <v>0</v>
      </c>
      <c r="H328">
        <f>IF(C328&gt;=$L$2,0,VLOOKUP($E328,'Mortality Table'!$A$3:$C$128,2+I$2,FALSE))</f>
        <v>0</v>
      </c>
      <c r="I328" s="17">
        <f>G328*Assumptions!$B$1</f>
        <v>0</v>
      </c>
      <c r="J328" s="17">
        <f>H328*Assumptions!$B$1</f>
        <v>0</v>
      </c>
      <c r="K328">
        <f t="shared" si="69"/>
        <v>0</v>
      </c>
      <c r="L328">
        <f t="shared" si="74"/>
        <v>0</v>
      </c>
      <c r="M328">
        <f>HLOOKUP(C328,Assumptions!$A$6:$J$7,2,TRUE)</f>
        <v>2.6499999999999999E-2</v>
      </c>
      <c r="N328" s="23">
        <f t="shared" si="64"/>
        <v>0</v>
      </c>
      <c r="O328" s="23">
        <f t="shared" si="70"/>
        <v>0</v>
      </c>
      <c r="P328">
        <f t="shared" si="75"/>
        <v>0</v>
      </c>
      <c r="Q328" s="23">
        <f t="shared" si="71"/>
        <v>0</v>
      </c>
      <c r="R328">
        <f>Q327*Assumptions!$B$11/$E$2*N328</f>
        <v>0</v>
      </c>
      <c r="S328">
        <f>Q327*Assumptions!$B$13/$E$2*N328</f>
        <v>0</v>
      </c>
      <c r="T328">
        <f>L328*Assumptions!$B$15</f>
        <v>0</v>
      </c>
      <c r="U328">
        <f>S328*Assumptions!$B$17</f>
        <v>0</v>
      </c>
      <c r="V328">
        <f>HLOOKUP(B328,Assumptions!$A$26:$D$27,2,TRUE)</f>
        <v>0</v>
      </c>
      <c r="W328">
        <f t="shared" si="76"/>
        <v>0</v>
      </c>
      <c r="X328">
        <f t="shared" si="77"/>
        <v>0</v>
      </c>
      <c r="Y328">
        <f>IF(B328&gt;$M$2,0,IF(X329=0,0,(1-X329)*Assumptions!$B$11/$E$2*(1-Assumptions!$B$30)))</f>
        <v>0</v>
      </c>
      <c r="Z328">
        <f>(R328-S328)*(1-Assumptions!$B$30)-U328+Y327*Q327</f>
        <v>0</v>
      </c>
      <c r="AA328">
        <f>AA327*(1+Assumptions!$B$36)^(1/12)</f>
        <v>1.300637557862153</v>
      </c>
      <c r="AB328" s="20">
        <f>IF(B328&gt;$M$2,0,AA327*Assumptions!$B$32/12*Q327+Z328*Assumptions!$B$34/12)</f>
        <v>0</v>
      </c>
      <c r="AC328" s="21">
        <f>1/(1+HLOOKUP(YEAR(A328),Assumptions!$A$41:$AL$43,3,TRUE))^(1/12)</f>
        <v>0.99772443542808886</v>
      </c>
      <c r="AD328">
        <f t="shared" si="72"/>
        <v>0</v>
      </c>
      <c r="AE328">
        <f t="shared" si="78"/>
        <v>0</v>
      </c>
    </row>
    <row r="329" spans="1:31" x14ac:dyDescent="0.2">
      <c r="A329" s="2">
        <f t="shared" si="79"/>
        <v>52778</v>
      </c>
      <c r="B329">
        <f t="shared" si="73"/>
        <v>398</v>
      </c>
      <c r="C329">
        <f t="shared" si="65"/>
        <v>33.083333333333336</v>
      </c>
      <c r="D329">
        <f t="shared" si="66"/>
        <v>0</v>
      </c>
      <c r="E329">
        <f t="shared" si="67"/>
        <v>88</v>
      </c>
      <c r="F329">
        <f t="shared" si="68"/>
        <v>80</v>
      </c>
      <c r="G329">
        <f>IF(C329&gt;=$L$2,0,VLOOKUP($E329,'Mortality Table'!$A$3:$C$128,2+H$2,FALSE))</f>
        <v>0</v>
      </c>
      <c r="H329">
        <f>IF(C329&gt;=$L$2,0,VLOOKUP($E329,'Mortality Table'!$A$3:$C$128,2+I$2,FALSE))</f>
        <v>0</v>
      </c>
      <c r="I329" s="17">
        <f>G329*Assumptions!$B$1</f>
        <v>0</v>
      </c>
      <c r="J329" s="17">
        <f>H329*Assumptions!$B$1</f>
        <v>0</v>
      </c>
      <c r="K329">
        <f t="shared" si="69"/>
        <v>0</v>
      </c>
      <c r="L329">
        <f t="shared" si="74"/>
        <v>0</v>
      </c>
      <c r="M329">
        <f>HLOOKUP(C329,Assumptions!$A$6:$J$7,2,TRUE)</f>
        <v>2.6499999999999999E-2</v>
      </c>
      <c r="N329" s="23">
        <f t="shared" si="64"/>
        <v>0</v>
      </c>
      <c r="O329" s="23">
        <f t="shared" si="70"/>
        <v>0</v>
      </c>
      <c r="P329">
        <f t="shared" si="75"/>
        <v>0</v>
      </c>
      <c r="Q329" s="23">
        <f t="shared" si="71"/>
        <v>0</v>
      </c>
      <c r="R329">
        <f>Q328*Assumptions!$B$11/$E$2*N329</f>
        <v>0</v>
      </c>
      <c r="S329">
        <f>Q328*Assumptions!$B$13/$E$2*N329</f>
        <v>0</v>
      </c>
      <c r="T329">
        <f>L329*Assumptions!$B$15</f>
        <v>0</v>
      </c>
      <c r="U329">
        <f>S329*Assumptions!$B$17</f>
        <v>0</v>
      </c>
      <c r="V329">
        <f>HLOOKUP(B329,Assumptions!$A$26:$D$27,2,TRUE)</f>
        <v>0</v>
      </c>
      <c r="W329">
        <f t="shared" si="76"/>
        <v>0</v>
      </c>
      <c r="X329">
        <f t="shared" si="77"/>
        <v>8.3333333333335702E-2</v>
      </c>
      <c r="Y329">
        <f>IF(B329&gt;$M$2,0,IF(X330=0,0,(1-X330)*Assumptions!$B$11/$E$2*(1-Assumptions!$B$30)))</f>
        <v>0</v>
      </c>
      <c r="Z329">
        <f>(R329-S329)*(1-Assumptions!$B$30)-U329+Y328*Q328</f>
        <v>0</v>
      </c>
      <c r="AA329">
        <f>AA328*(1+Assumptions!$B$36)^(1/12)</f>
        <v>1.3017164862893498</v>
      </c>
      <c r="AB329" s="20">
        <f>IF(B329&gt;$M$2,0,AA328*Assumptions!$B$32/12*Q328+Z329*Assumptions!$B$34/12)</f>
        <v>0</v>
      </c>
      <c r="AC329" s="21">
        <f>1/(1+HLOOKUP(YEAR(A329),Assumptions!$A$41:$AL$43,3,TRUE))^(1/12)</f>
        <v>0.99772443542808886</v>
      </c>
      <c r="AD329">
        <f t="shared" si="72"/>
        <v>0</v>
      </c>
      <c r="AE329">
        <f t="shared" si="78"/>
        <v>0</v>
      </c>
    </row>
    <row r="330" spans="1:31" x14ac:dyDescent="0.2">
      <c r="A330" s="2">
        <f t="shared" si="79"/>
        <v>52809</v>
      </c>
      <c r="B330">
        <f t="shared" si="73"/>
        <v>399</v>
      </c>
      <c r="C330">
        <f t="shared" si="65"/>
        <v>33.166666666666664</v>
      </c>
      <c r="D330">
        <f t="shared" si="66"/>
        <v>0</v>
      </c>
      <c r="E330">
        <f t="shared" si="67"/>
        <v>88</v>
      </c>
      <c r="F330">
        <f t="shared" si="68"/>
        <v>80</v>
      </c>
      <c r="G330">
        <f>IF(C330&gt;=$L$2,0,VLOOKUP($E330,'Mortality Table'!$A$3:$C$128,2+H$2,FALSE))</f>
        <v>0</v>
      </c>
      <c r="H330">
        <f>IF(C330&gt;=$L$2,0,VLOOKUP($E330,'Mortality Table'!$A$3:$C$128,2+I$2,FALSE))</f>
        <v>0</v>
      </c>
      <c r="I330" s="17">
        <f>G330*Assumptions!$B$1</f>
        <v>0</v>
      </c>
      <c r="J330" s="17">
        <f>H330*Assumptions!$B$1</f>
        <v>0</v>
      </c>
      <c r="K330">
        <f t="shared" si="69"/>
        <v>0</v>
      </c>
      <c r="L330">
        <f t="shared" si="74"/>
        <v>0</v>
      </c>
      <c r="M330">
        <f>HLOOKUP(C330,Assumptions!$A$6:$J$7,2,TRUE)</f>
        <v>2.6499999999999999E-2</v>
      </c>
      <c r="N330" s="23">
        <f t="shared" si="64"/>
        <v>0</v>
      </c>
      <c r="O330" s="23">
        <f t="shared" si="70"/>
        <v>0</v>
      </c>
      <c r="P330">
        <f t="shared" si="75"/>
        <v>0</v>
      </c>
      <c r="Q330" s="23">
        <f t="shared" si="71"/>
        <v>0</v>
      </c>
      <c r="R330">
        <f>Q329*Assumptions!$B$11/$E$2*N330</f>
        <v>0</v>
      </c>
      <c r="S330">
        <f>Q329*Assumptions!$B$13/$E$2*N330</f>
        <v>0</v>
      </c>
      <c r="T330">
        <f>L330*Assumptions!$B$15</f>
        <v>0</v>
      </c>
      <c r="U330">
        <f>S330*Assumptions!$B$17</f>
        <v>0</v>
      </c>
      <c r="V330">
        <f>HLOOKUP(B330,Assumptions!$A$26:$D$27,2,TRUE)</f>
        <v>0</v>
      </c>
      <c r="W330">
        <f t="shared" si="76"/>
        <v>0</v>
      </c>
      <c r="X330">
        <f t="shared" si="77"/>
        <v>0.1666666666666643</v>
      </c>
      <c r="Y330">
        <f>IF(B330&gt;$M$2,0,IF(X331=0,0,(1-X331)*Assumptions!$B$11/$E$2*(1-Assumptions!$B$30)))</f>
        <v>0</v>
      </c>
      <c r="Z330">
        <f>(R330-S330)*(1-Assumptions!$B$30)-U330+Y329*Q329</f>
        <v>0</v>
      </c>
      <c r="AA330">
        <f>AA329*(1+Assumptions!$B$36)^(1/12)</f>
        <v>1.3027963097287996</v>
      </c>
      <c r="AB330" s="20">
        <f>IF(B330&gt;$M$2,0,AA329*Assumptions!$B$32/12*Q329+Z330*Assumptions!$B$34/12)</f>
        <v>0</v>
      </c>
      <c r="AC330" s="21">
        <f>1/(1+HLOOKUP(YEAR(A330),Assumptions!$A$41:$AL$43,3,TRUE))^(1/12)</f>
        <v>0.99772443542808886</v>
      </c>
      <c r="AD330">
        <f t="shared" si="72"/>
        <v>0</v>
      </c>
      <c r="AE330">
        <f t="shared" si="78"/>
        <v>0</v>
      </c>
    </row>
    <row r="331" spans="1:31" x14ac:dyDescent="0.2">
      <c r="A331" s="2">
        <f t="shared" si="79"/>
        <v>52840</v>
      </c>
      <c r="B331">
        <f t="shared" si="73"/>
        <v>400</v>
      </c>
      <c r="C331">
        <f t="shared" si="65"/>
        <v>33.25</v>
      </c>
      <c r="D331">
        <f t="shared" si="66"/>
        <v>0</v>
      </c>
      <c r="E331">
        <f t="shared" si="67"/>
        <v>88</v>
      </c>
      <c r="F331">
        <f t="shared" si="68"/>
        <v>80</v>
      </c>
      <c r="G331">
        <f>IF(C331&gt;=$L$2,0,VLOOKUP($E331,'Mortality Table'!$A$3:$C$128,2+H$2,FALSE))</f>
        <v>0</v>
      </c>
      <c r="H331">
        <f>IF(C331&gt;=$L$2,0,VLOOKUP($E331,'Mortality Table'!$A$3:$C$128,2+I$2,FALSE))</f>
        <v>0</v>
      </c>
      <c r="I331" s="17">
        <f>G331*Assumptions!$B$1</f>
        <v>0</v>
      </c>
      <c r="J331" s="17">
        <f>H331*Assumptions!$B$1</f>
        <v>0</v>
      </c>
      <c r="K331">
        <f t="shared" si="69"/>
        <v>0</v>
      </c>
      <c r="L331">
        <f t="shared" si="74"/>
        <v>0</v>
      </c>
      <c r="M331">
        <f>HLOOKUP(C331,Assumptions!$A$6:$J$7,2,TRUE)</f>
        <v>2.6499999999999999E-2</v>
      </c>
      <c r="N331" s="23">
        <f t="shared" ref="N331:N394" si="80">IF(B331&gt;$M$2,0,IF(($E$2*(B331+11))/12-INT(($E$2*(B331+11))/12)=0,1,0))</f>
        <v>0</v>
      </c>
      <c r="O331" s="23">
        <f t="shared" si="70"/>
        <v>0</v>
      </c>
      <c r="P331">
        <f t="shared" si="75"/>
        <v>0</v>
      </c>
      <c r="Q331" s="23">
        <f t="shared" si="71"/>
        <v>0</v>
      </c>
      <c r="R331">
        <f>Q330*Assumptions!$B$11/$E$2*N331</f>
        <v>0</v>
      </c>
      <c r="S331">
        <f>Q330*Assumptions!$B$13/$E$2*N331</f>
        <v>0</v>
      </c>
      <c r="T331">
        <f>L331*Assumptions!$B$15</f>
        <v>0</v>
      </c>
      <c r="U331">
        <f>S331*Assumptions!$B$17</f>
        <v>0</v>
      </c>
      <c r="V331">
        <f>HLOOKUP(B331,Assumptions!$A$26:$D$27,2,TRUE)</f>
        <v>0</v>
      </c>
      <c r="W331">
        <f t="shared" si="76"/>
        <v>0</v>
      </c>
      <c r="X331">
        <f t="shared" si="77"/>
        <v>0.25</v>
      </c>
      <c r="Y331">
        <f>IF(B331&gt;$M$2,0,IF(X332=0,0,(1-X332)*Assumptions!$B$11/$E$2*(1-Assumptions!$B$30)))</f>
        <v>0</v>
      </c>
      <c r="Z331">
        <f>(R331-S331)*(1-Assumptions!$B$30)-U331+Y330*Q330</f>
        <v>0</v>
      </c>
      <c r="AA331">
        <f>AA330*(1+Assumptions!$B$36)^(1/12)</f>
        <v>1.3038770289229491</v>
      </c>
      <c r="AB331" s="20">
        <f>IF(B331&gt;$M$2,0,AA330*Assumptions!$B$32/12*Q330+Z331*Assumptions!$B$34/12)</f>
        <v>0</v>
      </c>
      <c r="AC331" s="21">
        <f>1/(1+HLOOKUP(YEAR(A331),Assumptions!$A$41:$AL$43,3,TRUE))^(1/12)</f>
        <v>0.99772443542808886</v>
      </c>
      <c r="AD331">
        <f t="shared" si="72"/>
        <v>0</v>
      </c>
      <c r="AE331">
        <f t="shared" si="78"/>
        <v>0</v>
      </c>
    </row>
    <row r="332" spans="1:31" x14ac:dyDescent="0.2">
      <c r="A332" s="2">
        <f t="shared" si="79"/>
        <v>52870</v>
      </c>
      <c r="B332">
        <f t="shared" si="73"/>
        <v>401</v>
      </c>
      <c r="C332">
        <f t="shared" ref="C332:C395" si="81">(B332+11)/12-1</f>
        <v>33.333333333333336</v>
      </c>
      <c r="D332">
        <f t="shared" ref="D332:D395" si="82">IF(C332-INT(C332)=0,1,0)</f>
        <v>0</v>
      </c>
      <c r="E332">
        <f t="shared" ref="E332:E395" si="83">$C$2+INT($C332)</f>
        <v>88</v>
      </c>
      <c r="F332">
        <f t="shared" ref="F332:F395" si="84">$F$2+INT($C332)</f>
        <v>80</v>
      </c>
      <c r="G332">
        <f>IF(C332&gt;=$L$2,0,VLOOKUP($E332,'Mortality Table'!$A$3:$C$128,2+H$2,FALSE))</f>
        <v>0</v>
      </c>
      <c r="H332">
        <f>IF(C332&gt;=$L$2,0,VLOOKUP($E332,'Mortality Table'!$A$3:$C$128,2+I$2,FALSE))</f>
        <v>0</v>
      </c>
      <c r="I332" s="17">
        <f>G332*Assumptions!$B$1</f>
        <v>0</v>
      </c>
      <c r="J332" s="17">
        <f>H332*Assumptions!$B$1</f>
        <v>0</v>
      </c>
      <c r="K332">
        <f t="shared" ref="K332:K395" si="85">I332+J332-I332*J332</f>
        <v>0</v>
      </c>
      <c r="L332">
        <f t="shared" si="74"/>
        <v>0</v>
      </c>
      <c r="M332">
        <f>HLOOKUP(C332,Assumptions!$A$6:$J$7,2,TRUE)</f>
        <v>2.6499999999999999E-2</v>
      </c>
      <c r="N332" s="23">
        <f t="shared" si="80"/>
        <v>0</v>
      </c>
      <c r="O332" s="23">
        <f t="shared" ref="O332:O395" si="86">IF(B333&gt;$M$2,0,IF(N333=0,0,1/$E$2))</f>
        <v>0</v>
      </c>
      <c r="P332">
        <f t="shared" si="75"/>
        <v>0</v>
      </c>
      <c r="Q332" s="23">
        <f t="shared" ref="Q332:Q395" si="87">IF(B332&gt;$M$2,0,Q331-L332-P332)</f>
        <v>0</v>
      </c>
      <c r="R332">
        <f>Q331*Assumptions!$B$11/$E$2*N332</f>
        <v>0</v>
      </c>
      <c r="S332">
        <f>Q331*Assumptions!$B$13/$E$2*N332</f>
        <v>0</v>
      </c>
      <c r="T332">
        <f>L332*Assumptions!$B$15</f>
        <v>0</v>
      </c>
      <c r="U332">
        <f>S332*Assumptions!$B$17</f>
        <v>0</v>
      </c>
      <c r="V332">
        <f>HLOOKUP(B332,Assumptions!$A$26:$D$27,2,TRUE)</f>
        <v>0</v>
      </c>
      <c r="W332">
        <f t="shared" si="76"/>
        <v>0</v>
      </c>
      <c r="X332">
        <f t="shared" si="77"/>
        <v>0.3333333333333357</v>
      </c>
      <c r="Y332">
        <f>IF(B332&gt;$M$2,0,IF(X333=0,0,(1-X333)*Assumptions!$B$11/$E$2*(1-Assumptions!$B$30)))</f>
        <v>0</v>
      </c>
      <c r="Z332">
        <f>(R332-S332)*(1-Assumptions!$B$30)-U332+Y331*Q331</f>
        <v>0</v>
      </c>
      <c r="AA332">
        <f>AA331*(1+Assumptions!$B$36)^(1/12)</f>
        <v>1.3049586446148611</v>
      </c>
      <c r="AB332" s="20">
        <f>IF(B332&gt;$M$2,0,AA331*Assumptions!$B$32/12*Q331+Z332*Assumptions!$B$34/12)</f>
        <v>0</v>
      </c>
      <c r="AC332" s="21">
        <f>1/(1+HLOOKUP(YEAR(A332),Assumptions!$A$41:$AL$43,3,TRUE))^(1/12)</f>
        <v>0.99772443542808886</v>
      </c>
      <c r="AD332">
        <f t="shared" ref="AD332:AD395" si="88">(AD333+T333+U333+W333+AB333-R333)*AC333</f>
        <v>0</v>
      </c>
      <c r="AE332">
        <f t="shared" si="78"/>
        <v>0</v>
      </c>
    </row>
    <row r="333" spans="1:31" x14ac:dyDescent="0.2">
      <c r="A333" s="2">
        <f t="shared" si="79"/>
        <v>52901</v>
      </c>
      <c r="B333">
        <f t="shared" ref="B333:B396" si="89">B332+1</f>
        <v>402</v>
      </c>
      <c r="C333">
        <f t="shared" si="81"/>
        <v>33.416666666666664</v>
      </c>
      <c r="D333">
        <f t="shared" si="82"/>
        <v>0</v>
      </c>
      <c r="E333">
        <f t="shared" si="83"/>
        <v>88</v>
      </c>
      <c r="F333">
        <f t="shared" si="84"/>
        <v>80</v>
      </c>
      <c r="G333">
        <f>IF(C333&gt;=$L$2,0,VLOOKUP($E333,'Mortality Table'!$A$3:$C$128,2+H$2,FALSE))</f>
        <v>0</v>
      </c>
      <c r="H333">
        <f>IF(C333&gt;=$L$2,0,VLOOKUP($E333,'Mortality Table'!$A$3:$C$128,2+I$2,FALSE))</f>
        <v>0</v>
      </c>
      <c r="I333" s="17">
        <f>G333*Assumptions!$B$1</f>
        <v>0</v>
      </c>
      <c r="J333" s="17">
        <f>H333*Assumptions!$B$1</f>
        <v>0</v>
      </c>
      <c r="K333">
        <f t="shared" si="85"/>
        <v>0</v>
      </c>
      <c r="L333">
        <f t="shared" ref="L333:L396" si="90">(1-(1-K333)^(1/12))*Q332</f>
        <v>0</v>
      </c>
      <c r="M333">
        <f>HLOOKUP(C333,Assumptions!$A$6:$J$7,2,TRUE)</f>
        <v>2.6499999999999999E-2</v>
      </c>
      <c r="N333" s="23">
        <f t="shared" si="80"/>
        <v>0</v>
      </c>
      <c r="O333" s="23">
        <f t="shared" si="86"/>
        <v>0</v>
      </c>
      <c r="P333">
        <f t="shared" ref="P333:P396" si="91">(1-(1-M333)^O333)*(Q332-L333)</f>
        <v>0</v>
      </c>
      <c r="Q333" s="23">
        <f t="shared" si="87"/>
        <v>0</v>
      </c>
      <c r="R333">
        <f>Q332*Assumptions!$B$11/$E$2*N333</f>
        <v>0</v>
      </c>
      <c r="S333">
        <f>Q332*Assumptions!$B$13/$E$2*N333</f>
        <v>0</v>
      </c>
      <c r="T333">
        <f>L333*Assumptions!$B$15</f>
        <v>0</v>
      </c>
      <c r="U333">
        <f>S333*Assumptions!$B$17</f>
        <v>0</v>
      </c>
      <c r="V333">
        <f>HLOOKUP(B333,Assumptions!$A$26:$D$27,2,TRUE)</f>
        <v>0</v>
      </c>
      <c r="W333">
        <f t="shared" ref="W333:W396" si="92">R333*V333</f>
        <v>0</v>
      </c>
      <c r="X333">
        <f t="shared" ref="X333:X396" si="93">($E$2*(B333+11))/12-INT(($E$2*(B333+11))/12)</f>
        <v>0.4166666666666643</v>
      </c>
      <c r="Y333">
        <f>IF(B333&gt;$M$2,0,IF(X334=0,0,(1-X334)*Assumptions!$B$11/$E$2*(1-Assumptions!$B$30)))</f>
        <v>0</v>
      </c>
      <c r="Z333">
        <f>(R333-S333)*(1-Assumptions!$B$30)-U333+Y332*Q332</f>
        <v>0</v>
      </c>
      <c r="AA333">
        <f>AA332*(1+Assumptions!$B$36)^(1/12)</f>
        <v>1.3060411575482147</v>
      </c>
      <c r="AB333" s="20">
        <f>IF(B333&gt;$M$2,0,AA332*Assumptions!$B$32/12*Q332+Z333*Assumptions!$B$34/12)</f>
        <v>0</v>
      </c>
      <c r="AC333" s="21">
        <f>1/(1+HLOOKUP(YEAR(A333),Assumptions!$A$41:$AL$43,3,TRUE))^(1/12)</f>
        <v>0.99772443542808886</v>
      </c>
      <c r="AD333">
        <f t="shared" si="88"/>
        <v>0</v>
      </c>
      <c r="AE333">
        <f t="shared" ref="AE333:AE396" si="94">T333+U333</f>
        <v>0</v>
      </c>
    </row>
    <row r="334" spans="1:31" x14ac:dyDescent="0.2">
      <c r="A334" s="2">
        <f t="shared" si="79"/>
        <v>52931</v>
      </c>
      <c r="B334">
        <f t="shared" si="89"/>
        <v>403</v>
      </c>
      <c r="C334">
        <f t="shared" si="81"/>
        <v>33.5</v>
      </c>
      <c r="D334">
        <f t="shared" si="82"/>
        <v>0</v>
      </c>
      <c r="E334">
        <f t="shared" si="83"/>
        <v>88</v>
      </c>
      <c r="F334">
        <f t="shared" si="84"/>
        <v>80</v>
      </c>
      <c r="G334">
        <f>IF(C334&gt;=$L$2,0,VLOOKUP($E334,'Mortality Table'!$A$3:$C$128,2+H$2,FALSE))</f>
        <v>0</v>
      </c>
      <c r="H334">
        <f>IF(C334&gt;=$L$2,0,VLOOKUP($E334,'Mortality Table'!$A$3:$C$128,2+I$2,FALSE))</f>
        <v>0</v>
      </c>
      <c r="I334" s="17">
        <f>G334*Assumptions!$B$1</f>
        <v>0</v>
      </c>
      <c r="J334" s="17">
        <f>H334*Assumptions!$B$1</f>
        <v>0</v>
      </c>
      <c r="K334">
        <f t="shared" si="85"/>
        <v>0</v>
      </c>
      <c r="L334">
        <f t="shared" si="90"/>
        <v>0</v>
      </c>
      <c r="M334">
        <f>HLOOKUP(C334,Assumptions!$A$6:$J$7,2,TRUE)</f>
        <v>2.6499999999999999E-2</v>
      </c>
      <c r="N334" s="23">
        <f t="shared" si="80"/>
        <v>0</v>
      </c>
      <c r="O334" s="23">
        <f t="shared" si="86"/>
        <v>0</v>
      </c>
      <c r="P334">
        <f t="shared" si="91"/>
        <v>0</v>
      </c>
      <c r="Q334" s="23">
        <f t="shared" si="87"/>
        <v>0</v>
      </c>
      <c r="R334">
        <f>Q333*Assumptions!$B$11/$E$2*N334</f>
        <v>0</v>
      </c>
      <c r="S334">
        <f>Q333*Assumptions!$B$13/$E$2*N334</f>
        <v>0</v>
      </c>
      <c r="T334">
        <f>L334*Assumptions!$B$15</f>
        <v>0</v>
      </c>
      <c r="U334">
        <f>S334*Assumptions!$B$17</f>
        <v>0</v>
      </c>
      <c r="V334">
        <f>HLOOKUP(B334,Assumptions!$A$26:$D$27,2,TRUE)</f>
        <v>0</v>
      </c>
      <c r="W334">
        <f t="shared" si="92"/>
        <v>0</v>
      </c>
      <c r="X334">
        <f t="shared" si="93"/>
        <v>0.5</v>
      </c>
      <c r="Y334">
        <f>IF(B334&gt;$M$2,0,IF(X335=0,0,(1-X335)*Assumptions!$B$11/$E$2*(1-Assumptions!$B$30)))</f>
        <v>0</v>
      </c>
      <c r="Z334">
        <f>(R334-S334)*(1-Assumptions!$B$30)-U334+Y333*Q333</f>
        <v>0</v>
      </c>
      <c r="AA334">
        <f>AA333*(1+Assumptions!$B$36)^(1/12)</f>
        <v>1.3071245684673056</v>
      </c>
      <c r="AB334" s="20">
        <f>IF(B334&gt;$M$2,0,AA333*Assumptions!$B$32/12*Q333+Z334*Assumptions!$B$34/12)</f>
        <v>0</v>
      </c>
      <c r="AC334" s="21">
        <f>1/(1+HLOOKUP(YEAR(A334),Assumptions!$A$41:$AL$43,3,TRUE))^(1/12)</f>
        <v>0.99772443542808886</v>
      </c>
      <c r="AD334">
        <f t="shared" si="88"/>
        <v>0</v>
      </c>
      <c r="AE334">
        <f t="shared" si="94"/>
        <v>0</v>
      </c>
    </row>
    <row r="335" spans="1:31" x14ac:dyDescent="0.2">
      <c r="A335" s="2">
        <f t="shared" ref="A335:A398" si="95">DATE(YEAR(A334),MONTH(A334)+2,1)-1</f>
        <v>52962</v>
      </c>
      <c r="B335">
        <f t="shared" si="89"/>
        <v>404</v>
      </c>
      <c r="C335">
        <f t="shared" si="81"/>
        <v>33.583333333333336</v>
      </c>
      <c r="D335">
        <f t="shared" si="82"/>
        <v>0</v>
      </c>
      <c r="E335">
        <f t="shared" si="83"/>
        <v>88</v>
      </c>
      <c r="F335">
        <f t="shared" si="84"/>
        <v>80</v>
      </c>
      <c r="G335">
        <f>IF(C335&gt;=$L$2,0,VLOOKUP($E335,'Mortality Table'!$A$3:$C$128,2+H$2,FALSE))</f>
        <v>0</v>
      </c>
      <c r="H335">
        <f>IF(C335&gt;=$L$2,0,VLOOKUP($E335,'Mortality Table'!$A$3:$C$128,2+I$2,FALSE))</f>
        <v>0</v>
      </c>
      <c r="I335" s="17">
        <f>G335*Assumptions!$B$1</f>
        <v>0</v>
      </c>
      <c r="J335" s="17">
        <f>H335*Assumptions!$B$1</f>
        <v>0</v>
      </c>
      <c r="K335">
        <f t="shared" si="85"/>
        <v>0</v>
      </c>
      <c r="L335">
        <f t="shared" si="90"/>
        <v>0</v>
      </c>
      <c r="M335">
        <f>HLOOKUP(C335,Assumptions!$A$6:$J$7,2,TRUE)</f>
        <v>2.6499999999999999E-2</v>
      </c>
      <c r="N335" s="23">
        <f t="shared" si="80"/>
        <v>0</v>
      </c>
      <c r="O335" s="23">
        <f t="shared" si="86"/>
        <v>0</v>
      </c>
      <c r="P335">
        <f t="shared" si="91"/>
        <v>0</v>
      </c>
      <c r="Q335" s="23">
        <f t="shared" si="87"/>
        <v>0</v>
      </c>
      <c r="R335">
        <f>Q334*Assumptions!$B$11/$E$2*N335</f>
        <v>0</v>
      </c>
      <c r="S335">
        <f>Q334*Assumptions!$B$13/$E$2*N335</f>
        <v>0</v>
      </c>
      <c r="T335">
        <f>L335*Assumptions!$B$15</f>
        <v>0</v>
      </c>
      <c r="U335">
        <f>S335*Assumptions!$B$17</f>
        <v>0</v>
      </c>
      <c r="V335">
        <f>HLOOKUP(B335,Assumptions!$A$26:$D$27,2,TRUE)</f>
        <v>0</v>
      </c>
      <c r="W335">
        <f t="shared" si="92"/>
        <v>0</v>
      </c>
      <c r="X335">
        <f t="shared" si="93"/>
        <v>0.5833333333333357</v>
      </c>
      <c r="Y335">
        <f>IF(B335&gt;$M$2,0,IF(X336=0,0,(1-X336)*Assumptions!$B$11/$E$2*(1-Assumptions!$B$30)))</f>
        <v>0</v>
      </c>
      <c r="Z335">
        <f>(R335-S335)*(1-Assumptions!$B$30)-U335+Y334*Q334</f>
        <v>0</v>
      </c>
      <c r="AA335">
        <f>AA334*(1+Assumptions!$B$36)^(1/12)</f>
        <v>1.3082088781170476</v>
      </c>
      <c r="AB335" s="20">
        <f>IF(B335&gt;$M$2,0,AA334*Assumptions!$B$32/12*Q334+Z335*Assumptions!$B$34/12)</f>
        <v>0</v>
      </c>
      <c r="AC335" s="21">
        <f>1/(1+HLOOKUP(YEAR(A335),Assumptions!$A$41:$AL$43,3,TRUE))^(1/12)</f>
        <v>0.99772443542808886</v>
      </c>
      <c r="AD335">
        <f t="shared" si="88"/>
        <v>0</v>
      </c>
      <c r="AE335">
        <f t="shared" si="94"/>
        <v>0</v>
      </c>
    </row>
    <row r="336" spans="1:31" x14ac:dyDescent="0.2">
      <c r="A336" s="2">
        <f t="shared" si="95"/>
        <v>52993</v>
      </c>
      <c r="B336">
        <f t="shared" si="89"/>
        <v>405</v>
      </c>
      <c r="C336">
        <f t="shared" si="81"/>
        <v>33.666666666666664</v>
      </c>
      <c r="D336">
        <f t="shared" si="82"/>
        <v>0</v>
      </c>
      <c r="E336">
        <f t="shared" si="83"/>
        <v>88</v>
      </c>
      <c r="F336">
        <f t="shared" si="84"/>
        <v>80</v>
      </c>
      <c r="G336">
        <f>IF(C336&gt;=$L$2,0,VLOOKUP($E336,'Mortality Table'!$A$3:$C$128,2+H$2,FALSE))</f>
        <v>0</v>
      </c>
      <c r="H336">
        <f>IF(C336&gt;=$L$2,0,VLOOKUP($E336,'Mortality Table'!$A$3:$C$128,2+I$2,FALSE))</f>
        <v>0</v>
      </c>
      <c r="I336" s="17">
        <f>G336*Assumptions!$B$1</f>
        <v>0</v>
      </c>
      <c r="J336" s="17">
        <f>H336*Assumptions!$B$1</f>
        <v>0</v>
      </c>
      <c r="K336">
        <f t="shared" si="85"/>
        <v>0</v>
      </c>
      <c r="L336">
        <f t="shared" si="90"/>
        <v>0</v>
      </c>
      <c r="M336">
        <f>HLOOKUP(C336,Assumptions!$A$6:$J$7,2,TRUE)</f>
        <v>2.6499999999999999E-2</v>
      </c>
      <c r="N336" s="23">
        <f t="shared" si="80"/>
        <v>0</v>
      </c>
      <c r="O336" s="23">
        <f t="shared" si="86"/>
        <v>0</v>
      </c>
      <c r="P336">
        <f t="shared" si="91"/>
        <v>0</v>
      </c>
      <c r="Q336" s="23">
        <f t="shared" si="87"/>
        <v>0</v>
      </c>
      <c r="R336">
        <f>Q335*Assumptions!$B$11/$E$2*N336</f>
        <v>0</v>
      </c>
      <c r="S336">
        <f>Q335*Assumptions!$B$13/$E$2*N336</f>
        <v>0</v>
      </c>
      <c r="T336">
        <f>L336*Assumptions!$B$15</f>
        <v>0</v>
      </c>
      <c r="U336">
        <f>S336*Assumptions!$B$17</f>
        <v>0</v>
      </c>
      <c r="V336">
        <f>HLOOKUP(B336,Assumptions!$A$26:$D$27,2,TRUE)</f>
        <v>0</v>
      </c>
      <c r="W336">
        <f t="shared" si="92"/>
        <v>0</v>
      </c>
      <c r="X336">
        <f t="shared" si="93"/>
        <v>0.6666666666666643</v>
      </c>
      <c r="Y336">
        <f>IF(B336&gt;$M$2,0,IF(X337=0,0,(1-X337)*Assumptions!$B$11/$E$2*(1-Assumptions!$B$30)))</f>
        <v>0</v>
      </c>
      <c r="Z336">
        <f>(R336-S336)*(1-Assumptions!$B$30)-U336+Y335*Q335</f>
        <v>0</v>
      </c>
      <c r="AA336">
        <f>AA335*(1+Assumptions!$B$36)^(1/12)</f>
        <v>1.3092940872429717</v>
      </c>
      <c r="AB336" s="20">
        <f>IF(B336&gt;$M$2,0,AA335*Assumptions!$B$32/12*Q335+Z336*Assumptions!$B$34/12)</f>
        <v>0</v>
      </c>
      <c r="AC336" s="21">
        <f>1/(1+HLOOKUP(YEAR(A336),Assumptions!$A$41:$AL$43,3,TRUE))^(1/12)</f>
        <v>0.99770170546794923</v>
      </c>
      <c r="AD336">
        <f t="shared" si="88"/>
        <v>0</v>
      </c>
      <c r="AE336">
        <f t="shared" si="94"/>
        <v>0</v>
      </c>
    </row>
    <row r="337" spans="1:31" x14ac:dyDescent="0.2">
      <c r="A337" s="2">
        <f t="shared" si="95"/>
        <v>53021</v>
      </c>
      <c r="B337">
        <f t="shared" si="89"/>
        <v>406</v>
      </c>
      <c r="C337">
        <f t="shared" si="81"/>
        <v>33.75</v>
      </c>
      <c r="D337">
        <f t="shared" si="82"/>
        <v>0</v>
      </c>
      <c r="E337">
        <f t="shared" si="83"/>
        <v>88</v>
      </c>
      <c r="F337">
        <f t="shared" si="84"/>
        <v>80</v>
      </c>
      <c r="G337">
        <f>IF(C337&gt;=$L$2,0,VLOOKUP($E337,'Mortality Table'!$A$3:$C$128,2+H$2,FALSE))</f>
        <v>0</v>
      </c>
      <c r="H337">
        <f>IF(C337&gt;=$L$2,0,VLOOKUP($E337,'Mortality Table'!$A$3:$C$128,2+I$2,FALSE))</f>
        <v>0</v>
      </c>
      <c r="I337" s="17">
        <f>G337*Assumptions!$B$1</f>
        <v>0</v>
      </c>
      <c r="J337" s="17">
        <f>H337*Assumptions!$B$1</f>
        <v>0</v>
      </c>
      <c r="K337">
        <f t="shared" si="85"/>
        <v>0</v>
      </c>
      <c r="L337">
        <f t="shared" si="90"/>
        <v>0</v>
      </c>
      <c r="M337">
        <f>HLOOKUP(C337,Assumptions!$A$6:$J$7,2,TRUE)</f>
        <v>2.6499999999999999E-2</v>
      </c>
      <c r="N337" s="23">
        <f t="shared" si="80"/>
        <v>0</v>
      </c>
      <c r="O337" s="23">
        <f t="shared" si="86"/>
        <v>0</v>
      </c>
      <c r="P337">
        <f t="shared" si="91"/>
        <v>0</v>
      </c>
      <c r="Q337" s="23">
        <f t="shared" si="87"/>
        <v>0</v>
      </c>
      <c r="R337">
        <f>Q336*Assumptions!$B$11/$E$2*N337</f>
        <v>0</v>
      </c>
      <c r="S337">
        <f>Q336*Assumptions!$B$13/$E$2*N337</f>
        <v>0</v>
      </c>
      <c r="T337">
        <f>L337*Assumptions!$B$15</f>
        <v>0</v>
      </c>
      <c r="U337">
        <f>S337*Assumptions!$B$17</f>
        <v>0</v>
      </c>
      <c r="V337">
        <f>HLOOKUP(B337,Assumptions!$A$26:$D$27,2,TRUE)</f>
        <v>0</v>
      </c>
      <c r="W337">
        <f t="shared" si="92"/>
        <v>0</v>
      </c>
      <c r="X337">
        <f t="shared" si="93"/>
        <v>0.75</v>
      </c>
      <c r="Y337">
        <f>IF(B337&gt;$M$2,0,IF(X338=0,0,(1-X338)*Assumptions!$B$11/$E$2*(1-Assumptions!$B$30)))</f>
        <v>0</v>
      </c>
      <c r="Z337">
        <f>(R337-S337)*(1-Assumptions!$B$30)-U337+Y336*Q336</f>
        <v>0</v>
      </c>
      <c r="AA337">
        <f>AA336*(1+Assumptions!$B$36)^(1/12)</f>
        <v>1.3103801965912278</v>
      </c>
      <c r="AB337" s="20">
        <f>IF(B337&gt;$M$2,0,AA336*Assumptions!$B$32/12*Q336+Z337*Assumptions!$B$34/12)</f>
        <v>0</v>
      </c>
      <c r="AC337" s="21">
        <f>1/(1+HLOOKUP(YEAR(A337),Assumptions!$A$41:$AL$43,3,TRUE))^(1/12)</f>
        <v>0.99770170546794923</v>
      </c>
      <c r="AD337">
        <f t="shared" si="88"/>
        <v>0</v>
      </c>
      <c r="AE337">
        <f t="shared" si="94"/>
        <v>0</v>
      </c>
    </row>
    <row r="338" spans="1:31" x14ac:dyDescent="0.2">
      <c r="A338" s="2">
        <f t="shared" si="95"/>
        <v>53052</v>
      </c>
      <c r="B338">
        <f t="shared" si="89"/>
        <v>407</v>
      </c>
      <c r="C338">
        <f t="shared" si="81"/>
        <v>33.833333333333336</v>
      </c>
      <c r="D338">
        <f t="shared" si="82"/>
        <v>0</v>
      </c>
      <c r="E338">
        <f t="shared" si="83"/>
        <v>88</v>
      </c>
      <c r="F338">
        <f t="shared" si="84"/>
        <v>80</v>
      </c>
      <c r="G338">
        <f>IF(C338&gt;=$L$2,0,VLOOKUP($E338,'Mortality Table'!$A$3:$C$128,2+H$2,FALSE))</f>
        <v>0</v>
      </c>
      <c r="H338">
        <f>IF(C338&gt;=$L$2,0,VLOOKUP($E338,'Mortality Table'!$A$3:$C$128,2+I$2,FALSE))</f>
        <v>0</v>
      </c>
      <c r="I338" s="17">
        <f>G338*Assumptions!$B$1</f>
        <v>0</v>
      </c>
      <c r="J338" s="17">
        <f>H338*Assumptions!$B$1</f>
        <v>0</v>
      </c>
      <c r="K338">
        <f t="shared" si="85"/>
        <v>0</v>
      </c>
      <c r="L338">
        <f t="shared" si="90"/>
        <v>0</v>
      </c>
      <c r="M338">
        <f>HLOOKUP(C338,Assumptions!$A$6:$J$7,2,TRUE)</f>
        <v>2.6499999999999999E-2</v>
      </c>
      <c r="N338" s="23">
        <f t="shared" si="80"/>
        <v>0</v>
      </c>
      <c r="O338" s="23">
        <f t="shared" si="86"/>
        <v>0</v>
      </c>
      <c r="P338">
        <f t="shared" si="91"/>
        <v>0</v>
      </c>
      <c r="Q338" s="23">
        <f t="shared" si="87"/>
        <v>0</v>
      </c>
      <c r="R338">
        <f>Q337*Assumptions!$B$11/$E$2*N338</f>
        <v>0</v>
      </c>
      <c r="S338">
        <f>Q337*Assumptions!$B$13/$E$2*N338</f>
        <v>0</v>
      </c>
      <c r="T338">
        <f>L338*Assumptions!$B$15</f>
        <v>0</v>
      </c>
      <c r="U338">
        <f>S338*Assumptions!$B$17</f>
        <v>0</v>
      </c>
      <c r="V338">
        <f>HLOOKUP(B338,Assumptions!$A$26:$D$27,2,TRUE)</f>
        <v>0</v>
      </c>
      <c r="W338">
        <f t="shared" si="92"/>
        <v>0</v>
      </c>
      <c r="X338">
        <f t="shared" si="93"/>
        <v>0.8333333333333357</v>
      </c>
      <c r="Y338">
        <f>IF(B338&gt;$M$2,0,IF(X339=0,0,(1-X339)*Assumptions!$B$11/$E$2*(1-Assumptions!$B$30)))</f>
        <v>0</v>
      </c>
      <c r="Z338">
        <f>(R338-S338)*(1-Assumptions!$B$30)-U338+Y337*Q337</f>
        <v>0</v>
      </c>
      <c r="AA338">
        <f>AA337*(1+Assumptions!$B$36)^(1/12)</f>
        <v>1.3114672069085846</v>
      </c>
      <c r="AB338" s="20">
        <f>IF(B338&gt;$M$2,0,AA337*Assumptions!$B$32/12*Q337+Z338*Assumptions!$B$34/12)</f>
        <v>0</v>
      </c>
      <c r="AC338" s="21">
        <f>1/(1+HLOOKUP(YEAR(A338),Assumptions!$A$41:$AL$43,3,TRUE))^(1/12)</f>
        <v>0.99770170546794923</v>
      </c>
      <c r="AD338">
        <f t="shared" si="88"/>
        <v>0</v>
      </c>
      <c r="AE338">
        <f t="shared" si="94"/>
        <v>0</v>
      </c>
    </row>
    <row r="339" spans="1:31" x14ac:dyDescent="0.2">
      <c r="A339" s="2">
        <f t="shared" si="95"/>
        <v>53082</v>
      </c>
      <c r="B339">
        <f t="shared" si="89"/>
        <v>408</v>
      </c>
      <c r="C339">
        <f t="shared" si="81"/>
        <v>33.916666666666664</v>
      </c>
      <c r="D339">
        <f t="shared" si="82"/>
        <v>0</v>
      </c>
      <c r="E339">
        <f t="shared" si="83"/>
        <v>88</v>
      </c>
      <c r="F339">
        <f t="shared" si="84"/>
        <v>80</v>
      </c>
      <c r="G339">
        <f>IF(C339&gt;=$L$2,0,VLOOKUP($E339,'Mortality Table'!$A$3:$C$128,2+H$2,FALSE))</f>
        <v>0</v>
      </c>
      <c r="H339">
        <f>IF(C339&gt;=$L$2,0,VLOOKUP($E339,'Mortality Table'!$A$3:$C$128,2+I$2,FALSE))</f>
        <v>0</v>
      </c>
      <c r="I339" s="17">
        <f>G339*Assumptions!$B$1</f>
        <v>0</v>
      </c>
      <c r="J339" s="17">
        <f>H339*Assumptions!$B$1</f>
        <v>0</v>
      </c>
      <c r="K339">
        <f t="shared" si="85"/>
        <v>0</v>
      </c>
      <c r="L339">
        <f t="shared" si="90"/>
        <v>0</v>
      </c>
      <c r="M339">
        <f>HLOOKUP(C339,Assumptions!$A$6:$J$7,2,TRUE)</f>
        <v>2.6499999999999999E-2</v>
      </c>
      <c r="N339" s="23">
        <f t="shared" si="80"/>
        <v>0</v>
      </c>
      <c r="O339" s="23">
        <f t="shared" si="86"/>
        <v>0</v>
      </c>
      <c r="P339">
        <f t="shared" si="91"/>
        <v>0</v>
      </c>
      <c r="Q339" s="23">
        <f t="shared" si="87"/>
        <v>0</v>
      </c>
      <c r="R339">
        <f>Q338*Assumptions!$B$11/$E$2*N339</f>
        <v>0</v>
      </c>
      <c r="S339">
        <f>Q338*Assumptions!$B$13/$E$2*N339</f>
        <v>0</v>
      </c>
      <c r="T339">
        <f>L339*Assumptions!$B$15</f>
        <v>0</v>
      </c>
      <c r="U339">
        <f>S339*Assumptions!$B$17</f>
        <v>0</v>
      </c>
      <c r="V339">
        <f>HLOOKUP(B339,Assumptions!$A$26:$D$27,2,TRUE)</f>
        <v>0</v>
      </c>
      <c r="W339">
        <f t="shared" si="92"/>
        <v>0</v>
      </c>
      <c r="X339">
        <f t="shared" si="93"/>
        <v>0.9166666666666643</v>
      </c>
      <c r="Y339">
        <f>IF(B339&gt;$M$2,0,IF(X340=0,0,(1-X340)*Assumptions!$B$11/$E$2*(1-Assumptions!$B$30)))</f>
        <v>0</v>
      </c>
      <c r="Z339">
        <f>(R339-S339)*(1-Assumptions!$B$30)-U339+Y338*Q338</f>
        <v>0</v>
      </c>
      <c r="AA339">
        <f>AA338*(1+Assumptions!$B$36)^(1/12)</f>
        <v>1.3125551189424305</v>
      </c>
      <c r="AB339" s="20">
        <f>IF(B339&gt;$M$2,0,AA338*Assumptions!$B$32/12*Q338+Z339*Assumptions!$B$34/12)</f>
        <v>0</v>
      </c>
      <c r="AC339" s="21">
        <f>1/(1+HLOOKUP(YEAR(A339),Assumptions!$A$41:$AL$43,3,TRUE))^(1/12)</f>
        <v>0.99770170546794923</v>
      </c>
      <c r="AD339">
        <f t="shared" si="88"/>
        <v>0</v>
      </c>
      <c r="AE339">
        <f t="shared" si="94"/>
        <v>0</v>
      </c>
    </row>
    <row r="340" spans="1:31" x14ac:dyDescent="0.2">
      <c r="A340" s="2">
        <f t="shared" si="95"/>
        <v>53113</v>
      </c>
      <c r="B340">
        <f t="shared" si="89"/>
        <v>409</v>
      </c>
      <c r="C340">
        <f t="shared" si="81"/>
        <v>34</v>
      </c>
      <c r="D340">
        <f t="shared" si="82"/>
        <v>1</v>
      </c>
      <c r="E340">
        <f t="shared" si="83"/>
        <v>89</v>
      </c>
      <c r="F340">
        <f t="shared" si="84"/>
        <v>81</v>
      </c>
      <c r="G340">
        <f>IF(C340&gt;=$L$2,0,VLOOKUP($E340,'Mortality Table'!$A$3:$C$128,2+H$2,FALSE))</f>
        <v>0</v>
      </c>
      <c r="H340">
        <f>IF(C340&gt;=$L$2,0,VLOOKUP($E340,'Mortality Table'!$A$3:$C$128,2+I$2,FALSE))</f>
        <v>0</v>
      </c>
      <c r="I340" s="17">
        <f>G340*Assumptions!$B$1</f>
        <v>0</v>
      </c>
      <c r="J340" s="17">
        <f>H340*Assumptions!$B$1</f>
        <v>0</v>
      </c>
      <c r="K340">
        <f t="shared" si="85"/>
        <v>0</v>
      </c>
      <c r="L340">
        <f t="shared" si="90"/>
        <v>0</v>
      </c>
      <c r="M340">
        <f>HLOOKUP(C340,Assumptions!$A$6:$J$7,2,TRUE)</f>
        <v>2.6499999999999999E-2</v>
      </c>
      <c r="N340" s="23">
        <f t="shared" si="80"/>
        <v>0</v>
      </c>
      <c r="O340" s="23">
        <f t="shared" si="86"/>
        <v>0</v>
      </c>
      <c r="P340">
        <f t="shared" si="91"/>
        <v>0</v>
      </c>
      <c r="Q340" s="23">
        <f t="shared" si="87"/>
        <v>0</v>
      </c>
      <c r="R340">
        <f>Q339*Assumptions!$B$11/$E$2*N340</f>
        <v>0</v>
      </c>
      <c r="S340">
        <f>Q339*Assumptions!$B$13/$E$2*N340</f>
        <v>0</v>
      </c>
      <c r="T340">
        <f>L340*Assumptions!$B$15</f>
        <v>0</v>
      </c>
      <c r="U340">
        <f>S340*Assumptions!$B$17</f>
        <v>0</v>
      </c>
      <c r="V340">
        <f>HLOOKUP(B340,Assumptions!$A$26:$D$27,2,TRUE)</f>
        <v>0</v>
      </c>
      <c r="W340">
        <f t="shared" si="92"/>
        <v>0</v>
      </c>
      <c r="X340">
        <f t="shared" si="93"/>
        <v>0</v>
      </c>
      <c r="Y340">
        <f>IF(B340&gt;$M$2,0,IF(X341=0,0,(1-X341)*Assumptions!$B$11/$E$2*(1-Assumptions!$B$30)))</f>
        <v>0</v>
      </c>
      <c r="Z340">
        <f>(R340-S340)*(1-Assumptions!$B$30)-U340+Y339*Q339</f>
        <v>0</v>
      </c>
      <c r="AA340">
        <f>AA339*(1+Assumptions!$B$36)^(1/12)</f>
        <v>1.3136439334407735</v>
      </c>
      <c r="AB340" s="20">
        <f>IF(B340&gt;$M$2,0,AA339*Assumptions!$B$32/12*Q339+Z340*Assumptions!$B$34/12)</f>
        <v>0</v>
      </c>
      <c r="AC340" s="21">
        <f>1/(1+HLOOKUP(YEAR(A340),Assumptions!$A$41:$AL$43,3,TRUE))^(1/12)</f>
        <v>0.99770170546794923</v>
      </c>
      <c r="AD340">
        <f t="shared" si="88"/>
        <v>0</v>
      </c>
      <c r="AE340">
        <f t="shared" si="94"/>
        <v>0</v>
      </c>
    </row>
    <row r="341" spans="1:31" x14ac:dyDescent="0.2">
      <c r="A341" s="2">
        <f t="shared" si="95"/>
        <v>53143</v>
      </c>
      <c r="B341">
        <f t="shared" si="89"/>
        <v>410</v>
      </c>
      <c r="C341">
        <f t="shared" si="81"/>
        <v>34.083333333333336</v>
      </c>
      <c r="D341">
        <f t="shared" si="82"/>
        <v>0</v>
      </c>
      <c r="E341">
        <f t="shared" si="83"/>
        <v>89</v>
      </c>
      <c r="F341">
        <f t="shared" si="84"/>
        <v>81</v>
      </c>
      <c r="G341">
        <f>IF(C341&gt;=$L$2,0,VLOOKUP($E341,'Mortality Table'!$A$3:$C$128,2+H$2,FALSE))</f>
        <v>0</v>
      </c>
      <c r="H341">
        <f>IF(C341&gt;=$L$2,0,VLOOKUP($E341,'Mortality Table'!$A$3:$C$128,2+I$2,FALSE))</f>
        <v>0</v>
      </c>
      <c r="I341" s="17">
        <f>G341*Assumptions!$B$1</f>
        <v>0</v>
      </c>
      <c r="J341" s="17">
        <f>H341*Assumptions!$B$1</f>
        <v>0</v>
      </c>
      <c r="K341">
        <f t="shared" si="85"/>
        <v>0</v>
      </c>
      <c r="L341">
        <f t="shared" si="90"/>
        <v>0</v>
      </c>
      <c r="M341">
        <f>HLOOKUP(C341,Assumptions!$A$6:$J$7,2,TRUE)</f>
        <v>2.6499999999999999E-2</v>
      </c>
      <c r="N341" s="23">
        <f t="shared" si="80"/>
        <v>0</v>
      </c>
      <c r="O341" s="23">
        <f t="shared" si="86"/>
        <v>0</v>
      </c>
      <c r="P341">
        <f t="shared" si="91"/>
        <v>0</v>
      </c>
      <c r="Q341" s="23">
        <f t="shared" si="87"/>
        <v>0</v>
      </c>
      <c r="R341">
        <f>Q340*Assumptions!$B$11/$E$2*N341</f>
        <v>0</v>
      </c>
      <c r="S341">
        <f>Q340*Assumptions!$B$13/$E$2*N341</f>
        <v>0</v>
      </c>
      <c r="T341">
        <f>L341*Assumptions!$B$15</f>
        <v>0</v>
      </c>
      <c r="U341">
        <f>S341*Assumptions!$B$17</f>
        <v>0</v>
      </c>
      <c r="V341">
        <f>HLOOKUP(B341,Assumptions!$A$26:$D$27,2,TRUE)</f>
        <v>0</v>
      </c>
      <c r="W341">
        <f t="shared" si="92"/>
        <v>0</v>
      </c>
      <c r="X341">
        <f t="shared" si="93"/>
        <v>8.3333333333335702E-2</v>
      </c>
      <c r="Y341">
        <f>IF(B341&gt;$M$2,0,IF(X342=0,0,(1-X342)*Assumptions!$B$11/$E$2*(1-Assumptions!$B$30)))</f>
        <v>0</v>
      </c>
      <c r="Z341">
        <f>(R341-S341)*(1-Assumptions!$B$30)-U341+Y340*Q340</f>
        <v>0</v>
      </c>
      <c r="AA341">
        <f>AA340*(1+Assumptions!$B$36)^(1/12)</f>
        <v>1.3147336511522423</v>
      </c>
      <c r="AB341" s="20">
        <f>IF(B341&gt;$M$2,0,AA340*Assumptions!$B$32/12*Q340+Z341*Assumptions!$B$34/12)</f>
        <v>0</v>
      </c>
      <c r="AC341" s="21">
        <f>1/(1+HLOOKUP(YEAR(A341),Assumptions!$A$41:$AL$43,3,TRUE))^(1/12)</f>
        <v>0.99770170546794923</v>
      </c>
      <c r="AD341">
        <f t="shared" si="88"/>
        <v>0</v>
      </c>
      <c r="AE341">
        <f t="shared" si="94"/>
        <v>0</v>
      </c>
    </row>
    <row r="342" spans="1:31" x14ac:dyDescent="0.2">
      <c r="A342" s="2">
        <f t="shared" si="95"/>
        <v>53174</v>
      </c>
      <c r="B342">
        <f t="shared" si="89"/>
        <v>411</v>
      </c>
      <c r="C342">
        <f t="shared" si="81"/>
        <v>34.166666666666664</v>
      </c>
      <c r="D342">
        <f t="shared" si="82"/>
        <v>0</v>
      </c>
      <c r="E342">
        <f t="shared" si="83"/>
        <v>89</v>
      </c>
      <c r="F342">
        <f t="shared" si="84"/>
        <v>81</v>
      </c>
      <c r="G342">
        <f>IF(C342&gt;=$L$2,0,VLOOKUP($E342,'Mortality Table'!$A$3:$C$128,2+H$2,FALSE))</f>
        <v>0</v>
      </c>
      <c r="H342">
        <f>IF(C342&gt;=$L$2,0,VLOOKUP($E342,'Mortality Table'!$A$3:$C$128,2+I$2,FALSE))</f>
        <v>0</v>
      </c>
      <c r="I342" s="17">
        <f>G342*Assumptions!$B$1</f>
        <v>0</v>
      </c>
      <c r="J342" s="17">
        <f>H342*Assumptions!$B$1</f>
        <v>0</v>
      </c>
      <c r="K342">
        <f t="shared" si="85"/>
        <v>0</v>
      </c>
      <c r="L342">
        <f t="shared" si="90"/>
        <v>0</v>
      </c>
      <c r="M342">
        <f>HLOOKUP(C342,Assumptions!$A$6:$J$7,2,TRUE)</f>
        <v>2.6499999999999999E-2</v>
      </c>
      <c r="N342" s="23">
        <f t="shared" si="80"/>
        <v>0</v>
      </c>
      <c r="O342" s="23">
        <f t="shared" si="86"/>
        <v>0</v>
      </c>
      <c r="P342">
        <f t="shared" si="91"/>
        <v>0</v>
      </c>
      <c r="Q342" s="23">
        <f t="shared" si="87"/>
        <v>0</v>
      </c>
      <c r="R342">
        <f>Q341*Assumptions!$B$11/$E$2*N342</f>
        <v>0</v>
      </c>
      <c r="S342">
        <f>Q341*Assumptions!$B$13/$E$2*N342</f>
        <v>0</v>
      </c>
      <c r="T342">
        <f>L342*Assumptions!$B$15</f>
        <v>0</v>
      </c>
      <c r="U342">
        <f>S342*Assumptions!$B$17</f>
        <v>0</v>
      </c>
      <c r="V342">
        <f>HLOOKUP(B342,Assumptions!$A$26:$D$27,2,TRUE)</f>
        <v>0</v>
      </c>
      <c r="W342">
        <f t="shared" si="92"/>
        <v>0</v>
      </c>
      <c r="X342">
        <f t="shared" si="93"/>
        <v>0.1666666666666643</v>
      </c>
      <c r="Y342">
        <f>IF(B342&gt;$M$2,0,IF(X343=0,0,(1-X343)*Assumptions!$B$11/$E$2*(1-Assumptions!$B$30)))</f>
        <v>0</v>
      </c>
      <c r="Z342">
        <f>(R342-S342)*(1-Assumptions!$B$30)-U342+Y341*Q341</f>
        <v>0</v>
      </c>
      <c r="AA342">
        <f>AA341*(1+Assumptions!$B$36)^(1/12)</f>
        <v>1.3158242728260865</v>
      </c>
      <c r="AB342" s="20">
        <f>IF(B342&gt;$M$2,0,AA341*Assumptions!$B$32/12*Q341+Z342*Assumptions!$B$34/12)</f>
        <v>0</v>
      </c>
      <c r="AC342" s="21">
        <f>1/(1+HLOOKUP(YEAR(A342),Assumptions!$A$41:$AL$43,3,TRUE))^(1/12)</f>
        <v>0.99770170546794923</v>
      </c>
      <c r="AD342">
        <f t="shared" si="88"/>
        <v>0</v>
      </c>
      <c r="AE342">
        <f t="shared" si="94"/>
        <v>0</v>
      </c>
    </row>
    <row r="343" spans="1:31" x14ac:dyDescent="0.2">
      <c r="A343" s="2">
        <f t="shared" si="95"/>
        <v>53205</v>
      </c>
      <c r="B343">
        <f t="shared" si="89"/>
        <v>412</v>
      </c>
      <c r="C343">
        <f t="shared" si="81"/>
        <v>34.25</v>
      </c>
      <c r="D343">
        <f t="shared" si="82"/>
        <v>0</v>
      </c>
      <c r="E343">
        <f t="shared" si="83"/>
        <v>89</v>
      </c>
      <c r="F343">
        <f t="shared" si="84"/>
        <v>81</v>
      </c>
      <c r="G343">
        <f>IF(C343&gt;=$L$2,0,VLOOKUP($E343,'Mortality Table'!$A$3:$C$128,2+H$2,FALSE))</f>
        <v>0</v>
      </c>
      <c r="H343">
        <f>IF(C343&gt;=$L$2,0,VLOOKUP($E343,'Mortality Table'!$A$3:$C$128,2+I$2,FALSE))</f>
        <v>0</v>
      </c>
      <c r="I343" s="17">
        <f>G343*Assumptions!$B$1</f>
        <v>0</v>
      </c>
      <c r="J343" s="17">
        <f>H343*Assumptions!$B$1</f>
        <v>0</v>
      </c>
      <c r="K343">
        <f t="shared" si="85"/>
        <v>0</v>
      </c>
      <c r="L343">
        <f t="shared" si="90"/>
        <v>0</v>
      </c>
      <c r="M343">
        <f>HLOOKUP(C343,Assumptions!$A$6:$J$7,2,TRUE)</f>
        <v>2.6499999999999999E-2</v>
      </c>
      <c r="N343" s="23">
        <f t="shared" si="80"/>
        <v>0</v>
      </c>
      <c r="O343" s="23">
        <f t="shared" si="86"/>
        <v>0</v>
      </c>
      <c r="P343">
        <f t="shared" si="91"/>
        <v>0</v>
      </c>
      <c r="Q343" s="23">
        <f t="shared" si="87"/>
        <v>0</v>
      </c>
      <c r="R343">
        <f>Q342*Assumptions!$B$11/$E$2*N343</f>
        <v>0</v>
      </c>
      <c r="S343">
        <f>Q342*Assumptions!$B$13/$E$2*N343</f>
        <v>0</v>
      </c>
      <c r="T343">
        <f>L343*Assumptions!$B$15</f>
        <v>0</v>
      </c>
      <c r="U343">
        <f>S343*Assumptions!$B$17</f>
        <v>0</v>
      </c>
      <c r="V343">
        <f>HLOOKUP(B343,Assumptions!$A$26:$D$27,2,TRUE)</f>
        <v>0</v>
      </c>
      <c r="W343">
        <f t="shared" si="92"/>
        <v>0</v>
      </c>
      <c r="X343">
        <f t="shared" si="93"/>
        <v>0.25</v>
      </c>
      <c r="Y343">
        <f>IF(B343&gt;$M$2,0,IF(X344=0,0,(1-X344)*Assumptions!$B$11/$E$2*(1-Assumptions!$B$30)))</f>
        <v>0</v>
      </c>
      <c r="Z343">
        <f>(R343-S343)*(1-Assumptions!$B$30)-U343+Y342*Q342</f>
        <v>0</v>
      </c>
      <c r="AA343">
        <f>AA342*(1+Assumptions!$B$36)^(1/12)</f>
        <v>1.3169157992121776</v>
      </c>
      <c r="AB343" s="20">
        <f>IF(B343&gt;$M$2,0,AA342*Assumptions!$B$32/12*Q342+Z343*Assumptions!$B$34/12)</f>
        <v>0</v>
      </c>
      <c r="AC343" s="21">
        <f>1/(1+HLOOKUP(YEAR(A343),Assumptions!$A$41:$AL$43,3,TRUE))^(1/12)</f>
        <v>0.99770170546794923</v>
      </c>
      <c r="AD343">
        <f t="shared" si="88"/>
        <v>0</v>
      </c>
      <c r="AE343">
        <f t="shared" si="94"/>
        <v>0</v>
      </c>
    </row>
    <row r="344" spans="1:31" x14ac:dyDescent="0.2">
      <c r="A344" s="2">
        <f t="shared" si="95"/>
        <v>53235</v>
      </c>
      <c r="B344">
        <f t="shared" si="89"/>
        <v>413</v>
      </c>
      <c r="C344">
        <f t="shared" si="81"/>
        <v>34.333333333333336</v>
      </c>
      <c r="D344">
        <f t="shared" si="82"/>
        <v>0</v>
      </c>
      <c r="E344">
        <f t="shared" si="83"/>
        <v>89</v>
      </c>
      <c r="F344">
        <f t="shared" si="84"/>
        <v>81</v>
      </c>
      <c r="G344">
        <f>IF(C344&gt;=$L$2,0,VLOOKUP($E344,'Mortality Table'!$A$3:$C$128,2+H$2,FALSE))</f>
        <v>0</v>
      </c>
      <c r="H344">
        <f>IF(C344&gt;=$L$2,0,VLOOKUP($E344,'Mortality Table'!$A$3:$C$128,2+I$2,FALSE))</f>
        <v>0</v>
      </c>
      <c r="I344" s="17">
        <f>G344*Assumptions!$B$1</f>
        <v>0</v>
      </c>
      <c r="J344" s="17">
        <f>H344*Assumptions!$B$1</f>
        <v>0</v>
      </c>
      <c r="K344">
        <f t="shared" si="85"/>
        <v>0</v>
      </c>
      <c r="L344">
        <f t="shared" si="90"/>
        <v>0</v>
      </c>
      <c r="M344">
        <f>HLOOKUP(C344,Assumptions!$A$6:$J$7,2,TRUE)</f>
        <v>2.6499999999999999E-2</v>
      </c>
      <c r="N344" s="23">
        <f t="shared" si="80"/>
        <v>0</v>
      </c>
      <c r="O344" s="23">
        <f t="shared" si="86"/>
        <v>0</v>
      </c>
      <c r="P344">
        <f t="shared" si="91"/>
        <v>0</v>
      </c>
      <c r="Q344" s="23">
        <f t="shared" si="87"/>
        <v>0</v>
      </c>
      <c r="R344">
        <f>Q343*Assumptions!$B$11/$E$2*N344</f>
        <v>0</v>
      </c>
      <c r="S344">
        <f>Q343*Assumptions!$B$13/$E$2*N344</f>
        <v>0</v>
      </c>
      <c r="T344">
        <f>L344*Assumptions!$B$15</f>
        <v>0</v>
      </c>
      <c r="U344">
        <f>S344*Assumptions!$B$17</f>
        <v>0</v>
      </c>
      <c r="V344">
        <f>HLOOKUP(B344,Assumptions!$A$26:$D$27,2,TRUE)</f>
        <v>0</v>
      </c>
      <c r="W344">
        <f t="shared" si="92"/>
        <v>0</v>
      </c>
      <c r="X344">
        <f t="shared" si="93"/>
        <v>0.3333333333333357</v>
      </c>
      <c r="Y344">
        <f>IF(B344&gt;$M$2,0,IF(X345=0,0,(1-X345)*Assumptions!$B$11/$E$2*(1-Assumptions!$B$30)))</f>
        <v>0</v>
      </c>
      <c r="Z344">
        <f>(R344-S344)*(1-Assumptions!$B$30)-U344+Y343*Q343</f>
        <v>0</v>
      </c>
      <c r="AA344">
        <f>AA343*(1+Assumptions!$B$36)^(1/12)</f>
        <v>1.3180082310610088</v>
      </c>
      <c r="AB344" s="20">
        <f>IF(B344&gt;$M$2,0,AA343*Assumptions!$B$32/12*Q343+Z344*Assumptions!$B$34/12)</f>
        <v>0</v>
      </c>
      <c r="AC344" s="21">
        <f>1/(1+HLOOKUP(YEAR(A344),Assumptions!$A$41:$AL$43,3,TRUE))^(1/12)</f>
        <v>0.99770170546794923</v>
      </c>
      <c r="AD344">
        <f t="shared" si="88"/>
        <v>0</v>
      </c>
      <c r="AE344">
        <f t="shared" si="94"/>
        <v>0</v>
      </c>
    </row>
    <row r="345" spans="1:31" x14ac:dyDescent="0.2">
      <c r="A345" s="2">
        <f t="shared" si="95"/>
        <v>53266</v>
      </c>
      <c r="B345">
        <f t="shared" si="89"/>
        <v>414</v>
      </c>
      <c r="C345">
        <f t="shared" si="81"/>
        <v>34.416666666666664</v>
      </c>
      <c r="D345">
        <f t="shared" si="82"/>
        <v>0</v>
      </c>
      <c r="E345">
        <f t="shared" si="83"/>
        <v>89</v>
      </c>
      <c r="F345">
        <f t="shared" si="84"/>
        <v>81</v>
      </c>
      <c r="G345">
        <f>IF(C345&gt;=$L$2,0,VLOOKUP($E345,'Mortality Table'!$A$3:$C$128,2+H$2,FALSE))</f>
        <v>0</v>
      </c>
      <c r="H345">
        <f>IF(C345&gt;=$L$2,0,VLOOKUP($E345,'Mortality Table'!$A$3:$C$128,2+I$2,FALSE))</f>
        <v>0</v>
      </c>
      <c r="I345" s="17">
        <f>G345*Assumptions!$B$1</f>
        <v>0</v>
      </c>
      <c r="J345" s="17">
        <f>H345*Assumptions!$B$1</f>
        <v>0</v>
      </c>
      <c r="K345">
        <f t="shared" si="85"/>
        <v>0</v>
      </c>
      <c r="L345">
        <f t="shared" si="90"/>
        <v>0</v>
      </c>
      <c r="M345">
        <f>HLOOKUP(C345,Assumptions!$A$6:$J$7,2,TRUE)</f>
        <v>2.6499999999999999E-2</v>
      </c>
      <c r="N345" s="23">
        <f t="shared" si="80"/>
        <v>0</v>
      </c>
      <c r="O345" s="23">
        <f t="shared" si="86"/>
        <v>0</v>
      </c>
      <c r="P345">
        <f t="shared" si="91"/>
        <v>0</v>
      </c>
      <c r="Q345" s="23">
        <f t="shared" si="87"/>
        <v>0</v>
      </c>
      <c r="R345">
        <f>Q344*Assumptions!$B$11/$E$2*N345</f>
        <v>0</v>
      </c>
      <c r="S345">
        <f>Q344*Assumptions!$B$13/$E$2*N345</f>
        <v>0</v>
      </c>
      <c r="T345">
        <f>L345*Assumptions!$B$15</f>
        <v>0</v>
      </c>
      <c r="U345">
        <f>S345*Assumptions!$B$17</f>
        <v>0</v>
      </c>
      <c r="V345">
        <f>HLOOKUP(B345,Assumptions!$A$26:$D$27,2,TRUE)</f>
        <v>0</v>
      </c>
      <c r="W345">
        <f t="shared" si="92"/>
        <v>0</v>
      </c>
      <c r="X345">
        <f t="shared" si="93"/>
        <v>0.4166666666666643</v>
      </c>
      <c r="Y345">
        <f>IF(B345&gt;$M$2,0,IF(X346=0,0,(1-X346)*Assumptions!$B$11/$E$2*(1-Assumptions!$B$30)))</f>
        <v>0</v>
      </c>
      <c r="Z345">
        <f>(R345-S345)*(1-Assumptions!$B$30)-U345+Y344*Q344</f>
        <v>0</v>
      </c>
      <c r="AA345">
        <f>AA344*(1+Assumptions!$B$36)^(1/12)</f>
        <v>1.3191015691236958</v>
      </c>
      <c r="AB345" s="20">
        <f>IF(B345&gt;$M$2,0,AA344*Assumptions!$B$32/12*Q344+Z345*Assumptions!$B$34/12)</f>
        <v>0</v>
      </c>
      <c r="AC345" s="21">
        <f>1/(1+HLOOKUP(YEAR(A345),Assumptions!$A$41:$AL$43,3,TRUE))^(1/12)</f>
        <v>0.99770170546794923</v>
      </c>
      <c r="AD345">
        <f t="shared" si="88"/>
        <v>0</v>
      </c>
      <c r="AE345">
        <f t="shared" si="94"/>
        <v>0</v>
      </c>
    </row>
    <row r="346" spans="1:31" x14ac:dyDescent="0.2">
      <c r="A346" s="2">
        <f t="shared" si="95"/>
        <v>53296</v>
      </c>
      <c r="B346">
        <f t="shared" si="89"/>
        <v>415</v>
      </c>
      <c r="C346">
        <f t="shared" si="81"/>
        <v>34.5</v>
      </c>
      <c r="D346">
        <f t="shared" si="82"/>
        <v>0</v>
      </c>
      <c r="E346">
        <f t="shared" si="83"/>
        <v>89</v>
      </c>
      <c r="F346">
        <f t="shared" si="84"/>
        <v>81</v>
      </c>
      <c r="G346">
        <f>IF(C346&gt;=$L$2,0,VLOOKUP($E346,'Mortality Table'!$A$3:$C$128,2+H$2,FALSE))</f>
        <v>0</v>
      </c>
      <c r="H346">
        <f>IF(C346&gt;=$L$2,0,VLOOKUP($E346,'Mortality Table'!$A$3:$C$128,2+I$2,FALSE))</f>
        <v>0</v>
      </c>
      <c r="I346" s="17">
        <f>G346*Assumptions!$B$1</f>
        <v>0</v>
      </c>
      <c r="J346" s="17">
        <f>H346*Assumptions!$B$1</f>
        <v>0</v>
      </c>
      <c r="K346">
        <f t="shared" si="85"/>
        <v>0</v>
      </c>
      <c r="L346">
        <f t="shared" si="90"/>
        <v>0</v>
      </c>
      <c r="M346">
        <f>HLOOKUP(C346,Assumptions!$A$6:$J$7,2,TRUE)</f>
        <v>2.6499999999999999E-2</v>
      </c>
      <c r="N346" s="23">
        <f t="shared" si="80"/>
        <v>0</v>
      </c>
      <c r="O346" s="23">
        <f t="shared" si="86"/>
        <v>0</v>
      </c>
      <c r="P346">
        <f t="shared" si="91"/>
        <v>0</v>
      </c>
      <c r="Q346" s="23">
        <f t="shared" si="87"/>
        <v>0</v>
      </c>
      <c r="R346">
        <f>Q345*Assumptions!$B$11/$E$2*N346</f>
        <v>0</v>
      </c>
      <c r="S346">
        <f>Q345*Assumptions!$B$13/$E$2*N346</f>
        <v>0</v>
      </c>
      <c r="T346">
        <f>L346*Assumptions!$B$15</f>
        <v>0</v>
      </c>
      <c r="U346">
        <f>S346*Assumptions!$B$17</f>
        <v>0</v>
      </c>
      <c r="V346">
        <f>HLOOKUP(B346,Assumptions!$A$26:$D$27,2,TRUE)</f>
        <v>0</v>
      </c>
      <c r="W346">
        <f t="shared" si="92"/>
        <v>0</v>
      </c>
      <c r="X346">
        <f t="shared" si="93"/>
        <v>0.5</v>
      </c>
      <c r="Y346">
        <f>IF(B346&gt;$M$2,0,IF(X347=0,0,(1-X347)*Assumptions!$B$11/$E$2*(1-Assumptions!$B$30)))</f>
        <v>0</v>
      </c>
      <c r="Z346">
        <f>(R346-S346)*(1-Assumptions!$B$30)-U346+Y345*Q345</f>
        <v>0</v>
      </c>
      <c r="AA346">
        <f>AA345*(1+Assumptions!$B$36)^(1/12)</f>
        <v>1.3201958141519778</v>
      </c>
      <c r="AB346" s="20">
        <f>IF(B346&gt;$M$2,0,AA345*Assumptions!$B$32/12*Q345+Z346*Assumptions!$B$34/12)</f>
        <v>0</v>
      </c>
      <c r="AC346" s="21">
        <f>1/(1+HLOOKUP(YEAR(A346),Assumptions!$A$41:$AL$43,3,TRUE))^(1/12)</f>
        <v>0.99770170546794923</v>
      </c>
      <c r="AD346">
        <f t="shared" si="88"/>
        <v>0</v>
      </c>
      <c r="AE346">
        <f t="shared" si="94"/>
        <v>0</v>
      </c>
    </row>
    <row r="347" spans="1:31" x14ac:dyDescent="0.2">
      <c r="A347" s="2">
        <f t="shared" si="95"/>
        <v>53327</v>
      </c>
      <c r="B347">
        <f t="shared" si="89"/>
        <v>416</v>
      </c>
      <c r="C347">
        <f t="shared" si="81"/>
        <v>34.583333333333336</v>
      </c>
      <c r="D347">
        <f t="shared" si="82"/>
        <v>0</v>
      </c>
      <c r="E347">
        <f t="shared" si="83"/>
        <v>89</v>
      </c>
      <c r="F347">
        <f t="shared" si="84"/>
        <v>81</v>
      </c>
      <c r="G347">
        <f>IF(C347&gt;=$L$2,0,VLOOKUP($E347,'Mortality Table'!$A$3:$C$128,2+H$2,FALSE))</f>
        <v>0</v>
      </c>
      <c r="H347">
        <f>IF(C347&gt;=$L$2,0,VLOOKUP($E347,'Mortality Table'!$A$3:$C$128,2+I$2,FALSE))</f>
        <v>0</v>
      </c>
      <c r="I347" s="17">
        <f>G347*Assumptions!$B$1</f>
        <v>0</v>
      </c>
      <c r="J347" s="17">
        <f>H347*Assumptions!$B$1</f>
        <v>0</v>
      </c>
      <c r="K347">
        <f t="shared" si="85"/>
        <v>0</v>
      </c>
      <c r="L347">
        <f t="shared" si="90"/>
        <v>0</v>
      </c>
      <c r="M347">
        <f>HLOOKUP(C347,Assumptions!$A$6:$J$7,2,TRUE)</f>
        <v>2.6499999999999999E-2</v>
      </c>
      <c r="N347" s="23">
        <f t="shared" si="80"/>
        <v>0</v>
      </c>
      <c r="O347" s="23">
        <f t="shared" si="86"/>
        <v>0</v>
      </c>
      <c r="P347">
        <f t="shared" si="91"/>
        <v>0</v>
      </c>
      <c r="Q347" s="23">
        <f t="shared" si="87"/>
        <v>0</v>
      </c>
      <c r="R347">
        <f>Q346*Assumptions!$B$11/$E$2*N347</f>
        <v>0</v>
      </c>
      <c r="S347">
        <f>Q346*Assumptions!$B$13/$E$2*N347</f>
        <v>0</v>
      </c>
      <c r="T347">
        <f>L347*Assumptions!$B$15</f>
        <v>0</v>
      </c>
      <c r="U347">
        <f>S347*Assumptions!$B$17</f>
        <v>0</v>
      </c>
      <c r="V347">
        <f>HLOOKUP(B347,Assumptions!$A$26:$D$27,2,TRUE)</f>
        <v>0</v>
      </c>
      <c r="W347">
        <f t="shared" si="92"/>
        <v>0</v>
      </c>
      <c r="X347">
        <f t="shared" si="93"/>
        <v>0.5833333333333357</v>
      </c>
      <c r="Y347">
        <f>IF(B347&gt;$M$2,0,IF(X348=0,0,(1-X348)*Assumptions!$B$11/$E$2*(1-Assumptions!$B$30)))</f>
        <v>0</v>
      </c>
      <c r="Z347">
        <f>(R347-S347)*(1-Assumptions!$B$30)-U347+Y346*Q346</f>
        <v>0</v>
      </c>
      <c r="AA347">
        <f>AA346*(1+Assumptions!$B$36)^(1/12)</f>
        <v>1.3212909668982171</v>
      </c>
      <c r="AB347" s="20">
        <f>IF(B347&gt;$M$2,0,AA346*Assumptions!$B$32/12*Q346+Z347*Assumptions!$B$34/12)</f>
        <v>0</v>
      </c>
      <c r="AC347" s="21">
        <f>1/(1+HLOOKUP(YEAR(A347),Assumptions!$A$41:$AL$43,3,TRUE))^(1/12)</f>
        <v>0.99770170546794923</v>
      </c>
      <c r="AD347">
        <f t="shared" si="88"/>
        <v>0</v>
      </c>
      <c r="AE347">
        <f t="shared" si="94"/>
        <v>0</v>
      </c>
    </row>
    <row r="348" spans="1:31" x14ac:dyDescent="0.2">
      <c r="A348" s="2">
        <f t="shared" si="95"/>
        <v>53358</v>
      </c>
      <c r="B348">
        <f t="shared" si="89"/>
        <v>417</v>
      </c>
      <c r="C348">
        <f t="shared" si="81"/>
        <v>34.666666666666664</v>
      </c>
      <c r="D348">
        <f t="shared" si="82"/>
        <v>0</v>
      </c>
      <c r="E348">
        <f t="shared" si="83"/>
        <v>89</v>
      </c>
      <c r="F348">
        <f t="shared" si="84"/>
        <v>81</v>
      </c>
      <c r="G348">
        <f>IF(C348&gt;=$L$2,0,VLOOKUP($E348,'Mortality Table'!$A$3:$C$128,2+H$2,FALSE))</f>
        <v>0</v>
      </c>
      <c r="H348">
        <f>IF(C348&gt;=$L$2,0,VLOOKUP($E348,'Mortality Table'!$A$3:$C$128,2+I$2,FALSE))</f>
        <v>0</v>
      </c>
      <c r="I348" s="17">
        <f>G348*Assumptions!$B$1</f>
        <v>0</v>
      </c>
      <c r="J348" s="17">
        <f>H348*Assumptions!$B$1</f>
        <v>0</v>
      </c>
      <c r="K348">
        <f t="shared" si="85"/>
        <v>0</v>
      </c>
      <c r="L348">
        <f t="shared" si="90"/>
        <v>0</v>
      </c>
      <c r="M348">
        <f>HLOOKUP(C348,Assumptions!$A$6:$J$7,2,TRUE)</f>
        <v>2.6499999999999999E-2</v>
      </c>
      <c r="N348" s="23">
        <f t="shared" si="80"/>
        <v>0</v>
      </c>
      <c r="O348" s="23">
        <f t="shared" si="86"/>
        <v>0</v>
      </c>
      <c r="P348">
        <f t="shared" si="91"/>
        <v>0</v>
      </c>
      <c r="Q348" s="23">
        <f t="shared" si="87"/>
        <v>0</v>
      </c>
      <c r="R348">
        <f>Q347*Assumptions!$B$11/$E$2*N348</f>
        <v>0</v>
      </c>
      <c r="S348">
        <f>Q347*Assumptions!$B$13/$E$2*N348</f>
        <v>0</v>
      </c>
      <c r="T348">
        <f>L348*Assumptions!$B$15</f>
        <v>0</v>
      </c>
      <c r="U348">
        <f>S348*Assumptions!$B$17</f>
        <v>0</v>
      </c>
      <c r="V348">
        <f>HLOOKUP(B348,Assumptions!$A$26:$D$27,2,TRUE)</f>
        <v>0</v>
      </c>
      <c r="W348">
        <f t="shared" si="92"/>
        <v>0</v>
      </c>
      <c r="X348">
        <f t="shared" si="93"/>
        <v>0.6666666666666643</v>
      </c>
      <c r="Y348">
        <f>IF(B348&gt;$M$2,0,IF(X349=0,0,(1-X349)*Assumptions!$B$11/$E$2*(1-Assumptions!$B$30)))</f>
        <v>0</v>
      </c>
      <c r="Z348">
        <f>(R348-S348)*(1-Assumptions!$B$30)-U348+Y347*Q347</f>
        <v>0</v>
      </c>
      <c r="AA348">
        <f>AA347*(1+Assumptions!$B$36)^(1/12)</f>
        <v>1.3223870281154004</v>
      </c>
      <c r="AB348" s="20">
        <f>IF(B348&gt;$M$2,0,AA347*Assumptions!$B$32/12*Q347+Z348*Assumptions!$B$34/12)</f>
        <v>0</v>
      </c>
      <c r="AC348" s="21">
        <f>1/(1+HLOOKUP(YEAR(A348),Assumptions!$A$41:$AL$43,3,TRUE))^(1/12)</f>
        <v>0.99769806606401623</v>
      </c>
      <c r="AD348">
        <f t="shared" si="88"/>
        <v>0</v>
      </c>
      <c r="AE348">
        <f t="shared" si="94"/>
        <v>0</v>
      </c>
    </row>
    <row r="349" spans="1:31" x14ac:dyDescent="0.2">
      <c r="A349" s="2">
        <f t="shared" si="95"/>
        <v>53386</v>
      </c>
      <c r="B349">
        <f t="shared" si="89"/>
        <v>418</v>
      </c>
      <c r="C349">
        <f t="shared" si="81"/>
        <v>34.75</v>
      </c>
      <c r="D349">
        <f t="shared" si="82"/>
        <v>0</v>
      </c>
      <c r="E349">
        <f t="shared" si="83"/>
        <v>89</v>
      </c>
      <c r="F349">
        <f t="shared" si="84"/>
        <v>81</v>
      </c>
      <c r="G349">
        <f>IF(C349&gt;=$L$2,0,VLOOKUP($E349,'Mortality Table'!$A$3:$C$128,2+H$2,FALSE))</f>
        <v>0</v>
      </c>
      <c r="H349">
        <f>IF(C349&gt;=$L$2,0,VLOOKUP($E349,'Mortality Table'!$A$3:$C$128,2+I$2,FALSE))</f>
        <v>0</v>
      </c>
      <c r="I349" s="17">
        <f>G349*Assumptions!$B$1</f>
        <v>0</v>
      </c>
      <c r="J349" s="17">
        <f>H349*Assumptions!$B$1</f>
        <v>0</v>
      </c>
      <c r="K349">
        <f t="shared" si="85"/>
        <v>0</v>
      </c>
      <c r="L349">
        <f t="shared" si="90"/>
        <v>0</v>
      </c>
      <c r="M349">
        <f>HLOOKUP(C349,Assumptions!$A$6:$J$7,2,TRUE)</f>
        <v>2.6499999999999999E-2</v>
      </c>
      <c r="N349" s="23">
        <f t="shared" si="80"/>
        <v>0</v>
      </c>
      <c r="O349" s="23">
        <f t="shared" si="86"/>
        <v>0</v>
      </c>
      <c r="P349">
        <f t="shared" si="91"/>
        <v>0</v>
      </c>
      <c r="Q349" s="23">
        <f t="shared" si="87"/>
        <v>0</v>
      </c>
      <c r="R349">
        <f>Q348*Assumptions!$B$11/$E$2*N349</f>
        <v>0</v>
      </c>
      <c r="S349">
        <f>Q348*Assumptions!$B$13/$E$2*N349</f>
        <v>0</v>
      </c>
      <c r="T349">
        <f>L349*Assumptions!$B$15</f>
        <v>0</v>
      </c>
      <c r="U349">
        <f>S349*Assumptions!$B$17</f>
        <v>0</v>
      </c>
      <c r="V349">
        <f>HLOOKUP(B349,Assumptions!$A$26:$D$27,2,TRUE)</f>
        <v>0</v>
      </c>
      <c r="W349">
        <f t="shared" si="92"/>
        <v>0</v>
      </c>
      <c r="X349">
        <f t="shared" si="93"/>
        <v>0.75</v>
      </c>
      <c r="Y349">
        <f>IF(B349&gt;$M$2,0,IF(X350=0,0,(1-X350)*Assumptions!$B$11/$E$2*(1-Assumptions!$B$30)))</f>
        <v>0</v>
      </c>
      <c r="Z349">
        <f>(R349-S349)*(1-Assumptions!$B$30)-U349+Y348*Q348</f>
        <v>0</v>
      </c>
      <c r="AA349">
        <f>AA348*(1+Assumptions!$B$36)^(1/12)</f>
        <v>1.3234839985571392</v>
      </c>
      <c r="AB349" s="20">
        <f>IF(B349&gt;$M$2,0,AA348*Assumptions!$B$32/12*Q348+Z349*Assumptions!$B$34/12)</f>
        <v>0</v>
      </c>
      <c r="AC349" s="21">
        <f>1/(1+HLOOKUP(YEAR(A349),Assumptions!$A$41:$AL$43,3,TRUE))^(1/12)</f>
        <v>0.99769806606401623</v>
      </c>
      <c r="AD349">
        <f t="shared" si="88"/>
        <v>0</v>
      </c>
      <c r="AE349">
        <f t="shared" si="94"/>
        <v>0</v>
      </c>
    </row>
    <row r="350" spans="1:31" x14ac:dyDescent="0.2">
      <c r="A350" s="2">
        <f t="shared" si="95"/>
        <v>53417</v>
      </c>
      <c r="B350">
        <f t="shared" si="89"/>
        <v>419</v>
      </c>
      <c r="C350">
        <f t="shared" si="81"/>
        <v>34.833333333333336</v>
      </c>
      <c r="D350">
        <f t="shared" si="82"/>
        <v>0</v>
      </c>
      <c r="E350">
        <f t="shared" si="83"/>
        <v>89</v>
      </c>
      <c r="F350">
        <f t="shared" si="84"/>
        <v>81</v>
      </c>
      <c r="G350">
        <f>IF(C350&gt;=$L$2,0,VLOOKUP($E350,'Mortality Table'!$A$3:$C$128,2+H$2,FALSE))</f>
        <v>0</v>
      </c>
      <c r="H350">
        <f>IF(C350&gt;=$L$2,0,VLOOKUP($E350,'Mortality Table'!$A$3:$C$128,2+I$2,FALSE))</f>
        <v>0</v>
      </c>
      <c r="I350" s="17">
        <f>G350*Assumptions!$B$1</f>
        <v>0</v>
      </c>
      <c r="J350" s="17">
        <f>H350*Assumptions!$B$1</f>
        <v>0</v>
      </c>
      <c r="K350">
        <f t="shared" si="85"/>
        <v>0</v>
      </c>
      <c r="L350">
        <f t="shared" si="90"/>
        <v>0</v>
      </c>
      <c r="M350">
        <f>HLOOKUP(C350,Assumptions!$A$6:$J$7,2,TRUE)</f>
        <v>2.6499999999999999E-2</v>
      </c>
      <c r="N350" s="23">
        <f t="shared" si="80"/>
        <v>0</v>
      </c>
      <c r="O350" s="23">
        <f t="shared" si="86"/>
        <v>0</v>
      </c>
      <c r="P350">
        <f t="shared" si="91"/>
        <v>0</v>
      </c>
      <c r="Q350" s="23">
        <f t="shared" si="87"/>
        <v>0</v>
      </c>
      <c r="R350">
        <f>Q349*Assumptions!$B$11/$E$2*N350</f>
        <v>0</v>
      </c>
      <c r="S350">
        <f>Q349*Assumptions!$B$13/$E$2*N350</f>
        <v>0</v>
      </c>
      <c r="T350">
        <f>L350*Assumptions!$B$15</f>
        <v>0</v>
      </c>
      <c r="U350">
        <f>S350*Assumptions!$B$17</f>
        <v>0</v>
      </c>
      <c r="V350">
        <f>HLOOKUP(B350,Assumptions!$A$26:$D$27,2,TRUE)</f>
        <v>0</v>
      </c>
      <c r="W350">
        <f t="shared" si="92"/>
        <v>0</v>
      </c>
      <c r="X350">
        <f t="shared" si="93"/>
        <v>0.8333333333333357</v>
      </c>
      <c r="Y350">
        <f>IF(B350&gt;$M$2,0,IF(X351=0,0,(1-X351)*Assumptions!$B$11/$E$2*(1-Assumptions!$B$30)))</f>
        <v>0</v>
      </c>
      <c r="Z350">
        <f>(R350-S350)*(1-Assumptions!$B$30)-U350+Y349*Q349</f>
        <v>0</v>
      </c>
      <c r="AA350">
        <f>AA349*(1+Assumptions!$B$36)^(1/12)</f>
        <v>1.3245818789776695</v>
      </c>
      <c r="AB350" s="20">
        <f>IF(B350&gt;$M$2,0,AA349*Assumptions!$B$32/12*Q349+Z350*Assumptions!$B$34/12)</f>
        <v>0</v>
      </c>
      <c r="AC350" s="21">
        <f>1/(1+HLOOKUP(YEAR(A350),Assumptions!$A$41:$AL$43,3,TRUE))^(1/12)</f>
        <v>0.99769806606401623</v>
      </c>
      <c r="AD350">
        <f t="shared" si="88"/>
        <v>0</v>
      </c>
      <c r="AE350">
        <f t="shared" si="94"/>
        <v>0</v>
      </c>
    </row>
    <row r="351" spans="1:31" x14ac:dyDescent="0.2">
      <c r="A351" s="2">
        <f t="shared" si="95"/>
        <v>53447</v>
      </c>
      <c r="B351">
        <f t="shared" si="89"/>
        <v>420</v>
      </c>
      <c r="C351">
        <f t="shared" si="81"/>
        <v>34.916666666666664</v>
      </c>
      <c r="D351">
        <f t="shared" si="82"/>
        <v>0</v>
      </c>
      <c r="E351">
        <f t="shared" si="83"/>
        <v>89</v>
      </c>
      <c r="F351">
        <f t="shared" si="84"/>
        <v>81</v>
      </c>
      <c r="G351">
        <f>IF(C351&gt;=$L$2,0,VLOOKUP($E351,'Mortality Table'!$A$3:$C$128,2+H$2,FALSE))</f>
        <v>0</v>
      </c>
      <c r="H351">
        <f>IF(C351&gt;=$L$2,0,VLOOKUP($E351,'Mortality Table'!$A$3:$C$128,2+I$2,FALSE))</f>
        <v>0</v>
      </c>
      <c r="I351" s="17">
        <f>G351*Assumptions!$B$1</f>
        <v>0</v>
      </c>
      <c r="J351" s="17">
        <f>H351*Assumptions!$B$1</f>
        <v>0</v>
      </c>
      <c r="K351">
        <f t="shared" si="85"/>
        <v>0</v>
      </c>
      <c r="L351">
        <f t="shared" si="90"/>
        <v>0</v>
      </c>
      <c r="M351">
        <f>HLOOKUP(C351,Assumptions!$A$6:$J$7,2,TRUE)</f>
        <v>2.6499999999999999E-2</v>
      </c>
      <c r="N351" s="23">
        <f t="shared" si="80"/>
        <v>0</v>
      </c>
      <c r="O351" s="23">
        <f t="shared" si="86"/>
        <v>0</v>
      </c>
      <c r="P351">
        <f t="shared" si="91"/>
        <v>0</v>
      </c>
      <c r="Q351" s="23">
        <f t="shared" si="87"/>
        <v>0</v>
      </c>
      <c r="R351">
        <f>Q350*Assumptions!$B$11/$E$2*N351</f>
        <v>0</v>
      </c>
      <c r="S351">
        <f>Q350*Assumptions!$B$13/$E$2*N351</f>
        <v>0</v>
      </c>
      <c r="T351">
        <f>L351*Assumptions!$B$15</f>
        <v>0</v>
      </c>
      <c r="U351">
        <f>S351*Assumptions!$B$17</f>
        <v>0</v>
      </c>
      <c r="V351">
        <f>HLOOKUP(B351,Assumptions!$A$26:$D$27,2,TRUE)</f>
        <v>0</v>
      </c>
      <c r="W351">
        <f t="shared" si="92"/>
        <v>0</v>
      </c>
      <c r="X351">
        <f t="shared" si="93"/>
        <v>0.9166666666666643</v>
      </c>
      <c r="Y351">
        <f>IF(B351&gt;$M$2,0,IF(X352=0,0,(1-X352)*Assumptions!$B$11/$E$2*(1-Assumptions!$B$30)))</f>
        <v>0</v>
      </c>
      <c r="Z351">
        <f>(R351-S351)*(1-Assumptions!$B$30)-U351+Y350*Q350</f>
        <v>0</v>
      </c>
      <c r="AA351">
        <f>AA350*(1+Assumptions!$B$36)^(1/12)</f>
        <v>1.3256806701318538</v>
      </c>
      <c r="AB351" s="20">
        <f>IF(B351&gt;$M$2,0,AA350*Assumptions!$B$32/12*Q350+Z351*Assumptions!$B$34/12)</f>
        <v>0</v>
      </c>
      <c r="AC351" s="21">
        <f>1/(1+HLOOKUP(YEAR(A351),Assumptions!$A$41:$AL$43,3,TRUE))^(1/12)</f>
        <v>0.99769806606401623</v>
      </c>
      <c r="AD351">
        <f t="shared" si="88"/>
        <v>0</v>
      </c>
      <c r="AE351">
        <f t="shared" si="94"/>
        <v>0</v>
      </c>
    </row>
    <row r="352" spans="1:31" x14ac:dyDescent="0.2">
      <c r="A352" s="2">
        <f t="shared" si="95"/>
        <v>53478</v>
      </c>
      <c r="B352">
        <f t="shared" si="89"/>
        <v>421</v>
      </c>
      <c r="C352">
        <f t="shared" si="81"/>
        <v>35</v>
      </c>
      <c r="D352">
        <f t="shared" si="82"/>
        <v>1</v>
      </c>
      <c r="E352">
        <f t="shared" si="83"/>
        <v>90</v>
      </c>
      <c r="F352">
        <f t="shared" si="84"/>
        <v>82</v>
      </c>
      <c r="G352">
        <f>IF(C352&gt;=$L$2,0,VLOOKUP($E352,'Mortality Table'!$A$3:$C$128,2+H$2,FALSE))</f>
        <v>0</v>
      </c>
      <c r="H352">
        <f>IF(C352&gt;=$L$2,0,VLOOKUP($E352,'Mortality Table'!$A$3:$C$128,2+I$2,FALSE))</f>
        <v>0</v>
      </c>
      <c r="I352" s="17">
        <f>G352*Assumptions!$B$1</f>
        <v>0</v>
      </c>
      <c r="J352" s="17">
        <f>H352*Assumptions!$B$1</f>
        <v>0</v>
      </c>
      <c r="K352">
        <f t="shared" si="85"/>
        <v>0</v>
      </c>
      <c r="L352">
        <f t="shared" si="90"/>
        <v>0</v>
      </c>
      <c r="M352">
        <f>HLOOKUP(C352,Assumptions!$A$6:$J$7,2,TRUE)</f>
        <v>2.6499999999999999E-2</v>
      </c>
      <c r="N352" s="23">
        <f t="shared" si="80"/>
        <v>0</v>
      </c>
      <c r="O352" s="23">
        <f t="shared" si="86"/>
        <v>0</v>
      </c>
      <c r="P352">
        <f t="shared" si="91"/>
        <v>0</v>
      </c>
      <c r="Q352" s="23">
        <f t="shared" si="87"/>
        <v>0</v>
      </c>
      <c r="R352">
        <f>Q351*Assumptions!$B$11/$E$2*N352</f>
        <v>0</v>
      </c>
      <c r="S352">
        <f>Q351*Assumptions!$B$13/$E$2*N352</f>
        <v>0</v>
      </c>
      <c r="T352">
        <f>L352*Assumptions!$B$15</f>
        <v>0</v>
      </c>
      <c r="U352">
        <f>S352*Assumptions!$B$17</f>
        <v>0</v>
      </c>
      <c r="V352">
        <f>HLOOKUP(B352,Assumptions!$A$26:$D$27,2,TRUE)</f>
        <v>0</v>
      </c>
      <c r="W352">
        <f t="shared" si="92"/>
        <v>0</v>
      </c>
      <c r="X352">
        <f t="shared" si="93"/>
        <v>0</v>
      </c>
      <c r="Y352">
        <f>IF(B352&gt;$M$2,0,IF(X353=0,0,(1-X353)*Assumptions!$B$11/$E$2*(1-Assumptions!$B$30)))</f>
        <v>0</v>
      </c>
      <c r="Z352">
        <f>(R352-S352)*(1-Assumptions!$B$30)-U352+Y351*Q351</f>
        <v>0</v>
      </c>
      <c r="AA352">
        <f>AA351*(1+Assumptions!$B$36)^(1/12)</f>
        <v>1.3267803727751801</v>
      </c>
      <c r="AB352" s="20">
        <f>IF(B352&gt;$M$2,0,AA351*Assumptions!$B$32/12*Q351+Z352*Assumptions!$B$34/12)</f>
        <v>0</v>
      </c>
      <c r="AC352" s="21">
        <f>1/(1+HLOOKUP(YEAR(A352),Assumptions!$A$41:$AL$43,3,TRUE))^(1/12)</f>
        <v>0.99769806606401623</v>
      </c>
      <c r="AD352">
        <f t="shared" si="88"/>
        <v>0</v>
      </c>
      <c r="AE352">
        <f t="shared" si="94"/>
        <v>0</v>
      </c>
    </row>
    <row r="353" spans="1:31" x14ac:dyDescent="0.2">
      <c r="A353" s="2">
        <f t="shared" si="95"/>
        <v>53508</v>
      </c>
      <c r="B353">
        <f t="shared" si="89"/>
        <v>422</v>
      </c>
      <c r="C353">
        <f t="shared" si="81"/>
        <v>35.083333333333336</v>
      </c>
      <c r="D353">
        <f t="shared" si="82"/>
        <v>0</v>
      </c>
      <c r="E353">
        <f t="shared" si="83"/>
        <v>90</v>
      </c>
      <c r="F353">
        <f t="shared" si="84"/>
        <v>82</v>
      </c>
      <c r="G353">
        <f>IF(C353&gt;=$L$2,0,VLOOKUP($E353,'Mortality Table'!$A$3:$C$128,2+H$2,FALSE))</f>
        <v>0</v>
      </c>
      <c r="H353">
        <f>IF(C353&gt;=$L$2,0,VLOOKUP($E353,'Mortality Table'!$A$3:$C$128,2+I$2,FALSE))</f>
        <v>0</v>
      </c>
      <c r="I353" s="17">
        <f>G353*Assumptions!$B$1</f>
        <v>0</v>
      </c>
      <c r="J353" s="17">
        <f>H353*Assumptions!$B$1</f>
        <v>0</v>
      </c>
      <c r="K353">
        <f t="shared" si="85"/>
        <v>0</v>
      </c>
      <c r="L353">
        <f t="shared" si="90"/>
        <v>0</v>
      </c>
      <c r="M353">
        <f>HLOOKUP(C353,Assumptions!$A$6:$J$7,2,TRUE)</f>
        <v>2.6499999999999999E-2</v>
      </c>
      <c r="N353" s="23">
        <f t="shared" si="80"/>
        <v>0</v>
      </c>
      <c r="O353" s="23">
        <f t="shared" si="86"/>
        <v>0</v>
      </c>
      <c r="P353">
        <f t="shared" si="91"/>
        <v>0</v>
      </c>
      <c r="Q353" s="23">
        <f t="shared" si="87"/>
        <v>0</v>
      </c>
      <c r="R353">
        <f>Q352*Assumptions!$B$11/$E$2*N353</f>
        <v>0</v>
      </c>
      <c r="S353">
        <f>Q352*Assumptions!$B$13/$E$2*N353</f>
        <v>0</v>
      </c>
      <c r="T353">
        <f>L353*Assumptions!$B$15</f>
        <v>0</v>
      </c>
      <c r="U353">
        <f>S353*Assumptions!$B$17</f>
        <v>0</v>
      </c>
      <c r="V353">
        <f>HLOOKUP(B353,Assumptions!$A$26:$D$27,2,TRUE)</f>
        <v>0</v>
      </c>
      <c r="W353">
        <f t="shared" si="92"/>
        <v>0</v>
      </c>
      <c r="X353">
        <f t="shared" si="93"/>
        <v>8.3333333333335702E-2</v>
      </c>
      <c r="Y353">
        <f>IF(B353&gt;$M$2,0,IF(X354=0,0,(1-X354)*Assumptions!$B$11/$E$2*(1-Assumptions!$B$30)))</f>
        <v>0</v>
      </c>
      <c r="Z353">
        <f>(R353-S353)*(1-Assumptions!$B$30)-U353+Y352*Q352</f>
        <v>0</v>
      </c>
      <c r="AA353">
        <f>AA352*(1+Assumptions!$B$36)^(1/12)</f>
        <v>1.3278809876637636</v>
      </c>
      <c r="AB353" s="20">
        <f>IF(B353&gt;$M$2,0,AA352*Assumptions!$B$32/12*Q352+Z353*Assumptions!$B$34/12)</f>
        <v>0</v>
      </c>
      <c r="AC353" s="21">
        <f>1/(1+HLOOKUP(YEAR(A353),Assumptions!$A$41:$AL$43,3,TRUE))^(1/12)</f>
        <v>0.99769806606401623</v>
      </c>
      <c r="AD353">
        <f t="shared" si="88"/>
        <v>0</v>
      </c>
      <c r="AE353">
        <f t="shared" si="94"/>
        <v>0</v>
      </c>
    </row>
    <row r="354" spans="1:31" x14ac:dyDescent="0.2">
      <c r="A354" s="2">
        <f t="shared" si="95"/>
        <v>53539</v>
      </c>
      <c r="B354">
        <f t="shared" si="89"/>
        <v>423</v>
      </c>
      <c r="C354">
        <f t="shared" si="81"/>
        <v>35.166666666666664</v>
      </c>
      <c r="D354">
        <f t="shared" si="82"/>
        <v>0</v>
      </c>
      <c r="E354">
        <f t="shared" si="83"/>
        <v>90</v>
      </c>
      <c r="F354">
        <f t="shared" si="84"/>
        <v>82</v>
      </c>
      <c r="G354">
        <f>IF(C354&gt;=$L$2,0,VLOOKUP($E354,'Mortality Table'!$A$3:$C$128,2+H$2,FALSE))</f>
        <v>0</v>
      </c>
      <c r="H354">
        <f>IF(C354&gt;=$L$2,0,VLOOKUP($E354,'Mortality Table'!$A$3:$C$128,2+I$2,FALSE))</f>
        <v>0</v>
      </c>
      <c r="I354" s="17">
        <f>G354*Assumptions!$B$1</f>
        <v>0</v>
      </c>
      <c r="J354" s="17">
        <f>H354*Assumptions!$B$1</f>
        <v>0</v>
      </c>
      <c r="K354">
        <f t="shared" si="85"/>
        <v>0</v>
      </c>
      <c r="L354">
        <f t="shared" si="90"/>
        <v>0</v>
      </c>
      <c r="M354">
        <f>HLOOKUP(C354,Assumptions!$A$6:$J$7,2,TRUE)</f>
        <v>2.6499999999999999E-2</v>
      </c>
      <c r="N354" s="23">
        <f t="shared" si="80"/>
        <v>0</v>
      </c>
      <c r="O354" s="23">
        <f t="shared" si="86"/>
        <v>0</v>
      </c>
      <c r="P354">
        <f t="shared" si="91"/>
        <v>0</v>
      </c>
      <c r="Q354" s="23">
        <f t="shared" si="87"/>
        <v>0</v>
      </c>
      <c r="R354">
        <f>Q353*Assumptions!$B$11/$E$2*N354</f>
        <v>0</v>
      </c>
      <c r="S354">
        <f>Q353*Assumptions!$B$13/$E$2*N354</f>
        <v>0</v>
      </c>
      <c r="T354">
        <f>L354*Assumptions!$B$15</f>
        <v>0</v>
      </c>
      <c r="U354">
        <f>S354*Assumptions!$B$17</f>
        <v>0</v>
      </c>
      <c r="V354">
        <f>HLOOKUP(B354,Assumptions!$A$26:$D$27,2,TRUE)</f>
        <v>0</v>
      </c>
      <c r="W354">
        <f t="shared" si="92"/>
        <v>0</v>
      </c>
      <c r="X354">
        <f t="shared" si="93"/>
        <v>0.1666666666666643</v>
      </c>
      <c r="Y354">
        <f>IF(B354&gt;$M$2,0,IF(X355=0,0,(1-X355)*Assumptions!$B$11/$E$2*(1-Assumptions!$B$30)))</f>
        <v>0</v>
      </c>
      <c r="Z354">
        <f>(R354-S354)*(1-Assumptions!$B$30)-U354+Y353*Q353</f>
        <v>0</v>
      </c>
      <c r="AA354">
        <f>AA353*(1+Assumptions!$B$36)^(1/12)</f>
        <v>1.3289825155543464</v>
      </c>
      <c r="AB354" s="20">
        <f>IF(B354&gt;$M$2,0,AA353*Assumptions!$B$32/12*Q353+Z354*Assumptions!$B$34/12)</f>
        <v>0</v>
      </c>
      <c r="AC354" s="21">
        <f>1/(1+HLOOKUP(YEAR(A354),Assumptions!$A$41:$AL$43,3,TRUE))^(1/12)</f>
        <v>0.99769806606401623</v>
      </c>
      <c r="AD354">
        <f t="shared" si="88"/>
        <v>0</v>
      </c>
      <c r="AE354">
        <f t="shared" si="94"/>
        <v>0</v>
      </c>
    </row>
    <row r="355" spans="1:31" x14ac:dyDescent="0.2">
      <c r="A355" s="2">
        <f t="shared" si="95"/>
        <v>53570</v>
      </c>
      <c r="B355">
        <f t="shared" si="89"/>
        <v>424</v>
      </c>
      <c r="C355">
        <f t="shared" si="81"/>
        <v>35.25</v>
      </c>
      <c r="D355">
        <f t="shared" si="82"/>
        <v>0</v>
      </c>
      <c r="E355">
        <f t="shared" si="83"/>
        <v>90</v>
      </c>
      <c r="F355">
        <f t="shared" si="84"/>
        <v>82</v>
      </c>
      <c r="G355">
        <f>IF(C355&gt;=$L$2,0,VLOOKUP($E355,'Mortality Table'!$A$3:$C$128,2+H$2,FALSE))</f>
        <v>0</v>
      </c>
      <c r="H355">
        <f>IF(C355&gt;=$L$2,0,VLOOKUP($E355,'Mortality Table'!$A$3:$C$128,2+I$2,FALSE))</f>
        <v>0</v>
      </c>
      <c r="I355" s="17">
        <f>G355*Assumptions!$B$1</f>
        <v>0</v>
      </c>
      <c r="J355" s="17">
        <f>H355*Assumptions!$B$1</f>
        <v>0</v>
      </c>
      <c r="K355">
        <f t="shared" si="85"/>
        <v>0</v>
      </c>
      <c r="L355">
        <f t="shared" si="90"/>
        <v>0</v>
      </c>
      <c r="M355">
        <f>HLOOKUP(C355,Assumptions!$A$6:$J$7,2,TRUE)</f>
        <v>2.6499999999999999E-2</v>
      </c>
      <c r="N355" s="23">
        <f t="shared" si="80"/>
        <v>0</v>
      </c>
      <c r="O355" s="23">
        <f t="shared" si="86"/>
        <v>0</v>
      </c>
      <c r="P355">
        <f t="shared" si="91"/>
        <v>0</v>
      </c>
      <c r="Q355" s="23">
        <f t="shared" si="87"/>
        <v>0</v>
      </c>
      <c r="R355">
        <f>Q354*Assumptions!$B$11/$E$2*N355</f>
        <v>0</v>
      </c>
      <c r="S355">
        <f>Q354*Assumptions!$B$13/$E$2*N355</f>
        <v>0</v>
      </c>
      <c r="T355">
        <f>L355*Assumptions!$B$15</f>
        <v>0</v>
      </c>
      <c r="U355">
        <f>S355*Assumptions!$B$17</f>
        <v>0</v>
      </c>
      <c r="V355">
        <f>HLOOKUP(B355,Assumptions!$A$26:$D$27,2,TRUE)</f>
        <v>0</v>
      </c>
      <c r="W355">
        <f t="shared" si="92"/>
        <v>0</v>
      </c>
      <c r="X355">
        <f t="shared" si="93"/>
        <v>0.25</v>
      </c>
      <c r="Y355">
        <f>IF(B355&gt;$M$2,0,IF(X356=0,0,(1-X356)*Assumptions!$B$11/$E$2*(1-Assumptions!$B$30)))</f>
        <v>0</v>
      </c>
      <c r="Z355">
        <f>(R355-S355)*(1-Assumptions!$B$30)-U355+Y354*Q354</f>
        <v>0</v>
      </c>
      <c r="AA355">
        <f>AA354*(1+Assumptions!$B$36)^(1/12)</f>
        <v>1.3300849572042983</v>
      </c>
      <c r="AB355" s="20">
        <f>IF(B355&gt;$M$2,0,AA354*Assumptions!$B$32/12*Q354+Z355*Assumptions!$B$34/12)</f>
        <v>0</v>
      </c>
      <c r="AC355" s="21">
        <f>1/(1+HLOOKUP(YEAR(A355),Assumptions!$A$41:$AL$43,3,TRUE))^(1/12)</f>
        <v>0.99769806606401623</v>
      </c>
      <c r="AD355">
        <f t="shared" si="88"/>
        <v>0</v>
      </c>
      <c r="AE355">
        <f t="shared" si="94"/>
        <v>0</v>
      </c>
    </row>
    <row r="356" spans="1:31" x14ac:dyDescent="0.2">
      <c r="A356" s="2">
        <f t="shared" si="95"/>
        <v>53600</v>
      </c>
      <c r="B356">
        <f t="shared" si="89"/>
        <v>425</v>
      </c>
      <c r="C356">
        <f t="shared" si="81"/>
        <v>35.333333333333336</v>
      </c>
      <c r="D356">
        <f t="shared" si="82"/>
        <v>0</v>
      </c>
      <c r="E356">
        <f t="shared" si="83"/>
        <v>90</v>
      </c>
      <c r="F356">
        <f t="shared" si="84"/>
        <v>82</v>
      </c>
      <c r="G356">
        <f>IF(C356&gt;=$L$2,0,VLOOKUP($E356,'Mortality Table'!$A$3:$C$128,2+H$2,FALSE))</f>
        <v>0</v>
      </c>
      <c r="H356">
        <f>IF(C356&gt;=$L$2,0,VLOOKUP($E356,'Mortality Table'!$A$3:$C$128,2+I$2,FALSE))</f>
        <v>0</v>
      </c>
      <c r="I356" s="17">
        <f>G356*Assumptions!$B$1</f>
        <v>0</v>
      </c>
      <c r="J356" s="17">
        <f>H356*Assumptions!$B$1</f>
        <v>0</v>
      </c>
      <c r="K356">
        <f t="shared" si="85"/>
        <v>0</v>
      </c>
      <c r="L356">
        <f t="shared" si="90"/>
        <v>0</v>
      </c>
      <c r="M356">
        <f>HLOOKUP(C356,Assumptions!$A$6:$J$7,2,TRUE)</f>
        <v>2.6499999999999999E-2</v>
      </c>
      <c r="N356" s="23">
        <f t="shared" si="80"/>
        <v>0</v>
      </c>
      <c r="O356" s="23">
        <f t="shared" si="86"/>
        <v>0</v>
      </c>
      <c r="P356">
        <f t="shared" si="91"/>
        <v>0</v>
      </c>
      <c r="Q356" s="23">
        <f t="shared" si="87"/>
        <v>0</v>
      </c>
      <c r="R356">
        <f>Q355*Assumptions!$B$11/$E$2*N356</f>
        <v>0</v>
      </c>
      <c r="S356">
        <f>Q355*Assumptions!$B$13/$E$2*N356</f>
        <v>0</v>
      </c>
      <c r="T356">
        <f>L356*Assumptions!$B$15</f>
        <v>0</v>
      </c>
      <c r="U356">
        <f>S356*Assumptions!$B$17</f>
        <v>0</v>
      </c>
      <c r="V356">
        <f>HLOOKUP(B356,Assumptions!$A$26:$D$27,2,TRUE)</f>
        <v>0</v>
      </c>
      <c r="W356">
        <f t="shared" si="92"/>
        <v>0</v>
      </c>
      <c r="X356">
        <f t="shared" si="93"/>
        <v>0.3333333333333357</v>
      </c>
      <c r="Y356">
        <f>IF(B356&gt;$M$2,0,IF(X357=0,0,(1-X357)*Assumptions!$B$11/$E$2*(1-Assumptions!$B$30)))</f>
        <v>0</v>
      </c>
      <c r="Z356">
        <f>(R356-S356)*(1-Assumptions!$B$30)-U356+Y355*Q355</f>
        <v>0</v>
      </c>
      <c r="AA356">
        <f>AA355*(1+Assumptions!$B$36)^(1/12)</f>
        <v>1.3311883133716178</v>
      </c>
      <c r="AB356" s="20">
        <f>IF(B356&gt;$M$2,0,AA355*Assumptions!$B$32/12*Q355+Z356*Assumptions!$B$34/12)</f>
        <v>0</v>
      </c>
      <c r="AC356" s="21">
        <f>1/(1+HLOOKUP(YEAR(A356),Assumptions!$A$41:$AL$43,3,TRUE))^(1/12)</f>
        <v>0.99769806606401623</v>
      </c>
      <c r="AD356">
        <f t="shared" si="88"/>
        <v>0</v>
      </c>
      <c r="AE356">
        <f t="shared" si="94"/>
        <v>0</v>
      </c>
    </row>
    <row r="357" spans="1:31" x14ac:dyDescent="0.2">
      <c r="A357" s="2">
        <f t="shared" si="95"/>
        <v>53631</v>
      </c>
      <c r="B357">
        <f t="shared" si="89"/>
        <v>426</v>
      </c>
      <c r="C357">
        <f t="shared" si="81"/>
        <v>35.416666666666664</v>
      </c>
      <c r="D357">
        <f t="shared" si="82"/>
        <v>0</v>
      </c>
      <c r="E357">
        <f t="shared" si="83"/>
        <v>90</v>
      </c>
      <c r="F357">
        <f t="shared" si="84"/>
        <v>82</v>
      </c>
      <c r="G357">
        <f>IF(C357&gt;=$L$2,0,VLOOKUP($E357,'Mortality Table'!$A$3:$C$128,2+H$2,FALSE))</f>
        <v>0</v>
      </c>
      <c r="H357">
        <f>IF(C357&gt;=$L$2,0,VLOOKUP($E357,'Mortality Table'!$A$3:$C$128,2+I$2,FALSE))</f>
        <v>0</v>
      </c>
      <c r="I357" s="17">
        <f>G357*Assumptions!$B$1</f>
        <v>0</v>
      </c>
      <c r="J357" s="17">
        <f>H357*Assumptions!$B$1</f>
        <v>0</v>
      </c>
      <c r="K357">
        <f t="shared" si="85"/>
        <v>0</v>
      </c>
      <c r="L357">
        <f t="shared" si="90"/>
        <v>0</v>
      </c>
      <c r="M357">
        <f>HLOOKUP(C357,Assumptions!$A$6:$J$7,2,TRUE)</f>
        <v>2.6499999999999999E-2</v>
      </c>
      <c r="N357" s="23">
        <f t="shared" si="80"/>
        <v>0</v>
      </c>
      <c r="O357" s="23">
        <f t="shared" si="86"/>
        <v>0</v>
      </c>
      <c r="P357">
        <f t="shared" si="91"/>
        <v>0</v>
      </c>
      <c r="Q357" s="23">
        <f t="shared" si="87"/>
        <v>0</v>
      </c>
      <c r="R357">
        <f>Q356*Assumptions!$B$11/$E$2*N357</f>
        <v>0</v>
      </c>
      <c r="S357">
        <f>Q356*Assumptions!$B$13/$E$2*N357</f>
        <v>0</v>
      </c>
      <c r="T357">
        <f>L357*Assumptions!$B$15</f>
        <v>0</v>
      </c>
      <c r="U357">
        <f>S357*Assumptions!$B$17</f>
        <v>0</v>
      </c>
      <c r="V357">
        <f>HLOOKUP(B357,Assumptions!$A$26:$D$27,2,TRUE)</f>
        <v>0</v>
      </c>
      <c r="W357">
        <f t="shared" si="92"/>
        <v>0</v>
      </c>
      <c r="X357">
        <f t="shared" si="93"/>
        <v>0.4166666666666643</v>
      </c>
      <c r="Y357">
        <f>IF(B357&gt;$M$2,0,IF(X358=0,0,(1-X358)*Assumptions!$B$11/$E$2*(1-Assumptions!$B$30)))</f>
        <v>0</v>
      </c>
      <c r="Z357">
        <f>(R357-S357)*(1-Assumptions!$B$30)-U357+Y356*Q356</f>
        <v>0</v>
      </c>
      <c r="AA357">
        <f>AA356*(1+Assumptions!$B$36)^(1/12)</f>
        <v>1.3322925848149318</v>
      </c>
      <c r="AB357" s="20">
        <f>IF(B357&gt;$M$2,0,AA356*Assumptions!$B$32/12*Q356+Z357*Assumptions!$B$34/12)</f>
        <v>0</v>
      </c>
      <c r="AC357" s="21">
        <f>1/(1+HLOOKUP(YEAR(A357),Assumptions!$A$41:$AL$43,3,TRUE))^(1/12)</f>
        <v>0.99769806606401623</v>
      </c>
      <c r="AD357">
        <f t="shared" si="88"/>
        <v>0</v>
      </c>
      <c r="AE357">
        <f t="shared" si="94"/>
        <v>0</v>
      </c>
    </row>
    <row r="358" spans="1:31" x14ac:dyDescent="0.2">
      <c r="A358" s="2">
        <f t="shared" si="95"/>
        <v>53661</v>
      </c>
      <c r="B358">
        <f t="shared" si="89"/>
        <v>427</v>
      </c>
      <c r="C358">
        <f t="shared" si="81"/>
        <v>35.5</v>
      </c>
      <c r="D358">
        <f t="shared" si="82"/>
        <v>0</v>
      </c>
      <c r="E358">
        <f t="shared" si="83"/>
        <v>90</v>
      </c>
      <c r="F358">
        <f t="shared" si="84"/>
        <v>82</v>
      </c>
      <c r="G358">
        <f>IF(C358&gt;=$L$2,0,VLOOKUP($E358,'Mortality Table'!$A$3:$C$128,2+H$2,FALSE))</f>
        <v>0</v>
      </c>
      <c r="H358">
        <f>IF(C358&gt;=$L$2,0,VLOOKUP($E358,'Mortality Table'!$A$3:$C$128,2+I$2,FALSE))</f>
        <v>0</v>
      </c>
      <c r="I358" s="17">
        <f>G358*Assumptions!$B$1</f>
        <v>0</v>
      </c>
      <c r="J358" s="17">
        <f>H358*Assumptions!$B$1</f>
        <v>0</v>
      </c>
      <c r="K358">
        <f t="shared" si="85"/>
        <v>0</v>
      </c>
      <c r="L358">
        <f t="shared" si="90"/>
        <v>0</v>
      </c>
      <c r="M358">
        <f>HLOOKUP(C358,Assumptions!$A$6:$J$7,2,TRUE)</f>
        <v>2.6499999999999999E-2</v>
      </c>
      <c r="N358" s="23">
        <f t="shared" si="80"/>
        <v>0</v>
      </c>
      <c r="O358" s="23">
        <f t="shared" si="86"/>
        <v>0</v>
      </c>
      <c r="P358">
        <f t="shared" si="91"/>
        <v>0</v>
      </c>
      <c r="Q358" s="23">
        <f t="shared" si="87"/>
        <v>0</v>
      </c>
      <c r="R358">
        <f>Q357*Assumptions!$B$11/$E$2*N358</f>
        <v>0</v>
      </c>
      <c r="S358">
        <f>Q357*Assumptions!$B$13/$E$2*N358</f>
        <v>0</v>
      </c>
      <c r="T358">
        <f>L358*Assumptions!$B$15</f>
        <v>0</v>
      </c>
      <c r="U358">
        <f>S358*Assumptions!$B$17</f>
        <v>0</v>
      </c>
      <c r="V358">
        <f>HLOOKUP(B358,Assumptions!$A$26:$D$27,2,TRUE)</f>
        <v>0</v>
      </c>
      <c r="W358">
        <f t="shared" si="92"/>
        <v>0</v>
      </c>
      <c r="X358">
        <f t="shared" si="93"/>
        <v>0.5</v>
      </c>
      <c r="Y358">
        <f>IF(B358&gt;$M$2,0,IF(X359=0,0,(1-X359)*Assumptions!$B$11/$E$2*(1-Assumptions!$B$30)))</f>
        <v>0</v>
      </c>
      <c r="Z358">
        <f>(R358-S358)*(1-Assumptions!$B$30)-U358+Y357*Q357</f>
        <v>0</v>
      </c>
      <c r="AA358">
        <f>AA357*(1+Assumptions!$B$36)^(1/12)</f>
        <v>1.3333977722934967</v>
      </c>
      <c r="AB358" s="20">
        <f>IF(B358&gt;$M$2,0,AA357*Assumptions!$B$32/12*Q357+Z358*Assumptions!$B$34/12)</f>
        <v>0</v>
      </c>
      <c r="AC358" s="21">
        <f>1/(1+HLOOKUP(YEAR(A358),Assumptions!$A$41:$AL$43,3,TRUE))^(1/12)</f>
        <v>0.99769806606401623</v>
      </c>
      <c r="AD358">
        <f t="shared" si="88"/>
        <v>0</v>
      </c>
      <c r="AE358">
        <f t="shared" si="94"/>
        <v>0</v>
      </c>
    </row>
    <row r="359" spans="1:31" x14ac:dyDescent="0.2">
      <c r="A359" s="2">
        <f t="shared" si="95"/>
        <v>53692</v>
      </c>
      <c r="B359">
        <f t="shared" si="89"/>
        <v>428</v>
      </c>
      <c r="C359">
        <f t="shared" si="81"/>
        <v>35.583333333333336</v>
      </c>
      <c r="D359">
        <f t="shared" si="82"/>
        <v>0</v>
      </c>
      <c r="E359">
        <f t="shared" si="83"/>
        <v>90</v>
      </c>
      <c r="F359">
        <f t="shared" si="84"/>
        <v>82</v>
      </c>
      <c r="G359">
        <f>IF(C359&gt;=$L$2,0,VLOOKUP($E359,'Mortality Table'!$A$3:$C$128,2+H$2,FALSE))</f>
        <v>0</v>
      </c>
      <c r="H359">
        <f>IF(C359&gt;=$L$2,0,VLOOKUP($E359,'Mortality Table'!$A$3:$C$128,2+I$2,FALSE))</f>
        <v>0</v>
      </c>
      <c r="I359" s="17">
        <f>G359*Assumptions!$B$1</f>
        <v>0</v>
      </c>
      <c r="J359" s="17">
        <f>H359*Assumptions!$B$1</f>
        <v>0</v>
      </c>
      <c r="K359">
        <f t="shared" si="85"/>
        <v>0</v>
      </c>
      <c r="L359">
        <f t="shared" si="90"/>
        <v>0</v>
      </c>
      <c r="M359">
        <f>HLOOKUP(C359,Assumptions!$A$6:$J$7,2,TRUE)</f>
        <v>2.6499999999999999E-2</v>
      </c>
      <c r="N359" s="23">
        <f t="shared" si="80"/>
        <v>0</v>
      </c>
      <c r="O359" s="23">
        <f t="shared" si="86"/>
        <v>0</v>
      </c>
      <c r="P359">
        <f t="shared" si="91"/>
        <v>0</v>
      </c>
      <c r="Q359" s="23">
        <f t="shared" si="87"/>
        <v>0</v>
      </c>
      <c r="R359">
        <f>Q358*Assumptions!$B$11/$E$2*N359</f>
        <v>0</v>
      </c>
      <c r="S359">
        <f>Q358*Assumptions!$B$13/$E$2*N359</f>
        <v>0</v>
      </c>
      <c r="T359">
        <f>L359*Assumptions!$B$15</f>
        <v>0</v>
      </c>
      <c r="U359">
        <f>S359*Assumptions!$B$17</f>
        <v>0</v>
      </c>
      <c r="V359">
        <f>HLOOKUP(B359,Assumptions!$A$26:$D$27,2,TRUE)</f>
        <v>0</v>
      </c>
      <c r="W359">
        <f t="shared" si="92"/>
        <v>0</v>
      </c>
      <c r="X359">
        <f t="shared" si="93"/>
        <v>0.5833333333333357</v>
      </c>
      <c r="Y359">
        <f>IF(B359&gt;$M$2,0,IF(X360=0,0,(1-X360)*Assumptions!$B$11/$E$2*(1-Assumptions!$B$30)))</f>
        <v>0</v>
      </c>
      <c r="Z359">
        <f>(R359-S359)*(1-Assumptions!$B$30)-U359+Y358*Q358</f>
        <v>0</v>
      </c>
      <c r="AA359">
        <f>AA358*(1+Assumptions!$B$36)^(1/12)</f>
        <v>1.3345038765671984</v>
      </c>
      <c r="AB359" s="20">
        <f>IF(B359&gt;$M$2,0,AA358*Assumptions!$B$32/12*Q358+Z359*Assumptions!$B$34/12)</f>
        <v>0</v>
      </c>
      <c r="AC359" s="21">
        <f>1/(1+HLOOKUP(YEAR(A359),Assumptions!$A$41:$AL$43,3,TRUE))^(1/12)</f>
        <v>0.99769806606401623</v>
      </c>
      <c r="AD359">
        <f t="shared" si="88"/>
        <v>0</v>
      </c>
      <c r="AE359">
        <f t="shared" si="94"/>
        <v>0</v>
      </c>
    </row>
    <row r="360" spans="1:31" x14ac:dyDescent="0.2">
      <c r="A360" s="2">
        <f t="shared" si="95"/>
        <v>53723</v>
      </c>
      <c r="B360">
        <f t="shared" si="89"/>
        <v>429</v>
      </c>
      <c r="C360">
        <f t="shared" si="81"/>
        <v>35.666666666666664</v>
      </c>
      <c r="D360">
        <f t="shared" si="82"/>
        <v>0</v>
      </c>
      <c r="E360">
        <f t="shared" si="83"/>
        <v>90</v>
      </c>
      <c r="F360">
        <f t="shared" si="84"/>
        <v>82</v>
      </c>
      <c r="G360">
        <f>IF(C360&gt;=$L$2,0,VLOOKUP($E360,'Mortality Table'!$A$3:$C$128,2+H$2,FALSE))</f>
        <v>0</v>
      </c>
      <c r="H360">
        <f>IF(C360&gt;=$L$2,0,VLOOKUP($E360,'Mortality Table'!$A$3:$C$128,2+I$2,FALSE))</f>
        <v>0</v>
      </c>
      <c r="I360" s="17">
        <f>G360*Assumptions!$B$1</f>
        <v>0</v>
      </c>
      <c r="J360" s="17">
        <f>H360*Assumptions!$B$1</f>
        <v>0</v>
      </c>
      <c r="K360">
        <f t="shared" si="85"/>
        <v>0</v>
      </c>
      <c r="L360">
        <f t="shared" si="90"/>
        <v>0</v>
      </c>
      <c r="M360">
        <f>HLOOKUP(C360,Assumptions!$A$6:$J$7,2,TRUE)</f>
        <v>2.6499999999999999E-2</v>
      </c>
      <c r="N360" s="23">
        <f t="shared" si="80"/>
        <v>0</v>
      </c>
      <c r="O360" s="23">
        <f t="shared" si="86"/>
        <v>0</v>
      </c>
      <c r="P360">
        <f t="shared" si="91"/>
        <v>0</v>
      </c>
      <c r="Q360" s="23">
        <f t="shared" si="87"/>
        <v>0</v>
      </c>
      <c r="R360">
        <f>Q359*Assumptions!$B$11/$E$2*N360</f>
        <v>0</v>
      </c>
      <c r="S360">
        <f>Q359*Assumptions!$B$13/$E$2*N360</f>
        <v>0</v>
      </c>
      <c r="T360">
        <f>L360*Assumptions!$B$15</f>
        <v>0</v>
      </c>
      <c r="U360">
        <f>S360*Assumptions!$B$17</f>
        <v>0</v>
      </c>
      <c r="V360">
        <f>HLOOKUP(B360,Assumptions!$A$26:$D$27,2,TRUE)</f>
        <v>0</v>
      </c>
      <c r="W360">
        <f t="shared" si="92"/>
        <v>0</v>
      </c>
      <c r="X360">
        <f t="shared" si="93"/>
        <v>0.6666666666666643</v>
      </c>
      <c r="Y360">
        <f>IF(B360&gt;$M$2,0,IF(X361=0,0,(1-X361)*Assumptions!$B$11/$E$2*(1-Assumptions!$B$30)))</f>
        <v>0</v>
      </c>
      <c r="Z360">
        <f>(R360-S360)*(1-Assumptions!$B$30)-U360+Y359*Q359</f>
        <v>0</v>
      </c>
      <c r="AA360">
        <f>AA359*(1+Assumptions!$B$36)^(1/12)</f>
        <v>1.3356108983965536</v>
      </c>
      <c r="AB360" s="20">
        <f>IF(B360&gt;$M$2,0,AA359*Assumptions!$B$32/12*Q359+Z360*Assumptions!$B$34/12)</f>
        <v>0</v>
      </c>
      <c r="AC360" s="21">
        <f>1/(1+HLOOKUP(YEAR(A360),Assumptions!$A$41:$AL$43,3,TRUE))^(1/12)</f>
        <v>0.99768391446690596</v>
      </c>
      <c r="AD360">
        <f t="shared" si="88"/>
        <v>0</v>
      </c>
      <c r="AE360">
        <f t="shared" si="94"/>
        <v>0</v>
      </c>
    </row>
    <row r="361" spans="1:31" x14ac:dyDescent="0.2">
      <c r="A361" s="2">
        <f t="shared" si="95"/>
        <v>53751</v>
      </c>
      <c r="B361">
        <f t="shared" si="89"/>
        <v>430</v>
      </c>
      <c r="C361">
        <f t="shared" si="81"/>
        <v>35.75</v>
      </c>
      <c r="D361">
        <f t="shared" si="82"/>
        <v>0</v>
      </c>
      <c r="E361">
        <f t="shared" si="83"/>
        <v>90</v>
      </c>
      <c r="F361">
        <f t="shared" si="84"/>
        <v>82</v>
      </c>
      <c r="G361">
        <f>IF(C361&gt;=$L$2,0,VLOOKUP($E361,'Mortality Table'!$A$3:$C$128,2+H$2,FALSE))</f>
        <v>0</v>
      </c>
      <c r="H361">
        <f>IF(C361&gt;=$L$2,0,VLOOKUP($E361,'Mortality Table'!$A$3:$C$128,2+I$2,FALSE))</f>
        <v>0</v>
      </c>
      <c r="I361" s="17">
        <f>G361*Assumptions!$B$1</f>
        <v>0</v>
      </c>
      <c r="J361" s="17">
        <f>H361*Assumptions!$B$1</f>
        <v>0</v>
      </c>
      <c r="K361">
        <f t="shared" si="85"/>
        <v>0</v>
      </c>
      <c r="L361">
        <f t="shared" si="90"/>
        <v>0</v>
      </c>
      <c r="M361">
        <f>HLOOKUP(C361,Assumptions!$A$6:$J$7,2,TRUE)</f>
        <v>2.6499999999999999E-2</v>
      </c>
      <c r="N361" s="23">
        <f t="shared" si="80"/>
        <v>0</v>
      </c>
      <c r="O361" s="23">
        <f t="shared" si="86"/>
        <v>0</v>
      </c>
      <c r="P361">
        <f t="shared" si="91"/>
        <v>0</v>
      </c>
      <c r="Q361" s="23">
        <f t="shared" si="87"/>
        <v>0</v>
      </c>
      <c r="R361">
        <f>Q360*Assumptions!$B$11/$E$2*N361</f>
        <v>0</v>
      </c>
      <c r="S361">
        <f>Q360*Assumptions!$B$13/$E$2*N361</f>
        <v>0</v>
      </c>
      <c r="T361">
        <f>L361*Assumptions!$B$15</f>
        <v>0</v>
      </c>
      <c r="U361">
        <f>S361*Assumptions!$B$17</f>
        <v>0</v>
      </c>
      <c r="V361">
        <f>HLOOKUP(B361,Assumptions!$A$26:$D$27,2,TRUE)</f>
        <v>0</v>
      </c>
      <c r="W361">
        <f t="shared" si="92"/>
        <v>0</v>
      </c>
      <c r="X361">
        <f t="shared" si="93"/>
        <v>0.75</v>
      </c>
      <c r="Y361">
        <f>IF(B361&gt;$M$2,0,IF(X362=0,0,(1-X362)*Assumptions!$B$11/$E$2*(1-Assumptions!$B$30)))</f>
        <v>0</v>
      </c>
      <c r="Z361">
        <f>(R361-S361)*(1-Assumptions!$B$30)-U361+Y360*Q360</f>
        <v>0</v>
      </c>
      <c r="AA361">
        <f>AA360*(1+Assumptions!$B$36)^(1/12)</f>
        <v>1.3367188385427096</v>
      </c>
      <c r="AB361" s="20">
        <f>IF(B361&gt;$M$2,0,AA360*Assumptions!$B$32/12*Q360+Z361*Assumptions!$B$34/12)</f>
        <v>0</v>
      </c>
      <c r="AC361" s="21">
        <f>1/(1+HLOOKUP(YEAR(A361),Assumptions!$A$41:$AL$43,3,TRUE))^(1/12)</f>
        <v>0.99768391446690596</v>
      </c>
      <c r="AD361">
        <f t="shared" si="88"/>
        <v>0</v>
      </c>
      <c r="AE361">
        <f t="shared" si="94"/>
        <v>0</v>
      </c>
    </row>
    <row r="362" spans="1:31" x14ac:dyDescent="0.2">
      <c r="A362" s="2">
        <f t="shared" si="95"/>
        <v>53782</v>
      </c>
      <c r="B362">
        <f t="shared" si="89"/>
        <v>431</v>
      </c>
      <c r="C362">
        <f t="shared" si="81"/>
        <v>35.833333333333336</v>
      </c>
      <c r="D362">
        <f t="shared" si="82"/>
        <v>0</v>
      </c>
      <c r="E362">
        <f t="shared" si="83"/>
        <v>90</v>
      </c>
      <c r="F362">
        <f t="shared" si="84"/>
        <v>82</v>
      </c>
      <c r="G362">
        <f>IF(C362&gt;=$L$2,0,VLOOKUP($E362,'Mortality Table'!$A$3:$C$128,2+H$2,FALSE))</f>
        <v>0</v>
      </c>
      <c r="H362">
        <f>IF(C362&gt;=$L$2,0,VLOOKUP($E362,'Mortality Table'!$A$3:$C$128,2+I$2,FALSE))</f>
        <v>0</v>
      </c>
      <c r="I362" s="17">
        <f>G362*Assumptions!$B$1</f>
        <v>0</v>
      </c>
      <c r="J362" s="17">
        <f>H362*Assumptions!$B$1</f>
        <v>0</v>
      </c>
      <c r="K362">
        <f t="shared" si="85"/>
        <v>0</v>
      </c>
      <c r="L362">
        <f t="shared" si="90"/>
        <v>0</v>
      </c>
      <c r="M362">
        <f>HLOOKUP(C362,Assumptions!$A$6:$J$7,2,TRUE)</f>
        <v>2.6499999999999999E-2</v>
      </c>
      <c r="N362" s="23">
        <f t="shared" si="80"/>
        <v>0</v>
      </c>
      <c r="O362" s="23">
        <f t="shared" si="86"/>
        <v>0</v>
      </c>
      <c r="P362">
        <f t="shared" si="91"/>
        <v>0</v>
      </c>
      <c r="Q362" s="23">
        <f t="shared" si="87"/>
        <v>0</v>
      </c>
      <c r="R362">
        <f>Q361*Assumptions!$B$11/$E$2*N362</f>
        <v>0</v>
      </c>
      <c r="S362">
        <f>Q361*Assumptions!$B$13/$E$2*N362</f>
        <v>0</v>
      </c>
      <c r="T362">
        <f>L362*Assumptions!$B$15</f>
        <v>0</v>
      </c>
      <c r="U362">
        <f>S362*Assumptions!$B$17</f>
        <v>0</v>
      </c>
      <c r="V362">
        <f>HLOOKUP(B362,Assumptions!$A$26:$D$27,2,TRUE)</f>
        <v>0</v>
      </c>
      <c r="W362">
        <f t="shared" si="92"/>
        <v>0</v>
      </c>
      <c r="X362">
        <f t="shared" si="93"/>
        <v>0.8333333333333357</v>
      </c>
      <c r="Y362">
        <f>IF(B362&gt;$M$2,0,IF(X363=0,0,(1-X363)*Assumptions!$B$11/$E$2*(1-Assumptions!$B$30)))</f>
        <v>0</v>
      </c>
      <c r="Z362">
        <f>(R362-S362)*(1-Assumptions!$B$30)-U362+Y361*Q361</f>
        <v>0</v>
      </c>
      <c r="AA362">
        <f>AA361*(1+Assumptions!$B$36)^(1/12)</f>
        <v>1.3378276977674453</v>
      </c>
      <c r="AB362" s="20">
        <f>IF(B362&gt;$M$2,0,AA361*Assumptions!$B$32/12*Q361+Z362*Assumptions!$B$34/12)</f>
        <v>0</v>
      </c>
      <c r="AC362" s="21">
        <f>1/(1+HLOOKUP(YEAR(A362),Assumptions!$A$41:$AL$43,3,TRUE))^(1/12)</f>
        <v>0.99768391446690596</v>
      </c>
      <c r="AD362">
        <f t="shared" si="88"/>
        <v>0</v>
      </c>
      <c r="AE362">
        <f t="shared" si="94"/>
        <v>0</v>
      </c>
    </row>
    <row r="363" spans="1:31" x14ac:dyDescent="0.2">
      <c r="A363" s="2">
        <f t="shared" si="95"/>
        <v>53812</v>
      </c>
      <c r="B363">
        <f t="shared" si="89"/>
        <v>432</v>
      </c>
      <c r="C363">
        <f t="shared" si="81"/>
        <v>35.916666666666664</v>
      </c>
      <c r="D363">
        <f t="shared" si="82"/>
        <v>0</v>
      </c>
      <c r="E363">
        <f t="shared" si="83"/>
        <v>90</v>
      </c>
      <c r="F363">
        <f t="shared" si="84"/>
        <v>82</v>
      </c>
      <c r="G363">
        <f>IF(C363&gt;=$L$2,0,VLOOKUP($E363,'Mortality Table'!$A$3:$C$128,2+H$2,FALSE))</f>
        <v>0</v>
      </c>
      <c r="H363">
        <f>IF(C363&gt;=$L$2,0,VLOOKUP($E363,'Mortality Table'!$A$3:$C$128,2+I$2,FALSE))</f>
        <v>0</v>
      </c>
      <c r="I363" s="17">
        <f>G363*Assumptions!$B$1</f>
        <v>0</v>
      </c>
      <c r="J363" s="17">
        <f>H363*Assumptions!$B$1</f>
        <v>0</v>
      </c>
      <c r="K363">
        <f t="shared" si="85"/>
        <v>0</v>
      </c>
      <c r="L363">
        <f t="shared" si="90"/>
        <v>0</v>
      </c>
      <c r="M363">
        <f>HLOOKUP(C363,Assumptions!$A$6:$J$7,2,TRUE)</f>
        <v>2.6499999999999999E-2</v>
      </c>
      <c r="N363" s="23">
        <f t="shared" si="80"/>
        <v>0</v>
      </c>
      <c r="O363" s="23">
        <f t="shared" si="86"/>
        <v>0</v>
      </c>
      <c r="P363">
        <f t="shared" si="91"/>
        <v>0</v>
      </c>
      <c r="Q363" s="23">
        <f t="shared" si="87"/>
        <v>0</v>
      </c>
      <c r="R363">
        <f>Q362*Assumptions!$B$11/$E$2*N363</f>
        <v>0</v>
      </c>
      <c r="S363">
        <f>Q362*Assumptions!$B$13/$E$2*N363</f>
        <v>0</v>
      </c>
      <c r="T363">
        <f>L363*Assumptions!$B$15</f>
        <v>0</v>
      </c>
      <c r="U363">
        <f>S363*Assumptions!$B$17</f>
        <v>0</v>
      </c>
      <c r="V363">
        <f>HLOOKUP(B363,Assumptions!$A$26:$D$27,2,TRUE)</f>
        <v>0</v>
      </c>
      <c r="W363">
        <f t="shared" si="92"/>
        <v>0</v>
      </c>
      <c r="X363">
        <f t="shared" si="93"/>
        <v>0.9166666666666643</v>
      </c>
      <c r="Y363">
        <f>IF(B363&gt;$M$2,0,IF(X364=0,0,(1-X364)*Assumptions!$B$11/$E$2*(1-Assumptions!$B$30)))</f>
        <v>0</v>
      </c>
      <c r="Z363">
        <f>(R363-S363)*(1-Assumptions!$B$30)-U363+Y362*Q362</f>
        <v>0</v>
      </c>
      <c r="AA363">
        <f>AA362*(1+Assumptions!$B$36)^(1/12)</f>
        <v>1.3389374768331714</v>
      </c>
      <c r="AB363" s="20">
        <f>IF(B363&gt;$M$2,0,AA362*Assumptions!$B$32/12*Q362+Z363*Assumptions!$B$34/12)</f>
        <v>0</v>
      </c>
      <c r="AC363" s="21">
        <f>1/(1+HLOOKUP(YEAR(A363),Assumptions!$A$41:$AL$43,3,TRUE))^(1/12)</f>
        <v>0.99768391446690596</v>
      </c>
      <c r="AD363">
        <f t="shared" si="88"/>
        <v>0</v>
      </c>
      <c r="AE363">
        <f t="shared" si="94"/>
        <v>0</v>
      </c>
    </row>
    <row r="364" spans="1:31" x14ac:dyDescent="0.2">
      <c r="A364" s="2">
        <f t="shared" si="95"/>
        <v>53843</v>
      </c>
      <c r="B364">
        <f t="shared" si="89"/>
        <v>433</v>
      </c>
      <c r="C364">
        <f t="shared" si="81"/>
        <v>36</v>
      </c>
      <c r="D364">
        <f t="shared" si="82"/>
        <v>1</v>
      </c>
      <c r="E364">
        <f t="shared" si="83"/>
        <v>91</v>
      </c>
      <c r="F364">
        <f t="shared" si="84"/>
        <v>83</v>
      </c>
      <c r="G364">
        <f>IF(C364&gt;=$L$2,0,VLOOKUP($E364,'Mortality Table'!$A$3:$C$128,2+H$2,FALSE))</f>
        <v>0</v>
      </c>
      <c r="H364">
        <f>IF(C364&gt;=$L$2,0,VLOOKUP($E364,'Mortality Table'!$A$3:$C$128,2+I$2,FALSE))</f>
        <v>0</v>
      </c>
      <c r="I364" s="17">
        <f>G364*Assumptions!$B$1</f>
        <v>0</v>
      </c>
      <c r="J364" s="17">
        <f>H364*Assumptions!$B$1</f>
        <v>0</v>
      </c>
      <c r="K364">
        <f t="shared" si="85"/>
        <v>0</v>
      </c>
      <c r="L364">
        <f t="shared" si="90"/>
        <v>0</v>
      </c>
      <c r="M364">
        <f>HLOOKUP(C364,Assumptions!$A$6:$J$7,2,TRUE)</f>
        <v>2.6499999999999999E-2</v>
      </c>
      <c r="N364" s="23">
        <f t="shared" si="80"/>
        <v>0</v>
      </c>
      <c r="O364" s="23">
        <f t="shared" si="86"/>
        <v>0</v>
      </c>
      <c r="P364">
        <f t="shared" si="91"/>
        <v>0</v>
      </c>
      <c r="Q364" s="23">
        <f t="shared" si="87"/>
        <v>0</v>
      </c>
      <c r="R364">
        <f>Q363*Assumptions!$B$11/$E$2*N364</f>
        <v>0</v>
      </c>
      <c r="S364">
        <f>Q363*Assumptions!$B$13/$E$2*N364</f>
        <v>0</v>
      </c>
      <c r="T364">
        <f>L364*Assumptions!$B$15</f>
        <v>0</v>
      </c>
      <c r="U364">
        <f>S364*Assumptions!$B$17</f>
        <v>0</v>
      </c>
      <c r="V364">
        <f>HLOOKUP(B364,Assumptions!$A$26:$D$27,2,TRUE)</f>
        <v>0</v>
      </c>
      <c r="W364">
        <f t="shared" si="92"/>
        <v>0</v>
      </c>
      <c r="X364">
        <f t="shared" si="93"/>
        <v>0</v>
      </c>
      <c r="Y364">
        <f>IF(B364&gt;$M$2,0,IF(X365=0,0,(1-X365)*Assumptions!$B$11/$E$2*(1-Assumptions!$B$30)))</f>
        <v>0</v>
      </c>
      <c r="Z364">
        <f>(R364-S364)*(1-Assumptions!$B$30)-U364+Y363*Q363</f>
        <v>0</v>
      </c>
      <c r="AA364">
        <f>AA363*(1+Assumptions!$B$36)^(1/12)</f>
        <v>1.3400481765029311</v>
      </c>
      <c r="AB364" s="20">
        <f>IF(B364&gt;$M$2,0,AA363*Assumptions!$B$32/12*Q363+Z364*Assumptions!$B$34/12)</f>
        <v>0</v>
      </c>
      <c r="AC364" s="21">
        <f>1/(1+HLOOKUP(YEAR(A364),Assumptions!$A$41:$AL$43,3,TRUE))^(1/12)</f>
        <v>0.99768391446690596</v>
      </c>
      <c r="AD364">
        <f t="shared" si="88"/>
        <v>0</v>
      </c>
      <c r="AE364">
        <f t="shared" si="94"/>
        <v>0</v>
      </c>
    </row>
    <row r="365" spans="1:31" x14ac:dyDescent="0.2">
      <c r="A365" s="2">
        <f t="shared" si="95"/>
        <v>53873</v>
      </c>
      <c r="B365">
        <f t="shared" si="89"/>
        <v>434</v>
      </c>
      <c r="C365">
        <f t="shared" si="81"/>
        <v>36.083333333333336</v>
      </c>
      <c r="D365">
        <f t="shared" si="82"/>
        <v>0</v>
      </c>
      <c r="E365">
        <f t="shared" si="83"/>
        <v>91</v>
      </c>
      <c r="F365">
        <f t="shared" si="84"/>
        <v>83</v>
      </c>
      <c r="G365">
        <f>IF(C365&gt;=$L$2,0,VLOOKUP($E365,'Mortality Table'!$A$3:$C$128,2+H$2,FALSE))</f>
        <v>0</v>
      </c>
      <c r="H365">
        <f>IF(C365&gt;=$L$2,0,VLOOKUP($E365,'Mortality Table'!$A$3:$C$128,2+I$2,FALSE))</f>
        <v>0</v>
      </c>
      <c r="I365" s="17">
        <f>G365*Assumptions!$B$1</f>
        <v>0</v>
      </c>
      <c r="J365" s="17">
        <f>H365*Assumptions!$B$1</f>
        <v>0</v>
      </c>
      <c r="K365">
        <f t="shared" si="85"/>
        <v>0</v>
      </c>
      <c r="L365">
        <f t="shared" si="90"/>
        <v>0</v>
      </c>
      <c r="M365">
        <f>HLOOKUP(C365,Assumptions!$A$6:$J$7,2,TRUE)</f>
        <v>2.6499999999999999E-2</v>
      </c>
      <c r="N365" s="23">
        <f t="shared" si="80"/>
        <v>0</v>
      </c>
      <c r="O365" s="23">
        <f t="shared" si="86"/>
        <v>0</v>
      </c>
      <c r="P365">
        <f t="shared" si="91"/>
        <v>0</v>
      </c>
      <c r="Q365" s="23">
        <f t="shared" si="87"/>
        <v>0</v>
      </c>
      <c r="R365">
        <f>Q364*Assumptions!$B$11/$E$2*N365</f>
        <v>0</v>
      </c>
      <c r="S365">
        <f>Q364*Assumptions!$B$13/$E$2*N365</f>
        <v>0</v>
      </c>
      <c r="T365">
        <f>L365*Assumptions!$B$15</f>
        <v>0</v>
      </c>
      <c r="U365">
        <f>S365*Assumptions!$B$17</f>
        <v>0</v>
      </c>
      <c r="V365">
        <f>HLOOKUP(B365,Assumptions!$A$26:$D$27,2,TRUE)</f>
        <v>0</v>
      </c>
      <c r="W365">
        <f t="shared" si="92"/>
        <v>0</v>
      </c>
      <c r="X365">
        <f t="shared" si="93"/>
        <v>8.3333333333335702E-2</v>
      </c>
      <c r="Y365">
        <f>IF(B365&gt;$M$2,0,IF(X366=0,0,(1-X366)*Assumptions!$B$11/$E$2*(1-Assumptions!$B$30)))</f>
        <v>0</v>
      </c>
      <c r="Z365">
        <f>(R365-S365)*(1-Assumptions!$B$30)-U365+Y364*Q364</f>
        <v>0</v>
      </c>
      <c r="AA365">
        <f>AA364*(1+Assumptions!$B$36)^(1/12)</f>
        <v>1.3411597975404004</v>
      </c>
      <c r="AB365" s="20">
        <f>IF(B365&gt;$M$2,0,AA364*Assumptions!$B$32/12*Q364+Z365*Assumptions!$B$34/12)</f>
        <v>0</v>
      </c>
      <c r="AC365" s="21">
        <f>1/(1+HLOOKUP(YEAR(A365),Assumptions!$A$41:$AL$43,3,TRUE))^(1/12)</f>
        <v>0.99768391446690596</v>
      </c>
      <c r="AD365">
        <f t="shared" si="88"/>
        <v>0</v>
      </c>
      <c r="AE365">
        <f t="shared" si="94"/>
        <v>0</v>
      </c>
    </row>
    <row r="366" spans="1:31" x14ac:dyDescent="0.2">
      <c r="A366" s="2">
        <f t="shared" si="95"/>
        <v>53904</v>
      </c>
      <c r="B366">
        <f t="shared" si="89"/>
        <v>435</v>
      </c>
      <c r="C366">
        <f t="shared" si="81"/>
        <v>36.166666666666664</v>
      </c>
      <c r="D366">
        <f t="shared" si="82"/>
        <v>0</v>
      </c>
      <c r="E366">
        <f t="shared" si="83"/>
        <v>91</v>
      </c>
      <c r="F366">
        <f t="shared" si="84"/>
        <v>83</v>
      </c>
      <c r="G366">
        <f>IF(C366&gt;=$L$2,0,VLOOKUP($E366,'Mortality Table'!$A$3:$C$128,2+H$2,FALSE))</f>
        <v>0</v>
      </c>
      <c r="H366">
        <f>IF(C366&gt;=$L$2,0,VLOOKUP($E366,'Mortality Table'!$A$3:$C$128,2+I$2,FALSE))</f>
        <v>0</v>
      </c>
      <c r="I366" s="17">
        <f>G366*Assumptions!$B$1</f>
        <v>0</v>
      </c>
      <c r="J366" s="17">
        <f>H366*Assumptions!$B$1</f>
        <v>0</v>
      </c>
      <c r="K366">
        <f t="shared" si="85"/>
        <v>0</v>
      </c>
      <c r="L366">
        <f t="shared" si="90"/>
        <v>0</v>
      </c>
      <c r="M366">
        <f>HLOOKUP(C366,Assumptions!$A$6:$J$7,2,TRUE)</f>
        <v>2.6499999999999999E-2</v>
      </c>
      <c r="N366" s="23">
        <f t="shared" si="80"/>
        <v>0</v>
      </c>
      <c r="O366" s="23">
        <f t="shared" si="86"/>
        <v>0</v>
      </c>
      <c r="P366">
        <f t="shared" si="91"/>
        <v>0</v>
      </c>
      <c r="Q366" s="23">
        <f t="shared" si="87"/>
        <v>0</v>
      </c>
      <c r="R366">
        <f>Q365*Assumptions!$B$11/$E$2*N366</f>
        <v>0</v>
      </c>
      <c r="S366">
        <f>Q365*Assumptions!$B$13/$E$2*N366</f>
        <v>0</v>
      </c>
      <c r="T366">
        <f>L366*Assumptions!$B$15</f>
        <v>0</v>
      </c>
      <c r="U366">
        <f>S366*Assumptions!$B$17</f>
        <v>0</v>
      </c>
      <c r="V366">
        <f>HLOOKUP(B366,Assumptions!$A$26:$D$27,2,TRUE)</f>
        <v>0</v>
      </c>
      <c r="W366">
        <f t="shared" si="92"/>
        <v>0</v>
      </c>
      <c r="X366">
        <f t="shared" si="93"/>
        <v>0.1666666666666643</v>
      </c>
      <c r="Y366">
        <f>IF(B366&gt;$M$2,0,IF(X367=0,0,(1-X367)*Assumptions!$B$11/$E$2*(1-Assumptions!$B$30)))</f>
        <v>0</v>
      </c>
      <c r="Z366">
        <f>(R366-S366)*(1-Assumptions!$B$30)-U366+Y365*Q365</f>
        <v>0</v>
      </c>
      <c r="AA366">
        <f>AA365*(1+Assumptions!$B$36)^(1/12)</f>
        <v>1.3422723407098889</v>
      </c>
      <c r="AB366" s="20">
        <f>IF(B366&gt;$M$2,0,AA365*Assumptions!$B$32/12*Q365+Z366*Assumptions!$B$34/12)</f>
        <v>0</v>
      </c>
      <c r="AC366" s="21">
        <f>1/(1+HLOOKUP(YEAR(A366),Assumptions!$A$41:$AL$43,3,TRUE))^(1/12)</f>
        <v>0.99768391446690596</v>
      </c>
      <c r="AD366">
        <f t="shared" si="88"/>
        <v>0</v>
      </c>
      <c r="AE366">
        <f t="shared" si="94"/>
        <v>0</v>
      </c>
    </row>
    <row r="367" spans="1:31" x14ac:dyDescent="0.2">
      <c r="A367" s="2">
        <f t="shared" si="95"/>
        <v>53935</v>
      </c>
      <c r="B367">
        <f t="shared" si="89"/>
        <v>436</v>
      </c>
      <c r="C367">
        <f t="shared" si="81"/>
        <v>36.25</v>
      </c>
      <c r="D367">
        <f t="shared" si="82"/>
        <v>0</v>
      </c>
      <c r="E367">
        <f t="shared" si="83"/>
        <v>91</v>
      </c>
      <c r="F367">
        <f t="shared" si="84"/>
        <v>83</v>
      </c>
      <c r="G367">
        <f>IF(C367&gt;=$L$2,0,VLOOKUP($E367,'Mortality Table'!$A$3:$C$128,2+H$2,FALSE))</f>
        <v>0</v>
      </c>
      <c r="H367">
        <f>IF(C367&gt;=$L$2,0,VLOOKUP($E367,'Mortality Table'!$A$3:$C$128,2+I$2,FALSE))</f>
        <v>0</v>
      </c>
      <c r="I367" s="17">
        <f>G367*Assumptions!$B$1</f>
        <v>0</v>
      </c>
      <c r="J367" s="17">
        <f>H367*Assumptions!$B$1</f>
        <v>0</v>
      </c>
      <c r="K367">
        <f t="shared" si="85"/>
        <v>0</v>
      </c>
      <c r="L367">
        <f t="shared" si="90"/>
        <v>0</v>
      </c>
      <c r="M367">
        <f>HLOOKUP(C367,Assumptions!$A$6:$J$7,2,TRUE)</f>
        <v>2.6499999999999999E-2</v>
      </c>
      <c r="N367" s="23">
        <f t="shared" si="80"/>
        <v>0</v>
      </c>
      <c r="O367" s="23">
        <f t="shared" si="86"/>
        <v>0</v>
      </c>
      <c r="P367">
        <f t="shared" si="91"/>
        <v>0</v>
      </c>
      <c r="Q367" s="23">
        <f t="shared" si="87"/>
        <v>0</v>
      </c>
      <c r="R367">
        <f>Q366*Assumptions!$B$11/$E$2*N367</f>
        <v>0</v>
      </c>
      <c r="S367">
        <f>Q366*Assumptions!$B$13/$E$2*N367</f>
        <v>0</v>
      </c>
      <c r="T367">
        <f>L367*Assumptions!$B$15</f>
        <v>0</v>
      </c>
      <c r="U367">
        <f>S367*Assumptions!$B$17</f>
        <v>0</v>
      </c>
      <c r="V367">
        <f>HLOOKUP(B367,Assumptions!$A$26:$D$27,2,TRUE)</f>
        <v>0</v>
      </c>
      <c r="W367">
        <f t="shared" si="92"/>
        <v>0</v>
      </c>
      <c r="X367">
        <f t="shared" si="93"/>
        <v>0.25</v>
      </c>
      <c r="Y367">
        <f>IF(B367&gt;$M$2,0,IF(X368=0,0,(1-X368)*Assumptions!$B$11/$E$2*(1-Assumptions!$B$30)))</f>
        <v>0</v>
      </c>
      <c r="Z367">
        <f>(R367-S367)*(1-Assumptions!$B$30)-U367+Y366*Q366</f>
        <v>0</v>
      </c>
      <c r="AA367">
        <f>AA366*(1+Assumptions!$B$36)^(1/12)</f>
        <v>1.3433858067763405</v>
      </c>
      <c r="AB367" s="20">
        <f>IF(B367&gt;$M$2,0,AA366*Assumptions!$B$32/12*Q366+Z367*Assumptions!$B$34/12)</f>
        <v>0</v>
      </c>
      <c r="AC367" s="21">
        <f>1/(1+HLOOKUP(YEAR(A367),Assumptions!$A$41:$AL$43,3,TRUE))^(1/12)</f>
        <v>0.99768391446690596</v>
      </c>
      <c r="AD367">
        <f t="shared" si="88"/>
        <v>0</v>
      </c>
      <c r="AE367">
        <f t="shared" si="94"/>
        <v>0</v>
      </c>
    </row>
    <row r="368" spans="1:31" x14ac:dyDescent="0.2">
      <c r="A368" s="2">
        <f t="shared" si="95"/>
        <v>53965</v>
      </c>
      <c r="B368">
        <f t="shared" si="89"/>
        <v>437</v>
      </c>
      <c r="C368">
        <f t="shared" si="81"/>
        <v>36.333333333333336</v>
      </c>
      <c r="D368">
        <f t="shared" si="82"/>
        <v>0</v>
      </c>
      <c r="E368">
        <f t="shared" si="83"/>
        <v>91</v>
      </c>
      <c r="F368">
        <f t="shared" si="84"/>
        <v>83</v>
      </c>
      <c r="G368">
        <f>IF(C368&gt;=$L$2,0,VLOOKUP($E368,'Mortality Table'!$A$3:$C$128,2+H$2,FALSE))</f>
        <v>0</v>
      </c>
      <c r="H368">
        <f>IF(C368&gt;=$L$2,0,VLOOKUP($E368,'Mortality Table'!$A$3:$C$128,2+I$2,FALSE))</f>
        <v>0</v>
      </c>
      <c r="I368" s="17">
        <f>G368*Assumptions!$B$1</f>
        <v>0</v>
      </c>
      <c r="J368" s="17">
        <f>H368*Assumptions!$B$1</f>
        <v>0</v>
      </c>
      <c r="K368">
        <f t="shared" si="85"/>
        <v>0</v>
      </c>
      <c r="L368">
        <f t="shared" si="90"/>
        <v>0</v>
      </c>
      <c r="M368">
        <f>HLOOKUP(C368,Assumptions!$A$6:$J$7,2,TRUE)</f>
        <v>2.6499999999999999E-2</v>
      </c>
      <c r="N368" s="23">
        <f t="shared" si="80"/>
        <v>0</v>
      </c>
      <c r="O368" s="23">
        <f t="shared" si="86"/>
        <v>0</v>
      </c>
      <c r="P368">
        <f t="shared" si="91"/>
        <v>0</v>
      </c>
      <c r="Q368" s="23">
        <f t="shared" si="87"/>
        <v>0</v>
      </c>
      <c r="R368">
        <f>Q367*Assumptions!$B$11/$E$2*N368</f>
        <v>0</v>
      </c>
      <c r="S368">
        <f>Q367*Assumptions!$B$13/$E$2*N368</f>
        <v>0</v>
      </c>
      <c r="T368">
        <f>L368*Assumptions!$B$15</f>
        <v>0</v>
      </c>
      <c r="U368">
        <f>S368*Assumptions!$B$17</f>
        <v>0</v>
      </c>
      <c r="V368">
        <f>HLOOKUP(B368,Assumptions!$A$26:$D$27,2,TRUE)</f>
        <v>0</v>
      </c>
      <c r="W368">
        <f t="shared" si="92"/>
        <v>0</v>
      </c>
      <c r="X368">
        <f t="shared" si="93"/>
        <v>0.3333333333333357</v>
      </c>
      <c r="Y368">
        <f>IF(B368&gt;$M$2,0,IF(X369=0,0,(1-X369)*Assumptions!$B$11/$E$2*(1-Assumptions!$B$30)))</f>
        <v>0</v>
      </c>
      <c r="Z368">
        <f>(R368-S368)*(1-Assumptions!$B$30)-U368+Y367*Q367</f>
        <v>0</v>
      </c>
      <c r="AA368">
        <f>AA367*(1+Assumptions!$B$36)^(1/12)</f>
        <v>1.3445001965053331</v>
      </c>
      <c r="AB368" s="20">
        <f>IF(B368&gt;$M$2,0,AA367*Assumptions!$B$32/12*Q367+Z368*Assumptions!$B$34/12)</f>
        <v>0</v>
      </c>
      <c r="AC368" s="21">
        <f>1/(1+HLOOKUP(YEAR(A368),Assumptions!$A$41:$AL$43,3,TRUE))^(1/12)</f>
        <v>0.99768391446690596</v>
      </c>
      <c r="AD368">
        <f t="shared" si="88"/>
        <v>0</v>
      </c>
      <c r="AE368">
        <f t="shared" si="94"/>
        <v>0</v>
      </c>
    </row>
    <row r="369" spans="1:31" x14ac:dyDescent="0.2">
      <c r="A369" s="2">
        <f t="shared" si="95"/>
        <v>53996</v>
      </c>
      <c r="B369">
        <f t="shared" si="89"/>
        <v>438</v>
      </c>
      <c r="C369">
        <f t="shared" si="81"/>
        <v>36.416666666666664</v>
      </c>
      <c r="D369">
        <f t="shared" si="82"/>
        <v>0</v>
      </c>
      <c r="E369">
        <f t="shared" si="83"/>
        <v>91</v>
      </c>
      <c r="F369">
        <f t="shared" si="84"/>
        <v>83</v>
      </c>
      <c r="G369">
        <f>IF(C369&gt;=$L$2,0,VLOOKUP($E369,'Mortality Table'!$A$3:$C$128,2+H$2,FALSE))</f>
        <v>0</v>
      </c>
      <c r="H369">
        <f>IF(C369&gt;=$L$2,0,VLOOKUP($E369,'Mortality Table'!$A$3:$C$128,2+I$2,FALSE))</f>
        <v>0</v>
      </c>
      <c r="I369" s="17">
        <f>G369*Assumptions!$B$1</f>
        <v>0</v>
      </c>
      <c r="J369" s="17">
        <f>H369*Assumptions!$B$1</f>
        <v>0</v>
      </c>
      <c r="K369">
        <f t="shared" si="85"/>
        <v>0</v>
      </c>
      <c r="L369">
        <f t="shared" si="90"/>
        <v>0</v>
      </c>
      <c r="M369">
        <f>HLOOKUP(C369,Assumptions!$A$6:$J$7,2,TRUE)</f>
        <v>2.6499999999999999E-2</v>
      </c>
      <c r="N369" s="23">
        <f t="shared" si="80"/>
        <v>0</v>
      </c>
      <c r="O369" s="23">
        <f t="shared" si="86"/>
        <v>0</v>
      </c>
      <c r="P369">
        <f t="shared" si="91"/>
        <v>0</v>
      </c>
      <c r="Q369" s="23">
        <f t="shared" si="87"/>
        <v>0</v>
      </c>
      <c r="R369">
        <f>Q368*Assumptions!$B$11/$E$2*N369</f>
        <v>0</v>
      </c>
      <c r="S369">
        <f>Q368*Assumptions!$B$13/$E$2*N369</f>
        <v>0</v>
      </c>
      <c r="T369">
        <f>L369*Assumptions!$B$15</f>
        <v>0</v>
      </c>
      <c r="U369">
        <f>S369*Assumptions!$B$17</f>
        <v>0</v>
      </c>
      <c r="V369">
        <f>HLOOKUP(B369,Assumptions!$A$26:$D$27,2,TRUE)</f>
        <v>0</v>
      </c>
      <c r="W369">
        <f t="shared" si="92"/>
        <v>0</v>
      </c>
      <c r="X369">
        <f t="shared" si="93"/>
        <v>0.4166666666666643</v>
      </c>
      <c r="Y369">
        <f>IF(B369&gt;$M$2,0,IF(X370=0,0,(1-X370)*Assumptions!$B$11/$E$2*(1-Assumptions!$B$30)))</f>
        <v>0</v>
      </c>
      <c r="Z369">
        <f>(R369-S369)*(1-Assumptions!$B$30)-U369+Y368*Q368</f>
        <v>0</v>
      </c>
      <c r="AA369">
        <f>AA368*(1+Assumptions!$B$36)^(1/12)</f>
        <v>1.3456155106630803</v>
      </c>
      <c r="AB369" s="20">
        <f>IF(B369&gt;$M$2,0,AA368*Assumptions!$B$32/12*Q368+Z369*Assumptions!$B$34/12)</f>
        <v>0</v>
      </c>
      <c r="AC369" s="21">
        <f>1/(1+HLOOKUP(YEAR(A369),Assumptions!$A$41:$AL$43,3,TRUE))^(1/12)</f>
        <v>0.99768391446690596</v>
      </c>
      <c r="AD369">
        <f t="shared" si="88"/>
        <v>0</v>
      </c>
      <c r="AE369">
        <f t="shared" si="94"/>
        <v>0</v>
      </c>
    </row>
    <row r="370" spans="1:31" x14ac:dyDescent="0.2">
      <c r="A370" s="2">
        <f t="shared" si="95"/>
        <v>54026</v>
      </c>
      <c r="B370">
        <f t="shared" si="89"/>
        <v>439</v>
      </c>
      <c r="C370">
        <f t="shared" si="81"/>
        <v>36.5</v>
      </c>
      <c r="D370">
        <f t="shared" si="82"/>
        <v>0</v>
      </c>
      <c r="E370">
        <f t="shared" si="83"/>
        <v>91</v>
      </c>
      <c r="F370">
        <f t="shared" si="84"/>
        <v>83</v>
      </c>
      <c r="G370">
        <f>IF(C370&gt;=$L$2,0,VLOOKUP($E370,'Mortality Table'!$A$3:$C$128,2+H$2,FALSE))</f>
        <v>0</v>
      </c>
      <c r="H370">
        <f>IF(C370&gt;=$L$2,0,VLOOKUP($E370,'Mortality Table'!$A$3:$C$128,2+I$2,FALSE))</f>
        <v>0</v>
      </c>
      <c r="I370" s="17">
        <f>G370*Assumptions!$B$1</f>
        <v>0</v>
      </c>
      <c r="J370" s="17">
        <f>H370*Assumptions!$B$1</f>
        <v>0</v>
      </c>
      <c r="K370">
        <f t="shared" si="85"/>
        <v>0</v>
      </c>
      <c r="L370">
        <f t="shared" si="90"/>
        <v>0</v>
      </c>
      <c r="M370">
        <f>HLOOKUP(C370,Assumptions!$A$6:$J$7,2,TRUE)</f>
        <v>2.6499999999999999E-2</v>
      </c>
      <c r="N370" s="23">
        <f t="shared" si="80"/>
        <v>0</v>
      </c>
      <c r="O370" s="23">
        <f t="shared" si="86"/>
        <v>0</v>
      </c>
      <c r="P370">
        <f t="shared" si="91"/>
        <v>0</v>
      </c>
      <c r="Q370" s="23">
        <f t="shared" si="87"/>
        <v>0</v>
      </c>
      <c r="R370">
        <f>Q369*Assumptions!$B$11/$E$2*N370</f>
        <v>0</v>
      </c>
      <c r="S370">
        <f>Q369*Assumptions!$B$13/$E$2*N370</f>
        <v>0</v>
      </c>
      <c r="T370">
        <f>L370*Assumptions!$B$15</f>
        <v>0</v>
      </c>
      <c r="U370">
        <f>S370*Assumptions!$B$17</f>
        <v>0</v>
      </c>
      <c r="V370">
        <f>HLOOKUP(B370,Assumptions!$A$26:$D$27,2,TRUE)</f>
        <v>0</v>
      </c>
      <c r="W370">
        <f t="shared" si="92"/>
        <v>0</v>
      </c>
      <c r="X370">
        <f t="shared" si="93"/>
        <v>0.5</v>
      </c>
      <c r="Y370">
        <f>IF(B370&gt;$M$2,0,IF(X371=0,0,(1-X371)*Assumptions!$B$11/$E$2*(1-Assumptions!$B$30)))</f>
        <v>0</v>
      </c>
      <c r="Z370">
        <f>(R370-S370)*(1-Assumptions!$B$30)-U370+Y369*Q369</f>
        <v>0</v>
      </c>
      <c r="AA370">
        <f>AA369*(1+Assumptions!$B$36)^(1/12)</f>
        <v>1.3467317500164306</v>
      </c>
      <c r="AB370" s="20">
        <f>IF(B370&gt;$M$2,0,AA369*Assumptions!$B$32/12*Q369+Z370*Assumptions!$B$34/12)</f>
        <v>0</v>
      </c>
      <c r="AC370" s="21">
        <f>1/(1+HLOOKUP(YEAR(A370),Assumptions!$A$41:$AL$43,3,TRUE))^(1/12)</f>
        <v>0.99768391446690596</v>
      </c>
      <c r="AD370">
        <f t="shared" si="88"/>
        <v>0</v>
      </c>
      <c r="AE370">
        <f t="shared" si="94"/>
        <v>0</v>
      </c>
    </row>
    <row r="371" spans="1:31" x14ac:dyDescent="0.2">
      <c r="A371" s="2">
        <f t="shared" si="95"/>
        <v>54057</v>
      </c>
      <c r="B371">
        <f t="shared" si="89"/>
        <v>440</v>
      </c>
      <c r="C371">
        <f t="shared" si="81"/>
        <v>36.583333333333336</v>
      </c>
      <c r="D371">
        <f t="shared" si="82"/>
        <v>0</v>
      </c>
      <c r="E371">
        <f t="shared" si="83"/>
        <v>91</v>
      </c>
      <c r="F371">
        <f t="shared" si="84"/>
        <v>83</v>
      </c>
      <c r="G371">
        <f>IF(C371&gt;=$L$2,0,VLOOKUP($E371,'Mortality Table'!$A$3:$C$128,2+H$2,FALSE))</f>
        <v>0</v>
      </c>
      <c r="H371">
        <f>IF(C371&gt;=$L$2,0,VLOOKUP($E371,'Mortality Table'!$A$3:$C$128,2+I$2,FALSE))</f>
        <v>0</v>
      </c>
      <c r="I371" s="17">
        <f>G371*Assumptions!$B$1</f>
        <v>0</v>
      </c>
      <c r="J371" s="17">
        <f>H371*Assumptions!$B$1</f>
        <v>0</v>
      </c>
      <c r="K371">
        <f t="shared" si="85"/>
        <v>0</v>
      </c>
      <c r="L371">
        <f t="shared" si="90"/>
        <v>0</v>
      </c>
      <c r="M371">
        <f>HLOOKUP(C371,Assumptions!$A$6:$J$7,2,TRUE)</f>
        <v>2.6499999999999999E-2</v>
      </c>
      <c r="N371" s="23">
        <f t="shared" si="80"/>
        <v>0</v>
      </c>
      <c r="O371" s="23">
        <f t="shared" si="86"/>
        <v>0</v>
      </c>
      <c r="P371">
        <f t="shared" si="91"/>
        <v>0</v>
      </c>
      <c r="Q371" s="23">
        <f t="shared" si="87"/>
        <v>0</v>
      </c>
      <c r="R371">
        <f>Q370*Assumptions!$B$11/$E$2*N371</f>
        <v>0</v>
      </c>
      <c r="S371">
        <f>Q370*Assumptions!$B$13/$E$2*N371</f>
        <v>0</v>
      </c>
      <c r="T371">
        <f>L371*Assumptions!$B$15</f>
        <v>0</v>
      </c>
      <c r="U371">
        <f>S371*Assumptions!$B$17</f>
        <v>0</v>
      </c>
      <c r="V371">
        <f>HLOOKUP(B371,Assumptions!$A$26:$D$27,2,TRUE)</f>
        <v>0</v>
      </c>
      <c r="W371">
        <f t="shared" si="92"/>
        <v>0</v>
      </c>
      <c r="X371">
        <f t="shared" si="93"/>
        <v>0.5833333333333357</v>
      </c>
      <c r="Y371">
        <f>IF(B371&gt;$M$2,0,IF(X372=0,0,(1-X372)*Assumptions!$B$11/$E$2*(1-Assumptions!$B$30)))</f>
        <v>0</v>
      </c>
      <c r="Z371">
        <f>(R371-S371)*(1-Assumptions!$B$30)-U371+Y370*Q370</f>
        <v>0</v>
      </c>
      <c r="AA371">
        <f>AA370*(1+Assumptions!$B$36)^(1/12)</f>
        <v>1.3478489153328694</v>
      </c>
      <c r="AB371" s="20">
        <f>IF(B371&gt;$M$2,0,AA370*Assumptions!$B$32/12*Q370+Z371*Assumptions!$B$34/12)</f>
        <v>0</v>
      </c>
      <c r="AC371" s="21">
        <f>1/(1+HLOOKUP(YEAR(A371),Assumptions!$A$41:$AL$43,3,TRUE))^(1/12)</f>
        <v>0.99768391446690596</v>
      </c>
      <c r="AD371">
        <f t="shared" si="88"/>
        <v>0</v>
      </c>
      <c r="AE371">
        <f t="shared" si="94"/>
        <v>0</v>
      </c>
    </row>
    <row r="372" spans="1:31" x14ac:dyDescent="0.2">
      <c r="A372" s="2">
        <f t="shared" si="95"/>
        <v>54088</v>
      </c>
      <c r="B372">
        <f t="shared" si="89"/>
        <v>441</v>
      </c>
      <c r="C372">
        <f t="shared" si="81"/>
        <v>36.666666666666664</v>
      </c>
      <c r="D372">
        <f t="shared" si="82"/>
        <v>0</v>
      </c>
      <c r="E372">
        <f t="shared" si="83"/>
        <v>91</v>
      </c>
      <c r="F372">
        <f t="shared" si="84"/>
        <v>83</v>
      </c>
      <c r="G372">
        <f>IF(C372&gt;=$L$2,0,VLOOKUP($E372,'Mortality Table'!$A$3:$C$128,2+H$2,FALSE))</f>
        <v>0</v>
      </c>
      <c r="H372">
        <f>IF(C372&gt;=$L$2,0,VLOOKUP($E372,'Mortality Table'!$A$3:$C$128,2+I$2,FALSE))</f>
        <v>0</v>
      </c>
      <c r="I372" s="17">
        <f>G372*Assumptions!$B$1</f>
        <v>0</v>
      </c>
      <c r="J372" s="17">
        <f>H372*Assumptions!$B$1</f>
        <v>0</v>
      </c>
      <c r="K372">
        <f t="shared" si="85"/>
        <v>0</v>
      </c>
      <c r="L372">
        <f t="shared" si="90"/>
        <v>0</v>
      </c>
      <c r="M372">
        <f>HLOOKUP(C372,Assumptions!$A$6:$J$7,2,TRUE)</f>
        <v>2.6499999999999999E-2</v>
      </c>
      <c r="N372" s="23">
        <f t="shared" si="80"/>
        <v>0</v>
      </c>
      <c r="O372" s="23">
        <f t="shared" si="86"/>
        <v>0</v>
      </c>
      <c r="P372">
        <f t="shared" si="91"/>
        <v>0</v>
      </c>
      <c r="Q372" s="23">
        <f t="shared" si="87"/>
        <v>0</v>
      </c>
      <c r="R372">
        <f>Q371*Assumptions!$B$11/$E$2*N372</f>
        <v>0</v>
      </c>
      <c r="S372">
        <f>Q371*Assumptions!$B$13/$E$2*N372</f>
        <v>0</v>
      </c>
      <c r="T372">
        <f>L372*Assumptions!$B$15</f>
        <v>0</v>
      </c>
      <c r="U372">
        <f>S372*Assumptions!$B$17</f>
        <v>0</v>
      </c>
      <c r="V372">
        <f>HLOOKUP(B372,Assumptions!$A$26:$D$27,2,TRUE)</f>
        <v>0</v>
      </c>
      <c r="W372">
        <f t="shared" si="92"/>
        <v>0</v>
      </c>
      <c r="X372">
        <f t="shared" si="93"/>
        <v>0.6666666666666643</v>
      </c>
      <c r="Y372">
        <f>IF(B372&gt;$M$2,0,IF(X373=0,0,(1-X373)*Assumptions!$B$11/$E$2*(1-Assumptions!$B$30)))</f>
        <v>0</v>
      </c>
      <c r="Z372">
        <f>(R372-S372)*(1-Assumptions!$B$30)-U372+Y371*Q371</f>
        <v>0</v>
      </c>
      <c r="AA372">
        <f>AA371*(1+Assumptions!$B$36)^(1/12)</f>
        <v>1.3489670073805182</v>
      </c>
      <c r="AB372" s="20">
        <f>IF(B372&gt;$M$2,0,AA371*Assumptions!$B$32/12*Q371+Z372*Assumptions!$B$34/12)</f>
        <v>0</v>
      </c>
      <c r="AC372" s="21">
        <f>1/(1+HLOOKUP(YEAR(A372),Assumptions!$A$41:$AL$43,3,TRUE))^(1/12)</f>
        <v>0.99765658905310106</v>
      </c>
      <c r="AD372">
        <f t="shared" si="88"/>
        <v>0</v>
      </c>
      <c r="AE372">
        <f t="shared" si="94"/>
        <v>0</v>
      </c>
    </row>
    <row r="373" spans="1:31" x14ac:dyDescent="0.2">
      <c r="A373" s="2">
        <f t="shared" si="95"/>
        <v>54117</v>
      </c>
      <c r="B373">
        <f t="shared" si="89"/>
        <v>442</v>
      </c>
      <c r="C373">
        <f t="shared" si="81"/>
        <v>36.75</v>
      </c>
      <c r="D373">
        <f t="shared" si="82"/>
        <v>0</v>
      </c>
      <c r="E373">
        <f t="shared" si="83"/>
        <v>91</v>
      </c>
      <c r="F373">
        <f t="shared" si="84"/>
        <v>83</v>
      </c>
      <c r="G373">
        <f>IF(C373&gt;=$L$2,0,VLOOKUP($E373,'Mortality Table'!$A$3:$C$128,2+H$2,FALSE))</f>
        <v>0</v>
      </c>
      <c r="H373">
        <f>IF(C373&gt;=$L$2,0,VLOOKUP($E373,'Mortality Table'!$A$3:$C$128,2+I$2,FALSE))</f>
        <v>0</v>
      </c>
      <c r="I373" s="17">
        <f>G373*Assumptions!$B$1</f>
        <v>0</v>
      </c>
      <c r="J373" s="17">
        <f>H373*Assumptions!$B$1</f>
        <v>0</v>
      </c>
      <c r="K373">
        <f t="shared" si="85"/>
        <v>0</v>
      </c>
      <c r="L373">
        <f t="shared" si="90"/>
        <v>0</v>
      </c>
      <c r="M373">
        <f>HLOOKUP(C373,Assumptions!$A$6:$J$7,2,TRUE)</f>
        <v>2.6499999999999999E-2</v>
      </c>
      <c r="N373" s="23">
        <f t="shared" si="80"/>
        <v>0</v>
      </c>
      <c r="O373" s="23">
        <f t="shared" si="86"/>
        <v>0</v>
      </c>
      <c r="P373">
        <f t="shared" si="91"/>
        <v>0</v>
      </c>
      <c r="Q373" s="23">
        <f t="shared" si="87"/>
        <v>0</v>
      </c>
      <c r="R373">
        <f>Q372*Assumptions!$B$11/$E$2*N373</f>
        <v>0</v>
      </c>
      <c r="S373">
        <f>Q372*Assumptions!$B$13/$E$2*N373</f>
        <v>0</v>
      </c>
      <c r="T373">
        <f>L373*Assumptions!$B$15</f>
        <v>0</v>
      </c>
      <c r="U373">
        <f>S373*Assumptions!$B$17</f>
        <v>0</v>
      </c>
      <c r="V373">
        <f>HLOOKUP(B373,Assumptions!$A$26:$D$27,2,TRUE)</f>
        <v>0</v>
      </c>
      <c r="W373">
        <f t="shared" si="92"/>
        <v>0</v>
      </c>
      <c r="X373">
        <f t="shared" si="93"/>
        <v>0.75</v>
      </c>
      <c r="Y373">
        <f>IF(B373&gt;$M$2,0,IF(X374=0,0,(1-X374)*Assumptions!$B$11/$E$2*(1-Assumptions!$B$30)))</f>
        <v>0</v>
      </c>
      <c r="Z373">
        <f>(R373-S373)*(1-Assumptions!$B$30)-U373+Y372*Q372</f>
        <v>0</v>
      </c>
      <c r="AA373">
        <f>AA372*(1+Assumptions!$B$36)^(1/12)</f>
        <v>1.3500860269281358</v>
      </c>
      <c r="AB373" s="20">
        <f>IF(B373&gt;$M$2,0,AA372*Assumptions!$B$32/12*Q372+Z373*Assumptions!$B$34/12)</f>
        <v>0</v>
      </c>
      <c r="AC373" s="21">
        <f>1/(1+HLOOKUP(YEAR(A373),Assumptions!$A$41:$AL$43,3,TRUE))^(1/12)</f>
        <v>0.99765658905310106</v>
      </c>
      <c r="AD373">
        <f t="shared" si="88"/>
        <v>0</v>
      </c>
      <c r="AE373">
        <f t="shared" si="94"/>
        <v>0</v>
      </c>
    </row>
    <row r="374" spans="1:31" x14ac:dyDescent="0.2">
      <c r="A374" s="2">
        <f t="shared" si="95"/>
        <v>54148</v>
      </c>
      <c r="B374">
        <f t="shared" si="89"/>
        <v>443</v>
      </c>
      <c r="C374">
        <f t="shared" si="81"/>
        <v>36.833333333333336</v>
      </c>
      <c r="D374">
        <f t="shared" si="82"/>
        <v>0</v>
      </c>
      <c r="E374">
        <f t="shared" si="83"/>
        <v>91</v>
      </c>
      <c r="F374">
        <f t="shared" si="84"/>
        <v>83</v>
      </c>
      <c r="G374">
        <f>IF(C374&gt;=$L$2,0,VLOOKUP($E374,'Mortality Table'!$A$3:$C$128,2+H$2,FALSE))</f>
        <v>0</v>
      </c>
      <c r="H374">
        <f>IF(C374&gt;=$L$2,0,VLOOKUP($E374,'Mortality Table'!$A$3:$C$128,2+I$2,FALSE))</f>
        <v>0</v>
      </c>
      <c r="I374" s="17">
        <f>G374*Assumptions!$B$1</f>
        <v>0</v>
      </c>
      <c r="J374" s="17">
        <f>H374*Assumptions!$B$1</f>
        <v>0</v>
      </c>
      <c r="K374">
        <f t="shared" si="85"/>
        <v>0</v>
      </c>
      <c r="L374">
        <f t="shared" si="90"/>
        <v>0</v>
      </c>
      <c r="M374">
        <f>HLOOKUP(C374,Assumptions!$A$6:$J$7,2,TRUE)</f>
        <v>2.6499999999999999E-2</v>
      </c>
      <c r="N374" s="23">
        <f t="shared" si="80"/>
        <v>0</v>
      </c>
      <c r="O374" s="23">
        <f t="shared" si="86"/>
        <v>0</v>
      </c>
      <c r="P374">
        <f t="shared" si="91"/>
        <v>0</v>
      </c>
      <c r="Q374" s="23">
        <f t="shared" si="87"/>
        <v>0</v>
      </c>
      <c r="R374">
        <f>Q373*Assumptions!$B$11/$E$2*N374</f>
        <v>0</v>
      </c>
      <c r="S374">
        <f>Q373*Assumptions!$B$13/$E$2*N374</f>
        <v>0</v>
      </c>
      <c r="T374">
        <f>L374*Assumptions!$B$15</f>
        <v>0</v>
      </c>
      <c r="U374">
        <f>S374*Assumptions!$B$17</f>
        <v>0</v>
      </c>
      <c r="V374">
        <f>HLOOKUP(B374,Assumptions!$A$26:$D$27,2,TRUE)</f>
        <v>0</v>
      </c>
      <c r="W374">
        <f t="shared" si="92"/>
        <v>0</v>
      </c>
      <c r="X374">
        <f t="shared" si="93"/>
        <v>0.8333333333333357</v>
      </c>
      <c r="Y374">
        <f>IF(B374&gt;$M$2,0,IF(X375=0,0,(1-X375)*Assumptions!$B$11/$E$2*(1-Assumptions!$B$30)))</f>
        <v>0</v>
      </c>
      <c r="Z374">
        <f>(R374-S374)*(1-Assumptions!$B$30)-U374+Y373*Q373</f>
        <v>0</v>
      </c>
      <c r="AA374">
        <f>AA373*(1+Assumptions!$B$36)^(1/12)</f>
        <v>1.3512059747451188</v>
      </c>
      <c r="AB374" s="20">
        <f>IF(B374&gt;$M$2,0,AA373*Assumptions!$B$32/12*Q373+Z374*Assumptions!$B$34/12)</f>
        <v>0</v>
      </c>
      <c r="AC374" s="21">
        <f>1/(1+HLOOKUP(YEAR(A374),Assumptions!$A$41:$AL$43,3,TRUE))^(1/12)</f>
        <v>0.99765658905310106</v>
      </c>
      <c r="AD374">
        <f t="shared" si="88"/>
        <v>0</v>
      </c>
      <c r="AE374">
        <f t="shared" si="94"/>
        <v>0</v>
      </c>
    </row>
    <row r="375" spans="1:31" x14ac:dyDescent="0.2">
      <c r="A375" s="2">
        <f t="shared" si="95"/>
        <v>54178</v>
      </c>
      <c r="B375">
        <f t="shared" si="89"/>
        <v>444</v>
      </c>
      <c r="C375">
        <f t="shared" si="81"/>
        <v>36.916666666666664</v>
      </c>
      <c r="D375">
        <f t="shared" si="82"/>
        <v>0</v>
      </c>
      <c r="E375">
        <f t="shared" si="83"/>
        <v>91</v>
      </c>
      <c r="F375">
        <f t="shared" si="84"/>
        <v>83</v>
      </c>
      <c r="G375">
        <f>IF(C375&gt;=$L$2,0,VLOOKUP($E375,'Mortality Table'!$A$3:$C$128,2+H$2,FALSE))</f>
        <v>0</v>
      </c>
      <c r="H375">
        <f>IF(C375&gt;=$L$2,0,VLOOKUP($E375,'Mortality Table'!$A$3:$C$128,2+I$2,FALSE))</f>
        <v>0</v>
      </c>
      <c r="I375" s="17">
        <f>G375*Assumptions!$B$1</f>
        <v>0</v>
      </c>
      <c r="J375" s="17">
        <f>H375*Assumptions!$B$1</f>
        <v>0</v>
      </c>
      <c r="K375">
        <f t="shared" si="85"/>
        <v>0</v>
      </c>
      <c r="L375">
        <f t="shared" si="90"/>
        <v>0</v>
      </c>
      <c r="M375">
        <f>HLOOKUP(C375,Assumptions!$A$6:$J$7,2,TRUE)</f>
        <v>2.6499999999999999E-2</v>
      </c>
      <c r="N375" s="23">
        <f t="shared" si="80"/>
        <v>0</v>
      </c>
      <c r="O375" s="23">
        <f t="shared" si="86"/>
        <v>0</v>
      </c>
      <c r="P375">
        <f t="shared" si="91"/>
        <v>0</v>
      </c>
      <c r="Q375" s="23">
        <f t="shared" si="87"/>
        <v>0</v>
      </c>
      <c r="R375">
        <f>Q374*Assumptions!$B$11/$E$2*N375</f>
        <v>0</v>
      </c>
      <c r="S375">
        <f>Q374*Assumptions!$B$13/$E$2*N375</f>
        <v>0</v>
      </c>
      <c r="T375">
        <f>L375*Assumptions!$B$15</f>
        <v>0</v>
      </c>
      <c r="U375">
        <f>S375*Assumptions!$B$17</f>
        <v>0</v>
      </c>
      <c r="V375">
        <f>HLOOKUP(B375,Assumptions!$A$26:$D$27,2,TRUE)</f>
        <v>0</v>
      </c>
      <c r="W375">
        <f t="shared" si="92"/>
        <v>0</v>
      </c>
      <c r="X375">
        <f t="shared" si="93"/>
        <v>0.9166666666666643</v>
      </c>
      <c r="Y375">
        <f>IF(B375&gt;$M$2,0,IF(X376=0,0,(1-X376)*Assumptions!$B$11/$E$2*(1-Assumptions!$B$30)))</f>
        <v>0</v>
      </c>
      <c r="Z375">
        <f>(R375-S375)*(1-Assumptions!$B$30)-U375+Y374*Q374</f>
        <v>0</v>
      </c>
      <c r="AA375">
        <f>AA374*(1+Assumptions!$B$36)^(1/12)</f>
        <v>1.3523268516015021</v>
      </c>
      <c r="AB375" s="20">
        <f>IF(B375&gt;$M$2,0,AA374*Assumptions!$B$32/12*Q374+Z375*Assumptions!$B$34/12)</f>
        <v>0</v>
      </c>
      <c r="AC375" s="21">
        <f>1/(1+HLOOKUP(YEAR(A375),Assumptions!$A$41:$AL$43,3,TRUE))^(1/12)</f>
        <v>0.99765658905310106</v>
      </c>
      <c r="AD375">
        <f t="shared" si="88"/>
        <v>0</v>
      </c>
      <c r="AE375">
        <f t="shared" si="94"/>
        <v>0</v>
      </c>
    </row>
    <row r="376" spans="1:31" x14ac:dyDescent="0.2">
      <c r="A376" s="2">
        <f t="shared" si="95"/>
        <v>54209</v>
      </c>
      <c r="B376">
        <f t="shared" si="89"/>
        <v>445</v>
      </c>
      <c r="C376">
        <f t="shared" si="81"/>
        <v>37</v>
      </c>
      <c r="D376">
        <f t="shared" si="82"/>
        <v>1</v>
      </c>
      <c r="E376">
        <f t="shared" si="83"/>
        <v>92</v>
      </c>
      <c r="F376">
        <f t="shared" si="84"/>
        <v>84</v>
      </c>
      <c r="G376">
        <f>IF(C376&gt;=$L$2,0,VLOOKUP($E376,'Mortality Table'!$A$3:$C$128,2+H$2,FALSE))</f>
        <v>0</v>
      </c>
      <c r="H376">
        <f>IF(C376&gt;=$L$2,0,VLOOKUP($E376,'Mortality Table'!$A$3:$C$128,2+I$2,FALSE))</f>
        <v>0</v>
      </c>
      <c r="I376" s="17">
        <f>G376*Assumptions!$B$1</f>
        <v>0</v>
      </c>
      <c r="J376" s="17">
        <f>H376*Assumptions!$B$1</f>
        <v>0</v>
      </c>
      <c r="K376">
        <f t="shared" si="85"/>
        <v>0</v>
      </c>
      <c r="L376">
        <f t="shared" si="90"/>
        <v>0</v>
      </c>
      <c r="M376">
        <f>HLOOKUP(C376,Assumptions!$A$6:$J$7,2,TRUE)</f>
        <v>2.6499999999999999E-2</v>
      </c>
      <c r="N376" s="23">
        <f t="shared" si="80"/>
        <v>0</v>
      </c>
      <c r="O376" s="23">
        <f t="shared" si="86"/>
        <v>0</v>
      </c>
      <c r="P376">
        <f t="shared" si="91"/>
        <v>0</v>
      </c>
      <c r="Q376" s="23">
        <f t="shared" si="87"/>
        <v>0</v>
      </c>
      <c r="R376">
        <f>Q375*Assumptions!$B$11/$E$2*N376</f>
        <v>0</v>
      </c>
      <c r="S376">
        <f>Q375*Assumptions!$B$13/$E$2*N376</f>
        <v>0</v>
      </c>
      <c r="T376">
        <f>L376*Assumptions!$B$15</f>
        <v>0</v>
      </c>
      <c r="U376">
        <f>S376*Assumptions!$B$17</f>
        <v>0</v>
      </c>
      <c r="V376">
        <f>HLOOKUP(B376,Assumptions!$A$26:$D$27,2,TRUE)</f>
        <v>0</v>
      </c>
      <c r="W376">
        <f t="shared" si="92"/>
        <v>0</v>
      </c>
      <c r="X376">
        <f t="shared" si="93"/>
        <v>0</v>
      </c>
      <c r="Y376">
        <f>IF(B376&gt;$M$2,0,IF(X377=0,0,(1-X377)*Assumptions!$B$11/$E$2*(1-Assumptions!$B$30)))</f>
        <v>0</v>
      </c>
      <c r="Z376">
        <f>(R376-S376)*(1-Assumptions!$B$30)-U376+Y375*Q375</f>
        <v>0</v>
      </c>
      <c r="AA376">
        <f>AA375*(1+Assumptions!$B$36)^(1/12)</f>
        <v>1.3534486582679592</v>
      </c>
      <c r="AB376" s="20">
        <f>IF(B376&gt;$M$2,0,AA375*Assumptions!$B$32/12*Q375+Z376*Assumptions!$B$34/12)</f>
        <v>0</v>
      </c>
      <c r="AC376" s="21">
        <f>1/(1+HLOOKUP(YEAR(A376),Assumptions!$A$41:$AL$43,3,TRUE))^(1/12)</f>
        <v>0.99765658905310106</v>
      </c>
      <c r="AD376">
        <f t="shared" si="88"/>
        <v>0</v>
      </c>
      <c r="AE376">
        <f t="shared" si="94"/>
        <v>0</v>
      </c>
    </row>
    <row r="377" spans="1:31" x14ac:dyDescent="0.2">
      <c r="A377" s="2">
        <f t="shared" si="95"/>
        <v>54239</v>
      </c>
      <c r="B377">
        <f t="shared" si="89"/>
        <v>446</v>
      </c>
      <c r="C377">
        <f t="shared" si="81"/>
        <v>37.083333333333336</v>
      </c>
      <c r="D377">
        <f t="shared" si="82"/>
        <v>0</v>
      </c>
      <c r="E377">
        <f t="shared" si="83"/>
        <v>92</v>
      </c>
      <c r="F377">
        <f t="shared" si="84"/>
        <v>84</v>
      </c>
      <c r="G377">
        <f>IF(C377&gt;=$L$2,0,VLOOKUP($E377,'Mortality Table'!$A$3:$C$128,2+H$2,FALSE))</f>
        <v>0</v>
      </c>
      <c r="H377">
        <f>IF(C377&gt;=$L$2,0,VLOOKUP($E377,'Mortality Table'!$A$3:$C$128,2+I$2,FALSE))</f>
        <v>0</v>
      </c>
      <c r="I377" s="17">
        <f>G377*Assumptions!$B$1</f>
        <v>0</v>
      </c>
      <c r="J377" s="17">
        <f>H377*Assumptions!$B$1</f>
        <v>0</v>
      </c>
      <c r="K377">
        <f t="shared" si="85"/>
        <v>0</v>
      </c>
      <c r="L377">
        <f t="shared" si="90"/>
        <v>0</v>
      </c>
      <c r="M377">
        <f>HLOOKUP(C377,Assumptions!$A$6:$J$7,2,TRUE)</f>
        <v>2.6499999999999999E-2</v>
      </c>
      <c r="N377" s="23">
        <f t="shared" si="80"/>
        <v>0</v>
      </c>
      <c r="O377" s="23">
        <f t="shared" si="86"/>
        <v>0</v>
      </c>
      <c r="P377">
        <f t="shared" si="91"/>
        <v>0</v>
      </c>
      <c r="Q377" s="23">
        <f t="shared" si="87"/>
        <v>0</v>
      </c>
      <c r="R377">
        <f>Q376*Assumptions!$B$11/$E$2*N377</f>
        <v>0</v>
      </c>
      <c r="S377">
        <f>Q376*Assumptions!$B$13/$E$2*N377</f>
        <v>0</v>
      </c>
      <c r="T377">
        <f>L377*Assumptions!$B$15</f>
        <v>0</v>
      </c>
      <c r="U377">
        <f>S377*Assumptions!$B$17</f>
        <v>0</v>
      </c>
      <c r="V377">
        <f>HLOOKUP(B377,Assumptions!$A$26:$D$27,2,TRUE)</f>
        <v>0</v>
      </c>
      <c r="W377">
        <f t="shared" si="92"/>
        <v>0</v>
      </c>
      <c r="X377">
        <f t="shared" si="93"/>
        <v>8.3333333333335702E-2</v>
      </c>
      <c r="Y377">
        <f>IF(B377&gt;$M$2,0,IF(X378=0,0,(1-X378)*Assumptions!$B$11/$E$2*(1-Assumptions!$B$30)))</f>
        <v>0</v>
      </c>
      <c r="Z377">
        <f>(R377-S377)*(1-Assumptions!$B$30)-U377+Y376*Q376</f>
        <v>0</v>
      </c>
      <c r="AA377">
        <f>AA376*(1+Assumptions!$B$36)^(1/12)</f>
        <v>1.3545713955158032</v>
      </c>
      <c r="AB377" s="20">
        <f>IF(B377&gt;$M$2,0,AA376*Assumptions!$B$32/12*Q376+Z377*Assumptions!$B$34/12)</f>
        <v>0</v>
      </c>
      <c r="AC377" s="21">
        <f>1/(1+HLOOKUP(YEAR(A377),Assumptions!$A$41:$AL$43,3,TRUE))^(1/12)</f>
        <v>0.99765658905310106</v>
      </c>
      <c r="AD377">
        <f t="shared" si="88"/>
        <v>0</v>
      </c>
      <c r="AE377">
        <f t="shared" si="94"/>
        <v>0</v>
      </c>
    </row>
    <row r="378" spans="1:31" x14ac:dyDescent="0.2">
      <c r="A378" s="2">
        <f t="shared" si="95"/>
        <v>54270</v>
      </c>
      <c r="B378">
        <f t="shared" si="89"/>
        <v>447</v>
      </c>
      <c r="C378">
        <f t="shared" si="81"/>
        <v>37.166666666666664</v>
      </c>
      <c r="D378">
        <f t="shared" si="82"/>
        <v>0</v>
      </c>
      <c r="E378">
        <f t="shared" si="83"/>
        <v>92</v>
      </c>
      <c r="F378">
        <f t="shared" si="84"/>
        <v>84</v>
      </c>
      <c r="G378">
        <f>IF(C378&gt;=$L$2,0,VLOOKUP($E378,'Mortality Table'!$A$3:$C$128,2+H$2,FALSE))</f>
        <v>0</v>
      </c>
      <c r="H378">
        <f>IF(C378&gt;=$L$2,0,VLOOKUP($E378,'Mortality Table'!$A$3:$C$128,2+I$2,FALSE))</f>
        <v>0</v>
      </c>
      <c r="I378" s="17">
        <f>G378*Assumptions!$B$1</f>
        <v>0</v>
      </c>
      <c r="J378" s="17">
        <f>H378*Assumptions!$B$1</f>
        <v>0</v>
      </c>
      <c r="K378">
        <f t="shared" si="85"/>
        <v>0</v>
      </c>
      <c r="L378">
        <f t="shared" si="90"/>
        <v>0</v>
      </c>
      <c r="M378">
        <f>HLOOKUP(C378,Assumptions!$A$6:$J$7,2,TRUE)</f>
        <v>2.6499999999999999E-2</v>
      </c>
      <c r="N378" s="23">
        <f t="shared" si="80"/>
        <v>0</v>
      </c>
      <c r="O378" s="23">
        <f t="shared" si="86"/>
        <v>0</v>
      </c>
      <c r="P378">
        <f t="shared" si="91"/>
        <v>0</v>
      </c>
      <c r="Q378" s="23">
        <f t="shared" si="87"/>
        <v>0</v>
      </c>
      <c r="R378">
        <f>Q377*Assumptions!$B$11/$E$2*N378</f>
        <v>0</v>
      </c>
      <c r="S378">
        <f>Q377*Assumptions!$B$13/$E$2*N378</f>
        <v>0</v>
      </c>
      <c r="T378">
        <f>L378*Assumptions!$B$15</f>
        <v>0</v>
      </c>
      <c r="U378">
        <f>S378*Assumptions!$B$17</f>
        <v>0</v>
      </c>
      <c r="V378">
        <f>HLOOKUP(B378,Assumptions!$A$26:$D$27,2,TRUE)</f>
        <v>0</v>
      </c>
      <c r="W378">
        <f t="shared" si="92"/>
        <v>0</v>
      </c>
      <c r="X378">
        <f t="shared" si="93"/>
        <v>0.1666666666666643</v>
      </c>
      <c r="Y378">
        <f>IF(B378&gt;$M$2,0,IF(X379=0,0,(1-X379)*Assumptions!$B$11/$E$2*(1-Assumptions!$B$30)))</f>
        <v>0</v>
      </c>
      <c r="Z378">
        <f>(R378-S378)*(1-Assumptions!$B$30)-U378+Y377*Q377</f>
        <v>0</v>
      </c>
      <c r="AA378">
        <f>AA377*(1+Assumptions!$B$36)^(1/12)</f>
        <v>1.3556950641169867</v>
      </c>
      <c r="AB378" s="20">
        <f>IF(B378&gt;$M$2,0,AA377*Assumptions!$B$32/12*Q377+Z378*Assumptions!$B$34/12)</f>
        <v>0</v>
      </c>
      <c r="AC378" s="21">
        <f>1/(1+HLOOKUP(YEAR(A378),Assumptions!$A$41:$AL$43,3,TRUE))^(1/12)</f>
        <v>0.99765658905310106</v>
      </c>
      <c r="AD378">
        <f t="shared" si="88"/>
        <v>0</v>
      </c>
      <c r="AE378">
        <f t="shared" si="94"/>
        <v>0</v>
      </c>
    </row>
    <row r="379" spans="1:31" x14ac:dyDescent="0.2">
      <c r="A379" s="2">
        <f t="shared" si="95"/>
        <v>54301</v>
      </c>
      <c r="B379">
        <f t="shared" si="89"/>
        <v>448</v>
      </c>
      <c r="C379">
        <f t="shared" si="81"/>
        <v>37.25</v>
      </c>
      <c r="D379">
        <f t="shared" si="82"/>
        <v>0</v>
      </c>
      <c r="E379">
        <f t="shared" si="83"/>
        <v>92</v>
      </c>
      <c r="F379">
        <f t="shared" si="84"/>
        <v>84</v>
      </c>
      <c r="G379">
        <f>IF(C379&gt;=$L$2,0,VLOOKUP($E379,'Mortality Table'!$A$3:$C$128,2+H$2,FALSE))</f>
        <v>0</v>
      </c>
      <c r="H379">
        <f>IF(C379&gt;=$L$2,0,VLOOKUP($E379,'Mortality Table'!$A$3:$C$128,2+I$2,FALSE))</f>
        <v>0</v>
      </c>
      <c r="I379" s="17">
        <f>G379*Assumptions!$B$1</f>
        <v>0</v>
      </c>
      <c r="J379" s="17">
        <f>H379*Assumptions!$B$1</f>
        <v>0</v>
      </c>
      <c r="K379">
        <f t="shared" si="85"/>
        <v>0</v>
      </c>
      <c r="L379">
        <f t="shared" si="90"/>
        <v>0</v>
      </c>
      <c r="M379">
        <f>HLOOKUP(C379,Assumptions!$A$6:$J$7,2,TRUE)</f>
        <v>2.6499999999999999E-2</v>
      </c>
      <c r="N379" s="23">
        <f t="shared" si="80"/>
        <v>0</v>
      </c>
      <c r="O379" s="23">
        <f t="shared" si="86"/>
        <v>0</v>
      </c>
      <c r="P379">
        <f t="shared" si="91"/>
        <v>0</v>
      </c>
      <c r="Q379" s="23">
        <f t="shared" si="87"/>
        <v>0</v>
      </c>
      <c r="R379">
        <f>Q378*Assumptions!$B$11/$E$2*N379</f>
        <v>0</v>
      </c>
      <c r="S379">
        <f>Q378*Assumptions!$B$13/$E$2*N379</f>
        <v>0</v>
      </c>
      <c r="T379">
        <f>L379*Assumptions!$B$15</f>
        <v>0</v>
      </c>
      <c r="U379">
        <f>S379*Assumptions!$B$17</f>
        <v>0</v>
      </c>
      <c r="V379">
        <f>HLOOKUP(B379,Assumptions!$A$26:$D$27,2,TRUE)</f>
        <v>0</v>
      </c>
      <c r="W379">
        <f t="shared" si="92"/>
        <v>0</v>
      </c>
      <c r="X379">
        <f t="shared" si="93"/>
        <v>0.25</v>
      </c>
      <c r="Y379">
        <f>IF(B379&gt;$M$2,0,IF(X380=0,0,(1-X380)*Assumptions!$B$11/$E$2*(1-Assumptions!$B$30)))</f>
        <v>0</v>
      </c>
      <c r="Z379">
        <f>(R379-S379)*(1-Assumptions!$B$30)-U379+Y378*Q378</f>
        <v>0</v>
      </c>
      <c r="AA379">
        <f>AA378*(1+Assumptions!$B$36)^(1/12)</f>
        <v>1.3568196648441027</v>
      </c>
      <c r="AB379" s="20">
        <f>IF(B379&gt;$M$2,0,AA378*Assumptions!$B$32/12*Q378+Z379*Assumptions!$B$34/12)</f>
        <v>0</v>
      </c>
      <c r="AC379" s="21">
        <f>1/(1+HLOOKUP(YEAR(A379),Assumptions!$A$41:$AL$43,3,TRUE))^(1/12)</f>
        <v>0.99765658905310106</v>
      </c>
      <c r="AD379">
        <f t="shared" si="88"/>
        <v>0</v>
      </c>
      <c r="AE379">
        <f t="shared" si="94"/>
        <v>0</v>
      </c>
    </row>
    <row r="380" spans="1:31" x14ac:dyDescent="0.2">
      <c r="A380" s="2">
        <f t="shared" si="95"/>
        <v>54331</v>
      </c>
      <c r="B380">
        <f t="shared" si="89"/>
        <v>449</v>
      </c>
      <c r="C380">
        <f t="shared" si="81"/>
        <v>37.333333333333336</v>
      </c>
      <c r="D380">
        <f t="shared" si="82"/>
        <v>0</v>
      </c>
      <c r="E380">
        <f t="shared" si="83"/>
        <v>92</v>
      </c>
      <c r="F380">
        <f t="shared" si="84"/>
        <v>84</v>
      </c>
      <c r="G380">
        <f>IF(C380&gt;=$L$2,0,VLOOKUP($E380,'Mortality Table'!$A$3:$C$128,2+H$2,FALSE))</f>
        <v>0</v>
      </c>
      <c r="H380">
        <f>IF(C380&gt;=$L$2,0,VLOOKUP($E380,'Mortality Table'!$A$3:$C$128,2+I$2,FALSE))</f>
        <v>0</v>
      </c>
      <c r="I380" s="17">
        <f>G380*Assumptions!$B$1</f>
        <v>0</v>
      </c>
      <c r="J380" s="17">
        <f>H380*Assumptions!$B$1</f>
        <v>0</v>
      </c>
      <c r="K380">
        <f t="shared" si="85"/>
        <v>0</v>
      </c>
      <c r="L380">
        <f t="shared" si="90"/>
        <v>0</v>
      </c>
      <c r="M380">
        <f>HLOOKUP(C380,Assumptions!$A$6:$J$7,2,TRUE)</f>
        <v>2.6499999999999999E-2</v>
      </c>
      <c r="N380" s="23">
        <f t="shared" si="80"/>
        <v>0</v>
      </c>
      <c r="O380" s="23">
        <f t="shared" si="86"/>
        <v>0</v>
      </c>
      <c r="P380">
        <f t="shared" si="91"/>
        <v>0</v>
      </c>
      <c r="Q380" s="23">
        <f t="shared" si="87"/>
        <v>0</v>
      </c>
      <c r="R380">
        <f>Q379*Assumptions!$B$11/$E$2*N380</f>
        <v>0</v>
      </c>
      <c r="S380">
        <f>Q379*Assumptions!$B$13/$E$2*N380</f>
        <v>0</v>
      </c>
      <c r="T380">
        <f>L380*Assumptions!$B$15</f>
        <v>0</v>
      </c>
      <c r="U380">
        <f>S380*Assumptions!$B$17</f>
        <v>0</v>
      </c>
      <c r="V380">
        <f>HLOOKUP(B380,Assumptions!$A$26:$D$27,2,TRUE)</f>
        <v>0</v>
      </c>
      <c r="W380">
        <f t="shared" si="92"/>
        <v>0</v>
      </c>
      <c r="X380">
        <f t="shared" si="93"/>
        <v>0.3333333333333357</v>
      </c>
      <c r="Y380">
        <f>IF(B380&gt;$M$2,0,IF(X381=0,0,(1-X381)*Assumptions!$B$11/$E$2*(1-Assumptions!$B$30)))</f>
        <v>0</v>
      </c>
      <c r="Z380">
        <f>(R380-S380)*(1-Assumptions!$B$30)-U380+Y379*Q379</f>
        <v>0</v>
      </c>
      <c r="AA380">
        <f>AA379*(1+Assumptions!$B$36)^(1/12)</f>
        <v>1.3579451984703852</v>
      </c>
      <c r="AB380" s="20">
        <f>IF(B380&gt;$M$2,0,AA379*Assumptions!$B$32/12*Q379+Z380*Assumptions!$B$34/12)</f>
        <v>0</v>
      </c>
      <c r="AC380" s="21">
        <f>1/(1+HLOOKUP(YEAR(A380),Assumptions!$A$41:$AL$43,3,TRUE))^(1/12)</f>
        <v>0.99765658905310106</v>
      </c>
      <c r="AD380">
        <f t="shared" si="88"/>
        <v>0</v>
      </c>
      <c r="AE380">
        <f t="shared" si="94"/>
        <v>0</v>
      </c>
    </row>
    <row r="381" spans="1:31" x14ac:dyDescent="0.2">
      <c r="A381" s="2">
        <f t="shared" si="95"/>
        <v>54362</v>
      </c>
      <c r="B381">
        <f t="shared" si="89"/>
        <v>450</v>
      </c>
      <c r="C381">
        <f t="shared" si="81"/>
        <v>37.416666666666664</v>
      </c>
      <c r="D381">
        <f t="shared" si="82"/>
        <v>0</v>
      </c>
      <c r="E381">
        <f t="shared" si="83"/>
        <v>92</v>
      </c>
      <c r="F381">
        <f t="shared" si="84"/>
        <v>84</v>
      </c>
      <c r="G381">
        <f>IF(C381&gt;=$L$2,0,VLOOKUP($E381,'Mortality Table'!$A$3:$C$128,2+H$2,FALSE))</f>
        <v>0</v>
      </c>
      <c r="H381">
        <f>IF(C381&gt;=$L$2,0,VLOOKUP($E381,'Mortality Table'!$A$3:$C$128,2+I$2,FALSE))</f>
        <v>0</v>
      </c>
      <c r="I381" s="17">
        <f>G381*Assumptions!$B$1</f>
        <v>0</v>
      </c>
      <c r="J381" s="17">
        <f>H381*Assumptions!$B$1</f>
        <v>0</v>
      </c>
      <c r="K381">
        <f t="shared" si="85"/>
        <v>0</v>
      </c>
      <c r="L381">
        <f t="shared" si="90"/>
        <v>0</v>
      </c>
      <c r="M381">
        <f>HLOOKUP(C381,Assumptions!$A$6:$J$7,2,TRUE)</f>
        <v>2.6499999999999999E-2</v>
      </c>
      <c r="N381" s="23">
        <f t="shared" si="80"/>
        <v>0</v>
      </c>
      <c r="O381" s="23">
        <f t="shared" si="86"/>
        <v>0</v>
      </c>
      <c r="P381">
        <f t="shared" si="91"/>
        <v>0</v>
      </c>
      <c r="Q381" s="23">
        <f t="shared" si="87"/>
        <v>0</v>
      </c>
      <c r="R381">
        <f>Q380*Assumptions!$B$11/$E$2*N381</f>
        <v>0</v>
      </c>
      <c r="S381">
        <f>Q380*Assumptions!$B$13/$E$2*N381</f>
        <v>0</v>
      </c>
      <c r="T381">
        <f>L381*Assumptions!$B$15</f>
        <v>0</v>
      </c>
      <c r="U381">
        <f>S381*Assumptions!$B$17</f>
        <v>0</v>
      </c>
      <c r="V381">
        <f>HLOOKUP(B381,Assumptions!$A$26:$D$27,2,TRUE)</f>
        <v>0</v>
      </c>
      <c r="W381">
        <f t="shared" si="92"/>
        <v>0</v>
      </c>
      <c r="X381">
        <f t="shared" si="93"/>
        <v>0.4166666666666643</v>
      </c>
      <c r="Y381">
        <f>IF(B381&gt;$M$2,0,IF(X382=0,0,(1-X382)*Assumptions!$B$11/$E$2*(1-Assumptions!$B$30)))</f>
        <v>0</v>
      </c>
      <c r="Z381">
        <f>(R381-S381)*(1-Assumptions!$B$30)-U381+Y380*Q380</f>
        <v>0</v>
      </c>
      <c r="AA381">
        <f>AA380*(1+Assumptions!$B$36)^(1/12)</f>
        <v>1.3590716657697097</v>
      </c>
      <c r="AB381" s="20">
        <f>IF(B381&gt;$M$2,0,AA380*Assumptions!$B$32/12*Q380+Z381*Assumptions!$B$34/12)</f>
        <v>0</v>
      </c>
      <c r="AC381" s="21">
        <f>1/(1+HLOOKUP(YEAR(A381),Assumptions!$A$41:$AL$43,3,TRUE))^(1/12)</f>
        <v>0.99765658905310106</v>
      </c>
      <c r="AD381">
        <f t="shared" si="88"/>
        <v>0</v>
      </c>
      <c r="AE381">
        <f t="shared" si="94"/>
        <v>0</v>
      </c>
    </row>
    <row r="382" spans="1:31" x14ac:dyDescent="0.2">
      <c r="A382" s="2">
        <f t="shared" si="95"/>
        <v>54392</v>
      </c>
      <c r="B382">
        <f t="shared" si="89"/>
        <v>451</v>
      </c>
      <c r="C382">
        <f t="shared" si="81"/>
        <v>37.5</v>
      </c>
      <c r="D382">
        <f t="shared" si="82"/>
        <v>0</v>
      </c>
      <c r="E382">
        <f t="shared" si="83"/>
        <v>92</v>
      </c>
      <c r="F382">
        <f t="shared" si="84"/>
        <v>84</v>
      </c>
      <c r="G382">
        <f>IF(C382&gt;=$L$2,0,VLOOKUP($E382,'Mortality Table'!$A$3:$C$128,2+H$2,FALSE))</f>
        <v>0</v>
      </c>
      <c r="H382">
        <f>IF(C382&gt;=$L$2,0,VLOOKUP($E382,'Mortality Table'!$A$3:$C$128,2+I$2,FALSE))</f>
        <v>0</v>
      </c>
      <c r="I382" s="17">
        <f>G382*Assumptions!$B$1</f>
        <v>0</v>
      </c>
      <c r="J382" s="17">
        <f>H382*Assumptions!$B$1</f>
        <v>0</v>
      </c>
      <c r="K382">
        <f t="shared" si="85"/>
        <v>0</v>
      </c>
      <c r="L382">
        <f t="shared" si="90"/>
        <v>0</v>
      </c>
      <c r="M382">
        <f>HLOOKUP(C382,Assumptions!$A$6:$J$7,2,TRUE)</f>
        <v>2.6499999999999999E-2</v>
      </c>
      <c r="N382" s="23">
        <f t="shared" si="80"/>
        <v>0</v>
      </c>
      <c r="O382" s="23">
        <f t="shared" si="86"/>
        <v>0</v>
      </c>
      <c r="P382">
        <f t="shared" si="91"/>
        <v>0</v>
      </c>
      <c r="Q382" s="23">
        <f t="shared" si="87"/>
        <v>0</v>
      </c>
      <c r="R382">
        <f>Q381*Assumptions!$B$11/$E$2*N382</f>
        <v>0</v>
      </c>
      <c r="S382">
        <f>Q381*Assumptions!$B$13/$E$2*N382</f>
        <v>0</v>
      </c>
      <c r="T382">
        <f>L382*Assumptions!$B$15</f>
        <v>0</v>
      </c>
      <c r="U382">
        <f>S382*Assumptions!$B$17</f>
        <v>0</v>
      </c>
      <c r="V382">
        <f>HLOOKUP(B382,Assumptions!$A$26:$D$27,2,TRUE)</f>
        <v>0</v>
      </c>
      <c r="W382">
        <f t="shared" si="92"/>
        <v>0</v>
      </c>
      <c r="X382">
        <f t="shared" si="93"/>
        <v>0.5</v>
      </c>
      <c r="Y382">
        <f>IF(B382&gt;$M$2,0,IF(X383=0,0,(1-X383)*Assumptions!$B$11/$E$2*(1-Assumptions!$B$30)))</f>
        <v>0</v>
      </c>
      <c r="Z382">
        <f>(R382-S382)*(1-Assumptions!$B$30)-U382+Y381*Q381</f>
        <v>0</v>
      </c>
      <c r="AA382">
        <f>AA381*(1+Assumptions!$B$36)^(1/12)</f>
        <v>1.3601990675165936</v>
      </c>
      <c r="AB382" s="20">
        <f>IF(B382&gt;$M$2,0,AA381*Assumptions!$B$32/12*Q381+Z382*Assumptions!$B$34/12)</f>
        <v>0</v>
      </c>
      <c r="AC382" s="21">
        <f>1/(1+HLOOKUP(YEAR(A382),Assumptions!$A$41:$AL$43,3,TRUE))^(1/12)</f>
        <v>0.99765658905310106</v>
      </c>
      <c r="AD382">
        <f t="shared" si="88"/>
        <v>0</v>
      </c>
      <c r="AE382">
        <f t="shared" si="94"/>
        <v>0</v>
      </c>
    </row>
    <row r="383" spans="1:31" x14ac:dyDescent="0.2">
      <c r="A383" s="2">
        <f t="shared" si="95"/>
        <v>54423</v>
      </c>
      <c r="B383">
        <f t="shared" si="89"/>
        <v>452</v>
      </c>
      <c r="C383">
        <f t="shared" si="81"/>
        <v>37.583333333333336</v>
      </c>
      <c r="D383">
        <f t="shared" si="82"/>
        <v>0</v>
      </c>
      <c r="E383">
        <f t="shared" si="83"/>
        <v>92</v>
      </c>
      <c r="F383">
        <f t="shared" si="84"/>
        <v>84</v>
      </c>
      <c r="G383">
        <f>IF(C383&gt;=$L$2,0,VLOOKUP($E383,'Mortality Table'!$A$3:$C$128,2+H$2,FALSE))</f>
        <v>0</v>
      </c>
      <c r="H383">
        <f>IF(C383&gt;=$L$2,0,VLOOKUP($E383,'Mortality Table'!$A$3:$C$128,2+I$2,FALSE))</f>
        <v>0</v>
      </c>
      <c r="I383" s="17">
        <f>G383*Assumptions!$B$1</f>
        <v>0</v>
      </c>
      <c r="J383" s="17">
        <f>H383*Assumptions!$B$1</f>
        <v>0</v>
      </c>
      <c r="K383">
        <f t="shared" si="85"/>
        <v>0</v>
      </c>
      <c r="L383">
        <f t="shared" si="90"/>
        <v>0</v>
      </c>
      <c r="M383">
        <f>HLOOKUP(C383,Assumptions!$A$6:$J$7,2,TRUE)</f>
        <v>2.6499999999999999E-2</v>
      </c>
      <c r="N383" s="23">
        <f t="shared" si="80"/>
        <v>0</v>
      </c>
      <c r="O383" s="23">
        <f t="shared" si="86"/>
        <v>0</v>
      </c>
      <c r="P383">
        <f t="shared" si="91"/>
        <v>0</v>
      </c>
      <c r="Q383" s="23">
        <f t="shared" si="87"/>
        <v>0</v>
      </c>
      <c r="R383">
        <f>Q382*Assumptions!$B$11/$E$2*N383</f>
        <v>0</v>
      </c>
      <c r="S383">
        <f>Q382*Assumptions!$B$13/$E$2*N383</f>
        <v>0</v>
      </c>
      <c r="T383">
        <f>L383*Assumptions!$B$15</f>
        <v>0</v>
      </c>
      <c r="U383">
        <f>S383*Assumptions!$B$17</f>
        <v>0</v>
      </c>
      <c r="V383">
        <f>HLOOKUP(B383,Assumptions!$A$26:$D$27,2,TRUE)</f>
        <v>0</v>
      </c>
      <c r="W383">
        <f t="shared" si="92"/>
        <v>0</v>
      </c>
      <c r="X383">
        <f t="shared" si="93"/>
        <v>0.5833333333333357</v>
      </c>
      <c r="Y383">
        <f>IF(B383&gt;$M$2,0,IF(X384=0,0,(1-X384)*Assumptions!$B$11/$E$2*(1-Assumptions!$B$30)))</f>
        <v>0</v>
      </c>
      <c r="Z383">
        <f>(R383-S383)*(1-Assumptions!$B$30)-U383+Y382*Q382</f>
        <v>0</v>
      </c>
      <c r="AA383">
        <f>AA382*(1+Assumptions!$B$36)^(1/12)</f>
        <v>1.3613274044861967</v>
      </c>
      <c r="AB383" s="20">
        <f>IF(B383&gt;$M$2,0,AA382*Assumptions!$B$32/12*Q382+Z383*Assumptions!$B$34/12)</f>
        <v>0</v>
      </c>
      <c r="AC383" s="21">
        <f>1/(1+HLOOKUP(YEAR(A383),Assumptions!$A$41:$AL$43,3,TRUE))^(1/12)</f>
        <v>0.99765658905310106</v>
      </c>
      <c r="AD383">
        <f t="shared" si="88"/>
        <v>0</v>
      </c>
      <c r="AE383">
        <f t="shared" si="94"/>
        <v>0</v>
      </c>
    </row>
    <row r="384" spans="1:31" x14ac:dyDescent="0.2">
      <c r="A384" s="2">
        <f t="shared" si="95"/>
        <v>54454</v>
      </c>
      <c r="B384">
        <f t="shared" si="89"/>
        <v>453</v>
      </c>
      <c r="C384">
        <f t="shared" si="81"/>
        <v>37.666666666666664</v>
      </c>
      <c r="D384">
        <f t="shared" si="82"/>
        <v>0</v>
      </c>
      <c r="E384">
        <f t="shared" si="83"/>
        <v>92</v>
      </c>
      <c r="F384">
        <f t="shared" si="84"/>
        <v>84</v>
      </c>
      <c r="G384">
        <f>IF(C384&gt;=$L$2,0,VLOOKUP($E384,'Mortality Table'!$A$3:$C$128,2+H$2,FALSE))</f>
        <v>0</v>
      </c>
      <c r="H384">
        <f>IF(C384&gt;=$L$2,0,VLOOKUP($E384,'Mortality Table'!$A$3:$C$128,2+I$2,FALSE))</f>
        <v>0</v>
      </c>
      <c r="I384" s="17">
        <f>G384*Assumptions!$B$1</f>
        <v>0</v>
      </c>
      <c r="J384" s="17">
        <f>H384*Assumptions!$B$1</f>
        <v>0</v>
      </c>
      <c r="K384">
        <f t="shared" si="85"/>
        <v>0</v>
      </c>
      <c r="L384">
        <f t="shared" si="90"/>
        <v>0</v>
      </c>
      <c r="M384">
        <f>HLOOKUP(C384,Assumptions!$A$6:$J$7,2,TRUE)</f>
        <v>2.6499999999999999E-2</v>
      </c>
      <c r="N384" s="23">
        <f t="shared" si="80"/>
        <v>0</v>
      </c>
      <c r="O384" s="23">
        <f t="shared" si="86"/>
        <v>0</v>
      </c>
      <c r="P384">
        <f t="shared" si="91"/>
        <v>0</v>
      </c>
      <c r="Q384" s="23">
        <f t="shared" si="87"/>
        <v>0</v>
      </c>
      <c r="R384">
        <f>Q383*Assumptions!$B$11/$E$2*N384</f>
        <v>0</v>
      </c>
      <c r="S384">
        <f>Q383*Assumptions!$B$13/$E$2*N384</f>
        <v>0</v>
      </c>
      <c r="T384">
        <f>L384*Assumptions!$B$15</f>
        <v>0</v>
      </c>
      <c r="U384">
        <f>S384*Assumptions!$B$17</f>
        <v>0</v>
      </c>
      <c r="V384">
        <f>HLOOKUP(B384,Assumptions!$A$26:$D$27,2,TRUE)</f>
        <v>0</v>
      </c>
      <c r="W384">
        <f t="shared" si="92"/>
        <v>0</v>
      </c>
      <c r="X384">
        <f t="shared" si="93"/>
        <v>0.6666666666666643</v>
      </c>
      <c r="Y384">
        <f>IF(B384&gt;$M$2,0,IF(X385=0,0,(1-X385)*Assumptions!$B$11/$E$2*(1-Assumptions!$B$30)))</f>
        <v>0</v>
      </c>
      <c r="Z384">
        <f>(R384-S384)*(1-Assumptions!$B$30)-U384+Y383*Q383</f>
        <v>0</v>
      </c>
      <c r="AA384">
        <f>AA383*(1+Assumptions!$B$36)^(1/12)</f>
        <v>1.3624566774543219</v>
      </c>
      <c r="AB384" s="20">
        <f>IF(B384&gt;$M$2,0,AA383*Assumptions!$B$32/12*Q383+Z384*Assumptions!$B$34/12)</f>
        <v>0</v>
      </c>
      <c r="AC384" s="21">
        <f>1/(1+HLOOKUP(YEAR(A384),Assumptions!$A$41:$AL$43,3,TRUE))^(1/12)</f>
        <v>0.99763832364051397</v>
      </c>
      <c r="AD384">
        <f t="shared" si="88"/>
        <v>0</v>
      </c>
      <c r="AE384">
        <f t="shared" si="94"/>
        <v>0</v>
      </c>
    </row>
    <row r="385" spans="1:31" x14ac:dyDescent="0.2">
      <c r="A385" s="2">
        <f t="shared" si="95"/>
        <v>54482</v>
      </c>
      <c r="B385">
        <f t="shared" si="89"/>
        <v>454</v>
      </c>
      <c r="C385">
        <f t="shared" si="81"/>
        <v>37.75</v>
      </c>
      <c r="D385">
        <f t="shared" si="82"/>
        <v>0</v>
      </c>
      <c r="E385">
        <f t="shared" si="83"/>
        <v>92</v>
      </c>
      <c r="F385">
        <f t="shared" si="84"/>
        <v>84</v>
      </c>
      <c r="G385">
        <f>IF(C385&gt;=$L$2,0,VLOOKUP($E385,'Mortality Table'!$A$3:$C$128,2+H$2,FALSE))</f>
        <v>0</v>
      </c>
      <c r="H385">
        <f>IF(C385&gt;=$L$2,0,VLOOKUP($E385,'Mortality Table'!$A$3:$C$128,2+I$2,FALSE))</f>
        <v>0</v>
      </c>
      <c r="I385" s="17">
        <f>G385*Assumptions!$B$1</f>
        <v>0</v>
      </c>
      <c r="J385" s="17">
        <f>H385*Assumptions!$B$1</f>
        <v>0</v>
      </c>
      <c r="K385">
        <f t="shared" si="85"/>
        <v>0</v>
      </c>
      <c r="L385">
        <f t="shared" si="90"/>
        <v>0</v>
      </c>
      <c r="M385">
        <f>HLOOKUP(C385,Assumptions!$A$6:$J$7,2,TRUE)</f>
        <v>2.6499999999999999E-2</v>
      </c>
      <c r="N385" s="23">
        <f t="shared" si="80"/>
        <v>0</v>
      </c>
      <c r="O385" s="23">
        <f t="shared" si="86"/>
        <v>0</v>
      </c>
      <c r="P385">
        <f t="shared" si="91"/>
        <v>0</v>
      </c>
      <c r="Q385" s="23">
        <f t="shared" si="87"/>
        <v>0</v>
      </c>
      <c r="R385">
        <f>Q384*Assumptions!$B$11/$E$2*N385</f>
        <v>0</v>
      </c>
      <c r="S385">
        <f>Q384*Assumptions!$B$13/$E$2*N385</f>
        <v>0</v>
      </c>
      <c r="T385">
        <f>L385*Assumptions!$B$15</f>
        <v>0</v>
      </c>
      <c r="U385">
        <f>S385*Assumptions!$B$17</f>
        <v>0</v>
      </c>
      <c r="V385">
        <f>HLOOKUP(B385,Assumptions!$A$26:$D$27,2,TRUE)</f>
        <v>0</v>
      </c>
      <c r="W385">
        <f t="shared" si="92"/>
        <v>0</v>
      </c>
      <c r="X385">
        <f t="shared" si="93"/>
        <v>0.75</v>
      </c>
      <c r="Y385">
        <f>IF(B385&gt;$M$2,0,IF(X386=0,0,(1-X386)*Assumptions!$B$11/$E$2*(1-Assumptions!$B$30)))</f>
        <v>0</v>
      </c>
      <c r="Z385">
        <f>(R385-S385)*(1-Assumptions!$B$30)-U385+Y384*Q384</f>
        <v>0</v>
      </c>
      <c r="AA385">
        <f>AA384*(1+Assumptions!$B$36)^(1/12)</f>
        <v>1.3635868871974157</v>
      </c>
      <c r="AB385" s="20">
        <f>IF(B385&gt;$M$2,0,AA384*Assumptions!$B$32/12*Q384+Z385*Assumptions!$B$34/12)</f>
        <v>0</v>
      </c>
      <c r="AC385" s="21">
        <f>1/(1+HLOOKUP(YEAR(A385),Assumptions!$A$41:$AL$43,3,TRUE))^(1/12)</f>
        <v>0.99763832364051397</v>
      </c>
      <c r="AD385">
        <f t="shared" si="88"/>
        <v>0</v>
      </c>
      <c r="AE385">
        <f t="shared" si="94"/>
        <v>0</v>
      </c>
    </row>
    <row r="386" spans="1:31" x14ac:dyDescent="0.2">
      <c r="A386" s="2">
        <f t="shared" si="95"/>
        <v>54513</v>
      </c>
      <c r="B386">
        <f t="shared" si="89"/>
        <v>455</v>
      </c>
      <c r="C386">
        <f t="shared" si="81"/>
        <v>37.833333333333336</v>
      </c>
      <c r="D386">
        <f t="shared" si="82"/>
        <v>0</v>
      </c>
      <c r="E386">
        <f t="shared" si="83"/>
        <v>92</v>
      </c>
      <c r="F386">
        <f t="shared" si="84"/>
        <v>84</v>
      </c>
      <c r="G386">
        <f>IF(C386&gt;=$L$2,0,VLOOKUP($E386,'Mortality Table'!$A$3:$C$128,2+H$2,FALSE))</f>
        <v>0</v>
      </c>
      <c r="H386">
        <f>IF(C386&gt;=$L$2,0,VLOOKUP($E386,'Mortality Table'!$A$3:$C$128,2+I$2,FALSE))</f>
        <v>0</v>
      </c>
      <c r="I386" s="17">
        <f>G386*Assumptions!$B$1</f>
        <v>0</v>
      </c>
      <c r="J386" s="17">
        <f>H386*Assumptions!$B$1</f>
        <v>0</v>
      </c>
      <c r="K386">
        <f t="shared" si="85"/>
        <v>0</v>
      </c>
      <c r="L386">
        <f t="shared" si="90"/>
        <v>0</v>
      </c>
      <c r="M386">
        <f>HLOOKUP(C386,Assumptions!$A$6:$J$7,2,TRUE)</f>
        <v>2.6499999999999999E-2</v>
      </c>
      <c r="N386" s="23">
        <f t="shared" si="80"/>
        <v>0</v>
      </c>
      <c r="O386" s="23">
        <f t="shared" si="86"/>
        <v>0</v>
      </c>
      <c r="P386">
        <f t="shared" si="91"/>
        <v>0</v>
      </c>
      <c r="Q386" s="23">
        <f t="shared" si="87"/>
        <v>0</v>
      </c>
      <c r="R386">
        <f>Q385*Assumptions!$B$11/$E$2*N386</f>
        <v>0</v>
      </c>
      <c r="S386">
        <f>Q385*Assumptions!$B$13/$E$2*N386</f>
        <v>0</v>
      </c>
      <c r="T386">
        <f>L386*Assumptions!$B$15</f>
        <v>0</v>
      </c>
      <c r="U386">
        <f>S386*Assumptions!$B$17</f>
        <v>0</v>
      </c>
      <c r="V386">
        <f>HLOOKUP(B386,Assumptions!$A$26:$D$27,2,TRUE)</f>
        <v>0</v>
      </c>
      <c r="W386">
        <f t="shared" si="92"/>
        <v>0</v>
      </c>
      <c r="X386">
        <f t="shared" si="93"/>
        <v>0.8333333333333357</v>
      </c>
      <c r="Y386">
        <f>IF(B386&gt;$M$2,0,IF(X387=0,0,(1-X387)*Assumptions!$B$11/$E$2*(1-Assumptions!$B$30)))</f>
        <v>0</v>
      </c>
      <c r="Z386">
        <f>(R386-S386)*(1-Assumptions!$B$30)-U386+Y385*Q385</f>
        <v>0</v>
      </c>
      <c r="AA386">
        <f>AA385*(1+Assumptions!$B$36)^(1/12)</f>
        <v>1.3647180344925687</v>
      </c>
      <c r="AB386" s="20">
        <f>IF(B386&gt;$M$2,0,AA385*Assumptions!$B$32/12*Q385+Z386*Assumptions!$B$34/12)</f>
        <v>0</v>
      </c>
      <c r="AC386" s="21">
        <f>1/(1+HLOOKUP(YEAR(A386),Assumptions!$A$41:$AL$43,3,TRUE))^(1/12)</f>
        <v>0.99763832364051397</v>
      </c>
      <c r="AD386">
        <f t="shared" si="88"/>
        <v>0</v>
      </c>
      <c r="AE386">
        <f t="shared" si="94"/>
        <v>0</v>
      </c>
    </row>
    <row r="387" spans="1:31" x14ac:dyDescent="0.2">
      <c r="A387" s="2">
        <f t="shared" si="95"/>
        <v>54543</v>
      </c>
      <c r="B387">
        <f t="shared" si="89"/>
        <v>456</v>
      </c>
      <c r="C387">
        <f t="shared" si="81"/>
        <v>37.916666666666664</v>
      </c>
      <c r="D387">
        <f t="shared" si="82"/>
        <v>0</v>
      </c>
      <c r="E387">
        <f t="shared" si="83"/>
        <v>92</v>
      </c>
      <c r="F387">
        <f t="shared" si="84"/>
        <v>84</v>
      </c>
      <c r="G387">
        <f>IF(C387&gt;=$L$2,0,VLOOKUP($E387,'Mortality Table'!$A$3:$C$128,2+H$2,FALSE))</f>
        <v>0</v>
      </c>
      <c r="H387">
        <f>IF(C387&gt;=$L$2,0,VLOOKUP($E387,'Mortality Table'!$A$3:$C$128,2+I$2,FALSE))</f>
        <v>0</v>
      </c>
      <c r="I387" s="17">
        <f>G387*Assumptions!$B$1</f>
        <v>0</v>
      </c>
      <c r="J387" s="17">
        <f>H387*Assumptions!$B$1</f>
        <v>0</v>
      </c>
      <c r="K387">
        <f t="shared" si="85"/>
        <v>0</v>
      </c>
      <c r="L387">
        <f t="shared" si="90"/>
        <v>0</v>
      </c>
      <c r="M387">
        <f>HLOOKUP(C387,Assumptions!$A$6:$J$7,2,TRUE)</f>
        <v>2.6499999999999999E-2</v>
      </c>
      <c r="N387" s="23">
        <f t="shared" si="80"/>
        <v>0</v>
      </c>
      <c r="O387" s="23">
        <f t="shared" si="86"/>
        <v>0</v>
      </c>
      <c r="P387">
        <f t="shared" si="91"/>
        <v>0</v>
      </c>
      <c r="Q387" s="23">
        <f t="shared" si="87"/>
        <v>0</v>
      </c>
      <c r="R387">
        <f>Q386*Assumptions!$B$11/$E$2*N387</f>
        <v>0</v>
      </c>
      <c r="S387">
        <f>Q386*Assumptions!$B$13/$E$2*N387</f>
        <v>0</v>
      </c>
      <c r="T387">
        <f>L387*Assumptions!$B$15</f>
        <v>0</v>
      </c>
      <c r="U387">
        <f>S387*Assumptions!$B$17</f>
        <v>0</v>
      </c>
      <c r="V387">
        <f>HLOOKUP(B387,Assumptions!$A$26:$D$27,2,TRUE)</f>
        <v>0</v>
      </c>
      <c r="W387">
        <f t="shared" si="92"/>
        <v>0</v>
      </c>
      <c r="X387">
        <f t="shared" si="93"/>
        <v>0.9166666666666643</v>
      </c>
      <c r="Y387">
        <f>IF(B387&gt;$M$2,0,IF(X388=0,0,(1-X388)*Assumptions!$B$11/$E$2*(1-Assumptions!$B$30)))</f>
        <v>0</v>
      </c>
      <c r="Z387">
        <f>(R387-S387)*(1-Assumptions!$B$30)-U387+Y386*Q386</f>
        <v>0</v>
      </c>
      <c r="AA387">
        <f>AA386*(1+Assumptions!$B$36)^(1/12)</f>
        <v>1.3658501201175159</v>
      </c>
      <c r="AB387" s="20">
        <f>IF(B387&gt;$M$2,0,AA386*Assumptions!$B$32/12*Q386+Z387*Assumptions!$B$34/12)</f>
        <v>0</v>
      </c>
      <c r="AC387" s="21">
        <f>1/(1+HLOOKUP(YEAR(A387),Assumptions!$A$41:$AL$43,3,TRUE))^(1/12)</f>
        <v>0.99763832364051397</v>
      </c>
      <c r="AD387">
        <f t="shared" si="88"/>
        <v>0</v>
      </c>
      <c r="AE387">
        <f t="shared" si="94"/>
        <v>0</v>
      </c>
    </row>
    <row r="388" spans="1:31" x14ac:dyDescent="0.2">
      <c r="A388" s="2">
        <f t="shared" si="95"/>
        <v>54574</v>
      </c>
      <c r="B388">
        <f t="shared" si="89"/>
        <v>457</v>
      </c>
      <c r="C388">
        <f t="shared" si="81"/>
        <v>38</v>
      </c>
      <c r="D388">
        <f t="shared" si="82"/>
        <v>1</v>
      </c>
      <c r="E388">
        <f t="shared" si="83"/>
        <v>93</v>
      </c>
      <c r="F388">
        <f t="shared" si="84"/>
        <v>85</v>
      </c>
      <c r="G388">
        <f>IF(C388&gt;=$L$2,0,VLOOKUP($E388,'Mortality Table'!$A$3:$C$128,2+H$2,FALSE))</f>
        <v>0</v>
      </c>
      <c r="H388">
        <f>IF(C388&gt;=$L$2,0,VLOOKUP($E388,'Mortality Table'!$A$3:$C$128,2+I$2,FALSE))</f>
        <v>0</v>
      </c>
      <c r="I388" s="17">
        <f>G388*Assumptions!$B$1</f>
        <v>0</v>
      </c>
      <c r="J388" s="17">
        <f>H388*Assumptions!$B$1</f>
        <v>0</v>
      </c>
      <c r="K388">
        <f t="shared" si="85"/>
        <v>0</v>
      </c>
      <c r="L388">
        <f t="shared" si="90"/>
        <v>0</v>
      </c>
      <c r="M388">
        <f>HLOOKUP(C388,Assumptions!$A$6:$J$7,2,TRUE)</f>
        <v>2.6499999999999999E-2</v>
      </c>
      <c r="N388" s="23">
        <f t="shared" si="80"/>
        <v>0</v>
      </c>
      <c r="O388" s="23">
        <f t="shared" si="86"/>
        <v>0</v>
      </c>
      <c r="P388">
        <f t="shared" si="91"/>
        <v>0</v>
      </c>
      <c r="Q388" s="23">
        <f t="shared" si="87"/>
        <v>0</v>
      </c>
      <c r="R388">
        <f>Q387*Assumptions!$B$11/$E$2*N388</f>
        <v>0</v>
      </c>
      <c r="S388">
        <f>Q387*Assumptions!$B$13/$E$2*N388</f>
        <v>0</v>
      </c>
      <c r="T388">
        <f>L388*Assumptions!$B$15</f>
        <v>0</v>
      </c>
      <c r="U388">
        <f>S388*Assumptions!$B$17</f>
        <v>0</v>
      </c>
      <c r="V388">
        <f>HLOOKUP(B388,Assumptions!$A$26:$D$27,2,TRUE)</f>
        <v>0</v>
      </c>
      <c r="W388">
        <f t="shared" si="92"/>
        <v>0</v>
      </c>
      <c r="X388">
        <f t="shared" si="93"/>
        <v>0</v>
      </c>
      <c r="Y388">
        <f>IF(B388&gt;$M$2,0,IF(X389=0,0,(1-X389)*Assumptions!$B$11/$E$2*(1-Assumptions!$B$30)))</f>
        <v>0</v>
      </c>
      <c r="Z388">
        <f>(R388-S388)*(1-Assumptions!$B$30)-U388+Y387*Q387</f>
        <v>0</v>
      </c>
      <c r="AA388">
        <f>AA387*(1+Assumptions!$B$36)^(1/12)</f>
        <v>1.3669831448506378</v>
      </c>
      <c r="AB388" s="20">
        <f>IF(B388&gt;$M$2,0,AA387*Assumptions!$B$32/12*Q387+Z388*Assumptions!$B$34/12)</f>
        <v>0</v>
      </c>
      <c r="AC388" s="21">
        <f>1/(1+HLOOKUP(YEAR(A388),Assumptions!$A$41:$AL$43,3,TRUE))^(1/12)</f>
        <v>0.99763832364051397</v>
      </c>
      <c r="AD388">
        <f t="shared" si="88"/>
        <v>0</v>
      </c>
      <c r="AE388">
        <f t="shared" si="94"/>
        <v>0</v>
      </c>
    </row>
    <row r="389" spans="1:31" x14ac:dyDescent="0.2">
      <c r="A389" s="2">
        <f t="shared" si="95"/>
        <v>54604</v>
      </c>
      <c r="B389">
        <f t="shared" si="89"/>
        <v>458</v>
      </c>
      <c r="C389">
        <f t="shared" si="81"/>
        <v>38.083333333333336</v>
      </c>
      <c r="D389">
        <f t="shared" si="82"/>
        <v>0</v>
      </c>
      <c r="E389">
        <f t="shared" si="83"/>
        <v>93</v>
      </c>
      <c r="F389">
        <f t="shared" si="84"/>
        <v>85</v>
      </c>
      <c r="G389">
        <f>IF(C389&gt;=$L$2,0,VLOOKUP($E389,'Mortality Table'!$A$3:$C$128,2+H$2,FALSE))</f>
        <v>0</v>
      </c>
      <c r="H389">
        <f>IF(C389&gt;=$L$2,0,VLOOKUP($E389,'Mortality Table'!$A$3:$C$128,2+I$2,FALSE))</f>
        <v>0</v>
      </c>
      <c r="I389" s="17">
        <f>G389*Assumptions!$B$1</f>
        <v>0</v>
      </c>
      <c r="J389" s="17">
        <f>H389*Assumptions!$B$1</f>
        <v>0</v>
      </c>
      <c r="K389">
        <f t="shared" si="85"/>
        <v>0</v>
      </c>
      <c r="L389">
        <f t="shared" si="90"/>
        <v>0</v>
      </c>
      <c r="M389">
        <f>HLOOKUP(C389,Assumptions!$A$6:$J$7,2,TRUE)</f>
        <v>2.6499999999999999E-2</v>
      </c>
      <c r="N389" s="23">
        <f t="shared" si="80"/>
        <v>0</v>
      </c>
      <c r="O389" s="23">
        <f t="shared" si="86"/>
        <v>0</v>
      </c>
      <c r="P389">
        <f t="shared" si="91"/>
        <v>0</v>
      </c>
      <c r="Q389" s="23">
        <f t="shared" si="87"/>
        <v>0</v>
      </c>
      <c r="R389">
        <f>Q388*Assumptions!$B$11/$E$2*N389</f>
        <v>0</v>
      </c>
      <c r="S389">
        <f>Q388*Assumptions!$B$13/$E$2*N389</f>
        <v>0</v>
      </c>
      <c r="T389">
        <f>L389*Assumptions!$B$15</f>
        <v>0</v>
      </c>
      <c r="U389">
        <f>S389*Assumptions!$B$17</f>
        <v>0</v>
      </c>
      <c r="V389">
        <f>HLOOKUP(B389,Assumptions!$A$26:$D$27,2,TRUE)</f>
        <v>0</v>
      </c>
      <c r="W389">
        <f t="shared" si="92"/>
        <v>0</v>
      </c>
      <c r="X389">
        <f t="shared" si="93"/>
        <v>8.3333333333335702E-2</v>
      </c>
      <c r="Y389">
        <f>IF(B389&gt;$M$2,0,IF(X390=0,0,(1-X390)*Assumptions!$B$11/$E$2*(1-Assumptions!$B$30)))</f>
        <v>0</v>
      </c>
      <c r="Z389">
        <f>(R389-S389)*(1-Assumptions!$B$30)-U389+Y388*Q388</f>
        <v>0</v>
      </c>
      <c r="AA389">
        <f>AA388*(1+Assumptions!$B$36)^(1/12)</f>
        <v>1.3681171094709601</v>
      </c>
      <c r="AB389" s="20">
        <f>IF(B389&gt;$M$2,0,AA388*Assumptions!$B$32/12*Q388+Z389*Assumptions!$B$34/12)</f>
        <v>0</v>
      </c>
      <c r="AC389" s="21">
        <f>1/(1+HLOOKUP(YEAR(A389),Assumptions!$A$41:$AL$43,3,TRUE))^(1/12)</f>
        <v>0.99763832364051397</v>
      </c>
      <c r="AD389">
        <f t="shared" si="88"/>
        <v>0</v>
      </c>
      <c r="AE389">
        <f t="shared" si="94"/>
        <v>0</v>
      </c>
    </row>
    <row r="390" spans="1:31" x14ac:dyDescent="0.2">
      <c r="A390" s="2">
        <f t="shared" si="95"/>
        <v>54635</v>
      </c>
      <c r="B390">
        <f t="shared" si="89"/>
        <v>459</v>
      </c>
      <c r="C390">
        <f t="shared" si="81"/>
        <v>38.166666666666664</v>
      </c>
      <c r="D390">
        <f t="shared" si="82"/>
        <v>0</v>
      </c>
      <c r="E390">
        <f t="shared" si="83"/>
        <v>93</v>
      </c>
      <c r="F390">
        <f t="shared" si="84"/>
        <v>85</v>
      </c>
      <c r="G390">
        <f>IF(C390&gt;=$L$2,0,VLOOKUP($E390,'Mortality Table'!$A$3:$C$128,2+H$2,FALSE))</f>
        <v>0</v>
      </c>
      <c r="H390">
        <f>IF(C390&gt;=$L$2,0,VLOOKUP($E390,'Mortality Table'!$A$3:$C$128,2+I$2,FALSE))</f>
        <v>0</v>
      </c>
      <c r="I390" s="17">
        <f>G390*Assumptions!$B$1</f>
        <v>0</v>
      </c>
      <c r="J390" s="17">
        <f>H390*Assumptions!$B$1</f>
        <v>0</v>
      </c>
      <c r="K390">
        <f t="shared" si="85"/>
        <v>0</v>
      </c>
      <c r="L390">
        <f t="shared" si="90"/>
        <v>0</v>
      </c>
      <c r="M390">
        <f>HLOOKUP(C390,Assumptions!$A$6:$J$7,2,TRUE)</f>
        <v>2.6499999999999999E-2</v>
      </c>
      <c r="N390" s="23">
        <f t="shared" si="80"/>
        <v>0</v>
      </c>
      <c r="O390" s="23">
        <f t="shared" si="86"/>
        <v>0</v>
      </c>
      <c r="P390">
        <f t="shared" si="91"/>
        <v>0</v>
      </c>
      <c r="Q390" s="23">
        <f t="shared" si="87"/>
        <v>0</v>
      </c>
      <c r="R390">
        <f>Q389*Assumptions!$B$11/$E$2*N390</f>
        <v>0</v>
      </c>
      <c r="S390">
        <f>Q389*Assumptions!$B$13/$E$2*N390</f>
        <v>0</v>
      </c>
      <c r="T390">
        <f>L390*Assumptions!$B$15</f>
        <v>0</v>
      </c>
      <c r="U390">
        <f>S390*Assumptions!$B$17</f>
        <v>0</v>
      </c>
      <c r="V390">
        <f>HLOOKUP(B390,Assumptions!$A$26:$D$27,2,TRUE)</f>
        <v>0</v>
      </c>
      <c r="W390">
        <f t="shared" si="92"/>
        <v>0</v>
      </c>
      <c r="X390">
        <f t="shared" si="93"/>
        <v>0.1666666666666643</v>
      </c>
      <c r="Y390">
        <f>IF(B390&gt;$M$2,0,IF(X391=0,0,(1-X391)*Assumptions!$B$11/$E$2*(1-Assumptions!$B$30)))</f>
        <v>0</v>
      </c>
      <c r="Z390">
        <f>(R390-S390)*(1-Assumptions!$B$30)-U390+Y389*Q389</f>
        <v>0</v>
      </c>
      <c r="AA390">
        <f>AA389*(1+Assumptions!$B$36)^(1/12)</f>
        <v>1.3692520147581553</v>
      </c>
      <c r="AB390" s="20">
        <f>IF(B390&gt;$M$2,0,AA389*Assumptions!$B$32/12*Q389+Z390*Assumptions!$B$34/12)</f>
        <v>0</v>
      </c>
      <c r="AC390" s="21">
        <f>1/(1+HLOOKUP(YEAR(A390),Assumptions!$A$41:$AL$43,3,TRUE))^(1/12)</f>
        <v>0.99763832364051397</v>
      </c>
      <c r="AD390">
        <f t="shared" si="88"/>
        <v>0</v>
      </c>
      <c r="AE390">
        <f t="shared" si="94"/>
        <v>0</v>
      </c>
    </row>
    <row r="391" spans="1:31" x14ac:dyDescent="0.2">
      <c r="A391" s="2">
        <f t="shared" si="95"/>
        <v>54666</v>
      </c>
      <c r="B391">
        <f t="shared" si="89"/>
        <v>460</v>
      </c>
      <c r="C391">
        <f t="shared" si="81"/>
        <v>38.25</v>
      </c>
      <c r="D391">
        <f t="shared" si="82"/>
        <v>0</v>
      </c>
      <c r="E391">
        <f t="shared" si="83"/>
        <v>93</v>
      </c>
      <c r="F391">
        <f t="shared" si="84"/>
        <v>85</v>
      </c>
      <c r="G391">
        <f>IF(C391&gt;=$L$2,0,VLOOKUP($E391,'Mortality Table'!$A$3:$C$128,2+H$2,FALSE))</f>
        <v>0</v>
      </c>
      <c r="H391">
        <f>IF(C391&gt;=$L$2,0,VLOOKUP($E391,'Mortality Table'!$A$3:$C$128,2+I$2,FALSE))</f>
        <v>0</v>
      </c>
      <c r="I391" s="17">
        <f>G391*Assumptions!$B$1</f>
        <v>0</v>
      </c>
      <c r="J391" s="17">
        <f>H391*Assumptions!$B$1</f>
        <v>0</v>
      </c>
      <c r="K391">
        <f t="shared" si="85"/>
        <v>0</v>
      </c>
      <c r="L391">
        <f t="shared" si="90"/>
        <v>0</v>
      </c>
      <c r="M391">
        <f>HLOOKUP(C391,Assumptions!$A$6:$J$7,2,TRUE)</f>
        <v>2.6499999999999999E-2</v>
      </c>
      <c r="N391" s="23">
        <f t="shared" si="80"/>
        <v>0</v>
      </c>
      <c r="O391" s="23">
        <f t="shared" si="86"/>
        <v>0</v>
      </c>
      <c r="P391">
        <f t="shared" si="91"/>
        <v>0</v>
      </c>
      <c r="Q391" s="23">
        <f t="shared" si="87"/>
        <v>0</v>
      </c>
      <c r="R391">
        <f>Q390*Assumptions!$B$11/$E$2*N391</f>
        <v>0</v>
      </c>
      <c r="S391">
        <f>Q390*Assumptions!$B$13/$E$2*N391</f>
        <v>0</v>
      </c>
      <c r="T391">
        <f>L391*Assumptions!$B$15</f>
        <v>0</v>
      </c>
      <c r="U391">
        <f>S391*Assumptions!$B$17</f>
        <v>0</v>
      </c>
      <c r="V391">
        <f>HLOOKUP(B391,Assumptions!$A$26:$D$27,2,TRUE)</f>
        <v>0</v>
      </c>
      <c r="W391">
        <f t="shared" si="92"/>
        <v>0</v>
      </c>
      <c r="X391">
        <f t="shared" si="93"/>
        <v>0.25</v>
      </c>
      <c r="Y391">
        <f>IF(B391&gt;$M$2,0,IF(X392=0,0,(1-X392)*Assumptions!$B$11/$E$2*(1-Assumptions!$B$30)))</f>
        <v>0</v>
      </c>
      <c r="Z391">
        <f>(R391-S391)*(1-Assumptions!$B$30)-U391+Y390*Q390</f>
        <v>0</v>
      </c>
      <c r="AA391">
        <f>AA390*(1+Assumptions!$B$36)^(1/12)</f>
        <v>1.3703878614925424</v>
      </c>
      <c r="AB391" s="20">
        <f>IF(B391&gt;$M$2,0,AA390*Assumptions!$B$32/12*Q390+Z391*Assumptions!$B$34/12)</f>
        <v>0</v>
      </c>
      <c r="AC391" s="21">
        <f>1/(1+HLOOKUP(YEAR(A391),Assumptions!$A$41:$AL$43,3,TRUE))^(1/12)</f>
        <v>0.99763832364051397</v>
      </c>
      <c r="AD391">
        <f t="shared" si="88"/>
        <v>0</v>
      </c>
      <c r="AE391">
        <f t="shared" si="94"/>
        <v>0</v>
      </c>
    </row>
    <row r="392" spans="1:31" x14ac:dyDescent="0.2">
      <c r="A392" s="2">
        <f t="shared" si="95"/>
        <v>54696</v>
      </c>
      <c r="B392">
        <f t="shared" si="89"/>
        <v>461</v>
      </c>
      <c r="C392">
        <f t="shared" si="81"/>
        <v>38.333333333333336</v>
      </c>
      <c r="D392">
        <f t="shared" si="82"/>
        <v>0</v>
      </c>
      <c r="E392">
        <f t="shared" si="83"/>
        <v>93</v>
      </c>
      <c r="F392">
        <f t="shared" si="84"/>
        <v>85</v>
      </c>
      <c r="G392">
        <f>IF(C392&gt;=$L$2,0,VLOOKUP($E392,'Mortality Table'!$A$3:$C$128,2+H$2,FALSE))</f>
        <v>0</v>
      </c>
      <c r="H392">
        <f>IF(C392&gt;=$L$2,0,VLOOKUP($E392,'Mortality Table'!$A$3:$C$128,2+I$2,FALSE))</f>
        <v>0</v>
      </c>
      <c r="I392" s="17">
        <f>G392*Assumptions!$B$1</f>
        <v>0</v>
      </c>
      <c r="J392" s="17">
        <f>H392*Assumptions!$B$1</f>
        <v>0</v>
      </c>
      <c r="K392">
        <f t="shared" si="85"/>
        <v>0</v>
      </c>
      <c r="L392">
        <f t="shared" si="90"/>
        <v>0</v>
      </c>
      <c r="M392">
        <f>HLOOKUP(C392,Assumptions!$A$6:$J$7,2,TRUE)</f>
        <v>2.6499999999999999E-2</v>
      </c>
      <c r="N392" s="23">
        <f t="shared" si="80"/>
        <v>0</v>
      </c>
      <c r="O392" s="23">
        <f t="shared" si="86"/>
        <v>0</v>
      </c>
      <c r="P392">
        <f t="shared" si="91"/>
        <v>0</v>
      </c>
      <c r="Q392" s="23">
        <f t="shared" si="87"/>
        <v>0</v>
      </c>
      <c r="R392">
        <f>Q391*Assumptions!$B$11/$E$2*N392</f>
        <v>0</v>
      </c>
      <c r="S392">
        <f>Q391*Assumptions!$B$13/$E$2*N392</f>
        <v>0</v>
      </c>
      <c r="T392">
        <f>L392*Assumptions!$B$15</f>
        <v>0</v>
      </c>
      <c r="U392">
        <f>S392*Assumptions!$B$17</f>
        <v>0</v>
      </c>
      <c r="V392">
        <f>HLOOKUP(B392,Assumptions!$A$26:$D$27,2,TRUE)</f>
        <v>0</v>
      </c>
      <c r="W392">
        <f t="shared" si="92"/>
        <v>0</v>
      </c>
      <c r="X392">
        <f t="shared" si="93"/>
        <v>0.3333333333333357</v>
      </c>
      <c r="Y392">
        <f>IF(B392&gt;$M$2,0,IF(X393=0,0,(1-X393)*Assumptions!$B$11/$E$2*(1-Assumptions!$B$30)))</f>
        <v>0</v>
      </c>
      <c r="Z392">
        <f>(R392-S392)*(1-Assumptions!$B$30)-U392+Y391*Q391</f>
        <v>0</v>
      </c>
      <c r="AA392">
        <f>AA391*(1+Assumptions!$B$36)^(1/12)</f>
        <v>1.3715246504550878</v>
      </c>
      <c r="AB392" s="20">
        <f>IF(B392&gt;$M$2,0,AA391*Assumptions!$B$32/12*Q391+Z392*Assumptions!$B$34/12)</f>
        <v>0</v>
      </c>
      <c r="AC392" s="21">
        <f>1/(1+HLOOKUP(YEAR(A392),Assumptions!$A$41:$AL$43,3,TRUE))^(1/12)</f>
        <v>0.99763832364051397</v>
      </c>
      <c r="AD392">
        <f t="shared" si="88"/>
        <v>0</v>
      </c>
      <c r="AE392">
        <f t="shared" si="94"/>
        <v>0</v>
      </c>
    </row>
    <row r="393" spans="1:31" x14ac:dyDescent="0.2">
      <c r="A393" s="2">
        <f t="shared" si="95"/>
        <v>54727</v>
      </c>
      <c r="B393">
        <f t="shared" si="89"/>
        <v>462</v>
      </c>
      <c r="C393">
        <f t="shared" si="81"/>
        <v>38.416666666666664</v>
      </c>
      <c r="D393">
        <f t="shared" si="82"/>
        <v>0</v>
      </c>
      <c r="E393">
        <f t="shared" si="83"/>
        <v>93</v>
      </c>
      <c r="F393">
        <f t="shared" si="84"/>
        <v>85</v>
      </c>
      <c r="G393">
        <f>IF(C393&gt;=$L$2,0,VLOOKUP($E393,'Mortality Table'!$A$3:$C$128,2+H$2,FALSE))</f>
        <v>0</v>
      </c>
      <c r="H393">
        <f>IF(C393&gt;=$L$2,0,VLOOKUP($E393,'Mortality Table'!$A$3:$C$128,2+I$2,FALSE))</f>
        <v>0</v>
      </c>
      <c r="I393" s="17">
        <f>G393*Assumptions!$B$1</f>
        <v>0</v>
      </c>
      <c r="J393" s="17">
        <f>H393*Assumptions!$B$1</f>
        <v>0</v>
      </c>
      <c r="K393">
        <f t="shared" si="85"/>
        <v>0</v>
      </c>
      <c r="L393">
        <f t="shared" si="90"/>
        <v>0</v>
      </c>
      <c r="M393">
        <f>HLOOKUP(C393,Assumptions!$A$6:$J$7,2,TRUE)</f>
        <v>2.6499999999999999E-2</v>
      </c>
      <c r="N393" s="23">
        <f t="shared" si="80"/>
        <v>0</v>
      </c>
      <c r="O393" s="23">
        <f t="shared" si="86"/>
        <v>0</v>
      </c>
      <c r="P393">
        <f t="shared" si="91"/>
        <v>0</v>
      </c>
      <c r="Q393" s="23">
        <f t="shared" si="87"/>
        <v>0</v>
      </c>
      <c r="R393">
        <f>Q392*Assumptions!$B$11/$E$2*N393</f>
        <v>0</v>
      </c>
      <c r="S393">
        <f>Q392*Assumptions!$B$13/$E$2*N393</f>
        <v>0</v>
      </c>
      <c r="T393">
        <f>L393*Assumptions!$B$15</f>
        <v>0</v>
      </c>
      <c r="U393">
        <f>S393*Assumptions!$B$17</f>
        <v>0</v>
      </c>
      <c r="V393">
        <f>HLOOKUP(B393,Assumptions!$A$26:$D$27,2,TRUE)</f>
        <v>0</v>
      </c>
      <c r="W393">
        <f t="shared" si="92"/>
        <v>0</v>
      </c>
      <c r="X393">
        <f t="shared" si="93"/>
        <v>0.4166666666666643</v>
      </c>
      <c r="Y393">
        <f>IF(B393&gt;$M$2,0,IF(X394=0,0,(1-X394)*Assumptions!$B$11/$E$2*(1-Assumptions!$B$30)))</f>
        <v>0</v>
      </c>
      <c r="Z393">
        <f>(R393-S393)*(1-Assumptions!$B$30)-U393+Y392*Q392</f>
        <v>0</v>
      </c>
      <c r="AA393">
        <f>AA392*(1+Assumptions!$B$36)^(1/12)</f>
        <v>1.3726623824274056</v>
      </c>
      <c r="AB393" s="20">
        <f>IF(B393&gt;$M$2,0,AA392*Assumptions!$B$32/12*Q392+Z393*Assumptions!$B$34/12)</f>
        <v>0</v>
      </c>
      <c r="AC393" s="21">
        <f>1/(1+HLOOKUP(YEAR(A393),Assumptions!$A$41:$AL$43,3,TRUE))^(1/12)</f>
        <v>0.99763832364051397</v>
      </c>
      <c r="AD393">
        <f t="shared" si="88"/>
        <v>0</v>
      </c>
      <c r="AE393">
        <f t="shared" si="94"/>
        <v>0</v>
      </c>
    </row>
    <row r="394" spans="1:31" x14ac:dyDescent="0.2">
      <c r="A394" s="2">
        <f t="shared" si="95"/>
        <v>54757</v>
      </c>
      <c r="B394">
        <f t="shared" si="89"/>
        <v>463</v>
      </c>
      <c r="C394">
        <f t="shared" si="81"/>
        <v>38.5</v>
      </c>
      <c r="D394">
        <f t="shared" si="82"/>
        <v>0</v>
      </c>
      <c r="E394">
        <f t="shared" si="83"/>
        <v>93</v>
      </c>
      <c r="F394">
        <f t="shared" si="84"/>
        <v>85</v>
      </c>
      <c r="G394">
        <f>IF(C394&gt;=$L$2,0,VLOOKUP($E394,'Mortality Table'!$A$3:$C$128,2+H$2,FALSE))</f>
        <v>0</v>
      </c>
      <c r="H394">
        <f>IF(C394&gt;=$L$2,0,VLOOKUP($E394,'Mortality Table'!$A$3:$C$128,2+I$2,FALSE))</f>
        <v>0</v>
      </c>
      <c r="I394" s="17">
        <f>G394*Assumptions!$B$1</f>
        <v>0</v>
      </c>
      <c r="J394" s="17">
        <f>H394*Assumptions!$B$1</f>
        <v>0</v>
      </c>
      <c r="K394">
        <f t="shared" si="85"/>
        <v>0</v>
      </c>
      <c r="L394">
        <f t="shared" si="90"/>
        <v>0</v>
      </c>
      <c r="M394">
        <f>HLOOKUP(C394,Assumptions!$A$6:$J$7,2,TRUE)</f>
        <v>2.6499999999999999E-2</v>
      </c>
      <c r="N394" s="23">
        <f t="shared" si="80"/>
        <v>0</v>
      </c>
      <c r="O394" s="23">
        <f t="shared" si="86"/>
        <v>0</v>
      </c>
      <c r="P394">
        <f t="shared" si="91"/>
        <v>0</v>
      </c>
      <c r="Q394" s="23">
        <f t="shared" si="87"/>
        <v>0</v>
      </c>
      <c r="R394">
        <f>Q393*Assumptions!$B$11/$E$2*N394</f>
        <v>0</v>
      </c>
      <c r="S394">
        <f>Q393*Assumptions!$B$13/$E$2*N394</f>
        <v>0</v>
      </c>
      <c r="T394">
        <f>L394*Assumptions!$B$15</f>
        <v>0</v>
      </c>
      <c r="U394">
        <f>S394*Assumptions!$B$17</f>
        <v>0</v>
      </c>
      <c r="V394">
        <f>HLOOKUP(B394,Assumptions!$A$26:$D$27,2,TRUE)</f>
        <v>0</v>
      </c>
      <c r="W394">
        <f t="shared" si="92"/>
        <v>0</v>
      </c>
      <c r="X394">
        <f t="shared" si="93"/>
        <v>0.5</v>
      </c>
      <c r="Y394">
        <f>IF(B394&gt;$M$2,0,IF(X395=0,0,(1-X395)*Assumptions!$B$11/$E$2*(1-Assumptions!$B$30)))</f>
        <v>0</v>
      </c>
      <c r="Z394">
        <f>(R394-S394)*(1-Assumptions!$B$30)-U394+Y393*Q393</f>
        <v>0</v>
      </c>
      <c r="AA394">
        <f>AA393*(1+Assumptions!$B$36)^(1/12)</f>
        <v>1.3738010581917584</v>
      </c>
      <c r="AB394" s="20">
        <f>IF(B394&gt;$M$2,0,AA393*Assumptions!$B$32/12*Q393+Z394*Assumptions!$B$34/12)</f>
        <v>0</v>
      </c>
      <c r="AC394" s="21">
        <f>1/(1+HLOOKUP(YEAR(A394),Assumptions!$A$41:$AL$43,3,TRUE))^(1/12)</f>
        <v>0.99763832364051397</v>
      </c>
      <c r="AD394">
        <f t="shared" si="88"/>
        <v>0</v>
      </c>
      <c r="AE394">
        <f t="shared" si="94"/>
        <v>0</v>
      </c>
    </row>
    <row r="395" spans="1:31" x14ac:dyDescent="0.2">
      <c r="A395" s="2">
        <f t="shared" si="95"/>
        <v>54788</v>
      </c>
      <c r="B395">
        <f t="shared" si="89"/>
        <v>464</v>
      </c>
      <c r="C395">
        <f t="shared" si="81"/>
        <v>38.583333333333336</v>
      </c>
      <c r="D395">
        <f t="shared" si="82"/>
        <v>0</v>
      </c>
      <c r="E395">
        <f t="shared" si="83"/>
        <v>93</v>
      </c>
      <c r="F395">
        <f t="shared" si="84"/>
        <v>85</v>
      </c>
      <c r="G395">
        <f>IF(C395&gt;=$L$2,0,VLOOKUP($E395,'Mortality Table'!$A$3:$C$128,2+H$2,FALSE))</f>
        <v>0</v>
      </c>
      <c r="H395">
        <f>IF(C395&gt;=$L$2,0,VLOOKUP($E395,'Mortality Table'!$A$3:$C$128,2+I$2,FALSE))</f>
        <v>0</v>
      </c>
      <c r="I395" s="17">
        <f>G395*Assumptions!$B$1</f>
        <v>0</v>
      </c>
      <c r="J395" s="17">
        <f>H395*Assumptions!$B$1</f>
        <v>0</v>
      </c>
      <c r="K395">
        <f t="shared" si="85"/>
        <v>0</v>
      </c>
      <c r="L395">
        <f t="shared" si="90"/>
        <v>0</v>
      </c>
      <c r="M395">
        <f>HLOOKUP(C395,Assumptions!$A$6:$J$7,2,TRUE)</f>
        <v>2.6499999999999999E-2</v>
      </c>
      <c r="N395" s="23">
        <f t="shared" ref="N395:N455" si="96">IF(B395&gt;$M$2,0,IF(($E$2*(B395+11))/12-INT(($E$2*(B395+11))/12)=0,1,0))</f>
        <v>0</v>
      </c>
      <c r="O395" s="23">
        <f t="shared" si="86"/>
        <v>0</v>
      </c>
      <c r="P395">
        <f t="shared" si="91"/>
        <v>0</v>
      </c>
      <c r="Q395" s="23">
        <f t="shared" si="87"/>
        <v>0</v>
      </c>
      <c r="R395">
        <f>Q394*Assumptions!$B$11/$E$2*N395</f>
        <v>0</v>
      </c>
      <c r="S395">
        <f>Q394*Assumptions!$B$13/$E$2*N395</f>
        <v>0</v>
      </c>
      <c r="T395">
        <f>L395*Assumptions!$B$15</f>
        <v>0</v>
      </c>
      <c r="U395">
        <f>S395*Assumptions!$B$17</f>
        <v>0</v>
      </c>
      <c r="V395">
        <f>HLOOKUP(B395,Assumptions!$A$26:$D$27,2,TRUE)</f>
        <v>0</v>
      </c>
      <c r="W395">
        <f t="shared" si="92"/>
        <v>0</v>
      </c>
      <c r="X395">
        <f t="shared" si="93"/>
        <v>0.5833333333333357</v>
      </c>
      <c r="Y395">
        <f>IF(B395&gt;$M$2,0,IF(X396=0,0,(1-X396)*Assumptions!$B$11/$E$2*(1-Assumptions!$B$30)))</f>
        <v>0</v>
      </c>
      <c r="Z395">
        <f>(R395-S395)*(1-Assumptions!$B$30)-U395+Y394*Q394</f>
        <v>0</v>
      </c>
      <c r="AA395">
        <f>AA394*(1+Assumptions!$B$36)^(1/12)</f>
        <v>1.3749406785310576</v>
      </c>
      <c r="AB395" s="20">
        <f>IF(B395&gt;$M$2,0,AA394*Assumptions!$B$32/12*Q394+Z395*Assumptions!$B$34/12)</f>
        <v>0</v>
      </c>
      <c r="AC395" s="21">
        <f>1/(1+HLOOKUP(YEAR(A395),Assumptions!$A$41:$AL$43,3,TRUE))^(1/12)</f>
        <v>0.99763832364051397</v>
      </c>
      <c r="AD395">
        <f t="shared" si="88"/>
        <v>0</v>
      </c>
      <c r="AE395">
        <f t="shared" si="94"/>
        <v>0</v>
      </c>
    </row>
    <row r="396" spans="1:31" x14ac:dyDescent="0.2">
      <c r="A396" s="2">
        <f t="shared" si="95"/>
        <v>54819</v>
      </c>
      <c r="B396">
        <f t="shared" si="89"/>
        <v>465</v>
      </c>
      <c r="C396">
        <f t="shared" ref="C396:C419" si="97">(B396+11)/12-1</f>
        <v>38.666666666666664</v>
      </c>
      <c r="D396">
        <f t="shared" ref="D396:D419" si="98">IF(C396-INT(C396)=0,1,0)</f>
        <v>0</v>
      </c>
      <c r="E396">
        <f t="shared" ref="E396:E459" si="99">$C$2+INT($C396)</f>
        <v>93</v>
      </c>
      <c r="F396">
        <f t="shared" ref="F396:F459" si="100">$F$2+INT($C396)</f>
        <v>85</v>
      </c>
      <c r="G396">
        <f>IF(C396&gt;=$L$2,0,VLOOKUP($E396,'Mortality Table'!$A$3:$C$128,2+H$2,FALSE))</f>
        <v>0</v>
      </c>
      <c r="H396">
        <f>IF(C396&gt;=$L$2,0,VLOOKUP($E396,'Mortality Table'!$A$3:$C$128,2+I$2,FALSE))</f>
        <v>0</v>
      </c>
      <c r="I396" s="17">
        <f>G396*Assumptions!$B$1</f>
        <v>0</v>
      </c>
      <c r="J396" s="17">
        <f>H396*Assumptions!$B$1</f>
        <v>0</v>
      </c>
      <c r="K396">
        <f t="shared" ref="K396:K419" si="101">I396+J396-I396*J396</f>
        <v>0</v>
      </c>
      <c r="L396">
        <f t="shared" si="90"/>
        <v>0</v>
      </c>
      <c r="M396">
        <f>HLOOKUP(C396,Assumptions!$A$6:$J$7,2,TRUE)</f>
        <v>2.6499999999999999E-2</v>
      </c>
      <c r="N396" s="23">
        <f t="shared" si="96"/>
        <v>0</v>
      </c>
      <c r="O396" s="23">
        <f t="shared" ref="O396:O454" si="102">IF(B397&gt;$M$2,0,IF(N397=0,0,1/$E$2))</f>
        <v>0</v>
      </c>
      <c r="P396">
        <f t="shared" si="91"/>
        <v>0</v>
      </c>
      <c r="Q396" s="23">
        <f t="shared" ref="Q396:Q455" si="103">IF(B396&gt;$M$2,0,Q395-L396-P396)</f>
        <v>0</v>
      </c>
      <c r="R396">
        <f>Q395*Assumptions!$B$11/$E$2*N396</f>
        <v>0</v>
      </c>
      <c r="S396">
        <f>Q395*Assumptions!$B$13/$E$2*N396</f>
        <v>0</v>
      </c>
      <c r="T396">
        <f>L396*Assumptions!$B$15</f>
        <v>0</v>
      </c>
      <c r="U396">
        <f>S396*Assumptions!$B$17</f>
        <v>0</v>
      </c>
      <c r="V396">
        <f>HLOOKUP(B396,Assumptions!$A$26:$D$27,2,TRUE)</f>
        <v>0</v>
      </c>
      <c r="W396">
        <f t="shared" si="92"/>
        <v>0</v>
      </c>
      <c r="X396">
        <f t="shared" si="93"/>
        <v>0.6666666666666643</v>
      </c>
      <c r="Y396">
        <f>IF(B396&gt;$M$2,0,IF(X397=0,0,(1-X397)*Assumptions!$B$11/$E$2*(1-Assumptions!$B$30)))</f>
        <v>0</v>
      </c>
      <c r="Z396">
        <f>(R396-S396)*(1-Assumptions!$B$30)-U396+Y395*Q395</f>
        <v>0</v>
      </c>
      <c r="AA396">
        <f>AA395*(1+Assumptions!$B$36)^(1/12)</f>
        <v>1.3760812442288641</v>
      </c>
      <c r="AB396" s="20">
        <f>IF(B396&gt;$M$2,0,AA395*Assumptions!$B$32/12*Q395+Z396*Assumptions!$B$34/12)</f>
        <v>0</v>
      </c>
      <c r="AC396" s="21">
        <f>1/(1+HLOOKUP(YEAR(A396),Assumptions!$A$41:$AL$43,3,TRUE))^(1/12)</f>
        <v>0.99762636457512177</v>
      </c>
      <c r="AD396">
        <f t="shared" ref="AD396:AD419" si="104">(AD397+T397+U397+W397+AB397-R397)*AC397</f>
        <v>0</v>
      </c>
      <c r="AE396">
        <f t="shared" si="94"/>
        <v>0</v>
      </c>
    </row>
    <row r="397" spans="1:31" x14ac:dyDescent="0.2">
      <c r="A397" s="2">
        <f t="shared" si="95"/>
        <v>54847</v>
      </c>
      <c r="B397">
        <f t="shared" ref="B397:B460" si="105">B396+1</f>
        <v>466</v>
      </c>
      <c r="C397">
        <f t="shared" si="97"/>
        <v>38.75</v>
      </c>
      <c r="D397">
        <f t="shared" si="98"/>
        <v>0</v>
      </c>
      <c r="E397">
        <f t="shared" si="99"/>
        <v>93</v>
      </c>
      <c r="F397">
        <f t="shared" si="100"/>
        <v>85</v>
      </c>
      <c r="G397">
        <f>IF(C397&gt;=$L$2,0,VLOOKUP($E397,'Mortality Table'!$A$3:$C$128,2+H$2,FALSE))</f>
        <v>0</v>
      </c>
      <c r="H397">
        <f>IF(C397&gt;=$L$2,0,VLOOKUP($E397,'Mortality Table'!$A$3:$C$128,2+I$2,FALSE))</f>
        <v>0</v>
      </c>
      <c r="I397" s="17">
        <f>G397*Assumptions!$B$1</f>
        <v>0</v>
      </c>
      <c r="J397" s="17">
        <f>H397*Assumptions!$B$1</f>
        <v>0</v>
      </c>
      <c r="K397">
        <f t="shared" si="101"/>
        <v>0</v>
      </c>
      <c r="L397">
        <f t="shared" ref="L397:L419" si="106">(1-(1-K397)^(1/12))*Q396</f>
        <v>0</v>
      </c>
      <c r="M397">
        <f>HLOOKUP(C397,Assumptions!$A$6:$J$7,2,TRUE)</f>
        <v>2.6499999999999999E-2</v>
      </c>
      <c r="N397" s="23">
        <f t="shared" si="96"/>
        <v>0</v>
      </c>
      <c r="O397" s="23">
        <f t="shared" si="102"/>
        <v>0</v>
      </c>
      <c r="P397">
        <f t="shared" ref="P397:P419" si="107">(1-(1-M397)^O397)*(Q396-L397)</f>
        <v>0</v>
      </c>
      <c r="Q397" s="23">
        <f t="shared" si="103"/>
        <v>0</v>
      </c>
      <c r="R397">
        <f>Q396*Assumptions!$B$11/$E$2*N397</f>
        <v>0</v>
      </c>
      <c r="S397">
        <f>Q396*Assumptions!$B$13/$E$2*N397</f>
        <v>0</v>
      </c>
      <c r="T397">
        <f>L397*Assumptions!$B$15</f>
        <v>0</v>
      </c>
      <c r="U397">
        <f>S397*Assumptions!$B$17</f>
        <v>0</v>
      </c>
      <c r="V397">
        <f>HLOOKUP(B397,Assumptions!$A$26:$D$27,2,TRUE)</f>
        <v>0</v>
      </c>
      <c r="W397">
        <f t="shared" ref="W397:W460" si="108">R397*V397</f>
        <v>0</v>
      </c>
      <c r="X397">
        <f t="shared" ref="X397:X460" si="109">($E$2*(B397+11))/12-INT(($E$2*(B397+11))/12)</f>
        <v>0.75</v>
      </c>
      <c r="Y397">
        <f>IF(B397&gt;$M$2,0,IF(X398=0,0,(1-X398)*Assumptions!$B$11/$E$2*(1-Assumptions!$B$30)))</f>
        <v>0</v>
      </c>
      <c r="Z397">
        <f>(R397-S397)*(1-Assumptions!$B$30)-U397+Y396*Q396</f>
        <v>0</v>
      </c>
      <c r="AA397">
        <f>AA396*(1+Assumptions!$B$36)^(1/12)</f>
        <v>1.3772227560693888</v>
      </c>
      <c r="AB397" s="20">
        <f>IF(B397&gt;$M$2,0,AA396*Assumptions!$B$32/12*Q396+Z397*Assumptions!$B$34/12)</f>
        <v>0</v>
      </c>
      <c r="AC397" s="21">
        <f>1/(1+HLOOKUP(YEAR(A397),Assumptions!$A$41:$AL$43,3,TRUE))^(1/12)</f>
        <v>0.99762636457512177</v>
      </c>
      <c r="AD397">
        <f t="shared" si="104"/>
        <v>0</v>
      </c>
      <c r="AE397">
        <f t="shared" ref="AE397:AE460" si="110">T397+U397</f>
        <v>0</v>
      </c>
    </row>
    <row r="398" spans="1:31" x14ac:dyDescent="0.2">
      <c r="A398" s="2">
        <f t="shared" si="95"/>
        <v>54878</v>
      </c>
      <c r="B398">
        <f t="shared" si="105"/>
        <v>467</v>
      </c>
      <c r="C398">
        <f t="shared" si="97"/>
        <v>38.833333333333336</v>
      </c>
      <c r="D398">
        <f t="shared" si="98"/>
        <v>0</v>
      </c>
      <c r="E398">
        <f t="shared" si="99"/>
        <v>93</v>
      </c>
      <c r="F398">
        <f t="shared" si="100"/>
        <v>85</v>
      </c>
      <c r="G398">
        <f>IF(C398&gt;=$L$2,0,VLOOKUP($E398,'Mortality Table'!$A$3:$C$128,2+H$2,FALSE))</f>
        <v>0</v>
      </c>
      <c r="H398">
        <f>IF(C398&gt;=$L$2,0,VLOOKUP($E398,'Mortality Table'!$A$3:$C$128,2+I$2,FALSE))</f>
        <v>0</v>
      </c>
      <c r="I398" s="17">
        <f>G398*Assumptions!$B$1</f>
        <v>0</v>
      </c>
      <c r="J398" s="17">
        <f>H398*Assumptions!$B$1</f>
        <v>0</v>
      </c>
      <c r="K398">
        <f t="shared" si="101"/>
        <v>0</v>
      </c>
      <c r="L398">
        <f t="shared" si="106"/>
        <v>0</v>
      </c>
      <c r="M398">
        <f>HLOOKUP(C398,Assumptions!$A$6:$J$7,2,TRUE)</f>
        <v>2.6499999999999999E-2</v>
      </c>
      <c r="N398" s="23">
        <f t="shared" si="96"/>
        <v>0</v>
      </c>
      <c r="O398" s="23">
        <f t="shared" si="102"/>
        <v>0</v>
      </c>
      <c r="P398">
        <f t="shared" si="107"/>
        <v>0</v>
      </c>
      <c r="Q398" s="23">
        <f t="shared" si="103"/>
        <v>0</v>
      </c>
      <c r="R398">
        <f>Q397*Assumptions!$B$11/$E$2*N398</f>
        <v>0</v>
      </c>
      <c r="S398">
        <f>Q397*Assumptions!$B$13/$E$2*N398</f>
        <v>0</v>
      </c>
      <c r="T398">
        <f>L398*Assumptions!$B$15</f>
        <v>0</v>
      </c>
      <c r="U398">
        <f>S398*Assumptions!$B$17</f>
        <v>0</v>
      </c>
      <c r="V398">
        <f>HLOOKUP(B398,Assumptions!$A$26:$D$27,2,TRUE)</f>
        <v>0</v>
      </c>
      <c r="W398">
        <f t="shared" si="108"/>
        <v>0</v>
      </c>
      <c r="X398">
        <f t="shared" si="109"/>
        <v>0.8333333333333357</v>
      </c>
      <c r="Y398">
        <f>IF(B398&gt;$M$2,0,IF(X399=0,0,(1-X399)*Assumptions!$B$11/$E$2*(1-Assumptions!$B$30)))</f>
        <v>0</v>
      </c>
      <c r="Z398">
        <f>(R398-S398)*(1-Assumptions!$B$30)-U398+Y397*Q397</f>
        <v>0</v>
      </c>
      <c r="AA398">
        <f>AA397*(1+Assumptions!$B$36)^(1/12)</f>
        <v>1.3783652148374932</v>
      </c>
      <c r="AB398" s="20">
        <f>IF(B398&gt;$M$2,0,AA397*Assumptions!$B$32/12*Q397+Z398*Assumptions!$B$34/12)</f>
        <v>0</v>
      </c>
      <c r="AC398" s="21">
        <f>1/(1+HLOOKUP(YEAR(A398),Assumptions!$A$41:$AL$43,3,TRUE))^(1/12)</f>
        <v>0.99762636457512177</v>
      </c>
      <c r="AD398">
        <f t="shared" si="104"/>
        <v>0</v>
      </c>
      <c r="AE398">
        <f t="shared" si="110"/>
        <v>0</v>
      </c>
    </row>
    <row r="399" spans="1:31" x14ac:dyDescent="0.2">
      <c r="A399" s="2">
        <f t="shared" ref="A399:A462" si="111">DATE(YEAR(A398),MONTH(A398)+2,1)-1</f>
        <v>54908</v>
      </c>
      <c r="B399">
        <f t="shared" si="105"/>
        <v>468</v>
      </c>
      <c r="C399">
        <f t="shared" si="97"/>
        <v>38.916666666666664</v>
      </c>
      <c r="D399">
        <f t="shared" si="98"/>
        <v>0</v>
      </c>
      <c r="E399">
        <f t="shared" si="99"/>
        <v>93</v>
      </c>
      <c r="F399">
        <f t="shared" si="100"/>
        <v>85</v>
      </c>
      <c r="G399">
        <f>IF(C399&gt;=$L$2,0,VLOOKUP($E399,'Mortality Table'!$A$3:$C$128,2+H$2,FALSE))</f>
        <v>0</v>
      </c>
      <c r="H399">
        <f>IF(C399&gt;=$L$2,0,VLOOKUP($E399,'Mortality Table'!$A$3:$C$128,2+I$2,FALSE))</f>
        <v>0</v>
      </c>
      <c r="I399" s="17">
        <f>G399*Assumptions!$B$1</f>
        <v>0</v>
      </c>
      <c r="J399" s="17">
        <f>H399*Assumptions!$B$1</f>
        <v>0</v>
      </c>
      <c r="K399">
        <f t="shared" si="101"/>
        <v>0</v>
      </c>
      <c r="L399">
        <f t="shared" si="106"/>
        <v>0</v>
      </c>
      <c r="M399">
        <f>HLOOKUP(C399,Assumptions!$A$6:$J$7,2,TRUE)</f>
        <v>2.6499999999999999E-2</v>
      </c>
      <c r="N399" s="23">
        <f t="shared" si="96"/>
        <v>0</v>
      </c>
      <c r="O399" s="23">
        <f t="shared" si="102"/>
        <v>0</v>
      </c>
      <c r="P399">
        <f t="shared" si="107"/>
        <v>0</v>
      </c>
      <c r="Q399" s="23">
        <f t="shared" si="103"/>
        <v>0</v>
      </c>
      <c r="R399">
        <f>Q398*Assumptions!$B$11/$E$2*N399</f>
        <v>0</v>
      </c>
      <c r="S399">
        <f>Q398*Assumptions!$B$13/$E$2*N399</f>
        <v>0</v>
      </c>
      <c r="T399">
        <f>L399*Assumptions!$B$15</f>
        <v>0</v>
      </c>
      <c r="U399">
        <f>S399*Assumptions!$B$17</f>
        <v>0</v>
      </c>
      <c r="V399">
        <f>HLOOKUP(B399,Assumptions!$A$26:$D$27,2,TRUE)</f>
        <v>0</v>
      </c>
      <c r="W399">
        <f t="shared" si="108"/>
        <v>0</v>
      </c>
      <c r="X399">
        <f t="shared" si="109"/>
        <v>0.9166666666666643</v>
      </c>
      <c r="Y399">
        <f>IF(B399&gt;$M$2,0,IF(X400=0,0,(1-X400)*Assumptions!$B$11/$E$2*(1-Assumptions!$B$30)))</f>
        <v>0</v>
      </c>
      <c r="Z399">
        <f>(R399-S399)*(1-Assumptions!$B$30)-U399+Y398*Q398</f>
        <v>0</v>
      </c>
      <c r="AA399">
        <f>AA398*(1+Assumptions!$B$36)^(1/12)</f>
        <v>1.3795086213186898</v>
      </c>
      <c r="AB399" s="20">
        <f>IF(B399&gt;$M$2,0,AA398*Assumptions!$B$32/12*Q398+Z399*Assumptions!$B$34/12)</f>
        <v>0</v>
      </c>
      <c r="AC399" s="21">
        <f>1/(1+HLOOKUP(YEAR(A399),Assumptions!$A$41:$AL$43,3,TRUE))^(1/12)</f>
        <v>0.99762636457512177</v>
      </c>
      <c r="AD399">
        <f t="shared" si="104"/>
        <v>0</v>
      </c>
      <c r="AE399">
        <f t="shared" si="110"/>
        <v>0</v>
      </c>
    </row>
    <row r="400" spans="1:31" x14ac:dyDescent="0.2">
      <c r="A400" s="2">
        <f t="shared" si="111"/>
        <v>54939</v>
      </c>
      <c r="B400">
        <f t="shared" si="105"/>
        <v>469</v>
      </c>
      <c r="C400">
        <f t="shared" si="97"/>
        <v>39</v>
      </c>
      <c r="D400">
        <f t="shared" si="98"/>
        <v>1</v>
      </c>
      <c r="E400">
        <f t="shared" si="99"/>
        <v>94</v>
      </c>
      <c r="F400">
        <f t="shared" si="100"/>
        <v>86</v>
      </c>
      <c r="G400">
        <f>IF(C400&gt;=$L$2,0,VLOOKUP($E400,'Mortality Table'!$A$3:$C$128,2+H$2,FALSE))</f>
        <v>0</v>
      </c>
      <c r="H400">
        <f>IF(C400&gt;=$L$2,0,VLOOKUP($E400,'Mortality Table'!$A$3:$C$128,2+I$2,FALSE))</f>
        <v>0</v>
      </c>
      <c r="I400" s="17">
        <f>G400*Assumptions!$B$1</f>
        <v>0</v>
      </c>
      <c r="J400" s="17">
        <f>H400*Assumptions!$B$1</f>
        <v>0</v>
      </c>
      <c r="K400">
        <f t="shared" si="101"/>
        <v>0</v>
      </c>
      <c r="L400">
        <f t="shared" si="106"/>
        <v>0</v>
      </c>
      <c r="M400">
        <f>HLOOKUP(C400,Assumptions!$A$6:$J$7,2,TRUE)</f>
        <v>2.6499999999999999E-2</v>
      </c>
      <c r="N400" s="23">
        <f t="shared" si="96"/>
        <v>0</v>
      </c>
      <c r="O400" s="23">
        <f t="shared" si="102"/>
        <v>0</v>
      </c>
      <c r="P400">
        <f t="shared" si="107"/>
        <v>0</v>
      </c>
      <c r="Q400" s="23">
        <f t="shared" si="103"/>
        <v>0</v>
      </c>
      <c r="R400">
        <f>Q399*Assumptions!$B$11/$E$2*N400</f>
        <v>0</v>
      </c>
      <c r="S400">
        <f>Q399*Assumptions!$B$13/$E$2*N400</f>
        <v>0</v>
      </c>
      <c r="T400">
        <f>L400*Assumptions!$B$15</f>
        <v>0</v>
      </c>
      <c r="U400">
        <f>S400*Assumptions!$B$17</f>
        <v>0</v>
      </c>
      <c r="V400">
        <f>HLOOKUP(B400,Assumptions!$A$26:$D$27,2,TRUE)</f>
        <v>0</v>
      </c>
      <c r="W400">
        <f t="shared" si="108"/>
        <v>0</v>
      </c>
      <c r="X400">
        <f t="shared" si="109"/>
        <v>0</v>
      </c>
      <c r="Y400">
        <f>IF(B400&gt;$M$2,0,IF(X401=0,0,(1-X401)*Assumptions!$B$11/$E$2*(1-Assumptions!$B$30)))</f>
        <v>0</v>
      </c>
      <c r="Z400">
        <f>(R400-S400)*(1-Assumptions!$B$30)-U400+Y399*Q399</f>
        <v>0</v>
      </c>
      <c r="AA400">
        <f>AA399*(1+Assumptions!$B$36)^(1/12)</f>
        <v>1.3806529762991429</v>
      </c>
      <c r="AB400" s="20">
        <f>IF(B400&gt;$M$2,0,AA399*Assumptions!$B$32/12*Q399+Z400*Assumptions!$B$34/12)</f>
        <v>0</v>
      </c>
      <c r="AC400" s="21">
        <f>1/(1+HLOOKUP(YEAR(A400),Assumptions!$A$41:$AL$43,3,TRUE))^(1/12)</f>
        <v>0.99762636457512177</v>
      </c>
      <c r="AD400">
        <f t="shared" si="104"/>
        <v>0</v>
      </c>
      <c r="AE400">
        <f t="shared" si="110"/>
        <v>0</v>
      </c>
    </row>
    <row r="401" spans="1:31" x14ac:dyDescent="0.2">
      <c r="A401" s="2">
        <f t="shared" si="111"/>
        <v>54969</v>
      </c>
      <c r="B401">
        <f t="shared" si="105"/>
        <v>470</v>
      </c>
      <c r="C401">
        <f t="shared" si="97"/>
        <v>39.083333333333336</v>
      </c>
      <c r="D401">
        <f t="shared" si="98"/>
        <v>0</v>
      </c>
      <c r="E401">
        <f t="shared" si="99"/>
        <v>94</v>
      </c>
      <c r="F401">
        <f t="shared" si="100"/>
        <v>86</v>
      </c>
      <c r="G401">
        <f>IF(C401&gt;=$L$2,0,VLOOKUP($E401,'Mortality Table'!$A$3:$C$128,2+H$2,FALSE))</f>
        <v>0</v>
      </c>
      <c r="H401">
        <f>IF(C401&gt;=$L$2,0,VLOOKUP($E401,'Mortality Table'!$A$3:$C$128,2+I$2,FALSE))</f>
        <v>0</v>
      </c>
      <c r="I401" s="17">
        <f>G401*Assumptions!$B$1</f>
        <v>0</v>
      </c>
      <c r="J401" s="17">
        <f>H401*Assumptions!$B$1</f>
        <v>0</v>
      </c>
      <c r="K401">
        <f t="shared" si="101"/>
        <v>0</v>
      </c>
      <c r="L401">
        <f t="shared" si="106"/>
        <v>0</v>
      </c>
      <c r="M401">
        <f>HLOOKUP(C401,Assumptions!$A$6:$J$7,2,TRUE)</f>
        <v>2.6499999999999999E-2</v>
      </c>
      <c r="N401" s="23">
        <f t="shared" si="96"/>
        <v>0</v>
      </c>
      <c r="O401" s="23">
        <f t="shared" si="102"/>
        <v>0</v>
      </c>
      <c r="P401">
        <f t="shared" si="107"/>
        <v>0</v>
      </c>
      <c r="Q401" s="23">
        <f t="shared" si="103"/>
        <v>0</v>
      </c>
      <c r="R401">
        <f>Q400*Assumptions!$B$11/$E$2*N401</f>
        <v>0</v>
      </c>
      <c r="S401">
        <f>Q400*Assumptions!$B$13/$E$2*N401</f>
        <v>0</v>
      </c>
      <c r="T401">
        <f>L401*Assumptions!$B$15</f>
        <v>0</v>
      </c>
      <c r="U401">
        <f>S401*Assumptions!$B$17</f>
        <v>0</v>
      </c>
      <c r="V401">
        <f>HLOOKUP(B401,Assumptions!$A$26:$D$27,2,TRUE)</f>
        <v>0</v>
      </c>
      <c r="W401">
        <f t="shared" si="108"/>
        <v>0</v>
      </c>
      <c r="X401">
        <f t="shared" si="109"/>
        <v>8.3333333333335702E-2</v>
      </c>
      <c r="Y401">
        <f>IF(B401&gt;$M$2,0,IF(X402=0,0,(1-X402)*Assumptions!$B$11/$E$2*(1-Assumptions!$B$30)))</f>
        <v>0</v>
      </c>
      <c r="Z401">
        <f>(R401-S401)*(1-Assumptions!$B$30)-U401+Y400*Q400</f>
        <v>0</v>
      </c>
      <c r="AA401">
        <f>AA400*(1+Assumptions!$B$36)^(1/12)</f>
        <v>1.3817982805656686</v>
      </c>
      <c r="AB401" s="20">
        <f>IF(B401&gt;$M$2,0,AA400*Assumptions!$B$32/12*Q400+Z401*Assumptions!$B$34/12)</f>
        <v>0</v>
      </c>
      <c r="AC401" s="21">
        <f>1/(1+HLOOKUP(YEAR(A401),Assumptions!$A$41:$AL$43,3,TRUE))^(1/12)</f>
        <v>0.99762636457512177</v>
      </c>
      <c r="AD401">
        <f t="shared" si="104"/>
        <v>0</v>
      </c>
      <c r="AE401">
        <f t="shared" si="110"/>
        <v>0</v>
      </c>
    </row>
    <row r="402" spans="1:31" x14ac:dyDescent="0.2">
      <c r="A402" s="2">
        <f t="shared" si="111"/>
        <v>55000</v>
      </c>
      <c r="B402">
        <f t="shared" si="105"/>
        <v>471</v>
      </c>
      <c r="C402">
        <f t="shared" si="97"/>
        <v>39.166666666666664</v>
      </c>
      <c r="D402">
        <f t="shared" si="98"/>
        <v>0</v>
      </c>
      <c r="E402">
        <f t="shared" si="99"/>
        <v>94</v>
      </c>
      <c r="F402">
        <f t="shared" si="100"/>
        <v>86</v>
      </c>
      <c r="G402">
        <f>IF(C402&gt;=$L$2,0,VLOOKUP($E402,'Mortality Table'!$A$3:$C$128,2+H$2,FALSE))</f>
        <v>0</v>
      </c>
      <c r="H402">
        <f>IF(C402&gt;=$L$2,0,VLOOKUP($E402,'Mortality Table'!$A$3:$C$128,2+I$2,FALSE))</f>
        <v>0</v>
      </c>
      <c r="I402" s="17">
        <f>G402*Assumptions!$B$1</f>
        <v>0</v>
      </c>
      <c r="J402" s="17">
        <f>H402*Assumptions!$B$1</f>
        <v>0</v>
      </c>
      <c r="K402">
        <f t="shared" si="101"/>
        <v>0</v>
      </c>
      <c r="L402">
        <f t="shared" si="106"/>
        <v>0</v>
      </c>
      <c r="M402">
        <f>HLOOKUP(C402,Assumptions!$A$6:$J$7,2,TRUE)</f>
        <v>2.6499999999999999E-2</v>
      </c>
      <c r="N402" s="23">
        <f t="shared" si="96"/>
        <v>0</v>
      </c>
      <c r="O402" s="23">
        <f t="shared" si="102"/>
        <v>0</v>
      </c>
      <c r="P402">
        <f t="shared" si="107"/>
        <v>0</v>
      </c>
      <c r="Q402" s="23">
        <f t="shared" si="103"/>
        <v>0</v>
      </c>
      <c r="R402">
        <f>Q401*Assumptions!$B$11/$E$2*N402</f>
        <v>0</v>
      </c>
      <c r="S402">
        <f>Q401*Assumptions!$B$13/$E$2*N402</f>
        <v>0</v>
      </c>
      <c r="T402">
        <f>L402*Assumptions!$B$15</f>
        <v>0</v>
      </c>
      <c r="U402">
        <f>S402*Assumptions!$B$17</f>
        <v>0</v>
      </c>
      <c r="V402">
        <f>HLOOKUP(B402,Assumptions!$A$26:$D$27,2,TRUE)</f>
        <v>0</v>
      </c>
      <c r="W402">
        <f t="shared" si="108"/>
        <v>0</v>
      </c>
      <c r="X402">
        <f t="shared" si="109"/>
        <v>0.1666666666666643</v>
      </c>
      <c r="Y402">
        <f>IF(B402&gt;$M$2,0,IF(X403=0,0,(1-X403)*Assumptions!$B$11/$E$2*(1-Assumptions!$B$30)))</f>
        <v>0</v>
      </c>
      <c r="Z402">
        <f>(R402-S402)*(1-Assumptions!$B$30)-U402+Y401*Q401</f>
        <v>0</v>
      </c>
      <c r="AA402">
        <f>AA401*(1+Assumptions!$B$36)^(1/12)</f>
        <v>1.3829445349057359</v>
      </c>
      <c r="AB402" s="20">
        <f>IF(B402&gt;$M$2,0,AA401*Assumptions!$B$32/12*Q401+Z402*Assumptions!$B$34/12)</f>
        <v>0</v>
      </c>
      <c r="AC402" s="21">
        <f>1/(1+HLOOKUP(YEAR(A402),Assumptions!$A$41:$AL$43,3,TRUE))^(1/12)</f>
        <v>0.99762636457512177</v>
      </c>
      <c r="AD402">
        <f t="shared" si="104"/>
        <v>0</v>
      </c>
      <c r="AE402">
        <f t="shared" si="110"/>
        <v>0</v>
      </c>
    </row>
    <row r="403" spans="1:31" x14ac:dyDescent="0.2">
      <c r="A403" s="2">
        <f t="shared" si="111"/>
        <v>55031</v>
      </c>
      <c r="B403">
        <f t="shared" si="105"/>
        <v>472</v>
      </c>
      <c r="C403">
        <f t="shared" si="97"/>
        <v>39.25</v>
      </c>
      <c r="D403">
        <f t="shared" si="98"/>
        <v>0</v>
      </c>
      <c r="E403">
        <f t="shared" si="99"/>
        <v>94</v>
      </c>
      <c r="F403">
        <f t="shared" si="100"/>
        <v>86</v>
      </c>
      <c r="G403">
        <f>IF(C403&gt;=$L$2,0,VLOOKUP($E403,'Mortality Table'!$A$3:$C$128,2+H$2,FALSE))</f>
        <v>0</v>
      </c>
      <c r="H403">
        <f>IF(C403&gt;=$L$2,0,VLOOKUP($E403,'Mortality Table'!$A$3:$C$128,2+I$2,FALSE))</f>
        <v>0</v>
      </c>
      <c r="I403" s="17">
        <f>G403*Assumptions!$B$1</f>
        <v>0</v>
      </c>
      <c r="J403" s="17">
        <f>H403*Assumptions!$B$1</f>
        <v>0</v>
      </c>
      <c r="K403">
        <f t="shared" si="101"/>
        <v>0</v>
      </c>
      <c r="L403">
        <f t="shared" si="106"/>
        <v>0</v>
      </c>
      <c r="M403">
        <f>HLOOKUP(C403,Assumptions!$A$6:$J$7,2,TRUE)</f>
        <v>2.6499999999999999E-2</v>
      </c>
      <c r="N403" s="23">
        <f t="shared" si="96"/>
        <v>0</v>
      </c>
      <c r="O403" s="23">
        <f t="shared" si="102"/>
        <v>0</v>
      </c>
      <c r="P403">
        <f t="shared" si="107"/>
        <v>0</v>
      </c>
      <c r="Q403" s="23">
        <f t="shared" si="103"/>
        <v>0</v>
      </c>
      <c r="R403">
        <f>Q402*Assumptions!$B$11/$E$2*N403</f>
        <v>0</v>
      </c>
      <c r="S403">
        <f>Q402*Assumptions!$B$13/$E$2*N403</f>
        <v>0</v>
      </c>
      <c r="T403">
        <f>L403*Assumptions!$B$15</f>
        <v>0</v>
      </c>
      <c r="U403">
        <f>S403*Assumptions!$B$17</f>
        <v>0</v>
      </c>
      <c r="V403">
        <f>HLOOKUP(B403,Assumptions!$A$26:$D$27,2,TRUE)</f>
        <v>0</v>
      </c>
      <c r="W403">
        <f t="shared" si="108"/>
        <v>0</v>
      </c>
      <c r="X403">
        <f t="shared" si="109"/>
        <v>0.25</v>
      </c>
      <c r="Y403">
        <f>IF(B403&gt;$M$2,0,IF(X404=0,0,(1-X404)*Assumptions!$B$11/$E$2*(1-Assumptions!$B$30)))</f>
        <v>0</v>
      </c>
      <c r="Z403">
        <f>(R403-S403)*(1-Assumptions!$B$30)-U403+Y402*Q402</f>
        <v>0</v>
      </c>
      <c r="AA403">
        <f>AA402*(1+Assumptions!$B$36)^(1/12)</f>
        <v>1.3840917401074668</v>
      </c>
      <c r="AB403" s="20">
        <f>IF(B403&gt;$M$2,0,AA402*Assumptions!$B$32/12*Q402+Z403*Assumptions!$B$34/12)</f>
        <v>0</v>
      </c>
      <c r="AC403" s="21">
        <f>1/(1+HLOOKUP(YEAR(A403),Assumptions!$A$41:$AL$43,3,TRUE))^(1/12)</f>
        <v>0.99762636457512177</v>
      </c>
      <c r="AD403">
        <f t="shared" si="104"/>
        <v>0</v>
      </c>
      <c r="AE403">
        <f t="shared" si="110"/>
        <v>0</v>
      </c>
    </row>
    <row r="404" spans="1:31" x14ac:dyDescent="0.2">
      <c r="A404" s="2">
        <f t="shared" si="111"/>
        <v>55061</v>
      </c>
      <c r="B404">
        <f t="shared" si="105"/>
        <v>473</v>
      </c>
      <c r="C404">
        <f t="shared" si="97"/>
        <v>39.333333333333336</v>
      </c>
      <c r="D404">
        <f t="shared" si="98"/>
        <v>0</v>
      </c>
      <c r="E404">
        <f t="shared" si="99"/>
        <v>94</v>
      </c>
      <c r="F404">
        <f t="shared" si="100"/>
        <v>86</v>
      </c>
      <c r="G404">
        <f>IF(C404&gt;=$L$2,0,VLOOKUP($E404,'Mortality Table'!$A$3:$C$128,2+H$2,FALSE))</f>
        <v>0</v>
      </c>
      <c r="H404">
        <f>IF(C404&gt;=$L$2,0,VLOOKUP($E404,'Mortality Table'!$A$3:$C$128,2+I$2,FALSE))</f>
        <v>0</v>
      </c>
      <c r="I404" s="17">
        <f>G404*Assumptions!$B$1</f>
        <v>0</v>
      </c>
      <c r="J404" s="17">
        <f>H404*Assumptions!$B$1</f>
        <v>0</v>
      </c>
      <c r="K404">
        <f t="shared" si="101"/>
        <v>0</v>
      </c>
      <c r="L404">
        <f t="shared" si="106"/>
        <v>0</v>
      </c>
      <c r="M404">
        <f>HLOOKUP(C404,Assumptions!$A$6:$J$7,2,TRUE)</f>
        <v>2.6499999999999999E-2</v>
      </c>
      <c r="N404" s="23">
        <f t="shared" si="96"/>
        <v>0</v>
      </c>
      <c r="O404" s="23">
        <f t="shared" si="102"/>
        <v>0</v>
      </c>
      <c r="P404">
        <f t="shared" si="107"/>
        <v>0</v>
      </c>
      <c r="Q404" s="23">
        <f t="shared" si="103"/>
        <v>0</v>
      </c>
      <c r="R404">
        <f>Q403*Assumptions!$B$11/$E$2*N404</f>
        <v>0</v>
      </c>
      <c r="S404">
        <f>Q403*Assumptions!$B$13/$E$2*N404</f>
        <v>0</v>
      </c>
      <c r="T404">
        <f>L404*Assumptions!$B$15</f>
        <v>0</v>
      </c>
      <c r="U404">
        <f>S404*Assumptions!$B$17</f>
        <v>0</v>
      </c>
      <c r="V404">
        <f>HLOOKUP(B404,Assumptions!$A$26:$D$27,2,TRUE)</f>
        <v>0</v>
      </c>
      <c r="W404">
        <f t="shared" si="108"/>
        <v>0</v>
      </c>
      <c r="X404">
        <f t="shared" si="109"/>
        <v>0.3333333333333357</v>
      </c>
      <c r="Y404">
        <f>IF(B404&gt;$M$2,0,IF(X405=0,0,(1-X405)*Assumptions!$B$11/$E$2*(1-Assumptions!$B$30)))</f>
        <v>0</v>
      </c>
      <c r="Z404">
        <f>(R404-S404)*(1-Assumptions!$B$30)-U404+Y403*Q403</f>
        <v>0</v>
      </c>
      <c r="AA404">
        <f>AA403*(1+Assumptions!$B$36)^(1/12)</f>
        <v>1.3852398969596378</v>
      </c>
      <c r="AB404" s="20">
        <f>IF(B404&gt;$M$2,0,AA403*Assumptions!$B$32/12*Q403+Z404*Assumptions!$B$34/12)</f>
        <v>0</v>
      </c>
      <c r="AC404" s="21">
        <f>1/(1+HLOOKUP(YEAR(A404),Assumptions!$A$41:$AL$43,3,TRUE))^(1/12)</f>
        <v>0.99762636457512177</v>
      </c>
      <c r="AD404">
        <f t="shared" si="104"/>
        <v>0</v>
      </c>
      <c r="AE404">
        <f t="shared" si="110"/>
        <v>0</v>
      </c>
    </row>
    <row r="405" spans="1:31" x14ac:dyDescent="0.2">
      <c r="A405" s="2">
        <f t="shared" si="111"/>
        <v>55092</v>
      </c>
      <c r="B405">
        <f t="shared" si="105"/>
        <v>474</v>
      </c>
      <c r="C405">
        <f t="shared" si="97"/>
        <v>39.416666666666664</v>
      </c>
      <c r="D405">
        <f t="shared" si="98"/>
        <v>0</v>
      </c>
      <c r="E405">
        <f t="shared" si="99"/>
        <v>94</v>
      </c>
      <c r="F405">
        <f t="shared" si="100"/>
        <v>86</v>
      </c>
      <c r="G405">
        <f>IF(C405&gt;=$L$2,0,VLOOKUP($E405,'Mortality Table'!$A$3:$C$128,2+H$2,FALSE))</f>
        <v>0</v>
      </c>
      <c r="H405">
        <f>IF(C405&gt;=$L$2,0,VLOOKUP($E405,'Mortality Table'!$A$3:$C$128,2+I$2,FALSE))</f>
        <v>0</v>
      </c>
      <c r="I405" s="17">
        <f>G405*Assumptions!$B$1</f>
        <v>0</v>
      </c>
      <c r="J405" s="17">
        <f>H405*Assumptions!$B$1</f>
        <v>0</v>
      </c>
      <c r="K405">
        <f t="shared" si="101"/>
        <v>0</v>
      </c>
      <c r="L405">
        <f t="shared" si="106"/>
        <v>0</v>
      </c>
      <c r="M405">
        <f>HLOOKUP(C405,Assumptions!$A$6:$J$7,2,TRUE)</f>
        <v>2.6499999999999999E-2</v>
      </c>
      <c r="N405" s="23">
        <f t="shared" si="96"/>
        <v>0</v>
      </c>
      <c r="O405" s="23">
        <f t="shared" si="102"/>
        <v>0</v>
      </c>
      <c r="P405">
        <f t="shared" si="107"/>
        <v>0</v>
      </c>
      <c r="Q405" s="23">
        <f t="shared" si="103"/>
        <v>0</v>
      </c>
      <c r="R405">
        <f>Q404*Assumptions!$B$11/$E$2*N405</f>
        <v>0</v>
      </c>
      <c r="S405">
        <f>Q404*Assumptions!$B$13/$E$2*N405</f>
        <v>0</v>
      </c>
      <c r="T405">
        <f>L405*Assumptions!$B$15</f>
        <v>0</v>
      </c>
      <c r="U405">
        <f>S405*Assumptions!$B$17</f>
        <v>0</v>
      </c>
      <c r="V405">
        <f>HLOOKUP(B405,Assumptions!$A$26:$D$27,2,TRUE)</f>
        <v>0</v>
      </c>
      <c r="W405">
        <f t="shared" si="108"/>
        <v>0</v>
      </c>
      <c r="X405">
        <f t="shared" si="109"/>
        <v>0.4166666666666643</v>
      </c>
      <c r="Y405">
        <f>IF(B405&gt;$M$2,0,IF(X406=0,0,(1-X406)*Assumptions!$B$11/$E$2*(1-Assumptions!$B$30)))</f>
        <v>0</v>
      </c>
      <c r="Z405">
        <f>(R405-S405)*(1-Assumptions!$B$30)-U405+Y404*Q404</f>
        <v>0</v>
      </c>
      <c r="AA405">
        <f>AA404*(1+Assumptions!$B$36)^(1/12)</f>
        <v>1.3863890062516788</v>
      </c>
      <c r="AB405" s="20">
        <f>IF(B405&gt;$M$2,0,AA404*Assumptions!$B$32/12*Q404+Z405*Assumptions!$B$34/12)</f>
        <v>0</v>
      </c>
      <c r="AC405" s="21">
        <f>1/(1+HLOOKUP(YEAR(A405),Assumptions!$A$41:$AL$43,3,TRUE))^(1/12)</f>
        <v>0.99762636457512177</v>
      </c>
      <c r="AD405">
        <f t="shared" si="104"/>
        <v>0</v>
      </c>
      <c r="AE405">
        <f t="shared" si="110"/>
        <v>0</v>
      </c>
    </row>
    <row r="406" spans="1:31" x14ac:dyDescent="0.2">
      <c r="A406" s="2">
        <f t="shared" si="111"/>
        <v>55122</v>
      </c>
      <c r="B406">
        <f t="shared" si="105"/>
        <v>475</v>
      </c>
      <c r="C406">
        <f t="shared" si="97"/>
        <v>39.5</v>
      </c>
      <c r="D406">
        <f t="shared" si="98"/>
        <v>0</v>
      </c>
      <c r="E406">
        <f t="shared" si="99"/>
        <v>94</v>
      </c>
      <c r="F406">
        <f t="shared" si="100"/>
        <v>86</v>
      </c>
      <c r="G406">
        <f>IF(C406&gt;=$L$2,0,VLOOKUP($E406,'Mortality Table'!$A$3:$C$128,2+H$2,FALSE))</f>
        <v>0</v>
      </c>
      <c r="H406">
        <f>IF(C406&gt;=$L$2,0,VLOOKUP($E406,'Mortality Table'!$A$3:$C$128,2+I$2,FALSE))</f>
        <v>0</v>
      </c>
      <c r="I406" s="17">
        <f>G406*Assumptions!$B$1</f>
        <v>0</v>
      </c>
      <c r="J406" s="17">
        <f>H406*Assumptions!$B$1</f>
        <v>0</v>
      </c>
      <c r="K406">
        <f t="shared" si="101"/>
        <v>0</v>
      </c>
      <c r="L406">
        <f t="shared" si="106"/>
        <v>0</v>
      </c>
      <c r="M406">
        <f>HLOOKUP(C406,Assumptions!$A$6:$J$7,2,TRUE)</f>
        <v>2.6499999999999999E-2</v>
      </c>
      <c r="N406" s="23">
        <f t="shared" si="96"/>
        <v>0</v>
      </c>
      <c r="O406" s="23">
        <f t="shared" si="102"/>
        <v>0</v>
      </c>
      <c r="P406">
        <f t="shared" si="107"/>
        <v>0</v>
      </c>
      <c r="Q406" s="23">
        <f t="shared" si="103"/>
        <v>0</v>
      </c>
      <c r="R406">
        <f>Q405*Assumptions!$B$11/$E$2*N406</f>
        <v>0</v>
      </c>
      <c r="S406">
        <f>Q405*Assumptions!$B$13/$E$2*N406</f>
        <v>0</v>
      </c>
      <c r="T406">
        <f>L406*Assumptions!$B$15</f>
        <v>0</v>
      </c>
      <c r="U406">
        <f>S406*Assumptions!$B$17</f>
        <v>0</v>
      </c>
      <c r="V406">
        <f>HLOOKUP(B406,Assumptions!$A$26:$D$27,2,TRUE)</f>
        <v>0</v>
      </c>
      <c r="W406">
        <f t="shared" si="108"/>
        <v>0</v>
      </c>
      <c r="X406">
        <f t="shared" si="109"/>
        <v>0.5</v>
      </c>
      <c r="Y406">
        <f>IF(B406&gt;$M$2,0,IF(X407=0,0,(1-X407)*Assumptions!$B$11/$E$2*(1-Assumptions!$B$30)))</f>
        <v>0</v>
      </c>
      <c r="Z406">
        <f>(R406-S406)*(1-Assumptions!$B$30)-U406+Y405*Q405</f>
        <v>0</v>
      </c>
      <c r="AA406">
        <f>AA405*(1+Assumptions!$B$36)^(1/12)</f>
        <v>1.3875390687736751</v>
      </c>
      <c r="AB406" s="20">
        <f>IF(B406&gt;$M$2,0,AA405*Assumptions!$B$32/12*Q405+Z406*Assumptions!$B$34/12)</f>
        <v>0</v>
      </c>
      <c r="AC406" s="21">
        <f>1/(1+HLOOKUP(YEAR(A406),Assumptions!$A$41:$AL$43,3,TRUE))^(1/12)</f>
        <v>0.99762636457512177</v>
      </c>
      <c r="AD406">
        <f t="shared" si="104"/>
        <v>0</v>
      </c>
      <c r="AE406">
        <f t="shared" si="110"/>
        <v>0</v>
      </c>
    </row>
    <row r="407" spans="1:31" x14ac:dyDescent="0.2">
      <c r="A407" s="2">
        <f t="shared" si="111"/>
        <v>55153</v>
      </c>
      <c r="B407">
        <f t="shared" si="105"/>
        <v>476</v>
      </c>
      <c r="C407">
        <f t="shared" si="97"/>
        <v>39.583333333333336</v>
      </c>
      <c r="D407">
        <f t="shared" si="98"/>
        <v>0</v>
      </c>
      <c r="E407">
        <f t="shared" si="99"/>
        <v>94</v>
      </c>
      <c r="F407">
        <f t="shared" si="100"/>
        <v>86</v>
      </c>
      <c r="G407">
        <f>IF(C407&gt;=$L$2,0,VLOOKUP($E407,'Mortality Table'!$A$3:$C$128,2+H$2,FALSE))</f>
        <v>0</v>
      </c>
      <c r="H407">
        <f>IF(C407&gt;=$L$2,0,VLOOKUP($E407,'Mortality Table'!$A$3:$C$128,2+I$2,FALSE))</f>
        <v>0</v>
      </c>
      <c r="I407" s="17">
        <f>G407*Assumptions!$B$1</f>
        <v>0</v>
      </c>
      <c r="J407" s="17">
        <f>H407*Assumptions!$B$1</f>
        <v>0</v>
      </c>
      <c r="K407">
        <f t="shared" si="101"/>
        <v>0</v>
      </c>
      <c r="L407">
        <f t="shared" si="106"/>
        <v>0</v>
      </c>
      <c r="M407">
        <f>HLOOKUP(C407,Assumptions!$A$6:$J$7,2,TRUE)</f>
        <v>2.6499999999999999E-2</v>
      </c>
      <c r="N407" s="23">
        <f t="shared" si="96"/>
        <v>0</v>
      </c>
      <c r="O407" s="23">
        <f t="shared" si="102"/>
        <v>0</v>
      </c>
      <c r="P407">
        <f t="shared" si="107"/>
        <v>0</v>
      </c>
      <c r="Q407" s="23">
        <f t="shared" si="103"/>
        <v>0</v>
      </c>
      <c r="R407">
        <f>Q406*Assumptions!$B$11/$E$2*N407</f>
        <v>0</v>
      </c>
      <c r="S407">
        <f>Q406*Assumptions!$B$13/$E$2*N407</f>
        <v>0</v>
      </c>
      <c r="T407">
        <f>L407*Assumptions!$B$15</f>
        <v>0</v>
      </c>
      <c r="U407">
        <f>S407*Assumptions!$B$17</f>
        <v>0</v>
      </c>
      <c r="V407">
        <f>HLOOKUP(B407,Assumptions!$A$26:$D$27,2,TRUE)</f>
        <v>0</v>
      </c>
      <c r="W407">
        <f t="shared" si="108"/>
        <v>0</v>
      </c>
      <c r="X407">
        <f t="shared" si="109"/>
        <v>0.5833333333333357</v>
      </c>
      <c r="Y407">
        <f>IF(B407&gt;$M$2,0,IF(X408=0,0,(1-X408)*Assumptions!$B$11/$E$2*(1-Assumptions!$B$30)))</f>
        <v>0</v>
      </c>
      <c r="Z407">
        <f>(R407-S407)*(1-Assumptions!$B$30)-U407+Y406*Q406</f>
        <v>0</v>
      </c>
      <c r="AA407">
        <f>AA406*(1+Assumptions!$B$36)^(1/12)</f>
        <v>1.3886900853163673</v>
      </c>
      <c r="AB407" s="20">
        <f>IF(B407&gt;$M$2,0,AA406*Assumptions!$B$32/12*Q406+Z407*Assumptions!$B$34/12)</f>
        <v>0</v>
      </c>
      <c r="AC407" s="21">
        <f>1/(1+HLOOKUP(YEAR(A407),Assumptions!$A$41:$AL$43,3,TRUE))^(1/12)</f>
        <v>0.99762636457512177</v>
      </c>
      <c r="AD407">
        <f t="shared" si="104"/>
        <v>0</v>
      </c>
      <c r="AE407">
        <f t="shared" si="110"/>
        <v>0</v>
      </c>
    </row>
    <row r="408" spans="1:31" x14ac:dyDescent="0.2">
      <c r="A408" s="2">
        <f t="shared" si="111"/>
        <v>55184</v>
      </c>
      <c r="B408">
        <f t="shared" si="105"/>
        <v>477</v>
      </c>
      <c r="C408">
        <f t="shared" si="97"/>
        <v>39.666666666666664</v>
      </c>
      <c r="D408">
        <f t="shared" si="98"/>
        <v>0</v>
      </c>
      <c r="E408">
        <f t="shared" si="99"/>
        <v>94</v>
      </c>
      <c r="F408">
        <f t="shared" si="100"/>
        <v>86</v>
      </c>
      <c r="G408">
        <f>IF(C408&gt;=$L$2,0,VLOOKUP($E408,'Mortality Table'!$A$3:$C$128,2+H$2,FALSE))</f>
        <v>0</v>
      </c>
      <c r="H408">
        <f>IF(C408&gt;=$L$2,0,VLOOKUP($E408,'Mortality Table'!$A$3:$C$128,2+I$2,FALSE))</f>
        <v>0</v>
      </c>
      <c r="I408" s="17">
        <f>G408*Assumptions!$B$1</f>
        <v>0</v>
      </c>
      <c r="J408" s="17">
        <f>H408*Assumptions!$B$1</f>
        <v>0</v>
      </c>
      <c r="K408">
        <f t="shared" si="101"/>
        <v>0</v>
      </c>
      <c r="L408">
        <f t="shared" si="106"/>
        <v>0</v>
      </c>
      <c r="M408">
        <f>HLOOKUP(C408,Assumptions!$A$6:$J$7,2,TRUE)</f>
        <v>2.6499999999999999E-2</v>
      </c>
      <c r="N408" s="23">
        <f t="shared" si="96"/>
        <v>0</v>
      </c>
      <c r="O408" s="23">
        <f t="shared" si="102"/>
        <v>0</v>
      </c>
      <c r="P408">
        <f t="shared" si="107"/>
        <v>0</v>
      </c>
      <c r="Q408" s="23">
        <f t="shared" si="103"/>
        <v>0</v>
      </c>
      <c r="R408">
        <f>Q407*Assumptions!$B$11/$E$2*N408</f>
        <v>0</v>
      </c>
      <c r="S408">
        <f>Q407*Assumptions!$B$13/$E$2*N408</f>
        <v>0</v>
      </c>
      <c r="T408">
        <f>L408*Assumptions!$B$15</f>
        <v>0</v>
      </c>
      <c r="U408">
        <f>S408*Assumptions!$B$17</f>
        <v>0</v>
      </c>
      <c r="V408">
        <f>HLOOKUP(B408,Assumptions!$A$26:$D$27,2,TRUE)</f>
        <v>0</v>
      </c>
      <c r="W408">
        <f t="shared" si="108"/>
        <v>0</v>
      </c>
      <c r="X408">
        <f t="shared" si="109"/>
        <v>0.6666666666666643</v>
      </c>
      <c r="Y408">
        <f>IF(B408&gt;$M$2,0,IF(X409=0,0,(1-X409)*Assumptions!$B$11/$E$2*(1-Assumptions!$B$30)))</f>
        <v>0</v>
      </c>
      <c r="Z408">
        <f>(R408-S408)*(1-Assumptions!$B$30)-U408+Y407*Q407</f>
        <v>0</v>
      </c>
      <c r="AA408">
        <f>AA407*(1+Assumptions!$B$36)^(1/12)</f>
        <v>1.3898420566711518</v>
      </c>
      <c r="AB408" s="20">
        <f>IF(B408&gt;$M$2,0,AA407*Assumptions!$B$32/12*Q407+Z408*Assumptions!$B$34/12)</f>
        <v>0</v>
      </c>
      <c r="AC408" s="21">
        <f>1/(1+HLOOKUP(YEAR(A408),Assumptions!$A$41:$AL$43,3,TRUE))^(1/12)</f>
        <v>0.99761125679893925</v>
      </c>
      <c r="AD408">
        <f t="shared" si="104"/>
        <v>0</v>
      </c>
      <c r="AE408">
        <f t="shared" si="110"/>
        <v>0</v>
      </c>
    </row>
    <row r="409" spans="1:31" x14ac:dyDescent="0.2">
      <c r="A409" s="2">
        <f t="shared" si="111"/>
        <v>55212</v>
      </c>
      <c r="B409">
        <f t="shared" si="105"/>
        <v>478</v>
      </c>
      <c r="C409">
        <f t="shared" si="97"/>
        <v>39.75</v>
      </c>
      <c r="D409">
        <f t="shared" si="98"/>
        <v>0</v>
      </c>
      <c r="E409">
        <f t="shared" si="99"/>
        <v>94</v>
      </c>
      <c r="F409">
        <f t="shared" si="100"/>
        <v>86</v>
      </c>
      <c r="G409">
        <f>IF(C409&gt;=$L$2,0,VLOOKUP($E409,'Mortality Table'!$A$3:$C$128,2+H$2,FALSE))</f>
        <v>0</v>
      </c>
      <c r="H409">
        <f>IF(C409&gt;=$L$2,0,VLOOKUP($E409,'Mortality Table'!$A$3:$C$128,2+I$2,FALSE))</f>
        <v>0</v>
      </c>
      <c r="I409" s="17">
        <f>G409*Assumptions!$B$1</f>
        <v>0</v>
      </c>
      <c r="J409" s="17">
        <f>H409*Assumptions!$B$1</f>
        <v>0</v>
      </c>
      <c r="K409">
        <f t="shared" si="101"/>
        <v>0</v>
      </c>
      <c r="L409">
        <f t="shared" si="106"/>
        <v>0</v>
      </c>
      <c r="M409">
        <f>HLOOKUP(C409,Assumptions!$A$6:$J$7,2,TRUE)</f>
        <v>2.6499999999999999E-2</v>
      </c>
      <c r="N409" s="23">
        <f t="shared" si="96"/>
        <v>0</v>
      </c>
      <c r="O409" s="23">
        <f t="shared" si="102"/>
        <v>0</v>
      </c>
      <c r="P409">
        <f t="shared" si="107"/>
        <v>0</v>
      </c>
      <c r="Q409" s="23">
        <f t="shared" si="103"/>
        <v>0</v>
      </c>
      <c r="R409">
        <f>Q408*Assumptions!$B$11/$E$2*N409</f>
        <v>0</v>
      </c>
      <c r="S409">
        <f>Q408*Assumptions!$B$13/$E$2*N409</f>
        <v>0</v>
      </c>
      <c r="T409">
        <f>L409*Assumptions!$B$15</f>
        <v>0</v>
      </c>
      <c r="U409">
        <f>S409*Assumptions!$B$17</f>
        <v>0</v>
      </c>
      <c r="V409">
        <f>HLOOKUP(B409,Assumptions!$A$26:$D$27,2,TRUE)</f>
        <v>0</v>
      </c>
      <c r="W409">
        <f t="shared" si="108"/>
        <v>0</v>
      </c>
      <c r="X409">
        <f t="shared" si="109"/>
        <v>0.75</v>
      </c>
      <c r="Y409">
        <f>IF(B409&gt;$M$2,0,IF(X410=0,0,(1-X410)*Assumptions!$B$11/$E$2*(1-Assumptions!$B$30)))</f>
        <v>0</v>
      </c>
      <c r="Z409">
        <f>(R409-S409)*(1-Assumptions!$B$30)-U409+Y408*Q408</f>
        <v>0</v>
      </c>
      <c r="AA409">
        <f>AA408*(1+Assumptions!$B$36)^(1/12)</f>
        <v>1.3909949836300817</v>
      </c>
      <c r="AB409" s="20">
        <f>IF(B409&gt;$M$2,0,AA408*Assumptions!$B$32/12*Q408+Z409*Assumptions!$B$34/12)</f>
        <v>0</v>
      </c>
      <c r="AC409" s="21">
        <f>1/(1+HLOOKUP(YEAR(A409),Assumptions!$A$41:$AL$43,3,TRUE))^(1/12)</f>
        <v>0.99761125679893925</v>
      </c>
      <c r="AD409">
        <f t="shared" si="104"/>
        <v>0</v>
      </c>
      <c r="AE409">
        <f t="shared" si="110"/>
        <v>0</v>
      </c>
    </row>
    <row r="410" spans="1:31" x14ac:dyDescent="0.2">
      <c r="A410" s="2">
        <f t="shared" si="111"/>
        <v>55243</v>
      </c>
      <c r="B410">
        <f t="shared" si="105"/>
        <v>479</v>
      </c>
      <c r="C410">
        <f t="shared" si="97"/>
        <v>39.833333333333336</v>
      </c>
      <c r="D410">
        <f t="shared" si="98"/>
        <v>0</v>
      </c>
      <c r="E410">
        <f t="shared" si="99"/>
        <v>94</v>
      </c>
      <c r="F410">
        <f t="shared" si="100"/>
        <v>86</v>
      </c>
      <c r="G410">
        <f>IF(C410&gt;=$L$2,0,VLOOKUP($E410,'Mortality Table'!$A$3:$C$128,2+H$2,FALSE))</f>
        <v>0</v>
      </c>
      <c r="H410">
        <f>IF(C410&gt;=$L$2,0,VLOOKUP($E410,'Mortality Table'!$A$3:$C$128,2+I$2,FALSE))</f>
        <v>0</v>
      </c>
      <c r="I410" s="17">
        <f>G410*Assumptions!$B$1</f>
        <v>0</v>
      </c>
      <c r="J410" s="17">
        <f>H410*Assumptions!$B$1</f>
        <v>0</v>
      </c>
      <c r="K410">
        <f t="shared" si="101"/>
        <v>0</v>
      </c>
      <c r="L410">
        <f t="shared" si="106"/>
        <v>0</v>
      </c>
      <c r="M410">
        <f>HLOOKUP(C410,Assumptions!$A$6:$J$7,2,TRUE)</f>
        <v>2.6499999999999999E-2</v>
      </c>
      <c r="N410" s="23">
        <f t="shared" si="96"/>
        <v>0</v>
      </c>
      <c r="O410" s="23">
        <f t="shared" si="102"/>
        <v>0</v>
      </c>
      <c r="P410">
        <f t="shared" si="107"/>
        <v>0</v>
      </c>
      <c r="Q410" s="23">
        <f t="shared" si="103"/>
        <v>0</v>
      </c>
      <c r="R410">
        <f>Q409*Assumptions!$B$11/$E$2*N410</f>
        <v>0</v>
      </c>
      <c r="S410">
        <f>Q409*Assumptions!$B$13/$E$2*N410</f>
        <v>0</v>
      </c>
      <c r="T410">
        <f>L410*Assumptions!$B$15</f>
        <v>0</v>
      </c>
      <c r="U410">
        <f>S410*Assumptions!$B$17</f>
        <v>0</v>
      </c>
      <c r="V410">
        <f>HLOOKUP(B410,Assumptions!$A$26:$D$27,2,TRUE)</f>
        <v>0</v>
      </c>
      <c r="W410">
        <f t="shared" si="108"/>
        <v>0</v>
      </c>
      <c r="X410">
        <f t="shared" si="109"/>
        <v>0.8333333333333357</v>
      </c>
      <c r="Y410">
        <f>IF(B410&gt;$M$2,0,IF(X411=0,0,(1-X411)*Assumptions!$B$11/$E$2*(1-Assumptions!$B$30)))</f>
        <v>0</v>
      </c>
      <c r="Z410">
        <f>(R410-S410)*(1-Assumptions!$B$30)-U410+Y409*Q409</f>
        <v>0</v>
      </c>
      <c r="AA410">
        <f>AA409*(1+Assumptions!$B$36)^(1/12)</f>
        <v>1.392148866985867</v>
      </c>
      <c r="AB410" s="20">
        <f>IF(B410&gt;$M$2,0,AA409*Assumptions!$B$32/12*Q409+Z410*Assumptions!$B$34/12)</f>
        <v>0</v>
      </c>
      <c r="AC410" s="21">
        <f>1/(1+HLOOKUP(YEAR(A410),Assumptions!$A$41:$AL$43,3,TRUE))^(1/12)</f>
        <v>0.99761125679893925</v>
      </c>
      <c r="AD410">
        <f t="shared" si="104"/>
        <v>0</v>
      </c>
      <c r="AE410">
        <f t="shared" si="110"/>
        <v>0</v>
      </c>
    </row>
    <row r="411" spans="1:31" x14ac:dyDescent="0.2">
      <c r="A411" s="2">
        <f t="shared" si="111"/>
        <v>55273</v>
      </c>
      <c r="B411">
        <f t="shared" si="105"/>
        <v>480</v>
      </c>
      <c r="C411">
        <f t="shared" si="97"/>
        <v>39.916666666666664</v>
      </c>
      <c r="D411">
        <f t="shared" si="98"/>
        <v>0</v>
      </c>
      <c r="E411">
        <f t="shared" si="99"/>
        <v>94</v>
      </c>
      <c r="F411">
        <f t="shared" si="100"/>
        <v>86</v>
      </c>
      <c r="G411">
        <f>IF(C411&gt;=$L$2,0,VLOOKUP($E411,'Mortality Table'!$A$3:$C$128,2+H$2,FALSE))</f>
        <v>0</v>
      </c>
      <c r="H411">
        <f>IF(C411&gt;=$L$2,0,VLOOKUP($E411,'Mortality Table'!$A$3:$C$128,2+I$2,FALSE))</f>
        <v>0</v>
      </c>
      <c r="I411" s="17">
        <f>G411*Assumptions!$B$1</f>
        <v>0</v>
      </c>
      <c r="J411" s="17">
        <f>H411*Assumptions!$B$1</f>
        <v>0</v>
      </c>
      <c r="K411">
        <f t="shared" si="101"/>
        <v>0</v>
      </c>
      <c r="L411">
        <f t="shared" si="106"/>
        <v>0</v>
      </c>
      <c r="M411">
        <f>HLOOKUP(C411,Assumptions!$A$6:$J$7,2,TRUE)</f>
        <v>2.6499999999999999E-2</v>
      </c>
      <c r="N411" s="23">
        <f t="shared" si="96"/>
        <v>0</v>
      </c>
      <c r="O411" s="23">
        <f t="shared" si="102"/>
        <v>0</v>
      </c>
      <c r="P411">
        <f t="shared" si="107"/>
        <v>0</v>
      </c>
      <c r="Q411" s="23">
        <f t="shared" si="103"/>
        <v>0</v>
      </c>
      <c r="R411">
        <f>Q410*Assumptions!$B$11/$E$2*N411</f>
        <v>0</v>
      </c>
      <c r="S411">
        <f>Q410*Assumptions!$B$13/$E$2*N411</f>
        <v>0</v>
      </c>
      <c r="T411">
        <f>L411*Assumptions!$B$15</f>
        <v>0</v>
      </c>
      <c r="U411">
        <f>S411*Assumptions!$B$17</f>
        <v>0</v>
      </c>
      <c r="V411">
        <f>HLOOKUP(B411,Assumptions!$A$26:$D$27,2,TRUE)</f>
        <v>0</v>
      </c>
      <c r="W411">
        <f t="shared" si="108"/>
        <v>0</v>
      </c>
      <c r="X411">
        <f t="shared" si="109"/>
        <v>0.9166666666666643</v>
      </c>
      <c r="Y411">
        <f>IF(B411&gt;$M$2,0,IF(X412=0,0,(1-X412)*Assumptions!$B$11/$E$2*(1-Assumptions!$B$30)))</f>
        <v>0</v>
      </c>
      <c r="Z411">
        <f>(R411-S411)*(1-Assumptions!$B$30)-U411+Y410*Q410</f>
        <v>0</v>
      </c>
      <c r="AA411">
        <f>AA410*(1+Assumptions!$B$36)^(1/12)</f>
        <v>1.3933037075318757</v>
      </c>
      <c r="AB411" s="20">
        <f>IF(B411&gt;$M$2,0,AA410*Assumptions!$B$32/12*Q410+Z411*Assumptions!$B$34/12)</f>
        <v>0</v>
      </c>
      <c r="AC411" s="21">
        <f>1/(1+HLOOKUP(YEAR(A411),Assumptions!$A$41:$AL$43,3,TRUE))^(1/12)</f>
        <v>0.99761125679893925</v>
      </c>
      <c r="AD411">
        <f t="shared" si="104"/>
        <v>0</v>
      </c>
      <c r="AE411">
        <f t="shared" si="110"/>
        <v>0</v>
      </c>
    </row>
    <row r="412" spans="1:31" x14ac:dyDescent="0.2">
      <c r="A412" s="2">
        <f t="shared" si="111"/>
        <v>55304</v>
      </c>
      <c r="B412">
        <f t="shared" si="105"/>
        <v>481</v>
      </c>
      <c r="C412">
        <f t="shared" si="97"/>
        <v>40</v>
      </c>
      <c r="D412">
        <f t="shared" si="98"/>
        <v>1</v>
      </c>
      <c r="E412">
        <f t="shared" si="99"/>
        <v>95</v>
      </c>
      <c r="F412">
        <f t="shared" si="100"/>
        <v>87</v>
      </c>
      <c r="G412">
        <f>IF(C412&gt;=$L$2,0,VLOOKUP($E412,'Mortality Table'!$A$3:$C$128,2+H$2,FALSE))</f>
        <v>0</v>
      </c>
      <c r="H412">
        <f>IF(C412&gt;=$L$2,0,VLOOKUP($E412,'Mortality Table'!$A$3:$C$128,2+I$2,FALSE))</f>
        <v>0</v>
      </c>
      <c r="I412" s="17">
        <f>G412*Assumptions!$B$1</f>
        <v>0</v>
      </c>
      <c r="J412" s="17">
        <f>H412*Assumptions!$B$1</f>
        <v>0</v>
      </c>
      <c r="K412">
        <f t="shared" si="101"/>
        <v>0</v>
      </c>
      <c r="L412">
        <f t="shared" si="106"/>
        <v>0</v>
      </c>
      <c r="M412">
        <f>HLOOKUP(C412,Assumptions!$A$6:$J$7,2,TRUE)</f>
        <v>2.6499999999999999E-2</v>
      </c>
      <c r="N412" s="23">
        <f t="shared" si="96"/>
        <v>0</v>
      </c>
      <c r="O412" s="23">
        <f t="shared" si="102"/>
        <v>0</v>
      </c>
      <c r="P412">
        <f t="shared" si="107"/>
        <v>0</v>
      </c>
      <c r="Q412" s="23">
        <f t="shared" si="103"/>
        <v>0</v>
      </c>
      <c r="R412">
        <f>Q411*Assumptions!$B$11/$E$2*N412</f>
        <v>0</v>
      </c>
      <c r="S412">
        <f>Q411*Assumptions!$B$13/$E$2*N412</f>
        <v>0</v>
      </c>
      <c r="T412">
        <f>L412*Assumptions!$B$15</f>
        <v>0</v>
      </c>
      <c r="U412">
        <f>S412*Assumptions!$B$17</f>
        <v>0</v>
      </c>
      <c r="V412">
        <f>HLOOKUP(B412,Assumptions!$A$26:$D$27,2,TRUE)</f>
        <v>0</v>
      </c>
      <c r="W412">
        <f t="shared" si="108"/>
        <v>0</v>
      </c>
      <c r="X412">
        <f t="shared" si="109"/>
        <v>0</v>
      </c>
      <c r="Y412">
        <f>IF(B412&gt;$M$2,0,IF(X413=0,0,(1-X413)*Assumptions!$B$11/$E$2*(1-Assumptions!$B$30)))</f>
        <v>0</v>
      </c>
      <c r="Z412">
        <f>(R412-S412)*(1-Assumptions!$B$30)-U412+Y411*Q411</f>
        <v>0</v>
      </c>
      <c r="AA412">
        <f>AA411*(1+Assumptions!$B$36)^(1/12)</f>
        <v>1.3944595060621332</v>
      </c>
      <c r="AB412" s="20">
        <f>IF(B412&gt;$M$2,0,AA411*Assumptions!$B$32/12*Q411+Z412*Assumptions!$B$34/12)</f>
        <v>0</v>
      </c>
      <c r="AC412" s="21">
        <f>1/(1+HLOOKUP(YEAR(A412),Assumptions!$A$41:$AL$43,3,TRUE))^(1/12)</f>
        <v>0.99761125679893925</v>
      </c>
      <c r="AD412">
        <f t="shared" si="104"/>
        <v>0</v>
      </c>
      <c r="AE412">
        <f t="shared" si="110"/>
        <v>0</v>
      </c>
    </row>
    <row r="413" spans="1:31" x14ac:dyDescent="0.2">
      <c r="A413" s="2">
        <f t="shared" si="111"/>
        <v>55334</v>
      </c>
      <c r="B413">
        <f t="shared" si="105"/>
        <v>482</v>
      </c>
      <c r="C413">
        <f t="shared" si="97"/>
        <v>40.083333333333336</v>
      </c>
      <c r="D413">
        <f t="shared" si="98"/>
        <v>0</v>
      </c>
      <c r="E413">
        <f t="shared" si="99"/>
        <v>95</v>
      </c>
      <c r="F413">
        <f t="shared" si="100"/>
        <v>87</v>
      </c>
      <c r="G413">
        <f>IF(C413&gt;=$L$2,0,VLOOKUP($E413,'Mortality Table'!$A$3:$C$128,2+H$2,FALSE))</f>
        <v>0</v>
      </c>
      <c r="H413">
        <f>IF(C413&gt;=$L$2,0,VLOOKUP($E413,'Mortality Table'!$A$3:$C$128,2+I$2,FALSE))</f>
        <v>0</v>
      </c>
      <c r="I413" s="17">
        <f>G413*Assumptions!$B$1</f>
        <v>0</v>
      </c>
      <c r="J413" s="17">
        <f>H413*Assumptions!$B$1</f>
        <v>0</v>
      </c>
      <c r="K413">
        <f t="shared" si="101"/>
        <v>0</v>
      </c>
      <c r="L413">
        <f t="shared" si="106"/>
        <v>0</v>
      </c>
      <c r="M413">
        <f>HLOOKUP(C413,Assumptions!$A$6:$J$7,2,TRUE)</f>
        <v>2.6499999999999999E-2</v>
      </c>
      <c r="N413" s="23">
        <f t="shared" si="96"/>
        <v>0</v>
      </c>
      <c r="O413" s="23">
        <f t="shared" si="102"/>
        <v>0</v>
      </c>
      <c r="P413">
        <f t="shared" si="107"/>
        <v>0</v>
      </c>
      <c r="Q413" s="23">
        <f t="shared" si="103"/>
        <v>0</v>
      </c>
      <c r="R413">
        <f>Q412*Assumptions!$B$11/$E$2*N413</f>
        <v>0</v>
      </c>
      <c r="S413">
        <f>Q412*Assumptions!$B$13/$E$2*N413</f>
        <v>0</v>
      </c>
      <c r="T413">
        <f>L413*Assumptions!$B$15</f>
        <v>0</v>
      </c>
      <c r="U413">
        <f>S413*Assumptions!$B$17</f>
        <v>0</v>
      </c>
      <c r="V413">
        <f>HLOOKUP(B413,Assumptions!$A$26:$D$27,2,TRUE)</f>
        <v>0</v>
      </c>
      <c r="W413">
        <f t="shared" si="108"/>
        <v>0</v>
      </c>
      <c r="X413">
        <f t="shared" si="109"/>
        <v>8.3333333333335702E-2</v>
      </c>
      <c r="Y413">
        <f>IF(B413&gt;$M$2,0,IF(X414=0,0,(1-X414)*Assumptions!$B$11/$E$2*(1-Assumptions!$B$30)))</f>
        <v>0</v>
      </c>
      <c r="Z413">
        <f>(R413-S413)*(1-Assumptions!$B$30)-U413+Y412*Q412</f>
        <v>0</v>
      </c>
      <c r="AA413">
        <f>AA412*(1+Assumptions!$B$36)^(1/12)</f>
        <v>1.3956162633713241</v>
      </c>
      <c r="AB413" s="20">
        <f>IF(B413&gt;$M$2,0,AA412*Assumptions!$B$32/12*Q412+Z413*Assumptions!$B$34/12)</f>
        <v>0</v>
      </c>
      <c r="AC413" s="21">
        <f>1/(1+HLOOKUP(YEAR(A413),Assumptions!$A$41:$AL$43,3,TRUE))^(1/12)</f>
        <v>0.99761125679893925</v>
      </c>
      <c r="AD413">
        <f t="shared" si="104"/>
        <v>0</v>
      </c>
      <c r="AE413">
        <f t="shared" si="110"/>
        <v>0</v>
      </c>
    </row>
    <row r="414" spans="1:31" x14ac:dyDescent="0.2">
      <c r="A414" s="2">
        <f t="shared" si="111"/>
        <v>55365</v>
      </c>
      <c r="B414">
        <f t="shared" si="105"/>
        <v>483</v>
      </c>
      <c r="C414">
        <f t="shared" si="97"/>
        <v>40.166666666666664</v>
      </c>
      <c r="D414">
        <f t="shared" si="98"/>
        <v>0</v>
      </c>
      <c r="E414">
        <f t="shared" si="99"/>
        <v>95</v>
      </c>
      <c r="F414">
        <f t="shared" si="100"/>
        <v>87</v>
      </c>
      <c r="G414">
        <f>IF(C414&gt;=$L$2,0,VLOOKUP($E414,'Mortality Table'!$A$3:$C$128,2+H$2,FALSE))</f>
        <v>0</v>
      </c>
      <c r="H414">
        <f>IF(C414&gt;=$L$2,0,VLOOKUP($E414,'Mortality Table'!$A$3:$C$128,2+I$2,FALSE))</f>
        <v>0</v>
      </c>
      <c r="I414" s="17">
        <f>G414*Assumptions!$B$1</f>
        <v>0</v>
      </c>
      <c r="J414" s="17">
        <f>H414*Assumptions!$B$1</f>
        <v>0</v>
      </c>
      <c r="K414">
        <f t="shared" si="101"/>
        <v>0</v>
      </c>
      <c r="L414">
        <f t="shared" si="106"/>
        <v>0</v>
      </c>
      <c r="M414">
        <f>HLOOKUP(C414,Assumptions!$A$6:$J$7,2,TRUE)</f>
        <v>2.6499999999999999E-2</v>
      </c>
      <c r="N414" s="23">
        <f t="shared" si="96"/>
        <v>0</v>
      </c>
      <c r="O414" s="23">
        <f t="shared" si="102"/>
        <v>0</v>
      </c>
      <c r="P414">
        <f t="shared" si="107"/>
        <v>0</v>
      </c>
      <c r="Q414" s="23">
        <f t="shared" si="103"/>
        <v>0</v>
      </c>
      <c r="R414">
        <f>Q413*Assumptions!$B$11/$E$2*N414</f>
        <v>0</v>
      </c>
      <c r="S414">
        <f>Q413*Assumptions!$B$13/$E$2*N414</f>
        <v>0</v>
      </c>
      <c r="T414">
        <f>L414*Assumptions!$B$15</f>
        <v>0</v>
      </c>
      <c r="U414">
        <f>S414*Assumptions!$B$17</f>
        <v>0</v>
      </c>
      <c r="V414">
        <f>HLOOKUP(B414,Assumptions!$A$26:$D$27,2,TRUE)</f>
        <v>0</v>
      </c>
      <c r="W414">
        <f t="shared" si="108"/>
        <v>0</v>
      </c>
      <c r="X414">
        <f t="shared" si="109"/>
        <v>0.1666666666666643</v>
      </c>
      <c r="Y414">
        <f>IF(B414&gt;$M$2,0,IF(X415=0,0,(1-X415)*Assumptions!$B$11/$E$2*(1-Assumptions!$B$30)))</f>
        <v>0</v>
      </c>
      <c r="Z414">
        <f>(R414-S414)*(1-Assumptions!$B$30)-U414+Y413*Q413</f>
        <v>0</v>
      </c>
      <c r="AA414">
        <f>AA413*(1+Assumptions!$B$36)^(1/12)</f>
        <v>1.3967739802547918</v>
      </c>
      <c r="AB414" s="20">
        <f>IF(B414&gt;$M$2,0,AA413*Assumptions!$B$32/12*Q413+Z414*Assumptions!$B$34/12)</f>
        <v>0</v>
      </c>
      <c r="AC414" s="21">
        <f>1/(1+HLOOKUP(YEAR(A414),Assumptions!$A$41:$AL$43,3,TRUE))^(1/12)</f>
        <v>0.99761125679893925</v>
      </c>
      <c r="AD414">
        <f t="shared" si="104"/>
        <v>0</v>
      </c>
      <c r="AE414">
        <f t="shared" si="110"/>
        <v>0</v>
      </c>
    </row>
    <row r="415" spans="1:31" x14ac:dyDescent="0.2">
      <c r="A415" s="2">
        <f t="shared" si="111"/>
        <v>55396</v>
      </c>
      <c r="B415">
        <f t="shared" si="105"/>
        <v>484</v>
      </c>
      <c r="C415">
        <f t="shared" si="97"/>
        <v>40.25</v>
      </c>
      <c r="D415">
        <f t="shared" si="98"/>
        <v>0</v>
      </c>
      <c r="E415">
        <f t="shared" si="99"/>
        <v>95</v>
      </c>
      <c r="F415">
        <f t="shared" si="100"/>
        <v>87</v>
      </c>
      <c r="G415">
        <f>IF(C415&gt;=$L$2,0,VLOOKUP($E415,'Mortality Table'!$A$3:$C$128,2+H$2,FALSE))</f>
        <v>0</v>
      </c>
      <c r="H415">
        <f>IF(C415&gt;=$L$2,0,VLOOKUP($E415,'Mortality Table'!$A$3:$C$128,2+I$2,FALSE))</f>
        <v>0</v>
      </c>
      <c r="I415" s="17">
        <f>G415*Assumptions!$B$1</f>
        <v>0</v>
      </c>
      <c r="J415" s="17">
        <f>H415*Assumptions!$B$1</f>
        <v>0</v>
      </c>
      <c r="K415">
        <f t="shared" si="101"/>
        <v>0</v>
      </c>
      <c r="L415">
        <f t="shared" si="106"/>
        <v>0</v>
      </c>
      <c r="M415">
        <f>HLOOKUP(C415,Assumptions!$A$6:$J$7,2,TRUE)</f>
        <v>2.6499999999999999E-2</v>
      </c>
      <c r="N415" s="23">
        <f t="shared" si="96"/>
        <v>0</v>
      </c>
      <c r="O415" s="23">
        <f t="shared" si="102"/>
        <v>0</v>
      </c>
      <c r="P415">
        <f t="shared" si="107"/>
        <v>0</v>
      </c>
      <c r="Q415" s="23">
        <f t="shared" si="103"/>
        <v>0</v>
      </c>
      <c r="R415">
        <f>Q414*Assumptions!$B$11/$E$2*N415</f>
        <v>0</v>
      </c>
      <c r="S415">
        <f>Q414*Assumptions!$B$13/$E$2*N415</f>
        <v>0</v>
      </c>
      <c r="T415">
        <f>L415*Assumptions!$B$15</f>
        <v>0</v>
      </c>
      <c r="U415">
        <f>S415*Assumptions!$B$17</f>
        <v>0</v>
      </c>
      <c r="V415">
        <f>HLOOKUP(B415,Assumptions!$A$26:$D$27,2,TRUE)</f>
        <v>0</v>
      </c>
      <c r="W415">
        <f t="shared" si="108"/>
        <v>0</v>
      </c>
      <c r="X415">
        <f t="shared" si="109"/>
        <v>0.25</v>
      </c>
      <c r="Y415">
        <f>IF(B415&gt;$M$2,0,IF(X416=0,0,(1-X416)*Assumptions!$B$11/$E$2*(1-Assumptions!$B$30)))</f>
        <v>0</v>
      </c>
      <c r="Z415">
        <f>(R415-S415)*(1-Assumptions!$B$30)-U415+Y414*Q414</f>
        <v>0</v>
      </c>
      <c r="AA415">
        <f>AA414*(1+Assumptions!$B$36)^(1/12)</f>
        <v>1.3979326575085402</v>
      </c>
      <c r="AB415" s="20">
        <f>IF(B415&gt;$M$2,0,AA414*Assumptions!$B$32/12*Q414+Z415*Assumptions!$B$34/12)</f>
        <v>0</v>
      </c>
      <c r="AC415" s="21">
        <f>1/(1+HLOOKUP(YEAR(A415),Assumptions!$A$41:$AL$43,3,TRUE))^(1/12)</f>
        <v>0.99761125679893925</v>
      </c>
      <c r="AD415">
        <f t="shared" si="104"/>
        <v>0</v>
      </c>
      <c r="AE415">
        <f t="shared" si="110"/>
        <v>0</v>
      </c>
    </row>
    <row r="416" spans="1:31" x14ac:dyDescent="0.2">
      <c r="A416" s="2">
        <f t="shared" si="111"/>
        <v>55426</v>
      </c>
      <c r="B416">
        <f t="shared" si="105"/>
        <v>485</v>
      </c>
      <c r="C416">
        <f t="shared" si="97"/>
        <v>40.333333333333336</v>
      </c>
      <c r="D416">
        <f t="shared" si="98"/>
        <v>0</v>
      </c>
      <c r="E416">
        <f t="shared" si="99"/>
        <v>95</v>
      </c>
      <c r="F416">
        <f t="shared" si="100"/>
        <v>87</v>
      </c>
      <c r="G416">
        <f>IF(C416&gt;=$L$2,0,VLOOKUP($E416,'Mortality Table'!$A$3:$C$128,2+H$2,FALSE))</f>
        <v>0</v>
      </c>
      <c r="H416">
        <f>IF(C416&gt;=$L$2,0,VLOOKUP($E416,'Mortality Table'!$A$3:$C$128,2+I$2,FALSE))</f>
        <v>0</v>
      </c>
      <c r="I416" s="17">
        <f>G416*Assumptions!$B$1</f>
        <v>0</v>
      </c>
      <c r="J416" s="17">
        <f>H416*Assumptions!$B$1</f>
        <v>0</v>
      </c>
      <c r="K416">
        <f t="shared" si="101"/>
        <v>0</v>
      </c>
      <c r="L416">
        <f t="shared" si="106"/>
        <v>0</v>
      </c>
      <c r="M416">
        <f>HLOOKUP(C416,Assumptions!$A$6:$J$7,2,TRUE)</f>
        <v>2.6499999999999999E-2</v>
      </c>
      <c r="N416" s="23">
        <f t="shared" si="96"/>
        <v>0</v>
      </c>
      <c r="O416" s="23">
        <f t="shared" si="102"/>
        <v>0</v>
      </c>
      <c r="P416">
        <f t="shared" si="107"/>
        <v>0</v>
      </c>
      <c r="Q416" s="23">
        <f t="shared" si="103"/>
        <v>0</v>
      </c>
      <c r="R416">
        <f>Q415*Assumptions!$B$11/$E$2*N416</f>
        <v>0</v>
      </c>
      <c r="S416">
        <f>Q415*Assumptions!$B$13/$E$2*N416</f>
        <v>0</v>
      </c>
      <c r="T416">
        <f>L416*Assumptions!$B$15</f>
        <v>0</v>
      </c>
      <c r="U416">
        <f>S416*Assumptions!$B$17</f>
        <v>0</v>
      </c>
      <c r="V416">
        <f>HLOOKUP(B416,Assumptions!$A$26:$D$27,2,TRUE)</f>
        <v>0</v>
      </c>
      <c r="W416">
        <f t="shared" si="108"/>
        <v>0</v>
      </c>
      <c r="X416">
        <f t="shared" si="109"/>
        <v>0.3333333333333357</v>
      </c>
      <c r="Y416">
        <f>IF(B416&gt;$M$2,0,IF(X417=0,0,(1-X417)*Assumptions!$B$11/$E$2*(1-Assumptions!$B$30)))</f>
        <v>0</v>
      </c>
      <c r="Z416">
        <f>(R416-S416)*(1-Assumptions!$B$30)-U416+Y415*Q415</f>
        <v>0</v>
      </c>
      <c r="AA416">
        <f>AA415*(1+Assumptions!$B$36)^(1/12)</f>
        <v>1.3990922959292327</v>
      </c>
      <c r="AB416" s="20">
        <f>IF(B416&gt;$M$2,0,AA415*Assumptions!$B$32/12*Q415+Z416*Assumptions!$B$34/12)</f>
        <v>0</v>
      </c>
      <c r="AC416" s="21">
        <f>1/(1+HLOOKUP(YEAR(A416),Assumptions!$A$41:$AL$43,3,TRUE))^(1/12)</f>
        <v>0.99761125679893925</v>
      </c>
      <c r="AD416">
        <f t="shared" si="104"/>
        <v>0</v>
      </c>
      <c r="AE416">
        <f t="shared" si="110"/>
        <v>0</v>
      </c>
    </row>
    <row r="417" spans="1:32" x14ac:dyDescent="0.2">
      <c r="A417" s="2">
        <f t="shared" si="111"/>
        <v>55457</v>
      </c>
      <c r="B417">
        <f t="shared" si="105"/>
        <v>486</v>
      </c>
      <c r="C417">
        <f t="shared" si="97"/>
        <v>40.416666666666664</v>
      </c>
      <c r="D417">
        <f t="shared" si="98"/>
        <v>0</v>
      </c>
      <c r="E417">
        <f t="shared" si="99"/>
        <v>95</v>
      </c>
      <c r="F417">
        <f t="shared" si="100"/>
        <v>87</v>
      </c>
      <c r="G417">
        <f>IF(C417&gt;=$L$2,0,VLOOKUP($E417,'Mortality Table'!$A$3:$C$128,2+H$2,FALSE))</f>
        <v>0</v>
      </c>
      <c r="H417">
        <f>IF(C417&gt;=$L$2,0,VLOOKUP($E417,'Mortality Table'!$A$3:$C$128,2+I$2,FALSE))</f>
        <v>0</v>
      </c>
      <c r="I417" s="17">
        <f>G417*Assumptions!$B$1</f>
        <v>0</v>
      </c>
      <c r="J417" s="17">
        <f>H417*Assumptions!$B$1</f>
        <v>0</v>
      </c>
      <c r="K417">
        <f t="shared" si="101"/>
        <v>0</v>
      </c>
      <c r="L417">
        <f t="shared" si="106"/>
        <v>0</v>
      </c>
      <c r="M417">
        <f>HLOOKUP(C417,Assumptions!$A$6:$J$7,2,TRUE)</f>
        <v>2.6499999999999999E-2</v>
      </c>
      <c r="N417" s="23">
        <f t="shared" si="96"/>
        <v>0</v>
      </c>
      <c r="O417" s="23">
        <f t="shared" si="102"/>
        <v>0</v>
      </c>
      <c r="P417">
        <f t="shared" si="107"/>
        <v>0</v>
      </c>
      <c r="Q417" s="23">
        <f t="shared" si="103"/>
        <v>0</v>
      </c>
      <c r="R417">
        <f>Q416*Assumptions!$B$11/$E$2*N417</f>
        <v>0</v>
      </c>
      <c r="S417">
        <f>Q416*Assumptions!$B$13/$E$2*N417</f>
        <v>0</v>
      </c>
      <c r="T417">
        <f>L417*Assumptions!$B$15</f>
        <v>0</v>
      </c>
      <c r="U417">
        <f>S417*Assumptions!$B$17</f>
        <v>0</v>
      </c>
      <c r="V417">
        <f>HLOOKUP(B417,Assumptions!$A$26:$D$27,2,TRUE)</f>
        <v>0</v>
      </c>
      <c r="W417">
        <f t="shared" si="108"/>
        <v>0</v>
      </c>
      <c r="X417">
        <f t="shared" si="109"/>
        <v>0.4166666666666643</v>
      </c>
      <c r="Y417">
        <f>IF(B417&gt;$M$2,0,IF(X418=0,0,(1-X418)*Assumptions!$B$11/$E$2*(1-Assumptions!$B$30)))</f>
        <v>0</v>
      </c>
      <c r="Z417">
        <f>(R417-S417)*(1-Assumptions!$B$30)-U417+Y416*Q416</f>
        <v>0</v>
      </c>
      <c r="AA417">
        <f>AA416*(1+Assumptions!$B$36)^(1/12)</f>
        <v>1.400252896314194</v>
      </c>
      <c r="AB417" s="20">
        <f>IF(B417&gt;$M$2,0,AA416*Assumptions!$B$32/12*Q416+Z417*Assumptions!$B$34/12)</f>
        <v>0</v>
      </c>
      <c r="AC417" s="21">
        <f>1/(1+HLOOKUP(YEAR(A417),Assumptions!$A$41:$AL$43,3,TRUE))^(1/12)</f>
        <v>0.99761125679893925</v>
      </c>
      <c r="AD417">
        <f t="shared" si="104"/>
        <v>0</v>
      </c>
      <c r="AE417">
        <f t="shared" si="110"/>
        <v>0</v>
      </c>
    </row>
    <row r="418" spans="1:32" x14ac:dyDescent="0.2">
      <c r="A418" s="2">
        <f t="shared" si="111"/>
        <v>55487</v>
      </c>
      <c r="B418">
        <f t="shared" si="105"/>
        <v>487</v>
      </c>
      <c r="C418">
        <f t="shared" si="97"/>
        <v>40.5</v>
      </c>
      <c r="D418">
        <f t="shared" si="98"/>
        <v>0</v>
      </c>
      <c r="E418">
        <f t="shared" si="99"/>
        <v>95</v>
      </c>
      <c r="F418">
        <f t="shared" si="100"/>
        <v>87</v>
      </c>
      <c r="G418">
        <f>IF(C418&gt;=$L$2,0,VLOOKUP($E418,'Mortality Table'!$A$3:$C$128,2+H$2,FALSE))</f>
        <v>0</v>
      </c>
      <c r="H418">
        <f>IF(C418&gt;=$L$2,0,VLOOKUP($E418,'Mortality Table'!$A$3:$C$128,2+I$2,FALSE))</f>
        <v>0</v>
      </c>
      <c r="I418" s="17">
        <f>G418*Assumptions!$B$1</f>
        <v>0</v>
      </c>
      <c r="J418" s="17">
        <f>H418*Assumptions!$B$1</f>
        <v>0</v>
      </c>
      <c r="K418">
        <f t="shared" si="101"/>
        <v>0</v>
      </c>
      <c r="L418">
        <f t="shared" si="106"/>
        <v>0</v>
      </c>
      <c r="M418">
        <f>HLOOKUP(C418,Assumptions!$A$6:$J$7,2,TRUE)</f>
        <v>2.6499999999999999E-2</v>
      </c>
      <c r="N418" s="23">
        <f t="shared" si="96"/>
        <v>0</v>
      </c>
      <c r="O418" s="23">
        <f t="shared" si="102"/>
        <v>0</v>
      </c>
      <c r="P418">
        <f t="shared" si="107"/>
        <v>0</v>
      </c>
      <c r="Q418" s="23">
        <f t="shared" si="103"/>
        <v>0</v>
      </c>
      <c r="R418">
        <f>Q417*Assumptions!$B$11/$E$2*N418</f>
        <v>0</v>
      </c>
      <c r="S418">
        <f>Q417*Assumptions!$B$13/$E$2*N418</f>
        <v>0</v>
      </c>
      <c r="T418">
        <f>L418*Assumptions!$B$15</f>
        <v>0</v>
      </c>
      <c r="U418">
        <f>S418*Assumptions!$B$17</f>
        <v>0</v>
      </c>
      <c r="V418">
        <f>HLOOKUP(B418,Assumptions!$A$26:$D$27,2,TRUE)</f>
        <v>0</v>
      </c>
      <c r="W418">
        <f t="shared" si="108"/>
        <v>0</v>
      </c>
      <c r="X418">
        <f t="shared" si="109"/>
        <v>0.5</v>
      </c>
      <c r="Y418">
        <f>IF(B418&gt;$M$2,0,IF(X419=0,0,(1-X419)*Assumptions!$B$11/$E$2*(1-Assumptions!$B$30)))</f>
        <v>0</v>
      </c>
      <c r="Z418">
        <f>(R418-S418)*(1-Assumptions!$B$30)-U418+Y417*Q417</f>
        <v>0</v>
      </c>
      <c r="AA418">
        <f>AA417*(1+Assumptions!$B$36)^(1/12)</f>
        <v>1.4014144594614102</v>
      </c>
      <c r="AB418" s="20">
        <f>IF(B418&gt;$M$2,0,AA417*Assumptions!$B$32/12*Q417+Z418*Assumptions!$B$34/12)</f>
        <v>0</v>
      </c>
      <c r="AC418" s="21">
        <f>1/(1+HLOOKUP(YEAR(A418),Assumptions!$A$41:$AL$43,3,TRUE))^(1/12)</f>
        <v>0.99761125679893925</v>
      </c>
      <c r="AD418">
        <f t="shared" si="104"/>
        <v>0</v>
      </c>
      <c r="AE418">
        <f t="shared" si="110"/>
        <v>0</v>
      </c>
    </row>
    <row r="419" spans="1:32" s="23" customFormat="1" x14ac:dyDescent="0.2">
      <c r="A419" s="22">
        <f t="shared" si="111"/>
        <v>55518</v>
      </c>
      <c r="B419" s="23">
        <f t="shared" si="105"/>
        <v>488</v>
      </c>
      <c r="C419" s="23">
        <f t="shared" si="97"/>
        <v>40.583333333333336</v>
      </c>
      <c r="D419" s="23">
        <f t="shared" si="98"/>
        <v>0</v>
      </c>
      <c r="E419" s="23">
        <f t="shared" si="99"/>
        <v>95</v>
      </c>
      <c r="F419" s="23">
        <f t="shared" si="100"/>
        <v>87</v>
      </c>
      <c r="G419" s="23">
        <f>IF(C419&gt;=$L$2,0,VLOOKUP($E419,'Mortality Table'!$A$3:$C$128,2+H$2,FALSE))</f>
        <v>0</v>
      </c>
      <c r="H419">
        <f>IF(C419&gt;=$L$2,0,VLOOKUP($E419,'Mortality Table'!$A$3:$C$128,2+I$2,FALSE))</f>
        <v>0</v>
      </c>
      <c r="I419" s="24">
        <f>G419*Assumptions!$B$1</f>
        <v>0</v>
      </c>
      <c r="J419" s="24">
        <f>H419*Assumptions!$B$1</f>
        <v>0</v>
      </c>
      <c r="K419" s="23">
        <f t="shared" si="101"/>
        <v>0</v>
      </c>
      <c r="L419" s="23">
        <f t="shared" si="106"/>
        <v>0</v>
      </c>
      <c r="M419" s="23">
        <f>HLOOKUP(C419,Assumptions!$A$6:$J$7,2,TRUE)</f>
        <v>2.6499999999999999E-2</v>
      </c>
      <c r="N419" s="23">
        <f t="shared" si="96"/>
        <v>0</v>
      </c>
      <c r="O419" s="23">
        <f t="shared" si="102"/>
        <v>0</v>
      </c>
      <c r="P419" s="23">
        <f t="shared" si="107"/>
        <v>0</v>
      </c>
      <c r="Q419" s="23">
        <f t="shared" si="103"/>
        <v>0</v>
      </c>
      <c r="R419" s="23">
        <f>Q418*Assumptions!$B$11/$E$2*N419</f>
        <v>0</v>
      </c>
      <c r="S419" s="23">
        <f>Q418*Assumptions!$B$13/$E$2*N419</f>
        <v>0</v>
      </c>
      <c r="T419" s="23">
        <f>L419*Assumptions!$B$15</f>
        <v>0</v>
      </c>
      <c r="U419" s="23">
        <f>S419*Assumptions!$B$17</f>
        <v>0</v>
      </c>
      <c r="V419" s="23">
        <f>HLOOKUP(B419,Assumptions!$A$26:$D$27,2,TRUE)</f>
        <v>0</v>
      </c>
      <c r="W419">
        <f t="shared" si="108"/>
        <v>0</v>
      </c>
      <c r="X419">
        <f t="shared" si="109"/>
        <v>0.5833333333333357</v>
      </c>
      <c r="Y419">
        <f>IF(B419&gt;$M$2,0,IF(X420=0,0,(1-X420)*Assumptions!$B$11/$E$2*(1-Assumptions!$B$30)))</f>
        <v>0</v>
      </c>
      <c r="Z419" s="23">
        <f>(R419-S419)*(1-Assumptions!$B$30)-U419+Y418*Q418</f>
        <v>0</v>
      </c>
      <c r="AA419" s="23">
        <f>AA418*(1+Assumptions!$B$36)^(1/12)</f>
        <v>1.4025769861695292</v>
      </c>
      <c r="AB419" s="20">
        <f>IF(B419&gt;$M$2,0,AA418*Assumptions!$B$32/12*Q418+Z419*Assumptions!$B$34/12)</f>
        <v>0</v>
      </c>
      <c r="AC419" s="21">
        <f>1/(1+HLOOKUP(YEAR(A419),Assumptions!$A$41:$AL$43,3,TRUE))^(1/12)</f>
        <v>0.99761125679893925</v>
      </c>
      <c r="AD419" s="23">
        <f t="shared" si="104"/>
        <v>0</v>
      </c>
      <c r="AE419">
        <f t="shared" si="110"/>
        <v>0</v>
      </c>
      <c r="AF419"/>
    </row>
    <row r="420" spans="1:32" x14ac:dyDescent="0.2">
      <c r="A420" s="2">
        <f t="shared" si="111"/>
        <v>55549</v>
      </c>
      <c r="B420">
        <f t="shared" si="105"/>
        <v>489</v>
      </c>
      <c r="C420" s="23">
        <f t="shared" ref="C420:C483" si="112">(B420+11)/12-1</f>
        <v>40.666666666666664</v>
      </c>
      <c r="D420" s="23">
        <f t="shared" ref="D420:D483" si="113">IF(C420-INT(C420)=0,1,0)</f>
        <v>0</v>
      </c>
      <c r="E420" s="23">
        <f t="shared" si="99"/>
        <v>95</v>
      </c>
      <c r="F420" s="23">
        <f t="shared" si="100"/>
        <v>87</v>
      </c>
      <c r="G420" s="23">
        <f>IF(C420&gt;=$L$2,0,VLOOKUP($E420,'Mortality Table'!$A$3:$C$128,2+H$2,FALSE))</f>
        <v>0</v>
      </c>
      <c r="H420">
        <f>IF(C420&gt;=$L$2,0,VLOOKUP($E420,'Mortality Table'!$A$3:$C$128,2+I$2,FALSE))</f>
        <v>0</v>
      </c>
      <c r="I420" s="24">
        <f>G420*Assumptions!$B$1</f>
        <v>0</v>
      </c>
      <c r="J420" s="24">
        <f>H420*Assumptions!$B$1</f>
        <v>0</v>
      </c>
      <c r="K420" s="23">
        <f t="shared" ref="K420:K483" si="114">I420+J420-I420*J420</f>
        <v>0</v>
      </c>
      <c r="L420" s="23">
        <f t="shared" ref="L420:L483" si="115">(1-(1-K420)^(1/12))*Q419</f>
        <v>0</v>
      </c>
      <c r="M420" s="23">
        <f>HLOOKUP(C420,Assumptions!$A$6:$J$7,2,TRUE)</f>
        <v>2.6499999999999999E-2</v>
      </c>
      <c r="N420" s="23">
        <f t="shared" si="96"/>
        <v>0</v>
      </c>
      <c r="O420" s="23">
        <f t="shared" si="102"/>
        <v>0</v>
      </c>
      <c r="P420" s="23">
        <f t="shared" ref="P420:P483" si="116">(1-(1-M420)^O420)*(Q419-L420)</f>
        <v>0</v>
      </c>
      <c r="Q420" s="23">
        <f t="shared" si="103"/>
        <v>0</v>
      </c>
      <c r="R420" s="23">
        <f>Q419*Assumptions!$B$11/$E$2*N420</f>
        <v>0</v>
      </c>
      <c r="S420" s="23">
        <f>Q419*Assumptions!$B$13/$E$2*N420</f>
        <v>0</v>
      </c>
      <c r="T420" s="23">
        <f>L420*Assumptions!$B$15</f>
        <v>0</v>
      </c>
      <c r="U420" s="23">
        <f>S420*Assumptions!$B$17</f>
        <v>0</v>
      </c>
      <c r="V420" s="23">
        <f>HLOOKUP(B420,Assumptions!$A$26:$D$27,2,TRUE)</f>
        <v>0</v>
      </c>
      <c r="W420">
        <f t="shared" si="108"/>
        <v>0</v>
      </c>
      <c r="X420">
        <f t="shared" si="109"/>
        <v>0.6666666666666643</v>
      </c>
      <c r="Y420">
        <f>IF(B420&gt;$M$2,0,IF(X421=0,0,(1-X421)*Assumptions!$B$11/$E$2*(1-Assumptions!$B$30)))</f>
        <v>0</v>
      </c>
      <c r="Z420" s="23">
        <f>(R420-S420)*(1-Assumptions!$B$30)-U420+Y419*Q419</f>
        <v>0</v>
      </c>
      <c r="AA420" s="23">
        <f>AA419*(1+Assumptions!$B$36)^(1/12)</f>
        <v>1.4037404772378617</v>
      </c>
      <c r="AB420" s="20">
        <f>IF(B420&gt;$M$2,0,AA419*Assumptions!$B$32/12*Q419+Z420*Assumptions!$B$34/12)</f>
        <v>0</v>
      </c>
      <c r="AC420" s="21">
        <f>1/(1+HLOOKUP(YEAR(A420),Assumptions!$A$41:$AL$43,3,TRUE))^(1/12)</f>
        <v>0.99759647506272275</v>
      </c>
      <c r="AD420" s="23">
        <f t="shared" ref="AD420:AD483" si="117">(AD421+T421+U421+W421+AB421-R421)*AC421</f>
        <v>0</v>
      </c>
      <c r="AE420">
        <f t="shared" si="110"/>
        <v>0</v>
      </c>
    </row>
    <row r="421" spans="1:32" x14ac:dyDescent="0.2">
      <c r="A421" s="2">
        <f t="shared" si="111"/>
        <v>55578</v>
      </c>
      <c r="B421">
        <f t="shared" si="105"/>
        <v>490</v>
      </c>
      <c r="C421" s="23">
        <f t="shared" si="112"/>
        <v>40.75</v>
      </c>
      <c r="D421" s="23">
        <f t="shared" si="113"/>
        <v>0</v>
      </c>
      <c r="E421" s="23">
        <f t="shared" si="99"/>
        <v>95</v>
      </c>
      <c r="F421" s="23">
        <f t="shared" si="100"/>
        <v>87</v>
      </c>
      <c r="G421" s="23">
        <f>IF(C421&gt;=$L$2,0,VLOOKUP($E421,'Mortality Table'!$A$3:$C$128,2+H$2,FALSE))</f>
        <v>0</v>
      </c>
      <c r="H421">
        <f>IF(C421&gt;=$L$2,0,VLOOKUP($E421,'Mortality Table'!$A$3:$C$128,2+I$2,FALSE))</f>
        <v>0</v>
      </c>
      <c r="I421" s="24">
        <f>G421*Assumptions!$B$1</f>
        <v>0</v>
      </c>
      <c r="J421" s="24">
        <f>H421*Assumptions!$B$1</f>
        <v>0</v>
      </c>
      <c r="K421" s="23">
        <f t="shared" si="114"/>
        <v>0</v>
      </c>
      <c r="L421" s="23">
        <f t="shared" si="115"/>
        <v>0</v>
      </c>
      <c r="M421" s="23">
        <f>HLOOKUP(C421,Assumptions!$A$6:$J$7,2,TRUE)</f>
        <v>2.6499999999999999E-2</v>
      </c>
      <c r="N421" s="23">
        <f t="shared" si="96"/>
        <v>0</v>
      </c>
      <c r="O421" s="23">
        <f t="shared" si="102"/>
        <v>0</v>
      </c>
      <c r="P421" s="23">
        <f t="shared" si="116"/>
        <v>0</v>
      </c>
      <c r="Q421" s="23">
        <f t="shared" si="103"/>
        <v>0</v>
      </c>
      <c r="R421" s="23">
        <f>Q420*Assumptions!$B$11/$E$2*N421</f>
        <v>0</v>
      </c>
      <c r="S421" s="23">
        <f>Q420*Assumptions!$B$13/$E$2*N421</f>
        <v>0</v>
      </c>
      <c r="T421" s="23">
        <f>L421*Assumptions!$B$15</f>
        <v>0</v>
      </c>
      <c r="U421" s="23">
        <f>S421*Assumptions!$B$17</f>
        <v>0</v>
      </c>
      <c r="V421" s="23">
        <f>HLOOKUP(B421,Assumptions!$A$26:$D$27,2,TRUE)</f>
        <v>0</v>
      </c>
      <c r="W421">
        <f t="shared" si="108"/>
        <v>0</v>
      </c>
      <c r="X421">
        <f t="shared" si="109"/>
        <v>0.75</v>
      </c>
      <c r="Y421">
        <f>IF(B421&gt;$M$2,0,IF(X422=0,0,(1-X422)*Assumptions!$B$11/$E$2*(1-Assumptions!$B$30)))</f>
        <v>0</v>
      </c>
      <c r="Z421" s="23">
        <f>(R421-S421)*(1-Assumptions!$B$30)-U421+Y420*Q420</f>
        <v>0</v>
      </c>
      <c r="AA421" s="23">
        <f>AA420*(1+Assumptions!$B$36)^(1/12)</f>
        <v>1.404904933466381</v>
      </c>
      <c r="AB421" s="20">
        <f>IF(B421&gt;$M$2,0,AA420*Assumptions!$B$32/12*Q420+Z421*Assumptions!$B$34/12)</f>
        <v>0</v>
      </c>
      <c r="AC421" s="21">
        <f>1/(1+HLOOKUP(YEAR(A421),Assumptions!$A$41:$AL$43,3,TRUE))^(1/12)</f>
        <v>0.99759647506272275</v>
      </c>
      <c r="AD421" s="23">
        <f t="shared" si="117"/>
        <v>0</v>
      </c>
      <c r="AE421">
        <f t="shared" si="110"/>
        <v>0</v>
      </c>
    </row>
    <row r="422" spans="1:32" x14ac:dyDescent="0.2">
      <c r="A422" s="2">
        <f t="shared" si="111"/>
        <v>55609</v>
      </c>
      <c r="B422">
        <f t="shared" si="105"/>
        <v>491</v>
      </c>
      <c r="C422" s="23">
        <f t="shared" si="112"/>
        <v>40.833333333333336</v>
      </c>
      <c r="D422" s="23">
        <f t="shared" si="113"/>
        <v>0</v>
      </c>
      <c r="E422" s="23">
        <f t="shared" si="99"/>
        <v>95</v>
      </c>
      <c r="F422" s="23">
        <f t="shared" si="100"/>
        <v>87</v>
      </c>
      <c r="G422" s="23">
        <f>IF(C422&gt;=$L$2,0,VLOOKUP($E422,'Mortality Table'!$A$3:$C$128,2+H$2,FALSE))</f>
        <v>0</v>
      </c>
      <c r="H422">
        <f>IF(C422&gt;=$L$2,0,VLOOKUP($E422,'Mortality Table'!$A$3:$C$128,2+I$2,FALSE))</f>
        <v>0</v>
      </c>
      <c r="I422" s="24">
        <f>G422*Assumptions!$B$1</f>
        <v>0</v>
      </c>
      <c r="J422" s="24">
        <f>H422*Assumptions!$B$1</f>
        <v>0</v>
      </c>
      <c r="K422" s="23">
        <f t="shared" si="114"/>
        <v>0</v>
      </c>
      <c r="L422" s="23">
        <f t="shared" si="115"/>
        <v>0</v>
      </c>
      <c r="M422" s="23">
        <f>HLOOKUP(C422,Assumptions!$A$6:$J$7,2,TRUE)</f>
        <v>2.6499999999999999E-2</v>
      </c>
      <c r="N422" s="23">
        <f t="shared" si="96"/>
        <v>0</v>
      </c>
      <c r="O422" s="23">
        <f t="shared" si="102"/>
        <v>0</v>
      </c>
      <c r="P422" s="23">
        <f t="shared" si="116"/>
        <v>0</v>
      </c>
      <c r="Q422" s="23">
        <f t="shared" si="103"/>
        <v>0</v>
      </c>
      <c r="R422" s="23">
        <f>Q421*Assumptions!$B$11/$E$2*N422</f>
        <v>0</v>
      </c>
      <c r="S422" s="23">
        <f>Q421*Assumptions!$B$13/$E$2*N422</f>
        <v>0</v>
      </c>
      <c r="T422" s="23">
        <f>L422*Assumptions!$B$15</f>
        <v>0</v>
      </c>
      <c r="U422" s="23">
        <f>S422*Assumptions!$B$17</f>
        <v>0</v>
      </c>
      <c r="V422" s="23">
        <f>HLOOKUP(B422,Assumptions!$A$26:$D$27,2,TRUE)</f>
        <v>0</v>
      </c>
      <c r="W422">
        <f t="shared" si="108"/>
        <v>0</v>
      </c>
      <c r="X422">
        <f t="shared" si="109"/>
        <v>0.8333333333333357</v>
      </c>
      <c r="Y422">
        <f>IF(B422&gt;$M$2,0,IF(X423=0,0,(1-X423)*Assumptions!$B$11/$E$2*(1-Assumptions!$B$30)))</f>
        <v>0</v>
      </c>
      <c r="Z422" s="23">
        <f>(R422-S422)*(1-Assumptions!$B$30)-U422+Y421*Q421</f>
        <v>0</v>
      </c>
      <c r="AA422" s="23">
        <f>AA421*(1+Assumptions!$B$36)^(1/12)</f>
        <v>1.4060703556557244</v>
      </c>
      <c r="AB422" s="20">
        <f>IF(B422&gt;$M$2,0,AA421*Assumptions!$B$32/12*Q421+Z422*Assumptions!$B$34/12)</f>
        <v>0</v>
      </c>
      <c r="AC422" s="21">
        <f>1/(1+HLOOKUP(YEAR(A422),Assumptions!$A$41:$AL$43,3,TRUE))^(1/12)</f>
        <v>0.99759647506272275</v>
      </c>
      <c r="AD422" s="23">
        <f t="shared" si="117"/>
        <v>0</v>
      </c>
      <c r="AE422">
        <f t="shared" si="110"/>
        <v>0</v>
      </c>
    </row>
    <row r="423" spans="1:32" x14ac:dyDescent="0.2">
      <c r="A423" s="2">
        <f t="shared" si="111"/>
        <v>55639</v>
      </c>
      <c r="B423">
        <f t="shared" si="105"/>
        <v>492</v>
      </c>
      <c r="C423" s="23">
        <f t="shared" si="112"/>
        <v>40.916666666666664</v>
      </c>
      <c r="D423" s="23">
        <f t="shared" si="113"/>
        <v>0</v>
      </c>
      <c r="E423" s="23">
        <f t="shared" si="99"/>
        <v>95</v>
      </c>
      <c r="F423" s="23">
        <f t="shared" si="100"/>
        <v>87</v>
      </c>
      <c r="G423" s="23">
        <f>IF(C423&gt;=$L$2,0,VLOOKUP($E423,'Mortality Table'!$A$3:$C$128,2+H$2,FALSE))</f>
        <v>0</v>
      </c>
      <c r="H423">
        <f>IF(C423&gt;=$L$2,0,VLOOKUP($E423,'Mortality Table'!$A$3:$C$128,2+I$2,FALSE))</f>
        <v>0</v>
      </c>
      <c r="I423" s="24">
        <f>G423*Assumptions!$B$1</f>
        <v>0</v>
      </c>
      <c r="J423" s="24">
        <f>H423*Assumptions!$B$1</f>
        <v>0</v>
      </c>
      <c r="K423" s="23">
        <f t="shared" si="114"/>
        <v>0</v>
      </c>
      <c r="L423" s="23">
        <f t="shared" si="115"/>
        <v>0</v>
      </c>
      <c r="M423" s="23">
        <f>HLOOKUP(C423,Assumptions!$A$6:$J$7,2,TRUE)</f>
        <v>2.6499999999999999E-2</v>
      </c>
      <c r="N423" s="23">
        <f t="shared" si="96"/>
        <v>0</v>
      </c>
      <c r="O423" s="23">
        <f t="shared" si="102"/>
        <v>0</v>
      </c>
      <c r="P423" s="23">
        <f t="shared" si="116"/>
        <v>0</v>
      </c>
      <c r="Q423" s="23">
        <f t="shared" si="103"/>
        <v>0</v>
      </c>
      <c r="R423" s="23">
        <f>Q422*Assumptions!$B$11/$E$2*N423</f>
        <v>0</v>
      </c>
      <c r="S423" s="23">
        <f>Q422*Assumptions!$B$13/$E$2*N423</f>
        <v>0</v>
      </c>
      <c r="T423" s="23">
        <f>L423*Assumptions!$B$15</f>
        <v>0</v>
      </c>
      <c r="U423" s="23">
        <f>S423*Assumptions!$B$17</f>
        <v>0</v>
      </c>
      <c r="V423" s="23">
        <f>HLOOKUP(B423,Assumptions!$A$26:$D$27,2,TRUE)</f>
        <v>0</v>
      </c>
      <c r="W423">
        <f t="shared" si="108"/>
        <v>0</v>
      </c>
      <c r="X423">
        <f t="shared" si="109"/>
        <v>0.9166666666666643</v>
      </c>
      <c r="Y423">
        <f>IF(B423&gt;$M$2,0,IF(X424=0,0,(1-X424)*Assumptions!$B$11/$E$2*(1-Assumptions!$B$30)))</f>
        <v>0</v>
      </c>
      <c r="Z423" s="23">
        <f>(R423-S423)*(1-Assumptions!$B$30)-U423+Y422*Q422</f>
        <v>0</v>
      </c>
      <c r="AA423" s="23">
        <f>AA422*(1+Assumptions!$B$36)^(1/12)</f>
        <v>1.4072367446071929</v>
      </c>
      <c r="AB423" s="20">
        <f>IF(B423&gt;$M$2,0,AA422*Assumptions!$B$32/12*Q422+Z423*Assumptions!$B$34/12)</f>
        <v>0</v>
      </c>
      <c r="AC423" s="21">
        <f>1/(1+HLOOKUP(YEAR(A423),Assumptions!$A$41:$AL$43,3,TRUE))^(1/12)</f>
        <v>0.99759647506272275</v>
      </c>
      <c r="AD423" s="23">
        <f t="shared" si="117"/>
        <v>0</v>
      </c>
      <c r="AE423">
        <f t="shared" si="110"/>
        <v>0</v>
      </c>
    </row>
    <row r="424" spans="1:32" x14ac:dyDescent="0.2">
      <c r="A424" s="2">
        <f t="shared" si="111"/>
        <v>55670</v>
      </c>
      <c r="B424">
        <f t="shared" si="105"/>
        <v>493</v>
      </c>
      <c r="C424" s="23">
        <f t="shared" si="112"/>
        <v>41</v>
      </c>
      <c r="D424" s="23">
        <f t="shared" si="113"/>
        <v>1</v>
      </c>
      <c r="E424" s="23">
        <f t="shared" si="99"/>
        <v>96</v>
      </c>
      <c r="F424" s="23">
        <f t="shared" si="100"/>
        <v>88</v>
      </c>
      <c r="G424" s="23">
        <f>IF(C424&gt;=$L$2,0,VLOOKUP($E424,'Mortality Table'!$A$3:$C$128,2+H$2,FALSE))</f>
        <v>0</v>
      </c>
      <c r="H424">
        <f>IF(C424&gt;=$L$2,0,VLOOKUP($E424,'Mortality Table'!$A$3:$C$128,2+I$2,FALSE))</f>
        <v>0</v>
      </c>
      <c r="I424" s="24">
        <f>G424*Assumptions!$B$1</f>
        <v>0</v>
      </c>
      <c r="J424" s="24">
        <f>H424*Assumptions!$B$1</f>
        <v>0</v>
      </c>
      <c r="K424" s="23">
        <f t="shared" si="114"/>
        <v>0</v>
      </c>
      <c r="L424" s="23">
        <f t="shared" si="115"/>
        <v>0</v>
      </c>
      <c r="M424" s="23">
        <f>HLOOKUP(C424,Assumptions!$A$6:$J$7,2,TRUE)</f>
        <v>2.6499999999999999E-2</v>
      </c>
      <c r="N424" s="23">
        <f t="shared" si="96"/>
        <v>0</v>
      </c>
      <c r="O424" s="23">
        <f t="shared" si="102"/>
        <v>0</v>
      </c>
      <c r="P424" s="23">
        <f t="shared" si="116"/>
        <v>0</v>
      </c>
      <c r="Q424" s="23">
        <f t="shared" si="103"/>
        <v>0</v>
      </c>
      <c r="R424" s="23">
        <f>Q423*Assumptions!$B$11/$E$2*N424</f>
        <v>0</v>
      </c>
      <c r="S424" s="23">
        <f>Q423*Assumptions!$B$13/$E$2*N424</f>
        <v>0</v>
      </c>
      <c r="T424" s="23">
        <f>L424*Assumptions!$B$15</f>
        <v>0</v>
      </c>
      <c r="U424" s="23">
        <f>S424*Assumptions!$B$17</f>
        <v>0</v>
      </c>
      <c r="V424" s="23">
        <f>HLOOKUP(B424,Assumptions!$A$26:$D$27,2,TRUE)</f>
        <v>0</v>
      </c>
      <c r="W424">
        <f t="shared" si="108"/>
        <v>0</v>
      </c>
      <c r="X424">
        <f t="shared" si="109"/>
        <v>0</v>
      </c>
      <c r="Y424">
        <f>IF(B424&gt;$M$2,0,IF(X425=0,0,(1-X425)*Assumptions!$B$11/$E$2*(1-Assumptions!$B$30)))</f>
        <v>0</v>
      </c>
      <c r="Z424" s="23">
        <f>(R424-S424)*(1-Assumptions!$B$30)-U424+Y423*Q423</f>
        <v>0</v>
      </c>
      <c r="AA424" s="23">
        <f>AA423*(1+Assumptions!$B$36)^(1/12)</f>
        <v>1.408404101122753</v>
      </c>
      <c r="AB424" s="20">
        <f>IF(B424&gt;$M$2,0,AA423*Assumptions!$B$32/12*Q423+Z424*Assumptions!$B$34/12)</f>
        <v>0</v>
      </c>
      <c r="AC424" s="21">
        <f>1/(1+HLOOKUP(YEAR(A424),Assumptions!$A$41:$AL$43,3,TRUE))^(1/12)</f>
        <v>0.99759647506272275</v>
      </c>
      <c r="AD424" s="23">
        <f t="shared" si="117"/>
        <v>0</v>
      </c>
      <c r="AE424">
        <f t="shared" si="110"/>
        <v>0</v>
      </c>
    </row>
    <row r="425" spans="1:32" x14ac:dyDescent="0.2">
      <c r="A425" s="2">
        <f t="shared" si="111"/>
        <v>55700</v>
      </c>
      <c r="B425">
        <f t="shared" si="105"/>
        <v>494</v>
      </c>
      <c r="C425" s="23">
        <f t="shared" si="112"/>
        <v>41.083333333333336</v>
      </c>
      <c r="D425" s="23">
        <f t="shared" si="113"/>
        <v>0</v>
      </c>
      <c r="E425" s="23">
        <f t="shared" si="99"/>
        <v>96</v>
      </c>
      <c r="F425" s="23">
        <f t="shared" si="100"/>
        <v>88</v>
      </c>
      <c r="G425" s="23">
        <f>IF(C425&gt;=$L$2,0,VLOOKUP($E425,'Mortality Table'!$A$3:$C$128,2+H$2,FALSE))</f>
        <v>0</v>
      </c>
      <c r="H425">
        <f>IF(C425&gt;=$L$2,0,VLOOKUP($E425,'Mortality Table'!$A$3:$C$128,2+I$2,FALSE))</f>
        <v>0</v>
      </c>
      <c r="I425" s="24">
        <f>G425*Assumptions!$B$1</f>
        <v>0</v>
      </c>
      <c r="J425" s="24">
        <f>H425*Assumptions!$B$1</f>
        <v>0</v>
      </c>
      <c r="K425" s="23">
        <f t="shared" si="114"/>
        <v>0</v>
      </c>
      <c r="L425" s="23">
        <f t="shared" si="115"/>
        <v>0</v>
      </c>
      <c r="M425" s="23">
        <f>HLOOKUP(C425,Assumptions!$A$6:$J$7,2,TRUE)</f>
        <v>2.6499999999999999E-2</v>
      </c>
      <c r="N425" s="23">
        <f t="shared" si="96"/>
        <v>0</v>
      </c>
      <c r="O425" s="23">
        <f t="shared" si="102"/>
        <v>0</v>
      </c>
      <c r="P425" s="23">
        <f t="shared" si="116"/>
        <v>0</v>
      </c>
      <c r="Q425" s="23">
        <f t="shared" si="103"/>
        <v>0</v>
      </c>
      <c r="R425" s="23">
        <f>Q424*Assumptions!$B$11/$E$2*N425</f>
        <v>0</v>
      </c>
      <c r="S425" s="23">
        <f>Q424*Assumptions!$B$13/$E$2*N425</f>
        <v>0</v>
      </c>
      <c r="T425" s="23">
        <f>L425*Assumptions!$B$15</f>
        <v>0</v>
      </c>
      <c r="U425" s="23">
        <f>S425*Assumptions!$B$17</f>
        <v>0</v>
      </c>
      <c r="V425" s="23">
        <f>HLOOKUP(B425,Assumptions!$A$26:$D$27,2,TRUE)</f>
        <v>0</v>
      </c>
      <c r="W425">
        <f t="shared" si="108"/>
        <v>0</v>
      </c>
      <c r="X425">
        <f t="shared" si="109"/>
        <v>8.3333333333335702E-2</v>
      </c>
      <c r="Y425">
        <f>IF(B425&gt;$M$2,0,IF(X426=0,0,(1-X426)*Assumptions!$B$11/$E$2*(1-Assumptions!$B$30)))</f>
        <v>0</v>
      </c>
      <c r="Z425" s="23">
        <f>(R425-S425)*(1-Assumptions!$B$30)-U425+Y424*Q424</f>
        <v>0</v>
      </c>
      <c r="AA425" s="23">
        <f>AA424*(1+Assumptions!$B$36)^(1/12)</f>
        <v>1.4095724260050357</v>
      </c>
      <c r="AB425" s="20">
        <f>IF(B425&gt;$M$2,0,AA424*Assumptions!$B$32/12*Q424+Z425*Assumptions!$B$34/12)</f>
        <v>0</v>
      </c>
      <c r="AC425" s="21">
        <f>1/(1+HLOOKUP(YEAR(A425),Assumptions!$A$41:$AL$43,3,TRUE))^(1/12)</f>
        <v>0.99759647506272275</v>
      </c>
      <c r="AD425" s="23">
        <f t="shared" si="117"/>
        <v>0</v>
      </c>
      <c r="AE425">
        <f t="shared" si="110"/>
        <v>0</v>
      </c>
    </row>
    <row r="426" spans="1:32" x14ac:dyDescent="0.2">
      <c r="A426" s="2">
        <f t="shared" si="111"/>
        <v>55731</v>
      </c>
      <c r="B426">
        <f t="shared" si="105"/>
        <v>495</v>
      </c>
      <c r="C426" s="23">
        <f t="shared" si="112"/>
        <v>41.166666666666664</v>
      </c>
      <c r="D426" s="23">
        <f t="shared" si="113"/>
        <v>0</v>
      </c>
      <c r="E426" s="23">
        <f t="shared" si="99"/>
        <v>96</v>
      </c>
      <c r="F426" s="23">
        <f t="shared" si="100"/>
        <v>88</v>
      </c>
      <c r="G426" s="23">
        <f>IF(C426&gt;=$L$2,0,VLOOKUP($E426,'Mortality Table'!$A$3:$C$128,2+H$2,FALSE))</f>
        <v>0</v>
      </c>
      <c r="H426">
        <f>IF(C426&gt;=$L$2,0,VLOOKUP($E426,'Mortality Table'!$A$3:$C$128,2+I$2,FALSE))</f>
        <v>0</v>
      </c>
      <c r="I426" s="24">
        <f>G426*Assumptions!$B$1</f>
        <v>0</v>
      </c>
      <c r="J426" s="24">
        <f>H426*Assumptions!$B$1</f>
        <v>0</v>
      </c>
      <c r="K426" s="23">
        <f t="shared" si="114"/>
        <v>0</v>
      </c>
      <c r="L426" s="23">
        <f t="shared" si="115"/>
        <v>0</v>
      </c>
      <c r="M426" s="23">
        <f>HLOOKUP(C426,Assumptions!$A$6:$J$7,2,TRUE)</f>
        <v>2.6499999999999999E-2</v>
      </c>
      <c r="N426" s="23">
        <f t="shared" si="96"/>
        <v>0</v>
      </c>
      <c r="O426" s="23">
        <f t="shared" si="102"/>
        <v>0</v>
      </c>
      <c r="P426" s="23">
        <f t="shared" si="116"/>
        <v>0</v>
      </c>
      <c r="Q426" s="23">
        <f t="shared" si="103"/>
        <v>0</v>
      </c>
      <c r="R426" s="23">
        <f>Q425*Assumptions!$B$11/$E$2*N426</f>
        <v>0</v>
      </c>
      <c r="S426" s="23">
        <f>Q425*Assumptions!$B$13/$E$2*N426</f>
        <v>0</v>
      </c>
      <c r="T426" s="23">
        <f>L426*Assumptions!$B$15</f>
        <v>0</v>
      </c>
      <c r="U426" s="23">
        <f>S426*Assumptions!$B$17</f>
        <v>0</v>
      </c>
      <c r="V426" s="23">
        <f>HLOOKUP(B426,Assumptions!$A$26:$D$27,2,TRUE)</f>
        <v>0</v>
      </c>
      <c r="W426">
        <f t="shared" si="108"/>
        <v>0</v>
      </c>
      <c r="X426">
        <f t="shared" si="109"/>
        <v>0.1666666666666643</v>
      </c>
      <c r="Y426">
        <f>IF(B426&gt;$M$2,0,IF(X427=0,0,(1-X427)*Assumptions!$B$11/$E$2*(1-Assumptions!$B$30)))</f>
        <v>0</v>
      </c>
      <c r="Z426" s="23">
        <f>(R426-S426)*(1-Assumptions!$B$30)-U426+Y425*Q425</f>
        <v>0</v>
      </c>
      <c r="AA426" s="23">
        <f>AA425*(1+Assumptions!$B$36)^(1/12)</f>
        <v>1.4107417200573382</v>
      </c>
      <c r="AB426" s="20">
        <f>IF(B426&gt;$M$2,0,AA425*Assumptions!$B$32/12*Q425+Z426*Assumptions!$B$34/12)</f>
        <v>0</v>
      </c>
      <c r="AC426" s="21">
        <f>1/(1+HLOOKUP(YEAR(A426),Assumptions!$A$41:$AL$43,3,TRUE))^(1/12)</f>
        <v>0.99759647506272275</v>
      </c>
      <c r="AD426" s="23">
        <f t="shared" si="117"/>
        <v>0</v>
      </c>
      <c r="AE426">
        <f t="shared" si="110"/>
        <v>0</v>
      </c>
    </row>
    <row r="427" spans="1:32" x14ac:dyDescent="0.2">
      <c r="A427" s="2">
        <f t="shared" si="111"/>
        <v>55762</v>
      </c>
      <c r="B427">
        <f t="shared" si="105"/>
        <v>496</v>
      </c>
      <c r="C427" s="23">
        <f t="shared" si="112"/>
        <v>41.25</v>
      </c>
      <c r="D427" s="23">
        <f t="shared" si="113"/>
        <v>0</v>
      </c>
      <c r="E427" s="23">
        <f t="shared" si="99"/>
        <v>96</v>
      </c>
      <c r="F427" s="23">
        <f t="shared" si="100"/>
        <v>88</v>
      </c>
      <c r="G427" s="23">
        <f>IF(C427&gt;=$L$2,0,VLOOKUP($E427,'Mortality Table'!$A$3:$C$128,2+H$2,FALSE))</f>
        <v>0</v>
      </c>
      <c r="H427">
        <f>IF(C427&gt;=$L$2,0,VLOOKUP($E427,'Mortality Table'!$A$3:$C$128,2+I$2,FALSE))</f>
        <v>0</v>
      </c>
      <c r="I427" s="24">
        <f>G427*Assumptions!$B$1</f>
        <v>0</v>
      </c>
      <c r="J427" s="24">
        <f>H427*Assumptions!$B$1</f>
        <v>0</v>
      </c>
      <c r="K427" s="23">
        <f t="shared" si="114"/>
        <v>0</v>
      </c>
      <c r="L427" s="23">
        <f t="shared" si="115"/>
        <v>0</v>
      </c>
      <c r="M427" s="23">
        <f>HLOOKUP(C427,Assumptions!$A$6:$J$7,2,TRUE)</f>
        <v>2.6499999999999999E-2</v>
      </c>
      <c r="N427" s="23">
        <f t="shared" si="96"/>
        <v>0</v>
      </c>
      <c r="O427" s="23">
        <f t="shared" si="102"/>
        <v>0</v>
      </c>
      <c r="P427" s="23">
        <f t="shared" si="116"/>
        <v>0</v>
      </c>
      <c r="Q427" s="23">
        <f t="shared" si="103"/>
        <v>0</v>
      </c>
      <c r="R427" s="23">
        <f>Q426*Assumptions!$B$11/$E$2*N427</f>
        <v>0</v>
      </c>
      <c r="S427" s="23">
        <f>Q426*Assumptions!$B$13/$E$2*N427</f>
        <v>0</v>
      </c>
      <c r="T427" s="23">
        <f>L427*Assumptions!$B$15</f>
        <v>0</v>
      </c>
      <c r="U427" s="23">
        <f>S427*Assumptions!$B$17</f>
        <v>0</v>
      </c>
      <c r="V427" s="23">
        <f>HLOOKUP(B427,Assumptions!$A$26:$D$27,2,TRUE)</f>
        <v>0</v>
      </c>
      <c r="W427">
        <f t="shared" si="108"/>
        <v>0</v>
      </c>
      <c r="X427">
        <f t="shared" si="109"/>
        <v>0.25</v>
      </c>
      <c r="Y427">
        <f>IF(B427&gt;$M$2,0,IF(X428=0,0,(1-X428)*Assumptions!$B$11/$E$2*(1-Assumptions!$B$30)))</f>
        <v>0</v>
      </c>
      <c r="Z427" s="23">
        <f>(R427-S427)*(1-Assumptions!$B$30)-U427+Y426*Q426</f>
        <v>0</v>
      </c>
      <c r="AA427" s="23">
        <f>AA426*(1+Assumptions!$B$36)^(1/12)</f>
        <v>1.4119119840836241</v>
      </c>
      <c r="AB427" s="20">
        <f>IF(B427&gt;$M$2,0,AA426*Assumptions!$B$32/12*Q426+Z427*Assumptions!$B$34/12)</f>
        <v>0</v>
      </c>
      <c r="AC427" s="21">
        <f>1/(1+HLOOKUP(YEAR(A427),Assumptions!$A$41:$AL$43,3,TRUE))^(1/12)</f>
        <v>0.99759647506272275</v>
      </c>
      <c r="AD427" s="23">
        <f t="shared" si="117"/>
        <v>0</v>
      </c>
      <c r="AE427">
        <f t="shared" si="110"/>
        <v>0</v>
      </c>
    </row>
    <row r="428" spans="1:32" x14ac:dyDescent="0.2">
      <c r="A428" s="2">
        <f t="shared" si="111"/>
        <v>55792</v>
      </c>
      <c r="B428">
        <f t="shared" si="105"/>
        <v>497</v>
      </c>
      <c r="C428" s="23">
        <f t="shared" si="112"/>
        <v>41.333333333333336</v>
      </c>
      <c r="D428" s="23">
        <f t="shared" si="113"/>
        <v>0</v>
      </c>
      <c r="E428" s="23">
        <f t="shared" si="99"/>
        <v>96</v>
      </c>
      <c r="F428" s="23">
        <f t="shared" si="100"/>
        <v>88</v>
      </c>
      <c r="G428" s="23">
        <f>IF(C428&gt;=$L$2,0,VLOOKUP($E428,'Mortality Table'!$A$3:$C$128,2+H$2,FALSE))</f>
        <v>0</v>
      </c>
      <c r="H428">
        <f>IF(C428&gt;=$L$2,0,VLOOKUP($E428,'Mortality Table'!$A$3:$C$128,2+I$2,FALSE))</f>
        <v>0</v>
      </c>
      <c r="I428" s="24">
        <f>G428*Assumptions!$B$1</f>
        <v>0</v>
      </c>
      <c r="J428" s="24">
        <f>H428*Assumptions!$B$1</f>
        <v>0</v>
      </c>
      <c r="K428" s="23">
        <f t="shared" si="114"/>
        <v>0</v>
      </c>
      <c r="L428" s="23">
        <f t="shared" si="115"/>
        <v>0</v>
      </c>
      <c r="M428" s="23">
        <f>HLOOKUP(C428,Assumptions!$A$6:$J$7,2,TRUE)</f>
        <v>2.6499999999999999E-2</v>
      </c>
      <c r="N428" s="23">
        <f t="shared" si="96"/>
        <v>0</v>
      </c>
      <c r="O428" s="23">
        <f t="shared" si="102"/>
        <v>0</v>
      </c>
      <c r="P428" s="23">
        <f t="shared" si="116"/>
        <v>0</v>
      </c>
      <c r="Q428" s="23">
        <f t="shared" si="103"/>
        <v>0</v>
      </c>
      <c r="R428" s="23">
        <f>Q427*Assumptions!$B$11/$E$2*N428</f>
        <v>0</v>
      </c>
      <c r="S428" s="23">
        <f>Q427*Assumptions!$B$13/$E$2*N428</f>
        <v>0</v>
      </c>
      <c r="T428" s="23">
        <f>L428*Assumptions!$B$15</f>
        <v>0</v>
      </c>
      <c r="U428" s="23">
        <f>S428*Assumptions!$B$17</f>
        <v>0</v>
      </c>
      <c r="V428" s="23">
        <f>HLOOKUP(B428,Assumptions!$A$26:$D$27,2,TRUE)</f>
        <v>0</v>
      </c>
      <c r="W428">
        <f t="shared" si="108"/>
        <v>0</v>
      </c>
      <c r="X428">
        <f t="shared" si="109"/>
        <v>0.3333333333333357</v>
      </c>
      <c r="Y428">
        <f>IF(B428&gt;$M$2,0,IF(X429=0,0,(1-X429)*Assumptions!$B$11/$E$2*(1-Assumptions!$B$30)))</f>
        <v>0</v>
      </c>
      <c r="Z428" s="23">
        <f>(R428-S428)*(1-Assumptions!$B$30)-U428+Y427*Q427</f>
        <v>0</v>
      </c>
      <c r="AA428" s="23">
        <f>AA427*(1+Assumptions!$B$36)^(1/12)</f>
        <v>1.4130832188885236</v>
      </c>
      <c r="AB428" s="20">
        <f>IF(B428&gt;$M$2,0,AA427*Assumptions!$B$32/12*Q427+Z428*Assumptions!$B$34/12)</f>
        <v>0</v>
      </c>
      <c r="AC428" s="21">
        <f>1/(1+HLOOKUP(YEAR(A428),Assumptions!$A$41:$AL$43,3,TRUE))^(1/12)</f>
        <v>0.99759647506272275</v>
      </c>
      <c r="AD428" s="23">
        <f t="shared" si="117"/>
        <v>0</v>
      </c>
      <c r="AE428">
        <f t="shared" si="110"/>
        <v>0</v>
      </c>
    </row>
    <row r="429" spans="1:32" x14ac:dyDescent="0.2">
      <c r="A429" s="2">
        <f t="shared" si="111"/>
        <v>55823</v>
      </c>
      <c r="B429">
        <f t="shared" si="105"/>
        <v>498</v>
      </c>
      <c r="C429" s="23">
        <f t="shared" si="112"/>
        <v>41.416666666666664</v>
      </c>
      <c r="D429" s="23">
        <f t="shared" si="113"/>
        <v>0</v>
      </c>
      <c r="E429" s="23">
        <f t="shared" si="99"/>
        <v>96</v>
      </c>
      <c r="F429" s="23">
        <f t="shared" si="100"/>
        <v>88</v>
      </c>
      <c r="G429" s="23">
        <f>IF(C429&gt;=$L$2,0,VLOOKUP($E429,'Mortality Table'!$A$3:$C$128,2+H$2,FALSE))</f>
        <v>0</v>
      </c>
      <c r="H429">
        <f>IF(C429&gt;=$L$2,0,VLOOKUP($E429,'Mortality Table'!$A$3:$C$128,2+I$2,FALSE))</f>
        <v>0</v>
      </c>
      <c r="I429" s="24">
        <f>G429*Assumptions!$B$1</f>
        <v>0</v>
      </c>
      <c r="J429" s="24">
        <f>H429*Assumptions!$B$1</f>
        <v>0</v>
      </c>
      <c r="K429" s="23">
        <f t="shared" si="114"/>
        <v>0</v>
      </c>
      <c r="L429" s="23">
        <f t="shared" si="115"/>
        <v>0</v>
      </c>
      <c r="M429" s="23">
        <f>HLOOKUP(C429,Assumptions!$A$6:$J$7,2,TRUE)</f>
        <v>2.6499999999999999E-2</v>
      </c>
      <c r="N429" s="23">
        <f t="shared" si="96"/>
        <v>0</v>
      </c>
      <c r="O429" s="23">
        <f t="shared" si="102"/>
        <v>0</v>
      </c>
      <c r="P429" s="23">
        <f t="shared" si="116"/>
        <v>0</v>
      </c>
      <c r="Q429" s="23">
        <f t="shared" si="103"/>
        <v>0</v>
      </c>
      <c r="R429" s="23">
        <f>Q428*Assumptions!$B$11/$E$2*N429</f>
        <v>0</v>
      </c>
      <c r="S429" s="23">
        <f>Q428*Assumptions!$B$13/$E$2*N429</f>
        <v>0</v>
      </c>
      <c r="T429" s="23">
        <f>L429*Assumptions!$B$15</f>
        <v>0</v>
      </c>
      <c r="U429" s="23">
        <f>S429*Assumptions!$B$17</f>
        <v>0</v>
      </c>
      <c r="V429" s="23">
        <f>HLOOKUP(B429,Assumptions!$A$26:$D$27,2,TRUE)</f>
        <v>0</v>
      </c>
      <c r="W429">
        <f t="shared" si="108"/>
        <v>0</v>
      </c>
      <c r="X429">
        <f t="shared" si="109"/>
        <v>0.4166666666666643</v>
      </c>
      <c r="Y429">
        <f>IF(B429&gt;$M$2,0,IF(X430=0,0,(1-X430)*Assumptions!$B$11/$E$2*(1-Assumptions!$B$30)))</f>
        <v>0</v>
      </c>
      <c r="Z429" s="23">
        <f>(R429-S429)*(1-Assumptions!$B$30)-U429+Y428*Q428</f>
        <v>0</v>
      </c>
      <c r="AA429" s="23">
        <f>AA428*(1+Assumptions!$B$36)^(1/12)</f>
        <v>1.4142554252773345</v>
      </c>
      <c r="AB429" s="20">
        <f>IF(B429&gt;$M$2,0,AA428*Assumptions!$B$32/12*Q428+Z429*Assumptions!$B$34/12)</f>
        <v>0</v>
      </c>
      <c r="AC429" s="21">
        <f>1/(1+HLOOKUP(YEAR(A429),Assumptions!$A$41:$AL$43,3,TRUE))^(1/12)</f>
        <v>0.99759647506272275</v>
      </c>
      <c r="AD429" s="23">
        <f t="shared" si="117"/>
        <v>0</v>
      </c>
      <c r="AE429">
        <f t="shared" si="110"/>
        <v>0</v>
      </c>
    </row>
    <row r="430" spans="1:32" x14ac:dyDescent="0.2">
      <c r="A430" s="2">
        <f t="shared" si="111"/>
        <v>55853</v>
      </c>
      <c r="B430">
        <f t="shared" si="105"/>
        <v>499</v>
      </c>
      <c r="C430" s="23">
        <f t="shared" si="112"/>
        <v>41.5</v>
      </c>
      <c r="D430" s="23">
        <f t="shared" si="113"/>
        <v>0</v>
      </c>
      <c r="E430" s="23">
        <f t="shared" si="99"/>
        <v>96</v>
      </c>
      <c r="F430" s="23">
        <f t="shared" si="100"/>
        <v>88</v>
      </c>
      <c r="G430" s="23">
        <f>IF(C430&gt;=$L$2,0,VLOOKUP($E430,'Mortality Table'!$A$3:$C$128,2+H$2,FALSE))</f>
        <v>0</v>
      </c>
      <c r="H430">
        <f>IF(C430&gt;=$L$2,0,VLOOKUP($E430,'Mortality Table'!$A$3:$C$128,2+I$2,FALSE))</f>
        <v>0</v>
      </c>
      <c r="I430" s="24">
        <f>G430*Assumptions!$B$1</f>
        <v>0</v>
      </c>
      <c r="J430" s="24">
        <f>H430*Assumptions!$B$1</f>
        <v>0</v>
      </c>
      <c r="K430" s="23">
        <f t="shared" si="114"/>
        <v>0</v>
      </c>
      <c r="L430" s="23">
        <f t="shared" si="115"/>
        <v>0</v>
      </c>
      <c r="M430" s="23">
        <f>HLOOKUP(C430,Assumptions!$A$6:$J$7,2,TRUE)</f>
        <v>2.6499999999999999E-2</v>
      </c>
      <c r="N430" s="23">
        <f t="shared" si="96"/>
        <v>0</v>
      </c>
      <c r="O430" s="23">
        <f t="shared" si="102"/>
        <v>0</v>
      </c>
      <c r="P430" s="23">
        <f t="shared" si="116"/>
        <v>0</v>
      </c>
      <c r="Q430" s="23">
        <f t="shared" si="103"/>
        <v>0</v>
      </c>
      <c r="R430" s="23">
        <f>Q429*Assumptions!$B$11/$E$2*N430</f>
        <v>0</v>
      </c>
      <c r="S430" s="23">
        <f>Q429*Assumptions!$B$13/$E$2*N430</f>
        <v>0</v>
      </c>
      <c r="T430" s="23">
        <f>L430*Assumptions!$B$15</f>
        <v>0</v>
      </c>
      <c r="U430" s="23">
        <f>S430*Assumptions!$B$17</f>
        <v>0</v>
      </c>
      <c r="V430" s="23">
        <f>HLOOKUP(B430,Assumptions!$A$26:$D$27,2,TRUE)</f>
        <v>0</v>
      </c>
      <c r="W430">
        <f t="shared" si="108"/>
        <v>0</v>
      </c>
      <c r="X430">
        <f t="shared" si="109"/>
        <v>0.5</v>
      </c>
      <c r="Y430">
        <f>IF(B430&gt;$M$2,0,IF(X431=0,0,(1-X431)*Assumptions!$B$11/$E$2*(1-Assumptions!$B$30)))</f>
        <v>0</v>
      </c>
      <c r="Z430" s="23">
        <f>(R430-S430)*(1-Assumptions!$B$30)-U430+Y429*Q429</f>
        <v>0</v>
      </c>
      <c r="AA430" s="23">
        <f>AA429*(1+Assumptions!$B$36)^(1/12)</f>
        <v>1.4154286040560229</v>
      </c>
      <c r="AB430" s="20">
        <f>IF(B430&gt;$M$2,0,AA429*Assumptions!$B$32/12*Q429+Z430*Assumptions!$B$34/12)</f>
        <v>0</v>
      </c>
      <c r="AC430" s="21">
        <f>1/(1+HLOOKUP(YEAR(A430),Assumptions!$A$41:$AL$43,3,TRUE))^(1/12)</f>
        <v>0.99759647506272275</v>
      </c>
      <c r="AD430" s="23">
        <f t="shared" si="117"/>
        <v>0</v>
      </c>
      <c r="AE430">
        <f t="shared" si="110"/>
        <v>0</v>
      </c>
    </row>
    <row r="431" spans="1:32" x14ac:dyDescent="0.2">
      <c r="A431" s="2">
        <f t="shared" si="111"/>
        <v>55884</v>
      </c>
      <c r="B431">
        <f t="shared" si="105"/>
        <v>500</v>
      </c>
      <c r="C431" s="23">
        <f t="shared" si="112"/>
        <v>41.583333333333336</v>
      </c>
      <c r="D431" s="23">
        <f t="shared" si="113"/>
        <v>0</v>
      </c>
      <c r="E431" s="23">
        <f t="shared" si="99"/>
        <v>96</v>
      </c>
      <c r="F431" s="23">
        <f t="shared" si="100"/>
        <v>88</v>
      </c>
      <c r="G431" s="23">
        <f>IF(C431&gt;=$L$2,0,VLOOKUP($E431,'Mortality Table'!$A$3:$C$128,2+H$2,FALSE))</f>
        <v>0</v>
      </c>
      <c r="H431">
        <f>IF(C431&gt;=$L$2,0,VLOOKUP($E431,'Mortality Table'!$A$3:$C$128,2+I$2,FALSE))</f>
        <v>0</v>
      </c>
      <c r="I431" s="24">
        <f>G431*Assumptions!$B$1</f>
        <v>0</v>
      </c>
      <c r="J431" s="24">
        <f>H431*Assumptions!$B$1</f>
        <v>0</v>
      </c>
      <c r="K431" s="23">
        <f t="shared" si="114"/>
        <v>0</v>
      </c>
      <c r="L431" s="23">
        <f t="shared" si="115"/>
        <v>0</v>
      </c>
      <c r="M431" s="23">
        <f>HLOOKUP(C431,Assumptions!$A$6:$J$7,2,TRUE)</f>
        <v>2.6499999999999999E-2</v>
      </c>
      <c r="N431" s="23">
        <f t="shared" si="96"/>
        <v>0</v>
      </c>
      <c r="O431" s="23">
        <f t="shared" si="102"/>
        <v>0</v>
      </c>
      <c r="P431" s="23">
        <f t="shared" si="116"/>
        <v>0</v>
      </c>
      <c r="Q431" s="23">
        <f t="shared" si="103"/>
        <v>0</v>
      </c>
      <c r="R431" s="23">
        <f>Q430*Assumptions!$B$11/$E$2*N431</f>
        <v>0</v>
      </c>
      <c r="S431" s="23">
        <f>Q430*Assumptions!$B$13/$E$2*N431</f>
        <v>0</v>
      </c>
      <c r="T431" s="23">
        <f>L431*Assumptions!$B$15</f>
        <v>0</v>
      </c>
      <c r="U431" s="23">
        <f>S431*Assumptions!$B$17</f>
        <v>0</v>
      </c>
      <c r="V431" s="23">
        <f>HLOOKUP(B431,Assumptions!$A$26:$D$27,2,TRUE)</f>
        <v>0</v>
      </c>
      <c r="W431">
        <f t="shared" si="108"/>
        <v>0</v>
      </c>
      <c r="X431">
        <f t="shared" si="109"/>
        <v>0.5833333333333357</v>
      </c>
      <c r="Y431">
        <f>IF(B431&gt;$M$2,0,IF(X432=0,0,(1-X432)*Assumptions!$B$11/$E$2*(1-Assumptions!$B$30)))</f>
        <v>0</v>
      </c>
      <c r="Z431" s="23">
        <f>(R431-S431)*(1-Assumptions!$B$30)-U431+Y430*Q430</f>
        <v>0</v>
      </c>
      <c r="AA431" s="23">
        <f>AA430*(1+Assumptions!$B$36)^(1/12)</f>
        <v>1.4166027560312231</v>
      </c>
      <c r="AB431" s="20">
        <f>IF(B431&gt;$M$2,0,AA430*Assumptions!$B$32/12*Q430+Z431*Assumptions!$B$34/12)</f>
        <v>0</v>
      </c>
      <c r="AC431" s="21">
        <f>1/(1+HLOOKUP(YEAR(A431),Assumptions!$A$41:$AL$43,3,TRUE))^(1/12)</f>
        <v>0.99759647506272275</v>
      </c>
      <c r="AD431" s="23">
        <f t="shared" si="117"/>
        <v>0</v>
      </c>
      <c r="AE431">
        <f t="shared" si="110"/>
        <v>0</v>
      </c>
    </row>
    <row r="432" spans="1:32" x14ac:dyDescent="0.2">
      <c r="A432" s="2">
        <f t="shared" si="111"/>
        <v>55915</v>
      </c>
      <c r="B432">
        <f t="shared" si="105"/>
        <v>501</v>
      </c>
      <c r="C432" s="23">
        <f t="shared" si="112"/>
        <v>41.666666666666664</v>
      </c>
      <c r="D432" s="23">
        <f t="shared" si="113"/>
        <v>0</v>
      </c>
      <c r="E432" s="23">
        <f t="shared" si="99"/>
        <v>96</v>
      </c>
      <c r="F432" s="23">
        <f t="shared" si="100"/>
        <v>88</v>
      </c>
      <c r="G432" s="23">
        <f>IF(C432&gt;=$L$2,0,VLOOKUP($E432,'Mortality Table'!$A$3:$C$128,2+H$2,FALSE))</f>
        <v>0</v>
      </c>
      <c r="H432">
        <f>IF(C432&gt;=$L$2,0,VLOOKUP($E432,'Mortality Table'!$A$3:$C$128,2+I$2,FALSE))</f>
        <v>0</v>
      </c>
      <c r="I432" s="24">
        <f>G432*Assumptions!$B$1</f>
        <v>0</v>
      </c>
      <c r="J432" s="24">
        <f>H432*Assumptions!$B$1</f>
        <v>0</v>
      </c>
      <c r="K432" s="23">
        <f t="shared" si="114"/>
        <v>0</v>
      </c>
      <c r="L432" s="23">
        <f t="shared" si="115"/>
        <v>0</v>
      </c>
      <c r="M432" s="23">
        <f>HLOOKUP(C432,Assumptions!$A$6:$J$7,2,TRUE)</f>
        <v>2.6499999999999999E-2</v>
      </c>
      <c r="N432" s="23">
        <f t="shared" si="96"/>
        <v>0</v>
      </c>
      <c r="O432" s="23">
        <f t="shared" si="102"/>
        <v>0</v>
      </c>
      <c r="P432" s="23">
        <f t="shared" si="116"/>
        <v>0</v>
      </c>
      <c r="Q432" s="23">
        <f t="shared" si="103"/>
        <v>0</v>
      </c>
      <c r="R432" s="23">
        <f>Q431*Assumptions!$B$11/$E$2*N432</f>
        <v>0</v>
      </c>
      <c r="S432" s="23">
        <f>Q431*Assumptions!$B$13/$E$2*N432</f>
        <v>0</v>
      </c>
      <c r="T432" s="23">
        <f>L432*Assumptions!$B$15</f>
        <v>0</v>
      </c>
      <c r="U432" s="23">
        <f>S432*Assumptions!$B$17</f>
        <v>0</v>
      </c>
      <c r="V432" s="23">
        <f>HLOOKUP(B432,Assumptions!$A$26:$D$27,2,TRUE)</f>
        <v>0</v>
      </c>
      <c r="W432">
        <f t="shared" si="108"/>
        <v>0</v>
      </c>
      <c r="X432">
        <f t="shared" si="109"/>
        <v>0.6666666666666643</v>
      </c>
      <c r="Y432">
        <f>IF(B432&gt;$M$2,0,IF(X433=0,0,(1-X433)*Assumptions!$B$11/$E$2*(1-Assumptions!$B$30)))</f>
        <v>0</v>
      </c>
      <c r="Z432" s="23">
        <f>(R432-S432)*(1-Assumptions!$B$30)-U432+Y431*Q431</f>
        <v>0</v>
      </c>
      <c r="AA432" s="23">
        <f>AA431*(1+Assumptions!$B$36)^(1/12)</f>
        <v>1.4177778820102389</v>
      </c>
      <c r="AB432" s="20">
        <f>IF(B432&gt;$M$2,0,AA431*Assumptions!$B$32/12*Q431+Z432*Assumptions!$B$34/12)</f>
        <v>0</v>
      </c>
      <c r="AC432" s="21">
        <f>1/(1+HLOOKUP(YEAR(A432),Assumptions!$A$41:$AL$43,3,TRUE))^(1/12)</f>
        <v>0.99757644752594421</v>
      </c>
      <c r="AD432" s="23">
        <f t="shared" si="117"/>
        <v>0</v>
      </c>
      <c r="AE432">
        <f t="shared" si="110"/>
        <v>0</v>
      </c>
    </row>
    <row r="433" spans="1:31" x14ac:dyDescent="0.2">
      <c r="A433" s="2">
        <f t="shared" si="111"/>
        <v>55943</v>
      </c>
      <c r="B433">
        <f t="shared" si="105"/>
        <v>502</v>
      </c>
      <c r="C433" s="23">
        <f t="shared" si="112"/>
        <v>41.75</v>
      </c>
      <c r="D433" s="23">
        <f t="shared" si="113"/>
        <v>0</v>
      </c>
      <c r="E433" s="23">
        <f t="shared" si="99"/>
        <v>96</v>
      </c>
      <c r="F433" s="23">
        <f t="shared" si="100"/>
        <v>88</v>
      </c>
      <c r="G433" s="23">
        <f>IF(C433&gt;=$L$2,0,VLOOKUP($E433,'Mortality Table'!$A$3:$C$128,2+H$2,FALSE))</f>
        <v>0</v>
      </c>
      <c r="H433">
        <f>IF(C433&gt;=$L$2,0,VLOOKUP($E433,'Mortality Table'!$A$3:$C$128,2+I$2,FALSE))</f>
        <v>0</v>
      </c>
      <c r="I433" s="24">
        <f>G433*Assumptions!$B$1</f>
        <v>0</v>
      </c>
      <c r="J433" s="24">
        <f>H433*Assumptions!$B$1</f>
        <v>0</v>
      </c>
      <c r="K433" s="23">
        <f t="shared" si="114"/>
        <v>0</v>
      </c>
      <c r="L433" s="23">
        <f t="shared" si="115"/>
        <v>0</v>
      </c>
      <c r="M433" s="23">
        <f>HLOOKUP(C433,Assumptions!$A$6:$J$7,2,TRUE)</f>
        <v>2.6499999999999999E-2</v>
      </c>
      <c r="N433" s="23">
        <f t="shared" si="96"/>
        <v>0</v>
      </c>
      <c r="O433" s="23">
        <f t="shared" si="102"/>
        <v>0</v>
      </c>
      <c r="P433" s="23">
        <f t="shared" si="116"/>
        <v>0</v>
      </c>
      <c r="Q433" s="23">
        <f t="shared" si="103"/>
        <v>0</v>
      </c>
      <c r="R433" s="23">
        <f>Q432*Assumptions!$B$11/$E$2*N433</f>
        <v>0</v>
      </c>
      <c r="S433" s="23">
        <f>Q432*Assumptions!$B$13/$E$2*N433</f>
        <v>0</v>
      </c>
      <c r="T433" s="23">
        <f>L433*Assumptions!$B$15</f>
        <v>0</v>
      </c>
      <c r="U433" s="23">
        <f>S433*Assumptions!$B$17</f>
        <v>0</v>
      </c>
      <c r="V433" s="23">
        <f>HLOOKUP(B433,Assumptions!$A$26:$D$27,2,TRUE)</f>
        <v>0</v>
      </c>
      <c r="W433">
        <f t="shared" si="108"/>
        <v>0</v>
      </c>
      <c r="X433">
        <f t="shared" si="109"/>
        <v>0.75</v>
      </c>
      <c r="Y433">
        <f>IF(B433&gt;$M$2,0,IF(X434=0,0,(1-X434)*Assumptions!$B$11/$E$2*(1-Assumptions!$B$30)))</f>
        <v>0</v>
      </c>
      <c r="Z433" s="23">
        <f>(R433-S433)*(1-Assumptions!$B$30)-U433+Y432*Q432</f>
        <v>0</v>
      </c>
      <c r="AA433" s="23">
        <f>AA432*(1+Assumptions!$B$36)^(1/12)</f>
        <v>1.4189539828010433</v>
      </c>
      <c r="AB433" s="20">
        <f>IF(B433&gt;$M$2,0,AA432*Assumptions!$B$32/12*Q432+Z433*Assumptions!$B$34/12)</f>
        <v>0</v>
      </c>
      <c r="AC433" s="21">
        <f>1/(1+HLOOKUP(YEAR(A433),Assumptions!$A$41:$AL$43,3,TRUE))^(1/12)</f>
        <v>0.99757644752594421</v>
      </c>
      <c r="AD433" s="23">
        <f t="shared" si="117"/>
        <v>0</v>
      </c>
      <c r="AE433">
        <f t="shared" si="110"/>
        <v>0</v>
      </c>
    </row>
    <row r="434" spans="1:31" x14ac:dyDescent="0.2">
      <c r="A434" s="2">
        <f t="shared" si="111"/>
        <v>55974</v>
      </c>
      <c r="B434">
        <f t="shared" si="105"/>
        <v>503</v>
      </c>
      <c r="C434" s="23">
        <f t="shared" si="112"/>
        <v>41.833333333333336</v>
      </c>
      <c r="D434" s="23">
        <f t="shared" si="113"/>
        <v>0</v>
      </c>
      <c r="E434" s="23">
        <f t="shared" si="99"/>
        <v>96</v>
      </c>
      <c r="F434" s="23">
        <f t="shared" si="100"/>
        <v>88</v>
      </c>
      <c r="G434" s="23">
        <f>IF(C434&gt;=$L$2,0,VLOOKUP($E434,'Mortality Table'!$A$3:$C$128,2+H$2,FALSE))</f>
        <v>0</v>
      </c>
      <c r="H434">
        <f>IF(C434&gt;=$L$2,0,VLOOKUP($E434,'Mortality Table'!$A$3:$C$128,2+I$2,FALSE))</f>
        <v>0</v>
      </c>
      <c r="I434" s="24">
        <f>G434*Assumptions!$B$1</f>
        <v>0</v>
      </c>
      <c r="J434" s="24">
        <f>H434*Assumptions!$B$1</f>
        <v>0</v>
      </c>
      <c r="K434" s="23">
        <f t="shared" si="114"/>
        <v>0</v>
      </c>
      <c r="L434" s="23">
        <f t="shared" si="115"/>
        <v>0</v>
      </c>
      <c r="M434" s="23">
        <f>HLOOKUP(C434,Assumptions!$A$6:$J$7,2,TRUE)</f>
        <v>2.6499999999999999E-2</v>
      </c>
      <c r="N434" s="23">
        <f t="shared" si="96"/>
        <v>0</v>
      </c>
      <c r="O434" s="23">
        <f t="shared" si="102"/>
        <v>0</v>
      </c>
      <c r="P434" s="23">
        <f t="shared" si="116"/>
        <v>0</v>
      </c>
      <c r="Q434" s="23">
        <f t="shared" si="103"/>
        <v>0</v>
      </c>
      <c r="R434" s="23">
        <f>Q433*Assumptions!$B$11/$E$2*N434</f>
        <v>0</v>
      </c>
      <c r="S434" s="23">
        <f>Q433*Assumptions!$B$13/$E$2*N434</f>
        <v>0</v>
      </c>
      <c r="T434" s="23">
        <f>L434*Assumptions!$B$15</f>
        <v>0</v>
      </c>
      <c r="U434" s="23">
        <f>S434*Assumptions!$B$17</f>
        <v>0</v>
      </c>
      <c r="V434" s="23">
        <f>HLOOKUP(B434,Assumptions!$A$26:$D$27,2,TRUE)</f>
        <v>0</v>
      </c>
      <c r="W434">
        <f t="shared" si="108"/>
        <v>0</v>
      </c>
      <c r="X434">
        <f t="shared" si="109"/>
        <v>0.8333333333333357</v>
      </c>
      <c r="Y434">
        <f>IF(B434&gt;$M$2,0,IF(X435=0,0,(1-X435)*Assumptions!$B$11/$E$2*(1-Assumptions!$B$30)))</f>
        <v>0</v>
      </c>
      <c r="Z434" s="23">
        <f>(R434-S434)*(1-Assumptions!$B$30)-U434+Y433*Q433</f>
        <v>0</v>
      </c>
      <c r="AA434" s="23">
        <f>AA433*(1+Assumptions!$B$36)^(1/12)</f>
        <v>1.42013105921228</v>
      </c>
      <c r="AB434" s="20">
        <f>IF(B434&gt;$M$2,0,AA433*Assumptions!$B$32/12*Q433+Z434*Assumptions!$B$34/12)</f>
        <v>0</v>
      </c>
      <c r="AC434" s="21">
        <f>1/(1+HLOOKUP(YEAR(A434),Assumptions!$A$41:$AL$43,3,TRUE))^(1/12)</f>
        <v>0.99757644752594421</v>
      </c>
      <c r="AD434" s="23">
        <f t="shared" si="117"/>
        <v>0</v>
      </c>
      <c r="AE434">
        <f t="shared" si="110"/>
        <v>0</v>
      </c>
    </row>
    <row r="435" spans="1:31" x14ac:dyDescent="0.2">
      <c r="A435" s="2">
        <f t="shared" si="111"/>
        <v>56004</v>
      </c>
      <c r="B435">
        <f t="shared" si="105"/>
        <v>504</v>
      </c>
      <c r="C435" s="23">
        <f t="shared" si="112"/>
        <v>41.916666666666664</v>
      </c>
      <c r="D435" s="23">
        <f t="shared" si="113"/>
        <v>0</v>
      </c>
      <c r="E435" s="23">
        <f t="shared" si="99"/>
        <v>96</v>
      </c>
      <c r="F435" s="23">
        <f t="shared" si="100"/>
        <v>88</v>
      </c>
      <c r="G435" s="23">
        <f>IF(C435&gt;=$L$2,0,VLOOKUP($E435,'Mortality Table'!$A$3:$C$128,2+H$2,FALSE))</f>
        <v>0</v>
      </c>
      <c r="H435">
        <f>IF(C435&gt;=$L$2,0,VLOOKUP($E435,'Mortality Table'!$A$3:$C$128,2+I$2,FALSE))</f>
        <v>0</v>
      </c>
      <c r="I435" s="24">
        <f>G435*Assumptions!$B$1</f>
        <v>0</v>
      </c>
      <c r="J435" s="24">
        <f>H435*Assumptions!$B$1</f>
        <v>0</v>
      </c>
      <c r="K435" s="23">
        <f t="shared" si="114"/>
        <v>0</v>
      </c>
      <c r="L435" s="23">
        <f t="shared" si="115"/>
        <v>0</v>
      </c>
      <c r="M435" s="23">
        <f>HLOOKUP(C435,Assumptions!$A$6:$J$7,2,TRUE)</f>
        <v>2.6499999999999999E-2</v>
      </c>
      <c r="N435" s="23">
        <f t="shared" si="96"/>
        <v>0</v>
      </c>
      <c r="O435" s="23">
        <f t="shared" si="102"/>
        <v>0</v>
      </c>
      <c r="P435" s="23">
        <f t="shared" si="116"/>
        <v>0</v>
      </c>
      <c r="Q435" s="23">
        <f t="shared" si="103"/>
        <v>0</v>
      </c>
      <c r="R435" s="23">
        <f>Q434*Assumptions!$B$11/$E$2*N435</f>
        <v>0</v>
      </c>
      <c r="S435" s="23">
        <f>Q434*Assumptions!$B$13/$E$2*N435</f>
        <v>0</v>
      </c>
      <c r="T435" s="23">
        <f>L435*Assumptions!$B$15</f>
        <v>0</v>
      </c>
      <c r="U435" s="23">
        <f>S435*Assumptions!$B$17</f>
        <v>0</v>
      </c>
      <c r="V435" s="23">
        <f>HLOOKUP(B435,Assumptions!$A$26:$D$27,2,TRUE)</f>
        <v>0</v>
      </c>
      <c r="W435">
        <f t="shared" si="108"/>
        <v>0</v>
      </c>
      <c r="X435">
        <f t="shared" si="109"/>
        <v>0.9166666666666643</v>
      </c>
      <c r="Y435">
        <f>IF(B435&gt;$M$2,0,IF(X436=0,0,(1-X436)*Assumptions!$B$11/$E$2*(1-Assumptions!$B$30)))</f>
        <v>0</v>
      </c>
      <c r="Z435" s="23">
        <f>(R435-S435)*(1-Assumptions!$B$30)-U435+Y434*Q434</f>
        <v>0</v>
      </c>
      <c r="AA435" s="23">
        <f>AA434*(1+Assumptions!$B$36)^(1/12)</f>
        <v>1.4213091120532633</v>
      </c>
      <c r="AB435" s="20">
        <f>IF(B435&gt;$M$2,0,AA434*Assumptions!$B$32/12*Q434+Z435*Assumptions!$B$34/12)</f>
        <v>0</v>
      </c>
      <c r="AC435" s="21">
        <f>1/(1+HLOOKUP(YEAR(A435),Assumptions!$A$41:$AL$43,3,TRUE))^(1/12)</f>
        <v>0.99757644752594421</v>
      </c>
      <c r="AD435" s="23">
        <f t="shared" si="117"/>
        <v>0</v>
      </c>
      <c r="AE435">
        <f t="shared" si="110"/>
        <v>0</v>
      </c>
    </row>
    <row r="436" spans="1:31" x14ac:dyDescent="0.2">
      <c r="A436" s="2">
        <f t="shared" si="111"/>
        <v>56035</v>
      </c>
      <c r="B436">
        <f t="shared" si="105"/>
        <v>505</v>
      </c>
      <c r="C436" s="23">
        <f t="shared" si="112"/>
        <v>42</v>
      </c>
      <c r="D436" s="23">
        <f t="shared" si="113"/>
        <v>1</v>
      </c>
      <c r="E436" s="23">
        <f t="shared" si="99"/>
        <v>97</v>
      </c>
      <c r="F436" s="23">
        <f t="shared" si="100"/>
        <v>89</v>
      </c>
      <c r="G436" s="23">
        <f>IF(C436&gt;=$L$2,0,VLOOKUP($E436,'Mortality Table'!$A$3:$C$128,2+H$2,FALSE))</f>
        <v>0</v>
      </c>
      <c r="H436">
        <f>IF(C436&gt;=$L$2,0,VLOOKUP($E436,'Mortality Table'!$A$3:$C$128,2+I$2,FALSE))</f>
        <v>0</v>
      </c>
      <c r="I436" s="24">
        <f>G436*Assumptions!$B$1</f>
        <v>0</v>
      </c>
      <c r="J436" s="24">
        <f>H436*Assumptions!$B$1</f>
        <v>0</v>
      </c>
      <c r="K436" s="23">
        <f t="shared" si="114"/>
        <v>0</v>
      </c>
      <c r="L436" s="23">
        <f t="shared" si="115"/>
        <v>0</v>
      </c>
      <c r="M436" s="23">
        <f>HLOOKUP(C436,Assumptions!$A$6:$J$7,2,TRUE)</f>
        <v>2.6499999999999999E-2</v>
      </c>
      <c r="N436" s="23">
        <f t="shared" si="96"/>
        <v>0</v>
      </c>
      <c r="O436" s="23">
        <f t="shared" si="102"/>
        <v>0</v>
      </c>
      <c r="P436" s="23">
        <f t="shared" si="116"/>
        <v>0</v>
      </c>
      <c r="Q436" s="23">
        <f t="shared" si="103"/>
        <v>0</v>
      </c>
      <c r="R436" s="23">
        <f>Q435*Assumptions!$B$11/$E$2*N436</f>
        <v>0</v>
      </c>
      <c r="S436" s="23">
        <f>Q435*Assumptions!$B$13/$E$2*N436</f>
        <v>0</v>
      </c>
      <c r="T436" s="23">
        <f>L436*Assumptions!$B$15</f>
        <v>0</v>
      </c>
      <c r="U436" s="23">
        <f>S436*Assumptions!$B$17</f>
        <v>0</v>
      </c>
      <c r="V436" s="23">
        <f>HLOOKUP(B436,Assumptions!$A$26:$D$27,2,TRUE)</f>
        <v>0</v>
      </c>
      <c r="W436">
        <f t="shared" si="108"/>
        <v>0</v>
      </c>
      <c r="X436">
        <f t="shared" si="109"/>
        <v>0</v>
      </c>
      <c r="Y436">
        <f>IF(B436&gt;$M$2,0,IF(X437=0,0,(1-X437)*Assumptions!$B$11/$E$2*(1-Assumptions!$B$30)))</f>
        <v>0</v>
      </c>
      <c r="Z436" s="23">
        <f>(R436-S436)*(1-Assumptions!$B$30)-U436+Y435*Q435</f>
        <v>0</v>
      </c>
      <c r="AA436" s="23">
        <f>AA435*(1+Assumptions!$B$36)^(1/12)</f>
        <v>1.422488142133979</v>
      </c>
      <c r="AB436" s="20">
        <f>IF(B436&gt;$M$2,0,AA435*Assumptions!$B$32/12*Q435+Z436*Assumptions!$B$34/12)</f>
        <v>0</v>
      </c>
      <c r="AC436" s="21">
        <f>1/(1+HLOOKUP(YEAR(A436),Assumptions!$A$41:$AL$43,3,TRUE))^(1/12)</f>
        <v>0.99757644752594421</v>
      </c>
      <c r="AD436" s="23">
        <f t="shared" si="117"/>
        <v>0</v>
      </c>
      <c r="AE436">
        <f t="shared" si="110"/>
        <v>0</v>
      </c>
    </row>
    <row r="437" spans="1:31" x14ac:dyDescent="0.2">
      <c r="A437" s="2">
        <f t="shared" si="111"/>
        <v>56065</v>
      </c>
      <c r="B437">
        <f t="shared" si="105"/>
        <v>506</v>
      </c>
      <c r="C437" s="23">
        <f t="shared" si="112"/>
        <v>42.083333333333336</v>
      </c>
      <c r="D437" s="23">
        <f t="shared" si="113"/>
        <v>0</v>
      </c>
      <c r="E437" s="23">
        <f t="shared" si="99"/>
        <v>97</v>
      </c>
      <c r="F437" s="23">
        <f t="shared" si="100"/>
        <v>89</v>
      </c>
      <c r="G437" s="23">
        <f>IF(C437&gt;=$L$2,0,VLOOKUP($E437,'Mortality Table'!$A$3:$C$128,2+H$2,FALSE))</f>
        <v>0</v>
      </c>
      <c r="H437">
        <f>IF(C437&gt;=$L$2,0,VLOOKUP($E437,'Mortality Table'!$A$3:$C$128,2+I$2,FALSE))</f>
        <v>0</v>
      </c>
      <c r="I437" s="24">
        <f>G437*Assumptions!$B$1</f>
        <v>0</v>
      </c>
      <c r="J437" s="24">
        <f>H437*Assumptions!$B$1</f>
        <v>0</v>
      </c>
      <c r="K437" s="23">
        <f t="shared" si="114"/>
        <v>0</v>
      </c>
      <c r="L437" s="23">
        <f t="shared" si="115"/>
        <v>0</v>
      </c>
      <c r="M437" s="23">
        <f>HLOOKUP(C437,Assumptions!$A$6:$J$7,2,TRUE)</f>
        <v>2.6499999999999999E-2</v>
      </c>
      <c r="N437" s="23">
        <f t="shared" si="96"/>
        <v>0</v>
      </c>
      <c r="O437" s="23">
        <f t="shared" si="102"/>
        <v>0</v>
      </c>
      <c r="P437" s="23">
        <f t="shared" si="116"/>
        <v>0</v>
      </c>
      <c r="Q437" s="23">
        <f t="shared" si="103"/>
        <v>0</v>
      </c>
      <c r="R437" s="23">
        <f>Q436*Assumptions!$B$11/$E$2*N437</f>
        <v>0</v>
      </c>
      <c r="S437" s="23">
        <f>Q436*Assumptions!$B$13/$E$2*N437</f>
        <v>0</v>
      </c>
      <c r="T437" s="23">
        <f>L437*Assumptions!$B$15</f>
        <v>0</v>
      </c>
      <c r="U437" s="23">
        <f>S437*Assumptions!$B$17</f>
        <v>0</v>
      </c>
      <c r="V437" s="23">
        <f>HLOOKUP(B437,Assumptions!$A$26:$D$27,2,TRUE)</f>
        <v>0</v>
      </c>
      <c r="W437">
        <f t="shared" si="108"/>
        <v>0</v>
      </c>
      <c r="X437">
        <f t="shared" si="109"/>
        <v>8.3333333333335702E-2</v>
      </c>
      <c r="Y437">
        <f>IF(B437&gt;$M$2,0,IF(X438=0,0,(1-X438)*Assumptions!$B$11/$E$2*(1-Assumptions!$B$30)))</f>
        <v>0</v>
      </c>
      <c r="Z437" s="23">
        <f>(R437-S437)*(1-Assumptions!$B$30)-U437+Y436*Q436</f>
        <v>0</v>
      </c>
      <c r="AA437" s="23">
        <f>AA436*(1+Assumptions!$B$36)^(1/12)</f>
        <v>1.4236681502650845</v>
      </c>
      <c r="AB437" s="20">
        <f>IF(B437&gt;$M$2,0,AA436*Assumptions!$B$32/12*Q436+Z437*Assumptions!$B$34/12)</f>
        <v>0</v>
      </c>
      <c r="AC437" s="21">
        <f>1/(1+HLOOKUP(YEAR(A437),Assumptions!$A$41:$AL$43,3,TRUE))^(1/12)</f>
        <v>0.99757644752594421</v>
      </c>
      <c r="AD437" s="23">
        <f t="shared" si="117"/>
        <v>0</v>
      </c>
      <c r="AE437">
        <f t="shared" si="110"/>
        <v>0</v>
      </c>
    </row>
    <row r="438" spans="1:31" x14ac:dyDescent="0.2">
      <c r="A438" s="2">
        <f t="shared" si="111"/>
        <v>56096</v>
      </c>
      <c r="B438">
        <f t="shared" si="105"/>
        <v>507</v>
      </c>
      <c r="C438" s="23">
        <f t="shared" si="112"/>
        <v>42.166666666666664</v>
      </c>
      <c r="D438" s="23">
        <f t="shared" si="113"/>
        <v>0</v>
      </c>
      <c r="E438" s="23">
        <f t="shared" si="99"/>
        <v>97</v>
      </c>
      <c r="F438" s="23">
        <f t="shared" si="100"/>
        <v>89</v>
      </c>
      <c r="G438" s="23">
        <f>IF(C438&gt;=$L$2,0,VLOOKUP($E438,'Mortality Table'!$A$3:$C$128,2+H$2,FALSE))</f>
        <v>0</v>
      </c>
      <c r="H438">
        <f>IF(C438&gt;=$L$2,0,VLOOKUP($E438,'Mortality Table'!$A$3:$C$128,2+I$2,FALSE))</f>
        <v>0</v>
      </c>
      <c r="I438" s="24">
        <f>G438*Assumptions!$B$1</f>
        <v>0</v>
      </c>
      <c r="J438" s="24">
        <f>H438*Assumptions!$B$1</f>
        <v>0</v>
      </c>
      <c r="K438" s="23">
        <f t="shared" si="114"/>
        <v>0</v>
      </c>
      <c r="L438" s="23">
        <f t="shared" si="115"/>
        <v>0</v>
      </c>
      <c r="M438" s="23">
        <f>HLOOKUP(C438,Assumptions!$A$6:$J$7,2,TRUE)</f>
        <v>2.6499999999999999E-2</v>
      </c>
      <c r="N438" s="23">
        <f t="shared" si="96"/>
        <v>0</v>
      </c>
      <c r="O438" s="23">
        <f t="shared" si="102"/>
        <v>0</v>
      </c>
      <c r="P438" s="23">
        <f t="shared" si="116"/>
        <v>0</v>
      </c>
      <c r="Q438" s="23">
        <f t="shared" si="103"/>
        <v>0</v>
      </c>
      <c r="R438" s="23">
        <f>Q437*Assumptions!$B$11/$E$2*N438</f>
        <v>0</v>
      </c>
      <c r="S438" s="23">
        <f>Q437*Assumptions!$B$13/$E$2*N438</f>
        <v>0</v>
      </c>
      <c r="T438" s="23">
        <f>L438*Assumptions!$B$15</f>
        <v>0</v>
      </c>
      <c r="U438" s="23">
        <f>S438*Assumptions!$B$17</f>
        <v>0</v>
      </c>
      <c r="V438" s="23">
        <f>HLOOKUP(B438,Assumptions!$A$26:$D$27,2,TRUE)</f>
        <v>0</v>
      </c>
      <c r="W438">
        <f t="shared" si="108"/>
        <v>0</v>
      </c>
      <c r="X438">
        <f t="shared" si="109"/>
        <v>0.1666666666666643</v>
      </c>
      <c r="Y438">
        <f>IF(B438&gt;$M$2,0,IF(X439=0,0,(1-X439)*Assumptions!$B$11/$E$2*(1-Assumptions!$B$30)))</f>
        <v>0</v>
      </c>
      <c r="Z438" s="23">
        <f>(R438-S438)*(1-Assumptions!$B$30)-U438+Y437*Q437</f>
        <v>0</v>
      </c>
      <c r="AA438" s="23">
        <f>AA437*(1+Assumptions!$B$36)^(1/12)</f>
        <v>1.4248491372579102</v>
      </c>
      <c r="AB438" s="20">
        <f>IF(B438&gt;$M$2,0,AA437*Assumptions!$B$32/12*Q437+Z438*Assumptions!$B$34/12)</f>
        <v>0</v>
      </c>
      <c r="AC438" s="21">
        <f>1/(1+HLOOKUP(YEAR(A438),Assumptions!$A$41:$AL$43,3,TRUE))^(1/12)</f>
        <v>0.99757644752594421</v>
      </c>
      <c r="AD438" s="23">
        <f t="shared" si="117"/>
        <v>0</v>
      </c>
      <c r="AE438">
        <f t="shared" si="110"/>
        <v>0</v>
      </c>
    </row>
    <row r="439" spans="1:31" x14ac:dyDescent="0.2">
      <c r="A439" s="2">
        <f t="shared" si="111"/>
        <v>56127</v>
      </c>
      <c r="B439">
        <f t="shared" si="105"/>
        <v>508</v>
      </c>
      <c r="C439" s="23">
        <f t="shared" si="112"/>
        <v>42.25</v>
      </c>
      <c r="D439" s="23">
        <f t="shared" si="113"/>
        <v>0</v>
      </c>
      <c r="E439" s="23">
        <f t="shared" si="99"/>
        <v>97</v>
      </c>
      <c r="F439" s="23">
        <f t="shared" si="100"/>
        <v>89</v>
      </c>
      <c r="G439" s="23">
        <f>IF(C439&gt;=$L$2,0,VLOOKUP($E439,'Mortality Table'!$A$3:$C$128,2+H$2,FALSE))</f>
        <v>0</v>
      </c>
      <c r="H439">
        <f>IF(C439&gt;=$L$2,0,VLOOKUP($E439,'Mortality Table'!$A$3:$C$128,2+I$2,FALSE))</f>
        <v>0</v>
      </c>
      <c r="I439" s="24">
        <f>G439*Assumptions!$B$1</f>
        <v>0</v>
      </c>
      <c r="J439" s="24">
        <f>H439*Assumptions!$B$1</f>
        <v>0</v>
      </c>
      <c r="K439" s="23">
        <f t="shared" si="114"/>
        <v>0</v>
      </c>
      <c r="L439" s="23">
        <f t="shared" si="115"/>
        <v>0</v>
      </c>
      <c r="M439" s="23">
        <f>HLOOKUP(C439,Assumptions!$A$6:$J$7,2,TRUE)</f>
        <v>2.6499999999999999E-2</v>
      </c>
      <c r="N439" s="23">
        <f t="shared" si="96"/>
        <v>0</v>
      </c>
      <c r="O439" s="23">
        <f t="shared" si="102"/>
        <v>0</v>
      </c>
      <c r="P439" s="23">
        <f t="shared" si="116"/>
        <v>0</v>
      </c>
      <c r="Q439" s="23">
        <f t="shared" si="103"/>
        <v>0</v>
      </c>
      <c r="R439" s="23">
        <f>Q438*Assumptions!$B$11/$E$2*N439</f>
        <v>0</v>
      </c>
      <c r="S439" s="23">
        <f>Q438*Assumptions!$B$13/$E$2*N439</f>
        <v>0</v>
      </c>
      <c r="T439" s="23">
        <f>L439*Assumptions!$B$15</f>
        <v>0</v>
      </c>
      <c r="U439" s="23">
        <f>S439*Assumptions!$B$17</f>
        <v>0</v>
      </c>
      <c r="V439" s="23">
        <f>HLOOKUP(B439,Assumptions!$A$26:$D$27,2,TRUE)</f>
        <v>0</v>
      </c>
      <c r="W439">
        <f t="shared" si="108"/>
        <v>0</v>
      </c>
      <c r="X439">
        <f t="shared" si="109"/>
        <v>0.25</v>
      </c>
      <c r="Y439">
        <f>IF(B439&gt;$M$2,0,IF(X440=0,0,(1-X440)*Assumptions!$B$11/$E$2*(1-Assumptions!$B$30)))</f>
        <v>0</v>
      </c>
      <c r="Z439" s="23">
        <f>(R439-S439)*(1-Assumptions!$B$30)-U439+Y438*Q438</f>
        <v>0</v>
      </c>
      <c r="AA439" s="23">
        <f>AA438*(1+Assumptions!$B$36)^(1/12)</f>
        <v>1.4260311039244589</v>
      </c>
      <c r="AB439" s="20">
        <f>IF(B439&gt;$M$2,0,AA438*Assumptions!$B$32/12*Q438+Z439*Assumptions!$B$34/12)</f>
        <v>0</v>
      </c>
      <c r="AC439" s="21">
        <f>1/(1+HLOOKUP(YEAR(A439),Assumptions!$A$41:$AL$43,3,TRUE))^(1/12)</f>
        <v>0.99757644752594421</v>
      </c>
      <c r="AD439" s="23">
        <f t="shared" si="117"/>
        <v>0</v>
      </c>
      <c r="AE439">
        <f t="shared" si="110"/>
        <v>0</v>
      </c>
    </row>
    <row r="440" spans="1:31" x14ac:dyDescent="0.2">
      <c r="A440" s="2">
        <f t="shared" si="111"/>
        <v>56157</v>
      </c>
      <c r="B440">
        <f t="shared" si="105"/>
        <v>509</v>
      </c>
      <c r="C440" s="23">
        <f t="shared" si="112"/>
        <v>42.333333333333336</v>
      </c>
      <c r="D440" s="23">
        <f t="shared" si="113"/>
        <v>0</v>
      </c>
      <c r="E440" s="23">
        <f t="shared" si="99"/>
        <v>97</v>
      </c>
      <c r="F440" s="23">
        <f t="shared" si="100"/>
        <v>89</v>
      </c>
      <c r="G440" s="23">
        <f>IF(C440&gt;=$L$2,0,VLOOKUP($E440,'Mortality Table'!$A$3:$C$128,2+H$2,FALSE))</f>
        <v>0</v>
      </c>
      <c r="H440">
        <f>IF(C440&gt;=$L$2,0,VLOOKUP($E440,'Mortality Table'!$A$3:$C$128,2+I$2,FALSE))</f>
        <v>0</v>
      </c>
      <c r="I440" s="24">
        <f>G440*Assumptions!$B$1</f>
        <v>0</v>
      </c>
      <c r="J440" s="24">
        <f>H440*Assumptions!$B$1</f>
        <v>0</v>
      </c>
      <c r="K440" s="23">
        <f t="shared" si="114"/>
        <v>0</v>
      </c>
      <c r="L440" s="23">
        <f t="shared" si="115"/>
        <v>0</v>
      </c>
      <c r="M440" s="23">
        <f>HLOOKUP(C440,Assumptions!$A$6:$J$7,2,TRUE)</f>
        <v>2.6499999999999999E-2</v>
      </c>
      <c r="N440" s="23">
        <f t="shared" si="96"/>
        <v>0</v>
      </c>
      <c r="O440" s="23">
        <f t="shared" si="102"/>
        <v>0</v>
      </c>
      <c r="P440" s="23">
        <f t="shared" si="116"/>
        <v>0</v>
      </c>
      <c r="Q440" s="23">
        <f t="shared" si="103"/>
        <v>0</v>
      </c>
      <c r="R440" s="23">
        <f>Q439*Assumptions!$B$11/$E$2*N440</f>
        <v>0</v>
      </c>
      <c r="S440" s="23">
        <f>Q439*Assumptions!$B$13/$E$2*N440</f>
        <v>0</v>
      </c>
      <c r="T440" s="23">
        <f>L440*Assumptions!$B$15</f>
        <v>0</v>
      </c>
      <c r="U440" s="23">
        <f>S440*Assumptions!$B$17</f>
        <v>0</v>
      </c>
      <c r="V440" s="23">
        <f>HLOOKUP(B440,Assumptions!$A$26:$D$27,2,TRUE)</f>
        <v>0</v>
      </c>
      <c r="W440">
        <f t="shared" si="108"/>
        <v>0</v>
      </c>
      <c r="X440">
        <f t="shared" si="109"/>
        <v>0.3333333333333357</v>
      </c>
      <c r="Y440">
        <f>IF(B440&gt;$M$2,0,IF(X441=0,0,(1-X441)*Assumptions!$B$11/$E$2*(1-Assumptions!$B$30)))</f>
        <v>0</v>
      </c>
      <c r="Z440" s="23">
        <f>(R440-S440)*(1-Assumptions!$B$30)-U440+Y439*Q439</f>
        <v>0</v>
      </c>
      <c r="AA440" s="23">
        <f>AA439*(1+Assumptions!$B$36)^(1/12)</f>
        <v>1.4272140510774074</v>
      </c>
      <c r="AB440" s="20">
        <f>IF(B440&gt;$M$2,0,AA439*Assumptions!$B$32/12*Q439+Z440*Assumptions!$B$34/12)</f>
        <v>0</v>
      </c>
      <c r="AC440" s="21">
        <f>1/(1+HLOOKUP(YEAR(A440),Assumptions!$A$41:$AL$43,3,TRUE))^(1/12)</f>
        <v>0.99757644752594421</v>
      </c>
      <c r="AD440" s="23">
        <f t="shared" si="117"/>
        <v>0</v>
      </c>
      <c r="AE440">
        <f t="shared" si="110"/>
        <v>0</v>
      </c>
    </row>
    <row r="441" spans="1:31" x14ac:dyDescent="0.2">
      <c r="A441" s="2">
        <f t="shared" si="111"/>
        <v>56188</v>
      </c>
      <c r="B441">
        <f t="shared" si="105"/>
        <v>510</v>
      </c>
      <c r="C441" s="23">
        <f t="shared" si="112"/>
        <v>42.416666666666664</v>
      </c>
      <c r="D441" s="23">
        <f t="shared" si="113"/>
        <v>0</v>
      </c>
      <c r="E441" s="23">
        <f t="shared" si="99"/>
        <v>97</v>
      </c>
      <c r="F441" s="23">
        <f t="shared" si="100"/>
        <v>89</v>
      </c>
      <c r="G441" s="23">
        <f>IF(C441&gt;=$L$2,0,VLOOKUP($E441,'Mortality Table'!$A$3:$C$128,2+H$2,FALSE))</f>
        <v>0</v>
      </c>
      <c r="H441">
        <f>IF(C441&gt;=$L$2,0,VLOOKUP($E441,'Mortality Table'!$A$3:$C$128,2+I$2,FALSE))</f>
        <v>0</v>
      </c>
      <c r="I441" s="24">
        <f>G441*Assumptions!$B$1</f>
        <v>0</v>
      </c>
      <c r="J441" s="24">
        <f>H441*Assumptions!$B$1</f>
        <v>0</v>
      </c>
      <c r="K441" s="23">
        <f t="shared" si="114"/>
        <v>0</v>
      </c>
      <c r="L441" s="23">
        <f t="shared" si="115"/>
        <v>0</v>
      </c>
      <c r="M441" s="23">
        <f>HLOOKUP(C441,Assumptions!$A$6:$J$7,2,TRUE)</f>
        <v>2.6499999999999999E-2</v>
      </c>
      <c r="N441" s="23">
        <f t="shared" si="96"/>
        <v>0</v>
      </c>
      <c r="O441" s="23">
        <f t="shared" si="102"/>
        <v>0</v>
      </c>
      <c r="P441" s="23">
        <f t="shared" si="116"/>
        <v>0</v>
      </c>
      <c r="Q441" s="23">
        <f t="shared" si="103"/>
        <v>0</v>
      </c>
      <c r="R441" s="23">
        <f>Q440*Assumptions!$B$11/$E$2*N441</f>
        <v>0</v>
      </c>
      <c r="S441" s="23">
        <f>Q440*Assumptions!$B$13/$E$2*N441</f>
        <v>0</v>
      </c>
      <c r="T441" s="23">
        <f>L441*Assumptions!$B$15</f>
        <v>0</v>
      </c>
      <c r="U441" s="23">
        <f>S441*Assumptions!$B$17</f>
        <v>0</v>
      </c>
      <c r="V441" s="23">
        <f>HLOOKUP(B441,Assumptions!$A$26:$D$27,2,TRUE)</f>
        <v>0</v>
      </c>
      <c r="W441">
        <f t="shared" si="108"/>
        <v>0</v>
      </c>
      <c r="X441">
        <f t="shared" si="109"/>
        <v>0.4166666666666643</v>
      </c>
      <c r="Y441">
        <f>IF(B441&gt;$M$2,0,IF(X442=0,0,(1-X442)*Assumptions!$B$11/$E$2*(1-Assumptions!$B$30)))</f>
        <v>0</v>
      </c>
      <c r="Z441" s="23">
        <f>(R441-S441)*(1-Assumptions!$B$30)-U441+Y440*Q440</f>
        <v>0</v>
      </c>
      <c r="AA441" s="23">
        <f>AA440*(1+Assumptions!$B$36)^(1/12)</f>
        <v>1.4283979795301065</v>
      </c>
      <c r="AB441" s="20">
        <f>IF(B441&gt;$M$2,0,AA440*Assumptions!$B$32/12*Q440+Z441*Assumptions!$B$34/12)</f>
        <v>0</v>
      </c>
      <c r="AC441" s="21">
        <f>1/(1+HLOOKUP(YEAR(A441),Assumptions!$A$41:$AL$43,3,TRUE))^(1/12)</f>
        <v>0.99757644752594421</v>
      </c>
      <c r="AD441" s="23">
        <f t="shared" si="117"/>
        <v>0</v>
      </c>
      <c r="AE441">
        <f t="shared" si="110"/>
        <v>0</v>
      </c>
    </row>
    <row r="442" spans="1:31" x14ac:dyDescent="0.2">
      <c r="A442" s="2">
        <f t="shared" si="111"/>
        <v>56218</v>
      </c>
      <c r="B442">
        <f t="shared" si="105"/>
        <v>511</v>
      </c>
      <c r="C442" s="23">
        <f t="shared" si="112"/>
        <v>42.5</v>
      </c>
      <c r="D442" s="23">
        <f t="shared" si="113"/>
        <v>0</v>
      </c>
      <c r="E442" s="23">
        <f t="shared" si="99"/>
        <v>97</v>
      </c>
      <c r="F442" s="23">
        <f t="shared" si="100"/>
        <v>89</v>
      </c>
      <c r="G442" s="23">
        <f>IF(C442&gt;=$L$2,0,VLOOKUP($E442,'Mortality Table'!$A$3:$C$128,2+H$2,FALSE))</f>
        <v>0</v>
      </c>
      <c r="H442">
        <f>IF(C442&gt;=$L$2,0,VLOOKUP($E442,'Mortality Table'!$A$3:$C$128,2+I$2,FALSE))</f>
        <v>0</v>
      </c>
      <c r="I442" s="24">
        <f>G442*Assumptions!$B$1</f>
        <v>0</v>
      </c>
      <c r="J442" s="24">
        <f>H442*Assumptions!$B$1</f>
        <v>0</v>
      </c>
      <c r="K442" s="23">
        <f t="shared" si="114"/>
        <v>0</v>
      </c>
      <c r="L442" s="23">
        <f t="shared" si="115"/>
        <v>0</v>
      </c>
      <c r="M442" s="23">
        <f>HLOOKUP(C442,Assumptions!$A$6:$J$7,2,TRUE)</f>
        <v>2.6499999999999999E-2</v>
      </c>
      <c r="N442" s="23">
        <f t="shared" si="96"/>
        <v>0</v>
      </c>
      <c r="O442" s="23">
        <f t="shared" si="102"/>
        <v>0</v>
      </c>
      <c r="P442" s="23">
        <f t="shared" si="116"/>
        <v>0</v>
      </c>
      <c r="Q442" s="23">
        <f t="shared" si="103"/>
        <v>0</v>
      </c>
      <c r="R442" s="23">
        <f>Q441*Assumptions!$B$11/$E$2*N442</f>
        <v>0</v>
      </c>
      <c r="S442" s="23">
        <f>Q441*Assumptions!$B$13/$E$2*N442</f>
        <v>0</v>
      </c>
      <c r="T442" s="23">
        <f>L442*Assumptions!$B$15</f>
        <v>0</v>
      </c>
      <c r="U442" s="23">
        <f>S442*Assumptions!$B$17</f>
        <v>0</v>
      </c>
      <c r="V442" s="23">
        <f>HLOOKUP(B442,Assumptions!$A$26:$D$27,2,TRUE)</f>
        <v>0</v>
      </c>
      <c r="W442">
        <f t="shared" si="108"/>
        <v>0</v>
      </c>
      <c r="X442">
        <f t="shared" si="109"/>
        <v>0.5</v>
      </c>
      <c r="Y442">
        <f>IF(B442&gt;$M$2,0,IF(X443=0,0,(1-X443)*Assumptions!$B$11/$E$2*(1-Assumptions!$B$30)))</f>
        <v>0</v>
      </c>
      <c r="Z442" s="23">
        <f>(R442-S442)*(1-Assumptions!$B$30)-U442+Y441*Q441</f>
        <v>0</v>
      </c>
      <c r="AA442" s="23">
        <f>AA441*(1+Assumptions!$B$36)^(1/12)</f>
        <v>1.4295828900965817</v>
      </c>
      <c r="AB442" s="20">
        <f>IF(B442&gt;$M$2,0,AA441*Assumptions!$B$32/12*Q441+Z442*Assumptions!$B$34/12)</f>
        <v>0</v>
      </c>
      <c r="AC442" s="21">
        <f>1/(1+HLOOKUP(YEAR(A442),Assumptions!$A$41:$AL$43,3,TRUE))^(1/12)</f>
        <v>0.99757644752594421</v>
      </c>
      <c r="AD442" s="23">
        <f t="shared" si="117"/>
        <v>0</v>
      </c>
      <c r="AE442">
        <f t="shared" si="110"/>
        <v>0</v>
      </c>
    </row>
    <row r="443" spans="1:31" x14ac:dyDescent="0.2">
      <c r="A443" s="2">
        <f t="shared" si="111"/>
        <v>56249</v>
      </c>
      <c r="B443">
        <f t="shared" si="105"/>
        <v>512</v>
      </c>
      <c r="C443" s="23">
        <f t="shared" si="112"/>
        <v>42.583333333333336</v>
      </c>
      <c r="D443" s="23">
        <f t="shared" si="113"/>
        <v>0</v>
      </c>
      <c r="E443" s="23">
        <f t="shared" si="99"/>
        <v>97</v>
      </c>
      <c r="F443" s="23">
        <f t="shared" si="100"/>
        <v>89</v>
      </c>
      <c r="G443" s="23">
        <f>IF(C443&gt;=$L$2,0,VLOOKUP($E443,'Mortality Table'!$A$3:$C$128,2+H$2,FALSE))</f>
        <v>0</v>
      </c>
      <c r="H443">
        <f>IF(C443&gt;=$L$2,0,VLOOKUP($E443,'Mortality Table'!$A$3:$C$128,2+I$2,FALSE))</f>
        <v>0</v>
      </c>
      <c r="I443" s="24">
        <f>G443*Assumptions!$B$1</f>
        <v>0</v>
      </c>
      <c r="J443" s="24">
        <f>H443*Assumptions!$B$1</f>
        <v>0</v>
      </c>
      <c r="K443" s="23">
        <f t="shared" si="114"/>
        <v>0</v>
      </c>
      <c r="L443" s="23">
        <f t="shared" si="115"/>
        <v>0</v>
      </c>
      <c r="M443" s="23">
        <f>HLOOKUP(C443,Assumptions!$A$6:$J$7,2,TRUE)</f>
        <v>2.6499999999999999E-2</v>
      </c>
      <c r="N443" s="23">
        <f t="shared" si="96"/>
        <v>0</v>
      </c>
      <c r="O443" s="23">
        <f t="shared" si="102"/>
        <v>0</v>
      </c>
      <c r="P443" s="23">
        <f t="shared" si="116"/>
        <v>0</v>
      </c>
      <c r="Q443" s="23">
        <f t="shared" si="103"/>
        <v>0</v>
      </c>
      <c r="R443" s="23">
        <f>Q442*Assumptions!$B$11/$E$2*N443</f>
        <v>0</v>
      </c>
      <c r="S443" s="23">
        <f>Q442*Assumptions!$B$13/$E$2*N443</f>
        <v>0</v>
      </c>
      <c r="T443" s="23">
        <f>L443*Assumptions!$B$15</f>
        <v>0</v>
      </c>
      <c r="U443" s="23">
        <f>S443*Assumptions!$B$17</f>
        <v>0</v>
      </c>
      <c r="V443" s="23">
        <f>HLOOKUP(B443,Assumptions!$A$26:$D$27,2,TRUE)</f>
        <v>0</v>
      </c>
      <c r="W443">
        <f t="shared" si="108"/>
        <v>0</v>
      </c>
      <c r="X443">
        <f t="shared" si="109"/>
        <v>0.5833333333333357</v>
      </c>
      <c r="Y443">
        <f>IF(B443&gt;$M$2,0,IF(X444=0,0,(1-X444)*Assumptions!$B$11/$E$2*(1-Assumptions!$B$30)))</f>
        <v>0</v>
      </c>
      <c r="Z443" s="23">
        <f>(R443-S443)*(1-Assumptions!$B$30)-U443+Y442*Q442</f>
        <v>0</v>
      </c>
      <c r="AA443" s="23">
        <f>AA442*(1+Assumptions!$B$36)^(1/12)</f>
        <v>1.4307687835915339</v>
      </c>
      <c r="AB443" s="20">
        <f>IF(B443&gt;$M$2,0,AA442*Assumptions!$B$32/12*Q442+Z443*Assumptions!$B$34/12)</f>
        <v>0</v>
      </c>
      <c r="AC443" s="21">
        <f>1/(1+HLOOKUP(YEAR(A443),Assumptions!$A$41:$AL$43,3,TRUE))^(1/12)</f>
        <v>0.99757644752594421</v>
      </c>
      <c r="AD443" s="23">
        <f t="shared" si="117"/>
        <v>0</v>
      </c>
      <c r="AE443">
        <f t="shared" si="110"/>
        <v>0</v>
      </c>
    </row>
    <row r="444" spans="1:31" x14ac:dyDescent="0.2">
      <c r="A444" s="2">
        <f t="shared" si="111"/>
        <v>56280</v>
      </c>
      <c r="B444">
        <f t="shared" si="105"/>
        <v>513</v>
      </c>
      <c r="C444" s="23">
        <f t="shared" si="112"/>
        <v>42.666666666666664</v>
      </c>
      <c r="D444" s="23">
        <f t="shared" si="113"/>
        <v>0</v>
      </c>
      <c r="E444" s="23">
        <f t="shared" si="99"/>
        <v>97</v>
      </c>
      <c r="F444" s="23">
        <f t="shared" si="100"/>
        <v>89</v>
      </c>
      <c r="G444" s="23">
        <f>IF(C444&gt;=$L$2,0,VLOOKUP($E444,'Mortality Table'!$A$3:$C$128,2+H$2,FALSE))</f>
        <v>0</v>
      </c>
      <c r="H444">
        <f>IF(C444&gt;=$L$2,0,VLOOKUP($E444,'Mortality Table'!$A$3:$C$128,2+I$2,FALSE))</f>
        <v>0</v>
      </c>
      <c r="I444" s="24">
        <f>G444*Assumptions!$B$1</f>
        <v>0</v>
      </c>
      <c r="J444" s="24">
        <f>H444*Assumptions!$B$1</f>
        <v>0</v>
      </c>
      <c r="K444" s="23">
        <f t="shared" si="114"/>
        <v>0</v>
      </c>
      <c r="L444" s="23">
        <f t="shared" si="115"/>
        <v>0</v>
      </c>
      <c r="M444" s="23">
        <f>HLOOKUP(C444,Assumptions!$A$6:$J$7,2,TRUE)</f>
        <v>2.6499999999999999E-2</v>
      </c>
      <c r="N444" s="23">
        <f t="shared" si="96"/>
        <v>0</v>
      </c>
      <c r="O444" s="23">
        <f t="shared" si="102"/>
        <v>0</v>
      </c>
      <c r="P444" s="23">
        <f t="shared" si="116"/>
        <v>0</v>
      </c>
      <c r="Q444" s="23">
        <f t="shared" si="103"/>
        <v>0</v>
      </c>
      <c r="R444" s="23">
        <f>Q443*Assumptions!$B$11/$E$2*N444</f>
        <v>0</v>
      </c>
      <c r="S444" s="23">
        <f>Q443*Assumptions!$B$13/$E$2*N444</f>
        <v>0</v>
      </c>
      <c r="T444" s="23">
        <f>L444*Assumptions!$B$15</f>
        <v>0</v>
      </c>
      <c r="U444" s="23">
        <f>S444*Assumptions!$B$17</f>
        <v>0</v>
      </c>
      <c r="V444" s="23">
        <f>HLOOKUP(B444,Assumptions!$A$26:$D$27,2,TRUE)</f>
        <v>0</v>
      </c>
      <c r="W444">
        <f t="shared" si="108"/>
        <v>0</v>
      </c>
      <c r="X444">
        <f t="shared" si="109"/>
        <v>0.6666666666666643</v>
      </c>
      <c r="Y444">
        <f>IF(B444&gt;$M$2,0,IF(X445=0,0,(1-X445)*Assumptions!$B$11/$E$2*(1-Assumptions!$B$30)))</f>
        <v>0</v>
      </c>
      <c r="Z444" s="23">
        <f>(R444-S444)*(1-Assumptions!$B$30)-U444+Y443*Q443</f>
        <v>0</v>
      </c>
      <c r="AA444" s="23">
        <f>AA443*(1+Assumptions!$B$36)^(1/12)</f>
        <v>1.4319556608303399</v>
      </c>
      <c r="AB444" s="20">
        <f>IF(B444&gt;$M$2,0,AA443*Assumptions!$B$32/12*Q443+Z444*Assumptions!$B$34/12)</f>
        <v>0</v>
      </c>
      <c r="AC444" s="21">
        <f>1/(1+HLOOKUP(YEAR(A444),Assumptions!$A$41:$AL$43,3,TRUE))^(1/12)</f>
        <v>0.99757644752594421</v>
      </c>
      <c r="AD444" s="23">
        <f t="shared" si="117"/>
        <v>0</v>
      </c>
      <c r="AE444">
        <f t="shared" si="110"/>
        <v>0</v>
      </c>
    </row>
    <row r="445" spans="1:31" x14ac:dyDescent="0.2">
      <c r="A445" s="2">
        <f t="shared" si="111"/>
        <v>56308</v>
      </c>
      <c r="B445">
        <f t="shared" si="105"/>
        <v>514</v>
      </c>
      <c r="C445" s="23">
        <f t="shared" si="112"/>
        <v>42.75</v>
      </c>
      <c r="D445" s="23">
        <f t="shared" si="113"/>
        <v>0</v>
      </c>
      <c r="E445" s="23">
        <f t="shared" si="99"/>
        <v>97</v>
      </c>
      <c r="F445" s="23">
        <f t="shared" si="100"/>
        <v>89</v>
      </c>
      <c r="G445" s="23">
        <f>IF(C445&gt;=$L$2,0,VLOOKUP($E445,'Mortality Table'!$A$3:$C$128,2+H$2,FALSE))</f>
        <v>0</v>
      </c>
      <c r="H445">
        <f>IF(C445&gt;=$L$2,0,VLOOKUP($E445,'Mortality Table'!$A$3:$C$128,2+I$2,FALSE))</f>
        <v>0</v>
      </c>
      <c r="I445" s="24">
        <f>G445*Assumptions!$B$1</f>
        <v>0</v>
      </c>
      <c r="J445" s="24">
        <f>H445*Assumptions!$B$1</f>
        <v>0</v>
      </c>
      <c r="K445" s="23">
        <f t="shared" si="114"/>
        <v>0</v>
      </c>
      <c r="L445" s="23">
        <f t="shared" si="115"/>
        <v>0</v>
      </c>
      <c r="M445" s="23">
        <f>HLOOKUP(C445,Assumptions!$A$6:$J$7,2,TRUE)</f>
        <v>2.6499999999999999E-2</v>
      </c>
      <c r="N445" s="23">
        <f t="shared" si="96"/>
        <v>0</v>
      </c>
      <c r="O445" s="23">
        <f t="shared" si="102"/>
        <v>0</v>
      </c>
      <c r="P445" s="23">
        <f t="shared" si="116"/>
        <v>0</v>
      </c>
      <c r="Q445" s="23">
        <f t="shared" si="103"/>
        <v>0</v>
      </c>
      <c r="R445" s="23">
        <f>Q444*Assumptions!$B$11/$E$2*N445</f>
        <v>0</v>
      </c>
      <c r="S445" s="23">
        <f>Q444*Assumptions!$B$13/$E$2*N445</f>
        <v>0</v>
      </c>
      <c r="T445" s="23">
        <f>L445*Assumptions!$B$15</f>
        <v>0</v>
      </c>
      <c r="U445" s="23">
        <f>S445*Assumptions!$B$17</f>
        <v>0</v>
      </c>
      <c r="V445" s="23">
        <f>HLOOKUP(B445,Assumptions!$A$26:$D$27,2,TRUE)</f>
        <v>0</v>
      </c>
      <c r="W445">
        <f t="shared" si="108"/>
        <v>0</v>
      </c>
      <c r="X445">
        <f t="shared" si="109"/>
        <v>0.75</v>
      </c>
      <c r="Y445">
        <f>IF(B445&gt;$M$2,0,IF(X446=0,0,(1-X446)*Assumptions!$B$11/$E$2*(1-Assumptions!$B$30)))</f>
        <v>0</v>
      </c>
      <c r="Z445" s="23">
        <f>(R445-S445)*(1-Assumptions!$B$30)-U445+Y444*Q444</f>
        <v>0</v>
      </c>
      <c r="AA445" s="23">
        <f>AA444*(1+Assumptions!$B$36)^(1/12)</f>
        <v>1.4331435226290523</v>
      </c>
      <c r="AB445" s="20">
        <f>IF(B445&gt;$M$2,0,AA444*Assumptions!$B$32/12*Q444+Z445*Assumptions!$B$34/12)</f>
        <v>0</v>
      </c>
      <c r="AC445" s="21">
        <f>1/(1+HLOOKUP(YEAR(A445),Assumptions!$A$41:$AL$43,3,TRUE))^(1/12)</f>
        <v>0.99757644752594421</v>
      </c>
      <c r="AD445" s="23">
        <f t="shared" si="117"/>
        <v>0</v>
      </c>
      <c r="AE445">
        <f t="shared" si="110"/>
        <v>0</v>
      </c>
    </row>
    <row r="446" spans="1:31" x14ac:dyDescent="0.2">
      <c r="A446" s="2">
        <f t="shared" si="111"/>
        <v>56339</v>
      </c>
      <c r="B446">
        <f t="shared" si="105"/>
        <v>515</v>
      </c>
      <c r="C446" s="23">
        <f t="shared" si="112"/>
        <v>42.833333333333336</v>
      </c>
      <c r="D446" s="23">
        <f t="shared" si="113"/>
        <v>0</v>
      </c>
      <c r="E446" s="23">
        <f t="shared" si="99"/>
        <v>97</v>
      </c>
      <c r="F446" s="23">
        <f t="shared" si="100"/>
        <v>89</v>
      </c>
      <c r="G446" s="23">
        <f>IF(C446&gt;=$L$2,0,VLOOKUP($E446,'Mortality Table'!$A$3:$C$128,2+H$2,FALSE))</f>
        <v>0</v>
      </c>
      <c r="H446">
        <f>IF(C446&gt;=$L$2,0,VLOOKUP($E446,'Mortality Table'!$A$3:$C$128,2+I$2,FALSE))</f>
        <v>0</v>
      </c>
      <c r="I446" s="24">
        <f>G446*Assumptions!$B$1</f>
        <v>0</v>
      </c>
      <c r="J446" s="24">
        <f>H446*Assumptions!$B$1</f>
        <v>0</v>
      </c>
      <c r="K446" s="23">
        <f t="shared" si="114"/>
        <v>0</v>
      </c>
      <c r="L446" s="23">
        <f t="shared" si="115"/>
        <v>0</v>
      </c>
      <c r="M446" s="23">
        <f>HLOOKUP(C446,Assumptions!$A$6:$J$7,2,TRUE)</f>
        <v>2.6499999999999999E-2</v>
      </c>
      <c r="N446" s="23">
        <f t="shared" si="96"/>
        <v>0</v>
      </c>
      <c r="O446" s="23">
        <f t="shared" si="102"/>
        <v>0</v>
      </c>
      <c r="P446" s="23">
        <f t="shared" si="116"/>
        <v>0</v>
      </c>
      <c r="Q446" s="23">
        <f t="shared" si="103"/>
        <v>0</v>
      </c>
      <c r="R446" s="23">
        <f>Q445*Assumptions!$B$11/$E$2*N446</f>
        <v>0</v>
      </c>
      <c r="S446" s="23">
        <f>Q445*Assumptions!$B$13/$E$2*N446</f>
        <v>0</v>
      </c>
      <c r="T446" s="23">
        <f>L446*Assumptions!$B$15</f>
        <v>0</v>
      </c>
      <c r="U446" s="23">
        <f>S446*Assumptions!$B$17</f>
        <v>0</v>
      </c>
      <c r="V446" s="23">
        <f>HLOOKUP(B446,Assumptions!$A$26:$D$27,2,TRUE)</f>
        <v>0</v>
      </c>
      <c r="W446">
        <f t="shared" si="108"/>
        <v>0</v>
      </c>
      <c r="X446">
        <f t="shared" si="109"/>
        <v>0.8333333333333357</v>
      </c>
      <c r="Y446">
        <f>IF(B446&gt;$M$2,0,IF(X447=0,0,(1-X447)*Assumptions!$B$11/$E$2*(1-Assumptions!$B$30)))</f>
        <v>0</v>
      </c>
      <c r="Z446" s="23">
        <f>(R446-S446)*(1-Assumptions!$B$30)-U446+Y445*Q445</f>
        <v>0</v>
      </c>
      <c r="AA446" s="23">
        <f>AA445*(1+Assumptions!$B$36)^(1/12)</f>
        <v>1.4343323698044015</v>
      </c>
      <c r="AB446" s="20">
        <f>IF(B446&gt;$M$2,0,AA445*Assumptions!$B$32/12*Q445+Z446*Assumptions!$B$34/12)</f>
        <v>0</v>
      </c>
      <c r="AC446" s="21">
        <f>1/(1+HLOOKUP(YEAR(A446),Assumptions!$A$41:$AL$43,3,TRUE))^(1/12)</f>
        <v>0.99757644752594421</v>
      </c>
      <c r="AD446" s="23">
        <f t="shared" si="117"/>
        <v>0</v>
      </c>
      <c r="AE446">
        <f t="shared" si="110"/>
        <v>0</v>
      </c>
    </row>
    <row r="447" spans="1:31" x14ac:dyDescent="0.2">
      <c r="A447" s="2">
        <f t="shared" si="111"/>
        <v>56369</v>
      </c>
      <c r="B447">
        <f t="shared" si="105"/>
        <v>516</v>
      </c>
      <c r="C447" s="23">
        <f t="shared" si="112"/>
        <v>42.916666666666664</v>
      </c>
      <c r="D447" s="23">
        <f t="shared" si="113"/>
        <v>0</v>
      </c>
      <c r="E447" s="23">
        <f t="shared" si="99"/>
        <v>97</v>
      </c>
      <c r="F447" s="23">
        <f t="shared" si="100"/>
        <v>89</v>
      </c>
      <c r="G447" s="23">
        <f>IF(C447&gt;=$L$2,0,VLOOKUP($E447,'Mortality Table'!$A$3:$C$128,2+H$2,FALSE))</f>
        <v>0</v>
      </c>
      <c r="H447">
        <f>IF(C447&gt;=$L$2,0,VLOOKUP($E447,'Mortality Table'!$A$3:$C$128,2+I$2,FALSE))</f>
        <v>0</v>
      </c>
      <c r="I447" s="24">
        <f>G447*Assumptions!$B$1</f>
        <v>0</v>
      </c>
      <c r="J447" s="24">
        <f>H447*Assumptions!$B$1</f>
        <v>0</v>
      </c>
      <c r="K447" s="23">
        <f t="shared" si="114"/>
        <v>0</v>
      </c>
      <c r="L447" s="23">
        <f t="shared" si="115"/>
        <v>0</v>
      </c>
      <c r="M447" s="23">
        <f>HLOOKUP(C447,Assumptions!$A$6:$J$7,2,TRUE)</f>
        <v>2.6499999999999999E-2</v>
      </c>
      <c r="N447" s="23">
        <f t="shared" si="96"/>
        <v>0</v>
      </c>
      <c r="O447" s="23">
        <f t="shared" si="102"/>
        <v>0</v>
      </c>
      <c r="P447" s="23">
        <f t="shared" si="116"/>
        <v>0</v>
      </c>
      <c r="Q447" s="23">
        <f t="shared" si="103"/>
        <v>0</v>
      </c>
      <c r="R447" s="23">
        <f>Q446*Assumptions!$B$11/$E$2*N447</f>
        <v>0</v>
      </c>
      <c r="S447" s="23">
        <f>Q446*Assumptions!$B$13/$E$2*N447</f>
        <v>0</v>
      </c>
      <c r="T447" s="23">
        <f>L447*Assumptions!$B$15</f>
        <v>0</v>
      </c>
      <c r="U447" s="23">
        <f>S447*Assumptions!$B$17</f>
        <v>0</v>
      </c>
      <c r="V447" s="23">
        <f>HLOOKUP(B447,Assumptions!$A$26:$D$27,2,TRUE)</f>
        <v>0</v>
      </c>
      <c r="W447">
        <f t="shared" si="108"/>
        <v>0</v>
      </c>
      <c r="X447">
        <f t="shared" si="109"/>
        <v>0.9166666666666643</v>
      </c>
      <c r="Y447">
        <f>IF(B447&gt;$M$2,0,IF(X448=0,0,(1-X448)*Assumptions!$B$11/$E$2*(1-Assumptions!$B$30)))</f>
        <v>0</v>
      </c>
      <c r="Z447" s="23">
        <f>(R447-S447)*(1-Assumptions!$B$30)-U447+Y446*Q446</f>
        <v>0</v>
      </c>
      <c r="AA447" s="23">
        <f>AA446*(1+Assumptions!$B$36)^(1/12)</f>
        <v>1.4355222031737946</v>
      </c>
      <c r="AB447" s="20">
        <f>IF(B447&gt;$M$2,0,AA446*Assumptions!$B$32/12*Q446+Z447*Assumptions!$B$34/12)</f>
        <v>0</v>
      </c>
      <c r="AC447" s="21">
        <f>1/(1+HLOOKUP(YEAR(A447),Assumptions!$A$41:$AL$43,3,TRUE))^(1/12)</f>
        <v>0.99757644752594421</v>
      </c>
      <c r="AD447" s="23">
        <f t="shared" si="117"/>
        <v>0</v>
      </c>
      <c r="AE447">
        <f t="shared" si="110"/>
        <v>0</v>
      </c>
    </row>
    <row r="448" spans="1:31" x14ac:dyDescent="0.2">
      <c r="A448" s="2">
        <f t="shared" si="111"/>
        <v>56400</v>
      </c>
      <c r="B448">
        <f t="shared" si="105"/>
        <v>517</v>
      </c>
      <c r="C448" s="23">
        <f t="shared" si="112"/>
        <v>43</v>
      </c>
      <c r="D448" s="23">
        <f t="shared" si="113"/>
        <v>1</v>
      </c>
      <c r="E448" s="23">
        <f t="shared" si="99"/>
        <v>98</v>
      </c>
      <c r="F448" s="23">
        <f t="shared" si="100"/>
        <v>90</v>
      </c>
      <c r="G448" s="23">
        <f>IF(C448&gt;=$L$2,0,VLOOKUP($E448,'Mortality Table'!$A$3:$C$128,2+H$2,FALSE))</f>
        <v>0</v>
      </c>
      <c r="H448">
        <f>IF(C448&gt;=$L$2,0,VLOOKUP($E448,'Mortality Table'!$A$3:$C$128,2+I$2,FALSE))</f>
        <v>0</v>
      </c>
      <c r="I448" s="24">
        <f>G448*Assumptions!$B$1</f>
        <v>0</v>
      </c>
      <c r="J448" s="24">
        <f>H448*Assumptions!$B$1</f>
        <v>0</v>
      </c>
      <c r="K448" s="23">
        <f t="shared" si="114"/>
        <v>0</v>
      </c>
      <c r="L448" s="23">
        <f t="shared" si="115"/>
        <v>0</v>
      </c>
      <c r="M448" s="23">
        <f>HLOOKUP(C448,Assumptions!$A$6:$J$7,2,TRUE)</f>
        <v>2.6499999999999999E-2</v>
      </c>
      <c r="N448" s="23">
        <f t="shared" si="96"/>
        <v>0</v>
      </c>
      <c r="O448" s="23">
        <f t="shared" si="102"/>
        <v>0</v>
      </c>
      <c r="P448" s="23">
        <f t="shared" si="116"/>
        <v>0</v>
      </c>
      <c r="Q448" s="23">
        <f t="shared" si="103"/>
        <v>0</v>
      </c>
      <c r="R448" s="23">
        <f>Q447*Assumptions!$B$11/$E$2*N448</f>
        <v>0</v>
      </c>
      <c r="S448" s="23">
        <f>Q447*Assumptions!$B$13/$E$2*N448</f>
        <v>0</v>
      </c>
      <c r="T448" s="23">
        <f>L448*Assumptions!$B$15</f>
        <v>0</v>
      </c>
      <c r="U448" s="23">
        <f>S448*Assumptions!$B$17</f>
        <v>0</v>
      </c>
      <c r="V448" s="23">
        <f>HLOOKUP(B448,Assumptions!$A$26:$D$27,2,TRUE)</f>
        <v>0</v>
      </c>
      <c r="W448">
        <f t="shared" si="108"/>
        <v>0</v>
      </c>
      <c r="X448">
        <f t="shared" si="109"/>
        <v>0</v>
      </c>
      <c r="Y448">
        <f>IF(B448&gt;$M$2,0,IF(X449=0,0,(1-X449)*Assumptions!$B$11/$E$2*(1-Assumptions!$B$30)))</f>
        <v>0</v>
      </c>
      <c r="Z448" s="23">
        <f>(R448-S448)*(1-Assumptions!$B$30)-U448+Y447*Q447</f>
        <v>0</v>
      </c>
      <c r="AA448" s="23">
        <f>AA447*(1+Assumptions!$B$36)^(1/12)</f>
        <v>1.4367130235553174</v>
      </c>
      <c r="AB448" s="20">
        <f>IF(B448&gt;$M$2,0,AA447*Assumptions!$B$32/12*Q447+Z448*Assumptions!$B$34/12)</f>
        <v>0</v>
      </c>
      <c r="AC448" s="21">
        <f>1/(1+HLOOKUP(YEAR(A448),Assumptions!$A$41:$AL$43,3,TRUE))^(1/12)</f>
        <v>0.99757644752594421</v>
      </c>
      <c r="AD448" s="23">
        <f t="shared" si="117"/>
        <v>0</v>
      </c>
      <c r="AE448">
        <f t="shared" si="110"/>
        <v>0</v>
      </c>
    </row>
    <row r="449" spans="1:31" x14ac:dyDescent="0.2">
      <c r="A449" s="2">
        <f t="shared" si="111"/>
        <v>56430</v>
      </c>
      <c r="B449">
        <f t="shared" si="105"/>
        <v>518</v>
      </c>
      <c r="C449" s="23">
        <f t="shared" si="112"/>
        <v>43.083333333333336</v>
      </c>
      <c r="D449" s="23">
        <f t="shared" si="113"/>
        <v>0</v>
      </c>
      <c r="E449" s="23">
        <f t="shared" si="99"/>
        <v>98</v>
      </c>
      <c r="F449" s="23">
        <f t="shared" si="100"/>
        <v>90</v>
      </c>
      <c r="G449" s="23">
        <f>IF(C449&gt;=$L$2,0,VLOOKUP($E449,'Mortality Table'!$A$3:$C$128,2+H$2,FALSE))</f>
        <v>0</v>
      </c>
      <c r="H449">
        <f>IF(C449&gt;=$L$2,0,VLOOKUP($E449,'Mortality Table'!$A$3:$C$128,2+I$2,FALSE))</f>
        <v>0</v>
      </c>
      <c r="I449" s="24">
        <f>G449*Assumptions!$B$1</f>
        <v>0</v>
      </c>
      <c r="J449" s="24">
        <f>H449*Assumptions!$B$1</f>
        <v>0</v>
      </c>
      <c r="K449" s="23">
        <f t="shared" si="114"/>
        <v>0</v>
      </c>
      <c r="L449" s="23">
        <f t="shared" si="115"/>
        <v>0</v>
      </c>
      <c r="M449" s="23">
        <f>HLOOKUP(C449,Assumptions!$A$6:$J$7,2,TRUE)</f>
        <v>2.6499999999999999E-2</v>
      </c>
      <c r="N449" s="23">
        <f t="shared" si="96"/>
        <v>0</v>
      </c>
      <c r="O449" s="23">
        <f t="shared" si="102"/>
        <v>0</v>
      </c>
      <c r="P449" s="23">
        <f t="shared" si="116"/>
        <v>0</v>
      </c>
      <c r="Q449" s="23">
        <f t="shared" si="103"/>
        <v>0</v>
      </c>
      <c r="R449" s="23">
        <f>Q448*Assumptions!$B$11/$E$2*N449</f>
        <v>0</v>
      </c>
      <c r="S449" s="23">
        <f>Q448*Assumptions!$B$13/$E$2*N449</f>
        <v>0</v>
      </c>
      <c r="T449" s="23">
        <f>L449*Assumptions!$B$15</f>
        <v>0</v>
      </c>
      <c r="U449" s="23">
        <f>S449*Assumptions!$B$17</f>
        <v>0</v>
      </c>
      <c r="V449" s="23">
        <f>HLOOKUP(B449,Assumptions!$A$26:$D$27,2,TRUE)</f>
        <v>0</v>
      </c>
      <c r="W449">
        <f t="shared" si="108"/>
        <v>0</v>
      </c>
      <c r="X449">
        <f t="shared" si="109"/>
        <v>8.3333333333335702E-2</v>
      </c>
      <c r="Y449">
        <f>IF(B449&gt;$M$2,0,IF(X450=0,0,(1-X450)*Assumptions!$B$11/$E$2*(1-Assumptions!$B$30)))</f>
        <v>0</v>
      </c>
      <c r="Z449" s="23">
        <f>(R449-S449)*(1-Assumptions!$B$30)-U449+Y448*Q448</f>
        <v>0</v>
      </c>
      <c r="AA449" s="23">
        <f>AA448*(1+Assumptions!$B$36)^(1/12)</f>
        <v>1.4379048317677341</v>
      </c>
      <c r="AB449" s="20">
        <f>IF(B449&gt;$M$2,0,AA448*Assumptions!$B$32/12*Q448+Z449*Assumptions!$B$34/12)</f>
        <v>0</v>
      </c>
      <c r="AC449" s="21">
        <f>1/(1+HLOOKUP(YEAR(A449),Assumptions!$A$41:$AL$43,3,TRUE))^(1/12)</f>
        <v>0.99757644752594421</v>
      </c>
      <c r="AD449" s="23">
        <f t="shared" si="117"/>
        <v>0</v>
      </c>
      <c r="AE449">
        <f t="shared" si="110"/>
        <v>0</v>
      </c>
    </row>
    <row r="450" spans="1:31" x14ac:dyDescent="0.2">
      <c r="A450" s="2">
        <f t="shared" si="111"/>
        <v>56461</v>
      </c>
      <c r="B450">
        <f t="shared" si="105"/>
        <v>519</v>
      </c>
      <c r="C450" s="23">
        <f t="shared" si="112"/>
        <v>43.166666666666664</v>
      </c>
      <c r="D450" s="23">
        <f t="shared" si="113"/>
        <v>0</v>
      </c>
      <c r="E450" s="23">
        <f t="shared" si="99"/>
        <v>98</v>
      </c>
      <c r="F450" s="23">
        <f t="shared" si="100"/>
        <v>90</v>
      </c>
      <c r="G450" s="23">
        <f>IF(C450&gt;=$L$2,0,VLOOKUP($E450,'Mortality Table'!$A$3:$C$128,2+H$2,FALSE))</f>
        <v>0</v>
      </c>
      <c r="H450">
        <f>IF(C450&gt;=$L$2,0,VLOOKUP($E450,'Mortality Table'!$A$3:$C$128,2+I$2,FALSE))</f>
        <v>0</v>
      </c>
      <c r="I450" s="24">
        <f>G450*Assumptions!$B$1</f>
        <v>0</v>
      </c>
      <c r="J450" s="24">
        <f>H450*Assumptions!$B$1</f>
        <v>0</v>
      </c>
      <c r="K450" s="23">
        <f t="shared" si="114"/>
        <v>0</v>
      </c>
      <c r="L450" s="23">
        <f t="shared" si="115"/>
        <v>0</v>
      </c>
      <c r="M450" s="23">
        <f>HLOOKUP(C450,Assumptions!$A$6:$J$7,2,TRUE)</f>
        <v>2.6499999999999999E-2</v>
      </c>
      <c r="N450" s="23">
        <f t="shared" si="96"/>
        <v>0</v>
      </c>
      <c r="O450" s="23">
        <f t="shared" si="102"/>
        <v>0</v>
      </c>
      <c r="P450" s="23">
        <f t="shared" si="116"/>
        <v>0</v>
      </c>
      <c r="Q450" s="23">
        <f t="shared" si="103"/>
        <v>0</v>
      </c>
      <c r="R450" s="23">
        <f>Q449*Assumptions!$B$11/$E$2*N450</f>
        <v>0</v>
      </c>
      <c r="S450" s="23">
        <f>Q449*Assumptions!$B$13/$E$2*N450</f>
        <v>0</v>
      </c>
      <c r="T450" s="23">
        <f>L450*Assumptions!$B$15</f>
        <v>0</v>
      </c>
      <c r="U450" s="23">
        <f>S450*Assumptions!$B$17</f>
        <v>0</v>
      </c>
      <c r="V450" s="23">
        <f>HLOOKUP(B450,Assumptions!$A$26:$D$27,2,TRUE)</f>
        <v>0</v>
      </c>
      <c r="W450">
        <f t="shared" si="108"/>
        <v>0</v>
      </c>
      <c r="X450">
        <f t="shared" si="109"/>
        <v>0.1666666666666643</v>
      </c>
      <c r="Y450">
        <f>IF(B450&gt;$M$2,0,IF(X451=0,0,(1-X451)*Assumptions!$B$11/$E$2*(1-Assumptions!$B$30)))</f>
        <v>0</v>
      </c>
      <c r="Z450" s="23">
        <f>(R450-S450)*(1-Assumptions!$B$30)-U450+Y449*Q449</f>
        <v>0</v>
      </c>
      <c r="AA450" s="23">
        <f>AA449*(1+Assumptions!$B$36)^(1/12)</f>
        <v>1.439097628630488</v>
      </c>
      <c r="AB450" s="20">
        <f>IF(B450&gt;$M$2,0,AA449*Assumptions!$B$32/12*Q449+Z450*Assumptions!$B$34/12)</f>
        <v>0</v>
      </c>
      <c r="AC450" s="21">
        <f>1/(1+HLOOKUP(YEAR(A450),Assumptions!$A$41:$AL$43,3,TRUE))^(1/12)</f>
        <v>0.99757644752594421</v>
      </c>
      <c r="AD450" s="23">
        <f t="shared" si="117"/>
        <v>0</v>
      </c>
      <c r="AE450">
        <f t="shared" si="110"/>
        <v>0</v>
      </c>
    </row>
    <row r="451" spans="1:31" x14ac:dyDescent="0.2">
      <c r="A451" s="2">
        <f t="shared" si="111"/>
        <v>56492</v>
      </c>
      <c r="B451">
        <f t="shared" si="105"/>
        <v>520</v>
      </c>
      <c r="C451" s="23">
        <f t="shared" si="112"/>
        <v>43.25</v>
      </c>
      <c r="D451" s="23">
        <f t="shared" si="113"/>
        <v>0</v>
      </c>
      <c r="E451" s="23">
        <f t="shared" si="99"/>
        <v>98</v>
      </c>
      <c r="F451" s="23">
        <f t="shared" si="100"/>
        <v>90</v>
      </c>
      <c r="G451" s="23">
        <f>IF(C451&gt;=$L$2,0,VLOOKUP($E451,'Mortality Table'!$A$3:$C$128,2+H$2,FALSE))</f>
        <v>0</v>
      </c>
      <c r="H451">
        <f>IF(C451&gt;=$L$2,0,VLOOKUP($E451,'Mortality Table'!$A$3:$C$128,2+I$2,FALSE))</f>
        <v>0</v>
      </c>
      <c r="I451" s="24">
        <f>G451*Assumptions!$B$1</f>
        <v>0</v>
      </c>
      <c r="J451" s="24">
        <f>H451*Assumptions!$B$1</f>
        <v>0</v>
      </c>
      <c r="K451" s="23">
        <f t="shared" si="114"/>
        <v>0</v>
      </c>
      <c r="L451" s="23">
        <f t="shared" si="115"/>
        <v>0</v>
      </c>
      <c r="M451" s="23">
        <f>HLOOKUP(C451,Assumptions!$A$6:$J$7,2,TRUE)</f>
        <v>2.6499999999999999E-2</v>
      </c>
      <c r="N451" s="23">
        <f t="shared" si="96"/>
        <v>0</v>
      </c>
      <c r="O451" s="23">
        <f t="shared" si="102"/>
        <v>0</v>
      </c>
      <c r="P451" s="23">
        <f t="shared" si="116"/>
        <v>0</v>
      </c>
      <c r="Q451" s="23">
        <f t="shared" si="103"/>
        <v>0</v>
      </c>
      <c r="R451" s="23">
        <f>Q450*Assumptions!$B$11/$E$2*N451</f>
        <v>0</v>
      </c>
      <c r="S451" s="23">
        <f>Q450*Assumptions!$B$13/$E$2*N451</f>
        <v>0</v>
      </c>
      <c r="T451" s="23">
        <f>L451*Assumptions!$B$15</f>
        <v>0</v>
      </c>
      <c r="U451" s="23">
        <f>S451*Assumptions!$B$17</f>
        <v>0</v>
      </c>
      <c r="V451" s="23">
        <f>HLOOKUP(B451,Assumptions!$A$26:$D$27,2,TRUE)</f>
        <v>0</v>
      </c>
      <c r="W451">
        <f t="shared" si="108"/>
        <v>0</v>
      </c>
      <c r="X451">
        <f t="shared" si="109"/>
        <v>0.25</v>
      </c>
      <c r="Y451">
        <f>IF(B451&gt;$M$2,0,IF(X452=0,0,(1-X452)*Assumptions!$B$11/$E$2*(1-Assumptions!$B$30)))</f>
        <v>0</v>
      </c>
      <c r="Z451" s="23">
        <f>(R451-S451)*(1-Assumptions!$B$30)-U451+Y450*Q450</f>
        <v>0</v>
      </c>
      <c r="AA451" s="23">
        <f>AA450*(1+Assumptions!$B$36)^(1/12)</f>
        <v>1.4402914149637021</v>
      </c>
      <c r="AB451" s="20">
        <f>IF(B451&gt;$M$2,0,AA450*Assumptions!$B$32/12*Q450+Z451*Assumptions!$B$34/12)</f>
        <v>0</v>
      </c>
      <c r="AC451" s="21">
        <f>1/(1+HLOOKUP(YEAR(A451),Assumptions!$A$41:$AL$43,3,TRUE))^(1/12)</f>
        <v>0.99757644752594421</v>
      </c>
      <c r="AD451" s="23">
        <f t="shared" si="117"/>
        <v>0</v>
      </c>
      <c r="AE451">
        <f t="shared" si="110"/>
        <v>0</v>
      </c>
    </row>
    <row r="452" spans="1:31" x14ac:dyDescent="0.2">
      <c r="A452" s="2">
        <f t="shared" si="111"/>
        <v>56522</v>
      </c>
      <c r="B452">
        <f t="shared" si="105"/>
        <v>521</v>
      </c>
      <c r="C452" s="23">
        <f t="shared" si="112"/>
        <v>43.333333333333336</v>
      </c>
      <c r="D452" s="23">
        <f t="shared" si="113"/>
        <v>0</v>
      </c>
      <c r="E452" s="23">
        <f t="shared" si="99"/>
        <v>98</v>
      </c>
      <c r="F452" s="23">
        <f t="shared" si="100"/>
        <v>90</v>
      </c>
      <c r="G452" s="23">
        <f>IF(C452&gt;=$L$2,0,VLOOKUP($E452,'Mortality Table'!$A$3:$C$128,2+H$2,FALSE))</f>
        <v>0</v>
      </c>
      <c r="H452">
        <f>IF(C452&gt;=$L$2,0,VLOOKUP($E452,'Mortality Table'!$A$3:$C$128,2+I$2,FALSE))</f>
        <v>0</v>
      </c>
      <c r="I452" s="24">
        <f>G452*Assumptions!$B$1</f>
        <v>0</v>
      </c>
      <c r="J452" s="24">
        <f>H452*Assumptions!$B$1</f>
        <v>0</v>
      </c>
      <c r="K452" s="23">
        <f t="shared" si="114"/>
        <v>0</v>
      </c>
      <c r="L452" s="23">
        <f t="shared" si="115"/>
        <v>0</v>
      </c>
      <c r="M452" s="23">
        <f>HLOOKUP(C452,Assumptions!$A$6:$J$7,2,TRUE)</f>
        <v>2.6499999999999999E-2</v>
      </c>
      <c r="N452" s="23">
        <f t="shared" si="96"/>
        <v>0</v>
      </c>
      <c r="O452" s="23">
        <f t="shared" si="102"/>
        <v>0</v>
      </c>
      <c r="P452" s="23">
        <f t="shared" si="116"/>
        <v>0</v>
      </c>
      <c r="Q452" s="23">
        <f t="shared" si="103"/>
        <v>0</v>
      </c>
      <c r="R452" s="23">
        <f>Q451*Assumptions!$B$11/$E$2*N452</f>
        <v>0</v>
      </c>
      <c r="S452" s="23">
        <f>Q451*Assumptions!$B$13/$E$2*N452</f>
        <v>0</v>
      </c>
      <c r="T452" s="23">
        <f>L452*Assumptions!$B$15</f>
        <v>0</v>
      </c>
      <c r="U452" s="23">
        <f>S452*Assumptions!$B$17</f>
        <v>0</v>
      </c>
      <c r="V452" s="23">
        <f>HLOOKUP(B452,Assumptions!$A$26:$D$27,2,TRUE)</f>
        <v>0</v>
      </c>
      <c r="W452">
        <f t="shared" si="108"/>
        <v>0</v>
      </c>
      <c r="X452">
        <f t="shared" si="109"/>
        <v>0.3333333333333357</v>
      </c>
      <c r="Y452">
        <f>IF(B452&gt;$M$2,0,IF(X453=0,0,(1-X453)*Assumptions!$B$11/$E$2*(1-Assumptions!$B$30)))</f>
        <v>0</v>
      </c>
      <c r="Z452" s="23">
        <f>(R452-S452)*(1-Assumptions!$B$30)-U452+Y451*Q451</f>
        <v>0</v>
      </c>
      <c r="AA452" s="23">
        <f>AA451*(1+Assumptions!$B$36)^(1/12)</f>
        <v>1.44148619158818</v>
      </c>
      <c r="AB452" s="20">
        <f>IF(B452&gt;$M$2,0,AA451*Assumptions!$B$32/12*Q451+Z452*Assumptions!$B$34/12)</f>
        <v>0</v>
      </c>
      <c r="AC452" s="21">
        <f>1/(1+HLOOKUP(YEAR(A452),Assumptions!$A$41:$AL$43,3,TRUE))^(1/12)</f>
        <v>0.99757644752594421</v>
      </c>
      <c r="AD452" s="23">
        <f t="shared" si="117"/>
        <v>0</v>
      </c>
      <c r="AE452">
        <f t="shared" si="110"/>
        <v>0</v>
      </c>
    </row>
    <row r="453" spans="1:31" x14ac:dyDescent="0.2">
      <c r="A453" s="2">
        <f t="shared" si="111"/>
        <v>56553</v>
      </c>
      <c r="B453">
        <f t="shared" si="105"/>
        <v>522</v>
      </c>
      <c r="C453" s="23">
        <f t="shared" si="112"/>
        <v>43.416666666666664</v>
      </c>
      <c r="D453" s="23">
        <f t="shared" si="113"/>
        <v>0</v>
      </c>
      <c r="E453" s="23">
        <f t="shared" si="99"/>
        <v>98</v>
      </c>
      <c r="F453" s="23">
        <f t="shared" si="100"/>
        <v>90</v>
      </c>
      <c r="G453" s="23">
        <f>IF(C453&gt;=$L$2,0,VLOOKUP($E453,'Mortality Table'!$A$3:$C$128,2+H$2,FALSE))</f>
        <v>0</v>
      </c>
      <c r="H453">
        <f>IF(C453&gt;=$L$2,0,VLOOKUP($E453,'Mortality Table'!$A$3:$C$128,2+I$2,FALSE))</f>
        <v>0</v>
      </c>
      <c r="I453" s="24">
        <f>G453*Assumptions!$B$1</f>
        <v>0</v>
      </c>
      <c r="J453" s="24">
        <f>H453*Assumptions!$B$1</f>
        <v>0</v>
      </c>
      <c r="K453" s="23">
        <f t="shared" si="114"/>
        <v>0</v>
      </c>
      <c r="L453" s="23">
        <f t="shared" si="115"/>
        <v>0</v>
      </c>
      <c r="M453" s="23">
        <f>HLOOKUP(C453,Assumptions!$A$6:$J$7,2,TRUE)</f>
        <v>2.6499999999999999E-2</v>
      </c>
      <c r="N453" s="23">
        <f t="shared" si="96"/>
        <v>0</v>
      </c>
      <c r="O453" s="23">
        <f t="shared" si="102"/>
        <v>0</v>
      </c>
      <c r="P453" s="23">
        <f t="shared" si="116"/>
        <v>0</v>
      </c>
      <c r="Q453" s="23">
        <f t="shared" si="103"/>
        <v>0</v>
      </c>
      <c r="R453" s="23">
        <f>Q452*Assumptions!$B$11/$E$2*N453</f>
        <v>0</v>
      </c>
      <c r="S453" s="23">
        <f>Q452*Assumptions!$B$13/$E$2*N453</f>
        <v>0</v>
      </c>
      <c r="T453" s="23">
        <f>L453*Assumptions!$B$15</f>
        <v>0</v>
      </c>
      <c r="U453" s="23">
        <f>S453*Assumptions!$B$17</f>
        <v>0</v>
      </c>
      <c r="V453" s="23">
        <f>HLOOKUP(B453,Assumptions!$A$26:$D$27,2,TRUE)</f>
        <v>0</v>
      </c>
      <c r="W453">
        <f t="shared" si="108"/>
        <v>0</v>
      </c>
      <c r="X453">
        <f t="shared" si="109"/>
        <v>0.4166666666666643</v>
      </c>
      <c r="Y453">
        <f>IF(B453&gt;$M$2,0,IF(X454=0,0,(1-X454)*Assumptions!$B$11/$E$2*(1-Assumptions!$B$30)))</f>
        <v>0</v>
      </c>
      <c r="Z453" s="23">
        <f>(R453-S453)*(1-Assumptions!$B$30)-U453+Y452*Q452</f>
        <v>0</v>
      </c>
      <c r="AA453" s="23">
        <f>AA452*(1+Assumptions!$B$36)^(1/12)</f>
        <v>1.4426819593254061</v>
      </c>
      <c r="AB453" s="20">
        <f>IF(B453&gt;$M$2,0,AA452*Assumptions!$B$32/12*Q452+Z453*Assumptions!$B$34/12)</f>
        <v>0</v>
      </c>
      <c r="AC453" s="21">
        <f>1/(1+HLOOKUP(YEAR(A453),Assumptions!$A$41:$AL$43,3,TRUE))^(1/12)</f>
        <v>0.99757644752594421</v>
      </c>
      <c r="AD453" s="23">
        <f t="shared" si="117"/>
        <v>0</v>
      </c>
      <c r="AE453">
        <f t="shared" si="110"/>
        <v>0</v>
      </c>
    </row>
    <row r="454" spans="1:31" x14ac:dyDescent="0.2">
      <c r="A454" s="2">
        <f t="shared" si="111"/>
        <v>56583</v>
      </c>
      <c r="B454">
        <f t="shared" si="105"/>
        <v>523</v>
      </c>
      <c r="C454" s="23">
        <f t="shared" si="112"/>
        <v>43.5</v>
      </c>
      <c r="D454" s="23">
        <f t="shared" si="113"/>
        <v>0</v>
      </c>
      <c r="E454" s="23">
        <f t="shared" si="99"/>
        <v>98</v>
      </c>
      <c r="F454" s="23">
        <f t="shared" si="100"/>
        <v>90</v>
      </c>
      <c r="G454" s="23">
        <f>IF(C454&gt;=$L$2,0,VLOOKUP($E454,'Mortality Table'!$A$3:$C$128,2+H$2,FALSE))</f>
        <v>0</v>
      </c>
      <c r="H454">
        <f>IF(C454&gt;=$L$2,0,VLOOKUP($E454,'Mortality Table'!$A$3:$C$128,2+I$2,FALSE))</f>
        <v>0</v>
      </c>
      <c r="I454" s="24">
        <f>G454*Assumptions!$B$1</f>
        <v>0</v>
      </c>
      <c r="J454" s="24">
        <f>H454*Assumptions!$B$1</f>
        <v>0</v>
      </c>
      <c r="K454" s="23">
        <f t="shared" si="114"/>
        <v>0</v>
      </c>
      <c r="L454" s="23">
        <f t="shared" si="115"/>
        <v>0</v>
      </c>
      <c r="M454" s="23">
        <f>HLOOKUP(C454,Assumptions!$A$6:$J$7,2,TRUE)</f>
        <v>2.6499999999999999E-2</v>
      </c>
      <c r="N454" s="23">
        <f t="shared" si="96"/>
        <v>0</v>
      </c>
      <c r="O454" s="23">
        <f t="shared" si="102"/>
        <v>0</v>
      </c>
      <c r="P454" s="23">
        <f t="shared" si="116"/>
        <v>0</v>
      </c>
      <c r="Q454" s="23">
        <f t="shared" si="103"/>
        <v>0</v>
      </c>
      <c r="R454" s="23">
        <f>Q453*Assumptions!$B$11/$E$2*N454</f>
        <v>0</v>
      </c>
      <c r="S454" s="23">
        <f>Q453*Assumptions!$B$13/$E$2*N454</f>
        <v>0</v>
      </c>
      <c r="T454" s="23">
        <f>L454*Assumptions!$B$15</f>
        <v>0</v>
      </c>
      <c r="U454" s="23">
        <f>S454*Assumptions!$B$17</f>
        <v>0</v>
      </c>
      <c r="V454" s="23">
        <f>HLOOKUP(B454,Assumptions!$A$26:$D$27,2,TRUE)</f>
        <v>0</v>
      </c>
      <c r="W454">
        <f t="shared" si="108"/>
        <v>0</v>
      </c>
      <c r="X454">
        <f t="shared" si="109"/>
        <v>0.5</v>
      </c>
      <c r="Y454">
        <f>IF(B454&gt;$M$2,0,IF(X455=0,0,(1-X455)*Assumptions!$B$11/$E$2*(1-Assumptions!$B$30)))</f>
        <v>0</v>
      </c>
      <c r="Z454" s="23">
        <f>(R454-S454)*(1-Assumptions!$B$30)-U454+Y453*Q453</f>
        <v>0</v>
      </c>
      <c r="AA454" s="23">
        <f>AA453*(1+Assumptions!$B$36)^(1/12)</f>
        <v>1.4438787189975462</v>
      </c>
      <c r="AB454" s="20">
        <f>IF(B454&gt;$M$2,0,AA453*Assumptions!$B$32/12*Q453+Z454*Assumptions!$B$34/12)</f>
        <v>0</v>
      </c>
      <c r="AC454" s="21">
        <f>1/(1+HLOOKUP(YEAR(A454),Assumptions!$A$41:$AL$43,3,TRUE))^(1/12)</f>
        <v>0.99757644752594421</v>
      </c>
      <c r="AD454" s="23">
        <f t="shared" si="117"/>
        <v>0</v>
      </c>
      <c r="AE454">
        <f t="shared" si="110"/>
        <v>0</v>
      </c>
    </row>
    <row r="455" spans="1:31" x14ac:dyDescent="0.2">
      <c r="A455" s="2">
        <f t="shared" si="111"/>
        <v>56614</v>
      </c>
      <c r="B455">
        <f t="shared" si="105"/>
        <v>524</v>
      </c>
      <c r="C455" s="23">
        <f t="shared" si="112"/>
        <v>43.583333333333336</v>
      </c>
      <c r="D455" s="23">
        <f t="shared" si="113"/>
        <v>0</v>
      </c>
      <c r="E455" s="23">
        <f t="shared" si="99"/>
        <v>98</v>
      </c>
      <c r="F455" s="23">
        <f t="shared" si="100"/>
        <v>90</v>
      </c>
      <c r="G455" s="23">
        <f>IF(C455&gt;=$L$2,0,VLOOKUP($E455,'Mortality Table'!$A$3:$C$128,2+H$2,FALSE))</f>
        <v>0</v>
      </c>
      <c r="H455">
        <f>IF(C455&gt;=$L$2,0,VLOOKUP($E455,'Mortality Table'!$A$3:$C$128,2+I$2,FALSE))</f>
        <v>0</v>
      </c>
      <c r="I455" s="24">
        <f>G455*Assumptions!$B$1</f>
        <v>0</v>
      </c>
      <c r="J455" s="24">
        <f>H455*Assumptions!$B$1</f>
        <v>0</v>
      </c>
      <c r="K455" s="23">
        <f t="shared" si="114"/>
        <v>0</v>
      </c>
      <c r="L455" s="23">
        <f t="shared" si="115"/>
        <v>0</v>
      </c>
      <c r="M455" s="23">
        <f>HLOOKUP(C455,Assumptions!$A$6:$J$7,2,TRUE)</f>
        <v>2.6499999999999999E-2</v>
      </c>
      <c r="N455" s="23">
        <f t="shared" si="96"/>
        <v>0</v>
      </c>
      <c r="O455" s="23">
        <f>IF(B456&gt;$M$2,0,IF(N456=0,0,1/$E$2))</f>
        <v>0</v>
      </c>
      <c r="P455" s="23">
        <f t="shared" si="116"/>
        <v>0</v>
      </c>
      <c r="Q455" s="23">
        <f t="shared" si="103"/>
        <v>0</v>
      </c>
      <c r="R455" s="23">
        <f>Q454*Assumptions!$B$11/$E$2*N455</f>
        <v>0</v>
      </c>
      <c r="S455" s="23">
        <f>Q454*Assumptions!$B$13/$E$2*N455</f>
        <v>0</v>
      </c>
      <c r="T455" s="23">
        <f>L455*Assumptions!$B$15</f>
        <v>0</v>
      </c>
      <c r="U455" s="23">
        <f>S455*Assumptions!$B$17</f>
        <v>0</v>
      </c>
      <c r="V455" s="23">
        <f>HLOOKUP(B455,Assumptions!$A$26:$D$27,2,TRUE)</f>
        <v>0</v>
      </c>
      <c r="W455">
        <f t="shared" si="108"/>
        <v>0</v>
      </c>
      <c r="X455">
        <f t="shared" si="109"/>
        <v>0.5833333333333357</v>
      </c>
      <c r="Y455">
        <f>IF(B455&gt;$M$2,0,IF(X456=0,0,(1-X456)*Assumptions!$B$11/$E$2*(1-Assumptions!$B$30)))</f>
        <v>0</v>
      </c>
      <c r="Z455" s="23">
        <f>(R455-S455)*(1-Assumptions!$B$30)-U455+Y454*Q454</f>
        <v>0</v>
      </c>
      <c r="AA455" s="23">
        <f>AA454*(1+Assumptions!$B$36)^(1/12)</f>
        <v>1.445076471427448</v>
      </c>
      <c r="AB455" s="20">
        <f>IF(B455&gt;$M$2,0,AA454*Assumptions!$B$32/12*Q454+Z455*Assumptions!$B$34/12)</f>
        <v>0</v>
      </c>
      <c r="AC455" s="21">
        <f>1/(1+HLOOKUP(YEAR(A455),Assumptions!$A$41:$AL$43,3,TRUE))^(1/12)</f>
        <v>0.99757644752594421</v>
      </c>
      <c r="AD455" s="23">
        <f t="shared" si="117"/>
        <v>0</v>
      </c>
      <c r="AE455">
        <f t="shared" si="110"/>
        <v>0</v>
      </c>
    </row>
    <row r="456" spans="1:31" x14ac:dyDescent="0.2">
      <c r="A456" s="2">
        <f t="shared" si="111"/>
        <v>56645</v>
      </c>
      <c r="B456">
        <f t="shared" si="105"/>
        <v>525</v>
      </c>
      <c r="C456" s="23">
        <f t="shared" si="112"/>
        <v>43.666666666666664</v>
      </c>
      <c r="D456" s="23">
        <f t="shared" si="113"/>
        <v>0</v>
      </c>
      <c r="E456" s="23">
        <f t="shared" si="99"/>
        <v>98</v>
      </c>
      <c r="F456" s="23">
        <f t="shared" si="100"/>
        <v>90</v>
      </c>
      <c r="G456" s="23">
        <f>IF(C456&gt;=$L$2,0,VLOOKUP($E456,'Mortality Table'!$A$3:$C$128,2+H$2,FALSE))</f>
        <v>0</v>
      </c>
      <c r="H456">
        <f>IF(C456&gt;=$L$2,0,VLOOKUP($E456,'Mortality Table'!$A$3:$C$128,2+I$2,FALSE))</f>
        <v>0</v>
      </c>
      <c r="I456" s="24">
        <f>G456*Assumptions!$B$1</f>
        <v>0</v>
      </c>
      <c r="J456" s="24">
        <f>H456*Assumptions!$B$1</f>
        <v>0</v>
      </c>
      <c r="K456" s="23">
        <f t="shared" si="114"/>
        <v>0</v>
      </c>
      <c r="L456" s="23">
        <f t="shared" si="115"/>
        <v>0</v>
      </c>
      <c r="M456" s="23">
        <f>HLOOKUP(C456,Assumptions!$A$6:$J$7,2,TRUE)</f>
        <v>2.6499999999999999E-2</v>
      </c>
      <c r="N456" s="23">
        <f>IF(B456&gt;$M$2,0,IF(($E$2*(B456+11))/12-INT(($E$2*(B456+11))/12)=0,1,0))</f>
        <v>0</v>
      </c>
      <c r="O456" s="23">
        <f t="shared" ref="O456:O515" si="118">IF(B457&gt;$M$2,0,IF(N457=0,0,1/$E$2))</f>
        <v>0</v>
      </c>
      <c r="P456" s="23">
        <f t="shared" si="116"/>
        <v>0</v>
      </c>
      <c r="Q456" s="23">
        <f>IF(B456&gt;$M$2,0,Q455-L456-P456)</f>
        <v>0</v>
      </c>
      <c r="R456" s="23">
        <f>Q455*Assumptions!$B$11/$E$2*N456</f>
        <v>0</v>
      </c>
      <c r="S456" s="23">
        <f>Q455*Assumptions!$B$13/$E$2*N456</f>
        <v>0</v>
      </c>
      <c r="T456" s="23">
        <f>L456*Assumptions!$B$15</f>
        <v>0</v>
      </c>
      <c r="U456" s="23">
        <f>S456*Assumptions!$B$17</f>
        <v>0</v>
      </c>
      <c r="V456" s="23">
        <f>HLOOKUP(B456,Assumptions!$A$26:$D$27,2,TRUE)</f>
        <v>0</v>
      </c>
      <c r="W456">
        <f t="shared" si="108"/>
        <v>0</v>
      </c>
      <c r="X456">
        <f t="shared" si="109"/>
        <v>0.6666666666666643</v>
      </c>
      <c r="Y456">
        <f>IF(B456&gt;$M$2,0,IF(X457=0,0,(1-X457)*Assumptions!$B$11/$E$2*(1-Assumptions!$B$30)))</f>
        <v>0</v>
      </c>
      <c r="Z456" s="23">
        <f>(R456-S456)*(1-Assumptions!$B$30)-U456+Y455*Q455</f>
        <v>0</v>
      </c>
      <c r="AA456" s="23">
        <f>AA455*(1+Assumptions!$B$36)^(1/12)</f>
        <v>1.446275217438642</v>
      </c>
      <c r="AB456" s="20">
        <f>IF(B456&gt;$M$2,0,AA455*Assumptions!$B$32/12*Q455+Z456*Assumptions!$B$34/12)</f>
        <v>0</v>
      </c>
      <c r="AC456" s="21">
        <f>1/(1+HLOOKUP(YEAR(A456),Assumptions!$A$41:$AL$43,3,TRUE))^(1/12)</f>
        <v>0.99757644752594421</v>
      </c>
      <c r="AD456" s="23">
        <f t="shared" si="117"/>
        <v>0</v>
      </c>
      <c r="AE456">
        <f t="shared" si="110"/>
        <v>0</v>
      </c>
    </row>
    <row r="457" spans="1:31" x14ac:dyDescent="0.2">
      <c r="A457" s="2">
        <f t="shared" si="111"/>
        <v>56673</v>
      </c>
      <c r="B457">
        <f t="shared" si="105"/>
        <v>526</v>
      </c>
      <c r="C457" s="23">
        <f t="shared" si="112"/>
        <v>43.75</v>
      </c>
      <c r="D457" s="23">
        <f t="shared" si="113"/>
        <v>0</v>
      </c>
      <c r="E457" s="23">
        <f t="shared" si="99"/>
        <v>98</v>
      </c>
      <c r="F457" s="23">
        <f t="shared" si="100"/>
        <v>90</v>
      </c>
      <c r="G457" s="23">
        <f>IF(C457&gt;=$L$2,0,VLOOKUP($E457,'Mortality Table'!$A$3:$C$128,2+H$2,FALSE))</f>
        <v>0</v>
      </c>
      <c r="H457">
        <f>IF(C457&gt;=$L$2,0,VLOOKUP($E457,'Mortality Table'!$A$3:$C$128,2+I$2,FALSE))</f>
        <v>0</v>
      </c>
      <c r="I457" s="24">
        <f>G457*Assumptions!$B$1</f>
        <v>0</v>
      </c>
      <c r="J457" s="24">
        <f>H457*Assumptions!$B$1</f>
        <v>0</v>
      </c>
      <c r="K457" s="23">
        <f t="shared" si="114"/>
        <v>0</v>
      </c>
      <c r="L457" s="23">
        <f t="shared" si="115"/>
        <v>0</v>
      </c>
      <c r="M457" s="23">
        <f>HLOOKUP(C457,Assumptions!$A$6:$J$7,2,TRUE)</f>
        <v>2.6499999999999999E-2</v>
      </c>
      <c r="N457" s="23">
        <f t="shared" ref="N457:N515" si="119">IF(B457&gt;$M$2,0,IF(($E$2*(B457+11))/12-INT(($E$2*(B457+11))/12)=0,1,0))</f>
        <v>0</v>
      </c>
      <c r="O457" s="23">
        <f t="shared" si="118"/>
        <v>0</v>
      </c>
      <c r="P457" s="23">
        <f t="shared" si="116"/>
        <v>0</v>
      </c>
      <c r="Q457" s="23">
        <f t="shared" ref="Q457:Q515" si="120">IF(B457&gt;$M$2,0,Q456-L457-P457)</f>
        <v>0</v>
      </c>
      <c r="R457" s="23">
        <f>Q456*Assumptions!$B$11/$E$2*N457</f>
        <v>0</v>
      </c>
      <c r="S457" s="23">
        <f>Q456*Assumptions!$B$13/$E$2*N457</f>
        <v>0</v>
      </c>
      <c r="T457" s="23">
        <f>L457*Assumptions!$B$15</f>
        <v>0</v>
      </c>
      <c r="U457" s="23">
        <f>S457*Assumptions!$B$17</f>
        <v>0</v>
      </c>
      <c r="V457" s="23">
        <f>HLOOKUP(B457,Assumptions!$A$26:$D$27,2,TRUE)</f>
        <v>0</v>
      </c>
      <c r="W457">
        <f t="shared" si="108"/>
        <v>0</v>
      </c>
      <c r="X457">
        <f t="shared" si="109"/>
        <v>0.75</v>
      </c>
      <c r="Y457">
        <f>IF(B457&gt;$M$2,0,IF(X458=0,0,(1-X458)*Assumptions!$B$11/$E$2*(1-Assumptions!$B$30)))</f>
        <v>0</v>
      </c>
      <c r="Z457" s="23">
        <f>(R457-S457)*(1-Assumptions!$B$30)-U457+Y456*Q456</f>
        <v>0</v>
      </c>
      <c r="AA457" s="23">
        <f>AA456*(1+Assumptions!$B$36)^(1/12)</f>
        <v>1.4474749578553416</v>
      </c>
      <c r="AB457" s="20">
        <f>IF(B457&gt;$M$2,0,AA456*Assumptions!$B$32/12*Q456+Z457*Assumptions!$B$34/12)</f>
        <v>0</v>
      </c>
      <c r="AC457" s="21">
        <f>1/(1+HLOOKUP(YEAR(A457),Assumptions!$A$41:$AL$43,3,TRUE))^(1/12)</f>
        <v>0.99757644752594421</v>
      </c>
      <c r="AD457" s="23">
        <f t="shared" si="117"/>
        <v>0</v>
      </c>
      <c r="AE457">
        <f t="shared" si="110"/>
        <v>0</v>
      </c>
    </row>
    <row r="458" spans="1:31" x14ac:dyDescent="0.2">
      <c r="A458" s="2">
        <f t="shared" si="111"/>
        <v>56704</v>
      </c>
      <c r="B458">
        <f t="shared" si="105"/>
        <v>527</v>
      </c>
      <c r="C458" s="23">
        <f t="shared" si="112"/>
        <v>43.833333333333336</v>
      </c>
      <c r="D458" s="23">
        <f t="shared" si="113"/>
        <v>0</v>
      </c>
      <c r="E458" s="23">
        <f t="shared" si="99"/>
        <v>98</v>
      </c>
      <c r="F458" s="23">
        <f t="shared" si="100"/>
        <v>90</v>
      </c>
      <c r="G458" s="23">
        <f>IF(C458&gt;=$L$2,0,VLOOKUP($E458,'Mortality Table'!$A$3:$C$128,2+H$2,FALSE))</f>
        <v>0</v>
      </c>
      <c r="H458">
        <f>IF(C458&gt;=$L$2,0,VLOOKUP($E458,'Mortality Table'!$A$3:$C$128,2+I$2,FALSE))</f>
        <v>0</v>
      </c>
      <c r="I458" s="24">
        <f>G458*Assumptions!$B$1</f>
        <v>0</v>
      </c>
      <c r="J458" s="24">
        <f>H458*Assumptions!$B$1</f>
        <v>0</v>
      </c>
      <c r="K458" s="23">
        <f t="shared" si="114"/>
        <v>0</v>
      </c>
      <c r="L458" s="23">
        <f t="shared" si="115"/>
        <v>0</v>
      </c>
      <c r="M458" s="23">
        <f>HLOOKUP(C458,Assumptions!$A$6:$J$7,2,TRUE)</f>
        <v>2.6499999999999999E-2</v>
      </c>
      <c r="N458" s="23">
        <f t="shared" si="119"/>
        <v>0</v>
      </c>
      <c r="O458" s="23">
        <f t="shared" si="118"/>
        <v>0</v>
      </c>
      <c r="P458" s="23">
        <f t="shared" si="116"/>
        <v>0</v>
      </c>
      <c r="Q458" s="23">
        <f t="shared" si="120"/>
        <v>0</v>
      </c>
      <c r="R458" s="23">
        <f>Q457*Assumptions!$B$11/$E$2*N458</f>
        <v>0</v>
      </c>
      <c r="S458" s="23">
        <f>Q457*Assumptions!$B$13/$E$2*N458</f>
        <v>0</v>
      </c>
      <c r="T458" s="23">
        <f>L458*Assumptions!$B$15</f>
        <v>0</v>
      </c>
      <c r="U458" s="23">
        <f>S458*Assumptions!$B$17</f>
        <v>0</v>
      </c>
      <c r="V458" s="23">
        <f>HLOOKUP(B458,Assumptions!$A$26:$D$27,2,TRUE)</f>
        <v>0</v>
      </c>
      <c r="W458">
        <f t="shared" si="108"/>
        <v>0</v>
      </c>
      <c r="X458">
        <f t="shared" si="109"/>
        <v>0.8333333333333357</v>
      </c>
      <c r="Y458">
        <f>IF(B458&gt;$M$2,0,IF(X459=0,0,(1-X459)*Assumptions!$B$11/$E$2*(1-Assumptions!$B$30)))</f>
        <v>0</v>
      </c>
      <c r="Z458" s="23">
        <f>(R458-S458)*(1-Assumptions!$B$30)-U458+Y457*Q457</f>
        <v>0</v>
      </c>
      <c r="AA458" s="23">
        <f>AA457*(1+Assumptions!$B$36)^(1/12)</f>
        <v>1.4486756935024443</v>
      </c>
      <c r="AB458" s="20">
        <f>IF(B458&gt;$M$2,0,AA457*Assumptions!$B$32/12*Q457+Z458*Assumptions!$B$34/12)</f>
        <v>0</v>
      </c>
      <c r="AC458" s="21">
        <f>1/(1+HLOOKUP(YEAR(A458),Assumptions!$A$41:$AL$43,3,TRUE))^(1/12)</f>
        <v>0.99757644752594421</v>
      </c>
      <c r="AD458" s="23">
        <f t="shared" si="117"/>
        <v>0</v>
      </c>
      <c r="AE458">
        <f t="shared" si="110"/>
        <v>0</v>
      </c>
    </row>
    <row r="459" spans="1:31" x14ac:dyDescent="0.2">
      <c r="A459" s="2">
        <f t="shared" si="111"/>
        <v>56734</v>
      </c>
      <c r="B459">
        <f t="shared" si="105"/>
        <v>528</v>
      </c>
      <c r="C459" s="23">
        <f t="shared" si="112"/>
        <v>43.916666666666664</v>
      </c>
      <c r="D459" s="23">
        <f t="shared" si="113"/>
        <v>0</v>
      </c>
      <c r="E459" s="23">
        <f t="shared" si="99"/>
        <v>98</v>
      </c>
      <c r="F459" s="23">
        <f t="shared" si="100"/>
        <v>90</v>
      </c>
      <c r="G459" s="23">
        <f>IF(C459&gt;=$L$2,0,VLOOKUP($E459,'Mortality Table'!$A$3:$C$128,2+H$2,FALSE))</f>
        <v>0</v>
      </c>
      <c r="H459">
        <f>IF(C459&gt;=$L$2,0,VLOOKUP($E459,'Mortality Table'!$A$3:$C$128,2+I$2,FALSE))</f>
        <v>0</v>
      </c>
      <c r="I459" s="24">
        <f>G459*Assumptions!$B$1</f>
        <v>0</v>
      </c>
      <c r="J459" s="24">
        <f>H459*Assumptions!$B$1</f>
        <v>0</v>
      </c>
      <c r="K459" s="23">
        <f t="shared" si="114"/>
        <v>0</v>
      </c>
      <c r="L459" s="23">
        <f t="shared" si="115"/>
        <v>0</v>
      </c>
      <c r="M459" s="23">
        <f>HLOOKUP(C459,Assumptions!$A$6:$J$7,2,TRUE)</f>
        <v>2.6499999999999999E-2</v>
      </c>
      <c r="N459" s="23">
        <f t="shared" si="119"/>
        <v>0</v>
      </c>
      <c r="O459" s="23">
        <f t="shared" si="118"/>
        <v>0</v>
      </c>
      <c r="P459" s="23">
        <f t="shared" si="116"/>
        <v>0</v>
      </c>
      <c r="Q459" s="23">
        <f t="shared" si="120"/>
        <v>0</v>
      </c>
      <c r="R459" s="23">
        <f>Q458*Assumptions!$B$11/$E$2*N459</f>
        <v>0</v>
      </c>
      <c r="S459" s="23">
        <f>Q458*Assumptions!$B$13/$E$2*N459</f>
        <v>0</v>
      </c>
      <c r="T459" s="23">
        <f>L459*Assumptions!$B$15</f>
        <v>0</v>
      </c>
      <c r="U459" s="23">
        <f>S459*Assumptions!$B$17</f>
        <v>0</v>
      </c>
      <c r="V459" s="23">
        <f>HLOOKUP(B459,Assumptions!$A$26:$D$27,2,TRUE)</f>
        <v>0</v>
      </c>
      <c r="W459">
        <f t="shared" si="108"/>
        <v>0</v>
      </c>
      <c r="X459">
        <f t="shared" si="109"/>
        <v>0.9166666666666643</v>
      </c>
      <c r="Y459">
        <f>IF(B459&gt;$M$2,0,IF(X460=0,0,(1-X460)*Assumptions!$B$11/$E$2*(1-Assumptions!$B$30)))</f>
        <v>0</v>
      </c>
      <c r="Z459" s="23">
        <f>(R459-S459)*(1-Assumptions!$B$30)-U459+Y458*Q458</f>
        <v>0</v>
      </c>
      <c r="AA459" s="23">
        <f>AA458*(1+Assumptions!$B$36)^(1/12)</f>
        <v>1.4498774252055315</v>
      </c>
      <c r="AB459" s="20">
        <f>IF(B459&gt;$M$2,0,AA458*Assumptions!$B$32/12*Q458+Z459*Assumptions!$B$34/12)</f>
        <v>0</v>
      </c>
      <c r="AC459" s="21">
        <f>1/(1+HLOOKUP(YEAR(A459),Assumptions!$A$41:$AL$43,3,TRUE))^(1/12)</f>
        <v>0.99757644752594421</v>
      </c>
      <c r="AD459" s="23">
        <f t="shared" si="117"/>
        <v>0</v>
      </c>
      <c r="AE459">
        <f t="shared" si="110"/>
        <v>0</v>
      </c>
    </row>
    <row r="460" spans="1:31" x14ac:dyDescent="0.2">
      <c r="A460" s="2">
        <f t="shared" si="111"/>
        <v>56765</v>
      </c>
      <c r="B460">
        <f t="shared" si="105"/>
        <v>529</v>
      </c>
      <c r="C460" s="23">
        <f t="shared" si="112"/>
        <v>44</v>
      </c>
      <c r="D460" s="23">
        <f t="shared" si="113"/>
        <v>1</v>
      </c>
      <c r="E460" s="23">
        <f t="shared" ref="E460:E515" si="121">$C$2+INT($C460)</f>
        <v>99</v>
      </c>
      <c r="F460" s="23">
        <f t="shared" ref="F460:F515" si="122">$F$2+INT($C460)</f>
        <v>91</v>
      </c>
      <c r="G460" s="23">
        <f>IF(C460&gt;=$L$2,0,VLOOKUP($E460,'Mortality Table'!$A$3:$C$128,2+H$2,FALSE))</f>
        <v>0</v>
      </c>
      <c r="H460">
        <f>IF(C460&gt;=$L$2,0,VLOOKUP($E460,'Mortality Table'!$A$3:$C$128,2+I$2,FALSE))</f>
        <v>0</v>
      </c>
      <c r="I460" s="24">
        <f>G460*Assumptions!$B$1</f>
        <v>0</v>
      </c>
      <c r="J460" s="24">
        <f>H460*Assumptions!$B$1</f>
        <v>0</v>
      </c>
      <c r="K460" s="23">
        <f t="shared" si="114"/>
        <v>0</v>
      </c>
      <c r="L460" s="23">
        <f t="shared" si="115"/>
        <v>0</v>
      </c>
      <c r="M460" s="23">
        <f>HLOOKUP(C460,Assumptions!$A$6:$J$7,2,TRUE)</f>
        <v>2.6499999999999999E-2</v>
      </c>
      <c r="N460" s="23">
        <f t="shared" si="119"/>
        <v>0</v>
      </c>
      <c r="O460" s="23">
        <f t="shared" si="118"/>
        <v>0</v>
      </c>
      <c r="P460" s="23">
        <f t="shared" si="116"/>
        <v>0</v>
      </c>
      <c r="Q460" s="23">
        <f t="shared" si="120"/>
        <v>0</v>
      </c>
      <c r="R460" s="23">
        <f>Q459*Assumptions!$B$11/$E$2*N460</f>
        <v>0</v>
      </c>
      <c r="S460" s="23">
        <f>Q459*Assumptions!$B$13/$E$2*N460</f>
        <v>0</v>
      </c>
      <c r="T460" s="23">
        <f>L460*Assumptions!$B$15</f>
        <v>0</v>
      </c>
      <c r="U460" s="23">
        <f>S460*Assumptions!$B$17</f>
        <v>0</v>
      </c>
      <c r="V460" s="23">
        <f>HLOOKUP(B460,Assumptions!$A$26:$D$27,2,TRUE)</f>
        <v>0</v>
      </c>
      <c r="W460">
        <f t="shared" si="108"/>
        <v>0</v>
      </c>
      <c r="X460">
        <f t="shared" si="109"/>
        <v>0</v>
      </c>
      <c r="Y460">
        <f>IF(B460&gt;$M$2,0,IF(X461=0,0,(1-X461)*Assumptions!$B$11/$E$2*(1-Assumptions!$B$30)))</f>
        <v>0</v>
      </c>
      <c r="Z460" s="23">
        <f>(R460-S460)*(1-Assumptions!$B$30)-U460+Y459*Q459</f>
        <v>0</v>
      </c>
      <c r="AA460" s="23">
        <f>AA459*(1+Assumptions!$B$36)^(1/12)</f>
        <v>1.4510801537908695</v>
      </c>
      <c r="AB460" s="20">
        <f>IF(B460&gt;$M$2,0,AA459*Assumptions!$B$32/12*Q459+Z460*Assumptions!$B$34/12)</f>
        <v>0</v>
      </c>
      <c r="AC460" s="21">
        <f>1/(1+HLOOKUP(YEAR(A460),Assumptions!$A$41:$AL$43,3,TRUE))^(1/12)</f>
        <v>0.99757644752594421</v>
      </c>
      <c r="AD460" s="23">
        <f t="shared" si="117"/>
        <v>0</v>
      </c>
      <c r="AE460">
        <f t="shared" si="110"/>
        <v>0</v>
      </c>
    </row>
    <row r="461" spans="1:31" x14ac:dyDescent="0.2">
      <c r="A461" s="2">
        <f t="shared" si="111"/>
        <v>56795</v>
      </c>
      <c r="B461">
        <f t="shared" ref="B461:B515" si="123">B460+1</f>
        <v>530</v>
      </c>
      <c r="C461" s="23">
        <f t="shared" si="112"/>
        <v>44.083333333333336</v>
      </c>
      <c r="D461" s="23">
        <f t="shared" si="113"/>
        <v>0</v>
      </c>
      <c r="E461" s="23">
        <f t="shared" si="121"/>
        <v>99</v>
      </c>
      <c r="F461" s="23">
        <f t="shared" si="122"/>
        <v>91</v>
      </c>
      <c r="G461" s="23">
        <f>IF(C461&gt;=$L$2,0,VLOOKUP($E461,'Mortality Table'!$A$3:$C$128,2+H$2,FALSE))</f>
        <v>0</v>
      </c>
      <c r="H461">
        <f>IF(C461&gt;=$L$2,0,VLOOKUP($E461,'Mortality Table'!$A$3:$C$128,2+I$2,FALSE))</f>
        <v>0</v>
      </c>
      <c r="I461" s="24">
        <f>G461*Assumptions!$B$1</f>
        <v>0</v>
      </c>
      <c r="J461" s="24">
        <f>H461*Assumptions!$B$1</f>
        <v>0</v>
      </c>
      <c r="K461" s="23">
        <f t="shared" si="114"/>
        <v>0</v>
      </c>
      <c r="L461" s="23">
        <f t="shared" si="115"/>
        <v>0</v>
      </c>
      <c r="M461" s="23">
        <f>HLOOKUP(C461,Assumptions!$A$6:$J$7,2,TRUE)</f>
        <v>2.6499999999999999E-2</v>
      </c>
      <c r="N461" s="23">
        <f t="shared" si="119"/>
        <v>0</v>
      </c>
      <c r="O461" s="23">
        <f t="shared" si="118"/>
        <v>0</v>
      </c>
      <c r="P461" s="23">
        <f t="shared" si="116"/>
        <v>0</v>
      </c>
      <c r="Q461" s="23">
        <f t="shared" si="120"/>
        <v>0</v>
      </c>
      <c r="R461" s="23">
        <f>Q460*Assumptions!$B$11/$E$2*N461</f>
        <v>0</v>
      </c>
      <c r="S461" s="23">
        <f>Q460*Assumptions!$B$13/$E$2*N461</f>
        <v>0</v>
      </c>
      <c r="T461" s="23">
        <f>L461*Assumptions!$B$15</f>
        <v>0</v>
      </c>
      <c r="U461" s="23">
        <f>S461*Assumptions!$B$17</f>
        <v>0</v>
      </c>
      <c r="V461" s="23">
        <f>HLOOKUP(B461,Assumptions!$A$26:$D$27,2,TRUE)</f>
        <v>0</v>
      </c>
      <c r="W461">
        <f t="shared" ref="W461:W515" si="124">R461*V461</f>
        <v>0</v>
      </c>
      <c r="X461">
        <f t="shared" ref="X461:X515" si="125">($E$2*(B461+11))/12-INT(($E$2*(B461+11))/12)</f>
        <v>8.3333333333335702E-2</v>
      </c>
      <c r="Y461">
        <f>IF(B461&gt;$M$2,0,IF(X462=0,0,(1-X462)*Assumptions!$B$11/$E$2*(1-Assumptions!$B$30)))</f>
        <v>0</v>
      </c>
      <c r="Z461" s="23">
        <f>(R461-S461)*(1-Assumptions!$B$30)-U461+Y460*Q460</f>
        <v>0</v>
      </c>
      <c r="AA461" s="23">
        <f>AA460*(1+Assumptions!$B$36)^(1/12)</f>
        <v>1.4522838800854103</v>
      </c>
      <c r="AB461" s="20">
        <f>IF(B461&gt;$M$2,0,AA460*Assumptions!$B$32/12*Q460+Z461*Assumptions!$B$34/12)</f>
        <v>0</v>
      </c>
      <c r="AC461" s="21">
        <f>1/(1+HLOOKUP(YEAR(A461),Assumptions!$A$41:$AL$43,3,TRUE))^(1/12)</f>
        <v>0.99757644752594421</v>
      </c>
      <c r="AD461" s="23">
        <f t="shared" si="117"/>
        <v>0</v>
      </c>
      <c r="AE461">
        <f t="shared" ref="AE461:AE515" si="126">T461+U461</f>
        <v>0</v>
      </c>
    </row>
    <row r="462" spans="1:31" x14ac:dyDescent="0.2">
      <c r="A462" s="2">
        <f t="shared" si="111"/>
        <v>56826</v>
      </c>
      <c r="B462">
        <f t="shared" si="123"/>
        <v>531</v>
      </c>
      <c r="C462" s="23">
        <f t="shared" si="112"/>
        <v>44.166666666666664</v>
      </c>
      <c r="D462" s="23">
        <f t="shared" si="113"/>
        <v>0</v>
      </c>
      <c r="E462" s="23">
        <f t="shared" si="121"/>
        <v>99</v>
      </c>
      <c r="F462" s="23">
        <f t="shared" si="122"/>
        <v>91</v>
      </c>
      <c r="G462" s="23">
        <f>IF(C462&gt;=$L$2,0,VLOOKUP($E462,'Mortality Table'!$A$3:$C$128,2+H$2,FALSE))</f>
        <v>0</v>
      </c>
      <c r="H462">
        <f>IF(C462&gt;=$L$2,0,VLOOKUP($E462,'Mortality Table'!$A$3:$C$128,2+I$2,FALSE))</f>
        <v>0</v>
      </c>
      <c r="I462" s="24">
        <f>G462*Assumptions!$B$1</f>
        <v>0</v>
      </c>
      <c r="J462" s="24">
        <f>H462*Assumptions!$B$1</f>
        <v>0</v>
      </c>
      <c r="K462" s="23">
        <f t="shared" si="114"/>
        <v>0</v>
      </c>
      <c r="L462" s="23">
        <f t="shared" si="115"/>
        <v>0</v>
      </c>
      <c r="M462" s="23">
        <f>HLOOKUP(C462,Assumptions!$A$6:$J$7,2,TRUE)</f>
        <v>2.6499999999999999E-2</v>
      </c>
      <c r="N462" s="23">
        <f t="shared" si="119"/>
        <v>0</v>
      </c>
      <c r="O462" s="23">
        <f t="shared" si="118"/>
        <v>0</v>
      </c>
      <c r="P462" s="23">
        <f t="shared" si="116"/>
        <v>0</v>
      </c>
      <c r="Q462" s="23">
        <f t="shared" si="120"/>
        <v>0</v>
      </c>
      <c r="R462" s="23">
        <f>Q461*Assumptions!$B$11/$E$2*N462</f>
        <v>0</v>
      </c>
      <c r="S462" s="23">
        <f>Q461*Assumptions!$B$13/$E$2*N462</f>
        <v>0</v>
      </c>
      <c r="T462" s="23">
        <f>L462*Assumptions!$B$15</f>
        <v>0</v>
      </c>
      <c r="U462" s="23">
        <f>S462*Assumptions!$B$17</f>
        <v>0</v>
      </c>
      <c r="V462" s="23">
        <f>HLOOKUP(B462,Assumptions!$A$26:$D$27,2,TRUE)</f>
        <v>0</v>
      </c>
      <c r="W462">
        <f t="shared" si="124"/>
        <v>0</v>
      </c>
      <c r="X462">
        <f t="shared" si="125"/>
        <v>0.1666666666666643</v>
      </c>
      <c r="Y462">
        <f>IF(B462&gt;$M$2,0,IF(X463=0,0,(1-X463)*Assumptions!$B$11/$E$2*(1-Assumptions!$B$30)))</f>
        <v>0</v>
      </c>
      <c r="Z462" s="23">
        <f>(R462-S462)*(1-Assumptions!$B$30)-U462+Y461*Q461</f>
        <v>0</v>
      </c>
      <c r="AA462" s="23">
        <f>AA461*(1+Assumptions!$B$36)^(1/12)</f>
        <v>1.4534886049167917</v>
      </c>
      <c r="AB462" s="20">
        <f>IF(B462&gt;$M$2,0,AA461*Assumptions!$B$32/12*Q461+Z462*Assumptions!$B$34/12)</f>
        <v>0</v>
      </c>
      <c r="AC462" s="21">
        <f>1/(1+HLOOKUP(YEAR(A462),Assumptions!$A$41:$AL$43,3,TRUE))^(1/12)</f>
        <v>0.99757644752594421</v>
      </c>
      <c r="AD462" s="23">
        <f t="shared" si="117"/>
        <v>0</v>
      </c>
      <c r="AE462">
        <f t="shared" si="126"/>
        <v>0</v>
      </c>
    </row>
    <row r="463" spans="1:31" x14ac:dyDescent="0.2">
      <c r="A463" s="2">
        <f t="shared" ref="A463:A515" si="127">DATE(YEAR(A462),MONTH(A462)+2,1)-1</f>
        <v>56857</v>
      </c>
      <c r="B463">
        <f t="shared" si="123"/>
        <v>532</v>
      </c>
      <c r="C463" s="23">
        <f t="shared" si="112"/>
        <v>44.25</v>
      </c>
      <c r="D463" s="23">
        <f t="shared" si="113"/>
        <v>0</v>
      </c>
      <c r="E463" s="23">
        <f t="shared" si="121"/>
        <v>99</v>
      </c>
      <c r="F463" s="23">
        <f t="shared" si="122"/>
        <v>91</v>
      </c>
      <c r="G463" s="23">
        <f>IF(C463&gt;=$L$2,0,VLOOKUP($E463,'Mortality Table'!$A$3:$C$128,2+H$2,FALSE))</f>
        <v>0</v>
      </c>
      <c r="H463">
        <f>IF(C463&gt;=$L$2,0,VLOOKUP($E463,'Mortality Table'!$A$3:$C$128,2+I$2,FALSE))</f>
        <v>0</v>
      </c>
      <c r="I463" s="24">
        <f>G463*Assumptions!$B$1</f>
        <v>0</v>
      </c>
      <c r="J463" s="24">
        <f>H463*Assumptions!$B$1</f>
        <v>0</v>
      </c>
      <c r="K463" s="23">
        <f t="shared" si="114"/>
        <v>0</v>
      </c>
      <c r="L463" s="23">
        <f t="shared" si="115"/>
        <v>0</v>
      </c>
      <c r="M463" s="23">
        <f>HLOOKUP(C463,Assumptions!$A$6:$J$7,2,TRUE)</f>
        <v>2.6499999999999999E-2</v>
      </c>
      <c r="N463" s="23">
        <f t="shared" si="119"/>
        <v>0</v>
      </c>
      <c r="O463" s="23">
        <f t="shared" si="118"/>
        <v>0</v>
      </c>
      <c r="P463" s="23">
        <f t="shared" si="116"/>
        <v>0</v>
      </c>
      <c r="Q463" s="23">
        <f t="shared" si="120"/>
        <v>0</v>
      </c>
      <c r="R463" s="23">
        <f>Q462*Assumptions!$B$11/$E$2*N463</f>
        <v>0</v>
      </c>
      <c r="S463" s="23">
        <f>Q462*Assumptions!$B$13/$E$2*N463</f>
        <v>0</v>
      </c>
      <c r="T463" s="23">
        <f>L463*Assumptions!$B$15</f>
        <v>0</v>
      </c>
      <c r="U463" s="23">
        <f>S463*Assumptions!$B$17</f>
        <v>0</v>
      </c>
      <c r="V463" s="23">
        <f>HLOOKUP(B463,Assumptions!$A$26:$D$27,2,TRUE)</f>
        <v>0</v>
      </c>
      <c r="W463">
        <f t="shared" si="124"/>
        <v>0</v>
      </c>
      <c r="X463">
        <f t="shared" si="125"/>
        <v>0.25</v>
      </c>
      <c r="Y463">
        <f>IF(B463&gt;$M$2,0,IF(X464=0,0,(1-X464)*Assumptions!$B$11/$E$2*(1-Assumptions!$B$30)))</f>
        <v>0</v>
      </c>
      <c r="Z463" s="23">
        <f>(R463-S463)*(1-Assumptions!$B$30)-U463+Y462*Q462</f>
        <v>0</v>
      </c>
      <c r="AA463" s="23">
        <f>AA462*(1+Assumptions!$B$36)^(1/12)</f>
        <v>1.4546943291133381</v>
      </c>
      <c r="AB463" s="20">
        <f>IF(B463&gt;$M$2,0,AA462*Assumptions!$B$32/12*Q462+Z463*Assumptions!$B$34/12)</f>
        <v>0</v>
      </c>
      <c r="AC463" s="21">
        <f>1/(1+HLOOKUP(YEAR(A463),Assumptions!$A$41:$AL$43,3,TRUE))^(1/12)</f>
        <v>0.99757644752594421</v>
      </c>
      <c r="AD463" s="23">
        <f t="shared" si="117"/>
        <v>0</v>
      </c>
      <c r="AE463">
        <f t="shared" si="126"/>
        <v>0</v>
      </c>
    </row>
    <row r="464" spans="1:31" x14ac:dyDescent="0.2">
      <c r="A464" s="2">
        <f t="shared" si="127"/>
        <v>56887</v>
      </c>
      <c r="B464">
        <f t="shared" si="123"/>
        <v>533</v>
      </c>
      <c r="C464" s="23">
        <f t="shared" si="112"/>
        <v>44.333333333333336</v>
      </c>
      <c r="D464" s="23">
        <f t="shared" si="113"/>
        <v>0</v>
      </c>
      <c r="E464" s="23">
        <f t="shared" si="121"/>
        <v>99</v>
      </c>
      <c r="F464" s="23">
        <f t="shared" si="122"/>
        <v>91</v>
      </c>
      <c r="G464" s="23">
        <f>IF(C464&gt;=$L$2,0,VLOOKUP($E464,'Mortality Table'!$A$3:$C$128,2+H$2,FALSE))</f>
        <v>0</v>
      </c>
      <c r="H464">
        <f>IF(C464&gt;=$L$2,0,VLOOKUP($E464,'Mortality Table'!$A$3:$C$128,2+I$2,FALSE))</f>
        <v>0</v>
      </c>
      <c r="I464" s="24">
        <f>G464*Assumptions!$B$1</f>
        <v>0</v>
      </c>
      <c r="J464" s="24">
        <f>H464*Assumptions!$B$1</f>
        <v>0</v>
      </c>
      <c r="K464" s="23">
        <f t="shared" si="114"/>
        <v>0</v>
      </c>
      <c r="L464" s="23">
        <f t="shared" si="115"/>
        <v>0</v>
      </c>
      <c r="M464" s="23">
        <f>HLOOKUP(C464,Assumptions!$A$6:$J$7,2,TRUE)</f>
        <v>2.6499999999999999E-2</v>
      </c>
      <c r="N464" s="23">
        <f t="shared" si="119"/>
        <v>0</v>
      </c>
      <c r="O464" s="23">
        <f t="shared" si="118"/>
        <v>0</v>
      </c>
      <c r="P464" s="23">
        <f t="shared" si="116"/>
        <v>0</v>
      </c>
      <c r="Q464" s="23">
        <f t="shared" si="120"/>
        <v>0</v>
      </c>
      <c r="R464" s="23">
        <f>Q463*Assumptions!$B$11/$E$2*N464</f>
        <v>0</v>
      </c>
      <c r="S464" s="23">
        <f>Q463*Assumptions!$B$13/$E$2*N464</f>
        <v>0</v>
      </c>
      <c r="T464" s="23">
        <f>L464*Assumptions!$B$15</f>
        <v>0</v>
      </c>
      <c r="U464" s="23">
        <f>S464*Assumptions!$B$17</f>
        <v>0</v>
      </c>
      <c r="V464" s="23">
        <f>HLOOKUP(B464,Assumptions!$A$26:$D$27,2,TRUE)</f>
        <v>0</v>
      </c>
      <c r="W464">
        <f t="shared" si="124"/>
        <v>0</v>
      </c>
      <c r="X464">
        <f t="shared" si="125"/>
        <v>0.3333333333333357</v>
      </c>
      <c r="Y464">
        <f>IF(B464&gt;$M$2,0,IF(X465=0,0,(1-X465)*Assumptions!$B$11/$E$2*(1-Assumptions!$B$30)))</f>
        <v>0</v>
      </c>
      <c r="Z464" s="23">
        <f>(R464-S464)*(1-Assumptions!$B$30)-U464+Y463*Q463</f>
        <v>0</v>
      </c>
      <c r="AA464" s="23">
        <f>AA463*(1+Assumptions!$B$36)^(1/12)</f>
        <v>1.4559010535040608</v>
      </c>
      <c r="AB464" s="20">
        <f>IF(B464&gt;$M$2,0,AA463*Assumptions!$B$32/12*Q463+Z464*Assumptions!$B$34/12)</f>
        <v>0</v>
      </c>
      <c r="AC464" s="21">
        <f>1/(1+HLOOKUP(YEAR(A464),Assumptions!$A$41:$AL$43,3,TRUE))^(1/12)</f>
        <v>0.99757644752594421</v>
      </c>
      <c r="AD464" s="23">
        <f t="shared" si="117"/>
        <v>0</v>
      </c>
      <c r="AE464">
        <f t="shared" si="126"/>
        <v>0</v>
      </c>
    </row>
    <row r="465" spans="1:31" x14ac:dyDescent="0.2">
      <c r="A465" s="2">
        <f t="shared" si="127"/>
        <v>56918</v>
      </c>
      <c r="B465">
        <f t="shared" si="123"/>
        <v>534</v>
      </c>
      <c r="C465" s="23">
        <f t="shared" si="112"/>
        <v>44.416666666666664</v>
      </c>
      <c r="D465" s="23">
        <f t="shared" si="113"/>
        <v>0</v>
      </c>
      <c r="E465" s="23">
        <f t="shared" si="121"/>
        <v>99</v>
      </c>
      <c r="F465" s="23">
        <f t="shared" si="122"/>
        <v>91</v>
      </c>
      <c r="G465" s="23">
        <f>IF(C465&gt;=$L$2,0,VLOOKUP($E465,'Mortality Table'!$A$3:$C$128,2+H$2,FALSE))</f>
        <v>0</v>
      </c>
      <c r="H465">
        <f>IF(C465&gt;=$L$2,0,VLOOKUP($E465,'Mortality Table'!$A$3:$C$128,2+I$2,FALSE))</f>
        <v>0</v>
      </c>
      <c r="I465" s="24">
        <f>G465*Assumptions!$B$1</f>
        <v>0</v>
      </c>
      <c r="J465" s="24">
        <f>H465*Assumptions!$B$1</f>
        <v>0</v>
      </c>
      <c r="K465" s="23">
        <f t="shared" si="114"/>
        <v>0</v>
      </c>
      <c r="L465" s="23">
        <f t="shared" si="115"/>
        <v>0</v>
      </c>
      <c r="M465" s="23">
        <f>HLOOKUP(C465,Assumptions!$A$6:$J$7,2,TRUE)</f>
        <v>2.6499999999999999E-2</v>
      </c>
      <c r="N465" s="23">
        <f t="shared" si="119"/>
        <v>0</v>
      </c>
      <c r="O465" s="23">
        <f t="shared" si="118"/>
        <v>0</v>
      </c>
      <c r="P465" s="23">
        <f t="shared" si="116"/>
        <v>0</v>
      </c>
      <c r="Q465" s="23">
        <f t="shared" si="120"/>
        <v>0</v>
      </c>
      <c r="R465" s="23">
        <f>Q464*Assumptions!$B$11/$E$2*N465</f>
        <v>0</v>
      </c>
      <c r="S465" s="23">
        <f>Q464*Assumptions!$B$13/$E$2*N465</f>
        <v>0</v>
      </c>
      <c r="T465" s="23">
        <f>L465*Assumptions!$B$15</f>
        <v>0</v>
      </c>
      <c r="U465" s="23">
        <f>S465*Assumptions!$B$17</f>
        <v>0</v>
      </c>
      <c r="V465" s="23">
        <f>HLOOKUP(B465,Assumptions!$A$26:$D$27,2,TRUE)</f>
        <v>0</v>
      </c>
      <c r="W465">
        <f t="shared" si="124"/>
        <v>0</v>
      </c>
      <c r="X465">
        <f t="shared" si="125"/>
        <v>0.4166666666666643</v>
      </c>
      <c r="Y465">
        <f>IF(B465&gt;$M$2,0,IF(X466=0,0,(1-X466)*Assumptions!$B$11/$E$2*(1-Assumptions!$B$30)))</f>
        <v>0</v>
      </c>
      <c r="Z465" s="23">
        <f>(R465-S465)*(1-Assumptions!$B$30)-U465+Y464*Q464</f>
        <v>0</v>
      </c>
      <c r="AA465" s="23">
        <f>AA464*(1+Assumptions!$B$36)^(1/12)</f>
        <v>1.4571087789186592</v>
      </c>
      <c r="AB465" s="20">
        <f>IF(B465&gt;$M$2,0,AA464*Assumptions!$B$32/12*Q464+Z465*Assumptions!$B$34/12)</f>
        <v>0</v>
      </c>
      <c r="AC465" s="21">
        <f>1/(1+HLOOKUP(YEAR(A465),Assumptions!$A$41:$AL$43,3,TRUE))^(1/12)</f>
        <v>0.99757644752594421</v>
      </c>
      <c r="AD465" s="23">
        <f t="shared" si="117"/>
        <v>0</v>
      </c>
      <c r="AE465">
        <f t="shared" si="126"/>
        <v>0</v>
      </c>
    </row>
    <row r="466" spans="1:31" x14ac:dyDescent="0.2">
      <c r="A466" s="2">
        <f t="shared" si="127"/>
        <v>56948</v>
      </c>
      <c r="B466">
        <f t="shared" si="123"/>
        <v>535</v>
      </c>
      <c r="C466" s="23">
        <f t="shared" si="112"/>
        <v>44.5</v>
      </c>
      <c r="D466" s="23">
        <f t="shared" si="113"/>
        <v>0</v>
      </c>
      <c r="E466" s="23">
        <f t="shared" si="121"/>
        <v>99</v>
      </c>
      <c r="F466" s="23">
        <f t="shared" si="122"/>
        <v>91</v>
      </c>
      <c r="G466" s="23">
        <f>IF(C466&gt;=$L$2,0,VLOOKUP($E466,'Mortality Table'!$A$3:$C$128,2+H$2,FALSE))</f>
        <v>0</v>
      </c>
      <c r="H466">
        <f>IF(C466&gt;=$L$2,0,VLOOKUP($E466,'Mortality Table'!$A$3:$C$128,2+I$2,FALSE))</f>
        <v>0</v>
      </c>
      <c r="I466" s="24">
        <f>G466*Assumptions!$B$1</f>
        <v>0</v>
      </c>
      <c r="J466" s="24">
        <f>H466*Assumptions!$B$1</f>
        <v>0</v>
      </c>
      <c r="K466" s="23">
        <f t="shared" si="114"/>
        <v>0</v>
      </c>
      <c r="L466" s="23">
        <f t="shared" si="115"/>
        <v>0</v>
      </c>
      <c r="M466" s="23">
        <f>HLOOKUP(C466,Assumptions!$A$6:$J$7,2,TRUE)</f>
        <v>2.6499999999999999E-2</v>
      </c>
      <c r="N466" s="23">
        <f t="shared" si="119"/>
        <v>0</v>
      </c>
      <c r="O466" s="23">
        <f t="shared" si="118"/>
        <v>0</v>
      </c>
      <c r="P466" s="23">
        <f t="shared" si="116"/>
        <v>0</v>
      </c>
      <c r="Q466" s="23">
        <f t="shared" si="120"/>
        <v>0</v>
      </c>
      <c r="R466" s="23">
        <f>Q465*Assumptions!$B$11/$E$2*N466</f>
        <v>0</v>
      </c>
      <c r="S466" s="23">
        <f>Q465*Assumptions!$B$13/$E$2*N466</f>
        <v>0</v>
      </c>
      <c r="T466" s="23">
        <f>L466*Assumptions!$B$15</f>
        <v>0</v>
      </c>
      <c r="U466" s="23">
        <f>S466*Assumptions!$B$17</f>
        <v>0</v>
      </c>
      <c r="V466" s="23">
        <f>HLOOKUP(B466,Assumptions!$A$26:$D$27,2,TRUE)</f>
        <v>0</v>
      </c>
      <c r="W466">
        <f t="shared" si="124"/>
        <v>0</v>
      </c>
      <c r="X466">
        <f t="shared" si="125"/>
        <v>0.5</v>
      </c>
      <c r="Y466">
        <f>IF(B466&gt;$M$2,0,IF(X467=0,0,(1-X467)*Assumptions!$B$11/$E$2*(1-Assumptions!$B$30)))</f>
        <v>0</v>
      </c>
      <c r="Z466" s="23">
        <f>(R466-S466)*(1-Assumptions!$B$30)-U466+Y465*Q465</f>
        <v>0</v>
      </c>
      <c r="AA466" s="23">
        <f>AA465*(1+Assumptions!$B$36)^(1/12)</f>
        <v>1.4583175061875207</v>
      </c>
      <c r="AB466" s="20">
        <f>IF(B466&gt;$M$2,0,AA465*Assumptions!$B$32/12*Q465+Z466*Assumptions!$B$34/12)</f>
        <v>0</v>
      </c>
      <c r="AC466" s="21">
        <f>1/(1+HLOOKUP(YEAR(A466),Assumptions!$A$41:$AL$43,3,TRUE))^(1/12)</f>
        <v>0.99757644752594421</v>
      </c>
      <c r="AD466" s="23">
        <f t="shared" si="117"/>
        <v>0</v>
      </c>
      <c r="AE466">
        <f t="shared" si="126"/>
        <v>0</v>
      </c>
    </row>
    <row r="467" spans="1:31" x14ac:dyDescent="0.2">
      <c r="A467" s="2">
        <f t="shared" si="127"/>
        <v>56979</v>
      </c>
      <c r="B467">
        <f t="shared" si="123"/>
        <v>536</v>
      </c>
      <c r="C467" s="23">
        <f t="shared" si="112"/>
        <v>44.583333333333336</v>
      </c>
      <c r="D467" s="23">
        <f t="shared" si="113"/>
        <v>0</v>
      </c>
      <c r="E467" s="23">
        <f t="shared" si="121"/>
        <v>99</v>
      </c>
      <c r="F467" s="23">
        <f t="shared" si="122"/>
        <v>91</v>
      </c>
      <c r="G467" s="23">
        <f>IF(C467&gt;=$L$2,0,VLOOKUP($E467,'Mortality Table'!$A$3:$C$128,2+H$2,FALSE))</f>
        <v>0</v>
      </c>
      <c r="H467">
        <f>IF(C467&gt;=$L$2,0,VLOOKUP($E467,'Mortality Table'!$A$3:$C$128,2+I$2,FALSE))</f>
        <v>0</v>
      </c>
      <c r="I467" s="24">
        <f>G467*Assumptions!$B$1</f>
        <v>0</v>
      </c>
      <c r="J467" s="24">
        <f>H467*Assumptions!$B$1</f>
        <v>0</v>
      </c>
      <c r="K467" s="23">
        <f t="shared" si="114"/>
        <v>0</v>
      </c>
      <c r="L467" s="23">
        <f t="shared" si="115"/>
        <v>0</v>
      </c>
      <c r="M467" s="23">
        <f>HLOOKUP(C467,Assumptions!$A$6:$J$7,2,TRUE)</f>
        <v>2.6499999999999999E-2</v>
      </c>
      <c r="N467" s="23">
        <f t="shared" si="119"/>
        <v>0</v>
      </c>
      <c r="O467" s="23">
        <f t="shared" si="118"/>
        <v>0</v>
      </c>
      <c r="P467" s="23">
        <f t="shared" si="116"/>
        <v>0</v>
      </c>
      <c r="Q467" s="23">
        <f t="shared" si="120"/>
        <v>0</v>
      </c>
      <c r="R467" s="23">
        <f>Q466*Assumptions!$B$11/$E$2*N467</f>
        <v>0</v>
      </c>
      <c r="S467" s="23">
        <f>Q466*Assumptions!$B$13/$E$2*N467</f>
        <v>0</v>
      </c>
      <c r="T467" s="23">
        <f>L467*Assumptions!$B$15</f>
        <v>0</v>
      </c>
      <c r="U467" s="23">
        <f>S467*Assumptions!$B$17</f>
        <v>0</v>
      </c>
      <c r="V467" s="23">
        <f>HLOOKUP(B467,Assumptions!$A$26:$D$27,2,TRUE)</f>
        <v>0</v>
      </c>
      <c r="W467">
        <f t="shared" si="124"/>
        <v>0</v>
      </c>
      <c r="X467">
        <f t="shared" si="125"/>
        <v>0.5833333333333357</v>
      </c>
      <c r="Y467">
        <f>IF(B467&gt;$M$2,0,IF(X468=0,0,(1-X468)*Assumptions!$B$11/$E$2*(1-Assumptions!$B$30)))</f>
        <v>0</v>
      </c>
      <c r="Z467" s="23">
        <f>(R467-S467)*(1-Assumptions!$B$30)-U467+Y466*Q466</f>
        <v>0</v>
      </c>
      <c r="AA467" s="23">
        <f>AA466*(1+Assumptions!$B$36)^(1/12)</f>
        <v>1.4595272361417215</v>
      </c>
      <c r="AB467" s="20">
        <f>IF(B467&gt;$M$2,0,AA466*Assumptions!$B$32/12*Q466+Z467*Assumptions!$B$34/12)</f>
        <v>0</v>
      </c>
      <c r="AC467" s="21">
        <f>1/(1+HLOOKUP(YEAR(A467),Assumptions!$A$41:$AL$43,3,TRUE))^(1/12)</f>
        <v>0.99757644752594421</v>
      </c>
      <c r="AD467" s="23">
        <f t="shared" si="117"/>
        <v>0</v>
      </c>
      <c r="AE467">
        <f t="shared" si="126"/>
        <v>0</v>
      </c>
    </row>
    <row r="468" spans="1:31" x14ac:dyDescent="0.2">
      <c r="A468" s="2">
        <f t="shared" si="127"/>
        <v>57010</v>
      </c>
      <c r="B468">
        <f t="shared" si="123"/>
        <v>537</v>
      </c>
      <c r="C468" s="23">
        <f t="shared" si="112"/>
        <v>44.666666666666664</v>
      </c>
      <c r="D468" s="23">
        <f t="shared" si="113"/>
        <v>0</v>
      </c>
      <c r="E468" s="23">
        <f t="shared" si="121"/>
        <v>99</v>
      </c>
      <c r="F468" s="23">
        <f t="shared" si="122"/>
        <v>91</v>
      </c>
      <c r="G468" s="23">
        <f>IF(C468&gt;=$L$2,0,VLOOKUP($E468,'Mortality Table'!$A$3:$C$128,2+H$2,FALSE))</f>
        <v>0</v>
      </c>
      <c r="H468">
        <f>IF(C468&gt;=$L$2,0,VLOOKUP($E468,'Mortality Table'!$A$3:$C$128,2+I$2,FALSE))</f>
        <v>0</v>
      </c>
      <c r="I468" s="24">
        <f>G468*Assumptions!$B$1</f>
        <v>0</v>
      </c>
      <c r="J468" s="24">
        <f>H468*Assumptions!$B$1</f>
        <v>0</v>
      </c>
      <c r="K468" s="23">
        <f t="shared" si="114"/>
        <v>0</v>
      </c>
      <c r="L468" s="23">
        <f t="shared" si="115"/>
        <v>0</v>
      </c>
      <c r="M468" s="23">
        <f>HLOOKUP(C468,Assumptions!$A$6:$J$7,2,TRUE)</f>
        <v>2.6499999999999999E-2</v>
      </c>
      <c r="N468" s="23">
        <f t="shared" si="119"/>
        <v>0</v>
      </c>
      <c r="O468" s="23">
        <f t="shared" si="118"/>
        <v>0</v>
      </c>
      <c r="P468" s="23">
        <f t="shared" si="116"/>
        <v>0</v>
      </c>
      <c r="Q468" s="23">
        <f t="shared" si="120"/>
        <v>0</v>
      </c>
      <c r="R468" s="23">
        <f>Q467*Assumptions!$B$11/$E$2*N468</f>
        <v>0</v>
      </c>
      <c r="S468" s="23">
        <f>Q467*Assumptions!$B$13/$E$2*N468</f>
        <v>0</v>
      </c>
      <c r="T468" s="23">
        <f>L468*Assumptions!$B$15</f>
        <v>0</v>
      </c>
      <c r="U468" s="23">
        <f>S468*Assumptions!$B$17</f>
        <v>0</v>
      </c>
      <c r="V468" s="23">
        <f>HLOOKUP(B468,Assumptions!$A$26:$D$27,2,TRUE)</f>
        <v>0</v>
      </c>
      <c r="W468">
        <f t="shared" si="124"/>
        <v>0</v>
      </c>
      <c r="X468">
        <f t="shared" si="125"/>
        <v>0.6666666666666643</v>
      </c>
      <c r="Y468">
        <f>IF(B468&gt;$M$2,0,IF(X469=0,0,(1-X469)*Assumptions!$B$11/$E$2*(1-Assumptions!$B$30)))</f>
        <v>0</v>
      </c>
      <c r="Z468" s="23">
        <f>(R468-S468)*(1-Assumptions!$B$30)-U468+Y467*Q467</f>
        <v>0</v>
      </c>
      <c r="AA468" s="23">
        <f>AA467*(1+Assumptions!$B$36)^(1/12)</f>
        <v>1.4607379696130274</v>
      </c>
      <c r="AB468" s="20">
        <f>IF(B468&gt;$M$2,0,AA467*Assumptions!$B$32/12*Q467+Z468*Assumptions!$B$34/12)</f>
        <v>0</v>
      </c>
      <c r="AC468" s="21">
        <f>1/(1+HLOOKUP(YEAR(A468),Assumptions!$A$41:$AL$43,3,TRUE))^(1/12)</f>
        <v>0.99757644752594421</v>
      </c>
      <c r="AD468" s="23">
        <f t="shared" si="117"/>
        <v>0</v>
      </c>
      <c r="AE468">
        <f t="shared" si="126"/>
        <v>0</v>
      </c>
    </row>
    <row r="469" spans="1:31" x14ac:dyDescent="0.2">
      <c r="A469" s="2">
        <f t="shared" si="127"/>
        <v>57039</v>
      </c>
      <c r="B469">
        <f t="shared" si="123"/>
        <v>538</v>
      </c>
      <c r="C469" s="23">
        <f t="shared" si="112"/>
        <v>44.75</v>
      </c>
      <c r="D469" s="23">
        <f t="shared" si="113"/>
        <v>0</v>
      </c>
      <c r="E469" s="23">
        <f t="shared" si="121"/>
        <v>99</v>
      </c>
      <c r="F469" s="23">
        <f t="shared" si="122"/>
        <v>91</v>
      </c>
      <c r="G469" s="23">
        <f>IF(C469&gt;=$L$2,0,VLOOKUP($E469,'Mortality Table'!$A$3:$C$128,2+H$2,FALSE))</f>
        <v>0</v>
      </c>
      <c r="H469">
        <f>IF(C469&gt;=$L$2,0,VLOOKUP($E469,'Mortality Table'!$A$3:$C$128,2+I$2,FALSE))</f>
        <v>0</v>
      </c>
      <c r="I469" s="24">
        <f>G469*Assumptions!$B$1</f>
        <v>0</v>
      </c>
      <c r="J469" s="24">
        <f>H469*Assumptions!$B$1</f>
        <v>0</v>
      </c>
      <c r="K469" s="23">
        <f t="shared" si="114"/>
        <v>0</v>
      </c>
      <c r="L469" s="23">
        <f t="shared" si="115"/>
        <v>0</v>
      </c>
      <c r="M469" s="23">
        <f>HLOOKUP(C469,Assumptions!$A$6:$J$7,2,TRUE)</f>
        <v>2.6499999999999999E-2</v>
      </c>
      <c r="N469" s="23">
        <f t="shared" si="119"/>
        <v>0</v>
      </c>
      <c r="O469" s="23">
        <f t="shared" si="118"/>
        <v>0</v>
      </c>
      <c r="P469" s="23">
        <f t="shared" si="116"/>
        <v>0</v>
      </c>
      <c r="Q469" s="23">
        <f t="shared" si="120"/>
        <v>0</v>
      </c>
      <c r="R469" s="23">
        <f>Q468*Assumptions!$B$11/$E$2*N469</f>
        <v>0</v>
      </c>
      <c r="S469" s="23">
        <f>Q468*Assumptions!$B$13/$E$2*N469</f>
        <v>0</v>
      </c>
      <c r="T469" s="23">
        <f>L469*Assumptions!$B$15</f>
        <v>0</v>
      </c>
      <c r="U469" s="23">
        <f>S469*Assumptions!$B$17</f>
        <v>0</v>
      </c>
      <c r="V469" s="23">
        <f>HLOOKUP(B469,Assumptions!$A$26:$D$27,2,TRUE)</f>
        <v>0</v>
      </c>
      <c r="W469">
        <f t="shared" si="124"/>
        <v>0</v>
      </c>
      <c r="X469">
        <f t="shared" si="125"/>
        <v>0.75</v>
      </c>
      <c r="Y469">
        <f>IF(B469&gt;$M$2,0,IF(X470=0,0,(1-X470)*Assumptions!$B$11/$E$2*(1-Assumptions!$B$30)))</f>
        <v>0</v>
      </c>
      <c r="Z469" s="23">
        <f>(R469-S469)*(1-Assumptions!$B$30)-U469+Y468*Q468</f>
        <v>0</v>
      </c>
      <c r="AA469" s="23">
        <f>AA468*(1+Assumptions!$B$36)^(1/12)</f>
        <v>1.4619497074338941</v>
      </c>
      <c r="AB469" s="20">
        <f>IF(B469&gt;$M$2,0,AA468*Assumptions!$B$32/12*Q468+Z469*Assumptions!$B$34/12)</f>
        <v>0</v>
      </c>
      <c r="AC469" s="21">
        <f>1/(1+HLOOKUP(YEAR(A469),Assumptions!$A$41:$AL$43,3,TRUE))^(1/12)</f>
        <v>0.99757644752594421</v>
      </c>
      <c r="AD469" s="23">
        <f t="shared" si="117"/>
        <v>0</v>
      </c>
      <c r="AE469">
        <f t="shared" si="126"/>
        <v>0</v>
      </c>
    </row>
    <row r="470" spans="1:31" x14ac:dyDescent="0.2">
      <c r="A470" s="2">
        <f t="shared" si="127"/>
        <v>57070</v>
      </c>
      <c r="B470">
        <f t="shared" si="123"/>
        <v>539</v>
      </c>
      <c r="C470" s="23">
        <f t="shared" si="112"/>
        <v>44.833333333333336</v>
      </c>
      <c r="D470" s="23">
        <f t="shared" si="113"/>
        <v>0</v>
      </c>
      <c r="E470" s="23">
        <f t="shared" si="121"/>
        <v>99</v>
      </c>
      <c r="F470" s="23">
        <f t="shared" si="122"/>
        <v>91</v>
      </c>
      <c r="G470" s="23">
        <f>IF(C470&gt;=$L$2,0,VLOOKUP($E470,'Mortality Table'!$A$3:$C$128,2+H$2,FALSE))</f>
        <v>0</v>
      </c>
      <c r="H470">
        <f>IF(C470&gt;=$L$2,0,VLOOKUP($E470,'Mortality Table'!$A$3:$C$128,2+I$2,FALSE))</f>
        <v>0</v>
      </c>
      <c r="I470" s="24">
        <f>G470*Assumptions!$B$1</f>
        <v>0</v>
      </c>
      <c r="J470" s="24">
        <f>H470*Assumptions!$B$1</f>
        <v>0</v>
      </c>
      <c r="K470" s="23">
        <f t="shared" si="114"/>
        <v>0</v>
      </c>
      <c r="L470" s="23">
        <f t="shared" si="115"/>
        <v>0</v>
      </c>
      <c r="M470" s="23">
        <f>HLOOKUP(C470,Assumptions!$A$6:$J$7,2,TRUE)</f>
        <v>2.6499999999999999E-2</v>
      </c>
      <c r="N470" s="23">
        <f t="shared" si="119"/>
        <v>0</v>
      </c>
      <c r="O470" s="23">
        <f t="shared" si="118"/>
        <v>0</v>
      </c>
      <c r="P470" s="23">
        <f t="shared" si="116"/>
        <v>0</v>
      </c>
      <c r="Q470" s="23">
        <f t="shared" si="120"/>
        <v>0</v>
      </c>
      <c r="R470" s="23">
        <f>Q469*Assumptions!$B$11/$E$2*N470</f>
        <v>0</v>
      </c>
      <c r="S470" s="23">
        <f>Q469*Assumptions!$B$13/$E$2*N470</f>
        <v>0</v>
      </c>
      <c r="T470" s="23">
        <f>L470*Assumptions!$B$15</f>
        <v>0</v>
      </c>
      <c r="U470" s="23">
        <f>S470*Assumptions!$B$17</f>
        <v>0</v>
      </c>
      <c r="V470" s="23">
        <f>HLOOKUP(B470,Assumptions!$A$26:$D$27,2,TRUE)</f>
        <v>0</v>
      </c>
      <c r="W470">
        <f t="shared" si="124"/>
        <v>0</v>
      </c>
      <c r="X470">
        <f t="shared" si="125"/>
        <v>0.8333333333333357</v>
      </c>
      <c r="Y470">
        <f>IF(B470&gt;$M$2,0,IF(X471=0,0,(1-X471)*Assumptions!$B$11/$E$2*(1-Assumptions!$B$30)))</f>
        <v>0</v>
      </c>
      <c r="Z470" s="23">
        <f>(R470-S470)*(1-Assumptions!$B$30)-U470+Y469*Q469</f>
        <v>0</v>
      </c>
      <c r="AA470" s="23">
        <f>AA469*(1+Assumptions!$B$36)^(1/12)</f>
        <v>1.4631624504374676</v>
      </c>
      <c r="AB470" s="20">
        <f>IF(B470&gt;$M$2,0,AA469*Assumptions!$B$32/12*Q469+Z470*Assumptions!$B$34/12)</f>
        <v>0</v>
      </c>
      <c r="AC470" s="21">
        <f>1/(1+HLOOKUP(YEAR(A470),Assumptions!$A$41:$AL$43,3,TRUE))^(1/12)</f>
        <v>0.99757644752594421</v>
      </c>
      <c r="AD470" s="23">
        <f t="shared" si="117"/>
        <v>0</v>
      </c>
      <c r="AE470">
        <f t="shared" si="126"/>
        <v>0</v>
      </c>
    </row>
    <row r="471" spans="1:31" x14ac:dyDescent="0.2">
      <c r="A471" s="2">
        <f t="shared" si="127"/>
        <v>57100</v>
      </c>
      <c r="B471">
        <f t="shared" si="123"/>
        <v>540</v>
      </c>
      <c r="C471" s="23">
        <f t="shared" si="112"/>
        <v>44.916666666666664</v>
      </c>
      <c r="D471" s="23">
        <f t="shared" si="113"/>
        <v>0</v>
      </c>
      <c r="E471" s="23">
        <f t="shared" si="121"/>
        <v>99</v>
      </c>
      <c r="F471" s="23">
        <f t="shared" si="122"/>
        <v>91</v>
      </c>
      <c r="G471" s="23">
        <f>IF(C471&gt;=$L$2,0,VLOOKUP($E471,'Mortality Table'!$A$3:$C$128,2+H$2,FALSE))</f>
        <v>0</v>
      </c>
      <c r="H471">
        <f>IF(C471&gt;=$L$2,0,VLOOKUP($E471,'Mortality Table'!$A$3:$C$128,2+I$2,FALSE))</f>
        <v>0</v>
      </c>
      <c r="I471" s="24">
        <f>G471*Assumptions!$B$1</f>
        <v>0</v>
      </c>
      <c r="J471" s="24">
        <f>H471*Assumptions!$B$1</f>
        <v>0</v>
      </c>
      <c r="K471" s="23">
        <f t="shared" si="114"/>
        <v>0</v>
      </c>
      <c r="L471" s="23">
        <f t="shared" si="115"/>
        <v>0</v>
      </c>
      <c r="M471" s="23">
        <f>HLOOKUP(C471,Assumptions!$A$6:$J$7,2,TRUE)</f>
        <v>2.6499999999999999E-2</v>
      </c>
      <c r="N471" s="23">
        <f t="shared" si="119"/>
        <v>0</v>
      </c>
      <c r="O471" s="23">
        <f t="shared" si="118"/>
        <v>0</v>
      </c>
      <c r="P471" s="23">
        <f t="shared" si="116"/>
        <v>0</v>
      </c>
      <c r="Q471" s="23">
        <f t="shared" si="120"/>
        <v>0</v>
      </c>
      <c r="R471" s="23">
        <f>Q470*Assumptions!$B$11/$E$2*N471</f>
        <v>0</v>
      </c>
      <c r="S471" s="23">
        <f>Q470*Assumptions!$B$13/$E$2*N471</f>
        <v>0</v>
      </c>
      <c r="T471" s="23">
        <f>L471*Assumptions!$B$15</f>
        <v>0</v>
      </c>
      <c r="U471" s="23">
        <f>S471*Assumptions!$B$17</f>
        <v>0</v>
      </c>
      <c r="V471" s="23">
        <f>HLOOKUP(B471,Assumptions!$A$26:$D$27,2,TRUE)</f>
        <v>0</v>
      </c>
      <c r="W471">
        <f t="shared" si="124"/>
        <v>0</v>
      </c>
      <c r="X471">
        <f t="shared" si="125"/>
        <v>0.9166666666666643</v>
      </c>
      <c r="Y471">
        <f>IF(B471&gt;$M$2,0,IF(X472=0,0,(1-X472)*Assumptions!$B$11/$E$2*(1-Assumptions!$B$30)))</f>
        <v>0</v>
      </c>
      <c r="Z471" s="23">
        <f>(R471-S471)*(1-Assumptions!$B$30)-U471+Y470*Q470</f>
        <v>0</v>
      </c>
      <c r="AA471" s="23">
        <f>AA470*(1+Assumptions!$B$36)^(1/12)</f>
        <v>1.4643761994575857</v>
      </c>
      <c r="AB471" s="20">
        <f>IF(B471&gt;$M$2,0,AA470*Assumptions!$B$32/12*Q470+Z471*Assumptions!$B$34/12)</f>
        <v>0</v>
      </c>
      <c r="AC471" s="21">
        <f>1/(1+HLOOKUP(YEAR(A471),Assumptions!$A$41:$AL$43,3,TRUE))^(1/12)</f>
        <v>0.99757644752594421</v>
      </c>
      <c r="AD471" s="23">
        <f t="shared" si="117"/>
        <v>0</v>
      </c>
      <c r="AE471">
        <f t="shared" si="126"/>
        <v>0</v>
      </c>
    </row>
    <row r="472" spans="1:31" x14ac:dyDescent="0.2">
      <c r="A472" s="2">
        <f t="shared" si="127"/>
        <v>57131</v>
      </c>
      <c r="B472">
        <f t="shared" si="123"/>
        <v>541</v>
      </c>
      <c r="C472" s="23">
        <f t="shared" si="112"/>
        <v>45</v>
      </c>
      <c r="D472" s="23">
        <f t="shared" si="113"/>
        <v>1</v>
      </c>
      <c r="E472" s="23">
        <f t="shared" si="121"/>
        <v>100</v>
      </c>
      <c r="F472" s="23">
        <f t="shared" si="122"/>
        <v>92</v>
      </c>
      <c r="G472" s="23">
        <f>IF(C472&gt;=$L$2,0,VLOOKUP($E472,'Mortality Table'!$A$3:$C$128,2+H$2,FALSE))</f>
        <v>0</v>
      </c>
      <c r="H472">
        <f>IF(C472&gt;=$L$2,0,VLOOKUP($E472,'Mortality Table'!$A$3:$C$128,2+I$2,FALSE))</f>
        <v>0</v>
      </c>
      <c r="I472" s="24">
        <f>G472*Assumptions!$B$1</f>
        <v>0</v>
      </c>
      <c r="J472" s="24">
        <f>H472*Assumptions!$B$1</f>
        <v>0</v>
      </c>
      <c r="K472" s="23">
        <f t="shared" si="114"/>
        <v>0</v>
      </c>
      <c r="L472" s="23">
        <f t="shared" si="115"/>
        <v>0</v>
      </c>
      <c r="M472" s="23">
        <f>HLOOKUP(C472,Assumptions!$A$6:$J$7,2,TRUE)</f>
        <v>2.6499999999999999E-2</v>
      </c>
      <c r="N472" s="23">
        <f t="shared" si="119"/>
        <v>0</v>
      </c>
      <c r="O472" s="23">
        <f t="shared" si="118"/>
        <v>0</v>
      </c>
      <c r="P472" s="23">
        <f t="shared" si="116"/>
        <v>0</v>
      </c>
      <c r="Q472" s="23">
        <f t="shared" si="120"/>
        <v>0</v>
      </c>
      <c r="R472" s="23">
        <f>Q471*Assumptions!$B$11/$E$2*N472</f>
        <v>0</v>
      </c>
      <c r="S472" s="23">
        <f>Q471*Assumptions!$B$13/$E$2*N472</f>
        <v>0</v>
      </c>
      <c r="T472" s="23">
        <f>L472*Assumptions!$B$15</f>
        <v>0</v>
      </c>
      <c r="U472" s="23">
        <f>S472*Assumptions!$B$17</f>
        <v>0</v>
      </c>
      <c r="V472" s="23">
        <f>HLOOKUP(B472,Assumptions!$A$26:$D$27,2,TRUE)</f>
        <v>0</v>
      </c>
      <c r="W472">
        <f t="shared" si="124"/>
        <v>0</v>
      </c>
      <c r="X472">
        <f t="shared" si="125"/>
        <v>0</v>
      </c>
      <c r="Y472">
        <f>IF(B472&gt;$M$2,0,IF(X473=0,0,(1-X473)*Assumptions!$B$11/$E$2*(1-Assumptions!$B$30)))</f>
        <v>0</v>
      </c>
      <c r="Z472" s="23">
        <f>(R472-S472)*(1-Assumptions!$B$30)-U472+Y471*Q471</f>
        <v>0</v>
      </c>
      <c r="AA472" s="23">
        <f>AA471*(1+Assumptions!$B$36)^(1/12)</f>
        <v>1.4655909553287771</v>
      </c>
      <c r="AB472" s="20">
        <f>IF(B472&gt;$M$2,0,AA471*Assumptions!$B$32/12*Q471+Z472*Assumptions!$B$34/12)</f>
        <v>0</v>
      </c>
      <c r="AC472" s="21">
        <f>1/(1+HLOOKUP(YEAR(A472),Assumptions!$A$41:$AL$43,3,TRUE))^(1/12)</f>
        <v>0.99757644752594421</v>
      </c>
      <c r="AD472" s="23">
        <f t="shared" si="117"/>
        <v>0</v>
      </c>
      <c r="AE472">
        <f t="shared" si="126"/>
        <v>0</v>
      </c>
    </row>
    <row r="473" spans="1:31" x14ac:dyDescent="0.2">
      <c r="A473" s="2">
        <f t="shared" si="127"/>
        <v>57161</v>
      </c>
      <c r="B473">
        <f t="shared" si="123"/>
        <v>542</v>
      </c>
      <c r="C473" s="23">
        <f t="shared" si="112"/>
        <v>45.083333333333336</v>
      </c>
      <c r="D473" s="23">
        <f t="shared" si="113"/>
        <v>0</v>
      </c>
      <c r="E473" s="23">
        <f t="shared" si="121"/>
        <v>100</v>
      </c>
      <c r="F473" s="23">
        <f t="shared" si="122"/>
        <v>92</v>
      </c>
      <c r="G473" s="23">
        <f>IF(C473&gt;=$L$2,0,VLOOKUP($E473,'Mortality Table'!$A$3:$C$128,2+H$2,FALSE))</f>
        <v>0</v>
      </c>
      <c r="H473">
        <f>IF(C473&gt;=$L$2,0,VLOOKUP($E473,'Mortality Table'!$A$3:$C$128,2+I$2,FALSE))</f>
        <v>0</v>
      </c>
      <c r="I473" s="24">
        <f>G473*Assumptions!$B$1</f>
        <v>0</v>
      </c>
      <c r="J473" s="24">
        <f>H473*Assumptions!$B$1</f>
        <v>0</v>
      </c>
      <c r="K473" s="23">
        <f t="shared" si="114"/>
        <v>0</v>
      </c>
      <c r="L473" s="23">
        <f t="shared" si="115"/>
        <v>0</v>
      </c>
      <c r="M473" s="23">
        <f>HLOOKUP(C473,Assumptions!$A$6:$J$7,2,TRUE)</f>
        <v>2.6499999999999999E-2</v>
      </c>
      <c r="N473" s="23">
        <f t="shared" si="119"/>
        <v>0</v>
      </c>
      <c r="O473" s="23">
        <f t="shared" si="118"/>
        <v>0</v>
      </c>
      <c r="P473" s="23">
        <f t="shared" si="116"/>
        <v>0</v>
      </c>
      <c r="Q473" s="23">
        <f t="shared" si="120"/>
        <v>0</v>
      </c>
      <c r="R473" s="23">
        <f>Q472*Assumptions!$B$11/$E$2*N473</f>
        <v>0</v>
      </c>
      <c r="S473" s="23">
        <f>Q472*Assumptions!$B$13/$E$2*N473</f>
        <v>0</v>
      </c>
      <c r="T473" s="23">
        <f>L473*Assumptions!$B$15</f>
        <v>0</v>
      </c>
      <c r="U473" s="23">
        <f>S473*Assumptions!$B$17</f>
        <v>0</v>
      </c>
      <c r="V473" s="23">
        <f>HLOOKUP(B473,Assumptions!$A$26:$D$27,2,TRUE)</f>
        <v>0</v>
      </c>
      <c r="W473">
        <f t="shared" si="124"/>
        <v>0</v>
      </c>
      <c r="X473">
        <f t="shared" si="125"/>
        <v>8.3333333333335702E-2</v>
      </c>
      <c r="Y473">
        <f>IF(B473&gt;$M$2,0,IF(X474=0,0,(1-X474)*Assumptions!$B$11/$E$2*(1-Assumptions!$B$30)))</f>
        <v>0</v>
      </c>
      <c r="Z473" s="23">
        <f>(R473-S473)*(1-Assumptions!$B$30)-U473+Y472*Q472</f>
        <v>0</v>
      </c>
      <c r="AA473" s="23">
        <f>AA472*(1+Assumptions!$B$36)^(1/12)</f>
        <v>1.4668067188862635</v>
      </c>
      <c r="AB473" s="20">
        <f>IF(B473&gt;$M$2,0,AA472*Assumptions!$B$32/12*Q472+Z473*Assumptions!$B$34/12)</f>
        <v>0</v>
      </c>
      <c r="AC473" s="21">
        <f>1/(1+HLOOKUP(YEAR(A473),Assumptions!$A$41:$AL$43,3,TRUE))^(1/12)</f>
        <v>0.99757644752594421</v>
      </c>
      <c r="AD473" s="23">
        <f t="shared" si="117"/>
        <v>0</v>
      </c>
      <c r="AE473">
        <f t="shared" si="126"/>
        <v>0</v>
      </c>
    </row>
    <row r="474" spans="1:31" x14ac:dyDescent="0.2">
      <c r="A474" s="2">
        <f t="shared" si="127"/>
        <v>57192</v>
      </c>
      <c r="B474">
        <f t="shared" si="123"/>
        <v>543</v>
      </c>
      <c r="C474" s="23">
        <f t="shared" si="112"/>
        <v>45.166666666666664</v>
      </c>
      <c r="D474" s="23">
        <f t="shared" si="113"/>
        <v>0</v>
      </c>
      <c r="E474" s="23">
        <f t="shared" si="121"/>
        <v>100</v>
      </c>
      <c r="F474" s="23">
        <f t="shared" si="122"/>
        <v>92</v>
      </c>
      <c r="G474" s="23">
        <f>IF(C474&gt;=$L$2,0,VLOOKUP($E474,'Mortality Table'!$A$3:$C$128,2+H$2,FALSE))</f>
        <v>0</v>
      </c>
      <c r="H474">
        <f>IF(C474&gt;=$L$2,0,VLOOKUP($E474,'Mortality Table'!$A$3:$C$128,2+I$2,FALSE))</f>
        <v>0</v>
      </c>
      <c r="I474" s="24">
        <f>G474*Assumptions!$B$1</f>
        <v>0</v>
      </c>
      <c r="J474" s="24">
        <f>H474*Assumptions!$B$1</f>
        <v>0</v>
      </c>
      <c r="K474" s="23">
        <f t="shared" si="114"/>
        <v>0</v>
      </c>
      <c r="L474" s="23">
        <f t="shared" si="115"/>
        <v>0</v>
      </c>
      <c r="M474" s="23">
        <f>HLOOKUP(C474,Assumptions!$A$6:$J$7,2,TRUE)</f>
        <v>2.6499999999999999E-2</v>
      </c>
      <c r="N474" s="23">
        <f t="shared" si="119"/>
        <v>0</v>
      </c>
      <c r="O474" s="23">
        <f t="shared" si="118"/>
        <v>0</v>
      </c>
      <c r="P474" s="23">
        <f t="shared" si="116"/>
        <v>0</v>
      </c>
      <c r="Q474" s="23">
        <f t="shared" si="120"/>
        <v>0</v>
      </c>
      <c r="R474" s="23">
        <f>Q473*Assumptions!$B$11/$E$2*N474</f>
        <v>0</v>
      </c>
      <c r="S474" s="23">
        <f>Q473*Assumptions!$B$13/$E$2*N474</f>
        <v>0</v>
      </c>
      <c r="T474" s="23">
        <f>L474*Assumptions!$B$15</f>
        <v>0</v>
      </c>
      <c r="U474" s="23">
        <f>S474*Assumptions!$B$17</f>
        <v>0</v>
      </c>
      <c r="V474" s="23">
        <f>HLOOKUP(B474,Assumptions!$A$26:$D$27,2,TRUE)</f>
        <v>0</v>
      </c>
      <c r="W474">
        <f t="shared" si="124"/>
        <v>0</v>
      </c>
      <c r="X474">
        <f t="shared" si="125"/>
        <v>0.1666666666666643</v>
      </c>
      <c r="Y474">
        <f>IF(B474&gt;$M$2,0,IF(X475=0,0,(1-X475)*Assumptions!$B$11/$E$2*(1-Assumptions!$B$30)))</f>
        <v>0</v>
      </c>
      <c r="Z474" s="23">
        <f>(R474-S474)*(1-Assumptions!$B$30)-U474+Y473*Q473</f>
        <v>0</v>
      </c>
      <c r="AA474" s="23">
        <f>AA473*(1+Assumptions!$B$36)^(1/12)</f>
        <v>1.4680234909659586</v>
      </c>
      <c r="AB474" s="20">
        <f>IF(B474&gt;$M$2,0,AA473*Assumptions!$B$32/12*Q473+Z474*Assumptions!$B$34/12)</f>
        <v>0</v>
      </c>
      <c r="AC474" s="21">
        <f>1/(1+HLOOKUP(YEAR(A474),Assumptions!$A$41:$AL$43,3,TRUE))^(1/12)</f>
        <v>0.99757644752594421</v>
      </c>
      <c r="AD474" s="23">
        <f t="shared" si="117"/>
        <v>0</v>
      </c>
      <c r="AE474">
        <f t="shared" si="126"/>
        <v>0</v>
      </c>
    </row>
    <row r="475" spans="1:31" x14ac:dyDescent="0.2">
      <c r="A475" s="2">
        <f t="shared" si="127"/>
        <v>57223</v>
      </c>
      <c r="B475">
        <f t="shared" si="123"/>
        <v>544</v>
      </c>
      <c r="C475" s="23">
        <f t="shared" si="112"/>
        <v>45.25</v>
      </c>
      <c r="D475" s="23">
        <f t="shared" si="113"/>
        <v>0</v>
      </c>
      <c r="E475" s="23">
        <f t="shared" si="121"/>
        <v>100</v>
      </c>
      <c r="F475" s="23">
        <f t="shared" si="122"/>
        <v>92</v>
      </c>
      <c r="G475" s="23">
        <f>IF(C475&gt;=$L$2,0,VLOOKUP($E475,'Mortality Table'!$A$3:$C$128,2+H$2,FALSE))</f>
        <v>0</v>
      </c>
      <c r="H475">
        <f>IF(C475&gt;=$L$2,0,VLOOKUP($E475,'Mortality Table'!$A$3:$C$128,2+I$2,FALSE))</f>
        <v>0</v>
      </c>
      <c r="I475" s="24">
        <f>G475*Assumptions!$B$1</f>
        <v>0</v>
      </c>
      <c r="J475" s="24">
        <f>H475*Assumptions!$B$1</f>
        <v>0</v>
      </c>
      <c r="K475" s="23">
        <f t="shared" si="114"/>
        <v>0</v>
      </c>
      <c r="L475" s="23">
        <f t="shared" si="115"/>
        <v>0</v>
      </c>
      <c r="M475" s="23">
        <f>HLOOKUP(C475,Assumptions!$A$6:$J$7,2,TRUE)</f>
        <v>2.6499999999999999E-2</v>
      </c>
      <c r="N475" s="23">
        <f t="shared" si="119"/>
        <v>0</v>
      </c>
      <c r="O475" s="23">
        <f t="shared" si="118"/>
        <v>0</v>
      </c>
      <c r="P475" s="23">
        <f t="shared" si="116"/>
        <v>0</v>
      </c>
      <c r="Q475" s="23">
        <f t="shared" si="120"/>
        <v>0</v>
      </c>
      <c r="R475" s="23">
        <f>Q474*Assumptions!$B$11/$E$2*N475</f>
        <v>0</v>
      </c>
      <c r="S475" s="23">
        <f>Q474*Assumptions!$B$13/$E$2*N475</f>
        <v>0</v>
      </c>
      <c r="T475" s="23">
        <f>L475*Assumptions!$B$15</f>
        <v>0</v>
      </c>
      <c r="U475" s="23">
        <f>S475*Assumptions!$B$17</f>
        <v>0</v>
      </c>
      <c r="V475" s="23">
        <f>HLOOKUP(B475,Assumptions!$A$26:$D$27,2,TRUE)</f>
        <v>0</v>
      </c>
      <c r="W475">
        <f t="shared" si="124"/>
        <v>0</v>
      </c>
      <c r="X475">
        <f t="shared" si="125"/>
        <v>0.25</v>
      </c>
      <c r="Y475">
        <f>IF(B475&gt;$M$2,0,IF(X476=0,0,(1-X476)*Assumptions!$B$11/$E$2*(1-Assumptions!$B$30)))</f>
        <v>0</v>
      </c>
      <c r="Z475" s="23">
        <f>(R475-S475)*(1-Assumptions!$B$30)-U475+Y474*Q474</f>
        <v>0</v>
      </c>
      <c r="AA475" s="23">
        <f>AA474*(1+Assumptions!$B$36)^(1/12)</f>
        <v>1.4692412724044703</v>
      </c>
      <c r="AB475" s="20">
        <f>IF(B475&gt;$M$2,0,AA474*Assumptions!$B$32/12*Q474+Z475*Assumptions!$B$34/12)</f>
        <v>0</v>
      </c>
      <c r="AC475" s="21">
        <f>1/(1+HLOOKUP(YEAR(A475),Assumptions!$A$41:$AL$43,3,TRUE))^(1/12)</f>
        <v>0.99757644752594421</v>
      </c>
      <c r="AD475" s="23">
        <f t="shared" si="117"/>
        <v>0</v>
      </c>
      <c r="AE475">
        <f t="shared" si="126"/>
        <v>0</v>
      </c>
    </row>
    <row r="476" spans="1:31" x14ac:dyDescent="0.2">
      <c r="A476" s="2">
        <f t="shared" si="127"/>
        <v>57253</v>
      </c>
      <c r="B476">
        <f t="shared" si="123"/>
        <v>545</v>
      </c>
      <c r="C476" s="23">
        <f t="shared" si="112"/>
        <v>45.333333333333336</v>
      </c>
      <c r="D476" s="23">
        <f t="shared" si="113"/>
        <v>0</v>
      </c>
      <c r="E476" s="23">
        <f t="shared" si="121"/>
        <v>100</v>
      </c>
      <c r="F476" s="23">
        <f t="shared" si="122"/>
        <v>92</v>
      </c>
      <c r="G476" s="23">
        <f>IF(C476&gt;=$L$2,0,VLOOKUP($E476,'Mortality Table'!$A$3:$C$128,2+H$2,FALSE))</f>
        <v>0</v>
      </c>
      <c r="H476">
        <f>IF(C476&gt;=$L$2,0,VLOOKUP($E476,'Mortality Table'!$A$3:$C$128,2+I$2,FALSE))</f>
        <v>0</v>
      </c>
      <c r="I476" s="24">
        <f>G476*Assumptions!$B$1</f>
        <v>0</v>
      </c>
      <c r="J476" s="24">
        <f>H476*Assumptions!$B$1</f>
        <v>0</v>
      </c>
      <c r="K476" s="23">
        <f t="shared" si="114"/>
        <v>0</v>
      </c>
      <c r="L476" s="23">
        <f t="shared" si="115"/>
        <v>0</v>
      </c>
      <c r="M476" s="23">
        <f>HLOOKUP(C476,Assumptions!$A$6:$J$7,2,TRUE)</f>
        <v>2.6499999999999999E-2</v>
      </c>
      <c r="N476" s="23">
        <f t="shared" si="119"/>
        <v>0</v>
      </c>
      <c r="O476" s="23">
        <f t="shared" si="118"/>
        <v>0</v>
      </c>
      <c r="P476" s="23">
        <f t="shared" si="116"/>
        <v>0</v>
      </c>
      <c r="Q476" s="23">
        <f t="shared" si="120"/>
        <v>0</v>
      </c>
      <c r="R476" s="23">
        <f>Q475*Assumptions!$B$11/$E$2*N476</f>
        <v>0</v>
      </c>
      <c r="S476" s="23">
        <f>Q475*Assumptions!$B$13/$E$2*N476</f>
        <v>0</v>
      </c>
      <c r="T476" s="23">
        <f>L476*Assumptions!$B$15</f>
        <v>0</v>
      </c>
      <c r="U476" s="23">
        <f>S476*Assumptions!$B$17</f>
        <v>0</v>
      </c>
      <c r="V476" s="23">
        <f>HLOOKUP(B476,Assumptions!$A$26:$D$27,2,TRUE)</f>
        <v>0</v>
      </c>
      <c r="W476">
        <f t="shared" si="124"/>
        <v>0</v>
      </c>
      <c r="X476">
        <f t="shared" si="125"/>
        <v>0.3333333333333357</v>
      </c>
      <c r="Y476">
        <f>IF(B476&gt;$M$2,0,IF(X477=0,0,(1-X477)*Assumptions!$B$11/$E$2*(1-Assumptions!$B$30)))</f>
        <v>0</v>
      </c>
      <c r="Z476" s="23">
        <f>(R476-S476)*(1-Assumptions!$B$30)-U476+Y475*Q475</f>
        <v>0</v>
      </c>
      <c r="AA476" s="23">
        <f>AA475*(1+Assumptions!$B$36)^(1/12)</f>
        <v>1.4704600640391003</v>
      </c>
      <c r="AB476" s="20">
        <f>IF(B476&gt;$M$2,0,AA475*Assumptions!$B$32/12*Q475+Z476*Assumptions!$B$34/12)</f>
        <v>0</v>
      </c>
      <c r="AC476" s="21">
        <f>1/(1+HLOOKUP(YEAR(A476),Assumptions!$A$41:$AL$43,3,TRUE))^(1/12)</f>
        <v>0.99757644752594421</v>
      </c>
      <c r="AD476" s="23">
        <f t="shared" si="117"/>
        <v>0</v>
      </c>
      <c r="AE476">
        <f t="shared" si="126"/>
        <v>0</v>
      </c>
    </row>
    <row r="477" spans="1:31" x14ac:dyDescent="0.2">
      <c r="A477" s="2">
        <f t="shared" si="127"/>
        <v>57284</v>
      </c>
      <c r="B477">
        <f t="shared" si="123"/>
        <v>546</v>
      </c>
      <c r="C477" s="23">
        <f t="shared" si="112"/>
        <v>45.416666666666664</v>
      </c>
      <c r="D477" s="23">
        <f t="shared" si="113"/>
        <v>0</v>
      </c>
      <c r="E477" s="23">
        <f t="shared" si="121"/>
        <v>100</v>
      </c>
      <c r="F477" s="23">
        <f t="shared" si="122"/>
        <v>92</v>
      </c>
      <c r="G477" s="23">
        <f>IF(C477&gt;=$L$2,0,VLOOKUP($E477,'Mortality Table'!$A$3:$C$128,2+H$2,FALSE))</f>
        <v>0</v>
      </c>
      <c r="H477">
        <f>IF(C477&gt;=$L$2,0,VLOOKUP($E477,'Mortality Table'!$A$3:$C$128,2+I$2,FALSE))</f>
        <v>0</v>
      </c>
      <c r="I477" s="24">
        <f>G477*Assumptions!$B$1</f>
        <v>0</v>
      </c>
      <c r="J477" s="24">
        <f>H477*Assumptions!$B$1</f>
        <v>0</v>
      </c>
      <c r="K477" s="23">
        <f t="shared" si="114"/>
        <v>0</v>
      </c>
      <c r="L477" s="23">
        <f t="shared" si="115"/>
        <v>0</v>
      </c>
      <c r="M477" s="23">
        <f>HLOOKUP(C477,Assumptions!$A$6:$J$7,2,TRUE)</f>
        <v>2.6499999999999999E-2</v>
      </c>
      <c r="N477" s="23">
        <f t="shared" si="119"/>
        <v>0</v>
      </c>
      <c r="O477" s="23">
        <f t="shared" si="118"/>
        <v>0</v>
      </c>
      <c r="P477" s="23">
        <f t="shared" si="116"/>
        <v>0</v>
      </c>
      <c r="Q477" s="23">
        <f t="shared" si="120"/>
        <v>0</v>
      </c>
      <c r="R477" s="23">
        <f>Q476*Assumptions!$B$11/$E$2*N477</f>
        <v>0</v>
      </c>
      <c r="S477" s="23">
        <f>Q476*Assumptions!$B$13/$E$2*N477</f>
        <v>0</v>
      </c>
      <c r="T477" s="23">
        <f>L477*Assumptions!$B$15</f>
        <v>0</v>
      </c>
      <c r="U477" s="23">
        <f>S477*Assumptions!$B$17</f>
        <v>0</v>
      </c>
      <c r="V477" s="23">
        <f>HLOOKUP(B477,Assumptions!$A$26:$D$27,2,TRUE)</f>
        <v>0</v>
      </c>
      <c r="W477">
        <f t="shared" si="124"/>
        <v>0</v>
      </c>
      <c r="X477">
        <f t="shared" si="125"/>
        <v>0.4166666666666643</v>
      </c>
      <c r="Y477">
        <f>IF(B477&gt;$M$2,0,IF(X478=0,0,(1-X478)*Assumptions!$B$11/$E$2*(1-Assumptions!$B$30)))</f>
        <v>0</v>
      </c>
      <c r="Z477" s="23">
        <f>(R477-S477)*(1-Assumptions!$B$30)-U477+Y476*Q476</f>
        <v>0</v>
      </c>
      <c r="AA477" s="23">
        <f>AA476*(1+Assumptions!$B$36)^(1/12)</f>
        <v>1.4716798667078448</v>
      </c>
      <c r="AB477" s="20">
        <f>IF(B477&gt;$M$2,0,AA476*Assumptions!$B$32/12*Q476+Z477*Assumptions!$B$34/12)</f>
        <v>0</v>
      </c>
      <c r="AC477" s="21">
        <f>1/(1+HLOOKUP(YEAR(A477),Assumptions!$A$41:$AL$43,3,TRUE))^(1/12)</f>
        <v>0.99757644752594421</v>
      </c>
      <c r="AD477" s="23">
        <f t="shared" si="117"/>
        <v>0</v>
      </c>
      <c r="AE477">
        <f t="shared" si="126"/>
        <v>0</v>
      </c>
    </row>
    <row r="478" spans="1:31" x14ac:dyDescent="0.2">
      <c r="A478" s="2">
        <f t="shared" si="127"/>
        <v>57314</v>
      </c>
      <c r="B478">
        <f t="shared" si="123"/>
        <v>547</v>
      </c>
      <c r="C478" s="23">
        <f t="shared" si="112"/>
        <v>45.5</v>
      </c>
      <c r="D478" s="23">
        <f t="shared" si="113"/>
        <v>0</v>
      </c>
      <c r="E478" s="23">
        <f t="shared" si="121"/>
        <v>100</v>
      </c>
      <c r="F478" s="23">
        <f t="shared" si="122"/>
        <v>92</v>
      </c>
      <c r="G478" s="23">
        <f>IF(C478&gt;=$L$2,0,VLOOKUP($E478,'Mortality Table'!$A$3:$C$128,2+H$2,FALSE))</f>
        <v>0</v>
      </c>
      <c r="H478">
        <f>IF(C478&gt;=$L$2,0,VLOOKUP($E478,'Mortality Table'!$A$3:$C$128,2+I$2,FALSE))</f>
        <v>0</v>
      </c>
      <c r="I478" s="24">
        <f>G478*Assumptions!$B$1</f>
        <v>0</v>
      </c>
      <c r="J478" s="24">
        <f>H478*Assumptions!$B$1</f>
        <v>0</v>
      </c>
      <c r="K478" s="23">
        <f t="shared" si="114"/>
        <v>0</v>
      </c>
      <c r="L478" s="23">
        <f t="shared" si="115"/>
        <v>0</v>
      </c>
      <c r="M478" s="23">
        <f>HLOOKUP(C478,Assumptions!$A$6:$J$7,2,TRUE)</f>
        <v>2.6499999999999999E-2</v>
      </c>
      <c r="N478" s="23">
        <f t="shared" si="119"/>
        <v>0</v>
      </c>
      <c r="O478" s="23">
        <f t="shared" si="118"/>
        <v>0</v>
      </c>
      <c r="P478" s="23">
        <f t="shared" si="116"/>
        <v>0</v>
      </c>
      <c r="Q478" s="23">
        <f t="shared" si="120"/>
        <v>0</v>
      </c>
      <c r="R478" s="23">
        <f>Q477*Assumptions!$B$11/$E$2*N478</f>
        <v>0</v>
      </c>
      <c r="S478" s="23">
        <f>Q477*Assumptions!$B$13/$E$2*N478</f>
        <v>0</v>
      </c>
      <c r="T478" s="23">
        <f>L478*Assumptions!$B$15</f>
        <v>0</v>
      </c>
      <c r="U478" s="23">
        <f>S478*Assumptions!$B$17</f>
        <v>0</v>
      </c>
      <c r="V478" s="23">
        <f>HLOOKUP(B478,Assumptions!$A$26:$D$27,2,TRUE)</f>
        <v>0</v>
      </c>
      <c r="W478">
        <f t="shared" si="124"/>
        <v>0</v>
      </c>
      <c r="X478">
        <f t="shared" si="125"/>
        <v>0.5</v>
      </c>
      <c r="Y478">
        <f>IF(B478&gt;$M$2,0,IF(X479=0,0,(1-X479)*Assumptions!$B$11/$E$2*(1-Assumptions!$B$30)))</f>
        <v>0</v>
      </c>
      <c r="Z478" s="23">
        <f>(R478-S478)*(1-Assumptions!$B$30)-U478+Y477*Q477</f>
        <v>0</v>
      </c>
      <c r="AA478" s="23">
        <f>AA477*(1+Assumptions!$B$36)^(1/12)</f>
        <v>1.4729006812493948</v>
      </c>
      <c r="AB478" s="20">
        <f>IF(B478&gt;$M$2,0,AA477*Assumptions!$B$32/12*Q477+Z478*Assumptions!$B$34/12)</f>
        <v>0</v>
      </c>
      <c r="AC478" s="21">
        <f>1/(1+HLOOKUP(YEAR(A478),Assumptions!$A$41:$AL$43,3,TRUE))^(1/12)</f>
        <v>0.99757644752594421</v>
      </c>
      <c r="AD478" s="23">
        <f t="shared" si="117"/>
        <v>0</v>
      </c>
      <c r="AE478">
        <f t="shared" si="126"/>
        <v>0</v>
      </c>
    </row>
    <row r="479" spans="1:31" x14ac:dyDescent="0.2">
      <c r="A479" s="2">
        <f t="shared" si="127"/>
        <v>57345</v>
      </c>
      <c r="B479">
        <f t="shared" si="123"/>
        <v>548</v>
      </c>
      <c r="C479" s="23">
        <f t="shared" si="112"/>
        <v>45.583333333333336</v>
      </c>
      <c r="D479" s="23">
        <f t="shared" si="113"/>
        <v>0</v>
      </c>
      <c r="E479" s="23">
        <f t="shared" si="121"/>
        <v>100</v>
      </c>
      <c r="F479" s="23">
        <f t="shared" si="122"/>
        <v>92</v>
      </c>
      <c r="G479" s="23">
        <f>IF(C479&gt;=$L$2,0,VLOOKUP($E479,'Mortality Table'!$A$3:$C$128,2+H$2,FALSE))</f>
        <v>0</v>
      </c>
      <c r="H479">
        <f>IF(C479&gt;=$L$2,0,VLOOKUP($E479,'Mortality Table'!$A$3:$C$128,2+I$2,FALSE))</f>
        <v>0</v>
      </c>
      <c r="I479" s="24">
        <f>G479*Assumptions!$B$1</f>
        <v>0</v>
      </c>
      <c r="J479" s="24">
        <f>H479*Assumptions!$B$1</f>
        <v>0</v>
      </c>
      <c r="K479" s="23">
        <f t="shared" si="114"/>
        <v>0</v>
      </c>
      <c r="L479" s="23">
        <f t="shared" si="115"/>
        <v>0</v>
      </c>
      <c r="M479" s="23">
        <f>HLOOKUP(C479,Assumptions!$A$6:$J$7,2,TRUE)</f>
        <v>2.6499999999999999E-2</v>
      </c>
      <c r="N479" s="23">
        <f t="shared" si="119"/>
        <v>0</v>
      </c>
      <c r="O479" s="23">
        <f t="shared" si="118"/>
        <v>0</v>
      </c>
      <c r="P479" s="23">
        <f t="shared" si="116"/>
        <v>0</v>
      </c>
      <c r="Q479" s="23">
        <f t="shared" si="120"/>
        <v>0</v>
      </c>
      <c r="R479" s="23">
        <f>Q478*Assumptions!$B$11/$E$2*N479</f>
        <v>0</v>
      </c>
      <c r="S479" s="23">
        <f>Q478*Assumptions!$B$13/$E$2*N479</f>
        <v>0</v>
      </c>
      <c r="T479" s="23">
        <f>L479*Assumptions!$B$15</f>
        <v>0</v>
      </c>
      <c r="U479" s="23">
        <f>S479*Assumptions!$B$17</f>
        <v>0</v>
      </c>
      <c r="V479" s="23">
        <f>HLOOKUP(B479,Assumptions!$A$26:$D$27,2,TRUE)</f>
        <v>0</v>
      </c>
      <c r="W479">
        <f t="shared" si="124"/>
        <v>0</v>
      </c>
      <c r="X479">
        <f t="shared" si="125"/>
        <v>0.5833333333333357</v>
      </c>
      <c r="Y479">
        <f>IF(B479&gt;$M$2,0,IF(X480=0,0,(1-X480)*Assumptions!$B$11/$E$2*(1-Assumptions!$B$30)))</f>
        <v>0</v>
      </c>
      <c r="Z479" s="23">
        <f>(R479-S479)*(1-Assumptions!$B$30)-U479+Y478*Q478</f>
        <v>0</v>
      </c>
      <c r="AA479" s="23">
        <f>AA478*(1+Assumptions!$B$36)^(1/12)</f>
        <v>1.4741225085031375</v>
      </c>
      <c r="AB479" s="20">
        <f>IF(B479&gt;$M$2,0,AA478*Assumptions!$B$32/12*Q478+Z479*Assumptions!$B$34/12)</f>
        <v>0</v>
      </c>
      <c r="AC479" s="21">
        <f>1/(1+HLOOKUP(YEAR(A479),Assumptions!$A$41:$AL$43,3,TRUE))^(1/12)</f>
        <v>0.99757644752594421</v>
      </c>
      <c r="AD479" s="23">
        <f t="shared" si="117"/>
        <v>0</v>
      </c>
      <c r="AE479">
        <f t="shared" si="126"/>
        <v>0</v>
      </c>
    </row>
    <row r="480" spans="1:31" x14ac:dyDescent="0.2">
      <c r="A480" s="2">
        <f t="shared" si="127"/>
        <v>57376</v>
      </c>
      <c r="B480">
        <f t="shared" si="123"/>
        <v>549</v>
      </c>
      <c r="C480" s="23">
        <f t="shared" si="112"/>
        <v>45.666666666666664</v>
      </c>
      <c r="D480" s="23">
        <f t="shared" si="113"/>
        <v>0</v>
      </c>
      <c r="E480" s="23">
        <f t="shared" si="121"/>
        <v>100</v>
      </c>
      <c r="F480" s="23">
        <f t="shared" si="122"/>
        <v>92</v>
      </c>
      <c r="G480" s="23">
        <f>IF(C480&gt;=$L$2,0,VLOOKUP($E480,'Mortality Table'!$A$3:$C$128,2+H$2,FALSE))</f>
        <v>0</v>
      </c>
      <c r="H480">
        <f>IF(C480&gt;=$L$2,0,VLOOKUP($E480,'Mortality Table'!$A$3:$C$128,2+I$2,FALSE))</f>
        <v>0</v>
      </c>
      <c r="I480" s="24">
        <f>G480*Assumptions!$B$1</f>
        <v>0</v>
      </c>
      <c r="J480" s="24">
        <f>H480*Assumptions!$B$1</f>
        <v>0</v>
      </c>
      <c r="K480" s="23">
        <f t="shared" si="114"/>
        <v>0</v>
      </c>
      <c r="L480" s="23">
        <f t="shared" si="115"/>
        <v>0</v>
      </c>
      <c r="M480" s="23">
        <f>HLOOKUP(C480,Assumptions!$A$6:$J$7,2,TRUE)</f>
        <v>2.6499999999999999E-2</v>
      </c>
      <c r="N480" s="23">
        <f t="shared" si="119"/>
        <v>0</v>
      </c>
      <c r="O480" s="23">
        <f t="shared" si="118"/>
        <v>0</v>
      </c>
      <c r="P480" s="23">
        <f t="shared" si="116"/>
        <v>0</v>
      </c>
      <c r="Q480" s="23">
        <f t="shared" si="120"/>
        <v>0</v>
      </c>
      <c r="R480" s="23">
        <f>Q479*Assumptions!$B$11/$E$2*N480</f>
        <v>0</v>
      </c>
      <c r="S480" s="23">
        <f>Q479*Assumptions!$B$13/$E$2*N480</f>
        <v>0</v>
      </c>
      <c r="T480" s="23">
        <f>L480*Assumptions!$B$15</f>
        <v>0</v>
      </c>
      <c r="U480" s="23">
        <f>S480*Assumptions!$B$17</f>
        <v>0</v>
      </c>
      <c r="V480" s="23">
        <f>HLOOKUP(B480,Assumptions!$A$26:$D$27,2,TRUE)</f>
        <v>0</v>
      </c>
      <c r="W480">
        <f t="shared" si="124"/>
        <v>0</v>
      </c>
      <c r="X480">
        <f t="shared" si="125"/>
        <v>0.6666666666666643</v>
      </c>
      <c r="Y480">
        <f>IF(B480&gt;$M$2,0,IF(X481=0,0,(1-X481)*Assumptions!$B$11/$E$2*(1-Assumptions!$B$30)))</f>
        <v>0</v>
      </c>
      <c r="Z480" s="23">
        <f>(R480-S480)*(1-Assumptions!$B$30)-U480+Y479*Q479</f>
        <v>0</v>
      </c>
      <c r="AA480" s="23">
        <f>AA479*(1+Assumptions!$B$36)^(1/12)</f>
        <v>1.4753453493091564</v>
      </c>
      <c r="AB480" s="20">
        <f>IF(B480&gt;$M$2,0,AA479*Assumptions!$B$32/12*Q479+Z480*Assumptions!$B$34/12)</f>
        <v>0</v>
      </c>
      <c r="AC480" s="21">
        <f>1/(1+HLOOKUP(YEAR(A480),Assumptions!$A$41:$AL$43,3,TRUE))^(1/12)</f>
        <v>0.99757644752594421</v>
      </c>
      <c r="AD480" s="23">
        <f t="shared" si="117"/>
        <v>0</v>
      </c>
      <c r="AE480">
        <f t="shared" si="126"/>
        <v>0</v>
      </c>
    </row>
    <row r="481" spans="1:31" x14ac:dyDescent="0.2">
      <c r="A481" s="2">
        <f t="shared" si="127"/>
        <v>57404</v>
      </c>
      <c r="B481">
        <f t="shared" si="123"/>
        <v>550</v>
      </c>
      <c r="C481" s="23">
        <f t="shared" si="112"/>
        <v>45.75</v>
      </c>
      <c r="D481" s="23">
        <f t="shared" si="113"/>
        <v>0</v>
      </c>
      <c r="E481" s="23">
        <f t="shared" si="121"/>
        <v>100</v>
      </c>
      <c r="F481" s="23">
        <f t="shared" si="122"/>
        <v>92</v>
      </c>
      <c r="G481" s="23">
        <f>IF(C481&gt;=$L$2,0,VLOOKUP($E481,'Mortality Table'!$A$3:$C$128,2+H$2,FALSE))</f>
        <v>0</v>
      </c>
      <c r="H481">
        <f>IF(C481&gt;=$L$2,0,VLOOKUP($E481,'Mortality Table'!$A$3:$C$128,2+I$2,FALSE))</f>
        <v>0</v>
      </c>
      <c r="I481" s="24">
        <f>G481*Assumptions!$B$1</f>
        <v>0</v>
      </c>
      <c r="J481" s="24">
        <f>H481*Assumptions!$B$1</f>
        <v>0</v>
      </c>
      <c r="K481" s="23">
        <f t="shared" si="114"/>
        <v>0</v>
      </c>
      <c r="L481" s="23">
        <f t="shared" si="115"/>
        <v>0</v>
      </c>
      <c r="M481" s="23">
        <f>HLOOKUP(C481,Assumptions!$A$6:$J$7,2,TRUE)</f>
        <v>2.6499999999999999E-2</v>
      </c>
      <c r="N481" s="23">
        <f t="shared" si="119"/>
        <v>0</v>
      </c>
      <c r="O481" s="23">
        <f t="shared" si="118"/>
        <v>0</v>
      </c>
      <c r="P481" s="23">
        <f t="shared" si="116"/>
        <v>0</v>
      </c>
      <c r="Q481" s="23">
        <f t="shared" si="120"/>
        <v>0</v>
      </c>
      <c r="R481" s="23">
        <f>Q480*Assumptions!$B$11/$E$2*N481</f>
        <v>0</v>
      </c>
      <c r="S481" s="23">
        <f>Q480*Assumptions!$B$13/$E$2*N481</f>
        <v>0</v>
      </c>
      <c r="T481" s="23">
        <f>L481*Assumptions!$B$15</f>
        <v>0</v>
      </c>
      <c r="U481" s="23">
        <f>S481*Assumptions!$B$17</f>
        <v>0</v>
      </c>
      <c r="V481" s="23">
        <f>HLOOKUP(B481,Assumptions!$A$26:$D$27,2,TRUE)</f>
        <v>0</v>
      </c>
      <c r="W481">
        <f t="shared" si="124"/>
        <v>0</v>
      </c>
      <c r="X481">
        <f t="shared" si="125"/>
        <v>0.75</v>
      </c>
      <c r="Y481">
        <f>IF(B481&gt;$M$2,0,IF(X482=0,0,(1-X482)*Assumptions!$B$11/$E$2*(1-Assumptions!$B$30)))</f>
        <v>0</v>
      </c>
      <c r="Z481" s="23">
        <f>(R481-S481)*(1-Assumptions!$B$30)-U481+Y480*Q480</f>
        <v>0</v>
      </c>
      <c r="AA481" s="23">
        <f>AA480*(1+Assumptions!$B$36)^(1/12)</f>
        <v>1.4765692045082317</v>
      </c>
      <c r="AB481" s="20">
        <f>IF(B481&gt;$M$2,0,AA480*Assumptions!$B$32/12*Q480+Z481*Assumptions!$B$34/12)</f>
        <v>0</v>
      </c>
      <c r="AC481" s="21">
        <f>1/(1+HLOOKUP(YEAR(A481),Assumptions!$A$41:$AL$43,3,TRUE))^(1/12)</f>
        <v>0.99757644752594421</v>
      </c>
      <c r="AD481" s="23">
        <f t="shared" si="117"/>
        <v>0</v>
      </c>
      <c r="AE481">
        <f t="shared" si="126"/>
        <v>0</v>
      </c>
    </row>
    <row r="482" spans="1:31" x14ac:dyDescent="0.2">
      <c r="A482" s="2">
        <f t="shared" si="127"/>
        <v>57435</v>
      </c>
      <c r="B482">
        <f t="shared" si="123"/>
        <v>551</v>
      </c>
      <c r="C482" s="23">
        <f t="shared" si="112"/>
        <v>45.833333333333336</v>
      </c>
      <c r="D482" s="23">
        <f t="shared" si="113"/>
        <v>0</v>
      </c>
      <c r="E482" s="23">
        <f t="shared" si="121"/>
        <v>100</v>
      </c>
      <c r="F482" s="23">
        <f t="shared" si="122"/>
        <v>92</v>
      </c>
      <c r="G482" s="23">
        <f>IF(C482&gt;=$L$2,0,VLOOKUP($E482,'Mortality Table'!$A$3:$C$128,2+H$2,FALSE))</f>
        <v>0</v>
      </c>
      <c r="H482">
        <f>IF(C482&gt;=$L$2,0,VLOOKUP($E482,'Mortality Table'!$A$3:$C$128,2+I$2,FALSE))</f>
        <v>0</v>
      </c>
      <c r="I482" s="24">
        <f>G482*Assumptions!$B$1</f>
        <v>0</v>
      </c>
      <c r="J482" s="24">
        <f>H482*Assumptions!$B$1</f>
        <v>0</v>
      </c>
      <c r="K482" s="23">
        <f t="shared" si="114"/>
        <v>0</v>
      </c>
      <c r="L482" s="23">
        <f t="shared" si="115"/>
        <v>0</v>
      </c>
      <c r="M482" s="23">
        <f>HLOOKUP(C482,Assumptions!$A$6:$J$7,2,TRUE)</f>
        <v>2.6499999999999999E-2</v>
      </c>
      <c r="N482" s="23">
        <f t="shared" si="119"/>
        <v>0</v>
      </c>
      <c r="O482" s="23">
        <f t="shared" si="118"/>
        <v>0</v>
      </c>
      <c r="P482" s="23">
        <f t="shared" si="116"/>
        <v>0</v>
      </c>
      <c r="Q482" s="23">
        <f t="shared" si="120"/>
        <v>0</v>
      </c>
      <c r="R482" s="23">
        <f>Q481*Assumptions!$B$11/$E$2*N482</f>
        <v>0</v>
      </c>
      <c r="S482" s="23">
        <f>Q481*Assumptions!$B$13/$E$2*N482</f>
        <v>0</v>
      </c>
      <c r="T482" s="23">
        <f>L482*Assumptions!$B$15</f>
        <v>0</v>
      </c>
      <c r="U482" s="23">
        <f>S482*Assumptions!$B$17</f>
        <v>0</v>
      </c>
      <c r="V482" s="23">
        <f>HLOOKUP(B482,Assumptions!$A$26:$D$27,2,TRUE)</f>
        <v>0</v>
      </c>
      <c r="W482">
        <f t="shared" si="124"/>
        <v>0</v>
      </c>
      <c r="X482">
        <f t="shared" si="125"/>
        <v>0.8333333333333357</v>
      </c>
      <c r="Y482">
        <f>IF(B482&gt;$M$2,0,IF(X483=0,0,(1-X483)*Assumptions!$B$11/$E$2*(1-Assumptions!$B$30)))</f>
        <v>0</v>
      </c>
      <c r="Z482" s="23">
        <f>(R482-S482)*(1-Assumptions!$B$30)-U482+Y481*Q481</f>
        <v>0</v>
      </c>
      <c r="AA482" s="23">
        <f>AA481*(1+Assumptions!$B$36)^(1/12)</f>
        <v>1.477794074941841</v>
      </c>
      <c r="AB482" s="20">
        <f>IF(B482&gt;$M$2,0,AA481*Assumptions!$B$32/12*Q481+Z482*Assumptions!$B$34/12)</f>
        <v>0</v>
      </c>
      <c r="AC482" s="21">
        <f>1/(1+HLOOKUP(YEAR(A482),Assumptions!$A$41:$AL$43,3,TRUE))^(1/12)</f>
        <v>0.99757644752594421</v>
      </c>
      <c r="AD482" s="23">
        <f t="shared" si="117"/>
        <v>0</v>
      </c>
      <c r="AE482">
        <f t="shared" si="126"/>
        <v>0</v>
      </c>
    </row>
    <row r="483" spans="1:31" x14ac:dyDescent="0.2">
      <c r="A483" s="2">
        <f t="shared" si="127"/>
        <v>57465</v>
      </c>
      <c r="B483">
        <f t="shared" si="123"/>
        <v>552</v>
      </c>
      <c r="C483" s="23">
        <f t="shared" si="112"/>
        <v>45.916666666666664</v>
      </c>
      <c r="D483" s="23">
        <f t="shared" si="113"/>
        <v>0</v>
      </c>
      <c r="E483" s="23">
        <f t="shared" si="121"/>
        <v>100</v>
      </c>
      <c r="F483" s="23">
        <f t="shared" si="122"/>
        <v>92</v>
      </c>
      <c r="G483" s="23">
        <f>IF(C483&gt;=$L$2,0,VLOOKUP($E483,'Mortality Table'!$A$3:$C$128,2+H$2,FALSE))</f>
        <v>0</v>
      </c>
      <c r="H483">
        <f>IF(C483&gt;=$L$2,0,VLOOKUP($E483,'Mortality Table'!$A$3:$C$128,2+I$2,FALSE))</f>
        <v>0</v>
      </c>
      <c r="I483" s="24">
        <f>G483*Assumptions!$B$1</f>
        <v>0</v>
      </c>
      <c r="J483" s="24">
        <f>H483*Assumptions!$B$1</f>
        <v>0</v>
      </c>
      <c r="K483" s="23">
        <f t="shared" si="114"/>
        <v>0</v>
      </c>
      <c r="L483" s="23">
        <f t="shared" si="115"/>
        <v>0</v>
      </c>
      <c r="M483" s="23">
        <f>HLOOKUP(C483,Assumptions!$A$6:$J$7,2,TRUE)</f>
        <v>2.6499999999999999E-2</v>
      </c>
      <c r="N483" s="23">
        <f t="shared" si="119"/>
        <v>0</v>
      </c>
      <c r="O483" s="23">
        <f t="shared" si="118"/>
        <v>0</v>
      </c>
      <c r="P483" s="23">
        <f t="shared" si="116"/>
        <v>0</v>
      </c>
      <c r="Q483" s="23">
        <f t="shared" si="120"/>
        <v>0</v>
      </c>
      <c r="R483" s="23">
        <f>Q482*Assumptions!$B$11/$E$2*N483</f>
        <v>0</v>
      </c>
      <c r="S483" s="23">
        <f>Q482*Assumptions!$B$13/$E$2*N483</f>
        <v>0</v>
      </c>
      <c r="T483" s="23">
        <f>L483*Assumptions!$B$15</f>
        <v>0</v>
      </c>
      <c r="U483" s="23">
        <f>S483*Assumptions!$B$17</f>
        <v>0</v>
      </c>
      <c r="V483" s="23">
        <f>HLOOKUP(B483,Assumptions!$A$26:$D$27,2,TRUE)</f>
        <v>0</v>
      </c>
      <c r="W483">
        <f t="shared" si="124"/>
        <v>0</v>
      </c>
      <c r="X483">
        <f t="shared" si="125"/>
        <v>0.9166666666666643</v>
      </c>
      <c r="Y483">
        <f>IF(B483&gt;$M$2,0,IF(X484=0,0,(1-X484)*Assumptions!$B$11/$E$2*(1-Assumptions!$B$30)))</f>
        <v>0</v>
      </c>
      <c r="Z483" s="23">
        <f>(R483-S483)*(1-Assumptions!$B$30)-U483+Y482*Q482</f>
        <v>0</v>
      </c>
      <c r="AA483" s="23">
        <f>AA482*(1+Assumptions!$B$36)^(1/12)</f>
        <v>1.4790199614521602</v>
      </c>
      <c r="AB483" s="20">
        <f>IF(B483&gt;$M$2,0,AA482*Assumptions!$B$32/12*Q482+Z483*Assumptions!$B$34/12)</f>
        <v>0</v>
      </c>
      <c r="AC483" s="21">
        <f>1/(1+HLOOKUP(YEAR(A483),Assumptions!$A$41:$AL$43,3,TRUE))^(1/12)</f>
        <v>0.99757644752594421</v>
      </c>
      <c r="AD483" s="23">
        <f t="shared" si="117"/>
        <v>0</v>
      </c>
      <c r="AE483">
        <f t="shared" si="126"/>
        <v>0</v>
      </c>
    </row>
    <row r="484" spans="1:31" x14ac:dyDescent="0.2">
      <c r="A484" s="2">
        <f t="shared" si="127"/>
        <v>57496</v>
      </c>
      <c r="B484">
        <f t="shared" si="123"/>
        <v>553</v>
      </c>
      <c r="C484" s="23">
        <f t="shared" ref="C484:C515" si="128">(B484+11)/12-1</f>
        <v>46</v>
      </c>
      <c r="D484" s="23">
        <f t="shared" ref="D484:D515" si="129">IF(C484-INT(C484)=0,1,0)</f>
        <v>1</v>
      </c>
      <c r="E484" s="23">
        <f t="shared" si="121"/>
        <v>101</v>
      </c>
      <c r="F484" s="23">
        <f t="shared" si="122"/>
        <v>93</v>
      </c>
      <c r="G484" s="23">
        <f>IF(C484&gt;=$L$2,0,VLOOKUP($E484,'Mortality Table'!$A$3:$C$128,2+H$2,FALSE))</f>
        <v>0</v>
      </c>
      <c r="H484">
        <f>IF(C484&gt;=$L$2,0,VLOOKUP($E484,'Mortality Table'!$A$3:$C$128,2+I$2,FALSE))</f>
        <v>0</v>
      </c>
      <c r="I484" s="24">
        <f>G484*Assumptions!$B$1</f>
        <v>0</v>
      </c>
      <c r="J484" s="24">
        <f>H484*Assumptions!$B$1</f>
        <v>0</v>
      </c>
      <c r="K484" s="23">
        <f t="shared" ref="K484:K515" si="130">I484+J484-I484*J484</f>
        <v>0</v>
      </c>
      <c r="L484" s="23">
        <f t="shared" ref="L484:L515" si="131">(1-(1-K484)^(1/12))*Q483</f>
        <v>0</v>
      </c>
      <c r="M484" s="23">
        <f>HLOOKUP(C484,Assumptions!$A$6:$J$7,2,TRUE)</f>
        <v>2.6499999999999999E-2</v>
      </c>
      <c r="N484" s="23">
        <f t="shared" si="119"/>
        <v>0</v>
      </c>
      <c r="O484" s="23">
        <f t="shared" si="118"/>
        <v>0</v>
      </c>
      <c r="P484" s="23">
        <f t="shared" ref="P484:P515" si="132">(1-(1-M484)^O484)*(Q483-L484)</f>
        <v>0</v>
      </c>
      <c r="Q484" s="23">
        <f t="shared" si="120"/>
        <v>0</v>
      </c>
      <c r="R484" s="23">
        <f>Q483*Assumptions!$B$11/$E$2*N484</f>
        <v>0</v>
      </c>
      <c r="S484" s="23">
        <f>Q483*Assumptions!$B$13/$E$2*N484</f>
        <v>0</v>
      </c>
      <c r="T484" s="23">
        <f>L484*Assumptions!$B$15</f>
        <v>0</v>
      </c>
      <c r="U484" s="23">
        <f>S484*Assumptions!$B$17</f>
        <v>0</v>
      </c>
      <c r="V484" s="23">
        <f>HLOOKUP(B484,Assumptions!$A$26:$D$27,2,TRUE)</f>
        <v>0</v>
      </c>
      <c r="W484">
        <f t="shared" si="124"/>
        <v>0</v>
      </c>
      <c r="X484">
        <f t="shared" si="125"/>
        <v>0</v>
      </c>
      <c r="Y484">
        <f>IF(B484&gt;$M$2,0,IF(X485=0,0,(1-X485)*Assumptions!$B$11/$E$2*(1-Assumptions!$B$30)))</f>
        <v>0</v>
      </c>
      <c r="Z484" s="23">
        <f>(R484-S484)*(1-Assumptions!$B$30)-U484+Y483*Q483</f>
        <v>0</v>
      </c>
      <c r="AA484" s="23">
        <f>AA483*(1+Assumptions!$B$36)^(1/12)</f>
        <v>1.4802468648820635</v>
      </c>
      <c r="AB484" s="20">
        <f>IF(B484&gt;$M$2,0,AA483*Assumptions!$B$32/12*Q483+Z484*Assumptions!$B$34/12)</f>
        <v>0</v>
      </c>
      <c r="AC484" s="21">
        <f>1/(1+HLOOKUP(YEAR(A484),Assumptions!$A$41:$AL$43,3,TRUE))^(1/12)</f>
        <v>0.99757644752594421</v>
      </c>
      <c r="AD484" s="23">
        <f t="shared" ref="AD484:AD515" si="133">(AD485+T485+U485+W485+AB485-R485)*AC485</f>
        <v>0</v>
      </c>
      <c r="AE484">
        <f t="shared" si="126"/>
        <v>0</v>
      </c>
    </row>
    <row r="485" spans="1:31" x14ac:dyDescent="0.2">
      <c r="A485" s="2">
        <f t="shared" si="127"/>
        <v>57526</v>
      </c>
      <c r="B485">
        <f t="shared" si="123"/>
        <v>554</v>
      </c>
      <c r="C485" s="23">
        <f t="shared" si="128"/>
        <v>46.083333333333336</v>
      </c>
      <c r="D485" s="23">
        <f t="shared" si="129"/>
        <v>0</v>
      </c>
      <c r="E485" s="23">
        <f t="shared" si="121"/>
        <v>101</v>
      </c>
      <c r="F485" s="23">
        <f t="shared" si="122"/>
        <v>93</v>
      </c>
      <c r="G485" s="23">
        <f>IF(C485&gt;=$L$2,0,VLOOKUP($E485,'Mortality Table'!$A$3:$C$128,2+H$2,FALSE))</f>
        <v>0</v>
      </c>
      <c r="H485">
        <f>IF(C485&gt;=$L$2,0,VLOOKUP($E485,'Mortality Table'!$A$3:$C$128,2+I$2,FALSE))</f>
        <v>0</v>
      </c>
      <c r="I485" s="24">
        <f>G485*Assumptions!$B$1</f>
        <v>0</v>
      </c>
      <c r="J485" s="24">
        <f>H485*Assumptions!$B$1</f>
        <v>0</v>
      </c>
      <c r="K485" s="23">
        <f t="shared" si="130"/>
        <v>0</v>
      </c>
      <c r="L485" s="23">
        <f t="shared" si="131"/>
        <v>0</v>
      </c>
      <c r="M485" s="23">
        <f>HLOOKUP(C485,Assumptions!$A$6:$J$7,2,TRUE)</f>
        <v>2.6499999999999999E-2</v>
      </c>
      <c r="N485" s="23">
        <f t="shared" si="119"/>
        <v>0</v>
      </c>
      <c r="O485" s="23">
        <f t="shared" si="118"/>
        <v>0</v>
      </c>
      <c r="P485" s="23">
        <f t="shared" si="132"/>
        <v>0</v>
      </c>
      <c r="Q485" s="23">
        <f t="shared" si="120"/>
        <v>0</v>
      </c>
      <c r="R485" s="23">
        <f>Q484*Assumptions!$B$11/$E$2*N485</f>
        <v>0</v>
      </c>
      <c r="S485" s="23">
        <f>Q484*Assumptions!$B$13/$E$2*N485</f>
        <v>0</v>
      </c>
      <c r="T485" s="23">
        <f>L485*Assumptions!$B$15</f>
        <v>0</v>
      </c>
      <c r="U485" s="23">
        <f>S485*Assumptions!$B$17</f>
        <v>0</v>
      </c>
      <c r="V485" s="23">
        <f>HLOOKUP(B485,Assumptions!$A$26:$D$27,2,TRUE)</f>
        <v>0</v>
      </c>
      <c r="W485">
        <f t="shared" si="124"/>
        <v>0</v>
      </c>
      <c r="X485">
        <f t="shared" si="125"/>
        <v>8.3333333333335702E-2</v>
      </c>
      <c r="Y485">
        <f>IF(B485&gt;$M$2,0,IF(X486=0,0,(1-X486)*Assumptions!$B$11/$E$2*(1-Assumptions!$B$30)))</f>
        <v>0</v>
      </c>
      <c r="Z485" s="23">
        <f>(R485-S485)*(1-Assumptions!$B$30)-U485+Y484*Q484</f>
        <v>0</v>
      </c>
      <c r="AA485" s="23">
        <f>AA484*(1+Assumptions!$B$36)^(1/12)</f>
        <v>1.4814747860751245</v>
      </c>
      <c r="AB485" s="20">
        <f>IF(B485&gt;$M$2,0,AA484*Assumptions!$B$32/12*Q484+Z485*Assumptions!$B$34/12)</f>
        <v>0</v>
      </c>
      <c r="AC485" s="21">
        <f>1/(1+HLOOKUP(YEAR(A485),Assumptions!$A$41:$AL$43,3,TRUE))^(1/12)</f>
        <v>0.99757644752594421</v>
      </c>
      <c r="AD485" s="23">
        <f t="shared" si="133"/>
        <v>0</v>
      </c>
      <c r="AE485">
        <f t="shared" si="126"/>
        <v>0</v>
      </c>
    </row>
    <row r="486" spans="1:31" x14ac:dyDescent="0.2">
      <c r="A486" s="2">
        <f t="shared" si="127"/>
        <v>57557</v>
      </c>
      <c r="B486">
        <f t="shared" si="123"/>
        <v>555</v>
      </c>
      <c r="C486" s="23">
        <f t="shared" si="128"/>
        <v>46.166666666666664</v>
      </c>
      <c r="D486" s="23">
        <f t="shared" si="129"/>
        <v>0</v>
      </c>
      <c r="E486" s="23">
        <f t="shared" si="121"/>
        <v>101</v>
      </c>
      <c r="F486" s="23">
        <f t="shared" si="122"/>
        <v>93</v>
      </c>
      <c r="G486" s="23">
        <f>IF(C486&gt;=$L$2,0,VLOOKUP($E486,'Mortality Table'!$A$3:$C$128,2+H$2,FALSE))</f>
        <v>0</v>
      </c>
      <c r="H486">
        <f>IF(C486&gt;=$L$2,0,VLOOKUP($E486,'Mortality Table'!$A$3:$C$128,2+I$2,FALSE))</f>
        <v>0</v>
      </c>
      <c r="I486" s="24">
        <f>G486*Assumptions!$B$1</f>
        <v>0</v>
      </c>
      <c r="J486" s="24">
        <f>H486*Assumptions!$B$1</f>
        <v>0</v>
      </c>
      <c r="K486" s="23">
        <f t="shared" si="130"/>
        <v>0</v>
      </c>
      <c r="L486" s="23">
        <f t="shared" si="131"/>
        <v>0</v>
      </c>
      <c r="M486" s="23">
        <f>HLOOKUP(C486,Assumptions!$A$6:$J$7,2,TRUE)</f>
        <v>2.6499999999999999E-2</v>
      </c>
      <c r="N486" s="23">
        <f t="shared" si="119"/>
        <v>0</v>
      </c>
      <c r="O486" s="23">
        <f t="shared" si="118"/>
        <v>0</v>
      </c>
      <c r="P486" s="23">
        <f t="shared" si="132"/>
        <v>0</v>
      </c>
      <c r="Q486" s="23">
        <f t="shared" si="120"/>
        <v>0</v>
      </c>
      <c r="R486" s="23">
        <f>Q485*Assumptions!$B$11/$E$2*N486</f>
        <v>0</v>
      </c>
      <c r="S486" s="23">
        <f>Q485*Assumptions!$B$13/$E$2*N486</f>
        <v>0</v>
      </c>
      <c r="T486" s="23">
        <f>L486*Assumptions!$B$15</f>
        <v>0</v>
      </c>
      <c r="U486" s="23">
        <f>S486*Assumptions!$B$17</f>
        <v>0</v>
      </c>
      <c r="V486" s="23">
        <f>HLOOKUP(B486,Assumptions!$A$26:$D$27,2,TRUE)</f>
        <v>0</v>
      </c>
      <c r="W486">
        <f t="shared" si="124"/>
        <v>0</v>
      </c>
      <c r="X486">
        <f t="shared" si="125"/>
        <v>0.1666666666666643</v>
      </c>
      <c r="Y486">
        <f>IF(B486&gt;$M$2,0,IF(X487=0,0,(1-X487)*Assumptions!$B$11/$E$2*(1-Assumptions!$B$30)))</f>
        <v>0</v>
      </c>
      <c r="Z486" s="23">
        <f>(R486-S486)*(1-Assumptions!$B$30)-U486+Y485*Q485</f>
        <v>0</v>
      </c>
      <c r="AA486" s="23">
        <f>AA485*(1+Assumptions!$B$36)^(1/12)</f>
        <v>1.4827037258756166</v>
      </c>
      <c r="AB486" s="20">
        <f>IF(B486&gt;$M$2,0,AA485*Assumptions!$B$32/12*Q485+Z486*Assumptions!$B$34/12)</f>
        <v>0</v>
      </c>
      <c r="AC486" s="21">
        <f>1/(1+HLOOKUP(YEAR(A486),Assumptions!$A$41:$AL$43,3,TRUE))^(1/12)</f>
        <v>0.99757644752594421</v>
      </c>
      <c r="AD486" s="23">
        <f t="shared" si="133"/>
        <v>0</v>
      </c>
      <c r="AE486">
        <f t="shared" si="126"/>
        <v>0</v>
      </c>
    </row>
    <row r="487" spans="1:31" x14ac:dyDescent="0.2">
      <c r="A487" s="2">
        <f t="shared" si="127"/>
        <v>57588</v>
      </c>
      <c r="B487">
        <f t="shared" si="123"/>
        <v>556</v>
      </c>
      <c r="C487" s="23">
        <f t="shared" si="128"/>
        <v>46.25</v>
      </c>
      <c r="D487" s="23">
        <f t="shared" si="129"/>
        <v>0</v>
      </c>
      <c r="E487" s="23">
        <f t="shared" si="121"/>
        <v>101</v>
      </c>
      <c r="F487" s="23">
        <f t="shared" si="122"/>
        <v>93</v>
      </c>
      <c r="G487" s="23">
        <f>IF(C487&gt;=$L$2,0,VLOOKUP($E487,'Mortality Table'!$A$3:$C$128,2+H$2,FALSE))</f>
        <v>0</v>
      </c>
      <c r="H487">
        <f>IF(C487&gt;=$L$2,0,VLOOKUP($E487,'Mortality Table'!$A$3:$C$128,2+I$2,FALSE))</f>
        <v>0</v>
      </c>
      <c r="I487" s="24">
        <f>G487*Assumptions!$B$1</f>
        <v>0</v>
      </c>
      <c r="J487" s="24">
        <f>H487*Assumptions!$B$1</f>
        <v>0</v>
      </c>
      <c r="K487" s="23">
        <f t="shared" si="130"/>
        <v>0</v>
      </c>
      <c r="L487" s="23">
        <f t="shared" si="131"/>
        <v>0</v>
      </c>
      <c r="M487" s="23">
        <f>HLOOKUP(C487,Assumptions!$A$6:$J$7,2,TRUE)</f>
        <v>2.6499999999999999E-2</v>
      </c>
      <c r="N487" s="23">
        <f t="shared" si="119"/>
        <v>0</v>
      </c>
      <c r="O487" s="23">
        <f t="shared" si="118"/>
        <v>0</v>
      </c>
      <c r="P487" s="23">
        <f t="shared" si="132"/>
        <v>0</v>
      </c>
      <c r="Q487" s="23">
        <f t="shared" si="120"/>
        <v>0</v>
      </c>
      <c r="R487" s="23">
        <f>Q486*Assumptions!$B$11/$E$2*N487</f>
        <v>0</v>
      </c>
      <c r="S487" s="23">
        <f>Q486*Assumptions!$B$13/$E$2*N487</f>
        <v>0</v>
      </c>
      <c r="T487" s="23">
        <f>L487*Assumptions!$B$15</f>
        <v>0</v>
      </c>
      <c r="U487" s="23">
        <f>S487*Assumptions!$B$17</f>
        <v>0</v>
      </c>
      <c r="V487" s="23">
        <f>HLOOKUP(B487,Assumptions!$A$26:$D$27,2,TRUE)</f>
        <v>0</v>
      </c>
      <c r="W487">
        <f t="shared" si="124"/>
        <v>0</v>
      </c>
      <c r="X487">
        <f t="shared" si="125"/>
        <v>0.25</v>
      </c>
      <c r="Y487">
        <f>IF(B487&gt;$M$2,0,IF(X488=0,0,(1-X488)*Assumptions!$B$11/$E$2*(1-Assumptions!$B$30)))</f>
        <v>0</v>
      </c>
      <c r="Z487" s="23">
        <f>(R487-S487)*(1-Assumptions!$B$30)-U487+Y486*Q486</f>
        <v>0</v>
      </c>
      <c r="AA487" s="23">
        <f>AA486*(1+Assumptions!$B$36)^(1/12)</f>
        <v>1.4839336851285134</v>
      </c>
      <c r="AB487" s="20">
        <f>IF(B487&gt;$M$2,0,AA486*Assumptions!$B$32/12*Q486+Z487*Assumptions!$B$34/12)</f>
        <v>0</v>
      </c>
      <c r="AC487" s="21">
        <f>1/(1+HLOOKUP(YEAR(A487),Assumptions!$A$41:$AL$43,3,TRUE))^(1/12)</f>
        <v>0.99757644752594421</v>
      </c>
      <c r="AD487" s="23">
        <f t="shared" si="133"/>
        <v>0</v>
      </c>
      <c r="AE487">
        <f t="shared" si="126"/>
        <v>0</v>
      </c>
    </row>
    <row r="488" spans="1:31" x14ac:dyDescent="0.2">
      <c r="A488" s="2">
        <f t="shared" si="127"/>
        <v>57618</v>
      </c>
      <c r="B488">
        <f t="shared" si="123"/>
        <v>557</v>
      </c>
      <c r="C488" s="23">
        <f t="shared" si="128"/>
        <v>46.333333333333336</v>
      </c>
      <c r="D488" s="23">
        <f t="shared" si="129"/>
        <v>0</v>
      </c>
      <c r="E488" s="23">
        <f t="shared" si="121"/>
        <v>101</v>
      </c>
      <c r="F488" s="23">
        <f t="shared" si="122"/>
        <v>93</v>
      </c>
      <c r="G488" s="23">
        <f>IF(C488&gt;=$L$2,0,VLOOKUP($E488,'Mortality Table'!$A$3:$C$128,2+H$2,FALSE))</f>
        <v>0</v>
      </c>
      <c r="H488">
        <f>IF(C488&gt;=$L$2,0,VLOOKUP($E488,'Mortality Table'!$A$3:$C$128,2+I$2,FALSE))</f>
        <v>0</v>
      </c>
      <c r="I488" s="24">
        <f>G488*Assumptions!$B$1</f>
        <v>0</v>
      </c>
      <c r="J488" s="24">
        <f>H488*Assumptions!$B$1</f>
        <v>0</v>
      </c>
      <c r="K488" s="23">
        <f t="shared" si="130"/>
        <v>0</v>
      </c>
      <c r="L488" s="23">
        <f t="shared" si="131"/>
        <v>0</v>
      </c>
      <c r="M488" s="23">
        <f>HLOOKUP(C488,Assumptions!$A$6:$J$7,2,TRUE)</f>
        <v>2.6499999999999999E-2</v>
      </c>
      <c r="N488" s="23">
        <f t="shared" si="119"/>
        <v>0</v>
      </c>
      <c r="O488" s="23">
        <f t="shared" si="118"/>
        <v>0</v>
      </c>
      <c r="P488" s="23">
        <f t="shared" si="132"/>
        <v>0</v>
      </c>
      <c r="Q488" s="23">
        <f t="shared" si="120"/>
        <v>0</v>
      </c>
      <c r="R488" s="23">
        <f>Q487*Assumptions!$B$11/$E$2*N488</f>
        <v>0</v>
      </c>
      <c r="S488" s="23">
        <f>Q487*Assumptions!$B$13/$E$2*N488</f>
        <v>0</v>
      </c>
      <c r="T488" s="23">
        <f>L488*Assumptions!$B$15</f>
        <v>0</v>
      </c>
      <c r="U488" s="23">
        <f>S488*Assumptions!$B$17</f>
        <v>0</v>
      </c>
      <c r="V488" s="23">
        <f>HLOOKUP(B488,Assumptions!$A$26:$D$27,2,TRUE)</f>
        <v>0</v>
      </c>
      <c r="W488">
        <f t="shared" si="124"/>
        <v>0</v>
      </c>
      <c r="X488">
        <f t="shared" si="125"/>
        <v>0.3333333333333357</v>
      </c>
      <c r="Y488">
        <f>IF(B488&gt;$M$2,0,IF(X489=0,0,(1-X489)*Assumptions!$B$11/$E$2*(1-Assumptions!$B$30)))</f>
        <v>0</v>
      </c>
      <c r="Z488" s="23">
        <f>(R488-S488)*(1-Assumptions!$B$30)-U488+Y487*Q487</f>
        <v>0</v>
      </c>
      <c r="AA488" s="23">
        <f>AA487*(1+Assumptions!$B$36)^(1/12)</f>
        <v>1.4851646646794896</v>
      </c>
      <c r="AB488" s="20">
        <f>IF(B488&gt;$M$2,0,AA487*Assumptions!$B$32/12*Q487+Z488*Assumptions!$B$34/12)</f>
        <v>0</v>
      </c>
      <c r="AC488" s="21">
        <f>1/(1+HLOOKUP(YEAR(A488),Assumptions!$A$41:$AL$43,3,TRUE))^(1/12)</f>
        <v>0.99757644752594421</v>
      </c>
      <c r="AD488" s="23">
        <f t="shared" si="133"/>
        <v>0</v>
      </c>
      <c r="AE488">
        <f t="shared" si="126"/>
        <v>0</v>
      </c>
    </row>
    <row r="489" spans="1:31" x14ac:dyDescent="0.2">
      <c r="A489" s="2">
        <f t="shared" si="127"/>
        <v>57649</v>
      </c>
      <c r="B489">
        <f t="shared" si="123"/>
        <v>558</v>
      </c>
      <c r="C489" s="23">
        <f t="shared" si="128"/>
        <v>46.416666666666664</v>
      </c>
      <c r="D489" s="23">
        <f t="shared" si="129"/>
        <v>0</v>
      </c>
      <c r="E489" s="23">
        <f t="shared" si="121"/>
        <v>101</v>
      </c>
      <c r="F489" s="23">
        <f t="shared" si="122"/>
        <v>93</v>
      </c>
      <c r="G489" s="23">
        <f>IF(C489&gt;=$L$2,0,VLOOKUP($E489,'Mortality Table'!$A$3:$C$128,2+H$2,FALSE))</f>
        <v>0</v>
      </c>
      <c r="H489">
        <f>IF(C489&gt;=$L$2,0,VLOOKUP($E489,'Mortality Table'!$A$3:$C$128,2+I$2,FALSE))</f>
        <v>0</v>
      </c>
      <c r="I489" s="24">
        <f>G489*Assumptions!$B$1</f>
        <v>0</v>
      </c>
      <c r="J489" s="24">
        <f>H489*Assumptions!$B$1</f>
        <v>0</v>
      </c>
      <c r="K489" s="23">
        <f t="shared" si="130"/>
        <v>0</v>
      </c>
      <c r="L489" s="23">
        <f t="shared" si="131"/>
        <v>0</v>
      </c>
      <c r="M489" s="23">
        <f>HLOOKUP(C489,Assumptions!$A$6:$J$7,2,TRUE)</f>
        <v>2.6499999999999999E-2</v>
      </c>
      <c r="N489" s="23">
        <f t="shared" si="119"/>
        <v>0</v>
      </c>
      <c r="O489" s="23">
        <f t="shared" si="118"/>
        <v>0</v>
      </c>
      <c r="P489" s="23">
        <f t="shared" si="132"/>
        <v>0</v>
      </c>
      <c r="Q489" s="23">
        <f t="shared" si="120"/>
        <v>0</v>
      </c>
      <c r="R489" s="23">
        <f>Q488*Assumptions!$B$11/$E$2*N489</f>
        <v>0</v>
      </c>
      <c r="S489" s="23">
        <f>Q488*Assumptions!$B$13/$E$2*N489</f>
        <v>0</v>
      </c>
      <c r="T489" s="23">
        <f>L489*Assumptions!$B$15</f>
        <v>0</v>
      </c>
      <c r="U489" s="23">
        <f>S489*Assumptions!$B$17</f>
        <v>0</v>
      </c>
      <c r="V489" s="23">
        <f>HLOOKUP(B489,Assumptions!$A$26:$D$27,2,TRUE)</f>
        <v>0</v>
      </c>
      <c r="W489">
        <f t="shared" si="124"/>
        <v>0</v>
      </c>
      <c r="X489">
        <f t="shared" si="125"/>
        <v>0.4166666666666643</v>
      </c>
      <c r="Y489">
        <f>IF(B489&gt;$M$2,0,IF(X490=0,0,(1-X490)*Assumptions!$B$11/$E$2*(1-Assumptions!$B$30)))</f>
        <v>0</v>
      </c>
      <c r="Z489" s="23">
        <f>(R489-S489)*(1-Assumptions!$B$30)-U489+Y488*Q488</f>
        <v>0</v>
      </c>
      <c r="AA489" s="23">
        <f>AA488*(1+Assumptions!$B$36)^(1/12)</f>
        <v>1.4863966653749214</v>
      </c>
      <c r="AB489" s="20">
        <f>IF(B489&gt;$M$2,0,AA488*Assumptions!$B$32/12*Q488+Z489*Assumptions!$B$34/12)</f>
        <v>0</v>
      </c>
      <c r="AC489" s="21">
        <f>1/(1+HLOOKUP(YEAR(A489),Assumptions!$A$41:$AL$43,3,TRUE))^(1/12)</f>
        <v>0.99757644752594421</v>
      </c>
      <c r="AD489" s="23">
        <f t="shared" si="133"/>
        <v>0</v>
      </c>
      <c r="AE489">
        <f t="shared" si="126"/>
        <v>0</v>
      </c>
    </row>
    <row r="490" spans="1:31" x14ac:dyDescent="0.2">
      <c r="A490" s="2">
        <f t="shared" si="127"/>
        <v>57679</v>
      </c>
      <c r="B490">
        <f t="shared" si="123"/>
        <v>559</v>
      </c>
      <c r="C490" s="23">
        <f t="shared" si="128"/>
        <v>46.5</v>
      </c>
      <c r="D490" s="23">
        <f t="shared" si="129"/>
        <v>0</v>
      </c>
      <c r="E490" s="23">
        <f t="shared" si="121"/>
        <v>101</v>
      </c>
      <c r="F490" s="23">
        <f t="shared" si="122"/>
        <v>93</v>
      </c>
      <c r="G490" s="23">
        <f>IF(C490&gt;=$L$2,0,VLOOKUP($E490,'Mortality Table'!$A$3:$C$128,2+H$2,FALSE))</f>
        <v>0</v>
      </c>
      <c r="H490">
        <f>IF(C490&gt;=$L$2,0,VLOOKUP($E490,'Mortality Table'!$A$3:$C$128,2+I$2,FALSE))</f>
        <v>0</v>
      </c>
      <c r="I490" s="24">
        <f>G490*Assumptions!$B$1</f>
        <v>0</v>
      </c>
      <c r="J490" s="24">
        <f>H490*Assumptions!$B$1</f>
        <v>0</v>
      </c>
      <c r="K490" s="23">
        <f t="shared" si="130"/>
        <v>0</v>
      </c>
      <c r="L490" s="23">
        <f t="shared" si="131"/>
        <v>0</v>
      </c>
      <c r="M490" s="23">
        <f>HLOOKUP(C490,Assumptions!$A$6:$J$7,2,TRUE)</f>
        <v>2.6499999999999999E-2</v>
      </c>
      <c r="N490" s="23">
        <f t="shared" si="119"/>
        <v>0</v>
      </c>
      <c r="O490" s="23">
        <f t="shared" si="118"/>
        <v>0</v>
      </c>
      <c r="P490" s="23">
        <f t="shared" si="132"/>
        <v>0</v>
      </c>
      <c r="Q490" s="23">
        <f t="shared" si="120"/>
        <v>0</v>
      </c>
      <c r="R490" s="23">
        <f>Q489*Assumptions!$B$11/$E$2*N490</f>
        <v>0</v>
      </c>
      <c r="S490" s="23">
        <f>Q489*Assumptions!$B$13/$E$2*N490</f>
        <v>0</v>
      </c>
      <c r="T490" s="23">
        <f>L490*Assumptions!$B$15</f>
        <v>0</v>
      </c>
      <c r="U490" s="23">
        <f>S490*Assumptions!$B$17</f>
        <v>0</v>
      </c>
      <c r="V490" s="23">
        <f>HLOOKUP(B490,Assumptions!$A$26:$D$27,2,TRUE)</f>
        <v>0</v>
      </c>
      <c r="W490">
        <f t="shared" si="124"/>
        <v>0</v>
      </c>
      <c r="X490">
        <f t="shared" si="125"/>
        <v>0.5</v>
      </c>
      <c r="Y490">
        <f>IF(B490&gt;$M$2,0,IF(X491=0,0,(1-X491)*Assumptions!$B$11/$E$2*(1-Assumptions!$B$30)))</f>
        <v>0</v>
      </c>
      <c r="Z490" s="23">
        <f>(R490-S490)*(1-Assumptions!$B$30)-U490+Y489*Q489</f>
        <v>0</v>
      </c>
      <c r="AA490" s="23">
        <f>AA489*(1+Assumptions!$B$36)^(1/12)</f>
        <v>1.4876296880618869</v>
      </c>
      <c r="AB490" s="20">
        <f>IF(B490&gt;$M$2,0,AA489*Assumptions!$B$32/12*Q489+Z490*Assumptions!$B$34/12)</f>
        <v>0</v>
      </c>
      <c r="AC490" s="21">
        <f>1/(1+HLOOKUP(YEAR(A490),Assumptions!$A$41:$AL$43,3,TRUE))^(1/12)</f>
        <v>0.99757644752594421</v>
      </c>
      <c r="AD490" s="23">
        <f t="shared" si="133"/>
        <v>0</v>
      </c>
      <c r="AE490">
        <f t="shared" si="126"/>
        <v>0</v>
      </c>
    </row>
    <row r="491" spans="1:31" x14ac:dyDescent="0.2">
      <c r="A491" s="2">
        <f t="shared" si="127"/>
        <v>57710</v>
      </c>
      <c r="B491">
        <f t="shared" si="123"/>
        <v>560</v>
      </c>
      <c r="C491" s="23">
        <f t="shared" si="128"/>
        <v>46.583333333333336</v>
      </c>
      <c r="D491" s="23">
        <f t="shared" si="129"/>
        <v>0</v>
      </c>
      <c r="E491" s="23">
        <f t="shared" si="121"/>
        <v>101</v>
      </c>
      <c r="F491" s="23">
        <f t="shared" si="122"/>
        <v>93</v>
      </c>
      <c r="G491" s="23">
        <f>IF(C491&gt;=$L$2,0,VLOOKUP($E491,'Mortality Table'!$A$3:$C$128,2+H$2,FALSE))</f>
        <v>0</v>
      </c>
      <c r="H491">
        <f>IF(C491&gt;=$L$2,0,VLOOKUP($E491,'Mortality Table'!$A$3:$C$128,2+I$2,FALSE))</f>
        <v>0</v>
      </c>
      <c r="I491" s="24">
        <f>G491*Assumptions!$B$1</f>
        <v>0</v>
      </c>
      <c r="J491" s="24">
        <f>H491*Assumptions!$B$1</f>
        <v>0</v>
      </c>
      <c r="K491" s="23">
        <f t="shared" si="130"/>
        <v>0</v>
      </c>
      <c r="L491" s="23">
        <f t="shared" si="131"/>
        <v>0</v>
      </c>
      <c r="M491" s="23">
        <f>HLOOKUP(C491,Assumptions!$A$6:$J$7,2,TRUE)</f>
        <v>2.6499999999999999E-2</v>
      </c>
      <c r="N491" s="23">
        <f t="shared" si="119"/>
        <v>0</v>
      </c>
      <c r="O491" s="23">
        <f t="shared" si="118"/>
        <v>0</v>
      </c>
      <c r="P491" s="23">
        <f t="shared" si="132"/>
        <v>0</v>
      </c>
      <c r="Q491" s="23">
        <f t="shared" si="120"/>
        <v>0</v>
      </c>
      <c r="R491" s="23">
        <f>Q490*Assumptions!$B$11/$E$2*N491</f>
        <v>0</v>
      </c>
      <c r="S491" s="23">
        <f>Q490*Assumptions!$B$13/$E$2*N491</f>
        <v>0</v>
      </c>
      <c r="T491" s="23">
        <f>L491*Assumptions!$B$15</f>
        <v>0</v>
      </c>
      <c r="U491" s="23">
        <f>S491*Assumptions!$B$17</f>
        <v>0</v>
      </c>
      <c r="V491" s="23">
        <f>HLOOKUP(B491,Assumptions!$A$26:$D$27,2,TRUE)</f>
        <v>0</v>
      </c>
      <c r="W491">
        <f t="shared" si="124"/>
        <v>0</v>
      </c>
      <c r="X491">
        <f t="shared" si="125"/>
        <v>0.5833333333333357</v>
      </c>
      <c r="Y491">
        <f>IF(B491&gt;$M$2,0,IF(X492=0,0,(1-X492)*Assumptions!$B$11/$E$2*(1-Assumptions!$B$30)))</f>
        <v>0</v>
      </c>
      <c r="Z491" s="23">
        <f>(R491-S491)*(1-Assumptions!$B$30)-U491+Y490*Q490</f>
        <v>0</v>
      </c>
      <c r="AA491" s="23">
        <f>AA490*(1+Assumptions!$B$36)^(1/12)</f>
        <v>1.4888637335881671</v>
      </c>
      <c r="AB491" s="20">
        <f>IF(B491&gt;$M$2,0,AA490*Assumptions!$B$32/12*Q490+Z491*Assumptions!$B$34/12)</f>
        <v>0</v>
      </c>
      <c r="AC491" s="21">
        <f>1/(1+HLOOKUP(YEAR(A491),Assumptions!$A$41:$AL$43,3,TRUE))^(1/12)</f>
        <v>0.99757644752594421</v>
      </c>
      <c r="AD491" s="23">
        <f t="shared" si="133"/>
        <v>0</v>
      </c>
      <c r="AE491">
        <f t="shared" si="126"/>
        <v>0</v>
      </c>
    </row>
    <row r="492" spans="1:31" x14ac:dyDescent="0.2">
      <c r="A492" s="2">
        <f t="shared" si="127"/>
        <v>57741</v>
      </c>
      <c r="B492">
        <f t="shared" si="123"/>
        <v>561</v>
      </c>
      <c r="C492" s="23">
        <f t="shared" si="128"/>
        <v>46.666666666666664</v>
      </c>
      <c r="D492" s="23">
        <f t="shared" si="129"/>
        <v>0</v>
      </c>
      <c r="E492" s="23">
        <f t="shared" si="121"/>
        <v>101</v>
      </c>
      <c r="F492" s="23">
        <f t="shared" si="122"/>
        <v>93</v>
      </c>
      <c r="G492" s="23">
        <f>IF(C492&gt;=$L$2,0,VLOOKUP($E492,'Mortality Table'!$A$3:$C$128,2+H$2,FALSE))</f>
        <v>0</v>
      </c>
      <c r="H492">
        <f>IF(C492&gt;=$L$2,0,VLOOKUP($E492,'Mortality Table'!$A$3:$C$128,2+I$2,FALSE))</f>
        <v>0</v>
      </c>
      <c r="I492" s="24">
        <f>G492*Assumptions!$B$1</f>
        <v>0</v>
      </c>
      <c r="J492" s="24">
        <f>H492*Assumptions!$B$1</f>
        <v>0</v>
      </c>
      <c r="K492" s="23">
        <f t="shared" si="130"/>
        <v>0</v>
      </c>
      <c r="L492" s="23">
        <f t="shared" si="131"/>
        <v>0</v>
      </c>
      <c r="M492" s="23">
        <f>HLOOKUP(C492,Assumptions!$A$6:$J$7,2,TRUE)</f>
        <v>2.6499999999999999E-2</v>
      </c>
      <c r="N492" s="23">
        <f t="shared" si="119"/>
        <v>0</v>
      </c>
      <c r="O492" s="23">
        <f t="shared" si="118"/>
        <v>0</v>
      </c>
      <c r="P492" s="23">
        <f t="shared" si="132"/>
        <v>0</v>
      </c>
      <c r="Q492" s="23">
        <f t="shared" si="120"/>
        <v>0</v>
      </c>
      <c r="R492" s="23">
        <f>Q491*Assumptions!$B$11/$E$2*N492</f>
        <v>0</v>
      </c>
      <c r="S492" s="23">
        <f>Q491*Assumptions!$B$13/$E$2*N492</f>
        <v>0</v>
      </c>
      <c r="T492" s="23">
        <f>L492*Assumptions!$B$15</f>
        <v>0</v>
      </c>
      <c r="U492" s="23">
        <f>S492*Assumptions!$B$17</f>
        <v>0</v>
      </c>
      <c r="V492" s="23">
        <f>HLOOKUP(B492,Assumptions!$A$26:$D$27,2,TRUE)</f>
        <v>0</v>
      </c>
      <c r="W492">
        <f t="shared" si="124"/>
        <v>0</v>
      </c>
      <c r="X492">
        <f t="shared" si="125"/>
        <v>0.6666666666666643</v>
      </c>
      <c r="Y492">
        <f>IF(B492&gt;$M$2,0,IF(X493=0,0,(1-X493)*Assumptions!$B$11/$E$2*(1-Assumptions!$B$30)))</f>
        <v>0</v>
      </c>
      <c r="Z492" s="23">
        <f>(R492-S492)*(1-Assumptions!$B$30)-U492+Y491*Q491</f>
        <v>0</v>
      </c>
      <c r="AA492" s="23">
        <f>AA491*(1+Assumptions!$B$36)^(1/12)</f>
        <v>1.4900988028022462</v>
      </c>
      <c r="AB492" s="20">
        <f>IF(B492&gt;$M$2,0,AA491*Assumptions!$B$32/12*Q491+Z492*Assumptions!$B$34/12)</f>
        <v>0</v>
      </c>
      <c r="AC492" s="21">
        <f>1/(1+HLOOKUP(YEAR(A492),Assumptions!$A$41:$AL$43,3,TRUE))^(1/12)</f>
        <v>0.99757644752594421</v>
      </c>
      <c r="AD492" s="23">
        <f t="shared" si="133"/>
        <v>0</v>
      </c>
      <c r="AE492">
        <f t="shared" si="126"/>
        <v>0</v>
      </c>
    </row>
    <row r="493" spans="1:31" x14ac:dyDescent="0.2">
      <c r="A493" s="2">
        <f t="shared" si="127"/>
        <v>57769</v>
      </c>
      <c r="B493">
        <f t="shared" si="123"/>
        <v>562</v>
      </c>
      <c r="C493" s="23">
        <f t="shared" si="128"/>
        <v>46.75</v>
      </c>
      <c r="D493" s="23">
        <f t="shared" si="129"/>
        <v>0</v>
      </c>
      <c r="E493" s="23">
        <f t="shared" si="121"/>
        <v>101</v>
      </c>
      <c r="F493" s="23">
        <f t="shared" si="122"/>
        <v>93</v>
      </c>
      <c r="G493" s="23">
        <f>IF(C493&gt;=$L$2,0,VLOOKUP($E493,'Mortality Table'!$A$3:$C$128,2+H$2,FALSE))</f>
        <v>0</v>
      </c>
      <c r="H493">
        <f>IF(C493&gt;=$L$2,0,VLOOKUP($E493,'Mortality Table'!$A$3:$C$128,2+I$2,FALSE))</f>
        <v>0</v>
      </c>
      <c r="I493" s="24">
        <f>G493*Assumptions!$B$1</f>
        <v>0</v>
      </c>
      <c r="J493" s="24">
        <f>H493*Assumptions!$B$1</f>
        <v>0</v>
      </c>
      <c r="K493" s="23">
        <f t="shared" si="130"/>
        <v>0</v>
      </c>
      <c r="L493" s="23">
        <f t="shared" si="131"/>
        <v>0</v>
      </c>
      <c r="M493" s="23">
        <f>HLOOKUP(C493,Assumptions!$A$6:$J$7,2,TRUE)</f>
        <v>2.6499999999999999E-2</v>
      </c>
      <c r="N493" s="23">
        <f t="shared" si="119"/>
        <v>0</v>
      </c>
      <c r="O493" s="23">
        <f t="shared" si="118"/>
        <v>0</v>
      </c>
      <c r="P493" s="23">
        <f t="shared" si="132"/>
        <v>0</v>
      </c>
      <c r="Q493" s="23">
        <f t="shared" si="120"/>
        <v>0</v>
      </c>
      <c r="R493" s="23">
        <f>Q492*Assumptions!$B$11/$E$2*N493</f>
        <v>0</v>
      </c>
      <c r="S493" s="23">
        <f>Q492*Assumptions!$B$13/$E$2*N493</f>
        <v>0</v>
      </c>
      <c r="T493" s="23">
        <f>L493*Assumptions!$B$15</f>
        <v>0</v>
      </c>
      <c r="U493" s="23">
        <f>S493*Assumptions!$B$17</f>
        <v>0</v>
      </c>
      <c r="V493" s="23">
        <f>HLOOKUP(B493,Assumptions!$A$26:$D$27,2,TRUE)</f>
        <v>0</v>
      </c>
      <c r="W493">
        <f t="shared" si="124"/>
        <v>0</v>
      </c>
      <c r="X493">
        <f t="shared" si="125"/>
        <v>0.75</v>
      </c>
      <c r="Y493">
        <f>IF(B493&gt;$M$2,0,IF(X494=0,0,(1-X494)*Assumptions!$B$11/$E$2*(1-Assumptions!$B$30)))</f>
        <v>0</v>
      </c>
      <c r="Z493" s="23">
        <f>(R493-S493)*(1-Assumptions!$B$30)-U493+Y492*Q492</f>
        <v>0</v>
      </c>
      <c r="AA493" s="23">
        <f>AA492*(1+Assumptions!$B$36)^(1/12)</f>
        <v>1.4913348965533122</v>
      </c>
      <c r="AB493" s="20">
        <f>IF(B493&gt;$M$2,0,AA492*Assumptions!$B$32/12*Q492+Z493*Assumptions!$B$34/12)</f>
        <v>0</v>
      </c>
      <c r="AC493" s="21">
        <f>1/(1+HLOOKUP(YEAR(A493),Assumptions!$A$41:$AL$43,3,TRUE))^(1/12)</f>
        <v>0.99757644752594421</v>
      </c>
      <c r="AD493" s="23">
        <f t="shared" si="133"/>
        <v>0</v>
      </c>
      <c r="AE493">
        <f t="shared" si="126"/>
        <v>0</v>
      </c>
    </row>
    <row r="494" spans="1:31" x14ac:dyDescent="0.2">
      <c r="A494" s="2">
        <f t="shared" si="127"/>
        <v>57800</v>
      </c>
      <c r="B494">
        <f t="shared" si="123"/>
        <v>563</v>
      </c>
      <c r="C494" s="23">
        <f t="shared" si="128"/>
        <v>46.833333333333336</v>
      </c>
      <c r="D494" s="23">
        <f t="shared" si="129"/>
        <v>0</v>
      </c>
      <c r="E494" s="23">
        <f t="shared" si="121"/>
        <v>101</v>
      </c>
      <c r="F494" s="23">
        <f t="shared" si="122"/>
        <v>93</v>
      </c>
      <c r="G494" s="23">
        <f>IF(C494&gt;=$L$2,0,VLOOKUP($E494,'Mortality Table'!$A$3:$C$128,2+H$2,FALSE))</f>
        <v>0</v>
      </c>
      <c r="H494">
        <f>IF(C494&gt;=$L$2,0,VLOOKUP($E494,'Mortality Table'!$A$3:$C$128,2+I$2,FALSE))</f>
        <v>0</v>
      </c>
      <c r="I494" s="24">
        <f>G494*Assumptions!$B$1</f>
        <v>0</v>
      </c>
      <c r="J494" s="24">
        <f>H494*Assumptions!$B$1</f>
        <v>0</v>
      </c>
      <c r="K494" s="23">
        <f t="shared" si="130"/>
        <v>0</v>
      </c>
      <c r="L494" s="23">
        <f t="shared" si="131"/>
        <v>0</v>
      </c>
      <c r="M494" s="23">
        <f>HLOOKUP(C494,Assumptions!$A$6:$J$7,2,TRUE)</f>
        <v>2.6499999999999999E-2</v>
      </c>
      <c r="N494" s="23">
        <f t="shared" si="119"/>
        <v>0</v>
      </c>
      <c r="O494" s="23">
        <f t="shared" si="118"/>
        <v>0</v>
      </c>
      <c r="P494" s="23">
        <f t="shared" si="132"/>
        <v>0</v>
      </c>
      <c r="Q494" s="23">
        <f t="shared" si="120"/>
        <v>0</v>
      </c>
      <c r="R494" s="23">
        <f>Q493*Assumptions!$B$11/$E$2*N494</f>
        <v>0</v>
      </c>
      <c r="S494" s="23">
        <f>Q493*Assumptions!$B$13/$E$2*N494</f>
        <v>0</v>
      </c>
      <c r="T494" s="23">
        <f>L494*Assumptions!$B$15</f>
        <v>0</v>
      </c>
      <c r="U494" s="23">
        <f>S494*Assumptions!$B$17</f>
        <v>0</v>
      </c>
      <c r="V494" s="23">
        <f>HLOOKUP(B494,Assumptions!$A$26:$D$27,2,TRUE)</f>
        <v>0</v>
      </c>
      <c r="W494">
        <f t="shared" si="124"/>
        <v>0</v>
      </c>
      <c r="X494">
        <f t="shared" si="125"/>
        <v>0.8333333333333357</v>
      </c>
      <c r="Y494">
        <f>IF(B494&gt;$M$2,0,IF(X495=0,0,(1-X495)*Assumptions!$B$11/$E$2*(1-Assumptions!$B$30)))</f>
        <v>0</v>
      </c>
      <c r="Z494" s="23">
        <f>(R494-S494)*(1-Assumptions!$B$30)-U494+Y493*Q493</f>
        <v>0</v>
      </c>
      <c r="AA494" s="23">
        <f>AA493*(1+Assumptions!$B$36)^(1/12)</f>
        <v>1.4925720156912576</v>
      </c>
      <c r="AB494" s="20">
        <f>IF(B494&gt;$M$2,0,AA493*Assumptions!$B$32/12*Q493+Z494*Assumptions!$B$34/12)</f>
        <v>0</v>
      </c>
      <c r="AC494" s="21">
        <f>1/(1+HLOOKUP(YEAR(A494),Assumptions!$A$41:$AL$43,3,TRUE))^(1/12)</f>
        <v>0.99757644752594421</v>
      </c>
      <c r="AD494" s="23">
        <f t="shared" si="133"/>
        <v>0</v>
      </c>
      <c r="AE494">
        <f t="shared" si="126"/>
        <v>0</v>
      </c>
    </row>
    <row r="495" spans="1:31" x14ac:dyDescent="0.2">
      <c r="A495" s="2">
        <f t="shared" si="127"/>
        <v>57830</v>
      </c>
      <c r="B495">
        <f t="shared" si="123"/>
        <v>564</v>
      </c>
      <c r="C495" s="23">
        <f t="shared" si="128"/>
        <v>46.916666666666664</v>
      </c>
      <c r="D495" s="23">
        <f t="shared" si="129"/>
        <v>0</v>
      </c>
      <c r="E495" s="23">
        <f t="shared" si="121"/>
        <v>101</v>
      </c>
      <c r="F495" s="23">
        <f t="shared" si="122"/>
        <v>93</v>
      </c>
      <c r="G495" s="23">
        <f>IF(C495&gt;=$L$2,0,VLOOKUP($E495,'Mortality Table'!$A$3:$C$128,2+H$2,FALSE))</f>
        <v>0</v>
      </c>
      <c r="H495">
        <f>IF(C495&gt;=$L$2,0,VLOOKUP($E495,'Mortality Table'!$A$3:$C$128,2+I$2,FALSE))</f>
        <v>0</v>
      </c>
      <c r="I495" s="24">
        <f>G495*Assumptions!$B$1</f>
        <v>0</v>
      </c>
      <c r="J495" s="24">
        <f>H495*Assumptions!$B$1</f>
        <v>0</v>
      </c>
      <c r="K495" s="23">
        <f t="shared" si="130"/>
        <v>0</v>
      </c>
      <c r="L495" s="23">
        <f t="shared" si="131"/>
        <v>0</v>
      </c>
      <c r="M495" s="23">
        <f>HLOOKUP(C495,Assumptions!$A$6:$J$7,2,TRUE)</f>
        <v>2.6499999999999999E-2</v>
      </c>
      <c r="N495" s="23">
        <f t="shared" si="119"/>
        <v>0</v>
      </c>
      <c r="O495" s="23">
        <f t="shared" si="118"/>
        <v>0</v>
      </c>
      <c r="P495" s="23">
        <f t="shared" si="132"/>
        <v>0</v>
      </c>
      <c r="Q495" s="23">
        <f t="shared" si="120"/>
        <v>0</v>
      </c>
      <c r="R495" s="23">
        <f>Q494*Assumptions!$B$11/$E$2*N495</f>
        <v>0</v>
      </c>
      <c r="S495" s="23">
        <f>Q494*Assumptions!$B$13/$E$2*N495</f>
        <v>0</v>
      </c>
      <c r="T495" s="23">
        <f>L495*Assumptions!$B$15</f>
        <v>0</v>
      </c>
      <c r="U495" s="23">
        <f>S495*Assumptions!$B$17</f>
        <v>0</v>
      </c>
      <c r="V495" s="23">
        <f>HLOOKUP(B495,Assumptions!$A$26:$D$27,2,TRUE)</f>
        <v>0</v>
      </c>
      <c r="W495">
        <f t="shared" si="124"/>
        <v>0</v>
      </c>
      <c r="X495">
        <f t="shared" si="125"/>
        <v>0.9166666666666643</v>
      </c>
      <c r="Y495">
        <f>IF(B495&gt;$M$2,0,IF(X496=0,0,(1-X496)*Assumptions!$B$11/$E$2*(1-Assumptions!$B$30)))</f>
        <v>0</v>
      </c>
      <c r="Z495" s="23">
        <f>(R495-S495)*(1-Assumptions!$B$30)-U495+Y494*Q494</f>
        <v>0</v>
      </c>
      <c r="AA495" s="23">
        <f>AA494*(1+Assumptions!$B$36)^(1/12)</f>
        <v>1.4938101610666801</v>
      </c>
      <c r="AB495" s="20">
        <f>IF(B495&gt;$M$2,0,AA494*Assumptions!$B$32/12*Q494+Z495*Assumptions!$B$34/12)</f>
        <v>0</v>
      </c>
      <c r="AC495" s="21">
        <f>1/(1+HLOOKUP(YEAR(A495),Assumptions!$A$41:$AL$43,3,TRUE))^(1/12)</f>
        <v>0.99757644752594421</v>
      </c>
      <c r="AD495" s="23">
        <f t="shared" si="133"/>
        <v>0</v>
      </c>
      <c r="AE495">
        <f t="shared" si="126"/>
        <v>0</v>
      </c>
    </row>
    <row r="496" spans="1:31" x14ac:dyDescent="0.2">
      <c r="A496" s="2">
        <f t="shared" si="127"/>
        <v>57861</v>
      </c>
      <c r="B496">
        <f t="shared" si="123"/>
        <v>565</v>
      </c>
      <c r="C496" s="23">
        <f t="shared" si="128"/>
        <v>47</v>
      </c>
      <c r="D496" s="23">
        <f t="shared" si="129"/>
        <v>1</v>
      </c>
      <c r="E496" s="23">
        <f t="shared" si="121"/>
        <v>102</v>
      </c>
      <c r="F496" s="23">
        <f t="shared" si="122"/>
        <v>94</v>
      </c>
      <c r="G496" s="23">
        <f>IF(C496&gt;=$L$2,0,VLOOKUP($E496,'Mortality Table'!$A$3:$C$128,2+H$2,FALSE))</f>
        <v>0</v>
      </c>
      <c r="H496">
        <f>IF(C496&gt;=$L$2,0,VLOOKUP($E496,'Mortality Table'!$A$3:$C$128,2+I$2,FALSE))</f>
        <v>0</v>
      </c>
      <c r="I496" s="24">
        <f>G496*Assumptions!$B$1</f>
        <v>0</v>
      </c>
      <c r="J496" s="24">
        <f>H496*Assumptions!$B$1</f>
        <v>0</v>
      </c>
      <c r="K496" s="23">
        <f t="shared" si="130"/>
        <v>0</v>
      </c>
      <c r="L496" s="23">
        <f t="shared" si="131"/>
        <v>0</v>
      </c>
      <c r="M496" s="23">
        <f>HLOOKUP(C496,Assumptions!$A$6:$J$7,2,TRUE)</f>
        <v>2.6499999999999999E-2</v>
      </c>
      <c r="N496" s="23">
        <f t="shared" si="119"/>
        <v>0</v>
      </c>
      <c r="O496" s="23">
        <f t="shared" si="118"/>
        <v>0</v>
      </c>
      <c r="P496" s="23">
        <f t="shared" si="132"/>
        <v>0</v>
      </c>
      <c r="Q496" s="23">
        <f t="shared" si="120"/>
        <v>0</v>
      </c>
      <c r="R496" s="23">
        <f>Q495*Assumptions!$B$11/$E$2*N496</f>
        <v>0</v>
      </c>
      <c r="S496" s="23">
        <f>Q495*Assumptions!$B$13/$E$2*N496</f>
        <v>0</v>
      </c>
      <c r="T496" s="23">
        <f>L496*Assumptions!$B$15</f>
        <v>0</v>
      </c>
      <c r="U496" s="23">
        <f>S496*Assumptions!$B$17</f>
        <v>0</v>
      </c>
      <c r="V496" s="23">
        <f>HLOOKUP(B496,Assumptions!$A$26:$D$27,2,TRUE)</f>
        <v>0</v>
      </c>
      <c r="W496">
        <f t="shared" si="124"/>
        <v>0</v>
      </c>
      <c r="X496">
        <f t="shared" si="125"/>
        <v>0</v>
      </c>
      <c r="Y496">
        <f>IF(B496&gt;$M$2,0,IF(X497=0,0,(1-X497)*Assumptions!$B$11/$E$2*(1-Assumptions!$B$30)))</f>
        <v>0</v>
      </c>
      <c r="Z496" s="23">
        <f>(R496-S496)*(1-Assumptions!$B$30)-U496+Y495*Q495</f>
        <v>0</v>
      </c>
      <c r="AA496" s="23">
        <f>AA495*(1+Assumptions!$B$36)^(1/12)</f>
        <v>1.4950493335308825</v>
      </c>
      <c r="AB496" s="20">
        <f>IF(B496&gt;$M$2,0,AA495*Assumptions!$B$32/12*Q495+Z496*Assumptions!$B$34/12)</f>
        <v>0</v>
      </c>
      <c r="AC496" s="21">
        <f>1/(1+HLOOKUP(YEAR(A496),Assumptions!$A$41:$AL$43,3,TRUE))^(1/12)</f>
        <v>0.99757644752594421</v>
      </c>
      <c r="AD496" s="23">
        <f t="shared" si="133"/>
        <v>0</v>
      </c>
      <c r="AE496">
        <f t="shared" si="126"/>
        <v>0</v>
      </c>
    </row>
    <row r="497" spans="1:31" x14ac:dyDescent="0.2">
      <c r="A497" s="2">
        <f t="shared" si="127"/>
        <v>57891</v>
      </c>
      <c r="B497">
        <f t="shared" si="123"/>
        <v>566</v>
      </c>
      <c r="C497" s="23">
        <f t="shared" si="128"/>
        <v>47.083333333333336</v>
      </c>
      <c r="D497" s="23">
        <f t="shared" si="129"/>
        <v>0</v>
      </c>
      <c r="E497" s="23">
        <f t="shared" si="121"/>
        <v>102</v>
      </c>
      <c r="F497" s="23">
        <f t="shared" si="122"/>
        <v>94</v>
      </c>
      <c r="G497" s="23">
        <f>IF(C497&gt;=$L$2,0,VLOOKUP($E497,'Mortality Table'!$A$3:$C$128,2+H$2,FALSE))</f>
        <v>0</v>
      </c>
      <c r="H497">
        <f>IF(C497&gt;=$L$2,0,VLOOKUP($E497,'Mortality Table'!$A$3:$C$128,2+I$2,FALSE))</f>
        <v>0</v>
      </c>
      <c r="I497" s="24">
        <f>G497*Assumptions!$B$1</f>
        <v>0</v>
      </c>
      <c r="J497" s="24">
        <f>H497*Assumptions!$B$1</f>
        <v>0</v>
      </c>
      <c r="K497" s="23">
        <f t="shared" si="130"/>
        <v>0</v>
      </c>
      <c r="L497" s="23">
        <f t="shared" si="131"/>
        <v>0</v>
      </c>
      <c r="M497" s="23">
        <f>HLOOKUP(C497,Assumptions!$A$6:$J$7,2,TRUE)</f>
        <v>2.6499999999999999E-2</v>
      </c>
      <c r="N497" s="23">
        <f t="shared" si="119"/>
        <v>0</v>
      </c>
      <c r="O497" s="23">
        <f t="shared" si="118"/>
        <v>0</v>
      </c>
      <c r="P497" s="23">
        <f t="shared" si="132"/>
        <v>0</v>
      </c>
      <c r="Q497" s="23">
        <f t="shared" si="120"/>
        <v>0</v>
      </c>
      <c r="R497" s="23">
        <f>Q496*Assumptions!$B$11/$E$2*N497</f>
        <v>0</v>
      </c>
      <c r="S497" s="23">
        <f>Q496*Assumptions!$B$13/$E$2*N497</f>
        <v>0</v>
      </c>
      <c r="T497" s="23">
        <f>L497*Assumptions!$B$15</f>
        <v>0</v>
      </c>
      <c r="U497" s="23">
        <f>S497*Assumptions!$B$17</f>
        <v>0</v>
      </c>
      <c r="V497" s="23">
        <f>HLOOKUP(B497,Assumptions!$A$26:$D$27,2,TRUE)</f>
        <v>0</v>
      </c>
      <c r="W497">
        <f t="shared" si="124"/>
        <v>0</v>
      </c>
      <c r="X497">
        <f t="shared" si="125"/>
        <v>8.3333333333335702E-2</v>
      </c>
      <c r="Y497">
        <f>IF(B497&gt;$M$2,0,IF(X498=0,0,(1-X498)*Assumptions!$B$11/$E$2*(1-Assumptions!$B$30)))</f>
        <v>0</v>
      </c>
      <c r="Z497" s="23">
        <f>(R497-S497)*(1-Assumptions!$B$30)-U497+Y496*Q496</f>
        <v>0</v>
      </c>
      <c r="AA497" s="23">
        <f>AA496*(1+Assumptions!$B$36)^(1/12)</f>
        <v>1.4962895339358742</v>
      </c>
      <c r="AB497" s="20">
        <f>IF(B497&gt;$M$2,0,AA496*Assumptions!$B$32/12*Q496+Z497*Assumptions!$B$34/12)</f>
        <v>0</v>
      </c>
      <c r="AC497" s="21">
        <f>1/(1+HLOOKUP(YEAR(A497),Assumptions!$A$41:$AL$43,3,TRUE))^(1/12)</f>
        <v>0.99757644752594421</v>
      </c>
      <c r="AD497" s="23">
        <f t="shared" si="133"/>
        <v>0</v>
      </c>
      <c r="AE497">
        <f t="shared" si="126"/>
        <v>0</v>
      </c>
    </row>
    <row r="498" spans="1:31" x14ac:dyDescent="0.2">
      <c r="A498" s="2">
        <f t="shared" si="127"/>
        <v>57922</v>
      </c>
      <c r="B498">
        <f t="shared" si="123"/>
        <v>567</v>
      </c>
      <c r="C498" s="23">
        <f t="shared" si="128"/>
        <v>47.166666666666664</v>
      </c>
      <c r="D498" s="23">
        <f t="shared" si="129"/>
        <v>0</v>
      </c>
      <c r="E498" s="23">
        <f t="shared" si="121"/>
        <v>102</v>
      </c>
      <c r="F498" s="23">
        <f t="shared" si="122"/>
        <v>94</v>
      </c>
      <c r="G498" s="23">
        <f>IF(C498&gt;=$L$2,0,VLOOKUP($E498,'Mortality Table'!$A$3:$C$128,2+H$2,FALSE))</f>
        <v>0</v>
      </c>
      <c r="H498">
        <f>IF(C498&gt;=$L$2,0,VLOOKUP($E498,'Mortality Table'!$A$3:$C$128,2+I$2,FALSE))</f>
        <v>0</v>
      </c>
      <c r="I498" s="24">
        <f>G498*Assumptions!$B$1</f>
        <v>0</v>
      </c>
      <c r="J498" s="24">
        <f>H498*Assumptions!$B$1</f>
        <v>0</v>
      </c>
      <c r="K498" s="23">
        <f t="shared" si="130"/>
        <v>0</v>
      </c>
      <c r="L498" s="23">
        <f t="shared" si="131"/>
        <v>0</v>
      </c>
      <c r="M498" s="23">
        <f>HLOOKUP(C498,Assumptions!$A$6:$J$7,2,TRUE)</f>
        <v>2.6499999999999999E-2</v>
      </c>
      <c r="N498" s="23">
        <f t="shared" si="119"/>
        <v>0</v>
      </c>
      <c r="O498" s="23">
        <f t="shared" si="118"/>
        <v>0</v>
      </c>
      <c r="P498" s="23">
        <f t="shared" si="132"/>
        <v>0</v>
      </c>
      <c r="Q498" s="23">
        <f t="shared" si="120"/>
        <v>0</v>
      </c>
      <c r="R498" s="23">
        <f>Q497*Assumptions!$B$11/$E$2*N498</f>
        <v>0</v>
      </c>
      <c r="S498" s="23">
        <f>Q497*Assumptions!$B$13/$E$2*N498</f>
        <v>0</v>
      </c>
      <c r="T498" s="23">
        <f>L498*Assumptions!$B$15</f>
        <v>0</v>
      </c>
      <c r="U498" s="23">
        <f>S498*Assumptions!$B$17</f>
        <v>0</v>
      </c>
      <c r="V498" s="23">
        <f>HLOOKUP(B498,Assumptions!$A$26:$D$27,2,TRUE)</f>
        <v>0</v>
      </c>
      <c r="W498">
        <f t="shared" si="124"/>
        <v>0</v>
      </c>
      <c r="X498">
        <f t="shared" si="125"/>
        <v>0.1666666666666643</v>
      </c>
      <c r="Y498">
        <f>IF(B498&gt;$M$2,0,IF(X499=0,0,(1-X499)*Assumptions!$B$11/$E$2*(1-Assumptions!$B$30)))</f>
        <v>0</v>
      </c>
      <c r="Z498" s="23">
        <f>(R498-S498)*(1-Assumptions!$B$30)-U498+Y497*Q497</f>
        <v>0</v>
      </c>
      <c r="AA498" s="23">
        <f>AA497*(1+Assumptions!$B$36)^(1/12)</f>
        <v>1.4975307631343713</v>
      </c>
      <c r="AB498" s="20">
        <f>IF(B498&gt;$M$2,0,AA497*Assumptions!$B$32/12*Q497+Z498*Assumptions!$B$34/12)</f>
        <v>0</v>
      </c>
      <c r="AC498" s="21">
        <f>1/(1+HLOOKUP(YEAR(A498),Assumptions!$A$41:$AL$43,3,TRUE))^(1/12)</f>
        <v>0.99757644752594421</v>
      </c>
      <c r="AD498" s="23">
        <f t="shared" si="133"/>
        <v>0</v>
      </c>
      <c r="AE498">
        <f t="shared" si="126"/>
        <v>0</v>
      </c>
    </row>
    <row r="499" spans="1:31" x14ac:dyDescent="0.2">
      <c r="A499" s="2">
        <f t="shared" si="127"/>
        <v>57953</v>
      </c>
      <c r="B499">
        <f t="shared" si="123"/>
        <v>568</v>
      </c>
      <c r="C499" s="23">
        <f t="shared" si="128"/>
        <v>47.25</v>
      </c>
      <c r="D499" s="23">
        <f t="shared" si="129"/>
        <v>0</v>
      </c>
      <c r="E499" s="23">
        <f t="shared" si="121"/>
        <v>102</v>
      </c>
      <c r="F499" s="23">
        <f t="shared" si="122"/>
        <v>94</v>
      </c>
      <c r="G499" s="23">
        <f>IF(C499&gt;=$L$2,0,VLOOKUP($E499,'Mortality Table'!$A$3:$C$128,2+H$2,FALSE))</f>
        <v>0</v>
      </c>
      <c r="H499">
        <f>IF(C499&gt;=$L$2,0,VLOOKUP($E499,'Mortality Table'!$A$3:$C$128,2+I$2,FALSE))</f>
        <v>0</v>
      </c>
      <c r="I499" s="24">
        <f>G499*Assumptions!$B$1</f>
        <v>0</v>
      </c>
      <c r="J499" s="24">
        <f>H499*Assumptions!$B$1</f>
        <v>0</v>
      </c>
      <c r="K499" s="23">
        <f t="shared" si="130"/>
        <v>0</v>
      </c>
      <c r="L499" s="23">
        <f t="shared" si="131"/>
        <v>0</v>
      </c>
      <c r="M499" s="23">
        <f>HLOOKUP(C499,Assumptions!$A$6:$J$7,2,TRUE)</f>
        <v>2.6499999999999999E-2</v>
      </c>
      <c r="N499" s="23">
        <f t="shared" si="119"/>
        <v>0</v>
      </c>
      <c r="O499" s="23">
        <f t="shared" si="118"/>
        <v>0</v>
      </c>
      <c r="P499" s="23">
        <f t="shared" si="132"/>
        <v>0</v>
      </c>
      <c r="Q499" s="23">
        <f t="shared" si="120"/>
        <v>0</v>
      </c>
      <c r="R499" s="23">
        <f>Q498*Assumptions!$B$11/$E$2*N499</f>
        <v>0</v>
      </c>
      <c r="S499" s="23">
        <f>Q498*Assumptions!$B$13/$E$2*N499</f>
        <v>0</v>
      </c>
      <c r="T499" s="23">
        <f>L499*Assumptions!$B$15</f>
        <v>0</v>
      </c>
      <c r="U499" s="23">
        <f>S499*Assumptions!$B$17</f>
        <v>0</v>
      </c>
      <c r="V499" s="23">
        <f>HLOOKUP(B499,Assumptions!$A$26:$D$27,2,TRUE)</f>
        <v>0</v>
      </c>
      <c r="W499">
        <f t="shared" si="124"/>
        <v>0</v>
      </c>
      <c r="X499">
        <f t="shared" si="125"/>
        <v>0.25</v>
      </c>
      <c r="Y499">
        <f>IF(B499&gt;$M$2,0,IF(X500=0,0,(1-X500)*Assumptions!$B$11/$E$2*(1-Assumptions!$B$30)))</f>
        <v>0</v>
      </c>
      <c r="Z499" s="23">
        <f>(R499-S499)*(1-Assumptions!$B$30)-U499+Y498*Q498</f>
        <v>0</v>
      </c>
      <c r="AA499" s="23">
        <f>AA498*(1+Assumptions!$B$36)^(1/12)</f>
        <v>1.4987730219797972</v>
      </c>
      <c r="AB499" s="20">
        <f>IF(B499&gt;$M$2,0,AA498*Assumptions!$B$32/12*Q498+Z499*Assumptions!$B$34/12)</f>
        <v>0</v>
      </c>
      <c r="AC499" s="21">
        <f>1/(1+HLOOKUP(YEAR(A499),Assumptions!$A$41:$AL$43,3,TRUE))^(1/12)</f>
        <v>0.99757644752594421</v>
      </c>
      <c r="AD499" s="23">
        <f t="shared" si="133"/>
        <v>0</v>
      </c>
      <c r="AE499">
        <f t="shared" si="126"/>
        <v>0</v>
      </c>
    </row>
    <row r="500" spans="1:31" x14ac:dyDescent="0.2">
      <c r="A500" s="2">
        <f t="shared" si="127"/>
        <v>57983</v>
      </c>
      <c r="B500">
        <f t="shared" si="123"/>
        <v>569</v>
      </c>
      <c r="C500" s="23">
        <f t="shared" si="128"/>
        <v>47.333333333333336</v>
      </c>
      <c r="D500" s="23">
        <f t="shared" si="129"/>
        <v>0</v>
      </c>
      <c r="E500" s="23">
        <f t="shared" si="121"/>
        <v>102</v>
      </c>
      <c r="F500" s="23">
        <f t="shared" si="122"/>
        <v>94</v>
      </c>
      <c r="G500" s="23">
        <f>IF(C500&gt;=$L$2,0,VLOOKUP($E500,'Mortality Table'!$A$3:$C$128,2+H$2,FALSE))</f>
        <v>0</v>
      </c>
      <c r="H500">
        <f>IF(C500&gt;=$L$2,0,VLOOKUP($E500,'Mortality Table'!$A$3:$C$128,2+I$2,FALSE))</f>
        <v>0</v>
      </c>
      <c r="I500" s="24">
        <f>G500*Assumptions!$B$1</f>
        <v>0</v>
      </c>
      <c r="J500" s="24">
        <f>H500*Assumptions!$B$1</f>
        <v>0</v>
      </c>
      <c r="K500" s="23">
        <f t="shared" si="130"/>
        <v>0</v>
      </c>
      <c r="L500" s="23">
        <f t="shared" si="131"/>
        <v>0</v>
      </c>
      <c r="M500" s="23">
        <f>HLOOKUP(C500,Assumptions!$A$6:$J$7,2,TRUE)</f>
        <v>2.6499999999999999E-2</v>
      </c>
      <c r="N500" s="23">
        <f t="shared" si="119"/>
        <v>0</v>
      </c>
      <c r="O500" s="23">
        <f t="shared" si="118"/>
        <v>0</v>
      </c>
      <c r="P500" s="23">
        <f t="shared" si="132"/>
        <v>0</v>
      </c>
      <c r="Q500" s="23">
        <f t="shared" si="120"/>
        <v>0</v>
      </c>
      <c r="R500" s="23">
        <f>Q499*Assumptions!$B$11/$E$2*N500</f>
        <v>0</v>
      </c>
      <c r="S500" s="23">
        <f>Q499*Assumptions!$B$13/$E$2*N500</f>
        <v>0</v>
      </c>
      <c r="T500" s="23">
        <f>L500*Assumptions!$B$15</f>
        <v>0</v>
      </c>
      <c r="U500" s="23">
        <f>S500*Assumptions!$B$17</f>
        <v>0</v>
      </c>
      <c r="V500" s="23">
        <f>HLOOKUP(B500,Assumptions!$A$26:$D$27,2,TRUE)</f>
        <v>0</v>
      </c>
      <c r="W500">
        <f t="shared" si="124"/>
        <v>0</v>
      </c>
      <c r="X500">
        <f t="shared" si="125"/>
        <v>0.3333333333333357</v>
      </c>
      <c r="Y500">
        <f>IF(B500&gt;$M$2,0,IF(X501=0,0,(1-X501)*Assumptions!$B$11/$E$2*(1-Assumptions!$B$30)))</f>
        <v>0</v>
      </c>
      <c r="Z500" s="23">
        <f>(R500-S500)*(1-Assumptions!$B$30)-U500+Y499*Q499</f>
        <v>0</v>
      </c>
      <c r="AA500" s="23">
        <f>AA499*(1+Assumptions!$B$36)^(1/12)</f>
        <v>1.5000163113262832</v>
      </c>
      <c r="AB500" s="20">
        <f>IF(B500&gt;$M$2,0,AA499*Assumptions!$B$32/12*Q499+Z500*Assumptions!$B$34/12)</f>
        <v>0</v>
      </c>
      <c r="AC500" s="21">
        <f>1/(1+HLOOKUP(YEAR(A500),Assumptions!$A$41:$AL$43,3,TRUE))^(1/12)</f>
        <v>0.99757644752594421</v>
      </c>
      <c r="AD500" s="23">
        <f t="shared" si="133"/>
        <v>0</v>
      </c>
      <c r="AE500">
        <f t="shared" si="126"/>
        <v>0</v>
      </c>
    </row>
    <row r="501" spans="1:31" x14ac:dyDescent="0.2">
      <c r="A501" s="2">
        <f t="shared" si="127"/>
        <v>58014</v>
      </c>
      <c r="B501">
        <f t="shared" si="123"/>
        <v>570</v>
      </c>
      <c r="C501" s="23">
        <f t="shared" si="128"/>
        <v>47.416666666666664</v>
      </c>
      <c r="D501" s="23">
        <f t="shared" si="129"/>
        <v>0</v>
      </c>
      <c r="E501" s="23">
        <f t="shared" si="121"/>
        <v>102</v>
      </c>
      <c r="F501" s="23">
        <f t="shared" si="122"/>
        <v>94</v>
      </c>
      <c r="G501" s="23">
        <f>IF(C501&gt;=$L$2,0,VLOOKUP($E501,'Mortality Table'!$A$3:$C$128,2+H$2,FALSE))</f>
        <v>0</v>
      </c>
      <c r="H501">
        <f>IF(C501&gt;=$L$2,0,VLOOKUP($E501,'Mortality Table'!$A$3:$C$128,2+I$2,FALSE))</f>
        <v>0</v>
      </c>
      <c r="I501" s="24">
        <f>G501*Assumptions!$B$1</f>
        <v>0</v>
      </c>
      <c r="J501" s="24">
        <f>H501*Assumptions!$B$1</f>
        <v>0</v>
      </c>
      <c r="K501" s="23">
        <f t="shared" si="130"/>
        <v>0</v>
      </c>
      <c r="L501" s="23">
        <f t="shared" si="131"/>
        <v>0</v>
      </c>
      <c r="M501" s="23">
        <f>HLOOKUP(C501,Assumptions!$A$6:$J$7,2,TRUE)</f>
        <v>2.6499999999999999E-2</v>
      </c>
      <c r="N501" s="23">
        <f t="shared" si="119"/>
        <v>0</v>
      </c>
      <c r="O501" s="23">
        <f t="shared" si="118"/>
        <v>0</v>
      </c>
      <c r="P501" s="23">
        <f t="shared" si="132"/>
        <v>0</v>
      </c>
      <c r="Q501" s="23">
        <f t="shared" si="120"/>
        <v>0</v>
      </c>
      <c r="R501" s="23">
        <f>Q500*Assumptions!$B$11/$E$2*N501</f>
        <v>0</v>
      </c>
      <c r="S501" s="23">
        <f>Q500*Assumptions!$B$13/$E$2*N501</f>
        <v>0</v>
      </c>
      <c r="T501" s="23">
        <f>L501*Assumptions!$B$15</f>
        <v>0</v>
      </c>
      <c r="U501" s="23">
        <f>S501*Assumptions!$B$17</f>
        <v>0</v>
      </c>
      <c r="V501" s="23">
        <f>HLOOKUP(B501,Assumptions!$A$26:$D$27,2,TRUE)</f>
        <v>0</v>
      </c>
      <c r="W501">
        <f t="shared" si="124"/>
        <v>0</v>
      </c>
      <c r="X501">
        <f t="shared" si="125"/>
        <v>0.4166666666666643</v>
      </c>
      <c r="Y501">
        <f>IF(B501&gt;$M$2,0,IF(X502=0,0,(1-X502)*Assumptions!$B$11/$E$2*(1-Assumptions!$B$30)))</f>
        <v>0</v>
      </c>
      <c r="Z501" s="23">
        <f>(R501-S501)*(1-Assumptions!$B$30)-U501+Y500*Q500</f>
        <v>0</v>
      </c>
      <c r="AA501" s="23">
        <f>AA500*(1+Assumptions!$B$36)^(1/12)</f>
        <v>1.5012606320286692</v>
      </c>
      <c r="AB501" s="20">
        <f>IF(B501&gt;$M$2,0,AA500*Assumptions!$B$32/12*Q500+Z501*Assumptions!$B$34/12)</f>
        <v>0</v>
      </c>
      <c r="AC501" s="21">
        <f>1/(1+HLOOKUP(YEAR(A501),Assumptions!$A$41:$AL$43,3,TRUE))^(1/12)</f>
        <v>0.99757644752594421</v>
      </c>
      <c r="AD501" s="23">
        <f t="shared" si="133"/>
        <v>0</v>
      </c>
      <c r="AE501">
        <f t="shared" si="126"/>
        <v>0</v>
      </c>
    </row>
    <row r="502" spans="1:31" x14ac:dyDescent="0.2">
      <c r="A502" s="2">
        <f t="shared" si="127"/>
        <v>58044</v>
      </c>
      <c r="B502">
        <f t="shared" si="123"/>
        <v>571</v>
      </c>
      <c r="C502" s="23">
        <f t="shared" si="128"/>
        <v>47.5</v>
      </c>
      <c r="D502" s="23">
        <f t="shared" si="129"/>
        <v>0</v>
      </c>
      <c r="E502" s="23">
        <f t="shared" si="121"/>
        <v>102</v>
      </c>
      <c r="F502" s="23">
        <f t="shared" si="122"/>
        <v>94</v>
      </c>
      <c r="G502" s="23">
        <f>IF(C502&gt;=$L$2,0,VLOOKUP($E502,'Mortality Table'!$A$3:$C$128,2+H$2,FALSE))</f>
        <v>0</v>
      </c>
      <c r="H502">
        <f>IF(C502&gt;=$L$2,0,VLOOKUP($E502,'Mortality Table'!$A$3:$C$128,2+I$2,FALSE))</f>
        <v>0</v>
      </c>
      <c r="I502" s="24">
        <f>G502*Assumptions!$B$1</f>
        <v>0</v>
      </c>
      <c r="J502" s="24">
        <f>H502*Assumptions!$B$1</f>
        <v>0</v>
      </c>
      <c r="K502" s="23">
        <f t="shared" si="130"/>
        <v>0</v>
      </c>
      <c r="L502" s="23">
        <f t="shared" si="131"/>
        <v>0</v>
      </c>
      <c r="M502" s="23">
        <f>HLOOKUP(C502,Assumptions!$A$6:$J$7,2,TRUE)</f>
        <v>2.6499999999999999E-2</v>
      </c>
      <c r="N502" s="23">
        <f t="shared" si="119"/>
        <v>0</v>
      </c>
      <c r="O502" s="23">
        <f t="shared" si="118"/>
        <v>0</v>
      </c>
      <c r="P502" s="23">
        <f t="shared" si="132"/>
        <v>0</v>
      </c>
      <c r="Q502" s="23">
        <f t="shared" si="120"/>
        <v>0</v>
      </c>
      <c r="R502" s="23">
        <f>Q501*Assumptions!$B$11/$E$2*N502</f>
        <v>0</v>
      </c>
      <c r="S502" s="23">
        <f>Q501*Assumptions!$B$13/$E$2*N502</f>
        <v>0</v>
      </c>
      <c r="T502" s="23">
        <f>L502*Assumptions!$B$15</f>
        <v>0</v>
      </c>
      <c r="U502" s="23">
        <f>S502*Assumptions!$B$17</f>
        <v>0</v>
      </c>
      <c r="V502" s="23">
        <f>HLOOKUP(B502,Assumptions!$A$26:$D$27,2,TRUE)</f>
        <v>0</v>
      </c>
      <c r="W502">
        <f t="shared" si="124"/>
        <v>0</v>
      </c>
      <c r="X502">
        <f t="shared" si="125"/>
        <v>0.5</v>
      </c>
      <c r="Y502">
        <f>IF(B502&gt;$M$2,0,IF(X503=0,0,(1-X503)*Assumptions!$B$11/$E$2*(1-Assumptions!$B$30)))</f>
        <v>0</v>
      </c>
      <c r="Z502" s="23">
        <f>(R502-S502)*(1-Assumptions!$B$30)-U502+Y501*Q501</f>
        <v>0</v>
      </c>
      <c r="AA502" s="23">
        <f>AA501*(1+Assumptions!$B$36)^(1/12)</f>
        <v>1.5025059849425044</v>
      </c>
      <c r="AB502" s="20">
        <f>IF(B502&gt;$M$2,0,AA501*Assumptions!$B$32/12*Q501+Z502*Assumptions!$B$34/12)</f>
        <v>0</v>
      </c>
      <c r="AC502" s="21">
        <f>1/(1+HLOOKUP(YEAR(A502),Assumptions!$A$41:$AL$43,3,TRUE))^(1/12)</f>
        <v>0.99757644752594421</v>
      </c>
      <c r="AD502" s="23">
        <f t="shared" si="133"/>
        <v>0</v>
      </c>
      <c r="AE502">
        <f t="shared" si="126"/>
        <v>0</v>
      </c>
    </row>
    <row r="503" spans="1:31" x14ac:dyDescent="0.2">
      <c r="A503" s="2">
        <f t="shared" si="127"/>
        <v>58075</v>
      </c>
      <c r="B503">
        <f t="shared" si="123"/>
        <v>572</v>
      </c>
      <c r="C503" s="23">
        <f t="shared" si="128"/>
        <v>47.583333333333336</v>
      </c>
      <c r="D503" s="23">
        <f t="shared" si="129"/>
        <v>0</v>
      </c>
      <c r="E503" s="23">
        <f t="shared" si="121"/>
        <v>102</v>
      </c>
      <c r="F503" s="23">
        <f t="shared" si="122"/>
        <v>94</v>
      </c>
      <c r="G503" s="23">
        <f>IF(C503&gt;=$L$2,0,VLOOKUP($E503,'Mortality Table'!$A$3:$C$128,2+H$2,FALSE))</f>
        <v>0</v>
      </c>
      <c r="H503">
        <f>IF(C503&gt;=$L$2,0,VLOOKUP($E503,'Mortality Table'!$A$3:$C$128,2+I$2,FALSE))</f>
        <v>0</v>
      </c>
      <c r="I503" s="24">
        <f>G503*Assumptions!$B$1</f>
        <v>0</v>
      </c>
      <c r="J503" s="24">
        <f>H503*Assumptions!$B$1</f>
        <v>0</v>
      </c>
      <c r="K503" s="23">
        <f t="shared" si="130"/>
        <v>0</v>
      </c>
      <c r="L503" s="23">
        <f t="shared" si="131"/>
        <v>0</v>
      </c>
      <c r="M503" s="23">
        <f>HLOOKUP(C503,Assumptions!$A$6:$J$7,2,TRUE)</f>
        <v>2.6499999999999999E-2</v>
      </c>
      <c r="N503" s="23">
        <f t="shared" si="119"/>
        <v>0</v>
      </c>
      <c r="O503" s="23">
        <f t="shared" si="118"/>
        <v>0</v>
      </c>
      <c r="P503" s="23">
        <f t="shared" si="132"/>
        <v>0</v>
      </c>
      <c r="Q503" s="23">
        <f t="shared" si="120"/>
        <v>0</v>
      </c>
      <c r="R503" s="23">
        <f>Q502*Assumptions!$B$11/$E$2*N503</f>
        <v>0</v>
      </c>
      <c r="S503" s="23">
        <f>Q502*Assumptions!$B$13/$E$2*N503</f>
        <v>0</v>
      </c>
      <c r="T503" s="23">
        <f>L503*Assumptions!$B$15</f>
        <v>0</v>
      </c>
      <c r="U503" s="23">
        <f>S503*Assumptions!$B$17</f>
        <v>0</v>
      </c>
      <c r="V503" s="23">
        <f>HLOOKUP(B503,Assumptions!$A$26:$D$27,2,TRUE)</f>
        <v>0</v>
      </c>
      <c r="W503">
        <f t="shared" si="124"/>
        <v>0</v>
      </c>
      <c r="X503">
        <f t="shared" si="125"/>
        <v>0.5833333333333357</v>
      </c>
      <c r="Y503">
        <f>IF(B503&gt;$M$2,0,IF(X504=0,0,(1-X504)*Assumptions!$B$11/$E$2*(1-Assumptions!$B$30)))</f>
        <v>0</v>
      </c>
      <c r="Z503" s="23">
        <f>(R503-S503)*(1-Assumptions!$B$30)-U503+Y502*Q502</f>
        <v>0</v>
      </c>
      <c r="AA503" s="23">
        <f>AA502*(1+Assumptions!$B$36)^(1/12)</f>
        <v>1.5037523709240475</v>
      </c>
      <c r="AB503" s="20">
        <f>IF(B503&gt;$M$2,0,AA502*Assumptions!$B$32/12*Q502+Z503*Assumptions!$B$34/12)</f>
        <v>0</v>
      </c>
      <c r="AC503" s="21">
        <f>1/(1+HLOOKUP(YEAR(A503),Assumptions!$A$41:$AL$43,3,TRUE))^(1/12)</f>
        <v>0.99757644752594421</v>
      </c>
      <c r="AD503" s="23">
        <f t="shared" si="133"/>
        <v>0</v>
      </c>
      <c r="AE503">
        <f t="shared" si="126"/>
        <v>0</v>
      </c>
    </row>
    <row r="504" spans="1:31" x14ac:dyDescent="0.2">
      <c r="A504" s="2">
        <f t="shared" si="127"/>
        <v>58106</v>
      </c>
      <c r="B504">
        <f t="shared" si="123"/>
        <v>573</v>
      </c>
      <c r="C504" s="23">
        <f t="shared" si="128"/>
        <v>47.666666666666664</v>
      </c>
      <c r="D504" s="23">
        <f t="shared" si="129"/>
        <v>0</v>
      </c>
      <c r="E504" s="23">
        <f t="shared" si="121"/>
        <v>102</v>
      </c>
      <c r="F504" s="23">
        <f t="shared" si="122"/>
        <v>94</v>
      </c>
      <c r="G504" s="23">
        <f>IF(C504&gt;=$L$2,0,VLOOKUP($E504,'Mortality Table'!$A$3:$C$128,2+H$2,FALSE))</f>
        <v>0</v>
      </c>
      <c r="H504">
        <f>IF(C504&gt;=$L$2,0,VLOOKUP($E504,'Mortality Table'!$A$3:$C$128,2+I$2,FALSE))</f>
        <v>0</v>
      </c>
      <c r="I504" s="24">
        <f>G504*Assumptions!$B$1</f>
        <v>0</v>
      </c>
      <c r="J504" s="24">
        <f>H504*Assumptions!$B$1</f>
        <v>0</v>
      </c>
      <c r="K504" s="23">
        <f t="shared" si="130"/>
        <v>0</v>
      </c>
      <c r="L504" s="23">
        <f t="shared" si="131"/>
        <v>0</v>
      </c>
      <c r="M504" s="23">
        <f>HLOOKUP(C504,Assumptions!$A$6:$J$7,2,TRUE)</f>
        <v>2.6499999999999999E-2</v>
      </c>
      <c r="N504" s="23">
        <f t="shared" si="119"/>
        <v>0</v>
      </c>
      <c r="O504" s="23">
        <f t="shared" si="118"/>
        <v>0</v>
      </c>
      <c r="P504" s="23">
        <f t="shared" si="132"/>
        <v>0</v>
      </c>
      <c r="Q504" s="23">
        <f t="shared" si="120"/>
        <v>0</v>
      </c>
      <c r="R504" s="23">
        <f>Q503*Assumptions!$B$11/$E$2*N504</f>
        <v>0</v>
      </c>
      <c r="S504" s="23">
        <f>Q503*Assumptions!$B$13/$E$2*N504</f>
        <v>0</v>
      </c>
      <c r="T504" s="23">
        <f>L504*Assumptions!$B$15</f>
        <v>0</v>
      </c>
      <c r="U504" s="23">
        <f>S504*Assumptions!$B$17</f>
        <v>0</v>
      </c>
      <c r="V504" s="23">
        <f>HLOOKUP(B504,Assumptions!$A$26:$D$27,2,TRUE)</f>
        <v>0</v>
      </c>
      <c r="W504">
        <f t="shared" si="124"/>
        <v>0</v>
      </c>
      <c r="X504">
        <f t="shared" si="125"/>
        <v>0.6666666666666643</v>
      </c>
      <c r="Y504">
        <f>IF(B504&gt;$M$2,0,IF(X505=0,0,(1-X505)*Assumptions!$B$11/$E$2*(1-Assumptions!$B$30)))</f>
        <v>0</v>
      </c>
      <c r="Z504" s="23">
        <f>(R504-S504)*(1-Assumptions!$B$30)-U504+Y503*Q503</f>
        <v>0</v>
      </c>
      <c r="AA504" s="23">
        <f>AA503*(1+Assumptions!$B$36)^(1/12)</f>
        <v>1.5049997908302675</v>
      </c>
      <c r="AB504" s="20">
        <f>IF(B504&gt;$M$2,0,AA503*Assumptions!$B$32/12*Q503+Z504*Assumptions!$B$34/12)</f>
        <v>0</v>
      </c>
      <c r="AC504" s="21">
        <f>1/(1+HLOOKUP(YEAR(A504),Assumptions!$A$41:$AL$43,3,TRUE))^(1/12)</f>
        <v>0.99757644752594421</v>
      </c>
      <c r="AD504" s="23">
        <f t="shared" si="133"/>
        <v>0</v>
      </c>
      <c r="AE504">
        <f t="shared" si="126"/>
        <v>0</v>
      </c>
    </row>
    <row r="505" spans="1:31" x14ac:dyDescent="0.2">
      <c r="A505" s="2">
        <f t="shared" si="127"/>
        <v>58134</v>
      </c>
      <c r="B505">
        <f t="shared" si="123"/>
        <v>574</v>
      </c>
      <c r="C505" s="23">
        <f t="shared" si="128"/>
        <v>47.75</v>
      </c>
      <c r="D505" s="23">
        <f t="shared" si="129"/>
        <v>0</v>
      </c>
      <c r="E505" s="23">
        <f t="shared" si="121"/>
        <v>102</v>
      </c>
      <c r="F505" s="23">
        <f t="shared" si="122"/>
        <v>94</v>
      </c>
      <c r="G505" s="23">
        <f>IF(C505&gt;=$L$2,0,VLOOKUP($E505,'Mortality Table'!$A$3:$C$128,2+H$2,FALSE))</f>
        <v>0</v>
      </c>
      <c r="H505">
        <f>IF(C505&gt;=$L$2,0,VLOOKUP($E505,'Mortality Table'!$A$3:$C$128,2+I$2,FALSE))</f>
        <v>0</v>
      </c>
      <c r="I505" s="24">
        <f>G505*Assumptions!$B$1</f>
        <v>0</v>
      </c>
      <c r="J505" s="24">
        <f>H505*Assumptions!$B$1</f>
        <v>0</v>
      </c>
      <c r="K505" s="23">
        <f t="shared" si="130"/>
        <v>0</v>
      </c>
      <c r="L505" s="23">
        <f t="shared" si="131"/>
        <v>0</v>
      </c>
      <c r="M505" s="23">
        <f>HLOOKUP(C505,Assumptions!$A$6:$J$7,2,TRUE)</f>
        <v>2.6499999999999999E-2</v>
      </c>
      <c r="N505" s="23">
        <f t="shared" si="119"/>
        <v>0</v>
      </c>
      <c r="O505" s="23">
        <f t="shared" si="118"/>
        <v>0</v>
      </c>
      <c r="P505" s="23">
        <f t="shared" si="132"/>
        <v>0</v>
      </c>
      <c r="Q505" s="23">
        <f t="shared" si="120"/>
        <v>0</v>
      </c>
      <c r="R505" s="23">
        <f>Q504*Assumptions!$B$11/$E$2*N505</f>
        <v>0</v>
      </c>
      <c r="S505" s="23">
        <f>Q504*Assumptions!$B$13/$E$2*N505</f>
        <v>0</v>
      </c>
      <c r="T505" s="23">
        <f>L505*Assumptions!$B$15</f>
        <v>0</v>
      </c>
      <c r="U505" s="23">
        <f>S505*Assumptions!$B$17</f>
        <v>0</v>
      </c>
      <c r="V505" s="23">
        <f>HLOOKUP(B505,Assumptions!$A$26:$D$27,2,TRUE)</f>
        <v>0</v>
      </c>
      <c r="W505">
        <f t="shared" si="124"/>
        <v>0</v>
      </c>
      <c r="X505">
        <f t="shared" si="125"/>
        <v>0.75</v>
      </c>
      <c r="Y505">
        <f>IF(B505&gt;$M$2,0,IF(X506=0,0,(1-X506)*Assumptions!$B$11/$E$2*(1-Assumptions!$B$30)))</f>
        <v>0</v>
      </c>
      <c r="Z505" s="23">
        <f>(R505-S505)*(1-Assumptions!$B$30)-U505+Y504*Q504</f>
        <v>0</v>
      </c>
      <c r="AA505" s="23">
        <f>AA504*(1+Assumptions!$B$36)^(1/12)</f>
        <v>1.5062482455188442</v>
      </c>
      <c r="AB505" s="20">
        <f>IF(B505&gt;$M$2,0,AA504*Assumptions!$B$32/12*Q504+Z505*Assumptions!$B$34/12)</f>
        <v>0</v>
      </c>
      <c r="AC505" s="21">
        <f>1/(1+HLOOKUP(YEAR(A505),Assumptions!$A$41:$AL$43,3,TRUE))^(1/12)</f>
        <v>0.99757644752594421</v>
      </c>
      <c r="AD505" s="23">
        <f t="shared" si="133"/>
        <v>0</v>
      </c>
      <c r="AE505">
        <f t="shared" si="126"/>
        <v>0</v>
      </c>
    </row>
    <row r="506" spans="1:31" x14ac:dyDescent="0.2">
      <c r="A506" s="2">
        <f t="shared" si="127"/>
        <v>58165</v>
      </c>
      <c r="B506">
        <f t="shared" si="123"/>
        <v>575</v>
      </c>
      <c r="C506" s="23">
        <f t="shared" si="128"/>
        <v>47.833333333333336</v>
      </c>
      <c r="D506" s="23">
        <f t="shared" si="129"/>
        <v>0</v>
      </c>
      <c r="E506" s="23">
        <f t="shared" si="121"/>
        <v>102</v>
      </c>
      <c r="F506" s="23">
        <f t="shared" si="122"/>
        <v>94</v>
      </c>
      <c r="G506" s="23">
        <f>IF(C506&gt;=$L$2,0,VLOOKUP($E506,'Mortality Table'!$A$3:$C$128,2+H$2,FALSE))</f>
        <v>0</v>
      </c>
      <c r="H506">
        <f>IF(C506&gt;=$L$2,0,VLOOKUP($E506,'Mortality Table'!$A$3:$C$128,2+I$2,FALSE))</f>
        <v>0</v>
      </c>
      <c r="I506" s="24">
        <f>G506*Assumptions!$B$1</f>
        <v>0</v>
      </c>
      <c r="J506" s="24">
        <f>H506*Assumptions!$B$1</f>
        <v>0</v>
      </c>
      <c r="K506" s="23">
        <f t="shared" si="130"/>
        <v>0</v>
      </c>
      <c r="L506" s="23">
        <f t="shared" si="131"/>
        <v>0</v>
      </c>
      <c r="M506" s="23">
        <f>HLOOKUP(C506,Assumptions!$A$6:$J$7,2,TRUE)</f>
        <v>2.6499999999999999E-2</v>
      </c>
      <c r="N506" s="23">
        <f t="shared" si="119"/>
        <v>0</v>
      </c>
      <c r="O506" s="23">
        <f t="shared" si="118"/>
        <v>0</v>
      </c>
      <c r="P506" s="23">
        <f t="shared" si="132"/>
        <v>0</v>
      </c>
      <c r="Q506" s="23">
        <f t="shared" si="120"/>
        <v>0</v>
      </c>
      <c r="R506" s="23">
        <f>Q505*Assumptions!$B$11/$E$2*N506</f>
        <v>0</v>
      </c>
      <c r="S506" s="23">
        <f>Q505*Assumptions!$B$13/$E$2*N506</f>
        <v>0</v>
      </c>
      <c r="T506" s="23">
        <f>L506*Assumptions!$B$15</f>
        <v>0</v>
      </c>
      <c r="U506" s="23">
        <f>S506*Assumptions!$B$17</f>
        <v>0</v>
      </c>
      <c r="V506" s="23">
        <f>HLOOKUP(B506,Assumptions!$A$26:$D$27,2,TRUE)</f>
        <v>0</v>
      </c>
      <c r="W506">
        <f t="shared" si="124"/>
        <v>0</v>
      </c>
      <c r="X506">
        <f t="shared" si="125"/>
        <v>0.8333333333333357</v>
      </c>
      <c r="Y506">
        <f>IF(B506&gt;$M$2,0,IF(X507=0,0,(1-X507)*Assumptions!$B$11/$E$2*(1-Assumptions!$B$30)))</f>
        <v>0</v>
      </c>
      <c r="Z506" s="23">
        <f>(R506-S506)*(1-Assumptions!$B$30)-U506+Y505*Q505</f>
        <v>0</v>
      </c>
      <c r="AA506" s="23">
        <f>AA505*(1+Assumptions!$B$36)^(1/12)</f>
        <v>1.5074977358481692</v>
      </c>
      <c r="AB506" s="20">
        <f>IF(B506&gt;$M$2,0,AA505*Assumptions!$B$32/12*Q505+Z506*Assumptions!$B$34/12)</f>
        <v>0</v>
      </c>
      <c r="AC506" s="21">
        <f>1/(1+HLOOKUP(YEAR(A506),Assumptions!$A$41:$AL$43,3,TRUE))^(1/12)</f>
        <v>0.99757644752594421</v>
      </c>
      <c r="AD506" s="23">
        <f t="shared" si="133"/>
        <v>0</v>
      </c>
      <c r="AE506">
        <f t="shared" si="126"/>
        <v>0</v>
      </c>
    </row>
    <row r="507" spans="1:31" x14ac:dyDescent="0.2">
      <c r="A507" s="2">
        <f t="shared" si="127"/>
        <v>58195</v>
      </c>
      <c r="B507">
        <f t="shared" si="123"/>
        <v>576</v>
      </c>
      <c r="C507" s="23">
        <f t="shared" si="128"/>
        <v>47.916666666666664</v>
      </c>
      <c r="D507" s="23">
        <f t="shared" si="129"/>
        <v>0</v>
      </c>
      <c r="E507" s="23">
        <f t="shared" si="121"/>
        <v>102</v>
      </c>
      <c r="F507" s="23">
        <f t="shared" si="122"/>
        <v>94</v>
      </c>
      <c r="G507" s="23">
        <f>IF(C507&gt;=$L$2,0,VLOOKUP($E507,'Mortality Table'!$A$3:$C$128,2+H$2,FALSE))</f>
        <v>0</v>
      </c>
      <c r="H507">
        <f>IF(C507&gt;=$L$2,0,VLOOKUP($E507,'Mortality Table'!$A$3:$C$128,2+I$2,FALSE))</f>
        <v>0</v>
      </c>
      <c r="I507" s="24">
        <f>G507*Assumptions!$B$1</f>
        <v>0</v>
      </c>
      <c r="J507" s="24">
        <f>H507*Assumptions!$B$1</f>
        <v>0</v>
      </c>
      <c r="K507" s="23">
        <f t="shared" si="130"/>
        <v>0</v>
      </c>
      <c r="L507" s="23">
        <f t="shared" si="131"/>
        <v>0</v>
      </c>
      <c r="M507" s="23">
        <f>HLOOKUP(C507,Assumptions!$A$6:$J$7,2,TRUE)</f>
        <v>2.6499999999999999E-2</v>
      </c>
      <c r="N507" s="23">
        <f t="shared" si="119"/>
        <v>0</v>
      </c>
      <c r="O507" s="23">
        <f t="shared" si="118"/>
        <v>0</v>
      </c>
      <c r="P507" s="23">
        <f t="shared" si="132"/>
        <v>0</v>
      </c>
      <c r="Q507" s="23">
        <f t="shared" si="120"/>
        <v>0</v>
      </c>
      <c r="R507" s="23">
        <f>Q506*Assumptions!$B$11/$E$2*N507</f>
        <v>0</v>
      </c>
      <c r="S507" s="23">
        <f>Q506*Assumptions!$B$13/$E$2*N507</f>
        <v>0</v>
      </c>
      <c r="T507" s="23">
        <f>L507*Assumptions!$B$15</f>
        <v>0</v>
      </c>
      <c r="U507" s="23">
        <f>S507*Assumptions!$B$17</f>
        <v>0</v>
      </c>
      <c r="V507" s="23">
        <f>HLOOKUP(B507,Assumptions!$A$26:$D$27,2,TRUE)</f>
        <v>0</v>
      </c>
      <c r="W507">
        <f t="shared" si="124"/>
        <v>0</v>
      </c>
      <c r="X507">
        <f t="shared" si="125"/>
        <v>0.9166666666666643</v>
      </c>
      <c r="Y507">
        <f>IF(B507&gt;$M$2,0,IF(X508=0,0,(1-X508)*Assumptions!$B$11/$E$2*(1-Assumptions!$B$30)))</f>
        <v>0</v>
      </c>
      <c r="Z507" s="23">
        <f>(R507-S507)*(1-Assumptions!$B$30)-U507+Y506*Q506</f>
        <v>0</v>
      </c>
      <c r="AA507" s="23">
        <f>AA506*(1+Assumptions!$B$36)^(1/12)</f>
        <v>1.5087482626773459</v>
      </c>
      <c r="AB507" s="20">
        <f>IF(B507&gt;$M$2,0,AA506*Assumptions!$B$32/12*Q506+Z507*Assumptions!$B$34/12)</f>
        <v>0</v>
      </c>
      <c r="AC507" s="21">
        <f>1/(1+HLOOKUP(YEAR(A507),Assumptions!$A$41:$AL$43,3,TRUE))^(1/12)</f>
        <v>0.99757644752594421</v>
      </c>
      <c r="AD507" s="23">
        <f t="shared" si="133"/>
        <v>0</v>
      </c>
      <c r="AE507">
        <f t="shared" si="126"/>
        <v>0</v>
      </c>
    </row>
    <row r="508" spans="1:31" x14ac:dyDescent="0.2">
      <c r="A508" s="2">
        <f t="shared" si="127"/>
        <v>58226</v>
      </c>
      <c r="B508">
        <f t="shared" si="123"/>
        <v>577</v>
      </c>
      <c r="C508" s="23">
        <f t="shared" si="128"/>
        <v>48</v>
      </c>
      <c r="D508" s="23">
        <f t="shared" si="129"/>
        <v>1</v>
      </c>
      <c r="E508" s="23">
        <f t="shared" si="121"/>
        <v>103</v>
      </c>
      <c r="F508" s="23">
        <f t="shared" si="122"/>
        <v>95</v>
      </c>
      <c r="G508" s="23">
        <f>IF(C508&gt;=$L$2,0,VLOOKUP($E508,'Mortality Table'!$A$3:$C$128,2+H$2,FALSE))</f>
        <v>0</v>
      </c>
      <c r="H508">
        <f>IF(C508&gt;=$L$2,0,VLOOKUP($E508,'Mortality Table'!$A$3:$C$128,2+I$2,FALSE))</f>
        <v>0</v>
      </c>
      <c r="I508" s="24">
        <f>G508*Assumptions!$B$1</f>
        <v>0</v>
      </c>
      <c r="J508" s="24">
        <f>H508*Assumptions!$B$1</f>
        <v>0</v>
      </c>
      <c r="K508" s="23">
        <f t="shared" si="130"/>
        <v>0</v>
      </c>
      <c r="L508" s="23">
        <f t="shared" si="131"/>
        <v>0</v>
      </c>
      <c r="M508" s="23">
        <f>HLOOKUP(C508,Assumptions!$A$6:$J$7,2,TRUE)</f>
        <v>2.6499999999999999E-2</v>
      </c>
      <c r="N508" s="23">
        <f t="shared" si="119"/>
        <v>0</v>
      </c>
      <c r="O508" s="23">
        <f t="shared" si="118"/>
        <v>0</v>
      </c>
      <c r="P508" s="23">
        <f t="shared" si="132"/>
        <v>0</v>
      </c>
      <c r="Q508" s="23">
        <f t="shared" si="120"/>
        <v>0</v>
      </c>
      <c r="R508" s="23">
        <f>Q507*Assumptions!$B$11/$E$2*N508</f>
        <v>0</v>
      </c>
      <c r="S508" s="23">
        <f>Q507*Assumptions!$B$13/$E$2*N508</f>
        <v>0</v>
      </c>
      <c r="T508" s="23">
        <f>L508*Assumptions!$B$15</f>
        <v>0</v>
      </c>
      <c r="U508" s="23">
        <f>S508*Assumptions!$B$17</f>
        <v>0</v>
      </c>
      <c r="V508" s="23">
        <f>HLOOKUP(B508,Assumptions!$A$26:$D$27,2,TRUE)</f>
        <v>0</v>
      </c>
      <c r="W508">
        <f t="shared" si="124"/>
        <v>0</v>
      </c>
      <c r="X508">
        <f t="shared" si="125"/>
        <v>0</v>
      </c>
      <c r="Y508">
        <f>IF(B508&gt;$M$2,0,IF(X509=0,0,(1-X509)*Assumptions!$B$11/$E$2*(1-Assumptions!$B$30)))</f>
        <v>0</v>
      </c>
      <c r="Z508" s="23">
        <f>(R508-S508)*(1-Assumptions!$B$30)-U508+Y507*Q507</f>
        <v>0</v>
      </c>
      <c r="AA508" s="23">
        <f>AA507*(1+Assumptions!$B$36)^(1/12)</f>
        <v>1.5099998268661903</v>
      </c>
      <c r="AB508" s="20">
        <f>IF(B508&gt;$M$2,0,AA507*Assumptions!$B$32/12*Q507+Z508*Assumptions!$B$34/12)</f>
        <v>0</v>
      </c>
      <c r="AC508" s="21">
        <f>1/(1+HLOOKUP(YEAR(A508),Assumptions!$A$41:$AL$43,3,TRUE))^(1/12)</f>
        <v>0.99757644752594421</v>
      </c>
      <c r="AD508" s="23">
        <f t="shared" si="133"/>
        <v>0</v>
      </c>
      <c r="AE508">
        <f t="shared" si="126"/>
        <v>0</v>
      </c>
    </row>
    <row r="509" spans="1:31" x14ac:dyDescent="0.2">
      <c r="A509" s="2">
        <f t="shared" si="127"/>
        <v>58256</v>
      </c>
      <c r="B509">
        <f t="shared" si="123"/>
        <v>578</v>
      </c>
      <c r="C509" s="23">
        <f t="shared" si="128"/>
        <v>48.083333333333336</v>
      </c>
      <c r="D509" s="23">
        <f t="shared" si="129"/>
        <v>0</v>
      </c>
      <c r="E509" s="23">
        <f t="shared" si="121"/>
        <v>103</v>
      </c>
      <c r="F509" s="23">
        <f t="shared" si="122"/>
        <v>95</v>
      </c>
      <c r="G509" s="23">
        <f>IF(C509&gt;=$L$2,0,VLOOKUP($E509,'Mortality Table'!$A$3:$C$128,2+H$2,FALSE))</f>
        <v>0</v>
      </c>
      <c r="H509">
        <f>IF(C509&gt;=$L$2,0,VLOOKUP($E509,'Mortality Table'!$A$3:$C$128,2+I$2,FALSE))</f>
        <v>0</v>
      </c>
      <c r="I509" s="24">
        <f>G509*Assumptions!$B$1</f>
        <v>0</v>
      </c>
      <c r="J509" s="24">
        <f>H509*Assumptions!$B$1</f>
        <v>0</v>
      </c>
      <c r="K509" s="23">
        <f t="shared" si="130"/>
        <v>0</v>
      </c>
      <c r="L509" s="23">
        <f t="shared" si="131"/>
        <v>0</v>
      </c>
      <c r="M509" s="23">
        <f>HLOOKUP(C509,Assumptions!$A$6:$J$7,2,TRUE)</f>
        <v>2.6499999999999999E-2</v>
      </c>
      <c r="N509" s="23">
        <f t="shared" si="119"/>
        <v>0</v>
      </c>
      <c r="O509" s="23">
        <f t="shared" si="118"/>
        <v>0</v>
      </c>
      <c r="P509" s="23">
        <f t="shared" si="132"/>
        <v>0</v>
      </c>
      <c r="Q509" s="23">
        <f t="shared" si="120"/>
        <v>0</v>
      </c>
      <c r="R509" s="23">
        <f>Q508*Assumptions!$B$11/$E$2*N509</f>
        <v>0</v>
      </c>
      <c r="S509" s="23">
        <f>Q508*Assumptions!$B$13/$E$2*N509</f>
        <v>0</v>
      </c>
      <c r="T509" s="23">
        <f>L509*Assumptions!$B$15</f>
        <v>0</v>
      </c>
      <c r="U509" s="23">
        <f>S509*Assumptions!$B$17</f>
        <v>0</v>
      </c>
      <c r="V509" s="23">
        <f>HLOOKUP(B509,Assumptions!$A$26:$D$27,2,TRUE)</f>
        <v>0</v>
      </c>
      <c r="W509">
        <f t="shared" si="124"/>
        <v>0</v>
      </c>
      <c r="X509">
        <f t="shared" si="125"/>
        <v>8.3333333333335702E-2</v>
      </c>
      <c r="Y509">
        <f>IF(B509&gt;$M$2,0,IF(X510=0,0,(1-X510)*Assumptions!$B$11/$E$2*(1-Assumptions!$B$30)))</f>
        <v>0</v>
      </c>
      <c r="Z509" s="23">
        <f>(R509-S509)*(1-Assumptions!$B$30)-U509+Y508*Q508</f>
        <v>0</v>
      </c>
      <c r="AA509" s="23">
        <f>AA508*(1+Assumptions!$B$36)^(1/12)</f>
        <v>1.5112524292752318</v>
      </c>
      <c r="AB509" s="20">
        <f>IF(B509&gt;$M$2,0,AA508*Assumptions!$B$32/12*Q508+Z509*Assumptions!$B$34/12)</f>
        <v>0</v>
      </c>
      <c r="AC509" s="21">
        <f>1/(1+HLOOKUP(YEAR(A509),Assumptions!$A$41:$AL$43,3,TRUE))^(1/12)</f>
        <v>0.99757644752594421</v>
      </c>
      <c r="AD509" s="23">
        <f t="shared" si="133"/>
        <v>0</v>
      </c>
      <c r="AE509">
        <f t="shared" si="126"/>
        <v>0</v>
      </c>
    </row>
    <row r="510" spans="1:31" x14ac:dyDescent="0.2">
      <c r="A510" s="2">
        <f t="shared" si="127"/>
        <v>58287</v>
      </c>
      <c r="B510">
        <f t="shared" si="123"/>
        <v>579</v>
      </c>
      <c r="C510" s="23">
        <f t="shared" si="128"/>
        <v>48.166666666666664</v>
      </c>
      <c r="D510" s="23">
        <f t="shared" si="129"/>
        <v>0</v>
      </c>
      <c r="E510" s="23">
        <f t="shared" si="121"/>
        <v>103</v>
      </c>
      <c r="F510" s="23">
        <f t="shared" si="122"/>
        <v>95</v>
      </c>
      <c r="G510" s="23">
        <f>IF(C510&gt;=$L$2,0,VLOOKUP($E510,'Mortality Table'!$A$3:$C$128,2+H$2,FALSE))</f>
        <v>0</v>
      </c>
      <c r="H510">
        <f>IF(C510&gt;=$L$2,0,VLOOKUP($E510,'Mortality Table'!$A$3:$C$128,2+I$2,FALSE))</f>
        <v>0</v>
      </c>
      <c r="I510" s="24">
        <f>G510*Assumptions!$B$1</f>
        <v>0</v>
      </c>
      <c r="J510" s="24">
        <f>H510*Assumptions!$B$1</f>
        <v>0</v>
      </c>
      <c r="K510" s="23">
        <f t="shared" si="130"/>
        <v>0</v>
      </c>
      <c r="L510" s="23">
        <f t="shared" si="131"/>
        <v>0</v>
      </c>
      <c r="M510" s="23">
        <f>HLOOKUP(C510,Assumptions!$A$6:$J$7,2,TRUE)</f>
        <v>2.6499999999999999E-2</v>
      </c>
      <c r="N510" s="23">
        <f t="shared" si="119"/>
        <v>0</v>
      </c>
      <c r="O510" s="23">
        <f t="shared" si="118"/>
        <v>0</v>
      </c>
      <c r="P510" s="23">
        <f t="shared" si="132"/>
        <v>0</v>
      </c>
      <c r="Q510" s="23">
        <f t="shared" si="120"/>
        <v>0</v>
      </c>
      <c r="R510" s="23">
        <f>Q509*Assumptions!$B$11/$E$2*N510</f>
        <v>0</v>
      </c>
      <c r="S510" s="23">
        <f>Q509*Assumptions!$B$13/$E$2*N510</f>
        <v>0</v>
      </c>
      <c r="T510" s="23">
        <f>L510*Assumptions!$B$15</f>
        <v>0</v>
      </c>
      <c r="U510" s="23">
        <f>S510*Assumptions!$B$17</f>
        <v>0</v>
      </c>
      <c r="V510" s="23">
        <f>HLOOKUP(B510,Assumptions!$A$26:$D$27,2,TRUE)</f>
        <v>0</v>
      </c>
      <c r="W510">
        <f t="shared" si="124"/>
        <v>0</v>
      </c>
      <c r="X510">
        <f t="shared" si="125"/>
        <v>0.1666666666666643</v>
      </c>
      <c r="Y510">
        <f>IF(B510&gt;$M$2,0,IF(X511=0,0,(1-X511)*Assumptions!$B$11/$E$2*(1-Assumptions!$B$30)))</f>
        <v>0</v>
      </c>
      <c r="Z510" s="23">
        <f>(R510-S510)*(1-Assumptions!$B$30)-U510+Y509*Q509</f>
        <v>0</v>
      </c>
      <c r="AA510" s="23">
        <f>AA509*(1+Assumptions!$B$36)^(1/12)</f>
        <v>1.5125060707657139</v>
      </c>
      <c r="AB510" s="20">
        <f>IF(B510&gt;$M$2,0,AA509*Assumptions!$B$32/12*Q509+Z510*Assumptions!$B$34/12)</f>
        <v>0</v>
      </c>
      <c r="AC510" s="21">
        <f>1/(1+HLOOKUP(YEAR(A510),Assumptions!$A$41:$AL$43,3,TRUE))^(1/12)</f>
        <v>0.99757644752594421</v>
      </c>
      <c r="AD510" s="23">
        <f t="shared" si="133"/>
        <v>0</v>
      </c>
      <c r="AE510">
        <f t="shared" si="126"/>
        <v>0</v>
      </c>
    </row>
    <row r="511" spans="1:31" x14ac:dyDescent="0.2">
      <c r="A511" s="2">
        <f t="shared" si="127"/>
        <v>58318</v>
      </c>
      <c r="B511">
        <f t="shared" si="123"/>
        <v>580</v>
      </c>
      <c r="C511" s="23">
        <f t="shared" si="128"/>
        <v>48.25</v>
      </c>
      <c r="D511" s="23">
        <f t="shared" si="129"/>
        <v>0</v>
      </c>
      <c r="E511" s="23">
        <f t="shared" si="121"/>
        <v>103</v>
      </c>
      <c r="F511" s="23">
        <f t="shared" si="122"/>
        <v>95</v>
      </c>
      <c r="G511" s="23">
        <f>IF(C511&gt;=$L$2,0,VLOOKUP($E511,'Mortality Table'!$A$3:$C$128,2+H$2,FALSE))</f>
        <v>0</v>
      </c>
      <c r="H511">
        <f>IF(C511&gt;=$L$2,0,VLOOKUP($E511,'Mortality Table'!$A$3:$C$128,2+I$2,FALSE))</f>
        <v>0</v>
      </c>
      <c r="I511" s="24">
        <f>G511*Assumptions!$B$1</f>
        <v>0</v>
      </c>
      <c r="J511" s="24">
        <f>H511*Assumptions!$B$1</f>
        <v>0</v>
      </c>
      <c r="K511" s="23">
        <f t="shared" si="130"/>
        <v>0</v>
      </c>
      <c r="L511" s="23">
        <f t="shared" si="131"/>
        <v>0</v>
      </c>
      <c r="M511" s="23">
        <f>HLOOKUP(C511,Assumptions!$A$6:$J$7,2,TRUE)</f>
        <v>2.6499999999999999E-2</v>
      </c>
      <c r="N511" s="23">
        <f t="shared" si="119"/>
        <v>0</v>
      </c>
      <c r="O511" s="23">
        <f t="shared" si="118"/>
        <v>0</v>
      </c>
      <c r="P511" s="23">
        <f t="shared" si="132"/>
        <v>0</v>
      </c>
      <c r="Q511" s="23">
        <f t="shared" si="120"/>
        <v>0</v>
      </c>
      <c r="R511" s="23">
        <f>Q510*Assumptions!$B$11/$E$2*N511</f>
        <v>0</v>
      </c>
      <c r="S511" s="23">
        <f>Q510*Assumptions!$B$13/$E$2*N511</f>
        <v>0</v>
      </c>
      <c r="T511" s="23">
        <f>L511*Assumptions!$B$15</f>
        <v>0</v>
      </c>
      <c r="U511" s="23">
        <f>S511*Assumptions!$B$17</f>
        <v>0</v>
      </c>
      <c r="V511" s="23">
        <f>HLOOKUP(B511,Assumptions!$A$26:$D$27,2,TRUE)</f>
        <v>0</v>
      </c>
      <c r="W511">
        <f t="shared" si="124"/>
        <v>0</v>
      </c>
      <c r="X511">
        <f t="shared" si="125"/>
        <v>0.25</v>
      </c>
      <c r="Y511">
        <f>IF(B511&gt;$M$2,0,IF(X512=0,0,(1-X512)*Assumptions!$B$11/$E$2*(1-Assumptions!$B$30)))</f>
        <v>0</v>
      </c>
      <c r="Z511" s="23">
        <f>(R511-S511)*(1-Assumptions!$B$30)-U511+Y510*Q510</f>
        <v>0</v>
      </c>
      <c r="AA511" s="23">
        <f>AA510*(1+Assumptions!$B$36)^(1/12)</f>
        <v>1.5137607521995939</v>
      </c>
      <c r="AB511" s="20">
        <f>IF(B511&gt;$M$2,0,AA510*Assumptions!$B$32/12*Q510+Z511*Assumptions!$B$34/12)</f>
        <v>0</v>
      </c>
      <c r="AC511" s="21">
        <f>1/(1+HLOOKUP(YEAR(A511),Assumptions!$A$41:$AL$43,3,TRUE))^(1/12)</f>
        <v>0.99757644752594421</v>
      </c>
      <c r="AD511" s="23">
        <f t="shared" si="133"/>
        <v>0</v>
      </c>
      <c r="AE511">
        <f t="shared" si="126"/>
        <v>0</v>
      </c>
    </row>
    <row r="512" spans="1:31" x14ac:dyDescent="0.2">
      <c r="A512" s="2">
        <f t="shared" si="127"/>
        <v>58348</v>
      </c>
      <c r="B512">
        <f t="shared" si="123"/>
        <v>581</v>
      </c>
      <c r="C512" s="23">
        <f t="shared" si="128"/>
        <v>48.333333333333336</v>
      </c>
      <c r="D512" s="23">
        <f t="shared" si="129"/>
        <v>0</v>
      </c>
      <c r="E512" s="23">
        <f t="shared" si="121"/>
        <v>103</v>
      </c>
      <c r="F512" s="23">
        <f t="shared" si="122"/>
        <v>95</v>
      </c>
      <c r="G512" s="23">
        <f>IF(C512&gt;=$L$2,0,VLOOKUP($E512,'Mortality Table'!$A$3:$C$128,2+H$2,FALSE))</f>
        <v>0</v>
      </c>
      <c r="H512">
        <f>IF(C512&gt;=$L$2,0,VLOOKUP($E512,'Mortality Table'!$A$3:$C$128,2+I$2,FALSE))</f>
        <v>0</v>
      </c>
      <c r="I512" s="24">
        <f>G512*Assumptions!$B$1</f>
        <v>0</v>
      </c>
      <c r="J512" s="24">
        <f>H512*Assumptions!$B$1</f>
        <v>0</v>
      </c>
      <c r="K512" s="23">
        <f t="shared" si="130"/>
        <v>0</v>
      </c>
      <c r="L512" s="23">
        <f t="shared" si="131"/>
        <v>0</v>
      </c>
      <c r="M512" s="23">
        <f>HLOOKUP(C512,Assumptions!$A$6:$J$7,2,TRUE)</f>
        <v>2.6499999999999999E-2</v>
      </c>
      <c r="N512" s="23">
        <f t="shared" si="119"/>
        <v>0</v>
      </c>
      <c r="O512" s="23">
        <f t="shared" si="118"/>
        <v>0</v>
      </c>
      <c r="P512" s="23">
        <f t="shared" si="132"/>
        <v>0</v>
      </c>
      <c r="Q512" s="23">
        <f t="shared" si="120"/>
        <v>0</v>
      </c>
      <c r="R512" s="23">
        <f>Q511*Assumptions!$B$11/$E$2*N512</f>
        <v>0</v>
      </c>
      <c r="S512" s="23">
        <f>Q511*Assumptions!$B$13/$E$2*N512</f>
        <v>0</v>
      </c>
      <c r="T512" s="23">
        <f>L512*Assumptions!$B$15</f>
        <v>0</v>
      </c>
      <c r="U512" s="23">
        <f>S512*Assumptions!$B$17</f>
        <v>0</v>
      </c>
      <c r="V512" s="23">
        <f>HLOOKUP(B512,Assumptions!$A$26:$D$27,2,TRUE)</f>
        <v>0</v>
      </c>
      <c r="W512">
        <f t="shared" si="124"/>
        <v>0</v>
      </c>
      <c r="X512">
        <f t="shared" si="125"/>
        <v>0.3333333333333357</v>
      </c>
      <c r="Y512">
        <f>IF(B512&gt;$M$2,0,IF(X513=0,0,(1-X513)*Assumptions!$B$11/$E$2*(1-Assumptions!$B$30)))</f>
        <v>0</v>
      </c>
      <c r="Z512" s="23">
        <f>(R512-S512)*(1-Assumptions!$B$30)-U512+Y511*Q511</f>
        <v>0</v>
      </c>
      <c r="AA512" s="23">
        <f>AA511*(1+Assumptions!$B$36)^(1/12)</f>
        <v>1.5150164744395449</v>
      </c>
      <c r="AB512" s="20">
        <f>IF(B512&gt;$M$2,0,AA511*Assumptions!$B$32/12*Q511+Z512*Assumptions!$B$34/12)</f>
        <v>0</v>
      </c>
      <c r="AC512" s="21">
        <f>1/(1+HLOOKUP(YEAR(A512),Assumptions!$A$41:$AL$43,3,TRUE))^(1/12)</f>
        <v>0.99757644752594421</v>
      </c>
      <c r="AD512" s="23">
        <f t="shared" si="133"/>
        <v>0</v>
      </c>
      <c r="AE512">
        <f t="shared" si="126"/>
        <v>0</v>
      </c>
    </row>
    <row r="513" spans="1:31" x14ac:dyDescent="0.2">
      <c r="A513" s="2">
        <f t="shared" si="127"/>
        <v>58379</v>
      </c>
      <c r="B513">
        <f t="shared" si="123"/>
        <v>582</v>
      </c>
      <c r="C513" s="23">
        <f t="shared" si="128"/>
        <v>48.416666666666664</v>
      </c>
      <c r="D513" s="23">
        <f t="shared" si="129"/>
        <v>0</v>
      </c>
      <c r="E513" s="23">
        <f t="shared" si="121"/>
        <v>103</v>
      </c>
      <c r="F513" s="23">
        <f t="shared" si="122"/>
        <v>95</v>
      </c>
      <c r="G513" s="23">
        <f>IF(C513&gt;=$L$2,0,VLOOKUP($E513,'Mortality Table'!$A$3:$C$128,2+H$2,FALSE))</f>
        <v>0</v>
      </c>
      <c r="H513">
        <f>IF(C513&gt;=$L$2,0,VLOOKUP($E513,'Mortality Table'!$A$3:$C$128,2+I$2,FALSE))</f>
        <v>0</v>
      </c>
      <c r="I513" s="24">
        <f>G513*Assumptions!$B$1</f>
        <v>0</v>
      </c>
      <c r="J513" s="24">
        <f>H513*Assumptions!$B$1</f>
        <v>0</v>
      </c>
      <c r="K513" s="23">
        <f t="shared" si="130"/>
        <v>0</v>
      </c>
      <c r="L513" s="23">
        <f t="shared" si="131"/>
        <v>0</v>
      </c>
      <c r="M513" s="23">
        <f>HLOOKUP(C513,Assumptions!$A$6:$J$7,2,TRUE)</f>
        <v>2.6499999999999999E-2</v>
      </c>
      <c r="N513" s="23">
        <f t="shared" si="119"/>
        <v>0</v>
      </c>
      <c r="O513" s="23">
        <f t="shared" si="118"/>
        <v>0</v>
      </c>
      <c r="P513" s="23">
        <f t="shared" si="132"/>
        <v>0</v>
      </c>
      <c r="Q513" s="23">
        <f t="shared" si="120"/>
        <v>0</v>
      </c>
      <c r="R513" s="23">
        <f>Q512*Assumptions!$B$11/$E$2*N513</f>
        <v>0</v>
      </c>
      <c r="S513" s="23">
        <f>Q512*Assumptions!$B$13/$E$2*N513</f>
        <v>0</v>
      </c>
      <c r="T513" s="23">
        <f>L513*Assumptions!$B$15</f>
        <v>0</v>
      </c>
      <c r="U513" s="23">
        <f>S513*Assumptions!$B$17</f>
        <v>0</v>
      </c>
      <c r="V513" s="23">
        <f>HLOOKUP(B513,Assumptions!$A$26:$D$27,2,TRUE)</f>
        <v>0</v>
      </c>
      <c r="W513">
        <f t="shared" si="124"/>
        <v>0</v>
      </c>
      <c r="X513">
        <f t="shared" si="125"/>
        <v>0.4166666666666643</v>
      </c>
      <c r="Y513">
        <f>IF(B513&gt;$M$2,0,IF(X514=0,0,(1-X514)*Assumptions!$B$11/$E$2*(1-Assumptions!$B$30)))</f>
        <v>0</v>
      </c>
      <c r="Z513" s="23">
        <f>(R513-S513)*(1-Assumptions!$B$30)-U513+Y512*Q512</f>
        <v>0</v>
      </c>
      <c r="AA513" s="23">
        <f>AA512*(1+Assumptions!$B$36)^(1/12)</f>
        <v>1.5162732383489548</v>
      </c>
      <c r="AB513" s="20">
        <f>IF(B513&gt;$M$2,0,AA512*Assumptions!$B$32/12*Q512+Z513*Assumptions!$B$34/12)</f>
        <v>0</v>
      </c>
      <c r="AC513" s="21">
        <f>1/(1+HLOOKUP(YEAR(A513),Assumptions!$A$41:$AL$43,3,TRUE))^(1/12)</f>
        <v>0.99757644752594421</v>
      </c>
      <c r="AD513" s="23">
        <f t="shared" si="133"/>
        <v>0</v>
      </c>
      <c r="AE513">
        <f t="shared" si="126"/>
        <v>0</v>
      </c>
    </row>
    <row r="514" spans="1:31" x14ac:dyDescent="0.2">
      <c r="A514" s="2">
        <f t="shared" si="127"/>
        <v>58409</v>
      </c>
      <c r="B514">
        <f t="shared" si="123"/>
        <v>583</v>
      </c>
      <c r="C514" s="23">
        <f t="shared" si="128"/>
        <v>48.5</v>
      </c>
      <c r="D514" s="23">
        <f t="shared" si="129"/>
        <v>0</v>
      </c>
      <c r="E514" s="23">
        <f t="shared" si="121"/>
        <v>103</v>
      </c>
      <c r="F514" s="23">
        <f t="shared" si="122"/>
        <v>95</v>
      </c>
      <c r="G514" s="23">
        <f>IF(C514&gt;=$L$2,0,VLOOKUP($E514,'Mortality Table'!$A$3:$C$128,2+H$2,FALSE))</f>
        <v>0</v>
      </c>
      <c r="H514">
        <f>IF(C514&gt;=$L$2,0,VLOOKUP($E514,'Mortality Table'!$A$3:$C$128,2+I$2,FALSE))</f>
        <v>0</v>
      </c>
      <c r="I514" s="24">
        <f>G514*Assumptions!$B$1</f>
        <v>0</v>
      </c>
      <c r="J514" s="24">
        <f>H514*Assumptions!$B$1</f>
        <v>0</v>
      </c>
      <c r="K514" s="23">
        <f t="shared" si="130"/>
        <v>0</v>
      </c>
      <c r="L514" s="23">
        <f t="shared" si="131"/>
        <v>0</v>
      </c>
      <c r="M514" s="23">
        <f>HLOOKUP(C514,Assumptions!$A$6:$J$7,2,TRUE)</f>
        <v>2.6499999999999999E-2</v>
      </c>
      <c r="N514" s="23">
        <f t="shared" si="119"/>
        <v>0</v>
      </c>
      <c r="O514" s="23">
        <f t="shared" si="118"/>
        <v>0</v>
      </c>
      <c r="P514" s="23">
        <f t="shared" si="132"/>
        <v>0</v>
      </c>
      <c r="Q514" s="23">
        <f t="shared" si="120"/>
        <v>0</v>
      </c>
      <c r="R514" s="23">
        <f>Q513*Assumptions!$B$11/$E$2*N514</f>
        <v>0</v>
      </c>
      <c r="S514" s="23">
        <f>Q513*Assumptions!$B$13/$E$2*N514</f>
        <v>0</v>
      </c>
      <c r="T514" s="23">
        <f>L514*Assumptions!$B$15</f>
        <v>0</v>
      </c>
      <c r="U514" s="23">
        <f>S514*Assumptions!$B$17</f>
        <v>0</v>
      </c>
      <c r="V514" s="23">
        <f>HLOOKUP(B514,Assumptions!$A$26:$D$27,2,TRUE)</f>
        <v>0</v>
      </c>
      <c r="W514">
        <f t="shared" si="124"/>
        <v>0</v>
      </c>
      <c r="X514">
        <f t="shared" si="125"/>
        <v>0.5</v>
      </c>
      <c r="Y514">
        <f>IF(B514&gt;$M$2,0,IF(X515=0,0,(1-X515)*Assumptions!$B$11/$E$2*(1-Assumptions!$B$30)))</f>
        <v>0</v>
      </c>
      <c r="Z514" s="23">
        <f>(R514-S514)*(1-Assumptions!$B$30)-U514+Y513*Q513</f>
        <v>0</v>
      </c>
      <c r="AA514" s="23">
        <f>AA513*(1+Assumptions!$B$36)^(1/12)</f>
        <v>1.5175310447919284</v>
      </c>
      <c r="AB514" s="20">
        <f>IF(B514&gt;$M$2,0,AA513*Assumptions!$B$32/12*Q513+Z514*Assumptions!$B$34/12)</f>
        <v>0</v>
      </c>
      <c r="AC514" s="21">
        <f>1/(1+HLOOKUP(YEAR(A514),Assumptions!$A$41:$AL$43,3,TRUE))^(1/12)</f>
        <v>0.99757644752594421</v>
      </c>
      <c r="AD514" s="23">
        <f t="shared" si="133"/>
        <v>0</v>
      </c>
      <c r="AE514">
        <f t="shared" si="126"/>
        <v>0</v>
      </c>
    </row>
    <row r="515" spans="1:31" x14ac:dyDescent="0.2">
      <c r="A515" s="2">
        <f t="shared" si="127"/>
        <v>58440</v>
      </c>
      <c r="B515">
        <f t="shared" si="123"/>
        <v>584</v>
      </c>
      <c r="C515" s="23">
        <f t="shared" si="128"/>
        <v>48.583333333333336</v>
      </c>
      <c r="D515" s="23">
        <f t="shared" si="129"/>
        <v>0</v>
      </c>
      <c r="E515" s="23">
        <f t="shared" si="121"/>
        <v>103</v>
      </c>
      <c r="F515" s="23">
        <f t="shared" si="122"/>
        <v>95</v>
      </c>
      <c r="G515" s="23">
        <f>IF(C515&gt;=$L$2,0,VLOOKUP($E515,'Mortality Table'!$A$3:$C$128,2+H$2,FALSE))</f>
        <v>0</v>
      </c>
      <c r="H515">
        <f>IF(C515&gt;=$L$2,0,VLOOKUP($E515,'Mortality Table'!$A$3:$C$128,2+I$2,FALSE))</f>
        <v>0</v>
      </c>
      <c r="I515" s="24">
        <f>G515*Assumptions!$B$1</f>
        <v>0</v>
      </c>
      <c r="J515" s="24">
        <f>H515*Assumptions!$B$1</f>
        <v>0</v>
      </c>
      <c r="K515" s="23">
        <f t="shared" si="130"/>
        <v>0</v>
      </c>
      <c r="L515" s="23">
        <f t="shared" si="131"/>
        <v>0</v>
      </c>
      <c r="M515" s="23">
        <f>HLOOKUP(C515,Assumptions!$A$6:$J$7,2,TRUE)</f>
        <v>2.6499999999999999E-2</v>
      </c>
      <c r="N515" s="23">
        <f t="shared" si="119"/>
        <v>0</v>
      </c>
      <c r="O515" s="23">
        <f t="shared" si="118"/>
        <v>0</v>
      </c>
      <c r="P515" s="23">
        <f t="shared" si="132"/>
        <v>0</v>
      </c>
      <c r="Q515" s="23">
        <f t="shared" si="120"/>
        <v>0</v>
      </c>
      <c r="R515" s="23">
        <f>Q514*Assumptions!$B$11/$E$2*N515</f>
        <v>0</v>
      </c>
      <c r="S515" s="23">
        <f>Q514*Assumptions!$B$13/$E$2*N515</f>
        <v>0</v>
      </c>
      <c r="T515" s="23">
        <f>L515*Assumptions!$B$15</f>
        <v>0</v>
      </c>
      <c r="U515" s="23">
        <f>S515*Assumptions!$B$17</f>
        <v>0</v>
      </c>
      <c r="V515" s="23">
        <f>HLOOKUP(B515,Assumptions!$A$26:$D$27,2,TRUE)</f>
        <v>0</v>
      </c>
      <c r="W515">
        <f t="shared" si="124"/>
        <v>0</v>
      </c>
      <c r="X515">
        <f t="shared" si="125"/>
        <v>0.5833333333333357</v>
      </c>
      <c r="Y515">
        <f>IF(B515&gt;$M$2,0,IF(X516=0,0,(1-X516)*Assumptions!$B$11/$E$2*(1-Assumptions!$B$30)))</f>
        <v>0</v>
      </c>
      <c r="Z515" s="23">
        <f>(R515-S515)*(1-Assumptions!$B$30)-U515+Y514*Q514</f>
        <v>0</v>
      </c>
      <c r="AA515" s="23">
        <f>AA514*(1+Assumptions!$B$36)^(1/12)</f>
        <v>1.5187898946332867</v>
      </c>
      <c r="AB515" s="20">
        <f>IF(B515&gt;$M$2,0,AA514*Assumptions!$B$32/12*Q514+Z515*Assumptions!$B$34/12)</f>
        <v>0</v>
      </c>
      <c r="AC515" s="21">
        <f>1/(1+HLOOKUP(YEAR(A515),Assumptions!$A$41:$AL$43,3,TRUE))^(1/12)</f>
        <v>0.99757644752594421</v>
      </c>
      <c r="AD515" s="23">
        <f t="shared" si="133"/>
        <v>0</v>
      </c>
      <c r="AE515">
        <f t="shared" si="126"/>
        <v>0</v>
      </c>
    </row>
    <row r="516" spans="1:31" x14ac:dyDescent="0.2">
      <c r="A516" s="2"/>
    </row>
    <row r="517" spans="1:31" x14ac:dyDescent="0.2">
      <c r="A517" s="2"/>
    </row>
    <row r="518" spans="1:31" x14ac:dyDescent="0.2">
      <c r="A518" s="2"/>
    </row>
    <row r="519" spans="1:31" x14ac:dyDescent="0.2">
      <c r="A519" s="2"/>
    </row>
    <row r="520" spans="1:31" x14ac:dyDescent="0.2">
      <c r="A520" s="2"/>
    </row>
    <row r="521" spans="1:31" x14ac:dyDescent="0.2">
      <c r="A521" s="2"/>
    </row>
    <row r="522" spans="1:31" x14ac:dyDescent="0.2">
      <c r="A522" s="2"/>
    </row>
    <row r="523" spans="1:31" x14ac:dyDescent="0.2">
      <c r="A523" s="2"/>
    </row>
    <row r="524" spans="1:31" x14ac:dyDescent="0.2">
      <c r="A524" s="2"/>
    </row>
    <row r="525" spans="1:31" x14ac:dyDescent="0.2">
      <c r="A525" s="2"/>
    </row>
    <row r="526" spans="1:31" x14ac:dyDescent="0.2">
      <c r="A526" s="2"/>
    </row>
    <row r="527" spans="1:31" x14ac:dyDescent="0.2">
      <c r="A527" s="2"/>
    </row>
    <row r="528" spans="1:31" x14ac:dyDescent="0.2">
      <c r="A528" s="2"/>
    </row>
    <row r="529" spans="1:1" x14ac:dyDescent="0.2">
      <c r="A529" s="2"/>
    </row>
    <row r="530" spans="1:1" x14ac:dyDescent="0.2">
      <c r="A530" s="2"/>
    </row>
    <row r="531" spans="1:1" x14ac:dyDescent="0.2">
      <c r="A531" s="2"/>
    </row>
    <row r="532" spans="1:1" x14ac:dyDescent="0.2">
      <c r="A532" s="2"/>
    </row>
    <row r="533" spans="1:1" x14ac:dyDescent="0.2">
      <c r="A533" s="2"/>
    </row>
    <row r="534" spans="1:1" x14ac:dyDescent="0.2">
      <c r="A534" s="2"/>
    </row>
    <row r="535" spans="1:1" x14ac:dyDescent="0.2">
      <c r="A535" s="2"/>
    </row>
    <row r="536" spans="1:1" x14ac:dyDescent="0.2">
      <c r="A536" s="2"/>
    </row>
    <row r="537" spans="1:1" x14ac:dyDescent="0.2">
      <c r="A537" s="2"/>
    </row>
    <row r="538" spans="1:1" x14ac:dyDescent="0.2">
      <c r="A538" s="2"/>
    </row>
    <row r="539" spans="1:1" x14ac:dyDescent="0.2">
      <c r="A539" s="2"/>
    </row>
    <row r="540" spans="1:1" x14ac:dyDescent="0.2">
      <c r="A540" s="2"/>
    </row>
    <row r="541" spans="1:1" x14ac:dyDescent="0.2">
      <c r="A541" s="2"/>
    </row>
    <row r="542" spans="1:1" x14ac:dyDescent="0.2">
      <c r="A542" s="2"/>
    </row>
    <row r="543" spans="1:1" x14ac:dyDescent="0.2">
      <c r="A543" s="2"/>
    </row>
    <row r="544" spans="1:1" x14ac:dyDescent="0.2">
      <c r="A544" s="2"/>
    </row>
    <row r="545" spans="1:1" x14ac:dyDescent="0.2">
      <c r="A545" s="2"/>
    </row>
    <row r="546" spans="1:1" x14ac:dyDescent="0.2">
      <c r="A546" s="2"/>
    </row>
    <row r="547" spans="1:1" x14ac:dyDescent="0.2">
      <c r="A547" s="2"/>
    </row>
    <row r="548" spans="1:1" x14ac:dyDescent="0.2">
      <c r="A548" s="2"/>
    </row>
    <row r="549" spans="1:1" x14ac:dyDescent="0.2">
      <c r="A549" s="2"/>
    </row>
    <row r="550" spans="1:1" x14ac:dyDescent="0.2">
      <c r="A550" s="2"/>
    </row>
    <row r="551" spans="1:1" x14ac:dyDescent="0.2">
      <c r="A551" s="2"/>
    </row>
    <row r="552" spans="1:1" x14ac:dyDescent="0.2">
      <c r="A552" s="2"/>
    </row>
    <row r="553" spans="1:1" x14ac:dyDescent="0.2">
      <c r="A553" s="2"/>
    </row>
    <row r="554" spans="1:1" x14ac:dyDescent="0.2">
      <c r="A554" s="2"/>
    </row>
    <row r="555" spans="1:1" x14ac:dyDescent="0.2">
      <c r="A555" s="2"/>
    </row>
    <row r="556" spans="1:1" x14ac:dyDescent="0.2">
      <c r="A556" s="2"/>
    </row>
    <row r="557" spans="1:1" x14ac:dyDescent="0.2">
      <c r="A557" s="2"/>
    </row>
    <row r="558" spans="1:1" x14ac:dyDescent="0.2">
      <c r="A558" s="2"/>
    </row>
    <row r="559" spans="1:1" x14ac:dyDescent="0.2">
      <c r="A559" s="2"/>
    </row>
    <row r="560" spans="1:1" x14ac:dyDescent="0.2">
      <c r="A560" s="2"/>
    </row>
    <row r="561" spans="1:1" x14ac:dyDescent="0.2">
      <c r="A561" s="2"/>
    </row>
    <row r="562" spans="1:1" x14ac:dyDescent="0.2">
      <c r="A562" s="2"/>
    </row>
    <row r="563" spans="1:1" x14ac:dyDescent="0.2">
      <c r="A563" s="2"/>
    </row>
    <row r="564" spans="1:1" x14ac:dyDescent="0.2">
      <c r="A564" s="2"/>
    </row>
    <row r="565" spans="1:1" x14ac:dyDescent="0.2">
      <c r="A565" s="2"/>
    </row>
    <row r="566" spans="1:1" x14ac:dyDescent="0.2">
      <c r="A566" s="2"/>
    </row>
    <row r="567" spans="1:1" x14ac:dyDescent="0.2">
      <c r="A567" s="2"/>
    </row>
    <row r="568" spans="1:1" x14ac:dyDescent="0.2">
      <c r="A568" s="2"/>
    </row>
    <row r="569" spans="1:1" x14ac:dyDescent="0.2">
      <c r="A569" s="2"/>
    </row>
    <row r="570" spans="1:1" x14ac:dyDescent="0.2">
      <c r="A570" s="2"/>
    </row>
    <row r="571" spans="1:1" x14ac:dyDescent="0.2">
      <c r="A571" s="2"/>
    </row>
    <row r="572" spans="1:1" x14ac:dyDescent="0.2">
      <c r="A572" s="2"/>
    </row>
    <row r="573" spans="1:1" x14ac:dyDescent="0.2">
      <c r="A573" s="2"/>
    </row>
    <row r="574" spans="1:1" x14ac:dyDescent="0.2">
      <c r="A574" s="2"/>
    </row>
    <row r="575" spans="1:1" x14ac:dyDescent="0.2">
      <c r="A575" s="2"/>
    </row>
    <row r="576" spans="1:1" x14ac:dyDescent="0.2">
      <c r="A576" s="2"/>
    </row>
    <row r="577" spans="1:1" x14ac:dyDescent="0.2">
      <c r="A577" s="2"/>
    </row>
    <row r="578" spans="1:1" x14ac:dyDescent="0.2">
      <c r="A578" s="2"/>
    </row>
    <row r="579" spans="1:1" x14ac:dyDescent="0.2">
      <c r="A579" s="2"/>
    </row>
    <row r="580" spans="1:1" x14ac:dyDescent="0.2">
      <c r="A580" s="2"/>
    </row>
    <row r="581" spans="1:1" x14ac:dyDescent="0.2">
      <c r="A581" s="2"/>
    </row>
    <row r="582" spans="1:1" x14ac:dyDescent="0.2">
      <c r="A582" s="2"/>
    </row>
    <row r="583" spans="1:1" x14ac:dyDescent="0.2">
      <c r="A583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28"/>
  <sheetViews>
    <sheetView tabSelected="1" topLeftCell="A85" workbookViewId="0">
      <selection activeCell="G119" sqref="G119"/>
    </sheetView>
  </sheetViews>
  <sheetFormatPr baseColWidth="10" defaultRowHeight="12.75" x14ac:dyDescent="0.2"/>
  <sheetData>
    <row r="1" spans="1:3" x14ac:dyDescent="0.2">
      <c r="A1" s="3"/>
      <c r="B1" s="4" t="s">
        <v>25</v>
      </c>
      <c r="C1" s="5" t="s">
        <v>26</v>
      </c>
    </row>
    <row r="2" spans="1:3" x14ac:dyDescent="0.2">
      <c r="A2" s="6" t="s">
        <v>27</v>
      </c>
      <c r="B2" s="7" t="s">
        <v>28</v>
      </c>
      <c r="C2" s="8" t="s">
        <v>29</v>
      </c>
    </row>
    <row r="3" spans="1:3" x14ac:dyDescent="0.2">
      <c r="A3" s="9">
        <v>0</v>
      </c>
      <c r="B3" s="10">
        <v>5.3379999999999999E-3</v>
      </c>
      <c r="C3" s="10">
        <v>4.1719999999999995E-3</v>
      </c>
    </row>
    <row r="4" spans="1:3" x14ac:dyDescent="0.2">
      <c r="A4" s="9">
        <f>A3+1</f>
        <v>1</v>
      </c>
      <c r="B4" s="11">
        <v>4.0300000000000004E-4</v>
      </c>
      <c r="C4" s="11">
        <v>3.501E-4</v>
      </c>
    </row>
    <row r="5" spans="1:3" x14ac:dyDescent="0.2">
      <c r="A5" s="9">
        <f t="shared" ref="A5:A68" si="0">A4+1</f>
        <v>2</v>
      </c>
      <c r="B5" s="11">
        <v>3.703E-4</v>
      </c>
      <c r="C5" s="11">
        <v>3.1359999999999998E-4</v>
      </c>
    </row>
    <row r="6" spans="1:3" x14ac:dyDescent="0.2">
      <c r="A6" s="9">
        <f t="shared" si="0"/>
        <v>3</v>
      </c>
      <c r="B6" s="11">
        <v>3.436E-4</v>
      </c>
      <c r="C6" s="11">
        <v>2.8599999999999996E-4</v>
      </c>
    </row>
    <row r="7" spans="1:3" x14ac:dyDescent="0.2">
      <c r="A7" s="9">
        <f t="shared" si="0"/>
        <v>4</v>
      </c>
      <c r="B7" s="11">
        <v>3.234E-4</v>
      </c>
      <c r="C7" s="11">
        <v>2.6679999999999998E-4</v>
      </c>
    </row>
    <row r="8" spans="1:3" x14ac:dyDescent="0.2">
      <c r="A8" s="9">
        <f t="shared" si="0"/>
        <v>5</v>
      </c>
      <c r="B8" s="11">
        <v>3.1069999999999996E-4</v>
      </c>
      <c r="C8" s="11">
        <v>2.5519999999999997E-4</v>
      </c>
    </row>
    <row r="9" spans="1:3" x14ac:dyDescent="0.2">
      <c r="A9" s="9">
        <f t="shared" si="0"/>
        <v>6</v>
      </c>
      <c r="B9" s="11">
        <v>3.0680000000000003E-4</v>
      </c>
      <c r="C9" s="11">
        <v>2.5019999999999996E-4</v>
      </c>
    </row>
    <row r="10" spans="1:3" x14ac:dyDescent="0.2">
      <c r="A10" s="9">
        <f t="shared" si="0"/>
        <v>7</v>
      </c>
      <c r="B10" s="11">
        <v>3.1319999999999997E-4</v>
      </c>
      <c r="C10" s="11">
        <v>2.5130000000000004E-4</v>
      </c>
    </row>
    <row r="11" spans="1:3" x14ac:dyDescent="0.2">
      <c r="A11" s="9">
        <f t="shared" si="0"/>
        <v>8</v>
      </c>
      <c r="B11" s="11">
        <v>3.3150000000000003E-4</v>
      </c>
      <c r="C11" s="11">
        <v>2.5769999999999998E-4</v>
      </c>
    </row>
    <row r="12" spans="1:3" x14ac:dyDescent="0.2">
      <c r="A12" s="9">
        <f t="shared" si="0"/>
        <v>9</v>
      </c>
      <c r="B12" s="11">
        <v>3.6289999999999998E-4</v>
      </c>
      <c r="C12" s="11">
        <v>2.6900000000000003E-4</v>
      </c>
    </row>
    <row r="13" spans="1:3" x14ac:dyDescent="0.2">
      <c r="A13" s="9">
        <f t="shared" si="0"/>
        <v>10</v>
      </c>
      <c r="B13" s="11">
        <v>4.0789999999999999E-4</v>
      </c>
      <c r="C13" s="11">
        <v>2.8439999999999997E-4</v>
      </c>
    </row>
    <row r="14" spans="1:3" x14ac:dyDescent="0.2">
      <c r="A14" s="9">
        <f t="shared" si="0"/>
        <v>11</v>
      </c>
      <c r="B14" s="11">
        <v>4.6550000000000004E-4</v>
      </c>
      <c r="C14" s="11">
        <v>3.035E-4</v>
      </c>
    </row>
    <row r="15" spans="1:3" x14ac:dyDescent="0.2">
      <c r="A15" s="9">
        <f t="shared" si="0"/>
        <v>12</v>
      </c>
      <c r="B15" s="11">
        <v>5.3350000000000001E-4</v>
      </c>
      <c r="C15" s="11">
        <v>3.258E-4</v>
      </c>
    </row>
    <row r="16" spans="1:3" x14ac:dyDescent="0.2">
      <c r="A16" s="9">
        <f t="shared" si="0"/>
        <v>13</v>
      </c>
      <c r="B16" s="11">
        <v>6.0860000000000005E-4</v>
      </c>
      <c r="C16" s="11">
        <v>3.503E-4</v>
      </c>
    </row>
    <row r="17" spans="1:3" x14ac:dyDescent="0.2">
      <c r="A17" s="9">
        <f t="shared" si="0"/>
        <v>14</v>
      </c>
      <c r="B17" s="11">
        <v>6.8589999999999992E-4</v>
      </c>
      <c r="C17" s="11">
        <v>3.7490000000000001E-4</v>
      </c>
    </row>
    <row r="18" spans="1:3" x14ac:dyDescent="0.2">
      <c r="A18" s="9">
        <f t="shared" si="0"/>
        <v>15</v>
      </c>
      <c r="B18" s="11">
        <v>7.5970000000000009E-4</v>
      </c>
      <c r="C18" s="11">
        <v>3.9730000000000001E-4</v>
      </c>
    </row>
    <row r="19" spans="1:3" x14ac:dyDescent="0.2">
      <c r="A19" s="9">
        <f t="shared" si="0"/>
        <v>16</v>
      </c>
      <c r="B19" s="11">
        <v>8.2399999999999997E-4</v>
      </c>
      <c r="C19" s="11">
        <v>4.1520000000000001E-4</v>
      </c>
    </row>
    <row r="20" spans="1:3" x14ac:dyDescent="0.2">
      <c r="A20" s="9">
        <f t="shared" si="0"/>
        <v>17</v>
      </c>
      <c r="B20" s="11">
        <v>8.7280000000000007E-4</v>
      </c>
      <c r="C20" s="11">
        <v>4.2659999999999996E-4</v>
      </c>
    </row>
    <row r="21" spans="1:3" x14ac:dyDescent="0.2">
      <c r="A21" s="9">
        <f t="shared" si="0"/>
        <v>18</v>
      </c>
      <c r="B21" s="11">
        <v>9.012E-4</v>
      </c>
      <c r="C21" s="11">
        <v>4.2959999999999998E-4</v>
      </c>
    </row>
    <row r="22" spans="1:3" x14ac:dyDescent="0.2">
      <c r="A22" s="9">
        <f t="shared" si="0"/>
        <v>19</v>
      </c>
      <c r="B22" s="11">
        <v>9.0590000000000006E-4</v>
      </c>
      <c r="C22" s="11">
        <v>4.2329999999999999E-4</v>
      </c>
    </row>
    <row r="23" spans="1:3" x14ac:dyDescent="0.2">
      <c r="A23" s="9">
        <f t="shared" si="0"/>
        <v>20</v>
      </c>
      <c r="B23" s="11">
        <v>8.8639999999999997E-4</v>
      </c>
      <c r="C23" s="11">
        <v>4.0749999999999998E-4</v>
      </c>
    </row>
    <row r="24" spans="1:3" x14ac:dyDescent="0.2">
      <c r="A24" s="9">
        <f t="shared" si="0"/>
        <v>21</v>
      </c>
      <c r="B24" s="11">
        <v>8.4550000000000001E-4</v>
      </c>
      <c r="C24" s="11">
        <v>3.8309999999999999E-4</v>
      </c>
    </row>
    <row r="25" spans="1:3" x14ac:dyDescent="0.2">
      <c r="A25" s="9">
        <f t="shared" si="0"/>
        <v>22</v>
      </c>
      <c r="B25" s="11">
        <v>7.8890000000000004E-4</v>
      </c>
      <c r="C25" s="11">
        <v>3.5199999999999999E-4</v>
      </c>
    </row>
    <row r="26" spans="1:3" x14ac:dyDescent="0.2">
      <c r="A26" s="9">
        <f t="shared" si="0"/>
        <v>23</v>
      </c>
      <c r="B26" s="11">
        <v>7.2409999999999998E-4</v>
      </c>
      <c r="C26" s="11">
        <v>3.1700000000000001E-4</v>
      </c>
    </row>
    <row r="27" spans="1:3" x14ac:dyDescent="0.2">
      <c r="A27" s="9">
        <f t="shared" si="0"/>
        <v>24</v>
      </c>
      <c r="B27" s="11">
        <v>6.5859999999999996E-4</v>
      </c>
      <c r="C27" s="11">
        <v>2.8140000000000001E-4</v>
      </c>
    </row>
    <row r="28" spans="1:3" x14ac:dyDescent="0.2">
      <c r="A28" s="9">
        <f t="shared" si="0"/>
        <v>25</v>
      </c>
      <c r="B28" s="11">
        <v>5.9850000000000007E-4</v>
      </c>
      <c r="C28" s="11">
        <v>2.4870000000000003E-4</v>
      </c>
    </row>
    <row r="29" spans="1:3" x14ac:dyDescent="0.2">
      <c r="A29" s="9">
        <f t="shared" si="0"/>
        <v>26</v>
      </c>
      <c r="B29" s="11">
        <v>5.4779999999999998E-4</v>
      </c>
      <c r="C29" s="11">
        <v>2.2120000000000001E-4</v>
      </c>
    </row>
    <row r="30" spans="1:3" x14ac:dyDescent="0.2">
      <c r="A30" s="9">
        <f t="shared" si="0"/>
        <v>27</v>
      </c>
      <c r="B30" s="11">
        <v>5.084E-4</v>
      </c>
      <c r="C30" s="11">
        <v>2.0039999999999999E-4</v>
      </c>
    </row>
    <row r="31" spans="1:3" x14ac:dyDescent="0.2">
      <c r="A31" s="9">
        <f t="shared" si="0"/>
        <v>28</v>
      </c>
      <c r="B31" s="11">
        <v>4.8089999999999998E-4</v>
      </c>
      <c r="C31" s="11">
        <v>1.8759999999999998E-4</v>
      </c>
    </row>
    <row r="32" spans="1:3" x14ac:dyDescent="0.2">
      <c r="A32" s="9">
        <f t="shared" si="0"/>
        <v>29</v>
      </c>
      <c r="B32" s="11">
        <v>4.6460000000000002E-4</v>
      </c>
      <c r="C32" s="11">
        <v>1.8340000000000001E-4</v>
      </c>
    </row>
    <row r="33" spans="1:3" x14ac:dyDescent="0.2">
      <c r="A33" s="9">
        <f t="shared" si="0"/>
        <v>30</v>
      </c>
      <c r="B33" s="11">
        <v>4.5829999999999997E-4</v>
      </c>
      <c r="C33" s="11">
        <v>1.8759999999999998E-4</v>
      </c>
    </row>
    <row r="34" spans="1:3" x14ac:dyDescent="0.2">
      <c r="A34" s="9">
        <f t="shared" si="0"/>
        <v>31</v>
      </c>
      <c r="B34" s="11">
        <v>4.6139999999999999E-4</v>
      </c>
      <c r="C34" s="11">
        <v>1.9909999999999999E-4</v>
      </c>
    </row>
    <row r="35" spans="1:3" x14ac:dyDescent="0.2">
      <c r="A35" s="9">
        <f t="shared" si="0"/>
        <v>32</v>
      </c>
      <c r="B35" s="11">
        <v>4.7410000000000003E-4</v>
      </c>
      <c r="C35" s="11">
        <v>2.162E-4</v>
      </c>
    </row>
    <row r="36" spans="1:3" x14ac:dyDescent="0.2">
      <c r="A36" s="9">
        <f t="shared" si="0"/>
        <v>33</v>
      </c>
      <c r="B36" s="11">
        <v>4.973E-4</v>
      </c>
      <c r="C36" s="11">
        <v>2.3670000000000001E-4</v>
      </c>
    </row>
    <row r="37" spans="1:3" x14ac:dyDescent="0.2">
      <c r="A37" s="9">
        <f t="shared" si="0"/>
        <v>34</v>
      </c>
      <c r="B37" s="11">
        <v>5.3140000000000001E-4</v>
      </c>
      <c r="C37" s="11">
        <v>2.5950000000000002E-4</v>
      </c>
    </row>
    <row r="38" spans="1:3" x14ac:dyDescent="0.2">
      <c r="A38" s="9">
        <f t="shared" si="0"/>
        <v>35</v>
      </c>
      <c r="B38" s="11">
        <v>5.7509999999999994E-4</v>
      </c>
      <c r="C38" s="11">
        <v>2.856E-4</v>
      </c>
    </row>
    <row r="39" spans="1:3" x14ac:dyDescent="0.2">
      <c r="A39" s="9">
        <f t="shared" si="0"/>
        <v>36</v>
      </c>
      <c r="B39" s="11">
        <v>6.2549999999999997E-4</v>
      </c>
      <c r="C39" s="11">
        <v>3.1780000000000003E-4</v>
      </c>
    </row>
    <row r="40" spans="1:3" x14ac:dyDescent="0.2">
      <c r="A40" s="9">
        <f t="shared" si="0"/>
        <v>37</v>
      </c>
      <c r="B40" s="11">
        <v>6.7969999999999999E-4</v>
      </c>
      <c r="C40" s="11">
        <v>3.6020000000000003E-4</v>
      </c>
    </row>
    <row r="41" spans="1:3" x14ac:dyDescent="0.2">
      <c r="A41" s="9">
        <f t="shared" si="0"/>
        <v>38</v>
      </c>
      <c r="B41" s="11">
        <v>7.3609999999999995E-4</v>
      </c>
      <c r="C41" s="11">
        <v>4.1549999999999996E-4</v>
      </c>
    </row>
    <row r="42" spans="1:3" x14ac:dyDescent="0.2">
      <c r="A42" s="9">
        <f t="shared" si="0"/>
        <v>39</v>
      </c>
      <c r="B42" s="11">
        <v>7.9579999999999994E-4</v>
      </c>
      <c r="C42" s="11">
        <v>4.8289999999999997E-4</v>
      </c>
    </row>
    <row r="43" spans="1:3" x14ac:dyDescent="0.2">
      <c r="A43" s="9">
        <f t="shared" si="0"/>
        <v>40</v>
      </c>
      <c r="B43" s="11">
        <v>8.6180000000000002E-4</v>
      </c>
      <c r="C43" s="11">
        <v>5.5900000000000004E-4</v>
      </c>
    </row>
    <row r="44" spans="1:3" x14ac:dyDescent="0.2">
      <c r="A44" s="9">
        <f t="shared" si="0"/>
        <v>41</v>
      </c>
      <c r="B44" s="11">
        <v>9.3829999999999998E-4</v>
      </c>
      <c r="C44" s="11">
        <v>6.3929999999999998E-4</v>
      </c>
    </row>
    <row r="45" spans="1:3" x14ac:dyDescent="0.2">
      <c r="A45" s="9">
        <f t="shared" si="0"/>
        <v>42</v>
      </c>
      <c r="B45" s="11">
        <v>1.0290999999999998E-3</v>
      </c>
      <c r="C45" s="11">
        <v>7.203E-4</v>
      </c>
    </row>
    <row r="46" spans="1:3" x14ac:dyDescent="0.2">
      <c r="A46" s="9">
        <f t="shared" si="0"/>
        <v>43</v>
      </c>
      <c r="B46" s="11">
        <v>1.1359999999999999E-3</v>
      </c>
      <c r="C46" s="11">
        <v>8.0059999999999994E-4</v>
      </c>
    </row>
    <row r="47" spans="1:3" x14ac:dyDescent="0.2">
      <c r="A47" s="9">
        <f t="shared" si="0"/>
        <v>44</v>
      </c>
      <c r="B47" s="11">
        <v>1.2584999999999999E-3</v>
      </c>
      <c r="C47" s="11">
        <v>8.8049999999999999E-4</v>
      </c>
    </row>
    <row r="48" spans="1:3" x14ac:dyDescent="0.2">
      <c r="A48" s="9">
        <f t="shared" si="0"/>
        <v>45</v>
      </c>
      <c r="B48" s="11">
        <v>1.3949000000000001E-3</v>
      </c>
      <c r="C48" s="11">
        <v>9.6170000000000001E-4</v>
      </c>
    </row>
    <row r="49" spans="1:3" x14ac:dyDescent="0.2">
      <c r="A49" s="9">
        <f t="shared" si="0"/>
        <v>46</v>
      </c>
      <c r="B49" s="11">
        <v>1.5444E-3</v>
      </c>
      <c r="C49" s="11">
        <v>1.0457000000000001E-3</v>
      </c>
    </row>
    <row r="50" spans="1:3" x14ac:dyDescent="0.2">
      <c r="A50" s="9">
        <f t="shared" si="0"/>
        <v>47</v>
      </c>
      <c r="B50" s="11">
        <v>1.7098999999999999E-3</v>
      </c>
      <c r="C50" s="11">
        <v>1.1355999999999998E-3</v>
      </c>
    </row>
    <row r="51" spans="1:3" x14ac:dyDescent="0.2">
      <c r="A51" s="9">
        <f t="shared" si="0"/>
        <v>48</v>
      </c>
      <c r="B51" s="11">
        <v>1.8961E-3</v>
      </c>
      <c r="C51" s="11">
        <v>1.2356000000000001E-3</v>
      </c>
    </row>
    <row r="52" spans="1:3" x14ac:dyDescent="0.2">
      <c r="A52" s="9">
        <f t="shared" si="0"/>
        <v>49</v>
      </c>
      <c r="B52" s="11">
        <v>2.1078999999999998E-3</v>
      </c>
      <c r="C52" s="11">
        <v>1.3505000000000001E-3</v>
      </c>
    </row>
    <row r="53" spans="1:3" x14ac:dyDescent="0.2">
      <c r="A53" s="9">
        <f t="shared" si="0"/>
        <v>50</v>
      </c>
      <c r="B53" s="11">
        <v>2.3466999999999997E-3</v>
      </c>
      <c r="C53" s="11">
        <v>1.4852000000000001E-3</v>
      </c>
    </row>
    <row r="54" spans="1:3" x14ac:dyDescent="0.2">
      <c r="A54" s="9">
        <f t="shared" si="0"/>
        <v>51</v>
      </c>
      <c r="B54" s="11">
        <v>2.6094E-3</v>
      </c>
      <c r="C54" s="11">
        <v>1.6440999999999999E-3</v>
      </c>
    </row>
    <row r="55" spans="1:3" x14ac:dyDescent="0.2">
      <c r="A55" s="9">
        <f t="shared" si="0"/>
        <v>52</v>
      </c>
      <c r="B55" s="11">
        <v>2.8907E-3</v>
      </c>
      <c r="C55" s="11">
        <v>1.8298000000000001E-3</v>
      </c>
    </row>
    <row r="56" spans="1:3" x14ac:dyDescent="0.2">
      <c r="A56" s="9">
        <f t="shared" si="0"/>
        <v>53</v>
      </c>
      <c r="B56" s="11">
        <v>3.1871999999999998E-3</v>
      </c>
      <c r="C56" s="11">
        <v>2.0413000000000002E-3</v>
      </c>
    </row>
    <row r="57" spans="1:3" x14ac:dyDescent="0.2">
      <c r="A57" s="9">
        <f t="shared" si="0"/>
        <v>54</v>
      </c>
      <c r="B57" s="11">
        <v>3.5024000000000001E-3</v>
      </c>
      <c r="C57" s="11">
        <v>2.2740999999999998E-3</v>
      </c>
    </row>
    <row r="58" spans="1:3" x14ac:dyDescent="0.2">
      <c r="A58" s="9">
        <f t="shared" si="0"/>
        <v>55</v>
      </c>
      <c r="B58" s="11">
        <v>3.8455E-3</v>
      </c>
      <c r="C58" s="11">
        <v>2.5233E-3</v>
      </c>
    </row>
    <row r="59" spans="1:3" x14ac:dyDescent="0.2">
      <c r="A59" s="9">
        <f t="shared" si="0"/>
        <v>56</v>
      </c>
      <c r="B59" s="11">
        <v>4.2255000000000001E-3</v>
      </c>
      <c r="C59" s="11">
        <v>2.7833999999999997E-3</v>
      </c>
    </row>
    <row r="60" spans="1:3" x14ac:dyDescent="0.2">
      <c r="A60" s="9">
        <f t="shared" si="0"/>
        <v>57</v>
      </c>
      <c r="B60" s="11">
        <v>4.6439000000000003E-3</v>
      </c>
      <c r="C60" s="11">
        <v>3.0477E-3</v>
      </c>
    </row>
    <row r="61" spans="1:3" x14ac:dyDescent="0.2">
      <c r="A61" s="9">
        <f t="shared" si="0"/>
        <v>58</v>
      </c>
      <c r="B61" s="11">
        <v>5.0921999999999999E-3</v>
      </c>
      <c r="C61" s="11">
        <v>3.3078000000000001E-3</v>
      </c>
    </row>
    <row r="62" spans="1:3" x14ac:dyDescent="0.2">
      <c r="A62" s="9">
        <f t="shared" si="0"/>
        <v>59</v>
      </c>
      <c r="B62" s="11">
        <v>5.5557999999999996E-3</v>
      </c>
      <c r="C62" s="11">
        <v>3.5561E-3</v>
      </c>
    </row>
    <row r="63" spans="1:3" x14ac:dyDescent="0.2">
      <c r="A63" s="9">
        <f t="shared" si="0"/>
        <v>60</v>
      </c>
      <c r="B63" s="11">
        <v>6.0185999999999998E-3</v>
      </c>
      <c r="C63" s="11">
        <v>3.7886999999999999E-3</v>
      </c>
    </row>
    <row r="64" spans="1:3" x14ac:dyDescent="0.2">
      <c r="A64" s="9">
        <f t="shared" si="0"/>
        <v>61</v>
      </c>
      <c r="B64" s="11">
        <v>6.4713000000000001E-3</v>
      </c>
      <c r="C64" s="11">
        <v>4.0088999999999993E-3</v>
      </c>
    </row>
    <row r="65" spans="1:3" x14ac:dyDescent="0.2">
      <c r="A65" s="9">
        <f t="shared" si="0"/>
        <v>62</v>
      </c>
      <c r="B65" s="11">
        <v>6.9176000000000003E-3</v>
      </c>
      <c r="C65" s="11">
        <v>4.2285000000000005E-3</v>
      </c>
    </row>
    <row r="66" spans="1:3" x14ac:dyDescent="0.2">
      <c r="A66" s="9">
        <f t="shared" si="0"/>
        <v>63</v>
      </c>
      <c r="B66" s="11">
        <v>7.3750999999999999E-3</v>
      </c>
      <c r="C66" s="11">
        <v>4.4637000000000001E-3</v>
      </c>
    </row>
    <row r="67" spans="1:3" x14ac:dyDescent="0.2">
      <c r="A67" s="9">
        <f t="shared" si="0"/>
        <v>64</v>
      </c>
      <c r="B67" s="11">
        <v>7.7819000000000004E-3</v>
      </c>
      <c r="C67" s="11">
        <v>4.7300000000000007E-3</v>
      </c>
    </row>
    <row r="68" spans="1:3" x14ac:dyDescent="0.2">
      <c r="A68" s="9">
        <f t="shared" si="0"/>
        <v>65</v>
      </c>
      <c r="B68" s="11">
        <v>8.4460000000000004E-3</v>
      </c>
      <c r="C68" s="11">
        <v>5.0397999999999997E-3</v>
      </c>
    </row>
    <row r="69" spans="1:3" x14ac:dyDescent="0.2">
      <c r="A69" s="9">
        <f t="shared" ref="A69:A128" si="1">A68+1</f>
        <v>66</v>
      </c>
      <c r="B69" s="11">
        <v>8.1419999999999999E-3</v>
      </c>
      <c r="C69" s="11">
        <v>5.4032000000000004E-3</v>
      </c>
    </row>
    <row r="70" spans="1:3" x14ac:dyDescent="0.2">
      <c r="A70" s="9">
        <f t="shared" si="1"/>
        <v>67</v>
      </c>
      <c r="B70" s="11">
        <v>1.00047E-2</v>
      </c>
      <c r="C70" s="11">
        <v>5.8288000000000003E-3</v>
      </c>
    </row>
    <row r="71" spans="1:3" x14ac:dyDescent="0.2">
      <c r="A71" s="9">
        <f t="shared" si="1"/>
        <v>68</v>
      </c>
      <c r="B71" s="11">
        <v>1.10735E-2</v>
      </c>
      <c r="C71" s="11">
        <v>6.3263999999999994E-3</v>
      </c>
    </row>
    <row r="72" spans="1:3" x14ac:dyDescent="0.2">
      <c r="A72" s="9">
        <f t="shared" si="1"/>
        <v>69</v>
      </c>
      <c r="B72" s="11">
        <v>1.2380200000000001E-2</v>
      </c>
      <c r="C72" s="11">
        <v>6.9088999999999999E-3</v>
      </c>
    </row>
    <row r="73" spans="1:3" x14ac:dyDescent="0.2">
      <c r="A73" s="9">
        <f t="shared" si="1"/>
        <v>70</v>
      </c>
      <c r="B73" s="11">
        <v>1.39483E-2</v>
      </c>
      <c r="C73" s="11">
        <v>7.5944999999999997E-3</v>
      </c>
    </row>
    <row r="74" spans="1:3" x14ac:dyDescent="0.2">
      <c r="A74" s="9">
        <f t="shared" si="1"/>
        <v>71</v>
      </c>
      <c r="B74" s="11">
        <v>1.57944E-2</v>
      </c>
      <c r="C74" s="11">
        <v>8.4105000000000013E-3</v>
      </c>
    </row>
    <row r="75" spans="1:3" x14ac:dyDescent="0.2">
      <c r="A75" s="9">
        <f t="shared" si="1"/>
        <v>72</v>
      </c>
      <c r="B75" s="11">
        <v>1.7928799999999998E-2</v>
      </c>
      <c r="C75" s="11">
        <v>9.3939000000000002E-3</v>
      </c>
    </row>
    <row r="76" spans="1:3" x14ac:dyDescent="0.2">
      <c r="A76" s="9">
        <f t="shared" si="1"/>
        <v>73</v>
      </c>
      <c r="B76" s="11">
        <v>2.0356800000000001E-2</v>
      </c>
      <c r="C76" s="11">
        <v>1.0590400000000002E-2</v>
      </c>
    </row>
    <row r="77" spans="1:3" x14ac:dyDescent="0.2">
      <c r="A77" s="9">
        <f t="shared" si="1"/>
        <v>74</v>
      </c>
      <c r="B77" s="11">
        <v>2.3079699999999998E-2</v>
      </c>
      <c r="C77" s="11">
        <v>1.20521E-2</v>
      </c>
    </row>
    <row r="78" spans="1:3" x14ac:dyDescent="0.2">
      <c r="A78" s="9">
        <f t="shared" si="1"/>
        <v>75</v>
      </c>
      <c r="B78" s="11">
        <v>2.6097000000000002E-2</v>
      </c>
      <c r="C78" s="11">
        <v>1.38361E-2</v>
      </c>
    </row>
    <row r="79" spans="1:3" x14ac:dyDescent="0.2">
      <c r="A79" s="9">
        <f t="shared" si="1"/>
        <v>76</v>
      </c>
      <c r="B79" s="11">
        <v>2.94081E-2</v>
      </c>
      <c r="C79" s="11">
        <v>1.6002300000000001E-2</v>
      </c>
    </row>
    <row r="80" spans="1:3" x14ac:dyDescent="0.2">
      <c r="A80" s="9">
        <f t="shared" si="1"/>
        <v>77</v>
      </c>
      <c r="B80" s="11">
        <v>3.3012399999999997E-2</v>
      </c>
      <c r="C80" s="11">
        <v>1.86114E-2</v>
      </c>
    </row>
    <row r="81" spans="1:3" x14ac:dyDescent="0.2">
      <c r="A81" s="9">
        <f t="shared" si="1"/>
        <v>78</v>
      </c>
      <c r="B81" s="11">
        <v>3.6910600000000002E-2</v>
      </c>
      <c r="C81" s="11">
        <v>2.1722100000000001E-2</v>
      </c>
    </row>
    <row r="82" spans="1:3" x14ac:dyDescent="0.2">
      <c r="A82" s="9">
        <f t="shared" si="1"/>
        <v>79</v>
      </c>
      <c r="B82" s="11">
        <v>4.11066E-2</v>
      </c>
      <c r="C82" s="11">
        <v>2.5388899999999999E-2</v>
      </c>
    </row>
    <row r="83" spans="1:3" x14ac:dyDescent="0.2">
      <c r="A83" s="9">
        <f t="shared" si="1"/>
        <v>80</v>
      </c>
      <c r="B83" s="11">
        <v>4.5610399999999995E-2</v>
      </c>
      <c r="C83" s="11">
        <v>2.9660200000000001E-2</v>
      </c>
    </row>
    <row r="84" spans="1:3" x14ac:dyDescent="0.2">
      <c r="A84" s="9">
        <f t="shared" si="1"/>
        <v>81</v>
      </c>
      <c r="B84" s="11">
        <v>5.0439999999999999E-2</v>
      </c>
      <c r="C84" s="11">
        <v>3.4579399999999996E-2</v>
      </c>
    </row>
    <row r="85" spans="1:3" x14ac:dyDescent="0.2">
      <c r="A85" s="9">
        <f t="shared" si="1"/>
        <v>82</v>
      </c>
      <c r="B85" s="11">
        <v>5.5623800000000001E-2</v>
      </c>
      <c r="C85" s="11">
        <v>4.0185600000000002E-2</v>
      </c>
    </row>
    <row r="86" spans="1:3" x14ac:dyDescent="0.2">
      <c r="A86" s="9">
        <f t="shared" si="1"/>
        <v>83</v>
      </c>
      <c r="B86" s="11">
        <v>6.1201999999999999E-2</v>
      </c>
      <c r="C86" s="11">
        <v>4.6515300000000002E-2</v>
      </c>
    </row>
    <row r="87" spans="1:3" x14ac:dyDescent="0.2">
      <c r="A87" s="9">
        <f t="shared" si="1"/>
        <v>84</v>
      </c>
      <c r="B87" s="11">
        <v>6.7227500000000009E-2</v>
      </c>
      <c r="C87" s="11">
        <v>5.3603200000000004E-2</v>
      </c>
    </row>
    <row r="88" spans="1:3" x14ac:dyDescent="0.2">
      <c r="A88" s="9">
        <f t="shared" si="1"/>
        <v>85</v>
      </c>
      <c r="B88" s="11">
        <v>7.376640000000001E-2</v>
      </c>
      <c r="C88" s="11">
        <v>6.14846E-2</v>
      </c>
    </row>
    <row r="89" spans="1:3" x14ac:dyDescent="0.2">
      <c r="A89" s="9">
        <f t="shared" si="1"/>
        <v>86</v>
      </c>
      <c r="B89" s="11">
        <v>8.0897499999999997E-2</v>
      </c>
      <c r="C89" s="11">
        <v>7.0197200000000001E-2</v>
      </c>
    </row>
    <row r="90" spans="1:3" x14ac:dyDescent="0.2">
      <c r="A90" s="9">
        <f t="shared" si="1"/>
        <v>87</v>
      </c>
      <c r="B90" s="11">
        <v>8.8712100000000002E-2</v>
      </c>
      <c r="C90" s="11">
        <v>7.9782700000000012E-2</v>
      </c>
    </row>
    <row r="91" spans="1:3" x14ac:dyDescent="0.2">
      <c r="A91" s="9">
        <f t="shared" si="1"/>
        <v>88</v>
      </c>
      <c r="B91" s="11">
        <v>9.7312599999999999E-2</v>
      </c>
      <c r="C91" s="11">
        <v>9.0285799999999999E-2</v>
      </c>
    </row>
    <row r="92" spans="1:3" x14ac:dyDescent="0.2">
      <c r="A92" s="9">
        <f t="shared" si="1"/>
        <v>89</v>
      </c>
      <c r="B92" s="11">
        <v>0.10681109999999999</v>
      </c>
      <c r="C92" s="11">
        <v>0.10175379999999999</v>
      </c>
    </row>
    <row r="93" spans="1:3" x14ac:dyDescent="0.2">
      <c r="A93" s="9">
        <f t="shared" si="1"/>
        <v>90</v>
      </c>
      <c r="B93" s="11">
        <v>0.11732769999999999</v>
      </c>
      <c r="C93" s="11">
        <v>0.1142358</v>
      </c>
    </row>
    <row r="94" spans="1:3" x14ac:dyDescent="0.2">
      <c r="A94" s="9">
        <f t="shared" si="1"/>
        <v>91</v>
      </c>
      <c r="B94" s="11">
        <v>0.12898869999999998</v>
      </c>
      <c r="C94" s="11">
        <v>0.12778249999999999</v>
      </c>
    </row>
    <row r="95" spans="1:3" x14ac:dyDescent="0.2">
      <c r="A95" s="9">
        <f t="shared" si="1"/>
        <v>92</v>
      </c>
      <c r="B95" s="11">
        <v>0.1419241</v>
      </c>
      <c r="C95" s="11">
        <v>0.14244589999999999</v>
      </c>
    </row>
    <row r="96" spans="1:3" x14ac:dyDescent="0.2">
      <c r="A96" s="9">
        <f t="shared" si="1"/>
        <v>93</v>
      </c>
      <c r="B96" s="11">
        <v>0.15626580000000001</v>
      </c>
      <c r="C96" s="11">
        <v>0.1582789</v>
      </c>
    </row>
    <row r="97" spans="1:3" x14ac:dyDescent="0.2">
      <c r="A97" s="9">
        <f t="shared" si="1"/>
        <v>94</v>
      </c>
      <c r="B97" s="11">
        <v>0.17214490000000002</v>
      </c>
      <c r="C97" s="11">
        <v>0.1753344</v>
      </c>
    </row>
    <row r="98" spans="1:3" x14ac:dyDescent="0.2">
      <c r="A98" s="9">
        <f t="shared" si="1"/>
        <v>95</v>
      </c>
      <c r="B98" s="11">
        <v>0.1896901</v>
      </c>
      <c r="C98" s="11">
        <v>0.19366460000000002</v>
      </c>
    </row>
    <row r="99" spans="1:3" x14ac:dyDescent="0.2">
      <c r="A99" s="9">
        <f t="shared" si="1"/>
        <v>96</v>
      </c>
      <c r="B99" s="11">
        <v>0.20902560000000001</v>
      </c>
      <c r="C99" s="11">
        <v>0.21332039999999999</v>
      </c>
    </row>
    <row r="100" spans="1:3" x14ac:dyDescent="0.2">
      <c r="A100" s="9">
        <f t="shared" si="1"/>
        <v>97</v>
      </c>
      <c r="B100" s="11">
        <v>0.2302699</v>
      </c>
      <c r="C100" s="11">
        <v>0.23435110000000001</v>
      </c>
    </row>
    <row r="101" spans="1:3" x14ac:dyDescent="0.2">
      <c r="A101" s="9">
        <f t="shared" si="1"/>
        <v>98</v>
      </c>
      <c r="B101" s="11">
        <v>0.2535346</v>
      </c>
      <c r="C101" s="11">
        <v>0.25680360000000002</v>
      </c>
    </row>
    <row r="102" spans="1:3" x14ac:dyDescent="0.2">
      <c r="A102" s="9">
        <f t="shared" si="1"/>
        <v>99</v>
      </c>
      <c r="B102" s="11">
        <v>0.27892309999999998</v>
      </c>
      <c r="C102" s="11">
        <v>0.28072219999999998</v>
      </c>
    </row>
    <row r="103" spans="1:3" x14ac:dyDescent="0.2">
      <c r="A103" s="9">
        <f t="shared" si="1"/>
        <v>100</v>
      </c>
      <c r="B103" s="11">
        <v>0.30653039999999998</v>
      </c>
      <c r="C103" s="11">
        <v>0.30614809999999998</v>
      </c>
    </row>
    <row r="104" spans="1:3" x14ac:dyDescent="0.2">
      <c r="A104" s="9">
        <f t="shared" si="1"/>
        <v>101</v>
      </c>
      <c r="B104" s="11">
        <v>0.33644279999999999</v>
      </c>
      <c r="C104" s="11">
        <v>0.3331191</v>
      </c>
    </row>
    <row r="105" spans="1:3" x14ac:dyDescent="0.2">
      <c r="A105" s="9">
        <f t="shared" si="1"/>
        <v>102</v>
      </c>
      <c r="B105" s="11">
        <v>0.36873729999999999</v>
      </c>
      <c r="C105" s="11">
        <v>0.36166919999999997</v>
      </c>
    </row>
    <row r="106" spans="1:3" x14ac:dyDescent="0.2">
      <c r="A106" s="9">
        <f t="shared" si="1"/>
        <v>103</v>
      </c>
      <c r="B106" s="11">
        <v>0.40348219999999996</v>
      </c>
      <c r="C106" s="11">
        <v>0.39182899999999998</v>
      </c>
    </row>
    <row r="107" spans="1:3" x14ac:dyDescent="0.2">
      <c r="A107" s="9">
        <f t="shared" si="1"/>
        <v>104</v>
      </c>
      <c r="B107" s="11">
        <v>0.44073660000000003</v>
      </c>
      <c r="C107" s="11">
        <v>0.42362540000000004</v>
      </c>
    </row>
    <row r="108" spans="1:3" x14ac:dyDescent="0.2">
      <c r="A108" s="9">
        <f t="shared" si="1"/>
        <v>105</v>
      </c>
      <c r="B108" s="11">
        <v>0.48055059999999999</v>
      </c>
      <c r="C108" s="11">
        <v>0.45708159999999998</v>
      </c>
    </row>
    <row r="109" spans="1:3" x14ac:dyDescent="0.2">
      <c r="A109" s="9">
        <f t="shared" si="1"/>
        <v>106</v>
      </c>
      <c r="B109" s="11">
        <v>0.52296640000000005</v>
      </c>
      <c r="C109" s="11">
        <v>0.49221759999999998</v>
      </c>
    </row>
    <row r="110" spans="1:3" x14ac:dyDescent="0.2">
      <c r="A110" s="9">
        <f t="shared" si="1"/>
        <v>107</v>
      </c>
      <c r="B110" s="11">
        <v>0.56801809999999997</v>
      </c>
      <c r="C110" s="11">
        <v>0.52905010000000008</v>
      </c>
    </row>
    <row r="111" spans="1:3" x14ac:dyDescent="0.2">
      <c r="A111" s="9">
        <f t="shared" si="1"/>
        <v>108</v>
      </c>
      <c r="B111" s="11">
        <v>0.61573270000000002</v>
      </c>
      <c r="C111" s="11">
        <v>0.56759280000000001</v>
      </c>
    </row>
    <row r="112" spans="1:3" x14ac:dyDescent="0.2">
      <c r="A112" s="9">
        <f t="shared" si="1"/>
        <v>109</v>
      </c>
      <c r="B112" s="11">
        <v>0.66613099999999992</v>
      </c>
      <c r="C112" s="11">
        <v>0.60785699999999998</v>
      </c>
    </row>
    <row r="113" spans="1:3" x14ac:dyDescent="0.2">
      <c r="A113" s="9">
        <f t="shared" si="1"/>
        <v>110</v>
      </c>
      <c r="B113" s="11">
        <v>0.71922819999999998</v>
      </c>
      <c r="C113" s="11">
        <v>0.64985150000000003</v>
      </c>
    </row>
    <row r="114" spans="1:3" x14ac:dyDescent="0.2">
      <c r="A114" s="9">
        <f t="shared" si="1"/>
        <v>111</v>
      </c>
      <c r="B114" s="11">
        <v>0.77503480000000002</v>
      </c>
      <c r="C114" s="11">
        <v>0.6935830999999999</v>
      </c>
    </row>
    <row r="115" spans="1:3" x14ac:dyDescent="0.2">
      <c r="A115" s="9">
        <f t="shared" si="1"/>
        <v>112</v>
      </c>
      <c r="B115" s="11">
        <v>0.83355760000000001</v>
      </c>
      <c r="C115" s="11">
        <v>0.73905670000000001</v>
      </c>
    </row>
    <row r="116" spans="1:3" x14ac:dyDescent="0.2">
      <c r="A116" s="9">
        <f t="shared" si="1"/>
        <v>113</v>
      </c>
      <c r="B116" s="11">
        <v>0.89480039999999994</v>
      </c>
      <c r="C116" s="11">
        <v>0.78627579999999997</v>
      </c>
    </row>
    <row r="117" spans="1:3" x14ac:dyDescent="0.2">
      <c r="A117" s="9">
        <f t="shared" si="1"/>
        <v>114</v>
      </c>
      <c r="B117" s="11">
        <v>0.95876490000000003</v>
      </c>
      <c r="C117" s="11">
        <v>0.8352427</v>
      </c>
    </row>
    <row r="118" spans="1:3" x14ac:dyDescent="0.2">
      <c r="A118" s="9">
        <f t="shared" si="1"/>
        <v>115</v>
      </c>
      <c r="B118" s="11">
        <v>0.99571389999999993</v>
      </c>
      <c r="C118" s="11">
        <v>0.88595840000000003</v>
      </c>
    </row>
    <row r="119" spans="1:3" x14ac:dyDescent="0.2">
      <c r="A119" s="9">
        <f t="shared" si="1"/>
        <v>116</v>
      </c>
      <c r="B119" s="11">
        <v>1</v>
      </c>
      <c r="C119" s="11">
        <v>0.93842370000000008</v>
      </c>
    </row>
    <row r="120" spans="1:3" x14ac:dyDescent="0.2">
      <c r="A120" s="9">
        <f t="shared" si="1"/>
        <v>117</v>
      </c>
      <c r="B120" s="12"/>
      <c r="C120" s="12"/>
    </row>
    <row r="121" spans="1:3" x14ac:dyDescent="0.2">
      <c r="A121" s="9">
        <f t="shared" si="1"/>
        <v>118</v>
      </c>
      <c r="B121" s="12"/>
      <c r="C121" s="12"/>
    </row>
    <row r="122" spans="1:3" x14ac:dyDescent="0.2">
      <c r="A122" s="9">
        <f t="shared" si="1"/>
        <v>119</v>
      </c>
      <c r="B122" s="12"/>
      <c r="C122" s="12"/>
    </row>
    <row r="123" spans="1:3" x14ac:dyDescent="0.2">
      <c r="A123" s="9">
        <f t="shared" si="1"/>
        <v>120</v>
      </c>
      <c r="B123" s="12"/>
      <c r="C123" s="12"/>
    </row>
    <row r="124" spans="1:3" x14ac:dyDescent="0.2">
      <c r="A124" s="9">
        <f t="shared" si="1"/>
        <v>121</v>
      </c>
      <c r="B124" s="12"/>
      <c r="C124" s="12"/>
    </row>
    <row r="125" spans="1:3" x14ac:dyDescent="0.2">
      <c r="A125" s="9">
        <f t="shared" si="1"/>
        <v>122</v>
      </c>
      <c r="B125" s="13"/>
      <c r="C125" s="12"/>
    </row>
    <row r="126" spans="1:3" x14ac:dyDescent="0.2">
      <c r="A126" s="9">
        <f t="shared" si="1"/>
        <v>123</v>
      </c>
      <c r="B126" s="12"/>
      <c r="C126" s="12"/>
    </row>
    <row r="127" spans="1:3" x14ac:dyDescent="0.2">
      <c r="A127" s="9">
        <f t="shared" si="1"/>
        <v>124</v>
      </c>
      <c r="B127" s="12"/>
      <c r="C127" s="12"/>
    </row>
    <row r="128" spans="1:3" x14ac:dyDescent="0.2">
      <c r="A128" s="14">
        <f t="shared" si="1"/>
        <v>125</v>
      </c>
      <c r="B128" s="15"/>
      <c r="C128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L51"/>
  <sheetViews>
    <sheetView topLeftCell="A16" workbookViewId="0">
      <selection activeCell="B46" sqref="B46"/>
    </sheetView>
  </sheetViews>
  <sheetFormatPr baseColWidth="10" defaultRowHeight="12.75" x14ac:dyDescent="0.2"/>
  <cols>
    <col min="1" max="1" width="20.7109375" bestFit="1" customWidth="1"/>
    <col min="2" max="2" width="23.5703125" bestFit="1" customWidth="1"/>
  </cols>
  <sheetData>
    <row r="1" spans="1:10" x14ac:dyDescent="0.2">
      <c r="A1" s="1" t="s">
        <v>30</v>
      </c>
      <c r="B1" s="16">
        <v>0.27060000000000001</v>
      </c>
    </row>
    <row r="4" spans="1:10" x14ac:dyDescent="0.2">
      <c r="A4" s="1" t="s">
        <v>38</v>
      </c>
    </row>
    <row r="6" spans="1:10" x14ac:dyDescent="0.2">
      <c r="A6">
        <v>0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</row>
    <row r="7" spans="1:10" x14ac:dyDescent="0.2">
      <c r="A7" s="16">
        <v>1.6500000000000001E-2</v>
      </c>
      <c r="B7" s="16">
        <v>2.6599999999999999E-2</v>
      </c>
      <c r="C7" s="16">
        <v>2.75E-2</v>
      </c>
      <c r="D7" s="16">
        <v>2.7E-2</v>
      </c>
      <c r="E7" s="16">
        <v>4.2999999999999997E-2</v>
      </c>
      <c r="F7" s="16">
        <v>3.4299999999999997E-2</v>
      </c>
      <c r="G7" s="16">
        <v>5.2400000000000002E-2</v>
      </c>
      <c r="H7" s="16">
        <v>3.49E-2</v>
      </c>
      <c r="I7" s="16">
        <v>4.5100000000000001E-2</v>
      </c>
      <c r="J7" s="16">
        <v>2.6499999999999999E-2</v>
      </c>
    </row>
    <row r="11" spans="1:10" x14ac:dyDescent="0.2">
      <c r="A11" s="1" t="s">
        <v>47</v>
      </c>
      <c r="B11">
        <v>240</v>
      </c>
    </row>
    <row r="12" spans="1:10" x14ac:dyDescent="0.2">
      <c r="A12" s="1"/>
    </row>
    <row r="13" spans="1:10" x14ac:dyDescent="0.2">
      <c r="A13" s="1" t="s">
        <v>48</v>
      </c>
      <c r="B13">
        <v>60</v>
      </c>
    </row>
    <row r="15" spans="1:10" x14ac:dyDescent="0.2">
      <c r="A15" s="1" t="s">
        <v>49</v>
      </c>
      <c r="B15">
        <v>15000</v>
      </c>
    </row>
    <row r="17" spans="1:4" x14ac:dyDescent="0.2">
      <c r="A17" s="1" t="s">
        <v>51</v>
      </c>
      <c r="B17" s="18">
        <v>0.64159999999999995</v>
      </c>
    </row>
    <row r="23" spans="1:4" x14ac:dyDescent="0.2">
      <c r="A23" s="1" t="s">
        <v>53</v>
      </c>
    </row>
    <row r="26" spans="1:4" x14ac:dyDescent="0.2">
      <c r="A26">
        <v>1</v>
      </c>
      <c r="B26">
        <v>13</v>
      </c>
      <c r="C26">
        <v>25</v>
      </c>
      <c r="D26">
        <v>37</v>
      </c>
    </row>
    <row r="27" spans="1:4" x14ac:dyDescent="0.2">
      <c r="A27" s="16">
        <v>0.17100000000000001</v>
      </c>
      <c r="B27" s="16">
        <v>8.5500000000000007E-2</v>
      </c>
      <c r="C27" s="16">
        <v>8.5500000000000007E-2</v>
      </c>
      <c r="D27" s="19">
        <v>0</v>
      </c>
    </row>
    <row r="30" spans="1:4" x14ac:dyDescent="0.2">
      <c r="A30" s="1" t="s">
        <v>58</v>
      </c>
      <c r="B30" s="19">
        <v>0.2</v>
      </c>
    </row>
    <row r="32" spans="1:4" x14ac:dyDescent="0.2">
      <c r="A32" t="s">
        <v>59</v>
      </c>
      <c r="B32">
        <v>153.715</v>
      </c>
    </row>
    <row r="34" spans="1:38" x14ac:dyDescent="0.2">
      <c r="A34" t="s">
        <v>60</v>
      </c>
      <c r="B34" s="16">
        <v>2.8999999999999998E-3</v>
      </c>
    </row>
    <row r="36" spans="1:38" x14ac:dyDescent="0.2">
      <c r="A36" t="s">
        <v>61</v>
      </c>
      <c r="B36" s="19">
        <v>0.01</v>
      </c>
    </row>
    <row r="39" spans="1:38" x14ac:dyDescent="0.2">
      <c r="A39" t="s">
        <v>64</v>
      </c>
    </row>
    <row r="41" spans="1:38" x14ac:dyDescent="0.2">
      <c r="A41">
        <v>2017</v>
      </c>
      <c r="B41">
        <v>2018</v>
      </c>
      <c r="C41">
        <v>2019</v>
      </c>
      <c r="D41">
        <v>2020</v>
      </c>
      <c r="E41">
        <v>2021</v>
      </c>
      <c r="F41">
        <v>2022</v>
      </c>
      <c r="G41">
        <v>2023</v>
      </c>
      <c r="H41">
        <v>2024</v>
      </c>
      <c r="I41">
        <v>2025</v>
      </c>
      <c r="J41">
        <v>2026</v>
      </c>
      <c r="K41">
        <v>2027</v>
      </c>
      <c r="L41">
        <v>2028</v>
      </c>
      <c r="M41">
        <v>2029</v>
      </c>
      <c r="N41">
        <v>2030</v>
      </c>
      <c r="O41">
        <v>2031</v>
      </c>
      <c r="P41">
        <v>2032</v>
      </c>
      <c r="Q41">
        <v>2033</v>
      </c>
      <c r="R41">
        <v>2034</v>
      </c>
      <c r="S41">
        <v>2035</v>
      </c>
      <c r="T41">
        <v>2036</v>
      </c>
      <c r="U41">
        <v>2037</v>
      </c>
      <c r="V41">
        <v>2038</v>
      </c>
      <c r="W41">
        <v>2039</v>
      </c>
      <c r="X41">
        <v>2040</v>
      </c>
      <c r="Y41">
        <v>2041</v>
      </c>
      <c r="Z41">
        <v>2042</v>
      </c>
      <c r="AA41">
        <v>2043</v>
      </c>
      <c r="AB41">
        <v>2044</v>
      </c>
      <c r="AC41">
        <v>2045</v>
      </c>
      <c r="AD41">
        <v>2046</v>
      </c>
      <c r="AE41">
        <v>2047</v>
      </c>
      <c r="AF41">
        <v>2048</v>
      </c>
      <c r="AG41">
        <v>2049</v>
      </c>
      <c r="AH41">
        <v>2050</v>
      </c>
      <c r="AI41">
        <v>2051</v>
      </c>
      <c r="AJ41">
        <v>2052</v>
      </c>
      <c r="AK41">
        <v>2053</v>
      </c>
      <c r="AL41">
        <v>2053</v>
      </c>
    </row>
    <row r="42" spans="1:38" x14ac:dyDescent="0.2">
      <c r="A42">
        <v>1.8848764873174162</v>
      </c>
      <c r="B42">
        <v>1.8406901385362568</v>
      </c>
      <c r="C42">
        <v>1.6941658209836845</v>
      </c>
      <c r="D42">
        <v>1.6261183998164959</v>
      </c>
      <c r="E42">
        <v>1.5335871617852823</v>
      </c>
      <c r="F42">
        <v>1.5213694462861134</v>
      </c>
      <c r="G42">
        <v>1.4270081362352414</v>
      </c>
      <c r="H42">
        <v>1.4589505688163713</v>
      </c>
      <c r="I42">
        <v>1.5035087563983405</v>
      </c>
      <c r="J42">
        <v>1.5141311664607402</v>
      </c>
      <c r="K42">
        <v>1.5571657125337566</v>
      </c>
      <c r="L42">
        <v>1.5864907845133887</v>
      </c>
      <c r="M42">
        <v>1.686071644385893</v>
      </c>
      <c r="N42">
        <v>1.7560207384833468</v>
      </c>
      <c r="O42">
        <v>1.8322125385566701</v>
      </c>
      <c r="P42">
        <v>1.9444715539438149</v>
      </c>
      <c r="Q42">
        <v>2.0270543560324343</v>
      </c>
      <c r="R42">
        <v>2.1395415048066329</v>
      </c>
      <c r="S42">
        <v>2.2104907607984421</v>
      </c>
      <c r="T42">
        <v>2.223831324284375</v>
      </c>
      <c r="U42">
        <v>2.2731495385054488</v>
      </c>
      <c r="V42">
        <v>2.37450548921433</v>
      </c>
      <c r="W42">
        <v>2.4832693050990482</v>
      </c>
      <c r="X42">
        <v>2.5283367643389854</v>
      </c>
      <c r="Y42">
        <v>2.5835366615046746</v>
      </c>
      <c r="Z42">
        <v>2.6391894621767547</v>
      </c>
      <c r="AA42">
        <v>2.7126176915617517</v>
      </c>
      <c r="AB42">
        <v>2.7715056730686105</v>
      </c>
      <c r="AC42">
        <v>2.7995803999435882</v>
      </c>
      <c r="AD42">
        <v>2.8041259588468503</v>
      </c>
      <c r="AE42">
        <v>2.8216312823866412</v>
      </c>
      <c r="AF42">
        <v>2.8554295951583835</v>
      </c>
      <c r="AG42">
        <v>2.8779655365265895</v>
      </c>
      <c r="AH42">
        <v>2.8928166809751037</v>
      </c>
      <c r="AI42">
        <v>2.9114796079870358</v>
      </c>
      <c r="AJ42">
        <v>2.9298301555225716</v>
      </c>
      <c r="AK42">
        <v>2.9545924066929423</v>
      </c>
      <c r="AL42">
        <v>2.9545924066929423</v>
      </c>
    </row>
    <row r="43" spans="1:38" x14ac:dyDescent="0.2">
      <c r="A43">
        <f>ROUND(A42,4)/100</f>
        <v>1.8849000000000001E-2</v>
      </c>
      <c r="B43">
        <f t="shared" ref="B43:AL43" si="0">ROUND(B42,4)/100</f>
        <v>1.8407E-2</v>
      </c>
      <c r="C43">
        <f t="shared" si="0"/>
        <v>1.6941999999999999E-2</v>
      </c>
      <c r="D43">
        <f t="shared" si="0"/>
        <v>1.6261000000000001E-2</v>
      </c>
      <c r="E43">
        <f t="shared" si="0"/>
        <v>1.5336000000000001E-2</v>
      </c>
      <c r="F43">
        <f t="shared" si="0"/>
        <v>1.5214E-2</v>
      </c>
      <c r="G43">
        <f t="shared" si="0"/>
        <v>1.427E-2</v>
      </c>
      <c r="H43">
        <f t="shared" si="0"/>
        <v>1.4590000000000001E-2</v>
      </c>
      <c r="I43">
        <f t="shared" si="0"/>
        <v>1.5035E-2</v>
      </c>
      <c r="J43">
        <f t="shared" si="0"/>
        <v>1.5141E-2</v>
      </c>
      <c r="K43">
        <f t="shared" si="0"/>
        <v>1.5571999999999999E-2</v>
      </c>
      <c r="L43">
        <f t="shared" si="0"/>
        <v>1.5865000000000001E-2</v>
      </c>
      <c r="M43">
        <f t="shared" si="0"/>
        <v>1.6861000000000001E-2</v>
      </c>
      <c r="N43">
        <f t="shared" si="0"/>
        <v>1.7559999999999999E-2</v>
      </c>
      <c r="O43">
        <f t="shared" si="0"/>
        <v>1.8322000000000001E-2</v>
      </c>
      <c r="P43">
        <f t="shared" si="0"/>
        <v>1.9445E-2</v>
      </c>
      <c r="Q43">
        <f t="shared" si="0"/>
        <v>2.0270999999999997E-2</v>
      </c>
      <c r="R43">
        <f t="shared" si="0"/>
        <v>2.1395000000000001E-2</v>
      </c>
      <c r="S43">
        <f t="shared" si="0"/>
        <v>2.2105E-2</v>
      </c>
      <c r="T43">
        <f t="shared" si="0"/>
        <v>2.2238000000000001E-2</v>
      </c>
      <c r="U43">
        <f t="shared" si="0"/>
        <v>2.2730999999999998E-2</v>
      </c>
      <c r="V43">
        <f t="shared" si="0"/>
        <v>2.3744999999999999E-2</v>
      </c>
      <c r="W43">
        <f t="shared" si="0"/>
        <v>2.4832999999999997E-2</v>
      </c>
      <c r="X43">
        <f t="shared" si="0"/>
        <v>2.5283000000000003E-2</v>
      </c>
      <c r="Y43">
        <f t="shared" si="0"/>
        <v>2.5835E-2</v>
      </c>
      <c r="Z43">
        <f t="shared" si="0"/>
        <v>2.6392000000000002E-2</v>
      </c>
      <c r="AA43">
        <f t="shared" si="0"/>
        <v>2.7126000000000001E-2</v>
      </c>
      <c r="AB43">
        <f t="shared" si="0"/>
        <v>2.7715E-2</v>
      </c>
      <c r="AC43">
        <f t="shared" si="0"/>
        <v>2.7996E-2</v>
      </c>
      <c r="AD43">
        <f t="shared" si="0"/>
        <v>2.8041E-2</v>
      </c>
      <c r="AE43">
        <f t="shared" si="0"/>
        <v>2.8216000000000001E-2</v>
      </c>
      <c r="AF43">
        <f t="shared" si="0"/>
        <v>2.8554E-2</v>
      </c>
      <c r="AG43">
        <f t="shared" si="0"/>
        <v>2.878E-2</v>
      </c>
      <c r="AH43">
        <f t="shared" si="0"/>
        <v>2.8927999999999999E-2</v>
      </c>
      <c r="AI43">
        <f t="shared" si="0"/>
        <v>2.9115000000000002E-2</v>
      </c>
      <c r="AJ43">
        <f t="shared" si="0"/>
        <v>2.9298000000000001E-2</v>
      </c>
      <c r="AK43">
        <f t="shared" si="0"/>
        <v>2.9546000000000003E-2</v>
      </c>
      <c r="AL43">
        <f t="shared" si="0"/>
        <v>2.9546000000000003E-2</v>
      </c>
    </row>
    <row r="46" spans="1:38" x14ac:dyDescent="0.2">
      <c r="A46" s="1" t="s">
        <v>77</v>
      </c>
      <c r="B46" s="1" t="s">
        <v>78</v>
      </c>
    </row>
    <row r="47" spans="1:38" x14ac:dyDescent="0.2">
      <c r="A47">
        <v>1</v>
      </c>
      <c r="B47">
        <v>12</v>
      </c>
    </row>
    <row r="48" spans="1:38" x14ac:dyDescent="0.2">
      <c r="A48">
        <v>2</v>
      </c>
      <c r="B48">
        <v>6</v>
      </c>
    </row>
    <row r="49" spans="1:2" x14ac:dyDescent="0.2">
      <c r="A49">
        <v>4</v>
      </c>
      <c r="B49">
        <v>3</v>
      </c>
    </row>
    <row r="50" spans="1:2" x14ac:dyDescent="0.2">
      <c r="A50">
        <v>6</v>
      </c>
      <c r="B50">
        <v>2</v>
      </c>
    </row>
    <row r="51" spans="1:2" x14ac:dyDescent="0.2">
      <c r="A51">
        <v>12</v>
      </c>
      <c r="B5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Resumo</vt:lpstr>
      <vt:lpstr>Portfolio</vt:lpstr>
      <vt:lpstr>Proj Cash Flows</vt:lpstr>
      <vt:lpstr>Mortality Table</vt:lpstr>
      <vt:lpstr>Assumptions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Crispim</dc:creator>
  <cp:lastModifiedBy>Ricardo Crispim</cp:lastModifiedBy>
  <dcterms:created xsi:type="dcterms:W3CDTF">2018-04-11T08:38:02Z</dcterms:created>
  <dcterms:modified xsi:type="dcterms:W3CDTF">2018-05-08T06:46:04Z</dcterms:modified>
</cp:coreProperties>
</file>